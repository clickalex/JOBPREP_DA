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Orders" sheetId="2" state="visible" r:id="rId2"/>
    <sheet name="Products" sheetId="3" state="visible" r:id="rId3"/>
    <sheet name="Tasks" sheetId="4" state="visible" r:id="rId4"/>
    <sheet name="Orders_Solved" sheetId="5" state="visible" r:id="rId5"/>
    <sheet name="Answer 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  <font>
      <i val="1"/>
      <color rgb="007F7F7F"/>
    </font>
    <font>
      <b val="1"/>
      <sz val="13"/>
    </font>
    <font>
      <b val="1"/>
      <color rgb="001F3864"/>
      <sz val="14"/>
    </font>
    <font>
      <name val="Consolas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4" fontId="0" fillId="3" borderId="1" applyAlignment="1" pivotButton="0" quotePrefix="0" xfId="0">
      <alignment vertical="top"/>
    </xf>
    <xf numFmtId="0" fontId="6" fillId="0" borderId="0" applyAlignment="1" pivotButton="0" quotePrefix="1" xfId="0">
      <alignment vertical="top" wrapText="1"/>
    </xf>
    <xf numFmtId="0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9" fillId="0" borderId="0" pivotButton="0" quotePrefix="1" xfId="0"/>
    <xf numFmtId="166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Orders" displayName="tblOrders" ref="A1:M4542" headerRowCount="1">
  <autoFilter ref="A1:M4542"/>
  <tableColumns count="13">
    <tableColumn id="1" name="order_id"/>
    <tableColumn id="2" name="order_date"/>
    <tableColumn id="3" name="customer_id"/>
    <tableColumn id="4" name="city"/>
    <tableColumn id="5" name="region"/>
    <tableColumn id="6" name="channel"/>
    <tableColumn id="7" name="device"/>
    <tableColumn id="8" name="payment_method"/>
    <tableColumn id="9" name="status"/>
    <tableColumn id="10" name="product_id"/>
    <tableColumn id="11" name="quantity"/>
    <tableColumn id="12" name="unit_price"/>
    <tableColumn id="13" name="discount"/>
  </tableColumns>
  <tableStyleInfo name="TableStyleMedium2" showRowStripes="1"/>
</table>
</file>

<file path=xl/tables/table2.xml><?xml version="1.0" encoding="utf-8"?>
<table xmlns="http://schemas.openxmlformats.org/spreadsheetml/2006/main" id="2" name="tblProducts" displayName="tblProducts" ref="A1:F49" headerRowCount="1">
  <autoFilter ref="A1:F49"/>
  <tableColumns count="6">
    <tableColumn id="1" name="product_id"/>
    <tableColumn id="2" name="product_name"/>
    <tableColumn id="3" name="category"/>
    <tableColumn id="4" name="subcategory"/>
    <tableColumn id="5" name="list_price"/>
    <tableColumn id="6" name="unit_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ShopKart — Excel practice workbook</t>
        </is>
      </c>
    </row>
    <row r="3">
      <c r="B3" s="2" t="inlineStr">
        <is>
          <t>Data analyst interview prep · Q4 2025 order lines from the fictional ShopKart store</t>
        </is>
      </c>
    </row>
    <row r="4">
      <c r="B4" s="3" t="inlineStr"/>
    </row>
    <row r="5">
      <c r="B5" s="4" t="inlineStr">
        <is>
          <t>HOW TO USE</t>
        </is>
      </c>
    </row>
    <row r="6">
      <c r="B6" s="3" t="inlineStr">
        <is>
          <t>1. Work on the Orders sheet. It is an Excel Table (tblOrders) — add your own columns to the right; formulas fill down automatically.</t>
        </is>
      </c>
    </row>
    <row r="7">
      <c r="B7" s="3" t="inlineStr">
        <is>
          <t>2. Products is the product master (tblProducts). You'll need it for Category, product_name and unit_cost.</t>
        </is>
      </c>
    </row>
    <row r="8">
      <c r="B8" s="3" t="inlineStr">
        <is>
          <t>3. Go to Tasks. Type each answer in the yellow cell — the Result column tells you if you're right (numbers are checked to 1 decimal place).</t>
        </is>
      </c>
    </row>
    <row r="9">
      <c r="B9" s="3" t="inlineStr">
        <is>
          <t>4. Percentages: type 12.3% (or 0.123). Text answers are not case-sensitive.</t>
        </is>
      </c>
    </row>
    <row r="10">
      <c r="B10" s="3" t="inlineStr">
        <is>
          <t>5. Stuck? The Answer Key sheet shows one working formula per task (it uses helper columns on Orders_Solved).</t>
        </is>
      </c>
    </row>
    <row r="11">
      <c r="B11" s="3" t="inlineStr"/>
    </row>
    <row r="12">
      <c r="B12" s="4" t="inlineStr">
        <is>
          <t>DEFINITIONS</t>
        </is>
      </c>
    </row>
    <row r="13">
      <c r="B13" s="3" t="inlineStr">
        <is>
          <t>Line Revenue = quantity × unit_price − discount   (INR)</t>
        </is>
      </c>
    </row>
    <row r="14">
      <c r="B14" s="3" t="inlineStr">
        <is>
          <t>Valid line = status is Delivered or Shipped (Cancelled / Returned lines earn nothing)</t>
        </is>
      </c>
    </row>
    <row r="15">
      <c r="B15" s="3" t="inlineStr">
        <is>
          <t>One order can have several lines (rows) — be careful when counting orders vs lines.</t>
        </is>
      </c>
    </row>
    <row r="16">
      <c r="B16" s="3" t="inlineStr"/>
    </row>
    <row r="17">
      <c r="B17" s="4" t="inlineStr">
        <is>
          <t>SKILLS COVERED</t>
        </is>
      </c>
    </row>
    <row r="18">
      <c r="B18" s="3" t="inlineStr">
        <is>
          <t>XLOOKUP · VLOOKUP · INDEX/MATCH · SUMIFS · COUNTIFS · AVERAGEIFS · MAXIFS · IF · TEXT · DATE · SUMPRODUCT · distinct counts · LARGE · PivotTables · % of total</t>
        </is>
      </c>
    </row>
    <row r="19">
      <c r="B19" s="3" t="inlineStr"/>
    </row>
    <row r="20">
      <c r="B20" s="4" t="inlineStr">
        <is>
          <t>BONUS (not auto-graded)</t>
        </is>
      </c>
    </row>
    <row r="21">
      <c r="B21" s="3" t="inlineStr">
        <is>
          <t>• Build a PivotTable of valid revenue by Month × Category and add a PivotChart + a Slicer on region.</t>
        </is>
      </c>
    </row>
    <row r="22">
      <c r="B22" s="3" t="inlineStr">
        <is>
          <t>• Conditional formatting: highlight Cancelled rows in red using a formula rule: =$I2="Cancelled".</t>
        </is>
      </c>
    </row>
    <row r="23">
      <c r="B23" s="3" t="inlineStr">
        <is>
          <t>• Build a one-page dashboard sheet: 4 KPI cards (Revenue, Orders, AOV, Return rate) + 2 charts.</t>
        </is>
      </c>
    </row>
    <row r="24">
      <c r="B24" s="3" t="inlineStr">
        <is>
          <t>• Use Power Query (Data ▸ Get Data ▸ From Text/CSV) to load data/raw/orders_raw.csv and clean the status / payment_method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8" customWidth="1" min="5" max="5"/>
    <col width="15" customWidth="1" min="6" max="6"/>
    <col width="12" customWidth="1" min="7" max="7"/>
    <col width="17" customWidth="1" min="8" max="8"/>
    <col width="11" customWidth="1" min="9" max="9"/>
    <col width="10" customWidth="1" min="10" max="10"/>
    <col width="9" customWidth="1" min="11" max="11"/>
    <col width="10" customWidth="1" min="12" max="12"/>
    <col width="9" customWidth="1" min="13" max="13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city</t>
        </is>
      </c>
      <c r="E1" s="5" t="inlineStr">
        <is>
          <t>region</t>
        </is>
      </c>
      <c r="F1" s="5" t="inlineStr">
        <is>
          <t>channel</t>
        </is>
      </c>
      <c r="G1" s="5" t="inlineStr">
        <is>
          <t>device</t>
        </is>
      </c>
      <c r="H1" s="5" t="inlineStr">
        <is>
          <t>payment_method</t>
        </is>
      </c>
      <c r="I1" s="5" t="inlineStr">
        <is>
          <t>status</t>
        </is>
      </c>
      <c r="J1" s="5" t="inlineStr">
        <is>
          <t>product_id</t>
        </is>
      </c>
      <c r="K1" s="5" t="inlineStr">
        <is>
          <t>quantity</t>
        </is>
      </c>
      <c r="L1" s="5" t="inlineStr">
        <is>
          <t>unit_price</t>
        </is>
      </c>
      <c r="M1" s="5" t="inlineStr">
        <is>
          <t>discount</t>
        </is>
      </c>
    </row>
    <row r="2">
      <c r="A2" t="n">
        <v>509305</v>
      </c>
      <c r="B2" s="6" t="n">
        <v>45931</v>
      </c>
      <c r="C2" t="n">
        <v>16376</v>
      </c>
      <c r="D2" t="inlineStr">
        <is>
          <t>Mumbai</t>
        </is>
      </c>
      <c r="E2" t="inlineStr">
        <is>
          <t>West</t>
        </is>
      </c>
      <c r="F2" t="inlineStr">
        <is>
          <t>Referral</t>
        </is>
      </c>
      <c r="G2" t="inlineStr">
        <is>
          <t>Mobile App</t>
        </is>
      </c>
      <c r="H2" t="inlineStr">
        <is>
          <t>UPI</t>
        </is>
      </c>
      <c r="I2" t="inlineStr">
        <is>
          <t>Delivered</t>
        </is>
      </c>
      <c r="J2" t="n">
        <v>112</v>
      </c>
      <c r="K2" t="n">
        <v>1</v>
      </c>
      <c r="L2" s="7" t="n">
        <v>1574</v>
      </c>
      <c r="M2" s="7" t="n">
        <v>0</v>
      </c>
    </row>
    <row r="3">
      <c r="A3" t="n">
        <v>509306</v>
      </c>
      <c r="B3" s="6" t="n">
        <v>45931</v>
      </c>
      <c r="C3" t="n">
        <v>16561</v>
      </c>
      <c r="D3" t="inlineStr">
        <is>
          <t>Kochi</t>
        </is>
      </c>
      <c r="E3" t="inlineStr">
        <is>
          <t>South</t>
        </is>
      </c>
      <c r="F3" t="inlineStr">
        <is>
          <t>Email</t>
        </is>
      </c>
      <c r="G3" t="inlineStr">
        <is>
          <t>Mobile Web</t>
        </is>
      </c>
      <c r="H3" t="inlineStr">
        <is>
          <t>Credit Card</t>
        </is>
      </c>
      <c r="I3" t="inlineStr">
        <is>
          <t>Cancelled</t>
        </is>
      </c>
      <c r="J3" t="n">
        <v>119</v>
      </c>
      <c r="K3" t="n">
        <v>1</v>
      </c>
      <c r="L3" s="7" t="n">
        <v>2309</v>
      </c>
      <c r="M3" s="7" t="n">
        <v>346.35</v>
      </c>
    </row>
    <row r="4">
      <c r="A4" t="n">
        <v>509307</v>
      </c>
      <c r="B4" s="6" t="n">
        <v>45931</v>
      </c>
      <c r="C4" t="n">
        <v>15029</v>
      </c>
      <c r="D4" t="inlineStr">
        <is>
          <t>Noida</t>
        </is>
      </c>
      <c r="E4" t="inlineStr">
        <is>
          <t>North</t>
        </is>
      </c>
      <c r="F4" t="inlineStr">
        <is>
          <t>Organic Search</t>
        </is>
      </c>
      <c r="G4" t="inlineStr">
        <is>
          <t>Desktop</t>
        </is>
      </c>
      <c r="H4" t="inlineStr">
        <is>
          <t>UPI</t>
        </is>
      </c>
      <c r="I4" t="inlineStr">
        <is>
          <t>Delivered</t>
        </is>
      </c>
      <c r="J4" t="n">
        <v>115</v>
      </c>
      <c r="K4" t="n">
        <v>1</v>
      </c>
      <c r="L4" s="7" t="n">
        <v>4199</v>
      </c>
      <c r="M4" s="7" t="n">
        <v>0</v>
      </c>
    </row>
    <row r="5">
      <c r="A5" t="n">
        <v>509308</v>
      </c>
      <c r="B5" s="6" t="n">
        <v>45931</v>
      </c>
      <c r="C5" t="n">
        <v>16563</v>
      </c>
      <c r="D5" t="inlineStr">
        <is>
          <t>Lucknow</t>
        </is>
      </c>
      <c r="E5" t="inlineStr">
        <is>
          <t>North</t>
        </is>
      </c>
      <c r="F5" t="inlineStr">
        <is>
          <t>Organic Search</t>
        </is>
      </c>
      <c r="G5" t="inlineStr">
        <is>
          <t>Mobile Web</t>
        </is>
      </c>
      <c r="H5" t="inlineStr">
        <is>
          <t>UPI</t>
        </is>
      </c>
      <c r="I5" t="inlineStr">
        <is>
          <t>Delivered</t>
        </is>
      </c>
      <c r="J5" t="n">
        <v>104</v>
      </c>
      <c r="K5" t="n">
        <v>2</v>
      </c>
      <c r="L5" s="7" t="n">
        <v>5249</v>
      </c>
      <c r="M5" s="7" t="n">
        <v>0</v>
      </c>
    </row>
    <row r="6">
      <c r="A6" t="n">
        <v>509309</v>
      </c>
      <c r="B6" s="6" t="n">
        <v>45931</v>
      </c>
      <c r="C6" t="n">
        <v>14305</v>
      </c>
      <c r="D6" t="inlineStr">
        <is>
          <t>Hyderabad</t>
        </is>
      </c>
      <c r="E6" t="inlineStr">
        <is>
          <t>South</t>
        </is>
      </c>
      <c r="F6" t="inlineStr">
        <is>
          <t>Referral</t>
        </is>
      </c>
      <c r="G6" t="inlineStr">
        <is>
          <t>Mobile Web</t>
        </is>
      </c>
      <c r="H6" t="inlineStr">
        <is>
          <t>Credit Card</t>
        </is>
      </c>
      <c r="I6" t="inlineStr">
        <is>
          <t>Delivered</t>
        </is>
      </c>
      <c r="J6" t="n">
        <v>141</v>
      </c>
      <c r="K6" t="n">
        <v>1</v>
      </c>
      <c r="L6" s="7" t="n">
        <v>261</v>
      </c>
      <c r="M6" s="7" t="n">
        <v>0</v>
      </c>
    </row>
    <row r="7">
      <c r="A7" t="n">
        <v>509309</v>
      </c>
      <c r="B7" s="6" t="n">
        <v>45931</v>
      </c>
      <c r="C7" t="n">
        <v>14305</v>
      </c>
      <c r="D7" t="inlineStr">
        <is>
          <t>Hyderabad</t>
        </is>
      </c>
      <c r="E7" t="inlineStr">
        <is>
          <t>South</t>
        </is>
      </c>
      <c r="F7" t="inlineStr">
        <is>
          <t>Referral</t>
        </is>
      </c>
      <c r="G7" t="inlineStr">
        <is>
          <t>Mobile Web</t>
        </is>
      </c>
      <c r="H7" t="inlineStr">
        <is>
          <t>Credit Card</t>
        </is>
      </c>
      <c r="I7" t="inlineStr">
        <is>
          <t>Delivered</t>
        </is>
      </c>
      <c r="J7" t="n">
        <v>119</v>
      </c>
      <c r="K7" t="n">
        <v>1</v>
      </c>
      <c r="L7" s="7" t="n">
        <v>2309</v>
      </c>
      <c r="M7" s="7" t="n">
        <v>0</v>
      </c>
    </row>
    <row r="8">
      <c r="A8" t="n">
        <v>509310</v>
      </c>
      <c r="B8" s="6" t="n">
        <v>45931</v>
      </c>
      <c r="C8" t="n">
        <v>16572</v>
      </c>
      <c r="D8" t="inlineStr">
        <is>
          <t>Bengaluru</t>
        </is>
      </c>
      <c r="E8" t="inlineStr">
        <is>
          <t>South</t>
        </is>
      </c>
      <c r="F8" t="inlineStr">
        <is>
          <t>Organic Search</t>
        </is>
      </c>
      <c r="G8" t="inlineStr">
        <is>
          <t>Desktop</t>
        </is>
      </c>
      <c r="H8" t="inlineStr">
        <is>
          <t>Net Banking</t>
        </is>
      </c>
      <c r="I8" t="inlineStr">
        <is>
          <t>Delivered</t>
        </is>
      </c>
      <c r="J8" t="n">
        <v>118</v>
      </c>
      <c r="K8" t="n">
        <v>1</v>
      </c>
      <c r="L8" s="7" t="n">
        <v>944</v>
      </c>
      <c r="M8" s="7" t="n">
        <v>0</v>
      </c>
    </row>
    <row r="9">
      <c r="A9" t="n">
        <v>509311</v>
      </c>
      <c r="B9" s="6" t="n">
        <v>45931</v>
      </c>
      <c r="C9" t="n">
        <v>14615</v>
      </c>
      <c r="D9" t="inlineStr">
        <is>
          <t>Delhi</t>
        </is>
      </c>
      <c r="E9" t="inlineStr">
        <is>
          <t>North</t>
        </is>
      </c>
      <c r="F9" t="inlineStr">
        <is>
          <t>Organic Search</t>
        </is>
      </c>
      <c r="G9" t="inlineStr">
        <is>
          <t>Mobile App</t>
        </is>
      </c>
      <c r="H9" t="inlineStr">
        <is>
          <t>Net Banking</t>
        </is>
      </c>
      <c r="I9" t="inlineStr">
        <is>
          <t>Delivered</t>
        </is>
      </c>
      <c r="J9" t="n">
        <v>136</v>
      </c>
      <c r="K9" t="n">
        <v>2</v>
      </c>
      <c r="L9" s="7" t="n">
        <v>944</v>
      </c>
      <c r="M9" s="7" t="n">
        <v>0</v>
      </c>
    </row>
    <row r="10">
      <c r="A10" t="n">
        <v>509311</v>
      </c>
      <c r="B10" s="6" t="n">
        <v>45931</v>
      </c>
      <c r="C10" t="n">
        <v>14615</v>
      </c>
      <c r="D10" t="inlineStr">
        <is>
          <t>Delhi</t>
        </is>
      </c>
      <c r="E10" t="inlineStr">
        <is>
          <t>North</t>
        </is>
      </c>
      <c r="F10" t="inlineStr">
        <is>
          <t>Organic Search</t>
        </is>
      </c>
      <c r="G10" t="inlineStr">
        <is>
          <t>Mobile App</t>
        </is>
      </c>
      <c r="H10" t="inlineStr">
        <is>
          <t>Net Banking</t>
        </is>
      </c>
      <c r="I10" t="inlineStr">
        <is>
          <t>Delivered</t>
        </is>
      </c>
      <c r="J10" t="n">
        <v>110</v>
      </c>
      <c r="K10" t="n">
        <v>1</v>
      </c>
      <c r="L10" s="7" t="n">
        <v>839</v>
      </c>
      <c r="M10" s="7" t="n">
        <v>0</v>
      </c>
    </row>
    <row r="11">
      <c r="A11" t="n">
        <v>509312</v>
      </c>
      <c r="B11" s="6" t="n">
        <v>45931</v>
      </c>
      <c r="C11" t="n">
        <v>16551</v>
      </c>
      <c r="D11" t="inlineStr">
        <is>
          <t>Chandigarh</t>
        </is>
      </c>
      <c r="E11" t="inlineStr">
        <is>
          <t>North</t>
        </is>
      </c>
      <c r="F11" t="inlineStr">
        <is>
          <t>Paid Social</t>
        </is>
      </c>
      <c r="G11" t="inlineStr">
        <is>
          <t>Desktop</t>
        </is>
      </c>
      <c r="H11" t="inlineStr">
        <is>
          <t>UPI</t>
        </is>
      </c>
      <c r="I11" t="inlineStr">
        <is>
          <t>Delivered</t>
        </is>
      </c>
      <c r="J11" t="n">
        <v>135</v>
      </c>
      <c r="K11" t="n">
        <v>1</v>
      </c>
      <c r="L11" s="7" t="n">
        <v>1574</v>
      </c>
      <c r="M11" s="7" t="n">
        <v>0</v>
      </c>
    </row>
    <row r="12">
      <c r="A12" t="n">
        <v>509312</v>
      </c>
      <c r="B12" s="6" t="n">
        <v>45931</v>
      </c>
      <c r="C12" t="n">
        <v>16551</v>
      </c>
      <c r="D12" t="inlineStr">
        <is>
          <t>Chandigarh</t>
        </is>
      </c>
      <c r="E12" t="inlineStr">
        <is>
          <t>North</t>
        </is>
      </c>
      <c r="F12" t="inlineStr">
        <is>
          <t>Paid Social</t>
        </is>
      </c>
      <c r="G12" t="inlineStr">
        <is>
          <t>Desktop</t>
        </is>
      </c>
      <c r="H12" t="inlineStr">
        <is>
          <t>UPI</t>
        </is>
      </c>
      <c r="I12" t="inlineStr">
        <is>
          <t>Delivered</t>
        </is>
      </c>
      <c r="J12" t="n">
        <v>115</v>
      </c>
      <c r="K12" t="n">
        <v>2</v>
      </c>
      <c r="L12" s="7" t="n">
        <v>4199</v>
      </c>
      <c r="M12" s="7" t="n">
        <v>0</v>
      </c>
    </row>
    <row r="13">
      <c r="A13" t="n">
        <v>509313</v>
      </c>
      <c r="B13" s="6" t="n">
        <v>45931</v>
      </c>
      <c r="C13" t="n">
        <v>16522</v>
      </c>
      <c r="D13" t="inlineStr">
        <is>
          <t>Bengaluru</t>
        </is>
      </c>
      <c r="E13" t="inlineStr">
        <is>
          <t>South</t>
        </is>
      </c>
      <c r="F13" t="inlineStr">
        <is>
          <t>Paid Search</t>
        </is>
      </c>
      <c r="G13" t="inlineStr">
        <is>
          <t>Desktop</t>
        </is>
      </c>
      <c r="H13" t="inlineStr">
        <is>
          <t>UPI</t>
        </is>
      </c>
      <c r="I13" t="inlineStr">
        <is>
          <t>Delivered</t>
        </is>
      </c>
      <c r="J13" t="n">
        <v>125</v>
      </c>
      <c r="K13" t="n">
        <v>1</v>
      </c>
      <c r="L13" s="7" t="n">
        <v>1364</v>
      </c>
      <c r="M13" s="7" t="n">
        <v>0</v>
      </c>
    </row>
    <row r="14">
      <c r="A14" t="n">
        <v>509314</v>
      </c>
      <c r="B14" s="6" t="n">
        <v>45931</v>
      </c>
      <c r="C14" t="n">
        <v>13111</v>
      </c>
      <c r="D14" t="inlineStr">
        <is>
          <t>Hyderabad</t>
        </is>
      </c>
      <c r="E14" t="inlineStr">
        <is>
          <t>South</t>
        </is>
      </c>
      <c r="F14" t="inlineStr">
        <is>
          <t>Referral</t>
        </is>
      </c>
      <c r="G14" t="inlineStr">
        <is>
          <t>Mobile App</t>
        </is>
      </c>
      <c r="H14" t="inlineStr">
        <is>
          <t>UPI</t>
        </is>
      </c>
      <c r="I14" t="inlineStr">
        <is>
          <t>Delivered</t>
        </is>
      </c>
      <c r="J14" t="n">
        <v>107</v>
      </c>
      <c r="K14" t="n">
        <v>1</v>
      </c>
      <c r="L14" s="7" t="n">
        <v>1259</v>
      </c>
      <c r="M14" s="7" t="n">
        <v>0</v>
      </c>
    </row>
    <row r="15">
      <c r="A15" t="n">
        <v>509315</v>
      </c>
      <c r="B15" s="6" t="n">
        <v>45931</v>
      </c>
      <c r="C15" t="n">
        <v>16579</v>
      </c>
      <c r="D15" t="inlineStr">
        <is>
          <t>Kolkata</t>
        </is>
      </c>
      <c r="E15" t="inlineStr">
        <is>
          <t>East</t>
        </is>
      </c>
      <c r="F15" t="inlineStr">
        <is>
          <t>Organic Search</t>
        </is>
      </c>
      <c r="G15" t="inlineStr">
        <is>
          <t>Mobile App</t>
        </is>
      </c>
      <c r="H15" t="inlineStr">
        <is>
          <t>Credit Card</t>
        </is>
      </c>
      <c r="I15" t="inlineStr">
        <is>
          <t>Delivered</t>
        </is>
      </c>
      <c r="J15" t="n">
        <v>147</v>
      </c>
      <c r="K15" t="n">
        <v>1</v>
      </c>
      <c r="L15" s="7" t="n">
        <v>1364</v>
      </c>
      <c r="M15" s="7" t="n">
        <v>204.6</v>
      </c>
    </row>
    <row r="16">
      <c r="A16" t="n">
        <v>509316</v>
      </c>
      <c r="B16" s="6" t="n">
        <v>45931</v>
      </c>
      <c r="C16" t="n">
        <v>16306</v>
      </c>
      <c r="D16" t="inlineStr">
        <is>
          <t>Delhi</t>
        </is>
      </c>
      <c r="E16" t="inlineStr">
        <is>
          <t>North</t>
        </is>
      </c>
      <c r="F16" t="inlineStr">
        <is>
          <t>Paid Social</t>
        </is>
      </c>
      <c r="G16" t="inlineStr">
        <is>
          <t>Mobile Web</t>
        </is>
      </c>
      <c r="H16" t="inlineStr">
        <is>
          <t>Credit Card</t>
        </is>
      </c>
      <c r="I16" t="inlineStr">
        <is>
          <t>Delivered</t>
        </is>
      </c>
      <c r="J16" t="n">
        <v>117</v>
      </c>
      <c r="K16" t="n">
        <v>1</v>
      </c>
      <c r="L16" s="7" t="n">
        <v>3149</v>
      </c>
      <c r="M16" s="7" t="n">
        <v>0</v>
      </c>
    </row>
    <row r="17">
      <c r="A17" t="n">
        <v>509316</v>
      </c>
      <c r="B17" s="6" t="n">
        <v>45931</v>
      </c>
      <c r="C17" t="n">
        <v>16306</v>
      </c>
      <c r="D17" t="inlineStr">
        <is>
          <t>Delhi</t>
        </is>
      </c>
      <c r="E17" t="inlineStr">
        <is>
          <t>North</t>
        </is>
      </c>
      <c r="F17" t="inlineStr">
        <is>
          <t>Paid Social</t>
        </is>
      </c>
      <c r="G17" t="inlineStr">
        <is>
          <t>Mobile Web</t>
        </is>
      </c>
      <c r="H17" t="inlineStr">
        <is>
          <t>Credit Card</t>
        </is>
      </c>
      <c r="I17" t="inlineStr">
        <is>
          <t>Delivered</t>
        </is>
      </c>
      <c r="J17" t="n">
        <v>143</v>
      </c>
      <c r="K17" t="n">
        <v>2</v>
      </c>
      <c r="L17" s="7" t="n">
        <v>839</v>
      </c>
      <c r="M17" s="7" t="n">
        <v>0</v>
      </c>
    </row>
    <row r="18">
      <c r="A18" t="n">
        <v>509316</v>
      </c>
      <c r="B18" s="6" t="n">
        <v>45931</v>
      </c>
      <c r="C18" t="n">
        <v>16306</v>
      </c>
      <c r="D18" t="inlineStr">
        <is>
          <t>Delhi</t>
        </is>
      </c>
      <c r="E18" t="inlineStr">
        <is>
          <t>North</t>
        </is>
      </c>
      <c r="F18" t="inlineStr">
        <is>
          <t>Paid Social</t>
        </is>
      </c>
      <c r="G18" t="inlineStr">
        <is>
          <t>Mobile Web</t>
        </is>
      </c>
      <c r="H18" t="inlineStr">
        <is>
          <t>Credit Card</t>
        </is>
      </c>
      <c r="I18" t="inlineStr">
        <is>
          <t>Delivered</t>
        </is>
      </c>
      <c r="J18" t="n">
        <v>128</v>
      </c>
      <c r="K18" t="n">
        <v>1</v>
      </c>
      <c r="L18" s="7" t="n">
        <v>1049</v>
      </c>
      <c r="M18" s="7" t="n">
        <v>0</v>
      </c>
    </row>
    <row r="19">
      <c r="A19" t="n">
        <v>509317</v>
      </c>
      <c r="B19" s="6" t="n">
        <v>45931</v>
      </c>
      <c r="C19" t="n">
        <v>16495</v>
      </c>
      <c r="D19" t="inlineStr">
        <is>
          <t>Chennai</t>
        </is>
      </c>
      <c r="E19" t="inlineStr">
        <is>
          <t>South</t>
        </is>
      </c>
      <c r="F19" t="inlineStr">
        <is>
          <t>Affiliate</t>
        </is>
      </c>
      <c r="G19" t="inlineStr">
        <is>
          <t>Mobile App</t>
        </is>
      </c>
      <c r="H19" t="inlineStr">
        <is>
          <t>UPI</t>
        </is>
      </c>
      <c r="I19" t="inlineStr">
        <is>
          <t>Delivered</t>
        </is>
      </c>
      <c r="J19" t="n">
        <v>117</v>
      </c>
      <c r="K19" t="n">
        <v>2</v>
      </c>
      <c r="L19" s="7" t="n">
        <v>3149</v>
      </c>
      <c r="M19" s="7" t="n">
        <v>0</v>
      </c>
    </row>
    <row r="20">
      <c r="A20" t="n">
        <v>509318</v>
      </c>
      <c r="B20" s="6" t="n">
        <v>45931</v>
      </c>
      <c r="C20" t="n">
        <v>16543</v>
      </c>
      <c r="D20" t="inlineStr">
        <is>
          <t>Jaipur</t>
        </is>
      </c>
      <c r="E20" t="inlineStr">
        <is>
          <t>North</t>
        </is>
      </c>
      <c r="F20" t="inlineStr">
        <is>
          <t>Organic Search</t>
        </is>
      </c>
      <c r="G20" t="inlineStr">
        <is>
          <t>Desktop</t>
        </is>
      </c>
      <c r="H20" t="inlineStr">
        <is>
          <t>Debit Card</t>
        </is>
      </c>
      <c r="I20" t="inlineStr">
        <is>
          <t>Returned</t>
        </is>
      </c>
      <c r="J20" t="n">
        <v>107</v>
      </c>
      <c r="K20" t="n">
        <v>1</v>
      </c>
      <c r="L20" s="7" t="n">
        <v>1259</v>
      </c>
      <c r="M20" s="7" t="n">
        <v>188.85</v>
      </c>
    </row>
    <row r="21">
      <c r="A21" t="n">
        <v>509318</v>
      </c>
      <c r="B21" s="6" t="n">
        <v>45931</v>
      </c>
      <c r="C21" t="n">
        <v>16543</v>
      </c>
      <c r="D21" t="inlineStr">
        <is>
          <t>Jaipur</t>
        </is>
      </c>
      <c r="E21" t="inlineStr">
        <is>
          <t>North</t>
        </is>
      </c>
      <c r="F21" t="inlineStr">
        <is>
          <t>Organic Search</t>
        </is>
      </c>
      <c r="G21" t="inlineStr">
        <is>
          <t>Desktop</t>
        </is>
      </c>
      <c r="H21" t="inlineStr">
        <is>
          <t>Debit Card</t>
        </is>
      </c>
      <c r="I21" t="inlineStr">
        <is>
          <t>Returned</t>
        </is>
      </c>
      <c r="J21" t="n">
        <v>117</v>
      </c>
      <c r="K21" t="n">
        <v>2</v>
      </c>
      <c r="L21" s="7" t="n">
        <v>3149</v>
      </c>
      <c r="M21" s="7" t="n">
        <v>944.7</v>
      </c>
    </row>
    <row r="22">
      <c r="A22" t="n">
        <v>509318</v>
      </c>
      <c r="B22" s="6" t="n">
        <v>45931</v>
      </c>
      <c r="C22" t="n">
        <v>16543</v>
      </c>
      <c r="D22" t="inlineStr">
        <is>
          <t>Jaipur</t>
        </is>
      </c>
      <c r="E22" t="inlineStr">
        <is>
          <t>North</t>
        </is>
      </c>
      <c r="F22" t="inlineStr">
        <is>
          <t>Organic Search</t>
        </is>
      </c>
      <c r="G22" t="inlineStr">
        <is>
          <t>Desktop</t>
        </is>
      </c>
      <c r="H22" t="inlineStr">
        <is>
          <t>Debit Card</t>
        </is>
      </c>
      <c r="I22" t="inlineStr">
        <is>
          <t>Returned</t>
        </is>
      </c>
      <c r="J22" t="n">
        <v>103</v>
      </c>
      <c r="K22" t="n">
        <v>2</v>
      </c>
      <c r="L22" s="7" t="n">
        <v>2624</v>
      </c>
      <c r="M22" s="7" t="n">
        <v>787.2</v>
      </c>
    </row>
    <row r="23">
      <c r="A23" t="n">
        <v>509319</v>
      </c>
      <c r="B23" s="6" t="n">
        <v>45931</v>
      </c>
      <c r="C23" t="n">
        <v>14548</v>
      </c>
      <c r="D23" t="inlineStr">
        <is>
          <t>Indore</t>
        </is>
      </c>
      <c r="E23" t="inlineStr">
        <is>
          <t>West</t>
        </is>
      </c>
      <c r="F23" t="inlineStr">
        <is>
          <t>Organic Search</t>
        </is>
      </c>
      <c r="G23" t="inlineStr">
        <is>
          <t>Mobile Web</t>
        </is>
      </c>
      <c r="H23" t="inlineStr">
        <is>
          <t>Net Banking</t>
        </is>
      </c>
      <c r="I23" t="inlineStr">
        <is>
          <t>Delivered</t>
        </is>
      </c>
      <c r="J23" t="n">
        <v>130</v>
      </c>
      <c r="K23" t="n">
        <v>1</v>
      </c>
      <c r="L23" s="7" t="n">
        <v>734</v>
      </c>
      <c r="M23" s="7" t="n">
        <v>0</v>
      </c>
    </row>
    <row r="24">
      <c r="A24" t="n">
        <v>509319</v>
      </c>
      <c r="B24" s="6" t="n">
        <v>45931</v>
      </c>
      <c r="C24" t="n">
        <v>14548</v>
      </c>
      <c r="D24" t="inlineStr">
        <is>
          <t>Indore</t>
        </is>
      </c>
      <c r="E24" t="inlineStr">
        <is>
          <t>West</t>
        </is>
      </c>
      <c r="F24" t="inlineStr">
        <is>
          <t>Organic Search</t>
        </is>
      </c>
      <c r="G24" t="inlineStr">
        <is>
          <t>Mobile Web</t>
        </is>
      </c>
      <c r="H24" t="inlineStr">
        <is>
          <t>Net Banking</t>
        </is>
      </c>
      <c r="I24" t="inlineStr">
        <is>
          <t>Delivered</t>
        </is>
      </c>
      <c r="J24" t="n">
        <v>133</v>
      </c>
      <c r="K24" t="n">
        <v>2</v>
      </c>
      <c r="L24" s="7" t="n">
        <v>419</v>
      </c>
      <c r="M24" s="7" t="n">
        <v>0</v>
      </c>
    </row>
    <row r="25">
      <c r="A25" t="n">
        <v>509320</v>
      </c>
      <c r="B25" s="6" t="n">
        <v>45931</v>
      </c>
      <c r="C25" t="n">
        <v>16532</v>
      </c>
      <c r="D25" t="inlineStr">
        <is>
          <t>Delhi</t>
        </is>
      </c>
      <c r="E25" t="inlineStr">
        <is>
          <t>North</t>
        </is>
      </c>
      <c r="F25" t="inlineStr">
        <is>
          <t>Organic Search</t>
        </is>
      </c>
      <c r="G25" t="inlineStr">
        <is>
          <t>Mobile App</t>
        </is>
      </c>
      <c r="H25" t="inlineStr">
        <is>
          <t>UPI</t>
        </is>
      </c>
      <c r="I25" t="inlineStr">
        <is>
          <t>Delivered</t>
        </is>
      </c>
      <c r="J25" t="n">
        <v>134</v>
      </c>
      <c r="K25" t="n">
        <v>1</v>
      </c>
      <c r="L25" s="7" t="n">
        <v>209</v>
      </c>
      <c r="M25" s="7" t="n">
        <v>0</v>
      </c>
    </row>
    <row r="26">
      <c r="A26" t="n">
        <v>509321</v>
      </c>
      <c r="B26" s="6" t="n">
        <v>45931</v>
      </c>
      <c r="C26" t="n">
        <v>11573</v>
      </c>
      <c r="D26" t="inlineStr">
        <is>
          <t>Bengaluru</t>
        </is>
      </c>
      <c r="E26" t="inlineStr">
        <is>
          <t>South</t>
        </is>
      </c>
      <c r="F26" t="inlineStr">
        <is>
          <t>Email</t>
        </is>
      </c>
      <c r="G26" t="inlineStr">
        <is>
          <t>Mobile App</t>
        </is>
      </c>
      <c r="H26" t="inlineStr">
        <is>
          <t>Cash on Delivery</t>
        </is>
      </c>
      <c r="I26" t="inlineStr">
        <is>
          <t>Delivered</t>
        </is>
      </c>
      <c r="J26" t="n">
        <v>103</v>
      </c>
      <c r="K26" t="n">
        <v>2</v>
      </c>
      <c r="L26" s="7" t="n">
        <v>2624</v>
      </c>
      <c r="M26" s="7" t="n">
        <v>0</v>
      </c>
    </row>
    <row r="27">
      <c r="A27" t="n">
        <v>509321</v>
      </c>
      <c r="B27" s="6" t="n">
        <v>45931</v>
      </c>
      <c r="C27" t="n">
        <v>11573</v>
      </c>
      <c r="D27" t="inlineStr">
        <is>
          <t>Bengaluru</t>
        </is>
      </c>
      <c r="E27" t="inlineStr">
        <is>
          <t>South</t>
        </is>
      </c>
      <c r="F27" t="inlineStr">
        <is>
          <t>Email</t>
        </is>
      </c>
      <c r="G27" t="inlineStr">
        <is>
          <t>Mobile App</t>
        </is>
      </c>
      <c r="H27" t="inlineStr">
        <is>
          <t>Cash on Delivery</t>
        </is>
      </c>
      <c r="I27" t="inlineStr">
        <is>
          <t>Delivered</t>
        </is>
      </c>
      <c r="J27" t="n">
        <v>112</v>
      </c>
      <c r="K27" t="n">
        <v>1</v>
      </c>
      <c r="L27" s="7" t="n">
        <v>1574</v>
      </c>
      <c r="M27" s="7" t="n">
        <v>0</v>
      </c>
    </row>
    <row r="28">
      <c r="A28" t="n">
        <v>509322</v>
      </c>
      <c r="B28" s="6" t="n">
        <v>45931</v>
      </c>
      <c r="C28" t="n">
        <v>16521</v>
      </c>
      <c r="D28" t="inlineStr">
        <is>
          <t>Indore</t>
        </is>
      </c>
      <c r="E28" t="inlineStr">
        <is>
          <t>West</t>
        </is>
      </c>
      <c r="F28" t="inlineStr">
        <is>
          <t>Paid Search</t>
        </is>
      </c>
      <c r="G28" t="inlineStr">
        <is>
          <t>Mobile App</t>
        </is>
      </c>
      <c r="H28" t="inlineStr">
        <is>
          <t>UPI</t>
        </is>
      </c>
      <c r="I28" t="inlineStr">
        <is>
          <t>Returned</t>
        </is>
      </c>
      <c r="J28" t="n">
        <v>118</v>
      </c>
      <c r="K28" t="n">
        <v>1</v>
      </c>
      <c r="L28" s="7" t="n">
        <v>944</v>
      </c>
      <c r="M28" s="7" t="n">
        <v>0</v>
      </c>
    </row>
    <row r="29">
      <c r="A29" t="n">
        <v>509322</v>
      </c>
      <c r="B29" s="6" t="n">
        <v>45931</v>
      </c>
      <c r="C29" t="n">
        <v>16521</v>
      </c>
      <c r="D29" t="inlineStr">
        <is>
          <t>Indore</t>
        </is>
      </c>
      <c r="E29" t="inlineStr">
        <is>
          <t>West</t>
        </is>
      </c>
      <c r="F29" t="inlineStr">
        <is>
          <t>Paid Search</t>
        </is>
      </c>
      <c r="G29" t="inlineStr">
        <is>
          <t>Mobile App</t>
        </is>
      </c>
      <c r="H29" t="inlineStr">
        <is>
          <t>UPI</t>
        </is>
      </c>
      <c r="I29" t="inlineStr">
        <is>
          <t>Returned</t>
        </is>
      </c>
      <c r="J29" t="n">
        <v>126</v>
      </c>
      <c r="K29" t="n">
        <v>1</v>
      </c>
      <c r="L29" s="7" t="n">
        <v>471</v>
      </c>
      <c r="M29" s="7" t="n">
        <v>0</v>
      </c>
    </row>
    <row r="30">
      <c r="A30" t="n">
        <v>509322</v>
      </c>
      <c r="B30" s="6" t="n">
        <v>45931</v>
      </c>
      <c r="C30" t="n">
        <v>16521</v>
      </c>
      <c r="D30" t="inlineStr">
        <is>
          <t>Indore</t>
        </is>
      </c>
      <c r="E30" t="inlineStr">
        <is>
          <t>West</t>
        </is>
      </c>
      <c r="F30" t="inlineStr">
        <is>
          <t>Paid Search</t>
        </is>
      </c>
      <c r="G30" t="inlineStr">
        <is>
          <t>Mobile App</t>
        </is>
      </c>
      <c r="H30" t="inlineStr">
        <is>
          <t>UPI</t>
        </is>
      </c>
      <c r="I30" t="inlineStr">
        <is>
          <t>Returned</t>
        </is>
      </c>
      <c r="J30" t="n">
        <v>139</v>
      </c>
      <c r="K30" t="n">
        <v>1</v>
      </c>
      <c r="L30" s="7" t="n">
        <v>366</v>
      </c>
      <c r="M30" s="7" t="n">
        <v>0</v>
      </c>
    </row>
    <row r="31">
      <c r="A31" t="n">
        <v>509323</v>
      </c>
      <c r="B31" s="6" t="n">
        <v>45931</v>
      </c>
      <c r="C31" t="n">
        <v>11402</v>
      </c>
      <c r="D31" t="inlineStr">
        <is>
          <t>Hyderabad</t>
        </is>
      </c>
      <c r="E31" t="inlineStr">
        <is>
          <t>South</t>
        </is>
      </c>
      <c r="F31" t="inlineStr">
        <is>
          <t>Paid Search</t>
        </is>
      </c>
      <c r="G31" t="inlineStr">
        <is>
          <t>Mobile App</t>
        </is>
      </c>
      <c r="H31" t="inlineStr">
        <is>
          <t>UPI</t>
        </is>
      </c>
      <c r="I31" t="inlineStr">
        <is>
          <t>Delivered</t>
        </is>
      </c>
      <c r="J31" t="n">
        <v>105</v>
      </c>
      <c r="K31" t="n">
        <v>2</v>
      </c>
      <c r="L31" s="7" t="n">
        <v>2414</v>
      </c>
      <c r="M31" s="7" t="n">
        <v>0</v>
      </c>
    </row>
    <row r="32">
      <c r="A32" t="n">
        <v>509324</v>
      </c>
      <c r="B32" s="6" t="n">
        <v>45931</v>
      </c>
      <c r="C32" t="n">
        <v>14140</v>
      </c>
      <c r="D32" t="inlineStr">
        <is>
          <t>Hyderabad</t>
        </is>
      </c>
      <c r="E32" t="inlineStr">
        <is>
          <t>South</t>
        </is>
      </c>
      <c r="F32" t="inlineStr">
        <is>
          <t>Referral</t>
        </is>
      </c>
      <c r="G32" t="inlineStr">
        <is>
          <t>Mobile App</t>
        </is>
      </c>
      <c r="H32" t="inlineStr">
        <is>
          <t>Cash on Delivery</t>
        </is>
      </c>
      <c r="I32" t="inlineStr">
        <is>
          <t>Delivered</t>
        </is>
      </c>
      <c r="J32" t="n">
        <v>117</v>
      </c>
      <c r="K32" t="n">
        <v>1</v>
      </c>
      <c r="L32" s="7" t="n">
        <v>3149</v>
      </c>
      <c r="M32" s="7" t="n">
        <v>0</v>
      </c>
    </row>
    <row r="33">
      <c r="A33" t="n">
        <v>509325</v>
      </c>
      <c r="B33" s="6" t="n">
        <v>45931</v>
      </c>
      <c r="C33" t="n">
        <v>16506</v>
      </c>
      <c r="D33" t="inlineStr">
        <is>
          <t>Chandigarh</t>
        </is>
      </c>
      <c r="E33" t="inlineStr">
        <is>
          <t>North</t>
        </is>
      </c>
      <c r="F33" t="inlineStr">
        <is>
          <t>Paid Social</t>
        </is>
      </c>
      <c r="G33" t="inlineStr">
        <is>
          <t>Desktop</t>
        </is>
      </c>
      <c r="H33" t="inlineStr">
        <is>
          <t>Credit Card</t>
        </is>
      </c>
      <c r="I33" t="inlineStr">
        <is>
          <t>Delivered</t>
        </is>
      </c>
      <c r="J33" t="n">
        <v>130</v>
      </c>
      <c r="K33" t="n">
        <v>2</v>
      </c>
      <c r="L33" s="7" t="n">
        <v>734</v>
      </c>
      <c r="M33" s="7" t="n">
        <v>220.2</v>
      </c>
    </row>
    <row r="34">
      <c r="A34" t="n">
        <v>509326</v>
      </c>
      <c r="B34" s="6" t="n">
        <v>45931</v>
      </c>
      <c r="C34" t="n">
        <v>16476</v>
      </c>
      <c r="D34" t="inlineStr">
        <is>
          <t>Kolkata</t>
        </is>
      </c>
      <c r="E34" t="inlineStr">
        <is>
          <t>East</t>
        </is>
      </c>
      <c r="F34" t="inlineStr">
        <is>
          <t>Affiliate</t>
        </is>
      </c>
      <c r="G34" t="inlineStr">
        <is>
          <t>Mobile Web</t>
        </is>
      </c>
      <c r="H34" t="inlineStr">
        <is>
          <t>Cash on Delivery</t>
        </is>
      </c>
      <c r="I34" t="inlineStr">
        <is>
          <t>Delivered</t>
        </is>
      </c>
      <c r="J34" t="n">
        <v>125</v>
      </c>
      <c r="K34" t="n">
        <v>1</v>
      </c>
      <c r="L34" s="7" t="n">
        <v>1364</v>
      </c>
      <c r="M34" s="7" t="n">
        <v>68.2</v>
      </c>
    </row>
    <row r="35">
      <c r="A35" t="n">
        <v>509326</v>
      </c>
      <c r="B35" s="6" t="n">
        <v>45931</v>
      </c>
      <c r="C35" t="n">
        <v>16476</v>
      </c>
      <c r="D35" t="inlineStr">
        <is>
          <t>Kolkata</t>
        </is>
      </c>
      <c r="E35" t="inlineStr">
        <is>
          <t>East</t>
        </is>
      </c>
      <c r="F35" t="inlineStr">
        <is>
          <t>Affiliate</t>
        </is>
      </c>
      <c r="G35" t="inlineStr">
        <is>
          <t>Mobile Web</t>
        </is>
      </c>
      <c r="H35" t="inlineStr">
        <is>
          <t>Cash on Delivery</t>
        </is>
      </c>
      <c r="I35" t="inlineStr">
        <is>
          <t>Delivered</t>
        </is>
      </c>
      <c r="J35" t="n">
        <v>134</v>
      </c>
      <c r="K35" t="n">
        <v>1</v>
      </c>
      <c r="L35" s="7" t="n">
        <v>209</v>
      </c>
      <c r="M35" s="7" t="n">
        <v>10.45</v>
      </c>
    </row>
    <row r="36">
      <c r="A36" t="n">
        <v>509327</v>
      </c>
      <c r="B36" s="6" t="n">
        <v>45931</v>
      </c>
      <c r="C36" t="n">
        <v>16575</v>
      </c>
      <c r="D36" t="inlineStr">
        <is>
          <t>Mumbai</t>
        </is>
      </c>
      <c r="E36" t="inlineStr">
        <is>
          <t>West</t>
        </is>
      </c>
      <c r="F36" t="inlineStr">
        <is>
          <t>Affiliate</t>
        </is>
      </c>
      <c r="G36" t="inlineStr">
        <is>
          <t>Mobile Web</t>
        </is>
      </c>
      <c r="H36" t="inlineStr">
        <is>
          <t>UPI</t>
        </is>
      </c>
      <c r="I36" t="inlineStr">
        <is>
          <t>Delivered</t>
        </is>
      </c>
      <c r="J36" t="n">
        <v>144</v>
      </c>
      <c r="K36" t="n">
        <v>1</v>
      </c>
      <c r="L36" s="7" t="n">
        <v>3149</v>
      </c>
      <c r="M36" s="7" t="n">
        <v>472.35</v>
      </c>
    </row>
    <row r="37">
      <c r="A37" t="n">
        <v>509327</v>
      </c>
      <c r="B37" s="6" t="n">
        <v>45931</v>
      </c>
      <c r="C37" t="n">
        <v>16575</v>
      </c>
      <c r="D37" t="inlineStr">
        <is>
          <t>Mumbai</t>
        </is>
      </c>
      <c r="E37" t="inlineStr">
        <is>
          <t>West</t>
        </is>
      </c>
      <c r="F37" t="inlineStr">
        <is>
          <t>Affiliate</t>
        </is>
      </c>
      <c r="G37" t="inlineStr">
        <is>
          <t>Mobile Web</t>
        </is>
      </c>
      <c r="H37" t="inlineStr">
        <is>
          <t>UPI</t>
        </is>
      </c>
      <c r="I37" t="inlineStr">
        <is>
          <t>Delivered</t>
        </is>
      </c>
      <c r="J37" t="n">
        <v>135</v>
      </c>
      <c r="K37" t="n">
        <v>1</v>
      </c>
      <c r="L37" s="7" t="n">
        <v>1574</v>
      </c>
      <c r="M37" s="7" t="n">
        <v>236.1</v>
      </c>
    </row>
    <row r="38">
      <c r="A38" t="n">
        <v>509327</v>
      </c>
      <c r="B38" s="6" t="n">
        <v>45931</v>
      </c>
      <c r="C38" t="n">
        <v>16575</v>
      </c>
      <c r="D38" t="inlineStr">
        <is>
          <t>Mumbai</t>
        </is>
      </c>
      <c r="E38" t="inlineStr">
        <is>
          <t>West</t>
        </is>
      </c>
      <c r="F38" t="inlineStr">
        <is>
          <t>Affiliate</t>
        </is>
      </c>
      <c r="G38" t="inlineStr">
        <is>
          <t>Mobile Web</t>
        </is>
      </c>
      <c r="H38" t="inlineStr">
        <is>
          <t>UPI</t>
        </is>
      </c>
      <c r="I38" t="inlineStr">
        <is>
          <t>Delivered</t>
        </is>
      </c>
      <c r="J38" t="n">
        <v>101</v>
      </c>
      <c r="K38" t="n">
        <v>2</v>
      </c>
      <c r="L38" s="7" t="n">
        <v>2099</v>
      </c>
      <c r="M38" s="7" t="n">
        <v>629.7</v>
      </c>
    </row>
    <row r="39">
      <c r="A39" t="n">
        <v>509328</v>
      </c>
      <c r="B39" s="6" t="n">
        <v>45931</v>
      </c>
      <c r="C39" t="n">
        <v>15816</v>
      </c>
      <c r="D39" t="inlineStr">
        <is>
          <t>Mumbai</t>
        </is>
      </c>
      <c r="E39" t="inlineStr">
        <is>
          <t>West</t>
        </is>
      </c>
      <c r="F39" t="inlineStr">
        <is>
          <t>Paid Social</t>
        </is>
      </c>
      <c r="G39" t="inlineStr">
        <is>
          <t>Mobile App</t>
        </is>
      </c>
      <c r="H39" t="inlineStr">
        <is>
          <t>UPI</t>
        </is>
      </c>
      <c r="I39" t="inlineStr">
        <is>
          <t>Delivered</t>
        </is>
      </c>
      <c r="J39" t="n">
        <v>142</v>
      </c>
      <c r="K39" t="n">
        <v>1</v>
      </c>
      <c r="L39" s="7" t="n">
        <v>839</v>
      </c>
      <c r="M39" s="7" t="n">
        <v>0</v>
      </c>
    </row>
    <row r="40">
      <c r="A40" t="n">
        <v>509329</v>
      </c>
      <c r="B40" s="6" t="n">
        <v>45931</v>
      </c>
      <c r="C40" t="n">
        <v>16517</v>
      </c>
      <c r="D40" t="inlineStr">
        <is>
          <t>Mumbai</t>
        </is>
      </c>
      <c r="E40" t="inlineStr">
        <is>
          <t>West</t>
        </is>
      </c>
      <c r="F40" t="inlineStr">
        <is>
          <t>Paid Search</t>
        </is>
      </c>
      <c r="G40" t="inlineStr">
        <is>
          <t>Mobile Web</t>
        </is>
      </c>
      <c r="H40" t="inlineStr">
        <is>
          <t>Credit Card</t>
        </is>
      </c>
      <c r="I40" t="inlineStr">
        <is>
          <t>Delivered</t>
        </is>
      </c>
      <c r="J40" t="n">
        <v>136</v>
      </c>
      <c r="K40" t="n">
        <v>1</v>
      </c>
      <c r="L40" s="7" t="n">
        <v>944</v>
      </c>
      <c r="M40" s="7" t="n">
        <v>0</v>
      </c>
    </row>
    <row r="41">
      <c r="A41" t="n">
        <v>509329</v>
      </c>
      <c r="B41" s="6" t="n">
        <v>45931</v>
      </c>
      <c r="C41" t="n">
        <v>16517</v>
      </c>
      <c r="D41" t="inlineStr">
        <is>
          <t>Mumbai</t>
        </is>
      </c>
      <c r="E41" t="inlineStr">
        <is>
          <t>West</t>
        </is>
      </c>
      <c r="F41" t="inlineStr">
        <is>
          <t>Paid Search</t>
        </is>
      </c>
      <c r="G41" t="inlineStr">
        <is>
          <t>Mobile Web</t>
        </is>
      </c>
      <c r="H41" t="inlineStr">
        <is>
          <t>Credit Card</t>
        </is>
      </c>
      <c r="I41" t="inlineStr">
        <is>
          <t>Delivered</t>
        </is>
      </c>
      <c r="J41" t="n">
        <v>125</v>
      </c>
      <c r="K41" t="n">
        <v>1</v>
      </c>
      <c r="L41" s="7" t="n">
        <v>1364</v>
      </c>
      <c r="M41" s="7" t="n">
        <v>0</v>
      </c>
    </row>
    <row r="42">
      <c r="A42" t="n">
        <v>509330</v>
      </c>
      <c r="B42" s="6" t="n">
        <v>45931</v>
      </c>
      <c r="C42" t="n">
        <v>15988</v>
      </c>
      <c r="D42" t="inlineStr">
        <is>
          <t>Delhi</t>
        </is>
      </c>
      <c r="E42" t="inlineStr">
        <is>
          <t>North</t>
        </is>
      </c>
      <c r="F42" t="inlineStr">
        <is>
          <t>Organic Search</t>
        </is>
      </c>
      <c r="G42" t="inlineStr">
        <is>
          <t>Mobile App</t>
        </is>
      </c>
      <c r="H42" t="inlineStr">
        <is>
          <t>Credit Card</t>
        </is>
      </c>
      <c r="I42" t="inlineStr">
        <is>
          <t>Delivered</t>
        </is>
      </c>
      <c r="J42" t="n">
        <v>128</v>
      </c>
      <c r="K42" t="n">
        <v>1</v>
      </c>
      <c r="L42" s="7" t="n">
        <v>1049</v>
      </c>
      <c r="M42" s="7" t="n">
        <v>0</v>
      </c>
    </row>
    <row r="43">
      <c r="A43" t="n">
        <v>509330</v>
      </c>
      <c r="B43" s="6" t="n">
        <v>45931</v>
      </c>
      <c r="C43" t="n">
        <v>15988</v>
      </c>
      <c r="D43" t="inlineStr">
        <is>
          <t>Delhi</t>
        </is>
      </c>
      <c r="E43" t="inlineStr">
        <is>
          <t>North</t>
        </is>
      </c>
      <c r="F43" t="inlineStr">
        <is>
          <t>Organic Search</t>
        </is>
      </c>
      <c r="G43" t="inlineStr">
        <is>
          <t>Mobile App</t>
        </is>
      </c>
      <c r="H43" t="inlineStr">
        <is>
          <t>Credit Card</t>
        </is>
      </c>
      <c r="I43" t="inlineStr">
        <is>
          <t>Delivered</t>
        </is>
      </c>
      <c r="J43" t="n">
        <v>124</v>
      </c>
      <c r="K43" t="n">
        <v>1</v>
      </c>
      <c r="L43" s="7" t="n">
        <v>1154</v>
      </c>
      <c r="M43" s="7" t="n">
        <v>0</v>
      </c>
    </row>
    <row r="44">
      <c r="A44" t="n">
        <v>509331</v>
      </c>
      <c r="B44" s="6" t="n">
        <v>45931</v>
      </c>
      <c r="C44" t="n">
        <v>15978</v>
      </c>
      <c r="D44" t="inlineStr">
        <is>
          <t>Delhi</t>
        </is>
      </c>
      <c r="E44" t="inlineStr">
        <is>
          <t>North</t>
        </is>
      </c>
      <c r="F44" t="inlineStr">
        <is>
          <t>Paid Search</t>
        </is>
      </c>
      <c r="G44" t="inlineStr">
        <is>
          <t>Mobile Web</t>
        </is>
      </c>
      <c r="H44" t="inlineStr">
        <is>
          <t>UPI</t>
        </is>
      </c>
      <c r="I44" t="inlineStr">
        <is>
          <t>Delivered</t>
        </is>
      </c>
      <c r="J44" t="n">
        <v>129</v>
      </c>
      <c r="K44" t="n">
        <v>1</v>
      </c>
      <c r="L44" s="7" t="n">
        <v>576</v>
      </c>
      <c r="M44" s="7" t="n">
        <v>0</v>
      </c>
    </row>
    <row r="45">
      <c r="A45" t="n">
        <v>509332</v>
      </c>
      <c r="B45" s="6" t="n">
        <v>45931</v>
      </c>
      <c r="C45" t="n">
        <v>15857</v>
      </c>
      <c r="D45" t="inlineStr">
        <is>
          <t>Mumbai</t>
        </is>
      </c>
      <c r="E45" t="inlineStr">
        <is>
          <t>West</t>
        </is>
      </c>
      <c r="F45" t="inlineStr">
        <is>
          <t>Organic Search</t>
        </is>
      </c>
      <c r="G45" t="inlineStr">
        <is>
          <t>Desktop</t>
        </is>
      </c>
      <c r="H45" t="inlineStr">
        <is>
          <t>UPI</t>
        </is>
      </c>
      <c r="I45" t="inlineStr">
        <is>
          <t>Delivered</t>
        </is>
      </c>
      <c r="J45" t="n">
        <v>120</v>
      </c>
      <c r="K45" t="n">
        <v>1</v>
      </c>
      <c r="L45" s="7" t="n">
        <v>734</v>
      </c>
      <c r="M45" s="7" t="n">
        <v>0</v>
      </c>
    </row>
    <row r="46">
      <c r="A46" t="n">
        <v>509333</v>
      </c>
      <c r="B46" s="6" t="n">
        <v>45932</v>
      </c>
      <c r="C46" t="n">
        <v>14890</v>
      </c>
      <c r="D46" t="inlineStr">
        <is>
          <t>Delhi</t>
        </is>
      </c>
      <c r="E46" t="inlineStr">
        <is>
          <t>North</t>
        </is>
      </c>
      <c r="F46" t="inlineStr">
        <is>
          <t>Referral</t>
        </is>
      </c>
      <c r="G46" t="inlineStr">
        <is>
          <t>Mobile Web</t>
        </is>
      </c>
      <c r="H46" t="inlineStr">
        <is>
          <t>Credit Card</t>
        </is>
      </c>
      <c r="I46" t="inlineStr">
        <is>
          <t>Delivered</t>
        </is>
      </c>
      <c r="J46" t="n">
        <v>120</v>
      </c>
      <c r="K46" t="n">
        <v>1</v>
      </c>
      <c r="L46" s="7" t="n">
        <v>734</v>
      </c>
      <c r="M46" s="7" t="n">
        <v>0</v>
      </c>
    </row>
    <row r="47">
      <c r="A47" t="n">
        <v>509334</v>
      </c>
      <c r="B47" s="6" t="n">
        <v>45932</v>
      </c>
      <c r="C47" t="n">
        <v>16136</v>
      </c>
      <c r="D47" t="inlineStr">
        <is>
          <t>Pune</t>
        </is>
      </c>
      <c r="E47" t="inlineStr">
        <is>
          <t>West</t>
        </is>
      </c>
      <c r="F47" t="inlineStr">
        <is>
          <t>Affiliate</t>
        </is>
      </c>
      <c r="G47" t="inlineStr">
        <is>
          <t>Mobile App</t>
        </is>
      </c>
      <c r="H47" t="inlineStr">
        <is>
          <t>Cash on Delivery</t>
        </is>
      </c>
      <c r="I47" t="inlineStr">
        <is>
          <t>Delivered</t>
        </is>
      </c>
      <c r="J47" t="n">
        <v>115</v>
      </c>
      <c r="K47" t="n">
        <v>1</v>
      </c>
      <c r="L47" s="7" t="n">
        <v>4199</v>
      </c>
      <c r="M47" s="7" t="n">
        <v>0</v>
      </c>
    </row>
    <row r="48">
      <c r="A48" t="n">
        <v>509335</v>
      </c>
      <c r="B48" s="6" t="n">
        <v>45932</v>
      </c>
      <c r="C48" t="n">
        <v>14133</v>
      </c>
      <c r="D48" t="inlineStr">
        <is>
          <t>Bengaluru</t>
        </is>
      </c>
      <c r="E48" t="inlineStr">
        <is>
          <t>South</t>
        </is>
      </c>
      <c r="F48" t="inlineStr">
        <is>
          <t>Referral</t>
        </is>
      </c>
      <c r="G48" t="inlineStr">
        <is>
          <t>Mobile Web</t>
        </is>
      </c>
      <c r="H48" t="inlineStr">
        <is>
          <t>Cash on Delivery</t>
        </is>
      </c>
      <c r="I48" t="inlineStr">
        <is>
          <t>Delivered</t>
        </is>
      </c>
      <c r="J48" t="n">
        <v>104</v>
      </c>
      <c r="K48" t="n">
        <v>1</v>
      </c>
      <c r="L48" s="7" t="n">
        <v>5249</v>
      </c>
      <c r="M48" s="7" t="n">
        <v>0</v>
      </c>
    </row>
    <row r="49">
      <c r="A49" t="n">
        <v>509336</v>
      </c>
      <c r="B49" s="6" t="n">
        <v>45932</v>
      </c>
      <c r="C49" t="n">
        <v>13869</v>
      </c>
      <c r="D49" t="inlineStr">
        <is>
          <t>Chandigarh</t>
        </is>
      </c>
      <c r="E49" t="inlineStr">
        <is>
          <t>North</t>
        </is>
      </c>
      <c r="F49" t="inlineStr">
        <is>
          <t>Organic Search</t>
        </is>
      </c>
      <c r="G49" t="inlineStr">
        <is>
          <t>Mobile App</t>
        </is>
      </c>
      <c r="H49" t="inlineStr">
        <is>
          <t>UPI</t>
        </is>
      </c>
      <c r="I49" t="inlineStr">
        <is>
          <t>Delivered</t>
        </is>
      </c>
      <c r="J49" t="n">
        <v>140</v>
      </c>
      <c r="K49" t="n">
        <v>1</v>
      </c>
      <c r="L49" s="7" t="n">
        <v>629</v>
      </c>
      <c r="M49" s="7" t="n">
        <v>0</v>
      </c>
    </row>
    <row r="50">
      <c r="A50" t="n">
        <v>509337</v>
      </c>
      <c r="B50" s="6" t="n">
        <v>45932</v>
      </c>
      <c r="C50" t="n">
        <v>16564</v>
      </c>
      <c r="D50" t="inlineStr">
        <is>
          <t>Hyderabad</t>
        </is>
      </c>
      <c r="E50" t="inlineStr">
        <is>
          <t>South</t>
        </is>
      </c>
      <c r="F50" t="inlineStr">
        <is>
          <t>Organic Search</t>
        </is>
      </c>
      <c r="G50" t="inlineStr">
        <is>
          <t>Mobile App</t>
        </is>
      </c>
      <c r="H50" t="inlineStr">
        <is>
          <t>Debit Card</t>
        </is>
      </c>
      <c r="I50" t="inlineStr">
        <is>
          <t>Delivered</t>
        </is>
      </c>
      <c r="J50" t="n">
        <v>114</v>
      </c>
      <c r="K50" t="n">
        <v>1</v>
      </c>
      <c r="L50" s="7" t="n">
        <v>1259</v>
      </c>
      <c r="M50" s="7" t="n">
        <v>0</v>
      </c>
    </row>
    <row r="51">
      <c r="A51" t="n">
        <v>509338</v>
      </c>
      <c r="B51" s="6" t="n">
        <v>45932</v>
      </c>
      <c r="C51" t="n">
        <v>14958</v>
      </c>
      <c r="D51" t="inlineStr">
        <is>
          <t>Kolkata</t>
        </is>
      </c>
      <c r="E51" t="inlineStr">
        <is>
          <t>East</t>
        </is>
      </c>
      <c r="F51" t="inlineStr">
        <is>
          <t>Organic Search</t>
        </is>
      </c>
      <c r="G51" t="inlineStr">
        <is>
          <t>Mobile Web</t>
        </is>
      </c>
      <c r="H51" t="inlineStr">
        <is>
          <t>Cash on Delivery</t>
        </is>
      </c>
      <c r="I51" t="inlineStr">
        <is>
          <t>Delivered</t>
        </is>
      </c>
      <c r="J51" t="n">
        <v>118</v>
      </c>
      <c r="K51" t="n">
        <v>1</v>
      </c>
      <c r="L51" s="7" t="n">
        <v>944</v>
      </c>
      <c r="M51" s="7" t="n">
        <v>0</v>
      </c>
    </row>
    <row r="52">
      <c r="A52" t="n">
        <v>509338</v>
      </c>
      <c r="B52" s="6" t="n">
        <v>45932</v>
      </c>
      <c r="C52" t="n">
        <v>14958</v>
      </c>
      <c r="D52" t="inlineStr">
        <is>
          <t>Kolkata</t>
        </is>
      </c>
      <c r="E52" t="inlineStr">
        <is>
          <t>East</t>
        </is>
      </c>
      <c r="F52" t="inlineStr">
        <is>
          <t>Organic Search</t>
        </is>
      </c>
      <c r="G52" t="inlineStr">
        <is>
          <t>Mobile Web</t>
        </is>
      </c>
      <c r="H52" t="inlineStr">
        <is>
          <t>Cash on Delivery</t>
        </is>
      </c>
      <c r="I52" t="inlineStr">
        <is>
          <t>Delivered</t>
        </is>
      </c>
      <c r="J52" t="n">
        <v>137</v>
      </c>
      <c r="K52" t="n">
        <v>1</v>
      </c>
      <c r="L52" s="7" t="n">
        <v>261</v>
      </c>
      <c r="M52" s="7" t="n">
        <v>0</v>
      </c>
    </row>
    <row r="53">
      <c r="A53" t="n">
        <v>509339</v>
      </c>
      <c r="B53" s="6" t="n">
        <v>45932</v>
      </c>
      <c r="C53" t="n">
        <v>13007</v>
      </c>
      <c r="D53" t="inlineStr">
        <is>
          <t>Bengaluru</t>
        </is>
      </c>
      <c r="E53" t="inlineStr">
        <is>
          <t>South</t>
        </is>
      </c>
      <c r="F53" t="inlineStr">
        <is>
          <t>Email</t>
        </is>
      </c>
      <c r="G53" t="inlineStr">
        <is>
          <t>Mobile App</t>
        </is>
      </c>
      <c r="H53" t="inlineStr">
        <is>
          <t>Cash on Delivery</t>
        </is>
      </c>
      <c r="I53" t="inlineStr">
        <is>
          <t>Delivered</t>
        </is>
      </c>
      <c r="J53" t="n">
        <v>107</v>
      </c>
      <c r="K53" t="n">
        <v>1</v>
      </c>
      <c r="L53" s="7" t="n">
        <v>1259</v>
      </c>
      <c r="M53" s="7" t="n">
        <v>0</v>
      </c>
    </row>
    <row r="54">
      <c r="A54" t="n">
        <v>509339</v>
      </c>
      <c r="B54" s="6" t="n">
        <v>45932</v>
      </c>
      <c r="C54" t="n">
        <v>13007</v>
      </c>
      <c r="D54" t="inlineStr">
        <is>
          <t>Bengaluru</t>
        </is>
      </c>
      <c r="E54" t="inlineStr">
        <is>
          <t>South</t>
        </is>
      </c>
      <c r="F54" t="inlineStr">
        <is>
          <t>Email</t>
        </is>
      </c>
      <c r="G54" t="inlineStr">
        <is>
          <t>Mobile App</t>
        </is>
      </c>
      <c r="H54" t="inlineStr">
        <is>
          <t>Cash on Delivery</t>
        </is>
      </c>
      <c r="I54" t="inlineStr">
        <is>
          <t>Delivered</t>
        </is>
      </c>
      <c r="J54" t="n">
        <v>141</v>
      </c>
      <c r="K54" t="n">
        <v>1</v>
      </c>
      <c r="L54" s="7" t="n">
        <v>261</v>
      </c>
      <c r="M54" s="7" t="n">
        <v>0</v>
      </c>
    </row>
    <row r="55">
      <c r="A55" t="n">
        <v>509340</v>
      </c>
      <c r="B55" s="6" t="n">
        <v>45932</v>
      </c>
      <c r="C55" t="n">
        <v>15304</v>
      </c>
      <c r="D55" t="inlineStr">
        <is>
          <t>Bengaluru</t>
        </is>
      </c>
      <c r="E55" t="inlineStr">
        <is>
          <t>South</t>
        </is>
      </c>
      <c r="F55" t="inlineStr">
        <is>
          <t>Organic Search</t>
        </is>
      </c>
      <c r="G55" t="inlineStr">
        <is>
          <t>Desktop</t>
        </is>
      </c>
      <c r="H55" t="inlineStr">
        <is>
          <t>UPI</t>
        </is>
      </c>
      <c r="I55" t="inlineStr">
        <is>
          <t>Delivered</t>
        </is>
      </c>
      <c r="J55" t="n">
        <v>107</v>
      </c>
      <c r="K55" t="n">
        <v>1</v>
      </c>
      <c r="L55" s="7" t="n">
        <v>1259</v>
      </c>
      <c r="M55" s="7" t="n">
        <v>0</v>
      </c>
    </row>
    <row r="56">
      <c r="A56" t="n">
        <v>509341</v>
      </c>
      <c r="B56" s="6" t="n">
        <v>45932</v>
      </c>
      <c r="C56" t="n">
        <v>16570</v>
      </c>
      <c r="D56" t="inlineStr">
        <is>
          <t>Chennai</t>
        </is>
      </c>
      <c r="E56" t="inlineStr">
        <is>
          <t>South</t>
        </is>
      </c>
      <c r="F56" t="inlineStr">
        <is>
          <t>Organic Search</t>
        </is>
      </c>
      <c r="G56" t="inlineStr">
        <is>
          <t>Desktop</t>
        </is>
      </c>
      <c r="H56" t="inlineStr">
        <is>
          <t>Cash on Delivery</t>
        </is>
      </c>
      <c r="I56" t="inlineStr">
        <is>
          <t>Delivered</t>
        </is>
      </c>
      <c r="J56" t="n">
        <v>131</v>
      </c>
      <c r="K56" t="n">
        <v>1</v>
      </c>
      <c r="L56" s="7" t="n">
        <v>314</v>
      </c>
      <c r="M56" s="7" t="n">
        <v>0</v>
      </c>
    </row>
    <row r="57">
      <c r="A57" t="n">
        <v>509342</v>
      </c>
      <c r="B57" s="6" t="n">
        <v>45932</v>
      </c>
      <c r="C57" t="n">
        <v>16194</v>
      </c>
      <c r="D57" t="inlineStr">
        <is>
          <t>Bengaluru</t>
        </is>
      </c>
      <c r="E57" t="inlineStr">
        <is>
          <t>South</t>
        </is>
      </c>
      <c r="F57" t="inlineStr">
        <is>
          <t>Referral</t>
        </is>
      </c>
      <c r="G57" t="inlineStr">
        <is>
          <t>Mobile Web</t>
        </is>
      </c>
      <c r="H57" t="inlineStr">
        <is>
          <t>Net Banking</t>
        </is>
      </c>
      <c r="I57" t="inlineStr">
        <is>
          <t>Delivered</t>
        </is>
      </c>
      <c r="J57" t="n">
        <v>114</v>
      </c>
      <c r="K57" t="n">
        <v>2</v>
      </c>
      <c r="L57" s="7" t="n">
        <v>1259</v>
      </c>
      <c r="M57" s="7" t="n">
        <v>0</v>
      </c>
    </row>
    <row r="58">
      <c r="A58" t="n">
        <v>509343</v>
      </c>
      <c r="B58" s="6" t="n">
        <v>45932</v>
      </c>
      <c r="C58" t="n">
        <v>15253</v>
      </c>
      <c r="D58" t="inlineStr">
        <is>
          <t>Mumbai</t>
        </is>
      </c>
      <c r="E58" t="inlineStr">
        <is>
          <t>West</t>
        </is>
      </c>
      <c r="F58" t="inlineStr">
        <is>
          <t>Paid Social</t>
        </is>
      </c>
      <c r="G58" t="inlineStr">
        <is>
          <t>Mobile App</t>
        </is>
      </c>
      <c r="H58" t="inlineStr">
        <is>
          <t>UPI</t>
        </is>
      </c>
      <c r="I58" t="inlineStr">
        <is>
          <t>Delivered</t>
        </is>
      </c>
      <c r="J58" t="n">
        <v>137</v>
      </c>
      <c r="K58" t="n">
        <v>1</v>
      </c>
      <c r="L58" s="7" t="n">
        <v>261</v>
      </c>
      <c r="M58" s="7" t="n">
        <v>0</v>
      </c>
    </row>
    <row r="59">
      <c r="A59" t="n">
        <v>509343</v>
      </c>
      <c r="B59" s="6" t="n">
        <v>45932</v>
      </c>
      <c r="C59" t="n">
        <v>15253</v>
      </c>
      <c r="D59" t="inlineStr">
        <is>
          <t>Mumbai</t>
        </is>
      </c>
      <c r="E59" t="inlineStr">
        <is>
          <t>West</t>
        </is>
      </c>
      <c r="F59" t="inlineStr">
        <is>
          <t>Paid Social</t>
        </is>
      </c>
      <c r="G59" t="inlineStr">
        <is>
          <t>Mobile App</t>
        </is>
      </c>
      <c r="H59" t="inlineStr">
        <is>
          <t>UPI</t>
        </is>
      </c>
      <c r="I59" t="inlineStr">
        <is>
          <t>Delivered</t>
        </is>
      </c>
      <c r="J59" t="n">
        <v>147</v>
      </c>
      <c r="K59" t="n">
        <v>3</v>
      </c>
      <c r="L59" s="7" t="n">
        <v>1364</v>
      </c>
      <c r="M59" s="7" t="n">
        <v>0</v>
      </c>
    </row>
    <row r="60">
      <c r="A60" t="n">
        <v>509343</v>
      </c>
      <c r="B60" s="6" t="n">
        <v>45932</v>
      </c>
      <c r="C60" t="n">
        <v>15253</v>
      </c>
      <c r="D60" t="inlineStr">
        <is>
          <t>Mumbai</t>
        </is>
      </c>
      <c r="E60" t="inlineStr">
        <is>
          <t>West</t>
        </is>
      </c>
      <c r="F60" t="inlineStr">
        <is>
          <t>Paid Social</t>
        </is>
      </c>
      <c r="G60" t="inlineStr">
        <is>
          <t>Mobile App</t>
        </is>
      </c>
      <c r="H60" t="inlineStr">
        <is>
          <t>UPI</t>
        </is>
      </c>
      <c r="I60" t="inlineStr">
        <is>
          <t>Delivered</t>
        </is>
      </c>
      <c r="J60" t="n">
        <v>107</v>
      </c>
      <c r="K60" t="n">
        <v>1</v>
      </c>
      <c r="L60" s="7" t="n">
        <v>1259</v>
      </c>
      <c r="M60" s="7" t="n">
        <v>0</v>
      </c>
    </row>
    <row r="61">
      <c r="A61" t="n">
        <v>509344</v>
      </c>
      <c r="B61" s="6" t="n">
        <v>45932</v>
      </c>
      <c r="C61" t="n">
        <v>16550</v>
      </c>
      <c r="D61" t="inlineStr">
        <is>
          <t>Ahmedabad</t>
        </is>
      </c>
      <c r="E61" t="inlineStr">
        <is>
          <t>West</t>
        </is>
      </c>
      <c r="F61" t="inlineStr">
        <is>
          <t>Affiliate</t>
        </is>
      </c>
      <c r="G61" t="inlineStr">
        <is>
          <t>Mobile Web</t>
        </is>
      </c>
      <c r="H61" t="inlineStr">
        <is>
          <t>UPI</t>
        </is>
      </c>
      <c r="I61" t="inlineStr">
        <is>
          <t>Delivered</t>
        </is>
      </c>
      <c r="J61" t="n">
        <v>134</v>
      </c>
      <c r="K61" t="n">
        <v>2</v>
      </c>
      <c r="L61" s="7" t="n">
        <v>209</v>
      </c>
      <c r="M61" s="7" t="n">
        <v>62.7</v>
      </c>
    </row>
    <row r="62">
      <c r="A62" t="n">
        <v>509344</v>
      </c>
      <c r="B62" s="6" t="n">
        <v>45932</v>
      </c>
      <c r="C62" t="n">
        <v>16550</v>
      </c>
      <c r="D62" t="inlineStr">
        <is>
          <t>Ahmedabad</t>
        </is>
      </c>
      <c r="E62" t="inlineStr">
        <is>
          <t>West</t>
        </is>
      </c>
      <c r="F62" t="inlineStr">
        <is>
          <t>Affiliate</t>
        </is>
      </c>
      <c r="G62" t="inlineStr">
        <is>
          <t>Mobile Web</t>
        </is>
      </c>
      <c r="H62" t="inlineStr">
        <is>
          <t>UPI</t>
        </is>
      </c>
      <c r="I62" t="inlineStr">
        <is>
          <t>Delivered</t>
        </is>
      </c>
      <c r="J62" t="n">
        <v>145</v>
      </c>
      <c r="K62" t="n">
        <v>1</v>
      </c>
      <c r="L62" s="7" t="n">
        <v>629</v>
      </c>
      <c r="M62" s="7" t="n">
        <v>94.34999999999999</v>
      </c>
    </row>
    <row r="63">
      <c r="A63" t="n">
        <v>509345</v>
      </c>
      <c r="B63" s="6" t="n">
        <v>45932</v>
      </c>
      <c r="C63" t="n">
        <v>13506</v>
      </c>
      <c r="D63" t="inlineStr">
        <is>
          <t>Delhi</t>
        </is>
      </c>
      <c r="E63" t="inlineStr">
        <is>
          <t>North</t>
        </is>
      </c>
      <c r="F63" t="inlineStr">
        <is>
          <t>Organic Search</t>
        </is>
      </c>
      <c r="G63" t="inlineStr">
        <is>
          <t>Mobile App</t>
        </is>
      </c>
      <c r="H63" t="inlineStr">
        <is>
          <t>UPI</t>
        </is>
      </c>
      <c r="I63" t="inlineStr">
        <is>
          <t>Delivered</t>
        </is>
      </c>
      <c r="J63" t="n">
        <v>143</v>
      </c>
      <c r="K63" t="n">
        <v>1</v>
      </c>
      <c r="L63" s="7" t="n">
        <v>839</v>
      </c>
      <c r="M63" s="7" t="n">
        <v>0</v>
      </c>
    </row>
    <row r="64">
      <c r="A64" t="n">
        <v>509345</v>
      </c>
      <c r="B64" s="6" t="n">
        <v>45932</v>
      </c>
      <c r="C64" t="n">
        <v>13506</v>
      </c>
      <c r="D64" t="inlineStr">
        <is>
          <t>Delhi</t>
        </is>
      </c>
      <c r="E64" t="inlineStr">
        <is>
          <t>North</t>
        </is>
      </c>
      <c r="F64" t="inlineStr">
        <is>
          <t>Organic Search</t>
        </is>
      </c>
      <c r="G64" t="inlineStr">
        <is>
          <t>Mobile App</t>
        </is>
      </c>
      <c r="H64" t="inlineStr">
        <is>
          <t>UPI</t>
        </is>
      </c>
      <c r="I64" t="inlineStr">
        <is>
          <t>Delivered</t>
        </is>
      </c>
      <c r="J64" t="n">
        <v>137</v>
      </c>
      <c r="K64" t="n">
        <v>1</v>
      </c>
      <c r="L64" s="7" t="n">
        <v>261</v>
      </c>
      <c r="M64" s="7" t="n">
        <v>0</v>
      </c>
    </row>
    <row r="65">
      <c r="A65" t="n">
        <v>509346</v>
      </c>
      <c r="B65" s="6" t="n">
        <v>45932</v>
      </c>
      <c r="C65" t="n">
        <v>16334</v>
      </c>
      <c r="D65" t="inlineStr">
        <is>
          <t>Bengaluru</t>
        </is>
      </c>
      <c r="E65" t="inlineStr">
        <is>
          <t>South</t>
        </is>
      </c>
      <c r="F65" t="inlineStr">
        <is>
          <t>Affiliate</t>
        </is>
      </c>
      <c r="G65" t="inlineStr">
        <is>
          <t>Mobile App</t>
        </is>
      </c>
      <c r="H65" t="inlineStr">
        <is>
          <t>Cash on Delivery</t>
        </is>
      </c>
      <c r="I65" t="inlineStr">
        <is>
          <t>Delivered</t>
        </is>
      </c>
      <c r="J65" t="n">
        <v>117</v>
      </c>
      <c r="K65" t="n">
        <v>1</v>
      </c>
      <c r="L65" s="7" t="n">
        <v>3149</v>
      </c>
      <c r="M65" s="7" t="n">
        <v>0</v>
      </c>
    </row>
    <row r="66">
      <c r="A66" t="n">
        <v>509346</v>
      </c>
      <c r="B66" s="6" t="n">
        <v>45932</v>
      </c>
      <c r="C66" t="n">
        <v>16334</v>
      </c>
      <c r="D66" t="inlineStr">
        <is>
          <t>Bengaluru</t>
        </is>
      </c>
      <c r="E66" t="inlineStr">
        <is>
          <t>South</t>
        </is>
      </c>
      <c r="F66" t="inlineStr">
        <is>
          <t>Affiliate</t>
        </is>
      </c>
      <c r="G66" t="inlineStr">
        <is>
          <t>Mobile App</t>
        </is>
      </c>
      <c r="H66" t="inlineStr">
        <is>
          <t>Cash on Delivery</t>
        </is>
      </c>
      <c r="I66" t="inlineStr">
        <is>
          <t>Delivered</t>
        </is>
      </c>
      <c r="J66" t="n">
        <v>114</v>
      </c>
      <c r="K66" t="n">
        <v>3</v>
      </c>
      <c r="L66" s="7" t="n">
        <v>1259</v>
      </c>
      <c r="M66" s="7" t="n">
        <v>0</v>
      </c>
    </row>
    <row r="67">
      <c r="A67" t="n">
        <v>509347</v>
      </c>
      <c r="B67" s="6" t="n">
        <v>45932</v>
      </c>
      <c r="C67" t="n">
        <v>13962</v>
      </c>
      <c r="D67" t="inlineStr">
        <is>
          <t>Lucknow</t>
        </is>
      </c>
      <c r="E67" t="inlineStr">
        <is>
          <t>North</t>
        </is>
      </c>
      <c r="F67" t="inlineStr">
        <is>
          <t>Email</t>
        </is>
      </c>
      <c r="G67" t="inlineStr">
        <is>
          <t>Mobile App</t>
        </is>
      </c>
      <c r="H67" t="inlineStr">
        <is>
          <t>UPI</t>
        </is>
      </c>
      <c r="I67" t="inlineStr">
        <is>
          <t>Delivered</t>
        </is>
      </c>
      <c r="J67" t="n">
        <v>147</v>
      </c>
      <c r="K67" t="n">
        <v>1</v>
      </c>
      <c r="L67" s="7" t="n">
        <v>1364</v>
      </c>
      <c r="M67" s="7" t="n">
        <v>0</v>
      </c>
    </row>
    <row r="68">
      <c r="A68" t="n">
        <v>509348</v>
      </c>
      <c r="B68" s="6" t="n">
        <v>45932</v>
      </c>
      <c r="C68" t="n">
        <v>16039</v>
      </c>
      <c r="D68" t="inlineStr">
        <is>
          <t>Gurugram</t>
        </is>
      </c>
      <c r="E68" t="inlineStr">
        <is>
          <t>North</t>
        </is>
      </c>
      <c r="F68" t="inlineStr">
        <is>
          <t>Organic Search</t>
        </is>
      </c>
      <c r="G68" t="inlineStr">
        <is>
          <t>Mobile Web</t>
        </is>
      </c>
      <c r="H68" t="inlineStr">
        <is>
          <t>Cash on Delivery</t>
        </is>
      </c>
      <c r="I68" t="inlineStr">
        <is>
          <t>Delivered</t>
        </is>
      </c>
      <c r="J68" t="n">
        <v>111</v>
      </c>
      <c r="K68" t="n">
        <v>1</v>
      </c>
      <c r="L68" s="7" t="n">
        <v>524</v>
      </c>
      <c r="M68" s="7" t="n">
        <v>0</v>
      </c>
    </row>
    <row r="69">
      <c r="A69" t="n">
        <v>509349</v>
      </c>
      <c r="B69" s="6" t="n">
        <v>45932</v>
      </c>
      <c r="C69" t="n">
        <v>16589</v>
      </c>
      <c r="D69" t="inlineStr">
        <is>
          <t>Mumbai</t>
        </is>
      </c>
      <c r="E69" t="inlineStr">
        <is>
          <t>West</t>
        </is>
      </c>
      <c r="F69" t="inlineStr">
        <is>
          <t>Paid Search</t>
        </is>
      </c>
      <c r="G69" t="inlineStr">
        <is>
          <t>Mobile Web</t>
        </is>
      </c>
      <c r="H69" t="inlineStr">
        <is>
          <t>Net Banking</t>
        </is>
      </c>
      <c r="I69" t="inlineStr">
        <is>
          <t>Returned</t>
        </is>
      </c>
      <c r="J69" t="n">
        <v>111</v>
      </c>
      <c r="K69" t="n">
        <v>2</v>
      </c>
      <c r="L69" s="7" t="n">
        <v>524</v>
      </c>
      <c r="M69" s="7" t="n">
        <v>0</v>
      </c>
    </row>
    <row r="70">
      <c r="A70" t="n">
        <v>509349</v>
      </c>
      <c r="B70" s="6" t="n">
        <v>45932</v>
      </c>
      <c r="C70" t="n">
        <v>16589</v>
      </c>
      <c r="D70" t="inlineStr">
        <is>
          <t>Mumbai</t>
        </is>
      </c>
      <c r="E70" t="inlineStr">
        <is>
          <t>West</t>
        </is>
      </c>
      <c r="F70" t="inlineStr">
        <is>
          <t>Paid Search</t>
        </is>
      </c>
      <c r="G70" t="inlineStr">
        <is>
          <t>Mobile Web</t>
        </is>
      </c>
      <c r="H70" t="inlineStr">
        <is>
          <t>Net Banking</t>
        </is>
      </c>
      <c r="I70" t="inlineStr">
        <is>
          <t>Returned</t>
        </is>
      </c>
      <c r="J70" t="n">
        <v>123</v>
      </c>
      <c r="K70" t="n">
        <v>1</v>
      </c>
      <c r="L70" s="7" t="n">
        <v>3464</v>
      </c>
      <c r="M70" s="7" t="n">
        <v>0</v>
      </c>
    </row>
    <row r="71">
      <c r="A71" t="n">
        <v>509350</v>
      </c>
      <c r="B71" s="6" t="n">
        <v>45932</v>
      </c>
      <c r="C71" t="n">
        <v>16236</v>
      </c>
      <c r="D71" t="inlineStr">
        <is>
          <t>Lucknow</t>
        </is>
      </c>
      <c r="E71" t="inlineStr">
        <is>
          <t>North</t>
        </is>
      </c>
      <c r="F71" t="inlineStr">
        <is>
          <t>Email</t>
        </is>
      </c>
      <c r="G71" t="inlineStr">
        <is>
          <t>Mobile Web</t>
        </is>
      </c>
      <c r="H71" t="inlineStr">
        <is>
          <t>UPI</t>
        </is>
      </c>
      <c r="I71" t="inlineStr">
        <is>
          <t>Delivered</t>
        </is>
      </c>
      <c r="J71" t="n">
        <v>111</v>
      </c>
      <c r="K71" t="n">
        <v>2</v>
      </c>
      <c r="L71" s="7" t="n">
        <v>524</v>
      </c>
      <c r="M71" s="7" t="n">
        <v>0</v>
      </c>
    </row>
    <row r="72">
      <c r="A72" t="n">
        <v>509350</v>
      </c>
      <c r="B72" s="6" t="n">
        <v>45932</v>
      </c>
      <c r="C72" t="n">
        <v>16236</v>
      </c>
      <c r="D72" t="inlineStr">
        <is>
          <t>Lucknow</t>
        </is>
      </c>
      <c r="E72" t="inlineStr">
        <is>
          <t>North</t>
        </is>
      </c>
      <c r="F72" t="inlineStr">
        <is>
          <t>Email</t>
        </is>
      </c>
      <c r="G72" t="inlineStr">
        <is>
          <t>Mobile Web</t>
        </is>
      </c>
      <c r="H72" t="inlineStr">
        <is>
          <t>UPI</t>
        </is>
      </c>
      <c r="I72" t="inlineStr">
        <is>
          <t>Delivered</t>
        </is>
      </c>
      <c r="J72" t="n">
        <v>147</v>
      </c>
      <c r="K72" t="n">
        <v>1</v>
      </c>
      <c r="L72" s="7" t="n">
        <v>1364</v>
      </c>
      <c r="M72" s="7" t="n">
        <v>0</v>
      </c>
    </row>
    <row r="73">
      <c r="A73" t="n">
        <v>509351</v>
      </c>
      <c r="B73" s="6" t="n">
        <v>45932</v>
      </c>
      <c r="C73" t="n">
        <v>16475</v>
      </c>
      <c r="D73" t="inlineStr">
        <is>
          <t>Hyderabad</t>
        </is>
      </c>
      <c r="E73" t="inlineStr">
        <is>
          <t>South</t>
        </is>
      </c>
      <c r="F73" t="inlineStr">
        <is>
          <t>Paid Social</t>
        </is>
      </c>
      <c r="G73" t="inlineStr">
        <is>
          <t>Mobile Web</t>
        </is>
      </c>
      <c r="H73" t="inlineStr">
        <is>
          <t>UPI</t>
        </is>
      </c>
      <c r="I73" t="inlineStr">
        <is>
          <t>Delivered</t>
        </is>
      </c>
      <c r="J73" t="n">
        <v>134</v>
      </c>
      <c r="K73" t="n">
        <v>2</v>
      </c>
      <c r="L73" s="7" t="n">
        <v>209</v>
      </c>
      <c r="M73" s="7" t="n">
        <v>0</v>
      </c>
    </row>
    <row r="74">
      <c r="A74" t="n">
        <v>509352</v>
      </c>
      <c r="B74" s="6" t="n">
        <v>45932</v>
      </c>
      <c r="C74" t="n">
        <v>14662</v>
      </c>
      <c r="D74" t="inlineStr">
        <is>
          <t>Delhi</t>
        </is>
      </c>
      <c r="E74" t="inlineStr">
        <is>
          <t>North</t>
        </is>
      </c>
      <c r="F74" t="inlineStr">
        <is>
          <t>Referral</t>
        </is>
      </c>
      <c r="G74" t="inlineStr">
        <is>
          <t>Mobile App</t>
        </is>
      </c>
      <c r="H74" t="inlineStr">
        <is>
          <t>Credit Card</t>
        </is>
      </c>
      <c r="I74" t="inlineStr">
        <is>
          <t>Delivered</t>
        </is>
      </c>
      <c r="J74" t="n">
        <v>104</v>
      </c>
      <c r="K74" t="n">
        <v>1</v>
      </c>
      <c r="L74" s="7" t="n">
        <v>5249</v>
      </c>
      <c r="M74" s="7" t="n">
        <v>262.45</v>
      </c>
    </row>
    <row r="75">
      <c r="A75" t="n">
        <v>509353</v>
      </c>
      <c r="B75" s="6" t="n">
        <v>45932</v>
      </c>
      <c r="C75" t="n">
        <v>16565</v>
      </c>
      <c r="D75" t="inlineStr">
        <is>
          <t>Noida</t>
        </is>
      </c>
      <c r="E75" t="inlineStr">
        <is>
          <t>North</t>
        </is>
      </c>
      <c r="F75" t="inlineStr">
        <is>
          <t>Paid Social</t>
        </is>
      </c>
      <c r="G75" t="inlineStr">
        <is>
          <t>Mobile App</t>
        </is>
      </c>
      <c r="H75" t="inlineStr">
        <is>
          <t>Cash on Delivery</t>
        </is>
      </c>
      <c r="I75" t="inlineStr">
        <is>
          <t>Cancelled</t>
        </is>
      </c>
      <c r="J75" t="n">
        <v>148</v>
      </c>
      <c r="K75" t="n">
        <v>1</v>
      </c>
      <c r="L75" s="7" t="n">
        <v>734</v>
      </c>
      <c r="M75" s="7" t="n">
        <v>0</v>
      </c>
    </row>
    <row r="76">
      <c r="A76" t="n">
        <v>509354</v>
      </c>
      <c r="B76" s="6" t="n">
        <v>45933</v>
      </c>
      <c r="C76" t="n">
        <v>16377</v>
      </c>
      <c r="D76" t="inlineStr">
        <is>
          <t>Ahmedabad</t>
        </is>
      </c>
      <c r="E76" t="inlineStr">
        <is>
          <t>West</t>
        </is>
      </c>
      <c r="F76" t="inlineStr">
        <is>
          <t>Organic Search</t>
        </is>
      </c>
      <c r="G76" t="inlineStr">
        <is>
          <t>Mobile App</t>
        </is>
      </c>
      <c r="H76" t="inlineStr">
        <is>
          <t>UPI</t>
        </is>
      </c>
      <c r="I76" t="inlineStr">
        <is>
          <t>Delivered</t>
        </is>
      </c>
      <c r="J76" t="n">
        <v>118</v>
      </c>
      <c r="K76" t="n">
        <v>2</v>
      </c>
      <c r="L76" s="7" t="n">
        <v>944</v>
      </c>
      <c r="M76" s="7" t="n">
        <v>0</v>
      </c>
    </row>
    <row r="77">
      <c r="A77" t="n">
        <v>509355</v>
      </c>
      <c r="B77" s="6" t="n">
        <v>45933</v>
      </c>
      <c r="C77" t="n">
        <v>16600</v>
      </c>
      <c r="D77" t="inlineStr">
        <is>
          <t>Hyderabad</t>
        </is>
      </c>
      <c r="E77" t="inlineStr">
        <is>
          <t>South</t>
        </is>
      </c>
      <c r="F77" t="inlineStr">
        <is>
          <t>Paid Search</t>
        </is>
      </c>
      <c r="G77" t="inlineStr">
        <is>
          <t>Desktop</t>
        </is>
      </c>
      <c r="H77" t="inlineStr">
        <is>
          <t>UPI</t>
        </is>
      </c>
      <c r="I77" t="inlineStr">
        <is>
          <t>Delivered</t>
        </is>
      </c>
      <c r="J77" t="n">
        <v>124</v>
      </c>
      <c r="K77" t="n">
        <v>3</v>
      </c>
      <c r="L77" s="7" t="n">
        <v>1154</v>
      </c>
      <c r="M77" s="7" t="n">
        <v>0</v>
      </c>
    </row>
    <row r="78">
      <c r="A78" t="n">
        <v>509355</v>
      </c>
      <c r="B78" s="6" t="n">
        <v>45933</v>
      </c>
      <c r="C78" t="n">
        <v>16600</v>
      </c>
      <c r="D78" t="inlineStr">
        <is>
          <t>Hyderabad</t>
        </is>
      </c>
      <c r="E78" t="inlineStr">
        <is>
          <t>South</t>
        </is>
      </c>
      <c r="F78" t="inlineStr">
        <is>
          <t>Paid Search</t>
        </is>
      </c>
      <c r="G78" t="inlineStr">
        <is>
          <t>Desktop</t>
        </is>
      </c>
      <c r="H78" t="inlineStr">
        <is>
          <t>UPI</t>
        </is>
      </c>
      <c r="I78" t="inlineStr">
        <is>
          <t>Delivered</t>
        </is>
      </c>
      <c r="J78" t="n">
        <v>116</v>
      </c>
      <c r="K78" t="n">
        <v>1</v>
      </c>
      <c r="L78" s="7" t="n">
        <v>2624</v>
      </c>
      <c r="M78" s="7" t="n">
        <v>0</v>
      </c>
    </row>
    <row r="79">
      <c r="A79" t="n">
        <v>509356</v>
      </c>
      <c r="B79" s="6" t="n">
        <v>45933</v>
      </c>
      <c r="C79" t="n">
        <v>16604</v>
      </c>
      <c r="D79" t="inlineStr">
        <is>
          <t>Bengaluru</t>
        </is>
      </c>
      <c r="E79" t="inlineStr">
        <is>
          <t>South</t>
        </is>
      </c>
      <c r="F79" t="inlineStr">
        <is>
          <t>Paid Search</t>
        </is>
      </c>
      <c r="G79" t="inlineStr">
        <is>
          <t>Mobile Web</t>
        </is>
      </c>
      <c r="H79" t="inlineStr">
        <is>
          <t>Cash on Delivery</t>
        </is>
      </c>
      <c r="I79" t="inlineStr">
        <is>
          <t>Delivered</t>
        </is>
      </c>
      <c r="J79" t="n">
        <v>108</v>
      </c>
      <c r="K79" t="n">
        <v>1</v>
      </c>
      <c r="L79" s="7" t="n">
        <v>419</v>
      </c>
      <c r="M79" s="7" t="n">
        <v>62.85</v>
      </c>
    </row>
    <row r="80">
      <c r="A80" t="n">
        <v>509357</v>
      </c>
      <c r="B80" s="6" t="n">
        <v>45933</v>
      </c>
      <c r="C80" t="n">
        <v>16449</v>
      </c>
      <c r="D80" t="inlineStr">
        <is>
          <t>Jaipur</t>
        </is>
      </c>
      <c r="E80" t="inlineStr">
        <is>
          <t>North</t>
        </is>
      </c>
      <c r="F80" t="inlineStr">
        <is>
          <t>Affiliate</t>
        </is>
      </c>
      <c r="G80" t="inlineStr">
        <is>
          <t>Mobile Web</t>
        </is>
      </c>
      <c r="H80" t="inlineStr">
        <is>
          <t>Debit Card</t>
        </is>
      </c>
      <c r="I80" t="inlineStr">
        <is>
          <t>Delivered</t>
        </is>
      </c>
      <c r="J80" t="n">
        <v>130</v>
      </c>
      <c r="K80" t="n">
        <v>1</v>
      </c>
      <c r="L80" s="7" t="n">
        <v>734</v>
      </c>
      <c r="M80" s="7" t="n">
        <v>0</v>
      </c>
    </row>
    <row r="81">
      <c r="A81" t="n">
        <v>509358</v>
      </c>
      <c r="B81" s="6" t="n">
        <v>45933</v>
      </c>
      <c r="C81" t="n">
        <v>16577</v>
      </c>
      <c r="D81" t="inlineStr">
        <is>
          <t>Chennai</t>
        </is>
      </c>
      <c r="E81" t="inlineStr">
        <is>
          <t>South</t>
        </is>
      </c>
      <c r="F81" t="inlineStr">
        <is>
          <t>Referral</t>
        </is>
      </c>
      <c r="G81" t="inlineStr">
        <is>
          <t>Mobile App</t>
        </is>
      </c>
      <c r="H81" t="inlineStr">
        <is>
          <t>UPI</t>
        </is>
      </c>
      <c r="I81" t="inlineStr">
        <is>
          <t>Delivered</t>
        </is>
      </c>
      <c r="J81" t="n">
        <v>137</v>
      </c>
      <c r="K81" t="n">
        <v>1</v>
      </c>
      <c r="L81" s="7" t="n">
        <v>261</v>
      </c>
      <c r="M81" s="7" t="n">
        <v>0</v>
      </c>
    </row>
    <row r="82">
      <c r="A82" t="n">
        <v>509358</v>
      </c>
      <c r="B82" s="6" t="n">
        <v>45933</v>
      </c>
      <c r="C82" t="n">
        <v>16577</v>
      </c>
      <c r="D82" t="inlineStr">
        <is>
          <t>Chennai</t>
        </is>
      </c>
      <c r="E82" t="inlineStr">
        <is>
          <t>South</t>
        </is>
      </c>
      <c r="F82" t="inlineStr">
        <is>
          <t>Referral</t>
        </is>
      </c>
      <c r="G82" t="inlineStr">
        <is>
          <t>Mobile App</t>
        </is>
      </c>
      <c r="H82" t="inlineStr">
        <is>
          <t>UPI</t>
        </is>
      </c>
      <c r="I82" t="inlineStr">
        <is>
          <t>Delivered</t>
        </is>
      </c>
      <c r="J82" t="n">
        <v>109</v>
      </c>
      <c r="K82" t="n">
        <v>2</v>
      </c>
      <c r="L82" s="7" t="n">
        <v>4199</v>
      </c>
      <c r="M82" s="7" t="n">
        <v>0</v>
      </c>
    </row>
    <row r="83">
      <c r="A83" t="n">
        <v>509358</v>
      </c>
      <c r="B83" s="6" t="n">
        <v>45933</v>
      </c>
      <c r="C83" t="n">
        <v>16577</v>
      </c>
      <c r="D83" t="inlineStr">
        <is>
          <t>Chennai</t>
        </is>
      </c>
      <c r="E83" t="inlineStr">
        <is>
          <t>South</t>
        </is>
      </c>
      <c r="F83" t="inlineStr">
        <is>
          <t>Referral</t>
        </is>
      </c>
      <c r="G83" t="inlineStr">
        <is>
          <t>Mobile App</t>
        </is>
      </c>
      <c r="H83" t="inlineStr">
        <is>
          <t>UPI</t>
        </is>
      </c>
      <c r="I83" t="inlineStr">
        <is>
          <t>Delivered</t>
        </is>
      </c>
      <c r="J83" t="n">
        <v>125</v>
      </c>
      <c r="K83" t="n">
        <v>1</v>
      </c>
      <c r="L83" s="7" t="n">
        <v>1364</v>
      </c>
      <c r="M83" s="7" t="n">
        <v>0</v>
      </c>
    </row>
    <row r="84">
      <c r="A84" t="n">
        <v>509359</v>
      </c>
      <c r="B84" s="6" t="n">
        <v>45933</v>
      </c>
      <c r="C84" t="n">
        <v>16478</v>
      </c>
      <c r="D84" t="inlineStr">
        <is>
          <t>Indore</t>
        </is>
      </c>
      <c r="E84" t="inlineStr">
        <is>
          <t>West</t>
        </is>
      </c>
      <c r="F84" t="inlineStr">
        <is>
          <t>Affiliate</t>
        </is>
      </c>
      <c r="G84" t="inlineStr">
        <is>
          <t>Mobile App</t>
        </is>
      </c>
      <c r="H84" t="inlineStr">
        <is>
          <t>Credit Card</t>
        </is>
      </c>
      <c r="I84" t="inlineStr">
        <is>
          <t>Delivered</t>
        </is>
      </c>
      <c r="J84" t="n">
        <v>133</v>
      </c>
      <c r="K84" t="n">
        <v>1</v>
      </c>
      <c r="L84" s="7" t="n">
        <v>419</v>
      </c>
      <c r="M84" s="7" t="n">
        <v>0</v>
      </c>
    </row>
    <row r="85">
      <c r="A85" t="n">
        <v>509359</v>
      </c>
      <c r="B85" s="6" t="n">
        <v>45933</v>
      </c>
      <c r="C85" t="n">
        <v>16478</v>
      </c>
      <c r="D85" t="inlineStr">
        <is>
          <t>Indore</t>
        </is>
      </c>
      <c r="E85" t="inlineStr">
        <is>
          <t>West</t>
        </is>
      </c>
      <c r="F85" t="inlineStr">
        <is>
          <t>Affiliate</t>
        </is>
      </c>
      <c r="G85" t="inlineStr">
        <is>
          <t>Mobile App</t>
        </is>
      </c>
      <c r="H85" t="inlineStr">
        <is>
          <t>Credit Card</t>
        </is>
      </c>
      <c r="I85" t="inlineStr">
        <is>
          <t>Delivered</t>
        </is>
      </c>
      <c r="J85" t="n">
        <v>102</v>
      </c>
      <c r="K85" t="n">
        <v>2</v>
      </c>
      <c r="L85" s="7" t="n">
        <v>3674</v>
      </c>
      <c r="M85" s="7" t="n">
        <v>0</v>
      </c>
    </row>
    <row r="86">
      <c r="A86" t="n">
        <v>509360</v>
      </c>
      <c r="B86" s="6" t="n">
        <v>45933</v>
      </c>
      <c r="C86" t="n">
        <v>16576</v>
      </c>
      <c r="D86" t="inlineStr">
        <is>
          <t>Mumbai</t>
        </is>
      </c>
      <c r="E86" t="inlineStr">
        <is>
          <t>West</t>
        </is>
      </c>
      <c r="F86" t="inlineStr">
        <is>
          <t>Referral</t>
        </is>
      </c>
      <c r="G86" t="inlineStr">
        <is>
          <t>Mobile App</t>
        </is>
      </c>
      <c r="H86" t="inlineStr">
        <is>
          <t>Debit Card</t>
        </is>
      </c>
      <c r="I86" t="inlineStr">
        <is>
          <t>Delivered</t>
        </is>
      </c>
      <c r="J86" t="n">
        <v>113</v>
      </c>
      <c r="K86" t="n">
        <v>2</v>
      </c>
      <c r="L86" s="7" t="n">
        <v>1364</v>
      </c>
      <c r="M86" s="7" t="n">
        <v>136.4</v>
      </c>
    </row>
    <row r="87">
      <c r="A87" t="n">
        <v>509360</v>
      </c>
      <c r="B87" s="6" t="n">
        <v>45933</v>
      </c>
      <c r="C87" t="n">
        <v>16576</v>
      </c>
      <c r="D87" t="inlineStr">
        <is>
          <t>Mumbai</t>
        </is>
      </c>
      <c r="E87" t="inlineStr">
        <is>
          <t>West</t>
        </is>
      </c>
      <c r="F87" t="inlineStr">
        <is>
          <t>Referral</t>
        </is>
      </c>
      <c r="G87" t="inlineStr">
        <is>
          <t>Mobile App</t>
        </is>
      </c>
      <c r="H87" t="inlineStr">
        <is>
          <t>Debit Card</t>
        </is>
      </c>
      <c r="I87" t="inlineStr">
        <is>
          <t>Delivered</t>
        </is>
      </c>
      <c r="J87" t="n">
        <v>118</v>
      </c>
      <c r="K87" t="n">
        <v>1</v>
      </c>
      <c r="L87" s="7" t="n">
        <v>944</v>
      </c>
      <c r="M87" s="7" t="n">
        <v>47.2</v>
      </c>
    </row>
    <row r="88">
      <c r="A88" t="n">
        <v>509361</v>
      </c>
      <c r="B88" s="6" t="n">
        <v>45933</v>
      </c>
      <c r="C88" t="n">
        <v>12269</v>
      </c>
      <c r="D88" t="inlineStr">
        <is>
          <t>Kochi</t>
        </is>
      </c>
      <c r="E88" t="inlineStr">
        <is>
          <t>South</t>
        </is>
      </c>
      <c r="F88" t="inlineStr">
        <is>
          <t>Paid Search</t>
        </is>
      </c>
      <c r="G88" t="inlineStr">
        <is>
          <t>Desktop</t>
        </is>
      </c>
      <c r="H88" t="inlineStr">
        <is>
          <t>UPI</t>
        </is>
      </c>
      <c r="I88" t="inlineStr">
        <is>
          <t>Returned</t>
        </is>
      </c>
      <c r="J88" t="n">
        <v>113</v>
      </c>
      <c r="K88" t="n">
        <v>1</v>
      </c>
      <c r="L88" s="7" t="n">
        <v>1364</v>
      </c>
      <c r="M88" s="7" t="n">
        <v>0</v>
      </c>
    </row>
    <row r="89">
      <c r="A89" t="n">
        <v>509361</v>
      </c>
      <c r="B89" s="6" t="n">
        <v>45933</v>
      </c>
      <c r="C89" t="n">
        <v>12269</v>
      </c>
      <c r="D89" t="inlineStr">
        <is>
          <t>Kochi</t>
        </is>
      </c>
      <c r="E89" t="inlineStr">
        <is>
          <t>South</t>
        </is>
      </c>
      <c r="F89" t="inlineStr">
        <is>
          <t>Paid Search</t>
        </is>
      </c>
      <c r="G89" t="inlineStr">
        <is>
          <t>Desktop</t>
        </is>
      </c>
      <c r="H89" t="inlineStr">
        <is>
          <t>UPI</t>
        </is>
      </c>
      <c r="I89" t="inlineStr">
        <is>
          <t>Returned</t>
        </is>
      </c>
      <c r="J89" t="n">
        <v>141</v>
      </c>
      <c r="K89" t="n">
        <v>1</v>
      </c>
      <c r="L89" s="7" t="n">
        <v>261</v>
      </c>
      <c r="M89" s="7" t="n">
        <v>0</v>
      </c>
    </row>
    <row r="90">
      <c r="A90" t="n">
        <v>509362</v>
      </c>
      <c r="B90" s="6" t="n">
        <v>45933</v>
      </c>
      <c r="C90" t="n">
        <v>16590</v>
      </c>
      <c r="D90" t="inlineStr">
        <is>
          <t>Bengaluru</t>
        </is>
      </c>
      <c r="E90" t="inlineStr">
        <is>
          <t>South</t>
        </is>
      </c>
      <c r="F90" t="inlineStr">
        <is>
          <t>Paid Search</t>
        </is>
      </c>
      <c r="G90" t="inlineStr">
        <is>
          <t>Mobile App</t>
        </is>
      </c>
      <c r="H90" t="inlineStr">
        <is>
          <t>UPI</t>
        </is>
      </c>
      <c r="I90" t="inlineStr">
        <is>
          <t>Delivered</t>
        </is>
      </c>
      <c r="J90" t="n">
        <v>106</v>
      </c>
      <c r="K90" t="n">
        <v>1</v>
      </c>
      <c r="L90" s="7" t="n">
        <v>1574</v>
      </c>
      <c r="M90" s="7" t="n">
        <v>0</v>
      </c>
    </row>
    <row r="91">
      <c r="A91" t="n">
        <v>509362</v>
      </c>
      <c r="B91" s="6" t="n">
        <v>45933</v>
      </c>
      <c r="C91" t="n">
        <v>16590</v>
      </c>
      <c r="D91" t="inlineStr">
        <is>
          <t>Bengaluru</t>
        </is>
      </c>
      <c r="E91" t="inlineStr">
        <is>
          <t>South</t>
        </is>
      </c>
      <c r="F91" t="inlineStr">
        <is>
          <t>Paid Search</t>
        </is>
      </c>
      <c r="G91" t="inlineStr">
        <is>
          <t>Mobile App</t>
        </is>
      </c>
      <c r="H91" t="inlineStr">
        <is>
          <t>UPI</t>
        </is>
      </c>
      <c r="I91" t="inlineStr">
        <is>
          <t>Delivered</t>
        </is>
      </c>
      <c r="J91" t="n">
        <v>123</v>
      </c>
      <c r="K91" t="n">
        <v>2</v>
      </c>
      <c r="L91" s="7" t="n">
        <v>3464</v>
      </c>
      <c r="M91" s="7" t="n">
        <v>0</v>
      </c>
    </row>
    <row r="92">
      <c r="A92" t="n">
        <v>509363</v>
      </c>
      <c r="B92" s="6" t="n">
        <v>45933</v>
      </c>
      <c r="C92" t="n">
        <v>16586</v>
      </c>
      <c r="D92" t="inlineStr">
        <is>
          <t>Kochi</t>
        </is>
      </c>
      <c r="E92" t="inlineStr">
        <is>
          <t>South</t>
        </is>
      </c>
      <c r="F92" t="inlineStr">
        <is>
          <t>Organic Search</t>
        </is>
      </c>
      <c r="G92" t="inlineStr">
        <is>
          <t>Mobile App</t>
        </is>
      </c>
      <c r="H92" t="inlineStr">
        <is>
          <t>UPI</t>
        </is>
      </c>
      <c r="I92" t="inlineStr">
        <is>
          <t>Delivered</t>
        </is>
      </c>
      <c r="J92" t="n">
        <v>125</v>
      </c>
      <c r="K92" t="n">
        <v>1</v>
      </c>
      <c r="L92" s="7" t="n">
        <v>1364</v>
      </c>
      <c r="M92" s="7" t="n">
        <v>0</v>
      </c>
    </row>
    <row r="93">
      <c r="A93" t="n">
        <v>509364</v>
      </c>
      <c r="B93" s="6" t="n">
        <v>45933</v>
      </c>
      <c r="C93" t="n">
        <v>12279</v>
      </c>
      <c r="D93" t="inlineStr">
        <is>
          <t>Gurugram</t>
        </is>
      </c>
      <c r="E93" t="inlineStr">
        <is>
          <t>North</t>
        </is>
      </c>
      <c r="F93" t="inlineStr">
        <is>
          <t>Paid Social</t>
        </is>
      </c>
      <c r="G93" t="inlineStr">
        <is>
          <t>Mobile Web</t>
        </is>
      </c>
      <c r="H93" t="inlineStr">
        <is>
          <t>UPI</t>
        </is>
      </c>
      <c r="I93" t="inlineStr">
        <is>
          <t>Returned</t>
        </is>
      </c>
      <c r="J93" t="n">
        <v>114</v>
      </c>
      <c r="K93" t="n">
        <v>2</v>
      </c>
      <c r="L93" s="7" t="n">
        <v>1259</v>
      </c>
      <c r="M93" s="7" t="n">
        <v>0</v>
      </c>
    </row>
    <row r="94">
      <c r="A94" t="n">
        <v>509365</v>
      </c>
      <c r="B94" s="6" t="n">
        <v>45933</v>
      </c>
      <c r="C94" t="n">
        <v>16592</v>
      </c>
      <c r="D94" t="inlineStr">
        <is>
          <t>Chennai</t>
        </is>
      </c>
      <c r="E94" t="inlineStr">
        <is>
          <t>South</t>
        </is>
      </c>
      <c r="F94" t="inlineStr">
        <is>
          <t>Referral</t>
        </is>
      </c>
      <c r="G94" t="inlineStr">
        <is>
          <t>Mobile Web</t>
        </is>
      </c>
      <c r="H94" t="inlineStr">
        <is>
          <t>UPI</t>
        </is>
      </c>
      <c r="I94" t="inlineStr">
        <is>
          <t>Delivered</t>
        </is>
      </c>
      <c r="J94" t="n">
        <v>104</v>
      </c>
      <c r="K94" t="n">
        <v>3</v>
      </c>
      <c r="L94" s="7" t="n">
        <v>5249</v>
      </c>
      <c r="M94" s="7" t="n">
        <v>0</v>
      </c>
    </row>
    <row r="95">
      <c r="A95" t="n">
        <v>509365</v>
      </c>
      <c r="B95" s="6" t="n">
        <v>45933</v>
      </c>
      <c r="C95" t="n">
        <v>16592</v>
      </c>
      <c r="D95" t="inlineStr">
        <is>
          <t>Chennai</t>
        </is>
      </c>
      <c r="E95" t="inlineStr">
        <is>
          <t>South</t>
        </is>
      </c>
      <c r="F95" t="inlineStr">
        <is>
          <t>Referral</t>
        </is>
      </c>
      <c r="G95" t="inlineStr">
        <is>
          <t>Mobile Web</t>
        </is>
      </c>
      <c r="H95" t="inlineStr">
        <is>
          <t>UPI</t>
        </is>
      </c>
      <c r="I95" t="inlineStr">
        <is>
          <t>Delivered</t>
        </is>
      </c>
      <c r="J95" t="n">
        <v>116</v>
      </c>
      <c r="K95" t="n">
        <v>3</v>
      </c>
      <c r="L95" s="7" t="n">
        <v>2624</v>
      </c>
      <c r="M95" s="7" t="n">
        <v>0</v>
      </c>
    </row>
    <row r="96">
      <c r="A96" t="n">
        <v>509366</v>
      </c>
      <c r="B96" s="6" t="n">
        <v>45933</v>
      </c>
      <c r="C96" t="n">
        <v>16599</v>
      </c>
      <c r="D96" t="inlineStr">
        <is>
          <t>Mumbai</t>
        </is>
      </c>
      <c r="E96" t="inlineStr">
        <is>
          <t>West</t>
        </is>
      </c>
      <c r="F96" t="inlineStr">
        <is>
          <t>Paid Social</t>
        </is>
      </c>
      <c r="G96" t="inlineStr">
        <is>
          <t>Desktop</t>
        </is>
      </c>
      <c r="H96" t="inlineStr">
        <is>
          <t>Debit Card</t>
        </is>
      </c>
      <c r="I96" t="inlineStr">
        <is>
          <t>Delivered</t>
        </is>
      </c>
      <c r="J96" t="n">
        <v>135</v>
      </c>
      <c r="K96" t="n">
        <v>1</v>
      </c>
      <c r="L96" s="7" t="n">
        <v>1574</v>
      </c>
      <c r="M96" s="7" t="n">
        <v>78.7</v>
      </c>
    </row>
    <row r="97">
      <c r="A97" t="n">
        <v>509367</v>
      </c>
      <c r="B97" s="6" t="n">
        <v>45933</v>
      </c>
      <c r="C97" t="n">
        <v>16130</v>
      </c>
      <c r="D97" t="inlineStr">
        <is>
          <t>Bengaluru</t>
        </is>
      </c>
      <c r="E97" t="inlineStr">
        <is>
          <t>South</t>
        </is>
      </c>
      <c r="F97" t="inlineStr">
        <is>
          <t>Paid Search</t>
        </is>
      </c>
      <c r="G97" t="inlineStr">
        <is>
          <t>Mobile Web</t>
        </is>
      </c>
      <c r="H97" t="inlineStr">
        <is>
          <t>UPI</t>
        </is>
      </c>
      <c r="I97" t="inlineStr">
        <is>
          <t>Delivered</t>
        </is>
      </c>
      <c r="J97" t="n">
        <v>138</v>
      </c>
      <c r="K97" t="n">
        <v>1</v>
      </c>
      <c r="L97" s="7" t="n">
        <v>419</v>
      </c>
      <c r="M97" s="7" t="n">
        <v>0</v>
      </c>
    </row>
    <row r="98">
      <c r="A98" t="n">
        <v>509367</v>
      </c>
      <c r="B98" s="6" t="n">
        <v>45933</v>
      </c>
      <c r="C98" t="n">
        <v>16130</v>
      </c>
      <c r="D98" t="inlineStr">
        <is>
          <t>Bengaluru</t>
        </is>
      </c>
      <c r="E98" t="inlineStr">
        <is>
          <t>South</t>
        </is>
      </c>
      <c r="F98" t="inlineStr">
        <is>
          <t>Paid Search</t>
        </is>
      </c>
      <c r="G98" t="inlineStr">
        <is>
          <t>Mobile Web</t>
        </is>
      </c>
      <c r="H98" t="inlineStr">
        <is>
          <t>UPI</t>
        </is>
      </c>
      <c r="I98" t="inlineStr">
        <is>
          <t>Delivered</t>
        </is>
      </c>
      <c r="J98" t="n">
        <v>101</v>
      </c>
      <c r="K98" t="n">
        <v>1</v>
      </c>
      <c r="L98" s="7" t="n">
        <v>2099</v>
      </c>
      <c r="M98" s="7" t="n">
        <v>0</v>
      </c>
    </row>
    <row r="99">
      <c r="A99" t="n">
        <v>509367</v>
      </c>
      <c r="B99" s="6" t="n">
        <v>45933</v>
      </c>
      <c r="C99" t="n">
        <v>16130</v>
      </c>
      <c r="D99" t="inlineStr">
        <is>
          <t>Bengaluru</t>
        </is>
      </c>
      <c r="E99" t="inlineStr">
        <is>
          <t>South</t>
        </is>
      </c>
      <c r="F99" t="inlineStr">
        <is>
          <t>Paid Search</t>
        </is>
      </c>
      <c r="G99" t="inlineStr">
        <is>
          <t>Mobile Web</t>
        </is>
      </c>
      <c r="H99" t="inlineStr">
        <is>
          <t>UPI</t>
        </is>
      </c>
      <c r="I99" t="inlineStr">
        <is>
          <t>Delivered</t>
        </is>
      </c>
      <c r="J99" t="n">
        <v>145</v>
      </c>
      <c r="K99" t="n">
        <v>1</v>
      </c>
      <c r="L99" s="7" t="n">
        <v>629</v>
      </c>
      <c r="M99" s="7" t="n">
        <v>0</v>
      </c>
    </row>
    <row r="100">
      <c r="A100" t="n">
        <v>509368</v>
      </c>
      <c r="B100" s="6" t="n">
        <v>45933</v>
      </c>
      <c r="C100" t="n">
        <v>16526</v>
      </c>
      <c r="D100" t="inlineStr">
        <is>
          <t>Delhi</t>
        </is>
      </c>
      <c r="E100" t="inlineStr">
        <is>
          <t>North</t>
        </is>
      </c>
      <c r="F100" t="inlineStr">
        <is>
          <t>Organic Search</t>
        </is>
      </c>
      <c r="G100" t="inlineStr">
        <is>
          <t>Mobile App</t>
        </is>
      </c>
      <c r="H100" t="inlineStr">
        <is>
          <t>Cash on Delivery</t>
        </is>
      </c>
      <c r="I100" t="inlineStr">
        <is>
          <t>Cancelled</t>
        </is>
      </c>
      <c r="J100" t="n">
        <v>108</v>
      </c>
      <c r="K100" t="n">
        <v>1</v>
      </c>
      <c r="L100" s="7" t="n">
        <v>419</v>
      </c>
      <c r="M100" s="7" t="n">
        <v>0</v>
      </c>
    </row>
    <row r="101">
      <c r="A101" t="n">
        <v>509369</v>
      </c>
      <c r="B101" s="6" t="n">
        <v>45933</v>
      </c>
      <c r="C101" t="n">
        <v>13620</v>
      </c>
      <c r="D101" t="inlineStr">
        <is>
          <t>Kochi</t>
        </is>
      </c>
      <c r="E101" t="inlineStr">
        <is>
          <t>South</t>
        </is>
      </c>
      <c r="F101" t="inlineStr">
        <is>
          <t>Organic Search</t>
        </is>
      </c>
      <c r="G101" t="inlineStr">
        <is>
          <t>Mobile App</t>
        </is>
      </c>
      <c r="H101" t="inlineStr">
        <is>
          <t>UPI</t>
        </is>
      </c>
      <c r="I101" t="inlineStr">
        <is>
          <t>Delivered</t>
        </is>
      </c>
      <c r="J101" t="n">
        <v>123</v>
      </c>
      <c r="K101" t="n">
        <v>1</v>
      </c>
      <c r="L101" s="7" t="n">
        <v>3464</v>
      </c>
      <c r="M101" s="7" t="n">
        <v>0</v>
      </c>
    </row>
    <row r="102">
      <c r="A102" t="n">
        <v>509369</v>
      </c>
      <c r="B102" s="6" t="n">
        <v>45933</v>
      </c>
      <c r="C102" t="n">
        <v>13620</v>
      </c>
      <c r="D102" t="inlineStr">
        <is>
          <t>Kochi</t>
        </is>
      </c>
      <c r="E102" t="inlineStr">
        <is>
          <t>South</t>
        </is>
      </c>
      <c r="F102" t="inlineStr">
        <is>
          <t>Organic Search</t>
        </is>
      </c>
      <c r="G102" t="inlineStr">
        <is>
          <t>Mobile App</t>
        </is>
      </c>
      <c r="H102" t="inlineStr">
        <is>
          <t>UPI</t>
        </is>
      </c>
      <c r="I102" t="inlineStr">
        <is>
          <t>Delivered</t>
        </is>
      </c>
      <c r="J102" t="n">
        <v>116</v>
      </c>
      <c r="K102" t="n">
        <v>2</v>
      </c>
      <c r="L102" s="7" t="n">
        <v>2624</v>
      </c>
      <c r="M102" s="7" t="n">
        <v>0</v>
      </c>
    </row>
    <row r="103">
      <c r="A103" t="n">
        <v>509370</v>
      </c>
      <c r="B103" s="6" t="n">
        <v>45933</v>
      </c>
      <c r="C103" t="n">
        <v>16594</v>
      </c>
      <c r="D103" t="inlineStr">
        <is>
          <t>Pune</t>
        </is>
      </c>
      <c r="E103" t="inlineStr">
        <is>
          <t>West</t>
        </is>
      </c>
      <c r="F103" t="inlineStr">
        <is>
          <t>Paid Search</t>
        </is>
      </c>
      <c r="G103" t="inlineStr">
        <is>
          <t>Mobile App</t>
        </is>
      </c>
      <c r="H103" t="inlineStr">
        <is>
          <t>UPI</t>
        </is>
      </c>
      <c r="I103" t="inlineStr">
        <is>
          <t>Delivered</t>
        </is>
      </c>
      <c r="J103" t="n">
        <v>126</v>
      </c>
      <c r="K103" t="n">
        <v>1</v>
      </c>
      <c r="L103" s="7" t="n">
        <v>471</v>
      </c>
      <c r="M103" s="7" t="n">
        <v>70.65000000000001</v>
      </c>
    </row>
    <row r="104">
      <c r="A104" t="n">
        <v>509371</v>
      </c>
      <c r="B104" s="6" t="n">
        <v>45933</v>
      </c>
      <c r="C104" t="n">
        <v>16548</v>
      </c>
      <c r="D104" t="inlineStr">
        <is>
          <t>Delhi</t>
        </is>
      </c>
      <c r="E104" t="inlineStr">
        <is>
          <t>North</t>
        </is>
      </c>
      <c r="F104" t="inlineStr">
        <is>
          <t>Organic Search</t>
        </is>
      </c>
      <c r="G104" t="inlineStr">
        <is>
          <t>Mobile App</t>
        </is>
      </c>
      <c r="H104" t="inlineStr">
        <is>
          <t>Net Banking</t>
        </is>
      </c>
      <c r="I104" t="inlineStr">
        <is>
          <t>Delivered</t>
        </is>
      </c>
      <c r="J104" t="n">
        <v>137</v>
      </c>
      <c r="K104" t="n">
        <v>1</v>
      </c>
      <c r="L104" s="7" t="n">
        <v>261</v>
      </c>
      <c r="M104" s="7" t="n">
        <v>0</v>
      </c>
    </row>
    <row r="105">
      <c r="A105" t="n">
        <v>509371</v>
      </c>
      <c r="B105" s="6" t="n">
        <v>45933</v>
      </c>
      <c r="C105" t="n">
        <v>16548</v>
      </c>
      <c r="D105" t="inlineStr">
        <is>
          <t>Delhi</t>
        </is>
      </c>
      <c r="E105" t="inlineStr">
        <is>
          <t>North</t>
        </is>
      </c>
      <c r="F105" t="inlineStr">
        <is>
          <t>Organic Search</t>
        </is>
      </c>
      <c r="G105" t="inlineStr">
        <is>
          <t>Mobile App</t>
        </is>
      </c>
      <c r="H105" t="inlineStr">
        <is>
          <t>Net Banking</t>
        </is>
      </c>
      <c r="I105" t="inlineStr">
        <is>
          <t>Delivered</t>
        </is>
      </c>
      <c r="J105" t="n">
        <v>123</v>
      </c>
      <c r="K105" t="n">
        <v>1</v>
      </c>
      <c r="L105" s="7" t="n">
        <v>3464</v>
      </c>
      <c r="M105" s="7" t="n">
        <v>0</v>
      </c>
    </row>
    <row r="106">
      <c r="A106" t="n">
        <v>509371</v>
      </c>
      <c r="B106" s="6" t="n">
        <v>45933</v>
      </c>
      <c r="C106" t="n">
        <v>16548</v>
      </c>
      <c r="D106" t="inlineStr">
        <is>
          <t>Delhi</t>
        </is>
      </c>
      <c r="E106" t="inlineStr">
        <is>
          <t>North</t>
        </is>
      </c>
      <c r="F106" t="inlineStr">
        <is>
          <t>Organic Search</t>
        </is>
      </c>
      <c r="G106" t="inlineStr">
        <is>
          <t>Mobile App</t>
        </is>
      </c>
      <c r="H106" t="inlineStr">
        <is>
          <t>Net Banking</t>
        </is>
      </c>
      <c r="I106" t="inlineStr">
        <is>
          <t>Delivered</t>
        </is>
      </c>
      <c r="J106" t="n">
        <v>116</v>
      </c>
      <c r="K106" t="n">
        <v>1</v>
      </c>
      <c r="L106" s="7" t="n">
        <v>2624</v>
      </c>
      <c r="M106" s="7" t="n">
        <v>0</v>
      </c>
    </row>
    <row r="107">
      <c r="A107" t="n">
        <v>509371</v>
      </c>
      <c r="B107" s="6" t="n">
        <v>45933</v>
      </c>
      <c r="C107" t="n">
        <v>16548</v>
      </c>
      <c r="D107" t="inlineStr">
        <is>
          <t>Delhi</t>
        </is>
      </c>
      <c r="E107" t="inlineStr">
        <is>
          <t>North</t>
        </is>
      </c>
      <c r="F107" t="inlineStr">
        <is>
          <t>Organic Search</t>
        </is>
      </c>
      <c r="G107" t="inlineStr">
        <is>
          <t>Mobile App</t>
        </is>
      </c>
      <c r="H107" t="inlineStr">
        <is>
          <t>Net Banking</t>
        </is>
      </c>
      <c r="I107" t="inlineStr">
        <is>
          <t>Delivered</t>
        </is>
      </c>
      <c r="J107" t="n">
        <v>117</v>
      </c>
      <c r="K107" t="n">
        <v>2</v>
      </c>
      <c r="L107" s="7" t="n">
        <v>3149</v>
      </c>
      <c r="M107" s="7" t="n">
        <v>0</v>
      </c>
    </row>
    <row r="108">
      <c r="A108" t="n">
        <v>509372</v>
      </c>
      <c r="B108" s="6" t="n">
        <v>45933</v>
      </c>
      <c r="C108" t="n">
        <v>16454</v>
      </c>
      <c r="D108" t="inlineStr">
        <is>
          <t>Mumbai</t>
        </is>
      </c>
      <c r="E108" t="inlineStr">
        <is>
          <t>West</t>
        </is>
      </c>
      <c r="F108" t="inlineStr">
        <is>
          <t>Email</t>
        </is>
      </c>
      <c r="G108" t="inlineStr">
        <is>
          <t>Mobile Web</t>
        </is>
      </c>
      <c r="H108" t="inlineStr">
        <is>
          <t>Credit Card</t>
        </is>
      </c>
      <c r="I108" t="inlineStr">
        <is>
          <t>Delivered</t>
        </is>
      </c>
      <c r="J108" t="n">
        <v>132</v>
      </c>
      <c r="K108" t="n">
        <v>1</v>
      </c>
      <c r="L108" s="7" t="n">
        <v>471</v>
      </c>
      <c r="M108" s="7" t="n">
        <v>70.65000000000001</v>
      </c>
    </row>
    <row r="109">
      <c r="A109" t="n">
        <v>509373</v>
      </c>
      <c r="B109" s="6" t="n">
        <v>45933</v>
      </c>
      <c r="C109" t="n">
        <v>13773</v>
      </c>
      <c r="D109" t="inlineStr">
        <is>
          <t>Jaipur</t>
        </is>
      </c>
      <c r="E109" t="inlineStr">
        <is>
          <t>North</t>
        </is>
      </c>
      <c r="F109" t="inlineStr">
        <is>
          <t>Organic Search</t>
        </is>
      </c>
      <c r="G109" t="inlineStr">
        <is>
          <t>Mobile Web</t>
        </is>
      </c>
      <c r="H109" t="inlineStr">
        <is>
          <t>UPI</t>
        </is>
      </c>
      <c r="I109" t="inlineStr">
        <is>
          <t>Delivered</t>
        </is>
      </c>
      <c r="J109" t="n">
        <v>113</v>
      </c>
      <c r="K109" t="n">
        <v>1</v>
      </c>
      <c r="L109" s="7" t="n">
        <v>1364</v>
      </c>
      <c r="M109" s="7" t="n">
        <v>0</v>
      </c>
    </row>
    <row r="110">
      <c r="A110" t="n">
        <v>509374</v>
      </c>
      <c r="B110" s="6" t="n">
        <v>45933</v>
      </c>
      <c r="C110" t="n">
        <v>12868</v>
      </c>
      <c r="D110" t="inlineStr">
        <is>
          <t>Delhi</t>
        </is>
      </c>
      <c r="E110" t="inlineStr">
        <is>
          <t>North</t>
        </is>
      </c>
      <c r="F110" t="inlineStr">
        <is>
          <t>Email</t>
        </is>
      </c>
      <c r="G110" t="inlineStr">
        <is>
          <t>Mobile App</t>
        </is>
      </c>
      <c r="H110" t="inlineStr">
        <is>
          <t>UPI</t>
        </is>
      </c>
      <c r="I110" t="inlineStr">
        <is>
          <t>Delivered</t>
        </is>
      </c>
      <c r="J110" t="n">
        <v>120</v>
      </c>
      <c r="K110" t="n">
        <v>1</v>
      </c>
      <c r="L110" s="7" t="n">
        <v>734</v>
      </c>
      <c r="M110" s="7" t="n">
        <v>0</v>
      </c>
    </row>
    <row r="111">
      <c r="A111" t="n">
        <v>509375</v>
      </c>
      <c r="B111" s="6" t="n">
        <v>45933</v>
      </c>
      <c r="C111" t="n">
        <v>16549</v>
      </c>
      <c r="D111" t="inlineStr">
        <is>
          <t>Ahmedabad</t>
        </is>
      </c>
      <c r="E111" t="inlineStr">
        <is>
          <t>West</t>
        </is>
      </c>
      <c r="F111" t="inlineStr">
        <is>
          <t>Organic Search</t>
        </is>
      </c>
      <c r="G111" t="inlineStr">
        <is>
          <t>Mobile App</t>
        </is>
      </c>
      <c r="H111" t="inlineStr">
        <is>
          <t>Debit Card</t>
        </is>
      </c>
      <c r="I111" t="inlineStr">
        <is>
          <t>Delivered</t>
        </is>
      </c>
      <c r="J111" t="n">
        <v>144</v>
      </c>
      <c r="K111" t="n">
        <v>1</v>
      </c>
      <c r="L111" s="7" t="n">
        <v>3149</v>
      </c>
      <c r="M111" s="7" t="n">
        <v>0</v>
      </c>
    </row>
    <row r="112">
      <c r="A112" t="n">
        <v>509376</v>
      </c>
      <c r="B112" s="6" t="n">
        <v>45933</v>
      </c>
      <c r="C112" t="n">
        <v>16487</v>
      </c>
      <c r="D112" t="inlineStr">
        <is>
          <t>Jaipur</t>
        </is>
      </c>
      <c r="E112" t="inlineStr">
        <is>
          <t>North</t>
        </is>
      </c>
      <c r="F112" t="inlineStr">
        <is>
          <t>Referral</t>
        </is>
      </c>
      <c r="G112" t="inlineStr">
        <is>
          <t>Mobile App</t>
        </is>
      </c>
      <c r="H112" t="inlineStr">
        <is>
          <t>Credit Card</t>
        </is>
      </c>
      <c r="I112" t="inlineStr">
        <is>
          <t>Delivered</t>
        </is>
      </c>
      <c r="J112" t="n">
        <v>118</v>
      </c>
      <c r="K112" t="n">
        <v>1</v>
      </c>
      <c r="L112" s="7" t="n">
        <v>944</v>
      </c>
      <c r="M112" s="7" t="n">
        <v>141.6</v>
      </c>
    </row>
    <row r="113">
      <c r="A113" t="n">
        <v>509377</v>
      </c>
      <c r="B113" s="6" t="n">
        <v>45934</v>
      </c>
      <c r="C113" t="n">
        <v>14912</v>
      </c>
      <c r="D113" t="inlineStr">
        <is>
          <t>Hyderabad</t>
        </is>
      </c>
      <c r="E113" t="inlineStr">
        <is>
          <t>South</t>
        </is>
      </c>
      <c r="F113" t="inlineStr">
        <is>
          <t>Referral</t>
        </is>
      </c>
      <c r="G113" t="inlineStr">
        <is>
          <t>Desktop</t>
        </is>
      </c>
      <c r="H113" t="inlineStr">
        <is>
          <t>UPI</t>
        </is>
      </c>
      <c r="I113" t="inlineStr">
        <is>
          <t>Delivered</t>
        </is>
      </c>
      <c r="J113" t="n">
        <v>138</v>
      </c>
      <c r="K113" t="n">
        <v>1</v>
      </c>
      <c r="L113" s="7" t="n">
        <v>419</v>
      </c>
      <c r="M113" s="7" t="n">
        <v>0</v>
      </c>
    </row>
    <row r="114">
      <c r="A114" t="n">
        <v>509378</v>
      </c>
      <c r="B114" s="6" t="n">
        <v>45934</v>
      </c>
      <c r="C114" t="n">
        <v>16530</v>
      </c>
      <c r="D114" t="inlineStr">
        <is>
          <t>Kolkata</t>
        </is>
      </c>
      <c r="E114" t="inlineStr">
        <is>
          <t>East</t>
        </is>
      </c>
      <c r="F114" t="inlineStr">
        <is>
          <t>Paid Social</t>
        </is>
      </c>
      <c r="G114" t="inlineStr">
        <is>
          <t>Mobile Web</t>
        </is>
      </c>
      <c r="H114" t="inlineStr">
        <is>
          <t>UPI</t>
        </is>
      </c>
      <c r="I114" t="inlineStr">
        <is>
          <t>Cancelled</t>
        </is>
      </c>
      <c r="J114" t="n">
        <v>108</v>
      </c>
      <c r="K114" t="n">
        <v>1</v>
      </c>
      <c r="L114" s="7" t="n">
        <v>419</v>
      </c>
      <c r="M114" s="7" t="n">
        <v>62.85</v>
      </c>
    </row>
    <row r="115">
      <c r="A115" t="n">
        <v>509378</v>
      </c>
      <c r="B115" s="6" t="n">
        <v>45934</v>
      </c>
      <c r="C115" t="n">
        <v>16530</v>
      </c>
      <c r="D115" t="inlineStr">
        <is>
          <t>Kolkata</t>
        </is>
      </c>
      <c r="E115" t="inlineStr">
        <is>
          <t>East</t>
        </is>
      </c>
      <c r="F115" t="inlineStr">
        <is>
          <t>Paid Social</t>
        </is>
      </c>
      <c r="G115" t="inlineStr">
        <is>
          <t>Mobile Web</t>
        </is>
      </c>
      <c r="H115" t="inlineStr">
        <is>
          <t>UPI</t>
        </is>
      </c>
      <c r="I115" t="inlineStr">
        <is>
          <t>Cancelled</t>
        </is>
      </c>
      <c r="J115" t="n">
        <v>135</v>
      </c>
      <c r="K115" t="n">
        <v>1</v>
      </c>
      <c r="L115" s="7" t="n">
        <v>1574</v>
      </c>
      <c r="M115" s="7" t="n">
        <v>236.1</v>
      </c>
    </row>
    <row r="116">
      <c r="A116" t="n">
        <v>509378</v>
      </c>
      <c r="B116" s="6" t="n">
        <v>45934</v>
      </c>
      <c r="C116" t="n">
        <v>16530</v>
      </c>
      <c r="D116" t="inlineStr">
        <is>
          <t>Kolkata</t>
        </is>
      </c>
      <c r="E116" t="inlineStr">
        <is>
          <t>East</t>
        </is>
      </c>
      <c r="F116" t="inlineStr">
        <is>
          <t>Paid Social</t>
        </is>
      </c>
      <c r="G116" t="inlineStr">
        <is>
          <t>Mobile Web</t>
        </is>
      </c>
      <c r="H116" t="inlineStr">
        <is>
          <t>UPI</t>
        </is>
      </c>
      <c r="I116" t="inlineStr">
        <is>
          <t>Cancelled</t>
        </is>
      </c>
      <c r="J116" t="n">
        <v>137</v>
      </c>
      <c r="K116" t="n">
        <v>1</v>
      </c>
      <c r="L116" s="7" t="n">
        <v>261</v>
      </c>
      <c r="M116" s="7" t="n">
        <v>39.15</v>
      </c>
    </row>
    <row r="117">
      <c r="A117" t="n">
        <v>509379</v>
      </c>
      <c r="B117" s="6" t="n">
        <v>45934</v>
      </c>
      <c r="C117" t="n">
        <v>15062</v>
      </c>
      <c r="D117" t="inlineStr">
        <is>
          <t>Chennai</t>
        </is>
      </c>
      <c r="E117" t="inlineStr">
        <is>
          <t>South</t>
        </is>
      </c>
      <c r="F117" t="inlineStr">
        <is>
          <t>Paid Search</t>
        </is>
      </c>
      <c r="G117" t="inlineStr">
        <is>
          <t>Desktop</t>
        </is>
      </c>
      <c r="H117" t="inlineStr">
        <is>
          <t>UPI</t>
        </is>
      </c>
      <c r="I117" t="inlineStr">
        <is>
          <t>Delivered</t>
        </is>
      </c>
      <c r="J117" t="n">
        <v>134</v>
      </c>
      <c r="K117" t="n">
        <v>1</v>
      </c>
      <c r="L117" s="7" t="n">
        <v>209</v>
      </c>
      <c r="M117" s="7" t="n">
        <v>0</v>
      </c>
    </row>
    <row r="118">
      <c r="A118" t="n">
        <v>509380</v>
      </c>
      <c r="B118" s="6" t="n">
        <v>45934</v>
      </c>
      <c r="C118" t="n">
        <v>16574</v>
      </c>
      <c r="D118" t="inlineStr">
        <is>
          <t>Hyderabad</t>
        </is>
      </c>
      <c r="E118" t="inlineStr">
        <is>
          <t>South</t>
        </is>
      </c>
      <c r="F118" t="inlineStr">
        <is>
          <t>Paid Social</t>
        </is>
      </c>
      <c r="G118" t="inlineStr">
        <is>
          <t>Desktop</t>
        </is>
      </c>
      <c r="H118" t="inlineStr">
        <is>
          <t>Credit Card</t>
        </is>
      </c>
      <c r="I118" t="inlineStr">
        <is>
          <t>Delivered</t>
        </is>
      </c>
      <c r="J118" t="n">
        <v>131</v>
      </c>
      <c r="K118" t="n">
        <v>2</v>
      </c>
      <c r="L118" s="7" t="n">
        <v>314</v>
      </c>
      <c r="M118" s="7" t="n">
        <v>94.2</v>
      </c>
    </row>
    <row r="119">
      <c r="A119" t="n">
        <v>509380</v>
      </c>
      <c r="B119" s="6" t="n">
        <v>45934</v>
      </c>
      <c r="C119" t="n">
        <v>16574</v>
      </c>
      <c r="D119" t="inlineStr">
        <is>
          <t>Hyderabad</t>
        </is>
      </c>
      <c r="E119" t="inlineStr">
        <is>
          <t>South</t>
        </is>
      </c>
      <c r="F119" t="inlineStr">
        <is>
          <t>Paid Social</t>
        </is>
      </c>
      <c r="G119" t="inlineStr">
        <is>
          <t>Desktop</t>
        </is>
      </c>
      <c r="H119" t="inlineStr">
        <is>
          <t>Credit Card</t>
        </is>
      </c>
      <c r="I119" t="inlineStr">
        <is>
          <t>Delivered</t>
        </is>
      </c>
      <c r="J119" t="n">
        <v>111</v>
      </c>
      <c r="K119" t="n">
        <v>1</v>
      </c>
      <c r="L119" s="7" t="n">
        <v>524</v>
      </c>
      <c r="M119" s="7" t="n">
        <v>78.59999999999999</v>
      </c>
    </row>
    <row r="120">
      <c r="A120" t="n">
        <v>509381</v>
      </c>
      <c r="B120" s="6" t="n">
        <v>45934</v>
      </c>
      <c r="C120" t="n">
        <v>16593</v>
      </c>
      <c r="D120" t="inlineStr">
        <is>
          <t>Mumbai</t>
        </is>
      </c>
      <c r="E120" t="inlineStr">
        <is>
          <t>West</t>
        </is>
      </c>
      <c r="F120" t="inlineStr">
        <is>
          <t>Referral</t>
        </is>
      </c>
      <c r="G120" t="inlineStr">
        <is>
          <t>Mobile Web</t>
        </is>
      </c>
      <c r="H120" t="inlineStr">
        <is>
          <t>Cash on Delivery</t>
        </is>
      </c>
      <c r="I120" t="inlineStr">
        <is>
          <t>Returned</t>
        </is>
      </c>
      <c r="J120" t="n">
        <v>148</v>
      </c>
      <c r="K120" t="n">
        <v>1</v>
      </c>
      <c r="L120" s="7" t="n">
        <v>734</v>
      </c>
      <c r="M120" s="7" t="n">
        <v>0</v>
      </c>
    </row>
    <row r="121">
      <c r="A121" t="n">
        <v>509382</v>
      </c>
      <c r="B121" s="6" t="n">
        <v>45934</v>
      </c>
      <c r="C121" t="n">
        <v>11263</v>
      </c>
      <c r="D121" t="inlineStr">
        <is>
          <t>Ahmedabad</t>
        </is>
      </c>
      <c r="E121" t="inlineStr">
        <is>
          <t>West</t>
        </is>
      </c>
      <c r="F121" t="inlineStr">
        <is>
          <t>Organic Search</t>
        </is>
      </c>
      <c r="G121" t="inlineStr">
        <is>
          <t>Mobile Web</t>
        </is>
      </c>
      <c r="H121" t="inlineStr">
        <is>
          <t>Cash on Delivery</t>
        </is>
      </c>
      <c r="I121" t="inlineStr">
        <is>
          <t>Delivered</t>
        </is>
      </c>
      <c r="J121" t="n">
        <v>121</v>
      </c>
      <c r="K121" t="n">
        <v>1</v>
      </c>
      <c r="L121" s="7" t="n">
        <v>2939</v>
      </c>
      <c r="M121" s="7" t="n">
        <v>0</v>
      </c>
    </row>
    <row r="122">
      <c r="A122" t="n">
        <v>509383</v>
      </c>
      <c r="B122" s="6" t="n">
        <v>45934</v>
      </c>
      <c r="C122" t="n">
        <v>16281</v>
      </c>
      <c r="D122" t="inlineStr">
        <is>
          <t>Mumbai</t>
        </is>
      </c>
      <c r="E122" t="inlineStr">
        <is>
          <t>West</t>
        </is>
      </c>
      <c r="F122" t="inlineStr">
        <is>
          <t>Organic Search</t>
        </is>
      </c>
      <c r="G122" t="inlineStr">
        <is>
          <t>Mobile Web</t>
        </is>
      </c>
      <c r="H122" t="inlineStr">
        <is>
          <t>UPI</t>
        </is>
      </c>
      <c r="I122" t="inlineStr">
        <is>
          <t>Delivered</t>
        </is>
      </c>
      <c r="J122" t="n">
        <v>128</v>
      </c>
      <c r="K122" t="n">
        <v>1</v>
      </c>
      <c r="L122" s="7" t="n">
        <v>1049</v>
      </c>
      <c r="M122" s="7" t="n">
        <v>0</v>
      </c>
    </row>
    <row r="123">
      <c r="A123" t="n">
        <v>509383</v>
      </c>
      <c r="B123" s="6" t="n">
        <v>45934</v>
      </c>
      <c r="C123" t="n">
        <v>16281</v>
      </c>
      <c r="D123" t="inlineStr">
        <is>
          <t>Mumbai</t>
        </is>
      </c>
      <c r="E123" t="inlineStr">
        <is>
          <t>West</t>
        </is>
      </c>
      <c r="F123" t="inlineStr">
        <is>
          <t>Organic Search</t>
        </is>
      </c>
      <c r="G123" t="inlineStr">
        <is>
          <t>Mobile Web</t>
        </is>
      </c>
      <c r="H123" t="inlineStr">
        <is>
          <t>UPI</t>
        </is>
      </c>
      <c r="I123" t="inlineStr">
        <is>
          <t>Delivered</t>
        </is>
      </c>
      <c r="J123" t="n">
        <v>139</v>
      </c>
      <c r="K123" t="n">
        <v>1</v>
      </c>
      <c r="L123" s="7" t="n">
        <v>366</v>
      </c>
      <c r="M123" s="7" t="n">
        <v>0</v>
      </c>
    </row>
    <row r="124">
      <c r="A124" t="n">
        <v>509384</v>
      </c>
      <c r="B124" s="6" t="n">
        <v>45934</v>
      </c>
      <c r="C124" t="n">
        <v>16618</v>
      </c>
      <c r="D124" t="inlineStr">
        <is>
          <t>Bengaluru</t>
        </is>
      </c>
      <c r="E124" t="inlineStr">
        <is>
          <t>South</t>
        </is>
      </c>
      <c r="F124" t="inlineStr">
        <is>
          <t>Paid Social</t>
        </is>
      </c>
      <c r="G124" t="inlineStr">
        <is>
          <t>Mobile App</t>
        </is>
      </c>
      <c r="H124" t="inlineStr">
        <is>
          <t>Cash on Delivery</t>
        </is>
      </c>
      <c r="I124" t="inlineStr">
        <is>
          <t>Delivered</t>
        </is>
      </c>
      <c r="J124" t="n">
        <v>133</v>
      </c>
      <c r="K124" t="n">
        <v>1</v>
      </c>
      <c r="L124" s="7" t="n">
        <v>419</v>
      </c>
      <c r="M124" s="7" t="n">
        <v>62.85</v>
      </c>
    </row>
    <row r="125">
      <c r="A125" t="n">
        <v>509385</v>
      </c>
      <c r="B125" s="6" t="n">
        <v>45934</v>
      </c>
      <c r="C125" t="n">
        <v>16328</v>
      </c>
      <c r="D125" t="inlineStr">
        <is>
          <t>Ahmedabad</t>
        </is>
      </c>
      <c r="E125" t="inlineStr">
        <is>
          <t>West</t>
        </is>
      </c>
      <c r="F125" t="inlineStr">
        <is>
          <t>Paid Social</t>
        </is>
      </c>
      <c r="G125" t="inlineStr">
        <is>
          <t>Desktop</t>
        </is>
      </c>
      <c r="H125" t="inlineStr">
        <is>
          <t>Cash on Delivery</t>
        </is>
      </c>
      <c r="I125" t="inlineStr">
        <is>
          <t>Delivered</t>
        </is>
      </c>
      <c r="J125" t="n">
        <v>107</v>
      </c>
      <c r="K125" t="n">
        <v>1</v>
      </c>
      <c r="L125" s="7" t="n">
        <v>1259</v>
      </c>
      <c r="M125" s="7" t="n">
        <v>0</v>
      </c>
    </row>
    <row r="126">
      <c r="A126" t="n">
        <v>509385</v>
      </c>
      <c r="B126" s="6" t="n">
        <v>45934</v>
      </c>
      <c r="C126" t="n">
        <v>16328</v>
      </c>
      <c r="D126" t="inlineStr">
        <is>
          <t>Ahmedabad</t>
        </is>
      </c>
      <c r="E126" t="inlineStr">
        <is>
          <t>West</t>
        </is>
      </c>
      <c r="F126" t="inlineStr">
        <is>
          <t>Paid Social</t>
        </is>
      </c>
      <c r="G126" t="inlineStr">
        <is>
          <t>Desktop</t>
        </is>
      </c>
      <c r="H126" t="inlineStr">
        <is>
          <t>Cash on Delivery</t>
        </is>
      </c>
      <c r="I126" t="inlineStr">
        <is>
          <t>Delivered</t>
        </is>
      </c>
      <c r="J126" t="n">
        <v>138</v>
      </c>
      <c r="K126" t="n">
        <v>1</v>
      </c>
      <c r="L126" s="7" t="n">
        <v>419</v>
      </c>
      <c r="M126" s="7" t="n">
        <v>0</v>
      </c>
    </row>
    <row r="127">
      <c r="A127" t="n">
        <v>509386</v>
      </c>
      <c r="B127" s="6" t="n">
        <v>45934</v>
      </c>
      <c r="C127" t="n">
        <v>15214</v>
      </c>
      <c r="D127" t="inlineStr">
        <is>
          <t>Mumbai</t>
        </is>
      </c>
      <c r="E127" t="inlineStr">
        <is>
          <t>West</t>
        </is>
      </c>
      <c r="F127" t="inlineStr">
        <is>
          <t>Organic Search</t>
        </is>
      </c>
      <c r="G127" t="inlineStr">
        <is>
          <t>Mobile Web</t>
        </is>
      </c>
      <c r="H127" t="inlineStr">
        <is>
          <t>UPI</t>
        </is>
      </c>
      <c r="I127" t="inlineStr">
        <is>
          <t>Delivered</t>
        </is>
      </c>
      <c r="J127" t="n">
        <v>141</v>
      </c>
      <c r="K127" t="n">
        <v>1</v>
      </c>
      <c r="L127" s="7" t="n">
        <v>261</v>
      </c>
      <c r="M127" s="7" t="n">
        <v>0</v>
      </c>
    </row>
    <row r="128">
      <c r="A128" t="n">
        <v>509387</v>
      </c>
      <c r="B128" s="6" t="n">
        <v>45934</v>
      </c>
      <c r="C128" t="n">
        <v>16571</v>
      </c>
      <c r="D128" t="inlineStr">
        <is>
          <t>Delhi</t>
        </is>
      </c>
      <c r="E128" t="inlineStr">
        <is>
          <t>North</t>
        </is>
      </c>
      <c r="F128" t="inlineStr">
        <is>
          <t>Organic Search</t>
        </is>
      </c>
      <c r="G128" t="inlineStr">
        <is>
          <t>Mobile Web</t>
        </is>
      </c>
      <c r="H128" t="inlineStr">
        <is>
          <t>Credit Card</t>
        </is>
      </c>
      <c r="I128" t="inlineStr">
        <is>
          <t>Delivered</t>
        </is>
      </c>
      <c r="J128" t="n">
        <v>125</v>
      </c>
      <c r="K128" t="n">
        <v>1</v>
      </c>
      <c r="L128" s="7" t="n">
        <v>1364</v>
      </c>
      <c r="M128" s="7" t="n">
        <v>204.6</v>
      </c>
    </row>
    <row r="129">
      <c r="A129" t="n">
        <v>509388</v>
      </c>
      <c r="B129" s="6" t="n">
        <v>45934</v>
      </c>
      <c r="C129" t="n">
        <v>16562</v>
      </c>
      <c r="D129" t="inlineStr">
        <is>
          <t>Chennai</t>
        </is>
      </c>
      <c r="E129" t="inlineStr">
        <is>
          <t>South</t>
        </is>
      </c>
      <c r="F129" t="inlineStr">
        <is>
          <t>Affiliate</t>
        </is>
      </c>
      <c r="G129" t="inlineStr">
        <is>
          <t>Mobile Web</t>
        </is>
      </c>
      <c r="H129" t="inlineStr">
        <is>
          <t>UPI</t>
        </is>
      </c>
      <c r="I129" t="inlineStr">
        <is>
          <t>Delivered</t>
        </is>
      </c>
      <c r="J129" t="n">
        <v>113</v>
      </c>
      <c r="K129" t="n">
        <v>1</v>
      </c>
      <c r="L129" s="7" t="n">
        <v>1364</v>
      </c>
      <c r="M129" s="7" t="n">
        <v>204.6</v>
      </c>
    </row>
    <row r="130">
      <c r="A130" t="n">
        <v>509388</v>
      </c>
      <c r="B130" s="6" t="n">
        <v>45934</v>
      </c>
      <c r="C130" t="n">
        <v>16562</v>
      </c>
      <c r="D130" t="inlineStr">
        <is>
          <t>Chennai</t>
        </is>
      </c>
      <c r="E130" t="inlineStr">
        <is>
          <t>South</t>
        </is>
      </c>
      <c r="F130" t="inlineStr">
        <is>
          <t>Affiliate</t>
        </is>
      </c>
      <c r="G130" t="inlineStr">
        <is>
          <t>Mobile Web</t>
        </is>
      </c>
      <c r="H130" t="inlineStr">
        <is>
          <t>UPI</t>
        </is>
      </c>
      <c r="I130" t="inlineStr">
        <is>
          <t>Delivered</t>
        </is>
      </c>
      <c r="J130" t="n">
        <v>119</v>
      </c>
      <c r="K130" t="n">
        <v>2</v>
      </c>
      <c r="L130" s="7" t="n">
        <v>2309</v>
      </c>
      <c r="M130" s="7" t="n">
        <v>692.7</v>
      </c>
    </row>
    <row r="131">
      <c r="A131" t="n">
        <v>509389</v>
      </c>
      <c r="B131" s="6" t="n">
        <v>45934</v>
      </c>
      <c r="C131" t="n">
        <v>13378</v>
      </c>
      <c r="D131" t="inlineStr">
        <is>
          <t>Bengaluru</t>
        </is>
      </c>
      <c r="E131" t="inlineStr">
        <is>
          <t>South</t>
        </is>
      </c>
      <c r="F131" t="inlineStr">
        <is>
          <t>Referral</t>
        </is>
      </c>
      <c r="G131" t="inlineStr">
        <is>
          <t>Mobile App</t>
        </is>
      </c>
      <c r="H131" t="inlineStr">
        <is>
          <t>Credit Card</t>
        </is>
      </c>
      <c r="I131" t="inlineStr">
        <is>
          <t>Delivered</t>
        </is>
      </c>
      <c r="J131" t="n">
        <v>142</v>
      </c>
      <c r="K131" t="n">
        <v>1</v>
      </c>
      <c r="L131" s="7" t="n">
        <v>839</v>
      </c>
      <c r="M131" s="7" t="n">
        <v>0</v>
      </c>
    </row>
    <row r="132">
      <c r="A132" t="n">
        <v>509390</v>
      </c>
      <c r="B132" s="6" t="n">
        <v>45934</v>
      </c>
      <c r="C132" t="n">
        <v>16622</v>
      </c>
      <c r="D132" t="inlineStr">
        <is>
          <t>Delhi</t>
        </is>
      </c>
      <c r="E132" t="inlineStr">
        <is>
          <t>North</t>
        </is>
      </c>
      <c r="F132" t="inlineStr">
        <is>
          <t>Paid Social</t>
        </is>
      </c>
      <c r="G132" t="inlineStr">
        <is>
          <t>Mobile Web</t>
        </is>
      </c>
      <c r="H132" t="inlineStr">
        <is>
          <t>Cash on Delivery</t>
        </is>
      </c>
      <c r="I132" t="inlineStr">
        <is>
          <t>Delivered</t>
        </is>
      </c>
      <c r="J132" t="n">
        <v>124</v>
      </c>
      <c r="K132" t="n">
        <v>1</v>
      </c>
      <c r="L132" s="7" t="n">
        <v>1154</v>
      </c>
      <c r="M132" s="7" t="n">
        <v>0</v>
      </c>
    </row>
    <row r="133">
      <c r="A133" t="n">
        <v>509391</v>
      </c>
      <c r="B133" s="6" t="n">
        <v>45934</v>
      </c>
      <c r="C133" t="n">
        <v>15110</v>
      </c>
      <c r="D133" t="inlineStr">
        <is>
          <t>Gurugram</t>
        </is>
      </c>
      <c r="E133" t="inlineStr">
        <is>
          <t>North</t>
        </is>
      </c>
      <c r="F133" t="inlineStr">
        <is>
          <t>Organic Search</t>
        </is>
      </c>
      <c r="G133" t="inlineStr">
        <is>
          <t>Mobile Web</t>
        </is>
      </c>
      <c r="H133" t="inlineStr">
        <is>
          <t>Cash on Delivery</t>
        </is>
      </c>
      <c r="I133" t="inlineStr">
        <is>
          <t>Delivered</t>
        </is>
      </c>
      <c r="J133" t="n">
        <v>113</v>
      </c>
      <c r="K133" t="n">
        <v>1</v>
      </c>
      <c r="L133" s="7" t="n">
        <v>1364</v>
      </c>
      <c r="M133" s="7" t="n">
        <v>0</v>
      </c>
    </row>
    <row r="134">
      <c r="A134" t="n">
        <v>509392</v>
      </c>
      <c r="B134" s="6" t="n">
        <v>45934</v>
      </c>
      <c r="C134" t="n">
        <v>13144</v>
      </c>
      <c r="D134" t="inlineStr">
        <is>
          <t>Chennai</t>
        </is>
      </c>
      <c r="E134" t="inlineStr">
        <is>
          <t>South</t>
        </is>
      </c>
      <c r="F134" t="inlineStr">
        <is>
          <t>Paid Social</t>
        </is>
      </c>
      <c r="G134" t="inlineStr">
        <is>
          <t>Mobile App</t>
        </is>
      </c>
      <c r="H134" t="inlineStr">
        <is>
          <t>Cash on Delivery</t>
        </is>
      </c>
      <c r="I134" t="inlineStr">
        <is>
          <t>Delivered</t>
        </is>
      </c>
      <c r="J134" t="n">
        <v>131</v>
      </c>
      <c r="K134" t="n">
        <v>1</v>
      </c>
      <c r="L134" s="7" t="n">
        <v>314</v>
      </c>
      <c r="M134" s="7" t="n">
        <v>0</v>
      </c>
    </row>
    <row r="135">
      <c r="A135" t="n">
        <v>509392</v>
      </c>
      <c r="B135" s="6" t="n">
        <v>45934</v>
      </c>
      <c r="C135" t="n">
        <v>13144</v>
      </c>
      <c r="D135" t="inlineStr">
        <is>
          <t>Chennai</t>
        </is>
      </c>
      <c r="E135" t="inlineStr">
        <is>
          <t>South</t>
        </is>
      </c>
      <c r="F135" t="inlineStr">
        <is>
          <t>Paid Social</t>
        </is>
      </c>
      <c r="G135" t="inlineStr">
        <is>
          <t>Mobile App</t>
        </is>
      </c>
      <c r="H135" t="inlineStr">
        <is>
          <t>Cash on Delivery</t>
        </is>
      </c>
      <c r="I135" t="inlineStr">
        <is>
          <t>Delivered</t>
        </is>
      </c>
      <c r="J135" t="n">
        <v>125</v>
      </c>
      <c r="K135" t="n">
        <v>1</v>
      </c>
      <c r="L135" s="7" t="n">
        <v>1364</v>
      </c>
      <c r="M135" s="7" t="n">
        <v>0</v>
      </c>
    </row>
    <row r="136">
      <c r="A136" t="n">
        <v>509393</v>
      </c>
      <c r="B136" s="6" t="n">
        <v>45934</v>
      </c>
      <c r="C136" t="n">
        <v>16605</v>
      </c>
      <c r="D136" t="inlineStr">
        <is>
          <t>Kolkata</t>
        </is>
      </c>
      <c r="E136" t="inlineStr">
        <is>
          <t>East</t>
        </is>
      </c>
      <c r="F136" t="inlineStr">
        <is>
          <t>Paid Social</t>
        </is>
      </c>
      <c r="G136" t="inlineStr">
        <is>
          <t>Mobile Web</t>
        </is>
      </c>
      <c r="H136" t="inlineStr">
        <is>
          <t>Credit Card</t>
        </is>
      </c>
      <c r="I136" t="inlineStr">
        <is>
          <t>Delivered</t>
        </is>
      </c>
      <c r="J136" t="n">
        <v>124</v>
      </c>
      <c r="K136" t="n">
        <v>1</v>
      </c>
      <c r="L136" s="7" t="n">
        <v>1154</v>
      </c>
      <c r="M136" s="7" t="n">
        <v>173.1</v>
      </c>
    </row>
    <row r="137">
      <c r="A137" t="n">
        <v>509394</v>
      </c>
      <c r="B137" s="6" t="n">
        <v>45934</v>
      </c>
      <c r="C137" t="n">
        <v>14289</v>
      </c>
      <c r="D137" t="inlineStr">
        <is>
          <t>Kolkata</t>
        </is>
      </c>
      <c r="E137" t="inlineStr">
        <is>
          <t>East</t>
        </is>
      </c>
      <c r="F137" t="inlineStr">
        <is>
          <t>Paid Search</t>
        </is>
      </c>
      <c r="G137" t="inlineStr">
        <is>
          <t>Mobile App</t>
        </is>
      </c>
      <c r="H137" t="inlineStr">
        <is>
          <t>Credit Card</t>
        </is>
      </c>
      <c r="I137" t="inlineStr">
        <is>
          <t>Delivered</t>
        </is>
      </c>
      <c r="J137" t="n">
        <v>113</v>
      </c>
      <c r="K137" t="n">
        <v>1</v>
      </c>
      <c r="L137" s="7" t="n">
        <v>1364</v>
      </c>
      <c r="M137" s="7" t="n">
        <v>0</v>
      </c>
    </row>
    <row r="138">
      <c r="A138" t="n">
        <v>509394</v>
      </c>
      <c r="B138" s="6" t="n">
        <v>45934</v>
      </c>
      <c r="C138" t="n">
        <v>14289</v>
      </c>
      <c r="D138" t="inlineStr">
        <is>
          <t>Kolkata</t>
        </is>
      </c>
      <c r="E138" t="inlineStr">
        <is>
          <t>East</t>
        </is>
      </c>
      <c r="F138" t="inlineStr">
        <is>
          <t>Paid Search</t>
        </is>
      </c>
      <c r="G138" t="inlineStr">
        <is>
          <t>Mobile App</t>
        </is>
      </c>
      <c r="H138" t="inlineStr">
        <is>
          <t>Credit Card</t>
        </is>
      </c>
      <c r="I138" t="inlineStr">
        <is>
          <t>Delivered</t>
        </is>
      </c>
      <c r="J138" t="n">
        <v>112</v>
      </c>
      <c r="K138" t="n">
        <v>1</v>
      </c>
      <c r="L138" s="7" t="n">
        <v>1574</v>
      </c>
      <c r="M138" s="7" t="n">
        <v>0</v>
      </c>
    </row>
    <row r="139">
      <c r="A139" t="n">
        <v>509395</v>
      </c>
      <c r="B139" s="6" t="n">
        <v>45934</v>
      </c>
      <c r="C139" t="n">
        <v>16581</v>
      </c>
      <c r="D139" t="inlineStr">
        <is>
          <t>Delhi</t>
        </is>
      </c>
      <c r="E139" t="inlineStr">
        <is>
          <t>North</t>
        </is>
      </c>
      <c r="F139" t="inlineStr">
        <is>
          <t>Paid Social</t>
        </is>
      </c>
      <c r="G139" t="inlineStr">
        <is>
          <t>Mobile App</t>
        </is>
      </c>
      <c r="H139" t="inlineStr">
        <is>
          <t>Debit Card</t>
        </is>
      </c>
      <c r="I139" t="inlineStr">
        <is>
          <t>Delivered</t>
        </is>
      </c>
      <c r="J139" t="n">
        <v>107</v>
      </c>
      <c r="K139" t="n">
        <v>1</v>
      </c>
      <c r="L139" s="7" t="n">
        <v>1259</v>
      </c>
      <c r="M139" s="7" t="n">
        <v>0</v>
      </c>
    </row>
    <row r="140">
      <c r="A140" t="n">
        <v>509395</v>
      </c>
      <c r="B140" s="6" t="n">
        <v>45934</v>
      </c>
      <c r="C140" t="n">
        <v>16581</v>
      </c>
      <c r="D140" t="inlineStr">
        <is>
          <t>Delhi</t>
        </is>
      </c>
      <c r="E140" t="inlineStr">
        <is>
          <t>North</t>
        </is>
      </c>
      <c r="F140" t="inlineStr">
        <is>
          <t>Paid Social</t>
        </is>
      </c>
      <c r="G140" t="inlineStr">
        <is>
          <t>Mobile App</t>
        </is>
      </c>
      <c r="H140" t="inlineStr">
        <is>
          <t>Debit Card</t>
        </is>
      </c>
      <c r="I140" t="inlineStr">
        <is>
          <t>Delivered</t>
        </is>
      </c>
      <c r="J140" t="n">
        <v>124</v>
      </c>
      <c r="K140" t="n">
        <v>1</v>
      </c>
      <c r="L140" s="7" t="n">
        <v>1154</v>
      </c>
      <c r="M140" s="7" t="n">
        <v>0</v>
      </c>
    </row>
    <row r="141">
      <c r="A141" t="n">
        <v>509396</v>
      </c>
      <c r="B141" s="6" t="n">
        <v>45934</v>
      </c>
      <c r="C141" t="n">
        <v>13587</v>
      </c>
      <c r="D141" t="inlineStr">
        <is>
          <t>Delhi</t>
        </is>
      </c>
      <c r="E141" t="inlineStr">
        <is>
          <t>North</t>
        </is>
      </c>
      <c r="F141" t="inlineStr">
        <is>
          <t>Email</t>
        </is>
      </c>
      <c r="G141" t="inlineStr">
        <is>
          <t>Mobile App</t>
        </is>
      </c>
      <c r="H141" t="inlineStr">
        <is>
          <t>Cash on Delivery</t>
        </is>
      </c>
      <c r="I141" t="inlineStr">
        <is>
          <t>Delivered</t>
        </is>
      </c>
      <c r="J141" t="n">
        <v>125</v>
      </c>
      <c r="K141" t="n">
        <v>1</v>
      </c>
      <c r="L141" s="7" t="n">
        <v>1364</v>
      </c>
      <c r="M141" s="7" t="n">
        <v>0</v>
      </c>
    </row>
    <row r="142">
      <c r="A142" t="n">
        <v>509397</v>
      </c>
      <c r="B142" s="6" t="n">
        <v>45934</v>
      </c>
      <c r="C142" t="n">
        <v>14971</v>
      </c>
      <c r="D142" t="inlineStr">
        <is>
          <t>Delhi</t>
        </is>
      </c>
      <c r="E142" t="inlineStr">
        <is>
          <t>North</t>
        </is>
      </c>
      <c r="F142" t="inlineStr">
        <is>
          <t>Email</t>
        </is>
      </c>
      <c r="G142" t="inlineStr">
        <is>
          <t>Mobile App</t>
        </is>
      </c>
      <c r="H142" t="inlineStr">
        <is>
          <t>Cash on Delivery</t>
        </is>
      </c>
      <c r="I142" t="inlineStr">
        <is>
          <t>Delivered</t>
        </is>
      </c>
      <c r="J142" t="n">
        <v>102</v>
      </c>
      <c r="K142" t="n">
        <v>1</v>
      </c>
      <c r="L142" s="7" t="n">
        <v>3674</v>
      </c>
      <c r="M142" s="7" t="n">
        <v>0</v>
      </c>
    </row>
    <row r="143">
      <c r="A143" t="n">
        <v>509398</v>
      </c>
      <c r="B143" s="6" t="n">
        <v>45934</v>
      </c>
      <c r="C143" t="n">
        <v>14118</v>
      </c>
      <c r="D143" t="inlineStr">
        <is>
          <t>Lucknow</t>
        </is>
      </c>
      <c r="E143" t="inlineStr">
        <is>
          <t>North</t>
        </is>
      </c>
      <c r="F143" t="inlineStr">
        <is>
          <t>Paid Social</t>
        </is>
      </c>
      <c r="G143" t="inlineStr">
        <is>
          <t>Mobile App</t>
        </is>
      </c>
      <c r="H143" t="inlineStr">
        <is>
          <t>Cash on Delivery</t>
        </is>
      </c>
      <c r="I143" t="inlineStr">
        <is>
          <t>Delivered</t>
        </is>
      </c>
      <c r="J143" t="n">
        <v>131</v>
      </c>
      <c r="K143" t="n">
        <v>1</v>
      </c>
      <c r="L143" s="7" t="n">
        <v>314</v>
      </c>
      <c r="M143" s="7" t="n">
        <v>0</v>
      </c>
    </row>
    <row r="144">
      <c r="A144" t="n">
        <v>509399</v>
      </c>
      <c r="B144" s="6" t="n">
        <v>45934</v>
      </c>
      <c r="C144" t="n">
        <v>14666</v>
      </c>
      <c r="D144" t="inlineStr">
        <is>
          <t>Mumbai</t>
        </is>
      </c>
      <c r="E144" t="inlineStr">
        <is>
          <t>West</t>
        </is>
      </c>
      <c r="F144" t="inlineStr">
        <is>
          <t>Email</t>
        </is>
      </c>
      <c r="G144" t="inlineStr">
        <is>
          <t>Mobile Web</t>
        </is>
      </c>
      <c r="H144" t="inlineStr">
        <is>
          <t>UPI</t>
        </is>
      </c>
      <c r="I144" t="inlineStr">
        <is>
          <t>Delivered</t>
        </is>
      </c>
      <c r="J144" t="n">
        <v>131</v>
      </c>
      <c r="K144" t="n">
        <v>1</v>
      </c>
      <c r="L144" s="7" t="n">
        <v>314</v>
      </c>
      <c r="M144" s="7" t="n">
        <v>0</v>
      </c>
    </row>
    <row r="145">
      <c r="A145" t="n">
        <v>509399</v>
      </c>
      <c r="B145" s="6" t="n">
        <v>45934</v>
      </c>
      <c r="C145" t="n">
        <v>14666</v>
      </c>
      <c r="D145" t="inlineStr">
        <is>
          <t>Mumbai</t>
        </is>
      </c>
      <c r="E145" t="inlineStr">
        <is>
          <t>West</t>
        </is>
      </c>
      <c r="F145" t="inlineStr">
        <is>
          <t>Email</t>
        </is>
      </c>
      <c r="G145" t="inlineStr">
        <is>
          <t>Mobile Web</t>
        </is>
      </c>
      <c r="H145" t="inlineStr">
        <is>
          <t>UPI</t>
        </is>
      </c>
      <c r="I145" t="inlineStr">
        <is>
          <t>Delivered</t>
        </is>
      </c>
      <c r="J145" t="n">
        <v>109</v>
      </c>
      <c r="K145" t="n">
        <v>1</v>
      </c>
      <c r="L145" s="7" t="n">
        <v>4199</v>
      </c>
      <c r="M145" s="7" t="n">
        <v>0</v>
      </c>
    </row>
    <row r="146">
      <c r="A146" t="n">
        <v>509399</v>
      </c>
      <c r="B146" s="6" t="n">
        <v>45934</v>
      </c>
      <c r="C146" t="n">
        <v>14666</v>
      </c>
      <c r="D146" t="inlineStr">
        <is>
          <t>Mumbai</t>
        </is>
      </c>
      <c r="E146" t="inlineStr">
        <is>
          <t>West</t>
        </is>
      </c>
      <c r="F146" t="inlineStr">
        <is>
          <t>Email</t>
        </is>
      </c>
      <c r="G146" t="inlineStr">
        <is>
          <t>Mobile Web</t>
        </is>
      </c>
      <c r="H146" t="inlineStr">
        <is>
          <t>UPI</t>
        </is>
      </c>
      <c r="I146" t="inlineStr">
        <is>
          <t>Delivered</t>
        </is>
      </c>
      <c r="J146" t="n">
        <v>111</v>
      </c>
      <c r="K146" t="n">
        <v>1</v>
      </c>
      <c r="L146" s="7" t="n">
        <v>524</v>
      </c>
      <c r="M146" s="7" t="n">
        <v>0</v>
      </c>
    </row>
    <row r="147">
      <c r="A147" t="n">
        <v>509399</v>
      </c>
      <c r="B147" s="6" t="n">
        <v>45934</v>
      </c>
      <c r="C147" t="n">
        <v>14666</v>
      </c>
      <c r="D147" t="inlineStr">
        <is>
          <t>Mumbai</t>
        </is>
      </c>
      <c r="E147" t="inlineStr">
        <is>
          <t>West</t>
        </is>
      </c>
      <c r="F147" t="inlineStr">
        <is>
          <t>Email</t>
        </is>
      </c>
      <c r="G147" t="inlineStr">
        <is>
          <t>Mobile Web</t>
        </is>
      </c>
      <c r="H147" t="inlineStr">
        <is>
          <t>UPI</t>
        </is>
      </c>
      <c r="I147" t="inlineStr">
        <is>
          <t>Delivered</t>
        </is>
      </c>
      <c r="J147" t="n">
        <v>134</v>
      </c>
      <c r="K147" t="n">
        <v>1</v>
      </c>
      <c r="L147" s="7" t="n">
        <v>209</v>
      </c>
      <c r="M147" s="7" t="n">
        <v>0</v>
      </c>
    </row>
    <row r="148">
      <c r="A148" t="n">
        <v>509400</v>
      </c>
      <c r="B148" s="6" t="n">
        <v>45934</v>
      </c>
      <c r="C148" t="n">
        <v>16621</v>
      </c>
      <c r="D148" t="inlineStr">
        <is>
          <t>Jaipur</t>
        </is>
      </c>
      <c r="E148" t="inlineStr">
        <is>
          <t>North</t>
        </is>
      </c>
      <c r="F148" t="inlineStr">
        <is>
          <t>Paid Social</t>
        </is>
      </c>
      <c r="G148" t="inlineStr">
        <is>
          <t>Desktop</t>
        </is>
      </c>
      <c r="H148" t="inlineStr">
        <is>
          <t>UPI</t>
        </is>
      </c>
      <c r="I148" t="inlineStr">
        <is>
          <t>Delivered</t>
        </is>
      </c>
      <c r="J148" t="n">
        <v>129</v>
      </c>
      <c r="K148" t="n">
        <v>1</v>
      </c>
      <c r="L148" s="7" t="n">
        <v>576</v>
      </c>
      <c r="M148" s="7" t="n">
        <v>86.40000000000001</v>
      </c>
    </row>
    <row r="149">
      <c r="A149" t="n">
        <v>509401</v>
      </c>
      <c r="B149" s="6" t="n">
        <v>45934</v>
      </c>
      <c r="C149" t="n">
        <v>14814</v>
      </c>
      <c r="D149" t="inlineStr">
        <is>
          <t>Gurugram</t>
        </is>
      </c>
      <c r="E149" t="inlineStr">
        <is>
          <t>North</t>
        </is>
      </c>
      <c r="F149" t="inlineStr">
        <is>
          <t>Referral</t>
        </is>
      </c>
      <c r="G149" t="inlineStr">
        <is>
          <t>Desktop</t>
        </is>
      </c>
      <c r="H149" t="inlineStr">
        <is>
          <t>Credit Card</t>
        </is>
      </c>
      <c r="I149" t="inlineStr">
        <is>
          <t>Cancelled</t>
        </is>
      </c>
      <c r="J149" t="n">
        <v>122</v>
      </c>
      <c r="K149" t="n">
        <v>1</v>
      </c>
      <c r="L149" s="7" t="n">
        <v>1994</v>
      </c>
      <c r="M149" s="7" t="n">
        <v>0</v>
      </c>
    </row>
    <row r="150">
      <c r="A150" t="n">
        <v>509401</v>
      </c>
      <c r="B150" s="6" t="n">
        <v>45934</v>
      </c>
      <c r="C150" t="n">
        <v>14814</v>
      </c>
      <c r="D150" t="inlineStr">
        <is>
          <t>Gurugram</t>
        </is>
      </c>
      <c r="E150" t="inlineStr">
        <is>
          <t>North</t>
        </is>
      </c>
      <c r="F150" t="inlineStr">
        <is>
          <t>Referral</t>
        </is>
      </c>
      <c r="G150" t="inlineStr">
        <is>
          <t>Desktop</t>
        </is>
      </c>
      <c r="H150" t="inlineStr">
        <is>
          <t>Credit Card</t>
        </is>
      </c>
      <c r="I150" t="inlineStr">
        <is>
          <t>Cancelled</t>
        </is>
      </c>
      <c r="J150" t="n">
        <v>140</v>
      </c>
      <c r="K150" t="n">
        <v>1</v>
      </c>
      <c r="L150" s="7" t="n">
        <v>629</v>
      </c>
      <c r="M150" s="7" t="n">
        <v>0</v>
      </c>
    </row>
    <row r="151">
      <c r="A151" t="n">
        <v>509401</v>
      </c>
      <c r="B151" s="6" t="n">
        <v>45934</v>
      </c>
      <c r="C151" t="n">
        <v>14814</v>
      </c>
      <c r="D151" t="inlineStr">
        <is>
          <t>Gurugram</t>
        </is>
      </c>
      <c r="E151" t="inlineStr">
        <is>
          <t>North</t>
        </is>
      </c>
      <c r="F151" t="inlineStr">
        <is>
          <t>Referral</t>
        </is>
      </c>
      <c r="G151" t="inlineStr">
        <is>
          <t>Desktop</t>
        </is>
      </c>
      <c r="H151" t="inlineStr">
        <is>
          <t>Credit Card</t>
        </is>
      </c>
      <c r="I151" t="inlineStr">
        <is>
          <t>Cancelled</t>
        </is>
      </c>
      <c r="J151" t="n">
        <v>146</v>
      </c>
      <c r="K151" t="n">
        <v>1</v>
      </c>
      <c r="L151" s="7" t="n">
        <v>4724</v>
      </c>
      <c r="M151" s="7" t="n">
        <v>0</v>
      </c>
    </row>
    <row r="152">
      <c r="A152" t="n">
        <v>509402</v>
      </c>
      <c r="B152" s="6" t="n">
        <v>45934</v>
      </c>
      <c r="C152" t="n">
        <v>13002</v>
      </c>
      <c r="D152" t="inlineStr">
        <is>
          <t>Mumbai</t>
        </is>
      </c>
      <c r="E152" t="inlineStr">
        <is>
          <t>West</t>
        </is>
      </c>
      <c r="F152" t="inlineStr">
        <is>
          <t>Organic Search</t>
        </is>
      </c>
      <c r="G152" t="inlineStr">
        <is>
          <t>Desktop</t>
        </is>
      </c>
      <c r="H152" t="inlineStr">
        <is>
          <t>UPI</t>
        </is>
      </c>
      <c r="I152" t="inlineStr">
        <is>
          <t>Delivered</t>
        </is>
      </c>
      <c r="J152" t="n">
        <v>140</v>
      </c>
      <c r="K152" t="n">
        <v>1</v>
      </c>
      <c r="L152" s="7" t="n">
        <v>629</v>
      </c>
      <c r="M152" s="7" t="n">
        <v>0</v>
      </c>
    </row>
    <row r="153">
      <c r="A153" t="n">
        <v>509402</v>
      </c>
      <c r="B153" s="6" t="n">
        <v>45934</v>
      </c>
      <c r="C153" t="n">
        <v>13002</v>
      </c>
      <c r="D153" t="inlineStr">
        <is>
          <t>Mumbai</t>
        </is>
      </c>
      <c r="E153" t="inlineStr">
        <is>
          <t>West</t>
        </is>
      </c>
      <c r="F153" t="inlineStr">
        <is>
          <t>Organic Search</t>
        </is>
      </c>
      <c r="G153" t="inlineStr">
        <is>
          <t>Desktop</t>
        </is>
      </c>
      <c r="H153" t="inlineStr">
        <is>
          <t>UPI</t>
        </is>
      </c>
      <c r="I153" t="inlineStr">
        <is>
          <t>Delivered</t>
        </is>
      </c>
      <c r="J153" t="n">
        <v>104</v>
      </c>
      <c r="K153" t="n">
        <v>1</v>
      </c>
      <c r="L153" s="7" t="n">
        <v>5249</v>
      </c>
      <c r="M153" s="7" t="n">
        <v>0</v>
      </c>
    </row>
    <row r="154">
      <c r="A154" t="n">
        <v>509402</v>
      </c>
      <c r="B154" s="6" t="n">
        <v>45934</v>
      </c>
      <c r="C154" t="n">
        <v>13002</v>
      </c>
      <c r="D154" t="inlineStr">
        <is>
          <t>Mumbai</t>
        </is>
      </c>
      <c r="E154" t="inlineStr">
        <is>
          <t>West</t>
        </is>
      </c>
      <c r="F154" t="inlineStr">
        <is>
          <t>Organic Search</t>
        </is>
      </c>
      <c r="G154" t="inlineStr">
        <is>
          <t>Desktop</t>
        </is>
      </c>
      <c r="H154" t="inlineStr">
        <is>
          <t>UPI</t>
        </is>
      </c>
      <c r="I154" t="inlineStr">
        <is>
          <t>Delivered</t>
        </is>
      </c>
      <c r="J154" t="n">
        <v>137</v>
      </c>
      <c r="K154" t="n">
        <v>1</v>
      </c>
      <c r="L154" s="7" t="n">
        <v>261</v>
      </c>
      <c r="M154" s="7" t="n">
        <v>0</v>
      </c>
    </row>
    <row r="155">
      <c r="A155" t="n">
        <v>509402</v>
      </c>
      <c r="B155" s="6" t="n">
        <v>45934</v>
      </c>
      <c r="C155" t="n">
        <v>13002</v>
      </c>
      <c r="D155" t="inlineStr">
        <is>
          <t>Mumbai</t>
        </is>
      </c>
      <c r="E155" t="inlineStr">
        <is>
          <t>West</t>
        </is>
      </c>
      <c r="F155" t="inlineStr">
        <is>
          <t>Organic Search</t>
        </is>
      </c>
      <c r="G155" t="inlineStr">
        <is>
          <t>Desktop</t>
        </is>
      </c>
      <c r="H155" t="inlineStr">
        <is>
          <t>UPI</t>
        </is>
      </c>
      <c r="I155" t="inlineStr">
        <is>
          <t>Delivered</t>
        </is>
      </c>
      <c r="J155" t="n">
        <v>109</v>
      </c>
      <c r="K155" t="n">
        <v>3</v>
      </c>
      <c r="L155" s="7" t="n">
        <v>4199</v>
      </c>
      <c r="M155" s="7" t="n">
        <v>0</v>
      </c>
    </row>
    <row r="156">
      <c r="A156" t="n">
        <v>509403</v>
      </c>
      <c r="B156" s="6" t="n">
        <v>45935</v>
      </c>
      <c r="C156" t="n">
        <v>16607</v>
      </c>
      <c r="D156" t="inlineStr">
        <is>
          <t>Delhi</t>
        </is>
      </c>
      <c r="E156" t="inlineStr">
        <is>
          <t>North</t>
        </is>
      </c>
      <c r="F156" t="inlineStr">
        <is>
          <t>Paid Search</t>
        </is>
      </c>
      <c r="G156" t="inlineStr">
        <is>
          <t>Mobile Web</t>
        </is>
      </c>
      <c r="H156" t="inlineStr">
        <is>
          <t>Cash on Delivery</t>
        </is>
      </c>
      <c r="I156" t="inlineStr">
        <is>
          <t>Cancelled</t>
        </is>
      </c>
      <c r="J156" t="n">
        <v>132</v>
      </c>
      <c r="K156" t="n">
        <v>1</v>
      </c>
      <c r="L156" s="7" t="n">
        <v>471</v>
      </c>
      <c r="M156" s="7" t="n">
        <v>47.1</v>
      </c>
    </row>
    <row r="157">
      <c r="A157" t="n">
        <v>509403</v>
      </c>
      <c r="B157" s="6" t="n">
        <v>45935</v>
      </c>
      <c r="C157" t="n">
        <v>16607</v>
      </c>
      <c r="D157" t="inlineStr">
        <is>
          <t>Delhi</t>
        </is>
      </c>
      <c r="E157" t="inlineStr">
        <is>
          <t>North</t>
        </is>
      </c>
      <c r="F157" t="inlineStr">
        <is>
          <t>Paid Search</t>
        </is>
      </c>
      <c r="G157" t="inlineStr">
        <is>
          <t>Mobile Web</t>
        </is>
      </c>
      <c r="H157" t="inlineStr">
        <is>
          <t>Cash on Delivery</t>
        </is>
      </c>
      <c r="I157" t="inlineStr">
        <is>
          <t>Cancelled</t>
        </is>
      </c>
      <c r="J157" t="n">
        <v>129</v>
      </c>
      <c r="K157" t="n">
        <v>1</v>
      </c>
      <c r="L157" s="7" t="n">
        <v>576</v>
      </c>
      <c r="M157" s="7" t="n">
        <v>57.6</v>
      </c>
    </row>
    <row r="158">
      <c r="A158" t="n">
        <v>509404</v>
      </c>
      <c r="B158" s="6" t="n">
        <v>45935</v>
      </c>
      <c r="C158" t="n">
        <v>16128</v>
      </c>
      <c r="D158" t="inlineStr">
        <is>
          <t>Delhi</t>
        </is>
      </c>
      <c r="E158" t="inlineStr">
        <is>
          <t>North</t>
        </is>
      </c>
      <c r="F158" t="inlineStr">
        <is>
          <t>Referral</t>
        </is>
      </c>
      <c r="G158" t="inlineStr">
        <is>
          <t>Mobile App</t>
        </is>
      </c>
      <c r="H158" t="inlineStr">
        <is>
          <t>Credit Card</t>
        </is>
      </c>
      <c r="I158" t="inlineStr">
        <is>
          <t>Delivered</t>
        </is>
      </c>
      <c r="J158" t="n">
        <v>141</v>
      </c>
      <c r="K158" t="n">
        <v>1</v>
      </c>
      <c r="L158" s="7" t="n">
        <v>261</v>
      </c>
      <c r="M158" s="7" t="n">
        <v>26.1</v>
      </c>
    </row>
    <row r="159">
      <c r="A159" t="n">
        <v>509405</v>
      </c>
      <c r="B159" s="6" t="n">
        <v>45935</v>
      </c>
      <c r="C159" t="n">
        <v>14438</v>
      </c>
      <c r="D159" t="inlineStr">
        <is>
          <t>Lucknow</t>
        </is>
      </c>
      <c r="E159" t="inlineStr">
        <is>
          <t>North</t>
        </is>
      </c>
      <c r="F159" t="inlineStr">
        <is>
          <t>Referral</t>
        </is>
      </c>
      <c r="G159" t="inlineStr">
        <is>
          <t>Desktop</t>
        </is>
      </c>
      <c r="H159" t="inlineStr">
        <is>
          <t>UPI</t>
        </is>
      </c>
      <c r="I159" t="inlineStr">
        <is>
          <t>Delivered</t>
        </is>
      </c>
      <c r="J159" t="n">
        <v>109</v>
      </c>
      <c r="K159" t="n">
        <v>1</v>
      </c>
      <c r="L159" s="7" t="n">
        <v>4199</v>
      </c>
      <c r="M159" s="7" t="n">
        <v>419.9</v>
      </c>
    </row>
    <row r="160">
      <c r="A160" t="n">
        <v>509406</v>
      </c>
      <c r="B160" s="6" t="n">
        <v>45935</v>
      </c>
      <c r="C160" t="n">
        <v>13307</v>
      </c>
      <c r="D160" t="inlineStr">
        <is>
          <t>Ahmedabad</t>
        </is>
      </c>
      <c r="E160" t="inlineStr">
        <is>
          <t>West</t>
        </is>
      </c>
      <c r="F160" t="inlineStr">
        <is>
          <t>Paid Social</t>
        </is>
      </c>
      <c r="G160" t="inlineStr">
        <is>
          <t>Mobile App</t>
        </is>
      </c>
      <c r="H160" t="inlineStr">
        <is>
          <t>UPI</t>
        </is>
      </c>
      <c r="I160" t="inlineStr">
        <is>
          <t>Delivered</t>
        </is>
      </c>
      <c r="J160" t="n">
        <v>126</v>
      </c>
      <c r="K160" t="n">
        <v>1</v>
      </c>
      <c r="L160" s="7" t="n">
        <v>471</v>
      </c>
      <c r="M160" s="7" t="n">
        <v>47.1</v>
      </c>
    </row>
    <row r="161">
      <c r="A161" t="n">
        <v>509407</v>
      </c>
      <c r="B161" s="6" t="n">
        <v>45935</v>
      </c>
      <c r="C161" t="n">
        <v>10335</v>
      </c>
      <c r="D161" t="inlineStr">
        <is>
          <t>Hyderabad</t>
        </is>
      </c>
      <c r="E161" t="inlineStr">
        <is>
          <t>South</t>
        </is>
      </c>
      <c r="F161" t="inlineStr">
        <is>
          <t>Referral</t>
        </is>
      </c>
      <c r="G161" t="inlineStr">
        <is>
          <t>Mobile App</t>
        </is>
      </c>
      <c r="H161" t="inlineStr">
        <is>
          <t>Net Banking</t>
        </is>
      </c>
      <c r="I161" t="inlineStr">
        <is>
          <t>Delivered</t>
        </is>
      </c>
      <c r="J161" t="n">
        <v>130</v>
      </c>
      <c r="K161" t="n">
        <v>1</v>
      </c>
      <c r="L161" s="7" t="n">
        <v>734</v>
      </c>
      <c r="M161" s="7" t="n">
        <v>0</v>
      </c>
    </row>
    <row r="162">
      <c r="A162" t="n">
        <v>509408</v>
      </c>
      <c r="B162" s="6" t="n">
        <v>45935</v>
      </c>
      <c r="C162" t="n">
        <v>16624</v>
      </c>
      <c r="D162" t="inlineStr">
        <is>
          <t>Ahmedabad</t>
        </is>
      </c>
      <c r="E162" t="inlineStr">
        <is>
          <t>West</t>
        </is>
      </c>
      <c r="F162" t="inlineStr">
        <is>
          <t>Paid Search</t>
        </is>
      </c>
      <c r="G162" t="inlineStr">
        <is>
          <t>Mobile Web</t>
        </is>
      </c>
      <c r="H162" t="inlineStr">
        <is>
          <t>UPI</t>
        </is>
      </c>
      <c r="I162" t="inlineStr">
        <is>
          <t>Delivered</t>
        </is>
      </c>
      <c r="J162" t="n">
        <v>147</v>
      </c>
      <c r="K162" t="n">
        <v>1</v>
      </c>
      <c r="L162" s="7" t="n">
        <v>1364</v>
      </c>
      <c r="M162" s="7" t="n">
        <v>68.2</v>
      </c>
    </row>
    <row r="163">
      <c r="A163" t="n">
        <v>509408</v>
      </c>
      <c r="B163" s="6" t="n">
        <v>45935</v>
      </c>
      <c r="C163" t="n">
        <v>16624</v>
      </c>
      <c r="D163" t="inlineStr">
        <is>
          <t>Ahmedabad</t>
        </is>
      </c>
      <c r="E163" t="inlineStr">
        <is>
          <t>West</t>
        </is>
      </c>
      <c r="F163" t="inlineStr">
        <is>
          <t>Paid Search</t>
        </is>
      </c>
      <c r="G163" t="inlineStr">
        <is>
          <t>Mobile Web</t>
        </is>
      </c>
      <c r="H163" t="inlineStr">
        <is>
          <t>UPI</t>
        </is>
      </c>
      <c r="I163" t="inlineStr">
        <is>
          <t>Delivered</t>
        </is>
      </c>
      <c r="J163" t="n">
        <v>106</v>
      </c>
      <c r="K163" t="n">
        <v>1</v>
      </c>
      <c r="L163" s="7" t="n">
        <v>1574</v>
      </c>
      <c r="M163" s="7" t="n">
        <v>78.7</v>
      </c>
    </row>
    <row r="164">
      <c r="A164" t="n">
        <v>509409</v>
      </c>
      <c r="B164" s="6" t="n">
        <v>45935</v>
      </c>
      <c r="C164" t="n">
        <v>14133</v>
      </c>
      <c r="D164" t="inlineStr">
        <is>
          <t>Bengaluru</t>
        </is>
      </c>
      <c r="E164" t="inlineStr">
        <is>
          <t>South</t>
        </is>
      </c>
      <c r="F164" t="inlineStr">
        <is>
          <t>Referral</t>
        </is>
      </c>
      <c r="G164" t="inlineStr">
        <is>
          <t>Mobile Web</t>
        </is>
      </c>
      <c r="H164" t="inlineStr">
        <is>
          <t>Credit Card</t>
        </is>
      </c>
      <c r="I164" t="inlineStr">
        <is>
          <t>Returned</t>
        </is>
      </c>
      <c r="J164" t="n">
        <v>116</v>
      </c>
      <c r="K164" t="n">
        <v>3</v>
      </c>
      <c r="L164" s="7" t="n">
        <v>2624</v>
      </c>
      <c r="M164" s="7" t="n">
        <v>787.2</v>
      </c>
    </row>
    <row r="165">
      <c r="A165" t="n">
        <v>509409</v>
      </c>
      <c r="B165" s="6" t="n">
        <v>45935</v>
      </c>
      <c r="C165" t="n">
        <v>14133</v>
      </c>
      <c r="D165" t="inlineStr">
        <is>
          <t>Bengaluru</t>
        </is>
      </c>
      <c r="E165" t="inlineStr">
        <is>
          <t>South</t>
        </is>
      </c>
      <c r="F165" t="inlineStr">
        <is>
          <t>Referral</t>
        </is>
      </c>
      <c r="G165" t="inlineStr">
        <is>
          <t>Mobile Web</t>
        </is>
      </c>
      <c r="H165" t="inlineStr">
        <is>
          <t>Credit Card</t>
        </is>
      </c>
      <c r="I165" t="inlineStr">
        <is>
          <t>Returned</t>
        </is>
      </c>
      <c r="J165" t="n">
        <v>137</v>
      </c>
      <c r="K165" t="n">
        <v>1</v>
      </c>
      <c r="L165" s="7" t="n">
        <v>261</v>
      </c>
      <c r="M165" s="7" t="n">
        <v>26.1</v>
      </c>
    </row>
    <row r="166">
      <c r="A166" t="n">
        <v>509409</v>
      </c>
      <c r="B166" s="6" t="n">
        <v>45935</v>
      </c>
      <c r="C166" t="n">
        <v>14133</v>
      </c>
      <c r="D166" t="inlineStr">
        <is>
          <t>Bengaluru</t>
        </is>
      </c>
      <c r="E166" t="inlineStr">
        <is>
          <t>South</t>
        </is>
      </c>
      <c r="F166" t="inlineStr">
        <is>
          <t>Referral</t>
        </is>
      </c>
      <c r="G166" t="inlineStr">
        <is>
          <t>Mobile Web</t>
        </is>
      </c>
      <c r="H166" t="inlineStr">
        <is>
          <t>Credit Card</t>
        </is>
      </c>
      <c r="I166" t="inlineStr">
        <is>
          <t>Returned</t>
        </is>
      </c>
      <c r="J166" t="n">
        <v>145</v>
      </c>
      <c r="K166" t="n">
        <v>2</v>
      </c>
      <c r="L166" s="7" t="n">
        <v>629</v>
      </c>
      <c r="M166" s="7" t="n">
        <v>125.8</v>
      </c>
    </row>
    <row r="167">
      <c r="A167" t="n">
        <v>509410</v>
      </c>
      <c r="B167" s="6" t="n">
        <v>45935</v>
      </c>
      <c r="C167" t="n">
        <v>12521</v>
      </c>
      <c r="D167" t="inlineStr">
        <is>
          <t>Mumbai</t>
        </is>
      </c>
      <c r="E167" t="inlineStr">
        <is>
          <t>West</t>
        </is>
      </c>
      <c r="F167" t="inlineStr">
        <is>
          <t>Organic Search</t>
        </is>
      </c>
      <c r="G167" t="inlineStr">
        <is>
          <t>Mobile App</t>
        </is>
      </c>
      <c r="H167" t="inlineStr">
        <is>
          <t>Cash on Delivery</t>
        </is>
      </c>
      <c r="I167" t="inlineStr">
        <is>
          <t>Delivered</t>
        </is>
      </c>
      <c r="J167" t="n">
        <v>104</v>
      </c>
      <c r="K167" t="n">
        <v>1</v>
      </c>
      <c r="L167" s="7" t="n">
        <v>5249</v>
      </c>
      <c r="M167" s="7" t="n">
        <v>0</v>
      </c>
    </row>
    <row r="168">
      <c r="A168" t="n">
        <v>509411</v>
      </c>
      <c r="B168" s="6" t="n">
        <v>45935</v>
      </c>
      <c r="C168" t="n">
        <v>11895</v>
      </c>
      <c r="D168" t="inlineStr">
        <is>
          <t>Pune</t>
        </is>
      </c>
      <c r="E168" t="inlineStr">
        <is>
          <t>West</t>
        </is>
      </c>
      <c r="F168" t="inlineStr">
        <is>
          <t>Email</t>
        </is>
      </c>
      <c r="G168" t="inlineStr">
        <is>
          <t>Mobile Web</t>
        </is>
      </c>
      <c r="H168" t="inlineStr">
        <is>
          <t>Debit Card</t>
        </is>
      </c>
      <c r="I168" t="inlineStr">
        <is>
          <t>Delivered</t>
        </is>
      </c>
      <c r="J168" t="n">
        <v>106</v>
      </c>
      <c r="K168" t="n">
        <v>1</v>
      </c>
      <c r="L168" s="7" t="n">
        <v>1574</v>
      </c>
      <c r="M168" s="7" t="n">
        <v>0</v>
      </c>
    </row>
    <row r="169">
      <c r="A169" t="n">
        <v>509411</v>
      </c>
      <c r="B169" s="6" t="n">
        <v>45935</v>
      </c>
      <c r="C169" t="n">
        <v>11895</v>
      </c>
      <c r="D169" t="inlineStr">
        <is>
          <t>Pune</t>
        </is>
      </c>
      <c r="E169" t="inlineStr">
        <is>
          <t>West</t>
        </is>
      </c>
      <c r="F169" t="inlineStr">
        <is>
          <t>Email</t>
        </is>
      </c>
      <c r="G169" t="inlineStr">
        <is>
          <t>Mobile Web</t>
        </is>
      </c>
      <c r="H169" t="inlineStr">
        <is>
          <t>Debit Card</t>
        </is>
      </c>
      <c r="I169" t="inlineStr">
        <is>
          <t>Delivered</t>
        </is>
      </c>
      <c r="J169" t="n">
        <v>126</v>
      </c>
      <c r="K169" t="n">
        <v>1</v>
      </c>
      <c r="L169" s="7" t="n">
        <v>471</v>
      </c>
      <c r="M169" s="7" t="n">
        <v>0</v>
      </c>
    </row>
    <row r="170">
      <c r="A170" t="n">
        <v>509411</v>
      </c>
      <c r="B170" s="6" t="n">
        <v>45935</v>
      </c>
      <c r="C170" t="n">
        <v>11895</v>
      </c>
      <c r="D170" t="inlineStr">
        <is>
          <t>Pune</t>
        </is>
      </c>
      <c r="E170" t="inlineStr">
        <is>
          <t>West</t>
        </is>
      </c>
      <c r="F170" t="inlineStr">
        <is>
          <t>Email</t>
        </is>
      </c>
      <c r="G170" t="inlineStr">
        <is>
          <t>Mobile Web</t>
        </is>
      </c>
      <c r="H170" t="inlineStr">
        <is>
          <t>Debit Card</t>
        </is>
      </c>
      <c r="I170" t="inlineStr">
        <is>
          <t>Delivered</t>
        </is>
      </c>
      <c r="J170" t="n">
        <v>112</v>
      </c>
      <c r="K170" t="n">
        <v>2</v>
      </c>
      <c r="L170" s="7" t="n">
        <v>1574</v>
      </c>
      <c r="M170" s="7" t="n">
        <v>0</v>
      </c>
    </row>
    <row r="171">
      <c r="A171" t="n">
        <v>509411</v>
      </c>
      <c r="B171" s="6" t="n">
        <v>45935</v>
      </c>
      <c r="C171" t="n">
        <v>11895</v>
      </c>
      <c r="D171" t="inlineStr">
        <is>
          <t>Pune</t>
        </is>
      </c>
      <c r="E171" t="inlineStr">
        <is>
          <t>West</t>
        </is>
      </c>
      <c r="F171" t="inlineStr">
        <is>
          <t>Email</t>
        </is>
      </c>
      <c r="G171" t="inlineStr">
        <is>
          <t>Mobile Web</t>
        </is>
      </c>
      <c r="H171" t="inlineStr">
        <is>
          <t>Debit Card</t>
        </is>
      </c>
      <c r="I171" t="inlineStr">
        <is>
          <t>Delivered</t>
        </is>
      </c>
      <c r="J171" t="n">
        <v>143</v>
      </c>
      <c r="K171" t="n">
        <v>1</v>
      </c>
      <c r="L171" s="7" t="n">
        <v>839</v>
      </c>
      <c r="M171" s="7" t="n">
        <v>0</v>
      </c>
    </row>
    <row r="172">
      <c r="A172" t="n">
        <v>509411</v>
      </c>
      <c r="B172" s="6" t="n">
        <v>45935</v>
      </c>
      <c r="C172" t="n">
        <v>11895</v>
      </c>
      <c r="D172" t="inlineStr">
        <is>
          <t>Pune</t>
        </is>
      </c>
      <c r="E172" t="inlineStr">
        <is>
          <t>West</t>
        </is>
      </c>
      <c r="F172" t="inlineStr">
        <is>
          <t>Email</t>
        </is>
      </c>
      <c r="G172" t="inlineStr">
        <is>
          <t>Mobile Web</t>
        </is>
      </c>
      <c r="H172" t="inlineStr">
        <is>
          <t>Debit Card</t>
        </is>
      </c>
      <c r="I172" t="inlineStr">
        <is>
          <t>Delivered</t>
        </is>
      </c>
      <c r="J172" t="n">
        <v>129</v>
      </c>
      <c r="K172" t="n">
        <v>1</v>
      </c>
      <c r="L172" s="7" t="n">
        <v>576</v>
      </c>
      <c r="M172" s="7" t="n">
        <v>0</v>
      </c>
    </row>
    <row r="173">
      <c r="A173" t="n">
        <v>509412</v>
      </c>
      <c r="B173" s="6" t="n">
        <v>45935</v>
      </c>
      <c r="C173" t="n">
        <v>16297</v>
      </c>
      <c r="D173" t="inlineStr">
        <is>
          <t>Bengaluru</t>
        </is>
      </c>
      <c r="E173" t="inlineStr">
        <is>
          <t>South</t>
        </is>
      </c>
      <c r="F173" t="inlineStr">
        <is>
          <t>Referral</t>
        </is>
      </c>
      <c r="G173" t="inlineStr">
        <is>
          <t>Desktop</t>
        </is>
      </c>
      <c r="H173" t="inlineStr">
        <is>
          <t>UPI</t>
        </is>
      </c>
      <c r="I173" t="inlineStr">
        <is>
          <t>Delivered</t>
        </is>
      </c>
      <c r="J173" t="n">
        <v>113</v>
      </c>
      <c r="K173" t="n">
        <v>1</v>
      </c>
      <c r="L173" s="7" t="n">
        <v>1364</v>
      </c>
      <c r="M173" s="7" t="n">
        <v>136.4</v>
      </c>
    </row>
    <row r="174">
      <c r="A174" t="n">
        <v>509413</v>
      </c>
      <c r="B174" s="6" t="n">
        <v>45935</v>
      </c>
      <c r="C174" t="n">
        <v>12746</v>
      </c>
      <c r="D174" t="inlineStr">
        <is>
          <t>Chandigarh</t>
        </is>
      </c>
      <c r="E174" t="inlineStr">
        <is>
          <t>North</t>
        </is>
      </c>
      <c r="F174" t="inlineStr">
        <is>
          <t>Organic Search</t>
        </is>
      </c>
      <c r="G174" t="inlineStr">
        <is>
          <t>Mobile Web</t>
        </is>
      </c>
      <c r="H174" t="inlineStr">
        <is>
          <t>UPI</t>
        </is>
      </c>
      <c r="I174" t="inlineStr">
        <is>
          <t>Returned</t>
        </is>
      </c>
      <c r="J174" t="n">
        <v>104</v>
      </c>
      <c r="K174" t="n">
        <v>1</v>
      </c>
      <c r="L174" s="7" t="n">
        <v>5249</v>
      </c>
      <c r="M174" s="7" t="n">
        <v>262.45</v>
      </c>
    </row>
    <row r="175">
      <c r="A175" t="n">
        <v>509413</v>
      </c>
      <c r="B175" s="6" t="n">
        <v>45935</v>
      </c>
      <c r="C175" t="n">
        <v>12746</v>
      </c>
      <c r="D175" t="inlineStr">
        <is>
          <t>Chandigarh</t>
        </is>
      </c>
      <c r="E175" t="inlineStr">
        <is>
          <t>North</t>
        </is>
      </c>
      <c r="F175" t="inlineStr">
        <is>
          <t>Organic Search</t>
        </is>
      </c>
      <c r="G175" t="inlineStr">
        <is>
          <t>Mobile Web</t>
        </is>
      </c>
      <c r="H175" t="inlineStr">
        <is>
          <t>UPI</t>
        </is>
      </c>
      <c r="I175" t="inlineStr">
        <is>
          <t>Returned</t>
        </is>
      </c>
      <c r="J175" t="n">
        <v>113</v>
      </c>
      <c r="K175" t="n">
        <v>1</v>
      </c>
      <c r="L175" s="7" t="n">
        <v>1364</v>
      </c>
      <c r="M175" s="7" t="n">
        <v>68.2</v>
      </c>
    </row>
    <row r="176">
      <c r="A176" t="n">
        <v>509413</v>
      </c>
      <c r="B176" s="6" t="n">
        <v>45935</v>
      </c>
      <c r="C176" t="n">
        <v>12746</v>
      </c>
      <c r="D176" t="inlineStr">
        <is>
          <t>Chandigarh</t>
        </is>
      </c>
      <c r="E176" t="inlineStr">
        <is>
          <t>North</t>
        </is>
      </c>
      <c r="F176" t="inlineStr">
        <is>
          <t>Organic Search</t>
        </is>
      </c>
      <c r="G176" t="inlineStr">
        <is>
          <t>Mobile Web</t>
        </is>
      </c>
      <c r="H176" t="inlineStr">
        <is>
          <t>UPI</t>
        </is>
      </c>
      <c r="I176" t="inlineStr">
        <is>
          <t>Returned</t>
        </is>
      </c>
      <c r="J176" t="n">
        <v>114</v>
      </c>
      <c r="K176" t="n">
        <v>1</v>
      </c>
      <c r="L176" s="7" t="n">
        <v>1259</v>
      </c>
      <c r="M176" s="7" t="n">
        <v>62.95</v>
      </c>
    </row>
    <row r="177">
      <c r="A177" t="n">
        <v>509414</v>
      </c>
      <c r="B177" s="6" t="n">
        <v>45935</v>
      </c>
      <c r="C177" t="n">
        <v>11819</v>
      </c>
      <c r="D177" t="inlineStr">
        <is>
          <t>Bengaluru</t>
        </is>
      </c>
      <c r="E177" t="inlineStr">
        <is>
          <t>South</t>
        </is>
      </c>
      <c r="F177" t="inlineStr">
        <is>
          <t>Organic Search</t>
        </is>
      </c>
      <c r="G177" t="inlineStr">
        <is>
          <t>Mobile Web</t>
        </is>
      </c>
      <c r="H177" t="inlineStr">
        <is>
          <t>Debit Card</t>
        </is>
      </c>
      <c r="I177" t="inlineStr">
        <is>
          <t>Delivered</t>
        </is>
      </c>
      <c r="J177" t="n">
        <v>143</v>
      </c>
      <c r="K177" t="n">
        <v>1</v>
      </c>
      <c r="L177" s="7" t="n">
        <v>839</v>
      </c>
      <c r="M177" s="7" t="n">
        <v>0</v>
      </c>
    </row>
    <row r="178">
      <c r="A178" t="n">
        <v>509414</v>
      </c>
      <c r="B178" s="6" t="n">
        <v>45935</v>
      </c>
      <c r="C178" t="n">
        <v>11819</v>
      </c>
      <c r="D178" t="inlineStr">
        <is>
          <t>Bengaluru</t>
        </is>
      </c>
      <c r="E178" t="inlineStr">
        <is>
          <t>South</t>
        </is>
      </c>
      <c r="F178" t="inlineStr">
        <is>
          <t>Organic Search</t>
        </is>
      </c>
      <c r="G178" t="inlineStr">
        <is>
          <t>Mobile Web</t>
        </is>
      </c>
      <c r="H178" t="inlineStr">
        <is>
          <t>Debit Card</t>
        </is>
      </c>
      <c r="I178" t="inlineStr">
        <is>
          <t>Delivered</t>
        </is>
      </c>
      <c r="J178" t="n">
        <v>129</v>
      </c>
      <c r="K178" t="n">
        <v>2</v>
      </c>
      <c r="L178" s="7" t="n">
        <v>576</v>
      </c>
      <c r="M178" s="7" t="n">
        <v>0</v>
      </c>
    </row>
    <row r="179">
      <c r="A179" t="n">
        <v>509415</v>
      </c>
      <c r="B179" s="6" t="n">
        <v>45935</v>
      </c>
      <c r="C179" t="n">
        <v>11941</v>
      </c>
      <c r="D179" t="inlineStr">
        <is>
          <t>Chennai</t>
        </is>
      </c>
      <c r="E179" t="inlineStr">
        <is>
          <t>South</t>
        </is>
      </c>
      <c r="F179" t="inlineStr">
        <is>
          <t>Paid Social</t>
        </is>
      </c>
      <c r="G179" t="inlineStr">
        <is>
          <t>Mobile App</t>
        </is>
      </c>
      <c r="H179" t="inlineStr">
        <is>
          <t>UPI</t>
        </is>
      </c>
      <c r="I179" t="inlineStr">
        <is>
          <t>Delivered</t>
        </is>
      </c>
      <c r="J179" t="n">
        <v>116</v>
      </c>
      <c r="K179" t="n">
        <v>1</v>
      </c>
      <c r="L179" s="7" t="n">
        <v>2624</v>
      </c>
      <c r="M179" s="7" t="n">
        <v>262.4</v>
      </c>
    </row>
    <row r="180">
      <c r="A180" t="n">
        <v>509415</v>
      </c>
      <c r="B180" s="6" t="n">
        <v>45935</v>
      </c>
      <c r="C180" t="n">
        <v>11941</v>
      </c>
      <c r="D180" t="inlineStr">
        <is>
          <t>Chennai</t>
        </is>
      </c>
      <c r="E180" t="inlineStr">
        <is>
          <t>South</t>
        </is>
      </c>
      <c r="F180" t="inlineStr">
        <is>
          <t>Paid Social</t>
        </is>
      </c>
      <c r="G180" t="inlineStr">
        <is>
          <t>Mobile App</t>
        </is>
      </c>
      <c r="H180" t="inlineStr">
        <is>
          <t>UPI</t>
        </is>
      </c>
      <c r="I180" t="inlineStr">
        <is>
          <t>Delivered</t>
        </is>
      </c>
      <c r="J180" t="n">
        <v>101</v>
      </c>
      <c r="K180" t="n">
        <v>2</v>
      </c>
      <c r="L180" s="7" t="n">
        <v>2099</v>
      </c>
      <c r="M180" s="7" t="n">
        <v>419.8</v>
      </c>
    </row>
    <row r="181">
      <c r="A181" t="n">
        <v>509415</v>
      </c>
      <c r="B181" s="6" t="n">
        <v>45935</v>
      </c>
      <c r="C181" t="n">
        <v>11941</v>
      </c>
      <c r="D181" t="inlineStr">
        <is>
          <t>Chennai</t>
        </is>
      </c>
      <c r="E181" t="inlineStr">
        <is>
          <t>South</t>
        </is>
      </c>
      <c r="F181" t="inlineStr">
        <is>
          <t>Paid Social</t>
        </is>
      </c>
      <c r="G181" t="inlineStr">
        <is>
          <t>Mobile App</t>
        </is>
      </c>
      <c r="H181" t="inlineStr">
        <is>
          <t>UPI</t>
        </is>
      </c>
      <c r="I181" t="inlineStr">
        <is>
          <t>Delivered</t>
        </is>
      </c>
      <c r="J181" t="n">
        <v>113</v>
      </c>
      <c r="K181" t="n">
        <v>1</v>
      </c>
      <c r="L181" s="7" t="n">
        <v>1364</v>
      </c>
      <c r="M181" s="7" t="n">
        <v>136.4</v>
      </c>
    </row>
    <row r="182">
      <c r="A182" t="n">
        <v>509415</v>
      </c>
      <c r="B182" s="6" t="n">
        <v>45935</v>
      </c>
      <c r="C182" t="n">
        <v>11941</v>
      </c>
      <c r="D182" t="inlineStr">
        <is>
          <t>Chennai</t>
        </is>
      </c>
      <c r="E182" t="inlineStr">
        <is>
          <t>South</t>
        </is>
      </c>
      <c r="F182" t="inlineStr">
        <is>
          <t>Paid Social</t>
        </is>
      </c>
      <c r="G182" t="inlineStr">
        <is>
          <t>Mobile App</t>
        </is>
      </c>
      <c r="H182" t="inlineStr">
        <is>
          <t>UPI</t>
        </is>
      </c>
      <c r="I182" t="inlineStr">
        <is>
          <t>Delivered</t>
        </is>
      </c>
      <c r="J182" t="n">
        <v>118</v>
      </c>
      <c r="K182" t="n">
        <v>1</v>
      </c>
      <c r="L182" s="7" t="n">
        <v>944</v>
      </c>
      <c r="M182" s="7" t="n">
        <v>94.40000000000001</v>
      </c>
    </row>
    <row r="183">
      <c r="A183" t="n">
        <v>509416</v>
      </c>
      <c r="B183" s="6" t="n">
        <v>45935</v>
      </c>
      <c r="C183" t="n">
        <v>15686</v>
      </c>
      <c r="D183" t="inlineStr">
        <is>
          <t>Indore</t>
        </is>
      </c>
      <c r="E183" t="inlineStr">
        <is>
          <t>West</t>
        </is>
      </c>
      <c r="F183" t="inlineStr">
        <is>
          <t>Paid Social</t>
        </is>
      </c>
      <c r="G183" t="inlineStr">
        <is>
          <t>Mobile Web</t>
        </is>
      </c>
      <c r="H183" t="inlineStr">
        <is>
          <t>Cash on Delivery</t>
        </is>
      </c>
      <c r="I183" t="inlineStr">
        <is>
          <t>Delivered</t>
        </is>
      </c>
      <c r="J183" t="n">
        <v>107</v>
      </c>
      <c r="K183" t="n">
        <v>1</v>
      </c>
      <c r="L183" s="7" t="n">
        <v>1259</v>
      </c>
      <c r="M183" s="7" t="n">
        <v>125.9</v>
      </c>
    </row>
    <row r="184">
      <c r="A184" t="n">
        <v>509416</v>
      </c>
      <c r="B184" s="6" t="n">
        <v>45935</v>
      </c>
      <c r="C184" t="n">
        <v>15686</v>
      </c>
      <c r="D184" t="inlineStr">
        <is>
          <t>Indore</t>
        </is>
      </c>
      <c r="E184" t="inlineStr">
        <is>
          <t>West</t>
        </is>
      </c>
      <c r="F184" t="inlineStr">
        <is>
          <t>Paid Social</t>
        </is>
      </c>
      <c r="G184" t="inlineStr">
        <is>
          <t>Mobile Web</t>
        </is>
      </c>
      <c r="H184" t="inlineStr">
        <is>
          <t>Cash on Delivery</t>
        </is>
      </c>
      <c r="I184" t="inlineStr">
        <is>
          <t>Delivered</t>
        </is>
      </c>
      <c r="J184" t="n">
        <v>129</v>
      </c>
      <c r="K184" t="n">
        <v>1</v>
      </c>
      <c r="L184" s="7" t="n">
        <v>576</v>
      </c>
      <c r="M184" s="7" t="n">
        <v>57.6</v>
      </c>
    </row>
    <row r="185">
      <c r="A185" t="n">
        <v>509417</v>
      </c>
      <c r="B185" s="6" t="n">
        <v>45935</v>
      </c>
      <c r="C185" t="n">
        <v>13210</v>
      </c>
      <c r="D185" t="inlineStr">
        <is>
          <t>Bengaluru</t>
        </is>
      </c>
      <c r="E185" t="inlineStr">
        <is>
          <t>South</t>
        </is>
      </c>
      <c r="F185" t="inlineStr">
        <is>
          <t>Paid Social</t>
        </is>
      </c>
      <c r="G185" t="inlineStr">
        <is>
          <t>Mobile App</t>
        </is>
      </c>
      <c r="H185" t="inlineStr">
        <is>
          <t>UPI</t>
        </is>
      </c>
      <c r="I185" t="inlineStr">
        <is>
          <t>Delivered</t>
        </is>
      </c>
      <c r="J185" t="n">
        <v>108</v>
      </c>
      <c r="K185" t="n">
        <v>2</v>
      </c>
      <c r="L185" s="7" t="n">
        <v>419</v>
      </c>
      <c r="M185" s="7" t="n">
        <v>83.8</v>
      </c>
    </row>
    <row r="186">
      <c r="A186" t="n">
        <v>509417</v>
      </c>
      <c r="B186" s="6" t="n">
        <v>45935</v>
      </c>
      <c r="C186" t="n">
        <v>13210</v>
      </c>
      <c r="D186" t="inlineStr">
        <is>
          <t>Bengaluru</t>
        </is>
      </c>
      <c r="E186" t="inlineStr">
        <is>
          <t>South</t>
        </is>
      </c>
      <c r="F186" t="inlineStr">
        <is>
          <t>Paid Social</t>
        </is>
      </c>
      <c r="G186" t="inlineStr">
        <is>
          <t>Mobile App</t>
        </is>
      </c>
      <c r="H186" t="inlineStr">
        <is>
          <t>UPI</t>
        </is>
      </c>
      <c r="I186" t="inlineStr">
        <is>
          <t>Delivered</t>
        </is>
      </c>
      <c r="J186" t="n">
        <v>129</v>
      </c>
      <c r="K186" t="n">
        <v>1</v>
      </c>
      <c r="L186" s="7" t="n">
        <v>576</v>
      </c>
      <c r="M186" s="7" t="n">
        <v>57.6</v>
      </c>
    </row>
    <row r="187">
      <c r="A187" t="n">
        <v>509418</v>
      </c>
      <c r="B187" s="6" t="n">
        <v>45935</v>
      </c>
      <c r="C187" t="n">
        <v>16055</v>
      </c>
      <c r="D187" t="inlineStr">
        <is>
          <t>Bengaluru</t>
        </is>
      </c>
      <c r="E187" t="inlineStr">
        <is>
          <t>South</t>
        </is>
      </c>
      <c r="F187" t="inlineStr">
        <is>
          <t>Paid Social</t>
        </is>
      </c>
      <c r="G187" t="inlineStr">
        <is>
          <t>Mobile App</t>
        </is>
      </c>
      <c r="H187" t="inlineStr">
        <is>
          <t>UPI</t>
        </is>
      </c>
      <c r="I187" t="inlineStr">
        <is>
          <t>Delivered</t>
        </is>
      </c>
      <c r="J187" t="n">
        <v>141</v>
      </c>
      <c r="K187" t="n">
        <v>1</v>
      </c>
      <c r="L187" s="7" t="n">
        <v>261</v>
      </c>
      <c r="M187" s="7" t="n">
        <v>0</v>
      </c>
    </row>
    <row r="188">
      <c r="A188" t="n">
        <v>509418</v>
      </c>
      <c r="B188" s="6" t="n">
        <v>45935</v>
      </c>
      <c r="C188" t="n">
        <v>16055</v>
      </c>
      <c r="D188" t="inlineStr">
        <is>
          <t>Bengaluru</t>
        </is>
      </c>
      <c r="E188" t="inlineStr">
        <is>
          <t>South</t>
        </is>
      </c>
      <c r="F188" t="inlineStr">
        <is>
          <t>Paid Social</t>
        </is>
      </c>
      <c r="G188" t="inlineStr">
        <is>
          <t>Mobile App</t>
        </is>
      </c>
      <c r="H188" t="inlineStr">
        <is>
          <t>UPI</t>
        </is>
      </c>
      <c r="I188" t="inlineStr">
        <is>
          <t>Delivered</t>
        </is>
      </c>
      <c r="J188" t="n">
        <v>115</v>
      </c>
      <c r="K188" t="n">
        <v>1</v>
      </c>
      <c r="L188" s="7" t="n">
        <v>4199</v>
      </c>
      <c r="M188" s="7" t="n">
        <v>0</v>
      </c>
    </row>
    <row r="189">
      <c r="A189" t="n">
        <v>509419</v>
      </c>
      <c r="B189" s="6" t="n">
        <v>45935</v>
      </c>
      <c r="C189" t="n">
        <v>11413</v>
      </c>
      <c r="D189" t="inlineStr">
        <is>
          <t>Chennai</t>
        </is>
      </c>
      <c r="E189" t="inlineStr">
        <is>
          <t>South</t>
        </is>
      </c>
      <c r="F189" t="inlineStr">
        <is>
          <t>Paid Search</t>
        </is>
      </c>
      <c r="G189" t="inlineStr">
        <is>
          <t>Desktop</t>
        </is>
      </c>
      <c r="H189" t="inlineStr">
        <is>
          <t>UPI</t>
        </is>
      </c>
      <c r="I189" t="inlineStr">
        <is>
          <t>Delivered</t>
        </is>
      </c>
      <c r="J189" t="n">
        <v>118</v>
      </c>
      <c r="K189" t="n">
        <v>1</v>
      </c>
      <c r="L189" s="7" t="n">
        <v>944</v>
      </c>
      <c r="M189" s="7" t="n">
        <v>94.40000000000001</v>
      </c>
    </row>
    <row r="190">
      <c r="A190" t="n">
        <v>509419</v>
      </c>
      <c r="B190" s="6" t="n">
        <v>45935</v>
      </c>
      <c r="C190" t="n">
        <v>11413</v>
      </c>
      <c r="D190" t="inlineStr">
        <is>
          <t>Chennai</t>
        </is>
      </c>
      <c r="E190" t="inlineStr">
        <is>
          <t>South</t>
        </is>
      </c>
      <c r="F190" t="inlineStr">
        <is>
          <t>Paid Search</t>
        </is>
      </c>
      <c r="G190" t="inlineStr">
        <is>
          <t>Desktop</t>
        </is>
      </c>
      <c r="H190" t="inlineStr">
        <is>
          <t>UPI</t>
        </is>
      </c>
      <c r="I190" t="inlineStr">
        <is>
          <t>Delivered</t>
        </is>
      </c>
      <c r="J190" t="n">
        <v>129</v>
      </c>
      <c r="K190" t="n">
        <v>2</v>
      </c>
      <c r="L190" s="7" t="n">
        <v>576</v>
      </c>
      <c r="M190" s="7" t="n">
        <v>115.2</v>
      </c>
    </row>
    <row r="191">
      <c r="A191" t="n">
        <v>509420</v>
      </c>
      <c r="B191" s="6" t="n">
        <v>45935</v>
      </c>
      <c r="C191" t="n">
        <v>14791</v>
      </c>
      <c r="D191" t="inlineStr">
        <is>
          <t>Bengaluru</t>
        </is>
      </c>
      <c r="E191" t="inlineStr">
        <is>
          <t>South</t>
        </is>
      </c>
      <c r="F191" t="inlineStr">
        <is>
          <t>Email</t>
        </is>
      </c>
      <c r="G191" t="inlineStr">
        <is>
          <t>Mobile Web</t>
        </is>
      </c>
      <c r="H191" t="inlineStr">
        <is>
          <t>UPI</t>
        </is>
      </c>
      <c r="I191" t="inlineStr">
        <is>
          <t>Delivered</t>
        </is>
      </c>
      <c r="J191" t="n">
        <v>121</v>
      </c>
      <c r="K191" t="n">
        <v>1</v>
      </c>
      <c r="L191" s="7" t="n">
        <v>2939</v>
      </c>
      <c r="M191" s="7" t="n">
        <v>293.9</v>
      </c>
    </row>
    <row r="192">
      <c r="A192" t="n">
        <v>509421</v>
      </c>
      <c r="B192" s="6" t="n">
        <v>45935</v>
      </c>
      <c r="C192" t="n">
        <v>16463</v>
      </c>
      <c r="D192" t="inlineStr">
        <is>
          <t>Kolkata</t>
        </is>
      </c>
      <c r="E192" t="inlineStr">
        <is>
          <t>East</t>
        </is>
      </c>
      <c r="F192" t="inlineStr">
        <is>
          <t>Organic Search</t>
        </is>
      </c>
      <c r="G192" t="inlineStr">
        <is>
          <t>Mobile App</t>
        </is>
      </c>
      <c r="H192" t="inlineStr">
        <is>
          <t>Credit Card</t>
        </is>
      </c>
      <c r="I192" t="inlineStr">
        <is>
          <t>Delivered</t>
        </is>
      </c>
      <c r="J192" t="n">
        <v>118</v>
      </c>
      <c r="K192" t="n">
        <v>1</v>
      </c>
      <c r="L192" s="7" t="n">
        <v>944</v>
      </c>
      <c r="M192" s="7" t="n">
        <v>141.6</v>
      </c>
    </row>
    <row r="193">
      <c r="A193" t="n">
        <v>509421</v>
      </c>
      <c r="B193" s="6" t="n">
        <v>45935</v>
      </c>
      <c r="C193" t="n">
        <v>16463</v>
      </c>
      <c r="D193" t="inlineStr">
        <is>
          <t>Kolkata</t>
        </is>
      </c>
      <c r="E193" t="inlineStr">
        <is>
          <t>East</t>
        </is>
      </c>
      <c r="F193" t="inlineStr">
        <is>
          <t>Organic Search</t>
        </is>
      </c>
      <c r="G193" t="inlineStr">
        <is>
          <t>Mobile App</t>
        </is>
      </c>
      <c r="H193" t="inlineStr">
        <is>
          <t>Credit Card</t>
        </is>
      </c>
      <c r="I193" t="inlineStr">
        <is>
          <t>Delivered</t>
        </is>
      </c>
      <c r="J193" t="n">
        <v>117</v>
      </c>
      <c r="K193" t="n">
        <v>2</v>
      </c>
      <c r="L193" s="7" t="n">
        <v>3149</v>
      </c>
      <c r="M193" s="7" t="n">
        <v>944.7</v>
      </c>
    </row>
    <row r="194">
      <c r="A194" t="n">
        <v>509422</v>
      </c>
      <c r="B194" s="6" t="n">
        <v>45935</v>
      </c>
      <c r="C194" t="n">
        <v>13025</v>
      </c>
      <c r="D194" t="inlineStr">
        <is>
          <t>Gurugram</t>
        </is>
      </c>
      <c r="E194" t="inlineStr">
        <is>
          <t>North</t>
        </is>
      </c>
      <c r="F194" t="inlineStr">
        <is>
          <t>Paid Search</t>
        </is>
      </c>
      <c r="G194" t="inlineStr">
        <is>
          <t>Mobile App</t>
        </is>
      </c>
      <c r="H194" t="inlineStr">
        <is>
          <t>UPI</t>
        </is>
      </c>
      <c r="I194" t="inlineStr">
        <is>
          <t>Delivered</t>
        </is>
      </c>
      <c r="J194" t="n">
        <v>116</v>
      </c>
      <c r="K194" t="n">
        <v>2</v>
      </c>
      <c r="L194" s="7" t="n">
        <v>2624</v>
      </c>
      <c r="M194" s="7" t="n">
        <v>262.4</v>
      </c>
    </row>
    <row r="195">
      <c r="A195" t="n">
        <v>509423</v>
      </c>
      <c r="B195" s="6" t="n">
        <v>45935</v>
      </c>
      <c r="C195" t="n">
        <v>15888</v>
      </c>
      <c r="D195" t="inlineStr">
        <is>
          <t>Ahmedabad</t>
        </is>
      </c>
      <c r="E195" t="inlineStr">
        <is>
          <t>West</t>
        </is>
      </c>
      <c r="F195" t="inlineStr">
        <is>
          <t>Organic Search</t>
        </is>
      </c>
      <c r="G195" t="inlineStr">
        <is>
          <t>Desktop</t>
        </is>
      </c>
      <c r="H195" t="inlineStr">
        <is>
          <t>Debit Card</t>
        </is>
      </c>
      <c r="I195" t="inlineStr">
        <is>
          <t>Returned</t>
        </is>
      </c>
      <c r="J195" t="n">
        <v>126</v>
      </c>
      <c r="K195" t="n">
        <v>3</v>
      </c>
      <c r="L195" s="7" t="n">
        <v>471</v>
      </c>
      <c r="M195" s="7" t="n">
        <v>0</v>
      </c>
    </row>
    <row r="196">
      <c r="A196" t="n">
        <v>509423</v>
      </c>
      <c r="B196" s="6" t="n">
        <v>45935</v>
      </c>
      <c r="C196" t="n">
        <v>15888</v>
      </c>
      <c r="D196" t="inlineStr">
        <is>
          <t>Ahmedabad</t>
        </is>
      </c>
      <c r="E196" t="inlineStr">
        <is>
          <t>West</t>
        </is>
      </c>
      <c r="F196" t="inlineStr">
        <is>
          <t>Organic Search</t>
        </is>
      </c>
      <c r="G196" t="inlineStr">
        <is>
          <t>Desktop</t>
        </is>
      </c>
      <c r="H196" t="inlineStr">
        <is>
          <t>Debit Card</t>
        </is>
      </c>
      <c r="I196" t="inlineStr">
        <is>
          <t>Returned</t>
        </is>
      </c>
      <c r="J196" t="n">
        <v>129</v>
      </c>
      <c r="K196" t="n">
        <v>1</v>
      </c>
      <c r="L196" s="7" t="n">
        <v>576</v>
      </c>
      <c r="M196" s="7" t="n">
        <v>0</v>
      </c>
    </row>
    <row r="197">
      <c r="A197" t="n">
        <v>509424</v>
      </c>
      <c r="B197" s="6" t="n">
        <v>45935</v>
      </c>
      <c r="C197" t="n">
        <v>13389</v>
      </c>
      <c r="D197" t="inlineStr">
        <is>
          <t>Mumbai</t>
        </is>
      </c>
      <c r="E197" t="inlineStr">
        <is>
          <t>West</t>
        </is>
      </c>
      <c r="F197" t="inlineStr">
        <is>
          <t>Organic Search</t>
        </is>
      </c>
      <c r="G197" t="inlineStr">
        <is>
          <t>Desktop</t>
        </is>
      </c>
      <c r="H197" t="inlineStr">
        <is>
          <t>UPI</t>
        </is>
      </c>
      <c r="I197" t="inlineStr">
        <is>
          <t>Delivered</t>
        </is>
      </c>
      <c r="J197" t="n">
        <v>127</v>
      </c>
      <c r="K197" t="n">
        <v>1</v>
      </c>
      <c r="L197" s="7" t="n">
        <v>681</v>
      </c>
      <c r="M197" s="7" t="n">
        <v>68.09999999999999</v>
      </c>
    </row>
    <row r="198">
      <c r="A198" t="n">
        <v>509424</v>
      </c>
      <c r="B198" s="6" t="n">
        <v>45935</v>
      </c>
      <c r="C198" t="n">
        <v>13389</v>
      </c>
      <c r="D198" t="inlineStr">
        <is>
          <t>Mumbai</t>
        </is>
      </c>
      <c r="E198" t="inlineStr">
        <is>
          <t>West</t>
        </is>
      </c>
      <c r="F198" t="inlineStr">
        <is>
          <t>Organic Search</t>
        </is>
      </c>
      <c r="G198" t="inlineStr">
        <is>
          <t>Desktop</t>
        </is>
      </c>
      <c r="H198" t="inlineStr">
        <is>
          <t>UPI</t>
        </is>
      </c>
      <c r="I198" t="inlineStr">
        <is>
          <t>Delivered</t>
        </is>
      </c>
      <c r="J198" t="n">
        <v>129</v>
      </c>
      <c r="K198" t="n">
        <v>1</v>
      </c>
      <c r="L198" s="7" t="n">
        <v>576</v>
      </c>
      <c r="M198" s="7" t="n">
        <v>57.6</v>
      </c>
    </row>
    <row r="199">
      <c r="A199" t="n">
        <v>509425</v>
      </c>
      <c r="B199" s="6" t="n">
        <v>45935</v>
      </c>
      <c r="C199" t="n">
        <v>16336</v>
      </c>
      <c r="D199" t="inlineStr">
        <is>
          <t>Indore</t>
        </is>
      </c>
      <c r="E199" t="inlineStr">
        <is>
          <t>West</t>
        </is>
      </c>
      <c r="F199" t="inlineStr">
        <is>
          <t>Paid Social</t>
        </is>
      </c>
      <c r="G199" t="inlineStr">
        <is>
          <t>Desktop</t>
        </is>
      </c>
      <c r="H199" t="inlineStr">
        <is>
          <t>UPI</t>
        </is>
      </c>
      <c r="I199" t="inlineStr">
        <is>
          <t>Delivered</t>
        </is>
      </c>
      <c r="J199" t="n">
        <v>128</v>
      </c>
      <c r="K199" t="n">
        <v>1</v>
      </c>
      <c r="L199" s="7" t="n">
        <v>1049</v>
      </c>
      <c r="M199" s="7" t="n">
        <v>104.9</v>
      </c>
    </row>
    <row r="200">
      <c r="A200" t="n">
        <v>509426</v>
      </c>
      <c r="B200" s="6" t="n">
        <v>45935</v>
      </c>
      <c r="C200" t="n">
        <v>16223</v>
      </c>
      <c r="D200" t="inlineStr">
        <is>
          <t>Kolkata</t>
        </is>
      </c>
      <c r="E200" t="inlineStr">
        <is>
          <t>East</t>
        </is>
      </c>
      <c r="F200" t="inlineStr">
        <is>
          <t>Organic Search</t>
        </is>
      </c>
      <c r="G200" t="inlineStr">
        <is>
          <t>Mobile Web</t>
        </is>
      </c>
      <c r="H200" t="inlineStr">
        <is>
          <t>Credit Card</t>
        </is>
      </c>
      <c r="I200" t="inlineStr">
        <is>
          <t>Delivered</t>
        </is>
      </c>
      <c r="J200" t="n">
        <v>142</v>
      </c>
      <c r="K200" t="n">
        <v>1</v>
      </c>
      <c r="L200" s="7" t="n">
        <v>839</v>
      </c>
      <c r="M200" s="7" t="n">
        <v>0</v>
      </c>
    </row>
    <row r="201">
      <c r="A201" t="n">
        <v>509426</v>
      </c>
      <c r="B201" s="6" t="n">
        <v>45935</v>
      </c>
      <c r="C201" t="n">
        <v>16223</v>
      </c>
      <c r="D201" t="inlineStr">
        <is>
          <t>Kolkata</t>
        </is>
      </c>
      <c r="E201" t="inlineStr">
        <is>
          <t>East</t>
        </is>
      </c>
      <c r="F201" t="inlineStr">
        <is>
          <t>Organic Search</t>
        </is>
      </c>
      <c r="G201" t="inlineStr">
        <is>
          <t>Mobile Web</t>
        </is>
      </c>
      <c r="H201" t="inlineStr">
        <is>
          <t>Credit Card</t>
        </is>
      </c>
      <c r="I201" t="inlineStr">
        <is>
          <t>Delivered</t>
        </is>
      </c>
      <c r="J201" t="n">
        <v>125</v>
      </c>
      <c r="K201" t="n">
        <v>1</v>
      </c>
      <c r="L201" s="7" t="n">
        <v>1364</v>
      </c>
      <c r="M201" s="7" t="n">
        <v>0</v>
      </c>
    </row>
    <row r="202">
      <c r="A202" t="n">
        <v>509427</v>
      </c>
      <c r="B202" s="6" t="n">
        <v>45935</v>
      </c>
      <c r="C202" t="n">
        <v>11096</v>
      </c>
      <c r="D202" t="inlineStr">
        <is>
          <t>Chennai</t>
        </is>
      </c>
      <c r="E202" t="inlineStr">
        <is>
          <t>South</t>
        </is>
      </c>
      <c r="F202" t="inlineStr">
        <is>
          <t>Referral</t>
        </is>
      </c>
      <c r="G202" t="inlineStr">
        <is>
          <t>Mobile App</t>
        </is>
      </c>
      <c r="H202" t="inlineStr">
        <is>
          <t>Cash on Delivery</t>
        </is>
      </c>
      <c r="I202" t="inlineStr">
        <is>
          <t>Delivered</t>
        </is>
      </c>
      <c r="J202" t="n">
        <v>117</v>
      </c>
      <c r="K202" t="n">
        <v>1</v>
      </c>
      <c r="L202" s="7" t="n">
        <v>3149</v>
      </c>
      <c r="M202" s="7" t="n">
        <v>314.9</v>
      </c>
    </row>
    <row r="203">
      <c r="A203" t="n">
        <v>509428</v>
      </c>
      <c r="B203" s="6" t="n">
        <v>45935</v>
      </c>
      <c r="C203" t="n">
        <v>13000</v>
      </c>
      <c r="D203" t="inlineStr">
        <is>
          <t>Bengaluru</t>
        </is>
      </c>
      <c r="E203" t="inlineStr">
        <is>
          <t>South</t>
        </is>
      </c>
      <c r="F203" t="inlineStr">
        <is>
          <t>Paid Search</t>
        </is>
      </c>
      <c r="G203" t="inlineStr">
        <is>
          <t>Mobile App</t>
        </is>
      </c>
      <c r="H203" t="inlineStr">
        <is>
          <t>Credit Card</t>
        </is>
      </c>
      <c r="I203" t="inlineStr">
        <is>
          <t>Delivered</t>
        </is>
      </c>
      <c r="J203" t="n">
        <v>102</v>
      </c>
      <c r="K203" t="n">
        <v>3</v>
      </c>
      <c r="L203" s="7" t="n">
        <v>3674</v>
      </c>
      <c r="M203" s="7" t="n">
        <v>0</v>
      </c>
    </row>
    <row r="204">
      <c r="A204" t="n">
        <v>509428</v>
      </c>
      <c r="B204" s="6" t="n">
        <v>45935</v>
      </c>
      <c r="C204" t="n">
        <v>13000</v>
      </c>
      <c r="D204" t="inlineStr">
        <is>
          <t>Bengaluru</t>
        </is>
      </c>
      <c r="E204" t="inlineStr">
        <is>
          <t>South</t>
        </is>
      </c>
      <c r="F204" t="inlineStr">
        <is>
          <t>Paid Search</t>
        </is>
      </c>
      <c r="G204" t="inlineStr">
        <is>
          <t>Mobile App</t>
        </is>
      </c>
      <c r="H204" t="inlineStr">
        <is>
          <t>Credit Card</t>
        </is>
      </c>
      <c r="I204" t="inlineStr">
        <is>
          <t>Delivered</t>
        </is>
      </c>
      <c r="J204" t="n">
        <v>129</v>
      </c>
      <c r="K204" t="n">
        <v>1</v>
      </c>
      <c r="L204" s="7" t="n">
        <v>576</v>
      </c>
      <c r="M204" s="7" t="n">
        <v>0</v>
      </c>
    </row>
    <row r="205">
      <c r="A205" t="n">
        <v>509429</v>
      </c>
      <c r="B205" s="6" t="n">
        <v>45935</v>
      </c>
      <c r="C205" t="n">
        <v>16003</v>
      </c>
      <c r="D205" t="inlineStr">
        <is>
          <t>Kochi</t>
        </is>
      </c>
      <c r="E205" t="inlineStr">
        <is>
          <t>South</t>
        </is>
      </c>
      <c r="F205" t="inlineStr">
        <is>
          <t>Paid Search</t>
        </is>
      </c>
      <c r="G205" t="inlineStr">
        <is>
          <t>Mobile App</t>
        </is>
      </c>
      <c r="H205" t="inlineStr">
        <is>
          <t>UPI</t>
        </is>
      </c>
      <c r="I205" t="inlineStr">
        <is>
          <t>Cancelled</t>
        </is>
      </c>
      <c r="J205" t="n">
        <v>125</v>
      </c>
      <c r="K205" t="n">
        <v>1</v>
      </c>
      <c r="L205" s="7" t="n">
        <v>1364</v>
      </c>
      <c r="M205" s="7" t="n">
        <v>136.4</v>
      </c>
    </row>
    <row r="206">
      <c r="A206" t="n">
        <v>509430</v>
      </c>
      <c r="B206" s="6" t="n">
        <v>45935</v>
      </c>
      <c r="C206" t="n">
        <v>12824</v>
      </c>
      <c r="D206" t="inlineStr">
        <is>
          <t>Gurugram</t>
        </is>
      </c>
      <c r="E206" t="inlineStr">
        <is>
          <t>North</t>
        </is>
      </c>
      <c r="F206" t="inlineStr">
        <is>
          <t>Email</t>
        </is>
      </c>
      <c r="G206" t="inlineStr">
        <is>
          <t>Mobile Web</t>
        </is>
      </c>
      <c r="H206" t="inlineStr">
        <is>
          <t>Debit Card</t>
        </is>
      </c>
      <c r="I206" t="inlineStr">
        <is>
          <t>Delivered</t>
        </is>
      </c>
      <c r="J206" t="n">
        <v>148</v>
      </c>
      <c r="K206" t="n">
        <v>1</v>
      </c>
      <c r="L206" s="7" t="n">
        <v>734</v>
      </c>
      <c r="M206" s="7" t="n">
        <v>73.40000000000001</v>
      </c>
    </row>
    <row r="207">
      <c r="A207" t="n">
        <v>509430</v>
      </c>
      <c r="B207" s="6" t="n">
        <v>45935</v>
      </c>
      <c r="C207" t="n">
        <v>12824</v>
      </c>
      <c r="D207" t="inlineStr">
        <is>
          <t>Gurugram</t>
        </is>
      </c>
      <c r="E207" t="inlineStr">
        <is>
          <t>North</t>
        </is>
      </c>
      <c r="F207" t="inlineStr">
        <is>
          <t>Email</t>
        </is>
      </c>
      <c r="G207" t="inlineStr">
        <is>
          <t>Mobile Web</t>
        </is>
      </c>
      <c r="H207" t="inlineStr">
        <is>
          <t>Debit Card</t>
        </is>
      </c>
      <c r="I207" t="inlineStr">
        <is>
          <t>Delivered</t>
        </is>
      </c>
      <c r="J207" t="n">
        <v>129</v>
      </c>
      <c r="K207" t="n">
        <v>1</v>
      </c>
      <c r="L207" s="7" t="n">
        <v>576</v>
      </c>
      <c r="M207" s="7" t="n">
        <v>57.6</v>
      </c>
    </row>
    <row r="208">
      <c r="A208" t="n">
        <v>509431</v>
      </c>
      <c r="B208" s="6" t="n">
        <v>45935</v>
      </c>
      <c r="C208" t="n">
        <v>11140</v>
      </c>
      <c r="D208" t="inlineStr">
        <is>
          <t>Bengaluru</t>
        </is>
      </c>
      <c r="E208" t="inlineStr">
        <is>
          <t>South</t>
        </is>
      </c>
      <c r="F208" t="inlineStr">
        <is>
          <t>Affiliate</t>
        </is>
      </c>
      <c r="G208" t="inlineStr">
        <is>
          <t>Mobile App</t>
        </is>
      </c>
      <c r="H208" t="inlineStr">
        <is>
          <t>Debit Card</t>
        </is>
      </c>
      <c r="I208" t="inlineStr">
        <is>
          <t>Cancelled</t>
        </is>
      </c>
      <c r="J208" t="n">
        <v>104</v>
      </c>
      <c r="K208" t="n">
        <v>1</v>
      </c>
      <c r="L208" s="7" t="n">
        <v>5249</v>
      </c>
      <c r="M208" s="7" t="n">
        <v>524.9</v>
      </c>
    </row>
    <row r="209">
      <c r="A209" t="n">
        <v>509432</v>
      </c>
      <c r="B209" s="6" t="n">
        <v>45935</v>
      </c>
      <c r="C209" t="n">
        <v>10366</v>
      </c>
      <c r="D209" t="inlineStr">
        <is>
          <t>Delhi</t>
        </is>
      </c>
      <c r="E209" t="inlineStr">
        <is>
          <t>North</t>
        </is>
      </c>
      <c r="F209" t="inlineStr">
        <is>
          <t>Organic Search</t>
        </is>
      </c>
      <c r="G209" t="inlineStr">
        <is>
          <t>Mobile App</t>
        </is>
      </c>
      <c r="H209" t="inlineStr">
        <is>
          <t>UPI</t>
        </is>
      </c>
      <c r="I209" t="inlineStr">
        <is>
          <t>Delivered</t>
        </is>
      </c>
      <c r="J209" t="n">
        <v>116</v>
      </c>
      <c r="K209" t="n">
        <v>1</v>
      </c>
      <c r="L209" s="7" t="n">
        <v>2624</v>
      </c>
      <c r="M209" s="7" t="n">
        <v>131.2</v>
      </c>
    </row>
    <row r="210">
      <c r="A210" t="n">
        <v>509432</v>
      </c>
      <c r="B210" s="6" t="n">
        <v>45935</v>
      </c>
      <c r="C210" t="n">
        <v>10366</v>
      </c>
      <c r="D210" t="inlineStr">
        <is>
          <t>Delhi</t>
        </is>
      </c>
      <c r="E210" t="inlineStr">
        <is>
          <t>North</t>
        </is>
      </c>
      <c r="F210" t="inlineStr">
        <is>
          <t>Organic Search</t>
        </is>
      </c>
      <c r="G210" t="inlineStr">
        <is>
          <t>Mobile App</t>
        </is>
      </c>
      <c r="H210" t="inlineStr">
        <is>
          <t>UPI</t>
        </is>
      </c>
      <c r="I210" t="inlineStr">
        <is>
          <t>Delivered</t>
        </is>
      </c>
      <c r="J210" t="n">
        <v>120</v>
      </c>
      <c r="K210" t="n">
        <v>2</v>
      </c>
      <c r="L210" s="7" t="n">
        <v>734</v>
      </c>
      <c r="M210" s="7" t="n">
        <v>73.40000000000001</v>
      </c>
    </row>
    <row r="211">
      <c r="A211" t="n">
        <v>509432</v>
      </c>
      <c r="B211" s="6" t="n">
        <v>45935</v>
      </c>
      <c r="C211" t="n">
        <v>10366</v>
      </c>
      <c r="D211" t="inlineStr">
        <is>
          <t>Delhi</t>
        </is>
      </c>
      <c r="E211" t="inlineStr">
        <is>
          <t>North</t>
        </is>
      </c>
      <c r="F211" t="inlineStr">
        <is>
          <t>Organic Search</t>
        </is>
      </c>
      <c r="G211" t="inlineStr">
        <is>
          <t>Mobile App</t>
        </is>
      </c>
      <c r="H211" t="inlineStr">
        <is>
          <t>UPI</t>
        </is>
      </c>
      <c r="I211" t="inlineStr">
        <is>
          <t>Delivered</t>
        </is>
      </c>
      <c r="J211" t="n">
        <v>129</v>
      </c>
      <c r="K211" t="n">
        <v>1</v>
      </c>
      <c r="L211" s="7" t="n">
        <v>576</v>
      </c>
      <c r="M211" s="7" t="n">
        <v>28.8</v>
      </c>
    </row>
    <row r="212">
      <c r="A212" t="n">
        <v>509433</v>
      </c>
      <c r="B212" s="6" t="n">
        <v>45935</v>
      </c>
      <c r="C212" t="n">
        <v>14878</v>
      </c>
      <c r="D212" t="inlineStr">
        <is>
          <t>Kochi</t>
        </is>
      </c>
      <c r="E212" t="inlineStr">
        <is>
          <t>South</t>
        </is>
      </c>
      <c r="F212" t="inlineStr">
        <is>
          <t>Email</t>
        </is>
      </c>
      <c r="G212" t="inlineStr">
        <is>
          <t>Mobile App</t>
        </is>
      </c>
      <c r="H212" t="inlineStr">
        <is>
          <t>Cash on Delivery</t>
        </is>
      </c>
      <c r="I212" t="inlineStr">
        <is>
          <t>Delivered</t>
        </is>
      </c>
      <c r="J212" t="n">
        <v>107</v>
      </c>
      <c r="K212" t="n">
        <v>1</v>
      </c>
      <c r="L212" s="7" t="n">
        <v>1259</v>
      </c>
      <c r="M212" s="7" t="n">
        <v>125.9</v>
      </c>
    </row>
    <row r="213">
      <c r="A213" t="n">
        <v>509434</v>
      </c>
      <c r="B213" s="6" t="n">
        <v>45935</v>
      </c>
      <c r="C213" t="n">
        <v>13767</v>
      </c>
      <c r="D213" t="inlineStr">
        <is>
          <t>Mumbai</t>
        </is>
      </c>
      <c r="E213" t="inlineStr">
        <is>
          <t>West</t>
        </is>
      </c>
      <c r="F213" t="inlineStr">
        <is>
          <t>Paid Social</t>
        </is>
      </c>
      <c r="G213" t="inlineStr">
        <is>
          <t>Desktop</t>
        </is>
      </c>
      <c r="H213" t="inlineStr">
        <is>
          <t>UPI</t>
        </is>
      </c>
      <c r="I213" t="inlineStr">
        <is>
          <t>Delivered</t>
        </is>
      </c>
      <c r="J213" t="n">
        <v>134</v>
      </c>
      <c r="K213" t="n">
        <v>1</v>
      </c>
      <c r="L213" s="7" t="n">
        <v>209</v>
      </c>
      <c r="M213" s="7" t="n">
        <v>20.9</v>
      </c>
    </row>
    <row r="214">
      <c r="A214" t="n">
        <v>509434</v>
      </c>
      <c r="B214" s="6" t="n">
        <v>45935</v>
      </c>
      <c r="C214" t="n">
        <v>13767</v>
      </c>
      <c r="D214" t="inlineStr">
        <is>
          <t>Mumbai</t>
        </is>
      </c>
      <c r="E214" t="inlineStr">
        <is>
          <t>West</t>
        </is>
      </c>
      <c r="F214" t="inlineStr">
        <is>
          <t>Paid Social</t>
        </is>
      </c>
      <c r="G214" t="inlineStr">
        <is>
          <t>Desktop</t>
        </is>
      </c>
      <c r="H214" t="inlineStr">
        <is>
          <t>UPI</t>
        </is>
      </c>
      <c r="I214" t="inlineStr">
        <is>
          <t>Delivered</t>
        </is>
      </c>
      <c r="J214" t="n">
        <v>118</v>
      </c>
      <c r="K214" t="n">
        <v>1</v>
      </c>
      <c r="L214" s="7" t="n">
        <v>944</v>
      </c>
      <c r="M214" s="7" t="n">
        <v>94.40000000000001</v>
      </c>
    </row>
    <row r="215">
      <c r="A215" t="n">
        <v>509435</v>
      </c>
      <c r="B215" s="6" t="n">
        <v>45935</v>
      </c>
      <c r="C215" t="n">
        <v>16606</v>
      </c>
      <c r="D215" t="inlineStr">
        <is>
          <t>Mumbai</t>
        </is>
      </c>
      <c r="E215" t="inlineStr">
        <is>
          <t>West</t>
        </is>
      </c>
      <c r="F215" t="inlineStr">
        <is>
          <t>Organic Search</t>
        </is>
      </c>
      <c r="G215" t="inlineStr">
        <is>
          <t>Mobile Web</t>
        </is>
      </c>
      <c r="H215" t="inlineStr">
        <is>
          <t>Net Banking</t>
        </is>
      </c>
      <c r="I215" t="inlineStr">
        <is>
          <t>Delivered</t>
        </is>
      </c>
      <c r="J215" t="n">
        <v>117</v>
      </c>
      <c r="K215" t="n">
        <v>2</v>
      </c>
      <c r="L215" s="7" t="n">
        <v>3149</v>
      </c>
      <c r="M215" s="7" t="n">
        <v>629.8</v>
      </c>
    </row>
    <row r="216">
      <c r="A216" t="n">
        <v>509436</v>
      </c>
      <c r="B216" s="6" t="n">
        <v>45935</v>
      </c>
      <c r="C216" t="n">
        <v>13151</v>
      </c>
      <c r="D216" t="inlineStr">
        <is>
          <t>Pune</t>
        </is>
      </c>
      <c r="E216" t="inlineStr">
        <is>
          <t>West</t>
        </is>
      </c>
      <c r="F216" t="inlineStr">
        <is>
          <t>Paid Search</t>
        </is>
      </c>
      <c r="G216" t="inlineStr">
        <is>
          <t>Mobile App</t>
        </is>
      </c>
      <c r="H216" t="inlineStr">
        <is>
          <t>Debit Card</t>
        </is>
      </c>
      <c r="I216" t="inlineStr">
        <is>
          <t>Delivered</t>
        </is>
      </c>
      <c r="J216" t="n">
        <v>124</v>
      </c>
      <c r="K216" t="n">
        <v>1</v>
      </c>
      <c r="L216" s="7" t="n">
        <v>1154</v>
      </c>
      <c r="M216" s="7" t="n">
        <v>115.4</v>
      </c>
    </row>
    <row r="217">
      <c r="A217" t="n">
        <v>509436</v>
      </c>
      <c r="B217" s="6" t="n">
        <v>45935</v>
      </c>
      <c r="C217" t="n">
        <v>13151</v>
      </c>
      <c r="D217" t="inlineStr">
        <is>
          <t>Pune</t>
        </is>
      </c>
      <c r="E217" t="inlineStr">
        <is>
          <t>West</t>
        </is>
      </c>
      <c r="F217" t="inlineStr">
        <is>
          <t>Paid Search</t>
        </is>
      </c>
      <c r="G217" t="inlineStr">
        <is>
          <t>Mobile App</t>
        </is>
      </c>
      <c r="H217" t="inlineStr">
        <is>
          <t>Debit Card</t>
        </is>
      </c>
      <c r="I217" t="inlineStr">
        <is>
          <t>Delivered</t>
        </is>
      </c>
      <c r="J217" t="n">
        <v>112</v>
      </c>
      <c r="K217" t="n">
        <v>1</v>
      </c>
      <c r="L217" s="7" t="n">
        <v>1574</v>
      </c>
      <c r="M217" s="7" t="n">
        <v>157.4</v>
      </c>
    </row>
    <row r="218">
      <c r="A218" t="n">
        <v>509437</v>
      </c>
      <c r="B218" s="6" t="n">
        <v>45935</v>
      </c>
      <c r="C218" t="n">
        <v>13206</v>
      </c>
      <c r="D218" t="inlineStr">
        <is>
          <t>Hyderabad</t>
        </is>
      </c>
      <c r="E218" t="inlineStr">
        <is>
          <t>South</t>
        </is>
      </c>
      <c r="F218" t="inlineStr">
        <is>
          <t>Paid Social</t>
        </is>
      </c>
      <c r="G218" t="inlineStr">
        <is>
          <t>Desktop</t>
        </is>
      </c>
      <c r="H218" t="inlineStr">
        <is>
          <t>Cash on Delivery</t>
        </is>
      </c>
      <c r="I218" t="inlineStr">
        <is>
          <t>Delivered</t>
        </is>
      </c>
      <c r="J218" t="n">
        <v>133</v>
      </c>
      <c r="K218" t="n">
        <v>1</v>
      </c>
      <c r="L218" s="7" t="n">
        <v>419</v>
      </c>
      <c r="M218" s="7" t="n">
        <v>41.9</v>
      </c>
    </row>
    <row r="219">
      <c r="A219" t="n">
        <v>509437</v>
      </c>
      <c r="B219" s="6" t="n">
        <v>45935</v>
      </c>
      <c r="C219" t="n">
        <v>13206</v>
      </c>
      <c r="D219" t="inlineStr">
        <is>
          <t>Hyderabad</t>
        </is>
      </c>
      <c r="E219" t="inlineStr">
        <is>
          <t>South</t>
        </is>
      </c>
      <c r="F219" t="inlineStr">
        <is>
          <t>Paid Social</t>
        </is>
      </c>
      <c r="G219" t="inlineStr">
        <is>
          <t>Desktop</t>
        </is>
      </c>
      <c r="H219" t="inlineStr">
        <is>
          <t>Cash on Delivery</t>
        </is>
      </c>
      <c r="I219" t="inlineStr">
        <is>
          <t>Delivered</t>
        </is>
      </c>
      <c r="J219" t="n">
        <v>129</v>
      </c>
      <c r="K219" t="n">
        <v>1</v>
      </c>
      <c r="L219" s="7" t="n">
        <v>576</v>
      </c>
      <c r="M219" s="7" t="n">
        <v>57.6</v>
      </c>
    </row>
    <row r="220">
      <c r="A220" t="n">
        <v>509438</v>
      </c>
      <c r="B220" s="6" t="n">
        <v>45935</v>
      </c>
      <c r="C220" t="n">
        <v>12627</v>
      </c>
      <c r="D220" t="inlineStr">
        <is>
          <t>Mumbai</t>
        </is>
      </c>
      <c r="E220" t="inlineStr">
        <is>
          <t>West</t>
        </is>
      </c>
      <c r="F220" t="inlineStr">
        <is>
          <t>Organic Search</t>
        </is>
      </c>
      <c r="G220" t="inlineStr">
        <is>
          <t>Mobile App</t>
        </is>
      </c>
      <c r="H220" t="inlineStr">
        <is>
          <t>UPI</t>
        </is>
      </c>
      <c r="I220" t="inlineStr">
        <is>
          <t>Delivered</t>
        </is>
      </c>
      <c r="J220" t="n">
        <v>112</v>
      </c>
      <c r="K220" t="n">
        <v>1</v>
      </c>
      <c r="L220" s="7" t="n">
        <v>1574</v>
      </c>
      <c r="M220" s="7" t="n">
        <v>157.4</v>
      </c>
    </row>
    <row r="221">
      <c r="A221" t="n">
        <v>509439</v>
      </c>
      <c r="B221" s="6" t="n">
        <v>45935</v>
      </c>
      <c r="C221" t="n">
        <v>16602</v>
      </c>
      <c r="D221" t="inlineStr">
        <is>
          <t>Bengaluru</t>
        </is>
      </c>
      <c r="E221" t="inlineStr">
        <is>
          <t>South</t>
        </is>
      </c>
      <c r="F221" t="inlineStr">
        <is>
          <t>Organic Search</t>
        </is>
      </c>
      <c r="G221" t="inlineStr">
        <is>
          <t>Mobile App</t>
        </is>
      </c>
      <c r="H221" t="inlineStr">
        <is>
          <t>Credit Card</t>
        </is>
      </c>
      <c r="I221" t="inlineStr">
        <is>
          <t>Delivered</t>
        </is>
      </c>
      <c r="J221" t="n">
        <v>120</v>
      </c>
      <c r="K221" t="n">
        <v>1</v>
      </c>
      <c r="L221" s="7" t="n">
        <v>734</v>
      </c>
      <c r="M221" s="7" t="n">
        <v>110.1</v>
      </c>
    </row>
    <row r="222">
      <c r="A222" t="n">
        <v>509439</v>
      </c>
      <c r="B222" s="6" t="n">
        <v>45935</v>
      </c>
      <c r="C222" t="n">
        <v>16602</v>
      </c>
      <c r="D222" t="inlineStr">
        <is>
          <t>Bengaluru</t>
        </is>
      </c>
      <c r="E222" t="inlineStr">
        <is>
          <t>South</t>
        </is>
      </c>
      <c r="F222" t="inlineStr">
        <is>
          <t>Organic Search</t>
        </is>
      </c>
      <c r="G222" t="inlineStr">
        <is>
          <t>Mobile App</t>
        </is>
      </c>
      <c r="H222" t="inlineStr">
        <is>
          <t>Credit Card</t>
        </is>
      </c>
      <c r="I222" t="inlineStr">
        <is>
          <t>Delivered</t>
        </is>
      </c>
      <c r="J222" t="n">
        <v>111</v>
      </c>
      <c r="K222" t="n">
        <v>1</v>
      </c>
      <c r="L222" s="7" t="n">
        <v>524</v>
      </c>
      <c r="M222" s="7" t="n">
        <v>78.59999999999999</v>
      </c>
    </row>
    <row r="223">
      <c r="A223" t="n">
        <v>509439</v>
      </c>
      <c r="B223" s="6" t="n">
        <v>45935</v>
      </c>
      <c r="C223" t="n">
        <v>16602</v>
      </c>
      <c r="D223" t="inlineStr">
        <is>
          <t>Bengaluru</t>
        </is>
      </c>
      <c r="E223" t="inlineStr">
        <is>
          <t>South</t>
        </is>
      </c>
      <c r="F223" t="inlineStr">
        <is>
          <t>Organic Search</t>
        </is>
      </c>
      <c r="G223" t="inlineStr">
        <is>
          <t>Mobile App</t>
        </is>
      </c>
      <c r="H223" t="inlineStr">
        <is>
          <t>Credit Card</t>
        </is>
      </c>
      <c r="I223" t="inlineStr">
        <is>
          <t>Delivered</t>
        </is>
      </c>
      <c r="J223" t="n">
        <v>129</v>
      </c>
      <c r="K223" t="n">
        <v>1</v>
      </c>
      <c r="L223" s="7" t="n">
        <v>576</v>
      </c>
      <c r="M223" s="7" t="n">
        <v>86.40000000000001</v>
      </c>
    </row>
    <row r="224">
      <c r="A224" t="n">
        <v>509440</v>
      </c>
      <c r="B224" s="6" t="n">
        <v>45935</v>
      </c>
      <c r="C224" t="n">
        <v>15705</v>
      </c>
      <c r="D224" t="inlineStr">
        <is>
          <t>Noida</t>
        </is>
      </c>
      <c r="E224" t="inlineStr">
        <is>
          <t>North</t>
        </is>
      </c>
      <c r="F224" t="inlineStr">
        <is>
          <t>Referral</t>
        </is>
      </c>
      <c r="G224" t="inlineStr">
        <is>
          <t>Desktop</t>
        </is>
      </c>
      <c r="H224" t="inlineStr">
        <is>
          <t>Credit Card</t>
        </is>
      </c>
      <c r="I224" t="inlineStr">
        <is>
          <t>Returned</t>
        </is>
      </c>
      <c r="J224" t="n">
        <v>144</v>
      </c>
      <c r="K224" t="n">
        <v>1</v>
      </c>
      <c r="L224" s="7" t="n">
        <v>3149</v>
      </c>
      <c r="M224" s="7" t="n">
        <v>0</v>
      </c>
    </row>
    <row r="225">
      <c r="A225" t="n">
        <v>509440</v>
      </c>
      <c r="B225" s="6" t="n">
        <v>45935</v>
      </c>
      <c r="C225" t="n">
        <v>15705</v>
      </c>
      <c r="D225" t="inlineStr">
        <is>
          <t>Noida</t>
        </is>
      </c>
      <c r="E225" t="inlineStr">
        <is>
          <t>North</t>
        </is>
      </c>
      <c r="F225" t="inlineStr">
        <is>
          <t>Referral</t>
        </is>
      </c>
      <c r="G225" t="inlineStr">
        <is>
          <t>Desktop</t>
        </is>
      </c>
      <c r="H225" t="inlineStr">
        <is>
          <t>Credit Card</t>
        </is>
      </c>
      <c r="I225" t="inlineStr">
        <is>
          <t>Returned</t>
        </is>
      </c>
      <c r="J225" t="n">
        <v>129</v>
      </c>
      <c r="K225" t="n">
        <v>3</v>
      </c>
      <c r="L225" s="7" t="n">
        <v>576</v>
      </c>
      <c r="M225" s="7" t="n">
        <v>0</v>
      </c>
    </row>
    <row r="226">
      <c r="A226" t="n">
        <v>509441</v>
      </c>
      <c r="B226" s="6" t="n">
        <v>45935</v>
      </c>
      <c r="C226" t="n">
        <v>10582</v>
      </c>
      <c r="D226" t="inlineStr">
        <is>
          <t>Delhi</t>
        </is>
      </c>
      <c r="E226" t="inlineStr">
        <is>
          <t>North</t>
        </is>
      </c>
      <c r="F226" t="inlineStr">
        <is>
          <t>Paid Search</t>
        </is>
      </c>
      <c r="G226" t="inlineStr">
        <is>
          <t>Mobile App</t>
        </is>
      </c>
      <c r="H226" t="inlineStr">
        <is>
          <t>UPI</t>
        </is>
      </c>
      <c r="I226" t="inlineStr">
        <is>
          <t>Delivered</t>
        </is>
      </c>
      <c r="J226" t="n">
        <v>106</v>
      </c>
      <c r="K226" t="n">
        <v>3</v>
      </c>
      <c r="L226" s="7" t="n">
        <v>1574</v>
      </c>
      <c r="M226" s="7" t="n">
        <v>472.2</v>
      </c>
    </row>
    <row r="227">
      <c r="A227" t="n">
        <v>509441</v>
      </c>
      <c r="B227" s="6" t="n">
        <v>45935</v>
      </c>
      <c r="C227" t="n">
        <v>10582</v>
      </c>
      <c r="D227" t="inlineStr">
        <is>
          <t>Delhi</t>
        </is>
      </c>
      <c r="E227" t="inlineStr">
        <is>
          <t>North</t>
        </is>
      </c>
      <c r="F227" t="inlineStr">
        <is>
          <t>Paid Search</t>
        </is>
      </c>
      <c r="G227" t="inlineStr">
        <is>
          <t>Mobile App</t>
        </is>
      </c>
      <c r="H227" t="inlineStr">
        <is>
          <t>UPI</t>
        </is>
      </c>
      <c r="I227" t="inlineStr">
        <is>
          <t>Delivered</t>
        </is>
      </c>
      <c r="J227" t="n">
        <v>117</v>
      </c>
      <c r="K227" t="n">
        <v>1</v>
      </c>
      <c r="L227" s="7" t="n">
        <v>3149</v>
      </c>
      <c r="M227" s="7" t="n">
        <v>314.9</v>
      </c>
    </row>
    <row r="228">
      <c r="A228" t="n">
        <v>509442</v>
      </c>
      <c r="B228" s="6" t="n">
        <v>45935</v>
      </c>
      <c r="C228" t="n">
        <v>11789</v>
      </c>
      <c r="D228" t="inlineStr">
        <is>
          <t>Delhi</t>
        </is>
      </c>
      <c r="E228" t="inlineStr">
        <is>
          <t>North</t>
        </is>
      </c>
      <c r="F228" t="inlineStr">
        <is>
          <t>Paid Social</t>
        </is>
      </c>
      <c r="G228" t="inlineStr">
        <is>
          <t>Mobile App</t>
        </is>
      </c>
      <c r="H228" t="inlineStr">
        <is>
          <t>Net Banking</t>
        </is>
      </c>
      <c r="I228" t="inlineStr">
        <is>
          <t>Delivered</t>
        </is>
      </c>
      <c r="J228" t="n">
        <v>148</v>
      </c>
      <c r="K228" t="n">
        <v>1</v>
      </c>
      <c r="L228" s="7" t="n">
        <v>734</v>
      </c>
      <c r="M228" s="7" t="n">
        <v>0</v>
      </c>
    </row>
    <row r="229">
      <c r="A229" t="n">
        <v>509442</v>
      </c>
      <c r="B229" s="6" t="n">
        <v>45935</v>
      </c>
      <c r="C229" t="n">
        <v>11789</v>
      </c>
      <c r="D229" t="inlineStr">
        <is>
          <t>Delhi</t>
        </is>
      </c>
      <c r="E229" t="inlineStr">
        <is>
          <t>North</t>
        </is>
      </c>
      <c r="F229" t="inlineStr">
        <is>
          <t>Paid Social</t>
        </is>
      </c>
      <c r="G229" t="inlineStr">
        <is>
          <t>Mobile App</t>
        </is>
      </c>
      <c r="H229" t="inlineStr">
        <is>
          <t>Net Banking</t>
        </is>
      </c>
      <c r="I229" t="inlineStr">
        <is>
          <t>Delivered</t>
        </is>
      </c>
      <c r="J229" t="n">
        <v>118</v>
      </c>
      <c r="K229" t="n">
        <v>2</v>
      </c>
      <c r="L229" s="7" t="n">
        <v>944</v>
      </c>
      <c r="M229" s="7" t="n">
        <v>0</v>
      </c>
    </row>
    <row r="230">
      <c r="A230" t="n">
        <v>509442</v>
      </c>
      <c r="B230" s="6" t="n">
        <v>45935</v>
      </c>
      <c r="C230" t="n">
        <v>11789</v>
      </c>
      <c r="D230" t="inlineStr">
        <is>
          <t>Delhi</t>
        </is>
      </c>
      <c r="E230" t="inlineStr">
        <is>
          <t>North</t>
        </is>
      </c>
      <c r="F230" t="inlineStr">
        <is>
          <t>Paid Social</t>
        </is>
      </c>
      <c r="G230" t="inlineStr">
        <is>
          <t>Mobile App</t>
        </is>
      </c>
      <c r="H230" t="inlineStr">
        <is>
          <t>Net Banking</t>
        </is>
      </c>
      <c r="I230" t="inlineStr">
        <is>
          <t>Delivered</t>
        </is>
      </c>
      <c r="J230" t="n">
        <v>129</v>
      </c>
      <c r="K230" t="n">
        <v>2</v>
      </c>
      <c r="L230" s="7" t="n">
        <v>576</v>
      </c>
      <c r="M230" s="7" t="n">
        <v>0</v>
      </c>
    </row>
    <row r="231">
      <c r="A231" t="n">
        <v>509443</v>
      </c>
      <c r="B231" s="6" t="n">
        <v>45935</v>
      </c>
      <c r="C231" t="n">
        <v>10286</v>
      </c>
      <c r="D231" t="inlineStr">
        <is>
          <t>Delhi</t>
        </is>
      </c>
      <c r="E231" t="inlineStr">
        <is>
          <t>North</t>
        </is>
      </c>
      <c r="F231" t="inlineStr">
        <is>
          <t>Paid Search</t>
        </is>
      </c>
      <c r="G231" t="inlineStr">
        <is>
          <t>Desktop</t>
        </is>
      </c>
      <c r="H231" t="inlineStr">
        <is>
          <t>Cash on Delivery</t>
        </is>
      </c>
      <c r="I231" t="inlineStr">
        <is>
          <t>Delivered</t>
        </is>
      </c>
      <c r="J231" t="n">
        <v>111</v>
      </c>
      <c r="K231" t="n">
        <v>1</v>
      </c>
      <c r="L231" s="7" t="n">
        <v>524</v>
      </c>
      <c r="M231" s="7" t="n">
        <v>52.4</v>
      </c>
    </row>
    <row r="232">
      <c r="A232" t="n">
        <v>509444</v>
      </c>
      <c r="B232" s="6" t="n">
        <v>45935</v>
      </c>
      <c r="C232" t="n">
        <v>11950</v>
      </c>
      <c r="D232" t="inlineStr">
        <is>
          <t>Noida</t>
        </is>
      </c>
      <c r="E232" t="inlineStr">
        <is>
          <t>North</t>
        </is>
      </c>
      <c r="F232" t="inlineStr">
        <is>
          <t>Organic Search</t>
        </is>
      </c>
      <c r="G232" t="inlineStr">
        <is>
          <t>Mobile Web</t>
        </is>
      </c>
      <c r="H232" t="inlineStr">
        <is>
          <t>Debit Card</t>
        </is>
      </c>
      <c r="I232" t="inlineStr">
        <is>
          <t>Delivered</t>
        </is>
      </c>
      <c r="J232" t="n">
        <v>116</v>
      </c>
      <c r="K232" t="n">
        <v>1</v>
      </c>
      <c r="L232" s="7" t="n">
        <v>2624</v>
      </c>
      <c r="M232" s="7" t="n">
        <v>262.4</v>
      </c>
    </row>
    <row r="233">
      <c r="A233" t="n">
        <v>509445</v>
      </c>
      <c r="B233" s="6" t="n">
        <v>45935</v>
      </c>
      <c r="C233" t="n">
        <v>10634</v>
      </c>
      <c r="D233" t="inlineStr">
        <is>
          <t>Hyderabad</t>
        </is>
      </c>
      <c r="E233" t="inlineStr">
        <is>
          <t>South</t>
        </is>
      </c>
      <c r="F233" t="inlineStr">
        <is>
          <t>Paid Search</t>
        </is>
      </c>
      <c r="G233" t="inlineStr">
        <is>
          <t>Desktop</t>
        </is>
      </c>
      <c r="H233" t="inlineStr">
        <is>
          <t>UPI</t>
        </is>
      </c>
      <c r="I233" t="inlineStr">
        <is>
          <t>Delivered</t>
        </is>
      </c>
      <c r="J233" t="n">
        <v>123</v>
      </c>
      <c r="K233" t="n">
        <v>1</v>
      </c>
      <c r="L233" s="7" t="n">
        <v>3464</v>
      </c>
      <c r="M233" s="7" t="n">
        <v>0</v>
      </c>
    </row>
    <row r="234">
      <c r="A234" t="n">
        <v>509445</v>
      </c>
      <c r="B234" s="6" t="n">
        <v>45935</v>
      </c>
      <c r="C234" t="n">
        <v>10634</v>
      </c>
      <c r="D234" t="inlineStr">
        <is>
          <t>Hyderabad</t>
        </is>
      </c>
      <c r="E234" t="inlineStr">
        <is>
          <t>South</t>
        </is>
      </c>
      <c r="F234" t="inlineStr">
        <is>
          <t>Paid Search</t>
        </is>
      </c>
      <c r="G234" t="inlineStr">
        <is>
          <t>Desktop</t>
        </is>
      </c>
      <c r="H234" t="inlineStr">
        <is>
          <t>UPI</t>
        </is>
      </c>
      <c r="I234" t="inlineStr">
        <is>
          <t>Delivered</t>
        </is>
      </c>
      <c r="J234" t="n">
        <v>104</v>
      </c>
      <c r="K234" t="n">
        <v>1</v>
      </c>
      <c r="L234" s="7" t="n">
        <v>5249</v>
      </c>
      <c r="M234" s="7" t="n">
        <v>0</v>
      </c>
    </row>
    <row r="235">
      <c r="A235" t="n">
        <v>509445</v>
      </c>
      <c r="B235" s="6" t="n">
        <v>45935</v>
      </c>
      <c r="C235" t="n">
        <v>10634</v>
      </c>
      <c r="D235" t="inlineStr">
        <is>
          <t>Hyderabad</t>
        </is>
      </c>
      <c r="E235" t="inlineStr">
        <is>
          <t>South</t>
        </is>
      </c>
      <c r="F235" t="inlineStr">
        <is>
          <t>Paid Search</t>
        </is>
      </c>
      <c r="G235" t="inlineStr">
        <is>
          <t>Desktop</t>
        </is>
      </c>
      <c r="H235" t="inlineStr">
        <is>
          <t>UPI</t>
        </is>
      </c>
      <c r="I235" t="inlineStr">
        <is>
          <t>Delivered</t>
        </is>
      </c>
      <c r="J235" t="n">
        <v>129</v>
      </c>
      <c r="K235" t="n">
        <v>1</v>
      </c>
      <c r="L235" s="7" t="n">
        <v>576</v>
      </c>
      <c r="M235" s="7" t="n">
        <v>0</v>
      </c>
    </row>
    <row r="236">
      <c r="A236" t="n">
        <v>509446</v>
      </c>
      <c r="B236" s="6" t="n">
        <v>45935</v>
      </c>
      <c r="C236" t="n">
        <v>16612</v>
      </c>
      <c r="D236" t="inlineStr">
        <is>
          <t>Mumbai</t>
        </is>
      </c>
      <c r="E236" t="inlineStr">
        <is>
          <t>West</t>
        </is>
      </c>
      <c r="F236" t="inlineStr">
        <is>
          <t>Referral</t>
        </is>
      </c>
      <c r="G236" t="inlineStr">
        <is>
          <t>Mobile Web</t>
        </is>
      </c>
      <c r="H236" t="inlineStr">
        <is>
          <t>UPI</t>
        </is>
      </c>
      <c r="I236" t="inlineStr">
        <is>
          <t>Delivered</t>
        </is>
      </c>
      <c r="J236" t="n">
        <v>116</v>
      </c>
      <c r="K236" t="n">
        <v>1</v>
      </c>
      <c r="L236" s="7" t="n">
        <v>2624</v>
      </c>
      <c r="M236" s="7" t="n">
        <v>262.4</v>
      </c>
    </row>
    <row r="237">
      <c r="A237" t="n">
        <v>509447</v>
      </c>
      <c r="B237" s="6" t="n">
        <v>45935</v>
      </c>
      <c r="C237" t="n">
        <v>15730</v>
      </c>
      <c r="D237" t="inlineStr">
        <is>
          <t>Noida</t>
        </is>
      </c>
      <c r="E237" t="inlineStr">
        <is>
          <t>North</t>
        </is>
      </c>
      <c r="F237" t="inlineStr">
        <is>
          <t>Referral</t>
        </is>
      </c>
      <c r="G237" t="inlineStr">
        <is>
          <t>Mobile App</t>
        </is>
      </c>
      <c r="H237" t="inlineStr">
        <is>
          <t>Net Banking</t>
        </is>
      </c>
      <c r="I237" t="inlineStr">
        <is>
          <t>Delivered</t>
        </is>
      </c>
      <c r="J237" t="n">
        <v>122</v>
      </c>
      <c r="K237" t="n">
        <v>1</v>
      </c>
      <c r="L237" s="7" t="n">
        <v>1994</v>
      </c>
      <c r="M237" s="7" t="n">
        <v>199.4</v>
      </c>
    </row>
    <row r="238">
      <c r="A238" t="n">
        <v>509448</v>
      </c>
      <c r="B238" s="6" t="n">
        <v>45935</v>
      </c>
      <c r="C238" t="n">
        <v>13681</v>
      </c>
      <c r="D238" t="inlineStr">
        <is>
          <t>Noida</t>
        </is>
      </c>
      <c r="E238" t="inlineStr">
        <is>
          <t>North</t>
        </is>
      </c>
      <c r="F238" t="inlineStr">
        <is>
          <t>Paid Search</t>
        </is>
      </c>
      <c r="G238" t="inlineStr">
        <is>
          <t>Mobile App</t>
        </is>
      </c>
      <c r="H238" t="inlineStr">
        <is>
          <t>UPI</t>
        </is>
      </c>
      <c r="I238" t="inlineStr">
        <is>
          <t>Returned</t>
        </is>
      </c>
      <c r="J238" t="n">
        <v>112</v>
      </c>
      <c r="K238" t="n">
        <v>1</v>
      </c>
      <c r="L238" s="7" t="n">
        <v>1574</v>
      </c>
      <c r="M238" s="7" t="n">
        <v>0</v>
      </c>
    </row>
    <row r="239">
      <c r="A239" t="n">
        <v>509449</v>
      </c>
      <c r="B239" s="6" t="n">
        <v>45935</v>
      </c>
      <c r="C239" t="n">
        <v>15850</v>
      </c>
      <c r="D239" t="inlineStr">
        <is>
          <t>Chennai</t>
        </is>
      </c>
      <c r="E239" t="inlineStr">
        <is>
          <t>South</t>
        </is>
      </c>
      <c r="F239" t="inlineStr">
        <is>
          <t>Referral</t>
        </is>
      </c>
      <c r="G239" t="inlineStr">
        <is>
          <t>Desktop</t>
        </is>
      </c>
      <c r="H239" t="inlineStr">
        <is>
          <t>Cash on Delivery</t>
        </is>
      </c>
      <c r="I239" t="inlineStr">
        <is>
          <t>Cancelled</t>
        </is>
      </c>
      <c r="J239" t="n">
        <v>113</v>
      </c>
      <c r="K239" t="n">
        <v>1</v>
      </c>
      <c r="L239" s="7" t="n">
        <v>1364</v>
      </c>
      <c r="M239" s="7" t="n">
        <v>136.4</v>
      </c>
    </row>
    <row r="240">
      <c r="A240" t="n">
        <v>509450</v>
      </c>
      <c r="B240" s="6" t="n">
        <v>45935</v>
      </c>
      <c r="C240" t="n">
        <v>13754</v>
      </c>
      <c r="D240" t="inlineStr">
        <is>
          <t>Mumbai</t>
        </is>
      </c>
      <c r="E240" t="inlineStr">
        <is>
          <t>West</t>
        </is>
      </c>
      <c r="F240" t="inlineStr">
        <is>
          <t>Paid Search</t>
        </is>
      </c>
      <c r="G240" t="inlineStr">
        <is>
          <t>Mobile App</t>
        </is>
      </c>
      <c r="H240" t="inlineStr">
        <is>
          <t>UPI</t>
        </is>
      </c>
      <c r="I240" t="inlineStr">
        <is>
          <t>Delivered</t>
        </is>
      </c>
      <c r="J240" t="n">
        <v>134</v>
      </c>
      <c r="K240" t="n">
        <v>1</v>
      </c>
      <c r="L240" s="7" t="n">
        <v>209</v>
      </c>
      <c r="M240" s="7" t="n">
        <v>0</v>
      </c>
    </row>
    <row r="241">
      <c r="A241" t="n">
        <v>509451</v>
      </c>
      <c r="B241" s="6" t="n">
        <v>45935</v>
      </c>
      <c r="C241" t="n">
        <v>10536</v>
      </c>
      <c r="D241" t="inlineStr">
        <is>
          <t>Bengaluru</t>
        </is>
      </c>
      <c r="E241" t="inlineStr">
        <is>
          <t>South</t>
        </is>
      </c>
      <c r="F241" t="inlineStr">
        <is>
          <t>Paid Search</t>
        </is>
      </c>
      <c r="G241" t="inlineStr">
        <is>
          <t>Desktop</t>
        </is>
      </c>
      <c r="H241" t="inlineStr">
        <is>
          <t>UPI</t>
        </is>
      </c>
      <c r="I241" t="inlineStr">
        <is>
          <t>Returned</t>
        </is>
      </c>
      <c r="J241" t="n">
        <v>104</v>
      </c>
      <c r="K241" t="n">
        <v>1</v>
      </c>
      <c r="L241" s="7" t="n">
        <v>5249</v>
      </c>
      <c r="M241" s="7" t="n">
        <v>524.9</v>
      </c>
    </row>
    <row r="242">
      <c r="A242" t="n">
        <v>509451</v>
      </c>
      <c r="B242" s="6" t="n">
        <v>45935</v>
      </c>
      <c r="C242" t="n">
        <v>10536</v>
      </c>
      <c r="D242" t="inlineStr">
        <is>
          <t>Bengaluru</t>
        </is>
      </c>
      <c r="E242" t="inlineStr">
        <is>
          <t>South</t>
        </is>
      </c>
      <c r="F242" t="inlineStr">
        <is>
          <t>Paid Search</t>
        </is>
      </c>
      <c r="G242" t="inlineStr">
        <is>
          <t>Desktop</t>
        </is>
      </c>
      <c r="H242" t="inlineStr">
        <is>
          <t>UPI</t>
        </is>
      </c>
      <c r="I242" t="inlineStr">
        <is>
          <t>Returned</t>
        </is>
      </c>
      <c r="J242" t="n">
        <v>111</v>
      </c>
      <c r="K242" t="n">
        <v>1</v>
      </c>
      <c r="L242" s="7" t="n">
        <v>524</v>
      </c>
      <c r="M242" s="7" t="n">
        <v>52.4</v>
      </c>
    </row>
    <row r="243">
      <c r="A243" t="n">
        <v>509451</v>
      </c>
      <c r="B243" s="6" t="n">
        <v>45935</v>
      </c>
      <c r="C243" t="n">
        <v>10536</v>
      </c>
      <c r="D243" t="inlineStr">
        <is>
          <t>Bengaluru</t>
        </is>
      </c>
      <c r="E243" t="inlineStr">
        <is>
          <t>South</t>
        </is>
      </c>
      <c r="F243" t="inlineStr">
        <is>
          <t>Paid Search</t>
        </is>
      </c>
      <c r="G243" t="inlineStr">
        <is>
          <t>Desktop</t>
        </is>
      </c>
      <c r="H243" t="inlineStr">
        <is>
          <t>UPI</t>
        </is>
      </c>
      <c r="I243" t="inlineStr">
        <is>
          <t>Returned</t>
        </is>
      </c>
      <c r="J243" t="n">
        <v>135</v>
      </c>
      <c r="K243" t="n">
        <v>3</v>
      </c>
      <c r="L243" s="7" t="n">
        <v>1574</v>
      </c>
      <c r="M243" s="7" t="n">
        <v>472.2</v>
      </c>
    </row>
    <row r="244">
      <c r="A244" t="n">
        <v>509452</v>
      </c>
      <c r="B244" s="6" t="n">
        <v>45935</v>
      </c>
      <c r="C244" t="n">
        <v>15795</v>
      </c>
      <c r="D244" t="inlineStr">
        <is>
          <t>Noida</t>
        </is>
      </c>
      <c r="E244" t="inlineStr">
        <is>
          <t>North</t>
        </is>
      </c>
      <c r="F244" t="inlineStr">
        <is>
          <t>Referral</t>
        </is>
      </c>
      <c r="G244" t="inlineStr">
        <is>
          <t>Mobile Web</t>
        </is>
      </c>
      <c r="H244" t="inlineStr">
        <is>
          <t>UPI</t>
        </is>
      </c>
      <c r="I244" t="inlineStr">
        <is>
          <t>Delivered</t>
        </is>
      </c>
      <c r="J244" t="n">
        <v>128</v>
      </c>
      <c r="K244" t="n">
        <v>1</v>
      </c>
      <c r="L244" s="7" t="n">
        <v>1049</v>
      </c>
      <c r="M244" s="7" t="n">
        <v>104.9</v>
      </c>
    </row>
    <row r="245">
      <c r="A245" t="n">
        <v>509452</v>
      </c>
      <c r="B245" s="6" t="n">
        <v>45935</v>
      </c>
      <c r="C245" t="n">
        <v>15795</v>
      </c>
      <c r="D245" t="inlineStr">
        <is>
          <t>Noida</t>
        </is>
      </c>
      <c r="E245" t="inlineStr">
        <is>
          <t>North</t>
        </is>
      </c>
      <c r="F245" t="inlineStr">
        <is>
          <t>Referral</t>
        </is>
      </c>
      <c r="G245" t="inlineStr">
        <is>
          <t>Mobile Web</t>
        </is>
      </c>
      <c r="H245" t="inlineStr">
        <is>
          <t>UPI</t>
        </is>
      </c>
      <c r="I245" t="inlineStr">
        <is>
          <t>Delivered</t>
        </is>
      </c>
      <c r="J245" t="n">
        <v>129</v>
      </c>
      <c r="K245" t="n">
        <v>1</v>
      </c>
      <c r="L245" s="7" t="n">
        <v>576</v>
      </c>
      <c r="M245" s="7" t="n">
        <v>57.6</v>
      </c>
    </row>
    <row r="246">
      <c r="A246" t="n">
        <v>509453</v>
      </c>
      <c r="B246" s="6" t="n">
        <v>45935</v>
      </c>
      <c r="C246" t="n">
        <v>15789</v>
      </c>
      <c r="D246" t="inlineStr">
        <is>
          <t>Delhi</t>
        </is>
      </c>
      <c r="E246" t="inlineStr">
        <is>
          <t>North</t>
        </is>
      </c>
      <c r="F246" t="inlineStr">
        <is>
          <t>Referral</t>
        </is>
      </c>
      <c r="G246" t="inlineStr">
        <is>
          <t>Mobile Web</t>
        </is>
      </c>
      <c r="H246" t="inlineStr">
        <is>
          <t>UPI</t>
        </is>
      </c>
      <c r="I246" t="inlineStr">
        <is>
          <t>Delivered</t>
        </is>
      </c>
      <c r="J246" t="n">
        <v>147</v>
      </c>
      <c r="K246" t="n">
        <v>1</v>
      </c>
      <c r="L246" s="7" t="n">
        <v>1364</v>
      </c>
      <c r="M246" s="7" t="n">
        <v>0</v>
      </c>
    </row>
    <row r="247">
      <c r="A247" t="n">
        <v>509453</v>
      </c>
      <c r="B247" s="6" t="n">
        <v>45935</v>
      </c>
      <c r="C247" t="n">
        <v>15789</v>
      </c>
      <c r="D247" t="inlineStr">
        <is>
          <t>Delhi</t>
        </is>
      </c>
      <c r="E247" t="inlineStr">
        <is>
          <t>North</t>
        </is>
      </c>
      <c r="F247" t="inlineStr">
        <is>
          <t>Referral</t>
        </is>
      </c>
      <c r="G247" t="inlineStr">
        <is>
          <t>Mobile Web</t>
        </is>
      </c>
      <c r="H247" t="inlineStr">
        <is>
          <t>UPI</t>
        </is>
      </c>
      <c r="I247" t="inlineStr">
        <is>
          <t>Delivered</t>
        </is>
      </c>
      <c r="J247" t="n">
        <v>129</v>
      </c>
      <c r="K247" t="n">
        <v>2</v>
      </c>
      <c r="L247" s="7" t="n">
        <v>576</v>
      </c>
      <c r="M247" s="7" t="n">
        <v>0</v>
      </c>
    </row>
    <row r="248">
      <c r="A248" t="n">
        <v>509454</v>
      </c>
      <c r="B248" s="6" t="n">
        <v>45935</v>
      </c>
      <c r="C248" t="n">
        <v>13802</v>
      </c>
      <c r="D248" t="inlineStr">
        <is>
          <t>Delhi</t>
        </is>
      </c>
      <c r="E248" t="inlineStr">
        <is>
          <t>North</t>
        </is>
      </c>
      <c r="F248" t="inlineStr">
        <is>
          <t>Paid Search</t>
        </is>
      </c>
      <c r="G248" t="inlineStr">
        <is>
          <t>Desktop</t>
        </is>
      </c>
      <c r="H248" t="inlineStr">
        <is>
          <t>Net Banking</t>
        </is>
      </c>
      <c r="I248" t="inlineStr">
        <is>
          <t>Returned</t>
        </is>
      </c>
      <c r="J248" t="n">
        <v>116</v>
      </c>
      <c r="K248" t="n">
        <v>1</v>
      </c>
      <c r="L248" s="7" t="n">
        <v>2624</v>
      </c>
      <c r="M248" s="7" t="n">
        <v>0</v>
      </c>
    </row>
    <row r="249">
      <c r="A249" t="n">
        <v>509454</v>
      </c>
      <c r="B249" s="6" t="n">
        <v>45935</v>
      </c>
      <c r="C249" t="n">
        <v>13802</v>
      </c>
      <c r="D249" t="inlineStr">
        <is>
          <t>Delhi</t>
        </is>
      </c>
      <c r="E249" t="inlineStr">
        <is>
          <t>North</t>
        </is>
      </c>
      <c r="F249" t="inlineStr">
        <is>
          <t>Paid Search</t>
        </is>
      </c>
      <c r="G249" t="inlineStr">
        <is>
          <t>Desktop</t>
        </is>
      </c>
      <c r="H249" t="inlineStr">
        <is>
          <t>Net Banking</t>
        </is>
      </c>
      <c r="I249" t="inlineStr">
        <is>
          <t>Returned</t>
        </is>
      </c>
      <c r="J249" t="n">
        <v>129</v>
      </c>
      <c r="K249" t="n">
        <v>1</v>
      </c>
      <c r="L249" s="7" t="n">
        <v>576</v>
      </c>
      <c r="M249" s="7" t="n">
        <v>0</v>
      </c>
    </row>
    <row r="250">
      <c r="A250" t="n">
        <v>509455</v>
      </c>
      <c r="B250" s="6" t="n">
        <v>45936</v>
      </c>
      <c r="C250" t="n">
        <v>11680</v>
      </c>
      <c r="D250" t="inlineStr">
        <is>
          <t>Delhi</t>
        </is>
      </c>
      <c r="E250" t="inlineStr">
        <is>
          <t>North</t>
        </is>
      </c>
      <c r="F250" t="inlineStr">
        <is>
          <t>Paid Social</t>
        </is>
      </c>
      <c r="G250" t="inlineStr">
        <is>
          <t>Mobile App</t>
        </is>
      </c>
      <c r="H250" t="inlineStr">
        <is>
          <t>UPI</t>
        </is>
      </c>
      <c r="I250" t="inlineStr">
        <is>
          <t>Delivered</t>
        </is>
      </c>
      <c r="J250" t="n">
        <v>118</v>
      </c>
      <c r="K250" t="n">
        <v>2</v>
      </c>
      <c r="L250" s="7" t="n">
        <v>944</v>
      </c>
      <c r="M250" s="7" t="n">
        <v>188.8</v>
      </c>
    </row>
    <row r="251">
      <c r="A251" t="n">
        <v>509455</v>
      </c>
      <c r="B251" s="6" t="n">
        <v>45936</v>
      </c>
      <c r="C251" t="n">
        <v>11680</v>
      </c>
      <c r="D251" t="inlineStr">
        <is>
          <t>Delhi</t>
        </is>
      </c>
      <c r="E251" t="inlineStr">
        <is>
          <t>North</t>
        </is>
      </c>
      <c r="F251" t="inlineStr">
        <is>
          <t>Paid Social</t>
        </is>
      </c>
      <c r="G251" t="inlineStr">
        <is>
          <t>Mobile App</t>
        </is>
      </c>
      <c r="H251" t="inlineStr">
        <is>
          <t>UPI</t>
        </is>
      </c>
      <c r="I251" t="inlineStr">
        <is>
          <t>Delivered</t>
        </is>
      </c>
      <c r="J251" t="n">
        <v>122</v>
      </c>
      <c r="K251" t="n">
        <v>1</v>
      </c>
      <c r="L251" s="7" t="n">
        <v>1994</v>
      </c>
      <c r="M251" s="7" t="n">
        <v>199.4</v>
      </c>
    </row>
    <row r="252">
      <c r="A252" t="n">
        <v>509455</v>
      </c>
      <c r="B252" s="6" t="n">
        <v>45936</v>
      </c>
      <c r="C252" t="n">
        <v>11680</v>
      </c>
      <c r="D252" t="inlineStr">
        <is>
          <t>Delhi</t>
        </is>
      </c>
      <c r="E252" t="inlineStr">
        <is>
          <t>North</t>
        </is>
      </c>
      <c r="F252" t="inlineStr">
        <is>
          <t>Paid Social</t>
        </is>
      </c>
      <c r="G252" t="inlineStr">
        <is>
          <t>Mobile App</t>
        </is>
      </c>
      <c r="H252" t="inlineStr">
        <is>
          <t>UPI</t>
        </is>
      </c>
      <c r="I252" t="inlineStr">
        <is>
          <t>Delivered</t>
        </is>
      </c>
      <c r="J252" t="n">
        <v>113</v>
      </c>
      <c r="K252" t="n">
        <v>1</v>
      </c>
      <c r="L252" s="7" t="n">
        <v>1364</v>
      </c>
      <c r="M252" s="7" t="n">
        <v>136.4</v>
      </c>
    </row>
    <row r="253">
      <c r="A253" t="n">
        <v>509455</v>
      </c>
      <c r="B253" s="6" t="n">
        <v>45936</v>
      </c>
      <c r="C253" t="n">
        <v>11680</v>
      </c>
      <c r="D253" t="inlineStr">
        <is>
          <t>Delhi</t>
        </is>
      </c>
      <c r="E253" t="inlineStr">
        <is>
          <t>North</t>
        </is>
      </c>
      <c r="F253" t="inlineStr">
        <is>
          <t>Paid Social</t>
        </is>
      </c>
      <c r="G253" t="inlineStr">
        <is>
          <t>Mobile App</t>
        </is>
      </c>
      <c r="H253" t="inlineStr">
        <is>
          <t>UPI</t>
        </is>
      </c>
      <c r="I253" t="inlineStr">
        <is>
          <t>Delivered</t>
        </is>
      </c>
      <c r="J253" t="n">
        <v>129</v>
      </c>
      <c r="K253" t="n">
        <v>3</v>
      </c>
      <c r="L253" s="7" t="n">
        <v>576</v>
      </c>
      <c r="M253" s="7" t="n">
        <v>172.8</v>
      </c>
    </row>
    <row r="254">
      <c r="A254" t="n">
        <v>509456</v>
      </c>
      <c r="B254" s="6" t="n">
        <v>45936</v>
      </c>
      <c r="C254" t="n">
        <v>16605</v>
      </c>
      <c r="D254" t="inlineStr">
        <is>
          <t>Kolkata</t>
        </is>
      </c>
      <c r="E254" t="inlineStr">
        <is>
          <t>East</t>
        </is>
      </c>
      <c r="F254" t="inlineStr">
        <is>
          <t>Paid Social</t>
        </is>
      </c>
      <c r="G254" t="inlineStr">
        <is>
          <t>Mobile Web</t>
        </is>
      </c>
      <c r="H254" t="inlineStr">
        <is>
          <t>Debit Card</t>
        </is>
      </c>
      <c r="I254" t="inlineStr">
        <is>
          <t>Delivered</t>
        </is>
      </c>
      <c r="J254" t="n">
        <v>108</v>
      </c>
      <c r="K254" t="n">
        <v>1</v>
      </c>
      <c r="L254" s="7" t="n">
        <v>419</v>
      </c>
      <c r="M254" s="7" t="n">
        <v>41.9</v>
      </c>
    </row>
    <row r="255">
      <c r="A255" t="n">
        <v>509456</v>
      </c>
      <c r="B255" s="6" t="n">
        <v>45936</v>
      </c>
      <c r="C255" t="n">
        <v>16605</v>
      </c>
      <c r="D255" t="inlineStr">
        <is>
          <t>Kolkata</t>
        </is>
      </c>
      <c r="E255" t="inlineStr">
        <is>
          <t>East</t>
        </is>
      </c>
      <c r="F255" t="inlineStr">
        <is>
          <t>Paid Social</t>
        </is>
      </c>
      <c r="G255" t="inlineStr">
        <is>
          <t>Mobile Web</t>
        </is>
      </c>
      <c r="H255" t="inlineStr">
        <is>
          <t>Debit Card</t>
        </is>
      </c>
      <c r="I255" t="inlineStr">
        <is>
          <t>Delivered</t>
        </is>
      </c>
      <c r="J255" t="n">
        <v>114</v>
      </c>
      <c r="K255" t="n">
        <v>1</v>
      </c>
      <c r="L255" s="7" t="n">
        <v>1259</v>
      </c>
      <c r="M255" s="7" t="n">
        <v>125.9</v>
      </c>
    </row>
    <row r="256">
      <c r="A256" t="n">
        <v>509456</v>
      </c>
      <c r="B256" s="6" t="n">
        <v>45936</v>
      </c>
      <c r="C256" t="n">
        <v>16605</v>
      </c>
      <c r="D256" t="inlineStr">
        <is>
          <t>Kolkata</t>
        </is>
      </c>
      <c r="E256" t="inlineStr">
        <is>
          <t>East</t>
        </is>
      </c>
      <c r="F256" t="inlineStr">
        <is>
          <t>Paid Social</t>
        </is>
      </c>
      <c r="G256" t="inlineStr">
        <is>
          <t>Mobile Web</t>
        </is>
      </c>
      <c r="H256" t="inlineStr">
        <is>
          <t>Debit Card</t>
        </is>
      </c>
      <c r="I256" t="inlineStr">
        <is>
          <t>Delivered</t>
        </is>
      </c>
      <c r="J256" t="n">
        <v>111</v>
      </c>
      <c r="K256" t="n">
        <v>1</v>
      </c>
      <c r="L256" s="7" t="n">
        <v>524</v>
      </c>
      <c r="M256" s="7" t="n">
        <v>52.4</v>
      </c>
    </row>
    <row r="257">
      <c r="A257" t="n">
        <v>509457</v>
      </c>
      <c r="B257" s="6" t="n">
        <v>45936</v>
      </c>
      <c r="C257" t="n">
        <v>15960</v>
      </c>
      <c r="D257" t="inlineStr">
        <is>
          <t>Delhi</t>
        </is>
      </c>
      <c r="E257" t="inlineStr">
        <is>
          <t>North</t>
        </is>
      </c>
      <c r="F257" t="inlineStr">
        <is>
          <t>Paid Search</t>
        </is>
      </c>
      <c r="G257" t="inlineStr">
        <is>
          <t>Mobile App</t>
        </is>
      </c>
      <c r="H257" t="inlineStr">
        <is>
          <t>UPI</t>
        </is>
      </c>
      <c r="I257" t="inlineStr">
        <is>
          <t>Delivered</t>
        </is>
      </c>
      <c r="J257" t="n">
        <v>127</v>
      </c>
      <c r="K257" t="n">
        <v>1</v>
      </c>
      <c r="L257" s="7" t="n">
        <v>681</v>
      </c>
      <c r="M257" s="7" t="n">
        <v>68.09999999999999</v>
      </c>
    </row>
    <row r="258">
      <c r="A258" t="n">
        <v>509457</v>
      </c>
      <c r="B258" s="6" t="n">
        <v>45936</v>
      </c>
      <c r="C258" t="n">
        <v>15960</v>
      </c>
      <c r="D258" t="inlineStr">
        <is>
          <t>Delhi</t>
        </is>
      </c>
      <c r="E258" t="inlineStr">
        <is>
          <t>North</t>
        </is>
      </c>
      <c r="F258" t="inlineStr">
        <is>
          <t>Paid Search</t>
        </is>
      </c>
      <c r="G258" t="inlineStr">
        <is>
          <t>Mobile App</t>
        </is>
      </c>
      <c r="H258" t="inlineStr">
        <is>
          <t>UPI</t>
        </is>
      </c>
      <c r="I258" t="inlineStr">
        <is>
          <t>Delivered</t>
        </is>
      </c>
      <c r="J258" t="n">
        <v>116</v>
      </c>
      <c r="K258" t="n">
        <v>1</v>
      </c>
      <c r="L258" s="7" t="n">
        <v>2624</v>
      </c>
      <c r="M258" s="7" t="n">
        <v>262.4</v>
      </c>
    </row>
    <row r="259">
      <c r="A259" t="n">
        <v>509458</v>
      </c>
      <c r="B259" s="6" t="n">
        <v>45936</v>
      </c>
      <c r="C259" t="n">
        <v>16122</v>
      </c>
      <c r="D259" t="inlineStr">
        <is>
          <t>Chennai</t>
        </is>
      </c>
      <c r="E259" t="inlineStr">
        <is>
          <t>South</t>
        </is>
      </c>
      <c r="F259" t="inlineStr">
        <is>
          <t>Referral</t>
        </is>
      </c>
      <c r="G259" t="inlineStr">
        <is>
          <t>Mobile Web</t>
        </is>
      </c>
      <c r="H259" t="inlineStr">
        <is>
          <t>Net Banking</t>
        </is>
      </c>
      <c r="I259" t="inlineStr">
        <is>
          <t>Returned</t>
        </is>
      </c>
      <c r="J259" t="n">
        <v>106</v>
      </c>
      <c r="K259" t="n">
        <v>2</v>
      </c>
      <c r="L259" s="7" t="n">
        <v>1574</v>
      </c>
      <c r="M259" s="7" t="n">
        <v>314.8</v>
      </c>
    </row>
    <row r="260">
      <c r="A260" t="n">
        <v>509458</v>
      </c>
      <c r="B260" s="6" t="n">
        <v>45936</v>
      </c>
      <c r="C260" t="n">
        <v>16122</v>
      </c>
      <c r="D260" t="inlineStr">
        <is>
          <t>Chennai</t>
        </is>
      </c>
      <c r="E260" t="inlineStr">
        <is>
          <t>South</t>
        </is>
      </c>
      <c r="F260" t="inlineStr">
        <is>
          <t>Referral</t>
        </is>
      </c>
      <c r="G260" t="inlineStr">
        <is>
          <t>Mobile Web</t>
        </is>
      </c>
      <c r="H260" t="inlineStr">
        <is>
          <t>Net Banking</t>
        </is>
      </c>
      <c r="I260" t="inlineStr">
        <is>
          <t>Returned</t>
        </is>
      </c>
      <c r="J260" t="n">
        <v>123</v>
      </c>
      <c r="K260" t="n">
        <v>2</v>
      </c>
      <c r="L260" s="7" t="n">
        <v>3464</v>
      </c>
      <c r="M260" s="7" t="n">
        <v>692.8</v>
      </c>
    </row>
    <row r="261">
      <c r="A261" t="n">
        <v>509459</v>
      </c>
      <c r="B261" s="6" t="n">
        <v>45936</v>
      </c>
      <c r="C261" t="n">
        <v>13923</v>
      </c>
      <c r="D261" t="inlineStr">
        <is>
          <t>Noida</t>
        </is>
      </c>
      <c r="E261" t="inlineStr">
        <is>
          <t>North</t>
        </is>
      </c>
      <c r="F261" t="inlineStr">
        <is>
          <t>Organic Search</t>
        </is>
      </c>
      <c r="G261" t="inlineStr">
        <is>
          <t>Mobile App</t>
        </is>
      </c>
      <c r="H261" t="inlineStr">
        <is>
          <t>Net Banking</t>
        </is>
      </c>
      <c r="I261" t="inlineStr">
        <is>
          <t>Delivered</t>
        </is>
      </c>
      <c r="J261" t="n">
        <v>104</v>
      </c>
      <c r="K261" t="n">
        <v>1</v>
      </c>
      <c r="L261" s="7" t="n">
        <v>5249</v>
      </c>
      <c r="M261" s="7" t="n">
        <v>0</v>
      </c>
    </row>
    <row r="262">
      <c r="A262" t="n">
        <v>509459</v>
      </c>
      <c r="B262" s="6" t="n">
        <v>45936</v>
      </c>
      <c r="C262" t="n">
        <v>13923</v>
      </c>
      <c r="D262" t="inlineStr">
        <is>
          <t>Noida</t>
        </is>
      </c>
      <c r="E262" t="inlineStr">
        <is>
          <t>North</t>
        </is>
      </c>
      <c r="F262" t="inlineStr">
        <is>
          <t>Organic Search</t>
        </is>
      </c>
      <c r="G262" t="inlineStr">
        <is>
          <t>Mobile App</t>
        </is>
      </c>
      <c r="H262" t="inlineStr">
        <is>
          <t>Net Banking</t>
        </is>
      </c>
      <c r="I262" t="inlineStr">
        <is>
          <t>Delivered</t>
        </is>
      </c>
      <c r="J262" t="n">
        <v>129</v>
      </c>
      <c r="K262" t="n">
        <v>2</v>
      </c>
      <c r="L262" s="7" t="n">
        <v>576</v>
      </c>
      <c r="M262" s="7" t="n">
        <v>0</v>
      </c>
    </row>
    <row r="263">
      <c r="A263" t="n">
        <v>509460</v>
      </c>
      <c r="B263" s="6" t="n">
        <v>45936</v>
      </c>
      <c r="C263" t="n">
        <v>16124</v>
      </c>
      <c r="D263" t="inlineStr">
        <is>
          <t>Kolkata</t>
        </is>
      </c>
      <c r="E263" t="inlineStr">
        <is>
          <t>East</t>
        </is>
      </c>
      <c r="F263" t="inlineStr">
        <is>
          <t>Organic Search</t>
        </is>
      </c>
      <c r="G263" t="inlineStr">
        <is>
          <t>Mobile Web</t>
        </is>
      </c>
      <c r="H263" t="inlineStr">
        <is>
          <t>UPI</t>
        </is>
      </c>
      <c r="I263" t="inlineStr">
        <is>
          <t>Delivered</t>
        </is>
      </c>
      <c r="J263" t="n">
        <v>102</v>
      </c>
      <c r="K263" t="n">
        <v>1</v>
      </c>
      <c r="L263" s="7" t="n">
        <v>3674</v>
      </c>
      <c r="M263" s="7" t="n">
        <v>0</v>
      </c>
    </row>
    <row r="264">
      <c r="A264" t="n">
        <v>509461</v>
      </c>
      <c r="B264" s="6" t="n">
        <v>45936</v>
      </c>
      <c r="C264" t="n">
        <v>16566</v>
      </c>
      <c r="D264" t="inlineStr">
        <is>
          <t>Delhi</t>
        </is>
      </c>
      <c r="E264" t="inlineStr">
        <is>
          <t>North</t>
        </is>
      </c>
      <c r="F264" t="inlineStr">
        <is>
          <t>Referral</t>
        </is>
      </c>
      <c r="G264" t="inlineStr">
        <is>
          <t>Mobile App</t>
        </is>
      </c>
      <c r="H264" t="inlineStr">
        <is>
          <t>UPI</t>
        </is>
      </c>
      <c r="I264" t="inlineStr">
        <is>
          <t>Delivered</t>
        </is>
      </c>
      <c r="J264" t="n">
        <v>126</v>
      </c>
      <c r="K264" t="n">
        <v>1</v>
      </c>
      <c r="L264" s="7" t="n">
        <v>471</v>
      </c>
      <c r="M264" s="7" t="n">
        <v>47.1</v>
      </c>
    </row>
    <row r="265">
      <c r="A265" t="n">
        <v>509461</v>
      </c>
      <c r="B265" s="6" t="n">
        <v>45936</v>
      </c>
      <c r="C265" t="n">
        <v>16566</v>
      </c>
      <c r="D265" t="inlineStr">
        <is>
          <t>Delhi</t>
        </is>
      </c>
      <c r="E265" t="inlineStr">
        <is>
          <t>North</t>
        </is>
      </c>
      <c r="F265" t="inlineStr">
        <is>
          <t>Referral</t>
        </is>
      </c>
      <c r="G265" t="inlineStr">
        <is>
          <t>Mobile App</t>
        </is>
      </c>
      <c r="H265" t="inlineStr">
        <is>
          <t>UPI</t>
        </is>
      </c>
      <c r="I265" t="inlineStr">
        <is>
          <t>Delivered</t>
        </is>
      </c>
      <c r="J265" t="n">
        <v>134</v>
      </c>
      <c r="K265" t="n">
        <v>1</v>
      </c>
      <c r="L265" s="7" t="n">
        <v>209</v>
      </c>
      <c r="M265" s="7" t="n">
        <v>20.9</v>
      </c>
    </row>
    <row r="266">
      <c r="A266" t="n">
        <v>509461</v>
      </c>
      <c r="B266" s="6" t="n">
        <v>45936</v>
      </c>
      <c r="C266" t="n">
        <v>16566</v>
      </c>
      <c r="D266" t="inlineStr">
        <is>
          <t>Delhi</t>
        </is>
      </c>
      <c r="E266" t="inlineStr">
        <is>
          <t>North</t>
        </is>
      </c>
      <c r="F266" t="inlineStr">
        <is>
          <t>Referral</t>
        </is>
      </c>
      <c r="G266" t="inlineStr">
        <is>
          <t>Mobile App</t>
        </is>
      </c>
      <c r="H266" t="inlineStr">
        <is>
          <t>UPI</t>
        </is>
      </c>
      <c r="I266" t="inlineStr">
        <is>
          <t>Delivered</t>
        </is>
      </c>
      <c r="J266" t="n">
        <v>145</v>
      </c>
      <c r="K266" t="n">
        <v>1</v>
      </c>
      <c r="L266" s="7" t="n">
        <v>629</v>
      </c>
      <c r="M266" s="7" t="n">
        <v>62.9</v>
      </c>
    </row>
    <row r="267">
      <c r="A267" t="n">
        <v>509462</v>
      </c>
      <c r="B267" s="6" t="n">
        <v>45936</v>
      </c>
      <c r="C267" t="n">
        <v>13665</v>
      </c>
      <c r="D267" t="inlineStr">
        <is>
          <t>Mumbai</t>
        </is>
      </c>
      <c r="E267" t="inlineStr">
        <is>
          <t>West</t>
        </is>
      </c>
      <c r="F267" t="inlineStr">
        <is>
          <t>Email</t>
        </is>
      </c>
      <c r="G267" t="inlineStr">
        <is>
          <t>Desktop</t>
        </is>
      </c>
      <c r="H267" t="inlineStr">
        <is>
          <t>UPI</t>
        </is>
      </c>
      <c r="I267" t="inlineStr">
        <is>
          <t>Delivered</t>
        </is>
      </c>
      <c r="J267" t="n">
        <v>109</v>
      </c>
      <c r="K267" t="n">
        <v>1</v>
      </c>
      <c r="L267" s="7" t="n">
        <v>4199</v>
      </c>
      <c r="M267" s="7" t="n">
        <v>419.9</v>
      </c>
    </row>
    <row r="268">
      <c r="A268" t="n">
        <v>509462</v>
      </c>
      <c r="B268" s="6" t="n">
        <v>45936</v>
      </c>
      <c r="C268" t="n">
        <v>13665</v>
      </c>
      <c r="D268" t="inlineStr">
        <is>
          <t>Mumbai</t>
        </is>
      </c>
      <c r="E268" t="inlineStr">
        <is>
          <t>West</t>
        </is>
      </c>
      <c r="F268" t="inlineStr">
        <is>
          <t>Email</t>
        </is>
      </c>
      <c r="G268" t="inlineStr">
        <is>
          <t>Desktop</t>
        </is>
      </c>
      <c r="H268" t="inlineStr">
        <is>
          <t>UPI</t>
        </is>
      </c>
      <c r="I268" t="inlineStr">
        <is>
          <t>Delivered</t>
        </is>
      </c>
      <c r="J268" t="n">
        <v>118</v>
      </c>
      <c r="K268" t="n">
        <v>1</v>
      </c>
      <c r="L268" s="7" t="n">
        <v>944</v>
      </c>
      <c r="M268" s="7" t="n">
        <v>94.40000000000001</v>
      </c>
    </row>
    <row r="269">
      <c r="A269" t="n">
        <v>509462</v>
      </c>
      <c r="B269" s="6" t="n">
        <v>45936</v>
      </c>
      <c r="C269" t="n">
        <v>13665</v>
      </c>
      <c r="D269" t="inlineStr">
        <is>
          <t>Mumbai</t>
        </is>
      </c>
      <c r="E269" t="inlineStr">
        <is>
          <t>West</t>
        </is>
      </c>
      <c r="F269" t="inlineStr">
        <is>
          <t>Email</t>
        </is>
      </c>
      <c r="G269" t="inlineStr">
        <is>
          <t>Desktop</t>
        </is>
      </c>
      <c r="H269" t="inlineStr">
        <is>
          <t>UPI</t>
        </is>
      </c>
      <c r="I269" t="inlineStr">
        <is>
          <t>Delivered</t>
        </is>
      </c>
      <c r="J269" t="n">
        <v>129</v>
      </c>
      <c r="K269" t="n">
        <v>1</v>
      </c>
      <c r="L269" s="7" t="n">
        <v>576</v>
      </c>
      <c r="M269" s="7" t="n">
        <v>57.6</v>
      </c>
    </row>
    <row r="270">
      <c r="A270" t="n">
        <v>509463</v>
      </c>
      <c r="B270" s="6" t="n">
        <v>45936</v>
      </c>
      <c r="C270" t="n">
        <v>15639</v>
      </c>
      <c r="D270" t="inlineStr">
        <is>
          <t>Delhi</t>
        </is>
      </c>
      <c r="E270" t="inlineStr">
        <is>
          <t>North</t>
        </is>
      </c>
      <c r="F270" t="inlineStr">
        <is>
          <t>Organic Search</t>
        </is>
      </c>
      <c r="G270" t="inlineStr">
        <is>
          <t>Mobile App</t>
        </is>
      </c>
      <c r="H270" t="inlineStr">
        <is>
          <t>Cash on Delivery</t>
        </is>
      </c>
      <c r="I270" t="inlineStr">
        <is>
          <t>Cancelled</t>
        </is>
      </c>
      <c r="J270" t="n">
        <v>116</v>
      </c>
      <c r="K270" t="n">
        <v>1</v>
      </c>
      <c r="L270" s="7" t="n">
        <v>2624</v>
      </c>
      <c r="M270" s="7" t="n">
        <v>0</v>
      </c>
    </row>
    <row r="271">
      <c r="A271" t="n">
        <v>509463</v>
      </c>
      <c r="B271" s="6" t="n">
        <v>45936</v>
      </c>
      <c r="C271" t="n">
        <v>15639</v>
      </c>
      <c r="D271" t="inlineStr">
        <is>
          <t>Delhi</t>
        </is>
      </c>
      <c r="E271" t="inlineStr">
        <is>
          <t>North</t>
        </is>
      </c>
      <c r="F271" t="inlineStr">
        <is>
          <t>Organic Search</t>
        </is>
      </c>
      <c r="G271" t="inlineStr">
        <is>
          <t>Mobile App</t>
        </is>
      </c>
      <c r="H271" t="inlineStr">
        <is>
          <t>Cash on Delivery</t>
        </is>
      </c>
      <c r="I271" t="inlineStr">
        <is>
          <t>Cancelled</t>
        </is>
      </c>
      <c r="J271" t="n">
        <v>134</v>
      </c>
      <c r="K271" t="n">
        <v>1</v>
      </c>
      <c r="L271" s="7" t="n">
        <v>209</v>
      </c>
      <c r="M271" s="7" t="n">
        <v>0</v>
      </c>
    </row>
    <row r="272">
      <c r="A272" t="n">
        <v>509463</v>
      </c>
      <c r="B272" s="6" t="n">
        <v>45936</v>
      </c>
      <c r="C272" t="n">
        <v>15639</v>
      </c>
      <c r="D272" t="inlineStr">
        <is>
          <t>Delhi</t>
        </is>
      </c>
      <c r="E272" t="inlineStr">
        <is>
          <t>North</t>
        </is>
      </c>
      <c r="F272" t="inlineStr">
        <is>
          <t>Organic Search</t>
        </is>
      </c>
      <c r="G272" t="inlineStr">
        <is>
          <t>Mobile App</t>
        </is>
      </c>
      <c r="H272" t="inlineStr">
        <is>
          <t>Cash on Delivery</t>
        </is>
      </c>
      <c r="I272" t="inlineStr">
        <is>
          <t>Cancelled</t>
        </is>
      </c>
      <c r="J272" t="n">
        <v>114</v>
      </c>
      <c r="K272" t="n">
        <v>1</v>
      </c>
      <c r="L272" s="7" t="n">
        <v>1259</v>
      </c>
      <c r="M272" s="7" t="n">
        <v>0</v>
      </c>
    </row>
    <row r="273">
      <c r="A273" t="n">
        <v>509463</v>
      </c>
      <c r="B273" s="6" t="n">
        <v>45936</v>
      </c>
      <c r="C273" t="n">
        <v>15639</v>
      </c>
      <c r="D273" t="inlineStr">
        <is>
          <t>Delhi</t>
        </is>
      </c>
      <c r="E273" t="inlineStr">
        <is>
          <t>North</t>
        </is>
      </c>
      <c r="F273" t="inlineStr">
        <is>
          <t>Organic Search</t>
        </is>
      </c>
      <c r="G273" t="inlineStr">
        <is>
          <t>Mobile App</t>
        </is>
      </c>
      <c r="H273" t="inlineStr">
        <is>
          <t>Cash on Delivery</t>
        </is>
      </c>
      <c r="I273" t="inlineStr">
        <is>
          <t>Cancelled</t>
        </is>
      </c>
      <c r="J273" t="n">
        <v>101</v>
      </c>
      <c r="K273" t="n">
        <v>1</v>
      </c>
      <c r="L273" s="7" t="n">
        <v>2099</v>
      </c>
      <c r="M273" s="7" t="n">
        <v>0</v>
      </c>
    </row>
    <row r="274">
      <c r="A274" t="n">
        <v>509464</v>
      </c>
      <c r="B274" s="6" t="n">
        <v>45936</v>
      </c>
      <c r="C274" t="n">
        <v>16646</v>
      </c>
      <c r="D274" t="inlineStr">
        <is>
          <t>Chennai</t>
        </is>
      </c>
      <c r="E274" t="inlineStr">
        <is>
          <t>South</t>
        </is>
      </c>
      <c r="F274" t="inlineStr">
        <is>
          <t>Organic Search</t>
        </is>
      </c>
      <c r="G274" t="inlineStr">
        <is>
          <t>Mobile Web</t>
        </is>
      </c>
      <c r="H274" t="inlineStr">
        <is>
          <t>Cash on Delivery</t>
        </is>
      </c>
      <c r="I274" t="inlineStr">
        <is>
          <t>Delivered</t>
        </is>
      </c>
      <c r="J274" t="n">
        <v>112</v>
      </c>
      <c r="K274" t="n">
        <v>1</v>
      </c>
      <c r="L274" s="7" t="n">
        <v>1574</v>
      </c>
      <c r="M274" s="7" t="n">
        <v>236.1</v>
      </c>
    </row>
    <row r="275">
      <c r="A275" t="n">
        <v>509464</v>
      </c>
      <c r="B275" s="6" t="n">
        <v>45936</v>
      </c>
      <c r="C275" t="n">
        <v>16646</v>
      </c>
      <c r="D275" t="inlineStr">
        <is>
          <t>Chennai</t>
        </is>
      </c>
      <c r="E275" t="inlineStr">
        <is>
          <t>South</t>
        </is>
      </c>
      <c r="F275" t="inlineStr">
        <is>
          <t>Organic Search</t>
        </is>
      </c>
      <c r="G275" t="inlineStr">
        <is>
          <t>Mobile Web</t>
        </is>
      </c>
      <c r="H275" t="inlineStr">
        <is>
          <t>Cash on Delivery</t>
        </is>
      </c>
      <c r="I275" t="inlineStr">
        <is>
          <t>Delivered</t>
        </is>
      </c>
      <c r="J275" t="n">
        <v>128</v>
      </c>
      <c r="K275" t="n">
        <v>1</v>
      </c>
      <c r="L275" s="7" t="n">
        <v>1049</v>
      </c>
      <c r="M275" s="7" t="n">
        <v>157.35</v>
      </c>
    </row>
    <row r="276">
      <c r="A276" t="n">
        <v>509465</v>
      </c>
      <c r="B276" s="6" t="n">
        <v>45936</v>
      </c>
      <c r="C276" t="n">
        <v>15968</v>
      </c>
      <c r="D276" t="inlineStr">
        <is>
          <t>Ahmedabad</t>
        </is>
      </c>
      <c r="E276" t="inlineStr">
        <is>
          <t>West</t>
        </is>
      </c>
      <c r="F276" t="inlineStr">
        <is>
          <t>Paid Social</t>
        </is>
      </c>
      <c r="G276" t="inlineStr">
        <is>
          <t>Mobile Web</t>
        </is>
      </c>
      <c r="H276" t="inlineStr">
        <is>
          <t>Cash on Delivery</t>
        </is>
      </c>
      <c r="I276" t="inlineStr">
        <is>
          <t>Delivered</t>
        </is>
      </c>
      <c r="J276" t="n">
        <v>107</v>
      </c>
      <c r="K276" t="n">
        <v>1</v>
      </c>
      <c r="L276" s="7" t="n">
        <v>1259</v>
      </c>
      <c r="M276" s="7" t="n">
        <v>125.9</v>
      </c>
    </row>
    <row r="277">
      <c r="A277" t="n">
        <v>509465</v>
      </c>
      <c r="B277" s="6" t="n">
        <v>45936</v>
      </c>
      <c r="C277" t="n">
        <v>15968</v>
      </c>
      <c r="D277" t="inlineStr">
        <is>
          <t>Ahmedabad</t>
        </is>
      </c>
      <c r="E277" t="inlineStr">
        <is>
          <t>West</t>
        </is>
      </c>
      <c r="F277" t="inlineStr">
        <is>
          <t>Paid Social</t>
        </is>
      </c>
      <c r="G277" t="inlineStr">
        <is>
          <t>Mobile Web</t>
        </is>
      </c>
      <c r="H277" t="inlineStr">
        <is>
          <t>Cash on Delivery</t>
        </is>
      </c>
      <c r="I277" t="inlineStr">
        <is>
          <t>Delivered</t>
        </is>
      </c>
      <c r="J277" t="n">
        <v>129</v>
      </c>
      <c r="K277" t="n">
        <v>1</v>
      </c>
      <c r="L277" s="7" t="n">
        <v>576</v>
      </c>
      <c r="M277" s="7" t="n">
        <v>57.6</v>
      </c>
    </row>
    <row r="278">
      <c r="A278" t="n">
        <v>509466</v>
      </c>
      <c r="B278" s="6" t="n">
        <v>45936</v>
      </c>
      <c r="C278" t="n">
        <v>16567</v>
      </c>
      <c r="D278" t="inlineStr">
        <is>
          <t>Kolkata</t>
        </is>
      </c>
      <c r="E278" t="inlineStr">
        <is>
          <t>East</t>
        </is>
      </c>
      <c r="F278" t="inlineStr">
        <is>
          <t>Paid Social</t>
        </is>
      </c>
      <c r="G278" t="inlineStr">
        <is>
          <t>Desktop</t>
        </is>
      </c>
      <c r="H278" t="inlineStr">
        <is>
          <t>Debit Card</t>
        </is>
      </c>
      <c r="I278" t="inlineStr">
        <is>
          <t>Delivered</t>
        </is>
      </c>
      <c r="J278" t="n">
        <v>135</v>
      </c>
      <c r="K278" t="n">
        <v>1</v>
      </c>
      <c r="L278" s="7" t="n">
        <v>1574</v>
      </c>
      <c r="M278" s="7" t="n">
        <v>236.1</v>
      </c>
    </row>
    <row r="279">
      <c r="A279" t="n">
        <v>509467</v>
      </c>
      <c r="B279" s="6" t="n">
        <v>45936</v>
      </c>
      <c r="C279" t="n">
        <v>15298</v>
      </c>
      <c r="D279" t="inlineStr">
        <is>
          <t>Delhi</t>
        </is>
      </c>
      <c r="E279" t="inlineStr">
        <is>
          <t>North</t>
        </is>
      </c>
      <c r="F279" t="inlineStr">
        <is>
          <t>Referral</t>
        </is>
      </c>
      <c r="G279" t="inlineStr">
        <is>
          <t>Mobile Web</t>
        </is>
      </c>
      <c r="H279" t="inlineStr">
        <is>
          <t>Cash on Delivery</t>
        </is>
      </c>
      <c r="I279" t="inlineStr">
        <is>
          <t>Cancelled</t>
        </is>
      </c>
      <c r="J279" t="n">
        <v>132</v>
      </c>
      <c r="K279" t="n">
        <v>1</v>
      </c>
      <c r="L279" s="7" t="n">
        <v>471</v>
      </c>
      <c r="M279" s="7" t="n">
        <v>47.1</v>
      </c>
    </row>
    <row r="280">
      <c r="A280" t="n">
        <v>509468</v>
      </c>
      <c r="B280" s="6" t="n">
        <v>45936</v>
      </c>
      <c r="C280" t="n">
        <v>16197</v>
      </c>
      <c r="D280" t="inlineStr">
        <is>
          <t>Delhi</t>
        </is>
      </c>
      <c r="E280" t="inlineStr">
        <is>
          <t>North</t>
        </is>
      </c>
      <c r="F280" t="inlineStr">
        <is>
          <t>Referral</t>
        </is>
      </c>
      <c r="G280" t="inlineStr">
        <is>
          <t>Mobile Web</t>
        </is>
      </c>
      <c r="H280" t="inlineStr">
        <is>
          <t>UPI</t>
        </is>
      </c>
      <c r="I280" t="inlineStr">
        <is>
          <t>Delivered</t>
        </is>
      </c>
      <c r="J280" t="n">
        <v>118</v>
      </c>
      <c r="K280" t="n">
        <v>1</v>
      </c>
      <c r="L280" s="7" t="n">
        <v>944</v>
      </c>
      <c r="M280" s="7" t="n">
        <v>0</v>
      </c>
    </row>
    <row r="281">
      <c r="A281" t="n">
        <v>509468</v>
      </c>
      <c r="B281" s="6" t="n">
        <v>45936</v>
      </c>
      <c r="C281" t="n">
        <v>16197</v>
      </c>
      <c r="D281" t="inlineStr">
        <is>
          <t>Delhi</t>
        </is>
      </c>
      <c r="E281" t="inlineStr">
        <is>
          <t>North</t>
        </is>
      </c>
      <c r="F281" t="inlineStr">
        <is>
          <t>Referral</t>
        </is>
      </c>
      <c r="G281" t="inlineStr">
        <is>
          <t>Mobile Web</t>
        </is>
      </c>
      <c r="H281" t="inlineStr">
        <is>
          <t>UPI</t>
        </is>
      </c>
      <c r="I281" t="inlineStr">
        <is>
          <t>Delivered</t>
        </is>
      </c>
      <c r="J281" t="n">
        <v>114</v>
      </c>
      <c r="K281" t="n">
        <v>1</v>
      </c>
      <c r="L281" s="7" t="n">
        <v>1259</v>
      </c>
      <c r="M281" s="7" t="n">
        <v>0</v>
      </c>
    </row>
    <row r="282">
      <c r="A282" t="n">
        <v>509469</v>
      </c>
      <c r="B282" s="6" t="n">
        <v>45936</v>
      </c>
      <c r="C282" t="n">
        <v>12787</v>
      </c>
      <c r="D282" t="inlineStr">
        <is>
          <t>Mumbai</t>
        </is>
      </c>
      <c r="E282" t="inlineStr">
        <is>
          <t>West</t>
        </is>
      </c>
      <c r="F282" t="inlineStr">
        <is>
          <t>Referral</t>
        </is>
      </c>
      <c r="G282" t="inlineStr">
        <is>
          <t>Mobile Web</t>
        </is>
      </c>
      <c r="H282" t="inlineStr">
        <is>
          <t>UPI</t>
        </is>
      </c>
      <c r="I282" t="inlineStr">
        <is>
          <t>Delivered</t>
        </is>
      </c>
      <c r="J282" t="n">
        <v>116</v>
      </c>
      <c r="K282" t="n">
        <v>1</v>
      </c>
      <c r="L282" s="7" t="n">
        <v>2624</v>
      </c>
      <c r="M282" s="7" t="n">
        <v>262.4</v>
      </c>
    </row>
    <row r="283">
      <c r="A283" t="n">
        <v>509469</v>
      </c>
      <c r="B283" s="6" t="n">
        <v>45936</v>
      </c>
      <c r="C283" t="n">
        <v>12787</v>
      </c>
      <c r="D283" t="inlineStr">
        <is>
          <t>Mumbai</t>
        </is>
      </c>
      <c r="E283" t="inlineStr">
        <is>
          <t>West</t>
        </is>
      </c>
      <c r="F283" t="inlineStr">
        <is>
          <t>Referral</t>
        </is>
      </c>
      <c r="G283" t="inlineStr">
        <is>
          <t>Mobile Web</t>
        </is>
      </c>
      <c r="H283" t="inlineStr">
        <is>
          <t>UPI</t>
        </is>
      </c>
      <c r="I283" t="inlineStr">
        <is>
          <t>Delivered</t>
        </is>
      </c>
      <c r="J283" t="n">
        <v>127</v>
      </c>
      <c r="K283" t="n">
        <v>1</v>
      </c>
      <c r="L283" s="7" t="n">
        <v>681</v>
      </c>
      <c r="M283" s="7" t="n">
        <v>68.09999999999999</v>
      </c>
    </row>
    <row r="284">
      <c r="A284" t="n">
        <v>509470</v>
      </c>
      <c r="B284" s="6" t="n">
        <v>45936</v>
      </c>
      <c r="C284" t="n">
        <v>16616</v>
      </c>
      <c r="D284" t="inlineStr">
        <is>
          <t>Lucknow</t>
        </is>
      </c>
      <c r="E284" t="inlineStr">
        <is>
          <t>North</t>
        </is>
      </c>
      <c r="F284" t="inlineStr">
        <is>
          <t>Paid Social</t>
        </is>
      </c>
      <c r="G284" t="inlineStr">
        <is>
          <t>Mobile App</t>
        </is>
      </c>
      <c r="H284" t="inlineStr">
        <is>
          <t>UPI</t>
        </is>
      </c>
      <c r="I284" t="inlineStr">
        <is>
          <t>Returned</t>
        </is>
      </c>
      <c r="J284" t="n">
        <v>112</v>
      </c>
      <c r="K284" t="n">
        <v>1</v>
      </c>
      <c r="L284" s="7" t="n">
        <v>1574</v>
      </c>
      <c r="M284" s="7" t="n">
        <v>0</v>
      </c>
    </row>
    <row r="285">
      <c r="A285" t="n">
        <v>509471</v>
      </c>
      <c r="B285" s="6" t="n">
        <v>45936</v>
      </c>
      <c r="C285" t="n">
        <v>14295</v>
      </c>
      <c r="D285" t="inlineStr">
        <is>
          <t>Hyderabad</t>
        </is>
      </c>
      <c r="E285" t="inlineStr">
        <is>
          <t>South</t>
        </is>
      </c>
      <c r="F285" t="inlineStr">
        <is>
          <t>Organic Search</t>
        </is>
      </c>
      <c r="G285" t="inlineStr">
        <is>
          <t>Mobile App</t>
        </is>
      </c>
      <c r="H285" t="inlineStr">
        <is>
          <t>Credit Card</t>
        </is>
      </c>
      <c r="I285" t="inlineStr">
        <is>
          <t>Delivered</t>
        </is>
      </c>
      <c r="J285" t="n">
        <v>139</v>
      </c>
      <c r="K285" t="n">
        <v>2</v>
      </c>
      <c r="L285" s="7" t="n">
        <v>366</v>
      </c>
      <c r="M285" s="7" t="n">
        <v>0</v>
      </c>
    </row>
    <row r="286">
      <c r="A286" t="n">
        <v>509472</v>
      </c>
      <c r="B286" s="6" t="n">
        <v>45936</v>
      </c>
      <c r="C286" t="n">
        <v>10159</v>
      </c>
      <c r="D286" t="inlineStr">
        <is>
          <t>Pune</t>
        </is>
      </c>
      <c r="E286" t="inlineStr">
        <is>
          <t>West</t>
        </is>
      </c>
      <c r="F286" t="inlineStr">
        <is>
          <t>Email</t>
        </is>
      </c>
      <c r="G286" t="inlineStr">
        <is>
          <t>Mobile Web</t>
        </is>
      </c>
      <c r="H286" t="inlineStr">
        <is>
          <t>Cash on Delivery</t>
        </is>
      </c>
      <c r="I286" t="inlineStr">
        <is>
          <t>Delivered</t>
        </is>
      </c>
      <c r="J286" t="n">
        <v>137</v>
      </c>
      <c r="K286" t="n">
        <v>1</v>
      </c>
      <c r="L286" s="7" t="n">
        <v>261</v>
      </c>
      <c r="M286" s="7" t="n">
        <v>0</v>
      </c>
    </row>
    <row r="287">
      <c r="A287" t="n">
        <v>509473</v>
      </c>
      <c r="B287" s="6" t="n">
        <v>45936</v>
      </c>
      <c r="C287" t="n">
        <v>16656</v>
      </c>
      <c r="D287" t="inlineStr">
        <is>
          <t>Lucknow</t>
        </is>
      </c>
      <c r="E287" t="inlineStr">
        <is>
          <t>North</t>
        </is>
      </c>
      <c r="F287" t="inlineStr">
        <is>
          <t>Organic Search</t>
        </is>
      </c>
      <c r="G287" t="inlineStr">
        <is>
          <t>Mobile App</t>
        </is>
      </c>
      <c r="H287" t="inlineStr">
        <is>
          <t>Credit Card</t>
        </is>
      </c>
      <c r="I287" t="inlineStr">
        <is>
          <t>Returned</t>
        </is>
      </c>
      <c r="J287" t="n">
        <v>136</v>
      </c>
      <c r="K287" t="n">
        <v>1</v>
      </c>
      <c r="L287" s="7" t="n">
        <v>944</v>
      </c>
      <c r="M287" s="7" t="n">
        <v>141.6</v>
      </c>
    </row>
    <row r="288">
      <c r="A288" t="n">
        <v>509473</v>
      </c>
      <c r="B288" s="6" t="n">
        <v>45936</v>
      </c>
      <c r="C288" t="n">
        <v>16656</v>
      </c>
      <c r="D288" t="inlineStr">
        <is>
          <t>Lucknow</t>
        </is>
      </c>
      <c r="E288" t="inlineStr">
        <is>
          <t>North</t>
        </is>
      </c>
      <c r="F288" t="inlineStr">
        <is>
          <t>Organic Search</t>
        </is>
      </c>
      <c r="G288" t="inlineStr">
        <is>
          <t>Mobile App</t>
        </is>
      </c>
      <c r="H288" t="inlineStr">
        <is>
          <t>Credit Card</t>
        </is>
      </c>
      <c r="I288" t="inlineStr">
        <is>
          <t>Returned</t>
        </is>
      </c>
      <c r="J288" t="n">
        <v>111</v>
      </c>
      <c r="K288" t="n">
        <v>2</v>
      </c>
      <c r="L288" s="7" t="n">
        <v>524</v>
      </c>
      <c r="M288" s="7" t="n">
        <v>157.2</v>
      </c>
    </row>
    <row r="289">
      <c r="A289" t="n">
        <v>509473</v>
      </c>
      <c r="B289" s="6" t="n">
        <v>45936</v>
      </c>
      <c r="C289" t="n">
        <v>16656</v>
      </c>
      <c r="D289" t="inlineStr">
        <is>
          <t>Lucknow</t>
        </is>
      </c>
      <c r="E289" t="inlineStr">
        <is>
          <t>North</t>
        </is>
      </c>
      <c r="F289" t="inlineStr">
        <is>
          <t>Organic Search</t>
        </is>
      </c>
      <c r="G289" t="inlineStr">
        <is>
          <t>Mobile App</t>
        </is>
      </c>
      <c r="H289" t="inlineStr">
        <is>
          <t>Credit Card</t>
        </is>
      </c>
      <c r="I289" t="inlineStr">
        <is>
          <t>Returned</t>
        </is>
      </c>
      <c r="J289" t="n">
        <v>130</v>
      </c>
      <c r="K289" t="n">
        <v>1</v>
      </c>
      <c r="L289" s="7" t="n">
        <v>734</v>
      </c>
      <c r="M289" s="7" t="n">
        <v>110.1</v>
      </c>
    </row>
    <row r="290">
      <c r="A290" t="n">
        <v>509473</v>
      </c>
      <c r="B290" s="6" t="n">
        <v>45936</v>
      </c>
      <c r="C290" t="n">
        <v>16656</v>
      </c>
      <c r="D290" t="inlineStr">
        <is>
          <t>Lucknow</t>
        </is>
      </c>
      <c r="E290" t="inlineStr">
        <is>
          <t>North</t>
        </is>
      </c>
      <c r="F290" t="inlineStr">
        <is>
          <t>Organic Search</t>
        </is>
      </c>
      <c r="G290" t="inlineStr">
        <is>
          <t>Mobile App</t>
        </is>
      </c>
      <c r="H290" t="inlineStr">
        <is>
          <t>Credit Card</t>
        </is>
      </c>
      <c r="I290" t="inlineStr">
        <is>
          <t>Returned</t>
        </is>
      </c>
      <c r="J290" t="n">
        <v>118</v>
      </c>
      <c r="K290" t="n">
        <v>2</v>
      </c>
      <c r="L290" s="7" t="n">
        <v>944</v>
      </c>
      <c r="M290" s="7" t="n">
        <v>283.2</v>
      </c>
    </row>
    <row r="291">
      <c r="A291" t="n">
        <v>509473</v>
      </c>
      <c r="B291" s="6" t="n">
        <v>45936</v>
      </c>
      <c r="C291" t="n">
        <v>16656</v>
      </c>
      <c r="D291" t="inlineStr">
        <is>
          <t>Lucknow</t>
        </is>
      </c>
      <c r="E291" t="inlineStr">
        <is>
          <t>North</t>
        </is>
      </c>
      <c r="F291" t="inlineStr">
        <is>
          <t>Organic Search</t>
        </is>
      </c>
      <c r="G291" t="inlineStr">
        <is>
          <t>Mobile App</t>
        </is>
      </c>
      <c r="H291" t="inlineStr">
        <is>
          <t>Credit Card</t>
        </is>
      </c>
      <c r="I291" t="inlineStr">
        <is>
          <t>Returned</t>
        </is>
      </c>
      <c r="J291" t="n">
        <v>129</v>
      </c>
      <c r="K291" t="n">
        <v>1</v>
      </c>
      <c r="L291" s="7" t="n">
        <v>576</v>
      </c>
      <c r="M291" s="7" t="n">
        <v>86.40000000000001</v>
      </c>
    </row>
    <row r="292">
      <c r="A292" t="n">
        <v>509474</v>
      </c>
      <c r="B292" s="6" t="n">
        <v>45936</v>
      </c>
      <c r="C292" t="n">
        <v>14634</v>
      </c>
      <c r="D292" t="inlineStr">
        <is>
          <t>Bengaluru</t>
        </is>
      </c>
      <c r="E292" t="inlineStr">
        <is>
          <t>South</t>
        </is>
      </c>
      <c r="F292" t="inlineStr">
        <is>
          <t>Affiliate</t>
        </is>
      </c>
      <c r="G292" t="inlineStr">
        <is>
          <t>Mobile Web</t>
        </is>
      </c>
      <c r="H292" t="inlineStr">
        <is>
          <t>Net Banking</t>
        </is>
      </c>
      <c r="I292" t="inlineStr">
        <is>
          <t>Delivered</t>
        </is>
      </c>
      <c r="J292" t="n">
        <v>130</v>
      </c>
      <c r="K292" t="n">
        <v>2</v>
      </c>
      <c r="L292" s="7" t="n">
        <v>734</v>
      </c>
      <c r="M292" s="7" t="n">
        <v>146.8</v>
      </c>
    </row>
    <row r="293">
      <c r="A293" t="n">
        <v>509474</v>
      </c>
      <c r="B293" s="6" t="n">
        <v>45936</v>
      </c>
      <c r="C293" t="n">
        <v>14634</v>
      </c>
      <c r="D293" t="inlineStr">
        <is>
          <t>Bengaluru</t>
        </is>
      </c>
      <c r="E293" t="inlineStr">
        <is>
          <t>South</t>
        </is>
      </c>
      <c r="F293" t="inlineStr">
        <is>
          <t>Affiliate</t>
        </is>
      </c>
      <c r="G293" t="inlineStr">
        <is>
          <t>Mobile Web</t>
        </is>
      </c>
      <c r="H293" t="inlineStr">
        <is>
          <t>Net Banking</t>
        </is>
      </c>
      <c r="I293" t="inlineStr">
        <is>
          <t>Delivered</t>
        </is>
      </c>
      <c r="J293" t="n">
        <v>122</v>
      </c>
      <c r="K293" t="n">
        <v>1</v>
      </c>
      <c r="L293" s="7" t="n">
        <v>1994</v>
      </c>
      <c r="M293" s="7" t="n">
        <v>199.4</v>
      </c>
    </row>
    <row r="294">
      <c r="A294" t="n">
        <v>509474</v>
      </c>
      <c r="B294" s="6" t="n">
        <v>45936</v>
      </c>
      <c r="C294" t="n">
        <v>14634</v>
      </c>
      <c r="D294" t="inlineStr">
        <is>
          <t>Bengaluru</t>
        </is>
      </c>
      <c r="E294" t="inlineStr">
        <is>
          <t>South</t>
        </is>
      </c>
      <c r="F294" t="inlineStr">
        <is>
          <t>Affiliate</t>
        </is>
      </c>
      <c r="G294" t="inlineStr">
        <is>
          <t>Mobile Web</t>
        </is>
      </c>
      <c r="H294" t="inlineStr">
        <is>
          <t>Net Banking</t>
        </is>
      </c>
      <c r="I294" t="inlineStr">
        <is>
          <t>Delivered</t>
        </is>
      </c>
      <c r="J294" t="n">
        <v>124</v>
      </c>
      <c r="K294" t="n">
        <v>2</v>
      </c>
      <c r="L294" s="7" t="n">
        <v>1154</v>
      </c>
      <c r="M294" s="7" t="n">
        <v>230.8</v>
      </c>
    </row>
    <row r="295">
      <c r="A295" t="n">
        <v>509475</v>
      </c>
      <c r="B295" s="6" t="n">
        <v>45936</v>
      </c>
      <c r="C295" t="n">
        <v>15808</v>
      </c>
      <c r="D295" t="inlineStr">
        <is>
          <t>Indore</t>
        </is>
      </c>
      <c r="E295" t="inlineStr">
        <is>
          <t>West</t>
        </is>
      </c>
      <c r="F295" t="inlineStr">
        <is>
          <t>Referral</t>
        </is>
      </c>
      <c r="G295" t="inlineStr">
        <is>
          <t>Mobile App</t>
        </is>
      </c>
      <c r="H295" t="inlineStr">
        <is>
          <t>Credit Card</t>
        </is>
      </c>
      <c r="I295" t="inlineStr">
        <is>
          <t>Delivered</t>
        </is>
      </c>
      <c r="J295" t="n">
        <v>112</v>
      </c>
      <c r="K295" t="n">
        <v>2</v>
      </c>
      <c r="L295" s="7" t="n">
        <v>1574</v>
      </c>
      <c r="M295" s="7" t="n">
        <v>314.8</v>
      </c>
    </row>
    <row r="296">
      <c r="A296" t="n">
        <v>509476</v>
      </c>
      <c r="B296" s="6" t="n">
        <v>45936</v>
      </c>
      <c r="C296" t="n">
        <v>15920</v>
      </c>
      <c r="D296" t="inlineStr">
        <is>
          <t>Mumbai</t>
        </is>
      </c>
      <c r="E296" t="inlineStr">
        <is>
          <t>West</t>
        </is>
      </c>
      <c r="F296" t="inlineStr">
        <is>
          <t>Paid Social</t>
        </is>
      </c>
      <c r="G296" t="inlineStr">
        <is>
          <t>Desktop</t>
        </is>
      </c>
      <c r="H296" t="inlineStr">
        <is>
          <t>Cash on Delivery</t>
        </is>
      </c>
      <c r="I296" t="inlineStr">
        <is>
          <t>Delivered</t>
        </is>
      </c>
      <c r="J296" t="n">
        <v>124</v>
      </c>
      <c r="K296" t="n">
        <v>1</v>
      </c>
      <c r="L296" s="7" t="n">
        <v>1154</v>
      </c>
      <c r="M296" s="7" t="n">
        <v>0</v>
      </c>
    </row>
    <row r="297">
      <c r="A297" t="n">
        <v>509477</v>
      </c>
      <c r="B297" s="6" t="n">
        <v>45936</v>
      </c>
      <c r="C297" t="n">
        <v>11188</v>
      </c>
      <c r="D297" t="inlineStr">
        <is>
          <t>Delhi</t>
        </is>
      </c>
      <c r="E297" t="inlineStr">
        <is>
          <t>North</t>
        </is>
      </c>
      <c r="F297" t="inlineStr">
        <is>
          <t>Organic Search</t>
        </is>
      </c>
      <c r="G297" t="inlineStr">
        <is>
          <t>Mobile App</t>
        </is>
      </c>
      <c r="H297" t="inlineStr">
        <is>
          <t>Credit Card</t>
        </is>
      </c>
      <c r="I297" t="inlineStr">
        <is>
          <t>Delivered</t>
        </is>
      </c>
      <c r="J297" t="n">
        <v>127</v>
      </c>
      <c r="K297" t="n">
        <v>1</v>
      </c>
      <c r="L297" s="7" t="n">
        <v>681</v>
      </c>
      <c r="M297" s="7" t="n">
        <v>68.09999999999999</v>
      </c>
    </row>
    <row r="298">
      <c r="A298" t="n">
        <v>509477</v>
      </c>
      <c r="B298" s="6" t="n">
        <v>45936</v>
      </c>
      <c r="C298" t="n">
        <v>11188</v>
      </c>
      <c r="D298" t="inlineStr">
        <is>
          <t>Delhi</t>
        </is>
      </c>
      <c r="E298" t="inlineStr">
        <is>
          <t>North</t>
        </is>
      </c>
      <c r="F298" t="inlineStr">
        <is>
          <t>Organic Search</t>
        </is>
      </c>
      <c r="G298" t="inlineStr">
        <is>
          <t>Mobile App</t>
        </is>
      </c>
      <c r="H298" t="inlineStr">
        <is>
          <t>Credit Card</t>
        </is>
      </c>
      <c r="I298" t="inlineStr">
        <is>
          <t>Delivered</t>
        </is>
      </c>
      <c r="J298" t="n">
        <v>129</v>
      </c>
      <c r="K298" t="n">
        <v>1</v>
      </c>
      <c r="L298" s="7" t="n">
        <v>576</v>
      </c>
      <c r="M298" s="7" t="n">
        <v>57.6</v>
      </c>
    </row>
    <row r="299">
      <c r="A299" t="n">
        <v>509478</v>
      </c>
      <c r="B299" s="6" t="n">
        <v>45936</v>
      </c>
      <c r="C299" t="n">
        <v>16464</v>
      </c>
      <c r="D299" t="inlineStr">
        <is>
          <t>Delhi</t>
        </is>
      </c>
      <c r="E299" t="inlineStr">
        <is>
          <t>North</t>
        </is>
      </c>
      <c r="F299" t="inlineStr">
        <is>
          <t>Organic Search</t>
        </is>
      </c>
      <c r="G299" t="inlineStr">
        <is>
          <t>Mobile App</t>
        </is>
      </c>
      <c r="H299" t="inlineStr">
        <is>
          <t>UPI</t>
        </is>
      </c>
      <c r="I299" t="inlineStr">
        <is>
          <t>Delivered</t>
        </is>
      </c>
      <c r="J299" t="n">
        <v>126</v>
      </c>
      <c r="K299" t="n">
        <v>2</v>
      </c>
      <c r="L299" s="7" t="n">
        <v>471</v>
      </c>
      <c r="M299" s="7" t="n">
        <v>141.3</v>
      </c>
    </row>
    <row r="300">
      <c r="A300" t="n">
        <v>509478</v>
      </c>
      <c r="B300" s="6" t="n">
        <v>45936</v>
      </c>
      <c r="C300" t="n">
        <v>16464</v>
      </c>
      <c r="D300" t="inlineStr">
        <is>
          <t>Delhi</t>
        </is>
      </c>
      <c r="E300" t="inlineStr">
        <is>
          <t>North</t>
        </is>
      </c>
      <c r="F300" t="inlineStr">
        <is>
          <t>Organic Search</t>
        </is>
      </c>
      <c r="G300" t="inlineStr">
        <is>
          <t>Mobile App</t>
        </is>
      </c>
      <c r="H300" t="inlineStr">
        <is>
          <t>UPI</t>
        </is>
      </c>
      <c r="I300" t="inlineStr">
        <is>
          <t>Delivered</t>
        </is>
      </c>
      <c r="J300" t="n">
        <v>105</v>
      </c>
      <c r="K300" t="n">
        <v>1</v>
      </c>
      <c r="L300" s="7" t="n">
        <v>2414</v>
      </c>
      <c r="M300" s="7" t="n">
        <v>362.1</v>
      </c>
    </row>
    <row r="301">
      <c r="A301" t="n">
        <v>509479</v>
      </c>
      <c r="B301" s="6" t="n">
        <v>45936</v>
      </c>
      <c r="C301" t="n">
        <v>10345</v>
      </c>
      <c r="D301" t="inlineStr">
        <is>
          <t>Bengaluru</t>
        </is>
      </c>
      <c r="E301" t="inlineStr">
        <is>
          <t>South</t>
        </is>
      </c>
      <c r="F301" t="inlineStr">
        <is>
          <t>Referral</t>
        </is>
      </c>
      <c r="G301" t="inlineStr">
        <is>
          <t>Desktop</t>
        </is>
      </c>
      <c r="H301" t="inlineStr">
        <is>
          <t>UPI</t>
        </is>
      </c>
      <c r="I301" t="inlineStr">
        <is>
          <t>Delivered</t>
        </is>
      </c>
      <c r="J301" t="n">
        <v>111</v>
      </c>
      <c r="K301" t="n">
        <v>1</v>
      </c>
      <c r="L301" s="7" t="n">
        <v>524</v>
      </c>
      <c r="M301" s="7" t="n">
        <v>0</v>
      </c>
    </row>
    <row r="302">
      <c r="A302" t="n">
        <v>509479</v>
      </c>
      <c r="B302" s="6" t="n">
        <v>45936</v>
      </c>
      <c r="C302" t="n">
        <v>10345</v>
      </c>
      <c r="D302" t="inlineStr">
        <is>
          <t>Bengaluru</t>
        </is>
      </c>
      <c r="E302" t="inlineStr">
        <is>
          <t>South</t>
        </is>
      </c>
      <c r="F302" t="inlineStr">
        <is>
          <t>Referral</t>
        </is>
      </c>
      <c r="G302" t="inlineStr">
        <is>
          <t>Desktop</t>
        </is>
      </c>
      <c r="H302" t="inlineStr">
        <is>
          <t>UPI</t>
        </is>
      </c>
      <c r="I302" t="inlineStr">
        <is>
          <t>Delivered</t>
        </is>
      </c>
      <c r="J302" t="n">
        <v>112</v>
      </c>
      <c r="K302" t="n">
        <v>1</v>
      </c>
      <c r="L302" s="7" t="n">
        <v>1574</v>
      </c>
      <c r="M302" s="7" t="n">
        <v>0</v>
      </c>
    </row>
    <row r="303">
      <c r="A303" t="n">
        <v>509479</v>
      </c>
      <c r="B303" s="6" t="n">
        <v>45936</v>
      </c>
      <c r="C303" t="n">
        <v>10345</v>
      </c>
      <c r="D303" t="inlineStr">
        <is>
          <t>Bengaluru</t>
        </is>
      </c>
      <c r="E303" t="inlineStr">
        <is>
          <t>South</t>
        </is>
      </c>
      <c r="F303" t="inlineStr">
        <is>
          <t>Referral</t>
        </is>
      </c>
      <c r="G303" t="inlineStr">
        <is>
          <t>Desktop</t>
        </is>
      </c>
      <c r="H303" t="inlineStr">
        <is>
          <t>UPI</t>
        </is>
      </c>
      <c r="I303" t="inlineStr">
        <is>
          <t>Delivered</t>
        </is>
      </c>
      <c r="J303" t="n">
        <v>121</v>
      </c>
      <c r="K303" t="n">
        <v>1</v>
      </c>
      <c r="L303" s="7" t="n">
        <v>2939</v>
      </c>
      <c r="M303" s="7" t="n">
        <v>0</v>
      </c>
    </row>
    <row r="304">
      <c r="A304" t="n">
        <v>509479</v>
      </c>
      <c r="B304" s="6" t="n">
        <v>45936</v>
      </c>
      <c r="C304" t="n">
        <v>10345</v>
      </c>
      <c r="D304" t="inlineStr">
        <is>
          <t>Bengaluru</t>
        </is>
      </c>
      <c r="E304" t="inlineStr">
        <is>
          <t>South</t>
        </is>
      </c>
      <c r="F304" t="inlineStr">
        <is>
          <t>Referral</t>
        </is>
      </c>
      <c r="G304" t="inlineStr">
        <is>
          <t>Desktop</t>
        </is>
      </c>
      <c r="H304" t="inlineStr">
        <is>
          <t>UPI</t>
        </is>
      </c>
      <c r="I304" t="inlineStr">
        <is>
          <t>Delivered</t>
        </is>
      </c>
      <c r="J304" t="n">
        <v>129</v>
      </c>
      <c r="K304" t="n">
        <v>1</v>
      </c>
      <c r="L304" s="7" t="n">
        <v>576</v>
      </c>
      <c r="M304" s="7" t="n">
        <v>0</v>
      </c>
    </row>
    <row r="305">
      <c r="A305" t="n">
        <v>509480</v>
      </c>
      <c r="B305" s="6" t="n">
        <v>45936</v>
      </c>
      <c r="C305" t="n">
        <v>12143</v>
      </c>
      <c r="D305" t="inlineStr">
        <is>
          <t>Hyderabad</t>
        </is>
      </c>
      <c r="E305" t="inlineStr">
        <is>
          <t>South</t>
        </is>
      </c>
      <c r="F305" t="inlineStr">
        <is>
          <t>Organic Search</t>
        </is>
      </c>
      <c r="G305" t="inlineStr">
        <is>
          <t>Mobile Web</t>
        </is>
      </c>
      <c r="H305" t="inlineStr">
        <is>
          <t>Cash on Delivery</t>
        </is>
      </c>
      <c r="I305" t="inlineStr">
        <is>
          <t>Delivered</t>
        </is>
      </c>
      <c r="J305" t="n">
        <v>121</v>
      </c>
      <c r="K305" t="n">
        <v>2</v>
      </c>
      <c r="L305" s="7" t="n">
        <v>2939</v>
      </c>
      <c r="M305" s="7" t="n">
        <v>587.8</v>
      </c>
    </row>
    <row r="306">
      <c r="A306" t="n">
        <v>509480</v>
      </c>
      <c r="B306" s="6" t="n">
        <v>45936</v>
      </c>
      <c r="C306" t="n">
        <v>12143</v>
      </c>
      <c r="D306" t="inlineStr">
        <is>
          <t>Hyderabad</t>
        </is>
      </c>
      <c r="E306" t="inlineStr">
        <is>
          <t>South</t>
        </is>
      </c>
      <c r="F306" t="inlineStr">
        <is>
          <t>Organic Search</t>
        </is>
      </c>
      <c r="G306" t="inlineStr">
        <is>
          <t>Mobile Web</t>
        </is>
      </c>
      <c r="H306" t="inlineStr">
        <is>
          <t>Cash on Delivery</t>
        </is>
      </c>
      <c r="I306" t="inlineStr">
        <is>
          <t>Delivered</t>
        </is>
      </c>
      <c r="J306" t="n">
        <v>129</v>
      </c>
      <c r="K306" t="n">
        <v>2</v>
      </c>
      <c r="L306" s="7" t="n">
        <v>576</v>
      </c>
      <c r="M306" s="7" t="n">
        <v>115.2</v>
      </c>
    </row>
    <row r="307">
      <c r="A307" t="n">
        <v>509481</v>
      </c>
      <c r="B307" s="6" t="n">
        <v>45936</v>
      </c>
      <c r="C307" t="n">
        <v>16427</v>
      </c>
      <c r="D307" t="inlineStr">
        <is>
          <t>Delhi</t>
        </is>
      </c>
      <c r="E307" t="inlineStr">
        <is>
          <t>North</t>
        </is>
      </c>
      <c r="F307" t="inlineStr">
        <is>
          <t>Organic Search</t>
        </is>
      </c>
      <c r="G307" t="inlineStr">
        <is>
          <t>Mobile App</t>
        </is>
      </c>
      <c r="H307" t="inlineStr">
        <is>
          <t>Cash on Delivery</t>
        </is>
      </c>
      <c r="I307" t="inlineStr">
        <is>
          <t>Delivered</t>
        </is>
      </c>
      <c r="J307" t="n">
        <v>108</v>
      </c>
      <c r="K307" t="n">
        <v>1</v>
      </c>
      <c r="L307" s="7" t="n">
        <v>419</v>
      </c>
      <c r="M307" s="7" t="n">
        <v>41.9</v>
      </c>
    </row>
    <row r="308">
      <c r="A308" t="n">
        <v>509481</v>
      </c>
      <c r="B308" s="6" t="n">
        <v>45936</v>
      </c>
      <c r="C308" t="n">
        <v>16427</v>
      </c>
      <c r="D308" t="inlineStr">
        <is>
          <t>Delhi</t>
        </is>
      </c>
      <c r="E308" t="inlineStr">
        <is>
          <t>North</t>
        </is>
      </c>
      <c r="F308" t="inlineStr">
        <is>
          <t>Organic Search</t>
        </is>
      </c>
      <c r="G308" t="inlineStr">
        <is>
          <t>Mobile App</t>
        </is>
      </c>
      <c r="H308" t="inlineStr">
        <is>
          <t>Cash on Delivery</t>
        </is>
      </c>
      <c r="I308" t="inlineStr">
        <is>
          <t>Delivered</t>
        </is>
      </c>
      <c r="J308" t="n">
        <v>137</v>
      </c>
      <c r="K308" t="n">
        <v>2</v>
      </c>
      <c r="L308" s="7" t="n">
        <v>261</v>
      </c>
      <c r="M308" s="7" t="n">
        <v>52.2</v>
      </c>
    </row>
    <row r="309">
      <c r="A309" t="n">
        <v>509481</v>
      </c>
      <c r="B309" s="6" t="n">
        <v>45936</v>
      </c>
      <c r="C309" t="n">
        <v>16427</v>
      </c>
      <c r="D309" t="inlineStr">
        <is>
          <t>Delhi</t>
        </is>
      </c>
      <c r="E309" t="inlineStr">
        <is>
          <t>North</t>
        </is>
      </c>
      <c r="F309" t="inlineStr">
        <is>
          <t>Organic Search</t>
        </is>
      </c>
      <c r="G309" t="inlineStr">
        <is>
          <t>Mobile App</t>
        </is>
      </c>
      <c r="H309" t="inlineStr">
        <is>
          <t>Cash on Delivery</t>
        </is>
      </c>
      <c r="I309" t="inlineStr">
        <is>
          <t>Delivered</t>
        </is>
      </c>
      <c r="J309" t="n">
        <v>131</v>
      </c>
      <c r="K309" t="n">
        <v>1</v>
      </c>
      <c r="L309" s="7" t="n">
        <v>314</v>
      </c>
      <c r="M309" s="7" t="n">
        <v>31.4</v>
      </c>
    </row>
    <row r="310">
      <c r="A310" t="n">
        <v>509481</v>
      </c>
      <c r="B310" s="6" t="n">
        <v>45936</v>
      </c>
      <c r="C310" t="n">
        <v>16427</v>
      </c>
      <c r="D310" t="inlineStr">
        <is>
          <t>Delhi</t>
        </is>
      </c>
      <c r="E310" t="inlineStr">
        <is>
          <t>North</t>
        </is>
      </c>
      <c r="F310" t="inlineStr">
        <is>
          <t>Organic Search</t>
        </is>
      </c>
      <c r="G310" t="inlineStr">
        <is>
          <t>Mobile App</t>
        </is>
      </c>
      <c r="H310" t="inlineStr">
        <is>
          <t>Cash on Delivery</t>
        </is>
      </c>
      <c r="I310" t="inlineStr">
        <is>
          <t>Delivered</t>
        </is>
      </c>
      <c r="J310" t="n">
        <v>118</v>
      </c>
      <c r="K310" t="n">
        <v>1</v>
      </c>
      <c r="L310" s="7" t="n">
        <v>944</v>
      </c>
      <c r="M310" s="7" t="n">
        <v>94.40000000000001</v>
      </c>
    </row>
    <row r="311">
      <c r="A311" t="n">
        <v>509482</v>
      </c>
      <c r="B311" s="6" t="n">
        <v>45936</v>
      </c>
      <c r="C311" t="n">
        <v>16563</v>
      </c>
      <c r="D311" t="inlineStr">
        <is>
          <t>Lucknow</t>
        </is>
      </c>
      <c r="E311" t="inlineStr">
        <is>
          <t>North</t>
        </is>
      </c>
      <c r="F311" t="inlineStr">
        <is>
          <t>Organic Search</t>
        </is>
      </c>
      <c r="G311" t="inlineStr">
        <is>
          <t>Mobile App</t>
        </is>
      </c>
      <c r="H311" t="inlineStr">
        <is>
          <t>Debit Card</t>
        </is>
      </c>
      <c r="I311" t="inlineStr">
        <is>
          <t>Delivered</t>
        </is>
      </c>
      <c r="J311" t="n">
        <v>141</v>
      </c>
      <c r="K311" t="n">
        <v>1</v>
      </c>
      <c r="L311" s="7" t="n">
        <v>261</v>
      </c>
      <c r="M311" s="7" t="n">
        <v>26.1</v>
      </c>
    </row>
    <row r="312">
      <c r="A312" t="n">
        <v>509483</v>
      </c>
      <c r="B312" s="6" t="n">
        <v>45936</v>
      </c>
      <c r="C312" t="n">
        <v>16435</v>
      </c>
      <c r="D312" t="inlineStr">
        <is>
          <t>Mumbai</t>
        </is>
      </c>
      <c r="E312" t="inlineStr">
        <is>
          <t>West</t>
        </is>
      </c>
      <c r="F312" t="inlineStr">
        <is>
          <t>Referral</t>
        </is>
      </c>
      <c r="G312" t="inlineStr">
        <is>
          <t>Desktop</t>
        </is>
      </c>
      <c r="H312" t="inlineStr">
        <is>
          <t>UPI</t>
        </is>
      </c>
      <c r="I312" t="inlineStr">
        <is>
          <t>Delivered</t>
        </is>
      </c>
      <c r="J312" t="n">
        <v>128</v>
      </c>
      <c r="K312" t="n">
        <v>1</v>
      </c>
      <c r="L312" s="7" t="n">
        <v>1049</v>
      </c>
      <c r="M312" s="7" t="n">
        <v>0</v>
      </c>
    </row>
    <row r="313">
      <c r="A313" t="n">
        <v>509483</v>
      </c>
      <c r="B313" s="6" t="n">
        <v>45936</v>
      </c>
      <c r="C313" t="n">
        <v>16435</v>
      </c>
      <c r="D313" t="inlineStr">
        <is>
          <t>Mumbai</t>
        </is>
      </c>
      <c r="E313" t="inlineStr">
        <is>
          <t>West</t>
        </is>
      </c>
      <c r="F313" t="inlineStr">
        <is>
          <t>Referral</t>
        </is>
      </c>
      <c r="G313" t="inlineStr">
        <is>
          <t>Desktop</t>
        </is>
      </c>
      <c r="H313" t="inlineStr">
        <is>
          <t>UPI</t>
        </is>
      </c>
      <c r="I313" t="inlineStr">
        <is>
          <t>Delivered</t>
        </is>
      </c>
      <c r="J313" t="n">
        <v>129</v>
      </c>
      <c r="K313" t="n">
        <v>1</v>
      </c>
      <c r="L313" s="7" t="n">
        <v>576</v>
      </c>
      <c r="M313" s="7" t="n">
        <v>0</v>
      </c>
    </row>
    <row r="314">
      <c r="A314" t="n">
        <v>509484</v>
      </c>
      <c r="B314" s="6" t="n">
        <v>45936</v>
      </c>
      <c r="C314" t="n">
        <v>16665</v>
      </c>
      <c r="D314" t="inlineStr">
        <is>
          <t>Bengaluru</t>
        </is>
      </c>
      <c r="E314" t="inlineStr">
        <is>
          <t>South</t>
        </is>
      </c>
      <c r="F314" t="inlineStr">
        <is>
          <t>Organic Search</t>
        </is>
      </c>
      <c r="G314" t="inlineStr">
        <is>
          <t>Mobile App</t>
        </is>
      </c>
      <c r="H314" t="inlineStr">
        <is>
          <t>Net Banking</t>
        </is>
      </c>
      <c r="I314" t="inlineStr">
        <is>
          <t>Delivered</t>
        </is>
      </c>
      <c r="J314" t="n">
        <v>134</v>
      </c>
      <c r="K314" t="n">
        <v>1</v>
      </c>
      <c r="L314" s="7" t="n">
        <v>209</v>
      </c>
      <c r="M314" s="7" t="n">
        <v>31.35</v>
      </c>
    </row>
    <row r="315">
      <c r="A315" t="n">
        <v>509484</v>
      </c>
      <c r="B315" s="6" t="n">
        <v>45936</v>
      </c>
      <c r="C315" t="n">
        <v>16665</v>
      </c>
      <c r="D315" t="inlineStr">
        <is>
          <t>Bengaluru</t>
        </is>
      </c>
      <c r="E315" t="inlineStr">
        <is>
          <t>South</t>
        </is>
      </c>
      <c r="F315" t="inlineStr">
        <is>
          <t>Organic Search</t>
        </is>
      </c>
      <c r="G315" t="inlineStr">
        <is>
          <t>Mobile App</t>
        </is>
      </c>
      <c r="H315" t="inlineStr">
        <is>
          <t>Net Banking</t>
        </is>
      </c>
      <c r="I315" t="inlineStr">
        <is>
          <t>Delivered</t>
        </is>
      </c>
      <c r="J315" t="n">
        <v>136</v>
      </c>
      <c r="K315" t="n">
        <v>1</v>
      </c>
      <c r="L315" s="7" t="n">
        <v>944</v>
      </c>
      <c r="M315" s="7" t="n">
        <v>141.6</v>
      </c>
    </row>
    <row r="316">
      <c r="A316" t="n">
        <v>509484</v>
      </c>
      <c r="B316" s="6" t="n">
        <v>45936</v>
      </c>
      <c r="C316" t="n">
        <v>16665</v>
      </c>
      <c r="D316" t="inlineStr">
        <is>
          <t>Bengaluru</t>
        </is>
      </c>
      <c r="E316" t="inlineStr">
        <is>
          <t>South</t>
        </is>
      </c>
      <c r="F316" t="inlineStr">
        <is>
          <t>Organic Search</t>
        </is>
      </c>
      <c r="G316" t="inlineStr">
        <is>
          <t>Mobile App</t>
        </is>
      </c>
      <c r="H316" t="inlineStr">
        <is>
          <t>Net Banking</t>
        </is>
      </c>
      <c r="I316" t="inlineStr">
        <is>
          <t>Delivered</t>
        </is>
      </c>
      <c r="J316" t="n">
        <v>137</v>
      </c>
      <c r="K316" t="n">
        <v>3</v>
      </c>
      <c r="L316" s="7" t="n">
        <v>261</v>
      </c>
      <c r="M316" s="7" t="n">
        <v>117.45</v>
      </c>
    </row>
    <row r="317">
      <c r="A317" t="n">
        <v>509484</v>
      </c>
      <c r="B317" s="6" t="n">
        <v>45936</v>
      </c>
      <c r="C317" t="n">
        <v>16665</v>
      </c>
      <c r="D317" t="inlineStr">
        <is>
          <t>Bengaluru</t>
        </is>
      </c>
      <c r="E317" t="inlineStr">
        <is>
          <t>South</t>
        </is>
      </c>
      <c r="F317" t="inlineStr">
        <is>
          <t>Organic Search</t>
        </is>
      </c>
      <c r="G317" t="inlineStr">
        <is>
          <t>Mobile App</t>
        </is>
      </c>
      <c r="H317" t="inlineStr">
        <is>
          <t>Net Banking</t>
        </is>
      </c>
      <c r="I317" t="inlineStr">
        <is>
          <t>Delivered</t>
        </is>
      </c>
      <c r="J317" t="n">
        <v>123</v>
      </c>
      <c r="K317" t="n">
        <v>1</v>
      </c>
      <c r="L317" s="7" t="n">
        <v>3464</v>
      </c>
      <c r="M317" s="7" t="n">
        <v>519.6</v>
      </c>
    </row>
    <row r="318">
      <c r="A318" t="n">
        <v>509485</v>
      </c>
      <c r="B318" s="6" t="n">
        <v>45936</v>
      </c>
      <c r="C318" t="n">
        <v>16585</v>
      </c>
      <c r="D318" t="inlineStr">
        <is>
          <t>Mumbai</t>
        </is>
      </c>
      <c r="E318" t="inlineStr">
        <is>
          <t>West</t>
        </is>
      </c>
      <c r="F318" t="inlineStr">
        <is>
          <t>Paid Social</t>
        </is>
      </c>
      <c r="G318" t="inlineStr">
        <is>
          <t>Mobile App</t>
        </is>
      </c>
      <c r="H318" t="inlineStr">
        <is>
          <t>Cash on Delivery</t>
        </is>
      </c>
      <c r="I318" t="inlineStr">
        <is>
          <t>Delivered</t>
        </is>
      </c>
      <c r="J318" t="n">
        <v>137</v>
      </c>
      <c r="K318" t="n">
        <v>1</v>
      </c>
      <c r="L318" s="7" t="n">
        <v>261</v>
      </c>
      <c r="M318" s="7" t="n">
        <v>39.15</v>
      </c>
    </row>
    <row r="319">
      <c r="A319" t="n">
        <v>509486</v>
      </c>
      <c r="B319" s="6" t="n">
        <v>45936</v>
      </c>
      <c r="C319" t="n">
        <v>15595</v>
      </c>
      <c r="D319" t="inlineStr">
        <is>
          <t>Gurugram</t>
        </is>
      </c>
      <c r="E319" t="inlineStr">
        <is>
          <t>North</t>
        </is>
      </c>
      <c r="F319" t="inlineStr">
        <is>
          <t>Paid Social</t>
        </is>
      </c>
      <c r="G319" t="inlineStr">
        <is>
          <t>Mobile Web</t>
        </is>
      </c>
      <c r="H319" t="inlineStr">
        <is>
          <t>UPI</t>
        </is>
      </c>
      <c r="I319" t="inlineStr">
        <is>
          <t>Delivered</t>
        </is>
      </c>
      <c r="J319" t="n">
        <v>130</v>
      </c>
      <c r="K319" t="n">
        <v>1</v>
      </c>
      <c r="L319" s="7" t="n">
        <v>734</v>
      </c>
      <c r="M319" s="7" t="n">
        <v>0</v>
      </c>
    </row>
    <row r="320">
      <c r="A320" t="n">
        <v>509487</v>
      </c>
      <c r="B320" s="6" t="n">
        <v>45936</v>
      </c>
      <c r="C320" t="n">
        <v>16141</v>
      </c>
      <c r="D320" t="inlineStr">
        <is>
          <t>Indore</t>
        </is>
      </c>
      <c r="E320" t="inlineStr">
        <is>
          <t>West</t>
        </is>
      </c>
      <c r="F320" t="inlineStr">
        <is>
          <t>Referral</t>
        </is>
      </c>
      <c r="G320" t="inlineStr">
        <is>
          <t>Mobile App</t>
        </is>
      </c>
      <c r="H320" t="inlineStr">
        <is>
          <t>Cash on Delivery</t>
        </is>
      </c>
      <c r="I320" t="inlineStr">
        <is>
          <t>Delivered</t>
        </is>
      </c>
      <c r="J320" t="n">
        <v>117</v>
      </c>
      <c r="K320" t="n">
        <v>1</v>
      </c>
      <c r="L320" s="7" t="n">
        <v>3149</v>
      </c>
      <c r="M320" s="7" t="n">
        <v>0</v>
      </c>
    </row>
    <row r="321">
      <c r="A321" t="n">
        <v>509487</v>
      </c>
      <c r="B321" s="6" t="n">
        <v>45936</v>
      </c>
      <c r="C321" t="n">
        <v>16141</v>
      </c>
      <c r="D321" t="inlineStr">
        <is>
          <t>Indore</t>
        </is>
      </c>
      <c r="E321" t="inlineStr">
        <is>
          <t>West</t>
        </is>
      </c>
      <c r="F321" t="inlineStr">
        <is>
          <t>Referral</t>
        </is>
      </c>
      <c r="G321" t="inlineStr">
        <is>
          <t>Mobile App</t>
        </is>
      </c>
      <c r="H321" t="inlineStr">
        <is>
          <t>Cash on Delivery</t>
        </is>
      </c>
      <c r="I321" t="inlineStr">
        <is>
          <t>Delivered</t>
        </is>
      </c>
      <c r="J321" t="n">
        <v>129</v>
      </c>
      <c r="K321" t="n">
        <v>1</v>
      </c>
      <c r="L321" s="7" t="n">
        <v>576</v>
      </c>
      <c r="M321" s="7" t="n">
        <v>0</v>
      </c>
    </row>
    <row r="322">
      <c r="A322" t="n">
        <v>509488</v>
      </c>
      <c r="B322" s="6" t="n">
        <v>45936</v>
      </c>
      <c r="C322" t="n">
        <v>16508</v>
      </c>
      <c r="D322" t="inlineStr">
        <is>
          <t>Bengaluru</t>
        </is>
      </c>
      <c r="E322" t="inlineStr">
        <is>
          <t>South</t>
        </is>
      </c>
      <c r="F322" t="inlineStr">
        <is>
          <t>Paid Search</t>
        </is>
      </c>
      <c r="G322" t="inlineStr">
        <is>
          <t>Mobile Web</t>
        </is>
      </c>
      <c r="H322" t="inlineStr">
        <is>
          <t>UPI</t>
        </is>
      </c>
      <c r="I322" t="inlineStr">
        <is>
          <t>Delivered</t>
        </is>
      </c>
      <c r="J322" t="n">
        <v>104</v>
      </c>
      <c r="K322" t="n">
        <v>1</v>
      </c>
      <c r="L322" s="7" t="n">
        <v>5249</v>
      </c>
      <c r="M322" s="7" t="n">
        <v>524.9</v>
      </c>
    </row>
    <row r="323">
      <c r="A323" t="n">
        <v>509488</v>
      </c>
      <c r="B323" s="6" t="n">
        <v>45936</v>
      </c>
      <c r="C323" t="n">
        <v>16508</v>
      </c>
      <c r="D323" t="inlineStr">
        <is>
          <t>Bengaluru</t>
        </is>
      </c>
      <c r="E323" t="inlineStr">
        <is>
          <t>South</t>
        </is>
      </c>
      <c r="F323" t="inlineStr">
        <is>
          <t>Paid Search</t>
        </is>
      </c>
      <c r="G323" t="inlineStr">
        <is>
          <t>Mobile Web</t>
        </is>
      </c>
      <c r="H323" t="inlineStr">
        <is>
          <t>UPI</t>
        </is>
      </c>
      <c r="I323" t="inlineStr">
        <is>
          <t>Delivered</t>
        </is>
      </c>
      <c r="J323" t="n">
        <v>102</v>
      </c>
      <c r="K323" t="n">
        <v>1</v>
      </c>
      <c r="L323" s="7" t="n">
        <v>3674</v>
      </c>
      <c r="M323" s="7" t="n">
        <v>367.4</v>
      </c>
    </row>
    <row r="324">
      <c r="A324" t="n">
        <v>509488</v>
      </c>
      <c r="B324" s="6" t="n">
        <v>45936</v>
      </c>
      <c r="C324" t="n">
        <v>16508</v>
      </c>
      <c r="D324" t="inlineStr">
        <is>
          <t>Bengaluru</t>
        </is>
      </c>
      <c r="E324" t="inlineStr">
        <is>
          <t>South</t>
        </is>
      </c>
      <c r="F324" t="inlineStr">
        <is>
          <t>Paid Search</t>
        </is>
      </c>
      <c r="G324" t="inlineStr">
        <is>
          <t>Mobile Web</t>
        </is>
      </c>
      <c r="H324" t="inlineStr">
        <is>
          <t>UPI</t>
        </is>
      </c>
      <c r="I324" t="inlineStr">
        <is>
          <t>Delivered</t>
        </is>
      </c>
      <c r="J324" t="n">
        <v>134</v>
      </c>
      <c r="K324" t="n">
        <v>2</v>
      </c>
      <c r="L324" s="7" t="n">
        <v>209</v>
      </c>
      <c r="M324" s="7" t="n">
        <v>41.8</v>
      </c>
    </row>
    <row r="325">
      <c r="A325" t="n">
        <v>509488</v>
      </c>
      <c r="B325" s="6" t="n">
        <v>45936</v>
      </c>
      <c r="C325" t="n">
        <v>16508</v>
      </c>
      <c r="D325" t="inlineStr">
        <is>
          <t>Bengaluru</t>
        </is>
      </c>
      <c r="E325" t="inlineStr">
        <is>
          <t>South</t>
        </is>
      </c>
      <c r="F325" t="inlineStr">
        <is>
          <t>Paid Search</t>
        </is>
      </c>
      <c r="G325" t="inlineStr">
        <is>
          <t>Mobile Web</t>
        </is>
      </c>
      <c r="H325" t="inlineStr">
        <is>
          <t>UPI</t>
        </is>
      </c>
      <c r="I325" t="inlineStr">
        <is>
          <t>Delivered</t>
        </is>
      </c>
      <c r="J325" t="n">
        <v>129</v>
      </c>
      <c r="K325" t="n">
        <v>1</v>
      </c>
      <c r="L325" s="7" t="n">
        <v>576</v>
      </c>
      <c r="M325" s="7" t="n">
        <v>57.6</v>
      </c>
    </row>
    <row r="326">
      <c r="A326" t="n">
        <v>509489</v>
      </c>
      <c r="B326" s="6" t="n">
        <v>45936</v>
      </c>
      <c r="C326" t="n">
        <v>16073</v>
      </c>
      <c r="D326" t="inlineStr">
        <is>
          <t>Chennai</t>
        </is>
      </c>
      <c r="E326" t="inlineStr">
        <is>
          <t>South</t>
        </is>
      </c>
      <c r="F326" t="inlineStr">
        <is>
          <t>Affiliate</t>
        </is>
      </c>
      <c r="G326" t="inlineStr">
        <is>
          <t>Mobile Web</t>
        </is>
      </c>
      <c r="H326" t="inlineStr">
        <is>
          <t>UPI</t>
        </is>
      </c>
      <c r="I326" t="inlineStr">
        <is>
          <t>Returned</t>
        </is>
      </c>
      <c r="J326" t="n">
        <v>146</v>
      </c>
      <c r="K326" t="n">
        <v>1</v>
      </c>
      <c r="L326" s="7" t="n">
        <v>4724</v>
      </c>
      <c r="M326" s="7" t="n">
        <v>472.4</v>
      </c>
    </row>
    <row r="327">
      <c r="A327" t="n">
        <v>509489</v>
      </c>
      <c r="B327" s="6" t="n">
        <v>45936</v>
      </c>
      <c r="C327" t="n">
        <v>16073</v>
      </c>
      <c r="D327" t="inlineStr">
        <is>
          <t>Chennai</t>
        </is>
      </c>
      <c r="E327" t="inlineStr">
        <is>
          <t>South</t>
        </is>
      </c>
      <c r="F327" t="inlineStr">
        <is>
          <t>Affiliate</t>
        </is>
      </c>
      <c r="G327" t="inlineStr">
        <is>
          <t>Mobile Web</t>
        </is>
      </c>
      <c r="H327" t="inlineStr">
        <is>
          <t>UPI</t>
        </is>
      </c>
      <c r="I327" t="inlineStr">
        <is>
          <t>Returned</t>
        </is>
      </c>
      <c r="J327" t="n">
        <v>125</v>
      </c>
      <c r="K327" t="n">
        <v>1</v>
      </c>
      <c r="L327" s="7" t="n">
        <v>1364</v>
      </c>
      <c r="M327" s="7" t="n">
        <v>136.4</v>
      </c>
    </row>
    <row r="328">
      <c r="A328" t="n">
        <v>509489</v>
      </c>
      <c r="B328" s="6" t="n">
        <v>45936</v>
      </c>
      <c r="C328" t="n">
        <v>16073</v>
      </c>
      <c r="D328" t="inlineStr">
        <is>
          <t>Chennai</t>
        </is>
      </c>
      <c r="E328" t="inlineStr">
        <is>
          <t>South</t>
        </is>
      </c>
      <c r="F328" t="inlineStr">
        <is>
          <t>Affiliate</t>
        </is>
      </c>
      <c r="G328" t="inlineStr">
        <is>
          <t>Mobile Web</t>
        </is>
      </c>
      <c r="H328" t="inlineStr">
        <is>
          <t>UPI</t>
        </is>
      </c>
      <c r="I328" t="inlineStr">
        <is>
          <t>Returned</t>
        </is>
      </c>
      <c r="J328" t="n">
        <v>143</v>
      </c>
      <c r="K328" t="n">
        <v>1</v>
      </c>
      <c r="L328" s="7" t="n">
        <v>839</v>
      </c>
      <c r="M328" s="7" t="n">
        <v>83.90000000000001</v>
      </c>
    </row>
    <row r="329">
      <c r="A329" t="n">
        <v>509490</v>
      </c>
      <c r="B329" s="6" t="n">
        <v>45936</v>
      </c>
      <c r="C329" t="n">
        <v>16609</v>
      </c>
      <c r="D329" t="inlineStr">
        <is>
          <t>Gurugram</t>
        </is>
      </c>
      <c r="E329" t="inlineStr">
        <is>
          <t>North</t>
        </is>
      </c>
      <c r="F329" t="inlineStr">
        <is>
          <t>Paid Social</t>
        </is>
      </c>
      <c r="G329" t="inlineStr">
        <is>
          <t>Desktop</t>
        </is>
      </c>
      <c r="H329" t="inlineStr">
        <is>
          <t>UPI</t>
        </is>
      </c>
      <c r="I329" t="inlineStr">
        <is>
          <t>Delivered</t>
        </is>
      </c>
      <c r="J329" t="n">
        <v>117</v>
      </c>
      <c r="K329" t="n">
        <v>1</v>
      </c>
      <c r="L329" s="7" t="n">
        <v>3149</v>
      </c>
      <c r="M329" s="7" t="n">
        <v>472.35</v>
      </c>
    </row>
    <row r="330">
      <c r="A330" t="n">
        <v>509491</v>
      </c>
      <c r="B330" s="6" t="n">
        <v>45936</v>
      </c>
      <c r="C330" t="n">
        <v>14870</v>
      </c>
      <c r="D330" t="inlineStr">
        <is>
          <t>Chennai</t>
        </is>
      </c>
      <c r="E330" t="inlineStr">
        <is>
          <t>South</t>
        </is>
      </c>
      <c r="F330" t="inlineStr">
        <is>
          <t>Paid Search</t>
        </is>
      </c>
      <c r="G330" t="inlineStr">
        <is>
          <t>Mobile App</t>
        </is>
      </c>
      <c r="H330" t="inlineStr">
        <is>
          <t>UPI</t>
        </is>
      </c>
      <c r="I330" t="inlineStr">
        <is>
          <t>Delivered</t>
        </is>
      </c>
      <c r="J330" t="n">
        <v>118</v>
      </c>
      <c r="K330" t="n">
        <v>1</v>
      </c>
      <c r="L330" s="7" t="n">
        <v>944</v>
      </c>
      <c r="M330" s="7" t="n">
        <v>0</v>
      </c>
    </row>
    <row r="331">
      <c r="A331" t="n">
        <v>509492</v>
      </c>
      <c r="B331" s="6" t="n">
        <v>45936</v>
      </c>
      <c r="C331" t="n">
        <v>11889</v>
      </c>
      <c r="D331" t="inlineStr">
        <is>
          <t>Lucknow</t>
        </is>
      </c>
      <c r="E331" t="inlineStr">
        <is>
          <t>North</t>
        </is>
      </c>
      <c r="F331" t="inlineStr">
        <is>
          <t>Organic Search</t>
        </is>
      </c>
      <c r="G331" t="inlineStr">
        <is>
          <t>Mobile App</t>
        </is>
      </c>
      <c r="H331" t="inlineStr">
        <is>
          <t>UPI</t>
        </is>
      </c>
      <c r="I331" t="inlineStr">
        <is>
          <t>Delivered</t>
        </is>
      </c>
      <c r="J331" t="n">
        <v>140</v>
      </c>
      <c r="K331" t="n">
        <v>2</v>
      </c>
      <c r="L331" s="7" t="n">
        <v>629</v>
      </c>
      <c r="M331" s="7" t="n">
        <v>125.8</v>
      </c>
    </row>
    <row r="332">
      <c r="A332" t="n">
        <v>509492</v>
      </c>
      <c r="B332" s="6" t="n">
        <v>45936</v>
      </c>
      <c r="C332" t="n">
        <v>11889</v>
      </c>
      <c r="D332" t="inlineStr">
        <is>
          <t>Lucknow</t>
        </is>
      </c>
      <c r="E332" t="inlineStr">
        <is>
          <t>North</t>
        </is>
      </c>
      <c r="F332" t="inlineStr">
        <is>
          <t>Organic Search</t>
        </is>
      </c>
      <c r="G332" t="inlineStr">
        <is>
          <t>Mobile App</t>
        </is>
      </c>
      <c r="H332" t="inlineStr">
        <is>
          <t>UPI</t>
        </is>
      </c>
      <c r="I332" t="inlineStr">
        <is>
          <t>Delivered</t>
        </is>
      </c>
      <c r="J332" t="n">
        <v>104</v>
      </c>
      <c r="K332" t="n">
        <v>1</v>
      </c>
      <c r="L332" s="7" t="n">
        <v>5249</v>
      </c>
      <c r="M332" s="7" t="n">
        <v>524.9</v>
      </c>
    </row>
    <row r="333">
      <c r="A333" t="n">
        <v>509492</v>
      </c>
      <c r="B333" s="6" t="n">
        <v>45936</v>
      </c>
      <c r="C333" t="n">
        <v>11889</v>
      </c>
      <c r="D333" t="inlineStr">
        <is>
          <t>Lucknow</t>
        </is>
      </c>
      <c r="E333" t="inlineStr">
        <is>
          <t>North</t>
        </is>
      </c>
      <c r="F333" t="inlineStr">
        <is>
          <t>Organic Search</t>
        </is>
      </c>
      <c r="G333" t="inlineStr">
        <is>
          <t>Mobile App</t>
        </is>
      </c>
      <c r="H333" t="inlineStr">
        <is>
          <t>UPI</t>
        </is>
      </c>
      <c r="I333" t="inlineStr">
        <is>
          <t>Delivered</t>
        </is>
      </c>
      <c r="J333" t="n">
        <v>129</v>
      </c>
      <c r="K333" t="n">
        <v>1</v>
      </c>
      <c r="L333" s="7" t="n">
        <v>576</v>
      </c>
      <c r="M333" s="7" t="n">
        <v>57.6</v>
      </c>
    </row>
    <row r="334">
      <c r="A334" t="n">
        <v>509493</v>
      </c>
      <c r="B334" s="6" t="n">
        <v>45936</v>
      </c>
      <c r="C334" t="n">
        <v>16120</v>
      </c>
      <c r="D334" t="inlineStr">
        <is>
          <t>Hyderabad</t>
        </is>
      </c>
      <c r="E334" t="inlineStr">
        <is>
          <t>South</t>
        </is>
      </c>
      <c r="F334" t="inlineStr">
        <is>
          <t>Email</t>
        </is>
      </c>
      <c r="G334" t="inlineStr">
        <is>
          <t>Mobile App</t>
        </is>
      </c>
      <c r="H334" t="inlineStr">
        <is>
          <t>Credit Card</t>
        </is>
      </c>
      <c r="I334" t="inlineStr">
        <is>
          <t>Delivered</t>
        </is>
      </c>
      <c r="J334" t="n">
        <v>127</v>
      </c>
      <c r="K334" t="n">
        <v>1</v>
      </c>
      <c r="L334" s="7" t="n">
        <v>681</v>
      </c>
      <c r="M334" s="7" t="n">
        <v>68.09999999999999</v>
      </c>
    </row>
    <row r="335">
      <c r="A335" t="n">
        <v>509494</v>
      </c>
      <c r="B335" s="6" t="n">
        <v>45936</v>
      </c>
      <c r="C335" t="n">
        <v>15758</v>
      </c>
      <c r="D335" t="inlineStr">
        <is>
          <t>Delhi</t>
        </is>
      </c>
      <c r="E335" t="inlineStr">
        <is>
          <t>North</t>
        </is>
      </c>
      <c r="F335" t="inlineStr">
        <is>
          <t>Affiliate</t>
        </is>
      </c>
      <c r="G335" t="inlineStr">
        <is>
          <t>Mobile Web</t>
        </is>
      </c>
      <c r="H335" t="inlineStr">
        <is>
          <t>UPI</t>
        </is>
      </c>
      <c r="I335" t="inlineStr">
        <is>
          <t>Delivered</t>
        </is>
      </c>
      <c r="J335" t="n">
        <v>141</v>
      </c>
      <c r="K335" t="n">
        <v>1</v>
      </c>
      <c r="L335" s="7" t="n">
        <v>261</v>
      </c>
      <c r="M335" s="7" t="n">
        <v>0</v>
      </c>
    </row>
    <row r="336">
      <c r="A336" t="n">
        <v>509494</v>
      </c>
      <c r="B336" s="6" t="n">
        <v>45936</v>
      </c>
      <c r="C336" t="n">
        <v>15758</v>
      </c>
      <c r="D336" t="inlineStr">
        <is>
          <t>Delhi</t>
        </is>
      </c>
      <c r="E336" t="inlineStr">
        <is>
          <t>North</t>
        </is>
      </c>
      <c r="F336" t="inlineStr">
        <is>
          <t>Affiliate</t>
        </is>
      </c>
      <c r="G336" t="inlineStr">
        <is>
          <t>Mobile Web</t>
        </is>
      </c>
      <c r="H336" t="inlineStr">
        <is>
          <t>UPI</t>
        </is>
      </c>
      <c r="I336" t="inlineStr">
        <is>
          <t>Delivered</t>
        </is>
      </c>
      <c r="J336" t="n">
        <v>111</v>
      </c>
      <c r="K336" t="n">
        <v>1</v>
      </c>
      <c r="L336" s="7" t="n">
        <v>524</v>
      </c>
      <c r="M336" s="7" t="n">
        <v>0</v>
      </c>
    </row>
    <row r="337">
      <c r="A337" t="n">
        <v>509495</v>
      </c>
      <c r="B337" s="6" t="n">
        <v>45936</v>
      </c>
      <c r="C337" t="n">
        <v>16611</v>
      </c>
      <c r="D337" t="inlineStr">
        <is>
          <t>Delhi</t>
        </is>
      </c>
      <c r="E337" t="inlineStr">
        <is>
          <t>North</t>
        </is>
      </c>
      <c r="F337" t="inlineStr">
        <is>
          <t>Organic Search</t>
        </is>
      </c>
      <c r="G337" t="inlineStr">
        <is>
          <t>Mobile App</t>
        </is>
      </c>
      <c r="H337" t="inlineStr">
        <is>
          <t>UPI</t>
        </is>
      </c>
      <c r="I337" t="inlineStr">
        <is>
          <t>Delivered</t>
        </is>
      </c>
      <c r="J337" t="n">
        <v>124</v>
      </c>
      <c r="K337" t="n">
        <v>1</v>
      </c>
      <c r="L337" s="7" t="n">
        <v>1154</v>
      </c>
      <c r="M337" s="7" t="n">
        <v>115.4</v>
      </c>
    </row>
    <row r="338">
      <c r="A338" t="n">
        <v>509496</v>
      </c>
      <c r="B338" s="6" t="n">
        <v>45936</v>
      </c>
      <c r="C338" t="n">
        <v>10813</v>
      </c>
      <c r="D338" t="inlineStr">
        <is>
          <t>Jaipur</t>
        </is>
      </c>
      <c r="E338" t="inlineStr">
        <is>
          <t>North</t>
        </is>
      </c>
      <c r="F338" t="inlineStr">
        <is>
          <t>Email</t>
        </is>
      </c>
      <c r="G338" t="inlineStr">
        <is>
          <t>Mobile Web</t>
        </is>
      </c>
      <c r="H338" t="inlineStr">
        <is>
          <t>Cash on Delivery</t>
        </is>
      </c>
      <c r="I338" t="inlineStr">
        <is>
          <t>Delivered</t>
        </is>
      </c>
      <c r="J338" t="n">
        <v>131</v>
      </c>
      <c r="K338" t="n">
        <v>1</v>
      </c>
      <c r="L338" s="7" t="n">
        <v>314</v>
      </c>
      <c r="M338" s="7" t="n">
        <v>31.4</v>
      </c>
    </row>
    <row r="339">
      <c r="A339" t="n">
        <v>509497</v>
      </c>
      <c r="B339" s="6" t="n">
        <v>45936</v>
      </c>
      <c r="C339" t="n">
        <v>16658</v>
      </c>
      <c r="D339" t="inlineStr">
        <is>
          <t>Noida</t>
        </is>
      </c>
      <c r="E339" t="inlineStr">
        <is>
          <t>North</t>
        </is>
      </c>
      <c r="F339" t="inlineStr">
        <is>
          <t>Paid Social</t>
        </is>
      </c>
      <c r="G339" t="inlineStr">
        <is>
          <t>Mobile App</t>
        </is>
      </c>
      <c r="H339" t="inlineStr">
        <is>
          <t>Cash on Delivery</t>
        </is>
      </c>
      <c r="I339" t="inlineStr">
        <is>
          <t>Delivered</t>
        </is>
      </c>
      <c r="J339" t="n">
        <v>131</v>
      </c>
      <c r="K339" t="n">
        <v>2</v>
      </c>
      <c r="L339" s="7" t="n">
        <v>314</v>
      </c>
      <c r="M339" s="7" t="n">
        <v>94.2</v>
      </c>
    </row>
    <row r="340">
      <c r="A340" t="n">
        <v>509497</v>
      </c>
      <c r="B340" s="6" t="n">
        <v>45936</v>
      </c>
      <c r="C340" t="n">
        <v>16658</v>
      </c>
      <c r="D340" t="inlineStr">
        <is>
          <t>Noida</t>
        </is>
      </c>
      <c r="E340" t="inlineStr">
        <is>
          <t>North</t>
        </is>
      </c>
      <c r="F340" t="inlineStr">
        <is>
          <t>Paid Social</t>
        </is>
      </c>
      <c r="G340" t="inlineStr">
        <is>
          <t>Mobile App</t>
        </is>
      </c>
      <c r="H340" t="inlineStr">
        <is>
          <t>Cash on Delivery</t>
        </is>
      </c>
      <c r="I340" t="inlineStr">
        <is>
          <t>Delivered</t>
        </is>
      </c>
      <c r="J340" t="n">
        <v>129</v>
      </c>
      <c r="K340" t="n">
        <v>1</v>
      </c>
      <c r="L340" s="7" t="n">
        <v>576</v>
      </c>
      <c r="M340" s="7" t="n">
        <v>86.40000000000001</v>
      </c>
    </row>
    <row r="341">
      <c r="A341" t="n">
        <v>509498</v>
      </c>
      <c r="B341" s="6" t="n">
        <v>45936</v>
      </c>
      <c r="C341" t="n">
        <v>16555</v>
      </c>
      <c r="D341" t="inlineStr">
        <is>
          <t>Chennai</t>
        </is>
      </c>
      <c r="E341" t="inlineStr">
        <is>
          <t>South</t>
        </is>
      </c>
      <c r="F341" t="inlineStr">
        <is>
          <t>Referral</t>
        </is>
      </c>
      <c r="G341" t="inlineStr">
        <is>
          <t>Mobile Web</t>
        </is>
      </c>
      <c r="H341" t="inlineStr">
        <is>
          <t>UPI</t>
        </is>
      </c>
      <c r="I341" t="inlineStr">
        <is>
          <t>Delivered</t>
        </is>
      </c>
      <c r="J341" t="n">
        <v>111</v>
      </c>
      <c r="K341" t="n">
        <v>1</v>
      </c>
      <c r="L341" s="7" t="n">
        <v>524</v>
      </c>
      <c r="M341" s="7" t="n">
        <v>0</v>
      </c>
    </row>
    <row r="342">
      <c r="A342" t="n">
        <v>509499</v>
      </c>
      <c r="B342" s="6" t="n">
        <v>45936</v>
      </c>
      <c r="C342" t="n">
        <v>12410</v>
      </c>
      <c r="D342" t="inlineStr">
        <is>
          <t>Lucknow</t>
        </is>
      </c>
      <c r="E342" t="inlineStr">
        <is>
          <t>North</t>
        </is>
      </c>
      <c r="F342" t="inlineStr">
        <is>
          <t>Referral</t>
        </is>
      </c>
      <c r="G342" t="inlineStr">
        <is>
          <t>Mobile Web</t>
        </is>
      </c>
      <c r="H342" t="inlineStr">
        <is>
          <t>UPI</t>
        </is>
      </c>
      <c r="I342" t="inlineStr">
        <is>
          <t>Delivered</t>
        </is>
      </c>
      <c r="J342" t="n">
        <v>130</v>
      </c>
      <c r="K342" t="n">
        <v>1</v>
      </c>
      <c r="L342" s="7" t="n">
        <v>734</v>
      </c>
      <c r="M342" s="7" t="n">
        <v>73.40000000000001</v>
      </c>
    </row>
    <row r="343">
      <c r="A343" t="n">
        <v>509499</v>
      </c>
      <c r="B343" s="6" t="n">
        <v>45936</v>
      </c>
      <c r="C343" t="n">
        <v>12410</v>
      </c>
      <c r="D343" t="inlineStr">
        <is>
          <t>Lucknow</t>
        </is>
      </c>
      <c r="E343" t="inlineStr">
        <is>
          <t>North</t>
        </is>
      </c>
      <c r="F343" t="inlineStr">
        <is>
          <t>Referral</t>
        </is>
      </c>
      <c r="G343" t="inlineStr">
        <is>
          <t>Mobile Web</t>
        </is>
      </c>
      <c r="H343" t="inlineStr">
        <is>
          <t>UPI</t>
        </is>
      </c>
      <c r="I343" t="inlineStr">
        <is>
          <t>Delivered</t>
        </is>
      </c>
      <c r="J343" t="n">
        <v>129</v>
      </c>
      <c r="K343" t="n">
        <v>2</v>
      </c>
      <c r="L343" s="7" t="n">
        <v>576</v>
      </c>
      <c r="M343" s="7" t="n">
        <v>115.2</v>
      </c>
    </row>
    <row r="344">
      <c r="A344" t="n">
        <v>509500</v>
      </c>
      <c r="B344" s="6" t="n">
        <v>45937</v>
      </c>
      <c r="C344" t="n">
        <v>16683</v>
      </c>
      <c r="D344" t="inlineStr">
        <is>
          <t>Kochi</t>
        </is>
      </c>
      <c r="E344" t="inlineStr">
        <is>
          <t>South</t>
        </is>
      </c>
      <c r="F344" t="inlineStr">
        <is>
          <t>Paid Social</t>
        </is>
      </c>
      <c r="G344" t="inlineStr">
        <is>
          <t>Mobile Web</t>
        </is>
      </c>
      <c r="H344" t="inlineStr">
        <is>
          <t>UPI</t>
        </is>
      </c>
      <c r="I344" t="inlineStr">
        <is>
          <t>Delivered</t>
        </is>
      </c>
      <c r="J344" t="n">
        <v>119</v>
      </c>
      <c r="K344" t="n">
        <v>1</v>
      </c>
      <c r="L344" s="7" t="n">
        <v>2309</v>
      </c>
      <c r="M344" s="7" t="n">
        <v>346.35</v>
      </c>
    </row>
    <row r="345">
      <c r="A345" t="n">
        <v>509501</v>
      </c>
      <c r="B345" s="6" t="n">
        <v>45937</v>
      </c>
      <c r="C345" t="n">
        <v>12299</v>
      </c>
      <c r="D345" t="inlineStr">
        <is>
          <t>Bengaluru</t>
        </is>
      </c>
      <c r="E345" t="inlineStr">
        <is>
          <t>South</t>
        </is>
      </c>
      <c r="F345" t="inlineStr">
        <is>
          <t>Organic Search</t>
        </is>
      </c>
      <c r="G345" t="inlineStr">
        <is>
          <t>Mobile App</t>
        </is>
      </c>
      <c r="H345" t="inlineStr">
        <is>
          <t>UPI</t>
        </is>
      </c>
      <c r="I345" t="inlineStr">
        <is>
          <t>Delivered</t>
        </is>
      </c>
      <c r="J345" t="n">
        <v>119</v>
      </c>
      <c r="K345" t="n">
        <v>2</v>
      </c>
      <c r="L345" s="7" t="n">
        <v>2309</v>
      </c>
      <c r="M345" s="7" t="n">
        <v>0</v>
      </c>
    </row>
    <row r="346">
      <c r="A346" t="n">
        <v>509502</v>
      </c>
      <c r="B346" s="6" t="n">
        <v>45937</v>
      </c>
      <c r="C346" t="n">
        <v>12692</v>
      </c>
      <c r="D346" t="inlineStr">
        <is>
          <t>Delhi</t>
        </is>
      </c>
      <c r="E346" t="inlineStr">
        <is>
          <t>North</t>
        </is>
      </c>
      <c r="F346" t="inlineStr">
        <is>
          <t>Organic Search</t>
        </is>
      </c>
      <c r="G346" t="inlineStr">
        <is>
          <t>Desktop</t>
        </is>
      </c>
      <c r="H346" t="inlineStr">
        <is>
          <t>Cash on Delivery</t>
        </is>
      </c>
      <c r="I346" t="inlineStr">
        <is>
          <t>Delivered</t>
        </is>
      </c>
      <c r="J346" t="n">
        <v>110</v>
      </c>
      <c r="K346" t="n">
        <v>2</v>
      </c>
      <c r="L346" s="7" t="n">
        <v>839</v>
      </c>
      <c r="M346" s="7" t="n">
        <v>167.8</v>
      </c>
    </row>
    <row r="347">
      <c r="A347" t="n">
        <v>509502</v>
      </c>
      <c r="B347" s="6" t="n">
        <v>45937</v>
      </c>
      <c r="C347" t="n">
        <v>12692</v>
      </c>
      <c r="D347" t="inlineStr">
        <is>
          <t>Delhi</t>
        </is>
      </c>
      <c r="E347" t="inlineStr">
        <is>
          <t>North</t>
        </is>
      </c>
      <c r="F347" t="inlineStr">
        <is>
          <t>Organic Search</t>
        </is>
      </c>
      <c r="G347" t="inlineStr">
        <is>
          <t>Desktop</t>
        </is>
      </c>
      <c r="H347" t="inlineStr">
        <is>
          <t>Cash on Delivery</t>
        </is>
      </c>
      <c r="I347" t="inlineStr">
        <is>
          <t>Delivered</t>
        </is>
      </c>
      <c r="J347" t="n">
        <v>120</v>
      </c>
      <c r="K347" t="n">
        <v>1</v>
      </c>
      <c r="L347" s="7" t="n">
        <v>734</v>
      </c>
      <c r="M347" s="7" t="n">
        <v>73.40000000000001</v>
      </c>
    </row>
    <row r="348">
      <c r="A348" t="n">
        <v>509502</v>
      </c>
      <c r="B348" s="6" t="n">
        <v>45937</v>
      </c>
      <c r="C348" t="n">
        <v>12692</v>
      </c>
      <c r="D348" t="inlineStr">
        <is>
          <t>Delhi</t>
        </is>
      </c>
      <c r="E348" t="inlineStr">
        <is>
          <t>North</t>
        </is>
      </c>
      <c r="F348" t="inlineStr">
        <is>
          <t>Organic Search</t>
        </is>
      </c>
      <c r="G348" t="inlineStr">
        <is>
          <t>Desktop</t>
        </is>
      </c>
      <c r="H348" t="inlineStr">
        <is>
          <t>Cash on Delivery</t>
        </is>
      </c>
      <c r="I348" t="inlineStr">
        <is>
          <t>Delivered</t>
        </is>
      </c>
      <c r="J348" t="n">
        <v>130</v>
      </c>
      <c r="K348" t="n">
        <v>1</v>
      </c>
      <c r="L348" s="7" t="n">
        <v>734</v>
      </c>
      <c r="M348" s="7" t="n">
        <v>73.40000000000001</v>
      </c>
    </row>
    <row r="349">
      <c r="A349" t="n">
        <v>509502</v>
      </c>
      <c r="B349" s="6" t="n">
        <v>45937</v>
      </c>
      <c r="C349" t="n">
        <v>12692</v>
      </c>
      <c r="D349" t="inlineStr">
        <is>
          <t>Delhi</t>
        </is>
      </c>
      <c r="E349" t="inlineStr">
        <is>
          <t>North</t>
        </is>
      </c>
      <c r="F349" t="inlineStr">
        <is>
          <t>Organic Search</t>
        </is>
      </c>
      <c r="G349" t="inlineStr">
        <is>
          <t>Desktop</t>
        </is>
      </c>
      <c r="H349" t="inlineStr">
        <is>
          <t>Cash on Delivery</t>
        </is>
      </c>
      <c r="I349" t="inlineStr">
        <is>
          <t>Delivered</t>
        </is>
      </c>
      <c r="J349" t="n">
        <v>119</v>
      </c>
      <c r="K349" t="n">
        <v>2</v>
      </c>
      <c r="L349" s="7" t="n">
        <v>2309</v>
      </c>
      <c r="M349" s="7" t="n">
        <v>461.8</v>
      </c>
    </row>
    <row r="350">
      <c r="A350" t="n">
        <v>509503</v>
      </c>
      <c r="B350" s="6" t="n">
        <v>45937</v>
      </c>
      <c r="C350" t="n">
        <v>15148</v>
      </c>
      <c r="D350" t="inlineStr">
        <is>
          <t>Hyderabad</t>
        </is>
      </c>
      <c r="E350" t="inlineStr">
        <is>
          <t>South</t>
        </is>
      </c>
      <c r="F350" t="inlineStr">
        <is>
          <t>Organic Search</t>
        </is>
      </c>
      <c r="G350" t="inlineStr">
        <is>
          <t>Mobile Web</t>
        </is>
      </c>
      <c r="H350" t="inlineStr">
        <is>
          <t>Credit Card</t>
        </is>
      </c>
      <c r="I350" t="inlineStr">
        <is>
          <t>Delivered</t>
        </is>
      </c>
      <c r="J350" t="n">
        <v>122</v>
      </c>
      <c r="K350" t="n">
        <v>1</v>
      </c>
      <c r="L350" s="7" t="n">
        <v>1994</v>
      </c>
      <c r="M350" s="7" t="n">
        <v>199.4</v>
      </c>
    </row>
    <row r="351">
      <c r="A351" t="n">
        <v>509503</v>
      </c>
      <c r="B351" s="6" t="n">
        <v>45937</v>
      </c>
      <c r="C351" t="n">
        <v>15148</v>
      </c>
      <c r="D351" t="inlineStr">
        <is>
          <t>Hyderabad</t>
        </is>
      </c>
      <c r="E351" t="inlineStr">
        <is>
          <t>South</t>
        </is>
      </c>
      <c r="F351" t="inlineStr">
        <is>
          <t>Organic Search</t>
        </is>
      </c>
      <c r="G351" t="inlineStr">
        <is>
          <t>Mobile Web</t>
        </is>
      </c>
      <c r="H351" t="inlineStr">
        <is>
          <t>Credit Card</t>
        </is>
      </c>
      <c r="I351" t="inlineStr">
        <is>
          <t>Delivered</t>
        </is>
      </c>
      <c r="J351" t="n">
        <v>129</v>
      </c>
      <c r="K351" t="n">
        <v>1</v>
      </c>
      <c r="L351" s="7" t="n">
        <v>576</v>
      </c>
      <c r="M351" s="7" t="n">
        <v>57.6</v>
      </c>
    </row>
    <row r="352">
      <c r="A352" t="n">
        <v>509504</v>
      </c>
      <c r="B352" s="6" t="n">
        <v>45937</v>
      </c>
      <c r="C352" t="n">
        <v>16647</v>
      </c>
      <c r="D352" t="inlineStr">
        <is>
          <t>Bengaluru</t>
        </is>
      </c>
      <c r="E352" t="inlineStr">
        <is>
          <t>South</t>
        </is>
      </c>
      <c r="F352" t="inlineStr">
        <is>
          <t>Referral</t>
        </is>
      </c>
      <c r="G352" t="inlineStr">
        <is>
          <t>Desktop</t>
        </is>
      </c>
      <c r="H352" t="inlineStr">
        <is>
          <t>Debit Card</t>
        </is>
      </c>
      <c r="I352" t="inlineStr">
        <is>
          <t>Delivered</t>
        </is>
      </c>
      <c r="J352" t="n">
        <v>120</v>
      </c>
      <c r="K352" t="n">
        <v>1</v>
      </c>
      <c r="L352" s="7" t="n">
        <v>734</v>
      </c>
      <c r="M352" s="7" t="n">
        <v>73.40000000000001</v>
      </c>
    </row>
    <row r="353">
      <c r="A353" t="n">
        <v>509504</v>
      </c>
      <c r="B353" s="6" t="n">
        <v>45937</v>
      </c>
      <c r="C353" t="n">
        <v>16647</v>
      </c>
      <c r="D353" t="inlineStr">
        <is>
          <t>Bengaluru</t>
        </is>
      </c>
      <c r="E353" t="inlineStr">
        <is>
          <t>South</t>
        </is>
      </c>
      <c r="F353" t="inlineStr">
        <is>
          <t>Referral</t>
        </is>
      </c>
      <c r="G353" t="inlineStr">
        <is>
          <t>Desktop</t>
        </is>
      </c>
      <c r="H353" t="inlineStr">
        <is>
          <t>Debit Card</t>
        </is>
      </c>
      <c r="I353" t="inlineStr">
        <is>
          <t>Delivered</t>
        </is>
      </c>
      <c r="J353" t="n">
        <v>114</v>
      </c>
      <c r="K353" t="n">
        <v>1</v>
      </c>
      <c r="L353" s="7" t="n">
        <v>1259</v>
      </c>
      <c r="M353" s="7" t="n">
        <v>125.9</v>
      </c>
    </row>
    <row r="354">
      <c r="A354" t="n">
        <v>509504</v>
      </c>
      <c r="B354" s="6" t="n">
        <v>45937</v>
      </c>
      <c r="C354" t="n">
        <v>16647</v>
      </c>
      <c r="D354" t="inlineStr">
        <is>
          <t>Bengaluru</t>
        </is>
      </c>
      <c r="E354" t="inlineStr">
        <is>
          <t>South</t>
        </is>
      </c>
      <c r="F354" t="inlineStr">
        <is>
          <t>Referral</t>
        </is>
      </c>
      <c r="G354" t="inlineStr">
        <is>
          <t>Desktop</t>
        </is>
      </c>
      <c r="H354" t="inlineStr">
        <is>
          <t>Debit Card</t>
        </is>
      </c>
      <c r="I354" t="inlineStr">
        <is>
          <t>Delivered</t>
        </is>
      </c>
      <c r="J354" t="n">
        <v>140</v>
      </c>
      <c r="K354" t="n">
        <v>1</v>
      </c>
      <c r="L354" s="7" t="n">
        <v>629</v>
      </c>
      <c r="M354" s="7" t="n">
        <v>62.9</v>
      </c>
    </row>
    <row r="355">
      <c r="A355" t="n">
        <v>509504</v>
      </c>
      <c r="B355" s="6" t="n">
        <v>45937</v>
      </c>
      <c r="C355" t="n">
        <v>16647</v>
      </c>
      <c r="D355" t="inlineStr">
        <is>
          <t>Bengaluru</t>
        </is>
      </c>
      <c r="E355" t="inlineStr">
        <is>
          <t>South</t>
        </is>
      </c>
      <c r="F355" t="inlineStr">
        <is>
          <t>Referral</t>
        </is>
      </c>
      <c r="G355" t="inlineStr">
        <is>
          <t>Desktop</t>
        </is>
      </c>
      <c r="H355" t="inlineStr">
        <is>
          <t>Debit Card</t>
        </is>
      </c>
      <c r="I355" t="inlineStr">
        <is>
          <t>Delivered</t>
        </is>
      </c>
      <c r="J355" t="n">
        <v>139</v>
      </c>
      <c r="K355" t="n">
        <v>1</v>
      </c>
      <c r="L355" s="7" t="n">
        <v>366</v>
      </c>
      <c r="M355" s="7" t="n">
        <v>36.6</v>
      </c>
    </row>
    <row r="356">
      <c r="A356" t="n">
        <v>509505</v>
      </c>
      <c r="B356" s="6" t="n">
        <v>45937</v>
      </c>
      <c r="C356" t="n">
        <v>15805</v>
      </c>
      <c r="D356" t="inlineStr">
        <is>
          <t>Mumbai</t>
        </is>
      </c>
      <c r="E356" t="inlineStr">
        <is>
          <t>West</t>
        </is>
      </c>
      <c r="F356" t="inlineStr">
        <is>
          <t>Paid Search</t>
        </is>
      </c>
      <c r="G356" t="inlineStr">
        <is>
          <t>Mobile Web</t>
        </is>
      </c>
      <c r="H356" t="inlineStr">
        <is>
          <t>UPI</t>
        </is>
      </c>
      <c r="I356" t="inlineStr">
        <is>
          <t>Delivered</t>
        </is>
      </c>
      <c r="J356" t="n">
        <v>119</v>
      </c>
      <c r="K356" t="n">
        <v>1</v>
      </c>
      <c r="L356" s="7" t="n">
        <v>2309</v>
      </c>
      <c r="M356" s="7" t="n">
        <v>230.9</v>
      </c>
    </row>
    <row r="357">
      <c r="A357" t="n">
        <v>509505</v>
      </c>
      <c r="B357" s="6" t="n">
        <v>45937</v>
      </c>
      <c r="C357" t="n">
        <v>15805</v>
      </c>
      <c r="D357" t="inlineStr">
        <is>
          <t>Mumbai</t>
        </is>
      </c>
      <c r="E357" t="inlineStr">
        <is>
          <t>West</t>
        </is>
      </c>
      <c r="F357" t="inlineStr">
        <is>
          <t>Paid Search</t>
        </is>
      </c>
      <c r="G357" t="inlineStr">
        <is>
          <t>Mobile Web</t>
        </is>
      </c>
      <c r="H357" t="inlineStr">
        <is>
          <t>UPI</t>
        </is>
      </c>
      <c r="I357" t="inlineStr">
        <is>
          <t>Delivered</t>
        </is>
      </c>
      <c r="J357" t="n">
        <v>117</v>
      </c>
      <c r="K357" t="n">
        <v>1</v>
      </c>
      <c r="L357" s="7" t="n">
        <v>3149</v>
      </c>
      <c r="M357" s="7" t="n">
        <v>314.9</v>
      </c>
    </row>
    <row r="358">
      <c r="A358" t="n">
        <v>509506</v>
      </c>
      <c r="B358" s="6" t="n">
        <v>45937</v>
      </c>
      <c r="C358" t="n">
        <v>16445</v>
      </c>
      <c r="D358" t="inlineStr">
        <is>
          <t>Kolkata</t>
        </is>
      </c>
      <c r="E358" t="inlineStr">
        <is>
          <t>East</t>
        </is>
      </c>
      <c r="F358" t="inlineStr">
        <is>
          <t>Organic Search</t>
        </is>
      </c>
      <c r="G358" t="inlineStr">
        <is>
          <t>Mobile App</t>
        </is>
      </c>
      <c r="H358" t="inlineStr">
        <is>
          <t>UPI</t>
        </is>
      </c>
      <c r="I358" t="inlineStr">
        <is>
          <t>Delivered</t>
        </is>
      </c>
      <c r="J358" t="n">
        <v>120</v>
      </c>
      <c r="K358" t="n">
        <v>1</v>
      </c>
      <c r="L358" s="7" t="n">
        <v>734</v>
      </c>
      <c r="M358" s="7" t="n">
        <v>0</v>
      </c>
    </row>
    <row r="359">
      <c r="A359" t="n">
        <v>509506</v>
      </c>
      <c r="B359" s="6" t="n">
        <v>45937</v>
      </c>
      <c r="C359" t="n">
        <v>16445</v>
      </c>
      <c r="D359" t="inlineStr">
        <is>
          <t>Kolkata</t>
        </is>
      </c>
      <c r="E359" t="inlineStr">
        <is>
          <t>East</t>
        </is>
      </c>
      <c r="F359" t="inlineStr">
        <is>
          <t>Organic Search</t>
        </is>
      </c>
      <c r="G359" t="inlineStr">
        <is>
          <t>Mobile App</t>
        </is>
      </c>
      <c r="H359" t="inlineStr">
        <is>
          <t>UPI</t>
        </is>
      </c>
      <c r="I359" t="inlineStr">
        <is>
          <t>Delivered</t>
        </is>
      </c>
      <c r="J359" t="n">
        <v>141</v>
      </c>
      <c r="K359" t="n">
        <v>1</v>
      </c>
      <c r="L359" s="7" t="n">
        <v>261</v>
      </c>
      <c r="M359" s="7" t="n">
        <v>0</v>
      </c>
    </row>
    <row r="360">
      <c r="A360" t="n">
        <v>509507</v>
      </c>
      <c r="B360" s="6" t="n">
        <v>45937</v>
      </c>
      <c r="C360" t="n">
        <v>11589</v>
      </c>
      <c r="D360" t="inlineStr">
        <is>
          <t>Delhi</t>
        </is>
      </c>
      <c r="E360" t="inlineStr">
        <is>
          <t>North</t>
        </is>
      </c>
      <c r="F360" t="inlineStr">
        <is>
          <t>Organic Search</t>
        </is>
      </c>
      <c r="G360" t="inlineStr">
        <is>
          <t>Mobile App</t>
        </is>
      </c>
      <c r="H360" t="inlineStr">
        <is>
          <t>UPI</t>
        </is>
      </c>
      <c r="I360" t="inlineStr">
        <is>
          <t>Delivered</t>
        </is>
      </c>
      <c r="J360" t="n">
        <v>122</v>
      </c>
      <c r="K360" t="n">
        <v>1</v>
      </c>
      <c r="L360" s="7" t="n">
        <v>1994</v>
      </c>
      <c r="M360" s="7" t="n">
        <v>0</v>
      </c>
    </row>
    <row r="361">
      <c r="A361" t="n">
        <v>509508</v>
      </c>
      <c r="B361" s="6" t="n">
        <v>45937</v>
      </c>
      <c r="C361" t="n">
        <v>16159</v>
      </c>
      <c r="D361" t="inlineStr">
        <is>
          <t>Pune</t>
        </is>
      </c>
      <c r="E361" t="inlineStr">
        <is>
          <t>West</t>
        </is>
      </c>
      <c r="F361" t="inlineStr">
        <is>
          <t>Organic Search</t>
        </is>
      </c>
      <c r="G361" t="inlineStr">
        <is>
          <t>Mobile App</t>
        </is>
      </c>
      <c r="H361" t="inlineStr">
        <is>
          <t>UPI</t>
        </is>
      </c>
      <c r="I361" t="inlineStr">
        <is>
          <t>Delivered</t>
        </is>
      </c>
      <c r="J361" t="n">
        <v>111</v>
      </c>
      <c r="K361" t="n">
        <v>1</v>
      </c>
      <c r="L361" s="7" t="n">
        <v>524</v>
      </c>
      <c r="M361" s="7" t="n">
        <v>52.4</v>
      </c>
    </row>
    <row r="362">
      <c r="A362" t="n">
        <v>509508</v>
      </c>
      <c r="B362" s="6" t="n">
        <v>45937</v>
      </c>
      <c r="C362" t="n">
        <v>16159</v>
      </c>
      <c r="D362" t="inlineStr">
        <is>
          <t>Pune</t>
        </is>
      </c>
      <c r="E362" t="inlineStr">
        <is>
          <t>West</t>
        </is>
      </c>
      <c r="F362" t="inlineStr">
        <is>
          <t>Organic Search</t>
        </is>
      </c>
      <c r="G362" t="inlineStr">
        <is>
          <t>Mobile App</t>
        </is>
      </c>
      <c r="H362" t="inlineStr">
        <is>
          <t>UPI</t>
        </is>
      </c>
      <c r="I362" t="inlineStr">
        <is>
          <t>Delivered</t>
        </is>
      </c>
      <c r="J362" t="n">
        <v>126</v>
      </c>
      <c r="K362" t="n">
        <v>1</v>
      </c>
      <c r="L362" s="7" t="n">
        <v>471</v>
      </c>
      <c r="M362" s="7" t="n">
        <v>47.1</v>
      </c>
    </row>
    <row r="363">
      <c r="A363" t="n">
        <v>509508</v>
      </c>
      <c r="B363" s="6" t="n">
        <v>45937</v>
      </c>
      <c r="C363" t="n">
        <v>16159</v>
      </c>
      <c r="D363" t="inlineStr">
        <is>
          <t>Pune</t>
        </is>
      </c>
      <c r="E363" t="inlineStr">
        <is>
          <t>West</t>
        </is>
      </c>
      <c r="F363" t="inlineStr">
        <is>
          <t>Organic Search</t>
        </is>
      </c>
      <c r="G363" t="inlineStr">
        <is>
          <t>Mobile App</t>
        </is>
      </c>
      <c r="H363" t="inlineStr">
        <is>
          <t>UPI</t>
        </is>
      </c>
      <c r="I363" t="inlineStr">
        <is>
          <t>Delivered</t>
        </is>
      </c>
      <c r="J363" t="n">
        <v>108</v>
      </c>
      <c r="K363" t="n">
        <v>1</v>
      </c>
      <c r="L363" s="7" t="n">
        <v>419</v>
      </c>
      <c r="M363" s="7" t="n">
        <v>41.9</v>
      </c>
    </row>
    <row r="364">
      <c r="A364" t="n">
        <v>509508</v>
      </c>
      <c r="B364" s="6" t="n">
        <v>45937</v>
      </c>
      <c r="C364" t="n">
        <v>16159</v>
      </c>
      <c r="D364" t="inlineStr">
        <is>
          <t>Pune</t>
        </is>
      </c>
      <c r="E364" t="inlineStr">
        <is>
          <t>West</t>
        </is>
      </c>
      <c r="F364" t="inlineStr">
        <is>
          <t>Organic Search</t>
        </is>
      </c>
      <c r="G364" t="inlineStr">
        <is>
          <t>Mobile App</t>
        </is>
      </c>
      <c r="H364" t="inlineStr">
        <is>
          <t>UPI</t>
        </is>
      </c>
      <c r="I364" t="inlineStr">
        <is>
          <t>Delivered</t>
        </is>
      </c>
      <c r="J364" t="n">
        <v>129</v>
      </c>
      <c r="K364" t="n">
        <v>2</v>
      </c>
      <c r="L364" s="7" t="n">
        <v>576</v>
      </c>
      <c r="M364" s="7" t="n">
        <v>115.2</v>
      </c>
    </row>
    <row r="365">
      <c r="A365" t="n">
        <v>509509</v>
      </c>
      <c r="B365" s="6" t="n">
        <v>45937</v>
      </c>
      <c r="C365" t="n">
        <v>14511</v>
      </c>
      <c r="D365" t="inlineStr">
        <is>
          <t>Kolkata</t>
        </is>
      </c>
      <c r="E365" t="inlineStr">
        <is>
          <t>East</t>
        </is>
      </c>
      <c r="F365" t="inlineStr">
        <is>
          <t>Referral</t>
        </is>
      </c>
      <c r="G365" t="inlineStr">
        <is>
          <t>Mobile Web</t>
        </is>
      </c>
      <c r="H365" t="inlineStr">
        <is>
          <t>Cash on Delivery</t>
        </is>
      </c>
      <c r="I365" t="inlineStr">
        <is>
          <t>Returned</t>
        </is>
      </c>
      <c r="J365" t="n">
        <v>111</v>
      </c>
      <c r="K365" t="n">
        <v>1</v>
      </c>
      <c r="L365" s="7" t="n">
        <v>524</v>
      </c>
      <c r="M365" s="7" t="n">
        <v>0</v>
      </c>
    </row>
    <row r="366">
      <c r="A366" t="n">
        <v>509509</v>
      </c>
      <c r="B366" s="6" t="n">
        <v>45937</v>
      </c>
      <c r="C366" t="n">
        <v>14511</v>
      </c>
      <c r="D366" t="inlineStr">
        <is>
          <t>Kolkata</t>
        </is>
      </c>
      <c r="E366" t="inlineStr">
        <is>
          <t>East</t>
        </is>
      </c>
      <c r="F366" t="inlineStr">
        <is>
          <t>Referral</t>
        </is>
      </c>
      <c r="G366" t="inlineStr">
        <is>
          <t>Mobile Web</t>
        </is>
      </c>
      <c r="H366" t="inlineStr">
        <is>
          <t>Cash on Delivery</t>
        </is>
      </c>
      <c r="I366" t="inlineStr">
        <is>
          <t>Returned</t>
        </is>
      </c>
      <c r="J366" t="n">
        <v>112</v>
      </c>
      <c r="K366" t="n">
        <v>1</v>
      </c>
      <c r="L366" s="7" t="n">
        <v>1574</v>
      </c>
      <c r="M366" s="7" t="n">
        <v>0</v>
      </c>
    </row>
    <row r="367">
      <c r="A367" t="n">
        <v>509510</v>
      </c>
      <c r="B367" s="6" t="n">
        <v>45937</v>
      </c>
      <c r="C367" t="n">
        <v>16630</v>
      </c>
      <c r="D367" t="inlineStr">
        <is>
          <t>Kolkata</t>
        </is>
      </c>
      <c r="E367" t="inlineStr">
        <is>
          <t>East</t>
        </is>
      </c>
      <c r="F367" t="inlineStr">
        <is>
          <t>Paid Social</t>
        </is>
      </c>
      <c r="G367" t="inlineStr">
        <is>
          <t>Mobile Web</t>
        </is>
      </c>
      <c r="H367" t="inlineStr">
        <is>
          <t>UPI</t>
        </is>
      </c>
      <c r="I367" t="inlineStr">
        <is>
          <t>Delivered</t>
        </is>
      </c>
      <c r="J367" t="n">
        <v>140</v>
      </c>
      <c r="K367" t="n">
        <v>1</v>
      </c>
      <c r="L367" s="7" t="n">
        <v>629</v>
      </c>
      <c r="M367" s="7" t="n">
        <v>62.9</v>
      </c>
    </row>
    <row r="368">
      <c r="A368" t="n">
        <v>509511</v>
      </c>
      <c r="B368" s="6" t="n">
        <v>45937</v>
      </c>
      <c r="C368" t="n">
        <v>10083</v>
      </c>
      <c r="D368" t="inlineStr">
        <is>
          <t>Mumbai</t>
        </is>
      </c>
      <c r="E368" t="inlineStr">
        <is>
          <t>West</t>
        </is>
      </c>
      <c r="F368" t="inlineStr">
        <is>
          <t>Paid Social</t>
        </is>
      </c>
      <c r="G368" t="inlineStr">
        <is>
          <t>Mobile App</t>
        </is>
      </c>
      <c r="H368" t="inlineStr">
        <is>
          <t>UPI</t>
        </is>
      </c>
      <c r="I368" t="inlineStr">
        <is>
          <t>Delivered</t>
        </is>
      </c>
      <c r="J368" t="n">
        <v>132</v>
      </c>
      <c r="K368" t="n">
        <v>1</v>
      </c>
      <c r="L368" s="7" t="n">
        <v>471</v>
      </c>
      <c r="M368" s="7" t="n">
        <v>0</v>
      </c>
    </row>
    <row r="369">
      <c r="A369" t="n">
        <v>509512</v>
      </c>
      <c r="B369" s="6" t="n">
        <v>45937</v>
      </c>
      <c r="C369" t="n">
        <v>13268</v>
      </c>
      <c r="D369" t="inlineStr">
        <is>
          <t>Bengaluru</t>
        </is>
      </c>
      <c r="E369" t="inlineStr">
        <is>
          <t>South</t>
        </is>
      </c>
      <c r="F369" t="inlineStr">
        <is>
          <t>Affiliate</t>
        </is>
      </c>
      <c r="G369" t="inlineStr">
        <is>
          <t>Mobile App</t>
        </is>
      </c>
      <c r="H369" t="inlineStr">
        <is>
          <t>Cash on Delivery</t>
        </is>
      </c>
      <c r="I369" t="inlineStr">
        <is>
          <t>Delivered</t>
        </is>
      </c>
      <c r="J369" t="n">
        <v>119</v>
      </c>
      <c r="K369" t="n">
        <v>1</v>
      </c>
      <c r="L369" s="7" t="n">
        <v>2309</v>
      </c>
      <c r="M369" s="7" t="n">
        <v>0</v>
      </c>
    </row>
    <row r="370">
      <c r="A370" t="n">
        <v>509513</v>
      </c>
      <c r="B370" s="6" t="n">
        <v>45937</v>
      </c>
      <c r="C370" t="n">
        <v>16629</v>
      </c>
      <c r="D370" t="inlineStr">
        <is>
          <t>Kolkata</t>
        </is>
      </c>
      <c r="E370" t="inlineStr">
        <is>
          <t>East</t>
        </is>
      </c>
      <c r="F370" t="inlineStr">
        <is>
          <t>Paid Search</t>
        </is>
      </c>
      <c r="G370" t="inlineStr">
        <is>
          <t>Mobile App</t>
        </is>
      </c>
      <c r="H370" t="inlineStr">
        <is>
          <t>Debit Card</t>
        </is>
      </c>
      <c r="I370" t="inlineStr">
        <is>
          <t>Delivered</t>
        </is>
      </c>
      <c r="J370" t="n">
        <v>104</v>
      </c>
      <c r="K370" t="n">
        <v>1</v>
      </c>
      <c r="L370" s="7" t="n">
        <v>5249</v>
      </c>
      <c r="M370" s="7" t="n">
        <v>0</v>
      </c>
    </row>
    <row r="371">
      <c r="A371" t="n">
        <v>509513</v>
      </c>
      <c r="B371" s="6" t="n">
        <v>45937</v>
      </c>
      <c r="C371" t="n">
        <v>16629</v>
      </c>
      <c r="D371" t="inlineStr">
        <is>
          <t>Kolkata</t>
        </is>
      </c>
      <c r="E371" t="inlineStr">
        <is>
          <t>East</t>
        </is>
      </c>
      <c r="F371" t="inlineStr">
        <is>
          <t>Paid Search</t>
        </is>
      </c>
      <c r="G371" t="inlineStr">
        <is>
          <t>Mobile App</t>
        </is>
      </c>
      <c r="H371" t="inlineStr">
        <is>
          <t>Debit Card</t>
        </is>
      </c>
      <c r="I371" t="inlineStr">
        <is>
          <t>Delivered</t>
        </is>
      </c>
      <c r="J371" t="n">
        <v>130</v>
      </c>
      <c r="K371" t="n">
        <v>1</v>
      </c>
      <c r="L371" s="7" t="n">
        <v>734</v>
      </c>
      <c r="M371" s="7" t="n">
        <v>0</v>
      </c>
    </row>
    <row r="372">
      <c r="A372" t="n">
        <v>509514</v>
      </c>
      <c r="B372" s="6" t="n">
        <v>45937</v>
      </c>
      <c r="C372" t="n">
        <v>16097</v>
      </c>
      <c r="D372" t="inlineStr">
        <is>
          <t>Delhi</t>
        </is>
      </c>
      <c r="E372" t="inlineStr">
        <is>
          <t>North</t>
        </is>
      </c>
      <c r="F372" t="inlineStr">
        <is>
          <t>Paid Search</t>
        </is>
      </c>
      <c r="G372" t="inlineStr">
        <is>
          <t>Mobile App</t>
        </is>
      </c>
      <c r="H372" t="inlineStr">
        <is>
          <t>UPI</t>
        </is>
      </c>
      <c r="I372" t="inlineStr">
        <is>
          <t>Delivered</t>
        </is>
      </c>
      <c r="J372" t="n">
        <v>119</v>
      </c>
      <c r="K372" t="n">
        <v>1</v>
      </c>
      <c r="L372" s="7" t="n">
        <v>2309</v>
      </c>
      <c r="M372" s="7" t="n">
        <v>230.9</v>
      </c>
    </row>
    <row r="373">
      <c r="A373" t="n">
        <v>509514</v>
      </c>
      <c r="B373" s="6" t="n">
        <v>45937</v>
      </c>
      <c r="C373" t="n">
        <v>16097</v>
      </c>
      <c r="D373" t="inlineStr">
        <is>
          <t>Delhi</t>
        </is>
      </c>
      <c r="E373" t="inlineStr">
        <is>
          <t>North</t>
        </is>
      </c>
      <c r="F373" t="inlineStr">
        <is>
          <t>Paid Search</t>
        </is>
      </c>
      <c r="G373" t="inlineStr">
        <is>
          <t>Mobile App</t>
        </is>
      </c>
      <c r="H373" t="inlineStr">
        <is>
          <t>UPI</t>
        </is>
      </c>
      <c r="I373" t="inlineStr">
        <is>
          <t>Delivered</t>
        </is>
      </c>
      <c r="J373" t="n">
        <v>129</v>
      </c>
      <c r="K373" t="n">
        <v>1</v>
      </c>
      <c r="L373" s="7" t="n">
        <v>576</v>
      </c>
      <c r="M373" s="7" t="n">
        <v>57.6</v>
      </c>
    </row>
    <row r="374">
      <c r="A374" t="n">
        <v>509515</v>
      </c>
      <c r="B374" s="6" t="n">
        <v>45937</v>
      </c>
      <c r="C374" t="n">
        <v>14286</v>
      </c>
      <c r="D374" t="inlineStr">
        <is>
          <t>Pune</t>
        </is>
      </c>
      <c r="E374" t="inlineStr">
        <is>
          <t>West</t>
        </is>
      </c>
      <c r="F374" t="inlineStr">
        <is>
          <t>Organic Search</t>
        </is>
      </c>
      <c r="G374" t="inlineStr">
        <is>
          <t>Mobile App</t>
        </is>
      </c>
      <c r="H374" t="inlineStr">
        <is>
          <t>Debit Card</t>
        </is>
      </c>
      <c r="I374" t="inlineStr">
        <is>
          <t>Delivered</t>
        </is>
      </c>
      <c r="J374" t="n">
        <v>102</v>
      </c>
      <c r="K374" t="n">
        <v>1</v>
      </c>
      <c r="L374" s="7" t="n">
        <v>3674</v>
      </c>
      <c r="M374" s="7" t="n">
        <v>0</v>
      </c>
    </row>
    <row r="375">
      <c r="A375" t="n">
        <v>509515</v>
      </c>
      <c r="B375" s="6" t="n">
        <v>45937</v>
      </c>
      <c r="C375" t="n">
        <v>14286</v>
      </c>
      <c r="D375" t="inlineStr">
        <is>
          <t>Pune</t>
        </is>
      </c>
      <c r="E375" t="inlineStr">
        <is>
          <t>West</t>
        </is>
      </c>
      <c r="F375" t="inlineStr">
        <is>
          <t>Organic Search</t>
        </is>
      </c>
      <c r="G375" t="inlineStr">
        <is>
          <t>Mobile App</t>
        </is>
      </c>
      <c r="H375" t="inlineStr">
        <is>
          <t>Debit Card</t>
        </is>
      </c>
      <c r="I375" t="inlineStr">
        <is>
          <t>Delivered</t>
        </is>
      </c>
      <c r="J375" t="n">
        <v>101</v>
      </c>
      <c r="K375" t="n">
        <v>1</v>
      </c>
      <c r="L375" s="7" t="n">
        <v>2099</v>
      </c>
      <c r="M375" s="7" t="n">
        <v>0</v>
      </c>
    </row>
    <row r="376">
      <c r="A376" t="n">
        <v>509515</v>
      </c>
      <c r="B376" s="6" t="n">
        <v>45937</v>
      </c>
      <c r="C376" t="n">
        <v>14286</v>
      </c>
      <c r="D376" t="inlineStr">
        <is>
          <t>Pune</t>
        </is>
      </c>
      <c r="E376" t="inlineStr">
        <is>
          <t>West</t>
        </is>
      </c>
      <c r="F376" t="inlineStr">
        <is>
          <t>Organic Search</t>
        </is>
      </c>
      <c r="G376" t="inlineStr">
        <is>
          <t>Mobile App</t>
        </is>
      </c>
      <c r="H376" t="inlineStr">
        <is>
          <t>Debit Card</t>
        </is>
      </c>
      <c r="I376" t="inlineStr">
        <is>
          <t>Delivered</t>
        </is>
      </c>
      <c r="J376" t="n">
        <v>136</v>
      </c>
      <c r="K376" t="n">
        <v>1</v>
      </c>
      <c r="L376" s="7" t="n">
        <v>944</v>
      </c>
      <c r="M376" s="7" t="n">
        <v>0</v>
      </c>
    </row>
    <row r="377">
      <c r="A377" t="n">
        <v>509516</v>
      </c>
      <c r="B377" s="6" t="n">
        <v>45937</v>
      </c>
      <c r="C377" t="n">
        <v>16596</v>
      </c>
      <c r="D377" t="inlineStr">
        <is>
          <t>Pune</t>
        </is>
      </c>
      <c r="E377" t="inlineStr">
        <is>
          <t>West</t>
        </is>
      </c>
      <c r="F377" t="inlineStr">
        <is>
          <t>Paid Search</t>
        </is>
      </c>
      <c r="G377" t="inlineStr">
        <is>
          <t>Mobile Web</t>
        </is>
      </c>
      <c r="H377" t="inlineStr">
        <is>
          <t>Credit Card</t>
        </is>
      </c>
      <c r="I377" t="inlineStr">
        <is>
          <t>Returned</t>
        </is>
      </c>
      <c r="J377" t="n">
        <v>114</v>
      </c>
      <c r="K377" t="n">
        <v>1</v>
      </c>
      <c r="L377" s="7" t="n">
        <v>1259</v>
      </c>
      <c r="M377" s="7" t="n">
        <v>188.85</v>
      </c>
    </row>
    <row r="378">
      <c r="A378" t="n">
        <v>509517</v>
      </c>
      <c r="B378" s="6" t="n">
        <v>45937</v>
      </c>
      <c r="C378" t="n">
        <v>13091</v>
      </c>
      <c r="D378" t="inlineStr">
        <is>
          <t>Kolkata</t>
        </is>
      </c>
      <c r="E378" t="inlineStr">
        <is>
          <t>East</t>
        </is>
      </c>
      <c r="F378" t="inlineStr">
        <is>
          <t>Affiliate</t>
        </is>
      </c>
      <c r="G378" t="inlineStr">
        <is>
          <t>Desktop</t>
        </is>
      </c>
      <c r="H378" t="inlineStr">
        <is>
          <t>Credit Card</t>
        </is>
      </c>
      <c r="I378" t="inlineStr">
        <is>
          <t>Delivered</t>
        </is>
      </c>
      <c r="J378" t="n">
        <v>138</v>
      </c>
      <c r="K378" t="n">
        <v>1</v>
      </c>
      <c r="L378" s="7" t="n">
        <v>419</v>
      </c>
      <c r="M378" s="7" t="n">
        <v>0</v>
      </c>
    </row>
    <row r="379">
      <c r="A379" t="n">
        <v>509517</v>
      </c>
      <c r="B379" s="6" t="n">
        <v>45937</v>
      </c>
      <c r="C379" t="n">
        <v>13091</v>
      </c>
      <c r="D379" t="inlineStr">
        <is>
          <t>Kolkata</t>
        </is>
      </c>
      <c r="E379" t="inlineStr">
        <is>
          <t>East</t>
        </is>
      </c>
      <c r="F379" t="inlineStr">
        <is>
          <t>Affiliate</t>
        </is>
      </c>
      <c r="G379" t="inlineStr">
        <is>
          <t>Desktop</t>
        </is>
      </c>
      <c r="H379" t="inlineStr">
        <is>
          <t>Credit Card</t>
        </is>
      </c>
      <c r="I379" t="inlineStr">
        <is>
          <t>Delivered</t>
        </is>
      </c>
      <c r="J379" t="n">
        <v>103</v>
      </c>
      <c r="K379" t="n">
        <v>1</v>
      </c>
      <c r="L379" s="7" t="n">
        <v>2624</v>
      </c>
      <c r="M379" s="7" t="n">
        <v>0</v>
      </c>
    </row>
    <row r="380">
      <c r="A380" t="n">
        <v>509517</v>
      </c>
      <c r="B380" s="6" t="n">
        <v>45937</v>
      </c>
      <c r="C380" t="n">
        <v>13091</v>
      </c>
      <c r="D380" t="inlineStr">
        <is>
          <t>Kolkata</t>
        </is>
      </c>
      <c r="E380" t="inlineStr">
        <is>
          <t>East</t>
        </is>
      </c>
      <c r="F380" t="inlineStr">
        <is>
          <t>Affiliate</t>
        </is>
      </c>
      <c r="G380" t="inlineStr">
        <is>
          <t>Desktop</t>
        </is>
      </c>
      <c r="H380" t="inlineStr">
        <is>
          <t>Credit Card</t>
        </is>
      </c>
      <c r="I380" t="inlineStr">
        <is>
          <t>Delivered</t>
        </is>
      </c>
      <c r="J380" t="n">
        <v>116</v>
      </c>
      <c r="K380" t="n">
        <v>2</v>
      </c>
      <c r="L380" s="7" t="n">
        <v>2624</v>
      </c>
      <c r="M380" s="7" t="n">
        <v>0</v>
      </c>
    </row>
    <row r="381">
      <c r="A381" t="n">
        <v>509517</v>
      </c>
      <c r="B381" s="6" t="n">
        <v>45937</v>
      </c>
      <c r="C381" t="n">
        <v>13091</v>
      </c>
      <c r="D381" t="inlineStr">
        <is>
          <t>Kolkata</t>
        </is>
      </c>
      <c r="E381" t="inlineStr">
        <is>
          <t>East</t>
        </is>
      </c>
      <c r="F381" t="inlineStr">
        <is>
          <t>Affiliate</t>
        </is>
      </c>
      <c r="G381" t="inlineStr">
        <is>
          <t>Desktop</t>
        </is>
      </c>
      <c r="H381" t="inlineStr">
        <is>
          <t>Credit Card</t>
        </is>
      </c>
      <c r="I381" t="inlineStr">
        <is>
          <t>Delivered</t>
        </is>
      </c>
      <c r="J381" t="n">
        <v>137</v>
      </c>
      <c r="K381" t="n">
        <v>3</v>
      </c>
      <c r="L381" s="7" t="n">
        <v>261</v>
      </c>
      <c r="M381" s="7" t="n">
        <v>0</v>
      </c>
    </row>
    <row r="382">
      <c r="A382" t="n">
        <v>509518</v>
      </c>
      <c r="B382" s="6" t="n">
        <v>45937</v>
      </c>
      <c r="C382" t="n">
        <v>16385</v>
      </c>
      <c r="D382" t="inlineStr">
        <is>
          <t>Mumbai</t>
        </is>
      </c>
      <c r="E382" t="inlineStr">
        <is>
          <t>West</t>
        </is>
      </c>
      <c r="F382" t="inlineStr">
        <is>
          <t>Paid Social</t>
        </is>
      </c>
      <c r="G382" t="inlineStr">
        <is>
          <t>Desktop</t>
        </is>
      </c>
      <c r="H382" t="inlineStr">
        <is>
          <t>UPI</t>
        </is>
      </c>
      <c r="I382" t="inlineStr">
        <is>
          <t>Delivered</t>
        </is>
      </c>
      <c r="J382" t="n">
        <v>116</v>
      </c>
      <c r="K382" t="n">
        <v>1</v>
      </c>
      <c r="L382" s="7" t="n">
        <v>2624</v>
      </c>
      <c r="M382" s="7" t="n">
        <v>0</v>
      </c>
    </row>
    <row r="383">
      <c r="A383" t="n">
        <v>509518</v>
      </c>
      <c r="B383" s="6" t="n">
        <v>45937</v>
      </c>
      <c r="C383" t="n">
        <v>16385</v>
      </c>
      <c r="D383" t="inlineStr">
        <is>
          <t>Mumbai</t>
        </is>
      </c>
      <c r="E383" t="inlineStr">
        <is>
          <t>West</t>
        </is>
      </c>
      <c r="F383" t="inlineStr">
        <is>
          <t>Paid Social</t>
        </is>
      </c>
      <c r="G383" t="inlineStr">
        <is>
          <t>Desktop</t>
        </is>
      </c>
      <c r="H383" t="inlineStr">
        <is>
          <t>UPI</t>
        </is>
      </c>
      <c r="I383" t="inlineStr">
        <is>
          <t>Delivered</t>
        </is>
      </c>
      <c r="J383" t="n">
        <v>129</v>
      </c>
      <c r="K383" t="n">
        <v>2</v>
      </c>
      <c r="L383" s="7" t="n">
        <v>576</v>
      </c>
      <c r="M383" s="7" t="n">
        <v>0</v>
      </c>
    </row>
    <row r="384">
      <c r="A384" t="n">
        <v>509519</v>
      </c>
      <c r="B384" s="6" t="n">
        <v>45937</v>
      </c>
      <c r="C384" t="n">
        <v>13557</v>
      </c>
      <c r="D384" t="inlineStr">
        <is>
          <t>Delhi</t>
        </is>
      </c>
      <c r="E384" t="inlineStr">
        <is>
          <t>North</t>
        </is>
      </c>
      <c r="F384" t="inlineStr">
        <is>
          <t>Referral</t>
        </is>
      </c>
      <c r="G384" t="inlineStr">
        <is>
          <t>Mobile App</t>
        </is>
      </c>
      <c r="H384" t="inlineStr">
        <is>
          <t>UPI</t>
        </is>
      </c>
      <c r="I384" t="inlineStr">
        <is>
          <t>Delivered</t>
        </is>
      </c>
      <c r="J384" t="n">
        <v>112</v>
      </c>
      <c r="K384" t="n">
        <v>3</v>
      </c>
      <c r="L384" s="7" t="n">
        <v>1574</v>
      </c>
      <c r="M384" s="7" t="n">
        <v>0</v>
      </c>
    </row>
    <row r="385">
      <c r="A385" t="n">
        <v>509519</v>
      </c>
      <c r="B385" s="6" t="n">
        <v>45937</v>
      </c>
      <c r="C385" t="n">
        <v>13557</v>
      </c>
      <c r="D385" t="inlineStr">
        <is>
          <t>Delhi</t>
        </is>
      </c>
      <c r="E385" t="inlineStr">
        <is>
          <t>North</t>
        </is>
      </c>
      <c r="F385" t="inlineStr">
        <is>
          <t>Referral</t>
        </is>
      </c>
      <c r="G385" t="inlineStr">
        <is>
          <t>Mobile App</t>
        </is>
      </c>
      <c r="H385" t="inlineStr">
        <is>
          <t>UPI</t>
        </is>
      </c>
      <c r="I385" t="inlineStr">
        <is>
          <t>Delivered</t>
        </is>
      </c>
      <c r="J385" t="n">
        <v>102</v>
      </c>
      <c r="K385" t="n">
        <v>2</v>
      </c>
      <c r="L385" s="7" t="n">
        <v>3674</v>
      </c>
      <c r="M385" s="7" t="n">
        <v>0</v>
      </c>
    </row>
    <row r="386">
      <c r="A386" t="n">
        <v>509520</v>
      </c>
      <c r="B386" s="6" t="n">
        <v>45937</v>
      </c>
      <c r="C386" t="n">
        <v>16551</v>
      </c>
      <c r="D386" t="inlineStr">
        <is>
          <t>Chandigarh</t>
        </is>
      </c>
      <c r="E386" t="inlineStr">
        <is>
          <t>North</t>
        </is>
      </c>
      <c r="F386" t="inlineStr">
        <is>
          <t>Paid Social</t>
        </is>
      </c>
      <c r="G386" t="inlineStr">
        <is>
          <t>Mobile App</t>
        </is>
      </c>
      <c r="H386" t="inlineStr">
        <is>
          <t>UPI</t>
        </is>
      </c>
      <c r="I386" t="inlineStr">
        <is>
          <t>Cancelled</t>
        </is>
      </c>
      <c r="J386" t="n">
        <v>109</v>
      </c>
      <c r="K386" t="n">
        <v>2</v>
      </c>
      <c r="L386" s="7" t="n">
        <v>4199</v>
      </c>
      <c r="M386" s="7" t="n">
        <v>0</v>
      </c>
    </row>
    <row r="387">
      <c r="A387" t="n">
        <v>509521</v>
      </c>
      <c r="B387" s="6" t="n">
        <v>45937</v>
      </c>
      <c r="C387" t="n">
        <v>12002</v>
      </c>
      <c r="D387" t="inlineStr">
        <is>
          <t>Delhi</t>
        </is>
      </c>
      <c r="E387" t="inlineStr">
        <is>
          <t>North</t>
        </is>
      </c>
      <c r="F387" t="inlineStr">
        <is>
          <t>Affiliate</t>
        </is>
      </c>
      <c r="G387" t="inlineStr">
        <is>
          <t>Desktop</t>
        </is>
      </c>
      <c r="H387" t="inlineStr">
        <is>
          <t>Credit Card</t>
        </is>
      </c>
      <c r="I387" t="inlineStr">
        <is>
          <t>Delivered</t>
        </is>
      </c>
      <c r="J387" t="n">
        <v>109</v>
      </c>
      <c r="K387" t="n">
        <v>1</v>
      </c>
      <c r="L387" s="7" t="n">
        <v>4199</v>
      </c>
      <c r="M387" s="7" t="n">
        <v>0</v>
      </c>
    </row>
    <row r="388">
      <c r="A388" t="n">
        <v>509522</v>
      </c>
      <c r="B388" s="6" t="n">
        <v>45937</v>
      </c>
      <c r="C388" t="n">
        <v>15574</v>
      </c>
      <c r="D388" t="inlineStr">
        <is>
          <t>Chennai</t>
        </is>
      </c>
      <c r="E388" t="inlineStr">
        <is>
          <t>South</t>
        </is>
      </c>
      <c r="F388" t="inlineStr">
        <is>
          <t>Referral</t>
        </is>
      </c>
      <c r="G388" t="inlineStr">
        <is>
          <t>Mobile Web</t>
        </is>
      </c>
      <c r="H388" t="inlineStr">
        <is>
          <t>Debit Card</t>
        </is>
      </c>
      <c r="I388" t="inlineStr">
        <is>
          <t>Delivered</t>
        </is>
      </c>
      <c r="J388" t="n">
        <v>132</v>
      </c>
      <c r="K388" t="n">
        <v>1</v>
      </c>
      <c r="L388" s="7" t="n">
        <v>471</v>
      </c>
      <c r="M388" s="7" t="n">
        <v>47.1</v>
      </c>
    </row>
    <row r="389">
      <c r="A389" t="n">
        <v>509522</v>
      </c>
      <c r="B389" s="6" t="n">
        <v>45937</v>
      </c>
      <c r="C389" t="n">
        <v>15574</v>
      </c>
      <c r="D389" t="inlineStr">
        <is>
          <t>Chennai</t>
        </is>
      </c>
      <c r="E389" t="inlineStr">
        <is>
          <t>South</t>
        </is>
      </c>
      <c r="F389" t="inlineStr">
        <is>
          <t>Referral</t>
        </is>
      </c>
      <c r="G389" t="inlineStr">
        <is>
          <t>Mobile Web</t>
        </is>
      </c>
      <c r="H389" t="inlineStr">
        <is>
          <t>Debit Card</t>
        </is>
      </c>
      <c r="I389" t="inlineStr">
        <is>
          <t>Delivered</t>
        </is>
      </c>
      <c r="J389" t="n">
        <v>129</v>
      </c>
      <c r="K389" t="n">
        <v>1</v>
      </c>
      <c r="L389" s="7" t="n">
        <v>576</v>
      </c>
      <c r="M389" s="7" t="n">
        <v>57.6</v>
      </c>
    </row>
    <row r="390">
      <c r="A390" t="n">
        <v>509523</v>
      </c>
      <c r="B390" s="6" t="n">
        <v>45937</v>
      </c>
      <c r="C390" t="n">
        <v>15158</v>
      </c>
      <c r="D390" t="inlineStr">
        <is>
          <t>Delhi</t>
        </is>
      </c>
      <c r="E390" t="inlineStr">
        <is>
          <t>North</t>
        </is>
      </c>
      <c r="F390" t="inlineStr">
        <is>
          <t>Organic Search</t>
        </is>
      </c>
      <c r="G390" t="inlineStr">
        <is>
          <t>Mobile Web</t>
        </is>
      </c>
      <c r="H390" t="inlineStr">
        <is>
          <t>Debit Card</t>
        </is>
      </c>
      <c r="I390" t="inlineStr">
        <is>
          <t>Delivered</t>
        </is>
      </c>
      <c r="J390" t="n">
        <v>144</v>
      </c>
      <c r="K390" t="n">
        <v>1</v>
      </c>
      <c r="L390" s="7" t="n">
        <v>3149</v>
      </c>
      <c r="M390" s="7" t="n">
        <v>0</v>
      </c>
    </row>
    <row r="391">
      <c r="A391" t="n">
        <v>509524</v>
      </c>
      <c r="B391" s="6" t="n">
        <v>45937</v>
      </c>
      <c r="C391" t="n">
        <v>16685</v>
      </c>
      <c r="D391" t="inlineStr">
        <is>
          <t>Chandigarh</t>
        </is>
      </c>
      <c r="E391" t="inlineStr">
        <is>
          <t>North</t>
        </is>
      </c>
      <c r="F391" t="inlineStr">
        <is>
          <t>Email</t>
        </is>
      </c>
      <c r="G391" t="inlineStr">
        <is>
          <t>Mobile App</t>
        </is>
      </c>
      <c r="H391" t="inlineStr">
        <is>
          <t>Cash on Delivery</t>
        </is>
      </c>
      <c r="I391" t="inlineStr">
        <is>
          <t>Delivered</t>
        </is>
      </c>
      <c r="J391" t="n">
        <v>108</v>
      </c>
      <c r="K391" t="n">
        <v>1</v>
      </c>
      <c r="L391" s="7" t="n">
        <v>419</v>
      </c>
      <c r="M391" s="7" t="n">
        <v>0</v>
      </c>
    </row>
    <row r="392">
      <c r="A392" t="n">
        <v>509525</v>
      </c>
      <c r="B392" s="6" t="n">
        <v>45937</v>
      </c>
      <c r="C392" t="n">
        <v>14135</v>
      </c>
      <c r="D392" t="inlineStr">
        <is>
          <t>Noida</t>
        </is>
      </c>
      <c r="E392" t="inlineStr">
        <is>
          <t>North</t>
        </is>
      </c>
      <c r="F392" t="inlineStr">
        <is>
          <t>Paid Social</t>
        </is>
      </c>
      <c r="G392" t="inlineStr">
        <is>
          <t>Desktop</t>
        </is>
      </c>
      <c r="H392" t="inlineStr">
        <is>
          <t>UPI</t>
        </is>
      </c>
      <c r="I392" t="inlineStr">
        <is>
          <t>Cancelled</t>
        </is>
      </c>
      <c r="J392" t="n">
        <v>124</v>
      </c>
      <c r="K392" t="n">
        <v>1</v>
      </c>
      <c r="L392" s="7" t="n">
        <v>1154</v>
      </c>
      <c r="M392" s="7" t="n">
        <v>115.4</v>
      </c>
    </row>
    <row r="393">
      <c r="A393" t="n">
        <v>509525</v>
      </c>
      <c r="B393" s="6" t="n">
        <v>45937</v>
      </c>
      <c r="C393" t="n">
        <v>14135</v>
      </c>
      <c r="D393" t="inlineStr">
        <is>
          <t>Noida</t>
        </is>
      </c>
      <c r="E393" t="inlineStr">
        <is>
          <t>North</t>
        </is>
      </c>
      <c r="F393" t="inlineStr">
        <is>
          <t>Paid Social</t>
        </is>
      </c>
      <c r="G393" t="inlineStr">
        <is>
          <t>Desktop</t>
        </is>
      </c>
      <c r="H393" t="inlineStr">
        <is>
          <t>UPI</t>
        </is>
      </c>
      <c r="I393" t="inlineStr">
        <is>
          <t>Cancelled</t>
        </is>
      </c>
      <c r="J393" t="n">
        <v>130</v>
      </c>
      <c r="K393" t="n">
        <v>1</v>
      </c>
      <c r="L393" s="7" t="n">
        <v>734</v>
      </c>
      <c r="M393" s="7" t="n">
        <v>73.40000000000001</v>
      </c>
    </row>
    <row r="394">
      <c r="A394" t="n">
        <v>509526</v>
      </c>
      <c r="B394" s="6" t="n">
        <v>45937</v>
      </c>
      <c r="C394" t="n">
        <v>10831</v>
      </c>
      <c r="D394" t="inlineStr">
        <is>
          <t>Ahmedabad</t>
        </is>
      </c>
      <c r="E394" t="inlineStr">
        <is>
          <t>West</t>
        </is>
      </c>
      <c r="F394" t="inlineStr">
        <is>
          <t>Email</t>
        </is>
      </c>
      <c r="G394" t="inlineStr">
        <is>
          <t>Desktop</t>
        </is>
      </c>
      <c r="H394" t="inlineStr">
        <is>
          <t>Cash on Delivery</t>
        </is>
      </c>
      <c r="I394" t="inlineStr">
        <is>
          <t>Delivered</t>
        </is>
      </c>
      <c r="J394" t="n">
        <v>120</v>
      </c>
      <c r="K394" t="n">
        <v>1</v>
      </c>
      <c r="L394" s="7" t="n">
        <v>734</v>
      </c>
      <c r="M394" s="7" t="n">
        <v>73.40000000000001</v>
      </c>
    </row>
    <row r="395">
      <c r="A395" t="n">
        <v>509526</v>
      </c>
      <c r="B395" s="6" t="n">
        <v>45937</v>
      </c>
      <c r="C395" t="n">
        <v>10831</v>
      </c>
      <c r="D395" t="inlineStr">
        <is>
          <t>Ahmedabad</t>
        </is>
      </c>
      <c r="E395" t="inlineStr">
        <is>
          <t>West</t>
        </is>
      </c>
      <c r="F395" t="inlineStr">
        <is>
          <t>Email</t>
        </is>
      </c>
      <c r="G395" t="inlineStr">
        <is>
          <t>Desktop</t>
        </is>
      </c>
      <c r="H395" t="inlineStr">
        <is>
          <t>Cash on Delivery</t>
        </is>
      </c>
      <c r="I395" t="inlineStr">
        <is>
          <t>Delivered</t>
        </is>
      </c>
      <c r="J395" t="n">
        <v>137</v>
      </c>
      <c r="K395" t="n">
        <v>3</v>
      </c>
      <c r="L395" s="7" t="n">
        <v>261</v>
      </c>
      <c r="M395" s="7" t="n">
        <v>78.3</v>
      </c>
    </row>
    <row r="396">
      <c r="A396" t="n">
        <v>509527</v>
      </c>
      <c r="B396" s="6" t="n">
        <v>45937</v>
      </c>
      <c r="C396" t="n">
        <v>16405</v>
      </c>
      <c r="D396" t="inlineStr">
        <is>
          <t>Hyderabad</t>
        </is>
      </c>
      <c r="E396" t="inlineStr">
        <is>
          <t>South</t>
        </is>
      </c>
      <c r="F396" t="inlineStr">
        <is>
          <t>Organic Search</t>
        </is>
      </c>
      <c r="G396" t="inlineStr">
        <is>
          <t>Mobile App</t>
        </is>
      </c>
      <c r="H396" t="inlineStr">
        <is>
          <t>UPI</t>
        </is>
      </c>
      <c r="I396" t="inlineStr">
        <is>
          <t>Delivered</t>
        </is>
      </c>
      <c r="J396" t="n">
        <v>102</v>
      </c>
      <c r="K396" t="n">
        <v>1</v>
      </c>
      <c r="L396" s="7" t="n">
        <v>3674</v>
      </c>
      <c r="M396" s="7" t="n">
        <v>0</v>
      </c>
    </row>
    <row r="397">
      <c r="A397" t="n">
        <v>509528</v>
      </c>
      <c r="B397" s="6" t="n">
        <v>45937</v>
      </c>
      <c r="C397" t="n">
        <v>16497</v>
      </c>
      <c r="D397" t="inlineStr">
        <is>
          <t>Lucknow</t>
        </is>
      </c>
      <c r="E397" t="inlineStr">
        <is>
          <t>North</t>
        </is>
      </c>
      <c r="F397" t="inlineStr">
        <is>
          <t>Organic Search</t>
        </is>
      </c>
      <c r="G397" t="inlineStr">
        <is>
          <t>Mobile App</t>
        </is>
      </c>
      <c r="H397" t="inlineStr">
        <is>
          <t>UPI</t>
        </is>
      </c>
      <c r="I397" t="inlineStr">
        <is>
          <t>Delivered</t>
        </is>
      </c>
      <c r="J397" t="n">
        <v>124</v>
      </c>
      <c r="K397" t="n">
        <v>1</v>
      </c>
      <c r="L397" s="7" t="n">
        <v>1154</v>
      </c>
      <c r="M397" s="7" t="n">
        <v>173.1</v>
      </c>
    </row>
    <row r="398">
      <c r="A398" t="n">
        <v>509529</v>
      </c>
      <c r="B398" s="6" t="n">
        <v>45937</v>
      </c>
      <c r="C398" t="n">
        <v>16669</v>
      </c>
      <c r="D398" t="inlineStr">
        <is>
          <t>Kochi</t>
        </is>
      </c>
      <c r="E398" t="inlineStr">
        <is>
          <t>South</t>
        </is>
      </c>
      <c r="F398" t="inlineStr">
        <is>
          <t>Paid Social</t>
        </is>
      </c>
      <c r="G398" t="inlineStr">
        <is>
          <t>Mobile App</t>
        </is>
      </c>
      <c r="H398" t="inlineStr">
        <is>
          <t>UPI</t>
        </is>
      </c>
      <c r="I398" t="inlineStr">
        <is>
          <t>Delivered</t>
        </is>
      </c>
      <c r="J398" t="n">
        <v>124</v>
      </c>
      <c r="K398" t="n">
        <v>1</v>
      </c>
      <c r="L398" s="7" t="n">
        <v>1154</v>
      </c>
      <c r="M398" s="7" t="n">
        <v>173.1</v>
      </c>
    </row>
    <row r="399">
      <c r="A399" t="n">
        <v>509530</v>
      </c>
      <c r="B399" s="6" t="n">
        <v>45937</v>
      </c>
      <c r="C399" t="n">
        <v>10195</v>
      </c>
      <c r="D399" t="inlineStr">
        <is>
          <t>Delhi</t>
        </is>
      </c>
      <c r="E399" t="inlineStr">
        <is>
          <t>North</t>
        </is>
      </c>
      <c r="F399" t="inlineStr">
        <is>
          <t>Referral</t>
        </is>
      </c>
      <c r="G399" t="inlineStr">
        <is>
          <t>Desktop</t>
        </is>
      </c>
      <c r="H399" t="inlineStr">
        <is>
          <t>UPI</t>
        </is>
      </c>
      <c r="I399" t="inlineStr">
        <is>
          <t>Delivered</t>
        </is>
      </c>
      <c r="J399" t="n">
        <v>119</v>
      </c>
      <c r="K399" t="n">
        <v>1</v>
      </c>
      <c r="L399" s="7" t="n">
        <v>2309</v>
      </c>
      <c r="M399" s="7" t="n">
        <v>230.9</v>
      </c>
    </row>
    <row r="400">
      <c r="A400" t="n">
        <v>509531</v>
      </c>
      <c r="B400" s="6" t="n">
        <v>45937</v>
      </c>
      <c r="C400" t="n">
        <v>16597</v>
      </c>
      <c r="D400" t="inlineStr">
        <is>
          <t>Delhi</t>
        </is>
      </c>
      <c r="E400" t="inlineStr">
        <is>
          <t>North</t>
        </is>
      </c>
      <c r="F400" t="inlineStr">
        <is>
          <t>Affiliate</t>
        </is>
      </c>
      <c r="G400" t="inlineStr">
        <is>
          <t>Mobile Web</t>
        </is>
      </c>
      <c r="H400" t="inlineStr">
        <is>
          <t>Cash on Delivery</t>
        </is>
      </c>
      <c r="I400" t="inlineStr">
        <is>
          <t>Delivered</t>
        </is>
      </c>
      <c r="J400" t="n">
        <v>108</v>
      </c>
      <c r="K400" t="n">
        <v>1</v>
      </c>
      <c r="L400" s="7" t="n">
        <v>419</v>
      </c>
      <c r="M400" s="7" t="n">
        <v>62.85</v>
      </c>
    </row>
    <row r="401">
      <c r="A401" t="n">
        <v>509531</v>
      </c>
      <c r="B401" s="6" t="n">
        <v>45937</v>
      </c>
      <c r="C401" t="n">
        <v>16597</v>
      </c>
      <c r="D401" t="inlineStr">
        <is>
          <t>Delhi</t>
        </is>
      </c>
      <c r="E401" t="inlineStr">
        <is>
          <t>North</t>
        </is>
      </c>
      <c r="F401" t="inlineStr">
        <is>
          <t>Affiliate</t>
        </is>
      </c>
      <c r="G401" t="inlineStr">
        <is>
          <t>Mobile Web</t>
        </is>
      </c>
      <c r="H401" t="inlineStr">
        <is>
          <t>Cash on Delivery</t>
        </is>
      </c>
      <c r="I401" t="inlineStr">
        <is>
          <t>Delivered</t>
        </is>
      </c>
      <c r="J401" t="n">
        <v>119</v>
      </c>
      <c r="K401" t="n">
        <v>1</v>
      </c>
      <c r="L401" s="7" t="n">
        <v>2309</v>
      </c>
      <c r="M401" s="7" t="n">
        <v>346.35</v>
      </c>
    </row>
    <row r="402">
      <c r="A402" t="n">
        <v>509531</v>
      </c>
      <c r="B402" s="6" t="n">
        <v>45937</v>
      </c>
      <c r="C402" t="n">
        <v>16597</v>
      </c>
      <c r="D402" t="inlineStr">
        <is>
          <t>Delhi</t>
        </is>
      </c>
      <c r="E402" t="inlineStr">
        <is>
          <t>North</t>
        </is>
      </c>
      <c r="F402" t="inlineStr">
        <is>
          <t>Affiliate</t>
        </is>
      </c>
      <c r="G402" t="inlineStr">
        <is>
          <t>Mobile Web</t>
        </is>
      </c>
      <c r="H402" t="inlineStr">
        <is>
          <t>Cash on Delivery</t>
        </is>
      </c>
      <c r="I402" t="inlineStr">
        <is>
          <t>Delivered</t>
        </is>
      </c>
      <c r="J402" t="n">
        <v>138</v>
      </c>
      <c r="K402" t="n">
        <v>1</v>
      </c>
      <c r="L402" s="7" t="n">
        <v>419</v>
      </c>
      <c r="M402" s="7" t="n">
        <v>62.85</v>
      </c>
    </row>
    <row r="403">
      <c r="A403" t="n">
        <v>509531</v>
      </c>
      <c r="B403" s="6" t="n">
        <v>45937</v>
      </c>
      <c r="C403" t="n">
        <v>16597</v>
      </c>
      <c r="D403" t="inlineStr">
        <is>
          <t>Delhi</t>
        </is>
      </c>
      <c r="E403" t="inlineStr">
        <is>
          <t>North</t>
        </is>
      </c>
      <c r="F403" t="inlineStr">
        <is>
          <t>Affiliate</t>
        </is>
      </c>
      <c r="G403" t="inlineStr">
        <is>
          <t>Mobile Web</t>
        </is>
      </c>
      <c r="H403" t="inlineStr">
        <is>
          <t>Cash on Delivery</t>
        </is>
      </c>
      <c r="I403" t="inlineStr">
        <is>
          <t>Delivered</t>
        </is>
      </c>
      <c r="J403" t="n">
        <v>129</v>
      </c>
      <c r="K403" t="n">
        <v>1</v>
      </c>
      <c r="L403" s="7" t="n">
        <v>576</v>
      </c>
      <c r="M403" s="7" t="n">
        <v>86.40000000000001</v>
      </c>
    </row>
    <row r="404">
      <c r="A404" t="n">
        <v>509532</v>
      </c>
      <c r="B404" s="6" t="n">
        <v>45937</v>
      </c>
      <c r="C404" t="n">
        <v>12652</v>
      </c>
      <c r="D404" t="inlineStr">
        <is>
          <t>Bengaluru</t>
        </is>
      </c>
      <c r="E404" t="inlineStr">
        <is>
          <t>South</t>
        </is>
      </c>
      <c r="F404" t="inlineStr">
        <is>
          <t>Referral</t>
        </is>
      </c>
      <c r="G404" t="inlineStr">
        <is>
          <t>Desktop</t>
        </is>
      </c>
      <c r="H404" t="inlineStr">
        <is>
          <t>Debit Card</t>
        </is>
      </c>
      <c r="I404" t="inlineStr">
        <is>
          <t>Delivered</t>
        </is>
      </c>
      <c r="J404" t="n">
        <v>130</v>
      </c>
      <c r="K404" t="n">
        <v>1</v>
      </c>
      <c r="L404" s="7" t="n">
        <v>734</v>
      </c>
      <c r="M404" s="7" t="n">
        <v>73.40000000000001</v>
      </c>
    </row>
    <row r="405">
      <c r="A405" t="n">
        <v>509532</v>
      </c>
      <c r="B405" s="6" t="n">
        <v>45937</v>
      </c>
      <c r="C405" t="n">
        <v>12652</v>
      </c>
      <c r="D405" t="inlineStr">
        <is>
          <t>Bengaluru</t>
        </is>
      </c>
      <c r="E405" t="inlineStr">
        <is>
          <t>South</t>
        </is>
      </c>
      <c r="F405" t="inlineStr">
        <is>
          <t>Referral</t>
        </is>
      </c>
      <c r="G405" t="inlineStr">
        <is>
          <t>Desktop</t>
        </is>
      </c>
      <c r="H405" t="inlineStr">
        <is>
          <t>Debit Card</t>
        </is>
      </c>
      <c r="I405" t="inlineStr">
        <is>
          <t>Delivered</t>
        </is>
      </c>
      <c r="J405" t="n">
        <v>109</v>
      </c>
      <c r="K405" t="n">
        <v>1</v>
      </c>
      <c r="L405" s="7" t="n">
        <v>4199</v>
      </c>
      <c r="M405" s="7" t="n">
        <v>419.9</v>
      </c>
    </row>
    <row r="406">
      <c r="A406" t="n">
        <v>509533</v>
      </c>
      <c r="B406" s="6" t="n">
        <v>45937</v>
      </c>
      <c r="C406" t="n">
        <v>16661</v>
      </c>
      <c r="D406" t="inlineStr">
        <is>
          <t>Mumbai</t>
        </is>
      </c>
      <c r="E406" t="inlineStr">
        <is>
          <t>West</t>
        </is>
      </c>
      <c r="F406" t="inlineStr">
        <is>
          <t>Paid Search</t>
        </is>
      </c>
      <c r="G406" t="inlineStr">
        <is>
          <t>Mobile App</t>
        </is>
      </c>
      <c r="H406" t="inlineStr">
        <is>
          <t>UPI</t>
        </is>
      </c>
      <c r="I406" t="inlineStr">
        <is>
          <t>Delivered</t>
        </is>
      </c>
      <c r="J406" t="n">
        <v>119</v>
      </c>
      <c r="K406" t="n">
        <v>1</v>
      </c>
      <c r="L406" s="7" t="n">
        <v>2309</v>
      </c>
      <c r="M406" s="7" t="n">
        <v>230.9</v>
      </c>
    </row>
    <row r="407">
      <c r="A407" t="n">
        <v>509533</v>
      </c>
      <c r="B407" s="6" t="n">
        <v>45937</v>
      </c>
      <c r="C407" t="n">
        <v>16661</v>
      </c>
      <c r="D407" t="inlineStr">
        <is>
          <t>Mumbai</t>
        </is>
      </c>
      <c r="E407" t="inlineStr">
        <is>
          <t>West</t>
        </is>
      </c>
      <c r="F407" t="inlineStr">
        <is>
          <t>Paid Search</t>
        </is>
      </c>
      <c r="G407" t="inlineStr">
        <is>
          <t>Mobile App</t>
        </is>
      </c>
      <c r="H407" t="inlineStr">
        <is>
          <t>UPI</t>
        </is>
      </c>
      <c r="I407" t="inlineStr">
        <is>
          <t>Delivered</t>
        </is>
      </c>
      <c r="J407" t="n">
        <v>135</v>
      </c>
      <c r="K407" t="n">
        <v>1</v>
      </c>
      <c r="L407" s="7" t="n">
        <v>1574</v>
      </c>
      <c r="M407" s="7" t="n">
        <v>157.4</v>
      </c>
    </row>
    <row r="408">
      <c r="A408" t="n">
        <v>509534</v>
      </c>
      <c r="B408" s="6" t="n">
        <v>45937</v>
      </c>
      <c r="C408" t="n">
        <v>16165</v>
      </c>
      <c r="D408" t="inlineStr">
        <is>
          <t>Bengaluru</t>
        </is>
      </c>
      <c r="E408" t="inlineStr">
        <is>
          <t>South</t>
        </is>
      </c>
      <c r="F408" t="inlineStr">
        <is>
          <t>Referral</t>
        </is>
      </c>
      <c r="G408" t="inlineStr">
        <is>
          <t>Mobile App</t>
        </is>
      </c>
      <c r="H408" t="inlineStr">
        <is>
          <t>Cash on Delivery</t>
        </is>
      </c>
      <c r="I408" t="inlineStr">
        <is>
          <t>Cancelled</t>
        </is>
      </c>
      <c r="J408" t="n">
        <v>130</v>
      </c>
      <c r="K408" t="n">
        <v>2</v>
      </c>
      <c r="L408" s="7" t="n">
        <v>734</v>
      </c>
      <c r="M408" s="7" t="n">
        <v>146.8</v>
      </c>
    </row>
    <row r="409">
      <c r="A409" t="n">
        <v>509535</v>
      </c>
      <c r="B409" s="6" t="n">
        <v>45937</v>
      </c>
      <c r="C409" t="n">
        <v>11468</v>
      </c>
      <c r="D409" t="inlineStr">
        <is>
          <t>Chandigarh</t>
        </is>
      </c>
      <c r="E409" t="inlineStr">
        <is>
          <t>North</t>
        </is>
      </c>
      <c r="F409" t="inlineStr">
        <is>
          <t>Paid Search</t>
        </is>
      </c>
      <c r="G409" t="inlineStr">
        <is>
          <t>Mobile Web</t>
        </is>
      </c>
      <c r="H409" t="inlineStr">
        <is>
          <t>UPI</t>
        </is>
      </c>
      <c r="I409" t="inlineStr">
        <is>
          <t>Delivered</t>
        </is>
      </c>
      <c r="J409" t="n">
        <v>106</v>
      </c>
      <c r="K409" t="n">
        <v>2</v>
      </c>
      <c r="L409" s="7" t="n">
        <v>1574</v>
      </c>
      <c r="M409" s="7" t="n">
        <v>157.4</v>
      </c>
    </row>
    <row r="410">
      <c r="A410" t="n">
        <v>509536</v>
      </c>
      <c r="B410" s="6" t="n">
        <v>45937</v>
      </c>
      <c r="C410" t="n">
        <v>14614</v>
      </c>
      <c r="D410" t="inlineStr">
        <is>
          <t>Bengaluru</t>
        </is>
      </c>
      <c r="E410" t="inlineStr">
        <is>
          <t>South</t>
        </is>
      </c>
      <c r="F410" t="inlineStr">
        <is>
          <t>Paid Search</t>
        </is>
      </c>
      <c r="G410" t="inlineStr">
        <is>
          <t>Mobile App</t>
        </is>
      </c>
      <c r="H410" t="inlineStr">
        <is>
          <t>Debit Card</t>
        </is>
      </c>
      <c r="I410" t="inlineStr">
        <is>
          <t>Delivered</t>
        </is>
      </c>
      <c r="J410" t="n">
        <v>116</v>
      </c>
      <c r="K410" t="n">
        <v>1</v>
      </c>
      <c r="L410" s="7" t="n">
        <v>2624</v>
      </c>
      <c r="M410" s="7" t="n">
        <v>262.4</v>
      </c>
    </row>
    <row r="411">
      <c r="A411" t="n">
        <v>509536</v>
      </c>
      <c r="B411" s="6" t="n">
        <v>45937</v>
      </c>
      <c r="C411" t="n">
        <v>14614</v>
      </c>
      <c r="D411" t="inlineStr">
        <is>
          <t>Bengaluru</t>
        </is>
      </c>
      <c r="E411" t="inlineStr">
        <is>
          <t>South</t>
        </is>
      </c>
      <c r="F411" t="inlineStr">
        <is>
          <t>Paid Search</t>
        </is>
      </c>
      <c r="G411" t="inlineStr">
        <is>
          <t>Mobile App</t>
        </is>
      </c>
      <c r="H411" t="inlineStr">
        <is>
          <t>Debit Card</t>
        </is>
      </c>
      <c r="I411" t="inlineStr">
        <is>
          <t>Delivered</t>
        </is>
      </c>
      <c r="J411" t="n">
        <v>107</v>
      </c>
      <c r="K411" t="n">
        <v>1</v>
      </c>
      <c r="L411" s="7" t="n">
        <v>1259</v>
      </c>
      <c r="M411" s="7" t="n">
        <v>125.9</v>
      </c>
    </row>
    <row r="412">
      <c r="A412" t="n">
        <v>509536</v>
      </c>
      <c r="B412" s="6" t="n">
        <v>45937</v>
      </c>
      <c r="C412" t="n">
        <v>14614</v>
      </c>
      <c r="D412" t="inlineStr">
        <is>
          <t>Bengaluru</t>
        </is>
      </c>
      <c r="E412" t="inlineStr">
        <is>
          <t>South</t>
        </is>
      </c>
      <c r="F412" t="inlineStr">
        <is>
          <t>Paid Search</t>
        </is>
      </c>
      <c r="G412" t="inlineStr">
        <is>
          <t>Mobile App</t>
        </is>
      </c>
      <c r="H412" t="inlineStr">
        <is>
          <t>Debit Card</t>
        </is>
      </c>
      <c r="I412" t="inlineStr">
        <is>
          <t>Delivered</t>
        </is>
      </c>
      <c r="J412" t="n">
        <v>117</v>
      </c>
      <c r="K412" t="n">
        <v>3</v>
      </c>
      <c r="L412" s="7" t="n">
        <v>3149</v>
      </c>
      <c r="M412" s="7" t="n">
        <v>944.7</v>
      </c>
    </row>
    <row r="413">
      <c r="A413" t="n">
        <v>509536</v>
      </c>
      <c r="B413" s="6" t="n">
        <v>45937</v>
      </c>
      <c r="C413" t="n">
        <v>14614</v>
      </c>
      <c r="D413" t="inlineStr">
        <is>
          <t>Bengaluru</t>
        </is>
      </c>
      <c r="E413" t="inlineStr">
        <is>
          <t>South</t>
        </is>
      </c>
      <c r="F413" t="inlineStr">
        <is>
          <t>Paid Search</t>
        </is>
      </c>
      <c r="G413" t="inlineStr">
        <is>
          <t>Mobile App</t>
        </is>
      </c>
      <c r="H413" t="inlineStr">
        <is>
          <t>Debit Card</t>
        </is>
      </c>
      <c r="I413" t="inlineStr">
        <is>
          <t>Delivered</t>
        </is>
      </c>
      <c r="J413" t="n">
        <v>140</v>
      </c>
      <c r="K413" t="n">
        <v>1</v>
      </c>
      <c r="L413" s="7" t="n">
        <v>629</v>
      </c>
      <c r="M413" s="7" t="n">
        <v>62.9</v>
      </c>
    </row>
    <row r="414">
      <c r="A414" t="n">
        <v>509537</v>
      </c>
      <c r="B414" s="6" t="n">
        <v>45937</v>
      </c>
      <c r="C414" t="n">
        <v>16651</v>
      </c>
      <c r="D414" t="inlineStr">
        <is>
          <t>Chandigarh</t>
        </is>
      </c>
      <c r="E414" t="inlineStr">
        <is>
          <t>North</t>
        </is>
      </c>
      <c r="F414" t="inlineStr">
        <is>
          <t>Paid Search</t>
        </is>
      </c>
      <c r="G414" t="inlineStr">
        <is>
          <t>Mobile App</t>
        </is>
      </c>
      <c r="H414" t="inlineStr">
        <is>
          <t>UPI</t>
        </is>
      </c>
      <c r="I414" t="inlineStr">
        <is>
          <t>Delivered</t>
        </is>
      </c>
      <c r="J414" t="n">
        <v>116</v>
      </c>
      <c r="K414" t="n">
        <v>2</v>
      </c>
      <c r="L414" s="7" t="n">
        <v>2624</v>
      </c>
      <c r="M414" s="7" t="n">
        <v>524.8</v>
      </c>
    </row>
    <row r="415">
      <c r="A415" t="n">
        <v>509537</v>
      </c>
      <c r="B415" s="6" t="n">
        <v>45937</v>
      </c>
      <c r="C415" t="n">
        <v>16651</v>
      </c>
      <c r="D415" t="inlineStr">
        <is>
          <t>Chandigarh</t>
        </is>
      </c>
      <c r="E415" t="inlineStr">
        <is>
          <t>North</t>
        </is>
      </c>
      <c r="F415" t="inlineStr">
        <is>
          <t>Paid Search</t>
        </is>
      </c>
      <c r="G415" t="inlineStr">
        <is>
          <t>Mobile App</t>
        </is>
      </c>
      <c r="H415" t="inlineStr">
        <is>
          <t>UPI</t>
        </is>
      </c>
      <c r="I415" t="inlineStr">
        <is>
          <t>Delivered</t>
        </is>
      </c>
      <c r="J415" t="n">
        <v>102</v>
      </c>
      <c r="K415" t="n">
        <v>1</v>
      </c>
      <c r="L415" s="7" t="n">
        <v>3674</v>
      </c>
      <c r="M415" s="7" t="n">
        <v>367.4</v>
      </c>
    </row>
    <row r="416">
      <c r="A416" t="n">
        <v>509537</v>
      </c>
      <c r="B416" s="6" t="n">
        <v>45937</v>
      </c>
      <c r="C416" t="n">
        <v>16651</v>
      </c>
      <c r="D416" t="inlineStr">
        <is>
          <t>Chandigarh</t>
        </is>
      </c>
      <c r="E416" t="inlineStr">
        <is>
          <t>North</t>
        </is>
      </c>
      <c r="F416" t="inlineStr">
        <is>
          <t>Paid Search</t>
        </is>
      </c>
      <c r="G416" t="inlineStr">
        <is>
          <t>Mobile App</t>
        </is>
      </c>
      <c r="H416" t="inlineStr">
        <is>
          <t>UPI</t>
        </is>
      </c>
      <c r="I416" t="inlineStr">
        <is>
          <t>Delivered</t>
        </is>
      </c>
      <c r="J416" t="n">
        <v>129</v>
      </c>
      <c r="K416" t="n">
        <v>2</v>
      </c>
      <c r="L416" s="7" t="n">
        <v>576</v>
      </c>
      <c r="M416" s="7" t="n">
        <v>115.2</v>
      </c>
    </row>
    <row r="417">
      <c r="A417" t="n">
        <v>509538</v>
      </c>
      <c r="B417" s="6" t="n">
        <v>45937</v>
      </c>
      <c r="C417" t="n">
        <v>16680</v>
      </c>
      <c r="D417" t="inlineStr">
        <is>
          <t>Chennai</t>
        </is>
      </c>
      <c r="E417" t="inlineStr">
        <is>
          <t>South</t>
        </is>
      </c>
      <c r="F417" t="inlineStr">
        <is>
          <t>Paid Search</t>
        </is>
      </c>
      <c r="G417" t="inlineStr">
        <is>
          <t>Desktop</t>
        </is>
      </c>
      <c r="H417" t="inlineStr">
        <is>
          <t>Credit Card</t>
        </is>
      </c>
      <c r="I417" t="inlineStr">
        <is>
          <t>Delivered</t>
        </is>
      </c>
      <c r="J417" t="n">
        <v>134</v>
      </c>
      <c r="K417" t="n">
        <v>1</v>
      </c>
      <c r="L417" s="7" t="n">
        <v>209</v>
      </c>
      <c r="M417" s="7" t="n">
        <v>20.9</v>
      </c>
    </row>
    <row r="418">
      <c r="A418" t="n">
        <v>509539</v>
      </c>
      <c r="B418" s="6" t="n">
        <v>45937</v>
      </c>
      <c r="C418" t="n">
        <v>12623</v>
      </c>
      <c r="D418" t="inlineStr">
        <is>
          <t>Jaipur</t>
        </is>
      </c>
      <c r="E418" t="inlineStr">
        <is>
          <t>North</t>
        </is>
      </c>
      <c r="F418" t="inlineStr">
        <is>
          <t>Referral</t>
        </is>
      </c>
      <c r="G418" t="inlineStr">
        <is>
          <t>Mobile App</t>
        </is>
      </c>
      <c r="H418" t="inlineStr">
        <is>
          <t>Credit Card</t>
        </is>
      </c>
      <c r="I418" t="inlineStr">
        <is>
          <t>Delivered</t>
        </is>
      </c>
      <c r="J418" t="n">
        <v>123</v>
      </c>
      <c r="K418" t="n">
        <v>1</v>
      </c>
      <c r="L418" s="7" t="n">
        <v>3464</v>
      </c>
      <c r="M418" s="7" t="n">
        <v>346.4</v>
      </c>
    </row>
    <row r="419">
      <c r="A419" t="n">
        <v>509539</v>
      </c>
      <c r="B419" s="6" t="n">
        <v>45937</v>
      </c>
      <c r="C419" t="n">
        <v>12623</v>
      </c>
      <c r="D419" t="inlineStr">
        <is>
          <t>Jaipur</t>
        </is>
      </c>
      <c r="E419" t="inlineStr">
        <is>
          <t>North</t>
        </is>
      </c>
      <c r="F419" t="inlineStr">
        <is>
          <t>Referral</t>
        </is>
      </c>
      <c r="G419" t="inlineStr">
        <is>
          <t>Mobile App</t>
        </is>
      </c>
      <c r="H419" t="inlineStr">
        <is>
          <t>Credit Card</t>
        </is>
      </c>
      <c r="I419" t="inlineStr">
        <is>
          <t>Delivered</t>
        </is>
      </c>
      <c r="J419" t="n">
        <v>129</v>
      </c>
      <c r="K419" t="n">
        <v>2</v>
      </c>
      <c r="L419" s="7" t="n">
        <v>576</v>
      </c>
      <c r="M419" s="7" t="n">
        <v>115.2</v>
      </c>
    </row>
    <row r="420">
      <c r="A420" t="n">
        <v>509540</v>
      </c>
      <c r="B420" s="6" t="n">
        <v>45937</v>
      </c>
      <c r="C420" t="n">
        <v>12660</v>
      </c>
      <c r="D420" t="inlineStr">
        <is>
          <t>Mumbai</t>
        </is>
      </c>
      <c r="E420" t="inlineStr">
        <is>
          <t>West</t>
        </is>
      </c>
      <c r="F420" t="inlineStr">
        <is>
          <t>Organic Search</t>
        </is>
      </c>
      <c r="G420" t="inlineStr">
        <is>
          <t>Mobile App</t>
        </is>
      </c>
      <c r="H420" t="inlineStr">
        <is>
          <t>UPI</t>
        </is>
      </c>
      <c r="I420" t="inlineStr">
        <is>
          <t>Delivered</t>
        </is>
      </c>
      <c r="J420" t="n">
        <v>103</v>
      </c>
      <c r="K420" t="n">
        <v>1</v>
      </c>
      <c r="L420" s="7" t="n">
        <v>2624</v>
      </c>
      <c r="M420" s="7" t="n">
        <v>262.4</v>
      </c>
    </row>
    <row r="421">
      <c r="A421" t="n">
        <v>509540</v>
      </c>
      <c r="B421" s="6" t="n">
        <v>45937</v>
      </c>
      <c r="C421" t="n">
        <v>12660</v>
      </c>
      <c r="D421" t="inlineStr">
        <is>
          <t>Mumbai</t>
        </is>
      </c>
      <c r="E421" t="inlineStr">
        <is>
          <t>West</t>
        </is>
      </c>
      <c r="F421" t="inlineStr">
        <is>
          <t>Organic Search</t>
        </is>
      </c>
      <c r="G421" t="inlineStr">
        <is>
          <t>Mobile App</t>
        </is>
      </c>
      <c r="H421" t="inlineStr">
        <is>
          <t>UPI</t>
        </is>
      </c>
      <c r="I421" t="inlineStr">
        <is>
          <t>Delivered</t>
        </is>
      </c>
      <c r="J421" t="n">
        <v>140</v>
      </c>
      <c r="K421" t="n">
        <v>1</v>
      </c>
      <c r="L421" s="7" t="n">
        <v>629</v>
      </c>
      <c r="M421" s="7" t="n">
        <v>62.9</v>
      </c>
    </row>
    <row r="422">
      <c r="A422" t="n">
        <v>509541</v>
      </c>
      <c r="B422" s="6" t="n">
        <v>45937</v>
      </c>
      <c r="C422" t="n">
        <v>16595</v>
      </c>
      <c r="D422" t="inlineStr">
        <is>
          <t>Delhi</t>
        </is>
      </c>
      <c r="E422" t="inlineStr">
        <is>
          <t>North</t>
        </is>
      </c>
      <c r="F422" t="inlineStr">
        <is>
          <t>Paid Search</t>
        </is>
      </c>
      <c r="G422" t="inlineStr">
        <is>
          <t>Mobile App</t>
        </is>
      </c>
      <c r="H422" t="inlineStr">
        <is>
          <t>UPI</t>
        </is>
      </c>
      <c r="I422" t="inlineStr">
        <is>
          <t>Delivered</t>
        </is>
      </c>
      <c r="J422" t="n">
        <v>104</v>
      </c>
      <c r="K422" t="n">
        <v>2</v>
      </c>
      <c r="L422" s="7" t="n">
        <v>5249</v>
      </c>
      <c r="M422" s="7" t="n">
        <v>1049.8</v>
      </c>
    </row>
    <row r="423">
      <c r="A423" t="n">
        <v>509541</v>
      </c>
      <c r="B423" s="6" t="n">
        <v>45937</v>
      </c>
      <c r="C423" t="n">
        <v>16595</v>
      </c>
      <c r="D423" t="inlineStr">
        <is>
          <t>Delhi</t>
        </is>
      </c>
      <c r="E423" t="inlineStr">
        <is>
          <t>North</t>
        </is>
      </c>
      <c r="F423" t="inlineStr">
        <is>
          <t>Paid Search</t>
        </is>
      </c>
      <c r="G423" t="inlineStr">
        <is>
          <t>Mobile App</t>
        </is>
      </c>
      <c r="H423" t="inlineStr">
        <is>
          <t>UPI</t>
        </is>
      </c>
      <c r="I423" t="inlineStr">
        <is>
          <t>Delivered</t>
        </is>
      </c>
      <c r="J423" t="n">
        <v>129</v>
      </c>
      <c r="K423" t="n">
        <v>1</v>
      </c>
      <c r="L423" s="7" t="n">
        <v>576</v>
      </c>
      <c r="M423" s="7" t="n">
        <v>57.6</v>
      </c>
    </row>
    <row r="424">
      <c r="A424" t="n">
        <v>509542</v>
      </c>
      <c r="B424" s="6" t="n">
        <v>45937</v>
      </c>
      <c r="C424" t="n">
        <v>16641</v>
      </c>
      <c r="D424" t="inlineStr">
        <is>
          <t>Mumbai</t>
        </is>
      </c>
      <c r="E424" t="inlineStr">
        <is>
          <t>West</t>
        </is>
      </c>
      <c r="F424" t="inlineStr">
        <is>
          <t>Paid Search</t>
        </is>
      </c>
      <c r="G424" t="inlineStr">
        <is>
          <t>Desktop</t>
        </is>
      </c>
      <c r="H424" t="inlineStr">
        <is>
          <t>Credit Card</t>
        </is>
      </c>
      <c r="I424" t="inlineStr">
        <is>
          <t>Delivered</t>
        </is>
      </c>
      <c r="J424" t="n">
        <v>112</v>
      </c>
      <c r="K424" t="n">
        <v>1</v>
      </c>
      <c r="L424" s="7" t="n">
        <v>1574</v>
      </c>
      <c r="M424" s="7" t="n">
        <v>0</v>
      </c>
    </row>
    <row r="425">
      <c r="A425" t="n">
        <v>509543</v>
      </c>
      <c r="B425" s="6" t="n">
        <v>45937</v>
      </c>
      <c r="C425" t="n">
        <v>14753</v>
      </c>
      <c r="D425" t="inlineStr">
        <is>
          <t>Lucknow</t>
        </is>
      </c>
      <c r="E425" t="inlineStr">
        <is>
          <t>North</t>
        </is>
      </c>
      <c r="F425" t="inlineStr">
        <is>
          <t>Paid Search</t>
        </is>
      </c>
      <c r="G425" t="inlineStr">
        <is>
          <t>Mobile App</t>
        </is>
      </c>
      <c r="H425" t="inlineStr">
        <is>
          <t>UPI</t>
        </is>
      </c>
      <c r="I425" t="inlineStr">
        <is>
          <t>Delivered</t>
        </is>
      </c>
      <c r="J425" t="n">
        <v>138</v>
      </c>
      <c r="K425" t="n">
        <v>1</v>
      </c>
      <c r="L425" s="7" t="n">
        <v>419</v>
      </c>
      <c r="M425" s="7" t="n">
        <v>41.9</v>
      </c>
    </row>
    <row r="426">
      <c r="A426" t="n">
        <v>509543</v>
      </c>
      <c r="B426" s="6" t="n">
        <v>45937</v>
      </c>
      <c r="C426" t="n">
        <v>14753</v>
      </c>
      <c r="D426" t="inlineStr">
        <is>
          <t>Lucknow</t>
        </is>
      </c>
      <c r="E426" t="inlineStr">
        <is>
          <t>North</t>
        </is>
      </c>
      <c r="F426" t="inlineStr">
        <is>
          <t>Paid Search</t>
        </is>
      </c>
      <c r="G426" t="inlineStr">
        <is>
          <t>Mobile App</t>
        </is>
      </c>
      <c r="H426" t="inlineStr">
        <is>
          <t>UPI</t>
        </is>
      </c>
      <c r="I426" t="inlineStr">
        <is>
          <t>Delivered</t>
        </is>
      </c>
      <c r="J426" t="n">
        <v>129</v>
      </c>
      <c r="K426" t="n">
        <v>1</v>
      </c>
      <c r="L426" s="7" t="n">
        <v>576</v>
      </c>
      <c r="M426" s="7" t="n">
        <v>57.6</v>
      </c>
    </row>
    <row r="427">
      <c r="A427" t="n">
        <v>509544</v>
      </c>
      <c r="B427" s="6" t="n">
        <v>45937</v>
      </c>
      <c r="C427" t="n">
        <v>16601</v>
      </c>
      <c r="D427" t="inlineStr">
        <is>
          <t>Mumbai</t>
        </is>
      </c>
      <c r="E427" t="inlineStr">
        <is>
          <t>West</t>
        </is>
      </c>
      <c r="F427" t="inlineStr">
        <is>
          <t>Email</t>
        </is>
      </c>
      <c r="G427" t="inlineStr">
        <is>
          <t>Mobile App</t>
        </is>
      </c>
      <c r="H427" t="inlineStr">
        <is>
          <t>UPI</t>
        </is>
      </c>
      <c r="I427" t="inlineStr">
        <is>
          <t>Delivered</t>
        </is>
      </c>
      <c r="J427" t="n">
        <v>111</v>
      </c>
      <c r="K427" t="n">
        <v>1</v>
      </c>
      <c r="L427" s="7" t="n">
        <v>524</v>
      </c>
      <c r="M427" s="7" t="n">
        <v>52.4</v>
      </c>
    </row>
    <row r="428">
      <c r="A428" t="n">
        <v>509544</v>
      </c>
      <c r="B428" s="6" t="n">
        <v>45937</v>
      </c>
      <c r="C428" t="n">
        <v>16601</v>
      </c>
      <c r="D428" t="inlineStr">
        <is>
          <t>Mumbai</t>
        </is>
      </c>
      <c r="E428" t="inlineStr">
        <is>
          <t>West</t>
        </is>
      </c>
      <c r="F428" t="inlineStr">
        <is>
          <t>Email</t>
        </is>
      </c>
      <c r="G428" t="inlineStr">
        <is>
          <t>Mobile App</t>
        </is>
      </c>
      <c r="H428" t="inlineStr">
        <is>
          <t>UPI</t>
        </is>
      </c>
      <c r="I428" t="inlineStr">
        <is>
          <t>Delivered</t>
        </is>
      </c>
      <c r="J428" t="n">
        <v>135</v>
      </c>
      <c r="K428" t="n">
        <v>2</v>
      </c>
      <c r="L428" s="7" t="n">
        <v>1574</v>
      </c>
      <c r="M428" s="7" t="n">
        <v>314.8</v>
      </c>
    </row>
    <row r="429">
      <c r="A429" t="n">
        <v>509545</v>
      </c>
      <c r="B429" s="6" t="n">
        <v>45937</v>
      </c>
      <c r="C429" t="n">
        <v>14244</v>
      </c>
      <c r="D429" t="inlineStr">
        <is>
          <t>Bengaluru</t>
        </is>
      </c>
      <c r="E429" t="inlineStr">
        <is>
          <t>South</t>
        </is>
      </c>
      <c r="F429" t="inlineStr">
        <is>
          <t>Paid Social</t>
        </is>
      </c>
      <c r="G429" t="inlineStr">
        <is>
          <t>Mobile App</t>
        </is>
      </c>
      <c r="H429" t="inlineStr">
        <is>
          <t>Cash on Delivery</t>
        </is>
      </c>
      <c r="I429" t="inlineStr">
        <is>
          <t>Delivered</t>
        </is>
      </c>
      <c r="J429" t="n">
        <v>118</v>
      </c>
      <c r="K429" t="n">
        <v>1</v>
      </c>
      <c r="L429" s="7" t="n">
        <v>944</v>
      </c>
      <c r="M429" s="7" t="n">
        <v>94.40000000000001</v>
      </c>
    </row>
    <row r="430">
      <c r="A430" t="n">
        <v>509545</v>
      </c>
      <c r="B430" s="6" t="n">
        <v>45937</v>
      </c>
      <c r="C430" t="n">
        <v>14244</v>
      </c>
      <c r="D430" t="inlineStr">
        <is>
          <t>Bengaluru</t>
        </is>
      </c>
      <c r="E430" t="inlineStr">
        <is>
          <t>South</t>
        </is>
      </c>
      <c r="F430" t="inlineStr">
        <is>
          <t>Paid Social</t>
        </is>
      </c>
      <c r="G430" t="inlineStr">
        <is>
          <t>Mobile App</t>
        </is>
      </c>
      <c r="H430" t="inlineStr">
        <is>
          <t>Cash on Delivery</t>
        </is>
      </c>
      <c r="I430" t="inlineStr">
        <is>
          <t>Delivered</t>
        </is>
      </c>
      <c r="J430" t="n">
        <v>129</v>
      </c>
      <c r="K430" t="n">
        <v>1</v>
      </c>
      <c r="L430" s="7" t="n">
        <v>576</v>
      </c>
      <c r="M430" s="7" t="n">
        <v>57.6</v>
      </c>
    </row>
    <row r="431">
      <c r="A431" t="n">
        <v>509546</v>
      </c>
      <c r="B431" s="6" t="n">
        <v>45937</v>
      </c>
      <c r="C431" t="n">
        <v>14910</v>
      </c>
      <c r="D431" t="inlineStr">
        <is>
          <t>Lucknow</t>
        </is>
      </c>
      <c r="E431" t="inlineStr">
        <is>
          <t>North</t>
        </is>
      </c>
      <c r="F431" t="inlineStr">
        <is>
          <t>Paid Social</t>
        </is>
      </c>
      <c r="G431" t="inlineStr">
        <is>
          <t>Mobile App</t>
        </is>
      </c>
      <c r="H431" t="inlineStr">
        <is>
          <t>UPI</t>
        </is>
      </c>
      <c r="I431" t="inlineStr">
        <is>
          <t>Delivered</t>
        </is>
      </c>
      <c r="J431" t="n">
        <v>137</v>
      </c>
      <c r="K431" t="n">
        <v>1</v>
      </c>
      <c r="L431" s="7" t="n">
        <v>261</v>
      </c>
      <c r="M431" s="7" t="n">
        <v>13.05</v>
      </c>
    </row>
    <row r="432">
      <c r="A432" t="n">
        <v>509547</v>
      </c>
      <c r="B432" s="6" t="n">
        <v>45937</v>
      </c>
      <c r="C432" t="n">
        <v>12133</v>
      </c>
      <c r="D432" t="inlineStr">
        <is>
          <t>Mumbai</t>
        </is>
      </c>
      <c r="E432" t="inlineStr">
        <is>
          <t>West</t>
        </is>
      </c>
      <c r="F432" t="inlineStr">
        <is>
          <t>Paid Social</t>
        </is>
      </c>
      <c r="G432" t="inlineStr">
        <is>
          <t>Mobile App</t>
        </is>
      </c>
      <c r="H432" t="inlineStr">
        <is>
          <t>Cash on Delivery</t>
        </is>
      </c>
      <c r="I432" t="inlineStr">
        <is>
          <t>Delivered</t>
        </is>
      </c>
      <c r="J432" t="n">
        <v>143</v>
      </c>
      <c r="K432" t="n">
        <v>1</v>
      </c>
      <c r="L432" s="7" t="n">
        <v>839</v>
      </c>
      <c r="M432" s="7" t="n">
        <v>0</v>
      </c>
    </row>
    <row r="433">
      <c r="A433" t="n">
        <v>509547</v>
      </c>
      <c r="B433" s="6" t="n">
        <v>45937</v>
      </c>
      <c r="C433" t="n">
        <v>12133</v>
      </c>
      <c r="D433" t="inlineStr">
        <is>
          <t>Mumbai</t>
        </is>
      </c>
      <c r="E433" t="inlineStr">
        <is>
          <t>West</t>
        </is>
      </c>
      <c r="F433" t="inlineStr">
        <is>
          <t>Paid Social</t>
        </is>
      </c>
      <c r="G433" t="inlineStr">
        <is>
          <t>Mobile App</t>
        </is>
      </c>
      <c r="H433" t="inlineStr">
        <is>
          <t>Cash on Delivery</t>
        </is>
      </c>
      <c r="I433" t="inlineStr">
        <is>
          <t>Delivered</t>
        </is>
      </c>
      <c r="J433" t="n">
        <v>104</v>
      </c>
      <c r="K433" t="n">
        <v>1</v>
      </c>
      <c r="L433" s="7" t="n">
        <v>5249</v>
      </c>
      <c r="M433" s="7" t="n">
        <v>0</v>
      </c>
    </row>
    <row r="434">
      <c r="A434" t="n">
        <v>509547</v>
      </c>
      <c r="B434" s="6" t="n">
        <v>45937</v>
      </c>
      <c r="C434" t="n">
        <v>12133</v>
      </c>
      <c r="D434" t="inlineStr">
        <is>
          <t>Mumbai</t>
        </is>
      </c>
      <c r="E434" t="inlineStr">
        <is>
          <t>West</t>
        </is>
      </c>
      <c r="F434" t="inlineStr">
        <is>
          <t>Paid Social</t>
        </is>
      </c>
      <c r="G434" t="inlineStr">
        <is>
          <t>Mobile App</t>
        </is>
      </c>
      <c r="H434" t="inlineStr">
        <is>
          <t>Cash on Delivery</t>
        </is>
      </c>
      <c r="I434" t="inlineStr">
        <is>
          <t>Delivered</t>
        </is>
      </c>
      <c r="J434" t="n">
        <v>138</v>
      </c>
      <c r="K434" t="n">
        <v>1</v>
      </c>
      <c r="L434" s="7" t="n">
        <v>419</v>
      </c>
      <c r="M434" s="7" t="n">
        <v>0</v>
      </c>
    </row>
    <row r="435">
      <c r="A435" t="n">
        <v>509547</v>
      </c>
      <c r="B435" s="6" t="n">
        <v>45937</v>
      </c>
      <c r="C435" t="n">
        <v>12133</v>
      </c>
      <c r="D435" t="inlineStr">
        <is>
          <t>Mumbai</t>
        </is>
      </c>
      <c r="E435" t="inlineStr">
        <is>
          <t>West</t>
        </is>
      </c>
      <c r="F435" t="inlineStr">
        <is>
          <t>Paid Social</t>
        </is>
      </c>
      <c r="G435" t="inlineStr">
        <is>
          <t>Mobile App</t>
        </is>
      </c>
      <c r="H435" t="inlineStr">
        <is>
          <t>Cash on Delivery</t>
        </is>
      </c>
      <c r="I435" t="inlineStr">
        <is>
          <t>Delivered</t>
        </is>
      </c>
      <c r="J435" t="n">
        <v>129</v>
      </c>
      <c r="K435" t="n">
        <v>1</v>
      </c>
      <c r="L435" s="7" t="n">
        <v>576</v>
      </c>
      <c r="M435" s="7" t="n">
        <v>0</v>
      </c>
    </row>
    <row r="436">
      <c r="A436" t="n">
        <v>509548</v>
      </c>
      <c r="B436" s="6" t="n">
        <v>45937</v>
      </c>
      <c r="C436" t="n">
        <v>15091</v>
      </c>
      <c r="D436" t="inlineStr">
        <is>
          <t>Mumbai</t>
        </is>
      </c>
      <c r="E436" t="inlineStr">
        <is>
          <t>West</t>
        </is>
      </c>
      <c r="F436" t="inlineStr">
        <is>
          <t>Paid Search</t>
        </is>
      </c>
      <c r="G436" t="inlineStr">
        <is>
          <t>Mobile Web</t>
        </is>
      </c>
      <c r="H436" t="inlineStr">
        <is>
          <t>Cash on Delivery</t>
        </is>
      </c>
      <c r="I436" t="inlineStr">
        <is>
          <t>Delivered</t>
        </is>
      </c>
      <c r="J436" t="n">
        <v>113</v>
      </c>
      <c r="K436" t="n">
        <v>1</v>
      </c>
      <c r="L436" s="7" t="n">
        <v>1364</v>
      </c>
      <c r="M436" s="7" t="n">
        <v>136.4</v>
      </c>
    </row>
    <row r="437">
      <c r="A437" t="n">
        <v>509548</v>
      </c>
      <c r="B437" s="6" t="n">
        <v>45937</v>
      </c>
      <c r="C437" t="n">
        <v>15091</v>
      </c>
      <c r="D437" t="inlineStr">
        <is>
          <t>Mumbai</t>
        </is>
      </c>
      <c r="E437" t="inlineStr">
        <is>
          <t>West</t>
        </is>
      </c>
      <c r="F437" t="inlineStr">
        <is>
          <t>Paid Search</t>
        </is>
      </c>
      <c r="G437" t="inlineStr">
        <is>
          <t>Mobile Web</t>
        </is>
      </c>
      <c r="H437" t="inlineStr">
        <is>
          <t>Cash on Delivery</t>
        </is>
      </c>
      <c r="I437" t="inlineStr">
        <is>
          <t>Delivered</t>
        </is>
      </c>
      <c r="J437" t="n">
        <v>129</v>
      </c>
      <c r="K437" t="n">
        <v>2</v>
      </c>
      <c r="L437" s="7" t="n">
        <v>576</v>
      </c>
      <c r="M437" s="7" t="n">
        <v>115.2</v>
      </c>
    </row>
    <row r="438">
      <c r="A438" t="n">
        <v>509549</v>
      </c>
      <c r="B438" s="6" t="n">
        <v>45938</v>
      </c>
      <c r="C438" t="n">
        <v>10415</v>
      </c>
      <c r="D438" t="inlineStr">
        <is>
          <t>Chandigarh</t>
        </is>
      </c>
      <c r="E438" t="inlineStr">
        <is>
          <t>North</t>
        </is>
      </c>
      <c r="F438" t="inlineStr">
        <is>
          <t>Organic Search</t>
        </is>
      </c>
      <c r="G438" t="inlineStr">
        <is>
          <t>Mobile App</t>
        </is>
      </c>
      <c r="H438" t="inlineStr">
        <is>
          <t>UPI</t>
        </is>
      </c>
      <c r="I438" t="inlineStr">
        <is>
          <t>Delivered</t>
        </is>
      </c>
      <c r="J438" t="n">
        <v>112</v>
      </c>
      <c r="K438" t="n">
        <v>1</v>
      </c>
      <c r="L438" s="7" t="n">
        <v>1574</v>
      </c>
      <c r="M438" s="7" t="n">
        <v>0</v>
      </c>
    </row>
    <row r="439">
      <c r="A439" t="n">
        <v>509549</v>
      </c>
      <c r="B439" s="6" t="n">
        <v>45938</v>
      </c>
      <c r="C439" t="n">
        <v>10415</v>
      </c>
      <c r="D439" t="inlineStr">
        <is>
          <t>Chandigarh</t>
        </is>
      </c>
      <c r="E439" t="inlineStr">
        <is>
          <t>North</t>
        </is>
      </c>
      <c r="F439" t="inlineStr">
        <is>
          <t>Organic Search</t>
        </is>
      </c>
      <c r="G439" t="inlineStr">
        <is>
          <t>Mobile App</t>
        </is>
      </c>
      <c r="H439" t="inlineStr">
        <is>
          <t>UPI</t>
        </is>
      </c>
      <c r="I439" t="inlineStr">
        <is>
          <t>Delivered</t>
        </is>
      </c>
      <c r="J439" t="n">
        <v>101</v>
      </c>
      <c r="K439" t="n">
        <v>3</v>
      </c>
      <c r="L439" s="7" t="n">
        <v>2099</v>
      </c>
      <c r="M439" s="7" t="n">
        <v>0</v>
      </c>
    </row>
    <row r="440">
      <c r="A440" t="n">
        <v>509549</v>
      </c>
      <c r="B440" s="6" t="n">
        <v>45938</v>
      </c>
      <c r="C440" t="n">
        <v>10415</v>
      </c>
      <c r="D440" t="inlineStr">
        <is>
          <t>Chandigarh</t>
        </is>
      </c>
      <c r="E440" t="inlineStr">
        <is>
          <t>North</t>
        </is>
      </c>
      <c r="F440" t="inlineStr">
        <is>
          <t>Organic Search</t>
        </is>
      </c>
      <c r="G440" t="inlineStr">
        <is>
          <t>Mobile App</t>
        </is>
      </c>
      <c r="H440" t="inlineStr">
        <is>
          <t>UPI</t>
        </is>
      </c>
      <c r="I440" t="inlineStr">
        <is>
          <t>Delivered</t>
        </is>
      </c>
      <c r="J440" t="n">
        <v>131</v>
      </c>
      <c r="K440" t="n">
        <v>1</v>
      </c>
      <c r="L440" s="7" t="n">
        <v>314</v>
      </c>
      <c r="M440" s="7" t="n">
        <v>0</v>
      </c>
    </row>
    <row r="441">
      <c r="A441" t="n">
        <v>509549</v>
      </c>
      <c r="B441" s="6" t="n">
        <v>45938</v>
      </c>
      <c r="C441" t="n">
        <v>10415</v>
      </c>
      <c r="D441" t="inlineStr">
        <is>
          <t>Chandigarh</t>
        </is>
      </c>
      <c r="E441" t="inlineStr">
        <is>
          <t>North</t>
        </is>
      </c>
      <c r="F441" t="inlineStr">
        <is>
          <t>Organic Search</t>
        </is>
      </c>
      <c r="G441" t="inlineStr">
        <is>
          <t>Mobile App</t>
        </is>
      </c>
      <c r="H441" t="inlineStr">
        <is>
          <t>UPI</t>
        </is>
      </c>
      <c r="I441" t="inlineStr">
        <is>
          <t>Delivered</t>
        </is>
      </c>
      <c r="J441" t="n">
        <v>119</v>
      </c>
      <c r="K441" t="n">
        <v>1</v>
      </c>
      <c r="L441" s="7" t="n">
        <v>2309</v>
      </c>
      <c r="M441" s="7" t="n">
        <v>0</v>
      </c>
    </row>
    <row r="442">
      <c r="A442" t="n">
        <v>509550</v>
      </c>
      <c r="B442" s="6" t="n">
        <v>45938</v>
      </c>
      <c r="C442" t="n">
        <v>16610</v>
      </c>
      <c r="D442" t="inlineStr">
        <is>
          <t>Mumbai</t>
        </is>
      </c>
      <c r="E442" t="inlineStr">
        <is>
          <t>West</t>
        </is>
      </c>
      <c r="F442" t="inlineStr">
        <is>
          <t>Organic Search</t>
        </is>
      </c>
      <c r="G442" t="inlineStr">
        <is>
          <t>Mobile Web</t>
        </is>
      </c>
      <c r="H442" t="inlineStr">
        <is>
          <t>UPI</t>
        </is>
      </c>
      <c r="I442" t="inlineStr">
        <is>
          <t>Delivered</t>
        </is>
      </c>
      <c r="J442" t="n">
        <v>131</v>
      </c>
      <c r="K442" t="n">
        <v>1</v>
      </c>
      <c r="L442" s="7" t="n">
        <v>314</v>
      </c>
      <c r="M442" s="7" t="n">
        <v>31.4</v>
      </c>
    </row>
    <row r="443">
      <c r="A443" t="n">
        <v>509550</v>
      </c>
      <c r="B443" s="6" t="n">
        <v>45938</v>
      </c>
      <c r="C443" t="n">
        <v>16610</v>
      </c>
      <c r="D443" t="inlineStr">
        <is>
          <t>Mumbai</t>
        </is>
      </c>
      <c r="E443" t="inlineStr">
        <is>
          <t>West</t>
        </is>
      </c>
      <c r="F443" t="inlineStr">
        <is>
          <t>Organic Search</t>
        </is>
      </c>
      <c r="G443" t="inlineStr">
        <is>
          <t>Mobile Web</t>
        </is>
      </c>
      <c r="H443" t="inlineStr">
        <is>
          <t>UPI</t>
        </is>
      </c>
      <c r="I443" t="inlineStr">
        <is>
          <t>Delivered</t>
        </is>
      </c>
      <c r="J443" t="n">
        <v>125</v>
      </c>
      <c r="K443" t="n">
        <v>1</v>
      </c>
      <c r="L443" s="7" t="n">
        <v>1364</v>
      </c>
      <c r="M443" s="7" t="n">
        <v>136.4</v>
      </c>
    </row>
    <row r="444">
      <c r="A444" t="n">
        <v>509551</v>
      </c>
      <c r="B444" s="6" t="n">
        <v>45938</v>
      </c>
      <c r="C444" t="n">
        <v>16705</v>
      </c>
      <c r="D444" t="inlineStr">
        <is>
          <t>Indore</t>
        </is>
      </c>
      <c r="E444" t="inlineStr">
        <is>
          <t>West</t>
        </is>
      </c>
      <c r="F444" t="inlineStr">
        <is>
          <t>Organic Search</t>
        </is>
      </c>
      <c r="G444" t="inlineStr">
        <is>
          <t>Mobile Web</t>
        </is>
      </c>
      <c r="H444" t="inlineStr">
        <is>
          <t>Cash on Delivery</t>
        </is>
      </c>
      <c r="I444" t="inlineStr">
        <is>
          <t>Delivered</t>
        </is>
      </c>
      <c r="J444" t="n">
        <v>120</v>
      </c>
      <c r="K444" t="n">
        <v>1</v>
      </c>
      <c r="L444" s="7" t="n">
        <v>734</v>
      </c>
      <c r="M444" s="7" t="n">
        <v>110.1</v>
      </c>
    </row>
    <row r="445">
      <c r="A445" t="n">
        <v>509552</v>
      </c>
      <c r="B445" s="6" t="n">
        <v>45938</v>
      </c>
      <c r="C445" t="n">
        <v>16554</v>
      </c>
      <c r="D445" t="inlineStr">
        <is>
          <t>Mumbai</t>
        </is>
      </c>
      <c r="E445" t="inlineStr">
        <is>
          <t>West</t>
        </is>
      </c>
      <c r="F445" t="inlineStr">
        <is>
          <t>Paid Social</t>
        </is>
      </c>
      <c r="G445" t="inlineStr">
        <is>
          <t>Desktop</t>
        </is>
      </c>
      <c r="H445" t="inlineStr">
        <is>
          <t>UPI</t>
        </is>
      </c>
      <c r="I445" t="inlineStr">
        <is>
          <t>Delivered</t>
        </is>
      </c>
      <c r="J445" t="n">
        <v>109</v>
      </c>
      <c r="K445" t="n">
        <v>1</v>
      </c>
      <c r="L445" s="7" t="n">
        <v>4199</v>
      </c>
      <c r="M445" s="7" t="n">
        <v>419.9</v>
      </c>
    </row>
    <row r="446">
      <c r="A446" t="n">
        <v>509552</v>
      </c>
      <c r="B446" s="6" t="n">
        <v>45938</v>
      </c>
      <c r="C446" t="n">
        <v>16554</v>
      </c>
      <c r="D446" t="inlineStr">
        <is>
          <t>Mumbai</t>
        </is>
      </c>
      <c r="E446" t="inlineStr">
        <is>
          <t>West</t>
        </is>
      </c>
      <c r="F446" t="inlineStr">
        <is>
          <t>Paid Social</t>
        </is>
      </c>
      <c r="G446" t="inlineStr">
        <is>
          <t>Desktop</t>
        </is>
      </c>
      <c r="H446" t="inlineStr">
        <is>
          <t>UPI</t>
        </is>
      </c>
      <c r="I446" t="inlineStr">
        <is>
          <t>Delivered</t>
        </is>
      </c>
      <c r="J446" t="n">
        <v>129</v>
      </c>
      <c r="K446" t="n">
        <v>1</v>
      </c>
      <c r="L446" s="7" t="n">
        <v>576</v>
      </c>
      <c r="M446" s="7" t="n">
        <v>57.6</v>
      </c>
    </row>
    <row r="447">
      <c r="A447" t="n">
        <v>509553</v>
      </c>
      <c r="B447" s="6" t="n">
        <v>45938</v>
      </c>
      <c r="C447" t="n">
        <v>11861</v>
      </c>
      <c r="D447" t="inlineStr">
        <is>
          <t>Hyderabad</t>
        </is>
      </c>
      <c r="E447" t="inlineStr">
        <is>
          <t>South</t>
        </is>
      </c>
      <c r="F447" t="inlineStr">
        <is>
          <t>Organic Search</t>
        </is>
      </c>
      <c r="G447" t="inlineStr">
        <is>
          <t>Mobile Web</t>
        </is>
      </c>
      <c r="H447" t="inlineStr">
        <is>
          <t>Cash on Delivery</t>
        </is>
      </c>
      <c r="I447" t="inlineStr">
        <is>
          <t>Cancelled</t>
        </is>
      </c>
      <c r="J447" t="n">
        <v>103</v>
      </c>
      <c r="K447" t="n">
        <v>1</v>
      </c>
      <c r="L447" s="7" t="n">
        <v>2624</v>
      </c>
      <c r="M447" s="7" t="n">
        <v>262.4</v>
      </c>
    </row>
    <row r="448">
      <c r="A448" t="n">
        <v>509553</v>
      </c>
      <c r="B448" s="6" t="n">
        <v>45938</v>
      </c>
      <c r="C448" t="n">
        <v>11861</v>
      </c>
      <c r="D448" t="inlineStr">
        <is>
          <t>Hyderabad</t>
        </is>
      </c>
      <c r="E448" t="inlineStr">
        <is>
          <t>South</t>
        </is>
      </c>
      <c r="F448" t="inlineStr">
        <is>
          <t>Organic Search</t>
        </is>
      </c>
      <c r="G448" t="inlineStr">
        <is>
          <t>Mobile Web</t>
        </is>
      </c>
      <c r="H448" t="inlineStr">
        <is>
          <t>Cash on Delivery</t>
        </is>
      </c>
      <c r="I448" t="inlineStr">
        <is>
          <t>Cancelled</t>
        </is>
      </c>
      <c r="J448" t="n">
        <v>140</v>
      </c>
      <c r="K448" t="n">
        <v>1</v>
      </c>
      <c r="L448" s="7" t="n">
        <v>629</v>
      </c>
      <c r="M448" s="7" t="n">
        <v>62.9</v>
      </c>
    </row>
    <row r="449">
      <c r="A449" t="n">
        <v>509553</v>
      </c>
      <c r="B449" s="6" t="n">
        <v>45938</v>
      </c>
      <c r="C449" t="n">
        <v>11861</v>
      </c>
      <c r="D449" t="inlineStr">
        <is>
          <t>Hyderabad</t>
        </is>
      </c>
      <c r="E449" t="inlineStr">
        <is>
          <t>South</t>
        </is>
      </c>
      <c r="F449" t="inlineStr">
        <is>
          <t>Organic Search</t>
        </is>
      </c>
      <c r="G449" t="inlineStr">
        <is>
          <t>Mobile Web</t>
        </is>
      </c>
      <c r="H449" t="inlineStr">
        <is>
          <t>Cash on Delivery</t>
        </is>
      </c>
      <c r="I449" t="inlineStr">
        <is>
          <t>Cancelled</t>
        </is>
      </c>
      <c r="J449" t="n">
        <v>123</v>
      </c>
      <c r="K449" t="n">
        <v>2</v>
      </c>
      <c r="L449" s="7" t="n">
        <v>3464</v>
      </c>
      <c r="M449" s="7" t="n">
        <v>692.8</v>
      </c>
    </row>
    <row r="450">
      <c r="A450" t="n">
        <v>509553</v>
      </c>
      <c r="B450" s="6" t="n">
        <v>45938</v>
      </c>
      <c r="C450" t="n">
        <v>11861</v>
      </c>
      <c r="D450" t="inlineStr">
        <is>
          <t>Hyderabad</t>
        </is>
      </c>
      <c r="E450" t="inlineStr">
        <is>
          <t>South</t>
        </is>
      </c>
      <c r="F450" t="inlineStr">
        <is>
          <t>Organic Search</t>
        </is>
      </c>
      <c r="G450" t="inlineStr">
        <is>
          <t>Mobile Web</t>
        </is>
      </c>
      <c r="H450" t="inlineStr">
        <is>
          <t>Cash on Delivery</t>
        </is>
      </c>
      <c r="I450" t="inlineStr">
        <is>
          <t>Cancelled</t>
        </is>
      </c>
      <c r="J450" t="n">
        <v>129</v>
      </c>
      <c r="K450" t="n">
        <v>3</v>
      </c>
      <c r="L450" s="7" t="n">
        <v>576</v>
      </c>
      <c r="M450" s="7" t="n">
        <v>172.8</v>
      </c>
    </row>
    <row r="451">
      <c r="A451" t="n">
        <v>509554</v>
      </c>
      <c r="B451" s="6" t="n">
        <v>45938</v>
      </c>
      <c r="C451" t="n">
        <v>10902</v>
      </c>
      <c r="D451" t="inlineStr">
        <is>
          <t>Gurugram</t>
        </is>
      </c>
      <c r="E451" t="inlineStr">
        <is>
          <t>North</t>
        </is>
      </c>
      <c r="F451" t="inlineStr">
        <is>
          <t>Email</t>
        </is>
      </c>
      <c r="G451" t="inlineStr">
        <is>
          <t>Mobile App</t>
        </is>
      </c>
      <c r="H451" t="inlineStr">
        <is>
          <t>UPI</t>
        </is>
      </c>
      <c r="I451" t="inlineStr">
        <is>
          <t>Delivered</t>
        </is>
      </c>
      <c r="J451" t="n">
        <v>112</v>
      </c>
      <c r="K451" t="n">
        <v>1</v>
      </c>
      <c r="L451" s="7" t="n">
        <v>1574</v>
      </c>
      <c r="M451" s="7" t="n">
        <v>157.4</v>
      </c>
    </row>
    <row r="452">
      <c r="A452" t="n">
        <v>509554</v>
      </c>
      <c r="B452" s="6" t="n">
        <v>45938</v>
      </c>
      <c r="C452" t="n">
        <v>10902</v>
      </c>
      <c r="D452" t="inlineStr">
        <is>
          <t>Gurugram</t>
        </is>
      </c>
      <c r="E452" t="inlineStr">
        <is>
          <t>North</t>
        </is>
      </c>
      <c r="F452" t="inlineStr">
        <is>
          <t>Email</t>
        </is>
      </c>
      <c r="G452" t="inlineStr">
        <is>
          <t>Mobile App</t>
        </is>
      </c>
      <c r="H452" t="inlineStr">
        <is>
          <t>UPI</t>
        </is>
      </c>
      <c r="I452" t="inlineStr">
        <is>
          <t>Delivered</t>
        </is>
      </c>
      <c r="J452" t="n">
        <v>120</v>
      </c>
      <c r="K452" t="n">
        <v>1</v>
      </c>
      <c r="L452" s="7" t="n">
        <v>734</v>
      </c>
      <c r="M452" s="7" t="n">
        <v>73.40000000000001</v>
      </c>
    </row>
    <row r="453">
      <c r="A453" t="n">
        <v>509555</v>
      </c>
      <c r="B453" s="6" t="n">
        <v>45938</v>
      </c>
      <c r="C453" t="n">
        <v>16690</v>
      </c>
      <c r="D453" t="inlineStr">
        <is>
          <t>Bengaluru</t>
        </is>
      </c>
      <c r="E453" t="inlineStr">
        <is>
          <t>South</t>
        </is>
      </c>
      <c r="F453" t="inlineStr">
        <is>
          <t>Paid Search</t>
        </is>
      </c>
      <c r="G453" t="inlineStr">
        <is>
          <t>Mobile App</t>
        </is>
      </c>
      <c r="H453" t="inlineStr">
        <is>
          <t>UPI</t>
        </is>
      </c>
      <c r="I453" t="inlineStr">
        <is>
          <t>Delivered</t>
        </is>
      </c>
      <c r="J453" t="n">
        <v>148</v>
      </c>
      <c r="K453" t="n">
        <v>1</v>
      </c>
      <c r="L453" s="7" t="n">
        <v>734</v>
      </c>
      <c r="M453" s="7" t="n">
        <v>73.40000000000001</v>
      </c>
    </row>
    <row r="454">
      <c r="A454" t="n">
        <v>509555</v>
      </c>
      <c r="B454" s="6" t="n">
        <v>45938</v>
      </c>
      <c r="C454" t="n">
        <v>16690</v>
      </c>
      <c r="D454" t="inlineStr">
        <is>
          <t>Bengaluru</t>
        </is>
      </c>
      <c r="E454" t="inlineStr">
        <is>
          <t>South</t>
        </is>
      </c>
      <c r="F454" t="inlineStr">
        <is>
          <t>Paid Search</t>
        </is>
      </c>
      <c r="G454" t="inlineStr">
        <is>
          <t>Mobile App</t>
        </is>
      </c>
      <c r="H454" t="inlineStr">
        <is>
          <t>UPI</t>
        </is>
      </c>
      <c r="I454" t="inlineStr">
        <is>
          <t>Delivered</t>
        </is>
      </c>
      <c r="J454" t="n">
        <v>120</v>
      </c>
      <c r="K454" t="n">
        <v>1</v>
      </c>
      <c r="L454" s="7" t="n">
        <v>734</v>
      </c>
      <c r="M454" s="7" t="n">
        <v>73.40000000000001</v>
      </c>
    </row>
    <row r="455">
      <c r="A455" t="n">
        <v>509555</v>
      </c>
      <c r="B455" s="6" t="n">
        <v>45938</v>
      </c>
      <c r="C455" t="n">
        <v>16690</v>
      </c>
      <c r="D455" t="inlineStr">
        <is>
          <t>Bengaluru</t>
        </is>
      </c>
      <c r="E455" t="inlineStr">
        <is>
          <t>South</t>
        </is>
      </c>
      <c r="F455" t="inlineStr">
        <is>
          <t>Paid Search</t>
        </is>
      </c>
      <c r="G455" t="inlineStr">
        <is>
          <t>Mobile App</t>
        </is>
      </c>
      <c r="H455" t="inlineStr">
        <is>
          <t>UPI</t>
        </is>
      </c>
      <c r="I455" t="inlineStr">
        <is>
          <t>Delivered</t>
        </is>
      </c>
      <c r="J455" t="n">
        <v>114</v>
      </c>
      <c r="K455" t="n">
        <v>1</v>
      </c>
      <c r="L455" s="7" t="n">
        <v>1259</v>
      </c>
      <c r="M455" s="7" t="n">
        <v>125.9</v>
      </c>
    </row>
    <row r="456">
      <c r="A456" t="n">
        <v>509555</v>
      </c>
      <c r="B456" s="6" t="n">
        <v>45938</v>
      </c>
      <c r="C456" t="n">
        <v>16690</v>
      </c>
      <c r="D456" t="inlineStr">
        <is>
          <t>Bengaluru</t>
        </is>
      </c>
      <c r="E456" t="inlineStr">
        <is>
          <t>South</t>
        </is>
      </c>
      <c r="F456" t="inlineStr">
        <is>
          <t>Paid Search</t>
        </is>
      </c>
      <c r="G456" t="inlineStr">
        <is>
          <t>Mobile App</t>
        </is>
      </c>
      <c r="H456" t="inlineStr">
        <is>
          <t>UPI</t>
        </is>
      </c>
      <c r="I456" t="inlineStr">
        <is>
          <t>Delivered</t>
        </is>
      </c>
      <c r="J456" t="n">
        <v>107</v>
      </c>
      <c r="K456" t="n">
        <v>1</v>
      </c>
      <c r="L456" s="7" t="n">
        <v>1259</v>
      </c>
      <c r="M456" s="7" t="n">
        <v>125.9</v>
      </c>
    </row>
    <row r="457">
      <c r="A457" t="n">
        <v>509556</v>
      </c>
      <c r="B457" s="6" t="n">
        <v>45938</v>
      </c>
      <c r="C457" t="n">
        <v>16639</v>
      </c>
      <c r="D457" t="inlineStr">
        <is>
          <t>Hyderabad</t>
        </is>
      </c>
      <c r="E457" t="inlineStr">
        <is>
          <t>South</t>
        </is>
      </c>
      <c r="F457" t="inlineStr">
        <is>
          <t>Paid Search</t>
        </is>
      </c>
      <c r="G457" t="inlineStr">
        <is>
          <t>Desktop</t>
        </is>
      </c>
      <c r="H457" t="inlineStr">
        <is>
          <t>UPI</t>
        </is>
      </c>
      <c r="I457" t="inlineStr">
        <is>
          <t>Delivered</t>
        </is>
      </c>
      <c r="J457" t="n">
        <v>117</v>
      </c>
      <c r="K457" t="n">
        <v>1</v>
      </c>
      <c r="L457" s="7" t="n">
        <v>3149</v>
      </c>
      <c r="M457" s="7" t="n">
        <v>314.9</v>
      </c>
    </row>
    <row r="458">
      <c r="A458" t="n">
        <v>509556</v>
      </c>
      <c r="B458" s="6" t="n">
        <v>45938</v>
      </c>
      <c r="C458" t="n">
        <v>16639</v>
      </c>
      <c r="D458" t="inlineStr">
        <is>
          <t>Hyderabad</t>
        </is>
      </c>
      <c r="E458" t="inlineStr">
        <is>
          <t>South</t>
        </is>
      </c>
      <c r="F458" t="inlineStr">
        <is>
          <t>Paid Search</t>
        </is>
      </c>
      <c r="G458" t="inlineStr">
        <is>
          <t>Desktop</t>
        </is>
      </c>
      <c r="H458" t="inlineStr">
        <is>
          <t>UPI</t>
        </is>
      </c>
      <c r="I458" t="inlineStr">
        <is>
          <t>Delivered</t>
        </is>
      </c>
      <c r="J458" t="n">
        <v>111</v>
      </c>
      <c r="K458" t="n">
        <v>1</v>
      </c>
      <c r="L458" s="7" t="n">
        <v>524</v>
      </c>
      <c r="M458" s="7" t="n">
        <v>52.4</v>
      </c>
    </row>
    <row r="459">
      <c r="A459" t="n">
        <v>509556</v>
      </c>
      <c r="B459" s="6" t="n">
        <v>45938</v>
      </c>
      <c r="C459" t="n">
        <v>16639</v>
      </c>
      <c r="D459" t="inlineStr">
        <is>
          <t>Hyderabad</t>
        </is>
      </c>
      <c r="E459" t="inlineStr">
        <is>
          <t>South</t>
        </is>
      </c>
      <c r="F459" t="inlineStr">
        <is>
          <t>Paid Search</t>
        </is>
      </c>
      <c r="G459" t="inlineStr">
        <is>
          <t>Desktop</t>
        </is>
      </c>
      <c r="H459" t="inlineStr">
        <is>
          <t>UPI</t>
        </is>
      </c>
      <c r="I459" t="inlineStr">
        <is>
          <t>Delivered</t>
        </is>
      </c>
      <c r="J459" t="n">
        <v>129</v>
      </c>
      <c r="K459" t="n">
        <v>1</v>
      </c>
      <c r="L459" s="7" t="n">
        <v>576</v>
      </c>
      <c r="M459" s="7" t="n">
        <v>57.6</v>
      </c>
    </row>
    <row r="460">
      <c r="A460" t="n">
        <v>509557</v>
      </c>
      <c r="B460" s="6" t="n">
        <v>45938</v>
      </c>
      <c r="C460" t="n">
        <v>16598</v>
      </c>
      <c r="D460" t="inlineStr">
        <is>
          <t>Ahmedabad</t>
        </is>
      </c>
      <c r="E460" t="inlineStr">
        <is>
          <t>West</t>
        </is>
      </c>
      <c r="F460" t="inlineStr">
        <is>
          <t>Affiliate</t>
        </is>
      </c>
      <c r="G460" t="inlineStr">
        <is>
          <t>Mobile App</t>
        </is>
      </c>
      <c r="H460" t="inlineStr">
        <is>
          <t>UPI</t>
        </is>
      </c>
      <c r="I460" t="inlineStr">
        <is>
          <t>Delivered</t>
        </is>
      </c>
      <c r="J460" t="n">
        <v>146</v>
      </c>
      <c r="K460" t="n">
        <v>1</v>
      </c>
      <c r="L460" s="7" t="n">
        <v>4724</v>
      </c>
      <c r="M460" s="7" t="n">
        <v>708.6</v>
      </c>
    </row>
    <row r="461">
      <c r="A461" t="n">
        <v>509558</v>
      </c>
      <c r="B461" s="6" t="n">
        <v>45938</v>
      </c>
      <c r="C461" t="n">
        <v>16491</v>
      </c>
      <c r="D461" t="inlineStr">
        <is>
          <t>Bengaluru</t>
        </is>
      </c>
      <c r="E461" t="inlineStr">
        <is>
          <t>South</t>
        </is>
      </c>
      <c r="F461" t="inlineStr">
        <is>
          <t>Paid Social</t>
        </is>
      </c>
      <c r="G461" t="inlineStr">
        <is>
          <t>Mobile App</t>
        </is>
      </c>
      <c r="H461" t="inlineStr">
        <is>
          <t>Debit Card</t>
        </is>
      </c>
      <c r="I461" t="inlineStr">
        <is>
          <t>Delivered</t>
        </is>
      </c>
      <c r="J461" t="n">
        <v>148</v>
      </c>
      <c r="K461" t="n">
        <v>1</v>
      </c>
      <c r="L461" s="7" t="n">
        <v>734</v>
      </c>
      <c r="M461" s="7" t="n">
        <v>0</v>
      </c>
    </row>
    <row r="462">
      <c r="A462" t="n">
        <v>509558</v>
      </c>
      <c r="B462" s="6" t="n">
        <v>45938</v>
      </c>
      <c r="C462" t="n">
        <v>16491</v>
      </c>
      <c r="D462" t="inlineStr">
        <is>
          <t>Bengaluru</t>
        </is>
      </c>
      <c r="E462" t="inlineStr">
        <is>
          <t>South</t>
        </is>
      </c>
      <c r="F462" t="inlineStr">
        <is>
          <t>Paid Social</t>
        </is>
      </c>
      <c r="G462" t="inlineStr">
        <is>
          <t>Mobile App</t>
        </is>
      </c>
      <c r="H462" t="inlineStr">
        <is>
          <t>Debit Card</t>
        </is>
      </c>
      <c r="I462" t="inlineStr">
        <is>
          <t>Delivered</t>
        </is>
      </c>
      <c r="J462" t="n">
        <v>129</v>
      </c>
      <c r="K462" t="n">
        <v>2</v>
      </c>
      <c r="L462" s="7" t="n">
        <v>576</v>
      </c>
      <c r="M462" s="7" t="n">
        <v>0</v>
      </c>
    </row>
    <row r="463">
      <c r="A463" t="n">
        <v>509559</v>
      </c>
      <c r="B463" s="6" t="n">
        <v>45938</v>
      </c>
      <c r="C463" t="n">
        <v>16531</v>
      </c>
      <c r="D463" t="inlineStr">
        <is>
          <t>Gurugram</t>
        </is>
      </c>
      <c r="E463" t="inlineStr">
        <is>
          <t>North</t>
        </is>
      </c>
      <c r="F463" t="inlineStr">
        <is>
          <t>Organic Search</t>
        </is>
      </c>
      <c r="G463" t="inlineStr">
        <is>
          <t>Desktop</t>
        </is>
      </c>
      <c r="H463" t="inlineStr">
        <is>
          <t>UPI</t>
        </is>
      </c>
      <c r="I463" t="inlineStr">
        <is>
          <t>Delivered</t>
        </is>
      </c>
      <c r="J463" t="n">
        <v>126</v>
      </c>
      <c r="K463" t="n">
        <v>1</v>
      </c>
      <c r="L463" s="7" t="n">
        <v>471</v>
      </c>
      <c r="M463" s="7" t="n">
        <v>47.1</v>
      </c>
    </row>
    <row r="464">
      <c r="A464" t="n">
        <v>509560</v>
      </c>
      <c r="B464" s="6" t="n">
        <v>45938</v>
      </c>
      <c r="C464" t="n">
        <v>15377</v>
      </c>
      <c r="D464" t="inlineStr">
        <is>
          <t>Delhi</t>
        </is>
      </c>
      <c r="E464" t="inlineStr">
        <is>
          <t>North</t>
        </is>
      </c>
      <c r="F464" t="inlineStr">
        <is>
          <t>Paid Social</t>
        </is>
      </c>
      <c r="G464" t="inlineStr">
        <is>
          <t>Mobile App</t>
        </is>
      </c>
      <c r="H464" t="inlineStr">
        <is>
          <t>UPI</t>
        </is>
      </c>
      <c r="I464" t="inlineStr">
        <is>
          <t>Delivered</t>
        </is>
      </c>
      <c r="J464" t="n">
        <v>107</v>
      </c>
      <c r="K464" t="n">
        <v>3</v>
      </c>
      <c r="L464" s="7" t="n">
        <v>1259</v>
      </c>
      <c r="M464" s="7" t="n">
        <v>377.7</v>
      </c>
    </row>
    <row r="465">
      <c r="A465" t="n">
        <v>509560</v>
      </c>
      <c r="B465" s="6" t="n">
        <v>45938</v>
      </c>
      <c r="C465" t="n">
        <v>15377</v>
      </c>
      <c r="D465" t="inlineStr">
        <is>
          <t>Delhi</t>
        </is>
      </c>
      <c r="E465" t="inlineStr">
        <is>
          <t>North</t>
        </is>
      </c>
      <c r="F465" t="inlineStr">
        <is>
          <t>Paid Social</t>
        </is>
      </c>
      <c r="G465" t="inlineStr">
        <is>
          <t>Mobile App</t>
        </is>
      </c>
      <c r="H465" t="inlineStr">
        <is>
          <t>UPI</t>
        </is>
      </c>
      <c r="I465" t="inlineStr">
        <is>
          <t>Delivered</t>
        </is>
      </c>
      <c r="J465" t="n">
        <v>129</v>
      </c>
      <c r="K465" t="n">
        <v>1</v>
      </c>
      <c r="L465" s="7" t="n">
        <v>576</v>
      </c>
      <c r="M465" s="7" t="n">
        <v>57.6</v>
      </c>
    </row>
    <row r="466">
      <c r="A466" t="n">
        <v>509561</v>
      </c>
      <c r="B466" s="6" t="n">
        <v>45938</v>
      </c>
      <c r="C466" t="n">
        <v>14839</v>
      </c>
      <c r="D466" t="inlineStr">
        <is>
          <t>Indore</t>
        </is>
      </c>
      <c r="E466" t="inlineStr">
        <is>
          <t>West</t>
        </is>
      </c>
      <c r="F466" t="inlineStr">
        <is>
          <t>Organic Search</t>
        </is>
      </c>
      <c r="G466" t="inlineStr">
        <is>
          <t>Desktop</t>
        </is>
      </c>
      <c r="H466" t="inlineStr">
        <is>
          <t>UPI</t>
        </is>
      </c>
      <c r="I466" t="inlineStr">
        <is>
          <t>Delivered</t>
        </is>
      </c>
      <c r="J466" t="n">
        <v>119</v>
      </c>
      <c r="K466" t="n">
        <v>2</v>
      </c>
      <c r="L466" s="7" t="n">
        <v>2309</v>
      </c>
      <c r="M466" s="7" t="n">
        <v>461.8</v>
      </c>
    </row>
    <row r="467">
      <c r="A467" t="n">
        <v>509561</v>
      </c>
      <c r="B467" s="6" t="n">
        <v>45938</v>
      </c>
      <c r="C467" t="n">
        <v>14839</v>
      </c>
      <c r="D467" t="inlineStr">
        <is>
          <t>Indore</t>
        </is>
      </c>
      <c r="E467" t="inlineStr">
        <is>
          <t>West</t>
        </is>
      </c>
      <c r="F467" t="inlineStr">
        <is>
          <t>Organic Search</t>
        </is>
      </c>
      <c r="G467" t="inlineStr">
        <is>
          <t>Desktop</t>
        </is>
      </c>
      <c r="H467" t="inlineStr">
        <is>
          <t>UPI</t>
        </is>
      </c>
      <c r="I467" t="inlineStr">
        <is>
          <t>Delivered</t>
        </is>
      </c>
      <c r="J467" t="n">
        <v>129</v>
      </c>
      <c r="K467" t="n">
        <v>1</v>
      </c>
      <c r="L467" s="7" t="n">
        <v>576</v>
      </c>
      <c r="M467" s="7" t="n">
        <v>57.6</v>
      </c>
    </row>
    <row r="468">
      <c r="A468" t="n">
        <v>509562</v>
      </c>
      <c r="B468" s="6" t="n">
        <v>45938</v>
      </c>
      <c r="C468" t="n">
        <v>16016</v>
      </c>
      <c r="D468" t="inlineStr">
        <is>
          <t>Kochi</t>
        </is>
      </c>
      <c r="E468" t="inlineStr">
        <is>
          <t>South</t>
        </is>
      </c>
      <c r="F468" t="inlineStr">
        <is>
          <t>Affiliate</t>
        </is>
      </c>
      <c r="G468" t="inlineStr">
        <is>
          <t>Desktop</t>
        </is>
      </c>
      <c r="H468" t="inlineStr">
        <is>
          <t>Cash on Delivery</t>
        </is>
      </c>
      <c r="I468" t="inlineStr">
        <is>
          <t>Delivered</t>
        </is>
      </c>
      <c r="J468" t="n">
        <v>112</v>
      </c>
      <c r="K468" t="n">
        <v>1</v>
      </c>
      <c r="L468" s="7" t="n">
        <v>1574</v>
      </c>
      <c r="M468" s="7" t="n">
        <v>157.4</v>
      </c>
    </row>
    <row r="469">
      <c r="A469" t="n">
        <v>509563</v>
      </c>
      <c r="B469" s="6" t="n">
        <v>45938</v>
      </c>
      <c r="C469" t="n">
        <v>15793</v>
      </c>
      <c r="D469" t="inlineStr">
        <is>
          <t>Indore</t>
        </is>
      </c>
      <c r="E469" t="inlineStr">
        <is>
          <t>West</t>
        </is>
      </c>
      <c r="F469" t="inlineStr">
        <is>
          <t>Organic Search</t>
        </is>
      </c>
      <c r="G469" t="inlineStr">
        <is>
          <t>Mobile Web</t>
        </is>
      </c>
      <c r="H469" t="inlineStr">
        <is>
          <t>Cash on Delivery</t>
        </is>
      </c>
      <c r="I469" t="inlineStr">
        <is>
          <t>Delivered</t>
        </is>
      </c>
      <c r="J469" t="n">
        <v>107</v>
      </c>
      <c r="K469" t="n">
        <v>1</v>
      </c>
      <c r="L469" s="7" t="n">
        <v>1259</v>
      </c>
      <c r="M469" s="7" t="n">
        <v>125.9</v>
      </c>
    </row>
    <row r="470">
      <c r="A470" t="n">
        <v>509564</v>
      </c>
      <c r="B470" s="6" t="n">
        <v>45938</v>
      </c>
      <c r="C470" t="n">
        <v>16626</v>
      </c>
      <c r="D470" t="inlineStr">
        <is>
          <t>Hyderabad</t>
        </is>
      </c>
      <c r="E470" t="inlineStr">
        <is>
          <t>South</t>
        </is>
      </c>
      <c r="F470" t="inlineStr">
        <is>
          <t>Referral</t>
        </is>
      </c>
      <c r="G470" t="inlineStr">
        <is>
          <t>Mobile Web</t>
        </is>
      </c>
      <c r="H470" t="inlineStr">
        <is>
          <t>UPI</t>
        </is>
      </c>
      <c r="I470" t="inlineStr">
        <is>
          <t>Delivered</t>
        </is>
      </c>
      <c r="J470" t="n">
        <v>141</v>
      </c>
      <c r="K470" t="n">
        <v>1</v>
      </c>
      <c r="L470" s="7" t="n">
        <v>261</v>
      </c>
      <c r="M470" s="7" t="n">
        <v>39.15</v>
      </c>
    </row>
    <row r="471">
      <c r="A471" t="n">
        <v>509564</v>
      </c>
      <c r="B471" s="6" t="n">
        <v>45938</v>
      </c>
      <c r="C471" t="n">
        <v>16626</v>
      </c>
      <c r="D471" t="inlineStr">
        <is>
          <t>Hyderabad</t>
        </is>
      </c>
      <c r="E471" t="inlineStr">
        <is>
          <t>South</t>
        </is>
      </c>
      <c r="F471" t="inlineStr">
        <is>
          <t>Referral</t>
        </is>
      </c>
      <c r="G471" t="inlineStr">
        <is>
          <t>Mobile Web</t>
        </is>
      </c>
      <c r="H471" t="inlineStr">
        <is>
          <t>UPI</t>
        </is>
      </c>
      <c r="I471" t="inlineStr">
        <is>
          <t>Delivered</t>
        </is>
      </c>
      <c r="J471" t="n">
        <v>129</v>
      </c>
      <c r="K471" t="n">
        <v>1</v>
      </c>
      <c r="L471" s="7" t="n">
        <v>576</v>
      </c>
      <c r="M471" s="7" t="n">
        <v>86.40000000000001</v>
      </c>
    </row>
    <row r="472">
      <c r="A472" t="n">
        <v>509565</v>
      </c>
      <c r="B472" s="6" t="n">
        <v>45938</v>
      </c>
      <c r="C472" t="n">
        <v>13937</v>
      </c>
      <c r="D472" t="inlineStr">
        <is>
          <t>Delhi</t>
        </is>
      </c>
      <c r="E472" t="inlineStr">
        <is>
          <t>North</t>
        </is>
      </c>
      <c r="F472" t="inlineStr">
        <is>
          <t>Paid Social</t>
        </is>
      </c>
      <c r="G472" t="inlineStr">
        <is>
          <t>Mobile Web</t>
        </is>
      </c>
      <c r="H472" t="inlineStr">
        <is>
          <t>Credit Card</t>
        </is>
      </c>
      <c r="I472" t="inlineStr">
        <is>
          <t>Delivered</t>
        </is>
      </c>
      <c r="J472" t="n">
        <v>130</v>
      </c>
      <c r="K472" t="n">
        <v>2</v>
      </c>
      <c r="L472" s="7" t="n">
        <v>734</v>
      </c>
      <c r="M472" s="7" t="n">
        <v>0</v>
      </c>
    </row>
    <row r="473">
      <c r="A473" t="n">
        <v>509565</v>
      </c>
      <c r="B473" s="6" t="n">
        <v>45938</v>
      </c>
      <c r="C473" t="n">
        <v>13937</v>
      </c>
      <c r="D473" t="inlineStr">
        <is>
          <t>Delhi</t>
        </is>
      </c>
      <c r="E473" t="inlineStr">
        <is>
          <t>North</t>
        </is>
      </c>
      <c r="F473" t="inlineStr">
        <is>
          <t>Paid Social</t>
        </is>
      </c>
      <c r="G473" t="inlineStr">
        <is>
          <t>Mobile Web</t>
        </is>
      </c>
      <c r="H473" t="inlineStr">
        <is>
          <t>Credit Card</t>
        </is>
      </c>
      <c r="I473" t="inlineStr">
        <is>
          <t>Delivered</t>
        </is>
      </c>
      <c r="J473" t="n">
        <v>137</v>
      </c>
      <c r="K473" t="n">
        <v>2</v>
      </c>
      <c r="L473" s="7" t="n">
        <v>261</v>
      </c>
      <c r="M473" s="7" t="n">
        <v>0</v>
      </c>
    </row>
    <row r="474">
      <c r="A474" t="n">
        <v>509566</v>
      </c>
      <c r="B474" s="6" t="n">
        <v>45938</v>
      </c>
      <c r="C474" t="n">
        <v>12559</v>
      </c>
      <c r="D474" t="inlineStr">
        <is>
          <t>Hyderabad</t>
        </is>
      </c>
      <c r="E474" t="inlineStr">
        <is>
          <t>South</t>
        </is>
      </c>
      <c r="F474" t="inlineStr">
        <is>
          <t>Organic Search</t>
        </is>
      </c>
      <c r="G474" t="inlineStr">
        <is>
          <t>Mobile App</t>
        </is>
      </c>
      <c r="H474" t="inlineStr">
        <is>
          <t>Credit Card</t>
        </is>
      </c>
      <c r="I474" t="inlineStr">
        <is>
          <t>Delivered</t>
        </is>
      </c>
      <c r="J474" t="n">
        <v>116</v>
      </c>
      <c r="K474" t="n">
        <v>1</v>
      </c>
      <c r="L474" s="7" t="n">
        <v>2624</v>
      </c>
      <c r="M474" s="7" t="n">
        <v>131.2</v>
      </c>
    </row>
    <row r="475">
      <c r="A475" t="n">
        <v>509566</v>
      </c>
      <c r="B475" s="6" t="n">
        <v>45938</v>
      </c>
      <c r="C475" t="n">
        <v>12559</v>
      </c>
      <c r="D475" t="inlineStr">
        <is>
          <t>Hyderabad</t>
        </is>
      </c>
      <c r="E475" t="inlineStr">
        <is>
          <t>South</t>
        </is>
      </c>
      <c r="F475" t="inlineStr">
        <is>
          <t>Organic Search</t>
        </is>
      </c>
      <c r="G475" t="inlineStr">
        <is>
          <t>Mobile App</t>
        </is>
      </c>
      <c r="H475" t="inlineStr">
        <is>
          <t>Credit Card</t>
        </is>
      </c>
      <c r="I475" t="inlineStr">
        <is>
          <t>Delivered</t>
        </is>
      </c>
      <c r="J475" t="n">
        <v>129</v>
      </c>
      <c r="K475" t="n">
        <v>1</v>
      </c>
      <c r="L475" s="7" t="n">
        <v>576</v>
      </c>
      <c r="M475" s="7" t="n">
        <v>28.8</v>
      </c>
    </row>
    <row r="476">
      <c r="A476" t="n">
        <v>509567</v>
      </c>
      <c r="B476" s="6" t="n">
        <v>45938</v>
      </c>
      <c r="C476" t="n">
        <v>11789</v>
      </c>
      <c r="D476" t="inlineStr">
        <is>
          <t>Delhi</t>
        </is>
      </c>
      <c r="E476" t="inlineStr">
        <is>
          <t>North</t>
        </is>
      </c>
      <c r="F476" t="inlineStr">
        <is>
          <t>Paid Social</t>
        </is>
      </c>
      <c r="G476" t="inlineStr">
        <is>
          <t>Mobile App</t>
        </is>
      </c>
      <c r="H476" t="inlineStr">
        <is>
          <t>Credit Card</t>
        </is>
      </c>
      <c r="I476" t="inlineStr">
        <is>
          <t>Delivered</t>
        </is>
      </c>
      <c r="J476" t="n">
        <v>104</v>
      </c>
      <c r="K476" t="n">
        <v>1</v>
      </c>
      <c r="L476" s="7" t="n">
        <v>5249</v>
      </c>
      <c r="M476" s="7" t="n">
        <v>0</v>
      </c>
    </row>
    <row r="477">
      <c r="A477" t="n">
        <v>509567</v>
      </c>
      <c r="B477" s="6" t="n">
        <v>45938</v>
      </c>
      <c r="C477" t="n">
        <v>11789</v>
      </c>
      <c r="D477" t="inlineStr">
        <is>
          <t>Delhi</t>
        </is>
      </c>
      <c r="E477" t="inlineStr">
        <is>
          <t>North</t>
        </is>
      </c>
      <c r="F477" t="inlineStr">
        <is>
          <t>Paid Social</t>
        </is>
      </c>
      <c r="G477" t="inlineStr">
        <is>
          <t>Mobile App</t>
        </is>
      </c>
      <c r="H477" t="inlineStr">
        <is>
          <t>Credit Card</t>
        </is>
      </c>
      <c r="I477" t="inlineStr">
        <is>
          <t>Delivered</t>
        </is>
      </c>
      <c r="J477" t="n">
        <v>131</v>
      </c>
      <c r="K477" t="n">
        <v>1</v>
      </c>
      <c r="L477" s="7" t="n">
        <v>314</v>
      </c>
      <c r="M477" s="7" t="n">
        <v>0</v>
      </c>
    </row>
    <row r="478">
      <c r="A478" t="n">
        <v>509567</v>
      </c>
      <c r="B478" s="6" t="n">
        <v>45938</v>
      </c>
      <c r="C478" t="n">
        <v>11789</v>
      </c>
      <c r="D478" t="inlineStr">
        <is>
          <t>Delhi</t>
        </is>
      </c>
      <c r="E478" t="inlineStr">
        <is>
          <t>North</t>
        </is>
      </c>
      <c r="F478" t="inlineStr">
        <is>
          <t>Paid Social</t>
        </is>
      </c>
      <c r="G478" t="inlineStr">
        <is>
          <t>Mobile App</t>
        </is>
      </c>
      <c r="H478" t="inlineStr">
        <is>
          <t>Credit Card</t>
        </is>
      </c>
      <c r="I478" t="inlineStr">
        <is>
          <t>Delivered</t>
        </is>
      </c>
      <c r="J478" t="n">
        <v>118</v>
      </c>
      <c r="K478" t="n">
        <v>1</v>
      </c>
      <c r="L478" s="7" t="n">
        <v>944</v>
      </c>
      <c r="M478" s="7" t="n">
        <v>0</v>
      </c>
    </row>
    <row r="479">
      <c r="A479" t="n">
        <v>509568</v>
      </c>
      <c r="B479" s="6" t="n">
        <v>45938</v>
      </c>
      <c r="C479" t="n">
        <v>15975</v>
      </c>
      <c r="D479" t="inlineStr">
        <is>
          <t>Delhi</t>
        </is>
      </c>
      <c r="E479" t="inlineStr">
        <is>
          <t>North</t>
        </is>
      </c>
      <c r="F479" t="inlineStr">
        <is>
          <t>Organic Search</t>
        </is>
      </c>
      <c r="G479" t="inlineStr">
        <is>
          <t>Mobile App</t>
        </is>
      </c>
      <c r="H479" t="inlineStr">
        <is>
          <t>UPI</t>
        </is>
      </c>
      <c r="I479" t="inlineStr">
        <is>
          <t>Delivered</t>
        </is>
      </c>
      <c r="J479" t="n">
        <v>112</v>
      </c>
      <c r="K479" t="n">
        <v>1</v>
      </c>
      <c r="L479" s="7" t="n">
        <v>1574</v>
      </c>
      <c r="M479" s="7" t="n">
        <v>157.4</v>
      </c>
    </row>
    <row r="480">
      <c r="A480" t="n">
        <v>509568</v>
      </c>
      <c r="B480" s="6" t="n">
        <v>45938</v>
      </c>
      <c r="C480" t="n">
        <v>15975</v>
      </c>
      <c r="D480" t="inlineStr">
        <is>
          <t>Delhi</t>
        </is>
      </c>
      <c r="E480" t="inlineStr">
        <is>
          <t>North</t>
        </is>
      </c>
      <c r="F480" t="inlineStr">
        <is>
          <t>Organic Search</t>
        </is>
      </c>
      <c r="G480" t="inlineStr">
        <is>
          <t>Mobile App</t>
        </is>
      </c>
      <c r="H480" t="inlineStr">
        <is>
          <t>UPI</t>
        </is>
      </c>
      <c r="I480" t="inlineStr">
        <is>
          <t>Delivered</t>
        </is>
      </c>
      <c r="J480" t="n">
        <v>147</v>
      </c>
      <c r="K480" t="n">
        <v>2</v>
      </c>
      <c r="L480" s="7" t="n">
        <v>1364</v>
      </c>
      <c r="M480" s="7" t="n">
        <v>272.8</v>
      </c>
    </row>
    <row r="481">
      <c r="A481" t="n">
        <v>509568</v>
      </c>
      <c r="B481" s="6" t="n">
        <v>45938</v>
      </c>
      <c r="C481" t="n">
        <v>15975</v>
      </c>
      <c r="D481" t="inlineStr">
        <is>
          <t>Delhi</t>
        </is>
      </c>
      <c r="E481" t="inlineStr">
        <is>
          <t>North</t>
        </is>
      </c>
      <c r="F481" t="inlineStr">
        <is>
          <t>Organic Search</t>
        </is>
      </c>
      <c r="G481" t="inlineStr">
        <is>
          <t>Mobile App</t>
        </is>
      </c>
      <c r="H481" t="inlineStr">
        <is>
          <t>UPI</t>
        </is>
      </c>
      <c r="I481" t="inlineStr">
        <is>
          <t>Delivered</t>
        </is>
      </c>
      <c r="J481" t="n">
        <v>129</v>
      </c>
      <c r="K481" t="n">
        <v>1</v>
      </c>
      <c r="L481" s="7" t="n">
        <v>576</v>
      </c>
      <c r="M481" s="7" t="n">
        <v>57.6</v>
      </c>
    </row>
    <row r="482">
      <c r="A482" t="n">
        <v>509569</v>
      </c>
      <c r="B482" s="6" t="n">
        <v>45938</v>
      </c>
      <c r="C482" t="n">
        <v>14611</v>
      </c>
      <c r="D482" t="inlineStr">
        <is>
          <t>Lucknow</t>
        </is>
      </c>
      <c r="E482" t="inlineStr">
        <is>
          <t>North</t>
        </is>
      </c>
      <c r="F482" t="inlineStr">
        <is>
          <t>Affiliate</t>
        </is>
      </c>
      <c r="G482" t="inlineStr">
        <is>
          <t>Mobile Web</t>
        </is>
      </c>
      <c r="H482" t="inlineStr">
        <is>
          <t>Cash on Delivery</t>
        </is>
      </c>
      <c r="I482" t="inlineStr">
        <is>
          <t>Delivered</t>
        </is>
      </c>
      <c r="J482" t="n">
        <v>116</v>
      </c>
      <c r="K482" t="n">
        <v>1</v>
      </c>
      <c r="L482" s="7" t="n">
        <v>2624</v>
      </c>
      <c r="M482" s="7" t="n">
        <v>262.4</v>
      </c>
    </row>
    <row r="483">
      <c r="A483" t="n">
        <v>509570</v>
      </c>
      <c r="B483" s="6" t="n">
        <v>45938</v>
      </c>
      <c r="C483" t="n">
        <v>16664</v>
      </c>
      <c r="D483" t="inlineStr">
        <is>
          <t>Pune</t>
        </is>
      </c>
      <c r="E483" t="inlineStr">
        <is>
          <t>West</t>
        </is>
      </c>
      <c r="F483" t="inlineStr">
        <is>
          <t>Email</t>
        </is>
      </c>
      <c r="G483" t="inlineStr">
        <is>
          <t>Mobile Web</t>
        </is>
      </c>
      <c r="H483" t="inlineStr">
        <is>
          <t>UPI</t>
        </is>
      </c>
      <c r="I483" t="inlineStr">
        <is>
          <t>Delivered</t>
        </is>
      </c>
      <c r="J483" t="n">
        <v>143</v>
      </c>
      <c r="K483" t="n">
        <v>3</v>
      </c>
      <c r="L483" s="7" t="n">
        <v>839</v>
      </c>
      <c r="M483" s="7" t="n">
        <v>377.55</v>
      </c>
    </row>
    <row r="484">
      <c r="A484" t="n">
        <v>509571</v>
      </c>
      <c r="B484" s="6" t="n">
        <v>45938</v>
      </c>
      <c r="C484" t="n">
        <v>16710</v>
      </c>
      <c r="D484" t="inlineStr">
        <is>
          <t>Kolkata</t>
        </is>
      </c>
      <c r="E484" t="inlineStr">
        <is>
          <t>East</t>
        </is>
      </c>
      <c r="F484" t="inlineStr">
        <is>
          <t>Email</t>
        </is>
      </c>
      <c r="G484" t="inlineStr">
        <is>
          <t>Mobile App</t>
        </is>
      </c>
      <c r="H484" t="inlineStr">
        <is>
          <t>UPI</t>
        </is>
      </c>
      <c r="I484" t="inlineStr">
        <is>
          <t>Delivered</t>
        </is>
      </c>
      <c r="J484" t="n">
        <v>146</v>
      </c>
      <c r="K484" t="n">
        <v>1</v>
      </c>
      <c r="L484" s="7" t="n">
        <v>4724</v>
      </c>
      <c r="M484" s="7" t="n">
        <v>0</v>
      </c>
    </row>
    <row r="485">
      <c r="A485" t="n">
        <v>509571</v>
      </c>
      <c r="B485" s="6" t="n">
        <v>45938</v>
      </c>
      <c r="C485" t="n">
        <v>16710</v>
      </c>
      <c r="D485" t="inlineStr">
        <is>
          <t>Kolkata</t>
        </is>
      </c>
      <c r="E485" t="inlineStr">
        <is>
          <t>East</t>
        </is>
      </c>
      <c r="F485" t="inlineStr">
        <is>
          <t>Email</t>
        </is>
      </c>
      <c r="G485" t="inlineStr">
        <is>
          <t>Mobile App</t>
        </is>
      </c>
      <c r="H485" t="inlineStr">
        <is>
          <t>UPI</t>
        </is>
      </c>
      <c r="I485" t="inlineStr">
        <is>
          <t>Delivered</t>
        </is>
      </c>
      <c r="J485" t="n">
        <v>129</v>
      </c>
      <c r="K485" t="n">
        <v>1</v>
      </c>
      <c r="L485" s="7" t="n">
        <v>576</v>
      </c>
      <c r="M485" s="7" t="n">
        <v>0</v>
      </c>
    </row>
    <row r="486">
      <c r="A486" t="n">
        <v>509572</v>
      </c>
      <c r="B486" s="6" t="n">
        <v>45938</v>
      </c>
      <c r="C486" t="n">
        <v>16520</v>
      </c>
      <c r="D486" t="inlineStr">
        <is>
          <t>Kochi</t>
        </is>
      </c>
      <c r="E486" t="inlineStr">
        <is>
          <t>South</t>
        </is>
      </c>
      <c r="F486" t="inlineStr">
        <is>
          <t>Organic Search</t>
        </is>
      </c>
      <c r="G486" t="inlineStr">
        <is>
          <t>Mobile App</t>
        </is>
      </c>
      <c r="H486" t="inlineStr">
        <is>
          <t>UPI</t>
        </is>
      </c>
      <c r="I486" t="inlineStr">
        <is>
          <t>Delivered</t>
        </is>
      </c>
      <c r="J486" t="n">
        <v>108</v>
      </c>
      <c r="K486" t="n">
        <v>1</v>
      </c>
      <c r="L486" s="7" t="n">
        <v>419</v>
      </c>
      <c r="M486" s="7" t="n">
        <v>0</v>
      </c>
    </row>
    <row r="487">
      <c r="A487" t="n">
        <v>509572</v>
      </c>
      <c r="B487" s="6" t="n">
        <v>45938</v>
      </c>
      <c r="C487" t="n">
        <v>16520</v>
      </c>
      <c r="D487" t="inlineStr">
        <is>
          <t>Kochi</t>
        </is>
      </c>
      <c r="E487" t="inlineStr">
        <is>
          <t>South</t>
        </is>
      </c>
      <c r="F487" t="inlineStr">
        <is>
          <t>Organic Search</t>
        </is>
      </c>
      <c r="G487" t="inlineStr">
        <is>
          <t>Mobile App</t>
        </is>
      </c>
      <c r="H487" t="inlineStr">
        <is>
          <t>UPI</t>
        </is>
      </c>
      <c r="I487" t="inlineStr">
        <is>
          <t>Delivered</t>
        </is>
      </c>
      <c r="J487" t="n">
        <v>105</v>
      </c>
      <c r="K487" t="n">
        <v>3</v>
      </c>
      <c r="L487" s="7" t="n">
        <v>2414</v>
      </c>
      <c r="M487" s="7" t="n">
        <v>0</v>
      </c>
    </row>
    <row r="488">
      <c r="A488" t="n">
        <v>509572</v>
      </c>
      <c r="B488" s="6" t="n">
        <v>45938</v>
      </c>
      <c r="C488" t="n">
        <v>16520</v>
      </c>
      <c r="D488" t="inlineStr">
        <is>
          <t>Kochi</t>
        </is>
      </c>
      <c r="E488" t="inlineStr">
        <is>
          <t>South</t>
        </is>
      </c>
      <c r="F488" t="inlineStr">
        <is>
          <t>Organic Search</t>
        </is>
      </c>
      <c r="G488" t="inlineStr">
        <is>
          <t>Mobile App</t>
        </is>
      </c>
      <c r="H488" t="inlineStr">
        <is>
          <t>UPI</t>
        </is>
      </c>
      <c r="I488" t="inlineStr">
        <is>
          <t>Delivered</t>
        </is>
      </c>
      <c r="J488" t="n">
        <v>129</v>
      </c>
      <c r="K488" t="n">
        <v>1</v>
      </c>
      <c r="L488" s="7" t="n">
        <v>576</v>
      </c>
      <c r="M488" s="7" t="n">
        <v>0</v>
      </c>
    </row>
    <row r="489">
      <c r="A489" t="n">
        <v>509573</v>
      </c>
      <c r="B489" s="6" t="n">
        <v>45938</v>
      </c>
      <c r="C489" t="n">
        <v>15121</v>
      </c>
      <c r="D489" t="inlineStr">
        <is>
          <t>Noida</t>
        </is>
      </c>
      <c r="E489" t="inlineStr">
        <is>
          <t>North</t>
        </is>
      </c>
      <c r="F489" t="inlineStr">
        <is>
          <t>Paid Search</t>
        </is>
      </c>
      <c r="G489" t="inlineStr">
        <is>
          <t>Mobile App</t>
        </is>
      </c>
      <c r="H489" t="inlineStr">
        <is>
          <t>Net Banking</t>
        </is>
      </c>
      <c r="I489" t="inlineStr">
        <is>
          <t>Delivered</t>
        </is>
      </c>
      <c r="J489" t="n">
        <v>123</v>
      </c>
      <c r="K489" t="n">
        <v>1</v>
      </c>
      <c r="L489" s="7" t="n">
        <v>3464</v>
      </c>
      <c r="M489" s="7" t="n">
        <v>0</v>
      </c>
    </row>
    <row r="490">
      <c r="A490" t="n">
        <v>509573</v>
      </c>
      <c r="B490" s="6" t="n">
        <v>45938</v>
      </c>
      <c r="C490" t="n">
        <v>15121</v>
      </c>
      <c r="D490" t="inlineStr">
        <is>
          <t>Noida</t>
        </is>
      </c>
      <c r="E490" t="inlineStr">
        <is>
          <t>North</t>
        </is>
      </c>
      <c r="F490" t="inlineStr">
        <is>
          <t>Paid Search</t>
        </is>
      </c>
      <c r="G490" t="inlineStr">
        <is>
          <t>Mobile App</t>
        </is>
      </c>
      <c r="H490" t="inlineStr">
        <is>
          <t>Net Banking</t>
        </is>
      </c>
      <c r="I490" t="inlineStr">
        <is>
          <t>Delivered</t>
        </is>
      </c>
      <c r="J490" t="n">
        <v>102</v>
      </c>
      <c r="K490" t="n">
        <v>1</v>
      </c>
      <c r="L490" s="7" t="n">
        <v>3674</v>
      </c>
      <c r="M490" s="7" t="n">
        <v>0</v>
      </c>
    </row>
    <row r="491">
      <c r="A491" t="n">
        <v>509573</v>
      </c>
      <c r="B491" s="6" t="n">
        <v>45938</v>
      </c>
      <c r="C491" t="n">
        <v>15121</v>
      </c>
      <c r="D491" t="inlineStr">
        <is>
          <t>Noida</t>
        </is>
      </c>
      <c r="E491" t="inlineStr">
        <is>
          <t>North</t>
        </is>
      </c>
      <c r="F491" t="inlineStr">
        <is>
          <t>Paid Search</t>
        </is>
      </c>
      <c r="G491" t="inlineStr">
        <is>
          <t>Mobile App</t>
        </is>
      </c>
      <c r="H491" t="inlineStr">
        <is>
          <t>Net Banking</t>
        </is>
      </c>
      <c r="I491" t="inlineStr">
        <is>
          <t>Delivered</t>
        </is>
      </c>
      <c r="J491" t="n">
        <v>129</v>
      </c>
      <c r="K491" t="n">
        <v>1</v>
      </c>
      <c r="L491" s="7" t="n">
        <v>576</v>
      </c>
      <c r="M491" s="7" t="n">
        <v>0</v>
      </c>
    </row>
    <row r="492">
      <c r="A492" t="n">
        <v>509574</v>
      </c>
      <c r="B492" s="6" t="n">
        <v>45938</v>
      </c>
      <c r="C492" t="n">
        <v>16496</v>
      </c>
      <c r="D492" t="inlineStr">
        <is>
          <t>Mumbai</t>
        </is>
      </c>
      <c r="E492" t="inlineStr">
        <is>
          <t>West</t>
        </is>
      </c>
      <c r="F492" t="inlineStr">
        <is>
          <t>Paid Social</t>
        </is>
      </c>
      <c r="G492" t="inlineStr">
        <is>
          <t>Mobile App</t>
        </is>
      </c>
      <c r="H492" t="inlineStr">
        <is>
          <t>Credit Card</t>
        </is>
      </c>
      <c r="I492" t="inlineStr">
        <is>
          <t>Delivered</t>
        </is>
      </c>
      <c r="J492" t="n">
        <v>113</v>
      </c>
      <c r="K492" t="n">
        <v>2</v>
      </c>
      <c r="L492" s="7" t="n">
        <v>1364</v>
      </c>
      <c r="M492" s="7" t="n">
        <v>272.8</v>
      </c>
    </row>
    <row r="493">
      <c r="A493" t="n">
        <v>509574</v>
      </c>
      <c r="B493" s="6" t="n">
        <v>45938</v>
      </c>
      <c r="C493" t="n">
        <v>16496</v>
      </c>
      <c r="D493" t="inlineStr">
        <is>
          <t>Mumbai</t>
        </is>
      </c>
      <c r="E493" t="inlineStr">
        <is>
          <t>West</t>
        </is>
      </c>
      <c r="F493" t="inlineStr">
        <is>
          <t>Paid Social</t>
        </is>
      </c>
      <c r="G493" t="inlineStr">
        <is>
          <t>Mobile App</t>
        </is>
      </c>
      <c r="H493" t="inlineStr">
        <is>
          <t>Credit Card</t>
        </is>
      </c>
      <c r="I493" t="inlineStr">
        <is>
          <t>Delivered</t>
        </is>
      </c>
      <c r="J493" t="n">
        <v>129</v>
      </c>
      <c r="K493" t="n">
        <v>1</v>
      </c>
      <c r="L493" s="7" t="n">
        <v>576</v>
      </c>
      <c r="M493" s="7" t="n">
        <v>57.6</v>
      </c>
    </row>
    <row r="494">
      <c r="A494" t="n">
        <v>509575</v>
      </c>
      <c r="B494" s="6" t="n">
        <v>45938</v>
      </c>
      <c r="C494" t="n">
        <v>16619</v>
      </c>
      <c r="D494" t="inlineStr">
        <is>
          <t>Bengaluru</t>
        </is>
      </c>
      <c r="E494" t="inlineStr">
        <is>
          <t>South</t>
        </is>
      </c>
      <c r="F494" t="inlineStr">
        <is>
          <t>Paid Social</t>
        </is>
      </c>
      <c r="G494" t="inlineStr">
        <is>
          <t>Mobile App</t>
        </is>
      </c>
      <c r="H494" t="inlineStr">
        <is>
          <t>Cash on Delivery</t>
        </is>
      </c>
      <c r="I494" t="inlineStr">
        <is>
          <t>Delivered</t>
        </is>
      </c>
      <c r="J494" t="n">
        <v>143</v>
      </c>
      <c r="K494" t="n">
        <v>1</v>
      </c>
      <c r="L494" s="7" t="n">
        <v>839</v>
      </c>
      <c r="M494" s="7" t="n">
        <v>125.85</v>
      </c>
    </row>
    <row r="495">
      <c r="A495" t="n">
        <v>509575</v>
      </c>
      <c r="B495" s="6" t="n">
        <v>45938</v>
      </c>
      <c r="C495" t="n">
        <v>16619</v>
      </c>
      <c r="D495" t="inlineStr">
        <is>
          <t>Bengaluru</t>
        </is>
      </c>
      <c r="E495" t="inlineStr">
        <is>
          <t>South</t>
        </is>
      </c>
      <c r="F495" t="inlineStr">
        <is>
          <t>Paid Social</t>
        </is>
      </c>
      <c r="G495" t="inlineStr">
        <is>
          <t>Mobile App</t>
        </is>
      </c>
      <c r="H495" t="inlineStr">
        <is>
          <t>Cash on Delivery</t>
        </is>
      </c>
      <c r="I495" t="inlineStr">
        <is>
          <t>Delivered</t>
        </is>
      </c>
      <c r="J495" t="n">
        <v>130</v>
      </c>
      <c r="K495" t="n">
        <v>1</v>
      </c>
      <c r="L495" s="7" t="n">
        <v>734</v>
      </c>
      <c r="M495" s="7" t="n">
        <v>110.1</v>
      </c>
    </row>
    <row r="496">
      <c r="A496" t="n">
        <v>509576</v>
      </c>
      <c r="B496" s="6" t="n">
        <v>45938</v>
      </c>
      <c r="C496" t="n">
        <v>11331</v>
      </c>
      <c r="D496" t="inlineStr">
        <is>
          <t>Bengaluru</t>
        </is>
      </c>
      <c r="E496" t="inlineStr">
        <is>
          <t>South</t>
        </is>
      </c>
      <c r="F496" t="inlineStr">
        <is>
          <t>Paid Search</t>
        </is>
      </c>
      <c r="G496" t="inlineStr">
        <is>
          <t>Mobile App</t>
        </is>
      </c>
      <c r="H496" t="inlineStr">
        <is>
          <t>UPI</t>
        </is>
      </c>
      <c r="I496" t="inlineStr">
        <is>
          <t>Delivered</t>
        </is>
      </c>
      <c r="J496" t="n">
        <v>103</v>
      </c>
      <c r="K496" t="n">
        <v>1</v>
      </c>
      <c r="L496" s="7" t="n">
        <v>2624</v>
      </c>
      <c r="M496" s="7" t="n">
        <v>0</v>
      </c>
    </row>
    <row r="497">
      <c r="A497" t="n">
        <v>509576</v>
      </c>
      <c r="B497" s="6" t="n">
        <v>45938</v>
      </c>
      <c r="C497" t="n">
        <v>11331</v>
      </c>
      <c r="D497" t="inlineStr">
        <is>
          <t>Bengaluru</t>
        </is>
      </c>
      <c r="E497" t="inlineStr">
        <is>
          <t>South</t>
        </is>
      </c>
      <c r="F497" t="inlineStr">
        <is>
          <t>Paid Search</t>
        </is>
      </c>
      <c r="G497" t="inlineStr">
        <is>
          <t>Mobile App</t>
        </is>
      </c>
      <c r="H497" t="inlineStr">
        <is>
          <t>UPI</t>
        </is>
      </c>
      <c r="I497" t="inlineStr">
        <is>
          <t>Delivered</t>
        </is>
      </c>
      <c r="J497" t="n">
        <v>134</v>
      </c>
      <c r="K497" t="n">
        <v>1</v>
      </c>
      <c r="L497" s="7" t="n">
        <v>209</v>
      </c>
      <c r="M497" s="7" t="n">
        <v>0</v>
      </c>
    </row>
    <row r="498">
      <c r="A498" t="n">
        <v>509576</v>
      </c>
      <c r="B498" s="6" t="n">
        <v>45938</v>
      </c>
      <c r="C498" t="n">
        <v>11331</v>
      </c>
      <c r="D498" t="inlineStr">
        <is>
          <t>Bengaluru</t>
        </is>
      </c>
      <c r="E498" t="inlineStr">
        <is>
          <t>South</t>
        </is>
      </c>
      <c r="F498" t="inlineStr">
        <is>
          <t>Paid Search</t>
        </is>
      </c>
      <c r="G498" t="inlineStr">
        <is>
          <t>Mobile App</t>
        </is>
      </c>
      <c r="H498" t="inlineStr">
        <is>
          <t>UPI</t>
        </is>
      </c>
      <c r="I498" t="inlineStr">
        <is>
          <t>Delivered</t>
        </is>
      </c>
      <c r="J498" t="n">
        <v>129</v>
      </c>
      <c r="K498" t="n">
        <v>1</v>
      </c>
      <c r="L498" s="7" t="n">
        <v>576</v>
      </c>
      <c r="M498" s="7" t="n">
        <v>0</v>
      </c>
    </row>
    <row r="499">
      <c r="A499" t="n">
        <v>509577</v>
      </c>
      <c r="B499" s="6" t="n">
        <v>45938</v>
      </c>
      <c r="C499" t="n">
        <v>11926</v>
      </c>
      <c r="D499" t="inlineStr">
        <is>
          <t>Indore</t>
        </is>
      </c>
      <c r="E499" t="inlineStr">
        <is>
          <t>West</t>
        </is>
      </c>
      <c r="F499" t="inlineStr">
        <is>
          <t>Paid Social</t>
        </is>
      </c>
      <c r="G499" t="inlineStr">
        <is>
          <t>Mobile Web</t>
        </is>
      </c>
      <c r="H499" t="inlineStr">
        <is>
          <t>Cash on Delivery</t>
        </is>
      </c>
      <c r="I499" t="inlineStr">
        <is>
          <t>Delivered</t>
        </is>
      </c>
      <c r="J499" t="n">
        <v>107</v>
      </c>
      <c r="K499" t="n">
        <v>1</v>
      </c>
      <c r="L499" s="7" t="n">
        <v>1259</v>
      </c>
      <c r="M499" s="7" t="n">
        <v>0</v>
      </c>
    </row>
    <row r="500">
      <c r="A500" t="n">
        <v>509578</v>
      </c>
      <c r="B500" s="6" t="n">
        <v>45938</v>
      </c>
      <c r="C500" t="n">
        <v>16687</v>
      </c>
      <c r="D500" t="inlineStr">
        <is>
          <t>Delhi</t>
        </is>
      </c>
      <c r="E500" t="inlineStr">
        <is>
          <t>North</t>
        </is>
      </c>
      <c r="F500" t="inlineStr">
        <is>
          <t>Email</t>
        </is>
      </c>
      <c r="G500" t="inlineStr">
        <is>
          <t>Mobile App</t>
        </is>
      </c>
      <c r="H500" t="inlineStr">
        <is>
          <t>UPI</t>
        </is>
      </c>
      <c r="I500" t="inlineStr">
        <is>
          <t>Delivered</t>
        </is>
      </c>
      <c r="J500" t="n">
        <v>139</v>
      </c>
      <c r="K500" t="n">
        <v>1</v>
      </c>
      <c r="L500" s="7" t="n">
        <v>366</v>
      </c>
      <c r="M500" s="7" t="n">
        <v>36.6</v>
      </c>
    </row>
    <row r="501">
      <c r="A501" t="n">
        <v>509578</v>
      </c>
      <c r="B501" s="6" t="n">
        <v>45938</v>
      </c>
      <c r="C501" t="n">
        <v>16687</v>
      </c>
      <c r="D501" t="inlineStr">
        <is>
          <t>Delhi</t>
        </is>
      </c>
      <c r="E501" t="inlineStr">
        <is>
          <t>North</t>
        </is>
      </c>
      <c r="F501" t="inlineStr">
        <is>
          <t>Email</t>
        </is>
      </c>
      <c r="G501" t="inlineStr">
        <is>
          <t>Mobile App</t>
        </is>
      </c>
      <c r="H501" t="inlineStr">
        <is>
          <t>UPI</t>
        </is>
      </c>
      <c r="I501" t="inlineStr">
        <is>
          <t>Delivered</t>
        </is>
      </c>
      <c r="J501" t="n">
        <v>131</v>
      </c>
      <c r="K501" t="n">
        <v>1</v>
      </c>
      <c r="L501" s="7" t="n">
        <v>314</v>
      </c>
      <c r="M501" s="7" t="n">
        <v>31.4</v>
      </c>
    </row>
    <row r="502">
      <c r="A502" t="n">
        <v>509579</v>
      </c>
      <c r="B502" s="6" t="n">
        <v>45938</v>
      </c>
      <c r="C502" t="n">
        <v>15709</v>
      </c>
      <c r="D502" t="inlineStr">
        <is>
          <t>Delhi</t>
        </is>
      </c>
      <c r="E502" t="inlineStr">
        <is>
          <t>North</t>
        </is>
      </c>
      <c r="F502" t="inlineStr">
        <is>
          <t>Organic Search</t>
        </is>
      </c>
      <c r="G502" t="inlineStr">
        <is>
          <t>Mobile App</t>
        </is>
      </c>
      <c r="H502" t="inlineStr">
        <is>
          <t>UPI</t>
        </is>
      </c>
      <c r="I502" t="inlineStr">
        <is>
          <t>Returned</t>
        </is>
      </c>
      <c r="J502" t="n">
        <v>103</v>
      </c>
      <c r="K502" t="n">
        <v>1</v>
      </c>
      <c r="L502" s="7" t="n">
        <v>2624</v>
      </c>
      <c r="M502" s="7" t="n">
        <v>0</v>
      </c>
    </row>
    <row r="503">
      <c r="A503" t="n">
        <v>509579</v>
      </c>
      <c r="B503" s="6" t="n">
        <v>45938</v>
      </c>
      <c r="C503" t="n">
        <v>15709</v>
      </c>
      <c r="D503" t="inlineStr">
        <is>
          <t>Delhi</t>
        </is>
      </c>
      <c r="E503" t="inlineStr">
        <is>
          <t>North</t>
        </is>
      </c>
      <c r="F503" t="inlineStr">
        <is>
          <t>Organic Search</t>
        </is>
      </c>
      <c r="G503" t="inlineStr">
        <is>
          <t>Mobile App</t>
        </is>
      </c>
      <c r="H503" t="inlineStr">
        <is>
          <t>UPI</t>
        </is>
      </c>
      <c r="I503" t="inlineStr">
        <is>
          <t>Returned</t>
        </is>
      </c>
      <c r="J503" t="n">
        <v>112</v>
      </c>
      <c r="K503" t="n">
        <v>1</v>
      </c>
      <c r="L503" s="7" t="n">
        <v>1574</v>
      </c>
      <c r="M503" s="7" t="n">
        <v>0</v>
      </c>
    </row>
    <row r="504">
      <c r="A504" t="n">
        <v>509580</v>
      </c>
      <c r="B504" s="6" t="n">
        <v>45938</v>
      </c>
      <c r="C504" t="n">
        <v>15755</v>
      </c>
      <c r="D504" t="inlineStr">
        <is>
          <t>Bengaluru</t>
        </is>
      </c>
      <c r="E504" t="inlineStr">
        <is>
          <t>South</t>
        </is>
      </c>
      <c r="F504" t="inlineStr">
        <is>
          <t>Paid Social</t>
        </is>
      </c>
      <c r="G504" t="inlineStr">
        <is>
          <t>Mobile App</t>
        </is>
      </c>
      <c r="H504" t="inlineStr">
        <is>
          <t>Credit Card</t>
        </is>
      </c>
      <c r="I504" t="inlineStr">
        <is>
          <t>Returned</t>
        </is>
      </c>
      <c r="J504" t="n">
        <v>128</v>
      </c>
      <c r="K504" t="n">
        <v>1</v>
      </c>
      <c r="L504" s="7" t="n">
        <v>1049</v>
      </c>
      <c r="M504" s="7" t="n">
        <v>104.9</v>
      </c>
    </row>
    <row r="505">
      <c r="A505" t="n">
        <v>509581</v>
      </c>
      <c r="B505" s="6" t="n">
        <v>45938</v>
      </c>
      <c r="C505" t="n">
        <v>13248</v>
      </c>
      <c r="D505" t="inlineStr">
        <is>
          <t>Delhi</t>
        </is>
      </c>
      <c r="E505" t="inlineStr">
        <is>
          <t>North</t>
        </is>
      </c>
      <c r="F505" t="inlineStr">
        <is>
          <t>Paid Search</t>
        </is>
      </c>
      <c r="G505" t="inlineStr">
        <is>
          <t>Desktop</t>
        </is>
      </c>
      <c r="H505" t="inlineStr">
        <is>
          <t>UPI</t>
        </is>
      </c>
      <c r="I505" t="inlineStr">
        <is>
          <t>Delivered</t>
        </is>
      </c>
      <c r="J505" t="n">
        <v>139</v>
      </c>
      <c r="K505" t="n">
        <v>1</v>
      </c>
      <c r="L505" s="7" t="n">
        <v>366</v>
      </c>
      <c r="M505" s="7" t="n">
        <v>0</v>
      </c>
    </row>
    <row r="506">
      <c r="A506" t="n">
        <v>509581</v>
      </c>
      <c r="B506" s="6" t="n">
        <v>45938</v>
      </c>
      <c r="C506" t="n">
        <v>13248</v>
      </c>
      <c r="D506" t="inlineStr">
        <is>
          <t>Delhi</t>
        </is>
      </c>
      <c r="E506" t="inlineStr">
        <is>
          <t>North</t>
        </is>
      </c>
      <c r="F506" t="inlineStr">
        <is>
          <t>Paid Search</t>
        </is>
      </c>
      <c r="G506" t="inlineStr">
        <is>
          <t>Desktop</t>
        </is>
      </c>
      <c r="H506" t="inlineStr">
        <is>
          <t>UPI</t>
        </is>
      </c>
      <c r="I506" t="inlineStr">
        <is>
          <t>Delivered</t>
        </is>
      </c>
      <c r="J506" t="n">
        <v>106</v>
      </c>
      <c r="K506" t="n">
        <v>1</v>
      </c>
      <c r="L506" s="7" t="n">
        <v>1574</v>
      </c>
      <c r="M506" s="7" t="n">
        <v>0</v>
      </c>
    </row>
    <row r="507">
      <c r="A507" t="n">
        <v>509581</v>
      </c>
      <c r="B507" s="6" t="n">
        <v>45938</v>
      </c>
      <c r="C507" t="n">
        <v>13248</v>
      </c>
      <c r="D507" t="inlineStr">
        <is>
          <t>Delhi</t>
        </is>
      </c>
      <c r="E507" t="inlineStr">
        <is>
          <t>North</t>
        </is>
      </c>
      <c r="F507" t="inlineStr">
        <is>
          <t>Paid Search</t>
        </is>
      </c>
      <c r="G507" t="inlineStr">
        <is>
          <t>Desktop</t>
        </is>
      </c>
      <c r="H507" t="inlineStr">
        <is>
          <t>UPI</t>
        </is>
      </c>
      <c r="I507" t="inlineStr">
        <is>
          <t>Delivered</t>
        </is>
      </c>
      <c r="J507" t="n">
        <v>129</v>
      </c>
      <c r="K507" t="n">
        <v>1</v>
      </c>
      <c r="L507" s="7" t="n">
        <v>576</v>
      </c>
      <c r="M507" s="7" t="n">
        <v>0</v>
      </c>
    </row>
    <row r="508">
      <c r="A508" t="n">
        <v>509582</v>
      </c>
      <c r="B508" s="6" t="n">
        <v>45938</v>
      </c>
      <c r="C508" t="n">
        <v>15928</v>
      </c>
      <c r="D508" t="inlineStr">
        <is>
          <t>Delhi</t>
        </is>
      </c>
      <c r="E508" t="inlineStr">
        <is>
          <t>North</t>
        </is>
      </c>
      <c r="F508" t="inlineStr">
        <is>
          <t>Paid Search</t>
        </is>
      </c>
      <c r="G508" t="inlineStr">
        <is>
          <t>Mobile App</t>
        </is>
      </c>
      <c r="H508" t="inlineStr">
        <is>
          <t>Cash on Delivery</t>
        </is>
      </c>
      <c r="I508" t="inlineStr">
        <is>
          <t>Delivered</t>
        </is>
      </c>
      <c r="J508" t="n">
        <v>116</v>
      </c>
      <c r="K508" t="n">
        <v>2</v>
      </c>
      <c r="L508" s="7" t="n">
        <v>2624</v>
      </c>
      <c r="M508" s="7" t="n">
        <v>524.8</v>
      </c>
    </row>
    <row r="509">
      <c r="A509" t="n">
        <v>509582</v>
      </c>
      <c r="B509" s="6" t="n">
        <v>45938</v>
      </c>
      <c r="C509" t="n">
        <v>15928</v>
      </c>
      <c r="D509" t="inlineStr">
        <is>
          <t>Delhi</t>
        </is>
      </c>
      <c r="E509" t="inlineStr">
        <is>
          <t>North</t>
        </is>
      </c>
      <c r="F509" t="inlineStr">
        <is>
          <t>Paid Search</t>
        </is>
      </c>
      <c r="G509" t="inlineStr">
        <is>
          <t>Mobile App</t>
        </is>
      </c>
      <c r="H509" t="inlineStr">
        <is>
          <t>Cash on Delivery</t>
        </is>
      </c>
      <c r="I509" t="inlineStr">
        <is>
          <t>Delivered</t>
        </is>
      </c>
      <c r="J509" t="n">
        <v>120</v>
      </c>
      <c r="K509" t="n">
        <v>1</v>
      </c>
      <c r="L509" s="7" t="n">
        <v>734</v>
      </c>
      <c r="M509" s="7" t="n">
        <v>73.40000000000001</v>
      </c>
    </row>
    <row r="510">
      <c r="A510" t="n">
        <v>509583</v>
      </c>
      <c r="B510" s="6" t="n">
        <v>45938</v>
      </c>
      <c r="C510" t="n">
        <v>16701</v>
      </c>
      <c r="D510" t="inlineStr">
        <is>
          <t>Mumbai</t>
        </is>
      </c>
      <c r="E510" t="inlineStr">
        <is>
          <t>West</t>
        </is>
      </c>
      <c r="F510" t="inlineStr">
        <is>
          <t>Organic Search</t>
        </is>
      </c>
      <c r="G510" t="inlineStr">
        <is>
          <t>Mobile App</t>
        </is>
      </c>
      <c r="H510" t="inlineStr">
        <is>
          <t>UPI</t>
        </is>
      </c>
      <c r="I510" t="inlineStr">
        <is>
          <t>Delivered</t>
        </is>
      </c>
      <c r="J510" t="n">
        <v>101</v>
      </c>
      <c r="K510" t="n">
        <v>2</v>
      </c>
      <c r="L510" s="7" t="n">
        <v>2099</v>
      </c>
      <c r="M510" s="7" t="n">
        <v>0</v>
      </c>
    </row>
    <row r="511">
      <c r="A511" t="n">
        <v>509584</v>
      </c>
      <c r="B511" s="6" t="n">
        <v>45938</v>
      </c>
      <c r="C511" t="n">
        <v>10460</v>
      </c>
      <c r="D511" t="inlineStr">
        <is>
          <t>Pune</t>
        </is>
      </c>
      <c r="E511" t="inlineStr">
        <is>
          <t>West</t>
        </is>
      </c>
      <c r="F511" t="inlineStr">
        <is>
          <t>Paid Social</t>
        </is>
      </c>
      <c r="G511" t="inlineStr">
        <is>
          <t>Desktop</t>
        </is>
      </c>
      <c r="H511" t="inlineStr">
        <is>
          <t>UPI</t>
        </is>
      </c>
      <c r="I511" t="inlineStr">
        <is>
          <t>Delivered</t>
        </is>
      </c>
      <c r="J511" t="n">
        <v>110</v>
      </c>
      <c r="K511" t="n">
        <v>1</v>
      </c>
      <c r="L511" s="7" t="n">
        <v>839</v>
      </c>
      <c r="M511" s="7" t="n">
        <v>0</v>
      </c>
    </row>
    <row r="512">
      <c r="A512" t="n">
        <v>509584</v>
      </c>
      <c r="B512" s="6" t="n">
        <v>45938</v>
      </c>
      <c r="C512" t="n">
        <v>10460</v>
      </c>
      <c r="D512" t="inlineStr">
        <is>
          <t>Pune</t>
        </is>
      </c>
      <c r="E512" t="inlineStr">
        <is>
          <t>West</t>
        </is>
      </c>
      <c r="F512" t="inlineStr">
        <is>
          <t>Paid Social</t>
        </is>
      </c>
      <c r="G512" t="inlineStr">
        <is>
          <t>Desktop</t>
        </is>
      </c>
      <c r="H512" t="inlineStr">
        <is>
          <t>UPI</t>
        </is>
      </c>
      <c r="I512" t="inlineStr">
        <is>
          <t>Delivered</t>
        </is>
      </c>
      <c r="J512" t="n">
        <v>129</v>
      </c>
      <c r="K512" t="n">
        <v>1</v>
      </c>
      <c r="L512" s="7" t="n">
        <v>576</v>
      </c>
      <c r="M512" s="7" t="n">
        <v>0</v>
      </c>
    </row>
    <row r="513">
      <c r="A513" t="n">
        <v>509585</v>
      </c>
      <c r="B513" s="6" t="n">
        <v>45938</v>
      </c>
      <c r="C513" t="n">
        <v>10271</v>
      </c>
      <c r="D513" t="inlineStr">
        <is>
          <t>Mumbai</t>
        </is>
      </c>
      <c r="E513" t="inlineStr">
        <is>
          <t>West</t>
        </is>
      </c>
      <c r="F513" t="inlineStr">
        <is>
          <t>Paid Social</t>
        </is>
      </c>
      <c r="G513" t="inlineStr">
        <is>
          <t>Mobile App</t>
        </is>
      </c>
      <c r="H513" t="inlineStr">
        <is>
          <t>Cash on Delivery</t>
        </is>
      </c>
      <c r="I513" t="inlineStr">
        <is>
          <t>Delivered</t>
        </is>
      </c>
      <c r="J513" t="n">
        <v>142</v>
      </c>
      <c r="K513" t="n">
        <v>1</v>
      </c>
      <c r="L513" s="7" t="n">
        <v>839</v>
      </c>
      <c r="M513" s="7" t="n">
        <v>83.90000000000001</v>
      </c>
    </row>
    <row r="514">
      <c r="A514" t="n">
        <v>509585</v>
      </c>
      <c r="B514" s="6" t="n">
        <v>45938</v>
      </c>
      <c r="C514" t="n">
        <v>10271</v>
      </c>
      <c r="D514" t="inlineStr">
        <is>
          <t>Mumbai</t>
        </is>
      </c>
      <c r="E514" t="inlineStr">
        <is>
          <t>West</t>
        </is>
      </c>
      <c r="F514" t="inlineStr">
        <is>
          <t>Paid Social</t>
        </is>
      </c>
      <c r="G514" t="inlineStr">
        <is>
          <t>Mobile App</t>
        </is>
      </c>
      <c r="H514" t="inlineStr">
        <is>
          <t>Cash on Delivery</t>
        </is>
      </c>
      <c r="I514" t="inlineStr">
        <is>
          <t>Delivered</t>
        </is>
      </c>
      <c r="J514" t="n">
        <v>129</v>
      </c>
      <c r="K514" t="n">
        <v>1</v>
      </c>
      <c r="L514" s="7" t="n">
        <v>576</v>
      </c>
      <c r="M514" s="7" t="n">
        <v>57.6</v>
      </c>
    </row>
    <row r="515">
      <c r="A515" t="n">
        <v>509586</v>
      </c>
      <c r="B515" s="6" t="n">
        <v>45938</v>
      </c>
      <c r="C515" t="n">
        <v>12025</v>
      </c>
      <c r="D515" t="inlineStr">
        <is>
          <t>Mumbai</t>
        </is>
      </c>
      <c r="E515" t="inlineStr">
        <is>
          <t>West</t>
        </is>
      </c>
      <c r="F515" t="inlineStr">
        <is>
          <t>Paid Search</t>
        </is>
      </c>
      <c r="G515" t="inlineStr">
        <is>
          <t>Mobile App</t>
        </is>
      </c>
      <c r="H515" t="inlineStr">
        <is>
          <t>Debit Card</t>
        </is>
      </c>
      <c r="I515" t="inlineStr">
        <is>
          <t>Delivered</t>
        </is>
      </c>
      <c r="J515" t="n">
        <v>107</v>
      </c>
      <c r="K515" t="n">
        <v>1</v>
      </c>
      <c r="L515" s="7" t="n">
        <v>1259</v>
      </c>
      <c r="M515" s="7" t="n">
        <v>125.9</v>
      </c>
    </row>
    <row r="516">
      <c r="A516" t="n">
        <v>509586</v>
      </c>
      <c r="B516" s="6" t="n">
        <v>45938</v>
      </c>
      <c r="C516" t="n">
        <v>12025</v>
      </c>
      <c r="D516" t="inlineStr">
        <is>
          <t>Mumbai</t>
        </is>
      </c>
      <c r="E516" t="inlineStr">
        <is>
          <t>West</t>
        </is>
      </c>
      <c r="F516" t="inlineStr">
        <is>
          <t>Paid Search</t>
        </is>
      </c>
      <c r="G516" t="inlineStr">
        <is>
          <t>Mobile App</t>
        </is>
      </c>
      <c r="H516" t="inlineStr">
        <is>
          <t>Debit Card</t>
        </is>
      </c>
      <c r="I516" t="inlineStr">
        <is>
          <t>Delivered</t>
        </is>
      </c>
      <c r="J516" t="n">
        <v>129</v>
      </c>
      <c r="K516" t="n">
        <v>1</v>
      </c>
      <c r="L516" s="7" t="n">
        <v>576</v>
      </c>
      <c r="M516" s="7" t="n">
        <v>57.6</v>
      </c>
    </row>
    <row r="517">
      <c r="A517" t="n">
        <v>509587</v>
      </c>
      <c r="B517" s="6" t="n">
        <v>45938</v>
      </c>
      <c r="C517" t="n">
        <v>16166</v>
      </c>
      <c r="D517" t="inlineStr">
        <is>
          <t>Jaipur</t>
        </is>
      </c>
      <c r="E517" t="inlineStr">
        <is>
          <t>North</t>
        </is>
      </c>
      <c r="F517" t="inlineStr">
        <is>
          <t>Email</t>
        </is>
      </c>
      <c r="G517" t="inlineStr">
        <is>
          <t>Mobile App</t>
        </is>
      </c>
      <c r="H517" t="inlineStr">
        <is>
          <t>Cash on Delivery</t>
        </is>
      </c>
      <c r="I517" t="inlineStr">
        <is>
          <t>Delivered</t>
        </is>
      </c>
      <c r="J517" t="n">
        <v>106</v>
      </c>
      <c r="K517" t="n">
        <v>1</v>
      </c>
      <c r="L517" s="7" t="n">
        <v>1574</v>
      </c>
      <c r="M517" s="7" t="n">
        <v>0</v>
      </c>
    </row>
    <row r="518">
      <c r="A518" t="n">
        <v>509588</v>
      </c>
      <c r="B518" s="6" t="n">
        <v>45938</v>
      </c>
      <c r="C518" t="n">
        <v>15254</v>
      </c>
      <c r="D518" t="inlineStr">
        <is>
          <t>Delhi</t>
        </is>
      </c>
      <c r="E518" t="inlineStr">
        <is>
          <t>North</t>
        </is>
      </c>
      <c r="F518" t="inlineStr">
        <is>
          <t>Organic Search</t>
        </is>
      </c>
      <c r="G518" t="inlineStr">
        <is>
          <t>Mobile App</t>
        </is>
      </c>
      <c r="H518" t="inlineStr">
        <is>
          <t>UPI</t>
        </is>
      </c>
      <c r="I518" t="inlineStr">
        <is>
          <t>Delivered</t>
        </is>
      </c>
      <c r="J518" t="n">
        <v>130</v>
      </c>
      <c r="K518" t="n">
        <v>1</v>
      </c>
      <c r="L518" s="7" t="n">
        <v>734</v>
      </c>
      <c r="M518" s="7" t="n">
        <v>73.40000000000001</v>
      </c>
    </row>
    <row r="519">
      <c r="A519" t="n">
        <v>509588</v>
      </c>
      <c r="B519" s="6" t="n">
        <v>45938</v>
      </c>
      <c r="C519" t="n">
        <v>15254</v>
      </c>
      <c r="D519" t="inlineStr">
        <is>
          <t>Delhi</t>
        </is>
      </c>
      <c r="E519" t="inlineStr">
        <is>
          <t>North</t>
        </is>
      </c>
      <c r="F519" t="inlineStr">
        <is>
          <t>Organic Search</t>
        </is>
      </c>
      <c r="G519" t="inlineStr">
        <is>
          <t>Mobile App</t>
        </is>
      </c>
      <c r="H519" t="inlineStr">
        <is>
          <t>UPI</t>
        </is>
      </c>
      <c r="I519" t="inlineStr">
        <is>
          <t>Delivered</t>
        </is>
      </c>
      <c r="J519" t="n">
        <v>141</v>
      </c>
      <c r="K519" t="n">
        <v>1</v>
      </c>
      <c r="L519" s="7" t="n">
        <v>261</v>
      </c>
      <c r="M519" s="7" t="n">
        <v>26.1</v>
      </c>
    </row>
    <row r="520">
      <c r="A520" t="n">
        <v>509588</v>
      </c>
      <c r="B520" s="6" t="n">
        <v>45938</v>
      </c>
      <c r="C520" t="n">
        <v>15254</v>
      </c>
      <c r="D520" t="inlineStr">
        <is>
          <t>Delhi</t>
        </is>
      </c>
      <c r="E520" t="inlineStr">
        <is>
          <t>North</t>
        </is>
      </c>
      <c r="F520" t="inlineStr">
        <is>
          <t>Organic Search</t>
        </is>
      </c>
      <c r="G520" t="inlineStr">
        <is>
          <t>Mobile App</t>
        </is>
      </c>
      <c r="H520" t="inlineStr">
        <is>
          <t>UPI</t>
        </is>
      </c>
      <c r="I520" t="inlineStr">
        <is>
          <t>Delivered</t>
        </is>
      </c>
      <c r="J520" t="n">
        <v>137</v>
      </c>
      <c r="K520" t="n">
        <v>1</v>
      </c>
      <c r="L520" s="7" t="n">
        <v>261</v>
      </c>
      <c r="M520" s="7" t="n">
        <v>26.1</v>
      </c>
    </row>
    <row r="521">
      <c r="A521" t="n">
        <v>509589</v>
      </c>
      <c r="B521" s="6" t="n">
        <v>45938</v>
      </c>
      <c r="C521" t="n">
        <v>10730</v>
      </c>
      <c r="D521" t="inlineStr">
        <is>
          <t>Noida</t>
        </is>
      </c>
      <c r="E521" t="inlineStr">
        <is>
          <t>North</t>
        </is>
      </c>
      <c r="F521" t="inlineStr">
        <is>
          <t>Organic Search</t>
        </is>
      </c>
      <c r="G521" t="inlineStr">
        <is>
          <t>Mobile App</t>
        </is>
      </c>
      <c r="H521" t="inlineStr">
        <is>
          <t>UPI</t>
        </is>
      </c>
      <c r="I521" t="inlineStr">
        <is>
          <t>Delivered</t>
        </is>
      </c>
      <c r="J521" t="n">
        <v>123</v>
      </c>
      <c r="K521" t="n">
        <v>1</v>
      </c>
      <c r="L521" s="7" t="n">
        <v>3464</v>
      </c>
      <c r="M521" s="7" t="n">
        <v>346.4</v>
      </c>
    </row>
    <row r="522">
      <c r="A522" t="n">
        <v>509589</v>
      </c>
      <c r="B522" s="6" t="n">
        <v>45938</v>
      </c>
      <c r="C522" t="n">
        <v>10730</v>
      </c>
      <c r="D522" t="inlineStr">
        <is>
          <t>Noida</t>
        </is>
      </c>
      <c r="E522" t="inlineStr">
        <is>
          <t>North</t>
        </is>
      </c>
      <c r="F522" t="inlineStr">
        <is>
          <t>Organic Search</t>
        </is>
      </c>
      <c r="G522" t="inlineStr">
        <is>
          <t>Mobile App</t>
        </is>
      </c>
      <c r="H522" t="inlineStr">
        <is>
          <t>UPI</t>
        </is>
      </c>
      <c r="I522" t="inlineStr">
        <is>
          <t>Delivered</t>
        </is>
      </c>
      <c r="J522" t="n">
        <v>137</v>
      </c>
      <c r="K522" t="n">
        <v>2</v>
      </c>
      <c r="L522" s="7" t="n">
        <v>261</v>
      </c>
      <c r="M522" s="7" t="n">
        <v>52.2</v>
      </c>
    </row>
    <row r="523">
      <c r="A523" t="n">
        <v>509589</v>
      </c>
      <c r="B523" s="6" t="n">
        <v>45938</v>
      </c>
      <c r="C523" t="n">
        <v>10730</v>
      </c>
      <c r="D523" t="inlineStr">
        <is>
          <t>Noida</t>
        </is>
      </c>
      <c r="E523" t="inlineStr">
        <is>
          <t>North</t>
        </is>
      </c>
      <c r="F523" t="inlineStr">
        <is>
          <t>Organic Search</t>
        </is>
      </c>
      <c r="G523" t="inlineStr">
        <is>
          <t>Mobile App</t>
        </is>
      </c>
      <c r="H523" t="inlineStr">
        <is>
          <t>UPI</t>
        </is>
      </c>
      <c r="I523" t="inlineStr">
        <is>
          <t>Delivered</t>
        </is>
      </c>
      <c r="J523" t="n">
        <v>129</v>
      </c>
      <c r="K523" t="n">
        <v>2</v>
      </c>
      <c r="L523" s="7" t="n">
        <v>576</v>
      </c>
      <c r="M523" s="7" t="n">
        <v>115.2</v>
      </c>
    </row>
    <row r="524">
      <c r="A524" t="n">
        <v>509590</v>
      </c>
      <c r="B524" s="6" t="n">
        <v>45938</v>
      </c>
      <c r="C524" t="n">
        <v>14983</v>
      </c>
      <c r="D524" t="inlineStr">
        <is>
          <t>Bengaluru</t>
        </is>
      </c>
      <c r="E524" t="inlineStr">
        <is>
          <t>South</t>
        </is>
      </c>
      <c r="F524" t="inlineStr">
        <is>
          <t>Paid Search</t>
        </is>
      </c>
      <c r="G524" t="inlineStr">
        <is>
          <t>Mobile App</t>
        </is>
      </c>
      <c r="H524" t="inlineStr">
        <is>
          <t>Cash on Delivery</t>
        </is>
      </c>
      <c r="I524" t="inlineStr">
        <is>
          <t>Delivered</t>
        </is>
      </c>
      <c r="J524" t="n">
        <v>127</v>
      </c>
      <c r="K524" t="n">
        <v>1</v>
      </c>
      <c r="L524" s="7" t="n">
        <v>681</v>
      </c>
      <c r="M524" s="7" t="n">
        <v>0</v>
      </c>
    </row>
    <row r="525">
      <c r="A525" t="n">
        <v>509591</v>
      </c>
      <c r="B525" s="6" t="n">
        <v>45938</v>
      </c>
      <c r="C525" t="n">
        <v>16340</v>
      </c>
      <c r="D525" t="inlineStr">
        <is>
          <t>Indore</t>
        </is>
      </c>
      <c r="E525" t="inlineStr">
        <is>
          <t>West</t>
        </is>
      </c>
      <c r="F525" t="inlineStr">
        <is>
          <t>Referral</t>
        </is>
      </c>
      <c r="G525" t="inlineStr">
        <is>
          <t>Mobile App</t>
        </is>
      </c>
      <c r="H525" t="inlineStr">
        <is>
          <t>UPI</t>
        </is>
      </c>
      <c r="I525" t="inlineStr">
        <is>
          <t>Delivered</t>
        </is>
      </c>
      <c r="J525" t="n">
        <v>110</v>
      </c>
      <c r="K525" t="n">
        <v>1</v>
      </c>
      <c r="L525" s="7" t="n">
        <v>839</v>
      </c>
      <c r="M525" s="7" t="n">
        <v>83.90000000000001</v>
      </c>
    </row>
    <row r="526">
      <c r="A526" t="n">
        <v>509592</v>
      </c>
      <c r="B526" s="6" t="n">
        <v>45938</v>
      </c>
      <c r="C526" t="n">
        <v>11484</v>
      </c>
      <c r="D526" t="inlineStr">
        <is>
          <t>Jaipur</t>
        </is>
      </c>
      <c r="E526" t="inlineStr">
        <is>
          <t>North</t>
        </is>
      </c>
      <c r="F526" t="inlineStr">
        <is>
          <t>Paid Search</t>
        </is>
      </c>
      <c r="G526" t="inlineStr">
        <is>
          <t>Mobile App</t>
        </is>
      </c>
      <c r="H526" t="inlineStr">
        <is>
          <t>UPI</t>
        </is>
      </c>
      <c r="I526" t="inlineStr">
        <is>
          <t>Returned</t>
        </is>
      </c>
      <c r="J526" t="n">
        <v>102</v>
      </c>
      <c r="K526" t="n">
        <v>2</v>
      </c>
      <c r="L526" s="7" t="n">
        <v>3674</v>
      </c>
      <c r="M526" s="7" t="n">
        <v>734.8</v>
      </c>
    </row>
    <row r="527">
      <c r="A527" t="n">
        <v>509592</v>
      </c>
      <c r="B527" s="6" t="n">
        <v>45938</v>
      </c>
      <c r="C527" t="n">
        <v>11484</v>
      </c>
      <c r="D527" t="inlineStr">
        <is>
          <t>Jaipur</t>
        </is>
      </c>
      <c r="E527" t="inlineStr">
        <is>
          <t>North</t>
        </is>
      </c>
      <c r="F527" t="inlineStr">
        <is>
          <t>Paid Search</t>
        </is>
      </c>
      <c r="G527" t="inlineStr">
        <is>
          <t>Mobile App</t>
        </is>
      </c>
      <c r="H527" t="inlineStr">
        <is>
          <t>UPI</t>
        </is>
      </c>
      <c r="I527" t="inlineStr">
        <is>
          <t>Returned</t>
        </is>
      </c>
      <c r="J527" t="n">
        <v>105</v>
      </c>
      <c r="K527" t="n">
        <v>1</v>
      </c>
      <c r="L527" s="7" t="n">
        <v>2414</v>
      </c>
      <c r="M527" s="7" t="n">
        <v>241.4</v>
      </c>
    </row>
    <row r="528">
      <c r="A528" t="n">
        <v>509592</v>
      </c>
      <c r="B528" s="6" t="n">
        <v>45938</v>
      </c>
      <c r="C528" t="n">
        <v>11484</v>
      </c>
      <c r="D528" t="inlineStr">
        <is>
          <t>Jaipur</t>
        </is>
      </c>
      <c r="E528" t="inlineStr">
        <is>
          <t>North</t>
        </is>
      </c>
      <c r="F528" t="inlineStr">
        <is>
          <t>Paid Search</t>
        </is>
      </c>
      <c r="G528" t="inlineStr">
        <is>
          <t>Mobile App</t>
        </is>
      </c>
      <c r="H528" t="inlineStr">
        <is>
          <t>UPI</t>
        </is>
      </c>
      <c r="I528" t="inlineStr">
        <is>
          <t>Returned</t>
        </is>
      </c>
      <c r="J528" t="n">
        <v>111</v>
      </c>
      <c r="K528" t="n">
        <v>1</v>
      </c>
      <c r="L528" s="7" t="n">
        <v>524</v>
      </c>
      <c r="M528" s="7" t="n">
        <v>52.4</v>
      </c>
    </row>
    <row r="529">
      <c r="A529" t="n">
        <v>509592</v>
      </c>
      <c r="B529" s="6" t="n">
        <v>45938</v>
      </c>
      <c r="C529" t="n">
        <v>11484</v>
      </c>
      <c r="D529" t="inlineStr">
        <is>
          <t>Jaipur</t>
        </is>
      </c>
      <c r="E529" t="inlineStr">
        <is>
          <t>North</t>
        </is>
      </c>
      <c r="F529" t="inlineStr">
        <is>
          <t>Paid Search</t>
        </is>
      </c>
      <c r="G529" t="inlineStr">
        <is>
          <t>Mobile App</t>
        </is>
      </c>
      <c r="H529" t="inlineStr">
        <is>
          <t>UPI</t>
        </is>
      </c>
      <c r="I529" t="inlineStr">
        <is>
          <t>Returned</t>
        </is>
      </c>
      <c r="J529" t="n">
        <v>140</v>
      </c>
      <c r="K529" t="n">
        <v>1</v>
      </c>
      <c r="L529" s="7" t="n">
        <v>629</v>
      </c>
      <c r="M529" s="7" t="n">
        <v>62.9</v>
      </c>
    </row>
    <row r="530">
      <c r="A530" t="n">
        <v>509593</v>
      </c>
      <c r="B530" s="6" t="n">
        <v>45938</v>
      </c>
      <c r="C530" t="n">
        <v>14906</v>
      </c>
      <c r="D530" t="inlineStr">
        <is>
          <t>Delhi</t>
        </is>
      </c>
      <c r="E530" t="inlineStr">
        <is>
          <t>North</t>
        </is>
      </c>
      <c r="F530" t="inlineStr">
        <is>
          <t>Email</t>
        </is>
      </c>
      <c r="G530" t="inlineStr">
        <is>
          <t>Mobile Web</t>
        </is>
      </c>
      <c r="H530" t="inlineStr">
        <is>
          <t>Credit Card</t>
        </is>
      </c>
      <c r="I530" t="inlineStr">
        <is>
          <t>Delivered</t>
        </is>
      </c>
      <c r="J530" t="n">
        <v>110</v>
      </c>
      <c r="K530" t="n">
        <v>1</v>
      </c>
      <c r="L530" s="7" t="n">
        <v>839</v>
      </c>
      <c r="M530" s="7" t="n">
        <v>0</v>
      </c>
    </row>
    <row r="531">
      <c r="A531" t="n">
        <v>509593</v>
      </c>
      <c r="B531" s="6" t="n">
        <v>45938</v>
      </c>
      <c r="C531" t="n">
        <v>14906</v>
      </c>
      <c r="D531" t="inlineStr">
        <is>
          <t>Delhi</t>
        </is>
      </c>
      <c r="E531" t="inlineStr">
        <is>
          <t>North</t>
        </is>
      </c>
      <c r="F531" t="inlineStr">
        <is>
          <t>Email</t>
        </is>
      </c>
      <c r="G531" t="inlineStr">
        <is>
          <t>Mobile Web</t>
        </is>
      </c>
      <c r="H531" t="inlineStr">
        <is>
          <t>Credit Card</t>
        </is>
      </c>
      <c r="I531" t="inlineStr">
        <is>
          <t>Delivered</t>
        </is>
      </c>
      <c r="J531" t="n">
        <v>140</v>
      </c>
      <c r="K531" t="n">
        <v>1</v>
      </c>
      <c r="L531" s="7" t="n">
        <v>629</v>
      </c>
      <c r="M531" s="7" t="n">
        <v>0</v>
      </c>
    </row>
    <row r="532">
      <c r="A532" t="n">
        <v>509593</v>
      </c>
      <c r="B532" s="6" t="n">
        <v>45938</v>
      </c>
      <c r="C532" t="n">
        <v>14906</v>
      </c>
      <c r="D532" t="inlineStr">
        <is>
          <t>Delhi</t>
        </is>
      </c>
      <c r="E532" t="inlineStr">
        <is>
          <t>North</t>
        </is>
      </c>
      <c r="F532" t="inlineStr">
        <is>
          <t>Email</t>
        </is>
      </c>
      <c r="G532" t="inlineStr">
        <is>
          <t>Mobile Web</t>
        </is>
      </c>
      <c r="H532" t="inlineStr">
        <is>
          <t>Credit Card</t>
        </is>
      </c>
      <c r="I532" t="inlineStr">
        <is>
          <t>Delivered</t>
        </is>
      </c>
      <c r="J532" t="n">
        <v>129</v>
      </c>
      <c r="K532" t="n">
        <v>1</v>
      </c>
      <c r="L532" s="7" t="n">
        <v>576</v>
      </c>
      <c r="M532" s="7" t="n">
        <v>0</v>
      </c>
    </row>
    <row r="533">
      <c r="A533" t="n">
        <v>509594</v>
      </c>
      <c r="B533" s="6" t="n">
        <v>45938</v>
      </c>
      <c r="C533" t="n">
        <v>11141</v>
      </c>
      <c r="D533" t="inlineStr">
        <is>
          <t>Chandigarh</t>
        </is>
      </c>
      <c r="E533" t="inlineStr">
        <is>
          <t>North</t>
        </is>
      </c>
      <c r="F533" t="inlineStr">
        <is>
          <t>Paid Social</t>
        </is>
      </c>
      <c r="G533" t="inlineStr">
        <is>
          <t>Mobile App</t>
        </is>
      </c>
      <c r="H533" t="inlineStr">
        <is>
          <t>UPI</t>
        </is>
      </c>
      <c r="I533" t="inlineStr">
        <is>
          <t>Delivered</t>
        </is>
      </c>
      <c r="J533" t="n">
        <v>111</v>
      </c>
      <c r="K533" t="n">
        <v>1</v>
      </c>
      <c r="L533" s="7" t="n">
        <v>524</v>
      </c>
      <c r="M533" s="7" t="n">
        <v>0</v>
      </c>
    </row>
    <row r="534">
      <c r="A534" t="n">
        <v>509595</v>
      </c>
      <c r="B534" s="6" t="n">
        <v>45938</v>
      </c>
      <c r="C534" t="n">
        <v>16525</v>
      </c>
      <c r="D534" t="inlineStr">
        <is>
          <t>Bengaluru</t>
        </is>
      </c>
      <c r="E534" t="inlineStr">
        <is>
          <t>South</t>
        </is>
      </c>
      <c r="F534" t="inlineStr">
        <is>
          <t>Paid Search</t>
        </is>
      </c>
      <c r="G534" t="inlineStr">
        <is>
          <t>Mobile Web</t>
        </is>
      </c>
      <c r="H534" t="inlineStr">
        <is>
          <t>Cash on Delivery</t>
        </is>
      </c>
      <c r="I534" t="inlineStr">
        <is>
          <t>Delivered</t>
        </is>
      </c>
      <c r="J534" t="n">
        <v>123</v>
      </c>
      <c r="K534" t="n">
        <v>1</v>
      </c>
      <c r="L534" s="7" t="n">
        <v>3464</v>
      </c>
      <c r="M534" s="7" t="n">
        <v>346.4</v>
      </c>
    </row>
    <row r="535">
      <c r="A535" t="n">
        <v>509595</v>
      </c>
      <c r="B535" s="6" t="n">
        <v>45938</v>
      </c>
      <c r="C535" t="n">
        <v>16525</v>
      </c>
      <c r="D535" t="inlineStr">
        <is>
          <t>Bengaluru</t>
        </is>
      </c>
      <c r="E535" t="inlineStr">
        <is>
          <t>South</t>
        </is>
      </c>
      <c r="F535" t="inlineStr">
        <is>
          <t>Paid Search</t>
        </is>
      </c>
      <c r="G535" t="inlineStr">
        <is>
          <t>Mobile Web</t>
        </is>
      </c>
      <c r="H535" t="inlineStr">
        <is>
          <t>Cash on Delivery</t>
        </is>
      </c>
      <c r="I535" t="inlineStr">
        <is>
          <t>Delivered</t>
        </is>
      </c>
      <c r="J535" t="n">
        <v>129</v>
      </c>
      <c r="K535" t="n">
        <v>1</v>
      </c>
      <c r="L535" s="7" t="n">
        <v>576</v>
      </c>
      <c r="M535" s="7" t="n">
        <v>57.6</v>
      </c>
    </row>
    <row r="536">
      <c r="A536" t="n">
        <v>509596</v>
      </c>
      <c r="B536" s="6" t="n">
        <v>45938</v>
      </c>
      <c r="C536" t="n">
        <v>15384</v>
      </c>
      <c r="D536" t="inlineStr">
        <is>
          <t>Pune</t>
        </is>
      </c>
      <c r="E536" t="inlineStr">
        <is>
          <t>West</t>
        </is>
      </c>
      <c r="F536" t="inlineStr">
        <is>
          <t>Paid Search</t>
        </is>
      </c>
      <c r="G536" t="inlineStr">
        <is>
          <t>Mobile App</t>
        </is>
      </c>
      <c r="H536" t="inlineStr">
        <is>
          <t>Cash on Delivery</t>
        </is>
      </c>
      <c r="I536" t="inlineStr">
        <is>
          <t>Cancelled</t>
        </is>
      </c>
      <c r="J536" t="n">
        <v>114</v>
      </c>
      <c r="K536" t="n">
        <v>2</v>
      </c>
      <c r="L536" s="7" t="n">
        <v>1259</v>
      </c>
      <c r="M536" s="7" t="n">
        <v>251.8</v>
      </c>
    </row>
    <row r="537">
      <c r="A537" t="n">
        <v>509597</v>
      </c>
      <c r="B537" s="6" t="n">
        <v>45938</v>
      </c>
      <c r="C537" t="n">
        <v>16370</v>
      </c>
      <c r="D537" t="inlineStr">
        <is>
          <t>Kochi</t>
        </is>
      </c>
      <c r="E537" t="inlineStr">
        <is>
          <t>South</t>
        </is>
      </c>
      <c r="F537" t="inlineStr">
        <is>
          <t>Organic Search</t>
        </is>
      </c>
      <c r="G537" t="inlineStr">
        <is>
          <t>Desktop</t>
        </is>
      </c>
      <c r="H537" t="inlineStr">
        <is>
          <t>UPI</t>
        </is>
      </c>
      <c r="I537" t="inlineStr">
        <is>
          <t>Delivered</t>
        </is>
      </c>
      <c r="J537" t="n">
        <v>137</v>
      </c>
      <c r="K537" t="n">
        <v>1</v>
      </c>
      <c r="L537" s="7" t="n">
        <v>261</v>
      </c>
      <c r="M537" s="7" t="n">
        <v>26.1</v>
      </c>
    </row>
    <row r="538">
      <c r="A538" t="n">
        <v>509597</v>
      </c>
      <c r="B538" s="6" t="n">
        <v>45938</v>
      </c>
      <c r="C538" t="n">
        <v>16370</v>
      </c>
      <c r="D538" t="inlineStr">
        <is>
          <t>Kochi</t>
        </is>
      </c>
      <c r="E538" t="inlineStr">
        <is>
          <t>South</t>
        </is>
      </c>
      <c r="F538" t="inlineStr">
        <is>
          <t>Organic Search</t>
        </is>
      </c>
      <c r="G538" t="inlineStr">
        <is>
          <t>Desktop</t>
        </is>
      </c>
      <c r="H538" t="inlineStr">
        <is>
          <t>UPI</t>
        </is>
      </c>
      <c r="I538" t="inlineStr">
        <is>
          <t>Delivered</t>
        </is>
      </c>
      <c r="J538" t="n">
        <v>129</v>
      </c>
      <c r="K538" t="n">
        <v>1</v>
      </c>
      <c r="L538" s="7" t="n">
        <v>576</v>
      </c>
      <c r="M538" s="7" t="n">
        <v>57.6</v>
      </c>
    </row>
    <row r="539">
      <c r="A539" t="n">
        <v>509598</v>
      </c>
      <c r="B539" s="6" t="n">
        <v>45938</v>
      </c>
      <c r="C539" t="n">
        <v>12750</v>
      </c>
      <c r="D539" t="inlineStr">
        <is>
          <t>Kolkata</t>
        </is>
      </c>
      <c r="E539" t="inlineStr">
        <is>
          <t>East</t>
        </is>
      </c>
      <c r="F539" t="inlineStr">
        <is>
          <t>Organic Search</t>
        </is>
      </c>
      <c r="G539" t="inlineStr">
        <is>
          <t>Desktop</t>
        </is>
      </c>
      <c r="H539" t="inlineStr">
        <is>
          <t>UPI</t>
        </is>
      </c>
      <c r="I539" t="inlineStr">
        <is>
          <t>Delivered</t>
        </is>
      </c>
      <c r="J539" t="n">
        <v>120</v>
      </c>
      <c r="K539" t="n">
        <v>2</v>
      </c>
      <c r="L539" s="7" t="n">
        <v>734</v>
      </c>
      <c r="M539" s="7" t="n">
        <v>146.8</v>
      </c>
    </row>
    <row r="540">
      <c r="A540" t="n">
        <v>509598</v>
      </c>
      <c r="B540" s="6" t="n">
        <v>45938</v>
      </c>
      <c r="C540" t="n">
        <v>12750</v>
      </c>
      <c r="D540" t="inlineStr">
        <is>
          <t>Kolkata</t>
        </is>
      </c>
      <c r="E540" t="inlineStr">
        <is>
          <t>East</t>
        </is>
      </c>
      <c r="F540" t="inlineStr">
        <is>
          <t>Organic Search</t>
        </is>
      </c>
      <c r="G540" t="inlineStr">
        <is>
          <t>Desktop</t>
        </is>
      </c>
      <c r="H540" t="inlineStr">
        <is>
          <t>UPI</t>
        </is>
      </c>
      <c r="I540" t="inlineStr">
        <is>
          <t>Delivered</t>
        </is>
      </c>
      <c r="J540" t="n">
        <v>129</v>
      </c>
      <c r="K540" t="n">
        <v>1</v>
      </c>
      <c r="L540" s="7" t="n">
        <v>576</v>
      </c>
      <c r="M540" s="7" t="n">
        <v>57.6</v>
      </c>
    </row>
    <row r="541">
      <c r="A541" t="n">
        <v>509599</v>
      </c>
      <c r="B541" s="6" t="n">
        <v>45938</v>
      </c>
      <c r="C541" t="n">
        <v>10069</v>
      </c>
      <c r="D541" t="inlineStr">
        <is>
          <t>Delhi</t>
        </is>
      </c>
      <c r="E541" t="inlineStr">
        <is>
          <t>North</t>
        </is>
      </c>
      <c r="F541" t="inlineStr">
        <is>
          <t>Paid Social</t>
        </is>
      </c>
      <c r="G541" t="inlineStr">
        <is>
          <t>Mobile Web</t>
        </is>
      </c>
      <c r="H541" t="inlineStr">
        <is>
          <t>Cash on Delivery</t>
        </is>
      </c>
      <c r="I541" t="inlineStr">
        <is>
          <t>Delivered</t>
        </is>
      </c>
      <c r="J541" t="n">
        <v>109</v>
      </c>
      <c r="K541" t="n">
        <v>1</v>
      </c>
      <c r="L541" s="7" t="n">
        <v>4199</v>
      </c>
      <c r="M541" s="7" t="n">
        <v>419.9</v>
      </c>
    </row>
    <row r="542">
      <c r="A542" t="n">
        <v>509600</v>
      </c>
      <c r="B542" s="6" t="n">
        <v>45938</v>
      </c>
      <c r="C542" t="n">
        <v>15487</v>
      </c>
      <c r="D542" t="inlineStr">
        <is>
          <t>Mumbai</t>
        </is>
      </c>
      <c r="E542" t="inlineStr">
        <is>
          <t>West</t>
        </is>
      </c>
      <c r="F542" t="inlineStr">
        <is>
          <t>Organic Search</t>
        </is>
      </c>
      <c r="G542" t="inlineStr">
        <is>
          <t>Mobile App</t>
        </is>
      </c>
      <c r="H542" t="inlineStr">
        <is>
          <t>Cash on Delivery</t>
        </is>
      </c>
      <c r="I542" t="inlineStr">
        <is>
          <t>Cancelled</t>
        </is>
      </c>
      <c r="J542" t="n">
        <v>134</v>
      </c>
      <c r="K542" t="n">
        <v>1</v>
      </c>
      <c r="L542" s="7" t="n">
        <v>209</v>
      </c>
      <c r="M542" s="7" t="n">
        <v>0</v>
      </c>
    </row>
    <row r="543">
      <c r="A543" t="n">
        <v>509601</v>
      </c>
      <c r="B543" s="6" t="n">
        <v>45938</v>
      </c>
      <c r="C543" t="n">
        <v>15039</v>
      </c>
      <c r="D543" t="inlineStr">
        <is>
          <t>Kolkata</t>
        </is>
      </c>
      <c r="E543" t="inlineStr">
        <is>
          <t>East</t>
        </is>
      </c>
      <c r="F543" t="inlineStr">
        <is>
          <t>Paid Social</t>
        </is>
      </c>
      <c r="G543" t="inlineStr">
        <is>
          <t>Mobile App</t>
        </is>
      </c>
      <c r="H543" t="inlineStr">
        <is>
          <t>Cash on Delivery</t>
        </is>
      </c>
      <c r="I543" t="inlineStr">
        <is>
          <t>Delivered</t>
        </is>
      </c>
      <c r="J543" t="n">
        <v>106</v>
      </c>
      <c r="K543" t="n">
        <v>1</v>
      </c>
      <c r="L543" s="7" t="n">
        <v>1574</v>
      </c>
      <c r="M543" s="7" t="n">
        <v>157.4</v>
      </c>
    </row>
    <row r="544">
      <c r="A544" t="n">
        <v>509602</v>
      </c>
      <c r="B544" s="6" t="n">
        <v>45939</v>
      </c>
      <c r="C544" t="n">
        <v>14079</v>
      </c>
      <c r="D544" t="inlineStr">
        <is>
          <t>Bengaluru</t>
        </is>
      </c>
      <c r="E544" t="inlineStr">
        <is>
          <t>South</t>
        </is>
      </c>
      <c r="F544" t="inlineStr">
        <is>
          <t>Organic Search</t>
        </is>
      </c>
      <c r="G544" t="inlineStr">
        <is>
          <t>Mobile Web</t>
        </is>
      </c>
      <c r="H544" t="inlineStr">
        <is>
          <t>UPI</t>
        </is>
      </c>
      <c r="I544" t="inlineStr">
        <is>
          <t>Delivered</t>
        </is>
      </c>
      <c r="J544" t="n">
        <v>125</v>
      </c>
      <c r="K544" t="n">
        <v>1</v>
      </c>
      <c r="L544" s="7" t="n">
        <v>1364</v>
      </c>
      <c r="M544" s="7" t="n">
        <v>136.4</v>
      </c>
    </row>
    <row r="545">
      <c r="A545" t="n">
        <v>509602</v>
      </c>
      <c r="B545" s="6" t="n">
        <v>45939</v>
      </c>
      <c r="C545" t="n">
        <v>14079</v>
      </c>
      <c r="D545" t="inlineStr">
        <is>
          <t>Bengaluru</t>
        </is>
      </c>
      <c r="E545" t="inlineStr">
        <is>
          <t>South</t>
        </is>
      </c>
      <c r="F545" t="inlineStr">
        <is>
          <t>Organic Search</t>
        </is>
      </c>
      <c r="G545" t="inlineStr">
        <is>
          <t>Mobile Web</t>
        </is>
      </c>
      <c r="H545" t="inlineStr">
        <is>
          <t>UPI</t>
        </is>
      </c>
      <c r="I545" t="inlineStr">
        <is>
          <t>Delivered</t>
        </is>
      </c>
      <c r="J545" t="n">
        <v>130</v>
      </c>
      <c r="K545" t="n">
        <v>2</v>
      </c>
      <c r="L545" s="7" t="n">
        <v>734</v>
      </c>
      <c r="M545" s="7" t="n">
        <v>146.8</v>
      </c>
    </row>
    <row r="546">
      <c r="A546" t="n">
        <v>509603</v>
      </c>
      <c r="B546" s="6" t="n">
        <v>45939</v>
      </c>
      <c r="C546" t="n">
        <v>16652</v>
      </c>
      <c r="D546" t="inlineStr">
        <is>
          <t>Chandigarh</t>
        </is>
      </c>
      <c r="E546" t="inlineStr">
        <is>
          <t>North</t>
        </is>
      </c>
      <c r="F546" t="inlineStr">
        <is>
          <t>Paid Social</t>
        </is>
      </c>
      <c r="G546" t="inlineStr">
        <is>
          <t>Mobile App</t>
        </is>
      </c>
      <c r="H546" t="inlineStr">
        <is>
          <t>Cash on Delivery</t>
        </is>
      </c>
      <c r="I546" t="inlineStr">
        <is>
          <t>Cancelled</t>
        </is>
      </c>
      <c r="J546" t="n">
        <v>120</v>
      </c>
      <c r="K546" t="n">
        <v>2</v>
      </c>
      <c r="L546" s="7" t="n">
        <v>734</v>
      </c>
      <c r="M546" s="7" t="n">
        <v>73.40000000000001</v>
      </c>
    </row>
    <row r="547">
      <c r="A547" t="n">
        <v>509603</v>
      </c>
      <c r="B547" s="6" t="n">
        <v>45939</v>
      </c>
      <c r="C547" t="n">
        <v>16652</v>
      </c>
      <c r="D547" t="inlineStr">
        <is>
          <t>Chandigarh</t>
        </is>
      </c>
      <c r="E547" t="inlineStr">
        <is>
          <t>North</t>
        </is>
      </c>
      <c r="F547" t="inlineStr">
        <is>
          <t>Paid Social</t>
        </is>
      </c>
      <c r="G547" t="inlineStr">
        <is>
          <t>Mobile App</t>
        </is>
      </c>
      <c r="H547" t="inlineStr">
        <is>
          <t>Cash on Delivery</t>
        </is>
      </c>
      <c r="I547" t="inlineStr">
        <is>
          <t>Cancelled</t>
        </is>
      </c>
      <c r="J547" t="n">
        <v>129</v>
      </c>
      <c r="K547" t="n">
        <v>1</v>
      </c>
      <c r="L547" s="7" t="n">
        <v>576</v>
      </c>
      <c r="M547" s="7" t="n">
        <v>28.8</v>
      </c>
    </row>
    <row r="548">
      <c r="A548" t="n">
        <v>509604</v>
      </c>
      <c r="B548" s="6" t="n">
        <v>45939</v>
      </c>
      <c r="C548" t="n">
        <v>13515</v>
      </c>
      <c r="D548" t="inlineStr">
        <is>
          <t>Kolkata</t>
        </is>
      </c>
      <c r="E548" t="inlineStr">
        <is>
          <t>East</t>
        </is>
      </c>
      <c r="F548" t="inlineStr">
        <is>
          <t>Referral</t>
        </is>
      </c>
      <c r="G548" t="inlineStr">
        <is>
          <t>Mobile App</t>
        </is>
      </c>
      <c r="H548" t="inlineStr">
        <is>
          <t>UPI</t>
        </is>
      </c>
      <c r="I548" t="inlineStr">
        <is>
          <t>Delivered</t>
        </is>
      </c>
      <c r="J548" t="n">
        <v>112</v>
      </c>
      <c r="K548" t="n">
        <v>1</v>
      </c>
      <c r="L548" s="7" t="n">
        <v>1574</v>
      </c>
      <c r="M548" s="7" t="n">
        <v>157.4</v>
      </c>
    </row>
    <row r="549">
      <c r="A549" t="n">
        <v>509604</v>
      </c>
      <c r="B549" s="6" t="n">
        <v>45939</v>
      </c>
      <c r="C549" t="n">
        <v>13515</v>
      </c>
      <c r="D549" t="inlineStr">
        <is>
          <t>Kolkata</t>
        </is>
      </c>
      <c r="E549" t="inlineStr">
        <is>
          <t>East</t>
        </is>
      </c>
      <c r="F549" t="inlineStr">
        <is>
          <t>Referral</t>
        </is>
      </c>
      <c r="G549" t="inlineStr">
        <is>
          <t>Mobile App</t>
        </is>
      </c>
      <c r="H549" t="inlineStr">
        <is>
          <t>UPI</t>
        </is>
      </c>
      <c r="I549" t="inlineStr">
        <is>
          <t>Delivered</t>
        </is>
      </c>
      <c r="J549" t="n">
        <v>116</v>
      </c>
      <c r="K549" t="n">
        <v>3</v>
      </c>
      <c r="L549" s="7" t="n">
        <v>2624</v>
      </c>
      <c r="M549" s="7" t="n">
        <v>787.2</v>
      </c>
    </row>
    <row r="550">
      <c r="A550" t="n">
        <v>509604</v>
      </c>
      <c r="B550" s="6" t="n">
        <v>45939</v>
      </c>
      <c r="C550" t="n">
        <v>13515</v>
      </c>
      <c r="D550" t="inlineStr">
        <is>
          <t>Kolkata</t>
        </is>
      </c>
      <c r="E550" t="inlineStr">
        <is>
          <t>East</t>
        </is>
      </c>
      <c r="F550" t="inlineStr">
        <is>
          <t>Referral</t>
        </is>
      </c>
      <c r="G550" t="inlineStr">
        <is>
          <t>Mobile App</t>
        </is>
      </c>
      <c r="H550" t="inlineStr">
        <is>
          <t>UPI</t>
        </is>
      </c>
      <c r="I550" t="inlineStr">
        <is>
          <t>Delivered</t>
        </is>
      </c>
      <c r="J550" t="n">
        <v>129</v>
      </c>
      <c r="K550" t="n">
        <v>1</v>
      </c>
      <c r="L550" s="7" t="n">
        <v>576</v>
      </c>
      <c r="M550" s="7" t="n">
        <v>57.6</v>
      </c>
    </row>
    <row r="551">
      <c r="A551" t="n">
        <v>509605</v>
      </c>
      <c r="B551" s="6" t="n">
        <v>45939</v>
      </c>
      <c r="C551" t="n">
        <v>16614</v>
      </c>
      <c r="D551" t="inlineStr">
        <is>
          <t>Delhi</t>
        </is>
      </c>
      <c r="E551" t="inlineStr">
        <is>
          <t>North</t>
        </is>
      </c>
      <c r="F551" t="inlineStr">
        <is>
          <t>Organic Search</t>
        </is>
      </c>
      <c r="G551" t="inlineStr">
        <is>
          <t>Desktop</t>
        </is>
      </c>
      <c r="H551" t="inlineStr">
        <is>
          <t>Net Banking</t>
        </is>
      </c>
      <c r="I551" t="inlineStr">
        <is>
          <t>Delivered</t>
        </is>
      </c>
      <c r="J551" t="n">
        <v>129</v>
      </c>
      <c r="K551" t="n">
        <v>1</v>
      </c>
      <c r="L551" s="7" t="n">
        <v>576</v>
      </c>
      <c r="M551" s="7" t="n">
        <v>86.40000000000001</v>
      </c>
    </row>
    <row r="552">
      <c r="A552" t="n">
        <v>509605</v>
      </c>
      <c r="B552" s="6" t="n">
        <v>45939</v>
      </c>
      <c r="C552" t="n">
        <v>16614</v>
      </c>
      <c r="D552" t="inlineStr">
        <is>
          <t>Delhi</t>
        </is>
      </c>
      <c r="E552" t="inlineStr">
        <is>
          <t>North</t>
        </is>
      </c>
      <c r="F552" t="inlineStr">
        <is>
          <t>Organic Search</t>
        </is>
      </c>
      <c r="G552" t="inlineStr">
        <is>
          <t>Desktop</t>
        </is>
      </c>
      <c r="H552" t="inlineStr">
        <is>
          <t>Net Banking</t>
        </is>
      </c>
      <c r="I552" t="inlineStr">
        <is>
          <t>Delivered</t>
        </is>
      </c>
      <c r="J552" t="n">
        <v>122</v>
      </c>
      <c r="K552" t="n">
        <v>1</v>
      </c>
      <c r="L552" s="7" t="n">
        <v>1994</v>
      </c>
      <c r="M552" s="7" t="n">
        <v>299.1</v>
      </c>
    </row>
    <row r="553">
      <c r="A553" t="n">
        <v>509605</v>
      </c>
      <c r="B553" s="6" t="n">
        <v>45939</v>
      </c>
      <c r="C553" t="n">
        <v>16614</v>
      </c>
      <c r="D553" t="inlineStr">
        <is>
          <t>Delhi</t>
        </is>
      </c>
      <c r="E553" t="inlineStr">
        <is>
          <t>North</t>
        </is>
      </c>
      <c r="F553" t="inlineStr">
        <is>
          <t>Organic Search</t>
        </is>
      </c>
      <c r="G553" t="inlineStr">
        <is>
          <t>Desktop</t>
        </is>
      </c>
      <c r="H553" t="inlineStr">
        <is>
          <t>Net Banking</t>
        </is>
      </c>
      <c r="I553" t="inlineStr">
        <is>
          <t>Delivered</t>
        </is>
      </c>
      <c r="J553" t="n">
        <v>102</v>
      </c>
      <c r="K553" t="n">
        <v>1</v>
      </c>
      <c r="L553" s="7" t="n">
        <v>3674</v>
      </c>
      <c r="M553" s="7" t="n">
        <v>551.1</v>
      </c>
    </row>
    <row r="554">
      <c r="A554" t="n">
        <v>509606</v>
      </c>
      <c r="B554" s="6" t="n">
        <v>45939</v>
      </c>
      <c r="C554" t="n">
        <v>16718</v>
      </c>
      <c r="D554" t="inlineStr">
        <is>
          <t>Ahmedabad</t>
        </is>
      </c>
      <c r="E554" t="inlineStr">
        <is>
          <t>West</t>
        </is>
      </c>
      <c r="F554" t="inlineStr">
        <is>
          <t>Paid Social</t>
        </is>
      </c>
      <c r="G554" t="inlineStr">
        <is>
          <t>Desktop</t>
        </is>
      </c>
      <c r="H554" t="inlineStr">
        <is>
          <t>Cash on Delivery</t>
        </is>
      </c>
      <c r="I554" t="inlineStr">
        <is>
          <t>Delivered</t>
        </is>
      </c>
      <c r="J554" t="n">
        <v>137</v>
      </c>
      <c r="K554" t="n">
        <v>1</v>
      </c>
      <c r="L554" s="7" t="n">
        <v>261</v>
      </c>
      <c r="M554" s="7" t="n">
        <v>39.15</v>
      </c>
    </row>
    <row r="555">
      <c r="A555" t="n">
        <v>509607</v>
      </c>
      <c r="B555" s="6" t="n">
        <v>45939</v>
      </c>
      <c r="C555" t="n">
        <v>13522</v>
      </c>
      <c r="D555" t="inlineStr">
        <is>
          <t>Chennai</t>
        </is>
      </c>
      <c r="E555" t="inlineStr">
        <is>
          <t>South</t>
        </is>
      </c>
      <c r="F555" t="inlineStr">
        <is>
          <t>Email</t>
        </is>
      </c>
      <c r="G555" t="inlineStr">
        <is>
          <t>Mobile Web</t>
        </is>
      </c>
      <c r="H555" t="inlineStr">
        <is>
          <t>UPI</t>
        </is>
      </c>
      <c r="I555" t="inlineStr">
        <is>
          <t>Delivered</t>
        </is>
      </c>
      <c r="J555" t="n">
        <v>104</v>
      </c>
      <c r="K555" t="n">
        <v>1</v>
      </c>
      <c r="L555" s="7" t="n">
        <v>5249</v>
      </c>
      <c r="M555" s="7" t="n">
        <v>524.9</v>
      </c>
    </row>
    <row r="556">
      <c r="A556" t="n">
        <v>509608</v>
      </c>
      <c r="B556" s="6" t="n">
        <v>45939</v>
      </c>
      <c r="C556" t="n">
        <v>15514</v>
      </c>
      <c r="D556" t="inlineStr">
        <is>
          <t>Noida</t>
        </is>
      </c>
      <c r="E556" t="inlineStr">
        <is>
          <t>North</t>
        </is>
      </c>
      <c r="F556" t="inlineStr">
        <is>
          <t>Paid Social</t>
        </is>
      </c>
      <c r="G556" t="inlineStr">
        <is>
          <t>Mobile App</t>
        </is>
      </c>
      <c r="H556" t="inlineStr">
        <is>
          <t>UPI</t>
        </is>
      </c>
      <c r="I556" t="inlineStr">
        <is>
          <t>Delivered</t>
        </is>
      </c>
      <c r="J556" t="n">
        <v>102</v>
      </c>
      <c r="K556" t="n">
        <v>1</v>
      </c>
      <c r="L556" s="7" t="n">
        <v>3674</v>
      </c>
      <c r="M556" s="7" t="n">
        <v>0</v>
      </c>
    </row>
    <row r="557">
      <c r="A557" t="n">
        <v>509608</v>
      </c>
      <c r="B557" s="6" t="n">
        <v>45939</v>
      </c>
      <c r="C557" t="n">
        <v>15514</v>
      </c>
      <c r="D557" t="inlineStr">
        <is>
          <t>Noida</t>
        </is>
      </c>
      <c r="E557" t="inlineStr">
        <is>
          <t>North</t>
        </is>
      </c>
      <c r="F557" t="inlineStr">
        <is>
          <t>Paid Social</t>
        </is>
      </c>
      <c r="G557" t="inlineStr">
        <is>
          <t>Mobile App</t>
        </is>
      </c>
      <c r="H557" t="inlineStr">
        <is>
          <t>UPI</t>
        </is>
      </c>
      <c r="I557" t="inlineStr">
        <is>
          <t>Delivered</t>
        </is>
      </c>
      <c r="J557" t="n">
        <v>123</v>
      </c>
      <c r="K557" t="n">
        <v>1</v>
      </c>
      <c r="L557" s="7" t="n">
        <v>3464</v>
      </c>
      <c r="M557" s="7" t="n">
        <v>0</v>
      </c>
    </row>
    <row r="558">
      <c r="A558" t="n">
        <v>509608</v>
      </c>
      <c r="B558" s="6" t="n">
        <v>45939</v>
      </c>
      <c r="C558" t="n">
        <v>15514</v>
      </c>
      <c r="D558" t="inlineStr">
        <is>
          <t>Noida</t>
        </is>
      </c>
      <c r="E558" t="inlineStr">
        <is>
          <t>North</t>
        </is>
      </c>
      <c r="F558" t="inlineStr">
        <is>
          <t>Paid Social</t>
        </is>
      </c>
      <c r="G558" t="inlineStr">
        <is>
          <t>Mobile App</t>
        </is>
      </c>
      <c r="H558" t="inlineStr">
        <is>
          <t>UPI</t>
        </is>
      </c>
      <c r="I558" t="inlineStr">
        <is>
          <t>Delivered</t>
        </is>
      </c>
      <c r="J558" t="n">
        <v>129</v>
      </c>
      <c r="K558" t="n">
        <v>1</v>
      </c>
      <c r="L558" s="7" t="n">
        <v>576</v>
      </c>
      <c r="M558" s="7" t="n">
        <v>0</v>
      </c>
    </row>
    <row r="559">
      <c r="A559" t="n">
        <v>509609</v>
      </c>
      <c r="B559" s="6" t="n">
        <v>45939</v>
      </c>
      <c r="C559" t="n">
        <v>10761</v>
      </c>
      <c r="D559" t="inlineStr">
        <is>
          <t>Delhi</t>
        </is>
      </c>
      <c r="E559" t="inlineStr">
        <is>
          <t>North</t>
        </is>
      </c>
      <c r="F559" t="inlineStr">
        <is>
          <t>Affiliate</t>
        </is>
      </c>
      <c r="G559" t="inlineStr">
        <is>
          <t>Mobile App</t>
        </is>
      </c>
      <c r="H559" t="inlineStr">
        <is>
          <t>Debit Card</t>
        </is>
      </c>
      <c r="I559" t="inlineStr">
        <is>
          <t>Delivered</t>
        </is>
      </c>
      <c r="J559" t="n">
        <v>140</v>
      </c>
      <c r="K559" t="n">
        <v>2</v>
      </c>
      <c r="L559" s="7" t="n">
        <v>629</v>
      </c>
      <c r="M559" s="7" t="n">
        <v>125.8</v>
      </c>
    </row>
    <row r="560">
      <c r="A560" t="n">
        <v>509609</v>
      </c>
      <c r="B560" s="6" t="n">
        <v>45939</v>
      </c>
      <c r="C560" t="n">
        <v>10761</v>
      </c>
      <c r="D560" t="inlineStr">
        <is>
          <t>Delhi</t>
        </is>
      </c>
      <c r="E560" t="inlineStr">
        <is>
          <t>North</t>
        </is>
      </c>
      <c r="F560" t="inlineStr">
        <is>
          <t>Affiliate</t>
        </is>
      </c>
      <c r="G560" t="inlineStr">
        <is>
          <t>Mobile App</t>
        </is>
      </c>
      <c r="H560" t="inlineStr">
        <is>
          <t>Debit Card</t>
        </is>
      </c>
      <c r="I560" t="inlineStr">
        <is>
          <t>Delivered</t>
        </is>
      </c>
      <c r="J560" t="n">
        <v>131</v>
      </c>
      <c r="K560" t="n">
        <v>1</v>
      </c>
      <c r="L560" s="7" t="n">
        <v>314</v>
      </c>
      <c r="M560" s="7" t="n">
        <v>31.4</v>
      </c>
    </row>
    <row r="561">
      <c r="A561" t="n">
        <v>509610</v>
      </c>
      <c r="B561" s="6" t="n">
        <v>45939</v>
      </c>
      <c r="C561" t="n">
        <v>12781</v>
      </c>
      <c r="D561" t="inlineStr">
        <is>
          <t>Chennai</t>
        </is>
      </c>
      <c r="E561" t="inlineStr">
        <is>
          <t>South</t>
        </is>
      </c>
      <c r="F561" t="inlineStr">
        <is>
          <t>Organic Search</t>
        </is>
      </c>
      <c r="G561" t="inlineStr">
        <is>
          <t>Desktop</t>
        </is>
      </c>
      <c r="H561" t="inlineStr">
        <is>
          <t>Cash on Delivery</t>
        </is>
      </c>
      <c r="I561" t="inlineStr">
        <is>
          <t>Delivered</t>
        </is>
      </c>
      <c r="J561" t="n">
        <v>120</v>
      </c>
      <c r="K561" t="n">
        <v>1</v>
      </c>
      <c r="L561" s="7" t="n">
        <v>734</v>
      </c>
      <c r="M561" s="7" t="n">
        <v>0</v>
      </c>
    </row>
    <row r="562">
      <c r="A562" t="n">
        <v>509611</v>
      </c>
      <c r="B562" s="6" t="n">
        <v>45939</v>
      </c>
      <c r="C562" t="n">
        <v>16668</v>
      </c>
      <c r="D562" t="inlineStr">
        <is>
          <t>Jaipur</t>
        </is>
      </c>
      <c r="E562" t="inlineStr">
        <is>
          <t>North</t>
        </is>
      </c>
      <c r="F562" t="inlineStr">
        <is>
          <t>Organic Search</t>
        </is>
      </c>
      <c r="G562" t="inlineStr">
        <is>
          <t>Mobile App</t>
        </is>
      </c>
      <c r="H562" t="inlineStr">
        <is>
          <t>Cash on Delivery</t>
        </is>
      </c>
      <c r="I562" t="inlineStr">
        <is>
          <t>Delivered</t>
        </is>
      </c>
      <c r="J562" t="n">
        <v>112</v>
      </c>
      <c r="K562" t="n">
        <v>1</v>
      </c>
      <c r="L562" s="7" t="n">
        <v>1574</v>
      </c>
      <c r="M562" s="7" t="n">
        <v>157.4</v>
      </c>
    </row>
    <row r="563">
      <c r="A563" t="n">
        <v>509611</v>
      </c>
      <c r="B563" s="6" t="n">
        <v>45939</v>
      </c>
      <c r="C563" t="n">
        <v>16668</v>
      </c>
      <c r="D563" t="inlineStr">
        <is>
          <t>Jaipur</t>
        </is>
      </c>
      <c r="E563" t="inlineStr">
        <is>
          <t>North</t>
        </is>
      </c>
      <c r="F563" t="inlineStr">
        <is>
          <t>Organic Search</t>
        </is>
      </c>
      <c r="G563" t="inlineStr">
        <is>
          <t>Mobile App</t>
        </is>
      </c>
      <c r="H563" t="inlineStr">
        <is>
          <t>Cash on Delivery</t>
        </is>
      </c>
      <c r="I563" t="inlineStr">
        <is>
          <t>Delivered</t>
        </is>
      </c>
      <c r="J563" t="n">
        <v>114</v>
      </c>
      <c r="K563" t="n">
        <v>1</v>
      </c>
      <c r="L563" s="7" t="n">
        <v>1259</v>
      </c>
      <c r="M563" s="7" t="n">
        <v>125.9</v>
      </c>
    </row>
    <row r="564">
      <c r="A564" t="n">
        <v>509611</v>
      </c>
      <c r="B564" s="6" t="n">
        <v>45939</v>
      </c>
      <c r="C564" t="n">
        <v>16668</v>
      </c>
      <c r="D564" t="inlineStr">
        <is>
          <t>Jaipur</t>
        </is>
      </c>
      <c r="E564" t="inlineStr">
        <is>
          <t>North</t>
        </is>
      </c>
      <c r="F564" t="inlineStr">
        <is>
          <t>Organic Search</t>
        </is>
      </c>
      <c r="G564" t="inlineStr">
        <is>
          <t>Mobile App</t>
        </is>
      </c>
      <c r="H564" t="inlineStr">
        <is>
          <t>Cash on Delivery</t>
        </is>
      </c>
      <c r="I564" t="inlineStr">
        <is>
          <t>Delivered</t>
        </is>
      </c>
      <c r="J564" t="n">
        <v>129</v>
      </c>
      <c r="K564" t="n">
        <v>1</v>
      </c>
      <c r="L564" s="7" t="n">
        <v>576</v>
      </c>
      <c r="M564" s="7" t="n">
        <v>57.6</v>
      </c>
    </row>
    <row r="565">
      <c r="A565" t="n">
        <v>509612</v>
      </c>
      <c r="B565" s="6" t="n">
        <v>45939</v>
      </c>
      <c r="C565" t="n">
        <v>13833</v>
      </c>
      <c r="D565" t="inlineStr">
        <is>
          <t>Ahmedabad</t>
        </is>
      </c>
      <c r="E565" t="inlineStr">
        <is>
          <t>West</t>
        </is>
      </c>
      <c r="F565" t="inlineStr">
        <is>
          <t>Organic Search</t>
        </is>
      </c>
      <c r="G565" t="inlineStr">
        <is>
          <t>Mobile Web</t>
        </is>
      </c>
      <c r="H565" t="inlineStr">
        <is>
          <t>UPI</t>
        </is>
      </c>
      <c r="I565" t="inlineStr">
        <is>
          <t>Delivered</t>
        </is>
      </c>
      <c r="J565" t="n">
        <v>141</v>
      </c>
      <c r="K565" t="n">
        <v>3</v>
      </c>
      <c r="L565" s="7" t="n">
        <v>261</v>
      </c>
      <c r="M565" s="7" t="n">
        <v>0</v>
      </c>
    </row>
    <row r="566">
      <c r="A566" t="n">
        <v>509612</v>
      </c>
      <c r="B566" s="6" t="n">
        <v>45939</v>
      </c>
      <c r="C566" t="n">
        <v>13833</v>
      </c>
      <c r="D566" t="inlineStr">
        <is>
          <t>Ahmedabad</t>
        </is>
      </c>
      <c r="E566" t="inlineStr">
        <is>
          <t>West</t>
        </is>
      </c>
      <c r="F566" t="inlineStr">
        <is>
          <t>Organic Search</t>
        </is>
      </c>
      <c r="G566" t="inlineStr">
        <is>
          <t>Mobile Web</t>
        </is>
      </c>
      <c r="H566" t="inlineStr">
        <is>
          <t>UPI</t>
        </is>
      </c>
      <c r="I566" t="inlineStr">
        <is>
          <t>Delivered</t>
        </is>
      </c>
      <c r="J566" t="n">
        <v>112</v>
      </c>
      <c r="K566" t="n">
        <v>1</v>
      </c>
      <c r="L566" s="7" t="n">
        <v>1574</v>
      </c>
      <c r="M566" s="7" t="n">
        <v>0</v>
      </c>
    </row>
    <row r="567">
      <c r="A567" t="n">
        <v>509612</v>
      </c>
      <c r="B567" s="6" t="n">
        <v>45939</v>
      </c>
      <c r="C567" t="n">
        <v>13833</v>
      </c>
      <c r="D567" t="inlineStr">
        <is>
          <t>Ahmedabad</t>
        </is>
      </c>
      <c r="E567" t="inlineStr">
        <is>
          <t>West</t>
        </is>
      </c>
      <c r="F567" t="inlineStr">
        <is>
          <t>Organic Search</t>
        </is>
      </c>
      <c r="G567" t="inlineStr">
        <is>
          <t>Mobile Web</t>
        </is>
      </c>
      <c r="H567" t="inlineStr">
        <is>
          <t>UPI</t>
        </is>
      </c>
      <c r="I567" t="inlineStr">
        <is>
          <t>Delivered</t>
        </is>
      </c>
      <c r="J567" t="n">
        <v>115</v>
      </c>
      <c r="K567" t="n">
        <v>2</v>
      </c>
      <c r="L567" s="7" t="n">
        <v>4199</v>
      </c>
      <c r="M567" s="7" t="n">
        <v>0</v>
      </c>
    </row>
    <row r="568">
      <c r="A568" t="n">
        <v>509612</v>
      </c>
      <c r="B568" s="6" t="n">
        <v>45939</v>
      </c>
      <c r="C568" t="n">
        <v>13833</v>
      </c>
      <c r="D568" t="inlineStr">
        <is>
          <t>Ahmedabad</t>
        </is>
      </c>
      <c r="E568" t="inlineStr">
        <is>
          <t>West</t>
        </is>
      </c>
      <c r="F568" t="inlineStr">
        <is>
          <t>Organic Search</t>
        </is>
      </c>
      <c r="G568" t="inlineStr">
        <is>
          <t>Mobile Web</t>
        </is>
      </c>
      <c r="H568" t="inlineStr">
        <is>
          <t>UPI</t>
        </is>
      </c>
      <c r="I568" t="inlineStr">
        <is>
          <t>Delivered</t>
        </is>
      </c>
      <c r="J568" t="n">
        <v>111</v>
      </c>
      <c r="K568" t="n">
        <v>1</v>
      </c>
      <c r="L568" s="7" t="n">
        <v>524</v>
      </c>
      <c r="M568" s="7" t="n">
        <v>0</v>
      </c>
    </row>
    <row r="569">
      <c r="A569" t="n">
        <v>509613</v>
      </c>
      <c r="B569" s="6" t="n">
        <v>45939</v>
      </c>
      <c r="C569" t="n">
        <v>15633</v>
      </c>
      <c r="D569" t="inlineStr">
        <is>
          <t>Bengaluru</t>
        </is>
      </c>
      <c r="E569" t="inlineStr">
        <is>
          <t>South</t>
        </is>
      </c>
      <c r="F569" t="inlineStr">
        <is>
          <t>Organic Search</t>
        </is>
      </c>
      <c r="G569" t="inlineStr">
        <is>
          <t>Mobile App</t>
        </is>
      </c>
      <c r="H569" t="inlineStr">
        <is>
          <t>UPI</t>
        </is>
      </c>
      <c r="I569" t="inlineStr">
        <is>
          <t>Delivered</t>
        </is>
      </c>
      <c r="J569" t="n">
        <v>126</v>
      </c>
      <c r="K569" t="n">
        <v>2</v>
      </c>
      <c r="L569" s="7" t="n">
        <v>471</v>
      </c>
      <c r="M569" s="7" t="n">
        <v>94.2</v>
      </c>
    </row>
    <row r="570">
      <c r="A570" t="n">
        <v>509614</v>
      </c>
      <c r="B570" s="6" t="n">
        <v>45939</v>
      </c>
      <c r="C570" t="n">
        <v>11402</v>
      </c>
      <c r="D570" t="inlineStr">
        <is>
          <t>Hyderabad</t>
        </is>
      </c>
      <c r="E570" t="inlineStr">
        <is>
          <t>South</t>
        </is>
      </c>
      <c r="F570" t="inlineStr">
        <is>
          <t>Paid Search</t>
        </is>
      </c>
      <c r="G570" t="inlineStr">
        <is>
          <t>Mobile App</t>
        </is>
      </c>
      <c r="H570" t="inlineStr">
        <is>
          <t>UPI</t>
        </is>
      </c>
      <c r="I570" t="inlineStr">
        <is>
          <t>Delivered</t>
        </is>
      </c>
      <c r="J570" t="n">
        <v>107</v>
      </c>
      <c r="K570" t="n">
        <v>1</v>
      </c>
      <c r="L570" s="7" t="n">
        <v>1259</v>
      </c>
      <c r="M570" s="7" t="n">
        <v>0</v>
      </c>
    </row>
    <row r="571">
      <c r="A571" t="n">
        <v>509614</v>
      </c>
      <c r="B571" s="6" t="n">
        <v>45939</v>
      </c>
      <c r="C571" t="n">
        <v>11402</v>
      </c>
      <c r="D571" t="inlineStr">
        <is>
          <t>Hyderabad</t>
        </is>
      </c>
      <c r="E571" t="inlineStr">
        <is>
          <t>South</t>
        </is>
      </c>
      <c r="F571" t="inlineStr">
        <is>
          <t>Paid Search</t>
        </is>
      </c>
      <c r="G571" t="inlineStr">
        <is>
          <t>Mobile App</t>
        </is>
      </c>
      <c r="H571" t="inlineStr">
        <is>
          <t>UPI</t>
        </is>
      </c>
      <c r="I571" t="inlineStr">
        <is>
          <t>Delivered</t>
        </is>
      </c>
      <c r="J571" t="n">
        <v>129</v>
      </c>
      <c r="K571" t="n">
        <v>1</v>
      </c>
      <c r="L571" s="7" t="n">
        <v>576</v>
      </c>
      <c r="M571" s="7" t="n">
        <v>0</v>
      </c>
    </row>
    <row r="572">
      <c r="A572" t="n">
        <v>509615</v>
      </c>
      <c r="B572" s="6" t="n">
        <v>45939</v>
      </c>
      <c r="C572" t="n">
        <v>14205</v>
      </c>
      <c r="D572" t="inlineStr">
        <is>
          <t>Pune</t>
        </is>
      </c>
      <c r="E572" t="inlineStr">
        <is>
          <t>West</t>
        </is>
      </c>
      <c r="F572" t="inlineStr">
        <is>
          <t>Affiliate</t>
        </is>
      </c>
      <c r="G572" t="inlineStr">
        <is>
          <t>Mobile App</t>
        </is>
      </c>
      <c r="H572" t="inlineStr">
        <is>
          <t>UPI</t>
        </is>
      </c>
      <c r="I572" t="inlineStr">
        <is>
          <t>Delivered</t>
        </is>
      </c>
      <c r="J572" t="n">
        <v>112</v>
      </c>
      <c r="K572" t="n">
        <v>1</v>
      </c>
      <c r="L572" s="7" t="n">
        <v>1574</v>
      </c>
      <c r="M572" s="7" t="n">
        <v>0</v>
      </c>
    </row>
    <row r="573">
      <c r="A573" t="n">
        <v>509615</v>
      </c>
      <c r="B573" s="6" t="n">
        <v>45939</v>
      </c>
      <c r="C573" t="n">
        <v>14205</v>
      </c>
      <c r="D573" t="inlineStr">
        <is>
          <t>Pune</t>
        </is>
      </c>
      <c r="E573" t="inlineStr">
        <is>
          <t>West</t>
        </is>
      </c>
      <c r="F573" t="inlineStr">
        <is>
          <t>Affiliate</t>
        </is>
      </c>
      <c r="G573" t="inlineStr">
        <is>
          <t>Mobile App</t>
        </is>
      </c>
      <c r="H573" t="inlineStr">
        <is>
          <t>UPI</t>
        </is>
      </c>
      <c r="I573" t="inlineStr">
        <is>
          <t>Delivered</t>
        </is>
      </c>
      <c r="J573" t="n">
        <v>129</v>
      </c>
      <c r="K573" t="n">
        <v>1</v>
      </c>
      <c r="L573" s="7" t="n">
        <v>576</v>
      </c>
      <c r="M573" s="7" t="n">
        <v>0</v>
      </c>
    </row>
    <row r="574">
      <c r="A574" t="n">
        <v>509616</v>
      </c>
      <c r="B574" s="6" t="n">
        <v>45939</v>
      </c>
      <c r="C574" t="n">
        <v>11181</v>
      </c>
      <c r="D574" t="inlineStr">
        <is>
          <t>Bengaluru</t>
        </is>
      </c>
      <c r="E574" t="inlineStr">
        <is>
          <t>South</t>
        </is>
      </c>
      <c r="F574" t="inlineStr">
        <is>
          <t>Organic Search</t>
        </is>
      </c>
      <c r="G574" t="inlineStr">
        <is>
          <t>Desktop</t>
        </is>
      </c>
      <c r="H574" t="inlineStr">
        <is>
          <t>UPI</t>
        </is>
      </c>
      <c r="I574" t="inlineStr">
        <is>
          <t>Delivered</t>
        </is>
      </c>
      <c r="J574" t="n">
        <v>114</v>
      </c>
      <c r="K574" t="n">
        <v>1</v>
      </c>
      <c r="L574" s="7" t="n">
        <v>1259</v>
      </c>
      <c r="M574" s="7" t="n">
        <v>0</v>
      </c>
    </row>
    <row r="575">
      <c r="A575" t="n">
        <v>509617</v>
      </c>
      <c r="B575" s="6" t="n">
        <v>45939</v>
      </c>
      <c r="C575" t="n">
        <v>11030</v>
      </c>
      <c r="D575" t="inlineStr">
        <is>
          <t>Gurugram</t>
        </is>
      </c>
      <c r="E575" t="inlineStr">
        <is>
          <t>North</t>
        </is>
      </c>
      <c r="F575" t="inlineStr">
        <is>
          <t>Referral</t>
        </is>
      </c>
      <c r="G575" t="inlineStr">
        <is>
          <t>Desktop</t>
        </is>
      </c>
      <c r="H575" t="inlineStr">
        <is>
          <t>Credit Card</t>
        </is>
      </c>
      <c r="I575" t="inlineStr">
        <is>
          <t>Delivered</t>
        </is>
      </c>
      <c r="J575" t="n">
        <v>138</v>
      </c>
      <c r="K575" t="n">
        <v>1</v>
      </c>
      <c r="L575" s="7" t="n">
        <v>419</v>
      </c>
      <c r="M575" s="7" t="n">
        <v>41.9</v>
      </c>
    </row>
    <row r="576">
      <c r="A576" t="n">
        <v>509618</v>
      </c>
      <c r="B576" s="6" t="n">
        <v>45939</v>
      </c>
      <c r="C576" t="n">
        <v>15976</v>
      </c>
      <c r="D576" t="inlineStr">
        <is>
          <t>Indore</t>
        </is>
      </c>
      <c r="E576" t="inlineStr">
        <is>
          <t>West</t>
        </is>
      </c>
      <c r="F576" t="inlineStr">
        <is>
          <t>Paid Social</t>
        </is>
      </c>
      <c r="G576" t="inlineStr">
        <is>
          <t>Mobile App</t>
        </is>
      </c>
      <c r="H576" t="inlineStr">
        <is>
          <t>UPI</t>
        </is>
      </c>
      <c r="I576" t="inlineStr">
        <is>
          <t>Delivered</t>
        </is>
      </c>
      <c r="J576" t="n">
        <v>102</v>
      </c>
      <c r="K576" t="n">
        <v>1</v>
      </c>
      <c r="L576" s="7" t="n">
        <v>3674</v>
      </c>
      <c r="M576" s="7" t="n">
        <v>0</v>
      </c>
    </row>
    <row r="577">
      <c r="A577" t="n">
        <v>509618</v>
      </c>
      <c r="B577" s="6" t="n">
        <v>45939</v>
      </c>
      <c r="C577" t="n">
        <v>15976</v>
      </c>
      <c r="D577" t="inlineStr">
        <is>
          <t>Indore</t>
        </is>
      </c>
      <c r="E577" t="inlineStr">
        <is>
          <t>West</t>
        </is>
      </c>
      <c r="F577" t="inlineStr">
        <is>
          <t>Paid Social</t>
        </is>
      </c>
      <c r="G577" t="inlineStr">
        <is>
          <t>Mobile App</t>
        </is>
      </c>
      <c r="H577" t="inlineStr">
        <is>
          <t>UPI</t>
        </is>
      </c>
      <c r="I577" t="inlineStr">
        <is>
          <t>Delivered</t>
        </is>
      </c>
      <c r="J577" t="n">
        <v>129</v>
      </c>
      <c r="K577" t="n">
        <v>1</v>
      </c>
      <c r="L577" s="7" t="n">
        <v>576</v>
      </c>
      <c r="M577" s="7" t="n">
        <v>0</v>
      </c>
    </row>
    <row r="578">
      <c r="A578" t="n">
        <v>509619</v>
      </c>
      <c r="B578" s="6" t="n">
        <v>45939</v>
      </c>
      <c r="C578" t="n">
        <v>16743</v>
      </c>
      <c r="D578" t="inlineStr">
        <is>
          <t>Hyderabad</t>
        </is>
      </c>
      <c r="E578" t="inlineStr">
        <is>
          <t>South</t>
        </is>
      </c>
      <c r="F578" t="inlineStr">
        <is>
          <t>Referral</t>
        </is>
      </c>
      <c r="G578" t="inlineStr">
        <is>
          <t>Mobile Web</t>
        </is>
      </c>
      <c r="H578" t="inlineStr">
        <is>
          <t>Cash on Delivery</t>
        </is>
      </c>
      <c r="I578" t="inlineStr">
        <is>
          <t>Delivered</t>
        </is>
      </c>
      <c r="J578" t="n">
        <v>120</v>
      </c>
      <c r="K578" t="n">
        <v>1</v>
      </c>
      <c r="L578" s="7" t="n">
        <v>734</v>
      </c>
      <c r="M578" s="7" t="n">
        <v>110.1</v>
      </c>
    </row>
    <row r="579">
      <c r="A579" t="n">
        <v>509619</v>
      </c>
      <c r="B579" s="6" t="n">
        <v>45939</v>
      </c>
      <c r="C579" t="n">
        <v>16743</v>
      </c>
      <c r="D579" t="inlineStr">
        <is>
          <t>Hyderabad</t>
        </is>
      </c>
      <c r="E579" t="inlineStr">
        <is>
          <t>South</t>
        </is>
      </c>
      <c r="F579" t="inlineStr">
        <is>
          <t>Referral</t>
        </is>
      </c>
      <c r="G579" t="inlineStr">
        <is>
          <t>Mobile Web</t>
        </is>
      </c>
      <c r="H579" t="inlineStr">
        <is>
          <t>Cash on Delivery</t>
        </is>
      </c>
      <c r="I579" t="inlineStr">
        <is>
          <t>Delivered</t>
        </is>
      </c>
      <c r="J579" t="n">
        <v>129</v>
      </c>
      <c r="K579" t="n">
        <v>1</v>
      </c>
      <c r="L579" s="7" t="n">
        <v>576</v>
      </c>
      <c r="M579" s="7" t="n">
        <v>86.40000000000001</v>
      </c>
    </row>
    <row r="580">
      <c r="A580" t="n">
        <v>509620</v>
      </c>
      <c r="B580" s="6" t="n">
        <v>45939</v>
      </c>
      <c r="C580" t="n">
        <v>12255</v>
      </c>
      <c r="D580" t="inlineStr">
        <is>
          <t>Bengaluru</t>
        </is>
      </c>
      <c r="E580" t="inlineStr">
        <is>
          <t>South</t>
        </is>
      </c>
      <c r="F580" t="inlineStr">
        <is>
          <t>Paid Social</t>
        </is>
      </c>
      <c r="G580" t="inlineStr">
        <is>
          <t>Mobile Web</t>
        </is>
      </c>
      <c r="H580" t="inlineStr">
        <is>
          <t>Cash on Delivery</t>
        </is>
      </c>
      <c r="I580" t="inlineStr">
        <is>
          <t>Returned</t>
        </is>
      </c>
      <c r="J580" t="n">
        <v>125</v>
      </c>
      <c r="K580" t="n">
        <v>1</v>
      </c>
      <c r="L580" s="7" t="n">
        <v>1364</v>
      </c>
      <c r="M580" s="7" t="n">
        <v>0</v>
      </c>
    </row>
    <row r="581">
      <c r="A581" t="n">
        <v>509620</v>
      </c>
      <c r="B581" s="6" t="n">
        <v>45939</v>
      </c>
      <c r="C581" t="n">
        <v>12255</v>
      </c>
      <c r="D581" t="inlineStr">
        <is>
          <t>Bengaluru</t>
        </is>
      </c>
      <c r="E581" t="inlineStr">
        <is>
          <t>South</t>
        </is>
      </c>
      <c r="F581" t="inlineStr">
        <is>
          <t>Paid Social</t>
        </is>
      </c>
      <c r="G581" t="inlineStr">
        <is>
          <t>Mobile Web</t>
        </is>
      </c>
      <c r="H581" t="inlineStr">
        <is>
          <t>Cash on Delivery</t>
        </is>
      </c>
      <c r="I581" t="inlineStr">
        <is>
          <t>Returned</t>
        </is>
      </c>
      <c r="J581" t="n">
        <v>106</v>
      </c>
      <c r="K581" t="n">
        <v>1</v>
      </c>
      <c r="L581" s="7" t="n">
        <v>1574</v>
      </c>
      <c r="M581" s="7" t="n">
        <v>0</v>
      </c>
    </row>
    <row r="582">
      <c r="A582" t="n">
        <v>509620</v>
      </c>
      <c r="B582" s="6" t="n">
        <v>45939</v>
      </c>
      <c r="C582" t="n">
        <v>12255</v>
      </c>
      <c r="D582" t="inlineStr">
        <is>
          <t>Bengaluru</t>
        </is>
      </c>
      <c r="E582" t="inlineStr">
        <is>
          <t>South</t>
        </is>
      </c>
      <c r="F582" t="inlineStr">
        <is>
          <t>Paid Social</t>
        </is>
      </c>
      <c r="G582" t="inlineStr">
        <is>
          <t>Mobile Web</t>
        </is>
      </c>
      <c r="H582" t="inlineStr">
        <is>
          <t>Cash on Delivery</t>
        </is>
      </c>
      <c r="I582" t="inlineStr">
        <is>
          <t>Returned</t>
        </is>
      </c>
      <c r="J582" t="n">
        <v>107</v>
      </c>
      <c r="K582" t="n">
        <v>1</v>
      </c>
      <c r="L582" s="7" t="n">
        <v>1259</v>
      </c>
      <c r="M582" s="7" t="n">
        <v>0</v>
      </c>
    </row>
    <row r="583">
      <c r="A583" t="n">
        <v>509621</v>
      </c>
      <c r="B583" s="6" t="n">
        <v>45939</v>
      </c>
      <c r="C583" t="n">
        <v>14370</v>
      </c>
      <c r="D583" t="inlineStr">
        <is>
          <t>Hyderabad</t>
        </is>
      </c>
      <c r="E583" t="inlineStr">
        <is>
          <t>South</t>
        </is>
      </c>
      <c r="F583" t="inlineStr">
        <is>
          <t>Paid Search</t>
        </is>
      </c>
      <c r="G583" t="inlineStr">
        <is>
          <t>Mobile Web</t>
        </is>
      </c>
      <c r="H583" t="inlineStr">
        <is>
          <t>Credit Card</t>
        </is>
      </c>
      <c r="I583" t="inlineStr">
        <is>
          <t>Returned</t>
        </is>
      </c>
      <c r="J583" t="n">
        <v>103</v>
      </c>
      <c r="K583" t="n">
        <v>1</v>
      </c>
      <c r="L583" s="7" t="n">
        <v>2624</v>
      </c>
      <c r="M583" s="7" t="n">
        <v>262.4</v>
      </c>
    </row>
    <row r="584">
      <c r="A584" t="n">
        <v>509621</v>
      </c>
      <c r="B584" s="6" t="n">
        <v>45939</v>
      </c>
      <c r="C584" t="n">
        <v>14370</v>
      </c>
      <c r="D584" t="inlineStr">
        <is>
          <t>Hyderabad</t>
        </is>
      </c>
      <c r="E584" t="inlineStr">
        <is>
          <t>South</t>
        </is>
      </c>
      <c r="F584" t="inlineStr">
        <is>
          <t>Paid Search</t>
        </is>
      </c>
      <c r="G584" t="inlineStr">
        <is>
          <t>Mobile Web</t>
        </is>
      </c>
      <c r="H584" t="inlineStr">
        <is>
          <t>Credit Card</t>
        </is>
      </c>
      <c r="I584" t="inlineStr">
        <is>
          <t>Returned</t>
        </is>
      </c>
      <c r="J584" t="n">
        <v>136</v>
      </c>
      <c r="K584" t="n">
        <v>1</v>
      </c>
      <c r="L584" s="7" t="n">
        <v>944</v>
      </c>
      <c r="M584" s="7" t="n">
        <v>94.40000000000001</v>
      </c>
    </row>
    <row r="585">
      <c r="A585" t="n">
        <v>509621</v>
      </c>
      <c r="B585" s="6" t="n">
        <v>45939</v>
      </c>
      <c r="C585" t="n">
        <v>14370</v>
      </c>
      <c r="D585" t="inlineStr">
        <is>
          <t>Hyderabad</t>
        </is>
      </c>
      <c r="E585" t="inlineStr">
        <is>
          <t>South</t>
        </is>
      </c>
      <c r="F585" t="inlineStr">
        <is>
          <t>Paid Search</t>
        </is>
      </c>
      <c r="G585" t="inlineStr">
        <is>
          <t>Mobile Web</t>
        </is>
      </c>
      <c r="H585" t="inlineStr">
        <is>
          <t>Credit Card</t>
        </is>
      </c>
      <c r="I585" t="inlineStr">
        <is>
          <t>Returned</t>
        </is>
      </c>
      <c r="J585" t="n">
        <v>142</v>
      </c>
      <c r="K585" t="n">
        <v>2</v>
      </c>
      <c r="L585" s="7" t="n">
        <v>839</v>
      </c>
      <c r="M585" s="7" t="n">
        <v>167.8</v>
      </c>
    </row>
    <row r="586">
      <c r="A586" t="n">
        <v>509621</v>
      </c>
      <c r="B586" s="6" t="n">
        <v>45939</v>
      </c>
      <c r="C586" t="n">
        <v>14370</v>
      </c>
      <c r="D586" t="inlineStr">
        <is>
          <t>Hyderabad</t>
        </is>
      </c>
      <c r="E586" t="inlineStr">
        <is>
          <t>South</t>
        </is>
      </c>
      <c r="F586" t="inlineStr">
        <is>
          <t>Paid Search</t>
        </is>
      </c>
      <c r="G586" t="inlineStr">
        <is>
          <t>Mobile Web</t>
        </is>
      </c>
      <c r="H586" t="inlineStr">
        <is>
          <t>Credit Card</t>
        </is>
      </c>
      <c r="I586" t="inlineStr">
        <is>
          <t>Returned</t>
        </is>
      </c>
      <c r="J586" t="n">
        <v>124</v>
      </c>
      <c r="K586" t="n">
        <v>1</v>
      </c>
      <c r="L586" s="7" t="n">
        <v>1154</v>
      </c>
      <c r="M586" s="7" t="n">
        <v>115.4</v>
      </c>
    </row>
    <row r="587">
      <c r="A587" t="n">
        <v>509622</v>
      </c>
      <c r="B587" s="6" t="n">
        <v>45939</v>
      </c>
      <c r="C587" t="n">
        <v>16737</v>
      </c>
      <c r="D587" t="inlineStr">
        <is>
          <t>Pune</t>
        </is>
      </c>
      <c r="E587" t="inlineStr">
        <is>
          <t>West</t>
        </is>
      </c>
      <c r="F587" t="inlineStr">
        <is>
          <t>Paid Social</t>
        </is>
      </c>
      <c r="G587" t="inlineStr">
        <is>
          <t>Desktop</t>
        </is>
      </c>
      <c r="H587" t="inlineStr">
        <is>
          <t>Credit Card</t>
        </is>
      </c>
      <c r="I587" t="inlineStr">
        <is>
          <t>Delivered</t>
        </is>
      </c>
      <c r="J587" t="n">
        <v>127</v>
      </c>
      <c r="K587" t="n">
        <v>1</v>
      </c>
      <c r="L587" s="7" t="n">
        <v>681</v>
      </c>
      <c r="M587" s="7" t="n">
        <v>102.15</v>
      </c>
    </row>
    <row r="588">
      <c r="A588" t="n">
        <v>509622</v>
      </c>
      <c r="B588" s="6" t="n">
        <v>45939</v>
      </c>
      <c r="C588" t="n">
        <v>16737</v>
      </c>
      <c r="D588" t="inlineStr">
        <is>
          <t>Pune</t>
        </is>
      </c>
      <c r="E588" t="inlineStr">
        <is>
          <t>West</t>
        </is>
      </c>
      <c r="F588" t="inlineStr">
        <is>
          <t>Paid Social</t>
        </is>
      </c>
      <c r="G588" t="inlineStr">
        <is>
          <t>Desktop</t>
        </is>
      </c>
      <c r="H588" t="inlineStr">
        <is>
          <t>Credit Card</t>
        </is>
      </c>
      <c r="I588" t="inlineStr">
        <is>
          <t>Delivered</t>
        </is>
      </c>
      <c r="J588" t="n">
        <v>114</v>
      </c>
      <c r="K588" t="n">
        <v>1</v>
      </c>
      <c r="L588" s="7" t="n">
        <v>1259</v>
      </c>
      <c r="M588" s="7" t="n">
        <v>188.85</v>
      </c>
    </row>
    <row r="589">
      <c r="A589" t="n">
        <v>509622</v>
      </c>
      <c r="B589" s="6" t="n">
        <v>45939</v>
      </c>
      <c r="C589" t="n">
        <v>16737</v>
      </c>
      <c r="D589" t="inlineStr">
        <is>
          <t>Pune</t>
        </is>
      </c>
      <c r="E589" t="inlineStr">
        <is>
          <t>West</t>
        </is>
      </c>
      <c r="F589" t="inlineStr">
        <is>
          <t>Paid Social</t>
        </is>
      </c>
      <c r="G589" t="inlineStr">
        <is>
          <t>Desktop</t>
        </is>
      </c>
      <c r="H589" t="inlineStr">
        <is>
          <t>Credit Card</t>
        </is>
      </c>
      <c r="I589" t="inlineStr">
        <is>
          <t>Delivered</t>
        </is>
      </c>
      <c r="J589" t="n">
        <v>104</v>
      </c>
      <c r="K589" t="n">
        <v>1</v>
      </c>
      <c r="L589" s="7" t="n">
        <v>5249</v>
      </c>
      <c r="M589" s="7" t="n">
        <v>787.35</v>
      </c>
    </row>
    <row r="590">
      <c r="A590" t="n">
        <v>509623</v>
      </c>
      <c r="B590" s="6" t="n">
        <v>45939</v>
      </c>
      <c r="C590" t="n">
        <v>16673</v>
      </c>
      <c r="D590" t="inlineStr">
        <is>
          <t>Hyderabad</t>
        </is>
      </c>
      <c r="E590" t="inlineStr">
        <is>
          <t>South</t>
        </is>
      </c>
      <c r="F590" t="inlineStr">
        <is>
          <t>Affiliate</t>
        </is>
      </c>
      <c r="G590" t="inlineStr">
        <is>
          <t>Mobile Web</t>
        </is>
      </c>
      <c r="H590" t="inlineStr">
        <is>
          <t>UPI</t>
        </is>
      </c>
      <c r="I590" t="inlineStr">
        <is>
          <t>Delivered</t>
        </is>
      </c>
      <c r="J590" t="n">
        <v>112</v>
      </c>
      <c r="K590" t="n">
        <v>1</v>
      </c>
      <c r="L590" s="7" t="n">
        <v>1574</v>
      </c>
      <c r="M590" s="7" t="n">
        <v>236.1</v>
      </c>
    </row>
    <row r="591">
      <c r="A591" t="n">
        <v>509624</v>
      </c>
      <c r="B591" s="6" t="n">
        <v>45939</v>
      </c>
      <c r="C591" t="n">
        <v>15225</v>
      </c>
      <c r="D591" t="inlineStr">
        <is>
          <t>Delhi</t>
        </is>
      </c>
      <c r="E591" t="inlineStr">
        <is>
          <t>North</t>
        </is>
      </c>
      <c r="F591" t="inlineStr">
        <is>
          <t>Affiliate</t>
        </is>
      </c>
      <c r="G591" t="inlineStr">
        <is>
          <t>Mobile Web</t>
        </is>
      </c>
      <c r="H591" t="inlineStr">
        <is>
          <t>UPI</t>
        </is>
      </c>
      <c r="I591" t="inlineStr">
        <is>
          <t>Delivered</t>
        </is>
      </c>
      <c r="J591" t="n">
        <v>108</v>
      </c>
      <c r="K591" t="n">
        <v>1</v>
      </c>
      <c r="L591" s="7" t="n">
        <v>419</v>
      </c>
      <c r="M591" s="7" t="n">
        <v>0</v>
      </c>
    </row>
    <row r="592">
      <c r="A592" t="n">
        <v>509625</v>
      </c>
      <c r="B592" s="6" t="n">
        <v>45939</v>
      </c>
      <c r="C592" t="n">
        <v>13952</v>
      </c>
      <c r="D592" t="inlineStr">
        <is>
          <t>Hyderabad</t>
        </is>
      </c>
      <c r="E592" t="inlineStr">
        <is>
          <t>South</t>
        </is>
      </c>
      <c r="F592" t="inlineStr">
        <is>
          <t>Organic Search</t>
        </is>
      </c>
      <c r="G592" t="inlineStr">
        <is>
          <t>Mobile App</t>
        </is>
      </c>
      <c r="H592" t="inlineStr">
        <is>
          <t>UPI</t>
        </is>
      </c>
      <c r="I592" t="inlineStr">
        <is>
          <t>Delivered</t>
        </is>
      </c>
      <c r="J592" t="n">
        <v>114</v>
      </c>
      <c r="K592" t="n">
        <v>1</v>
      </c>
      <c r="L592" s="7" t="n">
        <v>1259</v>
      </c>
      <c r="M592" s="7" t="n">
        <v>0</v>
      </c>
    </row>
    <row r="593">
      <c r="A593" t="n">
        <v>509625</v>
      </c>
      <c r="B593" s="6" t="n">
        <v>45939</v>
      </c>
      <c r="C593" t="n">
        <v>13952</v>
      </c>
      <c r="D593" t="inlineStr">
        <is>
          <t>Hyderabad</t>
        </is>
      </c>
      <c r="E593" t="inlineStr">
        <is>
          <t>South</t>
        </is>
      </c>
      <c r="F593" t="inlineStr">
        <is>
          <t>Organic Search</t>
        </is>
      </c>
      <c r="G593" t="inlineStr">
        <is>
          <t>Mobile App</t>
        </is>
      </c>
      <c r="H593" t="inlineStr">
        <is>
          <t>UPI</t>
        </is>
      </c>
      <c r="I593" t="inlineStr">
        <is>
          <t>Delivered</t>
        </is>
      </c>
      <c r="J593" t="n">
        <v>134</v>
      </c>
      <c r="K593" t="n">
        <v>1</v>
      </c>
      <c r="L593" s="7" t="n">
        <v>209</v>
      </c>
      <c r="M593" s="7" t="n">
        <v>0</v>
      </c>
    </row>
    <row r="594">
      <c r="A594" t="n">
        <v>509625</v>
      </c>
      <c r="B594" s="6" t="n">
        <v>45939</v>
      </c>
      <c r="C594" t="n">
        <v>13952</v>
      </c>
      <c r="D594" t="inlineStr">
        <is>
          <t>Hyderabad</t>
        </is>
      </c>
      <c r="E594" t="inlineStr">
        <is>
          <t>South</t>
        </is>
      </c>
      <c r="F594" t="inlineStr">
        <is>
          <t>Organic Search</t>
        </is>
      </c>
      <c r="G594" t="inlineStr">
        <is>
          <t>Mobile App</t>
        </is>
      </c>
      <c r="H594" t="inlineStr">
        <is>
          <t>UPI</t>
        </is>
      </c>
      <c r="I594" t="inlineStr">
        <is>
          <t>Delivered</t>
        </is>
      </c>
      <c r="J594" t="n">
        <v>113</v>
      </c>
      <c r="K594" t="n">
        <v>1</v>
      </c>
      <c r="L594" s="7" t="n">
        <v>1364</v>
      </c>
      <c r="M594" s="7" t="n">
        <v>0</v>
      </c>
    </row>
    <row r="595">
      <c r="A595" t="n">
        <v>509625</v>
      </c>
      <c r="B595" s="6" t="n">
        <v>45939</v>
      </c>
      <c r="C595" t="n">
        <v>13952</v>
      </c>
      <c r="D595" t="inlineStr">
        <is>
          <t>Hyderabad</t>
        </is>
      </c>
      <c r="E595" t="inlineStr">
        <is>
          <t>South</t>
        </is>
      </c>
      <c r="F595" t="inlineStr">
        <is>
          <t>Organic Search</t>
        </is>
      </c>
      <c r="G595" t="inlineStr">
        <is>
          <t>Mobile App</t>
        </is>
      </c>
      <c r="H595" t="inlineStr">
        <is>
          <t>UPI</t>
        </is>
      </c>
      <c r="I595" t="inlineStr">
        <is>
          <t>Delivered</t>
        </is>
      </c>
      <c r="J595" t="n">
        <v>129</v>
      </c>
      <c r="K595" t="n">
        <v>1</v>
      </c>
      <c r="L595" s="7" t="n">
        <v>576</v>
      </c>
      <c r="M595" s="7" t="n">
        <v>0</v>
      </c>
    </row>
    <row r="596">
      <c r="A596" t="n">
        <v>509626</v>
      </c>
      <c r="B596" s="6" t="n">
        <v>45939</v>
      </c>
      <c r="C596" t="n">
        <v>16628</v>
      </c>
      <c r="D596" t="inlineStr">
        <is>
          <t>Delhi</t>
        </is>
      </c>
      <c r="E596" t="inlineStr">
        <is>
          <t>North</t>
        </is>
      </c>
      <c r="F596" t="inlineStr">
        <is>
          <t>Referral</t>
        </is>
      </c>
      <c r="G596" t="inlineStr">
        <is>
          <t>Mobile App</t>
        </is>
      </c>
      <c r="H596" t="inlineStr">
        <is>
          <t>UPI</t>
        </is>
      </c>
      <c r="I596" t="inlineStr">
        <is>
          <t>Delivered</t>
        </is>
      </c>
      <c r="J596" t="n">
        <v>137</v>
      </c>
      <c r="K596" t="n">
        <v>1</v>
      </c>
      <c r="L596" s="7" t="n">
        <v>261</v>
      </c>
      <c r="M596" s="7" t="n">
        <v>0</v>
      </c>
    </row>
    <row r="597">
      <c r="A597" t="n">
        <v>509626</v>
      </c>
      <c r="B597" s="6" t="n">
        <v>45939</v>
      </c>
      <c r="C597" t="n">
        <v>16628</v>
      </c>
      <c r="D597" t="inlineStr">
        <is>
          <t>Delhi</t>
        </is>
      </c>
      <c r="E597" t="inlineStr">
        <is>
          <t>North</t>
        </is>
      </c>
      <c r="F597" t="inlineStr">
        <is>
          <t>Referral</t>
        </is>
      </c>
      <c r="G597" t="inlineStr">
        <is>
          <t>Mobile App</t>
        </is>
      </c>
      <c r="H597" t="inlineStr">
        <is>
          <t>UPI</t>
        </is>
      </c>
      <c r="I597" t="inlineStr">
        <is>
          <t>Delivered</t>
        </is>
      </c>
      <c r="J597" t="n">
        <v>129</v>
      </c>
      <c r="K597" t="n">
        <v>1</v>
      </c>
      <c r="L597" s="7" t="n">
        <v>576</v>
      </c>
      <c r="M597" s="7" t="n">
        <v>0</v>
      </c>
    </row>
    <row r="598">
      <c r="A598" t="n">
        <v>509627</v>
      </c>
      <c r="B598" s="6" t="n">
        <v>45939</v>
      </c>
      <c r="C598" t="n">
        <v>15899</v>
      </c>
      <c r="D598" t="inlineStr">
        <is>
          <t>Pune</t>
        </is>
      </c>
      <c r="E598" t="inlineStr">
        <is>
          <t>West</t>
        </is>
      </c>
      <c r="F598" t="inlineStr">
        <is>
          <t>Organic Search</t>
        </is>
      </c>
      <c r="G598" t="inlineStr">
        <is>
          <t>Desktop</t>
        </is>
      </c>
      <c r="H598" t="inlineStr">
        <is>
          <t>Credit Card</t>
        </is>
      </c>
      <c r="I598" t="inlineStr">
        <is>
          <t>Delivered</t>
        </is>
      </c>
      <c r="J598" t="n">
        <v>134</v>
      </c>
      <c r="K598" t="n">
        <v>1</v>
      </c>
      <c r="L598" s="7" t="n">
        <v>209</v>
      </c>
      <c r="M598" s="7" t="n">
        <v>10.45</v>
      </c>
    </row>
    <row r="599">
      <c r="A599" t="n">
        <v>509627</v>
      </c>
      <c r="B599" s="6" t="n">
        <v>45939</v>
      </c>
      <c r="C599" t="n">
        <v>15899</v>
      </c>
      <c r="D599" t="inlineStr">
        <is>
          <t>Pune</t>
        </is>
      </c>
      <c r="E599" t="inlineStr">
        <is>
          <t>West</t>
        </is>
      </c>
      <c r="F599" t="inlineStr">
        <is>
          <t>Organic Search</t>
        </is>
      </c>
      <c r="G599" t="inlineStr">
        <is>
          <t>Desktop</t>
        </is>
      </c>
      <c r="H599" t="inlineStr">
        <is>
          <t>Credit Card</t>
        </is>
      </c>
      <c r="I599" t="inlineStr">
        <is>
          <t>Delivered</t>
        </is>
      </c>
      <c r="J599" t="n">
        <v>143</v>
      </c>
      <c r="K599" t="n">
        <v>1</v>
      </c>
      <c r="L599" s="7" t="n">
        <v>839</v>
      </c>
      <c r="M599" s="7" t="n">
        <v>41.95</v>
      </c>
    </row>
    <row r="600">
      <c r="A600" t="n">
        <v>509628</v>
      </c>
      <c r="B600" s="6" t="n">
        <v>45939</v>
      </c>
      <c r="C600" t="n">
        <v>13988</v>
      </c>
      <c r="D600" t="inlineStr">
        <is>
          <t>Mumbai</t>
        </is>
      </c>
      <c r="E600" t="inlineStr">
        <is>
          <t>West</t>
        </is>
      </c>
      <c r="F600" t="inlineStr">
        <is>
          <t>Organic Search</t>
        </is>
      </c>
      <c r="G600" t="inlineStr">
        <is>
          <t>Mobile App</t>
        </is>
      </c>
      <c r="H600" t="inlineStr">
        <is>
          <t>UPI</t>
        </is>
      </c>
      <c r="I600" t="inlineStr">
        <is>
          <t>Delivered</t>
        </is>
      </c>
      <c r="J600" t="n">
        <v>122</v>
      </c>
      <c r="K600" t="n">
        <v>1</v>
      </c>
      <c r="L600" s="7" t="n">
        <v>1994</v>
      </c>
      <c r="M600" s="7" t="n">
        <v>0</v>
      </c>
    </row>
    <row r="601">
      <c r="A601" t="n">
        <v>509628</v>
      </c>
      <c r="B601" s="6" t="n">
        <v>45939</v>
      </c>
      <c r="C601" t="n">
        <v>13988</v>
      </c>
      <c r="D601" t="inlineStr">
        <is>
          <t>Mumbai</t>
        </is>
      </c>
      <c r="E601" t="inlineStr">
        <is>
          <t>West</t>
        </is>
      </c>
      <c r="F601" t="inlineStr">
        <is>
          <t>Organic Search</t>
        </is>
      </c>
      <c r="G601" t="inlineStr">
        <is>
          <t>Mobile App</t>
        </is>
      </c>
      <c r="H601" t="inlineStr">
        <is>
          <t>UPI</t>
        </is>
      </c>
      <c r="I601" t="inlineStr">
        <is>
          <t>Delivered</t>
        </is>
      </c>
      <c r="J601" t="n">
        <v>102</v>
      </c>
      <c r="K601" t="n">
        <v>1</v>
      </c>
      <c r="L601" s="7" t="n">
        <v>3674</v>
      </c>
      <c r="M601" s="7" t="n">
        <v>0</v>
      </c>
    </row>
    <row r="602">
      <c r="A602" t="n">
        <v>509628</v>
      </c>
      <c r="B602" s="6" t="n">
        <v>45939</v>
      </c>
      <c r="C602" t="n">
        <v>13988</v>
      </c>
      <c r="D602" t="inlineStr">
        <is>
          <t>Mumbai</t>
        </is>
      </c>
      <c r="E602" t="inlineStr">
        <is>
          <t>West</t>
        </is>
      </c>
      <c r="F602" t="inlineStr">
        <is>
          <t>Organic Search</t>
        </is>
      </c>
      <c r="G602" t="inlineStr">
        <is>
          <t>Mobile App</t>
        </is>
      </c>
      <c r="H602" t="inlineStr">
        <is>
          <t>UPI</t>
        </is>
      </c>
      <c r="I602" t="inlineStr">
        <is>
          <t>Delivered</t>
        </is>
      </c>
      <c r="J602" t="n">
        <v>120</v>
      </c>
      <c r="K602" t="n">
        <v>3</v>
      </c>
      <c r="L602" s="7" t="n">
        <v>734</v>
      </c>
      <c r="M602" s="7" t="n">
        <v>0</v>
      </c>
    </row>
    <row r="603">
      <c r="A603" t="n">
        <v>509629</v>
      </c>
      <c r="B603" s="6" t="n">
        <v>45939</v>
      </c>
      <c r="C603" t="n">
        <v>14545</v>
      </c>
      <c r="D603" t="inlineStr">
        <is>
          <t>Mumbai</t>
        </is>
      </c>
      <c r="E603" t="inlineStr">
        <is>
          <t>West</t>
        </is>
      </c>
      <c r="F603" t="inlineStr">
        <is>
          <t>Email</t>
        </is>
      </c>
      <c r="G603" t="inlineStr">
        <is>
          <t>Mobile App</t>
        </is>
      </c>
      <c r="H603" t="inlineStr">
        <is>
          <t>Debit Card</t>
        </is>
      </c>
      <c r="I603" t="inlineStr">
        <is>
          <t>Delivered</t>
        </is>
      </c>
      <c r="J603" t="n">
        <v>135</v>
      </c>
      <c r="K603" t="n">
        <v>1</v>
      </c>
      <c r="L603" s="7" t="n">
        <v>1574</v>
      </c>
      <c r="M603" s="7" t="n">
        <v>157.4</v>
      </c>
    </row>
    <row r="604">
      <c r="A604" t="n">
        <v>509629</v>
      </c>
      <c r="B604" s="6" t="n">
        <v>45939</v>
      </c>
      <c r="C604" t="n">
        <v>14545</v>
      </c>
      <c r="D604" t="inlineStr">
        <is>
          <t>Mumbai</t>
        </is>
      </c>
      <c r="E604" t="inlineStr">
        <is>
          <t>West</t>
        </is>
      </c>
      <c r="F604" t="inlineStr">
        <is>
          <t>Email</t>
        </is>
      </c>
      <c r="G604" t="inlineStr">
        <is>
          <t>Mobile App</t>
        </is>
      </c>
      <c r="H604" t="inlineStr">
        <is>
          <t>Debit Card</t>
        </is>
      </c>
      <c r="I604" t="inlineStr">
        <is>
          <t>Delivered</t>
        </is>
      </c>
      <c r="J604" t="n">
        <v>106</v>
      </c>
      <c r="K604" t="n">
        <v>1</v>
      </c>
      <c r="L604" s="7" t="n">
        <v>1574</v>
      </c>
      <c r="M604" s="7" t="n">
        <v>157.4</v>
      </c>
    </row>
    <row r="605">
      <c r="A605" t="n">
        <v>509629</v>
      </c>
      <c r="B605" s="6" t="n">
        <v>45939</v>
      </c>
      <c r="C605" t="n">
        <v>14545</v>
      </c>
      <c r="D605" t="inlineStr">
        <is>
          <t>Mumbai</t>
        </is>
      </c>
      <c r="E605" t="inlineStr">
        <is>
          <t>West</t>
        </is>
      </c>
      <c r="F605" t="inlineStr">
        <is>
          <t>Email</t>
        </is>
      </c>
      <c r="G605" t="inlineStr">
        <is>
          <t>Mobile App</t>
        </is>
      </c>
      <c r="H605" t="inlineStr">
        <is>
          <t>Debit Card</t>
        </is>
      </c>
      <c r="I605" t="inlineStr">
        <is>
          <t>Delivered</t>
        </is>
      </c>
      <c r="J605" t="n">
        <v>111</v>
      </c>
      <c r="K605" t="n">
        <v>2</v>
      </c>
      <c r="L605" s="7" t="n">
        <v>524</v>
      </c>
      <c r="M605" s="7" t="n">
        <v>104.8</v>
      </c>
    </row>
    <row r="606">
      <c r="A606" t="n">
        <v>509630</v>
      </c>
      <c r="B606" s="6" t="n">
        <v>45939</v>
      </c>
      <c r="C606" t="n">
        <v>10289</v>
      </c>
      <c r="D606" t="inlineStr">
        <is>
          <t>Jaipur</t>
        </is>
      </c>
      <c r="E606" t="inlineStr">
        <is>
          <t>North</t>
        </is>
      </c>
      <c r="F606" t="inlineStr">
        <is>
          <t>Referral</t>
        </is>
      </c>
      <c r="G606" t="inlineStr">
        <is>
          <t>Desktop</t>
        </is>
      </c>
      <c r="H606" t="inlineStr">
        <is>
          <t>UPI</t>
        </is>
      </c>
      <c r="I606" t="inlineStr">
        <is>
          <t>Delivered</t>
        </is>
      </c>
      <c r="J606" t="n">
        <v>111</v>
      </c>
      <c r="K606" t="n">
        <v>1</v>
      </c>
      <c r="L606" s="7" t="n">
        <v>524</v>
      </c>
      <c r="M606" s="7" t="n">
        <v>0</v>
      </c>
    </row>
    <row r="607">
      <c r="A607" t="n">
        <v>509631</v>
      </c>
      <c r="B607" s="6" t="n">
        <v>45939</v>
      </c>
      <c r="C607" t="n">
        <v>12928</v>
      </c>
      <c r="D607" t="inlineStr">
        <is>
          <t>Hyderabad</t>
        </is>
      </c>
      <c r="E607" t="inlineStr">
        <is>
          <t>South</t>
        </is>
      </c>
      <c r="F607" t="inlineStr">
        <is>
          <t>Organic Search</t>
        </is>
      </c>
      <c r="G607" t="inlineStr">
        <is>
          <t>Mobile App</t>
        </is>
      </c>
      <c r="H607" t="inlineStr">
        <is>
          <t>Cash on Delivery</t>
        </is>
      </c>
      <c r="I607" t="inlineStr">
        <is>
          <t>Delivered</t>
        </is>
      </c>
      <c r="J607" t="n">
        <v>111</v>
      </c>
      <c r="K607" t="n">
        <v>1</v>
      </c>
      <c r="L607" s="7" t="n">
        <v>524</v>
      </c>
      <c r="M607" s="7" t="n">
        <v>52.4</v>
      </c>
    </row>
    <row r="608">
      <c r="A608" t="n">
        <v>509632</v>
      </c>
      <c r="B608" s="6" t="n">
        <v>45939</v>
      </c>
      <c r="C608" t="n">
        <v>15950</v>
      </c>
      <c r="D608" t="inlineStr">
        <is>
          <t>Chennai</t>
        </is>
      </c>
      <c r="E608" t="inlineStr">
        <is>
          <t>South</t>
        </is>
      </c>
      <c r="F608" t="inlineStr">
        <is>
          <t>Organic Search</t>
        </is>
      </c>
      <c r="G608" t="inlineStr">
        <is>
          <t>Desktop</t>
        </is>
      </c>
      <c r="H608" t="inlineStr">
        <is>
          <t>Debit Card</t>
        </is>
      </c>
      <c r="I608" t="inlineStr">
        <is>
          <t>Delivered</t>
        </is>
      </c>
      <c r="J608" t="n">
        <v>131</v>
      </c>
      <c r="K608" t="n">
        <v>1</v>
      </c>
      <c r="L608" s="7" t="n">
        <v>314</v>
      </c>
      <c r="M608" s="7" t="n">
        <v>0</v>
      </c>
    </row>
    <row r="609">
      <c r="A609" t="n">
        <v>509632</v>
      </c>
      <c r="B609" s="6" t="n">
        <v>45939</v>
      </c>
      <c r="C609" t="n">
        <v>15950</v>
      </c>
      <c r="D609" t="inlineStr">
        <is>
          <t>Chennai</t>
        </is>
      </c>
      <c r="E609" t="inlineStr">
        <is>
          <t>South</t>
        </is>
      </c>
      <c r="F609" t="inlineStr">
        <is>
          <t>Organic Search</t>
        </is>
      </c>
      <c r="G609" t="inlineStr">
        <is>
          <t>Desktop</t>
        </is>
      </c>
      <c r="H609" t="inlineStr">
        <is>
          <t>Debit Card</t>
        </is>
      </c>
      <c r="I609" t="inlineStr">
        <is>
          <t>Delivered</t>
        </is>
      </c>
      <c r="J609" t="n">
        <v>113</v>
      </c>
      <c r="K609" t="n">
        <v>1</v>
      </c>
      <c r="L609" s="7" t="n">
        <v>1364</v>
      </c>
      <c r="M609" s="7" t="n">
        <v>0</v>
      </c>
    </row>
    <row r="610">
      <c r="A610" t="n">
        <v>509632</v>
      </c>
      <c r="B610" s="6" t="n">
        <v>45939</v>
      </c>
      <c r="C610" t="n">
        <v>15950</v>
      </c>
      <c r="D610" t="inlineStr">
        <is>
          <t>Chennai</t>
        </is>
      </c>
      <c r="E610" t="inlineStr">
        <is>
          <t>South</t>
        </is>
      </c>
      <c r="F610" t="inlineStr">
        <is>
          <t>Organic Search</t>
        </is>
      </c>
      <c r="G610" t="inlineStr">
        <is>
          <t>Desktop</t>
        </is>
      </c>
      <c r="H610" t="inlineStr">
        <is>
          <t>Debit Card</t>
        </is>
      </c>
      <c r="I610" t="inlineStr">
        <is>
          <t>Delivered</t>
        </is>
      </c>
      <c r="J610" t="n">
        <v>102</v>
      </c>
      <c r="K610" t="n">
        <v>2</v>
      </c>
      <c r="L610" s="7" t="n">
        <v>3674</v>
      </c>
      <c r="M610" s="7" t="n">
        <v>0</v>
      </c>
    </row>
    <row r="611">
      <c r="A611" t="n">
        <v>509633</v>
      </c>
      <c r="B611" s="6" t="n">
        <v>45939</v>
      </c>
      <c r="C611" t="n">
        <v>16689</v>
      </c>
      <c r="D611" t="inlineStr">
        <is>
          <t>Hyderabad</t>
        </is>
      </c>
      <c r="E611" t="inlineStr">
        <is>
          <t>South</t>
        </is>
      </c>
      <c r="F611" t="inlineStr">
        <is>
          <t>Affiliate</t>
        </is>
      </c>
      <c r="G611" t="inlineStr">
        <is>
          <t>Mobile App</t>
        </is>
      </c>
      <c r="H611" t="inlineStr">
        <is>
          <t>UPI</t>
        </is>
      </c>
      <c r="I611" t="inlineStr">
        <is>
          <t>Delivered</t>
        </is>
      </c>
      <c r="J611" t="n">
        <v>124</v>
      </c>
      <c r="K611" t="n">
        <v>1</v>
      </c>
      <c r="L611" s="7" t="n">
        <v>1154</v>
      </c>
      <c r="M611" s="7" t="n">
        <v>173.1</v>
      </c>
    </row>
    <row r="612">
      <c r="A612" t="n">
        <v>509634</v>
      </c>
      <c r="B612" s="6" t="n">
        <v>45939</v>
      </c>
      <c r="C612" t="n">
        <v>16663</v>
      </c>
      <c r="D612" t="inlineStr">
        <is>
          <t>Chennai</t>
        </is>
      </c>
      <c r="E612" t="inlineStr">
        <is>
          <t>South</t>
        </is>
      </c>
      <c r="F612" t="inlineStr">
        <is>
          <t>Paid Social</t>
        </is>
      </c>
      <c r="G612" t="inlineStr">
        <is>
          <t>Mobile App</t>
        </is>
      </c>
      <c r="H612" t="inlineStr">
        <is>
          <t>Cash on Delivery</t>
        </is>
      </c>
      <c r="I612" t="inlineStr">
        <is>
          <t>Delivered</t>
        </is>
      </c>
      <c r="J612" t="n">
        <v>138</v>
      </c>
      <c r="K612" t="n">
        <v>2</v>
      </c>
      <c r="L612" s="7" t="n">
        <v>419</v>
      </c>
      <c r="M612" s="7" t="n">
        <v>125.7</v>
      </c>
    </row>
    <row r="613">
      <c r="A613" t="n">
        <v>509634</v>
      </c>
      <c r="B613" s="6" t="n">
        <v>45939</v>
      </c>
      <c r="C613" t="n">
        <v>16663</v>
      </c>
      <c r="D613" t="inlineStr">
        <is>
          <t>Chennai</t>
        </is>
      </c>
      <c r="E613" t="inlineStr">
        <is>
          <t>South</t>
        </is>
      </c>
      <c r="F613" t="inlineStr">
        <is>
          <t>Paid Social</t>
        </is>
      </c>
      <c r="G613" t="inlineStr">
        <is>
          <t>Mobile App</t>
        </is>
      </c>
      <c r="H613" t="inlineStr">
        <is>
          <t>Cash on Delivery</t>
        </is>
      </c>
      <c r="I613" t="inlineStr">
        <is>
          <t>Delivered</t>
        </is>
      </c>
      <c r="J613" t="n">
        <v>123</v>
      </c>
      <c r="K613" t="n">
        <v>2</v>
      </c>
      <c r="L613" s="7" t="n">
        <v>3464</v>
      </c>
      <c r="M613" s="7" t="n">
        <v>1039.2</v>
      </c>
    </row>
    <row r="614">
      <c r="A614" t="n">
        <v>509635</v>
      </c>
      <c r="B614" s="6" t="n">
        <v>45939</v>
      </c>
      <c r="C614" t="n">
        <v>16653</v>
      </c>
      <c r="D614" t="inlineStr">
        <is>
          <t>Chennai</t>
        </is>
      </c>
      <c r="E614" t="inlineStr">
        <is>
          <t>South</t>
        </is>
      </c>
      <c r="F614" t="inlineStr">
        <is>
          <t>Paid Search</t>
        </is>
      </c>
      <c r="G614" t="inlineStr">
        <is>
          <t>Mobile Web</t>
        </is>
      </c>
      <c r="H614" t="inlineStr">
        <is>
          <t>UPI</t>
        </is>
      </c>
      <c r="I614" t="inlineStr">
        <is>
          <t>Returned</t>
        </is>
      </c>
      <c r="J614" t="n">
        <v>133</v>
      </c>
      <c r="K614" t="n">
        <v>1</v>
      </c>
      <c r="L614" s="7" t="n">
        <v>419</v>
      </c>
      <c r="M614" s="7" t="n">
        <v>41.9</v>
      </c>
    </row>
    <row r="615">
      <c r="A615" t="n">
        <v>509635</v>
      </c>
      <c r="B615" s="6" t="n">
        <v>45939</v>
      </c>
      <c r="C615" t="n">
        <v>16653</v>
      </c>
      <c r="D615" t="inlineStr">
        <is>
          <t>Chennai</t>
        </is>
      </c>
      <c r="E615" t="inlineStr">
        <is>
          <t>South</t>
        </is>
      </c>
      <c r="F615" t="inlineStr">
        <is>
          <t>Paid Search</t>
        </is>
      </c>
      <c r="G615" t="inlineStr">
        <is>
          <t>Mobile Web</t>
        </is>
      </c>
      <c r="H615" t="inlineStr">
        <is>
          <t>UPI</t>
        </is>
      </c>
      <c r="I615" t="inlineStr">
        <is>
          <t>Returned</t>
        </is>
      </c>
      <c r="J615" t="n">
        <v>129</v>
      </c>
      <c r="K615" t="n">
        <v>1</v>
      </c>
      <c r="L615" s="7" t="n">
        <v>576</v>
      </c>
      <c r="M615" s="7" t="n">
        <v>57.6</v>
      </c>
    </row>
    <row r="616">
      <c r="A616" t="n">
        <v>509636</v>
      </c>
      <c r="B616" s="6" t="n">
        <v>45939</v>
      </c>
      <c r="C616" t="n">
        <v>16723</v>
      </c>
      <c r="D616" t="inlineStr">
        <is>
          <t>Lucknow</t>
        </is>
      </c>
      <c r="E616" t="inlineStr">
        <is>
          <t>North</t>
        </is>
      </c>
      <c r="F616" t="inlineStr">
        <is>
          <t>Paid Search</t>
        </is>
      </c>
      <c r="G616" t="inlineStr">
        <is>
          <t>Mobile App</t>
        </is>
      </c>
      <c r="H616" t="inlineStr">
        <is>
          <t>Credit Card</t>
        </is>
      </c>
      <c r="I616" t="inlineStr">
        <is>
          <t>Delivered</t>
        </is>
      </c>
      <c r="J616" t="n">
        <v>141</v>
      </c>
      <c r="K616" t="n">
        <v>1</v>
      </c>
      <c r="L616" s="7" t="n">
        <v>261</v>
      </c>
      <c r="M616" s="7" t="n">
        <v>0</v>
      </c>
    </row>
    <row r="617">
      <c r="A617" t="n">
        <v>509637</v>
      </c>
      <c r="B617" s="6" t="n">
        <v>45939</v>
      </c>
      <c r="C617" t="n">
        <v>16617</v>
      </c>
      <c r="D617" t="inlineStr">
        <is>
          <t>Lucknow</t>
        </is>
      </c>
      <c r="E617" t="inlineStr">
        <is>
          <t>North</t>
        </is>
      </c>
      <c r="F617" t="inlineStr">
        <is>
          <t>Paid Search</t>
        </is>
      </c>
      <c r="G617" t="inlineStr">
        <is>
          <t>Mobile Web</t>
        </is>
      </c>
      <c r="H617" t="inlineStr">
        <is>
          <t>UPI</t>
        </is>
      </c>
      <c r="I617" t="inlineStr">
        <is>
          <t>Delivered</t>
        </is>
      </c>
      <c r="J617" t="n">
        <v>135</v>
      </c>
      <c r="K617" t="n">
        <v>1</v>
      </c>
      <c r="L617" s="7" t="n">
        <v>1574</v>
      </c>
      <c r="M617" s="7" t="n">
        <v>236.1</v>
      </c>
    </row>
    <row r="618">
      <c r="A618" t="n">
        <v>509637</v>
      </c>
      <c r="B618" s="6" t="n">
        <v>45939</v>
      </c>
      <c r="C618" t="n">
        <v>16617</v>
      </c>
      <c r="D618" t="inlineStr">
        <is>
          <t>Lucknow</t>
        </is>
      </c>
      <c r="E618" t="inlineStr">
        <is>
          <t>North</t>
        </is>
      </c>
      <c r="F618" t="inlineStr">
        <is>
          <t>Paid Search</t>
        </is>
      </c>
      <c r="G618" t="inlineStr">
        <is>
          <t>Mobile Web</t>
        </is>
      </c>
      <c r="H618" t="inlineStr">
        <is>
          <t>UPI</t>
        </is>
      </c>
      <c r="I618" t="inlineStr">
        <is>
          <t>Delivered</t>
        </is>
      </c>
      <c r="J618" t="n">
        <v>132</v>
      </c>
      <c r="K618" t="n">
        <v>2</v>
      </c>
      <c r="L618" s="7" t="n">
        <v>471</v>
      </c>
      <c r="M618" s="7" t="n">
        <v>141.3</v>
      </c>
    </row>
    <row r="619">
      <c r="A619" t="n">
        <v>509638</v>
      </c>
      <c r="B619" s="6" t="n">
        <v>45939</v>
      </c>
      <c r="C619" t="n">
        <v>16343</v>
      </c>
      <c r="D619" t="inlineStr">
        <is>
          <t>Kolkata</t>
        </is>
      </c>
      <c r="E619" t="inlineStr">
        <is>
          <t>East</t>
        </is>
      </c>
      <c r="F619" t="inlineStr">
        <is>
          <t>Referral</t>
        </is>
      </c>
      <c r="G619" t="inlineStr">
        <is>
          <t>Mobile Web</t>
        </is>
      </c>
      <c r="H619" t="inlineStr">
        <is>
          <t>Cash on Delivery</t>
        </is>
      </c>
      <c r="I619" t="inlineStr">
        <is>
          <t>Delivered</t>
        </is>
      </c>
      <c r="J619" t="n">
        <v>108</v>
      </c>
      <c r="K619" t="n">
        <v>1</v>
      </c>
      <c r="L619" s="7" t="n">
        <v>419</v>
      </c>
      <c r="M619" s="7" t="n">
        <v>41.9</v>
      </c>
    </row>
    <row r="620">
      <c r="A620" t="n">
        <v>509638</v>
      </c>
      <c r="B620" s="6" t="n">
        <v>45939</v>
      </c>
      <c r="C620" t="n">
        <v>16343</v>
      </c>
      <c r="D620" t="inlineStr">
        <is>
          <t>Kolkata</t>
        </is>
      </c>
      <c r="E620" t="inlineStr">
        <is>
          <t>East</t>
        </is>
      </c>
      <c r="F620" t="inlineStr">
        <is>
          <t>Referral</t>
        </is>
      </c>
      <c r="G620" t="inlineStr">
        <is>
          <t>Mobile Web</t>
        </is>
      </c>
      <c r="H620" t="inlineStr">
        <is>
          <t>Cash on Delivery</t>
        </is>
      </c>
      <c r="I620" t="inlineStr">
        <is>
          <t>Delivered</t>
        </is>
      </c>
      <c r="J620" t="n">
        <v>129</v>
      </c>
      <c r="K620" t="n">
        <v>1</v>
      </c>
      <c r="L620" s="7" t="n">
        <v>576</v>
      </c>
      <c r="M620" s="7" t="n">
        <v>57.6</v>
      </c>
    </row>
    <row r="621">
      <c r="A621" t="n">
        <v>509639</v>
      </c>
      <c r="B621" s="6" t="n">
        <v>45939</v>
      </c>
      <c r="C621" t="n">
        <v>15810</v>
      </c>
      <c r="D621" t="inlineStr">
        <is>
          <t>Bengaluru</t>
        </is>
      </c>
      <c r="E621" t="inlineStr">
        <is>
          <t>South</t>
        </is>
      </c>
      <c r="F621" t="inlineStr">
        <is>
          <t>Referral</t>
        </is>
      </c>
      <c r="G621" t="inlineStr">
        <is>
          <t>Mobile Web</t>
        </is>
      </c>
      <c r="H621" t="inlineStr">
        <is>
          <t>UPI</t>
        </is>
      </c>
      <c r="I621" t="inlineStr">
        <is>
          <t>Cancelled</t>
        </is>
      </c>
      <c r="J621" t="n">
        <v>122</v>
      </c>
      <c r="K621" t="n">
        <v>1</v>
      </c>
      <c r="L621" s="7" t="n">
        <v>1994</v>
      </c>
      <c r="M621" s="7" t="n">
        <v>0</v>
      </c>
    </row>
    <row r="622">
      <c r="A622" t="n">
        <v>509639</v>
      </c>
      <c r="B622" s="6" t="n">
        <v>45939</v>
      </c>
      <c r="C622" t="n">
        <v>15810</v>
      </c>
      <c r="D622" t="inlineStr">
        <is>
          <t>Bengaluru</t>
        </is>
      </c>
      <c r="E622" t="inlineStr">
        <is>
          <t>South</t>
        </is>
      </c>
      <c r="F622" t="inlineStr">
        <is>
          <t>Referral</t>
        </is>
      </c>
      <c r="G622" t="inlineStr">
        <is>
          <t>Mobile Web</t>
        </is>
      </c>
      <c r="H622" t="inlineStr">
        <is>
          <t>UPI</t>
        </is>
      </c>
      <c r="I622" t="inlineStr">
        <is>
          <t>Cancelled</t>
        </is>
      </c>
      <c r="J622" t="n">
        <v>129</v>
      </c>
      <c r="K622" t="n">
        <v>1</v>
      </c>
      <c r="L622" s="7" t="n">
        <v>576</v>
      </c>
      <c r="M622" s="7" t="n">
        <v>0</v>
      </c>
    </row>
    <row r="623">
      <c r="A623" t="n">
        <v>509640</v>
      </c>
      <c r="B623" s="6" t="n">
        <v>45939</v>
      </c>
      <c r="C623" t="n">
        <v>15562</v>
      </c>
      <c r="D623" t="inlineStr">
        <is>
          <t>Mumbai</t>
        </is>
      </c>
      <c r="E623" t="inlineStr">
        <is>
          <t>West</t>
        </is>
      </c>
      <c r="F623" t="inlineStr">
        <is>
          <t>Paid Search</t>
        </is>
      </c>
      <c r="G623" t="inlineStr">
        <is>
          <t>Mobile Web</t>
        </is>
      </c>
      <c r="H623" t="inlineStr">
        <is>
          <t>Credit Card</t>
        </is>
      </c>
      <c r="I623" t="inlineStr">
        <is>
          <t>Delivered</t>
        </is>
      </c>
      <c r="J623" t="n">
        <v>139</v>
      </c>
      <c r="K623" t="n">
        <v>2</v>
      </c>
      <c r="L623" s="7" t="n">
        <v>366</v>
      </c>
      <c r="M623" s="7" t="n">
        <v>73.2</v>
      </c>
    </row>
    <row r="624">
      <c r="A624" t="n">
        <v>509641</v>
      </c>
      <c r="B624" s="6" t="n">
        <v>45939</v>
      </c>
      <c r="C624" t="n">
        <v>14242</v>
      </c>
      <c r="D624" t="inlineStr">
        <is>
          <t>Ahmedabad</t>
        </is>
      </c>
      <c r="E624" t="inlineStr">
        <is>
          <t>West</t>
        </is>
      </c>
      <c r="F624" t="inlineStr">
        <is>
          <t>Paid Social</t>
        </is>
      </c>
      <c r="G624" t="inlineStr">
        <is>
          <t>Mobile Web</t>
        </is>
      </c>
      <c r="H624" t="inlineStr">
        <is>
          <t>UPI</t>
        </is>
      </c>
      <c r="I624" t="inlineStr">
        <is>
          <t>Delivered</t>
        </is>
      </c>
      <c r="J624" t="n">
        <v>103</v>
      </c>
      <c r="K624" t="n">
        <v>1</v>
      </c>
      <c r="L624" s="7" t="n">
        <v>2624</v>
      </c>
      <c r="M624" s="7" t="n">
        <v>0</v>
      </c>
    </row>
    <row r="625">
      <c r="A625" t="n">
        <v>509641</v>
      </c>
      <c r="B625" s="6" t="n">
        <v>45939</v>
      </c>
      <c r="C625" t="n">
        <v>14242</v>
      </c>
      <c r="D625" t="inlineStr">
        <is>
          <t>Ahmedabad</t>
        </is>
      </c>
      <c r="E625" t="inlineStr">
        <is>
          <t>West</t>
        </is>
      </c>
      <c r="F625" t="inlineStr">
        <is>
          <t>Paid Social</t>
        </is>
      </c>
      <c r="G625" t="inlineStr">
        <is>
          <t>Mobile Web</t>
        </is>
      </c>
      <c r="H625" t="inlineStr">
        <is>
          <t>UPI</t>
        </is>
      </c>
      <c r="I625" t="inlineStr">
        <is>
          <t>Delivered</t>
        </is>
      </c>
      <c r="J625" t="n">
        <v>105</v>
      </c>
      <c r="K625" t="n">
        <v>1</v>
      </c>
      <c r="L625" s="7" t="n">
        <v>2414</v>
      </c>
      <c r="M625" s="7" t="n">
        <v>0</v>
      </c>
    </row>
    <row r="626">
      <c r="A626" t="n">
        <v>509641</v>
      </c>
      <c r="B626" s="6" t="n">
        <v>45939</v>
      </c>
      <c r="C626" t="n">
        <v>14242</v>
      </c>
      <c r="D626" t="inlineStr">
        <is>
          <t>Ahmedabad</t>
        </is>
      </c>
      <c r="E626" t="inlineStr">
        <is>
          <t>West</t>
        </is>
      </c>
      <c r="F626" t="inlineStr">
        <is>
          <t>Paid Social</t>
        </is>
      </c>
      <c r="G626" t="inlineStr">
        <is>
          <t>Mobile Web</t>
        </is>
      </c>
      <c r="H626" t="inlineStr">
        <is>
          <t>UPI</t>
        </is>
      </c>
      <c r="I626" t="inlineStr">
        <is>
          <t>Delivered</t>
        </is>
      </c>
      <c r="J626" t="n">
        <v>111</v>
      </c>
      <c r="K626" t="n">
        <v>1</v>
      </c>
      <c r="L626" s="7" t="n">
        <v>524</v>
      </c>
      <c r="M626" s="7" t="n">
        <v>0</v>
      </c>
    </row>
    <row r="627">
      <c r="A627" t="n">
        <v>509641</v>
      </c>
      <c r="B627" s="6" t="n">
        <v>45939</v>
      </c>
      <c r="C627" t="n">
        <v>14242</v>
      </c>
      <c r="D627" t="inlineStr">
        <is>
          <t>Ahmedabad</t>
        </is>
      </c>
      <c r="E627" t="inlineStr">
        <is>
          <t>West</t>
        </is>
      </c>
      <c r="F627" t="inlineStr">
        <is>
          <t>Paid Social</t>
        </is>
      </c>
      <c r="G627" t="inlineStr">
        <is>
          <t>Mobile Web</t>
        </is>
      </c>
      <c r="H627" t="inlineStr">
        <is>
          <t>UPI</t>
        </is>
      </c>
      <c r="I627" t="inlineStr">
        <is>
          <t>Delivered</t>
        </is>
      </c>
      <c r="J627" t="n">
        <v>129</v>
      </c>
      <c r="K627" t="n">
        <v>1</v>
      </c>
      <c r="L627" s="7" t="n">
        <v>576</v>
      </c>
      <c r="M627" s="7" t="n">
        <v>0</v>
      </c>
    </row>
    <row r="628">
      <c r="A628" t="n">
        <v>509642</v>
      </c>
      <c r="B628" s="6" t="n">
        <v>45939</v>
      </c>
      <c r="C628" t="n">
        <v>15221</v>
      </c>
      <c r="D628" t="inlineStr">
        <is>
          <t>Mumbai</t>
        </is>
      </c>
      <c r="E628" t="inlineStr">
        <is>
          <t>West</t>
        </is>
      </c>
      <c r="F628" t="inlineStr">
        <is>
          <t>Organic Search</t>
        </is>
      </c>
      <c r="G628" t="inlineStr">
        <is>
          <t>Mobile App</t>
        </is>
      </c>
      <c r="H628" t="inlineStr">
        <is>
          <t>Credit Card</t>
        </is>
      </c>
      <c r="I628" t="inlineStr">
        <is>
          <t>Returned</t>
        </is>
      </c>
      <c r="J628" t="n">
        <v>104</v>
      </c>
      <c r="K628" t="n">
        <v>1</v>
      </c>
      <c r="L628" s="7" t="n">
        <v>5249</v>
      </c>
      <c r="M628" s="7" t="n">
        <v>524.9</v>
      </c>
    </row>
    <row r="629">
      <c r="A629" t="n">
        <v>509642</v>
      </c>
      <c r="B629" s="6" t="n">
        <v>45939</v>
      </c>
      <c r="C629" t="n">
        <v>15221</v>
      </c>
      <c r="D629" t="inlineStr">
        <is>
          <t>Mumbai</t>
        </is>
      </c>
      <c r="E629" t="inlineStr">
        <is>
          <t>West</t>
        </is>
      </c>
      <c r="F629" t="inlineStr">
        <is>
          <t>Organic Search</t>
        </is>
      </c>
      <c r="G629" t="inlineStr">
        <is>
          <t>Mobile App</t>
        </is>
      </c>
      <c r="H629" t="inlineStr">
        <is>
          <t>Credit Card</t>
        </is>
      </c>
      <c r="I629" t="inlineStr">
        <is>
          <t>Returned</t>
        </is>
      </c>
      <c r="J629" t="n">
        <v>111</v>
      </c>
      <c r="K629" t="n">
        <v>1</v>
      </c>
      <c r="L629" s="7" t="n">
        <v>524</v>
      </c>
      <c r="M629" s="7" t="n">
        <v>52.4</v>
      </c>
    </row>
    <row r="630">
      <c r="A630" t="n">
        <v>509643</v>
      </c>
      <c r="B630" s="6" t="n">
        <v>45939</v>
      </c>
      <c r="C630" t="n">
        <v>15186</v>
      </c>
      <c r="D630" t="inlineStr">
        <is>
          <t>Delhi</t>
        </is>
      </c>
      <c r="E630" t="inlineStr">
        <is>
          <t>North</t>
        </is>
      </c>
      <c r="F630" t="inlineStr">
        <is>
          <t>Referral</t>
        </is>
      </c>
      <c r="G630" t="inlineStr">
        <is>
          <t>Mobile Web</t>
        </is>
      </c>
      <c r="H630" t="inlineStr">
        <is>
          <t>Cash on Delivery</t>
        </is>
      </c>
      <c r="I630" t="inlineStr">
        <is>
          <t>Delivered</t>
        </is>
      </c>
      <c r="J630" t="n">
        <v>110</v>
      </c>
      <c r="K630" t="n">
        <v>1</v>
      </c>
      <c r="L630" s="7" t="n">
        <v>839</v>
      </c>
      <c r="M630" s="7" t="n">
        <v>0</v>
      </c>
    </row>
    <row r="631">
      <c r="A631" t="n">
        <v>509643</v>
      </c>
      <c r="B631" s="6" t="n">
        <v>45939</v>
      </c>
      <c r="C631" t="n">
        <v>15186</v>
      </c>
      <c r="D631" t="inlineStr">
        <is>
          <t>Delhi</t>
        </is>
      </c>
      <c r="E631" t="inlineStr">
        <is>
          <t>North</t>
        </is>
      </c>
      <c r="F631" t="inlineStr">
        <is>
          <t>Referral</t>
        </is>
      </c>
      <c r="G631" t="inlineStr">
        <is>
          <t>Mobile Web</t>
        </is>
      </c>
      <c r="H631" t="inlineStr">
        <is>
          <t>Cash on Delivery</t>
        </is>
      </c>
      <c r="I631" t="inlineStr">
        <is>
          <t>Delivered</t>
        </is>
      </c>
      <c r="J631" t="n">
        <v>129</v>
      </c>
      <c r="K631" t="n">
        <v>2</v>
      </c>
      <c r="L631" s="7" t="n">
        <v>576</v>
      </c>
      <c r="M631" s="7" t="n">
        <v>0</v>
      </c>
    </row>
    <row r="632">
      <c r="A632" t="n">
        <v>509644</v>
      </c>
      <c r="B632" s="6" t="n">
        <v>45939</v>
      </c>
      <c r="C632" t="n">
        <v>16635</v>
      </c>
      <c r="D632" t="inlineStr">
        <is>
          <t>Delhi</t>
        </is>
      </c>
      <c r="E632" t="inlineStr">
        <is>
          <t>North</t>
        </is>
      </c>
      <c r="F632" t="inlineStr">
        <is>
          <t>Paid Social</t>
        </is>
      </c>
      <c r="G632" t="inlineStr">
        <is>
          <t>Mobile Web</t>
        </is>
      </c>
      <c r="H632" t="inlineStr">
        <is>
          <t>Debit Card</t>
        </is>
      </c>
      <c r="I632" t="inlineStr">
        <is>
          <t>Delivered</t>
        </is>
      </c>
      <c r="J632" t="n">
        <v>118</v>
      </c>
      <c r="K632" t="n">
        <v>1</v>
      </c>
      <c r="L632" s="7" t="n">
        <v>944</v>
      </c>
      <c r="M632" s="7" t="n">
        <v>94.40000000000001</v>
      </c>
    </row>
    <row r="633">
      <c r="A633" t="n">
        <v>509644</v>
      </c>
      <c r="B633" s="6" t="n">
        <v>45939</v>
      </c>
      <c r="C633" t="n">
        <v>16635</v>
      </c>
      <c r="D633" t="inlineStr">
        <is>
          <t>Delhi</t>
        </is>
      </c>
      <c r="E633" t="inlineStr">
        <is>
          <t>North</t>
        </is>
      </c>
      <c r="F633" t="inlineStr">
        <is>
          <t>Paid Social</t>
        </is>
      </c>
      <c r="G633" t="inlineStr">
        <is>
          <t>Mobile Web</t>
        </is>
      </c>
      <c r="H633" t="inlineStr">
        <is>
          <t>Debit Card</t>
        </is>
      </c>
      <c r="I633" t="inlineStr">
        <is>
          <t>Delivered</t>
        </is>
      </c>
      <c r="J633" t="n">
        <v>123</v>
      </c>
      <c r="K633" t="n">
        <v>1</v>
      </c>
      <c r="L633" s="7" t="n">
        <v>3464</v>
      </c>
      <c r="M633" s="7" t="n">
        <v>346.4</v>
      </c>
    </row>
    <row r="634">
      <c r="A634" t="n">
        <v>509644</v>
      </c>
      <c r="B634" s="6" t="n">
        <v>45939</v>
      </c>
      <c r="C634" t="n">
        <v>16635</v>
      </c>
      <c r="D634" t="inlineStr">
        <is>
          <t>Delhi</t>
        </is>
      </c>
      <c r="E634" t="inlineStr">
        <is>
          <t>North</t>
        </is>
      </c>
      <c r="F634" t="inlineStr">
        <is>
          <t>Paid Social</t>
        </is>
      </c>
      <c r="G634" t="inlineStr">
        <is>
          <t>Mobile Web</t>
        </is>
      </c>
      <c r="H634" t="inlineStr">
        <is>
          <t>Debit Card</t>
        </is>
      </c>
      <c r="I634" t="inlineStr">
        <is>
          <t>Delivered</t>
        </is>
      </c>
      <c r="J634" t="n">
        <v>129</v>
      </c>
      <c r="K634" t="n">
        <v>1</v>
      </c>
      <c r="L634" s="7" t="n">
        <v>576</v>
      </c>
      <c r="M634" s="7" t="n">
        <v>57.6</v>
      </c>
    </row>
    <row r="635">
      <c r="A635" t="n">
        <v>509645</v>
      </c>
      <c r="B635" s="6" t="n">
        <v>45939</v>
      </c>
      <c r="C635" t="n">
        <v>15044</v>
      </c>
      <c r="D635" t="inlineStr">
        <is>
          <t>Ahmedabad</t>
        </is>
      </c>
      <c r="E635" t="inlineStr">
        <is>
          <t>West</t>
        </is>
      </c>
      <c r="F635" t="inlineStr">
        <is>
          <t>Organic Search</t>
        </is>
      </c>
      <c r="G635" t="inlineStr">
        <is>
          <t>Mobile App</t>
        </is>
      </c>
      <c r="H635" t="inlineStr">
        <is>
          <t>Cash on Delivery</t>
        </is>
      </c>
      <c r="I635" t="inlineStr">
        <is>
          <t>Delivered</t>
        </is>
      </c>
      <c r="J635" t="n">
        <v>134</v>
      </c>
      <c r="K635" t="n">
        <v>1</v>
      </c>
      <c r="L635" s="7" t="n">
        <v>209</v>
      </c>
      <c r="M635" s="7" t="n">
        <v>20.9</v>
      </c>
    </row>
    <row r="636">
      <c r="A636" t="n">
        <v>509645</v>
      </c>
      <c r="B636" s="6" t="n">
        <v>45939</v>
      </c>
      <c r="C636" t="n">
        <v>15044</v>
      </c>
      <c r="D636" t="inlineStr">
        <is>
          <t>Ahmedabad</t>
        </is>
      </c>
      <c r="E636" t="inlineStr">
        <is>
          <t>West</t>
        </is>
      </c>
      <c r="F636" t="inlineStr">
        <is>
          <t>Organic Search</t>
        </is>
      </c>
      <c r="G636" t="inlineStr">
        <is>
          <t>Mobile App</t>
        </is>
      </c>
      <c r="H636" t="inlineStr">
        <is>
          <t>Cash on Delivery</t>
        </is>
      </c>
      <c r="I636" t="inlineStr">
        <is>
          <t>Delivered</t>
        </is>
      </c>
      <c r="J636" t="n">
        <v>114</v>
      </c>
      <c r="K636" t="n">
        <v>2</v>
      </c>
      <c r="L636" s="7" t="n">
        <v>1259</v>
      </c>
      <c r="M636" s="7" t="n">
        <v>251.8</v>
      </c>
    </row>
    <row r="637">
      <c r="A637" t="n">
        <v>509645</v>
      </c>
      <c r="B637" s="6" t="n">
        <v>45939</v>
      </c>
      <c r="C637" t="n">
        <v>15044</v>
      </c>
      <c r="D637" t="inlineStr">
        <is>
          <t>Ahmedabad</t>
        </is>
      </c>
      <c r="E637" t="inlineStr">
        <is>
          <t>West</t>
        </is>
      </c>
      <c r="F637" t="inlineStr">
        <is>
          <t>Organic Search</t>
        </is>
      </c>
      <c r="G637" t="inlineStr">
        <is>
          <t>Mobile App</t>
        </is>
      </c>
      <c r="H637" t="inlineStr">
        <is>
          <t>Cash on Delivery</t>
        </is>
      </c>
      <c r="I637" t="inlineStr">
        <is>
          <t>Delivered</t>
        </is>
      </c>
      <c r="J637" t="n">
        <v>129</v>
      </c>
      <c r="K637" t="n">
        <v>1</v>
      </c>
      <c r="L637" s="7" t="n">
        <v>576</v>
      </c>
      <c r="M637" s="7" t="n">
        <v>57.6</v>
      </c>
    </row>
    <row r="638">
      <c r="A638" t="n">
        <v>509646</v>
      </c>
      <c r="B638" s="6" t="n">
        <v>45939</v>
      </c>
      <c r="C638" t="n">
        <v>12187</v>
      </c>
      <c r="D638" t="inlineStr">
        <is>
          <t>Ahmedabad</t>
        </is>
      </c>
      <c r="E638" t="inlineStr">
        <is>
          <t>West</t>
        </is>
      </c>
      <c r="F638" t="inlineStr">
        <is>
          <t>Paid Search</t>
        </is>
      </c>
      <c r="G638" t="inlineStr">
        <is>
          <t>Desktop</t>
        </is>
      </c>
      <c r="H638" t="inlineStr">
        <is>
          <t>Credit Card</t>
        </is>
      </c>
      <c r="I638" t="inlineStr">
        <is>
          <t>Delivered</t>
        </is>
      </c>
      <c r="J638" t="n">
        <v>102</v>
      </c>
      <c r="K638" t="n">
        <v>1</v>
      </c>
      <c r="L638" s="7" t="n">
        <v>3674</v>
      </c>
      <c r="M638" s="7" t="n">
        <v>367.4</v>
      </c>
    </row>
    <row r="639">
      <c r="A639" t="n">
        <v>509647</v>
      </c>
      <c r="B639" s="6" t="n">
        <v>45939</v>
      </c>
      <c r="C639" t="n">
        <v>15587</v>
      </c>
      <c r="D639" t="inlineStr">
        <is>
          <t>Bengaluru</t>
        </is>
      </c>
      <c r="E639" t="inlineStr">
        <is>
          <t>South</t>
        </is>
      </c>
      <c r="F639" t="inlineStr">
        <is>
          <t>Organic Search</t>
        </is>
      </c>
      <c r="G639" t="inlineStr">
        <is>
          <t>Mobile App</t>
        </is>
      </c>
      <c r="H639" t="inlineStr">
        <is>
          <t>Credit Card</t>
        </is>
      </c>
      <c r="I639" t="inlineStr">
        <is>
          <t>Delivered</t>
        </is>
      </c>
      <c r="J639" t="n">
        <v>123</v>
      </c>
      <c r="K639" t="n">
        <v>1</v>
      </c>
      <c r="L639" s="7" t="n">
        <v>3464</v>
      </c>
      <c r="M639" s="7" t="n">
        <v>346.4</v>
      </c>
    </row>
    <row r="640">
      <c r="A640" t="n">
        <v>509647</v>
      </c>
      <c r="B640" s="6" t="n">
        <v>45939</v>
      </c>
      <c r="C640" t="n">
        <v>15587</v>
      </c>
      <c r="D640" t="inlineStr">
        <is>
          <t>Bengaluru</t>
        </is>
      </c>
      <c r="E640" t="inlineStr">
        <is>
          <t>South</t>
        </is>
      </c>
      <c r="F640" t="inlineStr">
        <is>
          <t>Organic Search</t>
        </is>
      </c>
      <c r="G640" t="inlineStr">
        <is>
          <t>Mobile App</t>
        </is>
      </c>
      <c r="H640" t="inlineStr">
        <is>
          <t>Credit Card</t>
        </is>
      </c>
      <c r="I640" t="inlineStr">
        <is>
          <t>Delivered</t>
        </is>
      </c>
      <c r="J640" t="n">
        <v>115</v>
      </c>
      <c r="K640" t="n">
        <v>1</v>
      </c>
      <c r="L640" s="7" t="n">
        <v>4199</v>
      </c>
      <c r="M640" s="7" t="n">
        <v>419.9</v>
      </c>
    </row>
    <row r="641">
      <c r="A641" t="n">
        <v>509648</v>
      </c>
      <c r="B641" s="6" t="n">
        <v>45939</v>
      </c>
      <c r="C641" t="n">
        <v>10070</v>
      </c>
      <c r="D641" t="inlineStr">
        <is>
          <t>Chandigarh</t>
        </is>
      </c>
      <c r="E641" t="inlineStr">
        <is>
          <t>North</t>
        </is>
      </c>
      <c r="F641" t="inlineStr">
        <is>
          <t>Email</t>
        </is>
      </c>
      <c r="G641" t="inlineStr">
        <is>
          <t>Desktop</t>
        </is>
      </c>
      <c r="H641" t="inlineStr">
        <is>
          <t>UPI</t>
        </is>
      </c>
      <c r="I641" t="inlineStr">
        <is>
          <t>Delivered</t>
        </is>
      </c>
      <c r="J641" t="n">
        <v>110</v>
      </c>
      <c r="K641" t="n">
        <v>1</v>
      </c>
      <c r="L641" s="7" t="n">
        <v>839</v>
      </c>
      <c r="M641" s="7" t="n">
        <v>83.90000000000001</v>
      </c>
    </row>
    <row r="642">
      <c r="A642" t="n">
        <v>509648</v>
      </c>
      <c r="B642" s="6" t="n">
        <v>45939</v>
      </c>
      <c r="C642" t="n">
        <v>10070</v>
      </c>
      <c r="D642" t="inlineStr">
        <is>
          <t>Chandigarh</t>
        </is>
      </c>
      <c r="E642" t="inlineStr">
        <is>
          <t>North</t>
        </is>
      </c>
      <c r="F642" t="inlineStr">
        <is>
          <t>Email</t>
        </is>
      </c>
      <c r="G642" t="inlineStr">
        <is>
          <t>Desktop</t>
        </is>
      </c>
      <c r="H642" t="inlineStr">
        <is>
          <t>UPI</t>
        </is>
      </c>
      <c r="I642" t="inlineStr">
        <is>
          <t>Delivered</t>
        </is>
      </c>
      <c r="J642" t="n">
        <v>129</v>
      </c>
      <c r="K642" t="n">
        <v>1</v>
      </c>
      <c r="L642" s="7" t="n">
        <v>576</v>
      </c>
      <c r="M642" s="7" t="n">
        <v>57.6</v>
      </c>
    </row>
    <row r="643">
      <c r="A643" t="n">
        <v>509649</v>
      </c>
      <c r="B643" s="6" t="n">
        <v>45939</v>
      </c>
      <c r="C643" t="n">
        <v>15232</v>
      </c>
      <c r="D643" t="inlineStr">
        <is>
          <t>Kolkata</t>
        </is>
      </c>
      <c r="E643" t="inlineStr">
        <is>
          <t>East</t>
        </is>
      </c>
      <c r="F643" t="inlineStr">
        <is>
          <t>Email</t>
        </is>
      </c>
      <c r="G643" t="inlineStr">
        <is>
          <t>Desktop</t>
        </is>
      </c>
      <c r="H643" t="inlineStr">
        <is>
          <t>UPI</t>
        </is>
      </c>
      <c r="I643" t="inlineStr">
        <is>
          <t>Delivered</t>
        </is>
      </c>
      <c r="J643" t="n">
        <v>117</v>
      </c>
      <c r="K643" t="n">
        <v>2</v>
      </c>
      <c r="L643" s="7" t="n">
        <v>3149</v>
      </c>
      <c r="M643" s="7" t="n">
        <v>629.8</v>
      </c>
    </row>
    <row r="644">
      <c r="A644" t="n">
        <v>509649</v>
      </c>
      <c r="B644" s="6" t="n">
        <v>45939</v>
      </c>
      <c r="C644" t="n">
        <v>15232</v>
      </c>
      <c r="D644" t="inlineStr">
        <is>
          <t>Kolkata</t>
        </is>
      </c>
      <c r="E644" t="inlineStr">
        <is>
          <t>East</t>
        </is>
      </c>
      <c r="F644" t="inlineStr">
        <is>
          <t>Email</t>
        </is>
      </c>
      <c r="G644" t="inlineStr">
        <is>
          <t>Desktop</t>
        </is>
      </c>
      <c r="H644" t="inlineStr">
        <is>
          <t>UPI</t>
        </is>
      </c>
      <c r="I644" t="inlineStr">
        <is>
          <t>Delivered</t>
        </is>
      </c>
      <c r="J644" t="n">
        <v>124</v>
      </c>
      <c r="K644" t="n">
        <v>1</v>
      </c>
      <c r="L644" s="7" t="n">
        <v>1154</v>
      </c>
      <c r="M644" s="7" t="n">
        <v>115.4</v>
      </c>
    </row>
    <row r="645">
      <c r="A645" t="n">
        <v>509650</v>
      </c>
      <c r="B645" s="6" t="n">
        <v>45939</v>
      </c>
      <c r="C645" t="n">
        <v>16704</v>
      </c>
      <c r="D645" t="inlineStr">
        <is>
          <t>Kolkata</t>
        </is>
      </c>
      <c r="E645" t="inlineStr">
        <is>
          <t>East</t>
        </is>
      </c>
      <c r="F645" t="inlineStr">
        <is>
          <t>Paid Search</t>
        </is>
      </c>
      <c r="G645" t="inlineStr">
        <is>
          <t>Mobile App</t>
        </is>
      </c>
      <c r="H645" t="inlineStr">
        <is>
          <t>UPI</t>
        </is>
      </c>
      <c r="I645" t="inlineStr">
        <is>
          <t>Delivered</t>
        </is>
      </c>
      <c r="J645" t="n">
        <v>130</v>
      </c>
      <c r="K645" t="n">
        <v>1</v>
      </c>
      <c r="L645" s="7" t="n">
        <v>734</v>
      </c>
      <c r="M645" s="7" t="n">
        <v>0</v>
      </c>
    </row>
    <row r="646">
      <c r="A646" t="n">
        <v>509650</v>
      </c>
      <c r="B646" s="6" t="n">
        <v>45939</v>
      </c>
      <c r="C646" t="n">
        <v>16704</v>
      </c>
      <c r="D646" t="inlineStr">
        <is>
          <t>Kolkata</t>
        </is>
      </c>
      <c r="E646" t="inlineStr">
        <is>
          <t>East</t>
        </is>
      </c>
      <c r="F646" t="inlineStr">
        <is>
          <t>Paid Search</t>
        </is>
      </c>
      <c r="G646" t="inlineStr">
        <is>
          <t>Mobile App</t>
        </is>
      </c>
      <c r="H646" t="inlineStr">
        <is>
          <t>UPI</t>
        </is>
      </c>
      <c r="I646" t="inlineStr">
        <is>
          <t>Delivered</t>
        </is>
      </c>
      <c r="J646" t="n">
        <v>123</v>
      </c>
      <c r="K646" t="n">
        <v>1</v>
      </c>
      <c r="L646" s="7" t="n">
        <v>3464</v>
      </c>
      <c r="M646" s="7" t="n">
        <v>0</v>
      </c>
    </row>
    <row r="647">
      <c r="A647" t="n">
        <v>509651</v>
      </c>
      <c r="B647" s="6" t="n">
        <v>45939</v>
      </c>
      <c r="C647" t="n">
        <v>15290</v>
      </c>
      <c r="D647" t="inlineStr">
        <is>
          <t>Pune</t>
        </is>
      </c>
      <c r="E647" t="inlineStr">
        <is>
          <t>West</t>
        </is>
      </c>
      <c r="F647" t="inlineStr">
        <is>
          <t>Paid Social</t>
        </is>
      </c>
      <c r="G647" t="inlineStr">
        <is>
          <t>Mobile App</t>
        </is>
      </c>
      <c r="H647" t="inlineStr">
        <is>
          <t>UPI</t>
        </is>
      </c>
      <c r="I647" t="inlineStr">
        <is>
          <t>Delivered</t>
        </is>
      </c>
      <c r="J647" t="n">
        <v>118</v>
      </c>
      <c r="K647" t="n">
        <v>1</v>
      </c>
      <c r="L647" s="7" t="n">
        <v>944</v>
      </c>
      <c r="M647" s="7" t="n">
        <v>0</v>
      </c>
    </row>
    <row r="648">
      <c r="A648" t="n">
        <v>509652</v>
      </c>
      <c r="B648" s="6" t="n">
        <v>45939</v>
      </c>
      <c r="C648" t="n">
        <v>14651</v>
      </c>
      <c r="D648" t="inlineStr">
        <is>
          <t>Bengaluru</t>
        </is>
      </c>
      <c r="E648" t="inlineStr">
        <is>
          <t>South</t>
        </is>
      </c>
      <c r="F648" t="inlineStr">
        <is>
          <t>Paid Search</t>
        </is>
      </c>
      <c r="G648" t="inlineStr">
        <is>
          <t>Mobile Web</t>
        </is>
      </c>
      <c r="H648" t="inlineStr">
        <is>
          <t>Cash on Delivery</t>
        </is>
      </c>
      <c r="I648" t="inlineStr">
        <is>
          <t>Delivered</t>
        </is>
      </c>
      <c r="J648" t="n">
        <v>112</v>
      </c>
      <c r="K648" t="n">
        <v>1</v>
      </c>
      <c r="L648" s="7" t="n">
        <v>1574</v>
      </c>
      <c r="M648" s="7" t="n">
        <v>157.4</v>
      </c>
    </row>
    <row r="649">
      <c r="A649" t="n">
        <v>509653</v>
      </c>
      <c r="B649" s="6" t="n">
        <v>45940</v>
      </c>
      <c r="C649" t="n">
        <v>14238</v>
      </c>
      <c r="D649" t="inlineStr">
        <is>
          <t>Bengaluru</t>
        </is>
      </c>
      <c r="E649" t="inlineStr">
        <is>
          <t>South</t>
        </is>
      </c>
      <c r="F649" t="inlineStr">
        <is>
          <t>Referral</t>
        </is>
      </c>
      <c r="G649" t="inlineStr">
        <is>
          <t>Mobile App</t>
        </is>
      </c>
      <c r="H649" t="inlineStr">
        <is>
          <t>Credit Card</t>
        </is>
      </c>
      <c r="I649" t="inlineStr">
        <is>
          <t>Cancelled</t>
        </is>
      </c>
      <c r="J649" t="n">
        <v>128</v>
      </c>
      <c r="K649" t="n">
        <v>1</v>
      </c>
      <c r="L649" s="7" t="n">
        <v>1049</v>
      </c>
      <c r="M649" s="7" t="n">
        <v>0</v>
      </c>
    </row>
    <row r="650">
      <c r="A650" t="n">
        <v>509654</v>
      </c>
      <c r="B650" s="6" t="n">
        <v>45940</v>
      </c>
      <c r="C650" t="n">
        <v>14860</v>
      </c>
      <c r="D650" t="inlineStr">
        <is>
          <t>Chennai</t>
        </is>
      </c>
      <c r="E650" t="inlineStr">
        <is>
          <t>South</t>
        </is>
      </c>
      <c r="F650" t="inlineStr">
        <is>
          <t>Email</t>
        </is>
      </c>
      <c r="G650" t="inlineStr">
        <is>
          <t>Mobile App</t>
        </is>
      </c>
      <c r="H650" t="inlineStr">
        <is>
          <t>Cash on Delivery</t>
        </is>
      </c>
      <c r="I650" t="inlineStr">
        <is>
          <t>Returned</t>
        </is>
      </c>
      <c r="J650" t="n">
        <v>107</v>
      </c>
      <c r="K650" t="n">
        <v>1</v>
      </c>
      <c r="L650" s="7" t="n">
        <v>1259</v>
      </c>
      <c r="M650" s="7" t="n">
        <v>0</v>
      </c>
    </row>
    <row r="651">
      <c r="A651" t="n">
        <v>509655</v>
      </c>
      <c r="B651" s="6" t="n">
        <v>45940</v>
      </c>
      <c r="C651" t="n">
        <v>16709</v>
      </c>
      <c r="D651" t="inlineStr">
        <is>
          <t>Bengaluru</t>
        </is>
      </c>
      <c r="E651" t="inlineStr">
        <is>
          <t>South</t>
        </is>
      </c>
      <c r="F651" t="inlineStr">
        <is>
          <t>Email</t>
        </is>
      </c>
      <c r="G651" t="inlineStr">
        <is>
          <t>Desktop</t>
        </is>
      </c>
      <c r="H651" t="inlineStr">
        <is>
          <t>Cash on Delivery</t>
        </is>
      </c>
      <c r="I651" t="inlineStr">
        <is>
          <t>Delivered</t>
        </is>
      </c>
      <c r="J651" t="n">
        <v>108</v>
      </c>
      <c r="K651" t="n">
        <v>1</v>
      </c>
      <c r="L651" s="7" t="n">
        <v>419</v>
      </c>
      <c r="M651" s="7" t="n">
        <v>0</v>
      </c>
    </row>
    <row r="652">
      <c r="A652" t="n">
        <v>509656</v>
      </c>
      <c r="B652" s="6" t="n">
        <v>45940</v>
      </c>
      <c r="C652" t="n">
        <v>16649</v>
      </c>
      <c r="D652" t="inlineStr">
        <is>
          <t>Gurugram</t>
        </is>
      </c>
      <c r="E652" t="inlineStr">
        <is>
          <t>North</t>
        </is>
      </c>
      <c r="F652" t="inlineStr">
        <is>
          <t>Paid Social</t>
        </is>
      </c>
      <c r="G652" t="inlineStr">
        <is>
          <t>Mobile App</t>
        </is>
      </c>
      <c r="H652" t="inlineStr">
        <is>
          <t>Cash on Delivery</t>
        </is>
      </c>
      <c r="I652" t="inlineStr">
        <is>
          <t>Delivered</t>
        </is>
      </c>
      <c r="J652" t="n">
        <v>112</v>
      </c>
      <c r="K652" t="n">
        <v>1</v>
      </c>
      <c r="L652" s="7" t="n">
        <v>1574</v>
      </c>
      <c r="M652" s="7" t="n">
        <v>0</v>
      </c>
    </row>
    <row r="653">
      <c r="A653" t="n">
        <v>509656</v>
      </c>
      <c r="B653" s="6" t="n">
        <v>45940</v>
      </c>
      <c r="C653" t="n">
        <v>16649</v>
      </c>
      <c r="D653" t="inlineStr">
        <is>
          <t>Gurugram</t>
        </is>
      </c>
      <c r="E653" t="inlineStr">
        <is>
          <t>North</t>
        </is>
      </c>
      <c r="F653" t="inlineStr">
        <is>
          <t>Paid Social</t>
        </is>
      </c>
      <c r="G653" t="inlineStr">
        <is>
          <t>Mobile App</t>
        </is>
      </c>
      <c r="H653" t="inlineStr">
        <is>
          <t>Cash on Delivery</t>
        </is>
      </c>
      <c r="I653" t="inlineStr">
        <is>
          <t>Delivered</t>
        </is>
      </c>
      <c r="J653" t="n">
        <v>138</v>
      </c>
      <c r="K653" t="n">
        <v>1</v>
      </c>
      <c r="L653" s="7" t="n">
        <v>419</v>
      </c>
      <c r="M653" s="7" t="n">
        <v>0</v>
      </c>
    </row>
    <row r="654">
      <c r="A654" t="n">
        <v>509656</v>
      </c>
      <c r="B654" s="6" t="n">
        <v>45940</v>
      </c>
      <c r="C654" t="n">
        <v>16649</v>
      </c>
      <c r="D654" t="inlineStr">
        <is>
          <t>Gurugram</t>
        </is>
      </c>
      <c r="E654" t="inlineStr">
        <is>
          <t>North</t>
        </is>
      </c>
      <c r="F654" t="inlineStr">
        <is>
          <t>Paid Social</t>
        </is>
      </c>
      <c r="G654" t="inlineStr">
        <is>
          <t>Mobile App</t>
        </is>
      </c>
      <c r="H654" t="inlineStr">
        <is>
          <t>Cash on Delivery</t>
        </is>
      </c>
      <c r="I654" t="inlineStr">
        <is>
          <t>Delivered</t>
        </is>
      </c>
      <c r="J654" t="n">
        <v>129</v>
      </c>
      <c r="K654" t="n">
        <v>1</v>
      </c>
      <c r="L654" s="7" t="n">
        <v>576</v>
      </c>
      <c r="M654" s="7" t="n">
        <v>0</v>
      </c>
    </row>
    <row r="655">
      <c r="A655" t="n">
        <v>509657</v>
      </c>
      <c r="B655" s="6" t="n">
        <v>45940</v>
      </c>
      <c r="C655" t="n">
        <v>15484</v>
      </c>
      <c r="D655" t="inlineStr">
        <is>
          <t>Pune</t>
        </is>
      </c>
      <c r="E655" t="inlineStr">
        <is>
          <t>West</t>
        </is>
      </c>
      <c r="F655" t="inlineStr">
        <is>
          <t>Email</t>
        </is>
      </c>
      <c r="G655" t="inlineStr">
        <is>
          <t>Desktop</t>
        </is>
      </c>
      <c r="H655" t="inlineStr">
        <is>
          <t>Credit Card</t>
        </is>
      </c>
      <c r="I655" t="inlineStr">
        <is>
          <t>Returned</t>
        </is>
      </c>
      <c r="J655" t="n">
        <v>116</v>
      </c>
      <c r="K655" t="n">
        <v>1</v>
      </c>
      <c r="L655" s="7" t="n">
        <v>2624</v>
      </c>
      <c r="M655" s="7" t="n">
        <v>262.4</v>
      </c>
    </row>
    <row r="656">
      <c r="A656" t="n">
        <v>509657</v>
      </c>
      <c r="B656" s="6" t="n">
        <v>45940</v>
      </c>
      <c r="C656" t="n">
        <v>15484</v>
      </c>
      <c r="D656" t="inlineStr">
        <is>
          <t>Pune</t>
        </is>
      </c>
      <c r="E656" t="inlineStr">
        <is>
          <t>West</t>
        </is>
      </c>
      <c r="F656" t="inlineStr">
        <is>
          <t>Email</t>
        </is>
      </c>
      <c r="G656" t="inlineStr">
        <is>
          <t>Desktop</t>
        </is>
      </c>
      <c r="H656" t="inlineStr">
        <is>
          <t>Credit Card</t>
        </is>
      </c>
      <c r="I656" t="inlineStr">
        <is>
          <t>Returned</t>
        </is>
      </c>
      <c r="J656" t="n">
        <v>129</v>
      </c>
      <c r="K656" t="n">
        <v>1</v>
      </c>
      <c r="L656" s="7" t="n">
        <v>576</v>
      </c>
      <c r="M656" s="7" t="n">
        <v>57.6</v>
      </c>
    </row>
    <row r="657">
      <c r="A657" t="n">
        <v>509658</v>
      </c>
      <c r="B657" s="6" t="n">
        <v>45940</v>
      </c>
      <c r="C657" t="n">
        <v>14493</v>
      </c>
      <c r="D657" t="inlineStr">
        <is>
          <t>Kolkata</t>
        </is>
      </c>
      <c r="E657" t="inlineStr">
        <is>
          <t>East</t>
        </is>
      </c>
      <c r="F657" t="inlineStr">
        <is>
          <t>Paid Search</t>
        </is>
      </c>
      <c r="G657" t="inlineStr">
        <is>
          <t>Desktop</t>
        </is>
      </c>
      <c r="H657" t="inlineStr">
        <is>
          <t>Debit Card</t>
        </is>
      </c>
      <c r="I657" t="inlineStr">
        <is>
          <t>Cancelled</t>
        </is>
      </c>
      <c r="J657" t="n">
        <v>104</v>
      </c>
      <c r="K657" t="n">
        <v>1</v>
      </c>
      <c r="L657" s="7" t="n">
        <v>5249</v>
      </c>
      <c r="M657" s="7" t="n">
        <v>0</v>
      </c>
    </row>
    <row r="658">
      <c r="A658" t="n">
        <v>509658</v>
      </c>
      <c r="B658" s="6" t="n">
        <v>45940</v>
      </c>
      <c r="C658" t="n">
        <v>14493</v>
      </c>
      <c r="D658" t="inlineStr">
        <is>
          <t>Kolkata</t>
        </is>
      </c>
      <c r="E658" t="inlineStr">
        <is>
          <t>East</t>
        </is>
      </c>
      <c r="F658" t="inlineStr">
        <is>
          <t>Paid Search</t>
        </is>
      </c>
      <c r="G658" t="inlineStr">
        <is>
          <t>Desktop</t>
        </is>
      </c>
      <c r="H658" t="inlineStr">
        <is>
          <t>Debit Card</t>
        </is>
      </c>
      <c r="I658" t="inlineStr">
        <is>
          <t>Cancelled</t>
        </is>
      </c>
      <c r="J658" t="n">
        <v>129</v>
      </c>
      <c r="K658" t="n">
        <v>1</v>
      </c>
      <c r="L658" s="7" t="n">
        <v>576</v>
      </c>
      <c r="M658" s="7" t="n">
        <v>0</v>
      </c>
    </row>
    <row r="659">
      <c r="A659" t="n">
        <v>509659</v>
      </c>
      <c r="B659" s="6" t="n">
        <v>45940</v>
      </c>
      <c r="C659" t="n">
        <v>16659</v>
      </c>
      <c r="D659" t="inlineStr">
        <is>
          <t>Gurugram</t>
        </is>
      </c>
      <c r="E659" t="inlineStr">
        <is>
          <t>North</t>
        </is>
      </c>
      <c r="F659" t="inlineStr">
        <is>
          <t>Referral</t>
        </is>
      </c>
      <c r="G659" t="inlineStr">
        <is>
          <t>Mobile Web</t>
        </is>
      </c>
      <c r="H659" t="inlineStr">
        <is>
          <t>Credit Card</t>
        </is>
      </c>
      <c r="I659" t="inlineStr">
        <is>
          <t>Delivered</t>
        </is>
      </c>
      <c r="J659" t="n">
        <v>104</v>
      </c>
      <c r="K659" t="n">
        <v>1</v>
      </c>
      <c r="L659" s="7" t="n">
        <v>5249</v>
      </c>
      <c r="M659" s="7" t="n">
        <v>787.35</v>
      </c>
    </row>
    <row r="660">
      <c r="A660" t="n">
        <v>509660</v>
      </c>
      <c r="B660" s="6" t="n">
        <v>45940</v>
      </c>
      <c r="C660" t="n">
        <v>10754</v>
      </c>
      <c r="D660" t="inlineStr">
        <is>
          <t>Indore</t>
        </is>
      </c>
      <c r="E660" t="inlineStr">
        <is>
          <t>West</t>
        </is>
      </c>
      <c r="F660" t="inlineStr">
        <is>
          <t>Email</t>
        </is>
      </c>
      <c r="G660" t="inlineStr">
        <is>
          <t>Mobile Web</t>
        </is>
      </c>
      <c r="H660" t="inlineStr">
        <is>
          <t>UPI</t>
        </is>
      </c>
      <c r="I660" t="inlineStr">
        <is>
          <t>Delivered</t>
        </is>
      </c>
      <c r="J660" t="n">
        <v>147</v>
      </c>
      <c r="K660" t="n">
        <v>1</v>
      </c>
      <c r="L660" s="7" t="n">
        <v>1364</v>
      </c>
      <c r="M660" s="7" t="n">
        <v>136.4</v>
      </c>
    </row>
    <row r="661">
      <c r="A661" t="n">
        <v>509660</v>
      </c>
      <c r="B661" s="6" t="n">
        <v>45940</v>
      </c>
      <c r="C661" t="n">
        <v>10754</v>
      </c>
      <c r="D661" t="inlineStr">
        <is>
          <t>Indore</t>
        </is>
      </c>
      <c r="E661" t="inlineStr">
        <is>
          <t>West</t>
        </is>
      </c>
      <c r="F661" t="inlineStr">
        <is>
          <t>Email</t>
        </is>
      </c>
      <c r="G661" t="inlineStr">
        <is>
          <t>Mobile Web</t>
        </is>
      </c>
      <c r="H661" t="inlineStr">
        <is>
          <t>UPI</t>
        </is>
      </c>
      <c r="I661" t="inlineStr">
        <is>
          <t>Delivered</t>
        </is>
      </c>
      <c r="J661" t="n">
        <v>126</v>
      </c>
      <c r="K661" t="n">
        <v>1</v>
      </c>
      <c r="L661" s="7" t="n">
        <v>471</v>
      </c>
      <c r="M661" s="7" t="n">
        <v>47.1</v>
      </c>
    </row>
    <row r="662">
      <c r="A662" t="n">
        <v>509661</v>
      </c>
      <c r="B662" s="6" t="n">
        <v>45940</v>
      </c>
      <c r="C662" t="n">
        <v>14879</v>
      </c>
      <c r="D662" t="inlineStr">
        <is>
          <t>Gurugram</t>
        </is>
      </c>
      <c r="E662" t="inlineStr">
        <is>
          <t>North</t>
        </is>
      </c>
      <c r="F662" t="inlineStr">
        <is>
          <t>Paid Search</t>
        </is>
      </c>
      <c r="G662" t="inlineStr">
        <is>
          <t>Mobile App</t>
        </is>
      </c>
      <c r="H662" t="inlineStr">
        <is>
          <t>Debit Card</t>
        </is>
      </c>
      <c r="I662" t="inlineStr">
        <is>
          <t>Delivered</t>
        </is>
      </c>
      <c r="J662" t="n">
        <v>135</v>
      </c>
      <c r="K662" t="n">
        <v>2</v>
      </c>
      <c r="L662" s="7" t="n">
        <v>1574</v>
      </c>
      <c r="M662" s="7" t="n">
        <v>314.8</v>
      </c>
    </row>
    <row r="663">
      <c r="A663" t="n">
        <v>509661</v>
      </c>
      <c r="B663" s="6" t="n">
        <v>45940</v>
      </c>
      <c r="C663" t="n">
        <v>14879</v>
      </c>
      <c r="D663" t="inlineStr">
        <is>
          <t>Gurugram</t>
        </is>
      </c>
      <c r="E663" t="inlineStr">
        <is>
          <t>North</t>
        </is>
      </c>
      <c r="F663" t="inlineStr">
        <is>
          <t>Paid Search</t>
        </is>
      </c>
      <c r="G663" t="inlineStr">
        <is>
          <t>Mobile App</t>
        </is>
      </c>
      <c r="H663" t="inlineStr">
        <is>
          <t>Debit Card</t>
        </is>
      </c>
      <c r="I663" t="inlineStr">
        <is>
          <t>Delivered</t>
        </is>
      </c>
      <c r="J663" t="n">
        <v>145</v>
      </c>
      <c r="K663" t="n">
        <v>2</v>
      </c>
      <c r="L663" s="7" t="n">
        <v>629</v>
      </c>
      <c r="M663" s="7" t="n">
        <v>125.8</v>
      </c>
    </row>
    <row r="664">
      <c r="A664" t="n">
        <v>509662</v>
      </c>
      <c r="B664" s="6" t="n">
        <v>45940</v>
      </c>
      <c r="C664" t="n">
        <v>16634</v>
      </c>
      <c r="D664" t="inlineStr">
        <is>
          <t>Pune</t>
        </is>
      </c>
      <c r="E664" t="inlineStr">
        <is>
          <t>West</t>
        </is>
      </c>
      <c r="F664" t="inlineStr">
        <is>
          <t>Paid Search</t>
        </is>
      </c>
      <c r="G664" t="inlineStr">
        <is>
          <t>Mobile App</t>
        </is>
      </c>
      <c r="H664" t="inlineStr">
        <is>
          <t>Credit Card</t>
        </is>
      </c>
      <c r="I664" t="inlineStr">
        <is>
          <t>Delivered</t>
        </is>
      </c>
      <c r="J664" t="n">
        <v>134</v>
      </c>
      <c r="K664" t="n">
        <v>1</v>
      </c>
      <c r="L664" s="7" t="n">
        <v>209</v>
      </c>
      <c r="M664" s="7" t="n">
        <v>0</v>
      </c>
    </row>
    <row r="665">
      <c r="A665" t="n">
        <v>509662</v>
      </c>
      <c r="B665" s="6" t="n">
        <v>45940</v>
      </c>
      <c r="C665" t="n">
        <v>16634</v>
      </c>
      <c r="D665" t="inlineStr">
        <is>
          <t>Pune</t>
        </is>
      </c>
      <c r="E665" t="inlineStr">
        <is>
          <t>West</t>
        </is>
      </c>
      <c r="F665" t="inlineStr">
        <is>
          <t>Paid Search</t>
        </is>
      </c>
      <c r="G665" t="inlineStr">
        <is>
          <t>Mobile App</t>
        </is>
      </c>
      <c r="H665" t="inlineStr">
        <is>
          <t>Credit Card</t>
        </is>
      </c>
      <c r="I665" t="inlineStr">
        <is>
          <t>Delivered</t>
        </is>
      </c>
      <c r="J665" t="n">
        <v>126</v>
      </c>
      <c r="K665" t="n">
        <v>1</v>
      </c>
      <c r="L665" s="7" t="n">
        <v>471</v>
      </c>
      <c r="M665" s="7" t="n">
        <v>0</v>
      </c>
    </row>
    <row r="666">
      <c r="A666" t="n">
        <v>509663</v>
      </c>
      <c r="B666" s="6" t="n">
        <v>45940</v>
      </c>
      <c r="C666" t="n">
        <v>16588</v>
      </c>
      <c r="D666" t="inlineStr">
        <is>
          <t>Indore</t>
        </is>
      </c>
      <c r="E666" t="inlineStr">
        <is>
          <t>West</t>
        </is>
      </c>
      <c r="F666" t="inlineStr">
        <is>
          <t>Affiliate</t>
        </is>
      </c>
      <c r="G666" t="inlineStr">
        <is>
          <t>Mobile Web</t>
        </is>
      </c>
      <c r="H666" t="inlineStr">
        <is>
          <t>UPI</t>
        </is>
      </c>
      <c r="I666" t="inlineStr">
        <is>
          <t>Cancelled</t>
        </is>
      </c>
      <c r="J666" t="n">
        <v>144</v>
      </c>
      <c r="K666" t="n">
        <v>1</v>
      </c>
      <c r="L666" s="7" t="n">
        <v>3149</v>
      </c>
      <c r="M666" s="7" t="n">
        <v>314.9</v>
      </c>
    </row>
    <row r="667">
      <c r="A667" t="n">
        <v>509663</v>
      </c>
      <c r="B667" s="6" t="n">
        <v>45940</v>
      </c>
      <c r="C667" t="n">
        <v>16588</v>
      </c>
      <c r="D667" t="inlineStr">
        <is>
          <t>Indore</t>
        </is>
      </c>
      <c r="E667" t="inlineStr">
        <is>
          <t>West</t>
        </is>
      </c>
      <c r="F667" t="inlineStr">
        <is>
          <t>Affiliate</t>
        </is>
      </c>
      <c r="G667" t="inlineStr">
        <is>
          <t>Mobile Web</t>
        </is>
      </c>
      <c r="H667" t="inlineStr">
        <is>
          <t>UPI</t>
        </is>
      </c>
      <c r="I667" t="inlineStr">
        <is>
          <t>Cancelled</t>
        </is>
      </c>
      <c r="J667" t="n">
        <v>129</v>
      </c>
      <c r="K667" t="n">
        <v>1</v>
      </c>
      <c r="L667" s="7" t="n">
        <v>576</v>
      </c>
      <c r="M667" s="7" t="n">
        <v>57.6</v>
      </c>
    </row>
    <row r="668">
      <c r="A668" t="n">
        <v>509664</v>
      </c>
      <c r="B668" s="6" t="n">
        <v>45940</v>
      </c>
      <c r="C668" t="n">
        <v>15159</v>
      </c>
      <c r="D668" t="inlineStr">
        <is>
          <t>Gurugram</t>
        </is>
      </c>
      <c r="E668" t="inlineStr">
        <is>
          <t>North</t>
        </is>
      </c>
      <c r="F668" t="inlineStr">
        <is>
          <t>Paid Social</t>
        </is>
      </c>
      <c r="G668" t="inlineStr">
        <is>
          <t>Mobile App</t>
        </is>
      </c>
      <c r="H668" t="inlineStr">
        <is>
          <t>UPI</t>
        </is>
      </c>
      <c r="I668" t="inlineStr">
        <is>
          <t>Delivered</t>
        </is>
      </c>
      <c r="J668" t="n">
        <v>131</v>
      </c>
      <c r="K668" t="n">
        <v>2</v>
      </c>
      <c r="L668" s="7" t="n">
        <v>314</v>
      </c>
      <c r="M668" s="7" t="n">
        <v>62.8</v>
      </c>
    </row>
    <row r="669">
      <c r="A669" t="n">
        <v>509664</v>
      </c>
      <c r="B669" s="6" t="n">
        <v>45940</v>
      </c>
      <c r="C669" t="n">
        <v>15159</v>
      </c>
      <c r="D669" t="inlineStr">
        <is>
          <t>Gurugram</t>
        </is>
      </c>
      <c r="E669" t="inlineStr">
        <is>
          <t>North</t>
        </is>
      </c>
      <c r="F669" t="inlineStr">
        <is>
          <t>Paid Social</t>
        </is>
      </c>
      <c r="G669" t="inlineStr">
        <is>
          <t>Mobile App</t>
        </is>
      </c>
      <c r="H669" t="inlineStr">
        <is>
          <t>UPI</t>
        </is>
      </c>
      <c r="I669" t="inlineStr">
        <is>
          <t>Delivered</t>
        </is>
      </c>
      <c r="J669" t="n">
        <v>137</v>
      </c>
      <c r="K669" t="n">
        <v>2</v>
      </c>
      <c r="L669" s="7" t="n">
        <v>261</v>
      </c>
      <c r="M669" s="7" t="n">
        <v>52.2</v>
      </c>
    </row>
    <row r="670">
      <c r="A670" t="n">
        <v>509664</v>
      </c>
      <c r="B670" s="6" t="n">
        <v>45940</v>
      </c>
      <c r="C670" t="n">
        <v>15159</v>
      </c>
      <c r="D670" t="inlineStr">
        <is>
          <t>Gurugram</t>
        </is>
      </c>
      <c r="E670" t="inlineStr">
        <is>
          <t>North</t>
        </is>
      </c>
      <c r="F670" t="inlineStr">
        <is>
          <t>Paid Social</t>
        </is>
      </c>
      <c r="G670" t="inlineStr">
        <is>
          <t>Mobile App</t>
        </is>
      </c>
      <c r="H670" t="inlineStr">
        <is>
          <t>UPI</t>
        </is>
      </c>
      <c r="I670" t="inlineStr">
        <is>
          <t>Delivered</t>
        </is>
      </c>
      <c r="J670" t="n">
        <v>129</v>
      </c>
      <c r="K670" t="n">
        <v>2</v>
      </c>
      <c r="L670" s="7" t="n">
        <v>576</v>
      </c>
      <c r="M670" s="7" t="n">
        <v>115.2</v>
      </c>
    </row>
    <row r="671">
      <c r="A671" t="n">
        <v>509665</v>
      </c>
      <c r="B671" s="6" t="n">
        <v>45940</v>
      </c>
      <c r="C671" t="n">
        <v>16749</v>
      </c>
      <c r="D671" t="inlineStr">
        <is>
          <t>Delhi</t>
        </is>
      </c>
      <c r="E671" t="inlineStr">
        <is>
          <t>North</t>
        </is>
      </c>
      <c r="F671" t="inlineStr">
        <is>
          <t>Organic Search</t>
        </is>
      </c>
      <c r="G671" t="inlineStr">
        <is>
          <t>Mobile App</t>
        </is>
      </c>
      <c r="H671" t="inlineStr">
        <is>
          <t>UPI</t>
        </is>
      </c>
      <c r="I671" t="inlineStr">
        <is>
          <t>Delivered</t>
        </is>
      </c>
      <c r="J671" t="n">
        <v>130</v>
      </c>
      <c r="K671" t="n">
        <v>1</v>
      </c>
      <c r="L671" s="7" t="n">
        <v>734</v>
      </c>
      <c r="M671" s="7" t="n">
        <v>73.40000000000001</v>
      </c>
    </row>
    <row r="672">
      <c r="A672" t="n">
        <v>509665</v>
      </c>
      <c r="B672" s="6" t="n">
        <v>45940</v>
      </c>
      <c r="C672" t="n">
        <v>16749</v>
      </c>
      <c r="D672" t="inlineStr">
        <is>
          <t>Delhi</t>
        </is>
      </c>
      <c r="E672" t="inlineStr">
        <is>
          <t>North</t>
        </is>
      </c>
      <c r="F672" t="inlineStr">
        <is>
          <t>Organic Search</t>
        </is>
      </c>
      <c r="G672" t="inlineStr">
        <is>
          <t>Mobile App</t>
        </is>
      </c>
      <c r="H672" t="inlineStr">
        <is>
          <t>UPI</t>
        </is>
      </c>
      <c r="I672" t="inlineStr">
        <is>
          <t>Delivered</t>
        </is>
      </c>
      <c r="J672" t="n">
        <v>132</v>
      </c>
      <c r="K672" t="n">
        <v>1</v>
      </c>
      <c r="L672" s="7" t="n">
        <v>471</v>
      </c>
      <c r="M672" s="7" t="n">
        <v>47.1</v>
      </c>
    </row>
    <row r="673">
      <c r="A673" t="n">
        <v>509666</v>
      </c>
      <c r="B673" s="6" t="n">
        <v>45940</v>
      </c>
      <c r="C673" t="n">
        <v>16736</v>
      </c>
      <c r="D673" t="inlineStr">
        <is>
          <t>Pune</t>
        </is>
      </c>
      <c r="E673" t="inlineStr">
        <is>
          <t>West</t>
        </is>
      </c>
      <c r="F673" t="inlineStr">
        <is>
          <t>Email</t>
        </is>
      </c>
      <c r="G673" t="inlineStr">
        <is>
          <t>Mobile App</t>
        </is>
      </c>
      <c r="H673" t="inlineStr">
        <is>
          <t>Cash on Delivery</t>
        </is>
      </c>
      <c r="I673" t="inlineStr">
        <is>
          <t>Delivered</t>
        </is>
      </c>
      <c r="J673" t="n">
        <v>129</v>
      </c>
      <c r="K673" t="n">
        <v>1</v>
      </c>
      <c r="L673" s="7" t="n">
        <v>576</v>
      </c>
      <c r="M673" s="7" t="n">
        <v>57.6</v>
      </c>
    </row>
    <row r="674">
      <c r="A674" t="n">
        <v>509667</v>
      </c>
      <c r="B674" s="6" t="n">
        <v>45940</v>
      </c>
      <c r="C674" t="n">
        <v>16584</v>
      </c>
      <c r="D674" t="inlineStr">
        <is>
          <t>Delhi</t>
        </is>
      </c>
      <c r="E674" t="inlineStr">
        <is>
          <t>North</t>
        </is>
      </c>
      <c r="F674" t="inlineStr">
        <is>
          <t>Paid Social</t>
        </is>
      </c>
      <c r="G674" t="inlineStr">
        <is>
          <t>Desktop</t>
        </is>
      </c>
      <c r="H674" t="inlineStr">
        <is>
          <t>UPI</t>
        </is>
      </c>
      <c r="I674" t="inlineStr">
        <is>
          <t>Delivered</t>
        </is>
      </c>
      <c r="J674" t="n">
        <v>117</v>
      </c>
      <c r="K674" t="n">
        <v>1</v>
      </c>
      <c r="L674" s="7" t="n">
        <v>3149</v>
      </c>
      <c r="M674" s="7" t="n">
        <v>472.35</v>
      </c>
    </row>
    <row r="675">
      <c r="A675" t="n">
        <v>509667</v>
      </c>
      <c r="B675" s="6" t="n">
        <v>45940</v>
      </c>
      <c r="C675" t="n">
        <v>16584</v>
      </c>
      <c r="D675" t="inlineStr">
        <is>
          <t>Delhi</t>
        </is>
      </c>
      <c r="E675" t="inlineStr">
        <is>
          <t>North</t>
        </is>
      </c>
      <c r="F675" t="inlineStr">
        <is>
          <t>Paid Social</t>
        </is>
      </c>
      <c r="G675" t="inlineStr">
        <is>
          <t>Desktop</t>
        </is>
      </c>
      <c r="H675" t="inlineStr">
        <is>
          <t>UPI</t>
        </is>
      </c>
      <c r="I675" t="inlineStr">
        <is>
          <t>Delivered</t>
        </is>
      </c>
      <c r="J675" t="n">
        <v>141</v>
      </c>
      <c r="K675" t="n">
        <v>1</v>
      </c>
      <c r="L675" s="7" t="n">
        <v>261</v>
      </c>
      <c r="M675" s="7" t="n">
        <v>39.15</v>
      </c>
    </row>
    <row r="676">
      <c r="A676" t="n">
        <v>509668</v>
      </c>
      <c r="B676" s="6" t="n">
        <v>45940</v>
      </c>
      <c r="C676" t="n">
        <v>14847</v>
      </c>
      <c r="D676" t="inlineStr">
        <is>
          <t>Hyderabad</t>
        </is>
      </c>
      <c r="E676" t="inlineStr">
        <is>
          <t>South</t>
        </is>
      </c>
      <c r="F676" t="inlineStr">
        <is>
          <t>Organic Search</t>
        </is>
      </c>
      <c r="G676" t="inlineStr">
        <is>
          <t>Mobile Web</t>
        </is>
      </c>
      <c r="H676" t="inlineStr">
        <is>
          <t>UPI</t>
        </is>
      </c>
      <c r="I676" t="inlineStr">
        <is>
          <t>Delivered</t>
        </is>
      </c>
      <c r="J676" t="n">
        <v>128</v>
      </c>
      <c r="K676" t="n">
        <v>1</v>
      </c>
      <c r="L676" s="7" t="n">
        <v>1049</v>
      </c>
      <c r="M676" s="7" t="n">
        <v>0</v>
      </c>
    </row>
    <row r="677">
      <c r="A677" t="n">
        <v>509668</v>
      </c>
      <c r="B677" s="6" t="n">
        <v>45940</v>
      </c>
      <c r="C677" t="n">
        <v>14847</v>
      </c>
      <c r="D677" t="inlineStr">
        <is>
          <t>Hyderabad</t>
        </is>
      </c>
      <c r="E677" t="inlineStr">
        <is>
          <t>South</t>
        </is>
      </c>
      <c r="F677" t="inlineStr">
        <is>
          <t>Organic Search</t>
        </is>
      </c>
      <c r="G677" t="inlineStr">
        <is>
          <t>Mobile Web</t>
        </is>
      </c>
      <c r="H677" t="inlineStr">
        <is>
          <t>UPI</t>
        </is>
      </c>
      <c r="I677" t="inlineStr">
        <is>
          <t>Delivered</t>
        </is>
      </c>
      <c r="J677" t="n">
        <v>137</v>
      </c>
      <c r="K677" t="n">
        <v>1</v>
      </c>
      <c r="L677" s="7" t="n">
        <v>261</v>
      </c>
      <c r="M677" s="7" t="n">
        <v>0</v>
      </c>
    </row>
    <row r="678">
      <c r="A678" t="n">
        <v>509669</v>
      </c>
      <c r="B678" s="6" t="n">
        <v>45940</v>
      </c>
      <c r="C678" t="n">
        <v>15066</v>
      </c>
      <c r="D678" t="inlineStr">
        <is>
          <t>Pune</t>
        </is>
      </c>
      <c r="E678" t="inlineStr">
        <is>
          <t>West</t>
        </is>
      </c>
      <c r="F678" t="inlineStr">
        <is>
          <t>Paid Social</t>
        </is>
      </c>
      <c r="G678" t="inlineStr">
        <is>
          <t>Desktop</t>
        </is>
      </c>
      <c r="H678" t="inlineStr">
        <is>
          <t>UPI</t>
        </is>
      </c>
      <c r="I678" t="inlineStr">
        <is>
          <t>Delivered</t>
        </is>
      </c>
      <c r="J678" t="n">
        <v>127</v>
      </c>
      <c r="K678" t="n">
        <v>1</v>
      </c>
      <c r="L678" s="7" t="n">
        <v>681</v>
      </c>
      <c r="M678" s="7" t="n">
        <v>68.09999999999999</v>
      </c>
    </row>
    <row r="679">
      <c r="A679" t="n">
        <v>509669</v>
      </c>
      <c r="B679" s="6" t="n">
        <v>45940</v>
      </c>
      <c r="C679" t="n">
        <v>15066</v>
      </c>
      <c r="D679" t="inlineStr">
        <is>
          <t>Pune</t>
        </is>
      </c>
      <c r="E679" t="inlineStr">
        <is>
          <t>West</t>
        </is>
      </c>
      <c r="F679" t="inlineStr">
        <is>
          <t>Paid Social</t>
        </is>
      </c>
      <c r="G679" t="inlineStr">
        <is>
          <t>Desktop</t>
        </is>
      </c>
      <c r="H679" t="inlineStr">
        <is>
          <t>UPI</t>
        </is>
      </c>
      <c r="I679" t="inlineStr">
        <is>
          <t>Delivered</t>
        </is>
      </c>
      <c r="J679" t="n">
        <v>129</v>
      </c>
      <c r="K679" t="n">
        <v>1</v>
      </c>
      <c r="L679" s="7" t="n">
        <v>576</v>
      </c>
      <c r="M679" s="7" t="n">
        <v>57.6</v>
      </c>
    </row>
    <row r="680">
      <c r="A680" t="n">
        <v>509670</v>
      </c>
      <c r="B680" s="6" t="n">
        <v>45940</v>
      </c>
      <c r="C680" t="n">
        <v>11850</v>
      </c>
      <c r="D680" t="inlineStr">
        <is>
          <t>Bengaluru</t>
        </is>
      </c>
      <c r="E680" t="inlineStr">
        <is>
          <t>South</t>
        </is>
      </c>
      <c r="F680" t="inlineStr">
        <is>
          <t>Paid Social</t>
        </is>
      </c>
      <c r="G680" t="inlineStr">
        <is>
          <t>Desktop</t>
        </is>
      </c>
      <c r="H680" t="inlineStr">
        <is>
          <t>Cash on Delivery</t>
        </is>
      </c>
      <c r="I680" t="inlineStr">
        <is>
          <t>Cancelled</t>
        </is>
      </c>
      <c r="J680" t="n">
        <v>136</v>
      </c>
      <c r="K680" t="n">
        <v>2</v>
      </c>
      <c r="L680" s="7" t="n">
        <v>944</v>
      </c>
      <c r="M680" s="7" t="n">
        <v>0</v>
      </c>
    </row>
    <row r="681">
      <c r="A681" t="n">
        <v>509671</v>
      </c>
      <c r="B681" s="6" t="n">
        <v>45940</v>
      </c>
      <c r="C681" t="n">
        <v>16695</v>
      </c>
      <c r="D681" t="inlineStr">
        <is>
          <t>Mumbai</t>
        </is>
      </c>
      <c r="E681" t="inlineStr">
        <is>
          <t>West</t>
        </is>
      </c>
      <c r="F681" t="inlineStr">
        <is>
          <t>Referral</t>
        </is>
      </c>
      <c r="G681" t="inlineStr">
        <is>
          <t>Mobile Web</t>
        </is>
      </c>
      <c r="H681" t="inlineStr">
        <is>
          <t>Credit Card</t>
        </is>
      </c>
      <c r="I681" t="inlineStr">
        <is>
          <t>Delivered</t>
        </is>
      </c>
      <c r="J681" t="n">
        <v>111</v>
      </c>
      <c r="K681" t="n">
        <v>1</v>
      </c>
      <c r="L681" s="7" t="n">
        <v>524</v>
      </c>
      <c r="M681" s="7" t="n">
        <v>0</v>
      </c>
    </row>
    <row r="682">
      <c r="A682" t="n">
        <v>509671</v>
      </c>
      <c r="B682" s="6" t="n">
        <v>45940</v>
      </c>
      <c r="C682" t="n">
        <v>16695</v>
      </c>
      <c r="D682" t="inlineStr">
        <is>
          <t>Mumbai</t>
        </is>
      </c>
      <c r="E682" t="inlineStr">
        <is>
          <t>West</t>
        </is>
      </c>
      <c r="F682" t="inlineStr">
        <is>
          <t>Referral</t>
        </is>
      </c>
      <c r="G682" t="inlineStr">
        <is>
          <t>Mobile Web</t>
        </is>
      </c>
      <c r="H682" t="inlineStr">
        <is>
          <t>Credit Card</t>
        </is>
      </c>
      <c r="I682" t="inlineStr">
        <is>
          <t>Delivered</t>
        </is>
      </c>
      <c r="J682" t="n">
        <v>141</v>
      </c>
      <c r="K682" t="n">
        <v>1</v>
      </c>
      <c r="L682" s="7" t="n">
        <v>261</v>
      </c>
      <c r="M682" s="7" t="n">
        <v>0</v>
      </c>
    </row>
    <row r="683">
      <c r="A683" t="n">
        <v>509671</v>
      </c>
      <c r="B683" s="6" t="n">
        <v>45940</v>
      </c>
      <c r="C683" t="n">
        <v>16695</v>
      </c>
      <c r="D683" t="inlineStr">
        <is>
          <t>Mumbai</t>
        </is>
      </c>
      <c r="E683" t="inlineStr">
        <is>
          <t>West</t>
        </is>
      </c>
      <c r="F683" t="inlineStr">
        <is>
          <t>Referral</t>
        </is>
      </c>
      <c r="G683" t="inlineStr">
        <is>
          <t>Mobile Web</t>
        </is>
      </c>
      <c r="H683" t="inlineStr">
        <is>
          <t>Credit Card</t>
        </is>
      </c>
      <c r="I683" t="inlineStr">
        <is>
          <t>Delivered</t>
        </is>
      </c>
      <c r="J683" t="n">
        <v>137</v>
      </c>
      <c r="K683" t="n">
        <v>1</v>
      </c>
      <c r="L683" s="7" t="n">
        <v>261</v>
      </c>
      <c r="M683" s="7" t="n">
        <v>0</v>
      </c>
    </row>
    <row r="684">
      <c r="A684" t="n">
        <v>509671</v>
      </c>
      <c r="B684" s="6" t="n">
        <v>45940</v>
      </c>
      <c r="C684" t="n">
        <v>16695</v>
      </c>
      <c r="D684" t="inlineStr">
        <is>
          <t>Mumbai</t>
        </is>
      </c>
      <c r="E684" t="inlineStr">
        <is>
          <t>West</t>
        </is>
      </c>
      <c r="F684" t="inlineStr">
        <is>
          <t>Referral</t>
        </is>
      </c>
      <c r="G684" t="inlineStr">
        <is>
          <t>Mobile Web</t>
        </is>
      </c>
      <c r="H684" t="inlineStr">
        <is>
          <t>Credit Card</t>
        </is>
      </c>
      <c r="I684" t="inlineStr">
        <is>
          <t>Delivered</t>
        </is>
      </c>
      <c r="J684" t="n">
        <v>140</v>
      </c>
      <c r="K684" t="n">
        <v>1</v>
      </c>
      <c r="L684" s="7" t="n">
        <v>629</v>
      </c>
      <c r="M684" s="7" t="n">
        <v>0</v>
      </c>
    </row>
    <row r="685">
      <c r="A685" t="n">
        <v>509672</v>
      </c>
      <c r="B685" s="6" t="n">
        <v>45940</v>
      </c>
      <c r="C685" t="n">
        <v>16389</v>
      </c>
      <c r="D685" t="inlineStr">
        <is>
          <t>Bengaluru</t>
        </is>
      </c>
      <c r="E685" t="inlineStr">
        <is>
          <t>South</t>
        </is>
      </c>
      <c r="F685" t="inlineStr">
        <is>
          <t>Organic Search</t>
        </is>
      </c>
      <c r="G685" t="inlineStr">
        <is>
          <t>Mobile App</t>
        </is>
      </c>
      <c r="H685" t="inlineStr">
        <is>
          <t>Credit Card</t>
        </is>
      </c>
      <c r="I685" t="inlineStr">
        <is>
          <t>Delivered</t>
        </is>
      </c>
      <c r="J685" t="n">
        <v>139</v>
      </c>
      <c r="K685" t="n">
        <v>1</v>
      </c>
      <c r="L685" s="7" t="n">
        <v>366</v>
      </c>
      <c r="M685" s="7" t="n">
        <v>0</v>
      </c>
    </row>
    <row r="686">
      <c r="A686" t="n">
        <v>509672</v>
      </c>
      <c r="B686" s="6" t="n">
        <v>45940</v>
      </c>
      <c r="C686" t="n">
        <v>16389</v>
      </c>
      <c r="D686" t="inlineStr">
        <is>
          <t>Bengaluru</t>
        </is>
      </c>
      <c r="E686" t="inlineStr">
        <is>
          <t>South</t>
        </is>
      </c>
      <c r="F686" t="inlineStr">
        <is>
          <t>Organic Search</t>
        </is>
      </c>
      <c r="G686" t="inlineStr">
        <is>
          <t>Mobile App</t>
        </is>
      </c>
      <c r="H686" t="inlineStr">
        <is>
          <t>Credit Card</t>
        </is>
      </c>
      <c r="I686" t="inlineStr">
        <is>
          <t>Delivered</t>
        </is>
      </c>
      <c r="J686" t="n">
        <v>129</v>
      </c>
      <c r="K686" t="n">
        <v>1</v>
      </c>
      <c r="L686" s="7" t="n">
        <v>576</v>
      </c>
      <c r="M686" s="7" t="n">
        <v>0</v>
      </c>
    </row>
    <row r="687">
      <c r="A687" t="n">
        <v>509673</v>
      </c>
      <c r="B687" s="6" t="n">
        <v>45940</v>
      </c>
      <c r="C687" t="n">
        <v>14666</v>
      </c>
      <c r="D687" t="inlineStr">
        <is>
          <t>Mumbai</t>
        </is>
      </c>
      <c r="E687" t="inlineStr">
        <is>
          <t>West</t>
        </is>
      </c>
      <c r="F687" t="inlineStr">
        <is>
          <t>Email</t>
        </is>
      </c>
      <c r="G687" t="inlineStr">
        <is>
          <t>Mobile Web</t>
        </is>
      </c>
      <c r="H687" t="inlineStr">
        <is>
          <t>Net Banking</t>
        </is>
      </c>
      <c r="I687" t="inlineStr">
        <is>
          <t>Delivered</t>
        </is>
      </c>
      <c r="J687" t="n">
        <v>118</v>
      </c>
      <c r="K687" t="n">
        <v>1</v>
      </c>
      <c r="L687" s="7" t="n">
        <v>944</v>
      </c>
      <c r="M687" s="7" t="n">
        <v>0</v>
      </c>
    </row>
    <row r="688">
      <c r="A688" t="n">
        <v>509673</v>
      </c>
      <c r="B688" s="6" t="n">
        <v>45940</v>
      </c>
      <c r="C688" t="n">
        <v>14666</v>
      </c>
      <c r="D688" t="inlineStr">
        <is>
          <t>Mumbai</t>
        </is>
      </c>
      <c r="E688" t="inlineStr">
        <is>
          <t>West</t>
        </is>
      </c>
      <c r="F688" t="inlineStr">
        <is>
          <t>Email</t>
        </is>
      </c>
      <c r="G688" t="inlineStr">
        <is>
          <t>Mobile Web</t>
        </is>
      </c>
      <c r="H688" t="inlineStr">
        <is>
          <t>Net Banking</t>
        </is>
      </c>
      <c r="I688" t="inlineStr">
        <is>
          <t>Delivered</t>
        </is>
      </c>
      <c r="J688" t="n">
        <v>143</v>
      </c>
      <c r="K688" t="n">
        <v>1</v>
      </c>
      <c r="L688" s="7" t="n">
        <v>839</v>
      </c>
      <c r="M688" s="7" t="n">
        <v>0</v>
      </c>
    </row>
    <row r="689">
      <c r="A689" t="n">
        <v>509673</v>
      </c>
      <c r="B689" s="6" t="n">
        <v>45940</v>
      </c>
      <c r="C689" t="n">
        <v>14666</v>
      </c>
      <c r="D689" t="inlineStr">
        <is>
          <t>Mumbai</t>
        </is>
      </c>
      <c r="E689" t="inlineStr">
        <is>
          <t>West</t>
        </is>
      </c>
      <c r="F689" t="inlineStr">
        <is>
          <t>Email</t>
        </is>
      </c>
      <c r="G689" t="inlineStr">
        <is>
          <t>Mobile Web</t>
        </is>
      </c>
      <c r="H689" t="inlineStr">
        <is>
          <t>Net Banking</t>
        </is>
      </c>
      <c r="I689" t="inlineStr">
        <is>
          <t>Delivered</t>
        </is>
      </c>
      <c r="J689" t="n">
        <v>146</v>
      </c>
      <c r="K689" t="n">
        <v>1</v>
      </c>
      <c r="L689" s="7" t="n">
        <v>4724</v>
      </c>
      <c r="M689" s="7" t="n">
        <v>0</v>
      </c>
    </row>
    <row r="690">
      <c r="A690" t="n">
        <v>509674</v>
      </c>
      <c r="B690" s="6" t="n">
        <v>45940</v>
      </c>
      <c r="C690" t="n">
        <v>16655</v>
      </c>
      <c r="D690" t="inlineStr">
        <is>
          <t>Mumbai</t>
        </is>
      </c>
      <c r="E690" t="inlineStr">
        <is>
          <t>West</t>
        </is>
      </c>
      <c r="F690" t="inlineStr">
        <is>
          <t>Affiliate</t>
        </is>
      </c>
      <c r="G690" t="inlineStr">
        <is>
          <t>Mobile App</t>
        </is>
      </c>
      <c r="H690" t="inlineStr">
        <is>
          <t>Cash on Delivery</t>
        </is>
      </c>
      <c r="I690" t="inlineStr">
        <is>
          <t>Delivered</t>
        </is>
      </c>
      <c r="J690" t="n">
        <v>135</v>
      </c>
      <c r="K690" t="n">
        <v>1</v>
      </c>
      <c r="L690" s="7" t="n">
        <v>1574</v>
      </c>
      <c r="M690" s="7" t="n">
        <v>157.4</v>
      </c>
    </row>
    <row r="691">
      <c r="A691" t="n">
        <v>509674</v>
      </c>
      <c r="B691" s="6" t="n">
        <v>45940</v>
      </c>
      <c r="C691" t="n">
        <v>16655</v>
      </c>
      <c r="D691" t="inlineStr">
        <is>
          <t>Mumbai</t>
        </is>
      </c>
      <c r="E691" t="inlineStr">
        <is>
          <t>West</t>
        </is>
      </c>
      <c r="F691" t="inlineStr">
        <is>
          <t>Affiliate</t>
        </is>
      </c>
      <c r="G691" t="inlineStr">
        <is>
          <t>Mobile App</t>
        </is>
      </c>
      <c r="H691" t="inlineStr">
        <is>
          <t>Cash on Delivery</t>
        </is>
      </c>
      <c r="I691" t="inlineStr">
        <is>
          <t>Delivered</t>
        </is>
      </c>
      <c r="J691" t="n">
        <v>117</v>
      </c>
      <c r="K691" t="n">
        <v>1</v>
      </c>
      <c r="L691" s="7" t="n">
        <v>3149</v>
      </c>
      <c r="M691" s="7" t="n">
        <v>314.9</v>
      </c>
    </row>
    <row r="692">
      <c r="A692" t="n">
        <v>509675</v>
      </c>
      <c r="B692" s="6" t="n">
        <v>45940</v>
      </c>
      <c r="C692" t="n">
        <v>16756</v>
      </c>
      <c r="D692" t="inlineStr">
        <is>
          <t>Ahmedabad</t>
        </is>
      </c>
      <c r="E692" t="inlineStr">
        <is>
          <t>West</t>
        </is>
      </c>
      <c r="F692" t="inlineStr">
        <is>
          <t>Paid Social</t>
        </is>
      </c>
      <c r="G692" t="inlineStr">
        <is>
          <t>Mobile App</t>
        </is>
      </c>
      <c r="H692" t="inlineStr">
        <is>
          <t>UPI</t>
        </is>
      </c>
      <c r="I692" t="inlineStr">
        <is>
          <t>Delivered</t>
        </is>
      </c>
      <c r="J692" t="n">
        <v>113</v>
      </c>
      <c r="K692" t="n">
        <v>1</v>
      </c>
      <c r="L692" s="7" t="n">
        <v>1364</v>
      </c>
      <c r="M692" s="7" t="n">
        <v>0</v>
      </c>
    </row>
    <row r="693">
      <c r="A693" t="n">
        <v>509675</v>
      </c>
      <c r="B693" s="6" t="n">
        <v>45940</v>
      </c>
      <c r="C693" t="n">
        <v>16756</v>
      </c>
      <c r="D693" t="inlineStr">
        <is>
          <t>Ahmedabad</t>
        </is>
      </c>
      <c r="E693" t="inlineStr">
        <is>
          <t>West</t>
        </is>
      </c>
      <c r="F693" t="inlineStr">
        <is>
          <t>Paid Social</t>
        </is>
      </c>
      <c r="G693" t="inlineStr">
        <is>
          <t>Mobile App</t>
        </is>
      </c>
      <c r="H693" t="inlineStr">
        <is>
          <t>UPI</t>
        </is>
      </c>
      <c r="I693" t="inlineStr">
        <is>
          <t>Delivered</t>
        </is>
      </c>
      <c r="J693" t="n">
        <v>145</v>
      </c>
      <c r="K693" t="n">
        <v>1</v>
      </c>
      <c r="L693" s="7" t="n">
        <v>629</v>
      </c>
      <c r="M693" s="7" t="n">
        <v>0</v>
      </c>
    </row>
    <row r="694">
      <c r="A694" t="n">
        <v>509676</v>
      </c>
      <c r="B694" s="6" t="n">
        <v>45940</v>
      </c>
      <c r="C694" t="n">
        <v>16585</v>
      </c>
      <c r="D694" t="inlineStr">
        <is>
          <t>Mumbai</t>
        </is>
      </c>
      <c r="E694" t="inlineStr">
        <is>
          <t>West</t>
        </is>
      </c>
      <c r="F694" t="inlineStr">
        <is>
          <t>Paid Social</t>
        </is>
      </c>
      <c r="G694" t="inlineStr">
        <is>
          <t>Mobile App</t>
        </is>
      </c>
      <c r="H694" t="inlineStr">
        <is>
          <t>UPI</t>
        </is>
      </c>
      <c r="I694" t="inlineStr">
        <is>
          <t>Delivered</t>
        </is>
      </c>
      <c r="J694" t="n">
        <v>118</v>
      </c>
      <c r="K694" t="n">
        <v>1</v>
      </c>
      <c r="L694" s="7" t="n">
        <v>944</v>
      </c>
      <c r="M694" s="7" t="n">
        <v>94.40000000000001</v>
      </c>
    </row>
    <row r="695">
      <c r="A695" t="n">
        <v>509676</v>
      </c>
      <c r="B695" s="6" t="n">
        <v>45940</v>
      </c>
      <c r="C695" t="n">
        <v>16585</v>
      </c>
      <c r="D695" t="inlineStr">
        <is>
          <t>Mumbai</t>
        </is>
      </c>
      <c r="E695" t="inlineStr">
        <is>
          <t>West</t>
        </is>
      </c>
      <c r="F695" t="inlineStr">
        <is>
          <t>Paid Social</t>
        </is>
      </c>
      <c r="G695" t="inlineStr">
        <is>
          <t>Mobile App</t>
        </is>
      </c>
      <c r="H695" t="inlineStr">
        <is>
          <t>UPI</t>
        </is>
      </c>
      <c r="I695" t="inlineStr">
        <is>
          <t>Delivered</t>
        </is>
      </c>
      <c r="J695" t="n">
        <v>108</v>
      </c>
      <c r="K695" t="n">
        <v>1</v>
      </c>
      <c r="L695" s="7" t="n">
        <v>419</v>
      </c>
      <c r="M695" s="7" t="n">
        <v>41.9</v>
      </c>
    </row>
    <row r="696">
      <c r="A696" t="n">
        <v>509676</v>
      </c>
      <c r="B696" s="6" t="n">
        <v>45940</v>
      </c>
      <c r="C696" t="n">
        <v>16585</v>
      </c>
      <c r="D696" t="inlineStr">
        <is>
          <t>Mumbai</t>
        </is>
      </c>
      <c r="E696" t="inlineStr">
        <is>
          <t>West</t>
        </is>
      </c>
      <c r="F696" t="inlineStr">
        <is>
          <t>Paid Social</t>
        </is>
      </c>
      <c r="G696" t="inlineStr">
        <is>
          <t>Mobile App</t>
        </is>
      </c>
      <c r="H696" t="inlineStr">
        <is>
          <t>UPI</t>
        </is>
      </c>
      <c r="I696" t="inlineStr">
        <is>
          <t>Delivered</t>
        </is>
      </c>
      <c r="J696" t="n">
        <v>129</v>
      </c>
      <c r="K696" t="n">
        <v>1</v>
      </c>
      <c r="L696" s="7" t="n">
        <v>576</v>
      </c>
      <c r="M696" s="7" t="n">
        <v>57.6</v>
      </c>
    </row>
    <row r="697">
      <c r="A697" t="n">
        <v>509677</v>
      </c>
      <c r="B697" s="6" t="n">
        <v>45940</v>
      </c>
      <c r="C697" t="n">
        <v>16714</v>
      </c>
      <c r="D697" t="inlineStr">
        <is>
          <t>Bengaluru</t>
        </is>
      </c>
      <c r="E697" t="inlineStr">
        <is>
          <t>South</t>
        </is>
      </c>
      <c r="F697" t="inlineStr">
        <is>
          <t>Paid Social</t>
        </is>
      </c>
      <c r="G697" t="inlineStr">
        <is>
          <t>Mobile App</t>
        </is>
      </c>
      <c r="H697" t="inlineStr">
        <is>
          <t>UPI</t>
        </is>
      </c>
      <c r="I697" t="inlineStr">
        <is>
          <t>Delivered</t>
        </is>
      </c>
      <c r="J697" t="n">
        <v>106</v>
      </c>
      <c r="K697" t="n">
        <v>1</v>
      </c>
      <c r="L697" s="7" t="n">
        <v>1574</v>
      </c>
      <c r="M697" s="7" t="n">
        <v>157.4</v>
      </c>
    </row>
    <row r="698">
      <c r="A698" t="n">
        <v>509677</v>
      </c>
      <c r="B698" s="6" t="n">
        <v>45940</v>
      </c>
      <c r="C698" t="n">
        <v>16714</v>
      </c>
      <c r="D698" t="inlineStr">
        <is>
          <t>Bengaluru</t>
        </is>
      </c>
      <c r="E698" t="inlineStr">
        <is>
          <t>South</t>
        </is>
      </c>
      <c r="F698" t="inlineStr">
        <is>
          <t>Paid Social</t>
        </is>
      </c>
      <c r="G698" t="inlineStr">
        <is>
          <t>Mobile App</t>
        </is>
      </c>
      <c r="H698" t="inlineStr">
        <is>
          <t>UPI</t>
        </is>
      </c>
      <c r="I698" t="inlineStr">
        <is>
          <t>Delivered</t>
        </is>
      </c>
      <c r="J698" t="n">
        <v>129</v>
      </c>
      <c r="K698" t="n">
        <v>1</v>
      </c>
      <c r="L698" s="7" t="n">
        <v>576</v>
      </c>
      <c r="M698" s="7" t="n">
        <v>57.6</v>
      </c>
    </row>
    <row r="699">
      <c r="A699" t="n">
        <v>509678</v>
      </c>
      <c r="B699" s="6" t="n">
        <v>45940</v>
      </c>
      <c r="C699" t="n">
        <v>12319</v>
      </c>
      <c r="D699" t="inlineStr">
        <is>
          <t>Noida</t>
        </is>
      </c>
      <c r="E699" t="inlineStr">
        <is>
          <t>North</t>
        </is>
      </c>
      <c r="F699" t="inlineStr">
        <is>
          <t>Referral</t>
        </is>
      </c>
      <c r="G699" t="inlineStr">
        <is>
          <t>Desktop</t>
        </is>
      </c>
      <c r="H699" t="inlineStr">
        <is>
          <t>UPI</t>
        </is>
      </c>
      <c r="I699" t="inlineStr">
        <is>
          <t>Cancelled</t>
        </is>
      </c>
      <c r="J699" t="n">
        <v>131</v>
      </c>
      <c r="K699" t="n">
        <v>1</v>
      </c>
      <c r="L699" s="7" t="n">
        <v>314</v>
      </c>
      <c r="M699" s="7" t="n">
        <v>31.4</v>
      </c>
    </row>
    <row r="700">
      <c r="A700" t="n">
        <v>509678</v>
      </c>
      <c r="B700" s="6" t="n">
        <v>45940</v>
      </c>
      <c r="C700" t="n">
        <v>12319</v>
      </c>
      <c r="D700" t="inlineStr">
        <is>
          <t>Noida</t>
        </is>
      </c>
      <c r="E700" t="inlineStr">
        <is>
          <t>North</t>
        </is>
      </c>
      <c r="F700" t="inlineStr">
        <is>
          <t>Referral</t>
        </is>
      </c>
      <c r="G700" t="inlineStr">
        <is>
          <t>Desktop</t>
        </is>
      </c>
      <c r="H700" t="inlineStr">
        <is>
          <t>UPI</t>
        </is>
      </c>
      <c r="I700" t="inlineStr">
        <is>
          <t>Cancelled</t>
        </is>
      </c>
      <c r="J700" t="n">
        <v>112</v>
      </c>
      <c r="K700" t="n">
        <v>1</v>
      </c>
      <c r="L700" s="7" t="n">
        <v>1574</v>
      </c>
      <c r="M700" s="7" t="n">
        <v>157.4</v>
      </c>
    </row>
    <row r="701">
      <c r="A701" t="n">
        <v>509678</v>
      </c>
      <c r="B701" s="6" t="n">
        <v>45940</v>
      </c>
      <c r="C701" t="n">
        <v>12319</v>
      </c>
      <c r="D701" t="inlineStr">
        <is>
          <t>Noida</t>
        </is>
      </c>
      <c r="E701" t="inlineStr">
        <is>
          <t>North</t>
        </is>
      </c>
      <c r="F701" t="inlineStr">
        <is>
          <t>Referral</t>
        </is>
      </c>
      <c r="G701" t="inlineStr">
        <is>
          <t>Desktop</t>
        </is>
      </c>
      <c r="H701" t="inlineStr">
        <is>
          <t>UPI</t>
        </is>
      </c>
      <c r="I701" t="inlineStr">
        <is>
          <t>Cancelled</t>
        </is>
      </c>
      <c r="J701" t="n">
        <v>134</v>
      </c>
      <c r="K701" t="n">
        <v>1</v>
      </c>
      <c r="L701" s="7" t="n">
        <v>209</v>
      </c>
      <c r="M701" s="7" t="n">
        <v>20.9</v>
      </c>
    </row>
    <row r="702">
      <c r="A702" t="n">
        <v>509678</v>
      </c>
      <c r="B702" s="6" t="n">
        <v>45940</v>
      </c>
      <c r="C702" t="n">
        <v>12319</v>
      </c>
      <c r="D702" t="inlineStr">
        <is>
          <t>Noida</t>
        </is>
      </c>
      <c r="E702" t="inlineStr">
        <is>
          <t>North</t>
        </is>
      </c>
      <c r="F702" t="inlineStr">
        <is>
          <t>Referral</t>
        </is>
      </c>
      <c r="G702" t="inlineStr">
        <is>
          <t>Desktop</t>
        </is>
      </c>
      <c r="H702" t="inlineStr">
        <is>
          <t>UPI</t>
        </is>
      </c>
      <c r="I702" t="inlineStr">
        <is>
          <t>Cancelled</t>
        </is>
      </c>
      <c r="J702" t="n">
        <v>129</v>
      </c>
      <c r="K702" t="n">
        <v>1</v>
      </c>
      <c r="L702" s="7" t="n">
        <v>576</v>
      </c>
      <c r="M702" s="7" t="n">
        <v>57.6</v>
      </c>
    </row>
    <row r="703">
      <c r="A703" t="n">
        <v>509679</v>
      </c>
      <c r="B703" s="6" t="n">
        <v>45940</v>
      </c>
      <c r="C703" t="n">
        <v>16712</v>
      </c>
      <c r="D703" t="inlineStr">
        <is>
          <t>Chennai</t>
        </is>
      </c>
      <c r="E703" t="inlineStr">
        <is>
          <t>South</t>
        </is>
      </c>
      <c r="F703" t="inlineStr">
        <is>
          <t>Paid Search</t>
        </is>
      </c>
      <c r="G703" t="inlineStr">
        <is>
          <t>Mobile Web</t>
        </is>
      </c>
      <c r="H703" t="inlineStr">
        <is>
          <t>Cash on Delivery</t>
        </is>
      </c>
      <c r="I703" t="inlineStr">
        <is>
          <t>Returned</t>
        </is>
      </c>
      <c r="J703" t="n">
        <v>102</v>
      </c>
      <c r="K703" t="n">
        <v>2</v>
      </c>
      <c r="L703" s="7" t="n">
        <v>3674</v>
      </c>
      <c r="M703" s="7" t="n">
        <v>734.8</v>
      </c>
    </row>
    <row r="704">
      <c r="A704" t="n">
        <v>509680</v>
      </c>
      <c r="B704" s="6" t="n">
        <v>45940</v>
      </c>
      <c r="C704" t="n">
        <v>16637</v>
      </c>
      <c r="D704" t="inlineStr">
        <is>
          <t>Ahmedabad</t>
        </is>
      </c>
      <c r="E704" t="inlineStr">
        <is>
          <t>West</t>
        </is>
      </c>
      <c r="F704" t="inlineStr">
        <is>
          <t>Referral</t>
        </is>
      </c>
      <c r="G704" t="inlineStr">
        <is>
          <t>Mobile Web</t>
        </is>
      </c>
      <c r="H704" t="inlineStr">
        <is>
          <t>UPI</t>
        </is>
      </c>
      <c r="I704" t="inlineStr">
        <is>
          <t>Delivered</t>
        </is>
      </c>
      <c r="J704" t="n">
        <v>143</v>
      </c>
      <c r="K704" t="n">
        <v>1</v>
      </c>
      <c r="L704" s="7" t="n">
        <v>839</v>
      </c>
      <c r="M704" s="7" t="n">
        <v>0</v>
      </c>
    </row>
    <row r="705">
      <c r="A705" t="n">
        <v>509681</v>
      </c>
      <c r="B705" s="6" t="n">
        <v>45940</v>
      </c>
      <c r="C705" t="n">
        <v>16685</v>
      </c>
      <c r="D705" t="inlineStr">
        <is>
          <t>Chandigarh</t>
        </is>
      </c>
      <c r="E705" t="inlineStr">
        <is>
          <t>North</t>
        </is>
      </c>
      <c r="F705" t="inlineStr">
        <is>
          <t>Email</t>
        </is>
      </c>
      <c r="G705" t="inlineStr">
        <is>
          <t>Mobile Web</t>
        </is>
      </c>
      <c r="H705" t="inlineStr">
        <is>
          <t>Net Banking</t>
        </is>
      </c>
      <c r="I705" t="inlineStr">
        <is>
          <t>Delivered</t>
        </is>
      </c>
      <c r="J705" t="n">
        <v>147</v>
      </c>
      <c r="K705" t="n">
        <v>1</v>
      </c>
      <c r="L705" s="7" t="n">
        <v>1364</v>
      </c>
      <c r="M705" s="7" t="n">
        <v>0</v>
      </c>
    </row>
    <row r="706">
      <c r="A706" t="n">
        <v>509682</v>
      </c>
      <c r="B706" s="6" t="n">
        <v>45940</v>
      </c>
      <c r="C706" t="n">
        <v>11139</v>
      </c>
      <c r="D706" t="inlineStr">
        <is>
          <t>Delhi</t>
        </is>
      </c>
      <c r="E706" t="inlineStr">
        <is>
          <t>North</t>
        </is>
      </c>
      <c r="F706" t="inlineStr">
        <is>
          <t>Affiliate</t>
        </is>
      </c>
      <c r="G706" t="inlineStr">
        <is>
          <t>Mobile App</t>
        </is>
      </c>
      <c r="H706" t="inlineStr">
        <is>
          <t>Cash on Delivery</t>
        </is>
      </c>
      <c r="I706" t="inlineStr">
        <is>
          <t>Delivered</t>
        </is>
      </c>
      <c r="J706" t="n">
        <v>137</v>
      </c>
      <c r="K706" t="n">
        <v>2</v>
      </c>
      <c r="L706" s="7" t="n">
        <v>261</v>
      </c>
      <c r="M706" s="7" t="n">
        <v>0</v>
      </c>
    </row>
    <row r="707">
      <c r="A707" t="n">
        <v>509683</v>
      </c>
      <c r="B707" s="6" t="n">
        <v>45940</v>
      </c>
      <c r="C707" t="n">
        <v>13194</v>
      </c>
      <c r="D707" t="inlineStr">
        <is>
          <t>Hyderabad</t>
        </is>
      </c>
      <c r="E707" t="inlineStr">
        <is>
          <t>South</t>
        </is>
      </c>
      <c r="F707" t="inlineStr">
        <is>
          <t>Referral</t>
        </is>
      </c>
      <c r="G707" t="inlineStr">
        <is>
          <t>Mobile Web</t>
        </is>
      </c>
      <c r="H707" t="inlineStr">
        <is>
          <t>UPI</t>
        </is>
      </c>
      <c r="I707" t="inlineStr">
        <is>
          <t>Delivered</t>
        </is>
      </c>
      <c r="J707" t="n">
        <v>108</v>
      </c>
      <c r="K707" t="n">
        <v>1</v>
      </c>
      <c r="L707" s="7" t="n">
        <v>419</v>
      </c>
      <c r="M707" s="7" t="n">
        <v>0</v>
      </c>
    </row>
    <row r="708">
      <c r="A708" t="n">
        <v>509683</v>
      </c>
      <c r="B708" s="6" t="n">
        <v>45940</v>
      </c>
      <c r="C708" t="n">
        <v>13194</v>
      </c>
      <c r="D708" t="inlineStr">
        <is>
          <t>Hyderabad</t>
        </is>
      </c>
      <c r="E708" t="inlineStr">
        <is>
          <t>South</t>
        </is>
      </c>
      <c r="F708" t="inlineStr">
        <is>
          <t>Referral</t>
        </is>
      </c>
      <c r="G708" t="inlineStr">
        <is>
          <t>Mobile Web</t>
        </is>
      </c>
      <c r="H708" t="inlineStr">
        <is>
          <t>UPI</t>
        </is>
      </c>
      <c r="I708" t="inlineStr">
        <is>
          <t>Delivered</t>
        </is>
      </c>
      <c r="J708" t="n">
        <v>102</v>
      </c>
      <c r="K708" t="n">
        <v>1</v>
      </c>
      <c r="L708" s="7" t="n">
        <v>3674</v>
      </c>
      <c r="M708" s="7" t="n">
        <v>0</v>
      </c>
    </row>
    <row r="709">
      <c r="A709" t="n">
        <v>509683</v>
      </c>
      <c r="B709" s="6" t="n">
        <v>45940</v>
      </c>
      <c r="C709" t="n">
        <v>13194</v>
      </c>
      <c r="D709" t="inlineStr">
        <is>
          <t>Hyderabad</t>
        </is>
      </c>
      <c r="E709" t="inlineStr">
        <is>
          <t>South</t>
        </is>
      </c>
      <c r="F709" t="inlineStr">
        <is>
          <t>Referral</t>
        </is>
      </c>
      <c r="G709" t="inlineStr">
        <is>
          <t>Mobile Web</t>
        </is>
      </c>
      <c r="H709" t="inlineStr">
        <is>
          <t>UPI</t>
        </is>
      </c>
      <c r="I709" t="inlineStr">
        <is>
          <t>Delivered</t>
        </is>
      </c>
      <c r="J709" t="n">
        <v>129</v>
      </c>
      <c r="K709" t="n">
        <v>1</v>
      </c>
      <c r="L709" s="7" t="n">
        <v>576</v>
      </c>
      <c r="M709" s="7" t="n">
        <v>0</v>
      </c>
    </row>
    <row r="710">
      <c r="A710" t="n">
        <v>509684</v>
      </c>
      <c r="B710" s="6" t="n">
        <v>45940</v>
      </c>
      <c r="C710" t="n">
        <v>16337</v>
      </c>
      <c r="D710" t="inlineStr">
        <is>
          <t>Chennai</t>
        </is>
      </c>
      <c r="E710" t="inlineStr">
        <is>
          <t>South</t>
        </is>
      </c>
      <c r="F710" t="inlineStr">
        <is>
          <t>Email</t>
        </is>
      </c>
      <c r="G710" t="inlineStr">
        <is>
          <t>Desktop</t>
        </is>
      </c>
      <c r="H710" t="inlineStr">
        <is>
          <t>Credit Card</t>
        </is>
      </c>
      <c r="I710" t="inlineStr">
        <is>
          <t>Delivered</t>
        </is>
      </c>
      <c r="J710" t="n">
        <v>124</v>
      </c>
      <c r="K710" t="n">
        <v>1</v>
      </c>
      <c r="L710" s="7" t="n">
        <v>1154</v>
      </c>
      <c r="M710" s="7" t="n">
        <v>115.4</v>
      </c>
    </row>
    <row r="711">
      <c r="A711" t="n">
        <v>509684</v>
      </c>
      <c r="B711" s="6" t="n">
        <v>45940</v>
      </c>
      <c r="C711" t="n">
        <v>16337</v>
      </c>
      <c r="D711" t="inlineStr">
        <is>
          <t>Chennai</t>
        </is>
      </c>
      <c r="E711" t="inlineStr">
        <is>
          <t>South</t>
        </is>
      </c>
      <c r="F711" t="inlineStr">
        <is>
          <t>Email</t>
        </is>
      </c>
      <c r="G711" t="inlineStr">
        <is>
          <t>Desktop</t>
        </is>
      </c>
      <c r="H711" t="inlineStr">
        <is>
          <t>Credit Card</t>
        </is>
      </c>
      <c r="I711" t="inlineStr">
        <is>
          <t>Delivered</t>
        </is>
      </c>
      <c r="J711" t="n">
        <v>129</v>
      </c>
      <c r="K711" t="n">
        <v>1</v>
      </c>
      <c r="L711" s="7" t="n">
        <v>576</v>
      </c>
      <c r="M711" s="7" t="n">
        <v>57.6</v>
      </c>
    </row>
    <row r="712">
      <c r="A712" t="n">
        <v>509685</v>
      </c>
      <c r="B712" s="6" t="n">
        <v>45940</v>
      </c>
      <c r="C712" t="n">
        <v>16662</v>
      </c>
      <c r="D712" t="inlineStr">
        <is>
          <t>Pune</t>
        </is>
      </c>
      <c r="E712" t="inlineStr">
        <is>
          <t>West</t>
        </is>
      </c>
      <c r="F712" t="inlineStr">
        <is>
          <t>Referral</t>
        </is>
      </c>
      <c r="G712" t="inlineStr">
        <is>
          <t>Mobile App</t>
        </is>
      </c>
      <c r="H712" t="inlineStr">
        <is>
          <t>UPI</t>
        </is>
      </c>
      <c r="I712" t="inlineStr">
        <is>
          <t>Cancelled</t>
        </is>
      </c>
      <c r="J712" t="n">
        <v>112</v>
      </c>
      <c r="K712" t="n">
        <v>1</v>
      </c>
      <c r="L712" s="7" t="n">
        <v>1574</v>
      </c>
      <c r="M712" s="7" t="n">
        <v>236.1</v>
      </c>
    </row>
    <row r="713">
      <c r="A713" t="n">
        <v>509685</v>
      </c>
      <c r="B713" s="6" t="n">
        <v>45940</v>
      </c>
      <c r="C713" t="n">
        <v>16662</v>
      </c>
      <c r="D713" t="inlineStr">
        <is>
          <t>Pune</t>
        </is>
      </c>
      <c r="E713" t="inlineStr">
        <is>
          <t>West</t>
        </is>
      </c>
      <c r="F713" t="inlineStr">
        <is>
          <t>Referral</t>
        </is>
      </c>
      <c r="G713" t="inlineStr">
        <is>
          <t>Mobile App</t>
        </is>
      </c>
      <c r="H713" t="inlineStr">
        <is>
          <t>UPI</t>
        </is>
      </c>
      <c r="I713" t="inlineStr">
        <is>
          <t>Cancelled</t>
        </is>
      </c>
      <c r="J713" t="n">
        <v>129</v>
      </c>
      <c r="K713" t="n">
        <v>1</v>
      </c>
      <c r="L713" s="7" t="n">
        <v>576</v>
      </c>
      <c r="M713" s="7" t="n">
        <v>86.40000000000001</v>
      </c>
    </row>
    <row r="714">
      <c r="A714" t="n">
        <v>509686</v>
      </c>
      <c r="B714" s="6" t="n">
        <v>45940</v>
      </c>
      <c r="C714" t="n">
        <v>16682</v>
      </c>
      <c r="D714" t="inlineStr">
        <is>
          <t>Chandigarh</t>
        </is>
      </c>
      <c r="E714" t="inlineStr">
        <is>
          <t>North</t>
        </is>
      </c>
      <c r="F714" t="inlineStr">
        <is>
          <t>Email</t>
        </is>
      </c>
      <c r="G714" t="inlineStr">
        <is>
          <t>Mobile App</t>
        </is>
      </c>
      <c r="H714" t="inlineStr">
        <is>
          <t>Cash on Delivery</t>
        </is>
      </c>
      <c r="I714" t="inlineStr">
        <is>
          <t>Delivered</t>
        </is>
      </c>
      <c r="J714" t="n">
        <v>136</v>
      </c>
      <c r="K714" t="n">
        <v>1</v>
      </c>
      <c r="L714" s="7" t="n">
        <v>944</v>
      </c>
      <c r="M714" s="7" t="n">
        <v>0</v>
      </c>
    </row>
    <row r="715">
      <c r="A715" t="n">
        <v>509686</v>
      </c>
      <c r="B715" s="6" t="n">
        <v>45940</v>
      </c>
      <c r="C715" t="n">
        <v>16682</v>
      </c>
      <c r="D715" t="inlineStr">
        <is>
          <t>Chandigarh</t>
        </is>
      </c>
      <c r="E715" t="inlineStr">
        <is>
          <t>North</t>
        </is>
      </c>
      <c r="F715" t="inlineStr">
        <is>
          <t>Email</t>
        </is>
      </c>
      <c r="G715" t="inlineStr">
        <is>
          <t>Mobile App</t>
        </is>
      </c>
      <c r="H715" t="inlineStr">
        <is>
          <t>Cash on Delivery</t>
        </is>
      </c>
      <c r="I715" t="inlineStr">
        <is>
          <t>Delivered</t>
        </is>
      </c>
      <c r="J715" t="n">
        <v>116</v>
      </c>
      <c r="K715" t="n">
        <v>1</v>
      </c>
      <c r="L715" s="7" t="n">
        <v>2624</v>
      </c>
      <c r="M715" s="7" t="n">
        <v>0</v>
      </c>
    </row>
    <row r="716">
      <c r="A716" t="n">
        <v>509687</v>
      </c>
      <c r="B716" s="6" t="n">
        <v>45940</v>
      </c>
      <c r="C716" t="n">
        <v>16657</v>
      </c>
      <c r="D716" t="inlineStr">
        <is>
          <t>Delhi</t>
        </is>
      </c>
      <c r="E716" t="inlineStr">
        <is>
          <t>North</t>
        </is>
      </c>
      <c r="F716" t="inlineStr">
        <is>
          <t>Paid Search</t>
        </is>
      </c>
      <c r="G716" t="inlineStr">
        <is>
          <t>Mobile App</t>
        </is>
      </c>
      <c r="H716" t="inlineStr">
        <is>
          <t>UPI</t>
        </is>
      </c>
      <c r="I716" t="inlineStr">
        <is>
          <t>Delivered</t>
        </is>
      </c>
      <c r="J716" t="n">
        <v>124</v>
      </c>
      <c r="K716" t="n">
        <v>1</v>
      </c>
      <c r="L716" s="7" t="n">
        <v>1154</v>
      </c>
      <c r="M716" s="7" t="n">
        <v>115.4</v>
      </c>
    </row>
    <row r="717">
      <c r="A717" t="n">
        <v>509687</v>
      </c>
      <c r="B717" s="6" t="n">
        <v>45940</v>
      </c>
      <c r="C717" t="n">
        <v>16657</v>
      </c>
      <c r="D717" t="inlineStr">
        <is>
          <t>Delhi</t>
        </is>
      </c>
      <c r="E717" t="inlineStr">
        <is>
          <t>North</t>
        </is>
      </c>
      <c r="F717" t="inlineStr">
        <is>
          <t>Paid Search</t>
        </is>
      </c>
      <c r="G717" t="inlineStr">
        <is>
          <t>Mobile App</t>
        </is>
      </c>
      <c r="H717" t="inlineStr">
        <is>
          <t>UPI</t>
        </is>
      </c>
      <c r="I717" t="inlineStr">
        <is>
          <t>Delivered</t>
        </is>
      </c>
      <c r="J717" t="n">
        <v>116</v>
      </c>
      <c r="K717" t="n">
        <v>1</v>
      </c>
      <c r="L717" s="7" t="n">
        <v>2624</v>
      </c>
      <c r="M717" s="7" t="n">
        <v>262.4</v>
      </c>
    </row>
    <row r="718">
      <c r="A718" t="n">
        <v>509688</v>
      </c>
      <c r="B718" s="6" t="n">
        <v>45940</v>
      </c>
      <c r="C718" t="n">
        <v>11053</v>
      </c>
      <c r="D718" t="inlineStr">
        <is>
          <t>Mumbai</t>
        </is>
      </c>
      <c r="E718" t="inlineStr">
        <is>
          <t>West</t>
        </is>
      </c>
      <c r="F718" t="inlineStr">
        <is>
          <t>Paid Social</t>
        </is>
      </c>
      <c r="G718" t="inlineStr">
        <is>
          <t>Mobile App</t>
        </is>
      </c>
      <c r="H718" t="inlineStr">
        <is>
          <t>Net Banking</t>
        </is>
      </c>
      <c r="I718" t="inlineStr">
        <is>
          <t>Returned</t>
        </is>
      </c>
      <c r="J718" t="n">
        <v>111</v>
      </c>
      <c r="K718" t="n">
        <v>1</v>
      </c>
      <c r="L718" s="7" t="n">
        <v>524</v>
      </c>
      <c r="M718" s="7" t="n">
        <v>52.4</v>
      </c>
    </row>
    <row r="719">
      <c r="A719" t="n">
        <v>509688</v>
      </c>
      <c r="B719" s="6" t="n">
        <v>45940</v>
      </c>
      <c r="C719" t="n">
        <v>11053</v>
      </c>
      <c r="D719" t="inlineStr">
        <is>
          <t>Mumbai</t>
        </is>
      </c>
      <c r="E719" t="inlineStr">
        <is>
          <t>West</t>
        </is>
      </c>
      <c r="F719" t="inlineStr">
        <is>
          <t>Paid Social</t>
        </is>
      </c>
      <c r="G719" t="inlineStr">
        <is>
          <t>Mobile App</t>
        </is>
      </c>
      <c r="H719" t="inlineStr">
        <is>
          <t>Net Banking</t>
        </is>
      </c>
      <c r="I719" t="inlineStr">
        <is>
          <t>Returned</t>
        </is>
      </c>
      <c r="J719" t="n">
        <v>129</v>
      </c>
      <c r="K719" t="n">
        <v>1</v>
      </c>
      <c r="L719" s="7" t="n">
        <v>576</v>
      </c>
      <c r="M719" s="7" t="n">
        <v>57.6</v>
      </c>
    </row>
    <row r="720">
      <c r="A720" t="n">
        <v>509689</v>
      </c>
      <c r="B720" s="6" t="n">
        <v>45940</v>
      </c>
      <c r="C720" t="n">
        <v>16729</v>
      </c>
      <c r="D720" t="inlineStr">
        <is>
          <t>Chennai</t>
        </is>
      </c>
      <c r="E720" t="inlineStr">
        <is>
          <t>South</t>
        </is>
      </c>
      <c r="F720" t="inlineStr">
        <is>
          <t>Organic Search</t>
        </is>
      </c>
      <c r="G720" t="inlineStr">
        <is>
          <t>Desktop</t>
        </is>
      </c>
      <c r="H720" t="inlineStr">
        <is>
          <t>Credit Card</t>
        </is>
      </c>
      <c r="I720" t="inlineStr">
        <is>
          <t>Delivered</t>
        </is>
      </c>
      <c r="J720" t="n">
        <v>143</v>
      </c>
      <c r="K720" t="n">
        <v>1</v>
      </c>
      <c r="L720" s="7" t="n">
        <v>839</v>
      </c>
      <c r="M720" s="7" t="n">
        <v>83.90000000000001</v>
      </c>
    </row>
    <row r="721">
      <c r="A721" t="n">
        <v>509689</v>
      </c>
      <c r="B721" s="6" t="n">
        <v>45940</v>
      </c>
      <c r="C721" t="n">
        <v>16729</v>
      </c>
      <c r="D721" t="inlineStr">
        <is>
          <t>Chennai</t>
        </is>
      </c>
      <c r="E721" t="inlineStr">
        <is>
          <t>South</t>
        </is>
      </c>
      <c r="F721" t="inlineStr">
        <is>
          <t>Organic Search</t>
        </is>
      </c>
      <c r="G721" t="inlineStr">
        <is>
          <t>Desktop</t>
        </is>
      </c>
      <c r="H721" t="inlineStr">
        <is>
          <t>Credit Card</t>
        </is>
      </c>
      <c r="I721" t="inlineStr">
        <is>
          <t>Delivered</t>
        </is>
      </c>
      <c r="J721" t="n">
        <v>129</v>
      </c>
      <c r="K721" t="n">
        <v>1</v>
      </c>
      <c r="L721" s="7" t="n">
        <v>576</v>
      </c>
      <c r="M721" s="7" t="n">
        <v>57.6</v>
      </c>
    </row>
    <row r="722">
      <c r="A722" t="n">
        <v>509690</v>
      </c>
      <c r="B722" s="6" t="n">
        <v>45940</v>
      </c>
      <c r="C722" t="n">
        <v>16608</v>
      </c>
      <c r="D722" t="inlineStr">
        <is>
          <t>Indore</t>
        </is>
      </c>
      <c r="E722" t="inlineStr">
        <is>
          <t>West</t>
        </is>
      </c>
      <c r="F722" t="inlineStr">
        <is>
          <t>Referral</t>
        </is>
      </c>
      <c r="G722" t="inlineStr">
        <is>
          <t>Mobile Web</t>
        </is>
      </c>
      <c r="H722" t="inlineStr">
        <is>
          <t>Credit Card</t>
        </is>
      </c>
      <c r="I722" t="inlineStr">
        <is>
          <t>Delivered</t>
        </is>
      </c>
      <c r="J722" t="n">
        <v>140</v>
      </c>
      <c r="K722" t="n">
        <v>1</v>
      </c>
      <c r="L722" s="7" t="n">
        <v>629</v>
      </c>
      <c r="M722" s="7" t="n">
        <v>94.34999999999999</v>
      </c>
    </row>
    <row r="723">
      <c r="A723" t="n">
        <v>509690</v>
      </c>
      <c r="B723" s="6" t="n">
        <v>45940</v>
      </c>
      <c r="C723" t="n">
        <v>16608</v>
      </c>
      <c r="D723" t="inlineStr">
        <is>
          <t>Indore</t>
        </is>
      </c>
      <c r="E723" t="inlineStr">
        <is>
          <t>West</t>
        </is>
      </c>
      <c r="F723" t="inlineStr">
        <is>
          <t>Referral</t>
        </is>
      </c>
      <c r="G723" t="inlineStr">
        <is>
          <t>Mobile Web</t>
        </is>
      </c>
      <c r="H723" t="inlineStr">
        <is>
          <t>Credit Card</t>
        </is>
      </c>
      <c r="I723" t="inlineStr">
        <is>
          <t>Delivered</t>
        </is>
      </c>
      <c r="J723" t="n">
        <v>125</v>
      </c>
      <c r="K723" t="n">
        <v>1</v>
      </c>
      <c r="L723" s="7" t="n">
        <v>1364</v>
      </c>
      <c r="M723" s="7" t="n">
        <v>204.6</v>
      </c>
    </row>
    <row r="724">
      <c r="A724" t="n">
        <v>509690</v>
      </c>
      <c r="B724" s="6" t="n">
        <v>45940</v>
      </c>
      <c r="C724" t="n">
        <v>16608</v>
      </c>
      <c r="D724" t="inlineStr">
        <is>
          <t>Indore</t>
        </is>
      </c>
      <c r="E724" t="inlineStr">
        <is>
          <t>West</t>
        </is>
      </c>
      <c r="F724" t="inlineStr">
        <is>
          <t>Referral</t>
        </is>
      </c>
      <c r="G724" t="inlineStr">
        <is>
          <t>Mobile Web</t>
        </is>
      </c>
      <c r="H724" t="inlineStr">
        <is>
          <t>Credit Card</t>
        </is>
      </c>
      <c r="I724" t="inlineStr">
        <is>
          <t>Delivered</t>
        </is>
      </c>
      <c r="J724" t="n">
        <v>111</v>
      </c>
      <c r="K724" t="n">
        <v>1</v>
      </c>
      <c r="L724" s="7" t="n">
        <v>524</v>
      </c>
      <c r="M724" s="7" t="n">
        <v>78.59999999999999</v>
      </c>
    </row>
    <row r="725">
      <c r="A725" t="n">
        <v>509691</v>
      </c>
      <c r="B725" s="6" t="n">
        <v>45940</v>
      </c>
      <c r="C725" t="n">
        <v>16692</v>
      </c>
      <c r="D725" t="inlineStr">
        <is>
          <t>Pune</t>
        </is>
      </c>
      <c r="E725" t="inlineStr">
        <is>
          <t>West</t>
        </is>
      </c>
      <c r="F725" t="inlineStr">
        <is>
          <t>Referral</t>
        </is>
      </c>
      <c r="G725" t="inlineStr">
        <is>
          <t>Mobile Web</t>
        </is>
      </c>
      <c r="H725" t="inlineStr">
        <is>
          <t>UPI</t>
        </is>
      </c>
      <c r="I725" t="inlineStr">
        <is>
          <t>Delivered</t>
        </is>
      </c>
      <c r="J725" t="n">
        <v>106</v>
      </c>
      <c r="K725" t="n">
        <v>1</v>
      </c>
      <c r="L725" s="7" t="n">
        <v>1574</v>
      </c>
      <c r="M725" s="7" t="n">
        <v>157.4</v>
      </c>
    </row>
    <row r="726">
      <c r="A726" t="n">
        <v>509691</v>
      </c>
      <c r="B726" s="6" t="n">
        <v>45940</v>
      </c>
      <c r="C726" t="n">
        <v>16692</v>
      </c>
      <c r="D726" t="inlineStr">
        <is>
          <t>Pune</t>
        </is>
      </c>
      <c r="E726" t="inlineStr">
        <is>
          <t>West</t>
        </is>
      </c>
      <c r="F726" t="inlineStr">
        <is>
          <t>Referral</t>
        </is>
      </c>
      <c r="G726" t="inlineStr">
        <is>
          <t>Mobile Web</t>
        </is>
      </c>
      <c r="H726" t="inlineStr">
        <is>
          <t>UPI</t>
        </is>
      </c>
      <c r="I726" t="inlineStr">
        <is>
          <t>Delivered</t>
        </is>
      </c>
      <c r="J726" t="n">
        <v>111</v>
      </c>
      <c r="K726" t="n">
        <v>3</v>
      </c>
      <c r="L726" s="7" t="n">
        <v>524</v>
      </c>
      <c r="M726" s="7" t="n">
        <v>157.2</v>
      </c>
    </row>
    <row r="727">
      <c r="A727" t="n">
        <v>509691</v>
      </c>
      <c r="B727" s="6" t="n">
        <v>45940</v>
      </c>
      <c r="C727" t="n">
        <v>16692</v>
      </c>
      <c r="D727" t="inlineStr">
        <is>
          <t>Pune</t>
        </is>
      </c>
      <c r="E727" t="inlineStr">
        <is>
          <t>West</t>
        </is>
      </c>
      <c r="F727" t="inlineStr">
        <is>
          <t>Referral</t>
        </is>
      </c>
      <c r="G727" t="inlineStr">
        <is>
          <t>Mobile Web</t>
        </is>
      </c>
      <c r="H727" t="inlineStr">
        <is>
          <t>UPI</t>
        </is>
      </c>
      <c r="I727" t="inlineStr">
        <is>
          <t>Delivered</t>
        </is>
      </c>
      <c r="J727" t="n">
        <v>120</v>
      </c>
      <c r="K727" t="n">
        <v>1</v>
      </c>
      <c r="L727" s="7" t="n">
        <v>734</v>
      </c>
      <c r="M727" s="7" t="n">
        <v>73.40000000000001</v>
      </c>
    </row>
    <row r="728">
      <c r="A728" t="n">
        <v>509691</v>
      </c>
      <c r="B728" s="6" t="n">
        <v>45940</v>
      </c>
      <c r="C728" t="n">
        <v>16692</v>
      </c>
      <c r="D728" t="inlineStr">
        <is>
          <t>Pune</t>
        </is>
      </c>
      <c r="E728" t="inlineStr">
        <is>
          <t>West</t>
        </is>
      </c>
      <c r="F728" t="inlineStr">
        <is>
          <t>Referral</t>
        </is>
      </c>
      <c r="G728" t="inlineStr">
        <is>
          <t>Mobile Web</t>
        </is>
      </c>
      <c r="H728" t="inlineStr">
        <is>
          <t>UPI</t>
        </is>
      </c>
      <c r="I728" t="inlineStr">
        <is>
          <t>Delivered</t>
        </is>
      </c>
      <c r="J728" t="n">
        <v>129</v>
      </c>
      <c r="K728" t="n">
        <v>1</v>
      </c>
      <c r="L728" s="7" t="n">
        <v>576</v>
      </c>
      <c r="M728" s="7" t="n">
        <v>57.6</v>
      </c>
    </row>
    <row r="729">
      <c r="A729" t="n">
        <v>509692</v>
      </c>
      <c r="B729" s="6" t="n">
        <v>45940</v>
      </c>
      <c r="C729" t="n">
        <v>12469</v>
      </c>
      <c r="D729" t="inlineStr">
        <is>
          <t>Bengaluru</t>
        </is>
      </c>
      <c r="E729" t="inlineStr">
        <is>
          <t>South</t>
        </is>
      </c>
      <c r="F729" t="inlineStr">
        <is>
          <t>Email</t>
        </is>
      </c>
      <c r="G729" t="inlineStr">
        <is>
          <t>Desktop</t>
        </is>
      </c>
      <c r="H729" t="inlineStr">
        <is>
          <t>UPI</t>
        </is>
      </c>
      <c r="I729" t="inlineStr">
        <is>
          <t>Delivered</t>
        </is>
      </c>
      <c r="J729" t="n">
        <v>130</v>
      </c>
      <c r="K729" t="n">
        <v>3</v>
      </c>
      <c r="L729" s="7" t="n">
        <v>734</v>
      </c>
      <c r="M729" s="7" t="n">
        <v>0</v>
      </c>
    </row>
    <row r="730">
      <c r="A730" t="n">
        <v>509693</v>
      </c>
      <c r="B730" s="6" t="n">
        <v>45940</v>
      </c>
      <c r="C730" t="n">
        <v>16700</v>
      </c>
      <c r="D730" t="inlineStr">
        <is>
          <t>Indore</t>
        </is>
      </c>
      <c r="E730" t="inlineStr">
        <is>
          <t>West</t>
        </is>
      </c>
      <c r="F730" t="inlineStr">
        <is>
          <t>Organic Search</t>
        </is>
      </c>
      <c r="G730" t="inlineStr">
        <is>
          <t>Desktop</t>
        </is>
      </c>
      <c r="H730" t="inlineStr">
        <is>
          <t>UPI</t>
        </is>
      </c>
      <c r="I730" t="inlineStr">
        <is>
          <t>Delivered</t>
        </is>
      </c>
      <c r="J730" t="n">
        <v>127</v>
      </c>
      <c r="K730" t="n">
        <v>2</v>
      </c>
      <c r="L730" s="7" t="n">
        <v>681</v>
      </c>
      <c r="M730" s="7" t="n">
        <v>0</v>
      </c>
    </row>
    <row r="731">
      <c r="A731" t="n">
        <v>509693</v>
      </c>
      <c r="B731" s="6" t="n">
        <v>45940</v>
      </c>
      <c r="C731" t="n">
        <v>16700</v>
      </c>
      <c r="D731" t="inlineStr">
        <is>
          <t>Indore</t>
        </is>
      </c>
      <c r="E731" t="inlineStr">
        <is>
          <t>West</t>
        </is>
      </c>
      <c r="F731" t="inlineStr">
        <is>
          <t>Organic Search</t>
        </is>
      </c>
      <c r="G731" t="inlineStr">
        <is>
          <t>Desktop</t>
        </is>
      </c>
      <c r="H731" t="inlineStr">
        <is>
          <t>UPI</t>
        </is>
      </c>
      <c r="I731" t="inlineStr">
        <is>
          <t>Delivered</t>
        </is>
      </c>
      <c r="J731" t="n">
        <v>129</v>
      </c>
      <c r="K731" t="n">
        <v>1</v>
      </c>
      <c r="L731" s="7" t="n">
        <v>576</v>
      </c>
      <c r="M731" s="7" t="n">
        <v>0</v>
      </c>
    </row>
    <row r="732">
      <c r="A732" t="n">
        <v>509694</v>
      </c>
      <c r="B732" s="6" t="n">
        <v>45940</v>
      </c>
      <c r="C732" t="n">
        <v>12185</v>
      </c>
      <c r="D732" t="inlineStr">
        <is>
          <t>Kolkata</t>
        </is>
      </c>
      <c r="E732" t="inlineStr">
        <is>
          <t>East</t>
        </is>
      </c>
      <c r="F732" t="inlineStr">
        <is>
          <t>Organic Search</t>
        </is>
      </c>
      <c r="G732" t="inlineStr">
        <is>
          <t>Mobile App</t>
        </is>
      </c>
      <c r="H732" t="inlineStr">
        <is>
          <t>UPI</t>
        </is>
      </c>
      <c r="I732" t="inlineStr">
        <is>
          <t>Delivered</t>
        </is>
      </c>
      <c r="J732" t="n">
        <v>140</v>
      </c>
      <c r="K732" t="n">
        <v>1</v>
      </c>
      <c r="L732" s="7" t="n">
        <v>629</v>
      </c>
      <c r="M732" s="7" t="n">
        <v>62.9</v>
      </c>
    </row>
    <row r="733">
      <c r="A733" t="n">
        <v>509694</v>
      </c>
      <c r="B733" s="6" t="n">
        <v>45940</v>
      </c>
      <c r="C733" t="n">
        <v>12185</v>
      </c>
      <c r="D733" t="inlineStr">
        <is>
          <t>Kolkata</t>
        </is>
      </c>
      <c r="E733" t="inlineStr">
        <is>
          <t>East</t>
        </is>
      </c>
      <c r="F733" t="inlineStr">
        <is>
          <t>Organic Search</t>
        </is>
      </c>
      <c r="G733" t="inlineStr">
        <is>
          <t>Mobile App</t>
        </is>
      </c>
      <c r="H733" t="inlineStr">
        <is>
          <t>UPI</t>
        </is>
      </c>
      <c r="I733" t="inlineStr">
        <is>
          <t>Delivered</t>
        </is>
      </c>
      <c r="J733" t="n">
        <v>129</v>
      </c>
      <c r="K733" t="n">
        <v>1</v>
      </c>
      <c r="L733" s="7" t="n">
        <v>576</v>
      </c>
      <c r="M733" s="7" t="n">
        <v>57.6</v>
      </c>
    </row>
    <row r="734">
      <c r="A734" t="n">
        <v>509695</v>
      </c>
      <c r="B734" s="6" t="n">
        <v>45940</v>
      </c>
      <c r="C734" t="n">
        <v>16650</v>
      </c>
      <c r="D734" t="inlineStr">
        <is>
          <t>Bengaluru</t>
        </is>
      </c>
      <c r="E734" t="inlineStr">
        <is>
          <t>South</t>
        </is>
      </c>
      <c r="F734" t="inlineStr">
        <is>
          <t>Organic Search</t>
        </is>
      </c>
      <c r="G734" t="inlineStr">
        <is>
          <t>Mobile App</t>
        </is>
      </c>
      <c r="H734" t="inlineStr">
        <is>
          <t>Cash on Delivery</t>
        </is>
      </c>
      <c r="I734" t="inlineStr">
        <is>
          <t>Delivered</t>
        </is>
      </c>
      <c r="J734" t="n">
        <v>113</v>
      </c>
      <c r="K734" t="n">
        <v>1</v>
      </c>
      <c r="L734" s="7" t="n">
        <v>1364</v>
      </c>
      <c r="M734" s="7" t="n">
        <v>204.6</v>
      </c>
    </row>
    <row r="735">
      <c r="A735" t="n">
        <v>509696</v>
      </c>
      <c r="B735" s="6" t="n">
        <v>45940</v>
      </c>
      <c r="C735" t="n">
        <v>16688</v>
      </c>
      <c r="D735" t="inlineStr">
        <is>
          <t>Pune</t>
        </is>
      </c>
      <c r="E735" t="inlineStr">
        <is>
          <t>West</t>
        </is>
      </c>
      <c r="F735" t="inlineStr">
        <is>
          <t>Paid Search</t>
        </is>
      </c>
      <c r="G735" t="inlineStr">
        <is>
          <t>Desktop</t>
        </is>
      </c>
      <c r="H735" t="inlineStr">
        <is>
          <t>UPI</t>
        </is>
      </c>
      <c r="I735" t="inlineStr">
        <is>
          <t>Delivered</t>
        </is>
      </c>
      <c r="J735" t="n">
        <v>118</v>
      </c>
      <c r="K735" t="n">
        <v>1</v>
      </c>
      <c r="L735" s="7" t="n">
        <v>944</v>
      </c>
      <c r="M735" s="7" t="n">
        <v>94.40000000000001</v>
      </c>
    </row>
    <row r="736">
      <c r="A736" t="n">
        <v>509696</v>
      </c>
      <c r="B736" s="6" t="n">
        <v>45940</v>
      </c>
      <c r="C736" t="n">
        <v>16688</v>
      </c>
      <c r="D736" t="inlineStr">
        <is>
          <t>Pune</t>
        </is>
      </c>
      <c r="E736" t="inlineStr">
        <is>
          <t>West</t>
        </is>
      </c>
      <c r="F736" t="inlineStr">
        <is>
          <t>Paid Search</t>
        </is>
      </c>
      <c r="G736" t="inlineStr">
        <is>
          <t>Desktop</t>
        </is>
      </c>
      <c r="H736" t="inlineStr">
        <is>
          <t>UPI</t>
        </is>
      </c>
      <c r="I736" t="inlineStr">
        <is>
          <t>Delivered</t>
        </is>
      </c>
      <c r="J736" t="n">
        <v>129</v>
      </c>
      <c r="K736" t="n">
        <v>1</v>
      </c>
      <c r="L736" s="7" t="n">
        <v>576</v>
      </c>
      <c r="M736" s="7" t="n">
        <v>57.6</v>
      </c>
    </row>
    <row r="737">
      <c r="A737" t="n">
        <v>509697</v>
      </c>
      <c r="B737" s="6" t="n">
        <v>45940</v>
      </c>
      <c r="C737" t="n">
        <v>16764</v>
      </c>
      <c r="D737" t="inlineStr">
        <is>
          <t>Ahmedabad</t>
        </is>
      </c>
      <c r="E737" t="inlineStr">
        <is>
          <t>West</t>
        </is>
      </c>
      <c r="F737" t="inlineStr">
        <is>
          <t>Paid Social</t>
        </is>
      </c>
      <c r="G737" t="inlineStr">
        <is>
          <t>Mobile App</t>
        </is>
      </c>
      <c r="H737" t="inlineStr">
        <is>
          <t>Cash on Delivery</t>
        </is>
      </c>
      <c r="I737" t="inlineStr">
        <is>
          <t>Cancelled</t>
        </is>
      </c>
      <c r="J737" t="n">
        <v>103</v>
      </c>
      <c r="K737" t="n">
        <v>3</v>
      </c>
      <c r="L737" s="7" t="n">
        <v>2624</v>
      </c>
      <c r="M737" s="7" t="n">
        <v>0</v>
      </c>
    </row>
    <row r="738">
      <c r="A738" t="n">
        <v>509697</v>
      </c>
      <c r="B738" s="6" t="n">
        <v>45940</v>
      </c>
      <c r="C738" t="n">
        <v>16764</v>
      </c>
      <c r="D738" t="inlineStr">
        <is>
          <t>Ahmedabad</t>
        </is>
      </c>
      <c r="E738" t="inlineStr">
        <is>
          <t>West</t>
        </is>
      </c>
      <c r="F738" t="inlineStr">
        <is>
          <t>Paid Social</t>
        </is>
      </c>
      <c r="G738" t="inlineStr">
        <is>
          <t>Mobile App</t>
        </is>
      </c>
      <c r="H738" t="inlineStr">
        <is>
          <t>Cash on Delivery</t>
        </is>
      </c>
      <c r="I738" t="inlineStr">
        <is>
          <t>Cancelled</t>
        </is>
      </c>
      <c r="J738" t="n">
        <v>129</v>
      </c>
      <c r="K738" t="n">
        <v>3</v>
      </c>
      <c r="L738" s="7" t="n">
        <v>576</v>
      </c>
      <c r="M738" s="7" t="n">
        <v>0</v>
      </c>
    </row>
    <row r="739">
      <c r="A739" t="n">
        <v>509698</v>
      </c>
      <c r="B739" s="6" t="n">
        <v>45940</v>
      </c>
      <c r="C739" t="n">
        <v>16762</v>
      </c>
      <c r="D739" t="inlineStr">
        <is>
          <t>Delhi</t>
        </is>
      </c>
      <c r="E739" t="inlineStr">
        <is>
          <t>North</t>
        </is>
      </c>
      <c r="F739" t="inlineStr">
        <is>
          <t>Referral</t>
        </is>
      </c>
      <c r="G739" t="inlineStr">
        <is>
          <t>Mobile App</t>
        </is>
      </c>
      <c r="H739" t="inlineStr">
        <is>
          <t>UPI</t>
        </is>
      </c>
      <c r="I739" t="inlineStr">
        <is>
          <t>Delivered</t>
        </is>
      </c>
      <c r="J739" t="n">
        <v>127</v>
      </c>
      <c r="K739" t="n">
        <v>3</v>
      </c>
      <c r="L739" s="7" t="n">
        <v>681</v>
      </c>
      <c r="M739" s="7" t="n">
        <v>306.45</v>
      </c>
    </row>
    <row r="740">
      <c r="A740" t="n">
        <v>509698</v>
      </c>
      <c r="B740" s="6" t="n">
        <v>45940</v>
      </c>
      <c r="C740" t="n">
        <v>16762</v>
      </c>
      <c r="D740" t="inlineStr">
        <is>
          <t>Delhi</t>
        </is>
      </c>
      <c r="E740" t="inlineStr">
        <is>
          <t>North</t>
        </is>
      </c>
      <c r="F740" t="inlineStr">
        <is>
          <t>Referral</t>
        </is>
      </c>
      <c r="G740" t="inlineStr">
        <is>
          <t>Mobile App</t>
        </is>
      </c>
      <c r="H740" t="inlineStr">
        <is>
          <t>UPI</t>
        </is>
      </c>
      <c r="I740" t="inlineStr">
        <is>
          <t>Delivered</t>
        </is>
      </c>
      <c r="J740" t="n">
        <v>129</v>
      </c>
      <c r="K740" t="n">
        <v>1</v>
      </c>
      <c r="L740" s="7" t="n">
        <v>576</v>
      </c>
      <c r="M740" s="7" t="n">
        <v>86.40000000000001</v>
      </c>
    </row>
    <row r="741">
      <c r="A741" t="n">
        <v>509699</v>
      </c>
      <c r="B741" s="6" t="n">
        <v>45940</v>
      </c>
      <c r="C741" t="n">
        <v>16056</v>
      </c>
      <c r="D741" t="inlineStr">
        <is>
          <t>Ahmedabad</t>
        </is>
      </c>
      <c r="E741" t="inlineStr">
        <is>
          <t>West</t>
        </is>
      </c>
      <c r="F741" t="inlineStr">
        <is>
          <t>Referral</t>
        </is>
      </c>
      <c r="G741" t="inlineStr">
        <is>
          <t>Mobile App</t>
        </is>
      </c>
      <c r="H741" t="inlineStr">
        <is>
          <t>UPI</t>
        </is>
      </c>
      <c r="I741" t="inlineStr">
        <is>
          <t>Delivered</t>
        </is>
      </c>
      <c r="J741" t="n">
        <v>114</v>
      </c>
      <c r="K741" t="n">
        <v>1</v>
      </c>
      <c r="L741" s="7" t="n">
        <v>1259</v>
      </c>
      <c r="M741" s="7" t="n">
        <v>0</v>
      </c>
    </row>
    <row r="742">
      <c r="A742" t="n">
        <v>509700</v>
      </c>
      <c r="B742" s="6" t="n">
        <v>45940</v>
      </c>
      <c r="C742" t="n">
        <v>12665</v>
      </c>
      <c r="D742" t="inlineStr">
        <is>
          <t>Mumbai</t>
        </is>
      </c>
      <c r="E742" t="inlineStr">
        <is>
          <t>West</t>
        </is>
      </c>
      <c r="F742" t="inlineStr">
        <is>
          <t>Organic Search</t>
        </is>
      </c>
      <c r="G742" t="inlineStr">
        <is>
          <t>Mobile App</t>
        </is>
      </c>
      <c r="H742" t="inlineStr">
        <is>
          <t>Debit Card</t>
        </is>
      </c>
      <c r="I742" t="inlineStr">
        <is>
          <t>Returned</t>
        </is>
      </c>
      <c r="J742" t="n">
        <v>106</v>
      </c>
      <c r="K742" t="n">
        <v>1</v>
      </c>
      <c r="L742" s="7" t="n">
        <v>1574</v>
      </c>
      <c r="M742" s="7" t="n">
        <v>0</v>
      </c>
    </row>
    <row r="743">
      <c r="A743" t="n">
        <v>509700</v>
      </c>
      <c r="B743" s="6" t="n">
        <v>45940</v>
      </c>
      <c r="C743" t="n">
        <v>12665</v>
      </c>
      <c r="D743" t="inlineStr">
        <is>
          <t>Mumbai</t>
        </is>
      </c>
      <c r="E743" t="inlineStr">
        <is>
          <t>West</t>
        </is>
      </c>
      <c r="F743" t="inlineStr">
        <is>
          <t>Organic Search</t>
        </is>
      </c>
      <c r="G743" t="inlineStr">
        <is>
          <t>Mobile App</t>
        </is>
      </c>
      <c r="H743" t="inlineStr">
        <is>
          <t>Debit Card</t>
        </is>
      </c>
      <c r="I743" t="inlineStr">
        <is>
          <t>Returned</t>
        </is>
      </c>
      <c r="J743" t="n">
        <v>111</v>
      </c>
      <c r="K743" t="n">
        <v>1</v>
      </c>
      <c r="L743" s="7" t="n">
        <v>524</v>
      </c>
      <c r="M743" s="7" t="n">
        <v>0</v>
      </c>
    </row>
    <row r="744">
      <c r="A744" t="n">
        <v>509701</v>
      </c>
      <c r="B744" s="6" t="n">
        <v>45940</v>
      </c>
      <c r="C744" t="n">
        <v>16732</v>
      </c>
      <c r="D744" t="inlineStr">
        <is>
          <t>Chennai</t>
        </is>
      </c>
      <c r="E744" t="inlineStr">
        <is>
          <t>South</t>
        </is>
      </c>
      <c r="F744" t="inlineStr">
        <is>
          <t>Organic Search</t>
        </is>
      </c>
      <c r="G744" t="inlineStr">
        <is>
          <t>Mobile App</t>
        </is>
      </c>
      <c r="H744" t="inlineStr">
        <is>
          <t>Net Banking</t>
        </is>
      </c>
      <c r="I744" t="inlineStr">
        <is>
          <t>Delivered</t>
        </is>
      </c>
      <c r="J744" t="n">
        <v>108</v>
      </c>
      <c r="K744" t="n">
        <v>1</v>
      </c>
      <c r="L744" s="7" t="n">
        <v>419</v>
      </c>
      <c r="M744" s="7" t="n">
        <v>62.85</v>
      </c>
    </row>
    <row r="745">
      <c r="A745" t="n">
        <v>509702</v>
      </c>
      <c r="B745" s="6" t="n">
        <v>45940</v>
      </c>
      <c r="C745" t="n">
        <v>16679</v>
      </c>
      <c r="D745" t="inlineStr">
        <is>
          <t>Kolkata</t>
        </is>
      </c>
      <c r="E745" t="inlineStr">
        <is>
          <t>East</t>
        </is>
      </c>
      <c r="F745" t="inlineStr">
        <is>
          <t>Referral</t>
        </is>
      </c>
      <c r="G745" t="inlineStr">
        <is>
          <t>Desktop</t>
        </is>
      </c>
      <c r="H745" t="inlineStr">
        <is>
          <t>Credit Card</t>
        </is>
      </c>
      <c r="I745" t="inlineStr">
        <is>
          <t>Delivered</t>
        </is>
      </c>
      <c r="J745" t="n">
        <v>141</v>
      </c>
      <c r="K745" t="n">
        <v>1</v>
      </c>
      <c r="L745" s="7" t="n">
        <v>261</v>
      </c>
      <c r="M745" s="7" t="n">
        <v>26.1</v>
      </c>
    </row>
    <row r="746">
      <c r="A746" t="n">
        <v>509703</v>
      </c>
      <c r="B746" s="6" t="n">
        <v>45940</v>
      </c>
      <c r="C746" t="n">
        <v>14351</v>
      </c>
      <c r="D746" t="inlineStr">
        <is>
          <t>Hyderabad</t>
        </is>
      </c>
      <c r="E746" t="inlineStr">
        <is>
          <t>South</t>
        </is>
      </c>
      <c r="F746" t="inlineStr">
        <is>
          <t>Paid Search</t>
        </is>
      </c>
      <c r="G746" t="inlineStr">
        <is>
          <t>Desktop</t>
        </is>
      </c>
      <c r="H746" t="inlineStr">
        <is>
          <t>UPI</t>
        </is>
      </c>
      <c r="I746" t="inlineStr">
        <is>
          <t>Delivered</t>
        </is>
      </c>
      <c r="J746" t="n">
        <v>129</v>
      </c>
      <c r="K746" t="n">
        <v>1</v>
      </c>
      <c r="L746" s="7" t="n">
        <v>576</v>
      </c>
      <c r="M746" s="7" t="n">
        <v>0</v>
      </c>
    </row>
    <row r="747">
      <c r="A747" t="n">
        <v>509703</v>
      </c>
      <c r="B747" s="6" t="n">
        <v>45940</v>
      </c>
      <c r="C747" t="n">
        <v>14351</v>
      </c>
      <c r="D747" t="inlineStr">
        <is>
          <t>Hyderabad</t>
        </is>
      </c>
      <c r="E747" t="inlineStr">
        <is>
          <t>South</t>
        </is>
      </c>
      <c r="F747" t="inlineStr">
        <is>
          <t>Paid Search</t>
        </is>
      </c>
      <c r="G747" t="inlineStr">
        <is>
          <t>Desktop</t>
        </is>
      </c>
      <c r="H747" t="inlineStr">
        <is>
          <t>UPI</t>
        </is>
      </c>
      <c r="I747" t="inlineStr">
        <is>
          <t>Delivered</t>
        </is>
      </c>
      <c r="J747" t="n">
        <v>120</v>
      </c>
      <c r="K747" t="n">
        <v>1</v>
      </c>
      <c r="L747" s="7" t="n">
        <v>734</v>
      </c>
      <c r="M747" s="7" t="n">
        <v>0</v>
      </c>
    </row>
    <row r="748">
      <c r="A748" t="n">
        <v>509704</v>
      </c>
      <c r="B748" s="6" t="n">
        <v>45940</v>
      </c>
      <c r="C748" t="n">
        <v>14058</v>
      </c>
      <c r="D748" t="inlineStr">
        <is>
          <t>Mumbai</t>
        </is>
      </c>
      <c r="E748" t="inlineStr">
        <is>
          <t>West</t>
        </is>
      </c>
      <c r="F748" t="inlineStr">
        <is>
          <t>Paid Search</t>
        </is>
      </c>
      <c r="G748" t="inlineStr">
        <is>
          <t>Mobile App</t>
        </is>
      </c>
      <c r="H748" t="inlineStr">
        <is>
          <t>UPI</t>
        </is>
      </c>
      <c r="I748" t="inlineStr">
        <is>
          <t>Delivered</t>
        </is>
      </c>
      <c r="J748" t="n">
        <v>113</v>
      </c>
      <c r="K748" t="n">
        <v>2</v>
      </c>
      <c r="L748" s="7" t="n">
        <v>1364</v>
      </c>
      <c r="M748" s="7" t="n">
        <v>272.8</v>
      </c>
    </row>
    <row r="749">
      <c r="A749" t="n">
        <v>509705</v>
      </c>
      <c r="B749" s="6" t="n">
        <v>45940</v>
      </c>
      <c r="C749" t="n">
        <v>13306</v>
      </c>
      <c r="D749" t="inlineStr">
        <is>
          <t>Bengaluru</t>
        </is>
      </c>
      <c r="E749" t="inlineStr">
        <is>
          <t>South</t>
        </is>
      </c>
      <c r="F749" t="inlineStr">
        <is>
          <t>Email</t>
        </is>
      </c>
      <c r="G749" t="inlineStr">
        <is>
          <t>Mobile Web</t>
        </is>
      </c>
      <c r="H749" t="inlineStr">
        <is>
          <t>Credit Card</t>
        </is>
      </c>
      <c r="I749" t="inlineStr">
        <is>
          <t>Delivered</t>
        </is>
      </c>
      <c r="J749" t="n">
        <v>138</v>
      </c>
      <c r="K749" t="n">
        <v>1</v>
      </c>
      <c r="L749" s="7" t="n">
        <v>419</v>
      </c>
      <c r="M749" s="7" t="n">
        <v>0</v>
      </c>
    </row>
    <row r="750">
      <c r="A750" t="n">
        <v>509705</v>
      </c>
      <c r="B750" s="6" t="n">
        <v>45940</v>
      </c>
      <c r="C750" t="n">
        <v>13306</v>
      </c>
      <c r="D750" t="inlineStr">
        <is>
          <t>Bengaluru</t>
        </is>
      </c>
      <c r="E750" t="inlineStr">
        <is>
          <t>South</t>
        </is>
      </c>
      <c r="F750" t="inlineStr">
        <is>
          <t>Email</t>
        </is>
      </c>
      <c r="G750" t="inlineStr">
        <is>
          <t>Mobile Web</t>
        </is>
      </c>
      <c r="H750" t="inlineStr">
        <is>
          <t>Credit Card</t>
        </is>
      </c>
      <c r="I750" t="inlineStr">
        <is>
          <t>Delivered</t>
        </is>
      </c>
      <c r="J750" t="n">
        <v>129</v>
      </c>
      <c r="K750" t="n">
        <v>1</v>
      </c>
      <c r="L750" s="7" t="n">
        <v>576</v>
      </c>
      <c r="M750" s="7" t="n">
        <v>0</v>
      </c>
    </row>
    <row r="751">
      <c r="A751" t="n">
        <v>509706</v>
      </c>
      <c r="B751" s="6" t="n">
        <v>45940</v>
      </c>
      <c r="C751" t="n">
        <v>16418</v>
      </c>
      <c r="D751" t="inlineStr">
        <is>
          <t>Chandigarh</t>
        </is>
      </c>
      <c r="E751" t="inlineStr">
        <is>
          <t>North</t>
        </is>
      </c>
      <c r="F751" t="inlineStr">
        <is>
          <t>Paid Search</t>
        </is>
      </c>
      <c r="G751" t="inlineStr">
        <is>
          <t>Mobile App</t>
        </is>
      </c>
      <c r="H751" t="inlineStr">
        <is>
          <t>Credit Card</t>
        </is>
      </c>
      <c r="I751" t="inlineStr">
        <is>
          <t>Returned</t>
        </is>
      </c>
      <c r="J751" t="n">
        <v>135</v>
      </c>
      <c r="K751" t="n">
        <v>1</v>
      </c>
      <c r="L751" s="7" t="n">
        <v>1574</v>
      </c>
      <c r="M751" s="7" t="n">
        <v>157.4</v>
      </c>
    </row>
    <row r="752">
      <c r="A752" t="n">
        <v>509706</v>
      </c>
      <c r="B752" s="6" t="n">
        <v>45940</v>
      </c>
      <c r="C752" t="n">
        <v>16418</v>
      </c>
      <c r="D752" t="inlineStr">
        <is>
          <t>Chandigarh</t>
        </is>
      </c>
      <c r="E752" t="inlineStr">
        <is>
          <t>North</t>
        </is>
      </c>
      <c r="F752" t="inlineStr">
        <is>
          <t>Paid Search</t>
        </is>
      </c>
      <c r="G752" t="inlineStr">
        <is>
          <t>Mobile App</t>
        </is>
      </c>
      <c r="H752" t="inlineStr">
        <is>
          <t>Credit Card</t>
        </is>
      </c>
      <c r="I752" t="inlineStr">
        <is>
          <t>Returned</t>
        </is>
      </c>
      <c r="J752" t="n">
        <v>129</v>
      </c>
      <c r="K752" t="n">
        <v>1</v>
      </c>
      <c r="L752" s="7" t="n">
        <v>576</v>
      </c>
      <c r="M752" s="7" t="n">
        <v>57.6</v>
      </c>
    </row>
    <row r="753">
      <c r="A753" t="n">
        <v>509707</v>
      </c>
      <c r="B753" s="6" t="n">
        <v>45940</v>
      </c>
      <c r="C753" t="n">
        <v>13649</v>
      </c>
      <c r="D753" t="inlineStr">
        <is>
          <t>Delhi</t>
        </is>
      </c>
      <c r="E753" t="inlineStr">
        <is>
          <t>North</t>
        </is>
      </c>
      <c r="F753" t="inlineStr">
        <is>
          <t>Paid Social</t>
        </is>
      </c>
      <c r="G753" t="inlineStr">
        <is>
          <t>Mobile App</t>
        </is>
      </c>
      <c r="H753" t="inlineStr">
        <is>
          <t>Credit Card</t>
        </is>
      </c>
      <c r="I753" t="inlineStr">
        <is>
          <t>Returned</t>
        </is>
      </c>
      <c r="J753" t="n">
        <v>116</v>
      </c>
      <c r="K753" t="n">
        <v>1</v>
      </c>
      <c r="L753" s="7" t="n">
        <v>2624</v>
      </c>
      <c r="M753" s="7" t="n">
        <v>262.4</v>
      </c>
    </row>
    <row r="754">
      <c r="A754" t="n">
        <v>509708</v>
      </c>
      <c r="B754" s="6" t="n">
        <v>45940</v>
      </c>
      <c r="C754" t="n">
        <v>16698</v>
      </c>
      <c r="D754" t="inlineStr">
        <is>
          <t>Bengaluru</t>
        </is>
      </c>
      <c r="E754" t="inlineStr">
        <is>
          <t>South</t>
        </is>
      </c>
      <c r="F754" t="inlineStr">
        <is>
          <t>Email</t>
        </is>
      </c>
      <c r="G754" t="inlineStr">
        <is>
          <t>Desktop</t>
        </is>
      </c>
      <c r="H754" t="inlineStr">
        <is>
          <t>UPI</t>
        </is>
      </c>
      <c r="I754" t="inlineStr">
        <is>
          <t>Delivered</t>
        </is>
      </c>
      <c r="J754" t="n">
        <v>148</v>
      </c>
      <c r="K754" t="n">
        <v>1</v>
      </c>
      <c r="L754" s="7" t="n">
        <v>734</v>
      </c>
      <c r="M754" s="7" t="n">
        <v>110.1</v>
      </c>
    </row>
    <row r="755">
      <c r="A755" t="n">
        <v>509708</v>
      </c>
      <c r="B755" s="6" t="n">
        <v>45940</v>
      </c>
      <c r="C755" t="n">
        <v>16698</v>
      </c>
      <c r="D755" t="inlineStr">
        <is>
          <t>Bengaluru</t>
        </is>
      </c>
      <c r="E755" t="inlineStr">
        <is>
          <t>South</t>
        </is>
      </c>
      <c r="F755" t="inlineStr">
        <is>
          <t>Email</t>
        </is>
      </c>
      <c r="G755" t="inlineStr">
        <is>
          <t>Desktop</t>
        </is>
      </c>
      <c r="H755" t="inlineStr">
        <is>
          <t>UPI</t>
        </is>
      </c>
      <c r="I755" t="inlineStr">
        <is>
          <t>Delivered</t>
        </is>
      </c>
      <c r="J755" t="n">
        <v>133</v>
      </c>
      <c r="K755" t="n">
        <v>2</v>
      </c>
      <c r="L755" s="7" t="n">
        <v>419</v>
      </c>
      <c r="M755" s="7" t="n">
        <v>125.7</v>
      </c>
    </row>
    <row r="756">
      <c r="A756" t="n">
        <v>509708</v>
      </c>
      <c r="B756" s="6" t="n">
        <v>45940</v>
      </c>
      <c r="C756" t="n">
        <v>16698</v>
      </c>
      <c r="D756" t="inlineStr">
        <is>
          <t>Bengaluru</t>
        </is>
      </c>
      <c r="E756" t="inlineStr">
        <is>
          <t>South</t>
        </is>
      </c>
      <c r="F756" t="inlineStr">
        <is>
          <t>Email</t>
        </is>
      </c>
      <c r="G756" t="inlineStr">
        <is>
          <t>Desktop</t>
        </is>
      </c>
      <c r="H756" t="inlineStr">
        <is>
          <t>UPI</t>
        </is>
      </c>
      <c r="I756" t="inlineStr">
        <is>
          <t>Delivered</t>
        </is>
      </c>
      <c r="J756" t="n">
        <v>130</v>
      </c>
      <c r="K756" t="n">
        <v>1</v>
      </c>
      <c r="L756" s="7" t="n">
        <v>734</v>
      </c>
      <c r="M756" s="7" t="n">
        <v>110.1</v>
      </c>
    </row>
    <row r="757">
      <c r="A757" t="n">
        <v>509709</v>
      </c>
      <c r="B757" s="6" t="n">
        <v>45940</v>
      </c>
      <c r="C757" t="n">
        <v>16706</v>
      </c>
      <c r="D757" t="inlineStr">
        <is>
          <t>Bengaluru</t>
        </is>
      </c>
      <c r="E757" t="inlineStr">
        <is>
          <t>South</t>
        </is>
      </c>
      <c r="F757" t="inlineStr">
        <is>
          <t>Organic Search</t>
        </is>
      </c>
      <c r="G757" t="inlineStr">
        <is>
          <t>Mobile App</t>
        </is>
      </c>
      <c r="H757" t="inlineStr">
        <is>
          <t>UPI</t>
        </is>
      </c>
      <c r="I757" t="inlineStr">
        <is>
          <t>Delivered</t>
        </is>
      </c>
      <c r="J757" t="n">
        <v>131</v>
      </c>
      <c r="K757" t="n">
        <v>1</v>
      </c>
      <c r="L757" s="7" t="n">
        <v>314</v>
      </c>
      <c r="M757" s="7" t="n">
        <v>31.4</v>
      </c>
    </row>
    <row r="758">
      <c r="A758" t="n">
        <v>509710</v>
      </c>
      <c r="B758" s="6" t="n">
        <v>45940</v>
      </c>
      <c r="C758" t="n">
        <v>14691</v>
      </c>
      <c r="D758" t="inlineStr">
        <is>
          <t>Mumbai</t>
        </is>
      </c>
      <c r="E758" t="inlineStr">
        <is>
          <t>West</t>
        </is>
      </c>
      <c r="F758" t="inlineStr">
        <is>
          <t>Organic Search</t>
        </is>
      </c>
      <c r="G758" t="inlineStr">
        <is>
          <t>Desktop</t>
        </is>
      </c>
      <c r="H758" t="inlineStr">
        <is>
          <t>UPI</t>
        </is>
      </c>
      <c r="I758" t="inlineStr">
        <is>
          <t>Delivered</t>
        </is>
      </c>
      <c r="J758" t="n">
        <v>117</v>
      </c>
      <c r="K758" t="n">
        <v>1</v>
      </c>
      <c r="L758" s="7" t="n">
        <v>3149</v>
      </c>
      <c r="M758" s="7" t="n">
        <v>0</v>
      </c>
    </row>
    <row r="759">
      <c r="A759" t="n">
        <v>509710</v>
      </c>
      <c r="B759" s="6" t="n">
        <v>45940</v>
      </c>
      <c r="C759" t="n">
        <v>14691</v>
      </c>
      <c r="D759" t="inlineStr">
        <is>
          <t>Mumbai</t>
        </is>
      </c>
      <c r="E759" t="inlineStr">
        <is>
          <t>West</t>
        </is>
      </c>
      <c r="F759" t="inlineStr">
        <is>
          <t>Organic Search</t>
        </is>
      </c>
      <c r="G759" t="inlineStr">
        <is>
          <t>Desktop</t>
        </is>
      </c>
      <c r="H759" t="inlineStr">
        <is>
          <t>UPI</t>
        </is>
      </c>
      <c r="I759" t="inlineStr">
        <is>
          <t>Delivered</t>
        </is>
      </c>
      <c r="J759" t="n">
        <v>134</v>
      </c>
      <c r="K759" t="n">
        <v>1</v>
      </c>
      <c r="L759" s="7" t="n">
        <v>209</v>
      </c>
      <c r="M759" s="7" t="n">
        <v>0</v>
      </c>
    </row>
    <row r="760">
      <c r="A760" t="n">
        <v>509710</v>
      </c>
      <c r="B760" s="6" t="n">
        <v>45940</v>
      </c>
      <c r="C760" t="n">
        <v>14691</v>
      </c>
      <c r="D760" t="inlineStr">
        <is>
          <t>Mumbai</t>
        </is>
      </c>
      <c r="E760" t="inlineStr">
        <is>
          <t>West</t>
        </is>
      </c>
      <c r="F760" t="inlineStr">
        <is>
          <t>Organic Search</t>
        </is>
      </c>
      <c r="G760" t="inlineStr">
        <is>
          <t>Desktop</t>
        </is>
      </c>
      <c r="H760" t="inlineStr">
        <is>
          <t>UPI</t>
        </is>
      </c>
      <c r="I760" t="inlineStr">
        <is>
          <t>Delivered</t>
        </is>
      </c>
      <c r="J760" t="n">
        <v>112</v>
      </c>
      <c r="K760" t="n">
        <v>1</v>
      </c>
      <c r="L760" s="7" t="n">
        <v>1574</v>
      </c>
      <c r="M760" s="7" t="n">
        <v>0</v>
      </c>
    </row>
    <row r="761">
      <c r="A761" t="n">
        <v>509711</v>
      </c>
      <c r="B761" s="6" t="n">
        <v>45941</v>
      </c>
      <c r="C761" t="n">
        <v>16484</v>
      </c>
      <c r="D761" t="inlineStr">
        <is>
          <t>Delhi</t>
        </is>
      </c>
      <c r="E761" t="inlineStr">
        <is>
          <t>North</t>
        </is>
      </c>
      <c r="F761" t="inlineStr">
        <is>
          <t>Referral</t>
        </is>
      </c>
      <c r="G761" t="inlineStr">
        <is>
          <t>Mobile App</t>
        </is>
      </c>
      <c r="H761" t="inlineStr">
        <is>
          <t>UPI</t>
        </is>
      </c>
      <c r="I761" t="inlineStr">
        <is>
          <t>Delivered</t>
        </is>
      </c>
      <c r="J761" t="n">
        <v>115</v>
      </c>
      <c r="K761" t="n">
        <v>1</v>
      </c>
      <c r="L761" s="7" t="n">
        <v>4199</v>
      </c>
      <c r="M761" s="7" t="n">
        <v>0</v>
      </c>
    </row>
    <row r="762">
      <c r="A762" t="n">
        <v>509712</v>
      </c>
      <c r="B762" s="6" t="n">
        <v>45941</v>
      </c>
      <c r="C762" t="n">
        <v>10084</v>
      </c>
      <c r="D762" t="inlineStr">
        <is>
          <t>Chennai</t>
        </is>
      </c>
      <c r="E762" t="inlineStr">
        <is>
          <t>South</t>
        </is>
      </c>
      <c r="F762" t="inlineStr">
        <is>
          <t>Organic Search</t>
        </is>
      </c>
      <c r="G762" t="inlineStr">
        <is>
          <t>Mobile App</t>
        </is>
      </c>
      <c r="H762" t="inlineStr">
        <is>
          <t>Net Banking</t>
        </is>
      </c>
      <c r="I762" t="inlineStr">
        <is>
          <t>Delivered</t>
        </is>
      </c>
      <c r="J762" t="n">
        <v>140</v>
      </c>
      <c r="K762" t="n">
        <v>3</v>
      </c>
      <c r="L762" s="7" t="n">
        <v>629</v>
      </c>
      <c r="M762" s="7" t="n">
        <v>0</v>
      </c>
    </row>
    <row r="763">
      <c r="A763" t="n">
        <v>509712</v>
      </c>
      <c r="B763" s="6" t="n">
        <v>45941</v>
      </c>
      <c r="C763" t="n">
        <v>10084</v>
      </c>
      <c r="D763" t="inlineStr">
        <is>
          <t>Chennai</t>
        </is>
      </c>
      <c r="E763" t="inlineStr">
        <is>
          <t>South</t>
        </is>
      </c>
      <c r="F763" t="inlineStr">
        <is>
          <t>Organic Search</t>
        </is>
      </c>
      <c r="G763" t="inlineStr">
        <is>
          <t>Mobile App</t>
        </is>
      </c>
      <c r="H763" t="inlineStr">
        <is>
          <t>Net Banking</t>
        </is>
      </c>
      <c r="I763" t="inlineStr">
        <is>
          <t>Delivered</t>
        </is>
      </c>
      <c r="J763" t="n">
        <v>123</v>
      </c>
      <c r="K763" t="n">
        <v>2</v>
      </c>
      <c r="L763" s="7" t="n">
        <v>3464</v>
      </c>
      <c r="M763" s="7" t="n">
        <v>0</v>
      </c>
    </row>
    <row r="764">
      <c r="A764" t="n">
        <v>509712</v>
      </c>
      <c r="B764" s="6" t="n">
        <v>45941</v>
      </c>
      <c r="C764" t="n">
        <v>10084</v>
      </c>
      <c r="D764" t="inlineStr">
        <is>
          <t>Chennai</t>
        </is>
      </c>
      <c r="E764" t="inlineStr">
        <is>
          <t>South</t>
        </is>
      </c>
      <c r="F764" t="inlineStr">
        <is>
          <t>Organic Search</t>
        </is>
      </c>
      <c r="G764" t="inlineStr">
        <is>
          <t>Mobile App</t>
        </is>
      </c>
      <c r="H764" t="inlineStr">
        <is>
          <t>Net Banking</t>
        </is>
      </c>
      <c r="I764" t="inlineStr">
        <is>
          <t>Delivered</t>
        </is>
      </c>
      <c r="J764" t="n">
        <v>129</v>
      </c>
      <c r="K764" t="n">
        <v>1</v>
      </c>
      <c r="L764" s="7" t="n">
        <v>576</v>
      </c>
      <c r="M764" s="7" t="n">
        <v>0</v>
      </c>
    </row>
    <row r="765">
      <c r="A765" t="n">
        <v>509713</v>
      </c>
      <c r="B765" s="6" t="n">
        <v>45941</v>
      </c>
      <c r="C765" t="n">
        <v>16746</v>
      </c>
      <c r="D765" t="inlineStr">
        <is>
          <t>Bengaluru</t>
        </is>
      </c>
      <c r="E765" t="inlineStr">
        <is>
          <t>South</t>
        </is>
      </c>
      <c r="F765" t="inlineStr">
        <is>
          <t>Organic Search</t>
        </is>
      </c>
      <c r="G765" t="inlineStr">
        <is>
          <t>Mobile Web</t>
        </is>
      </c>
      <c r="H765" t="inlineStr">
        <is>
          <t>Credit Card</t>
        </is>
      </c>
      <c r="I765" t="inlineStr">
        <is>
          <t>Delivered</t>
        </is>
      </c>
      <c r="J765" t="n">
        <v>130</v>
      </c>
      <c r="K765" t="n">
        <v>2</v>
      </c>
      <c r="L765" s="7" t="n">
        <v>734</v>
      </c>
      <c r="M765" s="7" t="n">
        <v>146.8</v>
      </c>
    </row>
    <row r="766">
      <c r="A766" t="n">
        <v>509713</v>
      </c>
      <c r="B766" s="6" t="n">
        <v>45941</v>
      </c>
      <c r="C766" t="n">
        <v>16746</v>
      </c>
      <c r="D766" t="inlineStr">
        <is>
          <t>Bengaluru</t>
        </is>
      </c>
      <c r="E766" t="inlineStr">
        <is>
          <t>South</t>
        </is>
      </c>
      <c r="F766" t="inlineStr">
        <is>
          <t>Organic Search</t>
        </is>
      </c>
      <c r="G766" t="inlineStr">
        <is>
          <t>Mobile Web</t>
        </is>
      </c>
      <c r="H766" t="inlineStr">
        <is>
          <t>Credit Card</t>
        </is>
      </c>
      <c r="I766" t="inlineStr">
        <is>
          <t>Delivered</t>
        </is>
      </c>
      <c r="J766" t="n">
        <v>129</v>
      </c>
      <c r="K766" t="n">
        <v>1</v>
      </c>
      <c r="L766" s="7" t="n">
        <v>576</v>
      </c>
      <c r="M766" s="7" t="n">
        <v>57.6</v>
      </c>
    </row>
    <row r="767">
      <c r="A767" t="n">
        <v>509714</v>
      </c>
      <c r="B767" s="6" t="n">
        <v>45941</v>
      </c>
      <c r="C767" t="n">
        <v>16237</v>
      </c>
      <c r="D767" t="inlineStr">
        <is>
          <t>Chennai</t>
        </is>
      </c>
      <c r="E767" t="inlineStr">
        <is>
          <t>South</t>
        </is>
      </c>
      <c r="F767" t="inlineStr">
        <is>
          <t>Paid Search</t>
        </is>
      </c>
      <c r="G767" t="inlineStr">
        <is>
          <t>Mobile Web</t>
        </is>
      </c>
      <c r="H767" t="inlineStr">
        <is>
          <t>Net Banking</t>
        </is>
      </c>
      <c r="I767" t="inlineStr">
        <is>
          <t>Delivered</t>
        </is>
      </c>
      <c r="J767" t="n">
        <v>129</v>
      </c>
      <c r="K767" t="n">
        <v>1</v>
      </c>
      <c r="L767" s="7" t="n">
        <v>576</v>
      </c>
      <c r="M767" s="7" t="n">
        <v>57.6</v>
      </c>
    </row>
    <row r="768">
      <c r="A768" t="n">
        <v>509715</v>
      </c>
      <c r="B768" s="6" t="n">
        <v>45941</v>
      </c>
      <c r="C768" t="n">
        <v>16578</v>
      </c>
      <c r="D768" t="inlineStr">
        <is>
          <t>Jaipur</t>
        </is>
      </c>
      <c r="E768" t="inlineStr">
        <is>
          <t>North</t>
        </is>
      </c>
      <c r="F768" t="inlineStr">
        <is>
          <t>Organic Search</t>
        </is>
      </c>
      <c r="G768" t="inlineStr">
        <is>
          <t>Mobile Web</t>
        </is>
      </c>
      <c r="H768" t="inlineStr">
        <is>
          <t>Credit Card</t>
        </is>
      </c>
      <c r="I768" t="inlineStr">
        <is>
          <t>Delivered</t>
        </is>
      </c>
      <c r="J768" t="n">
        <v>121</v>
      </c>
      <c r="K768" t="n">
        <v>1</v>
      </c>
      <c r="L768" s="7" t="n">
        <v>2939</v>
      </c>
      <c r="M768" s="7" t="n">
        <v>440.85</v>
      </c>
    </row>
    <row r="769">
      <c r="A769" t="n">
        <v>509715</v>
      </c>
      <c r="B769" s="6" t="n">
        <v>45941</v>
      </c>
      <c r="C769" t="n">
        <v>16578</v>
      </c>
      <c r="D769" t="inlineStr">
        <is>
          <t>Jaipur</t>
        </is>
      </c>
      <c r="E769" t="inlineStr">
        <is>
          <t>North</t>
        </is>
      </c>
      <c r="F769" t="inlineStr">
        <is>
          <t>Organic Search</t>
        </is>
      </c>
      <c r="G769" t="inlineStr">
        <is>
          <t>Mobile Web</t>
        </is>
      </c>
      <c r="H769" t="inlineStr">
        <is>
          <t>Credit Card</t>
        </is>
      </c>
      <c r="I769" t="inlineStr">
        <is>
          <t>Delivered</t>
        </is>
      </c>
      <c r="J769" t="n">
        <v>101</v>
      </c>
      <c r="K769" t="n">
        <v>2</v>
      </c>
      <c r="L769" s="7" t="n">
        <v>2099</v>
      </c>
      <c r="M769" s="7" t="n">
        <v>629.7</v>
      </c>
    </row>
    <row r="770">
      <c r="A770" t="n">
        <v>509715</v>
      </c>
      <c r="B770" s="6" t="n">
        <v>45941</v>
      </c>
      <c r="C770" t="n">
        <v>16578</v>
      </c>
      <c r="D770" t="inlineStr">
        <is>
          <t>Jaipur</t>
        </is>
      </c>
      <c r="E770" t="inlineStr">
        <is>
          <t>North</t>
        </is>
      </c>
      <c r="F770" t="inlineStr">
        <is>
          <t>Organic Search</t>
        </is>
      </c>
      <c r="G770" t="inlineStr">
        <is>
          <t>Mobile Web</t>
        </is>
      </c>
      <c r="H770" t="inlineStr">
        <is>
          <t>Credit Card</t>
        </is>
      </c>
      <c r="I770" t="inlineStr">
        <is>
          <t>Delivered</t>
        </is>
      </c>
      <c r="J770" t="n">
        <v>130</v>
      </c>
      <c r="K770" t="n">
        <v>1</v>
      </c>
      <c r="L770" s="7" t="n">
        <v>734</v>
      </c>
      <c r="M770" s="7" t="n">
        <v>110.1</v>
      </c>
    </row>
    <row r="771">
      <c r="A771" t="n">
        <v>509715</v>
      </c>
      <c r="B771" s="6" t="n">
        <v>45941</v>
      </c>
      <c r="C771" t="n">
        <v>16578</v>
      </c>
      <c r="D771" t="inlineStr">
        <is>
          <t>Jaipur</t>
        </is>
      </c>
      <c r="E771" t="inlineStr">
        <is>
          <t>North</t>
        </is>
      </c>
      <c r="F771" t="inlineStr">
        <is>
          <t>Organic Search</t>
        </is>
      </c>
      <c r="G771" t="inlineStr">
        <is>
          <t>Mobile Web</t>
        </is>
      </c>
      <c r="H771" t="inlineStr">
        <is>
          <t>Credit Card</t>
        </is>
      </c>
      <c r="I771" t="inlineStr">
        <is>
          <t>Delivered</t>
        </is>
      </c>
      <c r="J771" t="n">
        <v>102</v>
      </c>
      <c r="K771" t="n">
        <v>1</v>
      </c>
      <c r="L771" s="7" t="n">
        <v>3674</v>
      </c>
      <c r="M771" s="7" t="n">
        <v>551.1</v>
      </c>
    </row>
    <row r="772">
      <c r="A772" t="n">
        <v>509716</v>
      </c>
      <c r="B772" s="6" t="n">
        <v>45941</v>
      </c>
      <c r="C772" t="n">
        <v>15953</v>
      </c>
      <c r="D772" t="inlineStr">
        <is>
          <t>Delhi</t>
        </is>
      </c>
      <c r="E772" t="inlineStr">
        <is>
          <t>North</t>
        </is>
      </c>
      <c r="F772" t="inlineStr">
        <is>
          <t>Organic Search</t>
        </is>
      </c>
      <c r="G772" t="inlineStr">
        <is>
          <t>Mobile App</t>
        </is>
      </c>
      <c r="H772" t="inlineStr">
        <is>
          <t>UPI</t>
        </is>
      </c>
      <c r="I772" t="inlineStr">
        <is>
          <t>Delivered</t>
        </is>
      </c>
      <c r="J772" t="n">
        <v>123</v>
      </c>
      <c r="K772" t="n">
        <v>1</v>
      </c>
      <c r="L772" s="7" t="n">
        <v>3464</v>
      </c>
      <c r="M772" s="7" t="n">
        <v>0</v>
      </c>
    </row>
    <row r="773">
      <c r="A773" t="n">
        <v>509716</v>
      </c>
      <c r="B773" s="6" t="n">
        <v>45941</v>
      </c>
      <c r="C773" t="n">
        <v>15953</v>
      </c>
      <c r="D773" t="inlineStr">
        <is>
          <t>Delhi</t>
        </is>
      </c>
      <c r="E773" t="inlineStr">
        <is>
          <t>North</t>
        </is>
      </c>
      <c r="F773" t="inlineStr">
        <is>
          <t>Organic Search</t>
        </is>
      </c>
      <c r="G773" t="inlineStr">
        <is>
          <t>Mobile App</t>
        </is>
      </c>
      <c r="H773" t="inlineStr">
        <is>
          <t>UPI</t>
        </is>
      </c>
      <c r="I773" t="inlineStr">
        <is>
          <t>Delivered</t>
        </is>
      </c>
      <c r="J773" t="n">
        <v>117</v>
      </c>
      <c r="K773" t="n">
        <v>2</v>
      </c>
      <c r="L773" s="7" t="n">
        <v>3149</v>
      </c>
      <c r="M773" s="7" t="n">
        <v>0</v>
      </c>
    </row>
    <row r="774">
      <c r="A774" t="n">
        <v>509716</v>
      </c>
      <c r="B774" s="6" t="n">
        <v>45941</v>
      </c>
      <c r="C774" t="n">
        <v>15953</v>
      </c>
      <c r="D774" t="inlineStr">
        <is>
          <t>Delhi</t>
        </is>
      </c>
      <c r="E774" t="inlineStr">
        <is>
          <t>North</t>
        </is>
      </c>
      <c r="F774" t="inlineStr">
        <is>
          <t>Organic Search</t>
        </is>
      </c>
      <c r="G774" t="inlineStr">
        <is>
          <t>Mobile App</t>
        </is>
      </c>
      <c r="H774" t="inlineStr">
        <is>
          <t>UPI</t>
        </is>
      </c>
      <c r="I774" t="inlineStr">
        <is>
          <t>Delivered</t>
        </is>
      </c>
      <c r="J774" t="n">
        <v>122</v>
      </c>
      <c r="K774" t="n">
        <v>1</v>
      </c>
      <c r="L774" s="7" t="n">
        <v>1994</v>
      </c>
      <c r="M774" s="7" t="n">
        <v>0</v>
      </c>
    </row>
    <row r="775">
      <c r="A775" t="n">
        <v>509717</v>
      </c>
      <c r="B775" s="6" t="n">
        <v>45941</v>
      </c>
      <c r="C775" t="n">
        <v>16722</v>
      </c>
      <c r="D775" t="inlineStr">
        <is>
          <t>Bengaluru</t>
        </is>
      </c>
      <c r="E775" t="inlineStr">
        <is>
          <t>South</t>
        </is>
      </c>
      <c r="F775" t="inlineStr">
        <is>
          <t>Organic Search</t>
        </is>
      </c>
      <c r="G775" t="inlineStr">
        <is>
          <t>Mobile Web</t>
        </is>
      </c>
      <c r="H775" t="inlineStr">
        <is>
          <t>Cash on Delivery</t>
        </is>
      </c>
      <c r="I775" t="inlineStr">
        <is>
          <t>Delivered</t>
        </is>
      </c>
      <c r="J775" t="n">
        <v>106</v>
      </c>
      <c r="K775" t="n">
        <v>2</v>
      </c>
      <c r="L775" s="7" t="n">
        <v>1574</v>
      </c>
      <c r="M775" s="7" t="n">
        <v>314.8</v>
      </c>
    </row>
    <row r="776">
      <c r="A776" t="n">
        <v>509717</v>
      </c>
      <c r="B776" s="6" t="n">
        <v>45941</v>
      </c>
      <c r="C776" t="n">
        <v>16722</v>
      </c>
      <c r="D776" t="inlineStr">
        <is>
          <t>Bengaluru</t>
        </is>
      </c>
      <c r="E776" t="inlineStr">
        <is>
          <t>South</t>
        </is>
      </c>
      <c r="F776" t="inlineStr">
        <is>
          <t>Organic Search</t>
        </is>
      </c>
      <c r="G776" t="inlineStr">
        <is>
          <t>Mobile Web</t>
        </is>
      </c>
      <c r="H776" t="inlineStr">
        <is>
          <t>Cash on Delivery</t>
        </is>
      </c>
      <c r="I776" t="inlineStr">
        <is>
          <t>Delivered</t>
        </is>
      </c>
      <c r="J776" t="n">
        <v>129</v>
      </c>
      <c r="K776" t="n">
        <v>2</v>
      </c>
      <c r="L776" s="7" t="n">
        <v>576</v>
      </c>
      <c r="M776" s="7" t="n">
        <v>115.2</v>
      </c>
    </row>
    <row r="777">
      <c r="A777" t="n">
        <v>509718</v>
      </c>
      <c r="B777" s="6" t="n">
        <v>45941</v>
      </c>
      <c r="C777" t="n">
        <v>16042</v>
      </c>
      <c r="D777" t="inlineStr">
        <is>
          <t>Bengaluru</t>
        </is>
      </c>
      <c r="E777" t="inlineStr">
        <is>
          <t>South</t>
        </is>
      </c>
      <c r="F777" t="inlineStr">
        <is>
          <t>Organic Search</t>
        </is>
      </c>
      <c r="G777" t="inlineStr">
        <is>
          <t>Mobile Web</t>
        </is>
      </c>
      <c r="H777" t="inlineStr">
        <is>
          <t>Cash on Delivery</t>
        </is>
      </c>
      <c r="I777" t="inlineStr">
        <is>
          <t>Delivered</t>
        </is>
      </c>
      <c r="J777" t="n">
        <v>108</v>
      </c>
      <c r="K777" t="n">
        <v>2</v>
      </c>
      <c r="L777" s="7" t="n">
        <v>419</v>
      </c>
      <c r="M777" s="7" t="n">
        <v>0</v>
      </c>
    </row>
    <row r="778">
      <c r="A778" t="n">
        <v>509718</v>
      </c>
      <c r="B778" s="6" t="n">
        <v>45941</v>
      </c>
      <c r="C778" t="n">
        <v>16042</v>
      </c>
      <c r="D778" t="inlineStr">
        <is>
          <t>Bengaluru</t>
        </is>
      </c>
      <c r="E778" t="inlineStr">
        <is>
          <t>South</t>
        </is>
      </c>
      <c r="F778" t="inlineStr">
        <is>
          <t>Organic Search</t>
        </is>
      </c>
      <c r="G778" t="inlineStr">
        <is>
          <t>Mobile Web</t>
        </is>
      </c>
      <c r="H778" t="inlineStr">
        <is>
          <t>Cash on Delivery</t>
        </is>
      </c>
      <c r="I778" t="inlineStr">
        <is>
          <t>Delivered</t>
        </is>
      </c>
      <c r="J778" t="n">
        <v>122</v>
      </c>
      <c r="K778" t="n">
        <v>3</v>
      </c>
      <c r="L778" s="7" t="n">
        <v>1994</v>
      </c>
      <c r="M778" s="7" t="n">
        <v>0</v>
      </c>
    </row>
    <row r="779">
      <c r="A779" t="n">
        <v>509719</v>
      </c>
      <c r="B779" s="6" t="n">
        <v>45941</v>
      </c>
      <c r="C779" t="n">
        <v>16742</v>
      </c>
      <c r="D779" t="inlineStr">
        <is>
          <t>Jaipur</t>
        </is>
      </c>
      <c r="E779" t="inlineStr">
        <is>
          <t>North</t>
        </is>
      </c>
      <c r="F779" t="inlineStr">
        <is>
          <t>Email</t>
        </is>
      </c>
      <c r="G779" t="inlineStr">
        <is>
          <t>Mobile Web</t>
        </is>
      </c>
      <c r="H779" t="inlineStr">
        <is>
          <t>Cash on Delivery</t>
        </is>
      </c>
      <c r="I779" t="inlineStr">
        <is>
          <t>Cancelled</t>
        </is>
      </c>
      <c r="J779" t="n">
        <v>118</v>
      </c>
      <c r="K779" t="n">
        <v>1</v>
      </c>
      <c r="L779" s="7" t="n">
        <v>944</v>
      </c>
      <c r="M779" s="7" t="n">
        <v>94.40000000000001</v>
      </c>
    </row>
    <row r="780">
      <c r="A780" t="n">
        <v>509719</v>
      </c>
      <c r="B780" s="6" t="n">
        <v>45941</v>
      </c>
      <c r="C780" t="n">
        <v>16742</v>
      </c>
      <c r="D780" t="inlineStr">
        <is>
          <t>Jaipur</t>
        </is>
      </c>
      <c r="E780" t="inlineStr">
        <is>
          <t>North</t>
        </is>
      </c>
      <c r="F780" t="inlineStr">
        <is>
          <t>Email</t>
        </is>
      </c>
      <c r="G780" t="inlineStr">
        <is>
          <t>Mobile Web</t>
        </is>
      </c>
      <c r="H780" t="inlineStr">
        <is>
          <t>Cash on Delivery</t>
        </is>
      </c>
      <c r="I780" t="inlineStr">
        <is>
          <t>Cancelled</t>
        </is>
      </c>
      <c r="J780" t="n">
        <v>140</v>
      </c>
      <c r="K780" t="n">
        <v>2</v>
      </c>
      <c r="L780" s="7" t="n">
        <v>629</v>
      </c>
      <c r="M780" s="7" t="n">
        <v>125.8</v>
      </c>
    </row>
    <row r="781">
      <c r="A781" t="n">
        <v>509720</v>
      </c>
      <c r="B781" s="6" t="n">
        <v>45941</v>
      </c>
      <c r="C781" t="n">
        <v>15584</v>
      </c>
      <c r="D781" t="inlineStr">
        <is>
          <t>Gurugram</t>
        </is>
      </c>
      <c r="E781" t="inlineStr">
        <is>
          <t>North</t>
        </is>
      </c>
      <c r="F781" t="inlineStr">
        <is>
          <t>Referral</t>
        </is>
      </c>
      <c r="G781" t="inlineStr">
        <is>
          <t>Mobile App</t>
        </is>
      </c>
      <c r="H781" t="inlineStr">
        <is>
          <t>UPI</t>
        </is>
      </c>
      <c r="I781" t="inlineStr">
        <is>
          <t>Delivered</t>
        </is>
      </c>
      <c r="J781" t="n">
        <v>128</v>
      </c>
      <c r="K781" t="n">
        <v>1</v>
      </c>
      <c r="L781" s="7" t="n">
        <v>1049</v>
      </c>
      <c r="M781" s="7" t="n">
        <v>0</v>
      </c>
    </row>
    <row r="782">
      <c r="A782" t="n">
        <v>509721</v>
      </c>
      <c r="B782" s="6" t="n">
        <v>45941</v>
      </c>
      <c r="C782" t="n">
        <v>16020</v>
      </c>
      <c r="D782" t="inlineStr">
        <is>
          <t>Bengaluru</t>
        </is>
      </c>
      <c r="E782" t="inlineStr">
        <is>
          <t>South</t>
        </is>
      </c>
      <c r="F782" t="inlineStr">
        <is>
          <t>Organic Search</t>
        </is>
      </c>
      <c r="G782" t="inlineStr">
        <is>
          <t>Mobile Web</t>
        </is>
      </c>
      <c r="H782" t="inlineStr">
        <is>
          <t>UPI</t>
        </is>
      </c>
      <c r="I782" t="inlineStr">
        <is>
          <t>Delivered</t>
        </is>
      </c>
      <c r="J782" t="n">
        <v>118</v>
      </c>
      <c r="K782" t="n">
        <v>1</v>
      </c>
      <c r="L782" s="7" t="n">
        <v>944</v>
      </c>
      <c r="M782" s="7" t="n">
        <v>94.40000000000001</v>
      </c>
    </row>
    <row r="783">
      <c r="A783" t="n">
        <v>509721</v>
      </c>
      <c r="B783" s="6" t="n">
        <v>45941</v>
      </c>
      <c r="C783" t="n">
        <v>16020</v>
      </c>
      <c r="D783" t="inlineStr">
        <is>
          <t>Bengaluru</t>
        </is>
      </c>
      <c r="E783" t="inlineStr">
        <is>
          <t>South</t>
        </is>
      </c>
      <c r="F783" t="inlineStr">
        <is>
          <t>Organic Search</t>
        </is>
      </c>
      <c r="G783" t="inlineStr">
        <is>
          <t>Mobile Web</t>
        </is>
      </c>
      <c r="H783" t="inlineStr">
        <is>
          <t>UPI</t>
        </is>
      </c>
      <c r="I783" t="inlineStr">
        <is>
          <t>Delivered</t>
        </is>
      </c>
      <c r="J783" t="n">
        <v>125</v>
      </c>
      <c r="K783" t="n">
        <v>1</v>
      </c>
      <c r="L783" s="7" t="n">
        <v>1364</v>
      </c>
      <c r="M783" s="7" t="n">
        <v>136.4</v>
      </c>
    </row>
    <row r="784">
      <c r="A784" t="n">
        <v>509721</v>
      </c>
      <c r="B784" s="6" t="n">
        <v>45941</v>
      </c>
      <c r="C784" t="n">
        <v>16020</v>
      </c>
      <c r="D784" t="inlineStr">
        <is>
          <t>Bengaluru</t>
        </is>
      </c>
      <c r="E784" t="inlineStr">
        <is>
          <t>South</t>
        </is>
      </c>
      <c r="F784" t="inlineStr">
        <is>
          <t>Organic Search</t>
        </is>
      </c>
      <c r="G784" t="inlineStr">
        <is>
          <t>Mobile Web</t>
        </is>
      </c>
      <c r="H784" t="inlineStr">
        <is>
          <t>UPI</t>
        </is>
      </c>
      <c r="I784" t="inlineStr">
        <is>
          <t>Delivered</t>
        </is>
      </c>
      <c r="J784" t="n">
        <v>117</v>
      </c>
      <c r="K784" t="n">
        <v>1</v>
      </c>
      <c r="L784" s="7" t="n">
        <v>3149</v>
      </c>
      <c r="M784" s="7" t="n">
        <v>314.9</v>
      </c>
    </row>
    <row r="785">
      <c r="A785" t="n">
        <v>509721</v>
      </c>
      <c r="B785" s="6" t="n">
        <v>45941</v>
      </c>
      <c r="C785" t="n">
        <v>16020</v>
      </c>
      <c r="D785" t="inlineStr">
        <is>
          <t>Bengaluru</t>
        </is>
      </c>
      <c r="E785" t="inlineStr">
        <is>
          <t>South</t>
        </is>
      </c>
      <c r="F785" t="inlineStr">
        <is>
          <t>Organic Search</t>
        </is>
      </c>
      <c r="G785" t="inlineStr">
        <is>
          <t>Mobile Web</t>
        </is>
      </c>
      <c r="H785" t="inlineStr">
        <is>
          <t>UPI</t>
        </is>
      </c>
      <c r="I785" t="inlineStr">
        <is>
          <t>Delivered</t>
        </is>
      </c>
      <c r="J785" t="n">
        <v>107</v>
      </c>
      <c r="K785" t="n">
        <v>1</v>
      </c>
      <c r="L785" s="7" t="n">
        <v>1259</v>
      </c>
      <c r="M785" s="7" t="n">
        <v>125.9</v>
      </c>
    </row>
    <row r="786">
      <c r="A786" t="n">
        <v>509722</v>
      </c>
      <c r="B786" s="6" t="n">
        <v>45941</v>
      </c>
      <c r="C786" t="n">
        <v>12393</v>
      </c>
      <c r="D786" t="inlineStr">
        <is>
          <t>Pune</t>
        </is>
      </c>
      <c r="E786" t="inlineStr">
        <is>
          <t>West</t>
        </is>
      </c>
      <c r="F786" t="inlineStr">
        <is>
          <t>Paid Search</t>
        </is>
      </c>
      <c r="G786" t="inlineStr">
        <is>
          <t>Mobile Web</t>
        </is>
      </c>
      <c r="H786" t="inlineStr">
        <is>
          <t>Cash on Delivery</t>
        </is>
      </c>
      <c r="I786" t="inlineStr">
        <is>
          <t>Delivered</t>
        </is>
      </c>
      <c r="J786" t="n">
        <v>122</v>
      </c>
      <c r="K786" t="n">
        <v>1</v>
      </c>
      <c r="L786" s="7" t="n">
        <v>1994</v>
      </c>
      <c r="M786" s="7" t="n">
        <v>0</v>
      </c>
    </row>
    <row r="787">
      <c r="A787" t="n">
        <v>509722</v>
      </c>
      <c r="B787" s="6" t="n">
        <v>45941</v>
      </c>
      <c r="C787" t="n">
        <v>12393</v>
      </c>
      <c r="D787" t="inlineStr">
        <is>
          <t>Pune</t>
        </is>
      </c>
      <c r="E787" t="inlineStr">
        <is>
          <t>West</t>
        </is>
      </c>
      <c r="F787" t="inlineStr">
        <is>
          <t>Paid Search</t>
        </is>
      </c>
      <c r="G787" t="inlineStr">
        <is>
          <t>Mobile Web</t>
        </is>
      </c>
      <c r="H787" t="inlineStr">
        <is>
          <t>Cash on Delivery</t>
        </is>
      </c>
      <c r="I787" t="inlineStr">
        <is>
          <t>Delivered</t>
        </is>
      </c>
      <c r="J787" t="n">
        <v>138</v>
      </c>
      <c r="K787" t="n">
        <v>1</v>
      </c>
      <c r="L787" s="7" t="n">
        <v>419</v>
      </c>
      <c r="M787" s="7" t="n">
        <v>0</v>
      </c>
    </row>
    <row r="788">
      <c r="A788" t="n">
        <v>509723</v>
      </c>
      <c r="B788" s="6" t="n">
        <v>45941</v>
      </c>
      <c r="C788" t="n">
        <v>16632</v>
      </c>
      <c r="D788" t="inlineStr">
        <is>
          <t>Chandigarh</t>
        </is>
      </c>
      <c r="E788" t="inlineStr">
        <is>
          <t>North</t>
        </is>
      </c>
      <c r="F788" t="inlineStr">
        <is>
          <t>Paid Search</t>
        </is>
      </c>
      <c r="G788" t="inlineStr">
        <is>
          <t>Desktop</t>
        </is>
      </c>
      <c r="H788" t="inlineStr">
        <is>
          <t>UPI</t>
        </is>
      </c>
      <c r="I788" t="inlineStr">
        <is>
          <t>Delivered</t>
        </is>
      </c>
      <c r="J788" t="n">
        <v>118</v>
      </c>
      <c r="K788" t="n">
        <v>2</v>
      </c>
      <c r="L788" s="7" t="n">
        <v>944</v>
      </c>
      <c r="M788" s="7" t="n">
        <v>283.2</v>
      </c>
    </row>
    <row r="789">
      <c r="A789" t="n">
        <v>509724</v>
      </c>
      <c r="B789" s="6" t="n">
        <v>45941</v>
      </c>
      <c r="C789" t="n">
        <v>16379</v>
      </c>
      <c r="D789" t="inlineStr">
        <is>
          <t>Jaipur</t>
        </is>
      </c>
      <c r="E789" t="inlineStr">
        <is>
          <t>North</t>
        </is>
      </c>
      <c r="F789" t="inlineStr">
        <is>
          <t>Paid Social</t>
        </is>
      </c>
      <c r="G789" t="inlineStr">
        <is>
          <t>Mobile Web</t>
        </is>
      </c>
      <c r="H789" t="inlineStr">
        <is>
          <t>UPI</t>
        </is>
      </c>
      <c r="I789" t="inlineStr">
        <is>
          <t>Delivered</t>
        </is>
      </c>
      <c r="J789" t="n">
        <v>133</v>
      </c>
      <c r="K789" t="n">
        <v>1</v>
      </c>
      <c r="L789" s="7" t="n">
        <v>419</v>
      </c>
      <c r="M789" s="7" t="n">
        <v>0</v>
      </c>
    </row>
    <row r="790">
      <c r="A790" t="n">
        <v>509724</v>
      </c>
      <c r="B790" s="6" t="n">
        <v>45941</v>
      </c>
      <c r="C790" t="n">
        <v>16379</v>
      </c>
      <c r="D790" t="inlineStr">
        <is>
          <t>Jaipur</t>
        </is>
      </c>
      <c r="E790" t="inlineStr">
        <is>
          <t>North</t>
        </is>
      </c>
      <c r="F790" t="inlineStr">
        <is>
          <t>Paid Social</t>
        </is>
      </c>
      <c r="G790" t="inlineStr">
        <is>
          <t>Mobile Web</t>
        </is>
      </c>
      <c r="H790" t="inlineStr">
        <is>
          <t>UPI</t>
        </is>
      </c>
      <c r="I790" t="inlineStr">
        <is>
          <t>Delivered</t>
        </is>
      </c>
      <c r="J790" t="n">
        <v>129</v>
      </c>
      <c r="K790" t="n">
        <v>1</v>
      </c>
      <c r="L790" s="7" t="n">
        <v>576</v>
      </c>
      <c r="M790" s="7" t="n">
        <v>0</v>
      </c>
    </row>
    <row r="791">
      <c r="A791" t="n">
        <v>509725</v>
      </c>
      <c r="B791" s="6" t="n">
        <v>45941</v>
      </c>
      <c r="C791" t="n">
        <v>16109</v>
      </c>
      <c r="D791" t="inlineStr">
        <is>
          <t>Pune</t>
        </is>
      </c>
      <c r="E791" t="inlineStr">
        <is>
          <t>West</t>
        </is>
      </c>
      <c r="F791" t="inlineStr">
        <is>
          <t>Organic Search</t>
        </is>
      </c>
      <c r="G791" t="inlineStr">
        <is>
          <t>Desktop</t>
        </is>
      </c>
      <c r="H791" t="inlineStr">
        <is>
          <t>UPI</t>
        </is>
      </c>
      <c r="I791" t="inlineStr">
        <is>
          <t>Returned</t>
        </is>
      </c>
      <c r="J791" t="n">
        <v>115</v>
      </c>
      <c r="K791" t="n">
        <v>2</v>
      </c>
      <c r="L791" s="7" t="n">
        <v>4199</v>
      </c>
      <c r="M791" s="7" t="n">
        <v>0</v>
      </c>
    </row>
    <row r="792">
      <c r="A792" t="n">
        <v>509725</v>
      </c>
      <c r="B792" s="6" t="n">
        <v>45941</v>
      </c>
      <c r="C792" t="n">
        <v>16109</v>
      </c>
      <c r="D792" t="inlineStr">
        <is>
          <t>Pune</t>
        </is>
      </c>
      <c r="E792" t="inlineStr">
        <is>
          <t>West</t>
        </is>
      </c>
      <c r="F792" t="inlineStr">
        <is>
          <t>Organic Search</t>
        </is>
      </c>
      <c r="G792" t="inlineStr">
        <is>
          <t>Desktop</t>
        </is>
      </c>
      <c r="H792" t="inlineStr">
        <is>
          <t>UPI</t>
        </is>
      </c>
      <c r="I792" t="inlineStr">
        <is>
          <t>Returned</t>
        </is>
      </c>
      <c r="J792" t="n">
        <v>129</v>
      </c>
      <c r="K792" t="n">
        <v>3</v>
      </c>
      <c r="L792" s="7" t="n">
        <v>576</v>
      </c>
      <c r="M792" s="7" t="n">
        <v>0</v>
      </c>
    </row>
    <row r="793">
      <c r="A793" t="n">
        <v>509726</v>
      </c>
      <c r="B793" s="6" t="n">
        <v>45941</v>
      </c>
      <c r="C793" t="n">
        <v>11552</v>
      </c>
      <c r="D793" t="inlineStr">
        <is>
          <t>Bengaluru</t>
        </is>
      </c>
      <c r="E793" t="inlineStr">
        <is>
          <t>South</t>
        </is>
      </c>
      <c r="F793" t="inlineStr">
        <is>
          <t>Paid Search</t>
        </is>
      </c>
      <c r="G793" t="inlineStr">
        <is>
          <t>Mobile App</t>
        </is>
      </c>
      <c r="H793" t="inlineStr">
        <is>
          <t>Credit Card</t>
        </is>
      </c>
      <c r="I793" t="inlineStr">
        <is>
          <t>Delivered</t>
        </is>
      </c>
      <c r="J793" t="n">
        <v>116</v>
      </c>
      <c r="K793" t="n">
        <v>1</v>
      </c>
      <c r="L793" s="7" t="n">
        <v>2624</v>
      </c>
      <c r="M793" s="7" t="n">
        <v>0</v>
      </c>
    </row>
    <row r="794">
      <c r="A794" t="n">
        <v>509727</v>
      </c>
      <c r="B794" s="6" t="n">
        <v>45941</v>
      </c>
      <c r="C794" t="n">
        <v>16223</v>
      </c>
      <c r="D794" t="inlineStr">
        <is>
          <t>Kolkata</t>
        </is>
      </c>
      <c r="E794" t="inlineStr">
        <is>
          <t>East</t>
        </is>
      </c>
      <c r="F794" t="inlineStr">
        <is>
          <t>Organic Search</t>
        </is>
      </c>
      <c r="G794" t="inlineStr">
        <is>
          <t>Mobile Web</t>
        </is>
      </c>
      <c r="H794" t="inlineStr">
        <is>
          <t>UPI</t>
        </is>
      </c>
      <c r="I794" t="inlineStr">
        <is>
          <t>Delivered</t>
        </is>
      </c>
      <c r="J794" t="n">
        <v>114</v>
      </c>
      <c r="K794" t="n">
        <v>1</v>
      </c>
      <c r="L794" s="7" t="n">
        <v>1259</v>
      </c>
      <c r="M794" s="7" t="n">
        <v>125.9</v>
      </c>
    </row>
    <row r="795">
      <c r="A795" t="n">
        <v>509728</v>
      </c>
      <c r="B795" s="6" t="n">
        <v>45941</v>
      </c>
      <c r="C795" t="n">
        <v>16469</v>
      </c>
      <c r="D795" t="inlineStr">
        <is>
          <t>Delhi</t>
        </is>
      </c>
      <c r="E795" t="inlineStr">
        <is>
          <t>North</t>
        </is>
      </c>
      <c r="F795" t="inlineStr">
        <is>
          <t>Email</t>
        </is>
      </c>
      <c r="G795" t="inlineStr">
        <is>
          <t>Desktop</t>
        </is>
      </c>
      <c r="H795" t="inlineStr">
        <is>
          <t>UPI</t>
        </is>
      </c>
      <c r="I795" t="inlineStr">
        <is>
          <t>Delivered</t>
        </is>
      </c>
      <c r="J795" t="n">
        <v>132</v>
      </c>
      <c r="K795" t="n">
        <v>2</v>
      </c>
      <c r="L795" s="7" t="n">
        <v>471</v>
      </c>
      <c r="M795" s="7" t="n">
        <v>0</v>
      </c>
    </row>
    <row r="796">
      <c r="A796" t="n">
        <v>509729</v>
      </c>
      <c r="B796" s="6" t="n">
        <v>45941</v>
      </c>
      <c r="C796" t="n">
        <v>15704</v>
      </c>
      <c r="D796" t="inlineStr">
        <is>
          <t>Lucknow</t>
        </is>
      </c>
      <c r="E796" t="inlineStr">
        <is>
          <t>North</t>
        </is>
      </c>
      <c r="F796" t="inlineStr">
        <is>
          <t>Referral</t>
        </is>
      </c>
      <c r="G796" t="inlineStr">
        <is>
          <t>Mobile App</t>
        </is>
      </c>
      <c r="H796" t="inlineStr">
        <is>
          <t>Cash on Delivery</t>
        </is>
      </c>
      <c r="I796" t="inlineStr">
        <is>
          <t>Delivered</t>
        </is>
      </c>
      <c r="J796" t="n">
        <v>127</v>
      </c>
      <c r="K796" t="n">
        <v>1</v>
      </c>
      <c r="L796" s="7" t="n">
        <v>681</v>
      </c>
      <c r="M796" s="7" t="n">
        <v>68.09999999999999</v>
      </c>
    </row>
    <row r="797">
      <c r="A797" t="n">
        <v>509730</v>
      </c>
      <c r="B797" s="6" t="n">
        <v>45941</v>
      </c>
      <c r="C797" t="n">
        <v>14245</v>
      </c>
      <c r="D797" t="inlineStr">
        <is>
          <t>Lucknow</t>
        </is>
      </c>
      <c r="E797" t="inlineStr">
        <is>
          <t>North</t>
        </is>
      </c>
      <c r="F797" t="inlineStr">
        <is>
          <t>Organic Search</t>
        </is>
      </c>
      <c r="G797" t="inlineStr">
        <is>
          <t>Mobile App</t>
        </is>
      </c>
      <c r="H797" t="inlineStr">
        <is>
          <t>Cash on Delivery</t>
        </is>
      </c>
      <c r="I797" t="inlineStr">
        <is>
          <t>Delivered</t>
        </is>
      </c>
      <c r="J797" t="n">
        <v>104</v>
      </c>
      <c r="K797" t="n">
        <v>1</v>
      </c>
      <c r="L797" s="7" t="n">
        <v>5249</v>
      </c>
      <c r="M797" s="7" t="n">
        <v>0</v>
      </c>
    </row>
    <row r="798">
      <c r="A798" t="n">
        <v>509731</v>
      </c>
      <c r="B798" s="6" t="n">
        <v>45941</v>
      </c>
      <c r="C798" t="n">
        <v>15334</v>
      </c>
      <c r="D798" t="inlineStr">
        <is>
          <t>Bengaluru</t>
        </is>
      </c>
      <c r="E798" t="inlineStr">
        <is>
          <t>South</t>
        </is>
      </c>
      <c r="F798" t="inlineStr">
        <is>
          <t>Organic Search</t>
        </is>
      </c>
      <c r="G798" t="inlineStr">
        <is>
          <t>Mobile App</t>
        </is>
      </c>
      <c r="H798" t="inlineStr">
        <is>
          <t>UPI</t>
        </is>
      </c>
      <c r="I798" t="inlineStr">
        <is>
          <t>Delivered</t>
        </is>
      </c>
      <c r="J798" t="n">
        <v>137</v>
      </c>
      <c r="K798" t="n">
        <v>1</v>
      </c>
      <c r="L798" s="7" t="n">
        <v>261</v>
      </c>
      <c r="M798" s="7" t="n">
        <v>26.1</v>
      </c>
    </row>
    <row r="799">
      <c r="A799" t="n">
        <v>509731</v>
      </c>
      <c r="B799" s="6" t="n">
        <v>45941</v>
      </c>
      <c r="C799" t="n">
        <v>15334</v>
      </c>
      <c r="D799" t="inlineStr">
        <is>
          <t>Bengaluru</t>
        </is>
      </c>
      <c r="E799" t="inlineStr">
        <is>
          <t>South</t>
        </is>
      </c>
      <c r="F799" t="inlineStr">
        <is>
          <t>Organic Search</t>
        </is>
      </c>
      <c r="G799" t="inlineStr">
        <is>
          <t>Mobile App</t>
        </is>
      </c>
      <c r="H799" t="inlineStr">
        <is>
          <t>UPI</t>
        </is>
      </c>
      <c r="I799" t="inlineStr">
        <is>
          <t>Delivered</t>
        </is>
      </c>
      <c r="J799" t="n">
        <v>122</v>
      </c>
      <c r="K799" t="n">
        <v>1</v>
      </c>
      <c r="L799" s="7" t="n">
        <v>1994</v>
      </c>
      <c r="M799" s="7" t="n">
        <v>199.4</v>
      </c>
    </row>
    <row r="800">
      <c r="A800" t="n">
        <v>509731</v>
      </c>
      <c r="B800" s="6" t="n">
        <v>45941</v>
      </c>
      <c r="C800" t="n">
        <v>15334</v>
      </c>
      <c r="D800" t="inlineStr">
        <is>
          <t>Bengaluru</t>
        </is>
      </c>
      <c r="E800" t="inlineStr">
        <is>
          <t>South</t>
        </is>
      </c>
      <c r="F800" t="inlineStr">
        <is>
          <t>Organic Search</t>
        </is>
      </c>
      <c r="G800" t="inlineStr">
        <is>
          <t>Mobile App</t>
        </is>
      </c>
      <c r="H800" t="inlineStr">
        <is>
          <t>UPI</t>
        </is>
      </c>
      <c r="I800" t="inlineStr">
        <is>
          <t>Delivered</t>
        </is>
      </c>
      <c r="J800" t="n">
        <v>117</v>
      </c>
      <c r="K800" t="n">
        <v>1</v>
      </c>
      <c r="L800" s="7" t="n">
        <v>3149</v>
      </c>
      <c r="M800" s="7" t="n">
        <v>314.9</v>
      </c>
    </row>
    <row r="801">
      <c r="A801" t="n">
        <v>509732</v>
      </c>
      <c r="B801" s="6" t="n">
        <v>45941</v>
      </c>
      <c r="C801" t="n">
        <v>14735</v>
      </c>
      <c r="D801" t="inlineStr">
        <is>
          <t>Kochi</t>
        </is>
      </c>
      <c r="E801" t="inlineStr">
        <is>
          <t>South</t>
        </is>
      </c>
      <c r="F801" t="inlineStr">
        <is>
          <t>Paid Search</t>
        </is>
      </c>
      <c r="G801" t="inlineStr">
        <is>
          <t>Mobile App</t>
        </is>
      </c>
      <c r="H801" t="inlineStr">
        <is>
          <t>Credit Card</t>
        </is>
      </c>
      <c r="I801" t="inlineStr">
        <is>
          <t>Delivered</t>
        </is>
      </c>
      <c r="J801" t="n">
        <v>147</v>
      </c>
      <c r="K801" t="n">
        <v>1</v>
      </c>
      <c r="L801" s="7" t="n">
        <v>1364</v>
      </c>
      <c r="M801" s="7" t="n">
        <v>0</v>
      </c>
    </row>
    <row r="802">
      <c r="A802" t="n">
        <v>509732</v>
      </c>
      <c r="B802" s="6" t="n">
        <v>45941</v>
      </c>
      <c r="C802" t="n">
        <v>14735</v>
      </c>
      <c r="D802" t="inlineStr">
        <is>
          <t>Kochi</t>
        </is>
      </c>
      <c r="E802" t="inlineStr">
        <is>
          <t>South</t>
        </is>
      </c>
      <c r="F802" t="inlineStr">
        <is>
          <t>Paid Search</t>
        </is>
      </c>
      <c r="G802" t="inlineStr">
        <is>
          <t>Mobile App</t>
        </is>
      </c>
      <c r="H802" t="inlineStr">
        <is>
          <t>Credit Card</t>
        </is>
      </c>
      <c r="I802" t="inlineStr">
        <is>
          <t>Delivered</t>
        </is>
      </c>
      <c r="J802" t="n">
        <v>129</v>
      </c>
      <c r="K802" t="n">
        <v>2</v>
      </c>
      <c r="L802" s="7" t="n">
        <v>576</v>
      </c>
      <c r="M802" s="7" t="n">
        <v>0</v>
      </c>
    </row>
    <row r="803">
      <c r="A803" t="n">
        <v>509733</v>
      </c>
      <c r="B803" s="6" t="n">
        <v>45941</v>
      </c>
      <c r="C803" t="n">
        <v>15693</v>
      </c>
      <c r="D803" t="inlineStr">
        <is>
          <t>Hyderabad</t>
        </is>
      </c>
      <c r="E803" t="inlineStr">
        <is>
          <t>South</t>
        </is>
      </c>
      <c r="F803" t="inlineStr">
        <is>
          <t>Affiliate</t>
        </is>
      </c>
      <c r="G803" t="inlineStr">
        <is>
          <t>Mobile App</t>
        </is>
      </c>
      <c r="H803" t="inlineStr">
        <is>
          <t>Credit Card</t>
        </is>
      </c>
      <c r="I803" t="inlineStr">
        <is>
          <t>Delivered</t>
        </is>
      </c>
      <c r="J803" t="n">
        <v>124</v>
      </c>
      <c r="K803" t="n">
        <v>1</v>
      </c>
      <c r="L803" s="7" t="n">
        <v>1154</v>
      </c>
      <c r="M803" s="7" t="n">
        <v>115.4</v>
      </c>
    </row>
    <row r="804">
      <c r="A804" t="n">
        <v>509733</v>
      </c>
      <c r="B804" s="6" t="n">
        <v>45941</v>
      </c>
      <c r="C804" t="n">
        <v>15693</v>
      </c>
      <c r="D804" t="inlineStr">
        <is>
          <t>Hyderabad</t>
        </is>
      </c>
      <c r="E804" t="inlineStr">
        <is>
          <t>South</t>
        </is>
      </c>
      <c r="F804" t="inlineStr">
        <is>
          <t>Affiliate</t>
        </is>
      </c>
      <c r="G804" t="inlineStr">
        <is>
          <t>Mobile App</t>
        </is>
      </c>
      <c r="H804" t="inlineStr">
        <is>
          <t>Credit Card</t>
        </is>
      </c>
      <c r="I804" t="inlineStr">
        <is>
          <t>Delivered</t>
        </is>
      </c>
      <c r="J804" t="n">
        <v>129</v>
      </c>
      <c r="K804" t="n">
        <v>1</v>
      </c>
      <c r="L804" s="7" t="n">
        <v>576</v>
      </c>
      <c r="M804" s="7" t="n">
        <v>57.6</v>
      </c>
    </row>
    <row r="805">
      <c r="A805" t="n">
        <v>509734</v>
      </c>
      <c r="B805" s="6" t="n">
        <v>45941</v>
      </c>
      <c r="C805" t="n">
        <v>16755</v>
      </c>
      <c r="D805" t="inlineStr">
        <is>
          <t>Jaipur</t>
        </is>
      </c>
      <c r="E805" t="inlineStr">
        <is>
          <t>North</t>
        </is>
      </c>
      <c r="F805" t="inlineStr">
        <is>
          <t>Paid Social</t>
        </is>
      </c>
      <c r="G805" t="inlineStr">
        <is>
          <t>Mobile Web</t>
        </is>
      </c>
      <c r="H805" t="inlineStr">
        <is>
          <t>Net Banking</t>
        </is>
      </c>
      <c r="I805" t="inlineStr">
        <is>
          <t>Delivered</t>
        </is>
      </c>
      <c r="J805" t="n">
        <v>143</v>
      </c>
      <c r="K805" t="n">
        <v>1</v>
      </c>
      <c r="L805" s="7" t="n">
        <v>839</v>
      </c>
      <c r="M805" s="7" t="n">
        <v>83.90000000000001</v>
      </c>
    </row>
    <row r="806">
      <c r="A806" t="n">
        <v>509735</v>
      </c>
      <c r="B806" s="6" t="n">
        <v>45941</v>
      </c>
      <c r="C806" t="n">
        <v>16761</v>
      </c>
      <c r="D806" t="inlineStr">
        <is>
          <t>Delhi</t>
        </is>
      </c>
      <c r="E806" t="inlineStr">
        <is>
          <t>North</t>
        </is>
      </c>
      <c r="F806" t="inlineStr">
        <is>
          <t>Affiliate</t>
        </is>
      </c>
      <c r="G806" t="inlineStr">
        <is>
          <t>Desktop</t>
        </is>
      </c>
      <c r="H806" t="inlineStr">
        <is>
          <t>Debit Card</t>
        </is>
      </c>
      <c r="I806" t="inlineStr">
        <is>
          <t>Delivered</t>
        </is>
      </c>
      <c r="J806" t="n">
        <v>130</v>
      </c>
      <c r="K806" t="n">
        <v>1</v>
      </c>
      <c r="L806" s="7" t="n">
        <v>734</v>
      </c>
      <c r="M806" s="7" t="n">
        <v>73.40000000000001</v>
      </c>
    </row>
    <row r="807">
      <c r="A807" t="n">
        <v>509735</v>
      </c>
      <c r="B807" s="6" t="n">
        <v>45941</v>
      </c>
      <c r="C807" t="n">
        <v>16761</v>
      </c>
      <c r="D807" t="inlineStr">
        <is>
          <t>Delhi</t>
        </is>
      </c>
      <c r="E807" t="inlineStr">
        <is>
          <t>North</t>
        </is>
      </c>
      <c r="F807" t="inlineStr">
        <is>
          <t>Affiliate</t>
        </is>
      </c>
      <c r="G807" t="inlineStr">
        <is>
          <t>Desktop</t>
        </is>
      </c>
      <c r="H807" t="inlineStr">
        <is>
          <t>Debit Card</t>
        </is>
      </c>
      <c r="I807" t="inlineStr">
        <is>
          <t>Delivered</t>
        </is>
      </c>
      <c r="J807" t="n">
        <v>102</v>
      </c>
      <c r="K807" t="n">
        <v>1</v>
      </c>
      <c r="L807" s="7" t="n">
        <v>3674</v>
      </c>
      <c r="M807" s="7" t="n">
        <v>367.4</v>
      </c>
    </row>
    <row r="808">
      <c r="A808" t="n">
        <v>509735</v>
      </c>
      <c r="B808" s="6" t="n">
        <v>45941</v>
      </c>
      <c r="C808" t="n">
        <v>16761</v>
      </c>
      <c r="D808" t="inlineStr">
        <is>
          <t>Delhi</t>
        </is>
      </c>
      <c r="E808" t="inlineStr">
        <is>
          <t>North</t>
        </is>
      </c>
      <c r="F808" t="inlineStr">
        <is>
          <t>Affiliate</t>
        </is>
      </c>
      <c r="G808" t="inlineStr">
        <is>
          <t>Desktop</t>
        </is>
      </c>
      <c r="H808" t="inlineStr">
        <is>
          <t>Debit Card</t>
        </is>
      </c>
      <c r="I808" t="inlineStr">
        <is>
          <t>Delivered</t>
        </is>
      </c>
      <c r="J808" t="n">
        <v>111</v>
      </c>
      <c r="K808" t="n">
        <v>3</v>
      </c>
      <c r="L808" s="7" t="n">
        <v>524</v>
      </c>
      <c r="M808" s="7" t="n">
        <v>157.2</v>
      </c>
    </row>
    <row r="809">
      <c r="A809" t="n">
        <v>509735</v>
      </c>
      <c r="B809" s="6" t="n">
        <v>45941</v>
      </c>
      <c r="C809" t="n">
        <v>16761</v>
      </c>
      <c r="D809" t="inlineStr">
        <is>
          <t>Delhi</t>
        </is>
      </c>
      <c r="E809" t="inlineStr">
        <is>
          <t>North</t>
        </is>
      </c>
      <c r="F809" t="inlineStr">
        <is>
          <t>Affiliate</t>
        </is>
      </c>
      <c r="G809" t="inlineStr">
        <is>
          <t>Desktop</t>
        </is>
      </c>
      <c r="H809" t="inlineStr">
        <is>
          <t>Debit Card</t>
        </is>
      </c>
      <c r="I809" t="inlineStr">
        <is>
          <t>Delivered</t>
        </is>
      </c>
      <c r="J809" t="n">
        <v>129</v>
      </c>
      <c r="K809" t="n">
        <v>3</v>
      </c>
      <c r="L809" s="7" t="n">
        <v>576</v>
      </c>
      <c r="M809" s="7" t="n">
        <v>172.8</v>
      </c>
    </row>
    <row r="810">
      <c r="A810" t="n">
        <v>509736</v>
      </c>
      <c r="B810" s="6" t="n">
        <v>45941</v>
      </c>
      <c r="C810" t="n">
        <v>10211</v>
      </c>
      <c r="D810" t="inlineStr">
        <is>
          <t>Noida</t>
        </is>
      </c>
      <c r="E810" t="inlineStr">
        <is>
          <t>North</t>
        </is>
      </c>
      <c r="F810" t="inlineStr">
        <is>
          <t>Organic Search</t>
        </is>
      </c>
      <c r="G810" t="inlineStr">
        <is>
          <t>Mobile Web</t>
        </is>
      </c>
      <c r="H810" t="inlineStr">
        <is>
          <t>Cash on Delivery</t>
        </is>
      </c>
      <c r="I810" t="inlineStr">
        <is>
          <t>Delivered</t>
        </is>
      </c>
      <c r="J810" t="n">
        <v>130</v>
      </c>
      <c r="K810" t="n">
        <v>2</v>
      </c>
      <c r="L810" s="7" t="n">
        <v>734</v>
      </c>
      <c r="M810" s="7" t="n">
        <v>146.8</v>
      </c>
    </row>
    <row r="811">
      <c r="A811" t="n">
        <v>509737</v>
      </c>
      <c r="B811" s="6" t="n">
        <v>45941</v>
      </c>
      <c r="C811" t="n">
        <v>15184</v>
      </c>
      <c r="D811" t="inlineStr">
        <is>
          <t>Kolkata</t>
        </is>
      </c>
      <c r="E811" t="inlineStr">
        <is>
          <t>East</t>
        </is>
      </c>
      <c r="F811" t="inlineStr">
        <is>
          <t>Email</t>
        </is>
      </c>
      <c r="G811" t="inlineStr">
        <is>
          <t>Mobile Web</t>
        </is>
      </c>
      <c r="H811" t="inlineStr">
        <is>
          <t>UPI</t>
        </is>
      </c>
      <c r="I811" t="inlineStr">
        <is>
          <t>Delivered</t>
        </is>
      </c>
      <c r="J811" t="n">
        <v>118</v>
      </c>
      <c r="K811" t="n">
        <v>3</v>
      </c>
      <c r="L811" s="7" t="n">
        <v>944</v>
      </c>
      <c r="M811" s="7" t="n">
        <v>0</v>
      </c>
    </row>
    <row r="812">
      <c r="A812" t="n">
        <v>509737</v>
      </c>
      <c r="B812" s="6" t="n">
        <v>45941</v>
      </c>
      <c r="C812" t="n">
        <v>15184</v>
      </c>
      <c r="D812" t="inlineStr">
        <is>
          <t>Kolkata</t>
        </is>
      </c>
      <c r="E812" t="inlineStr">
        <is>
          <t>East</t>
        </is>
      </c>
      <c r="F812" t="inlineStr">
        <is>
          <t>Email</t>
        </is>
      </c>
      <c r="G812" t="inlineStr">
        <is>
          <t>Mobile Web</t>
        </is>
      </c>
      <c r="H812" t="inlineStr">
        <is>
          <t>UPI</t>
        </is>
      </c>
      <c r="I812" t="inlineStr">
        <is>
          <t>Delivered</t>
        </is>
      </c>
      <c r="J812" t="n">
        <v>124</v>
      </c>
      <c r="K812" t="n">
        <v>1</v>
      </c>
      <c r="L812" s="7" t="n">
        <v>1154</v>
      </c>
      <c r="M812" s="7" t="n">
        <v>0</v>
      </c>
    </row>
    <row r="813">
      <c r="A813" t="n">
        <v>509738</v>
      </c>
      <c r="B813" s="6" t="n">
        <v>45941</v>
      </c>
      <c r="C813" t="n">
        <v>14858</v>
      </c>
      <c r="D813" t="inlineStr">
        <is>
          <t>Lucknow</t>
        </is>
      </c>
      <c r="E813" t="inlineStr">
        <is>
          <t>North</t>
        </is>
      </c>
      <c r="F813" t="inlineStr">
        <is>
          <t>Referral</t>
        </is>
      </c>
      <c r="G813" t="inlineStr">
        <is>
          <t>Mobile App</t>
        </is>
      </c>
      <c r="H813" t="inlineStr">
        <is>
          <t>UPI</t>
        </is>
      </c>
      <c r="I813" t="inlineStr">
        <is>
          <t>Delivered</t>
        </is>
      </c>
      <c r="J813" t="n">
        <v>123</v>
      </c>
      <c r="K813" t="n">
        <v>2</v>
      </c>
      <c r="L813" s="7" t="n">
        <v>3464</v>
      </c>
      <c r="M813" s="7" t="n">
        <v>692.8</v>
      </c>
    </row>
    <row r="814">
      <c r="A814" t="n">
        <v>509738</v>
      </c>
      <c r="B814" s="6" t="n">
        <v>45941</v>
      </c>
      <c r="C814" t="n">
        <v>14858</v>
      </c>
      <c r="D814" t="inlineStr">
        <is>
          <t>Lucknow</t>
        </is>
      </c>
      <c r="E814" t="inlineStr">
        <is>
          <t>North</t>
        </is>
      </c>
      <c r="F814" t="inlineStr">
        <is>
          <t>Referral</t>
        </is>
      </c>
      <c r="G814" t="inlineStr">
        <is>
          <t>Mobile App</t>
        </is>
      </c>
      <c r="H814" t="inlineStr">
        <is>
          <t>UPI</t>
        </is>
      </c>
      <c r="I814" t="inlineStr">
        <is>
          <t>Delivered</t>
        </is>
      </c>
      <c r="J814" t="n">
        <v>129</v>
      </c>
      <c r="K814" t="n">
        <v>1</v>
      </c>
      <c r="L814" s="7" t="n">
        <v>576</v>
      </c>
      <c r="M814" s="7" t="n">
        <v>57.6</v>
      </c>
    </row>
    <row r="815">
      <c r="A815" t="n">
        <v>509739</v>
      </c>
      <c r="B815" s="6" t="n">
        <v>45941</v>
      </c>
      <c r="C815" t="n">
        <v>10107</v>
      </c>
      <c r="D815" t="inlineStr">
        <is>
          <t>Gurugram</t>
        </is>
      </c>
      <c r="E815" t="inlineStr">
        <is>
          <t>North</t>
        </is>
      </c>
      <c r="F815" t="inlineStr">
        <is>
          <t>Organic Search</t>
        </is>
      </c>
      <c r="G815" t="inlineStr">
        <is>
          <t>Desktop</t>
        </is>
      </c>
      <c r="H815" t="inlineStr">
        <is>
          <t>UPI</t>
        </is>
      </c>
      <c r="I815" t="inlineStr">
        <is>
          <t>Delivered</t>
        </is>
      </c>
      <c r="J815" t="n">
        <v>128</v>
      </c>
      <c r="K815" t="n">
        <v>2</v>
      </c>
      <c r="L815" s="7" t="n">
        <v>1049</v>
      </c>
      <c r="M815" s="7" t="n">
        <v>0</v>
      </c>
    </row>
    <row r="816">
      <c r="A816" t="n">
        <v>509739</v>
      </c>
      <c r="B816" s="6" t="n">
        <v>45941</v>
      </c>
      <c r="C816" t="n">
        <v>10107</v>
      </c>
      <c r="D816" t="inlineStr">
        <is>
          <t>Gurugram</t>
        </is>
      </c>
      <c r="E816" t="inlineStr">
        <is>
          <t>North</t>
        </is>
      </c>
      <c r="F816" t="inlineStr">
        <is>
          <t>Organic Search</t>
        </is>
      </c>
      <c r="G816" t="inlineStr">
        <is>
          <t>Desktop</t>
        </is>
      </c>
      <c r="H816" t="inlineStr">
        <is>
          <t>UPI</t>
        </is>
      </c>
      <c r="I816" t="inlineStr">
        <is>
          <t>Delivered</t>
        </is>
      </c>
      <c r="J816" t="n">
        <v>146</v>
      </c>
      <c r="K816" t="n">
        <v>1</v>
      </c>
      <c r="L816" s="7" t="n">
        <v>4724</v>
      </c>
      <c r="M816" s="7" t="n">
        <v>0</v>
      </c>
    </row>
    <row r="817">
      <c r="A817" t="n">
        <v>509739</v>
      </c>
      <c r="B817" s="6" t="n">
        <v>45941</v>
      </c>
      <c r="C817" t="n">
        <v>10107</v>
      </c>
      <c r="D817" t="inlineStr">
        <is>
          <t>Gurugram</t>
        </is>
      </c>
      <c r="E817" t="inlineStr">
        <is>
          <t>North</t>
        </is>
      </c>
      <c r="F817" t="inlineStr">
        <is>
          <t>Organic Search</t>
        </is>
      </c>
      <c r="G817" t="inlineStr">
        <is>
          <t>Desktop</t>
        </is>
      </c>
      <c r="H817" t="inlineStr">
        <is>
          <t>UPI</t>
        </is>
      </c>
      <c r="I817" t="inlineStr">
        <is>
          <t>Delivered</t>
        </is>
      </c>
      <c r="J817" t="n">
        <v>129</v>
      </c>
      <c r="K817" t="n">
        <v>1</v>
      </c>
      <c r="L817" s="7" t="n">
        <v>576</v>
      </c>
      <c r="M817" s="7" t="n">
        <v>0</v>
      </c>
    </row>
    <row r="818">
      <c r="A818" t="n">
        <v>509740</v>
      </c>
      <c r="B818" s="6" t="n">
        <v>45941</v>
      </c>
      <c r="C818" t="n">
        <v>16681</v>
      </c>
      <c r="D818" t="inlineStr">
        <is>
          <t>Delhi</t>
        </is>
      </c>
      <c r="E818" t="inlineStr">
        <is>
          <t>North</t>
        </is>
      </c>
      <c r="F818" t="inlineStr">
        <is>
          <t>Paid Search</t>
        </is>
      </c>
      <c r="G818" t="inlineStr">
        <is>
          <t>Mobile App</t>
        </is>
      </c>
      <c r="H818" t="inlineStr">
        <is>
          <t>UPI</t>
        </is>
      </c>
      <c r="I818" t="inlineStr">
        <is>
          <t>Delivered</t>
        </is>
      </c>
      <c r="J818" t="n">
        <v>129</v>
      </c>
      <c r="K818" t="n">
        <v>3</v>
      </c>
      <c r="L818" s="7" t="n">
        <v>576</v>
      </c>
      <c r="M818" s="7" t="n">
        <v>259.2</v>
      </c>
    </row>
    <row r="819">
      <c r="A819" t="n">
        <v>509740</v>
      </c>
      <c r="B819" s="6" t="n">
        <v>45941</v>
      </c>
      <c r="C819" t="n">
        <v>16681</v>
      </c>
      <c r="D819" t="inlineStr">
        <is>
          <t>Delhi</t>
        </is>
      </c>
      <c r="E819" t="inlineStr">
        <is>
          <t>North</t>
        </is>
      </c>
      <c r="F819" t="inlineStr">
        <is>
          <t>Paid Search</t>
        </is>
      </c>
      <c r="G819" t="inlineStr">
        <is>
          <t>Mobile App</t>
        </is>
      </c>
      <c r="H819" t="inlineStr">
        <is>
          <t>UPI</t>
        </is>
      </c>
      <c r="I819" t="inlineStr">
        <is>
          <t>Delivered</t>
        </is>
      </c>
      <c r="J819" t="n">
        <v>113</v>
      </c>
      <c r="K819" t="n">
        <v>1</v>
      </c>
      <c r="L819" s="7" t="n">
        <v>1364</v>
      </c>
      <c r="M819" s="7" t="n">
        <v>204.6</v>
      </c>
    </row>
    <row r="820">
      <c r="A820" t="n">
        <v>509741</v>
      </c>
      <c r="B820" s="6" t="n">
        <v>45941</v>
      </c>
      <c r="C820" t="n">
        <v>16644</v>
      </c>
      <c r="D820" t="inlineStr">
        <is>
          <t>Pune</t>
        </is>
      </c>
      <c r="E820" t="inlineStr">
        <is>
          <t>West</t>
        </is>
      </c>
      <c r="F820" t="inlineStr">
        <is>
          <t>Organic Search</t>
        </is>
      </c>
      <c r="G820" t="inlineStr">
        <is>
          <t>Desktop</t>
        </is>
      </c>
      <c r="H820" t="inlineStr">
        <is>
          <t>UPI</t>
        </is>
      </c>
      <c r="I820" t="inlineStr">
        <is>
          <t>Delivered</t>
        </is>
      </c>
      <c r="J820" t="n">
        <v>114</v>
      </c>
      <c r="K820" t="n">
        <v>2</v>
      </c>
      <c r="L820" s="7" t="n">
        <v>1259</v>
      </c>
      <c r="M820" s="7" t="n">
        <v>0</v>
      </c>
    </row>
    <row r="821">
      <c r="A821" t="n">
        <v>509741</v>
      </c>
      <c r="B821" s="6" t="n">
        <v>45941</v>
      </c>
      <c r="C821" t="n">
        <v>16644</v>
      </c>
      <c r="D821" t="inlineStr">
        <is>
          <t>Pune</t>
        </is>
      </c>
      <c r="E821" t="inlineStr">
        <is>
          <t>West</t>
        </is>
      </c>
      <c r="F821" t="inlineStr">
        <is>
          <t>Organic Search</t>
        </is>
      </c>
      <c r="G821" t="inlineStr">
        <is>
          <t>Desktop</t>
        </is>
      </c>
      <c r="H821" t="inlineStr">
        <is>
          <t>UPI</t>
        </is>
      </c>
      <c r="I821" t="inlineStr">
        <is>
          <t>Delivered</t>
        </is>
      </c>
      <c r="J821" t="n">
        <v>124</v>
      </c>
      <c r="K821" t="n">
        <v>1</v>
      </c>
      <c r="L821" s="7" t="n">
        <v>1154</v>
      </c>
      <c r="M821" s="7" t="n">
        <v>0</v>
      </c>
    </row>
    <row r="822">
      <c r="A822" t="n">
        <v>509742</v>
      </c>
      <c r="B822" s="6" t="n">
        <v>45941</v>
      </c>
      <c r="C822" t="n">
        <v>16084</v>
      </c>
      <c r="D822" t="inlineStr">
        <is>
          <t>Hyderabad</t>
        </is>
      </c>
      <c r="E822" t="inlineStr">
        <is>
          <t>South</t>
        </is>
      </c>
      <c r="F822" t="inlineStr">
        <is>
          <t>Referral</t>
        </is>
      </c>
      <c r="G822" t="inlineStr">
        <is>
          <t>Mobile App</t>
        </is>
      </c>
      <c r="H822" t="inlineStr">
        <is>
          <t>UPI</t>
        </is>
      </c>
      <c r="I822" t="inlineStr">
        <is>
          <t>Returned</t>
        </is>
      </c>
      <c r="J822" t="n">
        <v>112</v>
      </c>
      <c r="K822" t="n">
        <v>1</v>
      </c>
      <c r="L822" s="7" t="n">
        <v>1574</v>
      </c>
      <c r="M822" s="7" t="n">
        <v>157.4</v>
      </c>
    </row>
    <row r="823">
      <c r="A823" t="n">
        <v>509742</v>
      </c>
      <c r="B823" s="6" t="n">
        <v>45941</v>
      </c>
      <c r="C823" t="n">
        <v>16084</v>
      </c>
      <c r="D823" t="inlineStr">
        <is>
          <t>Hyderabad</t>
        </is>
      </c>
      <c r="E823" t="inlineStr">
        <is>
          <t>South</t>
        </is>
      </c>
      <c r="F823" t="inlineStr">
        <is>
          <t>Referral</t>
        </is>
      </c>
      <c r="G823" t="inlineStr">
        <is>
          <t>Mobile App</t>
        </is>
      </c>
      <c r="H823" t="inlineStr">
        <is>
          <t>UPI</t>
        </is>
      </c>
      <c r="I823" t="inlineStr">
        <is>
          <t>Returned</t>
        </is>
      </c>
      <c r="J823" t="n">
        <v>129</v>
      </c>
      <c r="K823" t="n">
        <v>1</v>
      </c>
      <c r="L823" s="7" t="n">
        <v>576</v>
      </c>
      <c r="M823" s="7" t="n">
        <v>57.6</v>
      </c>
    </row>
    <row r="824">
      <c r="A824" t="n">
        <v>509743</v>
      </c>
      <c r="B824" s="6" t="n">
        <v>45941</v>
      </c>
      <c r="C824" t="n">
        <v>12850</v>
      </c>
      <c r="D824" t="inlineStr">
        <is>
          <t>Delhi</t>
        </is>
      </c>
      <c r="E824" t="inlineStr">
        <is>
          <t>North</t>
        </is>
      </c>
      <c r="F824" t="inlineStr">
        <is>
          <t>Organic Search</t>
        </is>
      </c>
      <c r="G824" t="inlineStr">
        <is>
          <t>Mobile App</t>
        </is>
      </c>
      <c r="H824" t="inlineStr">
        <is>
          <t>Debit Card</t>
        </is>
      </c>
      <c r="I824" t="inlineStr">
        <is>
          <t>Delivered</t>
        </is>
      </c>
      <c r="J824" t="n">
        <v>133</v>
      </c>
      <c r="K824" t="n">
        <v>1</v>
      </c>
      <c r="L824" s="7" t="n">
        <v>419</v>
      </c>
      <c r="M824" s="7" t="n">
        <v>41.9</v>
      </c>
    </row>
    <row r="825">
      <c r="A825" t="n">
        <v>509744</v>
      </c>
      <c r="B825" s="6" t="n">
        <v>45941</v>
      </c>
      <c r="C825" t="n">
        <v>15991</v>
      </c>
      <c r="D825" t="inlineStr">
        <is>
          <t>Kolkata</t>
        </is>
      </c>
      <c r="E825" t="inlineStr">
        <is>
          <t>East</t>
        </is>
      </c>
      <c r="F825" t="inlineStr">
        <is>
          <t>Referral</t>
        </is>
      </c>
      <c r="G825" t="inlineStr">
        <is>
          <t>Mobile App</t>
        </is>
      </c>
      <c r="H825" t="inlineStr">
        <is>
          <t>Credit Card</t>
        </is>
      </c>
      <c r="I825" t="inlineStr">
        <is>
          <t>Delivered</t>
        </is>
      </c>
      <c r="J825" t="n">
        <v>113</v>
      </c>
      <c r="K825" t="n">
        <v>1</v>
      </c>
      <c r="L825" s="7" t="n">
        <v>1364</v>
      </c>
      <c r="M825" s="7" t="n">
        <v>136.4</v>
      </c>
    </row>
    <row r="826">
      <c r="A826" t="n">
        <v>509744</v>
      </c>
      <c r="B826" s="6" t="n">
        <v>45941</v>
      </c>
      <c r="C826" t="n">
        <v>15991</v>
      </c>
      <c r="D826" t="inlineStr">
        <is>
          <t>Kolkata</t>
        </is>
      </c>
      <c r="E826" t="inlineStr">
        <is>
          <t>East</t>
        </is>
      </c>
      <c r="F826" t="inlineStr">
        <is>
          <t>Referral</t>
        </is>
      </c>
      <c r="G826" t="inlineStr">
        <is>
          <t>Mobile App</t>
        </is>
      </c>
      <c r="H826" t="inlineStr">
        <is>
          <t>Credit Card</t>
        </is>
      </c>
      <c r="I826" t="inlineStr">
        <is>
          <t>Delivered</t>
        </is>
      </c>
      <c r="J826" t="n">
        <v>106</v>
      </c>
      <c r="K826" t="n">
        <v>2</v>
      </c>
      <c r="L826" s="7" t="n">
        <v>1574</v>
      </c>
      <c r="M826" s="7" t="n">
        <v>314.8</v>
      </c>
    </row>
    <row r="827">
      <c r="A827" t="n">
        <v>509745</v>
      </c>
      <c r="B827" s="6" t="n">
        <v>45941</v>
      </c>
      <c r="C827" t="n">
        <v>16569</v>
      </c>
      <c r="D827" t="inlineStr">
        <is>
          <t>Pune</t>
        </is>
      </c>
      <c r="E827" t="inlineStr">
        <is>
          <t>West</t>
        </is>
      </c>
      <c r="F827" t="inlineStr">
        <is>
          <t>Email</t>
        </is>
      </c>
      <c r="G827" t="inlineStr">
        <is>
          <t>Mobile Web</t>
        </is>
      </c>
      <c r="H827" t="inlineStr">
        <is>
          <t>UPI</t>
        </is>
      </c>
      <c r="I827" t="inlineStr">
        <is>
          <t>Delivered</t>
        </is>
      </c>
      <c r="J827" t="n">
        <v>102</v>
      </c>
      <c r="K827" t="n">
        <v>3</v>
      </c>
      <c r="L827" s="7" t="n">
        <v>3674</v>
      </c>
      <c r="M827" s="7" t="n">
        <v>1102.2</v>
      </c>
    </row>
    <row r="828">
      <c r="A828" t="n">
        <v>509745</v>
      </c>
      <c r="B828" s="6" t="n">
        <v>45941</v>
      </c>
      <c r="C828" t="n">
        <v>16569</v>
      </c>
      <c r="D828" t="inlineStr">
        <is>
          <t>Pune</t>
        </is>
      </c>
      <c r="E828" t="inlineStr">
        <is>
          <t>West</t>
        </is>
      </c>
      <c r="F828" t="inlineStr">
        <is>
          <t>Email</t>
        </is>
      </c>
      <c r="G828" t="inlineStr">
        <is>
          <t>Mobile Web</t>
        </is>
      </c>
      <c r="H828" t="inlineStr">
        <is>
          <t>UPI</t>
        </is>
      </c>
      <c r="I828" t="inlineStr">
        <is>
          <t>Delivered</t>
        </is>
      </c>
      <c r="J828" t="n">
        <v>129</v>
      </c>
      <c r="K828" t="n">
        <v>1</v>
      </c>
      <c r="L828" s="7" t="n">
        <v>576</v>
      </c>
      <c r="M828" s="7" t="n">
        <v>57.6</v>
      </c>
    </row>
    <row r="829">
      <c r="A829" t="n">
        <v>509746</v>
      </c>
      <c r="B829" s="6" t="n">
        <v>45941</v>
      </c>
      <c r="C829" t="n">
        <v>16422</v>
      </c>
      <c r="D829" t="inlineStr">
        <is>
          <t>Gurugram</t>
        </is>
      </c>
      <c r="E829" t="inlineStr">
        <is>
          <t>North</t>
        </is>
      </c>
      <c r="F829" t="inlineStr">
        <is>
          <t>Paid Social</t>
        </is>
      </c>
      <c r="G829" t="inlineStr">
        <is>
          <t>Mobile App</t>
        </is>
      </c>
      <c r="H829" t="inlineStr">
        <is>
          <t>UPI</t>
        </is>
      </c>
      <c r="I829" t="inlineStr">
        <is>
          <t>Delivered</t>
        </is>
      </c>
      <c r="J829" t="n">
        <v>111</v>
      </c>
      <c r="K829" t="n">
        <v>1</v>
      </c>
      <c r="L829" s="7" t="n">
        <v>524</v>
      </c>
      <c r="M829" s="7" t="n">
        <v>52.4</v>
      </c>
    </row>
    <row r="830">
      <c r="A830" t="n">
        <v>509746</v>
      </c>
      <c r="B830" s="6" t="n">
        <v>45941</v>
      </c>
      <c r="C830" t="n">
        <v>16422</v>
      </c>
      <c r="D830" t="inlineStr">
        <is>
          <t>Gurugram</t>
        </is>
      </c>
      <c r="E830" t="inlineStr">
        <is>
          <t>North</t>
        </is>
      </c>
      <c r="F830" t="inlineStr">
        <is>
          <t>Paid Social</t>
        </is>
      </c>
      <c r="G830" t="inlineStr">
        <is>
          <t>Mobile App</t>
        </is>
      </c>
      <c r="H830" t="inlineStr">
        <is>
          <t>UPI</t>
        </is>
      </c>
      <c r="I830" t="inlineStr">
        <is>
          <t>Delivered</t>
        </is>
      </c>
      <c r="J830" t="n">
        <v>129</v>
      </c>
      <c r="K830" t="n">
        <v>1</v>
      </c>
      <c r="L830" s="7" t="n">
        <v>576</v>
      </c>
      <c r="M830" s="7" t="n">
        <v>57.6</v>
      </c>
    </row>
    <row r="831">
      <c r="A831" t="n">
        <v>509747</v>
      </c>
      <c r="B831" s="6" t="n">
        <v>45941</v>
      </c>
      <c r="C831" t="n">
        <v>16485</v>
      </c>
      <c r="D831" t="inlineStr">
        <is>
          <t>Chennai</t>
        </is>
      </c>
      <c r="E831" t="inlineStr">
        <is>
          <t>South</t>
        </is>
      </c>
      <c r="F831" t="inlineStr">
        <is>
          <t>Organic Search</t>
        </is>
      </c>
      <c r="G831" t="inlineStr">
        <is>
          <t>Mobile App</t>
        </is>
      </c>
      <c r="H831" t="inlineStr">
        <is>
          <t>Net Banking</t>
        </is>
      </c>
      <c r="I831" t="inlineStr">
        <is>
          <t>Delivered</t>
        </is>
      </c>
      <c r="J831" t="n">
        <v>103</v>
      </c>
      <c r="K831" t="n">
        <v>1</v>
      </c>
      <c r="L831" s="7" t="n">
        <v>2624</v>
      </c>
      <c r="M831" s="7" t="n">
        <v>262.4</v>
      </c>
    </row>
    <row r="832">
      <c r="A832" t="n">
        <v>509748</v>
      </c>
      <c r="B832" s="6" t="n">
        <v>45941</v>
      </c>
      <c r="C832" t="n">
        <v>15538</v>
      </c>
      <c r="D832" t="inlineStr">
        <is>
          <t>Delhi</t>
        </is>
      </c>
      <c r="E832" t="inlineStr">
        <is>
          <t>North</t>
        </is>
      </c>
      <c r="F832" t="inlineStr">
        <is>
          <t>Referral</t>
        </is>
      </c>
      <c r="G832" t="inlineStr">
        <is>
          <t>Mobile App</t>
        </is>
      </c>
      <c r="H832" t="inlineStr">
        <is>
          <t>Credit Card</t>
        </is>
      </c>
      <c r="I832" t="inlineStr">
        <is>
          <t>Delivered</t>
        </is>
      </c>
      <c r="J832" t="n">
        <v>107</v>
      </c>
      <c r="K832" t="n">
        <v>1</v>
      </c>
      <c r="L832" s="7" t="n">
        <v>1259</v>
      </c>
      <c r="M832" s="7" t="n">
        <v>0</v>
      </c>
    </row>
    <row r="833">
      <c r="A833" t="n">
        <v>509748</v>
      </c>
      <c r="B833" s="6" t="n">
        <v>45941</v>
      </c>
      <c r="C833" t="n">
        <v>15538</v>
      </c>
      <c r="D833" t="inlineStr">
        <is>
          <t>Delhi</t>
        </is>
      </c>
      <c r="E833" t="inlineStr">
        <is>
          <t>North</t>
        </is>
      </c>
      <c r="F833" t="inlineStr">
        <is>
          <t>Referral</t>
        </is>
      </c>
      <c r="G833" t="inlineStr">
        <is>
          <t>Mobile App</t>
        </is>
      </c>
      <c r="H833" t="inlineStr">
        <is>
          <t>Credit Card</t>
        </is>
      </c>
      <c r="I833" t="inlineStr">
        <is>
          <t>Delivered</t>
        </is>
      </c>
      <c r="J833" t="n">
        <v>129</v>
      </c>
      <c r="K833" t="n">
        <v>1</v>
      </c>
      <c r="L833" s="7" t="n">
        <v>576</v>
      </c>
      <c r="M833" s="7" t="n">
        <v>0</v>
      </c>
    </row>
    <row r="834">
      <c r="A834" t="n">
        <v>509749</v>
      </c>
      <c r="B834" s="6" t="n">
        <v>45941</v>
      </c>
      <c r="C834" t="n">
        <v>16530</v>
      </c>
      <c r="D834" t="inlineStr">
        <is>
          <t>Kolkata</t>
        </is>
      </c>
      <c r="E834" t="inlineStr">
        <is>
          <t>East</t>
        </is>
      </c>
      <c r="F834" t="inlineStr">
        <is>
          <t>Paid Social</t>
        </is>
      </c>
      <c r="G834" t="inlineStr">
        <is>
          <t>Desktop</t>
        </is>
      </c>
      <c r="H834" t="inlineStr">
        <is>
          <t>Cash on Delivery</t>
        </is>
      </c>
      <c r="I834" t="inlineStr">
        <is>
          <t>Delivered</t>
        </is>
      </c>
      <c r="J834" t="n">
        <v>114</v>
      </c>
      <c r="K834" t="n">
        <v>1</v>
      </c>
      <c r="L834" s="7" t="n">
        <v>1259</v>
      </c>
      <c r="M834" s="7" t="n">
        <v>125.9</v>
      </c>
    </row>
    <row r="835">
      <c r="A835" t="n">
        <v>509750</v>
      </c>
      <c r="B835" s="6" t="n">
        <v>45941</v>
      </c>
      <c r="C835" t="n">
        <v>16439</v>
      </c>
      <c r="D835" t="inlineStr">
        <is>
          <t>Kolkata</t>
        </is>
      </c>
      <c r="E835" t="inlineStr">
        <is>
          <t>East</t>
        </is>
      </c>
      <c r="F835" t="inlineStr">
        <is>
          <t>Organic Search</t>
        </is>
      </c>
      <c r="G835" t="inlineStr">
        <is>
          <t>Mobile Web</t>
        </is>
      </c>
      <c r="H835" t="inlineStr">
        <is>
          <t>UPI</t>
        </is>
      </c>
      <c r="I835" t="inlineStr">
        <is>
          <t>Delivered</t>
        </is>
      </c>
      <c r="J835" t="n">
        <v>120</v>
      </c>
      <c r="K835" t="n">
        <v>1</v>
      </c>
      <c r="L835" s="7" t="n">
        <v>734</v>
      </c>
      <c r="M835" s="7" t="n">
        <v>0</v>
      </c>
    </row>
    <row r="836">
      <c r="A836" t="n">
        <v>509751</v>
      </c>
      <c r="B836" s="6" t="n">
        <v>45941</v>
      </c>
      <c r="C836" t="n">
        <v>16696</v>
      </c>
      <c r="D836" t="inlineStr">
        <is>
          <t>Kolkata</t>
        </is>
      </c>
      <c r="E836" t="inlineStr">
        <is>
          <t>East</t>
        </is>
      </c>
      <c r="F836" t="inlineStr">
        <is>
          <t>Affiliate</t>
        </is>
      </c>
      <c r="G836" t="inlineStr">
        <is>
          <t>Mobile Web</t>
        </is>
      </c>
      <c r="H836" t="inlineStr">
        <is>
          <t>UPI</t>
        </is>
      </c>
      <c r="I836" t="inlineStr">
        <is>
          <t>Delivered</t>
        </is>
      </c>
      <c r="J836" t="n">
        <v>125</v>
      </c>
      <c r="K836" t="n">
        <v>1</v>
      </c>
      <c r="L836" s="7" t="n">
        <v>1364</v>
      </c>
      <c r="M836" s="7" t="n">
        <v>136.4</v>
      </c>
    </row>
    <row r="837">
      <c r="A837" t="n">
        <v>509751</v>
      </c>
      <c r="B837" s="6" t="n">
        <v>45941</v>
      </c>
      <c r="C837" t="n">
        <v>16696</v>
      </c>
      <c r="D837" t="inlineStr">
        <is>
          <t>Kolkata</t>
        </is>
      </c>
      <c r="E837" t="inlineStr">
        <is>
          <t>East</t>
        </is>
      </c>
      <c r="F837" t="inlineStr">
        <is>
          <t>Affiliate</t>
        </is>
      </c>
      <c r="G837" t="inlineStr">
        <is>
          <t>Mobile Web</t>
        </is>
      </c>
      <c r="H837" t="inlineStr">
        <is>
          <t>UPI</t>
        </is>
      </c>
      <c r="I837" t="inlineStr">
        <is>
          <t>Delivered</t>
        </is>
      </c>
      <c r="J837" t="n">
        <v>129</v>
      </c>
      <c r="K837" t="n">
        <v>2</v>
      </c>
      <c r="L837" s="7" t="n">
        <v>576</v>
      </c>
      <c r="M837" s="7" t="n">
        <v>115.2</v>
      </c>
    </row>
    <row r="838">
      <c r="A838" t="n">
        <v>509752</v>
      </c>
      <c r="B838" s="6" t="n">
        <v>45941</v>
      </c>
      <c r="C838" t="n">
        <v>16740</v>
      </c>
      <c r="D838" t="inlineStr">
        <is>
          <t>Bengaluru</t>
        </is>
      </c>
      <c r="E838" t="inlineStr">
        <is>
          <t>South</t>
        </is>
      </c>
      <c r="F838" t="inlineStr">
        <is>
          <t>Paid Search</t>
        </is>
      </c>
      <c r="G838" t="inlineStr">
        <is>
          <t>Mobile App</t>
        </is>
      </c>
      <c r="H838" t="inlineStr">
        <is>
          <t>Credit Card</t>
        </is>
      </c>
      <c r="I838" t="inlineStr">
        <is>
          <t>Delivered</t>
        </is>
      </c>
      <c r="J838" t="n">
        <v>102</v>
      </c>
      <c r="K838" t="n">
        <v>1</v>
      </c>
      <c r="L838" s="7" t="n">
        <v>3674</v>
      </c>
      <c r="M838" s="7" t="n">
        <v>0</v>
      </c>
    </row>
    <row r="839">
      <c r="A839" t="n">
        <v>509753</v>
      </c>
      <c r="B839" s="6" t="n">
        <v>45941</v>
      </c>
      <c r="C839" t="n">
        <v>15110</v>
      </c>
      <c r="D839" t="inlineStr">
        <is>
          <t>Gurugram</t>
        </is>
      </c>
      <c r="E839" t="inlineStr">
        <is>
          <t>North</t>
        </is>
      </c>
      <c r="F839" t="inlineStr">
        <is>
          <t>Organic Search</t>
        </is>
      </c>
      <c r="G839" t="inlineStr">
        <is>
          <t>Desktop</t>
        </is>
      </c>
      <c r="H839" t="inlineStr">
        <is>
          <t>Credit Card</t>
        </is>
      </c>
      <c r="I839" t="inlineStr">
        <is>
          <t>Cancelled</t>
        </is>
      </c>
      <c r="J839" t="n">
        <v>131</v>
      </c>
      <c r="K839" t="n">
        <v>1</v>
      </c>
      <c r="L839" s="7" t="n">
        <v>314</v>
      </c>
      <c r="M839" s="7" t="n">
        <v>31.4</v>
      </c>
    </row>
    <row r="840">
      <c r="A840" t="n">
        <v>509753</v>
      </c>
      <c r="B840" s="6" t="n">
        <v>45941</v>
      </c>
      <c r="C840" t="n">
        <v>15110</v>
      </c>
      <c r="D840" t="inlineStr">
        <is>
          <t>Gurugram</t>
        </is>
      </c>
      <c r="E840" t="inlineStr">
        <is>
          <t>North</t>
        </is>
      </c>
      <c r="F840" t="inlineStr">
        <is>
          <t>Organic Search</t>
        </is>
      </c>
      <c r="G840" t="inlineStr">
        <is>
          <t>Desktop</t>
        </is>
      </c>
      <c r="H840" t="inlineStr">
        <is>
          <t>Credit Card</t>
        </is>
      </c>
      <c r="I840" t="inlineStr">
        <is>
          <t>Cancelled</t>
        </is>
      </c>
      <c r="J840" t="n">
        <v>130</v>
      </c>
      <c r="K840" t="n">
        <v>1</v>
      </c>
      <c r="L840" s="7" t="n">
        <v>734</v>
      </c>
      <c r="M840" s="7" t="n">
        <v>73.40000000000001</v>
      </c>
    </row>
    <row r="841">
      <c r="A841" t="n">
        <v>509753</v>
      </c>
      <c r="B841" s="6" t="n">
        <v>45941</v>
      </c>
      <c r="C841" t="n">
        <v>15110</v>
      </c>
      <c r="D841" t="inlineStr">
        <is>
          <t>Gurugram</t>
        </is>
      </c>
      <c r="E841" t="inlineStr">
        <is>
          <t>North</t>
        </is>
      </c>
      <c r="F841" t="inlineStr">
        <is>
          <t>Organic Search</t>
        </is>
      </c>
      <c r="G841" t="inlineStr">
        <is>
          <t>Desktop</t>
        </is>
      </c>
      <c r="H841" t="inlineStr">
        <is>
          <t>Credit Card</t>
        </is>
      </c>
      <c r="I841" t="inlineStr">
        <is>
          <t>Cancelled</t>
        </is>
      </c>
      <c r="J841" t="n">
        <v>103</v>
      </c>
      <c r="K841" t="n">
        <v>1</v>
      </c>
      <c r="L841" s="7" t="n">
        <v>2624</v>
      </c>
      <c r="M841" s="7" t="n">
        <v>262.4</v>
      </c>
    </row>
    <row r="842">
      <c r="A842" t="n">
        <v>509753</v>
      </c>
      <c r="B842" s="6" t="n">
        <v>45941</v>
      </c>
      <c r="C842" t="n">
        <v>15110</v>
      </c>
      <c r="D842" t="inlineStr">
        <is>
          <t>Gurugram</t>
        </is>
      </c>
      <c r="E842" t="inlineStr">
        <is>
          <t>North</t>
        </is>
      </c>
      <c r="F842" t="inlineStr">
        <is>
          <t>Organic Search</t>
        </is>
      </c>
      <c r="G842" t="inlineStr">
        <is>
          <t>Desktop</t>
        </is>
      </c>
      <c r="H842" t="inlineStr">
        <is>
          <t>Credit Card</t>
        </is>
      </c>
      <c r="I842" t="inlineStr">
        <is>
          <t>Cancelled</t>
        </is>
      </c>
      <c r="J842" t="n">
        <v>129</v>
      </c>
      <c r="K842" t="n">
        <v>1</v>
      </c>
      <c r="L842" s="7" t="n">
        <v>576</v>
      </c>
      <c r="M842" s="7" t="n">
        <v>57.6</v>
      </c>
    </row>
    <row r="843">
      <c r="A843" t="n">
        <v>509754</v>
      </c>
      <c r="B843" s="6" t="n">
        <v>45941</v>
      </c>
      <c r="C843" t="n">
        <v>15481</v>
      </c>
      <c r="D843" t="inlineStr">
        <is>
          <t>Hyderabad</t>
        </is>
      </c>
      <c r="E843" t="inlineStr">
        <is>
          <t>South</t>
        </is>
      </c>
      <c r="F843" t="inlineStr">
        <is>
          <t>Referral</t>
        </is>
      </c>
      <c r="G843" t="inlineStr">
        <is>
          <t>Mobile Web</t>
        </is>
      </c>
      <c r="H843" t="inlineStr">
        <is>
          <t>UPI</t>
        </is>
      </c>
      <c r="I843" t="inlineStr">
        <is>
          <t>Delivered</t>
        </is>
      </c>
      <c r="J843" t="n">
        <v>107</v>
      </c>
      <c r="K843" t="n">
        <v>2</v>
      </c>
      <c r="L843" s="7" t="n">
        <v>1259</v>
      </c>
      <c r="M843" s="7" t="n">
        <v>251.8</v>
      </c>
    </row>
    <row r="844">
      <c r="A844" t="n">
        <v>509755</v>
      </c>
      <c r="B844" s="6" t="n">
        <v>45941</v>
      </c>
      <c r="C844" t="n">
        <v>16752</v>
      </c>
      <c r="D844" t="inlineStr">
        <is>
          <t>Indore</t>
        </is>
      </c>
      <c r="E844" t="inlineStr">
        <is>
          <t>West</t>
        </is>
      </c>
      <c r="F844" t="inlineStr">
        <is>
          <t>Organic Search</t>
        </is>
      </c>
      <c r="G844" t="inlineStr">
        <is>
          <t>Mobile App</t>
        </is>
      </c>
      <c r="H844" t="inlineStr">
        <is>
          <t>Cash on Delivery</t>
        </is>
      </c>
      <c r="I844" t="inlineStr">
        <is>
          <t>Cancelled</t>
        </is>
      </c>
      <c r="J844" t="n">
        <v>108</v>
      </c>
      <c r="K844" t="n">
        <v>3</v>
      </c>
      <c r="L844" s="7" t="n">
        <v>419</v>
      </c>
      <c r="M844" s="7" t="n">
        <v>188.55</v>
      </c>
    </row>
    <row r="845">
      <c r="A845" t="n">
        <v>509756</v>
      </c>
      <c r="B845" s="6" t="n">
        <v>45941</v>
      </c>
      <c r="C845" t="n">
        <v>16640</v>
      </c>
      <c r="D845" t="inlineStr">
        <is>
          <t>Kolkata</t>
        </is>
      </c>
      <c r="E845" t="inlineStr">
        <is>
          <t>East</t>
        </is>
      </c>
      <c r="F845" t="inlineStr">
        <is>
          <t>Paid Social</t>
        </is>
      </c>
      <c r="G845" t="inlineStr">
        <is>
          <t>Mobile App</t>
        </is>
      </c>
      <c r="H845" t="inlineStr">
        <is>
          <t>Credit Card</t>
        </is>
      </c>
      <c r="I845" t="inlineStr">
        <is>
          <t>Delivered</t>
        </is>
      </c>
      <c r="J845" t="n">
        <v>115</v>
      </c>
      <c r="K845" t="n">
        <v>1</v>
      </c>
      <c r="L845" s="7" t="n">
        <v>4199</v>
      </c>
      <c r="M845" s="7" t="n">
        <v>629.85</v>
      </c>
    </row>
    <row r="846">
      <c r="A846" t="n">
        <v>509757</v>
      </c>
      <c r="B846" s="6" t="n">
        <v>45941</v>
      </c>
      <c r="C846" t="n">
        <v>15260</v>
      </c>
      <c r="D846" t="inlineStr">
        <is>
          <t>Bengaluru</t>
        </is>
      </c>
      <c r="E846" t="inlineStr">
        <is>
          <t>South</t>
        </is>
      </c>
      <c r="F846" t="inlineStr">
        <is>
          <t>Organic Search</t>
        </is>
      </c>
      <c r="G846" t="inlineStr">
        <is>
          <t>Mobile App</t>
        </is>
      </c>
      <c r="H846" t="inlineStr">
        <is>
          <t>Cash on Delivery</t>
        </is>
      </c>
      <c r="I846" t="inlineStr">
        <is>
          <t>Delivered</t>
        </is>
      </c>
      <c r="J846" t="n">
        <v>137</v>
      </c>
      <c r="K846" t="n">
        <v>1</v>
      </c>
      <c r="L846" s="7" t="n">
        <v>261</v>
      </c>
      <c r="M846" s="7" t="n">
        <v>26.1</v>
      </c>
    </row>
    <row r="847">
      <c r="A847" t="n">
        <v>509758</v>
      </c>
      <c r="B847" s="6" t="n">
        <v>45941</v>
      </c>
      <c r="C847" t="n">
        <v>16643</v>
      </c>
      <c r="D847" t="inlineStr">
        <is>
          <t>Delhi</t>
        </is>
      </c>
      <c r="E847" t="inlineStr">
        <is>
          <t>North</t>
        </is>
      </c>
      <c r="F847" t="inlineStr">
        <is>
          <t>Referral</t>
        </is>
      </c>
      <c r="G847" t="inlineStr">
        <is>
          <t>Mobile App</t>
        </is>
      </c>
      <c r="H847" t="inlineStr">
        <is>
          <t>Credit Card</t>
        </is>
      </c>
      <c r="I847" t="inlineStr">
        <is>
          <t>Delivered</t>
        </is>
      </c>
      <c r="J847" t="n">
        <v>131</v>
      </c>
      <c r="K847" t="n">
        <v>1</v>
      </c>
      <c r="L847" s="7" t="n">
        <v>314</v>
      </c>
      <c r="M847" s="7" t="n">
        <v>47.1</v>
      </c>
    </row>
    <row r="848">
      <c r="A848" t="n">
        <v>509758</v>
      </c>
      <c r="B848" s="6" t="n">
        <v>45941</v>
      </c>
      <c r="C848" t="n">
        <v>16643</v>
      </c>
      <c r="D848" t="inlineStr">
        <is>
          <t>Delhi</t>
        </is>
      </c>
      <c r="E848" t="inlineStr">
        <is>
          <t>North</t>
        </is>
      </c>
      <c r="F848" t="inlineStr">
        <is>
          <t>Referral</t>
        </is>
      </c>
      <c r="G848" t="inlineStr">
        <is>
          <t>Mobile App</t>
        </is>
      </c>
      <c r="H848" t="inlineStr">
        <is>
          <t>Credit Card</t>
        </is>
      </c>
      <c r="I848" t="inlineStr">
        <is>
          <t>Delivered</t>
        </is>
      </c>
      <c r="J848" t="n">
        <v>129</v>
      </c>
      <c r="K848" t="n">
        <v>1</v>
      </c>
      <c r="L848" s="7" t="n">
        <v>576</v>
      </c>
      <c r="M848" s="7" t="n">
        <v>86.40000000000001</v>
      </c>
    </row>
    <row r="849">
      <c r="A849" t="n">
        <v>509759</v>
      </c>
      <c r="B849" s="6" t="n">
        <v>45941</v>
      </c>
      <c r="C849" t="n">
        <v>12282</v>
      </c>
      <c r="D849" t="inlineStr">
        <is>
          <t>Chandigarh</t>
        </is>
      </c>
      <c r="E849" t="inlineStr">
        <is>
          <t>North</t>
        </is>
      </c>
      <c r="F849" t="inlineStr">
        <is>
          <t>Email</t>
        </is>
      </c>
      <c r="G849" t="inlineStr">
        <is>
          <t>Desktop</t>
        </is>
      </c>
      <c r="H849" t="inlineStr">
        <is>
          <t>UPI</t>
        </is>
      </c>
      <c r="I849" t="inlineStr">
        <is>
          <t>Delivered</t>
        </is>
      </c>
      <c r="J849" t="n">
        <v>105</v>
      </c>
      <c r="K849" t="n">
        <v>2</v>
      </c>
      <c r="L849" s="7" t="n">
        <v>2414</v>
      </c>
      <c r="M849" s="7" t="n">
        <v>482.8</v>
      </c>
    </row>
    <row r="850">
      <c r="A850" t="n">
        <v>509759</v>
      </c>
      <c r="B850" s="6" t="n">
        <v>45941</v>
      </c>
      <c r="C850" t="n">
        <v>12282</v>
      </c>
      <c r="D850" t="inlineStr">
        <is>
          <t>Chandigarh</t>
        </is>
      </c>
      <c r="E850" t="inlineStr">
        <is>
          <t>North</t>
        </is>
      </c>
      <c r="F850" t="inlineStr">
        <is>
          <t>Email</t>
        </is>
      </c>
      <c r="G850" t="inlineStr">
        <is>
          <t>Desktop</t>
        </is>
      </c>
      <c r="H850" t="inlineStr">
        <is>
          <t>UPI</t>
        </is>
      </c>
      <c r="I850" t="inlineStr">
        <is>
          <t>Delivered</t>
        </is>
      </c>
      <c r="J850" t="n">
        <v>129</v>
      </c>
      <c r="K850" t="n">
        <v>1</v>
      </c>
      <c r="L850" s="7" t="n">
        <v>576</v>
      </c>
      <c r="M850" s="7" t="n">
        <v>57.6</v>
      </c>
    </row>
    <row r="851">
      <c r="A851" t="n">
        <v>509760</v>
      </c>
      <c r="B851" s="6" t="n">
        <v>45941</v>
      </c>
      <c r="C851" t="n">
        <v>16515</v>
      </c>
      <c r="D851" t="inlineStr">
        <is>
          <t>Bengaluru</t>
        </is>
      </c>
      <c r="E851" t="inlineStr">
        <is>
          <t>South</t>
        </is>
      </c>
      <c r="F851" t="inlineStr">
        <is>
          <t>Paid Search</t>
        </is>
      </c>
      <c r="G851" t="inlineStr">
        <is>
          <t>Desktop</t>
        </is>
      </c>
      <c r="H851" t="inlineStr">
        <is>
          <t>UPI</t>
        </is>
      </c>
      <c r="I851" t="inlineStr">
        <is>
          <t>Delivered</t>
        </is>
      </c>
      <c r="J851" t="n">
        <v>101</v>
      </c>
      <c r="K851" t="n">
        <v>2</v>
      </c>
      <c r="L851" s="7" t="n">
        <v>2099</v>
      </c>
      <c r="M851" s="7" t="n">
        <v>0</v>
      </c>
    </row>
    <row r="852">
      <c r="A852" t="n">
        <v>509761</v>
      </c>
      <c r="B852" s="6" t="n">
        <v>45942</v>
      </c>
      <c r="C852" t="n">
        <v>14072</v>
      </c>
      <c r="D852" t="inlineStr">
        <is>
          <t>Ahmedabad</t>
        </is>
      </c>
      <c r="E852" t="inlineStr">
        <is>
          <t>West</t>
        </is>
      </c>
      <c r="F852" t="inlineStr">
        <is>
          <t>Paid Social</t>
        </is>
      </c>
      <c r="G852" t="inlineStr">
        <is>
          <t>Desktop</t>
        </is>
      </c>
      <c r="H852" t="inlineStr">
        <is>
          <t>Credit Card</t>
        </is>
      </c>
      <c r="I852" t="inlineStr">
        <is>
          <t>Delivered</t>
        </is>
      </c>
      <c r="J852" t="n">
        <v>113</v>
      </c>
      <c r="K852" t="n">
        <v>1</v>
      </c>
      <c r="L852" s="7" t="n">
        <v>1364</v>
      </c>
      <c r="M852" s="7" t="n">
        <v>0</v>
      </c>
    </row>
    <row r="853">
      <c r="A853" t="n">
        <v>509762</v>
      </c>
      <c r="B853" s="6" t="n">
        <v>45942</v>
      </c>
      <c r="C853" t="n">
        <v>16521</v>
      </c>
      <c r="D853" t="inlineStr">
        <is>
          <t>Indore</t>
        </is>
      </c>
      <c r="E853" t="inlineStr">
        <is>
          <t>West</t>
        </is>
      </c>
      <c r="F853" t="inlineStr">
        <is>
          <t>Paid Search</t>
        </is>
      </c>
      <c r="G853" t="inlineStr">
        <is>
          <t>Desktop</t>
        </is>
      </c>
      <c r="H853" t="inlineStr">
        <is>
          <t>Debit Card</t>
        </is>
      </c>
      <c r="I853" t="inlineStr">
        <is>
          <t>Delivered</t>
        </is>
      </c>
      <c r="J853" t="n">
        <v>119</v>
      </c>
      <c r="K853" t="n">
        <v>2</v>
      </c>
      <c r="L853" s="7" t="n">
        <v>2309</v>
      </c>
      <c r="M853" s="7" t="n">
        <v>461.8</v>
      </c>
    </row>
    <row r="854">
      <c r="A854" t="n">
        <v>509762</v>
      </c>
      <c r="B854" s="6" t="n">
        <v>45942</v>
      </c>
      <c r="C854" t="n">
        <v>16521</v>
      </c>
      <c r="D854" t="inlineStr">
        <is>
          <t>Indore</t>
        </is>
      </c>
      <c r="E854" t="inlineStr">
        <is>
          <t>West</t>
        </is>
      </c>
      <c r="F854" t="inlineStr">
        <is>
          <t>Paid Search</t>
        </is>
      </c>
      <c r="G854" t="inlineStr">
        <is>
          <t>Desktop</t>
        </is>
      </c>
      <c r="H854" t="inlineStr">
        <is>
          <t>Debit Card</t>
        </is>
      </c>
      <c r="I854" t="inlineStr">
        <is>
          <t>Delivered</t>
        </is>
      </c>
      <c r="J854" t="n">
        <v>103</v>
      </c>
      <c r="K854" t="n">
        <v>1</v>
      </c>
      <c r="L854" s="7" t="n">
        <v>2624</v>
      </c>
      <c r="M854" s="7" t="n">
        <v>262.4</v>
      </c>
    </row>
    <row r="855">
      <c r="A855" t="n">
        <v>509763</v>
      </c>
      <c r="B855" s="6" t="n">
        <v>45942</v>
      </c>
      <c r="C855" t="n">
        <v>13967</v>
      </c>
      <c r="D855" t="inlineStr">
        <is>
          <t>Bengaluru</t>
        </is>
      </c>
      <c r="E855" t="inlineStr">
        <is>
          <t>South</t>
        </is>
      </c>
      <c r="F855" t="inlineStr">
        <is>
          <t>Paid Search</t>
        </is>
      </c>
      <c r="G855" t="inlineStr">
        <is>
          <t>Mobile App</t>
        </is>
      </c>
      <c r="H855" t="inlineStr">
        <is>
          <t>Net Banking</t>
        </is>
      </c>
      <c r="I855" t="inlineStr">
        <is>
          <t>Delivered</t>
        </is>
      </c>
      <c r="J855" t="n">
        <v>137</v>
      </c>
      <c r="K855" t="n">
        <v>1</v>
      </c>
      <c r="L855" s="7" t="n">
        <v>261</v>
      </c>
      <c r="M855" s="7" t="n">
        <v>26.1</v>
      </c>
    </row>
    <row r="856">
      <c r="A856" t="n">
        <v>509763</v>
      </c>
      <c r="B856" s="6" t="n">
        <v>45942</v>
      </c>
      <c r="C856" t="n">
        <v>13967</v>
      </c>
      <c r="D856" t="inlineStr">
        <is>
          <t>Bengaluru</t>
        </is>
      </c>
      <c r="E856" t="inlineStr">
        <is>
          <t>South</t>
        </is>
      </c>
      <c r="F856" t="inlineStr">
        <is>
          <t>Paid Search</t>
        </is>
      </c>
      <c r="G856" t="inlineStr">
        <is>
          <t>Mobile App</t>
        </is>
      </c>
      <c r="H856" t="inlineStr">
        <is>
          <t>Net Banking</t>
        </is>
      </c>
      <c r="I856" t="inlineStr">
        <is>
          <t>Delivered</t>
        </is>
      </c>
      <c r="J856" t="n">
        <v>111</v>
      </c>
      <c r="K856" t="n">
        <v>1</v>
      </c>
      <c r="L856" s="7" t="n">
        <v>524</v>
      </c>
      <c r="M856" s="7" t="n">
        <v>52.4</v>
      </c>
    </row>
    <row r="857">
      <c r="A857" t="n">
        <v>509763</v>
      </c>
      <c r="B857" s="6" t="n">
        <v>45942</v>
      </c>
      <c r="C857" t="n">
        <v>13967</v>
      </c>
      <c r="D857" t="inlineStr">
        <is>
          <t>Bengaluru</t>
        </is>
      </c>
      <c r="E857" t="inlineStr">
        <is>
          <t>South</t>
        </is>
      </c>
      <c r="F857" t="inlineStr">
        <is>
          <t>Paid Search</t>
        </is>
      </c>
      <c r="G857" t="inlineStr">
        <is>
          <t>Mobile App</t>
        </is>
      </c>
      <c r="H857" t="inlineStr">
        <is>
          <t>Net Banking</t>
        </is>
      </c>
      <c r="I857" t="inlineStr">
        <is>
          <t>Delivered</t>
        </is>
      </c>
      <c r="J857" t="n">
        <v>129</v>
      </c>
      <c r="K857" t="n">
        <v>1</v>
      </c>
      <c r="L857" s="7" t="n">
        <v>576</v>
      </c>
      <c r="M857" s="7" t="n">
        <v>57.6</v>
      </c>
    </row>
    <row r="858">
      <c r="A858" t="n">
        <v>509764</v>
      </c>
      <c r="B858" s="6" t="n">
        <v>45942</v>
      </c>
      <c r="C858" t="n">
        <v>16774</v>
      </c>
      <c r="D858" t="inlineStr">
        <is>
          <t>Hyderabad</t>
        </is>
      </c>
      <c r="E858" t="inlineStr">
        <is>
          <t>South</t>
        </is>
      </c>
      <c r="F858" t="inlineStr">
        <is>
          <t>Paid Search</t>
        </is>
      </c>
      <c r="G858" t="inlineStr">
        <is>
          <t>Mobile App</t>
        </is>
      </c>
      <c r="H858" t="inlineStr">
        <is>
          <t>Net Banking</t>
        </is>
      </c>
      <c r="I858" t="inlineStr">
        <is>
          <t>Delivered</t>
        </is>
      </c>
      <c r="J858" t="n">
        <v>131</v>
      </c>
      <c r="K858" t="n">
        <v>1</v>
      </c>
      <c r="L858" s="7" t="n">
        <v>314</v>
      </c>
      <c r="M858" s="7" t="n">
        <v>47.1</v>
      </c>
    </row>
    <row r="859">
      <c r="A859" t="n">
        <v>509764</v>
      </c>
      <c r="B859" s="6" t="n">
        <v>45942</v>
      </c>
      <c r="C859" t="n">
        <v>16774</v>
      </c>
      <c r="D859" t="inlineStr">
        <is>
          <t>Hyderabad</t>
        </is>
      </c>
      <c r="E859" t="inlineStr">
        <is>
          <t>South</t>
        </is>
      </c>
      <c r="F859" t="inlineStr">
        <is>
          <t>Paid Search</t>
        </is>
      </c>
      <c r="G859" t="inlineStr">
        <is>
          <t>Mobile App</t>
        </is>
      </c>
      <c r="H859" t="inlineStr">
        <is>
          <t>Net Banking</t>
        </is>
      </c>
      <c r="I859" t="inlineStr">
        <is>
          <t>Delivered</t>
        </is>
      </c>
      <c r="J859" t="n">
        <v>102</v>
      </c>
      <c r="K859" t="n">
        <v>1</v>
      </c>
      <c r="L859" s="7" t="n">
        <v>3674</v>
      </c>
      <c r="M859" s="7" t="n">
        <v>551.1</v>
      </c>
    </row>
    <row r="860">
      <c r="A860" t="n">
        <v>509764</v>
      </c>
      <c r="B860" s="6" t="n">
        <v>45942</v>
      </c>
      <c r="C860" t="n">
        <v>16774</v>
      </c>
      <c r="D860" t="inlineStr">
        <is>
          <t>Hyderabad</t>
        </is>
      </c>
      <c r="E860" t="inlineStr">
        <is>
          <t>South</t>
        </is>
      </c>
      <c r="F860" t="inlineStr">
        <is>
          <t>Paid Search</t>
        </is>
      </c>
      <c r="G860" t="inlineStr">
        <is>
          <t>Mobile App</t>
        </is>
      </c>
      <c r="H860" t="inlineStr">
        <is>
          <t>Net Banking</t>
        </is>
      </c>
      <c r="I860" t="inlineStr">
        <is>
          <t>Delivered</t>
        </is>
      </c>
      <c r="J860" t="n">
        <v>129</v>
      </c>
      <c r="K860" t="n">
        <v>1</v>
      </c>
      <c r="L860" s="7" t="n">
        <v>576</v>
      </c>
      <c r="M860" s="7" t="n">
        <v>86.40000000000001</v>
      </c>
    </row>
    <row r="861">
      <c r="A861" t="n">
        <v>509765</v>
      </c>
      <c r="B861" s="6" t="n">
        <v>45942</v>
      </c>
      <c r="C861" t="n">
        <v>16589</v>
      </c>
      <c r="D861" t="inlineStr">
        <is>
          <t>Mumbai</t>
        </is>
      </c>
      <c r="E861" t="inlineStr">
        <is>
          <t>West</t>
        </is>
      </c>
      <c r="F861" t="inlineStr">
        <is>
          <t>Paid Search</t>
        </is>
      </c>
      <c r="G861" t="inlineStr">
        <is>
          <t>Mobile App</t>
        </is>
      </c>
      <c r="H861" t="inlineStr">
        <is>
          <t>UPI</t>
        </is>
      </c>
      <c r="I861" t="inlineStr">
        <is>
          <t>Delivered</t>
        </is>
      </c>
      <c r="J861" t="n">
        <v>128</v>
      </c>
      <c r="K861" t="n">
        <v>1</v>
      </c>
      <c r="L861" s="7" t="n">
        <v>1049</v>
      </c>
      <c r="M861" s="7" t="n">
        <v>104.9</v>
      </c>
    </row>
    <row r="862">
      <c r="A862" t="n">
        <v>509765</v>
      </c>
      <c r="B862" s="6" t="n">
        <v>45942</v>
      </c>
      <c r="C862" t="n">
        <v>16589</v>
      </c>
      <c r="D862" t="inlineStr">
        <is>
          <t>Mumbai</t>
        </is>
      </c>
      <c r="E862" t="inlineStr">
        <is>
          <t>West</t>
        </is>
      </c>
      <c r="F862" t="inlineStr">
        <is>
          <t>Paid Search</t>
        </is>
      </c>
      <c r="G862" t="inlineStr">
        <is>
          <t>Mobile App</t>
        </is>
      </c>
      <c r="H862" t="inlineStr">
        <is>
          <t>UPI</t>
        </is>
      </c>
      <c r="I862" t="inlineStr">
        <is>
          <t>Delivered</t>
        </is>
      </c>
      <c r="J862" t="n">
        <v>127</v>
      </c>
      <c r="K862" t="n">
        <v>1</v>
      </c>
      <c r="L862" s="7" t="n">
        <v>681</v>
      </c>
      <c r="M862" s="7" t="n">
        <v>68.09999999999999</v>
      </c>
    </row>
    <row r="863">
      <c r="A863" t="n">
        <v>509765</v>
      </c>
      <c r="B863" s="6" t="n">
        <v>45942</v>
      </c>
      <c r="C863" t="n">
        <v>16589</v>
      </c>
      <c r="D863" t="inlineStr">
        <is>
          <t>Mumbai</t>
        </is>
      </c>
      <c r="E863" t="inlineStr">
        <is>
          <t>West</t>
        </is>
      </c>
      <c r="F863" t="inlineStr">
        <is>
          <t>Paid Search</t>
        </is>
      </c>
      <c r="G863" t="inlineStr">
        <is>
          <t>Mobile App</t>
        </is>
      </c>
      <c r="H863" t="inlineStr">
        <is>
          <t>UPI</t>
        </is>
      </c>
      <c r="I863" t="inlineStr">
        <is>
          <t>Delivered</t>
        </is>
      </c>
      <c r="J863" t="n">
        <v>143</v>
      </c>
      <c r="K863" t="n">
        <v>1</v>
      </c>
      <c r="L863" s="7" t="n">
        <v>839</v>
      </c>
      <c r="M863" s="7" t="n">
        <v>83.90000000000001</v>
      </c>
    </row>
    <row r="864">
      <c r="A864" t="n">
        <v>509766</v>
      </c>
      <c r="B864" s="6" t="n">
        <v>45942</v>
      </c>
      <c r="C864" t="n">
        <v>14738</v>
      </c>
      <c r="D864" t="inlineStr">
        <is>
          <t>Bengaluru</t>
        </is>
      </c>
      <c r="E864" t="inlineStr">
        <is>
          <t>South</t>
        </is>
      </c>
      <c r="F864" t="inlineStr">
        <is>
          <t>Paid Social</t>
        </is>
      </c>
      <c r="G864" t="inlineStr">
        <is>
          <t>Mobile App</t>
        </is>
      </c>
      <c r="H864" t="inlineStr">
        <is>
          <t>UPI</t>
        </is>
      </c>
      <c r="I864" t="inlineStr">
        <is>
          <t>Delivered</t>
        </is>
      </c>
      <c r="J864" t="n">
        <v>110</v>
      </c>
      <c r="K864" t="n">
        <v>1</v>
      </c>
      <c r="L864" s="7" t="n">
        <v>839</v>
      </c>
      <c r="M864" s="7" t="n">
        <v>0</v>
      </c>
    </row>
    <row r="865">
      <c r="A865" t="n">
        <v>509766</v>
      </c>
      <c r="B865" s="6" t="n">
        <v>45942</v>
      </c>
      <c r="C865" t="n">
        <v>14738</v>
      </c>
      <c r="D865" t="inlineStr">
        <is>
          <t>Bengaluru</t>
        </is>
      </c>
      <c r="E865" t="inlineStr">
        <is>
          <t>South</t>
        </is>
      </c>
      <c r="F865" t="inlineStr">
        <is>
          <t>Paid Social</t>
        </is>
      </c>
      <c r="G865" t="inlineStr">
        <is>
          <t>Mobile App</t>
        </is>
      </c>
      <c r="H865" t="inlineStr">
        <is>
          <t>UPI</t>
        </is>
      </c>
      <c r="I865" t="inlineStr">
        <is>
          <t>Delivered</t>
        </is>
      </c>
      <c r="J865" t="n">
        <v>118</v>
      </c>
      <c r="K865" t="n">
        <v>1</v>
      </c>
      <c r="L865" s="7" t="n">
        <v>944</v>
      </c>
      <c r="M865" s="7" t="n">
        <v>0</v>
      </c>
    </row>
    <row r="866">
      <c r="A866" t="n">
        <v>509766</v>
      </c>
      <c r="B866" s="6" t="n">
        <v>45942</v>
      </c>
      <c r="C866" t="n">
        <v>14738</v>
      </c>
      <c r="D866" t="inlineStr">
        <is>
          <t>Bengaluru</t>
        </is>
      </c>
      <c r="E866" t="inlineStr">
        <is>
          <t>South</t>
        </is>
      </c>
      <c r="F866" t="inlineStr">
        <is>
          <t>Paid Social</t>
        </is>
      </c>
      <c r="G866" t="inlineStr">
        <is>
          <t>Mobile App</t>
        </is>
      </c>
      <c r="H866" t="inlineStr">
        <is>
          <t>UPI</t>
        </is>
      </c>
      <c r="I866" t="inlineStr">
        <is>
          <t>Delivered</t>
        </is>
      </c>
      <c r="J866" t="n">
        <v>129</v>
      </c>
      <c r="K866" t="n">
        <v>1</v>
      </c>
      <c r="L866" s="7" t="n">
        <v>576</v>
      </c>
      <c r="M866" s="7" t="n">
        <v>0</v>
      </c>
    </row>
    <row r="867">
      <c r="A867" t="n">
        <v>509767</v>
      </c>
      <c r="B867" s="6" t="n">
        <v>45942</v>
      </c>
      <c r="C867" t="n">
        <v>16765</v>
      </c>
      <c r="D867" t="inlineStr">
        <is>
          <t>Bengaluru</t>
        </is>
      </c>
      <c r="E867" t="inlineStr">
        <is>
          <t>South</t>
        </is>
      </c>
      <c r="F867" t="inlineStr">
        <is>
          <t>Organic Search</t>
        </is>
      </c>
      <c r="G867" t="inlineStr">
        <is>
          <t>Mobile App</t>
        </is>
      </c>
      <c r="H867" t="inlineStr">
        <is>
          <t>UPI</t>
        </is>
      </c>
      <c r="I867" t="inlineStr">
        <is>
          <t>Delivered</t>
        </is>
      </c>
      <c r="J867" t="n">
        <v>123</v>
      </c>
      <c r="K867" t="n">
        <v>1</v>
      </c>
      <c r="L867" s="7" t="n">
        <v>3464</v>
      </c>
      <c r="M867" s="7" t="n">
        <v>519.6</v>
      </c>
    </row>
    <row r="868">
      <c r="A868" t="n">
        <v>509767</v>
      </c>
      <c r="B868" s="6" t="n">
        <v>45942</v>
      </c>
      <c r="C868" t="n">
        <v>16765</v>
      </c>
      <c r="D868" t="inlineStr">
        <is>
          <t>Bengaluru</t>
        </is>
      </c>
      <c r="E868" t="inlineStr">
        <is>
          <t>South</t>
        </is>
      </c>
      <c r="F868" t="inlineStr">
        <is>
          <t>Organic Search</t>
        </is>
      </c>
      <c r="G868" t="inlineStr">
        <is>
          <t>Mobile App</t>
        </is>
      </c>
      <c r="H868" t="inlineStr">
        <is>
          <t>UPI</t>
        </is>
      </c>
      <c r="I868" t="inlineStr">
        <is>
          <t>Delivered</t>
        </is>
      </c>
      <c r="J868" t="n">
        <v>137</v>
      </c>
      <c r="K868" t="n">
        <v>1</v>
      </c>
      <c r="L868" s="7" t="n">
        <v>261</v>
      </c>
      <c r="M868" s="7" t="n">
        <v>39.15</v>
      </c>
    </row>
    <row r="869">
      <c r="A869" t="n">
        <v>509767</v>
      </c>
      <c r="B869" s="6" t="n">
        <v>45942</v>
      </c>
      <c r="C869" t="n">
        <v>16765</v>
      </c>
      <c r="D869" t="inlineStr">
        <is>
          <t>Bengaluru</t>
        </is>
      </c>
      <c r="E869" t="inlineStr">
        <is>
          <t>South</t>
        </is>
      </c>
      <c r="F869" t="inlineStr">
        <is>
          <t>Organic Search</t>
        </is>
      </c>
      <c r="G869" t="inlineStr">
        <is>
          <t>Mobile App</t>
        </is>
      </c>
      <c r="H869" t="inlineStr">
        <is>
          <t>UPI</t>
        </is>
      </c>
      <c r="I869" t="inlineStr">
        <is>
          <t>Delivered</t>
        </is>
      </c>
      <c r="J869" t="n">
        <v>129</v>
      </c>
      <c r="K869" t="n">
        <v>1</v>
      </c>
      <c r="L869" s="7" t="n">
        <v>576</v>
      </c>
      <c r="M869" s="7" t="n">
        <v>86.40000000000001</v>
      </c>
    </row>
    <row r="870">
      <c r="A870" t="n">
        <v>509768</v>
      </c>
      <c r="B870" s="6" t="n">
        <v>45942</v>
      </c>
      <c r="C870" t="n">
        <v>10901</v>
      </c>
      <c r="D870" t="inlineStr">
        <is>
          <t>Bengaluru</t>
        </is>
      </c>
      <c r="E870" t="inlineStr">
        <is>
          <t>South</t>
        </is>
      </c>
      <c r="F870" t="inlineStr">
        <is>
          <t>Paid Social</t>
        </is>
      </c>
      <c r="G870" t="inlineStr">
        <is>
          <t>Mobile App</t>
        </is>
      </c>
      <c r="H870" t="inlineStr">
        <is>
          <t>Cash on Delivery</t>
        </is>
      </c>
      <c r="I870" t="inlineStr">
        <is>
          <t>Delivered</t>
        </is>
      </c>
      <c r="J870" t="n">
        <v>147</v>
      </c>
      <c r="K870" t="n">
        <v>1</v>
      </c>
      <c r="L870" s="7" t="n">
        <v>1364</v>
      </c>
      <c r="M870" s="7" t="n">
        <v>0</v>
      </c>
    </row>
    <row r="871">
      <c r="A871" t="n">
        <v>509769</v>
      </c>
      <c r="B871" s="6" t="n">
        <v>45942</v>
      </c>
      <c r="C871" t="n">
        <v>16708</v>
      </c>
      <c r="D871" t="inlineStr">
        <is>
          <t>Delhi</t>
        </is>
      </c>
      <c r="E871" t="inlineStr">
        <is>
          <t>North</t>
        </is>
      </c>
      <c r="F871" t="inlineStr">
        <is>
          <t>Organic Search</t>
        </is>
      </c>
      <c r="G871" t="inlineStr">
        <is>
          <t>Mobile Web</t>
        </is>
      </c>
      <c r="H871" t="inlineStr">
        <is>
          <t>Cash on Delivery</t>
        </is>
      </c>
      <c r="I871" t="inlineStr">
        <is>
          <t>Delivered</t>
        </is>
      </c>
      <c r="J871" t="n">
        <v>103</v>
      </c>
      <c r="K871" t="n">
        <v>1</v>
      </c>
      <c r="L871" s="7" t="n">
        <v>2624</v>
      </c>
      <c r="M871" s="7" t="n">
        <v>262.4</v>
      </c>
    </row>
    <row r="872">
      <c r="A872" t="n">
        <v>509769</v>
      </c>
      <c r="B872" s="6" t="n">
        <v>45942</v>
      </c>
      <c r="C872" t="n">
        <v>16708</v>
      </c>
      <c r="D872" t="inlineStr">
        <is>
          <t>Delhi</t>
        </is>
      </c>
      <c r="E872" t="inlineStr">
        <is>
          <t>North</t>
        </is>
      </c>
      <c r="F872" t="inlineStr">
        <is>
          <t>Organic Search</t>
        </is>
      </c>
      <c r="G872" t="inlineStr">
        <is>
          <t>Mobile Web</t>
        </is>
      </c>
      <c r="H872" t="inlineStr">
        <is>
          <t>Cash on Delivery</t>
        </is>
      </c>
      <c r="I872" t="inlineStr">
        <is>
          <t>Delivered</t>
        </is>
      </c>
      <c r="J872" t="n">
        <v>137</v>
      </c>
      <c r="K872" t="n">
        <v>1</v>
      </c>
      <c r="L872" s="7" t="n">
        <v>261</v>
      </c>
      <c r="M872" s="7" t="n">
        <v>26.1</v>
      </c>
    </row>
    <row r="873">
      <c r="A873" t="n">
        <v>509769</v>
      </c>
      <c r="B873" s="6" t="n">
        <v>45942</v>
      </c>
      <c r="C873" t="n">
        <v>16708</v>
      </c>
      <c r="D873" t="inlineStr">
        <is>
          <t>Delhi</t>
        </is>
      </c>
      <c r="E873" t="inlineStr">
        <is>
          <t>North</t>
        </is>
      </c>
      <c r="F873" t="inlineStr">
        <is>
          <t>Organic Search</t>
        </is>
      </c>
      <c r="G873" t="inlineStr">
        <is>
          <t>Mobile Web</t>
        </is>
      </c>
      <c r="H873" t="inlineStr">
        <is>
          <t>Cash on Delivery</t>
        </is>
      </c>
      <c r="I873" t="inlineStr">
        <is>
          <t>Delivered</t>
        </is>
      </c>
      <c r="J873" t="n">
        <v>112</v>
      </c>
      <c r="K873" t="n">
        <v>1</v>
      </c>
      <c r="L873" s="7" t="n">
        <v>1574</v>
      </c>
      <c r="M873" s="7" t="n">
        <v>157.4</v>
      </c>
    </row>
    <row r="874">
      <c r="A874" t="n">
        <v>509770</v>
      </c>
      <c r="B874" s="6" t="n">
        <v>45942</v>
      </c>
      <c r="C874" t="n">
        <v>12279</v>
      </c>
      <c r="D874" t="inlineStr">
        <is>
          <t>Gurugram</t>
        </is>
      </c>
      <c r="E874" t="inlineStr">
        <is>
          <t>North</t>
        </is>
      </c>
      <c r="F874" t="inlineStr">
        <is>
          <t>Paid Social</t>
        </is>
      </c>
      <c r="G874" t="inlineStr">
        <is>
          <t>Mobile App</t>
        </is>
      </c>
      <c r="H874" t="inlineStr">
        <is>
          <t>Cash on Delivery</t>
        </is>
      </c>
      <c r="I874" t="inlineStr">
        <is>
          <t>Delivered</t>
        </is>
      </c>
      <c r="J874" t="n">
        <v>107</v>
      </c>
      <c r="K874" t="n">
        <v>3</v>
      </c>
      <c r="L874" s="7" t="n">
        <v>1259</v>
      </c>
      <c r="M874" s="7" t="n">
        <v>0</v>
      </c>
    </row>
    <row r="875">
      <c r="A875" t="n">
        <v>509770</v>
      </c>
      <c r="B875" s="6" t="n">
        <v>45942</v>
      </c>
      <c r="C875" t="n">
        <v>12279</v>
      </c>
      <c r="D875" t="inlineStr">
        <is>
          <t>Gurugram</t>
        </is>
      </c>
      <c r="E875" t="inlineStr">
        <is>
          <t>North</t>
        </is>
      </c>
      <c r="F875" t="inlineStr">
        <is>
          <t>Paid Social</t>
        </is>
      </c>
      <c r="G875" t="inlineStr">
        <is>
          <t>Mobile App</t>
        </is>
      </c>
      <c r="H875" t="inlineStr">
        <is>
          <t>Cash on Delivery</t>
        </is>
      </c>
      <c r="I875" t="inlineStr">
        <is>
          <t>Delivered</t>
        </is>
      </c>
      <c r="J875" t="n">
        <v>141</v>
      </c>
      <c r="K875" t="n">
        <v>3</v>
      </c>
      <c r="L875" s="7" t="n">
        <v>261</v>
      </c>
      <c r="M875" s="7" t="n">
        <v>0</v>
      </c>
    </row>
    <row r="876">
      <c r="A876" t="n">
        <v>509770</v>
      </c>
      <c r="B876" s="6" t="n">
        <v>45942</v>
      </c>
      <c r="C876" t="n">
        <v>12279</v>
      </c>
      <c r="D876" t="inlineStr">
        <is>
          <t>Gurugram</t>
        </is>
      </c>
      <c r="E876" t="inlineStr">
        <is>
          <t>North</t>
        </is>
      </c>
      <c r="F876" t="inlineStr">
        <is>
          <t>Paid Social</t>
        </is>
      </c>
      <c r="G876" t="inlineStr">
        <is>
          <t>Mobile App</t>
        </is>
      </c>
      <c r="H876" t="inlineStr">
        <is>
          <t>Cash on Delivery</t>
        </is>
      </c>
      <c r="I876" t="inlineStr">
        <is>
          <t>Delivered</t>
        </is>
      </c>
      <c r="J876" t="n">
        <v>137</v>
      </c>
      <c r="K876" t="n">
        <v>1</v>
      </c>
      <c r="L876" s="7" t="n">
        <v>261</v>
      </c>
      <c r="M876" s="7" t="n">
        <v>0</v>
      </c>
    </row>
    <row r="877">
      <c r="A877" t="n">
        <v>509771</v>
      </c>
      <c r="B877" s="6" t="n">
        <v>45942</v>
      </c>
      <c r="C877" t="n">
        <v>16771</v>
      </c>
      <c r="D877" t="inlineStr">
        <is>
          <t>Bengaluru</t>
        </is>
      </c>
      <c r="E877" t="inlineStr">
        <is>
          <t>South</t>
        </is>
      </c>
      <c r="F877" t="inlineStr">
        <is>
          <t>Paid Social</t>
        </is>
      </c>
      <c r="G877" t="inlineStr">
        <is>
          <t>Desktop</t>
        </is>
      </c>
      <c r="H877" t="inlineStr">
        <is>
          <t>UPI</t>
        </is>
      </c>
      <c r="I877" t="inlineStr">
        <is>
          <t>Delivered</t>
        </is>
      </c>
      <c r="J877" t="n">
        <v>137</v>
      </c>
      <c r="K877" t="n">
        <v>1</v>
      </c>
      <c r="L877" s="7" t="n">
        <v>261</v>
      </c>
      <c r="M877" s="7" t="n">
        <v>39.15</v>
      </c>
    </row>
    <row r="878">
      <c r="A878" t="n">
        <v>509771</v>
      </c>
      <c r="B878" s="6" t="n">
        <v>45942</v>
      </c>
      <c r="C878" t="n">
        <v>16771</v>
      </c>
      <c r="D878" t="inlineStr">
        <is>
          <t>Bengaluru</t>
        </is>
      </c>
      <c r="E878" t="inlineStr">
        <is>
          <t>South</t>
        </is>
      </c>
      <c r="F878" t="inlineStr">
        <is>
          <t>Paid Social</t>
        </is>
      </c>
      <c r="G878" t="inlineStr">
        <is>
          <t>Desktop</t>
        </is>
      </c>
      <c r="H878" t="inlineStr">
        <is>
          <t>UPI</t>
        </is>
      </c>
      <c r="I878" t="inlineStr">
        <is>
          <t>Delivered</t>
        </is>
      </c>
      <c r="J878" t="n">
        <v>114</v>
      </c>
      <c r="K878" t="n">
        <v>1</v>
      </c>
      <c r="L878" s="7" t="n">
        <v>1259</v>
      </c>
      <c r="M878" s="7" t="n">
        <v>188.85</v>
      </c>
    </row>
    <row r="879">
      <c r="A879" t="n">
        <v>509772</v>
      </c>
      <c r="B879" s="6" t="n">
        <v>45942</v>
      </c>
      <c r="C879" t="n">
        <v>16591</v>
      </c>
      <c r="D879" t="inlineStr">
        <is>
          <t>Pune</t>
        </is>
      </c>
      <c r="E879" t="inlineStr">
        <is>
          <t>West</t>
        </is>
      </c>
      <c r="F879" t="inlineStr">
        <is>
          <t>Paid Social</t>
        </is>
      </c>
      <c r="G879" t="inlineStr">
        <is>
          <t>Mobile Web</t>
        </is>
      </c>
      <c r="H879" t="inlineStr">
        <is>
          <t>Cash on Delivery</t>
        </is>
      </c>
      <c r="I879" t="inlineStr">
        <is>
          <t>Delivered</t>
        </is>
      </c>
      <c r="J879" t="n">
        <v>115</v>
      </c>
      <c r="K879" t="n">
        <v>1</v>
      </c>
      <c r="L879" s="7" t="n">
        <v>4199</v>
      </c>
      <c r="M879" s="7" t="n">
        <v>629.85</v>
      </c>
    </row>
    <row r="880">
      <c r="A880" t="n">
        <v>509773</v>
      </c>
      <c r="B880" s="6" t="n">
        <v>45942</v>
      </c>
      <c r="C880" t="n">
        <v>12597</v>
      </c>
      <c r="D880" t="inlineStr">
        <is>
          <t>Delhi</t>
        </is>
      </c>
      <c r="E880" t="inlineStr">
        <is>
          <t>North</t>
        </is>
      </c>
      <c r="F880" t="inlineStr">
        <is>
          <t>Paid Social</t>
        </is>
      </c>
      <c r="G880" t="inlineStr">
        <is>
          <t>Desktop</t>
        </is>
      </c>
      <c r="H880" t="inlineStr">
        <is>
          <t>Cash on Delivery</t>
        </is>
      </c>
      <c r="I880" t="inlineStr">
        <is>
          <t>Delivered</t>
        </is>
      </c>
      <c r="J880" t="n">
        <v>142</v>
      </c>
      <c r="K880" t="n">
        <v>1</v>
      </c>
      <c r="L880" s="7" t="n">
        <v>839</v>
      </c>
      <c r="M880" s="7" t="n">
        <v>83.90000000000001</v>
      </c>
    </row>
    <row r="881">
      <c r="A881" t="n">
        <v>509773</v>
      </c>
      <c r="B881" s="6" t="n">
        <v>45942</v>
      </c>
      <c r="C881" t="n">
        <v>12597</v>
      </c>
      <c r="D881" t="inlineStr">
        <is>
          <t>Delhi</t>
        </is>
      </c>
      <c r="E881" t="inlineStr">
        <is>
          <t>North</t>
        </is>
      </c>
      <c r="F881" t="inlineStr">
        <is>
          <t>Paid Social</t>
        </is>
      </c>
      <c r="G881" t="inlineStr">
        <is>
          <t>Desktop</t>
        </is>
      </c>
      <c r="H881" t="inlineStr">
        <is>
          <t>Cash on Delivery</t>
        </is>
      </c>
      <c r="I881" t="inlineStr">
        <is>
          <t>Delivered</t>
        </is>
      </c>
      <c r="J881" t="n">
        <v>117</v>
      </c>
      <c r="K881" t="n">
        <v>1</v>
      </c>
      <c r="L881" s="7" t="n">
        <v>3149</v>
      </c>
      <c r="M881" s="7" t="n">
        <v>314.9</v>
      </c>
    </row>
    <row r="882">
      <c r="A882" t="n">
        <v>509773</v>
      </c>
      <c r="B882" s="6" t="n">
        <v>45942</v>
      </c>
      <c r="C882" t="n">
        <v>12597</v>
      </c>
      <c r="D882" t="inlineStr">
        <is>
          <t>Delhi</t>
        </is>
      </c>
      <c r="E882" t="inlineStr">
        <is>
          <t>North</t>
        </is>
      </c>
      <c r="F882" t="inlineStr">
        <is>
          <t>Paid Social</t>
        </is>
      </c>
      <c r="G882" t="inlineStr">
        <is>
          <t>Desktop</t>
        </is>
      </c>
      <c r="H882" t="inlineStr">
        <is>
          <t>Cash on Delivery</t>
        </is>
      </c>
      <c r="I882" t="inlineStr">
        <is>
          <t>Delivered</t>
        </is>
      </c>
      <c r="J882" t="n">
        <v>103</v>
      </c>
      <c r="K882" t="n">
        <v>1</v>
      </c>
      <c r="L882" s="7" t="n">
        <v>2624</v>
      </c>
      <c r="M882" s="7" t="n">
        <v>262.4</v>
      </c>
    </row>
    <row r="883">
      <c r="A883" t="n">
        <v>509774</v>
      </c>
      <c r="B883" s="6" t="n">
        <v>45942</v>
      </c>
      <c r="C883" t="n">
        <v>14193</v>
      </c>
      <c r="D883" t="inlineStr">
        <is>
          <t>Noida</t>
        </is>
      </c>
      <c r="E883" t="inlineStr">
        <is>
          <t>North</t>
        </is>
      </c>
      <c r="F883" t="inlineStr">
        <is>
          <t>Email</t>
        </is>
      </c>
      <c r="G883" t="inlineStr">
        <is>
          <t>Mobile App</t>
        </is>
      </c>
      <c r="H883" t="inlineStr">
        <is>
          <t>Cash on Delivery</t>
        </is>
      </c>
      <c r="I883" t="inlineStr">
        <is>
          <t>Delivered</t>
        </is>
      </c>
      <c r="J883" t="n">
        <v>110</v>
      </c>
      <c r="K883" t="n">
        <v>1</v>
      </c>
      <c r="L883" s="7" t="n">
        <v>839</v>
      </c>
      <c r="M883" s="7" t="n">
        <v>0</v>
      </c>
    </row>
    <row r="884">
      <c r="A884" t="n">
        <v>509775</v>
      </c>
      <c r="B884" s="6" t="n">
        <v>45942</v>
      </c>
      <c r="C884" t="n">
        <v>13055</v>
      </c>
      <c r="D884" t="inlineStr">
        <is>
          <t>Lucknow</t>
        </is>
      </c>
      <c r="E884" t="inlineStr">
        <is>
          <t>North</t>
        </is>
      </c>
      <c r="F884" t="inlineStr">
        <is>
          <t>Paid Search</t>
        </is>
      </c>
      <c r="G884" t="inlineStr">
        <is>
          <t>Mobile App</t>
        </is>
      </c>
      <c r="H884" t="inlineStr">
        <is>
          <t>UPI</t>
        </is>
      </c>
      <c r="I884" t="inlineStr">
        <is>
          <t>Delivered</t>
        </is>
      </c>
      <c r="J884" t="n">
        <v>106</v>
      </c>
      <c r="K884" t="n">
        <v>1</v>
      </c>
      <c r="L884" s="7" t="n">
        <v>1574</v>
      </c>
      <c r="M884" s="7" t="n">
        <v>157.4</v>
      </c>
    </row>
    <row r="885">
      <c r="A885" t="n">
        <v>509775</v>
      </c>
      <c r="B885" s="6" t="n">
        <v>45942</v>
      </c>
      <c r="C885" t="n">
        <v>13055</v>
      </c>
      <c r="D885" t="inlineStr">
        <is>
          <t>Lucknow</t>
        </is>
      </c>
      <c r="E885" t="inlineStr">
        <is>
          <t>North</t>
        </is>
      </c>
      <c r="F885" t="inlineStr">
        <is>
          <t>Paid Search</t>
        </is>
      </c>
      <c r="G885" t="inlineStr">
        <is>
          <t>Mobile App</t>
        </is>
      </c>
      <c r="H885" t="inlineStr">
        <is>
          <t>UPI</t>
        </is>
      </c>
      <c r="I885" t="inlineStr">
        <is>
          <t>Delivered</t>
        </is>
      </c>
      <c r="J885" t="n">
        <v>129</v>
      </c>
      <c r="K885" t="n">
        <v>2</v>
      </c>
      <c r="L885" s="7" t="n">
        <v>576</v>
      </c>
      <c r="M885" s="7" t="n">
        <v>115.2</v>
      </c>
    </row>
    <row r="886">
      <c r="A886" t="n">
        <v>509776</v>
      </c>
      <c r="B886" s="6" t="n">
        <v>45942</v>
      </c>
      <c r="C886" t="n">
        <v>16613</v>
      </c>
      <c r="D886" t="inlineStr">
        <is>
          <t>Chennai</t>
        </is>
      </c>
      <c r="E886" t="inlineStr">
        <is>
          <t>South</t>
        </is>
      </c>
      <c r="F886" t="inlineStr">
        <is>
          <t>Organic Search</t>
        </is>
      </c>
      <c r="G886" t="inlineStr">
        <is>
          <t>Desktop</t>
        </is>
      </c>
      <c r="H886" t="inlineStr">
        <is>
          <t>UPI</t>
        </is>
      </c>
      <c r="I886" t="inlineStr">
        <is>
          <t>Cancelled</t>
        </is>
      </c>
      <c r="J886" t="n">
        <v>130</v>
      </c>
      <c r="K886" t="n">
        <v>1</v>
      </c>
      <c r="L886" s="7" t="n">
        <v>734</v>
      </c>
      <c r="M886" s="7" t="n">
        <v>110.1</v>
      </c>
    </row>
    <row r="887">
      <c r="A887" t="n">
        <v>509777</v>
      </c>
      <c r="B887" s="6" t="n">
        <v>45942</v>
      </c>
      <c r="C887" t="n">
        <v>16758</v>
      </c>
      <c r="D887" t="inlineStr">
        <is>
          <t>Delhi</t>
        </is>
      </c>
      <c r="E887" t="inlineStr">
        <is>
          <t>North</t>
        </is>
      </c>
      <c r="F887" t="inlineStr">
        <is>
          <t>Paid Social</t>
        </is>
      </c>
      <c r="G887" t="inlineStr">
        <is>
          <t>Mobile App</t>
        </is>
      </c>
      <c r="H887" t="inlineStr">
        <is>
          <t>UPI</t>
        </is>
      </c>
      <c r="I887" t="inlineStr">
        <is>
          <t>Delivered</t>
        </is>
      </c>
      <c r="J887" t="n">
        <v>113</v>
      </c>
      <c r="K887" t="n">
        <v>1</v>
      </c>
      <c r="L887" s="7" t="n">
        <v>1364</v>
      </c>
      <c r="M887" s="7" t="n">
        <v>204.6</v>
      </c>
    </row>
    <row r="888">
      <c r="A888" t="n">
        <v>509777</v>
      </c>
      <c r="B888" s="6" t="n">
        <v>45942</v>
      </c>
      <c r="C888" t="n">
        <v>16758</v>
      </c>
      <c r="D888" t="inlineStr">
        <is>
          <t>Delhi</t>
        </is>
      </c>
      <c r="E888" t="inlineStr">
        <is>
          <t>North</t>
        </is>
      </c>
      <c r="F888" t="inlineStr">
        <is>
          <t>Paid Social</t>
        </is>
      </c>
      <c r="G888" t="inlineStr">
        <is>
          <t>Mobile App</t>
        </is>
      </c>
      <c r="H888" t="inlineStr">
        <is>
          <t>UPI</t>
        </is>
      </c>
      <c r="I888" t="inlineStr">
        <is>
          <t>Delivered</t>
        </is>
      </c>
      <c r="J888" t="n">
        <v>136</v>
      </c>
      <c r="K888" t="n">
        <v>3</v>
      </c>
      <c r="L888" s="7" t="n">
        <v>944</v>
      </c>
      <c r="M888" s="7" t="n">
        <v>424.8</v>
      </c>
    </row>
    <row r="889">
      <c r="A889" t="n">
        <v>509777</v>
      </c>
      <c r="B889" s="6" t="n">
        <v>45942</v>
      </c>
      <c r="C889" t="n">
        <v>16758</v>
      </c>
      <c r="D889" t="inlineStr">
        <is>
          <t>Delhi</t>
        </is>
      </c>
      <c r="E889" t="inlineStr">
        <is>
          <t>North</t>
        </is>
      </c>
      <c r="F889" t="inlineStr">
        <is>
          <t>Paid Social</t>
        </is>
      </c>
      <c r="G889" t="inlineStr">
        <is>
          <t>Mobile App</t>
        </is>
      </c>
      <c r="H889" t="inlineStr">
        <is>
          <t>UPI</t>
        </is>
      </c>
      <c r="I889" t="inlineStr">
        <is>
          <t>Delivered</t>
        </is>
      </c>
      <c r="J889" t="n">
        <v>119</v>
      </c>
      <c r="K889" t="n">
        <v>1</v>
      </c>
      <c r="L889" s="7" t="n">
        <v>2309</v>
      </c>
      <c r="M889" s="7" t="n">
        <v>346.35</v>
      </c>
    </row>
    <row r="890">
      <c r="A890" t="n">
        <v>509778</v>
      </c>
      <c r="B890" s="6" t="n">
        <v>45942</v>
      </c>
      <c r="C890" t="n">
        <v>16560</v>
      </c>
      <c r="D890" t="inlineStr">
        <is>
          <t>Noida</t>
        </is>
      </c>
      <c r="E890" t="inlineStr">
        <is>
          <t>North</t>
        </is>
      </c>
      <c r="F890" t="inlineStr">
        <is>
          <t>Organic Search</t>
        </is>
      </c>
      <c r="G890" t="inlineStr">
        <is>
          <t>Desktop</t>
        </is>
      </c>
      <c r="H890" t="inlineStr">
        <is>
          <t>Cash on Delivery</t>
        </is>
      </c>
      <c r="I890" t="inlineStr">
        <is>
          <t>Returned</t>
        </is>
      </c>
      <c r="J890" t="n">
        <v>103</v>
      </c>
      <c r="K890" t="n">
        <v>1</v>
      </c>
      <c r="L890" s="7" t="n">
        <v>2624</v>
      </c>
      <c r="M890" s="7" t="n">
        <v>393.6</v>
      </c>
    </row>
    <row r="891">
      <c r="A891" t="n">
        <v>509778</v>
      </c>
      <c r="B891" s="6" t="n">
        <v>45942</v>
      </c>
      <c r="C891" t="n">
        <v>16560</v>
      </c>
      <c r="D891" t="inlineStr">
        <is>
          <t>Noida</t>
        </is>
      </c>
      <c r="E891" t="inlineStr">
        <is>
          <t>North</t>
        </is>
      </c>
      <c r="F891" t="inlineStr">
        <is>
          <t>Organic Search</t>
        </is>
      </c>
      <c r="G891" t="inlineStr">
        <is>
          <t>Desktop</t>
        </is>
      </c>
      <c r="H891" t="inlineStr">
        <is>
          <t>Cash on Delivery</t>
        </is>
      </c>
      <c r="I891" t="inlineStr">
        <is>
          <t>Returned</t>
        </is>
      </c>
      <c r="J891" t="n">
        <v>129</v>
      </c>
      <c r="K891" t="n">
        <v>2</v>
      </c>
      <c r="L891" s="7" t="n">
        <v>576</v>
      </c>
      <c r="M891" s="7" t="n">
        <v>172.8</v>
      </c>
    </row>
    <row r="892">
      <c r="A892" t="n">
        <v>509779</v>
      </c>
      <c r="B892" s="6" t="n">
        <v>45942</v>
      </c>
      <c r="C892" t="n">
        <v>16094</v>
      </c>
      <c r="D892" t="inlineStr">
        <is>
          <t>Mumbai</t>
        </is>
      </c>
      <c r="E892" t="inlineStr">
        <is>
          <t>West</t>
        </is>
      </c>
      <c r="F892" t="inlineStr">
        <is>
          <t>Referral</t>
        </is>
      </c>
      <c r="G892" t="inlineStr">
        <is>
          <t>Mobile App</t>
        </is>
      </c>
      <c r="H892" t="inlineStr">
        <is>
          <t>UPI</t>
        </is>
      </c>
      <c r="I892" t="inlineStr">
        <is>
          <t>Delivered</t>
        </is>
      </c>
      <c r="J892" t="n">
        <v>120</v>
      </c>
      <c r="K892" t="n">
        <v>1</v>
      </c>
      <c r="L892" s="7" t="n">
        <v>734</v>
      </c>
      <c r="M892" s="7" t="n">
        <v>73.40000000000001</v>
      </c>
    </row>
    <row r="893">
      <c r="A893" t="n">
        <v>509779</v>
      </c>
      <c r="B893" s="6" t="n">
        <v>45942</v>
      </c>
      <c r="C893" t="n">
        <v>16094</v>
      </c>
      <c r="D893" t="inlineStr">
        <is>
          <t>Mumbai</t>
        </is>
      </c>
      <c r="E893" t="inlineStr">
        <is>
          <t>West</t>
        </is>
      </c>
      <c r="F893" t="inlineStr">
        <is>
          <t>Referral</t>
        </is>
      </c>
      <c r="G893" t="inlineStr">
        <is>
          <t>Mobile App</t>
        </is>
      </c>
      <c r="H893" t="inlineStr">
        <is>
          <t>UPI</t>
        </is>
      </c>
      <c r="I893" t="inlineStr">
        <is>
          <t>Delivered</t>
        </is>
      </c>
      <c r="J893" t="n">
        <v>105</v>
      </c>
      <c r="K893" t="n">
        <v>1</v>
      </c>
      <c r="L893" s="7" t="n">
        <v>2414</v>
      </c>
      <c r="M893" s="7" t="n">
        <v>241.4</v>
      </c>
    </row>
    <row r="894">
      <c r="A894" t="n">
        <v>509779</v>
      </c>
      <c r="B894" s="6" t="n">
        <v>45942</v>
      </c>
      <c r="C894" t="n">
        <v>16094</v>
      </c>
      <c r="D894" t="inlineStr">
        <is>
          <t>Mumbai</t>
        </is>
      </c>
      <c r="E894" t="inlineStr">
        <is>
          <t>West</t>
        </is>
      </c>
      <c r="F894" t="inlineStr">
        <is>
          <t>Referral</t>
        </is>
      </c>
      <c r="G894" t="inlineStr">
        <is>
          <t>Mobile App</t>
        </is>
      </c>
      <c r="H894" t="inlineStr">
        <is>
          <t>UPI</t>
        </is>
      </c>
      <c r="I894" t="inlineStr">
        <is>
          <t>Delivered</t>
        </is>
      </c>
      <c r="J894" t="n">
        <v>129</v>
      </c>
      <c r="K894" t="n">
        <v>1</v>
      </c>
      <c r="L894" s="7" t="n">
        <v>576</v>
      </c>
      <c r="M894" s="7" t="n">
        <v>57.6</v>
      </c>
    </row>
    <row r="895">
      <c r="A895" t="n">
        <v>509780</v>
      </c>
      <c r="B895" s="6" t="n">
        <v>45942</v>
      </c>
      <c r="C895" t="n">
        <v>11986</v>
      </c>
      <c r="D895" t="inlineStr">
        <is>
          <t>Bengaluru</t>
        </is>
      </c>
      <c r="E895" t="inlineStr">
        <is>
          <t>South</t>
        </is>
      </c>
      <c r="F895" t="inlineStr">
        <is>
          <t>Organic Search</t>
        </is>
      </c>
      <c r="G895" t="inlineStr">
        <is>
          <t>Desktop</t>
        </is>
      </c>
      <c r="H895" t="inlineStr">
        <is>
          <t>UPI</t>
        </is>
      </c>
      <c r="I895" t="inlineStr">
        <is>
          <t>Delivered</t>
        </is>
      </c>
      <c r="J895" t="n">
        <v>146</v>
      </c>
      <c r="K895" t="n">
        <v>1</v>
      </c>
      <c r="L895" s="7" t="n">
        <v>4724</v>
      </c>
      <c r="M895" s="7" t="n">
        <v>472.4</v>
      </c>
    </row>
    <row r="896">
      <c r="A896" t="n">
        <v>509781</v>
      </c>
      <c r="B896" s="6" t="n">
        <v>45942</v>
      </c>
      <c r="C896" t="n">
        <v>11569</v>
      </c>
      <c r="D896" t="inlineStr">
        <is>
          <t>Chandigarh</t>
        </is>
      </c>
      <c r="E896" t="inlineStr">
        <is>
          <t>North</t>
        </is>
      </c>
      <c r="F896" t="inlineStr">
        <is>
          <t>Email</t>
        </is>
      </c>
      <c r="G896" t="inlineStr">
        <is>
          <t>Mobile Web</t>
        </is>
      </c>
      <c r="H896" t="inlineStr">
        <is>
          <t>UPI</t>
        </is>
      </c>
      <c r="I896" t="inlineStr">
        <is>
          <t>Delivered</t>
        </is>
      </c>
      <c r="J896" t="n">
        <v>145</v>
      </c>
      <c r="K896" t="n">
        <v>1</v>
      </c>
      <c r="L896" s="7" t="n">
        <v>629</v>
      </c>
      <c r="M896" s="7" t="n">
        <v>62.9</v>
      </c>
    </row>
    <row r="897">
      <c r="A897" t="n">
        <v>509781</v>
      </c>
      <c r="B897" s="6" t="n">
        <v>45942</v>
      </c>
      <c r="C897" t="n">
        <v>11569</v>
      </c>
      <c r="D897" t="inlineStr">
        <is>
          <t>Chandigarh</t>
        </is>
      </c>
      <c r="E897" t="inlineStr">
        <is>
          <t>North</t>
        </is>
      </c>
      <c r="F897" t="inlineStr">
        <is>
          <t>Email</t>
        </is>
      </c>
      <c r="G897" t="inlineStr">
        <is>
          <t>Mobile Web</t>
        </is>
      </c>
      <c r="H897" t="inlineStr">
        <is>
          <t>UPI</t>
        </is>
      </c>
      <c r="I897" t="inlineStr">
        <is>
          <t>Delivered</t>
        </is>
      </c>
      <c r="J897" t="n">
        <v>111</v>
      </c>
      <c r="K897" t="n">
        <v>1</v>
      </c>
      <c r="L897" s="7" t="n">
        <v>524</v>
      </c>
      <c r="M897" s="7" t="n">
        <v>52.4</v>
      </c>
    </row>
    <row r="898">
      <c r="A898" t="n">
        <v>509781</v>
      </c>
      <c r="B898" s="6" t="n">
        <v>45942</v>
      </c>
      <c r="C898" t="n">
        <v>11569</v>
      </c>
      <c r="D898" t="inlineStr">
        <is>
          <t>Chandigarh</t>
        </is>
      </c>
      <c r="E898" t="inlineStr">
        <is>
          <t>North</t>
        </is>
      </c>
      <c r="F898" t="inlineStr">
        <is>
          <t>Email</t>
        </is>
      </c>
      <c r="G898" t="inlineStr">
        <is>
          <t>Mobile Web</t>
        </is>
      </c>
      <c r="H898" t="inlineStr">
        <is>
          <t>UPI</t>
        </is>
      </c>
      <c r="I898" t="inlineStr">
        <is>
          <t>Delivered</t>
        </is>
      </c>
      <c r="J898" t="n">
        <v>106</v>
      </c>
      <c r="K898" t="n">
        <v>1</v>
      </c>
      <c r="L898" s="7" t="n">
        <v>1574</v>
      </c>
      <c r="M898" s="7" t="n">
        <v>157.4</v>
      </c>
    </row>
    <row r="899">
      <c r="A899" t="n">
        <v>509781</v>
      </c>
      <c r="B899" s="6" t="n">
        <v>45942</v>
      </c>
      <c r="C899" t="n">
        <v>11569</v>
      </c>
      <c r="D899" t="inlineStr">
        <is>
          <t>Chandigarh</t>
        </is>
      </c>
      <c r="E899" t="inlineStr">
        <is>
          <t>North</t>
        </is>
      </c>
      <c r="F899" t="inlineStr">
        <is>
          <t>Email</t>
        </is>
      </c>
      <c r="G899" t="inlineStr">
        <is>
          <t>Mobile Web</t>
        </is>
      </c>
      <c r="H899" t="inlineStr">
        <is>
          <t>UPI</t>
        </is>
      </c>
      <c r="I899" t="inlineStr">
        <is>
          <t>Delivered</t>
        </is>
      </c>
      <c r="J899" t="n">
        <v>137</v>
      </c>
      <c r="K899" t="n">
        <v>1</v>
      </c>
      <c r="L899" s="7" t="n">
        <v>261</v>
      </c>
      <c r="M899" s="7" t="n">
        <v>26.1</v>
      </c>
    </row>
    <row r="900">
      <c r="A900" t="n">
        <v>509782</v>
      </c>
      <c r="B900" s="6" t="n">
        <v>45942</v>
      </c>
      <c r="C900" t="n">
        <v>13617</v>
      </c>
      <c r="D900" t="inlineStr">
        <is>
          <t>Bengaluru</t>
        </is>
      </c>
      <c r="E900" t="inlineStr">
        <is>
          <t>South</t>
        </is>
      </c>
      <c r="F900" t="inlineStr">
        <is>
          <t>Paid Social</t>
        </is>
      </c>
      <c r="G900" t="inlineStr">
        <is>
          <t>Mobile App</t>
        </is>
      </c>
      <c r="H900" t="inlineStr">
        <is>
          <t>UPI</t>
        </is>
      </c>
      <c r="I900" t="inlineStr">
        <is>
          <t>Delivered</t>
        </is>
      </c>
      <c r="J900" t="n">
        <v>129</v>
      </c>
      <c r="K900" t="n">
        <v>1</v>
      </c>
      <c r="L900" s="7" t="n">
        <v>576</v>
      </c>
      <c r="M900" s="7" t="n">
        <v>57.6</v>
      </c>
    </row>
    <row r="901">
      <c r="A901" t="n">
        <v>509783</v>
      </c>
      <c r="B901" s="6" t="n">
        <v>45942</v>
      </c>
      <c r="C901" t="n">
        <v>16737</v>
      </c>
      <c r="D901" t="inlineStr">
        <is>
          <t>Pune</t>
        </is>
      </c>
      <c r="E901" t="inlineStr">
        <is>
          <t>West</t>
        </is>
      </c>
      <c r="F901" t="inlineStr">
        <is>
          <t>Paid Social</t>
        </is>
      </c>
      <c r="G901" t="inlineStr">
        <is>
          <t>Mobile App</t>
        </is>
      </c>
      <c r="H901" t="inlineStr">
        <is>
          <t>UPI</t>
        </is>
      </c>
      <c r="I901" t="inlineStr">
        <is>
          <t>Delivered</t>
        </is>
      </c>
      <c r="J901" t="n">
        <v>101</v>
      </c>
      <c r="K901" t="n">
        <v>2</v>
      </c>
      <c r="L901" s="7" t="n">
        <v>2099</v>
      </c>
      <c r="M901" s="7" t="n">
        <v>419.8</v>
      </c>
    </row>
    <row r="902">
      <c r="A902" t="n">
        <v>509784</v>
      </c>
      <c r="B902" s="6" t="n">
        <v>45942</v>
      </c>
      <c r="C902" t="n">
        <v>10264</v>
      </c>
      <c r="D902" t="inlineStr">
        <is>
          <t>Pune</t>
        </is>
      </c>
      <c r="E902" t="inlineStr">
        <is>
          <t>West</t>
        </is>
      </c>
      <c r="F902" t="inlineStr">
        <is>
          <t>Organic Search</t>
        </is>
      </c>
      <c r="G902" t="inlineStr">
        <is>
          <t>Mobile App</t>
        </is>
      </c>
      <c r="H902" t="inlineStr">
        <is>
          <t>UPI</t>
        </is>
      </c>
      <c r="I902" t="inlineStr">
        <is>
          <t>Delivered</t>
        </is>
      </c>
      <c r="J902" t="n">
        <v>116</v>
      </c>
      <c r="K902" t="n">
        <v>1</v>
      </c>
      <c r="L902" s="7" t="n">
        <v>2624</v>
      </c>
      <c r="M902" s="7" t="n">
        <v>0</v>
      </c>
    </row>
    <row r="903">
      <c r="A903" t="n">
        <v>509784</v>
      </c>
      <c r="B903" s="6" t="n">
        <v>45942</v>
      </c>
      <c r="C903" t="n">
        <v>10264</v>
      </c>
      <c r="D903" t="inlineStr">
        <is>
          <t>Pune</t>
        </is>
      </c>
      <c r="E903" t="inlineStr">
        <is>
          <t>West</t>
        </is>
      </c>
      <c r="F903" t="inlineStr">
        <is>
          <t>Organic Search</t>
        </is>
      </c>
      <c r="G903" t="inlineStr">
        <is>
          <t>Mobile App</t>
        </is>
      </c>
      <c r="H903" t="inlineStr">
        <is>
          <t>UPI</t>
        </is>
      </c>
      <c r="I903" t="inlineStr">
        <is>
          <t>Delivered</t>
        </is>
      </c>
      <c r="J903" t="n">
        <v>102</v>
      </c>
      <c r="K903" t="n">
        <v>1</v>
      </c>
      <c r="L903" s="7" t="n">
        <v>3674</v>
      </c>
      <c r="M903" s="7" t="n">
        <v>0</v>
      </c>
    </row>
    <row r="904">
      <c r="A904" t="n">
        <v>509784</v>
      </c>
      <c r="B904" s="6" t="n">
        <v>45942</v>
      </c>
      <c r="C904" t="n">
        <v>10264</v>
      </c>
      <c r="D904" t="inlineStr">
        <is>
          <t>Pune</t>
        </is>
      </c>
      <c r="E904" t="inlineStr">
        <is>
          <t>West</t>
        </is>
      </c>
      <c r="F904" t="inlineStr">
        <is>
          <t>Organic Search</t>
        </is>
      </c>
      <c r="G904" t="inlineStr">
        <is>
          <t>Mobile App</t>
        </is>
      </c>
      <c r="H904" t="inlineStr">
        <is>
          <t>UPI</t>
        </is>
      </c>
      <c r="I904" t="inlineStr">
        <is>
          <t>Delivered</t>
        </is>
      </c>
      <c r="J904" t="n">
        <v>129</v>
      </c>
      <c r="K904" t="n">
        <v>1</v>
      </c>
      <c r="L904" s="7" t="n">
        <v>576</v>
      </c>
      <c r="M904" s="7" t="n">
        <v>0</v>
      </c>
    </row>
    <row r="905">
      <c r="A905" t="n">
        <v>509785</v>
      </c>
      <c r="B905" s="6" t="n">
        <v>45942</v>
      </c>
      <c r="C905" t="n">
        <v>15905</v>
      </c>
      <c r="D905" t="inlineStr">
        <is>
          <t>Bengaluru</t>
        </is>
      </c>
      <c r="E905" t="inlineStr">
        <is>
          <t>South</t>
        </is>
      </c>
      <c r="F905" t="inlineStr">
        <is>
          <t>Referral</t>
        </is>
      </c>
      <c r="G905" t="inlineStr">
        <is>
          <t>Mobile App</t>
        </is>
      </c>
      <c r="H905" t="inlineStr">
        <is>
          <t>UPI</t>
        </is>
      </c>
      <c r="I905" t="inlineStr">
        <is>
          <t>Cancelled</t>
        </is>
      </c>
      <c r="J905" t="n">
        <v>101</v>
      </c>
      <c r="K905" t="n">
        <v>1</v>
      </c>
      <c r="L905" s="7" t="n">
        <v>2099</v>
      </c>
      <c r="M905" s="7" t="n">
        <v>209.9</v>
      </c>
    </row>
    <row r="906">
      <c r="A906" t="n">
        <v>509785</v>
      </c>
      <c r="B906" s="6" t="n">
        <v>45942</v>
      </c>
      <c r="C906" t="n">
        <v>15905</v>
      </c>
      <c r="D906" t="inlineStr">
        <is>
          <t>Bengaluru</t>
        </is>
      </c>
      <c r="E906" t="inlineStr">
        <is>
          <t>South</t>
        </is>
      </c>
      <c r="F906" t="inlineStr">
        <is>
          <t>Referral</t>
        </is>
      </c>
      <c r="G906" t="inlineStr">
        <is>
          <t>Mobile App</t>
        </is>
      </c>
      <c r="H906" t="inlineStr">
        <is>
          <t>UPI</t>
        </is>
      </c>
      <c r="I906" t="inlineStr">
        <is>
          <t>Cancelled</t>
        </is>
      </c>
      <c r="J906" t="n">
        <v>129</v>
      </c>
      <c r="K906" t="n">
        <v>1</v>
      </c>
      <c r="L906" s="7" t="n">
        <v>576</v>
      </c>
      <c r="M906" s="7" t="n">
        <v>57.6</v>
      </c>
    </row>
    <row r="907">
      <c r="A907" t="n">
        <v>509786</v>
      </c>
      <c r="B907" s="6" t="n">
        <v>45942</v>
      </c>
      <c r="C907" t="n">
        <v>16684</v>
      </c>
      <c r="D907" t="inlineStr">
        <is>
          <t>Jaipur</t>
        </is>
      </c>
      <c r="E907" t="inlineStr">
        <is>
          <t>North</t>
        </is>
      </c>
      <c r="F907" t="inlineStr">
        <is>
          <t>Referral</t>
        </is>
      </c>
      <c r="G907" t="inlineStr">
        <is>
          <t>Desktop</t>
        </is>
      </c>
      <c r="H907" t="inlineStr">
        <is>
          <t>UPI</t>
        </is>
      </c>
      <c r="I907" t="inlineStr">
        <is>
          <t>Delivered</t>
        </is>
      </c>
      <c r="J907" t="n">
        <v>148</v>
      </c>
      <c r="K907" t="n">
        <v>1</v>
      </c>
      <c r="L907" s="7" t="n">
        <v>734</v>
      </c>
      <c r="M907" s="7" t="n">
        <v>110.1</v>
      </c>
    </row>
    <row r="908">
      <c r="A908" t="n">
        <v>509787</v>
      </c>
      <c r="B908" s="6" t="n">
        <v>45942</v>
      </c>
      <c r="C908" t="n">
        <v>16734</v>
      </c>
      <c r="D908" t="inlineStr">
        <is>
          <t>Kolkata</t>
        </is>
      </c>
      <c r="E908" t="inlineStr">
        <is>
          <t>East</t>
        </is>
      </c>
      <c r="F908" t="inlineStr">
        <is>
          <t>Paid Social</t>
        </is>
      </c>
      <c r="G908" t="inlineStr">
        <is>
          <t>Desktop</t>
        </is>
      </c>
      <c r="H908" t="inlineStr">
        <is>
          <t>Cash on Delivery</t>
        </is>
      </c>
      <c r="I908" t="inlineStr">
        <is>
          <t>Delivered</t>
        </is>
      </c>
      <c r="J908" t="n">
        <v>123</v>
      </c>
      <c r="K908" t="n">
        <v>1</v>
      </c>
      <c r="L908" s="7" t="n">
        <v>3464</v>
      </c>
      <c r="M908" s="7" t="n">
        <v>0</v>
      </c>
    </row>
    <row r="909">
      <c r="A909" t="n">
        <v>509787</v>
      </c>
      <c r="B909" s="6" t="n">
        <v>45942</v>
      </c>
      <c r="C909" t="n">
        <v>16734</v>
      </c>
      <c r="D909" t="inlineStr">
        <is>
          <t>Kolkata</t>
        </is>
      </c>
      <c r="E909" t="inlineStr">
        <is>
          <t>East</t>
        </is>
      </c>
      <c r="F909" t="inlineStr">
        <is>
          <t>Paid Social</t>
        </is>
      </c>
      <c r="G909" t="inlineStr">
        <is>
          <t>Desktop</t>
        </is>
      </c>
      <c r="H909" t="inlineStr">
        <is>
          <t>Cash on Delivery</t>
        </is>
      </c>
      <c r="I909" t="inlineStr">
        <is>
          <t>Delivered</t>
        </is>
      </c>
      <c r="J909" t="n">
        <v>135</v>
      </c>
      <c r="K909" t="n">
        <v>1</v>
      </c>
      <c r="L909" s="7" t="n">
        <v>1574</v>
      </c>
      <c r="M909" s="7" t="n">
        <v>0</v>
      </c>
    </row>
    <row r="910">
      <c r="A910" t="n">
        <v>509787</v>
      </c>
      <c r="B910" s="6" t="n">
        <v>45942</v>
      </c>
      <c r="C910" t="n">
        <v>16734</v>
      </c>
      <c r="D910" t="inlineStr">
        <is>
          <t>Kolkata</t>
        </is>
      </c>
      <c r="E910" t="inlineStr">
        <is>
          <t>East</t>
        </is>
      </c>
      <c r="F910" t="inlineStr">
        <is>
          <t>Paid Social</t>
        </is>
      </c>
      <c r="G910" t="inlineStr">
        <is>
          <t>Desktop</t>
        </is>
      </c>
      <c r="H910" t="inlineStr">
        <is>
          <t>Cash on Delivery</t>
        </is>
      </c>
      <c r="I910" t="inlineStr">
        <is>
          <t>Delivered</t>
        </is>
      </c>
      <c r="J910" t="n">
        <v>130</v>
      </c>
      <c r="K910" t="n">
        <v>1</v>
      </c>
      <c r="L910" s="7" t="n">
        <v>734</v>
      </c>
      <c r="M910" s="7" t="n">
        <v>0</v>
      </c>
    </row>
    <row r="911">
      <c r="A911" t="n">
        <v>509788</v>
      </c>
      <c r="B911" s="6" t="n">
        <v>45942</v>
      </c>
      <c r="C911" t="n">
        <v>16674</v>
      </c>
      <c r="D911" t="inlineStr">
        <is>
          <t>Pune</t>
        </is>
      </c>
      <c r="E911" t="inlineStr">
        <is>
          <t>West</t>
        </is>
      </c>
      <c r="F911" t="inlineStr">
        <is>
          <t>Paid Search</t>
        </is>
      </c>
      <c r="G911" t="inlineStr">
        <is>
          <t>Mobile Web</t>
        </is>
      </c>
      <c r="H911" t="inlineStr">
        <is>
          <t>Cash on Delivery</t>
        </is>
      </c>
      <c r="I911" t="inlineStr">
        <is>
          <t>Returned</t>
        </is>
      </c>
      <c r="J911" t="n">
        <v>112</v>
      </c>
      <c r="K911" t="n">
        <v>1</v>
      </c>
      <c r="L911" s="7" t="n">
        <v>1574</v>
      </c>
      <c r="M911" s="7" t="n">
        <v>157.4</v>
      </c>
    </row>
    <row r="912">
      <c r="A912" t="n">
        <v>509789</v>
      </c>
      <c r="B912" s="6" t="n">
        <v>45942</v>
      </c>
      <c r="C912" t="n">
        <v>12399</v>
      </c>
      <c r="D912" t="inlineStr">
        <is>
          <t>Gurugram</t>
        </is>
      </c>
      <c r="E912" t="inlineStr">
        <is>
          <t>North</t>
        </is>
      </c>
      <c r="F912" t="inlineStr">
        <is>
          <t>Paid Social</t>
        </is>
      </c>
      <c r="G912" t="inlineStr">
        <is>
          <t>Mobile App</t>
        </is>
      </c>
      <c r="H912" t="inlineStr">
        <is>
          <t>Cash on Delivery</t>
        </is>
      </c>
      <c r="I912" t="inlineStr">
        <is>
          <t>Delivered</t>
        </is>
      </c>
      <c r="J912" t="n">
        <v>107</v>
      </c>
      <c r="K912" t="n">
        <v>1</v>
      </c>
      <c r="L912" s="7" t="n">
        <v>1259</v>
      </c>
      <c r="M912" s="7" t="n">
        <v>125.9</v>
      </c>
    </row>
    <row r="913">
      <c r="A913" t="n">
        <v>509790</v>
      </c>
      <c r="B913" s="6" t="n">
        <v>45942</v>
      </c>
      <c r="C913" t="n">
        <v>16790</v>
      </c>
      <c r="D913" t="inlineStr">
        <is>
          <t>Kochi</t>
        </is>
      </c>
      <c r="E913" t="inlineStr">
        <is>
          <t>South</t>
        </is>
      </c>
      <c r="F913" t="inlineStr">
        <is>
          <t>Organic Search</t>
        </is>
      </c>
      <c r="G913" t="inlineStr">
        <is>
          <t>Mobile Web</t>
        </is>
      </c>
      <c r="H913" t="inlineStr">
        <is>
          <t>Cash on Delivery</t>
        </is>
      </c>
      <c r="I913" t="inlineStr">
        <is>
          <t>Cancelled</t>
        </is>
      </c>
      <c r="J913" t="n">
        <v>125</v>
      </c>
      <c r="K913" t="n">
        <v>1</v>
      </c>
      <c r="L913" s="7" t="n">
        <v>1364</v>
      </c>
      <c r="M913" s="7" t="n">
        <v>136.4</v>
      </c>
    </row>
    <row r="914">
      <c r="A914" t="n">
        <v>509790</v>
      </c>
      <c r="B914" s="6" t="n">
        <v>45942</v>
      </c>
      <c r="C914" t="n">
        <v>16790</v>
      </c>
      <c r="D914" t="inlineStr">
        <is>
          <t>Kochi</t>
        </is>
      </c>
      <c r="E914" t="inlineStr">
        <is>
          <t>South</t>
        </is>
      </c>
      <c r="F914" t="inlineStr">
        <is>
          <t>Organic Search</t>
        </is>
      </c>
      <c r="G914" t="inlineStr">
        <is>
          <t>Mobile Web</t>
        </is>
      </c>
      <c r="H914" t="inlineStr">
        <is>
          <t>Cash on Delivery</t>
        </is>
      </c>
      <c r="I914" t="inlineStr">
        <is>
          <t>Cancelled</t>
        </is>
      </c>
      <c r="J914" t="n">
        <v>108</v>
      </c>
      <c r="K914" t="n">
        <v>1</v>
      </c>
      <c r="L914" s="7" t="n">
        <v>419</v>
      </c>
      <c r="M914" s="7" t="n">
        <v>41.9</v>
      </c>
    </row>
    <row r="915">
      <c r="A915" t="n">
        <v>509790</v>
      </c>
      <c r="B915" s="6" t="n">
        <v>45942</v>
      </c>
      <c r="C915" t="n">
        <v>16790</v>
      </c>
      <c r="D915" t="inlineStr">
        <is>
          <t>Kochi</t>
        </is>
      </c>
      <c r="E915" t="inlineStr">
        <is>
          <t>South</t>
        </is>
      </c>
      <c r="F915" t="inlineStr">
        <is>
          <t>Organic Search</t>
        </is>
      </c>
      <c r="G915" t="inlineStr">
        <is>
          <t>Mobile Web</t>
        </is>
      </c>
      <c r="H915" t="inlineStr">
        <is>
          <t>Cash on Delivery</t>
        </is>
      </c>
      <c r="I915" t="inlineStr">
        <is>
          <t>Cancelled</t>
        </is>
      </c>
      <c r="J915" t="n">
        <v>104</v>
      </c>
      <c r="K915" t="n">
        <v>1</v>
      </c>
      <c r="L915" s="7" t="n">
        <v>5249</v>
      </c>
      <c r="M915" s="7" t="n">
        <v>524.9</v>
      </c>
    </row>
    <row r="916">
      <c r="A916" t="n">
        <v>509790</v>
      </c>
      <c r="B916" s="6" t="n">
        <v>45942</v>
      </c>
      <c r="C916" t="n">
        <v>16790</v>
      </c>
      <c r="D916" t="inlineStr">
        <is>
          <t>Kochi</t>
        </is>
      </c>
      <c r="E916" t="inlineStr">
        <is>
          <t>South</t>
        </is>
      </c>
      <c r="F916" t="inlineStr">
        <is>
          <t>Organic Search</t>
        </is>
      </c>
      <c r="G916" t="inlineStr">
        <is>
          <t>Mobile Web</t>
        </is>
      </c>
      <c r="H916" t="inlineStr">
        <is>
          <t>Cash on Delivery</t>
        </is>
      </c>
      <c r="I916" t="inlineStr">
        <is>
          <t>Cancelled</t>
        </is>
      </c>
      <c r="J916" t="n">
        <v>129</v>
      </c>
      <c r="K916" t="n">
        <v>1</v>
      </c>
      <c r="L916" s="7" t="n">
        <v>576</v>
      </c>
      <c r="M916" s="7" t="n">
        <v>57.6</v>
      </c>
    </row>
    <row r="917">
      <c r="A917" t="n">
        <v>509791</v>
      </c>
      <c r="B917" s="6" t="n">
        <v>45942</v>
      </c>
      <c r="C917" t="n">
        <v>16728</v>
      </c>
      <c r="D917" t="inlineStr">
        <is>
          <t>Pune</t>
        </is>
      </c>
      <c r="E917" t="inlineStr">
        <is>
          <t>West</t>
        </is>
      </c>
      <c r="F917" t="inlineStr">
        <is>
          <t>Paid Search</t>
        </is>
      </c>
      <c r="G917" t="inlineStr">
        <is>
          <t>Desktop</t>
        </is>
      </c>
      <c r="H917" t="inlineStr">
        <is>
          <t>Debit Card</t>
        </is>
      </c>
      <c r="I917" t="inlineStr">
        <is>
          <t>Returned</t>
        </is>
      </c>
      <c r="J917" t="n">
        <v>120</v>
      </c>
      <c r="K917" t="n">
        <v>2</v>
      </c>
      <c r="L917" s="7" t="n">
        <v>734</v>
      </c>
      <c r="M917" s="7" t="n">
        <v>220.2</v>
      </c>
    </row>
    <row r="918">
      <c r="A918" t="n">
        <v>509792</v>
      </c>
      <c r="B918" s="6" t="n">
        <v>45942</v>
      </c>
      <c r="C918" t="n">
        <v>10283</v>
      </c>
      <c r="D918" t="inlineStr">
        <is>
          <t>Gurugram</t>
        </is>
      </c>
      <c r="E918" t="inlineStr">
        <is>
          <t>North</t>
        </is>
      </c>
      <c r="F918" t="inlineStr">
        <is>
          <t>Organic Search</t>
        </is>
      </c>
      <c r="G918" t="inlineStr">
        <is>
          <t>Mobile Web</t>
        </is>
      </c>
      <c r="H918" t="inlineStr">
        <is>
          <t>Net Banking</t>
        </is>
      </c>
      <c r="I918" t="inlineStr">
        <is>
          <t>Delivered</t>
        </is>
      </c>
      <c r="J918" t="n">
        <v>126</v>
      </c>
      <c r="K918" t="n">
        <v>1</v>
      </c>
      <c r="L918" s="7" t="n">
        <v>471</v>
      </c>
      <c r="M918" s="7" t="n">
        <v>47.1</v>
      </c>
    </row>
    <row r="919">
      <c r="A919" t="n">
        <v>509793</v>
      </c>
      <c r="B919" s="6" t="n">
        <v>45942</v>
      </c>
      <c r="C919" t="n">
        <v>10097</v>
      </c>
      <c r="D919" t="inlineStr">
        <is>
          <t>Lucknow</t>
        </is>
      </c>
      <c r="E919" t="inlineStr">
        <is>
          <t>North</t>
        </is>
      </c>
      <c r="F919" t="inlineStr">
        <is>
          <t>Organic Search</t>
        </is>
      </c>
      <c r="G919" t="inlineStr">
        <is>
          <t>Desktop</t>
        </is>
      </c>
      <c r="H919" t="inlineStr">
        <is>
          <t>Debit Card</t>
        </is>
      </c>
      <c r="I919" t="inlineStr">
        <is>
          <t>Delivered</t>
        </is>
      </c>
      <c r="J919" t="n">
        <v>118</v>
      </c>
      <c r="K919" t="n">
        <v>1</v>
      </c>
      <c r="L919" s="7" t="n">
        <v>944</v>
      </c>
      <c r="M919" s="7" t="n">
        <v>0</v>
      </c>
    </row>
    <row r="920">
      <c r="A920" t="n">
        <v>509794</v>
      </c>
      <c r="B920" s="6" t="n">
        <v>45942</v>
      </c>
      <c r="C920" t="n">
        <v>16781</v>
      </c>
      <c r="D920" t="inlineStr">
        <is>
          <t>Indore</t>
        </is>
      </c>
      <c r="E920" t="inlineStr">
        <is>
          <t>West</t>
        </is>
      </c>
      <c r="F920" t="inlineStr">
        <is>
          <t>Organic Search</t>
        </is>
      </c>
      <c r="G920" t="inlineStr">
        <is>
          <t>Desktop</t>
        </is>
      </c>
      <c r="H920" t="inlineStr">
        <is>
          <t>UPI</t>
        </is>
      </c>
      <c r="I920" t="inlineStr">
        <is>
          <t>Returned</t>
        </is>
      </c>
      <c r="J920" t="n">
        <v>143</v>
      </c>
      <c r="K920" t="n">
        <v>1</v>
      </c>
      <c r="L920" s="7" t="n">
        <v>839</v>
      </c>
      <c r="M920" s="7" t="n">
        <v>125.85</v>
      </c>
    </row>
    <row r="921">
      <c r="A921" t="n">
        <v>509794</v>
      </c>
      <c r="B921" s="6" t="n">
        <v>45942</v>
      </c>
      <c r="C921" t="n">
        <v>16781</v>
      </c>
      <c r="D921" t="inlineStr">
        <is>
          <t>Indore</t>
        </is>
      </c>
      <c r="E921" t="inlineStr">
        <is>
          <t>West</t>
        </is>
      </c>
      <c r="F921" t="inlineStr">
        <is>
          <t>Organic Search</t>
        </is>
      </c>
      <c r="G921" t="inlineStr">
        <is>
          <t>Desktop</t>
        </is>
      </c>
      <c r="H921" t="inlineStr">
        <is>
          <t>UPI</t>
        </is>
      </c>
      <c r="I921" t="inlineStr">
        <is>
          <t>Returned</t>
        </is>
      </c>
      <c r="J921" t="n">
        <v>102</v>
      </c>
      <c r="K921" t="n">
        <v>1</v>
      </c>
      <c r="L921" s="7" t="n">
        <v>3674</v>
      </c>
      <c r="M921" s="7" t="n">
        <v>551.1</v>
      </c>
    </row>
    <row r="922">
      <c r="A922" t="n">
        <v>509794</v>
      </c>
      <c r="B922" s="6" t="n">
        <v>45942</v>
      </c>
      <c r="C922" t="n">
        <v>16781</v>
      </c>
      <c r="D922" t="inlineStr">
        <is>
          <t>Indore</t>
        </is>
      </c>
      <c r="E922" t="inlineStr">
        <is>
          <t>West</t>
        </is>
      </c>
      <c r="F922" t="inlineStr">
        <is>
          <t>Organic Search</t>
        </is>
      </c>
      <c r="G922" t="inlineStr">
        <is>
          <t>Desktop</t>
        </is>
      </c>
      <c r="H922" t="inlineStr">
        <is>
          <t>UPI</t>
        </is>
      </c>
      <c r="I922" t="inlineStr">
        <is>
          <t>Returned</t>
        </is>
      </c>
      <c r="J922" t="n">
        <v>107</v>
      </c>
      <c r="K922" t="n">
        <v>1</v>
      </c>
      <c r="L922" s="7" t="n">
        <v>1259</v>
      </c>
      <c r="M922" s="7" t="n">
        <v>188.85</v>
      </c>
    </row>
    <row r="923">
      <c r="A923" t="n">
        <v>509794</v>
      </c>
      <c r="B923" s="6" t="n">
        <v>45942</v>
      </c>
      <c r="C923" t="n">
        <v>16781</v>
      </c>
      <c r="D923" t="inlineStr">
        <is>
          <t>Indore</t>
        </is>
      </c>
      <c r="E923" t="inlineStr">
        <is>
          <t>West</t>
        </is>
      </c>
      <c r="F923" t="inlineStr">
        <is>
          <t>Organic Search</t>
        </is>
      </c>
      <c r="G923" t="inlineStr">
        <is>
          <t>Desktop</t>
        </is>
      </c>
      <c r="H923" t="inlineStr">
        <is>
          <t>UPI</t>
        </is>
      </c>
      <c r="I923" t="inlineStr">
        <is>
          <t>Returned</t>
        </is>
      </c>
      <c r="J923" t="n">
        <v>118</v>
      </c>
      <c r="K923" t="n">
        <v>3</v>
      </c>
      <c r="L923" s="7" t="n">
        <v>944</v>
      </c>
      <c r="M923" s="7" t="n">
        <v>424.8</v>
      </c>
    </row>
    <row r="924">
      <c r="A924" t="n">
        <v>509795</v>
      </c>
      <c r="B924" s="6" t="n">
        <v>45942</v>
      </c>
      <c r="C924" t="n">
        <v>12747</v>
      </c>
      <c r="D924" t="inlineStr">
        <is>
          <t>Pune</t>
        </is>
      </c>
      <c r="E924" t="inlineStr">
        <is>
          <t>West</t>
        </is>
      </c>
      <c r="F924" t="inlineStr">
        <is>
          <t>Affiliate</t>
        </is>
      </c>
      <c r="G924" t="inlineStr">
        <is>
          <t>Mobile App</t>
        </is>
      </c>
      <c r="H924" t="inlineStr">
        <is>
          <t>UPI</t>
        </is>
      </c>
      <c r="I924" t="inlineStr">
        <is>
          <t>Delivered</t>
        </is>
      </c>
      <c r="J924" t="n">
        <v>136</v>
      </c>
      <c r="K924" t="n">
        <v>1</v>
      </c>
      <c r="L924" s="7" t="n">
        <v>944</v>
      </c>
      <c r="M924" s="7" t="n">
        <v>0</v>
      </c>
    </row>
    <row r="925">
      <c r="A925" t="n">
        <v>509796</v>
      </c>
      <c r="B925" s="6" t="n">
        <v>45942</v>
      </c>
      <c r="C925" t="n">
        <v>16748</v>
      </c>
      <c r="D925" t="inlineStr">
        <is>
          <t>Pune</t>
        </is>
      </c>
      <c r="E925" t="inlineStr">
        <is>
          <t>West</t>
        </is>
      </c>
      <c r="F925" t="inlineStr">
        <is>
          <t>Paid Social</t>
        </is>
      </c>
      <c r="G925" t="inlineStr">
        <is>
          <t>Mobile Web</t>
        </is>
      </c>
      <c r="H925" t="inlineStr">
        <is>
          <t>UPI</t>
        </is>
      </c>
      <c r="I925" t="inlineStr">
        <is>
          <t>Delivered</t>
        </is>
      </c>
      <c r="J925" t="n">
        <v>140</v>
      </c>
      <c r="K925" t="n">
        <v>1</v>
      </c>
      <c r="L925" s="7" t="n">
        <v>629</v>
      </c>
      <c r="M925" s="7" t="n">
        <v>94.34999999999999</v>
      </c>
    </row>
    <row r="926">
      <c r="A926" t="n">
        <v>509797</v>
      </c>
      <c r="B926" s="6" t="n">
        <v>45942</v>
      </c>
      <c r="C926" t="n">
        <v>16654</v>
      </c>
      <c r="D926" t="inlineStr">
        <is>
          <t>Delhi</t>
        </is>
      </c>
      <c r="E926" t="inlineStr">
        <is>
          <t>North</t>
        </is>
      </c>
      <c r="F926" t="inlineStr">
        <is>
          <t>Paid Social</t>
        </is>
      </c>
      <c r="G926" t="inlineStr">
        <is>
          <t>Mobile Web</t>
        </is>
      </c>
      <c r="H926" t="inlineStr">
        <is>
          <t>Credit Card</t>
        </is>
      </c>
      <c r="I926" t="inlineStr">
        <is>
          <t>Returned</t>
        </is>
      </c>
      <c r="J926" t="n">
        <v>130</v>
      </c>
      <c r="K926" t="n">
        <v>1</v>
      </c>
      <c r="L926" s="7" t="n">
        <v>734</v>
      </c>
      <c r="M926" s="7" t="n">
        <v>0</v>
      </c>
    </row>
    <row r="927">
      <c r="A927" t="n">
        <v>509797</v>
      </c>
      <c r="B927" s="6" t="n">
        <v>45942</v>
      </c>
      <c r="C927" t="n">
        <v>16654</v>
      </c>
      <c r="D927" t="inlineStr">
        <is>
          <t>Delhi</t>
        </is>
      </c>
      <c r="E927" t="inlineStr">
        <is>
          <t>North</t>
        </is>
      </c>
      <c r="F927" t="inlineStr">
        <is>
          <t>Paid Social</t>
        </is>
      </c>
      <c r="G927" t="inlineStr">
        <is>
          <t>Mobile Web</t>
        </is>
      </c>
      <c r="H927" t="inlineStr">
        <is>
          <t>Credit Card</t>
        </is>
      </c>
      <c r="I927" t="inlineStr">
        <is>
          <t>Returned</t>
        </is>
      </c>
      <c r="J927" t="n">
        <v>111</v>
      </c>
      <c r="K927" t="n">
        <v>1</v>
      </c>
      <c r="L927" s="7" t="n">
        <v>524</v>
      </c>
      <c r="M927" s="7" t="n">
        <v>0</v>
      </c>
    </row>
    <row r="928">
      <c r="A928" t="n">
        <v>509797</v>
      </c>
      <c r="B928" s="6" t="n">
        <v>45942</v>
      </c>
      <c r="C928" t="n">
        <v>16654</v>
      </c>
      <c r="D928" t="inlineStr">
        <is>
          <t>Delhi</t>
        </is>
      </c>
      <c r="E928" t="inlineStr">
        <is>
          <t>North</t>
        </is>
      </c>
      <c r="F928" t="inlineStr">
        <is>
          <t>Paid Social</t>
        </is>
      </c>
      <c r="G928" t="inlineStr">
        <is>
          <t>Mobile Web</t>
        </is>
      </c>
      <c r="H928" t="inlineStr">
        <is>
          <t>Credit Card</t>
        </is>
      </c>
      <c r="I928" t="inlineStr">
        <is>
          <t>Returned</t>
        </is>
      </c>
      <c r="J928" t="n">
        <v>129</v>
      </c>
      <c r="K928" t="n">
        <v>1</v>
      </c>
      <c r="L928" s="7" t="n">
        <v>576</v>
      </c>
      <c r="M928" s="7" t="n">
        <v>0</v>
      </c>
    </row>
    <row r="929">
      <c r="A929" t="n">
        <v>509798</v>
      </c>
      <c r="B929" s="6" t="n">
        <v>45942</v>
      </c>
      <c r="C929" t="n">
        <v>12770</v>
      </c>
      <c r="D929" t="inlineStr">
        <is>
          <t>Delhi</t>
        </is>
      </c>
      <c r="E929" t="inlineStr">
        <is>
          <t>North</t>
        </is>
      </c>
      <c r="F929" t="inlineStr">
        <is>
          <t>Paid Social</t>
        </is>
      </c>
      <c r="G929" t="inlineStr">
        <is>
          <t>Mobile App</t>
        </is>
      </c>
      <c r="H929" t="inlineStr">
        <is>
          <t>Cash on Delivery</t>
        </is>
      </c>
      <c r="I929" t="inlineStr">
        <is>
          <t>Delivered</t>
        </is>
      </c>
      <c r="J929" t="n">
        <v>113</v>
      </c>
      <c r="K929" t="n">
        <v>1</v>
      </c>
      <c r="L929" s="7" t="n">
        <v>1364</v>
      </c>
      <c r="M929" s="7" t="n">
        <v>136.4</v>
      </c>
    </row>
    <row r="930">
      <c r="A930" t="n">
        <v>509799</v>
      </c>
      <c r="B930" s="6" t="n">
        <v>45942</v>
      </c>
      <c r="C930" t="n">
        <v>10364</v>
      </c>
      <c r="D930" t="inlineStr">
        <is>
          <t>Ahmedabad</t>
        </is>
      </c>
      <c r="E930" t="inlineStr">
        <is>
          <t>West</t>
        </is>
      </c>
      <c r="F930" t="inlineStr">
        <is>
          <t>Organic Search</t>
        </is>
      </c>
      <c r="G930" t="inlineStr">
        <is>
          <t>Mobile App</t>
        </is>
      </c>
      <c r="H930" t="inlineStr">
        <is>
          <t>Credit Card</t>
        </is>
      </c>
      <c r="I930" t="inlineStr">
        <is>
          <t>Delivered</t>
        </is>
      </c>
      <c r="J930" t="n">
        <v>129</v>
      </c>
      <c r="K930" t="n">
        <v>1</v>
      </c>
      <c r="L930" s="7" t="n">
        <v>576</v>
      </c>
      <c r="M930" s="7" t="n">
        <v>0</v>
      </c>
    </row>
    <row r="931">
      <c r="A931" t="n">
        <v>509800</v>
      </c>
      <c r="B931" s="6" t="n">
        <v>45942</v>
      </c>
      <c r="C931" t="n">
        <v>16793</v>
      </c>
      <c r="D931" t="inlineStr">
        <is>
          <t>Mumbai</t>
        </is>
      </c>
      <c r="E931" t="inlineStr">
        <is>
          <t>West</t>
        </is>
      </c>
      <c r="F931" t="inlineStr">
        <is>
          <t>Organic Search</t>
        </is>
      </c>
      <c r="G931" t="inlineStr">
        <is>
          <t>Mobile Web</t>
        </is>
      </c>
      <c r="H931" t="inlineStr">
        <is>
          <t>Net Banking</t>
        </is>
      </c>
      <c r="I931" t="inlineStr">
        <is>
          <t>Delivered</t>
        </is>
      </c>
      <c r="J931" t="n">
        <v>108</v>
      </c>
      <c r="K931" t="n">
        <v>1</v>
      </c>
      <c r="L931" s="7" t="n">
        <v>419</v>
      </c>
      <c r="M931" s="7" t="n">
        <v>41.9</v>
      </c>
    </row>
    <row r="932">
      <c r="A932" t="n">
        <v>509801</v>
      </c>
      <c r="B932" s="6" t="n">
        <v>45942</v>
      </c>
      <c r="C932" t="n">
        <v>16779</v>
      </c>
      <c r="D932" t="inlineStr">
        <is>
          <t>Delhi</t>
        </is>
      </c>
      <c r="E932" t="inlineStr">
        <is>
          <t>North</t>
        </is>
      </c>
      <c r="F932" t="inlineStr">
        <is>
          <t>Paid Social</t>
        </is>
      </c>
      <c r="G932" t="inlineStr">
        <is>
          <t>Mobile Web</t>
        </is>
      </c>
      <c r="H932" t="inlineStr">
        <is>
          <t>Cash on Delivery</t>
        </is>
      </c>
      <c r="I932" t="inlineStr">
        <is>
          <t>Delivered</t>
        </is>
      </c>
      <c r="J932" t="n">
        <v>125</v>
      </c>
      <c r="K932" t="n">
        <v>1</v>
      </c>
      <c r="L932" s="7" t="n">
        <v>1364</v>
      </c>
      <c r="M932" s="7" t="n">
        <v>136.4</v>
      </c>
    </row>
    <row r="933">
      <c r="A933" t="n">
        <v>509801</v>
      </c>
      <c r="B933" s="6" t="n">
        <v>45942</v>
      </c>
      <c r="C933" t="n">
        <v>16779</v>
      </c>
      <c r="D933" t="inlineStr">
        <is>
          <t>Delhi</t>
        </is>
      </c>
      <c r="E933" t="inlineStr">
        <is>
          <t>North</t>
        </is>
      </c>
      <c r="F933" t="inlineStr">
        <is>
          <t>Paid Social</t>
        </is>
      </c>
      <c r="G933" t="inlineStr">
        <is>
          <t>Mobile Web</t>
        </is>
      </c>
      <c r="H933" t="inlineStr">
        <is>
          <t>Cash on Delivery</t>
        </is>
      </c>
      <c r="I933" t="inlineStr">
        <is>
          <t>Delivered</t>
        </is>
      </c>
      <c r="J933" t="n">
        <v>112</v>
      </c>
      <c r="K933" t="n">
        <v>1</v>
      </c>
      <c r="L933" s="7" t="n">
        <v>1574</v>
      </c>
      <c r="M933" s="7" t="n">
        <v>157.4</v>
      </c>
    </row>
    <row r="934">
      <c r="A934" t="n">
        <v>509801</v>
      </c>
      <c r="B934" s="6" t="n">
        <v>45942</v>
      </c>
      <c r="C934" t="n">
        <v>16779</v>
      </c>
      <c r="D934" t="inlineStr">
        <is>
          <t>Delhi</t>
        </is>
      </c>
      <c r="E934" t="inlineStr">
        <is>
          <t>North</t>
        </is>
      </c>
      <c r="F934" t="inlineStr">
        <is>
          <t>Paid Social</t>
        </is>
      </c>
      <c r="G934" t="inlineStr">
        <is>
          <t>Mobile Web</t>
        </is>
      </c>
      <c r="H934" t="inlineStr">
        <is>
          <t>Cash on Delivery</t>
        </is>
      </c>
      <c r="I934" t="inlineStr">
        <is>
          <t>Delivered</t>
        </is>
      </c>
      <c r="J934" t="n">
        <v>142</v>
      </c>
      <c r="K934" t="n">
        <v>1</v>
      </c>
      <c r="L934" s="7" t="n">
        <v>839</v>
      </c>
      <c r="M934" s="7" t="n">
        <v>83.90000000000001</v>
      </c>
    </row>
    <row r="935">
      <c r="A935" t="n">
        <v>509801</v>
      </c>
      <c r="B935" s="6" t="n">
        <v>45942</v>
      </c>
      <c r="C935" t="n">
        <v>16779</v>
      </c>
      <c r="D935" t="inlineStr">
        <is>
          <t>Delhi</t>
        </is>
      </c>
      <c r="E935" t="inlineStr">
        <is>
          <t>North</t>
        </is>
      </c>
      <c r="F935" t="inlineStr">
        <is>
          <t>Paid Social</t>
        </is>
      </c>
      <c r="G935" t="inlineStr">
        <is>
          <t>Mobile Web</t>
        </is>
      </c>
      <c r="H935" t="inlineStr">
        <is>
          <t>Cash on Delivery</t>
        </is>
      </c>
      <c r="I935" t="inlineStr">
        <is>
          <t>Delivered</t>
        </is>
      </c>
      <c r="J935" t="n">
        <v>108</v>
      </c>
      <c r="K935" t="n">
        <v>1</v>
      </c>
      <c r="L935" s="7" t="n">
        <v>419</v>
      </c>
      <c r="M935" s="7" t="n">
        <v>41.9</v>
      </c>
    </row>
    <row r="936">
      <c r="A936" t="n">
        <v>509801</v>
      </c>
      <c r="B936" s="6" t="n">
        <v>45942</v>
      </c>
      <c r="C936" t="n">
        <v>16779</v>
      </c>
      <c r="D936" t="inlineStr">
        <is>
          <t>Delhi</t>
        </is>
      </c>
      <c r="E936" t="inlineStr">
        <is>
          <t>North</t>
        </is>
      </c>
      <c r="F936" t="inlineStr">
        <is>
          <t>Paid Social</t>
        </is>
      </c>
      <c r="G936" t="inlineStr">
        <is>
          <t>Mobile Web</t>
        </is>
      </c>
      <c r="H936" t="inlineStr">
        <is>
          <t>Cash on Delivery</t>
        </is>
      </c>
      <c r="I936" t="inlineStr">
        <is>
          <t>Delivered</t>
        </is>
      </c>
      <c r="J936" t="n">
        <v>129</v>
      </c>
      <c r="K936" t="n">
        <v>1</v>
      </c>
      <c r="L936" s="7" t="n">
        <v>576</v>
      </c>
      <c r="M936" s="7" t="n">
        <v>57.6</v>
      </c>
    </row>
    <row r="937">
      <c r="A937" t="n">
        <v>509802</v>
      </c>
      <c r="B937" s="6" t="n">
        <v>45942</v>
      </c>
      <c r="C937" t="n">
        <v>16314</v>
      </c>
      <c r="D937" t="inlineStr">
        <is>
          <t>Chennai</t>
        </is>
      </c>
      <c r="E937" t="inlineStr">
        <is>
          <t>South</t>
        </is>
      </c>
      <c r="F937" t="inlineStr">
        <is>
          <t>Organic Search</t>
        </is>
      </c>
      <c r="G937" t="inlineStr">
        <is>
          <t>Mobile App</t>
        </is>
      </c>
      <c r="H937" t="inlineStr">
        <is>
          <t>Cash on Delivery</t>
        </is>
      </c>
      <c r="I937" t="inlineStr">
        <is>
          <t>Delivered</t>
        </is>
      </c>
      <c r="J937" t="n">
        <v>115</v>
      </c>
      <c r="K937" t="n">
        <v>1</v>
      </c>
      <c r="L937" s="7" t="n">
        <v>4199</v>
      </c>
      <c r="M937" s="7" t="n">
        <v>0</v>
      </c>
    </row>
    <row r="938">
      <c r="A938" t="n">
        <v>509802</v>
      </c>
      <c r="B938" s="6" t="n">
        <v>45942</v>
      </c>
      <c r="C938" t="n">
        <v>16314</v>
      </c>
      <c r="D938" t="inlineStr">
        <is>
          <t>Chennai</t>
        </is>
      </c>
      <c r="E938" t="inlineStr">
        <is>
          <t>South</t>
        </is>
      </c>
      <c r="F938" t="inlineStr">
        <is>
          <t>Organic Search</t>
        </is>
      </c>
      <c r="G938" t="inlineStr">
        <is>
          <t>Mobile App</t>
        </is>
      </c>
      <c r="H938" t="inlineStr">
        <is>
          <t>Cash on Delivery</t>
        </is>
      </c>
      <c r="I938" t="inlineStr">
        <is>
          <t>Delivered</t>
        </is>
      </c>
      <c r="J938" t="n">
        <v>101</v>
      </c>
      <c r="K938" t="n">
        <v>1</v>
      </c>
      <c r="L938" s="7" t="n">
        <v>2099</v>
      </c>
      <c r="M938" s="7" t="n">
        <v>0</v>
      </c>
    </row>
    <row r="939">
      <c r="A939" t="n">
        <v>509802</v>
      </c>
      <c r="B939" s="6" t="n">
        <v>45942</v>
      </c>
      <c r="C939" t="n">
        <v>16314</v>
      </c>
      <c r="D939" t="inlineStr">
        <is>
          <t>Chennai</t>
        </is>
      </c>
      <c r="E939" t="inlineStr">
        <is>
          <t>South</t>
        </is>
      </c>
      <c r="F939" t="inlineStr">
        <is>
          <t>Organic Search</t>
        </is>
      </c>
      <c r="G939" t="inlineStr">
        <is>
          <t>Mobile App</t>
        </is>
      </c>
      <c r="H939" t="inlineStr">
        <is>
          <t>Cash on Delivery</t>
        </is>
      </c>
      <c r="I939" t="inlineStr">
        <is>
          <t>Delivered</t>
        </is>
      </c>
      <c r="J939" t="n">
        <v>118</v>
      </c>
      <c r="K939" t="n">
        <v>1</v>
      </c>
      <c r="L939" s="7" t="n">
        <v>944</v>
      </c>
      <c r="M939" s="7" t="n">
        <v>0</v>
      </c>
    </row>
    <row r="940">
      <c r="A940" t="n">
        <v>509802</v>
      </c>
      <c r="B940" s="6" t="n">
        <v>45942</v>
      </c>
      <c r="C940" t="n">
        <v>16314</v>
      </c>
      <c r="D940" t="inlineStr">
        <is>
          <t>Chennai</t>
        </is>
      </c>
      <c r="E940" t="inlineStr">
        <is>
          <t>South</t>
        </is>
      </c>
      <c r="F940" t="inlineStr">
        <is>
          <t>Organic Search</t>
        </is>
      </c>
      <c r="G940" t="inlineStr">
        <is>
          <t>Mobile App</t>
        </is>
      </c>
      <c r="H940" t="inlineStr">
        <is>
          <t>Cash on Delivery</t>
        </is>
      </c>
      <c r="I940" t="inlineStr">
        <is>
          <t>Delivered</t>
        </is>
      </c>
      <c r="J940" t="n">
        <v>102</v>
      </c>
      <c r="K940" t="n">
        <v>2</v>
      </c>
      <c r="L940" s="7" t="n">
        <v>3674</v>
      </c>
      <c r="M940" s="7" t="n">
        <v>0</v>
      </c>
    </row>
    <row r="941">
      <c r="A941" t="n">
        <v>509803</v>
      </c>
      <c r="B941" s="6" t="n">
        <v>45942</v>
      </c>
      <c r="C941" t="n">
        <v>16775</v>
      </c>
      <c r="D941" t="inlineStr">
        <is>
          <t>Chennai</t>
        </is>
      </c>
      <c r="E941" t="inlineStr">
        <is>
          <t>South</t>
        </is>
      </c>
      <c r="F941" t="inlineStr">
        <is>
          <t>Email</t>
        </is>
      </c>
      <c r="G941" t="inlineStr">
        <is>
          <t>Mobile Web</t>
        </is>
      </c>
      <c r="H941" t="inlineStr">
        <is>
          <t>UPI</t>
        </is>
      </c>
      <c r="I941" t="inlineStr">
        <is>
          <t>Delivered</t>
        </is>
      </c>
      <c r="J941" t="n">
        <v>112</v>
      </c>
      <c r="K941" t="n">
        <v>1</v>
      </c>
      <c r="L941" s="7" t="n">
        <v>1574</v>
      </c>
      <c r="M941" s="7" t="n">
        <v>236.1</v>
      </c>
    </row>
    <row r="942">
      <c r="A942" t="n">
        <v>509804</v>
      </c>
      <c r="B942" s="6" t="n">
        <v>45942</v>
      </c>
      <c r="C942" t="n">
        <v>12960</v>
      </c>
      <c r="D942" t="inlineStr">
        <is>
          <t>Hyderabad</t>
        </is>
      </c>
      <c r="E942" t="inlineStr">
        <is>
          <t>South</t>
        </is>
      </c>
      <c r="F942" t="inlineStr">
        <is>
          <t>Organic Search</t>
        </is>
      </c>
      <c r="G942" t="inlineStr">
        <is>
          <t>Mobile App</t>
        </is>
      </c>
      <c r="H942" t="inlineStr">
        <is>
          <t>UPI</t>
        </is>
      </c>
      <c r="I942" t="inlineStr">
        <is>
          <t>Delivered</t>
        </is>
      </c>
      <c r="J942" t="n">
        <v>118</v>
      </c>
      <c r="K942" t="n">
        <v>1</v>
      </c>
      <c r="L942" s="7" t="n">
        <v>944</v>
      </c>
      <c r="M942" s="7" t="n">
        <v>0</v>
      </c>
    </row>
    <row r="943">
      <c r="A943" t="n">
        <v>509804</v>
      </c>
      <c r="B943" s="6" t="n">
        <v>45942</v>
      </c>
      <c r="C943" t="n">
        <v>12960</v>
      </c>
      <c r="D943" t="inlineStr">
        <is>
          <t>Hyderabad</t>
        </is>
      </c>
      <c r="E943" t="inlineStr">
        <is>
          <t>South</t>
        </is>
      </c>
      <c r="F943" t="inlineStr">
        <is>
          <t>Organic Search</t>
        </is>
      </c>
      <c r="G943" t="inlineStr">
        <is>
          <t>Mobile App</t>
        </is>
      </c>
      <c r="H943" t="inlineStr">
        <is>
          <t>UPI</t>
        </is>
      </c>
      <c r="I943" t="inlineStr">
        <is>
          <t>Delivered</t>
        </is>
      </c>
      <c r="J943" t="n">
        <v>129</v>
      </c>
      <c r="K943" t="n">
        <v>1</v>
      </c>
      <c r="L943" s="7" t="n">
        <v>576</v>
      </c>
      <c r="M943" s="7" t="n">
        <v>0</v>
      </c>
    </row>
    <row r="944">
      <c r="A944" t="n">
        <v>509805</v>
      </c>
      <c r="B944" s="6" t="n">
        <v>45942</v>
      </c>
      <c r="C944" t="n">
        <v>11939</v>
      </c>
      <c r="D944" t="inlineStr">
        <is>
          <t>Bengaluru</t>
        </is>
      </c>
      <c r="E944" t="inlineStr">
        <is>
          <t>South</t>
        </is>
      </c>
      <c r="F944" t="inlineStr">
        <is>
          <t>Email</t>
        </is>
      </c>
      <c r="G944" t="inlineStr">
        <is>
          <t>Mobile Web</t>
        </is>
      </c>
      <c r="H944" t="inlineStr">
        <is>
          <t>UPI</t>
        </is>
      </c>
      <c r="I944" t="inlineStr">
        <is>
          <t>Delivered</t>
        </is>
      </c>
      <c r="J944" t="n">
        <v>121</v>
      </c>
      <c r="K944" t="n">
        <v>1</v>
      </c>
      <c r="L944" s="7" t="n">
        <v>2939</v>
      </c>
      <c r="M944" s="7" t="n">
        <v>0</v>
      </c>
    </row>
    <row r="945">
      <c r="A945" t="n">
        <v>509805</v>
      </c>
      <c r="B945" s="6" t="n">
        <v>45942</v>
      </c>
      <c r="C945" t="n">
        <v>11939</v>
      </c>
      <c r="D945" t="inlineStr">
        <is>
          <t>Bengaluru</t>
        </is>
      </c>
      <c r="E945" t="inlineStr">
        <is>
          <t>South</t>
        </is>
      </c>
      <c r="F945" t="inlineStr">
        <is>
          <t>Email</t>
        </is>
      </c>
      <c r="G945" t="inlineStr">
        <is>
          <t>Mobile Web</t>
        </is>
      </c>
      <c r="H945" t="inlineStr">
        <is>
          <t>UPI</t>
        </is>
      </c>
      <c r="I945" t="inlineStr">
        <is>
          <t>Delivered</t>
        </is>
      </c>
      <c r="J945" t="n">
        <v>133</v>
      </c>
      <c r="K945" t="n">
        <v>1</v>
      </c>
      <c r="L945" s="7" t="n">
        <v>419</v>
      </c>
      <c r="M945" s="7" t="n">
        <v>0</v>
      </c>
    </row>
    <row r="946">
      <c r="A946" t="n">
        <v>509806</v>
      </c>
      <c r="B946" s="6" t="n">
        <v>45942</v>
      </c>
      <c r="C946" t="n">
        <v>16356</v>
      </c>
      <c r="D946" t="inlineStr">
        <is>
          <t>Ahmedabad</t>
        </is>
      </c>
      <c r="E946" t="inlineStr">
        <is>
          <t>West</t>
        </is>
      </c>
      <c r="F946" t="inlineStr">
        <is>
          <t>Organic Search</t>
        </is>
      </c>
      <c r="G946" t="inlineStr">
        <is>
          <t>Mobile App</t>
        </is>
      </c>
      <c r="H946" t="inlineStr">
        <is>
          <t>Cash on Delivery</t>
        </is>
      </c>
      <c r="I946" t="inlineStr">
        <is>
          <t>Delivered</t>
        </is>
      </c>
      <c r="J946" t="n">
        <v>148</v>
      </c>
      <c r="K946" t="n">
        <v>1</v>
      </c>
      <c r="L946" s="7" t="n">
        <v>734</v>
      </c>
      <c r="M946" s="7" t="n">
        <v>0</v>
      </c>
    </row>
    <row r="947">
      <c r="A947" t="n">
        <v>509806</v>
      </c>
      <c r="B947" s="6" t="n">
        <v>45942</v>
      </c>
      <c r="C947" t="n">
        <v>16356</v>
      </c>
      <c r="D947" t="inlineStr">
        <is>
          <t>Ahmedabad</t>
        </is>
      </c>
      <c r="E947" t="inlineStr">
        <is>
          <t>West</t>
        </is>
      </c>
      <c r="F947" t="inlineStr">
        <is>
          <t>Organic Search</t>
        </is>
      </c>
      <c r="G947" t="inlineStr">
        <is>
          <t>Mobile App</t>
        </is>
      </c>
      <c r="H947" t="inlineStr">
        <is>
          <t>Cash on Delivery</t>
        </is>
      </c>
      <c r="I947" t="inlineStr">
        <is>
          <t>Delivered</t>
        </is>
      </c>
      <c r="J947" t="n">
        <v>128</v>
      </c>
      <c r="K947" t="n">
        <v>1</v>
      </c>
      <c r="L947" s="7" t="n">
        <v>1049</v>
      </c>
      <c r="M947" s="7" t="n">
        <v>0</v>
      </c>
    </row>
    <row r="948">
      <c r="A948" t="n">
        <v>509807</v>
      </c>
      <c r="B948" s="6" t="n">
        <v>45942</v>
      </c>
      <c r="C948" t="n">
        <v>16786</v>
      </c>
      <c r="D948" t="inlineStr">
        <is>
          <t>Noida</t>
        </is>
      </c>
      <c r="E948" t="inlineStr">
        <is>
          <t>North</t>
        </is>
      </c>
      <c r="F948" t="inlineStr">
        <is>
          <t>Organic Search</t>
        </is>
      </c>
      <c r="G948" t="inlineStr">
        <is>
          <t>Mobile Web</t>
        </is>
      </c>
      <c r="H948" t="inlineStr">
        <is>
          <t>Cash on Delivery</t>
        </is>
      </c>
      <c r="I948" t="inlineStr">
        <is>
          <t>Delivered</t>
        </is>
      </c>
      <c r="J948" t="n">
        <v>111</v>
      </c>
      <c r="K948" t="n">
        <v>1</v>
      </c>
      <c r="L948" s="7" t="n">
        <v>524</v>
      </c>
      <c r="M948" s="7" t="n">
        <v>78.59999999999999</v>
      </c>
    </row>
    <row r="949">
      <c r="A949" t="n">
        <v>509808</v>
      </c>
      <c r="B949" s="6" t="n">
        <v>45943</v>
      </c>
      <c r="C949" t="n">
        <v>10068</v>
      </c>
      <c r="D949" t="inlineStr">
        <is>
          <t>Hyderabad</t>
        </is>
      </c>
      <c r="E949" t="inlineStr">
        <is>
          <t>South</t>
        </is>
      </c>
      <c r="F949" t="inlineStr">
        <is>
          <t>Organic Search</t>
        </is>
      </c>
      <c r="G949" t="inlineStr">
        <is>
          <t>Mobile App</t>
        </is>
      </c>
      <c r="H949" t="inlineStr">
        <is>
          <t>UPI</t>
        </is>
      </c>
      <c r="I949" t="inlineStr">
        <is>
          <t>Delivered</t>
        </is>
      </c>
      <c r="J949" t="n">
        <v>118</v>
      </c>
      <c r="K949" t="n">
        <v>1</v>
      </c>
      <c r="L949" s="7" t="n">
        <v>944</v>
      </c>
      <c r="M949" s="7" t="n">
        <v>94.40000000000001</v>
      </c>
    </row>
    <row r="950">
      <c r="A950" t="n">
        <v>509809</v>
      </c>
      <c r="B950" s="6" t="n">
        <v>45943</v>
      </c>
      <c r="C950" t="n">
        <v>15942</v>
      </c>
      <c r="D950" t="inlineStr">
        <is>
          <t>Delhi</t>
        </is>
      </c>
      <c r="E950" t="inlineStr">
        <is>
          <t>North</t>
        </is>
      </c>
      <c r="F950" t="inlineStr">
        <is>
          <t>Paid Social</t>
        </is>
      </c>
      <c r="G950" t="inlineStr">
        <is>
          <t>Mobile Web</t>
        </is>
      </c>
      <c r="H950" t="inlineStr">
        <is>
          <t>UPI</t>
        </is>
      </c>
      <c r="I950" t="inlineStr">
        <is>
          <t>Delivered</t>
        </is>
      </c>
      <c r="J950" t="n">
        <v>115</v>
      </c>
      <c r="K950" t="n">
        <v>1</v>
      </c>
      <c r="L950" s="7" t="n">
        <v>4199</v>
      </c>
      <c r="M950" s="7" t="n">
        <v>0</v>
      </c>
    </row>
    <row r="951">
      <c r="A951" t="n">
        <v>509810</v>
      </c>
      <c r="B951" s="6" t="n">
        <v>45943</v>
      </c>
      <c r="C951" t="n">
        <v>16203</v>
      </c>
      <c r="D951" t="inlineStr">
        <is>
          <t>Chandigarh</t>
        </is>
      </c>
      <c r="E951" t="inlineStr">
        <is>
          <t>North</t>
        </is>
      </c>
      <c r="F951" t="inlineStr">
        <is>
          <t>Paid Social</t>
        </is>
      </c>
      <c r="G951" t="inlineStr">
        <is>
          <t>Desktop</t>
        </is>
      </c>
      <c r="H951" t="inlineStr">
        <is>
          <t>UPI</t>
        </is>
      </c>
      <c r="I951" t="inlineStr">
        <is>
          <t>Returned</t>
        </is>
      </c>
      <c r="J951" t="n">
        <v>115</v>
      </c>
      <c r="K951" t="n">
        <v>2</v>
      </c>
      <c r="L951" s="7" t="n">
        <v>4199</v>
      </c>
      <c r="M951" s="7" t="n">
        <v>839.8</v>
      </c>
    </row>
    <row r="952">
      <c r="A952" t="n">
        <v>509810</v>
      </c>
      <c r="B952" s="6" t="n">
        <v>45943</v>
      </c>
      <c r="C952" t="n">
        <v>16203</v>
      </c>
      <c r="D952" t="inlineStr">
        <is>
          <t>Chandigarh</t>
        </is>
      </c>
      <c r="E952" t="inlineStr">
        <is>
          <t>North</t>
        </is>
      </c>
      <c r="F952" t="inlineStr">
        <is>
          <t>Paid Social</t>
        </is>
      </c>
      <c r="G952" t="inlineStr">
        <is>
          <t>Desktop</t>
        </is>
      </c>
      <c r="H952" t="inlineStr">
        <is>
          <t>UPI</t>
        </is>
      </c>
      <c r="I952" t="inlineStr">
        <is>
          <t>Returned</t>
        </is>
      </c>
      <c r="J952" t="n">
        <v>129</v>
      </c>
      <c r="K952" t="n">
        <v>1</v>
      </c>
      <c r="L952" s="7" t="n">
        <v>576</v>
      </c>
      <c r="M952" s="7" t="n">
        <v>57.6</v>
      </c>
    </row>
    <row r="953">
      <c r="A953" t="n">
        <v>509811</v>
      </c>
      <c r="B953" s="6" t="n">
        <v>45943</v>
      </c>
      <c r="C953" t="n">
        <v>15697</v>
      </c>
      <c r="D953" t="inlineStr">
        <is>
          <t>Noida</t>
        </is>
      </c>
      <c r="E953" t="inlineStr">
        <is>
          <t>North</t>
        </is>
      </c>
      <c r="F953" t="inlineStr">
        <is>
          <t>Paid Search</t>
        </is>
      </c>
      <c r="G953" t="inlineStr">
        <is>
          <t>Desktop</t>
        </is>
      </c>
      <c r="H953" t="inlineStr">
        <is>
          <t>Credit Card</t>
        </is>
      </c>
      <c r="I953" t="inlineStr">
        <is>
          <t>Delivered</t>
        </is>
      </c>
      <c r="J953" t="n">
        <v>113</v>
      </c>
      <c r="K953" t="n">
        <v>2</v>
      </c>
      <c r="L953" s="7" t="n">
        <v>1364</v>
      </c>
      <c r="M953" s="7" t="n">
        <v>0</v>
      </c>
    </row>
    <row r="954">
      <c r="A954" t="n">
        <v>509811</v>
      </c>
      <c r="B954" s="6" t="n">
        <v>45943</v>
      </c>
      <c r="C954" t="n">
        <v>15697</v>
      </c>
      <c r="D954" t="inlineStr">
        <is>
          <t>Noida</t>
        </is>
      </c>
      <c r="E954" t="inlineStr">
        <is>
          <t>North</t>
        </is>
      </c>
      <c r="F954" t="inlineStr">
        <is>
          <t>Paid Search</t>
        </is>
      </c>
      <c r="G954" t="inlineStr">
        <is>
          <t>Desktop</t>
        </is>
      </c>
      <c r="H954" t="inlineStr">
        <is>
          <t>Credit Card</t>
        </is>
      </c>
      <c r="I954" t="inlineStr">
        <is>
          <t>Delivered</t>
        </is>
      </c>
      <c r="J954" t="n">
        <v>128</v>
      </c>
      <c r="K954" t="n">
        <v>1</v>
      </c>
      <c r="L954" s="7" t="n">
        <v>1049</v>
      </c>
      <c r="M954" s="7" t="n">
        <v>0</v>
      </c>
    </row>
    <row r="955">
      <c r="A955" t="n">
        <v>509812</v>
      </c>
      <c r="B955" s="6" t="n">
        <v>45943</v>
      </c>
      <c r="C955" t="n">
        <v>16024</v>
      </c>
      <c r="D955" t="inlineStr">
        <is>
          <t>Delhi</t>
        </is>
      </c>
      <c r="E955" t="inlineStr">
        <is>
          <t>North</t>
        </is>
      </c>
      <c r="F955" t="inlineStr">
        <is>
          <t>Organic Search</t>
        </is>
      </c>
      <c r="G955" t="inlineStr">
        <is>
          <t>Mobile App</t>
        </is>
      </c>
      <c r="H955" t="inlineStr">
        <is>
          <t>Cash on Delivery</t>
        </is>
      </c>
      <c r="I955" t="inlineStr">
        <is>
          <t>Delivered</t>
        </is>
      </c>
      <c r="J955" t="n">
        <v>118</v>
      </c>
      <c r="K955" t="n">
        <v>1</v>
      </c>
      <c r="L955" s="7" t="n">
        <v>944</v>
      </c>
      <c r="M955" s="7" t="n">
        <v>94.40000000000001</v>
      </c>
    </row>
    <row r="956">
      <c r="A956" t="n">
        <v>509812</v>
      </c>
      <c r="B956" s="6" t="n">
        <v>45943</v>
      </c>
      <c r="C956" t="n">
        <v>16024</v>
      </c>
      <c r="D956" t="inlineStr">
        <is>
          <t>Delhi</t>
        </is>
      </c>
      <c r="E956" t="inlineStr">
        <is>
          <t>North</t>
        </is>
      </c>
      <c r="F956" t="inlineStr">
        <is>
          <t>Organic Search</t>
        </is>
      </c>
      <c r="G956" t="inlineStr">
        <is>
          <t>Mobile App</t>
        </is>
      </c>
      <c r="H956" t="inlineStr">
        <is>
          <t>Cash on Delivery</t>
        </is>
      </c>
      <c r="I956" t="inlineStr">
        <is>
          <t>Delivered</t>
        </is>
      </c>
      <c r="J956" t="n">
        <v>129</v>
      </c>
      <c r="K956" t="n">
        <v>2</v>
      </c>
      <c r="L956" s="7" t="n">
        <v>576</v>
      </c>
      <c r="M956" s="7" t="n">
        <v>115.2</v>
      </c>
    </row>
    <row r="957">
      <c r="A957" t="n">
        <v>509813</v>
      </c>
      <c r="B957" s="6" t="n">
        <v>45943</v>
      </c>
      <c r="C957" t="n">
        <v>15611</v>
      </c>
      <c r="D957" t="inlineStr">
        <is>
          <t>Ahmedabad</t>
        </is>
      </c>
      <c r="E957" t="inlineStr">
        <is>
          <t>West</t>
        </is>
      </c>
      <c r="F957" t="inlineStr">
        <is>
          <t>Paid Social</t>
        </is>
      </c>
      <c r="G957" t="inlineStr">
        <is>
          <t>Mobile Web</t>
        </is>
      </c>
      <c r="H957" t="inlineStr">
        <is>
          <t>Credit Card</t>
        </is>
      </c>
      <c r="I957" t="inlineStr">
        <is>
          <t>Delivered</t>
        </is>
      </c>
      <c r="J957" t="n">
        <v>123</v>
      </c>
      <c r="K957" t="n">
        <v>3</v>
      </c>
      <c r="L957" s="7" t="n">
        <v>3464</v>
      </c>
      <c r="M957" s="7" t="n">
        <v>1039.2</v>
      </c>
    </row>
    <row r="958">
      <c r="A958" t="n">
        <v>509813</v>
      </c>
      <c r="B958" s="6" t="n">
        <v>45943</v>
      </c>
      <c r="C958" t="n">
        <v>15611</v>
      </c>
      <c r="D958" t="inlineStr">
        <is>
          <t>Ahmedabad</t>
        </is>
      </c>
      <c r="E958" t="inlineStr">
        <is>
          <t>West</t>
        </is>
      </c>
      <c r="F958" t="inlineStr">
        <is>
          <t>Paid Social</t>
        </is>
      </c>
      <c r="G958" t="inlineStr">
        <is>
          <t>Mobile Web</t>
        </is>
      </c>
      <c r="H958" t="inlineStr">
        <is>
          <t>Credit Card</t>
        </is>
      </c>
      <c r="I958" t="inlineStr">
        <is>
          <t>Delivered</t>
        </is>
      </c>
      <c r="J958" t="n">
        <v>118</v>
      </c>
      <c r="K958" t="n">
        <v>1</v>
      </c>
      <c r="L958" s="7" t="n">
        <v>944</v>
      </c>
      <c r="M958" s="7" t="n">
        <v>94.40000000000001</v>
      </c>
    </row>
    <row r="959">
      <c r="A959" t="n">
        <v>509813</v>
      </c>
      <c r="B959" s="6" t="n">
        <v>45943</v>
      </c>
      <c r="C959" t="n">
        <v>15611</v>
      </c>
      <c r="D959" t="inlineStr">
        <is>
          <t>Ahmedabad</t>
        </is>
      </c>
      <c r="E959" t="inlineStr">
        <is>
          <t>West</t>
        </is>
      </c>
      <c r="F959" t="inlineStr">
        <is>
          <t>Paid Social</t>
        </is>
      </c>
      <c r="G959" t="inlineStr">
        <is>
          <t>Mobile Web</t>
        </is>
      </c>
      <c r="H959" t="inlineStr">
        <is>
          <t>Credit Card</t>
        </is>
      </c>
      <c r="I959" t="inlineStr">
        <is>
          <t>Delivered</t>
        </is>
      </c>
      <c r="J959" t="n">
        <v>112</v>
      </c>
      <c r="K959" t="n">
        <v>2</v>
      </c>
      <c r="L959" s="7" t="n">
        <v>1574</v>
      </c>
      <c r="M959" s="7" t="n">
        <v>314.8</v>
      </c>
    </row>
    <row r="960">
      <c r="A960" t="n">
        <v>509813</v>
      </c>
      <c r="B960" s="6" t="n">
        <v>45943</v>
      </c>
      <c r="C960" t="n">
        <v>15611</v>
      </c>
      <c r="D960" t="inlineStr">
        <is>
          <t>Ahmedabad</t>
        </is>
      </c>
      <c r="E960" t="inlineStr">
        <is>
          <t>West</t>
        </is>
      </c>
      <c r="F960" t="inlineStr">
        <is>
          <t>Paid Social</t>
        </is>
      </c>
      <c r="G960" t="inlineStr">
        <is>
          <t>Mobile Web</t>
        </is>
      </c>
      <c r="H960" t="inlineStr">
        <is>
          <t>Credit Card</t>
        </is>
      </c>
      <c r="I960" t="inlineStr">
        <is>
          <t>Delivered</t>
        </is>
      </c>
      <c r="J960" t="n">
        <v>117</v>
      </c>
      <c r="K960" t="n">
        <v>1</v>
      </c>
      <c r="L960" s="7" t="n">
        <v>3149</v>
      </c>
      <c r="M960" s="7" t="n">
        <v>314.9</v>
      </c>
    </row>
    <row r="961">
      <c r="A961" t="n">
        <v>509814</v>
      </c>
      <c r="B961" s="6" t="n">
        <v>45943</v>
      </c>
      <c r="C961" t="n">
        <v>15327</v>
      </c>
      <c r="D961" t="inlineStr">
        <is>
          <t>Delhi</t>
        </is>
      </c>
      <c r="E961" t="inlineStr">
        <is>
          <t>North</t>
        </is>
      </c>
      <c r="F961" t="inlineStr">
        <is>
          <t>Paid Search</t>
        </is>
      </c>
      <c r="G961" t="inlineStr">
        <is>
          <t>Mobile Web</t>
        </is>
      </c>
      <c r="H961" t="inlineStr">
        <is>
          <t>Credit Card</t>
        </is>
      </c>
      <c r="I961" t="inlineStr">
        <is>
          <t>Delivered</t>
        </is>
      </c>
      <c r="J961" t="n">
        <v>115</v>
      </c>
      <c r="K961" t="n">
        <v>1</v>
      </c>
      <c r="L961" s="7" t="n">
        <v>4199</v>
      </c>
      <c r="M961" s="7" t="n">
        <v>0</v>
      </c>
    </row>
    <row r="962">
      <c r="A962" t="n">
        <v>509814</v>
      </c>
      <c r="B962" s="6" t="n">
        <v>45943</v>
      </c>
      <c r="C962" t="n">
        <v>15327</v>
      </c>
      <c r="D962" t="inlineStr">
        <is>
          <t>Delhi</t>
        </is>
      </c>
      <c r="E962" t="inlineStr">
        <is>
          <t>North</t>
        </is>
      </c>
      <c r="F962" t="inlineStr">
        <is>
          <t>Paid Search</t>
        </is>
      </c>
      <c r="G962" t="inlineStr">
        <is>
          <t>Mobile Web</t>
        </is>
      </c>
      <c r="H962" t="inlineStr">
        <is>
          <t>Credit Card</t>
        </is>
      </c>
      <c r="I962" t="inlineStr">
        <is>
          <t>Delivered</t>
        </is>
      </c>
      <c r="J962" t="n">
        <v>122</v>
      </c>
      <c r="K962" t="n">
        <v>1</v>
      </c>
      <c r="L962" s="7" t="n">
        <v>1994</v>
      </c>
      <c r="M962" s="7" t="n">
        <v>0</v>
      </c>
    </row>
    <row r="963">
      <c r="A963" t="n">
        <v>509815</v>
      </c>
      <c r="B963" s="6" t="n">
        <v>45943</v>
      </c>
      <c r="C963" t="n">
        <v>16767</v>
      </c>
      <c r="D963" t="inlineStr">
        <is>
          <t>Delhi</t>
        </is>
      </c>
      <c r="E963" t="inlineStr">
        <is>
          <t>North</t>
        </is>
      </c>
      <c r="F963" t="inlineStr">
        <is>
          <t>Paid Search</t>
        </is>
      </c>
      <c r="G963" t="inlineStr">
        <is>
          <t>Mobile Web</t>
        </is>
      </c>
      <c r="H963" t="inlineStr">
        <is>
          <t>UPI</t>
        </is>
      </c>
      <c r="I963" t="inlineStr">
        <is>
          <t>Delivered</t>
        </is>
      </c>
      <c r="J963" t="n">
        <v>104</v>
      </c>
      <c r="K963" t="n">
        <v>1</v>
      </c>
      <c r="L963" s="7" t="n">
        <v>5249</v>
      </c>
      <c r="M963" s="7" t="n">
        <v>0</v>
      </c>
    </row>
    <row r="964">
      <c r="A964" t="n">
        <v>509815</v>
      </c>
      <c r="B964" s="6" t="n">
        <v>45943</v>
      </c>
      <c r="C964" t="n">
        <v>16767</v>
      </c>
      <c r="D964" t="inlineStr">
        <is>
          <t>Delhi</t>
        </is>
      </c>
      <c r="E964" t="inlineStr">
        <is>
          <t>North</t>
        </is>
      </c>
      <c r="F964" t="inlineStr">
        <is>
          <t>Paid Search</t>
        </is>
      </c>
      <c r="G964" t="inlineStr">
        <is>
          <t>Mobile Web</t>
        </is>
      </c>
      <c r="H964" t="inlineStr">
        <is>
          <t>UPI</t>
        </is>
      </c>
      <c r="I964" t="inlineStr">
        <is>
          <t>Delivered</t>
        </is>
      </c>
      <c r="J964" t="n">
        <v>107</v>
      </c>
      <c r="K964" t="n">
        <v>1</v>
      </c>
      <c r="L964" s="7" t="n">
        <v>1259</v>
      </c>
      <c r="M964" s="7" t="n">
        <v>0</v>
      </c>
    </row>
    <row r="965">
      <c r="A965" t="n">
        <v>509816</v>
      </c>
      <c r="B965" s="6" t="n">
        <v>45943</v>
      </c>
      <c r="C965" t="n">
        <v>16799</v>
      </c>
      <c r="D965" t="inlineStr">
        <is>
          <t>Chennai</t>
        </is>
      </c>
      <c r="E965" t="inlineStr">
        <is>
          <t>South</t>
        </is>
      </c>
      <c r="F965" t="inlineStr">
        <is>
          <t>Paid Social</t>
        </is>
      </c>
      <c r="G965" t="inlineStr">
        <is>
          <t>Desktop</t>
        </is>
      </c>
      <c r="H965" t="inlineStr">
        <is>
          <t>Cash on Delivery</t>
        </is>
      </c>
      <c r="I965" t="inlineStr">
        <is>
          <t>Delivered</t>
        </is>
      </c>
      <c r="J965" t="n">
        <v>111</v>
      </c>
      <c r="K965" t="n">
        <v>2</v>
      </c>
      <c r="L965" s="7" t="n">
        <v>524</v>
      </c>
      <c r="M965" s="7" t="n">
        <v>0</v>
      </c>
    </row>
    <row r="966">
      <c r="A966" t="n">
        <v>509817</v>
      </c>
      <c r="B966" s="6" t="n">
        <v>45943</v>
      </c>
      <c r="C966" t="n">
        <v>10713</v>
      </c>
      <c r="D966" t="inlineStr">
        <is>
          <t>Chandigarh</t>
        </is>
      </c>
      <c r="E966" t="inlineStr">
        <is>
          <t>North</t>
        </is>
      </c>
      <c r="F966" t="inlineStr">
        <is>
          <t>Email</t>
        </is>
      </c>
      <c r="G966" t="inlineStr">
        <is>
          <t>Mobile App</t>
        </is>
      </c>
      <c r="H966" t="inlineStr">
        <is>
          <t>UPI</t>
        </is>
      </c>
      <c r="I966" t="inlineStr">
        <is>
          <t>Delivered</t>
        </is>
      </c>
      <c r="J966" t="n">
        <v>116</v>
      </c>
      <c r="K966" t="n">
        <v>1</v>
      </c>
      <c r="L966" s="7" t="n">
        <v>2624</v>
      </c>
      <c r="M966" s="7" t="n">
        <v>262.4</v>
      </c>
    </row>
    <row r="967">
      <c r="A967" t="n">
        <v>509818</v>
      </c>
      <c r="B967" s="6" t="n">
        <v>45943</v>
      </c>
      <c r="C967" t="n">
        <v>10971</v>
      </c>
      <c r="D967" t="inlineStr">
        <is>
          <t>Indore</t>
        </is>
      </c>
      <c r="E967" t="inlineStr">
        <is>
          <t>West</t>
        </is>
      </c>
      <c r="F967" t="inlineStr">
        <is>
          <t>Paid Social</t>
        </is>
      </c>
      <c r="G967" t="inlineStr">
        <is>
          <t>Mobile App</t>
        </is>
      </c>
      <c r="H967" t="inlineStr">
        <is>
          <t>UPI</t>
        </is>
      </c>
      <c r="I967" t="inlineStr">
        <is>
          <t>Returned</t>
        </is>
      </c>
      <c r="J967" t="n">
        <v>106</v>
      </c>
      <c r="K967" t="n">
        <v>1</v>
      </c>
      <c r="L967" s="7" t="n">
        <v>1574</v>
      </c>
      <c r="M967" s="7" t="n">
        <v>0</v>
      </c>
    </row>
    <row r="968">
      <c r="A968" t="n">
        <v>509818</v>
      </c>
      <c r="B968" s="6" t="n">
        <v>45943</v>
      </c>
      <c r="C968" t="n">
        <v>10971</v>
      </c>
      <c r="D968" t="inlineStr">
        <is>
          <t>Indore</t>
        </is>
      </c>
      <c r="E968" t="inlineStr">
        <is>
          <t>West</t>
        </is>
      </c>
      <c r="F968" t="inlineStr">
        <is>
          <t>Paid Social</t>
        </is>
      </c>
      <c r="G968" t="inlineStr">
        <is>
          <t>Mobile App</t>
        </is>
      </c>
      <c r="H968" t="inlineStr">
        <is>
          <t>UPI</t>
        </is>
      </c>
      <c r="I968" t="inlineStr">
        <is>
          <t>Returned</t>
        </is>
      </c>
      <c r="J968" t="n">
        <v>102</v>
      </c>
      <c r="K968" t="n">
        <v>1</v>
      </c>
      <c r="L968" s="7" t="n">
        <v>3674</v>
      </c>
      <c r="M968" s="7" t="n">
        <v>0</v>
      </c>
    </row>
    <row r="969">
      <c r="A969" t="n">
        <v>509819</v>
      </c>
      <c r="B969" s="6" t="n">
        <v>45943</v>
      </c>
      <c r="C969" t="n">
        <v>16788</v>
      </c>
      <c r="D969" t="inlineStr">
        <is>
          <t>Delhi</t>
        </is>
      </c>
      <c r="E969" t="inlineStr">
        <is>
          <t>North</t>
        </is>
      </c>
      <c r="F969" t="inlineStr">
        <is>
          <t>Organic Search</t>
        </is>
      </c>
      <c r="G969" t="inlineStr">
        <is>
          <t>Mobile App</t>
        </is>
      </c>
      <c r="H969" t="inlineStr">
        <is>
          <t>UPI</t>
        </is>
      </c>
      <c r="I969" t="inlineStr">
        <is>
          <t>Delivered</t>
        </is>
      </c>
      <c r="J969" t="n">
        <v>109</v>
      </c>
      <c r="K969" t="n">
        <v>1</v>
      </c>
      <c r="L969" s="7" t="n">
        <v>4199</v>
      </c>
      <c r="M969" s="7" t="n">
        <v>629.85</v>
      </c>
    </row>
    <row r="970">
      <c r="A970" t="n">
        <v>509819</v>
      </c>
      <c r="B970" s="6" t="n">
        <v>45943</v>
      </c>
      <c r="C970" t="n">
        <v>16788</v>
      </c>
      <c r="D970" t="inlineStr">
        <is>
          <t>Delhi</t>
        </is>
      </c>
      <c r="E970" t="inlineStr">
        <is>
          <t>North</t>
        </is>
      </c>
      <c r="F970" t="inlineStr">
        <is>
          <t>Organic Search</t>
        </is>
      </c>
      <c r="G970" t="inlineStr">
        <is>
          <t>Mobile App</t>
        </is>
      </c>
      <c r="H970" t="inlineStr">
        <is>
          <t>UPI</t>
        </is>
      </c>
      <c r="I970" t="inlineStr">
        <is>
          <t>Delivered</t>
        </is>
      </c>
      <c r="J970" t="n">
        <v>112</v>
      </c>
      <c r="K970" t="n">
        <v>1</v>
      </c>
      <c r="L970" s="7" t="n">
        <v>1574</v>
      </c>
      <c r="M970" s="7" t="n">
        <v>236.1</v>
      </c>
    </row>
    <row r="971">
      <c r="A971" t="n">
        <v>509819</v>
      </c>
      <c r="B971" s="6" t="n">
        <v>45943</v>
      </c>
      <c r="C971" t="n">
        <v>16788</v>
      </c>
      <c r="D971" t="inlineStr">
        <is>
          <t>Delhi</t>
        </is>
      </c>
      <c r="E971" t="inlineStr">
        <is>
          <t>North</t>
        </is>
      </c>
      <c r="F971" t="inlineStr">
        <is>
          <t>Organic Search</t>
        </is>
      </c>
      <c r="G971" t="inlineStr">
        <is>
          <t>Mobile App</t>
        </is>
      </c>
      <c r="H971" t="inlineStr">
        <is>
          <t>UPI</t>
        </is>
      </c>
      <c r="I971" t="inlineStr">
        <is>
          <t>Delivered</t>
        </is>
      </c>
      <c r="J971" t="n">
        <v>129</v>
      </c>
      <c r="K971" t="n">
        <v>1</v>
      </c>
      <c r="L971" s="7" t="n">
        <v>576</v>
      </c>
      <c r="M971" s="7" t="n">
        <v>86.40000000000001</v>
      </c>
    </row>
    <row r="972">
      <c r="A972" t="n">
        <v>509820</v>
      </c>
      <c r="B972" s="6" t="n">
        <v>45943</v>
      </c>
      <c r="C972" t="n">
        <v>13773</v>
      </c>
      <c r="D972" t="inlineStr">
        <is>
          <t>Jaipur</t>
        </is>
      </c>
      <c r="E972" t="inlineStr">
        <is>
          <t>North</t>
        </is>
      </c>
      <c r="F972" t="inlineStr">
        <is>
          <t>Organic Search</t>
        </is>
      </c>
      <c r="G972" t="inlineStr">
        <is>
          <t>Mobile Web</t>
        </is>
      </c>
      <c r="H972" t="inlineStr">
        <is>
          <t>UPI</t>
        </is>
      </c>
      <c r="I972" t="inlineStr">
        <is>
          <t>Delivered</t>
        </is>
      </c>
      <c r="J972" t="n">
        <v>113</v>
      </c>
      <c r="K972" t="n">
        <v>1</v>
      </c>
      <c r="L972" s="7" t="n">
        <v>1364</v>
      </c>
      <c r="M972" s="7" t="n">
        <v>136.4</v>
      </c>
    </row>
    <row r="973">
      <c r="A973" t="n">
        <v>509820</v>
      </c>
      <c r="B973" s="6" t="n">
        <v>45943</v>
      </c>
      <c r="C973" t="n">
        <v>13773</v>
      </c>
      <c r="D973" t="inlineStr">
        <is>
          <t>Jaipur</t>
        </is>
      </c>
      <c r="E973" t="inlineStr">
        <is>
          <t>North</t>
        </is>
      </c>
      <c r="F973" t="inlineStr">
        <is>
          <t>Organic Search</t>
        </is>
      </c>
      <c r="G973" t="inlineStr">
        <is>
          <t>Mobile Web</t>
        </is>
      </c>
      <c r="H973" t="inlineStr">
        <is>
          <t>UPI</t>
        </is>
      </c>
      <c r="I973" t="inlineStr">
        <is>
          <t>Delivered</t>
        </is>
      </c>
      <c r="J973" t="n">
        <v>119</v>
      </c>
      <c r="K973" t="n">
        <v>1</v>
      </c>
      <c r="L973" s="7" t="n">
        <v>2309</v>
      </c>
      <c r="M973" s="7" t="n">
        <v>230.9</v>
      </c>
    </row>
    <row r="974">
      <c r="A974" t="n">
        <v>509820</v>
      </c>
      <c r="B974" s="6" t="n">
        <v>45943</v>
      </c>
      <c r="C974" t="n">
        <v>13773</v>
      </c>
      <c r="D974" t="inlineStr">
        <is>
          <t>Jaipur</t>
        </is>
      </c>
      <c r="E974" t="inlineStr">
        <is>
          <t>North</t>
        </is>
      </c>
      <c r="F974" t="inlineStr">
        <is>
          <t>Organic Search</t>
        </is>
      </c>
      <c r="G974" t="inlineStr">
        <is>
          <t>Mobile Web</t>
        </is>
      </c>
      <c r="H974" t="inlineStr">
        <is>
          <t>UPI</t>
        </is>
      </c>
      <c r="I974" t="inlineStr">
        <is>
          <t>Delivered</t>
        </is>
      </c>
      <c r="J974" t="n">
        <v>123</v>
      </c>
      <c r="K974" t="n">
        <v>1</v>
      </c>
      <c r="L974" s="7" t="n">
        <v>3464</v>
      </c>
      <c r="M974" s="7" t="n">
        <v>346.4</v>
      </c>
    </row>
    <row r="975">
      <c r="A975" t="n">
        <v>509820</v>
      </c>
      <c r="B975" s="6" t="n">
        <v>45943</v>
      </c>
      <c r="C975" t="n">
        <v>13773</v>
      </c>
      <c r="D975" t="inlineStr">
        <is>
          <t>Jaipur</t>
        </is>
      </c>
      <c r="E975" t="inlineStr">
        <is>
          <t>North</t>
        </is>
      </c>
      <c r="F975" t="inlineStr">
        <is>
          <t>Organic Search</t>
        </is>
      </c>
      <c r="G975" t="inlineStr">
        <is>
          <t>Mobile Web</t>
        </is>
      </c>
      <c r="H975" t="inlineStr">
        <is>
          <t>UPI</t>
        </is>
      </c>
      <c r="I975" t="inlineStr">
        <is>
          <t>Delivered</t>
        </is>
      </c>
      <c r="J975" t="n">
        <v>129</v>
      </c>
      <c r="K975" t="n">
        <v>3</v>
      </c>
      <c r="L975" s="7" t="n">
        <v>576</v>
      </c>
      <c r="M975" s="7" t="n">
        <v>172.8</v>
      </c>
    </row>
    <row r="976">
      <c r="A976" t="n">
        <v>509821</v>
      </c>
      <c r="B976" s="6" t="n">
        <v>45943</v>
      </c>
      <c r="C976" t="n">
        <v>16794</v>
      </c>
      <c r="D976" t="inlineStr">
        <is>
          <t>Delhi</t>
        </is>
      </c>
      <c r="E976" t="inlineStr">
        <is>
          <t>North</t>
        </is>
      </c>
      <c r="F976" t="inlineStr">
        <is>
          <t>Email</t>
        </is>
      </c>
      <c r="G976" t="inlineStr">
        <is>
          <t>Mobile Web</t>
        </is>
      </c>
      <c r="H976" t="inlineStr">
        <is>
          <t>Debit Card</t>
        </is>
      </c>
      <c r="I976" t="inlineStr">
        <is>
          <t>Delivered</t>
        </is>
      </c>
      <c r="J976" t="n">
        <v>112</v>
      </c>
      <c r="K976" t="n">
        <v>2</v>
      </c>
      <c r="L976" s="7" t="n">
        <v>1574</v>
      </c>
      <c r="M976" s="7" t="n">
        <v>314.8</v>
      </c>
    </row>
    <row r="977">
      <c r="A977" t="n">
        <v>509821</v>
      </c>
      <c r="B977" s="6" t="n">
        <v>45943</v>
      </c>
      <c r="C977" t="n">
        <v>16794</v>
      </c>
      <c r="D977" t="inlineStr">
        <is>
          <t>Delhi</t>
        </is>
      </c>
      <c r="E977" t="inlineStr">
        <is>
          <t>North</t>
        </is>
      </c>
      <c r="F977" t="inlineStr">
        <is>
          <t>Email</t>
        </is>
      </c>
      <c r="G977" t="inlineStr">
        <is>
          <t>Mobile Web</t>
        </is>
      </c>
      <c r="H977" t="inlineStr">
        <is>
          <t>Debit Card</t>
        </is>
      </c>
      <c r="I977" t="inlineStr">
        <is>
          <t>Delivered</t>
        </is>
      </c>
      <c r="J977" t="n">
        <v>122</v>
      </c>
      <c r="K977" t="n">
        <v>1</v>
      </c>
      <c r="L977" s="7" t="n">
        <v>1994</v>
      </c>
      <c r="M977" s="7" t="n">
        <v>199.4</v>
      </c>
    </row>
    <row r="978">
      <c r="A978" t="n">
        <v>509822</v>
      </c>
      <c r="B978" s="6" t="n">
        <v>45943</v>
      </c>
      <c r="C978" t="n">
        <v>14566</v>
      </c>
      <c r="D978" t="inlineStr">
        <is>
          <t>Ahmedabad</t>
        </is>
      </c>
      <c r="E978" t="inlineStr">
        <is>
          <t>West</t>
        </is>
      </c>
      <c r="F978" t="inlineStr">
        <is>
          <t>Organic Search</t>
        </is>
      </c>
      <c r="G978" t="inlineStr">
        <is>
          <t>Mobile App</t>
        </is>
      </c>
      <c r="H978" t="inlineStr">
        <is>
          <t>Net Banking</t>
        </is>
      </c>
      <c r="I978" t="inlineStr">
        <is>
          <t>Delivered</t>
        </is>
      </c>
      <c r="J978" t="n">
        <v>109</v>
      </c>
      <c r="K978" t="n">
        <v>1</v>
      </c>
      <c r="L978" s="7" t="n">
        <v>4199</v>
      </c>
      <c r="M978" s="7" t="n">
        <v>419.9</v>
      </c>
    </row>
    <row r="979">
      <c r="A979" t="n">
        <v>509822</v>
      </c>
      <c r="B979" s="6" t="n">
        <v>45943</v>
      </c>
      <c r="C979" t="n">
        <v>14566</v>
      </c>
      <c r="D979" t="inlineStr">
        <is>
          <t>Ahmedabad</t>
        </is>
      </c>
      <c r="E979" t="inlineStr">
        <is>
          <t>West</t>
        </is>
      </c>
      <c r="F979" t="inlineStr">
        <is>
          <t>Organic Search</t>
        </is>
      </c>
      <c r="G979" t="inlineStr">
        <is>
          <t>Mobile App</t>
        </is>
      </c>
      <c r="H979" t="inlineStr">
        <is>
          <t>Net Banking</t>
        </is>
      </c>
      <c r="I979" t="inlineStr">
        <is>
          <t>Delivered</t>
        </is>
      </c>
      <c r="J979" t="n">
        <v>118</v>
      </c>
      <c r="K979" t="n">
        <v>1</v>
      </c>
      <c r="L979" s="7" t="n">
        <v>944</v>
      </c>
      <c r="M979" s="7" t="n">
        <v>94.40000000000001</v>
      </c>
    </row>
    <row r="980">
      <c r="A980" t="n">
        <v>509823</v>
      </c>
      <c r="B980" s="6" t="n">
        <v>45943</v>
      </c>
      <c r="C980" t="n">
        <v>13903</v>
      </c>
      <c r="D980" t="inlineStr">
        <is>
          <t>Gurugram</t>
        </is>
      </c>
      <c r="E980" t="inlineStr">
        <is>
          <t>North</t>
        </is>
      </c>
      <c r="F980" t="inlineStr">
        <is>
          <t>Email</t>
        </is>
      </c>
      <c r="G980" t="inlineStr">
        <is>
          <t>Mobile App</t>
        </is>
      </c>
      <c r="H980" t="inlineStr">
        <is>
          <t>UPI</t>
        </is>
      </c>
      <c r="I980" t="inlineStr">
        <is>
          <t>Delivered</t>
        </is>
      </c>
      <c r="J980" t="n">
        <v>115</v>
      </c>
      <c r="K980" t="n">
        <v>1</v>
      </c>
      <c r="L980" s="7" t="n">
        <v>4199</v>
      </c>
      <c r="M980" s="7" t="n">
        <v>419.9</v>
      </c>
    </row>
    <row r="981">
      <c r="A981" t="n">
        <v>509823</v>
      </c>
      <c r="B981" s="6" t="n">
        <v>45943</v>
      </c>
      <c r="C981" t="n">
        <v>13903</v>
      </c>
      <c r="D981" t="inlineStr">
        <is>
          <t>Gurugram</t>
        </is>
      </c>
      <c r="E981" t="inlineStr">
        <is>
          <t>North</t>
        </is>
      </c>
      <c r="F981" t="inlineStr">
        <is>
          <t>Email</t>
        </is>
      </c>
      <c r="G981" t="inlineStr">
        <is>
          <t>Mobile App</t>
        </is>
      </c>
      <c r="H981" t="inlineStr">
        <is>
          <t>UPI</t>
        </is>
      </c>
      <c r="I981" t="inlineStr">
        <is>
          <t>Delivered</t>
        </is>
      </c>
      <c r="J981" t="n">
        <v>107</v>
      </c>
      <c r="K981" t="n">
        <v>1</v>
      </c>
      <c r="L981" s="7" t="n">
        <v>1259</v>
      </c>
      <c r="M981" s="7" t="n">
        <v>125.9</v>
      </c>
    </row>
    <row r="982">
      <c r="A982" t="n">
        <v>509823</v>
      </c>
      <c r="B982" s="6" t="n">
        <v>45943</v>
      </c>
      <c r="C982" t="n">
        <v>13903</v>
      </c>
      <c r="D982" t="inlineStr">
        <is>
          <t>Gurugram</t>
        </is>
      </c>
      <c r="E982" t="inlineStr">
        <is>
          <t>North</t>
        </is>
      </c>
      <c r="F982" t="inlineStr">
        <is>
          <t>Email</t>
        </is>
      </c>
      <c r="G982" t="inlineStr">
        <is>
          <t>Mobile App</t>
        </is>
      </c>
      <c r="H982" t="inlineStr">
        <is>
          <t>UPI</t>
        </is>
      </c>
      <c r="I982" t="inlineStr">
        <is>
          <t>Delivered</t>
        </is>
      </c>
      <c r="J982" t="n">
        <v>110</v>
      </c>
      <c r="K982" t="n">
        <v>1</v>
      </c>
      <c r="L982" s="7" t="n">
        <v>839</v>
      </c>
      <c r="M982" s="7" t="n">
        <v>83.90000000000001</v>
      </c>
    </row>
    <row r="983">
      <c r="A983" t="n">
        <v>509824</v>
      </c>
      <c r="B983" s="6" t="n">
        <v>45943</v>
      </c>
      <c r="C983" t="n">
        <v>16741</v>
      </c>
      <c r="D983" t="inlineStr">
        <is>
          <t>Jaipur</t>
        </is>
      </c>
      <c r="E983" t="inlineStr">
        <is>
          <t>North</t>
        </is>
      </c>
      <c r="F983" t="inlineStr">
        <is>
          <t>Paid Social</t>
        </is>
      </c>
      <c r="G983" t="inlineStr">
        <is>
          <t>Desktop</t>
        </is>
      </c>
      <c r="H983" t="inlineStr">
        <is>
          <t>UPI</t>
        </is>
      </c>
      <c r="I983" t="inlineStr">
        <is>
          <t>Delivered</t>
        </is>
      </c>
      <c r="J983" t="n">
        <v>125</v>
      </c>
      <c r="K983" t="n">
        <v>1</v>
      </c>
      <c r="L983" s="7" t="n">
        <v>1364</v>
      </c>
      <c r="M983" s="7" t="n">
        <v>204.6</v>
      </c>
    </row>
    <row r="984">
      <c r="A984" t="n">
        <v>509824</v>
      </c>
      <c r="B984" s="6" t="n">
        <v>45943</v>
      </c>
      <c r="C984" t="n">
        <v>16741</v>
      </c>
      <c r="D984" t="inlineStr">
        <is>
          <t>Jaipur</t>
        </is>
      </c>
      <c r="E984" t="inlineStr">
        <is>
          <t>North</t>
        </is>
      </c>
      <c r="F984" t="inlineStr">
        <is>
          <t>Paid Social</t>
        </is>
      </c>
      <c r="G984" t="inlineStr">
        <is>
          <t>Desktop</t>
        </is>
      </c>
      <c r="H984" t="inlineStr">
        <is>
          <t>UPI</t>
        </is>
      </c>
      <c r="I984" t="inlineStr">
        <is>
          <t>Delivered</t>
        </is>
      </c>
      <c r="J984" t="n">
        <v>127</v>
      </c>
      <c r="K984" t="n">
        <v>1</v>
      </c>
      <c r="L984" s="7" t="n">
        <v>681</v>
      </c>
      <c r="M984" s="7" t="n">
        <v>102.15</v>
      </c>
    </row>
    <row r="985">
      <c r="A985" t="n">
        <v>509824</v>
      </c>
      <c r="B985" s="6" t="n">
        <v>45943</v>
      </c>
      <c r="C985" t="n">
        <v>16741</v>
      </c>
      <c r="D985" t="inlineStr">
        <is>
          <t>Jaipur</t>
        </is>
      </c>
      <c r="E985" t="inlineStr">
        <is>
          <t>North</t>
        </is>
      </c>
      <c r="F985" t="inlineStr">
        <is>
          <t>Paid Social</t>
        </is>
      </c>
      <c r="G985" t="inlineStr">
        <is>
          <t>Desktop</t>
        </is>
      </c>
      <c r="H985" t="inlineStr">
        <is>
          <t>UPI</t>
        </is>
      </c>
      <c r="I985" t="inlineStr">
        <is>
          <t>Delivered</t>
        </is>
      </c>
      <c r="J985" t="n">
        <v>129</v>
      </c>
      <c r="K985" t="n">
        <v>1</v>
      </c>
      <c r="L985" s="7" t="n">
        <v>576</v>
      </c>
      <c r="M985" s="7" t="n">
        <v>86.40000000000001</v>
      </c>
    </row>
    <row r="986">
      <c r="A986" t="n">
        <v>509825</v>
      </c>
      <c r="B986" s="6" t="n">
        <v>45943</v>
      </c>
      <c r="C986" t="n">
        <v>16623</v>
      </c>
      <c r="D986" t="inlineStr">
        <is>
          <t>Mumbai</t>
        </is>
      </c>
      <c r="E986" t="inlineStr">
        <is>
          <t>West</t>
        </is>
      </c>
      <c r="F986" t="inlineStr">
        <is>
          <t>Organic Search</t>
        </is>
      </c>
      <c r="G986" t="inlineStr">
        <is>
          <t>Mobile App</t>
        </is>
      </c>
      <c r="H986" t="inlineStr">
        <is>
          <t>Cash on Delivery</t>
        </is>
      </c>
      <c r="I986" t="inlineStr">
        <is>
          <t>Cancelled</t>
        </is>
      </c>
      <c r="J986" t="n">
        <v>137</v>
      </c>
      <c r="K986" t="n">
        <v>1</v>
      </c>
      <c r="L986" s="7" t="n">
        <v>261</v>
      </c>
      <c r="M986" s="7" t="n">
        <v>39.15</v>
      </c>
    </row>
    <row r="987">
      <c r="A987" t="n">
        <v>509826</v>
      </c>
      <c r="B987" s="6" t="n">
        <v>45943</v>
      </c>
      <c r="C987" t="n">
        <v>13465</v>
      </c>
      <c r="D987" t="inlineStr">
        <is>
          <t>Kochi</t>
        </is>
      </c>
      <c r="E987" t="inlineStr">
        <is>
          <t>South</t>
        </is>
      </c>
      <c r="F987" t="inlineStr">
        <is>
          <t>Referral</t>
        </is>
      </c>
      <c r="G987" t="inlineStr">
        <is>
          <t>Mobile Web</t>
        </is>
      </c>
      <c r="H987" t="inlineStr">
        <is>
          <t>UPI</t>
        </is>
      </c>
      <c r="I987" t="inlineStr">
        <is>
          <t>Delivered</t>
        </is>
      </c>
      <c r="J987" t="n">
        <v>105</v>
      </c>
      <c r="K987" t="n">
        <v>1</v>
      </c>
      <c r="L987" s="7" t="n">
        <v>2414</v>
      </c>
      <c r="M987" s="7" t="n">
        <v>241.4</v>
      </c>
    </row>
    <row r="988">
      <c r="A988" t="n">
        <v>509826</v>
      </c>
      <c r="B988" s="6" t="n">
        <v>45943</v>
      </c>
      <c r="C988" t="n">
        <v>13465</v>
      </c>
      <c r="D988" t="inlineStr">
        <is>
          <t>Kochi</t>
        </is>
      </c>
      <c r="E988" t="inlineStr">
        <is>
          <t>South</t>
        </is>
      </c>
      <c r="F988" t="inlineStr">
        <is>
          <t>Referral</t>
        </is>
      </c>
      <c r="G988" t="inlineStr">
        <is>
          <t>Mobile Web</t>
        </is>
      </c>
      <c r="H988" t="inlineStr">
        <is>
          <t>UPI</t>
        </is>
      </c>
      <c r="I988" t="inlineStr">
        <is>
          <t>Delivered</t>
        </is>
      </c>
      <c r="J988" t="n">
        <v>108</v>
      </c>
      <c r="K988" t="n">
        <v>2</v>
      </c>
      <c r="L988" s="7" t="n">
        <v>419</v>
      </c>
      <c r="M988" s="7" t="n">
        <v>83.8</v>
      </c>
    </row>
    <row r="989">
      <c r="A989" t="n">
        <v>509826</v>
      </c>
      <c r="B989" s="6" t="n">
        <v>45943</v>
      </c>
      <c r="C989" t="n">
        <v>13465</v>
      </c>
      <c r="D989" t="inlineStr">
        <is>
          <t>Kochi</t>
        </is>
      </c>
      <c r="E989" t="inlineStr">
        <is>
          <t>South</t>
        </is>
      </c>
      <c r="F989" t="inlineStr">
        <is>
          <t>Referral</t>
        </is>
      </c>
      <c r="G989" t="inlineStr">
        <is>
          <t>Mobile Web</t>
        </is>
      </c>
      <c r="H989" t="inlineStr">
        <is>
          <t>UPI</t>
        </is>
      </c>
      <c r="I989" t="inlineStr">
        <is>
          <t>Delivered</t>
        </is>
      </c>
      <c r="J989" t="n">
        <v>144</v>
      </c>
      <c r="K989" t="n">
        <v>1</v>
      </c>
      <c r="L989" s="7" t="n">
        <v>3149</v>
      </c>
      <c r="M989" s="7" t="n">
        <v>314.9</v>
      </c>
    </row>
    <row r="990">
      <c r="A990" t="n">
        <v>509826</v>
      </c>
      <c r="B990" s="6" t="n">
        <v>45943</v>
      </c>
      <c r="C990" t="n">
        <v>13465</v>
      </c>
      <c r="D990" t="inlineStr">
        <is>
          <t>Kochi</t>
        </is>
      </c>
      <c r="E990" t="inlineStr">
        <is>
          <t>South</t>
        </is>
      </c>
      <c r="F990" t="inlineStr">
        <is>
          <t>Referral</t>
        </is>
      </c>
      <c r="G990" t="inlineStr">
        <is>
          <t>Mobile Web</t>
        </is>
      </c>
      <c r="H990" t="inlineStr">
        <is>
          <t>UPI</t>
        </is>
      </c>
      <c r="I990" t="inlineStr">
        <is>
          <t>Delivered</t>
        </is>
      </c>
      <c r="J990" t="n">
        <v>129</v>
      </c>
      <c r="K990" t="n">
        <v>1</v>
      </c>
      <c r="L990" s="7" t="n">
        <v>576</v>
      </c>
      <c r="M990" s="7" t="n">
        <v>57.6</v>
      </c>
    </row>
    <row r="991">
      <c r="A991" t="n">
        <v>509827</v>
      </c>
      <c r="B991" s="6" t="n">
        <v>45943</v>
      </c>
      <c r="C991" t="n">
        <v>16726</v>
      </c>
      <c r="D991" t="inlineStr">
        <is>
          <t>Bengaluru</t>
        </is>
      </c>
      <c r="E991" t="inlineStr">
        <is>
          <t>South</t>
        </is>
      </c>
      <c r="F991" t="inlineStr">
        <is>
          <t>Organic Search</t>
        </is>
      </c>
      <c r="G991" t="inlineStr">
        <is>
          <t>Mobile Web</t>
        </is>
      </c>
      <c r="H991" t="inlineStr">
        <is>
          <t>Credit Card</t>
        </is>
      </c>
      <c r="I991" t="inlineStr">
        <is>
          <t>Delivered</t>
        </is>
      </c>
      <c r="J991" t="n">
        <v>139</v>
      </c>
      <c r="K991" t="n">
        <v>1</v>
      </c>
      <c r="L991" s="7" t="n">
        <v>366</v>
      </c>
      <c r="M991" s="7" t="n">
        <v>0</v>
      </c>
    </row>
    <row r="992">
      <c r="A992" t="n">
        <v>509827</v>
      </c>
      <c r="B992" s="6" t="n">
        <v>45943</v>
      </c>
      <c r="C992" t="n">
        <v>16726</v>
      </c>
      <c r="D992" t="inlineStr">
        <is>
          <t>Bengaluru</t>
        </is>
      </c>
      <c r="E992" t="inlineStr">
        <is>
          <t>South</t>
        </is>
      </c>
      <c r="F992" t="inlineStr">
        <is>
          <t>Organic Search</t>
        </is>
      </c>
      <c r="G992" t="inlineStr">
        <is>
          <t>Mobile Web</t>
        </is>
      </c>
      <c r="H992" t="inlineStr">
        <is>
          <t>Credit Card</t>
        </is>
      </c>
      <c r="I992" t="inlineStr">
        <is>
          <t>Delivered</t>
        </is>
      </c>
      <c r="J992" t="n">
        <v>123</v>
      </c>
      <c r="K992" t="n">
        <v>1</v>
      </c>
      <c r="L992" s="7" t="n">
        <v>3464</v>
      </c>
      <c r="M992" s="7" t="n">
        <v>0</v>
      </c>
    </row>
    <row r="993">
      <c r="A993" t="n">
        <v>509827</v>
      </c>
      <c r="B993" s="6" t="n">
        <v>45943</v>
      </c>
      <c r="C993" t="n">
        <v>16726</v>
      </c>
      <c r="D993" t="inlineStr">
        <is>
          <t>Bengaluru</t>
        </is>
      </c>
      <c r="E993" t="inlineStr">
        <is>
          <t>South</t>
        </is>
      </c>
      <c r="F993" t="inlineStr">
        <is>
          <t>Organic Search</t>
        </is>
      </c>
      <c r="G993" t="inlineStr">
        <is>
          <t>Mobile Web</t>
        </is>
      </c>
      <c r="H993" t="inlineStr">
        <is>
          <t>Credit Card</t>
        </is>
      </c>
      <c r="I993" t="inlineStr">
        <is>
          <t>Delivered</t>
        </is>
      </c>
      <c r="J993" t="n">
        <v>129</v>
      </c>
      <c r="K993" t="n">
        <v>1</v>
      </c>
      <c r="L993" s="7" t="n">
        <v>576</v>
      </c>
      <c r="M993" s="7" t="n">
        <v>0</v>
      </c>
    </row>
    <row r="994">
      <c r="A994" t="n">
        <v>509828</v>
      </c>
      <c r="B994" s="6" t="n">
        <v>45943</v>
      </c>
      <c r="C994" t="n">
        <v>13923</v>
      </c>
      <c r="D994" t="inlineStr">
        <is>
          <t>Noida</t>
        </is>
      </c>
      <c r="E994" t="inlineStr">
        <is>
          <t>North</t>
        </is>
      </c>
      <c r="F994" t="inlineStr">
        <is>
          <t>Organic Search</t>
        </is>
      </c>
      <c r="G994" t="inlineStr">
        <is>
          <t>Mobile App</t>
        </is>
      </c>
      <c r="H994" t="inlineStr">
        <is>
          <t>Cash on Delivery</t>
        </is>
      </c>
      <c r="I994" t="inlineStr">
        <is>
          <t>Delivered</t>
        </is>
      </c>
      <c r="J994" t="n">
        <v>107</v>
      </c>
      <c r="K994" t="n">
        <v>1</v>
      </c>
      <c r="L994" s="7" t="n">
        <v>1259</v>
      </c>
      <c r="M994" s="7" t="n">
        <v>0</v>
      </c>
    </row>
    <row r="995">
      <c r="A995" t="n">
        <v>509828</v>
      </c>
      <c r="B995" s="6" t="n">
        <v>45943</v>
      </c>
      <c r="C995" t="n">
        <v>13923</v>
      </c>
      <c r="D995" t="inlineStr">
        <is>
          <t>Noida</t>
        </is>
      </c>
      <c r="E995" t="inlineStr">
        <is>
          <t>North</t>
        </is>
      </c>
      <c r="F995" t="inlineStr">
        <is>
          <t>Organic Search</t>
        </is>
      </c>
      <c r="G995" t="inlineStr">
        <is>
          <t>Mobile App</t>
        </is>
      </c>
      <c r="H995" t="inlineStr">
        <is>
          <t>Cash on Delivery</t>
        </is>
      </c>
      <c r="I995" t="inlineStr">
        <is>
          <t>Delivered</t>
        </is>
      </c>
      <c r="J995" t="n">
        <v>137</v>
      </c>
      <c r="K995" t="n">
        <v>1</v>
      </c>
      <c r="L995" s="7" t="n">
        <v>261</v>
      </c>
      <c r="M995" s="7" t="n">
        <v>0</v>
      </c>
    </row>
    <row r="996">
      <c r="A996" t="n">
        <v>509828</v>
      </c>
      <c r="B996" s="6" t="n">
        <v>45943</v>
      </c>
      <c r="C996" t="n">
        <v>13923</v>
      </c>
      <c r="D996" t="inlineStr">
        <is>
          <t>Noida</t>
        </is>
      </c>
      <c r="E996" t="inlineStr">
        <is>
          <t>North</t>
        </is>
      </c>
      <c r="F996" t="inlineStr">
        <is>
          <t>Organic Search</t>
        </is>
      </c>
      <c r="G996" t="inlineStr">
        <is>
          <t>Mobile App</t>
        </is>
      </c>
      <c r="H996" t="inlineStr">
        <is>
          <t>Cash on Delivery</t>
        </is>
      </c>
      <c r="I996" t="inlineStr">
        <is>
          <t>Delivered</t>
        </is>
      </c>
      <c r="J996" t="n">
        <v>129</v>
      </c>
      <c r="K996" t="n">
        <v>1</v>
      </c>
      <c r="L996" s="7" t="n">
        <v>576</v>
      </c>
      <c r="M996" s="7" t="n">
        <v>0</v>
      </c>
    </row>
    <row r="997">
      <c r="A997" t="n">
        <v>509829</v>
      </c>
      <c r="B997" s="6" t="n">
        <v>45943</v>
      </c>
      <c r="C997" t="n">
        <v>12802</v>
      </c>
      <c r="D997" t="inlineStr">
        <is>
          <t>Mumbai</t>
        </is>
      </c>
      <c r="E997" t="inlineStr">
        <is>
          <t>West</t>
        </is>
      </c>
      <c r="F997" t="inlineStr">
        <is>
          <t>Paid Social</t>
        </is>
      </c>
      <c r="G997" t="inlineStr">
        <is>
          <t>Mobile App</t>
        </is>
      </c>
      <c r="H997" t="inlineStr">
        <is>
          <t>UPI</t>
        </is>
      </c>
      <c r="I997" t="inlineStr">
        <is>
          <t>Delivered</t>
        </is>
      </c>
      <c r="J997" t="n">
        <v>127</v>
      </c>
      <c r="K997" t="n">
        <v>1</v>
      </c>
      <c r="L997" s="7" t="n">
        <v>681</v>
      </c>
      <c r="M997" s="7" t="n">
        <v>0</v>
      </c>
    </row>
    <row r="998">
      <c r="A998" t="n">
        <v>509830</v>
      </c>
      <c r="B998" s="6" t="n">
        <v>45943</v>
      </c>
      <c r="C998" t="n">
        <v>16796</v>
      </c>
      <c r="D998" t="inlineStr">
        <is>
          <t>Chennai</t>
        </is>
      </c>
      <c r="E998" t="inlineStr">
        <is>
          <t>South</t>
        </is>
      </c>
      <c r="F998" t="inlineStr">
        <is>
          <t>Referral</t>
        </is>
      </c>
      <c r="G998" t="inlineStr">
        <is>
          <t>Mobile App</t>
        </is>
      </c>
      <c r="H998" t="inlineStr">
        <is>
          <t>Debit Card</t>
        </is>
      </c>
      <c r="I998" t="inlineStr">
        <is>
          <t>Delivered</t>
        </is>
      </c>
      <c r="J998" t="n">
        <v>118</v>
      </c>
      <c r="K998" t="n">
        <v>1</v>
      </c>
      <c r="L998" s="7" t="n">
        <v>944</v>
      </c>
      <c r="M998" s="7" t="n">
        <v>141.6</v>
      </c>
    </row>
    <row r="999">
      <c r="A999" t="n">
        <v>509830</v>
      </c>
      <c r="B999" s="6" t="n">
        <v>45943</v>
      </c>
      <c r="C999" t="n">
        <v>16796</v>
      </c>
      <c r="D999" t="inlineStr">
        <is>
          <t>Chennai</t>
        </is>
      </c>
      <c r="E999" t="inlineStr">
        <is>
          <t>South</t>
        </is>
      </c>
      <c r="F999" t="inlineStr">
        <is>
          <t>Referral</t>
        </is>
      </c>
      <c r="G999" t="inlineStr">
        <is>
          <t>Mobile App</t>
        </is>
      </c>
      <c r="H999" t="inlineStr">
        <is>
          <t>Debit Card</t>
        </is>
      </c>
      <c r="I999" t="inlineStr">
        <is>
          <t>Delivered</t>
        </is>
      </c>
      <c r="J999" t="n">
        <v>129</v>
      </c>
      <c r="K999" t="n">
        <v>1</v>
      </c>
      <c r="L999" s="7" t="n">
        <v>576</v>
      </c>
      <c r="M999" s="7" t="n">
        <v>86.40000000000001</v>
      </c>
    </row>
    <row r="1000">
      <c r="A1000" t="n">
        <v>509831</v>
      </c>
      <c r="B1000" s="6" t="n">
        <v>45943</v>
      </c>
      <c r="C1000" t="n">
        <v>13179</v>
      </c>
      <c r="D1000" t="inlineStr">
        <is>
          <t>Noida</t>
        </is>
      </c>
      <c r="E1000" t="inlineStr">
        <is>
          <t>North</t>
        </is>
      </c>
      <c r="F1000" t="inlineStr">
        <is>
          <t>Paid Social</t>
        </is>
      </c>
      <c r="G1000" t="inlineStr">
        <is>
          <t>Mobile App</t>
        </is>
      </c>
      <c r="H1000" t="inlineStr">
        <is>
          <t>UPI</t>
        </is>
      </c>
      <c r="I1000" t="inlineStr">
        <is>
          <t>Returned</t>
        </is>
      </c>
      <c r="J1000" t="n">
        <v>114</v>
      </c>
      <c r="K1000" t="n">
        <v>1</v>
      </c>
      <c r="L1000" s="7" t="n">
        <v>1259</v>
      </c>
      <c r="M1000" s="7" t="n">
        <v>0</v>
      </c>
    </row>
    <row r="1001">
      <c r="A1001" t="n">
        <v>509831</v>
      </c>
      <c r="B1001" s="6" t="n">
        <v>45943</v>
      </c>
      <c r="C1001" t="n">
        <v>13179</v>
      </c>
      <c r="D1001" t="inlineStr">
        <is>
          <t>Noida</t>
        </is>
      </c>
      <c r="E1001" t="inlineStr">
        <is>
          <t>North</t>
        </is>
      </c>
      <c r="F1001" t="inlineStr">
        <is>
          <t>Paid Social</t>
        </is>
      </c>
      <c r="G1001" t="inlineStr">
        <is>
          <t>Mobile App</t>
        </is>
      </c>
      <c r="H1001" t="inlineStr">
        <is>
          <t>UPI</t>
        </is>
      </c>
      <c r="I1001" t="inlineStr">
        <is>
          <t>Returned</t>
        </is>
      </c>
      <c r="J1001" t="n">
        <v>129</v>
      </c>
      <c r="K1001" t="n">
        <v>1</v>
      </c>
      <c r="L1001" s="7" t="n">
        <v>576</v>
      </c>
      <c r="M1001" s="7" t="n">
        <v>0</v>
      </c>
    </row>
    <row r="1002">
      <c r="A1002" t="n">
        <v>509832</v>
      </c>
      <c r="B1002" s="6" t="n">
        <v>45943</v>
      </c>
      <c r="C1002" t="n">
        <v>12133</v>
      </c>
      <c r="D1002" t="inlineStr">
        <is>
          <t>Mumbai</t>
        </is>
      </c>
      <c r="E1002" t="inlineStr">
        <is>
          <t>West</t>
        </is>
      </c>
      <c r="F1002" t="inlineStr">
        <is>
          <t>Paid Social</t>
        </is>
      </c>
      <c r="G1002" t="inlineStr">
        <is>
          <t>Mobile Web</t>
        </is>
      </c>
      <c r="H1002" t="inlineStr">
        <is>
          <t>Cash on Delivery</t>
        </is>
      </c>
      <c r="I1002" t="inlineStr">
        <is>
          <t>Delivered</t>
        </is>
      </c>
      <c r="J1002" t="n">
        <v>136</v>
      </c>
      <c r="K1002" t="n">
        <v>1</v>
      </c>
      <c r="L1002" s="7" t="n">
        <v>944</v>
      </c>
      <c r="M1002" s="7" t="n">
        <v>94.40000000000001</v>
      </c>
    </row>
    <row r="1003">
      <c r="A1003" t="n">
        <v>509832</v>
      </c>
      <c r="B1003" s="6" t="n">
        <v>45943</v>
      </c>
      <c r="C1003" t="n">
        <v>12133</v>
      </c>
      <c r="D1003" t="inlineStr">
        <is>
          <t>Mumbai</t>
        </is>
      </c>
      <c r="E1003" t="inlineStr">
        <is>
          <t>West</t>
        </is>
      </c>
      <c r="F1003" t="inlineStr">
        <is>
          <t>Paid Social</t>
        </is>
      </c>
      <c r="G1003" t="inlineStr">
        <is>
          <t>Mobile Web</t>
        </is>
      </c>
      <c r="H1003" t="inlineStr">
        <is>
          <t>Cash on Delivery</t>
        </is>
      </c>
      <c r="I1003" t="inlineStr">
        <is>
          <t>Delivered</t>
        </is>
      </c>
      <c r="J1003" t="n">
        <v>108</v>
      </c>
      <c r="K1003" t="n">
        <v>3</v>
      </c>
      <c r="L1003" s="7" t="n">
        <v>419</v>
      </c>
      <c r="M1003" s="7" t="n">
        <v>125.7</v>
      </c>
    </row>
    <row r="1004">
      <c r="A1004" t="n">
        <v>509832</v>
      </c>
      <c r="B1004" s="6" t="n">
        <v>45943</v>
      </c>
      <c r="C1004" t="n">
        <v>12133</v>
      </c>
      <c r="D1004" t="inlineStr">
        <is>
          <t>Mumbai</t>
        </is>
      </c>
      <c r="E1004" t="inlineStr">
        <is>
          <t>West</t>
        </is>
      </c>
      <c r="F1004" t="inlineStr">
        <is>
          <t>Paid Social</t>
        </is>
      </c>
      <c r="G1004" t="inlineStr">
        <is>
          <t>Mobile Web</t>
        </is>
      </c>
      <c r="H1004" t="inlineStr">
        <is>
          <t>Cash on Delivery</t>
        </is>
      </c>
      <c r="I1004" t="inlineStr">
        <is>
          <t>Delivered</t>
        </is>
      </c>
      <c r="J1004" t="n">
        <v>107</v>
      </c>
      <c r="K1004" t="n">
        <v>1</v>
      </c>
      <c r="L1004" s="7" t="n">
        <v>1259</v>
      </c>
      <c r="M1004" s="7" t="n">
        <v>125.9</v>
      </c>
    </row>
    <row r="1005">
      <c r="A1005" t="n">
        <v>509833</v>
      </c>
      <c r="B1005" s="6" t="n">
        <v>45943</v>
      </c>
      <c r="C1005" t="n">
        <v>13919</v>
      </c>
      <c r="D1005" t="inlineStr">
        <is>
          <t>Chennai</t>
        </is>
      </c>
      <c r="E1005" t="inlineStr">
        <is>
          <t>South</t>
        </is>
      </c>
      <c r="F1005" t="inlineStr">
        <is>
          <t>Email</t>
        </is>
      </c>
      <c r="G1005" t="inlineStr">
        <is>
          <t>Desktop</t>
        </is>
      </c>
      <c r="H1005" t="inlineStr">
        <is>
          <t>Cash on Delivery</t>
        </is>
      </c>
      <c r="I1005" t="inlineStr">
        <is>
          <t>Delivered</t>
        </is>
      </c>
      <c r="J1005" t="n">
        <v>128</v>
      </c>
      <c r="K1005" t="n">
        <v>1</v>
      </c>
      <c r="L1005" s="7" t="n">
        <v>1049</v>
      </c>
      <c r="M1005" s="7" t="n">
        <v>0</v>
      </c>
    </row>
    <row r="1006">
      <c r="A1006" t="n">
        <v>509834</v>
      </c>
      <c r="B1006" s="6" t="n">
        <v>45943</v>
      </c>
      <c r="C1006" t="n">
        <v>16506</v>
      </c>
      <c r="D1006" t="inlineStr">
        <is>
          <t>Chandigarh</t>
        </is>
      </c>
      <c r="E1006" t="inlineStr">
        <is>
          <t>North</t>
        </is>
      </c>
      <c r="F1006" t="inlineStr">
        <is>
          <t>Paid Social</t>
        </is>
      </c>
      <c r="G1006" t="inlineStr">
        <is>
          <t>Desktop</t>
        </is>
      </c>
      <c r="H1006" t="inlineStr">
        <is>
          <t>Credit Card</t>
        </is>
      </c>
      <c r="I1006" t="inlineStr">
        <is>
          <t>Delivered</t>
        </is>
      </c>
      <c r="J1006" t="n">
        <v>140</v>
      </c>
      <c r="K1006" t="n">
        <v>2</v>
      </c>
      <c r="L1006" s="7" t="n">
        <v>629</v>
      </c>
      <c r="M1006" s="7" t="n">
        <v>125.8</v>
      </c>
    </row>
    <row r="1007">
      <c r="A1007" t="n">
        <v>509835</v>
      </c>
      <c r="B1007" s="6" t="n">
        <v>45943</v>
      </c>
      <c r="C1007" t="n">
        <v>16772</v>
      </c>
      <c r="D1007" t="inlineStr">
        <is>
          <t>Mumbai</t>
        </is>
      </c>
      <c r="E1007" t="inlineStr">
        <is>
          <t>West</t>
        </is>
      </c>
      <c r="F1007" t="inlineStr">
        <is>
          <t>Paid Social</t>
        </is>
      </c>
      <c r="G1007" t="inlineStr">
        <is>
          <t>Mobile App</t>
        </is>
      </c>
      <c r="H1007" t="inlineStr">
        <is>
          <t>Credit Card</t>
        </is>
      </c>
      <c r="I1007" t="inlineStr">
        <is>
          <t>Delivered</t>
        </is>
      </c>
      <c r="J1007" t="n">
        <v>123</v>
      </c>
      <c r="K1007" t="n">
        <v>1</v>
      </c>
      <c r="L1007" s="7" t="n">
        <v>3464</v>
      </c>
      <c r="M1007" s="7" t="n">
        <v>346.4</v>
      </c>
    </row>
    <row r="1008">
      <c r="A1008" t="n">
        <v>509835</v>
      </c>
      <c r="B1008" s="6" t="n">
        <v>45943</v>
      </c>
      <c r="C1008" t="n">
        <v>16772</v>
      </c>
      <c r="D1008" t="inlineStr">
        <is>
          <t>Mumbai</t>
        </is>
      </c>
      <c r="E1008" t="inlineStr">
        <is>
          <t>West</t>
        </is>
      </c>
      <c r="F1008" t="inlineStr">
        <is>
          <t>Paid Social</t>
        </is>
      </c>
      <c r="G1008" t="inlineStr">
        <is>
          <t>Mobile App</t>
        </is>
      </c>
      <c r="H1008" t="inlineStr">
        <is>
          <t>Credit Card</t>
        </is>
      </c>
      <c r="I1008" t="inlineStr">
        <is>
          <t>Delivered</t>
        </is>
      </c>
      <c r="J1008" t="n">
        <v>107</v>
      </c>
      <c r="K1008" t="n">
        <v>1</v>
      </c>
      <c r="L1008" s="7" t="n">
        <v>1259</v>
      </c>
      <c r="M1008" s="7" t="n">
        <v>125.9</v>
      </c>
    </row>
    <row r="1009">
      <c r="A1009" t="n">
        <v>509835</v>
      </c>
      <c r="B1009" s="6" t="n">
        <v>45943</v>
      </c>
      <c r="C1009" t="n">
        <v>16772</v>
      </c>
      <c r="D1009" t="inlineStr">
        <is>
          <t>Mumbai</t>
        </is>
      </c>
      <c r="E1009" t="inlineStr">
        <is>
          <t>West</t>
        </is>
      </c>
      <c r="F1009" t="inlineStr">
        <is>
          <t>Paid Social</t>
        </is>
      </c>
      <c r="G1009" t="inlineStr">
        <is>
          <t>Mobile App</t>
        </is>
      </c>
      <c r="H1009" t="inlineStr">
        <is>
          <t>Credit Card</t>
        </is>
      </c>
      <c r="I1009" t="inlineStr">
        <is>
          <t>Delivered</t>
        </is>
      </c>
      <c r="J1009" t="n">
        <v>134</v>
      </c>
      <c r="K1009" t="n">
        <v>1</v>
      </c>
      <c r="L1009" s="7" t="n">
        <v>209</v>
      </c>
      <c r="M1009" s="7" t="n">
        <v>20.9</v>
      </c>
    </row>
    <row r="1010">
      <c r="A1010" t="n">
        <v>509835</v>
      </c>
      <c r="B1010" s="6" t="n">
        <v>45943</v>
      </c>
      <c r="C1010" t="n">
        <v>16772</v>
      </c>
      <c r="D1010" t="inlineStr">
        <is>
          <t>Mumbai</t>
        </is>
      </c>
      <c r="E1010" t="inlineStr">
        <is>
          <t>West</t>
        </is>
      </c>
      <c r="F1010" t="inlineStr">
        <is>
          <t>Paid Social</t>
        </is>
      </c>
      <c r="G1010" t="inlineStr">
        <is>
          <t>Mobile App</t>
        </is>
      </c>
      <c r="H1010" t="inlineStr">
        <is>
          <t>Credit Card</t>
        </is>
      </c>
      <c r="I1010" t="inlineStr">
        <is>
          <t>Delivered</t>
        </is>
      </c>
      <c r="J1010" t="n">
        <v>108</v>
      </c>
      <c r="K1010" t="n">
        <v>1</v>
      </c>
      <c r="L1010" s="7" t="n">
        <v>419</v>
      </c>
      <c r="M1010" s="7" t="n">
        <v>41.9</v>
      </c>
    </row>
    <row r="1011">
      <c r="A1011" t="n">
        <v>509836</v>
      </c>
      <c r="B1011" s="6" t="n">
        <v>45943</v>
      </c>
      <c r="C1011" t="n">
        <v>13650</v>
      </c>
      <c r="D1011" t="inlineStr">
        <is>
          <t>Mumbai</t>
        </is>
      </c>
      <c r="E1011" t="inlineStr">
        <is>
          <t>West</t>
        </is>
      </c>
      <c r="F1011" t="inlineStr">
        <is>
          <t>Referral</t>
        </is>
      </c>
      <c r="G1011" t="inlineStr">
        <is>
          <t>Desktop</t>
        </is>
      </c>
      <c r="H1011" t="inlineStr">
        <is>
          <t>UPI</t>
        </is>
      </c>
      <c r="I1011" t="inlineStr">
        <is>
          <t>Delivered</t>
        </is>
      </c>
      <c r="J1011" t="n">
        <v>112</v>
      </c>
      <c r="K1011" t="n">
        <v>3</v>
      </c>
      <c r="L1011" s="7" t="n">
        <v>1574</v>
      </c>
      <c r="M1011" s="7" t="n">
        <v>472.2</v>
      </c>
    </row>
    <row r="1012">
      <c r="A1012" t="n">
        <v>509836</v>
      </c>
      <c r="B1012" s="6" t="n">
        <v>45943</v>
      </c>
      <c r="C1012" t="n">
        <v>13650</v>
      </c>
      <c r="D1012" t="inlineStr">
        <is>
          <t>Mumbai</t>
        </is>
      </c>
      <c r="E1012" t="inlineStr">
        <is>
          <t>West</t>
        </is>
      </c>
      <c r="F1012" t="inlineStr">
        <is>
          <t>Referral</t>
        </is>
      </c>
      <c r="G1012" t="inlineStr">
        <is>
          <t>Desktop</t>
        </is>
      </c>
      <c r="H1012" t="inlineStr">
        <is>
          <t>UPI</t>
        </is>
      </c>
      <c r="I1012" t="inlineStr">
        <is>
          <t>Delivered</t>
        </is>
      </c>
      <c r="J1012" t="n">
        <v>129</v>
      </c>
      <c r="K1012" t="n">
        <v>1</v>
      </c>
      <c r="L1012" s="7" t="n">
        <v>576</v>
      </c>
      <c r="M1012" s="7" t="n">
        <v>57.6</v>
      </c>
    </row>
    <row r="1013">
      <c r="A1013" t="n">
        <v>509837</v>
      </c>
      <c r="B1013" s="6" t="n">
        <v>45943</v>
      </c>
      <c r="C1013" t="n">
        <v>11311</v>
      </c>
      <c r="D1013" t="inlineStr">
        <is>
          <t>Bengaluru</t>
        </is>
      </c>
      <c r="E1013" t="inlineStr">
        <is>
          <t>South</t>
        </is>
      </c>
      <c r="F1013" t="inlineStr">
        <is>
          <t>Paid Search</t>
        </is>
      </c>
      <c r="G1013" t="inlineStr">
        <is>
          <t>Mobile App</t>
        </is>
      </c>
      <c r="H1013" t="inlineStr">
        <is>
          <t>Net Banking</t>
        </is>
      </c>
      <c r="I1013" t="inlineStr">
        <is>
          <t>Delivered</t>
        </is>
      </c>
      <c r="J1013" t="n">
        <v>117</v>
      </c>
      <c r="K1013" t="n">
        <v>2</v>
      </c>
      <c r="L1013" s="7" t="n">
        <v>3149</v>
      </c>
      <c r="M1013" s="7" t="n">
        <v>629.8</v>
      </c>
    </row>
    <row r="1014">
      <c r="A1014" t="n">
        <v>509837</v>
      </c>
      <c r="B1014" s="6" t="n">
        <v>45943</v>
      </c>
      <c r="C1014" t="n">
        <v>11311</v>
      </c>
      <c r="D1014" t="inlineStr">
        <is>
          <t>Bengaluru</t>
        </is>
      </c>
      <c r="E1014" t="inlineStr">
        <is>
          <t>South</t>
        </is>
      </c>
      <c r="F1014" t="inlineStr">
        <is>
          <t>Paid Search</t>
        </is>
      </c>
      <c r="G1014" t="inlineStr">
        <is>
          <t>Mobile App</t>
        </is>
      </c>
      <c r="H1014" t="inlineStr">
        <is>
          <t>Net Banking</t>
        </is>
      </c>
      <c r="I1014" t="inlineStr">
        <is>
          <t>Delivered</t>
        </is>
      </c>
      <c r="J1014" t="n">
        <v>138</v>
      </c>
      <c r="K1014" t="n">
        <v>1</v>
      </c>
      <c r="L1014" s="7" t="n">
        <v>419</v>
      </c>
      <c r="M1014" s="7" t="n">
        <v>41.9</v>
      </c>
    </row>
    <row r="1015">
      <c r="A1015" t="n">
        <v>509837</v>
      </c>
      <c r="B1015" s="6" t="n">
        <v>45943</v>
      </c>
      <c r="C1015" t="n">
        <v>11311</v>
      </c>
      <c r="D1015" t="inlineStr">
        <is>
          <t>Bengaluru</t>
        </is>
      </c>
      <c r="E1015" t="inlineStr">
        <is>
          <t>South</t>
        </is>
      </c>
      <c r="F1015" t="inlineStr">
        <is>
          <t>Paid Search</t>
        </is>
      </c>
      <c r="G1015" t="inlineStr">
        <is>
          <t>Mobile App</t>
        </is>
      </c>
      <c r="H1015" t="inlineStr">
        <is>
          <t>Net Banking</t>
        </is>
      </c>
      <c r="I1015" t="inlineStr">
        <is>
          <t>Delivered</t>
        </is>
      </c>
      <c r="J1015" t="n">
        <v>129</v>
      </c>
      <c r="K1015" t="n">
        <v>1</v>
      </c>
      <c r="L1015" s="7" t="n">
        <v>576</v>
      </c>
      <c r="M1015" s="7" t="n">
        <v>57.6</v>
      </c>
    </row>
    <row r="1016">
      <c r="A1016" t="n">
        <v>509838</v>
      </c>
      <c r="B1016" s="6" t="n">
        <v>45943</v>
      </c>
      <c r="C1016" t="n">
        <v>15821</v>
      </c>
      <c r="D1016" t="inlineStr">
        <is>
          <t>Hyderabad</t>
        </is>
      </c>
      <c r="E1016" t="inlineStr">
        <is>
          <t>South</t>
        </is>
      </c>
      <c r="F1016" t="inlineStr">
        <is>
          <t>Paid Search</t>
        </is>
      </c>
      <c r="G1016" t="inlineStr">
        <is>
          <t>Desktop</t>
        </is>
      </c>
      <c r="H1016" t="inlineStr">
        <is>
          <t>UPI</t>
        </is>
      </c>
      <c r="I1016" t="inlineStr">
        <is>
          <t>Cancelled</t>
        </is>
      </c>
      <c r="J1016" t="n">
        <v>114</v>
      </c>
      <c r="K1016" t="n">
        <v>1</v>
      </c>
      <c r="L1016" s="7" t="n">
        <v>1259</v>
      </c>
      <c r="M1016" s="7" t="n">
        <v>0</v>
      </c>
    </row>
    <row r="1017">
      <c r="A1017" t="n">
        <v>509839</v>
      </c>
      <c r="B1017" s="6" t="n">
        <v>45943</v>
      </c>
      <c r="C1017" t="n">
        <v>14590</v>
      </c>
      <c r="D1017" t="inlineStr">
        <is>
          <t>Noida</t>
        </is>
      </c>
      <c r="E1017" t="inlineStr">
        <is>
          <t>North</t>
        </is>
      </c>
      <c r="F1017" t="inlineStr">
        <is>
          <t>Organic Search</t>
        </is>
      </c>
      <c r="G1017" t="inlineStr">
        <is>
          <t>Mobile Web</t>
        </is>
      </c>
      <c r="H1017" t="inlineStr">
        <is>
          <t>UPI</t>
        </is>
      </c>
      <c r="I1017" t="inlineStr">
        <is>
          <t>Delivered</t>
        </is>
      </c>
      <c r="J1017" t="n">
        <v>119</v>
      </c>
      <c r="K1017" t="n">
        <v>1</v>
      </c>
      <c r="L1017" s="7" t="n">
        <v>2309</v>
      </c>
      <c r="M1017" s="7" t="n">
        <v>230.9</v>
      </c>
    </row>
    <row r="1018">
      <c r="A1018" t="n">
        <v>509840</v>
      </c>
      <c r="B1018" s="6" t="n">
        <v>45943</v>
      </c>
      <c r="C1018" t="n">
        <v>13604</v>
      </c>
      <c r="D1018" t="inlineStr">
        <is>
          <t>Bengaluru</t>
        </is>
      </c>
      <c r="E1018" t="inlineStr">
        <is>
          <t>South</t>
        </is>
      </c>
      <c r="F1018" t="inlineStr">
        <is>
          <t>Paid Search</t>
        </is>
      </c>
      <c r="G1018" t="inlineStr">
        <is>
          <t>Desktop</t>
        </is>
      </c>
      <c r="H1018" t="inlineStr">
        <is>
          <t>Debit Card</t>
        </is>
      </c>
      <c r="I1018" t="inlineStr">
        <is>
          <t>Delivered</t>
        </is>
      </c>
      <c r="J1018" t="n">
        <v>145</v>
      </c>
      <c r="K1018" t="n">
        <v>1</v>
      </c>
      <c r="L1018" s="7" t="n">
        <v>629</v>
      </c>
      <c r="M1018" s="7" t="n">
        <v>62.9</v>
      </c>
    </row>
    <row r="1019">
      <c r="A1019" t="n">
        <v>509841</v>
      </c>
      <c r="B1019" s="6" t="n">
        <v>45943</v>
      </c>
      <c r="C1019" t="n">
        <v>14663</v>
      </c>
      <c r="D1019" t="inlineStr">
        <is>
          <t>Mumbai</t>
        </is>
      </c>
      <c r="E1019" t="inlineStr">
        <is>
          <t>West</t>
        </is>
      </c>
      <c r="F1019" t="inlineStr">
        <is>
          <t>Paid Social</t>
        </is>
      </c>
      <c r="G1019" t="inlineStr">
        <is>
          <t>Mobile App</t>
        </is>
      </c>
      <c r="H1019" t="inlineStr">
        <is>
          <t>UPI</t>
        </is>
      </c>
      <c r="I1019" t="inlineStr">
        <is>
          <t>Delivered</t>
        </is>
      </c>
      <c r="J1019" t="n">
        <v>135</v>
      </c>
      <c r="K1019" t="n">
        <v>1</v>
      </c>
      <c r="L1019" s="7" t="n">
        <v>1574</v>
      </c>
      <c r="M1019" s="7" t="n">
        <v>157.4</v>
      </c>
    </row>
    <row r="1020">
      <c r="A1020" t="n">
        <v>509841</v>
      </c>
      <c r="B1020" s="6" t="n">
        <v>45943</v>
      </c>
      <c r="C1020" t="n">
        <v>14663</v>
      </c>
      <c r="D1020" t="inlineStr">
        <is>
          <t>Mumbai</t>
        </is>
      </c>
      <c r="E1020" t="inlineStr">
        <is>
          <t>West</t>
        </is>
      </c>
      <c r="F1020" t="inlineStr">
        <is>
          <t>Paid Social</t>
        </is>
      </c>
      <c r="G1020" t="inlineStr">
        <is>
          <t>Mobile App</t>
        </is>
      </c>
      <c r="H1020" t="inlineStr">
        <is>
          <t>UPI</t>
        </is>
      </c>
      <c r="I1020" t="inlineStr">
        <is>
          <t>Delivered</t>
        </is>
      </c>
      <c r="J1020" t="n">
        <v>130</v>
      </c>
      <c r="K1020" t="n">
        <v>1</v>
      </c>
      <c r="L1020" s="7" t="n">
        <v>734</v>
      </c>
      <c r="M1020" s="7" t="n">
        <v>73.40000000000001</v>
      </c>
    </row>
    <row r="1021">
      <c r="A1021" t="n">
        <v>509841</v>
      </c>
      <c r="B1021" s="6" t="n">
        <v>45943</v>
      </c>
      <c r="C1021" t="n">
        <v>14663</v>
      </c>
      <c r="D1021" t="inlineStr">
        <is>
          <t>Mumbai</t>
        </is>
      </c>
      <c r="E1021" t="inlineStr">
        <is>
          <t>West</t>
        </is>
      </c>
      <c r="F1021" t="inlineStr">
        <is>
          <t>Paid Social</t>
        </is>
      </c>
      <c r="G1021" t="inlineStr">
        <is>
          <t>Mobile App</t>
        </is>
      </c>
      <c r="H1021" t="inlineStr">
        <is>
          <t>UPI</t>
        </is>
      </c>
      <c r="I1021" t="inlineStr">
        <is>
          <t>Delivered</t>
        </is>
      </c>
      <c r="J1021" t="n">
        <v>140</v>
      </c>
      <c r="K1021" t="n">
        <v>1</v>
      </c>
      <c r="L1021" s="7" t="n">
        <v>629</v>
      </c>
      <c r="M1021" s="7" t="n">
        <v>62.9</v>
      </c>
    </row>
    <row r="1022">
      <c r="A1022" t="n">
        <v>509841</v>
      </c>
      <c r="B1022" s="6" t="n">
        <v>45943</v>
      </c>
      <c r="C1022" t="n">
        <v>14663</v>
      </c>
      <c r="D1022" t="inlineStr">
        <is>
          <t>Mumbai</t>
        </is>
      </c>
      <c r="E1022" t="inlineStr">
        <is>
          <t>West</t>
        </is>
      </c>
      <c r="F1022" t="inlineStr">
        <is>
          <t>Paid Social</t>
        </is>
      </c>
      <c r="G1022" t="inlineStr">
        <is>
          <t>Mobile App</t>
        </is>
      </c>
      <c r="H1022" t="inlineStr">
        <is>
          <t>UPI</t>
        </is>
      </c>
      <c r="I1022" t="inlineStr">
        <is>
          <t>Delivered</t>
        </is>
      </c>
      <c r="J1022" t="n">
        <v>129</v>
      </c>
      <c r="K1022" t="n">
        <v>1</v>
      </c>
      <c r="L1022" s="7" t="n">
        <v>576</v>
      </c>
      <c r="M1022" s="7" t="n">
        <v>57.6</v>
      </c>
    </row>
    <row r="1023">
      <c r="A1023" t="n">
        <v>509842</v>
      </c>
      <c r="B1023" s="6" t="n">
        <v>45943</v>
      </c>
      <c r="C1023" t="n">
        <v>15544</v>
      </c>
      <c r="D1023" t="inlineStr">
        <is>
          <t>Bengaluru</t>
        </is>
      </c>
      <c r="E1023" t="inlineStr">
        <is>
          <t>South</t>
        </is>
      </c>
      <c r="F1023" t="inlineStr">
        <is>
          <t>Paid Search</t>
        </is>
      </c>
      <c r="G1023" t="inlineStr">
        <is>
          <t>Mobile App</t>
        </is>
      </c>
      <c r="H1023" t="inlineStr">
        <is>
          <t>Credit Card</t>
        </is>
      </c>
      <c r="I1023" t="inlineStr">
        <is>
          <t>Returned</t>
        </is>
      </c>
      <c r="J1023" t="n">
        <v>117</v>
      </c>
      <c r="K1023" t="n">
        <v>1</v>
      </c>
      <c r="L1023" s="7" t="n">
        <v>3149</v>
      </c>
      <c r="M1023" s="7" t="n">
        <v>314.9</v>
      </c>
    </row>
    <row r="1024">
      <c r="A1024" t="n">
        <v>509842</v>
      </c>
      <c r="B1024" s="6" t="n">
        <v>45943</v>
      </c>
      <c r="C1024" t="n">
        <v>15544</v>
      </c>
      <c r="D1024" t="inlineStr">
        <is>
          <t>Bengaluru</t>
        </is>
      </c>
      <c r="E1024" t="inlineStr">
        <is>
          <t>South</t>
        </is>
      </c>
      <c r="F1024" t="inlineStr">
        <is>
          <t>Paid Search</t>
        </is>
      </c>
      <c r="G1024" t="inlineStr">
        <is>
          <t>Mobile App</t>
        </is>
      </c>
      <c r="H1024" t="inlineStr">
        <is>
          <t>Credit Card</t>
        </is>
      </c>
      <c r="I1024" t="inlineStr">
        <is>
          <t>Returned</t>
        </is>
      </c>
      <c r="J1024" t="n">
        <v>124</v>
      </c>
      <c r="K1024" t="n">
        <v>1</v>
      </c>
      <c r="L1024" s="7" t="n">
        <v>1154</v>
      </c>
      <c r="M1024" s="7" t="n">
        <v>115.4</v>
      </c>
    </row>
    <row r="1025">
      <c r="A1025" t="n">
        <v>509842</v>
      </c>
      <c r="B1025" s="6" t="n">
        <v>45943</v>
      </c>
      <c r="C1025" t="n">
        <v>15544</v>
      </c>
      <c r="D1025" t="inlineStr">
        <is>
          <t>Bengaluru</t>
        </is>
      </c>
      <c r="E1025" t="inlineStr">
        <is>
          <t>South</t>
        </is>
      </c>
      <c r="F1025" t="inlineStr">
        <is>
          <t>Paid Search</t>
        </is>
      </c>
      <c r="G1025" t="inlineStr">
        <is>
          <t>Mobile App</t>
        </is>
      </c>
      <c r="H1025" t="inlineStr">
        <is>
          <t>Credit Card</t>
        </is>
      </c>
      <c r="I1025" t="inlineStr">
        <is>
          <t>Returned</t>
        </is>
      </c>
      <c r="J1025" t="n">
        <v>129</v>
      </c>
      <c r="K1025" t="n">
        <v>1</v>
      </c>
      <c r="L1025" s="7" t="n">
        <v>576</v>
      </c>
      <c r="M1025" s="7" t="n">
        <v>57.6</v>
      </c>
    </row>
    <row r="1026">
      <c r="A1026" t="n">
        <v>509843</v>
      </c>
      <c r="B1026" s="6" t="n">
        <v>45943</v>
      </c>
      <c r="C1026" t="n">
        <v>16804</v>
      </c>
      <c r="D1026" t="inlineStr">
        <is>
          <t>Lucknow</t>
        </is>
      </c>
      <c r="E1026" t="inlineStr">
        <is>
          <t>North</t>
        </is>
      </c>
      <c r="F1026" t="inlineStr">
        <is>
          <t>Affiliate</t>
        </is>
      </c>
      <c r="G1026" t="inlineStr">
        <is>
          <t>Mobile Web</t>
        </is>
      </c>
      <c r="H1026" t="inlineStr">
        <is>
          <t>Net Banking</t>
        </is>
      </c>
      <c r="I1026" t="inlineStr">
        <is>
          <t>Delivered</t>
        </is>
      </c>
      <c r="J1026" t="n">
        <v>119</v>
      </c>
      <c r="K1026" t="n">
        <v>1</v>
      </c>
      <c r="L1026" s="7" t="n">
        <v>2309</v>
      </c>
      <c r="M1026" s="7" t="n">
        <v>346.35</v>
      </c>
    </row>
    <row r="1027">
      <c r="A1027" t="n">
        <v>509844</v>
      </c>
      <c r="B1027" s="6" t="n">
        <v>45943</v>
      </c>
      <c r="C1027" t="n">
        <v>13000</v>
      </c>
      <c r="D1027" t="inlineStr">
        <is>
          <t>Bengaluru</t>
        </is>
      </c>
      <c r="E1027" t="inlineStr">
        <is>
          <t>South</t>
        </is>
      </c>
      <c r="F1027" t="inlineStr">
        <is>
          <t>Paid Search</t>
        </is>
      </c>
      <c r="G1027" t="inlineStr">
        <is>
          <t>Mobile App</t>
        </is>
      </c>
      <c r="H1027" t="inlineStr">
        <is>
          <t>UPI</t>
        </is>
      </c>
      <c r="I1027" t="inlineStr">
        <is>
          <t>Delivered</t>
        </is>
      </c>
      <c r="J1027" t="n">
        <v>128</v>
      </c>
      <c r="K1027" t="n">
        <v>1</v>
      </c>
      <c r="L1027" s="7" t="n">
        <v>1049</v>
      </c>
      <c r="M1027" s="7" t="n">
        <v>0</v>
      </c>
    </row>
    <row r="1028">
      <c r="A1028" t="n">
        <v>509844</v>
      </c>
      <c r="B1028" s="6" t="n">
        <v>45943</v>
      </c>
      <c r="C1028" t="n">
        <v>13000</v>
      </c>
      <c r="D1028" t="inlineStr">
        <is>
          <t>Bengaluru</t>
        </is>
      </c>
      <c r="E1028" t="inlineStr">
        <is>
          <t>South</t>
        </is>
      </c>
      <c r="F1028" t="inlineStr">
        <is>
          <t>Paid Search</t>
        </is>
      </c>
      <c r="G1028" t="inlineStr">
        <is>
          <t>Mobile App</t>
        </is>
      </c>
      <c r="H1028" t="inlineStr">
        <is>
          <t>UPI</t>
        </is>
      </c>
      <c r="I1028" t="inlineStr">
        <is>
          <t>Delivered</t>
        </is>
      </c>
      <c r="J1028" t="n">
        <v>134</v>
      </c>
      <c r="K1028" t="n">
        <v>1</v>
      </c>
      <c r="L1028" s="7" t="n">
        <v>209</v>
      </c>
      <c r="M1028" s="7" t="n">
        <v>0</v>
      </c>
    </row>
    <row r="1029">
      <c r="A1029" t="n">
        <v>509845</v>
      </c>
      <c r="B1029" s="6" t="n">
        <v>45943</v>
      </c>
      <c r="C1029" t="n">
        <v>16783</v>
      </c>
      <c r="D1029" t="inlineStr">
        <is>
          <t>Chennai</t>
        </is>
      </c>
      <c r="E1029" t="inlineStr">
        <is>
          <t>South</t>
        </is>
      </c>
      <c r="F1029" t="inlineStr">
        <is>
          <t>Affiliate</t>
        </is>
      </c>
      <c r="G1029" t="inlineStr">
        <is>
          <t>Mobile App</t>
        </is>
      </c>
      <c r="H1029" t="inlineStr">
        <is>
          <t>Credit Card</t>
        </is>
      </c>
      <c r="I1029" t="inlineStr">
        <is>
          <t>Cancelled</t>
        </is>
      </c>
      <c r="J1029" t="n">
        <v>147</v>
      </c>
      <c r="K1029" t="n">
        <v>1</v>
      </c>
      <c r="L1029" s="7" t="n">
        <v>1364</v>
      </c>
      <c r="M1029" s="7" t="n">
        <v>204.6</v>
      </c>
    </row>
    <row r="1030">
      <c r="A1030" t="n">
        <v>509845</v>
      </c>
      <c r="B1030" s="6" t="n">
        <v>45943</v>
      </c>
      <c r="C1030" t="n">
        <v>16783</v>
      </c>
      <c r="D1030" t="inlineStr">
        <is>
          <t>Chennai</t>
        </is>
      </c>
      <c r="E1030" t="inlineStr">
        <is>
          <t>South</t>
        </is>
      </c>
      <c r="F1030" t="inlineStr">
        <is>
          <t>Affiliate</t>
        </is>
      </c>
      <c r="G1030" t="inlineStr">
        <is>
          <t>Mobile App</t>
        </is>
      </c>
      <c r="H1030" t="inlineStr">
        <is>
          <t>Credit Card</t>
        </is>
      </c>
      <c r="I1030" t="inlineStr">
        <is>
          <t>Cancelled</t>
        </is>
      </c>
      <c r="J1030" t="n">
        <v>129</v>
      </c>
      <c r="K1030" t="n">
        <v>1</v>
      </c>
      <c r="L1030" s="7" t="n">
        <v>576</v>
      </c>
      <c r="M1030" s="7" t="n">
        <v>86.40000000000001</v>
      </c>
    </row>
    <row r="1031">
      <c r="A1031" t="n">
        <v>509846</v>
      </c>
      <c r="B1031" s="6" t="n">
        <v>45943</v>
      </c>
      <c r="C1031" t="n">
        <v>16333</v>
      </c>
      <c r="D1031" t="inlineStr">
        <is>
          <t>Hyderabad</t>
        </is>
      </c>
      <c r="E1031" t="inlineStr">
        <is>
          <t>South</t>
        </is>
      </c>
      <c r="F1031" t="inlineStr">
        <is>
          <t>Email</t>
        </is>
      </c>
      <c r="G1031" t="inlineStr">
        <is>
          <t>Mobile App</t>
        </is>
      </c>
      <c r="H1031" t="inlineStr">
        <is>
          <t>UPI</t>
        </is>
      </c>
      <c r="I1031" t="inlineStr">
        <is>
          <t>Delivered</t>
        </is>
      </c>
      <c r="J1031" t="n">
        <v>113</v>
      </c>
      <c r="K1031" t="n">
        <v>1</v>
      </c>
      <c r="L1031" s="7" t="n">
        <v>1364</v>
      </c>
      <c r="M1031" s="7" t="n">
        <v>136.4</v>
      </c>
    </row>
    <row r="1032">
      <c r="A1032" t="n">
        <v>509847</v>
      </c>
      <c r="B1032" s="6" t="n">
        <v>45943</v>
      </c>
      <c r="C1032" t="n">
        <v>11844</v>
      </c>
      <c r="D1032" t="inlineStr">
        <is>
          <t>Mumbai</t>
        </is>
      </c>
      <c r="E1032" t="inlineStr">
        <is>
          <t>West</t>
        </is>
      </c>
      <c r="F1032" t="inlineStr">
        <is>
          <t>Referral</t>
        </is>
      </c>
      <c r="G1032" t="inlineStr">
        <is>
          <t>Mobile Web</t>
        </is>
      </c>
      <c r="H1032" t="inlineStr">
        <is>
          <t>UPI</t>
        </is>
      </c>
      <c r="I1032" t="inlineStr">
        <is>
          <t>Delivered</t>
        </is>
      </c>
      <c r="J1032" t="n">
        <v>142</v>
      </c>
      <c r="K1032" t="n">
        <v>1</v>
      </c>
      <c r="L1032" s="7" t="n">
        <v>839</v>
      </c>
      <c r="M1032" s="7" t="n">
        <v>0</v>
      </c>
    </row>
    <row r="1033">
      <c r="A1033" t="n">
        <v>509847</v>
      </c>
      <c r="B1033" s="6" t="n">
        <v>45943</v>
      </c>
      <c r="C1033" t="n">
        <v>11844</v>
      </c>
      <c r="D1033" t="inlineStr">
        <is>
          <t>Mumbai</t>
        </is>
      </c>
      <c r="E1033" t="inlineStr">
        <is>
          <t>West</t>
        </is>
      </c>
      <c r="F1033" t="inlineStr">
        <is>
          <t>Referral</t>
        </is>
      </c>
      <c r="G1033" t="inlineStr">
        <is>
          <t>Mobile Web</t>
        </is>
      </c>
      <c r="H1033" t="inlineStr">
        <is>
          <t>UPI</t>
        </is>
      </c>
      <c r="I1033" t="inlineStr">
        <is>
          <t>Delivered</t>
        </is>
      </c>
      <c r="J1033" t="n">
        <v>117</v>
      </c>
      <c r="K1033" t="n">
        <v>1</v>
      </c>
      <c r="L1033" s="7" t="n">
        <v>3149</v>
      </c>
      <c r="M1033" s="7" t="n">
        <v>0</v>
      </c>
    </row>
    <row r="1034">
      <c r="A1034" t="n">
        <v>509848</v>
      </c>
      <c r="B1034" s="6" t="n">
        <v>45943</v>
      </c>
      <c r="C1034" t="n">
        <v>10011</v>
      </c>
      <c r="D1034" t="inlineStr">
        <is>
          <t>Hyderabad</t>
        </is>
      </c>
      <c r="E1034" t="inlineStr">
        <is>
          <t>South</t>
        </is>
      </c>
      <c r="F1034" t="inlineStr">
        <is>
          <t>Paid Social</t>
        </is>
      </c>
      <c r="G1034" t="inlineStr">
        <is>
          <t>Mobile App</t>
        </is>
      </c>
      <c r="H1034" t="inlineStr">
        <is>
          <t>Credit Card</t>
        </is>
      </c>
      <c r="I1034" t="inlineStr">
        <is>
          <t>Delivered</t>
        </is>
      </c>
      <c r="J1034" t="n">
        <v>111</v>
      </c>
      <c r="K1034" t="n">
        <v>1</v>
      </c>
      <c r="L1034" s="7" t="n">
        <v>524</v>
      </c>
      <c r="M1034" s="7" t="n">
        <v>52.4</v>
      </c>
    </row>
    <row r="1035">
      <c r="A1035" t="n">
        <v>509848</v>
      </c>
      <c r="B1035" s="6" t="n">
        <v>45943</v>
      </c>
      <c r="C1035" t="n">
        <v>10011</v>
      </c>
      <c r="D1035" t="inlineStr">
        <is>
          <t>Hyderabad</t>
        </is>
      </c>
      <c r="E1035" t="inlineStr">
        <is>
          <t>South</t>
        </is>
      </c>
      <c r="F1035" t="inlineStr">
        <is>
          <t>Paid Social</t>
        </is>
      </c>
      <c r="G1035" t="inlineStr">
        <is>
          <t>Mobile App</t>
        </is>
      </c>
      <c r="H1035" t="inlineStr">
        <is>
          <t>Credit Card</t>
        </is>
      </c>
      <c r="I1035" t="inlineStr">
        <is>
          <t>Delivered</t>
        </is>
      </c>
      <c r="J1035" t="n">
        <v>129</v>
      </c>
      <c r="K1035" t="n">
        <v>3</v>
      </c>
      <c r="L1035" s="7" t="n">
        <v>576</v>
      </c>
      <c r="M1035" s="7" t="n">
        <v>172.8</v>
      </c>
    </row>
    <row r="1036">
      <c r="A1036" t="n">
        <v>509849</v>
      </c>
      <c r="B1036" s="6" t="n">
        <v>45943</v>
      </c>
      <c r="C1036" t="n">
        <v>16766</v>
      </c>
      <c r="D1036" t="inlineStr">
        <is>
          <t>Jaipur</t>
        </is>
      </c>
      <c r="E1036" t="inlineStr">
        <is>
          <t>North</t>
        </is>
      </c>
      <c r="F1036" t="inlineStr">
        <is>
          <t>Paid Search</t>
        </is>
      </c>
      <c r="G1036" t="inlineStr">
        <is>
          <t>Mobile App</t>
        </is>
      </c>
      <c r="H1036" t="inlineStr">
        <is>
          <t>Cash on Delivery</t>
        </is>
      </c>
      <c r="I1036" t="inlineStr">
        <is>
          <t>Delivered</t>
        </is>
      </c>
      <c r="J1036" t="n">
        <v>128</v>
      </c>
      <c r="K1036" t="n">
        <v>1</v>
      </c>
      <c r="L1036" s="7" t="n">
        <v>1049</v>
      </c>
      <c r="M1036" s="7" t="n">
        <v>157.35</v>
      </c>
    </row>
    <row r="1037">
      <c r="A1037" t="n">
        <v>509850</v>
      </c>
      <c r="B1037" s="6" t="n">
        <v>45943</v>
      </c>
      <c r="C1037" t="n">
        <v>12666</v>
      </c>
      <c r="D1037" t="inlineStr">
        <is>
          <t>Bengaluru</t>
        </is>
      </c>
      <c r="E1037" t="inlineStr">
        <is>
          <t>South</t>
        </is>
      </c>
      <c r="F1037" t="inlineStr">
        <is>
          <t>Paid Social</t>
        </is>
      </c>
      <c r="G1037" t="inlineStr">
        <is>
          <t>Mobile Web</t>
        </is>
      </c>
      <c r="H1037" t="inlineStr">
        <is>
          <t>Cash on Delivery</t>
        </is>
      </c>
      <c r="I1037" t="inlineStr">
        <is>
          <t>Delivered</t>
        </is>
      </c>
      <c r="J1037" t="n">
        <v>120</v>
      </c>
      <c r="K1037" t="n">
        <v>1</v>
      </c>
      <c r="L1037" s="7" t="n">
        <v>734</v>
      </c>
      <c r="M1037" s="7" t="n">
        <v>73.40000000000001</v>
      </c>
    </row>
    <row r="1038">
      <c r="A1038" t="n">
        <v>509850</v>
      </c>
      <c r="B1038" s="6" t="n">
        <v>45943</v>
      </c>
      <c r="C1038" t="n">
        <v>12666</v>
      </c>
      <c r="D1038" t="inlineStr">
        <is>
          <t>Bengaluru</t>
        </is>
      </c>
      <c r="E1038" t="inlineStr">
        <is>
          <t>South</t>
        </is>
      </c>
      <c r="F1038" t="inlineStr">
        <is>
          <t>Paid Social</t>
        </is>
      </c>
      <c r="G1038" t="inlineStr">
        <is>
          <t>Mobile Web</t>
        </is>
      </c>
      <c r="H1038" t="inlineStr">
        <is>
          <t>Cash on Delivery</t>
        </is>
      </c>
      <c r="I1038" t="inlineStr">
        <is>
          <t>Delivered</t>
        </is>
      </c>
      <c r="J1038" t="n">
        <v>129</v>
      </c>
      <c r="K1038" t="n">
        <v>1</v>
      </c>
      <c r="L1038" s="7" t="n">
        <v>576</v>
      </c>
      <c r="M1038" s="7" t="n">
        <v>57.6</v>
      </c>
    </row>
    <row r="1039">
      <c r="A1039" t="n">
        <v>509851</v>
      </c>
      <c r="B1039" s="6" t="n">
        <v>45943</v>
      </c>
      <c r="C1039" t="n">
        <v>15469</v>
      </c>
      <c r="D1039" t="inlineStr">
        <is>
          <t>Kolkata</t>
        </is>
      </c>
      <c r="E1039" t="inlineStr">
        <is>
          <t>East</t>
        </is>
      </c>
      <c r="F1039" t="inlineStr">
        <is>
          <t>Organic Search</t>
        </is>
      </c>
      <c r="G1039" t="inlineStr">
        <is>
          <t>Desktop</t>
        </is>
      </c>
      <c r="H1039" t="inlineStr">
        <is>
          <t>Credit Card</t>
        </is>
      </c>
      <c r="I1039" t="inlineStr">
        <is>
          <t>Delivered</t>
        </is>
      </c>
      <c r="J1039" t="n">
        <v>113</v>
      </c>
      <c r="K1039" t="n">
        <v>2</v>
      </c>
      <c r="L1039" s="7" t="n">
        <v>1364</v>
      </c>
      <c r="M1039" s="7" t="n">
        <v>272.8</v>
      </c>
    </row>
    <row r="1040">
      <c r="A1040" t="n">
        <v>509852</v>
      </c>
      <c r="B1040" s="6" t="n">
        <v>45943</v>
      </c>
      <c r="C1040" t="n">
        <v>15646</v>
      </c>
      <c r="D1040" t="inlineStr">
        <is>
          <t>Chennai</t>
        </is>
      </c>
      <c r="E1040" t="inlineStr">
        <is>
          <t>South</t>
        </is>
      </c>
      <c r="F1040" t="inlineStr">
        <is>
          <t>Organic Search</t>
        </is>
      </c>
      <c r="G1040" t="inlineStr">
        <is>
          <t>Mobile App</t>
        </is>
      </c>
      <c r="H1040" t="inlineStr">
        <is>
          <t>Credit Card</t>
        </is>
      </c>
      <c r="I1040" t="inlineStr">
        <is>
          <t>Delivered</t>
        </is>
      </c>
      <c r="J1040" t="n">
        <v>134</v>
      </c>
      <c r="K1040" t="n">
        <v>1</v>
      </c>
      <c r="L1040" s="7" t="n">
        <v>209</v>
      </c>
      <c r="M1040" s="7" t="n">
        <v>20.9</v>
      </c>
    </row>
    <row r="1041">
      <c r="A1041" t="n">
        <v>509852</v>
      </c>
      <c r="B1041" s="6" t="n">
        <v>45943</v>
      </c>
      <c r="C1041" t="n">
        <v>15646</v>
      </c>
      <c r="D1041" t="inlineStr">
        <is>
          <t>Chennai</t>
        </is>
      </c>
      <c r="E1041" t="inlineStr">
        <is>
          <t>South</t>
        </is>
      </c>
      <c r="F1041" t="inlineStr">
        <is>
          <t>Organic Search</t>
        </is>
      </c>
      <c r="G1041" t="inlineStr">
        <is>
          <t>Mobile App</t>
        </is>
      </c>
      <c r="H1041" t="inlineStr">
        <is>
          <t>Credit Card</t>
        </is>
      </c>
      <c r="I1041" t="inlineStr">
        <is>
          <t>Delivered</t>
        </is>
      </c>
      <c r="J1041" t="n">
        <v>104</v>
      </c>
      <c r="K1041" t="n">
        <v>1</v>
      </c>
      <c r="L1041" s="7" t="n">
        <v>5249</v>
      </c>
      <c r="M1041" s="7" t="n">
        <v>524.9</v>
      </c>
    </row>
    <row r="1042">
      <c r="A1042" t="n">
        <v>509853</v>
      </c>
      <c r="B1042" s="6" t="n">
        <v>45944</v>
      </c>
      <c r="C1042" t="n">
        <v>16747</v>
      </c>
      <c r="D1042" t="inlineStr">
        <is>
          <t>Delhi</t>
        </is>
      </c>
      <c r="E1042" t="inlineStr">
        <is>
          <t>North</t>
        </is>
      </c>
      <c r="F1042" t="inlineStr">
        <is>
          <t>Referral</t>
        </is>
      </c>
      <c r="G1042" t="inlineStr">
        <is>
          <t>Mobile App</t>
        </is>
      </c>
      <c r="H1042" t="inlineStr">
        <is>
          <t>UPI</t>
        </is>
      </c>
      <c r="I1042" t="inlineStr">
        <is>
          <t>Delivered</t>
        </is>
      </c>
      <c r="J1042" t="n">
        <v>132</v>
      </c>
      <c r="K1042" t="n">
        <v>2</v>
      </c>
      <c r="L1042" s="7" t="n">
        <v>471</v>
      </c>
      <c r="M1042" s="7" t="n">
        <v>94.2</v>
      </c>
    </row>
    <row r="1043">
      <c r="A1043" t="n">
        <v>509853</v>
      </c>
      <c r="B1043" s="6" t="n">
        <v>45944</v>
      </c>
      <c r="C1043" t="n">
        <v>16747</v>
      </c>
      <c r="D1043" t="inlineStr">
        <is>
          <t>Delhi</t>
        </is>
      </c>
      <c r="E1043" t="inlineStr">
        <is>
          <t>North</t>
        </is>
      </c>
      <c r="F1043" t="inlineStr">
        <is>
          <t>Referral</t>
        </is>
      </c>
      <c r="G1043" t="inlineStr">
        <is>
          <t>Mobile App</t>
        </is>
      </c>
      <c r="H1043" t="inlineStr">
        <is>
          <t>UPI</t>
        </is>
      </c>
      <c r="I1043" t="inlineStr">
        <is>
          <t>Delivered</t>
        </is>
      </c>
      <c r="J1043" t="n">
        <v>109</v>
      </c>
      <c r="K1043" t="n">
        <v>2</v>
      </c>
      <c r="L1043" s="7" t="n">
        <v>4199</v>
      </c>
      <c r="M1043" s="7" t="n">
        <v>839.8</v>
      </c>
    </row>
    <row r="1044">
      <c r="A1044" t="n">
        <v>509854</v>
      </c>
      <c r="B1044" s="6" t="n">
        <v>45944</v>
      </c>
      <c r="C1044" t="n">
        <v>16263</v>
      </c>
      <c r="D1044" t="inlineStr">
        <is>
          <t>Jaipur</t>
        </is>
      </c>
      <c r="E1044" t="inlineStr">
        <is>
          <t>North</t>
        </is>
      </c>
      <c r="F1044" t="inlineStr">
        <is>
          <t>Organic Search</t>
        </is>
      </c>
      <c r="G1044" t="inlineStr">
        <is>
          <t>Mobile App</t>
        </is>
      </c>
      <c r="H1044" t="inlineStr">
        <is>
          <t>Cash on Delivery</t>
        </is>
      </c>
      <c r="I1044" t="inlineStr">
        <is>
          <t>Delivered</t>
        </is>
      </c>
      <c r="J1044" t="n">
        <v>131</v>
      </c>
      <c r="K1044" t="n">
        <v>1</v>
      </c>
      <c r="L1044" s="7" t="n">
        <v>314</v>
      </c>
      <c r="M1044" s="7" t="n">
        <v>31.4</v>
      </c>
    </row>
    <row r="1045">
      <c r="A1045" t="n">
        <v>509854</v>
      </c>
      <c r="B1045" s="6" t="n">
        <v>45944</v>
      </c>
      <c r="C1045" t="n">
        <v>16263</v>
      </c>
      <c r="D1045" t="inlineStr">
        <is>
          <t>Jaipur</t>
        </is>
      </c>
      <c r="E1045" t="inlineStr">
        <is>
          <t>North</t>
        </is>
      </c>
      <c r="F1045" t="inlineStr">
        <is>
          <t>Organic Search</t>
        </is>
      </c>
      <c r="G1045" t="inlineStr">
        <is>
          <t>Mobile App</t>
        </is>
      </c>
      <c r="H1045" t="inlineStr">
        <is>
          <t>Cash on Delivery</t>
        </is>
      </c>
      <c r="I1045" t="inlineStr">
        <is>
          <t>Delivered</t>
        </is>
      </c>
      <c r="J1045" t="n">
        <v>114</v>
      </c>
      <c r="K1045" t="n">
        <v>1</v>
      </c>
      <c r="L1045" s="7" t="n">
        <v>1259</v>
      </c>
      <c r="M1045" s="7" t="n">
        <v>125.9</v>
      </c>
    </row>
    <row r="1046">
      <c r="A1046" t="n">
        <v>509854</v>
      </c>
      <c r="B1046" s="6" t="n">
        <v>45944</v>
      </c>
      <c r="C1046" t="n">
        <v>16263</v>
      </c>
      <c r="D1046" t="inlineStr">
        <is>
          <t>Jaipur</t>
        </is>
      </c>
      <c r="E1046" t="inlineStr">
        <is>
          <t>North</t>
        </is>
      </c>
      <c r="F1046" t="inlineStr">
        <is>
          <t>Organic Search</t>
        </is>
      </c>
      <c r="G1046" t="inlineStr">
        <is>
          <t>Mobile App</t>
        </is>
      </c>
      <c r="H1046" t="inlineStr">
        <is>
          <t>Cash on Delivery</t>
        </is>
      </c>
      <c r="I1046" t="inlineStr">
        <is>
          <t>Delivered</t>
        </is>
      </c>
      <c r="J1046" t="n">
        <v>129</v>
      </c>
      <c r="K1046" t="n">
        <v>1</v>
      </c>
      <c r="L1046" s="7" t="n">
        <v>576</v>
      </c>
      <c r="M1046" s="7" t="n">
        <v>57.6</v>
      </c>
    </row>
    <row r="1047">
      <c r="A1047" t="n">
        <v>509855</v>
      </c>
      <c r="B1047" s="6" t="n">
        <v>45944</v>
      </c>
      <c r="C1047" t="n">
        <v>16754</v>
      </c>
      <c r="D1047" t="inlineStr">
        <is>
          <t>Bengaluru</t>
        </is>
      </c>
      <c r="E1047" t="inlineStr">
        <is>
          <t>South</t>
        </is>
      </c>
      <c r="F1047" t="inlineStr">
        <is>
          <t>Organic Search</t>
        </is>
      </c>
      <c r="G1047" t="inlineStr">
        <is>
          <t>Mobile App</t>
        </is>
      </c>
      <c r="H1047" t="inlineStr">
        <is>
          <t>Debit Card</t>
        </is>
      </c>
      <c r="I1047" t="inlineStr">
        <is>
          <t>Delivered</t>
        </is>
      </c>
      <c r="J1047" t="n">
        <v>122</v>
      </c>
      <c r="K1047" t="n">
        <v>1</v>
      </c>
      <c r="L1047" s="7" t="n">
        <v>1994</v>
      </c>
      <c r="M1047" s="7" t="n">
        <v>0</v>
      </c>
    </row>
    <row r="1048">
      <c r="A1048" t="n">
        <v>509855</v>
      </c>
      <c r="B1048" s="6" t="n">
        <v>45944</v>
      </c>
      <c r="C1048" t="n">
        <v>16754</v>
      </c>
      <c r="D1048" t="inlineStr">
        <is>
          <t>Bengaluru</t>
        </is>
      </c>
      <c r="E1048" t="inlineStr">
        <is>
          <t>South</t>
        </is>
      </c>
      <c r="F1048" t="inlineStr">
        <is>
          <t>Organic Search</t>
        </is>
      </c>
      <c r="G1048" t="inlineStr">
        <is>
          <t>Mobile App</t>
        </is>
      </c>
      <c r="H1048" t="inlineStr">
        <is>
          <t>Debit Card</t>
        </is>
      </c>
      <c r="I1048" t="inlineStr">
        <is>
          <t>Delivered</t>
        </is>
      </c>
      <c r="J1048" t="n">
        <v>116</v>
      </c>
      <c r="K1048" t="n">
        <v>1</v>
      </c>
      <c r="L1048" s="7" t="n">
        <v>2624</v>
      </c>
      <c r="M1048" s="7" t="n">
        <v>0</v>
      </c>
    </row>
    <row r="1049">
      <c r="A1049" t="n">
        <v>509855</v>
      </c>
      <c r="B1049" s="6" t="n">
        <v>45944</v>
      </c>
      <c r="C1049" t="n">
        <v>16754</v>
      </c>
      <c r="D1049" t="inlineStr">
        <is>
          <t>Bengaluru</t>
        </is>
      </c>
      <c r="E1049" t="inlineStr">
        <is>
          <t>South</t>
        </is>
      </c>
      <c r="F1049" t="inlineStr">
        <is>
          <t>Organic Search</t>
        </is>
      </c>
      <c r="G1049" t="inlineStr">
        <is>
          <t>Mobile App</t>
        </is>
      </c>
      <c r="H1049" t="inlineStr">
        <is>
          <t>Debit Card</t>
        </is>
      </c>
      <c r="I1049" t="inlineStr">
        <is>
          <t>Delivered</t>
        </is>
      </c>
      <c r="J1049" t="n">
        <v>129</v>
      </c>
      <c r="K1049" t="n">
        <v>1</v>
      </c>
      <c r="L1049" s="7" t="n">
        <v>576</v>
      </c>
      <c r="M1049" s="7" t="n">
        <v>0</v>
      </c>
    </row>
    <row r="1050">
      <c r="A1050" t="n">
        <v>509856</v>
      </c>
      <c r="B1050" s="6" t="n">
        <v>45944</v>
      </c>
      <c r="C1050" t="n">
        <v>14051</v>
      </c>
      <c r="D1050" t="inlineStr">
        <is>
          <t>Hyderabad</t>
        </is>
      </c>
      <c r="E1050" t="inlineStr">
        <is>
          <t>South</t>
        </is>
      </c>
      <c r="F1050" t="inlineStr">
        <is>
          <t>Referral</t>
        </is>
      </c>
      <c r="G1050" t="inlineStr">
        <is>
          <t>Mobile App</t>
        </is>
      </c>
      <c r="H1050" t="inlineStr">
        <is>
          <t>UPI</t>
        </is>
      </c>
      <c r="I1050" t="inlineStr">
        <is>
          <t>Delivered</t>
        </is>
      </c>
      <c r="J1050" t="n">
        <v>141</v>
      </c>
      <c r="K1050" t="n">
        <v>1</v>
      </c>
      <c r="L1050" s="7" t="n">
        <v>261</v>
      </c>
      <c r="M1050" s="7" t="n">
        <v>0</v>
      </c>
    </row>
    <row r="1051">
      <c r="A1051" t="n">
        <v>509857</v>
      </c>
      <c r="B1051" s="6" t="n">
        <v>45944</v>
      </c>
      <c r="C1051" t="n">
        <v>16809</v>
      </c>
      <c r="D1051" t="inlineStr">
        <is>
          <t>Bengaluru</t>
        </is>
      </c>
      <c r="E1051" t="inlineStr">
        <is>
          <t>South</t>
        </is>
      </c>
      <c r="F1051" t="inlineStr">
        <is>
          <t>Organic Search</t>
        </is>
      </c>
      <c r="G1051" t="inlineStr">
        <is>
          <t>Desktop</t>
        </is>
      </c>
      <c r="H1051" t="inlineStr">
        <is>
          <t>Cash on Delivery</t>
        </is>
      </c>
      <c r="I1051" t="inlineStr">
        <is>
          <t>Delivered</t>
        </is>
      </c>
      <c r="J1051" t="n">
        <v>112</v>
      </c>
      <c r="K1051" t="n">
        <v>1</v>
      </c>
      <c r="L1051" s="7" t="n">
        <v>1574</v>
      </c>
      <c r="M1051" s="7" t="n">
        <v>236.1</v>
      </c>
    </row>
    <row r="1052">
      <c r="A1052" t="n">
        <v>509858</v>
      </c>
      <c r="B1052" s="6" t="n">
        <v>45944</v>
      </c>
      <c r="C1052" t="n">
        <v>14822</v>
      </c>
      <c r="D1052" t="inlineStr">
        <is>
          <t>Chennai</t>
        </is>
      </c>
      <c r="E1052" t="inlineStr">
        <is>
          <t>South</t>
        </is>
      </c>
      <c r="F1052" t="inlineStr">
        <is>
          <t>Affiliate</t>
        </is>
      </c>
      <c r="G1052" t="inlineStr">
        <is>
          <t>Mobile App</t>
        </is>
      </c>
      <c r="H1052" t="inlineStr">
        <is>
          <t>UPI</t>
        </is>
      </c>
      <c r="I1052" t="inlineStr">
        <is>
          <t>Delivered</t>
        </is>
      </c>
      <c r="J1052" t="n">
        <v>128</v>
      </c>
      <c r="K1052" t="n">
        <v>1</v>
      </c>
      <c r="L1052" s="7" t="n">
        <v>1049</v>
      </c>
      <c r="M1052" s="7" t="n">
        <v>104.9</v>
      </c>
    </row>
    <row r="1053">
      <c r="A1053" t="n">
        <v>509858</v>
      </c>
      <c r="B1053" s="6" t="n">
        <v>45944</v>
      </c>
      <c r="C1053" t="n">
        <v>14822</v>
      </c>
      <c r="D1053" t="inlineStr">
        <is>
          <t>Chennai</t>
        </is>
      </c>
      <c r="E1053" t="inlineStr">
        <is>
          <t>South</t>
        </is>
      </c>
      <c r="F1053" t="inlineStr">
        <is>
          <t>Affiliate</t>
        </is>
      </c>
      <c r="G1053" t="inlineStr">
        <is>
          <t>Mobile App</t>
        </is>
      </c>
      <c r="H1053" t="inlineStr">
        <is>
          <t>UPI</t>
        </is>
      </c>
      <c r="I1053" t="inlineStr">
        <is>
          <t>Delivered</t>
        </is>
      </c>
      <c r="J1053" t="n">
        <v>129</v>
      </c>
      <c r="K1053" t="n">
        <v>1</v>
      </c>
      <c r="L1053" s="7" t="n">
        <v>576</v>
      </c>
      <c r="M1053" s="7" t="n">
        <v>57.6</v>
      </c>
    </row>
    <row r="1054">
      <c r="A1054" t="n">
        <v>509859</v>
      </c>
      <c r="B1054" s="6" t="n">
        <v>45944</v>
      </c>
      <c r="C1054" t="n">
        <v>11488</v>
      </c>
      <c r="D1054" t="inlineStr">
        <is>
          <t>Kolkata</t>
        </is>
      </c>
      <c r="E1054" t="inlineStr">
        <is>
          <t>East</t>
        </is>
      </c>
      <c r="F1054" t="inlineStr">
        <is>
          <t>Organic Search</t>
        </is>
      </c>
      <c r="G1054" t="inlineStr">
        <is>
          <t>Desktop</t>
        </is>
      </c>
      <c r="H1054" t="inlineStr">
        <is>
          <t>Cash on Delivery</t>
        </is>
      </c>
      <c r="I1054" t="inlineStr">
        <is>
          <t>Delivered</t>
        </is>
      </c>
      <c r="J1054" t="n">
        <v>138</v>
      </c>
      <c r="K1054" t="n">
        <v>1</v>
      </c>
      <c r="L1054" s="7" t="n">
        <v>419</v>
      </c>
      <c r="M1054" s="7" t="n">
        <v>41.9</v>
      </c>
    </row>
    <row r="1055">
      <c r="A1055" t="n">
        <v>509859</v>
      </c>
      <c r="B1055" s="6" t="n">
        <v>45944</v>
      </c>
      <c r="C1055" t="n">
        <v>11488</v>
      </c>
      <c r="D1055" t="inlineStr">
        <is>
          <t>Kolkata</t>
        </is>
      </c>
      <c r="E1055" t="inlineStr">
        <is>
          <t>East</t>
        </is>
      </c>
      <c r="F1055" t="inlineStr">
        <is>
          <t>Organic Search</t>
        </is>
      </c>
      <c r="G1055" t="inlineStr">
        <is>
          <t>Desktop</t>
        </is>
      </c>
      <c r="H1055" t="inlineStr">
        <is>
          <t>Cash on Delivery</t>
        </is>
      </c>
      <c r="I1055" t="inlineStr">
        <is>
          <t>Delivered</t>
        </is>
      </c>
      <c r="J1055" t="n">
        <v>129</v>
      </c>
      <c r="K1055" t="n">
        <v>1</v>
      </c>
      <c r="L1055" s="7" t="n">
        <v>576</v>
      </c>
      <c r="M1055" s="7" t="n">
        <v>57.6</v>
      </c>
    </row>
    <row r="1056">
      <c r="A1056" t="n">
        <v>509860</v>
      </c>
      <c r="B1056" s="6" t="n">
        <v>45944</v>
      </c>
      <c r="C1056" t="n">
        <v>14343</v>
      </c>
      <c r="D1056" t="inlineStr">
        <is>
          <t>Kolkata</t>
        </is>
      </c>
      <c r="E1056" t="inlineStr">
        <is>
          <t>East</t>
        </is>
      </c>
      <c r="F1056" t="inlineStr">
        <is>
          <t>Paid Search</t>
        </is>
      </c>
      <c r="G1056" t="inlineStr">
        <is>
          <t>Mobile Web</t>
        </is>
      </c>
      <c r="H1056" t="inlineStr">
        <is>
          <t>UPI</t>
        </is>
      </c>
      <c r="I1056" t="inlineStr">
        <is>
          <t>Cancelled</t>
        </is>
      </c>
      <c r="J1056" t="n">
        <v>140</v>
      </c>
      <c r="K1056" t="n">
        <v>1</v>
      </c>
      <c r="L1056" s="7" t="n">
        <v>629</v>
      </c>
      <c r="M1056" s="7" t="n">
        <v>0</v>
      </c>
    </row>
    <row r="1057">
      <c r="A1057" t="n">
        <v>509861</v>
      </c>
      <c r="B1057" s="6" t="n">
        <v>45944</v>
      </c>
      <c r="C1057" t="n">
        <v>10781</v>
      </c>
      <c r="D1057" t="inlineStr">
        <is>
          <t>Delhi</t>
        </is>
      </c>
      <c r="E1057" t="inlineStr">
        <is>
          <t>North</t>
        </is>
      </c>
      <c r="F1057" t="inlineStr">
        <is>
          <t>Referral</t>
        </is>
      </c>
      <c r="G1057" t="inlineStr">
        <is>
          <t>Mobile App</t>
        </is>
      </c>
      <c r="H1057" t="inlineStr">
        <is>
          <t>Cash on Delivery</t>
        </is>
      </c>
      <c r="I1057" t="inlineStr">
        <is>
          <t>Delivered</t>
        </is>
      </c>
      <c r="J1057" t="n">
        <v>107</v>
      </c>
      <c r="K1057" t="n">
        <v>1</v>
      </c>
      <c r="L1057" s="7" t="n">
        <v>1259</v>
      </c>
      <c r="M1057" s="7" t="n">
        <v>125.9</v>
      </c>
    </row>
    <row r="1058">
      <c r="A1058" t="n">
        <v>509862</v>
      </c>
      <c r="B1058" s="6" t="n">
        <v>45944</v>
      </c>
      <c r="C1058" t="n">
        <v>11134</v>
      </c>
      <c r="D1058" t="inlineStr">
        <is>
          <t>Gurugram</t>
        </is>
      </c>
      <c r="E1058" t="inlineStr">
        <is>
          <t>North</t>
        </is>
      </c>
      <c r="F1058" t="inlineStr">
        <is>
          <t>Organic Search</t>
        </is>
      </c>
      <c r="G1058" t="inlineStr">
        <is>
          <t>Mobile Web</t>
        </is>
      </c>
      <c r="H1058" t="inlineStr">
        <is>
          <t>Cash on Delivery</t>
        </is>
      </c>
      <c r="I1058" t="inlineStr">
        <is>
          <t>Delivered</t>
        </is>
      </c>
      <c r="J1058" t="n">
        <v>110</v>
      </c>
      <c r="K1058" t="n">
        <v>1</v>
      </c>
      <c r="L1058" s="7" t="n">
        <v>839</v>
      </c>
      <c r="M1058" s="7" t="n">
        <v>0</v>
      </c>
    </row>
    <row r="1059">
      <c r="A1059" t="n">
        <v>509863</v>
      </c>
      <c r="B1059" s="6" t="n">
        <v>45944</v>
      </c>
      <c r="C1059" t="n">
        <v>16327</v>
      </c>
      <c r="D1059" t="inlineStr">
        <is>
          <t>Bengaluru</t>
        </is>
      </c>
      <c r="E1059" t="inlineStr">
        <is>
          <t>South</t>
        </is>
      </c>
      <c r="F1059" t="inlineStr">
        <is>
          <t>Referral</t>
        </is>
      </c>
      <c r="G1059" t="inlineStr">
        <is>
          <t>Mobile App</t>
        </is>
      </c>
      <c r="H1059" t="inlineStr">
        <is>
          <t>UPI</t>
        </is>
      </c>
      <c r="I1059" t="inlineStr">
        <is>
          <t>Delivered</t>
        </is>
      </c>
      <c r="J1059" t="n">
        <v>143</v>
      </c>
      <c r="K1059" t="n">
        <v>1</v>
      </c>
      <c r="L1059" s="7" t="n">
        <v>839</v>
      </c>
      <c r="M1059" s="7" t="n">
        <v>83.90000000000001</v>
      </c>
    </row>
    <row r="1060">
      <c r="A1060" t="n">
        <v>509864</v>
      </c>
      <c r="B1060" s="6" t="n">
        <v>45944</v>
      </c>
      <c r="C1060" t="n">
        <v>14810</v>
      </c>
      <c r="D1060" t="inlineStr">
        <is>
          <t>Chandigarh</t>
        </is>
      </c>
      <c r="E1060" t="inlineStr">
        <is>
          <t>North</t>
        </is>
      </c>
      <c r="F1060" t="inlineStr">
        <is>
          <t>Paid Search</t>
        </is>
      </c>
      <c r="G1060" t="inlineStr">
        <is>
          <t>Mobile App</t>
        </is>
      </c>
      <c r="H1060" t="inlineStr">
        <is>
          <t>UPI</t>
        </is>
      </c>
      <c r="I1060" t="inlineStr">
        <is>
          <t>Delivered</t>
        </is>
      </c>
      <c r="J1060" t="n">
        <v>109</v>
      </c>
      <c r="K1060" t="n">
        <v>1</v>
      </c>
      <c r="L1060" s="7" t="n">
        <v>4199</v>
      </c>
      <c r="M1060" s="7" t="n">
        <v>419.9</v>
      </c>
    </row>
    <row r="1061">
      <c r="A1061" t="n">
        <v>509865</v>
      </c>
      <c r="B1061" s="6" t="n">
        <v>45944</v>
      </c>
      <c r="C1061" t="n">
        <v>16785</v>
      </c>
      <c r="D1061" t="inlineStr">
        <is>
          <t>Delhi</t>
        </is>
      </c>
      <c r="E1061" t="inlineStr">
        <is>
          <t>North</t>
        </is>
      </c>
      <c r="F1061" t="inlineStr">
        <is>
          <t>Organic Search</t>
        </is>
      </c>
      <c r="G1061" t="inlineStr">
        <is>
          <t>Mobile App</t>
        </is>
      </c>
      <c r="H1061" t="inlineStr">
        <is>
          <t>Credit Card</t>
        </is>
      </c>
      <c r="I1061" t="inlineStr">
        <is>
          <t>Delivered</t>
        </is>
      </c>
      <c r="J1061" t="n">
        <v>106</v>
      </c>
      <c r="K1061" t="n">
        <v>1</v>
      </c>
      <c r="L1061" s="7" t="n">
        <v>1574</v>
      </c>
      <c r="M1061" s="7" t="n">
        <v>157.4</v>
      </c>
    </row>
    <row r="1062">
      <c r="A1062" t="n">
        <v>509866</v>
      </c>
      <c r="B1062" s="6" t="n">
        <v>45944</v>
      </c>
      <c r="C1062" t="n">
        <v>12536</v>
      </c>
      <c r="D1062" t="inlineStr">
        <is>
          <t>Bengaluru</t>
        </is>
      </c>
      <c r="E1062" t="inlineStr">
        <is>
          <t>South</t>
        </is>
      </c>
      <c r="F1062" t="inlineStr">
        <is>
          <t>Organic Search</t>
        </is>
      </c>
      <c r="G1062" t="inlineStr">
        <is>
          <t>Desktop</t>
        </is>
      </c>
      <c r="H1062" t="inlineStr">
        <is>
          <t>UPI</t>
        </is>
      </c>
      <c r="I1062" t="inlineStr">
        <is>
          <t>Delivered</t>
        </is>
      </c>
      <c r="J1062" t="n">
        <v>119</v>
      </c>
      <c r="K1062" t="n">
        <v>1</v>
      </c>
      <c r="L1062" s="7" t="n">
        <v>2309</v>
      </c>
      <c r="M1062" s="7" t="n">
        <v>0</v>
      </c>
    </row>
    <row r="1063">
      <c r="A1063" t="n">
        <v>509866</v>
      </c>
      <c r="B1063" s="6" t="n">
        <v>45944</v>
      </c>
      <c r="C1063" t="n">
        <v>12536</v>
      </c>
      <c r="D1063" t="inlineStr">
        <is>
          <t>Bengaluru</t>
        </is>
      </c>
      <c r="E1063" t="inlineStr">
        <is>
          <t>South</t>
        </is>
      </c>
      <c r="F1063" t="inlineStr">
        <is>
          <t>Organic Search</t>
        </is>
      </c>
      <c r="G1063" t="inlineStr">
        <is>
          <t>Desktop</t>
        </is>
      </c>
      <c r="H1063" t="inlineStr">
        <is>
          <t>UPI</t>
        </is>
      </c>
      <c r="I1063" t="inlineStr">
        <is>
          <t>Delivered</t>
        </is>
      </c>
      <c r="J1063" t="n">
        <v>129</v>
      </c>
      <c r="K1063" t="n">
        <v>1</v>
      </c>
      <c r="L1063" s="7" t="n">
        <v>576</v>
      </c>
      <c r="M1063" s="7" t="n">
        <v>0</v>
      </c>
    </row>
    <row r="1064">
      <c r="A1064" t="n">
        <v>509867</v>
      </c>
      <c r="B1064" s="6" t="n">
        <v>45944</v>
      </c>
      <c r="C1064" t="n">
        <v>15516</v>
      </c>
      <c r="D1064" t="inlineStr">
        <is>
          <t>Pune</t>
        </is>
      </c>
      <c r="E1064" t="inlineStr">
        <is>
          <t>West</t>
        </is>
      </c>
      <c r="F1064" t="inlineStr">
        <is>
          <t>Paid Search</t>
        </is>
      </c>
      <c r="G1064" t="inlineStr">
        <is>
          <t>Mobile App</t>
        </is>
      </c>
      <c r="H1064" t="inlineStr">
        <is>
          <t>UPI</t>
        </is>
      </c>
      <c r="I1064" t="inlineStr">
        <is>
          <t>Delivered</t>
        </is>
      </c>
      <c r="J1064" t="n">
        <v>136</v>
      </c>
      <c r="K1064" t="n">
        <v>2</v>
      </c>
      <c r="L1064" s="7" t="n">
        <v>944</v>
      </c>
      <c r="M1064" s="7" t="n">
        <v>0</v>
      </c>
    </row>
    <row r="1065">
      <c r="A1065" t="n">
        <v>509868</v>
      </c>
      <c r="B1065" s="6" t="n">
        <v>45944</v>
      </c>
      <c r="C1065" t="n">
        <v>13953</v>
      </c>
      <c r="D1065" t="inlineStr">
        <is>
          <t>Mumbai</t>
        </is>
      </c>
      <c r="E1065" t="inlineStr">
        <is>
          <t>West</t>
        </is>
      </c>
      <c r="F1065" t="inlineStr">
        <is>
          <t>Paid Search</t>
        </is>
      </c>
      <c r="G1065" t="inlineStr">
        <is>
          <t>Mobile App</t>
        </is>
      </c>
      <c r="H1065" t="inlineStr">
        <is>
          <t>UPI</t>
        </is>
      </c>
      <c r="I1065" t="inlineStr">
        <is>
          <t>Returned</t>
        </is>
      </c>
      <c r="J1065" t="n">
        <v>116</v>
      </c>
      <c r="K1065" t="n">
        <v>1</v>
      </c>
      <c r="L1065" s="7" t="n">
        <v>2624</v>
      </c>
      <c r="M1065" s="7" t="n">
        <v>131.2</v>
      </c>
    </row>
    <row r="1066">
      <c r="A1066" t="n">
        <v>509869</v>
      </c>
      <c r="B1066" s="6" t="n">
        <v>45944</v>
      </c>
      <c r="C1066" t="n">
        <v>11594</v>
      </c>
      <c r="D1066" t="inlineStr">
        <is>
          <t>Hyderabad</t>
        </is>
      </c>
      <c r="E1066" t="inlineStr">
        <is>
          <t>South</t>
        </is>
      </c>
      <c r="F1066" t="inlineStr">
        <is>
          <t>Organic Search</t>
        </is>
      </c>
      <c r="G1066" t="inlineStr">
        <is>
          <t>Mobile App</t>
        </is>
      </c>
      <c r="H1066" t="inlineStr">
        <is>
          <t>UPI</t>
        </is>
      </c>
      <c r="I1066" t="inlineStr">
        <is>
          <t>Delivered</t>
        </is>
      </c>
      <c r="J1066" t="n">
        <v>135</v>
      </c>
      <c r="K1066" t="n">
        <v>1</v>
      </c>
      <c r="L1066" s="7" t="n">
        <v>1574</v>
      </c>
      <c r="M1066" s="7" t="n">
        <v>0</v>
      </c>
    </row>
    <row r="1067">
      <c r="A1067" t="n">
        <v>509869</v>
      </c>
      <c r="B1067" s="6" t="n">
        <v>45944</v>
      </c>
      <c r="C1067" t="n">
        <v>11594</v>
      </c>
      <c r="D1067" t="inlineStr">
        <is>
          <t>Hyderabad</t>
        </is>
      </c>
      <c r="E1067" t="inlineStr">
        <is>
          <t>South</t>
        </is>
      </c>
      <c r="F1067" t="inlineStr">
        <is>
          <t>Organic Search</t>
        </is>
      </c>
      <c r="G1067" t="inlineStr">
        <is>
          <t>Mobile App</t>
        </is>
      </c>
      <c r="H1067" t="inlineStr">
        <is>
          <t>UPI</t>
        </is>
      </c>
      <c r="I1067" t="inlineStr">
        <is>
          <t>Delivered</t>
        </is>
      </c>
      <c r="J1067" t="n">
        <v>108</v>
      </c>
      <c r="K1067" t="n">
        <v>1</v>
      </c>
      <c r="L1067" s="7" t="n">
        <v>419</v>
      </c>
      <c r="M1067" s="7" t="n">
        <v>0</v>
      </c>
    </row>
    <row r="1068">
      <c r="A1068" t="n">
        <v>509869</v>
      </c>
      <c r="B1068" s="6" t="n">
        <v>45944</v>
      </c>
      <c r="C1068" t="n">
        <v>11594</v>
      </c>
      <c r="D1068" t="inlineStr">
        <is>
          <t>Hyderabad</t>
        </is>
      </c>
      <c r="E1068" t="inlineStr">
        <is>
          <t>South</t>
        </is>
      </c>
      <c r="F1068" t="inlineStr">
        <is>
          <t>Organic Search</t>
        </is>
      </c>
      <c r="G1068" t="inlineStr">
        <is>
          <t>Mobile App</t>
        </is>
      </c>
      <c r="H1068" t="inlineStr">
        <is>
          <t>UPI</t>
        </is>
      </c>
      <c r="I1068" t="inlineStr">
        <is>
          <t>Delivered</t>
        </is>
      </c>
      <c r="J1068" t="n">
        <v>146</v>
      </c>
      <c r="K1068" t="n">
        <v>1</v>
      </c>
      <c r="L1068" s="7" t="n">
        <v>4724</v>
      </c>
      <c r="M1068" s="7" t="n">
        <v>0</v>
      </c>
    </row>
    <row r="1069">
      <c r="A1069" t="n">
        <v>509870</v>
      </c>
      <c r="B1069" s="6" t="n">
        <v>45944</v>
      </c>
      <c r="C1069" t="n">
        <v>16812</v>
      </c>
      <c r="D1069" t="inlineStr">
        <is>
          <t>Gurugram</t>
        </is>
      </c>
      <c r="E1069" t="inlineStr">
        <is>
          <t>North</t>
        </is>
      </c>
      <c r="F1069" t="inlineStr">
        <is>
          <t>Paid Social</t>
        </is>
      </c>
      <c r="G1069" t="inlineStr">
        <is>
          <t>Mobile Web</t>
        </is>
      </c>
      <c r="H1069" t="inlineStr">
        <is>
          <t>UPI</t>
        </is>
      </c>
      <c r="I1069" t="inlineStr">
        <is>
          <t>Delivered</t>
        </is>
      </c>
      <c r="J1069" t="n">
        <v>104</v>
      </c>
      <c r="K1069" t="n">
        <v>1</v>
      </c>
      <c r="L1069" s="7" t="n">
        <v>5249</v>
      </c>
      <c r="M1069" s="7" t="n">
        <v>0</v>
      </c>
    </row>
    <row r="1070">
      <c r="A1070" t="n">
        <v>509870</v>
      </c>
      <c r="B1070" s="6" t="n">
        <v>45944</v>
      </c>
      <c r="C1070" t="n">
        <v>16812</v>
      </c>
      <c r="D1070" t="inlineStr">
        <is>
          <t>Gurugram</t>
        </is>
      </c>
      <c r="E1070" t="inlineStr">
        <is>
          <t>North</t>
        </is>
      </c>
      <c r="F1070" t="inlineStr">
        <is>
          <t>Paid Social</t>
        </is>
      </c>
      <c r="G1070" t="inlineStr">
        <is>
          <t>Mobile Web</t>
        </is>
      </c>
      <c r="H1070" t="inlineStr">
        <is>
          <t>UPI</t>
        </is>
      </c>
      <c r="I1070" t="inlineStr">
        <is>
          <t>Delivered</t>
        </is>
      </c>
      <c r="J1070" t="n">
        <v>129</v>
      </c>
      <c r="K1070" t="n">
        <v>1</v>
      </c>
      <c r="L1070" s="7" t="n">
        <v>576</v>
      </c>
      <c r="M1070" s="7" t="n">
        <v>0</v>
      </c>
    </row>
    <row r="1071">
      <c r="A1071" t="n">
        <v>509871</v>
      </c>
      <c r="B1071" s="6" t="n">
        <v>45944</v>
      </c>
      <c r="C1071" t="n">
        <v>16426</v>
      </c>
      <c r="D1071" t="inlineStr">
        <is>
          <t>Delhi</t>
        </is>
      </c>
      <c r="E1071" t="inlineStr">
        <is>
          <t>North</t>
        </is>
      </c>
      <c r="F1071" t="inlineStr">
        <is>
          <t>Organic Search</t>
        </is>
      </c>
      <c r="G1071" t="inlineStr">
        <is>
          <t>Mobile Web</t>
        </is>
      </c>
      <c r="H1071" t="inlineStr">
        <is>
          <t>UPI</t>
        </is>
      </c>
      <c r="I1071" t="inlineStr">
        <is>
          <t>Delivered</t>
        </is>
      </c>
      <c r="J1071" t="n">
        <v>116</v>
      </c>
      <c r="K1071" t="n">
        <v>1</v>
      </c>
      <c r="L1071" s="7" t="n">
        <v>2624</v>
      </c>
      <c r="M1071" s="7" t="n">
        <v>0</v>
      </c>
    </row>
    <row r="1072">
      <c r="A1072" t="n">
        <v>509871</v>
      </c>
      <c r="B1072" s="6" t="n">
        <v>45944</v>
      </c>
      <c r="C1072" t="n">
        <v>16426</v>
      </c>
      <c r="D1072" t="inlineStr">
        <is>
          <t>Delhi</t>
        </is>
      </c>
      <c r="E1072" t="inlineStr">
        <is>
          <t>North</t>
        </is>
      </c>
      <c r="F1072" t="inlineStr">
        <is>
          <t>Organic Search</t>
        </is>
      </c>
      <c r="G1072" t="inlineStr">
        <is>
          <t>Mobile Web</t>
        </is>
      </c>
      <c r="H1072" t="inlineStr">
        <is>
          <t>UPI</t>
        </is>
      </c>
      <c r="I1072" t="inlineStr">
        <is>
          <t>Delivered</t>
        </is>
      </c>
      <c r="J1072" t="n">
        <v>106</v>
      </c>
      <c r="K1072" t="n">
        <v>1</v>
      </c>
      <c r="L1072" s="7" t="n">
        <v>1574</v>
      </c>
      <c r="M1072" s="7" t="n">
        <v>0</v>
      </c>
    </row>
    <row r="1073">
      <c r="A1073" t="n">
        <v>509871</v>
      </c>
      <c r="B1073" s="6" t="n">
        <v>45944</v>
      </c>
      <c r="C1073" t="n">
        <v>16426</v>
      </c>
      <c r="D1073" t="inlineStr">
        <is>
          <t>Delhi</t>
        </is>
      </c>
      <c r="E1073" t="inlineStr">
        <is>
          <t>North</t>
        </is>
      </c>
      <c r="F1073" t="inlineStr">
        <is>
          <t>Organic Search</t>
        </is>
      </c>
      <c r="G1073" t="inlineStr">
        <is>
          <t>Mobile Web</t>
        </is>
      </c>
      <c r="H1073" t="inlineStr">
        <is>
          <t>UPI</t>
        </is>
      </c>
      <c r="I1073" t="inlineStr">
        <is>
          <t>Delivered</t>
        </is>
      </c>
      <c r="J1073" t="n">
        <v>126</v>
      </c>
      <c r="K1073" t="n">
        <v>1</v>
      </c>
      <c r="L1073" s="7" t="n">
        <v>471</v>
      </c>
      <c r="M1073" s="7" t="n">
        <v>0</v>
      </c>
    </row>
    <row r="1074">
      <c r="A1074" t="n">
        <v>509872</v>
      </c>
      <c r="B1074" s="6" t="n">
        <v>45944</v>
      </c>
      <c r="C1074" t="n">
        <v>13748</v>
      </c>
      <c r="D1074" t="inlineStr">
        <is>
          <t>Mumbai</t>
        </is>
      </c>
      <c r="E1074" t="inlineStr">
        <is>
          <t>West</t>
        </is>
      </c>
      <c r="F1074" t="inlineStr">
        <is>
          <t>Paid Social</t>
        </is>
      </c>
      <c r="G1074" t="inlineStr">
        <is>
          <t>Mobile App</t>
        </is>
      </c>
      <c r="H1074" t="inlineStr">
        <is>
          <t>Debit Card</t>
        </is>
      </c>
      <c r="I1074" t="inlineStr">
        <is>
          <t>Returned</t>
        </is>
      </c>
      <c r="J1074" t="n">
        <v>134</v>
      </c>
      <c r="K1074" t="n">
        <v>1</v>
      </c>
      <c r="L1074" s="7" t="n">
        <v>209</v>
      </c>
      <c r="M1074" s="7" t="n">
        <v>20.9</v>
      </c>
    </row>
    <row r="1075">
      <c r="A1075" t="n">
        <v>509873</v>
      </c>
      <c r="B1075" s="6" t="n">
        <v>45944</v>
      </c>
      <c r="C1075" t="n">
        <v>16198</v>
      </c>
      <c r="D1075" t="inlineStr">
        <is>
          <t>Kolkata</t>
        </is>
      </c>
      <c r="E1075" t="inlineStr">
        <is>
          <t>East</t>
        </is>
      </c>
      <c r="F1075" t="inlineStr">
        <is>
          <t>Organic Search</t>
        </is>
      </c>
      <c r="G1075" t="inlineStr">
        <is>
          <t>Mobile App</t>
        </is>
      </c>
      <c r="H1075" t="inlineStr">
        <is>
          <t>UPI</t>
        </is>
      </c>
      <c r="I1075" t="inlineStr">
        <is>
          <t>Delivered</t>
        </is>
      </c>
      <c r="J1075" t="n">
        <v>117</v>
      </c>
      <c r="K1075" t="n">
        <v>1</v>
      </c>
      <c r="L1075" s="7" t="n">
        <v>3149</v>
      </c>
      <c r="M1075" s="7" t="n">
        <v>0</v>
      </c>
    </row>
    <row r="1076">
      <c r="A1076" t="n">
        <v>509874</v>
      </c>
      <c r="B1076" s="6" t="n">
        <v>45944</v>
      </c>
      <c r="C1076" t="n">
        <v>14992</v>
      </c>
      <c r="D1076" t="inlineStr">
        <is>
          <t>Ahmedabad</t>
        </is>
      </c>
      <c r="E1076" t="inlineStr">
        <is>
          <t>West</t>
        </is>
      </c>
      <c r="F1076" t="inlineStr">
        <is>
          <t>Organic Search</t>
        </is>
      </c>
      <c r="G1076" t="inlineStr">
        <is>
          <t>Mobile App</t>
        </is>
      </c>
      <c r="H1076" t="inlineStr">
        <is>
          <t>Credit Card</t>
        </is>
      </c>
      <c r="I1076" t="inlineStr">
        <is>
          <t>Delivered</t>
        </is>
      </c>
      <c r="J1076" t="n">
        <v>101</v>
      </c>
      <c r="K1076" t="n">
        <v>1</v>
      </c>
      <c r="L1076" s="7" t="n">
        <v>2099</v>
      </c>
      <c r="M1076" s="7" t="n">
        <v>209.9</v>
      </c>
    </row>
    <row r="1077">
      <c r="A1077" t="n">
        <v>509875</v>
      </c>
      <c r="B1077" s="6" t="n">
        <v>45944</v>
      </c>
      <c r="C1077" t="n">
        <v>16676</v>
      </c>
      <c r="D1077" t="inlineStr">
        <is>
          <t>Mumbai</t>
        </is>
      </c>
      <c r="E1077" t="inlineStr">
        <is>
          <t>West</t>
        </is>
      </c>
      <c r="F1077" t="inlineStr">
        <is>
          <t>Email</t>
        </is>
      </c>
      <c r="G1077" t="inlineStr">
        <is>
          <t>Mobile Web</t>
        </is>
      </c>
      <c r="H1077" t="inlineStr">
        <is>
          <t>Net Banking</t>
        </is>
      </c>
      <c r="I1077" t="inlineStr">
        <is>
          <t>Delivered</t>
        </is>
      </c>
      <c r="J1077" t="n">
        <v>103</v>
      </c>
      <c r="K1077" t="n">
        <v>1</v>
      </c>
      <c r="L1077" s="7" t="n">
        <v>2624</v>
      </c>
      <c r="M1077" s="7" t="n">
        <v>262.4</v>
      </c>
    </row>
    <row r="1078">
      <c r="A1078" t="n">
        <v>509875</v>
      </c>
      <c r="B1078" s="6" t="n">
        <v>45944</v>
      </c>
      <c r="C1078" t="n">
        <v>16676</v>
      </c>
      <c r="D1078" t="inlineStr">
        <is>
          <t>Mumbai</t>
        </is>
      </c>
      <c r="E1078" t="inlineStr">
        <is>
          <t>West</t>
        </is>
      </c>
      <c r="F1078" t="inlineStr">
        <is>
          <t>Email</t>
        </is>
      </c>
      <c r="G1078" t="inlineStr">
        <is>
          <t>Mobile Web</t>
        </is>
      </c>
      <c r="H1078" t="inlineStr">
        <is>
          <t>Net Banking</t>
        </is>
      </c>
      <c r="I1078" t="inlineStr">
        <is>
          <t>Delivered</t>
        </is>
      </c>
      <c r="J1078" t="n">
        <v>129</v>
      </c>
      <c r="K1078" t="n">
        <v>2</v>
      </c>
      <c r="L1078" s="7" t="n">
        <v>576</v>
      </c>
      <c r="M1078" s="7" t="n">
        <v>115.2</v>
      </c>
    </row>
    <row r="1079">
      <c r="A1079" t="n">
        <v>509876</v>
      </c>
      <c r="B1079" s="6" t="n">
        <v>45944</v>
      </c>
      <c r="C1079" t="n">
        <v>14863</v>
      </c>
      <c r="D1079" t="inlineStr">
        <is>
          <t>Bengaluru</t>
        </is>
      </c>
      <c r="E1079" t="inlineStr">
        <is>
          <t>South</t>
        </is>
      </c>
      <c r="F1079" t="inlineStr">
        <is>
          <t>Referral</t>
        </is>
      </c>
      <c r="G1079" t="inlineStr">
        <is>
          <t>Mobile App</t>
        </is>
      </c>
      <c r="H1079" t="inlineStr">
        <is>
          <t>UPI</t>
        </is>
      </c>
      <c r="I1079" t="inlineStr">
        <is>
          <t>Delivered</t>
        </is>
      </c>
      <c r="J1079" t="n">
        <v>121</v>
      </c>
      <c r="K1079" t="n">
        <v>1</v>
      </c>
      <c r="L1079" s="7" t="n">
        <v>2939</v>
      </c>
      <c r="M1079" s="7" t="n">
        <v>293.9</v>
      </c>
    </row>
    <row r="1080">
      <c r="A1080" t="n">
        <v>509877</v>
      </c>
      <c r="B1080" s="6" t="n">
        <v>45944</v>
      </c>
      <c r="C1080" t="n">
        <v>16806</v>
      </c>
      <c r="D1080" t="inlineStr">
        <is>
          <t>Bengaluru</t>
        </is>
      </c>
      <c r="E1080" t="inlineStr">
        <is>
          <t>South</t>
        </is>
      </c>
      <c r="F1080" t="inlineStr">
        <is>
          <t>Organic Search</t>
        </is>
      </c>
      <c r="G1080" t="inlineStr">
        <is>
          <t>Desktop</t>
        </is>
      </c>
      <c r="H1080" t="inlineStr">
        <is>
          <t>UPI</t>
        </is>
      </c>
      <c r="I1080" t="inlineStr">
        <is>
          <t>Cancelled</t>
        </is>
      </c>
      <c r="J1080" t="n">
        <v>131</v>
      </c>
      <c r="K1080" t="n">
        <v>1</v>
      </c>
      <c r="L1080" s="7" t="n">
        <v>314</v>
      </c>
      <c r="M1080" s="7" t="n">
        <v>0</v>
      </c>
    </row>
    <row r="1081">
      <c r="A1081" t="n">
        <v>509878</v>
      </c>
      <c r="B1081" s="6" t="n">
        <v>45944</v>
      </c>
      <c r="C1081" t="n">
        <v>10440</v>
      </c>
      <c r="D1081" t="inlineStr">
        <is>
          <t>Gurugram</t>
        </is>
      </c>
      <c r="E1081" t="inlineStr">
        <is>
          <t>North</t>
        </is>
      </c>
      <c r="F1081" t="inlineStr">
        <is>
          <t>Paid Search</t>
        </is>
      </c>
      <c r="G1081" t="inlineStr">
        <is>
          <t>Mobile App</t>
        </is>
      </c>
      <c r="H1081" t="inlineStr">
        <is>
          <t>UPI</t>
        </is>
      </c>
      <c r="I1081" t="inlineStr">
        <is>
          <t>Delivered</t>
        </is>
      </c>
      <c r="J1081" t="n">
        <v>102</v>
      </c>
      <c r="K1081" t="n">
        <v>2</v>
      </c>
      <c r="L1081" s="7" t="n">
        <v>3674</v>
      </c>
      <c r="M1081" s="7" t="n">
        <v>734.8</v>
      </c>
    </row>
    <row r="1082">
      <c r="A1082" t="n">
        <v>509878</v>
      </c>
      <c r="B1082" s="6" t="n">
        <v>45944</v>
      </c>
      <c r="C1082" t="n">
        <v>10440</v>
      </c>
      <c r="D1082" t="inlineStr">
        <is>
          <t>Gurugram</t>
        </is>
      </c>
      <c r="E1082" t="inlineStr">
        <is>
          <t>North</t>
        </is>
      </c>
      <c r="F1082" t="inlineStr">
        <is>
          <t>Paid Search</t>
        </is>
      </c>
      <c r="G1082" t="inlineStr">
        <is>
          <t>Mobile App</t>
        </is>
      </c>
      <c r="H1082" t="inlineStr">
        <is>
          <t>UPI</t>
        </is>
      </c>
      <c r="I1082" t="inlineStr">
        <is>
          <t>Delivered</t>
        </is>
      </c>
      <c r="J1082" t="n">
        <v>129</v>
      </c>
      <c r="K1082" t="n">
        <v>1</v>
      </c>
      <c r="L1082" s="7" t="n">
        <v>576</v>
      </c>
      <c r="M1082" s="7" t="n">
        <v>57.6</v>
      </c>
    </row>
    <row r="1083">
      <c r="A1083" t="n">
        <v>509879</v>
      </c>
      <c r="B1083" s="6" t="n">
        <v>45944</v>
      </c>
      <c r="C1083" t="n">
        <v>16577</v>
      </c>
      <c r="D1083" t="inlineStr">
        <is>
          <t>Chennai</t>
        </is>
      </c>
      <c r="E1083" t="inlineStr">
        <is>
          <t>South</t>
        </is>
      </c>
      <c r="F1083" t="inlineStr">
        <is>
          <t>Referral</t>
        </is>
      </c>
      <c r="G1083" t="inlineStr">
        <is>
          <t>Desktop</t>
        </is>
      </c>
      <c r="H1083" t="inlineStr">
        <is>
          <t>Credit Card</t>
        </is>
      </c>
      <c r="I1083" t="inlineStr">
        <is>
          <t>Delivered</t>
        </is>
      </c>
      <c r="J1083" t="n">
        <v>116</v>
      </c>
      <c r="K1083" t="n">
        <v>1</v>
      </c>
      <c r="L1083" s="7" t="n">
        <v>2624</v>
      </c>
      <c r="M1083" s="7" t="n">
        <v>262.4</v>
      </c>
    </row>
    <row r="1084">
      <c r="A1084" t="n">
        <v>509879</v>
      </c>
      <c r="B1084" s="6" t="n">
        <v>45944</v>
      </c>
      <c r="C1084" t="n">
        <v>16577</v>
      </c>
      <c r="D1084" t="inlineStr">
        <is>
          <t>Chennai</t>
        </is>
      </c>
      <c r="E1084" t="inlineStr">
        <is>
          <t>South</t>
        </is>
      </c>
      <c r="F1084" t="inlineStr">
        <is>
          <t>Referral</t>
        </is>
      </c>
      <c r="G1084" t="inlineStr">
        <is>
          <t>Desktop</t>
        </is>
      </c>
      <c r="H1084" t="inlineStr">
        <is>
          <t>Credit Card</t>
        </is>
      </c>
      <c r="I1084" t="inlineStr">
        <is>
          <t>Delivered</t>
        </is>
      </c>
      <c r="J1084" t="n">
        <v>129</v>
      </c>
      <c r="K1084" t="n">
        <v>1</v>
      </c>
      <c r="L1084" s="7" t="n">
        <v>576</v>
      </c>
      <c r="M1084" s="7" t="n">
        <v>57.6</v>
      </c>
    </row>
    <row r="1085">
      <c r="A1085" t="n">
        <v>509880</v>
      </c>
      <c r="B1085" s="6" t="n">
        <v>45944</v>
      </c>
      <c r="C1085" t="n">
        <v>16738</v>
      </c>
      <c r="D1085" t="inlineStr">
        <is>
          <t>Delhi</t>
        </is>
      </c>
      <c r="E1085" t="inlineStr">
        <is>
          <t>North</t>
        </is>
      </c>
      <c r="F1085" t="inlineStr">
        <is>
          <t>Affiliate</t>
        </is>
      </c>
      <c r="G1085" t="inlineStr">
        <is>
          <t>Mobile App</t>
        </is>
      </c>
      <c r="H1085" t="inlineStr">
        <is>
          <t>UPI</t>
        </is>
      </c>
      <c r="I1085" t="inlineStr">
        <is>
          <t>Delivered</t>
        </is>
      </c>
      <c r="J1085" t="n">
        <v>141</v>
      </c>
      <c r="K1085" t="n">
        <v>1</v>
      </c>
      <c r="L1085" s="7" t="n">
        <v>261</v>
      </c>
      <c r="M1085" s="7" t="n">
        <v>39.15</v>
      </c>
    </row>
    <row r="1086">
      <c r="A1086" t="n">
        <v>509880</v>
      </c>
      <c r="B1086" s="6" t="n">
        <v>45944</v>
      </c>
      <c r="C1086" t="n">
        <v>16738</v>
      </c>
      <c r="D1086" t="inlineStr">
        <is>
          <t>Delhi</t>
        </is>
      </c>
      <c r="E1086" t="inlineStr">
        <is>
          <t>North</t>
        </is>
      </c>
      <c r="F1086" t="inlineStr">
        <is>
          <t>Affiliate</t>
        </is>
      </c>
      <c r="G1086" t="inlineStr">
        <is>
          <t>Mobile App</t>
        </is>
      </c>
      <c r="H1086" t="inlineStr">
        <is>
          <t>UPI</t>
        </is>
      </c>
      <c r="I1086" t="inlineStr">
        <is>
          <t>Delivered</t>
        </is>
      </c>
      <c r="J1086" t="n">
        <v>147</v>
      </c>
      <c r="K1086" t="n">
        <v>1</v>
      </c>
      <c r="L1086" s="7" t="n">
        <v>1364</v>
      </c>
      <c r="M1086" s="7" t="n">
        <v>204.6</v>
      </c>
    </row>
    <row r="1087">
      <c r="A1087" t="n">
        <v>509881</v>
      </c>
      <c r="B1087" s="6" t="n">
        <v>45944</v>
      </c>
      <c r="C1087" t="n">
        <v>16571</v>
      </c>
      <c r="D1087" t="inlineStr">
        <is>
          <t>Delhi</t>
        </is>
      </c>
      <c r="E1087" t="inlineStr">
        <is>
          <t>North</t>
        </is>
      </c>
      <c r="F1087" t="inlineStr">
        <is>
          <t>Organic Search</t>
        </is>
      </c>
      <c r="G1087" t="inlineStr">
        <is>
          <t>Mobile App</t>
        </is>
      </c>
      <c r="H1087" t="inlineStr">
        <is>
          <t>Cash on Delivery</t>
        </is>
      </c>
      <c r="I1087" t="inlineStr">
        <is>
          <t>Delivered</t>
        </is>
      </c>
      <c r="J1087" t="n">
        <v>132</v>
      </c>
      <c r="K1087" t="n">
        <v>1</v>
      </c>
      <c r="L1087" s="7" t="n">
        <v>471</v>
      </c>
      <c r="M1087" s="7" t="n">
        <v>0</v>
      </c>
    </row>
    <row r="1088">
      <c r="A1088" t="n">
        <v>509882</v>
      </c>
      <c r="B1088" s="6" t="n">
        <v>45944</v>
      </c>
      <c r="C1088" t="n">
        <v>15738</v>
      </c>
      <c r="D1088" t="inlineStr">
        <is>
          <t>Delhi</t>
        </is>
      </c>
      <c r="E1088" t="inlineStr">
        <is>
          <t>North</t>
        </is>
      </c>
      <c r="F1088" t="inlineStr">
        <is>
          <t>Organic Search</t>
        </is>
      </c>
      <c r="G1088" t="inlineStr">
        <is>
          <t>Mobile Web</t>
        </is>
      </c>
      <c r="H1088" t="inlineStr">
        <is>
          <t>UPI</t>
        </is>
      </c>
      <c r="I1088" t="inlineStr">
        <is>
          <t>Delivered</t>
        </is>
      </c>
      <c r="J1088" t="n">
        <v>104</v>
      </c>
      <c r="K1088" t="n">
        <v>1</v>
      </c>
      <c r="L1088" s="7" t="n">
        <v>5249</v>
      </c>
      <c r="M1088" s="7" t="n">
        <v>0</v>
      </c>
    </row>
    <row r="1089">
      <c r="A1089" t="n">
        <v>509882</v>
      </c>
      <c r="B1089" s="6" t="n">
        <v>45944</v>
      </c>
      <c r="C1089" t="n">
        <v>15738</v>
      </c>
      <c r="D1089" t="inlineStr">
        <is>
          <t>Delhi</t>
        </is>
      </c>
      <c r="E1089" t="inlineStr">
        <is>
          <t>North</t>
        </is>
      </c>
      <c r="F1089" t="inlineStr">
        <is>
          <t>Organic Search</t>
        </is>
      </c>
      <c r="G1089" t="inlineStr">
        <is>
          <t>Mobile Web</t>
        </is>
      </c>
      <c r="H1089" t="inlineStr">
        <is>
          <t>UPI</t>
        </is>
      </c>
      <c r="I1089" t="inlineStr">
        <is>
          <t>Delivered</t>
        </is>
      </c>
      <c r="J1089" t="n">
        <v>118</v>
      </c>
      <c r="K1089" t="n">
        <v>2</v>
      </c>
      <c r="L1089" s="7" t="n">
        <v>944</v>
      </c>
      <c r="M1089" s="7" t="n">
        <v>0</v>
      </c>
    </row>
    <row r="1090">
      <c r="A1090" t="n">
        <v>509882</v>
      </c>
      <c r="B1090" s="6" t="n">
        <v>45944</v>
      </c>
      <c r="C1090" t="n">
        <v>15738</v>
      </c>
      <c r="D1090" t="inlineStr">
        <is>
          <t>Delhi</t>
        </is>
      </c>
      <c r="E1090" t="inlineStr">
        <is>
          <t>North</t>
        </is>
      </c>
      <c r="F1090" t="inlineStr">
        <is>
          <t>Organic Search</t>
        </is>
      </c>
      <c r="G1090" t="inlineStr">
        <is>
          <t>Mobile Web</t>
        </is>
      </c>
      <c r="H1090" t="inlineStr">
        <is>
          <t>UPI</t>
        </is>
      </c>
      <c r="I1090" t="inlineStr">
        <is>
          <t>Delivered</t>
        </is>
      </c>
      <c r="J1090" t="n">
        <v>129</v>
      </c>
      <c r="K1090" t="n">
        <v>1</v>
      </c>
      <c r="L1090" s="7" t="n">
        <v>576</v>
      </c>
      <c r="M1090" s="7" t="n">
        <v>0</v>
      </c>
    </row>
    <row r="1091">
      <c r="A1091" t="n">
        <v>509883</v>
      </c>
      <c r="B1091" s="6" t="n">
        <v>45944</v>
      </c>
      <c r="C1091" t="n">
        <v>13326</v>
      </c>
      <c r="D1091" t="inlineStr">
        <is>
          <t>Gurugram</t>
        </is>
      </c>
      <c r="E1091" t="inlineStr">
        <is>
          <t>North</t>
        </is>
      </c>
      <c r="F1091" t="inlineStr">
        <is>
          <t>Email</t>
        </is>
      </c>
      <c r="G1091" t="inlineStr">
        <is>
          <t>Mobile App</t>
        </is>
      </c>
      <c r="H1091" t="inlineStr">
        <is>
          <t>Credit Card</t>
        </is>
      </c>
      <c r="I1091" t="inlineStr">
        <is>
          <t>Delivered</t>
        </is>
      </c>
      <c r="J1091" t="n">
        <v>114</v>
      </c>
      <c r="K1091" t="n">
        <v>2</v>
      </c>
      <c r="L1091" s="7" t="n">
        <v>1259</v>
      </c>
      <c r="M1091" s="7" t="n">
        <v>251.8</v>
      </c>
    </row>
    <row r="1092">
      <c r="A1092" t="n">
        <v>509883</v>
      </c>
      <c r="B1092" s="6" t="n">
        <v>45944</v>
      </c>
      <c r="C1092" t="n">
        <v>13326</v>
      </c>
      <c r="D1092" t="inlineStr">
        <is>
          <t>Gurugram</t>
        </is>
      </c>
      <c r="E1092" t="inlineStr">
        <is>
          <t>North</t>
        </is>
      </c>
      <c r="F1092" t="inlineStr">
        <is>
          <t>Email</t>
        </is>
      </c>
      <c r="G1092" t="inlineStr">
        <is>
          <t>Mobile App</t>
        </is>
      </c>
      <c r="H1092" t="inlineStr">
        <is>
          <t>Credit Card</t>
        </is>
      </c>
      <c r="I1092" t="inlineStr">
        <is>
          <t>Delivered</t>
        </is>
      </c>
      <c r="J1092" t="n">
        <v>102</v>
      </c>
      <c r="K1092" t="n">
        <v>1</v>
      </c>
      <c r="L1092" s="7" t="n">
        <v>3674</v>
      </c>
      <c r="M1092" s="7" t="n">
        <v>367.4</v>
      </c>
    </row>
    <row r="1093">
      <c r="A1093" t="n">
        <v>509883</v>
      </c>
      <c r="B1093" s="6" t="n">
        <v>45944</v>
      </c>
      <c r="C1093" t="n">
        <v>13326</v>
      </c>
      <c r="D1093" t="inlineStr">
        <is>
          <t>Gurugram</t>
        </is>
      </c>
      <c r="E1093" t="inlineStr">
        <is>
          <t>North</t>
        </is>
      </c>
      <c r="F1093" t="inlineStr">
        <is>
          <t>Email</t>
        </is>
      </c>
      <c r="G1093" t="inlineStr">
        <is>
          <t>Mobile App</t>
        </is>
      </c>
      <c r="H1093" t="inlineStr">
        <is>
          <t>Credit Card</t>
        </is>
      </c>
      <c r="I1093" t="inlineStr">
        <is>
          <t>Delivered</t>
        </is>
      </c>
      <c r="J1093" t="n">
        <v>123</v>
      </c>
      <c r="K1093" t="n">
        <v>1</v>
      </c>
      <c r="L1093" s="7" t="n">
        <v>3464</v>
      </c>
      <c r="M1093" s="7" t="n">
        <v>346.4</v>
      </c>
    </row>
    <row r="1094">
      <c r="A1094" t="n">
        <v>509883</v>
      </c>
      <c r="B1094" s="6" t="n">
        <v>45944</v>
      </c>
      <c r="C1094" t="n">
        <v>13326</v>
      </c>
      <c r="D1094" t="inlineStr">
        <is>
          <t>Gurugram</t>
        </is>
      </c>
      <c r="E1094" t="inlineStr">
        <is>
          <t>North</t>
        </is>
      </c>
      <c r="F1094" t="inlineStr">
        <is>
          <t>Email</t>
        </is>
      </c>
      <c r="G1094" t="inlineStr">
        <is>
          <t>Mobile App</t>
        </is>
      </c>
      <c r="H1094" t="inlineStr">
        <is>
          <t>Credit Card</t>
        </is>
      </c>
      <c r="I1094" t="inlineStr">
        <is>
          <t>Delivered</t>
        </is>
      </c>
      <c r="J1094" t="n">
        <v>112</v>
      </c>
      <c r="K1094" t="n">
        <v>2</v>
      </c>
      <c r="L1094" s="7" t="n">
        <v>1574</v>
      </c>
      <c r="M1094" s="7" t="n">
        <v>314.8</v>
      </c>
    </row>
    <row r="1095">
      <c r="A1095" t="n">
        <v>509884</v>
      </c>
      <c r="B1095" s="6" t="n">
        <v>45944</v>
      </c>
      <c r="C1095" t="n">
        <v>12367</v>
      </c>
      <c r="D1095" t="inlineStr">
        <is>
          <t>Bengaluru</t>
        </is>
      </c>
      <c r="E1095" t="inlineStr">
        <is>
          <t>South</t>
        </is>
      </c>
      <c r="F1095" t="inlineStr">
        <is>
          <t>Paid Social</t>
        </is>
      </c>
      <c r="G1095" t="inlineStr">
        <is>
          <t>Mobile App</t>
        </is>
      </c>
      <c r="H1095" t="inlineStr">
        <is>
          <t>Credit Card</t>
        </is>
      </c>
      <c r="I1095" t="inlineStr">
        <is>
          <t>Delivered</t>
        </is>
      </c>
      <c r="J1095" t="n">
        <v>130</v>
      </c>
      <c r="K1095" t="n">
        <v>1</v>
      </c>
      <c r="L1095" s="7" t="n">
        <v>734</v>
      </c>
      <c r="M1095" s="7" t="n">
        <v>73.40000000000001</v>
      </c>
    </row>
    <row r="1096">
      <c r="A1096" t="n">
        <v>509885</v>
      </c>
      <c r="B1096" s="6" t="n">
        <v>45944</v>
      </c>
      <c r="C1096" t="n">
        <v>13926</v>
      </c>
      <c r="D1096" t="inlineStr">
        <is>
          <t>Kolkata</t>
        </is>
      </c>
      <c r="E1096" t="inlineStr">
        <is>
          <t>East</t>
        </is>
      </c>
      <c r="F1096" t="inlineStr">
        <is>
          <t>Referral</t>
        </is>
      </c>
      <c r="G1096" t="inlineStr">
        <is>
          <t>Mobile App</t>
        </is>
      </c>
      <c r="H1096" t="inlineStr">
        <is>
          <t>UPI</t>
        </is>
      </c>
      <c r="I1096" t="inlineStr">
        <is>
          <t>Returned</t>
        </is>
      </c>
      <c r="J1096" t="n">
        <v>126</v>
      </c>
      <c r="K1096" t="n">
        <v>1</v>
      </c>
      <c r="L1096" s="7" t="n">
        <v>471</v>
      </c>
      <c r="M1096" s="7" t="n">
        <v>47.1</v>
      </c>
    </row>
    <row r="1097">
      <c r="A1097" t="n">
        <v>509885</v>
      </c>
      <c r="B1097" s="6" t="n">
        <v>45944</v>
      </c>
      <c r="C1097" t="n">
        <v>13926</v>
      </c>
      <c r="D1097" t="inlineStr">
        <is>
          <t>Kolkata</t>
        </is>
      </c>
      <c r="E1097" t="inlineStr">
        <is>
          <t>East</t>
        </is>
      </c>
      <c r="F1097" t="inlineStr">
        <is>
          <t>Referral</t>
        </is>
      </c>
      <c r="G1097" t="inlineStr">
        <is>
          <t>Mobile App</t>
        </is>
      </c>
      <c r="H1097" t="inlineStr">
        <is>
          <t>UPI</t>
        </is>
      </c>
      <c r="I1097" t="inlineStr">
        <is>
          <t>Returned</t>
        </is>
      </c>
      <c r="J1097" t="n">
        <v>111</v>
      </c>
      <c r="K1097" t="n">
        <v>1</v>
      </c>
      <c r="L1097" s="7" t="n">
        <v>524</v>
      </c>
      <c r="M1097" s="7" t="n">
        <v>52.4</v>
      </c>
    </row>
    <row r="1098">
      <c r="A1098" t="n">
        <v>509885</v>
      </c>
      <c r="B1098" s="6" t="n">
        <v>45944</v>
      </c>
      <c r="C1098" t="n">
        <v>13926</v>
      </c>
      <c r="D1098" t="inlineStr">
        <is>
          <t>Kolkata</t>
        </is>
      </c>
      <c r="E1098" t="inlineStr">
        <is>
          <t>East</t>
        </is>
      </c>
      <c r="F1098" t="inlineStr">
        <is>
          <t>Referral</t>
        </is>
      </c>
      <c r="G1098" t="inlineStr">
        <is>
          <t>Mobile App</t>
        </is>
      </c>
      <c r="H1098" t="inlineStr">
        <is>
          <t>UPI</t>
        </is>
      </c>
      <c r="I1098" t="inlineStr">
        <is>
          <t>Returned</t>
        </is>
      </c>
      <c r="J1098" t="n">
        <v>129</v>
      </c>
      <c r="K1098" t="n">
        <v>1</v>
      </c>
      <c r="L1098" s="7" t="n">
        <v>576</v>
      </c>
      <c r="M1098" s="7" t="n">
        <v>57.6</v>
      </c>
    </row>
    <row r="1099">
      <c r="A1099" t="n">
        <v>509886</v>
      </c>
      <c r="B1099" s="6" t="n">
        <v>45944</v>
      </c>
      <c r="C1099" t="n">
        <v>16677</v>
      </c>
      <c r="D1099" t="inlineStr">
        <is>
          <t>Hyderabad</t>
        </is>
      </c>
      <c r="E1099" t="inlineStr">
        <is>
          <t>South</t>
        </is>
      </c>
      <c r="F1099" t="inlineStr">
        <is>
          <t>Paid Social</t>
        </is>
      </c>
      <c r="G1099" t="inlineStr">
        <is>
          <t>Desktop</t>
        </is>
      </c>
      <c r="H1099" t="inlineStr">
        <is>
          <t>Credit Card</t>
        </is>
      </c>
      <c r="I1099" t="inlineStr">
        <is>
          <t>Delivered</t>
        </is>
      </c>
      <c r="J1099" t="n">
        <v>107</v>
      </c>
      <c r="K1099" t="n">
        <v>2</v>
      </c>
      <c r="L1099" s="7" t="n">
        <v>1259</v>
      </c>
      <c r="M1099" s="7" t="n">
        <v>0</v>
      </c>
    </row>
    <row r="1100">
      <c r="A1100" t="n">
        <v>509886</v>
      </c>
      <c r="B1100" s="6" t="n">
        <v>45944</v>
      </c>
      <c r="C1100" t="n">
        <v>16677</v>
      </c>
      <c r="D1100" t="inlineStr">
        <is>
          <t>Hyderabad</t>
        </is>
      </c>
      <c r="E1100" t="inlineStr">
        <is>
          <t>South</t>
        </is>
      </c>
      <c r="F1100" t="inlineStr">
        <is>
          <t>Paid Social</t>
        </is>
      </c>
      <c r="G1100" t="inlineStr">
        <is>
          <t>Desktop</t>
        </is>
      </c>
      <c r="H1100" t="inlineStr">
        <is>
          <t>Credit Card</t>
        </is>
      </c>
      <c r="I1100" t="inlineStr">
        <is>
          <t>Delivered</t>
        </is>
      </c>
      <c r="J1100" t="n">
        <v>129</v>
      </c>
      <c r="K1100" t="n">
        <v>1</v>
      </c>
      <c r="L1100" s="7" t="n">
        <v>576</v>
      </c>
      <c r="M1100" s="7" t="n">
        <v>0</v>
      </c>
    </row>
    <row r="1101">
      <c r="A1101" t="n">
        <v>509887</v>
      </c>
      <c r="B1101" s="6" t="n">
        <v>45944</v>
      </c>
      <c r="C1101" t="n">
        <v>15362</v>
      </c>
      <c r="D1101" t="inlineStr">
        <is>
          <t>Mumbai</t>
        </is>
      </c>
      <c r="E1101" t="inlineStr">
        <is>
          <t>West</t>
        </is>
      </c>
      <c r="F1101" t="inlineStr">
        <is>
          <t>Paid Search</t>
        </is>
      </c>
      <c r="G1101" t="inlineStr">
        <is>
          <t>Mobile App</t>
        </is>
      </c>
      <c r="H1101" t="inlineStr">
        <is>
          <t>Cash on Delivery</t>
        </is>
      </c>
      <c r="I1101" t="inlineStr">
        <is>
          <t>Delivered</t>
        </is>
      </c>
      <c r="J1101" t="n">
        <v>123</v>
      </c>
      <c r="K1101" t="n">
        <v>1</v>
      </c>
      <c r="L1101" s="7" t="n">
        <v>3464</v>
      </c>
      <c r="M1101" s="7" t="n">
        <v>0</v>
      </c>
    </row>
    <row r="1102">
      <c r="A1102" t="n">
        <v>509888</v>
      </c>
      <c r="B1102" s="6" t="n">
        <v>45944</v>
      </c>
      <c r="C1102" t="n">
        <v>16777</v>
      </c>
      <c r="D1102" t="inlineStr">
        <is>
          <t>Noida</t>
        </is>
      </c>
      <c r="E1102" t="inlineStr">
        <is>
          <t>North</t>
        </is>
      </c>
      <c r="F1102" t="inlineStr">
        <is>
          <t>Referral</t>
        </is>
      </c>
      <c r="G1102" t="inlineStr">
        <is>
          <t>Mobile App</t>
        </is>
      </c>
      <c r="H1102" t="inlineStr">
        <is>
          <t>UPI</t>
        </is>
      </c>
      <c r="I1102" t="inlineStr">
        <is>
          <t>Delivered</t>
        </is>
      </c>
      <c r="J1102" t="n">
        <v>118</v>
      </c>
      <c r="K1102" t="n">
        <v>3</v>
      </c>
      <c r="L1102" s="7" t="n">
        <v>944</v>
      </c>
      <c r="M1102" s="7" t="n">
        <v>283.2</v>
      </c>
    </row>
    <row r="1103">
      <c r="A1103" t="n">
        <v>509889</v>
      </c>
      <c r="B1103" s="6" t="n">
        <v>45944</v>
      </c>
      <c r="C1103" t="n">
        <v>15441</v>
      </c>
      <c r="D1103" t="inlineStr">
        <is>
          <t>Chandigarh</t>
        </is>
      </c>
      <c r="E1103" t="inlineStr">
        <is>
          <t>North</t>
        </is>
      </c>
      <c r="F1103" t="inlineStr">
        <is>
          <t>Referral</t>
        </is>
      </c>
      <c r="G1103" t="inlineStr">
        <is>
          <t>Mobile Web</t>
        </is>
      </c>
      <c r="H1103" t="inlineStr">
        <is>
          <t>Debit Card</t>
        </is>
      </c>
      <c r="I1103" t="inlineStr">
        <is>
          <t>Delivered</t>
        </is>
      </c>
      <c r="J1103" t="n">
        <v>109</v>
      </c>
      <c r="K1103" t="n">
        <v>1</v>
      </c>
      <c r="L1103" s="7" t="n">
        <v>4199</v>
      </c>
      <c r="M1103" s="7" t="n">
        <v>419.9</v>
      </c>
    </row>
    <row r="1104">
      <c r="A1104" t="n">
        <v>509890</v>
      </c>
      <c r="B1104" s="6" t="n">
        <v>45944</v>
      </c>
      <c r="C1104" t="n">
        <v>10007</v>
      </c>
      <c r="D1104" t="inlineStr">
        <is>
          <t>Chennai</t>
        </is>
      </c>
      <c r="E1104" t="inlineStr">
        <is>
          <t>South</t>
        </is>
      </c>
      <c r="F1104" t="inlineStr">
        <is>
          <t>Organic Search</t>
        </is>
      </c>
      <c r="G1104" t="inlineStr">
        <is>
          <t>Desktop</t>
        </is>
      </c>
      <c r="H1104" t="inlineStr">
        <is>
          <t>Credit Card</t>
        </is>
      </c>
      <c r="I1104" t="inlineStr">
        <is>
          <t>Delivered</t>
        </is>
      </c>
      <c r="J1104" t="n">
        <v>111</v>
      </c>
      <c r="K1104" t="n">
        <v>1</v>
      </c>
      <c r="L1104" s="7" t="n">
        <v>524</v>
      </c>
      <c r="M1104" s="7" t="n">
        <v>0</v>
      </c>
    </row>
    <row r="1105">
      <c r="A1105" t="n">
        <v>509891</v>
      </c>
      <c r="B1105" s="6" t="n">
        <v>45944</v>
      </c>
      <c r="C1105" t="n">
        <v>11604</v>
      </c>
      <c r="D1105" t="inlineStr">
        <is>
          <t>Pune</t>
        </is>
      </c>
      <c r="E1105" t="inlineStr">
        <is>
          <t>West</t>
        </is>
      </c>
      <c r="F1105" t="inlineStr">
        <is>
          <t>Paid Social</t>
        </is>
      </c>
      <c r="G1105" t="inlineStr">
        <is>
          <t>Mobile App</t>
        </is>
      </c>
      <c r="H1105" t="inlineStr">
        <is>
          <t>UPI</t>
        </is>
      </c>
      <c r="I1105" t="inlineStr">
        <is>
          <t>Delivered</t>
        </is>
      </c>
      <c r="J1105" t="n">
        <v>113</v>
      </c>
      <c r="K1105" t="n">
        <v>1</v>
      </c>
      <c r="L1105" s="7" t="n">
        <v>1364</v>
      </c>
      <c r="M1105" s="7" t="n">
        <v>136.4</v>
      </c>
    </row>
    <row r="1106">
      <c r="A1106" t="n">
        <v>509891</v>
      </c>
      <c r="B1106" s="6" t="n">
        <v>45944</v>
      </c>
      <c r="C1106" t="n">
        <v>11604</v>
      </c>
      <c r="D1106" t="inlineStr">
        <is>
          <t>Pune</t>
        </is>
      </c>
      <c r="E1106" t="inlineStr">
        <is>
          <t>West</t>
        </is>
      </c>
      <c r="F1106" t="inlineStr">
        <is>
          <t>Paid Social</t>
        </is>
      </c>
      <c r="G1106" t="inlineStr">
        <is>
          <t>Mobile App</t>
        </is>
      </c>
      <c r="H1106" t="inlineStr">
        <is>
          <t>UPI</t>
        </is>
      </c>
      <c r="I1106" t="inlineStr">
        <is>
          <t>Delivered</t>
        </is>
      </c>
      <c r="J1106" t="n">
        <v>129</v>
      </c>
      <c r="K1106" t="n">
        <v>1</v>
      </c>
      <c r="L1106" s="7" t="n">
        <v>576</v>
      </c>
      <c r="M1106" s="7" t="n">
        <v>57.6</v>
      </c>
    </row>
    <row r="1107">
      <c r="A1107" t="n">
        <v>509892</v>
      </c>
      <c r="B1107" s="6" t="n">
        <v>45944</v>
      </c>
      <c r="C1107" t="n">
        <v>12286</v>
      </c>
      <c r="D1107" t="inlineStr">
        <is>
          <t>Delhi</t>
        </is>
      </c>
      <c r="E1107" t="inlineStr">
        <is>
          <t>North</t>
        </is>
      </c>
      <c r="F1107" t="inlineStr">
        <is>
          <t>Affiliate</t>
        </is>
      </c>
      <c r="G1107" t="inlineStr">
        <is>
          <t>Desktop</t>
        </is>
      </c>
      <c r="H1107" t="inlineStr">
        <is>
          <t>UPI</t>
        </is>
      </c>
      <c r="I1107" t="inlineStr">
        <is>
          <t>Delivered</t>
        </is>
      </c>
      <c r="J1107" t="n">
        <v>129</v>
      </c>
      <c r="K1107" t="n">
        <v>1</v>
      </c>
      <c r="L1107" s="7" t="n">
        <v>576</v>
      </c>
      <c r="M1107" s="7" t="n">
        <v>57.6</v>
      </c>
    </row>
    <row r="1108">
      <c r="A1108" t="n">
        <v>509892</v>
      </c>
      <c r="B1108" s="6" t="n">
        <v>45944</v>
      </c>
      <c r="C1108" t="n">
        <v>12286</v>
      </c>
      <c r="D1108" t="inlineStr">
        <is>
          <t>Delhi</t>
        </is>
      </c>
      <c r="E1108" t="inlineStr">
        <is>
          <t>North</t>
        </is>
      </c>
      <c r="F1108" t="inlineStr">
        <is>
          <t>Affiliate</t>
        </is>
      </c>
      <c r="G1108" t="inlineStr">
        <is>
          <t>Desktop</t>
        </is>
      </c>
      <c r="H1108" t="inlineStr">
        <is>
          <t>UPI</t>
        </is>
      </c>
      <c r="I1108" t="inlineStr">
        <is>
          <t>Delivered</t>
        </is>
      </c>
      <c r="J1108" t="n">
        <v>137</v>
      </c>
      <c r="K1108" t="n">
        <v>1</v>
      </c>
      <c r="L1108" s="7" t="n">
        <v>261</v>
      </c>
      <c r="M1108" s="7" t="n">
        <v>26.1</v>
      </c>
    </row>
    <row r="1109">
      <c r="A1109" t="n">
        <v>509893</v>
      </c>
      <c r="B1109" s="6" t="n">
        <v>45944</v>
      </c>
      <c r="C1109" t="n">
        <v>14577</v>
      </c>
      <c r="D1109" t="inlineStr">
        <is>
          <t>Mumbai</t>
        </is>
      </c>
      <c r="E1109" t="inlineStr">
        <is>
          <t>West</t>
        </is>
      </c>
      <c r="F1109" t="inlineStr">
        <is>
          <t>Paid Search</t>
        </is>
      </c>
      <c r="G1109" t="inlineStr">
        <is>
          <t>Mobile Web</t>
        </is>
      </c>
      <c r="H1109" t="inlineStr">
        <is>
          <t>UPI</t>
        </is>
      </c>
      <c r="I1109" t="inlineStr">
        <is>
          <t>Delivered</t>
        </is>
      </c>
      <c r="J1109" t="n">
        <v>135</v>
      </c>
      <c r="K1109" t="n">
        <v>1</v>
      </c>
      <c r="L1109" s="7" t="n">
        <v>1574</v>
      </c>
      <c r="M1109" s="7" t="n">
        <v>0</v>
      </c>
    </row>
    <row r="1110">
      <c r="A1110" t="n">
        <v>509894</v>
      </c>
      <c r="B1110" s="6" t="n">
        <v>45944</v>
      </c>
      <c r="C1110" t="n">
        <v>14712</v>
      </c>
      <c r="D1110" t="inlineStr">
        <is>
          <t>Chennai</t>
        </is>
      </c>
      <c r="E1110" t="inlineStr">
        <is>
          <t>South</t>
        </is>
      </c>
      <c r="F1110" t="inlineStr">
        <is>
          <t>Affiliate</t>
        </is>
      </c>
      <c r="G1110" t="inlineStr">
        <is>
          <t>Mobile Web</t>
        </is>
      </c>
      <c r="H1110" t="inlineStr">
        <is>
          <t>Credit Card</t>
        </is>
      </c>
      <c r="I1110" t="inlineStr">
        <is>
          <t>Delivered</t>
        </is>
      </c>
      <c r="J1110" t="n">
        <v>118</v>
      </c>
      <c r="K1110" t="n">
        <v>2</v>
      </c>
      <c r="L1110" s="7" t="n">
        <v>944</v>
      </c>
      <c r="M1110" s="7" t="n">
        <v>188.8</v>
      </c>
    </row>
    <row r="1111">
      <c r="A1111" t="n">
        <v>509895</v>
      </c>
      <c r="B1111" s="6" t="n">
        <v>45944</v>
      </c>
      <c r="C1111" t="n">
        <v>11967</v>
      </c>
      <c r="D1111" t="inlineStr">
        <is>
          <t>Mumbai</t>
        </is>
      </c>
      <c r="E1111" t="inlineStr">
        <is>
          <t>West</t>
        </is>
      </c>
      <c r="F1111" t="inlineStr">
        <is>
          <t>Organic Search</t>
        </is>
      </c>
      <c r="G1111" t="inlineStr">
        <is>
          <t>Mobile Web</t>
        </is>
      </c>
      <c r="H1111" t="inlineStr">
        <is>
          <t>UPI</t>
        </is>
      </c>
      <c r="I1111" t="inlineStr">
        <is>
          <t>Delivered</t>
        </is>
      </c>
      <c r="J1111" t="n">
        <v>119</v>
      </c>
      <c r="K1111" t="n">
        <v>1</v>
      </c>
      <c r="L1111" s="7" t="n">
        <v>2309</v>
      </c>
      <c r="M1111" s="7" t="n">
        <v>0</v>
      </c>
    </row>
    <row r="1112">
      <c r="A1112" t="n">
        <v>509895</v>
      </c>
      <c r="B1112" s="6" t="n">
        <v>45944</v>
      </c>
      <c r="C1112" t="n">
        <v>11967</v>
      </c>
      <c r="D1112" t="inlineStr">
        <is>
          <t>Mumbai</t>
        </is>
      </c>
      <c r="E1112" t="inlineStr">
        <is>
          <t>West</t>
        </is>
      </c>
      <c r="F1112" t="inlineStr">
        <is>
          <t>Organic Search</t>
        </is>
      </c>
      <c r="G1112" t="inlineStr">
        <is>
          <t>Mobile Web</t>
        </is>
      </c>
      <c r="H1112" t="inlineStr">
        <is>
          <t>UPI</t>
        </is>
      </c>
      <c r="I1112" t="inlineStr">
        <is>
          <t>Delivered</t>
        </is>
      </c>
      <c r="J1112" t="n">
        <v>103</v>
      </c>
      <c r="K1112" t="n">
        <v>1</v>
      </c>
      <c r="L1112" s="7" t="n">
        <v>2624</v>
      </c>
      <c r="M1112" s="7" t="n">
        <v>0</v>
      </c>
    </row>
    <row r="1113">
      <c r="A1113" t="n">
        <v>509896</v>
      </c>
      <c r="B1113" s="6" t="n">
        <v>45944</v>
      </c>
      <c r="C1113" t="n">
        <v>16805</v>
      </c>
      <c r="D1113" t="inlineStr">
        <is>
          <t>Mumbai</t>
        </is>
      </c>
      <c r="E1113" t="inlineStr">
        <is>
          <t>West</t>
        </is>
      </c>
      <c r="F1113" t="inlineStr">
        <is>
          <t>Referral</t>
        </is>
      </c>
      <c r="G1113" t="inlineStr">
        <is>
          <t>Mobile App</t>
        </is>
      </c>
      <c r="H1113" t="inlineStr">
        <is>
          <t>Cash on Delivery</t>
        </is>
      </c>
      <c r="I1113" t="inlineStr">
        <is>
          <t>Returned</t>
        </is>
      </c>
      <c r="J1113" t="n">
        <v>134</v>
      </c>
      <c r="K1113" t="n">
        <v>1</v>
      </c>
      <c r="L1113" s="7" t="n">
        <v>209</v>
      </c>
      <c r="M1113" s="7" t="n">
        <v>20.9</v>
      </c>
    </row>
    <row r="1114">
      <c r="A1114" t="n">
        <v>509896</v>
      </c>
      <c r="B1114" s="6" t="n">
        <v>45944</v>
      </c>
      <c r="C1114" t="n">
        <v>16805</v>
      </c>
      <c r="D1114" t="inlineStr">
        <is>
          <t>Mumbai</t>
        </is>
      </c>
      <c r="E1114" t="inlineStr">
        <is>
          <t>West</t>
        </is>
      </c>
      <c r="F1114" t="inlineStr">
        <is>
          <t>Referral</t>
        </is>
      </c>
      <c r="G1114" t="inlineStr">
        <is>
          <t>Mobile App</t>
        </is>
      </c>
      <c r="H1114" t="inlineStr">
        <is>
          <t>Cash on Delivery</t>
        </is>
      </c>
      <c r="I1114" t="inlineStr">
        <is>
          <t>Returned</t>
        </is>
      </c>
      <c r="J1114" t="n">
        <v>123</v>
      </c>
      <c r="K1114" t="n">
        <v>1</v>
      </c>
      <c r="L1114" s="7" t="n">
        <v>3464</v>
      </c>
      <c r="M1114" s="7" t="n">
        <v>346.4</v>
      </c>
    </row>
    <row r="1115">
      <c r="A1115" t="n">
        <v>509896</v>
      </c>
      <c r="B1115" s="6" t="n">
        <v>45944</v>
      </c>
      <c r="C1115" t="n">
        <v>16805</v>
      </c>
      <c r="D1115" t="inlineStr">
        <is>
          <t>Mumbai</t>
        </is>
      </c>
      <c r="E1115" t="inlineStr">
        <is>
          <t>West</t>
        </is>
      </c>
      <c r="F1115" t="inlineStr">
        <is>
          <t>Referral</t>
        </is>
      </c>
      <c r="G1115" t="inlineStr">
        <is>
          <t>Mobile App</t>
        </is>
      </c>
      <c r="H1115" t="inlineStr">
        <is>
          <t>Cash on Delivery</t>
        </is>
      </c>
      <c r="I1115" t="inlineStr">
        <is>
          <t>Returned</t>
        </is>
      </c>
      <c r="J1115" t="n">
        <v>129</v>
      </c>
      <c r="K1115" t="n">
        <v>1</v>
      </c>
      <c r="L1115" s="7" t="n">
        <v>576</v>
      </c>
      <c r="M1115" s="7" t="n">
        <v>57.6</v>
      </c>
    </row>
    <row r="1116">
      <c r="A1116" t="n">
        <v>509897</v>
      </c>
      <c r="B1116" s="6" t="n">
        <v>45944</v>
      </c>
      <c r="C1116" t="n">
        <v>16814</v>
      </c>
      <c r="D1116" t="inlineStr">
        <is>
          <t>Hyderabad</t>
        </is>
      </c>
      <c r="E1116" t="inlineStr">
        <is>
          <t>South</t>
        </is>
      </c>
      <c r="F1116" t="inlineStr">
        <is>
          <t>Organic Search</t>
        </is>
      </c>
      <c r="G1116" t="inlineStr">
        <is>
          <t>Mobile App</t>
        </is>
      </c>
      <c r="H1116" t="inlineStr">
        <is>
          <t>UPI</t>
        </is>
      </c>
      <c r="I1116" t="inlineStr">
        <is>
          <t>Delivered</t>
        </is>
      </c>
      <c r="J1116" t="n">
        <v>113</v>
      </c>
      <c r="K1116" t="n">
        <v>1</v>
      </c>
      <c r="L1116" s="7" t="n">
        <v>1364</v>
      </c>
      <c r="M1116" s="7" t="n">
        <v>136.4</v>
      </c>
    </row>
    <row r="1117">
      <c r="A1117" t="n">
        <v>509897</v>
      </c>
      <c r="B1117" s="6" t="n">
        <v>45944</v>
      </c>
      <c r="C1117" t="n">
        <v>16814</v>
      </c>
      <c r="D1117" t="inlineStr">
        <is>
          <t>Hyderabad</t>
        </is>
      </c>
      <c r="E1117" t="inlineStr">
        <is>
          <t>South</t>
        </is>
      </c>
      <c r="F1117" t="inlineStr">
        <is>
          <t>Organic Search</t>
        </is>
      </c>
      <c r="G1117" t="inlineStr">
        <is>
          <t>Mobile App</t>
        </is>
      </c>
      <c r="H1117" t="inlineStr">
        <is>
          <t>UPI</t>
        </is>
      </c>
      <c r="I1117" t="inlineStr">
        <is>
          <t>Delivered</t>
        </is>
      </c>
      <c r="J1117" t="n">
        <v>108</v>
      </c>
      <c r="K1117" t="n">
        <v>1</v>
      </c>
      <c r="L1117" s="7" t="n">
        <v>419</v>
      </c>
      <c r="M1117" s="7" t="n">
        <v>41.9</v>
      </c>
    </row>
    <row r="1118">
      <c r="A1118" t="n">
        <v>509898</v>
      </c>
      <c r="B1118" s="6" t="n">
        <v>45944</v>
      </c>
      <c r="C1118" t="n">
        <v>15919</v>
      </c>
      <c r="D1118" t="inlineStr">
        <is>
          <t>Ahmedabad</t>
        </is>
      </c>
      <c r="E1118" t="inlineStr">
        <is>
          <t>West</t>
        </is>
      </c>
      <c r="F1118" t="inlineStr">
        <is>
          <t>Organic Search</t>
        </is>
      </c>
      <c r="G1118" t="inlineStr">
        <is>
          <t>Mobile Web</t>
        </is>
      </c>
      <c r="H1118" t="inlineStr">
        <is>
          <t>UPI</t>
        </is>
      </c>
      <c r="I1118" t="inlineStr">
        <is>
          <t>Delivered</t>
        </is>
      </c>
      <c r="J1118" t="n">
        <v>128</v>
      </c>
      <c r="K1118" t="n">
        <v>1</v>
      </c>
      <c r="L1118" s="7" t="n">
        <v>1049</v>
      </c>
      <c r="M1118" s="7" t="n">
        <v>104.9</v>
      </c>
    </row>
    <row r="1119">
      <c r="A1119" t="n">
        <v>509898</v>
      </c>
      <c r="B1119" s="6" t="n">
        <v>45944</v>
      </c>
      <c r="C1119" t="n">
        <v>15919</v>
      </c>
      <c r="D1119" t="inlineStr">
        <is>
          <t>Ahmedabad</t>
        </is>
      </c>
      <c r="E1119" t="inlineStr">
        <is>
          <t>West</t>
        </is>
      </c>
      <c r="F1119" t="inlineStr">
        <is>
          <t>Organic Search</t>
        </is>
      </c>
      <c r="G1119" t="inlineStr">
        <is>
          <t>Mobile Web</t>
        </is>
      </c>
      <c r="H1119" t="inlineStr">
        <is>
          <t>UPI</t>
        </is>
      </c>
      <c r="I1119" t="inlineStr">
        <is>
          <t>Delivered</t>
        </is>
      </c>
      <c r="J1119" t="n">
        <v>112</v>
      </c>
      <c r="K1119" t="n">
        <v>1</v>
      </c>
      <c r="L1119" s="7" t="n">
        <v>1574</v>
      </c>
      <c r="M1119" s="7" t="n">
        <v>157.4</v>
      </c>
    </row>
    <row r="1120">
      <c r="A1120" t="n">
        <v>509899</v>
      </c>
      <c r="B1120" s="6" t="n">
        <v>45944</v>
      </c>
      <c r="C1120" t="n">
        <v>16757</v>
      </c>
      <c r="D1120" t="inlineStr">
        <is>
          <t>Delhi</t>
        </is>
      </c>
      <c r="E1120" t="inlineStr">
        <is>
          <t>North</t>
        </is>
      </c>
      <c r="F1120" t="inlineStr">
        <is>
          <t>Organic Search</t>
        </is>
      </c>
      <c r="G1120" t="inlineStr">
        <is>
          <t>Mobile App</t>
        </is>
      </c>
      <c r="H1120" t="inlineStr">
        <is>
          <t>UPI</t>
        </is>
      </c>
      <c r="I1120" t="inlineStr">
        <is>
          <t>Delivered</t>
        </is>
      </c>
      <c r="J1120" t="n">
        <v>137</v>
      </c>
      <c r="K1120" t="n">
        <v>1</v>
      </c>
      <c r="L1120" s="7" t="n">
        <v>261</v>
      </c>
      <c r="M1120" s="7" t="n">
        <v>39.15</v>
      </c>
    </row>
    <row r="1121">
      <c r="A1121" t="n">
        <v>509899</v>
      </c>
      <c r="B1121" s="6" t="n">
        <v>45944</v>
      </c>
      <c r="C1121" t="n">
        <v>16757</v>
      </c>
      <c r="D1121" t="inlineStr">
        <is>
          <t>Delhi</t>
        </is>
      </c>
      <c r="E1121" t="inlineStr">
        <is>
          <t>North</t>
        </is>
      </c>
      <c r="F1121" t="inlineStr">
        <is>
          <t>Organic Search</t>
        </is>
      </c>
      <c r="G1121" t="inlineStr">
        <is>
          <t>Mobile App</t>
        </is>
      </c>
      <c r="H1121" t="inlineStr">
        <is>
          <t>UPI</t>
        </is>
      </c>
      <c r="I1121" t="inlineStr">
        <is>
          <t>Delivered</t>
        </is>
      </c>
      <c r="J1121" t="n">
        <v>129</v>
      </c>
      <c r="K1121" t="n">
        <v>2</v>
      </c>
      <c r="L1121" s="7" t="n">
        <v>576</v>
      </c>
      <c r="M1121" s="7" t="n">
        <v>172.8</v>
      </c>
    </row>
    <row r="1122">
      <c r="A1122" t="n">
        <v>509900</v>
      </c>
      <c r="B1122" s="6" t="n">
        <v>45944</v>
      </c>
      <c r="C1122" t="n">
        <v>16697</v>
      </c>
      <c r="D1122" t="inlineStr">
        <is>
          <t>Hyderabad</t>
        </is>
      </c>
      <c r="E1122" t="inlineStr">
        <is>
          <t>South</t>
        </is>
      </c>
      <c r="F1122" t="inlineStr">
        <is>
          <t>Paid Social</t>
        </is>
      </c>
      <c r="G1122" t="inlineStr">
        <is>
          <t>Mobile App</t>
        </is>
      </c>
      <c r="H1122" t="inlineStr">
        <is>
          <t>Credit Card</t>
        </is>
      </c>
      <c r="I1122" t="inlineStr">
        <is>
          <t>Delivered</t>
        </is>
      </c>
      <c r="J1122" t="n">
        <v>148</v>
      </c>
      <c r="K1122" t="n">
        <v>1</v>
      </c>
      <c r="L1122" s="7" t="n">
        <v>734</v>
      </c>
      <c r="M1122" s="7" t="n">
        <v>0</v>
      </c>
    </row>
    <row r="1123">
      <c r="A1123" t="n">
        <v>509900</v>
      </c>
      <c r="B1123" s="6" t="n">
        <v>45944</v>
      </c>
      <c r="C1123" t="n">
        <v>16697</v>
      </c>
      <c r="D1123" t="inlineStr">
        <is>
          <t>Hyderabad</t>
        </is>
      </c>
      <c r="E1123" t="inlineStr">
        <is>
          <t>South</t>
        </is>
      </c>
      <c r="F1123" t="inlineStr">
        <is>
          <t>Paid Social</t>
        </is>
      </c>
      <c r="G1123" t="inlineStr">
        <is>
          <t>Mobile App</t>
        </is>
      </c>
      <c r="H1123" t="inlineStr">
        <is>
          <t>Credit Card</t>
        </is>
      </c>
      <c r="I1123" t="inlineStr">
        <is>
          <t>Delivered</t>
        </is>
      </c>
      <c r="J1123" t="n">
        <v>131</v>
      </c>
      <c r="K1123" t="n">
        <v>1</v>
      </c>
      <c r="L1123" s="7" t="n">
        <v>314</v>
      </c>
      <c r="M1123" s="7" t="n">
        <v>0</v>
      </c>
    </row>
    <row r="1124">
      <c r="A1124" t="n">
        <v>509900</v>
      </c>
      <c r="B1124" s="6" t="n">
        <v>45944</v>
      </c>
      <c r="C1124" t="n">
        <v>16697</v>
      </c>
      <c r="D1124" t="inlineStr">
        <is>
          <t>Hyderabad</t>
        </is>
      </c>
      <c r="E1124" t="inlineStr">
        <is>
          <t>South</t>
        </is>
      </c>
      <c r="F1124" t="inlineStr">
        <is>
          <t>Paid Social</t>
        </is>
      </c>
      <c r="G1124" t="inlineStr">
        <is>
          <t>Mobile App</t>
        </is>
      </c>
      <c r="H1124" t="inlineStr">
        <is>
          <t>Credit Card</t>
        </is>
      </c>
      <c r="I1124" t="inlineStr">
        <is>
          <t>Delivered</t>
        </is>
      </c>
      <c r="J1124" t="n">
        <v>111</v>
      </c>
      <c r="K1124" t="n">
        <v>1</v>
      </c>
      <c r="L1124" s="7" t="n">
        <v>524</v>
      </c>
      <c r="M1124" s="7" t="n">
        <v>0</v>
      </c>
    </row>
    <row r="1125">
      <c r="A1125" t="n">
        <v>509901</v>
      </c>
      <c r="B1125" s="6" t="n">
        <v>45944</v>
      </c>
      <c r="C1125" t="n">
        <v>16703</v>
      </c>
      <c r="D1125" t="inlineStr">
        <is>
          <t>Kochi</t>
        </is>
      </c>
      <c r="E1125" t="inlineStr">
        <is>
          <t>South</t>
        </is>
      </c>
      <c r="F1125" t="inlineStr">
        <is>
          <t>Organic Search</t>
        </is>
      </c>
      <c r="G1125" t="inlineStr">
        <is>
          <t>Desktop</t>
        </is>
      </c>
      <c r="H1125" t="inlineStr">
        <is>
          <t>UPI</t>
        </is>
      </c>
      <c r="I1125" t="inlineStr">
        <is>
          <t>Delivered</t>
        </is>
      </c>
      <c r="J1125" t="n">
        <v>114</v>
      </c>
      <c r="K1125" t="n">
        <v>1</v>
      </c>
      <c r="L1125" s="7" t="n">
        <v>1259</v>
      </c>
      <c r="M1125" s="7" t="n">
        <v>0</v>
      </c>
    </row>
    <row r="1126">
      <c r="A1126" t="n">
        <v>509901</v>
      </c>
      <c r="B1126" s="6" t="n">
        <v>45944</v>
      </c>
      <c r="C1126" t="n">
        <v>16703</v>
      </c>
      <c r="D1126" t="inlineStr">
        <is>
          <t>Kochi</t>
        </is>
      </c>
      <c r="E1126" t="inlineStr">
        <is>
          <t>South</t>
        </is>
      </c>
      <c r="F1126" t="inlineStr">
        <is>
          <t>Organic Search</t>
        </is>
      </c>
      <c r="G1126" t="inlineStr">
        <is>
          <t>Desktop</t>
        </is>
      </c>
      <c r="H1126" t="inlineStr">
        <is>
          <t>UPI</t>
        </is>
      </c>
      <c r="I1126" t="inlineStr">
        <is>
          <t>Delivered</t>
        </is>
      </c>
      <c r="J1126" t="n">
        <v>143</v>
      </c>
      <c r="K1126" t="n">
        <v>1</v>
      </c>
      <c r="L1126" s="7" t="n">
        <v>839</v>
      </c>
      <c r="M1126" s="7" t="n">
        <v>0</v>
      </c>
    </row>
    <row r="1127">
      <c r="A1127" t="n">
        <v>509902</v>
      </c>
      <c r="B1127" s="6" t="n">
        <v>45945</v>
      </c>
      <c r="C1127" t="n">
        <v>11707</v>
      </c>
      <c r="D1127" t="inlineStr">
        <is>
          <t>Mumbai</t>
        </is>
      </c>
      <c r="E1127" t="inlineStr">
        <is>
          <t>West</t>
        </is>
      </c>
      <c r="F1127" t="inlineStr">
        <is>
          <t>Affiliate</t>
        </is>
      </c>
      <c r="G1127" t="inlineStr">
        <is>
          <t>Mobile App</t>
        </is>
      </c>
      <c r="H1127" t="inlineStr">
        <is>
          <t>Credit Card</t>
        </is>
      </c>
      <c r="I1127" t="inlineStr">
        <is>
          <t>Cancelled</t>
        </is>
      </c>
      <c r="J1127" t="n">
        <v>147</v>
      </c>
      <c r="K1127" t="n">
        <v>1</v>
      </c>
      <c r="L1127" s="7" t="n">
        <v>1364</v>
      </c>
      <c r="M1127" s="7" t="n">
        <v>136.4</v>
      </c>
    </row>
    <row r="1128">
      <c r="A1128" t="n">
        <v>509902</v>
      </c>
      <c r="B1128" s="6" t="n">
        <v>45945</v>
      </c>
      <c r="C1128" t="n">
        <v>11707</v>
      </c>
      <c r="D1128" t="inlineStr">
        <is>
          <t>Mumbai</t>
        </is>
      </c>
      <c r="E1128" t="inlineStr">
        <is>
          <t>West</t>
        </is>
      </c>
      <c r="F1128" t="inlineStr">
        <is>
          <t>Affiliate</t>
        </is>
      </c>
      <c r="G1128" t="inlineStr">
        <is>
          <t>Mobile App</t>
        </is>
      </c>
      <c r="H1128" t="inlineStr">
        <is>
          <t>Credit Card</t>
        </is>
      </c>
      <c r="I1128" t="inlineStr">
        <is>
          <t>Cancelled</t>
        </is>
      </c>
      <c r="J1128" t="n">
        <v>129</v>
      </c>
      <c r="K1128" t="n">
        <v>1</v>
      </c>
      <c r="L1128" s="7" t="n">
        <v>576</v>
      </c>
      <c r="M1128" s="7" t="n">
        <v>57.6</v>
      </c>
    </row>
    <row r="1129">
      <c r="A1129" t="n">
        <v>509903</v>
      </c>
      <c r="B1129" s="6" t="n">
        <v>45945</v>
      </c>
      <c r="C1129" t="n">
        <v>14697</v>
      </c>
      <c r="D1129" t="inlineStr">
        <is>
          <t>Kolkata</t>
        </is>
      </c>
      <c r="E1129" t="inlineStr">
        <is>
          <t>East</t>
        </is>
      </c>
      <c r="F1129" t="inlineStr">
        <is>
          <t>Email</t>
        </is>
      </c>
      <c r="G1129" t="inlineStr">
        <is>
          <t>Mobile Web</t>
        </is>
      </c>
      <c r="H1129" t="inlineStr">
        <is>
          <t>Debit Card</t>
        </is>
      </c>
      <c r="I1129" t="inlineStr">
        <is>
          <t>Delivered</t>
        </is>
      </c>
      <c r="J1129" t="n">
        <v>111</v>
      </c>
      <c r="K1129" t="n">
        <v>1</v>
      </c>
      <c r="L1129" s="7" t="n">
        <v>524</v>
      </c>
      <c r="M1129" s="7" t="n">
        <v>52.4</v>
      </c>
    </row>
    <row r="1130">
      <c r="A1130" t="n">
        <v>509903</v>
      </c>
      <c r="B1130" s="6" t="n">
        <v>45945</v>
      </c>
      <c r="C1130" t="n">
        <v>14697</v>
      </c>
      <c r="D1130" t="inlineStr">
        <is>
          <t>Kolkata</t>
        </is>
      </c>
      <c r="E1130" t="inlineStr">
        <is>
          <t>East</t>
        </is>
      </c>
      <c r="F1130" t="inlineStr">
        <is>
          <t>Email</t>
        </is>
      </c>
      <c r="G1130" t="inlineStr">
        <is>
          <t>Mobile Web</t>
        </is>
      </c>
      <c r="H1130" t="inlineStr">
        <is>
          <t>Debit Card</t>
        </is>
      </c>
      <c r="I1130" t="inlineStr">
        <is>
          <t>Delivered</t>
        </is>
      </c>
      <c r="J1130" t="n">
        <v>136</v>
      </c>
      <c r="K1130" t="n">
        <v>3</v>
      </c>
      <c r="L1130" s="7" t="n">
        <v>944</v>
      </c>
      <c r="M1130" s="7" t="n">
        <v>283.2</v>
      </c>
    </row>
    <row r="1131">
      <c r="A1131" t="n">
        <v>509904</v>
      </c>
      <c r="B1131" s="6" t="n">
        <v>45945</v>
      </c>
      <c r="C1131" t="n">
        <v>14471</v>
      </c>
      <c r="D1131" t="inlineStr">
        <is>
          <t>Noida</t>
        </is>
      </c>
      <c r="E1131" t="inlineStr">
        <is>
          <t>North</t>
        </is>
      </c>
      <c r="F1131" t="inlineStr">
        <is>
          <t>Paid Social</t>
        </is>
      </c>
      <c r="G1131" t="inlineStr">
        <is>
          <t>Mobile App</t>
        </is>
      </c>
      <c r="H1131" t="inlineStr">
        <is>
          <t>Debit Card</t>
        </is>
      </c>
      <c r="I1131" t="inlineStr">
        <is>
          <t>Delivered</t>
        </is>
      </c>
      <c r="J1131" t="n">
        <v>143</v>
      </c>
      <c r="K1131" t="n">
        <v>1</v>
      </c>
      <c r="L1131" s="7" t="n">
        <v>839</v>
      </c>
      <c r="M1131" s="7" t="n">
        <v>0</v>
      </c>
    </row>
    <row r="1132">
      <c r="A1132" t="n">
        <v>509904</v>
      </c>
      <c r="B1132" s="6" t="n">
        <v>45945</v>
      </c>
      <c r="C1132" t="n">
        <v>14471</v>
      </c>
      <c r="D1132" t="inlineStr">
        <is>
          <t>Noida</t>
        </is>
      </c>
      <c r="E1132" t="inlineStr">
        <is>
          <t>North</t>
        </is>
      </c>
      <c r="F1132" t="inlineStr">
        <is>
          <t>Paid Social</t>
        </is>
      </c>
      <c r="G1132" t="inlineStr">
        <is>
          <t>Mobile App</t>
        </is>
      </c>
      <c r="H1132" t="inlineStr">
        <is>
          <t>Debit Card</t>
        </is>
      </c>
      <c r="I1132" t="inlineStr">
        <is>
          <t>Delivered</t>
        </is>
      </c>
      <c r="J1132" t="n">
        <v>129</v>
      </c>
      <c r="K1132" t="n">
        <v>1</v>
      </c>
      <c r="L1132" s="7" t="n">
        <v>576</v>
      </c>
      <c r="M1132" s="7" t="n">
        <v>0</v>
      </c>
    </row>
    <row r="1133">
      <c r="A1133" t="n">
        <v>509905</v>
      </c>
      <c r="B1133" s="6" t="n">
        <v>45945</v>
      </c>
      <c r="C1133" t="n">
        <v>13443</v>
      </c>
      <c r="D1133" t="inlineStr">
        <is>
          <t>Chandigarh</t>
        </is>
      </c>
      <c r="E1133" t="inlineStr">
        <is>
          <t>North</t>
        </is>
      </c>
      <c r="F1133" t="inlineStr">
        <is>
          <t>Organic Search</t>
        </is>
      </c>
      <c r="G1133" t="inlineStr">
        <is>
          <t>Mobile Web</t>
        </is>
      </c>
      <c r="H1133" t="inlineStr">
        <is>
          <t>Credit Card</t>
        </is>
      </c>
      <c r="I1133" t="inlineStr">
        <is>
          <t>Delivered</t>
        </is>
      </c>
      <c r="J1133" t="n">
        <v>116</v>
      </c>
      <c r="K1133" t="n">
        <v>2</v>
      </c>
      <c r="L1133" s="7" t="n">
        <v>2624</v>
      </c>
      <c r="M1133" s="7" t="n">
        <v>0</v>
      </c>
    </row>
    <row r="1134">
      <c r="A1134" t="n">
        <v>509905</v>
      </c>
      <c r="B1134" s="6" t="n">
        <v>45945</v>
      </c>
      <c r="C1134" t="n">
        <v>13443</v>
      </c>
      <c r="D1134" t="inlineStr">
        <is>
          <t>Chandigarh</t>
        </is>
      </c>
      <c r="E1134" t="inlineStr">
        <is>
          <t>North</t>
        </is>
      </c>
      <c r="F1134" t="inlineStr">
        <is>
          <t>Organic Search</t>
        </is>
      </c>
      <c r="G1134" t="inlineStr">
        <is>
          <t>Mobile Web</t>
        </is>
      </c>
      <c r="H1134" t="inlineStr">
        <is>
          <t>Credit Card</t>
        </is>
      </c>
      <c r="I1134" t="inlineStr">
        <is>
          <t>Delivered</t>
        </is>
      </c>
      <c r="J1134" t="n">
        <v>132</v>
      </c>
      <c r="K1134" t="n">
        <v>1</v>
      </c>
      <c r="L1134" s="7" t="n">
        <v>471</v>
      </c>
      <c r="M1134" s="7" t="n">
        <v>0</v>
      </c>
    </row>
    <row r="1135">
      <c r="A1135" t="n">
        <v>509905</v>
      </c>
      <c r="B1135" s="6" t="n">
        <v>45945</v>
      </c>
      <c r="C1135" t="n">
        <v>13443</v>
      </c>
      <c r="D1135" t="inlineStr">
        <is>
          <t>Chandigarh</t>
        </is>
      </c>
      <c r="E1135" t="inlineStr">
        <is>
          <t>North</t>
        </is>
      </c>
      <c r="F1135" t="inlineStr">
        <is>
          <t>Organic Search</t>
        </is>
      </c>
      <c r="G1135" t="inlineStr">
        <is>
          <t>Mobile Web</t>
        </is>
      </c>
      <c r="H1135" t="inlineStr">
        <is>
          <t>Credit Card</t>
        </is>
      </c>
      <c r="I1135" t="inlineStr">
        <is>
          <t>Delivered</t>
        </is>
      </c>
      <c r="J1135" t="n">
        <v>136</v>
      </c>
      <c r="K1135" t="n">
        <v>1</v>
      </c>
      <c r="L1135" s="7" t="n">
        <v>944</v>
      </c>
      <c r="M1135" s="7" t="n">
        <v>0</v>
      </c>
    </row>
    <row r="1136">
      <c r="A1136" t="n">
        <v>509905</v>
      </c>
      <c r="B1136" s="6" t="n">
        <v>45945</v>
      </c>
      <c r="C1136" t="n">
        <v>13443</v>
      </c>
      <c r="D1136" t="inlineStr">
        <is>
          <t>Chandigarh</t>
        </is>
      </c>
      <c r="E1136" t="inlineStr">
        <is>
          <t>North</t>
        </is>
      </c>
      <c r="F1136" t="inlineStr">
        <is>
          <t>Organic Search</t>
        </is>
      </c>
      <c r="G1136" t="inlineStr">
        <is>
          <t>Mobile Web</t>
        </is>
      </c>
      <c r="H1136" t="inlineStr">
        <is>
          <t>Credit Card</t>
        </is>
      </c>
      <c r="I1136" t="inlineStr">
        <is>
          <t>Delivered</t>
        </is>
      </c>
      <c r="J1136" t="n">
        <v>129</v>
      </c>
      <c r="K1136" t="n">
        <v>3</v>
      </c>
      <c r="L1136" s="7" t="n">
        <v>576</v>
      </c>
      <c r="M1136" s="7" t="n">
        <v>0</v>
      </c>
    </row>
    <row r="1137">
      <c r="A1137" t="n">
        <v>509906</v>
      </c>
      <c r="B1137" s="6" t="n">
        <v>45945</v>
      </c>
      <c r="C1137" t="n">
        <v>16567</v>
      </c>
      <c r="D1137" t="inlineStr">
        <is>
          <t>Kolkata</t>
        </is>
      </c>
      <c r="E1137" t="inlineStr">
        <is>
          <t>East</t>
        </is>
      </c>
      <c r="F1137" t="inlineStr">
        <is>
          <t>Paid Social</t>
        </is>
      </c>
      <c r="G1137" t="inlineStr">
        <is>
          <t>Mobile App</t>
        </is>
      </c>
      <c r="H1137" t="inlineStr">
        <is>
          <t>Credit Card</t>
        </is>
      </c>
      <c r="I1137" t="inlineStr">
        <is>
          <t>Delivered</t>
        </is>
      </c>
      <c r="J1137" t="n">
        <v>106</v>
      </c>
      <c r="K1137" t="n">
        <v>2</v>
      </c>
      <c r="L1137" s="7" t="n">
        <v>1574</v>
      </c>
      <c r="M1137" s="7" t="n">
        <v>0</v>
      </c>
    </row>
    <row r="1138">
      <c r="A1138" t="n">
        <v>509906</v>
      </c>
      <c r="B1138" s="6" t="n">
        <v>45945</v>
      </c>
      <c r="C1138" t="n">
        <v>16567</v>
      </c>
      <c r="D1138" t="inlineStr">
        <is>
          <t>Kolkata</t>
        </is>
      </c>
      <c r="E1138" t="inlineStr">
        <is>
          <t>East</t>
        </is>
      </c>
      <c r="F1138" t="inlineStr">
        <is>
          <t>Paid Social</t>
        </is>
      </c>
      <c r="G1138" t="inlineStr">
        <is>
          <t>Mobile App</t>
        </is>
      </c>
      <c r="H1138" t="inlineStr">
        <is>
          <t>Credit Card</t>
        </is>
      </c>
      <c r="I1138" t="inlineStr">
        <is>
          <t>Delivered</t>
        </is>
      </c>
      <c r="J1138" t="n">
        <v>129</v>
      </c>
      <c r="K1138" t="n">
        <v>1</v>
      </c>
      <c r="L1138" s="7" t="n">
        <v>576</v>
      </c>
      <c r="M1138" s="7" t="n">
        <v>0</v>
      </c>
    </row>
    <row r="1139">
      <c r="A1139" t="n">
        <v>509907</v>
      </c>
      <c r="B1139" s="6" t="n">
        <v>45945</v>
      </c>
      <c r="C1139" t="n">
        <v>15401</v>
      </c>
      <c r="D1139" t="inlineStr">
        <is>
          <t>Mumbai</t>
        </is>
      </c>
      <c r="E1139" t="inlineStr">
        <is>
          <t>West</t>
        </is>
      </c>
      <c r="F1139" t="inlineStr">
        <is>
          <t>Paid Search</t>
        </is>
      </c>
      <c r="G1139" t="inlineStr">
        <is>
          <t>Mobile Web</t>
        </is>
      </c>
      <c r="H1139" t="inlineStr">
        <is>
          <t>Cash on Delivery</t>
        </is>
      </c>
      <c r="I1139" t="inlineStr">
        <is>
          <t>Delivered</t>
        </is>
      </c>
      <c r="J1139" t="n">
        <v>130</v>
      </c>
      <c r="K1139" t="n">
        <v>1</v>
      </c>
      <c r="L1139" s="7" t="n">
        <v>734</v>
      </c>
      <c r="M1139" s="7" t="n">
        <v>73.40000000000001</v>
      </c>
    </row>
    <row r="1140">
      <c r="A1140" t="n">
        <v>509908</v>
      </c>
      <c r="B1140" s="6" t="n">
        <v>45945</v>
      </c>
      <c r="C1140" t="n">
        <v>12946</v>
      </c>
      <c r="D1140" t="inlineStr">
        <is>
          <t>Mumbai</t>
        </is>
      </c>
      <c r="E1140" t="inlineStr">
        <is>
          <t>West</t>
        </is>
      </c>
      <c r="F1140" t="inlineStr">
        <is>
          <t>Organic Search</t>
        </is>
      </c>
      <c r="G1140" t="inlineStr">
        <is>
          <t>Mobile App</t>
        </is>
      </c>
      <c r="H1140" t="inlineStr">
        <is>
          <t>Credit Card</t>
        </is>
      </c>
      <c r="I1140" t="inlineStr">
        <is>
          <t>Delivered</t>
        </is>
      </c>
      <c r="J1140" t="n">
        <v>137</v>
      </c>
      <c r="K1140" t="n">
        <v>1</v>
      </c>
      <c r="L1140" s="7" t="n">
        <v>261</v>
      </c>
      <c r="M1140" s="7" t="n">
        <v>0</v>
      </c>
    </row>
    <row r="1141">
      <c r="A1141" t="n">
        <v>509909</v>
      </c>
      <c r="B1141" s="6" t="n">
        <v>45945</v>
      </c>
      <c r="C1141" t="n">
        <v>16504</v>
      </c>
      <c r="D1141" t="inlineStr">
        <is>
          <t>Bengaluru</t>
        </is>
      </c>
      <c r="E1141" t="inlineStr">
        <is>
          <t>South</t>
        </is>
      </c>
      <c r="F1141" t="inlineStr">
        <is>
          <t>Referral</t>
        </is>
      </c>
      <c r="G1141" t="inlineStr">
        <is>
          <t>Mobile Web</t>
        </is>
      </c>
      <c r="H1141" t="inlineStr">
        <is>
          <t>UPI</t>
        </is>
      </c>
      <c r="I1141" t="inlineStr">
        <is>
          <t>Delivered</t>
        </is>
      </c>
      <c r="J1141" t="n">
        <v>109</v>
      </c>
      <c r="K1141" t="n">
        <v>1</v>
      </c>
      <c r="L1141" s="7" t="n">
        <v>4199</v>
      </c>
      <c r="M1141" s="7" t="n">
        <v>0</v>
      </c>
    </row>
    <row r="1142">
      <c r="A1142" t="n">
        <v>509909</v>
      </c>
      <c r="B1142" s="6" t="n">
        <v>45945</v>
      </c>
      <c r="C1142" t="n">
        <v>16504</v>
      </c>
      <c r="D1142" t="inlineStr">
        <is>
          <t>Bengaluru</t>
        </is>
      </c>
      <c r="E1142" t="inlineStr">
        <is>
          <t>South</t>
        </is>
      </c>
      <c r="F1142" t="inlineStr">
        <is>
          <t>Referral</t>
        </is>
      </c>
      <c r="G1142" t="inlineStr">
        <is>
          <t>Mobile Web</t>
        </is>
      </c>
      <c r="H1142" t="inlineStr">
        <is>
          <t>UPI</t>
        </is>
      </c>
      <c r="I1142" t="inlineStr">
        <is>
          <t>Delivered</t>
        </is>
      </c>
      <c r="J1142" t="n">
        <v>141</v>
      </c>
      <c r="K1142" t="n">
        <v>1</v>
      </c>
      <c r="L1142" s="7" t="n">
        <v>261</v>
      </c>
      <c r="M1142" s="7" t="n">
        <v>0</v>
      </c>
    </row>
    <row r="1143">
      <c r="A1143" t="n">
        <v>509909</v>
      </c>
      <c r="B1143" s="6" t="n">
        <v>45945</v>
      </c>
      <c r="C1143" t="n">
        <v>16504</v>
      </c>
      <c r="D1143" t="inlineStr">
        <is>
          <t>Bengaluru</t>
        </is>
      </c>
      <c r="E1143" t="inlineStr">
        <is>
          <t>South</t>
        </is>
      </c>
      <c r="F1143" t="inlineStr">
        <is>
          <t>Referral</t>
        </is>
      </c>
      <c r="G1143" t="inlineStr">
        <is>
          <t>Mobile Web</t>
        </is>
      </c>
      <c r="H1143" t="inlineStr">
        <is>
          <t>UPI</t>
        </is>
      </c>
      <c r="I1143" t="inlineStr">
        <is>
          <t>Delivered</t>
        </is>
      </c>
      <c r="J1143" t="n">
        <v>108</v>
      </c>
      <c r="K1143" t="n">
        <v>1</v>
      </c>
      <c r="L1143" s="7" t="n">
        <v>419</v>
      </c>
      <c r="M1143" s="7" t="n">
        <v>0</v>
      </c>
    </row>
    <row r="1144">
      <c r="A1144" t="n">
        <v>509910</v>
      </c>
      <c r="B1144" s="6" t="n">
        <v>45945</v>
      </c>
      <c r="C1144" t="n">
        <v>16134</v>
      </c>
      <c r="D1144" t="inlineStr">
        <is>
          <t>Mumbai</t>
        </is>
      </c>
      <c r="E1144" t="inlineStr">
        <is>
          <t>West</t>
        </is>
      </c>
      <c r="F1144" t="inlineStr">
        <is>
          <t>Referral</t>
        </is>
      </c>
      <c r="G1144" t="inlineStr">
        <is>
          <t>Mobile Web</t>
        </is>
      </c>
      <c r="H1144" t="inlineStr">
        <is>
          <t>Cash on Delivery</t>
        </is>
      </c>
      <c r="I1144" t="inlineStr">
        <is>
          <t>Delivered</t>
        </is>
      </c>
      <c r="J1144" t="n">
        <v>115</v>
      </c>
      <c r="K1144" t="n">
        <v>1</v>
      </c>
      <c r="L1144" s="7" t="n">
        <v>4199</v>
      </c>
      <c r="M1144" s="7" t="n">
        <v>419.9</v>
      </c>
    </row>
    <row r="1145">
      <c r="A1145" t="n">
        <v>509910</v>
      </c>
      <c r="B1145" s="6" t="n">
        <v>45945</v>
      </c>
      <c r="C1145" t="n">
        <v>16134</v>
      </c>
      <c r="D1145" t="inlineStr">
        <is>
          <t>Mumbai</t>
        </is>
      </c>
      <c r="E1145" t="inlineStr">
        <is>
          <t>West</t>
        </is>
      </c>
      <c r="F1145" t="inlineStr">
        <is>
          <t>Referral</t>
        </is>
      </c>
      <c r="G1145" t="inlineStr">
        <is>
          <t>Mobile Web</t>
        </is>
      </c>
      <c r="H1145" t="inlineStr">
        <is>
          <t>Cash on Delivery</t>
        </is>
      </c>
      <c r="I1145" t="inlineStr">
        <is>
          <t>Delivered</t>
        </is>
      </c>
      <c r="J1145" t="n">
        <v>147</v>
      </c>
      <c r="K1145" t="n">
        <v>2</v>
      </c>
      <c r="L1145" s="7" t="n">
        <v>1364</v>
      </c>
      <c r="M1145" s="7" t="n">
        <v>272.8</v>
      </c>
    </row>
    <row r="1146">
      <c r="A1146" t="n">
        <v>509910</v>
      </c>
      <c r="B1146" s="6" t="n">
        <v>45945</v>
      </c>
      <c r="C1146" t="n">
        <v>16134</v>
      </c>
      <c r="D1146" t="inlineStr">
        <is>
          <t>Mumbai</t>
        </is>
      </c>
      <c r="E1146" t="inlineStr">
        <is>
          <t>West</t>
        </is>
      </c>
      <c r="F1146" t="inlineStr">
        <is>
          <t>Referral</t>
        </is>
      </c>
      <c r="G1146" t="inlineStr">
        <is>
          <t>Mobile Web</t>
        </is>
      </c>
      <c r="H1146" t="inlineStr">
        <is>
          <t>Cash on Delivery</t>
        </is>
      </c>
      <c r="I1146" t="inlineStr">
        <is>
          <t>Delivered</t>
        </is>
      </c>
      <c r="J1146" t="n">
        <v>122</v>
      </c>
      <c r="K1146" t="n">
        <v>1</v>
      </c>
      <c r="L1146" s="7" t="n">
        <v>1994</v>
      </c>
      <c r="M1146" s="7" t="n">
        <v>199.4</v>
      </c>
    </row>
    <row r="1147">
      <c r="A1147" t="n">
        <v>509910</v>
      </c>
      <c r="B1147" s="6" t="n">
        <v>45945</v>
      </c>
      <c r="C1147" t="n">
        <v>16134</v>
      </c>
      <c r="D1147" t="inlineStr">
        <is>
          <t>Mumbai</t>
        </is>
      </c>
      <c r="E1147" t="inlineStr">
        <is>
          <t>West</t>
        </is>
      </c>
      <c r="F1147" t="inlineStr">
        <is>
          <t>Referral</t>
        </is>
      </c>
      <c r="G1147" t="inlineStr">
        <is>
          <t>Mobile Web</t>
        </is>
      </c>
      <c r="H1147" t="inlineStr">
        <is>
          <t>Cash on Delivery</t>
        </is>
      </c>
      <c r="I1147" t="inlineStr">
        <is>
          <t>Delivered</t>
        </is>
      </c>
      <c r="J1147" t="n">
        <v>129</v>
      </c>
      <c r="K1147" t="n">
        <v>1</v>
      </c>
      <c r="L1147" s="7" t="n">
        <v>576</v>
      </c>
      <c r="M1147" s="7" t="n">
        <v>57.6</v>
      </c>
    </row>
    <row r="1148">
      <c r="A1148" t="n">
        <v>509911</v>
      </c>
      <c r="B1148" s="6" t="n">
        <v>45945</v>
      </c>
      <c r="C1148" t="n">
        <v>16776</v>
      </c>
      <c r="D1148" t="inlineStr">
        <is>
          <t>Ahmedabad</t>
        </is>
      </c>
      <c r="E1148" t="inlineStr">
        <is>
          <t>West</t>
        </is>
      </c>
      <c r="F1148" t="inlineStr">
        <is>
          <t>Paid Social</t>
        </is>
      </c>
      <c r="G1148" t="inlineStr">
        <is>
          <t>Desktop</t>
        </is>
      </c>
      <c r="H1148" t="inlineStr">
        <is>
          <t>UPI</t>
        </is>
      </c>
      <c r="I1148" t="inlineStr">
        <is>
          <t>Delivered</t>
        </is>
      </c>
      <c r="J1148" t="n">
        <v>125</v>
      </c>
      <c r="K1148" t="n">
        <v>1</v>
      </c>
      <c r="L1148" s="7" t="n">
        <v>1364</v>
      </c>
      <c r="M1148" s="7" t="n">
        <v>136.4</v>
      </c>
    </row>
    <row r="1149">
      <c r="A1149" t="n">
        <v>509911</v>
      </c>
      <c r="B1149" s="6" t="n">
        <v>45945</v>
      </c>
      <c r="C1149" t="n">
        <v>16776</v>
      </c>
      <c r="D1149" t="inlineStr">
        <is>
          <t>Ahmedabad</t>
        </is>
      </c>
      <c r="E1149" t="inlineStr">
        <is>
          <t>West</t>
        </is>
      </c>
      <c r="F1149" t="inlineStr">
        <is>
          <t>Paid Social</t>
        </is>
      </c>
      <c r="G1149" t="inlineStr">
        <is>
          <t>Desktop</t>
        </is>
      </c>
      <c r="H1149" t="inlineStr">
        <is>
          <t>UPI</t>
        </is>
      </c>
      <c r="I1149" t="inlineStr">
        <is>
          <t>Delivered</t>
        </is>
      </c>
      <c r="J1149" t="n">
        <v>110</v>
      </c>
      <c r="K1149" t="n">
        <v>1</v>
      </c>
      <c r="L1149" s="7" t="n">
        <v>839</v>
      </c>
      <c r="M1149" s="7" t="n">
        <v>83.90000000000001</v>
      </c>
    </row>
    <row r="1150">
      <c r="A1150" t="n">
        <v>509911</v>
      </c>
      <c r="B1150" s="6" t="n">
        <v>45945</v>
      </c>
      <c r="C1150" t="n">
        <v>16776</v>
      </c>
      <c r="D1150" t="inlineStr">
        <is>
          <t>Ahmedabad</t>
        </is>
      </c>
      <c r="E1150" t="inlineStr">
        <is>
          <t>West</t>
        </is>
      </c>
      <c r="F1150" t="inlineStr">
        <is>
          <t>Paid Social</t>
        </is>
      </c>
      <c r="G1150" t="inlineStr">
        <is>
          <t>Desktop</t>
        </is>
      </c>
      <c r="H1150" t="inlineStr">
        <is>
          <t>UPI</t>
        </is>
      </c>
      <c r="I1150" t="inlineStr">
        <is>
          <t>Delivered</t>
        </is>
      </c>
      <c r="J1150" t="n">
        <v>133</v>
      </c>
      <c r="K1150" t="n">
        <v>2</v>
      </c>
      <c r="L1150" s="7" t="n">
        <v>419</v>
      </c>
      <c r="M1150" s="7" t="n">
        <v>83.8</v>
      </c>
    </row>
    <row r="1151">
      <c r="A1151" t="n">
        <v>509912</v>
      </c>
      <c r="B1151" s="6" t="n">
        <v>45945</v>
      </c>
      <c r="C1151" t="n">
        <v>16841</v>
      </c>
      <c r="D1151" t="inlineStr">
        <is>
          <t>Mumbai</t>
        </is>
      </c>
      <c r="E1151" t="inlineStr">
        <is>
          <t>West</t>
        </is>
      </c>
      <c r="F1151" t="inlineStr">
        <is>
          <t>Organic Search</t>
        </is>
      </c>
      <c r="G1151" t="inlineStr">
        <is>
          <t>Mobile App</t>
        </is>
      </c>
      <c r="H1151" t="inlineStr">
        <is>
          <t>Cash on Delivery</t>
        </is>
      </c>
      <c r="I1151" t="inlineStr">
        <is>
          <t>Delivered</t>
        </is>
      </c>
      <c r="J1151" t="n">
        <v>121</v>
      </c>
      <c r="K1151" t="n">
        <v>1</v>
      </c>
      <c r="L1151" s="7" t="n">
        <v>2939</v>
      </c>
      <c r="M1151" s="7" t="n">
        <v>0</v>
      </c>
    </row>
    <row r="1152">
      <c r="A1152" t="n">
        <v>509912</v>
      </c>
      <c r="B1152" s="6" t="n">
        <v>45945</v>
      </c>
      <c r="C1152" t="n">
        <v>16841</v>
      </c>
      <c r="D1152" t="inlineStr">
        <is>
          <t>Mumbai</t>
        </is>
      </c>
      <c r="E1152" t="inlineStr">
        <is>
          <t>West</t>
        </is>
      </c>
      <c r="F1152" t="inlineStr">
        <is>
          <t>Organic Search</t>
        </is>
      </c>
      <c r="G1152" t="inlineStr">
        <is>
          <t>Mobile App</t>
        </is>
      </c>
      <c r="H1152" t="inlineStr">
        <is>
          <t>Cash on Delivery</t>
        </is>
      </c>
      <c r="I1152" t="inlineStr">
        <is>
          <t>Delivered</t>
        </is>
      </c>
      <c r="J1152" t="n">
        <v>111</v>
      </c>
      <c r="K1152" t="n">
        <v>1</v>
      </c>
      <c r="L1152" s="7" t="n">
        <v>524</v>
      </c>
      <c r="M1152" s="7" t="n">
        <v>0</v>
      </c>
    </row>
    <row r="1153">
      <c r="A1153" t="n">
        <v>509913</v>
      </c>
      <c r="B1153" s="6" t="n">
        <v>45945</v>
      </c>
      <c r="C1153" t="n">
        <v>12484</v>
      </c>
      <c r="D1153" t="inlineStr">
        <is>
          <t>Indore</t>
        </is>
      </c>
      <c r="E1153" t="inlineStr">
        <is>
          <t>West</t>
        </is>
      </c>
      <c r="F1153" t="inlineStr">
        <is>
          <t>Paid Search</t>
        </is>
      </c>
      <c r="G1153" t="inlineStr">
        <is>
          <t>Mobile App</t>
        </is>
      </c>
      <c r="H1153" t="inlineStr">
        <is>
          <t>Cash on Delivery</t>
        </is>
      </c>
      <c r="I1153" t="inlineStr">
        <is>
          <t>Delivered</t>
        </is>
      </c>
      <c r="J1153" t="n">
        <v>111</v>
      </c>
      <c r="K1153" t="n">
        <v>1</v>
      </c>
      <c r="L1153" s="7" t="n">
        <v>524</v>
      </c>
      <c r="M1153" s="7" t="n">
        <v>0</v>
      </c>
    </row>
    <row r="1154">
      <c r="A1154" t="n">
        <v>509913</v>
      </c>
      <c r="B1154" s="6" t="n">
        <v>45945</v>
      </c>
      <c r="C1154" t="n">
        <v>12484</v>
      </c>
      <c r="D1154" t="inlineStr">
        <is>
          <t>Indore</t>
        </is>
      </c>
      <c r="E1154" t="inlineStr">
        <is>
          <t>West</t>
        </is>
      </c>
      <c r="F1154" t="inlineStr">
        <is>
          <t>Paid Search</t>
        </is>
      </c>
      <c r="G1154" t="inlineStr">
        <is>
          <t>Mobile App</t>
        </is>
      </c>
      <c r="H1154" t="inlineStr">
        <is>
          <t>Cash on Delivery</t>
        </is>
      </c>
      <c r="I1154" t="inlineStr">
        <is>
          <t>Delivered</t>
        </is>
      </c>
      <c r="J1154" t="n">
        <v>104</v>
      </c>
      <c r="K1154" t="n">
        <v>1</v>
      </c>
      <c r="L1154" s="7" t="n">
        <v>5249</v>
      </c>
      <c r="M1154" s="7" t="n">
        <v>0</v>
      </c>
    </row>
    <row r="1155">
      <c r="A1155" t="n">
        <v>509914</v>
      </c>
      <c r="B1155" s="6" t="n">
        <v>45945</v>
      </c>
      <c r="C1155" t="n">
        <v>12495</v>
      </c>
      <c r="D1155" t="inlineStr">
        <is>
          <t>Chennai</t>
        </is>
      </c>
      <c r="E1155" t="inlineStr">
        <is>
          <t>South</t>
        </is>
      </c>
      <c r="F1155" t="inlineStr">
        <is>
          <t>Organic Search</t>
        </is>
      </c>
      <c r="G1155" t="inlineStr">
        <is>
          <t>Desktop</t>
        </is>
      </c>
      <c r="H1155" t="inlineStr">
        <is>
          <t>Cash on Delivery</t>
        </is>
      </c>
      <c r="I1155" t="inlineStr">
        <is>
          <t>Delivered</t>
        </is>
      </c>
      <c r="J1155" t="n">
        <v>104</v>
      </c>
      <c r="K1155" t="n">
        <v>2</v>
      </c>
      <c r="L1155" s="7" t="n">
        <v>5249</v>
      </c>
      <c r="M1155" s="7" t="n">
        <v>1049.8</v>
      </c>
    </row>
    <row r="1156">
      <c r="A1156" t="n">
        <v>509914</v>
      </c>
      <c r="B1156" s="6" t="n">
        <v>45945</v>
      </c>
      <c r="C1156" t="n">
        <v>12495</v>
      </c>
      <c r="D1156" t="inlineStr">
        <is>
          <t>Chennai</t>
        </is>
      </c>
      <c r="E1156" t="inlineStr">
        <is>
          <t>South</t>
        </is>
      </c>
      <c r="F1156" t="inlineStr">
        <is>
          <t>Organic Search</t>
        </is>
      </c>
      <c r="G1156" t="inlineStr">
        <is>
          <t>Desktop</t>
        </is>
      </c>
      <c r="H1156" t="inlineStr">
        <is>
          <t>Cash on Delivery</t>
        </is>
      </c>
      <c r="I1156" t="inlineStr">
        <is>
          <t>Delivered</t>
        </is>
      </c>
      <c r="J1156" t="n">
        <v>132</v>
      </c>
      <c r="K1156" t="n">
        <v>1</v>
      </c>
      <c r="L1156" s="7" t="n">
        <v>471</v>
      </c>
      <c r="M1156" s="7" t="n">
        <v>47.1</v>
      </c>
    </row>
    <row r="1157">
      <c r="A1157" t="n">
        <v>509914</v>
      </c>
      <c r="B1157" s="6" t="n">
        <v>45945</v>
      </c>
      <c r="C1157" t="n">
        <v>12495</v>
      </c>
      <c r="D1157" t="inlineStr">
        <is>
          <t>Chennai</t>
        </is>
      </c>
      <c r="E1157" t="inlineStr">
        <is>
          <t>South</t>
        </is>
      </c>
      <c r="F1157" t="inlineStr">
        <is>
          <t>Organic Search</t>
        </is>
      </c>
      <c r="G1157" t="inlineStr">
        <is>
          <t>Desktop</t>
        </is>
      </c>
      <c r="H1157" t="inlineStr">
        <is>
          <t>Cash on Delivery</t>
        </is>
      </c>
      <c r="I1157" t="inlineStr">
        <is>
          <t>Delivered</t>
        </is>
      </c>
      <c r="J1157" t="n">
        <v>106</v>
      </c>
      <c r="K1157" t="n">
        <v>1</v>
      </c>
      <c r="L1157" s="7" t="n">
        <v>1574</v>
      </c>
      <c r="M1157" s="7" t="n">
        <v>157.4</v>
      </c>
    </row>
    <row r="1158">
      <c r="A1158" t="n">
        <v>509914</v>
      </c>
      <c r="B1158" s="6" t="n">
        <v>45945</v>
      </c>
      <c r="C1158" t="n">
        <v>12495</v>
      </c>
      <c r="D1158" t="inlineStr">
        <is>
          <t>Chennai</t>
        </is>
      </c>
      <c r="E1158" t="inlineStr">
        <is>
          <t>South</t>
        </is>
      </c>
      <c r="F1158" t="inlineStr">
        <is>
          <t>Organic Search</t>
        </is>
      </c>
      <c r="G1158" t="inlineStr">
        <is>
          <t>Desktop</t>
        </is>
      </c>
      <c r="H1158" t="inlineStr">
        <is>
          <t>Cash on Delivery</t>
        </is>
      </c>
      <c r="I1158" t="inlineStr">
        <is>
          <t>Delivered</t>
        </is>
      </c>
      <c r="J1158" t="n">
        <v>129</v>
      </c>
      <c r="K1158" t="n">
        <v>1</v>
      </c>
      <c r="L1158" s="7" t="n">
        <v>576</v>
      </c>
      <c r="M1158" s="7" t="n">
        <v>57.6</v>
      </c>
    </row>
    <row r="1159">
      <c r="A1159" t="n">
        <v>509915</v>
      </c>
      <c r="B1159" s="6" t="n">
        <v>45945</v>
      </c>
      <c r="C1159" t="n">
        <v>15549</v>
      </c>
      <c r="D1159" t="inlineStr">
        <is>
          <t>Delhi</t>
        </is>
      </c>
      <c r="E1159" t="inlineStr">
        <is>
          <t>North</t>
        </is>
      </c>
      <c r="F1159" t="inlineStr">
        <is>
          <t>Organic Search</t>
        </is>
      </c>
      <c r="G1159" t="inlineStr">
        <is>
          <t>Mobile Web</t>
        </is>
      </c>
      <c r="H1159" t="inlineStr">
        <is>
          <t>UPI</t>
        </is>
      </c>
      <c r="I1159" t="inlineStr">
        <is>
          <t>Delivered</t>
        </is>
      </c>
      <c r="J1159" t="n">
        <v>129</v>
      </c>
      <c r="K1159" t="n">
        <v>1</v>
      </c>
      <c r="L1159" s="7" t="n">
        <v>576</v>
      </c>
      <c r="M1159" s="7" t="n">
        <v>0</v>
      </c>
    </row>
    <row r="1160">
      <c r="A1160" t="n">
        <v>509915</v>
      </c>
      <c r="B1160" s="6" t="n">
        <v>45945</v>
      </c>
      <c r="C1160" t="n">
        <v>15549</v>
      </c>
      <c r="D1160" t="inlineStr">
        <is>
          <t>Delhi</t>
        </is>
      </c>
      <c r="E1160" t="inlineStr">
        <is>
          <t>North</t>
        </is>
      </c>
      <c r="F1160" t="inlineStr">
        <is>
          <t>Organic Search</t>
        </is>
      </c>
      <c r="G1160" t="inlineStr">
        <is>
          <t>Mobile Web</t>
        </is>
      </c>
      <c r="H1160" t="inlineStr">
        <is>
          <t>UPI</t>
        </is>
      </c>
      <c r="I1160" t="inlineStr">
        <is>
          <t>Delivered</t>
        </is>
      </c>
      <c r="J1160" t="n">
        <v>112</v>
      </c>
      <c r="K1160" t="n">
        <v>1</v>
      </c>
      <c r="L1160" s="7" t="n">
        <v>1574</v>
      </c>
      <c r="M1160" s="7" t="n">
        <v>0</v>
      </c>
    </row>
    <row r="1161">
      <c r="A1161" t="n">
        <v>509915</v>
      </c>
      <c r="B1161" s="6" t="n">
        <v>45945</v>
      </c>
      <c r="C1161" t="n">
        <v>15549</v>
      </c>
      <c r="D1161" t="inlineStr">
        <is>
          <t>Delhi</t>
        </is>
      </c>
      <c r="E1161" t="inlineStr">
        <is>
          <t>North</t>
        </is>
      </c>
      <c r="F1161" t="inlineStr">
        <is>
          <t>Organic Search</t>
        </is>
      </c>
      <c r="G1161" t="inlineStr">
        <is>
          <t>Mobile Web</t>
        </is>
      </c>
      <c r="H1161" t="inlineStr">
        <is>
          <t>UPI</t>
        </is>
      </c>
      <c r="I1161" t="inlineStr">
        <is>
          <t>Delivered</t>
        </is>
      </c>
      <c r="J1161" t="n">
        <v>117</v>
      </c>
      <c r="K1161" t="n">
        <v>1</v>
      </c>
      <c r="L1161" s="7" t="n">
        <v>3149</v>
      </c>
      <c r="M1161" s="7" t="n">
        <v>0</v>
      </c>
    </row>
    <row r="1162">
      <c r="A1162" t="n">
        <v>509916</v>
      </c>
      <c r="B1162" s="6" t="n">
        <v>45945</v>
      </c>
      <c r="C1162" t="n">
        <v>16643</v>
      </c>
      <c r="D1162" t="inlineStr">
        <is>
          <t>Delhi</t>
        </is>
      </c>
      <c r="E1162" t="inlineStr">
        <is>
          <t>North</t>
        </is>
      </c>
      <c r="F1162" t="inlineStr">
        <is>
          <t>Referral</t>
        </is>
      </c>
      <c r="G1162" t="inlineStr">
        <is>
          <t>Mobile App</t>
        </is>
      </c>
      <c r="H1162" t="inlineStr">
        <is>
          <t>UPI</t>
        </is>
      </c>
      <c r="I1162" t="inlineStr">
        <is>
          <t>Delivered</t>
        </is>
      </c>
      <c r="J1162" t="n">
        <v>105</v>
      </c>
      <c r="K1162" t="n">
        <v>1</v>
      </c>
      <c r="L1162" s="7" t="n">
        <v>2414</v>
      </c>
      <c r="M1162" s="7" t="n">
        <v>0</v>
      </c>
    </row>
    <row r="1163">
      <c r="A1163" t="n">
        <v>509917</v>
      </c>
      <c r="B1163" s="6" t="n">
        <v>45945</v>
      </c>
      <c r="C1163" t="n">
        <v>12491</v>
      </c>
      <c r="D1163" t="inlineStr">
        <is>
          <t>Bengaluru</t>
        </is>
      </c>
      <c r="E1163" t="inlineStr">
        <is>
          <t>South</t>
        </is>
      </c>
      <c r="F1163" t="inlineStr">
        <is>
          <t>Organic Search</t>
        </is>
      </c>
      <c r="G1163" t="inlineStr">
        <is>
          <t>Desktop</t>
        </is>
      </c>
      <c r="H1163" t="inlineStr">
        <is>
          <t>UPI</t>
        </is>
      </c>
      <c r="I1163" t="inlineStr">
        <is>
          <t>Delivered</t>
        </is>
      </c>
      <c r="J1163" t="n">
        <v>117</v>
      </c>
      <c r="K1163" t="n">
        <v>1</v>
      </c>
      <c r="L1163" s="7" t="n">
        <v>3149</v>
      </c>
      <c r="M1163" s="7" t="n">
        <v>0</v>
      </c>
    </row>
    <row r="1164">
      <c r="A1164" t="n">
        <v>509917</v>
      </c>
      <c r="B1164" s="6" t="n">
        <v>45945</v>
      </c>
      <c r="C1164" t="n">
        <v>12491</v>
      </c>
      <c r="D1164" t="inlineStr">
        <is>
          <t>Bengaluru</t>
        </is>
      </c>
      <c r="E1164" t="inlineStr">
        <is>
          <t>South</t>
        </is>
      </c>
      <c r="F1164" t="inlineStr">
        <is>
          <t>Organic Search</t>
        </is>
      </c>
      <c r="G1164" t="inlineStr">
        <is>
          <t>Desktop</t>
        </is>
      </c>
      <c r="H1164" t="inlineStr">
        <is>
          <t>UPI</t>
        </is>
      </c>
      <c r="I1164" t="inlineStr">
        <is>
          <t>Delivered</t>
        </is>
      </c>
      <c r="J1164" t="n">
        <v>106</v>
      </c>
      <c r="K1164" t="n">
        <v>1</v>
      </c>
      <c r="L1164" s="7" t="n">
        <v>1574</v>
      </c>
      <c r="M1164" s="7" t="n">
        <v>0</v>
      </c>
    </row>
    <row r="1165">
      <c r="A1165" t="n">
        <v>509917</v>
      </c>
      <c r="B1165" s="6" t="n">
        <v>45945</v>
      </c>
      <c r="C1165" t="n">
        <v>12491</v>
      </c>
      <c r="D1165" t="inlineStr">
        <is>
          <t>Bengaluru</t>
        </is>
      </c>
      <c r="E1165" t="inlineStr">
        <is>
          <t>South</t>
        </is>
      </c>
      <c r="F1165" t="inlineStr">
        <is>
          <t>Organic Search</t>
        </is>
      </c>
      <c r="G1165" t="inlineStr">
        <is>
          <t>Desktop</t>
        </is>
      </c>
      <c r="H1165" t="inlineStr">
        <is>
          <t>UPI</t>
        </is>
      </c>
      <c r="I1165" t="inlineStr">
        <is>
          <t>Delivered</t>
        </is>
      </c>
      <c r="J1165" t="n">
        <v>129</v>
      </c>
      <c r="K1165" t="n">
        <v>1</v>
      </c>
      <c r="L1165" s="7" t="n">
        <v>576</v>
      </c>
      <c r="M1165" s="7" t="n">
        <v>0</v>
      </c>
    </row>
    <row r="1166">
      <c r="A1166" t="n">
        <v>509918</v>
      </c>
      <c r="B1166" s="6" t="n">
        <v>45945</v>
      </c>
      <c r="C1166" t="n">
        <v>16844</v>
      </c>
      <c r="D1166" t="inlineStr">
        <is>
          <t>Mumbai</t>
        </is>
      </c>
      <c r="E1166" t="inlineStr">
        <is>
          <t>West</t>
        </is>
      </c>
      <c r="F1166" t="inlineStr">
        <is>
          <t>Referral</t>
        </is>
      </c>
      <c r="G1166" t="inlineStr">
        <is>
          <t>Mobile App</t>
        </is>
      </c>
      <c r="H1166" t="inlineStr">
        <is>
          <t>UPI</t>
        </is>
      </c>
      <c r="I1166" t="inlineStr">
        <is>
          <t>Delivered</t>
        </is>
      </c>
      <c r="J1166" t="n">
        <v>137</v>
      </c>
      <c r="K1166" t="n">
        <v>1</v>
      </c>
      <c r="L1166" s="7" t="n">
        <v>261</v>
      </c>
      <c r="M1166" s="7" t="n">
        <v>26.1</v>
      </c>
    </row>
    <row r="1167">
      <c r="A1167" t="n">
        <v>509918</v>
      </c>
      <c r="B1167" s="6" t="n">
        <v>45945</v>
      </c>
      <c r="C1167" t="n">
        <v>16844</v>
      </c>
      <c r="D1167" t="inlineStr">
        <is>
          <t>Mumbai</t>
        </is>
      </c>
      <c r="E1167" t="inlineStr">
        <is>
          <t>West</t>
        </is>
      </c>
      <c r="F1167" t="inlineStr">
        <is>
          <t>Referral</t>
        </is>
      </c>
      <c r="G1167" t="inlineStr">
        <is>
          <t>Mobile App</t>
        </is>
      </c>
      <c r="H1167" t="inlineStr">
        <is>
          <t>UPI</t>
        </is>
      </c>
      <c r="I1167" t="inlineStr">
        <is>
          <t>Delivered</t>
        </is>
      </c>
      <c r="J1167" t="n">
        <v>101</v>
      </c>
      <c r="K1167" t="n">
        <v>1</v>
      </c>
      <c r="L1167" s="7" t="n">
        <v>2099</v>
      </c>
      <c r="M1167" s="7" t="n">
        <v>209.9</v>
      </c>
    </row>
    <row r="1168">
      <c r="A1168" t="n">
        <v>509919</v>
      </c>
      <c r="B1168" s="6" t="n">
        <v>45945</v>
      </c>
      <c r="C1168" t="n">
        <v>11512</v>
      </c>
      <c r="D1168" t="inlineStr">
        <is>
          <t>Chennai</t>
        </is>
      </c>
      <c r="E1168" t="inlineStr">
        <is>
          <t>South</t>
        </is>
      </c>
      <c r="F1168" t="inlineStr">
        <is>
          <t>Organic Search</t>
        </is>
      </c>
      <c r="G1168" t="inlineStr">
        <is>
          <t>Mobile App</t>
        </is>
      </c>
      <c r="H1168" t="inlineStr">
        <is>
          <t>UPI</t>
        </is>
      </c>
      <c r="I1168" t="inlineStr">
        <is>
          <t>Delivered</t>
        </is>
      </c>
      <c r="J1168" t="n">
        <v>113</v>
      </c>
      <c r="K1168" t="n">
        <v>1</v>
      </c>
      <c r="L1168" s="7" t="n">
        <v>1364</v>
      </c>
      <c r="M1168" s="7" t="n">
        <v>0</v>
      </c>
    </row>
    <row r="1169">
      <c r="A1169" t="n">
        <v>509920</v>
      </c>
      <c r="B1169" s="6" t="n">
        <v>45945</v>
      </c>
      <c r="C1169" t="n">
        <v>11957</v>
      </c>
      <c r="D1169" t="inlineStr">
        <is>
          <t>Chandigarh</t>
        </is>
      </c>
      <c r="E1169" t="inlineStr">
        <is>
          <t>North</t>
        </is>
      </c>
      <c r="F1169" t="inlineStr">
        <is>
          <t>Paid Social</t>
        </is>
      </c>
      <c r="G1169" t="inlineStr">
        <is>
          <t>Mobile App</t>
        </is>
      </c>
      <c r="H1169" t="inlineStr">
        <is>
          <t>Cash on Delivery</t>
        </is>
      </c>
      <c r="I1169" t="inlineStr">
        <is>
          <t>Delivered</t>
        </is>
      </c>
      <c r="J1169" t="n">
        <v>110</v>
      </c>
      <c r="K1169" t="n">
        <v>1</v>
      </c>
      <c r="L1169" s="7" t="n">
        <v>839</v>
      </c>
      <c r="M1169" s="7" t="n">
        <v>83.90000000000001</v>
      </c>
    </row>
    <row r="1170">
      <c r="A1170" t="n">
        <v>509920</v>
      </c>
      <c r="B1170" s="6" t="n">
        <v>45945</v>
      </c>
      <c r="C1170" t="n">
        <v>11957</v>
      </c>
      <c r="D1170" t="inlineStr">
        <is>
          <t>Chandigarh</t>
        </is>
      </c>
      <c r="E1170" t="inlineStr">
        <is>
          <t>North</t>
        </is>
      </c>
      <c r="F1170" t="inlineStr">
        <is>
          <t>Paid Social</t>
        </is>
      </c>
      <c r="G1170" t="inlineStr">
        <is>
          <t>Mobile App</t>
        </is>
      </c>
      <c r="H1170" t="inlineStr">
        <is>
          <t>Cash on Delivery</t>
        </is>
      </c>
      <c r="I1170" t="inlineStr">
        <is>
          <t>Delivered</t>
        </is>
      </c>
      <c r="J1170" t="n">
        <v>129</v>
      </c>
      <c r="K1170" t="n">
        <v>1</v>
      </c>
      <c r="L1170" s="7" t="n">
        <v>576</v>
      </c>
      <c r="M1170" s="7" t="n">
        <v>57.6</v>
      </c>
    </row>
    <row r="1171">
      <c r="A1171" t="n">
        <v>509921</v>
      </c>
      <c r="B1171" s="6" t="n">
        <v>45945</v>
      </c>
      <c r="C1171" t="n">
        <v>16800</v>
      </c>
      <c r="D1171" t="inlineStr">
        <is>
          <t>Bengaluru</t>
        </is>
      </c>
      <c r="E1171" t="inlineStr">
        <is>
          <t>South</t>
        </is>
      </c>
      <c r="F1171" t="inlineStr">
        <is>
          <t>Referral</t>
        </is>
      </c>
      <c r="G1171" t="inlineStr">
        <is>
          <t>Mobile App</t>
        </is>
      </c>
      <c r="H1171" t="inlineStr">
        <is>
          <t>Credit Card</t>
        </is>
      </c>
      <c r="I1171" t="inlineStr">
        <is>
          <t>Delivered</t>
        </is>
      </c>
      <c r="J1171" t="n">
        <v>120</v>
      </c>
      <c r="K1171" t="n">
        <v>2</v>
      </c>
      <c r="L1171" s="7" t="n">
        <v>734</v>
      </c>
      <c r="M1171" s="7" t="n">
        <v>220.2</v>
      </c>
    </row>
    <row r="1172">
      <c r="A1172" t="n">
        <v>509922</v>
      </c>
      <c r="B1172" s="6" t="n">
        <v>45945</v>
      </c>
      <c r="C1172" t="n">
        <v>15809</v>
      </c>
      <c r="D1172" t="inlineStr">
        <is>
          <t>Pune</t>
        </is>
      </c>
      <c r="E1172" t="inlineStr">
        <is>
          <t>West</t>
        </is>
      </c>
      <c r="F1172" t="inlineStr">
        <is>
          <t>Affiliate</t>
        </is>
      </c>
      <c r="G1172" t="inlineStr">
        <is>
          <t>Desktop</t>
        </is>
      </c>
      <c r="H1172" t="inlineStr">
        <is>
          <t>UPI</t>
        </is>
      </c>
      <c r="I1172" t="inlineStr">
        <is>
          <t>Delivered</t>
        </is>
      </c>
      <c r="J1172" t="n">
        <v>132</v>
      </c>
      <c r="K1172" t="n">
        <v>1</v>
      </c>
      <c r="L1172" s="7" t="n">
        <v>471</v>
      </c>
      <c r="M1172" s="7" t="n">
        <v>47.1</v>
      </c>
    </row>
    <row r="1173">
      <c r="A1173" t="n">
        <v>509922</v>
      </c>
      <c r="B1173" s="6" t="n">
        <v>45945</v>
      </c>
      <c r="C1173" t="n">
        <v>15809</v>
      </c>
      <c r="D1173" t="inlineStr">
        <is>
          <t>Pune</t>
        </is>
      </c>
      <c r="E1173" t="inlineStr">
        <is>
          <t>West</t>
        </is>
      </c>
      <c r="F1173" t="inlineStr">
        <is>
          <t>Affiliate</t>
        </is>
      </c>
      <c r="G1173" t="inlineStr">
        <is>
          <t>Desktop</t>
        </is>
      </c>
      <c r="H1173" t="inlineStr">
        <is>
          <t>UPI</t>
        </is>
      </c>
      <c r="I1173" t="inlineStr">
        <is>
          <t>Delivered</t>
        </is>
      </c>
      <c r="J1173" t="n">
        <v>124</v>
      </c>
      <c r="K1173" t="n">
        <v>1</v>
      </c>
      <c r="L1173" s="7" t="n">
        <v>1154</v>
      </c>
      <c r="M1173" s="7" t="n">
        <v>115.4</v>
      </c>
    </row>
    <row r="1174">
      <c r="A1174" t="n">
        <v>509922</v>
      </c>
      <c r="B1174" s="6" t="n">
        <v>45945</v>
      </c>
      <c r="C1174" t="n">
        <v>15809</v>
      </c>
      <c r="D1174" t="inlineStr">
        <is>
          <t>Pune</t>
        </is>
      </c>
      <c r="E1174" t="inlineStr">
        <is>
          <t>West</t>
        </is>
      </c>
      <c r="F1174" t="inlineStr">
        <is>
          <t>Affiliate</t>
        </is>
      </c>
      <c r="G1174" t="inlineStr">
        <is>
          <t>Desktop</t>
        </is>
      </c>
      <c r="H1174" t="inlineStr">
        <is>
          <t>UPI</t>
        </is>
      </c>
      <c r="I1174" t="inlineStr">
        <is>
          <t>Delivered</t>
        </is>
      </c>
      <c r="J1174" t="n">
        <v>123</v>
      </c>
      <c r="K1174" t="n">
        <v>1</v>
      </c>
      <c r="L1174" s="7" t="n">
        <v>3464</v>
      </c>
      <c r="M1174" s="7" t="n">
        <v>346.4</v>
      </c>
    </row>
    <row r="1175">
      <c r="A1175" t="n">
        <v>509923</v>
      </c>
      <c r="B1175" s="6" t="n">
        <v>45945</v>
      </c>
      <c r="C1175" t="n">
        <v>16705</v>
      </c>
      <c r="D1175" t="inlineStr">
        <is>
          <t>Indore</t>
        </is>
      </c>
      <c r="E1175" t="inlineStr">
        <is>
          <t>West</t>
        </is>
      </c>
      <c r="F1175" t="inlineStr">
        <is>
          <t>Organic Search</t>
        </is>
      </c>
      <c r="G1175" t="inlineStr">
        <is>
          <t>Mobile App</t>
        </is>
      </c>
      <c r="H1175" t="inlineStr">
        <is>
          <t>UPI</t>
        </is>
      </c>
      <c r="I1175" t="inlineStr">
        <is>
          <t>Delivered</t>
        </is>
      </c>
      <c r="J1175" t="n">
        <v>143</v>
      </c>
      <c r="K1175" t="n">
        <v>1</v>
      </c>
      <c r="L1175" s="7" t="n">
        <v>839</v>
      </c>
      <c r="M1175" s="7" t="n">
        <v>0</v>
      </c>
    </row>
    <row r="1176">
      <c r="A1176" t="n">
        <v>509923</v>
      </c>
      <c r="B1176" s="6" t="n">
        <v>45945</v>
      </c>
      <c r="C1176" t="n">
        <v>16705</v>
      </c>
      <c r="D1176" t="inlineStr">
        <is>
          <t>Indore</t>
        </is>
      </c>
      <c r="E1176" t="inlineStr">
        <is>
          <t>West</t>
        </is>
      </c>
      <c r="F1176" t="inlineStr">
        <is>
          <t>Organic Search</t>
        </is>
      </c>
      <c r="G1176" t="inlineStr">
        <is>
          <t>Mobile App</t>
        </is>
      </c>
      <c r="H1176" t="inlineStr">
        <is>
          <t>UPI</t>
        </is>
      </c>
      <c r="I1176" t="inlineStr">
        <is>
          <t>Delivered</t>
        </is>
      </c>
      <c r="J1176" t="n">
        <v>129</v>
      </c>
      <c r="K1176" t="n">
        <v>1</v>
      </c>
      <c r="L1176" s="7" t="n">
        <v>576</v>
      </c>
      <c r="M1176" s="7" t="n">
        <v>0</v>
      </c>
    </row>
    <row r="1177">
      <c r="A1177" t="n">
        <v>509924</v>
      </c>
      <c r="B1177" s="6" t="n">
        <v>45945</v>
      </c>
      <c r="C1177" t="n">
        <v>16828</v>
      </c>
      <c r="D1177" t="inlineStr">
        <is>
          <t>Mumbai</t>
        </is>
      </c>
      <c r="E1177" t="inlineStr">
        <is>
          <t>West</t>
        </is>
      </c>
      <c r="F1177" t="inlineStr">
        <is>
          <t>Organic Search</t>
        </is>
      </c>
      <c r="G1177" t="inlineStr">
        <is>
          <t>Mobile Web</t>
        </is>
      </c>
      <c r="H1177" t="inlineStr">
        <is>
          <t>Debit Card</t>
        </is>
      </c>
      <c r="I1177" t="inlineStr">
        <is>
          <t>Delivered</t>
        </is>
      </c>
      <c r="J1177" t="n">
        <v>138</v>
      </c>
      <c r="K1177" t="n">
        <v>1</v>
      </c>
      <c r="L1177" s="7" t="n">
        <v>419</v>
      </c>
      <c r="M1177" s="7" t="n">
        <v>62.85</v>
      </c>
    </row>
    <row r="1178">
      <c r="A1178" t="n">
        <v>509925</v>
      </c>
      <c r="B1178" s="6" t="n">
        <v>45945</v>
      </c>
      <c r="C1178" t="n">
        <v>12920</v>
      </c>
      <c r="D1178" t="inlineStr">
        <is>
          <t>Noida</t>
        </is>
      </c>
      <c r="E1178" t="inlineStr">
        <is>
          <t>North</t>
        </is>
      </c>
      <c r="F1178" t="inlineStr">
        <is>
          <t>Paid Search</t>
        </is>
      </c>
      <c r="G1178" t="inlineStr">
        <is>
          <t>Mobile App</t>
        </is>
      </c>
      <c r="H1178" t="inlineStr">
        <is>
          <t>UPI</t>
        </is>
      </c>
      <c r="I1178" t="inlineStr">
        <is>
          <t>Returned</t>
        </is>
      </c>
      <c r="J1178" t="n">
        <v>142</v>
      </c>
      <c r="K1178" t="n">
        <v>2</v>
      </c>
      <c r="L1178" s="7" t="n">
        <v>839</v>
      </c>
      <c r="M1178" s="7" t="n">
        <v>0</v>
      </c>
    </row>
    <row r="1179">
      <c r="A1179" t="n">
        <v>509925</v>
      </c>
      <c r="B1179" s="6" t="n">
        <v>45945</v>
      </c>
      <c r="C1179" t="n">
        <v>12920</v>
      </c>
      <c r="D1179" t="inlineStr">
        <is>
          <t>Noida</t>
        </is>
      </c>
      <c r="E1179" t="inlineStr">
        <is>
          <t>North</t>
        </is>
      </c>
      <c r="F1179" t="inlineStr">
        <is>
          <t>Paid Search</t>
        </is>
      </c>
      <c r="G1179" t="inlineStr">
        <is>
          <t>Mobile App</t>
        </is>
      </c>
      <c r="H1179" t="inlineStr">
        <is>
          <t>UPI</t>
        </is>
      </c>
      <c r="I1179" t="inlineStr">
        <is>
          <t>Returned</t>
        </is>
      </c>
      <c r="J1179" t="n">
        <v>119</v>
      </c>
      <c r="K1179" t="n">
        <v>1</v>
      </c>
      <c r="L1179" s="7" t="n">
        <v>2309</v>
      </c>
      <c r="M1179" s="7" t="n">
        <v>0</v>
      </c>
    </row>
    <row r="1180">
      <c r="A1180" t="n">
        <v>509925</v>
      </c>
      <c r="B1180" s="6" t="n">
        <v>45945</v>
      </c>
      <c r="C1180" t="n">
        <v>12920</v>
      </c>
      <c r="D1180" t="inlineStr">
        <is>
          <t>Noida</t>
        </is>
      </c>
      <c r="E1180" t="inlineStr">
        <is>
          <t>North</t>
        </is>
      </c>
      <c r="F1180" t="inlineStr">
        <is>
          <t>Paid Search</t>
        </is>
      </c>
      <c r="G1180" t="inlineStr">
        <is>
          <t>Mobile App</t>
        </is>
      </c>
      <c r="H1180" t="inlineStr">
        <is>
          <t>UPI</t>
        </is>
      </c>
      <c r="I1180" t="inlineStr">
        <is>
          <t>Returned</t>
        </is>
      </c>
      <c r="J1180" t="n">
        <v>103</v>
      </c>
      <c r="K1180" t="n">
        <v>1</v>
      </c>
      <c r="L1180" s="7" t="n">
        <v>2624</v>
      </c>
      <c r="M1180" s="7" t="n">
        <v>0</v>
      </c>
    </row>
    <row r="1181">
      <c r="A1181" t="n">
        <v>509926</v>
      </c>
      <c r="B1181" s="6" t="n">
        <v>45945</v>
      </c>
      <c r="C1181" t="n">
        <v>15691</v>
      </c>
      <c r="D1181" t="inlineStr">
        <is>
          <t>Mumbai</t>
        </is>
      </c>
      <c r="E1181" t="inlineStr">
        <is>
          <t>West</t>
        </is>
      </c>
      <c r="F1181" t="inlineStr">
        <is>
          <t>Referral</t>
        </is>
      </c>
      <c r="G1181" t="inlineStr">
        <is>
          <t>Mobile Web</t>
        </is>
      </c>
      <c r="H1181" t="inlineStr">
        <is>
          <t>Debit Card</t>
        </is>
      </c>
      <c r="I1181" t="inlineStr">
        <is>
          <t>Returned</t>
        </is>
      </c>
      <c r="J1181" t="n">
        <v>120</v>
      </c>
      <c r="K1181" t="n">
        <v>2</v>
      </c>
      <c r="L1181" s="7" t="n">
        <v>734</v>
      </c>
      <c r="M1181" s="7" t="n">
        <v>146.8</v>
      </c>
    </row>
    <row r="1182">
      <c r="A1182" t="n">
        <v>509927</v>
      </c>
      <c r="B1182" s="6" t="n">
        <v>45945</v>
      </c>
      <c r="C1182" t="n">
        <v>14291</v>
      </c>
      <c r="D1182" t="inlineStr">
        <is>
          <t>Ahmedabad</t>
        </is>
      </c>
      <c r="E1182" t="inlineStr">
        <is>
          <t>West</t>
        </is>
      </c>
      <c r="F1182" t="inlineStr">
        <is>
          <t>Paid Social</t>
        </is>
      </c>
      <c r="G1182" t="inlineStr">
        <is>
          <t>Desktop</t>
        </is>
      </c>
      <c r="H1182" t="inlineStr">
        <is>
          <t>Cash on Delivery</t>
        </is>
      </c>
      <c r="I1182" t="inlineStr">
        <is>
          <t>Delivered</t>
        </is>
      </c>
      <c r="J1182" t="n">
        <v>137</v>
      </c>
      <c r="K1182" t="n">
        <v>1</v>
      </c>
      <c r="L1182" s="7" t="n">
        <v>261</v>
      </c>
      <c r="M1182" s="7" t="n">
        <v>26.1</v>
      </c>
    </row>
    <row r="1183">
      <c r="A1183" t="n">
        <v>509927</v>
      </c>
      <c r="B1183" s="6" t="n">
        <v>45945</v>
      </c>
      <c r="C1183" t="n">
        <v>14291</v>
      </c>
      <c r="D1183" t="inlineStr">
        <is>
          <t>Ahmedabad</t>
        </is>
      </c>
      <c r="E1183" t="inlineStr">
        <is>
          <t>West</t>
        </is>
      </c>
      <c r="F1183" t="inlineStr">
        <is>
          <t>Paid Social</t>
        </is>
      </c>
      <c r="G1183" t="inlineStr">
        <is>
          <t>Desktop</t>
        </is>
      </c>
      <c r="H1183" t="inlineStr">
        <is>
          <t>Cash on Delivery</t>
        </is>
      </c>
      <c r="I1183" t="inlineStr">
        <is>
          <t>Delivered</t>
        </is>
      </c>
      <c r="J1183" t="n">
        <v>133</v>
      </c>
      <c r="K1183" t="n">
        <v>1</v>
      </c>
      <c r="L1183" s="7" t="n">
        <v>419</v>
      </c>
      <c r="M1183" s="7" t="n">
        <v>41.9</v>
      </c>
    </row>
    <row r="1184">
      <c r="A1184" t="n">
        <v>509927</v>
      </c>
      <c r="B1184" s="6" t="n">
        <v>45945</v>
      </c>
      <c r="C1184" t="n">
        <v>14291</v>
      </c>
      <c r="D1184" t="inlineStr">
        <is>
          <t>Ahmedabad</t>
        </is>
      </c>
      <c r="E1184" t="inlineStr">
        <is>
          <t>West</t>
        </is>
      </c>
      <c r="F1184" t="inlineStr">
        <is>
          <t>Paid Social</t>
        </is>
      </c>
      <c r="G1184" t="inlineStr">
        <is>
          <t>Desktop</t>
        </is>
      </c>
      <c r="H1184" t="inlineStr">
        <is>
          <t>Cash on Delivery</t>
        </is>
      </c>
      <c r="I1184" t="inlineStr">
        <is>
          <t>Delivered</t>
        </is>
      </c>
      <c r="J1184" t="n">
        <v>101</v>
      </c>
      <c r="K1184" t="n">
        <v>1</v>
      </c>
      <c r="L1184" s="7" t="n">
        <v>2099</v>
      </c>
      <c r="M1184" s="7" t="n">
        <v>209.9</v>
      </c>
    </row>
    <row r="1185">
      <c r="A1185" t="n">
        <v>509927</v>
      </c>
      <c r="B1185" s="6" t="n">
        <v>45945</v>
      </c>
      <c r="C1185" t="n">
        <v>14291</v>
      </c>
      <c r="D1185" t="inlineStr">
        <is>
          <t>Ahmedabad</t>
        </is>
      </c>
      <c r="E1185" t="inlineStr">
        <is>
          <t>West</t>
        </is>
      </c>
      <c r="F1185" t="inlineStr">
        <is>
          <t>Paid Social</t>
        </is>
      </c>
      <c r="G1185" t="inlineStr">
        <is>
          <t>Desktop</t>
        </is>
      </c>
      <c r="H1185" t="inlineStr">
        <is>
          <t>Cash on Delivery</t>
        </is>
      </c>
      <c r="I1185" t="inlineStr">
        <is>
          <t>Delivered</t>
        </is>
      </c>
      <c r="J1185" t="n">
        <v>129</v>
      </c>
      <c r="K1185" t="n">
        <v>1</v>
      </c>
      <c r="L1185" s="7" t="n">
        <v>576</v>
      </c>
      <c r="M1185" s="7" t="n">
        <v>57.6</v>
      </c>
    </row>
    <row r="1186">
      <c r="A1186" t="n">
        <v>509928</v>
      </c>
      <c r="B1186" s="6" t="n">
        <v>45945</v>
      </c>
      <c r="C1186" t="n">
        <v>16394</v>
      </c>
      <c r="D1186" t="inlineStr">
        <is>
          <t>Lucknow</t>
        </is>
      </c>
      <c r="E1186" t="inlineStr">
        <is>
          <t>North</t>
        </is>
      </c>
      <c r="F1186" t="inlineStr">
        <is>
          <t>Email</t>
        </is>
      </c>
      <c r="G1186" t="inlineStr">
        <is>
          <t>Mobile Web</t>
        </is>
      </c>
      <c r="H1186" t="inlineStr">
        <is>
          <t>Net Banking</t>
        </is>
      </c>
      <c r="I1186" t="inlineStr">
        <is>
          <t>Returned</t>
        </is>
      </c>
      <c r="J1186" t="n">
        <v>137</v>
      </c>
      <c r="K1186" t="n">
        <v>1</v>
      </c>
      <c r="L1186" s="7" t="n">
        <v>261</v>
      </c>
      <c r="M1186" s="7" t="n">
        <v>26.1</v>
      </c>
    </row>
    <row r="1187">
      <c r="A1187" t="n">
        <v>509928</v>
      </c>
      <c r="B1187" s="6" t="n">
        <v>45945</v>
      </c>
      <c r="C1187" t="n">
        <v>16394</v>
      </c>
      <c r="D1187" t="inlineStr">
        <is>
          <t>Lucknow</t>
        </is>
      </c>
      <c r="E1187" t="inlineStr">
        <is>
          <t>North</t>
        </is>
      </c>
      <c r="F1187" t="inlineStr">
        <is>
          <t>Email</t>
        </is>
      </c>
      <c r="G1187" t="inlineStr">
        <is>
          <t>Mobile Web</t>
        </is>
      </c>
      <c r="H1187" t="inlineStr">
        <is>
          <t>Net Banking</t>
        </is>
      </c>
      <c r="I1187" t="inlineStr">
        <is>
          <t>Returned</t>
        </is>
      </c>
      <c r="J1187" t="n">
        <v>103</v>
      </c>
      <c r="K1187" t="n">
        <v>1</v>
      </c>
      <c r="L1187" s="7" t="n">
        <v>2624</v>
      </c>
      <c r="M1187" s="7" t="n">
        <v>262.4</v>
      </c>
    </row>
    <row r="1188">
      <c r="A1188" t="n">
        <v>509928</v>
      </c>
      <c r="B1188" s="6" t="n">
        <v>45945</v>
      </c>
      <c r="C1188" t="n">
        <v>16394</v>
      </c>
      <c r="D1188" t="inlineStr">
        <is>
          <t>Lucknow</t>
        </is>
      </c>
      <c r="E1188" t="inlineStr">
        <is>
          <t>North</t>
        </is>
      </c>
      <c r="F1188" t="inlineStr">
        <is>
          <t>Email</t>
        </is>
      </c>
      <c r="G1188" t="inlineStr">
        <is>
          <t>Mobile Web</t>
        </is>
      </c>
      <c r="H1188" t="inlineStr">
        <is>
          <t>Net Banking</t>
        </is>
      </c>
      <c r="I1188" t="inlineStr">
        <is>
          <t>Returned</t>
        </is>
      </c>
      <c r="J1188" t="n">
        <v>117</v>
      </c>
      <c r="K1188" t="n">
        <v>2</v>
      </c>
      <c r="L1188" s="7" t="n">
        <v>3149</v>
      </c>
      <c r="M1188" s="7" t="n">
        <v>629.8</v>
      </c>
    </row>
    <row r="1189">
      <c r="A1189" t="n">
        <v>509929</v>
      </c>
      <c r="B1189" s="6" t="n">
        <v>45945</v>
      </c>
      <c r="C1189" t="n">
        <v>12663</v>
      </c>
      <c r="D1189" t="inlineStr">
        <is>
          <t>Delhi</t>
        </is>
      </c>
      <c r="E1189" t="inlineStr">
        <is>
          <t>North</t>
        </is>
      </c>
      <c r="F1189" t="inlineStr">
        <is>
          <t>Organic Search</t>
        </is>
      </c>
      <c r="G1189" t="inlineStr">
        <is>
          <t>Mobile App</t>
        </is>
      </c>
      <c r="H1189" t="inlineStr">
        <is>
          <t>UPI</t>
        </is>
      </c>
      <c r="I1189" t="inlineStr">
        <is>
          <t>Delivered</t>
        </is>
      </c>
      <c r="J1189" t="n">
        <v>126</v>
      </c>
      <c r="K1189" t="n">
        <v>1</v>
      </c>
      <c r="L1189" s="7" t="n">
        <v>471</v>
      </c>
      <c r="M1189" s="7" t="n">
        <v>47.1</v>
      </c>
    </row>
    <row r="1190">
      <c r="A1190" t="n">
        <v>509930</v>
      </c>
      <c r="B1190" s="6" t="n">
        <v>45945</v>
      </c>
      <c r="C1190" t="n">
        <v>12601</v>
      </c>
      <c r="D1190" t="inlineStr">
        <is>
          <t>Hyderabad</t>
        </is>
      </c>
      <c r="E1190" t="inlineStr">
        <is>
          <t>South</t>
        </is>
      </c>
      <c r="F1190" t="inlineStr">
        <is>
          <t>Email</t>
        </is>
      </c>
      <c r="G1190" t="inlineStr">
        <is>
          <t>Mobile App</t>
        </is>
      </c>
      <c r="H1190" t="inlineStr">
        <is>
          <t>Credit Card</t>
        </is>
      </c>
      <c r="I1190" t="inlineStr">
        <is>
          <t>Delivered</t>
        </is>
      </c>
      <c r="J1190" t="n">
        <v>112</v>
      </c>
      <c r="K1190" t="n">
        <v>2</v>
      </c>
      <c r="L1190" s="7" t="n">
        <v>1574</v>
      </c>
      <c r="M1190" s="7" t="n">
        <v>0</v>
      </c>
    </row>
    <row r="1191">
      <c r="A1191" t="n">
        <v>509931</v>
      </c>
      <c r="B1191" s="6" t="n">
        <v>45945</v>
      </c>
      <c r="C1191" t="n">
        <v>16821</v>
      </c>
      <c r="D1191" t="inlineStr">
        <is>
          <t>Mumbai</t>
        </is>
      </c>
      <c r="E1191" t="inlineStr">
        <is>
          <t>West</t>
        </is>
      </c>
      <c r="F1191" t="inlineStr">
        <is>
          <t>Organic Search</t>
        </is>
      </c>
      <c r="G1191" t="inlineStr">
        <is>
          <t>Mobile Web</t>
        </is>
      </c>
      <c r="H1191" t="inlineStr">
        <is>
          <t>Debit Card</t>
        </is>
      </c>
      <c r="I1191" t="inlineStr">
        <is>
          <t>Returned</t>
        </is>
      </c>
      <c r="J1191" t="n">
        <v>112</v>
      </c>
      <c r="K1191" t="n">
        <v>1</v>
      </c>
      <c r="L1191" s="7" t="n">
        <v>1574</v>
      </c>
      <c r="M1191" s="7" t="n">
        <v>157.4</v>
      </c>
    </row>
    <row r="1192">
      <c r="A1192" t="n">
        <v>509932</v>
      </c>
      <c r="B1192" s="6" t="n">
        <v>45945</v>
      </c>
      <c r="C1192" t="n">
        <v>16840</v>
      </c>
      <c r="D1192" t="inlineStr">
        <is>
          <t>Lucknow</t>
        </is>
      </c>
      <c r="E1192" t="inlineStr">
        <is>
          <t>North</t>
        </is>
      </c>
      <c r="F1192" t="inlineStr">
        <is>
          <t>Affiliate</t>
        </is>
      </c>
      <c r="G1192" t="inlineStr">
        <is>
          <t>Mobile Web</t>
        </is>
      </c>
      <c r="H1192" t="inlineStr">
        <is>
          <t>UPI</t>
        </is>
      </c>
      <c r="I1192" t="inlineStr">
        <is>
          <t>Delivered</t>
        </is>
      </c>
      <c r="J1192" t="n">
        <v>108</v>
      </c>
      <c r="K1192" t="n">
        <v>1</v>
      </c>
      <c r="L1192" s="7" t="n">
        <v>419</v>
      </c>
      <c r="M1192" s="7" t="n">
        <v>0</v>
      </c>
    </row>
    <row r="1193">
      <c r="A1193" t="n">
        <v>509932</v>
      </c>
      <c r="B1193" s="6" t="n">
        <v>45945</v>
      </c>
      <c r="C1193" t="n">
        <v>16840</v>
      </c>
      <c r="D1193" t="inlineStr">
        <is>
          <t>Lucknow</t>
        </is>
      </c>
      <c r="E1193" t="inlineStr">
        <is>
          <t>North</t>
        </is>
      </c>
      <c r="F1193" t="inlineStr">
        <is>
          <t>Affiliate</t>
        </is>
      </c>
      <c r="G1193" t="inlineStr">
        <is>
          <t>Mobile Web</t>
        </is>
      </c>
      <c r="H1193" t="inlineStr">
        <is>
          <t>UPI</t>
        </is>
      </c>
      <c r="I1193" t="inlineStr">
        <is>
          <t>Delivered</t>
        </is>
      </c>
      <c r="J1193" t="n">
        <v>120</v>
      </c>
      <c r="K1193" t="n">
        <v>2</v>
      </c>
      <c r="L1193" s="7" t="n">
        <v>734</v>
      </c>
      <c r="M1193" s="7" t="n">
        <v>0</v>
      </c>
    </row>
    <row r="1194">
      <c r="A1194" t="n">
        <v>509932</v>
      </c>
      <c r="B1194" s="6" t="n">
        <v>45945</v>
      </c>
      <c r="C1194" t="n">
        <v>16840</v>
      </c>
      <c r="D1194" t="inlineStr">
        <is>
          <t>Lucknow</t>
        </is>
      </c>
      <c r="E1194" t="inlineStr">
        <is>
          <t>North</t>
        </is>
      </c>
      <c r="F1194" t="inlineStr">
        <is>
          <t>Affiliate</t>
        </is>
      </c>
      <c r="G1194" t="inlineStr">
        <is>
          <t>Mobile Web</t>
        </is>
      </c>
      <c r="H1194" t="inlineStr">
        <is>
          <t>UPI</t>
        </is>
      </c>
      <c r="I1194" t="inlineStr">
        <is>
          <t>Delivered</t>
        </is>
      </c>
      <c r="J1194" t="n">
        <v>129</v>
      </c>
      <c r="K1194" t="n">
        <v>1</v>
      </c>
      <c r="L1194" s="7" t="n">
        <v>576</v>
      </c>
      <c r="M1194" s="7" t="n">
        <v>0</v>
      </c>
    </row>
    <row r="1195">
      <c r="A1195" t="n">
        <v>509933</v>
      </c>
      <c r="B1195" s="6" t="n">
        <v>45945</v>
      </c>
      <c r="C1195" t="n">
        <v>16328</v>
      </c>
      <c r="D1195" t="inlineStr">
        <is>
          <t>Ahmedabad</t>
        </is>
      </c>
      <c r="E1195" t="inlineStr">
        <is>
          <t>West</t>
        </is>
      </c>
      <c r="F1195" t="inlineStr">
        <is>
          <t>Paid Social</t>
        </is>
      </c>
      <c r="G1195" t="inlineStr">
        <is>
          <t>Mobile Web</t>
        </is>
      </c>
      <c r="H1195" t="inlineStr">
        <is>
          <t>Debit Card</t>
        </is>
      </c>
      <c r="I1195" t="inlineStr">
        <is>
          <t>Delivered</t>
        </is>
      </c>
      <c r="J1195" t="n">
        <v>142</v>
      </c>
      <c r="K1195" t="n">
        <v>1</v>
      </c>
      <c r="L1195" s="7" t="n">
        <v>839</v>
      </c>
      <c r="M1195" s="7" t="n">
        <v>0</v>
      </c>
    </row>
    <row r="1196">
      <c r="A1196" t="n">
        <v>509933</v>
      </c>
      <c r="B1196" s="6" t="n">
        <v>45945</v>
      </c>
      <c r="C1196" t="n">
        <v>16328</v>
      </c>
      <c r="D1196" t="inlineStr">
        <is>
          <t>Ahmedabad</t>
        </is>
      </c>
      <c r="E1196" t="inlineStr">
        <is>
          <t>West</t>
        </is>
      </c>
      <c r="F1196" t="inlineStr">
        <is>
          <t>Paid Social</t>
        </is>
      </c>
      <c r="G1196" t="inlineStr">
        <is>
          <t>Mobile Web</t>
        </is>
      </c>
      <c r="H1196" t="inlineStr">
        <is>
          <t>Debit Card</t>
        </is>
      </c>
      <c r="I1196" t="inlineStr">
        <is>
          <t>Delivered</t>
        </is>
      </c>
      <c r="J1196" t="n">
        <v>129</v>
      </c>
      <c r="K1196" t="n">
        <v>1</v>
      </c>
      <c r="L1196" s="7" t="n">
        <v>576</v>
      </c>
      <c r="M1196" s="7" t="n">
        <v>0</v>
      </c>
    </row>
    <row r="1197">
      <c r="A1197" t="n">
        <v>509934</v>
      </c>
      <c r="B1197" s="6" t="n">
        <v>45945</v>
      </c>
      <c r="C1197" t="n">
        <v>16824</v>
      </c>
      <c r="D1197" t="inlineStr">
        <is>
          <t>Bengaluru</t>
        </is>
      </c>
      <c r="E1197" t="inlineStr">
        <is>
          <t>South</t>
        </is>
      </c>
      <c r="F1197" t="inlineStr">
        <is>
          <t>Paid Search</t>
        </is>
      </c>
      <c r="G1197" t="inlineStr">
        <is>
          <t>Desktop</t>
        </is>
      </c>
      <c r="H1197" t="inlineStr">
        <is>
          <t>Credit Card</t>
        </is>
      </c>
      <c r="I1197" t="inlineStr">
        <is>
          <t>Delivered</t>
        </is>
      </c>
      <c r="J1197" t="n">
        <v>117</v>
      </c>
      <c r="K1197" t="n">
        <v>1</v>
      </c>
      <c r="L1197" s="7" t="n">
        <v>3149</v>
      </c>
      <c r="M1197" s="7" t="n">
        <v>472.35</v>
      </c>
    </row>
    <row r="1198">
      <c r="A1198" t="n">
        <v>509935</v>
      </c>
      <c r="B1198" s="6" t="n">
        <v>45945</v>
      </c>
      <c r="C1198" t="n">
        <v>12543</v>
      </c>
      <c r="D1198" t="inlineStr">
        <is>
          <t>Lucknow</t>
        </is>
      </c>
      <c r="E1198" t="inlineStr">
        <is>
          <t>North</t>
        </is>
      </c>
      <c r="F1198" t="inlineStr">
        <is>
          <t>Affiliate</t>
        </is>
      </c>
      <c r="G1198" t="inlineStr">
        <is>
          <t>Mobile App</t>
        </is>
      </c>
      <c r="H1198" t="inlineStr">
        <is>
          <t>UPI</t>
        </is>
      </c>
      <c r="I1198" t="inlineStr">
        <is>
          <t>Returned</t>
        </is>
      </c>
      <c r="J1198" t="n">
        <v>107</v>
      </c>
      <c r="K1198" t="n">
        <v>1</v>
      </c>
      <c r="L1198" s="7" t="n">
        <v>1259</v>
      </c>
      <c r="M1198" s="7" t="n">
        <v>125.9</v>
      </c>
    </row>
    <row r="1199">
      <c r="A1199" t="n">
        <v>509935</v>
      </c>
      <c r="B1199" s="6" t="n">
        <v>45945</v>
      </c>
      <c r="C1199" t="n">
        <v>12543</v>
      </c>
      <c r="D1199" t="inlineStr">
        <is>
          <t>Lucknow</t>
        </is>
      </c>
      <c r="E1199" t="inlineStr">
        <is>
          <t>North</t>
        </is>
      </c>
      <c r="F1199" t="inlineStr">
        <is>
          <t>Affiliate</t>
        </is>
      </c>
      <c r="G1199" t="inlineStr">
        <is>
          <t>Mobile App</t>
        </is>
      </c>
      <c r="H1199" t="inlineStr">
        <is>
          <t>UPI</t>
        </is>
      </c>
      <c r="I1199" t="inlineStr">
        <is>
          <t>Returned</t>
        </is>
      </c>
      <c r="J1199" t="n">
        <v>127</v>
      </c>
      <c r="K1199" t="n">
        <v>3</v>
      </c>
      <c r="L1199" s="7" t="n">
        <v>681</v>
      </c>
      <c r="M1199" s="7" t="n">
        <v>204.3</v>
      </c>
    </row>
    <row r="1200">
      <c r="A1200" t="n">
        <v>509935</v>
      </c>
      <c r="B1200" s="6" t="n">
        <v>45945</v>
      </c>
      <c r="C1200" t="n">
        <v>12543</v>
      </c>
      <c r="D1200" t="inlineStr">
        <is>
          <t>Lucknow</t>
        </is>
      </c>
      <c r="E1200" t="inlineStr">
        <is>
          <t>North</t>
        </is>
      </c>
      <c r="F1200" t="inlineStr">
        <is>
          <t>Affiliate</t>
        </is>
      </c>
      <c r="G1200" t="inlineStr">
        <is>
          <t>Mobile App</t>
        </is>
      </c>
      <c r="H1200" t="inlineStr">
        <is>
          <t>UPI</t>
        </is>
      </c>
      <c r="I1200" t="inlineStr">
        <is>
          <t>Returned</t>
        </is>
      </c>
      <c r="J1200" t="n">
        <v>129</v>
      </c>
      <c r="K1200" t="n">
        <v>2</v>
      </c>
      <c r="L1200" s="7" t="n">
        <v>576</v>
      </c>
      <c r="M1200" s="7" t="n">
        <v>115.2</v>
      </c>
    </row>
    <row r="1201">
      <c r="A1201" t="n">
        <v>509936</v>
      </c>
      <c r="B1201" s="6" t="n">
        <v>45945</v>
      </c>
      <c r="C1201" t="n">
        <v>16837</v>
      </c>
      <c r="D1201" t="inlineStr">
        <is>
          <t>Mumbai</t>
        </is>
      </c>
      <c r="E1201" t="inlineStr">
        <is>
          <t>West</t>
        </is>
      </c>
      <c r="F1201" t="inlineStr">
        <is>
          <t>Organic Search</t>
        </is>
      </c>
      <c r="G1201" t="inlineStr">
        <is>
          <t>Mobile Web</t>
        </is>
      </c>
      <c r="H1201" t="inlineStr">
        <is>
          <t>Cash on Delivery</t>
        </is>
      </c>
      <c r="I1201" t="inlineStr">
        <is>
          <t>Delivered</t>
        </is>
      </c>
      <c r="J1201" t="n">
        <v>134</v>
      </c>
      <c r="K1201" t="n">
        <v>1</v>
      </c>
      <c r="L1201" s="7" t="n">
        <v>209</v>
      </c>
      <c r="M1201" s="7" t="n">
        <v>31.35</v>
      </c>
    </row>
    <row r="1202">
      <c r="A1202" t="n">
        <v>509936</v>
      </c>
      <c r="B1202" s="6" t="n">
        <v>45945</v>
      </c>
      <c r="C1202" t="n">
        <v>16837</v>
      </c>
      <c r="D1202" t="inlineStr">
        <is>
          <t>Mumbai</t>
        </is>
      </c>
      <c r="E1202" t="inlineStr">
        <is>
          <t>West</t>
        </is>
      </c>
      <c r="F1202" t="inlineStr">
        <is>
          <t>Organic Search</t>
        </is>
      </c>
      <c r="G1202" t="inlineStr">
        <is>
          <t>Mobile Web</t>
        </is>
      </c>
      <c r="H1202" t="inlineStr">
        <is>
          <t>Cash on Delivery</t>
        </is>
      </c>
      <c r="I1202" t="inlineStr">
        <is>
          <t>Delivered</t>
        </is>
      </c>
      <c r="J1202" t="n">
        <v>105</v>
      </c>
      <c r="K1202" t="n">
        <v>2</v>
      </c>
      <c r="L1202" s="7" t="n">
        <v>2414</v>
      </c>
      <c r="M1202" s="7" t="n">
        <v>724.2</v>
      </c>
    </row>
    <row r="1203">
      <c r="A1203" t="n">
        <v>509936</v>
      </c>
      <c r="B1203" s="6" t="n">
        <v>45945</v>
      </c>
      <c r="C1203" t="n">
        <v>16837</v>
      </c>
      <c r="D1203" t="inlineStr">
        <is>
          <t>Mumbai</t>
        </is>
      </c>
      <c r="E1203" t="inlineStr">
        <is>
          <t>West</t>
        </is>
      </c>
      <c r="F1203" t="inlineStr">
        <is>
          <t>Organic Search</t>
        </is>
      </c>
      <c r="G1203" t="inlineStr">
        <is>
          <t>Mobile Web</t>
        </is>
      </c>
      <c r="H1203" t="inlineStr">
        <is>
          <t>Cash on Delivery</t>
        </is>
      </c>
      <c r="I1203" t="inlineStr">
        <is>
          <t>Delivered</t>
        </is>
      </c>
      <c r="J1203" t="n">
        <v>114</v>
      </c>
      <c r="K1203" t="n">
        <v>3</v>
      </c>
      <c r="L1203" s="7" t="n">
        <v>1259</v>
      </c>
      <c r="M1203" s="7" t="n">
        <v>566.55</v>
      </c>
    </row>
    <row r="1204">
      <c r="A1204" t="n">
        <v>509937</v>
      </c>
      <c r="B1204" s="6" t="n">
        <v>45945</v>
      </c>
      <c r="C1204" t="n">
        <v>11881</v>
      </c>
      <c r="D1204" t="inlineStr">
        <is>
          <t>Delhi</t>
        </is>
      </c>
      <c r="E1204" t="inlineStr">
        <is>
          <t>North</t>
        </is>
      </c>
      <c r="F1204" t="inlineStr">
        <is>
          <t>Affiliate</t>
        </is>
      </c>
      <c r="G1204" t="inlineStr">
        <is>
          <t>Mobile App</t>
        </is>
      </c>
      <c r="H1204" t="inlineStr">
        <is>
          <t>UPI</t>
        </is>
      </c>
      <c r="I1204" t="inlineStr">
        <is>
          <t>Delivered</t>
        </is>
      </c>
      <c r="J1204" t="n">
        <v>108</v>
      </c>
      <c r="K1204" t="n">
        <v>1</v>
      </c>
      <c r="L1204" s="7" t="n">
        <v>419</v>
      </c>
      <c r="M1204" s="7" t="n">
        <v>20.95</v>
      </c>
    </row>
    <row r="1205">
      <c r="A1205" t="n">
        <v>509938</v>
      </c>
      <c r="B1205" s="6" t="n">
        <v>45945</v>
      </c>
      <c r="C1205" t="n">
        <v>12493</v>
      </c>
      <c r="D1205" t="inlineStr">
        <is>
          <t>Pune</t>
        </is>
      </c>
      <c r="E1205" t="inlineStr">
        <is>
          <t>West</t>
        </is>
      </c>
      <c r="F1205" t="inlineStr">
        <is>
          <t>Organic Search</t>
        </is>
      </c>
      <c r="G1205" t="inlineStr">
        <is>
          <t>Mobile Web</t>
        </is>
      </c>
      <c r="H1205" t="inlineStr">
        <is>
          <t>Debit Card</t>
        </is>
      </c>
      <c r="I1205" t="inlineStr">
        <is>
          <t>Delivered</t>
        </is>
      </c>
      <c r="J1205" t="n">
        <v>135</v>
      </c>
      <c r="K1205" t="n">
        <v>1</v>
      </c>
      <c r="L1205" s="7" t="n">
        <v>1574</v>
      </c>
      <c r="M1205" s="7" t="n">
        <v>0</v>
      </c>
    </row>
    <row r="1206">
      <c r="A1206" t="n">
        <v>509938</v>
      </c>
      <c r="B1206" s="6" t="n">
        <v>45945</v>
      </c>
      <c r="C1206" t="n">
        <v>12493</v>
      </c>
      <c r="D1206" t="inlineStr">
        <is>
          <t>Pune</t>
        </is>
      </c>
      <c r="E1206" t="inlineStr">
        <is>
          <t>West</t>
        </is>
      </c>
      <c r="F1206" t="inlineStr">
        <is>
          <t>Organic Search</t>
        </is>
      </c>
      <c r="G1206" t="inlineStr">
        <is>
          <t>Mobile Web</t>
        </is>
      </c>
      <c r="H1206" t="inlineStr">
        <is>
          <t>Debit Card</t>
        </is>
      </c>
      <c r="I1206" t="inlineStr">
        <is>
          <t>Delivered</t>
        </is>
      </c>
      <c r="J1206" t="n">
        <v>141</v>
      </c>
      <c r="K1206" t="n">
        <v>1</v>
      </c>
      <c r="L1206" s="7" t="n">
        <v>261</v>
      </c>
      <c r="M1206" s="7" t="n">
        <v>0</v>
      </c>
    </row>
    <row r="1207">
      <c r="A1207" t="n">
        <v>509939</v>
      </c>
      <c r="B1207" s="6" t="n">
        <v>45945</v>
      </c>
      <c r="C1207" t="n">
        <v>16780</v>
      </c>
      <c r="D1207" t="inlineStr">
        <is>
          <t>Mumbai</t>
        </is>
      </c>
      <c r="E1207" t="inlineStr">
        <is>
          <t>West</t>
        </is>
      </c>
      <c r="F1207" t="inlineStr">
        <is>
          <t>Paid Search</t>
        </is>
      </c>
      <c r="G1207" t="inlineStr">
        <is>
          <t>Mobile App</t>
        </is>
      </c>
      <c r="H1207" t="inlineStr">
        <is>
          <t>UPI</t>
        </is>
      </c>
      <c r="I1207" t="inlineStr">
        <is>
          <t>Delivered</t>
        </is>
      </c>
      <c r="J1207" t="n">
        <v>117</v>
      </c>
      <c r="K1207" t="n">
        <v>1</v>
      </c>
      <c r="L1207" s="7" t="n">
        <v>3149</v>
      </c>
      <c r="M1207" s="7" t="n">
        <v>314.9</v>
      </c>
    </row>
    <row r="1208">
      <c r="A1208" t="n">
        <v>509940</v>
      </c>
      <c r="B1208" s="6" t="n">
        <v>45945</v>
      </c>
      <c r="C1208" t="n">
        <v>13854</v>
      </c>
      <c r="D1208" t="inlineStr">
        <is>
          <t>Lucknow</t>
        </is>
      </c>
      <c r="E1208" t="inlineStr">
        <is>
          <t>North</t>
        </is>
      </c>
      <c r="F1208" t="inlineStr">
        <is>
          <t>Referral</t>
        </is>
      </c>
      <c r="G1208" t="inlineStr">
        <is>
          <t>Mobile App</t>
        </is>
      </c>
      <c r="H1208" t="inlineStr">
        <is>
          <t>Cash on Delivery</t>
        </is>
      </c>
      <c r="I1208" t="inlineStr">
        <is>
          <t>Delivered</t>
        </is>
      </c>
      <c r="J1208" t="n">
        <v>112</v>
      </c>
      <c r="K1208" t="n">
        <v>1</v>
      </c>
      <c r="L1208" s="7" t="n">
        <v>1574</v>
      </c>
      <c r="M1208" s="7" t="n">
        <v>157.4</v>
      </c>
    </row>
    <row r="1209">
      <c r="A1209" t="n">
        <v>509941</v>
      </c>
      <c r="B1209" s="6" t="n">
        <v>45945</v>
      </c>
      <c r="C1209" t="n">
        <v>15992</v>
      </c>
      <c r="D1209" t="inlineStr">
        <is>
          <t>Delhi</t>
        </is>
      </c>
      <c r="E1209" t="inlineStr">
        <is>
          <t>North</t>
        </is>
      </c>
      <c r="F1209" t="inlineStr">
        <is>
          <t>Paid Social</t>
        </is>
      </c>
      <c r="G1209" t="inlineStr">
        <is>
          <t>Mobile App</t>
        </is>
      </c>
      <c r="H1209" t="inlineStr">
        <is>
          <t>Cash on Delivery</t>
        </is>
      </c>
      <c r="I1209" t="inlineStr">
        <is>
          <t>Returned</t>
        </is>
      </c>
      <c r="J1209" t="n">
        <v>122</v>
      </c>
      <c r="K1209" t="n">
        <v>1</v>
      </c>
      <c r="L1209" s="7" t="n">
        <v>1994</v>
      </c>
      <c r="M1209" s="7" t="n">
        <v>0</v>
      </c>
    </row>
    <row r="1210">
      <c r="A1210" t="n">
        <v>509941</v>
      </c>
      <c r="B1210" s="6" t="n">
        <v>45945</v>
      </c>
      <c r="C1210" t="n">
        <v>15992</v>
      </c>
      <c r="D1210" t="inlineStr">
        <is>
          <t>Delhi</t>
        </is>
      </c>
      <c r="E1210" t="inlineStr">
        <is>
          <t>North</t>
        </is>
      </c>
      <c r="F1210" t="inlineStr">
        <is>
          <t>Paid Social</t>
        </is>
      </c>
      <c r="G1210" t="inlineStr">
        <is>
          <t>Mobile App</t>
        </is>
      </c>
      <c r="H1210" t="inlineStr">
        <is>
          <t>Cash on Delivery</t>
        </is>
      </c>
      <c r="I1210" t="inlineStr">
        <is>
          <t>Returned</t>
        </is>
      </c>
      <c r="J1210" t="n">
        <v>123</v>
      </c>
      <c r="K1210" t="n">
        <v>2</v>
      </c>
      <c r="L1210" s="7" t="n">
        <v>3464</v>
      </c>
      <c r="M1210" s="7" t="n">
        <v>0</v>
      </c>
    </row>
    <row r="1211">
      <c r="A1211" t="n">
        <v>509941</v>
      </c>
      <c r="B1211" s="6" t="n">
        <v>45945</v>
      </c>
      <c r="C1211" t="n">
        <v>15992</v>
      </c>
      <c r="D1211" t="inlineStr">
        <is>
          <t>Delhi</t>
        </is>
      </c>
      <c r="E1211" t="inlineStr">
        <is>
          <t>North</t>
        </is>
      </c>
      <c r="F1211" t="inlineStr">
        <is>
          <t>Paid Social</t>
        </is>
      </c>
      <c r="G1211" t="inlineStr">
        <is>
          <t>Mobile App</t>
        </is>
      </c>
      <c r="H1211" t="inlineStr">
        <is>
          <t>Cash on Delivery</t>
        </is>
      </c>
      <c r="I1211" t="inlineStr">
        <is>
          <t>Returned</t>
        </is>
      </c>
      <c r="J1211" t="n">
        <v>145</v>
      </c>
      <c r="K1211" t="n">
        <v>1</v>
      </c>
      <c r="L1211" s="7" t="n">
        <v>629</v>
      </c>
      <c r="M1211" s="7" t="n">
        <v>0</v>
      </c>
    </row>
    <row r="1212">
      <c r="A1212" t="n">
        <v>509942</v>
      </c>
      <c r="B1212" s="6" t="n">
        <v>45945</v>
      </c>
      <c r="C1212" t="n">
        <v>16784</v>
      </c>
      <c r="D1212" t="inlineStr">
        <is>
          <t>Kolkata</t>
        </is>
      </c>
      <c r="E1212" t="inlineStr">
        <is>
          <t>East</t>
        </is>
      </c>
      <c r="F1212" t="inlineStr">
        <is>
          <t>Referral</t>
        </is>
      </c>
      <c r="G1212" t="inlineStr">
        <is>
          <t>Mobile App</t>
        </is>
      </c>
      <c r="H1212" t="inlineStr">
        <is>
          <t>UPI</t>
        </is>
      </c>
      <c r="I1212" t="inlineStr">
        <is>
          <t>Delivered</t>
        </is>
      </c>
      <c r="J1212" t="n">
        <v>104</v>
      </c>
      <c r="K1212" t="n">
        <v>1</v>
      </c>
      <c r="L1212" s="7" t="n">
        <v>5249</v>
      </c>
      <c r="M1212" s="7" t="n">
        <v>787.35</v>
      </c>
    </row>
    <row r="1213">
      <c r="A1213" t="n">
        <v>509943</v>
      </c>
      <c r="B1213" s="6" t="n">
        <v>45945</v>
      </c>
      <c r="C1213" t="n">
        <v>15477</v>
      </c>
      <c r="D1213" t="inlineStr">
        <is>
          <t>Noida</t>
        </is>
      </c>
      <c r="E1213" t="inlineStr">
        <is>
          <t>North</t>
        </is>
      </c>
      <c r="F1213" t="inlineStr">
        <is>
          <t>Organic Search</t>
        </is>
      </c>
      <c r="G1213" t="inlineStr">
        <is>
          <t>Mobile App</t>
        </is>
      </c>
      <c r="H1213" t="inlineStr">
        <is>
          <t>Credit Card</t>
        </is>
      </c>
      <c r="I1213" t="inlineStr">
        <is>
          <t>Delivered</t>
        </is>
      </c>
      <c r="J1213" t="n">
        <v>112</v>
      </c>
      <c r="K1213" t="n">
        <v>2</v>
      </c>
      <c r="L1213" s="7" t="n">
        <v>1574</v>
      </c>
      <c r="M1213" s="7" t="n">
        <v>0</v>
      </c>
    </row>
    <row r="1214">
      <c r="A1214" t="n">
        <v>509943</v>
      </c>
      <c r="B1214" s="6" t="n">
        <v>45945</v>
      </c>
      <c r="C1214" t="n">
        <v>15477</v>
      </c>
      <c r="D1214" t="inlineStr">
        <is>
          <t>Noida</t>
        </is>
      </c>
      <c r="E1214" t="inlineStr">
        <is>
          <t>North</t>
        </is>
      </c>
      <c r="F1214" t="inlineStr">
        <is>
          <t>Organic Search</t>
        </is>
      </c>
      <c r="G1214" t="inlineStr">
        <is>
          <t>Mobile App</t>
        </is>
      </c>
      <c r="H1214" t="inlineStr">
        <is>
          <t>Credit Card</t>
        </is>
      </c>
      <c r="I1214" t="inlineStr">
        <is>
          <t>Delivered</t>
        </is>
      </c>
      <c r="J1214" t="n">
        <v>116</v>
      </c>
      <c r="K1214" t="n">
        <v>2</v>
      </c>
      <c r="L1214" s="7" t="n">
        <v>2624</v>
      </c>
      <c r="M1214" s="7" t="n">
        <v>0</v>
      </c>
    </row>
    <row r="1215">
      <c r="A1215" t="n">
        <v>509944</v>
      </c>
      <c r="B1215" s="6" t="n">
        <v>45945</v>
      </c>
      <c r="C1215" t="n">
        <v>15525</v>
      </c>
      <c r="D1215" t="inlineStr">
        <is>
          <t>Chennai</t>
        </is>
      </c>
      <c r="E1215" t="inlineStr">
        <is>
          <t>South</t>
        </is>
      </c>
      <c r="F1215" t="inlineStr">
        <is>
          <t>Referral</t>
        </is>
      </c>
      <c r="G1215" t="inlineStr">
        <is>
          <t>Mobile App</t>
        </is>
      </c>
      <c r="H1215" t="inlineStr">
        <is>
          <t>Credit Card</t>
        </is>
      </c>
      <c r="I1215" t="inlineStr">
        <is>
          <t>Delivered</t>
        </is>
      </c>
      <c r="J1215" t="n">
        <v>114</v>
      </c>
      <c r="K1215" t="n">
        <v>1</v>
      </c>
      <c r="L1215" s="7" t="n">
        <v>1259</v>
      </c>
      <c r="M1215" s="7" t="n">
        <v>62.95</v>
      </c>
    </row>
    <row r="1216">
      <c r="A1216" t="n">
        <v>509944</v>
      </c>
      <c r="B1216" s="6" t="n">
        <v>45945</v>
      </c>
      <c r="C1216" t="n">
        <v>15525</v>
      </c>
      <c r="D1216" t="inlineStr">
        <is>
          <t>Chennai</t>
        </is>
      </c>
      <c r="E1216" t="inlineStr">
        <is>
          <t>South</t>
        </is>
      </c>
      <c r="F1216" t="inlineStr">
        <is>
          <t>Referral</t>
        </is>
      </c>
      <c r="G1216" t="inlineStr">
        <is>
          <t>Mobile App</t>
        </is>
      </c>
      <c r="H1216" t="inlineStr">
        <is>
          <t>Credit Card</t>
        </is>
      </c>
      <c r="I1216" t="inlineStr">
        <is>
          <t>Delivered</t>
        </is>
      </c>
      <c r="J1216" t="n">
        <v>111</v>
      </c>
      <c r="K1216" t="n">
        <v>1</v>
      </c>
      <c r="L1216" s="7" t="n">
        <v>524</v>
      </c>
      <c r="M1216" s="7" t="n">
        <v>26.2</v>
      </c>
    </row>
    <row r="1217">
      <c r="A1217" t="n">
        <v>509944</v>
      </c>
      <c r="B1217" s="6" t="n">
        <v>45945</v>
      </c>
      <c r="C1217" t="n">
        <v>15525</v>
      </c>
      <c r="D1217" t="inlineStr">
        <is>
          <t>Chennai</t>
        </is>
      </c>
      <c r="E1217" t="inlineStr">
        <is>
          <t>South</t>
        </is>
      </c>
      <c r="F1217" t="inlineStr">
        <is>
          <t>Referral</t>
        </is>
      </c>
      <c r="G1217" t="inlineStr">
        <is>
          <t>Mobile App</t>
        </is>
      </c>
      <c r="H1217" t="inlineStr">
        <is>
          <t>Credit Card</t>
        </is>
      </c>
      <c r="I1217" t="inlineStr">
        <is>
          <t>Delivered</t>
        </is>
      </c>
      <c r="J1217" t="n">
        <v>126</v>
      </c>
      <c r="K1217" t="n">
        <v>1</v>
      </c>
      <c r="L1217" s="7" t="n">
        <v>471</v>
      </c>
      <c r="M1217" s="7" t="n">
        <v>23.55</v>
      </c>
    </row>
    <row r="1218">
      <c r="A1218" t="n">
        <v>509945</v>
      </c>
      <c r="B1218" s="6" t="n">
        <v>45945</v>
      </c>
      <c r="C1218" t="n">
        <v>16633</v>
      </c>
      <c r="D1218" t="inlineStr">
        <is>
          <t>Hyderabad</t>
        </is>
      </c>
      <c r="E1218" t="inlineStr">
        <is>
          <t>South</t>
        </is>
      </c>
      <c r="F1218" t="inlineStr">
        <is>
          <t>Affiliate</t>
        </is>
      </c>
      <c r="G1218" t="inlineStr">
        <is>
          <t>Mobile App</t>
        </is>
      </c>
      <c r="H1218" t="inlineStr">
        <is>
          <t>UPI</t>
        </is>
      </c>
      <c r="I1218" t="inlineStr">
        <is>
          <t>Delivered</t>
        </is>
      </c>
      <c r="J1218" t="n">
        <v>111</v>
      </c>
      <c r="K1218" t="n">
        <v>2</v>
      </c>
      <c r="L1218" s="7" t="n">
        <v>524</v>
      </c>
      <c r="M1218" s="7" t="n">
        <v>157.2</v>
      </c>
    </row>
    <row r="1219">
      <c r="A1219" t="n">
        <v>509946</v>
      </c>
      <c r="B1219" s="6" t="n">
        <v>45945</v>
      </c>
      <c r="C1219" t="n">
        <v>16753</v>
      </c>
      <c r="D1219" t="inlineStr">
        <is>
          <t>Noida</t>
        </is>
      </c>
      <c r="E1219" t="inlineStr">
        <is>
          <t>North</t>
        </is>
      </c>
      <c r="F1219" t="inlineStr">
        <is>
          <t>Organic Search</t>
        </is>
      </c>
      <c r="G1219" t="inlineStr">
        <is>
          <t>Mobile App</t>
        </is>
      </c>
      <c r="H1219" t="inlineStr">
        <is>
          <t>UPI</t>
        </is>
      </c>
      <c r="I1219" t="inlineStr">
        <is>
          <t>Delivered</t>
        </is>
      </c>
      <c r="J1219" t="n">
        <v>118</v>
      </c>
      <c r="K1219" t="n">
        <v>1</v>
      </c>
      <c r="L1219" s="7" t="n">
        <v>944</v>
      </c>
      <c r="M1219" s="7" t="n">
        <v>0</v>
      </c>
    </row>
    <row r="1220">
      <c r="A1220" t="n">
        <v>509947</v>
      </c>
      <c r="B1220" s="6" t="n">
        <v>45945</v>
      </c>
      <c r="C1220" t="n">
        <v>16787</v>
      </c>
      <c r="D1220" t="inlineStr">
        <is>
          <t>Pune</t>
        </is>
      </c>
      <c r="E1220" t="inlineStr">
        <is>
          <t>West</t>
        </is>
      </c>
      <c r="F1220" t="inlineStr">
        <is>
          <t>Paid Search</t>
        </is>
      </c>
      <c r="G1220" t="inlineStr">
        <is>
          <t>Mobile App</t>
        </is>
      </c>
      <c r="H1220" t="inlineStr">
        <is>
          <t>Cash on Delivery</t>
        </is>
      </c>
      <c r="I1220" t="inlineStr">
        <is>
          <t>Returned</t>
        </is>
      </c>
      <c r="J1220" t="n">
        <v>143</v>
      </c>
      <c r="K1220" t="n">
        <v>1</v>
      </c>
      <c r="L1220" s="7" t="n">
        <v>839</v>
      </c>
      <c r="M1220" s="7" t="n">
        <v>0</v>
      </c>
    </row>
    <row r="1221">
      <c r="A1221" t="n">
        <v>509947</v>
      </c>
      <c r="B1221" s="6" t="n">
        <v>45945</v>
      </c>
      <c r="C1221" t="n">
        <v>16787</v>
      </c>
      <c r="D1221" t="inlineStr">
        <is>
          <t>Pune</t>
        </is>
      </c>
      <c r="E1221" t="inlineStr">
        <is>
          <t>West</t>
        </is>
      </c>
      <c r="F1221" t="inlineStr">
        <is>
          <t>Paid Search</t>
        </is>
      </c>
      <c r="G1221" t="inlineStr">
        <is>
          <t>Mobile App</t>
        </is>
      </c>
      <c r="H1221" t="inlineStr">
        <is>
          <t>Cash on Delivery</t>
        </is>
      </c>
      <c r="I1221" t="inlineStr">
        <is>
          <t>Returned</t>
        </is>
      </c>
      <c r="J1221" t="n">
        <v>129</v>
      </c>
      <c r="K1221" t="n">
        <v>1</v>
      </c>
      <c r="L1221" s="7" t="n">
        <v>576</v>
      </c>
      <c r="M1221" s="7" t="n">
        <v>0</v>
      </c>
    </row>
    <row r="1222">
      <c r="A1222" t="n">
        <v>509948</v>
      </c>
      <c r="B1222" s="6" t="n">
        <v>45945</v>
      </c>
      <c r="C1222" t="n">
        <v>15329</v>
      </c>
      <c r="D1222" t="inlineStr">
        <is>
          <t>Delhi</t>
        </is>
      </c>
      <c r="E1222" t="inlineStr">
        <is>
          <t>North</t>
        </is>
      </c>
      <c r="F1222" t="inlineStr">
        <is>
          <t>Paid Social</t>
        </is>
      </c>
      <c r="G1222" t="inlineStr">
        <is>
          <t>Mobile App</t>
        </is>
      </c>
      <c r="H1222" t="inlineStr">
        <is>
          <t>UPI</t>
        </is>
      </c>
      <c r="I1222" t="inlineStr">
        <is>
          <t>Delivered</t>
        </is>
      </c>
      <c r="J1222" t="n">
        <v>112</v>
      </c>
      <c r="K1222" t="n">
        <v>1</v>
      </c>
      <c r="L1222" s="7" t="n">
        <v>1574</v>
      </c>
      <c r="M1222" s="7" t="n">
        <v>157.4</v>
      </c>
    </row>
    <row r="1223">
      <c r="A1223" t="n">
        <v>509948</v>
      </c>
      <c r="B1223" s="6" t="n">
        <v>45945</v>
      </c>
      <c r="C1223" t="n">
        <v>15329</v>
      </c>
      <c r="D1223" t="inlineStr">
        <is>
          <t>Delhi</t>
        </is>
      </c>
      <c r="E1223" t="inlineStr">
        <is>
          <t>North</t>
        </is>
      </c>
      <c r="F1223" t="inlineStr">
        <is>
          <t>Paid Social</t>
        </is>
      </c>
      <c r="G1223" t="inlineStr">
        <is>
          <t>Mobile App</t>
        </is>
      </c>
      <c r="H1223" t="inlineStr">
        <is>
          <t>UPI</t>
        </is>
      </c>
      <c r="I1223" t="inlineStr">
        <is>
          <t>Delivered</t>
        </is>
      </c>
      <c r="J1223" t="n">
        <v>125</v>
      </c>
      <c r="K1223" t="n">
        <v>3</v>
      </c>
      <c r="L1223" s="7" t="n">
        <v>1364</v>
      </c>
      <c r="M1223" s="7" t="n">
        <v>409.2</v>
      </c>
    </row>
    <row r="1224">
      <c r="A1224" t="n">
        <v>509948</v>
      </c>
      <c r="B1224" s="6" t="n">
        <v>45945</v>
      </c>
      <c r="C1224" t="n">
        <v>15329</v>
      </c>
      <c r="D1224" t="inlineStr">
        <is>
          <t>Delhi</t>
        </is>
      </c>
      <c r="E1224" t="inlineStr">
        <is>
          <t>North</t>
        </is>
      </c>
      <c r="F1224" t="inlineStr">
        <is>
          <t>Paid Social</t>
        </is>
      </c>
      <c r="G1224" t="inlineStr">
        <is>
          <t>Mobile App</t>
        </is>
      </c>
      <c r="H1224" t="inlineStr">
        <is>
          <t>UPI</t>
        </is>
      </c>
      <c r="I1224" t="inlineStr">
        <is>
          <t>Delivered</t>
        </is>
      </c>
      <c r="J1224" t="n">
        <v>124</v>
      </c>
      <c r="K1224" t="n">
        <v>2</v>
      </c>
      <c r="L1224" s="7" t="n">
        <v>1154</v>
      </c>
      <c r="M1224" s="7" t="n">
        <v>230.8</v>
      </c>
    </row>
    <row r="1225">
      <c r="A1225" t="n">
        <v>509948</v>
      </c>
      <c r="B1225" s="6" t="n">
        <v>45945</v>
      </c>
      <c r="C1225" t="n">
        <v>15329</v>
      </c>
      <c r="D1225" t="inlineStr">
        <is>
          <t>Delhi</t>
        </is>
      </c>
      <c r="E1225" t="inlineStr">
        <is>
          <t>North</t>
        </is>
      </c>
      <c r="F1225" t="inlineStr">
        <is>
          <t>Paid Social</t>
        </is>
      </c>
      <c r="G1225" t="inlineStr">
        <is>
          <t>Mobile App</t>
        </is>
      </c>
      <c r="H1225" t="inlineStr">
        <is>
          <t>UPI</t>
        </is>
      </c>
      <c r="I1225" t="inlineStr">
        <is>
          <t>Delivered</t>
        </is>
      </c>
      <c r="J1225" t="n">
        <v>129</v>
      </c>
      <c r="K1225" t="n">
        <v>1</v>
      </c>
      <c r="L1225" s="7" t="n">
        <v>576</v>
      </c>
      <c r="M1225" s="7" t="n">
        <v>57.6</v>
      </c>
    </row>
    <row r="1226">
      <c r="A1226" t="n">
        <v>509949</v>
      </c>
      <c r="B1226" s="6" t="n">
        <v>45946</v>
      </c>
      <c r="C1226" t="n">
        <v>16768</v>
      </c>
      <c r="D1226" t="inlineStr">
        <is>
          <t>Kolkata</t>
        </is>
      </c>
      <c r="E1226" t="inlineStr">
        <is>
          <t>East</t>
        </is>
      </c>
      <c r="F1226" t="inlineStr">
        <is>
          <t>Paid Search</t>
        </is>
      </c>
      <c r="G1226" t="inlineStr">
        <is>
          <t>Mobile App</t>
        </is>
      </c>
      <c r="H1226" t="inlineStr">
        <is>
          <t>Net Banking</t>
        </is>
      </c>
      <c r="I1226" t="inlineStr">
        <is>
          <t>Returned</t>
        </is>
      </c>
      <c r="J1226" t="n">
        <v>112</v>
      </c>
      <c r="K1226" t="n">
        <v>1</v>
      </c>
      <c r="L1226" s="7" t="n">
        <v>1574</v>
      </c>
      <c r="M1226" s="7" t="n">
        <v>0</v>
      </c>
    </row>
    <row r="1227">
      <c r="A1227" t="n">
        <v>509950</v>
      </c>
      <c r="B1227" s="6" t="n">
        <v>45946</v>
      </c>
      <c r="C1227" t="n">
        <v>13545</v>
      </c>
      <c r="D1227" t="inlineStr">
        <is>
          <t>Delhi</t>
        </is>
      </c>
      <c r="E1227" t="inlineStr">
        <is>
          <t>North</t>
        </is>
      </c>
      <c r="F1227" t="inlineStr">
        <is>
          <t>Referral</t>
        </is>
      </c>
      <c r="G1227" t="inlineStr">
        <is>
          <t>Mobile App</t>
        </is>
      </c>
      <c r="H1227" t="inlineStr">
        <is>
          <t>Cash on Delivery</t>
        </is>
      </c>
      <c r="I1227" t="inlineStr">
        <is>
          <t>Delivered</t>
        </is>
      </c>
      <c r="J1227" t="n">
        <v>101</v>
      </c>
      <c r="K1227" t="n">
        <v>1</v>
      </c>
      <c r="L1227" s="7" t="n">
        <v>2099</v>
      </c>
      <c r="M1227" s="7" t="n">
        <v>0</v>
      </c>
    </row>
    <row r="1228">
      <c r="A1228" t="n">
        <v>509950</v>
      </c>
      <c r="B1228" s="6" t="n">
        <v>45946</v>
      </c>
      <c r="C1228" t="n">
        <v>13545</v>
      </c>
      <c r="D1228" t="inlineStr">
        <is>
          <t>Delhi</t>
        </is>
      </c>
      <c r="E1228" t="inlineStr">
        <is>
          <t>North</t>
        </is>
      </c>
      <c r="F1228" t="inlineStr">
        <is>
          <t>Referral</t>
        </is>
      </c>
      <c r="G1228" t="inlineStr">
        <is>
          <t>Mobile App</t>
        </is>
      </c>
      <c r="H1228" t="inlineStr">
        <is>
          <t>Cash on Delivery</t>
        </is>
      </c>
      <c r="I1228" t="inlineStr">
        <is>
          <t>Delivered</t>
        </is>
      </c>
      <c r="J1228" t="n">
        <v>107</v>
      </c>
      <c r="K1228" t="n">
        <v>1</v>
      </c>
      <c r="L1228" s="7" t="n">
        <v>1259</v>
      </c>
      <c r="M1228" s="7" t="n">
        <v>0</v>
      </c>
    </row>
    <row r="1229">
      <c r="A1229" t="n">
        <v>509950</v>
      </c>
      <c r="B1229" s="6" t="n">
        <v>45946</v>
      </c>
      <c r="C1229" t="n">
        <v>13545</v>
      </c>
      <c r="D1229" t="inlineStr">
        <is>
          <t>Delhi</t>
        </is>
      </c>
      <c r="E1229" t="inlineStr">
        <is>
          <t>North</t>
        </is>
      </c>
      <c r="F1229" t="inlineStr">
        <is>
          <t>Referral</t>
        </is>
      </c>
      <c r="G1229" t="inlineStr">
        <is>
          <t>Mobile App</t>
        </is>
      </c>
      <c r="H1229" t="inlineStr">
        <is>
          <t>Cash on Delivery</t>
        </is>
      </c>
      <c r="I1229" t="inlineStr">
        <is>
          <t>Delivered</t>
        </is>
      </c>
      <c r="J1229" t="n">
        <v>131</v>
      </c>
      <c r="K1229" t="n">
        <v>1</v>
      </c>
      <c r="L1229" s="7" t="n">
        <v>314</v>
      </c>
      <c r="M1229" s="7" t="n">
        <v>0</v>
      </c>
    </row>
    <row r="1230">
      <c r="A1230" t="n">
        <v>509951</v>
      </c>
      <c r="B1230" s="6" t="n">
        <v>45946</v>
      </c>
      <c r="C1230" t="n">
        <v>15744</v>
      </c>
      <c r="D1230" t="inlineStr">
        <is>
          <t>Bengaluru</t>
        </is>
      </c>
      <c r="E1230" t="inlineStr">
        <is>
          <t>South</t>
        </is>
      </c>
      <c r="F1230" t="inlineStr">
        <is>
          <t>Paid Social</t>
        </is>
      </c>
      <c r="G1230" t="inlineStr">
        <is>
          <t>Mobile App</t>
        </is>
      </c>
      <c r="H1230" t="inlineStr">
        <is>
          <t>UPI</t>
        </is>
      </c>
      <c r="I1230" t="inlineStr">
        <is>
          <t>Delivered</t>
        </is>
      </c>
      <c r="J1230" t="n">
        <v>143</v>
      </c>
      <c r="K1230" t="n">
        <v>3</v>
      </c>
      <c r="L1230" s="7" t="n">
        <v>839</v>
      </c>
      <c r="M1230" s="7" t="n">
        <v>251.7</v>
      </c>
    </row>
    <row r="1231">
      <c r="A1231" t="n">
        <v>509952</v>
      </c>
      <c r="B1231" s="6" t="n">
        <v>45946</v>
      </c>
      <c r="C1231" t="n">
        <v>15498</v>
      </c>
      <c r="D1231" t="inlineStr">
        <is>
          <t>Bengaluru</t>
        </is>
      </c>
      <c r="E1231" t="inlineStr">
        <is>
          <t>South</t>
        </is>
      </c>
      <c r="F1231" t="inlineStr">
        <is>
          <t>Referral</t>
        </is>
      </c>
      <c r="G1231" t="inlineStr">
        <is>
          <t>Mobile Web</t>
        </is>
      </c>
      <c r="H1231" t="inlineStr">
        <is>
          <t>Credit Card</t>
        </is>
      </c>
      <c r="I1231" t="inlineStr">
        <is>
          <t>Delivered</t>
        </is>
      </c>
      <c r="J1231" t="n">
        <v>122</v>
      </c>
      <c r="K1231" t="n">
        <v>1</v>
      </c>
      <c r="L1231" s="7" t="n">
        <v>1994</v>
      </c>
      <c r="M1231" s="7" t="n">
        <v>199.4</v>
      </c>
    </row>
    <row r="1232">
      <c r="A1232" t="n">
        <v>509952</v>
      </c>
      <c r="B1232" s="6" t="n">
        <v>45946</v>
      </c>
      <c r="C1232" t="n">
        <v>15498</v>
      </c>
      <c r="D1232" t="inlineStr">
        <is>
          <t>Bengaluru</t>
        </is>
      </c>
      <c r="E1232" t="inlineStr">
        <is>
          <t>South</t>
        </is>
      </c>
      <c r="F1232" t="inlineStr">
        <is>
          <t>Referral</t>
        </is>
      </c>
      <c r="G1232" t="inlineStr">
        <is>
          <t>Mobile Web</t>
        </is>
      </c>
      <c r="H1232" t="inlineStr">
        <is>
          <t>Credit Card</t>
        </is>
      </c>
      <c r="I1232" t="inlineStr">
        <is>
          <t>Delivered</t>
        </is>
      </c>
      <c r="J1232" t="n">
        <v>101</v>
      </c>
      <c r="K1232" t="n">
        <v>1</v>
      </c>
      <c r="L1232" s="7" t="n">
        <v>2099</v>
      </c>
      <c r="M1232" s="7" t="n">
        <v>209.9</v>
      </c>
    </row>
    <row r="1233">
      <c r="A1233" t="n">
        <v>509953</v>
      </c>
      <c r="B1233" s="6" t="n">
        <v>45946</v>
      </c>
      <c r="C1233" t="n">
        <v>16724</v>
      </c>
      <c r="D1233" t="inlineStr">
        <is>
          <t>Mumbai</t>
        </is>
      </c>
      <c r="E1233" t="inlineStr">
        <is>
          <t>West</t>
        </is>
      </c>
      <c r="F1233" t="inlineStr">
        <is>
          <t>Referral</t>
        </is>
      </c>
      <c r="G1233" t="inlineStr">
        <is>
          <t>Mobile App</t>
        </is>
      </c>
      <c r="H1233" t="inlineStr">
        <is>
          <t>Debit Card</t>
        </is>
      </c>
      <c r="I1233" t="inlineStr">
        <is>
          <t>Delivered</t>
        </is>
      </c>
      <c r="J1233" t="n">
        <v>122</v>
      </c>
      <c r="K1233" t="n">
        <v>1</v>
      </c>
      <c r="L1233" s="7" t="n">
        <v>1994</v>
      </c>
      <c r="M1233" s="7" t="n">
        <v>199.4</v>
      </c>
    </row>
    <row r="1234">
      <c r="A1234" t="n">
        <v>509953</v>
      </c>
      <c r="B1234" s="6" t="n">
        <v>45946</v>
      </c>
      <c r="C1234" t="n">
        <v>16724</v>
      </c>
      <c r="D1234" t="inlineStr">
        <is>
          <t>Mumbai</t>
        </is>
      </c>
      <c r="E1234" t="inlineStr">
        <is>
          <t>West</t>
        </is>
      </c>
      <c r="F1234" t="inlineStr">
        <is>
          <t>Referral</t>
        </is>
      </c>
      <c r="G1234" t="inlineStr">
        <is>
          <t>Mobile App</t>
        </is>
      </c>
      <c r="H1234" t="inlineStr">
        <is>
          <t>Debit Card</t>
        </is>
      </c>
      <c r="I1234" t="inlineStr">
        <is>
          <t>Delivered</t>
        </is>
      </c>
      <c r="J1234" t="n">
        <v>101</v>
      </c>
      <c r="K1234" t="n">
        <v>3</v>
      </c>
      <c r="L1234" s="7" t="n">
        <v>2099</v>
      </c>
      <c r="M1234" s="7" t="n">
        <v>629.7</v>
      </c>
    </row>
    <row r="1235">
      <c r="A1235" t="n">
        <v>509954</v>
      </c>
      <c r="B1235" s="6" t="n">
        <v>45946</v>
      </c>
      <c r="C1235" t="n">
        <v>12285</v>
      </c>
      <c r="D1235" t="inlineStr">
        <is>
          <t>Jaipur</t>
        </is>
      </c>
      <c r="E1235" t="inlineStr">
        <is>
          <t>North</t>
        </is>
      </c>
      <c r="F1235" t="inlineStr">
        <is>
          <t>Organic Search</t>
        </is>
      </c>
      <c r="G1235" t="inlineStr">
        <is>
          <t>Mobile App</t>
        </is>
      </c>
      <c r="H1235" t="inlineStr">
        <is>
          <t>Credit Card</t>
        </is>
      </c>
      <c r="I1235" t="inlineStr">
        <is>
          <t>Cancelled</t>
        </is>
      </c>
      <c r="J1235" t="n">
        <v>102</v>
      </c>
      <c r="K1235" t="n">
        <v>1</v>
      </c>
      <c r="L1235" s="7" t="n">
        <v>3674</v>
      </c>
      <c r="M1235" s="7" t="n">
        <v>0</v>
      </c>
    </row>
    <row r="1236">
      <c r="A1236" t="n">
        <v>509954</v>
      </c>
      <c r="B1236" s="6" t="n">
        <v>45946</v>
      </c>
      <c r="C1236" t="n">
        <v>12285</v>
      </c>
      <c r="D1236" t="inlineStr">
        <is>
          <t>Jaipur</t>
        </is>
      </c>
      <c r="E1236" t="inlineStr">
        <is>
          <t>North</t>
        </is>
      </c>
      <c r="F1236" t="inlineStr">
        <is>
          <t>Organic Search</t>
        </is>
      </c>
      <c r="G1236" t="inlineStr">
        <is>
          <t>Mobile App</t>
        </is>
      </c>
      <c r="H1236" t="inlineStr">
        <is>
          <t>Credit Card</t>
        </is>
      </c>
      <c r="I1236" t="inlineStr">
        <is>
          <t>Cancelled</t>
        </is>
      </c>
      <c r="J1236" t="n">
        <v>120</v>
      </c>
      <c r="K1236" t="n">
        <v>1</v>
      </c>
      <c r="L1236" s="7" t="n">
        <v>734</v>
      </c>
      <c r="M1236" s="7" t="n">
        <v>0</v>
      </c>
    </row>
    <row r="1237">
      <c r="A1237" t="n">
        <v>509955</v>
      </c>
      <c r="B1237" s="6" t="n">
        <v>45946</v>
      </c>
      <c r="C1237" t="n">
        <v>16791</v>
      </c>
      <c r="D1237" t="inlineStr">
        <is>
          <t>Delhi</t>
        </is>
      </c>
      <c r="E1237" t="inlineStr">
        <is>
          <t>North</t>
        </is>
      </c>
      <c r="F1237" t="inlineStr">
        <is>
          <t>Paid Search</t>
        </is>
      </c>
      <c r="G1237" t="inlineStr">
        <is>
          <t>Mobile Web</t>
        </is>
      </c>
      <c r="H1237" t="inlineStr">
        <is>
          <t>Debit Card</t>
        </is>
      </c>
      <c r="I1237" t="inlineStr">
        <is>
          <t>Delivered</t>
        </is>
      </c>
      <c r="J1237" t="n">
        <v>126</v>
      </c>
      <c r="K1237" t="n">
        <v>2</v>
      </c>
      <c r="L1237" s="7" t="n">
        <v>471</v>
      </c>
      <c r="M1237" s="7" t="n">
        <v>141.3</v>
      </c>
    </row>
    <row r="1238">
      <c r="A1238" t="n">
        <v>509956</v>
      </c>
      <c r="B1238" s="6" t="n">
        <v>45946</v>
      </c>
      <c r="C1238" t="n">
        <v>15763</v>
      </c>
      <c r="D1238" t="inlineStr">
        <is>
          <t>Delhi</t>
        </is>
      </c>
      <c r="E1238" t="inlineStr">
        <is>
          <t>North</t>
        </is>
      </c>
      <c r="F1238" t="inlineStr">
        <is>
          <t>Organic Search</t>
        </is>
      </c>
      <c r="G1238" t="inlineStr">
        <is>
          <t>Mobile App</t>
        </is>
      </c>
      <c r="H1238" t="inlineStr">
        <is>
          <t>UPI</t>
        </is>
      </c>
      <c r="I1238" t="inlineStr">
        <is>
          <t>Delivered</t>
        </is>
      </c>
      <c r="J1238" t="n">
        <v>119</v>
      </c>
      <c r="K1238" t="n">
        <v>2</v>
      </c>
      <c r="L1238" s="7" t="n">
        <v>2309</v>
      </c>
      <c r="M1238" s="7" t="n">
        <v>461.8</v>
      </c>
    </row>
    <row r="1239">
      <c r="A1239" t="n">
        <v>509957</v>
      </c>
      <c r="B1239" s="6" t="n">
        <v>45946</v>
      </c>
      <c r="C1239" t="n">
        <v>11652</v>
      </c>
      <c r="D1239" t="inlineStr">
        <is>
          <t>Mumbai</t>
        </is>
      </c>
      <c r="E1239" t="inlineStr">
        <is>
          <t>West</t>
        </is>
      </c>
      <c r="F1239" t="inlineStr">
        <is>
          <t>Paid Search</t>
        </is>
      </c>
      <c r="G1239" t="inlineStr">
        <is>
          <t>Mobile App</t>
        </is>
      </c>
      <c r="H1239" t="inlineStr">
        <is>
          <t>Debit Card</t>
        </is>
      </c>
      <c r="I1239" t="inlineStr">
        <is>
          <t>Delivered</t>
        </is>
      </c>
      <c r="J1239" t="n">
        <v>108</v>
      </c>
      <c r="K1239" t="n">
        <v>1</v>
      </c>
      <c r="L1239" s="7" t="n">
        <v>419</v>
      </c>
      <c r="M1239" s="7" t="n">
        <v>0</v>
      </c>
    </row>
    <row r="1240">
      <c r="A1240" t="n">
        <v>509957</v>
      </c>
      <c r="B1240" s="6" t="n">
        <v>45946</v>
      </c>
      <c r="C1240" t="n">
        <v>11652</v>
      </c>
      <c r="D1240" t="inlineStr">
        <is>
          <t>Mumbai</t>
        </is>
      </c>
      <c r="E1240" t="inlineStr">
        <is>
          <t>West</t>
        </is>
      </c>
      <c r="F1240" t="inlineStr">
        <is>
          <t>Paid Search</t>
        </is>
      </c>
      <c r="G1240" t="inlineStr">
        <is>
          <t>Mobile App</t>
        </is>
      </c>
      <c r="H1240" t="inlineStr">
        <is>
          <t>Debit Card</t>
        </is>
      </c>
      <c r="I1240" t="inlineStr">
        <is>
          <t>Delivered</t>
        </is>
      </c>
      <c r="J1240" t="n">
        <v>129</v>
      </c>
      <c r="K1240" t="n">
        <v>2</v>
      </c>
      <c r="L1240" s="7" t="n">
        <v>576</v>
      </c>
      <c r="M1240" s="7" t="n">
        <v>0</v>
      </c>
    </row>
    <row r="1241">
      <c r="A1241" t="n">
        <v>509958</v>
      </c>
      <c r="B1241" s="6" t="n">
        <v>45946</v>
      </c>
      <c r="C1241" t="n">
        <v>16825</v>
      </c>
      <c r="D1241" t="inlineStr">
        <is>
          <t>Ahmedabad</t>
        </is>
      </c>
      <c r="E1241" t="inlineStr">
        <is>
          <t>West</t>
        </is>
      </c>
      <c r="F1241" t="inlineStr">
        <is>
          <t>Paid Social</t>
        </is>
      </c>
      <c r="G1241" t="inlineStr">
        <is>
          <t>Mobile App</t>
        </is>
      </c>
      <c r="H1241" t="inlineStr">
        <is>
          <t>UPI</t>
        </is>
      </c>
      <c r="I1241" t="inlineStr">
        <is>
          <t>Delivered</t>
        </is>
      </c>
      <c r="J1241" t="n">
        <v>132</v>
      </c>
      <c r="K1241" t="n">
        <v>1</v>
      </c>
      <c r="L1241" s="7" t="n">
        <v>471</v>
      </c>
      <c r="M1241" s="7" t="n">
        <v>70.65000000000001</v>
      </c>
    </row>
    <row r="1242">
      <c r="A1242" t="n">
        <v>509958</v>
      </c>
      <c r="B1242" s="6" t="n">
        <v>45946</v>
      </c>
      <c r="C1242" t="n">
        <v>16825</v>
      </c>
      <c r="D1242" t="inlineStr">
        <is>
          <t>Ahmedabad</t>
        </is>
      </c>
      <c r="E1242" t="inlineStr">
        <is>
          <t>West</t>
        </is>
      </c>
      <c r="F1242" t="inlineStr">
        <is>
          <t>Paid Social</t>
        </is>
      </c>
      <c r="G1242" t="inlineStr">
        <is>
          <t>Mobile App</t>
        </is>
      </c>
      <c r="H1242" t="inlineStr">
        <is>
          <t>UPI</t>
        </is>
      </c>
      <c r="I1242" t="inlineStr">
        <is>
          <t>Delivered</t>
        </is>
      </c>
      <c r="J1242" t="n">
        <v>121</v>
      </c>
      <c r="K1242" t="n">
        <v>1</v>
      </c>
      <c r="L1242" s="7" t="n">
        <v>2939</v>
      </c>
      <c r="M1242" s="7" t="n">
        <v>440.85</v>
      </c>
    </row>
    <row r="1243">
      <c r="A1243" t="n">
        <v>509959</v>
      </c>
      <c r="B1243" s="6" t="n">
        <v>45946</v>
      </c>
      <c r="C1243" t="n">
        <v>16422</v>
      </c>
      <c r="D1243" t="inlineStr">
        <is>
          <t>Gurugram</t>
        </is>
      </c>
      <c r="E1243" t="inlineStr">
        <is>
          <t>North</t>
        </is>
      </c>
      <c r="F1243" t="inlineStr">
        <is>
          <t>Paid Social</t>
        </is>
      </c>
      <c r="G1243" t="inlineStr">
        <is>
          <t>Desktop</t>
        </is>
      </c>
      <c r="H1243" t="inlineStr">
        <is>
          <t>Cash on Delivery</t>
        </is>
      </c>
      <c r="I1243" t="inlineStr">
        <is>
          <t>Returned</t>
        </is>
      </c>
      <c r="J1243" t="n">
        <v>108</v>
      </c>
      <c r="K1243" t="n">
        <v>1</v>
      </c>
      <c r="L1243" s="7" t="n">
        <v>419</v>
      </c>
      <c r="M1243" s="7" t="n">
        <v>0</v>
      </c>
    </row>
    <row r="1244">
      <c r="A1244" t="n">
        <v>509959</v>
      </c>
      <c r="B1244" s="6" t="n">
        <v>45946</v>
      </c>
      <c r="C1244" t="n">
        <v>16422</v>
      </c>
      <c r="D1244" t="inlineStr">
        <is>
          <t>Gurugram</t>
        </is>
      </c>
      <c r="E1244" t="inlineStr">
        <is>
          <t>North</t>
        </is>
      </c>
      <c r="F1244" t="inlineStr">
        <is>
          <t>Paid Social</t>
        </is>
      </c>
      <c r="G1244" t="inlineStr">
        <is>
          <t>Desktop</t>
        </is>
      </c>
      <c r="H1244" t="inlineStr">
        <is>
          <t>Cash on Delivery</t>
        </is>
      </c>
      <c r="I1244" t="inlineStr">
        <is>
          <t>Returned</t>
        </is>
      </c>
      <c r="J1244" t="n">
        <v>129</v>
      </c>
      <c r="K1244" t="n">
        <v>2</v>
      </c>
      <c r="L1244" s="7" t="n">
        <v>576</v>
      </c>
      <c r="M1244" s="7" t="n">
        <v>0</v>
      </c>
    </row>
    <row r="1245">
      <c r="A1245" t="n">
        <v>509960</v>
      </c>
      <c r="B1245" s="6" t="n">
        <v>45946</v>
      </c>
      <c r="C1245" t="n">
        <v>15602</v>
      </c>
      <c r="D1245" t="inlineStr">
        <is>
          <t>Kolkata</t>
        </is>
      </c>
      <c r="E1245" t="inlineStr">
        <is>
          <t>East</t>
        </is>
      </c>
      <c r="F1245" t="inlineStr">
        <is>
          <t>Referral</t>
        </is>
      </c>
      <c r="G1245" t="inlineStr">
        <is>
          <t>Mobile Web</t>
        </is>
      </c>
      <c r="H1245" t="inlineStr">
        <is>
          <t>Net Banking</t>
        </is>
      </c>
      <c r="I1245" t="inlineStr">
        <is>
          <t>Delivered</t>
        </is>
      </c>
      <c r="J1245" t="n">
        <v>111</v>
      </c>
      <c r="K1245" t="n">
        <v>1</v>
      </c>
      <c r="L1245" s="7" t="n">
        <v>524</v>
      </c>
      <c r="M1245" s="7" t="n">
        <v>26.2</v>
      </c>
    </row>
    <row r="1246">
      <c r="A1246" t="n">
        <v>509961</v>
      </c>
      <c r="B1246" s="6" t="n">
        <v>45946</v>
      </c>
      <c r="C1246" t="n">
        <v>12100</v>
      </c>
      <c r="D1246" t="inlineStr">
        <is>
          <t>Kochi</t>
        </is>
      </c>
      <c r="E1246" t="inlineStr">
        <is>
          <t>South</t>
        </is>
      </c>
      <c r="F1246" t="inlineStr">
        <is>
          <t>Organic Search</t>
        </is>
      </c>
      <c r="G1246" t="inlineStr">
        <is>
          <t>Mobile App</t>
        </is>
      </c>
      <c r="H1246" t="inlineStr">
        <is>
          <t>Credit Card</t>
        </is>
      </c>
      <c r="I1246" t="inlineStr">
        <is>
          <t>Delivered</t>
        </is>
      </c>
      <c r="J1246" t="n">
        <v>133</v>
      </c>
      <c r="K1246" t="n">
        <v>1</v>
      </c>
      <c r="L1246" s="7" t="n">
        <v>419</v>
      </c>
      <c r="M1246" s="7" t="n">
        <v>0</v>
      </c>
    </row>
    <row r="1247">
      <c r="A1247" t="n">
        <v>509962</v>
      </c>
      <c r="B1247" s="6" t="n">
        <v>45946</v>
      </c>
      <c r="C1247" t="n">
        <v>15970</v>
      </c>
      <c r="D1247" t="inlineStr">
        <is>
          <t>Chennai</t>
        </is>
      </c>
      <c r="E1247" t="inlineStr">
        <is>
          <t>South</t>
        </is>
      </c>
      <c r="F1247" t="inlineStr">
        <is>
          <t>Paid Search</t>
        </is>
      </c>
      <c r="G1247" t="inlineStr">
        <is>
          <t>Desktop</t>
        </is>
      </c>
      <c r="H1247" t="inlineStr">
        <is>
          <t>UPI</t>
        </is>
      </c>
      <c r="I1247" t="inlineStr">
        <is>
          <t>Delivered</t>
        </is>
      </c>
      <c r="J1247" t="n">
        <v>113</v>
      </c>
      <c r="K1247" t="n">
        <v>1</v>
      </c>
      <c r="L1247" s="7" t="n">
        <v>1364</v>
      </c>
      <c r="M1247" s="7" t="n">
        <v>136.4</v>
      </c>
    </row>
    <row r="1248">
      <c r="A1248" t="n">
        <v>509963</v>
      </c>
      <c r="B1248" s="6" t="n">
        <v>45946</v>
      </c>
      <c r="C1248" t="n">
        <v>14556</v>
      </c>
      <c r="D1248" t="inlineStr">
        <is>
          <t>Indore</t>
        </is>
      </c>
      <c r="E1248" t="inlineStr">
        <is>
          <t>West</t>
        </is>
      </c>
      <c r="F1248" t="inlineStr">
        <is>
          <t>Organic Search</t>
        </is>
      </c>
      <c r="G1248" t="inlineStr">
        <is>
          <t>Mobile Web</t>
        </is>
      </c>
      <c r="H1248" t="inlineStr">
        <is>
          <t>Cash on Delivery</t>
        </is>
      </c>
      <c r="I1248" t="inlineStr">
        <is>
          <t>Returned</t>
        </is>
      </c>
      <c r="J1248" t="n">
        <v>133</v>
      </c>
      <c r="K1248" t="n">
        <v>1</v>
      </c>
      <c r="L1248" s="7" t="n">
        <v>419</v>
      </c>
      <c r="M1248" s="7" t="n">
        <v>41.9</v>
      </c>
    </row>
    <row r="1249">
      <c r="A1249" t="n">
        <v>509963</v>
      </c>
      <c r="B1249" s="6" t="n">
        <v>45946</v>
      </c>
      <c r="C1249" t="n">
        <v>14556</v>
      </c>
      <c r="D1249" t="inlineStr">
        <is>
          <t>Indore</t>
        </is>
      </c>
      <c r="E1249" t="inlineStr">
        <is>
          <t>West</t>
        </is>
      </c>
      <c r="F1249" t="inlineStr">
        <is>
          <t>Organic Search</t>
        </is>
      </c>
      <c r="G1249" t="inlineStr">
        <is>
          <t>Mobile Web</t>
        </is>
      </c>
      <c r="H1249" t="inlineStr">
        <is>
          <t>Cash on Delivery</t>
        </is>
      </c>
      <c r="I1249" t="inlineStr">
        <is>
          <t>Returned</t>
        </is>
      </c>
      <c r="J1249" t="n">
        <v>117</v>
      </c>
      <c r="K1249" t="n">
        <v>1</v>
      </c>
      <c r="L1249" s="7" t="n">
        <v>3149</v>
      </c>
      <c r="M1249" s="7" t="n">
        <v>314.9</v>
      </c>
    </row>
    <row r="1250">
      <c r="A1250" t="n">
        <v>509963</v>
      </c>
      <c r="B1250" s="6" t="n">
        <v>45946</v>
      </c>
      <c r="C1250" t="n">
        <v>14556</v>
      </c>
      <c r="D1250" t="inlineStr">
        <is>
          <t>Indore</t>
        </is>
      </c>
      <c r="E1250" t="inlineStr">
        <is>
          <t>West</t>
        </is>
      </c>
      <c r="F1250" t="inlineStr">
        <is>
          <t>Organic Search</t>
        </is>
      </c>
      <c r="G1250" t="inlineStr">
        <is>
          <t>Mobile Web</t>
        </is>
      </c>
      <c r="H1250" t="inlineStr">
        <is>
          <t>Cash on Delivery</t>
        </is>
      </c>
      <c r="I1250" t="inlineStr">
        <is>
          <t>Returned</t>
        </is>
      </c>
      <c r="J1250" t="n">
        <v>129</v>
      </c>
      <c r="K1250" t="n">
        <v>2</v>
      </c>
      <c r="L1250" s="7" t="n">
        <v>576</v>
      </c>
      <c r="M1250" s="7" t="n">
        <v>115.2</v>
      </c>
    </row>
    <row r="1251">
      <c r="A1251" t="n">
        <v>509964</v>
      </c>
      <c r="B1251" s="6" t="n">
        <v>45946</v>
      </c>
      <c r="C1251" t="n">
        <v>16798</v>
      </c>
      <c r="D1251" t="inlineStr">
        <is>
          <t>Noida</t>
        </is>
      </c>
      <c r="E1251" t="inlineStr">
        <is>
          <t>North</t>
        </is>
      </c>
      <c r="F1251" t="inlineStr">
        <is>
          <t>Organic Search</t>
        </is>
      </c>
      <c r="G1251" t="inlineStr">
        <is>
          <t>Desktop</t>
        </is>
      </c>
      <c r="H1251" t="inlineStr">
        <is>
          <t>Cash on Delivery</t>
        </is>
      </c>
      <c r="I1251" t="inlineStr">
        <is>
          <t>Delivered</t>
        </is>
      </c>
      <c r="J1251" t="n">
        <v>120</v>
      </c>
      <c r="K1251" t="n">
        <v>1</v>
      </c>
      <c r="L1251" s="7" t="n">
        <v>734</v>
      </c>
      <c r="M1251" s="7" t="n">
        <v>110.1</v>
      </c>
    </row>
    <row r="1252">
      <c r="A1252" t="n">
        <v>509965</v>
      </c>
      <c r="B1252" s="6" t="n">
        <v>45946</v>
      </c>
      <c r="C1252" t="n">
        <v>14897</v>
      </c>
      <c r="D1252" t="inlineStr">
        <is>
          <t>Gurugram</t>
        </is>
      </c>
      <c r="E1252" t="inlineStr">
        <is>
          <t>North</t>
        </is>
      </c>
      <c r="F1252" t="inlineStr">
        <is>
          <t>Affiliate</t>
        </is>
      </c>
      <c r="G1252" t="inlineStr">
        <is>
          <t>Mobile App</t>
        </is>
      </c>
      <c r="H1252" t="inlineStr">
        <is>
          <t>UPI</t>
        </is>
      </c>
      <c r="I1252" t="inlineStr">
        <is>
          <t>Delivered</t>
        </is>
      </c>
      <c r="J1252" t="n">
        <v>103</v>
      </c>
      <c r="K1252" t="n">
        <v>1</v>
      </c>
      <c r="L1252" s="7" t="n">
        <v>2624</v>
      </c>
      <c r="M1252" s="7" t="n">
        <v>262.4</v>
      </c>
    </row>
    <row r="1253">
      <c r="A1253" t="n">
        <v>509965</v>
      </c>
      <c r="B1253" s="6" t="n">
        <v>45946</v>
      </c>
      <c r="C1253" t="n">
        <v>14897</v>
      </c>
      <c r="D1253" t="inlineStr">
        <is>
          <t>Gurugram</t>
        </is>
      </c>
      <c r="E1253" t="inlineStr">
        <is>
          <t>North</t>
        </is>
      </c>
      <c r="F1253" t="inlineStr">
        <is>
          <t>Affiliate</t>
        </is>
      </c>
      <c r="G1253" t="inlineStr">
        <is>
          <t>Mobile App</t>
        </is>
      </c>
      <c r="H1253" t="inlineStr">
        <is>
          <t>UPI</t>
        </is>
      </c>
      <c r="I1253" t="inlineStr">
        <is>
          <t>Delivered</t>
        </is>
      </c>
      <c r="J1253" t="n">
        <v>129</v>
      </c>
      <c r="K1253" t="n">
        <v>1</v>
      </c>
      <c r="L1253" s="7" t="n">
        <v>576</v>
      </c>
      <c r="M1253" s="7" t="n">
        <v>57.6</v>
      </c>
    </row>
    <row r="1254">
      <c r="A1254" t="n">
        <v>509966</v>
      </c>
      <c r="B1254" s="6" t="n">
        <v>45946</v>
      </c>
      <c r="C1254" t="n">
        <v>15355</v>
      </c>
      <c r="D1254" t="inlineStr">
        <is>
          <t>Gurugram</t>
        </is>
      </c>
      <c r="E1254" t="inlineStr">
        <is>
          <t>North</t>
        </is>
      </c>
      <c r="F1254" t="inlineStr">
        <is>
          <t>Paid Search</t>
        </is>
      </c>
      <c r="G1254" t="inlineStr">
        <is>
          <t>Mobile Web</t>
        </is>
      </c>
      <c r="H1254" t="inlineStr">
        <is>
          <t>UPI</t>
        </is>
      </c>
      <c r="I1254" t="inlineStr">
        <is>
          <t>Delivered</t>
        </is>
      </c>
      <c r="J1254" t="n">
        <v>112</v>
      </c>
      <c r="K1254" t="n">
        <v>1</v>
      </c>
      <c r="L1254" s="7" t="n">
        <v>1574</v>
      </c>
      <c r="M1254" s="7" t="n">
        <v>157.4</v>
      </c>
    </row>
    <row r="1255">
      <c r="A1255" t="n">
        <v>509967</v>
      </c>
      <c r="B1255" s="6" t="n">
        <v>45946</v>
      </c>
      <c r="C1255" t="n">
        <v>16778</v>
      </c>
      <c r="D1255" t="inlineStr">
        <is>
          <t>Ahmedabad</t>
        </is>
      </c>
      <c r="E1255" t="inlineStr">
        <is>
          <t>West</t>
        </is>
      </c>
      <c r="F1255" t="inlineStr">
        <is>
          <t>Organic Search</t>
        </is>
      </c>
      <c r="G1255" t="inlineStr">
        <is>
          <t>Mobile Web</t>
        </is>
      </c>
      <c r="H1255" t="inlineStr">
        <is>
          <t>UPI</t>
        </is>
      </c>
      <c r="I1255" t="inlineStr">
        <is>
          <t>Delivered</t>
        </is>
      </c>
      <c r="J1255" t="n">
        <v>126</v>
      </c>
      <c r="K1255" t="n">
        <v>1</v>
      </c>
      <c r="L1255" s="7" t="n">
        <v>471</v>
      </c>
      <c r="M1255" s="7" t="n">
        <v>47.1</v>
      </c>
    </row>
    <row r="1256">
      <c r="A1256" t="n">
        <v>509967</v>
      </c>
      <c r="B1256" s="6" t="n">
        <v>45946</v>
      </c>
      <c r="C1256" t="n">
        <v>16778</v>
      </c>
      <c r="D1256" t="inlineStr">
        <is>
          <t>Ahmedabad</t>
        </is>
      </c>
      <c r="E1256" t="inlineStr">
        <is>
          <t>West</t>
        </is>
      </c>
      <c r="F1256" t="inlineStr">
        <is>
          <t>Organic Search</t>
        </is>
      </c>
      <c r="G1256" t="inlineStr">
        <is>
          <t>Mobile Web</t>
        </is>
      </c>
      <c r="H1256" t="inlineStr">
        <is>
          <t>UPI</t>
        </is>
      </c>
      <c r="I1256" t="inlineStr">
        <is>
          <t>Delivered</t>
        </is>
      </c>
      <c r="J1256" t="n">
        <v>136</v>
      </c>
      <c r="K1256" t="n">
        <v>2</v>
      </c>
      <c r="L1256" s="7" t="n">
        <v>944</v>
      </c>
      <c r="M1256" s="7" t="n">
        <v>188.8</v>
      </c>
    </row>
    <row r="1257">
      <c r="A1257" t="n">
        <v>509967</v>
      </c>
      <c r="B1257" s="6" t="n">
        <v>45946</v>
      </c>
      <c r="C1257" t="n">
        <v>16778</v>
      </c>
      <c r="D1257" t="inlineStr">
        <is>
          <t>Ahmedabad</t>
        </is>
      </c>
      <c r="E1257" t="inlineStr">
        <is>
          <t>West</t>
        </is>
      </c>
      <c r="F1257" t="inlineStr">
        <is>
          <t>Organic Search</t>
        </is>
      </c>
      <c r="G1257" t="inlineStr">
        <is>
          <t>Mobile Web</t>
        </is>
      </c>
      <c r="H1257" t="inlineStr">
        <is>
          <t>UPI</t>
        </is>
      </c>
      <c r="I1257" t="inlineStr">
        <is>
          <t>Delivered</t>
        </is>
      </c>
      <c r="J1257" t="n">
        <v>129</v>
      </c>
      <c r="K1257" t="n">
        <v>1</v>
      </c>
      <c r="L1257" s="7" t="n">
        <v>576</v>
      </c>
      <c r="M1257" s="7" t="n">
        <v>57.6</v>
      </c>
    </row>
    <row r="1258">
      <c r="A1258" t="n">
        <v>509968</v>
      </c>
      <c r="B1258" s="6" t="n">
        <v>45946</v>
      </c>
      <c r="C1258" t="n">
        <v>11198</v>
      </c>
      <c r="D1258" t="inlineStr">
        <is>
          <t>Chennai</t>
        </is>
      </c>
      <c r="E1258" t="inlineStr">
        <is>
          <t>South</t>
        </is>
      </c>
      <c r="F1258" t="inlineStr">
        <is>
          <t>Organic Search</t>
        </is>
      </c>
      <c r="G1258" t="inlineStr">
        <is>
          <t>Mobile App</t>
        </is>
      </c>
      <c r="H1258" t="inlineStr">
        <is>
          <t>UPI</t>
        </is>
      </c>
      <c r="I1258" t="inlineStr">
        <is>
          <t>Delivered</t>
        </is>
      </c>
      <c r="J1258" t="n">
        <v>135</v>
      </c>
      <c r="K1258" t="n">
        <v>1</v>
      </c>
      <c r="L1258" s="7" t="n">
        <v>1574</v>
      </c>
      <c r="M1258" s="7" t="n">
        <v>157.4</v>
      </c>
    </row>
    <row r="1259">
      <c r="A1259" t="n">
        <v>509968</v>
      </c>
      <c r="B1259" s="6" t="n">
        <v>45946</v>
      </c>
      <c r="C1259" t="n">
        <v>11198</v>
      </c>
      <c r="D1259" t="inlineStr">
        <is>
          <t>Chennai</t>
        </is>
      </c>
      <c r="E1259" t="inlineStr">
        <is>
          <t>South</t>
        </is>
      </c>
      <c r="F1259" t="inlineStr">
        <is>
          <t>Organic Search</t>
        </is>
      </c>
      <c r="G1259" t="inlineStr">
        <is>
          <t>Mobile App</t>
        </is>
      </c>
      <c r="H1259" t="inlineStr">
        <is>
          <t>UPI</t>
        </is>
      </c>
      <c r="I1259" t="inlineStr">
        <is>
          <t>Delivered</t>
        </is>
      </c>
      <c r="J1259" t="n">
        <v>129</v>
      </c>
      <c r="K1259" t="n">
        <v>2</v>
      </c>
      <c r="L1259" s="7" t="n">
        <v>576</v>
      </c>
      <c r="M1259" s="7" t="n">
        <v>115.2</v>
      </c>
    </row>
    <row r="1260">
      <c r="A1260" t="n">
        <v>509969</v>
      </c>
      <c r="B1260" s="6" t="n">
        <v>45946</v>
      </c>
      <c r="C1260" t="n">
        <v>11565</v>
      </c>
      <c r="D1260" t="inlineStr">
        <is>
          <t>Mumbai</t>
        </is>
      </c>
      <c r="E1260" t="inlineStr">
        <is>
          <t>West</t>
        </is>
      </c>
      <c r="F1260" t="inlineStr">
        <is>
          <t>Email</t>
        </is>
      </c>
      <c r="G1260" t="inlineStr">
        <is>
          <t>Mobile App</t>
        </is>
      </c>
      <c r="H1260" t="inlineStr">
        <is>
          <t>UPI</t>
        </is>
      </c>
      <c r="I1260" t="inlineStr">
        <is>
          <t>Delivered</t>
        </is>
      </c>
      <c r="J1260" t="n">
        <v>102</v>
      </c>
      <c r="K1260" t="n">
        <v>1</v>
      </c>
      <c r="L1260" s="7" t="n">
        <v>3674</v>
      </c>
      <c r="M1260" s="7" t="n">
        <v>367.4</v>
      </c>
    </row>
    <row r="1261">
      <c r="A1261" t="n">
        <v>509970</v>
      </c>
      <c r="B1261" s="6" t="n">
        <v>45946</v>
      </c>
      <c r="C1261" t="n">
        <v>11394</v>
      </c>
      <c r="D1261" t="inlineStr">
        <is>
          <t>Mumbai</t>
        </is>
      </c>
      <c r="E1261" t="inlineStr">
        <is>
          <t>West</t>
        </is>
      </c>
      <c r="F1261" t="inlineStr">
        <is>
          <t>Organic Search</t>
        </is>
      </c>
      <c r="G1261" t="inlineStr">
        <is>
          <t>Mobile App</t>
        </is>
      </c>
      <c r="H1261" t="inlineStr">
        <is>
          <t>Credit Card</t>
        </is>
      </c>
      <c r="I1261" t="inlineStr">
        <is>
          <t>Delivered</t>
        </is>
      </c>
      <c r="J1261" t="n">
        <v>116</v>
      </c>
      <c r="K1261" t="n">
        <v>1</v>
      </c>
      <c r="L1261" s="7" t="n">
        <v>2624</v>
      </c>
      <c r="M1261" s="7" t="n">
        <v>0</v>
      </c>
    </row>
    <row r="1262">
      <c r="A1262" t="n">
        <v>509970</v>
      </c>
      <c r="B1262" s="6" t="n">
        <v>45946</v>
      </c>
      <c r="C1262" t="n">
        <v>11394</v>
      </c>
      <c r="D1262" t="inlineStr">
        <is>
          <t>Mumbai</t>
        </is>
      </c>
      <c r="E1262" t="inlineStr">
        <is>
          <t>West</t>
        </is>
      </c>
      <c r="F1262" t="inlineStr">
        <is>
          <t>Organic Search</t>
        </is>
      </c>
      <c r="G1262" t="inlineStr">
        <is>
          <t>Mobile App</t>
        </is>
      </c>
      <c r="H1262" t="inlineStr">
        <is>
          <t>Credit Card</t>
        </is>
      </c>
      <c r="I1262" t="inlineStr">
        <is>
          <t>Delivered</t>
        </is>
      </c>
      <c r="J1262" t="n">
        <v>129</v>
      </c>
      <c r="K1262" t="n">
        <v>1</v>
      </c>
      <c r="L1262" s="7" t="n">
        <v>576</v>
      </c>
      <c r="M1262" s="7" t="n">
        <v>0</v>
      </c>
    </row>
    <row r="1263">
      <c r="A1263" t="n">
        <v>509971</v>
      </c>
      <c r="B1263" s="6" t="n">
        <v>45946</v>
      </c>
      <c r="C1263" t="n">
        <v>16666</v>
      </c>
      <c r="D1263" t="inlineStr">
        <is>
          <t>Bengaluru</t>
        </is>
      </c>
      <c r="E1263" t="inlineStr">
        <is>
          <t>South</t>
        </is>
      </c>
      <c r="F1263" t="inlineStr">
        <is>
          <t>Paid Search</t>
        </is>
      </c>
      <c r="G1263" t="inlineStr">
        <is>
          <t>Mobile App</t>
        </is>
      </c>
      <c r="H1263" t="inlineStr">
        <is>
          <t>Cash on Delivery</t>
        </is>
      </c>
      <c r="I1263" t="inlineStr">
        <is>
          <t>Delivered</t>
        </is>
      </c>
      <c r="J1263" t="n">
        <v>142</v>
      </c>
      <c r="K1263" t="n">
        <v>2</v>
      </c>
      <c r="L1263" s="7" t="n">
        <v>839</v>
      </c>
      <c r="M1263" s="7" t="n">
        <v>251.7</v>
      </c>
    </row>
    <row r="1264">
      <c r="A1264" t="n">
        <v>509971</v>
      </c>
      <c r="B1264" s="6" t="n">
        <v>45946</v>
      </c>
      <c r="C1264" t="n">
        <v>16666</v>
      </c>
      <c r="D1264" t="inlineStr">
        <is>
          <t>Bengaluru</t>
        </is>
      </c>
      <c r="E1264" t="inlineStr">
        <is>
          <t>South</t>
        </is>
      </c>
      <c r="F1264" t="inlineStr">
        <is>
          <t>Paid Search</t>
        </is>
      </c>
      <c r="G1264" t="inlineStr">
        <is>
          <t>Mobile App</t>
        </is>
      </c>
      <c r="H1264" t="inlineStr">
        <is>
          <t>Cash on Delivery</t>
        </is>
      </c>
      <c r="I1264" t="inlineStr">
        <is>
          <t>Delivered</t>
        </is>
      </c>
      <c r="J1264" t="n">
        <v>102</v>
      </c>
      <c r="K1264" t="n">
        <v>1</v>
      </c>
      <c r="L1264" s="7" t="n">
        <v>3674</v>
      </c>
      <c r="M1264" s="7" t="n">
        <v>551.1</v>
      </c>
    </row>
    <row r="1265">
      <c r="A1265" t="n">
        <v>509972</v>
      </c>
      <c r="B1265" s="6" t="n">
        <v>45946</v>
      </c>
      <c r="C1265" t="n">
        <v>12808</v>
      </c>
      <c r="D1265" t="inlineStr">
        <is>
          <t>Noida</t>
        </is>
      </c>
      <c r="E1265" t="inlineStr">
        <is>
          <t>North</t>
        </is>
      </c>
      <c r="F1265" t="inlineStr">
        <is>
          <t>Organic Search</t>
        </is>
      </c>
      <c r="G1265" t="inlineStr">
        <is>
          <t>Mobile Web</t>
        </is>
      </c>
      <c r="H1265" t="inlineStr">
        <is>
          <t>UPI</t>
        </is>
      </c>
      <c r="I1265" t="inlineStr">
        <is>
          <t>Delivered</t>
        </is>
      </c>
      <c r="J1265" t="n">
        <v>123</v>
      </c>
      <c r="K1265" t="n">
        <v>2</v>
      </c>
      <c r="L1265" s="7" t="n">
        <v>3464</v>
      </c>
      <c r="M1265" s="7" t="n">
        <v>0</v>
      </c>
    </row>
    <row r="1266">
      <c r="A1266" t="n">
        <v>509972</v>
      </c>
      <c r="B1266" s="6" t="n">
        <v>45946</v>
      </c>
      <c r="C1266" t="n">
        <v>12808</v>
      </c>
      <c r="D1266" t="inlineStr">
        <is>
          <t>Noida</t>
        </is>
      </c>
      <c r="E1266" t="inlineStr">
        <is>
          <t>North</t>
        </is>
      </c>
      <c r="F1266" t="inlineStr">
        <is>
          <t>Organic Search</t>
        </is>
      </c>
      <c r="G1266" t="inlineStr">
        <is>
          <t>Mobile Web</t>
        </is>
      </c>
      <c r="H1266" t="inlineStr">
        <is>
          <t>UPI</t>
        </is>
      </c>
      <c r="I1266" t="inlineStr">
        <is>
          <t>Delivered</t>
        </is>
      </c>
      <c r="J1266" t="n">
        <v>118</v>
      </c>
      <c r="K1266" t="n">
        <v>1</v>
      </c>
      <c r="L1266" s="7" t="n">
        <v>944</v>
      </c>
      <c r="M1266" s="7" t="n">
        <v>0</v>
      </c>
    </row>
    <row r="1267">
      <c r="A1267" t="n">
        <v>509973</v>
      </c>
      <c r="B1267" s="6" t="n">
        <v>45946</v>
      </c>
      <c r="C1267" t="n">
        <v>13468</v>
      </c>
      <c r="D1267" t="inlineStr">
        <is>
          <t>Delhi</t>
        </is>
      </c>
      <c r="E1267" t="inlineStr">
        <is>
          <t>North</t>
        </is>
      </c>
      <c r="F1267" t="inlineStr">
        <is>
          <t>Referral</t>
        </is>
      </c>
      <c r="G1267" t="inlineStr">
        <is>
          <t>Mobile Web</t>
        </is>
      </c>
      <c r="H1267" t="inlineStr">
        <is>
          <t>Credit Card</t>
        </is>
      </c>
      <c r="I1267" t="inlineStr">
        <is>
          <t>Delivered</t>
        </is>
      </c>
      <c r="J1267" t="n">
        <v>141</v>
      </c>
      <c r="K1267" t="n">
        <v>1</v>
      </c>
      <c r="L1267" s="7" t="n">
        <v>261</v>
      </c>
      <c r="M1267" s="7" t="n">
        <v>0</v>
      </c>
    </row>
    <row r="1268">
      <c r="A1268" t="n">
        <v>509973</v>
      </c>
      <c r="B1268" s="6" t="n">
        <v>45946</v>
      </c>
      <c r="C1268" t="n">
        <v>13468</v>
      </c>
      <c r="D1268" t="inlineStr">
        <is>
          <t>Delhi</t>
        </is>
      </c>
      <c r="E1268" t="inlineStr">
        <is>
          <t>North</t>
        </is>
      </c>
      <c r="F1268" t="inlineStr">
        <is>
          <t>Referral</t>
        </is>
      </c>
      <c r="G1268" t="inlineStr">
        <is>
          <t>Mobile Web</t>
        </is>
      </c>
      <c r="H1268" t="inlineStr">
        <is>
          <t>Credit Card</t>
        </is>
      </c>
      <c r="I1268" t="inlineStr">
        <is>
          <t>Delivered</t>
        </is>
      </c>
      <c r="J1268" t="n">
        <v>129</v>
      </c>
      <c r="K1268" t="n">
        <v>1</v>
      </c>
      <c r="L1268" s="7" t="n">
        <v>576</v>
      </c>
      <c r="M1268" s="7" t="n">
        <v>0</v>
      </c>
    </row>
    <row r="1269">
      <c r="A1269" t="n">
        <v>509974</v>
      </c>
      <c r="B1269" s="6" t="n">
        <v>45946</v>
      </c>
      <c r="C1269" t="n">
        <v>12633</v>
      </c>
      <c r="D1269" t="inlineStr">
        <is>
          <t>Delhi</t>
        </is>
      </c>
      <c r="E1269" t="inlineStr">
        <is>
          <t>North</t>
        </is>
      </c>
      <c r="F1269" t="inlineStr">
        <is>
          <t>Email</t>
        </is>
      </c>
      <c r="G1269" t="inlineStr">
        <is>
          <t>Mobile App</t>
        </is>
      </c>
      <c r="H1269" t="inlineStr">
        <is>
          <t>UPI</t>
        </is>
      </c>
      <c r="I1269" t="inlineStr">
        <is>
          <t>Delivered</t>
        </is>
      </c>
      <c r="J1269" t="n">
        <v>109</v>
      </c>
      <c r="K1269" t="n">
        <v>1</v>
      </c>
      <c r="L1269" s="7" t="n">
        <v>4199</v>
      </c>
      <c r="M1269" s="7" t="n">
        <v>419.9</v>
      </c>
    </row>
    <row r="1270">
      <c r="A1270" t="n">
        <v>509975</v>
      </c>
      <c r="B1270" s="6" t="n">
        <v>45946</v>
      </c>
      <c r="C1270" t="n">
        <v>16713</v>
      </c>
      <c r="D1270" t="inlineStr">
        <is>
          <t>Mumbai</t>
        </is>
      </c>
      <c r="E1270" t="inlineStr">
        <is>
          <t>West</t>
        </is>
      </c>
      <c r="F1270" t="inlineStr">
        <is>
          <t>Email</t>
        </is>
      </c>
      <c r="G1270" t="inlineStr">
        <is>
          <t>Desktop</t>
        </is>
      </c>
      <c r="H1270" t="inlineStr">
        <is>
          <t>UPI</t>
        </is>
      </c>
      <c r="I1270" t="inlineStr">
        <is>
          <t>Delivered</t>
        </is>
      </c>
      <c r="J1270" t="n">
        <v>105</v>
      </c>
      <c r="K1270" t="n">
        <v>1</v>
      </c>
      <c r="L1270" s="7" t="n">
        <v>2414</v>
      </c>
      <c r="M1270" s="7" t="n">
        <v>362.1</v>
      </c>
    </row>
    <row r="1271">
      <c r="A1271" t="n">
        <v>509976</v>
      </c>
      <c r="B1271" s="6" t="n">
        <v>45946</v>
      </c>
      <c r="C1271" t="n">
        <v>14927</v>
      </c>
      <c r="D1271" t="inlineStr">
        <is>
          <t>Delhi</t>
        </is>
      </c>
      <c r="E1271" t="inlineStr">
        <is>
          <t>North</t>
        </is>
      </c>
      <c r="F1271" t="inlineStr">
        <is>
          <t>Referral</t>
        </is>
      </c>
      <c r="G1271" t="inlineStr">
        <is>
          <t>Mobile Web</t>
        </is>
      </c>
      <c r="H1271" t="inlineStr">
        <is>
          <t>Cash on Delivery</t>
        </is>
      </c>
      <c r="I1271" t="inlineStr">
        <is>
          <t>Delivered</t>
        </is>
      </c>
      <c r="J1271" t="n">
        <v>122</v>
      </c>
      <c r="K1271" t="n">
        <v>1</v>
      </c>
      <c r="L1271" s="7" t="n">
        <v>1994</v>
      </c>
      <c r="M1271" s="7" t="n">
        <v>0</v>
      </c>
    </row>
    <row r="1272">
      <c r="A1272" t="n">
        <v>509976</v>
      </c>
      <c r="B1272" s="6" t="n">
        <v>45946</v>
      </c>
      <c r="C1272" t="n">
        <v>14927</v>
      </c>
      <c r="D1272" t="inlineStr">
        <is>
          <t>Delhi</t>
        </is>
      </c>
      <c r="E1272" t="inlineStr">
        <is>
          <t>North</t>
        </is>
      </c>
      <c r="F1272" t="inlineStr">
        <is>
          <t>Referral</t>
        </is>
      </c>
      <c r="G1272" t="inlineStr">
        <is>
          <t>Mobile Web</t>
        </is>
      </c>
      <c r="H1272" t="inlineStr">
        <is>
          <t>Cash on Delivery</t>
        </is>
      </c>
      <c r="I1272" t="inlineStr">
        <is>
          <t>Delivered</t>
        </is>
      </c>
      <c r="J1272" t="n">
        <v>130</v>
      </c>
      <c r="K1272" t="n">
        <v>1</v>
      </c>
      <c r="L1272" s="7" t="n">
        <v>734</v>
      </c>
      <c r="M1272" s="7" t="n">
        <v>0</v>
      </c>
    </row>
    <row r="1273">
      <c r="A1273" t="n">
        <v>509976</v>
      </c>
      <c r="B1273" s="6" t="n">
        <v>45946</v>
      </c>
      <c r="C1273" t="n">
        <v>14927</v>
      </c>
      <c r="D1273" t="inlineStr">
        <is>
          <t>Delhi</t>
        </is>
      </c>
      <c r="E1273" t="inlineStr">
        <is>
          <t>North</t>
        </is>
      </c>
      <c r="F1273" t="inlineStr">
        <is>
          <t>Referral</t>
        </is>
      </c>
      <c r="G1273" t="inlineStr">
        <is>
          <t>Mobile Web</t>
        </is>
      </c>
      <c r="H1273" t="inlineStr">
        <is>
          <t>Cash on Delivery</t>
        </is>
      </c>
      <c r="I1273" t="inlineStr">
        <is>
          <t>Delivered</t>
        </is>
      </c>
      <c r="J1273" t="n">
        <v>129</v>
      </c>
      <c r="K1273" t="n">
        <v>1</v>
      </c>
      <c r="L1273" s="7" t="n">
        <v>576</v>
      </c>
      <c r="M1273" s="7" t="n">
        <v>0</v>
      </c>
    </row>
    <row r="1274">
      <c r="A1274" t="n">
        <v>509977</v>
      </c>
      <c r="B1274" s="6" t="n">
        <v>45946</v>
      </c>
      <c r="C1274" t="n">
        <v>14983</v>
      </c>
      <c r="D1274" t="inlineStr">
        <is>
          <t>Bengaluru</t>
        </is>
      </c>
      <c r="E1274" t="inlineStr">
        <is>
          <t>South</t>
        </is>
      </c>
      <c r="F1274" t="inlineStr">
        <is>
          <t>Paid Search</t>
        </is>
      </c>
      <c r="G1274" t="inlineStr">
        <is>
          <t>Mobile App</t>
        </is>
      </c>
      <c r="H1274" t="inlineStr">
        <is>
          <t>Cash on Delivery</t>
        </is>
      </c>
      <c r="I1274" t="inlineStr">
        <is>
          <t>Delivered</t>
        </is>
      </c>
      <c r="J1274" t="n">
        <v>117</v>
      </c>
      <c r="K1274" t="n">
        <v>1</v>
      </c>
      <c r="L1274" s="7" t="n">
        <v>3149</v>
      </c>
      <c r="M1274" s="7" t="n">
        <v>0</v>
      </c>
    </row>
    <row r="1275">
      <c r="A1275" t="n">
        <v>509977</v>
      </c>
      <c r="B1275" s="6" t="n">
        <v>45946</v>
      </c>
      <c r="C1275" t="n">
        <v>14983</v>
      </c>
      <c r="D1275" t="inlineStr">
        <is>
          <t>Bengaluru</t>
        </is>
      </c>
      <c r="E1275" t="inlineStr">
        <is>
          <t>South</t>
        </is>
      </c>
      <c r="F1275" t="inlineStr">
        <is>
          <t>Paid Search</t>
        </is>
      </c>
      <c r="G1275" t="inlineStr">
        <is>
          <t>Mobile App</t>
        </is>
      </c>
      <c r="H1275" t="inlineStr">
        <is>
          <t>Cash on Delivery</t>
        </is>
      </c>
      <c r="I1275" t="inlineStr">
        <is>
          <t>Delivered</t>
        </is>
      </c>
      <c r="J1275" t="n">
        <v>107</v>
      </c>
      <c r="K1275" t="n">
        <v>1</v>
      </c>
      <c r="L1275" s="7" t="n">
        <v>1259</v>
      </c>
      <c r="M1275" s="7" t="n">
        <v>0</v>
      </c>
    </row>
    <row r="1276">
      <c r="A1276" t="n">
        <v>509977</v>
      </c>
      <c r="B1276" s="6" t="n">
        <v>45946</v>
      </c>
      <c r="C1276" t="n">
        <v>14983</v>
      </c>
      <c r="D1276" t="inlineStr">
        <is>
          <t>Bengaluru</t>
        </is>
      </c>
      <c r="E1276" t="inlineStr">
        <is>
          <t>South</t>
        </is>
      </c>
      <c r="F1276" t="inlineStr">
        <is>
          <t>Paid Search</t>
        </is>
      </c>
      <c r="G1276" t="inlineStr">
        <is>
          <t>Mobile App</t>
        </is>
      </c>
      <c r="H1276" t="inlineStr">
        <is>
          <t>Cash on Delivery</t>
        </is>
      </c>
      <c r="I1276" t="inlineStr">
        <is>
          <t>Delivered</t>
        </is>
      </c>
      <c r="J1276" t="n">
        <v>102</v>
      </c>
      <c r="K1276" t="n">
        <v>1</v>
      </c>
      <c r="L1276" s="7" t="n">
        <v>3674</v>
      </c>
      <c r="M1276" s="7" t="n">
        <v>0</v>
      </c>
    </row>
    <row r="1277">
      <c r="A1277" t="n">
        <v>509977</v>
      </c>
      <c r="B1277" s="6" t="n">
        <v>45946</v>
      </c>
      <c r="C1277" t="n">
        <v>14983</v>
      </c>
      <c r="D1277" t="inlineStr">
        <is>
          <t>Bengaluru</t>
        </is>
      </c>
      <c r="E1277" t="inlineStr">
        <is>
          <t>South</t>
        </is>
      </c>
      <c r="F1277" t="inlineStr">
        <is>
          <t>Paid Search</t>
        </is>
      </c>
      <c r="G1277" t="inlineStr">
        <is>
          <t>Mobile App</t>
        </is>
      </c>
      <c r="H1277" t="inlineStr">
        <is>
          <t>Cash on Delivery</t>
        </is>
      </c>
      <c r="I1277" t="inlineStr">
        <is>
          <t>Delivered</t>
        </is>
      </c>
      <c r="J1277" t="n">
        <v>129</v>
      </c>
      <c r="K1277" t="n">
        <v>1</v>
      </c>
      <c r="L1277" s="7" t="n">
        <v>576</v>
      </c>
      <c r="M1277" s="7" t="n">
        <v>0</v>
      </c>
    </row>
    <row r="1278">
      <c r="A1278" t="n">
        <v>509978</v>
      </c>
      <c r="B1278" s="6" t="n">
        <v>45946</v>
      </c>
      <c r="C1278" t="n">
        <v>16505</v>
      </c>
      <c r="D1278" t="inlineStr">
        <is>
          <t>Mumbai</t>
        </is>
      </c>
      <c r="E1278" t="inlineStr">
        <is>
          <t>West</t>
        </is>
      </c>
      <c r="F1278" t="inlineStr">
        <is>
          <t>Paid Search</t>
        </is>
      </c>
      <c r="G1278" t="inlineStr">
        <is>
          <t>Mobile Web</t>
        </is>
      </c>
      <c r="H1278" t="inlineStr">
        <is>
          <t>UPI</t>
        </is>
      </c>
      <c r="I1278" t="inlineStr">
        <is>
          <t>Delivered</t>
        </is>
      </c>
      <c r="J1278" t="n">
        <v>124</v>
      </c>
      <c r="K1278" t="n">
        <v>2</v>
      </c>
      <c r="L1278" s="7" t="n">
        <v>1154</v>
      </c>
      <c r="M1278" s="7" t="n">
        <v>230.8</v>
      </c>
    </row>
    <row r="1279">
      <c r="A1279" t="n">
        <v>509979</v>
      </c>
      <c r="B1279" s="6" t="n">
        <v>45946</v>
      </c>
      <c r="C1279" t="n">
        <v>15704</v>
      </c>
      <c r="D1279" t="inlineStr">
        <is>
          <t>Lucknow</t>
        </is>
      </c>
      <c r="E1279" t="inlineStr">
        <is>
          <t>North</t>
        </is>
      </c>
      <c r="F1279" t="inlineStr">
        <is>
          <t>Referral</t>
        </is>
      </c>
      <c r="G1279" t="inlineStr">
        <is>
          <t>Mobile App</t>
        </is>
      </c>
      <c r="H1279" t="inlineStr">
        <is>
          <t>Credit Card</t>
        </is>
      </c>
      <c r="I1279" t="inlineStr">
        <is>
          <t>Delivered</t>
        </is>
      </c>
      <c r="J1279" t="n">
        <v>123</v>
      </c>
      <c r="K1279" t="n">
        <v>1</v>
      </c>
      <c r="L1279" s="7" t="n">
        <v>3464</v>
      </c>
      <c r="M1279" s="7" t="n">
        <v>346.4</v>
      </c>
    </row>
    <row r="1280">
      <c r="A1280" t="n">
        <v>509980</v>
      </c>
      <c r="B1280" s="6" t="n">
        <v>45946</v>
      </c>
      <c r="C1280" t="n">
        <v>15729</v>
      </c>
      <c r="D1280" t="inlineStr">
        <is>
          <t>Pune</t>
        </is>
      </c>
      <c r="E1280" t="inlineStr">
        <is>
          <t>West</t>
        </is>
      </c>
      <c r="F1280" t="inlineStr">
        <is>
          <t>Organic Search</t>
        </is>
      </c>
      <c r="G1280" t="inlineStr">
        <is>
          <t>Mobile App</t>
        </is>
      </c>
      <c r="H1280" t="inlineStr">
        <is>
          <t>UPI</t>
        </is>
      </c>
      <c r="I1280" t="inlineStr">
        <is>
          <t>Returned</t>
        </is>
      </c>
      <c r="J1280" t="n">
        <v>111</v>
      </c>
      <c r="K1280" t="n">
        <v>1</v>
      </c>
      <c r="L1280" s="7" t="n">
        <v>524</v>
      </c>
      <c r="M1280" s="7" t="n">
        <v>26.2</v>
      </c>
    </row>
    <row r="1281">
      <c r="A1281" t="n">
        <v>509980</v>
      </c>
      <c r="B1281" s="6" t="n">
        <v>45946</v>
      </c>
      <c r="C1281" t="n">
        <v>15729</v>
      </c>
      <c r="D1281" t="inlineStr">
        <is>
          <t>Pune</t>
        </is>
      </c>
      <c r="E1281" t="inlineStr">
        <is>
          <t>West</t>
        </is>
      </c>
      <c r="F1281" t="inlineStr">
        <is>
          <t>Organic Search</t>
        </is>
      </c>
      <c r="G1281" t="inlineStr">
        <is>
          <t>Mobile App</t>
        </is>
      </c>
      <c r="H1281" t="inlineStr">
        <is>
          <t>UPI</t>
        </is>
      </c>
      <c r="I1281" t="inlineStr">
        <is>
          <t>Returned</t>
        </is>
      </c>
      <c r="J1281" t="n">
        <v>129</v>
      </c>
      <c r="K1281" t="n">
        <v>1</v>
      </c>
      <c r="L1281" s="7" t="n">
        <v>576</v>
      </c>
      <c r="M1281" s="7" t="n">
        <v>28.8</v>
      </c>
    </row>
    <row r="1282">
      <c r="A1282" t="n">
        <v>509981</v>
      </c>
      <c r="B1282" s="6" t="n">
        <v>45946</v>
      </c>
      <c r="C1282" t="n">
        <v>16428</v>
      </c>
      <c r="D1282" t="inlineStr">
        <is>
          <t>Delhi</t>
        </is>
      </c>
      <c r="E1282" t="inlineStr">
        <is>
          <t>North</t>
        </is>
      </c>
      <c r="F1282" t="inlineStr">
        <is>
          <t>Organic Search</t>
        </is>
      </c>
      <c r="G1282" t="inlineStr">
        <is>
          <t>Mobile App</t>
        </is>
      </c>
      <c r="H1282" t="inlineStr">
        <is>
          <t>Cash on Delivery</t>
        </is>
      </c>
      <c r="I1282" t="inlineStr">
        <is>
          <t>Cancelled</t>
        </is>
      </c>
      <c r="J1282" t="n">
        <v>136</v>
      </c>
      <c r="K1282" t="n">
        <v>2</v>
      </c>
      <c r="L1282" s="7" t="n">
        <v>944</v>
      </c>
      <c r="M1282" s="7" t="n">
        <v>0</v>
      </c>
    </row>
    <row r="1283">
      <c r="A1283" t="n">
        <v>509981</v>
      </c>
      <c r="B1283" s="6" t="n">
        <v>45946</v>
      </c>
      <c r="C1283" t="n">
        <v>16428</v>
      </c>
      <c r="D1283" t="inlineStr">
        <is>
          <t>Delhi</t>
        </is>
      </c>
      <c r="E1283" t="inlineStr">
        <is>
          <t>North</t>
        </is>
      </c>
      <c r="F1283" t="inlineStr">
        <is>
          <t>Organic Search</t>
        </is>
      </c>
      <c r="G1283" t="inlineStr">
        <is>
          <t>Mobile App</t>
        </is>
      </c>
      <c r="H1283" t="inlineStr">
        <is>
          <t>Cash on Delivery</t>
        </is>
      </c>
      <c r="I1283" t="inlineStr">
        <is>
          <t>Cancelled</t>
        </is>
      </c>
      <c r="J1283" t="n">
        <v>134</v>
      </c>
      <c r="K1283" t="n">
        <v>1</v>
      </c>
      <c r="L1283" s="7" t="n">
        <v>209</v>
      </c>
      <c r="M1283" s="7" t="n">
        <v>0</v>
      </c>
    </row>
    <row r="1284">
      <c r="A1284" t="n">
        <v>509981</v>
      </c>
      <c r="B1284" s="6" t="n">
        <v>45946</v>
      </c>
      <c r="C1284" t="n">
        <v>16428</v>
      </c>
      <c r="D1284" t="inlineStr">
        <is>
          <t>Delhi</t>
        </is>
      </c>
      <c r="E1284" t="inlineStr">
        <is>
          <t>North</t>
        </is>
      </c>
      <c r="F1284" t="inlineStr">
        <is>
          <t>Organic Search</t>
        </is>
      </c>
      <c r="G1284" t="inlineStr">
        <is>
          <t>Mobile App</t>
        </is>
      </c>
      <c r="H1284" t="inlineStr">
        <is>
          <t>Cash on Delivery</t>
        </is>
      </c>
      <c r="I1284" t="inlineStr">
        <is>
          <t>Cancelled</t>
        </is>
      </c>
      <c r="J1284" t="n">
        <v>129</v>
      </c>
      <c r="K1284" t="n">
        <v>2</v>
      </c>
      <c r="L1284" s="7" t="n">
        <v>576</v>
      </c>
      <c r="M1284" s="7" t="n">
        <v>0</v>
      </c>
    </row>
    <row r="1285">
      <c r="A1285" t="n">
        <v>509981</v>
      </c>
      <c r="B1285" s="6" t="n">
        <v>45946</v>
      </c>
      <c r="C1285" t="n">
        <v>16428</v>
      </c>
      <c r="D1285" t="inlineStr">
        <is>
          <t>Delhi</t>
        </is>
      </c>
      <c r="E1285" t="inlineStr">
        <is>
          <t>North</t>
        </is>
      </c>
      <c r="F1285" t="inlineStr">
        <is>
          <t>Organic Search</t>
        </is>
      </c>
      <c r="G1285" t="inlineStr">
        <is>
          <t>Mobile App</t>
        </is>
      </c>
      <c r="H1285" t="inlineStr">
        <is>
          <t>Cash on Delivery</t>
        </is>
      </c>
      <c r="I1285" t="inlineStr">
        <is>
          <t>Cancelled</t>
        </is>
      </c>
      <c r="J1285" t="n">
        <v>102</v>
      </c>
      <c r="K1285" t="n">
        <v>1</v>
      </c>
      <c r="L1285" s="7" t="n">
        <v>3674</v>
      </c>
      <c r="M1285" s="7" t="n">
        <v>0</v>
      </c>
    </row>
    <row r="1286">
      <c r="A1286" t="n">
        <v>509982</v>
      </c>
      <c r="B1286" s="6" t="n">
        <v>45946</v>
      </c>
      <c r="C1286" t="n">
        <v>15400</v>
      </c>
      <c r="D1286" t="inlineStr">
        <is>
          <t>Indore</t>
        </is>
      </c>
      <c r="E1286" t="inlineStr">
        <is>
          <t>West</t>
        </is>
      </c>
      <c r="F1286" t="inlineStr">
        <is>
          <t>Paid Search</t>
        </is>
      </c>
      <c r="G1286" t="inlineStr">
        <is>
          <t>Mobile App</t>
        </is>
      </c>
      <c r="H1286" t="inlineStr">
        <is>
          <t>Credit Card</t>
        </is>
      </c>
      <c r="I1286" t="inlineStr">
        <is>
          <t>Delivered</t>
        </is>
      </c>
      <c r="J1286" t="n">
        <v>115</v>
      </c>
      <c r="K1286" t="n">
        <v>1</v>
      </c>
      <c r="L1286" s="7" t="n">
        <v>4199</v>
      </c>
      <c r="M1286" s="7" t="n">
        <v>0</v>
      </c>
    </row>
    <row r="1287">
      <c r="A1287" t="n">
        <v>509982</v>
      </c>
      <c r="B1287" s="6" t="n">
        <v>45946</v>
      </c>
      <c r="C1287" t="n">
        <v>15400</v>
      </c>
      <c r="D1287" t="inlineStr">
        <is>
          <t>Indore</t>
        </is>
      </c>
      <c r="E1287" t="inlineStr">
        <is>
          <t>West</t>
        </is>
      </c>
      <c r="F1287" t="inlineStr">
        <is>
          <t>Paid Search</t>
        </is>
      </c>
      <c r="G1287" t="inlineStr">
        <is>
          <t>Mobile App</t>
        </is>
      </c>
      <c r="H1287" t="inlineStr">
        <is>
          <t>Credit Card</t>
        </is>
      </c>
      <c r="I1287" t="inlineStr">
        <is>
          <t>Delivered</t>
        </is>
      </c>
      <c r="J1287" t="n">
        <v>136</v>
      </c>
      <c r="K1287" t="n">
        <v>1</v>
      </c>
      <c r="L1287" s="7" t="n">
        <v>944</v>
      </c>
      <c r="M1287" s="7" t="n">
        <v>0</v>
      </c>
    </row>
    <row r="1288">
      <c r="A1288" t="n">
        <v>509982</v>
      </c>
      <c r="B1288" s="6" t="n">
        <v>45946</v>
      </c>
      <c r="C1288" t="n">
        <v>15400</v>
      </c>
      <c r="D1288" t="inlineStr">
        <is>
          <t>Indore</t>
        </is>
      </c>
      <c r="E1288" t="inlineStr">
        <is>
          <t>West</t>
        </is>
      </c>
      <c r="F1288" t="inlineStr">
        <is>
          <t>Paid Search</t>
        </is>
      </c>
      <c r="G1288" t="inlineStr">
        <is>
          <t>Mobile App</t>
        </is>
      </c>
      <c r="H1288" t="inlineStr">
        <is>
          <t>Credit Card</t>
        </is>
      </c>
      <c r="I1288" t="inlineStr">
        <is>
          <t>Delivered</t>
        </is>
      </c>
      <c r="J1288" t="n">
        <v>129</v>
      </c>
      <c r="K1288" t="n">
        <v>1</v>
      </c>
      <c r="L1288" s="7" t="n">
        <v>576</v>
      </c>
      <c r="M1288" s="7" t="n">
        <v>0</v>
      </c>
    </row>
    <row r="1289">
      <c r="A1289" t="n">
        <v>509983</v>
      </c>
      <c r="B1289" s="6" t="n">
        <v>45946</v>
      </c>
      <c r="C1289" t="n">
        <v>12043</v>
      </c>
      <c r="D1289" t="inlineStr">
        <is>
          <t>Pune</t>
        </is>
      </c>
      <c r="E1289" t="inlineStr">
        <is>
          <t>West</t>
        </is>
      </c>
      <c r="F1289" t="inlineStr">
        <is>
          <t>Organic Search</t>
        </is>
      </c>
      <c r="G1289" t="inlineStr">
        <is>
          <t>Mobile App</t>
        </is>
      </c>
      <c r="H1289" t="inlineStr">
        <is>
          <t>Cash on Delivery</t>
        </is>
      </c>
      <c r="I1289" t="inlineStr">
        <is>
          <t>Delivered</t>
        </is>
      </c>
      <c r="J1289" t="n">
        <v>120</v>
      </c>
      <c r="K1289" t="n">
        <v>1</v>
      </c>
      <c r="L1289" s="7" t="n">
        <v>734</v>
      </c>
      <c r="M1289" s="7" t="n">
        <v>0</v>
      </c>
    </row>
    <row r="1290">
      <c r="A1290" t="n">
        <v>509983</v>
      </c>
      <c r="B1290" s="6" t="n">
        <v>45946</v>
      </c>
      <c r="C1290" t="n">
        <v>12043</v>
      </c>
      <c r="D1290" t="inlineStr">
        <is>
          <t>Pune</t>
        </is>
      </c>
      <c r="E1290" t="inlineStr">
        <is>
          <t>West</t>
        </is>
      </c>
      <c r="F1290" t="inlineStr">
        <is>
          <t>Organic Search</t>
        </is>
      </c>
      <c r="G1290" t="inlineStr">
        <is>
          <t>Mobile App</t>
        </is>
      </c>
      <c r="H1290" t="inlineStr">
        <is>
          <t>Cash on Delivery</t>
        </is>
      </c>
      <c r="I1290" t="inlineStr">
        <is>
          <t>Delivered</t>
        </is>
      </c>
      <c r="J1290" t="n">
        <v>129</v>
      </c>
      <c r="K1290" t="n">
        <v>1</v>
      </c>
      <c r="L1290" s="7" t="n">
        <v>576</v>
      </c>
      <c r="M1290" s="7" t="n">
        <v>0</v>
      </c>
    </row>
    <row r="1291">
      <c r="A1291" t="n">
        <v>509984</v>
      </c>
      <c r="B1291" s="6" t="n">
        <v>45946</v>
      </c>
      <c r="C1291" t="n">
        <v>13896</v>
      </c>
      <c r="D1291" t="inlineStr">
        <is>
          <t>Indore</t>
        </is>
      </c>
      <c r="E1291" t="inlineStr">
        <is>
          <t>West</t>
        </is>
      </c>
      <c r="F1291" t="inlineStr">
        <is>
          <t>Organic Search</t>
        </is>
      </c>
      <c r="G1291" t="inlineStr">
        <is>
          <t>Mobile App</t>
        </is>
      </c>
      <c r="H1291" t="inlineStr">
        <is>
          <t>UPI</t>
        </is>
      </c>
      <c r="I1291" t="inlineStr">
        <is>
          <t>Delivered</t>
        </is>
      </c>
      <c r="J1291" t="n">
        <v>105</v>
      </c>
      <c r="K1291" t="n">
        <v>2</v>
      </c>
      <c r="L1291" s="7" t="n">
        <v>2414</v>
      </c>
      <c r="M1291" s="7" t="n">
        <v>482.8</v>
      </c>
    </row>
    <row r="1292">
      <c r="A1292" t="n">
        <v>509984</v>
      </c>
      <c r="B1292" s="6" t="n">
        <v>45946</v>
      </c>
      <c r="C1292" t="n">
        <v>13896</v>
      </c>
      <c r="D1292" t="inlineStr">
        <is>
          <t>Indore</t>
        </is>
      </c>
      <c r="E1292" t="inlineStr">
        <is>
          <t>West</t>
        </is>
      </c>
      <c r="F1292" t="inlineStr">
        <is>
          <t>Organic Search</t>
        </is>
      </c>
      <c r="G1292" t="inlineStr">
        <is>
          <t>Mobile App</t>
        </is>
      </c>
      <c r="H1292" t="inlineStr">
        <is>
          <t>UPI</t>
        </is>
      </c>
      <c r="I1292" t="inlineStr">
        <is>
          <t>Delivered</t>
        </is>
      </c>
      <c r="J1292" t="n">
        <v>129</v>
      </c>
      <c r="K1292" t="n">
        <v>1</v>
      </c>
      <c r="L1292" s="7" t="n">
        <v>576</v>
      </c>
      <c r="M1292" s="7" t="n">
        <v>57.6</v>
      </c>
    </row>
    <row r="1293">
      <c r="A1293" t="n">
        <v>509985</v>
      </c>
      <c r="B1293" s="6" t="n">
        <v>45946</v>
      </c>
      <c r="C1293" t="n">
        <v>14295</v>
      </c>
      <c r="D1293" t="inlineStr">
        <is>
          <t>Hyderabad</t>
        </is>
      </c>
      <c r="E1293" t="inlineStr">
        <is>
          <t>South</t>
        </is>
      </c>
      <c r="F1293" t="inlineStr">
        <is>
          <t>Organic Search</t>
        </is>
      </c>
      <c r="G1293" t="inlineStr">
        <is>
          <t>Mobile App</t>
        </is>
      </c>
      <c r="H1293" t="inlineStr">
        <is>
          <t>UPI</t>
        </is>
      </c>
      <c r="I1293" t="inlineStr">
        <is>
          <t>Delivered</t>
        </is>
      </c>
      <c r="J1293" t="n">
        <v>107</v>
      </c>
      <c r="K1293" t="n">
        <v>1</v>
      </c>
      <c r="L1293" s="7" t="n">
        <v>1259</v>
      </c>
      <c r="M1293" s="7" t="n">
        <v>0</v>
      </c>
    </row>
    <row r="1294">
      <c r="A1294" t="n">
        <v>509986</v>
      </c>
      <c r="B1294" s="6" t="n">
        <v>45946</v>
      </c>
      <c r="C1294" t="n">
        <v>10110</v>
      </c>
      <c r="D1294" t="inlineStr">
        <is>
          <t>Gurugram</t>
        </is>
      </c>
      <c r="E1294" t="inlineStr">
        <is>
          <t>North</t>
        </is>
      </c>
      <c r="F1294" t="inlineStr">
        <is>
          <t>Email</t>
        </is>
      </c>
      <c r="G1294" t="inlineStr">
        <is>
          <t>Desktop</t>
        </is>
      </c>
      <c r="H1294" t="inlineStr">
        <is>
          <t>Cash on Delivery</t>
        </is>
      </c>
      <c r="I1294" t="inlineStr">
        <is>
          <t>Delivered</t>
        </is>
      </c>
      <c r="J1294" t="n">
        <v>148</v>
      </c>
      <c r="K1294" t="n">
        <v>2</v>
      </c>
      <c r="L1294" s="7" t="n">
        <v>734</v>
      </c>
      <c r="M1294" s="7" t="n">
        <v>0</v>
      </c>
    </row>
    <row r="1295">
      <c r="A1295" t="n">
        <v>509986</v>
      </c>
      <c r="B1295" s="6" t="n">
        <v>45946</v>
      </c>
      <c r="C1295" t="n">
        <v>10110</v>
      </c>
      <c r="D1295" t="inlineStr">
        <is>
          <t>Gurugram</t>
        </is>
      </c>
      <c r="E1295" t="inlineStr">
        <is>
          <t>North</t>
        </is>
      </c>
      <c r="F1295" t="inlineStr">
        <is>
          <t>Email</t>
        </is>
      </c>
      <c r="G1295" t="inlineStr">
        <is>
          <t>Desktop</t>
        </is>
      </c>
      <c r="H1295" t="inlineStr">
        <is>
          <t>Cash on Delivery</t>
        </is>
      </c>
      <c r="I1295" t="inlineStr">
        <is>
          <t>Delivered</t>
        </is>
      </c>
      <c r="J1295" t="n">
        <v>129</v>
      </c>
      <c r="K1295" t="n">
        <v>1</v>
      </c>
      <c r="L1295" s="7" t="n">
        <v>576</v>
      </c>
      <c r="M1295" s="7" t="n">
        <v>0</v>
      </c>
    </row>
    <row r="1296">
      <c r="A1296" t="n">
        <v>509987</v>
      </c>
      <c r="B1296" s="6" t="n">
        <v>45946</v>
      </c>
      <c r="C1296" t="n">
        <v>12158</v>
      </c>
      <c r="D1296" t="inlineStr">
        <is>
          <t>Mumbai</t>
        </is>
      </c>
      <c r="E1296" t="inlineStr">
        <is>
          <t>West</t>
        </is>
      </c>
      <c r="F1296" t="inlineStr">
        <is>
          <t>Paid Search</t>
        </is>
      </c>
      <c r="G1296" t="inlineStr">
        <is>
          <t>Desktop</t>
        </is>
      </c>
      <c r="H1296" t="inlineStr">
        <is>
          <t>UPI</t>
        </is>
      </c>
      <c r="I1296" t="inlineStr">
        <is>
          <t>Delivered</t>
        </is>
      </c>
      <c r="J1296" t="n">
        <v>135</v>
      </c>
      <c r="K1296" t="n">
        <v>2</v>
      </c>
      <c r="L1296" s="7" t="n">
        <v>1574</v>
      </c>
      <c r="M1296" s="7" t="n">
        <v>314.8</v>
      </c>
    </row>
    <row r="1297">
      <c r="A1297" t="n">
        <v>509988</v>
      </c>
      <c r="B1297" s="6" t="n">
        <v>45946</v>
      </c>
      <c r="C1297" t="n">
        <v>12560</v>
      </c>
      <c r="D1297" t="inlineStr">
        <is>
          <t>Kolkata</t>
        </is>
      </c>
      <c r="E1297" t="inlineStr">
        <is>
          <t>East</t>
        </is>
      </c>
      <c r="F1297" t="inlineStr">
        <is>
          <t>Organic Search</t>
        </is>
      </c>
      <c r="G1297" t="inlineStr">
        <is>
          <t>Mobile Web</t>
        </is>
      </c>
      <c r="H1297" t="inlineStr">
        <is>
          <t>UPI</t>
        </is>
      </c>
      <c r="I1297" t="inlineStr">
        <is>
          <t>Delivered</t>
        </is>
      </c>
      <c r="J1297" t="n">
        <v>124</v>
      </c>
      <c r="K1297" t="n">
        <v>1</v>
      </c>
      <c r="L1297" s="7" t="n">
        <v>1154</v>
      </c>
      <c r="M1297" s="7" t="n">
        <v>115.4</v>
      </c>
    </row>
    <row r="1298">
      <c r="A1298" t="n">
        <v>509988</v>
      </c>
      <c r="B1298" s="6" t="n">
        <v>45946</v>
      </c>
      <c r="C1298" t="n">
        <v>12560</v>
      </c>
      <c r="D1298" t="inlineStr">
        <is>
          <t>Kolkata</t>
        </is>
      </c>
      <c r="E1298" t="inlineStr">
        <is>
          <t>East</t>
        </is>
      </c>
      <c r="F1298" t="inlineStr">
        <is>
          <t>Organic Search</t>
        </is>
      </c>
      <c r="G1298" t="inlineStr">
        <is>
          <t>Mobile Web</t>
        </is>
      </c>
      <c r="H1298" t="inlineStr">
        <is>
          <t>UPI</t>
        </is>
      </c>
      <c r="I1298" t="inlineStr">
        <is>
          <t>Delivered</t>
        </is>
      </c>
      <c r="J1298" t="n">
        <v>108</v>
      </c>
      <c r="K1298" t="n">
        <v>2</v>
      </c>
      <c r="L1298" s="7" t="n">
        <v>419</v>
      </c>
      <c r="M1298" s="7" t="n">
        <v>83.8</v>
      </c>
    </row>
    <row r="1299">
      <c r="A1299" t="n">
        <v>509989</v>
      </c>
      <c r="B1299" s="6" t="n">
        <v>45946</v>
      </c>
      <c r="C1299" t="n">
        <v>12450</v>
      </c>
      <c r="D1299" t="inlineStr">
        <is>
          <t>Hyderabad</t>
        </is>
      </c>
      <c r="E1299" t="inlineStr">
        <is>
          <t>South</t>
        </is>
      </c>
      <c r="F1299" t="inlineStr">
        <is>
          <t>Affiliate</t>
        </is>
      </c>
      <c r="G1299" t="inlineStr">
        <is>
          <t>Desktop</t>
        </is>
      </c>
      <c r="H1299" t="inlineStr">
        <is>
          <t>UPI</t>
        </is>
      </c>
      <c r="I1299" t="inlineStr">
        <is>
          <t>Delivered</t>
        </is>
      </c>
      <c r="J1299" t="n">
        <v>103</v>
      </c>
      <c r="K1299" t="n">
        <v>2</v>
      </c>
      <c r="L1299" s="7" t="n">
        <v>2624</v>
      </c>
      <c r="M1299" s="7" t="n">
        <v>524.8</v>
      </c>
    </row>
    <row r="1300">
      <c r="A1300" t="n">
        <v>509990</v>
      </c>
      <c r="B1300" s="6" t="n">
        <v>45946</v>
      </c>
      <c r="C1300" t="n">
        <v>13717</v>
      </c>
      <c r="D1300" t="inlineStr">
        <is>
          <t>Ahmedabad</t>
        </is>
      </c>
      <c r="E1300" t="inlineStr">
        <is>
          <t>West</t>
        </is>
      </c>
      <c r="F1300" t="inlineStr">
        <is>
          <t>Paid Search</t>
        </is>
      </c>
      <c r="G1300" t="inlineStr">
        <is>
          <t>Mobile App</t>
        </is>
      </c>
      <c r="H1300" t="inlineStr">
        <is>
          <t>UPI</t>
        </is>
      </c>
      <c r="I1300" t="inlineStr">
        <is>
          <t>Delivered</t>
        </is>
      </c>
      <c r="J1300" t="n">
        <v>111</v>
      </c>
      <c r="K1300" t="n">
        <v>1</v>
      </c>
      <c r="L1300" s="7" t="n">
        <v>524</v>
      </c>
      <c r="M1300" s="7" t="n">
        <v>52.4</v>
      </c>
    </row>
    <row r="1301">
      <c r="A1301" t="n">
        <v>509991</v>
      </c>
      <c r="B1301" s="6" t="n">
        <v>45947</v>
      </c>
      <c r="C1301" t="n">
        <v>13263</v>
      </c>
      <c r="D1301" t="inlineStr">
        <is>
          <t>Bengaluru</t>
        </is>
      </c>
      <c r="E1301" t="inlineStr">
        <is>
          <t>South</t>
        </is>
      </c>
      <c r="F1301" t="inlineStr">
        <is>
          <t>Organic Search</t>
        </is>
      </c>
      <c r="G1301" t="inlineStr">
        <is>
          <t>Mobile Web</t>
        </is>
      </c>
      <c r="H1301" t="inlineStr">
        <is>
          <t>Credit Card</t>
        </is>
      </c>
      <c r="I1301" t="inlineStr">
        <is>
          <t>Delivered</t>
        </is>
      </c>
      <c r="J1301" t="n">
        <v>114</v>
      </c>
      <c r="K1301" t="n">
        <v>1</v>
      </c>
      <c r="L1301" s="7" t="n">
        <v>1259</v>
      </c>
      <c r="M1301" s="7" t="n">
        <v>125.9</v>
      </c>
    </row>
    <row r="1302">
      <c r="A1302" t="n">
        <v>509991</v>
      </c>
      <c r="B1302" s="6" t="n">
        <v>45947</v>
      </c>
      <c r="C1302" t="n">
        <v>13263</v>
      </c>
      <c r="D1302" t="inlineStr">
        <is>
          <t>Bengaluru</t>
        </is>
      </c>
      <c r="E1302" t="inlineStr">
        <is>
          <t>South</t>
        </is>
      </c>
      <c r="F1302" t="inlineStr">
        <is>
          <t>Organic Search</t>
        </is>
      </c>
      <c r="G1302" t="inlineStr">
        <is>
          <t>Mobile Web</t>
        </is>
      </c>
      <c r="H1302" t="inlineStr">
        <is>
          <t>Credit Card</t>
        </is>
      </c>
      <c r="I1302" t="inlineStr">
        <is>
          <t>Delivered</t>
        </is>
      </c>
      <c r="J1302" t="n">
        <v>133</v>
      </c>
      <c r="K1302" t="n">
        <v>1</v>
      </c>
      <c r="L1302" s="7" t="n">
        <v>419</v>
      </c>
      <c r="M1302" s="7" t="n">
        <v>41.9</v>
      </c>
    </row>
    <row r="1303">
      <c r="A1303" t="n">
        <v>509992</v>
      </c>
      <c r="B1303" s="6" t="n">
        <v>45947</v>
      </c>
      <c r="C1303" t="n">
        <v>10442</v>
      </c>
      <c r="D1303" t="inlineStr">
        <is>
          <t>Pune</t>
        </is>
      </c>
      <c r="E1303" t="inlineStr">
        <is>
          <t>West</t>
        </is>
      </c>
      <c r="F1303" t="inlineStr">
        <is>
          <t>Paid Search</t>
        </is>
      </c>
      <c r="G1303" t="inlineStr">
        <is>
          <t>Mobile App</t>
        </is>
      </c>
      <c r="H1303" t="inlineStr">
        <is>
          <t>UPI</t>
        </is>
      </c>
      <c r="I1303" t="inlineStr">
        <is>
          <t>Delivered</t>
        </is>
      </c>
      <c r="J1303" t="n">
        <v>134</v>
      </c>
      <c r="K1303" t="n">
        <v>1</v>
      </c>
      <c r="L1303" s="7" t="n">
        <v>209</v>
      </c>
      <c r="M1303" s="7" t="n">
        <v>0</v>
      </c>
    </row>
    <row r="1304">
      <c r="A1304" t="n">
        <v>509993</v>
      </c>
      <c r="B1304" s="6" t="n">
        <v>45947</v>
      </c>
      <c r="C1304" t="n">
        <v>16852</v>
      </c>
      <c r="D1304" t="inlineStr">
        <is>
          <t>Mumbai</t>
        </is>
      </c>
      <c r="E1304" t="inlineStr">
        <is>
          <t>West</t>
        </is>
      </c>
      <c r="F1304" t="inlineStr">
        <is>
          <t>Paid Social</t>
        </is>
      </c>
      <c r="G1304" t="inlineStr">
        <is>
          <t>Mobile App</t>
        </is>
      </c>
      <c r="H1304" t="inlineStr">
        <is>
          <t>UPI</t>
        </is>
      </c>
      <c r="I1304" t="inlineStr">
        <is>
          <t>Delivered</t>
        </is>
      </c>
      <c r="J1304" t="n">
        <v>127</v>
      </c>
      <c r="K1304" t="n">
        <v>1</v>
      </c>
      <c r="L1304" s="7" t="n">
        <v>681</v>
      </c>
      <c r="M1304" s="7" t="n">
        <v>0</v>
      </c>
    </row>
    <row r="1305">
      <c r="A1305" t="n">
        <v>509993</v>
      </c>
      <c r="B1305" s="6" t="n">
        <v>45947</v>
      </c>
      <c r="C1305" t="n">
        <v>16852</v>
      </c>
      <c r="D1305" t="inlineStr">
        <is>
          <t>Mumbai</t>
        </is>
      </c>
      <c r="E1305" t="inlineStr">
        <is>
          <t>West</t>
        </is>
      </c>
      <c r="F1305" t="inlineStr">
        <is>
          <t>Paid Social</t>
        </is>
      </c>
      <c r="G1305" t="inlineStr">
        <is>
          <t>Mobile App</t>
        </is>
      </c>
      <c r="H1305" t="inlineStr">
        <is>
          <t>UPI</t>
        </is>
      </c>
      <c r="I1305" t="inlineStr">
        <is>
          <t>Delivered</t>
        </is>
      </c>
      <c r="J1305" t="n">
        <v>123</v>
      </c>
      <c r="K1305" t="n">
        <v>2</v>
      </c>
      <c r="L1305" s="7" t="n">
        <v>3464</v>
      </c>
      <c r="M1305" s="7" t="n">
        <v>0</v>
      </c>
    </row>
    <row r="1306">
      <c r="A1306" t="n">
        <v>509993</v>
      </c>
      <c r="B1306" s="6" t="n">
        <v>45947</v>
      </c>
      <c r="C1306" t="n">
        <v>16852</v>
      </c>
      <c r="D1306" t="inlineStr">
        <is>
          <t>Mumbai</t>
        </is>
      </c>
      <c r="E1306" t="inlineStr">
        <is>
          <t>West</t>
        </is>
      </c>
      <c r="F1306" t="inlineStr">
        <is>
          <t>Paid Social</t>
        </is>
      </c>
      <c r="G1306" t="inlineStr">
        <is>
          <t>Mobile App</t>
        </is>
      </c>
      <c r="H1306" t="inlineStr">
        <is>
          <t>UPI</t>
        </is>
      </c>
      <c r="I1306" t="inlineStr">
        <is>
          <t>Delivered</t>
        </is>
      </c>
      <c r="J1306" t="n">
        <v>120</v>
      </c>
      <c r="K1306" t="n">
        <v>1</v>
      </c>
      <c r="L1306" s="7" t="n">
        <v>734</v>
      </c>
      <c r="M1306" s="7" t="n">
        <v>0</v>
      </c>
    </row>
    <row r="1307">
      <c r="A1307" t="n">
        <v>509993</v>
      </c>
      <c r="B1307" s="6" t="n">
        <v>45947</v>
      </c>
      <c r="C1307" t="n">
        <v>16852</v>
      </c>
      <c r="D1307" t="inlineStr">
        <is>
          <t>Mumbai</t>
        </is>
      </c>
      <c r="E1307" t="inlineStr">
        <is>
          <t>West</t>
        </is>
      </c>
      <c r="F1307" t="inlineStr">
        <is>
          <t>Paid Social</t>
        </is>
      </c>
      <c r="G1307" t="inlineStr">
        <is>
          <t>Mobile App</t>
        </is>
      </c>
      <c r="H1307" t="inlineStr">
        <is>
          <t>UPI</t>
        </is>
      </c>
      <c r="I1307" t="inlineStr">
        <is>
          <t>Delivered</t>
        </is>
      </c>
      <c r="J1307" t="n">
        <v>137</v>
      </c>
      <c r="K1307" t="n">
        <v>2</v>
      </c>
      <c r="L1307" s="7" t="n">
        <v>261</v>
      </c>
      <c r="M1307" s="7" t="n">
        <v>0</v>
      </c>
    </row>
    <row r="1308">
      <c r="A1308" t="n">
        <v>509994</v>
      </c>
      <c r="B1308" s="6" t="n">
        <v>45947</v>
      </c>
      <c r="C1308" t="n">
        <v>16846</v>
      </c>
      <c r="D1308" t="inlineStr">
        <is>
          <t>Mumbai</t>
        </is>
      </c>
      <c r="E1308" t="inlineStr">
        <is>
          <t>West</t>
        </is>
      </c>
      <c r="F1308" t="inlineStr">
        <is>
          <t>Organic Search</t>
        </is>
      </c>
      <c r="G1308" t="inlineStr">
        <is>
          <t>Mobile App</t>
        </is>
      </c>
      <c r="H1308" t="inlineStr">
        <is>
          <t>Debit Card</t>
        </is>
      </c>
      <c r="I1308" t="inlineStr">
        <is>
          <t>Delivered</t>
        </is>
      </c>
      <c r="J1308" t="n">
        <v>137</v>
      </c>
      <c r="K1308" t="n">
        <v>1</v>
      </c>
      <c r="L1308" s="7" t="n">
        <v>261</v>
      </c>
      <c r="M1308" s="7" t="n">
        <v>13.05</v>
      </c>
    </row>
    <row r="1309">
      <c r="A1309" t="n">
        <v>509994</v>
      </c>
      <c r="B1309" s="6" t="n">
        <v>45947</v>
      </c>
      <c r="C1309" t="n">
        <v>16846</v>
      </c>
      <c r="D1309" t="inlineStr">
        <is>
          <t>Mumbai</t>
        </is>
      </c>
      <c r="E1309" t="inlineStr">
        <is>
          <t>West</t>
        </is>
      </c>
      <c r="F1309" t="inlineStr">
        <is>
          <t>Organic Search</t>
        </is>
      </c>
      <c r="G1309" t="inlineStr">
        <is>
          <t>Mobile App</t>
        </is>
      </c>
      <c r="H1309" t="inlineStr">
        <is>
          <t>Debit Card</t>
        </is>
      </c>
      <c r="I1309" t="inlineStr">
        <is>
          <t>Delivered</t>
        </is>
      </c>
      <c r="J1309" t="n">
        <v>129</v>
      </c>
      <c r="K1309" t="n">
        <v>1</v>
      </c>
      <c r="L1309" s="7" t="n">
        <v>576</v>
      </c>
      <c r="M1309" s="7" t="n">
        <v>28.8</v>
      </c>
    </row>
    <row r="1310">
      <c r="A1310" t="n">
        <v>509995</v>
      </c>
      <c r="B1310" s="6" t="n">
        <v>45947</v>
      </c>
      <c r="C1310" t="n">
        <v>16847</v>
      </c>
      <c r="D1310" t="inlineStr">
        <is>
          <t>Ahmedabad</t>
        </is>
      </c>
      <c r="E1310" t="inlineStr">
        <is>
          <t>West</t>
        </is>
      </c>
      <c r="F1310" t="inlineStr">
        <is>
          <t>Paid Search</t>
        </is>
      </c>
      <c r="G1310" t="inlineStr">
        <is>
          <t>Mobile App</t>
        </is>
      </c>
      <c r="H1310" t="inlineStr">
        <is>
          <t>Debit Card</t>
        </is>
      </c>
      <c r="I1310" t="inlineStr">
        <is>
          <t>Delivered</t>
        </is>
      </c>
      <c r="J1310" t="n">
        <v>130</v>
      </c>
      <c r="K1310" t="n">
        <v>1</v>
      </c>
      <c r="L1310" s="7" t="n">
        <v>734</v>
      </c>
      <c r="M1310" s="7" t="n">
        <v>110.1</v>
      </c>
    </row>
    <row r="1311">
      <c r="A1311" t="n">
        <v>509995</v>
      </c>
      <c r="B1311" s="6" t="n">
        <v>45947</v>
      </c>
      <c r="C1311" t="n">
        <v>16847</v>
      </c>
      <c r="D1311" t="inlineStr">
        <is>
          <t>Ahmedabad</t>
        </is>
      </c>
      <c r="E1311" t="inlineStr">
        <is>
          <t>West</t>
        </is>
      </c>
      <c r="F1311" t="inlineStr">
        <is>
          <t>Paid Search</t>
        </is>
      </c>
      <c r="G1311" t="inlineStr">
        <is>
          <t>Mobile App</t>
        </is>
      </c>
      <c r="H1311" t="inlineStr">
        <is>
          <t>Debit Card</t>
        </is>
      </c>
      <c r="I1311" t="inlineStr">
        <is>
          <t>Delivered</t>
        </is>
      </c>
      <c r="J1311" t="n">
        <v>129</v>
      </c>
      <c r="K1311" t="n">
        <v>2</v>
      </c>
      <c r="L1311" s="7" t="n">
        <v>576</v>
      </c>
      <c r="M1311" s="7" t="n">
        <v>172.8</v>
      </c>
    </row>
    <row r="1312">
      <c r="A1312" t="n">
        <v>509996</v>
      </c>
      <c r="B1312" s="6" t="n">
        <v>45947</v>
      </c>
      <c r="C1312" t="n">
        <v>14473</v>
      </c>
      <c r="D1312" t="inlineStr">
        <is>
          <t>Bengaluru</t>
        </is>
      </c>
      <c r="E1312" t="inlineStr">
        <is>
          <t>South</t>
        </is>
      </c>
      <c r="F1312" t="inlineStr">
        <is>
          <t>Referral</t>
        </is>
      </c>
      <c r="G1312" t="inlineStr">
        <is>
          <t>Mobile Web</t>
        </is>
      </c>
      <c r="H1312" t="inlineStr">
        <is>
          <t>UPI</t>
        </is>
      </c>
      <c r="I1312" t="inlineStr">
        <is>
          <t>Delivered</t>
        </is>
      </c>
      <c r="J1312" t="n">
        <v>102</v>
      </c>
      <c r="K1312" t="n">
        <v>1</v>
      </c>
      <c r="L1312" s="7" t="n">
        <v>3674</v>
      </c>
      <c r="M1312" s="7" t="n">
        <v>367.4</v>
      </c>
    </row>
    <row r="1313">
      <c r="A1313" t="n">
        <v>509997</v>
      </c>
      <c r="B1313" s="6" t="n">
        <v>45947</v>
      </c>
      <c r="C1313" t="n">
        <v>14489</v>
      </c>
      <c r="D1313" t="inlineStr">
        <is>
          <t>Noida</t>
        </is>
      </c>
      <c r="E1313" t="inlineStr">
        <is>
          <t>North</t>
        </is>
      </c>
      <c r="F1313" t="inlineStr">
        <is>
          <t>Paid Social</t>
        </is>
      </c>
      <c r="G1313" t="inlineStr">
        <is>
          <t>Desktop</t>
        </is>
      </c>
      <c r="H1313" t="inlineStr">
        <is>
          <t>Credit Card</t>
        </is>
      </c>
      <c r="I1313" t="inlineStr">
        <is>
          <t>Delivered</t>
        </is>
      </c>
      <c r="J1313" t="n">
        <v>141</v>
      </c>
      <c r="K1313" t="n">
        <v>2</v>
      </c>
      <c r="L1313" s="7" t="n">
        <v>261</v>
      </c>
      <c r="M1313" s="7" t="n">
        <v>52.2</v>
      </c>
    </row>
    <row r="1314">
      <c r="A1314" t="n">
        <v>509997</v>
      </c>
      <c r="B1314" s="6" t="n">
        <v>45947</v>
      </c>
      <c r="C1314" t="n">
        <v>14489</v>
      </c>
      <c r="D1314" t="inlineStr">
        <is>
          <t>Noida</t>
        </is>
      </c>
      <c r="E1314" t="inlineStr">
        <is>
          <t>North</t>
        </is>
      </c>
      <c r="F1314" t="inlineStr">
        <is>
          <t>Paid Social</t>
        </is>
      </c>
      <c r="G1314" t="inlineStr">
        <is>
          <t>Desktop</t>
        </is>
      </c>
      <c r="H1314" t="inlineStr">
        <is>
          <t>Credit Card</t>
        </is>
      </c>
      <c r="I1314" t="inlineStr">
        <is>
          <t>Delivered</t>
        </is>
      </c>
      <c r="J1314" t="n">
        <v>130</v>
      </c>
      <c r="K1314" t="n">
        <v>1</v>
      </c>
      <c r="L1314" s="7" t="n">
        <v>734</v>
      </c>
      <c r="M1314" s="7" t="n">
        <v>73.40000000000001</v>
      </c>
    </row>
    <row r="1315">
      <c r="A1315" t="n">
        <v>509997</v>
      </c>
      <c r="B1315" s="6" t="n">
        <v>45947</v>
      </c>
      <c r="C1315" t="n">
        <v>14489</v>
      </c>
      <c r="D1315" t="inlineStr">
        <is>
          <t>Noida</t>
        </is>
      </c>
      <c r="E1315" t="inlineStr">
        <is>
          <t>North</t>
        </is>
      </c>
      <c r="F1315" t="inlineStr">
        <is>
          <t>Paid Social</t>
        </is>
      </c>
      <c r="G1315" t="inlineStr">
        <is>
          <t>Desktop</t>
        </is>
      </c>
      <c r="H1315" t="inlineStr">
        <is>
          <t>Credit Card</t>
        </is>
      </c>
      <c r="I1315" t="inlineStr">
        <is>
          <t>Delivered</t>
        </is>
      </c>
      <c r="J1315" t="n">
        <v>129</v>
      </c>
      <c r="K1315" t="n">
        <v>1</v>
      </c>
      <c r="L1315" s="7" t="n">
        <v>576</v>
      </c>
      <c r="M1315" s="7" t="n">
        <v>57.6</v>
      </c>
    </row>
    <row r="1316">
      <c r="A1316" t="n">
        <v>509998</v>
      </c>
      <c r="B1316" s="6" t="n">
        <v>45947</v>
      </c>
      <c r="C1316" t="n">
        <v>15980</v>
      </c>
      <c r="D1316" t="inlineStr">
        <is>
          <t>Hyderabad</t>
        </is>
      </c>
      <c r="E1316" t="inlineStr">
        <is>
          <t>South</t>
        </is>
      </c>
      <c r="F1316" t="inlineStr">
        <is>
          <t>Affiliate</t>
        </is>
      </c>
      <c r="G1316" t="inlineStr">
        <is>
          <t>Mobile App</t>
        </is>
      </c>
      <c r="H1316" t="inlineStr">
        <is>
          <t>UPI</t>
        </is>
      </c>
      <c r="I1316" t="inlineStr">
        <is>
          <t>Delivered</t>
        </is>
      </c>
      <c r="J1316" t="n">
        <v>105</v>
      </c>
      <c r="K1316" t="n">
        <v>1</v>
      </c>
      <c r="L1316" s="7" t="n">
        <v>2414</v>
      </c>
      <c r="M1316" s="7" t="n">
        <v>241.4</v>
      </c>
    </row>
    <row r="1317">
      <c r="A1317" t="n">
        <v>509999</v>
      </c>
      <c r="B1317" s="6" t="n">
        <v>45947</v>
      </c>
      <c r="C1317" t="n">
        <v>16159</v>
      </c>
      <c r="D1317" t="inlineStr">
        <is>
          <t>Pune</t>
        </is>
      </c>
      <c r="E1317" t="inlineStr">
        <is>
          <t>West</t>
        </is>
      </c>
      <c r="F1317" t="inlineStr">
        <is>
          <t>Organic Search</t>
        </is>
      </c>
      <c r="G1317" t="inlineStr">
        <is>
          <t>Mobile App</t>
        </is>
      </c>
      <c r="H1317" t="inlineStr">
        <is>
          <t>Debit Card</t>
        </is>
      </c>
      <c r="I1317" t="inlineStr">
        <is>
          <t>Delivered</t>
        </is>
      </c>
      <c r="J1317" t="n">
        <v>106</v>
      </c>
      <c r="K1317" t="n">
        <v>1</v>
      </c>
      <c r="L1317" s="7" t="n">
        <v>1574</v>
      </c>
      <c r="M1317" s="7" t="n">
        <v>0</v>
      </c>
    </row>
    <row r="1318">
      <c r="A1318" t="n">
        <v>509999</v>
      </c>
      <c r="B1318" s="6" t="n">
        <v>45947</v>
      </c>
      <c r="C1318" t="n">
        <v>16159</v>
      </c>
      <c r="D1318" t="inlineStr">
        <is>
          <t>Pune</t>
        </is>
      </c>
      <c r="E1318" t="inlineStr">
        <is>
          <t>West</t>
        </is>
      </c>
      <c r="F1318" t="inlineStr">
        <is>
          <t>Organic Search</t>
        </is>
      </c>
      <c r="G1318" t="inlineStr">
        <is>
          <t>Mobile App</t>
        </is>
      </c>
      <c r="H1318" t="inlineStr">
        <is>
          <t>Debit Card</t>
        </is>
      </c>
      <c r="I1318" t="inlineStr">
        <is>
          <t>Delivered</t>
        </is>
      </c>
      <c r="J1318" t="n">
        <v>131</v>
      </c>
      <c r="K1318" t="n">
        <v>2</v>
      </c>
      <c r="L1318" s="7" t="n">
        <v>314</v>
      </c>
      <c r="M1318" s="7" t="n">
        <v>0</v>
      </c>
    </row>
    <row r="1319">
      <c r="A1319" t="n">
        <v>510000</v>
      </c>
      <c r="B1319" s="6" t="n">
        <v>45947</v>
      </c>
      <c r="C1319" t="n">
        <v>14516</v>
      </c>
      <c r="D1319" t="inlineStr">
        <is>
          <t>Chandigarh</t>
        </is>
      </c>
      <c r="E1319" t="inlineStr">
        <is>
          <t>North</t>
        </is>
      </c>
      <c r="F1319" t="inlineStr">
        <is>
          <t>Organic Search</t>
        </is>
      </c>
      <c r="G1319" t="inlineStr">
        <is>
          <t>Mobile App</t>
        </is>
      </c>
      <c r="H1319" t="inlineStr">
        <is>
          <t>Credit Card</t>
        </is>
      </c>
      <c r="I1319" t="inlineStr">
        <is>
          <t>Delivered</t>
        </is>
      </c>
      <c r="J1319" t="n">
        <v>119</v>
      </c>
      <c r="K1319" t="n">
        <v>1</v>
      </c>
      <c r="L1319" s="7" t="n">
        <v>2309</v>
      </c>
      <c r="M1319" s="7" t="n">
        <v>230.9</v>
      </c>
    </row>
    <row r="1320">
      <c r="A1320" t="n">
        <v>510000</v>
      </c>
      <c r="B1320" s="6" t="n">
        <v>45947</v>
      </c>
      <c r="C1320" t="n">
        <v>14516</v>
      </c>
      <c r="D1320" t="inlineStr">
        <is>
          <t>Chandigarh</t>
        </is>
      </c>
      <c r="E1320" t="inlineStr">
        <is>
          <t>North</t>
        </is>
      </c>
      <c r="F1320" t="inlineStr">
        <is>
          <t>Organic Search</t>
        </is>
      </c>
      <c r="G1320" t="inlineStr">
        <is>
          <t>Mobile App</t>
        </is>
      </c>
      <c r="H1320" t="inlineStr">
        <is>
          <t>Credit Card</t>
        </is>
      </c>
      <c r="I1320" t="inlineStr">
        <is>
          <t>Delivered</t>
        </is>
      </c>
      <c r="J1320" t="n">
        <v>129</v>
      </c>
      <c r="K1320" t="n">
        <v>2</v>
      </c>
      <c r="L1320" s="7" t="n">
        <v>576</v>
      </c>
      <c r="M1320" s="7" t="n">
        <v>115.2</v>
      </c>
    </row>
    <row r="1321">
      <c r="A1321" t="n">
        <v>510001</v>
      </c>
      <c r="B1321" s="6" t="n">
        <v>45947</v>
      </c>
      <c r="C1321" t="n">
        <v>12810</v>
      </c>
      <c r="D1321" t="inlineStr">
        <is>
          <t>Chennai</t>
        </is>
      </c>
      <c r="E1321" t="inlineStr">
        <is>
          <t>South</t>
        </is>
      </c>
      <c r="F1321" t="inlineStr">
        <is>
          <t>Affiliate</t>
        </is>
      </c>
      <c r="G1321" t="inlineStr">
        <is>
          <t>Mobile App</t>
        </is>
      </c>
      <c r="H1321" t="inlineStr">
        <is>
          <t>UPI</t>
        </is>
      </c>
      <c r="I1321" t="inlineStr">
        <is>
          <t>Returned</t>
        </is>
      </c>
      <c r="J1321" t="n">
        <v>118</v>
      </c>
      <c r="K1321" t="n">
        <v>2</v>
      </c>
      <c r="L1321" s="7" t="n">
        <v>944</v>
      </c>
      <c r="M1321" s="7" t="n">
        <v>188.8</v>
      </c>
    </row>
    <row r="1322">
      <c r="A1322" t="n">
        <v>510002</v>
      </c>
      <c r="B1322" s="6" t="n">
        <v>45947</v>
      </c>
      <c r="C1322" t="n">
        <v>16070</v>
      </c>
      <c r="D1322" t="inlineStr">
        <is>
          <t>Gurugram</t>
        </is>
      </c>
      <c r="E1322" t="inlineStr">
        <is>
          <t>North</t>
        </is>
      </c>
      <c r="F1322" t="inlineStr">
        <is>
          <t>Email</t>
        </is>
      </c>
      <c r="G1322" t="inlineStr">
        <is>
          <t>Mobile App</t>
        </is>
      </c>
      <c r="H1322" t="inlineStr">
        <is>
          <t>Cash on Delivery</t>
        </is>
      </c>
      <c r="I1322" t="inlineStr">
        <is>
          <t>Delivered</t>
        </is>
      </c>
      <c r="J1322" t="n">
        <v>116</v>
      </c>
      <c r="K1322" t="n">
        <v>2</v>
      </c>
      <c r="L1322" s="7" t="n">
        <v>2624</v>
      </c>
      <c r="M1322" s="7" t="n">
        <v>524.8</v>
      </c>
    </row>
    <row r="1323">
      <c r="A1323" t="n">
        <v>510002</v>
      </c>
      <c r="B1323" s="6" t="n">
        <v>45947</v>
      </c>
      <c r="C1323" t="n">
        <v>16070</v>
      </c>
      <c r="D1323" t="inlineStr">
        <is>
          <t>Gurugram</t>
        </is>
      </c>
      <c r="E1323" t="inlineStr">
        <is>
          <t>North</t>
        </is>
      </c>
      <c r="F1323" t="inlineStr">
        <is>
          <t>Email</t>
        </is>
      </c>
      <c r="G1323" t="inlineStr">
        <is>
          <t>Mobile App</t>
        </is>
      </c>
      <c r="H1323" t="inlineStr">
        <is>
          <t>Cash on Delivery</t>
        </is>
      </c>
      <c r="I1323" t="inlineStr">
        <is>
          <t>Delivered</t>
        </is>
      </c>
      <c r="J1323" t="n">
        <v>127</v>
      </c>
      <c r="K1323" t="n">
        <v>2</v>
      </c>
      <c r="L1323" s="7" t="n">
        <v>681</v>
      </c>
      <c r="M1323" s="7" t="n">
        <v>136.2</v>
      </c>
    </row>
    <row r="1324">
      <c r="A1324" t="n">
        <v>510002</v>
      </c>
      <c r="B1324" s="6" t="n">
        <v>45947</v>
      </c>
      <c r="C1324" t="n">
        <v>16070</v>
      </c>
      <c r="D1324" t="inlineStr">
        <is>
          <t>Gurugram</t>
        </is>
      </c>
      <c r="E1324" t="inlineStr">
        <is>
          <t>North</t>
        </is>
      </c>
      <c r="F1324" t="inlineStr">
        <is>
          <t>Email</t>
        </is>
      </c>
      <c r="G1324" t="inlineStr">
        <is>
          <t>Mobile App</t>
        </is>
      </c>
      <c r="H1324" t="inlineStr">
        <is>
          <t>Cash on Delivery</t>
        </is>
      </c>
      <c r="I1324" t="inlineStr">
        <is>
          <t>Delivered</t>
        </is>
      </c>
      <c r="J1324" t="n">
        <v>101</v>
      </c>
      <c r="K1324" t="n">
        <v>1</v>
      </c>
      <c r="L1324" s="7" t="n">
        <v>2099</v>
      </c>
      <c r="M1324" s="7" t="n">
        <v>209.9</v>
      </c>
    </row>
    <row r="1325">
      <c r="A1325" t="n">
        <v>510003</v>
      </c>
      <c r="B1325" s="6" t="n">
        <v>45947</v>
      </c>
      <c r="C1325" t="n">
        <v>16867</v>
      </c>
      <c r="D1325" t="inlineStr">
        <is>
          <t>Mumbai</t>
        </is>
      </c>
      <c r="E1325" t="inlineStr">
        <is>
          <t>West</t>
        </is>
      </c>
      <c r="F1325" t="inlineStr">
        <is>
          <t>Organic Search</t>
        </is>
      </c>
      <c r="G1325" t="inlineStr">
        <is>
          <t>Mobile App</t>
        </is>
      </c>
      <c r="H1325" t="inlineStr">
        <is>
          <t>Credit Card</t>
        </is>
      </c>
      <c r="I1325" t="inlineStr">
        <is>
          <t>Delivered</t>
        </is>
      </c>
      <c r="J1325" t="n">
        <v>106</v>
      </c>
      <c r="K1325" t="n">
        <v>1</v>
      </c>
      <c r="L1325" s="7" t="n">
        <v>1574</v>
      </c>
      <c r="M1325" s="7" t="n">
        <v>0</v>
      </c>
    </row>
    <row r="1326">
      <c r="A1326" t="n">
        <v>510004</v>
      </c>
      <c r="B1326" s="6" t="n">
        <v>45947</v>
      </c>
      <c r="C1326" t="n">
        <v>16194</v>
      </c>
      <c r="D1326" t="inlineStr">
        <is>
          <t>Bengaluru</t>
        </is>
      </c>
      <c r="E1326" t="inlineStr">
        <is>
          <t>South</t>
        </is>
      </c>
      <c r="F1326" t="inlineStr">
        <is>
          <t>Referral</t>
        </is>
      </c>
      <c r="G1326" t="inlineStr">
        <is>
          <t>Mobile Web</t>
        </is>
      </c>
      <c r="H1326" t="inlineStr">
        <is>
          <t>Cash on Delivery</t>
        </is>
      </c>
      <c r="I1326" t="inlineStr">
        <is>
          <t>Delivered</t>
        </is>
      </c>
      <c r="J1326" t="n">
        <v>141</v>
      </c>
      <c r="K1326" t="n">
        <v>2</v>
      </c>
      <c r="L1326" s="7" t="n">
        <v>261</v>
      </c>
      <c r="M1326" s="7" t="n">
        <v>52.2</v>
      </c>
    </row>
    <row r="1327">
      <c r="A1327" t="n">
        <v>510005</v>
      </c>
      <c r="B1327" s="6" t="n">
        <v>45947</v>
      </c>
      <c r="C1327" t="n">
        <v>12638</v>
      </c>
      <c r="D1327" t="inlineStr">
        <is>
          <t>Jaipur</t>
        </is>
      </c>
      <c r="E1327" t="inlineStr">
        <is>
          <t>North</t>
        </is>
      </c>
      <c r="F1327" t="inlineStr">
        <is>
          <t>Paid Social</t>
        </is>
      </c>
      <c r="G1327" t="inlineStr">
        <is>
          <t>Mobile Web</t>
        </is>
      </c>
      <c r="H1327" t="inlineStr">
        <is>
          <t>Credit Card</t>
        </is>
      </c>
      <c r="I1327" t="inlineStr">
        <is>
          <t>Delivered</t>
        </is>
      </c>
      <c r="J1327" t="n">
        <v>121</v>
      </c>
      <c r="K1327" t="n">
        <v>2</v>
      </c>
      <c r="L1327" s="7" t="n">
        <v>2939</v>
      </c>
      <c r="M1327" s="7" t="n">
        <v>587.8</v>
      </c>
    </row>
    <row r="1328">
      <c r="A1328" t="n">
        <v>510006</v>
      </c>
      <c r="B1328" s="6" t="n">
        <v>45947</v>
      </c>
      <c r="C1328" t="n">
        <v>14547</v>
      </c>
      <c r="D1328" t="inlineStr">
        <is>
          <t>Bengaluru</t>
        </is>
      </c>
      <c r="E1328" t="inlineStr">
        <is>
          <t>South</t>
        </is>
      </c>
      <c r="F1328" t="inlineStr">
        <is>
          <t>Referral</t>
        </is>
      </c>
      <c r="G1328" t="inlineStr">
        <is>
          <t>Mobile App</t>
        </is>
      </c>
      <c r="H1328" t="inlineStr">
        <is>
          <t>Cash on Delivery</t>
        </is>
      </c>
      <c r="I1328" t="inlineStr">
        <is>
          <t>Delivered</t>
        </is>
      </c>
      <c r="J1328" t="n">
        <v>121</v>
      </c>
      <c r="K1328" t="n">
        <v>1</v>
      </c>
      <c r="L1328" s="7" t="n">
        <v>2939</v>
      </c>
      <c r="M1328" s="7" t="n">
        <v>293.9</v>
      </c>
    </row>
    <row r="1329">
      <c r="A1329" t="n">
        <v>510006</v>
      </c>
      <c r="B1329" s="6" t="n">
        <v>45947</v>
      </c>
      <c r="C1329" t="n">
        <v>14547</v>
      </c>
      <c r="D1329" t="inlineStr">
        <is>
          <t>Bengaluru</t>
        </is>
      </c>
      <c r="E1329" t="inlineStr">
        <is>
          <t>South</t>
        </is>
      </c>
      <c r="F1329" t="inlineStr">
        <is>
          <t>Referral</t>
        </is>
      </c>
      <c r="G1329" t="inlineStr">
        <is>
          <t>Mobile App</t>
        </is>
      </c>
      <c r="H1329" t="inlineStr">
        <is>
          <t>Cash on Delivery</t>
        </is>
      </c>
      <c r="I1329" t="inlineStr">
        <is>
          <t>Delivered</t>
        </is>
      </c>
      <c r="J1329" t="n">
        <v>138</v>
      </c>
      <c r="K1329" t="n">
        <v>1</v>
      </c>
      <c r="L1329" s="7" t="n">
        <v>419</v>
      </c>
      <c r="M1329" s="7" t="n">
        <v>41.9</v>
      </c>
    </row>
    <row r="1330">
      <c r="A1330" t="n">
        <v>510007</v>
      </c>
      <c r="B1330" s="6" t="n">
        <v>45947</v>
      </c>
      <c r="C1330" t="n">
        <v>11588</v>
      </c>
      <c r="D1330" t="inlineStr">
        <is>
          <t>Hyderabad</t>
        </is>
      </c>
      <c r="E1330" t="inlineStr">
        <is>
          <t>South</t>
        </is>
      </c>
      <c r="F1330" t="inlineStr">
        <is>
          <t>Paid Social</t>
        </is>
      </c>
      <c r="G1330" t="inlineStr">
        <is>
          <t>Mobile Web</t>
        </is>
      </c>
      <c r="H1330" t="inlineStr">
        <is>
          <t>UPI</t>
        </is>
      </c>
      <c r="I1330" t="inlineStr">
        <is>
          <t>Cancelled</t>
        </is>
      </c>
      <c r="J1330" t="n">
        <v>140</v>
      </c>
      <c r="K1330" t="n">
        <v>1</v>
      </c>
      <c r="L1330" s="7" t="n">
        <v>629</v>
      </c>
      <c r="M1330" s="7" t="n">
        <v>0</v>
      </c>
    </row>
    <row r="1331">
      <c r="A1331" t="n">
        <v>510008</v>
      </c>
      <c r="B1331" s="6" t="n">
        <v>45947</v>
      </c>
      <c r="C1331" t="n">
        <v>10481</v>
      </c>
      <c r="D1331" t="inlineStr">
        <is>
          <t>Hyderabad</t>
        </is>
      </c>
      <c r="E1331" t="inlineStr">
        <is>
          <t>South</t>
        </is>
      </c>
      <c r="F1331" t="inlineStr">
        <is>
          <t>Organic Search</t>
        </is>
      </c>
      <c r="G1331" t="inlineStr">
        <is>
          <t>Mobile App</t>
        </is>
      </c>
      <c r="H1331" t="inlineStr">
        <is>
          <t>Cash on Delivery</t>
        </is>
      </c>
      <c r="I1331" t="inlineStr">
        <is>
          <t>Delivered</t>
        </is>
      </c>
      <c r="J1331" t="n">
        <v>135</v>
      </c>
      <c r="K1331" t="n">
        <v>1</v>
      </c>
      <c r="L1331" s="7" t="n">
        <v>1574</v>
      </c>
      <c r="M1331" s="7" t="n">
        <v>157.4</v>
      </c>
    </row>
    <row r="1332">
      <c r="A1332" t="n">
        <v>510008</v>
      </c>
      <c r="B1332" s="6" t="n">
        <v>45947</v>
      </c>
      <c r="C1332" t="n">
        <v>10481</v>
      </c>
      <c r="D1332" t="inlineStr">
        <is>
          <t>Hyderabad</t>
        </is>
      </c>
      <c r="E1332" t="inlineStr">
        <is>
          <t>South</t>
        </is>
      </c>
      <c r="F1332" t="inlineStr">
        <is>
          <t>Organic Search</t>
        </is>
      </c>
      <c r="G1332" t="inlineStr">
        <is>
          <t>Mobile App</t>
        </is>
      </c>
      <c r="H1332" t="inlineStr">
        <is>
          <t>Cash on Delivery</t>
        </is>
      </c>
      <c r="I1332" t="inlineStr">
        <is>
          <t>Delivered</t>
        </is>
      </c>
      <c r="J1332" t="n">
        <v>122</v>
      </c>
      <c r="K1332" t="n">
        <v>2</v>
      </c>
      <c r="L1332" s="7" t="n">
        <v>1994</v>
      </c>
      <c r="M1332" s="7" t="n">
        <v>398.8</v>
      </c>
    </row>
    <row r="1333">
      <c r="A1333" t="n">
        <v>510009</v>
      </c>
      <c r="B1333" s="6" t="n">
        <v>45947</v>
      </c>
      <c r="C1333" t="n">
        <v>10788</v>
      </c>
      <c r="D1333" t="inlineStr">
        <is>
          <t>Ahmedabad</t>
        </is>
      </c>
      <c r="E1333" t="inlineStr">
        <is>
          <t>West</t>
        </is>
      </c>
      <c r="F1333" t="inlineStr">
        <is>
          <t>Referral</t>
        </is>
      </c>
      <c r="G1333" t="inlineStr">
        <is>
          <t>Mobile App</t>
        </is>
      </c>
      <c r="H1333" t="inlineStr">
        <is>
          <t>UPI</t>
        </is>
      </c>
      <c r="I1333" t="inlineStr">
        <is>
          <t>Delivered</t>
        </is>
      </c>
      <c r="J1333" t="n">
        <v>106</v>
      </c>
      <c r="K1333" t="n">
        <v>1</v>
      </c>
      <c r="L1333" s="7" t="n">
        <v>1574</v>
      </c>
      <c r="M1333" s="7" t="n">
        <v>0</v>
      </c>
    </row>
    <row r="1334">
      <c r="A1334" t="n">
        <v>510009</v>
      </c>
      <c r="B1334" s="6" t="n">
        <v>45947</v>
      </c>
      <c r="C1334" t="n">
        <v>10788</v>
      </c>
      <c r="D1334" t="inlineStr">
        <is>
          <t>Ahmedabad</t>
        </is>
      </c>
      <c r="E1334" t="inlineStr">
        <is>
          <t>West</t>
        </is>
      </c>
      <c r="F1334" t="inlineStr">
        <is>
          <t>Referral</t>
        </is>
      </c>
      <c r="G1334" t="inlineStr">
        <is>
          <t>Mobile App</t>
        </is>
      </c>
      <c r="H1334" t="inlineStr">
        <is>
          <t>UPI</t>
        </is>
      </c>
      <c r="I1334" t="inlineStr">
        <is>
          <t>Delivered</t>
        </is>
      </c>
      <c r="J1334" t="n">
        <v>143</v>
      </c>
      <c r="K1334" t="n">
        <v>1</v>
      </c>
      <c r="L1334" s="7" t="n">
        <v>839</v>
      </c>
      <c r="M1334" s="7" t="n">
        <v>0</v>
      </c>
    </row>
    <row r="1335">
      <c r="A1335" t="n">
        <v>510010</v>
      </c>
      <c r="B1335" s="6" t="n">
        <v>45947</v>
      </c>
      <c r="C1335" t="n">
        <v>16874</v>
      </c>
      <c r="D1335" t="inlineStr">
        <is>
          <t>Bengaluru</t>
        </is>
      </c>
      <c r="E1335" t="inlineStr">
        <is>
          <t>South</t>
        </is>
      </c>
      <c r="F1335" t="inlineStr">
        <is>
          <t>Organic Search</t>
        </is>
      </c>
      <c r="G1335" t="inlineStr">
        <is>
          <t>Mobile App</t>
        </is>
      </c>
      <c r="H1335" t="inlineStr">
        <is>
          <t>UPI</t>
        </is>
      </c>
      <c r="I1335" t="inlineStr">
        <is>
          <t>Delivered</t>
        </is>
      </c>
      <c r="J1335" t="n">
        <v>144</v>
      </c>
      <c r="K1335" t="n">
        <v>1</v>
      </c>
      <c r="L1335" s="7" t="n">
        <v>3149</v>
      </c>
      <c r="M1335" s="7" t="n">
        <v>472.35</v>
      </c>
    </row>
    <row r="1336">
      <c r="A1336" t="n">
        <v>510010</v>
      </c>
      <c r="B1336" s="6" t="n">
        <v>45947</v>
      </c>
      <c r="C1336" t="n">
        <v>16874</v>
      </c>
      <c r="D1336" t="inlineStr">
        <is>
          <t>Bengaluru</t>
        </is>
      </c>
      <c r="E1336" t="inlineStr">
        <is>
          <t>South</t>
        </is>
      </c>
      <c r="F1336" t="inlineStr">
        <is>
          <t>Organic Search</t>
        </is>
      </c>
      <c r="G1336" t="inlineStr">
        <is>
          <t>Mobile App</t>
        </is>
      </c>
      <c r="H1336" t="inlineStr">
        <is>
          <t>UPI</t>
        </is>
      </c>
      <c r="I1336" t="inlineStr">
        <is>
          <t>Delivered</t>
        </is>
      </c>
      <c r="J1336" t="n">
        <v>104</v>
      </c>
      <c r="K1336" t="n">
        <v>2</v>
      </c>
      <c r="L1336" s="7" t="n">
        <v>5249</v>
      </c>
      <c r="M1336" s="7" t="n">
        <v>1574.7</v>
      </c>
    </row>
    <row r="1337">
      <c r="A1337" t="n">
        <v>510010</v>
      </c>
      <c r="B1337" s="6" t="n">
        <v>45947</v>
      </c>
      <c r="C1337" t="n">
        <v>16874</v>
      </c>
      <c r="D1337" t="inlineStr">
        <is>
          <t>Bengaluru</t>
        </is>
      </c>
      <c r="E1337" t="inlineStr">
        <is>
          <t>South</t>
        </is>
      </c>
      <c r="F1337" t="inlineStr">
        <is>
          <t>Organic Search</t>
        </is>
      </c>
      <c r="G1337" t="inlineStr">
        <is>
          <t>Mobile App</t>
        </is>
      </c>
      <c r="H1337" t="inlineStr">
        <is>
          <t>UPI</t>
        </is>
      </c>
      <c r="I1337" t="inlineStr">
        <is>
          <t>Delivered</t>
        </is>
      </c>
      <c r="J1337" t="n">
        <v>123</v>
      </c>
      <c r="K1337" t="n">
        <v>1</v>
      </c>
      <c r="L1337" s="7" t="n">
        <v>3464</v>
      </c>
      <c r="M1337" s="7" t="n">
        <v>519.6</v>
      </c>
    </row>
    <row r="1338">
      <c r="A1338" t="n">
        <v>510011</v>
      </c>
      <c r="B1338" s="6" t="n">
        <v>45947</v>
      </c>
      <c r="C1338" t="n">
        <v>14796</v>
      </c>
      <c r="D1338" t="inlineStr">
        <is>
          <t>Delhi</t>
        </is>
      </c>
      <c r="E1338" t="inlineStr">
        <is>
          <t>North</t>
        </is>
      </c>
      <c r="F1338" t="inlineStr">
        <is>
          <t>Email</t>
        </is>
      </c>
      <c r="G1338" t="inlineStr">
        <is>
          <t>Mobile Web</t>
        </is>
      </c>
      <c r="H1338" t="inlineStr">
        <is>
          <t>UPI</t>
        </is>
      </c>
      <c r="I1338" t="inlineStr">
        <is>
          <t>Delivered</t>
        </is>
      </c>
      <c r="J1338" t="n">
        <v>112</v>
      </c>
      <c r="K1338" t="n">
        <v>1</v>
      </c>
      <c r="L1338" s="7" t="n">
        <v>1574</v>
      </c>
      <c r="M1338" s="7" t="n">
        <v>157.4</v>
      </c>
    </row>
    <row r="1339">
      <c r="A1339" t="n">
        <v>510011</v>
      </c>
      <c r="B1339" s="6" t="n">
        <v>45947</v>
      </c>
      <c r="C1339" t="n">
        <v>14796</v>
      </c>
      <c r="D1339" t="inlineStr">
        <is>
          <t>Delhi</t>
        </is>
      </c>
      <c r="E1339" t="inlineStr">
        <is>
          <t>North</t>
        </is>
      </c>
      <c r="F1339" t="inlineStr">
        <is>
          <t>Email</t>
        </is>
      </c>
      <c r="G1339" t="inlineStr">
        <is>
          <t>Mobile Web</t>
        </is>
      </c>
      <c r="H1339" t="inlineStr">
        <is>
          <t>UPI</t>
        </is>
      </c>
      <c r="I1339" t="inlineStr">
        <is>
          <t>Delivered</t>
        </is>
      </c>
      <c r="J1339" t="n">
        <v>123</v>
      </c>
      <c r="K1339" t="n">
        <v>1</v>
      </c>
      <c r="L1339" s="7" t="n">
        <v>3464</v>
      </c>
      <c r="M1339" s="7" t="n">
        <v>346.4</v>
      </c>
    </row>
    <row r="1340">
      <c r="A1340" t="n">
        <v>510012</v>
      </c>
      <c r="B1340" s="6" t="n">
        <v>45947</v>
      </c>
      <c r="C1340" t="n">
        <v>10146</v>
      </c>
      <c r="D1340" t="inlineStr">
        <is>
          <t>Mumbai</t>
        </is>
      </c>
      <c r="E1340" t="inlineStr">
        <is>
          <t>West</t>
        </is>
      </c>
      <c r="F1340" t="inlineStr">
        <is>
          <t>Paid Social</t>
        </is>
      </c>
      <c r="G1340" t="inlineStr">
        <is>
          <t>Mobile App</t>
        </is>
      </c>
      <c r="H1340" t="inlineStr">
        <is>
          <t>Debit Card</t>
        </is>
      </c>
      <c r="I1340" t="inlineStr">
        <is>
          <t>Delivered</t>
        </is>
      </c>
      <c r="J1340" t="n">
        <v>103</v>
      </c>
      <c r="K1340" t="n">
        <v>1</v>
      </c>
      <c r="L1340" s="7" t="n">
        <v>2624</v>
      </c>
      <c r="M1340" s="7" t="n">
        <v>0</v>
      </c>
    </row>
    <row r="1341">
      <c r="A1341" t="n">
        <v>510012</v>
      </c>
      <c r="B1341" s="6" t="n">
        <v>45947</v>
      </c>
      <c r="C1341" t="n">
        <v>10146</v>
      </c>
      <c r="D1341" t="inlineStr">
        <is>
          <t>Mumbai</t>
        </is>
      </c>
      <c r="E1341" t="inlineStr">
        <is>
          <t>West</t>
        </is>
      </c>
      <c r="F1341" t="inlineStr">
        <is>
          <t>Paid Social</t>
        </is>
      </c>
      <c r="G1341" t="inlineStr">
        <is>
          <t>Mobile App</t>
        </is>
      </c>
      <c r="H1341" t="inlineStr">
        <is>
          <t>Debit Card</t>
        </is>
      </c>
      <c r="I1341" t="inlineStr">
        <is>
          <t>Delivered</t>
        </is>
      </c>
      <c r="J1341" t="n">
        <v>129</v>
      </c>
      <c r="K1341" t="n">
        <v>1</v>
      </c>
      <c r="L1341" s="7" t="n">
        <v>576</v>
      </c>
      <c r="M1341" s="7" t="n">
        <v>0</v>
      </c>
    </row>
    <row r="1342">
      <c r="A1342" t="n">
        <v>510013</v>
      </c>
      <c r="B1342" s="6" t="n">
        <v>45947</v>
      </c>
      <c r="C1342" t="n">
        <v>16569</v>
      </c>
      <c r="D1342" t="inlineStr">
        <is>
          <t>Pune</t>
        </is>
      </c>
      <c r="E1342" t="inlineStr">
        <is>
          <t>West</t>
        </is>
      </c>
      <c r="F1342" t="inlineStr">
        <is>
          <t>Email</t>
        </is>
      </c>
      <c r="G1342" t="inlineStr">
        <is>
          <t>Mobile Web</t>
        </is>
      </c>
      <c r="H1342" t="inlineStr">
        <is>
          <t>UPI</t>
        </is>
      </c>
      <c r="I1342" t="inlineStr">
        <is>
          <t>Delivered</t>
        </is>
      </c>
      <c r="J1342" t="n">
        <v>147</v>
      </c>
      <c r="K1342" t="n">
        <v>1</v>
      </c>
      <c r="L1342" s="7" t="n">
        <v>1364</v>
      </c>
      <c r="M1342" s="7" t="n">
        <v>0</v>
      </c>
    </row>
    <row r="1343">
      <c r="A1343" t="n">
        <v>510013</v>
      </c>
      <c r="B1343" s="6" t="n">
        <v>45947</v>
      </c>
      <c r="C1343" t="n">
        <v>16569</v>
      </c>
      <c r="D1343" t="inlineStr">
        <is>
          <t>Pune</t>
        </is>
      </c>
      <c r="E1343" t="inlineStr">
        <is>
          <t>West</t>
        </is>
      </c>
      <c r="F1343" t="inlineStr">
        <is>
          <t>Email</t>
        </is>
      </c>
      <c r="G1343" t="inlineStr">
        <is>
          <t>Mobile Web</t>
        </is>
      </c>
      <c r="H1343" t="inlineStr">
        <is>
          <t>UPI</t>
        </is>
      </c>
      <c r="I1343" t="inlineStr">
        <is>
          <t>Delivered</t>
        </is>
      </c>
      <c r="J1343" t="n">
        <v>107</v>
      </c>
      <c r="K1343" t="n">
        <v>1</v>
      </c>
      <c r="L1343" s="7" t="n">
        <v>1259</v>
      </c>
      <c r="M1343" s="7" t="n">
        <v>0</v>
      </c>
    </row>
    <row r="1344">
      <c r="A1344" t="n">
        <v>510013</v>
      </c>
      <c r="B1344" s="6" t="n">
        <v>45947</v>
      </c>
      <c r="C1344" t="n">
        <v>16569</v>
      </c>
      <c r="D1344" t="inlineStr">
        <is>
          <t>Pune</t>
        </is>
      </c>
      <c r="E1344" t="inlineStr">
        <is>
          <t>West</t>
        </is>
      </c>
      <c r="F1344" t="inlineStr">
        <is>
          <t>Email</t>
        </is>
      </c>
      <c r="G1344" t="inlineStr">
        <is>
          <t>Mobile Web</t>
        </is>
      </c>
      <c r="H1344" t="inlineStr">
        <is>
          <t>UPI</t>
        </is>
      </c>
      <c r="I1344" t="inlineStr">
        <is>
          <t>Delivered</t>
        </is>
      </c>
      <c r="J1344" t="n">
        <v>129</v>
      </c>
      <c r="K1344" t="n">
        <v>1</v>
      </c>
      <c r="L1344" s="7" t="n">
        <v>576</v>
      </c>
      <c r="M1344" s="7" t="n">
        <v>0</v>
      </c>
    </row>
    <row r="1345">
      <c r="A1345" t="n">
        <v>510014</v>
      </c>
      <c r="B1345" s="6" t="n">
        <v>45947</v>
      </c>
      <c r="C1345" t="n">
        <v>15481</v>
      </c>
      <c r="D1345" t="inlineStr">
        <is>
          <t>Hyderabad</t>
        </is>
      </c>
      <c r="E1345" t="inlineStr">
        <is>
          <t>South</t>
        </is>
      </c>
      <c r="F1345" t="inlineStr">
        <is>
          <t>Referral</t>
        </is>
      </c>
      <c r="G1345" t="inlineStr">
        <is>
          <t>Mobile Web</t>
        </is>
      </c>
      <c r="H1345" t="inlineStr">
        <is>
          <t>UPI</t>
        </is>
      </c>
      <c r="I1345" t="inlineStr">
        <is>
          <t>Cancelled</t>
        </is>
      </c>
      <c r="J1345" t="n">
        <v>135</v>
      </c>
      <c r="K1345" t="n">
        <v>1</v>
      </c>
      <c r="L1345" s="7" t="n">
        <v>1574</v>
      </c>
      <c r="M1345" s="7" t="n">
        <v>157.4</v>
      </c>
    </row>
    <row r="1346">
      <c r="A1346" t="n">
        <v>510014</v>
      </c>
      <c r="B1346" s="6" t="n">
        <v>45947</v>
      </c>
      <c r="C1346" t="n">
        <v>15481</v>
      </c>
      <c r="D1346" t="inlineStr">
        <is>
          <t>Hyderabad</t>
        </is>
      </c>
      <c r="E1346" t="inlineStr">
        <is>
          <t>South</t>
        </is>
      </c>
      <c r="F1346" t="inlineStr">
        <is>
          <t>Referral</t>
        </is>
      </c>
      <c r="G1346" t="inlineStr">
        <is>
          <t>Mobile Web</t>
        </is>
      </c>
      <c r="H1346" t="inlineStr">
        <is>
          <t>UPI</t>
        </is>
      </c>
      <c r="I1346" t="inlineStr">
        <is>
          <t>Cancelled</t>
        </is>
      </c>
      <c r="J1346" t="n">
        <v>113</v>
      </c>
      <c r="K1346" t="n">
        <v>1</v>
      </c>
      <c r="L1346" s="7" t="n">
        <v>1364</v>
      </c>
      <c r="M1346" s="7" t="n">
        <v>136.4</v>
      </c>
    </row>
    <row r="1347">
      <c r="A1347" t="n">
        <v>510015</v>
      </c>
      <c r="B1347" s="6" t="n">
        <v>45947</v>
      </c>
      <c r="C1347" t="n">
        <v>15817</v>
      </c>
      <c r="D1347" t="inlineStr">
        <is>
          <t>Bengaluru</t>
        </is>
      </c>
      <c r="E1347" t="inlineStr">
        <is>
          <t>South</t>
        </is>
      </c>
      <c r="F1347" t="inlineStr">
        <is>
          <t>Organic Search</t>
        </is>
      </c>
      <c r="G1347" t="inlineStr">
        <is>
          <t>Mobile Web</t>
        </is>
      </c>
      <c r="H1347" t="inlineStr">
        <is>
          <t>Credit Card</t>
        </is>
      </c>
      <c r="I1347" t="inlineStr">
        <is>
          <t>Delivered</t>
        </is>
      </c>
      <c r="J1347" t="n">
        <v>112</v>
      </c>
      <c r="K1347" t="n">
        <v>1</v>
      </c>
      <c r="L1347" s="7" t="n">
        <v>1574</v>
      </c>
      <c r="M1347" s="7" t="n">
        <v>157.4</v>
      </c>
    </row>
    <row r="1348">
      <c r="A1348" t="n">
        <v>510016</v>
      </c>
      <c r="B1348" s="6" t="n">
        <v>45947</v>
      </c>
      <c r="C1348" t="n">
        <v>10791</v>
      </c>
      <c r="D1348" t="inlineStr">
        <is>
          <t>Mumbai</t>
        </is>
      </c>
      <c r="E1348" t="inlineStr">
        <is>
          <t>West</t>
        </is>
      </c>
      <c r="F1348" t="inlineStr">
        <is>
          <t>Paid Social</t>
        </is>
      </c>
      <c r="G1348" t="inlineStr">
        <is>
          <t>Mobile App</t>
        </is>
      </c>
      <c r="H1348" t="inlineStr">
        <is>
          <t>Cash on Delivery</t>
        </is>
      </c>
      <c r="I1348" t="inlineStr">
        <is>
          <t>Delivered</t>
        </is>
      </c>
      <c r="J1348" t="n">
        <v>148</v>
      </c>
      <c r="K1348" t="n">
        <v>1</v>
      </c>
      <c r="L1348" s="7" t="n">
        <v>734</v>
      </c>
      <c r="M1348" s="7" t="n">
        <v>73.40000000000001</v>
      </c>
    </row>
    <row r="1349">
      <c r="A1349" t="n">
        <v>510016</v>
      </c>
      <c r="B1349" s="6" t="n">
        <v>45947</v>
      </c>
      <c r="C1349" t="n">
        <v>10791</v>
      </c>
      <c r="D1349" t="inlineStr">
        <is>
          <t>Mumbai</t>
        </is>
      </c>
      <c r="E1349" t="inlineStr">
        <is>
          <t>West</t>
        </is>
      </c>
      <c r="F1349" t="inlineStr">
        <is>
          <t>Paid Social</t>
        </is>
      </c>
      <c r="G1349" t="inlineStr">
        <is>
          <t>Mobile App</t>
        </is>
      </c>
      <c r="H1349" t="inlineStr">
        <is>
          <t>Cash on Delivery</t>
        </is>
      </c>
      <c r="I1349" t="inlineStr">
        <is>
          <t>Delivered</t>
        </is>
      </c>
      <c r="J1349" t="n">
        <v>112</v>
      </c>
      <c r="K1349" t="n">
        <v>1</v>
      </c>
      <c r="L1349" s="7" t="n">
        <v>1574</v>
      </c>
      <c r="M1349" s="7" t="n">
        <v>157.4</v>
      </c>
    </row>
    <row r="1350">
      <c r="A1350" t="n">
        <v>510017</v>
      </c>
      <c r="B1350" s="6" t="n">
        <v>45947</v>
      </c>
      <c r="C1350" t="n">
        <v>12057</v>
      </c>
      <c r="D1350" t="inlineStr">
        <is>
          <t>Pune</t>
        </is>
      </c>
      <c r="E1350" t="inlineStr">
        <is>
          <t>West</t>
        </is>
      </c>
      <c r="F1350" t="inlineStr">
        <is>
          <t>Organic Search</t>
        </is>
      </c>
      <c r="G1350" t="inlineStr">
        <is>
          <t>Mobile App</t>
        </is>
      </c>
      <c r="H1350" t="inlineStr">
        <is>
          <t>Credit Card</t>
        </is>
      </c>
      <c r="I1350" t="inlineStr">
        <is>
          <t>Delivered</t>
        </is>
      </c>
      <c r="J1350" t="n">
        <v>144</v>
      </c>
      <c r="K1350" t="n">
        <v>1</v>
      </c>
      <c r="L1350" s="7" t="n">
        <v>3149</v>
      </c>
      <c r="M1350" s="7" t="n">
        <v>0</v>
      </c>
    </row>
    <row r="1351">
      <c r="A1351" t="n">
        <v>510017</v>
      </c>
      <c r="B1351" s="6" t="n">
        <v>45947</v>
      </c>
      <c r="C1351" t="n">
        <v>12057</v>
      </c>
      <c r="D1351" t="inlineStr">
        <is>
          <t>Pune</t>
        </is>
      </c>
      <c r="E1351" t="inlineStr">
        <is>
          <t>West</t>
        </is>
      </c>
      <c r="F1351" t="inlineStr">
        <is>
          <t>Organic Search</t>
        </is>
      </c>
      <c r="G1351" t="inlineStr">
        <is>
          <t>Mobile App</t>
        </is>
      </c>
      <c r="H1351" t="inlineStr">
        <is>
          <t>Credit Card</t>
        </is>
      </c>
      <c r="I1351" t="inlineStr">
        <is>
          <t>Delivered</t>
        </is>
      </c>
      <c r="J1351" t="n">
        <v>135</v>
      </c>
      <c r="K1351" t="n">
        <v>1</v>
      </c>
      <c r="L1351" s="7" t="n">
        <v>1574</v>
      </c>
      <c r="M1351" s="7" t="n">
        <v>0</v>
      </c>
    </row>
    <row r="1352">
      <c r="A1352" t="n">
        <v>510017</v>
      </c>
      <c r="B1352" s="6" t="n">
        <v>45947</v>
      </c>
      <c r="C1352" t="n">
        <v>12057</v>
      </c>
      <c r="D1352" t="inlineStr">
        <is>
          <t>Pune</t>
        </is>
      </c>
      <c r="E1352" t="inlineStr">
        <is>
          <t>West</t>
        </is>
      </c>
      <c r="F1352" t="inlineStr">
        <is>
          <t>Organic Search</t>
        </is>
      </c>
      <c r="G1352" t="inlineStr">
        <is>
          <t>Mobile App</t>
        </is>
      </c>
      <c r="H1352" t="inlineStr">
        <is>
          <t>Credit Card</t>
        </is>
      </c>
      <c r="I1352" t="inlineStr">
        <is>
          <t>Delivered</t>
        </is>
      </c>
      <c r="J1352" t="n">
        <v>129</v>
      </c>
      <c r="K1352" t="n">
        <v>1</v>
      </c>
      <c r="L1352" s="7" t="n">
        <v>576</v>
      </c>
      <c r="M1352" s="7" t="n">
        <v>0</v>
      </c>
    </row>
    <row r="1353">
      <c r="A1353" t="n">
        <v>510018</v>
      </c>
      <c r="B1353" s="6" t="n">
        <v>45947</v>
      </c>
      <c r="C1353" t="n">
        <v>13873</v>
      </c>
      <c r="D1353" t="inlineStr">
        <is>
          <t>Mumbai</t>
        </is>
      </c>
      <c r="E1353" t="inlineStr">
        <is>
          <t>West</t>
        </is>
      </c>
      <c r="F1353" t="inlineStr">
        <is>
          <t>Organic Search</t>
        </is>
      </c>
      <c r="G1353" t="inlineStr">
        <is>
          <t>Desktop</t>
        </is>
      </c>
      <c r="H1353" t="inlineStr">
        <is>
          <t>Cash on Delivery</t>
        </is>
      </c>
      <c r="I1353" t="inlineStr">
        <is>
          <t>Delivered</t>
        </is>
      </c>
      <c r="J1353" t="n">
        <v>118</v>
      </c>
      <c r="K1353" t="n">
        <v>1</v>
      </c>
      <c r="L1353" s="7" t="n">
        <v>944</v>
      </c>
      <c r="M1353" s="7" t="n">
        <v>94.40000000000001</v>
      </c>
    </row>
    <row r="1354">
      <c r="A1354" t="n">
        <v>510018</v>
      </c>
      <c r="B1354" s="6" t="n">
        <v>45947</v>
      </c>
      <c r="C1354" t="n">
        <v>13873</v>
      </c>
      <c r="D1354" t="inlineStr">
        <is>
          <t>Mumbai</t>
        </is>
      </c>
      <c r="E1354" t="inlineStr">
        <is>
          <t>West</t>
        </is>
      </c>
      <c r="F1354" t="inlineStr">
        <is>
          <t>Organic Search</t>
        </is>
      </c>
      <c r="G1354" t="inlineStr">
        <is>
          <t>Desktop</t>
        </is>
      </c>
      <c r="H1354" t="inlineStr">
        <is>
          <t>Cash on Delivery</t>
        </is>
      </c>
      <c r="I1354" t="inlineStr">
        <is>
          <t>Delivered</t>
        </is>
      </c>
      <c r="J1354" t="n">
        <v>129</v>
      </c>
      <c r="K1354" t="n">
        <v>1</v>
      </c>
      <c r="L1354" s="7" t="n">
        <v>576</v>
      </c>
      <c r="M1354" s="7" t="n">
        <v>57.6</v>
      </c>
    </row>
    <row r="1355">
      <c r="A1355" t="n">
        <v>510019</v>
      </c>
      <c r="B1355" s="6" t="n">
        <v>45947</v>
      </c>
      <c r="C1355" t="n">
        <v>11852</v>
      </c>
      <c r="D1355" t="inlineStr">
        <is>
          <t>Kochi</t>
        </is>
      </c>
      <c r="E1355" t="inlineStr">
        <is>
          <t>South</t>
        </is>
      </c>
      <c r="F1355" t="inlineStr">
        <is>
          <t>Organic Search</t>
        </is>
      </c>
      <c r="G1355" t="inlineStr">
        <is>
          <t>Mobile Web</t>
        </is>
      </c>
      <c r="H1355" t="inlineStr">
        <is>
          <t>UPI</t>
        </is>
      </c>
      <c r="I1355" t="inlineStr">
        <is>
          <t>Delivered</t>
        </is>
      </c>
      <c r="J1355" t="n">
        <v>129</v>
      </c>
      <c r="K1355" t="n">
        <v>1</v>
      </c>
      <c r="L1355" s="7" t="n">
        <v>576</v>
      </c>
      <c r="M1355" s="7" t="n">
        <v>0</v>
      </c>
    </row>
    <row r="1356">
      <c r="A1356" t="n">
        <v>510019</v>
      </c>
      <c r="B1356" s="6" t="n">
        <v>45947</v>
      </c>
      <c r="C1356" t="n">
        <v>11852</v>
      </c>
      <c r="D1356" t="inlineStr">
        <is>
          <t>Kochi</t>
        </is>
      </c>
      <c r="E1356" t="inlineStr">
        <is>
          <t>South</t>
        </is>
      </c>
      <c r="F1356" t="inlineStr">
        <is>
          <t>Organic Search</t>
        </is>
      </c>
      <c r="G1356" t="inlineStr">
        <is>
          <t>Mobile Web</t>
        </is>
      </c>
      <c r="H1356" t="inlineStr">
        <is>
          <t>UPI</t>
        </is>
      </c>
      <c r="I1356" t="inlineStr">
        <is>
          <t>Delivered</t>
        </is>
      </c>
      <c r="J1356" t="n">
        <v>146</v>
      </c>
      <c r="K1356" t="n">
        <v>1</v>
      </c>
      <c r="L1356" s="7" t="n">
        <v>4724</v>
      </c>
      <c r="M1356" s="7" t="n">
        <v>0</v>
      </c>
    </row>
    <row r="1357">
      <c r="A1357" t="n">
        <v>510020</v>
      </c>
      <c r="B1357" s="6" t="n">
        <v>45947</v>
      </c>
      <c r="C1357" t="n">
        <v>14491</v>
      </c>
      <c r="D1357" t="inlineStr">
        <is>
          <t>Chennai</t>
        </is>
      </c>
      <c r="E1357" t="inlineStr">
        <is>
          <t>South</t>
        </is>
      </c>
      <c r="F1357" t="inlineStr">
        <is>
          <t>Organic Search</t>
        </is>
      </c>
      <c r="G1357" t="inlineStr">
        <is>
          <t>Desktop</t>
        </is>
      </c>
      <c r="H1357" t="inlineStr">
        <is>
          <t>UPI</t>
        </is>
      </c>
      <c r="I1357" t="inlineStr">
        <is>
          <t>Delivered</t>
        </is>
      </c>
      <c r="J1357" t="n">
        <v>101</v>
      </c>
      <c r="K1357" t="n">
        <v>1</v>
      </c>
      <c r="L1357" s="7" t="n">
        <v>2099</v>
      </c>
      <c r="M1357" s="7" t="n">
        <v>209.9</v>
      </c>
    </row>
    <row r="1358">
      <c r="A1358" t="n">
        <v>510020</v>
      </c>
      <c r="B1358" s="6" t="n">
        <v>45947</v>
      </c>
      <c r="C1358" t="n">
        <v>14491</v>
      </c>
      <c r="D1358" t="inlineStr">
        <is>
          <t>Chennai</t>
        </is>
      </c>
      <c r="E1358" t="inlineStr">
        <is>
          <t>South</t>
        </is>
      </c>
      <c r="F1358" t="inlineStr">
        <is>
          <t>Organic Search</t>
        </is>
      </c>
      <c r="G1358" t="inlineStr">
        <is>
          <t>Desktop</t>
        </is>
      </c>
      <c r="H1358" t="inlineStr">
        <is>
          <t>UPI</t>
        </is>
      </c>
      <c r="I1358" t="inlineStr">
        <is>
          <t>Delivered</t>
        </is>
      </c>
      <c r="J1358" t="n">
        <v>108</v>
      </c>
      <c r="K1358" t="n">
        <v>1</v>
      </c>
      <c r="L1358" s="7" t="n">
        <v>419</v>
      </c>
      <c r="M1358" s="7" t="n">
        <v>41.9</v>
      </c>
    </row>
    <row r="1359">
      <c r="A1359" t="n">
        <v>510021</v>
      </c>
      <c r="B1359" s="6" t="n">
        <v>45947</v>
      </c>
      <c r="C1359" t="n">
        <v>16822</v>
      </c>
      <c r="D1359" t="inlineStr">
        <is>
          <t>Jaipur</t>
        </is>
      </c>
      <c r="E1359" t="inlineStr">
        <is>
          <t>North</t>
        </is>
      </c>
      <c r="F1359" t="inlineStr">
        <is>
          <t>Email</t>
        </is>
      </c>
      <c r="G1359" t="inlineStr">
        <is>
          <t>Mobile App</t>
        </is>
      </c>
      <c r="H1359" t="inlineStr">
        <is>
          <t>UPI</t>
        </is>
      </c>
      <c r="I1359" t="inlineStr">
        <is>
          <t>Delivered</t>
        </is>
      </c>
      <c r="J1359" t="n">
        <v>109</v>
      </c>
      <c r="K1359" t="n">
        <v>2</v>
      </c>
      <c r="L1359" s="7" t="n">
        <v>4199</v>
      </c>
      <c r="M1359" s="7" t="n">
        <v>0</v>
      </c>
    </row>
    <row r="1360">
      <c r="A1360" t="n">
        <v>510021</v>
      </c>
      <c r="B1360" s="6" t="n">
        <v>45947</v>
      </c>
      <c r="C1360" t="n">
        <v>16822</v>
      </c>
      <c r="D1360" t="inlineStr">
        <is>
          <t>Jaipur</t>
        </is>
      </c>
      <c r="E1360" t="inlineStr">
        <is>
          <t>North</t>
        </is>
      </c>
      <c r="F1360" t="inlineStr">
        <is>
          <t>Email</t>
        </is>
      </c>
      <c r="G1360" t="inlineStr">
        <is>
          <t>Mobile App</t>
        </is>
      </c>
      <c r="H1360" t="inlineStr">
        <is>
          <t>UPI</t>
        </is>
      </c>
      <c r="I1360" t="inlineStr">
        <is>
          <t>Delivered</t>
        </is>
      </c>
      <c r="J1360" t="n">
        <v>146</v>
      </c>
      <c r="K1360" t="n">
        <v>1</v>
      </c>
      <c r="L1360" s="7" t="n">
        <v>4724</v>
      </c>
      <c r="M1360" s="7" t="n">
        <v>0</v>
      </c>
    </row>
    <row r="1361">
      <c r="A1361" t="n">
        <v>510022</v>
      </c>
      <c r="B1361" s="6" t="n">
        <v>45947</v>
      </c>
      <c r="C1361" t="n">
        <v>16009</v>
      </c>
      <c r="D1361" t="inlineStr">
        <is>
          <t>Delhi</t>
        </is>
      </c>
      <c r="E1361" t="inlineStr">
        <is>
          <t>North</t>
        </is>
      </c>
      <c r="F1361" t="inlineStr">
        <is>
          <t>Referral</t>
        </is>
      </c>
      <c r="G1361" t="inlineStr">
        <is>
          <t>Mobile App</t>
        </is>
      </c>
      <c r="H1361" t="inlineStr">
        <is>
          <t>UPI</t>
        </is>
      </c>
      <c r="I1361" t="inlineStr">
        <is>
          <t>Delivered</t>
        </is>
      </c>
      <c r="J1361" t="n">
        <v>135</v>
      </c>
      <c r="K1361" t="n">
        <v>1</v>
      </c>
      <c r="L1361" s="7" t="n">
        <v>1574</v>
      </c>
      <c r="M1361" s="7" t="n">
        <v>0</v>
      </c>
    </row>
    <row r="1362">
      <c r="A1362" t="n">
        <v>510022</v>
      </c>
      <c r="B1362" s="6" t="n">
        <v>45947</v>
      </c>
      <c r="C1362" t="n">
        <v>16009</v>
      </c>
      <c r="D1362" t="inlineStr">
        <is>
          <t>Delhi</t>
        </is>
      </c>
      <c r="E1362" t="inlineStr">
        <is>
          <t>North</t>
        </is>
      </c>
      <c r="F1362" t="inlineStr">
        <is>
          <t>Referral</t>
        </is>
      </c>
      <c r="G1362" t="inlineStr">
        <is>
          <t>Mobile App</t>
        </is>
      </c>
      <c r="H1362" t="inlineStr">
        <is>
          <t>UPI</t>
        </is>
      </c>
      <c r="I1362" t="inlineStr">
        <is>
          <t>Delivered</t>
        </is>
      </c>
      <c r="J1362" t="n">
        <v>114</v>
      </c>
      <c r="K1362" t="n">
        <v>1</v>
      </c>
      <c r="L1362" s="7" t="n">
        <v>1259</v>
      </c>
      <c r="M1362" s="7" t="n">
        <v>0</v>
      </c>
    </row>
    <row r="1363">
      <c r="A1363" t="n">
        <v>510023</v>
      </c>
      <c r="B1363" s="6" t="n">
        <v>45947</v>
      </c>
      <c r="C1363" t="n">
        <v>14680</v>
      </c>
      <c r="D1363" t="inlineStr">
        <is>
          <t>Chennai</t>
        </is>
      </c>
      <c r="E1363" t="inlineStr">
        <is>
          <t>South</t>
        </is>
      </c>
      <c r="F1363" t="inlineStr">
        <is>
          <t>Referral</t>
        </is>
      </c>
      <c r="G1363" t="inlineStr">
        <is>
          <t>Mobile App</t>
        </is>
      </c>
      <c r="H1363" t="inlineStr">
        <is>
          <t>UPI</t>
        </is>
      </c>
      <c r="I1363" t="inlineStr">
        <is>
          <t>Delivered</t>
        </is>
      </c>
      <c r="J1363" t="n">
        <v>143</v>
      </c>
      <c r="K1363" t="n">
        <v>1</v>
      </c>
      <c r="L1363" s="7" t="n">
        <v>839</v>
      </c>
      <c r="M1363" s="7" t="n">
        <v>0</v>
      </c>
    </row>
    <row r="1364">
      <c r="A1364" t="n">
        <v>510024</v>
      </c>
      <c r="B1364" s="6" t="n">
        <v>45947</v>
      </c>
      <c r="C1364" t="n">
        <v>14737</v>
      </c>
      <c r="D1364" t="inlineStr">
        <is>
          <t>Noida</t>
        </is>
      </c>
      <c r="E1364" t="inlineStr">
        <is>
          <t>North</t>
        </is>
      </c>
      <c r="F1364" t="inlineStr">
        <is>
          <t>Referral</t>
        </is>
      </c>
      <c r="G1364" t="inlineStr">
        <is>
          <t>Mobile App</t>
        </is>
      </c>
      <c r="H1364" t="inlineStr">
        <is>
          <t>UPI</t>
        </is>
      </c>
      <c r="I1364" t="inlineStr">
        <is>
          <t>Delivered</t>
        </is>
      </c>
      <c r="J1364" t="n">
        <v>114</v>
      </c>
      <c r="K1364" t="n">
        <v>1</v>
      </c>
      <c r="L1364" s="7" t="n">
        <v>1259</v>
      </c>
      <c r="M1364" s="7" t="n">
        <v>125.9</v>
      </c>
    </row>
    <row r="1365">
      <c r="A1365" t="n">
        <v>510025</v>
      </c>
      <c r="B1365" s="6" t="n">
        <v>45947</v>
      </c>
      <c r="C1365" t="n">
        <v>12146</v>
      </c>
      <c r="D1365" t="inlineStr">
        <is>
          <t>Delhi</t>
        </is>
      </c>
      <c r="E1365" t="inlineStr">
        <is>
          <t>North</t>
        </is>
      </c>
      <c r="F1365" t="inlineStr">
        <is>
          <t>Organic Search</t>
        </is>
      </c>
      <c r="G1365" t="inlineStr">
        <is>
          <t>Mobile App</t>
        </is>
      </c>
      <c r="H1365" t="inlineStr">
        <is>
          <t>UPI</t>
        </is>
      </c>
      <c r="I1365" t="inlineStr">
        <is>
          <t>Delivered</t>
        </is>
      </c>
      <c r="J1365" t="n">
        <v>118</v>
      </c>
      <c r="K1365" t="n">
        <v>1</v>
      </c>
      <c r="L1365" s="7" t="n">
        <v>944</v>
      </c>
      <c r="M1365" s="7" t="n">
        <v>0</v>
      </c>
    </row>
    <row r="1366">
      <c r="A1366" t="n">
        <v>510025</v>
      </c>
      <c r="B1366" s="6" t="n">
        <v>45947</v>
      </c>
      <c r="C1366" t="n">
        <v>12146</v>
      </c>
      <c r="D1366" t="inlineStr">
        <is>
          <t>Delhi</t>
        </is>
      </c>
      <c r="E1366" t="inlineStr">
        <is>
          <t>North</t>
        </is>
      </c>
      <c r="F1366" t="inlineStr">
        <is>
          <t>Organic Search</t>
        </is>
      </c>
      <c r="G1366" t="inlineStr">
        <is>
          <t>Mobile App</t>
        </is>
      </c>
      <c r="H1366" t="inlineStr">
        <is>
          <t>UPI</t>
        </is>
      </c>
      <c r="I1366" t="inlineStr">
        <is>
          <t>Delivered</t>
        </is>
      </c>
      <c r="J1366" t="n">
        <v>135</v>
      </c>
      <c r="K1366" t="n">
        <v>1</v>
      </c>
      <c r="L1366" s="7" t="n">
        <v>1574</v>
      </c>
      <c r="M1366" s="7" t="n">
        <v>0</v>
      </c>
    </row>
    <row r="1367">
      <c r="A1367" t="n">
        <v>510026</v>
      </c>
      <c r="B1367" s="6" t="n">
        <v>45947</v>
      </c>
      <c r="C1367" t="n">
        <v>14968</v>
      </c>
      <c r="D1367" t="inlineStr">
        <is>
          <t>Mumbai</t>
        </is>
      </c>
      <c r="E1367" t="inlineStr">
        <is>
          <t>West</t>
        </is>
      </c>
      <c r="F1367" t="inlineStr">
        <is>
          <t>Organic Search</t>
        </is>
      </c>
      <c r="G1367" t="inlineStr">
        <is>
          <t>Desktop</t>
        </is>
      </c>
      <c r="H1367" t="inlineStr">
        <is>
          <t>UPI</t>
        </is>
      </c>
      <c r="I1367" t="inlineStr">
        <is>
          <t>Delivered</t>
        </is>
      </c>
      <c r="J1367" t="n">
        <v>123</v>
      </c>
      <c r="K1367" t="n">
        <v>1</v>
      </c>
      <c r="L1367" s="7" t="n">
        <v>3464</v>
      </c>
      <c r="M1367" s="7" t="n">
        <v>346.4</v>
      </c>
    </row>
    <row r="1368">
      <c r="A1368" t="n">
        <v>510027</v>
      </c>
      <c r="B1368" s="6" t="n">
        <v>45947</v>
      </c>
      <c r="C1368" t="n">
        <v>16451</v>
      </c>
      <c r="D1368" t="inlineStr">
        <is>
          <t>Gurugram</t>
        </is>
      </c>
      <c r="E1368" t="inlineStr">
        <is>
          <t>North</t>
        </is>
      </c>
      <c r="F1368" t="inlineStr">
        <is>
          <t>Affiliate</t>
        </is>
      </c>
      <c r="G1368" t="inlineStr">
        <is>
          <t>Mobile Web</t>
        </is>
      </c>
      <c r="H1368" t="inlineStr">
        <is>
          <t>UPI</t>
        </is>
      </c>
      <c r="I1368" t="inlineStr">
        <is>
          <t>Delivered</t>
        </is>
      </c>
      <c r="J1368" t="n">
        <v>120</v>
      </c>
      <c r="K1368" t="n">
        <v>1</v>
      </c>
      <c r="L1368" s="7" t="n">
        <v>734</v>
      </c>
      <c r="M1368" s="7" t="n">
        <v>0</v>
      </c>
    </row>
    <row r="1369">
      <c r="A1369" t="n">
        <v>510027</v>
      </c>
      <c r="B1369" s="6" t="n">
        <v>45947</v>
      </c>
      <c r="C1369" t="n">
        <v>16451</v>
      </c>
      <c r="D1369" t="inlineStr">
        <is>
          <t>Gurugram</t>
        </is>
      </c>
      <c r="E1369" t="inlineStr">
        <is>
          <t>North</t>
        </is>
      </c>
      <c r="F1369" t="inlineStr">
        <is>
          <t>Affiliate</t>
        </is>
      </c>
      <c r="G1369" t="inlineStr">
        <is>
          <t>Mobile Web</t>
        </is>
      </c>
      <c r="H1369" t="inlineStr">
        <is>
          <t>UPI</t>
        </is>
      </c>
      <c r="I1369" t="inlineStr">
        <is>
          <t>Delivered</t>
        </is>
      </c>
      <c r="J1369" t="n">
        <v>118</v>
      </c>
      <c r="K1369" t="n">
        <v>1</v>
      </c>
      <c r="L1369" s="7" t="n">
        <v>944</v>
      </c>
      <c r="M1369" s="7" t="n">
        <v>0</v>
      </c>
    </row>
    <row r="1370">
      <c r="A1370" t="n">
        <v>510027</v>
      </c>
      <c r="B1370" s="6" t="n">
        <v>45947</v>
      </c>
      <c r="C1370" t="n">
        <v>16451</v>
      </c>
      <c r="D1370" t="inlineStr">
        <is>
          <t>Gurugram</t>
        </is>
      </c>
      <c r="E1370" t="inlineStr">
        <is>
          <t>North</t>
        </is>
      </c>
      <c r="F1370" t="inlineStr">
        <is>
          <t>Affiliate</t>
        </is>
      </c>
      <c r="G1370" t="inlineStr">
        <is>
          <t>Mobile Web</t>
        </is>
      </c>
      <c r="H1370" t="inlineStr">
        <is>
          <t>UPI</t>
        </is>
      </c>
      <c r="I1370" t="inlineStr">
        <is>
          <t>Delivered</t>
        </is>
      </c>
      <c r="J1370" t="n">
        <v>105</v>
      </c>
      <c r="K1370" t="n">
        <v>2</v>
      </c>
      <c r="L1370" s="7" t="n">
        <v>2414</v>
      </c>
      <c r="M1370" s="7" t="n">
        <v>0</v>
      </c>
    </row>
    <row r="1371">
      <c r="A1371" t="n">
        <v>510027</v>
      </c>
      <c r="B1371" s="6" t="n">
        <v>45947</v>
      </c>
      <c r="C1371" t="n">
        <v>16451</v>
      </c>
      <c r="D1371" t="inlineStr">
        <is>
          <t>Gurugram</t>
        </is>
      </c>
      <c r="E1371" t="inlineStr">
        <is>
          <t>North</t>
        </is>
      </c>
      <c r="F1371" t="inlineStr">
        <is>
          <t>Affiliate</t>
        </is>
      </c>
      <c r="G1371" t="inlineStr">
        <is>
          <t>Mobile Web</t>
        </is>
      </c>
      <c r="H1371" t="inlineStr">
        <is>
          <t>UPI</t>
        </is>
      </c>
      <c r="I1371" t="inlineStr">
        <is>
          <t>Delivered</t>
        </is>
      </c>
      <c r="J1371" t="n">
        <v>129</v>
      </c>
      <c r="K1371" t="n">
        <v>1</v>
      </c>
      <c r="L1371" s="7" t="n">
        <v>576</v>
      </c>
      <c r="M1371" s="7" t="n">
        <v>0</v>
      </c>
    </row>
    <row r="1372">
      <c r="A1372" t="n">
        <v>510028</v>
      </c>
      <c r="B1372" s="6" t="n">
        <v>45947</v>
      </c>
      <c r="C1372" t="n">
        <v>16792</v>
      </c>
      <c r="D1372" t="inlineStr">
        <is>
          <t>Lucknow</t>
        </is>
      </c>
      <c r="E1372" t="inlineStr">
        <is>
          <t>North</t>
        </is>
      </c>
      <c r="F1372" t="inlineStr">
        <is>
          <t>Organic Search</t>
        </is>
      </c>
      <c r="G1372" t="inlineStr">
        <is>
          <t>Mobile App</t>
        </is>
      </c>
      <c r="H1372" t="inlineStr">
        <is>
          <t>Cash on Delivery</t>
        </is>
      </c>
      <c r="I1372" t="inlineStr">
        <is>
          <t>Delivered</t>
        </is>
      </c>
      <c r="J1372" t="n">
        <v>124</v>
      </c>
      <c r="K1372" t="n">
        <v>1</v>
      </c>
      <c r="L1372" s="7" t="n">
        <v>1154</v>
      </c>
      <c r="M1372" s="7" t="n">
        <v>0</v>
      </c>
    </row>
    <row r="1373">
      <c r="A1373" t="n">
        <v>510029</v>
      </c>
      <c r="B1373" s="6" t="n">
        <v>45947</v>
      </c>
      <c r="C1373" t="n">
        <v>16834</v>
      </c>
      <c r="D1373" t="inlineStr">
        <is>
          <t>Hyderabad</t>
        </is>
      </c>
      <c r="E1373" t="inlineStr">
        <is>
          <t>South</t>
        </is>
      </c>
      <c r="F1373" t="inlineStr">
        <is>
          <t>Organic Search</t>
        </is>
      </c>
      <c r="G1373" t="inlineStr">
        <is>
          <t>Mobile App</t>
        </is>
      </c>
      <c r="H1373" t="inlineStr">
        <is>
          <t>Cash on Delivery</t>
        </is>
      </c>
      <c r="I1373" t="inlineStr">
        <is>
          <t>Delivered</t>
        </is>
      </c>
      <c r="J1373" t="n">
        <v>143</v>
      </c>
      <c r="K1373" t="n">
        <v>1</v>
      </c>
      <c r="L1373" s="7" t="n">
        <v>839</v>
      </c>
      <c r="M1373" s="7" t="n">
        <v>125.85</v>
      </c>
    </row>
    <row r="1374">
      <c r="A1374" t="n">
        <v>510029</v>
      </c>
      <c r="B1374" s="6" t="n">
        <v>45947</v>
      </c>
      <c r="C1374" t="n">
        <v>16834</v>
      </c>
      <c r="D1374" t="inlineStr">
        <is>
          <t>Hyderabad</t>
        </is>
      </c>
      <c r="E1374" t="inlineStr">
        <is>
          <t>South</t>
        </is>
      </c>
      <c r="F1374" t="inlineStr">
        <is>
          <t>Organic Search</t>
        </is>
      </c>
      <c r="G1374" t="inlineStr">
        <is>
          <t>Mobile App</t>
        </is>
      </c>
      <c r="H1374" t="inlineStr">
        <is>
          <t>Cash on Delivery</t>
        </is>
      </c>
      <c r="I1374" t="inlineStr">
        <is>
          <t>Delivered</t>
        </is>
      </c>
      <c r="J1374" t="n">
        <v>122</v>
      </c>
      <c r="K1374" t="n">
        <v>1</v>
      </c>
      <c r="L1374" s="7" t="n">
        <v>1994</v>
      </c>
      <c r="M1374" s="7" t="n">
        <v>299.1</v>
      </c>
    </row>
    <row r="1375">
      <c r="A1375" t="n">
        <v>510029</v>
      </c>
      <c r="B1375" s="6" t="n">
        <v>45947</v>
      </c>
      <c r="C1375" t="n">
        <v>16834</v>
      </c>
      <c r="D1375" t="inlineStr">
        <is>
          <t>Hyderabad</t>
        </is>
      </c>
      <c r="E1375" t="inlineStr">
        <is>
          <t>South</t>
        </is>
      </c>
      <c r="F1375" t="inlineStr">
        <is>
          <t>Organic Search</t>
        </is>
      </c>
      <c r="G1375" t="inlineStr">
        <is>
          <t>Mobile App</t>
        </is>
      </c>
      <c r="H1375" t="inlineStr">
        <is>
          <t>Cash on Delivery</t>
        </is>
      </c>
      <c r="I1375" t="inlineStr">
        <is>
          <t>Delivered</t>
        </is>
      </c>
      <c r="J1375" t="n">
        <v>138</v>
      </c>
      <c r="K1375" t="n">
        <v>1</v>
      </c>
      <c r="L1375" s="7" t="n">
        <v>419</v>
      </c>
      <c r="M1375" s="7" t="n">
        <v>62.85</v>
      </c>
    </row>
    <row r="1376">
      <c r="A1376" t="n">
        <v>510030</v>
      </c>
      <c r="B1376" s="6" t="n">
        <v>45947</v>
      </c>
      <c r="C1376" t="n">
        <v>13315</v>
      </c>
      <c r="D1376" t="inlineStr">
        <is>
          <t>Hyderabad</t>
        </is>
      </c>
      <c r="E1376" t="inlineStr">
        <is>
          <t>South</t>
        </is>
      </c>
      <c r="F1376" t="inlineStr">
        <is>
          <t>Organic Search</t>
        </is>
      </c>
      <c r="G1376" t="inlineStr">
        <is>
          <t>Mobile App</t>
        </is>
      </c>
      <c r="H1376" t="inlineStr">
        <is>
          <t>Credit Card</t>
        </is>
      </c>
      <c r="I1376" t="inlineStr">
        <is>
          <t>Delivered</t>
        </is>
      </c>
      <c r="J1376" t="n">
        <v>112</v>
      </c>
      <c r="K1376" t="n">
        <v>1</v>
      </c>
      <c r="L1376" s="7" t="n">
        <v>1574</v>
      </c>
      <c r="M1376" s="7" t="n">
        <v>157.4</v>
      </c>
    </row>
    <row r="1377">
      <c r="A1377" t="n">
        <v>510030</v>
      </c>
      <c r="B1377" s="6" t="n">
        <v>45947</v>
      </c>
      <c r="C1377" t="n">
        <v>13315</v>
      </c>
      <c r="D1377" t="inlineStr">
        <is>
          <t>Hyderabad</t>
        </is>
      </c>
      <c r="E1377" t="inlineStr">
        <is>
          <t>South</t>
        </is>
      </c>
      <c r="F1377" t="inlineStr">
        <is>
          <t>Organic Search</t>
        </is>
      </c>
      <c r="G1377" t="inlineStr">
        <is>
          <t>Mobile App</t>
        </is>
      </c>
      <c r="H1377" t="inlineStr">
        <is>
          <t>Credit Card</t>
        </is>
      </c>
      <c r="I1377" t="inlineStr">
        <is>
          <t>Delivered</t>
        </is>
      </c>
      <c r="J1377" t="n">
        <v>128</v>
      </c>
      <c r="K1377" t="n">
        <v>1</v>
      </c>
      <c r="L1377" s="7" t="n">
        <v>1049</v>
      </c>
      <c r="M1377" s="7" t="n">
        <v>104.9</v>
      </c>
    </row>
    <row r="1378">
      <c r="A1378" t="n">
        <v>510030</v>
      </c>
      <c r="B1378" s="6" t="n">
        <v>45947</v>
      </c>
      <c r="C1378" t="n">
        <v>13315</v>
      </c>
      <c r="D1378" t="inlineStr">
        <is>
          <t>Hyderabad</t>
        </is>
      </c>
      <c r="E1378" t="inlineStr">
        <is>
          <t>South</t>
        </is>
      </c>
      <c r="F1378" t="inlineStr">
        <is>
          <t>Organic Search</t>
        </is>
      </c>
      <c r="G1378" t="inlineStr">
        <is>
          <t>Mobile App</t>
        </is>
      </c>
      <c r="H1378" t="inlineStr">
        <is>
          <t>Credit Card</t>
        </is>
      </c>
      <c r="I1378" t="inlineStr">
        <is>
          <t>Delivered</t>
        </is>
      </c>
      <c r="J1378" t="n">
        <v>126</v>
      </c>
      <c r="K1378" t="n">
        <v>1</v>
      </c>
      <c r="L1378" s="7" t="n">
        <v>471</v>
      </c>
      <c r="M1378" s="7" t="n">
        <v>47.1</v>
      </c>
    </row>
    <row r="1379">
      <c r="A1379" t="n">
        <v>510031</v>
      </c>
      <c r="B1379" s="6" t="n">
        <v>45947</v>
      </c>
      <c r="C1379" t="n">
        <v>14189</v>
      </c>
      <c r="D1379" t="inlineStr">
        <is>
          <t>Pune</t>
        </is>
      </c>
      <c r="E1379" t="inlineStr">
        <is>
          <t>West</t>
        </is>
      </c>
      <c r="F1379" t="inlineStr">
        <is>
          <t>Referral</t>
        </is>
      </c>
      <c r="G1379" t="inlineStr">
        <is>
          <t>Desktop</t>
        </is>
      </c>
      <c r="H1379" t="inlineStr">
        <is>
          <t>UPI</t>
        </is>
      </c>
      <c r="I1379" t="inlineStr">
        <is>
          <t>Delivered</t>
        </is>
      </c>
      <c r="J1379" t="n">
        <v>127</v>
      </c>
      <c r="K1379" t="n">
        <v>2</v>
      </c>
      <c r="L1379" s="7" t="n">
        <v>681</v>
      </c>
      <c r="M1379" s="7" t="n">
        <v>136.2</v>
      </c>
    </row>
    <row r="1380">
      <c r="A1380" t="n">
        <v>510031</v>
      </c>
      <c r="B1380" s="6" t="n">
        <v>45947</v>
      </c>
      <c r="C1380" t="n">
        <v>14189</v>
      </c>
      <c r="D1380" t="inlineStr">
        <is>
          <t>Pune</t>
        </is>
      </c>
      <c r="E1380" t="inlineStr">
        <is>
          <t>West</t>
        </is>
      </c>
      <c r="F1380" t="inlineStr">
        <is>
          <t>Referral</t>
        </is>
      </c>
      <c r="G1380" t="inlineStr">
        <is>
          <t>Desktop</t>
        </is>
      </c>
      <c r="H1380" t="inlineStr">
        <is>
          <t>UPI</t>
        </is>
      </c>
      <c r="I1380" t="inlineStr">
        <is>
          <t>Delivered</t>
        </is>
      </c>
      <c r="J1380" t="n">
        <v>118</v>
      </c>
      <c r="K1380" t="n">
        <v>1</v>
      </c>
      <c r="L1380" s="7" t="n">
        <v>944</v>
      </c>
      <c r="M1380" s="7" t="n">
        <v>94.40000000000001</v>
      </c>
    </row>
    <row r="1381">
      <c r="A1381" t="n">
        <v>510032</v>
      </c>
      <c r="B1381" s="6" t="n">
        <v>45947</v>
      </c>
      <c r="C1381" t="n">
        <v>13075</v>
      </c>
      <c r="D1381" t="inlineStr">
        <is>
          <t>Hyderabad</t>
        </is>
      </c>
      <c r="E1381" t="inlineStr">
        <is>
          <t>South</t>
        </is>
      </c>
      <c r="F1381" t="inlineStr">
        <is>
          <t>Organic Search</t>
        </is>
      </c>
      <c r="G1381" t="inlineStr">
        <is>
          <t>Desktop</t>
        </is>
      </c>
      <c r="H1381" t="inlineStr">
        <is>
          <t>Cash on Delivery</t>
        </is>
      </c>
      <c r="I1381" t="inlineStr">
        <is>
          <t>Delivered</t>
        </is>
      </c>
      <c r="J1381" t="n">
        <v>131</v>
      </c>
      <c r="K1381" t="n">
        <v>1</v>
      </c>
      <c r="L1381" s="7" t="n">
        <v>314</v>
      </c>
      <c r="M1381" s="7" t="n">
        <v>0</v>
      </c>
    </row>
    <row r="1382">
      <c r="A1382" t="n">
        <v>510032</v>
      </c>
      <c r="B1382" s="6" t="n">
        <v>45947</v>
      </c>
      <c r="C1382" t="n">
        <v>13075</v>
      </c>
      <c r="D1382" t="inlineStr">
        <is>
          <t>Hyderabad</t>
        </is>
      </c>
      <c r="E1382" t="inlineStr">
        <is>
          <t>South</t>
        </is>
      </c>
      <c r="F1382" t="inlineStr">
        <is>
          <t>Organic Search</t>
        </is>
      </c>
      <c r="G1382" t="inlineStr">
        <is>
          <t>Desktop</t>
        </is>
      </c>
      <c r="H1382" t="inlineStr">
        <is>
          <t>Cash on Delivery</t>
        </is>
      </c>
      <c r="I1382" t="inlineStr">
        <is>
          <t>Delivered</t>
        </is>
      </c>
      <c r="J1382" t="n">
        <v>139</v>
      </c>
      <c r="K1382" t="n">
        <v>1</v>
      </c>
      <c r="L1382" s="7" t="n">
        <v>366</v>
      </c>
      <c r="M1382" s="7" t="n">
        <v>0</v>
      </c>
    </row>
    <row r="1383">
      <c r="A1383" t="n">
        <v>510032</v>
      </c>
      <c r="B1383" s="6" t="n">
        <v>45947</v>
      </c>
      <c r="C1383" t="n">
        <v>13075</v>
      </c>
      <c r="D1383" t="inlineStr">
        <is>
          <t>Hyderabad</t>
        </is>
      </c>
      <c r="E1383" t="inlineStr">
        <is>
          <t>South</t>
        </is>
      </c>
      <c r="F1383" t="inlineStr">
        <is>
          <t>Organic Search</t>
        </is>
      </c>
      <c r="G1383" t="inlineStr">
        <is>
          <t>Desktop</t>
        </is>
      </c>
      <c r="H1383" t="inlineStr">
        <is>
          <t>Cash on Delivery</t>
        </is>
      </c>
      <c r="I1383" t="inlineStr">
        <is>
          <t>Delivered</t>
        </is>
      </c>
      <c r="J1383" t="n">
        <v>129</v>
      </c>
      <c r="K1383" t="n">
        <v>3</v>
      </c>
      <c r="L1383" s="7" t="n">
        <v>576</v>
      </c>
      <c r="M1383" s="7" t="n">
        <v>0</v>
      </c>
    </row>
    <row r="1384">
      <c r="A1384" t="n">
        <v>510033</v>
      </c>
      <c r="B1384" s="6" t="n">
        <v>45947</v>
      </c>
      <c r="C1384" t="n">
        <v>16873</v>
      </c>
      <c r="D1384" t="inlineStr">
        <is>
          <t>Kolkata</t>
        </is>
      </c>
      <c r="E1384" t="inlineStr">
        <is>
          <t>East</t>
        </is>
      </c>
      <c r="F1384" t="inlineStr">
        <is>
          <t>Organic Search</t>
        </is>
      </c>
      <c r="G1384" t="inlineStr">
        <is>
          <t>Mobile App</t>
        </is>
      </c>
      <c r="H1384" t="inlineStr">
        <is>
          <t>Cash on Delivery</t>
        </is>
      </c>
      <c r="I1384" t="inlineStr">
        <is>
          <t>Delivered</t>
        </is>
      </c>
      <c r="J1384" t="n">
        <v>131</v>
      </c>
      <c r="K1384" t="n">
        <v>1</v>
      </c>
      <c r="L1384" s="7" t="n">
        <v>314</v>
      </c>
      <c r="M1384" s="7" t="n">
        <v>0</v>
      </c>
    </row>
    <row r="1385">
      <c r="A1385" t="n">
        <v>510033</v>
      </c>
      <c r="B1385" s="6" t="n">
        <v>45947</v>
      </c>
      <c r="C1385" t="n">
        <v>16873</v>
      </c>
      <c r="D1385" t="inlineStr">
        <is>
          <t>Kolkata</t>
        </is>
      </c>
      <c r="E1385" t="inlineStr">
        <is>
          <t>East</t>
        </is>
      </c>
      <c r="F1385" t="inlineStr">
        <is>
          <t>Organic Search</t>
        </is>
      </c>
      <c r="G1385" t="inlineStr">
        <is>
          <t>Mobile App</t>
        </is>
      </c>
      <c r="H1385" t="inlineStr">
        <is>
          <t>Cash on Delivery</t>
        </is>
      </c>
      <c r="I1385" t="inlineStr">
        <is>
          <t>Delivered</t>
        </is>
      </c>
      <c r="J1385" t="n">
        <v>129</v>
      </c>
      <c r="K1385" t="n">
        <v>1</v>
      </c>
      <c r="L1385" s="7" t="n">
        <v>576</v>
      </c>
      <c r="M1385" s="7" t="n">
        <v>0</v>
      </c>
    </row>
    <row r="1386">
      <c r="A1386" t="n">
        <v>510034</v>
      </c>
      <c r="B1386" s="6" t="n">
        <v>45947</v>
      </c>
      <c r="C1386" t="n">
        <v>15560</v>
      </c>
      <c r="D1386" t="inlineStr">
        <is>
          <t>Delhi</t>
        </is>
      </c>
      <c r="E1386" t="inlineStr">
        <is>
          <t>North</t>
        </is>
      </c>
      <c r="F1386" t="inlineStr">
        <is>
          <t>Paid Search</t>
        </is>
      </c>
      <c r="G1386" t="inlineStr">
        <is>
          <t>Mobile App</t>
        </is>
      </c>
      <c r="H1386" t="inlineStr">
        <is>
          <t>UPI</t>
        </is>
      </c>
      <c r="I1386" t="inlineStr">
        <is>
          <t>Delivered</t>
        </is>
      </c>
      <c r="J1386" t="n">
        <v>123</v>
      </c>
      <c r="K1386" t="n">
        <v>1</v>
      </c>
      <c r="L1386" s="7" t="n">
        <v>3464</v>
      </c>
      <c r="M1386" s="7" t="n">
        <v>346.4</v>
      </c>
    </row>
    <row r="1387">
      <c r="A1387" t="n">
        <v>510035</v>
      </c>
      <c r="B1387" s="6" t="n">
        <v>45947</v>
      </c>
      <c r="C1387" t="n">
        <v>15567</v>
      </c>
      <c r="D1387" t="inlineStr">
        <is>
          <t>Gurugram</t>
        </is>
      </c>
      <c r="E1387" t="inlineStr">
        <is>
          <t>North</t>
        </is>
      </c>
      <c r="F1387" t="inlineStr">
        <is>
          <t>Email</t>
        </is>
      </c>
      <c r="G1387" t="inlineStr">
        <is>
          <t>Mobile App</t>
        </is>
      </c>
      <c r="H1387" t="inlineStr">
        <is>
          <t>UPI</t>
        </is>
      </c>
      <c r="I1387" t="inlineStr">
        <is>
          <t>Delivered</t>
        </is>
      </c>
      <c r="J1387" t="n">
        <v>118</v>
      </c>
      <c r="K1387" t="n">
        <v>1</v>
      </c>
      <c r="L1387" s="7" t="n">
        <v>944</v>
      </c>
      <c r="M1387" s="7" t="n">
        <v>94.40000000000001</v>
      </c>
    </row>
    <row r="1388">
      <c r="A1388" t="n">
        <v>510035</v>
      </c>
      <c r="B1388" s="6" t="n">
        <v>45947</v>
      </c>
      <c r="C1388" t="n">
        <v>15567</v>
      </c>
      <c r="D1388" t="inlineStr">
        <is>
          <t>Gurugram</t>
        </is>
      </c>
      <c r="E1388" t="inlineStr">
        <is>
          <t>North</t>
        </is>
      </c>
      <c r="F1388" t="inlineStr">
        <is>
          <t>Email</t>
        </is>
      </c>
      <c r="G1388" t="inlineStr">
        <is>
          <t>Mobile App</t>
        </is>
      </c>
      <c r="H1388" t="inlineStr">
        <is>
          <t>UPI</t>
        </is>
      </c>
      <c r="I1388" t="inlineStr">
        <is>
          <t>Delivered</t>
        </is>
      </c>
      <c r="J1388" t="n">
        <v>129</v>
      </c>
      <c r="K1388" t="n">
        <v>2</v>
      </c>
      <c r="L1388" s="7" t="n">
        <v>576</v>
      </c>
      <c r="M1388" s="7" t="n">
        <v>115.2</v>
      </c>
    </row>
    <row r="1389">
      <c r="A1389" t="n">
        <v>510036</v>
      </c>
      <c r="B1389" s="6" t="n">
        <v>45947</v>
      </c>
      <c r="C1389" t="n">
        <v>16853</v>
      </c>
      <c r="D1389" t="inlineStr">
        <is>
          <t>Bengaluru</t>
        </is>
      </c>
      <c r="E1389" t="inlineStr">
        <is>
          <t>South</t>
        </is>
      </c>
      <c r="F1389" t="inlineStr">
        <is>
          <t>Paid Social</t>
        </is>
      </c>
      <c r="G1389" t="inlineStr">
        <is>
          <t>Desktop</t>
        </is>
      </c>
      <c r="H1389" t="inlineStr">
        <is>
          <t>UPI</t>
        </is>
      </c>
      <c r="I1389" t="inlineStr">
        <is>
          <t>Delivered</t>
        </is>
      </c>
      <c r="J1389" t="n">
        <v>107</v>
      </c>
      <c r="K1389" t="n">
        <v>1</v>
      </c>
      <c r="L1389" s="7" t="n">
        <v>1259</v>
      </c>
      <c r="M1389" s="7" t="n">
        <v>125.9</v>
      </c>
    </row>
    <row r="1390">
      <c r="A1390" t="n">
        <v>510036</v>
      </c>
      <c r="B1390" s="6" t="n">
        <v>45947</v>
      </c>
      <c r="C1390" t="n">
        <v>16853</v>
      </c>
      <c r="D1390" t="inlineStr">
        <is>
          <t>Bengaluru</t>
        </is>
      </c>
      <c r="E1390" t="inlineStr">
        <is>
          <t>South</t>
        </is>
      </c>
      <c r="F1390" t="inlineStr">
        <is>
          <t>Paid Social</t>
        </is>
      </c>
      <c r="G1390" t="inlineStr">
        <is>
          <t>Desktop</t>
        </is>
      </c>
      <c r="H1390" t="inlineStr">
        <is>
          <t>UPI</t>
        </is>
      </c>
      <c r="I1390" t="inlineStr">
        <is>
          <t>Delivered</t>
        </is>
      </c>
      <c r="J1390" t="n">
        <v>116</v>
      </c>
      <c r="K1390" t="n">
        <v>1</v>
      </c>
      <c r="L1390" s="7" t="n">
        <v>2624</v>
      </c>
      <c r="M1390" s="7" t="n">
        <v>262.4</v>
      </c>
    </row>
    <row r="1391">
      <c r="A1391" t="n">
        <v>510036</v>
      </c>
      <c r="B1391" s="6" t="n">
        <v>45947</v>
      </c>
      <c r="C1391" t="n">
        <v>16853</v>
      </c>
      <c r="D1391" t="inlineStr">
        <is>
          <t>Bengaluru</t>
        </is>
      </c>
      <c r="E1391" t="inlineStr">
        <is>
          <t>South</t>
        </is>
      </c>
      <c r="F1391" t="inlineStr">
        <is>
          <t>Paid Social</t>
        </is>
      </c>
      <c r="G1391" t="inlineStr">
        <is>
          <t>Desktop</t>
        </is>
      </c>
      <c r="H1391" t="inlineStr">
        <is>
          <t>UPI</t>
        </is>
      </c>
      <c r="I1391" t="inlineStr">
        <is>
          <t>Delivered</t>
        </is>
      </c>
      <c r="J1391" t="n">
        <v>129</v>
      </c>
      <c r="K1391" t="n">
        <v>1</v>
      </c>
      <c r="L1391" s="7" t="n">
        <v>576</v>
      </c>
      <c r="M1391" s="7" t="n">
        <v>57.6</v>
      </c>
    </row>
    <row r="1392">
      <c r="A1392" t="n">
        <v>510037</v>
      </c>
      <c r="B1392" s="6" t="n">
        <v>45947</v>
      </c>
      <c r="C1392" t="n">
        <v>12915</v>
      </c>
      <c r="D1392" t="inlineStr">
        <is>
          <t>Pune</t>
        </is>
      </c>
      <c r="E1392" t="inlineStr">
        <is>
          <t>West</t>
        </is>
      </c>
      <c r="F1392" t="inlineStr">
        <is>
          <t>Affiliate</t>
        </is>
      </c>
      <c r="G1392" t="inlineStr">
        <is>
          <t>Mobile App</t>
        </is>
      </c>
      <c r="H1392" t="inlineStr">
        <is>
          <t>Credit Card</t>
        </is>
      </c>
      <c r="I1392" t="inlineStr">
        <is>
          <t>Delivered</t>
        </is>
      </c>
      <c r="J1392" t="n">
        <v>120</v>
      </c>
      <c r="K1392" t="n">
        <v>1</v>
      </c>
      <c r="L1392" s="7" t="n">
        <v>734</v>
      </c>
      <c r="M1392" s="7" t="n">
        <v>0</v>
      </c>
    </row>
    <row r="1393">
      <c r="A1393" t="n">
        <v>510038</v>
      </c>
      <c r="B1393" s="6" t="n">
        <v>45947</v>
      </c>
      <c r="C1393" t="n">
        <v>14448</v>
      </c>
      <c r="D1393" t="inlineStr">
        <is>
          <t>Kolkata</t>
        </is>
      </c>
      <c r="E1393" t="inlineStr">
        <is>
          <t>East</t>
        </is>
      </c>
      <c r="F1393" t="inlineStr">
        <is>
          <t>Paid Search</t>
        </is>
      </c>
      <c r="G1393" t="inlineStr">
        <is>
          <t>Desktop</t>
        </is>
      </c>
      <c r="H1393" t="inlineStr">
        <is>
          <t>Cash on Delivery</t>
        </is>
      </c>
      <c r="I1393" t="inlineStr">
        <is>
          <t>Cancelled</t>
        </is>
      </c>
      <c r="J1393" t="n">
        <v>118</v>
      </c>
      <c r="K1393" t="n">
        <v>1</v>
      </c>
      <c r="L1393" s="7" t="n">
        <v>944</v>
      </c>
      <c r="M1393" s="7" t="n">
        <v>0</v>
      </c>
    </row>
    <row r="1394">
      <c r="A1394" t="n">
        <v>510039</v>
      </c>
      <c r="B1394" s="6" t="n">
        <v>45947</v>
      </c>
      <c r="C1394" t="n">
        <v>16678</v>
      </c>
      <c r="D1394" t="inlineStr">
        <is>
          <t>Chandigarh</t>
        </is>
      </c>
      <c r="E1394" t="inlineStr">
        <is>
          <t>North</t>
        </is>
      </c>
      <c r="F1394" t="inlineStr">
        <is>
          <t>Paid Social</t>
        </is>
      </c>
      <c r="G1394" t="inlineStr">
        <is>
          <t>Desktop</t>
        </is>
      </c>
      <c r="H1394" t="inlineStr">
        <is>
          <t>Credit Card</t>
        </is>
      </c>
      <c r="I1394" t="inlineStr">
        <is>
          <t>Delivered</t>
        </is>
      </c>
      <c r="J1394" t="n">
        <v>134</v>
      </c>
      <c r="K1394" t="n">
        <v>1</v>
      </c>
      <c r="L1394" s="7" t="n">
        <v>209</v>
      </c>
      <c r="M1394" s="7" t="n">
        <v>31.35</v>
      </c>
    </row>
    <row r="1395">
      <c r="A1395" t="n">
        <v>510039</v>
      </c>
      <c r="B1395" s="6" t="n">
        <v>45947</v>
      </c>
      <c r="C1395" t="n">
        <v>16678</v>
      </c>
      <c r="D1395" t="inlineStr">
        <is>
          <t>Chandigarh</t>
        </is>
      </c>
      <c r="E1395" t="inlineStr">
        <is>
          <t>North</t>
        </is>
      </c>
      <c r="F1395" t="inlineStr">
        <is>
          <t>Paid Social</t>
        </is>
      </c>
      <c r="G1395" t="inlineStr">
        <is>
          <t>Desktop</t>
        </is>
      </c>
      <c r="H1395" t="inlineStr">
        <is>
          <t>Credit Card</t>
        </is>
      </c>
      <c r="I1395" t="inlineStr">
        <is>
          <t>Delivered</t>
        </is>
      </c>
      <c r="J1395" t="n">
        <v>124</v>
      </c>
      <c r="K1395" t="n">
        <v>2</v>
      </c>
      <c r="L1395" s="7" t="n">
        <v>1154</v>
      </c>
      <c r="M1395" s="7" t="n">
        <v>346.2</v>
      </c>
    </row>
    <row r="1396">
      <c r="A1396" t="n">
        <v>510039</v>
      </c>
      <c r="B1396" s="6" t="n">
        <v>45947</v>
      </c>
      <c r="C1396" t="n">
        <v>16678</v>
      </c>
      <c r="D1396" t="inlineStr">
        <is>
          <t>Chandigarh</t>
        </is>
      </c>
      <c r="E1396" t="inlineStr">
        <is>
          <t>North</t>
        </is>
      </c>
      <c r="F1396" t="inlineStr">
        <is>
          <t>Paid Social</t>
        </is>
      </c>
      <c r="G1396" t="inlineStr">
        <is>
          <t>Desktop</t>
        </is>
      </c>
      <c r="H1396" t="inlineStr">
        <is>
          <t>Credit Card</t>
        </is>
      </c>
      <c r="I1396" t="inlineStr">
        <is>
          <t>Delivered</t>
        </is>
      </c>
      <c r="J1396" t="n">
        <v>116</v>
      </c>
      <c r="K1396" t="n">
        <v>1</v>
      </c>
      <c r="L1396" s="7" t="n">
        <v>2624</v>
      </c>
      <c r="M1396" s="7" t="n">
        <v>393.6</v>
      </c>
    </row>
    <row r="1397">
      <c r="A1397" t="n">
        <v>510040</v>
      </c>
      <c r="B1397" s="6" t="n">
        <v>45947</v>
      </c>
      <c r="C1397" t="n">
        <v>16716</v>
      </c>
      <c r="D1397" t="inlineStr">
        <is>
          <t>Ahmedabad</t>
        </is>
      </c>
      <c r="E1397" t="inlineStr">
        <is>
          <t>West</t>
        </is>
      </c>
      <c r="F1397" t="inlineStr">
        <is>
          <t>Paid Search</t>
        </is>
      </c>
      <c r="G1397" t="inlineStr">
        <is>
          <t>Mobile App</t>
        </is>
      </c>
      <c r="H1397" t="inlineStr">
        <is>
          <t>Debit Card</t>
        </is>
      </c>
      <c r="I1397" t="inlineStr">
        <is>
          <t>Delivered</t>
        </is>
      </c>
      <c r="J1397" t="n">
        <v>130</v>
      </c>
      <c r="K1397" t="n">
        <v>1</v>
      </c>
      <c r="L1397" s="7" t="n">
        <v>734</v>
      </c>
      <c r="M1397" s="7" t="n">
        <v>0</v>
      </c>
    </row>
    <row r="1398">
      <c r="A1398" t="n">
        <v>510041</v>
      </c>
      <c r="B1398" s="6" t="n">
        <v>45947</v>
      </c>
      <c r="C1398" t="n">
        <v>11670</v>
      </c>
      <c r="D1398" t="inlineStr">
        <is>
          <t>Indore</t>
        </is>
      </c>
      <c r="E1398" t="inlineStr">
        <is>
          <t>West</t>
        </is>
      </c>
      <c r="F1398" t="inlineStr">
        <is>
          <t>Organic Search</t>
        </is>
      </c>
      <c r="G1398" t="inlineStr">
        <is>
          <t>Mobile App</t>
        </is>
      </c>
      <c r="H1398" t="inlineStr">
        <is>
          <t>UPI</t>
        </is>
      </c>
      <c r="I1398" t="inlineStr">
        <is>
          <t>Delivered</t>
        </is>
      </c>
      <c r="J1398" t="n">
        <v>110</v>
      </c>
      <c r="K1398" t="n">
        <v>1</v>
      </c>
      <c r="L1398" s="7" t="n">
        <v>839</v>
      </c>
      <c r="M1398" s="7" t="n">
        <v>0</v>
      </c>
    </row>
    <row r="1399">
      <c r="A1399" t="n">
        <v>510041</v>
      </c>
      <c r="B1399" s="6" t="n">
        <v>45947</v>
      </c>
      <c r="C1399" t="n">
        <v>11670</v>
      </c>
      <c r="D1399" t="inlineStr">
        <is>
          <t>Indore</t>
        </is>
      </c>
      <c r="E1399" t="inlineStr">
        <is>
          <t>West</t>
        </is>
      </c>
      <c r="F1399" t="inlineStr">
        <is>
          <t>Organic Search</t>
        </is>
      </c>
      <c r="G1399" t="inlineStr">
        <is>
          <t>Mobile App</t>
        </is>
      </c>
      <c r="H1399" t="inlineStr">
        <is>
          <t>UPI</t>
        </is>
      </c>
      <c r="I1399" t="inlineStr">
        <is>
          <t>Delivered</t>
        </is>
      </c>
      <c r="J1399" t="n">
        <v>129</v>
      </c>
      <c r="K1399" t="n">
        <v>1</v>
      </c>
      <c r="L1399" s="7" t="n">
        <v>576</v>
      </c>
      <c r="M1399" s="7" t="n">
        <v>0</v>
      </c>
    </row>
    <row r="1400">
      <c r="A1400" t="n">
        <v>510042</v>
      </c>
      <c r="B1400" s="6" t="n">
        <v>45947</v>
      </c>
      <c r="C1400" t="n">
        <v>16882</v>
      </c>
      <c r="D1400" t="inlineStr">
        <is>
          <t>Gurugram</t>
        </is>
      </c>
      <c r="E1400" t="inlineStr">
        <is>
          <t>North</t>
        </is>
      </c>
      <c r="F1400" t="inlineStr">
        <is>
          <t>Referral</t>
        </is>
      </c>
      <c r="G1400" t="inlineStr">
        <is>
          <t>Mobile App</t>
        </is>
      </c>
      <c r="H1400" t="inlineStr">
        <is>
          <t>UPI</t>
        </is>
      </c>
      <c r="I1400" t="inlineStr">
        <is>
          <t>Delivered</t>
        </is>
      </c>
      <c r="J1400" t="n">
        <v>117</v>
      </c>
      <c r="K1400" t="n">
        <v>1</v>
      </c>
      <c r="L1400" s="7" t="n">
        <v>3149</v>
      </c>
      <c r="M1400" s="7" t="n">
        <v>0</v>
      </c>
    </row>
    <row r="1401">
      <c r="A1401" t="n">
        <v>510042</v>
      </c>
      <c r="B1401" s="6" t="n">
        <v>45947</v>
      </c>
      <c r="C1401" t="n">
        <v>16882</v>
      </c>
      <c r="D1401" t="inlineStr">
        <is>
          <t>Gurugram</t>
        </is>
      </c>
      <c r="E1401" t="inlineStr">
        <is>
          <t>North</t>
        </is>
      </c>
      <c r="F1401" t="inlineStr">
        <is>
          <t>Referral</t>
        </is>
      </c>
      <c r="G1401" t="inlineStr">
        <is>
          <t>Mobile App</t>
        </is>
      </c>
      <c r="H1401" t="inlineStr">
        <is>
          <t>UPI</t>
        </is>
      </c>
      <c r="I1401" t="inlineStr">
        <is>
          <t>Delivered</t>
        </is>
      </c>
      <c r="J1401" t="n">
        <v>129</v>
      </c>
      <c r="K1401" t="n">
        <v>2</v>
      </c>
      <c r="L1401" s="7" t="n">
        <v>576</v>
      </c>
      <c r="M1401" s="7" t="n">
        <v>0</v>
      </c>
    </row>
    <row r="1402">
      <c r="A1402" t="n">
        <v>510043</v>
      </c>
      <c r="B1402" s="6" t="n">
        <v>45947</v>
      </c>
      <c r="C1402" t="n">
        <v>13736</v>
      </c>
      <c r="D1402" t="inlineStr">
        <is>
          <t>Hyderabad</t>
        </is>
      </c>
      <c r="E1402" t="inlineStr">
        <is>
          <t>South</t>
        </is>
      </c>
      <c r="F1402" t="inlineStr">
        <is>
          <t>Referral</t>
        </is>
      </c>
      <c r="G1402" t="inlineStr">
        <is>
          <t>Mobile App</t>
        </is>
      </c>
      <c r="H1402" t="inlineStr">
        <is>
          <t>Credit Card</t>
        </is>
      </c>
      <c r="I1402" t="inlineStr">
        <is>
          <t>Delivered</t>
        </is>
      </c>
      <c r="J1402" t="n">
        <v>107</v>
      </c>
      <c r="K1402" t="n">
        <v>1</v>
      </c>
      <c r="L1402" s="7" t="n">
        <v>1259</v>
      </c>
      <c r="M1402" s="7" t="n">
        <v>125.9</v>
      </c>
    </row>
    <row r="1403">
      <c r="A1403" t="n">
        <v>510043</v>
      </c>
      <c r="B1403" s="6" t="n">
        <v>45947</v>
      </c>
      <c r="C1403" t="n">
        <v>13736</v>
      </c>
      <c r="D1403" t="inlineStr">
        <is>
          <t>Hyderabad</t>
        </is>
      </c>
      <c r="E1403" t="inlineStr">
        <is>
          <t>South</t>
        </is>
      </c>
      <c r="F1403" t="inlineStr">
        <is>
          <t>Referral</t>
        </is>
      </c>
      <c r="G1403" t="inlineStr">
        <is>
          <t>Mobile App</t>
        </is>
      </c>
      <c r="H1403" t="inlineStr">
        <is>
          <t>Credit Card</t>
        </is>
      </c>
      <c r="I1403" t="inlineStr">
        <is>
          <t>Delivered</t>
        </is>
      </c>
      <c r="J1403" t="n">
        <v>118</v>
      </c>
      <c r="K1403" t="n">
        <v>1</v>
      </c>
      <c r="L1403" s="7" t="n">
        <v>944</v>
      </c>
      <c r="M1403" s="7" t="n">
        <v>94.40000000000001</v>
      </c>
    </row>
    <row r="1404">
      <c r="A1404" t="n">
        <v>510043</v>
      </c>
      <c r="B1404" s="6" t="n">
        <v>45947</v>
      </c>
      <c r="C1404" t="n">
        <v>13736</v>
      </c>
      <c r="D1404" t="inlineStr">
        <is>
          <t>Hyderabad</t>
        </is>
      </c>
      <c r="E1404" t="inlineStr">
        <is>
          <t>South</t>
        </is>
      </c>
      <c r="F1404" t="inlineStr">
        <is>
          <t>Referral</t>
        </is>
      </c>
      <c r="G1404" t="inlineStr">
        <is>
          <t>Mobile App</t>
        </is>
      </c>
      <c r="H1404" t="inlineStr">
        <is>
          <t>Credit Card</t>
        </is>
      </c>
      <c r="I1404" t="inlineStr">
        <is>
          <t>Delivered</t>
        </is>
      </c>
      <c r="J1404" t="n">
        <v>129</v>
      </c>
      <c r="K1404" t="n">
        <v>1</v>
      </c>
      <c r="L1404" s="7" t="n">
        <v>576</v>
      </c>
      <c r="M1404" s="7" t="n">
        <v>57.6</v>
      </c>
    </row>
    <row r="1405">
      <c r="A1405" t="n">
        <v>510044</v>
      </c>
      <c r="B1405" s="6" t="n">
        <v>45947</v>
      </c>
      <c r="C1405" t="n">
        <v>12465</v>
      </c>
      <c r="D1405" t="inlineStr">
        <is>
          <t>Lucknow</t>
        </is>
      </c>
      <c r="E1405" t="inlineStr">
        <is>
          <t>North</t>
        </is>
      </c>
      <c r="F1405" t="inlineStr">
        <is>
          <t>Paid Search</t>
        </is>
      </c>
      <c r="G1405" t="inlineStr">
        <is>
          <t>Mobile App</t>
        </is>
      </c>
      <c r="H1405" t="inlineStr">
        <is>
          <t>UPI</t>
        </is>
      </c>
      <c r="I1405" t="inlineStr">
        <is>
          <t>Delivered</t>
        </is>
      </c>
      <c r="J1405" t="n">
        <v>134</v>
      </c>
      <c r="K1405" t="n">
        <v>1</v>
      </c>
      <c r="L1405" s="7" t="n">
        <v>209</v>
      </c>
      <c r="M1405" s="7" t="n">
        <v>0</v>
      </c>
    </row>
    <row r="1406">
      <c r="A1406" t="n">
        <v>510044</v>
      </c>
      <c r="B1406" s="6" t="n">
        <v>45947</v>
      </c>
      <c r="C1406" t="n">
        <v>12465</v>
      </c>
      <c r="D1406" t="inlineStr">
        <is>
          <t>Lucknow</t>
        </is>
      </c>
      <c r="E1406" t="inlineStr">
        <is>
          <t>North</t>
        </is>
      </c>
      <c r="F1406" t="inlineStr">
        <is>
          <t>Paid Search</t>
        </is>
      </c>
      <c r="G1406" t="inlineStr">
        <is>
          <t>Mobile App</t>
        </is>
      </c>
      <c r="H1406" t="inlineStr">
        <is>
          <t>UPI</t>
        </is>
      </c>
      <c r="I1406" t="inlineStr">
        <is>
          <t>Delivered</t>
        </is>
      </c>
      <c r="J1406" t="n">
        <v>140</v>
      </c>
      <c r="K1406" t="n">
        <v>1</v>
      </c>
      <c r="L1406" s="7" t="n">
        <v>629</v>
      </c>
      <c r="M1406" s="7" t="n">
        <v>0</v>
      </c>
    </row>
    <row r="1407">
      <c r="A1407" t="n">
        <v>510044</v>
      </c>
      <c r="B1407" s="6" t="n">
        <v>45947</v>
      </c>
      <c r="C1407" t="n">
        <v>12465</v>
      </c>
      <c r="D1407" t="inlineStr">
        <is>
          <t>Lucknow</t>
        </is>
      </c>
      <c r="E1407" t="inlineStr">
        <is>
          <t>North</t>
        </is>
      </c>
      <c r="F1407" t="inlineStr">
        <is>
          <t>Paid Search</t>
        </is>
      </c>
      <c r="G1407" t="inlineStr">
        <is>
          <t>Mobile App</t>
        </is>
      </c>
      <c r="H1407" t="inlineStr">
        <is>
          <t>UPI</t>
        </is>
      </c>
      <c r="I1407" t="inlineStr">
        <is>
          <t>Delivered</t>
        </is>
      </c>
      <c r="J1407" t="n">
        <v>113</v>
      </c>
      <c r="K1407" t="n">
        <v>1</v>
      </c>
      <c r="L1407" s="7" t="n">
        <v>1364</v>
      </c>
      <c r="M1407" s="7" t="n">
        <v>0</v>
      </c>
    </row>
    <row r="1408">
      <c r="A1408" t="n">
        <v>510044</v>
      </c>
      <c r="B1408" s="6" t="n">
        <v>45947</v>
      </c>
      <c r="C1408" t="n">
        <v>12465</v>
      </c>
      <c r="D1408" t="inlineStr">
        <is>
          <t>Lucknow</t>
        </is>
      </c>
      <c r="E1408" t="inlineStr">
        <is>
          <t>North</t>
        </is>
      </c>
      <c r="F1408" t="inlineStr">
        <is>
          <t>Paid Search</t>
        </is>
      </c>
      <c r="G1408" t="inlineStr">
        <is>
          <t>Mobile App</t>
        </is>
      </c>
      <c r="H1408" t="inlineStr">
        <is>
          <t>UPI</t>
        </is>
      </c>
      <c r="I1408" t="inlineStr">
        <is>
          <t>Delivered</t>
        </is>
      </c>
      <c r="J1408" t="n">
        <v>129</v>
      </c>
      <c r="K1408" t="n">
        <v>1</v>
      </c>
      <c r="L1408" s="7" t="n">
        <v>576</v>
      </c>
      <c r="M1408" s="7" t="n">
        <v>0</v>
      </c>
    </row>
    <row r="1409">
      <c r="A1409" t="n">
        <v>510045</v>
      </c>
      <c r="B1409" s="6" t="n">
        <v>45947</v>
      </c>
      <c r="C1409" t="n">
        <v>16849</v>
      </c>
      <c r="D1409" t="inlineStr">
        <is>
          <t>Delhi</t>
        </is>
      </c>
      <c r="E1409" t="inlineStr">
        <is>
          <t>North</t>
        </is>
      </c>
      <c r="F1409" t="inlineStr">
        <is>
          <t>Paid Search</t>
        </is>
      </c>
      <c r="G1409" t="inlineStr">
        <is>
          <t>Mobile App</t>
        </is>
      </c>
      <c r="H1409" t="inlineStr">
        <is>
          <t>UPI</t>
        </is>
      </c>
      <c r="I1409" t="inlineStr">
        <is>
          <t>Delivered</t>
        </is>
      </c>
      <c r="J1409" t="n">
        <v>114</v>
      </c>
      <c r="K1409" t="n">
        <v>3</v>
      </c>
      <c r="L1409" s="7" t="n">
        <v>1259</v>
      </c>
      <c r="M1409" s="7" t="n">
        <v>0</v>
      </c>
    </row>
    <row r="1410">
      <c r="A1410" t="n">
        <v>510045</v>
      </c>
      <c r="B1410" s="6" t="n">
        <v>45947</v>
      </c>
      <c r="C1410" t="n">
        <v>16849</v>
      </c>
      <c r="D1410" t="inlineStr">
        <is>
          <t>Delhi</t>
        </is>
      </c>
      <c r="E1410" t="inlineStr">
        <is>
          <t>North</t>
        </is>
      </c>
      <c r="F1410" t="inlineStr">
        <is>
          <t>Paid Search</t>
        </is>
      </c>
      <c r="G1410" t="inlineStr">
        <is>
          <t>Mobile App</t>
        </is>
      </c>
      <c r="H1410" t="inlineStr">
        <is>
          <t>UPI</t>
        </is>
      </c>
      <c r="I1410" t="inlineStr">
        <is>
          <t>Delivered</t>
        </is>
      </c>
      <c r="J1410" t="n">
        <v>101</v>
      </c>
      <c r="K1410" t="n">
        <v>2</v>
      </c>
      <c r="L1410" s="7" t="n">
        <v>2099</v>
      </c>
      <c r="M1410" s="7" t="n">
        <v>0</v>
      </c>
    </row>
    <row r="1411">
      <c r="A1411" t="n">
        <v>510045</v>
      </c>
      <c r="B1411" s="6" t="n">
        <v>45947</v>
      </c>
      <c r="C1411" t="n">
        <v>16849</v>
      </c>
      <c r="D1411" t="inlineStr">
        <is>
          <t>Delhi</t>
        </is>
      </c>
      <c r="E1411" t="inlineStr">
        <is>
          <t>North</t>
        </is>
      </c>
      <c r="F1411" t="inlineStr">
        <is>
          <t>Paid Search</t>
        </is>
      </c>
      <c r="G1411" t="inlineStr">
        <is>
          <t>Mobile App</t>
        </is>
      </c>
      <c r="H1411" t="inlineStr">
        <is>
          <t>UPI</t>
        </is>
      </c>
      <c r="I1411" t="inlineStr">
        <is>
          <t>Delivered</t>
        </is>
      </c>
      <c r="J1411" t="n">
        <v>129</v>
      </c>
      <c r="K1411" t="n">
        <v>1</v>
      </c>
      <c r="L1411" s="7" t="n">
        <v>576</v>
      </c>
      <c r="M1411" s="7" t="n">
        <v>0</v>
      </c>
    </row>
    <row r="1412">
      <c r="A1412" t="n">
        <v>510046</v>
      </c>
      <c r="B1412" s="6" t="n">
        <v>45947</v>
      </c>
      <c r="C1412" t="n">
        <v>11639</v>
      </c>
      <c r="D1412" t="inlineStr">
        <is>
          <t>Bengaluru</t>
        </is>
      </c>
      <c r="E1412" t="inlineStr">
        <is>
          <t>South</t>
        </is>
      </c>
      <c r="F1412" t="inlineStr">
        <is>
          <t>Email</t>
        </is>
      </c>
      <c r="G1412" t="inlineStr">
        <is>
          <t>Mobile Web</t>
        </is>
      </c>
      <c r="H1412" t="inlineStr">
        <is>
          <t>Cash on Delivery</t>
        </is>
      </c>
      <c r="I1412" t="inlineStr">
        <is>
          <t>Delivered</t>
        </is>
      </c>
      <c r="J1412" t="n">
        <v>109</v>
      </c>
      <c r="K1412" t="n">
        <v>1</v>
      </c>
      <c r="L1412" s="7" t="n">
        <v>4199</v>
      </c>
      <c r="M1412" s="7" t="n">
        <v>0</v>
      </c>
    </row>
    <row r="1413">
      <c r="A1413" t="n">
        <v>510047</v>
      </c>
      <c r="B1413" s="6" t="n">
        <v>45947</v>
      </c>
      <c r="C1413" t="n">
        <v>16612</v>
      </c>
      <c r="D1413" t="inlineStr">
        <is>
          <t>Mumbai</t>
        </is>
      </c>
      <c r="E1413" t="inlineStr">
        <is>
          <t>West</t>
        </is>
      </c>
      <c r="F1413" t="inlineStr">
        <is>
          <t>Referral</t>
        </is>
      </c>
      <c r="G1413" t="inlineStr">
        <is>
          <t>Mobile App</t>
        </is>
      </c>
      <c r="H1413" t="inlineStr">
        <is>
          <t>Cash on Delivery</t>
        </is>
      </c>
      <c r="I1413" t="inlineStr">
        <is>
          <t>Delivered</t>
        </is>
      </c>
      <c r="J1413" t="n">
        <v>108</v>
      </c>
      <c r="K1413" t="n">
        <v>2</v>
      </c>
      <c r="L1413" s="7" t="n">
        <v>419</v>
      </c>
      <c r="M1413" s="7" t="n">
        <v>83.8</v>
      </c>
    </row>
    <row r="1414">
      <c r="A1414" t="n">
        <v>510047</v>
      </c>
      <c r="B1414" s="6" t="n">
        <v>45947</v>
      </c>
      <c r="C1414" t="n">
        <v>16612</v>
      </c>
      <c r="D1414" t="inlineStr">
        <is>
          <t>Mumbai</t>
        </is>
      </c>
      <c r="E1414" t="inlineStr">
        <is>
          <t>West</t>
        </is>
      </c>
      <c r="F1414" t="inlineStr">
        <is>
          <t>Referral</t>
        </is>
      </c>
      <c r="G1414" t="inlineStr">
        <is>
          <t>Mobile App</t>
        </is>
      </c>
      <c r="H1414" t="inlineStr">
        <is>
          <t>Cash on Delivery</t>
        </is>
      </c>
      <c r="I1414" t="inlineStr">
        <is>
          <t>Delivered</t>
        </is>
      </c>
      <c r="J1414" t="n">
        <v>118</v>
      </c>
      <c r="K1414" t="n">
        <v>1</v>
      </c>
      <c r="L1414" s="7" t="n">
        <v>944</v>
      </c>
      <c r="M1414" s="7" t="n">
        <v>94.40000000000001</v>
      </c>
    </row>
    <row r="1415">
      <c r="A1415" t="n">
        <v>510047</v>
      </c>
      <c r="B1415" s="6" t="n">
        <v>45947</v>
      </c>
      <c r="C1415" t="n">
        <v>16612</v>
      </c>
      <c r="D1415" t="inlineStr">
        <is>
          <t>Mumbai</t>
        </is>
      </c>
      <c r="E1415" t="inlineStr">
        <is>
          <t>West</t>
        </is>
      </c>
      <c r="F1415" t="inlineStr">
        <is>
          <t>Referral</t>
        </is>
      </c>
      <c r="G1415" t="inlineStr">
        <is>
          <t>Mobile App</t>
        </is>
      </c>
      <c r="H1415" t="inlineStr">
        <is>
          <t>Cash on Delivery</t>
        </is>
      </c>
      <c r="I1415" t="inlineStr">
        <is>
          <t>Delivered</t>
        </is>
      </c>
      <c r="J1415" t="n">
        <v>115</v>
      </c>
      <c r="K1415" t="n">
        <v>1</v>
      </c>
      <c r="L1415" s="7" t="n">
        <v>4199</v>
      </c>
      <c r="M1415" s="7" t="n">
        <v>419.9</v>
      </c>
    </row>
    <row r="1416">
      <c r="A1416" t="n">
        <v>510048</v>
      </c>
      <c r="B1416" s="6" t="n">
        <v>45947</v>
      </c>
      <c r="C1416" t="n">
        <v>16886</v>
      </c>
      <c r="D1416" t="inlineStr">
        <is>
          <t>Gurugram</t>
        </is>
      </c>
      <c r="E1416" t="inlineStr">
        <is>
          <t>North</t>
        </is>
      </c>
      <c r="F1416" t="inlineStr">
        <is>
          <t>Paid Search</t>
        </is>
      </c>
      <c r="G1416" t="inlineStr">
        <is>
          <t>Mobile Web</t>
        </is>
      </c>
      <c r="H1416" t="inlineStr">
        <is>
          <t>UPI</t>
        </is>
      </c>
      <c r="I1416" t="inlineStr">
        <is>
          <t>Delivered</t>
        </is>
      </c>
      <c r="J1416" t="n">
        <v>147</v>
      </c>
      <c r="K1416" t="n">
        <v>1</v>
      </c>
      <c r="L1416" s="7" t="n">
        <v>1364</v>
      </c>
      <c r="M1416" s="7" t="n">
        <v>204.6</v>
      </c>
    </row>
    <row r="1417">
      <c r="A1417" t="n">
        <v>510048</v>
      </c>
      <c r="B1417" s="6" t="n">
        <v>45947</v>
      </c>
      <c r="C1417" t="n">
        <v>16886</v>
      </c>
      <c r="D1417" t="inlineStr">
        <is>
          <t>Gurugram</t>
        </is>
      </c>
      <c r="E1417" t="inlineStr">
        <is>
          <t>North</t>
        </is>
      </c>
      <c r="F1417" t="inlineStr">
        <is>
          <t>Paid Search</t>
        </is>
      </c>
      <c r="G1417" t="inlineStr">
        <is>
          <t>Mobile Web</t>
        </is>
      </c>
      <c r="H1417" t="inlineStr">
        <is>
          <t>UPI</t>
        </is>
      </c>
      <c r="I1417" t="inlineStr">
        <is>
          <t>Delivered</t>
        </is>
      </c>
      <c r="J1417" t="n">
        <v>120</v>
      </c>
      <c r="K1417" t="n">
        <v>1</v>
      </c>
      <c r="L1417" s="7" t="n">
        <v>734</v>
      </c>
      <c r="M1417" s="7" t="n">
        <v>110.1</v>
      </c>
    </row>
    <row r="1418">
      <c r="A1418" t="n">
        <v>510048</v>
      </c>
      <c r="B1418" s="6" t="n">
        <v>45947</v>
      </c>
      <c r="C1418" t="n">
        <v>16886</v>
      </c>
      <c r="D1418" t="inlineStr">
        <is>
          <t>Gurugram</t>
        </is>
      </c>
      <c r="E1418" t="inlineStr">
        <is>
          <t>North</t>
        </is>
      </c>
      <c r="F1418" t="inlineStr">
        <is>
          <t>Paid Search</t>
        </is>
      </c>
      <c r="G1418" t="inlineStr">
        <is>
          <t>Mobile Web</t>
        </is>
      </c>
      <c r="H1418" t="inlineStr">
        <is>
          <t>UPI</t>
        </is>
      </c>
      <c r="I1418" t="inlineStr">
        <is>
          <t>Delivered</t>
        </is>
      </c>
      <c r="J1418" t="n">
        <v>129</v>
      </c>
      <c r="K1418" t="n">
        <v>1</v>
      </c>
      <c r="L1418" s="7" t="n">
        <v>576</v>
      </c>
      <c r="M1418" s="7" t="n">
        <v>86.40000000000001</v>
      </c>
    </row>
    <row r="1419">
      <c r="A1419" t="n">
        <v>510049</v>
      </c>
      <c r="B1419" s="6" t="n">
        <v>45947</v>
      </c>
      <c r="C1419" t="n">
        <v>16507</v>
      </c>
      <c r="D1419" t="inlineStr">
        <is>
          <t>Jaipur</t>
        </is>
      </c>
      <c r="E1419" t="inlineStr">
        <is>
          <t>North</t>
        </is>
      </c>
      <c r="F1419" t="inlineStr">
        <is>
          <t>Paid Social</t>
        </is>
      </c>
      <c r="G1419" t="inlineStr">
        <is>
          <t>Mobile App</t>
        </is>
      </c>
      <c r="H1419" t="inlineStr">
        <is>
          <t>UPI</t>
        </is>
      </c>
      <c r="I1419" t="inlineStr">
        <is>
          <t>Delivered</t>
        </is>
      </c>
      <c r="J1419" t="n">
        <v>116</v>
      </c>
      <c r="K1419" t="n">
        <v>1</v>
      </c>
      <c r="L1419" s="7" t="n">
        <v>2624</v>
      </c>
      <c r="M1419" s="7" t="n">
        <v>262.4</v>
      </c>
    </row>
    <row r="1420">
      <c r="A1420" t="n">
        <v>510049</v>
      </c>
      <c r="B1420" s="6" t="n">
        <v>45947</v>
      </c>
      <c r="C1420" t="n">
        <v>16507</v>
      </c>
      <c r="D1420" t="inlineStr">
        <is>
          <t>Jaipur</t>
        </is>
      </c>
      <c r="E1420" t="inlineStr">
        <is>
          <t>North</t>
        </is>
      </c>
      <c r="F1420" t="inlineStr">
        <is>
          <t>Paid Social</t>
        </is>
      </c>
      <c r="G1420" t="inlineStr">
        <is>
          <t>Mobile App</t>
        </is>
      </c>
      <c r="H1420" t="inlineStr">
        <is>
          <t>UPI</t>
        </is>
      </c>
      <c r="I1420" t="inlineStr">
        <is>
          <t>Delivered</t>
        </is>
      </c>
      <c r="J1420" t="n">
        <v>120</v>
      </c>
      <c r="K1420" t="n">
        <v>1</v>
      </c>
      <c r="L1420" s="7" t="n">
        <v>734</v>
      </c>
      <c r="M1420" s="7" t="n">
        <v>73.40000000000001</v>
      </c>
    </row>
    <row r="1421">
      <c r="A1421" t="n">
        <v>510050</v>
      </c>
      <c r="B1421" s="6" t="n">
        <v>45947</v>
      </c>
      <c r="C1421" t="n">
        <v>16035</v>
      </c>
      <c r="D1421" t="inlineStr">
        <is>
          <t>Delhi</t>
        </is>
      </c>
      <c r="E1421" t="inlineStr">
        <is>
          <t>North</t>
        </is>
      </c>
      <c r="F1421" t="inlineStr">
        <is>
          <t>Email</t>
        </is>
      </c>
      <c r="G1421" t="inlineStr">
        <is>
          <t>Desktop</t>
        </is>
      </c>
      <c r="H1421" t="inlineStr">
        <is>
          <t>UPI</t>
        </is>
      </c>
      <c r="I1421" t="inlineStr">
        <is>
          <t>Delivered</t>
        </is>
      </c>
      <c r="J1421" t="n">
        <v>109</v>
      </c>
      <c r="K1421" t="n">
        <v>1</v>
      </c>
      <c r="L1421" s="7" t="n">
        <v>4199</v>
      </c>
      <c r="M1421" s="7" t="n">
        <v>419.9</v>
      </c>
    </row>
    <row r="1422">
      <c r="A1422" t="n">
        <v>510051</v>
      </c>
      <c r="B1422" s="6" t="n">
        <v>45947</v>
      </c>
      <c r="C1422" t="n">
        <v>10063</v>
      </c>
      <c r="D1422" t="inlineStr">
        <is>
          <t>Chennai</t>
        </is>
      </c>
      <c r="E1422" t="inlineStr">
        <is>
          <t>South</t>
        </is>
      </c>
      <c r="F1422" t="inlineStr">
        <is>
          <t>Paid Search</t>
        </is>
      </c>
      <c r="G1422" t="inlineStr">
        <is>
          <t>Mobile Web</t>
        </is>
      </c>
      <c r="H1422" t="inlineStr">
        <is>
          <t>UPI</t>
        </is>
      </c>
      <c r="I1422" t="inlineStr">
        <is>
          <t>Delivered</t>
        </is>
      </c>
      <c r="J1422" t="n">
        <v>136</v>
      </c>
      <c r="K1422" t="n">
        <v>2</v>
      </c>
      <c r="L1422" s="7" t="n">
        <v>944</v>
      </c>
      <c r="M1422" s="7" t="n">
        <v>188.8</v>
      </c>
    </row>
    <row r="1423">
      <c r="A1423" t="n">
        <v>510051</v>
      </c>
      <c r="B1423" s="6" t="n">
        <v>45947</v>
      </c>
      <c r="C1423" t="n">
        <v>10063</v>
      </c>
      <c r="D1423" t="inlineStr">
        <is>
          <t>Chennai</t>
        </is>
      </c>
      <c r="E1423" t="inlineStr">
        <is>
          <t>South</t>
        </is>
      </c>
      <c r="F1423" t="inlineStr">
        <is>
          <t>Paid Search</t>
        </is>
      </c>
      <c r="G1423" t="inlineStr">
        <is>
          <t>Mobile Web</t>
        </is>
      </c>
      <c r="H1423" t="inlineStr">
        <is>
          <t>UPI</t>
        </is>
      </c>
      <c r="I1423" t="inlineStr">
        <is>
          <t>Delivered</t>
        </is>
      </c>
      <c r="J1423" t="n">
        <v>133</v>
      </c>
      <c r="K1423" t="n">
        <v>2</v>
      </c>
      <c r="L1423" s="7" t="n">
        <v>419</v>
      </c>
      <c r="M1423" s="7" t="n">
        <v>83.8</v>
      </c>
    </row>
    <row r="1424">
      <c r="A1424" t="n">
        <v>510052</v>
      </c>
      <c r="B1424" s="6" t="n">
        <v>45947</v>
      </c>
      <c r="C1424" t="n">
        <v>14922</v>
      </c>
      <c r="D1424" t="inlineStr">
        <is>
          <t>Chennai</t>
        </is>
      </c>
      <c r="E1424" t="inlineStr">
        <is>
          <t>South</t>
        </is>
      </c>
      <c r="F1424" t="inlineStr">
        <is>
          <t>Organic Search</t>
        </is>
      </c>
      <c r="G1424" t="inlineStr">
        <is>
          <t>Mobile App</t>
        </is>
      </c>
      <c r="H1424" t="inlineStr">
        <is>
          <t>UPI</t>
        </is>
      </c>
      <c r="I1424" t="inlineStr">
        <is>
          <t>Delivered</t>
        </is>
      </c>
      <c r="J1424" t="n">
        <v>145</v>
      </c>
      <c r="K1424" t="n">
        <v>1</v>
      </c>
      <c r="L1424" s="7" t="n">
        <v>629</v>
      </c>
      <c r="M1424" s="7" t="n">
        <v>0</v>
      </c>
    </row>
    <row r="1425">
      <c r="A1425" t="n">
        <v>510053</v>
      </c>
      <c r="B1425" s="6" t="n">
        <v>45947</v>
      </c>
      <c r="C1425" t="n">
        <v>10946</v>
      </c>
      <c r="D1425" t="inlineStr">
        <is>
          <t>Kochi</t>
        </is>
      </c>
      <c r="E1425" t="inlineStr">
        <is>
          <t>South</t>
        </is>
      </c>
      <c r="F1425" t="inlineStr">
        <is>
          <t>Affiliate</t>
        </is>
      </c>
      <c r="G1425" t="inlineStr">
        <is>
          <t>Mobile App</t>
        </is>
      </c>
      <c r="H1425" t="inlineStr">
        <is>
          <t>UPI</t>
        </is>
      </c>
      <c r="I1425" t="inlineStr">
        <is>
          <t>Delivered</t>
        </is>
      </c>
      <c r="J1425" t="n">
        <v>108</v>
      </c>
      <c r="K1425" t="n">
        <v>2</v>
      </c>
      <c r="L1425" s="7" t="n">
        <v>419</v>
      </c>
      <c r="M1425" s="7" t="n">
        <v>83.8</v>
      </c>
    </row>
    <row r="1426">
      <c r="A1426" t="n">
        <v>510053</v>
      </c>
      <c r="B1426" s="6" t="n">
        <v>45947</v>
      </c>
      <c r="C1426" t="n">
        <v>10946</v>
      </c>
      <c r="D1426" t="inlineStr">
        <is>
          <t>Kochi</t>
        </is>
      </c>
      <c r="E1426" t="inlineStr">
        <is>
          <t>South</t>
        </is>
      </c>
      <c r="F1426" t="inlineStr">
        <is>
          <t>Affiliate</t>
        </is>
      </c>
      <c r="G1426" t="inlineStr">
        <is>
          <t>Mobile App</t>
        </is>
      </c>
      <c r="H1426" t="inlineStr">
        <is>
          <t>UPI</t>
        </is>
      </c>
      <c r="I1426" t="inlineStr">
        <is>
          <t>Delivered</t>
        </is>
      </c>
      <c r="J1426" t="n">
        <v>129</v>
      </c>
      <c r="K1426" t="n">
        <v>1</v>
      </c>
      <c r="L1426" s="7" t="n">
        <v>576</v>
      </c>
      <c r="M1426" s="7" t="n">
        <v>57.6</v>
      </c>
    </row>
    <row r="1427">
      <c r="A1427" t="n">
        <v>510054</v>
      </c>
      <c r="B1427" s="6" t="n">
        <v>45947</v>
      </c>
      <c r="C1427" t="n">
        <v>16883</v>
      </c>
      <c r="D1427" t="inlineStr">
        <is>
          <t>Noida</t>
        </is>
      </c>
      <c r="E1427" t="inlineStr">
        <is>
          <t>North</t>
        </is>
      </c>
      <c r="F1427" t="inlineStr">
        <is>
          <t>Organic Search</t>
        </is>
      </c>
      <c r="G1427" t="inlineStr">
        <is>
          <t>Mobile Web</t>
        </is>
      </c>
      <c r="H1427" t="inlineStr">
        <is>
          <t>UPI</t>
        </is>
      </c>
      <c r="I1427" t="inlineStr">
        <is>
          <t>Delivered</t>
        </is>
      </c>
      <c r="J1427" t="n">
        <v>110</v>
      </c>
      <c r="K1427" t="n">
        <v>1</v>
      </c>
      <c r="L1427" s="7" t="n">
        <v>839</v>
      </c>
      <c r="M1427" s="7" t="n">
        <v>0</v>
      </c>
    </row>
    <row r="1428">
      <c r="A1428" t="n">
        <v>510054</v>
      </c>
      <c r="B1428" s="6" t="n">
        <v>45947</v>
      </c>
      <c r="C1428" t="n">
        <v>16883</v>
      </c>
      <c r="D1428" t="inlineStr">
        <is>
          <t>Noida</t>
        </is>
      </c>
      <c r="E1428" t="inlineStr">
        <is>
          <t>North</t>
        </is>
      </c>
      <c r="F1428" t="inlineStr">
        <is>
          <t>Organic Search</t>
        </is>
      </c>
      <c r="G1428" t="inlineStr">
        <is>
          <t>Mobile Web</t>
        </is>
      </c>
      <c r="H1428" t="inlineStr">
        <is>
          <t>UPI</t>
        </is>
      </c>
      <c r="I1428" t="inlineStr">
        <is>
          <t>Delivered</t>
        </is>
      </c>
      <c r="J1428" t="n">
        <v>129</v>
      </c>
      <c r="K1428" t="n">
        <v>1</v>
      </c>
      <c r="L1428" s="7" t="n">
        <v>576</v>
      </c>
      <c r="M1428" s="7" t="n">
        <v>0</v>
      </c>
    </row>
    <row r="1429">
      <c r="A1429" t="n">
        <v>510055</v>
      </c>
      <c r="B1429" s="6" t="n">
        <v>45947</v>
      </c>
      <c r="C1429" t="n">
        <v>11826</v>
      </c>
      <c r="D1429" t="inlineStr">
        <is>
          <t>Hyderabad</t>
        </is>
      </c>
      <c r="E1429" t="inlineStr">
        <is>
          <t>South</t>
        </is>
      </c>
      <c r="F1429" t="inlineStr">
        <is>
          <t>Paid Search</t>
        </is>
      </c>
      <c r="G1429" t="inlineStr">
        <is>
          <t>Mobile Web</t>
        </is>
      </c>
      <c r="H1429" t="inlineStr">
        <is>
          <t>UPI</t>
        </is>
      </c>
      <c r="I1429" t="inlineStr">
        <is>
          <t>Delivered</t>
        </is>
      </c>
      <c r="J1429" t="n">
        <v>111</v>
      </c>
      <c r="K1429" t="n">
        <v>1</v>
      </c>
      <c r="L1429" s="7" t="n">
        <v>524</v>
      </c>
      <c r="M1429" s="7" t="n">
        <v>26.2</v>
      </c>
    </row>
    <row r="1430">
      <c r="A1430" t="n">
        <v>510055</v>
      </c>
      <c r="B1430" s="6" t="n">
        <v>45947</v>
      </c>
      <c r="C1430" t="n">
        <v>11826</v>
      </c>
      <c r="D1430" t="inlineStr">
        <is>
          <t>Hyderabad</t>
        </is>
      </c>
      <c r="E1430" t="inlineStr">
        <is>
          <t>South</t>
        </is>
      </c>
      <c r="F1430" t="inlineStr">
        <is>
          <t>Paid Search</t>
        </is>
      </c>
      <c r="G1430" t="inlineStr">
        <is>
          <t>Mobile Web</t>
        </is>
      </c>
      <c r="H1430" t="inlineStr">
        <is>
          <t>UPI</t>
        </is>
      </c>
      <c r="I1430" t="inlineStr">
        <is>
          <t>Delivered</t>
        </is>
      </c>
      <c r="J1430" t="n">
        <v>129</v>
      </c>
      <c r="K1430" t="n">
        <v>1</v>
      </c>
      <c r="L1430" s="7" t="n">
        <v>576</v>
      </c>
      <c r="M1430" s="7" t="n">
        <v>28.8</v>
      </c>
    </row>
    <row r="1431">
      <c r="A1431" t="n">
        <v>510056</v>
      </c>
      <c r="B1431" s="6" t="n">
        <v>45947</v>
      </c>
      <c r="C1431" t="n">
        <v>14395</v>
      </c>
      <c r="D1431" t="inlineStr">
        <is>
          <t>Bengaluru</t>
        </is>
      </c>
      <c r="E1431" t="inlineStr">
        <is>
          <t>South</t>
        </is>
      </c>
      <c r="F1431" t="inlineStr">
        <is>
          <t>Organic Search</t>
        </is>
      </c>
      <c r="G1431" t="inlineStr">
        <is>
          <t>Mobile Web</t>
        </is>
      </c>
      <c r="H1431" t="inlineStr">
        <is>
          <t>Credit Card</t>
        </is>
      </c>
      <c r="I1431" t="inlineStr">
        <is>
          <t>Delivered</t>
        </is>
      </c>
      <c r="J1431" t="n">
        <v>116</v>
      </c>
      <c r="K1431" t="n">
        <v>1</v>
      </c>
      <c r="L1431" s="7" t="n">
        <v>2624</v>
      </c>
      <c r="M1431" s="7" t="n">
        <v>0</v>
      </c>
    </row>
    <row r="1432">
      <c r="A1432" t="n">
        <v>510056</v>
      </c>
      <c r="B1432" s="6" t="n">
        <v>45947</v>
      </c>
      <c r="C1432" t="n">
        <v>14395</v>
      </c>
      <c r="D1432" t="inlineStr">
        <is>
          <t>Bengaluru</t>
        </is>
      </c>
      <c r="E1432" t="inlineStr">
        <is>
          <t>South</t>
        </is>
      </c>
      <c r="F1432" t="inlineStr">
        <is>
          <t>Organic Search</t>
        </is>
      </c>
      <c r="G1432" t="inlineStr">
        <is>
          <t>Mobile Web</t>
        </is>
      </c>
      <c r="H1432" t="inlineStr">
        <is>
          <t>Credit Card</t>
        </is>
      </c>
      <c r="I1432" t="inlineStr">
        <is>
          <t>Delivered</t>
        </is>
      </c>
      <c r="J1432" t="n">
        <v>111</v>
      </c>
      <c r="K1432" t="n">
        <v>1</v>
      </c>
      <c r="L1432" s="7" t="n">
        <v>524</v>
      </c>
      <c r="M1432" s="7" t="n">
        <v>0</v>
      </c>
    </row>
    <row r="1433">
      <c r="A1433" t="n">
        <v>510056</v>
      </c>
      <c r="B1433" s="6" t="n">
        <v>45947</v>
      </c>
      <c r="C1433" t="n">
        <v>14395</v>
      </c>
      <c r="D1433" t="inlineStr">
        <is>
          <t>Bengaluru</t>
        </is>
      </c>
      <c r="E1433" t="inlineStr">
        <is>
          <t>South</t>
        </is>
      </c>
      <c r="F1433" t="inlineStr">
        <is>
          <t>Organic Search</t>
        </is>
      </c>
      <c r="G1433" t="inlineStr">
        <is>
          <t>Mobile Web</t>
        </is>
      </c>
      <c r="H1433" t="inlineStr">
        <is>
          <t>Credit Card</t>
        </is>
      </c>
      <c r="I1433" t="inlineStr">
        <is>
          <t>Delivered</t>
        </is>
      </c>
      <c r="J1433" t="n">
        <v>112</v>
      </c>
      <c r="K1433" t="n">
        <v>2</v>
      </c>
      <c r="L1433" s="7" t="n">
        <v>1574</v>
      </c>
      <c r="M1433" s="7" t="n">
        <v>0</v>
      </c>
    </row>
    <row r="1434">
      <c r="A1434" t="n">
        <v>510057</v>
      </c>
      <c r="B1434" s="6" t="n">
        <v>45947</v>
      </c>
      <c r="C1434" t="n">
        <v>16865</v>
      </c>
      <c r="D1434" t="inlineStr">
        <is>
          <t>Kolkata</t>
        </is>
      </c>
      <c r="E1434" t="inlineStr">
        <is>
          <t>East</t>
        </is>
      </c>
      <c r="F1434" t="inlineStr">
        <is>
          <t>Organic Search</t>
        </is>
      </c>
      <c r="G1434" t="inlineStr">
        <is>
          <t>Mobile App</t>
        </is>
      </c>
      <c r="H1434" t="inlineStr">
        <is>
          <t>Cash on Delivery</t>
        </is>
      </c>
      <c r="I1434" t="inlineStr">
        <is>
          <t>Delivered</t>
        </is>
      </c>
      <c r="J1434" t="n">
        <v>124</v>
      </c>
      <c r="K1434" t="n">
        <v>1</v>
      </c>
      <c r="L1434" s="7" t="n">
        <v>1154</v>
      </c>
      <c r="M1434" s="7" t="n">
        <v>0</v>
      </c>
    </row>
    <row r="1435">
      <c r="A1435" t="n">
        <v>510057</v>
      </c>
      <c r="B1435" s="6" t="n">
        <v>45947</v>
      </c>
      <c r="C1435" t="n">
        <v>16865</v>
      </c>
      <c r="D1435" t="inlineStr">
        <is>
          <t>Kolkata</t>
        </is>
      </c>
      <c r="E1435" t="inlineStr">
        <is>
          <t>East</t>
        </is>
      </c>
      <c r="F1435" t="inlineStr">
        <is>
          <t>Organic Search</t>
        </is>
      </c>
      <c r="G1435" t="inlineStr">
        <is>
          <t>Mobile App</t>
        </is>
      </c>
      <c r="H1435" t="inlineStr">
        <is>
          <t>Cash on Delivery</t>
        </is>
      </c>
      <c r="I1435" t="inlineStr">
        <is>
          <t>Delivered</t>
        </is>
      </c>
      <c r="J1435" t="n">
        <v>130</v>
      </c>
      <c r="K1435" t="n">
        <v>1</v>
      </c>
      <c r="L1435" s="7" t="n">
        <v>734</v>
      </c>
      <c r="M1435" s="7" t="n">
        <v>0</v>
      </c>
    </row>
    <row r="1436">
      <c r="A1436" t="n">
        <v>510057</v>
      </c>
      <c r="B1436" s="6" t="n">
        <v>45947</v>
      </c>
      <c r="C1436" t="n">
        <v>16865</v>
      </c>
      <c r="D1436" t="inlineStr">
        <is>
          <t>Kolkata</t>
        </is>
      </c>
      <c r="E1436" t="inlineStr">
        <is>
          <t>East</t>
        </is>
      </c>
      <c r="F1436" t="inlineStr">
        <is>
          <t>Organic Search</t>
        </is>
      </c>
      <c r="G1436" t="inlineStr">
        <is>
          <t>Mobile App</t>
        </is>
      </c>
      <c r="H1436" t="inlineStr">
        <is>
          <t>Cash on Delivery</t>
        </is>
      </c>
      <c r="I1436" t="inlineStr">
        <is>
          <t>Delivered</t>
        </is>
      </c>
      <c r="J1436" t="n">
        <v>129</v>
      </c>
      <c r="K1436" t="n">
        <v>1</v>
      </c>
      <c r="L1436" s="7" t="n">
        <v>576</v>
      </c>
      <c r="M1436" s="7" t="n">
        <v>0</v>
      </c>
    </row>
    <row r="1437">
      <c r="A1437" t="n">
        <v>510058</v>
      </c>
      <c r="B1437" s="6" t="n">
        <v>45947</v>
      </c>
      <c r="C1437" t="n">
        <v>12668</v>
      </c>
      <c r="D1437" t="inlineStr">
        <is>
          <t>Mumbai</t>
        </is>
      </c>
      <c r="E1437" t="inlineStr">
        <is>
          <t>West</t>
        </is>
      </c>
      <c r="F1437" t="inlineStr">
        <is>
          <t>Email</t>
        </is>
      </c>
      <c r="G1437" t="inlineStr">
        <is>
          <t>Mobile App</t>
        </is>
      </c>
      <c r="H1437" t="inlineStr">
        <is>
          <t>UPI</t>
        </is>
      </c>
      <c r="I1437" t="inlineStr">
        <is>
          <t>Delivered</t>
        </is>
      </c>
      <c r="J1437" t="n">
        <v>102</v>
      </c>
      <c r="K1437" t="n">
        <v>2</v>
      </c>
      <c r="L1437" s="7" t="n">
        <v>3674</v>
      </c>
      <c r="M1437" s="7" t="n">
        <v>0</v>
      </c>
    </row>
    <row r="1438">
      <c r="A1438" t="n">
        <v>510059</v>
      </c>
      <c r="B1438" s="6" t="n">
        <v>45947</v>
      </c>
      <c r="C1438" t="n">
        <v>16745</v>
      </c>
      <c r="D1438" t="inlineStr">
        <is>
          <t>Jaipur</t>
        </is>
      </c>
      <c r="E1438" t="inlineStr">
        <is>
          <t>North</t>
        </is>
      </c>
      <c r="F1438" t="inlineStr">
        <is>
          <t>Referral</t>
        </is>
      </c>
      <c r="G1438" t="inlineStr">
        <is>
          <t>Desktop</t>
        </is>
      </c>
      <c r="H1438" t="inlineStr">
        <is>
          <t>UPI</t>
        </is>
      </c>
      <c r="I1438" t="inlineStr">
        <is>
          <t>Delivered</t>
        </is>
      </c>
      <c r="J1438" t="n">
        <v>114</v>
      </c>
      <c r="K1438" t="n">
        <v>1</v>
      </c>
      <c r="L1438" s="7" t="n">
        <v>1259</v>
      </c>
      <c r="M1438" s="7" t="n">
        <v>188.85</v>
      </c>
    </row>
    <row r="1439">
      <c r="A1439" t="n">
        <v>510060</v>
      </c>
      <c r="B1439" s="6" t="n">
        <v>45948</v>
      </c>
      <c r="C1439" t="n">
        <v>13619</v>
      </c>
      <c r="D1439" t="inlineStr">
        <is>
          <t>Jaipur</t>
        </is>
      </c>
      <c r="E1439" t="inlineStr">
        <is>
          <t>North</t>
        </is>
      </c>
      <c r="F1439" t="inlineStr">
        <is>
          <t>Affiliate</t>
        </is>
      </c>
      <c r="G1439" t="inlineStr">
        <is>
          <t>Desktop</t>
        </is>
      </c>
      <c r="H1439" t="inlineStr">
        <is>
          <t>Credit Card</t>
        </is>
      </c>
      <c r="I1439" t="inlineStr">
        <is>
          <t>Delivered</t>
        </is>
      </c>
      <c r="J1439" t="n">
        <v>120</v>
      </c>
      <c r="K1439" t="n">
        <v>1</v>
      </c>
      <c r="L1439" s="7" t="n">
        <v>734</v>
      </c>
      <c r="M1439" s="7" t="n">
        <v>0</v>
      </c>
    </row>
    <row r="1440">
      <c r="A1440" t="n">
        <v>510061</v>
      </c>
      <c r="B1440" s="6" t="n">
        <v>45948</v>
      </c>
      <c r="C1440" t="n">
        <v>10742</v>
      </c>
      <c r="D1440" t="inlineStr">
        <is>
          <t>Gurugram</t>
        </is>
      </c>
      <c r="E1440" t="inlineStr">
        <is>
          <t>North</t>
        </is>
      </c>
      <c r="F1440" t="inlineStr">
        <is>
          <t>Organic Search</t>
        </is>
      </c>
      <c r="G1440" t="inlineStr">
        <is>
          <t>Mobile App</t>
        </is>
      </c>
      <c r="H1440" t="inlineStr">
        <is>
          <t>Credit Card</t>
        </is>
      </c>
      <c r="I1440" t="inlineStr">
        <is>
          <t>Delivered</t>
        </is>
      </c>
      <c r="J1440" t="n">
        <v>108</v>
      </c>
      <c r="K1440" t="n">
        <v>1</v>
      </c>
      <c r="L1440" s="7" t="n">
        <v>419</v>
      </c>
      <c r="M1440" s="7" t="n">
        <v>0</v>
      </c>
    </row>
    <row r="1441">
      <c r="A1441" t="n">
        <v>510061</v>
      </c>
      <c r="B1441" s="6" t="n">
        <v>45948</v>
      </c>
      <c r="C1441" t="n">
        <v>10742</v>
      </c>
      <c r="D1441" t="inlineStr">
        <is>
          <t>Gurugram</t>
        </is>
      </c>
      <c r="E1441" t="inlineStr">
        <is>
          <t>North</t>
        </is>
      </c>
      <c r="F1441" t="inlineStr">
        <is>
          <t>Organic Search</t>
        </is>
      </c>
      <c r="G1441" t="inlineStr">
        <is>
          <t>Mobile App</t>
        </is>
      </c>
      <c r="H1441" t="inlineStr">
        <is>
          <t>Credit Card</t>
        </is>
      </c>
      <c r="I1441" t="inlineStr">
        <is>
          <t>Delivered</t>
        </is>
      </c>
      <c r="J1441" t="n">
        <v>147</v>
      </c>
      <c r="K1441" t="n">
        <v>1</v>
      </c>
      <c r="L1441" s="7" t="n">
        <v>1364</v>
      </c>
      <c r="M1441" s="7" t="n">
        <v>0</v>
      </c>
    </row>
    <row r="1442">
      <c r="A1442" t="n">
        <v>510062</v>
      </c>
      <c r="B1442" s="6" t="n">
        <v>45948</v>
      </c>
      <c r="C1442" t="n">
        <v>15484</v>
      </c>
      <c r="D1442" t="inlineStr">
        <is>
          <t>Pune</t>
        </is>
      </c>
      <c r="E1442" t="inlineStr">
        <is>
          <t>West</t>
        </is>
      </c>
      <c r="F1442" t="inlineStr">
        <is>
          <t>Email</t>
        </is>
      </c>
      <c r="G1442" t="inlineStr">
        <is>
          <t>Mobile App</t>
        </is>
      </c>
      <c r="H1442" t="inlineStr">
        <is>
          <t>Credit Card</t>
        </is>
      </c>
      <c r="I1442" t="inlineStr">
        <is>
          <t>Delivered</t>
        </is>
      </c>
      <c r="J1442" t="n">
        <v>104</v>
      </c>
      <c r="K1442" t="n">
        <v>1</v>
      </c>
      <c r="L1442" s="7" t="n">
        <v>5249</v>
      </c>
      <c r="M1442" s="7" t="n">
        <v>0</v>
      </c>
    </row>
    <row r="1443">
      <c r="A1443" t="n">
        <v>510063</v>
      </c>
      <c r="B1443" s="6" t="n">
        <v>45948</v>
      </c>
      <c r="C1443" t="n">
        <v>16429</v>
      </c>
      <c r="D1443" t="inlineStr">
        <is>
          <t>Bengaluru</t>
        </is>
      </c>
      <c r="E1443" t="inlineStr">
        <is>
          <t>South</t>
        </is>
      </c>
      <c r="F1443" t="inlineStr">
        <is>
          <t>Organic Search</t>
        </is>
      </c>
      <c r="G1443" t="inlineStr">
        <is>
          <t>Desktop</t>
        </is>
      </c>
      <c r="H1443" t="inlineStr">
        <is>
          <t>UPI</t>
        </is>
      </c>
      <c r="I1443" t="inlineStr">
        <is>
          <t>Delivered</t>
        </is>
      </c>
      <c r="J1443" t="n">
        <v>111</v>
      </c>
      <c r="K1443" t="n">
        <v>1</v>
      </c>
      <c r="L1443" s="7" t="n">
        <v>524</v>
      </c>
      <c r="M1443" s="7" t="n">
        <v>0</v>
      </c>
    </row>
    <row r="1444">
      <c r="A1444" t="n">
        <v>510063</v>
      </c>
      <c r="B1444" s="6" t="n">
        <v>45948</v>
      </c>
      <c r="C1444" t="n">
        <v>16429</v>
      </c>
      <c r="D1444" t="inlineStr">
        <is>
          <t>Bengaluru</t>
        </is>
      </c>
      <c r="E1444" t="inlineStr">
        <is>
          <t>South</t>
        </is>
      </c>
      <c r="F1444" t="inlineStr">
        <is>
          <t>Organic Search</t>
        </is>
      </c>
      <c r="G1444" t="inlineStr">
        <is>
          <t>Desktop</t>
        </is>
      </c>
      <c r="H1444" t="inlineStr">
        <is>
          <t>UPI</t>
        </is>
      </c>
      <c r="I1444" t="inlineStr">
        <is>
          <t>Delivered</t>
        </is>
      </c>
      <c r="J1444" t="n">
        <v>113</v>
      </c>
      <c r="K1444" t="n">
        <v>1</v>
      </c>
      <c r="L1444" s="7" t="n">
        <v>1364</v>
      </c>
      <c r="M1444" s="7" t="n">
        <v>0</v>
      </c>
    </row>
    <row r="1445">
      <c r="A1445" t="n">
        <v>510063</v>
      </c>
      <c r="B1445" s="6" t="n">
        <v>45948</v>
      </c>
      <c r="C1445" t="n">
        <v>16429</v>
      </c>
      <c r="D1445" t="inlineStr">
        <is>
          <t>Bengaluru</t>
        </is>
      </c>
      <c r="E1445" t="inlineStr">
        <is>
          <t>South</t>
        </is>
      </c>
      <c r="F1445" t="inlineStr">
        <is>
          <t>Organic Search</t>
        </is>
      </c>
      <c r="G1445" t="inlineStr">
        <is>
          <t>Desktop</t>
        </is>
      </c>
      <c r="H1445" t="inlineStr">
        <is>
          <t>UPI</t>
        </is>
      </c>
      <c r="I1445" t="inlineStr">
        <is>
          <t>Delivered</t>
        </is>
      </c>
      <c r="J1445" t="n">
        <v>133</v>
      </c>
      <c r="K1445" t="n">
        <v>1</v>
      </c>
      <c r="L1445" s="7" t="n">
        <v>419</v>
      </c>
      <c r="M1445" s="7" t="n">
        <v>0</v>
      </c>
    </row>
    <row r="1446">
      <c r="A1446" t="n">
        <v>510064</v>
      </c>
      <c r="B1446" s="6" t="n">
        <v>45948</v>
      </c>
      <c r="C1446" t="n">
        <v>16808</v>
      </c>
      <c r="D1446" t="inlineStr">
        <is>
          <t>Bengaluru</t>
        </is>
      </c>
      <c r="E1446" t="inlineStr">
        <is>
          <t>South</t>
        </is>
      </c>
      <c r="F1446" t="inlineStr">
        <is>
          <t>Paid Social</t>
        </is>
      </c>
      <c r="G1446" t="inlineStr">
        <is>
          <t>Desktop</t>
        </is>
      </c>
      <c r="H1446" t="inlineStr">
        <is>
          <t>UPI</t>
        </is>
      </c>
      <c r="I1446" t="inlineStr">
        <is>
          <t>Delivered</t>
        </is>
      </c>
      <c r="J1446" t="n">
        <v>111</v>
      </c>
      <c r="K1446" t="n">
        <v>3</v>
      </c>
      <c r="L1446" s="7" t="n">
        <v>524</v>
      </c>
      <c r="M1446" s="7" t="n">
        <v>0</v>
      </c>
    </row>
    <row r="1447">
      <c r="A1447" t="n">
        <v>510064</v>
      </c>
      <c r="B1447" s="6" t="n">
        <v>45948</v>
      </c>
      <c r="C1447" t="n">
        <v>16808</v>
      </c>
      <c r="D1447" t="inlineStr">
        <is>
          <t>Bengaluru</t>
        </is>
      </c>
      <c r="E1447" t="inlineStr">
        <is>
          <t>South</t>
        </is>
      </c>
      <c r="F1447" t="inlineStr">
        <is>
          <t>Paid Social</t>
        </is>
      </c>
      <c r="G1447" t="inlineStr">
        <is>
          <t>Desktop</t>
        </is>
      </c>
      <c r="H1447" t="inlineStr">
        <is>
          <t>UPI</t>
        </is>
      </c>
      <c r="I1447" t="inlineStr">
        <is>
          <t>Delivered</t>
        </is>
      </c>
      <c r="J1447" t="n">
        <v>124</v>
      </c>
      <c r="K1447" t="n">
        <v>1</v>
      </c>
      <c r="L1447" s="7" t="n">
        <v>1154</v>
      </c>
      <c r="M1447" s="7" t="n">
        <v>0</v>
      </c>
    </row>
    <row r="1448">
      <c r="A1448" t="n">
        <v>510065</v>
      </c>
      <c r="B1448" s="6" t="n">
        <v>45948</v>
      </c>
      <c r="C1448" t="n">
        <v>16836</v>
      </c>
      <c r="D1448" t="inlineStr">
        <is>
          <t>Hyderabad</t>
        </is>
      </c>
      <c r="E1448" t="inlineStr">
        <is>
          <t>South</t>
        </is>
      </c>
      <c r="F1448" t="inlineStr">
        <is>
          <t>Affiliate</t>
        </is>
      </c>
      <c r="G1448" t="inlineStr">
        <is>
          <t>Mobile Web</t>
        </is>
      </c>
      <c r="H1448" t="inlineStr">
        <is>
          <t>UPI</t>
        </is>
      </c>
      <c r="I1448" t="inlineStr">
        <is>
          <t>Delivered</t>
        </is>
      </c>
      <c r="J1448" t="n">
        <v>134</v>
      </c>
      <c r="K1448" t="n">
        <v>1</v>
      </c>
      <c r="L1448" s="7" t="n">
        <v>209</v>
      </c>
      <c r="M1448" s="7" t="n">
        <v>20.9</v>
      </c>
    </row>
    <row r="1449">
      <c r="A1449" t="n">
        <v>510065</v>
      </c>
      <c r="B1449" s="6" t="n">
        <v>45948</v>
      </c>
      <c r="C1449" t="n">
        <v>16836</v>
      </c>
      <c r="D1449" t="inlineStr">
        <is>
          <t>Hyderabad</t>
        </is>
      </c>
      <c r="E1449" t="inlineStr">
        <is>
          <t>South</t>
        </is>
      </c>
      <c r="F1449" t="inlineStr">
        <is>
          <t>Affiliate</t>
        </is>
      </c>
      <c r="G1449" t="inlineStr">
        <is>
          <t>Mobile Web</t>
        </is>
      </c>
      <c r="H1449" t="inlineStr">
        <is>
          <t>UPI</t>
        </is>
      </c>
      <c r="I1449" t="inlineStr">
        <is>
          <t>Delivered</t>
        </is>
      </c>
      <c r="J1449" t="n">
        <v>128</v>
      </c>
      <c r="K1449" t="n">
        <v>1</v>
      </c>
      <c r="L1449" s="7" t="n">
        <v>1049</v>
      </c>
      <c r="M1449" s="7" t="n">
        <v>104.9</v>
      </c>
    </row>
    <row r="1450">
      <c r="A1450" t="n">
        <v>510066</v>
      </c>
      <c r="B1450" s="6" t="n">
        <v>45948</v>
      </c>
      <c r="C1450" t="n">
        <v>16067</v>
      </c>
      <c r="D1450" t="inlineStr">
        <is>
          <t>Pune</t>
        </is>
      </c>
      <c r="E1450" t="inlineStr">
        <is>
          <t>West</t>
        </is>
      </c>
      <c r="F1450" t="inlineStr">
        <is>
          <t>Referral</t>
        </is>
      </c>
      <c r="G1450" t="inlineStr">
        <is>
          <t>Mobile Web</t>
        </is>
      </c>
      <c r="H1450" t="inlineStr">
        <is>
          <t>Cash on Delivery</t>
        </is>
      </c>
      <c r="I1450" t="inlineStr">
        <is>
          <t>Delivered</t>
        </is>
      </c>
      <c r="J1450" t="n">
        <v>140</v>
      </c>
      <c r="K1450" t="n">
        <v>2</v>
      </c>
      <c r="L1450" s="7" t="n">
        <v>629</v>
      </c>
      <c r="M1450" s="7" t="n">
        <v>0</v>
      </c>
    </row>
    <row r="1451">
      <c r="A1451" t="n">
        <v>510066</v>
      </c>
      <c r="B1451" s="6" t="n">
        <v>45948</v>
      </c>
      <c r="C1451" t="n">
        <v>16067</v>
      </c>
      <c r="D1451" t="inlineStr">
        <is>
          <t>Pune</t>
        </is>
      </c>
      <c r="E1451" t="inlineStr">
        <is>
          <t>West</t>
        </is>
      </c>
      <c r="F1451" t="inlineStr">
        <is>
          <t>Referral</t>
        </is>
      </c>
      <c r="G1451" t="inlineStr">
        <is>
          <t>Mobile Web</t>
        </is>
      </c>
      <c r="H1451" t="inlineStr">
        <is>
          <t>Cash on Delivery</t>
        </is>
      </c>
      <c r="I1451" t="inlineStr">
        <is>
          <t>Delivered</t>
        </is>
      </c>
      <c r="J1451" t="n">
        <v>141</v>
      </c>
      <c r="K1451" t="n">
        <v>1</v>
      </c>
      <c r="L1451" s="7" t="n">
        <v>261</v>
      </c>
      <c r="M1451" s="7" t="n">
        <v>0</v>
      </c>
    </row>
    <row r="1452">
      <c r="A1452" t="n">
        <v>510067</v>
      </c>
      <c r="B1452" s="6" t="n">
        <v>45948</v>
      </c>
      <c r="C1452" t="n">
        <v>16214</v>
      </c>
      <c r="D1452" t="inlineStr">
        <is>
          <t>Kochi</t>
        </is>
      </c>
      <c r="E1452" t="inlineStr">
        <is>
          <t>South</t>
        </is>
      </c>
      <c r="F1452" t="inlineStr">
        <is>
          <t>Referral</t>
        </is>
      </c>
      <c r="G1452" t="inlineStr">
        <is>
          <t>Desktop</t>
        </is>
      </c>
      <c r="H1452" t="inlineStr">
        <is>
          <t>UPI</t>
        </is>
      </c>
      <c r="I1452" t="inlineStr">
        <is>
          <t>Delivered</t>
        </is>
      </c>
      <c r="J1452" t="n">
        <v>113</v>
      </c>
      <c r="K1452" t="n">
        <v>1</v>
      </c>
      <c r="L1452" s="7" t="n">
        <v>1364</v>
      </c>
      <c r="M1452" s="7" t="n">
        <v>136.4</v>
      </c>
    </row>
    <row r="1453">
      <c r="A1453" t="n">
        <v>510068</v>
      </c>
      <c r="B1453" s="6" t="n">
        <v>45948</v>
      </c>
      <c r="C1453" t="n">
        <v>15268</v>
      </c>
      <c r="D1453" t="inlineStr">
        <is>
          <t>Kolkata</t>
        </is>
      </c>
      <c r="E1453" t="inlineStr">
        <is>
          <t>East</t>
        </is>
      </c>
      <c r="F1453" t="inlineStr">
        <is>
          <t>Affiliate</t>
        </is>
      </c>
      <c r="G1453" t="inlineStr">
        <is>
          <t>Mobile App</t>
        </is>
      </c>
      <c r="H1453" t="inlineStr">
        <is>
          <t>UPI</t>
        </is>
      </c>
      <c r="I1453" t="inlineStr">
        <is>
          <t>Delivered</t>
        </is>
      </c>
      <c r="J1453" t="n">
        <v>126</v>
      </c>
      <c r="K1453" t="n">
        <v>1</v>
      </c>
      <c r="L1453" s="7" t="n">
        <v>471</v>
      </c>
      <c r="M1453" s="7" t="n">
        <v>0</v>
      </c>
    </row>
    <row r="1454">
      <c r="A1454" t="n">
        <v>510068</v>
      </c>
      <c r="B1454" s="6" t="n">
        <v>45948</v>
      </c>
      <c r="C1454" t="n">
        <v>15268</v>
      </c>
      <c r="D1454" t="inlineStr">
        <is>
          <t>Kolkata</t>
        </is>
      </c>
      <c r="E1454" t="inlineStr">
        <is>
          <t>East</t>
        </is>
      </c>
      <c r="F1454" t="inlineStr">
        <is>
          <t>Affiliate</t>
        </is>
      </c>
      <c r="G1454" t="inlineStr">
        <is>
          <t>Mobile App</t>
        </is>
      </c>
      <c r="H1454" t="inlineStr">
        <is>
          <t>UPI</t>
        </is>
      </c>
      <c r="I1454" t="inlineStr">
        <is>
          <t>Delivered</t>
        </is>
      </c>
      <c r="J1454" t="n">
        <v>102</v>
      </c>
      <c r="K1454" t="n">
        <v>1</v>
      </c>
      <c r="L1454" s="7" t="n">
        <v>3674</v>
      </c>
      <c r="M1454" s="7" t="n">
        <v>0</v>
      </c>
    </row>
    <row r="1455">
      <c r="A1455" t="n">
        <v>510068</v>
      </c>
      <c r="B1455" s="6" t="n">
        <v>45948</v>
      </c>
      <c r="C1455" t="n">
        <v>15268</v>
      </c>
      <c r="D1455" t="inlineStr">
        <is>
          <t>Kolkata</t>
        </is>
      </c>
      <c r="E1455" t="inlineStr">
        <is>
          <t>East</t>
        </is>
      </c>
      <c r="F1455" t="inlineStr">
        <is>
          <t>Affiliate</t>
        </is>
      </c>
      <c r="G1455" t="inlineStr">
        <is>
          <t>Mobile App</t>
        </is>
      </c>
      <c r="H1455" t="inlineStr">
        <is>
          <t>UPI</t>
        </is>
      </c>
      <c r="I1455" t="inlineStr">
        <is>
          <t>Delivered</t>
        </is>
      </c>
      <c r="J1455" t="n">
        <v>108</v>
      </c>
      <c r="K1455" t="n">
        <v>2</v>
      </c>
      <c r="L1455" s="7" t="n">
        <v>419</v>
      </c>
      <c r="M1455" s="7" t="n">
        <v>0</v>
      </c>
    </row>
    <row r="1456">
      <c r="A1456" t="n">
        <v>510069</v>
      </c>
      <c r="B1456" s="6" t="n">
        <v>45948</v>
      </c>
      <c r="C1456" t="n">
        <v>14600</v>
      </c>
      <c r="D1456" t="inlineStr">
        <is>
          <t>Chandigarh</t>
        </is>
      </c>
      <c r="E1456" t="inlineStr">
        <is>
          <t>North</t>
        </is>
      </c>
      <c r="F1456" t="inlineStr">
        <is>
          <t>Paid Social</t>
        </is>
      </c>
      <c r="G1456" t="inlineStr">
        <is>
          <t>Mobile App</t>
        </is>
      </c>
      <c r="H1456" t="inlineStr">
        <is>
          <t>UPI</t>
        </is>
      </c>
      <c r="I1456" t="inlineStr">
        <is>
          <t>Delivered</t>
        </is>
      </c>
      <c r="J1456" t="n">
        <v>102</v>
      </c>
      <c r="K1456" t="n">
        <v>1</v>
      </c>
      <c r="L1456" s="7" t="n">
        <v>3674</v>
      </c>
      <c r="M1456" s="7" t="n">
        <v>367.4</v>
      </c>
    </row>
    <row r="1457">
      <c r="A1457" t="n">
        <v>510069</v>
      </c>
      <c r="B1457" s="6" t="n">
        <v>45948</v>
      </c>
      <c r="C1457" t="n">
        <v>14600</v>
      </c>
      <c r="D1457" t="inlineStr">
        <is>
          <t>Chandigarh</t>
        </is>
      </c>
      <c r="E1457" t="inlineStr">
        <is>
          <t>North</t>
        </is>
      </c>
      <c r="F1457" t="inlineStr">
        <is>
          <t>Paid Social</t>
        </is>
      </c>
      <c r="G1457" t="inlineStr">
        <is>
          <t>Mobile App</t>
        </is>
      </c>
      <c r="H1457" t="inlineStr">
        <is>
          <t>UPI</t>
        </is>
      </c>
      <c r="I1457" t="inlineStr">
        <is>
          <t>Delivered</t>
        </is>
      </c>
      <c r="J1457" t="n">
        <v>115</v>
      </c>
      <c r="K1457" t="n">
        <v>1</v>
      </c>
      <c r="L1457" s="7" t="n">
        <v>4199</v>
      </c>
      <c r="M1457" s="7" t="n">
        <v>419.9</v>
      </c>
    </row>
    <row r="1458">
      <c r="A1458" t="n">
        <v>510069</v>
      </c>
      <c r="B1458" s="6" t="n">
        <v>45948</v>
      </c>
      <c r="C1458" t="n">
        <v>14600</v>
      </c>
      <c r="D1458" t="inlineStr">
        <is>
          <t>Chandigarh</t>
        </is>
      </c>
      <c r="E1458" t="inlineStr">
        <is>
          <t>North</t>
        </is>
      </c>
      <c r="F1458" t="inlineStr">
        <is>
          <t>Paid Social</t>
        </is>
      </c>
      <c r="G1458" t="inlineStr">
        <is>
          <t>Mobile App</t>
        </is>
      </c>
      <c r="H1458" t="inlineStr">
        <is>
          <t>UPI</t>
        </is>
      </c>
      <c r="I1458" t="inlineStr">
        <is>
          <t>Delivered</t>
        </is>
      </c>
      <c r="J1458" t="n">
        <v>109</v>
      </c>
      <c r="K1458" t="n">
        <v>1</v>
      </c>
      <c r="L1458" s="7" t="n">
        <v>4199</v>
      </c>
      <c r="M1458" s="7" t="n">
        <v>419.9</v>
      </c>
    </row>
    <row r="1459">
      <c r="A1459" t="n">
        <v>510070</v>
      </c>
      <c r="B1459" s="6" t="n">
        <v>45948</v>
      </c>
      <c r="C1459" t="n">
        <v>16888</v>
      </c>
      <c r="D1459" t="inlineStr">
        <is>
          <t>Mumbai</t>
        </is>
      </c>
      <c r="E1459" t="inlineStr">
        <is>
          <t>West</t>
        </is>
      </c>
      <c r="F1459" t="inlineStr">
        <is>
          <t>Paid Social</t>
        </is>
      </c>
      <c r="G1459" t="inlineStr">
        <is>
          <t>Mobile App</t>
        </is>
      </c>
      <c r="H1459" t="inlineStr">
        <is>
          <t>Cash on Delivery</t>
        </is>
      </c>
      <c r="I1459" t="inlineStr">
        <is>
          <t>Returned</t>
        </is>
      </c>
      <c r="J1459" t="n">
        <v>128</v>
      </c>
      <c r="K1459" t="n">
        <v>1</v>
      </c>
      <c r="L1459" s="7" t="n">
        <v>1049</v>
      </c>
      <c r="M1459" s="7" t="n">
        <v>104.9</v>
      </c>
    </row>
    <row r="1460">
      <c r="A1460" t="n">
        <v>510070</v>
      </c>
      <c r="B1460" s="6" t="n">
        <v>45948</v>
      </c>
      <c r="C1460" t="n">
        <v>16888</v>
      </c>
      <c r="D1460" t="inlineStr">
        <is>
          <t>Mumbai</t>
        </is>
      </c>
      <c r="E1460" t="inlineStr">
        <is>
          <t>West</t>
        </is>
      </c>
      <c r="F1460" t="inlineStr">
        <is>
          <t>Paid Social</t>
        </is>
      </c>
      <c r="G1460" t="inlineStr">
        <is>
          <t>Mobile App</t>
        </is>
      </c>
      <c r="H1460" t="inlineStr">
        <is>
          <t>Cash on Delivery</t>
        </is>
      </c>
      <c r="I1460" t="inlineStr">
        <is>
          <t>Returned</t>
        </is>
      </c>
      <c r="J1460" t="n">
        <v>113</v>
      </c>
      <c r="K1460" t="n">
        <v>1</v>
      </c>
      <c r="L1460" s="7" t="n">
        <v>1364</v>
      </c>
      <c r="M1460" s="7" t="n">
        <v>136.4</v>
      </c>
    </row>
    <row r="1461">
      <c r="A1461" t="n">
        <v>510070</v>
      </c>
      <c r="B1461" s="6" t="n">
        <v>45948</v>
      </c>
      <c r="C1461" t="n">
        <v>16888</v>
      </c>
      <c r="D1461" t="inlineStr">
        <is>
          <t>Mumbai</t>
        </is>
      </c>
      <c r="E1461" t="inlineStr">
        <is>
          <t>West</t>
        </is>
      </c>
      <c r="F1461" t="inlineStr">
        <is>
          <t>Paid Social</t>
        </is>
      </c>
      <c r="G1461" t="inlineStr">
        <is>
          <t>Mobile App</t>
        </is>
      </c>
      <c r="H1461" t="inlineStr">
        <is>
          <t>Cash on Delivery</t>
        </is>
      </c>
      <c r="I1461" t="inlineStr">
        <is>
          <t>Returned</t>
        </is>
      </c>
      <c r="J1461" t="n">
        <v>112</v>
      </c>
      <c r="K1461" t="n">
        <v>1</v>
      </c>
      <c r="L1461" s="7" t="n">
        <v>1574</v>
      </c>
      <c r="M1461" s="7" t="n">
        <v>157.4</v>
      </c>
    </row>
    <row r="1462">
      <c r="A1462" t="n">
        <v>510070</v>
      </c>
      <c r="B1462" s="6" t="n">
        <v>45948</v>
      </c>
      <c r="C1462" t="n">
        <v>16888</v>
      </c>
      <c r="D1462" t="inlineStr">
        <is>
          <t>Mumbai</t>
        </is>
      </c>
      <c r="E1462" t="inlineStr">
        <is>
          <t>West</t>
        </is>
      </c>
      <c r="F1462" t="inlineStr">
        <is>
          <t>Paid Social</t>
        </is>
      </c>
      <c r="G1462" t="inlineStr">
        <is>
          <t>Mobile App</t>
        </is>
      </c>
      <c r="H1462" t="inlineStr">
        <is>
          <t>Cash on Delivery</t>
        </is>
      </c>
      <c r="I1462" t="inlineStr">
        <is>
          <t>Returned</t>
        </is>
      </c>
      <c r="J1462" t="n">
        <v>123</v>
      </c>
      <c r="K1462" t="n">
        <v>1</v>
      </c>
      <c r="L1462" s="7" t="n">
        <v>3464</v>
      </c>
      <c r="M1462" s="7" t="n">
        <v>346.4</v>
      </c>
    </row>
    <row r="1463">
      <c r="A1463" t="n">
        <v>510071</v>
      </c>
      <c r="B1463" s="6" t="n">
        <v>45948</v>
      </c>
      <c r="C1463" t="n">
        <v>11781</v>
      </c>
      <c r="D1463" t="inlineStr">
        <is>
          <t>Jaipur</t>
        </is>
      </c>
      <c r="E1463" t="inlineStr">
        <is>
          <t>North</t>
        </is>
      </c>
      <c r="F1463" t="inlineStr">
        <is>
          <t>Paid Search</t>
        </is>
      </c>
      <c r="G1463" t="inlineStr">
        <is>
          <t>Mobile App</t>
        </is>
      </c>
      <c r="H1463" t="inlineStr">
        <is>
          <t>UPI</t>
        </is>
      </c>
      <c r="I1463" t="inlineStr">
        <is>
          <t>Delivered</t>
        </is>
      </c>
      <c r="J1463" t="n">
        <v>108</v>
      </c>
      <c r="K1463" t="n">
        <v>1</v>
      </c>
      <c r="L1463" s="7" t="n">
        <v>419</v>
      </c>
      <c r="M1463" s="7" t="n">
        <v>41.9</v>
      </c>
    </row>
    <row r="1464">
      <c r="A1464" t="n">
        <v>510072</v>
      </c>
      <c r="B1464" s="6" t="n">
        <v>45948</v>
      </c>
      <c r="C1464" t="n">
        <v>16854</v>
      </c>
      <c r="D1464" t="inlineStr">
        <is>
          <t>Delhi</t>
        </is>
      </c>
      <c r="E1464" t="inlineStr">
        <is>
          <t>North</t>
        </is>
      </c>
      <c r="F1464" t="inlineStr">
        <is>
          <t>Organic Search</t>
        </is>
      </c>
      <c r="G1464" t="inlineStr">
        <is>
          <t>Mobile App</t>
        </is>
      </c>
      <c r="H1464" t="inlineStr">
        <is>
          <t>UPI</t>
        </is>
      </c>
      <c r="I1464" t="inlineStr">
        <is>
          <t>Delivered</t>
        </is>
      </c>
      <c r="J1464" t="n">
        <v>132</v>
      </c>
      <c r="K1464" t="n">
        <v>1</v>
      </c>
      <c r="L1464" s="7" t="n">
        <v>471</v>
      </c>
      <c r="M1464" s="7" t="n">
        <v>70.65000000000001</v>
      </c>
    </row>
    <row r="1465">
      <c r="A1465" t="n">
        <v>510072</v>
      </c>
      <c r="B1465" s="6" t="n">
        <v>45948</v>
      </c>
      <c r="C1465" t="n">
        <v>16854</v>
      </c>
      <c r="D1465" t="inlineStr">
        <is>
          <t>Delhi</t>
        </is>
      </c>
      <c r="E1465" t="inlineStr">
        <is>
          <t>North</t>
        </is>
      </c>
      <c r="F1465" t="inlineStr">
        <is>
          <t>Organic Search</t>
        </is>
      </c>
      <c r="G1465" t="inlineStr">
        <is>
          <t>Mobile App</t>
        </is>
      </c>
      <c r="H1465" t="inlineStr">
        <is>
          <t>UPI</t>
        </is>
      </c>
      <c r="I1465" t="inlineStr">
        <is>
          <t>Delivered</t>
        </is>
      </c>
      <c r="J1465" t="n">
        <v>137</v>
      </c>
      <c r="K1465" t="n">
        <v>1</v>
      </c>
      <c r="L1465" s="7" t="n">
        <v>261</v>
      </c>
      <c r="M1465" s="7" t="n">
        <v>39.15</v>
      </c>
    </row>
    <row r="1466">
      <c r="A1466" t="n">
        <v>510073</v>
      </c>
      <c r="B1466" s="6" t="n">
        <v>45948</v>
      </c>
      <c r="C1466" t="n">
        <v>11647</v>
      </c>
      <c r="D1466" t="inlineStr">
        <is>
          <t>Jaipur</t>
        </is>
      </c>
      <c r="E1466" t="inlineStr">
        <is>
          <t>North</t>
        </is>
      </c>
      <c r="F1466" t="inlineStr">
        <is>
          <t>Paid Social</t>
        </is>
      </c>
      <c r="G1466" t="inlineStr">
        <is>
          <t>Mobile Web</t>
        </is>
      </c>
      <c r="H1466" t="inlineStr">
        <is>
          <t>UPI</t>
        </is>
      </c>
      <c r="I1466" t="inlineStr">
        <is>
          <t>Delivered</t>
        </is>
      </c>
      <c r="J1466" t="n">
        <v>110</v>
      </c>
      <c r="K1466" t="n">
        <v>1</v>
      </c>
      <c r="L1466" s="7" t="n">
        <v>839</v>
      </c>
      <c r="M1466" s="7" t="n">
        <v>83.90000000000001</v>
      </c>
    </row>
    <row r="1467">
      <c r="A1467" t="n">
        <v>510074</v>
      </c>
      <c r="B1467" s="6" t="n">
        <v>45948</v>
      </c>
      <c r="C1467" t="n">
        <v>10928</v>
      </c>
      <c r="D1467" t="inlineStr">
        <is>
          <t>Hyderabad</t>
        </is>
      </c>
      <c r="E1467" t="inlineStr">
        <is>
          <t>South</t>
        </is>
      </c>
      <c r="F1467" t="inlineStr">
        <is>
          <t>Organic Search</t>
        </is>
      </c>
      <c r="G1467" t="inlineStr">
        <is>
          <t>Mobile Web</t>
        </is>
      </c>
      <c r="H1467" t="inlineStr">
        <is>
          <t>Cash on Delivery</t>
        </is>
      </c>
      <c r="I1467" t="inlineStr">
        <is>
          <t>Delivered</t>
        </is>
      </c>
      <c r="J1467" t="n">
        <v>133</v>
      </c>
      <c r="K1467" t="n">
        <v>1</v>
      </c>
      <c r="L1467" s="7" t="n">
        <v>419</v>
      </c>
      <c r="M1467" s="7" t="n">
        <v>20.95</v>
      </c>
    </row>
    <row r="1468">
      <c r="A1468" t="n">
        <v>510075</v>
      </c>
      <c r="B1468" s="6" t="n">
        <v>45948</v>
      </c>
      <c r="C1468" t="n">
        <v>11034</v>
      </c>
      <c r="D1468" t="inlineStr">
        <is>
          <t>Bengaluru</t>
        </is>
      </c>
      <c r="E1468" t="inlineStr">
        <is>
          <t>South</t>
        </is>
      </c>
      <c r="F1468" t="inlineStr">
        <is>
          <t>Organic Search</t>
        </is>
      </c>
      <c r="G1468" t="inlineStr">
        <is>
          <t>Mobile App</t>
        </is>
      </c>
      <c r="H1468" t="inlineStr">
        <is>
          <t>UPI</t>
        </is>
      </c>
      <c r="I1468" t="inlineStr">
        <is>
          <t>Delivered</t>
        </is>
      </c>
      <c r="J1468" t="n">
        <v>113</v>
      </c>
      <c r="K1468" t="n">
        <v>2</v>
      </c>
      <c r="L1468" s="7" t="n">
        <v>1364</v>
      </c>
      <c r="M1468" s="7" t="n">
        <v>0</v>
      </c>
    </row>
    <row r="1469">
      <c r="A1469" t="n">
        <v>510076</v>
      </c>
      <c r="B1469" s="6" t="n">
        <v>45948</v>
      </c>
      <c r="C1469" t="n">
        <v>13659</v>
      </c>
      <c r="D1469" t="inlineStr">
        <is>
          <t>Indore</t>
        </is>
      </c>
      <c r="E1469" t="inlineStr">
        <is>
          <t>West</t>
        </is>
      </c>
      <c r="F1469" t="inlineStr">
        <is>
          <t>Email</t>
        </is>
      </c>
      <c r="G1469" t="inlineStr">
        <is>
          <t>Mobile App</t>
        </is>
      </c>
      <c r="H1469" t="inlineStr">
        <is>
          <t>Net Banking</t>
        </is>
      </c>
      <c r="I1469" t="inlineStr">
        <is>
          <t>Delivered</t>
        </is>
      </c>
      <c r="J1469" t="n">
        <v>144</v>
      </c>
      <c r="K1469" t="n">
        <v>1</v>
      </c>
      <c r="L1469" s="7" t="n">
        <v>3149</v>
      </c>
      <c r="M1469" s="7" t="n">
        <v>0</v>
      </c>
    </row>
    <row r="1470">
      <c r="A1470" t="n">
        <v>510077</v>
      </c>
      <c r="B1470" s="6" t="n">
        <v>45948</v>
      </c>
      <c r="C1470" t="n">
        <v>16895</v>
      </c>
      <c r="D1470" t="inlineStr">
        <is>
          <t>Kochi</t>
        </is>
      </c>
      <c r="E1470" t="inlineStr">
        <is>
          <t>South</t>
        </is>
      </c>
      <c r="F1470" t="inlineStr">
        <is>
          <t>Organic Search</t>
        </is>
      </c>
      <c r="G1470" t="inlineStr">
        <is>
          <t>Mobile App</t>
        </is>
      </c>
      <c r="H1470" t="inlineStr">
        <is>
          <t>Credit Card</t>
        </is>
      </c>
      <c r="I1470" t="inlineStr">
        <is>
          <t>Delivered</t>
        </is>
      </c>
      <c r="J1470" t="n">
        <v>122</v>
      </c>
      <c r="K1470" t="n">
        <v>1</v>
      </c>
      <c r="L1470" s="7" t="n">
        <v>1994</v>
      </c>
      <c r="M1470" s="7" t="n">
        <v>299.1</v>
      </c>
    </row>
    <row r="1471">
      <c r="A1471" t="n">
        <v>510078</v>
      </c>
      <c r="B1471" s="6" t="n">
        <v>45948</v>
      </c>
      <c r="C1471" t="n">
        <v>16485</v>
      </c>
      <c r="D1471" t="inlineStr">
        <is>
          <t>Chennai</t>
        </is>
      </c>
      <c r="E1471" t="inlineStr">
        <is>
          <t>South</t>
        </is>
      </c>
      <c r="F1471" t="inlineStr">
        <is>
          <t>Organic Search</t>
        </is>
      </c>
      <c r="G1471" t="inlineStr">
        <is>
          <t>Mobile App</t>
        </is>
      </c>
      <c r="H1471" t="inlineStr">
        <is>
          <t>Credit Card</t>
        </is>
      </c>
      <c r="I1471" t="inlineStr">
        <is>
          <t>Cancelled</t>
        </is>
      </c>
      <c r="J1471" t="n">
        <v>107</v>
      </c>
      <c r="K1471" t="n">
        <v>1</v>
      </c>
      <c r="L1471" s="7" t="n">
        <v>1259</v>
      </c>
      <c r="M1471" s="7" t="n">
        <v>0</v>
      </c>
    </row>
    <row r="1472">
      <c r="A1472" t="n">
        <v>510078</v>
      </c>
      <c r="B1472" s="6" t="n">
        <v>45948</v>
      </c>
      <c r="C1472" t="n">
        <v>16485</v>
      </c>
      <c r="D1472" t="inlineStr">
        <is>
          <t>Chennai</t>
        </is>
      </c>
      <c r="E1472" t="inlineStr">
        <is>
          <t>South</t>
        </is>
      </c>
      <c r="F1472" t="inlineStr">
        <is>
          <t>Organic Search</t>
        </is>
      </c>
      <c r="G1472" t="inlineStr">
        <is>
          <t>Mobile App</t>
        </is>
      </c>
      <c r="H1472" t="inlineStr">
        <is>
          <t>Credit Card</t>
        </is>
      </c>
      <c r="I1472" t="inlineStr">
        <is>
          <t>Cancelled</t>
        </is>
      </c>
      <c r="J1472" t="n">
        <v>114</v>
      </c>
      <c r="K1472" t="n">
        <v>1</v>
      </c>
      <c r="L1472" s="7" t="n">
        <v>1259</v>
      </c>
      <c r="M1472" s="7" t="n">
        <v>0</v>
      </c>
    </row>
    <row r="1473">
      <c r="A1473" t="n">
        <v>510078</v>
      </c>
      <c r="B1473" s="6" t="n">
        <v>45948</v>
      </c>
      <c r="C1473" t="n">
        <v>16485</v>
      </c>
      <c r="D1473" t="inlineStr">
        <is>
          <t>Chennai</t>
        </is>
      </c>
      <c r="E1473" t="inlineStr">
        <is>
          <t>South</t>
        </is>
      </c>
      <c r="F1473" t="inlineStr">
        <is>
          <t>Organic Search</t>
        </is>
      </c>
      <c r="G1473" t="inlineStr">
        <is>
          <t>Mobile App</t>
        </is>
      </c>
      <c r="H1473" t="inlineStr">
        <is>
          <t>Credit Card</t>
        </is>
      </c>
      <c r="I1473" t="inlineStr">
        <is>
          <t>Cancelled</t>
        </is>
      </c>
      <c r="J1473" t="n">
        <v>129</v>
      </c>
      <c r="K1473" t="n">
        <v>1</v>
      </c>
      <c r="L1473" s="7" t="n">
        <v>576</v>
      </c>
      <c r="M1473" s="7" t="n">
        <v>0</v>
      </c>
    </row>
    <row r="1474">
      <c r="A1474" t="n">
        <v>510079</v>
      </c>
      <c r="B1474" s="6" t="n">
        <v>45948</v>
      </c>
      <c r="C1474" t="n">
        <v>16871</v>
      </c>
      <c r="D1474" t="inlineStr">
        <is>
          <t>Ahmedabad</t>
        </is>
      </c>
      <c r="E1474" t="inlineStr">
        <is>
          <t>West</t>
        </is>
      </c>
      <c r="F1474" t="inlineStr">
        <is>
          <t>Paid Search</t>
        </is>
      </c>
      <c r="G1474" t="inlineStr">
        <is>
          <t>Mobile Web</t>
        </is>
      </c>
      <c r="H1474" t="inlineStr">
        <is>
          <t>Debit Card</t>
        </is>
      </c>
      <c r="I1474" t="inlineStr">
        <is>
          <t>Delivered</t>
        </is>
      </c>
      <c r="J1474" t="n">
        <v>122</v>
      </c>
      <c r="K1474" t="n">
        <v>1</v>
      </c>
      <c r="L1474" s="7" t="n">
        <v>1994</v>
      </c>
      <c r="M1474" s="7" t="n">
        <v>199.4</v>
      </c>
    </row>
    <row r="1475">
      <c r="A1475" t="n">
        <v>510080</v>
      </c>
      <c r="B1475" s="6" t="n">
        <v>45948</v>
      </c>
      <c r="C1475" t="n">
        <v>10657</v>
      </c>
      <c r="D1475" t="inlineStr">
        <is>
          <t>Hyderabad</t>
        </is>
      </c>
      <c r="E1475" t="inlineStr">
        <is>
          <t>South</t>
        </is>
      </c>
      <c r="F1475" t="inlineStr">
        <is>
          <t>Organic Search</t>
        </is>
      </c>
      <c r="G1475" t="inlineStr">
        <is>
          <t>Mobile App</t>
        </is>
      </c>
      <c r="H1475" t="inlineStr">
        <is>
          <t>UPI</t>
        </is>
      </c>
      <c r="I1475" t="inlineStr">
        <is>
          <t>Delivered</t>
        </is>
      </c>
      <c r="J1475" t="n">
        <v>140</v>
      </c>
      <c r="K1475" t="n">
        <v>1</v>
      </c>
      <c r="L1475" s="7" t="n">
        <v>629</v>
      </c>
      <c r="M1475" s="7" t="n">
        <v>62.9</v>
      </c>
    </row>
    <row r="1476">
      <c r="A1476" t="n">
        <v>510081</v>
      </c>
      <c r="B1476" s="6" t="n">
        <v>45948</v>
      </c>
      <c r="C1476" t="n">
        <v>16829</v>
      </c>
      <c r="D1476" t="inlineStr">
        <is>
          <t>Mumbai</t>
        </is>
      </c>
      <c r="E1476" t="inlineStr">
        <is>
          <t>West</t>
        </is>
      </c>
      <c r="F1476" t="inlineStr">
        <is>
          <t>Paid Social</t>
        </is>
      </c>
      <c r="G1476" t="inlineStr">
        <is>
          <t>Mobile App</t>
        </is>
      </c>
      <c r="H1476" t="inlineStr">
        <is>
          <t>Debit Card</t>
        </is>
      </c>
      <c r="I1476" t="inlineStr">
        <is>
          <t>Delivered</t>
        </is>
      </c>
      <c r="J1476" t="n">
        <v>104</v>
      </c>
      <c r="K1476" t="n">
        <v>1</v>
      </c>
      <c r="L1476" s="7" t="n">
        <v>5249</v>
      </c>
      <c r="M1476" s="7" t="n">
        <v>787.35</v>
      </c>
    </row>
    <row r="1477">
      <c r="A1477" t="n">
        <v>510082</v>
      </c>
      <c r="B1477" s="6" t="n">
        <v>45948</v>
      </c>
      <c r="C1477" t="n">
        <v>16837</v>
      </c>
      <c r="D1477" t="inlineStr">
        <is>
          <t>Mumbai</t>
        </is>
      </c>
      <c r="E1477" t="inlineStr">
        <is>
          <t>West</t>
        </is>
      </c>
      <c r="F1477" t="inlineStr">
        <is>
          <t>Organic Search</t>
        </is>
      </c>
      <c r="G1477" t="inlineStr">
        <is>
          <t>Mobile Web</t>
        </is>
      </c>
      <c r="H1477" t="inlineStr">
        <is>
          <t>Cash on Delivery</t>
        </is>
      </c>
      <c r="I1477" t="inlineStr">
        <is>
          <t>Delivered</t>
        </is>
      </c>
      <c r="J1477" t="n">
        <v>118</v>
      </c>
      <c r="K1477" t="n">
        <v>1</v>
      </c>
      <c r="L1477" s="7" t="n">
        <v>944</v>
      </c>
      <c r="M1477" s="7" t="n">
        <v>0</v>
      </c>
    </row>
    <row r="1478">
      <c r="A1478" t="n">
        <v>510082</v>
      </c>
      <c r="B1478" s="6" t="n">
        <v>45948</v>
      </c>
      <c r="C1478" t="n">
        <v>16837</v>
      </c>
      <c r="D1478" t="inlineStr">
        <is>
          <t>Mumbai</t>
        </is>
      </c>
      <c r="E1478" t="inlineStr">
        <is>
          <t>West</t>
        </is>
      </c>
      <c r="F1478" t="inlineStr">
        <is>
          <t>Organic Search</t>
        </is>
      </c>
      <c r="G1478" t="inlineStr">
        <is>
          <t>Mobile Web</t>
        </is>
      </c>
      <c r="H1478" t="inlineStr">
        <is>
          <t>Cash on Delivery</t>
        </is>
      </c>
      <c r="I1478" t="inlineStr">
        <is>
          <t>Delivered</t>
        </is>
      </c>
      <c r="J1478" t="n">
        <v>141</v>
      </c>
      <c r="K1478" t="n">
        <v>2</v>
      </c>
      <c r="L1478" s="7" t="n">
        <v>261</v>
      </c>
      <c r="M1478" s="7" t="n">
        <v>0</v>
      </c>
    </row>
    <row r="1479">
      <c r="A1479" t="n">
        <v>510082</v>
      </c>
      <c r="B1479" s="6" t="n">
        <v>45948</v>
      </c>
      <c r="C1479" t="n">
        <v>16837</v>
      </c>
      <c r="D1479" t="inlineStr">
        <is>
          <t>Mumbai</t>
        </is>
      </c>
      <c r="E1479" t="inlineStr">
        <is>
          <t>West</t>
        </is>
      </c>
      <c r="F1479" t="inlineStr">
        <is>
          <t>Organic Search</t>
        </is>
      </c>
      <c r="G1479" t="inlineStr">
        <is>
          <t>Mobile Web</t>
        </is>
      </c>
      <c r="H1479" t="inlineStr">
        <is>
          <t>Cash on Delivery</t>
        </is>
      </c>
      <c r="I1479" t="inlineStr">
        <is>
          <t>Delivered</t>
        </is>
      </c>
      <c r="J1479" t="n">
        <v>129</v>
      </c>
      <c r="K1479" t="n">
        <v>1</v>
      </c>
      <c r="L1479" s="7" t="n">
        <v>576</v>
      </c>
      <c r="M1479" s="7" t="n">
        <v>0</v>
      </c>
    </row>
    <row r="1480">
      <c r="A1480" t="n">
        <v>510083</v>
      </c>
      <c r="B1480" s="6" t="n">
        <v>45948</v>
      </c>
      <c r="C1480" t="n">
        <v>16842</v>
      </c>
      <c r="D1480" t="inlineStr">
        <is>
          <t>Hyderabad</t>
        </is>
      </c>
      <c r="E1480" t="inlineStr">
        <is>
          <t>South</t>
        </is>
      </c>
      <c r="F1480" t="inlineStr">
        <is>
          <t>Referral</t>
        </is>
      </c>
      <c r="G1480" t="inlineStr">
        <is>
          <t>Mobile App</t>
        </is>
      </c>
      <c r="H1480" t="inlineStr">
        <is>
          <t>UPI</t>
        </is>
      </c>
      <c r="I1480" t="inlineStr">
        <is>
          <t>Delivered</t>
        </is>
      </c>
      <c r="J1480" t="n">
        <v>118</v>
      </c>
      <c r="K1480" t="n">
        <v>2</v>
      </c>
      <c r="L1480" s="7" t="n">
        <v>944</v>
      </c>
      <c r="M1480" s="7" t="n">
        <v>283.2</v>
      </c>
    </row>
    <row r="1481">
      <c r="A1481" t="n">
        <v>510084</v>
      </c>
      <c r="B1481" s="6" t="n">
        <v>45948</v>
      </c>
      <c r="C1481" t="n">
        <v>11145</v>
      </c>
      <c r="D1481" t="inlineStr">
        <is>
          <t>Chennai</t>
        </is>
      </c>
      <c r="E1481" t="inlineStr">
        <is>
          <t>South</t>
        </is>
      </c>
      <c r="F1481" t="inlineStr">
        <is>
          <t>Referral</t>
        </is>
      </c>
      <c r="G1481" t="inlineStr">
        <is>
          <t>Mobile App</t>
        </is>
      </c>
      <c r="H1481" t="inlineStr">
        <is>
          <t>UPI</t>
        </is>
      </c>
      <c r="I1481" t="inlineStr">
        <is>
          <t>Delivered</t>
        </is>
      </c>
      <c r="J1481" t="n">
        <v>101</v>
      </c>
      <c r="K1481" t="n">
        <v>2</v>
      </c>
      <c r="L1481" s="7" t="n">
        <v>2099</v>
      </c>
      <c r="M1481" s="7" t="n">
        <v>0</v>
      </c>
    </row>
    <row r="1482">
      <c r="A1482" t="n">
        <v>510085</v>
      </c>
      <c r="B1482" s="6" t="n">
        <v>45948</v>
      </c>
      <c r="C1482" t="n">
        <v>15392</v>
      </c>
      <c r="D1482" t="inlineStr">
        <is>
          <t>Lucknow</t>
        </is>
      </c>
      <c r="E1482" t="inlineStr">
        <is>
          <t>North</t>
        </is>
      </c>
      <c r="F1482" t="inlineStr">
        <is>
          <t>Referral</t>
        </is>
      </c>
      <c r="G1482" t="inlineStr">
        <is>
          <t>Desktop</t>
        </is>
      </c>
      <c r="H1482" t="inlineStr">
        <is>
          <t>Credit Card</t>
        </is>
      </c>
      <c r="I1482" t="inlineStr">
        <is>
          <t>Delivered</t>
        </is>
      </c>
      <c r="J1482" t="n">
        <v>113</v>
      </c>
      <c r="K1482" t="n">
        <v>1</v>
      </c>
      <c r="L1482" s="7" t="n">
        <v>1364</v>
      </c>
      <c r="M1482" s="7" t="n">
        <v>136.4</v>
      </c>
    </row>
    <row r="1483">
      <c r="A1483" t="n">
        <v>510086</v>
      </c>
      <c r="B1483" s="6" t="n">
        <v>45948</v>
      </c>
      <c r="C1483" t="n">
        <v>16342</v>
      </c>
      <c r="D1483" t="inlineStr">
        <is>
          <t>Chennai</t>
        </is>
      </c>
      <c r="E1483" t="inlineStr">
        <is>
          <t>South</t>
        </is>
      </c>
      <c r="F1483" t="inlineStr">
        <is>
          <t>Organic Search</t>
        </is>
      </c>
      <c r="G1483" t="inlineStr">
        <is>
          <t>Mobile Web</t>
        </is>
      </c>
      <c r="H1483" t="inlineStr">
        <is>
          <t>Cash on Delivery</t>
        </is>
      </c>
      <c r="I1483" t="inlineStr">
        <is>
          <t>Returned</t>
        </is>
      </c>
      <c r="J1483" t="n">
        <v>124</v>
      </c>
      <c r="K1483" t="n">
        <v>2</v>
      </c>
      <c r="L1483" s="7" t="n">
        <v>1154</v>
      </c>
      <c r="M1483" s="7" t="n">
        <v>230.8</v>
      </c>
    </row>
    <row r="1484">
      <c r="A1484" t="n">
        <v>510086</v>
      </c>
      <c r="B1484" s="6" t="n">
        <v>45948</v>
      </c>
      <c r="C1484" t="n">
        <v>16342</v>
      </c>
      <c r="D1484" t="inlineStr">
        <is>
          <t>Chennai</t>
        </is>
      </c>
      <c r="E1484" t="inlineStr">
        <is>
          <t>South</t>
        </is>
      </c>
      <c r="F1484" t="inlineStr">
        <is>
          <t>Organic Search</t>
        </is>
      </c>
      <c r="G1484" t="inlineStr">
        <is>
          <t>Mobile Web</t>
        </is>
      </c>
      <c r="H1484" t="inlineStr">
        <is>
          <t>Cash on Delivery</t>
        </is>
      </c>
      <c r="I1484" t="inlineStr">
        <is>
          <t>Returned</t>
        </is>
      </c>
      <c r="J1484" t="n">
        <v>111</v>
      </c>
      <c r="K1484" t="n">
        <v>2</v>
      </c>
      <c r="L1484" s="7" t="n">
        <v>524</v>
      </c>
      <c r="M1484" s="7" t="n">
        <v>104.8</v>
      </c>
    </row>
    <row r="1485">
      <c r="A1485" t="n">
        <v>510087</v>
      </c>
      <c r="B1485" s="6" t="n">
        <v>45948</v>
      </c>
      <c r="C1485" t="n">
        <v>16876</v>
      </c>
      <c r="D1485" t="inlineStr">
        <is>
          <t>Lucknow</t>
        </is>
      </c>
      <c r="E1485" t="inlineStr">
        <is>
          <t>North</t>
        </is>
      </c>
      <c r="F1485" t="inlineStr">
        <is>
          <t>Paid Social</t>
        </is>
      </c>
      <c r="G1485" t="inlineStr">
        <is>
          <t>Desktop</t>
        </is>
      </c>
      <c r="H1485" t="inlineStr">
        <is>
          <t>Cash on Delivery</t>
        </is>
      </c>
      <c r="I1485" t="inlineStr">
        <is>
          <t>Cancelled</t>
        </is>
      </c>
      <c r="J1485" t="n">
        <v>117</v>
      </c>
      <c r="K1485" t="n">
        <v>1</v>
      </c>
      <c r="L1485" s="7" t="n">
        <v>3149</v>
      </c>
      <c r="M1485" s="7" t="n">
        <v>472.35</v>
      </c>
    </row>
    <row r="1486">
      <c r="A1486" t="n">
        <v>510088</v>
      </c>
      <c r="B1486" s="6" t="n">
        <v>45948</v>
      </c>
      <c r="C1486" t="n">
        <v>15379</v>
      </c>
      <c r="D1486" t="inlineStr">
        <is>
          <t>Hyderabad</t>
        </is>
      </c>
      <c r="E1486" t="inlineStr">
        <is>
          <t>South</t>
        </is>
      </c>
      <c r="F1486" t="inlineStr">
        <is>
          <t>Organic Search</t>
        </is>
      </c>
      <c r="G1486" t="inlineStr">
        <is>
          <t>Mobile App</t>
        </is>
      </c>
      <c r="H1486" t="inlineStr">
        <is>
          <t>Cash on Delivery</t>
        </is>
      </c>
      <c r="I1486" t="inlineStr">
        <is>
          <t>Delivered</t>
        </is>
      </c>
      <c r="J1486" t="n">
        <v>101</v>
      </c>
      <c r="K1486" t="n">
        <v>1</v>
      </c>
      <c r="L1486" s="7" t="n">
        <v>2099</v>
      </c>
      <c r="M1486" s="7" t="n">
        <v>0</v>
      </c>
    </row>
    <row r="1487">
      <c r="A1487" t="n">
        <v>510088</v>
      </c>
      <c r="B1487" s="6" t="n">
        <v>45948</v>
      </c>
      <c r="C1487" t="n">
        <v>15379</v>
      </c>
      <c r="D1487" t="inlineStr">
        <is>
          <t>Hyderabad</t>
        </is>
      </c>
      <c r="E1487" t="inlineStr">
        <is>
          <t>South</t>
        </is>
      </c>
      <c r="F1487" t="inlineStr">
        <is>
          <t>Organic Search</t>
        </is>
      </c>
      <c r="G1487" t="inlineStr">
        <is>
          <t>Mobile App</t>
        </is>
      </c>
      <c r="H1487" t="inlineStr">
        <is>
          <t>Cash on Delivery</t>
        </is>
      </c>
      <c r="I1487" t="inlineStr">
        <is>
          <t>Delivered</t>
        </is>
      </c>
      <c r="J1487" t="n">
        <v>129</v>
      </c>
      <c r="K1487" t="n">
        <v>1</v>
      </c>
      <c r="L1487" s="7" t="n">
        <v>576</v>
      </c>
      <c r="M1487" s="7" t="n">
        <v>0</v>
      </c>
    </row>
    <row r="1488">
      <c r="A1488" t="n">
        <v>510089</v>
      </c>
      <c r="B1488" s="6" t="n">
        <v>45948</v>
      </c>
      <c r="C1488" t="n">
        <v>16816</v>
      </c>
      <c r="D1488" t="inlineStr">
        <is>
          <t>Chennai</t>
        </is>
      </c>
      <c r="E1488" t="inlineStr">
        <is>
          <t>South</t>
        </is>
      </c>
      <c r="F1488" t="inlineStr">
        <is>
          <t>Paid Search</t>
        </is>
      </c>
      <c r="G1488" t="inlineStr">
        <is>
          <t>Desktop</t>
        </is>
      </c>
      <c r="H1488" t="inlineStr">
        <is>
          <t>UPI</t>
        </is>
      </c>
      <c r="I1488" t="inlineStr">
        <is>
          <t>Delivered</t>
        </is>
      </c>
      <c r="J1488" t="n">
        <v>112</v>
      </c>
      <c r="K1488" t="n">
        <v>3</v>
      </c>
      <c r="L1488" s="7" t="n">
        <v>1574</v>
      </c>
      <c r="M1488" s="7" t="n">
        <v>0</v>
      </c>
    </row>
    <row r="1489">
      <c r="A1489" t="n">
        <v>510089</v>
      </c>
      <c r="B1489" s="6" t="n">
        <v>45948</v>
      </c>
      <c r="C1489" t="n">
        <v>16816</v>
      </c>
      <c r="D1489" t="inlineStr">
        <is>
          <t>Chennai</t>
        </is>
      </c>
      <c r="E1489" t="inlineStr">
        <is>
          <t>South</t>
        </is>
      </c>
      <c r="F1489" t="inlineStr">
        <is>
          <t>Paid Search</t>
        </is>
      </c>
      <c r="G1489" t="inlineStr">
        <is>
          <t>Desktop</t>
        </is>
      </c>
      <c r="H1489" t="inlineStr">
        <is>
          <t>UPI</t>
        </is>
      </c>
      <c r="I1489" t="inlineStr">
        <is>
          <t>Delivered</t>
        </is>
      </c>
      <c r="J1489" t="n">
        <v>118</v>
      </c>
      <c r="K1489" t="n">
        <v>1</v>
      </c>
      <c r="L1489" s="7" t="n">
        <v>944</v>
      </c>
      <c r="M1489" s="7" t="n">
        <v>0</v>
      </c>
    </row>
    <row r="1490">
      <c r="A1490" t="n">
        <v>510089</v>
      </c>
      <c r="B1490" s="6" t="n">
        <v>45948</v>
      </c>
      <c r="C1490" t="n">
        <v>16816</v>
      </c>
      <c r="D1490" t="inlineStr">
        <is>
          <t>Chennai</t>
        </is>
      </c>
      <c r="E1490" t="inlineStr">
        <is>
          <t>South</t>
        </is>
      </c>
      <c r="F1490" t="inlineStr">
        <is>
          <t>Paid Search</t>
        </is>
      </c>
      <c r="G1490" t="inlineStr">
        <is>
          <t>Desktop</t>
        </is>
      </c>
      <c r="H1490" t="inlineStr">
        <is>
          <t>UPI</t>
        </is>
      </c>
      <c r="I1490" t="inlineStr">
        <is>
          <t>Delivered</t>
        </is>
      </c>
      <c r="J1490" t="n">
        <v>129</v>
      </c>
      <c r="K1490" t="n">
        <v>1</v>
      </c>
      <c r="L1490" s="7" t="n">
        <v>576</v>
      </c>
      <c r="M1490" s="7" t="n">
        <v>0</v>
      </c>
    </row>
    <row r="1491">
      <c r="A1491" t="n">
        <v>510090</v>
      </c>
      <c r="B1491" s="6" t="n">
        <v>45948</v>
      </c>
      <c r="C1491" t="n">
        <v>14167</v>
      </c>
      <c r="D1491" t="inlineStr">
        <is>
          <t>Delhi</t>
        </is>
      </c>
      <c r="E1491" t="inlineStr">
        <is>
          <t>North</t>
        </is>
      </c>
      <c r="F1491" t="inlineStr">
        <is>
          <t>Referral</t>
        </is>
      </c>
      <c r="G1491" t="inlineStr">
        <is>
          <t>Mobile App</t>
        </is>
      </c>
      <c r="H1491" t="inlineStr">
        <is>
          <t>UPI</t>
        </is>
      </c>
      <c r="I1491" t="inlineStr">
        <is>
          <t>Delivered</t>
        </is>
      </c>
      <c r="J1491" t="n">
        <v>104</v>
      </c>
      <c r="K1491" t="n">
        <v>1</v>
      </c>
      <c r="L1491" s="7" t="n">
        <v>5249</v>
      </c>
      <c r="M1491" s="7" t="n">
        <v>524.9</v>
      </c>
    </row>
    <row r="1492">
      <c r="A1492" t="n">
        <v>510090</v>
      </c>
      <c r="B1492" s="6" t="n">
        <v>45948</v>
      </c>
      <c r="C1492" t="n">
        <v>14167</v>
      </c>
      <c r="D1492" t="inlineStr">
        <is>
          <t>Delhi</t>
        </is>
      </c>
      <c r="E1492" t="inlineStr">
        <is>
          <t>North</t>
        </is>
      </c>
      <c r="F1492" t="inlineStr">
        <is>
          <t>Referral</t>
        </is>
      </c>
      <c r="G1492" t="inlineStr">
        <is>
          <t>Mobile App</t>
        </is>
      </c>
      <c r="H1492" t="inlineStr">
        <is>
          <t>UPI</t>
        </is>
      </c>
      <c r="I1492" t="inlineStr">
        <is>
          <t>Delivered</t>
        </is>
      </c>
      <c r="J1492" t="n">
        <v>119</v>
      </c>
      <c r="K1492" t="n">
        <v>1</v>
      </c>
      <c r="L1492" s="7" t="n">
        <v>2309</v>
      </c>
      <c r="M1492" s="7" t="n">
        <v>230.9</v>
      </c>
    </row>
    <row r="1493">
      <c r="A1493" t="n">
        <v>510091</v>
      </c>
      <c r="B1493" s="6" t="n">
        <v>45948</v>
      </c>
      <c r="C1493" t="n">
        <v>16201</v>
      </c>
      <c r="D1493" t="inlineStr">
        <is>
          <t>Kolkata</t>
        </is>
      </c>
      <c r="E1493" t="inlineStr">
        <is>
          <t>East</t>
        </is>
      </c>
      <c r="F1493" t="inlineStr">
        <is>
          <t>Paid Search</t>
        </is>
      </c>
      <c r="G1493" t="inlineStr">
        <is>
          <t>Mobile Web</t>
        </is>
      </c>
      <c r="H1493" t="inlineStr">
        <is>
          <t>UPI</t>
        </is>
      </c>
      <c r="I1493" t="inlineStr">
        <is>
          <t>Returned</t>
        </is>
      </c>
      <c r="J1493" t="n">
        <v>112</v>
      </c>
      <c r="K1493" t="n">
        <v>1</v>
      </c>
      <c r="L1493" s="7" t="n">
        <v>1574</v>
      </c>
      <c r="M1493" s="7" t="n">
        <v>157.4</v>
      </c>
    </row>
    <row r="1494">
      <c r="A1494" t="n">
        <v>510091</v>
      </c>
      <c r="B1494" s="6" t="n">
        <v>45948</v>
      </c>
      <c r="C1494" t="n">
        <v>16201</v>
      </c>
      <c r="D1494" t="inlineStr">
        <is>
          <t>Kolkata</t>
        </is>
      </c>
      <c r="E1494" t="inlineStr">
        <is>
          <t>East</t>
        </is>
      </c>
      <c r="F1494" t="inlineStr">
        <is>
          <t>Paid Search</t>
        </is>
      </c>
      <c r="G1494" t="inlineStr">
        <is>
          <t>Mobile Web</t>
        </is>
      </c>
      <c r="H1494" t="inlineStr">
        <is>
          <t>UPI</t>
        </is>
      </c>
      <c r="I1494" t="inlineStr">
        <is>
          <t>Returned</t>
        </is>
      </c>
      <c r="J1494" t="n">
        <v>129</v>
      </c>
      <c r="K1494" t="n">
        <v>1</v>
      </c>
      <c r="L1494" s="7" t="n">
        <v>576</v>
      </c>
      <c r="M1494" s="7" t="n">
        <v>57.6</v>
      </c>
    </row>
    <row r="1495">
      <c r="A1495" t="n">
        <v>510092</v>
      </c>
      <c r="B1495" s="6" t="n">
        <v>45948</v>
      </c>
      <c r="C1495" t="n">
        <v>12341</v>
      </c>
      <c r="D1495" t="inlineStr">
        <is>
          <t>Delhi</t>
        </is>
      </c>
      <c r="E1495" t="inlineStr">
        <is>
          <t>North</t>
        </is>
      </c>
      <c r="F1495" t="inlineStr">
        <is>
          <t>Paid Search</t>
        </is>
      </c>
      <c r="G1495" t="inlineStr">
        <is>
          <t>Mobile App</t>
        </is>
      </c>
      <c r="H1495" t="inlineStr">
        <is>
          <t>Debit Card</t>
        </is>
      </c>
      <c r="I1495" t="inlineStr">
        <is>
          <t>Cancelled</t>
        </is>
      </c>
      <c r="J1495" t="n">
        <v>103</v>
      </c>
      <c r="K1495" t="n">
        <v>2</v>
      </c>
      <c r="L1495" s="7" t="n">
        <v>2624</v>
      </c>
      <c r="M1495" s="7" t="n">
        <v>524.8</v>
      </c>
    </row>
    <row r="1496">
      <c r="A1496" t="n">
        <v>510093</v>
      </c>
      <c r="B1496" s="6" t="n">
        <v>45948</v>
      </c>
      <c r="C1496" t="n">
        <v>15561</v>
      </c>
      <c r="D1496" t="inlineStr">
        <is>
          <t>Bengaluru</t>
        </is>
      </c>
      <c r="E1496" t="inlineStr">
        <is>
          <t>South</t>
        </is>
      </c>
      <c r="F1496" t="inlineStr">
        <is>
          <t>Paid Social</t>
        </is>
      </c>
      <c r="G1496" t="inlineStr">
        <is>
          <t>Mobile App</t>
        </is>
      </c>
      <c r="H1496" t="inlineStr">
        <is>
          <t>Cash on Delivery</t>
        </is>
      </c>
      <c r="I1496" t="inlineStr">
        <is>
          <t>Delivered</t>
        </is>
      </c>
      <c r="J1496" t="n">
        <v>142</v>
      </c>
      <c r="K1496" t="n">
        <v>1</v>
      </c>
      <c r="L1496" s="7" t="n">
        <v>839</v>
      </c>
      <c r="M1496" s="7" t="n">
        <v>83.90000000000001</v>
      </c>
    </row>
    <row r="1497">
      <c r="A1497" t="n">
        <v>510094</v>
      </c>
      <c r="B1497" s="6" t="n">
        <v>45949</v>
      </c>
      <c r="C1497" t="n">
        <v>16432</v>
      </c>
      <c r="D1497" t="inlineStr">
        <is>
          <t>Jaipur</t>
        </is>
      </c>
      <c r="E1497" t="inlineStr">
        <is>
          <t>North</t>
        </is>
      </c>
      <c r="F1497" t="inlineStr">
        <is>
          <t>Organic Search</t>
        </is>
      </c>
      <c r="G1497" t="inlineStr">
        <is>
          <t>Mobile Web</t>
        </is>
      </c>
      <c r="H1497" t="inlineStr">
        <is>
          <t>Credit Card</t>
        </is>
      </c>
      <c r="I1497" t="inlineStr">
        <is>
          <t>Delivered</t>
        </is>
      </c>
      <c r="J1497" t="n">
        <v>117</v>
      </c>
      <c r="K1497" t="n">
        <v>1</v>
      </c>
      <c r="L1497" s="7" t="n">
        <v>3149</v>
      </c>
      <c r="M1497" s="7" t="n">
        <v>0</v>
      </c>
    </row>
    <row r="1498">
      <c r="A1498" t="n">
        <v>510095</v>
      </c>
      <c r="B1498" s="6" t="n">
        <v>45949</v>
      </c>
      <c r="C1498" t="n">
        <v>11719</v>
      </c>
      <c r="D1498" t="inlineStr">
        <is>
          <t>Mumbai</t>
        </is>
      </c>
      <c r="E1498" t="inlineStr">
        <is>
          <t>West</t>
        </is>
      </c>
      <c r="F1498" t="inlineStr">
        <is>
          <t>Paid Search</t>
        </is>
      </c>
      <c r="G1498" t="inlineStr">
        <is>
          <t>Mobile App</t>
        </is>
      </c>
      <c r="H1498" t="inlineStr">
        <is>
          <t>Credit Card</t>
        </is>
      </c>
      <c r="I1498" t="inlineStr">
        <is>
          <t>Delivered</t>
        </is>
      </c>
      <c r="J1498" t="n">
        <v>118</v>
      </c>
      <c r="K1498" t="n">
        <v>2</v>
      </c>
      <c r="L1498" s="7" t="n">
        <v>944</v>
      </c>
      <c r="M1498" s="7" t="n">
        <v>0</v>
      </c>
    </row>
    <row r="1499">
      <c r="A1499" t="n">
        <v>510095</v>
      </c>
      <c r="B1499" s="6" t="n">
        <v>45949</v>
      </c>
      <c r="C1499" t="n">
        <v>11719</v>
      </c>
      <c r="D1499" t="inlineStr">
        <is>
          <t>Mumbai</t>
        </is>
      </c>
      <c r="E1499" t="inlineStr">
        <is>
          <t>West</t>
        </is>
      </c>
      <c r="F1499" t="inlineStr">
        <is>
          <t>Paid Search</t>
        </is>
      </c>
      <c r="G1499" t="inlineStr">
        <is>
          <t>Mobile App</t>
        </is>
      </c>
      <c r="H1499" t="inlineStr">
        <is>
          <t>Credit Card</t>
        </is>
      </c>
      <c r="I1499" t="inlineStr">
        <is>
          <t>Delivered</t>
        </is>
      </c>
      <c r="J1499" t="n">
        <v>126</v>
      </c>
      <c r="K1499" t="n">
        <v>2</v>
      </c>
      <c r="L1499" s="7" t="n">
        <v>471</v>
      </c>
      <c r="M1499" s="7" t="n">
        <v>0</v>
      </c>
    </row>
    <row r="1500">
      <c r="A1500" t="n">
        <v>510096</v>
      </c>
      <c r="B1500" s="6" t="n">
        <v>45949</v>
      </c>
      <c r="C1500" t="n">
        <v>15950</v>
      </c>
      <c r="D1500" t="inlineStr">
        <is>
          <t>Chennai</t>
        </is>
      </c>
      <c r="E1500" t="inlineStr">
        <is>
          <t>South</t>
        </is>
      </c>
      <c r="F1500" t="inlineStr">
        <is>
          <t>Organic Search</t>
        </is>
      </c>
      <c r="G1500" t="inlineStr">
        <is>
          <t>Mobile App</t>
        </is>
      </c>
      <c r="H1500" t="inlineStr">
        <is>
          <t>UPI</t>
        </is>
      </c>
      <c r="I1500" t="inlineStr">
        <is>
          <t>Delivered</t>
        </is>
      </c>
      <c r="J1500" t="n">
        <v>108</v>
      </c>
      <c r="K1500" t="n">
        <v>1</v>
      </c>
      <c r="L1500" s="7" t="n">
        <v>419</v>
      </c>
      <c r="M1500" s="7" t="n">
        <v>0</v>
      </c>
    </row>
    <row r="1501">
      <c r="A1501" t="n">
        <v>510096</v>
      </c>
      <c r="B1501" s="6" t="n">
        <v>45949</v>
      </c>
      <c r="C1501" t="n">
        <v>15950</v>
      </c>
      <c r="D1501" t="inlineStr">
        <is>
          <t>Chennai</t>
        </is>
      </c>
      <c r="E1501" t="inlineStr">
        <is>
          <t>South</t>
        </is>
      </c>
      <c r="F1501" t="inlineStr">
        <is>
          <t>Organic Search</t>
        </is>
      </c>
      <c r="G1501" t="inlineStr">
        <is>
          <t>Mobile App</t>
        </is>
      </c>
      <c r="H1501" t="inlineStr">
        <is>
          <t>UPI</t>
        </is>
      </c>
      <c r="I1501" t="inlineStr">
        <is>
          <t>Delivered</t>
        </is>
      </c>
      <c r="J1501" t="n">
        <v>129</v>
      </c>
      <c r="K1501" t="n">
        <v>1</v>
      </c>
      <c r="L1501" s="7" t="n">
        <v>576</v>
      </c>
      <c r="M1501" s="7" t="n">
        <v>0</v>
      </c>
    </row>
    <row r="1502">
      <c r="A1502" t="n">
        <v>510097</v>
      </c>
      <c r="B1502" s="6" t="n">
        <v>45949</v>
      </c>
      <c r="C1502" t="n">
        <v>11683</v>
      </c>
      <c r="D1502" t="inlineStr">
        <is>
          <t>Chandigarh</t>
        </is>
      </c>
      <c r="E1502" t="inlineStr">
        <is>
          <t>North</t>
        </is>
      </c>
      <c r="F1502" t="inlineStr">
        <is>
          <t>Organic Search</t>
        </is>
      </c>
      <c r="G1502" t="inlineStr">
        <is>
          <t>Mobile Web</t>
        </is>
      </c>
      <c r="H1502" t="inlineStr">
        <is>
          <t>UPI</t>
        </is>
      </c>
      <c r="I1502" t="inlineStr">
        <is>
          <t>Cancelled</t>
        </is>
      </c>
      <c r="J1502" t="n">
        <v>109</v>
      </c>
      <c r="K1502" t="n">
        <v>1</v>
      </c>
      <c r="L1502" s="7" t="n">
        <v>4199</v>
      </c>
      <c r="M1502" s="7" t="n">
        <v>419.9</v>
      </c>
    </row>
    <row r="1503">
      <c r="A1503" t="n">
        <v>510097</v>
      </c>
      <c r="B1503" s="6" t="n">
        <v>45949</v>
      </c>
      <c r="C1503" t="n">
        <v>11683</v>
      </c>
      <c r="D1503" t="inlineStr">
        <is>
          <t>Chandigarh</t>
        </is>
      </c>
      <c r="E1503" t="inlineStr">
        <is>
          <t>North</t>
        </is>
      </c>
      <c r="F1503" t="inlineStr">
        <is>
          <t>Organic Search</t>
        </is>
      </c>
      <c r="G1503" t="inlineStr">
        <is>
          <t>Mobile Web</t>
        </is>
      </c>
      <c r="H1503" t="inlineStr">
        <is>
          <t>UPI</t>
        </is>
      </c>
      <c r="I1503" t="inlineStr">
        <is>
          <t>Cancelled</t>
        </is>
      </c>
      <c r="J1503" t="n">
        <v>116</v>
      </c>
      <c r="K1503" t="n">
        <v>1</v>
      </c>
      <c r="L1503" s="7" t="n">
        <v>2624</v>
      </c>
      <c r="M1503" s="7" t="n">
        <v>262.4</v>
      </c>
    </row>
    <row r="1504">
      <c r="A1504" t="n">
        <v>510097</v>
      </c>
      <c r="B1504" s="6" t="n">
        <v>45949</v>
      </c>
      <c r="C1504" t="n">
        <v>11683</v>
      </c>
      <c r="D1504" t="inlineStr">
        <is>
          <t>Chandigarh</t>
        </is>
      </c>
      <c r="E1504" t="inlineStr">
        <is>
          <t>North</t>
        </is>
      </c>
      <c r="F1504" t="inlineStr">
        <is>
          <t>Organic Search</t>
        </is>
      </c>
      <c r="G1504" t="inlineStr">
        <is>
          <t>Mobile Web</t>
        </is>
      </c>
      <c r="H1504" t="inlineStr">
        <is>
          <t>UPI</t>
        </is>
      </c>
      <c r="I1504" t="inlineStr">
        <is>
          <t>Cancelled</t>
        </is>
      </c>
      <c r="J1504" t="n">
        <v>129</v>
      </c>
      <c r="K1504" t="n">
        <v>2</v>
      </c>
      <c r="L1504" s="7" t="n">
        <v>576</v>
      </c>
      <c r="M1504" s="7" t="n">
        <v>115.2</v>
      </c>
    </row>
    <row r="1505">
      <c r="A1505" t="n">
        <v>510098</v>
      </c>
      <c r="B1505" s="6" t="n">
        <v>45949</v>
      </c>
      <c r="C1505" t="n">
        <v>16919</v>
      </c>
      <c r="D1505" t="inlineStr">
        <is>
          <t>Bengaluru</t>
        </is>
      </c>
      <c r="E1505" t="inlineStr">
        <is>
          <t>South</t>
        </is>
      </c>
      <c r="F1505" t="inlineStr">
        <is>
          <t>Organic Search</t>
        </is>
      </c>
      <c r="G1505" t="inlineStr">
        <is>
          <t>Desktop</t>
        </is>
      </c>
      <c r="H1505" t="inlineStr">
        <is>
          <t>Cash on Delivery</t>
        </is>
      </c>
      <c r="I1505" t="inlineStr">
        <is>
          <t>Delivered</t>
        </is>
      </c>
      <c r="J1505" t="n">
        <v>113</v>
      </c>
      <c r="K1505" t="n">
        <v>3</v>
      </c>
      <c r="L1505" s="7" t="n">
        <v>1364</v>
      </c>
      <c r="M1505" s="7" t="n">
        <v>613.8</v>
      </c>
    </row>
    <row r="1506">
      <c r="A1506" t="n">
        <v>510098</v>
      </c>
      <c r="B1506" s="6" t="n">
        <v>45949</v>
      </c>
      <c r="C1506" t="n">
        <v>16919</v>
      </c>
      <c r="D1506" t="inlineStr">
        <is>
          <t>Bengaluru</t>
        </is>
      </c>
      <c r="E1506" t="inlineStr">
        <is>
          <t>South</t>
        </is>
      </c>
      <c r="F1506" t="inlineStr">
        <is>
          <t>Organic Search</t>
        </is>
      </c>
      <c r="G1506" t="inlineStr">
        <is>
          <t>Desktop</t>
        </is>
      </c>
      <c r="H1506" t="inlineStr">
        <is>
          <t>Cash on Delivery</t>
        </is>
      </c>
      <c r="I1506" t="inlineStr">
        <is>
          <t>Delivered</t>
        </is>
      </c>
      <c r="J1506" t="n">
        <v>129</v>
      </c>
      <c r="K1506" t="n">
        <v>1</v>
      </c>
      <c r="L1506" s="7" t="n">
        <v>576</v>
      </c>
      <c r="M1506" s="7" t="n">
        <v>86.40000000000001</v>
      </c>
    </row>
    <row r="1507">
      <c r="A1507" t="n">
        <v>510099</v>
      </c>
      <c r="B1507" s="6" t="n">
        <v>45949</v>
      </c>
      <c r="C1507" t="n">
        <v>16911</v>
      </c>
      <c r="D1507" t="inlineStr">
        <is>
          <t>Kolkata</t>
        </is>
      </c>
      <c r="E1507" t="inlineStr">
        <is>
          <t>East</t>
        </is>
      </c>
      <c r="F1507" t="inlineStr">
        <is>
          <t>Paid Social</t>
        </is>
      </c>
      <c r="G1507" t="inlineStr">
        <is>
          <t>Mobile App</t>
        </is>
      </c>
      <c r="H1507" t="inlineStr">
        <is>
          <t>Debit Card</t>
        </is>
      </c>
      <c r="I1507" t="inlineStr">
        <is>
          <t>Delivered</t>
        </is>
      </c>
      <c r="J1507" t="n">
        <v>117</v>
      </c>
      <c r="K1507" t="n">
        <v>1</v>
      </c>
      <c r="L1507" s="7" t="n">
        <v>3149</v>
      </c>
      <c r="M1507" s="7" t="n">
        <v>314.9</v>
      </c>
    </row>
    <row r="1508">
      <c r="A1508" t="n">
        <v>510100</v>
      </c>
      <c r="B1508" s="6" t="n">
        <v>45949</v>
      </c>
      <c r="C1508" t="n">
        <v>13366</v>
      </c>
      <c r="D1508" t="inlineStr">
        <is>
          <t>Chandigarh</t>
        </is>
      </c>
      <c r="E1508" t="inlineStr">
        <is>
          <t>North</t>
        </is>
      </c>
      <c r="F1508" t="inlineStr">
        <is>
          <t>Paid Social</t>
        </is>
      </c>
      <c r="G1508" t="inlineStr">
        <is>
          <t>Mobile App</t>
        </is>
      </c>
      <c r="H1508" t="inlineStr">
        <is>
          <t>UPI</t>
        </is>
      </c>
      <c r="I1508" t="inlineStr">
        <is>
          <t>Delivered</t>
        </is>
      </c>
      <c r="J1508" t="n">
        <v>123</v>
      </c>
      <c r="K1508" t="n">
        <v>1</v>
      </c>
      <c r="L1508" s="7" t="n">
        <v>3464</v>
      </c>
      <c r="M1508" s="7" t="n">
        <v>346.4</v>
      </c>
    </row>
    <row r="1509">
      <c r="A1509" t="n">
        <v>510101</v>
      </c>
      <c r="B1509" s="6" t="n">
        <v>45949</v>
      </c>
      <c r="C1509" t="n">
        <v>14418</v>
      </c>
      <c r="D1509" t="inlineStr">
        <is>
          <t>Lucknow</t>
        </is>
      </c>
      <c r="E1509" t="inlineStr">
        <is>
          <t>North</t>
        </is>
      </c>
      <c r="F1509" t="inlineStr">
        <is>
          <t>Organic Search</t>
        </is>
      </c>
      <c r="G1509" t="inlineStr">
        <is>
          <t>Desktop</t>
        </is>
      </c>
      <c r="H1509" t="inlineStr">
        <is>
          <t>UPI</t>
        </is>
      </c>
      <c r="I1509" t="inlineStr">
        <is>
          <t>Delivered</t>
        </is>
      </c>
      <c r="J1509" t="n">
        <v>120</v>
      </c>
      <c r="K1509" t="n">
        <v>1</v>
      </c>
      <c r="L1509" s="7" t="n">
        <v>734</v>
      </c>
      <c r="M1509" s="7" t="n">
        <v>73.40000000000001</v>
      </c>
    </row>
    <row r="1510">
      <c r="A1510" t="n">
        <v>510101</v>
      </c>
      <c r="B1510" s="6" t="n">
        <v>45949</v>
      </c>
      <c r="C1510" t="n">
        <v>14418</v>
      </c>
      <c r="D1510" t="inlineStr">
        <is>
          <t>Lucknow</t>
        </is>
      </c>
      <c r="E1510" t="inlineStr">
        <is>
          <t>North</t>
        </is>
      </c>
      <c r="F1510" t="inlineStr">
        <is>
          <t>Organic Search</t>
        </is>
      </c>
      <c r="G1510" t="inlineStr">
        <is>
          <t>Desktop</t>
        </is>
      </c>
      <c r="H1510" t="inlineStr">
        <is>
          <t>UPI</t>
        </is>
      </c>
      <c r="I1510" t="inlineStr">
        <is>
          <t>Delivered</t>
        </is>
      </c>
      <c r="J1510" t="n">
        <v>118</v>
      </c>
      <c r="K1510" t="n">
        <v>1</v>
      </c>
      <c r="L1510" s="7" t="n">
        <v>944</v>
      </c>
      <c r="M1510" s="7" t="n">
        <v>94.40000000000001</v>
      </c>
    </row>
    <row r="1511">
      <c r="A1511" t="n">
        <v>510101</v>
      </c>
      <c r="B1511" s="6" t="n">
        <v>45949</v>
      </c>
      <c r="C1511" t="n">
        <v>14418</v>
      </c>
      <c r="D1511" t="inlineStr">
        <is>
          <t>Lucknow</t>
        </is>
      </c>
      <c r="E1511" t="inlineStr">
        <is>
          <t>North</t>
        </is>
      </c>
      <c r="F1511" t="inlineStr">
        <is>
          <t>Organic Search</t>
        </is>
      </c>
      <c r="G1511" t="inlineStr">
        <is>
          <t>Desktop</t>
        </is>
      </c>
      <c r="H1511" t="inlineStr">
        <is>
          <t>UPI</t>
        </is>
      </c>
      <c r="I1511" t="inlineStr">
        <is>
          <t>Delivered</t>
        </is>
      </c>
      <c r="J1511" t="n">
        <v>121</v>
      </c>
      <c r="K1511" t="n">
        <v>1</v>
      </c>
      <c r="L1511" s="7" t="n">
        <v>2939</v>
      </c>
      <c r="M1511" s="7" t="n">
        <v>293.9</v>
      </c>
    </row>
    <row r="1512">
      <c r="A1512" t="n">
        <v>510101</v>
      </c>
      <c r="B1512" s="6" t="n">
        <v>45949</v>
      </c>
      <c r="C1512" t="n">
        <v>14418</v>
      </c>
      <c r="D1512" t="inlineStr">
        <is>
          <t>Lucknow</t>
        </is>
      </c>
      <c r="E1512" t="inlineStr">
        <is>
          <t>North</t>
        </is>
      </c>
      <c r="F1512" t="inlineStr">
        <is>
          <t>Organic Search</t>
        </is>
      </c>
      <c r="G1512" t="inlineStr">
        <is>
          <t>Desktop</t>
        </is>
      </c>
      <c r="H1512" t="inlineStr">
        <is>
          <t>UPI</t>
        </is>
      </c>
      <c r="I1512" t="inlineStr">
        <is>
          <t>Delivered</t>
        </is>
      </c>
      <c r="J1512" t="n">
        <v>136</v>
      </c>
      <c r="K1512" t="n">
        <v>1</v>
      </c>
      <c r="L1512" s="7" t="n">
        <v>944</v>
      </c>
      <c r="M1512" s="7" t="n">
        <v>94.40000000000001</v>
      </c>
    </row>
    <row r="1513">
      <c r="A1513" t="n">
        <v>510101</v>
      </c>
      <c r="B1513" s="6" t="n">
        <v>45949</v>
      </c>
      <c r="C1513" t="n">
        <v>14418</v>
      </c>
      <c r="D1513" t="inlineStr">
        <is>
          <t>Lucknow</t>
        </is>
      </c>
      <c r="E1513" t="inlineStr">
        <is>
          <t>North</t>
        </is>
      </c>
      <c r="F1513" t="inlineStr">
        <is>
          <t>Organic Search</t>
        </is>
      </c>
      <c r="G1513" t="inlineStr">
        <is>
          <t>Desktop</t>
        </is>
      </c>
      <c r="H1513" t="inlineStr">
        <is>
          <t>UPI</t>
        </is>
      </c>
      <c r="I1513" t="inlineStr">
        <is>
          <t>Delivered</t>
        </is>
      </c>
      <c r="J1513" t="n">
        <v>129</v>
      </c>
      <c r="K1513" t="n">
        <v>1</v>
      </c>
      <c r="L1513" s="7" t="n">
        <v>576</v>
      </c>
      <c r="M1513" s="7" t="n">
        <v>57.6</v>
      </c>
    </row>
    <row r="1514">
      <c r="A1514" t="n">
        <v>510102</v>
      </c>
      <c r="B1514" s="6" t="n">
        <v>45949</v>
      </c>
      <c r="C1514" t="n">
        <v>16660</v>
      </c>
      <c r="D1514" t="inlineStr">
        <is>
          <t>Pune</t>
        </is>
      </c>
      <c r="E1514" t="inlineStr">
        <is>
          <t>West</t>
        </is>
      </c>
      <c r="F1514" t="inlineStr">
        <is>
          <t>Paid Search</t>
        </is>
      </c>
      <c r="G1514" t="inlineStr">
        <is>
          <t>Mobile App</t>
        </is>
      </c>
      <c r="H1514" t="inlineStr">
        <is>
          <t>Net Banking</t>
        </is>
      </c>
      <c r="I1514" t="inlineStr">
        <is>
          <t>Delivered</t>
        </is>
      </c>
      <c r="J1514" t="n">
        <v>141</v>
      </c>
      <c r="K1514" t="n">
        <v>1</v>
      </c>
      <c r="L1514" s="7" t="n">
        <v>261</v>
      </c>
      <c r="M1514" s="7" t="n">
        <v>0</v>
      </c>
    </row>
    <row r="1515">
      <c r="A1515" t="n">
        <v>510102</v>
      </c>
      <c r="B1515" s="6" t="n">
        <v>45949</v>
      </c>
      <c r="C1515" t="n">
        <v>16660</v>
      </c>
      <c r="D1515" t="inlineStr">
        <is>
          <t>Pune</t>
        </is>
      </c>
      <c r="E1515" t="inlineStr">
        <is>
          <t>West</t>
        </is>
      </c>
      <c r="F1515" t="inlineStr">
        <is>
          <t>Paid Search</t>
        </is>
      </c>
      <c r="G1515" t="inlineStr">
        <is>
          <t>Mobile App</t>
        </is>
      </c>
      <c r="H1515" t="inlineStr">
        <is>
          <t>Net Banking</t>
        </is>
      </c>
      <c r="I1515" t="inlineStr">
        <is>
          <t>Delivered</t>
        </is>
      </c>
      <c r="J1515" t="n">
        <v>129</v>
      </c>
      <c r="K1515" t="n">
        <v>2</v>
      </c>
      <c r="L1515" s="7" t="n">
        <v>576</v>
      </c>
      <c r="M1515" s="7" t="n">
        <v>0</v>
      </c>
    </row>
    <row r="1516">
      <c r="A1516" t="n">
        <v>510103</v>
      </c>
      <c r="B1516" s="6" t="n">
        <v>45949</v>
      </c>
      <c r="C1516" t="n">
        <v>15765</v>
      </c>
      <c r="D1516" t="inlineStr">
        <is>
          <t>Delhi</t>
        </is>
      </c>
      <c r="E1516" t="inlineStr">
        <is>
          <t>North</t>
        </is>
      </c>
      <c r="F1516" t="inlineStr">
        <is>
          <t>Referral</t>
        </is>
      </c>
      <c r="G1516" t="inlineStr">
        <is>
          <t>Desktop</t>
        </is>
      </c>
      <c r="H1516" t="inlineStr">
        <is>
          <t>UPI</t>
        </is>
      </c>
      <c r="I1516" t="inlineStr">
        <is>
          <t>Returned</t>
        </is>
      </c>
      <c r="J1516" t="n">
        <v>118</v>
      </c>
      <c r="K1516" t="n">
        <v>3</v>
      </c>
      <c r="L1516" s="7" t="n">
        <v>944</v>
      </c>
      <c r="M1516" s="7" t="n">
        <v>283.2</v>
      </c>
    </row>
    <row r="1517">
      <c r="A1517" t="n">
        <v>510103</v>
      </c>
      <c r="B1517" s="6" t="n">
        <v>45949</v>
      </c>
      <c r="C1517" t="n">
        <v>15765</v>
      </c>
      <c r="D1517" t="inlineStr">
        <is>
          <t>Delhi</t>
        </is>
      </c>
      <c r="E1517" t="inlineStr">
        <is>
          <t>North</t>
        </is>
      </c>
      <c r="F1517" t="inlineStr">
        <is>
          <t>Referral</t>
        </is>
      </c>
      <c r="G1517" t="inlineStr">
        <is>
          <t>Desktop</t>
        </is>
      </c>
      <c r="H1517" t="inlineStr">
        <is>
          <t>UPI</t>
        </is>
      </c>
      <c r="I1517" t="inlineStr">
        <is>
          <t>Returned</t>
        </is>
      </c>
      <c r="J1517" t="n">
        <v>137</v>
      </c>
      <c r="K1517" t="n">
        <v>3</v>
      </c>
      <c r="L1517" s="7" t="n">
        <v>261</v>
      </c>
      <c r="M1517" s="7" t="n">
        <v>78.3</v>
      </c>
    </row>
    <row r="1518">
      <c r="A1518" t="n">
        <v>510104</v>
      </c>
      <c r="B1518" s="6" t="n">
        <v>45949</v>
      </c>
      <c r="C1518" t="n">
        <v>16892</v>
      </c>
      <c r="D1518" t="inlineStr">
        <is>
          <t>Gurugram</t>
        </is>
      </c>
      <c r="E1518" t="inlineStr">
        <is>
          <t>North</t>
        </is>
      </c>
      <c r="F1518" t="inlineStr">
        <is>
          <t>Referral</t>
        </is>
      </c>
      <c r="G1518" t="inlineStr">
        <is>
          <t>Mobile Web</t>
        </is>
      </c>
      <c r="H1518" t="inlineStr">
        <is>
          <t>UPI</t>
        </is>
      </c>
      <c r="I1518" t="inlineStr">
        <is>
          <t>Delivered</t>
        </is>
      </c>
      <c r="J1518" t="n">
        <v>106</v>
      </c>
      <c r="K1518" t="n">
        <v>1</v>
      </c>
      <c r="L1518" s="7" t="n">
        <v>1574</v>
      </c>
      <c r="M1518" s="7" t="n">
        <v>236.1</v>
      </c>
    </row>
    <row r="1519">
      <c r="A1519" t="n">
        <v>510105</v>
      </c>
      <c r="B1519" s="6" t="n">
        <v>45949</v>
      </c>
      <c r="C1519" t="n">
        <v>16872</v>
      </c>
      <c r="D1519" t="inlineStr">
        <is>
          <t>Bengaluru</t>
        </is>
      </c>
      <c r="E1519" t="inlineStr">
        <is>
          <t>South</t>
        </is>
      </c>
      <c r="F1519" t="inlineStr">
        <is>
          <t>Affiliate</t>
        </is>
      </c>
      <c r="G1519" t="inlineStr">
        <is>
          <t>Mobile App</t>
        </is>
      </c>
      <c r="H1519" t="inlineStr">
        <is>
          <t>Credit Card</t>
        </is>
      </c>
      <c r="I1519" t="inlineStr">
        <is>
          <t>Delivered</t>
        </is>
      </c>
      <c r="J1519" t="n">
        <v>137</v>
      </c>
      <c r="K1519" t="n">
        <v>1</v>
      </c>
      <c r="L1519" s="7" t="n">
        <v>261</v>
      </c>
      <c r="M1519" s="7" t="n">
        <v>26.1</v>
      </c>
    </row>
    <row r="1520">
      <c r="A1520" t="n">
        <v>510105</v>
      </c>
      <c r="B1520" s="6" t="n">
        <v>45949</v>
      </c>
      <c r="C1520" t="n">
        <v>16872</v>
      </c>
      <c r="D1520" t="inlineStr">
        <is>
          <t>Bengaluru</t>
        </is>
      </c>
      <c r="E1520" t="inlineStr">
        <is>
          <t>South</t>
        </is>
      </c>
      <c r="F1520" t="inlineStr">
        <is>
          <t>Affiliate</t>
        </is>
      </c>
      <c r="G1520" t="inlineStr">
        <is>
          <t>Mobile App</t>
        </is>
      </c>
      <c r="H1520" t="inlineStr">
        <is>
          <t>Credit Card</t>
        </is>
      </c>
      <c r="I1520" t="inlineStr">
        <is>
          <t>Delivered</t>
        </is>
      </c>
      <c r="J1520" t="n">
        <v>131</v>
      </c>
      <c r="K1520" t="n">
        <v>1</v>
      </c>
      <c r="L1520" s="7" t="n">
        <v>314</v>
      </c>
      <c r="M1520" s="7" t="n">
        <v>31.4</v>
      </c>
    </row>
    <row r="1521">
      <c r="A1521" t="n">
        <v>510105</v>
      </c>
      <c r="B1521" s="6" t="n">
        <v>45949</v>
      </c>
      <c r="C1521" t="n">
        <v>16872</v>
      </c>
      <c r="D1521" t="inlineStr">
        <is>
          <t>Bengaluru</t>
        </is>
      </c>
      <c r="E1521" t="inlineStr">
        <is>
          <t>South</t>
        </is>
      </c>
      <c r="F1521" t="inlineStr">
        <is>
          <t>Affiliate</t>
        </is>
      </c>
      <c r="G1521" t="inlineStr">
        <is>
          <t>Mobile App</t>
        </is>
      </c>
      <c r="H1521" t="inlineStr">
        <is>
          <t>Credit Card</t>
        </is>
      </c>
      <c r="I1521" t="inlineStr">
        <is>
          <t>Delivered</t>
        </is>
      </c>
      <c r="J1521" t="n">
        <v>108</v>
      </c>
      <c r="K1521" t="n">
        <v>1</v>
      </c>
      <c r="L1521" s="7" t="n">
        <v>419</v>
      </c>
      <c r="M1521" s="7" t="n">
        <v>41.9</v>
      </c>
    </row>
    <row r="1522">
      <c r="A1522" t="n">
        <v>510106</v>
      </c>
      <c r="B1522" s="6" t="n">
        <v>45949</v>
      </c>
      <c r="C1522" t="n">
        <v>14940</v>
      </c>
      <c r="D1522" t="inlineStr">
        <is>
          <t>Mumbai</t>
        </is>
      </c>
      <c r="E1522" t="inlineStr">
        <is>
          <t>West</t>
        </is>
      </c>
      <c r="F1522" t="inlineStr">
        <is>
          <t>Organic Search</t>
        </is>
      </c>
      <c r="G1522" t="inlineStr">
        <is>
          <t>Mobile App</t>
        </is>
      </c>
      <c r="H1522" t="inlineStr">
        <is>
          <t>Cash on Delivery</t>
        </is>
      </c>
      <c r="I1522" t="inlineStr">
        <is>
          <t>Delivered</t>
        </is>
      </c>
      <c r="J1522" t="n">
        <v>136</v>
      </c>
      <c r="K1522" t="n">
        <v>1</v>
      </c>
      <c r="L1522" s="7" t="n">
        <v>944</v>
      </c>
      <c r="M1522" s="7" t="n">
        <v>0</v>
      </c>
    </row>
    <row r="1523">
      <c r="A1523" t="n">
        <v>510106</v>
      </c>
      <c r="B1523" s="6" t="n">
        <v>45949</v>
      </c>
      <c r="C1523" t="n">
        <v>14940</v>
      </c>
      <c r="D1523" t="inlineStr">
        <is>
          <t>Mumbai</t>
        </is>
      </c>
      <c r="E1523" t="inlineStr">
        <is>
          <t>West</t>
        </is>
      </c>
      <c r="F1523" t="inlineStr">
        <is>
          <t>Organic Search</t>
        </is>
      </c>
      <c r="G1523" t="inlineStr">
        <is>
          <t>Mobile App</t>
        </is>
      </c>
      <c r="H1523" t="inlineStr">
        <is>
          <t>Cash on Delivery</t>
        </is>
      </c>
      <c r="I1523" t="inlineStr">
        <is>
          <t>Delivered</t>
        </is>
      </c>
      <c r="J1523" t="n">
        <v>141</v>
      </c>
      <c r="K1523" t="n">
        <v>2</v>
      </c>
      <c r="L1523" s="7" t="n">
        <v>261</v>
      </c>
      <c r="M1523" s="7" t="n">
        <v>0</v>
      </c>
    </row>
    <row r="1524">
      <c r="A1524" t="n">
        <v>510107</v>
      </c>
      <c r="B1524" s="6" t="n">
        <v>45949</v>
      </c>
      <c r="C1524" t="n">
        <v>13000</v>
      </c>
      <c r="D1524" t="inlineStr">
        <is>
          <t>Bengaluru</t>
        </is>
      </c>
      <c r="E1524" t="inlineStr">
        <is>
          <t>South</t>
        </is>
      </c>
      <c r="F1524" t="inlineStr">
        <is>
          <t>Paid Search</t>
        </is>
      </c>
      <c r="G1524" t="inlineStr">
        <is>
          <t>Mobile Web</t>
        </is>
      </c>
      <c r="H1524" t="inlineStr">
        <is>
          <t>Credit Card</t>
        </is>
      </c>
      <c r="I1524" t="inlineStr">
        <is>
          <t>Delivered</t>
        </is>
      </c>
      <c r="J1524" t="n">
        <v>117</v>
      </c>
      <c r="K1524" t="n">
        <v>1</v>
      </c>
      <c r="L1524" s="7" t="n">
        <v>3149</v>
      </c>
      <c r="M1524" s="7" t="n">
        <v>314.9</v>
      </c>
    </row>
    <row r="1525">
      <c r="A1525" t="n">
        <v>510107</v>
      </c>
      <c r="B1525" s="6" t="n">
        <v>45949</v>
      </c>
      <c r="C1525" t="n">
        <v>13000</v>
      </c>
      <c r="D1525" t="inlineStr">
        <is>
          <t>Bengaluru</t>
        </is>
      </c>
      <c r="E1525" t="inlineStr">
        <is>
          <t>South</t>
        </is>
      </c>
      <c r="F1525" t="inlineStr">
        <is>
          <t>Paid Search</t>
        </is>
      </c>
      <c r="G1525" t="inlineStr">
        <is>
          <t>Mobile Web</t>
        </is>
      </c>
      <c r="H1525" t="inlineStr">
        <is>
          <t>Credit Card</t>
        </is>
      </c>
      <c r="I1525" t="inlineStr">
        <is>
          <t>Delivered</t>
        </is>
      </c>
      <c r="J1525" t="n">
        <v>129</v>
      </c>
      <c r="K1525" t="n">
        <v>1</v>
      </c>
      <c r="L1525" s="7" t="n">
        <v>576</v>
      </c>
      <c r="M1525" s="7" t="n">
        <v>57.6</v>
      </c>
    </row>
    <row r="1526">
      <c r="A1526" t="n">
        <v>510108</v>
      </c>
      <c r="B1526" s="6" t="n">
        <v>45949</v>
      </c>
      <c r="C1526" t="n">
        <v>16861</v>
      </c>
      <c r="D1526" t="inlineStr">
        <is>
          <t>Delhi</t>
        </is>
      </c>
      <c r="E1526" t="inlineStr">
        <is>
          <t>North</t>
        </is>
      </c>
      <c r="F1526" t="inlineStr">
        <is>
          <t>Paid Search</t>
        </is>
      </c>
      <c r="G1526" t="inlineStr">
        <is>
          <t>Mobile App</t>
        </is>
      </c>
      <c r="H1526" t="inlineStr">
        <is>
          <t>Debit Card</t>
        </is>
      </c>
      <c r="I1526" t="inlineStr">
        <is>
          <t>Delivered</t>
        </is>
      </c>
      <c r="J1526" t="n">
        <v>104</v>
      </c>
      <c r="K1526" t="n">
        <v>1</v>
      </c>
      <c r="L1526" s="7" t="n">
        <v>5249</v>
      </c>
      <c r="M1526" s="7" t="n">
        <v>787.35</v>
      </c>
    </row>
    <row r="1527">
      <c r="A1527" t="n">
        <v>510108</v>
      </c>
      <c r="B1527" s="6" t="n">
        <v>45949</v>
      </c>
      <c r="C1527" t="n">
        <v>16861</v>
      </c>
      <c r="D1527" t="inlineStr">
        <is>
          <t>Delhi</t>
        </is>
      </c>
      <c r="E1527" t="inlineStr">
        <is>
          <t>North</t>
        </is>
      </c>
      <c r="F1527" t="inlineStr">
        <is>
          <t>Paid Search</t>
        </is>
      </c>
      <c r="G1527" t="inlineStr">
        <is>
          <t>Mobile App</t>
        </is>
      </c>
      <c r="H1527" t="inlineStr">
        <is>
          <t>Debit Card</t>
        </is>
      </c>
      <c r="I1527" t="inlineStr">
        <is>
          <t>Delivered</t>
        </is>
      </c>
      <c r="J1527" t="n">
        <v>129</v>
      </c>
      <c r="K1527" t="n">
        <v>1</v>
      </c>
      <c r="L1527" s="7" t="n">
        <v>576</v>
      </c>
      <c r="M1527" s="7" t="n">
        <v>86.40000000000001</v>
      </c>
    </row>
    <row r="1528">
      <c r="A1528" t="n">
        <v>510109</v>
      </c>
      <c r="B1528" s="6" t="n">
        <v>45949</v>
      </c>
      <c r="C1528" t="n">
        <v>12008</v>
      </c>
      <c r="D1528" t="inlineStr">
        <is>
          <t>Gurugram</t>
        </is>
      </c>
      <c r="E1528" t="inlineStr">
        <is>
          <t>North</t>
        </is>
      </c>
      <c r="F1528" t="inlineStr">
        <is>
          <t>Referral</t>
        </is>
      </c>
      <c r="G1528" t="inlineStr">
        <is>
          <t>Mobile App</t>
        </is>
      </c>
      <c r="H1528" t="inlineStr">
        <is>
          <t>Credit Card</t>
        </is>
      </c>
      <c r="I1528" t="inlineStr">
        <is>
          <t>Delivered</t>
        </is>
      </c>
      <c r="J1528" t="n">
        <v>120</v>
      </c>
      <c r="K1528" t="n">
        <v>1</v>
      </c>
      <c r="L1528" s="7" t="n">
        <v>734</v>
      </c>
      <c r="M1528" s="7" t="n">
        <v>73.40000000000001</v>
      </c>
    </row>
    <row r="1529">
      <c r="A1529" t="n">
        <v>510109</v>
      </c>
      <c r="B1529" s="6" t="n">
        <v>45949</v>
      </c>
      <c r="C1529" t="n">
        <v>12008</v>
      </c>
      <c r="D1529" t="inlineStr">
        <is>
          <t>Gurugram</t>
        </is>
      </c>
      <c r="E1529" t="inlineStr">
        <is>
          <t>North</t>
        </is>
      </c>
      <c r="F1529" t="inlineStr">
        <is>
          <t>Referral</t>
        </is>
      </c>
      <c r="G1529" t="inlineStr">
        <is>
          <t>Mobile App</t>
        </is>
      </c>
      <c r="H1529" t="inlineStr">
        <is>
          <t>Credit Card</t>
        </is>
      </c>
      <c r="I1529" t="inlineStr">
        <is>
          <t>Delivered</t>
        </is>
      </c>
      <c r="J1529" t="n">
        <v>140</v>
      </c>
      <c r="K1529" t="n">
        <v>1</v>
      </c>
      <c r="L1529" s="7" t="n">
        <v>629</v>
      </c>
      <c r="M1529" s="7" t="n">
        <v>62.9</v>
      </c>
    </row>
    <row r="1530">
      <c r="A1530" t="n">
        <v>510109</v>
      </c>
      <c r="B1530" s="6" t="n">
        <v>45949</v>
      </c>
      <c r="C1530" t="n">
        <v>12008</v>
      </c>
      <c r="D1530" t="inlineStr">
        <is>
          <t>Gurugram</t>
        </is>
      </c>
      <c r="E1530" t="inlineStr">
        <is>
          <t>North</t>
        </is>
      </c>
      <c r="F1530" t="inlineStr">
        <is>
          <t>Referral</t>
        </is>
      </c>
      <c r="G1530" t="inlineStr">
        <is>
          <t>Mobile App</t>
        </is>
      </c>
      <c r="H1530" t="inlineStr">
        <is>
          <t>Credit Card</t>
        </is>
      </c>
      <c r="I1530" t="inlineStr">
        <is>
          <t>Delivered</t>
        </is>
      </c>
      <c r="J1530" t="n">
        <v>121</v>
      </c>
      <c r="K1530" t="n">
        <v>1</v>
      </c>
      <c r="L1530" s="7" t="n">
        <v>2939</v>
      </c>
      <c r="M1530" s="7" t="n">
        <v>293.9</v>
      </c>
    </row>
    <row r="1531">
      <c r="A1531" t="n">
        <v>510110</v>
      </c>
      <c r="B1531" s="6" t="n">
        <v>45949</v>
      </c>
      <c r="C1531" t="n">
        <v>13281</v>
      </c>
      <c r="D1531" t="inlineStr">
        <is>
          <t>Jaipur</t>
        </is>
      </c>
      <c r="E1531" t="inlineStr">
        <is>
          <t>North</t>
        </is>
      </c>
      <c r="F1531" t="inlineStr">
        <is>
          <t>Organic Search</t>
        </is>
      </c>
      <c r="G1531" t="inlineStr">
        <is>
          <t>Desktop</t>
        </is>
      </c>
      <c r="H1531" t="inlineStr">
        <is>
          <t>Cash on Delivery</t>
        </is>
      </c>
      <c r="I1531" t="inlineStr">
        <is>
          <t>Cancelled</t>
        </is>
      </c>
      <c r="J1531" t="n">
        <v>112</v>
      </c>
      <c r="K1531" t="n">
        <v>1</v>
      </c>
      <c r="L1531" s="7" t="n">
        <v>1574</v>
      </c>
      <c r="M1531" s="7" t="n">
        <v>78.7</v>
      </c>
    </row>
    <row r="1532">
      <c r="A1532" t="n">
        <v>510110</v>
      </c>
      <c r="B1532" s="6" t="n">
        <v>45949</v>
      </c>
      <c r="C1532" t="n">
        <v>13281</v>
      </c>
      <c r="D1532" t="inlineStr">
        <is>
          <t>Jaipur</t>
        </is>
      </c>
      <c r="E1532" t="inlineStr">
        <is>
          <t>North</t>
        </is>
      </c>
      <c r="F1532" t="inlineStr">
        <is>
          <t>Organic Search</t>
        </is>
      </c>
      <c r="G1532" t="inlineStr">
        <is>
          <t>Desktop</t>
        </is>
      </c>
      <c r="H1532" t="inlineStr">
        <is>
          <t>Cash on Delivery</t>
        </is>
      </c>
      <c r="I1532" t="inlineStr">
        <is>
          <t>Cancelled</t>
        </is>
      </c>
      <c r="J1532" t="n">
        <v>115</v>
      </c>
      <c r="K1532" t="n">
        <v>1</v>
      </c>
      <c r="L1532" s="7" t="n">
        <v>4199</v>
      </c>
      <c r="M1532" s="7" t="n">
        <v>209.95</v>
      </c>
    </row>
    <row r="1533">
      <c r="A1533" t="n">
        <v>510110</v>
      </c>
      <c r="B1533" s="6" t="n">
        <v>45949</v>
      </c>
      <c r="C1533" t="n">
        <v>13281</v>
      </c>
      <c r="D1533" t="inlineStr">
        <is>
          <t>Jaipur</t>
        </is>
      </c>
      <c r="E1533" t="inlineStr">
        <is>
          <t>North</t>
        </is>
      </c>
      <c r="F1533" t="inlineStr">
        <is>
          <t>Organic Search</t>
        </is>
      </c>
      <c r="G1533" t="inlineStr">
        <is>
          <t>Desktop</t>
        </is>
      </c>
      <c r="H1533" t="inlineStr">
        <is>
          <t>Cash on Delivery</t>
        </is>
      </c>
      <c r="I1533" t="inlineStr">
        <is>
          <t>Cancelled</t>
        </is>
      </c>
      <c r="J1533" t="n">
        <v>129</v>
      </c>
      <c r="K1533" t="n">
        <v>1</v>
      </c>
      <c r="L1533" s="7" t="n">
        <v>576</v>
      </c>
      <c r="M1533" s="7" t="n">
        <v>28.8</v>
      </c>
    </row>
    <row r="1534">
      <c r="A1534" t="n">
        <v>510111</v>
      </c>
      <c r="B1534" s="6" t="n">
        <v>45949</v>
      </c>
      <c r="C1534" t="n">
        <v>15760</v>
      </c>
      <c r="D1534" t="inlineStr">
        <is>
          <t>Chandigarh</t>
        </is>
      </c>
      <c r="E1534" t="inlineStr">
        <is>
          <t>North</t>
        </is>
      </c>
      <c r="F1534" t="inlineStr">
        <is>
          <t>Paid Search</t>
        </is>
      </c>
      <c r="G1534" t="inlineStr">
        <is>
          <t>Desktop</t>
        </is>
      </c>
      <c r="H1534" t="inlineStr">
        <is>
          <t>UPI</t>
        </is>
      </c>
      <c r="I1534" t="inlineStr">
        <is>
          <t>Delivered</t>
        </is>
      </c>
      <c r="J1534" t="n">
        <v>120</v>
      </c>
      <c r="K1534" t="n">
        <v>1</v>
      </c>
      <c r="L1534" s="7" t="n">
        <v>734</v>
      </c>
      <c r="M1534" s="7" t="n">
        <v>0</v>
      </c>
    </row>
    <row r="1535">
      <c r="A1535" t="n">
        <v>510112</v>
      </c>
      <c r="B1535" s="6" t="n">
        <v>45949</v>
      </c>
      <c r="C1535" t="n">
        <v>16832</v>
      </c>
      <c r="D1535" t="inlineStr">
        <is>
          <t>Mumbai</t>
        </is>
      </c>
      <c r="E1535" t="inlineStr">
        <is>
          <t>West</t>
        </is>
      </c>
      <c r="F1535" t="inlineStr">
        <is>
          <t>Organic Search</t>
        </is>
      </c>
      <c r="G1535" t="inlineStr">
        <is>
          <t>Desktop</t>
        </is>
      </c>
      <c r="H1535" t="inlineStr">
        <is>
          <t>UPI</t>
        </is>
      </c>
      <c r="I1535" t="inlineStr">
        <is>
          <t>Delivered</t>
        </is>
      </c>
      <c r="J1535" t="n">
        <v>134</v>
      </c>
      <c r="K1535" t="n">
        <v>2</v>
      </c>
      <c r="L1535" s="7" t="n">
        <v>209</v>
      </c>
      <c r="M1535" s="7" t="n">
        <v>62.7</v>
      </c>
    </row>
    <row r="1536">
      <c r="A1536" t="n">
        <v>510112</v>
      </c>
      <c r="B1536" s="6" t="n">
        <v>45949</v>
      </c>
      <c r="C1536" t="n">
        <v>16832</v>
      </c>
      <c r="D1536" t="inlineStr">
        <is>
          <t>Mumbai</t>
        </is>
      </c>
      <c r="E1536" t="inlineStr">
        <is>
          <t>West</t>
        </is>
      </c>
      <c r="F1536" t="inlineStr">
        <is>
          <t>Organic Search</t>
        </is>
      </c>
      <c r="G1536" t="inlineStr">
        <is>
          <t>Desktop</t>
        </is>
      </c>
      <c r="H1536" t="inlineStr">
        <is>
          <t>UPI</t>
        </is>
      </c>
      <c r="I1536" t="inlineStr">
        <is>
          <t>Delivered</t>
        </is>
      </c>
      <c r="J1536" t="n">
        <v>105</v>
      </c>
      <c r="K1536" t="n">
        <v>1</v>
      </c>
      <c r="L1536" s="7" t="n">
        <v>2414</v>
      </c>
      <c r="M1536" s="7" t="n">
        <v>362.1</v>
      </c>
    </row>
    <row r="1537">
      <c r="A1537" t="n">
        <v>510112</v>
      </c>
      <c r="B1537" s="6" t="n">
        <v>45949</v>
      </c>
      <c r="C1537" t="n">
        <v>16832</v>
      </c>
      <c r="D1537" t="inlineStr">
        <is>
          <t>Mumbai</t>
        </is>
      </c>
      <c r="E1537" t="inlineStr">
        <is>
          <t>West</t>
        </is>
      </c>
      <c r="F1537" t="inlineStr">
        <is>
          <t>Organic Search</t>
        </is>
      </c>
      <c r="G1537" t="inlineStr">
        <is>
          <t>Desktop</t>
        </is>
      </c>
      <c r="H1537" t="inlineStr">
        <is>
          <t>UPI</t>
        </is>
      </c>
      <c r="I1537" t="inlineStr">
        <is>
          <t>Delivered</t>
        </is>
      </c>
      <c r="J1537" t="n">
        <v>113</v>
      </c>
      <c r="K1537" t="n">
        <v>1</v>
      </c>
      <c r="L1537" s="7" t="n">
        <v>1364</v>
      </c>
      <c r="M1537" s="7" t="n">
        <v>204.6</v>
      </c>
    </row>
    <row r="1538">
      <c r="A1538" t="n">
        <v>510112</v>
      </c>
      <c r="B1538" s="6" t="n">
        <v>45949</v>
      </c>
      <c r="C1538" t="n">
        <v>16832</v>
      </c>
      <c r="D1538" t="inlineStr">
        <is>
          <t>Mumbai</t>
        </is>
      </c>
      <c r="E1538" t="inlineStr">
        <is>
          <t>West</t>
        </is>
      </c>
      <c r="F1538" t="inlineStr">
        <is>
          <t>Organic Search</t>
        </is>
      </c>
      <c r="G1538" t="inlineStr">
        <is>
          <t>Desktop</t>
        </is>
      </c>
      <c r="H1538" t="inlineStr">
        <is>
          <t>UPI</t>
        </is>
      </c>
      <c r="I1538" t="inlineStr">
        <is>
          <t>Delivered</t>
        </is>
      </c>
      <c r="J1538" t="n">
        <v>129</v>
      </c>
      <c r="K1538" t="n">
        <v>1</v>
      </c>
      <c r="L1538" s="7" t="n">
        <v>576</v>
      </c>
      <c r="M1538" s="7" t="n">
        <v>86.40000000000001</v>
      </c>
    </row>
    <row r="1539">
      <c r="A1539" t="n">
        <v>510113</v>
      </c>
      <c r="B1539" s="6" t="n">
        <v>45949</v>
      </c>
      <c r="C1539" t="n">
        <v>10262</v>
      </c>
      <c r="D1539" t="inlineStr">
        <is>
          <t>Chennai</t>
        </is>
      </c>
      <c r="E1539" t="inlineStr">
        <is>
          <t>South</t>
        </is>
      </c>
      <c r="F1539" t="inlineStr">
        <is>
          <t>Organic Search</t>
        </is>
      </c>
      <c r="G1539" t="inlineStr">
        <is>
          <t>Mobile App</t>
        </is>
      </c>
      <c r="H1539" t="inlineStr">
        <is>
          <t>Debit Card</t>
        </is>
      </c>
      <c r="I1539" t="inlineStr">
        <is>
          <t>Delivered</t>
        </is>
      </c>
      <c r="J1539" t="n">
        <v>121</v>
      </c>
      <c r="K1539" t="n">
        <v>1</v>
      </c>
      <c r="L1539" s="7" t="n">
        <v>2939</v>
      </c>
      <c r="M1539" s="7" t="n">
        <v>293.9</v>
      </c>
    </row>
    <row r="1540">
      <c r="A1540" t="n">
        <v>510113</v>
      </c>
      <c r="B1540" s="6" t="n">
        <v>45949</v>
      </c>
      <c r="C1540" t="n">
        <v>10262</v>
      </c>
      <c r="D1540" t="inlineStr">
        <is>
          <t>Chennai</t>
        </is>
      </c>
      <c r="E1540" t="inlineStr">
        <is>
          <t>South</t>
        </is>
      </c>
      <c r="F1540" t="inlineStr">
        <is>
          <t>Organic Search</t>
        </is>
      </c>
      <c r="G1540" t="inlineStr">
        <is>
          <t>Mobile App</t>
        </is>
      </c>
      <c r="H1540" t="inlineStr">
        <is>
          <t>Debit Card</t>
        </is>
      </c>
      <c r="I1540" t="inlineStr">
        <is>
          <t>Delivered</t>
        </is>
      </c>
      <c r="J1540" t="n">
        <v>120</v>
      </c>
      <c r="K1540" t="n">
        <v>1</v>
      </c>
      <c r="L1540" s="7" t="n">
        <v>734</v>
      </c>
      <c r="M1540" s="7" t="n">
        <v>73.40000000000001</v>
      </c>
    </row>
    <row r="1541">
      <c r="A1541" t="n">
        <v>510114</v>
      </c>
      <c r="B1541" s="6" t="n">
        <v>45949</v>
      </c>
      <c r="C1541" t="n">
        <v>16773</v>
      </c>
      <c r="D1541" t="inlineStr">
        <is>
          <t>Bengaluru</t>
        </is>
      </c>
      <c r="E1541" t="inlineStr">
        <is>
          <t>South</t>
        </is>
      </c>
      <c r="F1541" t="inlineStr">
        <is>
          <t>Referral</t>
        </is>
      </c>
      <c r="G1541" t="inlineStr">
        <is>
          <t>Mobile Web</t>
        </is>
      </c>
      <c r="H1541" t="inlineStr">
        <is>
          <t>Credit Card</t>
        </is>
      </c>
      <c r="I1541" t="inlineStr">
        <is>
          <t>Delivered</t>
        </is>
      </c>
      <c r="J1541" t="n">
        <v>130</v>
      </c>
      <c r="K1541" t="n">
        <v>1</v>
      </c>
      <c r="L1541" s="7" t="n">
        <v>734</v>
      </c>
      <c r="M1541" s="7" t="n">
        <v>110.1</v>
      </c>
    </row>
    <row r="1542">
      <c r="A1542" t="n">
        <v>510114</v>
      </c>
      <c r="B1542" s="6" t="n">
        <v>45949</v>
      </c>
      <c r="C1542" t="n">
        <v>16773</v>
      </c>
      <c r="D1542" t="inlineStr">
        <is>
          <t>Bengaluru</t>
        </is>
      </c>
      <c r="E1542" t="inlineStr">
        <is>
          <t>South</t>
        </is>
      </c>
      <c r="F1542" t="inlineStr">
        <is>
          <t>Referral</t>
        </is>
      </c>
      <c r="G1542" t="inlineStr">
        <is>
          <t>Mobile Web</t>
        </is>
      </c>
      <c r="H1542" t="inlineStr">
        <is>
          <t>Credit Card</t>
        </is>
      </c>
      <c r="I1542" t="inlineStr">
        <is>
          <t>Delivered</t>
        </is>
      </c>
      <c r="J1542" t="n">
        <v>129</v>
      </c>
      <c r="K1542" t="n">
        <v>1</v>
      </c>
      <c r="L1542" s="7" t="n">
        <v>576</v>
      </c>
      <c r="M1542" s="7" t="n">
        <v>86.40000000000001</v>
      </c>
    </row>
    <row r="1543">
      <c r="A1543" t="n">
        <v>510115</v>
      </c>
      <c r="B1543" s="6" t="n">
        <v>45949</v>
      </c>
      <c r="C1543" t="n">
        <v>16862</v>
      </c>
      <c r="D1543" t="inlineStr">
        <is>
          <t>Bengaluru</t>
        </is>
      </c>
      <c r="E1543" t="inlineStr">
        <is>
          <t>South</t>
        </is>
      </c>
      <c r="F1543" t="inlineStr">
        <is>
          <t>Paid Search</t>
        </is>
      </c>
      <c r="G1543" t="inlineStr">
        <is>
          <t>Mobile Web</t>
        </is>
      </c>
      <c r="H1543" t="inlineStr">
        <is>
          <t>Debit Card</t>
        </is>
      </c>
      <c r="I1543" t="inlineStr">
        <is>
          <t>Delivered</t>
        </is>
      </c>
      <c r="J1543" t="n">
        <v>137</v>
      </c>
      <c r="K1543" t="n">
        <v>1</v>
      </c>
      <c r="L1543" s="7" t="n">
        <v>261</v>
      </c>
      <c r="M1543" s="7" t="n">
        <v>0</v>
      </c>
    </row>
    <row r="1544">
      <c r="A1544" t="n">
        <v>510115</v>
      </c>
      <c r="B1544" s="6" t="n">
        <v>45949</v>
      </c>
      <c r="C1544" t="n">
        <v>16862</v>
      </c>
      <c r="D1544" t="inlineStr">
        <is>
          <t>Bengaluru</t>
        </is>
      </c>
      <c r="E1544" t="inlineStr">
        <is>
          <t>South</t>
        </is>
      </c>
      <c r="F1544" t="inlineStr">
        <is>
          <t>Paid Search</t>
        </is>
      </c>
      <c r="G1544" t="inlineStr">
        <is>
          <t>Mobile Web</t>
        </is>
      </c>
      <c r="H1544" t="inlineStr">
        <is>
          <t>Debit Card</t>
        </is>
      </c>
      <c r="I1544" t="inlineStr">
        <is>
          <t>Delivered</t>
        </is>
      </c>
      <c r="J1544" t="n">
        <v>102</v>
      </c>
      <c r="K1544" t="n">
        <v>1</v>
      </c>
      <c r="L1544" s="7" t="n">
        <v>3674</v>
      </c>
      <c r="M1544" s="7" t="n">
        <v>0</v>
      </c>
    </row>
    <row r="1545">
      <c r="A1545" t="n">
        <v>510115</v>
      </c>
      <c r="B1545" s="6" t="n">
        <v>45949</v>
      </c>
      <c r="C1545" t="n">
        <v>16862</v>
      </c>
      <c r="D1545" t="inlineStr">
        <is>
          <t>Bengaluru</t>
        </is>
      </c>
      <c r="E1545" t="inlineStr">
        <is>
          <t>South</t>
        </is>
      </c>
      <c r="F1545" t="inlineStr">
        <is>
          <t>Paid Search</t>
        </is>
      </c>
      <c r="G1545" t="inlineStr">
        <is>
          <t>Mobile Web</t>
        </is>
      </c>
      <c r="H1545" t="inlineStr">
        <is>
          <t>Debit Card</t>
        </is>
      </c>
      <c r="I1545" t="inlineStr">
        <is>
          <t>Delivered</t>
        </is>
      </c>
      <c r="J1545" t="n">
        <v>129</v>
      </c>
      <c r="K1545" t="n">
        <v>1</v>
      </c>
      <c r="L1545" s="7" t="n">
        <v>576</v>
      </c>
      <c r="M1545" s="7" t="n">
        <v>0</v>
      </c>
    </row>
    <row r="1546">
      <c r="A1546" t="n">
        <v>510116</v>
      </c>
      <c r="B1546" s="6" t="n">
        <v>45949</v>
      </c>
      <c r="C1546" t="n">
        <v>12960</v>
      </c>
      <c r="D1546" t="inlineStr">
        <is>
          <t>Hyderabad</t>
        </is>
      </c>
      <c r="E1546" t="inlineStr">
        <is>
          <t>South</t>
        </is>
      </c>
      <c r="F1546" t="inlineStr">
        <is>
          <t>Organic Search</t>
        </is>
      </c>
      <c r="G1546" t="inlineStr">
        <is>
          <t>Mobile App</t>
        </is>
      </c>
      <c r="H1546" t="inlineStr">
        <is>
          <t>UPI</t>
        </is>
      </c>
      <c r="I1546" t="inlineStr">
        <is>
          <t>Delivered</t>
        </is>
      </c>
      <c r="J1546" t="n">
        <v>127</v>
      </c>
      <c r="K1546" t="n">
        <v>1</v>
      </c>
      <c r="L1546" s="7" t="n">
        <v>681</v>
      </c>
      <c r="M1546" s="7" t="n">
        <v>68.09999999999999</v>
      </c>
    </row>
    <row r="1547">
      <c r="A1547" t="n">
        <v>510116</v>
      </c>
      <c r="B1547" s="6" t="n">
        <v>45949</v>
      </c>
      <c r="C1547" t="n">
        <v>12960</v>
      </c>
      <c r="D1547" t="inlineStr">
        <is>
          <t>Hyderabad</t>
        </is>
      </c>
      <c r="E1547" t="inlineStr">
        <is>
          <t>South</t>
        </is>
      </c>
      <c r="F1547" t="inlineStr">
        <is>
          <t>Organic Search</t>
        </is>
      </c>
      <c r="G1547" t="inlineStr">
        <is>
          <t>Mobile App</t>
        </is>
      </c>
      <c r="H1547" t="inlineStr">
        <is>
          <t>UPI</t>
        </is>
      </c>
      <c r="I1547" t="inlineStr">
        <is>
          <t>Delivered</t>
        </is>
      </c>
      <c r="J1547" t="n">
        <v>113</v>
      </c>
      <c r="K1547" t="n">
        <v>1</v>
      </c>
      <c r="L1547" s="7" t="n">
        <v>1364</v>
      </c>
      <c r="M1547" s="7" t="n">
        <v>136.4</v>
      </c>
    </row>
    <row r="1548">
      <c r="A1548" t="n">
        <v>510117</v>
      </c>
      <c r="B1548" s="6" t="n">
        <v>45949</v>
      </c>
      <c r="C1548" t="n">
        <v>15579</v>
      </c>
      <c r="D1548" t="inlineStr">
        <is>
          <t>Pune</t>
        </is>
      </c>
      <c r="E1548" t="inlineStr">
        <is>
          <t>West</t>
        </is>
      </c>
      <c r="F1548" t="inlineStr">
        <is>
          <t>Paid Search</t>
        </is>
      </c>
      <c r="G1548" t="inlineStr">
        <is>
          <t>Mobile App</t>
        </is>
      </c>
      <c r="H1548" t="inlineStr">
        <is>
          <t>UPI</t>
        </is>
      </c>
      <c r="I1548" t="inlineStr">
        <is>
          <t>Delivered</t>
        </is>
      </c>
      <c r="J1548" t="n">
        <v>108</v>
      </c>
      <c r="K1548" t="n">
        <v>1</v>
      </c>
      <c r="L1548" s="7" t="n">
        <v>419</v>
      </c>
      <c r="M1548" s="7" t="n">
        <v>41.9</v>
      </c>
    </row>
    <row r="1549">
      <c r="A1549" t="n">
        <v>510118</v>
      </c>
      <c r="B1549" s="6" t="n">
        <v>45949</v>
      </c>
      <c r="C1549" t="n">
        <v>16827</v>
      </c>
      <c r="D1549" t="inlineStr">
        <is>
          <t>Mumbai</t>
        </is>
      </c>
      <c r="E1549" t="inlineStr">
        <is>
          <t>West</t>
        </is>
      </c>
      <c r="F1549" t="inlineStr">
        <is>
          <t>Paid Social</t>
        </is>
      </c>
      <c r="G1549" t="inlineStr">
        <is>
          <t>Mobile Web</t>
        </is>
      </c>
      <c r="H1549" t="inlineStr">
        <is>
          <t>UPI</t>
        </is>
      </c>
      <c r="I1549" t="inlineStr">
        <is>
          <t>Delivered</t>
        </is>
      </c>
      <c r="J1549" t="n">
        <v>110</v>
      </c>
      <c r="K1549" t="n">
        <v>1</v>
      </c>
      <c r="L1549" s="7" t="n">
        <v>839</v>
      </c>
      <c r="M1549" s="7" t="n">
        <v>0</v>
      </c>
    </row>
    <row r="1550">
      <c r="A1550" t="n">
        <v>510118</v>
      </c>
      <c r="B1550" s="6" t="n">
        <v>45949</v>
      </c>
      <c r="C1550" t="n">
        <v>16827</v>
      </c>
      <c r="D1550" t="inlineStr">
        <is>
          <t>Mumbai</t>
        </is>
      </c>
      <c r="E1550" t="inlineStr">
        <is>
          <t>West</t>
        </is>
      </c>
      <c r="F1550" t="inlineStr">
        <is>
          <t>Paid Social</t>
        </is>
      </c>
      <c r="G1550" t="inlineStr">
        <is>
          <t>Mobile Web</t>
        </is>
      </c>
      <c r="H1550" t="inlineStr">
        <is>
          <t>UPI</t>
        </is>
      </c>
      <c r="I1550" t="inlineStr">
        <is>
          <t>Delivered</t>
        </is>
      </c>
      <c r="J1550" t="n">
        <v>127</v>
      </c>
      <c r="K1550" t="n">
        <v>1</v>
      </c>
      <c r="L1550" s="7" t="n">
        <v>681</v>
      </c>
      <c r="M1550" s="7" t="n">
        <v>0</v>
      </c>
    </row>
    <row r="1551">
      <c r="A1551" t="n">
        <v>510118</v>
      </c>
      <c r="B1551" s="6" t="n">
        <v>45949</v>
      </c>
      <c r="C1551" t="n">
        <v>16827</v>
      </c>
      <c r="D1551" t="inlineStr">
        <is>
          <t>Mumbai</t>
        </is>
      </c>
      <c r="E1551" t="inlineStr">
        <is>
          <t>West</t>
        </is>
      </c>
      <c r="F1551" t="inlineStr">
        <is>
          <t>Paid Social</t>
        </is>
      </c>
      <c r="G1551" t="inlineStr">
        <is>
          <t>Mobile Web</t>
        </is>
      </c>
      <c r="H1551" t="inlineStr">
        <is>
          <t>UPI</t>
        </is>
      </c>
      <c r="I1551" t="inlineStr">
        <is>
          <t>Delivered</t>
        </is>
      </c>
      <c r="J1551" t="n">
        <v>145</v>
      </c>
      <c r="K1551" t="n">
        <v>1</v>
      </c>
      <c r="L1551" s="7" t="n">
        <v>629</v>
      </c>
      <c r="M1551" s="7" t="n">
        <v>0</v>
      </c>
    </row>
    <row r="1552">
      <c r="A1552" t="n">
        <v>510118</v>
      </c>
      <c r="B1552" s="6" t="n">
        <v>45949</v>
      </c>
      <c r="C1552" t="n">
        <v>16827</v>
      </c>
      <c r="D1552" t="inlineStr">
        <is>
          <t>Mumbai</t>
        </is>
      </c>
      <c r="E1552" t="inlineStr">
        <is>
          <t>West</t>
        </is>
      </c>
      <c r="F1552" t="inlineStr">
        <is>
          <t>Paid Social</t>
        </is>
      </c>
      <c r="G1552" t="inlineStr">
        <is>
          <t>Mobile Web</t>
        </is>
      </c>
      <c r="H1552" t="inlineStr">
        <is>
          <t>UPI</t>
        </is>
      </c>
      <c r="I1552" t="inlineStr">
        <is>
          <t>Delivered</t>
        </is>
      </c>
      <c r="J1552" t="n">
        <v>129</v>
      </c>
      <c r="K1552" t="n">
        <v>1</v>
      </c>
      <c r="L1552" s="7" t="n">
        <v>576</v>
      </c>
      <c r="M1552" s="7" t="n">
        <v>0</v>
      </c>
    </row>
    <row r="1553">
      <c r="A1553" t="n">
        <v>510119</v>
      </c>
      <c r="B1553" s="6" t="n">
        <v>45949</v>
      </c>
      <c r="C1553" t="n">
        <v>16593</v>
      </c>
      <c r="D1553" t="inlineStr">
        <is>
          <t>Mumbai</t>
        </is>
      </c>
      <c r="E1553" t="inlineStr">
        <is>
          <t>West</t>
        </is>
      </c>
      <c r="F1553" t="inlineStr">
        <is>
          <t>Referral</t>
        </is>
      </c>
      <c r="G1553" t="inlineStr">
        <is>
          <t>Mobile App</t>
        </is>
      </c>
      <c r="H1553" t="inlineStr">
        <is>
          <t>UPI</t>
        </is>
      </c>
      <c r="I1553" t="inlineStr">
        <is>
          <t>Delivered</t>
        </is>
      </c>
      <c r="J1553" t="n">
        <v>120</v>
      </c>
      <c r="K1553" t="n">
        <v>2</v>
      </c>
      <c r="L1553" s="7" t="n">
        <v>734</v>
      </c>
      <c r="M1553" s="7" t="n">
        <v>146.8</v>
      </c>
    </row>
    <row r="1554">
      <c r="A1554" t="n">
        <v>510119</v>
      </c>
      <c r="B1554" s="6" t="n">
        <v>45949</v>
      </c>
      <c r="C1554" t="n">
        <v>16593</v>
      </c>
      <c r="D1554" t="inlineStr">
        <is>
          <t>Mumbai</t>
        </is>
      </c>
      <c r="E1554" t="inlineStr">
        <is>
          <t>West</t>
        </is>
      </c>
      <c r="F1554" t="inlineStr">
        <is>
          <t>Referral</t>
        </is>
      </c>
      <c r="G1554" t="inlineStr">
        <is>
          <t>Mobile App</t>
        </is>
      </c>
      <c r="H1554" t="inlineStr">
        <is>
          <t>UPI</t>
        </is>
      </c>
      <c r="I1554" t="inlineStr">
        <is>
          <t>Delivered</t>
        </is>
      </c>
      <c r="J1554" t="n">
        <v>118</v>
      </c>
      <c r="K1554" t="n">
        <v>2</v>
      </c>
      <c r="L1554" s="7" t="n">
        <v>944</v>
      </c>
      <c r="M1554" s="7" t="n">
        <v>188.8</v>
      </c>
    </row>
    <row r="1555">
      <c r="A1555" t="n">
        <v>510120</v>
      </c>
      <c r="B1555" s="6" t="n">
        <v>45949</v>
      </c>
      <c r="C1555" t="n">
        <v>16914</v>
      </c>
      <c r="D1555" t="inlineStr">
        <is>
          <t>Bengaluru</t>
        </is>
      </c>
      <c r="E1555" t="inlineStr">
        <is>
          <t>South</t>
        </is>
      </c>
      <c r="F1555" t="inlineStr">
        <is>
          <t>Paid Search</t>
        </is>
      </c>
      <c r="G1555" t="inlineStr">
        <is>
          <t>Desktop</t>
        </is>
      </c>
      <c r="H1555" t="inlineStr">
        <is>
          <t>UPI</t>
        </is>
      </c>
      <c r="I1555" t="inlineStr">
        <is>
          <t>Delivered</t>
        </is>
      </c>
      <c r="J1555" t="n">
        <v>140</v>
      </c>
      <c r="K1555" t="n">
        <v>1</v>
      </c>
      <c r="L1555" s="7" t="n">
        <v>629</v>
      </c>
      <c r="M1555" s="7" t="n">
        <v>62.9</v>
      </c>
    </row>
    <row r="1556">
      <c r="A1556" t="n">
        <v>510120</v>
      </c>
      <c r="B1556" s="6" t="n">
        <v>45949</v>
      </c>
      <c r="C1556" t="n">
        <v>16914</v>
      </c>
      <c r="D1556" t="inlineStr">
        <is>
          <t>Bengaluru</t>
        </is>
      </c>
      <c r="E1556" t="inlineStr">
        <is>
          <t>South</t>
        </is>
      </c>
      <c r="F1556" t="inlineStr">
        <is>
          <t>Paid Search</t>
        </is>
      </c>
      <c r="G1556" t="inlineStr">
        <is>
          <t>Desktop</t>
        </is>
      </c>
      <c r="H1556" t="inlineStr">
        <is>
          <t>UPI</t>
        </is>
      </c>
      <c r="I1556" t="inlineStr">
        <is>
          <t>Delivered</t>
        </is>
      </c>
      <c r="J1556" t="n">
        <v>129</v>
      </c>
      <c r="K1556" t="n">
        <v>1</v>
      </c>
      <c r="L1556" s="7" t="n">
        <v>576</v>
      </c>
      <c r="M1556" s="7" t="n">
        <v>57.6</v>
      </c>
    </row>
    <row r="1557">
      <c r="A1557" t="n">
        <v>510121</v>
      </c>
      <c r="B1557" s="6" t="n">
        <v>45949</v>
      </c>
      <c r="C1557" t="n">
        <v>15589</v>
      </c>
      <c r="D1557" t="inlineStr">
        <is>
          <t>Chennai</t>
        </is>
      </c>
      <c r="E1557" t="inlineStr">
        <is>
          <t>South</t>
        </is>
      </c>
      <c r="F1557" t="inlineStr">
        <is>
          <t>Paid Search</t>
        </is>
      </c>
      <c r="G1557" t="inlineStr">
        <is>
          <t>Mobile Web</t>
        </is>
      </c>
      <c r="H1557" t="inlineStr">
        <is>
          <t>Net Banking</t>
        </is>
      </c>
      <c r="I1557" t="inlineStr">
        <is>
          <t>Returned</t>
        </is>
      </c>
      <c r="J1557" t="n">
        <v>141</v>
      </c>
      <c r="K1557" t="n">
        <v>1</v>
      </c>
      <c r="L1557" s="7" t="n">
        <v>261</v>
      </c>
      <c r="M1557" s="7" t="n">
        <v>26.1</v>
      </c>
    </row>
    <row r="1558">
      <c r="A1558" t="n">
        <v>510122</v>
      </c>
      <c r="B1558" s="6" t="n">
        <v>45949</v>
      </c>
      <c r="C1558" t="n">
        <v>13144</v>
      </c>
      <c r="D1558" t="inlineStr">
        <is>
          <t>Chennai</t>
        </is>
      </c>
      <c r="E1558" t="inlineStr">
        <is>
          <t>South</t>
        </is>
      </c>
      <c r="F1558" t="inlineStr">
        <is>
          <t>Paid Social</t>
        </is>
      </c>
      <c r="G1558" t="inlineStr">
        <is>
          <t>Mobile App</t>
        </is>
      </c>
      <c r="H1558" t="inlineStr">
        <is>
          <t>UPI</t>
        </is>
      </c>
      <c r="I1558" t="inlineStr">
        <is>
          <t>Delivered</t>
        </is>
      </c>
      <c r="J1558" t="n">
        <v>131</v>
      </c>
      <c r="K1558" t="n">
        <v>1</v>
      </c>
      <c r="L1558" s="7" t="n">
        <v>314</v>
      </c>
      <c r="M1558" s="7" t="n">
        <v>31.4</v>
      </c>
    </row>
    <row r="1559">
      <c r="A1559" t="n">
        <v>510123</v>
      </c>
      <c r="B1559" s="6" t="n">
        <v>45949</v>
      </c>
      <c r="C1559" t="n">
        <v>14434</v>
      </c>
      <c r="D1559" t="inlineStr">
        <is>
          <t>Hyderabad</t>
        </is>
      </c>
      <c r="E1559" t="inlineStr">
        <is>
          <t>South</t>
        </is>
      </c>
      <c r="F1559" t="inlineStr">
        <is>
          <t>Referral</t>
        </is>
      </c>
      <c r="G1559" t="inlineStr">
        <is>
          <t>Desktop</t>
        </is>
      </c>
      <c r="H1559" t="inlineStr">
        <is>
          <t>UPI</t>
        </is>
      </c>
      <c r="I1559" t="inlineStr">
        <is>
          <t>Delivered</t>
        </is>
      </c>
      <c r="J1559" t="n">
        <v>103</v>
      </c>
      <c r="K1559" t="n">
        <v>1</v>
      </c>
      <c r="L1559" s="7" t="n">
        <v>2624</v>
      </c>
      <c r="M1559" s="7" t="n">
        <v>262.4</v>
      </c>
    </row>
    <row r="1560">
      <c r="A1560" t="n">
        <v>510124</v>
      </c>
      <c r="B1560" s="6" t="n">
        <v>45949</v>
      </c>
      <c r="C1560" t="n">
        <v>13186</v>
      </c>
      <c r="D1560" t="inlineStr">
        <is>
          <t>Bengaluru</t>
        </is>
      </c>
      <c r="E1560" t="inlineStr">
        <is>
          <t>South</t>
        </is>
      </c>
      <c r="F1560" t="inlineStr">
        <is>
          <t>Affiliate</t>
        </is>
      </c>
      <c r="G1560" t="inlineStr">
        <is>
          <t>Mobile App</t>
        </is>
      </c>
      <c r="H1560" t="inlineStr">
        <is>
          <t>Credit Card</t>
        </is>
      </c>
      <c r="I1560" t="inlineStr">
        <is>
          <t>Delivered</t>
        </is>
      </c>
      <c r="J1560" t="n">
        <v>123</v>
      </c>
      <c r="K1560" t="n">
        <v>1</v>
      </c>
      <c r="L1560" s="7" t="n">
        <v>3464</v>
      </c>
      <c r="M1560" s="7" t="n">
        <v>0</v>
      </c>
    </row>
    <row r="1561">
      <c r="A1561" t="n">
        <v>510124</v>
      </c>
      <c r="B1561" s="6" t="n">
        <v>45949</v>
      </c>
      <c r="C1561" t="n">
        <v>13186</v>
      </c>
      <c r="D1561" t="inlineStr">
        <is>
          <t>Bengaluru</t>
        </is>
      </c>
      <c r="E1561" t="inlineStr">
        <is>
          <t>South</t>
        </is>
      </c>
      <c r="F1561" t="inlineStr">
        <is>
          <t>Affiliate</t>
        </is>
      </c>
      <c r="G1561" t="inlineStr">
        <is>
          <t>Mobile App</t>
        </is>
      </c>
      <c r="H1561" t="inlineStr">
        <is>
          <t>Credit Card</t>
        </is>
      </c>
      <c r="I1561" t="inlineStr">
        <is>
          <t>Delivered</t>
        </is>
      </c>
      <c r="J1561" t="n">
        <v>129</v>
      </c>
      <c r="K1561" t="n">
        <v>1</v>
      </c>
      <c r="L1561" s="7" t="n">
        <v>576</v>
      </c>
      <c r="M1561" s="7" t="n">
        <v>0</v>
      </c>
    </row>
    <row r="1562">
      <c r="A1562" t="n">
        <v>510125</v>
      </c>
      <c r="B1562" s="6" t="n">
        <v>45949</v>
      </c>
      <c r="C1562" t="n">
        <v>13134</v>
      </c>
      <c r="D1562" t="inlineStr">
        <is>
          <t>Delhi</t>
        </is>
      </c>
      <c r="E1562" t="inlineStr">
        <is>
          <t>North</t>
        </is>
      </c>
      <c r="F1562" t="inlineStr">
        <is>
          <t>Organic Search</t>
        </is>
      </c>
      <c r="G1562" t="inlineStr">
        <is>
          <t>Mobile Web</t>
        </is>
      </c>
      <c r="H1562" t="inlineStr">
        <is>
          <t>Net Banking</t>
        </is>
      </c>
      <c r="I1562" t="inlineStr">
        <is>
          <t>Delivered</t>
        </is>
      </c>
      <c r="J1562" t="n">
        <v>107</v>
      </c>
      <c r="K1562" t="n">
        <v>1</v>
      </c>
      <c r="L1562" s="7" t="n">
        <v>1259</v>
      </c>
      <c r="M1562" s="7" t="n">
        <v>0</v>
      </c>
    </row>
    <row r="1563">
      <c r="A1563" t="n">
        <v>510125</v>
      </c>
      <c r="B1563" s="6" t="n">
        <v>45949</v>
      </c>
      <c r="C1563" t="n">
        <v>13134</v>
      </c>
      <c r="D1563" t="inlineStr">
        <is>
          <t>Delhi</t>
        </is>
      </c>
      <c r="E1563" t="inlineStr">
        <is>
          <t>North</t>
        </is>
      </c>
      <c r="F1563" t="inlineStr">
        <is>
          <t>Organic Search</t>
        </is>
      </c>
      <c r="G1563" t="inlineStr">
        <is>
          <t>Mobile Web</t>
        </is>
      </c>
      <c r="H1563" t="inlineStr">
        <is>
          <t>Net Banking</t>
        </is>
      </c>
      <c r="I1563" t="inlineStr">
        <is>
          <t>Delivered</t>
        </is>
      </c>
      <c r="J1563" t="n">
        <v>113</v>
      </c>
      <c r="K1563" t="n">
        <v>1</v>
      </c>
      <c r="L1563" s="7" t="n">
        <v>1364</v>
      </c>
      <c r="M1563" s="7" t="n">
        <v>0</v>
      </c>
    </row>
    <row r="1564">
      <c r="A1564" t="n">
        <v>510125</v>
      </c>
      <c r="B1564" s="6" t="n">
        <v>45949</v>
      </c>
      <c r="C1564" t="n">
        <v>13134</v>
      </c>
      <c r="D1564" t="inlineStr">
        <is>
          <t>Delhi</t>
        </is>
      </c>
      <c r="E1564" t="inlineStr">
        <is>
          <t>North</t>
        </is>
      </c>
      <c r="F1564" t="inlineStr">
        <is>
          <t>Organic Search</t>
        </is>
      </c>
      <c r="G1564" t="inlineStr">
        <is>
          <t>Mobile Web</t>
        </is>
      </c>
      <c r="H1564" t="inlineStr">
        <is>
          <t>Net Banking</t>
        </is>
      </c>
      <c r="I1564" t="inlineStr">
        <is>
          <t>Delivered</t>
        </is>
      </c>
      <c r="J1564" t="n">
        <v>140</v>
      </c>
      <c r="K1564" t="n">
        <v>1</v>
      </c>
      <c r="L1564" s="7" t="n">
        <v>629</v>
      </c>
      <c r="M1564" s="7" t="n">
        <v>0</v>
      </c>
    </row>
    <row r="1565">
      <c r="A1565" t="n">
        <v>510126</v>
      </c>
      <c r="B1565" s="6" t="n">
        <v>45949</v>
      </c>
      <c r="C1565" t="n">
        <v>16878</v>
      </c>
      <c r="D1565" t="inlineStr">
        <is>
          <t>Bengaluru</t>
        </is>
      </c>
      <c r="E1565" t="inlineStr">
        <is>
          <t>South</t>
        </is>
      </c>
      <c r="F1565" t="inlineStr">
        <is>
          <t>Email</t>
        </is>
      </c>
      <c r="G1565" t="inlineStr">
        <is>
          <t>Mobile Web</t>
        </is>
      </c>
      <c r="H1565" t="inlineStr">
        <is>
          <t>Credit Card</t>
        </is>
      </c>
      <c r="I1565" t="inlineStr">
        <is>
          <t>Delivered</t>
        </is>
      </c>
      <c r="J1565" t="n">
        <v>107</v>
      </c>
      <c r="K1565" t="n">
        <v>1</v>
      </c>
      <c r="L1565" s="7" t="n">
        <v>1259</v>
      </c>
      <c r="M1565" s="7" t="n">
        <v>0</v>
      </c>
    </row>
    <row r="1566">
      <c r="A1566" t="n">
        <v>510127</v>
      </c>
      <c r="B1566" s="6" t="n">
        <v>45949</v>
      </c>
      <c r="C1566" t="n">
        <v>11076</v>
      </c>
      <c r="D1566" t="inlineStr">
        <is>
          <t>Delhi</t>
        </is>
      </c>
      <c r="E1566" t="inlineStr">
        <is>
          <t>North</t>
        </is>
      </c>
      <c r="F1566" t="inlineStr">
        <is>
          <t>Paid Search</t>
        </is>
      </c>
      <c r="G1566" t="inlineStr">
        <is>
          <t>Mobile App</t>
        </is>
      </c>
      <c r="H1566" t="inlineStr">
        <is>
          <t>UPI</t>
        </is>
      </c>
      <c r="I1566" t="inlineStr">
        <is>
          <t>Delivered</t>
        </is>
      </c>
      <c r="J1566" t="n">
        <v>131</v>
      </c>
      <c r="K1566" t="n">
        <v>1</v>
      </c>
      <c r="L1566" s="7" t="n">
        <v>314</v>
      </c>
      <c r="M1566" s="7" t="n">
        <v>31.4</v>
      </c>
    </row>
    <row r="1567">
      <c r="A1567" t="n">
        <v>510128</v>
      </c>
      <c r="B1567" s="6" t="n">
        <v>45949</v>
      </c>
      <c r="C1567" t="n">
        <v>16870</v>
      </c>
      <c r="D1567" t="inlineStr">
        <is>
          <t>Gurugram</t>
        </is>
      </c>
      <c r="E1567" t="inlineStr">
        <is>
          <t>North</t>
        </is>
      </c>
      <c r="F1567" t="inlineStr">
        <is>
          <t>Organic Search</t>
        </is>
      </c>
      <c r="G1567" t="inlineStr">
        <is>
          <t>Mobile App</t>
        </is>
      </c>
      <c r="H1567" t="inlineStr">
        <is>
          <t>UPI</t>
        </is>
      </c>
      <c r="I1567" t="inlineStr">
        <is>
          <t>Delivered</t>
        </is>
      </c>
      <c r="J1567" t="n">
        <v>138</v>
      </c>
      <c r="K1567" t="n">
        <v>1</v>
      </c>
      <c r="L1567" s="7" t="n">
        <v>419</v>
      </c>
      <c r="M1567" s="7" t="n">
        <v>62.85</v>
      </c>
    </row>
    <row r="1568">
      <c r="A1568" t="n">
        <v>510128</v>
      </c>
      <c r="B1568" s="6" t="n">
        <v>45949</v>
      </c>
      <c r="C1568" t="n">
        <v>16870</v>
      </c>
      <c r="D1568" t="inlineStr">
        <is>
          <t>Gurugram</t>
        </is>
      </c>
      <c r="E1568" t="inlineStr">
        <is>
          <t>North</t>
        </is>
      </c>
      <c r="F1568" t="inlineStr">
        <is>
          <t>Organic Search</t>
        </is>
      </c>
      <c r="G1568" t="inlineStr">
        <is>
          <t>Mobile App</t>
        </is>
      </c>
      <c r="H1568" t="inlineStr">
        <is>
          <t>UPI</t>
        </is>
      </c>
      <c r="I1568" t="inlineStr">
        <is>
          <t>Delivered</t>
        </is>
      </c>
      <c r="J1568" t="n">
        <v>102</v>
      </c>
      <c r="K1568" t="n">
        <v>1</v>
      </c>
      <c r="L1568" s="7" t="n">
        <v>3674</v>
      </c>
      <c r="M1568" s="7" t="n">
        <v>551.1</v>
      </c>
    </row>
    <row r="1569">
      <c r="A1569" t="n">
        <v>510128</v>
      </c>
      <c r="B1569" s="6" t="n">
        <v>45949</v>
      </c>
      <c r="C1569" t="n">
        <v>16870</v>
      </c>
      <c r="D1569" t="inlineStr">
        <is>
          <t>Gurugram</t>
        </is>
      </c>
      <c r="E1569" t="inlineStr">
        <is>
          <t>North</t>
        </is>
      </c>
      <c r="F1569" t="inlineStr">
        <is>
          <t>Organic Search</t>
        </is>
      </c>
      <c r="G1569" t="inlineStr">
        <is>
          <t>Mobile App</t>
        </is>
      </c>
      <c r="H1569" t="inlineStr">
        <is>
          <t>UPI</t>
        </is>
      </c>
      <c r="I1569" t="inlineStr">
        <is>
          <t>Delivered</t>
        </is>
      </c>
      <c r="J1569" t="n">
        <v>129</v>
      </c>
      <c r="K1569" t="n">
        <v>1</v>
      </c>
      <c r="L1569" s="7" t="n">
        <v>576</v>
      </c>
      <c r="M1569" s="7" t="n">
        <v>86.40000000000001</v>
      </c>
    </row>
    <row r="1570">
      <c r="A1570" t="n">
        <v>510128</v>
      </c>
      <c r="B1570" s="6" t="n">
        <v>45949</v>
      </c>
      <c r="C1570" t="n">
        <v>16870</v>
      </c>
      <c r="D1570" t="inlineStr">
        <is>
          <t>Gurugram</t>
        </is>
      </c>
      <c r="E1570" t="inlineStr">
        <is>
          <t>North</t>
        </is>
      </c>
      <c r="F1570" t="inlineStr">
        <is>
          <t>Organic Search</t>
        </is>
      </c>
      <c r="G1570" t="inlineStr">
        <is>
          <t>Mobile App</t>
        </is>
      </c>
      <c r="H1570" t="inlineStr">
        <is>
          <t>UPI</t>
        </is>
      </c>
      <c r="I1570" t="inlineStr">
        <is>
          <t>Delivered</t>
        </is>
      </c>
      <c r="J1570" t="n">
        <v>120</v>
      </c>
      <c r="K1570" t="n">
        <v>1</v>
      </c>
      <c r="L1570" s="7" t="n">
        <v>734</v>
      </c>
      <c r="M1570" s="7" t="n">
        <v>110.1</v>
      </c>
    </row>
    <row r="1571">
      <c r="A1571" t="n">
        <v>510129</v>
      </c>
      <c r="B1571" s="6" t="n">
        <v>45949</v>
      </c>
      <c r="C1571" t="n">
        <v>15266</v>
      </c>
      <c r="D1571" t="inlineStr">
        <is>
          <t>Kochi</t>
        </is>
      </c>
      <c r="E1571" t="inlineStr">
        <is>
          <t>South</t>
        </is>
      </c>
      <c r="F1571" t="inlineStr">
        <is>
          <t>Organic Search</t>
        </is>
      </c>
      <c r="G1571" t="inlineStr">
        <is>
          <t>Desktop</t>
        </is>
      </c>
      <c r="H1571" t="inlineStr">
        <is>
          <t>UPI</t>
        </is>
      </c>
      <c r="I1571" t="inlineStr">
        <is>
          <t>Delivered</t>
        </is>
      </c>
      <c r="J1571" t="n">
        <v>116</v>
      </c>
      <c r="K1571" t="n">
        <v>1</v>
      </c>
      <c r="L1571" s="7" t="n">
        <v>2624</v>
      </c>
      <c r="M1571" s="7" t="n">
        <v>262.4</v>
      </c>
    </row>
    <row r="1572">
      <c r="A1572" t="n">
        <v>510129</v>
      </c>
      <c r="B1572" s="6" t="n">
        <v>45949</v>
      </c>
      <c r="C1572" t="n">
        <v>15266</v>
      </c>
      <c r="D1572" t="inlineStr">
        <is>
          <t>Kochi</t>
        </is>
      </c>
      <c r="E1572" t="inlineStr">
        <is>
          <t>South</t>
        </is>
      </c>
      <c r="F1572" t="inlineStr">
        <is>
          <t>Organic Search</t>
        </is>
      </c>
      <c r="G1572" t="inlineStr">
        <is>
          <t>Desktop</t>
        </is>
      </c>
      <c r="H1572" t="inlineStr">
        <is>
          <t>UPI</t>
        </is>
      </c>
      <c r="I1572" t="inlineStr">
        <is>
          <t>Delivered</t>
        </is>
      </c>
      <c r="J1572" t="n">
        <v>101</v>
      </c>
      <c r="K1572" t="n">
        <v>1</v>
      </c>
      <c r="L1572" s="7" t="n">
        <v>2099</v>
      </c>
      <c r="M1572" s="7" t="n">
        <v>209.9</v>
      </c>
    </row>
    <row r="1573">
      <c r="A1573" t="n">
        <v>510129</v>
      </c>
      <c r="B1573" s="6" t="n">
        <v>45949</v>
      </c>
      <c r="C1573" t="n">
        <v>15266</v>
      </c>
      <c r="D1573" t="inlineStr">
        <is>
          <t>Kochi</t>
        </is>
      </c>
      <c r="E1573" t="inlineStr">
        <is>
          <t>South</t>
        </is>
      </c>
      <c r="F1573" t="inlineStr">
        <is>
          <t>Organic Search</t>
        </is>
      </c>
      <c r="G1573" t="inlineStr">
        <is>
          <t>Desktop</t>
        </is>
      </c>
      <c r="H1573" t="inlineStr">
        <is>
          <t>UPI</t>
        </is>
      </c>
      <c r="I1573" t="inlineStr">
        <is>
          <t>Delivered</t>
        </is>
      </c>
      <c r="J1573" t="n">
        <v>129</v>
      </c>
      <c r="K1573" t="n">
        <v>2</v>
      </c>
      <c r="L1573" s="7" t="n">
        <v>576</v>
      </c>
      <c r="M1573" s="7" t="n">
        <v>115.2</v>
      </c>
    </row>
    <row r="1574">
      <c r="A1574" t="n">
        <v>510130</v>
      </c>
      <c r="B1574" s="6" t="n">
        <v>45949</v>
      </c>
      <c r="C1574" t="n">
        <v>12576</v>
      </c>
      <c r="D1574" t="inlineStr">
        <is>
          <t>Bengaluru</t>
        </is>
      </c>
      <c r="E1574" t="inlineStr">
        <is>
          <t>South</t>
        </is>
      </c>
      <c r="F1574" t="inlineStr">
        <is>
          <t>Paid Search</t>
        </is>
      </c>
      <c r="G1574" t="inlineStr">
        <is>
          <t>Mobile App</t>
        </is>
      </c>
      <c r="H1574" t="inlineStr">
        <is>
          <t>Cash on Delivery</t>
        </is>
      </c>
      <c r="I1574" t="inlineStr">
        <is>
          <t>Delivered</t>
        </is>
      </c>
      <c r="J1574" t="n">
        <v>144</v>
      </c>
      <c r="K1574" t="n">
        <v>1</v>
      </c>
      <c r="L1574" s="7" t="n">
        <v>3149</v>
      </c>
      <c r="M1574" s="7" t="n">
        <v>0</v>
      </c>
    </row>
    <row r="1575">
      <c r="A1575" t="n">
        <v>510131</v>
      </c>
      <c r="B1575" s="6" t="n">
        <v>45949</v>
      </c>
      <c r="C1575" t="n">
        <v>16905</v>
      </c>
      <c r="D1575" t="inlineStr">
        <is>
          <t>Pune</t>
        </is>
      </c>
      <c r="E1575" t="inlineStr">
        <is>
          <t>West</t>
        </is>
      </c>
      <c r="F1575" t="inlineStr">
        <is>
          <t>Organic Search</t>
        </is>
      </c>
      <c r="G1575" t="inlineStr">
        <is>
          <t>Mobile App</t>
        </is>
      </c>
      <c r="H1575" t="inlineStr">
        <is>
          <t>Credit Card</t>
        </is>
      </c>
      <c r="I1575" t="inlineStr">
        <is>
          <t>Delivered</t>
        </is>
      </c>
      <c r="J1575" t="n">
        <v>105</v>
      </c>
      <c r="K1575" t="n">
        <v>1</v>
      </c>
      <c r="L1575" s="7" t="n">
        <v>2414</v>
      </c>
      <c r="M1575" s="7" t="n">
        <v>120.7</v>
      </c>
    </row>
    <row r="1576">
      <c r="A1576" t="n">
        <v>510131</v>
      </c>
      <c r="B1576" s="6" t="n">
        <v>45949</v>
      </c>
      <c r="C1576" t="n">
        <v>16905</v>
      </c>
      <c r="D1576" t="inlineStr">
        <is>
          <t>Pune</t>
        </is>
      </c>
      <c r="E1576" t="inlineStr">
        <is>
          <t>West</t>
        </is>
      </c>
      <c r="F1576" t="inlineStr">
        <is>
          <t>Organic Search</t>
        </is>
      </c>
      <c r="G1576" t="inlineStr">
        <is>
          <t>Mobile App</t>
        </is>
      </c>
      <c r="H1576" t="inlineStr">
        <is>
          <t>Credit Card</t>
        </is>
      </c>
      <c r="I1576" t="inlineStr">
        <is>
          <t>Delivered</t>
        </is>
      </c>
      <c r="J1576" t="n">
        <v>104</v>
      </c>
      <c r="K1576" t="n">
        <v>1</v>
      </c>
      <c r="L1576" s="7" t="n">
        <v>5249</v>
      </c>
      <c r="M1576" s="7" t="n">
        <v>262.45</v>
      </c>
    </row>
    <row r="1577">
      <c r="A1577" t="n">
        <v>510131</v>
      </c>
      <c r="B1577" s="6" t="n">
        <v>45949</v>
      </c>
      <c r="C1577" t="n">
        <v>16905</v>
      </c>
      <c r="D1577" t="inlineStr">
        <is>
          <t>Pune</t>
        </is>
      </c>
      <c r="E1577" t="inlineStr">
        <is>
          <t>West</t>
        </is>
      </c>
      <c r="F1577" t="inlineStr">
        <is>
          <t>Organic Search</t>
        </is>
      </c>
      <c r="G1577" t="inlineStr">
        <is>
          <t>Mobile App</t>
        </is>
      </c>
      <c r="H1577" t="inlineStr">
        <is>
          <t>Credit Card</t>
        </is>
      </c>
      <c r="I1577" t="inlineStr">
        <is>
          <t>Delivered</t>
        </is>
      </c>
      <c r="J1577" t="n">
        <v>135</v>
      </c>
      <c r="K1577" t="n">
        <v>1</v>
      </c>
      <c r="L1577" s="7" t="n">
        <v>1574</v>
      </c>
      <c r="M1577" s="7" t="n">
        <v>78.7</v>
      </c>
    </row>
    <row r="1578">
      <c r="A1578" t="n">
        <v>510132</v>
      </c>
      <c r="B1578" s="6" t="n">
        <v>45949</v>
      </c>
      <c r="C1578" t="n">
        <v>12537</v>
      </c>
      <c r="D1578" t="inlineStr">
        <is>
          <t>Jaipur</t>
        </is>
      </c>
      <c r="E1578" t="inlineStr">
        <is>
          <t>North</t>
        </is>
      </c>
      <c r="F1578" t="inlineStr">
        <is>
          <t>Paid Search</t>
        </is>
      </c>
      <c r="G1578" t="inlineStr">
        <is>
          <t>Mobile App</t>
        </is>
      </c>
      <c r="H1578" t="inlineStr">
        <is>
          <t>Net Banking</t>
        </is>
      </c>
      <c r="I1578" t="inlineStr">
        <is>
          <t>Delivered</t>
        </is>
      </c>
      <c r="J1578" t="n">
        <v>136</v>
      </c>
      <c r="K1578" t="n">
        <v>1</v>
      </c>
      <c r="L1578" s="7" t="n">
        <v>944</v>
      </c>
      <c r="M1578" s="7" t="n">
        <v>0</v>
      </c>
    </row>
    <row r="1579">
      <c r="A1579" t="n">
        <v>510132</v>
      </c>
      <c r="B1579" s="6" t="n">
        <v>45949</v>
      </c>
      <c r="C1579" t="n">
        <v>12537</v>
      </c>
      <c r="D1579" t="inlineStr">
        <is>
          <t>Jaipur</t>
        </is>
      </c>
      <c r="E1579" t="inlineStr">
        <is>
          <t>North</t>
        </is>
      </c>
      <c r="F1579" t="inlineStr">
        <is>
          <t>Paid Search</t>
        </is>
      </c>
      <c r="G1579" t="inlineStr">
        <is>
          <t>Mobile App</t>
        </is>
      </c>
      <c r="H1579" t="inlineStr">
        <is>
          <t>Net Banking</t>
        </is>
      </c>
      <c r="I1579" t="inlineStr">
        <is>
          <t>Delivered</t>
        </is>
      </c>
      <c r="J1579" t="n">
        <v>118</v>
      </c>
      <c r="K1579" t="n">
        <v>1</v>
      </c>
      <c r="L1579" s="7" t="n">
        <v>944</v>
      </c>
      <c r="M1579" s="7" t="n">
        <v>0</v>
      </c>
    </row>
    <row r="1580">
      <c r="A1580" t="n">
        <v>510132</v>
      </c>
      <c r="B1580" s="6" t="n">
        <v>45949</v>
      </c>
      <c r="C1580" t="n">
        <v>12537</v>
      </c>
      <c r="D1580" t="inlineStr">
        <is>
          <t>Jaipur</t>
        </is>
      </c>
      <c r="E1580" t="inlineStr">
        <is>
          <t>North</t>
        </is>
      </c>
      <c r="F1580" t="inlineStr">
        <is>
          <t>Paid Search</t>
        </is>
      </c>
      <c r="G1580" t="inlineStr">
        <is>
          <t>Mobile App</t>
        </is>
      </c>
      <c r="H1580" t="inlineStr">
        <is>
          <t>Net Banking</t>
        </is>
      </c>
      <c r="I1580" t="inlineStr">
        <is>
          <t>Delivered</t>
        </is>
      </c>
      <c r="J1580" t="n">
        <v>120</v>
      </c>
      <c r="K1580" t="n">
        <v>3</v>
      </c>
      <c r="L1580" s="7" t="n">
        <v>734</v>
      </c>
      <c r="M1580" s="7" t="n">
        <v>0</v>
      </c>
    </row>
    <row r="1581">
      <c r="A1581" t="n">
        <v>510132</v>
      </c>
      <c r="B1581" s="6" t="n">
        <v>45949</v>
      </c>
      <c r="C1581" t="n">
        <v>12537</v>
      </c>
      <c r="D1581" t="inlineStr">
        <is>
          <t>Jaipur</t>
        </is>
      </c>
      <c r="E1581" t="inlineStr">
        <is>
          <t>North</t>
        </is>
      </c>
      <c r="F1581" t="inlineStr">
        <is>
          <t>Paid Search</t>
        </is>
      </c>
      <c r="G1581" t="inlineStr">
        <is>
          <t>Mobile App</t>
        </is>
      </c>
      <c r="H1581" t="inlineStr">
        <is>
          <t>Net Banking</t>
        </is>
      </c>
      <c r="I1581" t="inlineStr">
        <is>
          <t>Delivered</t>
        </is>
      </c>
      <c r="J1581" t="n">
        <v>143</v>
      </c>
      <c r="K1581" t="n">
        <v>1</v>
      </c>
      <c r="L1581" s="7" t="n">
        <v>839</v>
      </c>
      <c r="M1581" s="7" t="n">
        <v>0</v>
      </c>
    </row>
    <row r="1582">
      <c r="A1582" t="n">
        <v>510133</v>
      </c>
      <c r="B1582" s="6" t="n">
        <v>45949</v>
      </c>
      <c r="C1582" t="n">
        <v>16705</v>
      </c>
      <c r="D1582" t="inlineStr">
        <is>
          <t>Indore</t>
        </is>
      </c>
      <c r="E1582" t="inlineStr">
        <is>
          <t>West</t>
        </is>
      </c>
      <c r="F1582" t="inlineStr">
        <is>
          <t>Organic Search</t>
        </is>
      </c>
      <c r="G1582" t="inlineStr">
        <is>
          <t>Mobile App</t>
        </is>
      </c>
      <c r="H1582" t="inlineStr">
        <is>
          <t>UPI</t>
        </is>
      </c>
      <c r="I1582" t="inlineStr">
        <is>
          <t>Delivered</t>
        </is>
      </c>
      <c r="J1582" t="n">
        <v>116</v>
      </c>
      <c r="K1582" t="n">
        <v>1</v>
      </c>
      <c r="L1582" s="7" t="n">
        <v>2624</v>
      </c>
      <c r="M1582" s="7" t="n">
        <v>262.4</v>
      </c>
    </row>
    <row r="1583">
      <c r="A1583" t="n">
        <v>510133</v>
      </c>
      <c r="B1583" s="6" t="n">
        <v>45949</v>
      </c>
      <c r="C1583" t="n">
        <v>16705</v>
      </c>
      <c r="D1583" t="inlineStr">
        <is>
          <t>Indore</t>
        </is>
      </c>
      <c r="E1583" t="inlineStr">
        <is>
          <t>West</t>
        </is>
      </c>
      <c r="F1583" t="inlineStr">
        <is>
          <t>Organic Search</t>
        </is>
      </c>
      <c r="G1583" t="inlineStr">
        <is>
          <t>Mobile App</t>
        </is>
      </c>
      <c r="H1583" t="inlineStr">
        <is>
          <t>UPI</t>
        </is>
      </c>
      <c r="I1583" t="inlineStr">
        <is>
          <t>Delivered</t>
        </is>
      </c>
      <c r="J1583" t="n">
        <v>129</v>
      </c>
      <c r="K1583" t="n">
        <v>1</v>
      </c>
      <c r="L1583" s="7" t="n">
        <v>576</v>
      </c>
      <c r="M1583" s="7" t="n">
        <v>57.6</v>
      </c>
    </row>
    <row r="1584">
      <c r="A1584" t="n">
        <v>510134</v>
      </c>
      <c r="B1584" s="6" t="n">
        <v>45949</v>
      </c>
      <c r="C1584" t="n">
        <v>16446</v>
      </c>
      <c r="D1584" t="inlineStr">
        <is>
          <t>Bengaluru</t>
        </is>
      </c>
      <c r="E1584" t="inlineStr">
        <is>
          <t>South</t>
        </is>
      </c>
      <c r="F1584" t="inlineStr">
        <is>
          <t>Organic Search</t>
        </is>
      </c>
      <c r="G1584" t="inlineStr">
        <is>
          <t>Mobile Web</t>
        </is>
      </c>
      <c r="H1584" t="inlineStr">
        <is>
          <t>Credit Card</t>
        </is>
      </c>
      <c r="I1584" t="inlineStr">
        <is>
          <t>Delivered</t>
        </is>
      </c>
      <c r="J1584" t="n">
        <v>107</v>
      </c>
      <c r="K1584" t="n">
        <v>1</v>
      </c>
      <c r="L1584" s="7" t="n">
        <v>1259</v>
      </c>
      <c r="M1584" s="7" t="n">
        <v>125.9</v>
      </c>
    </row>
    <row r="1585">
      <c r="A1585" t="n">
        <v>510134</v>
      </c>
      <c r="B1585" s="6" t="n">
        <v>45949</v>
      </c>
      <c r="C1585" t="n">
        <v>16446</v>
      </c>
      <c r="D1585" t="inlineStr">
        <is>
          <t>Bengaluru</t>
        </is>
      </c>
      <c r="E1585" t="inlineStr">
        <is>
          <t>South</t>
        </is>
      </c>
      <c r="F1585" t="inlineStr">
        <is>
          <t>Organic Search</t>
        </is>
      </c>
      <c r="G1585" t="inlineStr">
        <is>
          <t>Mobile Web</t>
        </is>
      </c>
      <c r="H1585" t="inlineStr">
        <is>
          <t>Credit Card</t>
        </is>
      </c>
      <c r="I1585" t="inlineStr">
        <is>
          <t>Delivered</t>
        </is>
      </c>
      <c r="J1585" t="n">
        <v>129</v>
      </c>
      <c r="K1585" t="n">
        <v>1</v>
      </c>
      <c r="L1585" s="7" t="n">
        <v>576</v>
      </c>
      <c r="M1585" s="7" t="n">
        <v>57.6</v>
      </c>
    </row>
    <row r="1586">
      <c r="A1586" t="n">
        <v>510135</v>
      </c>
      <c r="B1586" s="6" t="n">
        <v>45949</v>
      </c>
      <c r="C1586" t="n">
        <v>11953</v>
      </c>
      <c r="D1586" t="inlineStr">
        <is>
          <t>Delhi</t>
        </is>
      </c>
      <c r="E1586" t="inlineStr">
        <is>
          <t>North</t>
        </is>
      </c>
      <c r="F1586" t="inlineStr">
        <is>
          <t>Paid Social</t>
        </is>
      </c>
      <c r="G1586" t="inlineStr">
        <is>
          <t>Mobile Web</t>
        </is>
      </c>
      <c r="H1586" t="inlineStr">
        <is>
          <t>Cash on Delivery</t>
        </is>
      </c>
      <c r="I1586" t="inlineStr">
        <is>
          <t>Delivered</t>
        </is>
      </c>
      <c r="J1586" t="n">
        <v>117</v>
      </c>
      <c r="K1586" t="n">
        <v>1</v>
      </c>
      <c r="L1586" s="7" t="n">
        <v>3149</v>
      </c>
      <c r="M1586" s="7" t="n">
        <v>314.9</v>
      </c>
    </row>
    <row r="1587">
      <c r="A1587" t="n">
        <v>510135</v>
      </c>
      <c r="B1587" s="6" t="n">
        <v>45949</v>
      </c>
      <c r="C1587" t="n">
        <v>11953</v>
      </c>
      <c r="D1587" t="inlineStr">
        <is>
          <t>Delhi</t>
        </is>
      </c>
      <c r="E1587" t="inlineStr">
        <is>
          <t>North</t>
        </is>
      </c>
      <c r="F1587" t="inlineStr">
        <is>
          <t>Paid Social</t>
        </is>
      </c>
      <c r="G1587" t="inlineStr">
        <is>
          <t>Mobile Web</t>
        </is>
      </c>
      <c r="H1587" t="inlineStr">
        <is>
          <t>Cash on Delivery</t>
        </is>
      </c>
      <c r="I1587" t="inlineStr">
        <is>
          <t>Delivered</t>
        </is>
      </c>
      <c r="J1587" t="n">
        <v>140</v>
      </c>
      <c r="K1587" t="n">
        <v>2</v>
      </c>
      <c r="L1587" s="7" t="n">
        <v>629</v>
      </c>
      <c r="M1587" s="7" t="n">
        <v>125.8</v>
      </c>
    </row>
    <row r="1588">
      <c r="A1588" t="n">
        <v>510135</v>
      </c>
      <c r="B1588" s="6" t="n">
        <v>45949</v>
      </c>
      <c r="C1588" t="n">
        <v>11953</v>
      </c>
      <c r="D1588" t="inlineStr">
        <is>
          <t>Delhi</t>
        </is>
      </c>
      <c r="E1588" t="inlineStr">
        <is>
          <t>North</t>
        </is>
      </c>
      <c r="F1588" t="inlineStr">
        <is>
          <t>Paid Social</t>
        </is>
      </c>
      <c r="G1588" t="inlineStr">
        <is>
          <t>Mobile Web</t>
        </is>
      </c>
      <c r="H1588" t="inlineStr">
        <is>
          <t>Cash on Delivery</t>
        </is>
      </c>
      <c r="I1588" t="inlineStr">
        <is>
          <t>Delivered</t>
        </is>
      </c>
      <c r="J1588" t="n">
        <v>129</v>
      </c>
      <c r="K1588" t="n">
        <v>1</v>
      </c>
      <c r="L1588" s="7" t="n">
        <v>576</v>
      </c>
      <c r="M1588" s="7" t="n">
        <v>57.6</v>
      </c>
    </row>
    <row r="1589">
      <c r="A1589" t="n">
        <v>510136</v>
      </c>
      <c r="B1589" s="6" t="n">
        <v>45949</v>
      </c>
      <c r="C1589" t="n">
        <v>11276</v>
      </c>
      <c r="D1589" t="inlineStr">
        <is>
          <t>Jaipur</t>
        </is>
      </c>
      <c r="E1589" t="inlineStr">
        <is>
          <t>North</t>
        </is>
      </c>
      <c r="F1589" t="inlineStr">
        <is>
          <t>Referral</t>
        </is>
      </c>
      <c r="G1589" t="inlineStr">
        <is>
          <t>Mobile Web</t>
        </is>
      </c>
      <c r="H1589" t="inlineStr">
        <is>
          <t>Cash on Delivery</t>
        </is>
      </c>
      <c r="I1589" t="inlineStr">
        <is>
          <t>Returned</t>
        </is>
      </c>
      <c r="J1589" t="n">
        <v>124</v>
      </c>
      <c r="K1589" t="n">
        <v>1</v>
      </c>
      <c r="L1589" s="7" t="n">
        <v>1154</v>
      </c>
      <c r="M1589" s="7" t="n">
        <v>115.4</v>
      </c>
    </row>
    <row r="1590">
      <c r="A1590" t="n">
        <v>510136</v>
      </c>
      <c r="B1590" s="6" t="n">
        <v>45949</v>
      </c>
      <c r="C1590" t="n">
        <v>11276</v>
      </c>
      <c r="D1590" t="inlineStr">
        <is>
          <t>Jaipur</t>
        </is>
      </c>
      <c r="E1590" t="inlineStr">
        <is>
          <t>North</t>
        </is>
      </c>
      <c r="F1590" t="inlineStr">
        <is>
          <t>Referral</t>
        </is>
      </c>
      <c r="G1590" t="inlineStr">
        <is>
          <t>Mobile Web</t>
        </is>
      </c>
      <c r="H1590" t="inlineStr">
        <is>
          <t>Cash on Delivery</t>
        </is>
      </c>
      <c r="I1590" t="inlineStr">
        <is>
          <t>Returned</t>
        </is>
      </c>
      <c r="J1590" t="n">
        <v>111</v>
      </c>
      <c r="K1590" t="n">
        <v>1</v>
      </c>
      <c r="L1590" s="7" t="n">
        <v>524</v>
      </c>
      <c r="M1590" s="7" t="n">
        <v>52.4</v>
      </c>
    </row>
    <row r="1591">
      <c r="A1591" t="n">
        <v>510136</v>
      </c>
      <c r="B1591" s="6" t="n">
        <v>45949</v>
      </c>
      <c r="C1591" t="n">
        <v>11276</v>
      </c>
      <c r="D1591" t="inlineStr">
        <is>
          <t>Jaipur</t>
        </is>
      </c>
      <c r="E1591" t="inlineStr">
        <is>
          <t>North</t>
        </is>
      </c>
      <c r="F1591" t="inlineStr">
        <is>
          <t>Referral</t>
        </is>
      </c>
      <c r="G1591" t="inlineStr">
        <is>
          <t>Mobile Web</t>
        </is>
      </c>
      <c r="H1591" t="inlineStr">
        <is>
          <t>Cash on Delivery</t>
        </is>
      </c>
      <c r="I1591" t="inlineStr">
        <is>
          <t>Returned</t>
        </is>
      </c>
      <c r="J1591" t="n">
        <v>104</v>
      </c>
      <c r="K1591" t="n">
        <v>1</v>
      </c>
      <c r="L1591" s="7" t="n">
        <v>5249</v>
      </c>
      <c r="M1591" s="7" t="n">
        <v>524.9</v>
      </c>
    </row>
    <row r="1592">
      <c r="A1592" t="n">
        <v>510136</v>
      </c>
      <c r="B1592" s="6" t="n">
        <v>45949</v>
      </c>
      <c r="C1592" t="n">
        <v>11276</v>
      </c>
      <c r="D1592" t="inlineStr">
        <is>
          <t>Jaipur</t>
        </is>
      </c>
      <c r="E1592" t="inlineStr">
        <is>
          <t>North</t>
        </is>
      </c>
      <c r="F1592" t="inlineStr">
        <is>
          <t>Referral</t>
        </is>
      </c>
      <c r="G1592" t="inlineStr">
        <is>
          <t>Mobile Web</t>
        </is>
      </c>
      <c r="H1592" t="inlineStr">
        <is>
          <t>Cash on Delivery</t>
        </is>
      </c>
      <c r="I1592" t="inlineStr">
        <is>
          <t>Returned</t>
        </is>
      </c>
      <c r="J1592" t="n">
        <v>126</v>
      </c>
      <c r="K1592" t="n">
        <v>2</v>
      </c>
      <c r="L1592" s="7" t="n">
        <v>471</v>
      </c>
      <c r="M1592" s="7" t="n">
        <v>94.2</v>
      </c>
    </row>
    <row r="1593">
      <c r="A1593" t="n">
        <v>510137</v>
      </c>
      <c r="B1593" s="6" t="n">
        <v>45949</v>
      </c>
      <c r="C1593" t="n">
        <v>15616</v>
      </c>
      <c r="D1593" t="inlineStr">
        <is>
          <t>Bengaluru</t>
        </is>
      </c>
      <c r="E1593" t="inlineStr">
        <is>
          <t>South</t>
        </is>
      </c>
      <c r="F1593" t="inlineStr">
        <is>
          <t>Organic Search</t>
        </is>
      </c>
      <c r="G1593" t="inlineStr">
        <is>
          <t>Mobile Web</t>
        </is>
      </c>
      <c r="H1593" t="inlineStr">
        <is>
          <t>UPI</t>
        </is>
      </c>
      <c r="I1593" t="inlineStr">
        <is>
          <t>Delivered</t>
        </is>
      </c>
      <c r="J1593" t="n">
        <v>117</v>
      </c>
      <c r="K1593" t="n">
        <v>1</v>
      </c>
      <c r="L1593" s="7" t="n">
        <v>3149</v>
      </c>
      <c r="M1593" s="7" t="n">
        <v>314.9</v>
      </c>
    </row>
    <row r="1594">
      <c r="A1594" t="n">
        <v>510137</v>
      </c>
      <c r="B1594" s="6" t="n">
        <v>45949</v>
      </c>
      <c r="C1594" t="n">
        <v>15616</v>
      </c>
      <c r="D1594" t="inlineStr">
        <is>
          <t>Bengaluru</t>
        </is>
      </c>
      <c r="E1594" t="inlineStr">
        <is>
          <t>South</t>
        </is>
      </c>
      <c r="F1594" t="inlineStr">
        <is>
          <t>Organic Search</t>
        </is>
      </c>
      <c r="G1594" t="inlineStr">
        <is>
          <t>Mobile Web</t>
        </is>
      </c>
      <c r="H1594" t="inlineStr">
        <is>
          <t>UPI</t>
        </is>
      </c>
      <c r="I1594" t="inlineStr">
        <is>
          <t>Delivered</t>
        </is>
      </c>
      <c r="J1594" t="n">
        <v>111</v>
      </c>
      <c r="K1594" t="n">
        <v>1</v>
      </c>
      <c r="L1594" s="7" t="n">
        <v>524</v>
      </c>
      <c r="M1594" s="7" t="n">
        <v>52.4</v>
      </c>
    </row>
    <row r="1595">
      <c r="A1595" t="n">
        <v>510138</v>
      </c>
      <c r="B1595" s="6" t="n">
        <v>45949</v>
      </c>
      <c r="C1595" t="n">
        <v>15405</v>
      </c>
      <c r="D1595" t="inlineStr">
        <is>
          <t>Lucknow</t>
        </is>
      </c>
      <c r="E1595" t="inlineStr">
        <is>
          <t>North</t>
        </is>
      </c>
      <c r="F1595" t="inlineStr">
        <is>
          <t>Organic Search</t>
        </is>
      </c>
      <c r="G1595" t="inlineStr">
        <is>
          <t>Mobile Web</t>
        </is>
      </c>
      <c r="H1595" t="inlineStr">
        <is>
          <t>UPI</t>
        </is>
      </c>
      <c r="I1595" t="inlineStr">
        <is>
          <t>Returned</t>
        </is>
      </c>
      <c r="J1595" t="n">
        <v>118</v>
      </c>
      <c r="K1595" t="n">
        <v>2</v>
      </c>
      <c r="L1595" s="7" t="n">
        <v>944</v>
      </c>
      <c r="M1595" s="7" t="n">
        <v>188.8</v>
      </c>
    </row>
    <row r="1596">
      <c r="A1596" t="n">
        <v>510138</v>
      </c>
      <c r="B1596" s="6" t="n">
        <v>45949</v>
      </c>
      <c r="C1596" t="n">
        <v>15405</v>
      </c>
      <c r="D1596" t="inlineStr">
        <is>
          <t>Lucknow</t>
        </is>
      </c>
      <c r="E1596" t="inlineStr">
        <is>
          <t>North</t>
        </is>
      </c>
      <c r="F1596" t="inlineStr">
        <is>
          <t>Organic Search</t>
        </is>
      </c>
      <c r="G1596" t="inlineStr">
        <is>
          <t>Mobile Web</t>
        </is>
      </c>
      <c r="H1596" t="inlineStr">
        <is>
          <t>UPI</t>
        </is>
      </c>
      <c r="I1596" t="inlineStr">
        <is>
          <t>Returned</t>
        </is>
      </c>
      <c r="J1596" t="n">
        <v>117</v>
      </c>
      <c r="K1596" t="n">
        <v>1</v>
      </c>
      <c r="L1596" s="7" t="n">
        <v>3149</v>
      </c>
      <c r="M1596" s="7" t="n">
        <v>314.9</v>
      </c>
    </row>
    <row r="1597">
      <c r="A1597" t="n">
        <v>510139</v>
      </c>
      <c r="B1597" s="6" t="n">
        <v>45949</v>
      </c>
      <c r="C1597" t="n">
        <v>14875</v>
      </c>
      <c r="D1597" t="inlineStr">
        <is>
          <t>Kolkata</t>
        </is>
      </c>
      <c r="E1597" t="inlineStr">
        <is>
          <t>East</t>
        </is>
      </c>
      <c r="F1597" t="inlineStr">
        <is>
          <t>Organic Search</t>
        </is>
      </c>
      <c r="G1597" t="inlineStr">
        <is>
          <t>Mobile Web</t>
        </is>
      </c>
      <c r="H1597" t="inlineStr">
        <is>
          <t>Cash on Delivery</t>
        </is>
      </c>
      <c r="I1597" t="inlineStr">
        <is>
          <t>Delivered</t>
        </is>
      </c>
      <c r="J1597" t="n">
        <v>116</v>
      </c>
      <c r="K1597" t="n">
        <v>3</v>
      </c>
      <c r="L1597" s="7" t="n">
        <v>2624</v>
      </c>
      <c r="M1597" s="7" t="n">
        <v>0</v>
      </c>
    </row>
    <row r="1598">
      <c r="A1598" t="n">
        <v>510139</v>
      </c>
      <c r="B1598" s="6" t="n">
        <v>45949</v>
      </c>
      <c r="C1598" t="n">
        <v>14875</v>
      </c>
      <c r="D1598" t="inlineStr">
        <is>
          <t>Kolkata</t>
        </is>
      </c>
      <c r="E1598" t="inlineStr">
        <is>
          <t>East</t>
        </is>
      </c>
      <c r="F1598" t="inlineStr">
        <is>
          <t>Organic Search</t>
        </is>
      </c>
      <c r="G1598" t="inlineStr">
        <is>
          <t>Mobile Web</t>
        </is>
      </c>
      <c r="H1598" t="inlineStr">
        <is>
          <t>Cash on Delivery</t>
        </is>
      </c>
      <c r="I1598" t="inlineStr">
        <is>
          <t>Delivered</t>
        </is>
      </c>
      <c r="J1598" t="n">
        <v>102</v>
      </c>
      <c r="K1598" t="n">
        <v>1</v>
      </c>
      <c r="L1598" s="7" t="n">
        <v>3674</v>
      </c>
      <c r="M1598" s="7" t="n">
        <v>0</v>
      </c>
    </row>
    <row r="1599">
      <c r="A1599" t="n">
        <v>510139</v>
      </c>
      <c r="B1599" s="6" t="n">
        <v>45949</v>
      </c>
      <c r="C1599" t="n">
        <v>14875</v>
      </c>
      <c r="D1599" t="inlineStr">
        <is>
          <t>Kolkata</t>
        </is>
      </c>
      <c r="E1599" t="inlineStr">
        <is>
          <t>East</t>
        </is>
      </c>
      <c r="F1599" t="inlineStr">
        <is>
          <t>Organic Search</t>
        </is>
      </c>
      <c r="G1599" t="inlineStr">
        <is>
          <t>Mobile Web</t>
        </is>
      </c>
      <c r="H1599" t="inlineStr">
        <is>
          <t>Cash on Delivery</t>
        </is>
      </c>
      <c r="I1599" t="inlineStr">
        <is>
          <t>Delivered</t>
        </is>
      </c>
      <c r="J1599" t="n">
        <v>123</v>
      </c>
      <c r="K1599" t="n">
        <v>1</v>
      </c>
      <c r="L1599" s="7" t="n">
        <v>3464</v>
      </c>
      <c r="M1599" s="7" t="n">
        <v>0</v>
      </c>
    </row>
    <row r="1600">
      <c r="A1600" t="n">
        <v>510140</v>
      </c>
      <c r="B1600" s="6" t="n">
        <v>45949</v>
      </c>
      <c r="C1600" t="n">
        <v>13089</v>
      </c>
      <c r="D1600" t="inlineStr">
        <is>
          <t>Pune</t>
        </is>
      </c>
      <c r="E1600" t="inlineStr">
        <is>
          <t>West</t>
        </is>
      </c>
      <c r="F1600" t="inlineStr">
        <is>
          <t>Referral</t>
        </is>
      </c>
      <c r="G1600" t="inlineStr">
        <is>
          <t>Desktop</t>
        </is>
      </c>
      <c r="H1600" t="inlineStr">
        <is>
          <t>UPI</t>
        </is>
      </c>
      <c r="I1600" t="inlineStr">
        <is>
          <t>Delivered</t>
        </is>
      </c>
      <c r="J1600" t="n">
        <v>139</v>
      </c>
      <c r="K1600" t="n">
        <v>1</v>
      </c>
      <c r="L1600" s="7" t="n">
        <v>366</v>
      </c>
      <c r="M1600" s="7" t="n">
        <v>36.6</v>
      </c>
    </row>
    <row r="1601">
      <c r="A1601" t="n">
        <v>510140</v>
      </c>
      <c r="B1601" s="6" t="n">
        <v>45949</v>
      </c>
      <c r="C1601" t="n">
        <v>13089</v>
      </c>
      <c r="D1601" t="inlineStr">
        <is>
          <t>Pune</t>
        </is>
      </c>
      <c r="E1601" t="inlineStr">
        <is>
          <t>West</t>
        </is>
      </c>
      <c r="F1601" t="inlineStr">
        <is>
          <t>Referral</t>
        </is>
      </c>
      <c r="G1601" t="inlineStr">
        <is>
          <t>Desktop</t>
        </is>
      </c>
      <c r="H1601" t="inlineStr">
        <is>
          <t>UPI</t>
        </is>
      </c>
      <c r="I1601" t="inlineStr">
        <is>
          <t>Delivered</t>
        </is>
      </c>
      <c r="J1601" t="n">
        <v>133</v>
      </c>
      <c r="K1601" t="n">
        <v>1</v>
      </c>
      <c r="L1601" s="7" t="n">
        <v>419</v>
      </c>
      <c r="M1601" s="7" t="n">
        <v>41.9</v>
      </c>
    </row>
    <row r="1602">
      <c r="A1602" t="n">
        <v>510140</v>
      </c>
      <c r="B1602" s="6" t="n">
        <v>45949</v>
      </c>
      <c r="C1602" t="n">
        <v>13089</v>
      </c>
      <c r="D1602" t="inlineStr">
        <is>
          <t>Pune</t>
        </is>
      </c>
      <c r="E1602" t="inlineStr">
        <is>
          <t>West</t>
        </is>
      </c>
      <c r="F1602" t="inlineStr">
        <is>
          <t>Referral</t>
        </is>
      </c>
      <c r="G1602" t="inlineStr">
        <is>
          <t>Desktop</t>
        </is>
      </c>
      <c r="H1602" t="inlineStr">
        <is>
          <t>UPI</t>
        </is>
      </c>
      <c r="I1602" t="inlineStr">
        <is>
          <t>Delivered</t>
        </is>
      </c>
      <c r="J1602" t="n">
        <v>113</v>
      </c>
      <c r="K1602" t="n">
        <v>1</v>
      </c>
      <c r="L1602" s="7" t="n">
        <v>1364</v>
      </c>
      <c r="M1602" s="7" t="n">
        <v>136.4</v>
      </c>
    </row>
    <row r="1603">
      <c r="A1603" t="n">
        <v>510141</v>
      </c>
      <c r="B1603" s="6" t="n">
        <v>45949</v>
      </c>
      <c r="C1603" t="n">
        <v>16880</v>
      </c>
      <c r="D1603" t="inlineStr">
        <is>
          <t>Chennai</t>
        </is>
      </c>
      <c r="E1603" t="inlineStr">
        <is>
          <t>South</t>
        </is>
      </c>
      <c r="F1603" t="inlineStr">
        <is>
          <t>Paid Social</t>
        </is>
      </c>
      <c r="G1603" t="inlineStr">
        <is>
          <t>Mobile Web</t>
        </is>
      </c>
      <c r="H1603" t="inlineStr">
        <is>
          <t>Debit Card</t>
        </is>
      </c>
      <c r="I1603" t="inlineStr">
        <is>
          <t>Delivered</t>
        </is>
      </c>
      <c r="J1603" t="n">
        <v>107</v>
      </c>
      <c r="K1603" t="n">
        <v>1</v>
      </c>
      <c r="L1603" s="7" t="n">
        <v>1259</v>
      </c>
      <c r="M1603" s="7" t="n">
        <v>125.9</v>
      </c>
    </row>
    <row r="1604">
      <c r="A1604" t="n">
        <v>510142</v>
      </c>
      <c r="B1604" s="6" t="n">
        <v>45949</v>
      </c>
      <c r="C1604" t="n">
        <v>16789</v>
      </c>
      <c r="D1604" t="inlineStr">
        <is>
          <t>Delhi</t>
        </is>
      </c>
      <c r="E1604" t="inlineStr">
        <is>
          <t>North</t>
        </is>
      </c>
      <c r="F1604" t="inlineStr">
        <is>
          <t>Organic Search</t>
        </is>
      </c>
      <c r="G1604" t="inlineStr">
        <is>
          <t>Mobile Web</t>
        </is>
      </c>
      <c r="H1604" t="inlineStr">
        <is>
          <t>Debit Card</t>
        </is>
      </c>
      <c r="I1604" t="inlineStr">
        <is>
          <t>Delivered</t>
        </is>
      </c>
      <c r="J1604" t="n">
        <v>104</v>
      </c>
      <c r="K1604" t="n">
        <v>1</v>
      </c>
      <c r="L1604" s="7" t="n">
        <v>5249</v>
      </c>
      <c r="M1604" s="7" t="n">
        <v>787.35</v>
      </c>
    </row>
    <row r="1605">
      <c r="A1605" t="n">
        <v>510142</v>
      </c>
      <c r="B1605" s="6" t="n">
        <v>45949</v>
      </c>
      <c r="C1605" t="n">
        <v>16789</v>
      </c>
      <c r="D1605" t="inlineStr">
        <is>
          <t>Delhi</t>
        </is>
      </c>
      <c r="E1605" t="inlineStr">
        <is>
          <t>North</t>
        </is>
      </c>
      <c r="F1605" t="inlineStr">
        <is>
          <t>Organic Search</t>
        </is>
      </c>
      <c r="G1605" t="inlineStr">
        <is>
          <t>Mobile Web</t>
        </is>
      </c>
      <c r="H1605" t="inlineStr">
        <is>
          <t>Debit Card</t>
        </is>
      </c>
      <c r="I1605" t="inlineStr">
        <is>
          <t>Delivered</t>
        </is>
      </c>
      <c r="J1605" t="n">
        <v>123</v>
      </c>
      <c r="K1605" t="n">
        <v>1</v>
      </c>
      <c r="L1605" s="7" t="n">
        <v>3464</v>
      </c>
      <c r="M1605" s="7" t="n">
        <v>519.6</v>
      </c>
    </row>
    <row r="1606">
      <c r="A1606" t="n">
        <v>510143</v>
      </c>
      <c r="B1606" s="6" t="n">
        <v>45949</v>
      </c>
      <c r="C1606" t="n">
        <v>14958</v>
      </c>
      <c r="D1606" t="inlineStr">
        <is>
          <t>Kolkata</t>
        </is>
      </c>
      <c r="E1606" t="inlineStr">
        <is>
          <t>East</t>
        </is>
      </c>
      <c r="F1606" t="inlineStr">
        <is>
          <t>Organic Search</t>
        </is>
      </c>
      <c r="G1606" t="inlineStr">
        <is>
          <t>Desktop</t>
        </is>
      </c>
      <c r="H1606" t="inlineStr">
        <is>
          <t>UPI</t>
        </is>
      </c>
      <c r="I1606" t="inlineStr">
        <is>
          <t>Delivered</t>
        </is>
      </c>
      <c r="J1606" t="n">
        <v>124</v>
      </c>
      <c r="K1606" t="n">
        <v>1</v>
      </c>
      <c r="L1606" s="7" t="n">
        <v>1154</v>
      </c>
      <c r="M1606" s="7" t="n">
        <v>0</v>
      </c>
    </row>
    <row r="1607">
      <c r="A1607" t="n">
        <v>510144</v>
      </c>
      <c r="B1607" s="6" t="n">
        <v>45949</v>
      </c>
      <c r="C1607" t="n">
        <v>14062</v>
      </c>
      <c r="D1607" t="inlineStr">
        <is>
          <t>Delhi</t>
        </is>
      </c>
      <c r="E1607" t="inlineStr">
        <is>
          <t>North</t>
        </is>
      </c>
      <c r="F1607" t="inlineStr">
        <is>
          <t>Referral</t>
        </is>
      </c>
      <c r="G1607" t="inlineStr">
        <is>
          <t>Mobile Web</t>
        </is>
      </c>
      <c r="H1607" t="inlineStr">
        <is>
          <t>Cash on Delivery</t>
        </is>
      </c>
      <c r="I1607" t="inlineStr">
        <is>
          <t>Delivered</t>
        </is>
      </c>
      <c r="J1607" t="n">
        <v>137</v>
      </c>
      <c r="K1607" t="n">
        <v>1</v>
      </c>
      <c r="L1607" s="7" t="n">
        <v>261</v>
      </c>
      <c r="M1607" s="7" t="n">
        <v>0</v>
      </c>
    </row>
    <row r="1608">
      <c r="A1608" t="n">
        <v>510144</v>
      </c>
      <c r="B1608" s="6" t="n">
        <v>45949</v>
      </c>
      <c r="C1608" t="n">
        <v>14062</v>
      </c>
      <c r="D1608" t="inlineStr">
        <is>
          <t>Delhi</t>
        </is>
      </c>
      <c r="E1608" t="inlineStr">
        <is>
          <t>North</t>
        </is>
      </c>
      <c r="F1608" t="inlineStr">
        <is>
          <t>Referral</t>
        </is>
      </c>
      <c r="G1608" t="inlineStr">
        <is>
          <t>Mobile Web</t>
        </is>
      </c>
      <c r="H1608" t="inlineStr">
        <is>
          <t>Cash on Delivery</t>
        </is>
      </c>
      <c r="I1608" t="inlineStr">
        <is>
          <t>Delivered</t>
        </is>
      </c>
      <c r="J1608" t="n">
        <v>107</v>
      </c>
      <c r="K1608" t="n">
        <v>1</v>
      </c>
      <c r="L1608" s="7" t="n">
        <v>1259</v>
      </c>
      <c r="M1608" s="7" t="n">
        <v>0</v>
      </c>
    </row>
    <row r="1609">
      <c r="A1609" t="n">
        <v>510144</v>
      </c>
      <c r="B1609" s="6" t="n">
        <v>45949</v>
      </c>
      <c r="C1609" t="n">
        <v>14062</v>
      </c>
      <c r="D1609" t="inlineStr">
        <is>
          <t>Delhi</t>
        </is>
      </c>
      <c r="E1609" t="inlineStr">
        <is>
          <t>North</t>
        </is>
      </c>
      <c r="F1609" t="inlineStr">
        <is>
          <t>Referral</t>
        </is>
      </c>
      <c r="G1609" t="inlineStr">
        <is>
          <t>Mobile Web</t>
        </is>
      </c>
      <c r="H1609" t="inlineStr">
        <is>
          <t>Cash on Delivery</t>
        </is>
      </c>
      <c r="I1609" t="inlineStr">
        <is>
          <t>Delivered</t>
        </is>
      </c>
      <c r="J1609" t="n">
        <v>111</v>
      </c>
      <c r="K1609" t="n">
        <v>1</v>
      </c>
      <c r="L1609" s="7" t="n">
        <v>524</v>
      </c>
      <c r="M1609" s="7" t="n">
        <v>0</v>
      </c>
    </row>
    <row r="1610">
      <c r="A1610" t="n">
        <v>510145</v>
      </c>
      <c r="B1610" s="6" t="n">
        <v>45950</v>
      </c>
      <c r="C1610" t="n">
        <v>13980</v>
      </c>
      <c r="D1610" t="inlineStr">
        <is>
          <t>Gurugram</t>
        </is>
      </c>
      <c r="E1610" t="inlineStr">
        <is>
          <t>North</t>
        </is>
      </c>
      <c r="F1610" t="inlineStr">
        <is>
          <t>Paid Search</t>
        </is>
      </c>
      <c r="G1610" t="inlineStr">
        <is>
          <t>Mobile App</t>
        </is>
      </c>
      <c r="H1610" t="inlineStr">
        <is>
          <t>Cash on Delivery</t>
        </is>
      </c>
      <c r="I1610" t="inlineStr">
        <is>
          <t>Delivered</t>
        </is>
      </c>
      <c r="J1610" t="n">
        <v>122</v>
      </c>
      <c r="K1610" t="n">
        <v>3</v>
      </c>
      <c r="L1610" s="7" t="n">
        <v>1994</v>
      </c>
      <c r="M1610" s="7" t="n">
        <v>0</v>
      </c>
    </row>
    <row r="1611">
      <c r="A1611" t="n">
        <v>510146</v>
      </c>
      <c r="B1611" s="6" t="n">
        <v>45950</v>
      </c>
      <c r="C1611" t="n">
        <v>15700</v>
      </c>
      <c r="D1611" t="inlineStr">
        <is>
          <t>Kolkata</t>
        </is>
      </c>
      <c r="E1611" t="inlineStr">
        <is>
          <t>East</t>
        </is>
      </c>
      <c r="F1611" t="inlineStr">
        <is>
          <t>Organic Search</t>
        </is>
      </c>
      <c r="G1611" t="inlineStr">
        <is>
          <t>Mobile App</t>
        </is>
      </c>
      <c r="H1611" t="inlineStr">
        <is>
          <t>UPI</t>
        </is>
      </c>
      <c r="I1611" t="inlineStr">
        <is>
          <t>Cancelled</t>
        </is>
      </c>
      <c r="J1611" t="n">
        <v>104</v>
      </c>
      <c r="K1611" t="n">
        <v>2</v>
      </c>
      <c r="L1611" s="7" t="n">
        <v>5249</v>
      </c>
      <c r="M1611" s="7" t="n">
        <v>0</v>
      </c>
    </row>
    <row r="1612">
      <c r="A1612" t="n">
        <v>510146</v>
      </c>
      <c r="B1612" s="6" t="n">
        <v>45950</v>
      </c>
      <c r="C1612" t="n">
        <v>15700</v>
      </c>
      <c r="D1612" t="inlineStr">
        <is>
          <t>Kolkata</t>
        </is>
      </c>
      <c r="E1612" t="inlineStr">
        <is>
          <t>East</t>
        </is>
      </c>
      <c r="F1612" t="inlineStr">
        <is>
          <t>Organic Search</t>
        </is>
      </c>
      <c r="G1612" t="inlineStr">
        <is>
          <t>Mobile App</t>
        </is>
      </c>
      <c r="H1612" t="inlineStr">
        <is>
          <t>UPI</t>
        </is>
      </c>
      <c r="I1612" t="inlineStr">
        <is>
          <t>Cancelled</t>
        </is>
      </c>
      <c r="J1612" t="n">
        <v>139</v>
      </c>
      <c r="K1612" t="n">
        <v>1</v>
      </c>
      <c r="L1612" s="7" t="n">
        <v>366</v>
      </c>
      <c r="M1612" s="7" t="n">
        <v>0</v>
      </c>
    </row>
    <row r="1613">
      <c r="A1613" t="n">
        <v>510146</v>
      </c>
      <c r="B1613" s="6" t="n">
        <v>45950</v>
      </c>
      <c r="C1613" t="n">
        <v>15700</v>
      </c>
      <c r="D1613" t="inlineStr">
        <is>
          <t>Kolkata</t>
        </is>
      </c>
      <c r="E1613" t="inlineStr">
        <is>
          <t>East</t>
        </is>
      </c>
      <c r="F1613" t="inlineStr">
        <is>
          <t>Organic Search</t>
        </is>
      </c>
      <c r="G1613" t="inlineStr">
        <is>
          <t>Mobile App</t>
        </is>
      </c>
      <c r="H1613" t="inlineStr">
        <is>
          <t>UPI</t>
        </is>
      </c>
      <c r="I1613" t="inlineStr">
        <is>
          <t>Cancelled</t>
        </is>
      </c>
      <c r="J1613" t="n">
        <v>127</v>
      </c>
      <c r="K1613" t="n">
        <v>1</v>
      </c>
      <c r="L1613" s="7" t="n">
        <v>681</v>
      </c>
      <c r="M1613" s="7" t="n">
        <v>0</v>
      </c>
    </row>
    <row r="1614">
      <c r="A1614" t="n">
        <v>510146</v>
      </c>
      <c r="B1614" s="6" t="n">
        <v>45950</v>
      </c>
      <c r="C1614" t="n">
        <v>15700</v>
      </c>
      <c r="D1614" t="inlineStr">
        <is>
          <t>Kolkata</t>
        </is>
      </c>
      <c r="E1614" t="inlineStr">
        <is>
          <t>East</t>
        </is>
      </c>
      <c r="F1614" t="inlineStr">
        <is>
          <t>Organic Search</t>
        </is>
      </c>
      <c r="G1614" t="inlineStr">
        <is>
          <t>Mobile App</t>
        </is>
      </c>
      <c r="H1614" t="inlineStr">
        <is>
          <t>UPI</t>
        </is>
      </c>
      <c r="I1614" t="inlineStr">
        <is>
          <t>Cancelled</t>
        </is>
      </c>
      <c r="J1614" t="n">
        <v>129</v>
      </c>
      <c r="K1614" t="n">
        <v>1</v>
      </c>
      <c r="L1614" s="7" t="n">
        <v>576</v>
      </c>
      <c r="M1614" s="7" t="n">
        <v>0</v>
      </c>
    </row>
    <row r="1615">
      <c r="A1615" t="n">
        <v>510147</v>
      </c>
      <c r="B1615" s="6" t="n">
        <v>45950</v>
      </c>
      <c r="C1615" t="n">
        <v>16000</v>
      </c>
      <c r="D1615" t="inlineStr">
        <is>
          <t>Pune</t>
        </is>
      </c>
      <c r="E1615" t="inlineStr">
        <is>
          <t>West</t>
        </is>
      </c>
      <c r="F1615" t="inlineStr">
        <is>
          <t>Paid Search</t>
        </is>
      </c>
      <c r="G1615" t="inlineStr">
        <is>
          <t>Mobile App</t>
        </is>
      </c>
      <c r="H1615" t="inlineStr">
        <is>
          <t>Cash on Delivery</t>
        </is>
      </c>
      <c r="I1615" t="inlineStr">
        <is>
          <t>Delivered</t>
        </is>
      </c>
      <c r="J1615" t="n">
        <v>123</v>
      </c>
      <c r="K1615" t="n">
        <v>1</v>
      </c>
      <c r="L1615" s="7" t="n">
        <v>3464</v>
      </c>
      <c r="M1615" s="7" t="n">
        <v>346.4</v>
      </c>
    </row>
    <row r="1616">
      <c r="A1616" t="n">
        <v>510147</v>
      </c>
      <c r="B1616" s="6" t="n">
        <v>45950</v>
      </c>
      <c r="C1616" t="n">
        <v>16000</v>
      </c>
      <c r="D1616" t="inlineStr">
        <is>
          <t>Pune</t>
        </is>
      </c>
      <c r="E1616" t="inlineStr">
        <is>
          <t>West</t>
        </is>
      </c>
      <c r="F1616" t="inlineStr">
        <is>
          <t>Paid Search</t>
        </is>
      </c>
      <c r="G1616" t="inlineStr">
        <is>
          <t>Mobile App</t>
        </is>
      </c>
      <c r="H1616" t="inlineStr">
        <is>
          <t>Cash on Delivery</t>
        </is>
      </c>
      <c r="I1616" t="inlineStr">
        <is>
          <t>Delivered</t>
        </is>
      </c>
      <c r="J1616" t="n">
        <v>129</v>
      </c>
      <c r="K1616" t="n">
        <v>1</v>
      </c>
      <c r="L1616" s="7" t="n">
        <v>576</v>
      </c>
      <c r="M1616" s="7" t="n">
        <v>57.6</v>
      </c>
    </row>
    <row r="1617">
      <c r="A1617" t="n">
        <v>510148</v>
      </c>
      <c r="B1617" s="6" t="n">
        <v>45950</v>
      </c>
      <c r="C1617" t="n">
        <v>16891</v>
      </c>
      <c r="D1617" t="inlineStr">
        <is>
          <t>Chennai</t>
        </is>
      </c>
      <c r="E1617" t="inlineStr">
        <is>
          <t>South</t>
        </is>
      </c>
      <c r="F1617" t="inlineStr">
        <is>
          <t>Organic Search</t>
        </is>
      </c>
      <c r="G1617" t="inlineStr">
        <is>
          <t>Mobile App</t>
        </is>
      </c>
      <c r="H1617" t="inlineStr">
        <is>
          <t>Debit Card</t>
        </is>
      </c>
      <c r="I1617" t="inlineStr">
        <is>
          <t>Delivered</t>
        </is>
      </c>
      <c r="J1617" t="n">
        <v>117</v>
      </c>
      <c r="K1617" t="n">
        <v>1</v>
      </c>
      <c r="L1617" s="7" t="n">
        <v>3149</v>
      </c>
      <c r="M1617" s="7" t="n">
        <v>472.35</v>
      </c>
    </row>
    <row r="1618">
      <c r="A1618" t="n">
        <v>510148</v>
      </c>
      <c r="B1618" s="6" t="n">
        <v>45950</v>
      </c>
      <c r="C1618" t="n">
        <v>16891</v>
      </c>
      <c r="D1618" t="inlineStr">
        <is>
          <t>Chennai</t>
        </is>
      </c>
      <c r="E1618" t="inlineStr">
        <is>
          <t>South</t>
        </is>
      </c>
      <c r="F1618" t="inlineStr">
        <is>
          <t>Organic Search</t>
        </is>
      </c>
      <c r="G1618" t="inlineStr">
        <is>
          <t>Mobile App</t>
        </is>
      </c>
      <c r="H1618" t="inlineStr">
        <is>
          <t>Debit Card</t>
        </is>
      </c>
      <c r="I1618" t="inlineStr">
        <is>
          <t>Delivered</t>
        </is>
      </c>
      <c r="J1618" t="n">
        <v>115</v>
      </c>
      <c r="K1618" t="n">
        <v>1</v>
      </c>
      <c r="L1618" s="7" t="n">
        <v>4199</v>
      </c>
      <c r="M1618" s="7" t="n">
        <v>629.85</v>
      </c>
    </row>
    <row r="1619">
      <c r="A1619" t="n">
        <v>510149</v>
      </c>
      <c r="B1619" s="6" t="n">
        <v>45950</v>
      </c>
      <c r="C1619" t="n">
        <v>15355</v>
      </c>
      <c r="D1619" t="inlineStr">
        <is>
          <t>Gurugram</t>
        </is>
      </c>
      <c r="E1619" t="inlineStr">
        <is>
          <t>North</t>
        </is>
      </c>
      <c r="F1619" t="inlineStr">
        <is>
          <t>Paid Search</t>
        </is>
      </c>
      <c r="G1619" t="inlineStr">
        <is>
          <t>Mobile Web</t>
        </is>
      </c>
      <c r="H1619" t="inlineStr">
        <is>
          <t>Net Banking</t>
        </is>
      </c>
      <c r="I1619" t="inlineStr">
        <is>
          <t>Delivered</t>
        </is>
      </c>
      <c r="J1619" t="n">
        <v>111</v>
      </c>
      <c r="K1619" t="n">
        <v>1</v>
      </c>
      <c r="L1619" s="7" t="n">
        <v>524</v>
      </c>
      <c r="M1619" s="7" t="n">
        <v>52.4</v>
      </c>
    </row>
    <row r="1620">
      <c r="A1620" t="n">
        <v>510149</v>
      </c>
      <c r="B1620" s="6" t="n">
        <v>45950</v>
      </c>
      <c r="C1620" t="n">
        <v>15355</v>
      </c>
      <c r="D1620" t="inlineStr">
        <is>
          <t>Gurugram</t>
        </is>
      </c>
      <c r="E1620" t="inlineStr">
        <is>
          <t>North</t>
        </is>
      </c>
      <c r="F1620" t="inlineStr">
        <is>
          <t>Paid Search</t>
        </is>
      </c>
      <c r="G1620" t="inlineStr">
        <is>
          <t>Mobile Web</t>
        </is>
      </c>
      <c r="H1620" t="inlineStr">
        <is>
          <t>Net Banking</t>
        </is>
      </c>
      <c r="I1620" t="inlineStr">
        <is>
          <t>Delivered</t>
        </is>
      </c>
      <c r="J1620" t="n">
        <v>129</v>
      </c>
      <c r="K1620" t="n">
        <v>1</v>
      </c>
      <c r="L1620" s="7" t="n">
        <v>576</v>
      </c>
      <c r="M1620" s="7" t="n">
        <v>57.6</v>
      </c>
    </row>
    <row r="1621">
      <c r="A1621" t="n">
        <v>510150</v>
      </c>
      <c r="B1621" s="6" t="n">
        <v>45950</v>
      </c>
      <c r="C1621" t="n">
        <v>15222</v>
      </c>
      <c r="D1621" t="inlineStr">
        <is>
          <t>Jaipur</t>
        </is>
      </c>
      <c r="E1621" t="inlineStr">
        <is>
          <t>North</t>
        </is>
      </c>
      <c r="F1621" t="inlineStr">
        <is>
          <t>Referral</t>
        </is>
      </c>
      <c r="G1621" t="inlineStr">
        <is>
          <t>Mobile Web</t>
        </is>
      </c>
      <c r="H1621" t="inlineStr">
        <is>
          <t>Cash on Delivery</t>
        </is>
      </c>
      <c r="I1621" t="inlineStr">
        <is>
          <t>Delivered</t>
        </is>
      </c>
      <c r="J1621" t="n">
        <v>106</v>
      </c>
      <c r="K1621" t="n">
        <v>1</v>
      </c>
      <c r="L1621" s="7" t="n">
        <v>1574</v>
      </c>
      <c r="M1621" s="7" t="n">
        <v>157.4</v>
      </c>
    </row>
    <row r="1622">
      <c r="A1622" t="n">
        <v>510151</v>
      </c>
      <c r="B1622" s="6" t="n">
        <v>45950</v>
      </c>
      <c r="C1622" t="n">
        <v>12632</v>
      </c>
      <c r="D1622" t="inlineStr">
        <is>
          <t>Mumbai</t>
        </is>
      </c>
      <c r="E1622" t="inlineStr">
        <is>
          <t>West</t>
        </is>
      </c>
      <c r="F1622" t="inlineStr">
        <is>
          <t>Email</t>
        </is>
      </c>
      <c r="G1622" t="inlineStr">
        <is>
          <t>Mobile App</t>
        </is>
      </c>
      <c r="H1622" t="inlineStr">
        <is>
          <t>UPI</t>
        </is>
      </c>
      <c r="I1622" t="inlineStr">
        <is>
          <t>Delivered</t>
        </is>
      </c>
      <c r="J1622" t="n">
        <v>120</v>
      </c>
      <c r="K1622" t="n">
        <v>1</v>
      </c>
      <c r="L1622" s="7" t="n">
        <v>734</v>
      </c>
      <c r="M1622" s="7" t="n">
        <v>0</v>
      </c>
    </row>
    <row r="1623">
      <c r="A1623" t="n">
        <v>510152</v>
      </c>
      <c r="B1623" s="6" t="n">
        <v>45950</v>
      </c>
      <c r="C1623" t="n">
        <v>16901</v>
      </c>
      <c r="D1623" t="inlineStr">
        <is>
          <t>Pune</t>
        </is>
      </c>
      <c r="E1623" t="inlineStr">
        <is>
          <t>West</t>
        </is>
      </c>
      <c r="F1623" t="inlineStr">
        <is>
          <t>Referral</t>
        </is>
      </c>
      <c r="G1623" t="inlineStr">
        <is>
          <t>Mobile Web</t>
        </is>
      </c>
      <c r="H1623" t="inlineStr">
        <is>
          <t>Credit Card</t>
        </is>
      </c>
      <c r="I1623" t="inlineStr">
        <is>
          <t>Delivered</t>
        </is>
      </c>
      <c r="J1623" t="n">
        <v>130</v>
      </c>
      <c r="K1623" t="n">
        <v>1</v>
      </c>
      <c r="L1623" s="7" t="n">
        <v>734</v>
      </c>
      <c r="M1623" s="7" t="n">
        <v>0</v>
      </c>
    </row>
    <row r="1624">
      <c r="A1624" t="n">
        <v>510152</v>
      </c>
      <c r="B1624" s="6" t="n">
        <v>45950</v>
      </c>
      <c r="C1624" t="n">
        <v>16901</v>
      </c>
      <c r="D1624" t="inlineStr">
        <is>
          <t>Pune</t>
        </is>
      </c>
      <c r="E1624" t="inlineStr">
        <is>
          <t>West</t>
        </is>
      </c>
      <c r="F1624" t="inlineStr">
        <is>
          <t>Referral</t>
        </is>
      </c>
      <c r="G1624" t="inlineStr">
        <is>
          <t>Mobile Web</t>
        </is>
      </c>
      <c r="H1624" t="inlineStr">
        <is>
          <t>Credit Card</t>
        </is>
      </c>
      <c r="I1624" t="inlineStr">
        <is>
          <t>Delivered</t>
        </is>
      </c>
      <c r="J1624" t="n">
        <v>129</v>
      </c>
      <c r="K1624" t="n">
        <v>3</v>
      </c>
      <c r="L1624" s="7" t="n">
        <v>576</v>
      </c>
      <c r="M1624" s="7" t="n">
        <v>0</v>
      </c>
    </row>
    <row r="1625">
      <c r="A1625" t="n">
        <v>510153</v>
      </c>
      <c r="B1625" s="6" t="n">
        <v>45950</v>
      </c>
      <c r="C1625" t="n">
        <v>12459</v>
      </c>
      <c r="D1625" t="inlineStr">
        <is>
          <t>Kolkata</t>
        </is>
      </c>
      <c r="E1625" t="inlineStr">
        <is>
          <t>East</t>
        </is>
      </c>
      <c r="F1625" t="inlineStr">
        <is>
          <t>Organic Search</t>
        </is>
      </c>
      <c r="G1625" t="inlineStr">
        <is>
          <t>Mobile App</t>
        </is>
      </c>
      <c r="H1625" t="inlineStr">
        <is>
          <t>Cash on Delivery</t>
        </is>
      </c>
      <c r="I1625" t="inlineStr">
        <is>
          <t>Delivered</t>
        </is>
      </c>
      <c r="J1625" t="n">
        <v>119</v>
      </c>
      <c r="K1625" t="n">
        <v>2</v>
      </c>
      <c r="L1625" s="7" t="n">
        <v>2309</v>
      </c>
      <c r="M1625" s="7" t="n">
        <v>461.8</v>
      </c>
    </row>
    <row r="1626">
      <c r="A1626" t="n">
        <v>510153</v>
      </c>
      <c r="B1626" s="6" t="n">
        <v>45950</v>
      </c>
      <c r="C1626" t="n">
        <v>12459</v>
      </c>
      <c r="D1626" t="inlineStr">
        <is>
          <t>Kolkata</t>
        </is>
      </c>
      <c r="E1626" t="inlineStr">
        <is>
          <t>East</t>
        </is>
      </c>
      <c r="F1626" t="inlineStr">
        <is>
          <t>Organic Search</t>
        </is>
      </c>
      <c r="G1626" t="inlineStr">
        <is>
          <t>Mobile App</t>
        </is>
      </c>
      <c r="H1626" t="inlineStr">
        <is>
          <t>Cash on Delivery</t>
        </is>
      </c>
      <c r="I1626" t="inlineStr">
        <is>
          <t>Delivered</t>
        </is>
      </c>
      <c r="J1626" t="n">
        <v>116</v>
      </c>
      <c r="K1626" t="n">
        <v>1</v>
      </c>
      <c r="L1626" s="7" t="n">
        <v>2624</v>
      </c>
      <c r="M1626" s="7" t="n">
        <v>262.4</v>
      </c>
    </row>
    <row r="1627">
      <c r="A1627" t="n">
        <v>510154</v>
      </c>
      <c r="B1627" s="6" t="n">
        <v>45950</v>
      </c>
      <c r="C1627" t="n">
        <v>15083</v>
      </c>
      <c r="D1627" t="inlineStr">
        <is>
          <t>Delhi</t>
        </is>
      </c>
      <c r="E1627" t="inlineStr">
        <is>
          <t>North</t>
        </is>
      </c>
      <c r="F1627" t="inlineStr">
        <is>
          <t>Organic Search</t>
        </is>
      </c>
      <c r="G1627" t="inlineStr">
        <is>
          <t>Mobile Web</t>
        </is>
      </c>
      <c r="H1627" t="inlineStr">
        <is>
          <t>Credit Card</t>
        </is>
      </c>
      <c r="I1627" t="inlineStr">
        <is>
          <t>Delivered</t>
        </is>
      </c>
      <c r="J1627" t="n">
        <v>124</v>
      </c>
      <c r="K1627" t="n">
        <v>1</v>
      </c>
      <c r="L1627" s="7" t="n">
        <v>1154</v>
      </c>
      <c r="M1627" s="7" t="n">
        <v>115.4</v>
      </c>
    </row>
    <row r="1628">
      <c r="A1628" t="n">
        <v>510154</v>
      </c>
      <c r="B1628" s="6" t="n">
        <v>45950</v>
      </c>
      <c r="C1628" t="n">
        <v>15083</v>
      </c>
      <c r="D1628" t="inlineStr">
        <is>
          <t>Delhi</t>
        </is>
      </c>
      <c r="E1628" t="inlineStr">
        <is>
          <t>North</t>
        </is>
      </c>
      <c r="F1628" t="inlineStr">
        <is>
          <t>Organic Search</t>
        </is>
      </c>
      <c r="G1628" t="inlineStr">
        <is>
          <t>Mobile Web</t>
        </is>
      </c>
      <c r="H1628" t="inlineStr">
        <is>
          <t>Credit Card</t>
        </is>
      </c>
      <c r="I1628" t="inlineStr">
        <is>
          <t>Delivered</t>
        </is>
      </c>
      <c r="J1628" t="n">
        <v>125</v>
      </c>
      <c r="K1628" t="n">
        <v>1</v>
      </c>
      <c r="L1628" s="7" t="n">
        <v>1364</v>
      </c>
      <c r="M1628" s="7" t="n">
        <v>136.4</v>
      </c>
    </row>
    <row r="1629">
      <c r="A1629" t="n">
        <v>510155</v>
      </c>
      <c r="B1629" s="6" t="n">
        <v>45950</v>
      </c>
      <c r="C1629" t="n">
        <v>16689</v>
      </c>
      <c r="D1629" t="inlineStr">
        <is>
          <t>Hyderabad</t>
        </is>
      </c>
      <c r="E1629" t="inlineStr">
        <is>
          <t>South</t>
        </is>
      </c>
      <c r="F1629" t="inlineStr">
        <is>
          <t>Affiliate</t>
        </is>
      </c>
      <c r="G1629" t="inlineStr">
        <is>
          <t>Desktop</t>
        </is>
      </c>
      <c r="H1629" t="inlineStr">
        <is>
          <t>UPI</t>
        </is>
      </c>
      <c r="I1629" t="inlineStr">
        <is>
          <t>Delivered</t>
        </is>
      </c>
      <c r="J1629" t="n">
        <v>125</v>
      </c>
      <c r="K1629" t="n">
        <v>1</v>
      </c>
      <c r="L1629" s="7" t="n">
        <v>1364</v>
      </c>
      <c r="M1629" s="7" t="n">
        <v>0</v>
      </c>
    </row>
    <row r="1630">
      <c r="A1630" t="n">
        <v>510155</v>
      </c>
      <c r="B1630" s="6" t="n">
        <v>45950</v>
      </c>
      <c r="C1630" t="n">
        <v>16689</v>
      </c>
      <c r="D1630" t="inlineStr">
        <is>
          <t>Hyderabad</t>
        </is>
      </c>
      <c r="E1630" t="inlineStr">
        <is>
          <t>South</t>
        </is>
      </c>
      <c r="F1630" t="inlineStr">
        <is>
          <t>Affiliate</t>
        </is>
      </c>
      <c r="G1630" t="inlineStr">
        <is>
          <t>Desktop</t>
        </is>
      </c>
      <c r="H1630" t="inlineStr">
        <is>
          <t>UPI</t>
        </is>
      </c>
      <c r="I1630" t="inlineStr">
        <is>
          <t>Delivered</t>
        </is>
      </c>
      <c r="J1630" t="n">
        <v>108</v>
      </c>
      <c r="K1630" t="n">
        <v>1</v>
      </c>
      <c r="L1630" s="7" t="n">
        <v>419</v>
      </c>
      <c r="M1630" s="7" t="n">
        <v>0</v>
      </c>
    </row>
    <row r="1631">
      <c r="A1631" t="n">
        <v>510155</v>
      </c>
      <c r="B1631" s="6" t="n">
        <v>45950</v>
      </c>
      <c r="C1631" t="n">
        <v>16689</v>
      </c>
      <c r="D1631" t="inlineStr">
        <is>
          <t>Hyderabad</t>
        </is>
      </c>
      <c r="E1631" t="inlineStr">
        <is>
          <t>South</t>
        </is>
      </c>
      <c r="F1631" t="inlineStr">
        <is>
          <t>Affiliate</t>
        </is>
      </c>
      <c r="G1631" t="inlineStr">
        <is>
          <t>Desktop</t>
        </is>
      </c>
      <c r="H1631" t="inlineStr">
        <is>
          <t>UPI</t>
        </is>
      </c>
      <c r="I1631" t="inlineStr">
        <is>
          <t>Delivered</t>
        </is>
      </c>
      <c r="J1631" t="n">
        <v>117</v>
      </c>
      <c r="K1631" t="n">
        <v>1</v>
      </c>
      <c r="L1631" s="7" t="n">
        <v>3149</v>
      </c>
      <c r="M1631" s="7" t="n">
        <v>0</v>
      </c>
    </row>
    <row r="1632">
      <c r="A1632" t="n">
        <v>510155</v>
      </c>
      <c r="B1632" s="6" t="n">
        <v>45950</v>
      </c>
      <c r="C1632" t="n">
        <v>16689</v>
      </c>
      <c r="D1632" t="inlineStr">
        <is>
          <t>Hyderabad</t>
        </is>
      </c>
      <c r="E1632" t="inlineStr">
        <is>
          <t>South</t>
        </is>
      </c>
      <c r="F1632" t="inlineStr">
        <is>
          <t>Affiliate</t>
        </is>
      </c>
      <c r="G1632" t="inlineStr">
        <is>
          <t>Desktop</t>
        </is>
      </c>
      <c r="H1632" t="inlineStr">
        <is>
          <t>UPI</t>
        </is>
      </c>
      <c r="I1632" t="inlineStr">
        <is>
          <t>Delivered</t>
        </is>
      </c>
      <c r="J1632" t="n">
        <v>129</v>
      </c>
      <c r="K1632" t="n">
        <v>2</v>
      </c>
      <c r="L1632" s="7" t="n">
        <v>576</v>
      </c>
      <c r="M1632" s="7" t="n">
        <v>0</v>
      </c>
    </row>
    <row r="1633">
      <c r="A1633" t="n">
        <v>510156</v>
      </c>
      <c r="B1633" s="6" t="n">
        <v>45950</v>
      </c>
      <c r="C1633" t="n">
        <v>10762</v>
      </c>
      <c r="D1633" t="inlineStr">
        <is>
          <t>Delhi</t>
        </is>
      </c>
      <c r="E1633" t="inlineStr">
        <is>
          <t>North</t>
        </is>
      </c>
      <c r="F1633" t="inlineStr">
        <is>
          <t>Organic Search</t>
        </is>
      </c>
      <c r="G1633" t="inlineStr">
        <is>
          <t>Desktop</t>
        </is>
      </c>
      <c r="H1633" t="inlineStr">
        <is>
          <t>Credit Card</t>
        </is>
      </c>
      <c r="I1633" t="inlineStr">
        <is>
          <t>Returned</t>
        </is>
      </c>
      <c r="J1633" t="n">
        <v>112</v>
      </c>
      <c r="K1633" t="n">
        <v>1</v>
      </c>
      <c r="L1633" s="7" t="n">
        <v>1574</v>
      </c>
      <c r="M1633" s="7" t="n">
        <v>157.4</v>
      </c>
    </row>
    <row r="1634">
      <c r="A1634" t="n">
        <v>510157</v>
      </c>
      <c r="B1634" s="6" t="n">
        <v>45950</v>
      </c>
      <c r="C1634" t="n">
        <v>16845</v>
      </c>
      <c r="D1634" t="inlineStr">
        <is>
          <t>Delhi</t>
        </is>
      </c>
      <c r="E1634" t="inlineStr">
        <is>
          <t>North</t>
        </is>
      </c>
      <c r="F1634" t="inlineStr">
        <is>
          <t>Paid Search</t>
        </is>
      </c>
      <c r="G1634" t="inlineStr">
        <is>
          <t>Mobile Web</t>
        </is>
      </c>
      <c r="H1634" t="inlineStr">
        <is>
          <t>UPI</t>
        </is>
      </c>
      <c r="I1634" t="inlineStr">
        <is>
          <t>Cancelled</t>
        </is>
      </c>
      <c r="J1634" t="n">
        <v>106</v>
      </c>
      <c r="K1634" t="n">
        <v>1</v>
      </c>
      <c r="L1634" s="7" t="n">
        <v>1574</v>
      </c>
      <c r="M1634" s="7" t="n">
        <v>157.4</v>
      </c>
    </row>
    <row r="1635">
      <c r="A1635" t="n">
        <v>510157</v>
      </c>
      <c r="B1635" s="6" t="n">
        <v>45950</v>
      </c>
      <c r="C1635" t="n">
        <v>16845</v>
      </c>
      <c r="D1635" t="inlineStr">
        <is>
          <t>Delhi</t>
        </is>
      </c>
      <c r="E1635" t="inlineStr">
        <is>
          <t>North</t>
        </is>
      </c>
      <c r="F1635" t="inlineStr">
        <is>
          <t>Paid Search</t>
        </is>
      </c>
      <c r="G1635" t="inlineStr">
        <is>
          <t>Mobile Web</t>
        </is>
      </c>
      <c r="H1635" t="inlineStr">
        <is>
          <t>UPI</t>
        </is>
      </c>
      <c r="I1635" t="inlineStr">
        <is>
          <t>Cancelled</t>
        </is>
      </c>
      <c r="J1635" t="n">
        <v>129</v>
      </c>
      <c r="K1635" t="n">
        <v>2</v>
      </c>
      <c r="L1635" s="7" t="n">
        <v>576</v>
      </c>
      <c r="M1635" s="7" t="n">
        <v>115.2</v>
      </c>
    </row>
    <row r="1636">
      <c r="A1636" t="n">
        <v>510158</v>
      </c>
      <c r="B1636" s="6" t="n">
        <v>45950</v>
      </c>
      <c r="C1636" t="n">
        <v>16923</v>
      </c>
      <c r="D1636" t="inlineStr">
        <is>
          <t>Pune</t>
        </is>
      </c>
      <c r="E1636" t="inlineStr">
        <is>
          <t>West</t>
        </is>
      </c>
      <c r="F1636" t="inlineStr">
        <is>
          <t>Affiliate</t>
        </is>
      </c>
      <c r="G1636" t="inlineStr">
        <is>
          <t>Desktop</t>
        </is>
      </c>
      <c r="H1636" t="inlineStr">
        <is>
          <t>UPI</t>
        </is>
      </c>
      <c r="I1636" t="inlineStr">
        <is>
          <t>Delivered</t>
        </is>
      </c>
      <c r="J1636" t="n">
        <v>127</v>
      </c>
      <c r="K1636" t="n">
        <v>1</v>
      </c>
      <c r="L1636" s="7" t="n">
        <v>681</v>
      </c>
      <c r="M1636" s="7" t="n">
        <v>68.09999999999999</v>
      </c>
    </row>
    <row r="1637">
      <c r="A1637" t="n">
        <v>510158</v>
      </c>
      <c r="B1637" s="6" t="n">
        <v>45950</v>
      </c>
      <c r="C1637" t="n">
        <v>16923</v>
      </c>
      <c r="D1637" t="inlineStr">
        <is>
          <t>Pune</t>
        </is>
      </c>
      <c r="E1637" t="inlineStr">
        <is>
          <t>West</t>
        </is>
      </c>
      <c r="F1637" t="inlineStr">
        <is>
          <t>Affiliate</t>
        </is>
      </c>
      <c r="G1637" t="inlineStr">
        <is>
          <t>Desktop</t>
        </is>
      </c>
      <c r="H1637" t="inlineStr">
        <is>
          <t>UPI</t>
        </is>
      </c>
      <c r="I1637" t="inlineStr">
        <is>
          <t>Delivered</t>
        </is>
      </c>
      <c r="J1637" t="n">
        <v>138</v>
      </c>
      <c r="K1637" t="n">
        <v>1</v>
      </c>
      <c r="L1637" s="7" t="n">
        <v>419</v>
      </c>
      <c r="M1637" s="7" t="n">
        <v>41.9</v>
      </c>
    </row>
    <row r="1638">
      <c r="A1638" t="n">
        <v>510158</v>
      </c>
      <c r="B1638" s="6" t="n">
        <v>45950</v>
      </c>
      <c r="C1638" t="n">
        <v>16923</v>
      </c>
      <c r="D1638" t="inlineStr">
        <is>
          <t>Pune</t>
        </is>
      </c>
      <c r="E1638" t="inlineStr">
        <is>
          <t>West</t>
        </is>
      </c>
      <c r="F1638" t="inlineStr">
        <is>
          <t>Affiliate</t>
        </is>
      </c>
      <c r="G1638" t="inlineStr">
        <is>
          <t>Desktop</t>
        </is>
      </c>
      <c r="H1638" t="inlineStr">
        <is>
          <t>UPI</t>
        </is>
      </c>
      <c r="I1638" t="inlineStr">
        <is>
          <t>Delivered</t>
        </is>
      </c>
      <c r="J1638" t="n">
        <v>125</v>
      </c>
      <c r="K1638" t="n">
        <v>2</v>
      </c>
      <c r="L1638" s="7" t="n">
        <v>1364</v>
      </c>
      <c r="M1638" s="7" t="n">
        <v>272.8</v>
      </c>
    </row>
    <row r="1639">
      <c r="A1639" t="n">
        <v>510158</v>
      </c>
      <c r="B1639" s="6" t="n">
        <v>45950</v>
      </c>
      <c r="C1639" t="n">
        <v>16923</v>
      </c>
      <c r="D1639" t="inlineStr">
        <is>
          <t>Pune</t>
        </is>
      </c>
      <c r="E1639" t="inlineStr">
        <is>
          <t>West</t>
        </is>
      </c>
      <c r="F1639" t="inlineStr">
        <is>
          <t>Affiliate</t>
        </is>
      </c>
      <c r="G1639" t="inlineStr">
        <is>
          <t>Desktop</t>
        </is>
      </c>
      <c r="H1639" t="inlineStr">
        <is>
          <t>UPI</t>
        </is>
      </c>
      <c r="I1639" t="inlineStr">
        <is>
          <t>Delivered</t>
        </is>
      </c>
      <c r="J1639" t="n">
        <v>118</v>
      </c>
      <c r="K1639" t="n">
        <v>1</v>
      </c>
      <c r="L1639" s="7" t="n">
        <v>944</v>
      </c>
      <c r="M1639" s="7" t="n">
        <v>94.40000000000001</v>
      </c>
    </row>
    <row r="1640">
      <c r="A1640" t="n">
        <v>510159</v>
      </c>
      <c r="B1640" s="6" t="n">
        <v>45950</v>
      </c>
      <c r="C1640" t="n">
        <v>11022</v>
      </c>
      <c r="D1640" t="inlineStr">
        <is>
          <t>Gurugram</t>
        </is>
      </c>
      <c r="E1640" t="inlineStr">
        <is>
          <t>North</t>
        </is>
      </c>
      <c r="F1640" t="inlineStr">
        <is>
          <t>Organic Search</t>
        </is>
      </c>
      <c r="G1640" t="inlineStr">
        <is>
          <t>Mobile Web</t>
        </is>
      </c>
      <c r="H1640" t="inlineStr">
        <is>
          <t>Net Banking</t>
        </is>
      </c>
      <c r="I1640" t="inlineStr">
        <is>
          <t>Returned</t>
        </is>
      </c>
      <c r="J1640" t="n">
        <v>109</v>
      </c>
      <c r="K1640" t="n">
        <v>1</v>
      </c>
      <c r="L1640" s="7" t="n">
        <v>4199</v>
      </c>
      <c r="M1640" s="7" t="n">
        <v>0</v>
      </c>
    </row>
    <row r="1641">
      <c r="A1641" t="n">
        <v>510159</v>
      </c>
      <c r="B1641" s="6" t="n">
        <v>45950</v>
      </c>
      <c r="C1641" t="n">
        <v>11022</v>
      </c>
      <c r="D1641" t="inlineStr">
        <is>
          <t>Gurugram</t>
        </is>
      </c>
      <c r="E1641" t="inlineStr">
        <is>
          <t>North</t>
        </is>
      </c>
      <c r="F1641" t="inlineStr">
        <is>
          <t>Organic Search</t>
        </is>
      </c>
      <c r="G1641" t="inlineStr">
        <is>
          <t>Mobile Web</t>
        </is>
      </c>
      <c r="H1641" t="inlineStr">
        <is>
          <t>Net Banking</t>
        </is>
      </c>
      <c r="I1641" t="inlineStr">
        <is>
          <t>Returned</t>
        </is>
      </c>
      <c r="J1641" t="n">
        <v>111</v>
      </c>
      <c r="K1641" t="n">
        <v>1</v>
      </c>
      <c r="L1641" s="7" t="n">
        <v>524</v>
      </c>
      <c r="M1641" s="7" t="n">
        <v>0</v>
      </c>
    </row>
    <row r="1642">
      <c r="A1642" t="n">
        <v>510159</v>
      </c>
      <c r="B1642" s="6" t="n">
        <v>45950</v>
      </c>
      <c r="C1642" t="n">
        <v>11022</v>
      </c>
      <c r="D1642" t="inlineStr">
        <is>
          <t>Gurugram</t>
        </is>
      </c>
      <c r="E1642" t="inlineStr">
        <is>
          <t>North</t>
        </is>
      </c>
      <c r="F1642" t="inlineStr">
        <is>
          <t>Organic Search</t>
        </is>
      </c>
      <c r="G1642" t="inlineStr">
        <is>
          <t>Mobile Web</t>
        </is>
      </c>
      <c r="H1642" t="inlineStr">
        <is>
          <t>Net Banking</t>
        </is>
      </c>
      <c r="I1642" t="inlineStr">
        <is>
          <t>Returned</t>
        </is>
      </c>
      <c r="J1642" t="n">
        <v>107</v>
      </c>
      <c r="K1642" t="n">
        <v>1</v>
      </c>
      <c r="L1642" s="7" t="n">
        <v>1259</v>
      </c>
      <c r="M1642" s="7" t="n">
        <v>0</v>
      </c>
    </row>
    <row r="1643">
      <c r="A1643" t="n">
        <v>510160</v>
      </c>
      <c r="B1643" s="6" t="n">
        <v>45950</v>
      </c>
      <c r="C1643" t="n">
        <v>15681</v>
      </c>
      <c r="D1643" t="inlineStr">
        <is>
          <t>Hyderabad</t>
        </is>
      </c>
      <c r="E1643" t="inlineStr">
        <is>
          <t>South</t>
        </is>
      </c>
      <c r="F1643" t="inlineStr">
        <is>
          <t>Email</t>
        </is>
      </c>
      <c r="G1643" t="inlineStr">
        <is>
          <t>Mobile App</t>
        </is>
      </c>
      <c r="H1643" t="inlineStr">
        <is>
          <t>Cash on Delivery</t>
        </is>
      </c>
      <c r="I1643" t="inlineStr">
        <is>
          <t>Delivered</t>
        </is>
      </c>
      <c r="J1643" t="n">
        <v>115</v>
      </c>
      <c r="K1643" t="n">
        <v>1</v>
      </c>
      <c r="L1643" s="7" t="n">
        <v>4199</v>
      </c>
      <c r="M1643" s="7" t="n">
        <v>419.9</v>
      </c>
    </row>
    <row r="1644">
      <c r="A1644" t="n">
        <v>510160</v>
      </c>
      <c r="B1644" s="6" t="n">
        <v>45950</v>
      </c>
      <c r="C1644" t="n">
        <v>15681</v>
      </c>
      <c r="D1644" t="inlineStr">
        <is>
          <t>Hyderabad</t>
        </is>
      </c>
      <c r="E1644" t="inlineStr">
        <is>
          <t>South</t>
        </is>
      </c>
      <c r="F1644" t="inlineStr">
        <is>
          <t>Email</t>
        </is>
      </c>
      <c r="G1644" t="inlineStr">
        <is>
          <t>Mobile App</t>
        </is>
      </c>
      <c r="H1644" t="inlineStr">
        <is>
          <t>Cash on Delivery</t>
        </is>
      </c>
      <c r="I1644" t="inlineStr">
        <is>
          <t>Delivered</t>
        </is>
      </c>
      <c r="J1644" t="n">
        <v>129</v>
      </c>
      <c r="K1644" t="n">
        <v>1</v>
      </c>
      <c r="L1644" s="7" t="n">
        <v>576</v>
      </c>
      <c r="M1644" s="7" t="n">
        <v>57.6</v>
      </c>
    </row>
    <row r="1645">
      <c r="A1645" t="n">
        <v>510161</v>
      </c>
      <c r="B1645" s="6" t="n">
        <v>45950</v>
      </c>
      <c r="C1645" t="n">
        <v>13097</v>
      </c>
      <c r="D1645" t="inlineStr">
        <is>
          <t>Chennai</t>
        </is>
      </c>
      <c r="E1645" t="inlineStr">
        <is>
          <t>South</t>
        </is>
      </c>
      <c r="F1645" t="inlineStr">
        <is>
          <t>Organic Search</t>
        </is>
      </c>
      <c r="G1645" t="inlineStr">
        <is>
          <t>Desktop</t>
        </is>
      </c>
      <c r="H1645" t="inlineStr">
        <is>
          <t>UPI</t>
        </is>
      </c>
      <c r="I1645" t="inlineStr">
        <is>
          <t>Delivered</t>
        </is>
      </c>
      <c r="J1645" t="n">
        <v>146</v>
      </c>
      <c r="K1645" t="n">
        <v>1</v>
      </c>
      <c r="L1645" s="7" t="n">
        <v>4724</v>
      </c>
      <c r="M1645" s="7" t="n">
        <v>0</v>
      </c>
    </row>
    <row r="1646">
      <c r="A1646" t="n">
        <v>510162</v>
      </c>
      <c r="B1646" s="6" t="n">
        <v>45950</v>
      </c>
      <c r="C1646" t="n">
        <v>16813</v>
      </c>
      <c r="D1646" t="inlineStr">
        <is>
          <t>Bengaluru</t>
        </is>
      </c>
      <c r="E1646" t="inlineStr">
        <is>
          <t>South</t>
        </is>
      </c>
      <c r="F1646" t="inlineStr">
        <is>
          <t>Email</t>
        </is>
      </c>
      <c r="G1646" t="inlineStr">
        <is>
          <t>Mobile App</t>
        </is>
      </c>
      <c r="H1646" t="inlineStr">
        <is>
          <t>UPI</t>
        </is>
      </c>
      <c r="I1646" t="inlineStr">
        <is>
          <t>Delivered</t>
        </is>
      </c>
      <c r="J1646" t="n">
        <v>113</v>
      </c>
      <c r="K1646" t="n">
        <v>2</v>
      </c>
      <c r="L1646" s="7" t="n">
        <v>1364</v>
      </c>
      <c r="M1646" s="7" t="n">
        <v>0</v>
      </c>
    </row>
    <row r="1647">
      <c r="A1647" t="n">
        <v>510162</v>
      </c>
      <c r="B1647" s="6" t="n">
        <v>45950</v>
      </c>
      <c r="C1647" t="n">
        <v>16813</v>
      </c>
      <c r="D1647" t="inlineStr">
        <is>
          <t>Bengaluru</t>
        </is>
      </c>
      <c r="E1647" t="inlineStr">
        <is>
          <t>South</t>
        </is>
      </c>
      <c r="F1647" t="inlineStr">
        <is>
          <t>Email</t>
        </is>
      </c>
      <c r="G1647" t="inlineStr">
        <is>
          <t>Mobile App</t>
        </is>
      </c>
      <c r="H1647" t="inlineStr">
        <is>
          <t>UPI</t>
        </is>
      </c>
      <c r="I1647" t="inlineStr">
        <is>
          <t>Delivered</t>
        </is>
      </c>
      <c r="J1647" t="n">
        <v>109</v>
      </c>
      <c r="K1647" t="n">
        <v>3</v>
      </c>
      <c r="L1647" s="7" t="n">
        <v>4199</v>
      </c>
      <c r="M1647" s="7" t="n">
        <v>0</v>
      </c>
    </row>
    <row r="1648">
      <c r="A1648" t="n">
        <v>510162</v>
      </c>
      <c r="B1648" s="6" t="n">
        <v>45950</v>
      </c>
      <c r="C1648" t="n">
        <v>16813</v>
      </c>
      <c r="D1648" t="inlineStr">
        <is>
          <t>Bengaluru</t>
        </is>
      </c>
      <c r="E1648" t="inlineStr">
        <is>
          <t>South</t>
        </is>
      </c>
      <c r="F1648" t="inlineStr">
        <is>
          <t>Email</t>
        </is>
      </c>
      <c r="G1648" t="inlineStr">
        <is>
          <t>Mobile App</t>
        </is>
      </c>
      <c r="H1648" t="inlineStr">
        <is>
          <t>UPI</t>
        </is>
      </c>
      <c r="I1648" t="inlineStr">
        <is>
          <t>Delivered</t>
        </is>
      </c>
      <c r="J1648" t="n">
        <v>129</v>
      </c>
      <c r="K1648" t="n">
        <v>1</v>
      </c>
      <c r="L1648" s="7" t="n">
        <v>576</v>
      </c>
      <c r="M1648" s="7" t="n">
        <v>0</v>
      </c>
    </row>
    <row r="1649">
      <c r="A1649" t="n">
        <v>510163</v>
      </c>
      <c r="B1649" s="6" t="n">
        <v>45950</v>
      </c>
      <c r="C1649" t="n">
        <v>12042</v>
      </c>
      <c r="D1649" t="inlineStr">
        <is>
          <t>Indore</t>
        </is>
      </c>
      <c r="E1649" t="inlineStr">
        <is>
          <t>West</t>
        </is>
      </c>
      <c r="F1649" t="inlineStr">
        <is>
          <t>Email</t>
        </is>
      </c>
      <c r="G1649" t="inlineStr">
        <is>
          <t>Desktop</t>
        </is>
      </c>
      <c r="H1649" t="inlineStr">
        <is>
          <t>UPI</t>
        </is>
      </c>
      <c r="I1649" t="inlineStr">
        <is>
          <t>Delivered</t>
        </is>
      </c>
      <c r="J1649" t="n">
        <v>111</v>
      </c>
      <c r="K1649" t="n">
        <v>2</v>
      </c>
      <c r="L1649" s="7" t="n">
        <v>524</v>
      </c>
      <c r="M1649" s="7" t="n">
        <v>104.8</v>
      </c>
    </row>
    <row r="1650">
      <c r="A1650" t="n">
        <v>510164</v>
      </c>
      <c r="B1650" s="6" t="n">
        <v>45950</v>
      </c>
      <c r="C1650" t="n">
        <v>16864</v>
      </c>
      <c r="D1650" t="inlineStr">
        <is>
          <t>Hyderabad</t>
        </is>
      </c>
      <c r="E1650" t="inlineStr">
        <is>
          <t>South</t>
        </is>
      </c>
      <c r="F1650" t="inlineStr">
        <is>
          <t>Referral</t>
        </is>
      </c>
      <c r="G1650" t="inlineStr">
        <is>
          <t>Mobile Web</t>
        </is>
      </c>
      <c r="H1650" t="inlineStr">
        <is>
          <t>Debit Card</t>
        </is>
      </c>
      <c r="I1650" t="inlineStr">
        <is>
          <t>Delivered</t>
        </is>
      </c>
      <c r="J1650" t="n">
        <v>107</v>
      </c>
      <c r="K1650" t="n">
        <v>1</v>
      </c>
      <c r="L1650" s="7" t="n">
        <v>1259</v>
      </c>
      <c r="M1650" s="7" t="n">
        <v>0</v>
      </c>
    </row>
    <row r="1651">
      <c r="A1651" t="n">
        <v>510164</v>
      </c>
      <c r="B1651" s="6" t="n">
        <v>45950</v>
      </c>
      <c r="C1651" t="n">
        <v>16864</v>
      </c>
      <c r="D1651" t="inlineStr">
        <is>
          <t>Hyderabad</t>
        </is>
      </c>
      <c r="E1651" t="inlineStr">
        <is>
          <t>South</t>
        </is>
      </c>
      <c r="F1651" t="inlineStr">
        <is>
          <t>Referral</t>
        </is>
      </c>
      <c r="G1651" t="inlineStr">
        <is>
          <t>Mobile Web</t>
        </is>
      </c>
      <c r="H1651" t="inlineStr">
        <is>
          <t>Debit Card</t>
        </is>
      </c>
      <c r="I1651" t="inlineStr">
        <is>
          <t>Delivered</t>
        </is>
      </c>
      <c r="J1651" t="n">
        <v>112</v>
      </c>
      <c r="K1651" t="n">
        <v>1</v>
      </c>
      <c r="L1651" s="7" t="n">
        <v>1574</v>
      </c>
      <c r="M1651" s="7" t="n">
        <v>0</v>
      </c>
    </row>
    <row r="1652">
      <c r="A1652" t="n">
        <v>510164</v>
      </c>
      <c r="B1652" s="6" t="n">
        <v>45950</v>
      </c>
      <c r="C1652" t="n">
        <v>16864</v>
      </c>
      <c r="D1652" t="inlineStr">
        <is>
          <t>Hyderabad</t>
        </is>
      </c>
      <c r="E1652" t="inlineStr">
        <is>
          <t>South</t>
        </is>
      </c>
      <c r="F1652" t="inlineStr">
        <is>
          <t>Referral</t>
        </is>
      </c>
      <c r="G1652" t="inlineStr">
        <is>
          <t>Mobile Web</t>
        </is>
      </c>
      <c r="H1652" t="inlineStr">
        <is>
          <t>Debit Card</t>
        </is>
      </c>
      <c r="I1652" t="inlineStr">
        <is>
          <t>Delivered</t>
        </is>
      </c>
      <c r="J1652" t="n">
        <v>103</v>
      </c>
      <c r="K1652" t="n">
        <v>1</v>
      </c>
      <c r="L1652" s="7" t="n">
        <v>2624</v>
      </c>
      <c r="M1652" s="7" t="n">
        <v>0</v>
      </c>
    </row>
    <row r="1653">
      <c r="A1653" t="n">
        <v>510164</v>
      </c>
      <c r="B1653" s="6" t="n">
        <v>45950</v>
      </c>
      <c r="C1653" t="n">
        <v>16864</v>
      </c>
      <c r="D1653" t="inlineStr">
        <is>
          <t>Hyderabad</t>
        </is>
      </c>
      <c r="E1653" t="inlineStr">
        <is>
          <t>South</t>
        </is>
      </c>
      <c r="F1653" t="inlineStr">
        <is>
          <t>Referral</t>
        </is>
      </c>
      <c r="G1653" t="inlineStr">
        <is>
          <t>Mobile Web</t>
        </is>
      </c>
      <c r="H1653" t="inlineStr">
        <is>
          <t>Debit Card</t>
        </is>
      </c>
      <c r="I1653" t="inlineStr">
        <is>
          <t>Delivered</t>
        </is>
      </c>
      <c r="J1653" t="n">
        <v>117</v>
      </c>
      <c r="K1653" t="n">
        <v>1</v>
      </c>
      <c r="L1653" s="7" t="n">
        <v>3149</v>
      </c>
      <c r="M1653" s="7" t="n">
        <v>0</v>
      </c>
    </row>
    <row r="1654">
      <c r="A1654" t="n">
        <v>510165</v>
      </c>
      <c r="B1654" s="6" t="n">
        <v>45950</v>
      </c>
      <c r="C1654" t="n">
        <v>16935</v>
      </c>
      <c r="D1654" t="inlineStr">
        <is>
          <t>Kolkata</t>
        </is>
      </c>
      <c r="E1654" t="inlineStr">
        <is>
          <t>East</t>
        </is>
      </c>
      <c r="F1654" t="inlineStr">
        <is>
          <t>Organic Search</t>
        </is>
      </c>
      <c r="G1654" t="inlineStr">
        <is>
          <t>Mobile App</t>
        </is>
      </c>
      <c r="H1654" t="inlineStr">
        <is>
          <t>Credit Card</t>
        </is>
      </c>
      <c r="I1654" t="inlineStr">
        <is>
          <t>Delivered</t>
        </is>
      </c>
      <c r="J1654" t="n">
        <v>140</v>
      </c>
      <c r="K1654" t="n">
        <v>1</v>
      </c>
      <c r="L1654" s="7" t="n">
        <v>629</v>
      </c>
      <c r="M1654" s="7" t="n">
        <v>0</v>
      </c>
    </row>
    <row r="1655">
      <c r="A1655" t="n">
        <v>510166</v>
      </c>
      <c r="B1655" s="6" t="n">
        <v>45950</v>
      </c>
      <c r="C1655" t="n">
        <v>15727</v>
      </c>
      <c r="D1655" t="inlineStr">
        <is>
          <t>Delhi</t>
        </is>
      </c>
      <c r="E1655" t="inlineStr">
        <is>
          <t>North</t>
        </is>
      </c>
      <c r="F1655" t="inlineStr">
        <is>
          <t>Paid Search</t>
        </is>
      </c>
      <c r="G1655" t="inlineStr">
        <is>
          <t>Mobile App</t>
        </is>
      </c>
      <c r="H1655" t="inlineStr">
        <is>
          <t>UPI</t>
        </is>
      </c>
      <c r="I1655" t="inlineStr">
        <is>
          <t>Returned</t>
        </is>
      </c>
      <c r="J1655" t="n">
        <v>114</v>
      </c>
      <c r="K1655" t="n">
        <v>2</v>
      </c>
      <c r="L1655" s="7" t="n">
        <v>1259</v>
      </c>
      <c r="M1655" s="7" t="n">
        <v>251.8</v>
      </c>
    </row>
    <row r="1656">
      <c r="A1656" t="n">
        <v>510166</v>
      </c>
      <c r="B1656" s="6" t="n">
        <v>45950</v>
      </c>
      <c r="C1656" t="n">
        <v>15727</v>
      </c>
      <c r="D1656" t="inlineStr">
        <is>
          <t>Delhi</t>
        </is>
      </c>
      <c r="E1656" t="inlineStr">
        <is>
          <t>North</t>
        </is>
      </c>
      <c r="F1656" t="inlineStr">
        <is>
          <t>Paid Search</t>
        </is>
      </c>
      <c r="G1656" t="inlineStr">
        <is>
          <t>Mobile App</t>
        </is>
      </c>
      <c r="H1656" t="inlineStr">
        <is>
          <t>UPI</t>
        </is>
      </c>
      <c r="I1656" t="inlineStr">
        <is>
          <t>Returned</t>
        </is>
      </c>
      <c r="J1656" t="n">
        <v>123</v>
      </c>
      <c r="K1656" t="n">
        <v>2</v>
      </c>
      <c r="L1656" s="7" t="n">
        <v>3464</v>
      </c>
      <c r="M1656" s="7" t="n">
        <v>692.8</v>
      </c>
    </row>
    <row r="1657">
      <c r="A1657" t="n">
        <v>510167</v>
      </c>
      <c r="B1657" s="6" t="n">
        <v>45950</v>
      </c>
      <c r="C1657" t="n">
        <v>14927</v>
      </c>
      <c r="D1657" t="inlineStr">
        <is>
          <t>Delhi</t>
        </is>
      </c>
      <c r="E1657" t="inlineStr">
        <is>
          <t>North</t>
        </is>
      </c>
      <c r="F1657" t="inlineStr">
        <is>
          <t>Referral</t>
        </is>
      </c>
      <c r="G1657" t="inlineStr">
        <is>
          <t>Mobile Web</t>
        </is>
      </c>
      <c r="H1657" t="inlineStr">
        <is>
          <t>UPI</t>
        </is>
      </c>
      <c r="I1657" t="inlineStr">
        <is>
          <t>Delivered</t>
        </is>
      </c>
      <c r="J1657" t="n">
        <v>144</v>
      </c>
      <c r="K1657" t="n">
        <v>1</v>
      </c>
      <c r="L1657" s="7" t="n">
        <v>3149</v>
      </c>
      <c r="M1657" s="7" t="n">
        <v>314.9</v>
      </c>
    </row>
    <row r="1658">
      <c r="A1658" t="n">
        <v>510167</v>
      </c>
      <c r="B1658" s="6" t="n">
        <v>45950</v>
      </c>
      <c r="C1658" t="n">
        <v>14927</v>
      </c>
      <c r="D1658" t="inlineStr">
        <is>
          <t>Delhi</t>
        </is>
      </c>
      <c r="E1658" t="inlineStr">
        <is>
          <t>North</t>
        </is>
      </c>
      <c r="F1658" t="inlineStr">
        <is>
          <t>Referral</t>
        </is>
      </c>
      <c r="G1658" t="inlineStr">
        <is>
          <t>Mobile Web</t>
        </is>
      </c>
      <c r="H1658" t="inlineStr">
        <is>
          <t>UPI</t>
        </is>
      </c>
      <c r="I1658" t="inlineStr">
        <is>
          <t>Delivered</t>
        </is>
      </c>
      <c r="J1658" t="n">
        <v>127</v>
      </c>
      <c r="K1658" t="n">
        <v>1</v>
      </c>
      <c r="L1658" s="7" t="n">
        <v>681</v>
      </c>
      <c r="M1658" s="7" t="n">
        <v>68.09999999999999</v>
      </c>
    </row>
    <row r="1659">
      <c r="A1659" t="n">
        <v>510167</v>
      </c>
      <c r="B1659" s="6" t="n">
        <v>45950</v>
      </c>
      <c r="C1659" t="n">
        <v>14927</v>
      </c>
      <c r="D1659" t="inlineStr">
        <is>
          <t>Delhi</t>
        </is>
      </c>
      <c r="E1659" t="inlineStr">
        <is>
          <t>North</t>
        </is>
      </c>
      <c r="F1659" t="inlineStr">
        <is>
          <t>Referral</t>
        </is>
      </c>
      <c r="G1659" t="inlineStr">
        <is>
          <t>Mobile Web</t>
        </is>
      </c>
      <c r="H1659" t="inlineStr">
        <is>
          <t>UPI</t>
        </is>
      </c>
      <c r="I1659" t="inlineStr">
        <is>
          <t>Delivered</t>
        </is>
      </c>
      <c r="J1659" t="n">
        <v>112</v>
      </c>
      <c r="K1659" t="n">
        <v>1</v>
      </c>
      <c r="L1659" s="7" t="n">
        <v>1574</v>
      </c>
      <c r="M1659" s="7" t="n">
        <v>157.4</v>
      </c>
    </row>
    <row r="1660">
      <c r="A1660" t="n">
        <v>510168</v>
      </c>
      <c r="B1660" s="6" t="n">
        <v>45950</v>
      </c>
      <c r="C1660" t="n">
        <v>13272</v>
      </c>
      <c r="D1660" t="inlineStr">
        <is>
          <t>Lucknow</t>
        </is>
      </c>
      <c r="E1660" t="inlineStr">
        <is>
          <t>North</t>
        </is>
      </c>
      <c r="F1660" t="inlineStr">
        <is>
          <t>Organic Search</t>
        </is>
      </c>
      <c r="G1660" t="inlineStr">
        <is>
          <t>Mobile App</t>
        </is>
      </c>
      <c r="H1660" t="inlineStr">
        <is>
          <t>Credit Card</t>
        </is>
      </c>
      <c r="I1660" t="inlineStr">
        <is>
          <t>Delivered</t>
        </is>
      </c>
      <c r="J1660" t="n">
        <v>135</v>
      </c>
      <c r="K1660" t="n">
        <v>3</v>
      </c>
      <c r="L1660" s="7" t="n">
        <v>1574</v>
      </c>
      <c r="M1660" s="7" t="n">
        <v>472.2</v>
      </c>
    </row>
    <row r="1661">
      <c r="A1661" t="n">
        <v>510169</v>
      </c>
      <c r="B1661" s="6" t="n">
        <v>45950</v>
      </c>
      <c r="C1661" t="n">
        <v>15153</v>
      </c>
      <c r="D1661" t="inlineStr">
        <is>
          <t>Bengaluru</t>
        </is>
      </c>
      <c r="E1661" t="inlineStr">
        <is>
          <t>South</t>
        </is>
      </c>
      <c r="F1661" t="inlineStr">
        <is>
          <t>Organic Search</t>
        </is>
      </c>
      <c r="G1661" t="inlineStr">
        <is>
          <t>Mobile Web</t>
        </is>
      </c>
      <c r="H1661" t="inlineStr">
        <is>
          <t>Debit Card</t>
        </is>
      </c>
      <c r="I1661" t="inlineStr">
        <is>
          <t>Returned</t>
        </is>
      </c>
      <c r="J1661" t="n">
        <v>148</v>
      </c>
      <c r="K1661" t="n">
        <v>1</v>
      </c>
      <c r="L1661" s="7" t="n">
        <v>734</v>
      </c>
      <c r="M1661" s="7" t="n">
        <v>0</v>
      </c>
    </row>
    <row r="1662">
      <c r="A1662" t="n">
        <v>510169</v>
      </c>
      <c r="B1662" s="6" t="n">
        <v>45950</v>
      </c>
      <c r="C1662" t="n">
        <v>15153</v>
      </c>
      <c r="D1662" t="inlineStr">
        <is>
          <t>Bengaluru</t>
        </is>
      </c>
      <c r="E1662" t="inlineStr">
        <is>
          <t>South</t>
        </is>
      </c>
      <c r="F1662" t="inlineStr">
        <is>
          <t>Organic Search</t>
        </is>
      </c>
      <c r="G1662" t="inlineStr">
        <is>
          <t>Mobile Web</t>
        </is>
      </c>
      <c r="H1662" t="inlineStr">
        <is>
          <t>Debit Card</t>
        </is>
      </c>
      <c r="I1662" t="inlineStr">
        <is>
          <t>Returned</t>
        </is>
      </c>
      <c r="J1662" t="n">
        <v>112</v>
      </c>
      <c r="K1662" t="n">
        <v>1</v>
      </c>
      <c r="L1662" s="7" t="n">
        <v>1574</v>
      </c>
      <c r="M1662" s="7" t="n">
        <v>0</v>
      </c>
    </row>
    <row r="1663">
      <c r="A1663" t="n">
        <v>510169</v>
      </c>
      <c r="B1663" s="6" t="n">
        <v>45950</v>
      </c>
      <c r="C1663" t="n">
        <v>15153</v>
      </c>
      <c r="D1663" t="inlineStr">
        <is>
          <t>Bengaluru</t>
        </is>
      </c>
      <c r="E1663" t="inlineStr">
        <is>
          <t>South</t>
        </is>
      </c>
      <c r="F1663" t="inlineStr">
        <is>
          <t>Organic Search</t>
        </is>
      </c>
      <c r="G1663" t="inlineStr">
        <is>
          <t>Mobile Web</t>
        </is>
      </c>
      <c r="H1663" t="inlineStr">
        <is>
          <t>Debit Card</t>
        </is>
      </c>
      <c r="I1663" t="inlineStr">
        <is>
          <t>Returned</t>
        </is>
      </c>
      <c r="J1663" t="n">
        <v>129</v>
      </c>
      <c r="K1663" t="n">
        <v>1</v>
      </c>
      <c r="L1663" s="7" t="n">
        <v>576</v>
      </c>
      <c r="M1663" s="7" t="n">
        <v>0</v>
      </c>
    </row>
    <row r="1664">
      <c r="A1664" t="n">
        <v>510170</v>
      </c>
      <c r="B1664" s="6" t="n">
        <v>45950</v>
      </c>
      <c r="C1664" t="n">
        <v>10219</v>
      </c>
      <c r="D1664" t="inlineStr">
        <is>
          <t>Delhi</t>
        </is>
      </c>
      <c r="E1664" t="inlineStr">
        <is>
          <t>North</t>
        </is>
      </c>
      <c r="F1664" t="inlineStr">
        <is>
          <t>Organic Search</t>
        </is>
      </c>
      <c r="G1664" t="inlineStr">
        <is>
          <t>Mobile Web</t>
        </is>
      </c>
      <c r="H1664" t="inlineStr">
        <is>
          <t>UPI</t>
        </is>
      </c>
      <c r="I1664" t="inlineStr">
        <is>
          <t>Delivered</t>
        </is>
      </c>
      <c r="J1664" t="n">
        <v>145</v>
      </c>
      <c r="K1664" t="n">
        <v>1</v>
      </c>
      <c r="L1664" s="7" t="n">
        <v>629</v>
      </c>
      <c r="M1664" s="7" t="n">
        <v>0</v>
      </c>
    </row>
    <row r="1665">
      <c r="A1665" t="n">
        <v>510170</v>
      </c>
      <c r="B1665" s="6" t="n">
        <v>45950</v>
      </c>
      <c r="C1665" t="n">
        <v>10219</v>
      </c>
      <c r="D1665" t="inlineStr">
        <is>
          <t>Delhi</t>
        </is>
      </c>
      <c r="E1665" t="inlineStr">
        <is>
          <t>North</t>
        </is>
      </c>
      <c r="F1665" t="inlineStr">
        <is>
          <t>Organic Search</t>
        </is>
      </c>
      <c r="G1665" t="inlineStr">
        <is>
          <t>Mobile Web</t>
        </is>
      </c>
      <c r="H1665" t="inlineStr">
        <is>
          <t>UPI</t>
        </is>
      </c>
      <c r="I1665" t="inlineStr">
        <is>
          <t>Delivered</t>
        </is>
      </c>
      <c r="J1665" t="n">
        <v>129</v>
      </c>
      <c r="K1665" t="n">
        <v>1</v>
      </c>
      <c r="L1665" s="7" t="n">
        <v>576</v>
      </c>
      <c r="M1665" s="7" t="n">
        <v>0</v>
      </c>
    </row>
    <row r="1666">
      <c r="A1666" t="n">
        <v>510171</v>
      </c>
      <c r="B1666" s="6" t="n">
        <v>45950</v>
      </c>
      <c r="C1666" t="n">
        <v>13403</v>
      </c>
      <c r="D1666" t="inlineStr">
        <is>
          <t>Delhi</t>
        </is>
      </c>
      <c r="E1666" t="inlineStr">
        <is>
          <t>North</t>
        </is>
      </c>
      <c r="F1666" t="inlineStr">
        <is>
          <t>Paid Social</t>
        </is>
      </c>
      <c r="G1666" t="inlineStr">
        <is>
          <t>Mobile Web</t>
        </is>
      </c>
      <c r="H1666" t="inlineStr">
        <is>
          <t>Credit Card</t>
        </is>
      </c>
      <c r="I1666" t="inlineStr">
        <is>
          <t>Delivered</t>
        </is>
      </c>
      <c r="J1666" t="n">
        <v>123</v>
      </c>
      <c r="K1666" t="n">
        <v>1</v>
      </c>
      <c r="L1666" s="7" t="n">
        <v>3464</v>
      </c>
      <c r="M1666" s="7" t="n">
        <v>346.4</v>
      </c>
    </row>
    <row r="1667">
      <c r="A1667" t="n">
        <v>510172</v>
      </c>
      <c r="B1667" s="6" t="n">
        <v>45950</v>
      </c>
      <c r="C1667" t="n">
        <v>10440</v>
      </c>
      <c r="D1667" t="inlineStr">
        <is>
          <t>Gurugram</t>
        </is>
      </c>
      <c r="E1667" t="inlineStr">
        <is>
          <t>North</t>
        </is>
      </c>
      <c r="F1667" t="inlineStr">
        <is>
          <t>Paid Search</t>
        </is>
      </c>
      <c r="G1667" t="inlineStr">
        <is>
          <t>Mobile App</t>
        </is>
      </c>
      <c r="H1667" t="inlineStr">
        <is>
          <t>Debit Card</t>
        </is>
      </c>
      <c r="I1667" t="inlineStr">
        <is>
          <t>Delivered</t>
        </is>
      </c>
      <c r="J1667" t="n">
        <v>106</v>
      </c>
      <c r="K1667" t="n">
        <v>1</v>
      </c>
      <c r="L1667" s="7" t="n">
        <v>1574</v>
      </c>
      <c r="M1667" s="7" t="n">
        <v>157.4</v>
      </c>
    </row>
    <row r="1668">
      <c r="A1668" t="n">
        <v>510173</v>
      </c>
      <c r="B1668" s="6" t="n">
        <v>45950</v>
      </c>
      <c r="C1668" t="n">
        <v>12898</v>
      </c>
      <c r="D1668" t="inlineStr">
        <is>
          <t>Mumbai</t>
        </is>
      </c>
      <c r="E1668" t="inlineStr">
        <is>
          <t>West</t>
        </is>
      </c>
      <c r="F1668" t="inlineStr">
        <is>
          <t>Paid Social</t>
        </is>
      </c>
      <c r="G1668" t="inlineStr">
        <is>
          <t>Mobile App</t>
        </is>
      </c>
      <c r="H1668" t="inlineStr">
        <is>
          <t>Debit Card</t>
        </is>
      </c>
      <c r="I1668" t="inlineStr">
        <is>
          <t>Delivered</t>
        </is>
      </c>
      <c r="J1668" t="n">
        <v>123</v>
      </c>
      <c r="K1668" t="n">
        <v>2</v>
      </c>
      <c r="L1668" s="7" t="n">
        <v>3464</v>
      </c>
      <c r="M1668" s="7" t="n">
        <v>0</v>
      </c>
    </row>
    <row r="1669">
      <c r="A1669" t="n">
        <v>510174</v>
      </c>
      <c r="B1669" s="6" t="n">
        <v>45950</v>
      </c>
      <c r="C1669" t="n">
        <v>16072</v>
      </c>
      <c r="D1669" t="inlineStr">
        <is>
          <t>Indore</t>
        </is>
      </c>
      <c r="E1669" t="inlineStr">
        <is>
          <t>West</t>
        </is>
      </c>
      <c r="F1669" t="inlineStr">
        <is>
          <t>Paid Social</t>
        </is>
      </c>
      <c r="G1669" t="inlineStr">
        <is>
          <t>Mobile App</t>
        </is>
      </c>
      <c r="H1669" t="inlineStr">
        <is>
          <t>Cash on Delivery</t>
        </is>
      </c>
      <c r="I1669" t="inlineStr">
        <is>
          <t>Returned</t>
        </is>
      </c>
      <c r="J1669" t="n">
        <v>116</v>
      </c>
      <c r="K1669" t="n">
        <v>1</v>
      </c>
      <c r="L1669" s="7" t="n">
        <v>2624</v>
      </c>
      <c r="M1669" s="7" t="n">
        <v>262.4</v>
      </c>
    </row>
    <row r="1670">
      <c r="A1670" t="n">
        <v>510174</v>
      </c>
      <c r="B1670" s="6" t="n">
        <v>45950</v>
      </c>
      <c r="C1670" t="n">
        <v>16072</v>
      </c>
      <c r="D1670" t="inlineStr">
        <is>
          <t>Indore</t>
        </is>
      </c>
      <c r="E1670" t="inlineStr">
        <is>
          <t>West</t>
        </is>
      </c>
      <c r="F1670" t="inlineStr">
        <is>
          <t>Paid Social</t>
        </is>
      </c>
      <c r="G1670" t="inlineStr">
        <is>
          <t>Mobile App</t>
        </is>
      </c>
      <c r="H1670" t="inlineStr">
        <is>
          <t>Cash on Delivery</t>
        </is>
      </c>
      <c r="I1670" t="inlineStr">
        <is>
          <t>Returned</t>
        </is>
      </c>
      <c r="J1670" t="n">
        <v>120</v>
      </c>
      <c r="K1670" t="n">
        <v>1</v>
      </c>
      <c r="L1670" s="7" t="n">
        <v>734</v>
      </c>
      <c r="M1670" s="7" t="n">
        <v>73.40000000000001</v>
      </c>
    </row>
    <row r="1671">
      <c r="A1671" t="n">
        <v>510174</v>
      </c>
      <c r="B1671" s="6" t="n">
        <v>45950</v>
      </c>
      <c r="C1671" t="n">
        <v>16072</v>
      </c>
      <c r="D1671" t="inlineStr">
        <is>
          <t>Indore</t>
        </is>
      </c>
      <c r="E1671" t="inlineStr">
        <is>
          <t>West</t>
        </is>
      </c>
      <c r="F1671" t="inlineStr">
        <is>
          <t>Paid Social</t>
        </is>
      </c>
      <c r="G1671" t="inlineStr">
        <is>
          <t>Mobile App</t>
        </is>
      </c>
      <c r="H1671" t="inlineStr">
        <is>
          <t>Cash on Delivery</t>
        </is>
      </c>
      <c r="I1671" t="inlineStr">
        <is>
          <t>Returned</t>
        </is>
      </c>
      <c r="J1671" t="n">
        <v>113</v>
      </c>
      <c r="K1671" t="n">
        <v>1</v>
      </c>
      <c r="L1671" s="7" t="n">
        <v>1364</v>
      </c>
      <c r="M1671" s="7" t="n">
        <v>136.4</v>
      </c>
    </row>
    <row r="1672">
      <c r="A1672" t="n">
        <v>510175</v>
      </c>
      <c r="B1672" s="6" t="n">
        <v>45950</v>
      </c>
      <c r="C1672" t="n">
        <v>12786</v>
      </c>
      <c r="D1672" t="inlineStr">
        <is>
          <t>Indore</t>
        </is>
      </c>
      <c r="E1672" t="inlineStr">
        <is>
          <t>West</t>
        </is>
      </c>
      <c r="F1672" t="inlineStr">
        <is>
          <t>Organic Search</t>
        </is>
      </c>
      <c r="G1672" t="inlineStr">
        <is>
          <t>Desktop</t>
        </is>
      </c>
      <c r="H1672" t="inlineStr">
        <is>
          <t>Net Banking</t>
        </is>
      </c>
      <c r="I1672" t="inlineStr">
        <is>
          <t>Delivered</t>
        </is>
      </c>
      <c r="J1672" t="n">
        <v>104</v>
      </c>
      <c r="K1672" t="n">
        <v>1</v>
      </c>
      <c r="L1672" s="7" t="n">
        <v>5249</v>
      </c>
      <c r="M1672" s="7" t="n">
        <v>524.9</v>
      </c>
    </row>
    <row r="1673">
      <c r="A1673" t="n">
        <v>510176</v>
      </c>
      <c r="B1673" s="6" t="n">
        <v>45950</v>
      </c>
      <c r="C1673" t="n">
        <v>14071</v>
      </c>
      <c r="D1673" t="inlineStr">
        <is>
          <t>Delhi</t>
        </is>
      </c>
      <c r="E1673" t="inlineStr">
        <is>
          <t>North</t>
        </is>
      </c>
      <c r="F1673" t="inlineStr">
        <is>
          <t>Paid Social</t>
        </is>
      </c>
      <c r="G1673" t="inlineStr">
        <is>
          <t>Mobile App</t>
        </is>
      </c>
      <c r="H1673" t="inlineStr">
        <is>
          <t>UPI</t>
        </is>
      </c>
      <c r="I1673" t="inlineStr">
        <is>
          <t>Delivered</t>
        </is>
      </c>
      <c r="J1673" t="n">
        <v>106</v>
      </c>
      <c r="K1673" t="n">
        <v>2</v>
      </c>
      <c r="L1673" s="7" t="n">
        <v>1574</v>
      </c>
      <c r="M1673" s="7" t="n">
        <v>157.4</v>
      </c>
    </row>
    <row r="1674">
      <c r="A1674" t="n">
        <v>510176</v>
      </c>
      <c r="B1674" s="6" t="n">
        <v>45950</v>
      </c>
      <c r="C1674" t="n">
        <v>14071</v>
      </c>
      <c r="D1674" t="inlineStr">
        <is>
          <t>Delhi</t>
        </is>
      </c>
      <c r="E1674" t="inlineStr">
        <is>
          <t>North</t>
        </is>
      </c>
      <c r="F1674" t="inlineStr">
        <is>
          <t>Paid Social</t>
        </is>
      </c>
      <c r="G1674" t="inlineStr">
        <is>
          <t>Mobile App</t>
        </is>
      </c>
      <c r="H1674" t="inlineStr">
        <is>
          <t>UPI</t>
        </is>
      </c>
      <c r="I1674" t="inlineStr">
        <is>
          <t>Delivered</t>
        </is>
      </c>
      <c r="J1674" t="n">
        <v>129</v>
      </c>
      <c r="K1674" t="n">
        <v>1</v>
      </c>
      <c r="L1674" s="7" t="n">
        <v>576</v>
      </c>
      <c r="M1674" s="7" t="n">
        <v>28.8</v>
      </c>
    </row>
    <row r="1675">
      <c r="A1675" t="n">
        <v>510177</v>
      </c>
      <c r="B1675" s="6" t="n">
        <v>45950</v>
      </c>
      <c r="C1675" t="n">
        <v>14703</v>
      </c>
      <c r="D1675" t="inlineStr">
        <is>
          <t>Ahmedabad</t>
        </is>
      </c>
      <c r="E1675" t="inlineStr">
        <is>
          <t>West</t>
        </is>
      </c>
      <c r="F1675" t="inlineStr">
        <is>
          <t>Organic Search</t>
        </is>
      </c>
      <c r="G1675" t="inlineStr">
        <is>
          <t>Mobile Web</t>
        </is>
      </c>
      <c r="H1675" t="inlineStr">
        <is>
          <t>Cash on Delivery</t>
        </is>
      </c>
      <c r="I1675" t="inlineStr">
        <is>
          <t>Delivered</t>
        </is>
      </c>
      <c r="J1675" t="n">
        <v>118</v>
      </c>
      <c r="K1675" t="n">
        <v>1</v>
      </c>
      <c r="L1675" s="7" t="n">
        <v>944</v>
      </c>
      <c r="M1675" s="7" t="n">
        <v>94.40000000000001</v>
      </c>
    </row>
    <row r="1676">
      <c r="A1676" t="n">
        <v>510178</v>
      </c>
      <c r="B1676" s="6" t="n">
        <v>45950</v>
      </c>
      <c r="C1676" t="n">
        <v>16579</v>
      </c>
      <c r="D1676" t="inlineStr">
        <is>
          <t>Kolkata</t>
        </is>
      </c>
      <c r="E1676" t="inlineStr">
        <is>
          <t>East</t>
        </is>
      </c>
      <c r="F1676" t="inlineStr">
        <is>
          <t>Organic Search</t>
        </is>
      </c>
      <c r="G1676" t="inlineStr">
        <is>
          <t>Desktop</t>
        </is>
      </c>
      <c r="H1676" t="inlineStr">
        <is>
          <t>UPI</t>
        </is>
      </c>
      <c r="I1676" t="inlineStr">
        <is>
          <t>Delivered</t>
        </is>
      </c>
      <c r="J1676" t="n">
        <v>109</v>
      </c>
      <c r="K1676" t="n">
        <v>1</v>
      </c>
      <c r="L1676" s="7" t="n">
        <v>4199</v>
      </c>
      <c r="M1676" s="7" t="n">
        <v>0</v>
      </c>
    </row>
    <row r="1677">
      <c r="A1677" t="n">
        <v>510179</v>
      </c>
      <c r="B1677" s="6" t="n">
        <v>45950</v>
      </c>
      <c r="C1677" t="n">
        <v>16454</v>
      </c>
      <c r="D1677" t="inlineStr">
        <is>
          <t>Mumbai</t>
        </is>
      </c>
      <c r="E1677" t="inlineStr">
        <is>
          <t>West</t>
        </is>
      </c>
      <c r="F1677" t="inlineStr">
        <is>
          <t>Email</t>
        </is>
      </c>
      <c r="G1677" t="inlineStr">
        <is>
          <t>Desktop</t>
        </is>
      </c>
      <c r="H1677" t="inlineStr">
        <is>
          <t>Credit Card</t>
        </is>
      </c>
      <c r="I1677" t="inlineStr">
        <is>
          <t>Delivered</t>
        </is>
      </c>
      <c r="J1677" t="n">
        <v>122</v>
      </c>
      <c r="K1677" t="n">
        <v>1</v>
      </c>
      <c r="L1677" s="7" t="n">
        <v>1994</v>
      </c>
      <c r="M1677" s="7" t="n">
        <v>199.4</v>
      </c>
    </row>
    <row r="1678">
      <c r="A1678" t="n">
        <v>510179</v>
      </c>
      <c r="B1678" s="6" t="n">
        <v>45950</v>
      </c>
      <c r="C1678" t="n">
        <v>16454</v>
      </c>
      <c r="D1678" t="inlineStr">
        <is>
          <t>Mumbai</t>
        </is>
      </c>
      <c r="E1678" t="inlineStr">
        <is>
          <t>West</t>
        </is>
      </c>
      <c r="F1678" t="inlineStr">
        <is>
          <t>Email</t>
        </is>
      </c>
      <c r="G1678" t="inlineStr">
        <is>
          <t>Desktop</t>
        </is>
      </c>
      <c r="H1678" t="inlineStr">
        <is>
          <t>Credit Card</t>
        </is>
      </c>
      <c r="I1678" t="inlineStr">
        <is>
          <t>Delivered</t>
        </is>
      </c>
      <c r="J1678" t="n">
        <v>112</v>
      </c>
      <c r="K1678" t="n">
        <v>1</v>
      </c>
      <c r="L1678" s="7" t="n">
        <v>1574</v>
      </c>
      <c r="M1678" s="7" t="n">
        <v>157.4</v>
      </c>
    </row>
    <row r="1679">
      <c r="A1679" t="n">
        <v>510180</v>
      </c>
      <c r="B1679" s="6" t="n">
        <v>45950</v>
      </c>
      <c r="C1679" t="n">
        <v>15088</v>
      </c>
      <c r="D1679" t="inlineStr">
        <is>
          <t>Delhi</t>
        </is>
      </c>
      <c r="E1679" t="inlineStr">
        <is>
          <t>North</t>
        </is>
      </c>
      <c r="F1679" t="inlineStr">
        <is>
          <t>Organic Search</t>
        </is>
      </c>
      <c r="G1679" t="inlineStr">
        <is>
          <t>Mobile App</t>
        </is>
      </c>
      <c r="H1679" t="inlineStr">
        <is>
          <t>UPI</t>
        </is>
      </c>
      <c r="I1679" t="inlineStr">
        <is>
          <t>Cancelled</t>
        </is>
      </c>
      <c r="J1679" t="n">
        <v>137</v>
      </c>
      <c r="K1679" t="n">
        <v>1</v>
      </c>
      <c r="L1679" s="7" t="n">
        <v>261</v>
      </c>
      <c r="M1679" s="7" t="n">
        <v>26.1</v>
      </c>
    </row>
    <row r="1680">
      <c r="A1680" t="n">
        <v>510180</v>
      </c>
      <c r="B1680" s="6" t="n">
        <v>45950</v>
      </c>
      <c r="C1680" t="n">
        <v>15088</v>
      </c>
      <c r="D1680" t="inlineStr">
        <is>
          <t>Delhi</t>
        </is>
      </c>
      <c r="E1680" t="inlineStr">
        <is>
          <t>North</t>
        </is>
      </c>
      <c r="F1680" t="inlineStr">
        <is>
          <t>Organic Search</t>
        </is>
      </c>
      <c r="G1680" t="inlineStr">
        <is>
          <t>Mobile App</t>
        </is>
      </c>
      <c r="H1680" t="inlineStr">
        <is>
          <t>UPI</t>
        </is>
      </c>
      <c r="I1680" t="inlineStr">
        <is>
          <t>Cancelled</t>
        </is>
      </c>
      <c r="J1680" t="n">
        <v>104</v>
      </c>
      <c r="K1680" t="n">
        <v>1</v>
      </c>
      <c r="L1680" s="7" t="n">
        <v>5249</v>
      </c>
      <c r="M1680" s="7" t="n">
        <v>524.9</v>
      </c>
    </row>
    <row r="1681">
      <c r="A1681" t="n">
        <v>510180</v>
      </c>
      <c r="B1681" s="6" t="n">
        <v>45950</v>
      </c>
      <c r="C1681" t="n">
        <v>15088</v>
      </c>
      <c r="D1681" t="inlineStr">
        <is>
          <t>Delhi</t>
        </is>
      </c>
      <c r="E1681" t="inlineStr">
        <is>
          <t>North</t>
        </is>
      </c>
      <c r="F1681" t="inlineStr">
        <is>
          <t>Organic Search</t>
        </is>
      </c>
      <c r="G1681" t="inlineStr">
        <is>
          <t>Mobile App</t>
        </is>
      </c>
      <c r="H1681" t="inlineStr">
        <is>
          <t>UPI</t>
        </is>
      </c>
      <c r="I1681" t="inlineStr">
        <is>
          <t>Cancelled</t>
        </is>
      </c>
      <c r="J1681" t="n">
        <v>103</v>
      </c>
      <c r="K1681" t="n">
        <v>1</v>
      </c>
      <c r="L1681" s="7" t="n">
        <v>2624</v>
      </c>
      <c r="M1681" s="7" t="n">
        <v>262.4</v>
      </c>
    </row>
    <row r="1682">
      <c r="A1682" t="n">
        <v>510180</v>
      </c>
      <c r="B1682" s="6" t="n">
        <v>45950</v>
      </c>
      <c r="C1682" t="n">
        <v>15088</v>
      </c>
      <c r="D1682" t="inlineStr">
        <is>
          <t>Delhi</t>
        </is>
      </c>
      <c r="E1682" t="inlineStr">
        <is>
          <t>North</t>
        </is>
      </c>
      <c r="F1682" t="inlineStr">
        <is>
          <t>Organic Search</t>
        </is>
      </c>
      <c r="G1682" t="inlineStr">
        <is>
          <t>Mobile App</t>
        </is>
      </c>
      <c r="H1682" t="inlineStr">
        <is>
          <t>UPI</t>
        </is>
      </c>
      <c r="I1682" t="inlineStr">
        <is>
          <t>Cancelled</t>
        </is>
      </c>
      <c r="J1682" t="n">
        <v>129</v>
      </c>
      <c r="K1682" t="n">
        <v>1</v>
      </c>
      <c r="L1682" s="7" t="n">
        <v>576</v>
      </c>
      <c r="M1682" s="7" t="n">
        <v>57.6</v>
      </c>
    </row>
    <row r="1683">
      <c r="A1683" t="n">
        <v>510181</v>
      </c>
      <c r="B1683" s="6" t="n">
        <v>45950</v>
      </c>
      <c r="C1683" t="n">
        <v>11727</v>
      </c>
      <c r="D1683" t="inlineStr">
        <is>
          <t>Mumbai</t>
        </is>
      </c>
      <c r="E1683" t="inlineStr">
        <is>
          <t>West</t>
        </is>
      </c>
      <c r="F1683" t="inlineStr">
        <is>
          <t>Paid Social</t>
        </is>
      </c>
      <c r="G1683" t="inlineStr">
        <is>
          <t>Mobile App</t>
        </is>
      </c>
      <c r="H1683" t="inlineStr">
        <is>
          <t>UPI</t>
        </is>
      </c>
      <c r="I1683" t="inlineStr">
        <is>
          <t>Delivered</t>
        </is>
      </c>
      <c r="J1683" t="n">
        <v>118</v>
      </c>
      <c r="K1683" t="n">
        <v>1</v>
      </c>
      <c r="L1683" s="7" t="n">
        <v>944</v>
      </c>
      <c r="M1683" s="7" t="n">
        <v>0</v>
      </c>
    </row>
    <row r="1684">
      <c r="A1684" t="n">
        <v>510182</v>
      </c>
      <c r="B1684" s="6" t="n">
        <v>45950</v>
      </c>
      <c r="C1684" t="n">
        <v>16941</v>
      </c>
      <c r="D1684" t="inlineStr">
        <is>
          <t>Delhi</t>
        </is>
      </c>
      <c r="E1684" t="inlineStr">
        <is>
          <t>North</t>
        </is>
      </c>
      <c r="F1684" t="inlineStr">
        <is>
          <t>Referral</t>
        </is>
      </c>
      <c r="G1684" t="inlineStr">
        <is>
          <t>Mobile App</t>
        </is>
      </c>
      <c r="H1684" t="inlineStr">
        <is>
          <t>Debit Card</t>
        </is>
      </c>
      <c r="I1684" t="inlineStr">
        <is>
          <t>Delivered</t>
        </is>
      </c>
      <c r="J1684" t="n">
        <v>139</v>
      </c>
      <c r="K1684" t="n">
        <v>1</v>
      </c>
      <c r="L1684" s="7" t="n">
        <v>366</v>
      </c>
      <c r="M1684" s="7" t="n">
        <v>0</v>
      </c>
    </row>
    <row r="1685">
      <c r="A1685" t="n">
        <v>510183</v>
      </c>
      <c r="B1685" s="6" t="n">
        <v>45950</v>
      </c>
      <c r="C1685" t="n">
        <v>16942</v>
      </c>
      <c r="D1685" t="inlineStr">
        <is>
          <t>Bengaluru</t>
        </is>
      </c>
      <c r="E1685" t="inlineStr">
        <is>
          <t>South</t>
        </is>
      </c>
      <c r="F1685" t="inlineStr">
        <is>
          <t>Email</t>
        </is>
      </c>
      <c r="G1685" t="inlineStr">
        <is>
          <t>Mobile App</t>
        </is>
      </c>
      <c r="H1685" t="inlineStr">
        <is>
          <t>Debit Card</t>
        </is>
      </c>
      <c r="I1685" t="inlineStr">
        <is>
          <t>Delivered</t>
        </is>
      </c>
      <c r="J1685" t="n">
        <v>118</v>
      </c>
      <c r="K1685" t="n">
        <v>1</v>
      </c>
      <c r="L1685" s="7" t="n">
        <v>944</v>
      </c>
      <c r="M1685" s="7" t="n">
        <v>141.6</v>
      </c>
    </row>
    <row r="1686">
      <c r="A1686" t="n">
        <v>510183</v>
      </c>
      <c r="B1686" s="6" t="n">
        <v>45950</v>
      </c>
      <c r="C1686" t="n">
        <v>16942</v>
      </c>
      <c r="D1686" t="inlineStr">
        <is>
          <t>Bengaluru</t>
        </is>
      </c>
      <c r="E1686" t="inlineStr">
        <is>
          <t>South</t>
        </is>
      </c>
      <c r="F1686" t="inlineStr">
        <is>
          <t>Email</t>
        </is>
      </c>
      <c r="G1686" t="inlineStr">
        <is>
          <t>Mobile App</t>
        </is>
      </c>
      <c r="H1686" t="inlineStr">
        <is>
          <t>Debit Card</t>
        </is>
      </c>
      <c r="I1686" t="inlineStr">
        <is>
          <t>Delivered</t>
        </is>
      </c>
      <c r="J1686" t="n">
        <v>111</v>
      </c>
      <c r="K1686" t="n">
        <v>1</v>
      </c>
      <c r="L1686" s="7" t="n">
        <v>524</v>
      </c>
      <c r="M1686" s="7" t="n">
        <v>78.59999999999999</v>
      </c>
    </row>
    <row r="1687">
      <c r="A1687" t="n">
        <v>510183</v>
      </c>
      <c r="B1687" s="6" t="n">
        <v>45950</v>
      </c>
      <c r="C1687" t="n">
        <v>16942</v>
      </c>
      <c r="D1687" t="inlineStr">
        <is>
          <t>Bengaluru</t>
        </is>
      </c>
      <c r="E1687" t="inlineStr">
        <is>
          <t>South</t>
        </is>
      </c>
      <c r="F1687" t="inlineStr">
        <is>
          <t>Email</t>
        </is>
      </c>
      <c r="G1687" t="inlineStr">
        <is>
          <t>Mobile App</t>
        </is>
      </c>
      <c r="H1687" t="inlineStr">
        <is>
          <t>Debit Card</t>
        </is>
      </c>
      <c r="I1687" t="inlineStr">
        <is>
          <t>Delivered</t>
        </is>
      </c>
      <c r="J1687" t="n">
        <v>129</v>
      </c>
      <c r="K1687" t="n">
        <v>1</v>
      </c>
      <c r="L1687" s="7" t="n">
        <v>576</v>
      </c>
      <c r="M1687" s="7" t="n">
        <v>86.40000000000001</v>
      </c>
    </row>
    <row r="1688">
      <c r="A1688" t="n">
        <v>510184</v>
      </c>
      <c r="B1688" s="6" t="n">
        <v>45950</v>
      </c>
      <c r="C1688" t="n">
        <v>14498</v>
      </c>
      <c r="D1688" t="inlineStr">
        <is>
          <t>Bengaluru</t>
        </is>
      </c>
      <c r="E1688" t="inlineStr">
        <is>
          <t>South</t>
        </is>
      </c>
      <c r="F1688" t="inlineStr">
        <is>
          <t>Organic Search</t>
        </is>
      </c>
      <c r="G1688" t="inlineStr">
        <is>
          <t>Desktop</t>
        </is>
      </c>
      <c r="H1688" t="inlineStr">
        <is>
          <t>Debit Card</t>
        </is>
      </c>
      <c r="I1688" t="inlineStr">
        <is>
          <t>Delivered</t>
        </is>
      </c>
      <c r="J1688" t="n">
        <v>120</v>
      </c>
      <c r="K1688" t="n">
        <v>1</v>
      </c>
      <c r="L1688" s="7" t="n">
        <v>734</v>
      </c>
      <c r="M1688" s="7" t="n">
        <v>73.40000000000001</v>
      </c>
    </row>
    <row r="1689">
      <c r="A1689" t="n">
        <v>510184</v>
      </c>
      <c r="B1689" s="6" t="n">
        <v>45950</v>
      </c>
      <c r="C1689" t="n">
        <v>14498</v>
      </c>
      <c r="D1689" t="inlineStr">
        <is>
          <t>Bengaluru</t>
        </is>
      </c>
      <c r="E1689" t="inlineStr">
        <is>
          <t>South</t>
        </is>
      </c>
      <c r="F1689" t="inlineStr">
        <is>
          <t>Organic Search</t>
        </is>
      </c>
      <c r="G1689" t="inlineStr">
        <is>
          <t>Desktop</t>
        </is>
      </c>
      <c r="H1689" t="inlineStr">
        <is>
          <t>Debit Card</t>
        </is>
      </c>
      <c r="I1689" t="inlineStr">
        <is>
          <t>Delivered</t>
        </is>
      </c>
      <c r="J1689" t="n">
        <v>103</v>
      </c>
      <c r="K1689" t="n">
        <v>1</v>
      </c>
      <c r="L1689" s="7" t="n">
        <v>2624</v>
      </c>
      <c r="M1689" s="7" t="n">
        <v>262.4</v>
      </c>
    </row>
    <row r="1690">
      <c r="A1690" t="n">
        <v>510184</v>
      </c>
      <c r="B1690" s="6" t="n">
        <v>45950</v>
      </c>
      <c r="C1690" t="n">
        <v>14498</v>
      </c>
      <c r="D1690" t="inlineStr">
        <is>
          <t>Bengaluru</t>
        </is>
      </c>
      <c r="E1690" t="inlineStr">
        <is>
          <t>South</t>
        </is>
      </c>
      <c r="F1690" t="inlineStr">
        <is>
          <t>Organic Search</t>
        </is>
      </c>
      <c r="G1690" t="inlineStr">
        <is>
          <t>Desktop</t>
        </is>
      </c>
      <c r="H1690" t="inlineStr">
        <is>
          <t>Debit Card</t>
        </is>
      </c>
      <c r="I1690" t="inlineStr">
        <is>
          <t>Delivered</t>
        </is>
      </c>
      <c r="J1690" t="n">
        <v>129</v>
      </c>
      <c r="K1690" t="n">
        <v>1</v>
      </c>
      <c r="L1690" s="7" t="n">
        <v>576</v>
      </c>
      <c r="M1690" s="7" t="n">
        <v>57.6</v>
      </c>
    </row>
    <row r="1691">
      <c r="A1691" t="n">
        <v>510185</v>
      </c>
      <c r="B1691" s="6" t="n">
        <v>45950</v>
      </c>
      <c r="C1691" t="n">
        <v>16576</v>
      </c>
      <c r="D1691" t="inlineStr">
        <is>
          <t>Mumbai</t>
        </is>
      </c>
      <c r="E1691" t="inlineStr">
        <is>
          <t>West</t>
        </is>
      </c>
      <c r="F1691" t="inlineStr">
        <is>
          <t>Referral</t>
        </is>
      </c>
      <c r="G1691" t="inlineStr">
        <is>
          <t>Mobile App</t>
        </is>
      </c>
      <c r="H1691" t="inlineStr">
        <is>
          <t>Net Banking</t>
        </is>
      </c>
      <c r="I1691" t="inlineStr">
        <is>
          <t>Delivered</t>
        </is>
      </c>
      <c r="J1691" t="n">
        <v>121</v>
      </c>
      <c r="K1691" t="n">
        <v>1</v>
      </c>
      <c r="L1691" s="7" t="n">
        <v>2939</v>
      </c>
      <c r="M1691" s="7" t="n">
        <v>0</v>
      </c>
    </row>
    <row r="1692">
      <c r="A1692" t="n">
        <v>510185</v>
      </c>
      <c r="B1692" s="6" t="n">
        <v>45950</v>
      </c>
      <c r="C1692" t="n">
        <v>16576</v>
      </c>
      <c r="D1692" t="inlineStr">
        <is>
          <t>Mumbai</t>
        </is>
      </c>
      <c r="E1692" t="inlineStr">
        <is>
          <t>West</t>
        </is>
      </c>
      <c r="F1692" t="inlineStr">
        <is>
          <t>Referral</t>
        </is>
      </c>
      <c r="G1692" t="inlineStr">
        <is>
          <t>Mobile App</t>
        </is>
      </c>
      <c r="H1692" t="inlineStr">
        <is>
          <t>Net Banking</t>
        </is>
      </c>
      <c r="I1692" t="inlineStr">
        <is>
          <t>Delivered</t>
        </is>
      </c>
      <c r="J1692" t="n">
        <v>104</v>
      </c>
      <c r="K1692" t="n">
        <v>1</v>
      </c>
      <c r="L1692" s="7" t="n">
        <v>5249</v>
      </c>
      <c r="M1692" s="7" t="n">
        <v>0</v>
      </c>
    </row>
    <row r="1693">
      <c r="A1693" t="n">
        <v>510186</v>
      </c>
      <c r="B1693" s="6" t="n">
        <v>45950</v>
      </c>
      <c r="C1693" t="n">
        <v>16692</v>
      </c>
      <c r="D1693" t="inlineStr">
        <is>
          <t>Pune</t>
        </is>
      </c>
      <c r="E1693" t="inlineStr">
        <is>
          <t>West</t>
        </is>
      </c>
      <c r="F1693" t="inlineStr">
        <is>
          <t>Referral</t>
        </is>
      </c>
      <c r="G1693" t="inlineStr">
        <is>
          <t>Mobile App</t>
        </is>
      </c>
      <c r="H1693" t="inlineStr">
        <is>
          <t>Cash on Delivery</t>
        </is>
      </c>
      <c r="I1693" t="inlineStr">
        <is>
          <t>Cancelled</t>
        </is>
      </c>
      <c r="J1693" t="n">
        <v>127</v>
      </c>
      <c r="K1693" t="n">
        <v>1</v>
      </c>
      <c r="L1693" s="7" t="n">
        <v>681</v>
      </c>
      <c r="M1693" s="7" t="n">
        <v>68.09999999999999</v>
      </c>
    </row>
    <row r="1694">
      <c r="A1694" t="n">
        <v>510186</v>
      </c>
      <c r="B1694" s="6" t="n">
        <v>45950</v>
      </c>
      <c r="C1694" t="n">
        <v>16692</v>
      </c>
      <c r="D1694" t="inlineStr">
        <is>
          <t>Pune</t>
        </is>
      </c>
      <c r="E1694" t="inlineStr">
        <is>
          <t>West</t>
        </is>
      </c>
      <c r="F1694" t="inlineStr">
        <is>
          <t>Referral</t>
        </is>
      </c>
      <c r="G1694" t="inlineStr">
        <is>
          <t>Mobile App</t>
        </is>
      </c>
      <c r="H1694" t="inlineStr">
        <is>
          <t>Cash on Delivery</t>
        </is>
      </c>
      <c r="I1694" t="inlineStr">
        <is>
          <t>Cancelled</t>
        </is>
      </c>
      <c r="J1694" t="n">
        <v>134</v>
      </c>
      <c r="K1694" t="n">
        <v>1</v>
      </c>
      <c r="L1694" s="7" t="n">
        <v>209</v>
      </c>
      <c r="M1694" s="7" t="n">
        <v>20.9</v>
      </c>
    </row>
    <row r="1695">
      <c r="A1695" t="n">
        <v>510187</v>
      </c>
      <c r="B1695" s="6" t="n">
        <v>45950</v>
      </c>
      <c r="C1695" t="n">
        <v>11550</v>
      </c>
      <c r="D1695" t="inlineStr">
        <is>
          <t>Delhi</t>
        </is>
      </c>
      <c r="E1695" t="inlineStr">
        <is>
          <t>North</t>
        </is>
      </c>
      <c r="F1695" t="inlineStr">
        <is>
          <t>Referral</t>
        </is>
      </c>
      <c r="G1695" t="inlineStr">
        <is>
          <t>Mobile App</t>
        </is>
      </c>
      <c r="H1695" t="inlineStr">
        <is>
          <t>Credit Card</t>
        </is>
      </c>
      <c r="I1695" t="inlineStr">
        <is>
          <t>Delivered</t>
        </is>
      </c>
      <c r="J1695" t="n">
        <v>111</v>
      </c>
      <c r="K1695" t="n">
        <v>1</v>
      </c>
      <c r="L1695" s="7" t="n">
        <v>524</v>
      </c>
      <c r="M1695" s="7" t="n">
        <v>52.4</v>
      </c>
    </row>
    <row r="1696">
      <c r="A1696" t="n">
        <v>510188</v>
      </c>
      <c r="B1696" s="6" t="n">
        <v>45950</v>
      </c>
      <c r="C1696" t="n">
        <v>10867</v>
      </c>
      <c r="D1696" t="inlineStr">
        <is>
          <t>Gurugram</t>
        </is>
      </c>
      <c r="E1696" t="inlineStr">
        <is>
          <t>North</t>
        </is>
      </c>
      <c r="F1696" t="inlineStr">
        <is>
          <t>Paid Social</t>
        </is>
      </c>
      <c r="G1696" t="inlineStr">
        <is>
          <t>Desktop</t>
        </is>
      </c>
      <c r="H1696" t="inlineStr">
        <is>
          <t>UPI</t>
        </is>
      </c>
      <c r="I1696" t="inlineStr">
        <is>
          <t>Delivered</t>
        </is>
      </c>
      <c r="J1696" t="n">
        <v>127</v>
      </c>
      <c r="K1696" t="n">
        <v>1</v>
      </c>
      <c r="L1696" s="7" t="n">
        <v>681</v>
      </c>
      <c r="M1696" s="7" t="n">
        <v>0</v>
      </c>
    </row>
    <row r="1697">
      <c r="A1697" t="n">
        <v>510189</v>
      </c>
      <c r="B1697" s="6" t="n">
        <v>45950</v>
      </c>
      <c r="C1697" t="n">
        <v>13651</v>
      </c>
      <c r="D1697" t="inlineStr">
        <is>
          <t>Kolkata</t>
        </is>
      </c>
      <c r="E1697" t="inlineStr">
        <is>
          <t>East</t>
        </is>
      </c>
      <c r="F1697" t="inlineStr">
        <is>
          <t>Organic Search</t>
        </is>
      </c>
      <c r="G1697" t="inlineStr">
        <is>
          <t>Mobile App</t>
        </is>
      </c>
      <c r="H1697" t="inlineStr">
        <is>
          <t>Debit Card</t>
        </is>
      </c>
      <c r="I1697" t="inlineStr">
        <is>
          <t>Delivered</t>
        </is>
      </c>
      <c r="J1697" t="n">
        <v>118</v>
      </c>
      <c r="K1697" t="n">
        <v>1</v>
      </c>
      <c r="L1697" s="7" t="n">
        <v>944</v>
      </c>
      <c r="M1697" s="7" t="n">
        <v>0</v>
      </c>
    </row>
    <row r="1698">
      <c r="A1698" t="n">
        <v>510189</v>
      </c>
      <c r="B1698" s="6" t="n">
        <v>45950</v>
      </c>
      <c r="C1698" t="n">
        <v>13651</v>
      </c>
      <c r="D1698" t="inlineStr">
        <is>
          <t>Kolkata</t>
        </is>
      </c>
      <c r="E1698" t="inlineStr">
        <is>
          <t>East</t>
        </is>
      </c>
      <c r="F1698" t="inlineStr">
        <is>
          <t>Organic Search</t>
        </is>
      </c>
      <c r="G1698" t="inlineStr">
        <is>
          <t>Mobile App</t>
        </is>
      </c>
      <c r="H1698" t="inlineStr">
        <is>
          <t>Debit Card</t>
        </is>
      </c>
      <c r="I1698" t="inlineStr">
        <is>
          <t>Delivered</t>
        </is>
      </c>
      <c r="J1698" t="n">
        <v>117</v>
      </c>
      <c r="K1698" t="n">
        <v>3</v>
      </c>
      <c r="L1698" s="7" t="n">
        <v>3149</v>
      </c>
      <c r="M1698" s="7" t="n">
        <v>0</v>
      </c>
    </row>
    <row r="1699">
      <c r="A1699" t="n">
        <v>510189</v>
      </c>
      <c r="B1699" s="6" t="n">
        <v>45950</v>
      </c>
      <c r="C1699" t="n">
        <v>13651</v>
      </c>
      <c r="D1699" t="inlineStr">
        <is>
          <t>Kolkata</t>
        </is>
      </c>
      <c r="E1699" t="inlineStr">
        <is>
          <t>East</t>
        </is>
      </c>
      <c r="F1699" t="inlineStr">
        <is>
          <t>Organic Search</t>
        </is>
      </c>
      <c r="G1699" t="inlineStr">
        <is>
          <t>Mobile App</t>
        </is>
      </c>
      <c r="H1699" t="inlineStr">
        <is>
          <t>Debit Card</t>
        </is>
      </c>
      <c r="I1699" t="inlineStr">
        <is>
          <t>Delivered</t>
        </is>
      </c>
      <c r="J1699" t="n">
        <v>144</v>
      </c>
      <c r="K1699" t="n">
        <v>1</v>
      </c>
      <c r="L1699" s="7" t="n">
        <v>3149</v>
      </c>
      <c r="M1699" s="7" t="n">
        <v>0</v>
      </c>
    </row>
    <row r="1700">
      <c r="A1700" t="n">
        <v>510190</v>
      </c>
      <c r="B1700" s="6" t="n">
        <v>45950</v>
      </c>
      <c r="C1700" t="n">
        <v>16916</v>
      </c>
      <c r="D1700" t="inlineStr">
        <is>
          <t>Delhi</t>
        </is>
      </c>
      <c r="E1700" t="inlineStr">
        <is>
          <t>North</t>
        </is>
      </c>
      <c r="F1700" t="inlineStr">
        <is>
          <t>Affiliate</t>
        </is>
      </c>
      <c r="G1700" t="inlineStr">
        <is>
          <t>Mobile Web</t>
        </is>
      </c>
      <c r="H1700" t="inlineStr">
        <is>
          <t>Credit Card</t>
        </is>
      </c>
      <c r="I1700" t="inlineStr">
        <is>
          <t>Delivered</t>
        </is>
      </c>
      <c r="J1700" t="n">
        <v>140</v>
      </c>
      <c r="K1700" t="n">
        <v>1</v>
      </c>
      <c r="L1700" s="7" t="n">
        <v>629</v>
      </c>
      <c r="M1700" s="7" t="n">
        <v>94.34999999999999</v>
      </c>
    </row>
    <row r="1701">
      <c r="A1701" t="n">
        <v>510190</v>
      </c>
      <c r="B1701" s="6" t="n">
        <v>45950</v>
      </c>
      <c r="C1701" t="n">
        <v>16916</v>
      </c>
      <c r="D1701" t="inlineStr">
        <is>
          <t>Delhi</t>
        </is>
      </c>
      <c r="E1701" t="inlineStr">
        <is>
          <t>North</t>
        </is>
      </c>
      <c r="F1701" t="inlineStr">
        <is>
          <t>Affiliate</t>
        </is>
      </c>
      <c r="G1701" t="inlineStr">
        <is>
          <t>Mobile Web</t>
        </is>
      </c>
      <c r="H1701" t="inlineStr">
        <is>
          <t>Credit Card</t>
        </is>
      </c>
      <c r="I1701" t="inlineStr">
        <is>
          <t>Delivered</t>
        </is>
      </c>
      <c r="J1701" t="n">
        <v>112</v>
      </c>
      <c r="K1701" t="n">
        <v>1</v>
      </c>
      <c r="L1701" s="7" t="n">
        <v>1574</v>
      </c>
      <c r="M1701" s="7" t="n">
        <v>236.1</v>
      </c>
    </row>
    <row r="1702">
      <c r="A1702" t="n">
        <v>510191</v>
      </c>
      <c r="B1702" s="6" t="n">
        <v>45950</v>
      </c>
      <c r="C1702" t="n">
        <v>11228</v>
      </c>
      <c r="D1702" t="inlineStr">
        <is>
          <t>Hyderabad</t>
        </is>
      </c>
      <c r="E1702" t="inlineStr">
        <is>
          <t>South</t>
        </is>
      </c>
      <c r="F1702" t="inlineStr">
        <is>
          <t>Organic Search</t>
        </is>
      </c>
      <c r="G1702" t="inlineStr">
        <is>
          <t>Mobile App</t>
        </is>
      </c>
      <c r="H1702" t="inlineStr">
        <is>
          <t>UPI</t>
        </is>
      </c>
      <c r="I1702" t="inlineStr">
        <is>
          <t>Delivered</t>
        </is>
      </c>
      <c r="J1702" t="n">
        <v>102</v>
      </c>
      <c r="K1702" t="n">
        <v>1</v>
      </c>
      <c r="L1702" s="7" t="n">
        <v>3674</v>
      </c>
      <c r="M1702" s="7" t="n">
        <v>367.4</v>
      </c>
    </row>
    <row r="1703">
      <c r="A1703" t="n">
        <v>510191</v>
      </c>
      <c r="B1703" s="6" t="n">
        <v>45950</v>
      </c>
      <c r="C1703" t="n">
        <v>11228</v>
      </c>
      <c r="D1703" t="inlineStr">
        <is>
          <t>Hyderabad</t>
        </is>
      </c>
      <c r="E1703" t="inlineStr">
        <is>
          <t>South</t>
        </is>
      </c>
      <c r="F1703" t="inlineStr">
        <is>
          <t>Organic Search</t>
        </is>
      </c>
      <c r="G1703" t="inlineStr">
        <is>
          <t>Mobile App</t>
        </is>
      </c>
      <c r="H1703" t="inlineStr">
        <is>
          <t>UPI</t>
        </is>
      </c>
      <c r="I1703" t="inlineStr">
        <is>
          <t>Delivered</t>
        </is>
      </c>
      <c r="J1703" t="n">
        <v>107</v>
      </c>
      <c r="K1703" t="n">
        <v>1</v>
      </c>
      <c r="L1703" s="7" t="n">
        <v>1259</v>
      </c>
      <c r="M1703" s="7" t="n">
        <v>125.9</v>
      </c>
    </row>
    <row r="1704">
      <c r="A1704" t="n">
        <v>510191</v>
      </c>
      <c r="B1704" s="6" t="n">
        <v>45950</v>
      </c>
      <c r="C1704" t="n">
        <v>11228</v>
      </c>
      <c r="D1704" t="inlineStr">
        <is>
          <t>Hyderabad</t>
        </is>
      </c>
      <c r="E1704" t="inlineStr">
        <is>
          <t>South</t>
        </is>
      </c>
      <c r="F1704" t="inlineStr">
        <is>
          <t>Organic Search</t>
        </is>
      </c>
      <c r="G1704" t="inlineStr">
        <is>
          <t>Mobile App</t>
        </is>
      </c>
      <c r="H1704" t="inlineStr">
        <is>
          <t>UPI</t>
        </is>
      </c>
      <c r="I1704" t="inlineStr">
        <is>
          <t>Delivered</t>
        </is>
      </c>
      <c r="J1704" t="n">
        <v>141</v>
      </c>
      <c r="K1704" t="n">
        <v>1</v>
      </c>
      <c r="L1704" s="7" t="n">
        <v>261</v>
      </c>
      <c r="M1704" s="7" t="n">
        <v>26.1</v>
      </c>
    </row>
    <row r="1705">
      <c r="A1705" t="n">
        <v>510191</v>
      </c>
      <c r="B1705" s="6" t="n">
        <v>45950</v>
      </c>
      <c r="C1705" t="n">
        <v>11228</v>
      </c>
      <c r="D1705" t="inlineStr">
        <is>
          <t>Hyderabad</t>
        </is>
      </c>
      <c r="E1705" t="inlineStr">
        <is>
          <t>South</t>
        </is>
      </c>
      <c r="F1705" t="inlineStr">
        <is>
          <t>Organic Search</t>
        </is>
      </c>
      <c r="G1705" t="inlineStr">
        <is>
          <t>Mobile App</t>
        </is>
      </c>
      <c r="H1705" t="inlineStr">
        <is>
          <t>UPI</t>
        </is>
      </c>
      <c r="I1705" t="inlineStr">
        <is>
          <t>Delivered</t>
        </is>
      </c>
      <c r="J1705" t="n">
        <v>129</v>
      </c>
      <c r="K1705" t="n">
        <v>1</v>
      </c>
      <c r="L1705" s="7" t="n">
        <v>576</v>
      </c>
      <c r="M1705" s="7" t="n">
        <v>57.6</v>
      </c>
    </row>
    <row r="1706">
      <c r="A1706" t="n">
        <v>510192</v>
      </c>
      <c r="B1706" s="6" t="n">
        <v>45950</v>
      </c>
      <c r="C1706" t="n">
        <v>11850</v>
      </c>
      <c r="D1706" t="inlineStr">
        <is>
          <t>Bengaluru</t>
        </is>
      </c>
      <c r="E1706" t="inlineStr">
        <is>
          <t>South</t>
        </is>
      </c>
      <c r="F1706" t="inlineStr">
        <is>
          <t>Paid Social</t>
        </is>
      </c>
      <c r="G1706" t="inlineStr">
        <is>
          <t>Desktop</t>
        </is>
      </c>
      <c r="H1706" t="inlineStr">
        <is>
          <t>UPI</t>
        </is>
      </c>
      <c r="I1706" t="inlineStr">
        <is>
          <t>Delivered</t>
        </is>
      </c>
      <c r="J1706" t="n">
        <v>113</v>
      </c>
      <c r="K1706" t="n">
        <v>1</v>
      </c>
      <c r="L1706" s="7" t="n">
        <v>1364</v>
      </c>
      <c r="M1706" s="7" t="n">
        <v>0</v>
      </c>
    </row>
    <row r="1707">
      <c r="A1707" t="n">
        <v>510192</v>
      </c>
      <c r="B1707" s="6" t="n">
        <v>45950</v>
      </c>
      <c r="C1707" t="n">
        <v>11850</v>
      </c>
      <c r="D1707" t="inlineStr">
        <is>
          <t>Bengaluru</t>
        </is>
      </c>
      <c r="E1707" t="inlineStr">
        <is>
          <t>South</t>
        </is>
      </c>
      <c r="F1707" t="inlineStr">
        <is>
          <t>Paid Social</t>
        </is>
      </c>
      <c r="G1707" t="inlineStr">
        <is>
          <t>Desktop</t>
        </is>
      </c>
      <c r="H1707" t="inlineStr">
        <is>
          <t>UPI</t>
        </is>
      </c>
      <c r="I1707" t="inlineStr">
        <is>
          <t>Delivered</t>
        </is>
      </c>
      <c r="J1707" t="n">
        <v>135</v>
      </c>
      <c r="K1707" t="n">
        <v>1</v>
      </c>
      <c r="L1707" s="7" t="n">
        <v>1574</v>
      </c>
      <c r="M1707" s="7" t="n">
        <v>0</v>
      </c>
    </row>
    <row r="1708">
      <c r="A1708" t="n">
        <v>510192</v>
      </c>
      <c r="B1708" s="6" t="n">
        <v>45950</v>
      </c>
      <c r="C1708" t="n">
        <v>11850</v>
      </c>
      <c r="D1708" t="inlineStr">
        <is>
          <t>Bengaluru</t>
        </is>
      </c>
      <c r="E1708" t="inlineStr">
        <is>
          <t>South</t>
        </is>
      </c>
      <c r="F1708" t="inlineStr">
        <is>
          <t>Paid Social</t>
        </is>
      </c>
      <c r="G1708" t="inlineStr">
        <is>
          <t>Desktop</t>
        </is>
      </c>
      <c r="H1708" t="inlineStr">
        <is>
          <t>UPI</t>
        </is>
      </c>
      <c r="I1708" t="inlineStr">
        <is>
          <t>Delivered</t>
        </is>
      </c>
      <c r="J1708" t="n">
        <v>129</v>
      </c>
      <c r="K1708" t="n">
        <v>1</v>
      </c>
      <c r="L1708" s="7" t="n">
        <v>576</v>
      </c>
      <c r="M1708" s="7" t="n">
        <v>0</v>
      </c>
    </row>
    <row r="1709">
      <c r="A1709" t="n">
        <v>510193</v>
      </c>
      <c r="B1709" s="6" t="n">
        <v>45950</v>
      </c>
      <c r="C1709" t="n">
        <v>13511</v>
      </c>
      <c r="D1709" t="inlineStr">
        <is>
          <t>Gurugram</t>
        </is>
      </c>
      <c r="E1709" t="inlineStr">
        <is>
          <t>North</t>
        </is>
      </c>
      <c r="F1709" t="inlineStr">
        <is>
          <t>Organic Search</t>
        </is>
      </c>
      <c r="G1709" t="inlineStr">
        <is>
          <t>Mobile Web</t>
        </is>
      </c>
      <c r="H1709" t="inlineStr">
        <is>
          <t>Debit Card</t>
        </is>
      </c>
      <c r="I1709" t="inlineStr">
        <is>
          <t>Delivered</t>
        </is>
      </c>
      <c r="J1709" t="n">
        <v>123</v>
      </c>
      <c r="K1709" t="n">
        <v>1</v>
      </c>
      <c r="L1709" s="7" t="n">
        <v>3464</v>
      </c>
      <c r="M1709" s="7" t="n">
        <v>346.4</v>
      </c>
    </row>
    <row r="1710">
      <c r="A1710" t="n">
        <v>510194</v>
      </c>
      <c r="B1710" s="6" t="n">
        <v>45950</v>
      </c>
      <c r="C1710" t="n">
        <v>16762</v>
      </c>
      <c r="D1710" t="inlineStr">
        <is>
          <t>Delhi</t>
        </is>
      </c>
      <c r="E1710" t="inlineStr">
        <is>
          <t>North</t>
        </is>
      </c>
      <c r="F1710" t="inlineStr">
        <is>
          <t>Referral</t>
        </is>
      </c>
      <c r="G1710" t="inlineStr">
        <is>
          <t>Mobile Web</t>
        </is>
      </c>
      <c r="H1710" t="inlineStr">
        <is>
          <t>Credit Card</t>
        </is>
      </c>
      <c r="I1710" t="inlineStr">
        <is>
          <t>Delivered</t>
        </is>
      </c>
      <c r="J1710" t="n">
        <v>117</v>
      </c>
      <c r="K1710" t="n">
        <v>1</v>
      </c>
      <c r="L1710" s="7" t="n">
        <v>3149</v>
      </c>
      <c r="M1710" s="7" t="n">
        <v>314.9</v>
      </c>
    </row>
    <row r="1711">
      <c r="A1711" t="n">
        <v>510194</v>
      </c>
      <c r="B1711" s="6" t="n">
        <v>45950</v>
      </c>
      <c r="C1711" t="n">
        <v>16762</v>
      </c>
      <c r="D1711" t="inlineStr">
        <is>
          <t>Delhi</t>
        </is>
      </c>
      <c r="E1711" t="inlineStr">
        <is>
          <t>North</t>
        </is>
      </c>
      <c r="F1711" t="inlineStr">
        <is>
          <t>Referral</t>
        </is>
      </c>
      <c r="G1711" t="inlineStr">
        <is>
          <t>Mobile Web</t>
        </is>
      </c>
      <c r="H1711" t="inlineStr">
        <is>
          <t>Credit Card</t>
        </is>
      </c>
      <c r="I1711" t="inlineStr">
        <is>
          <t>Delivered</t>
        </is>
      </c>
      <c r="J1711" t="n">
        <v>109</v>
      </c>
      <c r="K1711" t="n">
        <v>1</v>
      </c>
      <c r="L1711" s="7" t="n">
        <v>4199</v>
      </c>
      <c r="M1711" s="7" t="n">
        <v>419.9</v>
      </c>
    </row>
    <row r="1712">
      <c r="A1712" t="n">
        <v>510195</v>
      </c>
      <c r="B1712" s="6" t="n">
        <v>45950</v>
      </c>
      <c r="C1712" t="n">
        <v>16744</v>
      </c>
      <c r="D1712" t="inlineStr">
        <is>
          <t>Delhi</t>
        </is>
      </c>
      <c r="E1712" t="inlineStr">
        <is>
          <t>North</t>
        </is>
      </c>
      <c r="F1712" t="inlineStr">
        <is>
          <t>Paid Social</t>
        </is>
      </c>
      <c r="G1712" t="inlineStr">
        <is>
          <t>Mobile App</t>
        </is>
      </c>
      <c r="H1712" t="inlineStr">
        <is>
          <t>UPI</t>
        </is>
      </c>
      <c r="I1712" t="inlineStr">
        <is>
          <t>Delivered</t>
        </is>
      </c>
      <c r="J1712" t="n">
        <v>134</v>
      </c>
      <c r="K1712" t="n">
        <v>2</v>
      </c>
      <c r="L1712" s="7" t="n">
        <v>209</v>
      </c>
      <c r="M1712" s="7" t="n">
        <v>62.7</v>
      </c>
    </row>
    <row r="1713">
      <c r="A1713" t="n">
        <v>510195</v>
      </c>
      <c r="B1713" s="6" t="n">
        <v>45950</v>
      </c>
      <c r="C1713" t="n">
        <v>16744</v>
      </c>
      <c r="D1713" t="inlineStr">
        <is>
          <t>Delhi</t>
        </is>
      </c>
      <c r="E1713" t="inlineStr">
        <is>
          <t>North</t>
        </is>
      </c>
      <c r="F1713" t="inlineStr">
        <is>
          <t>Paid Social</t>
        </is>
      </c>
      <c r="G1713" t="inlineStr">
        <is>
          <t>Mobile App</t>
        </is>
      </c>
      <c r="H1713" t="inlineStr">
        <is>
          <t>UPI</t>
        </is>
      </c>
      <c r="I1713" t="inlineStr">
        <is>
          <t>Delivered</t>
        </is>
      </c>
      <c r="J1713" t="n">
        <v>111</v>
      </c>
      <c r="K1713" t="n">
        <v>2</v>
      </c>
      <c r="L1713" s="7" t="n">
        <v>524</v>
      </c>
      <c r="M1713" s="7" t="n">
        <v>157.2</v>
      </c>
    </row>
    <row r="1714">
      <c r="A1714" t="n">
        <v>510195</v>
      </c>
      <c r="B1714" s="6" t="n">
        <v>45950</v>
      </c>
      <c r="C1714" t="n">
        <v>16744</v>
      </c>
      <c r="D1714" t="inlineStr">
        <is>
          <t>Delhi</t>
        </is>
      </c>
      <c r="E1714" t="inlineStr">
        <is>
          <t>North</t>
        </is>
      </c>
      <c r="F1714" t="inlineStr">
        <is>
          <t>Paid Social</t>
        </is>
      </c>
      <c r="G1714" t="inlineStr">
        <is>
          <t>Mobile App</t>
        </is>
      </c>
      <c r="H1714" t="inlineStr">
        <is>
          <t>UPI</t>
        </is>
      </c>
      <c r="I1714" t="inlineStr">
        <is>
          <t>Delivered</t>
        </is>
      </c>
      <c r="J1714" t="n">
        <v>129</v>
      </c>
      <c r="K1714" t="n">
        <v>1</v>
      </c>
      <c r="L1714" s="7" t="n">
        <v>576</v>
      </c>
      <c r="M1714" s="7" t="n">
        <v>86.40000000000001</v>
      </c>
    </row>
    <row r="1715">
      <c r="A1715" t="n">
        <v>510196</v>
      </c>
      <c r="B1715" s="6" t="n">
        <v>45950</v>
      </c>
      <c r="C1715" t="n">
        <v>16484</v>
      </c>
      <c r="D1715" t="inlineStr">
        <is>
          <t>Delhi</t>
        </is>
      </c>
      <c r="E1715" t="inlineStr">
        <is>
          <t>North</t>
        </is>
      </c>
      <c r="F1715" t="inlineStr">
        <is>
          <t>Referral</t>
        </is>
      </c>
      <c r="G1715" t="inlineStr">
        <is>
          <t>Desktop</t>
        </is>
      </c>
      <c r="H1715" t="inlineStr">
        <is>
          <t>Cash on Delivery</t>
        </is>
      </c>
      <c r="I1715" t="inlineStr">
        <is>
          <t>Returned</t>
        </is>
      </c>
      <c r="J1715" t="n">
        <v>117</v>
      </c>
      <c r="K1715" t="n">
        <v>1</v>
      </c>
      <c r="L1715" s="7" t="n">
        <v>3149</v>
      </c>
      <c r="M1715" s="7" t="n">
        <v>0</v>
      </c>
    </row>
    <row r="1716">
      <c r="A1716" t="n">
        <v>510196</v>
      </c>
      <c r="B1716" s="6" t="n">
        <v>45950</v>
      </c>
      <c r="C1716" t="n">
        <v>16484</v>
      </c>
      <c r="D1716" t="inlineStr">
        <is>
          <t>Delhi</t>
        </is>
      </c>
      <c r="E1716" t="inlineStr">
        <is>
          <t>North</t>
        </is>
      </c>
      <c r="F1716" t="inlineStr">
        <is>
          <t>Referral</t>
        </is>
      </c>
      <c r="G1716" t="inlineStr">
        <is>
          <t>Desktop</t>
        </is>
      </c>
      <c r="H1716" t="inlineStr">
        <is>
          <t>Cash on Delivery</t>
        </is>
      </c>
      <c r="I1716" t="inlineStr">
        <is>
          <t>Returned</t>
        </is>
      </c>
      <c r="J1716" t="n">
        <v>132</v>
      </c>
      <c r="K1716" t="n">
        <v>1</v>
      </c>
      <c r="L1716" s="7" t="n">
        <v>471</v>
      </c>
      <c r="M1716" s="7" t="n">
        <v>0</v>
      </c>
    </row>
    <row r="1717">
      <c r="A1717" t="n">
        <v>510197</v>
      </c>
      <c r="B1717" s="6" t="n">
        <v>45950</v>
      </c>
      <c r="C1717" t="n">
        <v>11945</v>
      </c>
      <c r="D1717" t="inlineStr">
        <is>
          <t>Lucknow</t>
        </is>
      </c>
      <c r="E1717" t="inlineStr">
        <is>
          <t>North</t>
        </is>
      </c>
      <c r="F1717" t="inlineStr">
        <is>
          <t>Organic Search</t>
        </is>
      </c>
      <c r="G1717" t="inlineStr">
        <is>
          <t>Mobile Web</t>
        </is>
      </c>
      <c r="H1717" t="inlineStr">
        <is>
          <t>Cash on Delivery</t>
        </is>
      </c>
      <c r="I1717" t="inlineStr">
        <is>
          <t>Delivered</t>
        </is>
      </c>
      <c r="J1717" t="n">
        <v>101</v>
      </c>
      <c r="K1717" t="n">
        <v>1</v>
      </c>
      <c r="L1717" s="7" t="n">
        <v>2099</v>
      </c>
      <c r="M1717" s="7" t="n">
        <v>209.9</v>
      </c>
    </row>
    <row r="1718">
      <c r="A1718" t="n">
        <v>510198</v>
      </c>
      <c r="B1718" s="6" t="n">
        <v>45950</v>
      </c>
      <c r="C1718" t="n">
        <v>16879</v>
      </c>
      <c r="D1718" t="inlineStr">
        <is>
          <t>Bengaluru</t>
        </is>
      </c>
      <c r="E1718" t="inlineStr">
        <is>
          <t>South</t>
        </is>
      </c>
      <c r="F1718" t="inlineStr">
        <is>
          <t>Paid Social</t>
        </is>
      </c>
      <c r="G1718" t="inlineStr">
        <is>
          <t>Mobile App</t>
        </is>
      </c>
      <c r="H1718" t="inlineStr">
        <is>
          <t>UPI</t>
        </is>
      </c>
      <c r="I1718" t="inlineStr">
        <is>
          <t>Delivered</t>
        </is>
      </c>
      <c r="J1718" t="n">
        <v>141</v>
      </c>
      <c r="K1718" t="n">
        <v>1</v>
      </c>
      <c r="L1718" s="7" t="n">
        <v>261</v>
      </c>
      <c r="M1718" s="7" t="n">
        <v>39.15</v>
      </c>
    </row>
    <row r="1719">
      <c r="A1719" t="n">
        <v>510198</v>
      </c>
      <c r="B1719" s="6" t="n">
        <v>45950</v>
      </c>
      <c r="C1719" t="n">
        <v>16879</v>
      </c>
      <c r="D1719" t="inlineStr">
        <is>
          <t>Bengaluru</t>
        </is>
      </c>
      <c r="E1719" t="inlineStr">
        <is>
          <t>South</t>
        </is>
      </c>
      <c r="F1719" t="inlineStr">
        <is>
          <t>Paid Social</t>
        </is>
      </c>
      <c r="G1719" t="inlineStr">
        <is>
          <t>Mobile App</t>
        </is>
      </c>
      <c r="H1719" t="inlineStr">
        <is>
          <t>UPI</t>
        </is>
      </c>
      <c r="I1719" t="inlineStr">
        <is>
          <t>Delivered</t>
        </is>
      </c>
      <c r="J1719" t="n">
        <v>108</v>
      </c>
      <c r="K1719" t="n">
        <v>1</v>
      </c>
      <c r="L1719" s="7" t="n">
        <v>419</v>
      </c>
      <c r="M1719" s="7" t="n">
        <v>62.85</v>
      </c>
    </row>
    <row r="1720">
      <c r="A1720" t="n">
        <v>510198</v>
      </c>
      <c r="B1720" s="6" t="n">
        <v>45950</v>
      </c>
      <c r="C1720" t="n">
        <v>16879</v>
      </c>
      <c r="D1720" t="inlineStr">
        <is>
          <t>Bengaluru</t>
        </is>
      </c>
      <c r="E1720" t="inlineStr">
        <is>
          <t>South</t>
        </is>
      </c>
      <c r="F1720" t="inlineStr">
        <is>
          <t>Paid Social</t>
        </is>
      </c>
      <c r="G1720" t="inlineStr">
        <is>
          <t>Mobile App</t>
        </is>
      </c>
      <c r="H1720" t="inlineStr">
        <is>
          <t>UPI</t>
        </is>
      </c>
      <c r="I1720" t="inlineStr">
        <is>
          <t>Delivered</t>
        </is>
      </c>
      <c r="J1720" t="n">
        <v>128</v>
      </c>
      <c r="K1720" t="n">
        <v>1</v>
      </c>
      <c r="L1720" s="7" t="n">
        <v>1049</v>
      </c>
      <c r="M1720" s="7" t="n">
        <v>157.35</v>
      </c>
    </row>
    <row r="1721">
      <c r="A1721" t="n">
        <v>510198</v>
      </c>
      <c r="B1721" s="6" t="n">
        <v>45950</v>
      </c>
      <c r="C1721" t="n">
        <v>16879</v>
      </c>
      <c r="D1721" t="inlineStr">
        <is>
          <t>Bengaluru</t>
        </is>
      </c>
      <c r="E1721" t="inlineStr">
        <is>
          <t>South</t>
        </is>
      </c>
      <c r="F1721" t="inlineStr">
        <is>
          <t>Paid Social</t>
        </is>
      </c>
      <c r="G1721" t="inlineStr">
        <is>
          <t>Mobile App</t>
        </is>
      </c>
      <c r="H1721" t="inlineStr">
        <is>
          <t>UPI</t>
        </is>
      </c>
      <c r="I1721" t="inlineStr">
        <is>
          <t>Delivered</t>
        </is>
      </c>
      <c r="J1721" t="n">
        <v>147</v>
      </c>
      <c r="K1721" t="n">
        <v>1</v>
      </c>
      <c r="L1721" s="7" t="n">
        <v>1364</v>
      </c>
      <c r="M1721" s="7" t="n">
        <v>204.6</v>
      </c>
    </row>
    <row r="1722">
      <c r="A1722" t="n">
        <v>510198</v>
      </c>
      <c r="B1722" s="6" t="n">
        <v>45950</v>
      </c>
      <c r="C1722" t="n">
        <v>16879</v>
      </c>
      <c r="D1722" t="inlineStr">
        <is>
          <t>Bengaluru</t>
        </is>
      </c>
      <c r="E1722" t="inlineStr">
        <is>
          <t>South</t>
        </is>
      </c>
      <c r="F1722" t="inlineStr">
        <is>
          <t>Paid Social</t>
        </is>
      </c>
      <c r="G1722" t="inlineStr">
        <is>
          <t>Mobile App</t>
        </is>
      </c>
      <c r="H1722" t="inlineStr">
        <is>
          <t>UPI</t>
        </is>
      </c>
      <c r="I1722" t="inlineStr">
        <is>
          <t>Delivered</t>
        </is>
      </c>
      <c r="J1722" t="n">
        <v>129</v>
      </c>
      <c r="K1722" t="n">
        <v>2</v>
      </c>
      <c r="L1722" s="7" t="n">
        <v>576</v>
      </c>
      <c r="M1722" s="7" t="n">
        <v>172.8</v>
      </c>
    </row>
    <row r="1723">
      <c r="A1723" t="n">
        <v>510199</v>
      </c>
      <c r="B1723" s="6" t="n">
        <v>45951</v>
      </c>
      <c r="C1723" t="n">
        <v>11575</v>
      </c>
      <c r="D1723" t="inlineStr">
        <is>
          <t>Indore</t>
        </is>
      </c>
      <c r="E1723" t="inlineStr">
        <is>
          <t>West</t>
        </is>
      </c>
      <c r="F1723" t="inlineStr">
        <is>
          <t>Paid Social</t>
        </is>
      </c>
      <c r="G1723" t="inlineStr">
        <is>
          <t>Mobile App</t>
        </is>
      </c>
      <c r="H1723" t="inlineStr">
        <is>
          <t>Cash on Delivery</t>
        </is>
      </c>
      <c r="I1723" t="inlineStr">
        <is>
          <t>Delivered</t>
        </is>
      </c>
      <c r="J1723" t="n">
        <v>108</v>
      </c>
      <c r="K1723" t="n">
        <v>2</v>
      </c>
      <c r="L1723" s="7" t="n">
        <v>419</v>
      </c>
      <c r="M1723" s="7" t="n">
        <v>0</v>
      </c>
    </row>
    <row r="1724">
      <c r="A1724" t="n">
        <v>510199</v>
      </c>
      <c r="B1724" s="6" t="n">
        <v>45951</v>
      </c>
      <c r="C1724" t="n">
        <v>11575</v>
      </c>
      <c r="D1724" t="inlineStr">
        <is>
          <t>Indore</t>
        </is>
      </c>
      <c r="E1724" t="inlineStr">
        <is>
          <t>West</t>
        </is>
      </c>
      <c r="F1724" t="inlineStr">
        <is>
          <t>Paid Social</t>
        </is>
      </c>
      <c r="G1724" t="inlineStr">
        <is>
          <t>Mobile App</t>
        </is>
      </c>
      <c r="H1724" t="inlineStr">
        <is>
          <t>Cash on Delivery</t>
        </is>
      </c>
      <c r="I1724" t="inlineStr">
        <is>
          <t>Delivered</t>
        </is>
      </c>
      <c r="J1724" t="n">
        <v>131</v>
      </c>
      <c r="K1724" t="n">
        <v>1</v>
      </c>
      <c r="L1724" s="7" t="n">
        <v>314</v>
      </c>
      <c r="M1724" s="7" t="n">
        <v>0</v>
      </c>
    </row>
    <row r="1725">
      <c r="A1725" t="n">
        <v>510199</v>
      </c>
      <c r="B1725" s="6" t="n">
        <v>45951</v>
      </c>
      <c r="C1725" t="n">
        <v>11575</v>
      </c>
      <c r="D1725" t="inlineStr">
        <is>
          <t>Indore</t>
        </is>
      </c>
      <c r="E1725" t="inlineStr">
        <is>
          <t>West</t>
        </is>
      </c>
      <c r="F1725" t="inlineStr">
        <is>
          <t>Paid Social</t>
        </is>
      </c>
      <c r="G1725" t="inlineStr">
        <is>
          <t>Mobile App</t>
        </is>
      </c>
      <c r="H1725" t="inlineStr">
        <is>
          <t>Cash on Delivery</t>
        </is>
      </c>
      <c r="I1725" t="inlineStr">
        <is>
          <t>Delivered</t>
        </is>
      </c>
      <c r="J1725" t="n">
        <v>117</v>
      </c>
      <c r="K1725" t="n">
        <v>1</v>
      </c>
      <c r="L1725" s="7" t="n">
        <v>3149</v>
      </c>
      <c r="M1725" s="7" t="n">
        <v>0</v>
      </c>
    </row>
    <row r="1726">
      <c r="A1726" t="n">
        <v>510200</v>
      </c>
      <c r="B1726" s="6" t="n">
        <v>45951</v>
      </c>
      <c r="C1726" t="n">
        <v>10378</v>
      </c>
      <c r="D1726" t="inlineStr">
        <is>
          <t>Indore</t>
        </is>
      </c>
      <c r="E1726" t="inlineStr">
        <is>
          <t>West</t>
        </is>
      </c>
      <c r="F1726" t="inlineStr">
        <is>
          <t>Referral</t>
        </is>
      </c>
      <c r="G1726" t="inlineStr">
        <is>
          <t>Desktop</t>
        </is>
      </c>
      <c r="H1726" t="inlineStr">
        <is>
          <t>Debit Card</t>
        </is>
      </c>
      <c r="I1726" t="inlineStr">
        <is>
          <t>Delivered</t>
        </is>
      </c>
      <c r="J1726" t="n">
        <v>118</v>
      </c>
      <c r="K1726" t="n">
        <v>1</v>
      </c>
      <c r="L1726" s="7" t="n">
        <v>944</v>
      </c>
      <c r="M1726" s="7" t="n">
        <v>94.40000000000001</v>
      </c>
    </row>
    <row r="1727">
      <c r="A1727" t="n">
        <v>510201</v>
      </c>
      <c r="B1727" s="6" t="n">
        <v>45951</v>
      </c>
      <c r="C1727" t="n">
        <v>11441</v>
      </c>
      <c r="D1727" t="inlineStr">
        <is>
          <t>Jaipur</t>
        </is>
      </c>
      <c r="E1727" t="inlineStr">
        <is>
          <t>North</t>
        </is>
      </c>
      <c r="F1727" t="inlineStr">
        <is>
          <t>Affiliate</t>
        </is>
      </c>
      <c r="G1727" t="inlineStr">
        <is>
          <t>Desktop</t>
        </is>
      </c>
      <c r="H1727" t="inlineStr">
        <is>
          <t>UPI</t>
        </is>
      </c>
      <c r="I1727" t="inlineStr">
        <is>
          <t>Delivered</t>
        </is>
      </c>
      <c r="J1727" t="n">
        <v>126</v>
      </c>
      <c r="K1727" t="n">
        <v>1</v>
      </c>
      <c r="L1727" s="7" t="n">
        <v>471</v>
      </c>
      <c r="M1727" s="7" t="n">
        <v>47.1</v>
      </c>
    </row>
    <row r="1728">
      <c r="A1728" t="n">
        <v>510202</v>
      </c>
      <c r="B1728" s="6" t="n">
        <v>45951</v>
      </c>
      <c r="C1728" t="n">
        <v>16809</v>
      </c>
      <c r="D1728" t="inlineStr">
        <is>
          <t>Bengaluru</t>
        </is>
      </c>
      <c r="E1728" t="inlineStr">
        <is>
          <t>South</t>
        </is>
      </c>
      <c r="F1728" t="inlineStr">
        <is>
          <t>Organic Search</t>
        </is>
      </c>
      <c r="G1728" t="inlineStr">
        <is>
          <t>Desktop</t>
        </is>
      </c>
      <c r="H1728" t="inlineStr">
        <is>
          <t>Credit Card</t>
        </is>
      </c>
      <c r="I1728" t="inlineStr">
        <is>
          <t>Delivered</t>
        </is>
      </c>
      <c r="J1728" t="n">
        <v>123</v>
      </c>
      <c r="K1728" t="n">
        <v>1</v>
      </c>
      <c r="L1728" s="7" t="n">
        <v>3464</v>
      </c>
      <c r="M1728" s="7" t="n">
        <v>346.4</v>
      </c>
    </row>
    <row r="1729">
      <c r="A1729" t="n">
        <v>510202</v>
      </c>
      <c r="B1729" s="6" t="n">
        <v>45951</v>
      </c>
      <c r="C1729" t="n">
        <v>16809</v>
      </c>
      <c r="D1729" t="inlineStr">
        <is>
          <t>Bengaluru</t>
        </is>
      </c>
      <c r="E1729" t="inlineStr">
        <is>
          <t>South</t>
        </is>
      </c>
      <c r="F1729" t="inlineStr">
        <is>
          <t>Organic Search</t>
        </is>
      </c>
      <c r="G1729" t="inlineStr">
        <is>
          <t>Desktop</t>
        </is>
      </c>
      <c r="H1729" t="inlineStr">
        <is>
          <t>Credit Card</t>
        </is>
      </c>
      <c r="I1729" t="inlineStr">
        <is>
          <t>Delivered</t>
        </is>
      </c>
      <c r="J1729" t="n">
        <v>117</v>
      </c>
      <c r="K1729" t="n">
        <v>1</v>
      </c>
      <c r="L1729" s="7" t="n">
        <v>3149</v>
      </c>
      <c r="M1729" s="7" t="n">
        <v>314.9</v>
      </c>
    </row>
    <row r="1730">
      <c r="A1730" t="n">
        <v>510203</v>
      </c>
      <c r="B1730" s="6" t="n">
        <v>45951</v>
      </c>
      <c r="C1730" t="n">
        <v>15132</v>
      </c>
      <c r="D1730" t="inlineStr">
        <is>
          <t>Hyderabad</t>
        </is>
      </c>
      <c r="E1730" t="inlineStr">
        <is>
          <t>South</t>
        </is>
      </c>
      <c r="F1730" t="inlineStr">
        <is>
          <t>Organic Search</t>
        </is>
      </c>
      <c r="G1730" t="inlineStr">
        <is>
          <t>Mobile App</t>
        </is>
      </c>
      <c r="H1730" t="inlineStr">
        <is>
          <t>UPI</t>
        </is>
      </c>
      <c r="I1730" t="inlineStr">
        <is>
          <t>Delivered</t>
        </is>
      </c>
      <c r="J1730" t="n">
        <v>112</v>
      </c>
      <c r="K1730" t="n">
        <v>1</v>
      </c>
      <c r="L1730" s="7" t="n">
        <v>1574</v>
      </c>
      <c r="M1730" s="7" t="n">
        <v>157.4</v>
      </c>
    </row>
    <row r="1731">
      <c r="A1731" t="n">
        <v>510203</v>
      </c>
      <c r="B1731" s="6" t="n">
        <v>45951</v>
      </c>
      <c r="C1731" t="n">
        <v>15132</v>
      </c>
      <c r="D1731" t="inlineStr">
        <is>
          <t>Hyderabad</t>
        </is>
      </c>
      <c r="E1731" t="inlineStr">
        <is>
          <t>South</t>
        </is>
      </c>
      <c r="F1731" t="inlineStr">
        <is>
          <t>Organic Search</t>
        </is>
      </c>
      <c r="G1731" t="inlineStr">
        <is>
          <t>Mobile App</t>
        </is>
      </c>
      <c r="H1731" t="inlineStr">
        <is>
          <t>UPI</t>
        </is>
      </c>
      <c r="I1731" t="inlineStr">
        <is>
          <t>Delivered</t>
        </is>
      </c>
      <c r="J1731" t="n">
        <v>129</v>
      </c>
      <c r="K1731" t="n">
        <v>1</v>
      </c>
      <c r="L1731" s="7" t="n">
        <v>576</v>
      </c>
      <c r="M1731" s="7" t="n">
        <v>57.6</v>
      </c>
    </row>
    <row r="1732">
      <c r="A1732" t="n">
        <v>510204</v>
      </c>
      <c r="B1732" s="6" t="n">
        <v>45951</v>
      </c>
      <c r="C1732" t="n">
        <v>11994</v>
      </c>
      <c r="D1732" t="inlineStr">
        <is>
          <t>Delhi</t>
        </is>
      </c>
      <c r="E1732" t="inlineStr">
        <is>
          <t>North</t>
        </is>
      </c>
      <c r="F1732" t="inlineStr">
        <is>
          <t>Email</t>
        </is>
      </c>
      <c r="G1732" t="inlineStr">
        <is>
          <t>Mobile App</t>
        </is>
      </c>
      <c r="H1732" t="inlineStr">
        <is>
          <t>UPI</t>
        </is>
      </c>
      <c r="I1732" t="inlineStr">
        <is>
          <t>Delivered</t>
        </is>
      </c>
      <c r="J1732" t="n">
        <v>128</v>
      </c>
      <c r="K1732" t="n">
        <v>2</v>
      </c>
      <c r="L1732" s="7" t="n">
        <v>1049</v>
      </c>
      <c r="M1732" s="7" t="n">
        <v>0</v>
      </c>
    </row>
    <row r="1733">
      <c r="A1733" t="n">
        <v>510204</v>
      </c>
      <c r="B1733" s="6" t="n">
        <v>45951</v>
      </c>
      <c r="C1733" t="n">
        <v>11994</v>
      </c>
      <c r="D1733" t="inlineStr">
        <is>
          <t>Delhi</t>
        </is>
      </c>
      <c r="E1733" t="inlineStr">
        <is>
          <t>North</t>
        </is>
      </c>
      <c r="F1733" t="inlineStr">
        <is>
          <t>Email</t>
        </is>
      </c>
      <c r="G1733" t="inlineStr">
        <is>
          <t>Mobile App</t>
        </is>
      </c>
      <c r="H1733" t="inlineStr">
        <is>
          <t>UPI</t>
        </is>
      </c>
      <c r="I1733" t="inlineStr">
        <is>
          <t>Delivered</t>
        </is>
      </c>
      <c r="J1733" t="n">
        <v>104</v>
      </c>
      <c r="K1733" t="n">
        <v>1</v>
      </c>
      <c r="L1733" s="7" t="n">
        <v>5249</v>
      </c>
      <c r="M1733" s="7" t="n">
        <v>0</v>
      </c>
    </row>
    <row r="1734">
      <c r="A1734" t="n">
        <v>510205</v>
      </c>
      <c r="B1734" s="6" t="n">
        <v>45951</v>
      </c>
      <c r="C1734" t="n">
        <v>16389</v>
      </c>
      <c r="D1734" t="inlineStr">
        <is>
          <t>Bengaluru</t>
        </is>
      </c>
      <c r="E1734" t="inlineStr">
        <is>
          <t>South</t>
        </is>
      </c>
      <c r="F1734" t="inlineStr">
        <is>
          <t>Organic Search</t>
        </is>
      </c>
      <c r="G1734" t="inlineStr">
        <is>
          <t>Mobile App</t>
        </is>
      </c>
      <c r="H1734" t="inlineStr">
        <is>
          <t>UPI</t>
        </is>
      </c>
      <c r="I1734" t="inlineStr">
        <is>
          <t>Delivered</t>
        </is>
      </c>
      <c r="J1734" t="n">
        <v>113</v>
      </c>
      <c r="K1734" t="n">
        <v>1</v>
      </c>
      <c r="L1734" s="7" t="n">
        <v>1364</v>
      </c>
      <c r="M1734" s="7" t="n">
        <v>136.4</v>
      </c>
    </row>
    <row r="1735">
      <c r="A1735" t="n">
        <v>510205</v>
      </c>
      <c r="B1735" s="6" t="n">
        <v>45951</v>
      </c>
      <c r="C1735" t="n">
        <v>16389</v>
      </c>
      <c r="D1735" t="inlineStr">
        <is>
          <t>Bengaluru</t>
        </is>
      </c>
      <c r="E1735" t="inlineStr">
        <is>
          <t>South</t>
        </is>
      </c>
      <c r="F1735" t="inlineStr">
        <is>
          <t>Organic Search</t>
        </is>
      </c>
      <c r="G1735" t="inlineStr">
        <is>
          <t>Mobile App</t>
        </is>
      </c>
      <c r="H1735" t="inlineStr">
        <is>
          <t>UPI</t>
        </is>
      </c>
      <c r="I1735" t="inlineStr">
        <is>
          <t>Delivered</t>
        </is>
      </c>
      <c r="J1735" t="n">
        <v>129</v>
      </c>
      <c r="K1735" t="n">
        <v>1</v>
      </c>
      <c r="L1735" s="7" t="n">
        <v>576</v>
      </c>
      <c r="M1735" s="7" t="n">
        <v>57.6</v>
      </c>
    </row>
    <row r="1736">
      <c r="A1736" t="n">
        <v>510206</v>
      </c>
      <c r="B1736" s="6" t="n">
        <v>45951</v>
      </c>
      <c r="C1736" t="n">
        <v>12087</v>
      </c>
      <c r="D1736" t="inlineStr">
        <is>
          <t>Pune</t>
        </is>
      </c>
      <c r="E1736" t="inlineStr">
        <is>
          <t>West</t>
        </is>
      </c>
      <c r="F1736" t="inlineStr">
        <is>
          <t>Paid Social</t>
        </is>
      </c>
      <c r="G1736" t="inlineStr">
        <is>
          <t>Mobile Web</t>
        </is>
      </c>
      <c r="H1736" t="inlineStr">
        <is>
          <t>Debit Card</t>
        </is>
      </c>
      <c r="I1736" t="inlineStr">
        <is>
          <t>Delivered</t>
        </is>
      </c>
      <c r="J1736" t="n">
        <v>143</v>
      </c>
      <c r="K1736" t="n">
        <v>1</v>
      </c>
      <c r="L1736" s="7" t="n">
        <v>839</v>
      </c>
      <c r="M1736" s="7" t="n">
        <v>83.90000000000001</v>
      </c>
    </row>
    <row r="1737">
      <c r="A1737" t="n">
        <v>510207</v>
      </c>
      <c r="B1737" s="6" t="n">
        <v>45951</v>
      </c>
      <c r="C1737" t="n">
        <v>16795</v>
      </c>
      <c r="D1737" t="inlineStr">
        <is>
          <t>Hyderabad</t>
        </is>
      </c>
      <c r="E1737" t="inlineStr">
        <is>
          <t>South</t>
        </is>
      </c>
      <c r="F1737" t="inlineStr">
        <is>
          <t>Affiliate</t>
        </is>
      </c>
      <c r="G1737" t="inlineStr">
        <is>
          <t>Mobile App</t>
        </is>
      </c>
      <c r="H1737" t="inlineStr">
        <is>
          <t>UPI</t>
        </is>
      </c>
      <c r="I1737" t="inlineStr">
        <is>
          <t>Delivered</t>
        </is>
      </c>
      <c r="J1737" t="n">
        <v>121</v>
      </c>
      <c r="K1737" t="n">
        <v>1</v>
      </c>
      <c r="L1737" s="7" t="n">
        <v>2939</v>
      </c>
      <c r="M1737" s="7" t="n">
        <v>0</v>
      </c>
    </row>
    <row r="1738">
      <c r="A1738" t="n">
        <v>510207</v>
      </c>
      <c r="B1738" s="6" t="n">
        <v>45951</v>
      </c>
      <c r="C1738" t="n">
        <v>16795</v>
      </c>
      <c r="D1738" t="inlineStr">
        <is>
          <t>Hyderabad</t>
        </is>
      </c>
      <c r="E1738" t="inlineStr">
        <is>
          <t>South</t>
        </is>
      </c>
      <c r="F1738" t="inlineStr">
        <is>
          <t>Affiliate</t>
        </is>
      </c>
      <c r="G1738" t="inlineStr">
        <is>
          <t>Mobile App</t>
        </is>
      </c>
      <c r="H1738" t="inlineStr">
        <is>
          <t>UPI</t>
        </is>
      </c>
      <c r="I1738" t="inlineStr">
        <is>
          <t>Delivered</t>
        </is>
      </c>
      <c r="J1738" t="n">
        <v>136</v>
      </c>
      <c r="K1738" t="n">
        <v>1</v>
      </c>
      <c r="L1738" s="7" t="n">
        <v>944</v>
      </c>
      <c r="M1738" s="7" t="n">
        <v>0</v>
      </c>
    </row>
    <row r="1739">
      <c r="A1739" t="n">
        <v>510207</v>
      </c>
      <c r="B1739" s="6" t="n">
        <v>45951</v>
      </c>
      <c r="C1739" t="n">
        <v>16795</v>
      </c>
      <c r="D1739" t="inlineStr">
        <is>
          <t>Hyderabad</t>
        </is>
      </c>
      <c r="E1739" t="inlineStr">
        <is>
          <t>South</t>
        </is>
      </c>
      <c r="F1739" t="inlineStr">
        <is>
          <t>Affiliate</t>
        </is>
      </c>
      <c r="G1739" t="inlineStr">
        <is>
          <t>Mobile App</t>
        </is>
      </c>
      <c r="H1739" t="inlineStr">
        <is>
          <t>UPI</t>
        </is>
      </c>
      <c r="I1739" t="inlineStr">
        <is>
          <t>Delivered</t>
        </is>
      </c>
      <c r="J1739" t="n">
        <v>111</v>
      </c>
      <c r="K1739" t="n">
        <v>1</v>
      </c>
      <c r="L1739" s="7" t="n">
        <v>524</v>
      </c>
      <c r="M1739" s="7" t="n">
        <v>0</v>
      </c>
    </row>
    <row r="1740">
      <c r="A1740" t="n">
        <v>510207</v>
      </c>
      <c r="B1740" s="6" t="n">
        <v>45951</v>
      </c>
      <c r="C1740" t="n">
        <v>16795</v>
      </c>
      <c r="D1740" t="inlineStr">
        <is>
          <t>Hyderabad</t>
        </is>
      </c>
      <c r="E1740" t="inlineStr">
        <is>
          <t>South</t>
        </is>
      </c>
      <c r="F1740" t="inlineStr">
        <is>
          <t>Affiliate</t>
        </is>
      </c>
      <c r="G1740" t="inlineStr">
        <is>
          <t>Mobile App</t>
        </is>
      </c>
      <c r="H1740" t="inlineStr">
        <is>
          <t>UPI</t>
        </is>
      </c>
      <c r="I1740" t="inlineStr">
        <is>
          <t>Delivered</t>
        </is>
      </c>
      <c r="J1740" t="n">
        <v>105</v>
      </c>
      <c r="K1740" t="n">
        <v>3</v>
      </c>
      <c r="L1740" s="7" t="n">
        <v>2414</v>
      </c>
      <c r="M1740" s="7" t="n">
        <v>0</v>
      </c>
    </row>
    <row r="1741">
      <c r="A1741" t="n">
        <v>510208</v>
      </c>
      <c r="B1741" s="6" t="n">
        <v>45951</v>
      </c>
      <c r="C1741" t="n">
        <v>16958</v>
      </c>
      <c r="D1741" t="inlineStr">
        <is>
          <t>Delhi</t>
        </is>
      </c>
      <c r="E1741" t="inlineStr">
        <is>
          <t>North</t>
        </is>
      </c>
      <c r="F1741" t="inlineStr">
        <is>
          <t>Organic Search</t>
        </is>
      </c>
      <c r="G1741" t="inlineStr">
        <is>
          <t>Mobile App</t>
        </is>
      </c>
      <c r="H1741" t="inlineStr">
        <is>
          <t>Net Banking</t>
        </is>
      </c>
      <c r="I1741" t="inlineStr">
        <is>
          <t>Cancelled</t>
        </is>
      </c>
      <c r="J1741" t="n">
        <v>133</v>
      </c>
      <c r="K1741" t="n">
        <v>1</v>
      </c>
      <c r="L1741" s="7" t="n">
        <v>419</v>
      </c>
      <c r="M1741" s="7" t="n">
        <v>62.85</v>
      </c>
    </row>
    <row r="1742">
      <c r="A1742" t="n">
        <v>510208</v>
      </c>
      <c r="B1742" s="6" t="n">
        <v>45951</v>
      </c>
      <c r="C1742" t="n">
        <v>16958</v>
      </c>
      <c r="D1742" t="inlineStr">
        <is>
          <t>Delhi</t>
        </is>
      </c>
      <c r="E1742" t="inlineStr">
        <is>
          <t>North</t>
        </is>
      </c>
      <c r="F1742" t="inlineStr">
        <is>
          <t>Organic Search</t>
        </is>
      </c>
      <c r="G1742" t="inlineStr">
        <is>
          <t>Mobile App</t>
        </is>
      </c>
      <c r="H1742" t="inlineStr">
        <is>
          <t>Net Banking</t>
        </is>
      </c>
      <c r="I1742" t="inlineStr">
        <is>
          <t>Cancelled</t>
        </is>
      </c>
      <c r="J1742" t="n">
        <v>138</v>
      </c>
      <c r="K1742" t="n">
        <v>1</v>
      </c>
      <c r="L1742" s="7" t="n">
        <v>419</v>
      </c>
      <c r="M1742" s="7" t="n">
        <v>62.85</v>
      </c>
    </row>
    <row r="1743">
      <c r="A1743" t="n">
        <v>510209</v>
      </c>
      <c r="B1743" s="6" t="n">
        <v>45951</v>
      </c>
      <c r="C1743" t="n">
        <v>13586</v>
      </c>
      <c r="D1743" t="inlineStr">
        <is>
          <t>Chennai</t>
        </is>
      </c>
      <c r="E1743" t="inlineStr">
        <is>
          <t>South</t>
        </is>
      </c>
      <c r="F1743" t="inlineStr">
        <is>
          <t>Referral</t>
        </is>
      </c>
      <c r="G1743" t="inlineStr">
        <is>
          <t>Desktop</t>
        </is>
      </c>
      <c r="H1743" t="inlineStr">
        <is>
          <t>Debit Card</t>
        </is>
      </c>
      <c r="I1743" t="inlineStr">
        <is>
          <t>Delivered</t>
        </is>
      </c>
      <c r="J1743" t="n">
        <v>107</v>
      </c>
      <c r="K1743" t="n">
        <v>2</v>
      </c>
      <c r="L1743" s="7" t="n">
        <v>1259</v>
      </c>
      <c r="M1743" s="7" t="n">
        <v>0</v>
      </c>
    </row>
    <row r="1744">
      <c r="A1744" t="n">
        <v>510209</v>
      </c>
      <c r="B1744" s="6" t="n">
        <v>45951</v>
      </c>
      <c r="C1744" t="n">
        <v>13586</v>
      </c>
      <c r="D1744" t="inlineStr">
        <is>
          <t>Chennai</t>
        </is>
      </c>
      <c r="E1744" t="inlineStr">
        <is>
          <t>South</t>
        </is>
      </c>
      <c r="F1744" t="inlineStr">
        <is>
          <t>Referral</t>
        </is>
      </c>
      <c r="G1744" t="inlineStr">
        <is>
          <t>Desktop</t>
        </is>
      </c>
      <c r="H1744" t="inlineStr">
        <is>
          <t>Debit Card</t>
        </is>
      </c>
      <c r="I1744" t="inlineStr">
        <is>
          <t>Delivered</t>
        </is>
      </c>
      <c r="J1744" t="n">
        <v>137</v>
      </c>
      <c r="K1744" t="n">
        <v>1</v>
      </c>
      <c r="L1744" s="7" t="n">
        <v>261</v>
      </c>
      <c r="M1744" s="7" t="n">
        <v>0</v>
      </c>
    </row>
    <row r="1745">
      <c r="A1745" t="n">
        <v>510210</v>
      </c>
      <c r="B1745" s="6" t="n">
        <v>45951</v>
      </c>
      <c r="C1745" t="n">
        <v>14627</v>
      </c>
      <c r="D1745" t="inlineStr">
        <is>
          <t>Hyderabad</t>
        </is>
      </c>
      <c r="E1745" t="inlineStr">
        <is>
          <t>South</t>
        </is>
      </c>
      <c r="F1745" t="inlineStr">
        <is>
          <t>Referral</t>
        </is>
      </c>
      <c r="G1745" t="inlineStr">
        <is>
          <t>Desktop</t>
        </is>
      </c>
      <c r="H1745" t="inlineStr">
        <is>
          <t>UPI</t>
        </is>
      </c>
      <c r="I1745" t="inlineStr">
        <is>
          <t>Delivered</t>
        </is>
      </c>
      <c r="J1745" t="n">
        <v>137</v>
      </c>
      <c r="K1745" t="n">
        <v>1</v>
      </c>
      <c r="L1745" s="7" t="n">
        <v>261</v>
      </c>
      <c r="M1745" s="7" t="n">
        <v>13.05</v>
      </c>
    </row>
    <row r="1746">
      <c r="A1746" t="n">
        <v>510210</v>
      </c>
      <c r="B1746" s="6" t="n">
        <v>45951</v>
      </c>
      <c r="C1746" t="n">
        <v>14627</v>
      </c>
      <c r="D1746" t="inlineStr">
        <is>
          <t>Hyderabad</t>
        </is>
      </c>
      <c r="E1746" t="inlineStr">
        <is>
          <t>South</t>
        </is>
      </c>
      <c r="F1746" t="inlineStr">
        <is>
          <t>Referral</t>
        </is>
      </c>
      <c r="G1746" t="inlineStr">
        <is>
          <t>Desktop</t>
        </is>
      </c>
      <c r="H1746" t="inlineStr">
        <is>
          <t>UPI</t>
        </is>
      </c>
      <c r="I1746" t="inlineStr">
        <is>
          <t>Delivered</t>
        </is>
      </c>
      <c r="J1746" t="n">
        <v>109</v>
      </c>
      <c r="K1746" t="n">
        <v>1</v>
      </c>
      <c r="L1746" s="7" t="n">
        <v>4199</v>
      </c>
      <c r="M1746" s="7" t="n">
        <v>209.95</v>
      </c>
    </row>
    <row r="1747">
      <c r="A1747" t="n">
        <v>510210</v>
      </c>
      <c r="B1747" s="6" t="n">
        <v>45951</v>
      </c>
      <c r="C1747" t="n">
        <v>14627</v>
      </c>
      <c r="D1747" t="inlineStr">
        <is>
          <t>Hyderabad</t>
        </is>
      </c>
      <c r="E1747" t="inlineStr">
        <is>
          <t>South</t>
        </is>
      </c>
      <c r="F1747" t="inlineStr">
        <is>
          <t>Referral</t>
        </is>
      </c>
      <c r="G1747" t="inlineStr">
        <is>
          <t>Desktop</t>
        </is>
      </c>
      <c r="H1747" t="inlineStr">
        <is>
          <t>UPI</t>
        </is>
      </c>
      <c r="I1747" t="inlineStr">
        <is>
          <t>Delivered</t>
        </is>
      </c>
      <c r="J1747" t="n">
        <v>120</v>
      </c>
      <c r="K1747" t="n">
        <v>1</v>
      </c>
      <c r="L1747" s="7" t="n">
        <v>734</v>
      </c>
      <c r="M1747" s="7" t="n">
        <v>36.7</v>
      </c>
    </row>
    <row r="1748">
      <c r="A1748" t="n">
        <v>510210</v>
      </c>
      <c r="B1748" s="6" t="n">
        <v>45951</v>
      </c>
      <c r="C1748" t="n">
        <v>14627</v>
      </c>
      <c r="D1748" t="inlineStr">
        <is>
          <t>Hyderabad</t>
        </is>
      </c>
      <c r="E1748" t="inlineStr">
        <is>
          <t>South</t>
        </is>
      </c>
      <c r="F1748" t="inlineStr">
        <is>
          <t>Referral</t>
        </is>
      </c>
      <c r="G1748" t="inlineStr">
        <is>
          <t>Desktop</t>
        </is>
      </c>
      <c r="H1748" t="inlineStr">
        <is>
          <t>UPI</t>
        </is>
      </c>
      <c r="I1748" t="inlineStr">
        <is>
          <t>Delivered</t>
        </is>
      </c>
      <c r="J1748" t="n">
        <v>101</v>
      </c>
      <c r="K1748" t="n">
        <v>1</v>
      </c>
      <c r="L1748" s="7" t="n">
        <v>2099</v>
      </c>
      <c r="M1748" s="7" t="n">
        <v>104.95</v>
      </c>
    </row>
    <row r="1749">
      <c r="A1749" t="n">
        <v>510210</v>
      </c>
      <c r="B1749" s="6" t="n">
        <v>45951</v>
      </c>
      <c r="C1749" t="n">
        <v>14627</v>
      </c>
      <c r="D1749" t="inlineStr">
        <is>
          <t>Hyderabad</t>
        </is>
      </c>
      <c r="E1749" t="inlineStr">
        <is>
          <t>South</t>
        </is>
      </c>
      <c r="F1749" t="inlineStr">
        <is>
          <t>Referral</t>
        </is>
      </c>
      <c r="G1749" t="inlineStr">
        <is>
          <t>Desktop</t>
        </is>
      </c>
      <c r="H1749" t="inlineStr">
        <is>
          <t>UPI</t>
        </is>
      </c>
      <c r="I1749" t="inlineStr">
        <is>
          <t>Delivered</t>
        </is>
      </c>
      <c r="J1749" t="n">
        <v>129</v>
      </c>
      <c r="K1749" t="n">
        <v>1</v>
      </c>
      <c r="L1749" s="7" t="n">
        <v>576</v>
      </c>
      <c r="M1749" s="7" t="n">
        <v>28.8</v>
      </c>
    </row>
    <row r="1750">
      <c r="A1750" t="n">
        <v>510211</v>
      </c>
      <c r="B1750" s="6" t="n">
        <v>45951</v>
      </c>
      <c r="C1750" t="n">
        <v>10351</v>
      </c>
      <c r="D1750" t="inlineStr">
        <is>
          <t>Gurugram</t>
        </is>
      </c>
      <c r="E1750" t="inlineStr">
        <is>
          <t>North</t>
        </is>
      </c>
      <c r="F1750" t="inlineStr">
        <is>
          <t>Organic Search</t>
        </is>
      </c>
      <c r="G1750" t="inlineStr">
        <is>
          <t>Mobile Web</t>
        </is>
      </c>
      <c r="H1750" t="inlineStr">
        <is>
          <t>UPI</t>
        </is>
      </c>
      <c r="I1750" t="inlineStr">
        <is>
          <t>Delivered</t>
        </is>
      </c>
      <c r="J1750" t="n">
        <v>112</v>
      </c>
      <c r="K1750" t="n">
        <v>1</v>
      </c>
      <c r="L1750" s="7" t="n">
        <v>1574</v>
      </c>
      <c r="M1750" s="7" t="n">
        <v>157.4</v>
      </c>
    </row>
    <row r="1751">
      <c r="A1751" t="n">
        <v>510212</v>
      </c>
      <c r="B1751" s="6" t="n">
        <v>45951</v>
      </c>
      <c r="C1751" t="n">
        <v>14861</v>
      </c>
      <c r="D1751" t="inlineStr">
        <is>
          <t>Jaipur</t>
        </is>
      </c>
      <c r="E1751" t="inlineStr">
        <is>
          <t>North</t>
        </is>
      </c>
      <c r="F1751" t="inlineStr">
        <is>
          <t>Referral</t>
        </is>
      </c>
      <c r="G1751" t="inlineStr">
        <is>
          <t>Mobile App</t>
        </is>
      </c>
      <c r="H1751" t="inlineStr">
        <is>
          <t>UPI</t>
        </is>
      </c>
      <c r="I1751" t="inlineStr">
        <is>
          <t>Delivered</t>
        </is>
      </c>
      <c r="J1751" t="n">
        <v>130</v>
      </c>
      <c r="K1751" t="n">
        <v>1</v>
      </c>
      <c r="L1751" s="7" t="n">
        <v>734</v>
      </c>
      <c r="M1751" s="7" t="n">
        <v>73.40000000000001</v>
      </c>
    </row>
    <row r="1752">
      <c r="A1752" t="n">
        <v>510213</v>
      </c>
      <c r="B1752" s="6" t="n">
        <v>45951</v>
      </c>
      <c r="C1752" t="n">
        <v>14213</v>
      </c>
      <c r="D1752" t="inlineStr">
        <is>
          <t>Jaipur</t>
        </is>
      </c>
      <c r="E1752" t="inlineStr">
        <is>
          <t>North</t>
        </is>
      </c>
      <c r="F1752" t="inlineStr">
        <is>
          <t>Organic Search</t>
        </is>
      </c>
      <c r="G1752" t="inlineStr">
        <is>
          <t>Mobile App</t>
        </is>
      </c>
      <c r="H1752" t="inlineStr">
        <is>
          <t>UPI</t>
        </is>
      </c>
      <c r="I1752" t="inlineStr">
        <is>
          <t>Delivered</t>
        </is>
      </c>
      <c r="J1752" t="n">
        <v>116</v>
      </c>
      <c r="K1752" t="n">
        <v>1</v>
      </c>
      <c r="L1752" s="7" t="n">
        <v>2624</v>
      </c>
      <c r="M1752" s="7" t="n">
        <v>262.4</v>
      </c>
    </row>
    <row r="1753">
      <c r="A1753" t="n">
        <v>510214</v>
      </c>
      <c r="B1753" s="6" t="n">
        <v>45951</v>
      </c>
      <c r="C1753" t="n">
        <v>14628</v>
      </c>
      <c r="D1753" t="inlineStr">
        <is>
          <t>Jaipur</t>
        </is>
      </c>
      <c r="E1753" t="inlineStr">
        <is>
          <t>North</t>
        </is>
      </c>
      <c r="F1753" t="inlineStr">
        <is>
          <t>Referral</t>
        </is>
      </c>
      <c r="G1753" t="inlineStr">
        <is>
          <t>Mobile App</t>
        </is>
      </c>
      <c r="H1753" t="inlineStr">
        <is>
          <t>UPI</t>
        </is>
      </c>
      <c r="I1753" t="inlineStr">
        <is>
          <t>Delivered</t>
        </is>
      </c>
      <c r="J1753" t="n">
        <v>148</v>
      </c>
      <c r="K1753" t="n">
        <v>1</v>
      </c>
      <c r="L1753" s="7" t="n">
        <v>734</v>
      </c>
      <c r="M1753" s="7" t="n">
        <v>0</v>
      </c>
    </row>
    <row r="1754">
      <c r="A1754" t="n">
        <v>510215</v>
      </c>
      <c r="B1754" s="6" t="n">
        <v>45951</v>
      </c>
      <c r="C1754" t="n">
        <v>14763</v>
      </c>
      <c r="D1754" t="inlineStr">
        <is>
          <t>Mumbai</t>
        </is>
      </c>
      <c r="E1754" t="inlineStr">
        <is>
          <t>West</t>
        </is>
      </c>
      <c r="F1754" t="inlineStr">
        <is>
          <t>Organic Search</t>
        </is>
      </c>
      <c r="G1754" t="inlineStr">
        <is>
          <t>Mobile App</t>
        </is>
      </c>
      <c r="H1754" t="inlineStr">
        <is>
          <t>UPI</t>
        </is>
      </c>
      <c r="I1754" t="inlineStr">
        <is>
          <t>Delivered</t>
        </is>
      </c>
      <c r="J1754" t="n">
        <v>138</v>
      </c>
      <c r="K1754" t="n">
        <v>1</v>
      </c>
      <c r="L1754" s="7" t="n">
        <v>419</v>
      </c>
      <c r="M1754" s="7" t="n">
        <v>41.9</v>
      </c>
    </row>
    <row r="1755">
      <c r="A1755" t="n">
        <v>510215</v>
      </c>
      <c r="B1755" s="6" t="n">
        <v>45951</v>
      </c>
      <c r="C1755" t="n">
        <v>14763</v>
      </c>
      <c r="D1755" t="inlineStr">
        <is>
          <t>Mumbai</t>
        </is>
      </c>
      <c r="E1755" t="inlineStr">
        <is>
          <t>West</t>
        </is>
      </c>
      <c r="F1755" t="inlineStr">
        <is>
          <t>Organic Search</t>
        </is>
      </c>
      <c r="G1755" t="inlineStr">
        <is>
          <t>Mobile App</t>
        </is>
      </c>
      <c r="H1755" t="inlineStr">
        <is>
          <t>UPI</t>
        </is>
      </c>
      <c r="I1755" t="inlineStr">
        <is>
          <t>Delivered</t>
        </is>
      </c>
      <c r="J1755" t="n">
        <v>129</v>
      </c>
      <c r="K1755" t="n">
        <v>2</v>
      </c>
      <c r="L1755" s="7" t="n">
        <v>576</v>
      </c>
      <c r="M1755" s="7" t="n">
        <v>115.2</v>
      </c>
    </row>
    <row r="1756">
      <c r="A1756" t="n">
        <v>510216</v>
      </c>
      <c r="B1756" s="6" t="n">
        <v>45951</v>
      </c>
      <c r="C1756" t="n">
        <v>14116</v>
      </c>
      <c r="D1756" t="inlineStr">
        <is>
          <t>Bengaluru</t>
        </is>
      </c>
      <c r="E1756" t="inlineStr">
        <is>
          <t>South</t>
        </is>
      </c>
      <c r="F1756" t="inlineStr">
        <is>
          <t>Organic Search</t>
        </is>
      </c>
      <c r="G1756" t="inlineStr">
        <is>
          <t>Mobile App</t>
        </is>
      </c>
      <c r="H1756" t="inlineStr">
        <is>
          <t>UPI</t>
        </is>
      </c>
      <c r="I1756" t="inlineStr">
        <is>
          <t>Returned</t>
        </is>
      </c>
      <c r="J1756" t="n">
        <v>116</v>
      </c>
      <c r="K1756" t="n">
        <v>1</v>
      </c>
      <c r="L1756" s="7" t="n">
        <v>2624</v>
      </c>
      <c r="M1756" s="7" t="n">
        <v>262.4</v>
      </c>
    </row>
    <row r="1757">
      <c r="A1757" t="n">
        <v>510217</v>
      </c>
      <c r="B1757" s="6" t="n">
        <v>45951</v>
      </c>
      <c r="C1757" t="n">
        <v>16251</v>
      </c>
      <c r="D1757" t="inlineStr">
        <is>
          <t>Chandigarh</t>
        </is>
      </c>
      <c r="E1757" t="inlineStr">
        <is>
          <t>North</t>
        </is>
      </c>
      <c r="F1757" t="inlineStr">
        <is>
          <t>Email</t>
        </is>
      </c>
      <c r="G1757" t="inlineStr">
        <is>
          <t>Mobile Web</t>
        </is>
      </c>
      <c r="H1757" t="inlineStr">
        <is>
          <t>Credit Card</t>
        </is>
      </c>
      <c r="I1757" t="inlineStr">
        <is>
          <t>Delivered</t>
        </is>
      </c>
      <c r="J1757" t="n">
        <v>134</v>
      </c>
      <c r="K1757" t="n">
        <v>1</v>
      </c>
      <c r="L1757" s="7" t="n">
        <v>209</v>
      </c>
      <c r="M1757" s="7" t="n">
        <v>20.9</v>
      </c>
    </row>
    <row r="1758">
      <c r="A1758" t="n">
        <v>510217</v>
      </c>
      <c r="B1758" s="6" t="n">
        <v>45951</v>
      </c>
      <c r="C1758" t="n">
        <v>16251</v>
      </c>
      <c r="D1758" t="inlineStr">
        <is>
          <t>Chandigarh</t>
        </is>
      </c>
      <c r="E1758" t="inlineStr">
        <is>
          <t>North</t>
        </is>
      </c>
      <c r="F1758" t="inlineStr">
        <is>
          <t>Email</t>
        </is>
      </c>
      <c r="G1758" t="inlineStr">
        <is>
          <t>Mobile Web</t>
        </is>
      </c>
      <c r="H1758" t="inlineStr">
        <is>
          <t>Credit Card</t>
        </is>
      </c>
      <c r="I1758" t="inlineStr">
        <is>
          <t>Delivered</t>
        </is>
      </c>
      <c r="J1758" t="n">
        <v>113</v>
      </c>
      <c r="K1758" t="n">
        <v>1</v>
      </c>
      <c r="L1758" s="7" t="n">
        <v>1364</v>
      </c>
      <c r="M1758" s="7" t="n">
        <v>136.4</v>
      </c>
    </row>
    <row r="1759">
      <c r="A1759" t="n">
        <v>510218</v>
      </c>
      <c r="B1759" s="6" t="n">
        <v>45951</v>
      </c>
      <c r="C1759" t="n">
        <v>11677</v>
      </c>
      <c r="D1759" t="inlineStr">
        <is>
          <t>Kolkata</t>
        </is>
      </c>
      <c r="E1759" t="inlineStr">
        <is>
          <t>East</t>
        </is>
      </c>
      <c r="F1759" t="inlineStr">
        <is>
          <t>Referral</t>
        </is>
      </c>
      <c r="G1759" t="inlineStr">
        <is>
          <t>Desktop</t>
        </is>
      </c>
      <c r="H1759" t="inlineStr">
        <is>
          <t>Debit Card</t>
        </is>
      </c>
      <c r="I1759" t="inlineStr">
        <is>
          <t>Delivered</t>
        </is>
      </c>
      <c r="J1759" t="n">
        <v>104</v>
      </c>
      <c r="K1759" t="n">
        <v>1</v>
      </c>
      <c r="L1759" s="7" t="n">
        <v>5249</v>
      </c>
      <c r="M1759" s="7" t="n">
        <v>0</v>
      </c>
    </row>
    <row r="1760">
      <c r="A1760" t="n">
        <v>510219</v>
      </c>
      <c r="B1760" s="6" t="n">
        <v>45951</v>
      </c>
      <c r="C1760" t="n">
        <v>16860</v>
      </c>
      <c r="D1760" t="inlineStr">
        <is>
          <t>Hyderabad</t>
        </is>
      </c>
      <c r="E1760" t="inlineStr">
        <is>
          <t>South</t>
        </is>
      </c>
      <c r="F1760" t="inlineStr">
        <is>
          <t>Paid Search</t>
        </is>
      </c>
      <c r="G1760" t="inlineStr">
        <is>
          <t>Mobile App</t>
        </is>
      </c>
      <c r="H1760" t="inlineStr">
        <is>
          <t>Cash on Delivery</t>
        </is>
      </c>
      <c r="I1760" t="inlineStr">
        <is>
          <t>Delivered</t>
        </is>
      </c>
      <c r="J1760" t="n">
        <v>119</v>
      </c>
      <c r="K1760" t="n">
        <v>1</v>
      </c>
      <c r="L1760" s="7" t="n">
        <v>2309</v>
      </c>
      <c r="M1760" s="7" t="n">
        <v>346.35</v>
      </c>
    </row>
    <row r="1761">
      <c r="A1761" t="n">
        <v>510219</v>
      </c>
      <c r="B1761" s="6" t="n">
        <v>45951</v>
      </c>
      <c r="C1761" t="n">
        <v>16860</v>
      </c>
      <c r="D1761" t="inlineStr">
        <is>
          <t>Hyderabad</t>
        </is>
      </c>
      <c r="E1761" t="inlineStr">
        <is>
          <t>South</t>
        </is>
      </c>
      <c r="F1761" t="inlineStr">
        <is>
          <t>Paid Search</t>
        </is>
      </c>
      <c r="G1761" t="inlineStr">
        <is>
          <t>Mobile App</t>
        </is>
      </c>
      <c r="H1761" t="inlineStr">
        <is>
          <t>Cash on Delivery</t>
        </is>
      </c>
      <c r="I1761" t="inlineStr">
        <is>
          <t>Delivered</t>
        </is>
      </c>
      <c r="J1761" t="n">
        <v>129</v>
      </c>
      <c r="K1761" t="n">
        <v>1</v>
      </c>
      <c r="L1761" s="7" t="n">
        <v>576</v>
      </c>
      <c r="M1761" s="7" t="n">
        <v>86.40000000000001</v>
      </c>
    </row>
    <row r="1762">
      <c r="A1762" t="n">
        <v>510220</v>
      </c>
      <c r="B1762" s="6" t="n">
        <v>45951</v>
      </c>
      <c r="C1762" t="n">
        <v>11888</v>
      </c>
      <c r="D1762" t="inlineStr">
        <is>
          <t>Chennai</t>
        </is>
      </c>
      <c r="E1762" t="inlineStr">
        <is>
          <t>South</t>
        </is>
      </c>
      <c r="F1762" t="inlineStr">
        <is>
          <t>Organic Search</t>
        </is>
      </c>
      <c r="G1762" t="inlineStr">
        <is>
          <t>Mobile App</t>
        </is>
      </c>
      <c r="H1762" t="inlineStr">
        <is>
          <t>UPI</t>
        </is>
      </c>
      <c r="I1762" t="inlineStr">
        <is>
          <t>Returned</t>
        </is>
      </c>
      <c r="J1762" t="n">
        <v>118</v>
      </c>
      <c r="K1762" t="n">
        <v>2</v>
      </c>
      <c r="L1762" s="7" t="n">
        <v>944</v>
      </c>
      <c r="M1762" s="7" t="n">
        <v>0</v>
      </c>
    </row>
    <row r="1763">
      <c r="A1763" t="n">
        <v>510220</v>
      </c>
      <c r="B1763" s="6" t="n">
        <v>45951</v>
      </c>
      <c r="C1763" t="n">
        <v>11888</v>
      </c>
      <c r="D1763" t="inlineStr">
        <is>
          <t>Chennai</t>
        </is>
      </c>
      <c r="E1763" t="inlineStr">
        <is>
          <t>South</t>
        </is>
      </c>
      <c r="F1763" t="inlineStr">
        <is>
          <t>Organic Search</t>
        </is>
      </c>
      <c r="G1763" t="inlineStr">
        <is>
          <t>Mobile App</t>
        </is>
      </c>
      <c r="H1763" t="inlineStr">
        <is>
          <t>UPI</t>
        </is>
      </c>
      <c r="I1763" t="inlineStr">
        <is>
          <t>Returned</t>
        </is>
      </c>
      <c r="J1763" t="n">
        <v>134</v>
      </c>
      <c r="K1763" t="n">
        <v>1</v>
      </c>
      <c r="L1763" s="7" t="n">
        <v>209</v>
      </c>
      <c r="M1763" s="7" t="n">
        <v>0</v>
      </c>
    </row>
    <row r="1764">
      <c r="A1764" t="n">
        <v>510221</v>
      </c>
      <c r="B1764" s="6" t="n">
        <v>45951</v>
      </c>
      <c r="C1764" t="n">
        <v>16959</v>
      </c>
      <c r="D1764" t="inlineStr">
        <is>
          <t>Delhi</t>
        </is>
      </c>
      <c r="E1764" t="inlineStr">
        <is>
          <t>North</t>
        </is>
      </c>
      <c r="F1764" t="inlineStr">
        <is>
          <t>Organic Search</t>
        </is>
      </c>
      <c r="G1764" t="inlineStr">
        <is>
          <t>Mobile App</t>
        </is>
      </c>
      <c r="H1764" t="inlineStr">
        <is>
          <t>UPI</t>
        </is>
      </c>
      <c r="I1764" t="inlineStr">
        <is>
          <t>Delivered</t>
        </is>
      </c>
      <c r="J1764" t="n">
        <v>109</v>
      </c>
      <c r="K1764" t="n">
        <v>1</v>
      </c>
      <c r="L1764" s="7" t="n">
        <v>4199</v>
      </c>
      <c r="M1764" s="7" t="n">
        <v>419.9</v>
      </c>
    </row>
    <row r="1765">
      <c r="A1765" t="n">
        <v>510221</v>
      </c>
      <c r="B1765" s="6" t="n">
        <v>45951</v>
      </c>
      <c r="C1765" t="n">
        <v>16959</v>
      </c>
      <c r="D1765" t="inlineStr">
        <is>
          <t>Delhi</t>
        </is>
      </c>
      <c r="E1765" t="inlineStr">
        <is>
          <t>North</t>
        </is>
      </c>
      <c r="F1765" t="inlineStr">
        <is>
          <t>Organic Search</t>
        </is>
      </c>
      <c r="G1765" t="inlineStr">
        <is>
          <t>Mobile App</t>
        </is>
      </c>
      <c r="H1765" t="inlineStr">
        <is>
          <t>UPI</t>
        </is>
      </c>
      <c r="I1765" t="inlineStr">
        <is>
          <t>Delivered</t>
        </is>
      </c>
      <c r="J1765" t="n">
        <v>102</v>
      </c>
      <c r="K1765" t="n">
        <v>1</v>
      </c>
      <c r="L1765" s="7" t="n">
        <v>3674</v>
      </c>
      <c r="M1765" s="7" t="n">
        <v>367.4</v>
      </c>
    </row>
    <row r="1766">
      <c r="A1766" t="n">
        <v>510221</v>
      </c>
      <c r="B1766" s="6" t="n">
        <v>45951</v>
      </c>
      <c r="C1766" t="n">
        <v>16959</v>
      </c>
      <c r="D1766" t="inlineStr">
        <is>
          <t>Delhi</t>
        </is>
      </c>
      <c r="E1766" t="inlineStr">
        <is>
          <t>North</t>
        </is>
      </c>
      <c r="F1766" t="inlineStr">
        <is>
          <t>Organic Search</t>
        </is>
      </c>
      <c r="G1766" t="inlineStr">
        <is>
          <t>Mobile App</t>
        </is>
      </c>
      <c r="H1766" t="inlineStr">
        <is>
          <t>UPI</t>
        </is>
      </c>
      <c r="I1766" t="inlineStr">
        <is>
          <t>Delivered</t>
        </is>
      </c>
      <c r="J1766" t="n">
        <v>115</v>
      </c>
      <c r="K1766" t="n">
        <v>2</v>
      </c>
      <c r="L1766" s="7" t="n">
        <v>4199</v>
      </c>
      <c r="M1766" s="7" t="n">
        <v>839.8</v>
      </c>
    </row>
    <row r="1767">
      <c r="A1767" t="n">
        <v>510221</v>
      </c>
      <c r="B1767" s="6" t="n">
        <v>45951</v>
      </c>
      <c r="C1767" t="n">
        <v>16959</v>
      </c>
      <c r="D1767" t="inlineStr">
        <is>
          <t>Delhi</t>
        </is>
      </c>
      <c r="E1767" t="inlineStr">
        <is>
          <t>North</t>
        </is>
      </c>
      <c r="F1767" t="inlineStr">
        <is>
          <t>Organic Search</t>
        </is>
      </c>
      <c r="G1767" t="inlineStr">
        <is>
          <t>Mobile App</t>
        </is>
      </c>
      <c r="H1767" t="inlineStr">
        <is>
          <t>UPI</t>
        </is>
      </c>
      <c r="I1767" t="inlineStr">
        <is>
          <t>Delivered</t>
        </is>
      </c>
      <c r="J1767" t="n">
        <v>134</v>
      </c>
      <c r="K1767" t="n">
        <v>1</v>
      </c>
      <c r="L1767" s="7" t="n">
        <v>209</v>
      </c>
      <c r="M1767" s="7" t="n">
        <v>20.9</v>
      </c>
    </row>
    <row r="1768">
      <c r="A1768" t="n">
        <v>510221</v>
      </c>
      <c r="B1768" s="6" t="n">
        <v>45951</v>
      </c>
      <c r="C1768" t="n">
        <v>16959</v>
      </c>
      <c r="D1768" t="inlineStr">
        <is>
          <t>Delhi</t>
        </is>
      </c>
      <c r="E1768" t="inlineStr">
        <is>
          <t>North</t>
        </is>
      </c>
      <c r="F1768" t="inlineStr">
        <is>
          <t>Organic Search</t>
        </is>
      </c>
      <c r="G1768" t="inlineStr">
        <is>
          <t>Mobile App</t>
        </is>
      </c>
      <c r="H1768" t="inlineStr">
        <is>
          <t>UPI</t>
        </is>
      </c>
      <c r="I1768" t="inlineStr">
        <is>
          <t>Delivered</t>
        </is>
      </c>
      <c r="J1768" t="n">
        <v>129</v>
      </c>
      <c r="K1768" t="n">
        <v>1</v>
      </c>
      <c r="L1768" s="7" t="n">
        <v>576</v>
      </c>
      <c r="M1768" s="7" t="n">
        <v>57.6</v>
      </c>
    </row>
    <row r="1769">
      <c r="A1769" t="n">
        <v>510222</v>
      </c>
      <c r="B1769" s="6" t="n">
        <v>45951</v>
      </c>
      <c r="C1769" t="n">
        <v>16330</v>
      </c>
      <c r="D1769" t="inlineStr">
        <is>
          <t>Jaipur</t>
        </is>
      </c>
      <c r="E1769" t="inlineStr">
        <is>
          <t>North</t>
        </is>
      </c>
      <c r="F1769" t="inlineStr">
        <is>
          <t>Affiliate</t>
        </is>
      </c>
      <c r="G1769" t="inlineStr">
        <is>
          <t>Mobile App</t>
        </is>
      </c>
      <c r="H1769" t="inlineStr">
        <is>
          <t>UPI</t>
        </is>
      </c>
      <c r="I1769" t="inlineStr">
        <is>
          <t>Delivered</t>
        </is>
      </c>
      <c r="J1769" t="n">
        <v>130</v>
      </c>
      <c r="K1769" t="n">
        <v>1</v>
      </c>
      <c r="L1769" s="7" t="n">
        <v>734</v>
      </c>
      <c r="M1769" s="7" t="n">
        <v>73.40000000000001</v>
      </c>
    </row>
    <row r="1770">
      <c r="A1770" t="n">
        <v>510222</v>
      </c>
      <c r="B1770" s="6" t="n">
        <v>45951</v>
      </c>
      <c r="C1770" t="n">
        <v>16330</v>
      </c>
      <c r="D1770" t="inlineStr">
        <is>
          <t>Jaipur</t>
        </is>
      </c>
      <c r="E1770" t="inlineStr">
        <is>
          <t>North</t>
        </is>
      </c>
      <c r="F1770" t="inlineStr">
        <is>
          <t>Affiliate</t>
        </is>
      </c>
      <c r="G1770" t="inlineStr">
        <is>
          <t>Mobile App</t>
        </is>
      </c>
      <c r="H1770" t="inlineStr">
        <is>
          <t>UPI</t>
        </is>
      </c>
      <c r="I1770" t="inlineStr">
        <is>
          <t>Delivered</t>
        </is>
      </c>
      <c r="J1770" t="n">
        <v>125</v>
      </c>
      <c r="K1770" t="n">
        <v>1</v>
      </c>
      <c r="L1770" s="7" t="n">
        <v>1364</v>
      </c>
      <c r="M1770" s="7" t="n">
        <v>136.4</v>
      </c>
    </row>
    <row r="1771">
      <c r="A1771" t="n">
        <v>510222</v>
      </c>
      <c r="B1771" s="6" t="n">
        <v>45951</v>
      </c>
      <c r="C1771" t="n">
        <v>16330</v>
      </c>
      <c r="D1771" t="inlineStr">
        <is>
          <t>Jaipur</t>
        </is>
      </c>
      <c r="E1771" t="inlineStr">
        <is>
          <t>North</t>
        </is>
      </c>
      <c r="F1771" t="inlineStr">
        <is>
          <t>Affiliate</t>
        </is>
      </c>
      <c r="G1771" t="inlineStr">
        <is>
          <t>Mobile App</t>
        </is>
      </c>
      <c r="H1771" t="inlineStr">
        <is>
          <t>UPI</t>
        </is>
      </c>
      <c r="I1771" t="inlineStr">
        <is>
          <t>Delivered</t>
        </is>
      </c>
      <c r="J1771" t="n">
        <v>136</v>
      </c>
      <c r="K1771" t="n">
        <v>1</v>
      </c>
      <c r="L1771" s="7" t="n">
        <v>944</v>
      </c>
      <c r="M1771" s="7" t="n">
        <v>94.40000000000001</v>
      </c>
    </row>
    <row r="1772">
      <c r="A1772" t="n">
        <v>510223</v>
      </c>
      <c r="B1772" s="6" t="n">
        <v>45951</v>
      </c>
      <c r="C1772" t="n">
        <v>16835</v>
      </c>
      <c r="D1772" t="inlineStr">
        <is>
          <t>Pune</t>
        </is>
      </c>
      <c r="E1772" t="inlineStr">
        <is>
          <t>West</t>
        </is>
      </c>
      <c r="F1772" t="inlineStr">
        <is>
          <t>Paid Social</t>
        </is>
      </c>
      <c r="G1772" t="inlineStr">
        <is>
          <t>Mobile Web</t>
        </is>
      </c>
      <c r="H1772" t="inlineStr">
        <is>
          <t>Cash on Delivery</t>
        </is>
      </c>
      <c r="I1772" t="inlineStr">
        <is>
          <t>Returned</t>
        </is>
      </c>
      <c r="J1772" t="n">
        <v>106</v>
      </c>
      <c r="K1772" t="n">
        <v>1</v>
      </c>
      <c r="L1772" s="7" t="n">
        <v>1574</v>
      </c>
      <c r="M1772" s="7" t="n">
        <v>157.4</v>
      </c>
    </row>
    <row r="1773">
      <c r="A1773" t="n">
        <v>510223</v>
      </c>
      <c r="B1773" s="6" t="n">
        <v>45951</v>
      </c>
      <c r="C1773" t="n">
        <v>16835</v>
      </c>
      <c r="D1773" t="inlineStr">
        <is>
          <t>Pune</t>
        </is>
      </c>
      <c r="E1773" t="inlineStr">
        <is>
          <t>West</t>
        </is>
      </c>
      <c r="F1773" t="inlineStr">
        <is>
          <t>Paid Social</t>
        </is>
      </c>
      <c r="G1773" t="inlineStr">
        <is>
          <t>Mobile Web</t>
        </is>
      </c>
      <c r="H1773" t="inlineStr">
        <is>
          <t>Cash on Delivery</t>
        </is>
      </c>
      <c r="I1773" t="inlineStr">
        <is>
          <t>Returned</t>
        </is>
      </c>
      <c r="J1773" t="n">
        <v>101</v>
      </c>
      <c r="K1773" t="n">
        <v>2</v>
      </c>
      <c r="L1773" s="7" t="n">
        <v>2099</v>
      </c>
      <c r="M1773" s="7" t="n">
        <v>419.8</v>
      </c>
    </row>
    <row r="1774">
      <c r="A1774" t="n">
        <v>510223</v>
      </c>
      <c r="B1774" s="6" t="n">
        <v>45951</v>
      </c>
      <c r="C1774" t="n">
        <v>16835</v>
      </c>
      <c r="D1774" t="inlineStr">
        <is>
          <t>Pune</t>
        </is>
      </c>
      <c r="E1774" t="inlineStr">
        <is>
          <t>West</t>
        </is>
      </c>
      <c r="F1774" t="inlineStr">
        <is>
          <t>Paid Social</t>
        </is>
      </c>
      <c r="G1774" t="inlineStr">
        <is>
          <t>Mobile Web</t>
        </is>
      </c>
      <c r="H1774" t="inlineStr">
        <is>
          <t>Cash on Delivery</t>
        </is>
      </c>
      <c r="I1774" t="inlineStr">
        <is>
          <t>Returned</t>
        </is>
      </c>
      <c r="J1774" t="n">
        <v>129</v>
      </c>
      <c r="K1774" t="n">
        <v>1</v>
      </c>
      <c r="L1774" s="7" t="n">
        <v>576</v>
      </c>
      <c r="M1774" s="7" t="n">
        <v>57.6</v>
      </c>
    </row>
    <row r="1775">
      <c r="A1775" t="n">
        <v>510224</v>
      </c>
      <c r="B1775" s="6" t="n">
        <v>45951</v>
      </c>
      <c r="C1775" t="n">
        <v>14646</v>
      </c>
      <c r="D1775" t="inlineStr">
        <is>
          <t>Chennai</t>
        </is>
      </c>
      <c r="E1775" t="inlineStr">
        <is>
          <t>South</t>
        </is>
      </c>
      <c r="F1775" t="inlineStr">
        <is>
          <t>Paid Social</t>
        </is>
      </c>
      <c r="G1775" t="inlineStr">
        <is>
          <t>Mobile Web</t>
        </is>
      </c>
      <c r="H1775" t="inlineStr">
        <is>
          <t>Credit Card</t>
        </is>
      </c>
      <c r="I1775" t="inlineStr">
        <is>
          <t>Delivered</t>
        </is>
      </c>
      <c r="J1775" t="n">
        <v>115</v>
      </c>
      <c r="K1775" t="n">
        <v>1</v>
      </c>
      <c r="L1775" s="7" t="n">
        <v>4199</v>
      </c>
      <c r="M1775" s="7" t="n">
        <v>419.9</v>
      </c>
    </row>
    <row r="1776">
      <c r="A1776" t="n">
        <v>510225</v>
      </c>
      <c r="B1776" s="6" t="n">
        <v>45951</v>
      </c>
      <c r="C1776" t="n">
        <v>15530</v>
      </c>
      <c r="D1776" t="inlineStr">
        <is>
          <t>Kolkata</t>
        </is>
      </c>
      <c r="E1776" t="inlineStr">
        <is>
          <t>East</t>
        </is>
      </c>
      <c r="F1776" t="inlineStr">
        <is>
          <t>Organic Search</t>
        </is>
      </c>
      <c r="G1776" t="inlineStr">
        <is>
          <t>Mobile Web</t>
        </is>
      </c>
      <c r="H1776" t="inlineStr">
        <is>
          <t>Credit Card</t>
        </is>
      </c>
      <c r="I1776" t="inlineStr">
        <is>
          <t>Delivered</t>
        </is>
      </c>
      <c r="J1776" t="n">
        <v>113</v>
      </c>
      <c r="K1776" t="n">
        <v>1</v>
      </c>
      <c r="L1776" s="7" t="n">
        <v>1364</v>
      </c>
      <c r="M1776" s="7" t="n">
        <v>0</v>
      </c>
    </row>
    <row r="1777">
      <c r="A1777" t="n">
        <v>510225</v>
      </c>
      <c r="B1777" s="6" t="n">
        <v>45951</v>
      </c>
      <c r="C1777" t="n">
        <v>15530</v>
      </c>
      <c r="D1777" t="inlineStr">
        <is>
          <t>Kolkata</t>
        </is>
      </c>
      <c r="E1777" t="inlineStr">
        <is>
          <t>East</t>
        </is>
      </c>
      <c r="F1777" t="inlineStr">
        <is>
          <t>Organic Search</t>
        </is>
      </c>
      <c r="G1777" t="inlineStr">
        <is>
          <t>Mobile Web</t>
        </is>
      </c>
      <c r="H1777" t="inlineStr">
        <is>
          <t>Credit Card</t>
        </is>
      </c>
      <c r="I1777" t="inlineStr">
        <is>
          <t>Delivered</t>
        </is>
      </c>
      <c r="J1777" t="n">
        <v>118</v>
      </c>
      <c r="K1777" t="n">
        <v>1</v>
      </c>
      <c r="L1777" s="7" t="n">
        <v>944</v>
      </c>
      <c r="M1777" s="7" t="n">
        <v>0</v>
      </c>
    </row>
    <row r="1778">
      <c r="A1778" t="n">
        <v>510225</v>
      </c>
      <c r="B1778" s="6" t="n">
        <v>45951</v>
      </c>
      <c r="C1778" t="n">
        <v>15530</v>
      </c>
      <c r="D1778" t="inlineStr">
        <is>
          <t>Kolkata</t>
        </is>
      </c>
      <c r="E1778" t="inlineStr">
        <is>
          <t>East</t>
        </is>
      </c>
      <c r="F1778" t="inlineStr">
        <is>
          <t>Organic Search</t>
        </is>
      </c>
      <c r="G1778" t="inlineStr">
        <is>
          <t>Mobile Web</t>
        </is>
      </c>
      <c r="H1778" t="inlineStr">
        <is>
          <t>Credit Card</t>
        </is>
      </c>
      <c r="I1778" t="inlineStr">
        <is>
          <t>Delivered</t>
        </is>
      </c>
      <c r="J1778" t="n">
        <v>116</v>
      </c>
      <c r="K1778" t="n">
        <v>1</v>
      </c>
      <c r="L1778" s="7" t="n">
        <v>2624</v>
      </c>
      <c r="M1778" s="7" t="n">
        <v>0</v>
      </c>
    </row>
    <row r="1779">
      <c r="A1779" t="n">
        <v>510226</v>
      </c>
      <c r="B1779" s="6" t="n">
        <v>45951</v>
      </c>
      <c r="C1779" t="n">
        <v>12579</v>
      </c>
      <c r="D1779" t="inlineStr">
        <is>
          <t>Ahmedabad</t>
        </is>
      </c>
      <c r="E1779" t="inlineStr">
        <is>
          <t>West</t>
        </is>
      </c>
      <c r="F1779" t="inlineStr">
        <is>
          <t>Organic Search</t>
        </is>
      </c>
      <c r="G1779" t="inlineStr">
        <is>
          <t>Desktop</t>
        </is>
      </c>
      <c r="H1779" t="inlineStr">
        <is>
          <t>Credit Card</t>
        </is>
      </c>
      <c r="I1779" t="inlineStr">
        <is>
          <t>Delivered</t>
        </is>
      </c>
      <c r="J1779" t="n">
        <v>101</v>
      </c>
      <c r="K1779" t="n">
        <v>1</v>
      </c>
      <c r="L1779" s="7" t="n">
        <v>2099</v>
      </c>
      <c r="M1779" s="7" t="n">
        <v>0</v>
      </c>
    </row>
    <row r="1780">
      <c r="A1780" t="n">
        <v>510226</v>
      </c>
      <c r="B1780" s="6" t="n">
        <v>45951</v>
      </c>
      <c r="C1780" t="n">
        <v>12579</v>
      </c>
      <c r="D1780" t="inlineStr">
        <is>
          <t>Ahmedabad</t>
        </is>
      </c>
      <c r="E1780" t="inlineStr">
        <is>
          <t>West</t>
        </is>
      </c>
      <c r="F1780" t="inlineStr">
        <is>
          <t>Organic Search</t>
        </is>
      </c>
      <c r="G1780" t="inlineStr">
        <is>
          <t>Desktop</t>
        </is>
      </c>
      <c r="H1780" t="inlineStr">
        <is>
          <t>Credit Card</t>
        </is>
      </c>
      <c r="I1780" t="inlineStr">
        <is>
          <t>Delivered</t>
        </is>
      </c>
      <c r="J1780" t="n">
        <v>129</v>
      </c>
      <c r="K1780" t="n">
        <v>1</v>
      </c>
      <c r="L1780" s="7" t="n">
        <v>576</v>
      </c>
      <c r="M1780" s="7" t="n">
        <v>0</v>
      </c>
    </row>
    <row r="1781">
      <c r="A1781" t="n">
        <v>510227</v>
      </c>
      <c r="B1781" s="6" t="n">
        <v>45951</v>
      </c>
      <c r="C1781" t="n">
        <v>14715</v>
      </c>
      <c r="D1781" t="inlineStr">
        <is>
          <t>Mumbai</t>
        </is>
      </c>
      <c r="E1781" t="inlineStr">
        <is>
          <t>West</t>
        </is>
      </c>
      <c r="F1781" t="inlineStr">
        <is>
          <t>Email</t>
        </is>
      </c>
      <c r="G1781" t="inlineStr">
        <is>
          <t>Desktop</t>
        </is>
      </c>
      <c r="H1781" t="inlineStr">
        <is>
          <t>UPI</t>
        </is>
      </c>
      <c r="I1781" t="inlineStr">
        <is>
          <t>Delivered</t>
        </is>
      </c>
      <c r="J1781" t="n">
        <v>135</v>
      </c>
      <c r="K1781" t="n">
        <v>1</v>
      </c>
      <c r="L1781" s="7" t="n">
        <v>1574</v>
      </c>
      <c r="M1781" s="7" t="n">
        <v>157.4</v>
      </c>
    </row>
    <row r="1782">
      <c r="A1782" t="n">
        <v>510228</v>
      </c>
      <c r="B1782" s="6" t="n">
        <v>45951</v>
      </c>
      <c r="C1782" t="n">
        <v>14295</v>
      </c>
      <c r="D1782" t="inlineStr">
        <is>
          <t>Hyderabad</t>
        </is>
      </c>
      <c r="E1782" t="inlineStr">
        <is>
          <t>South</t>
        </is>
      </c>
      <c r="F1782" t="inlineStr">
        <is>
          <t>Organic Search</t>
        </is>
      </c>
      <c r="G1782" t="inlineStr">
        <is>
          <t>Mobile Web</t>
        </is>
      </c>
      <c r="H1782" t="inlineStr">
        <is>
          <t>UPI</t>
        </is>
      </c>
      <c r="I1782" t="inlineStr">
        <is>
          <t>Delivered</t>
        </is>
      </c>
      <c r="J1782" t="n">
        <v>107</v>
      </c>
      <c r="K1782" t="n">
        <v>2</v>
      </c>
      <c r="L1782" s="7" t="n">
        <v>1259</v>
      </c>
      <c r="M1782" s="7" t="n">
        <v>251.8</v>
      </c>
    </row>
    <row r="1783">
      <c r="A1783" t="n">
        <v>510229</v>
      </c>
      <c r="B1783" s="6" t="n">
        <v>45951</v>
      </c>
      <c r="C1783" t="n">
        <v>15480</v>
      </c>
      <c r="D1783" t="inlineStr">
        <is>
          <t>Indore</t>
        </is>
      </c>
      <c r="E1783" t="inlineStr">
        <is>
          <t>West</t>
        </is>
      </c>
      <c r="F1783" t="inlineStr">
        <is>
          <t>Email</t>
        </is>
      </c>
      <c r="G1783" t="inlineStr">
        <is>
          <t>Mobile App</t>
        </is>
      </c>
      <c r="H1783" t="inlineStr">
        <is>
          <t>UPI</t>
        </is>
      </c>
      <c r="I1783" t="inlineStr">
        <is>
          <t>Delivered</t>
        </is>
      </c>
      <c r="J1783" t="n">
        <v>112</v>
      </c>
      <c r="K1783" t="n">
        <v>1</v>
      </c>
      <c r="L1783" s="7" t="n">
        <v>1574</v>
      </c>
      <c r="M1783" s="7" t="n">
        <v>157.4</v>
      </c>
    </row>
    <row r="1784">
      <c r="A1784" t="n">
        <v>510229</v>
      </c>
      <c r="B1784" s="6" t="n">
        <v>45951</v>
      </c>
      <c r="C1784" t="n">
        <v>15480</v>
      </c>
      <c r="D1784" t="inlineStr">
        <is>
          <t>Indore</t>
        </is>
      </c>
      <c r="E1784" t="inlineStr">
        <is>
          <t>West</t>
        </is>
      </c>
      <c r="F1784" t="inlineStr">
        <is>
          <t>Email</t>
        </is>
      </c>
      <c r="G1784" t="inlineStr">
        <is>
          <t>Mobile App</t>
        </is>
      </c>
      <c r="H1784" t="inlineStr">
        <is>
          <t>UPI</t>
        </is>
      </c>
      <c r="I1784" t="inlineStr">
        <is>
          <t>Delivered</t>
        </is>
      </c>
      <c r="J1784" t="n">
        <v>129</v>
      </c>
      <c r="K1784" t="n">
        <v>1</v>
      </c>
      <c r="L1784" s="7" t="n">
        <v>576</v>
      </c>
      <c r="M1784" s="7" t="n">
        <v>57.6</v>
      </c>
    </row>
    <row r="1785">
      <c r="A1785" t="n">
        <v>510230</v>
      </c>
      <c r="B1785" s="6" t="n">
        <v>45951</v>
      </c>
      <c r="C1785" t="n">
        <v>16928</v>
      </c>
      <c r="D1785" t="inlineStr">
        <is>
          <t>Jaipur</t>
        </is>
      </c>
      <c r="E1785" t="inlineStr">
        <is>
          <t>North</t>
        </is>
      </c>
      <c r="F1785" t="inlineStr">
        <is>
          <t>Paid Social</t>
        </is>
      </c>
      <c r="G1785" t="inlineStr">
        <is>
          <t>Mobile App</t>
        </is>
      </c>
      <c r="H1785" t="inlineStr">
        <is>
          <t>Debit Card</t>
        </is>
      </c>
      <c r="I1785" t="inlineStr">
        <is>
          <t>Delivered</t>
        </is>
      </c>
      <c r="J1785" t="n">
        <v>120</v>
      </c>
      <c r="K1785" t="n">
        <v>1</v>
      </c>
      <c r="L1785" s="7" t="n">
        <v>734</v>
      </c>
      <c r="M1785" s="7" t="n">
        <v>73.40000000000001</v>
      </c>
    </row>
    <row r="1786">
      <c r="A1786" t="n">
        <v>510230</v>
      </c>
      <c r="B1786" s="6" t="n">
        <v>45951</v>
      </c>
      <c r="C1786" t="n">
        <v>16928</v>
      </c>
      <c r="D1786" t="inlineStr">
        <is>
          <t>Jaipur</t>
        </is>
      </c>
      <c r="E1786" t="inlineStr">
        <is>
          <t>North</t>
        </is>
      </c>
      <c r="F1786" t="inlineStr">
        <is>
          <t>Paid Social</t>
        </is>
      </c>
      <c r="G1786" t="inlineStr">
        <is>
          <t>Mobile App</t>
        </is>
      </c>
      <c r="H1786" t="inlineStr">
        <is>
          <t>Debit Card</t>
        </is>
      </c>
      <c r="I1786" t="inlineStr">
        <is>
          <t>Delivered</t>
        </is>
      </c>
      <c r="J1786" t="n">
        <v>129</v>
      </c>
      <c r="K1786" t="n">
        <v>2</v>
      </c>
      <c r="L1786" s="7" t="n">
        <v>576</v>
      </c>
      <c r="M1786" s="7" t="n">
        <v>115.2</v>
      </c>
    </row>
    <row r="1787">
      <c r="A1787" t="n">
        <v>510231</v>
      </c>
      <c r="B1787" s="6" t="n">
        <v>45951</v>
      </c>
      <c r="C1787" t="n">
        <v>16505</v>
      </c>
      <c r="D1787" t="inlineStr">
        <is>
          <t>Mumbai</t>
        </is>
      </c>
      <c r="E1787" t="inlineStr">
        <is>
          <t>West</t>
        </is>
      </c>
      <c r="F1787" t="inlineStr">
        <is>
          <t>Paid Search</t>
        </is>
      </c>
      <c r="G1787" t="inlineStr">
        <is>
          <t>Mobile App</t>
        </is>
      </c>
      <c r="H1787" t="inlineStr">
        <is>
          <t>UPI</t>
        </is>
      </c>
      <c r="I1787" t="inlineStr">
        <is>
          <t>Delivered</t>
        </is>
      </c>
      <c r="J1787" t="n">
        <v>107</v>
      </c>
      <c r="K1787" t="n">
        <v>1</v>
      </c>
      <c r="L1787" s="7" t="n">
        <v>1259</v>
      </c>
      <c r="M1787" s="7" t="n">
        <v>0</v>
      </c>
    </row>
    <row r="1788">
      <c r="A1788" t="n">
        <v>510231</v>
      </c>
      <c r="B1788" s="6" t="n">
        <v>45951</v>
      </c>
      <c r="C1788" t="n">
        <v>16505</v>
      </c>
      <c r="D1788" t="inlineStr">
        <is>
          <t>Mumbai</t>
        </is>
      </c>
      <c r="E1788" t="inlineStr">
        <is>
          <t>West</t>
        </is>
      </c>
      <c r="F1788" t="inlineStr">
        <is>
          <t>Paid Search</t>
        </is>
      </c>
      <c r="G1788" t="inlineStr">
        <is>
          <t>Mobile App</t>
        </is>
      </c>
      <c r="H1788" t="inlineStr">
        <is>
          <t>UPI</t>
        </is>
      </c>
      <c r="I1788" t="inlineStr">
        <is>
          <t>Delivered</t>
        </is>
      </c>
      <c r="J1788" t="n">
        <v>104</v>
      </c>
      <c r="K1788" t="n">
        <v>1</v>
      </c>
      <c r="L1788" s="7" t="n">
        <v>5249</v>
      </c>
      <c r="M1788" s="7" t="n">
        <v>0</v>
      </c>
    </row>
    <row r="1789">
      <c r="A1789" t="n">
        <v>510232</v>
      </c>
      <c r="B1789" s="6" t="n">
        <v>45952</v>
      </c>
      <c r="C1789" t="n">
        <v>12600</v>
      </c>
      <c r="D1789" t="inlineStr">
        <is>
          <t>Noida</t>
        </is>
      </c>
      <c r="E1789" t="inlineStr">
        <is>
          <t>North</t>
        </is>
      </c>
      <c r="F1789" t="inlineStr">
        <is>
          <t>Affiliate</t>
        </is>
      </c>
      <c r="G1789" t="inlineStr">
        <is>
          <t>Mobile Web</t>
        </is>
      </c>
      <c r="H1789" t="inlineStr">
        <is>
          <t>UPI</t>
        </is>
      </c>
      <c r="I1789" t="inlineStr">
        <is>
          <t>Delivered</t>
        </is>
      </c>
      <c r="J1789" t="n">
        <v>113</v>
      </c>
      <c r="K1789" t="n">
        <v>2</v>
      </c>
      <c r="L1789" s="7" t="n">
        <v>1364</v>
      </c>
      <c r="M1789" s="7" t="n">
        <v>0</v>
      </c>
    </row>
    <row r="1790">
      <c r="A1790" t="n">
        <v>510232</v>
      </c>
      <c r="B1790" s="6" t="n">
        <v>45952</v>
      </c>
      <c r="C1790" t="n">
        <v>12600</v>
      </c>
      <c r="D1790" t="inlineStr">
        <is>
          <t>Noida</t>
        </is>
      </c>
      <c r="E1790" t="inlineStr">
        <is>
          <t>North</t>
        </is>
      </c>
      <c r="F1790" t="inlineStr">
        <is>
          <t>Affiliate</t>
        </is>
      </c>
      <c r="G1790" t="inlineStr">
        <is>
          <t>Mobile Web</t>
        </is>
      </c>
      <c r="H1790" t="inlineStr">
        <is>
          <t>UPI</t>
        </is>
      </c>
      <c r="I1790" t="inlineStr">
        <is>
          <t>Delivered</t>
        </is>
      </c>
      <c r="J1790" t="n">
        <v>129</v>
      </c>
      <c r="K1790" t="n">
        <v>1</v>
      </c>
      <c r="L1790" s="7" t="n">
        <v>576</v>
      </c>
      <c r="M1790" s="7" t="n">
        <v>0</v>
      </c>
    </row>
    <row r="1791">
      <c r="A1791" t="n">
        <v>510233</v>
      </c>
      <c r="B1791" s="6" t="n">
        <v>45952</v>
      </c>
      <c r="C1791" t="n">
        <v>13928</v>
      </c>
      <c r="D1791" t="inlineStr">
        <is>
          <t>Pune</t>
        </is>
      </c>
      <c r="E1791" t="inlineStr">
        <is>
          <t>West</t>
        </is>
      </c>
      <c r="F1791" t="inlineStr">
        <is>
          <t>Paid Social</t>
        </is>
      </c>
      <c r="G1791" t="inlineStr">
        <is>
          <t>Mobile App</t>
        </is>
      </c>
      <c r="H1791" t="inlineStr">
        <is>
          <t>Debit Card</t>
        </is>
      </c>
      <c r="I1791" t="inlineStr">
        <is>
          <t>Returned</t>
        </is>
      </c>
      <c r="J1791" t="n">
        <v>122</v>
      </c>
      <c r="K1791" t="n">
        <v>1</v>
      </c>
      <c r="L1791" s="7" t="n">
        <v>1994</v>
      </c>
      <c r="M1791" s="7" t="n">
        <v>199.4</v>
      </c>
    </row>
    <row r="1792">
      <c r="A1792" t="n">
        <v>510233</v>
      </c>
      <c r="B1792" s="6" t="n">
        <v>45952</v>
      </c>
      <c r="C1792" t="n">
        <v>13928</v>
      </c>
      <c r="D1792" t="inlineStr">
        <is>
          <t>Pune</t>
        </is>
      </c>
      <c r="E1792" t="inlineStr">
        <is>
          <t>West</t>
        </is>
      </c>
      <c r="F1792" t="inlineStr">
        <is>
          <t>Paid Social</t>
        </is>
      </c>
      <c r="G1792" t="inlineStr">
        <is>
          <t>Mobile App</t>
        </is>
      </c>
      <c r="H1792" t="inlineStr">
        <is>
          <t>Debit Card</t>
        </is>
      </c>
      <c r="I1792" t="inlineStr">
        <is>
          <t>Returned</t>
        </is>
      </c>
      <c r="J1792" t="n">
        <v>116</v>
      </c>
      <c r="K1792" t="n">
        <v>1</v>
      </c>
      <c r="L1792" s="7" t="n">
        <v>2624</v>
      </c>
      <c r="M1792" s="7" t="n">
        <v>262.4</v>
      </c>
    </row>
    <row r="1793">
      <c r="A1793" t="n">
        <v>510234</v>
      </c>
      <c r="B1793" s="6" t="n">
        <v>45952</v>
      </c>
      <c r="C1793" t="n">
        <v>12499</v>
      </c>
      <c r="D1793" t="inlineStr">
        <is>
          <t>Kochi</t>
        </is>
      </c>
      <c r="E1793" t="inlineStr">
        <is>
          <t>South</t>
        </is>
      </c>
      <c r="F1793" t="inlineStr">
        <is>
          <t>Organic Search</t>
        </is>
      </c>
      <c r="G1793" t="inlineStr">
        <is>
          <t>Desktop</t>
        </is>
      </c>
      <c r="H1793" t="inlineStr">
        <is>
          <t>Debit Card</t>
        </is>
      </c>
      <c r="I1793" t="inlineStr">
        <is>
          <t>Cancelled</t>
        </is>
      </c>
      <c r="J1793" t="n">
        <v>115</v>
      </c>
      <c r="K1793" t="n">
        <v>1</v>
      </c>
      <c r="L1793" s="7" t="n">
        <v>4199</v>
      </c>
      <c r="M1793" s="7" t="n">
        <v>0</v>
      </c>
    </row>
    <row r="1794">
      <c r="A1794" t="n">
        <v>510234</v>
      </c>
      <c r="B1794" s="6" t="n">
        <v>45952</v>
      </c>
      <c r="C1794" t="n">
        <v>12499</v>
      </c>
      <c r="D1794" t="inlineStr">
        <is>
          <t>Kochi</t>
        </is>
      </c>
      <c r="E1794" t="inlineStr">
        <is>
          <t>South</t>
        </is>
      </c>
      <c r="F1794" t="inlineStr">
        <is>
          <t>Organic Search</t>
        </is>
      </c>
      <c r="G1794" t="inlineStr">
        <is>
          <t>Desktop</t>
        </is>
      </c>
      <c r="H1794" t="inlineStr">
        <is>
          <t>Debit Card</t>
        </is>
      </c>
      <c r="I1794" t="inlineStr">
        <is>
          <t>Cancelled</t>
        </is>
      </c>
      <c r="J1794" t="n">
        <v>108</v>
      </c>
      <c r="K1794" t="n">
        <v>1</v>
      </c>
      <c r="L1794" s="7" t="n">
        <v>419</v>
      </c>
      <c r="M1794" s="7" t="n">
        <v>0</v>
      </c>
    </row>
    <row r="1795">
      <c r="A1795" t="n">
        <v>510235</v>
      </c>
      <c r="B1795" s="6" t="n">
        <v>45952</v>
      </c>
      <c r="C1795" t="n">
        <v>15919</v>
      </c>
      <c r="D1795" t="inlineStr">
        <is>
          <t>Ahmedabad</t>
        </is>
      </c>
      <c r="E1795" t="inlineStr">
        <is>
          <t>West</t>
        </is>
      </c>
      <c r="F1795" t="inlineStr">
        <is>
          <t>Organic Search</t>
        </is>
      </c>
      <c r="G1795" t="inlineStr">
        <is>
          <t>Desktop</t>
        </is>
      </c>
      <c r="H1795" t="inlineStr">
        <is>
          <t>UPI</t>
        </is>
      </c>
      <c r="I1795" t="inlineStr">
        <is>
          <t>Delivered</t>
        </is>
      </c>
      <c r="J1795" t="n">
        <v>126</v>
      </c>
      <c r="K1795" t="n">
        <v>2</v>
      </c>
      <c r="L1795" s="7" t="n">
        <v>471</v>
      </c>
      <c r="M1795" s="7" t="n">
        <v>94.2</v>
      </c>
    </row>
    <row r="1796">
      <c r="A1796" t="n">
        <v>510235</v>
      </c>
      <c r="B1796" s="6" t="n">
        <v>45952</v>
      </c>
      <c r="C1796" t="n">
        <v>15919</v>
      </c>
      <c r="D1796" t="inlineStr">
        <is>
          <t>Ahmedabad</t>
        </is>
      </c>
      <c r="E1796" t="inlineStr">
        <is>
          <t>West</t>
        </is>
      </c>
      <c r="F1796" t="inlineStr">
        <is>
          <t>Organic Search</t>
        </is>
      </c>
      <c r="G1796" t="inlineStr">
        <is>
          <t>Desktop</t>
        </is>
      </c>
      <c r="H1796" t="inlineStr">
        <is>
          <t>UPI</t>
        </is>
      </c>
      <c r="I1796" t="inlineStr">
        <is>
          <t>Delivered</t>
        </is>
      </c>
      <c r="J1796" t="n">
        <v>129</v>
      </c>
      <c r="K1796" t="n">
        <v>1</v>
      </c>
      <c r="L1796" s="7" t="n">
        <v>576</v>
      </c>
      <c r="M1796" s="7" t="n">
        <v>57.6</v>
      </c>
    </row>
    <row r="1797">
      <c r="A1797" t="n">
        <v>510236</v>
      </c>
      <c r="B1797" s="6" t="n">
        <v>45952</v>
      </c>
      <c r="C1797" t="n">
        <v>16617</v>
      </c>
      <c r="D1797" t="inlineStr">
        <is>
          <t>Lucknow</t>
        </is>
      </c>
      <c r="E1797" t="inlineStr">
        <is>
          <t>North</t>
        </is>
      </c>
      <c r="F1797" t="inlineStr">
        <is>
          <t>Paid Search</t>
        </is>
      </c>
      <c r="G1797" t="inlineStr">
        <is>
          <t>Mobile App</t>
        </is>
      </c>
      <c r="H1797" t="inlineStr">
        <is>
          <t>UPI</t>
        </is>
      </c>
      <c r="I1797" t="inlineStr">
        <is>
          <t>Delivered</t>
        </is>
      </c>
      <c r="J1797" t="n">
        <v>120</v>
      </c>
      <c r="K1797" t="n">
        <v>1</v>
      </c>
      <c r="L1797" s="7" t="n">
        <v>734</v>
      </c>
      <c r="M1797" s="7" t="n">
        <v>73.40000000000001</v>
      </c>
    </row>
    <row r="1798">
      <c r="A1798" t="n">
        <v>510236</v>
      </c>
      <c r="B1798" s="6" t="n">
        <v>45952</v>
      </c>
      <c r="C1798" t="n">
        <v>16617</v>
      </c>
      <c r="D1798" t="inlineStr">
        <is>
          <t>Lucknow</t>
        </is>
      </c>
      <c r="E1798" t="inlineStr">
        <is>
          <t>North</t>
        </is>
      </c>
      <c r="F1798" t="inlineStr">
        <is>
          <t>Paid Search</t>
        </is>
      </c>
      <c r="G1798" t="inlineStr">
        <is>
          <t>Mobile App</t>
        </is>
      </c>
      <c r="H1798" t="inlineStr">
        <is>
          <t>UPI</t>
        </is>
      </c>
      <c r="I1798" t="inlineStr">
        <is>
          <t>Delivered</t>
        </is>
      </c>
      <c r="J1798" t="n">
        <v>103</v>
      </c>
      <c r="K1798" t="n">
        <v>1</v>
      </c>
      <c r="L1798" s="7" t="n">
        <v>2624</v>
      </c>
      <c r="M1798" s="7" t="n">
        <v>262.4</v>
      </c>
    </row>
    <row r="1799">
      <c r="A1799" t="n">
        <v>510237</v>
      </c>
      <c r="B1799" s="6" t="n">
        <v>45952</v>
      </c>
      <c r="C1799" t="n">
        <v>11480</v>
      </c>
      <c r="D1799" t="inlineStr">
        <is>
          <t>Delhi</t>
        </is>
      </c>
      <c r="E1799" t="inlineStr">
        <is>
          <t>North</t>
        </is>
      </c>
      <c r="F1799" t="inlineStr">
        <is>
          <t>Organic Search</t>
        </is>
      </c>
      <c r="G1799" t="inlineStr">
        <is>
          <t>Mobile Web</t>
        </is>
      </c>
      <c r="H1799" t="inlineStr">
        <is>
          <t>UPI</t>
        </is>
      </c>
      <c r="I1799" t="inlineStr">
        <is>
          <t>Delivered</t>
        </is>
      </c>
      <c r="J1799" t="n">
        <v>121</v>
      </c>
      <c r="K1799" t="n">
        <v>1</v>
      </c>
      <c r="L1799" s="7" t="n">
        <v>2939</v>
      </c>
      <c r="M1799" s="7" t="n">
        <v>293.9</v>
      </c>
    </row>
    <row r="1800">
      <c r="A1800" t="n">
        <v>510238</v>
      </c>
      <c r="B1800" s="6" t="n">
        <v>45952</v>
      </c>
      <c r="C1800" t="n">
        <v>13353</v>
      </c>
      <c r="D1800" t="inlineStr">
        <is>
          <t>Hyderabad</t>
        </is>
      </c>
      <c r="E1800" t="inlineStr">
        <is>
          <t>South</t>
        </is>
      </c>
      <c r="F1800" t="inlineStr">
        <is>
          <t>Organic Search</t>
        </is>
      </c>
      <c r="G1800" t="inlineStr">
        <is>
          <t>Mobile App</t>
        </is>
      </c>
      <c r="H1800" t="inlineStr">
        <is>
          <t>Cash on Delivery</t>
        </is>
      </c>
      <c r="I1800" t="inlineStr">
        <is>
          <t>Delivered</t>
        </is>
      </c>
      <c r="J1800" t="n">
        <v>111</v>
      </c>
      <c r="K1800" t="n">
        <v>1</v>
      </c>
      <c r="L1800" s="7" t="n">
        <v>524</v>
      </c>
      <c r="M1800" s="7" t="n">
        <v>52.4</v>
      </c>
    </row>
    <row r="1801">
      <c r="A1801" t="n">
        <v>510238</v>
      </c>
      <c r="B1801" s="6" t="n">
        <v>45952</v>
      </c>
      <c r="C1801" t="n">
        <v>13353</v>
      </c>
      <c r="D1801" t="inlineStr">
        <is>
          <t>Hyderabad</t>
        </is>
      </c>
      <c r="E1801" t="inlineStr">
        <is>
          <t>South</t>
        </is>
      </c>
      <c r="F1801" t="inlineStr">
        <is>
          <t>Organic Search</t>
        </is>
      </c>
      <c r="G1801" t="inlineStr">
        <is>
          <t>Mobile App</t>
        </is>
      </c>
      <c r="H1801" t="inlineStr">
        <is>
          <t>Cash on Delivery</t>
        </is>
      </c>
      <c r="I1801" t="inlineStr">
        <is>
          <t>Delivered</t>
        </is>
      </c>
      <c r="J1801" t="n">
        <v>138</v>
      </c>
      <c r="K1801" t="n">
        <v>2</v>
      </c>
      <c r="L1801" s="7" t="n">
        <v>419</v>
      </c>
      <c r="M1801" s="7" t="n">
        <v>83.8</v>
      </c>
    </row>
    <row r="1802">
      <c r="A1802" t="n">
        <v>510238</v>
      </c>
      <c r="B1802" s="6" t="n">
        <v>45952</v>
      </c>
      <c r="C1802" t="n">
        <v>13353</v>
      </c>
      <c r="D1802" t="inlineStr">
        <is>
          <t>Hyderabad</t>
        </is>
      </c>
      <c r="E1802" t="inlineStr">
        <is>
          <t>South</t>
        </is>
      </c>
      <c r="F1802" t="inlineStr">
        <is>
          <t>Organic Search</t>
        </is>
      </c>
      <c r="G1802" t="inlineStr">
        <is>
          <t>Mobile App</t>
        </is>
      </c>
      <c r="H1802" t="inlineStr">
        <is>
          <t>Cash on Delivery</t>
        </is>
      </c>
      <c r="I1802" t="inlineStr">
        <is>
          <t>Delivered</t>
        </is>
      </c>
      <c r="J1802" t="n">
        <v>129</v>
      </c>
      <c r="K1802" t="n">
        <v>1</v>
      </c>
      <c r="L1802" s="7" t="n">
        <v>576</v>
      </c>
      <c r="M1802" s="7" t="n">
        <v>57.6</v>
      </c>
    </row>
    <row r="1803">
      <c r="A1803" t="n">
        <v>510239</v>
      </c>
      <c r="B1803" s="6" t="n">
        <v>45952</v>
      </c>
      <c r="C1803" t="n">
        <v>11197</v>
      </c>
      <c r="D1803" t="inlineStr">
        <is>
          <t>Chennai</t>
        </is>
      </c>
      <c r="E1803" t="inlineStr">
        <is>
          <t>South</t>
        </is>
      </c>
      <c r="F1803" t="inlineStr">
        <is>
          <t>Email</t>
        </is>
      </c>
      <c r="G1803" t="inlineStr">
        <is>
          <t>Mobile Web</t>
        </is>
      </c>
      <c r="H1803" t="inlineStr">
        <is>
          <t>UPI</t>
        </is>
      </c>
      <c r="I1803" t="inlineStr">
        <is>
          <t>Delivered</t>
        </is>
      </c>
      <c r="J1803" t="n">
        <v>136</v>
      </c>
      <c r="K1803" t="n">
        <v>1</v>
      </c>
      <c r="L1803" s="7" t="n">
        <v>944</v>
      </c>
      <c r="M1803" s="7" t="n">
        <v>94.40000000000001</v>
      </c>
    </row>
    <row r="1804">
      <c r="A1804" t="n">
        <v>510239</v>
      </c>
      <c r="B1804" s="6" t="n">
        <v>45952</v>
      </c>
      <c r="C1804" t="n">
        <v>11197</v>
      </c>
      <c r="D1804" t="inlineStr">
        <is>
          <t>Chennai</t>
        </is>
      </c>
      <c r="E1804" t="inlineStr">
        <is>
          <t>South</t>
        </is>
      </c>
      <c r="F1804" t="inlineStr">
        <is>
          <t>Email</t>
        </is>
      </c>
      <c r="G1804" t="inlineStr">
        <is>
          <t>Mobile Web</t>
        </is>
      </c>
      <c r="H1804" t="inlineStr">
        <is>
          <t>UPI</t>
        </is>
      </c>
      <c r="I1804" t="inlineStr">
        <is>
          <t>Delivered</t>
        </is>
      </c>
      <c r="J1804" t="n">
        <v>128</v>
      </c>
      <c r="K1804" t="n">
        <v>1</v>
      </c>
      <c r="L1804" s="7" t="n">
        <v>1049</v>
      </c>
      <c r="M1804" s="7" t="n">
        <v>104.9</v>
      </c>
    </row>
    <row r="1805">
      <c r="A1805" t="n">
        <v>510240</v>
      </c>
      <c r="B1805" s="6" t="n">
        <v>45952</v>
      </c>
      <c r="C1805" t="n">
        <v>12478</v>
      </c>
      <c r="D1805" t="inlineStr">
        <is>
          <t>Mumbai</t>
        </is>
      </c>
      <c r="E1805" t="inlineStr">
        <is>
          <t>West</t>
        </is>
      </c>
      <c r="F1805" t="inlineStr">
        <is>
          <t>Organic Search</t>
        </is>
      </c>
      <c r="G1805" t="inlineStr">
        <is>
          <t>Desktop</t>
        </is>
      </c>
      <c r="H1805" t="inlineStr">
        <is>
          <t>Cash on Delivery</t>
        </is>
      </c>
      <c r="I1805" t="inlineStr">
        <is>
          <t>Delivered</t>
        </is>
      </c>
      <c r="J1805" t="n">
        <v>119</v>
      </c>
      <c r="K1805" t="n">
        <v>1</v>
      </c>
      <c r="L1805" s="7" t="n">
        <v>2309</v>
      </c>
      <c r="M1805" s="7" t="n">
        <v>0</v>
      </c>
    </row>
    <row r="1806">
      <c r="A1806" t="n">
        <v>510240</v>
      </c>
      <c r="B1806" s="6" t="n">
        <v>45952</v>
      </c>
      <c r="C1806" t="n">
        <v>12478</v>
      </c>
      <c r="D1806" t="inlineStr">
        <is>
          <t>Mumbai</t>
        </is>
      </c>
      <c r="E1806" t="inlineStr">
        <is>
          <t>West</t>
        </is>
      </c>
      <c r="F1806" t="inlineStr">
        <is>
          <t>Organic Search</t>
        </is>
      </c>
      <c r="G1806" t="inlineStr">
        <is>
          <t>Desktop</t>
        </is>
      </c>
      <c r="H1806" t="inlineStr">
        <is>
          <t>Cash on Delivery</t>
        </is>
      </c>
      <c r="I1806" t="inlineStr">
        <is>
          <t>Delivered</t>
        </is>
      </c>
      <c r="J1806" t="n">
        <v>113</v>
      </c>
      <c r="K1806" t="n">
        <v>1</v>
      </c>
      <c r="L1806" s="7" t="n">
        <v>1364</v>
      </c>
      <c r="M1806" s="7" t="n">
        <v>0</v>
      </c>
    </row>
    <row r="1807">
      <c r="A1807" t="n">
        <v>510240</v>
      </c>
      <c r="B1807" s="6" t="n">
        <v>45952</v>
      </c>
      <c r="C1807" t="n">
        <v>12478</v>
      </c>
      <c r="D1807" t="inlineStr">
        <is>
          <t>Mumbai</t>
        </is>
      </c>
      <c r="E1807" t="inlineStr">
        <is>
          <t>West</t>
        </is>
      </c>
      <c r="F1807" t="inlineStr">
        <is>
          <t>Organic Search</t>
        </is>
      </c>
      <c r="G1807" t="inlineStr">
        <is>
          <t>Desktop</t>
        </is>
      </c>
      <c r="H1807" t="inlineStr">
        <is>
          <t>Cash on Delivery</t>
        </is>
      </c>
      <c r="I1807" t="inlineStr">
        <is>
          <t>Delivered</t>
        </is>
      </c>
      <c r="J1807" t="n">
        <v>110</v>
      </c>
      <c r="K1807" t="n">
        <v>1</v>
      </c>
      <c r="L1807" s="7" t="n">
        <v>839</v>
      </c>
      <c r="M1807" s="7" t="n">
        <v>0</v>
      </c>
    </row>
    <row r="1808">
      <c r="A1808" t="n">
        <v>510240</v>
      </c>
      <c r="B1808" s="6" t="n">
        <v>45952</v>
      </c>
      <c r="C1808" t="n">
        <v>12478</v>
      </c>
      <c r="D1808" t="inlineStr">
        <is>
          <t>Mumbai</t>
        </is>
      </c>
      <c r="E1808" t="inlineStr">
        <is>
          <t>West</t>
        </is>
      </c>
      <c r="F1808" t="inlineStr">
        <is>
          <t>Organic Search</t>
        </is>
      </c>
      <c r="G1808" t="inlineStr">
        <is>
          <t>Desktop</t>
        </is>
      </c>
      <c r="H1808" t="inlineStr">
        <is>
          <t>Cash on Delivery</t>
        </is>
      </c>
      <c r="I1808" t="inlineStr">
        <is>
          <t>Delivered</t>
        </is>
      </c>
      <c r="J1808" t="n">
        <v>129</v>
      </c>
      <c r="K1808" t="n">
        <v>1</v>
      </c>
      <c r="L1808" s="7" t="n">
        <v>576</v>
      </c>
      <c r="M1808" s="7" t="n">
        <v>0</v>
      </c>
    </row>
    <row r="1809">
      <c r="A1809" t="n">
        <v>510241</v>
      </c>
      <c r="B1809" s="6" t="n">
        <v>45952</v>
      </c>
      <c r="C1809" t="n">
        <v>15807</v>
      </c>
      <c r="D1809" t="inlineStr">
        <is>
          <t>Delhi</t>
        </is>
      </c>
      <c r="E1809" t="inlineStr">
        <is>
          <t>North</t>
        </is>
      </c>
      <c r="F1809" t="inlineStr">
        <is>
          <t>Organic Search</t>
        </is>
      </c>
      <c r="G1809" t="inlineStr">
        <is>
          <t>Mobile Web</t>
        </is>
      </c>
      <c r="H1809" t="inlineStr">
        <is>
          <t>Net Banking</t>
        </is>
      </c>
      <c r="I1809" t="inlineStr">
        <is>
          <t>Delivered</t>
        </is>
      </c>
      <c r="J1809" t="n">
        <v>125</v>
      </c>
      <c r="K1809" t="n">
        <v>1</v>
      </c>
      <c r="L1809" s="7" t="n">
        <v>1364</v>
      </c>
      <c r="M1809" s="7" t="n">
        <v>136.4</v>
      </c>
    </row>
    <row r="1810">
      <c r="A1810" t="n">
        <v>510241</v>
      </c>
      <c r="B1810" s="6" t="n">
        <v>45952</v>
      </c>
      <c r="C1810" t="n">
        <v>15807</v>
      </c>
      <c r="D1810" t="inlineStr">
        <is>
          <t>Delhi</t>
        </is>
      </c>
      <c r="E1810" t="inlineStr">
        <is>
          <t>North</t>
        </is>
      </c>
      <c r="F1810" t="inlineStr">
        <is>
          <t>Organic Search</t>
        </is>
      </c>
      <c r="G1810" t="inlineStr">
        <is>
          <t>Mobile Web</t>
        </is>
      </c>
      <c r="H1810" t="inlineStr">
        <is>
          <t>Net Banking</t>
        </is>
      </c>
      <c r="I1810" t="inlineStr">
        <is>
          <t>Delivered</t>
        </is>
      </c>
      <c r="J1810" t="n">
        <v>101</v>
      </c>
      <c r="K1810" t="n">
        <v>2</v>
      </c>
      <c r="L1810" s="7" t="n">
        <v>2099</v>
      </c>
      <c r="M1810" s="7" t="n">
        <v>419.8</v>
      </c>
    </row>
    <row r="1811">
      <c r="A1811" t="n">
        <v>510242</v>
      </c>
      <c r="B1811" s="6" t="n">
        <v>45952</v>
      </c>
      <c r="C1811" t="n">
        <v>15620</v>
      </c>
      <c r="D1811" t="inlineStr">
        <is>
          <t>Mumbai</t>
        </is>
      </c>
      <c r="E1811" t="inlineStr">
        <is>
          <t>West</t>
        </is>
      </c>
      <c r="F1811" t="inlineStr">
        <is>
          <t>Referral</t>
        </is>
      </c>
      <c r="G1811" t="inlineStr">
        <is>
          <t>Mobile Web</t>
        </is>
      </c>
      <c r="H1811" t="inlineStr">
        <is>
          <t>Net Banking</t>
        </is>
      </c>
      <c r="I1811" t="inlineStr">
        <is>
          <t>Delivered</t>
        </is>
      </c>
      <c r="J1811" t="n">
        <v>131</v>
      </c>
      <c r="K1811" t="n">
        <v>2</v>
      </c>
      <c r="L1811" s="7" t="n">
        <v>314</v>
      </c>
      <c r="M1811" s="7" t="n">
        <v>0</v>
      </c>
    </row>
    <row r="1812">
      <c r="A1812" t="n">
        <v>510242</v>
      </c>
      <c r="B1812" s="6" t="n">
        <v>45952</v>
      </c>
      <c r="C1812" t="n">
        <v>15620</v>
      </c>
      <c r="D1812" t="inlineStr">
        <is>
          <t>Mumbai</t>
        </is>
      </c>
      <c r="E1812" t="inlineStr">
        <is>
          <t>West</t>
        </is>
      </c>
      <c r="F1812" t="inlineStr">
        <is>
          <t>Referral</t>
        </is>
      </c>
      <c r="G1812" t="inlineStr">
        <is>
          <t>Mobile Web</t>
        </is>
      </c>
      <c r="H1812" t="inlineStr">
        <is>
          <t>Net Banking</t>
        </is>
      </c>
      <c r="I1812" t="inlineStr">
        <is>
          <t>Delivered</t>
        </is>
      </c>
      <c r="J1812" t="n">
        <v>115</v>
      </c>
      <c r="K1812" t="n">
        <v>1</v>
      </c>
      <c r="L1812" s="7" t="n">
        <v>4199</v>
      </c>
      <c r="M1812" s="7" t="n">
        <v>0</v>
      </c>
    </row>
    <row r="1813">
      <c r="A1813" t="n">
        <v>510242</v>
      </c>
      <c r="B1813" s="6" t="n">
        <v>45952</v>
      </c>
      <c r="C1813" t="n">
        <v>15620</v>
      </c>
      <c r="D1813" t="inlineStr">
        <is>
          <t>Mumbai</t>
        </is>
      </c>
      <c r="E1813" t="inlineStr">
        <is>
          <t>West</t>
        </is>
      </c>
      <c r="F1813" t="inlineStr">
        <is>
          <t>Referral</t>
        </is>
      </c>
      <c r="G1813" t="inlineStr">
        <is>
          <t>Mobile Web</t>
        </is>
      </c>
      <c r="H1813" t="inlineStr">
        <is>
          <t>Net Banking</t>
        </is>
      </c>
      <c r="I1813" t="inlineStr">
        <is>
          <t>Delivered</t>
        </is>
      </c>
      <c r="J1813" t="n">
        <v>127</v>
      </c>
      <c r="K1813" t="n">
        <v>3</v>
      </c>
      <c r="L1813" s="7" t="n">
        <v>681</v>
      </c>
      <c r="M1813" s="7" t="n">
        <v>0</v>
      </c>
    </row>
    <row r="1814">
      <c r="A1814" t="n">
        <v>510242</v>
      </c>
      <c r="B1814" s="6" t="n">
        <v>45952</v>
      </c>
      <c r="C1814" t="n">
        <v>15620</v>
      </c>
      <c r="D1814" t="inlineStr">
        <is>
          <t>Mumbai</t>
        </is>
      </c>
      <c r="E1814" t="inlineStr">
        <is>
          <t>West</t>
        </is>
      </c>
      <c r="F1814" t="inlineStr">
        <is>
          <t>Referral</t>
        </is>
      </c>
      <c r="G1814" t="inlineStr">
        <is>
          <t>Mobile Web</t>
        </is>
      </c>
      <c r="H1814" t="inlineStr">
        <is>
          <t>Net Banking</t>
        </is>
      </c>
      <c r="I1814" t="inlineStr">
        <is>
          <t>Delivered</t>
        </is>
      </c>
      <c r="J1814" t="n">
        <v>107</v>
      </c>
      <c r="K1814" t="n">
        <v>1</v>
      </c>
      <c r="L1814" s="7" t="n">
        <v>1259</v>
      </c>
      <c r="M1814" s="7" t="n">
        <v>0</v>
      </c>
    </row>
    <row r="1815">
      <c r="A1815" t="n">
        <v>510243</v>
      </c>
      <c r="B1815" s="6" t="n">
        <v>45952</v>
      </c>
      <c r="C1815" t="n">
        <v>16898</v>
      </c>
      <c r="D1815" t="inlineStr">
        <is>
          <t>Noida</t>
        </is>
      </c>
      <c r="E1815" t="inlineStr">
        <is>
          <t>North</t>
        </is>
      </c>
      <c r="F1815" t="inlineStr">
        <is>
          <t>Organic Search</t>
        </is>
      </c>
      <c r="G1815" t="inlineStr">
        <is>
          <t>Mobile App</t>
        </is>
      </c>
      <c r="H1815" t="inlineStr">
        <is>
          <t>UPI</t>
        </is>
      </c>
      <c r="I1815" t="inlineStr">
        <is>
          <t>Delivered</t>
        </is>
      </c>
      <c r="J1815" t="n">
        <v>128</v>
      </c>
      <c r="K1815" t="n">
        <v>1</v>
      </c>
      <c r="L1815" s="7" t="n">
        <v>1049</v>
      </c>
      <c r="M1815" s="7" t="n">
        <v>0</v>
      </c>
    </row>
    <row r="1816">
      <c r="A1816" t="n">
        <v>510243</v>
      </c>
      <c r="B1816" s="6" t="n">
        <v>45952</v>
      </c>
      <c r="C1816" t="n">
        <v>16898</v>
      </c>
      <c r="D1816" t="inlineStr">
        <is>
          <t>Noida</t>
        </is>
      </c>
      <c r="E1816" t="inlineStr">
        <is>
          <t>North</t>
        </is>
      </c>
      <c r="F1816" t="inlineStr">
        <is>
          <t>Organic Search</t>
        </is>
      </c>
      <c r="G1816" t="inlineStr">
        <is>
          <t>Mobile App</t>
        </is>
      </c>
      <c r="H1816" t="inlineStr">
        <is>
          <t>UPI</t>
        </is>
      </c>
      <c r="I1816" t="inlineStr">
        <is>
          <t>Delivered</t>
        </is>
      </c>
      <c r="J1816" t="n">
        <v>129</v>
      </c>
      <c r="K1816" t="n">
        <v>1</v>
      </c>
      <c r="L1816" s="7" t="n">
        <v>576</v>
      </c>
      <c r="M1816" s="7" t="n">
        <v>0</v>
      </c>
    </row>
    <row r="1817">
      <c r="A1817" t="n">
        <v>510244</v>
      </c>
      <c r="B1817" s="6" t="n">
        <v>45952</v>
      </c>
      <c r="C1817" t="n">
        <v>15186</v>
      </c>
      <c r="D1817" t="inlineStr">
        <is>
          <t>Delhi</t>
        </is>
      </c>
      <c r="E1817" t="inlineStr">
        <is>
          <t>North</t>
        </is>
      </c>
      <c r="F1817" t="inlineStr">
        <is>
          <t>Referral</t>
        </is>
      </c>
      <c r="G1817" t="inlineStr">
        <is>
          <t>Desktop</t>
        </is>
      </c>
      <c r="H1817" t="inlineStr">
        <is>
          <t>Net Banking</t>
        </is>
      </c>
      <c r="I1817" t="inlineStr">
        <is>
          <t>Delivered</t>
        </is>
      </c>
      <c r="J1817" t="n">
        <v>116</v>
      </c>
      <c r="K1817" t="n">
        <v>1</v>
      </c>
      <c r="L1817" s="7" t="n">
        <v>2624</v>
      </c>
      <c r="M1817" s="7" t="n">
        <v>262.4</v>
      </c>
    </row>
    <row r="1818">
      <c r="A1818" t="n">
        <v>510245</v>
      </c>
      <c r="B1818" s="6" t="n">
        <v>45952</v>
      </c>
      <c r="C1818" t="n">
        <v>16927</v>
      </c>
      <c r="D1818" t="inlineStr">
        <is>
          <t>Jaipur</t>
        </is>
      </c>
      <c r="E1818" t="inlineStr">
        <is>
          <t>North</t>
        </is>
      </c>
      <c r="F1818" t="inlineStr">
        <is>
          <t>Referral</t>
        </is>
      </c>
      <c r="G1818" t="inlineStr">
        <is>
          <t>Mobile Web</t>
        </is>
      </c>
      <c r="H1818" t="inlineStr">
        <is>
          <t>Cash on Delivery</t>
        </is>
      </c>
      <c r="I1818" t="inlineStr">
        <is>
          <t>Delivered</t>
        </is>
      </c>
      <c r="J1818" t="n">
        <v>106</v>
      </c>
      <c r="K1818" t="n">
        <v>1</v>
      </c>
      <c r="L1818" s="7" t="n">
        <v>1574</v>
      </c>
      <c r="M1818" s="7" t="n">
        <v>157.4</v>
      </c>
    </row>
    <row r="1819">
      <c r="A1819" t="n">
        <v>510245</v>
      </c>
      <c r="B1819" s="6" t="n">
        <v>45952</v>
      </c>
      <c r="C1819" t="n">
        <v>16927</v>
      </c>
      <c r="D1819" t="inlineStr">
        <is>
          <t>Jaipur</t>
        </is>
      </c>
      <c r="E1819" t="inlineStr">
        <is>
          <t>North</t>
        </is>
      </c>
      <c r="F1819" t="inlineStr">
        <is>
          <t>Referral</t>
        </is>
      </c>
      <c r="G1819" t="inlineStr">
        <is>
          <t>Mobile Web</t>
        </is>
      </c>
      <c r="H1819" t="inlineStr">
        <is>
          <t>Cash on Delivery</t>
        </is>
      </c>
      <c r="I1819" t="inlineStr">
        <is>
          <t>Delivered</t>
        </is>
      </c>
      <c r="J1819" t="n">
        <v>143</v>
      </c>
      <c r="K1819" t="n">
        <v>1</v>
      </c>
      <c r="L1819" s="7" t="n">
        <v>839</v>
      </c>
      <c r="M1819" s="7" t="n">
        <v>83.90000000000001</v>
      </c>
    </row>
    <row r="1820">
      <c r="A1820" t="n">
        <v>510245</v>
      </c>
      <c r="B1820" s="6" t="n">
        <v>45952</v>
      </c>
      <c r="C1820" t="n">
        <v>16927</v>
      </c>
      <c r="D1820" t="inlineStr">
        <is>
          <t>Jaipur</t>
        </is>
      </c>
      <c r="E1820" t="inlineStr">
        <is>
          <t>North</t>
        </is>
      </c>
      <c r="F1820" t="inlineStr">
        <is>
          <t>Referral</t>
        </is>
      </c>
      <c r="G1820" t="inlineStr">
        <is>
          <t>Mobile Web</t>
        </is>
      </c>
      <c r="H1820" t="inlineStr">
        <is>
          <t>Cash on Delivery</t>
        </is>
      </c>
      <c r="I1820" t="inlineStr">
        <is>
          <t>Delivered</t>
        </is>
      </c>
      <c r="J1820" t="n">
        <v>114</v>
      </c>
      <c r="K1820" t="n">
        <v>1</v>
      </c>
      <c r="L1820" s="7" t="n">
        <v>1259</v>
      </c>
      <c r="M1820" s="7" t="n">
        <v>125.9</v>
      </c>
    </row>
    <row r="1821">
      <c r="A1821" t="n">
        <v>510246</v>
      </c>
      <c r="B1821" s="6" t="n">
        <v>45952</v>
      </c>
      <c r="C1821" t="n">
        <v>16770</v>
      </c>
      <c r="D1821" t="inlineStr">
        <is>
          <t>Hyderabad</t>
        </is>
      </c>
      <c r="E1821" t="inlineStr">
        <is>
          <t>South</t>
        </is>
      </c>
      <c r="F1821" t="inlineStr">
        <is>
          <t>Referral</t>
        </is>
      </c>
      <c r="G1821" t="inlineStr">
        <is>
          <t>Mobile Web</t>
        </is>
      </c>
      <c r="H1821" t="inlineStr">
        <is>
          <t>UPI</t>
        </is>
      </c>
      <c r="I1821" t="inlineStr">
        <is>
          <t>Delivered</t>
        </is>
      </c>
      <c r="J1821" t="n">
        <v>112</v>
      </c>
      <c r="K1821" t="n">
        <v>1</v>
      </c>
      <c r="L1821" s="7" t="n">
        <v>1574</v>
      </c>
      <c r="M1821" s="7" t="n">
        <v>0</v>
      </c>
    </row>
    <row r="1822">
      <c r="A1822" t="n">
        <v>510246</v>
      </c>
      <c r="B1822" s="6" t="n">
        <v>45952</v>
      </c>
      <c r="C1822" t="n">
        <v>16770</v>
      </c>
      <c r="D1822" t="inlineStr">
        <is>
          <t>Hyderabad</t>
        </is>
      </c>
      <c r="E1822" t="inlineStr">
        <is>
          <t>South</t>
        </is>
      </c>
      <c r="F1822" t="inlineStr">
        <is>
          <t>Referral</t>
        </is>
      </c>
      <c r="G1822" t="inlineStr">
        <is>
          <t>Mobile Web</t>
        </is>
      </c>
      <c r="H1822" t="inlineStr">
        <is>
          <t>UPI</t>
        </is>
      </c>
      <c r="I1822" t="inlineStr">
        <is>
          <t>Delivered</t>
        </is>
      </c>
      <c r="J1822" t="n">
        <v>129</v>
      </c>
      <c r="K1822" t="n">
        <v>1</v>
      </c>
      <c r="L1822" s="7" t="n">
        <v>576</v>
      </c>
      <c r="M1822" s="7" t="n">
        <v>0</v>
      </c>
    </row>
    <row r="1823">
      <c r="A1823" t="n">
        <v>510247</v>
      </c>
      <c r="B1823" s="6" t="n">
        <v>45952</v>
      </c>
      <c r="C1823" t="n">
        <v>16850</v>
      </c>
      <c r="D1823" t="inlineStr">
        <is>
          <t>Bengaluru</t>
        </is>
      </c>
      <c r="E1823" t="inlineStr">
        <is>
          <t>South</t>
        </is>
      </c>
      <c r="F1823" t="inlineStr">
        <is>
          <t>Paid Search</t>
        </is>
      </c>
      <c r="G1823" t="inlineStr">
        <is>
          <t>Desktop</t>
        </is>
      </c>
      <c r="H1823" t="inlineStr">
        <is>
          <t>UPI</t>
        </is>
      </c>
      <c r="I1823" t="inlineStr">
        <is>
          <t>Delivered</t>
        </is>
      </c>
      <c r="J1823" t="n">
        <v>113</v>
      </c>
      <c r="K1823" t="n">
        <v>1</v>
      </c>
      <c r="L1823" s="7" t="n">
        <v>1364</v>
      </c>
      <c r="M1823" s="7" t="n">
        <v>204.6</v>
      </c>
    </row>
    <row r="1824">
      <c r="A1824" t="n">
        <v>510248</v>
      </c>
      <c r="B1824" s="6" t="n">
        <v>45952</v>
      </c>
      <c r="C1824" t="n">
        <v>16848</v>
      </c>
      <c r="D1824" t="inlineStr">
        <is>
          <t>Delhi</t>
        </is>
      </c>
      <c r="E1824" t="inlineStr">
        <is>
          <t>North</t>
        </is>
      </c>
      <c r="F1824" t="inlineStr">
        <is>
          <t>Organic Search</t>
        </is>
      </c>
      <c r="G1824" t="inlineStr">
        <is>
          <t>Mobile Web</t>
        </is>
      </c>
      <c r="H1824" t="inlineStr">
        <is>
          <t>UPI</t>
        </is>
      </c>
      <c r="I1824" t="inlineStr">
        <is>
          <t>Delivered</t>
        </is>
      </c>
      <c r="J1824" t="n">
        <v>116</v>
      </c>
      <c r="K1824" t="n">
        <v>1</v>
      </c>
      <c r="L1824" s="7" t="n">
        <v>2624</v>
      </c>
      <c r="M1824" s="7" t="n">
        <v>0</v>
      </c>
    </row>
    <row r="1825">
      <c r="A1825" t="n">
        <v>510248</v>
      </c>
      <c r="B1825" s="6" t="n">
        <v>45952</v>
      </c>
      <c r="C1825" t="n">
        <v>16848</v>
      </c>
      <c r="D1825" t="inlineStr">
        <is>
          <t>Delhi</t>
        </is>
      </c>
      <c r="E1825" t="inlineStr">
        <is>
          <t>North</t>
        </is>
      </c>
      <c r="F1825" t="inlineStr">
        <is>
          <t>Organic Search</t>
        </is>
      </c>
      <c r="G1825" t="inlineStr">
        <is>
          <t>Mobile Web</t>
        </is>
      </c>
      <c r="H1825" t="inlineStr">
        <is>
          <t>UPI</t>
        </is>
      </c>
      <c r="I1825" t="inlineStr">
        <is>
          <t>Delivered</t>
        </is>
      </c>
      <c r="J1825" t="n">
        <v>129</v>
      </c>
      <c r="K1825" t="n">
        <v>1</v>
      </c>
      <c r="L1825" s="7" t="n">
        <v>576</v>
      </c>
      <c r="M1825" s="7" t="n">
        <v>0</v>
      </c>
    </row>
    <row r="1826">
      <c r="A1826" t="n">
        <v>510249</v>
      </c>
      <c r="B1826" s="6" t="n">
        <v>45952</v>
      </c>
      <c r="C1826" t="n">
        <v>16889</v>
      </c>
      <c r="D1826" t="inlineStr">
        <is>
          <t>Chandigarh</t>
        </is>
      </c>
      <c r="E1826" t="inlineStr">
        <is>
          <t>North</t>
        </is>
      </c>
      <c r="F1826" t="inlineStr">
        <is>
          <t>Referral</t>
        </is>
      </c>
      <c r="G1826" t="inlineStr">
        <is>
          <t>Mobile App</t>
        </is>
      </c>
      <c r="H1826" t="inlineStr">
        <is>
          <t>Cash on Delivery</t>
        </is>
      </c>
      <c r="I1826" t="inlineStr">
        <is>
          <t>Delivered</t>
        </is>
      </c>
      <c r="J1826" t="n">
        <v>135</v>
      </c>
      <c r="K1826" t="n">
        <v>1</v>
      </c>
      <c r="L1826" s="7" t="n">
        <v>1574</v>
      </c>
      <c r="M1826" s="7" t="n">
        <v>157.4</v>
      </c>
    </row>
    <row r="1827">
      <c r="A1827" t="n">
        <v>510249</v>
      </c>
      <c r="B1827" s="6" t="n">
        <v>45952</v>
      </c>
      <c r="C1827" t="n">
        <v>16889</v>
      </c>
      <c r="D1827" t="inlineStr">
        <is>
          <t>Chandigarh</t>
        </is>
      </c>
      <c r="E1827" t="inlineStr">
        <is>
          <t>North</t>
        </is>
      </c>
      <c r="F1827" t="inlineStr">
        <is>
          <t>Referral</t>
        </is>
      </c>
      <c r="G1827" t="inlineStr">
        <is>
          <t>Mobile App</t>
        </is>
      </c>
      <c r="H1827" t="inlineStr">
        <is>
          <t>Cash on Delivery</t>
        </is>
      </c>
      <c r="I1827" t="inlineStr">
        <is>
          <t>Delivered</t>
        </is>
      </c>
      <c r="J1827" t="n">
        <v>124</v>
      </c>
      <c r="K1827" t="n">
        <v>1</v>
      </c>
      <c r="L1827" s="7" t="n">
        <v>1154</v>
      </c>
      <c r="M1827" s="7" t="n">
        <v>115.4</v>
      </c>
    </row>
    <row r="1828">
      <c r="A1828" t="n">
        <v>510250</v>
      </c>
      <c r="B1828" s="6" t="n">
        <v>45952</v>
      </c>
      <c r="C1828" t="n">
        <v>16179</v>
      </c>
      <c r="D1828" t="inlineStr">
        <is>
          <t>Mumbai</t>
        </is>
      </c>
      <c r="E1828" t="inlineStr">
        <is>
          <t>West</t>
        </is>
      </c>
      <c r="F1828" t="inlineStr">
        <is>
          <t>Organic Search</t>
        </is>
      </c>
      <c r="G1828" t="inlineStr">
        <is>
          <t>Mobile Web</t>
        </is>
      </c>
      <c r="H1828" t="inlineStr">
        <is>
          <t>UPI</t>
        </is>
      </c>
      <c r="I1828" t="inlineStr">
        <is>
          <t>Delivered</t>
        </is>
      </c>
      <c r="J1828" t="n">
        <v>104</v>
      </c>
      <c r="K1828" t="n">
        <v>1</v>
      </c>
      <c r="L1828" s="7" t="n">
        <v>5249</v>
      </c>
      <c r="M1828" s="7" t="n">
        <v>524.9</v>
      </c>
    </row>
    <row r="1829">
      <c r="A1829" t="n">
        <v>510250</v>
      </c>
      <c r="B1829" s="6" t="n">
        <v>45952</v>
      </c>
      <c r="C1829" t="n">
        <v>16179</v>
      </c>
      <c r="D1829" t="inlineStr">
        <is>
          <t>Mumbai</t>
        </is>
      </c>
      <c r="E1829" t="inlineStr">
        <is>
          <t>West</t>
        </is>
      </c>
      <c r="F1829" t="inlineStr">
        <is>
          <t>Organic Search</t>
        </is>
      </c>
      <c r="G1829" t="inlineStr">
        <is>
          <t>Mobile Web</t>
        </is>
      </c>
      <c r="H1829" t="inlineStr">
        <is>
          <t>UPI</t>
        </is>
      </c>
      <c r="I1829" t="inlineStr">
        <is>
          <t>Delivered</t>
        </is>
      </c>
      <c r="J1829" t="n">
        <v>130</v>
      </c>
      <c r="K1829" t="n">
        <v>1</v>
      </c>
      <c r="L1829" s="7" t="n">
        <v>734</v>
      </c>
      <c r="M1829" s="7" t="n">
        <v>73.40000000000001</v>
      </c>
    </row>
    <row r="1830">
      <c r="A1830" t="n">
        <v>510250</v>
      </c>
      <c r="B1830" s="6" t="n">
        <v>45952</v>
      </c>
      <c r="C1830" t="n">
        <v>16179</v>
      </c>
      <c r="D1830" t="inlineStr">
        <is>
          <t>Mumbai</t>
        </is>
      </c>
      <c r="E1830" t="inlineStr">
        <is>
          <t>West</t>
        </is>
      </c>
      <c r="F1830" t="inlineStr">
        <is>
          <t>Organic Search</t>
        </is>
      </c>
      <c r="G1830" t="inlineStr">
        <is>
          <t>Mobile Web</t>
        </is>
      </c>
      <c r="H1830" t="inlineStr">
        <is>
          <t>UPI</t>
        </is>
      </c>
      <c r="I1830" t="inlineStr">
        <is>
          <t>Delivered</t>
        </is>
      </c>
      <c r="J1830" t="n">
        <v>123</v>
      </c>
      <c r="K1830" t="n">
        <v>1</v>
      </c>
      <c r="L1830" s="7" t="n">
        <v>3464</v>
      </c>
      <c r="M1830" s="7" t="n">
        <v>346.4</v>
      </c>
    </row>
    <row r="1831">
      <c r="A1831" t="n">
        <v>510251</v>
      </c>
      <c r="B1831" s="6" t="n">
        <v>45952</v>
      </c>
      <c r="C1831" t="n">
        <v>15108</v>
      </c>
      <c r="D1831" t="inlineStr">
        <is>
          <t>Noida</t>
        </is>
      </c>
      <c r="E1831" t="inlineStr">
        <is>
          <t>North</t>
        </is>
      </c>
      <c r="F1831" t="inlineStr">
        <is>
          <t>Organic Search</t>
        </is>
      </c>
      <c r="G1831" t="inlineStr">
        <is>
          <t>Mobile Web</t>
        </is>
      </c>
      <c r="H1831" t="inlineStr">
        <is>
          <t>UPI</t>
        </is>
      </c>
      <c r="I1831" t="inlineStr">
        <is>
          <t>Delivered</t>
        </is>
      </c>
      <c r="J1831" t="n">
        <v>131</v>
      </c>
      <c r="K1831" t="n">
        <v>1</v>
      </c>
      <c r="L1831" s="7" t="n">
        <v>314</v>
      </c>
      <c r="M1831" s="7" t="n">
        <v>31.4</v>
      </c>
    </row>
    <row r="1832">
      <c r="A1832" t="n">
        <v>510251</v>
      </c>
      <c r="B1832" s="6" t="n">
        <v>45952</v>
      </c>
      <c r="C1832" t="n">
        <v>15108</v>
      </c>
      <c r="D1832" t="inlineStr">
        <is>
          <t>Noida</t>
        </is>
      </c>
      <c r="E1832" t="inlineStr">
        <is>
          <t>North</t>
        </is>
      </c>
      <c r="F1832" t="inlineStr">
        <is>
          <t>Organic Search</t>
        </is>
      </c>
      <c r="G1832" t="inlineStr">
        <is>
          <t>Mobile Web</t>
        </is>
      </c>
      <c r="H1832" t="inlineStr">
        <is>
          <t>UPI</t>
        </is>
      </c>
      <c r="I1832" t="inlineStr">
        <is>
          <t>Delivered</t>
        </is>
      </c>
      <c r="J1832" t="n">
        <v>129</v>
      </c>
      <c r="K1832" t="n">
        <v>3</v>
      </c>
      <c r="L1832" s="7" t="n">
        <v>576</v>
      </c>
      <c r="M1832" s="7" t="n">
        <v>172.8</v>
      </c>
    </row>
    <row r="1833">
      <c r="A1833" t="n">
        <v>510252</v>
      </c>
      <c r="B1833" s="6" t="n">
        <v>45952</v>
      </c>
      <c r="C1833" t="n">
        <v>15773</v>
      </c>
      <c r="D1833" t="inlineStr">
        <is>
          <t>Indore</t>
        </is>
      </c>
      <c r="E1833" t="inlineStr">
        <is>
          <t>West</t>
        </is>
      </c>
      <c r="F1833" t="inlineStr">
        <is>
          <t>Organic Search</t>
        </is>
      </c>
      <c r="G1833" t="inlineStr">
        <is>
          <t>Mobile App</t>
        </is>
      </c>
      <c r="H1833" t="inlineStr">
        <is>
          <t>Credit Card</t>
        </is>
      </c>
      <c r="I1833" t="inlineStr">
        <is>
          <t>Delivered</t>
        </is>
      </c>
      <c r="J1833" t="n">
        <v>116</v>
      </c>
      <c r="K1833" t="n">
        <v>2</v>
      </c>
      <c r="L1833" s="7" t="n">
        <v>2624</v>
      </c>
      <c r="M1833" s="7" t="n">
        <v>524.8</v>
      </c>
    </row>
    <row r="1834">
      <c r="A1834" t="n">
        <v>510252</v>
      </c>
      <c r="B1834" s="6" t="n">
        <v>45952</v>
      </c>
      <c r="C1834" t="n">
        <v>15773</v>
      </c>
      <c r="D1834" t="inlineStr">
        <is>
          <t>Indore</t>
        </is>
      </c>
      <c r="E1834" t="inlineStr">
        <is>
          <t>West</t>
        </is>
      </c>
      <c r="F1834" t="inlineStr">
        <is>
          <t>Organic Search</t>
        </is>
      </c>
      <c r="G1834" t="inlineStr">
        <is>
          <t>Mobile App</t>
        </is>
      </c>
      <c r="H1834" t="inlineStr">
        <is>
          <t>Credit Card</t>
        </is>
      </c>
      <c r="I1834" t="inlineStr">
        <is>
          <t>Delivered</t>
        </is>
      </c>
      <c r="J1834" t="n">
        <v>129</v>
      </c>
      <c r="K1834" t="n">
        <v>1</v>
      </c>
      <c r="L1834" s="7" t="n">
        <v>576</v>
      </c>
      <c r="M1834" s="7" t="n">
        <v>57.6</v>
      </c>
    </row>
    <row r="1835">
      <c r="A1835" t="n">
        <v>510253</v>
      </c>
      <c r="B1835" s="6" t="n">
        <v>45952</v>
      </c>
      <c r="C1835" t="n">
        <v>16581</v>
      </c>
      <c r="D1835" t="inlineStr">
        <is>
          <t>Delhi</t>
        </is>
      </c>
      <c r="E1835" t="inlineStr">
        <is>
          <t>North</t>
        </is>
      </c>
      <c r="F1835" t="inlineStr">
        <is>
          <t>Paid Social</t>
        </is>
      </c>
      <c r="G1835" t="inlineStr">
        <is>
          <t>Desktop</t>
        </is>
      </c>
      <c r="H1835" t="inlineStr">
        <is>
          <t>Debit Card</t>
        </is>
      </c>
      <c r="I1835" t="inlineStr">
        <is>
          <t>Cancelled</t>
        </is>
      </c>
      <c r="J1835" t="n">
        <v>117</v>
      </c>
      <c r="K1835" t="n">
        <v>1</v>
      </c>
      <c r="L1835" s="7" t="n">
        <v>3149</v>
      </c>
      <c r="M1835" s="7" t="n">
        <v>314.9</v>
      </c>
    </row>
    <row r="1836">
      <c r="A1836" t="n">
        <v>510253</v>
      </c>
      <c r="B1836" s="6" t="n">
        <v>45952</v>
      </c>
      <c r="C1836" t="n">
        <v>16581</v>
      </c>
      <c r="D1836" t="inlineStr">
        <is>
          <t>Delhi</t>
        </is>
      </c>
      <c r="E1836" t="inlineStr">
        <is>
          <t>North</t>
        </is>
      </c>
      <c r="F1836" t="inlineStr">
        <is>
          <t>Paid Social</t>
        </is>
      </c>
      <c r="G1836" t="inlineStr">
        <is>
          <t>Desktop</t>
        </is>
      </c>
      <c r="H1836" t="inlineStr">
        <is>
          <t>Debit Card</t>
        </is>
      </c>
      <c r="I1836" t="inlineStr">
        <is>
          <t>Cancelled</t>
        </is>
      </c>
      <c r="J1836" t="n">
        <v>118</v>
      </c>
      <c r="K1836" t="n">
        <v>2</v>
      </c>
      <c r="L1836" s="7" t="n">
        <v>944</v>
      </c>
      <c r="M1836" s="7" t="n">
        <v>188.8</v>
      </c>
    </row>
    <row r="1837">
      <c r="A1837" t="n">
        <v>510253</v>
      </c>
      <c r="B1837" s="6" t="n">
        <v>45952</v>
      </c>
      <c r="C1837" t="n">
        <v>16581</v>
      </c>
      <c r="D1837" t="inlineStr">
        <is>
          <t>Delhi</t>
        </is>
      </c>
      <c r="E1837" t="inlineStr">
        <is>
          <t>North</t>
        </is>
      </c>
      <c r="F1837" t="inlineStr">
        <is>
          <t>Paid Social</t>
        </is>
      </c>
      <c r="G1837" t="inlineStr">
        <is>
          <t>Desktop</t>
        </is>
      </c>
      <c r="H1837" t="inlineStr">
        <is>
          <t>Debit Card</t>
        </is>
      </c>
      <c r="I1837" t="inlineStr">
        <is>
          <t>Cancelled</t>
        </is>
      </c>
      <c r="J1837" t="n">
        <v>103</v>
      </c>
      <c r="K1837" t="n">
        <v>1</v>
      </c>
      <c r="L1837" s="7" t="n">
        <v>2624</v>
      </c>
      <c r="M1837" s="7" t="n">
        <v>262.4</v>
      </c>
    </row>
    <row r="1838">
      <c r="A1838" t="n">
        <v>510253</v>
      </c>
      <c r="B1838" s="6" t="n">
        <v>45952</v>
      </c>
      <c r="C1838" t="n">
        <v>16581</v>
      </c>
      <c r="D1838" t="inlineStr">
        <is>
          <t>Delhi</t>
        </is>
      </c>
      <c r="E1838" t="inlineStr">
        <is>
          <t>North</t>
        </is>
      </c>
      <c r="F1838" t="inlineStr">
        <is>
          <t>Paid Social</t>
        </is>
      </c>
      <c r="G1838" t="inlineStr">
        <is>
          <t>Desktop</t>
        </is>
      </c>
      <c r="H1838" t="inlineStr">
        <is>
          <t>Debit Card</t>
        </is>
      </c>
      <c r="I1838" t="inlineStr">
        <is>
          <t>Cancelled</t>
        </is>
      </c>
      <c r="J1838" t="n">
        <v>128</v>
      </c>
      <c r="K1838" t="n">
        <v>1</v>
      </c>
      <c r="L1838" s="7" t="n">
        <v>1049</v>
      </c>
      <c r="M1838" s="7" t="n">
        <v>104.9</v>
      </c>
    </row>
    <row r="1839">
      <c r="A1839" t="n">
        <v>510254</v>
      </c>
      <c r="B1839" s="6" t="n">
        <v>45952</v>
      </c>
      <c r="C1839" t="n">
        <v>10805</v>
      </c>
      <c r="D1839" t="inlineStr">
        <is>
          <t>Indore</t>
        </is>
      </c>
      <c r="E1839" t="inlineStr">
        <is>
          <t>West</t>
        </is>
      </c>
      <c r="F1839" t="inlineStr">
        <is>
          <t>Paid Social</t>
        </is>
      </c>
      <c r="G1839" t="inlineStr">
        <is>
          <t>Mobile App</t>
        </is>
      </c>
      <c r="H1839" t="inlineStr">
        <is>
          <t>Credit Card</t>
        </is>
      </c>
      <c r="I1839" t="inlineStr">
        <is>
          <t>Delivered</t>
        </is>
      </c>
      <c r="J1839" t="n">
        <v>147</v>
      </c>
      <c r="K1839" t="n">
        <v>2</v>
      </c>
      <c r="L1839" s="7" t="n">
        <v>1364</v>
      </c>
      <c r="M1839" s="7" t="n">
        <v>272.8</v>
      </c>
    </row>
    <row r="1840">
      <c r="A1840" t="n">
        <v>510255</v>
      </c>
      <c r="B1840" s="6" t="n">
        <v>45952</v>
      </c>
      <c r="C1840" t="n">
        <v>16818</v>
      </c>
      <c r="D1840" t="inlineStr">
        <is>
          <t>Bengaluru</t>
        </is>
      </c>
      <c r="E1840" t="inlineStr">
        <is>
          <t>South</t>
        </is>
      </c>
      <c r="F1840" t="inlineStr">
        <is>
          <t>Organic Search</t>
        </is>
      </c>
      <c r="G1840" t="inlineStr">
        <is>
          <t>Desktop</t>
        </is>
      </c>
      <c r="H1840" t="inlineStr">
        <is>
          <t>UPI</t>
        </is>
      </c>
      <c r="I1840" t="inlineStr">
        <is>
          <t>Delivered</t>
        </is>
      </c>
      <c r="J1840" t="n">
        <v>119</v>
      </c>
      <c r="K1840" t="n">
        <v>3</v>
      </c>
      <c r="L1840" s="7" t="n">
        <v>2309</v>
      </c>
      <c r="M1840" s="7" t="n">
        <v>1039.05</v>
      </c>
    </row>
    <row r="1841">
      <c r="A1841" t="n">
        <v>510255</v>
      </c>
      <c r="B1841" s="6" t="n">
        <v>45952</v>
      </c>
      <c r="C1841" t="n">
        <v>16818</v>
      </c>
      <c r="D1841" t="inlineStr">
        <is>
          <t>Bengaluru</t>
        </is>
      </c>
      <c r="E1841" t="inlineStr">
        <is>
          <t>South</t>
        </is>
      </c>
      <c r="F1841" t="inlineStr">
        <is>
          <t>Organic Search</t>
        </is>
      </c>
      <c r="G1841" t="inlineStr">
        <is>
          <t>Desktop</t>
        </is>
      </c>
      <c r="H1841" t="inlineStr">
        <is>
          <t>UPI</t>
        </is>
      </c>
      <c r="I1841" t="inlineStr">
        <is>
          <t>Delivered</t>
        </is>
      </c>
      <c r="J1841" t="n">
        <v>134</v>
      </c>
      <c r="K1841" t="n">
        <v>1</v>
      </c>
      <c r="L1841" s="7" t="n">
        <v>209</v>
      </c>
      <c r="M1841" s="7" t="n">
        <v>31.35</v>
      </c>
    </row>
    <row r="1842">
      <c r="A1842" t="n">
        <v>510255</v>
      </c>
      <c r="B1842" s="6" t="n">
        <v>45952</v>
      </c>
      <c r="C1842" t="n">
        <v>16818</v>
      </c>
      <c r="D1842" t="inlineStr">
        <is>
          <t>Bengaluru</t>
        </is>
      </c>
      <c r="E1842" t="inlineStr">
        <is>
          <t>South</t>
        </is>
      </c>
      <c r="F1842" t="inlineStr">
        <is>
          <t>Organic Search</t>
        </is>
      </c>
      <c r="G1842" t="inlineStr">
        <is>
          <t>Desktop</t>
        </is>
      </c>
      <c r="H1842" t="inlineStr">
        <is>
          <t>UPI</t>
        </is>
      </c>
      <c r="I1842" t="inlineStr">
        <is>
          <t>Delivered</t>
        </is>
      </c>
      <c r="J1842" t="n">
        <v>128</v>
      </c>
      <c r="K1842" t="n">
        <v>1</v>
      </c>
      <c r="L1842" s="7" t="n">
        <v>1049</v>
      </c>
      <c r="M1842" s="7" t="n">
        <v>157.35</v>
      </c>
    </row>
    <row r="1843">
      <c r="A1843" t="n">
        <v>510256</v>
      </c>
      <c r="B1843" s="6" t="n">
        <v>45952</v>
      </c>
      <c r="C1843" t="n">
        <v>10333</v>
      </c>
      <c r="D1843" t="inlineStr">
        <is>
          <t>Hyderabad</t>
        </is>
      </c>
      <c r="E1843" t="inlineStr">
        <is>
          <t>South</t>
        </is>
      </c>
      <c r="F1843" t="inlineStr">
        <is>
          <t>Paid Social</t>
        </is>
      </c>
      <c r="G1843" t="inlineStr">
        <is>
          <t>Mobile Web</t>
        </is>
      </c>
      <c r="H1843" t="inlineStr">
        <is>
          <t>UPI</t>
        </is>
      </c>
      <c r="I1843" t="inlineStr">
        <is>
          <t>Delivered</t>
        </is>
      </c>
      <c r="J1843" t="n">
        <v>101</v>
      </c>
      <c r="K1843" t="n">
        <v>3</v>
      </c>
      <c r="L1843" s="7" t="n">
        <v>2099</v>
      </c>
      <c r="M1843" s="7" t="n">
        <v>629.7</v>
      </c>
    </row>
    <row r="1844">
      <c r="A1844" t="n">
        <v>510257</v>
      </c>
      <c r="B1844" s="6" t="n">
        <v>45952</v>
      </c>
      <c r="C1844" t="n">
        <v>16134</v>
      </c>
      <c r="D1844" t="inlineStr">
        <is>
          <t>Mumbai</t>
        </is>
      </c>
      <c r="E1844" t="inlineStr">
        <is>
          <t>West</t>
        </is>
      </c>
      <c r="F1844" t="inlineStr">
        <is>
          <t>Referral</t>
        </is>
      </c>
      <c r="G1844" t="inlineStr">
        <is>
          <t>Mobile App</t>
        </is>
      </c>
      <c r="H1844" t="inlineStr">
        <is>
          <t>UPI</t>
        </is>
      </c>
      <c r="I1844" t="inlineStr">
        <is>
          <t>Delivered</t>
        </is>
      </c>
      <c r="J1844" t="n">
        <v>103</v>
      </c>
      <c r="K1844" t="n">
        <v>1</v>
      </c>
      <c r="L1844" s="7" t="n">
        <v>2624</v>
      </c>
      <c r="M1844" s="7" t="n">
        <v>262.4</v>
      </c>
    </row>
    <row r="1845">
      <c r="A1845" t="n">
        <v>510257</v>
      </c>
      <c r="B1845" s="6" t="n">
        <v>45952</v>
      </c>
      <c r="C1845" t="n">
        <v>16134</v>
      </c>
      <c r="D1845" t="inlineStr">
        <is>
          <t>Mumbai</t>
        </is>
      </c>
      <c r="E1845" t="inlineStr">
        <is>
          <t>West</t>
        </is>
      </c>
      <c r="F1845" t="inlineStr">
        <is>
          <t>Referral</t>
        </is>
      </c>
      <c r="G1845" t="inlineStr">
        <is>
          <t>Mobile App</t>
        </is>
      </c>
      <c r="H1845" t="inlineStr">
        <is>
          <t>UPI</t>
        </is>
      </c>
      <c r="I1845" t="inlineStr">
        <is>
          <t>Delivered</t>
        </is>
      </c>
      <c r="J1845" t="n">
        <v>129</v>
      </c>
      <c r="K1845" t="n">
        <v>1</v>
      </c>
      <c r="L1845" s="7" t="n">
        <v>576</v>
      </c>
      <c r="M1845" s="7" t="n">
        <v>57.6</v>
      </c>
    </row>
    <row r="1846">
      <c r="A1846" t="n">
        <v>510258</v>
      </c>
      <c r="B1846" s="6" t="n">
        <v>45952</v>
      </c>
      <c r="C1846" t="n">
        <v>14232</v>
      </c>
      <c r="D1846" t="inlineStr">
        <is>
          <t>Hyderabad</t>
        </is>
      </c>
      <c r="E1846" t="inlineStr">
        <is>
          <t>South</t>
        </is>
      </c>
      <c r="F1846" t="inlineStr">
        <is>
          <t>Organic Search</t>
        </is>
      </c>
      <c r="G1846" t="inlineStr">
        <is>
          <t>Mobile App</t>
        </is>
      </c>
      <c r="H1846" t="inlineStr">
        <is>
          <t>Debit Card</t>
        </is>
      </c>
      <c r="I1846" t="inlineStr">
        <is>
          <t>Delivered</t>
        </is>
      </c>
      <c r="J1846" t="n">
        <v>116</v>
      </c>
      <c r="K1846" t="n">
        <v>1</v>
      </c>
      <c r="L1846" s="7" t="n">
        <v>2624</v>
      </c>
      <c r="M1846" s="7" t="n">
        <v>0</v>
      </c>
    </row>
    <row r="1847">
      <c r="A1847" t="n">
        <v>510259</v>
      </c>
      <c r="B1847" s="6" t="n">
        <v>45952</v>
      </c>
      <c r="C1847" t="n">
        <v>13825</v>
      </c>
      <c r="D1847" t="inlineStr">
        <is>
          <t>Mumbai</t>
        </is>
      </c>
      <c r="E1847" t="inlineStr">
        <is>
          <t>West</t>
        </is>
      </c>
      <c r="F1847" t="inlineStr">
        <is>
          <t>Paid Social</t>
        </is>
      </c>
      <c r="G1847" t="inlineStr">
        <is>
          <t>Mobile Web</t>
        </is>
      </c>
      <c r="H1847" t="inlineStr">
        <is>
          <t>UPI</t>
        </is>
      </c>
      <c r="I1847" t="inlineStr">
        <is>
          <t>Delivered</t>
        </is>
      </c>
      <c r="J1847" t="n">
        <v>111</v>
      </c>
      <c r="K1847" t="n">
        <v>1</v>
      </c>
      <c r="L1847" s="7" t="n">
        <v>524</v>
      </c>
      <c r="M1847" s="7" t="n">
        <v>0</v>
      </c>
    </row>
    <row r="1848">
      <c r="A1848" t="n">
        <v>510260</v>
      </c>
      <c r="B1848" s="6" t="n">
        <v>45952</v>
      </c>
      <c r="C1848" t="n">
        <v>15442</v>
      </c>
      <c r="D1848" t="inlineStr">
        <is>
          <t>Lucknow</t>
        </is>
      </c>
      <c r="E1848" t="inlineStr">
        <is>
          <t>North</t>
        </is>
      </c>
      <c r="F1848" t="inlineStr">
        <is>
          <t>Referral</t>
        </is>
      </c>
      <c r="G1848" t="inlineStr">
        <is>
          <t>Mobile App</t>
        </is>
      </c>
      <c r="H1848" t="inlineStr">
        <is>
          <t>UPI</t>
        </is>
      </c>
      <c r="I1848" t="inlineStr">
        <is>
          <t>Delivered</t>
        </is>
      </c>
      <c r="J1848" t="n">
        <v>101</v>
      </c>
      <c r="K1848" t="n">
        <v>1</v>
      </c>
      <c r="L1848" s="7" t="n">
        <v>2099</v>
      </c>
      <c r="M1848" s="7" t="n">
        <v>0</v>
      </c>
    </row>
    <row r="1849">
      <c r="A1849" t="n">
        <v>510260</v>
      </c>
      <c r="B1849" s="6" t="n">
        <v>45952</v>
      </c>
      <c r="C1849" t="n">
        <v>15442</v>
      </c>
      <c r="D1849" t="inlineStr">
        <is>
          <t>Lucknow</t>
        </is>
      </c>
      <c r="E1849" t="inlineStr">
        <is>
          <t>North</t>
        </is>
      </c>
      <c r="F1849" t="inlineStr">
        <is>
          <t>Referral</t>
        </is>
      </c>
      <c r="G1849" t="inlineStr">
        <is>
          <t>Mobile App</t>
        </is>
      </c>
      <c r="H1849" t="inlineStr">
        <is>
          <t>UPI</t>
        </is>
      </c>
      <c r="I1849" t="inlineStr">
        <is>
          <t>Delivered</t>
        </is>
      </c>
      <c r="J1849" t="n">
        <v>126</v>
      </c>
      <c r="K1849" t="n">
        <v>3</v>
      </c>
      <c r="L1849" s="7" t="n">
        <v>471</v>
      </c>
      <c r="M1849" s="7" t="n">
        <v>0</v>
      </c>
    </row>
    <row r="1850">
      <c r="A1850" t="n">
        <v>510260</v>
      </c>
      <c r="B1850" s="6" t="n">
        <v>45952</v>
      </c>
      <c r="C1850" t="n">
        <v>15442</v>
      </c>
      <c r="D1850" t="inlineStr">
        <is>
          <t>Lucknow</t>
        </is>
      </c>
      <c r="E1850" t="inlineStr">
        <is>
          <t>North</t>
        </is>
      </c>
      <c r="F1850" t="inlineStr">
        <is>
          <t>Referral</t>
        </is>
      </c>
      <c r="G1850" t="inlineStr">
        <is>
          <t>Mobile App</t>
        </is>
      </c>
      <c r="H1850" t="inlineStr">
        <is>
          <t>UPI</t>
        </is>
      </c>
      <c r="I1850" t="inlineStr">
        <is>
          <t>Delivered</t>
        </is>
      </c>
      <c r="J1850" t="n">
        <v>104</v>
      </c>
      <c r="K1850" t="n">
        <v>1</v>
      </c>
      <c r="L1850" s="7" t="n">
        <v>5249</v>
      </c>
      <c r="M1850" s="7" t="n">
        <v>0</v>
      </c>
    </row>
    <row r="1851">
      <c r="A1851" t="n">
        <v>510260</v>
      </c>
      <c r="B1851" s="6" t="n">
        <v>45952</v>
      </c>
      <c r="C1851" t="n">
        <v>15442</v>
      </c>
      <c r="D1851" t="inlineStr">
        <is>
          <t>Lucknow</t>
        </is>
      </c>
      <c r="E1851" t="inlineStr">
        <is>
          <t>North</t>
        </is>
      </c>
      <c r="F1851" t="inlineStr">
        <is>
          <t>Referral</t>
        </is>
      </c>
      <c r="G1851" t="inlineStr">
        <is>
          <t>Mobile App</t>
        </is>
      </c>
      <c r="H1851" t="inlineStr">
        <is>
          <t>UPI</t>
        </is>
      </c>
      <c r="I1851" t="inlineStr">
        <is>
          <t>Delivered</t>
        </is>
      </c>
      <c r="J1851" t="n">
        <v>106</v>
      </c>
      <c r="K1851" t="n">
        <v>1</v>
      </c>
      <c r="L1851" s="7" t="n">
        <v>1574</v>
      </c>
      <c r="M1851" s="7" t="n">
        <v>0</v>
      </c>
    </row>
    <row r="1852">
      <c r="A1852" t="n">
        <v>510261</v>
      </c>
      <c r="B1852" s="6" t="n">
        <v>45952</v>
      </c>
      <c r="C1852" t="n">
        <v>16021</v>
      </c>
      <c r="D1852" t="inlineStr">
        <is>
          <t>Bengaluru</t>
        </is>
      </c>
      <c r="E1852" t="inlineStr">
        <is>
          <t>South</t>
        </is>
      </c>
      <c r="F1852" t="inlineStr">
        <is>
          <t>Paid Search</t>
        </is>
      </c>
      <c r="G1852" t="inlineStr">
        <is>
          <t>Mobile Web</t>
        </is>
      </c>
      <c r="H1852" t="inlineStr">
        <is>
          <t>Credit Card</t>
        </is>
      </c>
      <c r="I1852" t="inlineStr">
        <is>
          <t>Delivered</t>
        </is>
      </c>
      <c r="J1852" t="n">
        <v>112</v>
      </c>
      <c r="K1852" t="n">
        <v>2</v>
      </c>
      <c r="L1852" s="7" t="n">
        <v>1574</v>
      </c>
      <c r="M1852" s="7" t="n">
        <v>0</v>
      </c>
    </row>
    <row r="1853">
      <c r="A1853" t="n">
        <v>510261</v>
      </c>
      <c r="B1853" s="6" t="n">
        <v>45952</v>
      </c>
      <c r="C1853" t="n">
        <v>16021</v>
      </c>
      <c r="D1853" t="inlineStr">
        <is>
          <t>Bengaluru</t>
        </is>
      </c>
      <c r="E1853" t="inlineStr">
        <is>
          <t>South</t>
        </is>
      </c>
      <c r="F1853" t="inlineStr">
        <is>
          <t>Paid Search</t>
        </is>
      </c>
      <c r="G1853" t="inlineStr">
        <is>
          <t>Mobile Web</t>
        </is>
      </c>
      <c r="H1853" t="inlineStr">
        <is>
          <t>Credit Card</t>
        </is>
      </c>
      <c r="I1853" t="inlineStr">
        <is>
          <t>Delivered</t>
        </is>
      </c>
      <c r="J1853" t="n">
        <v>146</v>
      </c>
      <c r="K1853" t="n">
        <v>1</v>
      </c>
      <c r="L1853" s="7" t="n">
        <v>4724</v>
      </c>
      <c r="M1853" s="7" t="n">
        <v>0</v>
      </c>
    </row>
    <row r="1854">
      <c r="A1854" t="n">
        <v>510262</v>
      </c>
      <c r="B1854" s="6" t="n">
        <v>45952</v>
      </c>
      <c r="C1854" t="n">
        <v>16971</v>
      </c>
      <c r="D1854" t="inlineStr">
        <is>
          <t>Kolkata</t>
        </is>
      </c>
      <c r="E1854" t="inlineStr">
        <is>
          <t>East</t>
        </is>
      </c>
      <c r="F1854" t="inlineStr">
        <is>
          <t>Referral</t>
        </is>
      </c>
      <c r="G1854" t="inlineStr">
        <is>
          <t>Desktop</t>
        </is>
      </c>
      <c r="H1854" t="inlineStr">
        <is>
          <t>UPI</t>
        </is>
      </c>
      <c r="I1854" t="inlineStr">
        <is>
          <t>Delivered</t>
        </is>
      </c>
      <c r="J1854" t="n">
        <v>103</v>
      </c>
      <c r="K1854" t="n">
        <v>1</v>
      </c>
      <c r="L1854" s="7" t="n">
        <v>2624</v>
      </c>
      <c r="M1854" s="7" t="n">
        <v>0</v>
      </c>
    </row>
    <row r="1855">
      <c r="A1855" t="n">
        <v>510263</v>
      </c>
      <c r="B1855" s="6" t="n">
        <v>45952</v>
      </c>
      <c r="C1855" t="n">
        <v>15739</v>
      </c>
      <c r="D1855" t="inlineStr">
        <is>
          <t>Chandigarh</t>
        </is>
      </c>
      <c r="E1855" t="inlineStr">
        <is>
          <t>North</t>
        </is>
      </c>
      <c r="F1855" t="inlineStr">
        <is>
          <t>Organic Search</t>
        </is>
      </c>
      <c r="G1855" t="inlineStr">
        <is>
          <t>Mobile Web</t>
        </is>
      </c>
      <c r="H1855" t="inlineStr">
        <is>
          <t>UPI</t>
        </is>
      </c>
      <c r="I1855" t="inlineStr">
        <is>
          <t>Delivered</t>
        </is>
      </c>
      <c r="J1855" t="n">
        <v>135</v>
      </c>
      <c r="K1855" t="n">
        <v>1</v>
      </c>
      <c r="L1855" s="7" t="n">
        <v>1574</v>
      </c>
      <c r="M1855" s="7" t="n">
        <v>157.4</v>
      </c>
    </row>
    <row r="1856">
      <c r="A1856" t="n">
        <v>510263</v>
      </c>
      <c r="B1856" s="6" t="n">
        <v>45952</v>
      </c>
      <c r="C1856" t="n">
        <v>15739</v>
      </c>
      <c r="D1856" t="inlineStr">
        <is>
          <t>Chandigarh</t>
        </is>
      </c>
      <c r="E1856" t="inlineStr">
        <is>
          <t>North</t>
        </is>
      </c>
      <c r="F1856" t="inlineStr">
        <is>
          <t>Organic Search</t>
        </is>
      </c>
      <c r="G1856" t="inlineStr">
        <is>
          <t>Mobile Web</t>
        </is>
      </c>
      <c r="H1856" t="inlineStr">
        <is>
          <t>UPI</t>
        </is>
      </c>
      <c r="I1856" t="inlineStr">
        <is>
          <t>Delivered</t>
        </is>
      </c>
      <c r="J1856" t="n">
        <v>114</v>
      </c>
      <c r="K1856" t="n">
        <v>2</v>
      </c>
      <c r="L1856" s="7" t="n">
        <v>1259</v>
      </c>
      <c r="M1856" s="7" t="n">
        <v>251.8</v>
      </c>
    </row>
    <row r="1857">
      <c r="A1857" t="n">
        <v>510263</v>
      </c>
      <c r="B1857" s="6" t="n">
        <v>45952</v>
      </c>
      <c r="C1857" t="n">
        <v>15739</v>
      </c>
      <c r="D1857" t="inlineStr">
        <is>
          <t>Chandigarh</t>
        </is>
      </c>
      <c r="E1857" t="inlineStr">
        <is>
          <t>North</t>
        </is>
      </c>
      <c r="F1857" t="inlineStr">
        <is>
          <t>Organic Search</t>
        </is>
      </c>
      <c r="G1857" t="inlineStr">
        <is>
          <t>Mobile Web</t>
        </is>
      </c>
      <c r="H1857" t="inlineStr">
        <is>
          <t>UPI</t>
        </is>
      </c>
      <c r="I1857" t="inlineStr">
        <is>
          <t>Delivered</t>
        </is>
      </c>
      <c r="J1857" t="n">
        <v>129</v>
      </c>
      <c r="K1857" t="n">
        <v>1</v>
      </c>
      <c r="L1857" s="7" t="n">
        <v>576</v>
      </c>
      <c r="M1857" s="7" t="n">
        <v>57.6</v>
      </c>
    </row>
    <row r="1858">
      <c r="A1858" t="n">
        <v>510264</v>
      </c>
      <c r="B1858" s="6" t="n">
        <v>45952</v>
      </c>
      <c r="C1858" t="n">
        <v>16856</v>
      </c>
      <c r="D1858" t="inlineStr">
        <is>
          <t>Hyderabad</t>
        </is>
      </c>
      <c r="E1858" t="inlineStr">
        <is>
          <t>South</t>
        </is>
      </c>
      <c r="F1858" t="inlineStr">
        <is>
          <t>Paid Social</t>
        </is>
      </c>
      <c r="G1858" t="inlineStr">
        <is>
          <t>Mobile Web</t>
        </is>
      </c>
      <c r="H1858" t="inlineStr">
        <is>
          <t>UPI</t>
        </is>
      </c>
      <c r="I1858" t="inlineStr">
        <is>
          <t>Delivered</t>
        </is>
      </c>
      <c r="J1858" t="n">
        <v>118</v>
      </c>
      <c r="K1858" t="n">
        <v>1</v>
      </c>
      <c r="L1858" s="7" t="n">
        <v>944</v>
      </c>
      <c r="M1858" s="7" t="n">
        <v>0</v>
      </c>
    </row>
    <row r="1859">
      <c r="A1859" t="n">
        <v>510265</v>
      </c>
      <c r="B1859" s="6" t="n">
        <v>45952</v>
      </c>
      <c r="C1859" t="n">
        <v>16866</v>
      </c>
      <c r="D1859" t="inlineStr">
        <is>
          <t>Jaipur</t>
        </is>
      </c>
      <c r="E1859" t="inlineStr">
        <is>
          <t>North</t>
        </is>
      </c>
      <c r="F1859" t="inlineStr">
        <is>
          <t>Organic Search</t>
        </is>
      </c>
      <c r="G1859" t="inlineStr">
        <is>
          <t>Desktop</t>
        </is>
      </c>
      <c r="H1859" t="inlineStr">
        <is>
          <t>UPI</t>
        </is>
      </c>
      <c r="I1859" t="inlineStr">
        <is>
          <t>Delivered</t>
        </is>
      </c>
      <c r="J1859" t="n">
        <v>111</v>
      </c>
      <c r="K1859" t="n">
        <v>1</v>
      </c>
      <c r="L1859" s="7" t="n">
        <v>524</v>
      </c>
      <c r="M1859" s="7" t="n">
        <v>52.4</v>
      </c>
    </row>
    <row r="1860">
      <c r="A1860" t="n">
        <v>510265</v>
      </c>
      <c r="B1860" s="6" t="n">
        <v>45952</v>
      </c>
      <c r="C1860" t="n">
        <v>16866</v>
      </c>
      <c r="D1860" t="inlineStr">
        <is>
          <t>Jaipur</t>
        </is>
      </c>
      <c r="E1860" t="inlineStr">
        <is>
          <t>North</t>
        </is>
      </c>
      <c r="F1860" t="inlineStr">
        <is>
          <t>Organic Search</t>
        </is>
      </c>
      <c r="G1860" t="inlineStr">
        <is>
          <t>Desktop</t>
        </is>
      </c>
      <c r="H1860" t="inlineStr">
        <is>
          <t>UPI</t>
        </is>
      </c>
      <c r="I1860" t="inlineStr">
        <is>
          <t>Delivered</t>
        </is>
      </c>
      <c r="J1860" t="n">
        <v>133</v>
      </c>
      <c r="K1860" t="n">
        <v>2</v>
      </c>
      <c r="L1860" s="7" t="n">
        <v>419</v>
      </c>
      <c r="M1860" s="7" t="n">
        <v>83.8</v>
      </c>
    </row>
    <row r="1861">
      <c r="A1861" t="n">
        <v>510266</v>
      </c>
      <c r="B1861" s="6" t="n">
        <v>45952</v>
      </c>
      <c r="C1861" t="n">
        <v>15992</v>
      </c>
      <c r="D1861" t="inlineStr">
        <is>
          <t>Delhi</t>
        </is>
      </c>
      <c r="E1861" t="inlineStr">
        <is>
          <t>North</t>
        </is>
      </c>
      <c r="F1861" t="inlineStr">
        <is>
          <t>Paid Social</t>
        </is>
      </c>
      <c r="G1861" t="inlineStr">
        <is>
          <t>Mobile Web</t>
        </is>
      </c>
      <c r="H1861" t="inlineStr">
        <is>
          <t>UPI</t>
        </is>
      </c>
      <c r="I1861" t="inlineStr">
        <is>
          <t>Returned</t>
        </is>
      </c>
      <c r="J1861" t="n">
        <v>118</v>
      </c>
      <c r="K1861" t="n">
        <v>1</v>
      </c>
      <c r="L1861" s="7" t="n">
        <v>944</v>
      </c>
      <c r="M1861" s="7" t="n">
        <v>94.40000000000001</v>
      </c>
    </row>
    <row r="1862">
      <c r="A1862" t="n">
        <v>510267</v>
      </c>
      <c r="B1862" s="6" t="n">
        <v>45952</v>
      </c>
      <c r="C1862" t="n">
        <v>16146</v>
      </c>
      <c r="D1862" t="inlineStr">
        <is>
          <t>Lucknow</t>
        </is>
      </c>
      <c r="E1862" t="inlineStr">
        <is>
          <t>North</t>
        </is>
      </c>
      <c r="F1862" t="inlineStr">
        <is>
          <t>Affiliate</t>
        </is>
      </c>
      <c r="G1862" t="inlineStr">
        <is>
          <t>Mobile App</t>
        </is>
      </c>
      <c r="H1862" t="inlineStr">
        <is>
          <t>Credit Card</t>
        </is>
      </c>
      <c r="I1862" t="inlineStr">
        <is>
          <t>Delivered</t>
        </is>
      </c>
      <c r="J1862" t="n">
        <v>116</v>
      </c>
      <c r="K1862" t="n">
        <v>1</v>
      </c>
      <c r="L1862" s="7" t="n">
        <v>2624</v>
      </c>
      <c r="M1862" s="7" t="n">
        <v>0</v>
      </c>
    </row>
    <row r="1863">
      <c r="A1863" t="n">
        <v>510267</v>
      </c>
      <c r="B1863" s="6" t="n">
        <v>45952</v>
      </c>
      <c r="C1863" t="n">
        <v>16146</v>
      </c>
      <c r="D1863" t="inlineStr">
        <is>
          <t>Lucknow</t>
        </is>
      </c>
      <c r="E1863" t="inlineStr">
        <is>
          <t>North</t>
        </is>
      </c>
      <c r="F1863" t="inlineStr">
        <is>
          <t>Affiliate</t>
        </is>
      </c>
      <c r="G1863" t="inlineStr">
        <is>
          <t>Mobile App</t>
        </is>
      </c>
      <c r="H1863" t="inlineStr">
        <is>
          <t>Credit Card</t>
        </is>
      </c>
      <c r="I1863" t="inlineStr">
        <is>
          <t>Delivered</t>
        </is>
      </c>
      <c r="J1863" t="n">
        <v>119</v>
      </c>
      <c r="K1863" t="n">
        <v>1</v>
      </c>
      <c r="L1863" s="7" t="n">
        <v>2309</v>
      </c>
      <c r="M1863" s="7" t="n">
        <v>0</v>
      </c>
    </row>
    <row r="1864">
      <c r="A1864" t="n">
        <v>510267</v>
      </c>
      <c r="B1864" s="6" t="n">
        <v>45952</v>
      </c>
      <c r="C1864" t="n">
        <v>16146</v>
      </c>
      <c r="D1864" t="inlineStr">
        <is>
          <t>Lucknow</t>
        </is>
      </c>
      <c r="E1864" t="inlineStr">
        <is>
          <t>North</t>
        </is>
      </c>
      <c r="F1864" t="inlineStr">
        <is>
          <t>Affiliate</t>
        </is>
      </c>
      <c r="G1864" t="inlineStr">
        <is>
          <t>Mobile App</t>
        </is>
      </c>
      <c r="H1864" t="inlineStr">
        <is>
          <t>Credit Card</t>
        </is>
      </c>
      <c r="I1864" t="inlineStr">
        <is>
          <t>Delivered</t>
        </is>
      </c>
      <c r="J1864" t="n">
        <v>114</v>
      </c>
      <c r="K1864" t="n">
        <v>1</v>
      </c>
      <c r="L1864" s="7" t="n">
        <v>1259</v>
      </c>
      <c r="M1864" s="7" t="n">
        <v>0</v>
      </c>
    </row>
    <row r="1865">
      <c r="A1865" t="n">
        <v>510267</v>
      </c>
      <c r="B1865" s="6" t="n">
        <v>45952</v>
      </c>
      <c r="C1865" t="n">
        <v>16146</v>
      </c>
      <c r="D1865" t="inlineStr">
        <is>
          <t>Lucknow</t>
        </is>
      </c>
      <c r="E1865" t="inlineStr">
        <is>
          <t>North</t>
        </is>
      </c>
      <c r="F1865" t="inlineStr">
        <is>
          <t>Affiliate</t>
        </is>
      </c>
      <c r="G1865" t="inlineStr">
        <is>
          <t>Mobile App</t>
        </is>
      </c>
      <c r="H1865" t="inlineStr">
        <is>
          <t>Credit Card</t>
        </is>
      </c>
      <c r="I1865" t="inlineStr">
        <is>
          <t>Delivered</t>
        </is>
      </c>
      <c r="J1865" t="n">
        <v>129</v>
      </c>
      <c r="K1865" t="n">
        <v>1</v>
      </c>
      <c r="L1865" s="7" t="n">
        <v>576</v>
      </c>
      <c r="M1865" s="7" t="n">
        <v>0</v>
      </c>
    </row>
    <row r="1866">
      <c r="A1866" t="n">
        <v>510268</v>
      </c>
      <c r="B1866" s="6" t="n">
        <v>45953</v>
      </c>
      <c r="C1866" t="n">
        <v>13715</v>
      </c>
      <c r="D1866" t="inlineStr">
        <is>
          <t>Bengaluru</t>
        </is>
      </c>
      <c r="E1866" t="inlineStr">
        <is>
          <t>South</t>
        </is>
      </c>
      <c r="F1866" t="inlineStr">
        <is>
          <t>Paid Search</t>
        </is>
      </c>
      <c r="G1866" t="inlineStr">
        <is>
          <t>Desktop</t>
        </is>
      </c>
      <c r="H1866" t="inlineStr">
        <is>
          <t>Debit Card</t>
        </is>
      </c>
      <c r="I1866" t="inlineStr">
        <is>
          <t>Delivered</t>
        </is>
      </c>
      <c r="J1866" t="n">
        <v>141</v>
      </c>
      <c r="K1866" t="n">
        <v>1</v>
      </c>
      <c r="L1866" s="7" t="n">
        <v>261</v>
      </c>
      <c r="M1866" s="7" t="n">
        <v>26.1</v>
      </c>
    </row>
    <row r="1867">
      <c r="A1867" t="n">
        <v>510268</v>
      </c>
      <c r="B1867" s="6" t="n">
        <v>45953</v>
      </c>
      <c r="C1867" t="n">
        <v>13715</v>
      </c>
      <c r="D1867" t="inlineStr">
        <is>
          <t>Bengaluru</t>
        </is>
      </c>
      <c r="E1867" t="inlineStr">
        <is>
          <t>South</t>
        </is>
      </c>
      <c r="F1867" t="inlineStr">
        <is>
          <t>Paid Search</t>
        </is>
      </c>
      <c r="G1867" t="inlineStr">
        <is>
          <t>Desktop</t>
        </is>
      </c>
      <c r="H1867" t="inlineStr">
        <is>
          <t>Debit Card</t>
        </is>
      </c>
      <c r="I1867" t="inlineStr">
        <is>
          <t>Delivered</t>
        </is>
      </c>
      <c r="J1867" t="n">
        <v>137</v>
      </c>
      <c r="K1867" t="n">
        <v>2</v>
      </c>
      <c r="L1867" s="7" t="n">
        <v>261</v>
      </c>
      <c r="M1867" s="7" t="n">
        <v>52.2</v>
      </c>
    </row>
    <row r="1868">
      <c r="A1868" t="n">
        <v>510268</v>
      </c>
      <c r="B1868" s="6" t="n">
        <v>45953</v>
      </c>
      <c r="C1868" t="n">
        <v>13715</v>
      </c>
      <c r="D1868" t="inlineStr">
        <is>
          <t>Bengaluru</t>
        </is>
      </c>
      <c r="E1868" t="inlineStr">
        <is>
          <t>South</t>
        </is>
      </c>
      <c r="F1868" t="inlineStr">
        <is>
          <t>Paid Search</t>
        </is>
      </c>
      <c r="G1868" t="inlineStr">
        <is>
          <t>Desktop</t>
        </is>
      </c>
      <c r="H1868" t="inlineStr">
        <is>
          <t>Debit Card</t>
        </is>
      </c>
      <c r="I1868" t="inlineStr">
        <is>
          <t>Delivered</t>
        </is>
      </c>
      <c r="J1868" t="n">
        <v>129</v>
      </c>
      <c r="K1868" t="n">
        <v>1</v>
      </c>
      <c r="L1868" s="7" t="n">
        <v>576</v>
      </c>
      <c r="M1868" s="7" t="n">
        <v>57.6</v>
      </c>
    </row>
    <row r="1869">
      <c r="A1869" t="n">
        <v>510269</v>
      </c>
      <c r="B1869" s="6" t="n">
        <v>45953</v>
      </c>
      <c r="C1869" t="n">
        <v>13312</v>
      </c>
      <c r="D1869" t="inlineStr">
        <is>
          <t>Bengaluru</t>
        </is>
      </c>
      <c r="E1869" t="inlineStr">
        <is>
          <t>South</t>
        </is>
      </c>
      <c r="F1869" t="inlineStr">
        <is>
          <t>Organic Search</t>
        </is>
      </c>
      <c r="G1869" t="inlineStr">
        <is>
          <t>Desktop</t>
        </is>
      </c>
      <c r="H1869" t="inlineStr">
        <is>
          <t>UPI</t>
        </is>
      </c>
      <c r="I1869" t="inlineStr">
        <is>
          <t>Delivered</t>
        </is>
      </c>
      <c r="J1869" t="n">
        <v>111</v>
      </c>
      <c r="K1869" t="n">
        <v>1</v>
      </c>
      <c r="L1869" s="7" t="n">
        <v>524</v>
      </c>
      <c r="M1869" s="7" t="n">
        <v>0</v>
      </c>
    </row>
    <row r="1870">
      <c r="A1870" t="n">
        <v>510269</v>
      </c>
      <c r="B1870" s="6" t="n">
        <v>45953</v>
      </c>
      <c r="C1870" t="n">
        <v>13312</v>
      </c>
      <c r="D1870" t="inlineStr">
        <is>
          <t>Bengaluru</t>
        </is>
      </c>
      <c r="E1870" t="inlineStr">
        <is>
          <t>South</t>
        </is>
      </c>
      <c r="F1870" t="inlineStr">
        <is>
          <t>Organic Search</t>
        </is>
      </c>
      <c r="G1870" t="inlineStr">
        <is>
          <t>Desktop</t>
        </is>
      </c>
      <c r="H1870" t="inlineStr">
        <is>
          <t>UPI</t>
        </is>
      </c>
      <c r="I1870" t="inlineStr">
        <is>
          <t>Delivered</t>
        </is>
      </c>
      <c r="J1870" t="n">
        <v>117</v>
      </c>
      <c r="K1870" t="n">
        <v>1</v>
      </c>
      <c r="L1870" s="7" t="n">
        <v>3149</v>
      </c>
      <c r="M1870" s="7" t="n">
        <v>0</v>
      </c>
    </row>
    <row r="1871">
      <c r="A1871" t="n">
        <v>510270</v>
      </c>
      <c r="B1871" s="6" t="n">
        <v>45953</v>
      </c>
      <c r="C1871" t="n">
        <v>16968</v>
      </c>
      <c r="D1871" t="inlineStr">
        <is>
          <t>Pune</t>
        </is>
      </c>
      <c r="E1871" t="inlineStr">
        <is>
          <t>West</t>
        </is>
      </c>
      <c r="F1871" t="inlineStr">
        <is>
          <t>Email</t>
        </is>
      </c>
      <c r="G1871" t="inlineStr">
        <is>
          <t>Desktop</t>
        </is>
      </c>
      <c r="H1871" t="inlineStr">
        <is>
          <t>UPI</t>
        </is>
      </c>
      <c r="I1871" t="inlineStr">
        <is>
          <t>Delivered</t>
        </is>
      </c>
      <c r="J1871" t="n">
        <v>137</v>
      </c>
      <c r="K1871" t="n">
        <v>1</v>
      </c>
      <c r="L1871" s="7" t="n">
        <v>261</v>
      </c>
      <c r="M1871" s="7" t="n">
        <v>39.15</v>
      </c>
    </row>
    <row r="1872">
      <c r="A1872" t="n">
        <v>510270</v>
      </c>
      <c r="B1872" s="6" t="n">
        <v>45953</v>
      </c>
      <c r="C1872" t="n">
        <v>16968</v>
      </c>
      <c r="D1872" t="inlineStr">
        <is>
          <t>Pune</t>
        </is>
      </c>
      <c r="E1872" t="inlineStr">
        <is>
          <t>West</t>
        </is>
      </c>
      <c r="F1872" t="inlineStr">
        <is>
          <t>Email</t>
        </is>
      </c>
      <c r="G1872" t="inlineStr">
        <is>
          <t>Desktop</t>
        </is>
      </c>
      <c r="H1872" t="inlineStr">
        <is>
          <t>UPI</t>
        </is>
      </c>
      <c r="I1872" t="inlineStr">
        <is>
          <t>Delivered</t>
        </is>
      </c>
      <c r="J1872" t="n">
        <v>111</v>
      </c>
      <c r="K1872" t="n">
        <v>3</v>
      </c>
      <c r="L1872" s="7" t="n">
        <v>524</v>
      </c>
      <c r="M1872" s="7" t="n">
        <v>235.8</v>
      </c>
    </row>
    <row r="1873">
      <c r="A1873" t="n">
        <v>510270</v>
      </c>
      <c r="B1873" s="6" t="n">
        <v>45953</v>
      </c>
      <c r="C1873" t="n">
        <v>16968</v>
      </c>
      <c r="D1873" t="inlineStr">
        <is>
          <t>Pune</t>
        </is>
      </c>
      <c r="E1873" t="inlineStr">
        <is>
          <t>West</t>
        </is>
      </c>
      <c r="F1873" t="inlineStr">
        <is>
          <t>Email</t>
        </is>
      </c>
      <c r="G1873" t="inlineStr">
        <is>
          <t>Desktop</t>
        </is>
      </c>
      <c r="H1873" t="inlineStr">
        <is>
          <t>UPI</t>
        </is>
      </c>
      <c r="I1873" t="inlineStr">
        <is>
          <t>Delivered</t>
        </is>
      </c>
      <c r="J1873" t="n">
        <v>129</v>
      </c>
      <c r="K1873" t="n">
        <v>1</v>
      </c>
      <c r="L1873" s="7" t="n">
        <v>576</v>
      </c>
      <c r="M1873" s="7" t="n">
        <v>86.40000000000001</v>
      </c>
    </row>
    <row r="1874">
      <c r="A1874" t="n">
        <v>510271</v>
      </c>
      <c r="B1874" s="6" t="n">
        <v>45953</v>
      </c>
      <c r="C1874" t="n">
        <v>11339</v>
      </c>
      <c r="D1874" t="inlineStr">
        <is>
          <t>Delhi</t>
        </is>
      </c>
      <c r="E1874" t="inlineStr">
        <is>
          <t>North</t>
        </is>
      </c>
      <c r="F1874" t="inlineStr">
        <is>
          <t>Referral</t>
        </is>
      </c>
      <c r="G1874" t="inlineStr">
        <is>
          <t>Mobile App</t>
        </is>
      </c>
      <c r="H1874" t="inlineStr">
        <is>
          <t>Net Banking</t>
        </is>
      </c>
      <c r="I1874" t="inlineStr">
        <is>
          <t>Delivered</t>
        </is>
      </c>
      <c r="J1874" t="n">
        <v>127</v>
      </c>
      <c r="K1874" t="n">
        <v>1</v>
      </c>
      <c r="L1874" s="7" t="n">
        <v>681</v>
      </c>
      <c r="M1874" s="7" t="n">
        <v>68.09999999999999</v>
      </c>
    </row>
    <row r="1875">
      <c r="A1875" t="n">
        <v>510272</v>
      </c>
      <c r="B1875" s="6" t="n">
        <v>45953</v>
      </c>
      <c r="C1875" t="n">
        <v>10281</v>
      </c>
      <c r="D1875" t="inlineStr">
        <is>
          <t>Pune</t>
        </is>
      </c>
      <c r="E1875" t="inlineStr">
        <is>
          <t>West</t>
        </is>
      </c>
      <c r="F1875" t="inlineStr">
        <is>
          <t>Paid Social</t>
        </is>
      </c>
      <c r="G1875" t="inlineStr">
        <is>
          <t>Mobile Web</t>
        </is>
      </c>
      <c r="H1875" t="inlineStr">
        <is>
          <t>Cash on Delivery</t>
        </is>
      </c>
      <c r="I1875" t="inlineStr">
        <is>
          <t>Delivered</t>
        </is>
      </c>
      <c r="J1875" t="n">
        <v>137</v>
      </c>
      <c r="K1875" t="n">
        <v>2</v>
      </c>
      <c r="L1875" s="7" t="n">
        <v>261</v>
      </c>
      <c r="M1875" s="7" t="n">
        <v>52.2</v>
      </c>
    </row>
    <row r="1876">
      <c r="A1876" t="n">
        <v>510272</v>
      </c>
      <c r="B1876" s="6" t="n">
        <v>45953</v>
      </c>
      <c r="C1876" t="n">
        <v>10281</v>
      </c>
      <c r="D1876" t="inlineStr">
        <is>
          <t>Pune</t>
        </is>
      </c>
      <c r="E1876" t="inlineStr">
        <is>
          <t>West</t>
        </is>
      </c>
      <c r="F1876" t="inlineStr">
        <is>
          <t>Paid Social</t>
        </is>
      </c>
      <c r="G1876" t="inlineStr">
        <is>
          <t>Mobile Web</t>
        </is>
      </c>
      <c r="H1876" t="inlineStr">
        <is>
          <t>Cash on Delivery</t>
        </is>
      </c>
      <c r="I1876" t="inlineStr">
        <is>
          <t>Delivered</t>
        </is>
      </c>
      <c r="J1876" t="n">
        <v>104</v>
      </c>
      <c r="K1876" t="n">
        <v>1</v>
      </c>
      <c r="L1876" s="7" t="n">
        <v>5249</v>
      </c>
      <c r="M1876" s="7" t="n">
        <v>524.9</v>
      </c>
    </row>
    <row r="1877">
      <c r="A1877" t="n">
        <v>510273</v>
      </c>
      <c r="B1877" s="6" t="n">
        <v>45953</v>
      </c>
      <c r="C1877" t="n">
        <v>16128</v>
      </c>
      <c r="D1877" t="inlineStr">
        <is>
          <t>Delhi</t>
        </is>
      </c>
      <c r="E1877" t="inlineStr">
        <is>
          <t>North</t>
        </is>
      </c>
      <c r="F1877" t="inlineStr">
        <is>
          <t>Referral</t>
        </is>
      </c>
      <c r="G1877" t="inlineStr">
        <is>
          <t>Mobile Web</t>
        </is>
      </c>
      <c r="H1877" t="inlineStr">
        <is>
          <t>UPI</t>
        </is>
      </c>
      <c r="I1877" t="inlineStr">
        <is>
          <t>Delivered</t>
        </is>
      </c>
      <c r="J1877" t="n">
        <v>131</v>
      </c>
      <c r="K1877" t="n">
        <v>3</v>
      </c>
      <c r="L1877" s="7" t="n">
        <v>314</v>
      </c>
      <c r="M1877" s="7" t="n">
        <v>94.2</v>
      </c>
    </row>
    <row r="1878">
      <c r="A1878" t="n">
        <v>510273</v>
      </c>
      <c r="B1878" s="6" t="n">
        <v>45953</v>
      </c>
      <c r="C1878" t="n">
        <v>16128</v>
      </c>
      <c r="D1878" t="inlineStr">
        <is>
          <t>Delhi</t>
        </is>
      </c>
      <c r="E1878" t="inlineStr">
        <is>
          <t>North</t>
        </is>
      </c>
      <c r="F1878" t="inlineStr">
        <is>
          <t>Referral</t>
        </is>
      </c>
      <c r="G1878" t="inlineStr">
        <is>
          <t>Mobile Web</t>
        </is>
      </c>
      <c r="H1878" t="inlineStr">
        <is>
          <t>UPI</t>
        </is>
      </c>
      <c r="I1878" t="inlineStr">
        <is>
          <t>Delivered</t>
        </is>
      </c>
      <c r="J1878" t="n">
        <v>144</v>
      </c>
      <c r="K1878" t="n">
        <v>1</v>
      </c>
      <c r="L1878" s="7" t="n">
        <v>3149</v>
      </c>
      <c r="M1878" s="7" t="n">
        <v>314.9</v>
      </c>
    </row>
    <row r="1879">
      <c r="A1879" t="n">
        <v>510274</v>
      </c>
      <c r="B1879" s="6" t="n">
        <v>45953</v>
      </c>
      <c r="C1879" t="n">
        <v>12738</v>
      </c>
      <c r="D1879" t="inlineStr">
        <is>
          <t>Ahmedabad</t>
        </is>
      </c>
      <c r="E1879" t="inlineStr">
        <is>
          <t>West</t>
        </is>
      </c>
      <c r="F1879" t="inlineStr">
        <is>
          <t>Email</t>
        </is>
      </c>
      <c r="G1879" t="inlineStr">
        <is>
          <t>Mobile Web</t>
        </is>
      </c>
      <c r="H1879" t="inlineStr">
        <is>
          <t>Credit Card</t>
        </is>
      </c>
      <c r="I1879" t="inlineStr">
        <is>
          <t>Delivered</t>
        </is>
      </c>
      <c r="J1879" t="n">
        <v>121</v>
      </c>
      <c r="K1879" t="n">
        <v>1</v>
      </c>
      <c r="L1879" s="7" t="n">
        <v>2939</v>
      </c>
      <c r="M1879" s="7" t="n">
        <v>293.9</v>
      </c>
    </row>
    <row r="1880">
      <c r="A1880" t="n">
        <v>510274</v>
      </c>
      <c r="B1880" s="6" t="n">
        <v>45953</v>
      </c>
      <c r="C1880" t="n">
        <v>12738</v>
      </c>
      <c r="D1880" t="inlineStr">
        <is>
          <t>Ahmedabad</t>
        </is>
      </c>
      <c r="E1880" t="inlineStr">
        <is>
          <t>West</t>
        </is>
      </c>
      <c r="F1880" t="inlineStr">
        <is>
          <t>Email</t>
        </is>
      </c>
      <c r="G1880" t="inlineStr">
        <is>
          <t>Mobile Web</t>
        </is>
      </c>
      <c r="H1880" t="inlineStr">
        <is>
          <t>Credit Card</t>
        </is>
      </c>
      <c r="I1880" t="inlineStr">
        <is>
          <t>Delivered</t>
        </is>
      </c>
      <c r="J1880" t="n">
        <v>107</v>
      </c>
      <c r="K1880" t="n">
        <v>1</v>
      </c>
      <c r="L1880" s="7" t="n">
        <v>1259</v>
      </c>
      <c r="M1880" s="7" t="n">
        <v>125.9</v>
      </c>
    </row>
    <row r="1881">
      <c r="A1881" t="n">
        <v>510274</v>
      </c>
      <c r="B1881" s="6" t="n">
        <v>45953</v>
      </c>
      <c r="C1881" t="n">
        <v>12738</v>
      </c>
      <c r="D1881" t="inlineStr">
        <is>
          <t>Ahmedabad</t>
        </is>
      </c>
      <c r="E1881" t="inlineStr">
        <is>
          <t>West</t>
        </is>
      </c>
      <c r="F1881" t="inlineStr">
        <is>
          <t>Email</t>
        </is>
      </c>
      <c r="G1881" t="inlineStr">
        <is>
          <t>Mobile Web</t>
        </is>
      </c>
      <c r="H1881" t="inlineStr">
        <is>
          <t>Credit Card</t>
        </is>
      </c>
      <c r="I1881" t="inlineStr">
        <is>
          <t>Delivered</t>
        </is>
      </c>
      <c r="J1881" t="n">
        <v>110</v>
      </c>
      <c r="K1881" t="n">
        <v>1</v>
      </c>
      <c r="L1881" s="7" t="n">
        <v>839</v>
      </c>
      <c r="M1881" s="7" t="n">
        <v>83.90000000000001</v>
      </c>
    </row>
    <row r="1882">
      <c r="A1882" t="n">
        <v>510275</v>
      </c>
      <c r="B1882" s="6" t="n">
        <v>45953</v>
      </c>
      <c r="C1882" t="n">
        <v>11331</v>
      </c>
      <c r="D1882" t="inlineStr">
        <is>
          <t>Bengaluru</t>
        </is>
      </c>
      <c r="E1882" t="inlineStr">
        <is>
          <t>South</t>
        </is>
      </c>
      <c r="F1882" t="inlineStr">
        <is>
          <t>Paid Search</t>
        </is>
      </c>
      <c r="G1882" t="inlineStr">
        <is>
          <t>Mobile Web</t>
        </is>
      </c>
      <c r="H1882" t="inlineStr">
        <is>
          <t>UPI</t>
        </is>
      </c>
      <c r="I1882" t="inlineStr">
        <is>
          <t>Delivered</t>
        </is>
      </c>
      <c r="J1882" t="n">
        <v>136</v>
      </c>
      <c r="K1882" t="n">
        <v>1</v>
      </c>
      <c r="L1882" s="7" t="n">
        <v>944</v>
      </c>
      <c r="M1882" s="7" t="n">
        <v>0</v>
      </c>
    </row>
    <row r="1883">
      <c r="A1883" t="n">
        <v>510275</v>
      </c>
      <c r="B1883" s="6" t="n">
        <v>45953</v>
      </c>
      <c r="C1883" t="n">
        <v>11331</v>
      </c>
      <c r="D1883" t="inlineStr">
        <is>
          <t>Bengaluru</t>
        </is>
      </c>
      <c r="E1883" t="inlineStr">
        <is>
          <t>South</t>
        </is>
      </c>
      <c r="F1883" t="inlineStr">
        <is>
          <t>Paid Search</t>
        </is>
      </c>
      <c r="G1883" t="inlineStr">
        <is>
          <t>Mobile Web</t>
        </is>
      </c>
      <c r="H1883" t="inlineStr">
        <is>
          <t>UPI</t>
        </is>
      </c>
      <c r="I1883" t="inlineStr">
        <is>
          <t>Delivered</t>
        </is>
      </c>
      <c r="J1883" t="n">
        <v>134</v>
      </c>
      <c r="K1883" t="n">
        <v>1</v>
      </c>
      <c r="L1883" s="7" t="n">
        <v>209</v>
      </c>
      <c r="M1883" s="7" t="n">
        <v>0</v>
      </c>
    </row>
    <row r="1884">
      <c r="A1884" t="n">
        <v>510275</v>
      </c>
      <c r="B1884" s="6" t="n">
        <v>45953</v>
      </c>
      <c r="C1884" t="n">
        <v>11331</v>
      </c>
      <c r="D1884" t="inlineStr">
        <is>
          <t>Bengaluru</t>
        </is>
      </c>
      <c r="E1884" t="inlineStr">
        <is>
          <t>South</t>
        </is>
      </c>
      <c r="F1884" t="inlineStr">
        <is>
          <t>Paid Search</t>
        </is>
      </c>
      <c r="G1884" t="inlineStr">
        <is>
          <t>Mobile Web</t>
        </is>
      </c>
      <c r="H1884" t="inlineStr">
        <is>
          <t>UPI</t>
        </is>
      </c>
      <c r="I1884" t="inlineStr">
        <is>
          <t>Delivered</t>
        </is>
      </c>
      <c r="J1884" t="n">
        <v>107</v>
      </c>
      <c r="K1884" t="n">
        <v>2</v>
      </c>
      <c r="L1884" s="7" t="n">
        <v>1259</v>
      </c>
      <c r="M1884" s="7" t="n">
        <v>0</v>
      </c>
    </row>
    <row r="1885">
      <c r="A1885" t="n">
        <v>510275</v>
      </c>
      <c r="B1885" s="6" t="n">
        <v>45953</v>
      </c>
      <c r="C1885" t="n">
        <v>11331</v>
      </c>
      <c r="D1885" t="inlineStr">
        <is>
          <t>Bengaluru</t>
        </is>
      </c>
      <c r="E1885" t="inlineStr">
        <is>
          <t>South</t>
        </is>
      </c>
      <c r="F1885" t="inlineStr">
        <is>
          <t>Paid Search</t>
        </is>
      </c>
      <c r="G1885" t="inlineStr">
        <is>
          <t>Mobile Web</t>
        </is>
      </c>
      <c r="H1885" t="inlineStr">
        <is>
          <t>UPI</t>
        </is>
      </c>
      <c r="I1885" t="inlineStr">
        <is>
          <t>Delivered</t>
        </is>
      </c>
      <c r="J1885" t="n">
        <v>102</v>
      </c>
      <c r="K1885" t="n">
        <v>1</v>
      </c>
      <c r="L1885" s="7" t="n">
        <v>3674</v>
      </c>
      <c r="M1885" s="7" t="n">
        <v>0</v>
      </c>
    </row>
    <row r="1886">
      <c r="A1886" t="n">
        <v>510276</v>
      </c>
      <c r="B1886" s="6" t="n">
        <v>45953</v>
      </c>
      <c r="C1886" t="n">
        <v>16961</v>
      </c>
      <c r="D1886" t="inlineStr">
        <is>
          <t>Bengaluru</t>
        </is>
      </c>
      <c r="E1886" t="inlineStr">
        <is>
          <t>South</t>
        </is>
      </c>
      <c r="F1886" t="inlineStr">
        <is>
          <t>Affiliate</t>
        </is>
      </c>
      <c r="G1886" t="inlineStr">
        <is>
          <t>Mobile App</t>
        </is>
      </c>
      <c r="H1886" t="inlineStr">
        <is>
          <t>UPI</t>
        </is>
      </c>
      <c r="I1886" t="inlineStr">
        <is>
          <t>Delivered</t>
        </is>
      </c>
      <c r="J1886" t="n">
        <v>111</v>
      </c>
      <c r="K1886" t="n">
        <v>1</v>
      </c>
      <c r="L1886" s="7" t="n">
        <v>524</v>
      </c>
      <c r="M1886" s="7" t="n">
        <v>52.4</v>
      </c>
    </row>
    <row r="1887">
      <c r="A1887" t="n">
        <v>510276</v>
      </c>
      <c r="B1887" s="6" t="n">
        <v>45953</v>
      </c>
      <c r="C1887" t="n">
        <v>16961</v>
      </c>
      <c r="D1887" t="inlineStr">
        <is>
          <t>Bengaluru</t>
        </is>
      </c>
      <c r="E1887" t="inlineStr">
        <is>
          <t>South</t>
        </is>
      </c>
      <c r="F1887" t="inlineStr">
        <is>
          <t>Affiliate</t>
        </is>
      </c>
      <c r="G1887" t="inlineStr">
        <is>
          <t>Mobile App</t>
        </is>
      </c>
      <c r="H1887" t="inlineStr">
        <is>
          <t>UPI</t>
        </is>
      </c>
      <c r="I1887" t="inlineStr">
        <is>
          <t>Delivered</t>
        </is>
      </c>
      <c r="J1887" t="n">
        <v>118</v>
      </c>
      <c r="K1887" t="n">
        <v>1</v>
      </c>
      <c r="L1887" s="7" t="n">
        <v>944</v>
      </c>
      <c r="M1887" s="7" t="n">
        <v>94.40000000000001</v>
      </c>
    </row>
    <row r="1888">
      <c r="A1888" t="n">
        <v>510277</v>
      </c>
      <c r="B1888" s="6" t="n">
        <v>45953</v>
      </c>
      <c r="C1888" t="n">
        <v>16429</v>
      </c>
      <c r="D1888" t="inlineStr">
        <is>
          <t>Bengaluru</t>
        </is>
      </c>
      <c r="E1888" t="inlineStr">
        <is>
          <t>South</t>
        </is>
      </c>
      <c r="F1888" t="inlineStr">
        <is>
          <t>Organic Search</t>
        </is>
      </c>
      <c r="G1888" t="inlineStr">
        <is>
          <t>Mobile App</t>
        </is>
      </c>
      <c r="H1888" t="inlineStr">
        <is>
          <t>Credit Card</t>
        </is>
      </c>
      <c r="I1888" t="inlineStr">
        <is>
          <t>Delivered</t>
        </is>
      </c>
      <c r="J1888" t="n">
        <v>147</v>
      </c>
      <c r="K1888" t="n">
        <v>2</v>
      </c>
      <c r="L1888" s="7" t="n">
        <v>1364</v>
      </c>
      <c r="M1888" s="7" t="n">
        <v>272.8</v>
      </c>
    </row>
    <row r="1889">
      <c r="A1889" t="n">
        <v>510277</v>
      </c>
      <c r="B1889" s="6" t="n">
        <v>45953</v>
      </c>
      <c r="C1889" t="n">
        <v>16429</v>
      </c>
      <c r="D1889" t="inlineStr">
        <is>
          <t>Bengaluru</t>
        </is>
      </c>
      <c r="E1889" t="inlineStr">
        <is>
          <t>South</t>
        </is>
      </c>
      <c r="F1889" t="inlineStr">
        <is>
          <t>Organic Search</t>
        </is>
      </c>
      <c r="G1889" t="inlineStr">
        <is>
          <t>Mobile App</t>
        </is>
      </c>
      <c r="H1889" t="inlineStr">
        <is>
          <t>Credit Card</t>
        </is>
      </c>
      <c r="I1889" t="inlineStr">
        <is>
          <t>Delivered</t>
        </is>
      </c>
      <c r="J1889" t="n">
        <v>129</v>
      </c>
      <c r="K1889" t="n">
        <v>2</v>
      </c>
      <c r="L1889" s="7" t="n">
        <v>576</v>
      </c>
      <c r="M1889" s="7" t="n">
        <v>115.2</v>
      </c>
    </row>
    <row r="1890">
      <c r="A1890" t="n">
        <v>510278</v>
      </c>
      <c r="B1890" s="6" t="n">
        <v>45953</v>
      </c>
      <c r="C1890" t="n">
        <v>16705</v>
      </c>
      <c r="D1890" t="inlineStr">
        <is>
          <t>Indore</t>
        </is>
      </c>
      <c r="E1890" t="inlineStr">
        <is>
          <t>West</t>
        </is>
      </c>
      <c r="F1890" t="inlineStr">
        <is>
          <t>Organic Search</t>
        </is>
      </c>
      <c r="G1890" t="inlineStr">
        <is>
          <t>Desktop</t>
        </is>
      </c>
      <c r="H1890" t="inlineStr">
        <is>
          <t>UPI</t>
        </is>
      </c>
      <c r="I1890" t="inlineStr">
        <is>
          <t>Delivered</t>
        </is>
      </c>
      <c r="J1890" t="n">
        <v>146</v>
      </c>
      <c r="K1890" t="n">
        <v>1</v>
      </c>
      <c r="L1890" s="7" t="n">
        <v>4724</v>
      </c>
      <c r="M1890" s="7" t="n">
        <v>472.4</v>
      </c>
    </row>
    <row r="1891">
      <c r="A1891" t="n">
        <v>510279</v>
      </c>
      <c r="B1891" s="6" t="n">
        <v>45953</v>
      </c>
      <c r="C1891" t="n">
        <v>10235</v>
      </c>
      <c r="D1891" t="inlineStr">
        <is>
          <t>Kolkata</t>
        </is>
      </c>
      <c r="E1891" t="inlineStr">
        <is>
          <t>East</t>
        </is>
      </c>
      <c r="F1891" t="inlineStr">
        <is>
          <t>Email</t>
        </is>
      </c>
      <c r="G1891" t="inlineStr">
        <is>
          <t>Mobile App</t>
        </is>
      </c>
      <c r="H1891" t="inlineStr">
        <is>
          <t>UPI</t>
        </is>
      </c>
      <c r="I1891" t="inlineStr">
        <is>
          <t>Delivered</t>
        </is>
      </c>
      <c r="J1891" t="n">
        <v>137</v>
      </c>
      <c r="K1891" t="n">
        <v>1</v>
      </c>
      <c r="L1891" s="7" t="n">
        <v>261</v>
      </c>
      <c r="M1891" s="7" t="n">
        <v>26.1</v>
      </c>
    </row>
    <row r="1892">
      <c r="A1892" t="n">
        <v>510279</v>
      </c>
      <c r="B1892" s="6" t="n">
        <v>45953</v>
      </c>
      <c r="C1892" t="n">
        <v>10235</v>
      </c>
      <c r="D1892" t="inlineStr">
        <is>
          <t>Kolkata</t>
        </is>
      </c>
      <c r="E1892" t="inlineStr">
        <is>
          <t>East</t>
        </is>
      </c>
      <c r="F1892" t="inlineStr">
        <is>
          <t>Email</t>
        </is>
      </c>
      <c r="G1892" t="inlineStr">
        <is>
          <t>Mobile App</t>
        </is>
      </c>
      <c r="H1892" t="inlineStr">
        <is>
          <t>UPI</t>
        </is>
      </c>
      <c r="I1892" t="inlineStr">
        <is>
          <t>Delivered</t>
        </is>
      </c>
      <c r="J1892" t="n">
        <v>129</v>
      </c>
      <c r="K1892" t="n">
        <v>1</v>
      </c>
      <c r="L1892" s="7" t="n">
        <v>576</v>
      </c>
      <c r="M1892" s="7" t="n">
        <v>57.6</v>
      </c>
    </row>
    <row r="1893">
      <c r="A1893" t="n">
        <v>510280</v>
      </c>
      <c r="B1893" s="6" t="n">
        <v>45953</v>
      </c>
      <c r="C1893" t="n">
        <v>14225</v>
      </c>
      <c r="D1893" t="inlineStr">
        <is>
          <t>Pune</t>
        </is>
      </c>
      <c r="E1893" t="inlineStr">
        <is>
          <t>West</t>
        </is>
      </c>
      <c r="F1893" t="inlineStr">
        <is>
          <t>Paid Search</t>
        </is>
      </c>
      <c r="G1893" t="inlineStr">
        <is>
          <t>Mobile Web</t>
        </is>
      </c>
      <c r="H1893" t="inlineStr">
        <is>
          <t>Debit Card</t>
        </is>
      </c>
      <c r="I1893" t="inlineStr">
        <is>
          <t>Delivered</t>
        </is>
      </c>
      <c r="J1893" t="n">
        <v>103</v>
      </c>
      <c r="K1893" t="n">
        <v>1</v>
      </c>
      <c r="L1893" s="7" t="n">
        <v>2624</v>
      </c>
      <c r="M1893" s="7" t="n">
        <v>262.4</v>
      </c>
    </row>
    <row r="1894">
      <c r="A1894" t="n">
        <v>510281</v>
      </c>
      <c r="B1894" s="6" t="n">
        <v>45953</v>
      </c>
      <c r="C1894" t="n">
        <v>15997</v>
      </c>
      <c r="D1894" t="inlineStr">
        <is>
          <t>Bengaluru</t>
        </is>
      </c>
      <c r="E1894" t="inlineStr">
        <is>
          <t>South</t>
        </is>
      </c>
      <c r="F1894" t="inlineStr">
        <is>
          <t>Organic Search</t>
        </is>
      </c>
      <c r="G1894" t="inlineStr">
        <is>
          <t>Mobile Web</t>
        </is>
      </c>
      <c r="H1894" t="inlineStr">
        <is>
          <t>UPI</t>
        </is>
      </c>
      <c r="I1894" t="inlineStr">
        <is>
          <t>Delivered</t>
        </is>
      </c>
      <c r="J1894" t="n">
        <v>111</v>
      </c>
      <c r="K1894" t="n">
        <v>2</v>
      </c>
      <c r="L1894" s="7" t="n">
        <v>524</v>
      </c>
      <c r="M1894" s="7" t="n">
        <v>104.8</v>
      </c>
    </row>
    <row r="1895">
      <c r="A1895" t="n">
        <v>510281</v>
      </c>
      <c r="B1895" s="6" t="n">
        <v>45953</v>
      </c>
      <c r="C1895" t="n">
        <v>15997</v>
      </c>
      <c r="D1895" t="inlineStr">
        <is>
          <t>Bengaluru</t>
        </is>
      </c>
      <c r="E1895" t="inlineStr">
        <is>
          <t>South</t>
        </is>
      </c>
      <c r="F1895" t="inlineStr">
        <is>
          <t>Organic Search</t>
        </is>
      </c>
      <c r="G1895" t="inlineStr">
        <is>
          <t>Mobile Web</t>
        </is>
      </c>
      <c r="H1895" t="inlineStr">
        <is>
          <t>UPI</t>
        </is>
      </c>
      <c r="I1895" t="inlineStr">
        <is>
          <t>Delivered</t>
        </is>
      </c>
      <c r="J1895" t="n">
        <v>144</v>
      </c>
      <c r="K1895" t="n">
        <v>1</v>
      </c>
      <c r="L1895" s="7" t="n">
        <v>3149</v>
      </c>
      <c r="M1895" s="7" t="n">
        <v>314.9</v>
      </c>
    </row>
    <row r="1896">
      <c r="A1896" t="n">
        <v>510282</v>
      </c>
      <c r="B1896" s="6" t="n">
        <v>45953</v>
      </c>
      <c r="C1896" t="n">
        <v>16711</v>
      </c>
      <c r="D1896" t="inlineStr">
        <is>
          <t>Chennai</t>
        </is>
      </c>
      <c r="E1896" t="inlineStr">
        <is>
          <t>South</t>
        </is>
      </c>
      <c r="F1896" t="inlineStr">
        <is>
          <t>Paid Social</t>
        </is>
      </c>
      <c r="G1896" t="inlineStr">
        <is>
          <t>Desktop</t>
        </is>
      </c>
      <c r="H1896" t="inlineStr">
        <is>
          <t>Cash on Delivery</t>
        </is>
      </c>
      <c r="I1896" t="inlineStr">
        <is>
          <t>Delivered</t>
        </is>
      </c>
      <c r="J1896" t="n">
        <v>110</v>
      </c>
      <c r="K1896" t="n">
        <v>1</v>
      </c>
      <c r="L1896" s="7" t="n">
        <v>839</v>
      </c>
      <c r="M1896" s="7" t="n">
        <v>83.90000000000001</v>
      </c>
    </row>
    <row r="1897">
      <c r="A1897" t="n">
        <v>510283</v>
      </c>
      <c r="B1897" s="6" t="n">
        <v>45953</v>
      </c>
      <c r="C1897" t="n">
        <v>12357</v>
      </c>
      <c r="D1897" t="inlineStr">
        <is>
          <t>Hyderabad</t>
        </is>
      </c>
      <c r="E1897" t="inlineStr">
        <is>
          <t>South</t>
        </is>
      </c>
      <c r="F1897" t="inlineStr">
        <is>
          <t>Referral</t>
        </is>
      </c>
      <c r="G1897" t="inlineStr">
        <is>
          <t>Desktop</t>
        </is>
      </c>
      <c r="H1897" t="inlineStr">
        <is>
          <t>Net Banking</t>
        </is>
      </c>
      <c r="I1897" t="inlineStr">
        <is>
          <t>Returned</t>
        </is>
      </c>
      <c r="J1897" t="n">
        <v>114</v>
      </c>
      <c r="K1897" t="n">
        <v>1</v>
      </c>
      <c r="L1897" s="7" t="n">
        <v>1259</v>
      </c>
      <c r="M1897" s="7" t="n">
        <v>125.9</v>
      </c>
    </row>
    <row r="1898">
      <c r="A1898" t="n">
        <v>510283</v>
      </c>
      <c r="B1898" s="6" t="n">
        <v>45953</v>
      </c>
      <c r="C1898" t="n">
        <v>12357</v>
      </c>
      <c r="D1898" t="inlineStr">
        <is>
          <t>Hyderabad</t>
        </is>
      </c>
      <c r="E1898" t="inlineStr">
        <is>
          <t>South</t>
        </is>
      </c>
      <c r="F1898" t="inlineStr">
        <is>
          <t>Referral</t>
        </is>
      </c>
      <c r="G1898" t="inlineStr">
        <is>
          <t>Desktop</t>
        </is>
      </c>
      <c r="H1898" t="inlineStr">
        <is>
          <t>Net Banking</t>
        </is>
      </c>
      <c r="I1898" t="inlineStr">
        <is>
          <t>Returned</t>
        </is>
      </c>
      <c r="J1898" t="n">
        <v>116</v>
      </c>
      <c r="K1898" t="n">
        <v>1</v>
      </c>
      <c r="L1898" s="7" t="n">
        <v>2624</v>
      </c>
      <c r="M1898" s="7" t="n">
        <v>262.4</v>
      </c>
    </row>
    <row r="1899">
      <c r="A1899" t="n">
        <v>510283</v>
      </c>
      <c r="B1899" s="6" t="n">
        <v>45953</v>
      </c>
      <c r="C1899" t="n">
        <v>12357</v>
      </c>
      <c r="D1899" t="inlineStr">
        <is>
          <t>Hyderabad</t>
        </is>
      </c>
      <c r="E1899" t="inlineStr">
        <is>
          <t>South</t>
        </is>
      </c>
      <c r="F1899" t="inlineStr">
        <is>
          <t>Referral</t>
        </is>
      </c>
      <c r="G1899" t="inlineStr">
        <is>
          <t>Desktop</t>
        </is>
      </c>
      <c r="H1899" t="inlineStr">
        <is>
          <t>Net Banking</t>
        </is>
      </c>
      <c r="I1899" t="inlineStr">
        <is>
          <t>Returned</t>
        </is>
      </c>
      <c r="J1899" t="n">
        <v>129</v>
      </c>
      <c r="K1899" t="n">
        <v>1</v>
      </c>
      <c r="L1899" s="7" t="n">
        <v>576</v>
      </c>
      <c r="M1899" s="7" t="n">
        <v>57.6</v>
      </c>
    </row>
    <row r="1900">
      <c r="A1900" t="n">
        <v>510284</v>
      </c>
      <c r="B1900" s="6" t="n">
        <v>45953</v>
      </c>
      <c r="C1900" t="n">
        <v>13002</v>
      </c>
      <c r="D1900" t="inlineStr">
        <is>
          <t>Mumbai</t>
        </is>
      </c>
      <c r="E1900" t="inlineStr">
        <is>
          <t>West</t>
        </is>
      </c>
      <c r="F1900" t="inlineStr">
        <is>
          <t>Organic Search</t>
        </is>
      </c>
      <c r="G1900" t="inlineStr">
        <is>
          <t>Mobile App</t>
        </is>
      </c>
      <c r="H1900" t="inlineStr">
        <is>
          <t>Cash on Delivery</t>
        </is>
      </c>
      <c r="I1900" t="inlineStr">
        <is>
          <t>Cancelled</t>
        </is>
      </c>
      <c r="J1900" t="n">
        <v>117</v>
      </c>
      <c r="K1900" t="n">
        <v>1</v>
      </c>
      <c r="L1900" s="7" t="n">
        <v>3149</v>
      </c>
      <c r="M1900" s="7" t="n">
        <v>314.9</v>
      </c>
    </row>
    <row r="1901">
      <c r="A1901" t="n">
        <v>510285</v>
      </c>
      <c r="B1901" s="6" t="n">
        <v>45953</v>
      </c>
      <c r="C1901" t="n">
        <v>16937</v>
      </c>
      <c r="D1901" t="inlineStr">
        <is>
          <t>Bengaluru</t>
        </is>
      </c>
      <c r="E1901" t="inlineStr">
        <is>
          <t>South</t>
        </is>
      </c>
      <c r="F1901" t="inlineStr">
        <is>
          <t>Paid Search</t>
        </is>
      </c>
      <c r="G1901" t="inlineStr">
        <is>
          <t>Mobile App</t>
        </is>
      </c>
      <c r="H1901" t="inlineStr">
        <is>
          <t>Debit Card</t>
        </is>
      </c>
      <c r="I1901" t="inlineStr">
        <is>
          <t>Delivered</t>
        </is>
      </c>
      <c r="J1901" t="n">
        <v>118</v>
      </c>
      <c r="K1901" t="n">
        <v>1</v>
      </c>
      <c r="L1901" s="7" t="n">
        <v>944</v>
      </c>
      <c r="M1901" s="7" t="n">
        <v>94.40000000000001</v>
      </c>
    </row>
    <row r="1902">
      <c r="A1902" t="n">
        <v>510285</v>
      </c>
      <c r="B1902" s="6" t="n">
        <v>45953</v>
      </c>
      <c r="C1902" t="n">
        <v>16937</v>
      </c>
      <c r="D1902" t="inlineStr">
        <is>
          <t>Bengaluru</t>
        </is>
      </c>
      <c r="E1902" t="inlineStr">
        <is>
          <t>South</t>
        </is>
      </c>
      <c r="F1902" t="inlineStr">
        <is>
          <t>Paid Search</t>
        </is>
      </c>
      <c r="G1902" t="inlineStr">
        <is>
          <t>Mobile App</t>
        </is>
      </c>
      <c r="H1902" t="inlineStr">
        <is>
          <t>Debit Card</t>
        </is>
      </c>
      <c r="I1902" t="inlineStr">
        <is>
          <t>Delivered</t>
        </is>
      </c>
      <c r="J1902" t="n">
        <v>129</v>
      </c>
      <c r="K1902" t="n">
        <v>1</v>
      </c>
      <c r="L1902" s="7" t="n">
        <v>576</v>
      </c>
      <c r="M1902" s="7" t="n">
        <v>57.6</v>
      </c>
    </row>
    <row r="1903">
      <c r="A1903" t="n">
        <v>510286</v>
      </c>
      <c r="B1903" s="6" t="n">
        <v>45953</v>
      </c>
      <c r="C1903" t="n">
        <v>16940</v>
      </c>
      <c r="D1903" t="inlineStr">
        <is>
          <t>Jaipur</t>
        </is>
      </c>
      <c r="E1903" t="inlineStr">
        <is>
          <t>North</t>
        </is>
      </c>
      <c r="F1903" t="inlineStr">
        <is>
          <t>Paid Social</t>
        </is>
      </c>
      <c r="G1903" t="inlineStr">
        <is>
          <t>Mobile Web</t>
        </is>
      </c>
      <c r="H1903" t="inlineStr">
        <is>
          <t>Cash on Delivery</t>
        </is>
      </c>
      <c r="I1903" t="inlineStr">
        <is>
          <t>Delivered</t>
        </is>
      </c>
      <c r="J1903" t="n">
        <v>102</v>
      </c>
      <c r="K1903" t="n">
        <v>1</v>
      </c>
      <c r="L1903" s="7" t="n">
        <v>3674</v>
      </c>
      <c r="M1903" s="7" t="n">
        <v>551.1</v>
      </c>
    </row>
    <row r="1904">
      <c r="A1904" t="n">
        <v>510287</v>
      </c>
      <c r="B1904" s="6" t="n">
        <v>45953</v>
      </c>
      <c r="C1904" t="n">
        <v>10440</v>
      </c>
      <c r="D1904" t="inlineStr">
        <is>
          <t>Gurugram</t>
        </is>
      </c>
      <c r="E1904" t="inlineStr">
        <is>
          <t>North</t>
        </is>
      </c>
      <c r="F1904" t="inlineStr">
        <is>
          <t>Paid Search</t>
        </is>
      </c>
      <c r="G1904" t="inlineStr">
        <is>
          <t>Desktop</t>
        </is>
      </c>
      <c r="H1904" t="inlineStr">
        <is>
          <t>Cash on Delivery</t>
        </is>
      </c>
      <c r="I1904" t="inlineStr">
        <is>
          <t>Delivered</t>
        </is>
      </c>
      <c r="J1904" t="n">
        <v>132</v>
      </c>
      <c r="K1904" t="n">
        <v>1</v>
      </c>
      <c r="L1904" s="7" t="n">
        <v>471</v>
      </c>
      <c r="M1904" s="7" t="n">
        <v>47.1</v>
      </c>
    </row>
    <row r="1905">
      <c r="A1905" t="n">
        <v>510288</v>
      </c>
      <c r="B1905" s="6" t="n">
        <v>45953</v>
      </c>
      <c r="C1905" t="n">
        <v>11198</v>
      </c>
      <c r="D1905" t="inlineStr">
        <is>
          <t>Chennai</t>
        </is>
      </c>
      <c r="E1905" t="inlineStr">
        <is>
          <t>South</t>
        </is>
      </c>
      <c r="F1905" t="inlineStr">
        <is>
          <t>Organic Search</t>
        </is>
      </c>
      <c r="G1905" t="inlineStr">
        <is>
          <t>Mobile Web</t>
        </is>
      </c>
      <c r="H1905" t="inlineStr">
        <is>
          <t>UPI</t>
        </is>
      </c>
      <c r="I1905" t="inlineStr">
        <is>
          <t>Returned</t>
        </is>
      </c>
      <c r="J1905" t="n">
        <v>145</v>
      </c>
      <c r="K1905" t="n">
        <v>2</v>
      </c>
      <c r="L1905" s="7" t="n">
        <v>629</v>
      </c>
      <c r="M1905" s="7" t="n">
        <v>125.8</v>
      </c>
    </row>
    <row r="1906">
      <c r="A1906" t="n">
        <v>510288</v>
      </c>
      <c r="B1906" s="6" t="n">
        <v>45953</v>
      </c>
      <c r="C1906" t="n">
        <v>11198</v>
      </c>
      <c r="D1906" t="inlineStr">
        <is>
          <t>Chennai</t>
        </is>
      </c>
      <c r="E1906" t="inlineStr">
        <is>
          <t>South</t>
        </is>
      </c>
      <c r="F1906" t="inlineStr">
        <is>
          <t>Organic Search</t>
        </is>
      </c>
      <c r="G1906" t="inlineStr">
        <is>
          <t>Mobile Web</t>
        </is>
      </c>
      <c r="H1906" t="inlineStr">
        <is>
          <t>UPI</t>
        </is>
      </c>
      <c r="I1906" t="inlineStr">
        <is>
          <t>Returned</t>
        </is>
      </c>
      <c r="J1906" t="n">
        <v>115</v>
      </c>
      <c r="K1906" t="n">
        <v>1</v>
      </c>
      <c r="L1906" s="7" t="n">
        <v>4199</v>
      </c>
      <c r="M1906" s="7" t="n">
        <v>419.9</v>
      </c>
    </row>
    <row r="1907">
      <c r="A1907" t="n">
        <v>510288</v>
      </c>
      <c r="B1907" s="6" t="n">
        <v>45953</v>
      </c>
      <c r="C1907" t="n">
        <v>11198</v>
      </c>
      <c r="D1907" t="inlineStr">
        <is>
          <t>Chennai</t>
        </is>
      </c>
      <c r="E1907" t="inlineStr">
        <is>
          <t>South</t>
        </is>
      </c>
      <c r="F1907" t="inlineStr">
        <is>
          <t>Organic Search</t>
        </is>
      </c>
      <c r="G1907" t="inlineStr">
        <is>
          <t>Mobile Web</t>
        </is>
      </c>
      <c r="H1907" t="inlineStr">
        <is>
          <t>UPI</t>
        </is>
      </c>
      <c r="I1907" t="inlineStr">
        <is>
          <t>Returned</t>
        </is>
      </c>
      <c r="J1907" t="n">
        <v>137</v>
      </c>
      <c r="K1907" t="n">
        <v>1</v>
      </c>
      <c r="L1907" s="7" t="n">
        <v>261</v>
      </c>
      <c r="M1907" s="7" t="n">
        <v>26.1</v>
      </c>
    </row>
    <row r="1908">
      <c r="A1908" t="n">
        <v>510289</v>
      </c>
      <c r="B1908" s="6" t="n">
        <v>45953</v>
      </c>
      <c r="C1908" t="n">
        <v>15738</v>
      </c>
      <c r="D1908" t="inlineStr">
        <is>
          <t>Delhi</t>
        </is>
      </c>
      <c r="E1908" t="inlineStr">
        <is>
          <t>North</t>
        </is>
      </c>
      <c r="F1908" t="inlineStr">
        <is>
          <t>Organic Search</t>
        </is>
      </c>
      <c r="G1908" t="inlineStr">
        <is>
          <t>Mobile App</t>
        </is>
      </c>
      <c r="H1908" t="inlineStr">
        <is>
          <t>UPI</t>
        </is>
      </c>
      <c r="I1908" t="inlineStr">
        <is>
          <t>Delivered</t>
        </is>
      </c>
      <c r="J1908" t="n">
        <v>118</v>
      </c>
      <c r="K1908" t="n">
        <v>1</v>
      </c>
      <c r="L1908" s="7" t="n">
        <v>944</v>
      </c>
      <c r="M1908" s="7" t="n">
        <v>94.40000000000001</v>
      </c>
    </row>
    <row r="1909">
      <c r="A1909" t="n">
        <v>510289</v>
      </c>
      <c r="B1909" s="6" t="n">
        <v>45953</v>
      </c>
      <c r="C1909" t="n">
        <v>15738</v>
      </c>
      <c r="D1909" t="inlineStr">
        <is>
          <t>Delhi</t>
        </is>
      </c>
      <c r="E1909" t="inlineStr">
        <is>
          <t>North</t>
        </is>
      </c>
      <c r="F1909" t="inlineStr">
        <is>
          <t>Organic Search</t>
        </is>
      </c>
      <c r="G1909" t="inlineStr">
        <is>
          <t>Mobile App</t>
        </is>
      </c>
      <c r="H1909" t="inlineStr">
        <is>
          <t>UPI</t>
        </is>
      </c>
      <c r="I1909" t="inlineStr">
        <is>
          <t>Delivered</t>
        </is>
      </c>
      <c r="J1909" t="n">
        <v>129</v>
      </c>
      <c r="K1909" t="n">
        <v>1</v>
      </c>
      <c r="L1909" s="7" t="n">
        <v>576</v>
      </c>
      <c r="M1909" s="7" t="n">
        <v>57.6</v>
      </c>
    </row>
    <row r="1910">
      <c r="A1910" t="n">
        <v>510290</v>
      </c>
      <c r="B1910" s="6" t="n">
        <v>45953</v>
      </c>
      <c r="C1910" t="n">
        <v>12536</v>
      </c>
      <c r="D1910" t="inlineStr">
        <is>
          <t>Bengaluru</t>
        </is>
      </c>
      <c r="E1910" t="inlineStr">
        <is>
          <t>South</t>
        </is>
      </c>
      <c r="F1910" t="inlineStr">
        <is>
          <t>Organic Search</t>
        </is>
      </c>
      <c r="G1910" t="inlineStr">
        <is>
          <t>Mobile App</t>
        </is>
      </c>
      <c r="H1910" t="inlineStr">
        <is>
          <t>Credit Card</t>
        </is>
      </c>
      <c r="I1910" t="inlineStr">
        <is>
          <t>Delivered</t>
        </is>
      </c>
      <c r="J1910" t="n">
        <v>145</v>
      </c>
      <c r="K1910" t="n">
        <v>2</v>
      </c>
      <c r="L1910" s="7" t="n">
        <v>629</v>
      </c>
      <c r="M1910" s="7" t="n">
        <v>0</v>
      </c>
    </row>
    <row r="1911">
      <c r="A1911" t="n">
        <v>510290</v>
      </c>
      <c r="B1911" s="6" t="n">
        <v>45953</v>
      </c>
      <c r="C1911" t="n">
        <v>12536</v>
      </c>
      <c r="D1911" t="inlineStr">
        <is>
          <t>Bengaluru</t>
        </is>
      </c>
      <c r="E1911" t="inlineStr">
        <is>
          <t>South</t>
        </is>
      </c>
      <c r="F1911" t="inlineStr">
        <is>
          <t>Organic Search</t>
        </is>
      </c>
      <c r="G1911" t="inlineStr">
        <is>
          <t>Mobile App</t>
        </is>
      </c>
      <c r="H1911" t="inlineStr">
        <is>
          <t>Credit Card</t>
        </is>
      </c>
      <c r="I1911" t="inlineStr">
        <is>
          <t>Delivered</t>
        </is>
      </c>
      <c r="J1911" t="n">
        <v>105</v>
      </c>
      <c r="K1911" t="n">
        <v>2</v>
      </c>
      <c r="L1911" s="7" t="n">
        <v>2414</v>
      </c>
      <c r="M1911" s="7" t="n">
        <v>0</v>
      </c>
    </row>
    <row r="1912">
      <c r="A1912" t="n">
        <v>510290</v>
      </c>
      <c r="B1912" s="6" t="n">
        <v>45953</v>
      </c>
      <c r="C1912" t="n">
        <v>12536</v>
      </c>
      <c r="D1912" t="inlineStr">
        <is>
          <t>Bengaluru</t>
        </is>
      </c>
      <c r="E1912" t="inlineStr">
        <is>
          <t>South</t>
        </is>
      </c>
      <c r="F1912" t="inlineStr">
        <is>
          <t>Organic Search</t>
        </is>
      </c>
      <c r="G1912" t="inlineStr">
        <is>
          <t>Mobile App</t>
        </is>
      </c>
      <c r="H1912" t="inlineStr">
        <is>
          <t>Credit Card</t>
        </is>
      </c>
      <c r="I1912" t="inlineStr">
        <is>
          <t>Delivered</t>
        </is>
      </c>
      <c r="J1912" t="n">
        <v>108</v>
      </c>
      <c r="K1912" t="n">
        <v>1</v>
      </c>
      <c r="L1912" s="7" t="n">
        <v>419</v>
      </c>
      <c r="M1912" s="7" t="n">
        <v>0</v>
      </c>
    </row>
    <row r="1913">
      <c r="A1913" t="n">
        <v>510290</v>
      </c>
      <c r="B1913" s="6" t="n">
        <v>45953</v>
      </c>
      <c r="C1913" t="n">
        <v>12536</v>
      </c>
      <c r="D1913" t="inlineStr">
        <is>
          <t>Bengaluru</t>
        </is>
      </c>
      <c r="E1913" t="inlineStr">
        <is>
          <t>South</t>
        </is>
      </c>
      <c r="F1913" t="inlineStr">
        <is>
          <t>Organic Search</t>
        </is>
      </c>
      <c r="G1913" t="inlineStr">
        <is>
          <t>Mobile App</t>
        </is>
      </c>
      <c r="H1913" t="inlineStr">
        <is>
          <t>Credit Card</t>
        </is>
      </c>
      <c r="I1913" t="inlineStr">
        <is>
          <t>Delivered</t>
        </is>
      </c>
      <c r="J1913" t="n">
        <v>129</v>
      </c>
      <c r="K1913" t="n">
        <v>1</v>
      </c>
      <c r="L1913" s="7" t="n">
        <v>576</v>
      </c>
      <c r="M1913" s="7" t="n">
        <v>0</v>
      </c>
    </row>
    <row r="1914">
      <c r="A1914" t="n">
        <v>510291</v>
      </c>
      <c r="B1914" s="6" t="n">
        <v>45953</v>
      </c>
      <c r="C1914" t="n">
        <v>11051</v>
      </c>
      <c r="D1914" t="inlineStr">
        <is>
          <t>Chennai</t>
        </is>
      </c>
      <c r="E1914" t="inlineStr">
        <is>
          <t>South</t>
        </is>
      </c>
      <c r="F1914" t="inlineStr">
        <is>
          <t>Paid Search</t>
        </is>
      </c>
      <c r="G1914" t="inlineStr">
        <is>
          <t>Mobile Web</t>
        </is>
      </c>
      <c r="H1914" t="inlineStr">
        <is>
          <t>UPI</t>
        </is>
      </c>
      <c r="I1914" t="inlineStr">
        <is>
          <t>Cancelled</t>
        </is>
      </c>
      <c r="J1914" t="n">
        <v>135</v>
      </c>
      <c r="K1914" t="n">
        <v>1</v>
      </c>
      <c r="L1914" s="7" t="n">
        <v>1574</v>
      </c>
      <c r="M1914" s="7" t="n">
        <v>157.4</v>
      </c>
    </row>
    <row r="1915">
      <c r="A1915" t="n">
        <v>510292</v>
      </c>
      <c r="B1915" s="6" t="n">
        <v>45953</v>
      </c>
      <c r="C1915" t="n">
        <v>16982</v>
      </c>
      <c r="D1915" t="inlineStr">
        <is>
          <t>Mumbai</t>
        </is>
      </c>
      <c r="E1915" t="inlineStr">
        <is>
          <t>West</t>
        </is>
      </c>
      <c r="F1915" t="inlineStr">
        <is>
          <t>Organic Search</t>
        </is>
      </c>
      <c r="G1915" t="inlineStr">
        <is>
          <t>Mobile Web</t>
        </is>
      </c>
      <c r="H1915" t="inlineStr">
        <is>
          <t>UPI</t>
        </is>
      </c>
      <c r="I1915" t="inlineStr">
        <is>
          <t>Delivered</t>
        </is>
      </c>
      <c r="J1915" t="n">
        <v>144</v>
      </c>
      <c r="K1915" t="n">
        <v>1</v>
      </c>
      <c r="L1915" s="7" t="n">
        <v>3149</v>
      </c>
      <c r="M1915" s="7" t="n">
        <v>314.9</v>
      </c>
    </row>
    <row r="1916">
      <c r="A1916" t="n">
        <v>510293</v>
      </c>
      <c r="B1916" s="6" t="n">
        <v>45953</v>
      </c>
      <c r="C1916" t="n">
        <v>16969</v>
      </c>
      <c r="D1916" t="inlineStr">
        <is>
          <t>Mumbai</t>
        </is>
      </c>
      <c r="E1916" t="inlineStr">
        <is>
          <t>West</t>
        </is>
      </c>
      <c r="F1916" t="inlineStr">
        <is>
          <t>Paid Social</t>
        </is>
      </c>
      <c r="G1916" t="inlineStr">
        <is>
          <t>Mobile App</t>
        </is>
      </c>
      <c r="H1916" t="inlineStr">
        <is>
          <t>Net Banking</t>
        </is>
      </c>
      <c r="I1916" t="inlineStr">
        <is>
          <t>Delivered</t>
        </is>
      </c>
      <c r="J1916" t="n">
        <v>126</v>
      </c>
      <c r="K1916" t="n">
        <v>1</v>
      </c>
      <c r="L1916" s="7" t="n">
        <v>471</v>
      </c>
      <c r="M1916" s="7" t="n">
        <v>0</v>
      </c>
    </row>
    <row r="1917">
      <c r="A1917" t="n">
        <v>510293</v>
      </c>
      <c r="B1917" s="6" t="n">
        <v>45953</v>
      </c>
      <c r="C1917" t="n">
        <v>16969</v>
      </c>
      <c r="D1917" t="inlineStr">
        <is>
          <t>Mumbai</t>
        </is>
      </c>
      <c r="E1917" t="inlineStr">
        <is>
          <t>West</t>
        </is>
      </c>
      <c r="F1917" t="inlineStr">
        <is>
          <t>Paid Social</t>
        </is>
      </c>
      <c r="G1917" t="inlineStr">
        <is>
          <t>Mobile App</t>
        </is>
      </c>
      <c r="H1917" t="inlineStr">
        <is>
          <t>Net Banking</t>
        </is>
      </c>
      <c r="I1917" t="inlineStr">
        <is>
          <t>Delivered</t>
        </is>
      </c>
      <c r="J1917" t="n">
        <v>109</v>
      </c>
      <c r="K1917" t="n">
        <v>1</v>
      </c>
      <c r="L1917" s="7" t="n">
        <v>4199</v>
      </c>
      <c r="M1917" s="7" t="n">
        <v>0</v>
      </c>
    </row>
    <row r="1918">
      <c r="A1918" t="n">
        <v>510294</v>
      </c>
      <c r="B1918" s="6" t="n">
        <v>45953</v>
      </c>
      <c r="C1918" t="n">
        <v>16851</v>
      </c>
      <c r="D1918" t="inlineStr">
        <is>
          <t>Mumbai</t>
        </is>
      </c>
      <c r="E1918" t="inlineStr">
        <is>
          <t>West</t>
        </is>
      </c>
      <c r="F1918" t="inlineStr">
        <is>
          <t>Affiliate</t>
        </is>
      </c>
      <c r="G1918" t="inlineStr">
        <is>
          <t>Mobile Web</t>
        </is>
      </c>
      <c r="H1918" t="inlineStr">
        <is>
          <t>Net Banking</t>
        </is>
      </c>
      <c r="I1918" t="inlineStr">
        <is>
          <t>Delivered</t>
        </is>
      </c>
      <c r="J1918" t="n">
        <v>109</v>
      </c>
      <c r="K1918" t="n">
        <v>1</v>
      </c>
      <c r="L1918" s="7" t="n">
        <v>4199</v>
      </c>
      <c r="M1918" s="7" t="n">
        <v>629.85</v>
      </c>
    </row>
    <row r="1919">
      <c r="A1919" t="n">
        <v>510294</v>
      </c>
      <c r="B1919" s="6" t="n">
        <v>45953</v>
      </c>
      <c r="C1919" t="n">
        <v>16851</v>
      </c>
      <c r="D1919" t="inlineStr">
        <is>
          <t>Mumbai</t>
        </is>
      </c>
      <c r="E1919" t="inlineStr">
        <is>
          <t>West</t>
        </is>
      </c>
      <c r="F1919" t="inlineStr">
        <is>
          <t>Affiliate</t>
        </is>
      </c>
      <c r="G1919" t="inlineStr">
        <is>
          <t>Mobile Web</t>
        </is>
      </c>
      <c r="H1919" t="inlineStr">
        <is>
          <t>Net Banking</t>
        </is>
      </c>
      <c r="I1919" t="inlineStr">
        <is>
          <t>Delivered</t>
        </is>
      </c>
      <c r="J1919" t="n">
        <v>113</v>
      </c>
      <c r="K1919" t="n">
        <v>1</v>
      </c>
      <c r="L1919" s="7" t="n">
        <v>1364</v>
      </c>
      <c r="M1919" s="7" t="n">
        <v>204.6</v>
      </c>
    </row>
    <row r="1920">
      <c r="A1920" t="n">
        <v>510294</v>
      </c>
      <c r="B1920" s="6" t="n">
        <v>45953</v>
      </c>
      <c r="C1920" t="n">
        <v>16851</v>
      </c>
      <c r="D1920" t="inlineStr">
        <is>
          <t>Mumbai</t>
        </is>
      </c>
      <c r="E1920" t="inlineStr">
        <is>
          <t>West</t>
        </is>
      </c>
      <c r="F1920" t="inlineStr">
        <is>
          <t>Affiliate</t>
        </is>
      </c>
      <c r="G1920" t="inlineStr">
        <is>
          <t>Mobile Web</t>
        </is>
      </c>
      <c r="H1920" t="inlineStr">
        <is>
          <t>Net Banking</t>
        </is>
      </c>
      <c r="I1920" t="inlineStr">
        <is>
          <t>Delivered</t>
        </is>
      </c>
      <c r="J1920" t="n">
        <v>129</v>
      </c>
      <c r="K1920" t="n">
        <v>1</v>
      </c>
      <c r="L1920" s="7" t="n">
        <v>576</v>
      </c>
      <c r="M1920" s="7" t="n">
        <v>86.40000000000001</v>
      </c>
    </row>
    <row r="1921">
      <c r="A1921" t="n">
        <v>510295</v>
      </c>
      <c r="B1921" s="6" t="n">
        <v>45953</v>
      </c>
      <c r="C1921" t="n">
        <v>16973</v>
      </c>
      <c r="D1921" t="inlineStr">
        <is>
          <t>Pune</t>
        </is>
      </c>
      <c r="E1921" t="inlineStr">
        <is>
          <t>West</t>
        </is>
      </c>
      <c r="F1921" t="inlineStr">
        <is>
          <t>Paid Social</t>
        </is>
      </c>
      <c r="G1921" t="inlineStr">
        <is>
          <t>Mobile App</t>
        </is>
      </c>
      <c r="H1921" t="inlineStr">
        <is>
          <t>UPI</t>
        </is>
      </c>
      <c r="I1921" t="inlineStr">
        <is>
          <t>Delivered</t>
        </is>
      </c>
      <c r="J1921" t="n">
        <v>147</v>
      </c>
      <c r="K1921" t="n">
        <v>1</v>
      </c>
      <c r="L1921" s="7" t="n">
        <v>1364</v>
      </c>
      <c r="M1921" s="7" t="n">
        <v>136.4</v>
      </c>
    </row>
    <row r="1922">
      <c r="A1922" t="n">
        <v>510295</v>
      </c>
      <c r="B1922" s="6" t="n">
        <v>45953</v>
      </c>
      <c r="C1922" t="n">
        <v>16973</v>
      </c>
      <c r="D1922" t="inlineStr">
        <is>
          <t>Pune</t>
        </is>
      </c>
      <c r="E1922" t="inlineStr">
        <is>
          <t>West</t>
        </is>
      </c>
      <c r="F1922" t="inlineStr">
        <is>
          <t>Paid Social</t>
        </is>
      </c>
      <c r="G1922" t="inlineStr">
        <is>
          <t>Mobile App</t>
        </is>
      </c>
      <c r="H1922" t="inlineStr">
        <is>
          <t>UPI</t>
        </is>
      </c>
      <c r="I1922" t="inlineStr">
        <is>
          <t>Delivered</t>
        </is>
      </c>
      <c r="J1922" t="n">
        <v>129</v>
      </c>
      <c r="K1922" t="n">
        <v>1</v>
      </c>
      <c r="L1922" s="7" t="n">
        <v>576</v>
      </c>
      <c r="M1922" s="7" t="n">
        <v>57.6</v>
      </c>
    </row>
    <row r="1923">
      <c r="A1923" t="n">
        <v>510296</v>
      </c>
      <c r="B1923" s="6" t="n">
        <v>45953</v>
      </c>
      <c r="C1923" t="n">
        <v>16965</v>
      </c>
      <c r="D1923" t="inlineStr">
        <is>
          <t>Mumbai</t>
        </is>
      </c>
      <c r="E1923" t="inlineStr">
        <is>
          <t>West</t>
        </is>
      </c>
      <c r="F1923" t="inlineStr">
        <is>
          <t>Organic Search</t>
        </is>
      </c>
      <c r="G1923" t="inlineStr">
        <is>
          <t>Mobile App</t>
        </is>
      </c>
      <c r="H1923" t="inlineStr">
        <is>
          <t>Cash on Delivery</t>
        </is>
      </c>
      <c r="I1923" t="inlineStr">
        <is>
          <t>Delivered</t>
        </is>
      </c>
      <c r="J1923" t="n">
        <v>108</v>
      </c>
      <c r="K1923" t="n">
        <v>2</v>
      </c>
      <c r="L1923" s="7" t="n">
        <v>419</v>
      </c>
      <c r="M1923" s="7" t="n">
        <v>0</v>
      </c>
    </row>
    <row r="1924">
      <c r="A1924" t="n">
        <v>510296</v>
      </c>
      <c r="B1924" s="6" t="n">
        <v>45953</v>
      </c>
      <c r="C1924" t="n">
        <v>16965</v>
      </c>
      <c r="D1924" t="inlineStr">
        <is>
          <t>Mumbai</t>
        </is>
      </c>
      <c r="E1924" t="inlineStr">
        <is>
          <t>West</t>
        </is>
      </c>
      <c r="F1924" t="inlineStr">
        <is>
          <t>Organic Search</t>
        </is>
      </c>
      <c r="G1924" t="inlineStr">
        <is>
          <t>Mobile App</t>
        </is>
      </c>
      <c r="H1924" t="inlineStr">
        <is>
          <t>Cash on Delivery</t>
        </is>
      </c>
      <c r="I1924" t="inlineStr">
        <is>
          <t>Delivered</t>
        </is>
      </c>
      <c r="J1924" t="n">
        <v>148</v>
      </c>
      <c r="K1924" t="n">
        <v>1</v>
      </c>
      <c r="L1924" s="7" t="n">
        <v>734</v>
      </c>
      <c r="M1924" s="7" t="n">
        <v>0</v>
      </c>
    </row>
    <row r="1925">
      <c r="A1925" t="n">
        <v>510297</v>
      </c>
      <c r="B1925" s="6" t="n">
        <v>45953</v>
      </c>
      <c r="C1925" t="n">
        <v>16984</v>
      </c>
      <c r="D1925" t="inlineStr">
        <is>
          <t>Mumbai</t>
        </is>
      </c>
      <c r="E1925" t="inlineStr">
        <is>
          <t>West</t>
        </is>
      </c>
      <c r="F1925" t="inlineStr">
        <is>
          <t>Referral</t>
        </is>
      </c>
      <c r="G1925" t="inlineStr">
        <is>
          <t>Desktop</t>
        </is>
      </c>
      <c r="H1925" t="inlineStr">
        <is>
          <t>Debit Card</t>
        </is>
      </c>
      <c r="I1925" t="inlineStr">
        <is>
          <t>Delivered</t>
        </is>
      </c>
      <c r="J1925" t="n">
        <v>112</v>
      </c>
      <c r="K1925" t="n">
        <v>1</v>
      </c>
      <c r="L1925" s="7" t="n">
        <v>1574</v>
      </c>
      <c r="M1925" s="7" t="n">
        <v>0</v>
      </c>
    </row>
    <row r="1926">
      <c r="A1926" t="n">
        <v>510298</v>
      </c>
      <c r="B1926" s="6" t="n">
        <v>45953</v>
      </c>
      <c r="C1926" t="n">
        <v>16953</v>
      </c>
      <c r="D1926" t="inlineStr">
        <is>
          <t>Delhi</t>
        </is>
      </c>
      <c r="E1926" t="inlineStr">
        <is>
          <t>North</t>
        </is>
      </c>
      <c r="F1926" t="inlineStr">
        <is>
          <t>Organic Search</t>
        </is>
      </c>
      <c r="G1926" t="inlineStr">
        <is>
          <t>Mobile App</t>
        </is>
      </c>
      <c r="H1926" t="inlineStr">
        <is>
          <t>UPI</t>
        </is>
      </c>
      <c r="I1926" t="inlineStr">
        <is>
          <t>Delivered</t>
        </is>
      </c>
      <c r="J1926" t="n">
        <v>128</v>
      </c>
      <c r="K1926" t="n">
        <v>1</v>
      </c>
      <c r="L1926" s="7" t="n">
        <v>1049</v>
      </c>
      <c r="M1926" s="7" t="n">
        <v>0</v>
      </c>
    </row>
    <row r="1927">
      <c r="A1927" t="n">
        <v>510299</v>
      </c>
      <c r="B1927" s="6" t="n">
        <v>45953</v>
      </c>
      <c r="C1927" t="n">
        <v>15660</v>
      </c>
      <c r="D1927" t="inlineStr">
        <is>
          <t>Hyderabad</t>
        </is>
      </c>
      <c r="E1927" t="inlineStr">
        <is>
          <t>South</t>
        </is>
      </c>
      <c r="F1927" t="inlineStr">
        <is>
          <t>Affiliate</t>
        </is>
      </c>
      <c r="G1927" t="inlineStr">
        <is>
          <t>Mobile App</t>
        </is>
      </c>
      <c r="H1927" t="inlineStr">
        <is>
          <t>Credit Card</t>
        </is>
      </c>
      <c r="I1927" t="inlineStr">
        <is>
          <t>Delivered</t>
        </is>
      </c>
      <c r="J1927" t="n">
        <v>127</v>
      </c>
      <c r="K1927" t="n">
        <v>1</v>
      </c>
      <c r="L1927" s="7" t="n">
        <v>681</v>
      </c>
      <c r="M1927" s="7" t="n">
        <v>68.09999999999999</v>
      </c>
    </row>
    <row r="1928">
      <c r="A1928" t="n">
        <v>510300</v>
      </c>
      <c r="B1928" s="6" t="n">
        <v>45953</v>
      </c>
      <c r="C1928" t="n">
        <v>15847</v>
      </c>
      <c r="D1928" t="inlineStr">
        <is>
          <t>Hyderabad</t>
        </is>
      </c>
      <c r="E1928" t="inlineStr">
        <is>
          <t>South</t>
        </is>
      </c>
      <c r="F1928" t="inlineStr">
        <is>
          <t>Affiliate</t>
        </is>
      </c>
      <c r="G1928" t="inlineStr">
        <is>
          <t>Mobile Web</t>
        </is>
      </c>
      <c r="H1928" t="inlineStr">
        <is>
          <t>Cash on Delivery</t>
        </is>
      </c>
      <c r="I1928" t="inlineStr">
        <is>
          <t>Delivered</t>
        </is>
      </c>
      <c r="J1928" t="n">
        <v>106</v>
      </c>
      <c r="K1928" t="n">
        <v>1</v>
      </c>
      <c r="L1928" s="7" t="n">
        <v>1574</v>
      </c>
      <c r="M1928" s="7" t="n">
        <v>157.4</v>
      </c>
    </row>
    <row r="1929">
      <c r="A1929" t="n">
        <v>510300</v>
      </c>
      <c r="B1929" s="6" t="n">
        <v>45953</v>
      </c>
      <c r="C1929" t="n">
        <v>15847</v>
      </c>
      <c r="D1929" t="inlineStr">
        <is>
          <t>Hyderabad</t>
        </is>
      </c>
      <c r="E1929" t="inlineStr">
        <is>
          <t>South</t>
        </is>
      </c>
      <c r="F1929" t="inlineStr">
        <is>
          <t>Affiliate</t>
        </is>
      </c>
      <c r="G1929" t="inlineStr">
        <is>
          <t>Mobile Web</t>
        </is>
      </c>
      <c r="H1929" t="inlineStr">
        <is>
          <t>Cash on Delivery</t>
        </is>
      </c>
      <c r="I1929" t="inlineStr">
        <is>
          <t>Delivered</t>
        </is>
      </c>
      <c r="J1929" t="n">
        <v>117</v>
      </c>
      <c r="K1929" t="n">
        <v>1</v>
      </c>
      <c r="L1929" s="7" t="n">
        <v>3149</v>
      </c>
      <c r="M1929" s="7" t="n">
        <v>314.9</v>
      </c>
    </row>
    <row r="1930">
      <c r="A1930" t="n">
        <v>510300</v>
      </c>
      <c r="B1930" s="6" t="n">
        <v>45953</v>
      </c>
      <c r="C1930" t="n">
        <v>15847</v>
      </c>
      <c r="D1930" t="inlineStr">
        <is>
          <t>Hyderabad</t>
        </is>
      </c>
      <c r="E1930" t="inlineStr">
        <is>
          <t>South</t>
        </is>
      </c>
      <c r="F1930" t="inlineStr">
        <is>
          <t>Affiliate</t>
        </is>
      </c>
      <c r="G1930" t="inlineStr">
        <is>
          <t>Mobile Web</t>
        </is>
      </c>
      <c r="H1930" t="inlineStr">
        <is>
          <t>Cash on Delivery</t>
        </is>
      </c>
      <c r="I1930" t="inlineStr">
        <is>
          <t>Delivered</t>
        </is>
      </c>
      <c r="J1930" t="n">
        <v>129</v>
      </c>
      <c r="K1930" t="n">
        <v>1</v>
      </c>
      <c r="L1930" s="7" t="n">
        <v>576</v>
      </c>
      <c r="M1930" s="7" t="n">
        <v>57.6</v>
      </c>
    </row>
    <row r="1931">
      <c r="A1931" t="n">
        <v>510301</v>
      </c>
      <c r="B1931" s="6" t="n">
        <v>45953</v>
      </c>
      <c r="C1931" t="n">
        <v>11812</v>
      </c>
      <c r="D1931" t="inlineStr">
        <is>
          <t>Gurugram</t>
        </is>
      </c>
      <c r="E1931" t="inlineStr">
        <is>
          <t>North</t>
        </is>
      </c>
      <c r="F1931" t="inlineStr">
        <is>
          <t>Organic Search</t>
        </is>
      </c>
      <c r="G1931" t="inlineStr">
        <is>
          <t>Mobile App</t>
        </is>
      </c>
      <c r="H1931" t="inlineStr">
        <is>
          <t>Net Banking</t>
        </is>
      </c>
      <c r="I1931" t="inlineStr">
        <is>
          <t>Delivered</t>
        </is>
      </c>
      <c r="J1931" t="n">
        <v>118</v>
      </c>
      <c r="K1931" t="n">
        <v>1</v>
      </c>
      <c r="L1931" s="7" t="n">
        <v>944</v>
      </c>
      <c r="M1931" s="7" t="n">
        <v>0</v>
      </c>
    </row>
    <row r="1932">
      <c r="A1932" t="n">
        <v>510301</v>
      </c>
      <c r="B1932" s="6" t="n">
        <v>45953</v>
      </c>
      <c r="C1932" t="n">
        <v>11812</v>
      </c>
      <c r="D1932" t="inlineStr">
        <is>
          <t>Gurugram</t>
        </is>
      </c>
      <c r="E1932" t="inlineStr">
        <is>
          <t>North</t>
        </is>
      </c>
      <c r="F1932" t="inlineStr">
        <is>
          <t>Organic Search</t>
        </is>
      </c>
      <c r="G1932" t="inlineStr">
        <is>
          <t>Mobile App</t>
        </is>
      </c>
      <c r="H1932" t="inlineStr">
        <is>
          <t>Net Banking</t>
        </is>
      </c>
      <c r="I1932" t="inlineStr">
        <is>
          <t>Delivered</t>
        </is>
      </c>
      <c r="J1932" t="n">
        <v>129</v>
      </c>
      <c r="K1932" t="n">
        <v>1</v>
      </c>
      <c r="L1932" s="7" t="n">
        <v>576</v>
      </c>
      <c r="M1932" s="7" t="n">
        <v>0</v>
      </c>
    </row>
    <row r="1933">
      <c r="A1933" t="n">
        <v>510302</v>
      </c>
      <c r="B1933" s="6" t="n">
        <v>45953</v>
      </c>
      <c r="C1933" t="n">
        <v>16735</v>
      </c>
      <c r="D1933" t="inlineStr">
        <is>
          <t>Hyderabad</t>
        </is>
      </c>
      <c r="E1933" t="inlineStr">
        <is>
          <t>South</t>
        </is>
      </c>
      <c r="F1933" t="inlineStr">
        <is>
          <t>Organic Search</t>
        </is>
      </c>
      <c r="G1933" t="inlineStr">
        <is>
          <t>Mobile App</t>
        </is>
      </c>
      <c r="H1933" t="inlineStr">
        <is>
          <t>Credit Card</t>
        </is>
      </c>
      <c r="I1933" t="inlineStr">
        <is>
          <t>Delivered</t>
        </is>
      </c>
      <c r="J1933" t="n">
        <v>131</v>
      </c>
      <c r="K1933" t="n">
        <v>1</v>
      </c>
      <c r="L1933" s="7" t="n">
        <v>314</v>
      </c>
      <c r="M1933" s="7" t="n">
        <v>47.1</v>
      </c>
    </row>
    <row r="1934">
      <c r="A1934" t="n">
        <v>510303</v>
      </c>
      <c r="B1934" s="6" t="n">
        <v>45953</v>
      </c>
      <c r="C1934" t="n">
        <v>16031</v>
      </c>
      <c r="D1934" t="inlineStr">
        <is>
          <t>Kochi</t>
        </is>
      </c>
      <c r="E1934" t="inlineStr">
        <is>
          <t>South</t>
        </is>
      </c>
      <c r="F1934" t="inlineStr">
        <is>
          <t>Referral</t>
        </is>
      </c>
      <c r="G1934" t="inlineStr">
        <is>
          <t>Mobile App</t>
        </is>
      </c>
      <c r="H1934" t="inlineStr">
        <is>
          <t>Cash on Delivery</t>
        </is>
      </c>
      <c r="I1934" t="inlineStr">
        <is>
          <t>Cancelled</t>
        </is>
      </c>
      <c r="J1934" t="n">
        <v>137</v>
      </c>
      <c r="K1934" t="n">
        <v>1</v>
      </c>
      <c r="L1934" s="7" t="n">
        <v>261</v>
      </c>
      <c r="M1934" s="7" t="n">
        <v>26.1</v>
      </c>
    </row>
    <row r="1935">
      <c r="A1935" t="n">
        <v>510304</v>
      </c>
      <c r="B1935" s="6" t="n">
        <v>45953</v>
      </c>
      <c r="C1935" t="n">
        <v>16989</v>
      </c>
      <c r="D1935" t="inlineStr">
        <is>
          <t>Bengaluru</t>
        </is>
      </c>
      <c r="E1935" t="inlineStr">
        <is>
          <t>South</t>
        </is>
      </c>
      <c r="F1935" t="inlineStr">
        <is>
          <t>Paid Search</t>
        </is>
      </c>
      <c r="G1935" t="inlineStr">
        <is>
          <t>Desktop</t>
        </is>
      </c>
      <c r="H1935" t="inlineStr">
        <is>
          <t>Cash on Delivery</t>
        </is>
      </c>
      <c r="I1935" t="inlineStr">
        <is>
          <t>Delivered</t>
        </is>
      </c>
      <c r="J1935" t="n">
        <v>109</v>
      </c>
      <c r="K1935" t="n">
        <v>1</v>
      </c>
      <c r="L1935" s="7" t="n">
        <v>4199</v>
      </c>
      <c r="M1935" s="7" t="n">
        <v>419.9</v>
      </c>
    </row>
    <row r="1936">
      <c r="A1936" t="n">
        <v>510304</v>
      </c>
      <c r="B1936" s="6" t="n">
        <v>45953</v>
      </c>
      <c r="C1936" t="n">
        <v>16989</v>
      </c>
      <c r="D1936" t="inlineStr">
        <is>
          <t>Bengaluru</t>
        </is>
      </c>
      <c r="E1936" t="inlineStr">
        <is>
          <t>South</t>
        </is>
      </c>
      <c r="F1936" t="inlineStr">
        <is>
          <t>Paid Search</t>
        </is>
      </c>
      <c r="G1936" t="inlineStr">
        <is>
          <t>Desktop</t>
        </is>
      </c>
      <c r="H1936" t="inlineStr">
        <is>
          <t>Cash on Delivery</t>
        </is>
      </c>
      <c r="I1936" t="inlineStr">
        <is>
          <t>Delivered</t>
        </is>
      </c>
      <c r="J1936" t="n">
        <v>121</v>
      </c>
      <c r="K1936" t="n">
        <v>3</v>
      </c>
      <c r="L1936" s="7" t="n">
        <v>2939</v>
      </c>
      <c r="M1936" s="7" t="n">
        <v>881.7</v>
      </c>
    </row>
    <row r="1937">
      <c r="A1937" t="n">
        <v>510304</v>
      </c>
      <c r="B1937" s="6" t="n">
        <v>45953</v>
      </c>
      <c r="C1937" t="n">
        <v>16989</v>
      </c>
      <c r="D1937" t="inlineStr">
        <is>
          <t>Bengaluru</t>
        </is>
      </c>
      <c r="E1937" t="inlineStr">
        <is>
          <t>South</t>
        </is>
      </c>
      <c r="F1937" t="inlineStr">
        <is>
          <t>Paid Search</t>
        </is>
      </c>
      <c r="G1937" t="inlineStr">
        <is>
          <t>Desktop</t>
        </is>
      </c>
      <c r="H1937" t="inlineStr">
        <is>
          <t>Cash on Delivery</t>
        </is>
      </c>
      <c r="I1937" t="inlineStr">
        <is>
          <t>Delivered</t>
        </is>
      </c>
      <c r="J1937" t="n">
        <v>129</v>
      </c>
      <c r="K1937" t="n">
        <v>1</v>
      </c>
      <c r="L1937" s="7" t="n">
        <v>576</v>
      </c>
      <c r="M1937" s="7" t="n">
        <v>57.6</v>
      </c>
    </row>
    <row r="1938">
      <c r="A1938" t="n">
        <v>510305</v>
      </c>
      <c r="B1938" s="6" t="n">
        <v>45953</v>
      </c>
      <c r="C1938" t="n">
        <v>16917</v>
      </c>
      <c r="D1938" t="inlineStr">
        <is>
          <t>Mumbai</t>
        </is>
      </c>
      <c r="E1938" t="inlineStr">
        <is>
          <t>West</t>
        </is>
      </c>
      <c r="F1938" t="inlineStr">
        <is>
          <t>Paid Search</t>
        </is>
      </c>
      <c r="G1938" t="inlineStr">
        <is>
          <t>Mobile App</t>
        </is>
      </c>
      <c r="H1938" t="inlineStr">
        <is>
          <t>UPI</t>
        </is>
      </c>
      <c r="I1938" t="inlineStr">
        <is>
          <t>Delivered</t>
        </is>
      </c>
      <c r="J1938" t="n">
        <v>117</v>
      </c>
      <c r="K1938" t="n">
        <v>1</v>
      </c>
      <c r="L1938" s="7" t="n">
        <v>3149</v>
      </c>
      <c r="M1938" s="7" t="n">
        <v>0</v>
      </c>
    </row>
    <row r="1939">
      <c r="A1939" t="n">
        <v>510306</v>
      </c>
      <c r="B1939" s="6" t="n">
        <v>45953</v>
      </c>
      <c r="C1939" t="n">
        <v>15880</v>
      </c>
      <c r="D1939" t="inlineStr">
        <is>
          <t>Pune</t>
        </is>
      </c>
      <c r="E1939" t="inlineStr">
        <is>
          <t>West</t>
        </is>
      </c>
      <c r="F1939" t="inlineStr">
        <is>
          <t>Email</t>
        </is>
      </c>
      <c r="G1939" t="inlineStr">
        <is>
          <t>Mobile App</t>
        </is>
      </c>
      <c r="H1939" t="inlineStr">
        <is>
          <t>UPI</t>
        </is>
      </c>
      <c r="I1939" t="inlineStr">
        <is>
          <t>Delivered</t>
        </is>
      </c>
      <c r="J1939" t="n">
        <v>127</v>
      </c>
      <c r="K1939" t="n">
        <v>1</v>
      </c>
      <c r="L1939" s="7" t="n">
        <v>681</v>
      </c>
      <c r="M1939" s="7" t="n">
        <v>68.09999999999999</v>
      </c>
    </row>
    <row r="1940">
      <c r="A1940" t="n">
        <v>510307</v>
      </c>
      <c r="B1940" s="6" t="n">
        <v>45953</v>
      </c>
      <c r="C1940" t="n">
        <v>16988</v>
      </c>
      <c r="D1940" t="inlineStr">
        <is>
          <t>Delhi</t>
        </is>
      </c>
      <c r="E1940" t="inlineStr">
        <is>
          <t>North</t>
        </is>
      </c>
      <c r="F1940" t="inlineStr">
        <is>
          <t>Paid Social</t>
        </is>
      </c>
      <c r="G1940" t="inlineStr">
        <is>
          <t>Mobile App</t>
        </is>
      </c>
      <c r="H1940" t="inlineStr">
        <is>
          <t>UPI</t>
        </is>
      </c>
      <c r="I1940" t="inlineStr">
        <is>
          <t>Delivered</t>
        </is>
      </c>
      <c r="J1940" t="n">
        <v>144</v>
      </c>
      <c r="K1940" t="n">
        <v>1</v>
      </c>
      <c r="L1940" s="7" t="n">
        <v>3149</v>
      </c>
      <c r="M1940" s="7" t="n">
        <v>314.9</v>
      </c>
    </row>
    <row r="1941">
      <c r="A1941" t="n">
        <v>510307</v>
      </c>
      <c r="B1941" s="6" t="n">
        <v>45953</v>
      </c>
      <c r="C1941" t="n">
        <v>16988</v>
      </c>
      <c r="D1941" t="inlineStr">
        <is>
          <t>Delhi</t>
        </is>
      </c>
      <c r="E1941" t="inlineStr">
        <is>
          <t>North</t>
        </is>
      </c>
      <c r="F1941" t="inlineStr">
        <is>
          <t>Paid Social</t>
        </is>
      </c>
      <c r="G1941" t="inlineStr">
        <is>
          <t>Mobile App</t>
        </is>
      </c>
      <c r="H1941" t="inlineStr">
        <is>
          <t>UPI</t>
        </is>
      </c>
      <c r="I1941" t="inlineStr">
        <is>
          <t>Delivered</t>
        </is>
      </c>
      <c r="J1941" t="n">
        <v>129</v>
      </c>
      <c r="K1941" t="n">
        <v>1</v>
      </c>
      <c r="L1941" s="7" t="n">
        <v>576</v>
      </c>
      <c r="M1941" s="7" t="n">
        <v>57.6</v>
      </c>
    </row>
    <row r="1942">
      <c r="A1942" t="n">
        <v>510308</v>
      </c>
      <c r="B1942" s="6" t="n">
        <v>45953</v>
      </c>
      <c r="C1942" t="n">
        <v>16637</v>
      </c>
      <c r="D1942" t="inlineStr">
        <is>
          <t>Ahmedabad</t>
        </is>
      </c>
      <c r="E1942" t="inlineStr">
        <is>
          <t>West</t>
        </is>
      </c>
      <c r="F1942" t="inlineStr">
        <is>
          <t>Referral</t>
        </is>
      </c>
      <c r="G1942" t="inlineStr">
        <is>
          <t>Mobile App</t>
        </is>
      </c>
      <c r="H1942" t="inlineStr">
        <is>
          <t>Credit Card</t>
        </is>
      </c>
      <c r="I1942" t="inlineStr">
        <is>
          <t>Cancelled</t>
        </is>
      </c>
      <c r="J1942" t="n">
        <v>128</v>
      </c>
      <c r="K1942" t="n">
        <v>1</v>
      </c>
      <c r="L1942" s="7" t="n">
        <v>1049</v>
      </c>
      <c r="M1942" s="7" t="n">
        <v>104.9</v>
      </c>
    </row>
    <row r="1943">
      <c r="A1943" t="n">
        <v>510309</v>
      </c>
      <c r="B1943" s="6" t="n">
        <v>45953</v>
      </c>
      <c r="C1943" t="n">
        <v>16910</v>
      </c>
      <c r="D1943" t="inlineStr">
        <is>
          <t>Hyderabad</t>
        </is>
      </c>
      <c r="E1943" t="inlineStr">
        <is>
          <t>South</t>
        </is>
      </c>
      <c r="F1943" t="inlineStr">
        <is>
          <t>Referral</t>
        </is>
      </c>
      <c r="G1943" t="inlineStr">
        <is>
          <t>Desktop</t>
        </is>
      </c>
      <c r="H1943" t="inlineStr">
        <is>
          <t>Net Banking</t>
        </is>
      </c>
      <c r="I1943" t="inlineStr">
        <is>
          <t>Returned</t>
        </is>
      </c>
      <c r="J1943" t="n">
        <v>107</v>
      </c>
      <c r="K1943" t="n">
        <v>2</v>
      </c>
      <c r="L1943" s="7" t="n">
        <v>1259</v>
      </c>
      <c r="M1943" s="7" t="n">
        <v>377.7</v>
      </c>
    </row>
    <row r="1944">
      <c r="A1944" t="n">
        <v>510309</v>
      </c>
      <c r="B1944" s="6" t="n">
        <v>45953</v>
      </c>
      <c r="C1944" t="n">
        <v>16910</v>
      </c>
      <c r="D1944" t="inlineStr">
        <is>
          <t>Hyderabad</t>
        </is>
      </c>
      <c r="E1944" t="inlineStr">
        <is>
          <t>South</t>
        </is>
      </c>
      <c r="F1944" t="inlineStr">
        <is>
          <t>Referral</t>
        </is>
      </c>
      <c r="G1944" t="inlineStr">
        <is>
          <t>Desktop</t>
        </is>
      </c>
      <c r="H1944" t="inlineStr">
        <is>
          <t>Net Banking</t>
        </is>
      </c>
      <c r="I1944" t="inlineStr">
        <is>
          <t>Returned</t>
        </is>
      </c>
      <c r="J1944" t="n">
        <v>105</v>
      </c>
      <c r="K1944" t="n">
        <v>1</v>
      </c>
      <c r="L1944" s="7" t="n">
        <v>2414</v>
      </c>
      <c r="M1944" s="7" t="n">
        <v>362.1</v>
      </c>
    </row>
    <row r="1945">
      <c r="A1945" t="n">
        <v>510310</v>
      </c>
      <c r="B1945" s="6" t="n">
        <v>45953</v>
      </c>
      <c r="C1945" t="n">
        <v>16944</v>
      </c>
      <c r="D1945" t="inlineStr">
        <is>
          <t>Bengaluru</t>
        </is>
      </c>
      <c r="E1945" t="inlineStr">
        <is>
          <t>South</t>
        </is>
      </c>
      <c r="F1945" t="inlineStr">
        <is>
          <t>Paid Search</t>
        </is>
      </c>
      <c r="G1945" t="inlineStr">
        <is>
          <t>Desktop</t>
        </is>
      </c>
      <c r="H1945" t="inlineStr">
        <is>
          <t>Cash on Delivery</t>
        </is>
      </c>
      <c r="I1945" t="inlineStr">
        <is>
          <t>Delivered</t>
        </is>
      </c>
      <c r="J1945" t="n">
        <v>135</v>
      </c>
      <c r="K1945" t="n">
        <v>2</v>
      </c>
      <c r="L1945" s="7" t="n">
        <v>1574</v>
      </c>
      <c r="M1945" s="7" t="n">
        <v>314.8</v>
      </c>
    </row>
    <row r="1946">
      <c r="A1946" t="n">
        <v>510311</v>
      </c>
      <c r="B1946" s="6" t="n">
        <v>45953</v>
      </c>
      <c r="C1946" t="n">
        <v>15680</v>
      </c>
      <c r="D1946" t="inlineStr">
        <is>
          <t>Delhi</t>
        </is>
      </c>
      <c r="E1946" t="inlineStr">
        <is>
          <t>North</t>
        </is>
      </c>
      <c r="F1946" t="inlineStr">
        <is>
          <t>Organic Search</t>
        </is>
      </c>
      <c r="G1946" t="inlineStr">
        <is>
          <t>Mobile Web</t>
        </is>
      </c>
      <c r="H1946" t="inlineStr">
        <is>
          <t>Credit Card</t>
        </is>
      </c>
      <c r="I1946" t="inlineStr">
        <is>
          <t>Returned</t>
        </is>
      </c>
      <c r="J1946" t="n">
        <v>116</v>
      </c>
      <c r="K1946" t="n">
        <v>1</v>
      </c>
      <c r="L1946" s="7" t="n">
        <v>2624</v>
      </c>
      <c r="M1946" s="7" t="n">
        <v>0</v>
      </c>
    </row>
    <row r="1947">
      <c r="A1947" t="n">
        <v>510311</v>
      </c>
      <c r="B1947" s="6" t="n">
        <v>45953</v>
      </c>
      <c r="C1947" t="n">
        <v>15680</v>
      </c>
      <c r="D1947" t="inlineStr">
        <is>
          <t>Delhi</t>
        </is>
      </c>
      <c r="E1947" t="inlineStr">
        <is>
          <t>North</t>
        </is>
      </c>
      <c r="F1947" t="inlineStr">
        <is>
          <t>Organic Search</t>
        </is>
      </c>
      <c r="G1947" t="inlineStr">
        <is>
          <t>Mobile Web</t>
        </is>
      </c>
      <c r="H1947" t="inlineStr">
        <is>
          <t>Credit Card</t>
        </is>
      </c>
      <c r="I1947" t="inlineStr">
        <is>
          <t>Returned</t>
        </is>
      </c>
      <c r="J1947" t="n">
        <v>129</v>
      </c>
      <c r="K1947" t="n">
        <v>1</v>
      </c>
      <c r="L1947" s="7" t="n">
        <v>576</v>
      </c>
      <c r="M1947" s="7" t="n">
        <v>0</v>
      </c>
    </row>
    <row r="1948">
      <c r="A1948" t="n">
        <v>510312</v>
      </c>
      <c r="B1948" s="6" t="n">
        <v>45953</v>
      </c>
      <c r="C1948" t="n">
        <v>11062</v>
      </c>
      <c r="D1948" t="inlineStr">
        <is>
          <t>Bengaluru</t>
        </is>
      </c>
      <c r="E1948" t="inlineStr">
        <is>
          <t>South</t>
        </is>
      </c>
      <c r="F1948" t="inlineStr">
        <is>
          <t>Paid Social</t>
        </is>
      </c>
      <c r="G1948" t="inlineStr">
        <is>
          <t>Mobile Web</t>
        </is>
      </c>
      <c r="H1948" t="inlineStr">
        <is>
          <t>Credit Card</t>
        </is>
      </c>
      <c r="I1948" t="inlineStr">
        <is>
          <t>Delivered</t>
        </is>
      </c>
      <c r="J1948" t="n">
        <v>123</v>
      </c>
      <c r="K1948" t="n">
        <v>1</v>
      </c>
      <c r="L1948" s="7" t="n">
        <v>3464</v>
      </c>
      <c r="M1948" s="7" t="n">
        <v>0</v>
      </c>
    </row>
    <row r="1949">
      <c r="A1949" t="n">
        <v>510313</v>
      </c>
      <c r="B1949" s="6" t="n">
        <v>45954</v>
      </c>
      <c r="C1949" t="n">
        <v>14667</v>
      </c>
      <c r="D1949" t="inlineStr">
        <is>
          <t>Kochi</t>
        </is>
      </c>
      <c r="E1949" t="inlineStr">
        <is>
          <t>South</t>
        </is>
      </c>
      <c r="F1949" t="inlineStr">
        <is>
          <t>Paid Social</t>
        </is>
      </c>
      <c r="G1949" t="inlineStr">
        <is>
          <t>Mobile App</t>
        </is>
      </c>
      <c r="H1949" t="inlineStr">
        <is>
          <t>Debit Card</t>
        </is>
      </c>
      <c r="I1949" t="inlineStr">
        <is>
          <t>Delivered</t>
        </is>
      </c>
      <c r="J1949" t="n">
        <v>106</v>
      </c>
      <c r="K1949" t="n">
        <v>1</v>
      </c>
      <c r="L1949" s="7" t="n">
        <v>1574</v>
      </c>
      <c r="M1949" s="7" t="n">
        <v>157.4</v>
      </c>
    </row>
    <row r="1950">
      <c r="A1950" t="n">
        <v>510313</v>
      </c>
      <c r="B1950" s="6" t="n">
        <v>45954</v>
      </c>
      <c r="C1950" t="n">
        <v>14667</v>
      </c>
      <c r="D1950" t="inlineStr">
        <is>
          <t>Kochi</t>
        </is>
      </c>
      <c r="E1950" t="inlineStr">
        <is>
          <t>South</t>
        </is>
      </c>
      <c r="F1950" t="inlineStr">
        <is>
          <t>Paid Social</t>
        </is>
      </c>
      <c r="G1950" t="inlineStr">
        <is>
          <t>Mobile App</t>
        </is>
      </c>
      <c r="H1950" t="inlineStr">
        <is>
          <t>Debit Card</t>
        </is>
      </c>
      <c r="I1950" t="inlineStr">
        <is>
          <t>Delivered</t>
        </is>
      </c>
      <c r="J1950" t="n">
        <v>140</v>
      </c>
      <c r="K1950" t="n">
        <v>1</v>
      </c>
      <c r="L1950" s="7" t="n">
        <v>629</v>
      </c>
      <c r="M1950" s="7" t="n">
        <v>62.9</v>
      </c>
    </row>
    <row r="1951">
      <c r="A1951" t="n">
        <v>510313</v>
      </c>
      <c r="B1951" s="6" t="n">
        <v>45954</v>
      </c>
      <c r="C1951" t="n">
        <v>14667</v>
      </c>
      <c r="D1951" t="inlineStr">
        <is>
          <t>Kochi</t>
        </is>
      </c>
      <c r="E1951" t="inlineStr">
        <is>
          <t>South</t>
        </is>
      </c>
      <c r="F1951" t="inlineStr">
        <is>
          <t>Paid Social</t>
        </is>
      </c>
      <c r="G1951" t="inlineStr">
        <is>
          <t>Mobile App</t>
        </is>
      </c>
      <c r="H1951" t="inlineStr">
        <is>
          <t>Debit Card</t>
        </is>
      </c>
      <c r="I1951" t="inlineStr">
        <is>
          <t>Delivered</t>
        </is>
      </c>
      <c r="J1951" t="n">
        <v>138</v>
      </c>
      <c r="K1951" t="n">
        <v>1</v>
      </c>
      <c r="L1951" s="7" t="n">
        <v>419</v>
      </c>
      <c r="M1951" s="7" t="n">
        <v>41.9</v>
      </c>
    </row>
    <row r="1952">
      <c r="A1952" t="n">
        <v>510313</v>
      </c>
      <c r="B1952" s="6" t="n">
        <v>45954</v>
      </c>
      <c r="C1952" t="n">
        <v>14667</v>
      </c>
      <c r="D1952" t="inlineStr">
        <is>
          <t>Kochi</t>
        </is>
      </c>
      <c r="E1952" t="inlineStr">
        <is>
          <t>South</t>
        </is>
      </c>
      <c r="F1952" t="inlineStr">
        <is>
          <t>Paid Social</t>
        </is>
      </c>
      <c r="G1952" t="inlineStr">
        <is>
          <t>Mobile App</t>
        </is>
      </c>
      <c r="H1952" t="inlineStr">
        <is>
          <t>Debit Card</t>
        </is>
      </c>
      <c r="I1952" t="inlineStr">
        <is>
          <t>Delivered</t>
        </is>
      </c>
      <c r="J1952" t="n">
        <v>137</v>
      </c>
      <c r="K1952" t="n">
        <v>1</v>
      </c>
      <c r="L1952" s="7" t="n">
        <v>261</v>
      </c>
      <c r="M1952" s="7" t="n">
        <v>26.1</v>
      </c>
    </row>
    <row r="1953">
      <c r="A1953" t="n">
        <v>510314</v>
      </c>
      <c r="B1953" s="6" t="n">
        <v>45954</v>
      </c>
      <c r="C1953" t="n">
        <v>16675</v>
      </c>
      <c r="D1953" t="inlineStr">
        <is>
          <t>Mumbai</t>
        </is>
      </c>
      <c r="E1953" t="inlineStr">
        <is>
          <t>West</t>
        </is>
      </c>
      <c r="F1953" t="inlineStr">
        <is>
          <t>Organic Search</t>
        </is>
      </c>
      <c r="G1953" t="inlineStr">
        <is>
          <t>Mobile Web</t>
        </is>
      </c>
      <c r="H1953" t="inlineStr">
        <is>
          <t>UPI</t>
        </is>
      </c>
      <c r="I1953" t="inlineStr">
        <is>
          <t>Delivered</t>
        </is>
      </c>
      <c r="J1953" t="n">
        <v>137</v>
      </c>
      <c r="K1953" t="n">
        <v>1</v>
      </c>
      <c r="L1953" s="7" t="n">
        <v>261</v>
      </c>
      <c r="M1953" s="7" t="n">
        <v>0</v>
      </c>
    </row>
    <row r="1954">
      <c r="A1954" t="n">
        <v>510315</v>
      </c>
      <c r="B1954" s="6" t="n">
        <v>45954</v>
      </c>
      <c r="C1954" t="n">
        <v>13587</v>
      </c>
      <c r="D1954" t="inlineStr">
        <is>
          <t>Delhi</t>
        </is>
      </c>
      <c r="E1954" t="inlineStr">
        <is>
          <t>North</t>
        </is>
      </c>
      <c r="F1954" t="inlineStr">
        <is>
          <t>Email</t>
        </is>
      </c>
      <c r="G1954" t="inlineStr">
        <is>
          <t>Mobile App</t>
        </is>
      </c>
      <c r="H1954" t="inlineStr">
        <is>
          <t>UPI</t>
        </is>
      </c>
      <c r="I1954" t="inlineStr">
        <is>
          <t>Delivered</t>
        </is>
      </c>
      <c r="J1954" t="n">
        <v>140</v>
      </c>
      <c r="K1954" t="n">
        <v>1</v>
      </c>
      <c r="L1954" s="7" t="n">
        <v>629</v>
      </c>
      <c r="M1954" s="7" t="n">
        <v>62.9</v>
      </c>
    </row>
    <row r="1955">
      <c r="A1955" t="n">
        <v>510315</v>
      </c>
      <c r="B1955" s="6" t="n">
        <v>45954</v>
      </c>
      <c r="C1955" t="n">
        <v>13587</v>
      </c>
      <c r="D1955" t="inlineStr">
        <is>
          <t>Delhi</t>
        </is>
      </c>
      <c r="E1955" t="inlineStr">
        <is>
          <t>North</t>
        </is>
      </c>
      <c r="F1955" t="inlineStr">
        <is>
          <t>Email</t>
        </is>
      </c>
      <c r="G1955" t="inlineStr">
        <is>
          <t>Mobile App</t>
        </is>
      </c>
      <c r="H1955" t="inlineStr">
        <is>
          <t>UPI</t>
        </is>
      </c>
      <c r="I1955" t="inlineStr">
        <is>
          <t>Delivered</t>
        </is>
      </c>
      <c r="J1955" t="n">
        <v>107</v>
      </c>
      <c r="K1955" t="n">
        <v>1</v>
      </c>
      <c r="L1955" s="7" t="n">
        <v>1259</v>
      </c>
      <c r="M1955" s="7" t="n">
        <v>125.9</v>
      </c>
    </row>
    <row r="1956">
      <c r="A1956" t="n">
        <v>510315</v>
      </c>
      <c r="B1956" s="6" t="n">
        <v>45954</v>
      </c>
      <c r="C1956" t="n">
        <v>13587</v>
      </c>
      <c r="D1956" t="inlineStr">
        <is>
          <t>Delhi</t>
        </is>
      </c>
      <c r="E1956" t="inlineStr">
        <is>
          <t>North</t>
        </is>
      </c>
      <c r="F1956" t="inlineStr">
        <is>
          <t>Email</t>
        </is>
      </c>
      <c r="G1956" t="inlineStr">
        <is>
          <t>Mobile App</t>
        </is>
      </c>
      <c r="H1956" t="inlineStr">
        <is>
          <t>UPI</t>
        </is>
      </c>
      <c r="I1956" t="inlineStr">
        <is>
          <t>Delivered</t>
        </is>
      </c>
      <c r="J1956" t="n">
        <v>108</v>
      </c>
      <c r="K1956" t="n">
        <v>1</v>
      </c>
      <c r="L1956" s="7" t="n">
        <v>419</v>
      </c>
      <c r="M1956" s="7" t="n">
        <v>41.9</v>
      </c>
    </row>
    <row r="1957">
      <c r="A1957" t="n">
        <v>510316</v>
      </c>
      <c r="B1957" s="6" t="n">
        <v>45954</v>
      </c>
      <c r="C1957" t="n">
        <v>15567</v>
      </c>
      <c r="D1957" t="inlineStr">
        <is>
          <t>Gurugram</t>
        </is>
      </c>
      <c r="E1957" t="inlineStr">
        <is>
          <t>North</t>
        </is>
      </c>
      <c r="F1957" t="inlineStr">
        <is>
          <t>Email</t>
        </is>
      </c>
      <c r="G1957" t="inlineStr">
        <is>
          <t>Desktop</t>
        </is>
      </c>
      <c r="H1957" t="inlineStr">
        <is>
          <t>Cash on Delivery</t>
        </is>
      </c>
      <c r="I1957" t="inlineStr">
        <is>
          <t>Returned</t>
        </is>
      </c>
      <c r="J1957" t="n">
        <v>126</v>
      </c>
      <c r="K1957" t="n">
        <v>1</v>
      </c>
      <c r="L1957" s="7" t="n">
        <v>471</v>
      </c>
      <c r="M1957" s="7" t="n">
        <v>0</v>
      </c>
    </row>
    <row r="1958">
      <c r="A1958" t="n">
        <v>510317</v>
      </c>
      <c r="B1958" s="6" t="n">
        <v>45954</v>
      </c>
      <c r="C1958" t="n">
        <v>13019</v>
      </c>
      <c r="D1958" t="inlineStr">
        <is>
          <t>Pune</t>
        </is>
      </c>
      <c r="E1958" t="inlineStr">
        <is>
          <t>West</t>
        </is>
      </c>
      <c r="F1958" t="inlineStr">
        <is>
          <t>Paid Social</t>
        </is>
      </c>
      <c r="G1958" t="inlineStr">
        <is>
          <t>Mobile App</t>
        </is>
      </c>
      <c r="H1958" t="inlineStr">
        <is>
          <t>Cash on Delivery</t>
        </is>
      </c>
      <c r="I1958" t="inlineStr">
        <is>
          <t>Delivered</t>
        </is>
      </c>
      <c r="J1958" t="n">
        <v>131</v>
      </c>
      <c r="K1958" t="n">
        <v>1</v>
      </c>
      <c r="L1958" s="7" t="n">
        <v>314</v>
      </c>
      <c r="M1958" s="7" t="n">
        <v>0</v>
      </c>
    </row>
    <row r="1959">
      <c r="A1959" t="n">
        <v>510317</v>
      </c>
      <c r="B1959" s="6" t="n">
        <v>45954</v>
      </c>
      <c r="C1959" t="n">
        <v>13019</v>
      </c>
      <c r="D1959" t="inlineStr">
        <is>
          <t>Pune</t>
        </is>
      </c>
      <c r="E1959" t="inlineStr">
        <is>
          <t>West</t>
        </is>
      </c>
      <c r="F1959" t="inlineStr">
        <is>
          <t>Paid Social</t>
        </is>
      </c>
      <c r="G1959" t="inlineStr">
        <is>
          <t>Mobile App</t>
        </is>
      </c>
      <c r="H1959" t="inlineStr">
        <is>
          <t>Cash on Delivery</t>
        </is>
      </c>
      <c r="I1959" t="inlineStr">
        <is>
          <t>Delivered</t>
        </is>
      </c>
      <c r="J1959" t="n">
        <v>129</v>
      </c>
      <c r="K1959" t="n">
        <v>1</v>
      </c>
      <c r="L1959" s="7" t="n">
        <v>576</v>
      </c>
      <c r="M1959" s="7" t="n">
        <v>0</v>
      </c>
    </row>
    <row r="1960">
      <c r="A1960" t="n">
        <v>510318</v>
      </c>
      <c r="B1960" s="6" t="n">
        <v>45954</v>
      </c>
      <c r="C1960" t="n">
        <v>17004</v>
      </c>
      <c r="D1960" t="inlineStr">
        <is>
          <t>Bengaluru</t>
        </is>
      </c>
      <c r="E1960" t="inlineStr">
        <is>
          <t>South</t>
        </is>
      </c>
      <c r="F1960" t="inlineStr">
        <is>
          <t>Email</t>
        </is>
      </c>
      <c r="G1960" t="inlineStr">
        <is>
          <t>Desktop</t>
        </is>
      </c>
      <c r="H1960" t="inlineStr">
        <is>
          <t>UPI</t>
        </is>
      </c>
      <c r="I1960" t="inlineStr">
        <is>
          <t>Delivered</t>
        </is>
      </c>
      <c r="J1960" t="n">
        <v>103</v>
      </c>
      <c r="K1960" t="n">
        <v>2</v>
      </c>
      <c r="L1960" s="7" t="n">
        <v>2624</v>
      </c>
      <c r="M1960" s="7" t="n">
        <v>524.8</v>
      </c>
    </row>
    <row r="1961">
      <c r="A1961" t="n">
        <v>510318</v>
      </c>
      <c r="B1961" s="6" t="n">
        <v>45954</v>
      </c>
      <c r="C1961" t="n">
        <v>17004</v>
      </c>
      <c r="D1961" t="inlineStr">
        <is>
          <t>Bengaluru</t>
        </is>
      </c>
      <c r="E1961" t="inlineStr">
        <is>
          <t>South</t>
        </is>
      </c>
      <c r="F1961" t="inlineStr">
        <is>
          <t>Email</t>
        </is>
      </c>
      <c r="G1961" t="inlineStr">
        <is>
          <t>Desktop</t>
        </is>
      </c>
      <c r="H1961" t="inlineStr">
        <is>
          <t>UPI</t>
        </is>
      </c>
      <c r="I1961" t="inlineStr">
        <is>
          <t>Delivered</t>
        </is>
      </c>
      <c r="J1961" t="n">
        <v>129</v>
      </c>
      <c r="K1961" t="n">
        <v>1</v>
      </c>
      <c r="L1961" s="7" t="n">
        <v>576</v>
      </c>
      <c r="M1961" s="7" t="n">
        <v>57.6</v>
      </c>
    </row>
    <row r="1962">
      <c r="A1962" t="n">
        <v>510319</v>
      </c>
      <c r="B1962" s="6" t="n">
        <v>45954</v>
      </c>
      <c r="C1962" t="n">
        <v>16906</v>
      </c>
      <c r="D1962" t="inlineStr">
        <is>
          <t>Delhi</t>
        </is>
      </c>
      <c r="E1962" t="inlineStr">
        <is>
          <t>North</t>
        </is>
      </c>
      <c r="F1962" t="inlineStr">
        <is>
          <t>Paid Search</t>
        </is>
      </c>
      <c r="G1962" t="inlineStr">
        <is>
          <t>Mobile App</t>
        </is>
      </c>
      <c r="H1962" t="inlineStr">
        <is>
          <t>Debit Card</t>
        </is>
      </c>
      <c r="I1962" t="inlineStr">
        <is>
          <t>Delivered</t>
        </is>
      </c>
      <c r="J1962" t="n">
        <v>127</v>
      </c>
      <c r="K1962" t="n">
        <v>1</v>
      </c>
      <c r="L1962" s="7" t="n">
        <v>681</v>
      </c>
      <c r="M1962" s="7" t="n">
        <v>68.09999999999999</v>
      </c>
    </row>
    <row r="1963">
      <c r="A1963" t="n">
        <v>510319</v>
      </c>
      <c r="B1963" s="6" t="n">
        <v>45954</v>
      </c>
      <c r="C1963" t="n">
        <v>16906</v>
      </c>
      <c r="D1963" t="inlineStr">
        <is>
          <t>Delhi</t>
        </is>
      </c>
      <c r="E1963" t="inlineStr">
        <is>
          <t>North</t>
        </is>
      </c>
      <c r="F1963" t="inlineStr">
        <is>
          <t>Paid Search</t>
        </is>
      </c>
      <c r="G1963" t="inlineStr">
        <is>
          <t>Mobile App</t>
        </is>
      </c>
      <c r="H1963" t="inlineStr">
        <is>
          <t>Debit Card</t>
        </is>
      </c>
      <c r="I1963" t="inlineStr">
        <is>
          <t>Delivered</t>
        </is>
      </c>
      <c r="J1963" t="n">
        <v>109</v>
      </c>
      <c r="K1963" t="n">
        <v>2</v>
      </c>
      <c r="L1963" s="7" t="n">
        <v>4199</v>
      </c>
      <c r="M1963" s="7" t="n">
        <v>839.8</v>
      </c>
    </row>
    <row r="1964">
      <c r="A1964" t="n">
        <v>510320</v>
      </c>
      <c r="B1964" s="6" t="n">
        <v>45954</v>
      </c>
      <c r="C1964" t="n">
        <v>15137</v>
      </c>
      <c r="D1964" t="inlineStr">
        <is>
          <t>Kolkata</t>
        </is>
      </c>
      <c r="E1964" t="inlineStr">
        <is>
          <t>East</t>
        </is>
      </c>
      <c r="F1964" t="inlineStr">
        <is>
          <t>Organic Search</t>
        </is>
      </c>
      <c r="G1964" t="inlineStr">
        <is>
          <t>Mobile Web</t>
        </is>
      </c>
      <c r="H1964" t="inlineStr">
        <is>
          <t>UPI</t>
        </is>
      </c>
      <c r="I1964" t="inlineStr">
        <is>
          <t>Delivered</t>
        </is>
      </c>
      <c r="J1964" t="n">
        <v>111</v>
      </c>
      <c r="K1964" t="n">
        <v>1</v>
      </c>
      <c r="L1964" s="7" t="n">
        <v>524</v>
      </c>
      <c r="M1964" s="7" t="n">
        <v>52.4</v>
      </c>
    </row>
    <row r="1965">
      <c r="A1965" t="n">
        <v>510321</v>
      </c>
      <c r="B1965" s="6" t="n">
        <v>45954</v>
      </c>
      <c r="C1965" t="n">
        <v>15743</v>
      </c>
      <c r="D1965" t="inlineStr">
        <is>
          <t>Kolkata</t>
        </is>
      </c>
      <c r="E1965" t="inlineStr">
        <is>
          <t>East</t>
        </is>
      </c>
      <c r="F1965" t="inlineStr">
        <is>
          <t>Organic Search</t>
        </is>
      </c>
      <c r="G1965" t="inlineStr">
        <is>
          <t>Mobile App</t>
        </is>
      </c>
      <c r="H1965" t="inlineStr">
        <is>
          <t>Debit Card</t>
        </is>
      </c>
      <c r="I1965" t="inlineStr">
        <is>
          <t>Delivered</t>
        </is>
      </c>
      <c r="J1965" t="n">
        <v>103</v>
      </c>
      <c r="K1965" t="n">
        <v>1</v>
      </c>
      <c r="L1965" s="7" t="n">
        <v>2624</v>
      </c>
      <c r="M1965" s="7" t="n">
        <v>131.2</v>
      </c>
    </row>
    <row r="1966">
      <c r="A1966" t="n">
        <v>510322</v>
      </c>
      <c r="B1966" s="6" t="n">
        <v>45954</v>
      </c>
      <c r="C1966" t="n">
        <v>10276</v>
      </c>
      <c r="D1966" t="inlineStr">
        <is>
          <t>Chandigarh</t>
        </is>
      </c>
      <c r="E1966" t="inlineStr">
        <is>
          <t>North</t>
        </is>
      </c>
      <c r="F1966" t="inlineStr">
        <is>
          <t>Referral</t>
        </is>
      </c>
      <c r="G1966" t="inlineStr">
        <is>
          <t>Mobile Web</t>
        </is>
      </c>
      <c r="H1966" t="inlineStr">
        <is>
          <t>Net Banking</t>
        </is>
      </c>
      <c r="I1966" t="inlineStr">
        <is>
          <t>Delivered</t>
        </is>
      </c>
      <c r="J1966" t="n">
        <v>123</v>
      </c>
      <c r="K1966" t="n">
        <v>1</v>
      </c>
      <c r="L1966" s="7" t="n">
        <v>3464</v>
      </c>
      <c r="M1966" s="7" t="n">
        <v>346.4</v>
      </c>
    </row>
    <row r="1967">
      <c r="A1967" t="n">
        <v>510323</v>
      </c>
      <c r="B1967" s="6" t="n">
        <v>45954</v>
      </c>
      <c r="C1967" t="n">
        <v>15512</v>
      </c>
      <c r="D1967" t="inlineStr">
        <is>
          <t>Delhi</t>
        </is>
      </c>
      <c r="E1967" t="inlineStr">
        <is>
          <t>North</t>
        </is>
      </c>
      <c r="F1967" t="inlineStr">
        <is>
          <t>Email</t>
        </is>
      </c>
      <c r="G1967" t="inlineStr">
        <is>
          <t>Mobile Web</t>
        </is>
      </c>
      <c r="H1967" t="inlineStr">
        <is>
          <t>Credit Card</t>
        </is>
      </c>
      <c r="I1967" t="inlineStr">
        <is>
          <t>Delivered</t>
        </is>
      </c>
      <c r="J1967" t="n">
        <v>107</v>
      </c>
      <c r="K1967" t="n">
        <v>1</v>
      </c>
      <c r="L1967" s="7" t="n">
        <v>1259</v>
      </c>
      <c r="M1967" s="7" t="n">
        <v>0</v>
      </c>
    </row>
    <row r="1968">
      <c r="A1968" t="n">
        <v>510323</v>
      </c>
      <c r="B1968" s="6" t="n">
        <v>45954</v>
      </c>
      <c r="C1968" t="n">
        <v>15512</v>
      </c>
      <c r="D1968" t="inlineStr">
        <is>
          <t>Delhi</t>
        </is>
      </c>
      <c r="E1968" t="inlineStr">
        <is>
          <t>North</t>
        </is>
      </c>
      <c r="F1968" t="inlineStr">
        <is>
          <t>Email</t>
        </is>
      </c>
      <c r="G1968" t="inlineStr">
        <is>
          <t>Mobile Web</t>
        </is>
      </c>
      <c r="H1968" t="inlineStr">
        <is>
          <t>Credit Card</t>
        </is>
      </c>
      <c r="I1968" t="inlineStr">
        <is>
          <t>Delivered</t>
        </is>
      </c>
      <c r="J1968" t="n">
        <v>112</v>
      </c>
      <c r="K1968" t="n">
        <v>1</v>
      </c>
      <c r="L1968" s="7" t="n">
        <v>1574</v>
      </c>
      <c r="M1968" s="7" t="n">
        <v>0</v>
      </c>
    </row>
    <row r="1969">
      <c r="A1969" t="n">
        <v>510323</v>
      </c>
      <c r="B1969" s="6" t="n">
        <v>45954</v>
      </c>
      <c r="C1969" t="n">
        <v>15512</v>
      </c>
      <c r="D1969" t="inlineStr">
        <is>
          <t>Delhi</t>
        </is>
      </c>
      <c r="E1969" t="inlineStr">
        <is>
          <t>North</t>
        </is>
      </c>
      <c r="F1969" t="inlineStr">
        <is>
          <t>Email</t>
        </is>
      </c>
      <c r="G1969" t="inlineStr">
        <is>
          <t>Mobile Web</t>
        </is>
      </c>
      <c r="H1969" t="inlineStr">
        <is>
          <t>Credit Card</t>
        </is>
      </c>
      <c r="I1969" t="inlineStr">
        <is>
          <t>Delivered</t>
        </is>
      </c>
      <c r="J1969" t="n">
        <v>111</v>
      </c>
      <c r="K1969" t="n">
        <v>1</v>
      </c>
      <c r="L1969" s="7" t="n">
        <v>524</v>
      </c>
      <c r="M1969" s="7" t="n">
        <v>0</v>
      </c>
    </row>
    <row r="1970">
      <c r="A1970" t="n">
        <v>510324</v>
      </c>
      <c r="B1970" s="6" t="n">
        <v>45954</v>
      </c>
      <c r="C1970" t="n">
        <v>16963</v>
      </c>
      <c r="D1970" t="inlineStr">
        <is>
          <t>Kochi</t>
        </is>
      </c>
      <c r="E1970" t="inlineStr">
        <is>
          <t>South</t>
        </is>
      </c>
      <c r="F1970" t="inlineStr">
        <is>
          <t>Affiliate</t>
        </is>
      </c>
      <c r="G1970" t="inlineStr">
        <is>
          <t>Desktop</t>
        </is>
      </c>
      <c r="H1970" t="inlineStr">
        <is>
          <t>UPI</t>
        </is>
      </c>
      <c r="I1970" t="inlineStr">
        <is>
          <t>Delivered</t>
        </is>
      </c>
      <c r="J1970" t="n">
        <v>118</v>
      </c>
      <c r="K1970" t="n">
        <v>1</v>
      </c>
      <c r="L1970" s="7" t="n">
        <v>944</v>
      </c>
      <c r="M1970" s="7" t="n">
        <v>94.40000000000001</v>
      </c>
    </row>
    <row r="1971">
      <c r="A1971" t="n">
        <v>510324</v>
      </c>
      <c r="B1971" s="6" t="n">
        <v>45954</v>
      </c>
      <c r="C1971" t="n">
        <v>16963</v>
      </c>
      <c r="D1971" t="inlineStr">
        <is>
          <t>Kochi</t>
        </is>
      </c>
      <c r="E1971" t="inlineStr">
        <is>
          <t>South</t>
        </is>
      </c>
      <c r="F1971" t="inlineStr">
        <is>
          <t>Affiliate</t>
        </is>
      </c>
      <c r="G1971" t="inlineStr">
        <is>
          <t>Desktop</t>
        </is>
      </c>
      <c r="H1971" t="inlineStr">
        <is>
          <t>UPI</t>
        </is>
      </c>
      <c r="I1971" t="inlineStr">
        <is>
          <t>Delivered</t>
        </is>
      </c>
      <c r="J1971" t="n">
        <v>142</v>
      </c>
      <c r="K1971" t="n">
        <v>1</v>
      </c>
      <c r="L1971" s="7" t="n">
        <v>839</v>
      </c>
      <c r="M1971" s="7" t="n">
        <v>83.90000000000001</v>
      </c>
    </row>
    <row r="1972">
      <c r="A1972" t="n">
        <v>510325</v>
      </c>
      <c r="B1972" s="6" t="n">
        <v>45954</v>
      </c>
      <c r="C1972" t="n">
        <v>16699</v>
      </c>
      <c r="D1972" t="inlineStr">
        <is>
          <t>Pune</t>
        </is>
      </c>
      <c r="E1972" t="inlineStr">
        <is>
          <t>West</t>
        </is>
      </c>
      <c r="F1972" t="inlineStr">
        <is>
          <t>Organic Search</t>
        </is>
      </c>
      <c r="G1972" t="inlineStr">
        <is>
          <t>Mobile App</t>
        </is>
      </c>
      <c r="H1972" t="inlineStr">
        <is>
          <t>Debit Card</t>
        </is>
      </c>
      <c r="I1972" t="inlineStr">
        <is>
          <t>Delivered</t>
        </is>
      </c>
      <c r="J1972" t="n">
        <v>132</v>
      </c>
      <c r="K1972" t="n">
        <v>1</v>
      </c>
      <c r="L1972" s="7" t="n">
        <v>471</v>
      </c>
      <c r="M1972" s="7" t="n">
        <v>47.1</v>
      </c>
    </row>
    <row r="1973">
      <c r="A1973" t="n">
        <v>510326</v>
      </c>
      <c r="B1973" s="6" t="n">
        <v>45954</v>
      </c>
      <c r="C1973" t="n">
        <v>16288</v>
      </c>
      <c r="D1973" t="inlineStr">
        <is>
          <t>Lucknow</t>
        </is>
      </c>
      <c r="E1973" t="inlineStr">
        <is>
          <t>North</t>
        </is>
      </c>
      <c r="F1973" t="inlineStr">
        <is>
          <t>Organic Search</t>
        </is>
      </c>
      <c r="G1973" t="inlineStr">
        <is>
          <t>Mobile App</t>
        </is>
      </c>
      <c r="H1973" t="inlineStr">
        <is>
          <t>UPI</t>
        </is>
      </c>
      <c r="I1973" t="inlineStr">
        <is>
          <t>Delivered</t>
        </is>
      </c>
      <c r="J1973" t="n">
        <v>132</v>
      </c>
      <c r="K1973" t="n">
        <v>1</v>
      </c>
      <c r="L1973" s="7" t="n">
        <v>471</v>
      </c>
      <c r="M1973" s="7" t="n">
        <v>0</v>
      </c>
    </row>
    <row r="1974">
      <c r="A1974" t="n">
        <v>510326</v>
      </c>
      <c r="B1974" s="6" t="n">
        <v>45954</v>
      </c>
      <c r="C1974" t="n">
        <v>16288</v>
      </c>
      <c r="D1974" t="inlineStr">
        <is>
          <t>Lucknow</t>
        </is>
      </c>
      <c r="E1974" t="inlineStr">
        <is>
          <t>North</t>
        </is>
      </c>
      <c r="F1974" t="inlineStr">
        <is>
          <t>Organic Search</t>
        </is>
      </c>
      <c r="G1974" t="inlineStr">
        <is>
          <t>Mobile App</t>
        </is>
      </c>
      <c r="H1974" t="inlineStr">
        <is>
          <t>UPI</t>
        </is>
      </c>
      <c r="I1974" t="inlineStr">
        <is>
          <t>Delivered</t>
        </is>
      </c>
      <c r="J1974" t="n">
        <v>129</v>
      </c>
      <c r="K1974" t="n">
        <v>1</v>
      </c>
      <c r="L1974" s="7" t="n">
        <v>576</v>
      </c>
      <c r="M1974" s="7" t="n">
        <v>0</v>
      </c>
    </row>
    <row r="1975">
      <c r="A1975" t="n">
        <v>510327</v>
      </c>
      <c r="B1975" s="6" t="n">
        <v>45954</v>
      </c>
      <c r="C1975" t="n">
        <v>13707</v>
      </c>
      <c r="D1975" t="inlineStr">
        <is>
          <t>Hyderabad</t>
        </is>
      </c>
      <c r="E1975" t="inlineStr">
        <is>
          <t>South</t>
        </is>
      </c>
      <c r="F1975" t="inlineStr">
        <is>
          <t>Organic Search</t>
        </is>
      </c>
      <c r="G1975" t="inlineStr">
        <is>
          <t>Mobile Web</t>
        </is>
      </c>
      <c r="H1975" t="inlineStr">
        <is>
          <t>Credit Card</t>
        </is>
      </c>
      <c r="I1975" t="inlineStr">
        <is>
          <t>Delivered</t>
        </is>
      </c>
      <c r="J1975" t="n">
        <v>145</v>
      </c>
      <c r="K1975" t="n">
        <v>1</v>
      </c>
      <c r="L1975" s="7" t="n">
        <v>629</v>
      </c>
      <c r="M1975" s="7" t="n">
        <v>62.9</v>
      </c>
    </row>
    <row r="1976">
      <c r="A1976" t="n">
        <v>510327</v>
      </c>
      <c r="B1976" s="6" t="n">
        <v>45954</v>
      </c>
      <c r="C1976" t="n">
        <v>13707</v>
      </c>
      <c r="D1976" t="inlineStr">
        <is>
          <t>Hyderabad</t>
        </is>
      </c>
      <c r="E1976" t="inlineStr">
        <is>
          <t>South</t>
        </is>
      </c>
      <c r="F1976" t="inlineStr">
        <is>
          <t>Organic Search</t>
        </is>
      </c>
      <c r="G1976" t="inlineStr">
        <is>
          <t>Mobile Web</t>
        </is>
      </c>
      <c r="H1976" t="inlineStr">
        <is>
          <t>Credit Card</t>
        </is>
      </c>
      <c r="I1976" t="inlineStr">
        <is>
          <t>Delivered</t>
        </is>
      </c>
      <c r="J1976" t="n">
        <v>129</v>
      </c>
      <c r="K1976" t="n">
        <v>3</v>
      </c>
      <c r="L1976" s="7" t="n">
        <v>576</v>
      </c>
      <c r="M1976" s="7" t="n">
        <v>172.8</v>
      </c>
    </row>
    <row r="1977">
      <c r="A1977" t="n">
        <v>510328</v>
      </c>
      <c r="B1977" s="6" t="n">
        <v>45954</v>
      </c>
      <c r="C1977" t="n">
        <v>17003</v>
      </c>
      <c r="D1977" t="inlineStr">
        <is>
          <t>Bengaluru</t>
        </is>
      </c>
      <c r="E1977" t="inlineStr">
        <is>
          <t>South</t>
        </is>
      </c>
      <c r="F1977" t="inlineStr">
        <is>
          <t>Organic Search</t>
        </is>
      </c>
      <c r="G1977" t="inlineStr">
        <is>
          <t>Mobile App</t>
        </is>
      </c>
      <c r="H1977" t="inlineStr">
        <is>
          <t>UPI</t>
        </is>
      </c>
      <c r="I1977" t="inlineStr">
        <is>
          <t>Delivered</t>
        </is>
      </c>
      <c r="J1977" t="n">
        <v>119</v>
      </c>
      <c r="K1977" t="n">
        <v>2</v>
      </c>
      <c r="L1977" s="7" t="n">
        <v>2309</v>
      </c>
      <c r="M1977" s="7" t="n">
        <v>0</v>
      </c>
    </row>
    <row r="1978">
      <c r="A1978" t="n">
        <v>510328</v>
      </c>
      <c r="B1978" s="6" t="n">
        <v>45954</v>
      </c>
      <c r="C1978" t="n">
        <v>17003</v>
      </c>
      <c r="D1978" t="inlineStr">
        <is>
          <t>Bengaluru</t>
        </is>
      </c>
      <c r="E1978" t="inlineStr">
        <is>
          <t>South</t>
        </is>
      </c>
      <c r="F1978" t="inlineStr">
        <is>
          <t>Organic Search</t>
        </is>
      </c>
      <c r="G1978" t="inlineStr">
        <is>
          <t>Mobile App</t>
        </is>
      </c>
      <c r="H1978" t="inlineStr">
        <is>
          <t>UPI</t>
        </is>
      </c>
      <c r="I1978" t="inlineStr">
        <is>
          <t>Delivered</t>
        </is>
      </c>
      <c r="J1978" t="n">
        <v>132</v>
      </c>
      <c r="K1978" t="n">
        <v>1</v>
      </c>
      <c r="L1978" s="7" t="n">
        <v>471</v>
      </c>
      <c r="M1978" s="7" t="n">
        <v>0</v>
      </c>
    </row>
    <row r="1979">
      <c r="A1979" t="n">
        <v>510328</v>
      </c>
      <c r="B1979" s="6" t="n">
        <v>45954</v>
      </c>
      <c r="C1979" t="n">
        <v>17003</v>
      </c>
      <c r="D1979" t="inlineStr">
        <is>
          <t>Bengaluru</t>
        </is>
      </c>
      <c r="E1979" t="inlineStr">
        <is>
          <t>South</t>
        </is>
      </c>
      <c r="F1979" t="inlineStr">
        <is>
          <t>Organic Search</t>
        </is>
      </c>
      <c r="G1979" t="inlineStr">
        <is>
          <t>Mobile App</t>
        </is>
      </c>
      <c r="H1979" t="inlineStr">
        <is>
          <t>UPI</t>
        </is>
      </c>
      <c r="I1979" t="inlineStr">
        <is>
          <t>Delivered</t>
        </is>
      </c>
      <c r="J1979" t="n">
        <v>129</v>
      </c>
      <c r="K1979" t="n">
        <v>1</v>
      </c>
      <c r="L1979" s="7" t="n">
        <v>576</v>
      </c>
      <c r="M1979" s="7" t="n">
        <v>0</v>
      </c>
    </row>
    <row r="1980">
      <c r="A1980" t="n">
        <v>510329</v>
      </c>
      <c r="B1980" s="6" t="n">
        <v>45954</v>
      </c>
      <c r="C1980" t="n">
        <v>14486</v>
      </c>
      <c r="D1980" t="inlineStr">
        <is>
          <t>Gurugram</t>
        </is>
      </c>
      <c r="E1980" t="inlineStr">
        <is>
          <t>North</t>
        </is>
      </c>
      <c r="F1980" t="inlineStr">
        <is>
          <t>Referral</t>
        </is>
      </c>
      <c r="G1980" t="inlineStr">
        <is>
          <t>Mobile Web</t>
        </is>
      </c>
      <c r="H1980" t="inlineStr">
        <is>
          <t>UPI</t>
        </is>
      </c>
      <c r="I1980" t="inlineStr">
        <is>
          <t>Delivered</t>
        </is>
      </c>
      <c r="J1980" t="n">
        <v>120</v>
      </c>
      <c r="K1980" t="n">
        <v>1</v>
      </c>
      <c r="L1980" s="7" t="n">
        <v>734</v>
      </c>
      <c r="M1980" s="7" t="n">
        <v>0</v>
      </c>
    </row>
    <row r="1981">
      <c r="A1981" t="n">
        <v>510329</v>
      </c>
      <c r="B1981" s="6" t="n">
        <v>45954</v>
      </c>
      <c r="C1981" t="n">
        <v>14486</v>
      </c>
      <c r="D1981" t="inlineStr">
        <is>
          <t>Gurugram</t>
        </is>
      </c>
      <c r="E1981" t="inlineStr">
        <is>
          <t>North</t>
        </is>
      </c>
      <c r="F1981" t="inlineStr">
        <is>
          <t>Referral</t>
        </is>
      </c>
      <c r="G1981" t="inlineStr">
        <is>
          <t>Mobile Web</t>
        </is>
      </c>
      <c r="H1981" t="inlineStr">
        <is>
          <t>UPI</t>
        </is>
      </c>
      <c r="I1981" t="inlineStr">
        <is>
          <t>Delivered</t>
        </is>
      </c>
      <c r="J1981" t="n">
        <v>128</v>
      </c>
      <c r="K1981" t="n">
        <v>1</v>
      </c>
      <c r="L1981" s="7" t="n">
        <v>1049</v>
      </c>
      <c r="M1981" s="7" t="n">
        <v>0</v>
      </c>
    </row>
    <row r="1982">
      <c r="A1982" t="n">
        <v>510329</v>
      </c>
      <c r="B1982" s="6" t="n">
        <v>45954</v>
      </c>
      <c r="C1982" t="n">
        <v>14486</v>
      </c>
      <c r="D1982" t="inlineStr">
        <is>
          <t>Gurugram</t>
        </is>
      </c>
      <c r="E1982" t="inlineStr">
        <is>
          <t>North</t>
        </is>
      </c>
      <c r="F1982" t="inlineStr">
        <is>
          <t>Referral</t>
        </is>
      </c>
      <c r="G1982" t="inlineStr">
        <is>
          <t>Mobile Web</t>
        </is>
      </c>
      <c r="H1982" t="inlineStr">
        <is>
          <t>UPI</t>
        </is>
      </c>
      <c r="I1982" t="inlineStr">
        <is>
          <t>Delivered</t>
        </is>
      </c>
      <c r="J1982" t="n">
        <v>129</v>
      </c>
      <c r="K1982" t="n">
        <v>1</v>
      </c>
      <c r="L1982" s="7" t="n">
        <v>576</v>
      </c>
      <c r="M1982" s="7" t="n">
        <v>0</v>
      </c>
    </row>
    <row r="1983">
      <c r="A1983" t="n">
        <v>510330</v>
      </c>
      <c r="B1983" s="6" t="n">
        <v>45954</v>
      </c>
      <c r="C1983" t="n">
        <v>12518</v>
      </c>
      <c r="D1983" t="inlineStr">
        <is>
          <t>Chennai</t>
        </is>
      </c>
      <c r="E1983" t="inlineStr">
        <is>
          <t>South</t>
        </is>
      </c>
      <c r="F1983" t="inlineStr">
        <is>
          <t>Referral</t>
        </is>
      </c>
      <c r="G1983" t="inlineStr">
        <is>
          <t>Desktop</t>
        </is>
      </c>
      <c r="H1983" t="inlineStr">
        <is>
          <t>Cash on Delivery</t>
        </is>
      </c>
      <c r="I1983" t="inlineStr">
        <is>
          <t>Delivered</t>
        </is>
      </c>
      <c r="J1983" t="n">
        <v>118</v>
      </c>
      <c r="K1983" t="n">
        <v>1</v>
      </c>
      <c r="L1983" s="7" t="n">
        <v>944</v>
      </c>
      <c r="M1983" s="7" t="n">
        <v>94.40000000000001</v>
      </c>
    </row>
    <row r="1984">
      <c r="A1984" t="n">
        <v>510331</v>
      </c>
      <c r="B1984" s="6" t="n">
        <v>45954</v>
      </c>
      <c r="C1984" t="n">
        <v>16986</v>
      </c>
      <c r="D1984" t="inlineStr">
        <is>
          <t>Jaipur</t>
        </is>
      </c>
      <c r="E1984" t="inlineStr">
        <is>
          <t>North</t>
        </is>
      </c>
      <c r="F1984" t="inlineStr">
        <is>
          <t>Paid Search</t>
        </is>
      </c>
      <c r="G1984" t="inlineStr">
        <is>
          <t>Desktop</t>
        </is>
      </c>
      <c r="H1984" t="inlineStr">
        <is>
          <t>Credit Card</t>
        </is>
      </c>
      <c r="I1984" t="inlineStr">
        <is>
          <t>Cancelled</t>
        </is>
      </c>
      <c r="J1984" t="n">
        <v>104</v>
      </c>
      <c r="K1984" t="n">
        <v>1</v>
      </c>
      <c r="L1984" s="7" t="n">
        <v>5249</v>
      </c>
      <c r="M1984" s="7" t="n">
        <v>0</v>
      </c>
    </row>
    <row r="1985">
      <c r="A1985" t="n">
        <v>510332</v>
      </c>
      <c r="B1985" s="6" t="n">
        <v>45954</v>
      </c>
      <c r="C1985" t="n">
        <v>13586</v>
      </c>
      <c r="D1985" t="inlineStr">
        <is>
          <t>Chennai</t>
        </is>
      </c>
      <c r="E1985" t="inlineStr">
        <is>
          <t>South</t>
        </is>
      </c>
      <c r="F1985" t="inlineStr">
        <is>
          <t>Referral</t>
        </is>
      </c>
      <c r="G1985" t="inlineStr">
        <is>
          <t>Mobile Web</t>
        </is>
      </c>
      <c r="H1985" t="inlineStr">
        <is>
          <t>UPI</t>
        </is>
      </c>
      <c r="I1985" t="inlineStr">
        <is>
          <t>Delivered</t>
        </is>
      </c>
      <c r="J1985" t="n">
        <v>121</v>
      </c>
      <c r="K1985" t="n">
        <v>1</v>
      </c>
      <c r="L1985" s="7" t="n">
        <v>2939</v>
      </c>
      <c r="M1985" s="7" t="n">
        <v>293.9</v>
      </c>
    </row>
    <row r="1986">
      <c r="A1986" t="n">
        <v>510333</v>
      </c>
      <c r="B1986" s="6" t="n">
        <v>45954</v>
      </c>
      <c r="C1986" t="n">
        <v>12978</v>
      </c>
      <c r="D1986" t="inlineStr">
        <is>
          <t>Bengaluru</t>
        </is>
      </c>
      <c r="E1986" t="inlineStr">
        <is>
          <t>South</t>
        </is>
      </c>
      <c r="F1986" t="inlineStr">
        <is>
          <t>Referral</t>
        </is>
      </c>
      <c r="G1986" t="inlineStr">
        <is>
          <t>Desktop</t>
        </is>
      </c>
      <c r="H1986" t="inlineStr">
        <is>
          <t>Credit Card</t>
        </is>
      </c>
      <c r="I1986" t="inlineStr">
        <is>
          <t>Delivered</t>
        </is>
      </c>
      <c r="J1986" t="n">
        <v>147</v>
      </c>
      <c r="K1986" t="n">
        <v>3</v>
      </c>
      <c r="L1986" s="7" t="n">
        <v>1364</v>
      </c>
      <c r="M1986" s="7" t="n">
        <v>0</v>
      </c>
    </row>
    <row r="1987">
      <c r="A1987" t="n">
        <v>510333</v>
      </c>
      <c r="B1987" s="6" t="n">
        <v>45954</v>
      </c>
      <c r="C1987" t="n">
        <v>12978</v>
      </c>
      <c r="D1987" t="inlineStr">
        <is>
          <t>Bengaluru</t>
        </is>
      </c>
      <c r="E1987" t="inlineStr">
        <is>
          <t>South</t>
        </is>
      </c>
      <c r="F1987" t="inlineStr">
        <is>
          <t>Referral</t>
        </is>
      </c>
      <c r="G1987" t="inlineStr">
        <is>
          <t>Desktop</t>
        </is>
      </c>
      <c r="H1987" t="inlineStr">
        <is>
          <t>Credit Card</t>
        </is>
      </c>
      <c r="I1987" t="inlineStr">
        <is>
          <t>Delivered</t>
        </is>
      </c>
      <c r="J1987" t="n">
        <v>129</v>
      </c>
      <c r="K1987" t="n">
        <v>1</v>
      </c>
      <c r="L1987" s="7" t="n">
        <v>576</v>
      </c>
      <c r="M1987" s="7" t="n">
        <v>0</v>
      </c>
    </row>
    <row r="1988">
      <c r="A1988" t="n">
        <v>510334</v>
      </c>
      <c r="B1988" s="6" t="n">
        <v>45954</v>
      </c>
      <c r="C1988" t="n">
        <v>13626</v>
      </c>
      <c r="D1988" t="inlineStr">
        <is>
          <t>Bengaluru</t>
        </is>
      </c>
      <c r="E1988" t="inlineStr">
        <is>
          <t>South</t>
        </is>
      </c>
      <c r="F1988" t="inlineStr">
        <is>
          <t>Affiliate</t>
        </is>
      </c>
      <c r="G1988" t="inlineStr">
        <is>
          <t>Mobile Web</t>
        </is>
      </c>
      <c r="H1988" t="inlineStr">
        <is>
          <t>Debit Card</t>
        </is>
      </c>
      <c r="I1988" t="inlineStr">
        <is>
          <t>Delivered</t>
        </is>
      </c>
      <c r="J1988" t="n">
        <v>141</v>
      </c>
      <c r="K1988" t="n">
        <v>1</v>
      </c>
      <c r="L1988" s="7" t="n">
        <v>261</v>
      </c>
      <c r="M1988" s="7" t="n">
        <v>26.1</v>
      </c>
    </row>
    <row r="1989">
      <c r="A1989" t="n">
        <v>510334</v>
      </c>
      <c r="B1989" s="6" t="n">
        <v>45954</v>
      </c>
      <c r="C1989" t="n">
        <v>13626</v>
      </c>
      <c r="D1989" t="inlineStr">
        <is>
          <t>Bengaluru</t>
        </is>
      </c>
      <c r="E1989" t="inlineStr">
        <is>
          <t>South</t>
        </is>
      </c>
      <c r="F1989" t="inlineStr">
        <is>
          <t>Affiliate</t>
        </is>
      </c>
      <c r="G1989" t="inlineStr">
        <is>
          <t>Mobile Web</t>
        </is>
      </c>
      <c r="H1989" t="inlineStr">
        <is>
          <t>Debit Card</t>
        </is>
      </c>
      <c r="I1989" t="inlineStr">
        <is>
          <t>Delivered</t>
        </is>
      </c>
      <c r="J1989" t="n">
        <v>104</v>
      </c>
      <c r="K1989" t="n">
        <v>1</v>
      </c>
      <c r="L1989" s="7" t="n">
        <v>5249</v>
      </c>
      <c r="M1989" s="7" t="n">
        <v>524.9</v>
      </c>
    </row>
    <row r="1990">
      <c r="A1990" t="n">
        <v>510334</v>
      </c>
      <c r="B1990" s="6" t="n">
        <v>45954</v>
      </c>
      <c r="C1990" t="n">
        <v>13626</v>
      </c>
      <c r="D1990" t="inlineStr">
        <is>
          <t>Bengaluru</t>
        </is>
      </c>
      <c r="E1990" t="inlineStr">
        <is>
          <t>South</t>
        </is>
      </c>
      <c r="F1990" t="inlineStr">
        <is>
          <t>Affiliate</t>
        </is>
      </c>
      <c r="G1990" t="inlineStr">
        <is>
          <t>Mobile Web</t>
        </is>
      </c>
      <c r="H1990" t="inlineStr">
        <is>
          <t>Debit Card</t>
        </is>
      </c>
      <c r="I1990" t="inlineStr">
        <is>
          <t>Delivered</t>
        </is>
      </c>
      <c r="J1990" t="n">
        <v>136</v>
      </c>
      <c r="K1990" t="n">
        <v>1</v>
      </c>
      <c r="L1990" s="7" t="n">
        <v>944</v>
      </c>
      <c r="M1990" s="7" t="n">
        <v>94.40000000000001</v>
      </c>
    </row>
    <row r="1991">
      <c r="A1991" t="n">
        <v>510335</v>
      </c>
      <c r="B1991" s="6" t="n">
        <v>45954</v>
      </c>
      <c r="C1991" t="n">
        <v>15226</v>
      </c>
      <c r="D1991" t="inlineStr">
        <is>
          <t>Lucknow</t>
        </is>
      </c>
      <c r="E1991" t="inlineStr">
        <is>
          <t>North</t>
        </is>
      </c>
      <c r="F1991" t="inlineStr">
        <is>
          <t>Affiliate</t>
        </is>
      </c>
      <c r="G1991" t="inlineStr">
        <is>
          <t>Desktop</t>
        </is>
      </c>
      <c r="H1991" t="inlineStr">
        <is>
          <t>UPI</t>
        </is>
      </c>
      <c r="I1991" t="inlineStr">
        <is>
          <t>Delivered</t>
        </is>
      </c>
      <c r="J1991" t="n">
        <v>106</v>
      </c>
      <c r="K1991" t="n">
        <v>1</v>
      </c>
      <c r="L1991" s="7" t="n">
        <v>1574</v>
      </c>
      <c r="M1991" s="7" t="n">
        <v>157.4</v>
      </c>
    </row>
    <row r="1992">
      <c r="A1992" t="n">
        <v>510335</v>
      </c>
      <c r="B1992" s="6" t="n">
        <v>45954</v>
      </c>
      <c r="C1992" t="n">
        <v>15226</v>
      </c>
      <c r="D1992" t="inlineStr">
        <is>
          <t>Lucknow</t>
        </is>
      </c>
      <c r="E1992" t="inlineStr">
        <is>
          <t>North</t>
        </is>
      </c>
      <c r="F1992" t="inlineStr">
        <is>
          <t>Affiliate</t>
        </is>
      </c>
      <c r="G1992" t="inlineStr">
        <is>
          <t>Desktop</t>
        </is>
      </c>
      <c r="H1992" t="inlineStr">
        <is>
          <t>UPI</t>
        </is>
      </c>
      <c r="I1992" t="inlineStr">
        <is>
          <t>Delivered</t>
        </is>
      </c>
      <c r="J1992" t="n">
        <v>120</v>
      </c>
      <c r="K1992" t="n">
        <v>1</v>
      </c>
      <c r="L1992" s="7" t="n">
        <v>734</v>
      </c>
      <c r="M1992" s="7" t="n">
        <v>73.40000000000001</v>
      </c>
    </row>
    <row r="1993">
      <c r="A1993" t="n">
        <v>510335</v>
      </c>
      <c r="B1993" s="6" t="n">
        <v>45954</v>
      </c>
      <c r="C1993" t="n">
        <v>15226</v>
      </c>
      <c r="D1993" t="inlineStr">
        <is>
          <t>Lucknow</t>
        </is>
      </c>
      <c r="E1993" t="inlineStr">
        <is>
          <t>North</t>
        </is>
      </c>
      <c r="F1993" t="inlineStr">
        <is>
          <t>Affiliate</t>
        </is>
      </c>
      <c r="G1993" t="inlineStr">
        <is>
          <t>Desktop</t>
        </is>
      </c>
      <c r="H1993" t="inlineStr">
        <is>
          <t>UPI</t>
        </is>
      </c>
      <c r="I1993" t="inlineStr">
        <is>
          <t>Delivered</t>
        </is>
      </c>
      <c r="J1993" t="n">
        <v>125</v>
      </c>
      <c r="K1993" t="n">
        <v>1</v>
      </c>
      <c r="L1993" s="7" t="n">
        <v>1364</v>
      </c>
      <c r="M1993" s="7" t="n">
        <v>136.4</v>
      </c>
    </row>
    <row r="1994">
      <c r="A1994" t="n">
        <v>510335</v>
      </c>
      <c r="B1994" s="6" t="n">
        <v>45954</v>
      </c>
      <c r="C1994" t="n">
        <v>15226</v>
      </c>
      <c r="D1994" t="inlineStr">
        <is>
          <t>Lucknow</t>
        </is>
      </c>
      <c r="E1994" t="inlineStr">
        <is>
          <t>North</t>
        </is>
      </c>
      <c r="F1994" t="inlineStr">
        <is>
          <t>Affiliate</t>
        </is>
      </c>
      <c r="G1994" t="inlineStr">
        <is>
          <t>Desktop</t>
        </is>
      </c>
      <c r="H1994" t="inlineStr">
        <is>
          <t>UPI</t>
        </is>
      </c>
      <c r="I1994" t="inlineStr">
        <is>
          <t>Delivered</t>
        </is>
      </c>
      <c r="J1994" t="n">
        <v>116</v>
      </c>
      <c r="K1994" t="n">
        <v>1</v>
      </c>
      <c r="L1994" s="7" t="n">
        <v>2624</v>
      </c>
      <c r="M1994" s="7" t="n">
        <v>262.4</v>
      </c>
    </row>
    <row r="1995">
      <c r="A1995" t="n">
        <v>510335</v>
      </c>
      <c r="B1995" s="6" t="n">
        <v>45954</v>
      </c>
      <c r="C1995" t="n">
        <v>15226</v>
      </c>
      <c r="D1995" t="inlineStr">
        <is>
          <t>Lucknow</t>
        </is>
      </c>
      <c r="E1995" t="inlineStr">
        <is>
          <t>North</t>
        </is>
      </c>
      <c r="F1995" t="inlineStr">
        <is>
          <t>Affiliate</t>
        </is>
      </c>
      <c r="G1995" t="inlineStr">
        <is>
          <t>Desktop</t>
        </is>
      </c>
      <c r="H1995" t="inlineStr">
        <is>
          <t>UPI</t>
        </is>
      </c>
      <c r="I1995" t="inlineStr">
        <is>
          <t>Delivered</t>
        </is>
      </c>
      <c r="J1995" t="n">
        <v>129</v>
      </c>
      <c r="K1995" t="n">
        <v>1</v>
      </c>
      <c r="L1995" s="7" t="n">
        <v>576</v>
      </c>
      <c r="M1995" s="7" t="n">
        <v>57.6</v>
      </c>
    </row>
    <row r="1996">
      <c r="A1996" t="n">
        <v>510336</v>
      </c>
      <c r="B1996" s="6" t="n">
        <v>45954</v>
      </c>
      <c r="C1996" t="n">
        <v>15452</v>
      </c>
      <c r="D1996" t="inlineStr">
        <is>
          <t>Hyderabad</t>
        </is>
      </c>
      <c r="E1996" t="inlineStr">
        <is>
          <t>South</t>
        </is>
      </c>
      <c r="F1996" t="inlineStr">
        <is>
          <t>Organic Search</t>
        </is>
      </c>
      <c r="G1996" t="inlineStr">
        <is>
          <t>Desktop</t>
        </is>
      </c>
      <c r="H1996" t="inlineStr">
        <is>
          <t>UPI</t>
        </is>
      </c>
      <c r="I1996" t="inlineStr">
        <is>
          <t>Delivered</t>
        </is>
      </c>
      <c r="J1996" t="n">
        <v>130</v>
      </c>
      <c r="K1996" t="n">
        <v>1</v>
      </c>
      <c r="L1996" s="7" t="n">
        <v>734</v>
      </c>
      <c r="M1996" s="7" t="n">
        <v>0</v>
      </c>
    </row>
    <row r="1997">
      <c r="A1997" t="n">
        <v>510337</v>
      </c>
      <c r="B1997" s="6" t="n">
        <v>45954</v>
      </c>
      <c r="C1997" t="n">
        <v>11133</v>
      </c>
      <c r="D1997" t="inlineStr">
        <is>
          <t>Hyderabad</t>
        </is>
      </c>
      <c r="E1997" t="inlineStr">
        <is>
          <t>South</t>
        </is>
      </c>
      <c r="F1997" t="inlineStr">
        <is>
          <t>Organic Search</t>
        </is>
      </c>
      <c r="G1997" t="inlineStr">
        <is>
          <t>Mobile App</t>
        </is>
      </c>
      <c r="H1997" t="inlineStr">
        <is>
          <t>UPI</t>
        </is>
      </c>
      <c r="I1997" t="inlineStr">
        <is>
          <t>Returned</t>
        </is>
      </c>
      <c r="J1997" t="n">
        <v>117</v>
      </c>
      <c r="K1997" t="n">
        <v>3</v>
      </c>
      <c r="L1997" s="7" t="n">
        <v>3149</v>
      </c>
      <c r="M1997" s="7" t="n">
        <v>944.7</v>
      </c>
    </row>
    <row r="1998">
      <c r="A1998" t="n">
        <v>510338</v>
      </c>
      <c r="B1998" s="6" t="n">
        <v>45954</v>
      </c>
      <c r="C1998" t="n">
        <v>16555</v>
      </c>
      <c r="D1998" t="inlineStr">
        <is>
          <t>Chennai</t>
        </is>
      </c>
      <c r="E1998" t="inlineStr">
        <is>
          <t>South</t>
        </is>
      </c>
      <c r="F1998" t="inlineStr">
        <is>
          <t>Referral</t>
        </is>
      </c>
      <c r="G1998" t="inlineStr">
        <is>
          <t>Desktop</t>
        </is>
      </c>
      <c r="H1998" t="inlineStr">
        <is>
          <t>Credit Card</t>
        </is>
      </c>
      <c r="I1998" t="inlineStr">
        <is>
          <t>Delivered</t>
        </is>
      </c>
      <c r="J1998" t="n">
        <v>108</v>
      </c>
      <c r="K1998" t="n">
        <v>1</v>
      </c>
      <c r="L1998" s="7" t="n">
        <v>419</v>
      </c>
      <c r="M1998" s="7" t="n">
        <v>41.9</v>
      </c>
    </row>
    <row r="1999">
      <c r="A1999" t="n">
        <v>510338</v>
      </c>
      <c r="B1999" s="6" t="n">
        <v>45954</v>
      </c>
      <c r="C1999" t="n">
        <v>16555</v>
      </c>
      <c r="D1999" t="inlineStr">
        <is>
          <t>Chennai</t>
        </is>
      </c>
      <c r="E1999" t="inlineStr">
        <is>
          <t>South</t>
        </is>
      </c>
      <c r="F1999" t="inlineStr">
        <is>
          <t>Referral</t>
        </is>
      </c>
      <c r="G1999" t="inlineStr">
        <is>
          <t>Desktop</t>
        </is>
      </c>
      <c r="H1999" t="inlineStr">
        <is>
          <t>Credit Card</t>
        </is>
      </c>
      <c r="I1999" t="inlineStr">
        <is>
          <t>Delivered</t>
        </is>
      </c>
      <c r="J1999" t="n">
        <v>124</v>
      </c>
      <c r="K1999" t="n">
        <v>1</v>
      </c>
      <c r="L1999" s="7" t="n">
        <v>1154</v>
      </c>
      <c r="M1999" s="7" t="n">
        <v>115.4</v>
      </c>
    </row>
    <row r="2000">
      <c r="A2000" t="n">
        <v>510338</v>
      </c>
      <c r="B2000" s="6" t="n">
        <v>45954</v>
      </c>
      <c r="C2000" t="n">
        <v>16555</v>
      </c>
      <c r="D2000" t="inlineStr">
        <is>
          <t>Chennai</t>
        </is>
      </c>
      <c r="E2000" t="inlineStr">
        <is>
          <t>South</t>
        </is>
      </c>
      <c r="F2000" t="inlineStr">
        <is>
          <t>Referral</t>
        </is>
      </c>
      <c r="G2000" t="inlineStr">
        <is>
          <t>Desktop</t>
        </is>
      </c>
      <c r="H2000" t="inlineStr">
        <is>
          <t>Credit Card</t>
        </is>
      </c>
      <c r="I2000" t="inlineStr">
        <is>
          <t>Delivered</t>
        </is>
      </c>
      <c r="J2000" t="n">
        <v>125</v>
      </c>
      <c r="K2000" t="n">
        <v>1</v>
      </c>
      <c r="L2000" s="7" t="n">
        <v>1364</v>
      </c>
      <c r="M2000" s="7" t="n">
        <v>136.4</v>
      </c>
    </row>
    <row r="2001">
      <c r="A2001" t="n">
        <v>510338</v>
      </c>
      <c r="B2001" s="6" t="n">
        <v>45954</v>
      </c>
      <c r="C2001" t="n">
        <v>16555</v>
      </c>
      <c r="D2001" t="inlineStr">
        <is>
          <t>Chennai</t>
        </is>
      </c>
      <c r="E2001" t="inlineStr">
        <is>
          <t>South</t>
        </is>
      </c>
      <c r="F2001" t="inlineStr">
        <is>
          <t>Referral</t>
        </is>
      </c>
      <c r="G2001" t="inlineStr">
        <is>
          <t>Desktop</t>
        </is>
      </c>
      <c r="H2001" t="inlineStr">
        <is>
          <t>Credit Card</t>
        </is>
      </c>
      <c r="I2001" t="inlineStr">
        <is>
          <t>Delivered</t>
        </is>
      </c>
      <c r="J2001" t="n">
        <v>116</v>
      </c>
      <c r="K2001" t="n">
        <v>1</v>
      </c>
      <c r="L2001" s="7" t="n">
        <v>2624</v>
      </c>
      <c r="M2001" s="7" t="n">
        <v>262.4</v>
      </c>
    </row>
    <row r="2002">
      <c r="A2002" t="n">
        <v>510338</v>
      </c>
      <c r="B2002" s="6" t="n">
        <v>45954</v>
      </c>
      <c r="C2002" t="n">
        <v>16555</v>
      </c>
      <c r="D2002" t="inlineStr">
        <is>
          <t>Chennai</t>
        </is>
      </c>
      <c r="E2002" t="inlineStr">
        <is>
          <t>South</t>
        </is>
      </c>
      <c r="F2002" t="inlineStr">
        <is>
          <t>Referral</t>
        </is>
      </c>
      <c r="G2002" t="inlineStr">
        <is>
          <t>Desktop</t>
        </is>
      </c>
      <c r="H2002" t="inlineStr">
        <is>
          <t>Credit Card</t>
        </is>
      </c>
      <c r="I2002" t="inlineStr">
        <is>
          <t>Delivered</t>
        </is>
      </c>
      <c r="J2002" t="n">
        <v>129</v>
      </c>
      <c r="K2002" t="n">
        <v>1</v>
      </c>
      <c r="L2002" s="7" t="n">
        <v>576</v>
      </c>
      <c r="M2002" s="7" t="n">
        <v>57.6</v>
      </c>
    </row>
    <row r="2003">
      <c r="A2003" t="n">
        <v>510339</v>
      </c>
      <c r="B2003" s="6" t="n">
        <v>45954</v>
      </c>
      <c r="C2003" t="n">
        <v>16309</v>
      </c>
      <c r="D2003" t="inlineStr">
        <is>
          <t>Delhi</t>
        </is>
      </c>
      <c r="E2003" t="inlineStr">
        <is>
          <t>North</t>
        </is>
      </c>
      <c r="F2003" t="inlineStr">
        <is>
          <t>Organic Search</t>
        </is>
      </c>
      <c r="G2003" t="inlineStr">
        <is>
          <t>Desktop</t>
        </is>
      </c>
      <c r="H2003" t="inlineStr">
        <is>
          <t>UPI</t>
        </is>
      </c>
      <c r="I2003" t="inlineStr">
        <is>
          <t>Delivered</t>
        </is>
      </c>
      <c r="J2003" t="n">
        <v>116</v>
      </c>
      <c r="K2003" t="n">
        <v>1</v>
      </c>
      <c r="L2003" s="7" t="n">
        <v>2624</v>
      </c>
      <c r="M2003" s="7" t="n">
        <v>0</v>
      </c>
    </row>
    <row r="2004">
      <c r="A2004" t="n">
        <v>510339</v>
      </c>
      <c r="B2004" s="6" t="n">
        <v>45954</v>
      </c>
      <c r="C2004" t="n">
        <v>16309</v>
      </c>
      <c r="D2004" t="inlineStr">
        <is>
          <t>Delhi</t>
        </is>
      </c>
      <c r="E2004" t="inlineStr">
        <is>
          <t>North</t>
        </is>
      </c>
      <c r="F2004" t="inlineStr">
        <is>
          <t>Organic Search</t>
        </is>
      </c>
      <c r="G2004" t="inlineStr">
        <is>
          <t>Desktop</t>
        </is>
      </c>
      <c r="H2004" t="inlineStr">
        <is>
          <t>UPI</t>
        </is>
      </c>
      <c r="I2004" t="inlineStr">
        <is>
          <t>Delivered</t>
        </is>
      </c>
      <c r="J2004" t="n">
        <v>111</v>
      </c>
      <c r="K2004" t="n">
        <v>1</v>
      </c>
      <c r="L2004" s="7" t="n">
        <v>524</v>
      </c>
      <c r="M2004" s="7" t="n">
        <v>0</v>
      </c>
    </row>
    <row r="2005">
      <c r="A2005" t="n">
        <v>510339</v>
      </c>
      <c r="B2005" s="6" t="n">
        <v>45954</v>
      </c>
      <c r="C2005" t="n">
        <v>16309</v>
      </c>
      <c r="D2005" t="inlineStr">
        <is>
          <t>Delhi</t>
        </is>
      </c>
      <c r="E2005" t="inlineStr">
        <is>
          <t>North</t>
        </is>
      </c>
      <c r="F2005" t="inlineStr">
        <is>
          <t>Organic Search</t>
        </is>
      </c>
      <c r="G2005" t="inlineStr">
        <is>
          <t>Desktop</t>
        </is>
      </c>
      <c r="H2005" t="inlineStr">
        <is>
          <t>UPI</t>
        </is>
      </c>
      <c r="I2005" t="inlineStr">
        <is>
          <t>Delivered</t>
        </is>
      </c>
      <c r="J2005" t="n">
        <v>129</v>
      </c>
      <c r="K2005" t="n">
        <v>1</v>
      </c>
      <c r="L2005" s="7" t="n">
        <v>576</v>
      </c>
      <c r="M2005" s="7" t="n">
        <v>0</v>
      </c>
    </row>
    <row r="2006">
      <c r="A2006" t="n">
        <v>510340</v>
      </c>
      <c r="B2006" s="6" t="n">
        <v>45954</v>
      </c>
      <c r="C2006" t="n">
        <v>15899</v>
      </c>
      <c r="D2006" t="inlineStr">
        <is>
          <t>Pune</t>
        </is>
      </c>
      <c r="E2006" t="inlineStr">
        <is>
          <t>West</t>
        </is>
      </c>
      <c r="F2006" t="inlineStr">
        <is>
          <t>Organic Search</t>
        </is>
      </c>
      <c r="G2006" t="inlineStr">
        <is>
          <t>Desktop</t>
        </is>
      </c>
      <c r="H2006" t="inlineStr">
        <is>
          <t>UPI</t>
        </is>
      </c>
      <c r="I2006" t="inlineStr">
        <is>
          <t>Delivered</t>
        </is>
      </c>
      <c r="J2006" t="n">
        <v>118</v>
      </c>
      <c r="K2006" t="n">
        <v>1</v>
      </c>
      <c r="L2006" s="7" t="n">
        <v>944</v>
      </c>
      <c r="M2006" s="7" t="n">
        <v>0</v>
      </c>
    </row>
    <row r="2007">
      <c r="A2007" t="n">
        <v>510340</v>
      </c>
      <c r="B2007" s="6" t="n">
        <v>45954</v>
      </c>
      <c r="C2007" t="n">
        <v>15899</v>
      </c>
      <c r="D2007" t="inlineStr">
        <is>
          <t>Pune</t>
        </is>
      </c>
      <c r="E2007" t="inlineStr">
        <is>
          <t>West</t>
        </is>
      </c>
      <c r="F2007" t="inlineStr">
        <is>
          <t>Organic Search</t>
        </is>
      </c>
      <c r="G2007" t="inlineStr">
        <is>
          <t>Desktop</t>
        </is>
      </c>
      <c r="H2007" t="inlineStr">
        <is>
          <t>UPI</t>
        </is>
      </c>
      <c r="I2007" t="inlineStr">
        <is>
          <t>Delivered</t>
        </is>
      </c>
      <c r="J2007" t="n">
        <v>129</v>
      </c>
      <c r="K2007" t="n">
        <v>1</v>
      </c>
      <c r="L2007" s="7" t="n">
        <v>576</v>
      </c>
      <c r="M2007" s="7" t="n">
        <v>0</v>
      </c>
    </row>
    <row r="2008">
      <c r="A2008" t="n">
        <v>510341</v>
      </c>
      <c r="B2008" s="6" t="n">
        <v>45954</v>
      </c>
      <c r="C2008" t="n">
        <v>16885</v>
      </c>
      <c r="D2008" t="inlineStr">
        <is>
          <t>Chandigarh</t>
        </is>
      </c>
      <c r="E2008" t="inlineStr">
        <is>
          <t>North</t>
        </is>
      </c>
      <c r="F2008" t="inlineStr">
        <is>
          <t>Organic Search</t>
        </is>
      </c>
      <c r="G2008" t="inlineStr">
        <is>
          <t>Mobile App</t>
        </is>
      </c>
      <c r="H2008" t="inlineStr">
        <is>
          <t>UPI</t>
        </is>
      </c>
      <c r="I2008" t="inlineStr">
        <is>
          <t>Delivered</t>
        </is>
      </c>
      <c r="J2008" t="n">
        <v>106</v>
      </c>
      <c r="K2008" t="n">
        <v>1</v>
      </c>
      <c r="L2008" s="7" t="n">
        <v>1574</v>
      </c>
      <c r="M2008" s="7" t="n">
        <v>236.1</v>
      </c>
    </row>
    <row r="2009">
      <c r="A2009" t="n">
        <v>510342</v>
      </c>
      <c r="B2009" s="6" t="n">
        <v>45954</v>
      </c>
      <c r="C2009" t="n">
        <v>14735</v>
      </c>
      <c r="D2009" t="inlineStr">
        <is>
          <t>Kochi</t>
        </is>
      </c>
      <c r="E2009" t="inlineStr">
        <is>
          <t>South</t>
        </is>
      </c>
      <c r="F2009" t="inlineStr">
        <is>
          <t>Paid Search</t>
        </is>
      </c>
      <c r="G2009" t="inlineStr">
        <is>
          <t>Mobile App</t>
        </is>
      </c>
      <c r="H2009" t="inlineStr">
        <is>
          <t>Credit Card</t>
        </is>
      </c>
      <c r="I2009" t="inlineStr">
        <is>
          <t>Delivered</t>
        </is>
      </c>
      <c r="J2009" t="n">
        <v>131</v>
      </c>
      <c r="K2009" t="n">
        <v>1</v>
      </c>
      <c r="L2009" s="7" t="n">
        <v>314</v>
      </c>
      <c r="M2009" s="7" t="n">
        <v>31.4</v>
      </c>
    </row>
    <row r="2010">
      <c r="A2010" t="n">
        <v>510342</v>
      </c>
      <c r="B2010" s="6" t="n">
        <v>45954</v>
      </c>
      <c r="C2010" t="n">
        <v>14735</v>
      </c>
      <c r="D2010" t="inlineStr">
        <is>
          <t>Kochi</t>
        </is>
      </c>
      <c r="E2010" t="inlineStr">
        <is>
          <t>South</t>
        </is>
      </c>
      <c r="F2010" t="inlineStr">
        <is>
          <t>Paid Search</t>
        </is>
      </c>
      <c r="G2010" t="inlineStr">
        <is>
          <t>Mobile App</t>
        </is>
      </c>
      <c r="H2010" t="inlineStr">
        <is>
          <t>Credit Card</t>
        </is>
      </c>
      <c r="I2010" t="inlineStr">
        <is>
          <t>Delivered</t>
        </is>
      </c>
      <c r="J2010" t="n">
        <v>129</v>
      </c>
      <c r="K2010" t="n">
        <v>1</v>
      </c>
      <c r="L2010" s="7" t="n">
        <v>576</v>
      </c>
      <c r="M2010" s="7" t="n">
        <v>57.6</v>
      </c>
    </row>
    <row r="2011">
      <c r="A2011" t="n">
        <v>510343</v>
      </c>
      <c r="B2011" s="6" t="n">
        <v>45954</v>
      </c>
      <c r="C2011" t="n">
        <v>16967</v>
      </c>
      <c r="D2011" t="inlineStr">
        <is>
          <t>Lucknow</t>
        </is>
      </c>
      <c r="E2011" t="inlineStr">
        <is>
          <t>North</t>
        </is>
      </c>
      <c r="F2011" t="inlineStr">
        <is>
          <t>Paid Social</t>
        </is>
      </c>
      <c r="G2011" t="inlineStr">
        <is>
          <t>Mobile Web</t>
        </is>
      </c>
      <c r="H2011" t="inlineStr">
        <is>
          <t>UPI</t>
        </is>
      </c>
      <c r="I2011" t="inlineStr">
        <is>
          <t>Delivered</t>
        </is>
      </c>
      <c r="J2011" t="n">
        <v>113</v>
      </c>
      <c r="K2011" t="n">
        <v>2</v>
      </c>
      <c r="L2011" s="7" t="n">
        <v>1364</v>
      </c>
      <c r="M2011" s="7" t="n">
        <v>409.2</v>
      </c>
    </row>
    <row r="2012">
      <c r="A2012" t="n">
        <v>510343</v>
      </c>
      <c r="B2012" s="6" t="n">
        <v>45954</v>
      </c>
      <c r="C2012" t="n">
        <v>16967</v>
      </c>
      <c r="D2012" t="inlineStr">
        <is>
          <t>Lucknow</t>
        </is>
      </c>
      <c r="E2012" t="inlineStr">
        <is>
          <t>North</t>
        </is>
      </c>
      <c r="F2012" t="inlineStr">
        <is>
          <t>Paid Social</t>
        </is>
      </c>
      <c r="G2012" t="inlineStr">
        <is>
          <t>Mobile Web</t>
        </is>
      </c>
      <c r="H2012" t="inlineStr">
        <is>
          <t>UPI</t>
        </is>
      </c>
      <c r="I2012" t="inlineStr">
        <is>
          <t>Delivered</t>
        </is>
      </c>
      <c r="J2012" t="n">
        <v>109</v>
      </c>
      <c r="K2012" t="n">
        <v>3</v>
      </c>
      <c r="L2012" s="7" t="n">
        <v>4199</v>
      </c>
      <c r="M2012" s="7" t="n">
        <v>1889.55</v>
      </c>
    </row>
    <row r="2013">
      <c r="A2013" t="n">
        <v>510343</v>
      </c>
      <c r="B2013" s="6" t="n">
        <v>45954</v>
      </c>
      <c r="C2013" t="n">
        <v>16967</v>
      </c>
      <c r="D2013" t="inlineStr">
        <is>
          <t>Lucknow</t>
        </is>
      </c>
      <c r="E2013" t="inlineStr">
        <is>
          <t>North</t>
        </is>
      </c>
      <c r="F2013" t="inlineStr">
        <is>
          <t>Paid Social</t>
        </is>
      </c>
      <c r="G2013" t="inlineStr">
        <is>
          <t>Mobile Web</t>
        </is>
      </c>
      <c r="H2013" t="inlineStr">
        <is>
          <t>UPI</t>
        </is>
      </c>
      <c r="I2013" t="inlineStr">
        <is>
          <t>Delivered</t>
        </is>
      </c>
      <c r="J2013" t="n">
        <v>114</v>
      </c>
      <c r="K2013" t="n">
        <v>1</v>
      </c>
      <c r="L2013" s="7" t="n">
        <v>1259</v>
      </c>
      <c r="M2013" s="7" t="n">
        <v>188.85</v>
      </c>
    </row>
    <row r="2014">
      <c r="A2014" t="n">
        <v>510343</v>
      </c>
      <c r="B2014" s="6" t="n">
        <v>45954</v>
      </c>
      <c r="C2014" t="n">
        <v>16967</v>
      </c>
      <c r="D2014" t="inlineStr">
        <is>
          <t>Lucknow</t>
        </is>
      </c>
      <c r="E2014" t="inlineStr">
        <is>
          <t>North</t>
        </is>
      </c>
      <c r="F2014" t="inlineStr">
        <is>
          <t>Paid Social</t>
        </is>
      </c>
      <c r="G2014" t="inlineStr">
        <is>
          <t>Mobile Web</t>
        </is>
      </c>
      <c r="H2014" t="inlineStr">
        <is>
          <t>UPI</t>
        </is>
      </c>
      <c r="I2014" t="inlineStr">
        <is>
          <t>Delivered</t>
        </is>
      </c>
      <c r="J2014" t="n">
        <v>118</v>
      </c>
      <c r="K2014" t="n">
        <v>1</v>
      </c>
      <c r="L2014" s="7" t="n">
        <v>944</v>
      </c>
      <c r="M2014" s="7" t="n">
        <v>141.6</v>
      </c>
    </row>
    <row r="2015">
      <c r="A2015" t="n">
        <v>510343</v>
      </c>
      <c r="B2015" s="6" t="n">
        <v>45954</v>
      </c>
      <c r="C2015" t="n">
        <v>16967</v>
      </c>
      <c r="D2015" t="inlineStr">
        <is>
          <t>Lucknow</t>
        </is>
      </c>
      <c r="E2015" t="inlineStr">
        <is>
          <t>North</t>
        </is>
      </c>
      <c r="F2015" t="inlineStr">
        <is>
          <t>Paid Social</t>
        </is>
      </c>
      <c r="G2015" t="inlineStr">
        <is>
          <t>Mobile Web</t>
        </is>
      </c>
      <c r="H2015" t="inlineStr">
        <is>
          <t>UPI</t>
        </is>
      </c>
      <c r="I2015" t="inlineStr">
        <is>
          <t>Delivered</t>
        </is>
      </c>
      <c r="J2015" t="n">
        <v>129</v>
      </c>
      <c r="K2015" t="n">
        <v>1</v>
      </c>
      <c r="L2015" s="7" t="n">
        <v>576</v>
      </c>
      <c r="M2015" s="7" t="n">
        <v>86.40000000000001</v>
      </c>
    </row>
    <row r="2016">
      <c r="A2016" t="n">
        <v>510344</v>
      </c>
      <c r="B2016" s="6" t="n">
        <v>45954</v>
      </c>
      <c r="C2016" t="n">
        <v>11212</v>
      </c>
      <c r="D2016" t="inlineStr">
        <is>
          <t>Bengaluru</t>
        </is>
      </c>
      <c r="E2016" t="inlineStr">
        <is>
          <t>South</t>
        </is>
      </c>
      <c r="F2016" t="inlineStr">
        <is>
          <t>Affiliate</t>
        </is>
      </c>
      <c r="G2016" t="inlineStr">
        <is>
          <t>Desktop</t>
        </is>
      </c>
      <c r="H2016" t="inlineStr">
        <is>
          <t>UPI</t>
        </is>
      </c>
      <c r="I2016" t="inlineStr">
        <is>
          <t>Returned</t>
        </is>
      </c>
      <c r="J2016" t="n">
        <v>104</v>
      </c>
      <c r="K2016" t="n">
        <v>1</v>
      </c>
      <c r="L2016" s="7" t="n">
        <v>5249</v>
      </c>
      <c r="M2016" s="7" t="n">
        <v>524.9</v>
      </c>
    </row>
    <row r="2017">
      <c r="A2017" t="n">
        <v>510344</v>
      </c>
      <c r="B2017" s="6" t="n">
        <v>45954</v>
      </c>
      <c r="C2017" t="n">
        <v>11212</v>
      </c>
      <c r="D2017" t="inlineStr">
        <is>
          <t>Bengaluru</t>
        </is>
      </c>
      <c r="E2017" t="inlineStr">
        <is>
          <t>South</t>
        </is>
      </c>
      <c r="F2017" t="inlineStr">
        <is>
          <t>Affiliate</t>
        </is>
      </c>
      <c r="G2017" t="inlineStr">
        <is>
          <t>Desktop</t>
        </is>
      </c>
      <c r="H2017" t="inlineStr">
        <is>
          <t>UPI</t>
        </is>
      </c>
      <c r="I2017" t="inlineStr">
        <is>
          <t>Returned</t>
        </is>
      </c>
      <c r="J2017" t="n">
        <v>129</v>
      </c>
      <c r="K2017" t="n">
        <v>2</v>
      </c>
      <c r="L2017" s="7" t="n">
        <v>576</v>
      </c>
      <c r="M2017" s="7" t="n">
        <v>115.2</v>
      </c>
    </row>
    <row r="2018">
      <c r="A2018" t="n">
        <v>510345</v>
      </c>
      <c r="B2018" s="6" t="n">
        <v>45954</v>
      </c>
      <c r="C2018" t="n">
        <v>16983</v>
      </c>
      <c r="D2018" t="inlineStr">
        <is>
          <t>Delhi</t>
        </is>
      </c>
      <c r="E2018" t="inlineStr">
        <is>
          <t>North</t>
        </is>
      </c>
      <c r="F2018" t="inlineStr">
        <is>
          <t>Paid Search</t>
        </is>
      </c>
      <c r="G2018" t="inlineStr">
        <is>
          <t>Mobile Web</t>
        </is>
      </c>
      <c r="H2018" t="inlineStr">
        <is>
          <t>UPI</t>
        </is>
      </c>
      <c r="I2018" t="inlineStr">
        <is>
          <t>Delivered</t>
        </is>
      </c>
      <c r="J2018" t="n">
        <v>111</v>
      </c>
      <c r="K2018" t="n">
        <v>2</v>
      </c>
      <c r="L2018" s="7" t="n">
        <v>524</v>
      </c>
      <c r="M2018" s="7" t="n">
        <v>0</v>
      </c>
    </row>
    <row r="2019">
      <c r="A2019" t="n">
        <v>510346</v>
      </c>
      <c r="B2019" s="6" t="n">
        <v>45954</v>
      </c>
      <c r="C2019" t="n">
        <v>10314</v>
      </c>
      <c r="D2019" t="inlineStr">
        <is>
          <t>Ahmedabad</t>
        </is>
      </c>
      <c r="E2019" t="inlineStr">
        <is>
          <t>West</t>
        </is>
      </c>
      <c r="F2019" t="inlineStr">
        <is>
          <t>Paid Social</t>
        </is>
      </c>
      <c r="G2019" t="inlineStr">
        <is>
          <t>Mobile App</t>
        </is>
      </c>
      <c r="H2019" t="inlineStr">
        <is>
          <t>UPI</t>
        </is>
      </c>
      <c r="I2019" t="inlineStr">
        <is>
          <t>Delivered</t>
        </is>
      </c>
      <c r="J2019" t="n">
        <v>112</v>
      </c>
      <c r="K2019" t="n">
        <v>2</v>
      </c>
      <c r="L2019" s="7" t="n">
        <v>1574</v>
      </c>
      <c r="M2019" s="7" t="n">
        <v>0</v>
      </c>
    </row>
    <row r="2020">
      <c r="A2020" t="n">
        <v>510346</v>
      </c>
      <c r="B2020" s="6" t="n">
        <v>45954</v>
      </c>
      <c r="C2020" t="n">
        <v>10314</v>
      </c>
      <c r="D2020" t="inlineStr">
        <is>
          <t>Ahmedabad</t>
        </is>
      </c>
      <c r="E2020" t="inlineStr">
        <is>
          <t>West</t>
        </is>
      </c>
      <c r="F2020" t="inlineStr">
        <is>
          <t>Paid Social</t>
        </is>
      </c>
      <c r="G2020" t="inlineStr">
        <is>
          <t>Mobile App</t>
        </is>
      </c>
      <c r="H2020" t="inlineStr">
        <is>
          <t>UPI</t>
        </is>
      </c>
      <c r="I2020" t="inlineStr">
        <is>
          <t>Delivered</t>
        </is>
      </c>
      <c r="J2020" t="n">
        <v>106</v>
      </c>
      <c r="K2020" t="n">
        <v>1</v>
      </c>
      <c r="L2020" s="7" t="n">
        <v>1574</v>
      </c>
      <c r="M2020" s="7" t="n">
        <v>0</v>
      </c>
    </row>
    <row r="2021">
      <c r="A2021" t="n">
        <v>510346</v>
      </c>
      <c r="B2021" s="6" t="n">
        <v>45954</v>
      </c>
      <c r="C2021" t="n">
        <v>10314</v>
      </c>
      <c r="D2021" t="inlineStr">
        <is>
          <t>Ahmedabad</t>
        </is>
      </c>
      <c r="E2021" t="inlineStr">
        <is>
          <t>West</t>
        </is>
      </c>
      <c r="F2021" t="inlineStr">
        <is>
          <t>Paid Social</t>
        </is>
      </c>
      <c r="G2021" t="inlineStr">
        <is>
          <t>Mobile App</t>
        </is>
      </c>
      <c r="H2021" t="inlineStr">
        <is>
          <t>UPI</t>
        </is>
      </c>
      <c r="I2021" t="inlineStr">
        <is>
          <t>Delivered</t>
        </is>
      </c>
      <c r="J2021" t="n">
        <v>129</v>
      </c>
      <c r="K2021" t="n">
        <v>1</v>
      </c>
      <c r="L2021" s="7" t="n">
        <v>576</v>
      </c>
      <c r="M2021" s="7" t="n">
        <v>0</v>
      </c>
    </row>
    <row r="2022">
      <c r="A2022" t="n">
        <v>510347</v>
      </c>
      <c r="B2022" s="6" t="n">
        <v>45954</v>
      </c>
      <c r="C2022" t="n">
        <v>14814</v>
      </c>
      <c r="D2022" t="inlineStr">
        <is>
          <t>Gurugram</t>
        </is>
      </c>
      <c r="E2022" t="inlineStr">
        <is>
          <t>North</t>
        </is>
      </c>
      <c r="F2022" t="inlineStr">
        <is>
          <t>Referral</t>
        </is>
      </c>
      <c r="G2022" t="inlineStr">
        <is>
          <t>Mobile App</t>
        </is>
      </c>
      <c r="H2022" t="inlineStr">
        <is>
          <t>Credit Card</t>
        </is>
      </c>
      <c r="I2022" t="inlineStr">
        <is>
          <t>Delivered</t>
        </is>
      </c>
      <c r="J2022" t="n">
        <v>117</v>
      </c>
      <c r="K2022" t="n">
        <v>2</v>
      </c>
      <c r="L2022" s="7" t="n">
        <v>3149</v>
      </c>
      <c r="M2022" s="7" t="n">
        <v>0</v>
      </c>
    </row>
    <row r="2023">
      <c r="A2023" t="n">
        <v>510347</v>
      </c>
      <c r="B2023" s="6" t="n">
        <v>45954</v>
      </c>
      <c r="C2023" t="n">
        <v>14814</v>
      </c>
      <c r="D2023" t="inlineStr">
        <is>
          <t>Gurugram</t>
        </is>
      </c>
      <c r="E2023" t="inlineStr">
        <is>
          <t>North</t>
        </is>
      </c>
      <c r="F2023" t="inlineStr">
        <is>
          <t>Referral</t>
        </is>
      </c>
      <c r="G2023" t="inlineStr">
        <is>
          <t>Mobile App</t>
        </is>
      </c>
      <c r="H2023" t="inlineStr">
        <is>
          <t>Credit Card</t>
        </is>
      </c>
      <c r="I2023" t="inlineStr">
        <is>
          <t>Delivered</t>
        </is>
      </c>
      <c r="J2023" t="n">
        <v>114</v>
      </c>
      <c r="K2023" t="n">
        <v>1</v>
      </c>
      <c r="L2023" s="7" t="n">
        <v>1259</v>
      </c>
      <c r="M2023" s="7" t="n">
        <v>0</v>
      </c>
    </row>
    <row r="2024">
      <c r="A2024" t="n">
        <v>510347</v>
      </c>
      <c r="B2024" s="6" t="n">
        <v>45954</v>
      </c>
      <c r="C2024" t="n">
        <v>14814</v>
      </c>
      <c r="D2024" t="inlineStr">
        <is>
          <t>Gurugram</t>
        </is>
      </c>
      <c r="E2024" t="inlineStr">
        <is>
          <t>North</t>
        </is>
      </c>
      <c r="F2024" t="inlineStr">
        <is>
          <t>Referral</t>
        </is>
      </c>
      <c r="G2024" t="inlineStr">
        <is>
          <t>Mobile App</t>
        </is>
      </c>
      <c r="H2024" t="inlineStr">
        <is>
          <t>Credit Card</t>
        </is>
      </c>
      <c r="I2024" t="inlineStr">
        <is>
          <t>Delivered</t>
        </is>
      </c>
      <c r="J2024" t="n">
        <v>136</v>
      </c>
      <c r="K2024" t="n">
        <v>1</v>
      </c>
      <c r="L2024" s="7" t="n">
        <v>944</v>
      </c>
      <c r="M2024" s="7" t="n">
        <v>0</v>
      </c>
    </row>
    <row r="2025">
      <c r="A2025" t="n">
        <v>510347</v>
      </c>
      <c r="B2025" s="6" t="n">
        <v>45954</v>
      </c>
      <c r="C2025" t="n">
        <v>14814</v>
      </c>
      <c r="D2025" t="inlineStr">
        <is>
          <t>Gurugram</t>
        </is>
      </c>
      <c r="E2025" t="inlineStr">
        <is>
          <t>North</t>
        </is>
      </c>
      <c r="F2025" t="inlineStr">
        <is>
          <t>Referral</t>
        </is>
      </c>
      <c r="G2025" t="inlineStr">
        <is>
          <t>Mobile App</t>
        </is>
      </c>
      <c r="H2025" t="inlineStr">
        <is>
          <t>Credit Card</t>
        </is>
      </c>
      <c r="I2025" t="inlineStr">
        <is>
          <t>Delivered</t>
        </is>
      </c>
      <c r="J2025" t="n">
        <v>115</v>
      </c>
      <c r="K2025" t="n">
        <v>1</v>
      </c>
      <c r="L2025" s="7" t="n">
        <v>4199</v>
      </c>
      <c r="M2025" s="7" t="n">
        <v>0</v>
      </c>
    </row>
    <row r="2026">
      <c r="A2026" t="n">
        <v>510347</v>
      </c>
      <c r="B2026" s="6" t="n">
        <v>45954</v>
      </c>
      <c r="C2026" t="n">
        <v>14814</v>
      </c>
      <c r="D2026" t="inlineStr">
        <is>
          <t>Gurugram</t>
        </is>
      </c>
      <c r="E2026" t="inlineStr">
        <is>
          <t>North</t>
        </is>
      </c>
      <c r="F2026" t="inlineStr">
        <is>
          <t>Referral</t>
        </is>
      </c>
      <c r="G2026" t="inlineStr">
        <is>
          <t>Mobile App</t>
        </is>
      </c>
      <c r="H2026" t="inlineStr">
        <is>
          <t>Credit Card</t>
        </is>
      </c>
      <c r="I2026" t="inlineStr">
        <is>
          <t>Delivered</t>
        </is>
      </c>
      <c r="J2026" t="n">
        <v>129</v>
      </c>
      <c r="K2026" t="n">
        <v>1</v>
      </c>
      <c r="L2026" s="7" t="n">
        <v>576</v>
      </c>
      <c r="M2026" s="7" t="n">
        <v>0</v>
      </c>
    </row>
    <row r="2027">
      <c r="A2027" t="n">
        <v>510348</v>
      </c>
      <c r="B2027" s="6" t="n">
        <v>45954</v>
      </c>
      <c r="C2027" t="n">
        <v>11897</v>
      </c>
      <c r="D2027" t="inlineStr">
        <is>
          <t>Noida</t>
        </is>
      </c>
      <c r="E2027" t="inlineStr">
        <is>
          <t>North</t>
        </is>
      </c>
      <c r="F2027" t="inlineStr">
        <is>
          <t>Organic Search</t>
        </is>
      </c>
      <c r="G2027" t="inlineStr">
        <is>
          <t>Mobile Web</t>
        </is>
      </c>
      <c r="H2027" t="inlineStr">
        <is>
          <t>UPI</t>
        </is>
      </c>
      <c r="I2027" t="inlineStr">
        <is>
          <t>Delivered</t>
        </is>
      </c>
      <c r="J2027" t="n">
        <v>117</v>
      </c>
      <c r="K2027" t="n">
        <v>1</v>
      </c>
      <c r="L2027" s="7" t="n">
        <v>3149</v>
      </c>
      <c r="M2027" s="7" t="n">
        <v>0</v>
      </c>
    </row>
    <row r="2028">
      <c r="A2028" t="n">
        <v>510349</v>
      </c>
      <c r="B2028" s="6" t="n">
        <v>45954</v>
      </c>
      <c r="C2028" t="n">
        <v>12571</v>
      </c>
      <c r="D2028" t="inlineStr">
        <is>
          <t>Kolkata</t>
        </is>
      </c>
      <c r="E2028" t="inlineStr">
        <is>
          <t>East</t>
        </is>
      </c>
      <c r="F2028" t="inlineStr">
        <is>
          <t>Paid Search</t>
        </is>
      </c>
      <c r="G2028" t="inlineStr">
        <is>
          <t>Mobile App</t>
        </is>
      </c>
      <c r="H2028" t="inlineStr">
        <is>
          <t>UPI</t>
        </is>
      </c>
      <c r="I2028" t="inlineStr">
        <is>
          <t>Delivered</t>
        </is>
      </c>
      <c r="J2028" t="n">
        <v>124</v>
      </c>
      <c r="K2028" t="n">
        <v>1</v>
      </c>
      <c r="L2028" s="7" t="n">
        <v>1154</v>
      </c>
      <c r="M2028" s="7" t="n">
        <v>0</v>
      </c>
    </row>
    <row r="2029">
      <c r="A2029" t="n">
        <v>510349</v>
      </c>
      <c r="B2029" s="6" t="n">
        <v>45954</v>
      </c>
      <c r="C2029" t="n">
        <v>12571</v>
      </c>
      <c r="D2029" t="inlineStr">
        <is>
          <t>Kolkata</t>
        </is>
      </c>
      <c r="E2029" t="inlineStr">
        <is>
          <t>East</t>
        </is>
      </c>
      <c r="F2029" t="inlineStr">
        <is>
          <t>Paid Search</t>
        </is>
      </c>
      <c r="G2029" t="inlineStr">
        <is>
          <t>Mobile App</t>
        </is>
      </c>
      <c r="H2029" t="inlineStr">
        <is>
          <t>UPI</t>
        </is>
      </c>
      <c r="I2029" t="inlineStr">
        <is>
          <t>Delivered</t>
        </is>
      </c>
      <c r="J2029" t="n">
        <v>129</v>
      </c>
      <c r="K2029" t="n">
        <v>1</v>
      </c>
      <c r="L2029" s="7" t="n">
        <v>576</v>
      </c>
      <c r="M2029" s="7" t="n">
        <v>0</v>
      </c>
    </row>
    <row r="2030">
      <c r="A2030" t="n">
        <v>510350</v>
      </c>
      <c r="B2030" s="6" t="n">
        <v>45954</v>
      </c>
      <c r="C2030" t="n">
        <v>16890</v>
      </c>
      <c r="D2030" t="inlineStr">
        <is>
          <t>Kolkata</t>
        </is>
      </c>
      <c r="E2030" t="inlineStr">
        <is>
          <t>East</t>
        </is>
      </c>
      <c r="F2030" t="inlineStr">
        <is>
          <t>Paid Social</t>
        </is>
      </c>
      <c r="G2030" t="inlineStr">
        <is>
          <t>Mobile App</t>
        </is>
      </c>
      <c r="H2030" t="inlineStr">
        <is>
          <t>Credit Card</t>
        </is>
      </c>
      <c r="I2030" t="inlineStr">
        <is>
          <t>Delivered</t>
        </is>
      </c>
      <c r="J2030" t="n">
        <v>142</v>
      </c>
      <c r="K2030" t="n">
        <v>1</v>
      </c>
      <c r="L2030" s="7" t="n">
        <v>839</v>
      </c>
      <c r="M2030" s="7" t="n">
        <v>83.90000000000001</v>
      </c>
    </row>
    <row r="2031">
      <c r="A2031" t="n">
        <v>510350</v>
      </c>
      <c r="B2031" s="6" t="n">
        <v>45954</v>
      </c>
      <c r="C2031" t="n">
        <v>16890</v>
      </c>
      <c r="D2031" t="inlineStr">
        <is>
          <t>Kolkata</t>
        </is>
      </c>
      <c r="E2031" t="inlineStr">
        <is>
          <t>East</t>
        </is>
      </c>
      <c r="F2031" t="inlineStr">
        <is>
          <t>Paid Social</t>
        </is>
      </c>
      <c r="G2031" t="inlineStr">
        <is>
          <t>Mobile App</t>
        </is>
      </c>
      <c r="H2031" t="inlineStr">
        <is>
          <t>Credit Card</t>
        </is>
      </c>
      <c r="I2031" t="inlineStr">
        <is>
          <t>Delivered</t>
        </is>
      </c>
      <c r="J2031" t="n">
        <v>116</v>
      </c>
      <c r="K2031" t="n">
        <v>3</v>
      </c>
      <c r="L2031" s="7" t="n">
        <v>2624</v>
      </c>
      <c r="M2031" s="7" t="n">
        <v>787.2</v>
      </c>
    </row>
    <row r="2032">
      <c r="A2032" t="n">
        <v>510350</v>
      </c>
      <c r="B2032" s="6" t="n">
        <v>45954</v>
      </c>
      <c r="C2032" t="n">
        <v>16890</v>
      </c>
      <c r="D2032" t="inlineStr">
        <is>
          <t>Kolkata</t>
        </is>
      </c>
      <c r="E2032" t="inlineStr">
        <is>
          <t>East</t>
        </is>
      </c>
      <c r="F2032" t="inlineStr">
        <is>
          <t>Paid Social</t>
        </is>
      </c>
      <c r="G2032" t="inlineStr">
        <is>
          <t>Mobile App</t>
        </is>
      </c>
      <c r="H2032" t="inlineStr">
        <is>
          <t>Credit Card</t>
        </is>
      </c>
      <c r="I2032" t="inlineStr">
        <is>
          <t>Delivered</t>
        </is>
      </c>
      <c r="J2032" t="n">
        <v>129</v>
      </c>
      <c r="K2032" t="n">
        <v>2</v>
      </c>
      <c r="L2032" s="7" t="n">
        <v>576</v>
      </c>
      <c r="M2032" s="7" t="n">
        <v>115.2</v>
      </c>
    </row>
    <row r="2033">
      <c r="A2033" t="n">
        <v>510351</v>
      </c>
      <c r="B2033" s="6" t="n">
        <v>45954</v>
      </c>
      <c r="C2033" t="n">
        <v>16059</v>
      </c>
      <c r="D2033" t="inlineStr">
        <is>
          <t>Delhi</t>
        </is>
      </c>
      <c r="E2033" t="inlineStr">
        <is>
          <t>North</t>
        </is>
      </c>
      <c r="F2033" t="inlineStr">
        <is>
          <t>Organic Search</t>
        </is>
      </c>
      <c r="G2033" t="inlineStr">
        <is>
          <t>Desktop</t>
        </is>
      </c>
      <c r="H2033" t="inlineStr">
        <is>
          <t>Net Banking</t>
        </is>
      </c>
      <c r="I2033" t="inlineStr">
        <is>
          <t>Delivered</t>
        </is>
      </c>
      <c r="J2033" t="n">
        <v>109</v>
      </c>
      <c r="K2033" t="n">
        <v>3</v>
      </c>
      <c r="L2033" s="7" t="n">
        <v>4199</v>
      </c>
      <c r="M2033" s="7" t="n">
        <v>0</v>
      </c>
    </row>
    <row r="2034">
      <c r="A2034" t="n">
        <v>510351</v>
      </c>
      <c r="B2034" s="6" t="n">
        <v>45954</v>
      </c>
      <c r="C2034" t="n">
        <v>16059</v>
      </c>
      <c r="D2034" t="inlineStr">
        <is>
          <t>Delhi</t>
        </is>
      </c>
      <c r="E2034" t="inlineStr">
        <is>
          <t>North</t>
        </is>
      </c>
      <c r="F2034" t="inlineStr">
        <is>
          <t>Organic Search</t>
        </is>
      </c>
      <c r="G2034" t="inlineStr">
        <is>
          <t>Desktop</t>
        </is>
      </c>
      <c r="H2034" t="inlineStr">
        <is>
          <t>Net Banking</t>
        </is>
      </c>
      <c r="I2034" t="inlineStr">
        <is>
          <t>Delivered</t>
        </is>
      </c>
      <c r="J2034" t="n">
        <v>129</v>
      </c>
      <c r="K2034" t="n">
        <v>3</v>
      </c>
      <c r="L2034" s="7" t="n">
        <v>576</v>
      </c>
      <c r="M2034" s="7" t="n">
        <v>0</v>
      </c>
    </row>
    <row r="2035">
      <c r="A2035" t="n">
        <v>510352</v>
      </c>
      <c r="B2035" s="6" t="n">
        <v>45954</v>
      </c>
      <c r="C2035" t="n">
        <v>16951</v>
      </c>
      <c r="D2035" t="inlineStr">
        <is>
          <t>Pune</t>
        </is>
      </c>
      <c r="E2035" t="inlineStr">
        <is>
          <t>West</t>
        </is>
      </c>
      <c r="F2035" t="inlineStr">
        <is>
          <t>Referral</t>
        </is>
      </c>
      <c r="G2035" t="inlineStr">
        <is>
          <t>Desktop</t>
        </is>
      </c>
      <c r="H2035" t="inlineStr">
        <is>
          <t>Cash on Delivery</t>
        </is>
      </c>
      <c r="I2035" t="inlineStr">
        <is>
          <t>Delivered</t>
        </is>
      </c>
      <c r="J2035" t="n">
        <v>110</v>
      </c>
      <c r="K2035" t="n">
        <v>2</v>
      </c>
      <c r="L2035" s="7" t="n">
        <v>839</v>
      </c>
      <c r="M2035" s="7" t="n">
        <v>0</v>
      </c>
    </row>
    <row r="2036">
      <c r="A2036" t="n">
        <v>510352</v>
      </c>
      <c r="B2036" s="6" t="n">
        <v>45954</v>
      </c>
      <c r="C2036" t="n">
        <v>16951</v>
      </c>
      <c r="D2036" t="inlineStr">
        <is>
          <t>Pune</t>
        </is>
      </c>
      <c r="E2036" t="inlineStr">
        <is>
          <t>West</t>
        </is>
      </c>
      <c r="F2036" t="inlineStr">
        <is>
          <t>Referral</t>
        </is>
      </c>
      <c r="G2036" t="inlineStr">
        <is>
          <t>Desktop</t>
        </is>
      </c>
      <c r="H2036" t="inlineStr">
        <is>
          <t>Cash on Delivery</t>
        </is>
      </c>
      <c r="I2036" t="inlineStr">
        <is>
          <t>Delivered</t>
        </is>
      </c>
      <c r="J2036" t="n">
        <v>115</v>
      </c>
      <c r="K2036" t="n">
        <v>1</v>
      </c>
      <c r="L2036" s="7" t="n">
        <v>4199</v>
      </c>
      <c r="M2036" s="7" t="n">
        <v>0</v>
      </c>
    </row>
    <row r="2037">
      <c r="A2037" t="n">
        <v>510352</v>
      </c>
      <c r="B2037" s="6" t="n">
        <v>45954</v>
      </c>
      <c r="C2037" t="n">
        <v>16951</v>
      </c>
      <c r="D2037" t="inlineStr">
        <is>
          <t>Pune</t>
        </is>
      </c>
      <c r="E2037" t="inlineStr">
        <is>
          <t>West</t>
        </is>
      </c>
      <c r="F2037" t="inlineStr">
        <is>
          <t>Referral</t>
        </is>
      </c>
      <c r="G2037" t="inlineStr">
        <is>
          <t>Desktop</t>
        </is>
      </c>
      <c r="H2037" t="inlineStr">
        <is>
          <t>Cash on Delivery</t>
        </is>
      </c>
      <c r="I2037" t="inlineStr">
        <is>
          <t>Delivered</t>
        </is>
      </c>
      <c r="J2037" t="n">
        <v>103</v>
      </c>
      <c r="K2037" t="n">
        <v>1</v>
      </c>
      <c r="L2037" s="7" t="n">
        <v>2624</v>
      </c>
      <c r="M2037" s="7" t="n">
        <v>0</v>
      </c>
    </row>
    <row r="2038">
      <c r="A2038" t="n">
        <v>510352</v>
      </c>
      <c r="B2038" s="6" t="n">
        <v>45954</v>
      </c>
      <c r="C2038" t="n">
        <v>16951</v>
      </c>
      <c r="D2038" t="inlineStr">
        <is>
          <t>Pune</t>
        </is>
      </c>
      <c r="E2038" t="inlineStr">
        <is>
          <t>West</t>
        </is>
      </c>
      <c r="F2038" t="inlineStr">
        <is>
          <t>Referral</t>
        </is>
      </c>
      <c r="G2038" t="inlineStr">
        <is>
          <t>Desktop</t>
        </is>
      </c>
      <c r="H2038" t="inlineStr">
        <is>
          <t>Cash on Delivery</t>
        </is>
      </c>
      <c r="I2038" t="inlineStr">
        <is>
          <t>Delivered</t>
        </is>
      </c>
      <c r="J2038" t="n">
        <v>129</v>
      </c>
      <c r="K2038" t="n">
        <v>2</v>
      </c>
      <c r="L2038" s="7" t="n">
        <v>576</v>
      </c>
      <c r="M2038" s="7" t="n">
        <v>0</v>
      </c>
    </row>
    <row r="2039">
      <c r="A2039" t="n">
        <v>510353</v>
      </c>
      <c r="B2039" s="6" t="n">
        <v>45954</v>
      </c>
      <c r="C2039" t="n">
        <v>10121</v>
      </c>
      <c r="D2039" t="inlineStr">
        <is>
          <t>Bengaluru</t>
        </is>
      </c>
      <c r="E2039" t="inlineStr">
        <is>
          <t>South</t>
        </is>
      </c>
      <c r="F2039" t="inlineStr">
        <is>
          <t>Paid Search</t>
        </is>
      </c>
      <c r="G2039" t="inlineStr">
        <is>
          <t>Mobile App</t>
        </is>
      </c>
      <c r="H2039" t="inlineStr">
        <is>
          <t>Cash on Delivery</t>
        </is>
      </c>
      <c r="I2039" t="inlineStr">
        <is>
          <t>Delivered</t>
        </is>
      </c>
      <c r="J2039" t="n">
        <v>107</v>
      </c>
      <c r="K2039" t="n">
        <v>1</v>
      </c>
      <c r="L2039" s="7" t="n">
        <v>1259</v>
      </c>
      <c r="M2039" s="7" t="n">
        <v>0</v>
      </c>
    </row>
    <row r="2040">
      <c r="A2040" t="n">
        <v>510353</v>
      </c>
      <c r="B2040" s="6" t="n">
        <v>45954</v>
      </c>
      <c r="C2040" t="n">
        <v>10121</v>
      </c>
      <c r="D2040" t="inlineStr">
        <is>
          <t>Bengaluru</t>
        </is>
      </c>
      <c r="E2040" t="inlineStr">
        <is>
          <t>South</t>
        </is>
      </c>
      <c r="F2040" t="inlineStr">
        <is>
          <t>Paid Search</t>
        </is>
      </c>
      <c r="G2040" t="inlineStr">
        <is>
          <t>Mobile App</t>
        </is>
      </c>
      <c r="H2040" t="inlineStr">
        <is>
          <t>Cash on Delivery</t>
        </is>
      </c>
      <c r="I2040" t="inlineStr">
        <is>
          <t>Delivered</t>
        </is>
      </c>
      <c r="J2040" t="n">
        <v>112</v>
      </c>
      <c r="K2040" t="n">
        <v>2</v>
      </c>
      <c r="L2040" s="7" t="n">
        <v>1574</v>
      </c>
      <c r="M2040" s="7" t="n">
        <v>0</v>
      </c>
    </row>
    <row r="2041">
      <c r="A2041" t="n">
        <v>510353</v>
      </c>
      <c r="B2041" s="6" t="n">
        <v>45954</v>
      </c>
      <c r="C2041" t="n">
        <v>10121</v>
      </c>
      <c r="D2041" t="inlineStr">
        <is>
          <t>Bengaluru</t>
        </is>
      </c>
      <c r="E2041" t="inlineStr">
        <is>
          <t>South</t>
        </is>
      </c>
      <c r="F2041" t="inlineStr">
        <is>
          <t>Paid Search</t>
        </is>
      </c>
      <c r="G2041" t="inlineStr">
        <is>
          <t>Mobile App</t>
        </is>
      </c>
      <c r="H2041" t="inlineStr">
        <is>
          <t>Cash on Delivery</t>
        </is>
      </c>
      <c r="I2041" t="inlineStr">
        <is>
          <t>Delivered</t>
        </is>
      </c>
      <c r="J2041" t="n">
        <v>129</v>
      </c>
      <c r="K2041" t="n">
        <v>1</v>
      </c>
      <c r="L2041" s="7" t="n">
        <v>576</v>
      </c>
      <c r="M2041" s="7" t="n">
        <v>0</v>
      </c>
    </row>
    <row r="2042">
      <c r="A2042" t="n">
        <v>510354</v>
      </c>
      <c r="B2042" s="6" t="n">
        <v>45954</v>
      </c>
      <c r="C2042" t="n">
        <v>16966</v>
      </c>
      <c r="D2042" t="inlineStr">
        <is>
          <t>Hyderabad</t>
        </is>
      </c>
      <c r="E2042" t="inlineStr">
        <is>
          <t>South</t>
        </is>
      </c>
      <c r="F2042" t="inlineStr">
        <is>
          <t>Paid Social</t>
        </is>
      </c>
      <c r="G2042" t="inlineStr">
        <is>
          <t>Mobile App</t>
        </is>
      </c>
      <c r="H2042" t="inlineStr">
        <is>
          <t>UPI</t>
        </is>
      </c>
      <c r="I2042" t="inlineStr">
        <is>
          <t>Cancelled</t>
        </is>
      </c>
      <c r="J2042" t="n">
        <v>140</v>
      </c>
      <c r="K2042" t="n">
        <v>1</v>
      </c>
      <c r="L2042" s="7" t="n">
        <v>629</v>
      </c>
      <c r="M2042" s="7" t="n">
        <v>0</v>
      </c>
    </row>
    <row r="2043">
      <c r="A2043" t="n">
        <v>510355</v>
      </c>
      <c r="B2043" s="6" t="n">
        <v>45954</v>
      </c>
      <c r="C2043" t="n">
        <v>13479</v>
      </c>
      <c r="D2043" t="inlineStr">
        <is>
          <t>Hyderabad</t>
        </is>
      </c>
      <c r="E2043" t="inlineStr">
        <is>
          <t>South</t>
        </is>
      </c>
      <c r="F2043" t="inlineStr">
        <is>
          <t>Referral</t>
        </is>
      </c>
      <c r="G2043" t="inlineStr">
        <is>
          <t>Mobile App</t>
        </is>
      </c>
      <c r="H2043" t="inlineStr">
        <is>
          <t>UPI</t>
        </is>
      </c>
      <c r="I2043" t="inlineStr">
        <is>
          <t>Delivered</t>
        </is>
      </c>
      <c r="J2043" t="n">
        <v>145</v>
      </c>
      <c r="K2043" t="n">
        <v>2</v>
      </c>
      <c r="L2043" s="7" t="n">
        <v>629</v>
      </c>
      <c r="M2043" s="7" t="n">
        <v>125.8</v>
      </c>
    </row>
    <row r="2044">
      <c r="A2044" t="n">
        <v>510356</v>
      </c>
      <c r="B2044" s="6" t="n">
        <v>45954</v>
      </c>
      <c r="C2044" t="n">
        <v>17009</v>
      </c>
      <c r="D2044" t="inlineStr">
        <is>
          <t>Hyderabad</t>
        </is>
      </c>
      <c r="E2044" t="inlineStr">
        <is>
          <t>South</t>
        </is>
      </c>
      <c r="F2044" t="inlineStr">
        <is>
          <t>Paid Search</t>
        </is>
      </c>
      <c r="G2044" t="inlineStr">
        <is>
          <t>Mobile App</t>
        </is>
      </c>
      <c r="H2044" t="inlineStr">
        <is>
          <t>Credit Card</t>
        </is>
      </c>
      <c r="I2044" t="inlineStr">
        <is>
          <t>Delivered</t>
        </is>
      </c>
      <c r="J2044" t="n">
        <v>106</v>
      </c>
      <c r="K2044" t="n">
        <v>1</v>
      </c>
      <c r="L2044" s="7" t="n">
        <v>1574</v>
      </c>
      <c r="M2044" s="7" t="n">
        <v>236.1</v>
      </c>
    </row>
    <row r="2045">
      <c r="A2045" t="n">
        <v>510356</v>
      </c>
      <c r="B2045" s="6" t="n">
        <v>45954</v>
      </c>
      <c r="C2045" t="n">
        <v>17009</v>
      </c>
      <c r="D2045" t="inlineStr">
        <is>
          <t>Hyderabad</t>
        </is>
      </c>
      <c r="E2045" t="inlineStr">
        <is>
          <t>South</t>
        </is>
      </c>
      <c r="F2045" t="inlineStr">
        <is>
          <t>Paid Search</t>
        </is>
      </c>
      <c r="G2045" t="inlineStr">
        <is>
          <t>Mobile App</t>
        </is>
      </c>
      <c r="H2045" t="inlineStr">
        <is>
          <t>Credit Card</t>
        </is>
      </c>
      <c r="I2045" t="inlineStr">
        <is>
          <t>Delivered</t>
        </is>
      </c>
      <c r="J2045" t="n">
        <v>129</v>
      </c>
      <c r="K2045" t="n">
        <v>1</v>
      </c>
      <c r="L2045" s="7" t="n">
        <v>576</v>
      </c>
      <c r="M2045" s="7" t="n">
        <v>86.40000000000001</v>
      </c>
    </row>
    <row r="2046">
      <c r="A2046" t="n">
        <v>510357</v>
      </c>
      <c r="B2046" s="6" t="n">
        <v>45954</v>
      </c>
      <c r="C2046" t="n">
        <v>13286</v>
      </c>
      <c r="D2046" t="inlineStr">
        <is>
          <t>Lucknow</t>
        </is>
      </c>
      <c r="E2046" t="inlineStr">
        <is>
          <t>North</t>
        </is>
      </c>
      <c r="F2046" t="inlineStr">
        <is>
          <t>Affiliate</t>
        </is>
      </c>
      <c r="G2046" t="inlineStr">
        <is>
          <t>Mobile App</t>
        </is>
      </c>
      <c r="H2046" t="inlineStr">
        <is>
          <t>UPI</t>
        </is>
      </c>
      <c r="I2046" t="inlineStr">
        <is>
          <t>Delivered</t>
        </is>
      </c>
      <c r="J2046" t="n">
        <v>102</v>
      </c>
      <c r="K2046" t="n">
        <v>1</v>
      </c>
      <c r="L2046" s="7" t="n">
        <v>3674</v>
      </c>
      <c r="M2046" s="7" t="n">
        <v>367.4</v>
      </c>
    </row>
    <row r="2047">
      <c r="A2047" t="n">
        <v>510357</v>
      </c>
      <c r="B2047" s="6" t="n">
        <v>45954</v>
      </c>
      <c r="C2047" t="n">
        <v>13286</v>
      </c>
      <c r="D2047" t="inlineStr">
        <is>
          <t>Lucknow</t>
        </is>
      </c>
      <c r="E2047" t="inlineStr">
        <is>
          <t>North</t>
        </is>
      </c>
      <c r="F2047" t="inlineStr">
        <is>
          <t>Affiliate</t>
        </is>
      </c>
      <c r="G2047" t="inlineStr">
        <is>
          <t>Mobile App</t>
        </is>
      </c>
      <c r="H2047" t="inlineStr">
        <is>
          <t>UPI</t>
        </is>
      </c>
      <c r="I2047" t="inlineStr">
        <is>
          <t>Delivered</t>
        </is>
      </c>
      <c r="J2047" t="n">
        <v>128</v>
      </c>
      <c r="K2047" t="n">
        <v>1</v>
      </c>
      <c r="L2047" s="7" t="n">
        <v>1049</v>
      </c>
      <c r="M2047" s="7" t="n">
        <v>104.9</v>
      </c>
    </row>
    <row r="2048">
      <c r="A2048" t="n">
        <v>510357</v>
      </c>
      <c r="B2048" s="6" t="n">
        <v>45954</v>
      </c>
      <c r="C2048" t="n">
        <v>13286</v>
      </c>
      <c r="D2048" t="inlineStr">
        <is>
          <t>Lucknow</t>
        </is>
      </c>
      <c r="E2048" t="inlineStr">
        <is>
          <t>North</t>
        </is>
      </c>
      <c r="F2048" t="inlineStr">
        <is>
          <t>Affiliate</t>
        </is>
      </c>
      <c r="G2048" t="inlineStr">
        <is>
          <t>Mobile App</t>
        </is>
      </c>
      <c r="H2048" t="inlineStr">
        <is>
          <t>UPI</t>
        </is>
      </c>
      <c r="I2048" t="inlineStr">
        <is>
          <t>Delivered</t>
        </is>
      </c>
      <c r="J2048" t="n">
        <v>123</v>
      </c>
      <c r="K2048" t="n">
        <v>3</v>
      </c>
      <c r="L2048" s="7" t="n">
        <v>3464</v>
      </c>
      <c r="M2048" s="7" t="n">
        <v>1039.2</v>
      </c>
    </row>
    <row r="2049">
      <c r="A2049" t="n">
        <v>510358</v>
      </c>
      <c r="B2049" s="6" t="n">
        <v>45954</v>
      </c>
      <c r="C2049" t="n">
        <v>15071</v>
      </c>
      <c r="D2049" t="inlineStr">
        <is>
          <t>Pune</t>
        </is>
      </c>
      <c r="E2049" t="inlineStr">
        <is>
          <t>West</t>
        </is>
      </c>
      <c r="F2049" t="inlineStr">
        <is>
          <t>Paid Search</t>
        </is>
      </c>
      <c r="G2049" t="inlineStr">
        <is>
          <t>Mobile App</t>
        </is>
      </c>
      <c r="H2049" t="inlineStr">
        <is>
          <t>UPI</t>
        </is>
      </c>
      <c r="I2049" t="inlineStr">
        <is>
          <t>Delivered</t>
        </is>
      </c>
      <c r="J2049" t="n">
        <v>131</v>
      </c>
      <c r="K2049" t="n">
        <v>1</v>
      </c>
      <c r="L2049" s="7" t="n">
        <v>314</v>
      </c>
      <c r="M2049" s="7" t="n">
        <v>31.4</v>
      </c>
    </row>
    <row r="2050">
      <c r="A2050" t="n">
        <v>510359</v>
      </c>
      <c r="B2050" s="6" t="n">
        <v>45954</v>
      </c>
      <c r="C2050" t="n">
        <v>16981</v>
      </c>
      <c r="D2050" t="inlineStr">
        <is>
          <t>Delhi</t>
        </is>
      </c>
      <c r="E2050" t="inlineStr">
        <is>
          <t>North</t>
        </is>
      </c>
      <c r="F2050" t="inlineStr">
        <is>
          <t>Paid Search</t>
        </is>
      </c>
      <c r="G2050" t="inlineStr">
        <is>
          <t>Mobile App</t>
        </is>
      </c>
      <c r="H2050" t="inlineStr">
        <is>
          <t>Net Banking</t>
        </is>
      </c>
      <c r="I2050" t="inlineStr">
        <is>
          <t>Returned</t>
        </is>
      </c>
      <c r="J2050" t="n">
        <v>112</v>
      </c>
      <c r="K2050" t="n">
        <v>1</v>
      </c>
      <c r="L2050" s="7" t="n">
        <v>1574</v>
      </c>
      <c r="M2050" s="7" t="n">
        <v>236.1</v>
      </c>
    </row>
    <row r="2051">
      <c r="A2051" t="n">
        <v>510359</v>
      </c>
      <c r="B2051" s="6" t="n">
        <v>45954</v>
      </c>
      <c r="C2051" t="n">
        <v>16981</v>
      </c>
      <c r="D2051" t="inlineStr">
        <is>
          <t>Delhi</t>
        </is>
      </c>
      <c r="E2051" t="inlineStr">
        <is>
          <t>North</t>
        </is>
      </c>
      <c r="F2051" t="inlineStr">
        <is>
          <t>Paid Search</t>
        </is>
      </c>
      <c r="G2051" t="inlineStr">
        <is>
          <t>Mobile App</t>
        </is>
      </c>
      <c r="H2051" t="inlineStr">
        <is>
          <t>Net Banking</t>
        </is>
      </c>
      <c r="I2051" t="inlineStr">
        <is>
          <t>Returned</t>
        </is>
      </c>
      <c r="J2051" t="n">
        <v>129</v>
      </c>
      <c r="K2051" t="n">
        <v>2</v>
      </c>
      <c r="L2051" s="7" t="n">
        <v>576</v>
      </c>
      <c r="M2051" s="7" t="n">
        <v>172.8</v>
      </c>
    </row>
    <row r="2052">
      <c r="A2052" t="n">
        <v>510360</v>
      </c>
      <c r="B2052" s="6" t="n">
        <v>45955</v>
      </c>
      <c r="C2052" t="n">
        <v>16990</v>
      </c>
      <c r="D2052" t="inlineStr">
        <is>
          <t>Chandigarh</t>
        </is>
      </c>
      <c r="E2052" t="inlineStr">
        <is>
          <t>North</t>
        </is>
      </c>
      <c r="F2052" t="inlineStr">
        <is>
          <t>Referral</t>
        </is>
      </c>
      <c r="G2052" t="inlineStr">
        <is>
          <t>Mobile Web</t>
        </is>
      </c>
      <c r="H2052" t="inlineStr">
        <is>
          <t>UPI</t>
        </is>
      </c>
      <c r="I2052" t="inlineStr">
        <is>
          <t>Cancelled</t>
        </is>
      </c>
      <c r="J2052" t="n">
        <v>102</v>
      </c>
      <c r="K2052" t="n">
        <v>1</v>
      </c>
      <c r="L2052" s="7" t="n">
        <v>3674</v>
      </c>
      <c r="M2052" s="7" t="n">
        <v>551.1</v>
      </c>
    </row>
    <row r="2053">
      <c r="A2053" t="n">
        <v>510361</v>
      </c>
      <c r="B2053" s="6" t="n">
        <v>45955</v>
      </c>
      <c r="C2053" t="n">
        <v>16993</v>
      </c>
      <c r="D2053" t="inlineStr">
        <is>
          <t>Hyderabad</t>
        </is>
      </c>
      <c r="E2053" t="inlineStr">
        <is>
          <t>South</t>
        </is>
      </c>
      <c r="F2053" t="inlineStr">
        <is>
          <t>Organic Search</t>
        </is>
      </c>
      <c r="G2053" t="inlineStr">
        <is>
          <t>Desktop</t>
        </is>
      </c>
      <c r="H2053" t="inlineStr">
        <is>
          <t>UPI</t>
        </is>
      </c>
      <c r="I2053" t="inlineStr">
        <is>
          <t>Delivered</t>
        </is>
      </c>
      <c r="J2053" t="n">
        <v>125</v>
      </c>
      <c r="K2053" t="n">
        <v>1</v>
      </c>
      <c r="L2053" s="7" t="n">
        <v>1364</v>
      </c>
      <c r="M2053" s="7" t="n">
        <v>204.6</v>
      </c>
    </row>
    <row r="2054">
      <c r="A2054" t="n">
        <v>510362</v>
      </c>
      <c r="B2054" s="6" t="n">
        <v>45955</v>
      </c>
      <c r="C2054" t="n">
        <v>16945</v>
      </c>
      <c r="D2054" t="inlineStr">
        <is>
          <t>Ahmedabad</t>
        </is>
      </c>
      <c r="E2054" t="inlineStr">
        <is>
          <t>West</t>
        </is>
      </c>
      <c r="F2054" t="inlineStr">
        <is>
          <t>Organic Search</t>
        </is>
      </c>
      <c r="G2054" t="inlineStr">
        <is>
          <t>Mobile Web</t>
        </is>
      </c>
      <c r="H2054" t="inlineStr">
        <is>
          <t>Cash on Delivery</t>
        </is>
      </c>
      <c r="I2054" t="inlineStr">
        <is>
          <t>Delivered</t>
        </is>
      </c>
      <c r="J2054" t="n">
        <v>145</v>
      </c>
      <c r="K2054" t="n">
        <v>1</v>
      </c>
      <c r="L2054" s="7" t="n">
        <v>629</v>
      </c>
      <c r="M2054" s="7" t="n">
        <v>94.34999999999999</v>
      </c>
    </row>
    <row r="2055">
      <c r="A2055" t="n">
        <v>510363</v>
      </c>
      <c r="B2055" s="6" t="n">
        <v>45955</v>
      </c>
      <c r="C2055" t="n">
        <v>16962</v>
      </c>
      <c r="D2055" t="inlineStr">
        <is>
          <t>Hyderabad</t>
        </is>
      </c>
      <c r="E2055" t="inlineStr">
        <is>
          <t>South</t>
        </is>
      </c>
      <c r="F2055" t="inlineStr">
        <is>
          <t>Referral</t>
        </is>
      </c>
      <c r="G2055" t="inlineStr">
        <is>
          <t>Mobile Web</t>
        </is>
      </c>
      <c r="H2055" t="inlineStr">
        <is>
          <t>UPI</t>
        </is>
      </c>
      <c r="I2055" t="inlineStr">
        <is>
          <t>Delivered</t>
        </is>
      </c>
      <c r="J2055" t="n">
        <v>113</v>
      </c>
      <c r="K2055" t="n">
        <v>1</v>
      </c>
      <c r="L2055" s="7" t="n">
        <v>1364</v>
      </c>
      <c r="M2055" s="7" t="n">
        <v>68.2</v>
      </c>
    </row>
    <row r="2056">
      <c r="A2056" t="n">
        <v>510363</v>
      </c>
      <c r="B2056" s="6" t="n">
        <v>45955</v>
      </c>
      <c r="C2056" t="n">
        <v>16962</v>
      </c>
      <c r="D2056" t="inlineStr">
        <is>
          <t>Hyderabad</t>
        </is>
      </c>
      <c r="E2056" t="inlineStr">
        <is>
          <t>South</t>
        </is>
      </c>
      <c r="F2056" t="inlineStr">
        <is>
          <t>Referral</t>
        </is>
      </c>
      <c r="G2056" t="inlineStr">
        <is>
          <t>Mobile Web</t>
        </is>
      </c>
      <c r="H2056" t="inlineStr">
        <is>
          <t>UPI</t>
        </is>
      </c>
      <c r="I2056" t="inlineStr">
        <is>
          <t>Delivered</t>
        </is>
      </c>
      <c r="J2056" t="n">
        <v>111</v>
      </c>
      <c r="K2056" t="n">
        <v>1</v>
      </c>
      <c r="L2056" s="7" t="n">
        <v>524</v>
      </c>
      <c r="M2056" s="7" t="n">
        <v>26.2</v>
      </c>
    </row>
    <row r="2057">
      <c r="A2057" t="n">
        <v>510363</v>
      </c>
      <c r="B2057" s="6" t="n">
        <v>45955</v>
      </c>
      <c r="C2057" t="n">
        <v>16962</v>
      </c>
      <c r="D2057" t="inlineStr">
        <is>
          <t>Hyderabad</t>
        </is>
      </c>
      <c r="E2057" t="inlineStr">
        <is>
          <t>South</t>
        </is>
      </c>
      <c r="F2057" t="inlineStr">
        <is>
          <t>Referral</t>
        </is>
      </c>
      <c r="G2057" t="inlineStr">
        <is>
          <t>Mobile Web</t>
        </is>
      </c>
      <c r="H2057" t="inlineStr">
        <is>
          <t>UPI</t>
        </is>
      </c>
      <c r="I2057" t="inlineStr">
        <is>
          <t>Delivered</t>
        </is>
      </c>
      <c r="J2057" t="n">
        <v>129</v>
      </c>
      <c r="K2057" t="n">
        <v>1</v>
      </c>
      <c r="L2057" s="7" t="n">
        <v>576</v>
      </c>
      <c r="M2057" s="7" t="n">
        <v>28.8</v>
      </c>
    </row>
    <row r="2058">
      <c r="A2058" t="n">
        <v>510364</v>
      </c>
      <c r="B2058" s="6" t="n">
        <v>45955</v>
      </c>
      <c r="C2058" t="n">
        <v>16545</v>
      </c>
      <c r="D2058" t="inlineStr">
        <is>
          <t>Delhi</t>
        </is>
      </c>
      <c r="E2058" t="inlineStr">
        <is>
          <t>North</t>
        </is>
      </c>
      <c r="F2058" t="inlineStr">
        <is>
          <t>Paid Search</t>
        </is>
      </c>
      <c r="G2058" t="inlineStr">
        <is>
          <t>Mobile Web</t>
        </is>
      </c>
      <c r="H2058" t="inlineStr">
        <is>
          <t>UPI</t>
        </is>
      </c>
      <c r="I2058" t="inlineStr">
        <is>
          <t>Delivered</t>
        </is>
      </c>
      <c r="J2058" t="n">
        <v>107</v>
      </c>
      <c r="K2058" t="n">
        <v>3</v>
      </c>
      <c r="L2058" s="7" t="n">
        <v>1259</v>
      </c>
      <c r="M2058" s="7" t="n">
        <v>377.7</v>
      </c>
    </row>
    <row r="2059">
      <c r="A2059" t="n">
        <v>510364</v>
      </c>
      <c r="B2059" s="6" t="n">
        <v>45955</v>
      </c>
      <c r="C2059" t="n">
        <v>16545</v>
      </c>
      <c r="D2059" t="inlineStr">
        <is>
          <t>Delhi</t>
        </is>
      </c>
      <c r="E2059" t="inlineStr">
        <is>
          <t>North</t>
        </is>
      </c>
      <c r="F2059" t="inlineStr">
        <is>
          <t>Paid Search</t>
        </is>
      </c>
      <c r="G2059" t="inlineStr">
        <is>
          <t>Mobile Web</t>
        </is>
      </c>
      <c r="H2059" t="inlineStr">
        <is>
          <t>UPI</t>
        </is>
      </c>
      <c r="I2059" t="inlineStr">
        <is>
          <t>Delivered</t>
        </is>
      </c>
      <c r="J2059" t="n">
        <v>129</v>
      </c>
      <c r="K2059" t="n">
        <v>1</v>
      </c>
      <c r="L2059" s="7" t="n">
        <v>576</v>
      </c>
      <c r="M2059" s="7" t="n">
        <v>57.6</v>
      </c>
    </row>
    <row r="2060">
      <c r="A2060" t="n">
        <v>510365</v>
      </c>
      <c r="B2060" s="6" t="n">
        <v>45955</v>
      </c>
      <c r="C2060" t="n">
        <v>16950</v>
      </c>
      <c r="D2060" t="inlineStr">
        <is>
          <t>Mumbai</t>
        </is>
      </c>
      <c r="E2060" t="inlineStr">
        <is>
          <t>West</t>
        </is>
      </c>
      <c r="F2060" t="inlineStr">
        <is>
          <t>Paid Social</t>
        </is>
      </c>
      <c r="G2060" t="inlineStr">
        <is>
          <t>Desktop</t>
        </is>
      </c>
      <c r="H2060" t="inlineStr">
        <is>
          <t>UPI</t>
        </is>
      </c>
      <c r="I2060" t="inlineStr">
        <is>
          <t>Delivered</t>
        </is>
      </c>
      <c r="J2060" t="n">
        <v>117</v>
      </c>
      <c r="K2060" t="n">
        <v>1</v>
      </c>
      <c r="L2060" s="7" t="n">
        <v>3149</v>
      </c>
      <c r="M2060" s="7" t="n">
        <v>472.35</v>
      </c>
    </row>
    <row r="2061">
      <c r="A2061" t="n">
        <v>510365</v>
      </c>
      <c r="B2061" s="6" t="n">
        <v>45955</v>
      </c>
      <c r="C2061" t="n">
        <v>16950</v>
      </c>
      <c r="D2061" t="inlineStr">
        <is>
          <t>Mumbai</t>
        </is>
      </c>
      <c r="E2061" t="inlineStr">
        <is>
          <t>West</t>
        </is>
      </c>
      <c r="F2061" t="inlineStr">
        <is>
          <t>Paid Social</t>
        </is>
      </c>
      <c r="G2061" t="inlineStr">
        <is>
          <t>Desktop</t>
        </is>
      </c>
      <c r="H2061" t="inlineStr">
        <is>
          <t>UPI</t>
        </is>
      </c>
      <c r="I2061" t="inlineStr">
        <is>
          <t>Delivered</t>
        </is>
      </c>
      <c r="J2061" t="n">
        <v>129</v>
      </c>
      <c r="K2061" t="n">
        <v>1</v>
      </c>
      <c r="L2061" s="7" t="n">
        <v>576</v>
      </c>
      <c r="M2061" s="7" t="n">
        <v>86.40000000000001</v>
      </c>
    </row>
    <row r="2062">
      <c r="A2062" t="n">
        <v>510366</v>
      </c>
      <c r="B2062" s="6" t="n">
        <v>45955</v>
      </c>
      <c r="C2062" t="n">
        <v>16830</v>
      </c>
      <c r="D2062" t="inlineStr">
        <is>
          <t>Pune</t>
        </is>
      </c>
      <c r="E2062" t="inlineStr">
        <is>
          <t>West</t>
        </is>
      </c>
      <c r="F2062" t="inlineStr">
        <is>
          <t>Paid Social</t>
        </is>
      </c>
      <c r="G2062" t="inlineStr">
        <is>
          <t>Desktop</t>
        </is>
      </c>
      <c r="H2062" t="inlineStr">
        <is>
          <t>Debit Card</t>
        </is>
      </c>
      <c r="I2062" t="inlineStr">
        <is>
          <t>Delivered</t>
        </is>
      </c>
      <c r="J2062" t="n">
        <v>143</v>
      </c>
      <c r="K2062" t="n">
        <v>1</v>
      </c>
      <c r="L2062" s="7" t="n">
        <v>839</v>
      </c>
      <c r="M2062" s="7" t="n">
        <v>83.90000000000001</v>
      </c>
    </row>
    <row r="2063">
      <c r="A2063" t="n">
        <v>510366</v>
      </c>
      <c r="B2063" s="6" t="n">
        <v>45955</v>
      </c>
      <c r="C2063" t="n">
        <v>16830</v>
      </c>
      <c r="D2063" t="inlineStr">
        <is>
          <t>Pune</t>
        </is>
      </c>
      <c r="E2063" t="inlineStr">
        <is>
          <t>West</t>
        </is>
      </c>
      <c r="F2063" t="inlineStr">
        <is>
          <t>Paid Social</t>
        </is>
      </c>
      <c r="G2063" t="inlineStr">
        <is>
          <t>Desktop</t>
        </is>
      </c>
      <c r="H2063" t="inlineStr">
        <is>
          <t>Debit Card</t>
        </is>
      </c>
      <c r="I2063" t="inlineStr">
        <is>
          <t>Delivered</t>
        </is>
      </c>
      <c r="J2063" t="n">
        <v>118</v>
      </c>
      <c r="K2063" t="n">
        <v>1</v>
      </c>
      <c r="L2063" s="7" t="n">
        <v>944</v>
      </c>
      <c r="M2063" s="7" t="n">
        <v>94.40000000000001</v>
      </c>
    </row>
    <row r="2064">
      <c r="A2064" t="n">
        <v>510366</v>
      </c>
      <c r="B2064" s="6" t="n">
        <v>45955</v>
      </c>
      <c r="C2064" t="n">
        <v>16830</v>
      </c>
      <c r="D2064" t="inlineStr">
        <is>
          <t>Pune</t>
        </is>
      </c>
      <c r="E2064" t="inlineStr">
        <is>
          <t>West</t>
        </is>
      </c>
      <c r="F2064" t="inlineStr">
        <is>
          <t>Paid Social</t>
        </is>
      </c>
      <c r="G2064" t="inlineStr">
        <is>
          <t>Desktop</t>
        </is>
      </c>
      <c r="H2064" t="inlineStr">
        <is>
          <t>Debit Card</t>
        </is>
      </c>
      <c r="I2064" t="inlineStr">
        <is>
          <t>Delivered</t>
        </is>
      </c>
      <c r="J2064" t="n">
        <v>129</v>
      </c>
      <c r="K2064" t="n">
        <v>1</v>
      </c>
      <c r="L2064" s="7" t="n">
        <v>576</v>
      </c>
      <c r="M2064" s="7" t="n">
        <v>57.6</v>
      </c>
    </row>
    <row r="2065">
      <c r="A2065" t="n">
        <v>510367</v>
      </c>
      <c r="B2065" s="6" t="n">
        <v>45955</v>
      </c>
      <c r="C2065" t="n">
        <v>16858</v>
      </c>
      <c r="D2065" t="inlineStr">
        <is>
          <t>Mumbai</t>
        </is>
      </c>
      <c r="E2065" t="inlineStr">
        <is>
          <t>West</t>
        </is>
      </c>
      <c r="F2065" t="inlineStr">
        <is>
          <t>Paid Social</t>
        </is>
      </c>
      <c r="G2065" t="inlineStr">
        <is>
          <t>Mobile App</t>
        </is>
      </c>
      <c r="H2065" t="inlineStr">
        <is>
          <t>UPI</t>
        </is>
      </c>
      <c r="I2065" t="inlineStr">
        <is>
          <t>Delivered</t>
        </is>
      </c>
      <c r="J2065" t="n">
        <v>107</v>
      </c>
      <c r="K2065" t="n">
        <v>1</v>
      </c>
      <c r="L2065" s="7" t="n">
        <v>1259</v>
      </c>
      <c r="M2065" s="7" t="n">
        <v>188.85</v>
      </c>
    </row>
    <row r="2066">
      <c r="A2066" t="n">
        <v>510367</v>
      </c>
      <c r="B2066" s="6" t="n">
        <v>45955</v>
      </c>
      <c r="C2066" t="n">
        <v>16858</v>
      </c>
      <c r="D2066" t="inlineStr">
        <is>
          <t>Mumbai</t>
        </is>
      </c>
      <c r="E2066" t="inlineStr">
        <is>
          <t>West</t>
        </is>
      </c>
      <c r="F2066" t="inlineStr">
        <is>
          <t>Paid Social</t>
        </is>
      </c>
      <c r="G2066" t="inlineStr">
        <is>
          <t>Mobile App</t>
        </is>
      </c>
      <c r="H2066" t="inlineStr">
        <is>
          <t>UPI</t>
        </is>
      </c>
      <c r="I2066" t="inlineStr">
        <is>
          <t>Delivered</t>
        </is>
      </c>
      <c r="J2066" t="n">
        <v>129</v>
      </c>
      <c r="K2066" t="n">
        <v>1</v>
      </c>
      <c r="L2066" s="7" t="n">
        <v>576</v>
      </c>
      <c r="M2066" s="7" t="n">
        <v>86.40000000000001</v>
      </c>
    </row>
    <row r="2067">
      <c r="A2067" t="n">
        <v>510368</v>
      </c>
      <c r="B2067" s="6" t="n">
        <v>45955</v>
      </c>
      <c r="C2067" t="n">
        <v>15861</v>
      </c>
      <c r="D2067" t="inlineStr">
        <is>
          <t>Bengaluru</t>
        </is>
      </c>
      <c r="E2067" t="inlineStr">
        <is>
          <t>South</t>
        </is>
      </c>
      <c r="F2067" t="inlineStr">
        <is>
          <t>Organic Search</t>
        </is>
      </c>
      <c r="G2067" t="inlineStr">
        <is>
          <t>Mobile App</t>
        </is>
      </c>
      <c r="H2067" t="inlineStr">
        <is>
          <t>UPI</t>
        </is>
      </c>
      <c r="I2067" t="inlineStr">
        <is>
          <t>Delivered</t>
        </is>
      </c>
      <c r="J2067" t="n">
        <v>103</v>
      </c>
      <c r="K2067" t="n">
        <v>1</v>
      </c>
      <c r="L2067" s="7" t="n">
        <v>2624</v>
      </c>
      <c r="M2067" s="7" t="n">
        <v>131.2</v>
      </c>
    </row>
    <row r="2068">
      <c r="A2068" t="n">
        <v>510369</v>
      </c>
      <c r="B2068" s="6" t="n">
        <v>45955</v>
      </c>
      <c r="C2068" t="n">
        <v>16341</v>
      </c>
      <c r="D2068" t="inlineStr">
        <is>
          <t>Hyderabad</t>
        </is>
      </c>
      <c r="E2068" t="inlineStr">
        <is>
          <t>South</t>
        </is>
      </c>
      <c r="F2068" t="inlineStr">
        <is>
          <t>Paid Search</t>
        </is>
      </c>
      <c r="G2068" t="inlineStr">
        <is>
          <t>Mobile Web</t>
        </is>
      </c>
      <c r="H2068" t="inlineStr">
        <is>
          <t>UPI</t>
        </is>
      </c>
      <c r="I2068" t="inlineStr">
        <is>
          <t>Delivered</t>
        </is>
      </c>
      <c r="J2068" t="n">
        <v>134</v>
      </c>
      <c r="K2068" t="n">
        <v>1</v>
      </c>
      <c r="L2068" s="7" t="n">
        <v>209</v>
      </c>
      <c r="M2068" s="7" t="n">
        <v>20.9</v>
      </c>
    </row>
    <row r="2069">
      <c r="A2069" t="n">
        <v>510369</v>
      </c>
      <c r="B2069" s="6" t="n">
        <v>45955</v>
      </c>
      <c r="C2069" t="n">
        <v>16341</v>
      </c>
      <c r="D2069" t="inlineStr">
        <is>
          <t>Hyderabad</t>
        </is>
      </c>
      <c r="E2069" t="inlineStr">
        <is>
          <t>South</t>
        </is>
      </c>
      <c r="F2069" t="inlineStr">
        <is>
          <t>Paid Search</t>
        </is>
      </c>
      <c r="G2069" t="inlineStr">
        <is>
          <t>Mobile Web</t>
        </is>
      </c>
      <c r="H2069" t="inlineStr">
        <is>
          <t>UPI</t>
        </is>
      </c>
      <c r="I2069" t="inlineStr">
        <is>
          <t>Delivered</t>
        </is>
      </c>
      <c r="J2069" t="n">
        <v>129</v>
      </c>
      <c r="K2069" t="n">
        <v>1</v>
      </c>
      <c r="L2069" s="7" t="n">
        <v>576</v>
      </c>
      <c r="M2069" s="7" t="n">
        <v>57.6</v>
      </c>
    </row>
    <row r="2070">
      <c r="A2070" t="n">
        <v>510370</v>
      </c>
      <c r="B2070" s="6" t="n">
        <v>45955</v>
      </c>
      <c r="C2070" t="n">
        <v>15808</v>
      </c>
      <c r="D2070" t="inlineStr">
        <is>
          <t>Indore</t>
        </is>
      </c>
      <c r="E2070" t="inlineStr">
        <is>
          <t>West</t>
        </is>
      </c>
      <c r="F2070" t="inlineStr">
        <is>
          <t>Referral</t>
        </is>
      </c>
      <c r="G2070" t="inlineStr">
        <is>
          <t>Mobile App</t>
        </is>
      </c>
      <c r="H2070" t="inlineStr">
        <is>
          <t>Cash on Delivery</t>
        </is>
      </c>
      <c r="I2070" t="inlineStr">
        <is>
          <t>Delivered</t>
        </is>
      </c>
      <c r="J2070" t="n">
        <v>135</v>
      </c>
      <c r="K2070" t="n">
        <v>1</v>
      </c>
      <c r="L2070" s="7" t="n">
        <v>1574</v>
      </c>
      <c r="M2070" s="7" t="n">
        <v>157.4</v>
      </c>
    </row>
    <row r="2071">
      <c r="A2071" t="n">
        <v>510370</v>
      </c>
      <c r="B2071" s="6" t="n">
        <v>45955</v>
      </c>
      <c r="C2071" t="n">
        <v>15808</v>
      </c>
      <c r="D2071" t="inlineStr">
        <is>
          <t>Indore</t>
        </is>
      </c>
      <c r="E2071" t="inlineStr">
        <is>
          <t>West</t>
        </is>
      </c>
      <c r="F2071" t="inlineStr">
        <is>
          <t>Referral</t>
        </is>
      </c>
      <c r="G2071" t="inlineStr">
        <is>
          <t>Mobile App</t>
        </is>
      </c>
      <c r="H2071" t="inlineStr">
        <is>
          <t>Cash on Delivery</t>
        </is>
      </c>
      <c r="I2071" t="inlineStr">
        <is>
          <t>Delivered</t>
        </is>
      </c>
      <c r="J2071" t="n">
        <v>112</v>
      </c>
      <c r="K2071" t="n">
        <v>1</v>
      </c>
      <c r="L2071" s="7" t="n">
        <v>1574</v>
      </c>
      <c r="M2071" s="7" t="n">
        <v>157.4</v>
      </c>
    </row>
    <row r="2072">
      <c r="A2072" t="n">
        <v>510370</v>
      </c>
      <c r="B2072" s="6" t="n">
        <v>45955</v>
      </c>
      <c r="C2072" t="n">
        <v>15808</v>
      </c>
      <c r="D2072" t="inlineStr">
        <is>
          <t>Indore</t>
        </is>
      </c>
      <c r="E2072" t="inlineStr">
        <is>
          <t>West</t>
        </is>
      </c>
      <c r="F2072" t="inlineStr">
        <is>
          <t>Referral</t>
        </is>
      </c>
      <c r="G2072" t="inlineStr">
        <is>
          <t>Mobile App</t>
        </is>
      </c>
      <c r="H2072" t="inlineStr">
        <is>
          <t>Cash on Delivery</t>
        </is>
      </c>
      <c r="I2072" t="inlineStr">
        <is>
          <t>Delivered</t>
        </is>
      </c>
      <c r="J2072" t="n">
        <v>105</v>
      </c>
      <c r="K2072" t="n">
        <v>1</v>
      </c>
      <c r="L2072" s="7" t="n">
        <v>2414</v>
      </c>
      <c r="M2072" s="7" t="n">
        <v>241.4</v>
      </c>
    </row>
    <row r="2073">
      <c r="A2073" t="n">
        <v>510371</v>
      </c>
      <c r="B2073" s="6" t="n">
        <v>45955</v>
      </c>
      <c r="C2073" t="n">
        <v>17025</v>
      </c>
      <c r="D2073" t="inlineStr">
        <is>
          <t>Pune</t>
        </is>
      </c>
      <c r="E2073" t="inlineStr">
        <is>
          <t>West</t>
        </is>
      </c>
      <c r="F2073" t="inlineStr">
        <is>
          <t>Organic Search</t>
        </is>
      </c>
      <c r="G2073" t="inlineStr">
        <is>
          <t>Mobile App</t>
        </is>
      </c>
      <c r="H2073" t="inlineStr">
        <is>
          <t>Credit Card</t>
        </is>
      </c>
      <c r="I2073" t="inlineStr">
        <is>
          <t>Returned</t>
        </is>
      </c>
      <c r="J2073" t="n">
        <v>130</v>
      </c>
      <c r="K2073" t="n">
        <v>1</v>
      </c>
      <c r="L2073" s="7" t="n">
        <v>734</v>
      </c>
      <c r="M2073" s="7" t="n">
        <v>110.1</v>
      </c>
    </row>
    <row r="2074">
      <c r="A2074" t="n">
        <v>510371</v>
      </c>
      <c r="B2074" s="6" t="n">
        <v>45955</v>
      </c>
      <c r="C2074" t="n">
        <v>17025</v>
      </c>
      <c r="D2074" t="inlineStr">
        <is>
          <t>Pune</t>
        </is>
      </c>
      <c r="E2074" t="inlineStr">
        <is>
          <t>West</t>
        </is>
      </c>
      <c r="F2074" t="inlineStr">
        <is>
          <t>Organic Search</t>
        </is>
      </c>
      <c r="G2074" t="inlineStr">
        <is>
          <t>Mobile App</t>
        </is>
      </c>
      <c r="H2074" t="inlineStr">
        <is>
          <t>Credit Card</t>
        </is>
      </c>
      <c r="I2074" t="inlineStr">
        <is>
          <t>Returned</t>
        </is>
      </c>
      <c r="J2074" t="n">
        <v>120</v>
      </c>
      <c r="K2074" t="n">
        <v>1</v>
      </c>
      <c r="L2074" s="7" t="n">
        <v>734</v>
      </c>
      <c r="M2074" s="7" t="n">
        <v>110.1</v>
      </c>
    </row>
    <row r="2075">
      <c r="A2075" t="n">
        <v>510372</v>
      </c>
      <c r="B2075" s="6" t="n">
        <v>45955</v>
      </c>
      <c r="C2075" t="n">
        <v>15560</v>
      </c>
      <c r="D2075" t="inlineStr">
        <is>
          <t>Delhi</t>
        </is>
      </c>
      <c r="E2075" t="inlineStr">
        <is>
          <t>North</t>
        </is>
      </c>
      <c r="F2075" t="inlineStr">
        <is>
          <t>Paid Search</t>
        </is>
      </c>
      <c r="G2075" t="inlineStr">
        <is>
          <t>Mobile App</t>
        </is>
      </c>
      <c r="H2075" t="inlineStr">
        <is>
          <t>Credit Card</t>
        </is>
      </c>
      <c r="I2075" t="inlineStr">
        <is>
          <t>Delivered</t>
        </is>
      </c>
      <c r="J2075" t="n">
        <v>113</v>
      </c>
      <c r="K2075" t="n">
        <v>1</v>
      </c>
      <c r="L2075" s="7" t="n">
        <v>1364</v>
      </c>
      <c r="M2075" s="7" t="n">
        <v>136.4</v>
      </c>
    </row>
    <row r="2076">
      <c r="A2076" t="n">
        <v>510373</v>
      </c>
      <c r="B2076" s="6" t="n">
        <v>45955</v>
      </c>
      <c r="C2076" t="n">
        <v>16977</v>
      </c>
      <c r="D2076" t="inlineStr">
        <is>
          <t>Kochi</t>
        </is>
      </c>
      <c r="E2076" t="inlineStr">
        <is>
          <t>South</t>
        </is>
      </c>
      <c r="F2076" t="inlineStr">
        <is>
          <t>Paid Search</t>
        </is>
      </c>
      <c r="G2076" t="inlineStr">
        <is>
          <t>Desktop</t>
        </is>
      </c>
      <c r="H2076" t="inlineStr">
        <is>
          <t>Debit Card</t>
        </is>
      </c>
      <c r="I2076" t="inlineStr">
        <is>
          <t>Delivered</t>
        </is>
      </c>
      <c r="J2076" t="n">
        <v>105</v>
      </c>
      <c r="K2076" t="n">
        <v>1</v>
      </c>
      <c r="L2076" s="7" t="n">
        <v>2414</v>
      </c>
      <c r="M2076" s="7" t="n">
        <v>241.4</v>
      </c>
    </row>
    <row r="2077">
      <c r="A2077" t="n">
        <v>510374</v>
      </c>
      <c r="B2077" s="6" t="n">
        <v>45955</v>
      </c>
      <c r="C2077" t="n">
        <v>16994</v>
      </c>
      <c r="D2077" t="inlineStr">
        <is>
          <t>Bengaluru</t>
        </is>
      </c>
      <c r="E2077" t="inlineStr">
        <is>
          <t>South</t>
        </is>
      </c>
      <c r="F2077" t="inlineStr">
        <is>
          <t>Paid Search</t>
        </is>
      </c>
      <c r="G2077" t="inlineStr">
        <is>
          <t>Desktop</t>
        </is>
      </c>
      <c r="H2077" t="inlineStr">
        <is>
          <t>UPI</t>
        </is>
      </c>
      <c r="I2077" t="inlineStr">
        <is>
          <t>Delivered</t>
        </is>
      </c>
      <c r="J2077" t="n">
        <v>124</v>
      </c>
      <c r="K2077" t="n">
        <v>1</v>
      </c>
      <c r="L2077" s="7" t="n">
        <v>1154</v>
      </c>
      <c r="M2077" s="7" t="n">
        <v>115.4</v>
      </c>
    </row>
    <row r="2078">
      <c r="A2078" t="n">
        <v>510374</v>
      </c>
      <c r="B2078" s="6" t="n">
        <v>45955</v>
      </c>
      <c r="C2078" t="n">
        <v>16994</v>
      </c>
      <c r="D2078" t="inlineStr">
        <is>
          <t>Bengaluru</t>
        </is>
      </c>
      <c r="E2078" t="inlineStr">
        <is>
          <t>South</t>
        </is>
      </c>
      <c r="F2078" t="inlineStr">
        <is>
          <t>Paid Search</t>
        </is>
      </c>
      <c r="G2078" t="inlineStr">
        <is>
          <t>Desktop</t>
        </is>
      </c>
      <c r="H2078" t="inlineStr">
        <is>
          <t>UPI</t>
        </is>
      </c>
      <c r="I2078" t="inlineStr">
        <is>
          <t>Delivered</t>
        </is>
      </c>
      <c r="J2078" t="n">
        <v>111</v>
      </c>
      <c r="K2078" t="n">
        <v>1</v>
      </c>
      <c r="L2078" s="7" t="n">
        <v>524</v>
      </c>
      <c r="M2078" s="7" t="n">
        <v>52.4</v>
      </c>
    </row>
    <row r="2079">
      <c r="A2079" t="n">
        <v>510375</v>
      </c>
      <c r="B2079" s="6" t="n">
        <v>45955</v>
      </c>
      <c r="C2079" t="n">
        <v>16948</v>
      </c>
      <c r="D2079" t="inlineStr">
        <is>
          <t>Chennai</t>
        </is>
      </c>
      <c r="E2079" t="inlineStr">
        <is>
          <t>South</t>
        </is>
      </c>
      <c r="F2079" t="inlineStr">
        <is>
          <t>Paid Search</t>
        </is>
      </c>
      <c r="G2079" t="inlineStr">
        <is>
          <t>Mobile Web</t>
        </is>
      </c>
      <c r="H2079" t="inlineStr">
        <is>
          <t>Net Banking</t>
        </is>
      </c>
      <c r="I2079" t="inlineStr">
        <is>
          <t>Delivered</t>
        </is>
      </c>
      <c r="J2079" t="n">
        <v>103</v>
      </c>
      <c r="K2079" t="n">
        <v>1</v>
      </c>
      <c r="L2079" s="7" t="n">
        <v>2624</v>
      </c>
      <c r="M2079" s="7" t="n">
        <v>393.6</v>
      </c>
    </row>
    <row r="2080">
      <c r="A2080" t="n">
        <v>510376</v>
      </c>
      <c r="B2080" s="6" t="n">
        <v>45955</v>
      </c>
      <c r="C2080" t="n">
        <v>15947</v>
      </c>
      <c r="D2080" t="inlineStr">
        <is>
          <t>Bengaluru</t>
        </is>
      </c>
      <c r="E2080" t="inlineStr">
        <is>
          <t>South</t>
        </is>
      </c>
      <c r="F2080" t="inlineStr">
        <is>
          <t>Organic Search</t>
        </is>
      </c>
      <c r="G2080" t="inlineStr">
        <is>
          <t>Mobile App</t>
        </is>
      </c>
      <c r="H2080" t="inlineStr">
        <is>
          <t>Cash on Delivery</t>
        </is>
      </c>
      <c r="I2080" t="inlineStr">
        <is>
          <t>Returned</t>
        </is>
      </c>
      <c r="J2080" t="n">
        <v>118</v>
      </c>
      <c r="K2080" t="n">
        <v>1</v>
      </c>
      <c r="L2080" s="7" t="n">
        <v>944</v>
      </c>
      <c r="M2080" s="7" t="n">
        <v>94.40000000000001</v>
      </c>
    </row>
    <row r="2081">
      <c r="A2081" t="n">
        <v>510377</v>
      </c>
      <c r="B2081" s="6" t="n">
        <v>45955</v>
      </c>
      <c r="C2081" t="n">
        <v>16863</v>
      </c>
      <c r="D2081" t="inlineStr">
        <is>
          <t>Jaipur</t>
        </is>
      </c>
      <c r="E2081" t="inlineStr">
        <is>
          <t>North</t>
        </is>
      </c>
      <c r="F2081" t="inlineStr">
        <is>
          <t>Paid Search</t>
        </is>
      </c>
      <c r="G2081" t="inlineStr">
        <is>
          <t>Desktop</t>
        </is>
      </c>
      <c r="H2081" t="inlineStr">
        <is>
          <t>Debit Card</t>
        </is>
      </c>
      <c r="I2081" t="inlineStr">
        <is>
          <t>Delivered</t>
        </is>
      </c>
      <c r="J2081" t="n">
        <v>105</v>
      </c>
      <c r="K2081" t="n">
        <v>1</v>
      </c>
      <c r="L2081" s="7" t="n">
        <v>2414</v>
      </c>
      <c r="M2081" s="7" t="n">
        <v>241.4</v>
      </c>
    </row>
    <row r="2082">
      <c r="A2082" t="n">
        <v>510377</v>
      </c>
      <c r="B2082" s="6" t="n">
        <v>45955</v>
      </c>
      <c r="C2082" t="n">
        <v>16863</v>
      </c>
      <c r="D2082" t="inlineStr">
        <is>
          <t>Jaipur</t>
        </is>
      </c>
      <c r="E2082" t="inlineStr">
        <is>
          <t>North</t>
        </is>
      </c>
      <c r="F2082" t="inlineStr">
        <is>
          <t>Paid Search</t>
        </is>
      </c>
      <c r="G2082" t="inlineStr">
        <is>
          <t>Desktop</t>
        </is>
      </c>
      <c r="H2082" t="inlineStr">
        <is>
          <t>Debit Card</t>
        </is>
      </c>
      <c r="I2082" t="inlineStr">
        <is>
          <t>Delivered</t>
        </is>
      </c>
      <c r="J2082" t="n">
        <v>122</v>
      </c>
      <c r="K2082" t="n">
        <v>1</v>
      </c>
      <c r="L2082" s="7" t="n">
        <v>1994</v>
      </c>
      <c r="M2082" s="7" t="n">
        <v>199.4</v>
      </c>
    </row>
    <row r="2083">
      <c r="A2083" t="n">
        <v>510378</v>
      </c>
      <c r="B2083" s="6" t="n">
        <v>45955</v>
      </c>
      <c r="C2083" t="n">
        <v>16976</v>
      </c>
      <c r="D2083" t="inlineStr">
        <is>
          <t>Bengaluru</t>
        </is>
      </c>
      <c r="E2083" t="inlineStr">
        <is>
          <t>South</t>
        </is>
      </c>
      <c r="F2083" t="inlineStr">
        <is>
          <t>Referral</t>
        </is>
      </c>
      <c r="G2083" t="inlineStr">
        <is>
          <t>Mobile App</t>
        </is>
      </c>
      <c r="H2083" t="inlineStr">
        <is>
          <t>UPI</t>
        </is>
      </c>
      <c r="I2083" t="inlineStr">
        <is>
          <t>Delivered</t>
        </is>
      </c>
      <c r="J2083" t="n">
        <v>140</v>
      </c>
      <c r="K2083" t="n">
        <v>1</v>
      </c>
      <c r="L2083" s="7" t="n">
        <v>629</v>
      </c>
      <c r="M2083" s="7" t="n">
        <v>94.34999999999999</v>
      </c>
    </row>
    <row r="2084">
      <c r="A2084" t="n">
        <v>510379</v>
      </c>
      <c r="B2084" s="6" t="n">
        <v>45955</v>
      </c>
      <c r="C2084" t="n">
        <v>17030</v>
      </c>
      <c r="D2084" t="inlineStr">
        <is>
          <t>Delhi</t>
        </is>
      </c>
      <c r="E2084" t="inlineStr">
        <is>
          <t>North</t>
        </is>
      </c>
      <c r="F2084" t="inlineStr">
        <is>
          <t>Organic Search</t>
        </is>
      </c>
      <c r="G2084" t="inlineStr">
        <is>
          <t>Mobile App</t>
        </is>
      </c>
      <c r="H2084" t="inlineStr">
        <is>
          <t>Cash on Delivery</t>
        </is>
      </c>
      <c r="I2084" t="inlineStr">
        <is>
          <t>Delivered</t>
        </is>
      </c>
      <c r="J2084" t="n">
        <v>124</v>
      </c>
      <c r="K2084" t="n">
        <v>2</v>
      </c>
      <c r="L2084" s="7" t="n">
        <v>1154</v>
      </c>
      <c r="M2084" s="7" t="n">
        <v>230.8</v>
      </c>
    </row>
    <row r="2085">
      <c r="A2085" t="n">
        <v>510379</v>
      </c>
      <c r="B2085" s="6" t="n">
        <v>45955</v>
      </c>
      <c r="C2085" t="n">
        <v>17030</v>
      </c>
      <c r="D2085" t="inlineStr">
        <is>
          <t>Delhi</t>
        </is>
      </c>
      <c r="E2085" t="inlineStr">
        <is>
          <t>North</t>
        </is>
      </c>
      <c r="F2085" t="inlineStr">
        <is>
          <t>Organic Search</t>
        </is>
      </c>
      <c r="G2085" t="inlineStr">
        <is>
          <t>Mobile App</t>
        </is>
      </c>
      <c r="H2085" t="inlineStr">
        <is>
          <t>Cash on Delivery</t>
        </is>
      </c>
      <c r="I2085" t="inlineStr">
        <is>
          <t>Delivered</t>
        </is>
      </c>
      <c r="J2085" t="n">
        <v>129</v>
      </c>
      <c r="K2085" t="n">
        <v>1</v>
      </c>
      <c r="L2085" s="7" t="n">
        <v>576</v>
      </c>
      <c r="M2085" s="7" t="n">
        <v>57.6</v>
      </c>
    </row>
    <row r="2086">
      <c r="A2086" t="n">
        <v>510380</v>
      </c>
      <c r="B2086" s="6" t="n">
        <v>45955</v>
      </c>
      <c r="C2086" t="n">
        <v>13685</v>
      </c>
      <c r="D2086" t="inlineStr">
        <is>
          <t>Chandigarh</t>
        </is>
      </c>
      <c r="E2086" t="inlineStr">
        <is>
          <t>North</t>
        </is>
      </c>
      <c r="F2086" t="inlineStr">
        <is>
          <t>Organic Search</t>
        </is>
      </c>
      <c r="G2086" t="inlineStr">
        <is>
          <t>Mobile App</t>
        </is>
      </c>
      <c r="H2086" t="inlineStr">
        <is>
          <t>UPI</t>
        </is>
      </c>
      <c r="I2086" t="inlineStr">
        <is>
          <t>Delivered</t>
        </is>
      </c>
      <c r="J2086" t="n">
        <v>120</v>
      </c>
      <c r="K2086" t="n">
        <v>1</v>
      </c>
      <c r="L2086" s="7" t="n">
        <v>734</v>
      </c>
      <c r="M2086" s="7" t="n">
        <v>73.40000000000001</v>
      </c>
    </row>
    <row r="2087">
      <c r="A2087" t="n">
        <v>510381</v>
      </c>
      <c r="B2087" s="6" t="n">
        <v>45955</v>
      </c>
      <c r="C2087" t="n">
        <v>13263</v>
      </c>
      <c r="D2087" t="inlineStr">
        <is>
          <t>Bengaluru</t>
        </is>
      </c>
      <c r="E2087" t="inlineStr">
        <is>
          <t>South</t>
        </is>
      </c>
      <c r="F2087" t="inlineStr">
        <is>
          <t>Organic Search</t>
        </is>
      </c>
      <c r="G2087" t="inlineStr">
        <is>
          <t>Mobile App</t>
        </is>
      </c>
      <c r="H2087" t="inlineStr">
        <is>
          <t>UPI</t>
        </is>
      </c>
      <c r="I2087" t="inlineStr">
        <is>
          <t>Delivered</t>
        </is>
      </c>
      <c r="J2087" t="n">
        <v>110</v>
      </c>
      <c r="K2087" t="n">
        <v>1</v>
      </c>
      <c r="L2087" s="7" t="n">
        <v>839</v>
      </c>
      <c r="M2087" s="7" t="n">
        <v>0</v>
      </c>
    </row>
    <row r="2088">
      <c r="A2088" t="n">
        <v>510381</v>
      </c>
      <c r="B2088" s="6" t="n">
        <v>45955</v>
      </c>
      <c r="C2088" t="n">
        <v>13263</v>
      </c>
      <c r="D2088" t="inlineStr">
        <is>
          <t>Bengaluru</t>
        </is>
      </c>
      <c r="E2088" t="inlineStr">
        <is>
          <t>South</t>
        </is>
      </c>
      <c r="F2088" t="inlineStr">
        <is>
          <t>Organic Search</t>
        </is>
      </c>
      <c r="G2088" t="inlineStr">
        <is>
          <t>Mobile App</t>
        </is>
      </c>
      <c r="H2088" t="inlineStr">
        <is>
          <t>UPI</t>
        </is>
      </c>
      <c r="I2088" t="inlineStr">
        <is>
          <t>Delivered</t>
        </is>
      </c>
      <c r="J2088" t="n">
        <v>129</v>
      </c>
      <c r="K2088" t="n">
        <v>1</v>
      </c>
      <c r="L2088" s="7" t="n">
        <v>576</v>
      </c>
      <c r="M2088" s="7" t="n">
        <v>0</v>
      </c>
    </row>
    <row r="2089">
      <c r="A2089" t="n">
        <v>510382</v>
      </c>
      <c r="B2089" s="6" t="n">
        <v>45955</v>
      </c>
      <c r="C2089" t="n">
        <v>13378</v>
      </c>
      <c r="D2089" t="inlineStr">
        <is>
          <t>Bengaluru</t>
        </is>
      </c>
      <c r="E2089" t="inlineStr">
        <is>
          <t>South</t>
        </is>
      </c>
      <c r="F2089" t="inlineStr">
        <is>
          <t>Referral</t>
        </is>
      </c>
      <c r="G2089" t="inlineStr">
        <is>
          <t>Mobile App</t>
        </is>
      </c>
      <c r="H2089" t="inlineStr">
        <is>
          <t>UPI</t>
        </is>
      </c>
      <c r="I2089" t="inlineStr">
        <is>
          <t>Delivered</t>
        </is>
      </c>
      <c r="J2089" t="n">
        <v>143</v>
      </c>
      <c r="K2089" t="n">
        <v>1</v>
      </c>
      <c r="L2089" s="7" t="n">
        <v>839</v>
      </c>
      <c r="M2089" s="7" t="n">
        <v>0</v>
      </c>
    </row>
    <row r="2090">
      <c r="A2090" t="n">
        <v>510382</v>
      </c>
      <c r="B2090" s="6" t="n">
        <v>45955</v>
      </c>
      <c r="C2090" t="n">
        <v>13378</v>
      </c>
      <c r="D2090" t="inlineStr">
        <is>
          <t>Bengaluru</t>
        </is>
      </c>
      <c r="E2090" t="inlineStr">
        <is>
          <t>South</t>
        </is>
      </c>
      <c r="F2090" t="inlineStr">
        <is>
          <t>Referral</t>
        </is>
      </c>
      <c r="G2090" t="inlineStr">
        <is>
          <t>Mobile App</t>
        </is>
      </c>
      <c r="H2090" t="inlineStr">
        <is>
          <t>UPI</t>
        </is>
      </c>
      <c r="I2090" t="inlineStr">
        <is>
          <t>Delivered</t>
        </is>
      </c>
      <c r="J2090" t="n">
        <v>129</v>
      </c>
      <c r="K2090" t="n">
        <v>1</v>
      </c>
      <c r="L2090" s="7" t="n">
        <v>576</v>
      </c>
      <c r="M2090" s="7" t="n">
        <v>0</v>
      </c>
    </row>
    <row r="2091">
      <c r="A2091" t="n">
        <v>510383</v>
      </c>
      <c r="B2091" s="6" t="n">
        <v>45955</v>
      </c>
      <c r="C2091" t="n">
        <v>17016</v>
      </c>
      <c r="D2091" t="inlineStr">
        <is>
          <t>Hyderabad</t>
        </is>
      </c>
      <c r="E2091" t="inlineStr">
        <is>
          <t>South</t>
        </is>
      </c>
      <c r="F2091" t="inlineStr">
        <is>
          <t>Referral</t>
        </is>
      </c>
      <c r="G2091" t="inlineStr">
        <is>
          <t>Mobile App</t>
        </is>
      </c>
      <c r="H2091" t="inlineStr">
        <is>
          <t>Net Banking</t>
        </is>
      </c>
      <c r="I2091" t="inlineStr">
        <is>
          <t>Delivered</t>
        </is>
      </c>
      <c r="J2091" t="n">
        <v>144</v>
      </c>
      <c r="K2091" t="n">
        <v>3</v>
      </c>
      <c r="L2091" s="7" t="n">
        <v>3149</v>
      </c>
      <c r="M2091" s="7" t="n">
        <v>0</v>
      </c>
    </row>
    <row r="2092">
      <c r="A2092" t="n">
        <v>510384</v>
      </c>
      <c r="B2092" s="6" t="n">
        <v>45955</v>
      </c>
      <c r="C2092" t="n">
        <v>16084</v>
      </c>
      <c r="D2092" t="inlineStr">
        <is>
          <t>Hyderabad</t>
        </is>
      </c>
      <c r="E2092" t="inlineStr">
        <is>
          <t>South</t>
        </is>
      </c>
      <c r="F2092" t="inlineStr">
        <is>
          <t>Referral</t>
        </is>
      </c>
      <c r="G2092" t="inlineStr">
        <is>
          <t>Mobile App</t>
        </is>
      </c>
      <c r="H2092" t="inlineStr">
        <is>
          <t>Debit Card</t>
        </is>
      </c>
      <c r="I2092" t="inlineStr">
        <is>
          <t>Delivered</t>
        </is>
      </c>
      <c r="J2092" t="n">
        <v>144</v>
      </c>
      <c r="K2092" t="n">
        <v>2</v>
      </c>
      <c r="L2092" s="7" t="n">
        <v>3149</v>
      </c>
      <c r="M2092" s="7" t="n">
        <v>629.8</v>
      </c>
    </row>
    <row r="2093">
      <c r="A2093" t="n">
        <v>510384</v>
      </c>
      <c r="B2093" s="6" t="n">
        <v>45955</v>
      </c>
      <c r="C2093" t="n">
        <v>16084</v>
      </c>
      <c r="D2093" t="inlineStr">
        <is>
          <t>Hyderabad</t>
        </is>
      </c>
      <c r="E2093" t="inlineStr">
        <is>
          <t>South</t>
        </is>
      </c>
      <c r="F2093" t="inlineStr">
        <is>
          <t>Referral</t>
        </is>
      </c>
      <c r="G2093" t="inlineStr">
        <is>
          <t>Mobile App</t>
        </is>
      </c>
      <c r="H2093" t="inlineStr">
        <is>
          <t>Debit Card</t>
        </is>
      </c>
      <c r="I2093" t="inlineStr">
        <is>
          <t>Delivered</t>
        </is>
      </c>
      <c r="J2093" t="n">
        <v>112</v>
      </c>
      <c r="K2093" t="n">
        <v>1</v>
      </c>
      <c r="L2093" s="7" t="n">
        <v>1574</v>
      </c>
      <c r="M2093" s="7" t="n">
        <v>157.4</v>
      </c>
    </row>
    <row r="2094">
      <c r="A2094" t="n">
        <v>510384</v>
      </c>
      <c r="B2094" s="6" t="n">
        <v>45955</v>
      </c>
      <c r="C2094" t="n">
        <v>16084</v>
      </c>
      <c r="D2094" t="inlineStr">
        <is>
          <t>Hyderabad</t>
        </is>
      </c>
      <c r="E2094" t="inlineStr">
        <is>
          <t>South</t>
        </is>
      </c>
      <c r="F2094" t="inlineStr">
        <is>
          <t>Referral</t>
        </is>
      </c>
      <c r="G2094" t="inlineStr">
        <is>
          <t>Mobile App</t>
        </is>
      </c>
      <c r="H2094" t="inlineStr">
        <is>
          <t>Debit Card</t>
        </is>
      </c>
      <c r="I2094" t="inlineStr">
        <is>
          <t>Delivered</t>
        </is>
      </c>
      <c r="J2094" t="n">
        <v>113</v>
      </c>
      <c r="K2094" t="n">
        <v>1</v>
      </c>
      <c r="L2094" s="7" t="n">
        <v>1364</v>
      </c>
      <c r="M2094" s="7" t="n">
        <v>136.4</v>
      </c>
    </row>
    <row r="2095">
      <c r="A2095" t="n">
        <v>510384</v>
      </c>
      <c r="B2095" s="6" t="n">
        <v>45955</v>
      </c>
      <c r="C2095" t="n">
        <v>16084</v>
      </c>
      <c r="D2095" t="inlineStr">
        <is>
          <t>Hyderabad</t>
        </is>
      </c>
      <c r="E2095" t="inlineStr">
        <is>
          <t>South</t>
        </is>
      </c>
      <c r="F2095" t="inlineStr">
        <is>
          <t>Referral</t>
        </is>
      </c>
      <c r="G2095" t="inlineStr">
        <is>
          <t>Mobile App</t>
        </is>
      </c>
      <c r="H2095" t="inlineStr">
        <is>
          <t>Debit Card</t>
        </is>
      </c>
      <c r="I2095" t="inlineStr">
        <is>
          <t>Delivered</t>
        </is>
      </c>
      <c r="J2095" t="n">
        <v>120</v>
      </c>
      <c r="K2095" t="n">
        <v>1</v>
      </c>
      <c r="L2095" s="7" t="n">
        <v>734</v>
      </c>
      <c r="M2095" s="7" t="n">
        <v>73.40000000000001</v>
      </c>
    </row>
    <row r="2096">
      <c r="A2096" t="n">
        <v>510384</v>
      </c>
      <c r="B2096" s="6" t="n">
        <v>45955</v>
      </c>
      <c r="C2096" t="n">
        <v>16084</v>
      </c>
      <c r="D2096" t="inlineStr">
        <is>
          <t>Hyderabad</t>
        </is>
      </c>
      <c r="E2096" t="inlineStr">
        <is>
          <t>South</t>
        </is>
      </c>
      <c r="F2096" t="inlineStr">
        <is>
          <t>Referral</t>
        </is>
      </c>
      <c r="G2096" t="inlineStr">
        <is>
          <t>Mobile App</t>
        </is>
      </c>
      <c r="H2096" t="inlineStr">
        <is>
          <t>Debit Card</t>
        </is>
      </c>
      <c r="I2096" t="inlineStr">
        <is>
          <t>Delivered</t>
        </is>
      </c>
      <c r="J2096" t="n">
        <v>129</v>
      </c>
      <c r="K2096" t="n">
        <v>1</v>
      </c>
      <c r="L2096" s="7" t="n">
        <v>576</v>
      </c>
      <c r="M2096" s="7" t="n">
        <v>57.6</v>
      </c>
    </row>
    <row r="2097">
      <c r="A2097" t="n">
        <v>510385</v>
      </c>
      <c r="B2097" s="6" t="n">
        <v>45956</v>
      </c>
      <c r="C2097" t="n">
        <v>16807</v>
      </c>
      <c r="D2097" t="inlineStr">
        <is>
          <t>Mumbai</t>
        </is>
      </c>
      <c r="E2097" t="inlineStr">
        <is>
          <t>West</t>
        </is>
      </c>
      <c r="F2097" t="inlineStr">
        <is>
          <t>Paid Search</t>
        </is>
      </c>
      <c r="G2097" t="inlineStr">
        <is>
          <t>Mobile Web</t>
        </is>
      </c>
      <c r="H2097" t="inlineStr">
        <is>
          <t>UPI</t>
        </is>
      </c>
      <c r="I2097" t="inlineStr">
        <is>
          <t>Returned</t>
        </is>
      </c>
      <c r="J2097" t="n">
        <v>104</v>
      </c>
      <c r="K2097" t="n">
        <v>1</v>
      </c>
      <c r="L2097" s="7" t="n">
        <v>5249</v>
      </c>
      <c r="M2097" s="7" t="n">
        <v>0</v>
      </c>
    </row>
    <row r="2098">
      <c r="A2098" t="n">
        <v>510385</v>
      </c>
      <c r="B2098" s="6" t="n">
        <v>45956</v>
      </c>
      <c r="C2098" t="n">
        <v>16807</v>
      </c>
      <c r="D2098" t="inlineStr">
        <is>
          <t>Mumbai</t>
        </is>
      </c>
      <c r="E2098" t="inlineStr">
        <is>
          <t>West</t>
        </is>
      </c>
      <c r="F2098" t="inlineStr">
        <is>
          <t>Paid Search</t>
        </is>
      </c>
      <c r="G2098" t="inlineStr">
        <is>
          <t>Mobile Web</t>
        </is>
      </c>
      <c r="H2098" t="inlineStr">
        <is>
          <t>UPI</t>
        </is>
      </c>
      <c r="I2098" t="inlineStr">
        <is>
          <t>Returned</t>
        </is>
      </c>
      <c r="J2098" t="n">
        <v>139</v>
      </c>
      <c r="K2098" t="n">
        <v>1</v>
      </c>
      <c r="L2098" s="7" t="n">
        <v>366</v>
      </c>
      <c r="M2098" s="7" t="n">
        <v>0</v>
      </c>
    </row>
    <row r="2099">
      <c r="A2099" t="n">
        <v>510385</v>
      </c>
      <c r="B2099" s="6" t="n">
        <v>45956</v>
      </c>
      <c r="C2099" t="n">
        <v>16807</v>
      </c>
      <c r="D2099" t="inlineStr">
        <is>
          <t>Mumbai</t>
        </is>
      </c>
      <c r="E2099" t="inlineStr">
        <is>
          <t>West</t>
        </is>
      </c>
      <c r="F2099" t="inlineStr">
        <is>
          <t>Paid Search</t>
        </is>
      </c>
      <c r="G2099" t="inlineStr">
        <is>
          <t>Mobile Web</t>
        </is>
      </c>
      <c r="H2099" t="inlineStr">
        <is>
          <t>UPI</t>
        </is>
      </c>
      <c r="I2099" t="inlineStr">
        <is>
          <t>Returned</t>
        </is>
      </c>
      <c r="J2099" t="n">
        <v>107</v>
      </c>
      <c r="K2099" t="n">
        <v>1</v>
      </c>
      <c r="L2099" s="7" t="n">
        <v>1259</v>
      </c>
      <c r="M2099" s="7" t="n">
        <v>0</v>
      </c>
    </row>
    <row r="2100">
      <c r="A2100" t="n">
        <v>510386</v>
      </c>
      <c r="B2100" s="6" t="n">
        <v>45956</v>
      </c>
      <c r="C2100" t="n">
        <v>17010</v>
      </c>
      <c r="D2100" t="inlineStr">
        <is>
          <t>Chandigarh</t>
        </is>
      </c>
      <c r="E2100" t="inlineStr">
        <is>
          <t>North</t>
        </is>
      </c>
      <c r="F2100" t="inlineStr">
        <is>
          <t>Paid Search</t>
        </is>
      </c>
      <c r="G2100" t="inlineStr">
        <is>
          <t>Mobile Web</t>
        </is>
      </c>
      <c r="H2100" t="inlineStr">
        <is>
          <t>Cash on Delivery</t>
        </is>
      </c>
      <c r="I2100" t="inlineStr">
        <is>
          <t>Delivered</t>
        </is>
      </c>
      <c r="J2100" t="n">
        <v>126</v>
      </c>
      <c r="K2100" t="n">
        <v>2</v>
      </c>
      <c r="L2100" s="7" t="n">
        <v>471</v>
      </c>
      <c r="M2100" s="7" t="n">
        <v>0</v>
      </c>
    </row>
    <row r="2101">
      <c r="A2101" t="n">
        <v>510386</v>
      </c>
      <c r="B2101" s="6" t="n">
        <v>45956</v>
      </c>
      <c r="C2101" t="n">
        <v>17010</v>
      </c>
      <c r="D2101" t="inlineStr">
        <is>
          <t>Chandigarh</t>
        </is>
      </c>
      <c r="E2101" t="inlineStr">
        <is>
          <t>North</t>
        </is>
      </c>
      <c r="F2101" t="inlineStr">
        <is>
          <t>Paid Search</t>
        </is>
      </c>
      <c r="G2101" t="inlineStr">
        <is>
          <t>Mobile Web</t>
        </is>
      </c>
      <c r="H2101" t="inlineStr">
        <is>
          <t>Cash on Delivery</t>
        </is>
      </c>
      <c r="I2101" t="inlineStr">
        <is>
          <t>Delivered</t>
        </is>
      </c>
      <c r="J2101" t="n">
        <v>110</v>
      </c>
      <c r="K2101" t="n">
        <v>1</v>
      </c>
      <c r="L2101" s="7" t="n">
        <v>839</v>
      </c>
      <c r="M2101" s="7" t="n">
        <v>0</v>
      </c>
    </row>
    <row r="2102">
      <c r="A2102" t="n">
        <v>510387</v>
      </c>
      <c r="B2102" s="6" t="n">
        <v>45956</v>
      </c>
      <c r="C2102" t="n">
        <v>16954</v>
      </c>
      <c r="D2102" t="inlineStr">
        <is>
          <t>Hyderabad</t>
        </is>
      </c>
      <c r="E2102" t="inlineStr">
        <is>
          <t>South</t>
        </is>
      </c>
      <c r="F2102" t="inlineStr">
        <is>
          <t>Affiliate</t>
        </is>
      </c>
      <c r="G2102" t="inlineStr">
        <is>
          <t>Mobile App</t>
        </is>
      </c>
      <c r="H2102" t="inlineStr">
        <is>
          <t>UPI</t>
        </is>
      </c>
      <c r="I2102" t="inlineStr">
        <is>
          <t>Delivered</t>
        </is>
      </c>
      <c r="J2102" t="n">
        <v>142</v>
      </c>
      <c r="K2102" t="n">
        <v>1</v>
      </c>
      <c r="L2102" s="7" t="n">
        <v>839</v>
      </c>
      <c r="M2102" s="7" t="n">
        <v>125.85</v>
      </c>
    </row>
    <row r="2103">
      <c r="A2103" t="n">
        <v>510387</v>
      </c>
      <c r="B2103" s="6" t="n">
        <v>45956</v>
      </c>
      <c r="C2103" t="n">
        <v>16954</v>
      </c>
      <c r="D2103" t="inlineStr">
        <is>
          <t>Hyderabad</t>
        </is>
      </c>
      <c r="E2103" t="inlineStr">
        <is>
          <t>South</t>
        </is>
      </c>
      <c r="F2103" t="inlineStr">
        <is>
          <t>Affiliate</t>
        </is>
      </c>
      <c r="G2103" t="inlineStr">
        <is>
          <t>Mobile App</t>
        </is>
      </c>
      <c r="H2103" t="inlineStr">
        <is>
          <t>UPI</t>
        </is>
      </c>
      <c r="I2103" t="inlineStr">
        <is>
          <t>Delivered</t>
        </is>
      </c>
      <c r="J2103" t="n">
        <v>132</v>
      </c>
      <c r="K2103" t="n">
        <v>2</v>
      </c>
      <c r="L2103" s="7" t="n">
        <v>471</v>
      </c>
      <c r="M2103" s="7" t="n">
        <v>141.3</v>
      </c>
    </row>
    <row r="2104">
      <c r="A2104" t="n">
        <v>510388</v>
      </c>
      <c r="B2104" s="6" t="n">
        <v>45956</v>
      </c>
      <c r="C2104" t="n">
        <v>17024</v>
      </c>
      <c r="D2104" t="inlineStr">
        <is>
          <t>Delhi</t>
        </is>
      </c>
      <c r="E2104" t="inlineStr">
        <is>
          <t>North</t>
        </is>
      </c>
      <c r="F2104" t="inlineStr">
        <is>
          <t>Organic Search</t>
        </is>
      </c>
      <c r="G2104" t="inlineStr">
        <is>
          <t>Mobile Web</t>
        </is>
      </c>
      <c r="H2104" t="inlineStr">
        <is>
          <t>UPI</t>
        </is>
      </c>
      <c r="I2104" t="inlineStr">
        <is>
          <t>Delivered</t>
        </is>
      </c>
      <c r="J2104" t="n">
        <v>128</v>
      </c>
      <c r="K2104" t="n">
        <v>1</v>
      </c>
      <c r="L2104" s="7" t="n">
        <v>1049</v>
      </c>
      <c r="M2104" s="7" t="n">
        <v>157.35</v>
      </c>
    </row>
    <row r="2105">
      <c r="A2105" t="n">
        <v>510389</v>
      </c>
      <c r="B2105" s="6" t="n">
        <v>45956</v>
      </c>
      <c r="C2105" t="n">
        <v>16949</v>
      </c>
      <c r="D2105" t="inlineStr">
        <is>
          <t>Bengaluru</t>
        </is>
      </c>
      <c r="E2105" t="inlineStr">
        <is>
          <t>South</t>
        </is>
      </c>
      <c r="F2105" t="inlineStr">
        <is>
          <t>Organic Search</t>
        </is>
      </c>
      <c r="G2105" t="inlineStr">
        <is>
          <t>Mobile Web</t>
        </is>
      </c>
      <c r="H2105" t="inlineStr">
        <is>
          <t>Net Banking</t>
        </is>
      </c>
      <c r="I2105" t="inlineStr">
        <is>
          <t>Delivered</t>
        </is>
      </c>
      <c r="J2105" t="n">
        <v>111</v>
      </c>
      <c r="K2105" t="n">
        <v>1</v>
      </c>
      <c r="L2105" s="7" t="n">
        <v>524</v>
      </c>
      <c r="M2105" s="7" t="n">
        <v>0</v>
      </c>
    </row>
    <row r="2106">
      <c r="A2106" t="n">
        <v>510389</v>
      </c>
      <c r="B2106" s="6" t="n">
        <v>45956</v>
      </c>
      <c r="C2106" t="n">
        <v>16949</v>
      </c>
      <c r="D2106" t="inlineStr">
        <is>
          <t>Bengaluru</t>
        </is>
      </c>
      <c r="E2106" t="inlineStr">
        <is>
          <t>South</t>
        </is>
      </c>
      <c r="F2106" t="inlineStr">
        <is>
          <t>Organic Search</t>
        </is>
      </c>
      <c r="G2106" t="inlineStr">
        <is>
          <t>Mobile Web</t>
        </is>
      </c>
      <c r="H2106" t="inlineStr">
        <is>
          <t>Net Banking</t>
        </is>
      </c>
      <c r="I2106" t="inlineStr">
        <is>
          <t>Delivered</t>
        </is>
      </c>
      <c r="J2106" t="n">
        <v>115</v>
      </c>
      <c r="K2106" t="n">
        <v>1</v>
      </c>
      <c r="L2106" s="7" t="n">
        <v>4199</v>
      </c>
      <c r="M2106" s="7" t="n">
        <v>0</v>
      </c>
    </row>
    <row r="2107">
      <c r="A2107" t="n">
        <v>510390</v>
      </c>
      <c r="B2107" s="6" t="n">
        <v>45956</v>
      </c>
      <c r="C2107" t="n">
        <v>16776</v>
      </c>
      <c r="D2107" t="inlineStr">
        <is>
          <t>Ahmedabad</t>
        </is>
      </c>
      <c r="E2107" t="inlineStr">
        <is>
          <t>West</t>
        </is>
      </c>
      <c r="F2107" t="inlineStr">
        <is>
          <t>Paid Social</t>
        </is>
      </c>
      <c r="G2107" t="inlineStr">
        <is>
          <t>Mobile Web</t>
        </is>
      </c>
      <c r="H2107" t="inlineStr">
        <is>
          <t>UPI</t>
        </is>
      </c>
      <c r="I2107" t="inlineStr">
        <is>
          <t>Delivered</t>
        </is>
      </c>
      <c r="J2107" t="n">
        <v>135</v>
      </c>
      <c r="K2107" t="n">
        <v>1</v>
      </c>
      <c r="L2107" s="7" t="n">
        <v>1574</v>
      </c>
      <c r="M2107" s="7" t="n">
        <v>78.7</v>
      </c>
    </row>
    <row r="2108">
      <c r="A2108" t="n">
        <v>510391</v>
      </c>
      <c r="B2108" s="6" t="n">
        <v>45956</v>
      </c>
      <c r="C2108" t="n">
        <v>13940</v>
      </c>
      <c r="D2108" t="inlineStr">
        <is>
          <t>Mumbai</t>
        </is>
      </c>
      <c r="E2108" t="inlineStr">
        <is>
          <t>West</t>
        </is>
      </c>
      <c r="F2108" t="inlineStr">
        <is>
          <t>Paid Social</t>
        </is>
      </c>
      <c r="G2108" t="inlineStr">
        <is>
          <t>Mobile App</t>
        </is>
      </c>
      <c r="H2108" t="inlineStr">
        <is>
          <t>Debit Card</t>
        </is>
      </c>
      <c r="I2108" t="inlineStr">
        <is>
          <t>Delivered</t>
        </is>
      </c>
      <c r="J2108" t="n">
        <v>146</v>
      </c>
      <c r="K2108" t="n">
        <v>1</v>
      </c>
      <c r="L2108" s="7" t="n">
        <v>4724</v>
      </c>
      <c r="M2108" s="7" t="n">
        <v>0</v>
      </c>
    </row>
    <row r="2109">
      <c r="A2109" t="n">
        <v>510392</v>
      </c>
      <c r="B2109" s="6" t="n">
        <v>45956</v>
      </c>
      <c r="C2109" t="n">
        <v>10696</v>
      </c>
      <c r="D2109" t="inlineStr">
        <is>
          <t>Gurugram</t>
        </is>
      </c>
      <c r="E2109" t="inlineStr">
        <is>
          <t>North</t>
        </is>
      </c>
      <c r="F2109" t="inlineStr">
        <is>
          <t>Referral</t>
        </is>
      </c>
      <c r="G2109" t="inlineStr">
        <is>
          <t>Mobile App</t>
        </is>
      </c>
      <c r="H2109" t="inlineStr">
        <is>
          <t>UPI</t>
        </is>
      </c>
      <c r="I2109" t="inlineStr">
        <is>
          <t>Delivered</t>
        </is>
      </c>
      <c r="J2109" t="n">
        <v>114</v>
      </c>
      <c r="K2109" t="n">
        <v>1</v>
      </c>
      <c r="L2109" s="7" t="n">
        <v>1259</v>
      </c>
      <c r="M2109" s="7" t="n">
        <v>0</v>
      </c>
    </row>
    <row r="2110">
      <c r="A2110" t="n">
        <v>510392</v>
      </c>
      <c r="B2110" s="6" t="n">
        <v>45956</v>
      </c>
      <c r="C2110" t="n">
        <v>10696</v>
      </c>
      <c r="D2110" t="inlineStr">
        <is>
          <t>Gurugram</t>
        </is>
      </c>
      <c r="E2110" t="inlineStr">
        <is>
          <t>North</t>
        </is>
      </c>
      <c r="F2110" t="inlineStr">
        <is>
          <t>Referral</t>
        </is>
      </c>
      <c r="G2110" t="inlineStr">
        <is>
          <t>Mobile App</t>
        </is>
      </c>
      <c r="H2110" t="inlineStr">
        <is>
          <t>UPI</t>
        </is>
      </c>
      <c r="I2110" t="inlineStr">
        <is>
          <t>Delivered</t>
        </is>
      </c>
      <c r="J2110" t="n">
        <v>126</v>
      </c>
      <c r="K2110" t="n">
        <v>1</v>
      </c>
      <c r="L2110" s="7" t="n">
        <v>471</v>
      </c>
      <c r="M2110" s="7" t="n">
        <v>0</v>
      </c>
    </row>
    <row r="2111">
      <c r="A2111" t="n">
        <v>510393</v>
      </c>
      <c r="B2111" s="6" t="n">
        <v>45956</v>
      </c>
      <c r="C2111" t="n">
        <v>14573</v>
      </c>
      <c r="D2111" t="inlineStr">
        <is>
          <t>Delhi</t>
        </is>
      </c>
      <c r="E2111" t="inlineStr">
        <is>
          <t>North</t>
        </is>
      </c>
      <c r="F2111" t="inlineStr">
        <is>
          <t>Email</t>
        </is>
      </c>
      <c r="G2111" t="inlineStr">
        <is>
          <t>Mobile Web</t>
        </is>
      </c>
      <c r="H2111" t="inlineStr">
        <is>
          <t>UPI</t>
        </is>
      </c>
      <c r="I2111" t="inlineStr">
        <is>
          <t>Delivered</t>
        </is>
      </c>
      <c r="J2111" t="n">
        <v>109</v>
      </c>
      <c r="K2111" t="n">
        <v>1</v>
      </c>
      <c r="L2111" s="7" t="n">
        <v>4199</v>
      </c>
      <c r="M2111" s="7" t="n">
        <v>0</v>
      </c>
    </row>
    <row r="2112">
      <c r="A2112" t="n">
        <v>510394</v>
      </c>
      <c r="B2112" s="6" t="n">
        <v>45956</v>
      </c>
      <c r="C2112" t="n">
        <v>16719</v>
      </c>
      <c r="D2112" t="inlineStr">
        <is>
          <t>Jaipur</t>
        </is>
      </c>
      <c r="E2112" t="inlineStr">
        <is>
          <t>North</t>
        </is>
      </c>
      <c r="F2112" t="inlineStr">
        <is>
          <t>Paid Search</t>
        </is>
      </c>
      <c r="G2112" t="inlineStr">
        <is>
          <t>Mobile App</t>
        </is>
      </c>
      <c r="H2112" t="inlineStr">
        <is>
          <t>Debit Card</t>
        </is>
      </c>
      <c r="I2112" t="inlineStr">
        <is>
          <t>Delivered</t>
        </is>
      </c>
      <c r="J2112" t="n">
        <v>106</v>
      </c>
      <c r="K2112" t="n">
        <v>1</v>
      </c>
      <c r="L2112" s="7" t="n">
        <v>1574</v>
      </c>
      <c r="M2112" s="7" t="n">
        <v>0</v>
      </c>
    </row>
    <row r="2113">
      <c r="A2113" t="n">
        <v>510394</v>
      </c>
      <c r="B2113" s="6" t="n">
        <v>45956</v>
      </c>
      <c r="C2113" t="n">
        <v>16719</v>
      </c>
      <c r="D2113" t="inlineStr">
        <is>
          <t>Jaipur</t>
        </is>
      </c>
      <c r="E2113" t="inlineStr">
        <is>
          <t>North</t>
        </is>
      </c>
      <c r="F2113" t="inlineStr">
        <is>
          <t>Paid Search</t>
        </is>
      </c>
      <c r="G2113" t="inlineStr">
        <is>
          <t>Mobile App</t>
        </is>
      </c>
      <c r="H2113" t="inlineStr">
        <is>
          <t>Debit Card</t>
        </is>
      </c>
      <c r="I2113" t="inlineStr">
        <is>
          <t>Delivered</t>
        </is>
      </c>
      <c r="J2113" t="n">
        <v>122</v>
      </c>
      <c r="K2113" t="n">
        <v>1</v>
      </c>
      <c r="L2113" s="7" t="n">
        <v>1994</v>
      </c>
      <c r="M2113" s="7" t="n">
        <v>0</v>
      </c>
    </row>
    <row r="2114">
      <c r="A2114" t="n">
        <v>510394</v>
      </c>
      <c r="B2114" s="6" t="n">
        <v>45956</v>
      </c>
      <c r="C2114" t="n">
        <v>16719</v>
      </c>
      <c r="D2114" t="inlineStr">
        <is>
          <t>Jaipur</t>
        </is>
      </c>
      <c r="E2114" t="inlineStr">
        <is>
          <t>North</t>
        </is>
      </c>
      <c r="F2114" t="inlineStr">
        <is>
          <t>Paid Search</t>
        </is>
      </c>
      <c r="G2114" t="inlineStr">
        <is>
          <t>Mobile App</t>
        </is>
      </c>
      <c r="H2114" t="inlineStr">
        <is>
          <t>Debit Card</t>
        </is>
      </c>
      <c r="I2114" t="inlineStr">
        <is>
          <t>Delivered</t>
        </is>
      </c>
      <c r="J2114" t="n">
        <v>134</v>
      </c>
      <c r="K2114" t="n">
        <v>1</v>
      </c>
      <c r="L2114" s="7" t="n">
        <v>209</v>
      </c>
      <c r="M2114" s="7" t="n">
        <v>0</v>
      </c>
    </row>
    <row r="2115">
      <c r="A2115" t="n">
        <v>510395</v>
      </c>
      <c r="B2115" s="6" t="n">
        <v>45956</v>
      </c>
      <c r="C2115" t="n">
        <v>17014</v>
      </c>
      <c r="D2115" t="inlineStr">
        <is>
          <t>Bengaluru</t>
        </is>
      </c>
      <c r="E2115" t="inlineStr">
        <is>
          <t>South</t>
        </is>
      </c>
      <c r="F2115" t="inlineStr">
        <is>
          <t>Organic Search</t>
        </is>
      </c>
      <c r="G2115" t="inlineStr">
        <is>
          <t>Desktop</t>
        </is>
      </c>
      <c r="H2115" t="inlineStr">
        <is>
          <t>UPI</t>
        </is>
      </c>
      <c r="I2115" t="inlineStr">
        <is>
          <t>Delivered</t>
        </is>
      </c>
      <c r="J2115" t="n">
        <v>116</v>
      </c>
      <c r="K2115" t="n">
        <v>1</v>
      </c>
      <c r="L2115" s="7" t="n">
        <v>2624</v>
      </c>
      <c r="M2115" s="7" t="n">
        <v>0</v>
      </c>
    </row>
    <row r="2116">
      <c r="A2116" t="n">
        <v>510396</v>
      </c>
      <c r="B2116" s="6" t="n">
        <v>45956</v>
      </c>
      <c r="C2116" t="n">
        <v>16857</v>
      </c>
      <c r="D2116" t="inlineStr">
        <is>
          <t>Mumbai</t>
        </is>
      </c>
      <c r="E2116" t="inlineStr">
        <is>
          <t>West</t>
        </is>
      </c>
      <c r="F2116" t="inlineStr">
        <is>
          <t>Organic Search</t>
        </is>
      </c>
      <c r="G2116" t="inlineStr">
        <is>
          <t>Mobile App</t>
        </is>
      </c>
      <c r="H2116" t="inlineStr">
        <is>
          <t>Credit Card</t>
        </is>
      </c>
      <c r="I2116" t="inlineStr">
        <is>
          <t>Delivered</t>
        </is>
      </c>
      <c r="J2116" t="n">
        <v>101</v>
      </c>
      <c r="K2116" t="n">
        <v>1</v>
      </c>
      <c r="L2116" s="7" t="n">
        <v>2099</v>
      </c>
      <c r="M2116" s="7" t="n">
        <v>314.85</v>
      </c>
    </row>
    <row r="2117">
      <c r="A2117" t="n">
        <v>510397</v>
      </c>
      <c r="B2117" s="6" t="n">
        <v>45956</v>
      </c>
      <c r="C2117" t="n">
        <v>16313</v>
      </c>
      <c r="D2117" t="inlineStr">
        <is>
          <t>Pune</t>
        </is>
      </c>
      <c r="E2117" t="inlineStr">
        <is>
          <t>West</t>
        </is>
      </c>
      <c r="F2117" t="inlineStr">
        <is>
          <t>Organic Search</t>
        </is>
      </c>
      <c r="G2117" t="inlineStr">
        <is>
          <t>Mobile App</t>
        </is>
      </c>
      <c r="H2117" t="inlineStr">
        <is>
          <t>UPI</t>
        </is>
      </c>
      <c r="I2117" t="inlineStr">
        <is>
          <t>Delivered</t>
        </is>
      </c>
      <c r="J2117" t="n">
        <v>111</v>
      </c>
      <c r="K2117" t="n">
        <v>1</v>
      </c>
      <c r="L2117" s="7" t="n">
        <v>524</v>
      </c>
      <c r="M2117" s="7" t="n">
        <v>0</v>
      </c>
    </row>
    <row r="2118">
      <c r="A2118" t="n">
        <v>510398</v>
      </c>
      <c r="B2118" s="6" t="n">
        <v>45956</v>
      </c>
      <c r="C2118" t="n">
        <v>16455</v>
      </c>
      <c r="D2118" t="inlineStr">
        <is>
          <t>Chennai</t>
        </is>
      </c>
      <c r="E2118" t="inlineStr">
        <is>
          <t>South</t>
        </is>
      </c>
      <c r="F2118" t="inlineStr">
        <is>
          <t>Organic Search</t>
        </is>
      </c>
      <c r="G2118" t="inlineStr">
        <is>
          <t>Mobile App</t>
        </is>
      </c>
      <c r="H2118" t="inlineStr">
        <is>
          <t>Net Banking</t>
        </is>
      </c>
      <c r="I2118" t="inlineStr">
        <is>
          <t>Delivered</t>
        </is>
      </c>
      <c r="J2118" t="n">
        <v>107</v>
      </c>
      <c r="K2118" t="n">
        <v>1</v>
      </c>
      <c r="L2118" s="7" t="n">
        <v>1259</v>
      </c>
      <c r="M2118" s="7" t="n">
        <v>0</v>
      </c>
    </row>
    <row r="2119">
      <c r="A2119" t="n">
        <v>510398</v>
      </c>
      <c r="B2119" s="6" t="n">
        <v>45956</v>
      </c>
      <c r="C2119" t="n">
        <v>16455</v>
      </c>
      <c r="D2119" t="inlineStr">
        <is>
          <t>Chennai</t>
        </is>
      </c>
      <c r="E2119" t="inlineStr">
        <is>
          <t>South</t>
        </is>
      </c>
      <c r="F2119" t="inlineStr">
        <is>
          <t>Organic Search</t>
        </is>
      </c>
      <c r="G2119" t="inlineStr">
        <is>
          <t>Mobile App</t>
        </is>
      </c>
      <c r="H2119" t="inlineStr">
        <is>
          <t>Net Banking</t>
        </is>
      </c>
      <c r="I2119" t="inlineStr">
        <is>
          <t>Delivered</t>
        </is>
      </c>
      <c r="J2119" t="n">
        <v>116</v>
      </c>
      <c r="K2119" t="n">
        <v>1</v>
      </c>
      <c r="L2119" s="7" t="n">
        <v>2624</v>
      </c>
      <c r="M2119" s="7" t="n">
        <v>0</v>
      </c>
    </row>
    <row r="2120">
      <c r="A2120" t="n">
        <v>510399</v>
      </c>
      <c r="B2120" s="6" t="n">
        <v>45956</v>
      </c>
      <c r="C2120" t="n">
        <v>17029</v>
      </c>
      <c r="D2120" t="inlineStr">
        <is>
          <t>Chennai</t>
        </is>
      </c>
      <c r="E2120" t="inlineStr">
        <is>
          <t>South</t>
        </is>
      </c>
      <c r="F2120" t="inlineStr">
        <is>
          <t>Paid Search</t>
        </is>
      </c>
      <c r="G2120" t="inlineStr">
        <is>
          <t>Mobile App</t>
        </is>
      </c>
      <c r="H2120" t="inlineStr">
        <is>
          <t>UPI</t>
        </is>
      </c>
      <c r="I2120" t="inlineStr">
        <is>
          <t>Returned</t>
        </is>
      </c>
      <c r="J2120" t="n">
        <v>111</v>
      </c>
      <c r="K2120" t="n">
        <v>1</v>
      </c>
      <c r="L2120" s="7" t="n">
        <v>524</v>
      </c>
      <c r="M2120" s="7" t="n">
        <v>0</v>
      </c>
    </row>
    <row r="2121">
      <c r="A2121" t="n">
        <v>510400</v>
      </c>
      <c r="B2121" s="6" t="n">
        <v>45956</v>
      </c>
      <c r="C2121" t="n">
        <v>16918</v>
      </c>
      <c r="D2121" t="inlineStr">
        <is>
          <t>Kolkata</t>
        </is>
      </c>
      <c r="E2121" t="inlineStr">
        <is>
          <t>East</t>
        </is>
      </c>
      <c r="F2121" t="inlineStr">
        <is>
          <t>Paid Social</t>
        </is>
      </c>
      <c r="G2121" t="inlineStr">
        <is>
          <t>Desktop</t>
        </is>
      </c>
      <c r="H2121" t="inlineStr">
        <is>
          <t>UPI</t>
        </is>
      </c>
      <c r="I2121" t="inlineStr">
        <is>
          <t>Delivered</t>
        </is>
      </c>
      <c r="J2121" t="n">
        <v>147</v>
      </c>
      <c r="K2121" t="n">
        <v>1</v>
      </c>
      <c r="L2121" s="7" t="n">
        <v>1364</v>
      </c>
      <c r="M2121" s="7" t="n">
        <v>0</v>
      </c>
    </row>
    <row r="2122">
      <c r="A2122" t="n">
        <v>510400</v>
      </c>
      <c r="B2122" s="6" t="n">
        <v>45956</v>
      </c>
      <c r="C2122" t="n">
        <v>16918</v>
      </c>
      <c r="D2122" t="inlineStr">
        <is>
          <t>Kolkata</t>
        </is>
      </c>
      <c r="E2122" t="inlineStr">
        <is>
          <t>East</t>
        </is>
      </c>
      <c r="F2122" t="inlineStr">
        <is>
          <t>Paid Social</t>
        </is>
      </c>
      <c r="G2122" t="inlineStr">
        <is>
          <t>Desktop</t>
        </is>
      </c>
      <c r="H2122" t="inlineStr">
        <is>
          <t>UPI</t>
        </is>
      </c>
      <c r="I2122" t="inlineStr">
        <is>
          <t>Delivered</t>
        </is>
      </c>
      <c r="J2122" t="n">
        <v>111</v>
      </c>
      <c r="K2122" t="n">
        <v>1</v>
      </c>
      <c r="L2122" s="7" t="n">
        <v>524</v>
      </c>
      <c r="M2122" s="7" t="n">
        <v>0</v>
      </c>
    </row>
    <row r="2123">
      <c r="A2123" t="n">
        <v>510401</v>
      </c>
      <c r="B2123" s="6" t="n">
        <v>45956</v>
      </c>
      <c r="C2123" t="n">
        <v>11257</v>
      </c>
      <c r="D2123" t="inlineStr">
        <is>
          <t>Chandigarh</t>
        </is>
      </c>
      <c r="E2123" t="inlineStr">
        <is>
          <t>North</t>
        </is>
      </c>
      <c r="F2123" t="inlineStr">
        <is>
          <t>Paid Search</t>
        </is>
      </c>
      <c r="G2123" t="inlineStr">
        <is>
          <t>Mobile App</t>
        </is>
      </c>
      <c r="H2123" t="inlineStr">
        <is>
          <t>Credit Card</t>
        </is>
      </c>
      <c r="I2123" t="inlineStr">
        <is>
          <t>Delivered</t>
        </is>
      </c>
      <c r="J2123" t="n">
        <v>120</v>
      </c>
      <c r="K2123" t="n">
        <v>1</v>
      </c>
      <c r="L2123" s="7" t="n">
        <v>734</v>
      </c>
      <c r="M2123" s="7" t="n">
        <v>0</v>
      </c>
    </row>
    <row r="2124">
      <c r="A2124" t="n">
        <v>510402</v>
      </c>
      <c r="B2124" s="6" t="n">
        <v>45956</v>
      </c>
      <c r="C2124" t="n">
        <v>16133</v>
      </c>
      <c r="D2124" t="inlineStr">
        <is>
          <t>Gurugram</t>
        </is>
      </c>
      <c r="E2124" t="inlineStr">
        <is>
          <t>North</t>
        </is>
      </c>
      <c r="F2124" t="inlineStr">
        <is>
          <t>Referral</t>
        </is>
      </c>
      <c r="G2124" t="inlineStr">
        <is>
          <t>Mobile Web</t>
        </is>
      </c>
      <c r="H2124" t="inlineStr">
        <is>
          <t>Credit Card</t>
        </is>
      </c>
      <c r="I2124" t="inlineStr">
        <is>
          <t>Delivered</t>
        </is>
      </c>
      <c r="J2124" t="n">
        <v>120</v>
      </c>
      <c r="K2124" t="n">
        <v>1</v>
      </c>
      <c r="L2124" s="7" t="n">
        <v>734</v>
      </c>
      <c r="M2124" s="7" t="n">
        <v>0</v>
      </c>
    </row>
    <row r="2125">
      <c r="A2125" t="n">
        <v>510402</v>
      </c>
      <c r="B2125" s="6" t="n">
        <v>45956</v>
      </c>
      <c r="C2125" t="n">
        <v>16133</v>
      </c>
      <c r="D2125" t="inlineStr">
        <is>
          <t>Gurugram</t>
        </is>
      </c>
      <c r="E2125" t="inlineStr">
        <is>
          <t>North</t>
        </is>
      </c>
      <c r="F2125" t="inlineStr">
        <is>
          <t>Referral</t>
        </is>
      </c>
      <c r="G2125" t="inlineStr">
        <is>
          <t>Mobile Web</t>
        </is>
      </c>
      <c r="H2125" t="inlineStr">
        <is>
          <t>Credit Card</t>
        </is>
      </c>
      <c r="I2125" t="inlineStr">
        <is>
          <t>Delivered</t>
        </is>
      </c>
      <c r="J2125" t="n">
        <v>111</v>
      </c>
      <c r="K2125" t="n">
        <v>1</v>
      </c>
      <c r="L2125" s="7" t="n">
        <v>524</v>
      </c>
      <c r="M2125" s="7" t="n">
        <v>0</v>
      </c>
    </row>
    <row r="2126">
      <c r="A2126" t="n">
        <v>510403</v>
      </c>
      <c r="B2126" s="6" t="n">
        <v>45956</v>
      </c>
      <c r="C2126" t="n">
        <v>15888</v>
      </c>
      <c r="D2126" t="inlineStr">
        <is>
          <t>Ahmedabad</t>
        </is>
      </c>
      <c r="E2126" t="inlineStr">
        <is>
          <t>West</t>
        </is>
      </c>
      <c r="F2126" t="inlineStr">
        <is>
          <t>Organic Search</t>
        </is>
      </c>
      <c r="G2126" t="inlineStr">
        <is>
          <t>Mobile App</t>
        </is>
      </c>
      <c r="H2126" t="inlineStr">
        <is>
          <t>UPI</t>
        </is>
      </c>
      <c r="I2126" t="inlineStr">
        <is>
          <t>Delivered</t>
        </is>
      </c>
      <c r="J2126" t="n">
        <v>112</v>
      </c>
      <c r="K2126" t="n">
        <v>1</v>
      </c>
      <c r="L2126" s="7" t="n">
        <v>1574</v>
      </c>
      <c r="M2126" s="7" t="n">
        <v>0</v>
      </c>
    </row>
    <row r="2127">
      <c r="A2127" t="n">
        <v>510404</v>
      </c>
      <c r="B2127" s="6" t="n">
        <v>45956</v>
      </c>
      <c r="C2127" t="n">
        <v>13094</v>
      </c>
      <c r="D2127" t="inlineStr">
        <is>
          <t>Hyderabad</t>
        </is>
      </c>
      <c r="E2127" t="inlineStr">
        <is>
          <t>South</t>
        </is>
      </c>
      <c r="F2127" t="inlineStr">
        <is>
          <t>Paid Social</t>
        </is>
      </c>
      <c r="G2127" t="inlineStr">
        <is>
          <t>Mobile App</t>
        </is>
      </c>
      <c r="H2127" t="inlineStr">
        <is>
          <t>UPI</t>
        </is>
      </c>
      <c r="I2127" t="inlineStr">
        <is>
          <t>Delivered</t>
        </is>
      </c>
      <c r="J2127" t="n">
        <v>134</v>
      </c>
      <c r="K2127" t="n">
        <v>1</v>
      </c>
      <c r="L2127" s="7" t="n">
        <v>209</v>
      </c>
      <c r="M2127" s="7" t="n">
        <v>0</v>
      </c>
    </row>
    <row r="2128">
      <c r="A2128" t="n">
        <v>510405</v>
      </c>
      <c r="B2128" s="6" t="n">
        <v>45956</v>
      </c>
      <c r="C2128" t="n">
        <v>16907</v>
      </c>
      <c r="D2128" t="inlineStr">
        <is>
          <t>Chandigarh</t>
        </is>
      </c>
      <c r="E2128" t="inlineStr">
        <is>
          <t>North</t>
        </is>
      </c>
      <c r="F2128" t="inlineStr">
        <is>
          <t>Paid Search</t>
        </is>
      </c>
      <c r="G2128" t="inlineStr">
        <is>
          <t>Mobile App</t>
        </is>
      </c>
      <c r="H2128" t="inlineStr">
        <is>
          <t>UPI</t>
        </is>
      </c>
      <c r="I2128" t="inlineStr">
        <is>
          <t>Returned</t>
        </is>
      </c>
      <c r="J2128" t="n">
        <v>111</v>
      </c>
      <c r="K2128" t="n">
        <v>1</v>
      </c>
      <c r="L2128" s="7" t="n">
        <v>524</v>
      </c>
      <c r="M2128" s="7" t="n">
        <v>78.59999999999999</v>
      </c>
    </row>
    <row r="2129">
      <c r="A2129" t="n">
        <v>510406</v>
      </c>
      <c r="B2129" s="6" t="n">
        <v>45956</v>
      </c>
      <c r="C2129" t="n">
        <v>17048</v>
      </c>
      <c r="D2129" t="inlineStr">
        <is>
          <t>Delhi</t>
        </is>
      </c>
      <c r="E2129" t="inlineStr">
        <is>
          <t>North</t>
        </is>
      </c>
      <c r="F2129" t="inlineStr">
        <is>
          <t>Organic Search</t>
        </is>
      </c>
      <c r="G2129" t="inlineStr">
        <is>
          <t>Mobile App</t>
        </is>
      </c>
      <c r="H2129" t="inlineStr">
        <is>
          <t>UPI</t>
        </is>
      </c>
      <c r="I2129" t="inlineStr">
        <is>
          <t>Delivered</t>
        </is>
      </c>
      <c r="J2129" t="n">
        <v>140</v>
      </c>
      <c r="K2129" t="n">
        <v>1</v>
      </c>
      <c r="L2129" s="7" t="n">
        <v>629</v>
      </c>
      <c r="M2129" s="7" t="n">
        <v>94.34999999999999</v>
      </c>
    </row>
    <row r="2130">
      <c r="A2130" t="n">
        <v>510406</v>
      </c>
      <c r="B2130" s="6" t="n">
        <v>45956</v>
      </c>
      <c r="C2130" t="n">
        <v>17048</v>
      </c>
      <c r="D2130" t="inlineStr">
        <is>
          <t>Delhi</t>
        </is>
      </c>
      <c r="E2130" t="inlineStr">
        <is>
          <t>North</t>
        </is>
      </c>
      <c r="F2130" t="inlineStr">
        <is>
          <t>Organic Search</t>
        </is>
      </c>
      <c r="G2130" t="inlineStr">
        <is>
          <t>Mobile App</t>
        </is>
      </c>
      <c r="H2130" t="inlineStr">
        <is>
          <t>UPI</t>
        </is>
      </c>
      <c r="I2130" t="inlineStr">
        <is>
          <t>Delivered</t>
        </is>
      </c>
      <c r="J2130" t="n">
        <v>108</v>
      </c>
      <c r="K2130" t="n">
        <v>1</v>
      </c>
      <c r="L2130" s="7" t="n">
        <v>419</v>
      </c>
      <c r="M2130" s="7" t="n">
        <v>62.85</v>
      </c>
    </row>
    <row r="2131">
      <c r="A2131" t="n">
        <v>510407</v>
      </c>
      <c r="B2131" s="6" t="n">
        <v>45956</v>
      </c>
      <c r="C2131" t="n">
        <v>16912</v>
      </c>
      <c r="D2131" t="inlineStr">
        <is>
          <t>Lucknow</t>
        </is>
      </c>
      <c r="E2131" t="inlineStr">
        <is>
          <t>North</t>
        </is>
      </c>
      <c r="F2131" t="inlineStr">
        <is>
          <t>Organic Search</t>
        </is>
      </c>
      <c r="G2131" t="inlineStr">
        <is>
          <t>Mobile Web</t>
        </is>
      </c>
      <c r="H2131" t="inlineStr">
        <is>
          <t>Net Banking</t>
        </is>
      </c>
      <c r="I2131" t="inlineStr">
        <is>
          <t>Delivered</t>
        </is>
      </c>
      <c r="J2131" t="n">
        <v>127</v>
      </c>
      <c r="K2131" t="n">
        <v>1</v>
      </c>
      <c r="L2131" s="7" t="n">
        <v>681</v>
      </c>
      <c r="M2131" s="7" t="n">
        <v>102.15</v>
      </c>
    </row>
    <row r="2132">
      <c r="A2132" t="n">
        <v>510407</v>
      </c>
      <c r="B2132" s="6" t="n">
        <v>45956</v>
      </c>
      <c r="C2132" t="n">
        <v>16912</v>
      </c>
      <c r="D2132" t="inlineStr">
        <is>
          <t>Lucknow</t>
        </is>
      </c>
      <c r="E2132" t="inlineStr">
        <is>
          <t>North</t>
        </is>
      </c>
      <c r="F2132" t="inlineStr">
        <is>
          <t>Organic Search</t>
        </is>
      </c>
      <c r="G2132" t="inlineStr">
        <is>
          <t>Mobile Web</t>
        </is>
      </c>
      <c r="H2132" t="inlineStr">
        <is>
          <t>Net Banking</t>
        </is>
      </c>
      <c r="I2132" t="inlineStr">
        <is>
          <t>Delivered</t>
        </is>
      </c>
      <c r="J2132" t="n">
        <v>136</v>
      </c>
      <c r="K2132" t="n">
        <v>2</v>
      </c>
      <c r="L2132" s="7" t="n">
        <v>944</v>
      </c>
      <c r="M2132" s="7" t="n">
        <v>283.2</v>
      </c>
    </row>
    <row r="2133">
      <c r="A2133" t="n">
        <v>510408</v>
      </c>
      <c r="B2133" s="6" t="n">
        <v>45956</v>
      </c>
      <c r="C2133" t="n">
        <v>16435</v>
      </c>
      <c r="D2133" t="inlineStr">
        <is>
          <t>Mumbai</t>
        </is>
      </c>
      <c r="E2133" t="inlineStr">
        <is>
          <t>West</t>
        </is>
      </c>
      <c r="F2133" t="inlineStr">
        <is>
          <t>Referral</t>
        </is>
      </c>
      <c r="G2133" t="inlineStr">
        <is>
          <t>Mobile App</t>
        </is>
      </c>
      <c r="H2133" t="inlineStr">
        <is>
          <t>Cash on Delivery</t>
        </is>
      </c>
      <c r="I2133" t="inlineStr">
        <is>
          <t>Delivered</t>
        </is>
      </c>
      <c r="J2133" t="n">
        <v>109</v>
      </c>
      <c r="K2133" t="n">
        <v>2</v>
      </c>
      <c r="L2133" s="7" t="n">
        <v>4199</v>
      </c>
      <c r="M2133" s="7" t="n">
        <v>0</v>
      </c>
    </row>
    <row r="2134">
      <c r="A2134" t="n">
        <v>510409</v>
      </c>
      <c r="B2134" s="6" t="n">
        <v>45956</v>
      </c>
      <c r="C2134" t="n">
        <v>13668</v>
      </c>
      <c r="D2134" t="inlineStr">
        <is>
          <t>Bengaluru</t>
        </is>
      </c>
      <c r="E2134" t="inlineStr">
        <is>
          <t>South</t>
        </is>
      </c>
      <c r="F2134" t="inlineStr">
        <is>
          <t>Referral</t>
        </is>
      </c>
      <c r="G2134" t="inlineStr">
        <is>
          <t>Mobile App</t>
        </is>
      </c>
      <c r="H2134" t="inlineStr">
        <is>
          <t>Net Banking</t>
        </is>
      </c>
      <c r="I2134" t="inlineStr">
        <is>
          <t>Delivered</t>
        </is>
      </c>
      <c r="J2134" t="n">
        <v>142</v>
      </c>
      <c r="K2134" t="n">
        <v>1</v>
      </c>
      <c r="L2134" s="7" t="n">
        <v>839</v>
      </c>
      <c r="M2134" s="7" t="n">
        <v>0</v>
      </c>
    </row>
    <row r="2135">
      <c r="A2135" t="n">
        <v>510409</v>
      </c>
      <c r="B2135" s="6" t="n">
        <v>45956</v>
      </c>
      <c r="C2135" t="n">
        <v>13668</v>
      </c>
      <c r="D2135" t="inlineStr">
        <is>
          <t>Bengaluru</t>
        </is>
      </c>
      <c r="E2135" t="inlineStr">
        <is>
          <t>South</t>
        </is>
      </c>
      <c r="F2135" t="inlineStr">
        <is>
          <t>Referral</t>
        </is>
      </c>
      <c r="G2135" t="inlineStr">
        <is>
          <t>Mobile App</t>
        </is>
      </c>
      <c r="H2135" t="inlineStr">
        <is>
          <t>Net Banking</t>
        </is>
      </c>
      <c r="I2135" t="inlineStr">
        <is>
          <t>Delivered</t>
        </is>
      </c>
      <c r="J2135" t="n">
        <v>131</v>
      </c>
      <c r="K2135" t="n">
        <v>1</v>
      </c>
      <c r="L2135" s="7" t="n">
        <v>314</v>
      </c>
      <c r="M2135" s="7" t="n">
        <v>0</v>
      </c>
    </row>
    <row r="2136">
      <c r="A2136" t="n">
        <v>510409</v>
      </c>
      <c r="B2136" s="6" t="n">
        <v>45956</v>
      </c>
      <c r="C2136" t="n">
        <v>13668</v>
      </c>
      <c r="D2136" t="inlineStr">
        <is>
          <t>Bengaluru</t>
        </is>
      </c>
      <c r="E2136" t="inlineStr">
        <is>
          <t>South</t>
        </is>
      </c>
      <c r="F2136" t="inlineStr">
        <is>
          <t>Referral</t>
        </is>
      </c>
      <c r="G2136" t="inlineStr">
        <is>
          <t>Mobile App</t>
        </is>
      </c>
      <c r="H2136" t="inlineStr">
        <is>
          <t>Net Banking</t>
        </is>
      </c>
      <c r="I2136" t="inlineStr">
        <is>
          <t>Delivered</t>
        </is>
      </c>
      <c r="J2136" t="n">
        <v>108</v>
      </c>
      <c r="K2136" t="n">
        <v>1</v>
      </c>
      <c r="L2136" s="7" t="n">
        <v>419</v>
      </c>
      <c r="M2136" s="7" t="n">
        <v>0</v>
      </c>
    </row>
    <row r="2137">
      <c r="A2137" t="n">
        <v>510410</v>
      </c>
      <c r="B2137" s="6" t="n">
        <v>45956</v>
      </c>
      <c r="C2137" t="n">
        <v>15564</v>
      </c>
      <c r="D2137" t="inlineStr">
        <is>
          <t>Bengaluru</t>
        </is>
      </c>
      <c r="E2137" t="inlineStr">
        <is>
          <t>South</t>
        </is>
      </c>
      <c r="F2137" t="inlineStr">
        <is>
          <t>Paid Social</t>
        </is>
      </c>
      <c r="G2137" t="inlineStr">
        <is>
          <t>Mobile App</t>
        </is>
      </c>
      <c r="H2137" t="inlineStr">
        <is>
          <t>UPI</t>
        </is>
      </c>
      <c r="I2137" t="inlineStr">
        <is>
          <t>Delivered</t>
        </is>
      </c>
      <c r="J2137" t="n">
        <v>143</v>
      </c>
      <c r="K2137" t="n">
        <v>1</v>
      </c>
      <c r="L2137" s="7" t="n">
        <v>839</v>
      </c>
      <c r="M2137" s="7" t="n">
        <v>0</v>
      </c>
    </row>
    <row r="2138">
      <c r="A2138" t="n">
        <v>510411</v>
      </c>
      <c r="B2138" s="6" t="n">
        <v>45956</v>
      </c>
      <c r="C2138" t="n">
        <v>16979</v>
      </c>
      <c r="D2138" t="inlineStr">
        <is>
          <t>Delhi</t>
        </is>
      </c>
      <c r="E2138" t="inlineStr">
        <is>
          <t>North</t>
        </is>
      </c>
      <c r="F2138" t="inlineStr">
        <is>
          <t>Organic Search</t>
        </is>
      </c>
      <c r="G2138" t="inlineStr">
        <is>
          <t>Mobile App</t>
        </is>
      </c>
      <c r="H2138" t="inlineStr">
        <is>
          <t>Credit Card</t>
        </is>
      </c>
      <c r="I2138" t="inlineStr">
        <is>
          <t>Returned</t>
        </is>
      </c>
      <c r="J2138" t="n">
        <v>135</v>
      </c>
      <c r="K2138" t="n">
        <v>1</v>
      </c>
      <c r="L2138" s="7" t="n">
        <v>1574</v>
      </c>
      <c r="M2138" s="7" t="n">
        <v>0</v>
      </c>
    </row>
    <row r="2139">
      <c r="A2139" t="n">
        <v>510412</v>
      </c>
      <c r="B2139" s="6" t="n">
        <v>45956</v>
      </c>
      <c r="C2139" t="n">
        <v>15058</v>
      </c>
      <c r="D2139" t="inlineStr">
        <is>
          <t>Pune</t>
        </is>
      </c>
      <c r="E2139" t="inlineStr">
        <is>
          <t>West</t>
        </is>
      </c>
      <c r="F2139" t="inlineStr">
        <is>
          <t>Referral</t>
        </is>
      </c>
      <c r="G2139" t="inlineStr">
        <is>
          <t>Mobile App</t>
        </is>
      </c>
      <c r="H2139" t="inlineStr">
        <is>
          <t>UPI</t>
        </is>
      </c>
      <c r="I2139" t="inlineStr">
        <is>
          <t>Delivered</t>
        </is>
      </c>
      <c r="J2139" t="n">
        <v>110</v>
      </c>
      <c r="K2139" t="n">
        <v>1</v>
      </c>
      <c r="L2139" s="7" t="n">
        <v>839</v>
      </c>
      <c r="M2139" s="7" t="n">
        <v>0</v>
      </c>
    </row>
    <row r="2140">
      <c r="A2140" t="n">
        <v>510413</v>
      </c>
      <c r="B2140" s="6" t="n">
        <v>45956</v>
      </c>
      <c r="C2140" t="n">
        <v>10275</v>
      </c>
      <c r="D2140" t="inlineStr">
        <is>
          <t>Gurugram</t>
        </is>
      </c>
      <c r="E2140" t="inlineStr">
        <is>
          <t>North</t>
        </is>
      </c>
      <c r="F2140" t="inlineStr">
        <is>
          <t>Organic Search</t>
        </is>
      </c>
      <c r="G2140" t="inlineStr">
        <is>
          <t>Mobile Web</t>
        </is>
      </c>
      <c r="H2140" t="inlineStr">
        <is>
          <t>UPI</t>
        </is>
      </c>
      <c r="I2140" t="inlineStr">
        <is>
          <t>Delivered</t>
        </is>
      </c>
      <c r="J2140" t="n">
        <v>128</v>
      </c>
      <c r="K2140" t="n">
        <v>1</v>
      </c>
      <c r="L2140" s="7" t="n">
        <v>1049</v>
      </c>
      <c r="M2140" s="7" t="n">
        <v>0</v>
      </c>
    </row>
    <row r="2141">
      <c r="A2141" t="n">
        <v>510414</v>
      </c>
      <c r="B2141" s="6" t="n">
        <v>45956</v>
      </c>
      <c r="C2141" t="n">
        <v>15950</v>
      </c>
      <c r="D2141" t="inlineStr">
        <is>
          <t>Chennai</t>
        </is>
      </c>
      <c r="E2141" t="inlineStr">
        <is>
          <t>South</t>
        </is>
      </c>
      <c r="F2141" t="inlineStr">
        <is>
          <t>Organic Search</t>
        </is>
      </c>
      <c r="G2141" t="inlineStr">
        <is>
          <t>Mobile Web</t>
        </is>
      </c>
      <c r="H2141" t="inlineStr">
        <is>
          <t>Credit Card</t>
        </is>
      </c>
      <c r="I2141" t="inlineStr">
        <is>
          <t>Delivered</t>
        </is>
      </c>
      <c r="J2141" t="n">
        <v>112</v>
      </c>
      <c r="K2141" t="n">
        <v>1</v>
      </c>
      <c r="L2141" s="7" t="n">
        <v>1574</v>
      </c>
      <c r="M2141" s="7" t="n">
        <v>0</v>
      </c>
    </row>
    <row r="2142">
      <c r="A2142" t="n">
        <v>510415</v>
      </c>
      <c r="B2142" s="6" t="n">
        <v>45956</v>
      </c>
      <c r="C2142" t="n">
        <v>16802</v>
      </c>
      <c r="D2142" t="inlineStr">
        <is>
          <t>Mumbai</t>
        </is>
      </c>
      <c r="E2142" t="inlineStr">
        <is>
          <t>West</t>
        </is>
      </c>
      <c r="F2142" t="inlineStr">
        <is>
          <t>Referral</t>
        </is>
      </c>
      <c r="G2142" t="inlineStr">
        <is>
          <t>Mobile App</t>
        </is>
      </c>
      <c r="H2142" t="inlineStr">
        <is>
          <t>UPI</t>
        </is>
      </c>
      <c r="I2142" t="inlineStr">
        <is>
          <t>Delivered</t>
        </is>
      </c>
      <c r="J2142" t="n">
        <v>119</v>
      </c>
      <c r="K2142" t="n">
        <v>1</v>
      </c>
      <c r="L2142" s="7" t="n">
        <v>2309</v>
      </c>
      <c r="M2142" s="7" t="n">
        <v>0</v>
      </c>
    </row>
    <row r="2143">
      <c r="A2143" t="n">
        <v>510416</v>
      </c>
      <c r="B2143" s="6" t="n">
        <v>45957</v>
      </c>
      <c r="C2143" t="n">
        <v>16259</v>
      </c>
      <c r="D2143" t="inlineStr">
        <is>
          <t>Kochi</t>
        </is>
      </c>
      <c r="E2143" t="inlineStr">
        <is>
          <t>South</t>
        </is>
      </c>
      <c r="F2143" t="inlineStr">
        <is>
          <t>Paid Search</t>
        </is>
      </c>
      <c r="G2143" t="inlineStr">
        <is>
          <t>Mobile App</t>
        </is>
      </c>
      <c r="H2143" t="inlineStr">
        <is>
          <t>Debit Card</t>
        </is>
      </c>
      <c r="I2143" t="inlineStr">
        <is>
          <t>Delivered</t>
        </is>
      </c>
      <c r="J2143" t="n">
        <v>126</v>
      </c>
      <c r="K2143" t="n">
        <v>1</v>
      </c>
      <c r="L2143" s="7" t="n">
        <v>471</v>
      </c>
      <c r="M2143" s="7" t="n">
        <v>0</v>
      </c>
    </row>
    <row r="2144">
      <c r="A2144" t="n">
        <v>510417</v>
      </c>
      <c r="B2144" s="6" t="n">
        <v>45957</v>
      </c>
      <c r="C2144" t="n">
        <v>17036</v>
      </c>
      <c r="D2144" t="inlineStr">
        <is>
          <t>Ahmedabad</t>
        </is>
      </c>
      <c r="E2144" t="inlineStr">
        <is>
          <t>West</t>
        </is>
      </c>
      <c r="F2144" t="inlineStr">
        <is>
          <t>Organic Search</t>
        </is>
      </c>
      <c r="G2144" t="inlineStr">
        <is>
          <t>Mobile Web</t>
        </is>
      </c>
      <c r="H2144" t="inlineStr">
        <is>
          <t>Net Banking</t>
        </is>
      </c>
      <c r="I2144" t="inlineStr">
        <is>
          <t>Delivered</t>
        </is>
      </c>
      <c r="J2144" t="n">
        <v>125</v>
      </c>
      <c r="K2144" t="n">
        <v>2</v>
      </c>
      <c r="L2144" s="7" t="n">
        <v>1364</v>
      </c>
      <c r="M2144" s="7" t="n">
        <v>409.2</v>
      </c>
    </row>
    <row r="2145">
      <c r="A2145" t="n">
        <v>510417</v>
      </c>
      <c r="B2145" s="6" t="n">
        <v>45957</v>
      </c>
      <c r="C2145" t="n">
        <v>17036</v>
      </c>
      <c r="D2145" t="inlineStr">
        <is>
          <t>Ahmedabad</t>
        </is>
      </c>
      <c r="E2145" t="inlineStr">
        <is>
          <t>West</t>
        </is>
      </c>
      <c r="F2145" t="inlineStr">
        <is>
          <t>Organic Search</t>
        </is>
      </c>
      <c r="G2145" t="inlineStr">
        <is>
          <t>Mobile Web</t>
        </is>
      </c>
      <c r="H2145" t="inlineStr">
        <is>
          <t>Net Banking</t>
        </is>
      </c>
      <c r="I2145" t="inlineStr">
        <is>
          <t>Delivered</t>
        </is>
      </c>
      <c r="J2145" t="n">
        <v>134</v>
      </c>
      <c r="K2145" t="n">
        <v>1</v>
      </c>
      <c r="L2145" s="7" t="n">
        <v>209</v>
      </c>
      <c r="M2145" s="7" t="n">
        <v>31.35</v>
      </c>
    </row>
    <row r="2146">
      <c r="A2146" t="n">
        <v>510418</v>
      </c>
      <c r="B2146" s="6" t="n">
        <v>45957</v>
      </c>
      <c r="C2146" t="n">
        <v>13008</v>
      </c>
      <c r="D2146" t="inlineStr">
        <is>
          <t>Mumbai</t>
        </is>
      </c>
      <c r="E2146" t="inlineStr">
        <is>
          <t>West</t>
        </is>
      </c>
      <c r="F2146" t="inlineStr">
        <is>
          <t>Organic Search</t>
        </is>
      </c>
      <c r="G2146" t="inlineStr">
        <is>
          <t>Desktop</t>
        </is>
      </c>
      <c r="H2146" t="inlineStr">
        <is>
          <t>UPI</t>
        </is>
      </c>
      <c r="I2146" t="inlineStr">
        <is>
          <t>Delivered</t>
        </is>
      </c>
      <c r="J2146" t="n">
        <v>117</v>
      </c>
      <c r="K2146" t="n">
        <v>1</v>
      </c>
      <c r="L2146" s="7" t="n">
        <v>3149</v>
      </c>
      <c r="M2146" s="7" t="n">
        <v>0</v>
      </c>
    </row>
    <row r="2147">
      <c r="A2147" t="n">
        <v>510419</v>
      </c>
      <c r="B2147" s="6" t="n">
        <v>45957</v>
      </c>
      <c r="C2147" t="n">
        <v>16608</v>
      </c>
      <c r="D2147" t="inlineStr">
        <is>
          <t>Indore</t>
        </is>
      </c>
      <c r="E2147" t="inlineStr">
        <is>
          <t>West</t>
        </is>
      </c>
      <c r="F2147" t="inlineStr">
        <is>
          <t>Referral</t>
        </is>
      </c>
      <c r="G2147" t="inlineStr">
        <is>
          <t>Desktop</t>
        </is>
      </c>
      <c r="H2147" t="inlineStr">
        <is>
          <t>Credit Card</t>
        </is>
      </c>
      <c r="I2147" t="inlineStr">
        <is>
          <t>Delivered</t>
        </is>
      </c>
      <c r="J2147" t="n">
        <v>119</v>
      </c>
      <c r="K2147" t="n">
        <v>1</v>
      </c>
      <c r="L2147" s="7" t="n">
        <v>2309</v>
      </c>
      <c r="M2147" s="7" t="n">
        <v>0</v>
      </c>
    </row>
    <row r="2148">
      <c r="A2148" t="n">
        <v>510419</v>
      </c>
      <c r="B2148" s="6" t="n">
        <v>45957</v>
      </c>
      <c r="C2148" t="n">
        <v>16608</v>
      </c>
      <c r="D2148" t="inlineStr">
        <is>
          <t>Indore</t>
        </is>
      </c>
      <c r="E2148" t="inlineStr">
        <is>
          <t>West</t>
        </is>
      </c>
      <c r="F2148" t="inlineStr">
        <is>
          <t>Referral</t>
        </is>
      </c>
      <c r="G2148" t="inlineStr">
        <is>
          <t>Desktop</t>
        </is>
      </c>
      <c r="H2148" t="inlineStr">
        <is>
          <t>Credit Card</t>
        </is>
      </c>
      <c r="I2148" t="inlineStr">
        <is>
          <t>Delivered</t>
        </is>
      </c>
      <c r="J2148" t="n">
        <v>103</v>
      </c>
      <c r="K2148" t="n">
        <v>1</v>
      </c>
      <c r="L2148" s="7" t="n">
        <v>2624</v>
      </c>
      <c r="M2148" s="7" t="n">
        <v>0</v>
      </c>
    </row>
    <row r="2149">
      <c r="A2149" t="n">
        <v>510419</v>
      </c>
      <c r="B2149" s="6" t="n">
        <v>45957</v>
      </c>
      <c r="C2149" t="n">
        <v>16608</v>
      </c>
      <c r="D2149" t="inlineStr">
        <is>
          <t>Indore</t>
        </is>
      </c>
      <c r="E2149" t="inlineStr">
        <is>
          <t>West</t>
        </is>
      </c>
      <c r="F2149" t="inlineStr">
        <is>
          <t>Referral</t>
        </is>
      </c>
      <c r="G2149" t="inlineStr">
        <is>
          <t>Desktop</t>
        </is>
      </c>
      <c r="H2149" t="inlineStr">
        <is>
          <t>Credit Card</t>
        </is>
      </c>
      <c r="I2149" t="inlineStr">
        <is>
          <t>Delivered</t>
        </is>
      </c>
      <c r="J2149" t="n">
        <v>113</v>
      </c>
      <c r="K2149" t="n">
        <v>1</v>
      </c>
      <c r="L2149" s="7" t="n">
        <v>1364</v>
      </c>
      <c r="M2149" s="7" t="n">
        <v>0</v>
      </c>
    </row>
    <row r="2150">
      <c r="A2150" t="n">
        <v>510419</v>
      </c>
      <c r="B2150" s="6" t="n">
        <v>45957</v>
      </c>
      <c r="C2150" t="n">
        <v>16608</v>
      </c>
      <c r="D2150" t="inlineStr">
        <is>
          <t>Indore</t>
        </is>
      </c>
      <c r="E2150" t="inlineStr">
        <is>
          <t>West</t>
        </is>
      </c>
      <c r="F2150" t="inlineStr">
        <is>
          <t>Referral</t>
        </is>
      </c>
      <c r="G2150" t="inlineStr">
        <is>
          <t>Desktop</t>
        </is>
      </c>
      <c r="H2150" t="inlineStr">
        <is>
          <t>Credit Card</t>
        </is>
      </c>
      <c r="I2150" t="inlineStr">
        <is>
          <t>Delivered</t>
        </is>
      </c>
      <c r="J2150" t="n">
        <v>127</v>
      </c>
      <c r="K2150" t="n">
        <v>1</v>
      </c>
      <c r="L2150" s="7" t="n">
        <v>681</v>
      </c>
      <c r="M2150" s="7" t="n">
        <v>0</v>
      </c>
    </row>
    <row r="2151">
      <c r="A2151" t="n">
        <v>510420</v>
      </c>
      <c r="B2151" s="6" t="n">
        <v>45957</v>
      </c>
      <c r="C2151" t="n">
        <v>16913</v>
      </c>
      <c r="D2151" t="inlineStr">
        <is>
          <t>Chennai</t>
        </is>
      </c>
      <c r="E2151" t="inlineStr">
        <is>
          <t>South</t>
        </is>
      </c>
      <c r="F2151" t="inlineStr">
        <is>
          <t>Paid Search</t>
        </is>
      </c>
      <c r="G2151" t="inlineStr">
        <is>
          <t>Desktop</t>
        </is>
      </c>
      <c r="H2151" t="inlineStr">
        <is>
          <t>Debit Card</t>
        </is>
      </c>
      <c r="I2151" t="inlineStr">
        <is>
          <t>Delivered</t>
        </is>
      </c>
      <c r="J2151" t="n">
        <v>142</v>
      </c>
      <c r="K2151" t="n">
        <v>1</v>
      </c>
      <c r="L2151" s="7" t="n">
        <v>839</v>
      </c>
      <c r="M2151" s="7" t="n">
        <v>0</v>
      </c>
    </row>
    <row r="2152">
      <c r="A2152" t="n">
        <v>510420</v>
      </c>
      <c r="B2152" s="6" t="n">
        <v>45957</v>
      </c>
      <c r="C2152" t="n">
        <v>16913</v>
      </c>
      <c r="D2152" t="inlineStr">
        <is>
          <t>Chennai</t>
        </is>
      </c>
      <c r="E2152" t="inlineStr">
        <is>
          <t>South</t>
        </is>
      </c>
      <c r="F2152" t="inlineStr">
        <is>
          <t>Paid Search</t>
        </is>
      </c>
      <c r="G2152" t="inlineStr">
        <is>
          <t>Desktop</t>
        </is>
      </c>
      <c r="H2152" t="inlineStr">
        <is>
          <t>Debit Card</t>
        </is>
      </c>
      <c r="I2152" t="inlineStr">
        <is>
          <t>Delivered</t>
        </is>
      </c>
      <c r="J2152" t="n">
        <v>113</v>
      </c>
      <c r="K2152" t="n">
        <v>1</v>
      </c>
      <c r="L2152" s="7" t="n">
        <v>1364</v>
      </c>
      <c r="M2152" s="7" t="n">
        <v>0</v>
      </c>
    </row>
    <row r="2153">
      <c r="A2153" t="n">
        <v>510421</v>
      </c>
      <c r="B2153" s="6" t="n">
        <v>45957</v>
      </c>
      <c r="C2153" t="n">
        <v>16922</v>
      </c>
      <c r="D2153" t="inlineStr">
        <is>
          <t>Chandigarh</t>
        </is>
      </c>
      <c r="E2153" t="inlineStr">
        <is>
          <t>North</t>
        </is>
      </c>
      <c r="F2153" t="inlineStr">
        <is>
          <t>Referral</t>
        </is>
      </c>
      <c r="G2153" t="inlineStr">
        <is>
          <t>Mobile App</t>
        </is>
      </c>
      <c r="H2153" t="inlineStr">
        <is>
          <t>Debit Card</t>
        </is>
      </c>
      <c r="I2153" t="inlineStr">
        <is>
          <t>Delivered</t>
        </is>
      </c>
      <c r="J2153" t="n">
        <v>134</v>
      </c>
      <c r="K2153" t="n">
        <v>1</v>
      </c>
      <c r="L2153" s="7" t="n">
        <v>209</v>
      </c>
      <c r="M2153" s="7" t="n">
        <v>31.35</v>
      </c>
    </row>
    <row r="2154">
      <c r="A2154" t="n">
        <v>510422</v>
      </c>
      <c r="B2154" s="6" t="n">
        <v>45957</v>
      </c>
      <c r="C2154" t="n">
        <v>17042</v>
      </c>
      <c r="D2154" t="inlineStr">
        <is>
          <t>Indore</t>
        </is>
      </c>
      <c r="E2154" t="inlineStr">
        <is>
          <t>West</t>
        </is>
      </c>
      <c r="F2154" t="inlineStr">
        <is>
          <t>Organic Search</t>
        </is>
      </c>
      <c r="G2154" t="inlineStr">
        <is>
          <t>Mobile Web</t>
        </is>
      </c>
      <c r="H2154" t="inlineStr">
        <is>
          <t>UPI</t>
        </is>
      </c>
      <c r="I2154" t="inlineStr">
        <is>
          <t>Delivered</t>
        </is>
      </c>
      <c r="J2154" t="n">
        <v>104</v>
      </c>
      <c r="K2154" t="n">
        <v>1</v>
      </c>
      <c r="L2154" s="7" t="n">
        <v>5249</v>
      </c>
      <c r="M2154" s="7" t="n">
        <v>0</v>
      </c>
    </row>
    <row r="2155">
      <c r="A2155" t="n">
        <v>510422</v>
      </c>
      <c r="B2155" s="6" t="n">
        <v>45957</v>
      </c>
      <c r="C2155" t="n">
        <v>17042</v>
      </c>
      <c r="D2155" t="inlineStr">
        <is>
          <t>Indore</t>
        </is>
      </c>
      <c r="E2155" t="inlineStr">
        <is>
          <t>West</t>
        </is>
      </c>
      <c r="F2155" t="inlineStr">
        <is>
          <t>Organic Search</t>
        </is>
      </c>
      <c r="G2155" t="inlineStr">
        <is>
          <t>Mobile Web</t>
        </is>
      </c>
      <c r="H2155" t="inlineStr">
        <is>
          <t>UPI</t>
        </is>
      </c>
      <c r="I2155" t="inlineStr">
        <is>
          <t>Delivered</t>
        </is>
      </c>
      <c r="J2155" t="n">
        <v>128</v>
      </c>
      <c r="K2155" t="n">
        <v>2</v>
      </c>
      <c r="L2155" s="7" t="n">
        <v>1049</v>
      </c>
      <c r="M2155" s="7" t="n">
        <v>0</v>
      </c>
    </row>
    <row r="2156">
      <c r="A2156" t="n">
        <v>510423</v>
      </c>
      <c r="B2156" s="6" t="n">
        <v>45957</v>
      </c>
      <c r="C2156" t="n">
        <v>16036</v>
      </c>
      <c r="D2156" t="inlineStr">
        <is>
          <t>Delhi</t>
        </is>
      </c>
      <c r="E2156" t="inlineStr">
        <is>
          <t>North</t>
        </is>
      </c>
      <c r="F2156" t="inlineStr">
        <is>
          <t>Referral</t>
        </is>
      </c>
      <c r="G2156" t="inlineStr">
        <is>
          <t>Mobile Web</t>
        </is>
      </c>
      <c r="H2156" t="inlineStr">
        <is>
          <t>Debit Card</t>
        </is>
      </c>
      <c r="I2156" t="inlineStr">
        <is>
          <t>Delivered</t>
        </is>
      </c>
      <c r="J2156" t="n">
        <v>134</v>
      </c>
      <c r="K2156" t="n">
        <v>1</v>
      </c>
      <c r="L2156" s="7" t="n">
        <v>209</v>
      </c>
      <c r="M2156" s="7" t="n">
        <v>0</v>
      </c>
    </row>
    <row r="2157">
      <c r="A2157" t="n">
        <v>510424</v>
      </c>
      <c r="B2157" s="6" t="n">
        <v>45957</v>
      </c>
      <c r="C2157" t="n">
        <v>17044</v>
      </c>
      <c r="D2157" t="inlineStr">
        <is>
          <t>Kolkata</t>
        </is>
      </c>
      <c r="E2157" t="inlineStr">
        <is>
          <t>East</t>
        </is>
      </c>
      <c r="F2157" t="inlineStr">
        <is>
          <t>Referral</t>
        </is>
      </c>
      <c r="G2157" t="inlineStr">
        <is>
          <t>Mobile App</t>
        </is>
      </c>
      <c r="H2157" t="inlineStr">
        <is>
          <t>Cash on Delivery</t>
        </is>
      </c>
      <c r="I2157" t="inlineStr">
        <is>
          <t>Delivered</t>
        </is>
      </c>
      <c r="J2157" t="n">
        <v>110</v>
      </c>
      <c r="K2157" t="n">
        <v>1</v>
      </c>
      <c r="L2157" s="7" t="n">
        <v>839</v>
      </c>
      <c r="M2157" s="7" t="n">
        <v>0</v>
      </c>
    </row>
    <row r="2158">
      <c r="A2158" t="n">
        <v>510424</v>
      </c>
      <c r="B2158" s="6" t="n">
        <v>45957</v>
      </c>
      <c r="C2158" t="n">
        <v>17044</v>
      </c>
      <c r="D2158" t="inlineStr">
        <is>
          <t>Kolkata</t>
        </is>
      </c>
      <c r="E2158" t="inlineStr">
        <is>
          <t>East</t>
        </is>
      </c>
      <c r="F2158" t="inlineStr">
        <is>
          <t>Referral</t>
        </is>
      </c>
      <c r="G2158" t="inlineStr">
        <is>
          <t>Mobile App</t>
        </is>
      </c>
      <c r="H2158" t="inlineStr">
        <is>
          <t>Cash on Delivery</t>
        </is>
      </c>
      <c r="I2158" t="inlineStr">
        <is>
          <t>Delivered</t>
        </is>
      </c>
      <c r="J2158" t="n">
        <v>122</v>
      </c>
      <c r="K2158" t="n">
        <v>1</v>
      </c>
      <c r="L2158" s="7" t="n">
        <v>1994</v>
      </c>
      <c r="M2158" s="7" t="n">
        <v>0</v>
      </c>
    </row>
    <row r="2159">
      <c r="A2159" t="n">
        <v>510424</v>
      </c>
      <c r="B2159" s="6" t="n">
        <v>45957</v>
      </c>
      <c r="C2159" t="n">
        <v>17044</v>
      </c>
      <c r="D2159" t="inlineStr">
        <is>
          <t>Kolkata</t>
        </is>
      </c>
      <c r="E2159" t="inlineStr">
        <is>
          <t>East</t>
        </is>
      </c>
      <c r="F2159" t="inlineStr">
        <is>
          <t>Referral</t>
        </is>
      </c>
      <c r="G2159" t="inlineStr">
        <is>
          <t>Mobile App</t>
        </is>
      </c>
      <c r="H2159" t="inlineStr">
        <is>
          <t>Cash on Delivery</t>
        </is>
      </c>
      <c r="I2159" t="inlineStr">
        <is>
          <t>Delivered</t>
        </is>
      </c>
      <c r="J2159" t="n">
        <v>132</v>
      </c>
      <c r="K2159" t="n">
        <v>1</v>
      </c>
      <c r="L2159" s="7" t="n">
        <v>471</v>
      </c>
      <c r="M2159" s="7" t="n">
        <v>0</v>
      </c>
    </row>
    <row r="2160">
      <c r="A2160" t="n">
        <v>510425</v>
      </c>
      <c r="B2160" s="6" t="n">
        <v>45957</v>
      </c>
      <c r="C2160" t="n">
        <v>12516</v>
      </c>
      <c r="D2160" t="inlineStr">
        <is>
          <t>Mumbai</t>
        </is>
      </c>
      <c r="E2160" t="inlineStr">
        <is>
          <t>West</t>
        </is>
      </c>
      <c r="F2160" t="inlineStr">
        <is>
          <t>Email</t>
        </is>
      </c>
      <c r="G2160" t="inlineStr">
        <is>
          <t>Mobile App</t>
        </is>
      </c>
      <c r="H2160" t="inlineStr">
        <is>
          <t>Cash on Delivery</t>
        </is>
      </c>
      <c r="I2160" t="inlineStr">
        <is>
          <t>Delivered</t>
        </is>
      </c>
      <c r="J2160" t="n">
        <v>143</v>
      </c>
      <c r="K2160" t="n">
        <v>1</v>
      </c>
      <c r="L2160" s="7" t="n">
        <v>839</v>
      </c>
      <c r="M2160" s="7" t="n">
        <v>0</v>
      </c>
    </row>
    <row r="2161">
      <c r="A2161" t="n">
        <v>510426</v>
      </c>
      <c r="B2161" s="6" t="n">
        <v>45957</v>
      </c>
      <c r="C2161" t="n">
        <v>16743</v>
      </c>
      <c r="D2161" t="inlineStr">
        <is>
          <t>Hyderabad</t>
        </is>
      </c>
      <c r="E2161" t="inlineStr">
        <is>
          <t>South</t>
        </is>
      </c>
      <c r="F2161" t="inlineStr">
        <is>
          <t>Referral</t>
        </is>
      </c>
      <c r="G2161" t="inlineStr">
        <is>
          <t>Mobile App</t>
        </is>
      </c>
      <c r="H2161" t="inlineStr">
        <is>
          <t>UPI</t>
        </is>
      </c>
      <c r="I2161" t="inlineStr">
        <is>
          <t>Returned</t>
        </is>
      </c>
      <c r="J2161" t="n">
        <v>130</v>
      </c>
      <c r="K2161" t="n">
        <v>3</v>
      </c>
      <c r="L2161" s="7" t="n">
        <v>734</v>
      </c>
      <c r="M2161" s="7" t="n">
        <v>0</v>
      </c>
    </row>
    <row r="2162">
      <c r="A2162" t="n">
        <v>510427</v>
      </c>
      <c r="B2162" s="6" t="n">
        <v>45957</v>
      </c>
      <c r="C2162" t="n">
        <v>16960</v>
      </c>
      <c r="D2162" t="inlineStr">
        <is>
          <t>Hyderabad</t>
        </is>
      </c>
      <c r="E2162" t="inlineStr">
        <is>
          <t>South</t>
        </is>
      </c>
      <c r="F2162" t="inlineStr">
        <is>
          <t>Paid Search</t>
        </is>
      </c>
      <c r="G2162" t="inlineStr">
        <is>
          <t>Desktop</t>
        </is>
      </c>
      <c r="H2162" t="inlineStr">
        <is>
          <t>Cash on Delivery</t>
        </is>
      </c>
      <c r="I2162" t="inlineStr">
        <is>
          <t>Delivered</t>
        </is>
      </c>
      <c r="J2162" t="n">
        <v>107</v>
      </c>
      <c r="K2162" t="n">
        <v>1</v>
      </c>
      <c r="L2162" s="7" t="n">
        <v>1259</v>
      </c>
      <c r="M2162" s="7" t="n">
        <v>188.85</v>
      </c>
    </row>
    <row r="2163">
      <c r="A2163" t="n">
        <v>510427</v>
      </c>
      <c r="B2163" s="6" t="n">
        <v>45957</v>
      </c>
      <c r="C2163" t="n">
        <v>16960</v>
      </c>
      <c r="D2163" t="inlineStr">
        <is>
          <t>Hyderabad</t>
        </is>
      </c>
      <c r="E2163" t="inlineStr">
        <is>
          <t>South</t>
        </is>
      </c>
      <c r="F2163" t="inlineStr">
        <is>
          <t>Paid Search</t>
        </is>
      </c>
      <c r="G2163" t="inlineStr">
        <is>
          <t>Desktop</t>
        </is>
      </c>
      <c r="H2163" t="inlineStr">
        <is>
          <t>Cash on Delivery</t>
        </is>
      </c>
      <c r="I2163" t="inlineStr">
        <is>
          <t>Delivered</t>
        </is>
      </c>
      <c r="J2163" t="n">
        <v>106</v>
      </c>
      <c r="K2163" t="n">
        <v>1</v>
      </c>
      <c r="L2163" s="7" t="n">
        <v>1574</v>
      </c>
      <c r="M2163" s="7" t="n">
        <v>236.1</v>
      </c>
    </row>
    <row r="2164">
      <c r="A2164" t="n">
        <v>510427</v>
      </c>
      <c r="B2164" s="6" t="n">
        <v>45957</v>
      </c>
      <c r="C2164" t="n">
        <v>16960</v>
      </c>
      <c r="D2164" t="inlineStr">
        <is>
          <t>Hyderabad</t>
        </is>
      </c>
      <c r="E2164" t="inlineStr">
        <is>
          <t>South</t>
        </is>
      </c>
      <c r="F2164" t="inlineStr">
        <is>
          <t>Paid Search</t>
        </is>
      </c>
      <c r="G2164" t="inlineStr">
        <is>
          <t>Desktop</t>
        </is>
      </c>
      <c r="H2164" t="inlineStr">
        <is>
          <t>Cash on Delivery</t>
        </is>
      </c>
      <c r="I2164" t="inlineStr">
        <is>
          <t>Delivered</t>
        </is>
      </c>
      <c r="J2164" t="n">
        <v>128</v>
      </c>
      <c r="K2164" t="n">
        <v>2</v>
      </c>
      <c r="L2164" s="7" t="n">
        <v>1049</v>
      </c>
      <c r="M2164" s="7" t="n">
        <v>314.7</v>
      </c>
    </row>
    <row r="2165">
      <c r="A2165" t="n">
        <v>510428</v>
      </c>
      <c r="B2165" s="6" t="n">
        <v>45957</v>
      </c>
      <c r="C2165" t="n">
        <v>17052</v>
      </c>
      <c r="D2165" t="inlineStr">
        <is>
          <t>Lucknow</t>
        </is>
      </c>
      <c r="E2165" t="inlineStr">
        <is>
          <t>North</t>
        </is>
      </c>
      <c r="F2165" t="inlineStr">
        <is>
          <t>Organic Search</t>
        </is>
      </c>
      <c r="G2165" t="inlineStr">
        <is>
          <t>Mobile App</t>
        </is>
      </c>
      <c r="H2165" t="inlineStr">
        <is>
          <t>Cash on Delivery</t>
        </is>
      </c>
      <c r="I2165" t="inlineStr">
        <is>
          <t>Delivered</t>
        </is>
      </c>
      <c r="J2165" t="n">
        <v>118</v>
      </c>
      <c r="K2165" t="n">
        <v>1</v>
      </c>
      <c r="L2165" s="7" t="n">
        <v>944</v>
      </c>
      <c r="M2165" s="7" t="n">
        <v>141.6</v>
      </c>
    </row>
    <row r="2166">
      <c r="A2166" t="n">
        <v>510429</v>
      </c>
      <c r="B2166" s="6" t="n">
        <v>45957</v>
      </c>
      <c r="C2166" t="n">
        <v>16957</v>
      </c>
      <c r="D2166" t="inlineStr">
        <is>
          <t>Lucknow</t>
        </is>
      </c>
      <c r="E2166" t="inlineStr">
        <is>
          <t>North</t>
        </is>
      </c>
      <c r="F2166" t="inlineStr">
        <is>
          <t>Organic Search</t>
        </is>
      </c>
      <c r="G2166" t="inlineStr">
        <is>
          <t>Mobile App</t>
        </is>
      </c>
      <c r="H2166" t="inlineStr">
        <is>
          <t>Cash on Delivery</t>
        </is>
      </c>
      <c r="I2166" t="inlineStr">
        <is>
          <t>Returned</t>
        </is>
      </c>
      <c r="J2166" t="n">
        <v>114</v>
      </c>
      <c r="K2166" t="n">
        <v>2</v>
      </c>
      <c r="L2166" s="7" t="n">
        <v>1259</v>
      </c>
      <c r="M2166" s="7" t="n">
        <v>0</v>
      </c>
    </row>
    <row r="2167">
      <c r="A2167" t="n">
        <v>510430</v>
      </c>
      <c r="B2167" s="6" t="n">
        <v>45957</v>
      </c>
      <c r="C2167" t="n">
        <v>17057</v>
      </c>
      <c r="D2167" t="inlineStr">
        <is>
          <t>Gurugram</t>
        </is>
      </c>
      <c r="E2167" t="inlineStr">
        <is>
          <t>North</t>
        </is>
      </c>
      <c r="F2167" t="inlineStr">
        <is>
          <t>Organic Search</t>
        </is>
      </c>
      <c r="G2167" t="inlineStr">
        <is>
          <t>Desktop</t>
        </is>
      </c>
      <c r="H2167" t="inlineStr">
        <is>
          <t>UPI</t>
        </is>
      </c>
      <c r="I2167" t="inlineStr">
        <is>
          <t>Delivered</t>
        </is>
      </c>
      <c r="J2167" t="n">
        <v>135</v>
      </c>
      <c r="K2167" t="n">
        <v>1</v>
      </c>
      <c r="L2167" s="7" t="n">
        <v>1574</v>
      </c>
      <c r="M2167" s="7" t="n">
        <v>0</v>
      </c>
    </row>
    <row r="2168">
      <c r="A2168" t="n">
        <v>510430</v>
      </c>
      <c r="B2168" s="6" t="n">
        <v>45957</v>
      </c>
      <c r="C2168" t="n">
        <v>17057</v>
      </c>
      <c r="D2168" t="inlineStr">
        <is>
          <t>Gurugram</t>
        </is>
      </c>
      <c r="E2168" t="inlineStr">
        <is>
          <t>North</t>
        </is>
      </c>
      <c r="F2168" t="inlineStr">
        <is>
          <t>Organic Search</t>
        </is>
      </c>
      <c r="G2168" t="inlineStr">
        <is>
          <t>Desktop</t>
        </is>
      </c>
      <c r="H2168" t="inlineStr">
        <is>
          <t>UPI</t>
        </is>
      </c>
      <c r="I2168" t="inlineStr">
        <is>
          <t>Delivered</t>
        </is>
      </c>
      <c r="J2168" t="n">
        <v>112</v>
      </c>
      <c r="K2168" t="n">
        <v>1</v>
      </c>
      <c r="L2168" s="7" t="n">
        <v>1574</v>
      </c>
      <c r="M2168" s="7" t="n">
        <v>0</v>
      </c>
    </row>
    <row r="2169">
      <c r="A2169" t="n">
        <v>510431</v>
      </c>
      <c r="B2169" s="6" t="n">
        <v>45957</v>
      </c>
      <c r="C2169" t="n">
        <v>17067</v>
      </c>
      <c r="D2169" t="inlineStr">
        <is>
          <t>Chennai</t>
        </is>
      </c>
      <c r="E2169" t="inlineStr">
        <is>
          <t>South</t>
        </is>
      </c>
      <c r="F2169" t="inlineStr">
        <is>
          <t>Referral</t>
        </is>
      </c>
      <c r="G2169" t="inlineStr">
        <is>
          <t>Mobile Web</t>
        </is>
      </c>
      <c r="H2169" t="inlineStr">
        <is>
          <t>Debit Card</t>
        </is>
      </c>
      <c r="I2169" t="inlineStr">
        <is>
          <t>Cancelled</t>
        </is>
      </c>
      <c r="J2169" t="n">
        <v>125</v>
      </c>
      <c r="K2169" t="n">
        <v>1</v>
      </c>
      <c r="L2169" s="7" t="n">
        <v>1364</v>
      </c>
      <c r="M2169" s="7" t="n">
        <v>0</v>
      </c>
    </row>
    <row r="2170">
      <c r="A2170" t="n">
        <v>510432</v>
      </c>
      <c r="B2170" s="6" t="n">
        <v>45957</v>
      </c>
      <c r="C2170" t="n">
        <v>16921</v>
      </c>
      <c r="D2170" t="inlineStr">
        <is>
          <t>Delhi</t>
        </is>
      </c>
      <c r="E2170" t="inlineStr">
        <is>
          <t>North</t>
        </is>
      </c>
      <c r="F2170" t="inlineStr">
        <is>
          <t>Referral</t>
        </is>
      </c>
      <c r="G2170" t="inlineStr">
        <is>
          <t>Mobile App</t>
        </is>
      </c>
      <c r="H2170" t="inlineStr">
        <is>
          <t>UPI</t>
        </is>
      </c>
      <c r="I2170" t="inlineStr">
        <is>
          <t>Delivered</t>
        </is>
      </c>
      <c r="J2170" t="n">
        <v>147</v>
      </c>
      <c r="K2170" t="n">
        <v>1</v>
      </c>
      <c r="L2170" s="7" t="n">
        <v>1364</v>
      </c>
      <c r="M2170" s="7" t="n">
        <v>204.6</v>
      </c>
    </row>
    <row r="2171">
      <c r="A2171" t="n">
        <v>510432</v>
      </c>
      <c r="B2171" s="6" t="n">
        <v>45957</v>
      </c>
      <c r="C2171" t="n">
        <v>16921</v>
      </c>
      <c r="D2171" t="inlineStr">
        <is>
          <t>Delhi</t>
        </is>
      </c>
      <c r="E2171" t="inlineStr">
        <is>
          <t>North</t>
        </is>
      </c>
      <c r="F2171" t="inlineStr">
        <is>
          <t>Referral</t>
        </is>
      </c>
      <c r="G2171" t="inlineStr">
        <is>
          <t>Mobile App</t>
        </is>
      </c>
      <c r="H2171" t="inlineStr">
        <is>
          <t>UPI</t>
        </is>
      </c>
      <c r="I2171" t="inlineStr">
        <is>
          <t>Delivered</t>
        </is>
      </c>
      <c r="J2171" t="n">
        <v>112</v>
      </c>
      <c r="K2171" t="n">
        <v>1</v>
      </c>
      <c r="L2171" s="7" t="n">
        <v>1574</v>
      </c>
      <c r="M2171" s="7" t="n">
        <v>236.1</v>
      </c>
    </row>
    <row r="2172">
      <c r="A2172" t="n">
        <v>510433</v>
      </c>
      <c r="B2172" s="6" t="n">
        <v>45957</v>
      </c>
      <c r="C2172" t="n">
        <v>17040</v>
      </c>
      <c r="D2172" t="inlineStr">
        <is>
          <t>Mumbai</t>
        </is>
      </c>
      <c r="E2172" t="inlineStr">
        <is>
          <t>West</t>
        </is>
      </c>
      <c r="F2172" t="inlineStr">
        <is>
          <t>Organic Search</t>
        </is>
      </c>
      <c r="G2172" t="inlineStr">
        <is>
          <t>Mobile App</t>
        </is>
      </c>
      <c r="H2172" t="inlineStr">
        <is>
          <t>Debit Card</t>
        </is>
      </c>
      <c r="I2172" t="inlineStr">
        <is>
          <t>Delivered</t>
        </is>
      </c>
      <c r="J2172" t="n">
        <v>124</v>
      </c>
      <c r="K2172" t="n">
        <v>2</v>
      </c>
      <c r="L2172" s="7" t="n">
        <v>1154</v>
      </c>
      <c r="M2172" s="7" t="n">
        <v>0</v>
      </c>
    </row>
    <row r="2173">
      <c r="A2173" t="n">
        <v>510434</v>
      </c>
      <c r="B2173" s="6" t="n">
        <v>45957</v>
      </c>
      <c r="C2173" t="n">
        <v>16995</v>
      </c>
      <c r="D2173" t="inlineStr">
        <is>
          <t>Bengaluru</t>
        </is>
      </c>
      <c r="E2173" t="inlineStr">
        <is>
          <t>South</t>
        </is>
      </c>
      <c r="F2173" t="inlineStr">
        <is>
          <t>Organic Search</t>
        </is>
      </c>
      <c r="G2173" t="inlineStr">
        <is>
          <t>Mobile Web</t>
        </is>
      </c>
      <c r="H2173" t="inlineStr">
        <is>
          <t>Credit Card</t>
        </is>
      </c>
      <c r="I2173" t="inlineStr">
        <is>
          <t>Delivered</t>
        </is>
      </c>
      <c r="J2173" t="n">
        <v>141</v>
      </c>
      <c r="K2173" t="n">
        <v>1</v>
      </c>
      <c r="L2173" s="7" t="n">
        <v>261</v>
      </c>
      <c r="M2173" s="7" t="n">
        <v>0</v>
      </c>
    </row>
    <row r="2174">
      <c r="A2174" t="n">
        <v>510435</v>
      </c>
      <c r="B2174" s="6" t="n">
        <v>45957</v>
      </c>
      <c r="C2174" t="n">
        <v>17001</v>
      </c>
      <c r="D2174" t="inlineStr">
        <is>
          <t>Indore</t>
        </is>
      </c>
      <c r="E2174" t="inlineStr">
        <is>
          <t>West</t>
        </is>
      </c>
      <c r="F2174" t="inlineStr">
        <is>
          <t>Organic Search</t>
        </is>
      </c>
      <c r="G2174" t="inlineStr">
        <is>
          <t>Mobile App</t>
        </is>
      </c>
      <c r="H2174" t="inlineStr">
        <is>
          <t>UPI</t>
        </is>
      </c>
      <c r="I2174" t="inlineStr">
        <is>
          <t>Delivered</t>
        </is>
      </c>
      <c r="J2174" t="n">
        <v>134</v>
      </c>
      <c r="K2174" t="n">
        <v>1</v>
      </c>
      <c r="L2174" s="7" t="n">
        <v>209</v>
      </c>
      <c r="M2174" s="7" t="n">
        <v>0</v>
      </c>
    </row>
    <row r="2175">
      <c r="A2175" t="n">
        <v>510436</v>
      </c>
      <c r="B2175" s="6" t="n">
        <v>45957</v>
      </c>
      <c r="C2175" t="n">
        <v>15894</v>
      </c>
      <c r="D2175" t="inlineStr">
        <is>
          <t>Chennai</t>
        </is>
      </c>
      <c r="E2175" t="inlineStr">
        <is>
          <t>South</t>
        </is>
      </c>
      <c r="F2175" t="inlineStr">
        <is>
          <t>Paid Social</t>
        </is>
      </c>
      <c r="G2175" t="inlineStr">
        <is>
          <t>Mobile Web</t>
        </is>
      </c>
      <c r="H2175" t="inlineStr">
        <is>
          <t>Credit Card</t>
        </is>
      </c>
      <c r="I2175" t="inlineStr">
        <is>
          <t>Delivered</t>
        </is>
      </c>
      <c r="J2175" t="n">
        <v>123</v>
      </c>
      <c r="K2175" t="n">
        <v>1</v>
      </c>
      <c r="L2175" s="7" t="n">
        <v>3464</v>
      </c>
      <c r="M2175" s="7" t="n">
        <v>0</v>
      </c>
    </row>
    <row r="2176">
      <c r="A2176" t="n">
        <v>510437</v>
      </c>
      <c r="B2176" s="6" t="n">
        <v>45957</v>
      </c>
      <c r="C2176" t="n">
        <v>17032</v>
      </c>
      <c r="D2176" t="inlineStr">
        <is>
          <t>Chennai</t>
        </is>
      </c>
      <c r="E2176" t="inlineStr">
        <is>
          <t>South</t>
        </is>
      </c>
      <c r="F2176" t="inlineStr">
        <is>
          <t>Paid Search</t>
        </is>
      </c>
      <c r="G2176" t="inlineStr">
        <is>
          <t>Mobile App</t>
        </is>
      </c>
      <c r="H2176" t="inlineStr">
        <is>
          <t>UPI</t>
        </is>
      </c>
      <c r="I2176" t="inlineStr">
        <is>
          <t>Delivered</t>
        </is>
      </c>
      <c r="J2176" t="n">
        <v>113</v>
      </c>
      <c r="K2176" t="n">
        <v>2</v>
      </c>
      <c r="L2176" s="7" t="n">
        <v>1364</v>
      </c>
      <c r="M2176" s="7" t="n">
        <v>409.2</v>
      </c>
    </row>
    <row r="2177">
      <c r="A2177" t="n">
        <v>510438</v>
      </c>
      <c r="B2177" s="6" t="n">
        <v>45957</v>
      </c>
      <c r="C2177" t="n">
        <v>16991</v>
      </c>
      <c r="D2177" t="inlineStr">
        <is>
          <t>Delhi</t>
        </is>
      </c>
      <c r="E2177" t="inlineStr">
        <is>
          <t>North</t>
        </is>
      </c>
      <c r="F2177" t="inlineStr">
        <is>
          <t>Paid Search</t>
        </is>
      </c>
      <c r="G2177" t="inlineStr">
        <is>
          <t>Mobile App</t>
        </is>
      </c>
      <c r="H2177" t="inlineStr">
        <is>
          <t>Cash on Delivery</t>
        </is>
      </c>
      <c r="I2177" t="inlineStr">
        <is>
          <t>Delivered</t>
        </is>
      </c>
      <c r="J2177" t="n">
        <v>114</v>
      </c>
      <c r="K2177" t="n">
        <v>1</v>
      </c>
      <c r="L2177" s="7" t="n">
        <v>1259</v>
      </c>
      <c r="M2177" s="7" t="n">
        <v>188.85</v>
      </c>
    </row>
    <row r="2178">
      <c r="A2178" t="n">
        <v>510438</v>
      </c>
      <c r="B2178" s="6" t="n">
        <v>45957</v>
      </c>
      <c r="C2178" t="n">
        <v>16991</v>
      </c>
      <c r="D2178" t="inlineStr">
        <is>
          <t>Delhi</t>
        </is>
      </c>
      <c r="E2178" t="inlineStr">
        <is>
          <t>North</t>
        </is>
      </c>
      <c r="F2178" t="inlineStr">
        <is>
          <t>Paid Search</t>
        </is>
      </c>
      <c r="G2178" t="inlineStr">
        <is>
          <t>Mobile App</t>
        </is>
      </c>
      <c r="H2178" t="inlineStr">
        <is>
          <t>Cash on Delivery</t>
        </is>
      </c>
      <c r="I2178" t="inlineStr">
        <is>
          <t>Delivered</t>
        </is>
      </c>
      <c r="J2178" t="n">
        <v>112</v>
      </c>
      <c r="K2178" t="n">
        <v>1</v>
      </c>
      <c r="L2178" s="7" t="n">
        <v>1574</v>
      </c>
      <c r="M2178" s="7" t="n">
        <v>236.1</v>
      </c>
    </row>
    <row r="2179">
      <c r="A2179" t="n">
        <v>510439</v>
      </c>
      <c r="B2179" s="6" t="n">
        <v>45957</v>
      </c>
      <c r="C2179" t="n">
        <v>13402</v>
      </c>
      <c r="D2179" t="inlineStr">
        <is>
          <t>Chennai</t>
        </is>
      </c>
      <c r="E2179" t="inlineStr">
        <is>
          <t>South</t>
        </is>
      </c>
      <c r="F2179" t="inlineStr">
        <is>
          <t>Paid Search</t>
        </is>
      </c>
      <c r="G2179" t="inlineStr">
        <is>
          <t>Mobile App</t>
        </is>
      </c>
      <c r="H2179" t="inlineStr">
        <is>
          <t>UPI</t>
        </is>
      </c>
      <c r="I2179" t="inlineStr">
        <is>
          <t>Delivered</t>
        </is>
      </c>
      <c r="J2179" t="n">
        <v>128</v>
      </c>
      <c r="K2179" t="n">
        <v>1</v>
      </c>
      <c r="L2179" s="7" t="n">
        <v>1049</v>
      </c>
      <c r="M2179" s="7" t="n">
        <v>0</v>
      </c>
    </row>
    <row r="2180">
      <c r="A2180" t="n">
        <v>510439</v>
      </c>
      <c r="B2180" s="6" t="n">
        <v>45957</v>
      </c>
      <c r="C2180" t="n">
        <v>13402</v>
      </c>
      <c r="D2180" t="inlineStr">
        <is>
          <t>Chennai</t>
        </is>
      </c>
      <c r="E2180" t="inlineStr">
        <is>
          <t>South</t>
        </is>
      </c>
      <c r="F2180" t="inlineStr">
        <is>
          <t>Paid Search</t>
        </is>
      </c>
      <c r="G2180" t="inlineStr">
        <is>
          <t>Mobile App</t>
        </is>
      </c>
      <c r="H2180" t="inlineStr">
        <is>
          <t>UPI</t>
        </is>
      </c>
      <c r="I2180" t="inlineStr">
        <is>
          <t>Delivered</t>
        </is>
      </c>
      <c r="J2180" t="n">
        <v>132</v>
      </c>
      <c r="K2180" t="n">
        <v>1</v>
      </c>
      <c r="L2180" s="7" t="n">
        <v>471</v>
      </c>
      <c r="M2180" s="7" t="n">
        <v>0</v>
      </c>
    </row>
    <row r="2181">
      <c r="A2181" t="n">
        <v>510440</v>
      </c>
      <c r="B2181" s="6" t="n">
        <v>45957</v>
      </c>
      <c r="C2181" t="n">
        <v>16908</v>
      </c>
      <c r="D2181" t="inlineStr">
        <is>
          <t>Ahmedabad</t>
        </is>
      </c>
      <c r="E2181" t="inlineStr">
        <is>
          <t>West</t>
        </is>
      </c>
      <c r="F2181" t="inlineStr">
        <is>
          <t>Referral</t>
        </is>
      </c>
      <c r="G2181" t="inlineStr">
        <is>
          <t>Mobile App</t>
        </is>
      </c>
      <c r="H2181" t="inlineStr">
        <is>
          <t>UPI</t>
        </is>
      </c>
      <c r="I2181" t="inlineStr">
        <is>
          <t>Delivered</t>
        </is>
      </c>
      <c r="J2181" t="n">
        <v>127</v>
      </c>
      <c r="K2181" t="n">
        <v>1</v>
      </c>
      <c r="L2181" s="7" t="n">
        <v>681</v>
      </c>
      <c r="M2181" s="7" t="n">
        <v>0</v>
      </c>
    </row>
    <row r="2182">
      <c r="A2182" t="n">
        <v>510441</v>
      </c>
      <c r="B2182" s="6" t="n">
        <v>45957</v>
      </c>
      <c r="C2182" t="n">
        <v>16929</v>
      </c>
      <c r="D2182" t="inlineStr">
        <is>
          <t>Delhi</t>
        </is>
      </c>
      <c r="E2182" t="inlineStr">
        <is>
          <t>North</t>
        </is>
      </c>
      <c r="F2182" t="inlineStr">
        <is>
          <t>Organic Search</t>
        </is>
      </c>
      <c r="G2182" t="inlineStr">
        <is>
          <t>Desktop</t>
        </is>
      </c>
      <c r="H2182" t="inlineStr">
        <is>
          <t>UPI</t>
        </is>
      </c>
      <c r="I2182" t="inlineStr">
        <is>
          <t>Delivered</t>
        </is>
      </c>
      <c r="J2182" t="n">
        <v>147</v>
      </c>
      <c r="K2182" t="n">
        <v>1</v>
      </c>
      <c r="L2182" s="7" t="n">
        <v>1364</v>
      </c>
      <c r="M2182" s="7" t="n">
        <v>204.6</v>
      </c>
    </row>
    <row r="2183">
      <c r="A2183" t="n">
        <v>510442</v>
      </c>
      <c r="B2183" s="6" t="n">
        <v>45957</v>
      </c>
      <c r="C2183" t="n">
        <v>14960</v>
      </c>
      <c r="D2183" t="inlineStr">
        <is>
          <t>Mumbai</t>
        </is>
      </c>
      <c r="E2183" t="inlineStr">
        <is>
          <t>West</t>
        </is>
      </c>
      <c r="F2183" t="inlineStr">
        <is>
          <t>Email</t>
        </is>
      </c>
      <c r="G2183" t="inlineStr">
        <is>
          <t>Mobile App</t>
        </is>
      </c>
      <c r="H2183" t="inlineStr">
        <is>
          <t>UPI</t>
        </is>
      </c>
      <c r="I2183" t="inlineStr">
        <is>
          <t>Delivered</t>
        </is>
      </c>
      <c r="J2183" t="n">
        <v>126</v>
      </c>
      <c r="K2183" t="n">
        <v>1</v>
      </c>
      <c r="L2183" s="7" t="n">
        <v>471</v>
      </c>
      <c r="M2183" s="7" t="n">
        <v>0</v>
      </c>
    </row>
    <row r="2184">
      <c r="A2184" t="n">
        <v>510442</v>
      </c>
      <c r="B2184" s="6" t="n">
        <v>45957</v>
      </c>
      <c r="C2184" t="n">
        <v>14960</v>
      </c>
      <c r="D2184" t="inlineStr">
        <is>
          <t>Mumbai</t>
        </is>
      </c>
      <c r="E2184" t="inlineStr">
        <is>
          <t>West</t>
        </is>
      </c>
      <c r="F2184" t="inlineStr">
        <is>
          <t>Email</t>
        </is>
      </c>
      <c r="G2184" t="inlineStr">
        <is>
          <t>Mobile App</t>
        </is>
      </c>
      <c r="H2184" t="inlineStr">
        <is>
          <t>UPI</t>
        </is>
      </c>
      <c r="I2184" t="inlineStr">
        <is>
          <t>Delivered</t>
        </is>
      </c>
      <c r="J2184" t="n">
        <v>116</v>
      </c>
      <c r="K2184" t="n">
        <v>1</v>
      </c>
      <c r="L2184" s="7" t="n">
        <v>2624</v>
      </c>
      <c r="M2184" s="7" t="n">
        <v>0</v>
      </c>
    </row>
    <row r="2185">
      <c r="A2185" t="n">
        <v>510443</v>
      </c>
      <c r="B2185" s="6" t="n">
        <v>45957</v>
      </c>
      <c r="C2185" t="n">
        <v>16182</v>
      </c>
      <c r="D2185" t="inlineStr">
        <is>
          <t>Lucknow</t>
        </is>
      </c>
      <c r="E2185" t="inlineStr">
        <is>
          <t>North</t>
        </is>
      </c>
      <c r="F2185" t="inlineStr">
        <is>
          <t>Email</t>
        </is>
      </c>
      <c r="G2185" t="inlineStr">
        <is>
          <t>Desktop</t>
        </is>
      </c>
      <c r="H2185" t="inlineStr">
        <is>
          <t>UPI</t>
        </is>
      </c>
      <c r="I2185" t="inlineStr">
        <is>
          <t>Delivered</t>
        </is>
      </c>
      <c r="J2185" t="n">
        <v>111</v>
      </c>
      <c r="K2185" t="n">
        <v>2</v>
      </c>
      <c r="L2185" s="7" t="n">
        <v>524</v>
      </c>
      <c r="M2185" s="7" t="n">
        <v>0</v>
      </c>
    </row>
    <row r="2186">
      <c r="A2186" t="n">
        <v>510444</v>
      </c>
      <c r="B2186" s="6" t="n">
        <v>45957</v>
      </c>
      <c r="C2186" t="n">
        <v>16938</v>
      </c>
      <c r="D2186" t="inlineStr">
        <is>
          <t>Delhi</t>
        </is>
      </c>
      <c r="E2186" t="inlineStr">
        <is>
          <t>North</t>
        </is>
      </c>
      <c r="F2186" t="inlineStr">
        <is>
          <t>Paid Social</t>
        </is>
      </c>
      <c r="G2186" t="inlineStr">
        <is>
          <t>Desktop</t>
        </is>
      </c>
      <c r="H2186" t="inlineStr">
        <is>
          <t>Credit Card</t>
        </is>
      </c>
      <c r="I2186" t="inlineStr">
        <is>
          <t>Returned</t>
        </is>
      </c>
      <c r="J2186" t="n">
        <v>105</v>
      </c>
      <c r="K2186" t="n">
        <v>1</v>
      </c>
      <c r="L2186" s="7" t="n">
        <v>2414</v>
      </c>
      <c r="M2186" s="7" t="n">
        <v>362.1</v>
      </c>
    </row>
    <row r="2187">
      <c r="A2187" t="n">
        <v>510444</v>
      </c>
      <c r="B2187" s="6" t="n">
        <v>45957</v>
      </c>
      <c r="C2187" t="n">
        <v>16938</v>
      </c>
      <c r="D2187" t="inlineStr">
        <is>
          <t>Delhi</t>
        </is>
      </c>
      <c r="E2187" t="inlineStr">
        <is>
          <t>North</t>
        </is>
      </c>
      <c r="F2187" t="inlineStr">
        <is>
          <t>Paid Social</t>
        </is>
      </c>
      <c r="G2187" t="inlineStr">
        <is>
          <t>Desktop</t>
        </is>
      </c>
      <c r="H2187" t="inlineStr">
        <is>
          <t>Credit Card</t>
        </is>
      </c>
      <c r="I2187" t="inlineStr">
        <is>
          <t>Returned</t>
        </is>
      </c>
      <c r="J2187" t="n">
        <v>114</v>
      </c>
      <c r="K2187" t="n">
        <v>1</v>
      </c>
      <c r="L2187" s="7" t="n">
        <v>1259</v>
      </c>
      <c r="M2187" s="7" t="n">
        <v>188.85</v>
      </c>
    </row>
    <row r="2188">
      <c r="A2188" t="n">
        <v>510445</v>
      </c>
      <c r="B2188" s="6" t="n">
        <v>45957</v>
      </c>
      <c r="C2188" t="n">
        <v>17013</v>
      </c>
      <c r="D2188" t="inlineStr">
        <is>
          <t>Gurugram</t>
        </is>
      </c>
      <c r="E2188" t="inlineStr">
        <is>
          <t>North</t>
        </is>
      </c>
      <c r="F2188" t="inlineStr">
        <is>
          <t>Paid Social</t>
        </is>
      </c>
      <c r="G2188" t="inlineStr">
        <is>
          <t>Mobile App</t>
        </is>
      </c>
      <c r="H2188" t="inlineStr">
        <is>
          <t>UPI</t>
        </is>
      </c>
      <c r="I2188" t="inlineStr">
        <is>
          <t>Delivered</t>
        </is>
      </c>
      <c r="J2188" t="n">
        <v>137</v>
      </c>
      <c r="K2188" t="n">
        <v>1</v>
      </c>
      <c r="L2188" s="7" t="n">
        <v>261</v>
      </c>
      <c r="M2188" s="7" t="n">
        <v>39.15</v>
      </c>
    </row>
    <row r="2189">
      <c r="A2189" t="n">
        <v>510446</v>
      </c>
      <c r="B2189" s="6" t="n">
        <v>45958</v>
      </c>
      <c r="C2189" t="n">
        <v>16176</v>
      </c>
      <c r="D2189" t="inlineStr">
        <is>
          <t>Mumbai</t>
        </is>
      </c>
      <c r="E2189" t="inlineStr">
        <is>
          <t>West</t>
        </is>
      </c>
      <c r="F2189" t="inlineStr">
        <is>
          <t>Organic Search</t>
        </is>
      </c>
      <c r="G2189" t="inlineStr">
        <is>
          <t>Mobile App</t>
        </is>
      </c>
      <c r="H2189" t="inlineStr">
        <is>
          <t>Credit Card</t>
        </is>
      </c>
      <c r="I2189" t="inlineStr">
        <is>
          <t>Delivered</t>
        </is>
      </c>
      <c r="J2189" t="n">
        <v>131</v>
      </c>
      <c r="K2189" t="n">
        <v>1</v>
      </c>
      <c r="L2189" s="7" t="n">
        <v>314</v>
      </c>
      <c r="M2189" s="7" t="n">
        <v>0</v>
      </c>
    </row>
    <row r="2190">
      <c r="A2190" t="n">
        <v>510446</v>
      </c>
      <c r="B2190" s="6" t="n">
        <v>45958</v>
      </c>
      <c r="C2190" t="n">
        <v>16176</v>
      </c>
      <c r="D2190" t="inlineStr">
        <is>
          <t>Mumbai</t>
        </is>
      </c>
      <c r="E2190" t="inlineStr">
        <is>
          <t>West</t>
        </is>
      </c>
      <c r="F2190" t="inlineStr">
        <is>
          <t>Organic Search</t>
        </is>
      </c>
      <c r="G2190" t="inlineStr">
        <is>
          <t>Mobile App</t>
        </is>
      </c>
      <c r="H2190" t="inlineStr">
        <is>
          <t>Credit Card</t>
        </is>
      </c>
      <c r="I2190" t="inlineStr">
        <is>
          <t>Delivered</t>
        </is>
      </c>
      <c r="J2190" t="n">
        <v>121</v>
      </c>
      <c r="K2190" t="n">
        <v>1</v>
      </c>
      <c r="L2190" s="7" t="n">
        <v>2939</v>
      </c>
      <c r="M2190" s="7" t="n">
        <v>0</v>
      </c>
    </row>
    <row r="2191">
      <c r="A2191" t="n">
        <v>510447</v>
      </c>
      <c r="B2191" s="6" t="n">
        <v>45958</v>
      </c>
      <c r="C2191" t="n">
        <v>17015</v>
      </c>
      <c r="D2191" t="inlineStr">
        <is>
          <t>Ahmedabad</t>
        </is>
      </c>
      <c r="E2191" t="inlineStr">
        <is>
          <t>West</t>
        </is>
      </c>
      <c r="F2191" t="inlineStr">
        <is>
          <t>Referral</t>
        </is>
      </c>
      <c r="G2191" t="inlineStr">
        <is>
          <t>Desktop</t>
        </is>
      </c>
      <c r="H2191" t="inlineStr">
        <is>
          <t>UPI</t>
        </is>
      </c>
      <c r="I2191" t="inlineStr">
        <is>
          <t>Delivered</t>
        </is>
      </c>
      <c r="J2191" t="n">
        <v>143</v>
      </c>
      <c r="K2191" t="n">
        <v>1</v>
      </c>
      <c r="L2191" s="7" t="n">
        <v>839</v>
      </c>
      <c r="M2191" s="7" t="n">
        <v>125.85</v>
      </c>
    </row>
    <row r="2192">
      <c r="A2192" t="n">
        <v>510448</v>
      </c>
      <c r="B2192" s="6" t="n">
        <v>45958</v>
      </c>
      <c r="C2192" t="n">
        <v>16985</v>
      </c>
      <c r="D2192" t="inlineStr">
        <is>
          <t>Hyderabad</t>
        </is>
      </c>
      <c r="E2192" t="inlineStr">
        <is>
          <t>South</t>
        </is>
      </c>
      <c r="F2192" t="inlineStr">
        <is>
          <t>Paid Search</t>
        </is>
      </c>
      <c r="G2192" t="inlineStr">
        <is>
          <t>Desktop</t>
        </is>
      </c>
      <c r="H2192" t="inlineStr">
        <is>
          <t>UPI</t>
        </is>
      </c>
      <c r="I2192" t="inlineStr">
        <is>
          <t>Delivered</t>
        </is>
      </c>
      <c r="J2192" t="n">
        <v>108</v>
      </c>
      <c r="K2192" t="n">
        <v>1</v>
      </c>
      <c r="L2192" s="7" t="n">
        <v>419</v>
      </c>
      <c r="M2192" s="7" t="n">
        <v>0</v>
      </c>
    </row>
    <row r="2193">
      <c r="A2193" t="n">
        <v>510448</v>
      </c>
      <c r="B2193" s="6" t="n">
        <v>45958</v>
      </c>
      <c r="C2193" t="n">
        <v>16985</v>
      </c>
      <c r="D2193" t="inlineStr">
        <is>
          <t>Hyderabad</t>
        </is>
      </c>
      <c r="E2193" t="inlineStr">
        <is>
          <t>South</t>
        </is>
      </c>
      <c r="F2193" t="inlineStr">
        <is>
          <t>Paid Search</t>
        </is>
      </c>
      <c r="G2193" t="inlineStr">
        <is>
          <t>Desktop</t>
        </is>
      </c>
      <c r="H2193" t="inlineStr">
        <is>
          <t>UPI</t>
        </is>
      </c>
      <c r="I2193" t="inlineStr">
        <is>
          <t>Delivered</t>
        </is>
      </c>
      <c r="J2193" t="n">
        <v>126</v>
      </c>
      <c r="K2193" t="n">
        <v>1</v>
      </c>
      <c r="L2193" s="7" t="n">
        <v>471</v>
      </c>
      <c r="M2193" s="7" t="n">
        <v>0</v>
      </c>
    </row>
    <row r="2194">
      <c r="A2194" t="n">
        <v>510449</v>
      </c>
      <c r="B2194" s="6" t="n">
        <v>45958</v>
      </c>
      <c r="C2194" t="n">
        <v>17075</v>
      </c>
      <c r="D2194" t="inlineStr">
        <is>
          <t>Delhi</t>
        </is>
      </c>
      <c r="E2194" t="inlineStr">
        <is>
          <t>North</t>
        </is>
      </c>
      <c r="F2194" t="inlineStr">
        <is>
          <t>Organic Search</t>
        </is>
      </c>
      <c r="G2194" t="inlineStr">
        <is>
          <t>Mobile App</t>
        </is>
      </c>
      <c r="H2194" t="inlineStr">
        <is>
          <t>Debit Card</t>
        </is>
      </c>
      <c r="I2194" t="inlineStr">
        <is>
          <t>Delivered</t>
        </is>
      </c>
      <c r="J2194" t="n">
        <v>111</v>
      </c>
      <c r="K2194" t="n">
        <v>1</v>
      </c>
      <c r="L2194" s="7" t="n">
        <v>524</v>
      </c>
      <c r="M2194" s="7" t="n">
        <v>0</v>
      </c>
    </row>
    <row r="2195">
      <c r="A2195" t="n">
        <v>510449</v>
      </c>
      <c r="B2195" s="6" t="n">
        <v>45958</v>
      </c>
      <c r="C2195" t="n">
        <v>17075</v>
      </c>
      <c r="D2195" t="inlineStr">
        <is>
          <t>Delhi</t>
        </is>
      </c>
      <c r="E2195" t="inlineStr">
        <is>
          <t>North</t>
        </is>
      </c>
      <c r="F2195" t="inlineStr">
        <is>
          <t>Organic Search</t>
        </is>
      </c>
      <c r="G2195" t="inlineStr">
        <is>
          <t>Mobile App</t>
        </is>
      </c>
      <c r="H2195" t="inlineStr">
        <is>
          <t>Debit Card</t>
        </is>
      </c>
      <c r="I2195" t="inlineStr">
        <is>
          <t>Delivered</t>
        </is>
      </c>
      <c r="J2195" t="n">
        <v>140</v>
      </c>
      <c r="K2195" t="n">
        <v>1</v>
      </c>
      <c r="L2195" s="7" t="n">
        <v>629</v>
      </c>
      <c r="M2195" s="7" t="n">
        <v>0</v>
      </c>
    </row>
    <row r="2196">
      <c r="A2196" t="n">
        <v>510449</v>
      </c>
      <c r="B2196" s="6" t="n">
        <v>45958</v>
      </c>
      <c r="C2196" t="n">
        <v>17075</v>
      </c>
      <c r="D2196" t="inlineStr">
        <is>
          <t>Delhi</t>
        </is>
      </c>
      <c r="E2196" t="inlineStr">
        <is>
          <t>North</t>
        </is>
      </c>
      <c r="F2196" t="inlineStr">
        <is>
          <t>Organic Search</t>
        </is>
      </c>
      <c r="G2196" t="inlineStr">
        <is>
          <t>Mobile App</t>
        </is>
      </c>
      <c r="H2196" t="inlineStr">
        <is>
          <t>Debit Card</t>
        </is>
      </c>
      <c r="I2196" t="inlineStr">
        <is>
          <t>Delivered</t>
        </is>
      </c>
      <c r="J2196" t="n">
        <v>122</v>
      </c>
      <c r="K2196" t="n">
        <v>1</v>
      </c>
      <c r="L2196" s="7" t="n">
        <v>1994</v>
      </c>
      <c r="M2196" s="7" t="n">
        <v>0</v>
      </c>
    </row>
    <row r="2197">
      <c r="A2197" t="n">
        <v>510450</v>
      </c>
      <c r="B2197" s="6" t="n">
        <v>45958</v>
      </c>
      <c r="C2197" t="n">
        <v>17072</v>
      </c>
      <c r="D2197" t="inlineStr">
        <is>
          <t>Mumbai</t>
        </is>
      </c>
      <c r="E2197" t="inlineStr">
        <is>
          <t>West</t>
        </is>
      </c>
      <c r="F2197" t="inlineStr">
        <is>
          <t>Organic Search</t>
        </is>
      </c>
      <c r="G2197" t="inlineStr">
        <is>
          <t>Mobile Web</t>
        </is>
      </c>
      <c r="H2197" t="inlineStr">
        <is>
          <t>UPI</t>
        </is>
      </c>
      <c r="I2197" t="inlineStr">
        <is>
          <t>Delivered</t>
        </is>
      </c>
      <c r="J2197" t="n">
        <v>135</v>
      </c>
      <c r="K2197" t="n">
        <v>1</v>
      </c>
      <c r="L2197" s="7" t="n">
        <v>1574</v>
      </c>
      <c r="M2197" s="7" t="n">
        <v>0</v>
      </c>
    </row>
    <row r="2198">
      <c r="A2198" t="n">
        <v>510450</v>
      </c>
      <c r="B2198" s="6" t="n">
        <v>45958</v>
      </c>
      <c r="C2198" t="n">
        <v>17072</v>
      </c>
      <c r="D2198" t="inlineStr">
        <is>
          <t>Mumbai</t>
        </is>
      </c>
      <c r="E2198" t="inlineStr">
        <is>
          <t>West</t>
        </is>
      </c>
      <c r="F2198" t="inlineStr">
        <is>
          <t>Organic Search</t>
        </is>
      </c>
      <c r="G2198" t="inlineStr">
        <is>
          <t>Mobile Web</t>
        </is>
      </c>
      <c r="H2198" t="inlineStr">
        <is>
          <t>UPI</t>
        </is>
      </c>
      <c r="I2198" t="inlineStr">
        <is>
          <t>Delivered</t>
        </is>
      </c>
      <c r="J2198" t="n">
        <v>108</v>
      </c>
      <c r="K2198" t="n">
        <v>1</v>
      </c>
      <c r="L2198" s="7" t="n">
        <v>419</v>
      </c>
      <c r="M2198" s="7" t="n">
        <v>0</v>
      </c>
    </row>
    <row r="2199">
      <c r="A2199" t="n">
        <v>510451</v>
      </c>
      <c r="B2199" s="6" t="n">
        <v>45958</v>
      </c>
      <c r="C2199" t="n">
        <v>16590</v>
      </c>
      <c r="D2199" t="inlineStr">
        <is>
          <t>Bengaluru</t>
        </is>
      </c>
      <c r="E2199" t="inlineStr">
        <is>
          <t>South</t>
        </is>
      </c>
      <c r="F2199" t="inlineStr">
        <is>
          <t>Paid Search</t>
        </is>
      </c>
      <c r="G2199" t="inlineStr">
        <is>
          <t>Mobile App</t>
        </is>
      </c>
      <c r="H2199" t="inlineStr">
        <is>
          <t>UPI</t>
        </is>
      </c>
      <c r="I2199" t="inlineStr">
        <is>
          <t>Delivered</t>
        </is>
      </c>
      <c r="J2199" t="n">
        <v>113</v>
      </c>
      <c r="K2199" t="n">
        <v>1</v>
      </c>
      <c r="L2199" s="7" t="n">
        <v>1364</v>
      </c>
      <c r="M2199" s="7" t="n">
        <v>0</v>
      </c>
    </row>
    <row r="2200">
      <c r="A2200" t="n">
        <v>510452</v>
      </c>
      <c r="B2200" s="6" t="n">
        <v>45958</v>
      </c>
      <c r="C2200" t="n">
        <v>16952</v>
      </c>
      <c r="D2200" t="inlineStr">
        <is>
          <t>Pune</t>
        </is>
      </c>
      <c r="E2200" t="inlineStr">
        <is>
          <t>West</t>
        </is>
      </c>
      <c r="F2200" t="inlineStr">
        <is>
          <t>Referral</t>
        </is>
      </c>
      <c r="G2200" t="inlineStr">
        <is>
          <t>Mobile App</t>
        </is>
      </c>
      <c r="H2200" t="inlineStr">
        <is>
          <t>Credit Card</t>
        </is>
      </c>
      <c r="I2200" t="inlineStr">
        <is>
          <t>Delivered</t>
        </is>
      </c>
      <c r="J2200" t="n">
        <v>119</v>
      </c>
      <c r="K2200" t="n">
        <v>2</v>
      </c>
      <c r="L2200" s="7" t="n">
        <v>2309</v>
      </c>
      <c r="M2200" s="7" t="n">
        <v>692.7</v>
      </c>
    </row>
    <row r="2201">
      <c r="A2201" t="n">
        <v>510453</v>
      </c>
      <c r="B2201" s="6" t="n">
        <v>45958</v>
      </c>
      <c r="C2201" t="n">
        <v>16684</v>
      </c>
      <c r="D2201" t="inlineStr">
        <is>
          <t>Jaipur</t>
        </is>
      </c>
      <c r="E2201" t="inlineStr">
        <is>
          <t>North</t>
        </is>
      </c>
      <c r="F2201" t="inlineStr">
        <is>
          <t>Referral</t>
        </is>
      </c>
      <c r="G2201" t="inlineStr">
        <is>
          <t>Mobile Web</t>
        </is>
      </c>
      <c r="H2201" t="inlineStr">
        <is>
          <t>Credit Card</t>
        </is>
      </c>
      <c r="I2201" t="inlineStr">
        <is>
          <t>Delivered</t>
        </is>
      </c>
      <c r="J2201" t="n">
        <v>123</v>
      </c>
      <c r="K2201" t="n">
        <v>2</v>
      </c>
      <c r="L2201" s="7" t="n">
        <v>3464</v>
      </c>
      <c r="M2201" s="7" t="n">
        <v>0</v>
      </c>
    </row>
    <row r="2202">
      <c r="A2202" t="n">
        <v>510454</v>
      </c>
      <c r="B2202" s="6" t="n">
        <v>45958</v>
      </c>
      <c r="C2202" t="n">
        <v>17020</v>
      </c>
      <c r="D2202" t="inlineStr">
        <is>
          <t>Indore</t>
        </is>
      </c>
      <c r="E2202" t="inlineStr">
        <is>
          <t>West</t>
        </is>
      </c>
      <c r="F2202" t="inlineStr">
        <is>
          <t>Email</t>
        </is>
      </c>
      <c r="G2202" t="inlineStr">
        <is>
          <t>Mobile Web</t>
        </is>
      </c>
      <c r="H2202" t="inlineStr">
        <is>
          <t>Cash on Delivery</t>
        </is>
      </c>
      <c r="I2202" t="inlineStr">
        <is>
          <t>Delivered</t>
        </is>
      </c>
      <c r="J2202" t="n">
        <v>118</v>
      </c>
      <c r="K2202" t="n">
        <v>1</v>
      </c>
      <c r="L2202" s="7" t="n">
        <v>944</v>
      </c>
      <c r="M2202" s="7" t="n">
        <v>47.2</v>
      </c>
    </row>
    <row r="2203">
      <c r="A2203" t="n">
        <v>510455</v>
      </c>
      <c r="B2203" s="6" t="n">
        <v>45958</v>
      </c>
      <c r="C2203" t="n">
        <v>17050</v>
      </c>
      <c r="D2203" t="inlineStr">
        <is>
          <t>Kochi</t>
        </is>
      </c>
      <c r="E2203" t="inlineStr">
        <is>
          <t>South</t>
        </is>
      </c>
      <c r="F2203" t="inlineStr">
        <is>
          <t>Referral</t>
        </is>
      </c>
      <c r="G2203" t="inlineStr">
        <is>
          <t>Mobile App</t>
        </is>
      </c>
      <c r="H2203" t="inlineStr">
        <is>
          <t>UPI</t>
        </is>
      </c>
      <c r="I2203" t="inlineStr">
        <is>
          <t>Delivered</t>
        </is>
      </c>
      <c r="J2203" t="n">
        <v>134</v>
      </c>
      <c r="K2203" t="n">
        <v>1</v>
      </c>
      <c r="L2203" s="7" t="n">
        <v>209</v>
      </c>
      <c r="M2203" s="7" t="n">
        <v>0</v>
      </c>
    </row>
    <row r="2204">
      <c r="A2204" t="n">
        <v>510455</v>
      </c>
      <c r="B2204" s="6" t="n">
        <v>45958</v>
      </c>
      <c r="C2204" t="n">
        <v>17050</v>
      </c>
      <c r="D2204" t="inlineStr">
        <is>
          <t>Kochi</t>
        </is>
      </c>
      <c r="E2204" t="inlineStr">
        <is>
          <t>South</t>
        </is>
      </c>
      <c r="F2204" t="inlineStr">
        <is>
          <t>Referral</t>
        </is>
      </c>
      <c r="G2204" t="inlineStr">
        <is>
          <t>Mobile App</t>
        </is>
      </c>
      <c r="H2204" t="inlineStr">
        <is>
          <t>UPI</t>
        </is>
      </c>
      <c r="I2204" t="inlineStr">
        <is>
          <t>Delivered</t>
        </is>
      </c>
      <c r="J2204" t="n">
        <v>130</v>
      </c>
      <c r="K2204" t="n">
        <v>1</v>
      </c>
      <c r="L2204" s="7" t="n">
        <v>734</v>
      </c>
      <c r="M2204" s="7" t="n">
        <v>0</v>
      </c>
    </row>
    <row r="2205">
      <c r="A2205" t="n">
        <v>510455</v>
      </c>
      <c r="B2205" s="6" t="n">
        <v>45958</v>
      </c>
      <c r="C2205" t="n">
        <v>17050</v>
      </c>
      <c r="D2205" t="inlineStr">
        <is>
          <t>Kochi</t>
        </is>
      </c>
      <c r="E2205" t="inlineStr">
        <is>
          <t>South</t>
        </is>
      </c>
      <c r="F2205" t="inlineStr">
        <is>
          <t>Referral</t>
        </is>
      </c>
      <c r="G2205" t="inlineStr">
        <is>
          <t>Mobile App</t>
        </is>
      </c>
      <c r="H2205" t="inlineStr">
        <is>
          <t>UPI</t>
        </is>
      </c>
      <c r="I2205" t="inlineStr">
        <is>
          <t>Delivered</t>
        </is>
      </c>
      <c r="J2205" t="n">
        <v>111</v>
      </c>
      <c r="K2205" t="n">
        <v>2</v>
      </c>
      <c r="L2205" s="7" t="n">
        <v>524</v>
      </c>
      <c r="M2205" s="7" t="n">
        <v>0</v>
      </c>
    </row>
    <row r="2206">
      <c r="A2206" t="n">
        <v>510456</v>
      </c>
      <c r="B2206" s="6" t="n">
        <v>45958</v>
      </c>
      <c r="C2206" t="n">
        <v>17069</v>
      </c>
      <c r="D2206" t="inlineStr">
        <is>
          <t>Jaipur</t>
        </is>
      </c>
      <c r="E2206" t="inlineStr">
        <is>
          <t>North</t>
        </is>
      </c>
      <c r="F2206" t="inlineStr">
        <is>
          <t>Referral</t>
        </is>
      </c>
      <c r="G2206" t="inlineStr">
        <is>
          <t>Mobile Web</t>
        </is>
      </c>
      <c r="H2206" t="inlineStr">
        <is>
          <t>Cash on Delivery</t>
        </is>
      </c>
      <c r="I2206" t="inlineStr">
        <is>
          <t>Cancelled</t>
        </is>
      </c>
      <c r="J2206" t="n">
        <v>130</v>
      </c>
      <c r="K2206" t="n">
        <v>1</v>
      </c>
      <c r="L2206" s="7" t="n">
        <v>734</v>
      </c>
      <c r="M2206" s="7" t="n">
        <v>0</v>
      </c>
    </row>
    <row r="2207">
      <c r="A2207" t="n">
        <v>510457</v>
      </c>
      <c r="B2207" s="6" t="n">
        <v>45958</v>
      </c>
      <c r="C2207" t="n">
        <v>17079</v>
      </c>
      <c r="D2207" t="inlineStr">
        <is>
          <t>Mumbai</t>
        </is>
      </c>
      <c r="E2207" t="inlineStr">
        <is>
          <t>West</t>
        </is>
      </c>
      <c r="F2207" t="inlineStr">
        <is>
          <t>Referral</t>
        </is>
      </c>
      <c r="G2207" t="inlineStr">
        <is>
          <t>Desktop</t>
        </is>
      </c>
      <c r="H2207" t="inlineStr">
        <is>
          <t>UPI</t>
        </is>
      </c>
      <c r="I2207" t="inlineStr">
        <is>
          <t>Delivered</t>
        </is>
      </c>
      <c r="J2207" t="n">
        <v>102</v>
      </c>
      <c r="K2207" t="n">
        <v>2</v>
      </c>
      <c r="L2207" s="7" t="n">
        <v>3674</v>
      </c>
      <c r="M2207" s="7" t="n">
        <v>0</v>
      </c>
    </row>
    <row r="2208">
      <c r="A2208" t="n">
        <v>510457</v>
      </c>
      <c r="B2208" s="6" t="n">
        <v>45958</v>
      </c>
      <c r="C2208" t="n">
        <v>17079</v>
      </c>
      <c r="D2208" t="inlineStr">
        <is>
          <t>Mumbai</t>
        </is>
      </c>
      <c r="E2208" t="inlineStr">
        <is>
          <t>West</t>
        </is>
      </c>
      <c r="F2208" t="inlineStr">
        <is>
          <t>Referral</t>
        </is>
      </c>
      <c r="G2208" t="inlineStr">
        <is>
          <t>Desktop</t>
        </is>
      </c>
      <c r="H2208" t="inlineStr">
        <is>
          <t>UPI</t>
        </is>
      </c>
      <c r="I2208" t="inlineStr">
        <is>
          <t>Delivered</t>
        </is>
      </c>
      <c r="J2208" t="n">
        <v>103</v>
      </c>
      <c r="K2208" t="n">
        <v>1</v>
      </c>
      <c r="L2208" s="7" t="n">
        <v>2624</v>
      </c>
      <c r="M2208" s="7" t="n">
        <v>0</v>
      </c>
    </row>
    <row r="2209">
      <c r="A2209" t="n">
        <v>510458</v>
      </c>
      <c r="B2209" s="6" t="n">
        <v>45958</v>
      </c>
      <c r="C2209" t="n">
        <v>16693</v>
      </c>
      <c r="D2209" t="inlineStr">
        <is>
          <t>Chandigarh</t>
        </is>
      </c>
      <c r="E2209" t="inlineStr">
        <is>
          <t>North</t>
        </is>
      </c>
      <c r="F2209" t="inlineStr">
        <is>
          <t>Affiliate</t>
        </is>
      </c>
      <c r="G2209" t="inlineStr">
        <is>
          <t>Mobile App</t>
        </is>
      </c>
      <c r="H2209" t="inlineStr">
        <is>
          <t>Debit Card</t>
        </is>
      </c>
      <c r="I2209" t="inlineStr">
        <is>
          <t>Delivered</t>
        </is>
      </c>
      <c r="J2209" t="n">
        <v>126</v>
      </c>
      <c r="K2209" t="n">
        <v>1</v>
      </c>
      <c r="L2209" s="7" t="n">
        <v>471</v>
      </c>
      <c r="M2209" s="7" t="n">
        <v>0</v>
      </c>
    </row>
    <row r="2210">
      <c r="A2210" t="n">
        <v>510458</v>
      </c>
      <c r="B2210" s="6" t="n">
        <v>45958</v>
      </c>
      <c r="C2210" t="n">
        <v>16693</v>
      </c>
      <c r="D2210" t="inlineStr">
        <is>
          <t>Chandigarh</t>
        </is>
      </c>
      <c r="E2210" t="inlineStr">
        <is>
          <t>North</t>
        </is>
      </c>
      <c r="F2210" t="inlineStr">
        <is>
          <t>Affiliate</t>
        </is>
      </c>
      <c r="G2210" t="inlineStr">
        <is>
          <t>Mobile App</t>
        </is>
      </c>
      <c r="H2210" t="inlineStr">
        <is>
          <t>Debit Card</t>
        </is>
      </c>
      <c r="I2210" t="inlineStr">
        <is>
          <t>Delivered</t>
        </is>
      </c>
      <c r="J2210" t="n">
        <v>129</v>
      </c>
      <c r="K2210" t="n">
        <v>1</v>
      </c>
      <c r="L2210" s="7" t="n">
        <v>576</v>
      </c>
      <c r="M2210" s="7" t="n">
        <v>0</v>
      </c>
    </row>
    <row r="2211">
      <c r="A2211" t="n">
        <v>510458</v>
      </c>
      <c r="B2211" s="6" t="n">
        <v>45958</v>
      </c>
      <c r="C2211" t="n">
        <v>16693</v>
      </c>
      <c r="D2211" t="inlineStr">
        <is>
          <t>Chandigarh</t>
        </is>
      </c>
      <c r="E2211" t="inlineStr">
        <is>
          <t>North</t>
        </is>
      </c>
      <c r="F2211" t="inlineStr">
        <is>
          <t>Affiliate</t>
        </is>
      </c>
      <c r="G2211" t="inlineStr">
        <is>
          <t>Mobile App</t>
        </is>
      </c>
      <c r="H2211" t="inlineStr">
        <is>
          <t>Debit Card</t>
        </is>
      </c>
      <c r="I2211" t="inlineStr">
        <is>
          <t>Delivered</t>
        </is>
      </c>
      <c r="J2211" t="n">
        <v>142</v>
      </c>
      <c r="K2211" t="n">
        <v>1</v>
      </c>
      <c r="L2211" s="7" t="n">
        <v>839</v>
      </c>
      <c r="M2211" s="7" t="n">
        <v>0</v>
      </c>
    </row>
    <row r="2212">
      <c r="A2212" t="n">
        <v>510459</v>
      </c>
      <c r="B2212" s="6" t="n">
        <v>45958</v>
      </c>
      <c r="C2212" t="n">
        <v>16843</v>
      </c>
      <c r="D2212" t="inlineStr">
        <is>
          <t>Delhi</t>
        </is>
      </c>
      <c r="E2212" t="inlineStr">
        <is>
          <t>North</t>
        </is>
      </c>
      <c r="F2212" t="inlineStr">
        <is>
          <t>Organic Search</t>
        </is>
      </c>
      <c r="G2212" t="inlineStr">
        <is>
          <t>Mobile Web</t>
        </is>
      </c>
      <c r="H2212" t="inlineStr">
        <is>
          <t>Cash on Delivery</t>
        </is>
      </c>
      <c r="I2212" t="inlineStr">
        <is>
          <t>Delivered</t>
        </is>
      </c>
      <c r="J2212" t="n">
        <v>115</v>
      </c>
      <c r="K2212" t="n">
        <v>1</v>
      </c>
      <c r="L2212" s="7" t="n">
        <v>4199</v>
      </c>
      <c r="M2212" s="7" t="n">
        <v>629.85</v>
      </c>
    </row>
    <row r="2213">
      <c r="A2213" t="n">
        <v>510459</v>
      </c>
      <c r="B2213" s="6" t="n">
        <v>45958</v>
      </c>
      <c r="C2213" t="n">
        <v>16843</v>
      </c>
      <c r="D2213" t="inlineStr">
        <is>
          <t>Delhi</t>
        </is>
      </c>
      <c r="E2213" t="inlineStr">
        <is>
          <t>North</t>
        </is>
      </c>
      <c r="F2213" t="inlineStr">
        <is>
          <t>Organic Search</t>
        </is>
      </c>
      <c r="G2213" t="inlineStr">
        <is>
          <t>Mobile Web</t>
        </is>
      </c>
      <c r="H2213" t="inlineStr">
        <is>
          <t>Cash on Delivery</t>
        </is>
      </c>
      <c r="I2213" t="inlineStr">
        <is>
          <t>Delivered</t>
        </is>
      </c>
      <c r="J2213" t="n">
        <v>128</v>
      </c>
      <c r="K2213" t="n">
        <v>1</v>
      </c>
      <c r="L2213" s="7" t="n">
        <v>1049</v>
      </c>
      <c r="M2213" s="7" t="n">
        <v>157.35</v>
      </c>
    </row>
    <row r="2214">
      <c r="A2214" t="n">
        <v>510460</v>
      </c>
      <c r="B2214" s="6" t="n">
        <v>45958</v>
      </c>
      <c r="C2214" t="n">
        <v>17077</v>
      </c>
      <c r="D2214" t="inlineStr">
        <is>
          <t>Noida</t>
        </is>
      </c>
      <c r="E2214" t="inlineStr">
        <is>
          <t>North</t>
        </is>
      </c>
      <c r="F2214" t="inlineStr">
        <is>
          <t>Paid Social</t>
        </is>
      </c>
      <c r="G2214" t="inlineStr">
        <is>
          <t>Mobile App</t>
        </is>
      </c>
      <c r="H2214" t="inlineStr">
        <is>
          <t>Cash on Delivery</t>
        </is>
      </c>
      <c r="I2214" t="inlineStr">
        <is>
          <t>Delivered</t>
        </is>
      </c>
      <c r="J2214" t="n">
        <v>122</v>
      </c>
      <c r="K2214" t="n">
        <v>1</v>
      </c>
      <c r="L2214" s="7" t="n">
        <v>1994</v>
      </c>
      <c r="M2214" s="7" t="n">
        <v>0</v>
      </c>
    </row>
    <row r="2215">
      <c r="A2215" t="n">
        <v>510461</v>
      </c>
      <c r="B2215" s="6" t="n">
        <v>45959</v>
      </c>
      <c r="C2215" t="n">
        <v>16730</v>
      </c>
      <c r="D2215" t="inlineStr">
        <is>
          <t>Delhi</t>
        </is>
      </c>
      <c r="E2215" t="inlineStr">
        <is>
          <t>North</t>
        </is>
      </c>
      <c r="F2215" t="inlineStr">
        <is>
          <t>Paid Search</t>
        </is>
      </c>
      <c r="G2215" t="inlineStr">
        <is>
          <t>Mobile App</t>
        </is>
      </c>
      <c r="H2215" t="inlineStr">
        <is>
          <t>Net Banking</t>
        </is>
      </c>
      <c r="I2215" t="inlineStr">
        <is>
          <t>Returned</t>
        </is>
      </c>
      <c r="J2215" t="n">
        <v>117</v>
      </c>
      <c r="K2215" t="n">
        <v>1</v>
      </c>
      <c r="L2215" s="7" t="n">
        <v>3149</v>
      </c>
      <c r="M2215" s="7" t="n">
        <v>472.35</v>
      </c>
    </row>
    <row r="2216">
      <c r="A2216" t="n">
        <v>510461</v>
      </c>
      <c r="B2216" s="6" t="n">
        <v>45959</v>
      </c>
      <c r="C2216" t="n">
        <v>16730</v>
      </c>
      <c r="D2216" t="inlineStr">
        <is>
          <t>Delhi</t>
        </is>
      </c>
      <c r="E2216" t="inlineStr">
        <is>
          <t>North</t>
        </is>
      </c>
      <c r="F2216" t="inlineStr">
        <is>
          <t>Paid Search</t>
        </is>
      </c>
      <c r="G2216" t="inlineStr">
        <is>
          <t>Mobile App</t>
        </is>
      </c>
      <c r="H2216" t="inlineStr">
        <is>
          <t>Net Banking</t>
        </is>
      </c>
      <c r="I2216" t="inlineStr">
        <is>
          <t>Returned</t>
        </is>
      </c>
      <c r="J2216" t="n">
        <v>103</v>
      </c>
      <c r="K2216" t="n">
        <v>2</v>
      </c>
      <c r="L2216" s="7" t="n">
        <v>2624</v>
      </c>
      <c r="M2216" s="7" t="n">
        <v>787.2</v>
      </c>
    </row>
    <row r="2217">
      <c r="A2217" t="n">
        <v>510462</v>
      </c>
      <c r="B2217" s="6" t="n">
        <v>45959</v>
      </c>
      <c r="C2217" t="n">
        <v>15444</v>
      </c>
      <c r="D2217" t="inlineStr">
        <is>
          <t>Mumbai</t>
        </is>
      </c>
      <c r="E2217" t="inlineStr">
        <is>
          <t>West</t>
        </is>
      </c>
      <c r="F2217" t="inlineStr">
        <is>
          <t>Paid Social</t>
        </is>
      </c>
      <c r="G2217" t="inlineStr">
        <is>
          <t>Mobile App</t>
        </is>
      </c>
      <c r="H2217" t="inlineStr">
        <is>
          <t>Credit Card</t>
        </is>
      </c>
      <c r="I2217" t="inlineStr">
        <is>
          <t>Delivered</t>
        </is>
      </c>
      <c r="J2217" t="n">
        <v>113</v>
      </c>
      <c r="K2217" t="n">
        <v>1</v>
      </c>
      <c r="L2217" s="7" t="n">
        <v>1364</v>
      </c>
      <c r="M2217" s="7" t="n">
        <v>0</v>
      </c>
    </row>
    <row r="2218">
      <c r="A2218" t="n">
        <v>510462</v>
      </c>
      <c r="B2218" s="6" t="n">
        <v>45959</v>
      </c>
      <c r="C2218" t="n">
        <v>15444</v>
      </c>
      <c r="D2218" t="inlineStr">
        <is>
          <t>Mumbai</t>
        </is>
      </c>
      <c r="E2218" t="inlineStr">
        <is>
          <t>West</t>
        </is>
      </c>
      <c r="F2218" t="inlineStr">
        <is>
          <t>Paid Social</t>
        </is>
      </c>
      <c r="G2218" t="inlineStr">
        <is>
          <t>Mobile App</t>
        </is>
      </c>
      <c r="H2218" t="inlineStr">
        <is>
          <t>Credit Card</t>
        </is>
      </c>
      <c r="I2218" t="inlineStr">
        <is>
          <t>Delivered</t>
        </is>
      </c>
      <c r="J2218" t="n">
        <v>119</v>
      </c>
      <c r="K2218" t="n">
        <v>1</v>
      </c>
      <c r="L2218" s="7" t="n">
        <v>2309</v>
      </c>
      <c r="M2218" s="7" t="n">
        <v>0</v>
      </c>
    </row>
    <row r="2219">
      <c r="A2219" t="n">
        <v>510463</v>
      </c>
      <c r="B2219" s="6" t="n">
        <v>45959</v>
      </c>
      <c r="C2219" t="n">
        <v>17045</v>
      </c>
      <c r="D2219" t="inlineStr">
        <is>
          <t>Delhi</t>
        </is>
      </c>
      <c r="E2219" t="inlineStr">
        <is>
          <t>North</t>
        </is>
      </c>
      <c r="F2219" t="inlineStr">
        <is>
          <t>Paid Search</t>
        </is>
      </c>
      <c r="G2219" t="inlineStr">
        <is>
          <t>Mobile Web</t>
        </is>
      </c>
      <c r="H2219" t="inlineStr">
        <is>
          <t>Credit Card</t>
        </is>
      </c>
      <c r="I2219" t="inlineStr">
        <is>
          <t>Delivered</t>
        </is>
      </c>
      <c r="J2219" t="n">
        <v>125</v>
      </c>
      <c r="K2219" t="n">
        <v>1</v>
      </c>
      <c r="L2219" s="7" t="n">
        <v>1364</v>
      </c>
      <c r="M2219" s="7" t="n">
        <v>204.6</v>
      </c>
    </row>
    <row r="2220">
      <c r="A2220" t="n">
        <v>510463</v>
      </c>
      <c r="B2220" s="6" t="n">
        <v>45959</v>
      </c>
      <c r="C2220" t="n">
        <v>17045</v>
      </c>
      <c r="D2220" t="inlineStr">
        <is>
          <t>Delhi</t>
        </is>
      </c>
      <c r="E2220" t="inlineStr">
        <is>
          <t>North</t>
        </is>
      </c>
      <c r="F2220" t="inlineStr">
        <is>
          <t>Paid Search</t>
        </is>
      </c>
      <c r="G2220" t="inlineStr">
        <is>
          <t>Mobile Web</t>
        </is>
      </c>
      <c r="H2220" t="inlineStr">
        <is>
          <t>Credit Card</t>
        </is>
      </c>
      <c r="I2220" t="inlineStr">
        <is>
          <t>Delivered</t>
        </is>
      </c>
      <c r="J2220" t="n">
        <v>127</v>
      </c>
      <c r="K2220" t="n">
        <v>1</v>
      </c>
      <c r="L2220" s="7" t="n">
        <v>681</v>
      </c>
      <c r="M2220" s="7" t="n">
        <v>102.15</v>
      </c>
    </row>
    <row r="2221">
      <c r="A2221" t="n">
        <v>510464</v>
      </c>
      <c r="B2221" s="6" t="n">
        <v>45959</v>
      </c>
      <c r="C2221" t="n">
        <v>16978</v>
      </c>
      <c r="D2221" t="inlineStr">
        <is>
          <t>Lucknow</t>
        </is>
      </c>
      <c r="E2221" t="inlineStr">
        <is>
          <t>North</t>
        </is>
      </c>
      <c r="F2221" t="inlineStr">
        <is>
          <t>Referral</t>
        </is>
      </c>
      <c r="G2221" t="inlineStr">
        <is>
          <t>Mobile App</t>
        </is>
      </c>
      <c r="H2221" t="inlineStr">
        <is>
          <t>UPI</t>
        </is>
      </c>
      <c r="I2221" t="inlineStr">
        <is>
          <t>Cancelled</t>
        </is>
      </c>
      <c r="J2221" t="n">
        <v>122</v>
      </c>
      <c r="K2221" t="n">
        <v>1</v>
      </c>
      <c r="L2221" s="7" t="n">
        <v>1994</v>
      </c>
      <c r="M2221" s="7" t="n">
        <v>299.1</v>
      </c>
    </row>
    <row r="2222">
      <c r="A2222" t="n">
        <v>510465</v>
      </c>
      <c r="B2222" s="6" t="n">
        <v>45959</v>
      </c>
      <c r="C2222" t="n">
        <v>17023</v>
      </c>
      <c r="D2222" t="inlineStr">
        <is>
          <t>Ahmedabad</t>
        </is>
      </c>
      <c r="E2222" t="inlineStr">
        <is>
          <t>West</t>
        </is>
      </c>
      <c r="F2222" t="inlineStr">
        <is>
          <t>Paid Social</t>
        </is>
      </c>
      <c r="G2222" t="inlineStr">
        <is>
          <t>Mobile App</t>
        </is>
      </c>
      <c r="H2222" t="inlineStr">
        <is>
          <t>UPI</t>
        </is>
      </c>
      <c r="I2222" t="inlineStr">
        <is>
          <t>Returned</t>
        </is>
      </c>
      <c r="J2222" t="n">
        <v>102</v>
      </c>
      <c r="K2222" t="n">
        <v>1</v>
      </c>
      <c r="L2222" s="7" t="n">
        <v>3674</v>
      </c>
      <c r="M2222" s="7" t="n">
        <v>0</v>
      </c>
    </row>
    <row r="2223">
      <c r="A2223" t="n">
        <v>510465</v>
      </c>
      <c r="B2223" s="6" t="n">
        <v>45959</v>
      </c>
      <c r="C2223" t="n">
        <v>17023</v>
      </c>
      <c r="D2223" t="inlineStr">
        <is>
          <t>Ahmedabad</t>
        </is>
      </c>
      <c r="E2223" t="inlineStr">
        <is>
          <t>West</t>
        </is>
      </c>
      <c r="F2223" t="inlineStr">
        <is>
          <t>Paid Social</t>
        </is>
      </c>
      <c r="G2223" t="inlineStr">
        <is>
          <t>Mobile App</t>
        </is>
      </c>
      <c r="H2223" t="inlineStr">
        <is>
          <t>UPI</t>
        </is>
      </c>
      <c r="I2223" t="inlineStr">
        <is>
          <t>Returned</t>
        </is>
      </c>
      <c r="J2223" t="n">
        <v>112</v>
      </c>
      <c r="K2223" t="n">
        <v>1</v>
      </c>
      <c r="L2223" s="7" t="n">
        <v>1574</v>
      </c>
      <c r="M2223" s="7" t="n">
        <v>0</v>
      </c>
    </row>
    <row r="2224">
      <c r="A2224" t="n">
        <v>510466</v>
      </c>
      <c r="B2224" s="6" t="n">
        <v>45959</v>
      </c>
      <c r="C2224" t="n">
        <v>15181</v>
      </c>
      <c r="D2224" t="inlineStr">
        <is>
          <t>Delhi</t>
        </is>
      </c>
      <c r="E2224" t="inlineStr">
        <is>
          <t>North</t>
        </is>
      </c>
      <c r="F2224" t="inlineStr">
        <is>
          <t>Organic Search</t>
        </is>
      </c>
      <c r="G2224" t="inlineStr">
        <is>
          <t>Mobile App</t>
        </is>
      </c>
      <c r="H2224" t="inlineStr">
        <is>
          <t>UPI</t>
        </is>
      </c>
      <c r="I2224" t="inlineStr">
        <is>
          <t>Delivered</t>
        </is>
      </c>
      <c r="J2224" t="n">
        <v>130</v>
      </c>
      <c r="K2224" t="n">
        <v>1</v>
      </c>
      <c r="L2224" s="7" t="n">
        <v>734</v>
      </c>
      <c r="M2224" s="7" t="n">
        <v>0</v>
      </c>
    </row>
    <row r="2225">
      <c r="A2225" t="n">
        <v>510467</v>
      </c>
      <c r="B2225" s="6" t="n">
        <v>45959</v>
      </c>
      <c r="C2225" t="n">
        <v>11967</v>
      </c>
      <c r="D2225" t="inlineStr">
        <is>
          <t>Mumbai</t>
        </is>
      </c>
      <c r="E2225" t="inlineStr">
        <is>
          <t>West</t>
        </is>
      </c>
      <c r="F2225" t="inlineStr">
        <is>
          <t>Organic Search</t>
        </is>
      </c>
      <c r="G2225" t="inlineStr">
        <is>
          <t>Mobile App</t>
        </is>
      </c>
      <c r="H2225" t="inlineStr">
        <is>
          <t>Cash on Delivery</t>
        </is>
      </c>
      <c r="I2225" t="inlineStr">
        <is>
          <t>Delivered</t>
        </is>
      </c>
      <c r="J2225" t="n">
        <v>105</v>
      </c>
      <c r="K2225" t="n">
        <v>1</v>
      </c>
      <c r="L2225" s="7" t="n">
        <v>2414</v>
      </c>
      <c r="M2225" s="7" t="n">
        <v>0</v>
      </c>
    </row>
    <row r="2226">
      <c r="A2226" t="n">
        <v>510467</v>
      </c>
      <c r="B2226" s="6" t="n">
        <v>45959</v>
      </c>
      <c r="C2226" t="n">
        <v>11967</v>
      </c>
      <c r="D2226" t="inlineStr">
        <is>
          <t>Mumbai</t>
        </is>
      </c>
      <c r="E2226" t="inlineStr">
        <is>
          <t>West</t>
        </is>
      </c>
      <c r="F2226" t="inlineStr">
        <is>
          <t>Organic Search</t>
        </is>
      </c>
      <c r="G2226" t="inlineStr">
        <is>
          <t>Mobile App</t>
        </is>
      </c>
      <c r="H2226" t="inlineStr">
        <is>
          <t>Cash on Delivery</t>
        </is>
      </c>
      <c r="I2226" t="inlineStr">
        <is>
          <t>Delivered</t>
        </is>
      </c>
      <c r="J2226" t="n">
        <v>117</v>
      </c>
      <c r="K2226" t="n">
        <v>1</v>
      </c>
      <c r="L2226" s="7" t="n">
        <v>3149</v>
      </c>
      <c r="M2226" s="7" t="n">
        <v>0</v>
      </c>
    </row>
    <row r="2227">
      <c r="A2227" t="n">
        <v>510468</v>
      </c>
      <c r="B2227" s="6" t="n">
        <v>45959</v>
      </c>
      <c r="C2227" t="n">
        <v>17005</v>
      </c>
      <c r="D2227" t="inlineStr">
        <is>
          <t>Lucknow</t>
        </is>
      </c>
      <c r="E2227" t="inlineStr">
        <is>
          <t>North</t>
        </is>
      </c>
      <c r="F2227" t="inlineStr">
        <is>
          <t>Organic Search</t>
        </is>
      </c>
      <c r="G2227" t="inlineStr">
        <is>
          <t>Mobile Web</t>
        </is>
      </c>
      <c r="H2227" t="inlineStr">
        <is>
          <t>Debit Card</t>
        </is>
      </c>
      <c r="I2227" t="inlineStr">
        <is>
          <t>Delivered</t>
        </is>
      </c>
      <c r="J2227" t="n">
        <v>107</v>
      </c>
      <c r="K2227" t="n">
        <v>1</v>
      </c>
      <c r="L2227" s="7" t="n">
        <v>1259</v>
      </c>
      <c r="M2227" s="7" t="n">
        <v>188.85</v>
      </c>
    </row>
    <row r="2228">
      <c r="A2228" t="n">
        <v>510469</v>
      </c>
      <c r="B2228" s="6" t="n">
        <v>45959</v>
      </c>
      <c r="C2228" t="n">
        <v>17059</v>
      </c>
      <c r="D2228" t="inlineStr">
        <is>
          <t>Mumbai</t>
        </is>
      </c>
      <c r="E2228" t="inlineStr">
        <is>
          <t>West</t>
        </is>
      </c>
      <c r="F2228" t="inlineStr">
        <is>
          <t>Affiliate</t>
        </is>
      </c>
      <c r="G2228" t="inlineStr">
        <is>
          <t>Mobile App</t>
        </is>
      </c>
      <c r="H2228" t="inlineStr">
        <is>
          <t>Credit Card</t>
        </is>
      </c>
      <c r="I2228" t="inlineStr">
        <is>
          <t>Delivered</t>
        </is>
      </c>
      <c r="J2228" t="n">
        <v>133</v>
      </c>
      <c r="K2228" t="n">
        <v>1</v>
      </c>
      <c r="L2228" s="7" t="n">
        <v>419</v>
      </c>
      <c r="M2228" s="7" t="n">
        <v>62.85</v>
      </c>
    </row>
    <row r="2229">
      <c r="A2229" t="n">
        <v>510470</v>
      </c>
      <c r="B2229" s="6" t="n">
        <v>45959</v>
      </c>
      <c r="C2229" t="n">
        <v>17095</v>
      </c>
      <c r="D2229" t="inlineStr">
        <is>
          <t>Hyderabad</t>
        </is>
      </c>
      <c r="E2229" t="inlineStr">
        <is>
          <t>South</t>
        </is>
      </c>
      <c r="F2229" t="inlineStr">
        <is>
          <t>Organic Search</t>
        </is>
      </c>
      <c r="G2229" t="inlineStr">
        <is>
          <t>Mobile App</t>
        </is>
      </c>
      <c r="H2229" t="inlineStr">
        <is>
          <t>Cash on Delivery</t>
        </is>
      </c>
      <c r="I2229" t="inlineStr">
        <is>
          <t>Delivered</t>
        </is>
      </c>
      <c r="J2229" t="n">
        <v>141</v>
      </c>
      <c r="K2229" t="n">
        <v>1</v>
      </c>
      <c r="L2229" s="7" t="n">
        <v>261</v>
      </c>
      <c r="M2229" s="7" t="n">
        <v>0</v>
      </c>
    </row>
    <row r="2230">
      <c r="A2230" t="n">
        <v>510471</v>
      </c>
      <c r="B2230" s="6" t="n">
        <v>45959</v>
      </c>
      <c r="C2230" t="n">
        <v>17041</v>
      </c>
      <c r="D2230" t="inlineStr">
        <is>
          <t>Delhi</t>
        </is>
      </c>
      <c r="E2230" t="inlineStr">
        <is>
          <t>North</t>
        </is>
      </c>
      <c r="F2230" t="inlineStr">
        <is>
          <t>Paid Search</t>
        </is>
      </c>
      <c r="G2230" t="inlineStr">
        <is>
          <t>Mobile App</t>
        </is>
      </c>
      <c r="H2230" t="inlineStr">
        <is>
          <t>UPI</t>
        </is>
      </c>
      <c r="I2230" t="inlineStr">
        <is>
          <t>Delivered</t>
        </is>
      </c>
      <c r="J2230" t="n">
        <v>126</v>
      </c>
      <c r="K2230" t="n">
        <v>2</v>
      </c>
      <c r="L2230" s="7" t="n">
        <v>471</v>
      </c>
      <c r="M2230" s="7" t="n">
        <v>141.3</v>
      </c>
    </row>
    <row r="2231">
      <c r="A2231" t="n">
        <v>510471</v>
      </c>
      <c r="B2231" s="6" t="n">
        <v>45959</v>
      </c>
      <c r="C2231" t="n">
        <v>17041</v>
      </c>
      <c r="D2231" t="inlineStr">
        <is>
          <t>Delhi</t>
        </is>
      </c>
      <c r="E2231" t="inlineStr">
        <is>
          <t>North</t>
        </is>
      </c>
      <c r="F2231" t="inlineStr">
        <is>
          <t>Paid Search</t>
        </is>
      </c>
      <c r="G2231" t="inlineStr">
        <is>
          <t>Mobile App</t>
        </is>
      </c>
      <c r="H2231" t="inlineStr">
        <is>
          <t>UPI</t>
        </is>
      </c>
      <c r="I2231" t="inlineStr">
        <is>
          <t>Delivered</t>
        </is>
      </c>
      <c r="J2231" t="n">
        <v>141</v>
      </c>
      <c r="K2231" t="n">
        <v>2</v>
      </c>
      <c r="L2231" s="7" t="n">
        <v>261</v>
      </c>
      <c r="M2231" s="7" t="n">
        <v>78.3</v>
      </c>
    </row>
    <row r="2232">
      <c r="A2232" t="n">
        <v>510472</v>
      </c>
      <c r="B2232" s="6" t="n">
        <v>45959</v>
      </c>
      <c r="C2232" t="n">
        <v>17038</v>
      </c>
      <c r="D2232" t="inlineStr">
        <is>
          <t>Bengaluru</t>
        </is>
      </c>
      <c r="E2232" t="inlineStr">
        <is>
          <t>South</t>
        </is>
      </c>
      <c r="F2232" t="inlineStr">
        <is>
          <t>Paid Social</t>
        </is>
      </c>
      <c r="G2232" t="inlineStr">
        <is>
          <t>Mobile App</t>
        </is>
      </c>
      <c r="H2232" t="inlineStr">
        <is>
          <t>Cash on Delivery</t>
        </is>
      </c>
      <c r="I2232" t="inlineStr">
        <is>
          <t>Delivered</t>
        </is>
      </c>
      <c r="J2232" t="n">
        <v>106</v>
      </c>
      <c r="K2232" t="n">
        <v>1</v>
      </c>
      <c r="L2232" s="7" t="n">
        <v>1574</v>
      </c>
      <c r="M2232" s="7" t="n">
        <v>236.1</v>
      </c>
    </row>
    <row r="2233">
      <c r="A2233" t="n">
        <v>510473</v>
      </c>
      <c r="B2233" s="6" t="n">
        <v>45959</v>
      </c>
      <c r="C2233" t="n">
        <v>17051</v>
      </c>
      <c r="D2233" t="inlineStr">
        <is>
          <t>Hyderabad</t>
        </is>
      </c>
      <c r="E2233" t="inlineStr">
        <is>
          <t>South</t>
        </is>
      </c>
      <c r="F2233" t="inlineStr">
        <is>
          <t>Paid Search</t>
        </is>
      </c>
      <c r="G2233" t="inlineStr">
        <is>
          <t>Mobile Web</t>
        </is>
      </c>
      <c r="H2233" t="inlineStr">
        <is>
          <t>Credit Card</t>
        </is>
      </c>
      <c r="I2233" t="inlineStr">
        <is>
          <t>Delivered</t>
        </is>
      </c>
      <c r="J2233" t="n">
        <v>138</v>
      </c>
      <c r="K2233" t="n">
        <v>1</v>
      </c>
      <c r="L2233" s="7" t="n">
        <v>419</v>
      </c>
      <c r="M2233" s="7" t="n">
        <v>62.85</v>
      </c>
    </row>
    <row r="2234">
      <c r="A2234" t="n">
        <v>510474</v>
      </c>
      <c r="B2234" s="6" t="n">
        <v>45959</v>
      </c>
      <c r="C2234" t="n">
        <v>14291</v>
      </c>
      <c r="D2234" t="inlineStr">
        <is>
          <t>Ahmedabad</t>
        </is>
      </c>
      <c r="E2234" t="inlineStr">
        <is>
          <t>West</t>
        </is>
      </c>
      <c r="F2234" t="inlineStr">
        <is>
          <t>Paid Social</t>
        </is>
      </c>
      <c r="G2234" t="inlineStr">
        <is>
          <t>Mobile App</t>
        </is>
      </c>
      <c r="H2234" t="inlineStr">
        <is>
          <t>Credit Card</t>
        </is>
      </c>
      <c r="I2234" t="inlineStr">
        <is>
          <t>Delivered</t>
        </is>
      </c>
      <c r="J2234" t="n">
        <v>119</v>
      </c>
      <c r="K2234" t="n">
        <v>1</v>
      </c>
      <c r="L2234" s="7" t="n">
        <v>2309</v>
      </c>
      <c r="M2234" s="7" t="n">
        <v>0</v>
      </c>
    </row>
    <row r="2235">
      <c r="A2235" t="n">
        <v>510474</v>
      </c>
      <c r="B2235" s="6" t="n">
        <v>45959</v>
      </c>
      <c r="C2235" t="n">
        <v>14291</v>
      </c>
      <c r="D2235" t="inlineStr">
        <is>
          <t>Ahmedabad</t>
        </is>
      </c>
      <c r="E2235" t="inlineStr">
        <is>
          <t>West</t>
        </is>
      </c>
      <c r="F2235" t="inlineStr">
        <is>
          <t>Paid Social</t>
        </is>
      </c>
      <c r="G2235" t="inlineStr">
        <is>
          <t>Mobile App</t>
        </is>
      </c>
      <c r="H2235" t="inlineStr">
        <is>
          <t>Credit Card</t>
        </is>
      </c>
      <c r="I2235" t="inlineStr">
        <is>
          <t>Delivered</t>
        </is>
      </c>
      <c r="J2235" t="n">
        <v>128</v>
      </c>
      <c r="K2235" t="n">
        <v>1</v>
      </c>
      <c r="L2235" s="7" t="n">
        <v>1049</v>
      </c>
      <c r="M2235" s="7" t="n">
        <v>0</v>
      </c>
    </row>
    <row r="2236">
      <c r="A2236" t="n">
        <v>510475</v>
      </c>
      <c r="B2236" s="6" t="n">
        <v>45959</v>
      </c>
      <c r="C2236" t="n">
        <v>17018</v>
      </c>
      <c r="D2236" t="inlineStr">
        <is>
          <t>Hyderabad</t>
        </is>
      </c>
      <c r="E2236" t="inlineStr">
        <is>
          <t>South</t>
        </is>
      </c>
      <c r="F2236" t="inlineStr">
        <is>
          <t>Affiliate</t>
        </is>
      </c>
      <c r="G2236" t="inlineStr">
        <is>
          <t>Mobile App</t>
        </is>
      </c>
      <c r="H2236" t="inlineStr">
        <is>
          <t>Cash on Delivery</t>
        </is>
      </c>
      <c r="I2236" t="inlineStr">
        <is>
          <t>Delivered</t>
        </is>
      </c>
      <c r="J2236" t="n">
        <v>104</v>
      </c>
      <c r="K2236" t="n">
        <v>2</v>
      </c>
      <c r="L2236" s="7" t="n">
        <v>5249</v>
      </c>
      <c r="M2236" s="7" t="n">
        <v>0</v>
      </c>
    </row>
    <row r="2237">
      <c r="A2237" t="n">
        <v>510476</v>
      </c>
      <c r="B2237" s="6" t="n">
        <v>45959</v>
      </c>
      <c r="C2237" t="n">
        <v>17076</v>
      </c>
      <c r="D2237" t="inlineStr">
        <is>
          <t>Bengaluru</t>
        </is>
      </c>
      <c r="E2237" t="inlineStr">
        <is>
          <t>South</t>
        </is>
      </c>
      <c r="F2237" t="inlineStr">
        <is>
          <t>Paid Social</t>
        </is>
      </c>
      <c r="G2237" t="inlineStr">
        <is>
          <t>Mobile App</t>
        </is>
      </c>
      <c r="H2237" t="inlineStr">
        <is>
          <t>UPI</t>
        </is>
      </c>
      <c r="I2237" t="inlineStr">
        <is>
          <t>Delivered</t>
        </is>
      </c>
      <c r="J2237" t="n">
        <v>116</v>
      </c>
      <c r="K2237" t="n">
        <v>1</v>
      </c>
      <c r="L2237" s="7" t="n">
        <v>2624</v>
      </c>
      <c r="M2237" s="7" t="n">
        <v>0</v>
      </c>
    </row>
    <row r="2238">
      <c r="A2238" t="n">
        <v>510477</v>
      </c>
      <c r="B2238" s="6" t="n">
        <v>45959</v>
      </c>
      <c r="C2238" t="n">
        <v>16999</v>
      </c>
      <c r="D2238" t="inlineStr">
        <is>
          <t>Hyderabad</t>
        </is>
      </c>
      <c r="E2238" t="inlineStr">
        <is>
          <t>South</t>
        </is>
      </c>
      <c r="F2238" t="inlineStr">
        <is>
          <t>Referral</t>
        </is>
      </c>
      <c r="G2238" t="inlineStr">
        <is>
          <t>Desktop</t>
        </is>
      </c>
      <c r="H2238" t="inlineStr">
        <is>
          <t>UPI</t>
        </is>
      </c>
      <c r="I2238" t="inlineStr">
        <is>
          <t>Returned</t>
        </is>
      </c>
      <c r="J2238" t="n">
        <v>117</v>
      </c>
      <c r="K2238" t="n">
        <v>1</v>
      </c>
      <c r="L2238" s="7" t="n">
        <v>3149</v>
      </c>
      <c r="M2238" s="7" t="n">
        <v>472.35</v>
      </c>
    </row>
    <row r="2239">
      <c r="A2239" t="n">
        <v>510478</v>
      </c>
      <c r="B2239" s="6" t="n">
        <v>45960</v>
      </c>
      <c r="C2239" t="n">
        <v>17034</v>
      </c>
      <c r="D2239" t="inlineStr">
        <is>
          <t>Lucknow</t>
        </is>
      </c>
      <c r="E2239" t="inlineStr">
        <is>
          <t>North</t>
        </is>
      </c>
      <c r="F2239" t="inlineStr">
        <is>
          <t>Organic Search</t>
        </is>
      </c>
      <c r="G2239" t="inlineStr">
        <is>
          <t>Mobile App</t>
        </is>
      </c>
      <c r="H2239" t="inlineStr">
        <is>
          <t>UPI</t>
        </is>
      </c>
      <c r="I2239" t="inlineStr">
        <is>
          <t>Delivered</t>
        </is>
      </c>
      <c r="J2239" t="n">
        <v>122</v>
      </c>
      <c r="K2239" t="n">
        <v>1</v>
      </c>
      <c r="L2239" s="7" t="n">
        <v>1994</v>
      </c>
      <c r="M2239" s="7" t="n">
        <v>299.1</v>
      </c>
    </row>
    <row r="2240">
      <c r="A2240" t="n">
        <v>510479</v>
      </c>
      <c r="B2240" s="6" t="n">
        <v>45960</v>
      </c>
      <c r="C2240" t="n">
        <v>17043</v>
      </c>
      <c r="D2240" t="inlineStr">
        <is>
          <t>Gurugram</t>
        </is>
      </c>
      <c r="E2240" t="inlineStr">
        <is>
          <t>North</t>
        </is>
      </c>
      <c r="F2240" t="inlineStr">
        <is>
          <t>Referral</t>
        </is>
      </c>
      <c r="G2240" t="inlineStr">
        <is>
          <t>Desktop</t>
        </is>
      </c>
      <c r="H2240" t="inlineStr">
        <is>
          <t>UPI</t>
        </is>
      </c>
      <c r="I2240" t="inlineStr">
        <is>
          <t>Delivered</t>
        </is>
      </c>
      <c r="J2240" t="n">
        <v>121</v>
      </c>
      <c r="K2240" t="n">
        <v>1</v>
      </c>
      <c r="L2240" s="7" t="n">
        <v>2939</v>
      </c>
      <c r="M2240" s="7" t="n">
        <v>440.85</v>
      </c>
    </row>
    <row r="2241">
      <c r="A2241" t="n">
        <v>510480</v>
      </c>
      <c r="B2241" s="6" t="n">
        <v>45960</v>
      </c>
      <c r="C2241" t="n">
        <v>15773</v>
      </c>
      <c r="D2241" t="inlineStr">
        <is>
          <t>Indore</t>
        </is>
      </c>
      <c r="E2241" t="inlineStr">
        <is>
          <t>West</t>
        </is>
      </c>
      <c r="F2241" t="inlineStr">
        <is>
          <t>Organic Search</t>
        </is>
      </c>
      <c r="G2241" t="inlineStr">
        <is>
          <t>Mobile Web</t>
        </is>
      </c>
      <c r="H2241" t="inlineStr">
        <is>
          <t>UPI</t>
        </is>
      </c>
      <c r="I2241" t="inlineStr">
        <is>
          <t>Returned</t>
        </is>
      </c>
      <c r="J2241" t="n">
        <v>120</v>
      </c>
      <c r="K2241" t="n">
        <v>1</v>
      </c>
      <c r="L2241" s="7" t="n">
        <v>734</v>
      </c>
      <c r="M2241" s="7" t="n">
        <v>0</v>
      </c>
    </row>
    <row r="2242">
      <c r="A2242" t="n">
        <v>510480</v>
      </c>
      <c r="B2242" s="6" t="n">
        <v>45960</v>
      </c>
      <c r="C2242" t="n">
        <v>15773</v>
      </c>
      <c r="D2242" t="inlineStr">
        <is>
          <t>Indore</t>
        </is>
      </c>
      <c r="E2242" t="inlineStr">
        <is>
          <t>West</t>
        </is>
      </c>
      <c r="F2242" t="inlineStr">
        <is>
          <t>Organic Search</t>
        </is>
      </c>
      <c r="G2242" t="inlineStr">
        <is>
          <t>Mobile Web</t>
        </is>
      </c>
      <c r="H2242" t="inlineStr">
        <is>
          <t>UPI</t>
        </is>
      </c>
      <c r="I2242" t="inlineStr">
        <is>
          <t>Returned</t>
        </is>
      </c>
      <c r="J2242" t="n">
        <v>146</v>
      </c>
      <c r="K2242" t="n">
        <v>1</v>
      </c>
      <c r="L2242" s="7" t="n">
        <v>4724</v>
      </c>
      <c r="M2242" s="7" t="n">
        <v>0</v>
      </c>
    </row>
    <row r="2243">
      <c r="A2243" t="n">
        <v>510480</v>
      </c>
      <c r="B2243" s="6" t="n">
        <v>45960</v>
      </c>
      <c r="C2243" t="n">
        <v>15773</v>
      </c>
      <c r="D2243" t="inlineStr">
        <is>
          <t>Indore</t>
        </is>
      </c>
      <c r="E2243" t="inlineStr">
        <is>
          <t>West</t>
        </is>
      </c>
      <c r="F2243" t="inlineStr">
        <is>
          <t>Organic Search</t>
        </is>
      </c>
      <c r="G2243" t="inlineStr">
        <is>
          <t>Mobile Web</t>
        </is>
      </c>
      <c r="H2243" t="inlineStr">
        <is>
          <t>UPI</t>
        </is>
      </c>
      <c r="I2243" t="inlineStr">
        <is>
          <t>Returned</t>
        </is>
      </c>
      <c r="J2243" t="n">
        <v>137</v>
      </c>
      <c r="K2243" t="n">
        <v>2</v>
      </c>
      <c r="L2243" s="7" t="n">
        <v>261</v>
      </c>
      <c r="M2243" s="7" t="n">
        <v>0</v>
      </c>
    </row>
    <row r="2244">
      <c r="A2244" t="n">
        <v>510481</v>
      </c>
      <c r="B2244" s="6" t="n">
        <v>45960</v>
      </c>
      <c r="C2244" t="n">
        <v>15157</v>
      </c>
      <c r="D2244" t="inlineStr">
        <is>
          <t>Hyderabad</t>
        </is>
      </c>
      <c r="E2244" t="inlineStr">
        <is>
          <t>South</t>
        </is>
      </c>
      <c r="F2244" t="inlineStr">
        <is>
          <t>Referral</t>
        </is>
      </c>
      <c r="G2244" t="inlineStr">
        <is>
          <t>Mobile App</t>
        </is>
      </c>
      <c r="H2244" t="inlineStr">
        <is>
          <t>Cash on Delivery</t>
        </is>
      </c>
      <c r="I2244" t="inlineStr">
        <is>
          <t>Delivered</t>
        </is>
      </c>
      <c r="J2244" t="n">
        <v>126</v>
      </c>
      <c r="K2244" t="n">
        <v>1</v>
      </c>
      <c r="L2244" s="7" t="n">
        <v>471</v>
      </c>
      <c r="M2244" s="7" t="n">
        <v>0</v>
      </c>
    </row>
    <row r="2245">
      <c r="A2245" t="n">
        <v>510481</v>
      </c>
      <c r="B2245" s="6" t="n">
        <v>45960</v>
      </c>
      <c r="C2245" t="n">
        <v>15157</v>
      </c>
      <c r="D2245" t="inlineStr">
        <is>
          <t>Hyderabad</t>
        </is>
      </c>
      <c r="E2245" t="inlineStr">
        <is>
          <t>South</t>
        </is>
      </c>
      <c r="F2245" t="inlineStr">
        <is>
          <t>Referral</t>
        </is>
      </c>
      <c r="G2245" t="inlineStr">
        <is>
          <t>Mobile App</t>
        </is>
      </c>
      <c r="H2245" t="inlineStr">
        <is>
          <t>Cash on Delivery</t>
        </is>
      </c>
      <c r="I2245" t="inlineStr">
        <is>
          <t>Delivered</t>
        </is>
      </c>
      <c r="J2245" t="n">
        <v>134</v>
      </c>
      <c r="K2245" t="n">
        <v>1</v>
      </c>
      <c r="L2245" s="7" t="n">
        <v>209</v>
      </c>
      <c r="M2245" s="7" t="n">
        <v>0</v>
      </c>
    </row>
    <row r="2246">
      <c r="A2246" t="n">
        <v>510481</v>
      </c>
      <c r="B2246" s="6" t="n">
        <v>45960</v>
      </c>
      <c r="C2246" t="n">
        <v>15157</v>
      </c>
      <c r="D2246" t="inlineStr">
        <is>
          <t>Hyderabad</t>
        </is>
      </c>
      <c r="E2246" t="inlineStr">
        <is>
          <t>South</t>
        </is>
      </c>
      <c r="F2246" t="inlineStr">
        <is>
          <t>Referral</t>
        </is>
      </c>
      <c r="G2246" t="inlineStr">
        <is>
          <t>Mobile App</t>
        </is>
      </c>
      <c r="H2246" t="inlineStr">
        <is>
          <t>Cash on Delivery</t>
        </is>
      </c>
      <c r="I2246" t="inlineStr">
        <is>
          <t>Delivered</t>
        </is>
      </c>
      <c r="J2246" t="n">
        <v>109</v>
      </c>
      <c r="K2246" t="n">
        <v>1</v>
      </c>
      <c r="L2246" s="7" t="n">
        <v>4199</v>
      </c>
      <c r="M2246" s="7" t="n">
        <v>0</v>
      </c>
    </row>
    <row r="2247">
      <c r="A2247" t="n">
        <v>510482</v>
      </c>
      <c r="B2247" s="6" t="n">
        <v>45960</v>
      </c>
      <c r="C2247" t="n">
        <v>16936</v>
      </c>
      <c r="D2247" t="inlineStr">
        <is>
          <t>Delhi</t>
        </is>
      </c>
      <c r="E2247" t="inlineStr">
        <is>
          <t>North</t>
        </is>
      </c>
      <c r="F2247" t="inlineStr">
        <is>
          <t>Referral</t>
        </is>
      </c>
      <c r="G2247" t="inlineStr">
        <is>
          <t>Mobile Web</t>
        </is>
      </c>
      <c r="H2247" t="inlineStr">
        <is>
          <t>UPI</t>
        </is>
      </c>
      <c r="I2247" t="inlineStr">
        <is>
          <t>Delivered</t>
        </is>
      </c>
      <c r="J2247" t="n">
        <v>111</v>
      </c>
      <c r="K2247" t="n">
        <v>1</v>
      </c>
      <c r="L2247" s="7" t="n">
        <v>524</v>
      </c>
      <c r="M2247" s="7" t="n">
        <v>78.59999999999999</v>
      </c>
    </row>
    <row r="2248">
      <c r="A2248" t="n">
        <v>510483</v>
      </c>
      <c r="B2248" s="6" t="n">
        <v>45960</v>
      </c>
      <c r="C2248" t="n">
        <v>16924</v>
      </c>
      <c r="D2248" t="inlineStr">
        <is>
          <t>Bengaluru</t>
        </is>
      </c>
      <c r="E2248" t="inlineStr">
        <is>
          <t>South</t>
        </is>
      </c>
      <c r="F2248" t="inlineStr">
        <is>
          <t>Affiliate</t>
        </is>
      </c>
      <c r="G2248" t="inlineStr">
        <is>
          <t>Mobile App</t>
        </is>
      </c>
      <c r="H2248" t="inlineStr">
        <is>
          <t>UPI</t>
        </is>
      </c>
      <c r="I2248" t="inlineStr">
        <is>
          <t>Delivered</t>
        </is>
      </c>
      <c r="J2248" t="n">
        <v>106</v>
      </c>
      <c r="K2248" t="n">
        <v>1</v>
      </c>
      <c r="L2248" s="7" t="n">
        <v>1574</v>
      </c>
      <c r="M2248" s="7" t="n">
        <v>0</v>
      </c>
    </row>
    <row r="2249">
      <c r="A2249" t="n">
        <v>510483</v>
      </c>
      <c r="B2249" s="6" t="n">
        <v>45960</v>
      </c>
      <c r="C2249" t="n">
        <v>16924</v>
      </c>
      <c r="D2249" t="inlineStr">
        <is>
          <t>Bengaluru</t>
        </is>
      </c>
      <c r="E2249" t="inlineStr">
        <is>
          <t>South</t>
        </is>
      </c>
      <c r="F2249" t="inlineStr">
        <is>
          <t>Affiliate</t>
        </is>
      </c>
      <c r="G2249" t="inlineStr">
        <is>
          <t>Mobile App</t>
        </is>
      </c>
      <c r="H2249" t="inlineStr">
        <is>
          <t>UPI</t>
        </is>
      </c>
      <c r="I2249" t="inlineStr">
        <is>
          <t>Delivered</t>
        </is>
      </c>
      <c r="J2249" t="n">
        <v>127</v>
      </c>
      <c r="K2249" t="n">
        <v>2</v>
      </c>
      <c r="L2249" s="7" t="n">
        <v>681</v>
      </c>
      <c r="M2249" s="7" t="n">
        <v>0</v>
      </c>
    </row>
    <row r="2250">
      <c r="A2250" t="n">
        <v>510484</v>
      </c>
      <c r="B2250" s="6" t="n">
        <v>45960</v>
      </c>
      <c r="C2250" t="n">
        <v>16972</v>
      </c>
      <c r="D2250" t="inlineStr">
        <is>
          <t>Delhi</t>
        </is>
      </c>
      <c r="E2250" t="inlineStr">
        <is>
          <t>North</t>
        </is>
      </c>
      <c r="F2250" t="inlineStr">
        <is>
          <t>Referral</t>
        </is>
      </c>
      <c r="G2250" t="inlineStr">
        <is>
          <t>Mobile App</t>
        </is>
      </c>
      <c r="H2250" t="inlineStr">
        <is>
          <t>UPI</t>
        </is>
      </c>
      <c r="I2250" t="inlineStr">
        <is>
          <t>Delivered</t>
        </is>
      </c>
      <c r="J2250" t="n">
        <v>119</v>
      </c>
      <c r="K2250" t="n">
        <v>2</v>
      </c>
      <c r="L2250" s="7" t="n">
        <v>2309</v>
      </c>
      <c r="M2250" s="7" t="n">
        <v>692.7</v>
      </c>
    </row>
    <row r="2251">
      <c r="A2251" t="n">
        <v>510485</v>
      </c>
      <c r="B2251" s="6" t="n">
        <v>45960</v>
      </c>
      <c r="C2251" t="n">
        <v>17056</v>
      </c>
      <c r="D2251" t="inlineStr">
        <is>
          <t>Delhi</t>
        </is>
      </c>
      <c r="E2251" t="inlineStr">
        <is>
          <t>North</t>
        </is>
      </c>
      <c r="F2251" t="inlineStr">
        <is>
          <t>Referral</t>
        </is>
      </c>
      <c r="G2251" t="inlineStr">
        <is>
          <t>Mobile Web</t>
        </is>
      </c>
      <c r="H2251" t="inlineStr">
        <is>
          <t>UPI</t>
        </is>
      </c>
      <c r="I2251" t="inlineStr">
        <is>
          <t>Delivered</t>
        </is>
      </c>
      <c r="J2251" t="n">
        <v>127</v>
      </c>
      <c r="K2251" t="n">
        <v>1</v>
      </c>
      <c r="L2251" s="7" t="n">
        <v>681</v>
      </c>
      <c r="M2251" s="7" t="n">
        <v>0</v>
      </c>
    </row>
    <row r="2252">
      <c r="A2252" t="n">
        <v>510486</v>
      </c>
      <c r="B2252" s="6" t="n">
        <v>45960</v>
      </c>
      <c r="C2252" t="n">
        <v>17035</v>
      </c>
      <c r="D2252" t="inlineStr">
        <is>
          <t>Bengaluru</t>
        </is>
      </c>
      <c r="E2252" t="inlineStr">
        <is>
          <t>South</t>
        </is>
      </c>
      <c r="F2252" t="inlineStr">
        <is>
          <t>Organic Search</t>
        </is>
      </c>
      <c r="G2252" t="inlineStr">
        <is>
          <t>Desktop</t>
        </is>
      </c>
      <c r="H2252" t="inlineStr">
        <is>
          <t>UPI</t>
        </is>
      </c>
      <c r="I2252" t="inlineStr">
        <is>
          <t>Delivered</t>
        </is>
      </c>
      <c r="J2252" t="n">
        <v>114</v>
      </c>
      <c r="K2252" t="n">
        <v>1</v>
      </c>
      <c r="L2252" s="7" t="n">
        <v>1259</v>
      </c>
      <c r="M2252" s="7" t="n">
        <v>188.85</v>
      </c>
    </row>
    <row r="2253">
      <c r="A2253" t="n">
        <v>510487</v>
      </c>
      <c r="B2253" s="6" t="n">
        <v>45960</v>
      </c>
      <c r="C2253" t="n">
        <v>16036</v>
      </c>
      <c r="D2253" t="inlineStr">
        <is>
          <t>Delhi</t>
        </is>
      </c>
      <c r="E2253" t="inlineStr">
        <is>
          <t>North</t>
        </is>
      </c>
      <c r="F2253" t="inlineStr">
        <is>
          <t>Referral</t>
        </is>
      </c>
      <c r="G2253" t="inlineStr">
        <is>
          <t>Mobile App</t>
        </is>
      </c>
      <c r="H2253" t="inlineStr">
        <is>
          <t>UPI</t>
        </is>
      </c>
      <c r="I2253" t="inlineStr">
        <is>
          <t>Delivered</t>
        </is>
      </c>
      <c r="J2253" t="n">
        <v>108</v>
      </c>
      <c r="K2253" t="n">
        <v>3</v>
      </c>
      <c r="L2253" s="7" t="n">
        <v>419</v>
      </c>
      <c r="M2253" s="7" t="n">
        <v>0</v>
      </c>
    </row>
    <row r="2254">
      <c r="A2254" t="n">
        <v>510488</v>
      </c>
      <c r="B2254" s="6" t="n">
        <v>45960</v>
      </c>
      <c r="C2254" t="n">
        <v>15184</v>
      </c>
      <c r="D2254" t="inlineStr">
        <is>
          <t>Kolkata</t>
        </is>
      </c>
      <c r="E2254" t="inlineStr">
        <is>
          <t>East</t>
        </is>
      </c>
      <c r="F2254" t="inlineStr">
        <is>
          <t>Email</t>
        </is>
      </c>
      <c r="G2254" t="inlineStr">
        <is>
          <t>Desktop</t>
        </is>
      </c>
      <c r="H2254" t="inlineStr">
        <is>
          <t>UPI</t>
        </is>
      </c>
      <c r="I2254" t="inlineStr">
        <is>
          <t>Delivered</t>
        </is>
      </c>
      <c r="J2254" t="n">
        <v>123</v>
      </c>
      <c r="K2254" t="n">
        <v>1</v>
      </c>
      <c r="L2254" s="7" t="n">
        <v>3464</v>
      </c>
      <c r="M2254" s="7" t="n">
        <v>0</v>
      </c>
    </row>
    <row r="2255">
      <c r="A2255" t="n">
        <v>510488</v>
      </c>
      <c r="B2255" s="6" t="n">
        <v>45960</v>
      </c>
      <c r="C2255" t="n">
        <v>15184</v>
      </c>
      <c r="D2255" t="inlineStr">
        <is>
          <t>Kolkata</t>
        </is>
      </c>
      <c r="E2255" t="inlineStr">
        <is>
          <t>East</t>
        </is>
      </c>
      <c r="F2255" t="inlineStr">
        <is>
          <t>Email</t>
        </is>
      </c>
      <c r="G2255" t="inlineStr">
        <is>
          <t>Desktop</t>
        </is>
      </c>
      <c r="H2255" t="inlineStr">
        <is>
          <t>UPI</t>
        </is>
      </c>
      <c r="I2255" t="inlineStr">
        <is>
          <t>Delivered</t>
        </is>
      </c>
      <c r="J2255" t="n">
        <v>131</v>
      </c>
      <c r="K2255" t="n">
        <v>1</v>
      </c>
      <c r="L2255" s="7" t="n">
        <v>314</v>
      </c>
      <c r="M2255" s="7" t="n">
        <v>0</v>
      </c>
    </row>
    <row r="2256">
      <c r="A2256" t="n">
        <v>510488</v>
      </c>
      <c r="B2256" s="6" t="n">
        <v>45960</v>
      </c>
      <c r="C2256" t="n">
        <v>15184</v>
      </c>
      <c r="D2256" t="inlineStr">
        <is>
          <t>Kolkata</t>
        </is>
      </c>
      <c r="E2256" t="inlineStr">
        <is>
          <t>East</t>
        </is>
      </c>
      <c r="F2256" t="inlineStr">
        <is>
          <t>Email</t>
        </is>
      </c>
      <c r="G2256" t="inlineStr">
        <is>
          <t>Desktop</t>
        </is>
      </c>
      <c r="H2256" t="inlineStr">
        <is>
          <t>UPI</t>
        </is>
      </c>
      <c r="I2256" t="inlineStr">
        <is>
          <t>Delivered</t>
        </is>
      </c>
      <c r="J2256" t="n">
        <v>120</v>
      </c>
      <c r="K2256" t="n">
        <v>1</v>
      </c>
      <c r="L2256" s="7" t="n">
        <v>734</v>
      </c>
      <c r="M2256" s="7" t="n">
        <v>0</v>
      </c>
    </row>
    <row r="2257">
      <c r="A2257" t="n">
        <v>510489</v>
      </c>
      <c r="B2257" s="6" t="n">
        <v>45960</v>
      </c>
      <c r="C2257" t="n">
        <v>16598</v>
      </c>
      <c r="D2257" t="inlineStr">
        <is>
          <t>Ahmedabad</t>
        </is>
      </c>
      <c r="E2257" t="inlineStr">
        <is>
          <t>West</t>
        </is>
      </c>
      <c r="F2257" t="inlineStr">
        <is>
          <t>Affiliate</t>
        </is>
      </c>
      <c r="G2257" t="inlineStr">
        <is>
          <t>Mobile App</t>
        </is>
      </c>
      <c r="H2257" t="inlineStr">
        <is>
          <t>Credit Card</t>
        </is>
      </c>
      <c r="I2257" t="inlineStr">
        <is>
          <t>Delivered</t>
        </is>
      </c>
      <c r="J2257" t="n">
        <v>127</v>
      </c>
      <c r="K2257" t="n">
        <v>1</v>
      </c>
      <c r="L2257" s="7" t="n">
        <v>681</v>
      </c>
      <c r="M2257" s="7" t="n">
        <v>0</v>
      </c>
    </row>
    <row r="2258">
      <c r="A2258" t="n">
        <v>510490</v>
      </c>
      <c r="B2258" s="6" t="n">
        <v>45960</v>
      </c>
      <c r="C2258" t="n">
        <v>17006</v>
      </c>
      <c r="D2258" t="inlineStr">
        <is>
          <t>Mumbai</t>
        </is>
      </c>
      <c r="E2258" t="inlineStr">
        <is>
          <t>West</t>
        </is>
      </c>
      <c r="F2258" t="inlineStr">
        <is>
          <t>Paid Search</t>
        </is>
      </c>
      <c r="G2258" t="inlineStr">
        <is>
          <t>Mobile Web</t>
        </is>
      </c>
      <c r="H2258" t="inlineStr">
        <is>
          <t>Cash on Delivery</t>
        </is>
      </c>
      <c r="I2258" t="inlineStr">
        <is>
          <t>Delivered</t>
        </is>
      </c>
      <c r="J2258" t="n">
        <v>111</v>
      </c>
      <c r="K2258" t="n">
        <v>1</v>
      </c>
      <c r="L2258" s="7" t="n">
        <v>524</v>
      </c>
      <c r="M2258" s="7" t="n">
        <v>78.59999999999999</v>
      </c>
    </row>
    <row r="2259">
      <c r="A2259" t="n">
        <v>510491</v>
      </c>
      <c r="B2259" s="6" t="n">
        <v>45960</v>
      </c>
      <c r="C2259" t="n">
        <v>16359</v>
      </c>
      <c r="D2259" t="inlineStr">
        <is>
          <t>Bengaluru</t>
        </is>
      </c>
      <c r="E2259" t="inlineStr">
        <is>
          <t>South</t>
        </is>
      </c>
      <c r="F2259" t="inlineStr">
        <is>
          <t>Organic Search</t>
        </is>
      </c>
      <c r="G2259" t="inlineStr">
        <is>
          <t>Mobile App</t>
        </is>
      </c>
      <c r="H2259" t="inlineStr">
        <is>
          <t>UPI</t>
        </is>
      </c>
      <c r="I2259" t="inlineStr">
        <is>
          <t>Delivered</t>
        </is>
      </c>
      <c r="J2259" t="n">
        <v>124</v>
      </c>
      <c r="K2259" t="n">
        <v>1</v>
      </c>
      <c r="L2259" s="7" t="n">
        <v>1154</v>
      </c>
      <c r="M2259" s="7" t="n">
        <v>0</v>
      </c>
    </row>
    <row r="2260">
      <c r="A2260" t="n">
        <v>510492</v>
      </c>
      <c r="B2260" s="6" t="n">
        <v>45960</v>
      </c>
      <c r="C2260" t="n">
        <v>17054</v>
      </c>
      <c r="D2260" t="inlineStr">
        <is>
          <t>Indore</t>
        </is>
      </c>
      <c r="E2260" t="inlineStr">
        <is>
          <t>West</t>
        </is>
      </c>
      <c r="F2260" t="inlineStr">
        <is>
          <t>Paid Search</t>
        </is>
      </c>
      <c r="G2260" t="inlineStr">
        <is>
          <t>Mobile Web</t>
        </is>
      </c>
      <c r="H2260" t="inlineStr">
        <is>
          <t>UPI</t>
        </is>
      </c>
      <c r="I2260" t="inlineStr">
        <is>
          <t>Delivered</t>
        </is>
      </c>
      <c r="J2260" t="n">
        <v>103</v>
      </c>
      <c r="K2260" t="n">
        <v>1</v>
      </c>
      <c r="L2260" s="7" t="n">
        <v>2624</v>
      </c>
      <c r="M2260" s="7" t="n">
        <v>393.6</v>
      </c>
    </row>
    <row r="2261">
      <c r="A2261" t="n">
        <v>510492</v>
      </c>
      <c r="B2261" s="6" t="n">
        <v>45960</v>
      </c>
      <c r="C2261" t="n">
        <v>17054</v>
      </c>
      <c r="D2261" t="inlineStr">
        <is>
          <t>Indore</t>
        </is>
      </c>
      <c r="E2261" t="inlineStr">
        <is>
          <t>West</t>
        </is>
      </c>
      <c r="F2261" t="inlineStr">
        <is>
          <t>Paid Search</t>
        </is>
      </c>
      <c r="G2261" t="inlineStr">
        <is>
          <t>Mobile Web</t>
        </is>
      </c>
      <c r="H2261" t="inlineStr">
        <is>
          <t>UPI</t>
        </is>
      </c>
      <c r="I2261" t="inlineStr">
        <is>
          <t>Delivered</t>
        </is>
      </c>
      <c r="J2261" t="n">
        <v>123</v>
      </c>
      <c r="K2261" t="n">
        <v>1</v>
      </c>
      <c r="L2261" s="7" t="n">
        <v>3464</v>
      </c>
      <c r="M2261" s="7" t="n">
        <v>519.6</v>
      </c>
    </row>
    <row r="2262">
      <c r="A2262" t="n">
        <v>510492</v>
      </c>
      <c r="B2262" s="6" t="n">
        <v>45960</v>
      </c>
      <c r="C2262" t="n">
        <v>17054</v>
      </c>
      <c r="D2262" t="inlineStr">
        <is>
          <t>Indore</t>
        </is>
      </c>
      <c r="E2262" t="inlineStr">
        <is>
          <t>West</t>
        </is>
      </c>
      <c r="F2262" t="inlineStr">
        <is>
          <t>Paid Search</t>
        </is>
      </c>
      <c r="G2262" t="inlineStr">
        <is>
          <t>Mobile Web</t>
        </is>
      </c>
      <c r="H2262" t="inlineStr">
        <is>
          <t>UPI</t>
        </is>
      </c>
      <c r="I2262" t="inlineStr">
        <is>
          <t>Delivered</t>
        </is>
      </c>
      <c r="J2262" t="n">
        <v>112</v>
      </c>
      <c r="K2262" t="n">
        <v>1</v>
      </c>
      <c r="L2262" s="7" t="n">
        <v>1574</v>
      </c>
      <c r="M2262" s="7" t="n">
        <v>236.1</v>
      </c>
    </row>
    <row r="2263">
      <c r="A2263" t="n">
        <v>510492</v>
      </c>
      <c r="B2263" s="6" t="n">
        <v>45960</v>
      </c>
      <c r="C2263" t="n">
        <v>17054</v>
      </c>
      <c r="D2263" t="inlineStr">
        <is>
          <t>Indore</t>
        </is>
      </c>
      <c r="E2263" t="inlineStr">
        <is>
          <t>West</t>
        </is>
      </c>
      <c r="F2263" t="inlineStr">
        <is>
          <t>Paid Search</t>
        </is>
      </c>
      <c r="G2263" t="inlineStr">
        <is>
          <t>Mobile Web</t>
        </is>
      </c>
      <c r="H2263" t="inlineStr">
        <is>
          <t>UPI</t>
        </is>
      </c>
      <c r="I2263" t="inlineStr">
        <is>
          <t>Delivered</t>
        </is>
      </c>
      <c r="J2263" t="n">
        <v>107</v>
      </c>
      <c r="K2263" t="n">
        <v>1</v>
      </c>
      <c r="L2263" s="7" t="n">
        <v>1259</v>
      </c>
      <c r="M2263" s="7" t="n">
        <v>188.85</v>
      </c>
    </row>
    <row r="2264">
      <c r="A2264" t="n">
        <v>510493</v>
      </c>
      <c r="B2264" s="6" t="n">
        <v>45960</v>
      </c>
      <c r="C2264" t="n">
        <v>17078</v>
      </c>
      <c r="D2264" t="inlineStr">
        <is>
          <t>Bengaluru</t>
        </is>
      </c>
      <c r="E2264" t="inlineStr">
        <is>
          <t>South</t>
        </is>
      </c>
      <c r="F2264" t="inlineStr">
        <is>
          <t>Referral</t>
        </is>
      </c>
      <c r="G2264" t="inlineStr">
        <is>
          <t>Mobile App</t>
        </is>
      </c>
      <c r="H2264" t="inlineStr">
        <is>
          <t>UPI</t>
        </is>
      </c>
      <c r="I2264" t="inlineStr">
        <is>
          <t>Delivered</t>
        </is>
      </c>
      <c r="J2264" t="n">
        <v>111</v>
      </c>
      <c r="K2264" t="n">
        <v>3</v>
      </c>
      <c r="L2264" s="7" t="n">
        <v>524</v>
      </c>
      <c r="M2264" s="7" t="n">
        <v>235.8</v>
      </c>
    </row>
    <row r="2265">
      <c r="A2265" t="n">
        <v>510493</v>
      </c>
      <c r="B2265" s="6" t="n">
        <v>45960</v>
      </c>
      <c r="C2265" t="n">
        <v>17078</v>
      </c>
      <c r="D2265" t="inlineStr">
        <is>
          <t>Bengaluru</t>
        </is>
      </c>
      <c r="E2265" t="inlineStr">
        <is>
          <t>South</t>
        </is>
      </c>
      <c r="F2265" t="inlineStr">
        <is>
          <t>Referral</t>
        </is>
      </c>
      <c r="G2265" t="inlineStr">
        <is>
          <t>Mobile App</t>
        </is>
      </c>
      <c r="H2265" t="inlineStr">
        <is>
          <t>UPI</t>
        </is>
      </c>
      <c r="I2265" t="inlineStr">
        <is>
          <t>Delivered</t>
        </is>
      </c>
      <c r="J2265" t="n">
        <v>103</v>
      </c>
      <c r="K2265" t="n">
        <v>2</v>
      </c>
      <c r="L2265" s="7" t="n">
        <v>2624</v>
      </c>
      <c r="M2265" s="7" t="n">
        <v>787.2</v>
      </c>
    </row>
    <row r="2266">
      <c r="A2266" t="n">
        <v>510494</v>
      </c>
      <c r="B2266" s="6" t="n">
        <v>45960</v>
      </c>
      <c r="C2266" t="n">
        <v>12661</v>
      </c>
      <c r="D2266" t="inlineStr">
        <is>
          <t>Delhi</t>
        </is>
      </c>
      <c r="E2266" t="inlineStr">
        <is>
          <t>North</t>
        </is>
      </c>
      <c r="F2266" t="inlineStr">
        <is>
          <t>Paid Search</t>
        </is>
      </c>
      <c r="G2266" t="inlineStr">
        <is>
          <t>Mobile App</t>
        </is>
      </c>
      <c r="H2266" t="inlineStr">
        <is>
          <t>UPI</t>
        </is>
      </c>
      <c r="I2266" t="inlineStr">
        <is>
          <t>Returned</t>
        </is>
      </c>
      <c r="J2266" t="n">
        <v>104</v>
      </c>
      <c r="K2266" t="n">
        <v>2</v>
      </c>
      <c r="L2266" s="7" t="n">
        <v>5249</v>
      </c>
      <c r="M2266" s="7" t="n">
        <v>0</v>
      </c>
    </row>
    <row r="2267">
      <c r="A2267" t="n">
        <v>510494</v>
      </c>
      <c r="B2267" s="6" t="n">
        <v>45960</v>
      </c>
      <c r="C2267" t="n">
        <v>12661</v>
      </c>
      <c r="D2267" t="inlineStr">
        <is>
          <t>Delhi</t>
        </is>
      </c>
      <c r="E2267" t="inlineStr">
        <is>
          <t>North</t>
        </is>
      </c>
      <c r="F2267" t="inlineStr">
        <is>
          <t>Paid Search</t>
        </is>
      </c>
      <c r="G2267" t="inlineStr">
        <is>
          <t>Mobile App</t>
        </is>
      </c>
      <c r="H2267" t="inlineStr">
        <is>
          <t>UPI</t>
        </is>
      </c>
      <c r="I2267" t="inlineStr">
        <is>
          <t>Returned</t>
        </is>
      </c>
      <c r="J2267" t="n">
        <v>122</v>
      </c>
      <c r="K2267" t="n">
        <v>1</v>
      </c>
      <c r="L2267" s="7" t="n">
        <v>1994</v>
      </c>
      <c r="M2267" s="7" t="n">
        <v>0</v>
      </c>
    </row>
    <row r="2268">
      <c r="A2268" t="n">
        <v>510494</v>
      </c>
      <c r="B2268" s="6" t="n">
        <v>45960</v>
      </c>
      <c r="C2268" t="n">
        <v>12661</v>
      </c>
      <c r="D2268" t="inlineStr">
        <is>
          <t>Delhi</t>
        </is>
      </c>
      <c r="E2268" t="inlineStr">
        <is>
          <t>North</t>
        </is>
      </c>
      <c r="F2268" t="inlineStr">
        <is>
          <t>Paid Search</t>
        </is>
      </c>
      <c r="G2268" t="inlineStr">
        <is>
          <t>Mobile App</t>
        </is>
      </c>
      <c r="H2268" t="inlineStr">
        <is>
          <t>UPI</t>
        </is>
      </c>
      <c r="I2268" t="inlineStr">
        <is>
          <t>Returned</t>
        </is>
      </c>
      <c r="J2268" t="n">
        <v>112</v>
      </c>
      <c r="K2268" t="n">
        <v>1</v>
      </c>
      <c r="L2268" s="7" t="n">
        <v>1574</v>
      </c>
      <c r="M2268" s="7" t="n">
        <v>0</v>
      </c>
    </row>
    <row r="2269">
      <c r="A2269" t="n">
        <v>510495</v>
      </c>
      <c r="B2269" s="6" t="n">
        <v>45960</v>
      </c>
      <c r="C2269" t="n">
        <v>17106</v>
      </c>
      <c r="D2269" t="inlineStr">
        <is>
          <t>Bengaluru</t>
        </is>
      </c>
      <c r="E2269" t="inlineStr">
        <is>
          <t>South</t>
        </is>
      </c>
      <c r="F2269" t="inlineStr">
        <is>
          <t>Paid Social</t>
        </is>
      </c>
      <c r="G2269" t="inlineStr">
        <is>
          <t>Mobile App</t>
        </is>
      </c>
      <c r="H2269" t="inlineStr">
        <is>
          <t>UPI</t>
        </is>
      </c>
      <c r="I2269" t="inlineStr">
        <is>
          <t>Delivered</t>
        </is>
      </c>
      <c r="J2269" t="n">
        <v>118</v>
      </c>
      <c r="K2269" t="n">
        <v>1</v>
      </c>
      <c r="L2269" s="7" t="n">
        <v>944</v>
      </c>
      <c r="M2269" s="7" t="n">
        <v>141.6</v>
      </c>
    </row>
    <row r="2270">
      <c r="A2270" t="n">
        <v>510495</v>
      </c>
      <c r="B2270" s="6" t="n">
        <v>45960</v>
      </c>
      <c r="C2270" t="n">
        <v>17106</v>
      </c>
      <c r="D2270" t="inlineStr">
        <is>
          <t>Bengaluru</t>
        </is>
      </c>
      <c r="E2270" t="inlineStr">
        <is>
          <t>South</t>
        </is>
      </c>
      <c r="F2270" t="inlineStr">
        <is>
          <t>Paid Social</t>
        </is>
      </c>
      <c r="G2270" t="inlineStr">
        <is>
          <t>Mobile App</t>
        </is>
      </c>
      <c r="H2270" t="inlineStr">
        <is>
          <t>UPI</t>
        </is>
      </c>
      <c r="I2270" t="inlineStr">
        <is>
          <t>Delivered</t>
        </is>
      </c>
      <c r="J2270" t="n">
        <v>143</v>
      </c>
      <c r="K2270" t="n">
        <v>1</v>
      </c>
      <c r="L2270" s="7" t="n">
        <v>839</v>
      </c>
      <c r="M2270" s="7" t="n">
        <v>125.85</v>
      </c>
    </row>
    <row r="2271">
      <c r="A2271" t="n">
        <v>510496</v>
      </c>
      <c r="B2271" s="6" t="n">
        <v>45960</v>
      </c>
      <c r="C2271" t="n">
        <v>17094</v>
      </c>
      <c r="D2271" t="inlineStr">
        <is>
          <t>Mumbai</t>
        </is>
      </c>
      <c r="E2271" t="inlineStr">
        <is>
          <t>West</t>
        </is>
      </c>
      <c r="F2271" t="inlineStr">
        <is>
          <t>Paid Search</t>
        </is>
      </c>
      <c r="G2271" t="inlineStr">
        <is>
          <t>Mobile App</t>
        </is>
      </c>
      <c r="H2271" t="inlineStr">
        <is>
          <t>Credit Card</t>
        </is>
      </c>
      <c r="I2271" t="inlineStr">
        <is>
          <t>Delivered</t>
        </is>
      </c>
      <c r="J2271" t="n">
        <v>110</v>
      </c>
      <c r="K2271" t="n">
        <v>2</v>
      </c>
      <c r="L2271" s="7" t="n">
        <v>839</v>
      </c>
      <c r="M2271" s="7" t="n">
        <v>0</v>
      </c>
    </row>
    <row r="2272">
      <c r="A2272" t="n">
        <v>510496</v>
      </c>
      <c r="B2272" s="6" t="n">
        <v>45960</v>
      </c>
      <c r="C2272" t="n">
        <v>17094</v>
      </c>
      <c r="D2272" t="inlineStr">
        <is>
          <t>Mumbai</t>
        </is>
      </c>
      <c r="E2272" t="inlineStr">
        <is>
          <t>West</t>
        </is>
      </c>
      <c r="F2272" t="inlineStr">
        <is>
          <t>Paid Search</t>
        </is>
      </c>
      <c r="G2272" t="inlineStr">
        <is>
          <t>Mobile App</t>
        </is>
      </c>
      <c r="H2272" t="inlineStr">
        <is>
          <t>Credit Card</t>
        </is>
      </c>
      <c r="I2272" t="inlineStr">
        <is>
          <t>Delivered</t>
        </is>
      </c>
      <c r="J2272" t="n">
        <v>113</v>
      </c>
      <c r="K2272" t="n">
        <v>1</v>
      </c>
      <c r="L2272" s="7" t="n">
        <v>1364</v>
      </c>
      <c r="M2272" s="7" t="n">
        <v>0</v>
      </c>
    </row>
    <row r="2273">
      <c r="A2273" t="n">
        <v>510496</v>
      </c>
      <c r="B2273" s="6" t="n">
        <v>45960</v>
      </c>
      <c r="C2273" t="n">
        <v>17094</v>
      </c>
      <c r="D2273" t="inlineStr">
        <is>
          <t>Mumbai</t>
        </is>
      </c>
      <c r="E2273" t="inlineStr">
        <is>
          <t>West</t>
        </is>
      </c>
      <c r="F2273" t="inlineStr">
        <is>
          <t>Paid Search</t>
        </is>
      </c>
      <c r="G2273" t="inlineStr">
        <is>
          <t>Mobile App</t>
        </is>
      </c>
      <c r="H2273" t="inlineStr">
        <is>
          <t>Credit Card</t>
        </is>
      </c>
      <c r="I2273" t="inlineStr">
        <is>
          <t>Delivered</t>
        </is>
      </c>
      <c r="J2273" t="n">
        <v>117</v>
      </c>
      <c r="K2273" t="n">
        <v>1</v>
      </c>
      <c r="L2273" s="7" t="n">
        <v>3149</v>
      </c>
      <c r="M2273" s="7" t="n">
        <v>0</v>
      </c>
    </row>
    <row r="2274">
      <c r="A2274" t="n">
        <v>510497</v>
      </c>
      <c r="B2274" s="6" t="n">
        <v>45960</v>
      </c>
      <c r="C2274" t="n">
        <v>16593</v>
      </c>
      <c r="D2274" t="inlineStr">
        <is>
          <t>Mumbai</t>
        </is>
      </c>
      <c r="E2274" t="inlineStr">
        <is>
          <t>West</t>
        </is>
      </c>
      <c r="F2274" t="inlineStr">
        <is>
          <t>Referral</t>
        </is>
      </c>
      <c r="G2274" t="inlineStr">
        <is>
          <t>Mobile App</t>
        </is>
      </c>
      <c r="H2274" t="inlineStr">
        <is>
          <t>UPI</t>
        </is>
      </c>
      <c r="I2274" t="inlineStr">
        <is>
          <t>Delivered</t>
        </is>
      </c>
      <c r="J2274" t="n">
        <v>116</v>
      </c>
      <c r="K2274" t="n">
        <v>1</v>
      </c>
      <c r="L2274" s="7" t="n">
        <v>2624</v>
      </c>
      <c r="M2274" s="7" t="n">
        <v>0</v>
      </c>
    </row>
    <row r="2275">
      <c r="A2275" t="n">
        <v>510498</v>
      </c>
      <c r="B2275" s="6" t="n">
        <v>45960</v>
      </c>
      <c r="C2275" t="n">
        <v>16821</v>
      </c>
      <c r="D2275" t="inlineStr">
        <is>
          <t>Mumbai</t>
        </is>
      </c>
      <c r="E2275" t="inlineStr">
        <is>
          <t>West</t>
        </is>
      </c>
      <c r="F2275" t="inlineStr">
        <is>
          <t>Organic Search</t>
        </is>
      </c>
      <c r="G2275" t="inlineStr">
        <is>
          <t>Mobile Web</t>
        </is>
      </c>
      <c r="H2275" t="inlineStr">
        <is>
          <t>UPI</t>
        </is>
      </c>
      <c r="I2275" t="inlineStr">
        <is>
          <t>Delivered</t>
        </is>
      </c>
      <c r="J2275" t="n">
        <v>132</v>
      </c>
      <c r="K2275" t="n">
        <v>1</v>
      </c>
      <c r="L2275" s="7" t="n">
        <v>471</v>
      </c>
      <c r="M2275" s="7" t="n">
        <v>0</v>
      </c>
    </row>
    <row r="2276">
      <c r="A2276" t="n">
        <v>510498</v>
      </c>
      <c r="B2276" s="6" t="n">
        <v>45960</v>
      </c>
      <c r="C2276" t="n">
        <v>16821</v>
      </c>
      <c r="D2276" t="inlineStr">
        <is>
          <t>Mumbai</t>
        </is>
      </c>
      <c r="E2276" t="inlineStr">
        <is>
          <t>West</t>
        </is>
      </c>
      <c r="F2276" t="inlineStr">
        <is>
          <t>Organic Search</t>
        </is>
      </c>
      <c r="G2276" t="inlineStr">
        <is>
          <t>Mobile Web</t>
        </is>
      </c>
      <c r="H2276" t="inlineStr">
        <is>
          <t>UPI</t>
        </is>
      </c>
      <c r="I2276" t="inlineStr">
        <is>
          <t>Delivered</t>
        </is>
      </c>
      <c r="J2276" t="n">
        <v>146</v>
      </c>
      <c r="K2276" t="n">
        <v>2</v>
      </c>
      <c r="L2276" s="7" t="n">
        <v>4724</v>
      </c>
      <c r="M2276" s="7" t="n">
        <v>0</v>
      </c>
    </row>
    <row r="2277">
      <c r="A2277" t="n">
        <v>510499</v>
      </c>
      <c r="B2277" s="6" t="n">
        <v>45960</v>
      </c>
      <c r="C2277" t="n">
        <v>17099</v>
      </c>
      <c r="D2277" t="inlineStr">
        <is>
          <t>Mumbai</t>
        </is>
      </c>
      <c r="E2277" t="inlineStr">
        <is>
          <t>West</t>
        </is>
      </c>
      <c r="F2277" t="inlineStr">
        <is>
          <t>Paid Search</t>
        </is>
      </c>
      <c r="G2277" t="inlineStr">
        <is>
          <t>Mobile App</t>
        </is>
      </c>
      <c r="H2277" t="inlineStr">
        <is>
          <t>UPI</t>
        </is>
      </c>
      <c r="I2277" t="inlineStr">
        <is>
          <t>Delivered</t>
        </is>
      </c>
      <c r="J2277" t="n">
        <v>111</v>
      </c>
      <c r="K2277" t="n">
        <v>2</v>
      </c>
      <c r="L2277" s="7" t="n">
        <v>524</v>
      </c>
      <c r="M2277" s="7" t="n">
        <v>157.2</v>
      </c>
    </row>
    <row r="2278">
      <c r="A2278" t="n">
        <v>510500</v>
      </c>
      <c r="B2278" s="6" t="n">
        <v>45960</v>
      </c>
      <c r="C2278" t="n">
        <v>17031</v>
      </c>
      <c r="D2278" t="inlineStr">
        <is>
          <t>Ahmedabad</t>
        </is>
      </c>
      <c r="E2278" t="inlineStr">
        <is>
          <t>West</t>
        </is>
      </c>
      <c r="F2278" t="inlineStr">
        <is>
          <t>Paid Search</t>
        </is>
      </c>
      <c r="G2278" t="inlineStr">
        <is>
          <t>Mobile App</t>
        </is>
      </c>
      <c r="H2278" t="inlineStr">
        <is>
          <t>UPI</t>
        </is>
      </c>
      <c r="I2278" t="inlineStr">
        <is>
          <t>Returned</t>
        </is>
      </c>
      <c r="J2278" t="n">
        <v>131</v>
      </c>
      <c r="K2278" t="n">
        <v>1</v>
      </c>
      <c r="L2278" s="7" t="n">
        <v>314</v>
      </c>
      <c r="M2278" s="7" t="n">
        <v>0</v>
      </c>
    </row>
    <row r="2279">
      <c r="A2279" t="n">
        <v>510500</v>
      </c>
      <c r="B2279" s="6" t="n">
        <v>45960</v>
      </c>
      <c r="C2279" t="n">
        <v>17031</v>
      </c>
      <c r="D2279" t="inlineStr">
        <is>
          <t>Ahmedabad</t>
        </is>
      </c>
      <c r="E2279" t="inlineStr">
        <is>
          <t>West</t>
        </is>
      </c>
      <c r="F2279" t="inlineStr">
        <is>
          <t>Paid Search</t>
        </is>
      </c>
      <c r="G2279" t="inlineStr">
        <is>
          <t>Mobile App</t>
        </is>
      </c>
      <c r="H2279" t="inlineStr">
        <is>
          <t>UPI</t>
        </is>
      </c>
      <c r="I2279" t="inlineStr">
        <is>
          <t>Returned</t>
        </is>
      </c>
      <c r="J2279" t="n">
        <v>108</v>
      </c>
      <c r="K2279" t="n">
        <v>1</v>
      </c>
      <c r="L2279" s="7" t="n">
        <v>419</v>
      </c>
      <c r="M2279" s="7" t="n">
        <v>0</v>
      </c>
    </row>
    <row r="2280">
      <c r="A2280" t="n">
        <v>510501</v>
      </c>
      <c r="B2280" s="6" t="n">
        <v>45960</v>
      </c>
      <c r="C2280" t="n">
        <v>17089</v>
      </c>
      <c r="D2280" t="inlineStr">
        <is>
          <t>Noida</t>
        </is>
      </c>
      <c r="E2280" t="inlineStr">
        <is>
          <t>North</t>
        </is>
      </c>
      <c r="F2280" t="inlineStr">
        <is>
          <t>Referral</t>
        </is>
      </c>
      <c r="G2280" t="inlineStr">
        <is>
          <t>Mobile Web</t>
        </is>
      </c>
      <c r="H2280" t="inlineStr">
        <is>
          <t>Debit Card</t>
        </is>
      </c>
      <c r="I2280" t="inlineStr">
        <is>
          <t>Delivered</t>
        </is>
      </c>
      <c r="J2280" t="n">
        <v>104</v>
      </c>
      <c r="K2280" t="n">
        <v>1</v>
      </c>
      <c r="L2280" s="7" t="n">
        <v>5249</v>
      </c>
      <c r="M2280" s="7" t="n">
        <v>787.35</v>
      </c>
    </row>
    <row r="2281">
      <c r="A2281" t="n">
        <v>510501</v>
      </c>
      <c r="B2281" s="6" t="n">
        <v>45960</v>
      </c>
      <c r="C2281" t="n">
        <v>17089</v>
      </c>
      <c r="D2281" t="inlineStr">
        <is>
          <t>Noida</t>
        </is>
      </c>
      <c r="E2281" t="inlineStr">
        <is>
          <t>North</t>
        </is>
      </c>
      <c r="F2281" t="inlineStr">
        <is>
          <t>Referral</t>
        </is>
      </c>
      <c r="G2281" t="inlineStr">
        <is>
          <t>Mobile Web</t>
        </is>
      </c>
      <c r="H2281" t="inlineStr">
        <is>
          <t>Debit Card</t>
        </is>
      </c>
      <c r="I2281" t="inlineStr">
        <is>
          <t>Delivered</t>
        </is>
      </c>
      <c r="J2281" t="n">
        <v>114</v>
      </c>
      <c r="K2281" t="n">
        <v>1</v>
      </c>
      <c r="L2281" s="7" t="n">
        <v>1259</v>
      </c>
      <c r="M2281" s="7" t="n">
        <v>188.85</v>
      </c>
    </row>
    <row r="2282">
      <c r="A2282" t="n">
        <v>510501</v>
      </c>
      <c r="B2282" s="6" t="n">
        <v>45960</v>
      </c>
      <c r="C2282" t="n">
        <v>17089</v>
      </c>
      <c r="D2282" t="inlineStr">
        <is>
          <t>Noida</t>
        </is>
      </c>
      <c r="E2282" t="inlineStr">
        <is>
          <t>North</t>
        </is>
      </c>
      <c r="F2282" t="inlineStr">
        <is>
          <t>Referral</t>
        </is>
      </c>
      <c r="G2282" t="inlineStr">
        <is>
          <t>Mobile Web</t>
        </is>
      </c>
      <c r="H2282" t="inlineStr">
        <is>
          <t>Debit Card</t>
        </is>
      </c>
      <c r="I2282" t="inlineStr">
        <is>
          <t>Delivered</t>
        </is>
      </c>
      <c r="J2282" t="n">
        <v>119</v>
      </c>
      <c r="K2282" t="n">
        <v>1</v>
      </c>
      <c r="L2282" s="7" t="n">
        <v>2309</v>
      </c>
      <c r="M2282" s="7" t="n">
        <v>346.35</v>
      </c>
    </row>
    <row r="2283">
      <c r="A2283" t="n">
        <v>510501</v>
      </c>
      <c r="B2283" s="6" t="n">
        <v>45960</v>
      </c>
      <c r="C2283" t="n">
        <v>17089</v>
      </c>
      <c r="D2283" t="inlineStr">
        <is>
          <t>Noida</t>
        </is>
      </c>
      <c r="E2283" t="inlineStr">
        <is>
          <t>North</t>
        </is>
      </c>
      <c r="F2283" t="inlineStr">
        <is>
          <t>Referral</t>
        </is>
      </c>
      <c r="G2283" t="inlineStr">
        <is>
          <t>Mobile Web</t>
        </is>
      </c>
      <c r="H2283" t="inlineStr">
        <is>
          <t>Debit Card</t>
        </is>
      </c>
      <c r="I2283" t="inlineStr">
        <is>
          <t>Delivered</t>
        </is>
      </c>
      <c r="J2283" t="n">
        <v>147</v>
      </c>
      <c r="K2283" t="n">
        <v>1</v>
      </c>
      <c r="L2283" s="7" t="n">
        <v>1364</v>
      </c>
      <c r="M2283" s="7" t="n">
        <v>204.6</v>
      </c>
    </row>
    <row r="2284">
      <c r="A2284" t="n">
        <v>510502</v>
      </c>
      <c r="B2284" s="6" t="n">
        <v>45960</v>
      </c>
      <c r="C2284" t="n">
        <v>15392</v>
      </c>
      <c r="D2284" t="inlineStr">
        <is>
          <t>Lucknow</t>
        </is>
      </c>
      <c r="E2284" t="inlineStr">
        <is>
          <t>North</t>
        </is>
      </c>
      <c r="F2284" t="inlineStr">
        <is>
          <t>Referral</t>
        </is>
      </c>
      <c r="G2284" t="inlineStr">
        <is>
          <t>Mobile Web</t>
        </is>
      </c>
      <c r="H2284" t="inlineStr">
        <is>
          <t>UPI</t>
        </is>
      </c>
      <c r="I2284" t="inlineStr">
        <is>
          <t>Cancelled</t>
        </is>
      </c>
      <c r="J2284" t="n">
        <v>117</v>
      </c>
      <c r="K2284" t="n">
        <v>1</v>
      </c>
      <c r="L2284" s="7" t="n">
        <v>3149</v>
      </c>
      <c r="M2284" s="7" t="n">
        <v>0</v>
      </c>
    </row>
    <row r="2285">
      <c r="A2285" t="n">
        <v>510502</v>
      </c>
      <c r="B2285" s="6" t="n">
        <v>45960</v>
      </c>
      <c r="C2285" t="n">
        <v>15392</v>
      </c>
      <c r="D2285" t="inlineStr">
        <is>
          <t>Lucknow</t>
        </is>
      </c>
      <c r="E2285" t="inlineStr">
        <is>
          <t>North</t>
        </is>
      </c>
      <c r="F2285" t="inlineStr">
        <is>
          <t>Referral</t>
        </is>
      </c>
      <c r="G2285" t="inlineStr">
        <is>
          <t>Mobile Web</t>
        </is>
      </c>
      <c r="H2285" t="inlineStr">
        <is>
          <t>UPI</t>
        </is>
      </c>
      <c r="I2285" t="inlineStr">
        <is>
          <t>Cancelled</t>
        </is>
      </c>
      <c r="J2285" t="n">
        <v>112</v>
      </c>
      <c r="K2285" t="n">
        <v>1</v>
      </c>
      <c r="L2285" s="7" t="n">
        <v>1574</v>
      </c>
      <c r="M2285" s="7" t="n">
        <v>0</v>
      </c>
    </row>
    <row r="2286">
      <c r="A2286" t="n">
        <v>510503</v>
      </c>
      <c r="B2286" s="6" t="n">
        <v>45960</v>
      </c>
      <c r="C2286" t="n">
        <v>12191</v>
      </c>
      <c r="D2286" t="inlineStr">
        <is>
          <t>Kolkata</t>
        </is>
      </c>
      <c r="E2286" t="inlineStr">
        <is>
          <t>East</t>
        </is>
      </c>
      <c r="F2286" t="inlineStr">
        <is>
          <t>Paid Social</t>
        </is>
      </c>
      <c r="G2286" t="inlineStr">
        <is>
          <t>Mobile App</t>
        </is>
      </c>
      <c r="H2286" t="inlineStr">
        <is>
          <t>Cash on Delivery</t>
        </is>
      </c>
      <c r="I2286" t="inlineStr">
        <is>
          <t>Delivered</t>
        </is>
      </c>
      <c r="J2286" t="n">
        <v>128</v>
      </c>
      <c r="K2286" t="n">
        <v>1</v>
      </c>
      <c r="L2286" s="7" t="n">
        <v>1049</v>
      </c>
      <c r="M2286" s="7" t="n">
        <v>0</v>
      </c>
    </row>
    <row r="2287">
      <c r="A2287" t="n">
        <v>510504</v>
      </c>
      <c r="B2287" s="6" t="n">
        <v>45961</v>
      </c>
      <c r="C2287" t="n">
        <v>16822</v>
      </c>
      <c r="D2287" t="inlineStr">
        <is>
          <t>Jaipur</t>
        </is>
      </c>
      <c r="E2287" t="inlineStr">
        <is>
          <t>North</t>
        </is>
      </c>
      <c r="F2287" t="inlineStr">
        <is>
          <t>Email</t>
        </is>
      </c>
      <c r="G2287" t="inlineStr">
        <is>
          <t>Mobile App</t>
        </is>
      </c>
      <c r="H2287" t="inlineStr">
        <is>
          <t>UPI</t>
        </is>
      </c>
      <c r="I2287" t="inlineStr">
        <is>
          <t>Delivered</t>
        </is>
      </c>
      <c r="J2287" t="n">
        <v>145</v>
      </c>
      <c r="K2287" t="n">
        <v>2</v>
      </c>
      <c r="L2287" s="7" t="n">
        <v>629</v>
      </c>
      <c r="M2287" s="7" t="n">
        <v>0</v>
      </c>
    </row>
    <row r="2288">
      <c r="A2288" t="n">
        <v>510504</v>
      </c>
      <c r="B2288" s="6" t="n">
        <v>45961</v>
      </c>
      <c r="C2288" t="n">
        <v>16822</v>
      </c>
      <c r="D2288" t="inlineStr">
        <is>
          <t>Jaipur</t>
        </is>
      </c>
      <c r="E2288" t="inlineStr">
        <is>
          <t>North</t>
        </is>
      </c>
      <c r="F2288" t="inlineStr">
        <is>
          <t>Email</t>
        </is>
      </c>
      <c r="G2288" t="inlineStr">
        <is>
          <t>Mobile App</t>
        </is>
      </c>
      <c r="H2288" t="inlineStr">
        <is>
          <t>UPI</t>
        </is>
      </c>
      <c r="I2288" t="inlineStr">
        <is>
          <t>Delivered</t>
        </is>
      </c>
      <c r="J2288" t="n">
        <v>120</v>
      </c>
      <c r="K2288" t="n">
        <v>1</v>
      </c>
      <c r="L2288" s="7" t="n">
        <v>734</v>
      </c>
      <c r="M2288" s="7" t="n">
        <v>0</v>
      </c>
    </row>
    <row r="2289">
      <c r="A2289" t="n">
        <v>510505</v>
      </c>
      <c r="B2289" s="6" t="n">
        <v>45961</v>
      </c>
      <c r="C2289" t="n">
        <v>17022</v>
      </c>
      <c r="D2289" t="inlineStr">
        <is>
          <t>Bengaluru</t>
        </is>
      </c>
      <c r="E2289" t="inlineStr">
        <is>
          <t>South</t>
        </is>
      </c>
      <c r="F2289" t="inlineStr">
        <is>
          <t>Paid Social</t>
        </is>
      </c>
      <c r="G2289" t="inlineStr">
        <is>
          <t>Mobile App</t>
        </is>
      </c>
      <c r="H2289" t="inlineStr">
        <is>
          <t>UPI</t>
        </is>
      </c>
      <c r="I2289" t="inlineStr">
        <is>
          <t>Delivered</t>
        </is>
      </c>
      <c r="J2289" t="n">
        <v>109</v>
      </c>
      <c r="K2289" t="n">
        <v>1</v>
      </c>
      <c r="L2289" s="7" t="n">
        <v>4199</v>
      </c>
      <c r="M2289" s="7" t="n">
        <v>0</v>
      </c>
    </row>
    <row r="2290">
      <c r="A2290" t="n">
        <v>510505</v>
      </c>
      <c r="B2290" s="6" t="n">
        <v>45961</v>
      </c>
      <c r="C2290" t="n">
        <v>17022</v>
      </c>
      <c r="D2290" t="inlineStr">
        <is>
          <t>Bengaluru</t>
        </is>
      </c>
      <c r="E2290" t="inlineStr">
        <is>
          <t>South</t>
        </is>
      </c>
      <c r="F2290" t="inlineStr">
        <is>
          <t>Paid Social</t>
        </is>
      </c>
      <c r="G2290" t="inlineStr">
        <is>
          <t>Mobile App</t>
        </is>
      </c>
      <c r="H2290" t="inlineStr">
        <is>
          <t>UPI</t>
        </is>
      </c>
      <c r="I2290" t="inlineStr">
        <is>
          <t>Delivered</t>
        </is>
      </c>
      <c r="J2290" t="n">
        <v>114</v>
      </c>
      <c r="K2290" t="n">
        <v>1</v>
      </c>
      <c r="L2290" s="7" t="n">
        <v>1259</v>
      </c>
      <c r="M2290" s="7" t="n">
        <v>0</v>
      </c>
    </row>
    <row r="2291">
      <c r="A2291" t="n">
        <v>510506</v>
      </c>
      <c r="B2291" s="6" t="n">
        <v>45961</v>
      </c>
      <c r="C2291" t="n">
        <v>17104</v>
      </c>
      <c r="D2291" t="inlineStr">
        <is>
          <t>Pune</t>
        </is>
      </c>
      <c r="E2291" t="inlineStr">
        <is>
          <t>West</t>
        </is>
      </c>
      <c r="F2291" t="inlineStr">
        <is>
          <t>Organic Search</t>
        </is>
      </c>
      <c r="G2291" t="inlineStr">
        <is>
          <t>Mobile App</t>
        </is>
      </c>
      <c r="H2291" t="inlineStr">
        <is>
          <t>Cash on Delivery</t>
        </is>
      </c>
      <c r="I2291" t="inlineStr">
        <is>
          <t>Delivered</t>
        </is>
      </c>
      <c r="J2291" t="n">
        <v>144</v>
      </c>
      <c r="K2291" t="n">
        <v>1</v>
      </c>
      <c r="L2291" s="7" t="n">
        <v>3149</v>
      </c>
      <c r="M2291" s="7" t="n">
        <v>472.35</v>
      </c>
    </row>
    <row r="2292">
      <c r="A2292" t="n">
        <v>510506</v>
      </c>
      <c r="B2292" s="6" t="n">
        <v>45961</v>
      </c>
      <c r="C2292" t="n">
        <v>17104</v>
      </c>
      <c r="D2292" t="inlineStr">
        <is>
          <t>Pune</t>
        </is>
      </c>
      <c r="E2292" t="inlineStr">
        <is>
          <t>West</t>
        </is>
      </c>
      <c r="F2292" t="inlineStr">
        <is>
          <t>Organic Search</t>
        </is>
      </c>
      <c r="G2292" t="inlineStr">
        <is>
          <t>Mobile App</t>
        </is>
      </c>
      <c r="H2292" t="inlineStr">
        <is>
          <t>Cash on Delivery</t>
        </is>
      </c>
      <c r="I2292" t="inlineStr">
        <is>
          <t>Delivered</t>
        </is>
      </c>
      <c r="J2292" t="n">
        <v>127</v>
      </c>
      <c r="K2292" t="n">
        <v>1</v>
      </c>
      <c r="L2292" s="7" t="n">
        <v>681</v>
      </c>
      <c r="M2292" s="7" t="n">
        <v>102.15</v>
      </c>
    </row>
    <row r="2293">
      <c r="A2293" t="n">
        <v>510507</v>
      </c>
      <c r="B2293" s="6" t="n">
        <v>45961</v>
      </c>
      <c r="C2293" t="n">
        <v>13700</v>
      </c>
      <c r="D2293" t="inlineStr">
        <is>
          <t>Delhi</t>
        </is>
      </c>
      <c r="E2293" t="inlineStr">
        <is>
          <t>North</t>
        </is>
      </c>
      <c r="F2293" t="inlineStr">
        <is>
          <t>Organic Search</t>
        </is>
      </c>
      <c r="G2293" t="inlineStr">
        <is>
          <t>Mobile Web</t>
        </is>
      </c>
      <c r="H2293" t="inlineStr">
        <is>
          <t>Debit Card</t>
        </is>
      </c>
      <c r="I2293" t="inlineStr">
        <is>
          <t>Cancelled</t>
        </is>
      </c>
      <c r="J2293" t="n">
        <v>131</v>
      </c>
      <c r="K2293" t="n">
        <v>1</v>
      </c>
      <c r="L2293" s="7" t="n">
        <v>314</v>
      </c>
      <c r="M2293" s="7" t="n">
        <v>0</v>
      </c>
    </row>
    <row r="2294">
      <c r="A2294" t="n">
        <v>510507</v>
      </c>
      <c r="B2294" s="6" t="n">
        <v>45961</v>
      </c>
      <c r="C2294" t="n">
        <v>13700</v>
      </c>
      <c r="D2294" t="inlineStr">
        <is>
          <t>Delhi</t>
        </is>
      </c>
      <c r="E2294" t="inlineStr">
        <is>
          <t>North</t>
        </is>
      </c>
      <c r="F2294" t="inlineStr">
        <is>
          <t>Organic Search</t>
        </is>
      </c>
      <c r="G2294" t="inlineStr">
        <is>
          <t>Mobile Web</t>
        </is>
      </c>
      <c r="H2294" t="inlineStr">
        <is>
          <t>Debit Card</t>
        </is>
      </c>
      <c r="I2294" t="inlineStr">
        <is>
          <t>Cancelled</t>
        </is>
      </c>
      <c r="J2294" t="n">
        <v>135</v>
      </c>
      <c r="K2294" t="n">
        <v>1</v>
      </c>
      <c r="L2294" s="7" t="n">
        <v>1574</v>
      </c>
      <c r="M2294" s="7" t="n">
        <v>0</v>
      </c>
    </row>
    <row r="2295">
      <c r="A2295" t="n">
        <v>510508</v>
      </c>
      <c r="B2295" s="6" t="n">
        <v>45961</v>
      </c>
      <c r="C2295" t="n">
        <v>15921</v>
      </c>
      <c r="D2295" t="inlineStr">
        <is>
          <t>Indore</t>
        </is>
      </c>
      <c r="E2295" t="inlineStr">
        <is>
          <t>West</t>
        </is>
      </c>
      <c r="F2295" t="inlineStr">
        <is>
          <t>Referral</t>
        </is>
      </c>
      <c r="G2295" t="inlineStr">
        <is>
          <t>Mobile App</t>
        </is>
      </c>
      <c r="H2295" t="inlineStr">
        <is>
          <t>UPI</t>
        </is>
      </c>
      <c r="I2295" t="inlineStr">
        <is>
          <t>Delivered</t>
        </is>
      </c>
      <c r="J2295" t="n">
        <v>133</v>
      </c>
      <c r="K2295" t="n">
        <v>1</v>
      </c>
      <c r="L2295" s="7" t="n">
        <v>419</v>
      </c>
      <c r="M2295" s="7" t="n">
        <v>0</v>
      </c>
    </row>
    <row r="2296">
      <c r="A2296" t="n">
        <v>510508</v>
      </c>
      <c r="B2296" s="6" t="n">
        <v>45961</v>
      </c>
      <c r="C2296" t="n">
        <v>15921</v>
      </c>
      <c r="D2296" t="inlineStr">
        <is>
          <t>Indore</t>
        </is>
      </c>
      <c r="E2296" t="inlineStr">
        <is>
          <t>West</t>
        </is>
      </c>
      <c r="F2296" t="inlineStr">
        <is>
          <t>Referral</t>
        </is>
      </c>
      <c r="G2296" t="inlineStr">
        <is>
          <t>Mobile App</t>
        </is>
      </c>
      <c r="H2296" t="inlineStr">
        <is>
          <t>UPI</t>
        </is>
      </c>
      <c r="I2296" t="inlineStr">
        <is>
          <t>Delivered</t>
        </is>
      </c>
      <c r="J2296" t="n">
        <v>135</v>
      </c>
      <c r="K2296" t="n">
        <v>1</v>
      </c>
      <c r="L2296" s="7" t="n">
        <v>1574</v>
      </c>
      <c r="M2296" s="7" t="n">
        <v>0</v>
      </c>
    </row>
    <row r="2297">
      <c r="A2297" t="n">
        <v>510508</v>
      </c>
      <c r="B2297" s="6" t="n">
        <v>45961</v>
      </c>
      <c r="C2297" t="n">
        <v>15921</v>
      </c>
      <c r="D2297" t="inlineStr">
        <is>
          <t>Indore</t>
        </is>
      </c>
      <c r="E2297" t="inlineStr">
        <is>
          <t>West</t>
        </is>
      </c>
      <c r="F2297" t="inlineStr">
        <is>
          <t>Referral</t>
        </is>
      </c>
      <c r="G2297" t="inlineStr">
        <is>
          <t>Mobile App</t>
        </is>
      </c>
      <c r="H2297" t="inlineStr">
        <is>
          <t>UPI</t>
        </is>
      </c>
      <c r="I2297" t="inlineStr">
        <is>
          <t>Delivered</t>
        </is>
      </c>
      <c r="J2297" t="n">
        <v>120</v>
      </c>
      <c r="K2297" t="n">
        <v>1</v>
      </c>
      <c r="L2297" s="7" t="n">
        <v>734</v>
      </c>
      <c r="M2297" s="7" t="n">
        <v>0</v>
      </c>
    </row>
    <row r="2298">
      <c r="A2298" t="n">
        <v>510509</v>
      </c>
      <c r="B2298" s="6" t="n">
        <v>45961</v>
      </c>
      <c r="C2298" t="n">
        <v>17021</v>
      </c>
      <c r="D2298" t="inlineStr">
        <is>
          <t>Mumbai</t>
        </is>
      </c>
      <c r="E2298" t="inlineStr">
        <is>
          <t>West</t>
        </is>
      </c>
      <c r="F2298" t="inlineStr">
        <is>
          <t>Email</t>
        </is>
      </c>
      <c r="G2298" t="inlineStr">
        <is>
          <t>Mobile App</t>
        </is>
      </c>
      <c r="H2298" t="inlineStr">
        <is>
          <t>UPI</t>
        </is>
      </c>
      <c r="I2298" t="inlineStr">
        <is>
          <t>Delivered</t>
        </is>
      </c>
      <c r="J2298" t="n">
        <v>123</v>
      </c>
      <c r="K2298" t="n">
        <v>1</v>
      </c>
      <c r="L2298" s="7" t="n">
        <v>3464</v>
      </c>
      <c r="M2298" s="7" t="n">
        <v>173.2</v>
      </c>
    </row>
    <row r="2299">
      <c r="A2299" t="n">
        <v>510509</v>
      </c>
      <c r="B2299" s="6" t="n">
        <v>45961</v>
      </c>
      <c r="C2299" t="n">
        <v>17021</v>
      </c>
      <c r="D2299" t="inlineStr">
        <is>
          <t>Mumbai</t>
        </is>
      </c>
      <c r="E2299" t="inlineStr">
        <is>
          <t>West</t>
        </is>
      </c>
      <c r="F2299" t="inlineStr">
        <is>
          <t>Email</t>
        </is>
      </c>
      <c r="G2299" t="inlineStr">
        <is>
          <t>Mobile App</t>
        </is>
      </c>
      <c r="H2299" t="inlineStr">
        <is>
          <t>UPI</t>
        </is>
      </c>
      <c r="I2299" t="inlineStr">
        <is>
          <t>Delivered</t>
        </is>
      </c>
      <c r="J2299" t="n">
        <v>130</v>
      </c>
      <c r="K2299" t="n">
        <v>2</v>
      </c>
      <c r="L2299" s="7" t="n">
        <v>734</v>
      </c>
      <c r="M2299" s="7" t="n">
        <v>73.40000000000001</v>
      </c>
    </row>
    <row r="2300">
      <c r="A2300" t="n">
        <v>510510</v>
      </c>
      <c r="B2300" s="6" t="n">
        <v>45961</v>
      </c>
      <c r="C2300" t="n">
        <v>17081</v>
      </c>
      <c r="D2300" t="inlineStr">
        <is>
          <t>Chennai</t>
        </is>
      </c>
      <c r="E2300" t="inlineStr">
        <is>
          <t>South</t>
        </is>
      </c>
      <c r="F2300" t="inlineStr">
        <is>
          <t>Paid Social</t>
        </is>
      </c>
      <c r="G2300" t="inlineStr">
        <is>
          <t>Mobile App</t>
        </is>
      </c>
      <c r="H2300" t="inlineStr">
        <is>
          <t>Credit Card</t>
        </is>
      </c>
      <c r="I2300" t="inlineStr">
        <is>
          <t>Delivered</t>
        </is>
      </c>
      <c r="J2300" t="n">
        <v>103</v>
      </c>
      <c r="K2300" t="n">
        <v>1</v>
      </c>
      <c r="L2300" s="7" t="n">
        <v>2624</v>
      </c>
      <c r="M2300" s="7" t="n">
        <v>0</v>
      </c>
    </row>
    <row r="2301">
      <c r="A2301" t="n">
        <v>510511</v>
      </c>
      <c r="B2301" s="6" t="n">
        <v>45961</v>
      </c>
      <c r="C2301" t="n">
        <v>17082</v>
      </c>
      <c r="D2301" t="inlineStr">
        <is>
          <t>Ahmedabad</t>
        </is>
      </c>
      <c r="E2301" t="inlineStr">
        <is>
          <t>West</t>
        </is>
      </c>
      <c r="F2301" t="inlineStr">
        <is>
          <t>Referral</t>
        </is>
      </c>
      <c r="G2301" t="inlineStr">
        <is>
          <t>Mobile Web</t>
        </is>
      </c>
      <c r="H2301" t="inlineStr">
        <is>
          <t>Credit Card</t>
        </is>
      </c>
      <c r="I2301" t="inlineStr">
        <is>
          <t>Cancelled</t>
        </is>
      </c>
      <c r="J2301" t="n">
        <v>138</v>
      </c>
      <c r="K2301" t="n">
        <v>1</v>
      </c>
      <c r="L2301" s="7" t="n">
        <v>419</v>
      </c>
      <c r="M2301" s="7" t="n">
        <v>62.85</v>
      </c>
    </row>
    <row r="2302">
      <c r="A2302" t="n">
        <v>510512</v>
      </c>
      <c r="B2302" s="6" t="n">
        <v>45961</v>
      </c>
      <c r="C2302" t="n">
        <v>17091</v>
      </c>
      <c r="D2302" t="inlineStr">
        <is>
          <t>Bengaluru</t>
        </is>
      </c>
      <c r="E2302" t="inlineStr">
        <is>
          <t>South</t>
        </is>
      </c>
      <c r="F2302" t="inlineStr">
        <is>
          <t>Paid Search</t>
        </is>
      </c>
      <c r="G2302" t="inlineStr">
        <is>
          <t>Mobile Web</t>
        </is>
      </c>
      <c r="H2302" t="inlineStr">
        <is>
          <t>UPI</t>
        </is>
      </c>
      <c r="I2302" t="inlineStr">
        <is>
          <t>Delivered</t>
        </is>
      </c>
      <c r="J2302" t="n">
        <v>105</v>
      </c>
      <c r="K2302" t="n">
        <v>1</v>
      </c>
      <c r="L2302" s="7" t="n">
        <v>2414</v>
      </c>
      <c r="M2302" s="7" t="n">
        <v>362.1</v>
      </c>
    </row>
    <row r="2303">
      <c r="A2303" t="n">
        <v>510512</v>
      </c>
      <c r="B2303" s="6" t="n">
        <v>45961</v>
      </c>
      <c r="C2303" t="n">
        <v>17091</v>
      </c>
      <c r="D2303" t="inlineStr">
        <is>
          <t>Bengaluru</t>
        </is>
      </c>
      <c r="E2303" t="inlineStr">
        <is>
          <t>South</t>
        </is>
      </c>
      <c r="F2303" t="inlineStr">
        <is>
          <t>Paid Search</t>
        </is>
      </c>
      <c r="G2303" t="inlineStr">
        <is>
          <t>Mobile Web</t>
        </is>
      </c>
      <c r="H2303" t="inlineStr">
        <is>
          <t>UPI</t>
        </is>
      </c>
      <c r="I2303" t="inlineStr">
        <is>
          <t>Delivered</t>
        </is>
      </c>
      <c r="J2303" t="n">
        <v>102</v>
      </c>
      <c r="K2303" t="n">
        <v>1</v>
      </c>
      <c r="L2303" s="7" t="n">
        <v>3674</v>
      </c>
      <c r="M2303" s="7" t="n">
        <v>551.1</v>
      </c>
    </row>
    <row r="2304">
      <c r="A2304" t="n">
        <v>510513</v>
      </c>
      <c r="B2304" s="6" t="n">
        <v>45961</v>
      </c>
      <c r="C2304" t="n">
        <v>15807</v>
      </c>
      <c r="D2304" t="inlineStr">
        <is>
          <t>Delhi</t>
        </is>
      </c>
      <c r="E2304" t="inlineStr">
        <is>
          <t>North</t>
        </is>
      </c>
      <c r="F2304" t="inlineStr">
        <is>
          <t>Organic Search</t>
        </is>
      </c>
      <c r="G2304" t="inlineStr">
        <is>
          <t>Mobile App</t>
        </is>
      </c>
      <c r="H2304" t="inlineStr">
        <is>
          <t>UPI</t>
        </is>
      </c>
      <c r="I2304" t="inlineStr">
        <is>
          <t>Delivered</t>
        </is>
      </c>
      <c r="J2304" t="n">
        <v>124</v>
      </c>
      <c r="K2304" t="n">
        <v>2</v>
      </c>
      <c r="L2304" s="7" t="n">
        <v>1154</v>
      </c>
      <c r="M2304" s="7" t="n">
        <v>0</v>
      </c>
    </row>
    <row r="2305">
      <c r="A2305" t="n">
        <v>510514</v>
      </c>
      <c r="B2305" s="6" t="n">
        <v>45961</v>
      </c>
      <c r="C2305" t="n">
        <v>17073</v>
      </c>
      <c r="D2305" t="inlineStr">
        <is>
          <t>Mumbai</t>
        </is>
      </c>
      <c r="E2305" t="inlineStr">
        <is>
          <t>West</t>
        </is>
      </c>
      <c r="F2305" t="inlineStr">
        <is>
          <t>Organic Search</t>
        </is>
      </c>
      <c r="G2305" t="inlineStr">
        <is>
          <t>Mobile App</t>
        </is>
      </c>
      <c r="H2305" t="inlineStr">
        <is>
          <t>Cash on Delivery</t>
        </is>
      </c>
      <c r="I2305" t="inlineStr">
        <is>
          <t>Delivered</t>
        </is>
      </c>
      <c r="J2305" t="n">
        <v>112</v>
      </c>
      <c r="K2305" t="n">
        <v>2</v>
      </c>
      <c r="L2305" s="7" t="n">
        <v>1574</v>
      </c>
      <c r="M2305" s="7" t="n">
        <v>472.2</v>
      </c>
    </row>
    <row r="2306">
      <c r="A2306" t="n">
        <v>510515</v>
      </c>
      <c r="B2306" s="6" t="n">
        <v>45961</v>
      </c>
      <c r="C2306" t="n">
        <v>16810</v>
      </c>
      <c r="D2306" t="inlineStr">
        <is>
          <t>Hyderabad</t>
        </is>
      </c>
      <c r="E2306" t="inlineStr">
        <is>
          <t>South</t>
        </is>
      </c>
      <c r="F2306" t="inlineStr">
        <is>
          <t>Paid Search</t>
        </is>
      </c>
      <c r="G2306" t="inlineStr">
        <is>
          <t>Mobile Web</t>
        </is>
      </c>
      <c r="H2306" t="inlineStr">
        <is>
          <t>Net Banking</t>
        </is>
      </c>
      <c r="I2306" t="inlineStr">
        <is>
          <t>Delivered</t>
        </is>
      </c>
      <c r="J2306" t="n">
        <v>122</v>
      </c>
      <c r="K2306" t="n">
        <v>1</v>
      </c>
      <c r="L2306" s="7" t="n">
        <v>1994</v>
      </c>
      <c r="M2306" s="7" t="n">
        <v>299.1</v>
      </c>
    </row>
    <row r="2307">
      <c r="A2307" t="n">
        <v>510516</v>
      </c>
      <c r="B2307" s="6" t="n">
        <v>45961</v>
      </c>
      <c r="C2307" t="n">
        <v>17047</v>
      </c>
      <c r="D2307" t="inlineStr">
        <is>
          <t>Hyderabad</t>
        </is>
      </c>
      <c r="E2307" t="inlineStr">
        <is>
          <t>South</t>
        </is>
      </c>
      <c r="F2307" t="inlineStr">
        <is>
          <t>Paid Search</t>
        </is>
      </c>
      <c r="G2307" t="inlineStr">
        <is>
          <t>Mobile Web</t>
        </is>
      </c>
      <c r="H2307" t="inlineStr">
        <is>
          <t>Debit Card</t>
        </is>
      </c>
      <c r="I2307" t="inlineStr">
        <is>
          <t>Returned</t>
        </is>
      </c>
      <c r="J2307" t="n">
        <v>113</v>
      </c>
      <c r="K2307" t="n">
        <v>1</v>
      </c>
      <c r="L2307" s="7" t="n">
        <v>1364</v>
      </c>
      <c r="M2307" s="7" t="n">
        <v>0</v>
      </c>
    </row>
    <row r="2308">
      <c r="A2308" t="n">
        <v>510516</v>
      </c>
      <c r="B2308" s="6" t="n">
        <v>45961</v>
      </c>
      <c r="C2308" t="n">
        <v>17047</v>
      </c>
      <c r="D2308" t="inlineStr">
        <is>
          <t>Hyderabad</t>
        </is>
      </c>
      <c r="E2308" t="inlineStr">
        <is>
          <t>South</t>
        </is>
      </c>
      <c r="F2308" t="inlineStr">
        <is>
          <t>Paid Search</t>
        </is>
      </c>
      <c r="G2308" t="inlineStr">
        <is>
          <t>Mobile Web</t>
        </is>
      </c>
      <c r="H2308" t="inlineStr">
        <is>
          <t>Debit Card</t>
        </is>
      </c>
      <c r="I2308" t="inlineStr">
        <is>
          <t>Returned</t>
        </is>
      </c>
      <c r="J2308" t="n">
        <v>111</v>
      </c>
      <c r="K2308" t="n">
        <v>1</v>
      </c>
      <c r="L2308" s="7" t="n">
        <v>524</v>
      </c>
      <c r="M2308" s="7" t="n">
        <v>0</v>
      </c>
    </row>
    <row r="2309">
      <c r="A2309" t="n">
        <v>510516</v>
      </c>
      <c r="B2309" s="6" t="n">
        <v>45961</v>
      </c>
      <c r="C2309" t="n">
        <v>17047</v>
      </c>
      <c r="D2309" t="inlineStr">
        <is>
          <t>Hyderabad</t>
        </is>
      </c>
      <c r="E2309" t="inlineStr">
        <is>
          <t>South</t>
        </is>
      </c>
      <c r="F2309" t="inlineStr">
        <is>
          <t>Paid Search</t>
        </is>
      </c>
      <c r="G2309" t="inlineStr">
        <is>
          <t>Mobile Web</t>
        </is>
      </c>
      <c r="H2309" t="inlineStr">
        <is>
          <t>Debit Card</t>
        </is>
      </c>
      <c r="I2309" t="inlineStr">
        <is>
          <t>Returned</t>
        </is>
      </c>
      <c r="J2309" t="n">
        <v>139</v>
      </c>
      <c r="K2309" t="n">
        <v>1</v>
      </c>
      <c r="L2309" s="7" t="n">
        <v>366</v>
      </c>
      <c r="M2309" s="7" t="n">
        <v>0</v>
      </c>
    </row>
    <row r="2310">
      <c r="A2310" t="n">
        <v>510517</v>
      </c>
      <c r="B2310" s="6" t="n">
        <v>45961</v>
      </c>
      <c r="C2310" t="n">
        <v>16927</v>
      </c>
      <c r="D2310" t="inlineStr">
        <is>
          <t>Jaipur</t>
        </is>
      </c>
      <c r="E2310" t="inlineStr">
        <is>
          <t>North</t>
        </is>
      </c>
      <c r="F2310" t="inlineStr">
        <is>
          <t>Referral</t>
        </is>
      </c>
      <c r="G2310" t="inlineStr">
        <is>
          <t>Mobile App</t>
        </is>
      </c>
      <c r="H2310" t="inlineStr">
        <is>
          <t>Cash on Delivery</t>
        </is>
      </c>
      <c r="I2310" t="inlineStr">
        <is>
          <t>Delivered</t>
        </is>
      </c>
      <c r="J2310" t="n">
        <v>138</v>
      </c>
      <c r="K2310" t="n">
        <v>1</v>
      </c>
      <c r="L2310" s="7" t="n">
        <v>419</v>
      </c>
      <c r="M2310" s="7" t="n">
        <v>0</v>
      </c>
    </row>
    <row r="2311">
      <c r="A2311" t="n">
        <v>510518</v>
      </c>
      <c r="B2311" s="6" t="n">
        <v>45961</v>
      </c>
      <c r="C2311" t="n">
        <v>17086</v>
      </c>
      <c r="D2311" t="inlineStr">
        <is>
          <t>Delhi</t>
        </is>
      </c>
      <c r="E2311" t="inlineStr">
        <is>
          <t>North</t>
        </is>
      </c>
      <c r="F2311" t="inlineStr">
        <is>
          <t>Paid Search</t>
        </is>
      </c>
      <c r="G2311" t="inlineStr">
        <is>
          <t>Mobile App</t>
        </is>
      </c>
      <c r="H2311" t="inlineStr">
        <is>
          <t>Credit Card</t>
        </is>
      </c>
      <c r="I2311" t="inlineStr">
        <is>
          <t>Cancelled</t>
        </is>
      </c>
      <c r="J2311" t="n">
        <v>129</v>
      </c>
      <c r="K2311" t="n">
        <v>1</v>
      </c>
      <c r="L2311" s="7" t="n">
        <v>576</v>
      </c>
      <c r="M2311" s="7" t="n">
        <v>0</v>
      </c>
    </row>
    <row r="2312">
      <c r="A2312" t="n">
        <v>510518</v>
      </c>
      <c r="B2312" s="6" t="n">
        <v>45961</v>
      </c>
      <c r="C2312" t="n">
        <v>17086</v>
      </c>
      <c r="D2312" t="inlineStr">
        <is>
          <t>Delhi</t>
        </is>
      </c>
      <c r="E2312" t="inlineStr">
        <is>
          <t>North</t>
        </is>
      </c>
      <c r="F2312" t="inlineStr">
        <is>
          <t>Paid Search</t>
        </is>
      </c>
      <c r="G2312" t="inlineStr">
        <is>
          <t>Mobile App</t>
        </is>
      </c>
      <c r="H2312" t="inlineStr">
        <is>
          <t>Credit Card</t>
        </is>
      </c>
      <c r="I2312" t="inlineStr">
        <is>
          <t>Cancelled</t>
        </is>
      </c>
      <c r="J2312" t="n">
        <v>108</v>
      </c>
      <c r="K2312" t="n">
        <v>2</v>
      </c>
      <c r="L2312" s="7" t="n">
        <v>419</v>
      </c>
      <c r="M2312" s="7" t="n">
        <v>0</v>
      </c>
    </row>
    <row r="2313">
      <c r="A2313" t="n">
        <v>510519</v>
      </c>
      <c r="B2313" s="6" t="n">
        <v>45961</v>
      </c>
      <c r="C2313" t="n">
        <v>16011</v>
      </c>
      <c r="D2313" t="inlineStr">
        <is>
          <t>Delhi</t>
        </is>
      </c>
      <c r="E2313" t="inlineStr">
        <is>
          <t>North</t>
        </is>
      </c>
      <c r="F2313" t="inlineStr">
        <is>
          <t>Email</t>
        </is>
      </c>
      <c r="G2313" t="inlineStr">
        <is>
          <t>Mobile Web</t>
        </is>
      </c>
      <c r="H2313" t="inlineStr">
        <is>
          <t>Net Banking</t>
        </is>
      </c>
      <c r="I2313" t="inlineStr">
        <is>
          <t>Delivered</t>
        </is>
      </c>
      <c r="J2313" t="n">
        <v>137</v>
      </c>
      <c r="K2313" t="n">
        <v>2</v>
      </c>
      <c r="L2313" s="7" t="n">
        <v>261</v>
      </c>
      <c r="M2313" s="7" t="n">
        <v>0</v>
      </c>
    </row>
    <row r="2314">
      <c r="A2314" t="n">
        <v>510519</v>
      </c>
      <c r="B2314" s="6" t="n">
        <v>45961</v>
      </c>
      <c r="C2314" t="n">
        <v>16011</v>
      </c>
      <c r="D2314" t="inlineStr">
        <is>
          <t>Delhi</t>
        </is>
      </c>
      <c r="E2314" t="inlineStr">
        <is>
          <t>North</t>
        </is>
      </c>
      <c r="F2314" t="inlineStr">
        <is>
          <t>Email</t>
        </is>
      </c>
      <c r="G2314" t="inlineStr">
        <is>
          <t>Mobile Web</t>
        </is>
      </c>
      <c r="H2314" t="inlineStr">
        <is>
          <t>Net Banking</t>
        </is>
      </c>
      <c r="I2314" t="inlineStr">
        <is>
          <t>Delivered</t>
        </is>
      </c>
      <c r="J2314" t="n">
        <v>116</v>
      </c>
      <c r="K2314" t="n">
        <v>1</v>
      </c>
      <c r="L2314" s="7" t="n">
        <v>2624</v>
      </c>
      <c r="M2314" s="7" t="n">
        <v>0</v>
      </c>
    </row>
    <row r="2315">
      <c r="A2315" t="n">
        <v>510520</v>
      </c>
      <c r="B2315" s="6" t="n">
        <v>45961</v>
      </c>
      <c r="C2315" t="n">
        <v>17096</v>
      </c>
      <c r="D2315" t="inlineStr">
        <is>
          <t>Bengaluru</t>
        </is>
      </c>
      <c r="E2315" t="inlineStr">
        <is>
          <t>South</t>
        </is>
      </c>
      <c r="F2315" t="inlineStr">
        <is>
          <t>Organic Search</t>
        </is>
      </c>
      <c r="G2315" t="inlineStr">
        <is>
          <t>Mobile App</t>
        </is>
      </c>
      <c r="H2315" t="inlineStr">
        <is>
          <t>UPI</t>
        </is>
      </c>
      <c r="I2315" t="inlineStr">
        <is>
          <t>Delivered</t>
        </is>
      </c>
      <c r="J2315" t="n">
        <v>111</v>
      </c>
      <c r="K2315" t="n">
        <v>2</v>
      </c>
      <c r="L2315" s="7" t="n">
        <v>524</v>
      </c>
      <c r="M2315" s="7" t="n">
        <v>0</v>
      </c>
    </row>
    <row r="2316">
      <c r="A2316" t="n">
        <v>510521</v>
      </c>
      <c r="B2316" s="6" t="n">
        <v>45961</v>
      </c>
      <c r="C2316" t="n">
        <v>12309</v>
      </c>
      <c r="D2316" t="inlineStr">
        <is>
          <t>Noida</t>
        </is>
      </c>
      <c r="E2316" t="inlineStr">
        <is>
          <t>North</t>
        </is>
      </c>
      <c r="F2316" t="inlineStr">
        <is>
          <t>Email</t>
        </is>
      </c>
      <c r="G2316" t="inlineStr">
        <is>
          <t>Mobile Web</t>
        </is>
      </c>
      <c r="H2316" t="inlineStr">
        <is>
          <t>UPI</t>
        </is>
      </c>
      <c r="I2316" t="inlineStr">
        <is>
          <t>Delivered</t>
        </is>
      </c>
      <c r="J2316" t="n">
        <v>120</v>
      </c>
      <c r="K2316" t="n">
        <v>1</v>
      </c>
      <c r="L2316" s="7" t="n">
        <v>734</v>
      </c>
      <c r="M2316" s="7" t="n">
        <v>0</v>
      </c>
    </row>
    <row r="2317">
      <c r="A2317" t="n">
        <v>510522</v>
      </c>
      <c r="B2317" s="6" t="n">
        <v>45961</v>
      </c>
      <c r="C2317" t="n">
        <v>17118</v>
      </c>
      <c r="D2317" t="inlineStr">
        <is>
          <t>Jaipur</t>
        </is>
      </c>
      <c r="E2317" t="inlineStr">
        <is>
          <t>North</t>
        </is>
      </c>
      <c r="F2317" t="inlineStr">
        <is>
          <t>Referral</t>
        </is>
      </c>
      <c r="G2317" t="inlineStr">
        <is>
          <t>Mobile Web</t>
        </is>
      </c>
      <c r="H2317" t="inlineStr">
        <is>
          <t>UPI</t>
        </is>
      </c>
      <c r="I2317" t="inlineStr">
        <is>
          <t>Delivered</t>
        </is>
      </c>
      <c r="J2317" t="n">
        <v>117</v>
      </c>
      <c r="K2317" t="n">
        <v>1</v>
      </c>
      <c r="L2317" s="7" t="n">
        <v>3149</v>
      </c>
      <c r="M2317" s="7" t="n">
        <v>472.35</v>
      </c>
    </row>
    <row r="2318">
      <c r="A2318" t="n">
        <v>510523</v>
      </c>
      <c r="B2318" s="6" t="n">
        <v>45961</v>
      </c>
      <c r="C2318" t="n">
        <v>14778</v>
      </c>
      <c r="D2318" t="inlineStr">
        <is>
          <t>Pune</t>
        </is>
      </c>
      <c r="E2318" t="inlineStr">
        <is>
          <t>West</t>
        </is>
      </c>
      <c r="F2318" t="inlineStr">
        <is>
          <t>Paid Social</t>
        </is>
      </c>
      <c r="G2318" t="inlineStr">
        <is>
          <t>Mobile Web</t>
        </is>
      </c>
      <c r="H2318" t="inlineStr">
        <is>
          <t>Cash on Delivery</t>
        </is>
      </c>
      <c r="I2318" t="inlineStr">
        <is>
          <t>Delivered</t>
        </is>
      </c>
      <c r="J2318" t="n">
        <v>101</v>
      </c>
      <c r="K2318" t="n">
        <v>1</v>
      </c>
      <c r="L2318" s="7" t="n">
        <v>2099</v>
      </c>
      <c r="M2318" s="7" t="n">
        <v>0</v>
      </c>
    </row>
    <row r="2319">
      <c r="A2319" t="n">
        <v>510524</v>
      </c>
      <c r="B2319" s="6" t="n">
        <v>45961</v>
      </c>
      <c r="C2319" t="n">
        <v>16757</v>
      </c>
      <c r="D2319" t="inlineStr">
        <is>
          <t>Delhi</t>
        </is>
      </c>
      <c r="E2319" t="inlineStr">
        <is>
          <t>North</t>
        </is>
      </c>
      <c r="F2319" t="inlineStr">
        <is>
          <t>Organic Search</t>
        </is>
      </c>
      <c r="G2319" t="inlineStr">
        <is>
          <t>Desktop</t>
        </is>
      </c>
      <c r="H2319" t="inlineStr">
        <is>
          <t>Cash on Delivery</t>
        </is>
      </c>
      <c r="I2319" t="inlineStr">
        <is>
          <t>Delivered</t>
        </is>
      </c>
      <c r="J2319" t="n">
        <v>122</v>
      </c>
      <c r="K2319" t="n">
        <v>1</v>
      </c>
      <c r="L2319" s="7" t="n">
        <v>1994</v>
      </c>
      <c r="M2319" s="7" t="n">
        <v>0</v>
      </c>
    </row>
    <row r="2320">
      <c r="A2320" t="n">
        <v>510524</v>
      </c>
      <c r="B2320" s="6" t="n">
        <v>45961</v>
      </c>
      <c r="C2320" t="n">
        <v>16757</v>
      </c>
      <c r="D2320" t="inlineStr">
        <is>
          <t>Delhi</t>
        </is>
      </c>
      <c r="E2320" t="inlineStr">
        <is>
          <t>North</t>
        </is>
      </c>
      <c r="F2320" t="inlineStr">
        <is>
          <t>Organic Search</t>
        </is>
      </c>
      <c r="G2320" t="inlineStr">
        <is>
          <t>Desktop</t>
        </is>
      </c>
      <c r="H2320" t="inlineStr">
        <is>
          <t>Cash on Delivery</t>
        </is>
      </c>
      <c r="I2320" t="inlineStr">
        <is>
          <t>Delivered</t>
        </is>
      </c>
      <c r="J2320" t="n">
        <v>143</v>
      </c>
      <c r="K2320" t="n">
        <v>2</v>
      </c>
      <c r="L2320" s="7" t="n">
        <v>839</v>
      </c>
      <c r="M2320" s="7" t="n">
        <v>0</v>
      </c>
    </row>
    <row r="2321">
      <c r="A2321" t="n">
        <v>510525</v>
      </c>
      <c r="B2321" s="6" t="n">
        <v>45961</v>
      </c>
      <c r="C2321" t="n">
        <v>17111</v>
      </c>
      <c r="D2321" t="inlineStr">
        <is>
          <t>Bengaluru</t>
        </is>
      </c>
      <c r="E2321" t="inlineStr">
        <is>
          <t>South</t>
        </is>
      </c>
      <c r="F2321" t="inlineStr">
        <is>
          <t>Paid Search</t>
        </is>
      </c>
      <c r="G2321" t="inlineStr">
        <is>
          <t>Mobile App</t>
        </is>
      </c>
      <c r="H2321" t="inlineStr">
        <is>
          <t>Credit Card</t>
        </is>
      </c>
      <c r="I2321" t="inlineStr">
        <is>
          <t>Delivered</t>
        </is>
      </c>
      <c r="J2321" t="n">
        <v>103</v>
      </c>
      <c r="K2321" t="n">
        <v>1</v>
      </c>
      <c r="L2321" s="7" t="n">
        <v>2624</v>
      </c>
      <c r="M2321" s="7" t="n">
        <v>0</v>
      </c>
    </row>
    <row r="2322">
      <c r="A2322" t="n">
        <v>510525</v>
      </c>
      <c r="B2322" s="6" t="n">
        <v>45961</v>
      </c>
      <c r="C2322" t="n">
        <v>17111</v>
      </c>
      <c r="D2322" t="inlineStr">
        <is>
          <t>Bengaluru</t>
        </is>
      </c>
      <c r="E2322" t="inlineStr">
        <is>
          <t>South</t>
        </is>
      </c>
      <c r="F2322" t="inlineStr">
        <is>
          <t>Paid Search</t>
        </is>
      </c>
      <c r="G2322" t="inlineStr">
        <is>
          <t>Mobile App</t>
        </is>
      </c>
      <c r="H2322" t="inlineStr">
        <is>
          <t>Credit Card</t>
        </is>
      </c>
      <c r="I2322" t="inlineStr">
        <is>
          <t>Delivered</t>
        </is>
      </c>
      <c r="J2322" t="n">
        <v>118</v>
      </c>
      <c r="K2322" t="n">
        <v>1</v>
      </c>
      <c r="L2322" s="7" t="n">
        <v>944</v>
      </c>
      <c r="M2322" s="7" t="n">
        <v>0</v>
      </c>
    </row>
    <row r="2323">
      <c r="A2323" t="n">
        <v>510526</v>
      </c>
      <c r="B2323" s="6" t="n">
        <v>45962</v>
      </c>
      <c r="C2323" t="n">
        <v>17092</v>
      </c>
      <c r="D2323" t="inlineStr">
        <is>
          <t>Delhi</t>
        </is>
      </c>
      <c r="E2323" t="inlineStr">
        <is>
          <t>North</t>
        </is>
      </c>
      <c r="F2323" t="inlineStr">
        <is>
          <t>Paid Social</t>
        </is>
      </c>
      <c r="G2323" t="inlineStr">
        <is>
          <t>Mobile App</t>
        </is>
      </c>
      <c r="H2323" t="inlineStr">
        <is>
          <t>UPI</t>
        </is>
      </c>
      <c r="I2323" t="inlineStr">
        <is>
          <t>Delivered</t>
        </is>
      </c>
      <c r="J2323" t="n">
        <v>110</v>
      </c>
      <c r="K2323" t="n">
        <v>1</v>
      </c>
      <c r="L2323" s="7" t="n">
        <v>839</v>
      </c>
      <c r="M2323" s="7" t="n">
        <v>0</v>
      </c>
    </row>
    <row r="2324">
      <c r="A2324" t="n">
        <v>510527</v>
      </c>
      <c r="B2324" s="6" t="n">
        <v>45962</v>
      </c>
      <c r="C2324" t="n">
        <v>12503</v>
      </c>
      <c r="D2324" t="inlineStr">
        <is>
          <t>Chandigarh</t>
        </is>
      </c>
      <c r="E2324" t="inlineStr">
        <is>
          <t>North</t>
        </is>
      </c>
      <c r="F2324" t="inlineStr">
        <is>
          <t>Email</t>
        </is>
      </c>
      <c r="G2324" t="inlineStr">
        <is>
          <t>Desktop</t>
        </is>
      </c>
      <c r="H2324" t="inlineStr">
        <is>
          <t>Cash on Delivery</t>
        </is>
      </c>
      <c r="I2324" t="inlineStr">
        <is>
          <t>Returned</t>
        </is>
      </c>
      <c r="J2324" t="n">
        <v>111</v>
      </c>
      <c r="K2324" t="n">
        <v>3</v>
      </c>
      <c r="L2324" s="7" t="n">
        <v>524</v>
      </c>
      <c r="M2324" s="7" t="n">
        <v>0</v>
      </c>
    </row>
    <row r="2325">
      <c r="A2325" t="n">
        <v>510527</v>
      </c>
      <c r="B2325" s="6" t="n">
        <v>45962</v>
      </c>
      <c r="C2325" t="n">
        <v>12503</v>
      </c>
      <c r="D2325" t="inlineStr">
        <is>
          <t>Chandigarh</t>
        </is>
      </c>
      <c r="E2325" t="inlineStr">
        <is>
          <t>North</t>
        </is>
      </c>
      <c r="F2325" t="inlineStr">
        <is>
          <t>Email</t>
        </is>
      </c>
      <c r="G2325" t="inlineStr">
        <is>
          <t>Desktop</t>
        </is>
      </c>
      <c r="H2325" t="inlineStr">
        <is>
          <t>Cash on Delivery</t>
        </is>
      </c>
      <c r="I2325" t="inlineStr">
        <is>
          <t>Returned</t>
        </is>
      </c>
      <c r="J2325" t="n">
        <v>107</v>
      </c>
      <c r="K2325" t="n">
        <v>1</v>
      </c>
      <c r="L2325" s="7" t="n">
        <v>1259</v>
      </c>
      <c r="M2325" s="7" t="n">
        <v>0</v>
      </c>
    </row>
    <row r="2326">
      <c r="A2326" t="n">
        <v>510528</v>
      </c>
      <c r="B2326" s="6" t="n">
        <v>45962</v>
      </c>
      <c r="C2326" t="n">
        <v>15379</v>
      </c>
      <c r="D2326" t="inlineStr">
        <is>
          <t>Hyderabad</t>
        </is>
      </c>
      <c r="E2326" t="inlineStr">
        <is>
          <t>South</t>
        </is>
      </c>
      <c r="F2326" t="inlineStr">
        <is>
          <t>Organic Search</t>
        </is>
      </c>
      <c r="G2326" t="inlineStr">
        <is>
          <t>Mobile App</t>
        </is>
      </c>
      <c r="H2326" t="inlineStr">
        <is>
          <t>UPI</t>
        </is>
      </c>
      <c r="I2326" t="inlineStr">
        <is>
          <t>Delivered</t>
        </is>
      </c>
      <c r="J2326" t="n">
        <v>127</v>
      </c>
      <c r="K2326" t="n">
        <v>1</v>
      </c>
      <c r="L2326" s="7" t="n">
        <v>681</v>
      </c>
      <c r="M2326" s="7" t="n">
        <v>0</v>
      </c>
    </row>
    <row r="2327">
      <c r="A2327" t="n">
        <v>510528</v>
      </c>
      <c r="B2327" s="6" t="n">
        <v>45962</v>
      </c>
      <c r="C2327" t="n">
        <v>15379</v>
      </c>
      <c r="D2327" t="inlineStr">
        <is>
          <t>Hyderabad</t>
        </is>
      </c>
      <c r="E2327" t="inlineStr">
        <is>
          <t>South</t>
        </is>
      </c>
      <c r="F2327" t="inlineStr">
        <is>
          <t>Organic Search</t>
        </is>
      </c>
      <c r="G2327" t="inlineStr">
        <is>
          <t>Mobile App</t>
        </is>
      </c>
      <c r="H2327" t="inlineStr">
        <is>
          <t>UPI</t>
        </is>
      </c>
      <c r="I2327" t="inlineStr">
        <is>
          <t>Delivered</t>
        </is>
      </c>
      <c r="J2327" t="n">
        <v>130</v>
      </c>
      <c r="K2327" t="n">
        <v>1</v>
      </c>
      <c r="L2327" s="7" t="n">
        <v>734</v>
      </c>
      <c r="M2327" s="7" t="n">
        <v>0</v>
      </c>
    </row>
    <row r="2328">
      <c r="A2328" t="n">
        <v>510528</v>
      </c>
      <c r="B2328" s="6" t="n">
        <v>45962</v>
      </c>
      <c r="C2328" t="n">
        <v>15379</v>
      </c>
      <c r="D2328" t="inlineStr">
        <is>
          <t>Hyderabad</t>
        </is>
      </c>
      <c r="E2328" t="inlineStr">
        <is>
          <t>South</t>
        </is>
      </c>
      <c r="F2328" t="inlineStr">
        <is>
          <t>Organic Search</t>
        </is>
      </c>
      <c r="G2328" t="inlineStr">
        <is>
          <t>Mobile App</t>
        </is>
      </c>
      <c r="H2328" t="inlineStr">
        <is>
          <t>UPI</t>
        </is>
      </c>
      <c r="I2328" t="inlineStr">
        <is>
          <t>Delivered</t>
        </is>
      </c>
      <c r="J2328" t="n">
        <v>113</v>
      </c>
      <c r="K2328" t="n">
        <v>1</v>
      </c>
      <c r="L2328" s="7" t="n">
        <v>1364</v>
      </c>
      <c r="M2328" s="7" t="n">
        <v>0</v>
      </c>
    </row>
    <row r="2329">
      <c r="A2329" t="n">
        <v>510529</v>
      </c>
      <c r="B2329" s="6" t="n">
        <v>45962</v>
      </c>
      <c r="C2329" t="n">
        <v>17064</v>
      </c>
      <c r="D2329" t="inlineStr">
        <is>
          <t>Chandigarh</t>
        </is>
      </c>
      <c r="E2329" t="inlineStr">
        <is>
          <t>North</t>
        </is>
      </c>
      <c r="F2329" t="inlineStr">
        <is>
          <t>Email</t>
        </is>
      </c>
      <c r="G2329" t="inlineStr">
        <is>
          <t>Mobile App</t>
        </is>
      </c>
      <c r="H2329" t="inlineStr">
        <is>
          <t>Cash on Delivery</t>
        </is>
      </c>
      <c r="I2329" t="inlineStr">
        <is>
          <t>Delivered</t>
        </is>
      </c>
      <c r="J2329" t="n">
        <v>102</v>
      </c>
      <c r="K2329" t="n">
        <v>1</v>
      </c>
      <c r="L2329" s="7" t="n">
        <v>3674</v>
      </c>
      <c r="M2329" s="7" t="n">
        <v>0</v>
      </c>
    </row>
    <row r="2330">
      <c r="A2330" t="n">
        <v>510530</v>
      </c>
      <c r="B2330" s="6" t="n">
        <v>45962</v>
      </c>
      <c r="C2330" t="n">
        <v>17071</v>
      </c>
      <c r="D2330" t="inlineStr">
        <is>
          <t>Kochi</t>
        </is>
      </c>
      <c r="E2330" t="inlineStr">
        <is>
          <t>South</t>
        </is>
      </c>
      <c r="F2330" t="inlineStr">
        <is>
          <t>Paid Social</t>
        </is>
      </c>
      <c r="G2330" t="inlineStr">
        <is>
          <t>Mobile App</t>
        </is>
      </c>
      <c r="H2330" t="inlineStr">
        <is>
          <t>UPI</t>
        </is>
      </c>
      <c r="I2330" t="inlineStr">
        <is>
          <t>Delivered</t>
        </is>
      </c>
      <c r="J2330" t="n">
        <v>104</v>
      </c>
      <c r="K2330" t="n">
        <v>1</v>
      </c>
      <c r="L2330" s="7" t="n">
        <v>5249</v>
      </c>
      <c r="M2330" s="7" t="n">
        <v>0</v>
      </c>
    </row>
    <row r="2331">
      <c r="A2331" t="n">
        <v>510530</v>
      </c>
      <c r="B2331" s="6" t="n">
        <v>45962</v>
      </c>
      <c r="C2331" t="n">
        <v>17071</v>
      </c>
      <c r="D2331" t="inlineStr">
        <is>
          <t>Kochi</t>
        </is>
      </c>
      <c r="E2331" t="inlineStr">
        <is>
          <t>South</t>
        </is>
      </c>
      <c r="F2331" t="inlineStr">
        <is>
          <t>Paid Social</t>
        </is>
      </c>
      <c r="G2331" t="inlineStr">
        <is>
          <t>Mobile App</t>
        </is>
      </c>
      <c r="H2331" t="inlineStr">
        <is>
          <t>UPI</t>
        </is>
      </c>
      <c r="I2331" t="inlineStr">
        <is>
          <t>Delivered</t>
        </is>
      </c>
      <c r="J2331" t="n">
        <v>134</v>
      </c>
      <c r="K2331" t="n">
        <v>1</v>
      </c>
      <c r="L2331" s="7" t="n">
        <v>209</v>
      </c>
      <c r="M2331" s="7" t="n">
        <v>0</v>
      </c>
    </row>
    <row r="2332">
      <c r="A2332" t="n">
        <v>510530</v>
      </c>
      <c r="B2332" s="6" t="n">
        <v>45962</v>
      </c>
      <c r="C2332" t="n">
        <v>17071</v>
      </c>
      <c r="D2332" t="inlineStr">
        <is>
          <t>Kochi</t>
        </is>
      </c>
      <c r="E2332" t="inlineStr">
        <is>
          <t>South</t>
        </is>
      </c>
      <c r="F2332" t="inlineStr">
        <is>
          <t>Paid Social</t>
        </is>
      </c>
      <c r="G2332" t="inlineStr">
        <is>
          <t>Mobile App</t>
        </is>
      </c>
      <c r="H2332" t="inlineStr">
        <is>
          <t>UPI</t>
        </is>
      </c>
      <c r="I2332" t="inlineStr">
        <is>
          <t>Delivered</t>
        </is>
      </c>
      <c r="J2332" t="n">
        <v>128</v>
      </c>
      <c r="K2332" t="n">
        <v>1</v>
      </c>
      <c r="L2332" s="7" t="n">
        <v>1049</v>
      </c>
      <c r="M2332" s="7" t="n">
        <v>0</v>
      </c>
    </row>
    <row r="2333">
      <c r="A2333" t="n">
        <v>510530</v>
      </c>
      <c r="B2333" s="6" t="n">
        <v>45962</v>
      </c>
      <c r="C2333" t="n">
        <v>17071</v>
      </c>
      <c r="D2333" t="inlineStr">
        <is>
          <t>Kochi</t>
        </is>
      </c>
      <c r="E2333" t="inlineStr">
        <is>
          <t>South</t>
        </is>
      </c>
      <c r="F2333" t="inlineStr">
        <is>
          <t>Paid Social</t>
        </is>
      </c>
      <c r="G2333" t="inlineStr">
        <is>
          <t>Mobile App</t>
        </is>
      </c>
      <c r="H2333" t="inlineStr">
        <is>
          <t>UPI</t>
        </is>
      </c>
      <c r="I2333" t="inlineStr">
        <is>
          <t>Delivered</t>
        </is>
      </c>
      <c r="J2333" t="n">
        <v>123</v>
      </c>
      <c r="K2333" t="n">
        <v>1</v>
      </c>
      <c r="L2333" s="7" t="n">
        <v>3464</v>
      </c>
      <c r="M2333" s="7" t="n">
        <v>0</v>
      </c>
    </row>
    <row r="2334">
      <c r="A2334" t="n">
        <v>510531</v>
      </c>
      <c r="B2334" s="6" t="n">
        <v>45962</v>
      </c>
      <c r="C2334" t="n">
        <v>17134</v>
      </c>
      <c r="D2334" t="inlineStr">
        <is>
          <t>Delhi</t>
        </is>
      </c>
      <c r="E2334" t="inlineStr">
        <is>
          <t>North</t>
        </is>
      </c>
      <c r="F2334" t="inlineStr">
        <is>
          <t>Affiliate</t>
        </is>
      </c>
      <c r="G2334" t="inlineStr">
        <is>
          <t>Mobile App</t>
        </is>
      </c>
      <c r="H2334" t="inlineStr">
        <is>
          <t>Credit Card</t>
        </is>
      </c>
      <c r="I2334" t="inlineStr">
        <is>
          <t>Delivered</t>
        </is>
      </c>
      <c r="J2334" t="n">
        <v>111</v>
      </c>
      <c r="K2334" t="n">
        <v>1</v>
      </c>
      <c r="L2334" s="7" t="n">
        <v>524</v>
      </c>
      <c r="M2334" s="7" t="n">
        <v>78.59999999999999</v>
      </c>
    </row>
    <row r="2335">
      <c r="A2335" t="n">
        <v>510531</v>
      </c>
      <c r="B2335" s="6" t="n">
        <v>45962</v>
      </c>
      <c r="C2335" t="n">
        <v>17134</v>
      </c>
      <c r="D2335" t="inlineStr">
        <is>
          <t>Delhi</t>
        </is>
      </c>
      <c r="E2335" t="inlineStr">
        <is>
          <t>North</t>
        </is>
      </c>
      <c r="F2335" t="inlineStr">
        <is>
          <t>Affiliate</t>
        </is>
      </c>
      <c r="G2335" t="inlineStr">
        <is>
          <t>Mobile App</t>
        </is>
      </c>
      <c r="H2335" t="inlineStr">
        <is>
          <t>Credit Card</t>
        </is>
      </c>
      <c r="I2335" t="inlineStr">
        <is>
          <t>Delivered</t>
        </is>
      </c>
      <c r="J2335" t="n">
        <v>122</v>
      </c>
      <c r="K2335" t="n">
        <v>1</v>
      </c>
      <c r="L2335" s="7" t="n">
        <v>1994</v>
      </c>
      <c r="M2335" s="7" t="n">
        <v>299.1</v>
      </c>
    </row>
    <row r="2336">
      <c r="A2336" t="n">
        <v>510532</v>
      </c>
      <c r="B2336" s="6" t="n">
        <v>45962</v>
      </c>
      <c r="C2336" t="n">
        <v>17068</v>
      </c>
      <c r="D2336" t="inlineStr">
        <is>
          <t>Bengaluru</t>
        </is>
      </c>
      <c r="E2336" t="inlineStr">
        <is>
          <t>South</t>
        </is>
      </c>
      <c r="F2336" t="inlineStr">
        <is>
          <t>Paid Social</t>
        </is>
      </c>
      <c r="G2336" t="inlineStr">
        <is>
          <t>Mobile App</t>
        </is>
      </c>
      <c r="H2336" t="inlineStr">
        <is>
          <t>UPI</t>
        </is>
      </c>
      <c r="I2336" t="inlineStr">
        <is>
          <t>Cancelled</t>
        </is>
      </c>
      <c r="J2336" t="n">
        <v>127</v>
      </c>
      <c r="K2336" t="n">
        <v>1</v>
      </c>
      <c r="L2336" s="7" t="n">
        <v>681</v>
      </c>
      <c r="M2336" s="7" t="n">
        <v>102.15</v>
      </c>
    </row>
    <row r="2337">
      <c r="A2337" t="n">
        <v>510533</v>
      </c>
      <c r="B2337" s="6" t="n">
        <v>45962</v>
      </c>
      <c r="C2337" t="n">
        <v>17131</v>
      </c>
      <c r="D2337" t="inlineStr">
        <is>
          <t>Chennai</t>
        </is>
      </c>
      <c r="E2337" t="inlineStr">
        <is>
          <t>South</t>
        </is>
      </c>
      <c r="F2337" t="inlineStr">
        <is>
          <t>Organic Search</t>
        </is>
      </c>
      <c r="G2337" t="inlineStr">
        <is>
          <t>Mobile App</t>
        </is>
      </c>
      <c r="H2337" t="inlineStr">
        <is>
          <t>Credit Card</t>
        </is>
      </c>
      <c r="I2337" t="inlineStr">
        <is>
          <t>Returned</t>
        </is>
      </c>
      <c r="J2337" t="n">
        <v>120</v>
      </c>
      <c r="K2337" t="n">
        <v>2</v>
      </c>
      <c r="L2337" s="7" t="n">
        <v>734</v>
      </c>
      <c r="M2337" s="7" t="n">
        <v>220.2</v>
      </c>
    </row>
    <row r="2338">
      <c r="A2338" t="n">
        <v>510534</v>
      </c>
      <c r="B2338" s="6" t="n">
        <v>45962</v>
      </c>
      <c r="C2338" t="n">
        <v>16826</v>
      </c>
      <c r="D2338" t="inlineStr">
        <is>
          <t>Mumbai</t>
        </is>
      </c>
      <c r="E2338" t="inlineStr">
        <is>
          <t>West</t>
        </is>
      </c>
      <c r="F2338" t="inlineStr">
        <is>
          <t>Organic Search</t>
        </is>
      </c>
      <c r="G2338" t="inlineStr">
        <is>
          <t>Mobile Web</t>
        </is>
      </c>
      <c r="H2338" t="inlineStr">
        <is>
          <t>Credit Card</t>
        </is>
      </c>
      <c r="I2338" t="inlineStr">
        <is>
          <t>Delivered</t>
        </is>
      </c>
      <c r="J2338" t="n">
        <v>118</v>
      </c>
      <c r="K2338" t="n">
        <v>1</v>
      </c>
      <c r="L2338" s="7" t="n">
        <v>944</v>
      </c>
      <c r="M2338" s="7" t="n">
        <v>47.2</v>
      </c>
    </row>
    <row r="2339">
      <c r="A2339" t="n">
        <v>510535</v>
      </c>
      <c r="B2339" s="6" t="n">
        <v>45962</v>
      </c>
      <c r="C2339" t="n">
        <v>17116</v>
      </c>
      <c r="D2339" t="inlineStr">
        <is>
          <t>Delhi</t>
        </is>
      </c>
      <c r="E2339" t="inlineStr">
        <is>
          <t>North</t>
        </is>
      </c>
      <c r="F2339" t="inlineStr">
        <is>
          <t>Referral</t>
        </is>
      </c>
      <c r="G2339" t="inlineStr">
        <is>
          <t>Mobile Web</t>
        </is>
      </c>
      <c r="H2339" t="inlineStr">
        <is>
          <t>UPI</t>
        </is>
      </c>
      <c r="I2339" t="inlineStr">
        <is>
          <t>Delivered</t>
        </is>
      </c>
      <c r="J2339" t="n">
        <v>129</v>
      </c>
      <c r="K2339" t="n">
        <v>3</v>
      </c>
      <c r="L2339" s="7" t="n">
        <v>576</v>
      </c>
      <c r="M2339" s="7" t="n">
        <v>259.2</v>
      </c>
    </row>
    <row r="2340">
      <c r="A2340" t="n">
        <v>510535</v>
      </c>
      <c r="B2340" s="6" t="n">
        <v>45962</v>
      </c>
      <c r="C2340" t="n">
        <v>17116</v>
      </c>
      <c r="D2340" t="inlineStr">
        <is>
          <t>Delhi</t>
        </is>
      </c>
      <c r="E2340" t="inlineStr">
        <is>
          <t>North</t>
        </is>
      </c>
      <c r="F2340" t="inlineStr">
        <is>
          <t>Referral</t>
        </is>
      </c>
      <c r="G2340" t="inlineStr">
        <is>
          <t>Mobile Web</t>
        </is>
      </c>
      <c r="H2340" t="inlineStr">
        <is>
          <t>UPI</t>
        </is>
      </c>
      <c r="I2340" t="inlineStr">
        <is>
          <t>Delivered</t>
        </is>
      </c>
      <c r="J2340" t="n">
        <v>107</v>
      </c>
      <c r="K2340" t="n">
        <v>1</v>
      </c>
      <c r="L2340" s="7" t="n">
        <v>1259</v>
      </c>
      <c r="M2340" s="7" t="n">
        <v>188.85</v>
      </c>
    </row>
    <row r="2341">
      <c r="A2341" t="n">
        <v>510536</v>
      </c>
      <c r="B2341" s="6" t="n">
        <v>45962</v>
      </c>
      <c r="C2341" t="n">
        <v>16596</v>
      </c>
      <c r="D2341" t="inlineStr">
        <is>
          <t>Pune</t>
        </is>
      </c>
      <c r="E2341" t="inlineStr">
        <is>
          <t>West</t>
        </is>
      </c>
      <c r="F2341" t="inlineStr">
        <is>
          <t>Paid Search</t>
        </is>
      </c>
      <c r="G2341" t="inlineStr">
        <is>
          <t>Mobile App</t>
        </is>
      </c>
      <c r="H2341" t="inlineStr">
        <is>
          <t>Cash on Delivery</t>
        </is>
      </c>
      <c r="I2341" t="inlineStr">
        <is>
          <t>Delivered</t>
        </is>
      </c>
      <c r="J2341" t="n">
        <v>125</v>
      </c>
      <c r="K2341" t="n">
        <v>1</v>
      </c>
      <c r="L2341" s="7" t="n">
        <v>1364</v>
      </c>
      <c r="M2341" s="7" t="n">
        <v>0</v>
      </c>
    </row>
    <row r="2342">
      <c r="A2342" t="n">
        <v>510536</v>
      </c>
      <c r="B2342" s="6" t="n">
        <v>45962</v>
      </c>
      <c r="C2342" t="n">
        <v>16596</v>
      </c>
      <c r="D2342" t="inlineStr">
        <is>
          <t>Pune</t>
        </is>
      </c>
      <c r="E2342" t="inlineStr">
        <is>
          <t>West</t>
        </is>
      </c>
      <c r="F2342" t="inlineStr">
        <is>
          <t>Paid Search</t>
        </is>
      </c>
      <c r="G2342" t="inlineStr">
        <is>
          <t>Mobile App</t>
        </is>
      </c>
      <c r="H2342" t="inlineStr">
        <is>
          <t>Cash on Delivery</t>
        </is>
      </c>
      <c r="I2342" t="inlineStr">
        <is>
          <t>Delivered</t>
        </is>
      </c>
      <c r="J2342" t="n">
        <v>131</v>
      </c>
      <c r="K2342" t="n">
        <v>1</v>
      </c>
      <c r="L2342" s="7" t="n">
        <v>314</v>
      </c>
      <c r="M2342" s="7" t="n">
        <v>0</v>
      </c>
    </row>
    <row r="2343">
      <c r="A2343" t="n">
        <v>510536</v>
      </c>
      <c r="B2343" s="6" t="n">
        <v>45962</v>
      </c>
      <c r="C2343" t="n">
        <v>16596</v>
      </c>
      <c r="D2343" t="inlineStr">
        <is>
          <t>Pune</t>
        </is>
      </c>
      <c r="E2343" t="inlineStr">
        <is>
          <t>West</t>
        </is>
      </c>
      <c r="F2343" t="inlineStr">
        <is>
          <t>Paid Search</t>
        </is>
      </c>
      <c r="G2343" t="inlineStr">
        <is>
          <t>Mobile App</t>
        </is>
      </c>
      <c r="H2343" t="inlineStr">
        <is>
          <t>Cash on Delivery</t>
        </is>
      </c>
      <c r="I2343" t="inlineStr">
        <is>
          <t>Delivered</t>
        </is>
      </c>
      <c r="J2343" t="n">
        <v>118</v>
      </c>
      <c r="K2343" t="n">
        <v>1</v>
      </c>
      <c r="L2343" s="7" t="n">
        <v>944</v>
      </c>
      <c r="M2343" s="7" t="n">
        <v>0</v>
      </c>
    </row>
    <row r="2344">
      <c r="A2344" t="n">
        <v>510537</v>
      </c>
      <c r="B2344" s="6" t="n">
        <v>45962</v>
      </c>
      <c r="C2344" t="n">
        <v>16695</v>
      </c>
      <c r="D2344" t="inlineStr">
        <is>
          <t>Mumbai</t>
        </is>
      </c>
      <c r="E2344" t="inlineStr">
        <is>
          <t>West</t>
        </is>
      </c>
      <c r="F2344" t="inlineStr">
        <is>
          <t>Referral</t>
        </is>
      </c>
      <c r="G2344" t="inlineStr">
        <is>
          <t>Desktop</t>
        </is>
      </c>
      <c r="H2344" t="inlineStr">
        <is>
          <t>Credit Card</t>
        </is>
      </c>
      <c r="I2344" t="inlineStr">
        <is>
          <t>Delivered</t>
        </is>
      </c>
      <c r="J2344" t="n">
        <v>122</v>
      </c>
      <c r="K2344" t="n">
        <v>3</v>
      </c>
      <c r="L2344" s="7" t="n">
        <v>1994</v>
      </c>
      <c r="M2344" s="7" t="n">
        <v>0</v>
      </c>
    </row>
    <row r="2345">
      <c r="A2345" t="n">
        <v>510538</v>
      </c>
      <c r="B2345" s="6" t="n">
        <v>45962</v>
      </c>
      <c r="C2345" t="n">
        <v>15626</v>
      </c>
      <c r="D2345" t="inlineStr">
        <is>
          <t>Hyderabad</t>
        </is>
      </c>
      <c r="E2345" t="inlineStr">
        <is>
          <t>South</t>
        </is>
      </c>
      <c r="F2345" t="inlineStr">
        <is>
          <t>Affiliate</t>
        </is>
      </c>
      <c r="G2345" t="inlineStr">
        <is>
          <t>Mobile Web</t>
        </is>
      </c>
      <c r="H2345" t="inlineStr">
        <is>
          <t>UPI</t>
        </is>
      </c>
      <c r="I2345" t="inlineStr">
        <is>
          <t>Returned</t>
        </is>
      </c>
      <c r="J2345" t="n">
        <v>118</v>
      </c>
      <c r="K2345" t="n">
        <v>1</v>
      </c>
      <c r="L2345" s="7" t="n">
        <v>944</v>
      </c>
      <c r="M2345" s="7" t="n">
        <v>0</v>
      </c>
    </row>
    <row r="2346">
      <c r="A2346" t="n">
        <v>510539</v>
      </c>
      <c r="B2346" s="6" t="n">
        <v>45962</v>
      </c>
      <c r="C2346" t="n">
        <v>17061</v>
      </c>
      <c r="D2346" t="inlineStr">
        <is>
          <t>Gurugram</t>
        </is>
      </c>
      <c r="E2346" t="inlineStr">
        <is>
          <t>North</t>
        </is>
      </c>
      <c r="F2346" t="inlineStr">
        <is>
          <t>Paid Social</t>
        </is>
      </c>
      <c r="G2346" t="inlineStr">
        <is>
          <t>Mobile Web</t>
        </is>
      </c>
      <c r="H2346" t="inlineStr">
        <is>
          <t>Cash on Delivery</t>
        </is>
      </c>
      <c r="I2346" t="inlineStr">
        <is>
          <t>Delivered</t>
        </is>
      </c>
      <c r="J2346" t="n">
        <v>109</v>
      </c>
      <c r="K2346" t="n">
        <v>1</v>
      </c>
      <c r="L2346" s="7" t="n">
        <v>4199</v>
      </c>
      <c r="M2346" s="7" t="n">
        <v>629.85</v>
      </c>
    </row>
    <row r="2347">
      <c r="A2347" t="n">
        <v>510540</v>
      </c>
      <c r="B2347" s="6" t="n">
        <v>45962</v>
      </c>
      <c r="C2347" t="n">
        <v>17107</v>
      </c>
      <c r="D2347" t="inlineStr">
        <is>
          <t>Delhi</t>
        </is>
      </c>
      <c r="E2347" t="inlineStr">
        <is>
          <t>North</t>
        </is>
      </c>
      <c r="F2347" t="inlineStr">
        <is>
          <t>Affiliate</t>
        </is>
      </c>
      <c r="G2347" t="inlineStr">
        <is>
          <t>Desktop</t>
        </is>
      </c>
      <c r="H2347" t="inlineStr">
        <is>
          <t>UPI</t>
        </is>
      </c>
      <c r="I2347" t="inlineStr">
        <is>
          <t>Delivered</t>
        </is>
      </c>
      <c r="J2347" t="n">
        <v>122</v>
      </c>
      <c r="K2347" t="n">
        <v>1</v>
      </c>
      <c r="L2347" s="7" t="n">
        <v>1994</v>
      </c>
      <c r="M2347" s="7" t="n">
        <v>299.1</v>
      </c>
    </row>
    <row r="2348">
      <c r="A2348" t="n">
        <v>510540</v>
      </c>
      <c r="B2348" s="6" t="n">
        <v>45962</v>
      </c>
      <c r="C2348" t="n">
        <v>17107</v>
      </c>
      <c r="D2348" t="inlineStr">
        <is>
          <t>Delhi</t>
        </is>
      </c>
      <c r="E2348" t="inlineStr">
        <is>
          <t>North</t>
        </is>
      </c>
      <c r="F2348" t="inlineStr">
        <is>
          <t>Affiliate</t>
        </is>
      </c>
      <c r="G2348" t="inlineStr">
        <is>
          <t>Desktop</t>
        </is>
      </c>
      <c r="H2348" t="inlineStr">
        <is>
          <t>UPI</t>
        </is>
      </c>
      <c r="I2348" t="inlineStr">
        <is>
          <t>Delivered</t>
        </is>
      </c>
      <c r="J2348" t="n">
        <v>116</v>
      </c>
      <c r="K2348" t="n">
        <v>1</v>
      </c>
      <c r="L2348" s="7" t="n">
        <v>2624</v>
      </c>
      <c r="M2348" s="7" t="n">
        <v>393.6</v>
      </c>
    </row>
    <row r="2349">
      <c r="A2349" t="n">
        <v>510541</v>
      </c>
      <c r="B2349" s="6" t="n">
        <v>45962</v>
      </c>
      <c r="C2349" t="n">
        <v>14568</v>
      </c>
      <c r="D2349" t="inlineStr">
        <is>
          <t>Chennai</t>
        </is>
      </c>
      <c r="E2349" t="inlineStr">
        <is>
          <t>South</t>
        </is>
      </c>
      <c r="F2349" t="inlineStr">
        <is>
          <t>Referral</t>
        </is>
      </c>
      <c r="G2349" t="inlineStr">
        <is>
          <t>Mobile App</t>
        </is>
      </c>
      <c r="H2349" t="inlineStr">
        <is>
          <t>UPI</t>
        </is>
      </c>
      <c r="I2349" t="inlineStr">
        <is>
          <t>Delivered</t>
        </is>
      </c>
      <c r="J2349" t="n">
        <v>109</v>
      </c>
      <c r="K2349" t="n">
        <v>1</v>
      </c>
      <c r="L2349" s="7" t="n">
        <v>4199</v>
      </c>
      <c r="M2349" s="7" t="n">
        <v>0</v>
      </c>
    </row>
    <row r="2350">
      <c r="A2350" t="n">
        <v>510542</v>
      </c>
      <c r="B2350" s="6" t="n">
        <v>45962</v>
      </c>
      <c r="C2350" t="n">
        <v>17074</v>
      </c>
      <c r="D2350" t="inlineStr">
        <is>
          <t>Hyderabad</t>
        </is>
      </c>
      <c r="E2350" t="inlineStr">
        <is>
          <t>South</t>
        </is>
      </c>
      <c r="F2350" t="inlineStr">
        <is>
          <t>Referral</t>
        </is>
      </c>
      <c r="G2350" t="inlineStr">
        <is>
          <t>Desktop</t>
        </is>
      </c>
      <c r="H2350" t="inlineStr">
        <is>
          <t>Cash on Delivery</t>
        </is>
      </c>
      <c r="I2350" t="inlineStr">
        <is>
          <t>Delivered</t>
        </is>
      </c>
      <c r="J2350" t="n">
        <v>139</v>
      </c>
      <c r="K2350" t="n">
        <v>2</v>
      </c>
      <c r="L2350" s="7" t="n">
        <v>366</v>
      </c>
      <c r="M2350" s="7" t="n">
        <v>0</v>
      </c>
    </row>
    <row r="2351">
      <c r="A2351" t="n">
        <v>510543</v>
      </c>
      <c r="B2351" s="6" t="n">
        <v>45962</v>
      </c>
      <c r="C2351" t="n">
        <v>17127</v>
      </c>
      <c r="D2351" t="inlineStr">
        <is>
          <t>Kolkata</t>
        </is>
      </c>
      <c r="E2351" t="inlineStr">
        <is>
          <t>East</t>
        </is>
      </c>
      <c r="F2351" t="inlineStr">
        <is>
          <t>Paid Search</t>
        </is>
      </c>
      <c r="G2351" t="inlineStr">
        <is>
          <t>Mobile App</t>
        </is>
      </c>
      <c r="H2351" t="inlineStr">
        <is>
          <t>Credit Card</t>
        </is>
      </c>
      <c r="I2351" t="inlineStr">
        <is>
          <t>Delivered</t>
        </is>
      </c>
      <c r="J2351" t="n">
        <v>101</v>
      </c>
      <c r="K2351" t="n">
        <v>1</v>
      </c>
      <c r="L2351" s="7" t="n">
        <v>2099</v>
      </c>
      <c r="M2351" s="7" t="n">
        <v>314.85</v>
      </c>
    </row>
    <row r="2352">
      <c r="A2352" t="n">
        <v>510543</v>
      </c>
      <c r="B2352" s="6" t="n">
        <v>45962</v>
      </c>
      <c r="C2352" t="n">
        <v>17127</v>
      </c>
      <c r="D2352" t="inlineStr">
        <is>
          <t>Kolkata</t>
        </is>
      </c>
      <c r="E2352" t="inlineStr">
        <is>
          <t>East</t>
        </is>
      </c>
      <c r="F2352" t="inlineStr">
        <is>
          <t>Paid Search</t>
        </is>
      </c>
      <c r="G2352" t="inlineStr">
        <is>
          <t>Mobile App</t>
        </is>
      </c>
      <c r="H2352" t="inlineStr">
        <is>
          <t>Credit Card</t>
        </is>
      </c>
      <c r="I2352" t="inlineStr">
        <is>
          <t>Delivered</t>
        </is>
      </c>
      <c r="J2352" t="n">
        <v>102</v>
      </c>
      <c r="K2352" t="n">
        <v>1</v>
      </c>
      <c r="L2352" s="7" t="n">
        <v>3674</v>
      </c>
      <c r="M2352" s="7" t="n">
        <v>551.1</v>
      </c>
    </row>
    <row r="2353">
      <c r="A2353" t="n">
        <v>510544</v>
      </c>
      <c r="B2353" s="6" t="n">
        <v>45963</v>
      </c>
      <c r="C2353" t="n">
        <v>16168</v>
      </c>
      <c r="D2353" t="inlineStr">
        <is>
          <t>Gurugram</t>
        </is>
      </c>
      <c r="E2353" t="inlineStr">
        <is>
          <t>North</t>
        </is>
      </c>
      <c r="F2353" t="inlineStr">
        <is>
          <t>Organic Search</t>
        </is>
      </c>
      <c r="G2353" t="inlineStr">
        <is>
          <t>Mobile Web</t>
        </is>
      </c>
      <c r="H2353" t="inlineStr">
        <is>
          <t>UPI</t>
        </is>
      </c>
      <c r="I2353" t="inlineStr">
        <is>
          <t>Delivered</t>
        </is>
      </c>
      <c r="J2353" t="n">
        <v>130</v>
      </c>
      <c r="K2353" t="n">
        <v>1</v>
      </c>
      <c r="L2353" s="7" t="n">
        <v>734</v>
      </c>
      <c r="M2353" s="7" t="n">
        <v>0</v>
      </c>
    </row>
    <row r="2354">
      <c r="A2354" t="n">
        <v>510545</v>
      </c>
      <c r="B2354" s="6" t="n">
        <v>45963</v>
      </c>
      <c r="C2354" t="n">
        <v>17097</v>
      </c>
      <c r="D2354" t="inlineStr">
        <is>
          <t>Delhi</t>
        </is>
      </c>
      <c r="E2354" t="inlineStr">
        <is>
          <t>North</t>
        </is>
      </c>
      <c r="F2354" t="inlineStr">
        <is>
          <t>Paid Search</t>
        </is>
      </c>
      <c r="G2354" t="inlineStr">
        <is>
          <t>Mobile Web</t>
        </is>
      </c>
      <c r="H2354" t="inlineStr">
        <is>
          <t>Cash on Delivery</t>
        </is>
      </c>
      <c r="I2354" t="inlineStr">
        <is>
          <t>Delivered</t>
        </is>
      </c>
      <c r="J2354" t="n">
        <v>105</v>
      </c>
      <c r="K2354" t="n">
        <v>1</v>
      </c>
      <c r="L2354" s="7" t="n">
        <v>2414</v>
      </c>
      <c r="M2354" s="7" t="n">
        <v>0</v>
      </c>
    </row>
    <row r="2355">
      <c r="A2355" t="n">
        <v>510546</v>
      </c>
      <c r="B2355" s="6" t="n">
        <v>45963</v>
      </c>
      <c r="C2355" t="n">
        <v>17110</v>
      </c>
      <c r="D2355" t="inlineStr">
        <is>
          <t>Kochi</t>
        </is>
      </c>
      <c r="E2355" t="inlineStr">
        <is>
          <t>South</t>
        </is>
      </c>
      <c r="F2355" t="inlineStr">
        <is>
          <t>Organic Search</t>
        </is>
      </c>
      <c r="G2355" t="inlineStr">
        <is>
          <t>Desktop</t>
        </is>
      </c>
      <c r="H2355" t="inlineStr">
        <is>
          <t>Debit Card</t>
        </is>
      </c>
      <c r="I2355" t="inlineStr">
        <is>
          <t>Delivered</t>
        </is>
      </c>
      <c r="J2355" t="n">
        <v>132</v>
      </c>
      <c r="K2355" t="n">
        <v>1</v>
      </c>
      <c r="L2355" s="7" t="n">
        <v>471</v>
      </c>
      <c r="M2355" s="7" t="n">
        <v>70.65000000000001</v>
      </c>
    </row>
    <row r="2356">
      <c r="A2356" t="n">
        <v>510547</v>
      </c>
      <c r="B2356" s="6" t="n">
        <v>45963</v>
      </c>
      <c r="C2356" t="n">
        <v>17128</v>
      </c>
      <c r="D2356" t="inlineStr">
        <is>
          <t>Bengaluru</t>
        </is>
      </c>
      <c r="E2356" t="inlineStr">
        <is>
          <t>South</t>
        </is>
      </c>
      <c r="F2356" t="inlineStr">
        <is>
          <t>Email</t>
        </is>
      </c>
      <c r="G2356" t="inlineStr">
        <is>
          <t>Desktop</t>
        </is>
      </c>
      <c r="H2356" t="inlineStr">
        <is>
          <t>Net Banking</t>
        </is>
      </c>
      <c r="I2356" t="inlineStr">
        <is>
          <t>Delivered</t>
        </is>
      </c>
      <c r="J2356" t="n">
        <v>127</v>
      </c>
      <c r="K2356" t="n">
        <v>1</v>
      </c>
      <c r="L2356" s="7" t="n">
        <v>681</v>
      </c>
      <c r="M2356" s="7" t="n">
        <v>0</v>
      </c>
    </row>
    <row r="2357">
      <c r="A2357" t="n">
        <v>510547</v>
      </c>
      <c r="B2357" s="6" t="n">
        <v>45963</v>
      </c>
      <c r="C2357" t="n">
        <v>17128</v>
      </c>
      <c r="D2357" t="inlineStr">
        <is>
          <t>Bengaluru</t>
        </is>
      </c>
      <c r="E2357" t="inlineStr">
        <is>
          <t>South</t>
        </is>
      </c>
      <c r="F2357" t="inlineStr">
        <is>
          <t>Email</t>
        </is>
      </c>
      <c r="G2357" t="inlineStr">
        <is>
          <t>Desktop</t>
        </is>
      </c>
      <c r="H2357" t="inlineStr">
        <is>
          <t>Net Banking</t>
        </is>
      </c>
      <c r="I2357" t="inlineStr">
        <is>
          <t>Delivered</t>
        </is>
      </c>
      <c r="J2357" t="n">
        <v>102</v>
      </c>
      <c r="K2357" t="n">
        <v>1</v>
      </c>
      <c r="L2357" s="7" t="n">
        <v>3674</v>
      </c>
      <c r="M2357" s="7" t="n">
        <v>0</v>
      </c>
    </row>
    <row r="2358">
      <c r="A2358" t="n">
        <v>510547</v>
      </c>
      <c r="B2358" s="6" t="n">
        <v>45963</v>
      </c>
      <c r="C2358" t="n">
        <v>17128</v>
      </c>
      <c r="D2358" t="inlineStr">
        <is>
          <t>Bengaluru</t>
        </is>
      </c>
      <c r="E2358" t="inlineStr">
        <is>
          <t>South</t>
        </is>
      </c>
      <c r="F2358" t="inlineStr">
        <is>
          <t>Email</t>
        </is>
      </c>
      <c r="G2358" t="inlineStr">
        <is>
          <t>Desktop</t>
        </is>
      </c>
      <c r="H2358" t="inlineStr">
        <is>
          <t>Net Banking</t>
        </is>
      </c>
      <c r="I2358" t="inlineStr">
        <is>
          <t>Delivered</t>
        </is>
      </c>
      <c r="J2358" t="n">
        <v>117</v>
      </c>
      <c r="K2358" t="n">
        <v>1</v>
      </c>
      <c r="L2358" s="7" t="n">
        <v>3149</v>
      </c>
      <c r="M2358" s="7" t="n">
        <v>0</v>
      </c>
    </row>
    <row r="2359">
      <c r="A2359" t="n">
        <v>510548</v>
      </c>
      <c r="B2359" s="6" t="n">
        <v>45963</v>
      </c>
      <c r="C2359" t="n">
        <v>16227</v>
      </c>
      <c r="D2359" t="inlineStr">
        <is>
          <t>Delhi</t>
        </is>
      </c>
      <c r="E2359" t="inlineStr">
        <is>
          <t>North</t>
        </is>
      </c>
      <c r="F2359" t="inlineStr">
        <is>
          <t>Referral</t>
        </is>
      </c>
      <c r="G2359" t="inlineStr">
        <is>
          <t>Mobile App</t>
        </is>
      </c>
      <c r="H2359" t="inlineStr">
        <is>
          <t>Cash on Delivery</t>
        </is>
      </c>
      <c r="I2359" t="inlineStr">
        <is>
          <t>Delivered</t>
        </is>
      </c>
      <c r="J2359" t="n">
        <v>143</v>
      </c>
      <c r="K2359" t="n">
        <v>1</v>
      </c>
      <c r="L2359" s="7" t="n">
        <v>839</v>
      </c>
      <c r="M2359" s="7" t="n">
        <v>0</v>
      </c>
    </row>
    <row r="2360">
      <c r="A2360" t="n">
        <v>510548</v>
      </c>
      <c r="B2360" s="6" t="n">
        <v>45963</v>
      </c>
      <c r="C2360" t="n">
        <v>16227</v>
      </c>
      <c r="D2360" t="inlineStr">
        <is>
          <t>Delhi</t>
        </is>
      </c>
      <c r="E2360" t="inlineStr">
        <is>
          <t>North</t>
        </is>
      </c>
      <c r="F2360" t="inlineStr">
        <is>
          <t>Referral</t>
        </is>
      </c>
      <c r="G2360" t="inlineStr">
        <is>
          <t>Mobile App</t>
        </is>
      </c>
      <c r="H2360" t="inlineStr">
        <is>
          <t>Cash on Delivery</t>
        </is>
      </c>
      <c r="I2360" t="inlineStr">
        <is>
          <t>Delivered</t>
        </is>
      </c>
      <c r="J2360" t="n">
        <v>112</v>
      </c>
      <c r="K2360" t="n">
        <v>1</v>
      </c>
      <c r="L2360" s="7" t="n">
        <v>1574</v>
      </c>
      <c r="M2360" s="7" t="n">
        <v>0</v>
      </c>
    </row>
    <row r="2361">
      <c r="A2361" t="n">
        <v>510549</v>
      </c>
      <c r="B2361" s="6" t="n">
        <v>45963</v>
      </c>
      <c r="C2361" t="n">
        <v>15858</v>
      </c>
      <c r="D2361" t="inlineStr">
        <is>
          <t>Gurugram</t>
        </is>
      </c>
      <c r="E2361" t="inlineStr">
        <is>
          <t>North</t>
        </is>
      </c>
      <c r="F2361" t="inlineStr">
        <is>
          <t>Paid Search</t>
        </is>
      </c>
      <c r="G2361" t="inlineStr">
        <is>
          <t>Mobile App</t>
        </is>
      </c>
      <c r="H2361" t="inlineStr">
        <is>
          <t>Cash on Delivery</t>
        </is>
      </c>
      <c r="I2361" t="inlineStr">
        <is>
          <t>Cancelled</t>
        </is>
      </c>
      <c r="J2361" t="n">
        <v>135</v>
      </c>
      <c r="K2361" t="n">
        <v>2</v>
      </c>
      <c r="L2361" s="7" t="n">
        <v>1574</v>
      </c>
      <c r="M2361" s="7" t="n">
        <v>157.4</v>
      </c>
    </row>
    <row r="2362">
      <c r="A2362" t="n">
        <v>510550</v>
      </c>
      <c r="B2362" s="6" t="n">
        <v>45963</v>
      </c>
      <c r="C2362" t="n">
        <v>17062</v>
      </c>
      <c r="D2362" t="inlineStr">
        <is>
          <t>Indore</t>
        </is>
      </c>
      <c r="E2362" t="inlineStr">
        <is>
          <t>West</t>
        </is>
      </c>
      <c r="F2362" t="inlineStr">
        <is>
          <t>Paid Search</t>
        </is>
      </c>
      <c r="G2362" t="inlineStr">
        <is>
          <t>Mobile App</t>
        </is>
      </c>
      <c r="H2362" t="inlineStr">
        <is>
          <t>Cash on Delivery</t>
        </is>
      </c>
      <c r="I2362" t="inlineStr">
        <is>
          <t>Delivered</t>
        </is>
      </c>
      <c r="J2362" t="n">
        <v>132</v>
      </c>
      <c r="K2362" t="n">
        <v>1</v>
      </c>
      <c r="L2362" s="7" t="n">
        <v>471</v>
      </c>
      <c r="M2362" s="7" t="n">
        <v>0</v>
      </c>
    </row>
    <row r="2363">
      <c r="A2363" t="n">
        <v>510551</v>
      </c>
      <c r="B2363" s="6" t="n">
        <v>45963</v>
      </c>
      <c r="C2363" t="n">
        <v>17113</v>
      </c>
      <c r="D2363" t="inlineStr">
        <is>
          <t>Kochi</t>
        </is>
      </c>
      <c r="E2363" t="inlineStr">
        <is>
          <t>South</t>
        </is>
      </c>
      <c r="F2363" t="inlineStr">
        <is>
          <t>Organic Search</t>
        </is>
      </c>
      <c r="G2363" t="inlineStr">
        <is>
          <t>Mobile App</t>
        </is>
      </c>
      <c r="H2363" t="inlineStr">
        <is>
          <t>Credit Card</t>
        </is>
      </c>
      <c r="I2363" t="inlineStr">
        <is>
          <t>Delivered</t>
        </is>
      </c>
      <c r="J2363" t="n">
        <v>102</v>
      </c>
      <c r="K2363" t="n">
        <v>1</v>
      </c>
      <c r="L2363" s="7" t="n">
        <v>3674</v>
      </c>
      <c r="M2363" s="7" t="n">
        <v>183.7</v>
      </c>
    </row>
    <row r="2364">
      <c r="A2364" t="n">
        <v>510551</v>
      </c>
      <c r="B2364" s="6" t="n">
        <v>45963</v>
      </c>
      <c r="C2364" t="n">
        <v>17113</v>
      </c>
      <c r="D2364" t="inlineStr">
        <is>
          <t>Kochi</t>
        </is>
      </c>
      <c r="E2364" t="inlineStr">
        <is>
          <t>South</t>
        </is>
      </c>
      <c r="F2364" t="inlineStr">
        <is>
          <t>Organic Search</t>
        </is>
      </c>
      <c r="G2364" t="inlineStr">
        <is>
          <t>Mobile App</t>
        </is>
      </c>
      <c r="H2364" t="inlineStr">
        <is>
          <t>Credit Card</t>
        </is>
      </c>
      <c r="I2364" t="inlineStr">
        <is>
          <t>Delivered</t>
        </is>
      </c>
      <c r="J2364" t="n">
        <v>127</v>
      </c>
      <c r="K2364" t="n">
        <v>1</v>
      </c>
      <c r="L2364" s="7" t="n">
        <v>681</v>
      </c>
      <c r="M2364" s="7" t="n">
        <v>34.05</v>
      </c>
    </row>
    <row r="2365">
      <c r="A2365" t="n">
        <v>510551</v>
      </c>
      <c r="B2365" s="6" t="n">
        <v>45963</v>
      </c>
      <c r="C2365" t="n">
        <v>17113</v>
      </c>
      <c r="D2365" t="inlineStr">
        <is>
          <t>Kochi</t>
        </is>
      </c>
      <c r="E2365" t="inlineStr">
        <is>
          <t>South</t>
        </is>
      </c>
      <c r="F2365" t="inlineStr">
        <is>
          <t>Organic Search</t>
        </is>
      </c>
      <c r="G2365" t="inlineStr">
        <is>
          <t>Mobile App</t>
        </is>
      </c>
      <c r="H2365" t="inlineStr">
        <is>
          <t>Credit Card</t>
        </is>
      </c>
      <c r="I2365" t="inlineStr">
        <is>
          <t>Delivered</t>
        </is>
      </c>
      <c r="J2365" t="n">
        <v>106</v>
      </c>
      <c r="K2365" t="n">
        <v>1</v>
      </c>
      <c r="L2365" s="7" t="n">
        <v>1574</v>
      </c>
      <c r="M2365" s="7" t="n">
        <v>78.7</v>
      </c>
    </row>
    <row r="2366">
      <c r="A2366" t="n">
        <v>510552</v>
      </c>
      <c r="B2366" s="6" t="n">
        <v>45963</v>
      </c>
      <c r="C2366" t="n">
        <v>15705</v>
      </c>
      <c r="D2366" t="inlineStr">
        <is>
          <t>Noida</t>
        </is>
      </c>
      <c r="E2366" t="inlineStr">
        <is>
          <t>North</t>
        </is>
      </c>
      <c r="F2366" t="inlineStr">
        <is>
          <t>Referral</t>
        </is>
      </c>
      <c r="G2366" t="inlineStr">
        <is>
          <t>Mobile App</t>
        </is>
      </c>
      <c r="H2366" t="inlineStr">
        <is>
          <t>Cash on Delivery</t>
        </is>
      </c>
      <c r="I2366" t="inlineStr">
        <is>
          <t>Cancelled</t>
        </is>
      </c>
      <c r="J2366" t="n">
        <v>135</v>
      </c>
      <c r="K2366" t="n">
        <v>1</v>
      </c>
      <c r="L2366" s="7" t="n">
        <v>1574</v>
      </c>
      <c r="M2366" s="7" t="n">
        <v>0</v>
      </c>
    </row>
    <row r="2367">
      <c r="A2367" t="n">
        <v>510553</v>
      </c>
      <c r="B2367" s="6" t="n">
        <v>45963</v>
      </c>
      <c r="C2367" t="n">
        <v>15405</v>
      </c>
      <c r="D2367" t="inlineStr">
        <is>
          <t>Lucknow</t>
        </is>
      </c>
      <c r="E2367" t="inlineStr">
        <is>
          <t>North</t>
        </is>
      </c>
      <c r="F2367" t="inlineStr">
        <is>
          <t>Organic Search</t>
        </is>
      </c>
      <c r="G2367" t="inlineStr">
        <is>
          <t>Desktop</t>
        </is>
      </c>
      <c r="H2367" t="inlineStr">
        <is>
          <t>UPI</t>
        </is>
      </c>
      <c r="I2367" t="inlineStr">
        <is>
          <t>Delivered</t>
        </is>
      </c>
      <c r="J2367" t="n">
        <v>116</v>
      </c>
      <c r="K2367" t="n">
        <v>3</v>
      </c>
      <c r="L2367" s="7" t="n">
        <v>2624</v>
      </c>
      <c r="M2367" s="7" t="n">
        <v>0</v>
      </c>
    </row>
    <row r="2368">
      <c r="A2368" t="n">
        <v>510553</v>
      </c>
      <c r="B2368" s="6" t="n">
        <v>45963</v>
      </c>
      <c r="C2368" t="n">
        <v>15405</v>
      </c>
      <c r="D2368" t="inlineStr">
        <is>
          <t>Lucknow</t>
        </is>
      </c>
      <c r="E2368" t="inlineStr">
        <is>
          <t>North</t>
        </is>
      </c>
      <c r="F2368" t="inlineStr">
        <is>
          <t>Organic Search</t>
        </is>
      </c>
      <c r="G2368" t="inlineStr">
        <is>
          <t>Desktop</t>
        </is>
      </c>
      <c r="H2368" t="inlineStr">
        <is>
          <t>UPI</t>
        </is>
      </c>
      <c r="I2368" t="inlineStr">
        <is>
          <t>Delivered</t>
        </is>
      </c>
      <c r="J2368" t="n">
        <v>113</v>
      </c>
      <c r="K2368" t="n">
        <v>1</v>
      </c>
      <c r="L2368" s="7" t="n">
        <v>1364</v>
      </c>
      <c r="M2368" s="7" t="n">
        <v>0</v>
      </c>
    </row>
    <row r="2369">
      <c r="A2369" t="n">
        <v>510553</v>
      </c>
      <c r="B2369" s="6" t="n">
        <v>45963</v>
      </c>
      <c r="C2369" t="n">
        <v>15405</v>
      </c>
      <c r="D2369" t="inlineStr">
        <is>
          <t>Lucknow</t>
        </is>
      </c>
      <c r="E2369" t="inlineStr">
        <is>
          <t>North</t>
        </is>
      </c>
      <c r="F2369" t="inlineStr">
        <is>
          <t>Organic Search</t>
        </is>
      </c>
      <c r="G2369" t="inlineStr">
        <is>
          <t>Desktop</t>
        </is>
      </c>
      <c r="H2369" t="inlineStr">
        <is>
          <t>UPI</t>
        </is>
      </c>
      <c r="I2369" t="inlineStr">
        <is>
          <t>Delivered</t>
        </is>
      </c>
      <c r="J2369" t="n">
        <v>106</v>
      </c>
      <c r="K2369" t="n">
        <v>1</v>
      </c>
      <c r="L2369" s="7" t="n">
        <v>1574</v>
      </c>
      <c r="M2369" s="7" t="n">
        <v>0</v>
      </c>
    </row>
    <row r="2370">
      <c r="A2370" t="n">
        <v>510554</v>
      </c>
      <c r="B2370" s="6" t="n">
        <v>45963</v>
      </c>
      <c r="C2370" t="n">
        <v>16375</v>
      </c>
      <c r="D2370" t="inlineStr">
        <is>
          <t>Chennai</t>
        </is>
      </c>
      <c r="E2370" t="inlineStr">
        <is>
          <t>South</t>
        </is>
      </c>
      <c r="F2370" t="inlineStr">
        <is>
          <t>Organic Search</t>
        </is>
      </c>
      <c r="G2370" t="inlineStr">
        <is>
          <t>Mobile App</t>
        </is>
      </c>
      <c r="H2370" t="inlineStr">
        <is>
          <t>Cash on Delivery</t>
        </is>
      </c>
      <c r="I2370" t="inlineStr">
        <is>
          <t>Delivered</t>
        </is>
      </c>
      <c r="J2370" t="n">
        <v>113</v>
      </c>
      <c r="K2370" t="n">
        <v>1</v>
      </c>
      <c r="L2370" s="7" t="n">
        <v>1364</v>
      </c>
      <c r="M2370" s="7" t="n">
        <v>0</v>
      </c>
    </row>
    <row r="2371">
      <c r="A2371" t="n">
        <v>510555</v>
      </c>
      <c r="B2371" s="6" t="n">
        <v>45963</v>
      </c>
      <c r="C2371" t="n">
        <v>17150</v>
      </c>
      <c r="D2371" t="inlineStr">
        <is>
          <t>Bengaluru</t>
        </is>
      </c>
      <c r="E2371" t="inlineStr">
        <is>
          <t>South</t>
        </is>
      </c>
      <c r="F2371" t="inlineStr">
        <is>
          <t>Email</t>
        </is>
      </c>
      <c r="G2371" t="inlineStr">
        <is>
          <t>Mobile App</t>
        </is>
      </c>
      <c r="H2371" t="inlineStr">
        <is>
          <t>UPI</t>
        </is>
      </c>
      <c r="I2371" t="inlineStr">
        <is>
          <t>Delivered</t>
        </is>
      </c>
      <c r="J2371" t="n">
        <v>107</v>
      </c>
      <c r="K2371" t="n">
        <v>1</v>
      </c>
      <c r="L2371" s="7" t="n">
        <v>1259</v>
      </c>
      <c r="M2371" s="7" t="n">
        <v>62.95</v>
      </c>
    </row>
    <row r="2372">
      <c r="A2372" t="n">
        <v>510556</v>
      </c>
      <c r="B2372" s="6" t="n">
        <v>45963</v>
      </c>
      <c r="C2372" t="n">
        <v>13588</v>
      </c>
      <c r="D2372" t="inlineStr">
        <is>
          <t>Delhi</t>
        </is>
      </c>
      <c r="E2372" t="inlineStr">
        <is>
          <t>North</t>
        </is>
      </c>
      <c r="F2372" t="inlineStr">
        <is>
          <t>Organic Search</t>
        </is>
      </c>
      <c r="G2372" t="inlineStr">
        <is>
          <t>Mobile Web</t>
        </is>
      </c>
      <c r="H2372" t="inlineStr">
        <is>
          <t>UPI</t>
        </is>
      </c>
      <c r="I2372" t="inlineStr">
        <is>
          <t>Delivered</t>
        </is>
      </c>
      <c r="J2372" t="n">
        <v>119</v>
      </c>
      <c r="K2372" t="n">
        <v>2</v>
      </c>
      <c r="L2372" s="7" t="n">
        <v>2309</v>
      </c>
      <c r="M2372" s="7" t="n">
        <v>0</v>
      </c>
    </row>
    <row r="2373">
      <c r="A2373" t="n">
        <v>510556</v>
      </c>
      <c r="B2373" s="6" t="n">
        <v>45963</v>
      </c>
      <c r="C2373" t="n">
        <v>13588</v>
      </c>
      <c r="D2373" t="inlineStr">
        <is>
          <t>Delhi</t>
        </is>
      </c>
      <c r="E2373" t="inlineStr">
        <is>
          <t>North</t>
        </is>
      </c>
      <c r="F2373" t="inlineStr">
        <is>
          <t>Organic Search</t>
        </is>
      </c>
      <c r="G2373" t="inlineStr">
        <is>
          <t>Mobile Web</t>
        </is>
      </c>
      <c r="H2373" t="inlineStr">
        <is>
          <t>UPI</t>
        </is>
      </c>
      <c r="I2373" t="inlineStr">
        <is>
          <t>Delivered</t>
        </is>
      </c>
      <c r="J2373" t="n">
        <v>103</v>
      </c>
      <c r="K2373" t="n">
        <v>1</v>
      </c>
      <c r="L2373" s="7" t="n">
        <v>2624</v>
      </c>
      <c r="M2373" s="7" t="n">
        <v>0</v>
      </c>
    </row>
    <row r="2374">
      <c r="A2374" t="n">
        <v>510557</v>
      </c>
      <c r="B2374" s="6" t="n">
        <v>45963</v>
      </c>
      <c r="C2374" t="n">
        <v>17063</v>
      </c>
      <c r="D2374" t="inlineStr">
        <is>
          <t>Pune</t>
        </is>
      </c>
      <c r="E2374" t="inlineStr">
        <is>
          <t>West</t>
        </is>
      </c>
      <c r="F2374" t="inlineStr">
        <is>
          <t>Paid Social</t>
        </is>
      </c>
      <c r="G2374" t="inlineStr">
        <is>
          <t>Mobile App</t>
        </is>
      </c>
      <c r="H2374" t="inlineStr">
        <is>
          <t>Cash on Delivery</t>
        </is>
      </c>
      <c r="I2374" t="inlineStr">
        <is>
          <t>Cancelled</t>
        </is>
      </c>
      <c r="J2374" t="n">
        <v>117</v>
      </c>
      <c r="K2374" t="n">
        <v>1</v>
      </c>
      <c r="L2374" s="7" t="n">
        <v>3149</v>
      </c>
      <c r="M2374" s="7" t="n">
        <v>0</v>
      </c>
    </row>
    <row r="2375">
      <c r="A2375" t="n">
        <v>510557</v>
      </c>
      <c r="B2375" s="6" t="n">
        <v>45963</v>
      </c>
      <c r="C2375" t="n">
        <v>17063</v>
      </c>
      <c r="D2375" t="inlineStr">
        <is>
          <t>Pune</t>
        </is>
      </c>
      <c r="E2375" t="inlineStr">
        <is>
          <t>West</t>
        </is>
      </c>
      <c r="F2375" t="inlineStr">
        <is>
          <t>Paid Social</t>
        </is>
      </c>
      <c r="G2375" t="inlineStr">
        <is>
          <t>Mobile App</t>
        </is>
      </c>
      <c r="H2375" t="inlineStr">
        <is>
          <t>Cash on Delivery</t>
        </is>
      </c>
      <c r="I2375" t="inlineStr">
        <is>
          <t>Cancelled</t>
        </is>
      </c>
      <c r="J2375" t="n">
        <v>134</v>
      </c>
      <c r="K2375" t="n">
        <v>1</v>
      </c>
      <c r="L2375" s="7" t="n">
        <v>209</v>
      </c>
      <c r="M2375" s="7" t="n">
        <v>0</v>
      </c>
    </row>
    <row r="2376">
      <c r="A2376" t="n">
        <v>510558</v>
      </c>
      <c r="B2376" s="6" t="n">
        <v>45963</v>
      </c>
      <c r="C2376" t="n">
        <v>17115</v>
      </c>
      <c r="D2376" t="inlineStr">
        <is>
          <t>Indore</t>
        </is>
      </c>
      <c r="E2376" t="inlineStr">
        <is>
          <t>West</t>
        </is>
      </c>
      <c r="F2376" t="inlineStr">
        <is>
          <t>Organic Search</t>
        </is>
      </c>
      <c r="G2376" t="inlineStr">
        <is>
          <t>Mobile App</t>
        </is>
      </c>
      <c r="H2376" t="inlineStr">
        <is>
          <t>UPI</t>
        </is>
      </c>
      <c r="I2376" t="inlineStr">
        <is>
          <t>Delivered</t>
        </is>
      </c>
      <c r="J2376" t="n">
        <v>145</v>
      </c>
      <c r="K2376" t="n">
        <v>1</v>
      </c>
      <c r="L2376" s="7" t="n">
        <v>629</v>
      </c>
      <c r="M2376" s="7" t="n">
        <v>94.34999999999999</v>
      </c>
    </row>
    <row r="2377">
      <c r="A2377" t="n">
        <v>510558</v>
      </c>
      <c r="B2377" s="6" t="n">
        <v>45963</v>
      </c>
      <c r="C2377" t="n">
        <v>17115</v>
      </c>
      <c r="D2377" t="inlineStr">
        <is>
          <t>Indore</t>
        </is>
      </c>
      <c r="E2377" t="inlineStr">
        <is>
          <t>West</t>
        </is>
      </c>
      <c r="F2377" t="inlineStr">
        <is>
          <t>Organic Search</t>
        </is>
      </c>
      <c r="G2377" t="inlineStr">
        <is>
          <t>Mobile App</t>
        </is>
      </c>
      <c r="H2377" t="inlineStr">
        <is>
          <t>UPI</t>
        </is>
      </c>
      <c r="I2377" t="inlineStr">
        <is>
          <t>Delivered</t>
        </is>
      </c>
      <c r="J2377" t="n">
        <v>128</v>
      </c>
      <c r="K2377" t="n">
        <v>1</v>
      </c>
      <c r="L2377" s="7" t="n">
        <v>1049</v>
      </c>
      <c r="M2377" s="7" t="n">
        <v>157.35</v>
      </c>
    </row>
    <row r="2378">
      <c r="A2378" t="n">
        <v>510558</v>
      </c>
      <c r="B2378" s="6" t="n">
        <v>45963</v>
      </c>
      <c r="C2378" t="n">
        <v>17115</v>
      </c>
      <c r="D2378" t="inlineStr">
        <is>
          <t>Indore</t>
        </is>
      </c>
      <c r="E2378" t="inlineStr">
        <is>
          <t>West</t>
        </is>
      </c>
      <c r="F2378" t="inlineStr">
        <is>
          <t>Organic Search</t>
        </is>
      </c>
      <c r="G2378" t="inlineStr">
        <is>
          <t>Mobile App</t>
        </is>
      </c>
      <c r="H2378" t="inlineStr">
        <is>
          <t>UPI</t>
        </is>
      </c>
      <c r="I2378" t="inlineStr">
        <is>
          <t>Delivered</t>
        </is>
      </c>
      <c r="J2378" t="n">
        <v>117</v>
      </c>
      <c r="K2378" t="n">
        <v>1</v>
      </c>
      <c r="L2378" s="7" t="n">
        <v>3149</v>
      </c>
      <c r="M2378" s="7" t="n">
        <v>472.35</v>
      </c>
    </row>
    <row r="2379">
      <c r="A2379" t="n">
        <v>510559</v>
      </c>
      <c r="B2379" s="6" t="n">
        <v>45963</v>
      </c>
      <c r="C2379" t="n">
        <v>17144</v>
      </c>
      <c r="D2379" t="inlineStr">
        <is>
          <t>Delhi</t>
        </is>
      </c>
      <c r="E2379" t="inlineStr">
        <is>
          <t>North</t>
        </is>
      </c>
      <c r="F2379" t="inlineStr">
        <is>
          <t>Paid Social</t>
        </is>
      </c>
      <c r="G2379" t="inlineStr">
        <is>
          <t>Mobile App</t>
        </is>
      </c>
      <c r="H2379" t="inlineStr">
        <is>
          <t>Cash on Delivery</t>
        </is>
      </c>
      <c r="I2379" t="inlineStr">
        <is>
          <t>Delivered</t>
        </is>
      </c>
      <c r="J2379" t="n">
        <v>129</v>
      </c>
      <c r="K2379" t="n">
        <v>1</v>
      </c>
      <c r="L2379" s="7" t="n">
        <v>576</v>
      </c>
      <c r="M2379" s="7" t="n">
        <v>28.8</v>
      </c>
    </row>
    <row r="2380">
      <c r="A2380" t="n">
        <v>510560</v>
      </c>
      <c r="B2380" s="6" t="n">
        <v>45963</v>
      </c>
      <c r="C2380" t="n">
        <v>17155</v>
      </c>
      <c r="D2380" t="inlineStr">
        <is>
          <t>Jaipur</t>
        </is>
      </c>
      <c r="E2380" t="inlineStr">
        <is>
          <t>North</t>
        </is>
      </c>
      <c r="F2380" t="inlineStr">
        <is>
          <t>Paid Social</t>
        </is>
      </c>
      <c r="G2380" t="inlineStr">
        <is>
          <t>Mobile App</t>
        </is>
      </c>
      <c r="H2380" t="inlineStr">
        <is>
          <t>Debit Card</t>
        </is>
      </c>
      <c r="I2380" t="inlineStr">
        <is>
          <t>Delivered</t>
        </is>
      </c>
      <c r="J2380" t="n">
        <v>105</v>
      </c>
      <c r="K2380" t="n">
        <v>3</v>
      </c>
      <c r="L2380" s="7" t="n">
        <v>2414</v>
      </c>
      <c r="M2380" s="7" t="n">
        <v>0</v>
      </c>
    </row>
    <row r="2381">
      <c r="A2381" t="n">
        <v>510561</v>
      </c>
      <c r="B2381" s="6" t="n">
        <v>45963</v>
      </c>
      <c r="C2381" t="n">
        <v>13506</v>
      </c>
      <c r="D2381" t="inlineStr">
        <is>
          <t>Delhi</t>
        </is>
      </c>
      <c r="E2381" t="inlineStr">
        <is>
          <t>North</t>
        </is>
      </c>
      <c r="F2381" t="inlineStr">
        <is>
          <t>Organic Search</t>
        </is>
      </c>
      <c r="G2381" t="inlineStr">
        <is>
          <t>Mobile App</t>
        </is>
      </c>
      <c r="H2381" t="inlineStr">
        <is>
          <t>UPI</t>
        </is>
      </c>
      <c r="I2381" t="inlineStr">
        <is>
          <t>Delivered</t>
        </is>
      </c>
      <c r="J2381" t="n">
        <v>108</v>
      </c>
      <c r="K2381" t="n">
        <v>2</v>
      </c>
      <c r="L2381" s="7" t="n">
        <v>419</v>
      </c>
      <c r="M2381" s="7" t="n">
        <v>0</v>
      </c>
    </row>
    <row r="2382">
      <c r="A2382" t="n">
        <v>510562</v>
      </c>
      <c r="B2382" s="6" t="n">
        <v>45963</v>
      </c>
      <c r="C2382" t="n">
        <v>17011</v>
      </c>
      <c r="D2382" t="inlineStr">
        <is>
          <t>Bengaluru</t>
        </is>
      </c>
      <c r="E2382" t="inlineStr">
        <is>
          <t>South</t>
        </is>
      </c>
      <c r="F2382" t="inlineStr">
        <is>
          <t>Organic Search</t>
        </is>
      </c>
      <c r="G2382" t="inlineStr">
        <is>
          <t>Mobile App</t>
        </is>
      </c>
      <c r="H2382" t="inlineStr">
        <is>
          <t>Cash on Delivery</t>
        </is>
      </c>
      <c r="I2382" t="inlineStr">
        <is>
          <t>Delivered</t>
        </is>
      </c>
      <c r="J2382" t="n">
        <v>146</v>
      </c>
      <c r="K2382" t="n">
        <v>1</v>
      </c>
      <c r="L2382" s="7" t="n">
        <v>4724</v>
      </c>
      <c r="M2382" s="7" t="n">
        <v>0</v>
      </c>
    </row>
    <row r="2383">
      <c r="A2383" t="n">
        <v>510562</v>
      </c>
      <c r="B2383" s="6" t="n">
        <v>45963</v>
      </c>
      <c r="C2383" t="n">
        <v>17011</v>
      </c>
      <c r="D2383" t="inlineStr">
        <is>
          <t>Bengaluru</t>
        </is>
      </c>
      <c r="E2383" t="inlineStr">
        <is>
          <t>South</t>
        </is>
      </c>
      <c r="F2383" t="inlineStr">
        <is>
          <t>Organic Search</t>
        </is>
      </c>
      <c r="G2383" t="inlineStr">
        <is>
          <t>Mobile App</t>
        </is>
      </c>
      <c r="H2383" t="inlineStr">
        <is>
          <t>Cash on Delivery</t>
        </is>
      </c>
      <c r="I2383" t="inlineStr">
        <is>
          <t>Delivered</t>
        </is>
      </c>
      <c r="J2383" t="n">
        <v>133</v>
      </c>
      <c r="K2383" t="n">
        <v>1</v>
      </c>
      <c r="L2383" s="7" t="n">
        <v>419</v>
      </c>
      <c r="M2383" s="7" t="n">
        <v>0</v>
      </c>
    </row>
    <row r="2384">
      <c r="A2384" t="n">
        <v>510563</v>
      </c>
      <c r="B2384" s="6" t="n">
        <v>45963</v>
      </c>
      <c r="C2384" t="n">
        <v>16682</v>
      </c>
      <c r="D2384" t="inlineStr">
        <is>
          <t>Chandigarh</t>
        </is>
      </c>
      <c r="E2384" t="inlineStr">
        <is>
          <t>North</t>
        </is>
      </c>
      <c r="F2384" t="inlineStr">
        <is>
          <t>Email</t>
        </is>
      </c>
      <c r="G2384" t="inlineStr">
        <is>
          <t>Mobile App</t>
        </is>
      </c>
      <c r="H2384" t="inlineStr">
        <is>
          <t>UPI</t>
        </is>
      </c>
      <c r="I2384" t="inlineStr">
        <is>
          <t>Delivered</t>
        </is>
      </c>
      <c r="J2384" t="n">
        <v>111</v>
      </c>
      <c r="K2384" t="n">
        <v>1</v>
      </c>
      <c r="L2384" s="7" t="n">
        <v>524</v>
      </c>
      <c r="M2384" s="7" t="n">
        <v>0</v>
      </c>
    </row>
    <row r="2385">
      <c r="A2385" t="n">
        <v>510564</v>
      </c>
      <c r="B2385" s="6" t="n">
        <v>45963</v>
      </c>
      <c r="C2385" t="n">
        <v>15922</v>
      </c>
      <c r="D2385" t="inlineStr">
        <is>
          <t>Bengaluru</t>
        </is>
      </c>
      <c r="E2385" t="inlineStr">
        <is>
          <t>South</t>
        </is>
      </c>
      <c r="F2385" t="inlineStr">
        <is>
          <t>Organic Search</t>
        </is>
      </c>
      <c r="G2385" t="inlineStr">
        <is>
          <t>Mobile Web</t>
        </is>
      </c>
      <c r="H2385" t="inlineStr">
        <is>
          <t>UPI</t>
        </is>
      </c>
      <c r="I2385" t="inlineStr">
        <is>
          <t>Delivered</t>
        </is>
      </c>
      <c r="J2385" t="n">
        <v>116</v>
      </c>
      <c r="K2385" t="n">
        <v>1</v>
      </c>
      <c r="L2385" s="7" t="n">
        <v>2624</v>
      </c>
      <c r="M2385" s="7" t="n">
        <v>0</v>
      </c>
    </row>
    <row r="2386">
      <c r="A2386" t="n">
        <v>510565</v>
      </c>
      <c r="B2386" s="6" t="n">
        <v>45963</v>
      </c>
      <c r="C2386" t="n">
        <v>14329</v>
      </c>
      <c r="D2386" t="inlineStr">
        <is>
          <t>Chandigarh</t>
        </is>
      </c>
      <c r="E2386" t="inlineStr">
        <is>
          <t>North</t>
        </is>
      </c>
      <c r="F2386" t="inlineStr">
        <is>
          <t>Organic Search</t>
        </is>
      </c>
      <c r="G2386" t="inlineStr">
        <is>
          <t>Desktop</t>
        </is>
      </c>
      <c r="H2386" t="inlineStr">
        <is>
          <t>Net Banking</t>
        </is>
      </c>
      <c r="I2386" t="inlineStr">
        <is>
          <t>Delivered</t>
        </is>
      </c>
      <c r="J2386" t="n">
        <v>109</v>
      </c>
      <c r="K2386" t="n">
        <v>1</v>
      </c>
      <c r="L2386" s="7" t="n">
        <v>4199</v>
      </c>
      <c r="M2386" s="7" t="n">
        <v>0</v>
      </c>
    </row>
    <row r="2387">
      <c r="A2387" t="n">
        <v>510566</v>
      </c>
      <c r="B2387" s="6" t="n">
        <v>45963</v>
      </c>
      <c r="C2387" t="n">
        <v>17012</v>
      </c>
      <c r="D2387" t="inlineStr">
        <is>
          <t>Chandigarh</t>
        </is>
      </c>
      <c r="E2387" t="inlineStr">
        <is>
          <t>North</t>
        </is>
      </c>
      <c r="F2387" t="inlineStr">
        <is>
          <t>Email</t>
        </is>
      </c>
      <c r="G2387" t="inlineStr">
        <is>
          <t>Desktop</t>
        </is>
      </c>
      <c r="H2387" t="inlineStr">
        <is>
          <t>Cash on Delivery</t>
        </is>
      </c>
      <c r="I2387" t="inlineStr">
        <is>
          <t>Delivered</t>
        </is>
      </c>
      <c r="J2387" t="n">
        <v>123</v>
      </c>
      <c r="K2387" t="n">
        <v>1</v>
      </c>
      <c r="L2387" s="7" t="n">
        <v>3464</v>
      </c>
      <c r="M2387" s="7" t="n">
        <v>519.6</v>
      </c>
    </row>
    <row r="2388">
      <c r="A2388" t="n">
        <v>510566</v>
      </c>
      <c r="B2388" s="6" t="n">
        <v>45963</v>
      </c>
      <c r="C2388" t="n">
        <v>17012</v>
      </c>
      <c r="D2388" t="inlineStr">
        <is>
          <t>Chandigarh</t>
        </is>
      </c>
      <c r="E2388" t="inlineStr">
        <is>
          <t>North</t>
        </is>
      </c>
      <c r="F2388" t="inlineStr">
        <is>
          <t>Email</t>
        </is>
      </c>
      <c r="G2388" t="inlineStr">
        <is>
          <t>Desktop</t>
        </is>
      </c>
      <c r="H2388" t="inlineStr">
        <is>
          <t>Cash on Delivery</t>
        </is>
      </c>
      <c r="I2388" t="inlineStr">
        <is>
          <t>Delivered</t>
        </is>
      </c>
      <c r="J2388" t="n">
        <v>107</v>
      </c>
      <c r="K2388" t="n">
        <v>2</v>
      </c>
      <c r="L2388" s="7" t="n">
        <v>1259</v>
      </c>
      <c r="M2388" s="7" t="n">
        <v>377.7</v>
      </c>
    </row>
    <row r="2389">
      <c r="A2389" t="n">
        <v>510566</v>
      </c>
      <c r="B2389" s="6" t="n">
        <v>45963</v>
      </c>
      <c r="C2389" t="n">
        <v>17012</v>
      </c>
      <c r="D2389" t="inlineStr">
        <is>
          <t>Chandigarh</t>
        </is>
      </c>
      <c r="E2389" t="inlineStr">
        <is>
          <t>North</t>
        </is>
      </c>
      <c r="F2389" t="inlineStr">
        <is>
          <t>Email</t>
        </is>
      </c>
      <c r="G2389" t="inlineStr">
        <is>
          <t>Desktop</t>
        </is>
      </c>
      <c r="H2389" t="inlineStr">
        <is>
          <t>Cash on Delivery</t>
        </is>
      </c>
      <c r="I2389" t="inlineStr">
        <is>
          <t>Delivered</t>
        </is>
      </c>
      <c r="J2389" t="n">
        <v>112</v>
      </c>
      <c r="K2389" t="n">
        <v>3</v>
      </c>
      <c r="L2389" s="7" t="n">
        <v>1574</v>
      </c>
      <c r="M2389" s="7" t="n">
        <v>708.3</v>
      </c>
    </row>
    <row r="2390">
      <c r="A2390" t="n">
        <v>510566</v>
      </c>
      <c r="B2390" s="6" t="n">
        <v>45963</v>
      </c>
      <c r="C2390" t="n">
        <v>17012</v>
      </c>
      <c r="D2390" t="inlineStr">
        <is>
          <t>Chandigarh</t>
        </is>
      </c>
      <c r="E2390" t="inlineStr">
        <is>
          <t>North</t>
        </is>
      </c>
      <c r="F2390" t="inlineStr">
        <is>
          <t>Email</t>
        </is>
      </c>
      <c r="G2390" t="inlineStr">
        <is>
          <t>Desktop</t>
        </is>
      </c>
      <c r="H2390" t="inlineStr">
        <is>
          <t>Cash on Delivery</t>
        </is>
      </c>
      <c r="I2390" t="inlineStr">
        <is>
          <t>Delivered</t>
        </is>
      </c>
      <c r="J2390" t="n">
        <v>131</v>
      </c>
      <c r="K2390" t="n">
        <v>1</v>
      </c>
      <c r="L2390" s="7" t="n">
        <v>314</v>
      </c>
      <c r="M2390" s="7" t="n">
        <v>47.1</v>
      </c>
    </row>
    <row r="2391">
      <c r="A2391" t="n">
        <v>510567</v>
      </c>
      <c r="B2391" s="6" t="n">
        <v>45963</v>
      </c>
      <c r="C2391" t="n">
        <v>17151</v>
      </c>
      <c r="D2391" t="inlineStr">
        <is>
          <t>Kolkata</t>
        </is>
      </c>
      <c r="E2391" t="inlineStr">
        <is>
          <t>East</t>
        </is>
      </c>
      <c r="F2391" t="inlineStr">
        <is>
          <t>Paid Social</t>
        </is>
      </c>
      <c r="G2391" t="inlineStr">
        <is>
          <t>Mobile App</t>
        </is>
      </c>
      <c r="H2391" t="inlineStr">
        <is>
          <t>Net Banking</t>
        </is>
      </c>
      <c r="I2391" t="inlineStr">
        <is>
          <t>Delivered</t>
        </is>
      </c>
      <c r="J2391" t="n">
        <v>122</v>
      </c>
      <c r="K2391" t="n">
        <v>1</v>
      </c>
      <c r="L2391" s="7" t="n">
        <v>1994</v>
      </c>
      <c r="M2391" s="7" t="n">
        <v>0</v>
      </c>
    </row>
    <row r="2392">
      <c r="A2392" t="n">
        <v>510567</v>
      </c>
      <c r="B2392" s="6" t="n">
        <v>45963</v>
      </c>
      <c r="C2392" t="n">
        <v>17151</v>
      </c>
      <c r="D2392" t="inlineStr">
        <is>
          <t>Kolkata</t>
        </is>
      </c>
      <c r="E2392" t="inlineStr">
        <is>
          <t>East</t>
        </is>
      </c>
      <c r="F2392" t="inlineStr">
        <is>
          <t>Paid Social</t>
        </is>
      </c>
      <c r="G2392" t="inlineStr">
        <is>
          <t>Mobile App</t>
        </is>
      </c>
      <c r="H2392" t="inlineStr">
        <is>
          <t>Net Banking</t>
        </is>
      </c>
      <c r="I2392" t="inlineStr">
        <is>
          <t>Delivered</t>
        </is>
      </c>
      <c r="J2392" t="n">
        <v>103</v>
      </c>
      <c r="K2392" t="n">
        <v>1</v>
      </c>
      <c r="L2392" s="7" t="n">
        <v>2624</v>
      </c>
      <c r="M2392" s="7" t="n">
        <v>0</v>
      </c>
    </row>
    <row r="2393">
      <c r="A2393" t="n">
        <v>510568</v>
      </c>
      <c r="B2393" s="6" t="n">
        <v>45964</v>
      </c>
      <c r="C2393" t="n">
        <v>17157</v>
      </c>
      <c r="D2393" t="inlineStr">
        <is>
          <t>Kochi</t>
        </is>
      </c>
      <c r="E2393" t="inlineStr">
        <is>
          <t>South</t>
        </is>
      </c>
      <c r="F2393" t="inlineStr">
        <is>
          <t>Organic Search</t>
        </is>
      </c>
      <c r="G2393" t="inlineStr">
        <is>
          <t>Desktop</t>
        </is>
      </c>
      <c r="H2393" t="inlineStr">
        <is>
          <t>Cash on Delivery</t>
        </is>
      </c>
      <c r="I2393" t="inlineStr">
        <is>
          <t>Delivered</t>
        </is>
      </c>
      <c r="J2393" t="n">
        <v>141</v>
      </c>
      <c r="K2393" t="n">
        <v>1</v>
      </c>
      <c r="L2393" s="7" t="n">
        <v>261</v>
      </c>
      <c r="M2393" s="7" t="n">
        <v>0</v>
      </c>
    </row>
    <row r="2394">
      <c r="A2394" t="n">
        <v>510569</v>
      </c>
      <c r="B2394" s="6" t="n">
        <v>45964</v>
      </c>
      <c r="C2394" t="n">
        <v>17149</v>
      </c>
      <c r="D2394" t="inlineStr">
        <is>
          <t>Indore</t>
        </is>
      </c>
      <c r="E2394" t="inlineStr">
        <is>
          <t>West</t>
        </is>
      </c>
      <c r="F2394" t="inlineStr">
        <is>
          <t>Organic Search</t>
        </is>
      </c>
      <c r="G2394" t="inlineStr">
        <is>
          <t>Mobile Web</t>
        </is>
      </c>
      <c r="H2394" t="inlineStr">
        <is>
          <t>Credit Card</t>
        </is>
      </c>
      <c r="I2394" t="inlineStr">
        <is>
          <t>Delivered</t>
        </is>
      </c>
      <c r="J2394" t="n">
        <v>112</v>
      </c>
      <c r="K2394" t="n">
        <v>1</v>
      </c>
      <c r="L2394" s="7" t="n">
        <v>1574</v>
      </c>
      <c r="M2394" s="7" t="n">
        <v>236.1</v>
      </c>
    </row>
    <row r="2395">
      <c r="A2395" t="n">
        <v>510569</v>
      </c>
      <c r="B2395" s="6" t="n">
        <v>45964</v>
      </c>
      <c r="C2395" t="n">
        <v>17149</v>
      </c>
      <c r="D2395" t="inlineStr">
        <is>
          <t>Indore</t>
        </is>
      </c>
      <c r="E2395" t="inlineStr">
        <is>
          <t>West</t>
        </is>
      </c>
      <c r="F2395" t="inlineStr">
        <is>
          <t>Organic Search</t>
        </is>
      </c>
      <c r="G2395" t="inlineStr">
        <is>
          <t>Mobile Web</t>
        </is>
      </c>
      <c r="H2395" t="inlineStr">
        <is>
          <t>Credit Card</t>
        </is>
      </c>
      <c r="I2395" t="inlineStr">
        <is>
          <t>Delivered</t>
        </is>
      </c>
      <c r="J2395" t="n">
        <v>134</v>
      </c>
      <c r="K2395" t="n">
        <v>1</v>
      </c>
      <c r="L2395" s="7" t="n">
        <v>209</v>
      </c>
      <c r="M2395" s="7" t="n">
        <v>31.35</v>
      </c>
    </row>
    <row r="2396">
      <c r="A2396" t="n">
        <v>510570</v>
      </c>
      <c r="B2396" s="6" t="n">
        <v>45964</v>
      </c>
      <c r="C2396" t="n">
        <v>17101</v>
      </c>
      <c r="D2396" t="inlineStr">
        <is>
          <t>Kolkata</t>
        </is>
      </c>
      <c r="E2396" t="inlineStr">
        <is>
          <t>East</t>
        </is>
      </c>
      <c r="F2396" t="inlineStr">
        <is>
          <t>Paid Search</t>
        </is>
      </c>
      <c r="G2396" t="inlineStr">
        <is>
          <t>Mobile App</t>
        </is>
      </c>
      <c r="H2396" t="inlineStr">
        <is>
          <t>Cash on Delivery</t>
        </is>
      </c>
      <c r="I2396" t="inlineStr">
        <is>
          <t>Delivered</t>
        </is>
      </c>
      <c r="J2396" t="n">
        <v>130</v>
      </c>
      <c r="K2396" t="n">
        <v>1</v>
      </c>
      <c r="L2396" s="7" t="n">
        <v>734</v>
      </c>
      <c r="M2396" s="7" t="n">
        <v>0</v>
      </c>
    </row>
    <row r="2397">
      <c r="A2397" t="n">
        <v>510570</v>
      </c>
      <c r="B2397" s="6" t="n">
        <v>45964</v>
      </c>
      <c r="C2397" t="n">
        <v>17101</v>
      </c>
      <c r="D2397" t="inlineStr">
        <is>
          <t>Kolkata</t>
        </is>
      </c>
      <c r="E2397" t="inlineStr">
        <is>
          <t>East</t>
        </is>
      </c>
      <c r="F2397" t="inlineStr">
        <is>
          <t>Paid Search</t>
        </is>
      </c>
      <c r="G2397" t="inlineStr">
        <is>
          <t>Mobile App</t>
        </is>
      </c>
      <c r="H2397" t="inlineStr">
        <is>
          <t>Cash on Delivery</t>
        </is>
      </c>
      <c r="I2397" t="inlineStr">
        <is>
          <t>Delivered</t>
        </is>
      </c>
      <c r="J2397" t="n">
        <v>135</v>
      </c>
      <c r="K2397" t="n">
        <v>1</v>
      </c>
      <c r="L2397" s="7" t="n">
        <v>1574</v>
      </c>
      <c r="M2397" s="7" t="n">
        <v>0</v>
      </c>
    </row>
    <row r="2398">
      <c r="A2398" t="n">
        <v>510571</v>
      </c>
      <c r="B2398" s="6" t="n">
        <v>45964</v>
      </c>
      <c r="C2398" t="n">
        <v>17109</v>
      </c>
      <c r="D2398" t="inlineStr">
        <is>
          <t>Lucknow</t>
        </is>
      </c>
      <c r="E2398" t="inlineStr">
        <is>
          <t>North</t>
        </is>
      </c>
      <c r="F2398" t="inlineStr">
        <is>
          <t>Referral</t>
        </is>
      </c>
      <c r="G2398" t="inlineStr">
        <is>
          <t>Mobile App</t>
        </is>
      </c>
      <c r="H2398" t="inlineStr">
        <is>
          <t>Credit Card</t>
        </is>
      </c>
      <c r="I2398" t="inlineStr">
        <is>
          <t>Returned</t>
        </is>
      </c>
      <c r="J2398" t="n">
        <v>130</v>
      </c>
      <c r="K2398" t="n">
        <v>1</v>
      </c>
      <c r="L2398" s="7" t="n">
        <v>734</v>
      </c>
      <c r="M2398" s="7" t="n">
        <v>0</v>
      </c>
    </row>
    <row r="2399">
      <c r="A2399" t="n">
        <v>510572</v>
      </c>
      <c r="B2399" s="6" t="n">
        <v>45964</v>
      </c>
      <c r="C2399" t="n">
        <v>16081</v>
      </c>
      <c r="D2399" t="inlineStr">
        <is>
          <t>Kolkata</t>
        </is>
      </c>
      <c r="E2399" t="inlineStr">
        <is>
          <t>East</t>
        </is>
      </c>
      <c r="F2399" t="inlineStr">
        <is>
          <t>Referral</t>
        </is>
      </c>
      <c r="G2399" t="inlineStr">
        <is>
          <t>Mobile App</t>
        </is>
      </c>
      <c r="H2399" t="inlineStr">
        <is>
          <t>UPI</t>
        </is>
      </c>
      <c r="I2399" t="inlineStr">
        <is>
          <t>Delivered</t>
        </is>
      </c>
      <c r="J2399" t="n">
        <v>116</v>
      </c>
      <c r="K2399" t="n">
        <v>1</v>
      </c>
      <c r="L2399" s="7" t="n">
        <v>2624</v>
      </c>
      <c r="M2399" s="7" t="n">
        <v>0</v>
      </c>
    </row>
    <row r="2400">
      <c r="A2400" t="n">
        <v>510572</v>
      </c>
      <c r="B2400" s="6" t="n">
        <v>45964</v>
      </c>
      <c r="C2400" t="n">
        <v>16081</v>
      </c>
      <c r="D2400" t="inlineStr">
        <is>
          <t>Kolkata</t>
        </is>
      </c>
      <c r="E2400" t="inlineStr">
        <is>
          <t>East</t>
        </is>
      </c>
      <c r="F2400" t="inlineStr">
        <is>
          <t>Referral</t>
        </is>
      </c>
      <c r="G2400" t="inlineStr">
        <is>
          <t>Mobile App</t>
        </is>
      </c>
      <c r="H2400" t="inlineStr">
        <is>
          <t>UPI</t>
        </is>
      </c>
      <c r="I2400" t="inlineStr">
        <is>
          <t>Delivered</t>
        </is>
      </c>
      <c r="J2400" t="n">
        <v>109</v>
      </c>
      <c r="K2400" t="n">
        <v>1</v>
      </c>
      <c r="L2400" s="7" t="n">
        <v>4199</v>
      </c>
      <c r="M2400" s="7" t="n">
        <v>0</v>
      </c>
    </row>
    <row r="2401">
      <c r="A2401" t="n">
        <v>510572</v>
      </c>
      <c r="B2401" s="6" t="n">
        <v>45964</v>
      </c>
      <c r="C2401" t="n">
        <v>16081</v>
      </c>
      <c r="D2401" t="inlineStr">
        <is>
          <t>Kolkata</t>
        </is>
      </c>
      <c r="E2401" t="inlineStr">
        <is>
          <t>East</t>
        </is>
      </c>
      <c r="F2401" t="inlineStr">
        <is>
          <t>Referral</t>
        </is>
      </c>
      <c r="G2401" t="inlineStr">
        <is>
          <t>Mobile App</t>
        </is>
      </c>
      <c r="H2401" t="inlineStr">
        <is>
          <t>UPI</t>
        </is>
      </c>
      <c r="I2401" t="inlineStr">
        <is>
          <t>Delivered</t>
        </is>
      </c>
      <c r="J2401" t="n">
        <v>123</v>
      </c>
      <c r="K2401" t="n">
        <v>1</v>
      </c>
      <c r="L2401" s="7" t="n">
        <v>3464</v>
      </c>
      <c r="M2401" s="7" t="n">
        <v>0</v>
      </c>
    </row>
    <row r="2402">
      <c r="A2402" t="n">
        <v>510573</v>
      </c>
      <c r="B2402" s="6" t="n">
        <v>45964</v>
      </c>
      <c r="C2402" t="n">
        <v>15801</v>
      </c>
      <c r="D2402" t="inlineStr">
        <is>
          <t>Jaipur</t>
        </is>
      </c>
      <c r="E2402" t="inlineStr">
        <is>
          <t>North</t>
        </is>
      </c>
      <c r="F2402" t="inlineStr">
        <is>
          <t>Referral</t>
        </is>
      </c>
      <c r="G2402" t="inlineStr">
        <is>
          <t>Mobile Web</t>
        </is>
      </c>
      <c r="H2402" t="inlineStr">
        <is>
          <t>Debit Card</t>
        </is>
      </c>
      <c r="I2402" t="inlineStr">
        <is>
          <t>Delivered</t>
        </is>
      </c>
      <c r="J2402" t="n">
        <v>126</v>
      </c>
      <c r="K2402" t="n">
        <v>1</v>
      </c>
      <c r="L2402" s="7" t="n">
        <v>471</v>
      </c>
      <c r="M2402" s="7" t="n">
        <v>0</v>
      </c>
    </row>
    <row r="2403">
      <c r="A2403" t="n">
        <v>510573</v>
      </c>
      <c r="B2403" s="6" t="n">
        <v>45964</v>
      </c>
      <c r="C2403" t="n">
        <v>15801</v>
      </c>
      <c r="D2403" t="inlineStr">
        <is>
          <t>Jaipur</t>
        </is>
      </c>
      <c r="E2403" t="inlineStr">
        <is>
          <t>North</t>
        </is>
      </c>
      <c r="F2403" t="inlineStr">
        <is>
          <t>Referral</t>
        </is>
      </c>
      <c r="G2403" t="inlineStr">
        <is>
          <t>Mobile Web</t>
        </is>
      </c>
      <c r="H2403" t="inlineStr">
        <is>
          <t>Debit Card</t>
        </is>
      </c>
      <c r="I2403" t="inlineStr">
        <is>
          <t>Delivered</t>
        </is>
      </c>
      <c r="J2403" t="n">
        <v>109</v>
      </c>
      <c r="K2403" t="n">
        <v>1</v>
      </c>
      <c r="L2403" s="7" t="n">
        <v>4199</v>
      </c>
      <c r="M2403" s="7" t="n">
        <v>0</v>
      </c>
    </row>
    <row r="2404">
      <c r="A2404" t="n">
        <v>510574</v>
      </c>
      <c r="B2404" s="6" t="n">
        <v>45964</v>
      </c>
      <c r="C2404" t="n">
        <v>17002</v>
      </c>
      <c r="D2404" t="inlineStr">
        <is>
          <t>Mumbai</t>
        </is>
      </c>
      <c r="E2404" t="inlineStr">
        <is>
          <t>West</t>
        </is>
      </c>
      <c r="F2404" t="inlineStr">
        <is>
          <t>Organic Search</t>
        </is>
      </c>
      <c r="G2404" t="inlineStr">
        <is>
          <t>Mobile App</t>
        </is>
      </c>
      <c r="H2404" t="inlineStr">
        <is>
          <t>UPI</t>
        </is>
      </c>
      <c r="I2404" t="inlineStr">
        <is>
          <t>Returned</t>
        </is>
      </c>
      <c r="J2404" t="n">
        <v>128</v>
      </c>
      <c r="K2404" t="n">
        <v>1</v>
      </c>
      <c r="L2404" s="7" t="n">
        <v>1049</v>
      </c>
      <c r="M2404" s="7" t="n">
        <v>157.35</v>
      </c>
    </row>
    <row r="2405">
      <c r="A2405" t="n">
        <v>510574</v>
      </c>
      <c r="B2405" s="6" t="n">
        <v>45964</v>
      </c>
      <c r="C2405" t="n">
        <v>17002</v>
      </c>
      <c r="D2405" t="inlineStr">
        <is>
          <t>Mumbai</t>
        </is>
      </c>
      <c r="E2405" t="inlineStr">
        <is>
          <t>West</t>
        </is>
      </c>
      <c r="F2405" t="inlineStr">
        <is>
          <t>Organic Search</t>
        </is>
      </c>
      <c r="G2405" t="inlineStr">
        <is>
          <t>Mobile App</t>
        </is>
      </c>
      <c r="H2405" t="inlineStr">
        <is>
          <t>UPI</t>
        </is>
      </c>
      <c r="I2405" t="inlineStr">
        <is>
          <t>Returned</t>
        </is>
      </c>
      <c r="J2405" t="n">
        <v>101</v>
      </c>
      <c r="K2405" t="n">
        <v>2</v>
      </c>
      <c r="L2405" s="7" t="n">
        <v>2099</v>
      </c>
      <c r="M2405" s="7" t="n">
        <v>629.7</v>
      </c>
    </row>
    <row r="2406">
      <c r="A2406" t="n">
        <v>510575</v>
      </c>
      <c r="B2406" s="6" t="n">
        <v>45964</v>
      </c>
      <c r="C2406" t="n">
        <v>16163</v>
      </c>
      <c r="D2406" t="inlineStr">
        <is>
          <t>Noida</t>
        </is>
      </c>
      <c r="E2406" t="inlineStr">
        <is>
          <t>North</t>
        </is>
      </c>
      <c r="F2406" t="inlineStr">
        <is>
          <t>Organic Search</t>
        </is>
      </c>
      <c r="G2406" t="inlineStr">
        <is>
          <t>Mobile App</t>
        </is>
      </c>
      <c r="H2406" t="inlineStr">
        <is>
          <t>UPI</t>
        </is>
      </c>
      <c r="I2406" t="inlineStr">
        <is>
          <t>Delivered</t>
        </is>
      </c>
      <c r="J2406" t="n">
        <v>113</v>
      </c>
      <c r="K2406" t="n">
        <v>1</v>
      </c>
      <c r="L2406" s="7" t="n">
        <v>1364</v>
      </c>
      <c r="M2406" s="7" t="n">
        <v>0</v>
      </c>
    </row>
    <row r="2407">
      <c r="A2407" t="n">
        <v>510576</v>
      </c>
      <c r="B2407" s="6" t="n">
        <v>45964</v>
      </c>
      <c r="C2407" t="n">
        <v>15186</v>
      </c>
      <c r="D2407" t="inlineStr">
        <is>
          <t>Delhi</t>
        </is>
      </c>
      <c r="E2407" t="inlineStr">
        <is>
          <t>North</t>
        </is>
      </c>
      <c r="F2407" t="inlineStr">
        <is>
          <t>Referral</t>
        </is>
      </c>
      <c r="G2407" t="inlineStr">
        <is>
          <t>Mobile Web</t>
        </is>
      </c>
      <c r="H2407" t="inlineStr">
        <is>
          <t>Debit Card</t>
        </is>
      </c>
      <c r="I2407" t="inlineStr">
        <is>
          <t>Cancelled</t>
        </is>
      </c>
      <c r="J2407" t="n">
        <v>102</v>
      </c>
      <c r="K2407" t="n">
        <v>1</v>
      </c>
      <c r="L2407" s="7" t="n">
        <v>3674</v>
      </c>
      <c r="M2407" s="7" t="n">
        <v>0</v>
      </c>
    </row>
    <row r="2408">
      <c r="A2408" t="n">
        <v>510577</v>
      </c>
      <c r="B2408" s="6" t="n">
        <v>45964</v>
      </c>
      <c r="C2408" t="n">
        <v>17058</v>
      </c>
      <c r="D2408" t="inlineStr">
        <is>
          <t>Hyderabad</t>
        </is>
      </c>
      <c r="E2408" t="inlineStr">
        <is>
          <t>South</t>
        </is>
      </c>
      <c r="F2408" t="inlineStr">
        <is>
          <t>Paid Social</t>
        </is>
      </c>
      <c r="G2408" t="inlineStr">
        <is>
          <t>Mobile App</t>
        </is>
      </c>
      <c r="H2408" t="inlineStr">
        <is>
          <t>Credit Card</t>
        </is>
      </c>
      <c r="I2408" t="inlineStr">
        <is>
          <t>Returned</t>
        </is>
      </c>
      <c r="J2408" t="n">
        <v>147</v>
      </c>
      <c r="K2408" t="n">
        <v>1</v>
      </c>
      <c r="L2408" s="7" t="n">
        <v>1364</v>
      </c>
      <c r="M2408" s="7" t="n">
        <v>204.6</v>
      </c>
    </row>
    <row r="2409">
      <c r="A2409" t="n">
        <v>510577</v>
      </c>
      <c r="B2409" s="6" t="n">
        <v>45964</v>
      </c>
      <c r="C2409" t="n">
        <v>17058</v>
      </c>
      <c r="D2409" t="inlineStr">
        <is>
          <t>Hyderabad</t>
        </is>
      </c>
      <c r="E2409" t="inlineStr">
        <is>
          <t>South</t>
        </is>
      </c>
      <c r="F2409" t="inlineStr">
        <is>
          <t>Paid Social</t>
        </is>
      </c>
      <c r="G2409" t="inlineStr">
        <is>
          <t>Mobile App</t>
        </is>
      </c>
      <c r="H2409" t="inlineStr">
        <is>
          <t>Credit Card</t>
        </is>
      </c>
      <c r="I2409" t="inlineStr">
        <is>
          <t>Returned</t>
        </is>
      </c>
      <c r="J2409" t="n">
        <v>137</v>
      </c>
      <c r="K2409" t="n">
        <v>2</v>
      </c>
      <c r="L2409" s="7" t="n">
        <v>261</v>
      </c>
      <c r="M2409" s="7" t="n">
        <v>78.3</v>
      </c>
    </row>
    <row r="2410">
      <c r="A2410" t="n">
        <v>510577</v>
      </c>
      <c r="B2410" s="6" t="n">
        <v>45964</v>
      </c>
      <c r="C2410" t="n">
        <v>17058</v>
      </c>
      <c r="D2410" t="inlineStr">
        <is>
          <t>Hyderabad</t>
        </is>
      </c>
      <c r="E2410" t="inlineStr">
        <is>
          <t>South</t>
        </is>
      </c>
      <c r="F2410" t="inlineStr">
        <is>
          <t>Paid Social</t>
        </is>
      </c>
      <c r="G2410" t="inlineStr">
        <is>
          <t>Mobile App</t>
        </is>
      </c>
      <c r="H2410" t="inlineStr">
        <is>
          <t>Credit Card</t>
        </is>
      </c>
      <c r="I2410" t="inlineStr">
        <is>
          <t>Returned</t>
        </is>
      </c>
      <c r="J2410" t="n">
        <v>119</v>
      </c>
      <c r="K2410" t="n">
        <v>1</v>
      </c>
      <c r="L2410" s="7" t="n">
        <v>2309</v>
      </c>
      <c r="M2410" s="7" t="n">
        <v>346.35</v>
      </c>
    </row>
    <row r="2411">
      <c r="A2411" t="n">
        <v>510578</v>
      </c>
      <c r="B2411" s="6" t="n">
        <v>45964</v>
      </c>
      <c r="C2411" t="n">
        <v>17173</v>
      </c>
      <c r="D2411" t="inlineStr">
        <is>
          <t>Pune</t>
        </is>
      </c>
      <c r="E2411" t="inlineStr">
        <is>
          <t>West</t>
        </is>
      </c>
      <c r="F2411" t="inlineStr">
        <is>
          <t>Organic Search</t>
        </is>
      </c>
      <c r="G2411" t="inlineStr">
        <is>
          <t>Mobile Web</t>
        </is>
      </c>
      <c r="H2411" t="inlineStr">
        <is>
          <t>UPI</t>
        </is>
      </c>
      <c r="I2411" t="inlineStr">
        <is>
          <t>Delivered</t>
        </is>
      </c>
      <c r="J2411" t="n">
        <v>147</v>
      </c>
      <c r="K2411" t="n">
        <v>1</v>
      </c>
      <c r="L2411" s="7" t="n">
        <v>1364</v>
      </c>
      <c r="M2411" s="7" t="n">
        <v>204.6</v>
      </c>
    </row>
    <row r="2412">
      <c r="A2412" t="n">
        <v>510579</v>
      </c>
      <c r="B2412" s="6" t="n">
        <v>45964</v>
      </c>
      <c r="C2412" t="n">
        <v>14056</v>
      </c>
      <c r="D2412" t="inlineStr">
        <is>
          <t>Pune</t>
        </is>
      </c>
      <c r="E2412" t="inlineStr">
        <is>
          <t>West</t>
        </is>
      </c>
      <c r="F2412" t="inlineStr">
        <is>
          <t>Email</t>
        </is>
      </c>
      <c r="G2412" t="inlineStr">
        <is>
          <t>Mobile App</t>
        </is>
      </c>
      <c r="H2412" t="inlineStr">
        <is>
          <t>UPI</t>
        </is>
      </c>
      <c r="I2412" t="inlineStr">
        <is>
          <t>Delivered</t>
        </is>
      </c>
      <c r="J2412" t="n">
        <v>101</v>
      </c>
      <c r="K2412" t="n">
        <v>1</v>
      </c>
      <c r="L2412" s="7" t="n">
        <v>2099</v>
      </c>
      <c r="M2412" s="7" t="n">
        <v>0</v>
      </c>
    </row>
    <row r="2413">
      <c r="A2413" t="n">
        <v>510580</v>
      </c>
      <c r="B2413" s="6" t="n">
        <v>45964</v>
      </c>
      <c r="C2413" t="n">
        <v>16934</v>
      </c>
      <c r="D2413" t="inlineStr">
        <is>
          <t>Chennai</t>
        </is>
      </c>
      <c r="E2413" t="inlineStr">
        <is>
          <t>South</t>
        </is>
      </c>
      <c r="F2413" t="inlineStr">
        <is>
          <t>Organic Search</t>
        </is>
      </c>
      <c r="G2413" t="inlineStr">
        <is>
          <t>Mobile App</t>
        </is>
      </c>
      <c r="H2413" t="inlineStr">
        <is>
          <t>UPI</t>
        </is>
      </c>
      <c r="I2413" t="inlineStr">
        <is>
          <t>Delivered</t>
        </is>
      </c>
      <c r="J2413" t="n">
        <v>104</v>
      </c>
      <c r="K2413" t="n">
        <v>1</v>
      </c>
      <c r="L2413" s="7" t="n">
        <v>5249</v>
      </c>
      <c r="M2413" s="7" t="n">
        <v>0</v>
      </c>
    </row>
    <row r="2414">
      <c r="A2414" t="n">
        <v>510580</v>
      </c>
      <c r="B2414" s="6" t="n">
        <v>45964</v>
      </c>
      <c r="C2414" t="n">
        <v>16934</v>
      </c>
      <c r="D2414" t="inlineStr">
        <is>
          <t>Chennai</t>
        </is>
      </c>
      <c r="E2414" t="inlineStr">
        <is>
          <t>South</t>
        </is>
      </c>
      <c r="F2414" t="inlineStr">
        <is>
          <t>Organic Search</t>
        </is>
      </c>
      <c r="G2414" t="inlineStr">
        <is>
          <t>Mobile App</t>
        </is>
      </c>
      <c r="H2414" t="inlineStr">
        <is>
          <t>UPI</t>
        </is>
      </c>
      <c r="I2414" t="inlineStr">
        <is>
          <t>Delivered</t>
        </is>
      </c>
      <c r="J2414" t="n">
        <v>125</v>
      </c>
      <c r="K2414" t="n">
        <v>2</v>
      </c>
      <c r="L2414" s="7" t="n">
        <v>1364</v>
      </c>
      <c r="M2414" s="7" t="n">
        <v>0</v>
      </c>
    </row>
    <row r="2415">
      <c r="A2415" t="n">
        <v>510580</v>
      </c>
      <c r="B2415" s="6" t="n">
        <v>45964</v>
      </c>
      <c r="C2415" t="n">
        <v>16934</v>
      </c>
      <c r="D2415" t="inlineStr">
        <is>
          <t>Chennai</t>
        </is>
      </c>
      <c r="E2415" t="inlineStr">
        <is>
          <t>South</t>
        </is>
      </c>
      <c r="F2415" t="inlineStr">
        <is>
          <t>Organic Search</t>
        </is>
      </c>
      <c r="G2415" t="inlineStr">
        <is>
          <t>Mobile App</t>
        </is>
      </c>
      <c r="H2415" t="inlineStr">
        <is>
          <t>UPI</t>
        </is>
      </c>
      <c r="I2415" t="inlineStr">
        <is>
          <t>Delivered</t>
        </is>
      </c>
      <c r="J2415" t="n">
        <v>103</v>
      </c>
      <c r="K2415" t="n">
        <v>1</v>
      </c>
      <c r="L2415" s="7" t="n">
        <v>2624</v>
      </c>
      <c r="M2415" s="7" t="n">
        <v>0</v>
      </c>
    </row>
    <row r="2416">
      <c r="A2416" t="n">
        <v>510580</v>
      </c>
      <c r="B2416" s="6" t="n">
        <v>45964</v>
      </c>
      <c r="C2416" t="n">
        <v>16934</v>
      </c>
      <c r="D2416" t="inlineStr">
        <is>
          <t>Chennai</t>
        </is>
      </c>
      <c r="E2416" t="inlineStr">
        <is>
          <t>South</t>
        </is>
      </c>
      <c r="F2416" t="inlineStr">
        <is>
          <t>Organic Search</t>
        </is>
      </c>
      <c r="G2416" t="inlineStr">
        <is>
          <t>Mobile App</t>
        </is>
      </c>
      <c r="H2416" t="inlineStr">
        <is>
          <t>UPI</t>
        </is>
      </c>
      <c r="I2416" t="inlineStr">
        <is>
          <t>Delivered</t>
        </is>
      </c>
      <c r="J2416" t="n">
        <v>107</v>
      </c>
      <c r="K2416" t="n">
        <v>1</v>
      </c>
      <c r="L2416" s="7" t="n">
        <v>1259</v>
      </c>
      <c r="M2416" s="7" t="n">
        <v>0</v>
      </c>
    </row>
    <row r="2417">
      <c r="A2417" t="n">
        <v>510581</v>
      </c>
      <c r="B2417" s="6" t="n">
        <v>45964</v>
      </c>
      <c r="C2417" t="n">
        <v>17171</v>
      </c>
      <c r="D2417" t="inlineStr">
        <is>
          <t>Jaipur</t>
        </is>
      </c>
      <c r="E2417" t="inlineStr">
        <is>
          <t>North</t>
        </is>
      </c>
      <c r="F2417" t="inlineStr">
        <is>
          <t>Paid Search</t>
        </is>
      </c>
      <c r="G2417" t="inlineStr">
        <is>
          <t>Mobile App</t>
        </is>
      </c>
      <c r="H2417" t="inlineStr">
        <is>
          <t>UPI</t>
        </is>
      </c>
      <c r="I2417" t="inlineStr">
        <is>
          <t>Delivered</t>
        </is>
      </c>
      <c r="J2417" t="n">
        <v>134</v>
      </c>
      <c r="K2417" t="n">
        <v>3</v>
      </c>
      <c r="L2417" s="7" t="n">
        <v>209</v>
      </c>
      <c r="M2417" s="7" t="n">
        <v>94.05</v>
      </c>
    </row>
    <row r="2418">
      <c r="A2418" t="n">
        <v>510581</v>
      </c>
      <c r="B2418" s="6" t="n">
        <v>45964</v>
      </c>
      <c r="C2418" t="n">
        <v>17171</v>
      </c>
      <c r="D2418" t="inlineStr">
        <is>
          <t>Jaipur</t>
        </is>
      </c>
      <c r="E2418" t="inlineStr">
        <is>
          <t>North</t>
        </is>
      </c>
      <c r="F2418" t="inlineStr">
        <is>
          <t>Paid Search</t>
        </is>
      </c>
      <c r="G2418" t="inlineStr">
        <is>
          <t>Mobile App</t>
        </is>
      </c>
      <c r="H2418" t="inlineStr">
        <is>
          <t>UPI</t>
        </is>
      </c>
      <c r="I2418" t="inlineStr">
        <is>
          <t>Delivered</t>
        </is>
      </c>
      <c r="J2418" t="n">
        <v>102</v>
      </c>
      <c r="K2418" t="n">
        <v>2</v>
      </c>
      <c r="L2418" s="7" t="n">
        <v>3674</v>
      </c>
      <c r="M2418" s="7" t="n">
        <v>1102.2</v>
      </c>
    </row>
    <row r="2419">
      <c r="A2419" t="n">
        <v>510582</v>
      </c>
      <c r="B2419" s="6" t="n">
        <v>45964</v>
      </c>
      <c r="C2419" t="n">
        <v>16473</v>
      </c>
      <c r="D2419" t="inlineStr">
        <is>
          <t>Mumbai</t>
        </is>
      </c>
      <c r="E2419" t="inlineStr">
        <is>
          <t>West</t>
        </is>
      </c>
      <c r="F2419" t="inlineStr">
        <is>
          <t>Referral</t>
        </is>
      </c>
      <c r="G2419" t="inlineStr">
        <is>
          <t>Mobile App</t>
        </is>
      </c>
      <c r="H2419" t="inlineStr">
        <is>
          <t>UPI</t>
        </is>
      </c>
      <c r="I2419" t="inlineStr">
        <is>
          <t>Returned</t>
        </is>
      </c>
      <c r="J2419" t="n">
        <v>104</v>
      </c>
      <c r="K2419" t="n">
        <v>1</v>
      </c>
      <c r="L2419" s="7" t="n">
        <v>5249</v>
      </c>
      <c r="M2419" s="7" t="n">
        <v>0</v>
      </c>
    </row>
    <row r="2420">
      <c r="A2420" t="n">
        <v>510582</v>
      </c>
      <c r="B2420" s="6" t="n">
        <v>45964</v>
      </c>
      <c r="C2420" t="n">
        <v>16473</v>
      </c>
      <c r="D2420" t="inlineStr">
        <is>
          <t>Mumbai</t>
        </is>
      </c>
      <c r="E2420" t="inlineStr">
        <is>
          <t>West</t>
        </is>
      </c>
      <c r="F2420" t="inlineStr">
        <is>
          <t>Referral</t>
        </is>
      </c>
      <c r="G2420" t="inlineStr">
        <is>
          <t>Mobile App</t>
        </is>
      </c>
      <c r="H2420" t="inlineStr">
        <is>
          <t>UPI</t>
        </is>
      </c>
      <c r="I2420" t="inlineStr">
        <is>
          <t>Returned</t>
        </is>
      </c>
      <c r="J2420" t="n">
        <v>135</v>
      </c>
      <c r="K2420" t="n">
        <v>2</v>
      </c>
      <c r="L2420" s="7" t="n">
        <v>1574</v>
      </c>
      <c r="M2420" s="7" t="n">
        <v>0</v>
      </c>
    </row>
    <row r="2421">
      <c r="A2421" t="n">
        <v>510583</v>
      </c>
      <c r="B2421" s="6" t="n">
        <v>45964</v>
      </c>
      <c r="C2421" t="n">
        <v>14486</v>
      </c>
      <c r="D2421" t="inlineStr">
        <is>
          <t>Gurugram</t>
        </is>
      </c>
      <c r="E2421" t="inlineStr">
        <is>
          <t>North</t>
        </is>
      </c>
      <c r="F2421" t="inlineStr">
        <is>
          <t>Referral</t>
        </is>
      </c>
      <c r="G2421" t="inlineStr">
        <is>
          <t>Mobile Web</t>
        </is>
      </c>
      <c r="H2421" t="inlineStr">
        <is>
          <t>Credit Card</t>
        </is>
      </c>
      <c r="I2421" t="inlineStr">
        <is>
          <t>Delivered</t>
        </is>
      </c>
      <c r="J2421" t="n">
        <v>128</v>
      </c>
      <c r="K2421" t="n">
        <v>2</v>
      </c>
      <c r="L2421" s="7" t="n">
        <v>1049</v>
      </c>
      <c r="M2421" s="7" t="n">
        <v>0</v>
      </c>
    </row>
    <row r="2422">
      <c r="A2422" t="n">
        <v>510584</v>
      </c>
      <c r="B2422" s="6" t="n">
        <v>45964</v>
      </c>
      <c r="C2422" t="n">
        <v>17089</v>
      </c>
      <c r="D2422" t="inlineStr">
        <is>
          <t>Noida</t>
        </is>
      </c>
      <c r="E2422" t="inlineStr">
        <is>
          <t>North</t>
        </is>
      </c>
      <c r="F2422" t="inlineStr">
        <is>
          <t>Referral</t>
        </is>
      </c>
      <c r="G2422" t="inlineStr">
        <is>
          <t>Mobile App</t>
        </is>
      </c>
      <c r="H2422" t="inlineStr">
        <is>
          <t>UPI</t>
        </is>
      </c>
      <c r="I2422" t="inlineStr">
        <is>
          <t>Delivered</t>
        </is>
      </c>
      <c r="J2422" t="n">
        <v>108</v>
      </c>
      <c r="K2422" t="n">
        <v>1</v>
      </c>
      <c r="L2422" s="7" t="n">
        <v>419</v>
      </c>
      <c r="M2422" s="7" t="n">
        <v>0</v>
      </c>
    </row>
    <row r="2423">
      <c r="A2423" t="n">
        <v>510585</v>
      </c>
      <c r="B2423" s="6" t="n">
        <v>45964</v>
      </c>
      <c r="C2423" t="n">
        <v>17126</v>
      </c>
      <c r="D2423" t="inlineStr">
        <is>
          <t>Bengaluru</t>
        </is>
      </c>
      <c r="E2423" t="inlineStr">
        <is>
          <t>South</t>
        </is>
      </c>
      <c r="F2423" t="inlineStr">
        <is>
          <t>Paid Social</t>
        </is>
      </c>
      <c r="G2423" t="inlineStr">
        <is>
          <t>Mobile Web</t>
        </is>
      </c>
      <c r="H2423" t="inlineStr">
        <is>
          <t>Cash on Delivery</t>
        </is>
      </c>
      <c r="I2423" t="inlineStr">
        <is>
          <t>Delivered</t>
        </is>
      </c>
      <c r="J2423" t="n">
        <v>105</v>
      </c>
      <c r="K2423" t="n">
        <v>1</v>
      </c>
      <c r="L2423" s="7" t="n">
        <v>2414</v>
      </c>
      <c r="M2423" s="7" t="n">
        <v>0</v>
      </c>
    </row>
    <row r="2424">
      <c r="A2424" t="n">
        <v>510586</v>
      </c>
      <c r="B2424" s="6" t="n">
        <v>45964</v>
      </c>
      <c r="C2424" t="n">
        <v>17117</v>
      </c>
      <c r="D2424" t="inlineStr">
        <is>
          <t>Chandigarh</t>
        </is>
      </c>
      <c r="E2424" t="inlineStr">
        <is>
          <t>North</t>
        </is>
      </c>
      <c r="F2424" t="inlineStr">
        <is>
          <t>Paid Social</t>
        </is>
      </c>
      <c r="G2424" t="inlineStr">
        <is>
          <t>Mobile App</t>
        </is>
      </c>
      <c r="H2424" t="inlineStr">
        <is>
          <t>Net Banking</t>
        </is>
      </c>
      <c r="I2424" t="inlineStr">
        <is>
          <t>Delivered</t>
        </is>
      </c>
      <c r="J2424" t="n">
        <v>139</v>
      </c>
      <c r="K2424" t="n">
        <v>1</v>
      </c>
      <c r="L2424" s="7" t="n">
        <v>366</v>
      </c>
      <c r="M2424" s="7" t="n">
        <v>0</v>
      </c>
    </row>
    <row r="2425">
      <c r="A2425" t="n">
        <v>510587</v>
      </c>
      <c r="B2425" s="6" t="n">
        <v>45964</v>
      </c>
      <c r="C2425" t="n">
        <v>17166</v>
      </c>
      <c r="D2425" t="inlineStr">
        <is>
          <t>Chennai</t>
        </is>
      </c>
      <c r="E2425" t="inlineStr">
        <is>
          <t>South</t>
        </is>
      </c>
      <c r="F2425" t="inlineStr">
        <is>
          <t>Affiliate</t>
        </is>
      </c>
      <c r="G2425" t="inlineStr">
        <is>
          <t>Desktop</t>
        </is>
      </c>
      <c r="H2425" t="inlineStr">
        <is>
          <t>UPI</t>
        </is>
      </c>
      <c r="I2425" t="inlineStr">
        <is>
          <t>Cancelled</t>
        </is>
      </c>
      <c r="J2425" t="n">
        <v>137</v>
      </c>
      <c r="K2425" t="n">
        <v>1</v>
      </c>
      <c r="L2425" s="7" t="n">
        <v>261</v>
      </c>
      <c r="M2425" s="7" t="n">
        <v>0</v>
      </c>
    </row>
    <row r="2426">
      <c r="A2426" t="n">
        <v>510587</v>
      </c>
      <c r="B2426" s="6" t="n">
        <v>45964</v>
      </c>
      <c r="C2426" t="n">
        <v>17166</v>
      </c>
      <c r="D2426" t="inlineStr">
        <is>
          <t>Chennai</t>
        </is>
      </c>
      <c r="E2426" t="inlineStr">
        <is>
          <t>South</t>
        </is>
      </c>
      <c r="F2426" t="inlineStr">
        <is>
          <t>Affiliate</t>
        </is>
      </c>
      <c r="G2426" t="inlineStr">
        <is>
          <t>Desktop</t>
        </is>
      </c>
      <c r="H2426" t="inlineStr">
        <is>
          <t>UPI</t>
        </is>
      </c>
      <c r="I2426" t="inlineStr">
        <is>
          <t>Cancelled</t>
        </is>
      </c>
      <c r="J2426" t="n">
        <v>136</v>
      </c>
      <c r="K2426" t="n">
        <v>1</v>
      </c>
      <c r="L2426" s="7" t="n">
        <v>944</v>
      </c>
      <c r="M2426" s="7" t="n">
        <v>0</v>
      </c>
    </row>
    <row r="2427">
      <c r="A2427" t="n">
        <v>510588</v>
      </c>
      <c r="B2427" s="6" t="n">
        <v>45964</v>
      </c>
      <c r="C2427" t="n">
        <v>16422</v>
      </c>
      <c r="D2427" t="inlineStr">
        <is>
          <t>Gurugram</t>
        </is>
      </c>
      <c r="E2427" t="inlineStr">
        <is>
          <t>North</t>
        </is>
      </c>
      <c r="F2427" t="inlineStr">
        <is>
          <t>Paid Social</t>
        </is>
      </c>
      <c r="G2427" t="inlineStr">
        <is>
          <t>Desktop</t>
        </is>
      </c>
      <c r="H2427" t="inlineStr">
        <is>
          <t>UPI</t>
        </is>
      </c>
      <c r="I2427" t="inlineStr">
        <is>
          <t>Delivered</t>
        </is>
      </c>
      <c r="J2427" t="n">
        <v>139</v>
      </c>
      <c r="K2427" t="n">
        <v>1</v>
      </c>
      <c r="L2427" s="7" t="n">
        <v>366</v>
      </c>
      <c r="M2427" s="7" t="n">
        <v>0</v>
      </c>
    </row>
    <row r="2428">
      <c r="A2428" t="n">
        <v>510589</v>
      </c>
      <c r="B2428" s="6" t="n">
        <v>45964</v>
      </c>
      <c r="C2428" t="n">
        <v>12579</v>
      </c>
      <c r="D2428" t="inlineStr">
        <is>
          <t>Ahmedabad</t>
        </is>
      </c>
      <c r="E2428" t="inlineStr">
        <is>
          <t>West</t>
        </is>
      </c>
      <c r="F2428" t="inlineStr">
        <is>
          <t>Organic Search</t>
        </is>
      </c>
      <c r="G2428" t="inlineStr">
        <is>
          <t>Desktop</t>
        </is>
      </c>
      <c r="H2428" t="inlineStr">
        <is>
          <t>UPI</t>
        </is>
      </c>
      <c r="I2428" t="inlineStr">
        <is>
          <t>Cancelled</t>
        </is>
      </c>
      <c r="J2428" t="n">
        <v>109</v>
      </c>
      <c r="K2428" t="n">
        <v>2</v>
      </c>
      <c r="L2428" s="7" t="n">
        <v>4199</v>
      </c>
      <c r="M2428" s="7" t="n">
        <v>0</v>
      </c>
    </row>
    <row r="2429">
      <c r="A2429" t="n">
        <v>510589</v>
      </c>
      <c r="B2429" s="6" t="n">
        <v>45964</v>
      </c>
      <c r="C2429" t="n">
        <v>12579</v>
      </c>
      <c r="D2429" t="inlineStr">
        <is>
          <t>Ahmedabad</t>
        </is>
      </c>
      <c r="E2429" t="inlineStr">
        <is>
          <t>West</t>
        </is>
      </c>
      <c r="F2429" t="inlineStr">
        <is>
          <t>Organic Search</t>
        </is>
      </c>
      <c r="G2429" t="inlineStr">
        <is>
          <t>Desktop</t>
        </is>
      </c>
      <c r="H2429" t="inlineStr">
        <is>
          <t>UPI</t>
        </is>
      </c>
      <c r="I2429" t="inlineStr">
        <is>
          <t>Cancelled</t>
        </is>
      </c>
      <c r="J2429" t="n">
        <v>143</v>
      </c>
      <c r="K2429" t="n">
        <v>1</v>
      </c>
      <c r="L2429" s="7" t="n">
        <v>839</v>
      </c>
      <c r="M2429" s="7" t="n">
        <v>0</v>
      </c>
    </row>
    <row r="2430">
      <c r="A2430" t="n">
        <v>510590</v>
      </c>
      <c r="B2430" s="6" t="n">
        <v>45965</v>
      </c>
      <c r="C2430" t="n">
        <v>15977</v>
      </c>
      <c r="D2430" t="inlineStr">
        <is>
          <t>Gurugram</t>
        </is>
      </c>
      <c r="E2430" t="inlineStr">
        <is>
          <t>North</t>
        </is>
      </c>
      <c r="F2430" t="inlineStr">
        <is>
          <t>Paid Social</t>
        </is>
      </c>
      <c r="G2430" t="inlineStr">
        <is>
          <t>Mobile App</t>
        </is>
      </c>
      <c r="H2430" t="inlineStr">
        <is>
          <t>Debit Card</t>
        </is>
      </c>
      <c r="I2430" t="inlineStr">
        <is>
          <t>Delivered</t>
        </is>
      </c>
      <c r="J2430" t="n">
        <v>126</v>
      </c>
      <c r="K2430" t="n">
        <v>1</v>
      </c>
      <c r="L2430" s="7" t="n">
        <v>471</v>
      </c>
      <c r="M2430" s="7" t="n">
        <v>0</v>
      </c>
    </row>
    <row r="2431">
      <c r="A2431" t="n">
        <v>510590</v>
      </c>
      <c r="B2431" s="6" t="n">
        <v>45965</v>
      </c>
      <c r="C2431" t="n">
        <v>15977</v>
      </c>
      <c r="D2431" t="inlineStr">
        <is>
          <t>Gurugram</t>
        </is>
      </c>
      <c r="E2431" t="inlineStr">
        <is>
          <t>North</t>
        </is>
      </c>
      <c r="F2431" t="inlineStr">
        <is>
          <t>Paid Social</t>
        </is>
      </c>
      <c r="G2431" t="inlineStr">
        <is>
          <t>Mobile App</t>
        </is>
      </c>
      <c r="H2431" t="inlineStr">
        <is>
          <t>Debit Card</t>
        </is>
      </c>
      <c r="I2431" t="inlineStr">
        <is>
          <t>Delivered</t>
        </is>
      </c>
      <c r="J2431" t="n">
        <v>103</v>
      </c>
      <c r="K2431" t="n">
        <v>2</v>
      </c>
      <c r="L2431" s="7" t="n">
        <v>2624</v>
      </c>
      <c r="M2431" s="7" t="n">
        <v>0</v>
      </c>
    </row>
    <row r="2432">
      <c r="A2432" t="n">
        <v>510591</v>
      </c>
      <c r="B2432" s="6" t="n">
        <v>45965</v>
      </c>
      <c r="C2432" t="n">
        <v>17145</v>
      </c>
      <c r="D2432" t="inlineStr">
        <is>
          <t>Kochi</t>
        </is>
      </c>
      <c r="E2432" t="inlineStr">
        <is>
          <t>South</t>
        </is>
      </c>
      <c r="F2432" t="inlineStr">
        <is>
          <t>Paid Social</t>
        </is>
      </c>
      <c r="G2432" t="inlineStr">
        <is>
          <t>Mobile Web</t>
        </is>
      </c>
      <c r="H2432" t="inlineStr">
        <is>
          <t>Cash on Delivery</t>
        </is>
      </c>
      <c r="I2432" t="inlineStr">
        <is>
          <t>Delivered</t>
        </is>
      </c>
      <c r="J2432" t="n">
        <v>116</v>
      </c>
      <c r="K2432" t="n">
        <v>1</v>
      </c>
      <c r="L2432" s="7" t="n">
        <v>2624</v>
      </c>
      <c r="M2432" s="7" t="n">
        <v>393.6</v>
      </c>
    </row>
    <row r="2433">
      <c r="A2433" t="n">
        <v>510591</v>
      </c>
      <c r="B2433" s="6" t="n">
        <v>45965</v>
      </c>
      <c r="C2433" t="n">
        <v>17145</v>
      </c>
      <c r="D2433" t="inlineStr">
        <is>
          <t>Kochi</t>
        </is>
      </c>
      <c r="E2433" t="inlineStr">
        <is>
          <t>South</t>
        </is>
      </c>
      <c r="F2433" t="inlineStr">
        <is>
          <t>Paid Social</t>
        </is>
      </c>
      <c r="G2433" t="inlineStr">
        <is>
          <t>Mobile Web</t>
        </is>
      </c>
      <c r="H2433" t="inlineStr">
        <is>
          <t>Cash on Delivery</t>
        </is>
      </c>
      <c r="I2433" t="inlineStr">
        <is>
          <t>Delivered</t>
        </is>
      </c>
      <c r="J2433" t="n">
        <v>117</v>
      </c>
      <c r="K2433" t="n">
        <v>2</v>
      </c>
      <c r="L2433" s="7" t="n">
        <v>3149</v>
      </c>
      <c r="M2433" s="7" t="n">
        <v>944.7</v>
      </c>
    </row>
    <row r="2434">
      <c r="A2434" t="n">
        <v>510591</v>
      </c>
      <c r="B2434" s="6" t="n">
        <v>45965</v>
      </c>
      <c r="C2434" t="n">
        <v>17145</v>
      </c>
      <c r="D2434" t="inlineStr">
        <is>
          <t>Kochi</t>
        </is>
      </c>
      <c r="E2434" t="inlineStr">
        <is>
          <t>South</t>
        </is>
      </c>
      <c r="F2434" t="inlineStr">
        <is>
          <t>Paid Social</t>
        </is>
      </c>
      <c r="G2434" t="inlineStr">
        <is>
          <t>Mobile Web</t>
        </is>
      </c>
      <c r="H2434" t="inlineStr">
        <is>
          <t>Cash on Delivery</t>
        </is>
      </c>
      <c r="I2434" t="inlineStr">
        <is>
          <t>Delivered</t>
        </is>
      </c>
      <c r="J2434" t="n">
        <v>113</v>
      </c>
      <c r="K2434" t="n">
        <v>1</v>
      </c>
      <c r="L2434" s="7" t="n">
        <v>1364</v>
      </c>
      <c r="M2434" s="7" t="n">
        <v>204.6</v>
      </c>
    </row>
    <row r="2435">
      <c r="A2435" t="n">
        <v>510592</v>
      </c>
      <c r="B2435" s="6" t="n">
        <v>45965</v>
      </c>
      <c r="C2435" t="n">
        <v>17037</v>
      </c>
      <c r="D2435" t="inlineStr">
        <is>
          <t>Hyderabad</t>
        </is>
      </c>
      <c r="E2435" t="inlineStr">
        <is>
          <t>South</t>
        </is>
      </c>
      <c r="F2435" t="inlineStr">
        <is>
          <t>Paid Social</t>
        </is>
      </c>
      <c r="G2435" t="inlineStr">
        <is>
          <t>Mobile App</t>
        </is>
      </c>
      <c r="H2435" t="inlineStr">
        <is>
          <t>Credit Card</t>
        </is>
      </c>
      <c r="I2435" t="inlineStr">
        <is>
          <t>Delivered</t>
        </is>
      </c>
      <c r="J2435" t="n">
        <v>103</v>
      </c>
      <c r="K2435" t="n">
        <v>1</v>
      </c>
      <c r="L2435" s="7" t="n">
        <v>2624</v>
      </c>
      <c r="M2435" s="7" t="n">
        <v>0</v>
      </c>
    </row>
    <row r="2436">
      <c r="A2436" t="n">
        <v>510592</v>
      </c>
      <c r="B2436" s="6" t="n">
        <v>45965</v>
      </c>
      <c r="C2436" t="n">
        <v>17037</v>
      </c>
      <c r="D2436" t="inlineStr">
        <is>
          <t>Hyderabad</t>
        </is>
      </c>
      <c r="E2436" t="inlineStr">
        <is>
          <t>South</t>
        </is>
      </c>
      <c r="F2436" t="inlineStr">
        <is>
          <t>Paid Social</t>
        </is>
      </c>
      <c r="G2436" t="inlineStr">
        <is>
          <t>Mobile App</t>
        </is>
      </c>
      <c r="H2436" t="inlineStr">
        <is>
          <t>Credit Card</t>
        </is>
      </c>
      <c r="I2436" t="inlineStr">
        <is>
          <t>Delivered</t>
        </is>
      </c>
      <c r="J2436" t="n">
        <v>120</v>
      </c>
      <c r="K2436" t="n">
        <v>1</v>
      </c>
      <c r="L2436" s="7" t="n">
        <v>734</v>
      </c>
      <c r="M2436" s="7" t="n">
        <v>0</v>
      </c>
    </row>
    <row r="2437">
      <c r="A2437" t="n">
        <v>510593</v>
      </c>
      <c r="B2437" s="6" t="n">
        <v>45965</v>
      </c>
      <c r="C2437" t="n">
        <v>17087</v>
      </c>
      <c r="D2437" t="inlineStr">
        <is>
          <t>Bengaluru</t>
        </is>
      </c>
      <c r="E2437" t="inlineStr">
        <is>
          <t>South</t>
        </is>
      </c>
      <c r="F2437" t="inlineStr">
        <is>
          <t>Paid Search</t>
        </is>
      </c>
      <c r="G2437" t="inlineStr">
        <is>
          <t>Mobile Web</t>
        </is>
      </c>
      <c r="H2437" t="inlineStr">
        <is>
          <t>UPI</t>
        </is>
      </c>
      <c r="I2437" t="inlineStr">
        <is>
          <t>Delivered</t>
        </is>
      </c>
      <c r="J2437" t="n">
        <v>126</v>
      </c>
      <c r="K2437" t="n">
        <v>1</v>
      </c>
      <c r="L2437" s="7" t="n">
        <v>471</v>
      </c>
      <c r="M2437" s="7" t="n">
        <v>0</v>
      </c>
    </row>
    <row r="2438">
      <c r="A2438" t="n">
        <v>510594</v>
      </c>
      <c r="B2438" s="6" t="n">
        <v>45965</v>
      </c>
      <c r="C2438" t="n">
        <v>17114</v>
      </c>
      <c r="D2438" t="inlineStr">
        <is>
          <t>Hyderabad</t>
        </is>
      </c>
      <c r="E2438" t="inlineStr">
        <is>
          <t>South</t>
        </is>
      </c>
      <c r="F2438" t="inlineStr">
        <is>
          <t>Paid Social</t>
        </is>
      </c>
      <c r="G2438" t="inlineStr">
        <is>
          <t>Mobile App</t>
        </is>
      </c>
      <c r="H2438" t="inlineStr">
        <is>
          <t>UPI</t>
        </is>
      </c>
      <c r="I2438" t="inlineStr">
        <is>
          <t>Delivered</t>
        </is>
      </c>
      <c r="J2438" t="n">
        <v>105</v>
      </c>
      <c r="K2438" t="n">
        <v>1</v>
      </c>
      <c r="L2438" s="7" t="n">
        <v>2414</v>
      </c>
      <c r="M2438" s="7" t="n">
        <v>0</v>
      </c>
    </row>
    <row r="2439">
      <c r="A2439" t="n">
        <v>510595</v>
      </c>
      <c r="B2439" s="6" t="n">
        <v>45965</v>
      </c>
      <c r="C2439" t="n">
        <v>17161</v>
      </c>
      <c r="D2439" t="inlineStr">
        <is>
          <t>Lucknow</t>
        </is>
      </c>
      <c r="E2439" t="inlineStr">
        <is>
          <t>North</t>
        </is>
      </c>
      <c r="F2439" t="inlineStr">
        <is>
          <t>Paid Social</t>
        </is>
      </c>
      <c r="G2439" t="inlineStr">
        <is>
          <t>Mobile Web</t>
        </is>
      </c>
      <c r="H2439" t="inlineStr">
        <is>
          <t>UPI</t>
        </is>
      </c>
      <c r="I2439" t="inlineStr">
        <is>
          <t>Delivered</t>
        </is>
      </c>
      <c r="J2439" t="n">
        <v>114</v>
      </c>
      <c r="K2439" t="n">
        <v>1</v>
      </c>
      <c r="L2439" s="7" t="n">
        <v>1259</v>
      </c>
      <c r="M2439" s="7" t="n">
        <v>0</v>
      </c>
    </row>
    <row r="2440">
      <c r="A2440" t="n">
        <v>510596</v>
      </c>
      <c r="B2440" s="6" t="n">
        <v>45965</v>
      </c>
      <c r="C2440" t="n">
        <v>16608</v>
      </c>
      <c r="D2440" t="inlineStr">
        <is>
          <t>Indore</t>
        </is>
      </c>
      <c r="E2440" t="inlineStr">
        <is>
          <t>West</t>
        </is>
      </c>
      <c r="F2440" t="inlineStr">
        <is>
          <t>Referral</t>
        </is>
      </c>
      <c r="G2440" t="inlineStr">
        <is>
          <t>Desktop</t>
        </is>
      </c>
      <c r="H2440" t="inlineStr">
        <is>
          <t>UPI</t>
        </is>
      </c>
      <c r="I2440" t="inlineStr">
        <is>
          <t>Delivered</t>
        </is>
      </c>
      <c r="J2440" t="n">
        <v>147</v>
      </c>
      <c r="K2440" t="n">
        <v>1</v>
      </c>
      <c r="L2440" s="7" t="n">
        <v>1364</v>
      </c>
      <c r="M2440" s="7" t="n">
        <v>68.2</v>
      </c>
    </row>
    <row r="2441">
      <c r="A2441" t="n">
        <v>510597</v>
      </c>
      <c r="B2441" s="6" t="n">
        <v>45965</v>
      </c>
      <c r="C2441" t="n">
        <v>16396</v>
      </c>
      <c r="D2441" t="inlineStr">
        <is>
          <t>Kolkata</t>
        </is>
      </c>
      <c r="E2441" t="inlineStr">
        <is>
          <t>East</t>
        </is>
      </c>
      <c r="F2441" t="inlineStr">
        <is>
          <t>Referral</t>
        </is>
      </c>
      <c r="G2441" t="inlineStr">
        <is>
          <t>Mobile Web</t>
        </is>
      </c>
      <c r="H2441" t="inlineStr">
        <is>
          <t>UPI</t>
        </is>
      </c>
      <c r="I2441" t="inlineStr">
        <is>
          <t>Delivered</t>
        </is>
      </c>
      <c r="J2441" t="n">
        <v>116</v>
      </c>
      <c r="K2441" t="n">
        <v>1</v>
      </c>
      <c r="L2441" s="7" t="n">
        <v>2624</v>
      </c>
      <c r="M2441" s="7" t="n">
        <v>0</v>
      </c>
    </row>
    <row r="2442">
      <c r="A2442" t="n">
        <v>510598</v>
      </c>
      <c r="B2442" s="6" t="n">
        <v>45965</v>
      </c>
      <c r="C2442" t="n">
        <v>17179</v>
      </c>
      <c r="D2442" t="inlineStr">
        <is>
          <t>Delhi</t>
        </is>
      </c>
      <c r="E2442" t="inlineStr">
        <is>
          <t>North</t>
        </is>
      </c>
      <c r="F2442" t="inlineStr">
        <is>
          <t>Paid Search</t>
        </is>
      </c>
      <c r="G2442" t="inlineStr">
        <is>
          <t>Mobile App</t>
        </is>
      </c>
      <c r="H2442" t="inlineStr">
        <is>
          <t>UPI</t>
        </is>
      </c>
      <c r="I2442" t="inlineStr">
        <is>
          <t>Returned</t>
        </is>
      </c>
      <c r="J2442" t="n">
        <v>113</v>
      </c>
      <c r="K2442" t="n">
        <v>1</v>
      </c>
      <c r="L2442" s="7" t="n">
        <v>1364</v>
      </c>
      <c r="M2442" s="7" t="n">
        <v>204.6</v>
      </c>
    </row>
    <row r="2443">
      <c r="A2443" t="n">
        <v>510598</v>
      </c>
      <c r="B2443" s="6" t="n">
        <v>45965</v>
      </c>
      <c r="C2443" t="n">
        <v>17179</v>
      </c>
      <c r="D2443" t="inlineStr">
        <is>
          <t>Delhi</t>
        </is>
      </c>
      <c r="E2443" t="inlineStr">
        <is>
          <t>North</t>
        </is>
      </c>
      <c r="F2443" t="inlineStr">
        <is>
          <t>Paid Search</t>
        </is>
      </c>
      <c r="G2443" t="inlineStr">
        <is>
          <t>Mobile App</t>
        </is>
      </c>
      <c r="H2443" t="inlineStr">
        <is>
          <t>UPI</t>
        </is>
      </c>
      <c r="I2443" t="inlineStr">
        <is>
          <t>Returned</t>
        </is>
      </c>
      <c r="J2443" t="n">
        <v>132</v>
      </c>
      <c r="K2443" t="n">
        <v>1</v>
      </c>
      <c r="L2443" s="7" t="n">
        <v>471</v>
      </c>
      <c r="M2443" s="7" t="n">
        <v>70.65000000000001</v>
      </c>
    </row>
    <row r="2444">
      <c r="A2444" t="n">
        <v>510599</v>
      </c>
      <c r="B2444" s="6" t="n">
        <v>45965</v>
      </c>
      <c r="C2444" t="n">
        <v>16777</v>
      </c>
      <c r="D2444" t="inlineStr">
        <is>
          <t>Noida</t>
        </is>
      </c>
      <c r="E2444" t="inlineStr">
        <is>
          <t>North</t>
        </is>
      </c>
      <c r="F2444" t="inlineStr">
        <is>
          <t>Referral</t>
        </is>
      </c>
      <c r="G2444" t="inlineStr">
        <is>
          <t>Desktop</t>
        </is>
      </c>
      <c r="H2444" t="inlineStr">
        <is>
          <t>UPI</t>
        </is>
      </c>
      <c r="I2444" t="inlineStr">
        <is>
          <t>Delivered</t>
        </is>
      </c>
      <c r="J2444" t="n">
        <v>136</v>
      </c>
      <c r="K2444" t="n">
        <v>1</v>
      </c>
      <c r="L2444" s="7" t="n">
        <v>944</v>
      </c>
      <c r="M2444" s="7" t="n">
        <v>0</v>
      </c>
    </row>
    <row r="2445">
      <c r="A2445" t="n">
        <v>510600</v>
      </c>
      <c r="B2445" s="6" t="n">
        <v>45965</v>
      </c>
      <c r="C2445" t="n">
        <v>13167</v>
      </c>
      <c r="D2445" t="inlineStr">
        <is>
          <t>Indore</t>
        </is>
      </c>
      <c r="E2445" t="inlineStr">
        <is>
          <t>West</t>
        </is>
      </c>
      <c r="F2445" t="inlineStr">
        <is>
          <t>Organic Search</t>
        </is>
      </c>
      <c r="G2445" t="inlineStr">
        <is>
          <t>Mobile App</t>
        </is>
      </c>
      <c r="H2445" t="inlineStr">
        <is>
          <t>UPI</t>
        </is>
      </c>
      <c r="I2445" t="inlineStr">
        <is>
          <t>Delivered</t>
        </is>
      </c>
      <c r="J2445" t="n">
        <v>124</v>
      </c>
      <c r="K2445" t="n">
        <v>3</v>
      </c>
      <c r="L2445" s="7" t="n">
        <v>1154</v>
      </c>
      <c r="M2445" s="7" t="n">
        <v>0</v>
      </c>
    </row>
    <row r="2446">
      <c r="A2446" t="n">
        <v>510600</v>
      </c>
      <c r="B2446" s="6" t="n">
        <v>45965</v>
      </c>
      <c r="C2446" t="n">
        <v>13167</v>
      </c>
      <c r="D2446" t="inlineStr">
        <is>
          <t>Indore</t>
        </is>
      </c>
      <c r="E2446" t="inlineStr">
        <is>
          <t>West</t>
        </is>
      </c>
      <c r="F2446" t="inlineStr">
        <is>
          <t>Organic Search</t>
        </is>
      </c>
      <c r="G2446" t="inlineStr">
        <is>
          <t>Mobile App</t>
        </is>
      </c>
      <c r="H2446" t="inlineStr">
        <is>
          <t>UPI</t>
        </is>
      </c>
      <c r="I2446" t="inlineStr">
        <is>
          <t>Delivered</t>
        </is>
      </c>
      <c r="J2446" t="n">
        <v>116</v>
      </c>
      <c r="K2446" t="n">
        <v>1</v>
      </c>
      <c r="L2446" s="7" t="n">
        <v>2624</v>
      </c>
      <c r="M2446" s="7" t="n">
        <v>0</v>
      </c>
    </row>
    <row r="2447">
      <c r="A2447" t="n">
        <v>510600</v>
      </c>
      <c r="B2447" s="6" t="n">
        <v>45965</v>
      </c>
      <c r="C2447" t="n">
        <v>13167</v>
      </c>
      <c r="D2447" t="inlineStr">
        <is>
          <t>Indore</t>
        </is>
      </c>
      <c r="E2447" t="inlineStr">
        <is>
          <t>West</t>
        </is>
      </c>
      <c r="F2447" t="inlineStr">
        <is>
          <t>Organic Search</t>
        </is>
      </c>
      <c r="G2447" t="inlineStr">
        <is>
          <t>Mobile App</t>
        </is>
      </c>
      <c r="H2447" t="inlineStr">
        <is>
          <t>UPI</t>
        </is>
      </c>
      <c r="I2447" t="inlineStr">
        <is>
          <t>Delivered</t>
        </is>
      </c>
      <c r="J2447" t="n">
        <v>117</v>
      </c>
      <c r="K2447" t="n">
        <v>1</v>
      </c>
      <c r="L2447" s="7" t="n">
        <v>3149</v>
      </c>
      <c r="M2447" s="7" t="n">
        <v>0</v>
      </c>
    </row>
    <row r="2448">
      <c r="A2448" t="n">
        <v>510601</v>
      </c>
      <c r="B2448" s="6" t="n">
        <v>45965</v>
      </c>
      <c r="C2448" t="n">
        <v>17093</v>
      </c>
      <c r="D2448" t="inlineStr">
        <is>
          <t>Bengaluru</t>
        </is>
      </c>
      <c r="E2448" t="inlineStr">
        <is>
          <t>South</t>
        </is>
      </c>
      <c r="F2448" t="inlineStr">
        <is>
          <t>Organic Search</t>
        </is>
      </c>
      <c r="G2448" t="inlineStr">
        <is>
          <t>Mobile Web</t>
        </is>
      </c>
      <c r="H2448" t="inlineStr">
        <is>
          <t>UPI</t>
        </is>
      </c>
      <c r="I2448" t="inlineStr">
        <is>
          <t>Delivered</t>
        </is>
      </c>
      <c r="J2448" t="n">
        <v>123</v>
      </c>
      <c r="K2448" t="n">
        <v>1</v>
      </c>
      <c r="L2448" s="7" t="n">
        <v>3464</v>
      </c>
      <c r="M2448" s="7" t="n">
        <v>0</v>
      </c>
    </row>
    <row r="2449">
      <c r="A2449" t="n">
        <v>510601</v>
      </c>
      <c r="B2449" s="6" t="n">
        <v>45965</v>
      </c>
      <c r="C2449" t="n">
        <v>17093</v>
      </c>
      <c r="D2449" t="inlineStr">
        <is>
          <t>Bengaluru</t>
        </is>
      </c>
      <c r="E2449" t="inlineStr">
        <is>
          <t>South</t>
        </is>
      </c>
      <c r="F2449" t="inlineStr">
        <is>
          <t>Organic Search</t>
        </is>
      </c>
      <c r="G2449" t="inlineStr">
        <is>
          <t>Mobile Web</t>
        </is>
      </c>
      <c r="H2449" t="inlineStr">
        <is>
          <t>UPI</t>
        </is>
      </c>
      <c r="I2449" t="inlineStr">
        <is>
          <t>Delivered</t>
        </is>
      </c>
      <c r="J2449" t="n">
        <v>143</v>
      </c>
      <c r="K2449" t="n">
        <v>1</v>
      </c>
      <c r="L2449" s="7" t="n">
        <v>839</v>
      </c>
      <c r="M2449" s="7" t="n">
        <v>0</v>
      </c>
    </row>
    <row r="2450">
      <c r="A2450" t="n">
        <v>510602</v>
      </c>
      <c r="B2450" s="6" t="n">
        <v>45965</v>
      </c>
      <c r="C2450" t="n">
        <v>12008</v>
      </c>
      <c r="D2450" t="inlineStr">
        <is>
          <t>Gurugram</t>
        </is>
      </c>
      <c r="E2450" t="inlineStr">
        <is>
          <t>North</t>
        </is>
      </c>
      <c r="F2450" t="inlineStr">
        <is>
          <t>Referral</t>
        </is>
      </c>
      <c r="G2450" t="inlineStr">
        <is>
          <t>Desktop</t>
        </is>
      </c>
      <c r="H2450" t="inlineStr">
        <is>
          <t>Credit Card</t>
        </is>
      </c>
      <c r="I2450" t="inlineStr">
        <is>
          <t>Delivered</t>
        </is>
      </c>
      <c r="J2450" t="n">
        <v>107</v>
      </c>
      <c r="K2450" t="n">
        <v>1</v>
      </c>
      <c r="L2450" s="7" t="n">
        <v>1259</v>
      </c>
      <c r="M2450" s="7" t="n">
        <v>0</v>
      </c>
    </row>
    <row r="2451">
      <c r="A2451" t="n">
        <v>510603</v>
      </c>
      <c r="B2451" s="6" t="n">
        <v>45965</v>
      </c>
      <c r="C2451" t="n">
        <v>17065</v>
      </c>
      <c r="D2451" t="inlineStr">
        <is>
          <t>Indore</t>
        </is>
      </c>
      <c r="E2451" t="inlineStr">
        <is>
          <t>West</t>
        </is>
      </c>
      <c r="F2451" t="inlineStr">
        <is>
          <t>Email</t>
        </is>
      </c>
      <c r="G2451" t="inlineStr">
        <is>
          <t>Mobile App</t>
        </is>
      </c>
      <c r="H2451" t="inlineStr">
        <is>
          <t>Cash on Delivery</t>
        </is>
      </c>
      <c r="I2451" t="inlineStr">
        <is>
          <t>Delivered</t>
        </is>
      </c>
      <c r="J2451" t="n">
        <v>120</v>
      </c>
      <c r="K2451" t="n">
        <v>1</v>
      </c>
      <c r="L2451" s="7" t="n">
        <v>734</v>
      </c>
      <c r="M2451" s="7" t="n">
        <v>0</v>
      </c>
    </row>
    <row r="2452">
      <c r="A2452" t="n">
        <v>510603</v>
      </c>
      <c r="B2452" s="6" t="n">
        <v>45965</v>
      </c>
      <c r="C2452" t="n">
        <v>17065</v>
      </c>
      <c r="D2452" t="inlineStr">
        <is>
          <t>Indore</t>
        </is>
      </c>
      <c r="E2452" t="inlineStr">
        <is>
          <t>West</t>
        </is>
      </c>
      <c r="F2452" t="inlineStr">
        <is>
          <t>Email</t>
        </is>
      </c>
      <c r="G2452" t="inlineStr">
        <is>
          <t>Mobile App</t>
        </is>
      </c>
      <c r="H2452" t="inlineStr">
        <is>
          <t>Cash on Delivery</t>
        </is>
      </c>
      <c r="I2452" t="inlineStr">
        <is>
          <t>Delivered</t>
        </is>
      </c>
      <c r="J2452" t="n">
        <v>116</v>
      </c>
      <c r="K2452" t="n">
        <v>1</v>
      </c>
      <c r="L2452" s="7" t="n">
        <v>2624</v>
      </c>
      <c r="M2452" s="7" t="n">
        <v>0</v>
      </c>
    </row>
    <row r="2453">
      <c r="A2453" t="n">
        <v>510604</v>
      </c>
      <c r="B2453" s="6" t="n">
        <v>45965</v>
      </c>
      <c r="C2453" t="n">
        <v>16505</v>
      </c>
      <c r="D2453" t="inlineStr">
        <is>
          <t>Mumbai</t>
        </is>
      </c>
      <c r="E2453" t="inlineStr">
        <is>
          <t>West</t>
        </is>
      </c>
      <c r="F2453" t="inlineStr">
        <is>
          <t>Paid Search</t>
        </is>
      </c>
      <c r="G2453" t="inlineStr">
        <is>
          <t>Desktop</t>
        </is>
      </c>
      <c r="H2453" t="inlineStr">
        <is>
          <t>Cash on Delivery</t>
        </is>
      </c>
      <c r="I2453" t="inlineStr">
        <is>
          <t>Cancelled</t>
        </is>
      </c>
      <c r="J2453" t="n">
        <v>117</v>
      </c>
      <c r="K2453" t="n">
        <v>1</v>
      </c>
      <c r="L2453" s="7" t="n">
        <v>3149</v>
      </c>
      <c r="M2453" s="7" t="n">
        <v>0</v>
      </c>
    </row>
    <row r="2454">
      <c r="A2454" t="n">
        <v>510605</v>
      </c>
      <c r="B2454" s="6" t="n">
        <v>45965</v>
      </c>
      <c r="C2454" t="n">
        <v>16677</v>
      </c>
      <c r="D2454" t="inlineStr">
        <is>
          <t>Hyderabad</t>
        </is>
      </c>
      <c r="E2454" t="inlineStr">
        <is>
          <t>South</t>
        </is>
      </c>
      <c r="F2454" t="inlineStr">
        <is>
          <t>Paid Social</t>
        </is>
      </c>
      <c r="G2454" t="inlineStr">
        <is>
          <t>Mobile App</t>
        </is>
      </c>
      <c r="H2454" t="inlineStr">
        <is>
          <t>Credit Card</t>
        </is>
      </c>
      <c r="I2454" t="inlineStr">
        <is>
          <t>Delivered</t>
        </is>
      </c>
      <c r="J2454" t="n">
        <v>120</v>
      </c>
      <c r="K2454" t="n">
        <v>1</v>
      </c>
      <c r="L2454" s="7" t="n">
        <v>734</v>
      </c>
      <c r="M2454" s="7" t="n">
        <v>0</v>
      </c>
    </row>
    <row r="2455">
      <c r="A2455" t="n">
        <v>510606</v>
      </c>
      <c r="B2455" s="6" t="n">
        <v>45965</v>
      </c>
      <c r="C2455" t="n">
        <v>17152</v>
      </c>
      <c r="D2455" t="inlineStr">
        <is>
          <t>Jaipur</t>
        </is>
      </c>
      <c r="E2455" t="inlineStr">
        <is>
          <t>North</t>
        </is>
      </c>
      <c r="F2455" t="inlineStr">
        <is>
          <t>Paid Search</t>
        </is>
      </c>
      <c r="G2455" t="inlineStr">
        <is>
          <t>Mobile App</t>
        </is>
      </c>
      <c r="H2455" t="inlineStr">
        <is>
          <t>UPI</t>
        </is>
      </c>
      <c r="I2455" t="inlineStr">
        <is>
          <t>Cancelled</t>
        </is>
      </c>
      <c r="J2455" t="n">
        <v>114</v>
      </c>
      <c r="K2455" t="n">
        <v>1</v>
      </c>
      <c r="L2455" s="7" t="n">
        <v>1259</v>
      </c>
      <c r="M2455" s="7" t="n">
        <v>188.85</v>
      </c>
    </row>
    <row r="2456">
      <c r="A2456" t="n">
        <v>510607</v>
      </c>
      <c r="B2456" s="6" t="n">
        <v>45965</v>
      </c>
      <c r="C2456" t="n">
        <v>17083</v>
      </c>
      <c r="D2456" t="inlineStr">
        <is>
          <t>Chandigarh</t>
        </is>
      </c>
      <c r="E2456" t="inlineStr">
        <is>
          <t>North</t>
        </is>
      </c>
      <c r="F2456" t="inlineStr">
        <is>
          <t>Organic Search</t>
        </is>
      </c>
      <c r="G2456" t="inlineStr">
        <is>
          <t>Mobile Web</t>
        </is>
      </c>
      <c r="H2456" t="inlineStr">
        <is>
          <t>Net Banking</t>
        </is>
      </c>
      <c r="I2456" t="inlineStr">
        <is>
          <t>Delivered</t>
        </is>
      </c>
      <c r="J2456" t="n">
        <v>102</v>
      </c>
      <c r="K2456" t="n">
        <v>1</v>
      </c>
      <c r="L2456" s="7" t="n">
        <v>3674</v>
      </c>
      <c r="M2456" s="7" t="n">
        <v>551.1</v>
      </c>
    </row>
    <row r="2457">
      <c r="A2457" t="n">
        <v>510607</v>
      </c>
      <c r="B2457" s="6" t="n">
        <v>45965</v>
      </c>
      <c r="C2457" t="n">
        <v>17083</v>
      </c>
      <c r="D2457" t="inlineStr">
        <is>
          <t>Chandigarh</t>
        </is>
      </c>
      <c r="E2457" t="inlineStr">
        <is>
          <t>North</t>
        </is>
      </c>
      <c r="F2457" t="inlineStr">
        <is>
          <t>Organic Search</t>
        </is>
      </c>
      <c r="G2457" t="inlineStr">
        <is>
          <t>Mobile Web</t>
        </is>
      </c>
      <c r="H2457" t="inlineStr">
        <is>
          <t>Net Banking</t>
        </is>
      </c>
      <c r="I2457" t="inlineStr">
        <is>
          <t>Delivered</t>
        </is>
      </c>
      <c r="J2457" t="n">
        <v>128</v>
      </c>
      <c r="K2457" t="n">
        <v>1</v>
      </c>
      <c r="L2457" s="7" t="n">
        <v>1049</v>
      </c>
      <c r="M2457" s="7" t="n">
        <v>157.35</v>
      </c>
    </row>
    <row r="2458">
      <c r="A2458" t="n">
        <v>510607</v>
      </c>
      <c r="B2458" s="6" t="n">
        <v>45965</v>
      </c>
      <c r="C2458" t="n">
        <v>17083</v>
      </c>
      <c r="D2458" t="inlineStr">
        <is>
          <t>Chandigarh</t>
        </is>
      </c>
      <c r="E2458" t="inlineStr">
        <is>
          <t>North</t>
        </is>
      </c>
      <c r="F2458" t="inlineStr">
        <is>
          <t>Organic Search</t>
        </is>
      </c>
      <c r="G2458" t="inlineStr">
        <is>
          <t>Mobile Web</t>
        </is>
      </c>
      <c r="H2458" t="inlineStr">
        <is>
          <t>Net Banking</t>
        </is>
      </c>
      <c r="I2458" t="inlineStr">
        <is>
          <t>Delivered</t>
        </is>
      </c>
      <c r="J2458" t="n">
        <v>115</v>
      </c>
      <c r="K2458" t="n">
        <v>1</v>
      </c>
      <c r="L2458" s="7" t="n">
        <v>4199</v>
      </c>
      <c r="M2458" s="7" t="n">
        <v>629.85</v>
      </c>
    </row>
    <row r="2459">
      <c r="A2459" t="n">
        <v>510608</v>
      </c>
      <c r="B2459" s="6" t="n">
        <v>45965</v>
      </c>
      <c r="C2459" t="n">
        <v>17182</v>
      </c>
      <c r="D2459" t="inlineStr">
        <is>
          <t>Lucknow</t>
        </is>
      </c>
      <c r="E2459" t="inlineStr">
        <is>
          <t>North</t>
        </is>
      </c>
      <c r="F2459" t="inlineStr">
        <is>
          <t>Paid Social</t>
        </is>
      </c>
      <c r="G2459" t="inlineStr">
        <is>
          <t>Mobile App</t>
        </is>
      </c>
      <c r="H2459" t="inlineStr">
        <is>
          <t>Cash on Delivery</t>
        </is>
      </c>
      <c r="I2459" t="inlineStr">
        <is>
          <t>Delivered</t>
        </is>
      </c>
      <c r="J2459" t="n">
        <v>108</v>
      </c>
      <c r="K2459" t="n">
        <v>1</v>
      </c>
      <c r="L2459" s="7" t="n">
        <v>419</v>
      </c>
      <c r="M2459" s="7" t="n">
        <v>0</v>
      </c>
    </row>
    <row r="2460">
      <c r="A2460" t="n">
        <v>510609</v>
      </c>
      <c r="B2460" s="6" t="n">
        <v>45965</v>
      </c>
      <c r="C2460" t="n">
        <v>17154</v>
      </c>
      <c r="D2460" t="inlineStr">
        <is>
          <t>Hyderabad</t>
        </is>
      </c>
      <c r="E2460" t="inlineStr">
        <is>
          <t>South</t>
        </is>
      </c>
      <c r="F2460" t="inlineStr">
        <is>
          <t>Organic Search</t>
        </is>
      </c>
      <c r="G2460" t="inlineStr">
        <is>
          <t>Desktop</t>
        </is>
      </c>
      <c r="H2460" t="inlineStr">
        <is>
          <t>UPI</t>
        </is>
      </c>
      <c r="I2460" t="inlineStr">
        <is>
          <t>Delivered</t>
        </is>
      </c>
      <c r="J2460" t="n">
        <v>122</v>
      </c>
      <c r="K2460" t="n">
        <v>1</v>
      </c>
      <c r="L2460" s="7" t="n">
        <v>1994</v>
      </c>
      <c r="M2460" s="7" t="n">
        <v>0</v>
      </c>
    </row>
    <row r="2461">
      <c r="A2461" t="n">
        <v>510609</v>
      </c>
      <c r="B2461" s="6" t="n">
        <v>45965</v>
      </c>
      <c r="C2461" t="n">
        <v>17154</v>
      </c>
      <c r="D2461" t="inlineStr">
        <is>
          <t>Hyderabad</t>
        </is>
      </c>
      <c r="E2461" t="inlineStr">
        <is>
          <t>South</t>
        </is>
      </c>
      <c r="F2461" t="inlineStr">
        <is>
          <t>Organic Search</t>
        </is>
      </c>
      <c r="G2461" t="inlineStr">
        <is>
          <t>Desktop</t>
        </is>
      </c>
      <c r="H2461" t="inlineStr">
        <is>
          <t>UPI</t>
        </is>
      </c>
      <c r="I2461" t="inlineStr">
        <is>
          <t>Delivered</t>
        </is>
      </c>
      <c r="J2461" t="n">
        <v>117</v>
      </c>
      <c r="K2461" t="n">
        <v>1</v>
      </c>
      <c r="L2461" s="7" t="n">
        <v>3149</v>
      </c>
      <c r="M2461" s="7" t="n">
        <v>0</v>
      </c>
    </row>
    <row r="2462">
      <c r="A2462" t="n">
        <v>510610</v>
      </c>
      <c r="B2462" s="6" t="n">
        <v>45965</v>
      </c>
      <c r="C2462" t="n">
        <v>13348</v>
      </c>
      <c r="D2462" t="inlineStr">
        <is>
          <t>Jaipur</t>
        </is>
      </c>
      <c r="E2462" t="inlineStr">
        <is>
          <t>North</t>
        </is>
      </c>
      <c r="F2462" t="inlineStr">
        <is>
          <t>Email</t>
        </is>
      </c>
      <c r="G2462" t="inlineStr">
        <is>
          <t>Desktop</t>
        </is>
      </c>
      <c r="H2462" t="inlineStr">
        <is>
          <t>Credit Card</t>
        </is>
      </c>
      <c r="I2462" t="inlineStr">
        <is>
          <t>Delivered</t>
        </is>
      </c>
      <c r="J2462" t="n">
        <v>113</v>
      </c>
      <c r="K2462" t="n">
        <v>1</v>
      </c>
      <c r="L2462" s="7" t="n">
        <v>1364</v>
      </c>
      <c r="M2462" s="7" t="n">
        <v>0</v>
      </c>
    </row>
    <row r="2463">
      <c r="A2463" t="n">
        <v>510611</v>
      </c>
      <c r="B2463" s="6" t="n">
        <v>45965</v>
      </c>
      <c r="C2463" t="n">
        <v>17146</v>
      </c>
      <c r="D2463" t="inlineStr">
        <is>
          <t>Jaipur</t>
        </is>
      </c>
      <c r="E2463" t="inlineStr">
        <is>
          <t>North</t>
        </is>
      </c>
      <c r="F2463" t="inlineStr">
        <is>
          <t>Paid Social</t>
        </is>
      </c>
      <c r="G2463" t="inlineStr">
        <is>
          <t>Mobile App</t>
        </is>
      </c>
      <c r="H2463" t="inlineStr">
        <is>
          <t>Cash on Delivery</t>
        </is>
      </c>
      <c r="I2463" t="inlineStr">
        <is>
          <t>Delivered</t>
        </is>
      </c>
      <c r="J2463" t="n">
        <v>117</v>
      </c>
      <c r="K2463" t="n">
        <v>1</v>
      </c>
      <c r="L2463" s="7" t="n">
        <v>3149</v>
      </c>
      <c r="M2463" s="7" t="n">
        <v>157.45</v>
      </c>
    </row>
    <row r="2464">
      <c r="A2464" t="n">
        <v>510612</v>
      </c>
      <c r="B2464" s="6" t="n">
        <v>45965</v>
      </c>
      <c r="C2464" t="n">
        <v>17133</v>
      </c>
      <c r="D2464" t="inlineStr">
        <is>
          <t>Delhi</t>
        </is>
      </c>
      <c r="E2464" t="inlineStr">
        <is>
          <t>North</t>
        </is>
      </c>
      <c r="F2464" t="inlineStr">
        <is>
          <t>Paid Social</t>
        </is>
      </c>
      <c r="G2464" t="inlineStr">
        <is>
          <t>Mobile App</t>
        </is>
      </c>
      <c r="H2464" t="inlineStr">
        <is>
          <t>UPI</t>
        </is>
      </c>
      <c r="I2464" t="inlineStr">
        <is>
          <t>Delivered</t>
        </is>
      </c>
      <c r="J2464" t="n">
        <v>107</v>
      </c>
      <c r="K2464" t="n">
        <v>1</v>
      </c>
      <c r="L2464" s="7" t="n">
        <v>1259</v>
      </c>
      <c r="M2464" s="7" t="n">
        <v>188.85</v>
      </c>
    </row>
    <row r="2465">
      <c r="A2465" t="n">
        <v>510612</v>
      </c>
      <c r="B2465" s="6" t="n">
        <v>45965</v>
      </c>
      <c r="C2465" t="n">
        <v>17133</v>
      </c>
      <c r="D2465" t="inlineStr">
        <is>
          <t>Delhi</t>
        </is>
      </c>
      <c r="E2465" t="inlineStr">
        <is>
          <t>North</t>
        </is>
      </c>
      <c r="F2465" t="inlineStr">
        <is>
          <t>Paid Social</t>
        </is>
      </c>
      <c r="G2465" t="inlineStr">
        <is>
          <t>Mobile App</t>
        </is>
      </c>
      <c r="H2465" t="inlineStr">
        <is>
          <t>UPI</t>
        </is>
      </c>
      <c r="I2465" t="inlineStr">
        <is>
          <t>Delivered</t>
        </is>
      </c>
      <c r="J2465" t="n">
        <v>104</v>
      </c>
      <c r="K2465" t="n">
        <v>1</v>
      </c>
      <c r="L2465" s="7" t="n">
        <v>5249</v>
      </c>
      <c r="M2465" s="7" t="n">
        <v>787.35</v>
      </c>
    </row>
    <row r="2466">
      <c r="A2466" t="n">
        <v>510613</v>
      </c>
      <c r="B2466" s="6" t="n">
        <v>45965</v>
      </c>
      <c r="C2466" t="n">
        <v>17176</v>
      </c>
      <c r="D2466" t="inlineStr">
        <is>
          <t>Kolkata</t>
        </is>
      </c>
      <c r="E2466" t="inlineStr">
        <is>
          <t>East</t>
        </is>
      </c>
      <c r="F2466" t="inlineStr">
        <is>
          <t>Organic Search</t>
        </is>
      </c>
      <c r="G2466" t="inlineStr">
        <is>
          <t>Mobile App</t>
        </is>
      </c>
      <c r="H2466" t="inlineStr">
        <is>
          <t>UPI</t>
        </is>
      </c>
      <c r="I2466" t="inlineStr">
        <is>
          <t>Delivered</t>
        </is>
      </c>
      <c r="J2466" t="n">
        <v>148</v>
      </c>
      <c r="K2466" t="n">
        <v>1</v>
      </c>
      <c r="L2466" s="7" t="n">
        <v>734</v>
      </c>
      <c r="M2466" s="7" t="n">
        <v>0</v>
      </c>
    </row>
    <row r="2467">
      <c r="A2467" t="n">
        <v>510613</v>
      </c>
      <c r="B2467" s="6" t="n">
        <v>45965</v>
      </c>
      <c r="C2467" t="n">
        <v>17176</v>
      </c>
      <c r="D2467" t="inlineStr">
        <is>
          <t>Kolkata</t>
        </is>
      </c>
      <c r="E2467" t="inlineStr">
        <is>
          <t>East</t>
        </is>
      </c>
      <c r="F2467" t="inlineStr">
        <is>
          <t>Organic Search</t>
        </is>
      </c>
      <c r="G2467" t="inlineStr">
        <is>
          <t>Mobile App</t>
        </is>
      </c>
      <c r="H2467" t="inlineStr">
        <is>
          <t>UPI</t>
        </is>
      </c>
      <c r="I2467" t="inlineStr">
        <is>
          <t>Delivered</t>
        </is>
      </c>
      <c r="J2467" t="n">
        <v>135</v>
      </c>
      <c r="K2467" t="n">
        <v>1</v>
      </c>
      <c r="L2467" s="7" t="n">
        <v>1574</v>
      </c>
      <c r="M2467" s="7" t="n">
        <v>0</v>
      </c>
    </row>
    <row r="2468">
      <c r="A2468" t="n">
        <v>510614</v>
      </c>
      <c r="B2468" s="6" t="n">
        <v>45965</v>
      </c>
      <c r="C2468" t="n">
        <v>10075</v>
      </c>
      <c r="D2468" t="inlineStr">
        <is>
          <t>Pune</t>
        </is>
      </c>
      <c r="E2468" t="inlineStr">
        <is>
          <t>West</t>
        </is>
      </c>
      <c r="F2468" t="inlineStr">
        <is>
          <t>Paid Social</t>
        </is>
      </c>
      <c r="G2468" t="inlineStr">
        <is>
          <t>Mobile Web</t>
        </is>
      </c>
      <c r="H2468" t="inlineStr">
        <is>
          <t>UPI</t>
        </is>
      </c>
      <c r="I2468" t="inlineStr">
        <is>
          <t>Delivered</t>
        </is>
      </c>
      <c r="J2468" t="n">
        <v>103</v>
      </c>
      <c r="K2468" t="n">
        <v>3</v>
      </c>
      <c r="L2468" s="7" t="n">
        <v>2624</v>
      </c>
      <c r="M2468" s="7" t="n">
        <v>0</v>
      </c>
    </row>
    <row r="2469">
      <c r="A2469" t="n">
        <v>510615</v>
      </c>
      <c r="B2469" s="6" t="n">
        <v>45965</v>
      </c>
      <c r="C2469" t="n">
        <v>13476</v>
      </c>
      <c r="D2469" t="inlineStr">
        <is>
          <t>Mumbai</t>
        </is>
      </c>
      <c r="E2469" t="inlineStr">
        <is>
          <t>West</t>
        </is>
      </c>
      <c r="F2469" t="inlineStr">
        <is>
          <t>Organic Search</t>
        </is>
      </c>
      <c r="G2469" t="inlineStr">
        <is>
          <t>Mobile App</t>
        </is>
      </c>
      <c r="H2469" t="inlineStr">
        <is>
          <t>Credit Card</t>
        </is>
      </c>
      <c r="I2469" t="inlineStr">
        <is>
          <t>Returned</t>
        </is>
      </c>
      <c r="J2469" t="n">
        <v>116</v>
      </c>
      <c r="K2469" t="n">
        <v>1</v>
      </c>
      <c r="L2469" s="7" t="n">
        <v>2624</v>
      </c>
      <c r="M2469" s="7" t="n">
        <v>131.2</v>
      </c>
    </row>
    <row r="2470">
      <c r="A2470" t="n">
        <v>510615</v>
      </c>
      <c r="B2470" s="6" t="n">
        <v>45965</v>
      </c>
      <c r="C2470" t="n">
        <v>13476</v>
      </c>
      <c r="D2470" t="inlineStr">
        <is>
          <t>Mumbai</t>
        </is>
      </c>
      <c r="E2470" t="inlineStr">
        <is>
          <t>West</t>
        </is>
      </c>
      <c r="F2470" t="inlineStr">
        <is>
          <t>Organic Search</t>
        </is>
      </c>
      <c r="G2470" t="inlineStr">
        <is>
          <t>Mobile App</t>
        </is>
      </c>
      <c r="H2470" t="inlineStr">
        <is>
          <t>Credit Card</t>
        </is>
      </c>
      <c r="I2470" t="inlineStr">
        <is>
          <t>Returned</t>
        </is>
      </c>
      <c r="J2470" t="n">
        <v>109</v>
      </c>
      <c r="K2470" t="n">
        <v>1</v>
      </c>
      <c r="L2470" s="7" t="n">
        <v>4199</v>
      </c>
      <c r="M2470" s="7" t="n">
        <v>209.95</v>
      </c>
    </row>
    <row r="2471">
      <c r="A2471" t="n">
        <v>510616</v>
      </c>
      <c r="B2471" s="6" t="n">
        <v>45965</v>
      </c>
      <c r="C2471" t="n">
        <v>17185</v>
      </c>
      <c r="D2471" t="inlineStr">
        <is>
          <t>Indore</t>
        </is>
      </c>
      <c r="E2471" t="inlineStr">
        <is>
          <t>West</t>
        </is>
      </c>
      <c r="F2471" t="inlineStr">
        <is>
          <t>Paid Search</t>
        </is>
      </c>
      <c r="G2471" t="inlineStr">
        <is>
          <t>Desktop</t>
        </is>
      </c>
      <c r="H2471" t="inlineStr">
        <is>
          <t>Credit Card</t>
        </is>
      </c>
      <c r="I2471" t="inlineStr">
        <is>
          <t>Delivered</t>
        </is>
      </c>
      <c r="J2471" t="n">
        <v>137</v>
      </c>
      <c r="K2471" t="n">
        <v>2</v>
      </c>
      <c r="L2471" s="7" t="n">
        <v>261</v>
      </c>
      <c r="M2471" s="7" t="n">
        <v>0</v>
      </c>
    </row>
    <row r="2472">
      <c r="A2472" t="n">
        <v>510617</v>
      </c>
      <c r="B2472" s="6" t="n">
        <v>45966</v>
      </c>
      <c r="C2472" t="n">
        <v>17102</v>
      </c>
      <c r="D2472" t="inlineStr">
        <is>
          <t>Hyderabad</t>
        </is>
      </c>
      <c r="E2472" t="inlineStr">
        <is>
          <t>South</t>
        </is>
      </c>
      <c r="F2472" t="inlineStr">
        <is>
          <t>Organic Search</t>
        </is>
      </c>
      <c r="G2472" t="inlineStr">
        <is>
          <t>Mobile Web</t>
        </is>
      </c>
      <c r="H2472" t="inlineStr">
        <is>
          <t>Cash on Delivery</t>
        </is>
      </c>
      <c r="I2472" t="inlineStr">
        <is>
          <t>Delivered</t>
        </is>
      </c>
      <c r="J2472" t="n">
        <v>109</v>
      </c>
      <c r="K2472" t="n">
        <v>2</v>
      </c>
      <c r="L2472" s="7" t="n">
        <v>4199</v>
      </c>
      <c r="M2472" s="7" t="n">
        <v>419.9</v>
      </c>
    </row>
    <row r="2473">
      <c r="A2473" t="n">
        <v>510617</v>
      </c>
      <c r="B2473" s="6" t="n">
        <v>45966</v>
      </c>
      <c r="C2473" t="n">
        <v>17102</v>
      </c>
      <c r="D2473" t="inlineStr">
        <is>
          <t>Hyderabad</t>
        </is>
      </c>
      <c r="E2473" t="inlineStr">
        <is>
          <t>South</t>
        </is>
      </c>
      <c r="F2473" t="inlineStr">
        <is>
          <t>Organic Search</t>
        </is>
      </c>
      <c r="G2473" t="inlineStr">
        <is>
          <t>Mobile Web</t>
        </is>
      </c>
      <c r="H2473" t="inlineStr">
        <is>
          <t>Cash on Delivery</t>
        </is>
      </c>
      <c r="I2473" t="inlineStr">
        <is>
          <t>Delivered</t>
        </is>
      </c>
      <c r="J2473" t="n">
        <v>108</v>
      </c>
      <c r="K2473" t="n">
        <v>1</v>
      </c>
      <c r="L2473" s="7" t="n">
        <v>419</v>
      </c>
      <c r="M2473" s="7" t="n">
        <v>20.95</v>
      </c>
    </row>
    <row r="2474">
      <c r="A2474" t="n">
        <v>510618</v>
      </c>
      <c r="B2474" s="6" t="n">
        <v>45966</v>
      </c>
      <c r="C2474" t="n">
        <v>17193</v>
      </c>
      <c r="D2474" t="inlineStr">
        <is>
          <t>Bengaluru</t>
        </is>
      </c>
      <c r="E2474" t="inlineStr">
        <is>
          <t>South</t>
        </is>
      </c>
      <c r="F2474" t="inlineStr">
        <is>
          <t>Referral</t>
        </is>
      </c>
      <c r="G2474" t="inlineStr">
        <is>
          <t>Mobile Web</t>
        </is>
      </c>
      <c r="H2474" t="inlineStr">
        <is>
          <t>UPI</t>
        </is>
      </c>
      <c r="I2474" t="inlineStr">
        <is>
          <t>Delivered</t>
        </is>
      </c>
      <c r="J2474" t="n">
        <v>137</v>
      </c>
      <c r="K2474" t="n">
        <v>2</v>
      </c>
      <c r="L2474" s="7" t="n">
        <v>261</v>
      </c>
      <c r="M2474" s="7" t="n">
        <v>0</v>
      </c>
    </row>
    <row r="2475">
      <c r="A2475" t="n">
        <v>510619</v>
      </c>
      <c r="B2475" s="6" t="n">
        <v>45966</v>
      </c>
      <c r="C2475" t="n">
        <v>17142</v>
      </c>
      <c r="D2475" t="inlineStr">
        <is>
          <t>Delhi</t>
        </is>
      </c>
      <c r="E2475" t="inlineStr">
        <is>
          <t>North</t>
        </is>
      </c>
      <c r="F2475" t="inlineStr">
        <is>
          <t>Email</t>
        </is>
      </c>
      <c r="G2475" t="inlineStr">
        <is>
          <t>Mobile Web</t>
        </is>
      </c>
      <c r="H2475" t="inlineStr">
        <is>
          <t>UPI</t>
        </is>
      </c>
      <c r="I2475" t="inlineStr">
        <is>
          <t>Delivered</t>
        </is>
      </c>
      <c r="J2475" t="n">
        <v>107</v>
      </c>
      <c r="K2475" t="n">
        <v>1</v>
      </c>
      <c r="L2475" s="7" t="n">
        <v>1259</v>
      </c>
      <c r="M2475" s="7" t="n">
        <v>0</v>
      </c>
    </row>
    <row r="2476">
      <c r="A2476" t="n">
        <v>510619</v>
      </c>
      <c r="B2476" s="6" t="n">
        <v>45966</v>
      </c>
      <c r="C2476" t="n">
        <v>17142</v>
      </c>
      <c r="D2476" t="inlineStr">
        <is>
          <t>Delhi</t>
        </is>
      </c>
      <c r="E2476" t="inlineStr">
        <is>
          <t>North</t>
        </is>
      </c>
      <c r="F2476" t="inlineStr">
        <is>
          <t>Email</t>
        </is>
      </c>
      <c r="G2476" t="inlineStr">
        <is>
          <t>Mobile Web</t>
        </is>
      </c>
      <c r="H2476" t="inlineStr">
        <is>
          <t>UPI</t>
        </is>
      </c>
      <c r="I2476" t="inlineStr">
        <is>
          <t>Delivered</t>
        </is>
      </c>
      <c r="J2476" t="n">
        <v>128</v>
      </c>
      <c r="K2476" t="n">
        <v>1</v>
      </c>
      <c r="L2476" s="7" t="n">
        <v>1049</v>
      </c>
      <c r="M2476" s="7" t="n">
        <v>0</v>
      </c>
    </row>
    <row r="2477">
      <c r="A2477" t="n">
        <v>510620</v>
      </c>
      <c r="B2477" s="6" t="n">
        <v>45966</v>
      </c>
      <c r="C2477" t="n">
        <v>17105</v>
      </c>
      <c r="D2477" t="inlineStr">
        <is>
          <t>Delhi</t>
        </is>
      </c>
      <c r="E2477" t="inlineStr">
        <is>
          <t>North</t>
        </is>
      </c>
      <c r="F2477" t="inlineStr">
        <is>
          <t>Organic Search</t>
        </is>
      </c>
      <c r="G2477" t="inlineStr">
        <is>
          <t>Mobile App</t>
        </is>
      </c>
      <c r="H2477" t="inlineStr">
        <is>
          <t>Cash on Delivery</t>
        </is>
      </c>
      <c r="I2477" t="inlineStr">
        <is>
          <t>Delivered</t>
        </is>
      </c>
      <c r="J2477" t="n">
        <v>113</v>
      </c>
      <c r="K2477" t="n">
        <v>1</v>
      </c>
      <c r="L2477" s="7" t="n">
        <v>1364</v>
      </c>
      <c r="M2477" s="7" t="n">
        <v>0</v>
      </c>
    </row>
    <row r="2478">
      <c r="A2478" t="n">
        <v>510620</v>
      </c>
      <c r="B2478" s="6" t="n">
        <v>45966</v>
      </c>
      <c r="C2478" t="n">
        <v>17105</v>
      </c>
      <c r="D2478" t="inlineStr">
        <is>
          <t>Delhi</t>
        </is>
      </c>
      <c r="E2478" t="inlineStr">
        <is>
          <t>North</t>
        </is>
      </c>
      <c r="F2478" t="inlineStr">
        <is>
          <t>Organic Search</t>
        </is>
      </c>
      <c r="G2478" t="inlineStr">
        <is>
          <t>Mobile App</t>
        </is>
      </c>
      <c r="H2478" t="inlineStr">
        <is>
          <t>Cash on Delivery</t>
        </is>
      </c>
      <c r="I2478" t="inlineStr">
        <is>
          <t>Delivered</t>
        </is>
      </c>
      <c r="J2478" t="n">
        <v>126</v>
      </c>
      <c r="K2478" t="n">
        <v>1</v>
      </c>
      <c r="L2478" s="7" t="n">
        <v>471</v>
      </c>
      <c r="M2478" s="7" t="n">
        <v>0</v>
      </c>
    </row>
    <row r="2479">
      <c r="A2479" t="n">
        <v>510620</v>
      </c>
      <c r="B2479" s="6" t="n">
        <v>45966</v>
      </c>
      <c r="C2479" t="n">
        <v>17105</v>
      </c>
      <c r="D2479" t="inlineStr">
        <is>
          <t>Delhi</t>
        </is>
      </c>
      <c r="E2479" t="inlineStr">
        <is>
          <t>North</t>
        </is>
      </c>
      <c r="F2479" t="inlineStr">
        <is>
          <t>Organic Search</t>
        </is>
      </c>
      <c r="G2479" t="inlineStr">
        <is>
          <t>Mobile App</t>
        </is>
      </c>
      <c r="H2479" t="inlineStr">
        <is>
          <t>Cash on Delivery</t>
        </is>
      </c>
      <c r="I2479" t="inlineStr">
        <is>
          <t>Delivered</t>
        </is>
      </c>
      <c r="J2479" t="n">
        <v>108</v>
      </c>
      <c r="K2479" t="n">
        <v>1</v>
      </c>
      <c r="L2479" s="7" t="n">
        <v>419</v>
      </c>
      <c r="M2479" s="7" t="n">
        <v>0</v>
      </c>
    </row>
    <row r="2480">
      <c r="A2480" t="n">
        <v>510621</v>
      </c>
      <c r="B2480" s="6" t="n">
        <v>45966</v>
      </c>
      <c r="C2480" t="n">
        <v>17004</v>
      </c>
      <c r="D2480" t="inlineStr">
        <is>
          <t>Bengaluru</t>
        </is>
      </c>
      <c r="E2480" t="inlineStr">
        <is>
          <t>South</t>
        </is>
      </c>
      <c r="F2480" t="inlineStr">
        <is>
          <t>Email</t>
        </is>
      </c>
      <c r="G2480" t="inlineStr">
        <is>
          <t>Mobile Web</t>
        </is>
      </c>
      <c r="H2480" t="inlineStr">
        <is>
          <t>UPI</t>
        </is>
      </c>
      <c r="I2480" t="inlineStr">
        <is>
          <t>Returned</t>
        </is>
      </c>
      <c r="J2480" t="n">
        <v>118</v>
      </c>
      <c r="K2480" t="n">
        <v>1</v>
      </c>
      <c r="L2480" s="7" t="n">
        <v>944</v>
      </c>
      <c r="M2480" s="7" t="n">
        <v>0</v>
      </c>
    </row>
    <row r="2481">
      <c r="A2481" t="n">
        <v>510622</v>
      </c>
      <c r="B2481" s="6" t="n">
        <v>45966</v>
      </c>
      <c r="C2481" t="n">
        <v>17178</v>
      </c>
      <c r="D2481" t="inlineStr">
        <is>
          <t>Bengaluru</t>
        </is>
      </c>
      <c r="E2481" t="inlineStr">
        <is>
          <t>South</t>
        </is>
      </c>
      <c r="F2481" t="inlineStr">
        <is>
          <t>Paid Search</t>
        </is>
      </c>
      <c r="G2481" t="inlineStr">
        <is>
          <t>Mobile Web</t>
        </is>
      </c>
      <c r="H2481" t="inlineStr">
        <is>
          <t>UPI</t>
        </is>
      </c>
      <c r="I2481" t="inlineStr">
        <is>
          <t>Delivered</t>
        </is>
      </c>
      <c r="J2481" t="n">
        <v>112</v>
      </c>
      <c r="K2481" t="n">
        <v>1</v>
      </c>
      <c r="L2481" s="7" t="n">
        <v>1574</v>
      </c>
      <c r="M2481" s="7" t="n">
        <v>236.1</v>
      </c>
    </row>
    <row r="2482">
      <c r="A2482" t="n">
        <v>510623</v>
      </c>
      <c r="B2482" s="6" t="n">
        <v>45966</v>
      </c>
      <c r="C2482" t="n">
        <v>17200</v>
      </c>
      <c r="D2482" t="inlineStr">
        <is>
          <t>Chennai</t>
        </is>
      </c>
      <c r="E2482" t="inlineStr">
        <is>
          <t>South</t>
        </is>
      </c>
      <c r="F2482" t="inlineStr">
        <is>
          <t>Organic Search</t>
        </is>
      </c>
      <c r="G2482" t="inlineStr">
        <is>
          <t>Mobile App</t>
        </is>
      </c>
      <c r="H2482" t="inlineStr">
        <is>
          <t>Cash on Delivery</t>
        </is>
      </c>
      <c r="I2482" t="inlineStr">
        <is>
          <t>Delivered</t>
        </is>
      </c>
      <c r="J2482" t="n">
        <v>146</v>
      </c>
      <c r="K2482" t="n">
        <v>1</v>
      </c>
      <c r="L2482" s="7" t="n">
        <v>4724</v>
      </c>
      <c r="M2482" s="7" t="n">
        <v>0</v>
      </c>
    </row>
    <row r="2483">
      <c r="A2483" t="n">
        <v>510624</v>
      </c>
      <c r="B2483" s="6" t="n">
        <v>45966</v>
      </c>
      <c r="C2483" t="n">
        <v>17130</v>
      </c>
      <c r="D2483" t="inlineStr">
        <is>
          <t>Bengaluru</t>
        </is>
      </c>
      <c r="E2483" t="inlineStr">
        <is>
          <t>South</t>
        </is>
      </c>
      <c r="F2483" t="inlineStr">
        <is>
          <t>Organic Search</t>
        </is>
      </c>
      <c r="G2483" t="inlineStr">
        <is>
          <t>Mobile Web</t>
        </is>
      </c>
      <c r="H2483" t="inlineStr">
        <is>
          <t>Net Banking</t>
        </is>
      </c>
      <c r="I2483" t="inlineStr">
        <is>
          <t>Delivered</t>
        </is>
      </c>
      <c r="J2483" t="n">
        <v>123</v>
      </c>
      <c r="K2483" t="n">
        <v>1</v>
      </c>
      <c r="L2483" s="7" t="n">
        <v>3464</v>
      </c>
      <c r="M2483" s="7" t="n">
        <v>519.6</v>
      </c>
    </row>
    <row r="2484">
      <c r="A2484" t="n">
        <v>510624</v>
      </c>
      <c r="B2484" s="6" t="n">
        <v>45966</v>
      </c>
      <c r="C2484" t="n">
        <v>17130</v>
      </c>
      <c r="D2484" t="inlineStr">
        <is>
          <t>Bengaluru</t>
        </is>
      </c>
      <c r="E2484" t="inlineStr">
        <is>
          <t>South</t>
        </is>
      </c>
      <c r="F2484" t="inlineStr">
        <is>
          <t>Organic Search</t>
        </is>
      </c>
      <c r="G2484" t="inlineStr">
        <is>
          <t>Mobile Web</t>
        </is>
      </c>
      <c r="H2484" t="inlineStr">
        <is>
          <t>Net Banking</t>
        </is>
      </c>
      <c r="I2484" t="inlineStr">
        <is>
          <t>Delivered</t>
        </is>
      </c>
      <c r="J2484" t="n">
        <v>131</v>
      </c>
      <c r="K2484" t="n">
        <v>1</v>
      </c>
      <c r="L2484" s="7" t="n">
        <v>314</v>
      </c>
      <c r="M2484" s="7" t="n">
        <v>47.1</v>
      </c>
    </row>
    <row r="2485">
      <c r="A2485" t="n">
        <v>510624</v>
      </c>
      <c r="B2485" s="6" t="n">
        <v>45966</v>
      </c>
      <c r="C2485" t="n">
        <v>17130</v>
      </c>
      <c r="D2485" t="inlineStr">
        <is>
          <t>Bengaluru</t>
        </is>
      </c>
      <c r="E2485" t="inlineStr">
        <is>
          <t>South</t>
        </is>
      </c>
      <c r="F2485" t="inlineStr">
        <is>
          <t>Organic Search</t>
        </is>
      </c>
      <c r="G2485" t="inlineStr">
        <is>
          <t>Mobile Web</t>
        </is>
      </c>
      <c r="H2485" t="inlineStr">
        <is>
          <t>Net Banking</t>
        </is>
      </c>
      <c r="I2485" t="inlineStr">
        <is>
          <t>Delivered</t>
        </is>
      </c>
      <c r="J2485" t="n">
        <v>126</v>
      </c>
      <c r="K2485" t="n">
        <v>1</v>
      </c>
      <c r="L2485" s="7" t="n">
        <v>471</v>
      </c>
      <c r="M2485" s="7" t="n">
        <v>70.65000000000001</v>
      </c>
    </row>
    <row r="2486">
      <c r="A2486" t="n">
        <v>510625</v>
      </c>
      <c r="B2486" s="6" t="n">
        <v>45966</v>
      </c>
      <c r="C2486" t="n">
        <v>17181</v>
      </c>
      <c r="D2486" t="inlineStr">
        <is>
          <t>Bengaluru</t>
        </is>
      </c>
      <c r="E2486" t="inlineStr">
        <is>
          <t>South</t>
        </is>
      </c>
      <c r="F2486" t="inlineStr">
        <is>
          <t>Referral</t>
        </is>
      </c>
      <c r="G2486" t="inlineStr">
        <is>
          <t>Mobile App</t>
        </is>
      </c>
      <c r="H2486" t="inlineStr">
        <is>
          <t>Net Banking</t>
        </is>
      </c>
      <c r="I2486" t="inlineStr">
        <is>
          <t>Delivered</t>
        </is>
      </c>
      <c r="J2486" t="n">
        <v>115</v>
      </c>
      <c r="K2486" t="n">
        <v>1</v>
      </c>
      <c r="L2486" s="7" t="n">
        <v>4199</v>
      </c>
      <c r="M2486" s="7" t="n">
        <v>0</v>
      </c>
    </row>
    <row r="2487">
      <c r="A2487" t="n">
        <v>510626</v>
      </c>
      <c r="B2487" s="6" t="n">
        <v>45966</v>
      </c>
      <c r="C2487" t="n">
        <v>16029</v>
      </c>
      <c r="D2487" t="inlineStr">
        <is>
          <t>Noida</t>
        </is>
      </c>
      <c r="E2487" t="inlineStr">
        <is>
          <t>North</t>
        </is>
      </c>
      <c r="F2487" t="inlineStr">
        <is>
          <t>Referral</t>
        </is>
      </c>
      <c r="G2487" t="inlineStr">
        <is>
          <t>Mobile App</t>
        </is>
      </c>
      <c r="H2487" t="inlineStr">
        <is>
          <t>UPI</t>
        </is>
      </c>
      <c r="I2487" t="inlineStr">
        <is>
          <t>Delivered</t>
        </is>
      </c>
      <c r="J2487" t="n">
        <v>118</v>
      </c>
      <c r="K2487" t="n">
        <v>1</v>
      </c>
      <c r="L2487" s="7" t="n">
        <v>944</v>
      </c>
      <c r="M2487" s="7" t="n">
        <v>0</v>
      </c>
    </row>
    <row r="2488">
      <c r="A2488" t="n">
        <v>510627</v>
      </c>
      <c r="B2488" s="6" t="n">
        <v>45966</v>
      </c>
      <c r="C2488" t="n">
        <v>17183</v>
      </c>
      <c r="D2488" t="inlineStr">
        <is>
          <t>Delhi</t>
        </is>
      </c>
      <c r="E2488" t="inlineStr">
        <is>
          <t>North</t>
        </is>
      </c>
      <c r="F2488" t="inlineStr">
        <is>
          <t>Paid Social</t>
        </is>
      </c>
      <c r="G2488" t="inlineStr">
        <is>
          <t>Mobile App</t>
        </is>
      </c>
      <c r="H2488" t="inlineStr">
        <is>
          <t>UPI</t>
        </is>
      </c>
      <c r="I2488" t="inlineStr">
        <is>
          <t>Delivered</t>
        </is>
      </c>
      <c r="J2488" t="n">
        <v>132</v>
      </c>
      <c r="K2488" t="n">
        <v>1</v>
      </c>
      <c r="L2488" s="7" t="n">
        <v>471</v>
      </c>
      <c r="M2488" s="7" t="n">
        <v>70.65000000000001</v>
      </c>
    </row>
    <row r="2489">
      <c r="A2489" t="n">
        <v>510627</v>
      </c>
      <c r="B2489" s="6" t="n">
        <v>45966</v>
      </c>
      <c r="C2489" t="n">
        <v>17183</v>
      </c>
      <c r="D2489" t="inlineStr">
        <is>
          <t>Delhi</t>
        </is>
      </c>
      <c r="E2489" t="inlineStr">
        <is>
          <t>North</t>
        </is>
      </c>
      <c r="F2489" t="inlineStr">
        <is>
          <t>Paid Social</t>
        </is>
      </c>
      <c r="G2489" t="inlineStr">
        <is>
          <t>Mobile App</t>
        </is>
      </c>
      <c r="H2489" t="inlineStr">
        <is>
          <t>UPI</t>
        </is>
      </c>
      <c r="I2489" t="inlineStr">
        <is>
          <t>Delivered</t>
        </is>
      </c>
      <c r="J2489" t="n">
        <v>111</v>
      </c>
      <c r="K2489" t="n">
        <v>1</v>
      </c>
      <c r="L2489" s="7" t="n">
        <v>524</v>
      </c>
      <c r="M2489" s="7" t="n">
        <v>78.59999999999999</v>
      </c>
    </row>
    <row r="2490">
      <c r="A2490" t="n">
        <v>510628</v>
      </c>
      <c r="B2490" s="6" t="n">
        <v>45966</v>
      </c>
      <c r="C2490" t="n">
        <v>16729</v>
      </c>
      <c r="D2490" t="inlineStr">
        <is>
          <t>Chennai</t>
        </is>
      </c>
      <c r="E2490" t="inlineStr">
        <is>
          <t>South</t>
        </is>
      </c>
      <c r="F2490" t="inlineStr">
        <is>
          <t>Organic Search</t>
        </is>
      </c>
      <c r="G2490" t="inlineStr">
        <is>
          <t>Mobile App</t>
        </is>
      </c>
      <c r="H2490" t="inlineStr">
        <is>
          <t>UPI</t>
        </is>
      </c>
      <c r="I2490" t="inlineStr">
        <is>
          <t>Delivered</t>
        </is>
      </c>
      <c r="J2490" t="n">
        <v>108</v>
      </c>
      <c r="K2490" t="n">
        <v>2</v>
      </c>
      <c r="L2490" s="7" t="n">
        <v>419</v>
      </c>
      <c r="M2490" s="7" t="n">
        <v>0</v>
      </c>
    </row>
    <row r="2491">
      <c r="A2491" t="n">
        <v>510628</v>
      </c>
      <c r="B2491" s="6" t="n">
        <v>45966</v>
      </c>
      <c r="C2491" t="n">
        <v>16729</v>
      </c>
      <c r="D2491" t="inlineStr">
        <is>
          <t>Chennai</t>
        </is>
      </c>
      <c r="E2491" t="inlineStr">
        <is>
          <t>South</t>
        </is>
      </c>
      <c r="F2491" t="inlineStr">
        <is>
          <t>Organic Search</t>
        </is>
      </c>
      <c r="G2491" t="inlineStr">
        <is>
          <t>Mobile App</t>
        </is>
      </c>
      <c r="H2491" t="inlineStr">
        <is>
          <t>UPI</t>
        </is>
      </c>
      <c r="I2491" t="inlineStr">
        <is>
          <t>Delivered</t>
        </is>
      </c>
      <c r="J2491" t="n">
        <v>105</v>
      </c>
      <c r="K2491" t="n">
        <v>2</v>
      </c>
      <c r="L2491" s="7" t="n">
        <v>2414</v>
      </c>
      <c r="M2491" s="7" t="n">
        <v>0</v>
      </c>
    </row>
    <row r="2492">
      <c r="A2492" t="n">
        <v>510629</v>
      </c>
      <c r="B2492" s="6" t="n">
        <v>45966</v>
      </c>
      <c r="C2492" t="n">
        <v>15763</v>
      </c>
      <c r="D2492" t="inlineStr">
        <is>
          <t>Delhi</t>
        </is>
      </c>
      <c r="E2492" t="inlineStr">
        <is>
          <t>North</t>
        </is>
      </c>
      <c r="F2492" t="inlineStr">
        <is>
          <t>Organic Search</t>
        </is>
      </c>
      <c r="G2492" t="inlineStr">
        <is>
          <t>Mobile Web</t>
        </is>
      </c>
      <c r="H2492" t="inlineStr">
        <is>
          <t>Net Banking</t>
        </is>
      </c>
      <c r="I2492" t="inlineStr">
        <is>
          <t>Delivered</t>
        </is>
      </c>
      <c r="J2492" t="n">
        <v>109</v>
      </c>
      <c r="K2492" t="n">
        <v>2</v>
      </c>
      <c r="L2492" s="7" t="n">
        <v>4199</v>
      </c>
      <c r="M2492" s="7" t="n">
        <v>0</v>
      </c>
    </row>
    <row r="2493">
      <c r="A2493" t="n">
        <v>510630</v>
      </c>
      <c r="B2493" s="6" t="n">
        <v>45966</v>
      </c>
      <c r="C2493" t="n">
        <v>16860</v>
      </c>
      <c r="D2493" t="inlineStr">
        <is>
          <t>Hyderabad</t>
        </is>
      </c>
      <c r="E2493" t="inlineStr">
        <is>
          <t>South</t>
        </is>
      </c>
      <c r="F2493" t="inlineStr">
        <is>
          <t>Paid Search</t>
        </is>
      </c>
      <c r="G2493" t="inlineStr">
        <is>
          <t>Mobile Web</t>
        </is>
      </c>
      <c r="H2493" t="inlineStr">
        <is>
          <t>UPI</t>
        </is>
      </c>
      <c r="I2493" t="inlineStr">
        <is>
          <t>Delivered</t>
        </is>
      </c>
      <c r="J2493" t="n">
        <v>121</v>
      </c>
      <c r="K2493" t="n">
        <v>1</v>
      </c>
      <c r="L2493" s="7" t="n">
        <v>2939</v>
      </c>
      <c r="M2493" s="7" t="n">
        <v>146.95</v>
      </c>
    </row>
    <row r="2494">
      <c r="A2494" t="n">
        <v>510631</v>
      </c>
      <c r="B2494" s="6" t="n">
        <v>45966</v>
      </c>
      <c r="C2494" t="n">
        <v>17153</v>
      </c>
      <c r="D2494" t="inlineStr">
        <is>
          <t>Delhi</t>
        </is>
      </c>
      <c r="E2494" t="inlineStr">
        <is>
          <t>North</t>
        </is>
      </c>
      <c r="F2494" t="inlineStr">
        <is>
          <t>Organic Search</t>
        </is>
      </c>
      <c r="G2494" t="inlineStr">
        <is>
          <t>Mobile Web</t>
        </is>
      </c>
      <c r="H2494" t="inlineStr">
        <is>
          <t>Credit Card</t>
        </is>
      </c>
      <c r="I2494" t="inlineStr">
        <is>
          <t>Returned</t>
        </is>
      </c>
      <c r="J2494" t="n">
        <v>129</v>
      </c>
      <c r="K2494" t="n">
        <v>1</v>
      </c>
      <c r="L2494" s="7" t="n">
        <v>576</v>
      </c>
      <c r="M2494" s="7" t="n">
        <v>0</v>
      </c>
    </row>
    <row r="2495">
      <c r="A2495" t="n">
        <v>510631</v>
      </c>
      <c r="B2495" s="6" t="n">
        <v>45966</v>
      </c>
      <c r="C2495" t="n">
        <v>17153</v>
      </c>
      <c r="D2495" t="inlineStr">
        <is>
          <t>Delhi</t>
        </is>
      </c>
      <c r="E2495" t="inlineStr">
        <is>
          <t>North</t>
        </is>
      </c>
      <c r="F2495" t="inlineStr">
        <is>
          <t>Organic Search</t>
        </is>
      </c>
      <c r="G2495" t="inlineStr">
        <is>
          <t>Mobile Web</t>
        </is>
      </c>
      <c r="H2495" t="inlineStr">
        <is>
          <t>Credit Card</t>
        </is>
      </c>
      <c r="I2495" t="inlineStr">
        <is>
          <t>Returned</t>
        </is>
      </c>
      <c r="J2495" t="n">
        <v>102</v>
      </c>
      <c r="K2495" t="n">
        <v>1</v>
      </c>
      <c r="L2495" s="7" t="n">
        <v>3674</v>
      </c>
      <c r="M2495" s="7" t="n">
        <v>0</v>
      </c>
    </row>
    <row r="2496">
      <c r="A2496" t="n">
        <v>510631</v>
      </c>
      <c r="B2496" s="6" t="n">
        <v>45966</v>
      </c>
      <c r="C2496" t="n">
        <v>17153</v>
      </c>
      <c r="D2496" t="inlineStr">
        <is>
          <t>Delhi</t>
        </is>
      </c>
      <c r="E2496" t="inlineStr">
        <is>
          <t>North</t>
        </is>
      </c>
      <c r="F2496" t="inlineStr">
        <is>
          <t>Organic Search</t>
        </is>
      </c>
      <c r="G2496" t="inlineStr">
        <is>
          <t>Mobile Web</t>
        </is>
      </c>
      <c r="H2496" t="inlineStr">
        <is>
          <t>Credit Card</t>
        </is>
      </c>
      <c r="I2496" t="inlineStr">
        <is>
          <t>Returned</t>
        </is>
      </c>
      <c r="J2496" t="n">
        <v>111</v>
      </c>
      <c r="K2496" t="n">
        <v>1</v>
      </c>
      <c r="L2496" s="7" t="n">
        <v>524</v>
      </c>
      <c r="M2496" s="7" t="n">
        <v>0</v>
      </c>
    </row>
    <row r="2497">
      <c r="A2497" t="n">
        <v>510632</v>
      </c>
      <c r="B2497" s="6" t="n">
        <v>45966</v>
      </c>
      <c r="C2497" t="n">
        <v>15577</v>
      </c>
      <c r="D2497" t="inlineStr">
        <is>
          <t>Hyderabad</t>
        </is>
      </c>
      <c r="E2497" t="inlineStr">
        <is>
          <t>South</t>
        </is>
      </c>
      <c r="F2497" t="inlineStr">
        <is>
          <t>Organic Search</t>
        </is>
      </c>
      <c r="G2497" t="inlineStr">
        <is>
          <t>Mobile App</t>
        </is>
      </c>
      <c r="H2497" t="inlineStr">
        <is>
          <t>UPI</t>
        </is>
      </c>
      <c r="I2497" t="inlineStr">
        <is>
          <t>Delivered</t>
        </is>
      </c>
      <c r="J2497" t="n">
        <v>105</v>
      </c>
      <c r="K2497" t="n">
        <v>1</v>
      </c>
      <c r="L2497" s="7" t="n">
        <v>2414</v>
      </c>
      <c r="M2497" s="7" t="n">
        <v>0</v>
      </c>
    </row>
    <row r="2498">
      <c r="A2498" t="n">
        <v>510632</v>
      </c>
      <c r="B2498" s="6" t="n">
        <v>45966</v>
      </c>
      <c r="C2498" t="n">
        <v>15577</v>
      </c>
      <c r="D2498" t="inlineStr">
        <is>
          <t>Hyderabad</t>
        </is>
      </c>
      <c r="E2498" t="inlineStr">
        <is>
          <t>South</t>
        </is>
      </c>
      <c r="F2498" t="inlineStr">
        <is>
          <t>Organic Search</t>
        </is>
      </c>
      <c r="G2498" t="inlineStr">
        <is>
          <t>Mobile App</t>
        </is>
      </c>
      <c r="H2498" t="inlineStr">
        <is>
          <t>UPI</t>
        </is>
      </c>
      <c r="I2498" t="inlineStr">
        <is>
          <t>Delivered</t>
        </is>
      </c>
      <c r="J2498" t="n">
        <v>114</v>
      </c>
      <c r="K2498" t="n">
        <v>1</v>
      </c>
      <c r="L2498" s="7" t="n">
        <v>1259</v>
      </c>
      <c r="M2498" s="7" t="n">
        <v>0</v>
      </c>
    </row>
    <row r="2499">
      <c r="A2499" t="n">
        <v>510633</v>
      </c>
      <c r="B2499" s="6" t="n">
        <v>45966</v>
      </c>
      <c r="C2499" t="n">
        <v>15945</v>
      </c>
      <c r="D2499" t="inlineStr">
        <is>
          <t>Kolkata</t>
        </is>
      </c>
      <c r="E2499" t="inlineStr">
        <is>
          <t>East</t>
        </is>
      </c>
      <c r="F2499" t="inlineStr">
        <is>
          <t>Email</t>
        </is>
      </c>
      <c r="G2499" t="inlineStr">
        <is>
          <t>Desktop</t>
        </is>
      </c>
      <c r="H2499" t="inlineStr">
        <is>
          <t>UPI</t>
        </is>
      </c>
      <c r="I2499" t="inlineStr">
        <is>
          <t>Delivered</t>
        </is>
      </c>
      <c r="J2499" t="n">
        <v>119</v>
      </c>
      <c r="K2499" t="n">
        <v>1</v>
      </c>
      <c r="L2499" s="7" t="n">
        <v>2309</v>
      </c>
      <c r="M2499" s="7" t="n">
        <v>0</v>
      </c>
    </row>
    <row r="2500">
      <c r="A2500" t="n">
        <v>510634</v>
      </c>
      <c r="B2500" s="6" t="n">
        <v>45966</v>
      </c>
      <c r="C2500" t="n">
        <v>16318</v>
      </c>
      <c r="D2500" t="inlineStr">
        <is>
          <t>Pune</t>
        </is>
      </c>
      <c r="E2500" t="inlineStr">
        <is>
          <t>West</t>
        </is>
      </c>
      <c r="F2500" t="inlineStr">
        <is>
          <t>Referral</t>
        </is>
      </c>
      <c r="G2500" t="inlineStr">
        <is>
          <t>Mobile App</t>
        </is>
      </c>
      <c r="H2500" t="inlineStr">
        <is>
          <t>Credit Card</t>
        </is>
      </c>
      <c r="I2500" t="inlineStr">
        <is>
          <t>Delivered</t>
        </is>
      </c>
      <c r="J2500" t="n">
        <v>116</v>
      </c>
      <c r="K2500" t="n">
        <v>1</v>
      </c>
      <c r="L2500" s="7" t="n">
        <v>2624</v>
      </c>
      <c r="M2500" s="7" t="n">
        <v>0</v>
      </c>
    </row>
    <row r="2501">
      <c r="A2501" t="n">
        <v>510635</v>
      </c>
      <c r="B2501" s="6" t="n">
        <v>45966</v>
      </c>
      <c r="C2501" t="n">
        <v>14666</v>
      </c>
      <c r="D2501" t="inlineStr">
        <is>
          <t>Mumbai</t>
        </is>
      </c>
      <c r="E2501" t="inlineStr">
        <is>
          <t>West</t>
        </is>
      </c>
      <c r="F2501" t="inlineStr">
        <is>
          <t>Email</t>
        </is>
      </c>
      <c r="G2501" t="inlineStr">
        <is>
          <t>Mobile App</t>
        </is>
      </c>
      <c r="H2501" t="inlineStr">
        <is>
          <t>Credit Card</t>
        </is>
      </c>
      <c r="I2501" t="inlineStr">
        <is>
          <t>Delivered</t>
        </is>
      </c>
      <c r="J2501" t="n">
        <v>134</v>
      </c>
      <c r="K2501" t="n">
        <v>1</v>
      </c>
      <c r="L2501" s="7" t="n">
        <v>209</v>
      </c>
      <c r="M2501" s="7" t="n">
        <v>0</v>
      </c>
    </row>
    <row r="2502">
      <c r="A2502" t="n">
        <v>510636</v>
      </c>
      <c r="B2502" s="6" t="n">
        <v>45966</v>
      </c>
      <c r="C2502" t="n">
        <v>17158</v>
      </c>
      <c r="D2502" t="inlineStr">
        <is>
          <t>Ahmedabad</t>
        </is>
      </c>
      <c r="E2502" t="inlineStr">
        <is>
          <t>West</t>
        </is>
      </c>
      <c r="F2502" t="inlineStr">
        <is>
          <t>Organic Search</t>
        </is>
      </c>
      <c r="G2502" t="inlineStr">
        <is>
          <t>Mobile App</t>
        </is>
      </c>
      <c r="H2502" t="inlineStr">
        <is>
          <t>Net Banking</t>
        </is>
      </c>
      <c r="I2502" t="inlineStr">
        <is>
          <t>Delivered</t>
        </is>
      </c>
      <c r="J2502" t="n">
        <v>143</v>
      </c>
      <c r="K2502" t="n">
        <v>1</v>
      </c>
      <c r="L2502" s="7" t="n">
        <v>839</v>
      </c>
      <c r="M2502" s="7" t="n">
        <v>125.85</v>
      </c>
    </row>
    <row r="2503">
      <c r="A2503" t="n">
        <v>510636</v>
      </c>
      <c r="B2503" s="6" t="n">
        <v>45966</v>
      </c>
      <c r="C2503" t="n">
        <v>17158</v>
      </c>
      <c r="D2503" t="inlineStr">
        <is>
          <t>Ahmedabad</t>
        </is>
      </c>
      <c r="E2503" t="inlineStr">
        <is>
          <t>West</t>
        </is>
      </c>
      <c r="F2503" t="inlineStr">
        <is>
          <t>Organic Search</t>
        </is>
      </c>
      <c r="G2503" t="inlineStr">
        <is>
          <t>Mobile App</t>
        </is>
      </c>
      <c r="H2503" t="inlineStr">
        <is>
          <t>Net Banking</t>
        </is>
      </c>
      <c r="I2503" t="inlineStr">
        <is>
          <t>Delivered</t>
        </is>
      </c>
      <c r="J2503" t="n">
        <v>105</v>
      </c>
      <c r="K2503" t="n">
        <v>1</v>
      </c>
      <c r="L2503" s="7" t="n">
        <v>2414</v>
      </c>
      <c r="M2503" s="7" t="n">
        <v>362.1</v>
      </c>
    </row>
    <row r="2504">
      <c r="A2504" t="n">
        <v>510636</v>
      </c>
      <c r="B2504" s="6" t="n">
        <v>45966</v>
      </c>
      <c r="C2504" t="n">
        <v>17158</v>
      </c>
      <c r="D2504" t="inlineStr">
        <is>
          <t>Ahmedabad</t>
        </is>
      </c>
      <c r="E2504" t="inlineStr">
        <is>
          <t>West</t>
        </is>
      </c>
      <c r="F2504" t="inlineStr">
        <is>
          <t>Organic Search</t>
        </is>
      </c>
      <c r="G2504" t="inlineStr">
        <is>
          <t>Mobile App</t>
        </is>
      </c>
      <c r="H2504" t="inlineStr">
        <is>
          <t>Net Banking</t>
        </is>
      </c>
      <c r="I2504" t="inlineStr">
        <is>
          <t>Delivered</t>
        </is>
      </c>
      <c r="J2504" t="n">
        <v>117</v>
      </c>
      <c r="K2504" t="n">
        <v>1</v>
      </c>
      <c r="L2504" s="7" t="n">
        <v>3149</v>
      </c>
      <c r="M2504" s="7" t="n">
        <v>472.35</v>
      </c>
    </row>
    <row r="2505">
      <c r="A2505" t="n">
        <v>510637</v>
      </c>
      <c r="B2505" s="6" t="n">
        <v>45966</v>
      </c>
      <c r="C2505" t="n">
        <v>17170</v>
      </c>
      <c r="D2505" t="inlineStr">
        <is>
          <t>Mumbai</t>
        </is>
      </c>
      <c r="E2505" t="inlineStr">
        <is>
          <t>West</t>
        </is>
      </c>
      <c r="F2505" t="inlineStr">
        <is>
          <t>Paid Search</t>
        </is>
      </c>
      <c r="G2505" t="inlineStr">
        <is>
          <t>Mobile Web</t>
        </is>
      </c>
      <c r="H2505" t="inlineStr">
        <is>
          <t>Net Banking</t>
        </is>
      </c>
      <c r="I2505" t="inlineStr">
        <is>
          <t>Delivered</t>
        </is>
      </c>
      <c r="J2505" t="n">
        <v>125</v>
      </c>
      <c r="K2505" t="n">
        <v>1</v>
      </c>
      <c r="L2505" s="7" t="n">
        <v>1364</v>
      </c>
      <c r="M2505" s="7" t="n">
        <v>0</v>
      </c>
    </row>
    <row r="2506">
      <c r="A2506" t="n">
        <v>510637</v>
      </c>
      <c r="B2506" s="6" t="n">
        <v>45966</v>
      </c>
      <c r="C2506" t="n">
        <v>17170</v>
      </c>
      <c r="D2506" t="inlineStr">
        <is>
          <t>Mumbai</t>
        </is>
      </c>
      <c r="E2506" t="inlineStr">
        <is>
          <t>West</t>
        </is>
      </c>
      <c r="F2506" t="inlineStr">
        <is>
          <t>Paid Search</t>
        </is>
      </c>
      <c r="G2506" t="inlineStr">
        <is>
          <t>Mobile Web</t>
        </is>
      </c>
      <c r="H2506" t="inlineStr">
        <is>
          <t>Net Banking</t>
        </is>
      </c>
      <c r="I2506" t="inlineStr">
        <is>
          <t>Delivered</t>
        </is>
      </c>
      <c r="J2506" t="n">
        <v>116</v>
      </c>
      <c r="K2506" t="n">
        <v>1</v>
      </c>
      <c r="L2506" s="7" t="n">
        <v>2624</v>
      </c>
      <c r="M2506" s="7" t="n">
        <v>0</v>
      </c>
    </row>
    <row r="2507">
      <c r="A2507" t="n">
        <v>510637</v>
      </c>
      <c r="B2507" s="6" t="n">
        <v>45966</v>
      </c>
      <c r="C2507" t="n">
        <v>17170</v>
      </c>
      <c r="D2507" t="inlineStr">
        <is>
          <t>Mumbai</t>
        </is>
      </c>
      <c r="E2507" t="inlineStr">
        <is>
          <t>West</t>
        </is>
      </c>
      <c r="F2507" t="inlineStr">
        <is>
          <t>Paid Search</t>
        </is>
      </c>
      <c r="G2507" t="inlineStr">
        <is>
          <t>Mobile Web</t>
        </is>
      </c>
      <c r="H2507" t="inlineStr">
        <is>
          <t>Net Banking</t>
        </is>
      </c>
      <c r="I2507" t="inlineStr">
        <is>
          <t>Delivered</t>
        </is>
      </c>
      <c r="J2507" t="n">
        <v>134</v>
      </c>
      <c r="K2507" t="n">
        <v>1</v>
      </c>
      <c r="L2507" s="7" t="n">
        <v>209</v>
      </c>
      <c r="M2507" s="7" t="n">
        <v>0</v>
      </c>
    </row>
    <row r="2508">
      <c r="A2508" t="n">
        <v>510638</v>
      </c>
      <c r="B2508" s="6" t="n">
        <v>45966</v>
      </c>
      <c r="C2508" t="n">
        <v>17169</v>
      </c>
      <c r="D2508" t="inlineStr">
        <is>
          <t>Kochi</t>
        </is>
      </c>
      <c r="E2508" t="inlineStr">
        <is>
          <t>South</t>
        </is>
      </c>
      <c r="F2508" t="inlineStr">
        <is>
          <t>Referral</t>
        </is>
      </c>
      <c r="G2508" t="inlineStr">
        <is>
          <t>Desktop</t>
        </is>
      </c>
      <c r="H2508" t="inlineStr">
        <is>
          <t>Cash on Delivery</t>
        </is>
      </c>
      <c r="I2508" t="inlineStr">
        <is>
          <t>Delivered</t>
        </is>
      </c>
      <c r="J2508" t="n">
        <v>107</v>
      </c>
      <c r="K2508" t="n">
        <v>3</v>
      </c>
      <c r="L2508" s="7" t="n">
        <v>1259</v>
      </c>
      <c r="M2508" s="7" t="n">
        <v>566.55</v>
      </c>
    </row>
    <row r="2509">
      <c r="A2509" t="n">
        <v>510639</v>
      </c>
      <c r="B2509" s="6" t="n">
        <v>45966</v>
      </c>
      <c r="C2509" t="n">
        <v>17188</v>
      </c>
      <c r="D2509" t="inlineStr">
        <is>
          <t>Delhi</t>
        </is>
      </c>
      <c r="E2509" t="inlineStr">
        <is>
          <t>North</t>
        </is>
      </c>
      <c r="F2509" t="inlineStr">
        <is>
          <t>Organic Search</t>
        </is>
      </c>
      <c r="G2509" t="inlineStr">
        <is>
          <t>Mobile App</t>
        </is>
      </c>
      <c r="H2509" t="inlineStr">
        <is>
          <t>Credit Card</t>
        </is>
      </c>
      <c r="I2509" t="inlineStr">
        <is>
          <t>Delivered</t>
        </is>
      </c>
      <c r="J2509" t="n">
        <v>108</v>
      </c>
      <c r="K2509" t="n">
        <v>1</v>
      </c>
      <c r="L2509" s="7" t="n">
        <v>419</v>
      </c>
      <c r="M2509" s="7" t="n">
        <v>0</v>
      </c>
    </row>
    <row r="2510">
      <c r="A2510" t="n">
        <v>510639</v>
      </c>
      <c r="B2510" s="6" t="n">
        <v>45966</v>
      </c>
      <c r="C2510" t="n">
        <v>17188</v>
      </c>
      <c r="D2510" t="inlineStr">
        <is>
          <t>Delhi</t>
        </is>
      </c>
      <c r="E2510" t="inlineStr">
        <is>
          <t>North</t>
        </is>
      </c>
      <c r="F2510" t="inlineStr">
        <is>
          <t>Organic Search</t>
        </is>
      </c>
      <c r="G2510" t="inlineStr">
        <is>
          <t>Mobile App</t>
        </is>
      </c>
      <c r="H2510" t="inlineStr">
        <is>
          <t>Credit Card</t>
        </is>
      </c>
      <c r="I2510" t="inlineStr">
        <is>
          <t>Delivered</t>
        </is>
      </c>
      <c r="J2510" t="n">
        <v>132</v>
      </c>
      <c r="K2510" t="n">
        <v>1</v>
      </c>
      <c r="L2510" s="7" t="n">
        <v>471</v>
      </c>
      <c r="M2510" s="7" t="n">
        <v>0</v>
      </c>
    </row>
    <row r="2511">
      <c r="A2511" t="n">
        <v>510640</v>
      </c>
      <c r="B2511" s="6" t="n">
        <v>45966</v>
      </c>
      <c r="C2511" t="n">
        <v>17156</v>
      </c>
      <c r="D2511" t="inlineStr">
        <is>
          <t>Chandigarh</t>
        </is>
      </c>
      <c r="E2511" t="inlineStr">
        <is>
          <t>North</t>
        </is>
      </c>
      <c r="F2511" t="inlineStr">
        <is>
          <t>Organic Search</t>
        </is>
      </c>
      <c r="G2511" t="inlineStr">
        <is>
          <t>Mobile App</t>
        </is>
      </c>
      <c r="H2511" t="inlineStr">
        <is>
          <t>Cash on Delivery</t>
        </is>
      </c>
      <c r="I2511" t="inlineStr">
        <is>
          <t>Delivered</t>
        </is>
      </c>
      <c r="J2511" t="n">
        <v>128</v>
      </c>
      <c r="K2511" t="n">
        <v>1</v>
      </c>
      <c r="L2511" s="7" t="n">
        <v>1049</v>
      </c>
      <c r="M2511" s="7" t="n">
        <v>157.35</v>
      </c>
    </row>
    <row r="2512">
      <c r="A2512" t="n">
        <v>510640</v>
      </c>
      <c r="B2512" s="6" t="n">
        <v>45966</v>
      </c>
      <c r="C2512" t="n">
        <v>17156</v>
      </c>
      <c r="D2512" t="inlineStr">
        <is>
          <t>Chandigarh</t>
        </is>
      </c>
      <c r="E2512" t="inlineStr">
        <is>
          <t>North</t>
        </is>
      </c>
      <c r="F2512" t="inlineStr">
        <is>
          <t>Organic Search</t>
        </is>
      </c>
      <c r="G2512" t="inlineStr">
        <is>
          <t>Mobile App</t>
        </is>
      </c>
      <c r="H2512" t="inlineStr">
        <is>
          <t>Cash on Delivery</t>
        </is>
      </c>
      <c r="I2512" t="inlineStr">
        <is>
          <t>Delivered</t>
        </is>
      </c>
      <c r="J2512" t="n">
        <v>104</v>
      </c>
      <c r="K2512" t="n">
        <v>1</v>
      </c>
      <c r="L2512" s="7" t="n">
        <v>5249</v>
      </c>
      <c r="M2512" s="7" t="n">
        <v>787.35</v>
      </c>
    </row>
    <row r="2513">
      <c r="A2513" t="n">
        <v>510640</v>
      </c>
      <c r="B2513" s="6" t="n">
        <v>45966</v>
      </c>
      <c r="C2513" t="n">
        <v>17156</v>
      </c>
      <c r="D2513" t="inlineStr">
        <is>
          <t>Chandigarh</t>
        </is>
      </c>
      <c r="E2513" t="inlineStr">
        <is>
          <t>North</t>
        </is>
      </c>
      <c r="F2513" t="inlineStr">
        <is>
          <t>Organic Search</t>
        </is>
      </c>
      <c r="G2513" t="inlineStr">
        <is>
          <t>Mobile App</t>
        </is>
      </c>
      <c r="H2513" t="inlineStr">
        <is>
          <t>Cash on Delivery</t>
        </is>
      </c>
      <c r="I2513" t="inlineStr">
        <is>
          <t>Delivered</t>
        </is>
      </c>
      <c r="J2513" t="n">
        <v>130</v>
      </c>
      <c r="K2513" t="n">
        <v>1</v>
      </c>
      <c r="L2513" s="7" t="n">
        <v>734</v>
      </c>
      <c r="M2513" s="7" t="n">
        <v>110.1</v>
      </c>
    </row>
    <row r="2514">
      <c r="A2514" t="n">
        <v>510641</v>
      </c>
      <c r="B2514" s="6" t="n">
        <v>45967</v>
      </c>
      <c r="C2514" t="n">
        <v>17213</v>
      </c>
      <c r="D2514" t="inlineStr">
        <is>
          <t>Pune</t>
        </is>
      </c>
      <c r="E2514" t="inlineStr">
        <is>
          <t>West</t>
        </is>
      </c>
      <c r="F2514" t="inlineStr">
        <is>
          <t>Affiliate</t>
        </is>
      </c>
      <c r="G2514" t="inlineStr">
        <is>
          <t>Desktop</t>
        </is>
      </c>
      <c r="H2514" t="inlineStr">
        <is>
          <t>Credit Card</t>
        </is>
      </c>
      <c r="I2514" t="inlineStr">
        <is>
          <t>Delivered</t>
        </is>
      </c>
      <c r="J2514" t="n">
        <v>126</v>
      </c>
      <c r="K2514" t="n">
        <v>1</v>
      </c>
      <c r="L2514" s="7" t="n">
        <v>471</v>
      </c>
      <c r="M2514" s="7" t="n">
        <v>70.65000000000001</v>
      </c>
    </row>
    <row r="2515">
      <c r="A2515" t="n">
        <v>510642</v>
      </c>
      <c r="B2515" s="6" t="n">
        <v>45967</v>
      </c>
      <c r="C2515" t="n">
        <v>16380</v>
      </c>
      <c r="D2515" t="inlineStr">
        <is>
          <t>Pune</t>
        </is>
      </c>
      <c r="E2515" t="inlineStr">
        <is>
          <t>West</t>
        </is>
      </c>
      <c r="F2515" t="inlineStr">
        <is>
          <t>Organic Search</t>
        </is>
      </c>
      <c r="G2515" t="inlineStr">
        <is>
          <t>Mobile App</t>
        </is>
      </c>
      <c r="H2515" t="inlineStr">
        <is>
          <t>UPI</t>
        </is>
      </c>
      <c r="I2515" t="inlineStr">
        <is>
          <t>Delivered</t>
        </is>
      </c>
      <c r="J2515" t="n">
        <v>112</v>
      </c>
      <c r="K2515" t="n">
        <v>1</v>
      </c>
      <c r="L2515" s="7" t="n">
        <v>1574</v>
      </c>
      <c r="M2515" s="7" t="n">
        <v>0</v>
      </c>
    </row>
    <row r="2516">
      <c r="A2516" t="n">
        <v>510643</v>
      </c>
      <c r="B2516" s="6" t="n">
        <v>45967</v>
      </c>
      <c r="C2516" t="n">
        <v>17174</v>
      </c>
      <c r="D2516" t="inlineStr">
        <is>
          <t>Chandigarh</t>
        </is>
      </c>
      <c r="E2516" t="inlineStr">
        <is>
          <t>North</t>
        </is>
      </c>
      <c r="F2516" t="inlineStr">
        <is>
          <t>Organic Search</t>
        </is>
      </c>
      <c r="G2516" t="inlineStr">
        <is>
          <t>Desktop</t>
        </is>
      </c>
      <c r="H2516" t="inlineStr">
        <is>
          <t>UPI</t>
        </is>
      </c>
      <c r="I2516" t="inlineStr">
        <is>
          <t>Returned</t>
        </is>
      </c>
      <c r="J2516" t="n">
        <v>134</v>
      </c>
      <c r="K2516" t="n">
        <v>1</v>
      </c>
      <c r="L2516" s="7" t="n">
        <v>209</v>
      </c>
      <c r="M2516" s="7" t="n">
        <v>31.35</v>
      </c>
    </row>
    <row r="2517">
      <c r="A2517" t="n">
        <v>510644</v>
      </c>
      <c r="B2517" s="6" t="n">
        <v>45967</v>
      </c>
      <c r="C2517" t="n">
        <v>17148</v>
      </c>
      <c r="D2517" t="inlineStr">
        <is>
          <t>Delhi</t>
        </is>
      </c>
      <c r="E2517" t="inlineStr">
        <is>
          <t>North</t>
        </is>
      </c>
      <c r="F2517" t="inlineStr">
        <is>
          <t>Referral</t>
        </is>
      </c>
      <c r="G2517" t="inlineStr">
        <is>
          <t>Mobile App</t>
        </is>
      </c>
      <c r="H2517" t="inlineStr">
        <is>
          <t>UPI</t>
        </is>
      </c>
      <c r="I2517" t="inlineStr">
        <is>
          <t>Delivered</t>
        </is>
      </c>
      <c r="J2517" t="n">
        <v>130</v>
      </c>
      <c r="K2517" t="n">
        <v>1</v>
      </c>
      <c r="L2517" s="7" t="n">
        <v>734</v>
      </c>
      <c r="M2517" s="7" t="n">
        <v>0</v>
      </c>
    </row>
    <row r="2518">
      <c r="A2518" t="n">
        <v>510645</v>
      </c>
      <c r="B2518" s="6" t="n">
        <v>45967</v>
      </c>
      <c r="C2518" t="n">
        <v>15224</v>
      </c>
      <c r="D2518" t="inlineStr">
        <is>
          <t>Bengaluru</t>
        </is>
      </c>
      <c r="E2518" t="inlineStr">
        <is>
          <t>South</t>
        </is>
      </c>
      <c r="F2518" t="inlineStr">
        <is>
          <t>Organic Search</t>
        </is>
      </c>
      <c r="G2518" t="inlineStr">
        <is>
          <t>Mobile App</t>
        </is>
      </c>
      <c r="H2518" t="inlineStr">
        <is>
          <t>UPI</t>
        </is>
      </c>
      <c r="I2518" t="inlineStr">
        <is>
          <t>Delivered</t>
        </is>
      </c>
      <c r="J2518" t="n">
        <v>124</v>
      </c>
      <c r="K2518" t="n">
        <v>1</v>
      </c>
      <c r="L2518" s="7" t="n">
        <v>1154</v>
      </c>
      <c r="M2518" s="7" t="n">
        <v>0</v>
      </c>
    </row>
    <row r="2519">
      <c r="A2519" t="n">
        <v>510645</v>
      </c>
      <c r="B2519" s="6" t="n">
        <v>45967</v>
      </c>
      <c r="C2519" t="n">
        <v>15224</v>
      </c>
      <c r="D2519" t="inlineStr">
        <is>
          <t>Bengaluru</t>
        </is>
      </c>
      <c r="E2519" t="inlineStr">
        <is>
          <t>South</t>
        </is>
      </c>
      <c r="F2519" t="inlineStr">
        <is>
          <t>Organic Search</t>
        </is>
      </c>
      <c r="G2519" t="inlineStr">
        <is>
          <t>Mobile App</t>
        </is>
      </c>
      <c r="H2519" t="inlineStr">
        <is>
          <t>UPI</t>
        </is>
      </c>
      <c r="I2519" t="inlineStr">
        <is>
          <t>Delivered</t>
        </is>
      </c>
      <c r="J2519" t="n">
        <v>135</v>
      </c>
      <c r="K2519" t="n">
        <v>1</v>
      </c>
      <c r="L2519" s="7" t="n">
        <v>1574</v>
      </c>
      <c r="M2519" s="7" t="n">
        <v>0</v>
      </c>
    </row>
    <row r="2520">
      <c r="A2520" t="n">
        <v>510646</v>
      </c>
      <c r="B2520" s="6" t="n">
        <v>45967</v>
      </c>
      <c r="C2520" t="n">
        <v>17194</v>
      </c>
      <c r="D2520" t="inlineStr">
        <is>
          <t>Hyderabad</t>
        </is>
      </c>
      <c r="E2520" t="inlineStr">
        <is>
          <t>South</t>
        </is>
      </c>
      <c r="F2520" t="inlineStr">
        <is>
          <t>Affiliate</t>
        </is>
      </c>
      <c r="G2520" t="inlineStr">
        <is>
          <t>Desktop</t>
        </is>
      </c>
      <c r="H2520" t="inlineStr">
        <is>
          <t>Cash on Delivery</t>
        </is>
      </c>
      <c r="I2520" t="inlineStr">
        <is>
          <t>Delivered</t>
        </is>
      </c>
      <c r="J2520" t="n">
        <v>103</v>
      </c>
      <c r="K2520" t="n">
        <v>1</v>
      </c>
      <c r="L2520" s="7" t="n">
        <v>2624</v>
      </c>
      <c r="M2520" s="7" t="n">
        <v>393.6</v>
      </c>
    </row>
    <row r="2521">
      <c r="A2521" t="n">
        <v>510647</v>
      </c>
      <c r="B2521" s="6" t="n">
        <v>45967</v>
      </c>
      <c r="C2521" t="n">
        <v>17198</v>
      </c>
      <c r="D2521" t="inlineStr">
        <is>
          <t>Noida</t>
        </is>
      </c>
      <c r="E2521" t="inlineStr">
        <is>
          <t>North</t>
        </is>
      </c>
      <c r="F2521" t="inlineStr">
        <is>
          <t>Organic Search</t>
        </is>
      </c>
      <c r="G2521" t="inlineStr">
        <is>
          <t>Desktop</t>
        </is>
      </c>
      <c r="H2521" t="inlineStr">
        <is>
          <t>Cash on Delivery</t>
        </is>
      </c>
      <c r="I2521" t="inlineStr">
        <is>
          <t>Delivered</t>
        </is>
      </c>
      <c r="J2521" t="n">
        <v>122</v>
      </c>
      <c r="K2521" t="n">
        <v>1</v>
      </c>
      <c r="L2521" s="7" t="n">
        <v>1994</v>
      </c>
      <c r="M2521" s="7" t="n">
        <v>0</v>
      </c>
    </row>
    <row r="2522">
      <c r="A2522" t="n">
        <v>510648</v>
      </c>
      <c r="B2522" s="6" t="n">
        <v>45967</v>
      </c>
      <c r="C2522" t="n">
        <v>14860</v>
      </c>
      <c r="D2522" t="inlineStr">
        <is>
          <t>Chennai</t>
        </is>
      </c>
      <c r="E2522" t="inlineStr">
        <is>
          <t>South</t>
        </is>
      </c>
      <c r="F2522" t="inlineStr">
        <is>
          <t>Email</t>
        </is>
      </c>
      <c r="G2522" t="inlineStr">
        <is>
          <t>Mobile App</t>
        </is>
      </c>
      <c r="H2522" t="inlineStr">
        <is>
          <t>UPI</t>
        </is>
      </c>
      <c r="I2522" t="inlineStr">
        <is>
          <t>Delivered</t>
        </is>
      </c>
      <c r="J2522" t="n">
        <v>109</v>
      </c>
      <c r="K2522" t="n">
        <v>2</v>
      </c>
      <c r="L2522" s="7" t="n">
        <v>4199</v>
      </c>
      <c r="M2522" s="7" t="n">
        <v>0</v>
      </c>
    </row>
    <row r="2523">
      <c r="A2523" t="n">
        <v>510649</v>
      </c>
      <c r="B2523" s="6" t="n">
        <v>45967</v>
      </c>
      <c r="C2523" t="n">
        <v>16026</v>
      </c>
      <c r="D2523" t="inlineStr">
        <is>
          <t>Kochi</t>
        </is>
      </c>
      <c r="E2523" t="inlineStr">
        <is>
          <t>South</t>
        </is>
      </c>
      <c r="F2523" t="inlineStr">
        <is>
          <t>Paid Social</t>
        </is>
      </c>
      <c r="G2523" t="inlineStr">
        <is>
          <t>Desktop</t>
        </is>
      </c>
      <c r="H2523" t="inlineStr">
        <is>
          <t>Credit Card</t>
        </is>
      </c>
      <c r="I2523" t="inlineStr">
        <is>
          <t>Delivered</t>
        </is>
      </c>
      <c r="J2523" t="n">
        <v>119</v>
      </c>
      <c r="K2523" t="n">
        <v>1</v>
      </c>
      <c r="L2523" s="7" t="n">
        <v>2309</v>
      </c>
      <c r="M2523" s="7" t="n">
        <v>0</v>
      </c>
    </row>
    <row r="2524">
      <c r="A2524" t="n">
        <v>510649</v>
      </c>
      <c r="B2524" s="6" t="n">
        <v>45967</v>
      </c>
      <c r="C2524" t="n">
        <v>16026</v>
      </c>
      <c r="D2524" t="inlineStr">
        <is>
          <t>Kochi</t>
        </is>
      </c>
      <c r="E2524" t="inlineStr">
        <is>
          <t>South</t>
        </is>
      </c>
      <c r="F2524" t="inlineStr">
        <is>
          <t>Paid Social</t>
        </is>
      </c>
      <c r="G2524" t="inlineStr">
        <is>
          <t>Desktop</t>
        </is>
      </c>
      <c r="H2524" t="inlineStr">
        <is>
          <t>Credit Card</t>
        </is>
      </c>
      <c r="I2524" t="inlineStr">
        <is>
          <t>Delivered</t>
        </is>
      </c>
      <c r="J2524" t="n">
        <v>123</v>
      </c>
      <c r="K2524" t="n">
        <v>1</v>
      </c>
      <c r="L2524" s="7" t="n">
        <v>3464</v>
      </c>
      <c r="M2524" s="7" t="n">
        <v>0</v>
      </c>
    </row>
    <row r="2525">
      <c r="A2525" t="n">
        <v>510650</v>
      </c>
      <c r="B2525" s="6" t="n">
        <v>45967</v>
      </c>
      <c r="C2525" t="n">
        <v>14781</v>
      </c>
      <c r="D2525" t="inlineStr">
        <is>
          <t>Indore</t>
        </is>
      </c>
      <c r="E2525" t="inlineStr">
        <is>
          <t>West</t>
        </is>
      </c>
      <c r="F2525" t="inlineStr">
        <is>
          <t>Referral</t>
        </is>
      </c>
      <c r="G2525" t="inlineStr">
        <is>
          <t>Mobile App</t>
        </is>
      </c>
      <c r="H2525" t="inlineStr">
        <is>
          <t>Cash on Delivery</t>
        </is>
      </c>
      <c r="I2525" t="inlineStr">
        <is>
          <t>Delivered</t>
        </is>
      </c>
      <c r="J2525" t="n">
        <v>111</v>
      </c>
      <c r="K2525" t="n">
        <v>1</v>
      </c>
      <c r="L2525" s="7" t="n">
        <v>524</v>
      </c>
      <c r="M2525" s="7" t="n">
        <v>0</v>
      </c>
    </row>
    <row r="2526">
      <c r="A2526" t="n">
        <v>510650</v>
      </c>
      <c r="B2526" s="6" t="n">
        <v>45967</v>
      </c>
      <c r="C2526" t="n">
        <v>14781</v>
      </c>
      <c r="D2526" t="inlineStr">
        <is>
          <t>Indore</t>
        </is>
      </c>
      <c r="E2526" t="inlineStr">
        <is>
          <t>West</t>
        </is>
      </c>
      <c r="F2526" t="inlineStr">
        <is>
          <t>Referral</t>
        </is>
      </c>
      <c r="G2526" t="inlineStr">
        <is>
          <t>Mobile App</t>
        </is>
      </c>
      <c r="H2526" t="inlineStr">
        <is>
          <t>Cash on Delivery</t>
        </is>
      </c>
      <c r="I2526" t="inlineStr">
        <is>
          <t>Delivered</t>
        </is>
      </c>
      <c r="J2526" t="n">
        <v>124</v>
      </c>
      <c r="K2526" t="n">
        <v>1</v>
      </c>
      <c r="L2526" s="7" t="n">
        <v>1154</v>
      </c>
      <c r="M2526" s="7" t="n">
        <v>0</v>
      </c>
    </row>
    <row r="2527">
      <c r="A2527" t="n">
        <v>510650</v>
      </c>
      <c r="B2527" s="6" t="n">
        <v>45967</v>
      </c>
      <c r="C2527" t="n">
        <v>14781</v>
      </c>
      <c r="D2527" t="inlineStr">
        <is>
          <t>Indore</t>
        </is>
      </c>
      <c r="E2527" t="inlineStr">
        <is>
          <t>West</t>
        </is>
      </c>
      <c r="F2527" t="inlineStr">
        <is>
          <t>Referral</t>
        </is>
      </c>
      <c r="G2527" t="inlineStr">
        <is>
          <t>Mobile App</t>
        </is>
      </c>
      <c r="H2527" t="inlineStr">
        <is>
          <t>Cash on Delivery</t>
        </is>
      </c>
      <c r="I2527" t="inlineStr">
        <is>
          <t>Delivered</t>
        </is>
      </c>
      <c r="J2527" t="n">
        <v>106</v>
      </c>
      <c r="K2527" t="n">
        <v>1</v>
      </c>
      <c r="L2527" s="7" t="n">
        <v>1574</v>
      </c>
      <c r="M2527" s="7" t="n">
        <v>0</v>
      </c>
    </row>
    <row r="2528">
      <c r="A2528" t="n">
        <v>510651</v>
      </c>
      <c r="B2528" s="6" t="n">
        <v>45967</v>
      </c>
      <c r="C2528" t="n">
        <v>17201</v>
      </c>
      <c r="D2528" t="inlineStr">
        <is>
          <t>Mumbai</t>
        </is>
      </c>
      <c r="E2528" t="inlineStr">
        <is>
          <t>West</t>
        </is>
      </c>
      <c r="F2528" t="inlineStr">
        <is>
          <t>Paid Social</t>
        </is>
      </c>
      <c r="G2528" t="inlineStr">
        <is>
          <t>Mobile Web</t>
        </is>
      </c>
      <c r="H2528" t="inlineStr">
        <is>
          <t>UPI</t>
        </is>
      </c>
      <c r="I2528" t="inlineStr">
        <is>
          <t>Delivered</t>
        </is>
      </c>
      <c r="J2528" t="n">
        <v>113</v>
      </c>
      <c r="K2528" t="n">
        <v>1</v>
      </c>
      <c r="L2528" s="7" t="n">
        <v>1364</v>
      </c>
      <c r="M2528" s="7" t="n">
        <v>68.2</v>
      </c>
    </row>
    <row r="2529">
      <c r="A2529" t="n">
        <v>510652</v>
      </c>
      <c r="B2529" s="6" t="n">
        <v>45967</v>
      </c>
      <c r="C2529" t="n">
        <v>16936</v>
      </c>
      <c r="D2529" t="inlineStr">
        <is>
          <t>Delhi</t>
        </is>
      </c>
      <c r="E2529" t="inlineStr">
        <is>
          <t>North</t>
        </is>
      </c>
      <c r="F2529" t="inlineStr">
        <is>
          <t>Referral</t>
        </is>
      </c>
      <c r="G2529" t="inlineStr">
        <is>
          <t>Mobile App</t>
        </is>
      </c>
      <c r="H2529" t="inlineStr">
        <is>
          <t>UPI</t>
        </is>
      </c>
      <c r="I2529" t="inlineStr">
        <is>
          <t>Delivered</t>
        </is>
      </c>
      <c r="J2529" t="n">
        <v>128</v>
      </c>
      <c r="K2529" t="n">
        <v>1</v>
      </c>
      <c r="L2529" s="7" t="n">
        <v>1049</v>
      </c>
      <c r="M2529" s="7" t="n">
        <v>0</v>
      </c>
    </row>
    <row r="2530">
      <c r="A2530" t="n">
        <v>510653</v>
      </c>
      <c r="B2530" s="6" t="n">
        <v>45967</v>
      </c>
      <c r="C2530" t="n">
        <v>17191</v>
      </c>
      <c r="D2530" t="inlineStr">
        <is>
          <t>Gurugram</t>
        </is>
      </c>
      <c r="E2530" t="inlineStr">
        <is>
          <t>North</t>
        </is>
      </c>
      <c r="F2530" t="inlineStr">
        <is>
          <t>Paid Search</t>
        </is>
      </c>
      <c r="G2530" t="inlineStr">
        <is>
          <t>Mobile Web</t>
        </is>
      </c>
      <c r="H2530" t="inlineStr">
        <is>
          <t>UPI</t>
        </is>
      </c>
      <c r="I2530" t="inlineStr">
        <is>
          <t>Delivered</t>
        </is>
      </c>
      <c r="J2530" t="n">
        <v>129</v>
      </c>
      <c r="K2530" t="n">
        <v>1</v>
      </c>
      <c r="L2530" s="7" t="n">
        <v>576</v>
      </c>
      <c r="M2530" s="7" t="n">
        <v>0</v>
      </c>
    </row>
    <row r="2531">
      <c r="A2531" t="n">
        <v>510653</v>
      </c>
      <c r="B2531" s="6" t="n">
        <v>45967</v>
      </c>
      <c r="C2531" t="n">
        <v>17191</v>
      </c>
      <c r="D2531" t="inlineStr">
        <is>
          <t>Gurugram</t>
        </is>
      </c>
      <c r="E2531" t="inlineStr">
        <is>
          <t>North</t>
        </is>
      </c>
      <c r="F2531" t="inlineStr">
        <is>
          <t>Paid Search</t>
        </is>
      </c>
      <c r="G2531" t="inlineStr">
        <is>
          <t>Mobile Web</t>
        </is>
      </c>
      <c r="H2531" t="inlineStr">
        <is>
          <t>UPI</t>
        </is>
      </c>
      <c r="I2531" t="inlineStr">
        <is>
          <t>Delivered</t>
        </is>
      </c>
      <c r="J2531" t="n">
        <v>115</v>
      </c>
      <c r="K2531" t="n">
        <v>1</v>
      </c>
      <c r="L2531" s="7" t="n">
        <v>4199</v>
      </c>
      <c r="M2531" s="7" t="n">
        <v>0</v>
      </c>
    </row>
    <row r="2532">
      <c r="A2532" t="n">
        <v>510654</v>
      </c>
      <c r="B2532" s="6" t="n">
        <v>45967</v>
      </c>
      <c r="C2532" t="n">
        <v>17157</v>
      </c>
      <c r="D2532" t="inlineStr">
        <is>
          <t>Kochi</t>
        </is>
      </c>
      <c r="E2532" t="inlineStr">
        <is>
          <t>South</t>
        </is>
      </c>
      <c r="F2532" t="inlineStr">
        <is>
          <t>Organic Search</t>
        </is>
      </c>
      <c r="G2532" t="inlineStr">
        <is>
          <t>Desktop</t>
        </is>
      </c>
      <c r="H2532" t="inlineStr">
        <is>
          <t>Cash on Delivery</t>
        </is>
      </c>
      <c r="I2532" t="inlineStr">
        <is>
          <t>Delivered</t>
        </is>
      </c>
      <c r="J2532" t="n">
        <v>102</v>
      </c>
      <c r="K2532" t="n">
        <v>1</v>
      </c>
      <c r="L2532" s="7" t="n">
        <v>3674</v>
      </c>
      <c r="M2532" s="7" t="n">
        <v>0</v>
      </c>
    </row>
    <row r="2533">
      <c r="A2533" t="n">
        <v>510654</v>
      </c>
      <c r="B2533" s="6" t="n">
        <v>45967</v>
      </c>
      <c r="C2533" t="n">
        <v>17157</v>
      </c>
      <c r="D2533" t="inlineStr">
        <is>
          <t>Kochi</t>
        </is>
      </c>
      <c r="E2533" t="inlineStr">
        <is>
          <t>South</t>
        </is>
      </c>
      <c r="F2533" t="inlineStr">
        <is>
          <t>Organic Search</t>
        </is>
      </c>
      <c r="G2533" t="inlineStr">
        <is>
          <t>Desktop</t>
        </is>
      </c>
      <c r="H2533" t="inlineStr">
        <is>
          <t>Cash on Delivery</t>
        </is>
      </c>
      <c r="I2533" t="inlineStr">
        <is>
          <t>Delivered</t>
        </is>
      </c>
      <c r="J2533" t="n">
        <v>139</v>
      </c>
      <c r="K2533" t="n">
        <v>1</v>
      </c>
      <c r="L2533" s="7" t="n">
        <v>366</v>
      </c>
      <c r="M2533" s="7" t="n">
        <v>0</v>
      </c>
    </row>
    <row r="2534">
      <c r="A2534" t="n">
        <v>510654</v>
      </c>
      <c r="B2534" s="6" t="n">
        <v>45967</v>
      </c>
      <c r="C2534" t="n">
        <v>17157</v>
      </c>
      <c r="D2534" t="inlineStr">
        <is>
          <t>Kochi</t>
        </is>
      </c>
      <c r="E2534" t="inlineStr">
        <is>
          <t>South</t>
        </is>
      </c>
      <c r="F2534" t="inlineStr">
        <is>
          <t>Organic Search</t>
        </is>
      </c>
      <c r="G2534" t="inlineStr">
        <is>
          <t>Desktop</t>
        </is>
      </c>
      <c r="H2534" t="inlineStr">
        <is>
          <t>Cash on Delivery</t>
        </is>
      </c>
      <c r="I2534" t="inlineStr">
        <is>
          <t>Delivered</t>
        </is>
      </c>
      <c r="J2534" t="n">
        <v>137</v>
      </c>
      <c r="K2534" t="n">
        <v>1</v>
      </c>
      <c r="L2534" s="7" t="n">
        <v>261</v>
      </c>
      <c r="M2534" s="7" t="n">
        <v>0</v>
      </c>
    </row>
    <row r="2535">
      <c r="A2535" t="n">
        <v>510655</v>
      </c>
      <c r="B2535" s="6" t="n">
        <v>45967</v>
      </c>
      <c r="C2535" t="n">
        <v>17189</v>
      </c>
      <c r="D2535" t="inlineStr">
        <is>
          <t>Jaipur</t>
        </is>
      </c>
      <c r="E2535" t="inlineStr">
        <is>
          <t>North</t>
        </is>
      </c>
      <c r="F2535" t="inlineStr">
        <is>
          <t>Affiliate</t>
        </is>
      </c>
      <c r="G2535" t="inlineStr">
        <is>
          <t>Mobile App</t>
        </is>
      </c>
      <c r="H2535" t="inlineStr">
        <is>
          <t>UPI</t>
        </is>
      </c>
      <c r="I2535" t="inlineStr">
        <is>
          <t>Delivered</t>
        </is>
      </c>
      <c r="J2535" t="n">
        <v>136</v>
      </c>
      <c r="K2535" t="n">
        <v>1</v>
      </c>
      <c r="L2535" s="7" t="n">
        <v>944</v>
      </c>
      <c r="M2535" s="7" t="n">
        <v>0</v>
      </c>
    </row>
    <row r="2536">
      <c r="A2536" t="n">
        <v>510655</v>
      </c>
      <c r="B2536" s="6" t="n">
        <v>45967</v>
      </c>
      <c r="C2536" t="n">
        <v>17189</v>
      </c>
      <c r="D2536" t="inlineStr">
        <is>
          <t>Jaipur</t>
        </is>
      </c>
      <c r="E2536" t="inlineStr">
        <is>
          <t>North</t>
        </is>
      </c>
      <c r="F2536" t="inlineStr">
        <is>
          <t>Affiliate</t>
        </is>
      </c>
      <c r="G2536" t="inlineStr">
        <is>
          <t>Mobile App</t>
        </is>
      </c>
      <c r="H2536" t="inlineStr">
        <is>
          <t>UPI</t>
        </is>
      </c>
      <c r="I2536" t="inlineStr">
        <is>
          <t>Delivered</t>
        </is>
      </c>
      <c r="J2536" t="n">
        <v>104</v>
      </c>
      <c r="K2536" t="n">
        <v>1</v>
      </c>
      <c r="L2536" s="7" t="n">
        <v>5249</v>
      </c>
      <c r="M2536" s="7" t="n">
        <v>0</v>
      </c>
    </row>
    <row r="2537">
      <c r="A2537" t="n">
        <v>510656</v>
      </c>
      <c r="B2537" s="6" t="n">
        <v>45967</v>
      </c>
      <c r="C2537" t="n">
        <v>16928</v>
      </c>
      <c r="D2537" t="inlineStr">
        <is>
          <t>Jaipur</t>
        </is>
      </c>
      <c r="E2537" t="inlineStr">
        <is>
          <t>North</t>
        </is>
      </c>
      <c r="F2537" t="inlineStr">
        <is>
          <t>Paid Social</t>
        </is>
      </c>
      <c r="G2537" t="inlineStr">
        <is>
          <t>Mobile App</t>
        </is>
      </c>
      <c r="H2537" t="inlineStr">
        <is>
          <t>UPI</t>
        </is>
      </c>
      <c r="I2537" t="inlineStr">
        <is>
          <t>Delivered</t>
        </is>
      </c>
      <c r="J2537" t="n">
        <v>120</v>
      </c>
      <c r="K2537" t="n">
        <v>1</v>
      </c>
      <c r="L2537" s="7" t="n">
        <v>734</v>
      </c>
      <c r="M2537" s="7" t="n">
        <v>36.7</v>
      </c>
    </row>
    <row r="2538">
      <c r="A2538" t="n">
        <v>510657</v>
      </c>
      <c r="B2538" s="6" t="n">
        <v>45967</v>
      </c>
      <c r="C2538" t="n">
        <v>15316</v>
      </c>
      <c r="D2538" t="inlineStr">
        <is>
          <t>Kolkata</t>
        </is>
      </c>
      <c r="E2538" t="inlineStr">
        <is>
          <t>East</t>
        </is>
      </c>
      <c r="F2538" t="inlineStr">
        <is>
          <t>Organic Search</t>
        </is>
      </c>
      <c r="G2538" t="inlineStr">
        <is>
          <t>Desktop</t>
        </is>
      </c>
      <c r="H2538" t="inlineStr">
        <is>
          <t>UPI</t>
        </is>
      </c>
      <c r="I2538" t="inlineStr">
        <is>
          <t>Delivered</t>
        </is>
      </c>
      <c r="J2538" t="n">
        <v>133</v>
      </c>
      <c r="K2538" t="n">
        <v>1</v>
      </c>
      <c r="L2538" s="7" t="n">
        <v>419</v>
      </c>
      <c r="M2538" s="7" t="n">
        <v>0</v>
      </c>
    </row>
    <row r="2539">
      <c r="A2539" t="n">
        <v>510658</v>
      </c>
      <c r="B2539" s="6" t="n">
        <v>45967</v>
      </c>
      <c r="C2539" t="n">
        <v>17139</v>
      </c>
      <c r="D2539" t="inlineStr">
        <is>
          <t>Bengaluru</t>
        </is>
      </c>
      <c r="E2539" t="inlineStr">
        <is>
          <t>South</t>
        </is>
      </c>
      <c r="F2539" t="inlineStr">
        <is>
          <t>Paid Social</t>
        </is>
      </c>
      <c r="G2539" t="inlineStr">
        <is>
          <t>Mobile App</t>
        </is>
      </c>
      <c r="H2539" t="inlineStr">
        <is>
          <t>UPI</t>
        </is>
      </c>
      <c r="I2539" t="inlineStr">
        <is>
          <t>Delivered</t>
        </is>
      </c>
      <c r="J2539" t="n">
        <v>140</v>
      </c>
      <c r="K2539" t="n">
        <v>1</v>
      </c>
      <c r="L2539" s="7" t="n">
        <v>629</v>
      </c>
      <c r="M2539" s="7" t="n">
        <v>94.34999999999999</v>
      </c>
    </row>
    <row r="2540">
      <c r="A2540" t="n">
        <v>510658</v>
      </c>
      <c r="B2540" s="6" t="n">
        <v>45967</v>
      </c>
      <c r="C2540" t="n">
        <v>17139</v>
      </c>
      <c r="D2540" t="inlineStr">
        <is>
          <t>Bengaluru</t>
        </is>
      </c>
      <c r="E2540" t="inlineStr">
        <is>
          <t>South</t>
        </is>
      </c>
      <c r="F2540" t="inlineStr">
        <is>
          <t>Paid Social</t>
        </is>
      </c>
      <c r="G2540" t="inlineStr">
        <is>
          <t>Mobile App</t>
        </is>
      </c>
      <c r="H2540" t="inlineStr">
        <is>
          <t>UPI</t>
        </is>
      </c>
      <c r="I2540" t="inlineStr">
        <is>
          <t>Delivered</t>
        </is>
      </c>
      <c r="J2540" t="n">
        <v>139</v>
      </c>
      <c r="K2540" t="n">
        <v>1</v>
      </c>
      <c r="L2540" s="7" t="n">
        <v>366</v>
      </c>
      <c r="M2540" s="7" t="n">
        <v>54.9</v>
      </c>
    </row>
    <row r="2541">
      <c r="A2541" t="n">
        <v>510658</v>
      </c>
      <c r="B2541" s="6" t="n">
        <v>45967</v>
      </c>
      <c r="C2541" t="n">
        <v>17139</v>
      </c>
      <c r="D2541" t="inlineStr">
        <is>
          <t>Bengaluru</t>
        </is>
      </c>
      <c r="E2541" t="inlineStr">
        <is>
          <t>South</t>
        </is>
      </c>
      <c r="F2541" t="inlineStr">
        <is>
          <t>Paid Social</t>
        </is>
      </c>
      <c r="G2541" t="inlineStr">
        <is>
          <t>Mobile App</t>
        </is>
      </c>
      <c r="H2541" t="inlineStr">
        <is>
          <t>UPI</t>
        </is>
      </c>
      <c r="I2541" t="inlineStr">
        <is>
          <t>Delivered</t>
        </is>
      </c>
      <c r="J2541" t="n">
        <v>132</v>
      </c>
      <c r="K2541" t="n">
        <v>1</v>
      </c>
      <c r="L2541" s="7" t="n">
        <v>471</v>
      </c>
      <c r="M2541" s="7" t="n">
        <v>70.65000000000001</v>
      </c>
    </row>
    <row r="2542">
      <c r="A2542" t="n">
        <v>510659</v>
      </c>
      <c r="B2542" s="6" t="n">
        <v>45968</v>
      </c>
      <c r="C2542" t="n">
        <v>16899</v>
      </c>
      <c r="D2542" t="inlineStr">
        <is>
          <t>Kolkata</t>
        </is>
      </c>
      <c r="E2542" t="inlineStr">
        <is>
          <t>East</t>
        </is>
      </c>
      <c r="F2542" t="inlineStr">
        <is>
          <t>Organic Search</t>
        </is>
      </c>
      <c r="G2542" t="inlineStr">
        <is>
          <t>Mobile Web</t>
        </is>
      </c>
      <c r="H2542" t="inlineStr">
        <is>
          <t>Credit Card</t>
        </is>
      </c>
      <c r="I2542" t="inlineStr">
        <is>
          <t>Delivered</t>
        </is>
      </c>
      <c r="J2542" t="n">
        <v>123</v>
      </c>
      <c r="K2542" t="n">
        <v>1</v>
      </c>
      <c r="L2542" s="7" t="n">
        <v>3464</v>
      </c>
      <c r="M2542" s="7" t="n">
        <v>0</v>
      </c>
    </row>
    <row r="2543">
      <c r="A2543" t="n">
        <v>510660</v>
      </c>
      <c r="B2543" s="6" t="n">
        <v>45968</v>
      </c>
      <c r="C2543" t="n">
        <v>14251</v>
      </c>
      <c r="D2543" t="inlineStr">
        <is>
          <t>Indore</t>
        </is>
      </c>
      <c r="E2543" t="inlineStr">
        <is>
          <t>West</t>
        </is>
      </c>
      <c r="F2543" t="inlineStr">
        <is>
          <t>Referral</t>
        </is>
      </c>
      <c r="G2543" t="inlineStr">
        <is>
          <t>Mobile App</t>
        </is>
      </c>
      <c r="H2543" t="inlineStr">
        <is>
          <t>UPI</t>
        </is>
      </c>
      <c r="I2543" t="inlineStr">
        <is>
          <t>Delivered</t>
        </is>
      </c>
      <c r="J2543" t="n">
        <v>140</v>
      </c>
      <c r="K2543" t="n">
        <v>1</v>
      </c>
      <c r="L2543" s="7" t="n">
        <v>629</v>
      </c>
      <c r="M2543" s="7" t="n">
        <v>0</v>
      </c>
    </row>
    <row r="2544">
      <c r="A2544" t="n">
        <v>510661</v>
      </c>
      <c r="B2544" s="6" t="n">
        <v>45968</v>
      </c>
      <c r="C2544" t="n">
        <v>16014</v>
      </c>
      <c r="D2544" t="inlineStr">
        <is>
          <t>Mumbai</t>
        </is>
      </c>
      <c r="E2544" t="inlineStr">
        <is>
          <t>West</t>
        </is>
      </c>
      <c r="F2544" t="inlineStr">
        <is>
          <t>Referral</t>
        </is>
      </c>
      <c r="G2544" t="inlineStr">
        <is>
          <t>Desktop</t>
        </is>
      </c>
      <c r="H2544" t="inlineStr">
        <is>
          <t>UPI</t>
        </is>
      </c>
      <c r="I2544" t="inlineStr">
        <is>
          <t>Delivered</t>
        </is>
      </c>
      <c r="J2544" t="n">
        <v>144</v>
      </c>
      <c r="K2544" t="n">
        <v>3</v>
      </c>
      <c r="L2544" s="7" t="n">
        <v>3149</v>
      </c>
      <c r="M2544" s="7" t="n">
        <v>0</v>
      </c>
    </row>
    <row r="2545">
      <c r="A2545" t="n">
        <v>510662</v>
      </c>
      <c r="B2545" s="6" t="n">
        <v>45968</v>
      </c>
      <c r="C2545" t="n">
        <v>17206</v>
      </c>
      <c r="D2545" t="inlineStr">
        <is>
          <t>Jaipur</t>
        </is>
      </c>
      <c r="E2545" t="inlineStr">
        <is>
          <t>North</t>
        </is>
      </c>
      <c r="F2545" t="inlineStr">
        <is>
          <t>Paid Search</t>
        </is>
      </c>
      <c r="G2545" t="inlineStr">
        <is>
          <t>Mobile App</t>
        </is>
      </c>
      <c r="H2545" t="inlineStr">
        <is>
          <t>Net Banking</t>
        </is>
      </c>
      <c r="I2545" t="inlineStr">
        <is>
          <t>Delivered</t>
        </is>
      </c>
      <c r="J2545" t="n">
        <v>145</v>
      </c>
      <c r="K2545" t="n">
        <v>1</v>
      </c>
      <c r="L2545" s="7" t="n">
        <v>629</v>
      </c>
      <c r="M2545" s="7" t="n">
        <v>0</v>
      </c>
    </row>
    <row r="2546">
      <c r="A2546" t="n">
        <v>510663</v>
      </c>
      <c r="B2546" s="6" t="n">
        <v>45968</v>
      </c>
      <c r="C2546" t="n">
        <v>17225</v>
      </c>
      <c r="D2546" t="inlineStr">
        <is>
          <t>Hyderabad</t>
        </is>
      </c>
      <c r="E2546" t="inlineStr">
        <is>
          <t>South</t>
        </is>
      </c>
      <c r="F2546" t="inlineStr">
        <is>
          <t>Organic Search</t>
        </is>
      </c>
      <c r="G2546" t="inlineStr">
        <is>
          <t>Mobile Web</t>
        </is>
      </c>
      <c r="H2546" t="inlineStr">
        <is>
          <t>UPI</t>
        </is>
      </c>
      <c r="I2546" t="inlineStr">
        <is>
          <t>Delivered</t>
        </is>
      </c>
      <c r="J2546" t="n">
        <v>122</v>
      </c>
      <c r="K2546" t="n">
        <v>1</v>
      </c>
      <c r="L2546" s="7" t="n">
        <v>1994</v>
      </c>
      <c r="M2546" s="7" t="n">
        <v>299.1</v>
      </c>
    </row>
    <row r="2547">
      <c r="A2547" t="n">
        <v>510664</v>
      </c>
      <c r="B2547" s="6" t="n">
        <v>45968</v>
      </c>
      <c r="C2547" t="n">
        <v>11967</v>
      </c>
      <c r="D2547" t="inlineStr">
        <is>
          <t>Mumbai</t>
        </is>
      </c>
      <c r="E2547" t="inlineStr">
        <is>
          <t>West</t>
        </is>
      </c>
      <c r="F2547" t="inlineStr">
        <is>
          <t>Organic Search</t>
        </is>
      </c>
      <c r="G2547" t="inlineStr">
        <is>
          <t>Mobile Web</t>
        </is>
      </c>
      <c r="H2547" t="inlineStr">
        <is>
          <t>Cash on Delivery</t>
        </is>
      </c>
      <c r="I2547" t="inlineStr">
        <is>
          <t>Returned</t>
        </is>
      </c>
      <c r="J2547" t="n">
        <v>131</v>
      </c>
      <c r="K2547" t="n">
        <v>1</v>
      </c>
      <c r="L2547" s="7" t="n">
        <v>314</v>
      </c>
      <c r="M2547" s="7" t="n">
        <v>0</v>
      </c>
    </row>
    <row r="2548">
      <c r="A2548" t="n">
        <v>510664</v>
      </c>
      <c r="B2548" s="6" t="n">
        <v>45968</v>
      </c>
      <c r="C2548" t="n">
        <v>11967</v>
      </c>
      <c r="D2548" t="inlineStr">
        <is>
          <t>Mumbai</t>
        </is>
      </c>
      <c r="E2548" t="inlineStr">
        <is>
          <t>West</t>
        </is>
      </c>
      <c r="F2548" t="inlineStr">
        <is>
          <t>Organic Search</t>
        </is>
      </c>
      <c r="G2548" t="inlineStr">
        <is>
          <t>Mobile Web</t>
        </is>
      </c>
      <c r="H2548" t="inlineStr">
        <is>
          <t>Cash on Delivery</t>
        </is>
      </c>
      <c r="I2548" t="inlineStr">
        <is>
          <t>Returned</t>
        </is>
      </c>
      <c r="J2548" t="n">
        <v>118</v>
      </c>
      <c r="K2548" t="n">
        <v>2</v>
      </c>
      <c r="L2548" s="7" t="n">
        <v>944</v>
      </c>
      <c r="M2548" s="7" t="n">
        <v>0</v>
      </c>
    </row>
    <row r="2549">
      <c r="A2549" t="n">
        <v>510665</v>
      </c>
      <c r="B2549" s="6" t="n">
        <v>45968</v>
      </c>
      <c r="C2549" t="n">
        <v>17124</v>
      </c>
      <c r="D2549" t="inlineStr">
        <is>
          <t>Chennai</t>
        </is>
      </c>
      <c r="E2549" t="inlineStr">
        <is>
          <t>South</t>
        </is>
      </c>
      <c r="F2549" t="inlineStr">
        <is>
          <t>Paid Search</t>
        </is>
      </c>
      <c r="G2549" t="inlineStr">
        <is>
          <t>Mobile Web</t>
        </is>
      </c>
      <c r="H2549" t="inlineStr">
        <is>
          <t>Net Banking</t>
        </is>
      </c>
      <c r="I2549" t="inlineStr">
        <is>
          <t>Delivered</t>
        </is>
      </c>
      <c r="J2549" t="n">
        <v>132</v>
      </c>
      <c r="K2549" t="n">
        <v>1</v>
      </c>
      <c r="L2549" s="7" t="n">
        <v>471</v>
      </c>
      <c r="M2549" s="7" t="n">
        <v>0</v>
      </c>
    </row>
    <row r="2550">
      <c r="A2550" t="n">
        <v>510666</v>
      </c>
      <c r="B2550" s="6" t="n">
        <v>45968</v>
      </c>
      <c r="C2550" t="n">
        <v>17216</v>
      </c>
      <c r="D2550" t="inlineStr">
        <is>
          <t>Kolkata</t>
        </is>
      </c>
      <c r="E2550" t="inlineStr">
        <is>
          <t>East</t>
        </is>
      </c>
      <c r="F2550" t="inlineStr">
        <is>
          <t>Paid Search</t>
        </is>
      </c>
      <c r="G2550" t="inlineStr">
        <is>
          <t>Mobile Web</t>
        </is>
      </c>
      <c r="H2550" t="inlineStr">
        <is>
          <t>Cash on Delivery</t>
        </is>
      </c>
      <c r="I2550" t="inlineStr">
        <is>
          <t>Delivered</t>
        </is>
      </c>
      <c r="J2550" t="n">
        <v>128</v>
      </c>
      <c r="K2550" t="n">
        <v>1</v>
      </c>
      <c r="L2550" s="7" t="n">
        <v>1049</v>
      </c>
      <c r="M2550" s="7" t="n">
        <v>157.35</v>
      </c>
    </row>
    <row r="2551">
      <c r="A2551" t="n">
        <v>510667</v>
      </c>
      <c r="B2551" s="6" t="n">
        <v>45968</v>
      </c>
      <c r="C2551" t="n">
        <v>17227</v>
      </c>
      <c r="D2551" t="inlineStr">
        <is>
          <t>Kolkata</t>
        </is>
      </c>
      <c r="E2551" t="inlineStr">
        <is>
          <t>East</t>
        </is>
      </c>
      <c r="F2551" t="inlineStr">
        <is>
          <t>Paid Social</t>
        </is>
      </c>
      <c r="G2551" t="inlineStr">
        <is>
          <t>Mobile App</t>
        </is>
      </c>
      <c r="H2551" t="inlineStr">
        <is>
          <t>UPI</t>
        </is>
      </c>
      <c r="I2551" t="inlineStr">
        <is>
          <t>Delivered</t>
        </is>
      </c>
      <c r="J2551" t="n">
        <v>138</v>
      </c>
      <c r="K2551" t="n">
        <v>1</v>
      </c>
      <c r="L2551" s="7" t="n">
        <v>419</v>
      </c>
      <c r="M2551" s="7" t="n">
        <v>20.95</v>
      </c>
    </row>
    <row r="2552">
      <c r="A2552" t="n">
        <v>510668</v>
      </c>
      <c r="B2552" s="6" t="n">
        <v>45968</v>
      </c>
      <c r="C2552" t="n">
        <v>17226</v>
      </c>
      <c r="D2552" t="inlineStr">
        <is>
          <t>Jaipur</t>
        </is>
      </c>
      <c r="E2552" t="inlineStr">
        <is>
          <t>North</t>
        </is>
      </c>
      <c r="F2552" t="inlineStr">
        <is>
          <t>Organic Search</t>
        </is>
      </c>
      <c r="G2552" t="inlineStr">
        <is>
          <t>Mobile Web</t>
        </is>
      </c>
      <c r="H2552" t="inlineStr">
        <is>
          <t>UPI</t>
        </is>
      </c>
      <c r="I2552" t="inlineStr">
        <is>
          <t>Delivered</t>
        </is>
      </c>
      <c r="J2552" t="n">
        <v>132</v>
      </c>
      <c r="K2552" t="n">
        <v>1</v>
      </c>
      <c r="L2552" s="7" t="n">
        <v>471</v>
      </c>
      <c r="M2552" s="7" t="n">
        <v>0</v>
      </c>
    </row>
    <row r="2553">
      <c r="A2553" t="n">
        <v>510669</v>
      </c>
      <c r="B2553" s="6" t="n">
        <v>45968</v>
      </c>
      <c r="C2553" t="n">
        <v>15964</v>
      </c>
      <c r="D2553" t="inlineStr">
        <is>
          <t>Kolkata</t>
        </is>
      </c>
      <c r="E2553" t="inlineStr">
        <is>
          <t>East</t>
        </is>
      </c>
      <c r="F2553" t="inlineStr">
        <is>
          <t>Paid Social</t>
        </is>
      </c>
      <c r="G2553" t="inlineStr">
        <is>
          <t>Mobile App</t>
        </is>
      </c>
      <c r="H2553" t="inlineStr">
        <is>
          <t>Net Banking</t>
        </is>
      </c>
      <c r="I2553" t="inlineStr">
        <is>
          <t>Delivered</t>
        </is>
      </c>
      <c r="J2553" t="n">
        <v>105</v>
      </c>
      <c r="K2553" t="n">
        <v>1</v>
      </c>
      <c r="L2553" s="7" t="n">
        <v>2414</v>
      </c>
      <c r="M2553" s="7" t="n">
        <v>0</v>
      </c>
    </row>
    <row r="2554">
      <c r="A2554" t="n">
        <v>510670</v>
      </c>
      <c r="B2554" s="6" t="n">
        <v>45968</v>
      </c>
      <c r="C2554" t="n">
        <v>17214</v>
      </c>
      <c r="D2554" t="inlineStr">
        <is>
          <t>Delhi</t>
        </is>
      </c>
      <c r="E2554" t="inlineStr">
        <is>
          <t>North</t>
        </is>
      </c>
      <c r="F2554" t="inlineStr">
        <is>
          <t>Paid Social</t>
        </is>
      </c>
      <c r="G2554" t="inlineStr">
        <is>
          <t>Mobile App</t>
        </is>
      </c>
      <c r="H2554" t="inlineStr">
        <is>
          <t>UPI</t>
        </is>
      </c>
      <c r="I2554" t="inlineStr">
        <is>
          <t>Delivered</t>
        </is>
      </c>
      <c r="J2554" t="n">
        <v>144</v>
      </c>
      <c r="K2554" t="n">
        <v>2</v>
      </c>
      <c r="L2554" s="7" t="n">
        <v>3149</v>
      </c>
      <c r="M2554" s="7" t="n">
        <v>0</v>
      </c>
    </row>
    <row r="2555">
      <c r="A2555" t="n">
        <v>510670</v>
      </c>
      <c r="B2555" s="6" t="n">
        <v>45968</v>
      </c>
      <c r="C2555" t="n">
        <v>17214</v>
      </c>
      <c r="D2555" t="inlineStr">
        <is>
          <t>Delhi</t>
        </is>
      </c>
      <c r="E2555" t="inlineStr">
        <is>
          <t>North</t>
        </is>
      </c>
      <c r="F2555" t="inlineStr">
        <is>
          <t>Paid Social</t>
        </is>
      </c>
      <c r="G2555" t="inlineStr">
        <is>
          <t>Mobile App</t>
        </is>
      </c>
      <c r="H2555" t="inlineStr">
        <is>
          <t>UPI</t>
        </is>
      </c>
      <c r="I2555" t="inlineStr">
        <is>
          <t>Delivered</t>
        </is>
      </c>
      <c r="J2555" t="n">
        <v>138</v>
      </c>
      <c r="K2555" t="n">
        <v>1</v>
      </c>
      <c r="L2555" s="7" t="n">
        <v>419</v>
      </c>
      <c r="M2555" s="7" t="n">
        <v>0</v>
      </c>
    </row>
    <row r="2556">
      <c r="A2556" t="n">
        <v>510671</v>
      </c>
      <c r="B2556" s="6" t="n">
        <v>45968</v>
      </c>
      <c r="C2556" t="n">
        <v>17209</v>
      </c>
      <c r="D2556" t="inlineStr">
        <is>
          <t>Mumbai</t>
        </is>
      </c>
      <c r="E2556" t="inlineStr">
        <is>
          <t>West</t>
        </is>
      </c>
      <c r="F2556" t="inlineStr">
        <is>
          <t>Referral</t>
        </is>
      </c>
      <c r="G2556" t="inlineStr">
        <is>
          <t>Mobile App</t>
        </is>
      </c>
      <c r="H2556" t="inlineStr">
        <is>
          <t>UPI</t>
        </is>
      </c>
      <c r="I2556" t="inlineStr">
        <is>
          <t>Delivered</t>
        </is>
      </c>
      <c r="J2556" t="n">
        <v>139</v>
      </c>
      <c r="K2556" t="n">
        <v>1</v>
      </c>
      <c r="L2556" s="7" t="n">
        <v>366</v>
      </c>
      <c r="M2556" s="7" t="n">
        <v>54.9</v>
      </c>
    </row>
    <row r="2557">
      <c r="A2557" t="n">
        <v>510671</v>
      </c>
      <c r="B2557" s="6" t="n">
        <v>45968</v>
      </c>
      <c r="C2557" t="n">
        <v>17209</v>
      </c>
      <c r="D2557" t="inlineStr">
        <is>
          <t>Mumbai</t>
        </is>
      </c>
      <c r="E2557" t="inlineStr">
        <is>
          <t>West</t>
        </is>
      </c>
      <c r="F2557" t="inlineStr">
        <is>
          <t>Referral</t>
        </is>
      </c>
      <c r="G2557" t="inlineStr">
        <is>
          <t>Mobile App</t>
        </is>
      </c>
      <c r="H2557" t="inlineStr">
        <is>
          <t>UPI</t>
        </is>
      </c>
      <c r="I2557" t="inlineStr">
        <is>
          <t>Delivered</t>
        </is>
      </c>
      <c r="J2557" t="n">
        <v>126</v>
      </c>
      <c r="K2557" t="n">
        <v>1</v>
      </c>
      <c r="L2557" s="7" t="n">
        <v>471</v>
      </c>
      <c r="M2557" s="7" t="n">
        <v>70.65000000000001</v>
      </c>
    </row>
    <row r="2558">
      <c r="A2558" t="n">
        <v>510672</v>
      </c>
      <c r="B2558" s="6" t="n">
        <v>45968</v>
      </c>
      <c r="C2558" t="n">
        <v>12808</v>
      </c>
      <c r="D2558" t="inlineStr">
        <is>
          <t>Noida</t>
        </is>
      </c>
      <c r="E2558" t="inlineStr">
        <is>
          <t>North</t>
        </is>
      </c>
      <c r="F2558" t="inlineStr">
        <is>
          <t>Organic Search</t>
        </is>
      </c>
      <c r="G2558" t="inlineStr">
        <is>
          <t>Mobile App</t>
        </is>
      </c>
      <c r="H2558" t="inlineStr">
        <is>
          <t>Net Banking</t>
        </is>
      </c>
      <c r="I2558" t="inlineStr">
        <is>
          <t>Delivered</t>
        </is>
      </c>
      <c r="J2558" t="n">
        <v>123</v>
      </c>
      <c r="K2558" t="n">
        <v>1</v>
      </c>
      <c r="L2558" s="7" t="n">
        <v>3464</v>
      </c>
      <c r="M2558" s="7" t="n">
        <v>0</v>
      </c>
    </row>
    <row r="2559">
      <c r="A2559" t="n">
        <v>510672</v>
      </c>
      <c r="B2559" s="6" t="n">
        <v>45968</v>
      </c>
      <c r="C2559" t="n">
        <v>12808</v>
      </c>
      <c r="D2559" t="inlineStr">
        <is>
          <t>Noida</t>
        </is>
      </c>
      <c r="E2559" t="inlineStr">
        <is>
          <t>North</t>
        </is>
      </c>
      <c r="F2559" t="inlineStr">
        <is>
          <t>Organic Search</t>
        </is>
      </c>
      <c r="G2559" t="inlineStr">
        <is>
          <t>Mobile App</t>
        </is>
      </c>
      <c r="H2559" t="inlineStr">
        <is>
          <t>Net Banking</t>
        </is>
      </c>
      <c r="I2559" t="inlineStr">
        <is>
          <t>Delivered</t>
        </is>
      </c>
      <c r="J2559" t="n">
        <v>106</v>
      </c>
      <c r="K2559" t="n">
        <v>1</v>
      </c>
      <c r="L2559" s="7" t="n">
        <v>1574</v>
      </c>
      <c r="M2559" s="7" t="n">
        <v>0</v>
      </c>
    </row>
    <row r="2560">
      <c r="A2560" t="n">
        <v>510672</v>
      </c>
      <c r="B2560" s="6" t="n">
        <v>45968</v>
      </c>
      <c r="C2560" t="n">
        <v>12808</v>
      </c>
      <c r="D2560" t="inlineStr">
        <is>
          <t>Noida</t>
        </is>
      </c>
      <c r="E2560" t="inlineStr">
        <is>
          <t>North</t>
        </is>
      </c>
      <c r="F2560" t="inlineStr">
        <is>
          <t>Organic Search</t>
        </is>
      </c>
      <c r="G2560" t="inlineStr">
        <is>
          <t>Mobile App</t>
        </is>
      </c>
      <c r="H2560" t="inlineStr">
        <is>
          <t>Net Banking</t>
        </is>
      </c>
      <c r="I2560" t="inlineStr">
        <is>
          <t>Delivered</t>
        </is>
      </c>
      <c r="J2560" t="n">
        <v>102</v>
      </c>
      <c r="K2560" t="n">
        <v>2</v>
      </c>
      <c r="L2560" s="7" t="n">
        <v>3674</v>
      </c>
      <c r="M2560" s="7" t="n">
        <v>0</v>
      </c>
    </row>
    <row r="2561">
      <c r="A2561" t="n">
        <v>510673</v>
      </c>
      <c r="B2561" s="6" t="n">
        <v>45968</v>
      </c>
      <c r="C2561" t="n">
        <v>16989</v>
      </c>
      <c r="D2561" t="inlineStr">
        <is>
          <t>Bengaluru</t>
        </is>
      </c>
      <c r="E2561" t="inlineStr">
        <is>
          <t>South</t>
        </is>
      </c>
      <c r="F2561" t="inlineStr">
        <is>
          <t>Paid Search</t>
        </is>
      </c>
      <c r="G2561" t="inlineStr">
        <is>
          <t>Mobile App</t>
        </is>
      </c>
      <c r="H2561" t="inlineStr">
        <is>
          <t>Cash on Delivery</t>
        </is>
      </c>
      <c r="I2561" t="inlineStr">
        <is>
          <t>Delivered</t>
        </is>
      </c>
      <c r="J2561" t="n">
        <v>130</v>
      </c>
      <c r="K2561" t="n">
        <v>1</v>
      </c>
      <c r="L2561" s="7" t="n">
        <v>734</v>
      </c>
      <c r="M2561" s="7" t="n">
        <v>0</v>
      </c>
    </row>
    <row r="2562">
      <c r="A2562" t="n">
        <v>510673</v>
      </c>
      <c r="B2562" s="6" t="n">
        <v>45968</v>
      </c>
      <c r="C2562" t="n">
        <v>16989</v>
      </c>
      <c r="D2562" t="inlineStr">
        <is>
          <t>Bengaluru</t>
        </is>
      </c>
      <c r="E2562" t="inlineStr">
        <is>
          <t>South</t>
        </is>
      </c>
      <c r="F2562" t="inlineStr">
        <is>
          <t>Paid Search</t>
        </is>
      </c>
      <c r="G2562" t="inlineStr">
        <is>
          <t>Mobile App</t>
        </is>
      </c>
      <c r="H2562" t="inlineStr">
        <is>
          <t>Cash on Delivery</t>
        </is>
      </c>
      <c r="I2562" t="inlineStr">
        <is>
          <t>Delivered</t>
        </is>
      </c>
      <c r="J2562" t="n">
        <v>114</v>
      </c>
      <c r="K2562" t="n">
        <v>1</v>
      </c>
      <c r="L2562" s="7" t="n">
        <v>1259</v>
      </c>
      <c r="M2562" s="7" t="n">
        <v>0</v>
      </c>
    </row>
    <row r="2563">
      <c r="A2563" t="n">
        <v>510674</v>
      </c>
      <c r="B2563" s="6" t="n">
        <v>45968</v>
      </c>
      <c r="C2563" t="n">
        <v>17103</v>
      </c>
      <c r="D2563" t="inlineStr">
        <is>
          <t>Hyderabad</t>
        </is>
      </c>
      <c r="E2563" t="inlineStr">
        <is>
          <t>South</t>
        </is>
      </c>
      <c r="F2563" t="inlineStr">
        <is>
          <t>Organic Search</t>
        </is>
      </c>
      <c r="G2563" t="inlineStr">
        <is>
          <t>Mobile Web</t>
        </is>
      </c>
      <c r="H2563" t="inlineStr">
        <is>
          <t>UPI</t>
        </is>
      </c>
      <c r="I2563" t="inlineStr">
        <is>
          <t>Delivered</t>
        </is>
      </c>
      <c r="J2563" t="n">
        <v>106</v>
      </c>
      <c r="K2563" t="n">
        <v>1</v>
      </c>
      <c r="L2563" s="7" t="n">
        <v>1574</v>
      </c>
      <c r="M2563" s="7" t="n">
        <v>0</v>
      </c>
    </row>
    <row r="2564">
      <c r="A2564" t="n">
        <v>510674</v>
      </c>
      <c r="B2564" s="6" t="n">
        <v>45968</v>
      </c>
      <c r="C2564" t="n">
        <v>17103</v>
      </c>
      <c r="D2564" t="inlineStr">
        <is>
          <t>Hyderabad</t>
        </is>
      </c>
      <c r="E2564" t="inlineStr">
        <is>
          <t>South</t>
        </is>
      </c>
      <c r="F2564" t="inlineStr">
        <is>
          <t>Organic Search</t>
        </is>
      </c>
      <c r="G2564" t="inlineStr">
        <is>
          <t>Mobile Web</t>
        </is>
      </c>
      <c r="H2564" t="inlineStr">
        <is>
          <t>UPI</t>
        </is>
      </c>
      <c r="I2564" t="inlineStr">
        <is>
          <t>Delivered</t>
        </is>
      </c>
      <c r="J2564" t="n">
        <v>108</v>
      </c>
      <c r="K2564" t="n">
        <v>1</v>
      </c>
      <c r="L2564" s="7" t="n">
        <v>419</v>
      </c>
      <c r="M2564" s="7" t="n">
        <v>0</v>
      </c>
    </row>
    <row r="2565">
      <c r="A2565" t="n">
        <v>510674</v>
      </c>
      <c r="B2565" s="6" t="n">
        <v>45968</v>
      </c>
      <c r="C2565" t="n">
        <v>17103</v>
      </c>
      <c r="D2565" t="inlineStr">
        <is>
          <t>Hyderabad</t>
        </is>
      </c>
      <c r="E2565" t="inlineStr">
        <is>
          <t>South</t>
        </is>
      </c>
      <c r="F2565" t="inlineStr">
        <is>
          <t>Organic Search</t>
        </is>
      </c>
      <c r="G2565" t="inlineStr">
        <is>
          <t>Mobile Web</t>
        </is>
      </c>
      <c r="H2565" t="inlineStr">
        <is>
          <t>UPI</t>
        </is>
      </c>
      <c r="I2565" t="inlineStr">
        <is>
          <t>Delivered</t>
        </is>
      </c>
      <c r="J2565" t="n">
        <v>126</v>
      </c>
      <c r="K2565" t="n">
        <v>1</v>
      </c>
      <c r="L2565" s="7" t="n">
        <v>471</v>
      </c>
      <c r="M2565" s="7" t="n">
        <v>0</v>
      </c>
    </row>
    <row r="2566">
      <c r="A2566" t="n">
        <v>510674</v>
      </c>
      <c r="B2566" s="6" t="n">
        <v>45968</v>
      </c>
      <c r="C2566" t="n">
        <v>17103</v>
      </c>
      <c r="D2566" t="inlineStr">
        <is>
          <t>Hyderabad</t>
        </is>
      </c>
      <c r="E2566" t="inlineStr">
        <is>
          <t>South</t>
        </is>
      </c>
      <c r="F2566" t="inlineStr">
        <is>
          <t>Organic Search</t>
        </is>
      </c>
      <c r="G2566" t="inlineStr">
        <is>
          <t>Mobile Web</t>
        </is>
      </c>
      <c r="H2566" t="inlineStr">
        <is>
          <t>UPI</t>
        </is>
      </c>
      <c r="I2566" t="inlineStr">
        <is>
          <t>Delivered</t>
        </is>
      </c>
      <c r="J2566" t="n">
        <v>129</v>
      </c>
      <c r="K2566" t="n">
        <v>1</v>
      </c>
      <c r="L2566" s="7" t="n">
        <v>576</v>
      </c>
      <c r="M2566" s="7" t="n">
        <v>0</v>
      </c>
    </row>
    <row r="2567">
      <c r="A2567" t="n">
        <v>510675</v>
      </c>
      <c r="B2567" s="6" t="n">
        <v>45968</v>
      </c>
      <c r="C2567" t="n">
        <v>17203</v>
      </c>
      <c r="D2567" t="inlineStr">
        <is>
          <t>Ahmedabad</t>
        </is>
      </c>
      <c r="E2567" t="inlineStr">
        <is>
          <t>West</t>
        </is>
      </c>
      <c r="F2567" t="inlineStr">
        <is>
          <t>Email</t>
        </is>
      </c>
      <c r="G2567" t="inlineStr">
        <is>
          <t>Mobile Web</t>
        </is>
      </c>
      <c r="H2567" t="inlineStr">
        <is>
          <t>UPI</t>
        </is>
      </c>
      <c r="I2567" t="inlineStr">
        <is>
          <t>Delivered</t>
        </is>
      </c>
      <c r="J2567" t="n">
        <v>117</v>
      </c>
      <c r="K2567" t="n">
        <v>1</v>
      </c>
      <c r="L2567" s="7" t="n">
        <v>3149</v>
      </c>
      <c r="M2567" s="7" t="n">
        <v>0</v>
      </c>
    </row>
    <row r="2568">
      <c r="A2568" t="n">
        <v>510676</v>
      </c>
      <c r="B2568" s="6" t="n">
        <v>45968</v>
      </c>
      <c r="C2568" t="n">
        <v>14968</v>
      </c>
      <c r="D2568" t="inlineStr">
        <is>
          <t>Mumbai</t>
        </is>
      </c>
      <c r="E2568" t="inlineStr">
        <is>
          <t>West</t>
        </is>
      </c>
      <c r="F2568" t="inlineStr">
        <is>
          <t>Organic Search</t>
        </is>
      </c>
      <c r="G2568" t="inlineStr">
        <is>
          <t>Mobile Web</t>
        </is>
      </c>
      <c r="H2568" t="inlineStr">
        <is>
          <t>Credit Card</t>
        </is>
      </c>
      <c r="I2568" t="inlineStr">
        <is>
          <t>Delivered</t>
        </is>
      </c>
      <c r="J2568" t="n">
        <v>121</v>
      </c>
      <c r="K2568" t="n">
        <v>1</v>
      </c>
      <c r="L2568" s="7" t="n">
        <v>2939</v>
      </c>
      <c r="M2568" s="7" t="n">
        <v>0</v>
      </c>
    </row>
    <row r="2569">
      <c r="A2569" t="n">
        <v>510676</v>
      </c>
      <c r="B2569" s="6" t="n">
        <v>45968</v>
      </c>
      <c r="C2569" t="n">
        <v>14968</v>
      </c>
      <c r="D2569" t="inlineStr">
        <is>
          <t>Mumbai</t>
        </is>
      </c>
      <c r="E2569" t="inlineStr">
        <is>
          <t>West</t>
        </is>
      </c>
      <c r="F2569" t="inlineStr">
        <is>
          <t>Organic Search</t>
        </is>
      </c>
      <c r="G2569" t="inlineStr">
        <is>
          <t>Mobile Web</t>
        </is>
      </c>
      <c r="H2569" t="inlineStr">
        <is>
          <t>Credit Card</t>
        </is>
      </c>
      <c r="I2569" t="inlineStr">
        <is>
          <t>Delivered</t>
        </is>
      </c>
      <c r="J2569" t="n">
        <v>144</v>
      </c>
      <c r="K2569" t="n">
        <v>1</v>
      </c>
      <c r="L2569" s="7" t="n">
        <v>3149</v>
      </c>
      <c r="M2569" s="7" t="n">
        <v>0</v>
      </c>
    </row>
    <row r="2570">
      <c r="A2570" t="n">
        <v>510677</v>
      </c>
      <c r="B2570" s="6" t="n">
        <v>45968</v>
      </c>
      <c r="C2570" t="n">
        <v>17026</v>
      </c>
      <c r="D2570" t="inlineStr">
        <is>
          <t>Bengaluru</t>
        </is>
      </c>
      <c r="E2570" t="inlineStr">
        <is>
          <t>South</t>
        </is>
      </c>
      <c r="F2570" t="inlineStr">
        <is>
          <t>Paid Search</t>
        </is>
      </c>
      <c r="G2570" t="inlineStr">
        <is>
          <t>Mobile Web</t>
        </is>
      </c>
      <c r="H2570" t="inlineStr">
        <is>
          <t>UPI</t>
        </is>
      </c>
      <c r="I2570" t="inlineStr">
        <is>
          <t>Delivered</t>
        </is>
      </c>
      <c r="J2570" t="n">
        <v>120</v>
      </c>
      <c r="K2570" t="n">
        <v>1</v>
      </c>
      <c r="L2570" s="7" t="n">
        <v>734</v>
      </c>
      <c r="M2570" s="7" t="n">
        <v>0</v>
      </c>
    </row>
    <row r="2571">
      <c r="A2571" t="n">
        <v>510678</v>
      </c>
      <c r="B2571" s="6" t="n">
        <v>45968</v>
      </c>
      <c r="C2571" t="n">
        <v>17184</v>
      </c>
      <c r="D2571" t="inlineStr">
        <is>
          <t>Indore</t>
        </is>
      </c>
      <c r="E2571" t="inlineStr">
        <is>
          <t>West</t>
        </is>
      </c>
      <c r="F2571" t="inlineStr">
        <is>
          <t>Referral</t>
        </is>
      </c>
      <c r="G2571" t="inlineStr">
        <is>
          <t>Mobile App</t>
        </is>
      </c>
      <c r="H2571" t="inlineStr">
        <is>
          <t>Cash on Delivery</t>
        </is>
      </c>
      <c r="I2571" t="inlineStr">
        <is>
          <t>Delivered</t>
        </is>
      </c>
      <c r="J2571" t="n">
        <v>111</v>
      </c>
      <c r="K2571" t="n">
        <v>1</v>
      </c>
      <c r="L2571" s="7" t="n">
        <v>524</v>
      </c>
      <c r="M2571" s="7" t="n">
        <v>0</v>
      </c>
    </row>
    <row r="2572">
      <c r="A2572" t="n">
        <v>510678</v>
      </c>
      <c r="B2572" s="6" t="n">
        <v>45968</v>
      </c>
      <c r="C2572" t="n">
        <v>17184</v>
      </c>
      <c r="D2572" t="inlineStr">
        <is>
          <t>Indore</t>
        </is>
      </c>
      <c r="E2572" t="inlineStr">
        <is>
          <t>West</t>
        </is>
      </c>
      <c r="F2572" t="inlineStr">
        <is>
          <t>Referral</t>
        </is>
      </c>
      <c r="G2572" t="inlineStr">
        <is>
          <t>Mobile App</t>
        </is>
      </c>
      <c r="H2572" t="inlineStr">
        <is>
          <t>Cash on Delivery</t>
        </is>
      </c>
      <c r="I2572" t="inlineStr">
        <is>
          <t>Delivered</t>
        </is>
      </c>
      <c r="J2572" t="n">
        <v>117</v>
      </c>
      <c r="K2572" t="n">
        <v>1</v>
      </c>
      <c r="L2572" s="7" t="n">
        <v>3149</v>
      </c>
      <c r="M2572" s="7" t="n">
        <v>0</v>
      </c>
    </row>
    <row r="2573">
      <c r="A2573" t="n">
        <v>510678</v>
      </c>
      <c r="B2573" s="6" t="n">
        <v>45968</v>
      </c>
      <c r="C2573" t="n">
        <v>17184</v>
      </c>
      <c r="D2573" t="inlineStr">
        <is>
          <t>Indore</t>
        </is>
      </c>
      <c r="E2573" t="inlineStr">
        <is>
          <t>West</t>
        </is>
      </c>
      <c r="F2573" t="inlineStr">
        <is>
          <t>Referral</t>
        </is>
      </c>
      <c r="G2573" t="inlineStr">
        <is>
          <t>Mobile App</t>
        </is>
      </c>
      <c r="H2573" t="inlineStr">
        <is>
          <t>Cash on Delivery</t>
        </is>
      </c>
      <c r="I2573" t="inlineStr">
        <is>
          <t>Delivered</t>
        </is>
      </c>
      <c r="J2573" t="n">
        <v>144</v>
      </c>
      <c r="K2573" t="n">
        <v>1</v>
      </c>
      <c r="L2573" s="7" t="n">
        <v>3149</v>
      </c>
      <c r="M2573" s="7" t="n">
        <v>0</v>
      </c>
    </row>
    <row r="2574">
      <c r="A2574" t="n">
        <v>510679</v>
      </c>
      <c r="B2574" s="6" t="n">
        <v>45968</v>
      </c>
      <c r="C2574" t="n">
        <v>14197</v>
      </c>
      <c r="D2574" t="inlineStr">
        <is>
          <t>Delhi</t>
        </is>
      </c>
      <c r="E2574" t="inlineStr">
        <is>
          <t>North</t>
        </is>
      </c>
      <c r="F2574" t="inlineStr">
        <is>
          <t>Referral</t>
        </is>
      </c>
      <c r="G2574" t="inlineStr">
        <is>
          <t>Desktop</t>
        </is>
      </c>
      <c r="H2574" t="inlineStr">
        <is>
          <t>Credit Card</t>
        </is>
      </c>
      <c r="I2574" t="inlineStr">
        <is>
          <t>Delivered</t>
        </is>
      </c>
      <c r="J2574" t="n">
        <v>144</v>
      </c>
      <c r="K2574" t="n">
        <v>1</v>
      </c>
      <c r="L2574" s="7" t="n">
        <v>3149</v>
      </c>
      <c r="M2574" s="7" t="n">
        <v>0</v>
      </c>
    </row>
    <row r="2575">
      <c r="A2575" t="n">
        <v>510680</v>
      </c>
      <c r="B2575" s="6" t="n">
        <v>45968</v>
      </c>
      <c r="C2575" t="n">
        <v>17192</v>
      </c>
      <c r="D2575" t="inlineStr">
        <is>
          <t>Mumbai</t>
        </is>
      </c>
      <c r="E2575" t="inlineStr">
        <is>
          <t>West</t>
        </is>
      </c>
      <c r="F2575" t="inlineStr">
        <is>
          <t>Organic Search</t>
        </is>
      </c>
      <c r="G2575" t="inlineStr">
        <is>
          <t>Mobile App</t>
        </is>
      </c>
      <c r="H2575" t="inlineStr">
        <is>
          <t>Debit Card</t>
        </is>
      </c>
      <c r="I2575" t="inlineStr">
        <is>
          <t>Delivered</t>
        </is>
      </c>
      <c r="J2575" t="n">
        <v>120</v>
      </c>
      <c r="K2575" t="n">
        <v>1</v>
      </c>
      <c r="L2575" s="7" t="n">
        <v>734</v>
      </c>
      <c r="M2575" s="7" t="n">
        <v>36.7</v>
      </c>
    </row>
    <row r="2576">
      <c r="A2576" t="n">
        <v>510680</v>
      </c>
      <c r="B2576" s="6" t="n">
        <v>45968</v>
      </c>
      <c r="C2576" t="n">
        <v>17192</v>
      </c>
      <c r="D2576" t="inlineStr">
        <is>
          <t>Mumbai</t>
        </is>
      </c>
      <c r="E2576" t="inlineStr">
        <is>
          <t>West</t>
        </is>
      </c>
      <c r="F2576" t="inlineStr">
        <is>
          <t>Organic Search</t>
        </is>
      </c>
      <c r="G2576" t="inlineStr">
        <is>
          <t>Mobile App</t>
        </is>
      </c>
      <c r="H2576" t="inlineStr">
        <is>
          <t>Debit Card</t>
        </is>
      </c>
      <c r="I2576" t="inlineStr">
        <is>
          <t>Delivered</t>
        </is>
      </c>
      <c r="J2576" t="n">
        <v>107</v>
      </c>
      <c r="K2576" t="n">
        <v>1</v>
      </c>
      <c r="L2576" s="7" t="n">
        <v>1259</v>
      </c>
      <c r="M2576" s="7" t="n">
        <v>62.95</v>
      </c>
    </row>
    <row r="2577">
      <c r="A2577" t="n">
        <v>510681</v>
      </c>
      <c r="B2577" s="6" t="n">
        <v>45969</v>
      </c>
      <c r="C2577" t="n">
        <v>17029</v>
      </c>
      <c r="D2577" t="inlineStr">
        <is>
          <t>Chennai</t>
        </is>
      </c>
      <c r="E2577" t="inlineStr">
        <is>
          <t>South</t>
        </is>
      </c>
      <c r="F2577" t="inlineStr">
        <is>
          <t>Paid Search</t>
        </is>
      </c>
      <c r="G2577" t="inlineStr">
        <is>
          <t>Desktop</t>
        </is>
      </c>
      <c r="H2577" t="inlineStr">
        <is>
          <t>Cash on Delivery</t>
        </is>
      </c>
      <c r="I2577" t="inlineStr">
        <is>
          <t>Delivered</t>
        </is>
      </c>
      <c r="J2577" t="n">
        <v>116</v>
      </c>
      <c r="K2577" t="n">
        <v>1</v>
      </c>
      <c r="L2577" s="7" t="n">
        <v>2624</v>
      </c>
      <c r="M2577" s="7" t="n">
        <v>0</v>
      </c>
    </row>
    <row r="2578">
      <c r="A2578" t="n">
        <v>510682</v>
      </c>
      <c r="B2578" s="6" t="n">
        <v>45969</v>
      </c>
      <c r="C2578" t="n">
        <v>17218</v>
      </c>
      <c r="D2578" t="inlineStr">
        <is>
          <t>Jaipur</t>
        </is>
      </c>
      <c r="E2578" t="inlineStr">
        <is>
          <t>North</t>
        </is>
      </c>
      <c r="F2578" t="inlineStr">
        <is>
          <t>Organic Search</t>
        </is>
      </c>
      <c r="G2578" t="inlineStr">
        <is>
          <t>Mobile App</t>
        </is>
      </c>
      <c r="H2578" t="inlineStr">
        <is>
          <t>Cash on Delivery</t>
        </is>
      </c>
      <c r="I2578" t="inlineStr">
        <is>
          <t>Delivered</t>
        </is>
      </c>
      <c r="J2578" t="n">
        <v>102</v>
      </c>
      <c r="K2578" t="n">
        <v>1</v>
      </c>
      <c r="L2578" s="7" t="n">
        <v>3674</v>
      </c>
      <c r="M2578" s="7" t="n">
        <v>0</v>
      </c>
    </row>
    <row r="2579">
      <c r="A2579" t="n">
        <v>510683</v>
      </c>
      <c r="B2579" s="6" t="n">
        <v>45969</v>
      </c>
      <c r="C2579" t="n">
        <v>17220</v>
      </c>
      <c r="D2579" t="inlineStr">
        <is>
          <t>Hyderabad</t>
        </is>
      </c>
      <c r="E2579" t="inlineStr">
        <is>
          <t>South</t>
        </is>
      </c>
      <c r="F2579" t="inlineStr">
        <is>
          <t>Referral</t>
        </is>
      </c>
      <c r="G2579" t="inlineStr">
        <is>
          <t>Desktop</t>
        </is>
      </c>
      <c r="H2579" t="inlineStr">
        <is>
          <t>UPI</t>
        </is>
      </c>
      <c r="I2579" t="inlineStr">
        <is>
          <t>Delivered</t>
        </is>
      </c>
      <c r="J2579" t="n">
        <v>101</v>
      </c>
      <c r="K2579" t="n">
        <v>1</v>
      </c>
      <c r="L2579" s="7" t="n">
        <v>2099</v>
      </c>
      <c r="M2579" s="7" t="n">
        <v>0</v>
      </c>
    </row>
    <row r="2580">
      <c r="A2580" t="n">
        <v>510683</v>
      </c>
      <c r="B2580" s="6" t="n">
        <v>45969</v>
      </c>
      <c r="C2580" t="n">
        <v>17220</v>
      </c>
      <c r="D2580" t="inlineStr">
        <is>
          <t>Hyderabad</t>
        </is>
      </c>
      <c r="E2580" t="inlineStr">
        <is>
          <t>South</t>
        </is>
      </c>
      <c r="F2580" t="inlineStr">
        <is>
          <t>Referral</t>
        </is>
      </c>
      <c r="G2580" t="inlineStr">
        <is>
          <t>Desktop</t>
        </is>
      </c>
      <c r="H2580" t="inlineStr">
        <is>
          <t>UPI</t>
        </is>
      </c>
      <c r="I2580" t="inlineStr">
        <is>
          <t>Delivered</t>
        </is>
      </c>
      <c r="J2580" t="n">
        <v>134</v>
      </c>
      <c r="K2580" t="n">
        <v>1</v>
      </c>
      <c r="L2580" s="7" t="n">
        <v>209</v>
      </c>
      <c r="M2580" s="7" t="n">
        <v>0</v>
      </c>
    </row>
    <row r="2581">
      <c r="A2581" t="n">
        <v>510684</v>
      </c>
      <c r="B2581" s="6" t="n">
        <v>45969</v>
      </c>
      <c r="C2581" t="n">
        <v>16708</v>
      </c>
      <c r="D2581" t="inlineStr">
        <is>
          <t>Delhi</t>
        </is>
      </c>
      <c r="E2581" t="inlineStr">
        <is>
          <t>North</t>
        </is>
      </c>
      <c r="F2581" t="inlineStr">
        <is>
          <t>Organic Search</t>
        </is>
      </c>
      <c r="G2581" t="inlineStr">
        <is>
          <t>Mobile Web</t>
        </is>
      </c>
      <c r="H2581" t="inlineStr">
        <is>
          <t>UPI</t>
        </is>
      </c>
      <c r="I2581" t="inlineStr">
        <is>
          <t>Delivered</t>
        </is>
      </c>
      <c r="J2581" t="n">
        <v>108</v>
      </c>
      <c r="K2581" t="n">
        <v>1</v>
      </c>
      <c r="L2581" s="7" t="n">
        <v>419</v>
      </c>
      <c r="M2581" s="7" t="n">
        <v>0</v>
      </c>
    </row>
    <row r="2582">
      <c r="A2582" t="n">
        <v>510684</v>
      </c>
      <c r="B2582" s="6" t="n">
        <v>45969</v>
      </c>
      <c r="C2582" t="n">
        <v>16708</v>
      </c>
      <c r="D2582" t="inlineStr">
        <is>
          <t>Delhi</t>
        </is>
      </c>
      <c r="E2582" t="inlineStr">
        <is>
          <t>North</t>
        </is>
      </c>
      <c r="F2582" t="inlineStr">
        <is>
          <t>Organic Search</t>
        </is>
      </c>
      <c r="G2582" t="inlineStr">
        <is>
          <t>Mobile Web</t>
        </is>
      </c>
      <c r="H2582" t="inlineStr">
        <is>
          <t>UPI</t>
        </is>
      </c>
      <c r="I2582" t="inlineStr">
        <is>
          <t>Delivered</t>
        </is>
      </c>
      <c r="J2582" t="n">
        <v>111</v>
      </c>
      <c r="K2582" t="n">
        <v>1</v>
      </c>
      <c r="L2582" s="7" t="n">
        <v>524</v>
      </c>
      <c r="M2582" s="7" t="n">
        <v>0</v>
      </c>
    </row>
    <row r="2583">
      <c r="A2583" t="n">
        <v>510684</v>
      </c>
      <c r="B2583" s="6" t="n">
        <v>45969</v>
      </c>
      <c r="C2583" t="n">
        <v>16708</v>
      </c>
      <c r="D2583" t="inlineStr">
        <is>
          <t>Delhi</t>
        </is>
      </c>
      <c r="E2583" t="inlineStr">
        <is>
          <t>North</t>
        </is>
      </c>
      <c r="F2583" t="inlineStr">
        <is>
          <t>Organic Search</t>
        </is>
      </c>
      <c r="G2583" t="inlineStr">
        <is>
          <t>Mobile Web</t>
        </is>
      </c>
      <c r="H2583" t="inlineStr">
        <is>
          <t>UPI</t>
        </is>
      </c>
      <c r="I2583" t="inlineStr">
        <is>
          <t>Delivered</t>
        </is>
      </c>
      <c r="J2583" t="n">
        <v>140</v>
      </c>
      <c r="K2583" t="n">
        <v>1</v>
      </c>
      <c r="L2583" s="7" t="n">
        <v>629</v>
      </c>
      <c r="M2583" s="7" t="n">
        <v>0</v>
      </c>
    </row>
    <row r="2584">
      <c r="A2584" t="n">
        <v>510684</v>
      </c>
      <c r="B2584" s="6" t="n">
        <v>45969</v>
      </c>
      <c r="C2584" t="n">
        <v>16708</v>
      </c>
      <c r="D2584" t="inlineStr">
        <is>
          <t>Delhi</t>
        </is>
      </c>
      <c r="E2584" t="inlineStr">
        <is>
          <t>North</t>
        </is>
      </c>
      <c r="F2584" t="inlineStr">
        <is>
          <t>Organic Search</t>
        </is>
      </c>
      <c r="G2584" t="inlineStr">
        <is>
          <t>Mobile Web</t>
        </is>
      </c>
      <c r="H2584" t="inlineStr">
        <is>
          <t>UPI</t>
        </is>
      </c>
      <c r="I2584" t="inlineStr">
        <is>
          <t>Delivered</t>
        </is>
      </c>
      <c r="J2584" t="n">
        <v>120</v>
      </c>
      <c r="K2584" t="n">
        <v>2</v>
      </c>
      <c r="L2584" s="7" t="n">
        <v>734</v>
      </c>
      <c r="M2584" s="7" t="n">
        <v>0</v>
      </c>
    </row>
    <row r="2585">
      <c r="A2585" t="n">
        <v>510685</v>
      </c>
      <c r="B2585" s="6" t="n">
        <v>45969</v>
      </c>
      <c r="C2585" t="n">
        <v>13309</v>
      </c>
      <c r="D2585" t="inlineStr">
        <is>
          <t>Delhi</t>
        </is>
      </c>
      <c r="E2585" t="inlineStr">
        <is>
          <t>North</t>
        </is>
      </c>
      <c r="F2585" t="inlineStr">
        <is>
          <t>Referral</t>
        </is>
      </c>
      <c r="G2585" t="inlineStr">
        <is>
          <t>Mobile Web</t>
        </is>
      </c>
      <c r="H2585" t="inlineStr">
        <is>
          <t>Cash on Delivery</t>
        </is>
      </c>
      <c r="I2585" t="inlineStr">
        <is>
          <t>Delivered</t>
        </is>
      </c>
      <c r="J2585" t="n">
        <v>105</v>
      </c>
      <c r="K2585" t="n">
        <v>1</v>
      </c>
      <c r="L2585" s="7" t="n">
        <v>2414</v>
      </c>
      <c r="M2585" s="7" t="n">
        <v>0</v>
      </c>
    </row>
    <row r="2586">
      <c r="A2586" t="n">
        <v>510686</v>
      </c>
      <c r="B2586" s="6" t="n">
        <v>45969</v>
      </c>
      <c r="C2586" t="n">
        <v>17247</v>
      </c>
      <c r="D2586" t="inlineStr">
        <is>
          <t>Kolkata</t>
        </is>
      </c>
      <c r="E2586" t="inlineStr">
        <is>
          <t>East</t>
        </is>
      </c>
      <c r="F2586" t="inlineStr">
        <is>
          <t>Organic Search</t>
        </is>
      </c>
      <c r="G2586" t="inlineStr">
        <is>
          <t>Mobile App</t>
        </is>
      </c>
      <c r="H2586" t="inlineStr">
        <is>
          <t>Net Banking</t>
        </is>
      </c>
      <c r="I2586" t="inlineStr">
        <is>
          <t>Delivered</t>
        </is>
      </c>
      <c r="J2586" t="n">
        <v>148</v>
      </c>
      <c r="K2586" t="n">
        <v>1</v>
      </c>
      <c r="L2586" s="7" t="n">
        <v>734</v>
      </c>
      <c r="M2586" s="7" t="n">
        <v>0</v>
      </c>
    </row>
    <row r="2587">
      <c r="A2587" t="n">
        <v>510687</v>
      </c>
      <c r="B2587" s="6" t="n">
        <v>45969</v>
      </c>
      <c r="C2587" t="n">
        <v>10861</v>
      </c>
      <c r="D2587" t="inlineStr">
        <is>
          <t>Bengaluru</t>
        </is>
      </c>
      <c r="E2587" t="inlineStr">
        <is>
          <t>South</t>
        </is>
      </c>
      <c r="F2587" t="inlineStr">
        <is>
          <t>Email</t>
        </is>
      </c>
      <c r="G2587" t="inlineStr">
        <is>
          <t>Mobile App</t>
        </is>
      </c>
      <c r="H2587" t="inlineStr">
        <is>
          <t>UPI</t>
        </is>
      </c>
      <c r="I2587" t="inlineStr">
        <is>
          <t>Cancelled</t>
        </is>
      </c>
      <c r="J2587" t="n">
        <v>112</v>
      </c>
      <c r="K2587" t="n">
        <v>1</v>
      </c>
      <c r="L2587" s="7" t="n">
        <v>1574</v>
      </c>
      <c r="M2587" s="7" t="n">
        <v>0</v>
      </c>
    </row>
    <row r="2588">
      <c r="A2588" t="n">
        <v>510687</v>
      </c>
      <c r="B2588" s="6" t="n">
        <v>45969</v>
      </c>
      <c r="C2588" t="n">
        <v>10861</v>
      </c>
      <c r="D2588" t="inlineStr">
        <is>
          <t>Bengaluru</t>
        </is>
      </c>
      <c r="E2588" t="inlineStr">
        <is>
          <t>South</t>
        </is>
      </c>
      <c r="F2588" t="inlineStr">
        <is>
          <t>Email</t>
        </is>
      </c>
      <c r="G2588" t="inlineStr">
        <is>
          <t>Mobile App</t>
        </is>
      </c>
      <c r="H2588" t="inlineStr">
        <is>
          <t>UPI</t>
        </is>
      </c>
      <c r="I2588" t="inlineStr">
        <is>
          <t>Cancelled</t>
        </is>
      </c>
      <c r="J2588" t="n">
        <v>107</v>
      </c>
      <c r="K2588" t="n">
        <v>1</v>
      </c>
      <c r="L2588" s="7" t="n">
        <v>1259</v>
      </c>
      <c r="M2588" s="7" t="n">
        <v>0</v>
      </c>
    </row>
    <row r="2589">
      <c r="A2589" t="n">
        <v>510687</v>
      </c>
      <c r="B2589" s="6" t="n">
        <v>45969</v>
      </c>
      <c r="C2589" t="n">
        <v>10861</v>
      </c>
      <c r="D2589" t="inlineStr">
        <is>
          <t>Bengaluru</t>
        </is>
      </c>
      <c r="E2589" t="inlineStr">
        <is>
          <t>South</t>
        </is>
      </c>
      <c r="F2589" t="inlineStr">
        <is>
          <t>Email</t>
        </is>
      </c>
      <c r="G2589" t="inlineStr">
        <is>
          <t>Mobile App</t>
        </is>
      </c>
      <c r="H2589" t="inlineStr">
        <is>
          <t>UPI</t>
        </is>
      </c>
      <c r="I2589" t="inlineStr">
        <is>
          <t>Cancelled</t>
        </is>
      </c>
      <c r="J2589" t="n">
        <v>132</v>
      </c>
      <c r="K2589" t="n">
        <v>1</v>
      </c>
      <c r="L2589" s="7" t="n">
        <v>471</v>
      </c>
      <c r="M2589" s="7" t="n">
        <v>0</v>
      </c>
    </row>
    <row r="2590">
      <c r="A2590" t="n">
        <v>510687</v>
      </c>
      <c r="B2590" s="6" t="n">
        <v>45969</v>
      </c>
      <c r="C2590" t="n">
        <v>10861</v>
      </c>
      <c r="D2590" t="inlineStr">
        <is>
          <t>Bengaluru</t>
        </is>
      </c>
      <c r="E2590" t="inlineStr">
        <is>
          <t>South</t>
        </is>
      </c>
      <c r="F2590" t="inlineStr">
        <is>
          <t>Email</t>
        </is>
      </c>
      <c r="G2590" t="inlineStr">
        <is>
          <t>Mobile App</t>
        </is>
      </c>
      <c r="H2590" t="inlineStr">
        <is>
          <t>UPI</t>
        </is>
      </c>
      <c r="I2590" t="inlineStr">
        <is>
          <t>Cancelled</t>
        </is>
      </c>
      <c r="J2590" t="n">
        <v>118</v>
      </c>
      <c r="K2590" t="n">
        <v>1</v>
      </c>
      <c r="L2590" s="7" t="n">
        <v>944</v>
      </c>
      <c r="M2590" s="7" t="n">
        <v>0</v>
      </c>
    </row>
    <row r="2591">
      <c r="A2591" t="n">
        <v>510688</v>
      </c>
      <c r="B2591" s="6" t="n">
        <v>45969</v>
      </c>
      <c r="C2591" t="n">
        <v>16926</v>
      </c>
      <c r="D2591" t="inlineStr">
        <is>
          <t>Mumbai</t>
        </is>
      </c>
      <c r="E2591" t="inlineStr">
        <is>
          <t>West</t>
        </is>
      </c>
      <c r="F2591" t="inlineStr">
        <is>
          <t>Email</t>
        </is>
      </c>
      <c r="G2591" t="inlineStr">
        <is>
          <t>Mobile App</t>
        </is>
      </c>
      <c r="H2591" t="inlineStr">
        <is>
          <t>Net Banking</t>
        </is>
      </c>
      <c r="I2591" t="inlineStr">
        <is>
          <t>Delivered</t>
        </is>
      </c>
      <c r="J2591" t="n">
        <v>107</v>
      </c>
      <c r="K2591" t="n">
        <v>1</v>
      </c>
      <c r="L2591" s="7" t="n">
        <v>1259</v>
      </c>
      <c r="M2591" s="7" t="n">
        <v>188.85</v>
      </c>
    </row>
    <row r="2592">
      <c r="A2592" t="n">
        <v>510689</v>
      </c>
      <c r="B2592" s="6" t="n">
        <v>45969</v>
      </c>
      <c r="C2592" t="n">
        <v>17135</v>
      </c>
      <c r="D2592" t="inlineStr">
        <is>
          <t>Delhi</t>
        </is>
      </c>
      <c r="E2592" t="inlineStr">
        <is>
          <t>North</t>
        </is>
      </c>
      <c r="F2592" t="inlineStr">
        <is>
          <t>Paid Social</t>
        </is>
      </c>
      <c r="G2592" t="inlineStr">
        <is>
          <t>Mobile App</t>
        </is>
      </c>
      <c r="H2592" t="inlineStr">
        <is>
          <t>Cash on Delivery</t>
        </is>
      </c>
      <c r="I2592" t="inlineStr">
        <is>
          <t>Returned</t>
        </is>
      </c>
      <c r="J2592" t="n">
        <v>108</v>
      </c>
      <c r="K2592" t="n">
        <v>1</v>
      </c>
      <c r="L2592" s="7" t="n">
        <v>419</v>
      </c>
      <c r="M2592" s="7" t="n">
        <v>62.85</v>
      </c>
    </row>
    <row r="2593">
      <c r="A2593" t="n">
        <v>510689</v>
      </c>
      <c r="B2593" s="6" t="n">
        <v>45969</v>
      </c>
      <c r="C2593" t="n">
        <v>17135</v>
      </c>
      <c r="D2593" t="inlineStr">
        <is>
          <t>Delhi</t>
        </is>
      </c>
      <c r="E2593" t="inlineStr">
        <is>
          <t>North</t>
        </is>
      </c>
      <c r="F2593" t="inlineStr">
        <is>
          <t>Paid Social</t>
        </is>
      </c>
      <c r="G2593" t="inlineStr">
        <is>
          <t>Mobile App</t>
        </is>
      </c>
      <c r="H2593" t="inlineStr">
        <is>
          <t>Cash on Delivery</t>
        </is>
      </c>
      <c r="I2593" t="inlineStr">
        <is>
          <t>Returned</t>
        </is>
      </c>
      <c r="J2593" t="n">
        <v>130</v>
      </c>
      <c r="K2593" t="n">
        <v>1</v>
      </c>
      <c r="L2593" s="7" t="n">
        <v>734</v>
      </c>
      <c r="M2593" s="7" t="n">
        <v>110.1</v>
      </c>
    </row>
    <row r="2594">
      <c r="A2594" t="n">
        <v>510689</v>
      </c>
      <c r="B2594" s="6" t="n">
        <v>45969</v>
      </c>
      <c r="C2594" t="n">
        <v>17135</v>
      </c>
      <c r="D2594" t="inlineStr">
        <is>
          <t>Delhi</t>
        </is>
      </c>
      <c r="E2594" t="inlineStr">
        <is>
          <t>North</t>
        </is>
      </c>
      <c r="F2594" t="inlineStr">
        <is>
          <t>Paid Social</t>
        </is>
      </c>
      <c r="G2594" t="inlineStr">
        <is>
          <t>Mobile App</t>
        </is>
      </c>
      <c r="H2594" t="inlineStr">
        <is>
          <t>Cash on Delivery</t>
        </is>
      </c>
      <c r="I2594" t="inlineStr">
        <is>
          <t>Returned</t>
        </is>
      </c>
      <c r="J2594" t="n">
        <v>113</v>
      </c>
      <c r="K2594" t="n">
        <v>1</v>
      </c>
      <c r="L2594" s="7" t="n">
        <v>1364</v>
      </c>
      <c r="M2594" s="7" t="n">
        <v>204.6</v>
      </c>
    </row>
    <row r="2595">
      <c r="A2595" t="n">
        <v>510690</v>
      </c>
      <c r="B2595" s="6" t="n">
        <v>45969</v>
      </c>
      <c r="C2595" t="n">
        <v>17229</v>
      </c>
      <c r="D2595" t="inlineStr">
        <is>
          <t>Hyderabad</t>
        </is>
      </c>
      <c r="E2595" t="inlineStr">
        <is>
          <t>South</t>
        </is>
      </c>
      <c r="F2595" t="inlineStr">
        <is>
          <t>Organic Search</t>
        </is>
      </c>
      <c r="G2595" t="inlineStr">
        <is>
          <t>Mobile App</t>
        </is>
      </c>
      <c r="H2595" t="inlineStr">
        <is>
          <t>UPI</t>
        </is>
      </c>
      <c r="I2595" t="inlineStr">
        <is>
          <t>Delivered</t>
        </is>
      </c>
      <c r="J2595" t="n">
        <v>106</v>
      </c>
      <c r="K2595" t="n">
        <v>1</v>
      </c>
      <c r="L2595" s="7" t="n">
        <v>1574</v>
      </c>
      <c r="M2595" s="7" t="n">
        <v>0</v>
      </c>
    </row>
    <row r="2596">
      <c r="A2596" t="n">
        <v>510690</v>
      </c>
      <c r="B2596" s="6" t="n">
        <v>45969</v>
      </c>
      <c r="C2596" t="n">
        <v>17229</v>
      </c>
      <c r="D2596" t="inlineStr">
        <is>
          <t>Hyderabad</t>
        </is>
      </c>
      <c r="E2596" t="inlineStr">
        <is>
          <t>South</t>
        </is>
      </c>
      <c r="F2596" t="inlineStr">
        <is>
          <t>Organic Search</t>
        </is>
      </c>
      <c r="G2596" t="inlineStr">
        <is>
          <t>Mobile App</t>
        </is>
      </c>
      <c r="H2596" t="inlineStr">
        <is>
          <t>UPI</t>
        </is>
      </c>
      <c r="I2596" t="inlineStr">
        <is>
          <t>Delivered</t>
        </is>
      </c>
      <c r="J2596" t="n">
        <v>113</v>
      </c>
      <c r="K2596" t="n">
        <v>2</v>
      </c>
      <c r="L2596" s="7" t="n">
        <v>1364</v>
      </c>
      <c r="M2596" s="7" t="n">
        <v>0</v>
      </c>
    </row>
    <row r="2597">
      <c r="A2597" t="n">
        <v>510691</v>
      </c>
      <c r="B2597" s="6" t="n">
        <v>45969</v>
      </c>
      <c r="C2597" t="n">
        <v>14505</v>
      </c>
      <c r="D2597" t="inlineStr">
        <is>
          <t>Gurugram</t>
        </is>
      </c>
      <c r="E2597" t="inlineStr">
        <is>
          <t>North</t>
        </is>
      </c>
      <c r="F2597" t="inlineStr">
        <is>
          <t>Paid Search</t>
        </is>
      </c>
      <c r="G2597" t="inlineStr">
        <is>
          <t>Mobile App</t>
        </is>
      </c>
      <c r="H2597" t="inlineStr">
        <is>
          <t>Debit Card</t>
        </is>
      </c>
      <c r="I2597" t="inlineStr">
        <is>
          <t>Delivered</t>
        </is>
      </c>
      <c r="J2597" t="n">
        <v>112</v>
      </c>
      <c r="K2597" t="n">
        <v>1</v>
      </c>
      <c r="L2597" s="7" t="n">
        <v>1574</v>
      </c>
      <c r="M2597" s="7" t="n">
        <v>0</v>
      </c>
    </row>
    <row r="2598">
      <c r="A2598" t="n">
        <v>510692</v>
      </c>
      <c r="B2598" s="6" t="n">
        <v>45969</v>
      </c>
      <c r="C2598" t="n">
        <v>17180</v>
      </c>
      <c r="D2598" t="inlineStr">
        <is>
          <t>Pune</t>
        </is>
      </c>
      <c r="E2598" t="inlineStr">
        <is>
          <t>West</t>
        </is>
      </c>
      <c r="F2598" t="inlineStr">
        <is>
          <t>Email</t>
        </is>
      </c>
      <c r="G2598" t="inlineStr">
        <is>
          <t>Mobile App</t>
        </is>
      </c>
      <c r="H2598" t="inlineStr">
        <is>
          <t>UPI</t>
        </is>
      </c>
      <c r="I2598" t="inlineStr">
        <is>
          <t>Delivered</t>
        </is>
      </c>
      <c r="J2598" t="n">
        <v>108</v>
      </c>
      <c r="K2598" t="n">
        <v>1</v>
      </c>
      <c r="L2598" s="7" t="n">
        <v>419</v>
      </c>
      <c r="M2598" s="7" t="n">
        <v>62.85</v>
      </c>
    </row>
    <row r="2599">
      <c r="A2599" t="n">
        <v>510693</v>
      </c>
      <c r="B2599" s="6" t="n">
        <v>45969</v>
      </c>
      <c r="C2599" t="n">
        <v>17196</v>
      </c>
      <c r="D2599" t="inlineStr">
        <is>
          <t>Indore</t>
        </is>
      </c>
      <c r="E2599" t="inlineStr">
        <is>
          <t>West</t>
        </is>
      </c>
      <c r="F2599" t="inlineStr">
        <is>
          <t>Paid Social</t>
        </is>
      </c>
      <c r="G2599" t="inlineStr">
        <is>
          <t>Mobile App</t>
        </is>
      </c>
      <c r="H2599" t="inlineStr">
        <is>
          <t>UPI</t>
        </is>
      </c>
      <c r="I2599" t="inlineStr">
        <is>
          <t>Delivered</t>
        </is>
      </c>
      <c r="J2599" t="n">
        <v>138</v>
      </c>
      <c r="K2599" t="n">
        <v>1</v>
      </c>
      <c r="L2599" s="7" t="n">
        <v>419</v>
      </c>
      <c r="M2599" s="7" t="n">
        <v>20.95</v>
      </c>
    </row>
    <row r="2600">
      <c r="A2600" t="n">
        <v>510694</v>
      </c>
      <c r="B2600" s="6" t="n">
        <v>45969</v>
      </c>
      <c r="C2600" t="n">
        <v>15747</v>
      </c>
      <c r="D2600" t="inlineStr">
        <is>
          <t>Mumbai</t>
        </is>
      </c>
      <c r="E2600" t="inlineStr">
        <is>
          <t>West</t>
        </is>
      </c>
      <c r="F2600" t="inlineStr">
        <is>
          <t>Referral</t>
        </is>
      </c>
      <c r="G2600" t="inlineStr">
        <is>
          <t>Mobile Web</t>
        </is>
      </c>
      <c r="H2600" t="inlineStr">
        <is>
          <t>Cash on Delivery</t>
        </is>
      </c>
      <c r="I2600" t="inlineStr">
        <is>
          <t>Delivered</t>
        </is>
      </c>
      <c r="J2600" t="n">
        <v>127</v>
      </c>
      <c r="K2600" t="n">
        <v>2</v>
      </c>
      <c r="L2600" s="7" t="n">
        <v>681</v>
      </c>
      <c r="M2600" s="7" t="n">
        <v>0</v>
      </c>
    </row>
    <row r="2601">
      <c r="A2601" t="n">
        <v>510694</v>
      </c>
      <c r="B2601" s="6" t="n">
        <v>45969</v>
      </c>
      <c r="C2601" t="n">
        <v>15747</v>
      </c>
      <c r="D2601" t="inlineStr">
        <is>
          <t>Mumbai</t>
        </is>
      </c>
      <c r="E2601" t="inlineStr">
        <is>
          <t>West</t>
        </is>
      </c>
      <c r="F2601" t="inlineStr">
        <is>
          <t>Referral</t>
        </is>
      </c>
      <c r="G2601" t="inlineStr">
        <is>
          <t>Mobile Web</t>
        </is>
      </c>
      <c r="H2601" t="inlineStr">
        <is>
          <t>Cash on Delivery</t>
        </is>
      </c>
      <c r="I2601" t="inlineStr">
        <is>
          <t>Delivered</t>
        </is>
      </c>
      <c r="J2601" t="n">
        <v>135</v>
      </c>
      <c r="K2601" t="n">
        <v>1</v>
      </c>
      <c r="L2601" s="7" t="n">
        <v>1574</v>
      </c>
      <c r="M2601" s="7" t="n">
        <v>0</v>
      </c>
    </row>
    <row r="2602">
      <c r="A2602" t="n">
        <v>510695</v>
      </c>
      <c r="B2602" s="6" t="n">
        <v>45969</v>
      </c>
      <c r="C2602" t="n">
        <v>17234</v>
      </c>
      <c r="D2602" t="inlineStr">
        <is>
          <t>Bengaluru</t>
        </is>
      </c>
      <c r="E2602" t="inlineStr">
        <is>
          <t>South</t>
        </is>
      </c>
      <c r="F2602" t="inlineStr">
        <is>
          <t>Organic Search</t>
        </is>
      </c>
      <c r="G2602" t="inlineStr">
        <is>
          <t>Mobile Web</t>
        </is>
      </c>
      <c r="H2602" t="inlineStr">
        <is>
          <t>UPI</t>
        </is>
      </c>
      <c r="I2602" t="inlineStr">
        <is>
          <t>Delivered</t>
        </is>
      </c>
      <c r="J2602" t="n">
        <v>103</v>
      </c>
      <c r="K2602" t="n">
        <v>1</v>
      </c>
      <c r="L2602" s="7" t="n">
        <v>2624</v>
      </c>
      <c r="M2602" s="7" t="n">
        <v>393.6</v>
      </c>
    </row>
    <row r="2603">
      <c r="A2603" t="n">
        <v>510696</v>
      </c>
      <c r="B2603" s="6" t="n">
        <v>45969</v>
      </c>
      <c r="C2603" t="n">
        <v>17248</v>
      </c>
      <c r="D2603" t="inlineStr">
        <is>
          <t>Lucknow</t>
        </is>
      </c>
      <c r="E2603" t="inlineStr">
        <is>
          <t>North</t>
        </is>
      </c>
      <c r="F2603" t="inlineStr">
        <is>
          <t>Organic Search</t>
        </is>
      </c>
      <c r="G2603" t="inlineStr">
        <is>
          <t>Desktop</t>
        </is>
      </c>
      <c r="H2603" t="inlineStr">
        <is>
          <t>UPI</t>
        </is>
      </c>
      <c r="I2603" t="inlineStr">
        <is>
          <t>Delivered</t>
        </is>
      </c>
      <c r="J2603" t="n">
        <v>143</v>
      </c>
      <c r="K2603" t="n">
        <v>1</v>
      </c>
      <c r="L2603" s="7" t="n">
        <v>839</v>
      </c>
      <c r="M2603" s="7" t="n">
        <v>125.85</v>
      </c>
    </row>
    <row r="2604">
      <c r="A2604" t="n">
        <v>510696</v>
      </c>
      <c r="B2604" s="6" t="n">
        <v>45969</v>
      </c>
      <c r="C2604" t="n">
        <v>17248</v>
      </c>
      <c r="D2604" t="inlineStr">
        <is>
          <t>Lucknow</t>
        </is>
      </c>
      <c r="E2604" t="inlineStr">
        <is>
          <t>North</t>
        </is>
      </c>
      <c r="F2604" t="inlineStr">
        <is>
          <t>Organic Search</t>
        </is>
      </c>
      <c r="G2604" t="inlineStr">
        <is>
          <t>Desktop</t>
        </is>
      </c>
      <c r="H2604" t="inlineStr">
        <is>
          <t>UPI</t>
        </is>
      </c>
      <c r="I2604" t="inlineStr">
        <is>
          <t>Delivered</t>
        </is>
      </c>
      <c r="J2604" t="n">
        <v>113</v>
      </c>
      <c r="K2604" t="n">
        <v>2</v>
      </c>
      <c r="L2604" s="7" t="n">
        <v>1364</v>
      </c>
      <c r="M2604" s="7" t="n">
        <v>409.2</v>
      </c>
    </row>
    <row r="2605">
      <c r="A2605" t="n">
        <v>510696</v>
      </c>
      <c r="B2605" s="6" t="n">
        <v>45969</v>
      </c>
      <c r="C2605" t="n">
        <v>17248</v>
      </c>
      <c r="D2605" t="inlineStr">
        <is>
          <t>Lucknow</t>
        </is>
      </c>
      <c r="E2605" t="inlineStr">
        <is>
          <t>North</t>
        </is>
      </c>
      <c r="F2605" t="inlineStr">
        <is>
          <t>Organic Search</t>
        </is>
      </c>
      <c r="G2605" t="inlineStr">
        <is>
          <t>Desktop</t>
        </is>
      </c>
      <c r="H2605" t="inlineStr">
        <is>
          <t>UPI</t>
        </is>
      </c>
      <c r="I2605" t="inlineStr">
        <is>
          <t>Delivered</t>
        </is>
      </c>
      <c r="J2605" t="n">
        <v>116</v>
      </c>
      <c r="K2605" t="n">
        <v>1</v>
      </c>
      <c r="L2605" s="7" t="n">
        <v>2624</v>
      </c>
      <c r="M2605" s="7" t="n">
        <v>393.6</v>
      </c>
    </row>
    <row r="2606">
      <c r="A2606" t="n">
        <v>510697</v>
      </c>
      <c r="B2606" s="6" t="n">
        <v>45969</v>
      </c>
      <c r="C2606" t="n">
        <v>10602</v>
      </c>
      <c r="D2606" t="inlineStr">
        <is>
          <t>Chennai</t>
        </is>
      </c>
      <c r="E2606" t="inlineStr">
        <is>
          <t>South</t>
        </is>
      </c>
      <c r="F2606" t="inlineStr">
        <is>
          <t>Email</t>
        </is>
      </c>
      <c r="G2606" t="inlineStr">
        <is>
          <t>Mobile App</t>
        </is>
      </c>
      <c r="H2606" t="inlineStr">
        <is>
          <t>UPI</t>
        </is>
      </c>
      <c r="I2606" t="inlineStr">
        <is>
          <t>Delivered</t>
        </is>
      </c>
      <c r="J2606" t="n">
        <v>110</v>
      </c>
      <c r="K2606" t="n">
        <v>1</v>
      </c>
      <c r="L2606" s="7" t="n">
        <v>839</v>
      </c>
      <c r="M2606" s="7" t="n">
        <v>0</v>
      </c>
    </row>
    <row r="2607">
      <c r="A2607" t="n">
        <v>510698</v>
      </c>
      <c r="B2607" s="6" t="n">
        <v>45969</v>
      </c>
      <c r="C2607" t="n">
        <v>16785</v>
      </c>
      <c r="D2607" t="inlineStr">
        <is>
          <t>Delhi</t>
        </is>
      </c>
      <c r="E2607" t="inlineStr">
        <is>
          <t>North</t>
        </is>
      </c>
      <c r="F2607" t="inlineStr">
        <is>
          <t>Organic Search</t>
        </is>
      </c>
      <c r="G2607" t="inlineStr">
        <is>
          <t>Mobile App</t>
        </is>
      </c>
      <c r="H2607" t="inlineStr">
        <is>
          <t>UPI</t>
        </is>
      </c>
      <c r="I2607" t="inlineStr">
        <is>
          <t>Returned</t>
        </is>
      </c>
      <c r="J2607" t="n">
        <v>104</v>
      </c>
      <c r="K2607" t="n">
        <v>3</v>
      </c>
      <c r="L2607" s="7" t="n">
        <v>5249</v>
      </c>
      <c r="M2607" s="7" t="n">
        <v>0</v>
      </c>
    </row>
    <row r="2608">
      <c r="A2608" t="n">
        <v>510698</v>
      </c>
      <c r="B2608" s="6" t="n">
        <v>45969</v>
      </c>
      <c r="C2608" t="n">
        <v>16785</v>
      </c>
      <c r="D2608" t="inlineStr">
        <is>
          <t>Delhi</t>
        </is>
      </c>
      <c r="E2608" t="inlineStr">
        <is>
          <t>North</t>
        </is>
      </c>
      <c r="F2608" t="inlineStr">
        <is>
          <t>Organic Search</t>
        </is>
      </c>
      <c r="G2608" t="inlineStr">
        <is>
          <t>Mobile App</t>
        </is>
      </c>
      <c r="H2608" t="inlineStr">
        <is>
          <t>UPI</t>
        </is>
      </c>
      <c r="I2608" t="inlineStr">
        <is>
          <t>Returned</t>
        </is>
      </c>
      <c r="J2608" t="n">
        <v>118</v>
      </c>
      <c r="K2608" t="n">
        <v>1</v>
      </c>
      <c r="L2608" s="7" t="n">
        <v>944</v>
      </c>
      <c r="M2608" s="7" t="n">
        <v>0</v>
      </c>
    </row>
    <row r="2609">
      <c r="A2609" t="n">
        <v>510698</v>
      </c>
      <c r="B2609" s="6" t="n">
        <v>45969</v>
      </c>
      <c r="C2609" t="n">
        <v>16785</v>
      </c>
      <c r="D2609" t="inlineStr">
        <is>
          <t>Delhi</t>
        </is>
      </c>
      <c r="E2609" t="inlineStr">
        <is>
          <t>North</t>
        </is>
      </c>
      <c r="F2609" t="inlineStr">
        <is>
          <t>Organic Search</t>
        </is>
      </c>
      <c r="G2609" t="inlineStr">
        <is>
          <t>Mobile App</t>
        </is>
      </c>
      <c r="H2609" t="inlineStr">
        <is>
          <t>UPI</t>
        </is>
      </c>
      <c r="I2609" t="inlineStr">
        <is>
          <t>Returned</t>
        </is>
      </c>
      <c r="J2609" t="n">
        <v>113</v>
      </c>
      <c r="K2609" t="n">
        <v>1</v>
      </c>
      <c r="L2609" s="7" t="n">
        <v>1364</v>
      </c>
      <c r="M2609" s="7" t="n">
        <v>0</v>
      </c>
    </row>
    <row r="2610">
      <c r="A2610" t="n">
        <v>510699</v>
      </c>
      <c r="B2610" s="6" t="n">
        <v>45969</v>
      </c>
      <c r="C2610" t="n">
        <v>17172</v>
      </c>
      <c r="D2610" t="inlineStr">
        <is>
          <t>Gurugram</t>
        </is>
      </c>
      <c r="E2610" t="inlineStr">
        <is>
          <t>North</t>
        </is>
      </c>
      <c r="F2610" t="inlineStr">
        <is>
          <t>Organic Search</t>
        </is>
      </c>
      <c r="G2610" t="inlineStr">
        <is>
          <t>Mobile App</t>
        </is>
      </c>
      <c r="H2610" t="inlineStr">
        <is>
          <t>Net Banking</t>
        </is>
      </c>
      <c r="I2610" t="inlineStr">
        <is>
          <t>Delivered</t>
        </is>
      </c>
      <c r="J2610" t="n">
        <v>127</v>
      </c>
      <c r="K2610" t="n">
        <v>1</v>
      </c>
      <c r="L2610" s="7" t="n">
        <v>681</v>
      </c>
      <c r="M2610" s="7" t="n">
        <v>102.15</v>
      </c>
    </row>
    <row r="2611">
      <c r="A2611" t="n">
        <v>510699</v>
      </c>
      <c r="B2611" s="6" t="n">
        <v>45969</v>
      </c>
      <c r="C2611" t="n">
        <v>17172</v>
      </c>
      <c r="D2611" t="inlineStr">
        <is>
          <t>Gurugram</t>
        </is>
      </c>
      <c r="E2611" t="inlineStr">
        <is>
          <t>North</t>
        </is>
      </c>
      <c r="F2611" t="inlineStr">
        <is>
          <t>Organic Search</t>
        </is>
      </c>
      <c r="G2611" t="inlineStr">
        <is>
          <t>Mobile App</t>
        </is>
      </c>
      <c r="H2611" t="inlineStr">
        <is>
          <t>Net Banking</t>
        </is>
      </c>
      <c r="I2611" t="inlineStr">
        <is>
          <t>Delivered</t>
        </is>
      </c>
      <c r="J2611" t="n">
        <v>128</v>
      </c>
      <c r="K2611" t="n">
        <v>3</v>
      </c>
      <c r="L2611" s="7" t="n">
        <v>1049</v>
      </c>
      <c r="M2611" s="7" t="n">
        <v>472.05</v>
      </c>
    </row>
    <row r="2612">
      <c r="A2612" t="n">
        <v>510700</v>
      </c>
      <c r="B2612" s="6" t="n">
        <v>45969</v>
      </c>
      <c r="C2612" t="n">
        <v>15018</v>
      </c>
      <c r="D2612" t="inlineStr">
        <is>
          <t>Indore</t>
        </is>
      </c>
      <c r="E2612" t="inlineStr">
        <is>
          <t>West</t>
        </is>
      </c>
      <c r="F2612" t="inlineStr">
        <is>
          <t>Paid Social</t>
        </is>
      </c>
      <c r="G2612" t="inlineStr">
        <is>
          <t>Mobile Web</t>
        </is>
      </c>
      <c r="H2612" t="inlineStr">
        <is>
          <t>UPI</t>
        </is>
      </c>
      <c r="I2612" t="inlineStr">
        <is>
          <t>Delivered</t>
        </is>
      </c>
      <c r="J2612" t="n">
        <v>113</v>
      </c>
      <c r="K2612" t="n">
        <v>1</v>
      </c>
      <c r="L2612" s="7" t="n">
        <v>1364</v>
      </c>
      <c r="M2612" s="7" t="n">
        <v>0</v>
      </c>
    </row>
    <row r="2613">
      <c r="A2613" t="n">
        <v>510701</v>
      </c>
      <c r="B2613" s="6" t="n">
        <v>45969</v>
      </c>
      <c r="C2613" t="n">
        <v>17235</v>
      </c>
      <c r="D2613" t="inlineStr">
        <is>
          <t>Delhi</t>
        </is>
      </c>
      <c r="E2613" t="inlineStr">
        <is>
          <t>North</t>
        </is>
      </c>
      <c r="F2613" t="inlineStr">
        <is>
          <t>Organic Search</t>
        </is>
      </c>
      <c r="G2613" t="inlineStr">
        <is>
          <t>Desktop</t>
        </is>
      </c>
      <c r="H2613" t="inlineStr">
        <is>
          <t>UPI</t>
        </is>
      </c>
      <c r="I2613" t="inlineStr">
        <is>
          <t>Delivered</t>
        </is>
      </c>
      <c r="J2613" t="n">
        <v>117</v>
      </c>
      <c r="K2613" t="n">
        <v>1</v>
      </c>
      <c r="L2613" s="7" t="n">
        <v>3149</v>
      </c>
      <c r="M2613" s="7" t="n">
        <v>472.35</v>
      </c>
    </row>
    <row r="2614">
      <c r="A2614" t="n">
        <v>510701</v>
      </c>
      <c r="B2614" s="6" t="n">
        <v>45969</v>
      </c>
      <c r="C2614" t="n">
        <v>17235</v>
      </c>
      <c r="D2614" t="inlineStr">
        <is>
          <t>Delhi</t>
        </is>
      </c>
      <c r="E2614" t="inlineStr">
        <is>
          <t>North</t>
        </is>
      </c>
      <c r="F2614" t="inlineStr">
        <is>
          <t>Organic Search</t>
        </is>
      </c>
      <c r="G2614" t="inlineStr">
        <is>
          <t>Desktop</t>
        </is>
      </c>
      <c r="H2614" t="inlineStr">
        <is>
          <t>UPI</t>
        </is>
      </c>
      <c r="I2614" t="inlineStr">
        <is>
          <t>Delivered</t>
        </is>
      </c>
      <c r="J2614" t="n">
        <v>109</v>
      </c>
      <c r="K2614" t="n">
        <v>1</v>
      </c>
      <c r="L2614" s="7" t="n">
        <v>4199</v>
      </c>
      <c r="M2614" s="7" t="n">
        <v>629.85</v>
      </c>
    </row>
    <row r="2615">
      <c r="A2615" t="n">
        <v>510702</v>
      </c>
      <c r="B2615" s="6" t="n">
        <v>45969</v>
      </c>
      <c r="C2615" t="n">
        <v>17163</v>
      </c>
      <c r="D2615" t="inlineStr">
        <is>
          <t>Lucknow</t>
        </is>
      </c>
      <c r="E2615" t="inlineStr">
        <is>
          <t>North</t>
        </is>
      </c>
      <c r="F2615" t="inlineStr">
        <is>
          <t>Affiliate</t>
        </is>
      </c>
      <c r="G2615" t="inlineStr">
        <is>
          <t>Desktop</t>
        </is>
      </c>
      <c r="H2615" t="inlineStr">
        <is>
          <t>UPI</t>
        </is>
      </c>
      <c r="I2615" t="inlineStr">
        <is>
          <t>Delivered</t>
        </is>
      </c>
      <c r="J2615" t="n">
        <v>140</v>
      </c>
      <c r="K2615" t="n">
        <v>1</v>
      </c>
      <c r="L2615" s="7" t="n">
        <v>629</v>
      </c>
      <c r="M2615" s="7" t="n">
        <v>94.34999999999999</v>
      </c>
    </row>
    <row r="2616">
      <c r="A2616" t="n">
        <v>510703</v>
      </c>
      <c r="B2616" s="6" t="n">
        <v>45969</v>
      </c>
      <c r="C2616" t="n">
        <v>16214</v>
      </c>
      <c r="D2616" t="inlineStr">
        <is>
          <t>Kochi</t>
        </is>
      </c>
      <c r="E2616" t="inlineStr">
        <is>
          <t>South</t>
        </is>
      </c>
      <c r="F2616" t="inlineStr">
        <is>
          <t>Referral</t>
        </is>
      </c>
      <c r="G2616" t="inlineStr">
        <is>
          <t>Desktop</t>
        </is>
      </c>
      <c r="H2616" t="inlineStr">
        <is>
          <t>UPI</t>
        </is>
      </c>
      <c r="I2616" t="inlineStr">
        <is>
          <t>Delivered</t>
        </is>
      </c>
      <c r="J2616" t="n">
        <v>137</v>
      </c>
      <c r="K2616" t="n">
        <v>1</v>
      </c>
      <c r="L2616" s="7" t="n">
        <v>261</v>
      </c>
      <c r="M2616" s="7" t="n">
        <v>0</v>
      </c>
    </row>
    <row r="2617">
      <c r="A2617" t="n">
        <v>510703</v>
      </c>
      <c r="B2617" s="6" t="n">
        <v>45969</v>
      </c>
      <c r="C2617" t="n">
        <v>16214</v>
      </c>
      <c r="D2617" t="inlineStr">
        <is>
          <t>Kochi</t>
        </is>
      </c>
      <c r="E2617" t="inlineStr">
        <is>
          <t>South</t>
        </is>
      </c>
      <c r="F2617" t="inlineStr">
        <is>
          <t>Referral</t>
        </is>
      </c>
      <c r="G2617" t="inlineStr">
        <is>
          <t>Desktop</t>
        </is>
      </c>
      <c r="H2617" t="inlineStr">
        <is>
          <t>UPI</t>
        </is>
      </c>
      <c r="I2617" t="inlineStr">
        <is>
          <t>Delivered</t>
        </is>
      </c>
      <c r="J2617" t="n">
        <v>120</v>
      </c>
      <c r="K2617" t="n">
        <v>1</v>
      </c>
      <c r="L2617" s="7" t="n">
        <v>734</v>
      </c>
      <c r="M2617" s="7" t="n">
        <v>0</v>
      </c>
    </row>
    <row r="2618">
      <c r="A2618" t="n">
        <v>510704</v>
      </c>
      <c r="B2618" s="6" t="n">
        <v>45969</v>
      </c>
      <c r="C2618" t="n">
        <v>17202</v>
      </c>
      <c r="D2618" t="inlineStr">
        <is>
          <t>Delhi</t>
        </is>
      </c>
      <c r="E2618" t="inlineStr">
        <is>
          <t>North</t>
        </is>
      </c>
      <c r="F2618" t="inlineStr">
        <is>
          <t>Email</t>
        </is>
      </c>
      <c r="G2618" t="inlineStr">
        <is>
          <t>Desktop</t>
        </is>
      </c>
      <c r="H2618" t="inlineStr">
        <is>
          <t>UPI</t>
        </is>
      </c>
      <c r="I2618" t="inlineStr">
        <is>
          <t>Returned</t>
        </is>
      </c>
      <c r="J2618" t="n">
        <v>142</v>
      </c>
      <c r="K2618" t="n">
        <v>1</v>
      </c>
      <c r="L2618" s="7" t="n">
        <v>839</v>
      </c>
      <c r="M2618" s="7" t="n">
        <v>0</v>
      </c>
    </row>
    <row r="2619">
      <c r="A2619" t="n">
        <v>510704</v>
      </c>
      <c r="B2619" s="6" t="n">
        <v>45969</v>
      </c>
      <c r="C2619" t="n">
        <v>17202</v>
      </c>
      <c r="D2619" t="inlineStr">
        <is>
          <t>Delhi</t>
        </is>
      </c>
      <c r="E2619" t="inlineStr">
        <is>
          <t>North</t>
        </is>
      </c>
      <c r="F2619" t="inlineStr">
        <is>
          <t>Email</t>
        </is>
      </c>
      <c r="G2619" t="inlineStr">
        <is>
          <t>Desktop</t>
        </is>
      </c>
      <c r="H2619" t="inlineStr">
        <is>
          <t>UPI</t>
        </is>
      </c>
      <c r="I2619" t="inlineStr">
        <is>
          <t>Returned</t>
        </is>
      </c>
      <c r="J2619" t="n">
        <v>111</v>
      </c>
      <c r="K2619" t="n">
        <v>2</v>
      </c>
      <c r="L2619" s="7" t="n">
        <v>524</v>
      </c>
      <c r="M2619" s="7" t="n">
        <v>0</v>
      </c>
    </row>
    <row r="2620">
      <c r="A2620" t="n">
        <v>510705</v>
      </c>
      <c r="B2620" s="6" t="n">
        <v>45969</v>
      </c>
      <c r="C2620" t="n">
        <v>17238</v>
      </c>
      <c r="D2620" t="inlineStr">
        <is>
          <t>Hyderabad</t>
        </is>
      </c>
      <c r="E2620" t="inlineStr">
        <is>
          <t>South</t>
        </is>
      </c>
      <c r="F2620" t="inlineStr">
        <is>
          <t>Organic Search</t>
        </is>
      </c>
      <c r="G2620" t="inlineStr">
        <is>
          <t>Mobile Web</t>
        </is>
      </c>
      <c r="H2620" t="inlineStr">
        <is>
          <t>Cash on Delivery</t>
        </is>
      </c>
      <c r="I2620" t="inlineStr">
        <is>
          <t>Delivered</t>
        </is>
      </c>
      <c r="J2620" t="n">
        <v>128</v>
      </c>
      <c r="K2620" t="n">
        <v>1</v>
      </c>
      <c r="L2620" s="7" t="n">
        <v>1049</v>
      </c>
      <c r="M2620" s="7" t="n">
        <v>0</v>
      </c>
    </row>
    <row r="2621">
      <c r="A2621" t="n">
        <v>510706</v>
      </c>
      <c r="B2621" s="6" t="n">
        <v>45969</v>
      </c>
      <c r="C2621" t="n">
        <v>17167</v>
      </c>
      <c r="D2621" t="inlineStr">
        <is>
          <t>Kolkata</t>
        </is>
      </c>
      <c r="E2621" t="inlineStr">
        <is>
          <t>East</t>
        </is>
      </c>
      <c r="F2621" t="inlineStr">
        <is>
          <t>Paid Social</t>
        </is>
      </c>
      <c r="G2621" t="inlineStr">
        <is>
          <t>Desktop</t>
        </is>
      </c>
      <c r="H2621" t="inlineStr">
        <is>
          <t>Net Banking</t>
        </is>
      </c>
      <c r="I2621" t="inlineStr">
        <is>
          <t>Delivered</t>
        </is>
      </c>
      <c r="J2621" t="n">
        <v>123</v>
      </c>
      <c r="K2621" t="n">
        <v>1</v>
      </c>
      <c r="L2621" s="7" t="n">
        <v>3464</v>
      </c>
      <c r="M2621" s="7" t="n">
        <v>173.2</v>
      </c>
    </row>
    <row r="2622">
      <c r="A2622" t="n">
        <v>510706</v>
      </c>
      <c r="B2622" s="6" t="n">
        <v>45969</v>
      </c>
      <c r="C2622" t="n">
        <v>17167</v>
      </c>
      <c r="D2622" t="inlineStr">
        <is>
          <t>Kolkata</t>
        </is>
      </c>
      <c r="E2622" t="inlineStr">
        <is>
          <t>East</t>
        </is>
      </c>
      <c r="F2622" t="inlineStr">
        <is>
          <t>Paid Social</t>
        </is>
      </c>
      <c r="G2622" t="inlineStr">
        <is>
          <t>Desktop</t>
        </is>
      </c>
      <c r="H2622" t="inlineStr">
        <is>
          <t>Net Banking</t>
        </is>
      </c>
      <c r="I2622" t="inlineStr">
        <is>
          <t>Delivered</t>
        </is>
      </c>
      <c r="J2622" t="n">
        <v>135</v>
      </c>
      <c r="K2622" t="n">
        <v>1</v>
      </c>
      <c r="L2622" s="7" t="n">
        <v>1574</v>
      </c>
      <c r="M2622" s="7" t="n">
        <v>78.7</v>
      </c>
    </row>
    <row r="2623">
      <c r="A2623" t="n">
        <v>510707</v>
      </c>
      <c r="B2623" s="6" t="n">
        <v>45969</v>
      </c>
      <c r="C2623" t="n">
        <v>14487</v>
      </c>
      <c r="D2623" t="inlineStr">
        <is>
          <t>Mumbai</t>
        </is>
      </c>
      <c r="E2623" t="inlineStr">
        <is>
          <t>West</t>
        </is>
      </c>
      <c r="F2623" t="inlineStr">
        <is>
          <t>Paid Search</t>
        </is>
      </c>
      <c r="G2623" t="inlineStr">
        <is>
          <t>Mobile App</t>
        </is>
      </c>
      <c r="H2623" t="inlineStr">
        <is>
          <t>UPI</t>
        </is>
      </c>
      <c r="I2623" t="inlineStr">
        <is>
          <t>Delivered</t>
        </is>
      </c>
      <c r="J2623" t="n">
        <v>124</v>
      </c>
      <c r="K2623" t="n">
        <v>1</v>
      </c>
      <c r="L2623" s="7" t="n">
        <v>1154</v>
      </c>
      <c r="M2623" s="7" t="n">
        <v>57.7</v>
      </c>
    </row>
    <row r="2624">
      <c r="A2624" t="n">
        <v>510707</v>
      </c>
      <c r="B2624" s="6" t="n">
        <v>45969</v>
      </c>
      <c r="C2624" t="n">
        <v>14487</v>
      </c>
      <c r="D2624" t="inlineStr">
        <is>
          <t>Mumbai</t>
        </is>
      </c>
      <c r="E2624" t="inlineStr">
        <is>
          <t>West</t>
        </is>
      </c>
      <c r="F2624" t="inlineStr">
        <is>
          <t>Paid Search</t>
        </is>
      </c>
      <c r="G2624" t="inlineStr">
        <is>
          <t>Mobile App</t>
        </is>
      </c>
      <c r="H2624" t="inlineStr">
        <is>
          <t>UPI</t>
        </is>
      </c>
      <c r="I2624" t="inlineStr">
        <is>
          <t>Delivered</t>
        </is>
      </c>
      <c r="J2624" t="n">
        <v>123</v>
      </c>
      <c r="K2624" t="n">
        <v>1</v>
      </c>
      <c r="L2624" s="7" t="n">
        <v>3464</v>
      </c>
      <c r="M2624" s="7" t="n">
        <v>173.2</v>
      </c>
    </row>
    <row r="2625">
      <c r="A2625" t="n">
        <v>510707</v>
      </c>
      <c r="B2625" s="6" t="n">
        <v>45969</v>
      </c>
      <c r="C2625" t="n">
        <v>14487</v>
      </c>
      <c r="D2625" t="inlineStr">
        <is>
          <t>Mumbai</t>
        </is>
      </c>
      <c r="E2625" t="inlineStr">
        <is>
          <t>West</t>
        </is>
      </c>
      <c r="F2625" t="inlineStr">
        <is>
          <t>Paid Search</t>
        </is>
      </c>
      <c r="G2625" t="inlineStr">
        <is>
          <t>Mobile App</t>
        </is>
      </c>
      <c r="H2625" t="inlineStr">
        <is>
          <t>UPI</t>
        </is>
      </c>
      <c r="I2625" t="inlineStr">
        <is>
          <t>Delivered</t>
        </is>
      </c>
      <c r="J2625" t="n">
        <v>105</v>
      </c>
      <c r="K2625" t="n">
        <v>1</v>
      </c>
      <c r="L2625" s="7" t="n">
        <v>2414</v>
      </c>
      <c r="M2625" s="7" t="n">
        <v>120.7</v>
      </c>
    </row>
    <row r="2626">
      <c r="A2626" t="n">
        <v>510708</v>
      </c>
      <c r="B2626" s="6" t="n">
        <v>45969</v>
      </c>
      <c r="C2626" t="n">
        <v>17112</v>
      </c>
      <c r="D2626" t="inlineStr">
        <is>
          <t>Delhi</t>
        </is>
      </c>
      <c r="E2626" t="inlineStr">
        <is>
          <t>North</t>
        </is>
      </c>
      <c r="F2626" t="inlineStr">
        <is>
          <t>Paid Search</t>
        </is>
      </c>
      <c r="G2626" t="inlineStr">
        <is>
          <t>Mobile Web</t>
        </is>
      </c>
      <c r="H2626" t="inlineStr">
        <is>
          <t>Credit Card</t>
        </is>
      </c>
      <c r="I2626" t="inlineStr">
        <is>
          <t>Delivered</t>
        </is>
      </c>
      <c r="J2626" t="n">
        <v>120</v>
      </c>
      <c r="K2626" t="n">
        <v>1</v>
      </c>
      <c r="L2626" s="7" t="n">
        <v>734</v>
      </c>
      <c r="M2626" s="7" t="n">
        <v>110.1</v>
      </c>
    </row>
    <row r="2627">
      <c r="A2627" t="n">
        <v>510708</v>
      </c>
      <c r="B2627" s="6" t="n">
        <v>45969</v>
      </c>
      <c r="C2627" t="n">
        <v>17112</v>
      </c>
      <c r="D2627" t="inlineStr">
        <is>
          <t>Delhi</t>
        </is>
      </c>
      <c r="E2627" t="inlineStr">
        <is>
          <t>North</t>
        </is>
      </c>
      <c r="F2627" t="inlineStr">
        <is>
          <t>Paid Search</t>
        </is>
      </c>
      <c r="G2627" t="inlineStr">
        <is>
          <t>Mobile Web</t>
        </is>
      </c>
      <c r="H2627" t="inlineStr">
        <is>
          <t>Credit Card</t>
        </is>
      </c>
      <c r="I2627" t="inlineStr">
        <is>
          <t>Delivered</t>
        </is>
      </c>
      <c r="J2627" t="n">
        <v>126</v>
      </c>
      <c r="K2627" t="n">
        <v>1</v>
      </c>
      <c r="L2627" s="7" t="n">
        <v>471</v>
      </c>
      <c r="M2627" s="7" t="n">
        <v>70.65000000000001</v>
      </c>
    </row>
    <row r="2628">
      <c r="A2628" t="n">
        <v>510709</v>
      </c>
      <c r="B2628" s="6" t="n">
        <v>45969</v>
      </c>
      <c r="C2628" t="n">
        <v>17164</v>
      </c>
      <c r="D2628" t="inlineStr">
        <is>
          <t>Delhi</t>
        </is>
      </c>
      <c r="E2628" t="inlineStr">
        <is>
          <t>North</t>
        </is>
      </c>
      <c r="F2628" t="inlineStr">
        <is>
          <t>Paid Search</t>
        </is>
      </c>
      <c r="G2628" t="inlineStr">
        <is>
          <t>Mobile Web</t>
        </is>
      </c>
      <c r="H2628" t="inlineStr">
        <is>
          <t>Debit Card</t>
        </is>
      </c>
      <c r="I2628" t="inlineStr">
        <is>
          <t>Delivered</t>
        </is>
      </c>
      <c r="J2628" t="n">
        <v>129</v>
      </c>
      <c r="K2628" t="n">
        <v>1</v>
      </c>
      <c r="L2628" s="7" t="n">
        <v>576</v>
      </c>
      <c r="M2628" s="7" t="n">
        <v>86.40000000000001</v>
      </c>
    </row>
    <row r="2629">
      <c r="A2629" t="n">
        <v>510709</v>
      </c>
      <c r="B2629" s="6" t="n">
        <v>45969</v>
      </c>
      <c r="C2629" t="n">
        <v>17164</v>
      </c>
      <c r="D2629" t="inlineStr">
        <is>
          <t>Delhi</t>
        </is>
      </c>
      <c r="E2629" t="inlineStr">
        <is>
          <t>North</t>
        </is>
      </c>
      <c r="F2629" t="inlineStr">
        <is>
          <t>Paid Search</t>
        </is>
      </c>
      <c r="G2629" t="inlineStr">
        <is>
          <t>Mobile Web</t>
        </is>
      </c>
      <c r="H2629" t="inlineStr">
        <is>
          <t>Debit Card</t>
        </is>
      </c>
      <c r="I2629" t="inlineStr">
        <is>
          <t>Delivered</t>
        </is>
      </c>
      <c r="J2629" t="n">
        <v>123</v>
      </c>
      <c r="K2629" t="n">
        <v>3</v>
      </c>
      <c r="L2629" s="7" t="n">
        <v>3464</v>
      </c>
      <c r="M2629" s="7" t="n">
        <v>1558.8</v>
      </c>
    </row>
    <row r="2630">
      <c r="A2630" t="n">
        <v>510710</v>
      </c>
      <c r="B2630" s="6" t="n">
        <v>45970</v>
      </c>
      <c r="C2630" t="n">
        <v>15633</v>
      </c>
      <c r="D2630" t="inlineStr">
        <is>
          <t>Bengaluru</t>
        </is>
      </c>
      <c r="E2630" t="inlineStr">
        <is>
          <t>South</t>
        </is>
      </c>
      <c r="F2630" t="inlineStr">
        <is>
          <t>Organic Search</t>
        </is>
      </c>
      <c r="G2630" t="inlineStr">
        <is>
          <t>Mobile App</t>
        </is>
      </c>
      <c r="H2630" t="inlineStr">
        <is>
          <t>Cash on Delivery</t>
        </is>
      </c>
      <c r="I2630" t="inlineStr">
        <is>
          <t>Delivered</t>
        </is>
      </c>
      <c r="J2630" t="n">
        <v>128</v>
      </c>
      <c r="K2630" t="n">
        <v>1</v>
      </c>
      <c r="L2630" s="7" t="n">
        <v>1049</v>
      </c>
      <c r="M2630" s="7" t="n">
        <v>0</v>
      </c>
    </row>
    <row r="2631">
      <c r="A2631" t="n">
        <v>510711</v>
      </c>
      <c r="B2631" s="6" t="n">
        <v>45970</v>
      </c>
      <c r="C2631" t="n">
        <v>16460</v>
      </c>
      <c r="D2631" t="inlineStr">
        <is>
          <t>Jaipur</t>
        </is>
      </c>
      <c r="E2631" t="inlineStr">
        <is>
          <t>North</t>
        </is>
      </c>
      <c r="F2631" t="inlineStr">
        <is>
          <t>Email</t>
        </is>
      </c>
      <c r="G2631" t="inlineStr">
        <is>
          <t>Mobile Web</t>
        </is>
      </c>
      <c r="H2631" t="inlineStr">
        <is>
          <t>UPI</t>
        </is>
      </c>
      <c r="I2631" t="inlineStr">
        <is>
          <t>Delivered</t>
        </is>
      </c>
      <c r="J2631" t="n">
        <v>117</v>
      </c>
      <c r="K2631" t="n">
        <v>1</v>
      </c>
      <c r="L2631" s="7" t="n">
        <v>3149</v>
      </c>
      <c r="M2631" s="7" t="n">
        <v>0</v>
      </c>
    </row>
    <row r="2632">
      <c r="A2632" t="n">
        <v>510711</v>
      </c>
      <c r="B2632" s="6" t="n">
        <v>45970</v>
      </c>
      <c r="C2632" t="n">
        <v>16460</v>
      </c>
      <c r="D2632" t="inlineStr">
        <is>
          <t>Jaipur</t>
        </is>
      </c>
      <c r="E2632" t="inlineStr">
        <is>
          <t>North</t>
        </is>
      </c>
      <c r="F2632" t="inlineStr">
        <is>
          <t>Email</t>
        </is>
      </c>
      <c r="G2632" t="inlineStr">
        <is>
          <t>Mobile Web</t>
        </is>
      </c>
      <c r="H2632" t="inlineStr">
        <is>
          <t>UPI</t>
        </is>
      </c>
      <c r="I2632" t="inlineStr">
        <is>
          <t>Delivered</t>
        </is>
      </c>
      <c r="J2632" t="n">
        <v>123</v>
      </c>
      <c r="K2632" t="n">
        <v>1</v>
      </c>
      <c r="L2632" s="7" t="n">
        <v>3464</v>
      </c>
      <c r="M2632" s="7" t="n">
        <v>0</v>
      </c>
    </row>
    <row r="2633">
      <c r="A2633" t="n">
        <v>510711</v>
      </c>
      <c r="B2633" s="6" t="n">
        <v>45970</v>
      </c>
      <c r="C2633" t="n">
        <v>16460</v>
      </c>
      <c r="D2633" t="inlineStr">
        <is>
          <t>Jaipur</t>
        </is>
      </c>
      <c r="E2633" t="inlineStr">
        <is>
          <t>North</t>
        </is>
      </c>
      <c r="F2633" t="inlineStr">
        <is>
          <t>Email</t>
        </is>
      </c>
      <c r="G2633" t="inlineStr">
        <is>
          <t>Mobile Web</t>
        </is>
      </c>
      <c r="H2633" t="inlineStr">
        <is>
          <t>UPI</t>
        </is>
      </c>
      <c r="I2633" t="inlineStr">
        <is>
          <t>Delivered</t>
        </is>
      </c>
      <c r="J2633" t="n">
        <v>142</v>
      </c>
      <c r="K2633" t="n">
        <v>3</v>
      </c>
      <c r="L2633" s="7" t="n">
        <v>839</v>
      </c>
      <c r="M2633" s="7" t="n">
        <v>0</v>
      </c>
    </row>
    <row r="2634">
      <c r="A2634" t="n">
        <v>510712</v>
      </c>
      <c r="B2634" s="6" t="n">
        <v>45970</v>
      </c>
      <c r="C2634" t="n">
        <v>17251</v>
      </c>
      <c r="D2634" t="inlineStr">
        <is>
          <t>Chennai</t>
        </is>
      </c>
      <c r="E2634" t="inlineStr">
        <is>
          <t>South</t>
        </is>
      </c>
      <c r="F2634" t="inlineStr">
        <is>
          <t>Paid Search</t>
        </is>
      </c>
      <c r="G2634" t="inlineStr">
        <is>
          <t>Mobile Web</t>
        </is>
      </c>
      <c r="H2634" t="inlineStr">
        <is>
          <t>UPI</t>
        </is>
      </c>
      <c r="I2634" t="inlineStr">
        <is>
          <t>Delivered</t>
        </is>
      </c>
      <c r="J2634" t="n">
        <v>123</v>
      </c>
      <c r="K2634" t="n">
        <v>1</v>
      </c>
      <c r="L2634" s="7" t="n">
        <v>3464</v>
      </c>
      <c r="M2634" s="7" t="n">
        <v>519.6</v>
      </c>
    </row>
    <row r="2635">
      <c r="A2635" t="n">
        <v>510713</v>
      </c>
      <c r="B2635" s="6" t="n">
        <v>45970</v>
      </c>
      <c r="C2635" t="n">
        <v>17122</v>
      </c>
      <c r="D2635" t="inlineStr">
        <is>
          <t>Chandigarh</t>
        </is>
      </c>
      <c r="E2635" t="inlineStr">
        <is>
          <t>North</t>
        </is>
      </c>
      <c r="F2635" t="inlineStr">
        <is>
          <t>Paid Search</t>
        </is>
      </c>
      <c r="G2635" t="inlineStr">
        <is>
          <t>Mobile App</t>
        </is>
      </c>
      <c r="H2635" t="inlineStr">
        <is>
          <t>Cash on Delivery</t>
        </is>
      </c>
      <c r="I2635" t="inlineStr">
        <is>
          <t>Delivered</t>
        </is>
      </c>
      <c r="J2635" t="n">
        <v>145</v>
      </c>
      <c r="K2635" t="n">
        <v>1</v>
      </c>
      <c r="L2635" s="7" t="n">
        <v>629</v>
      </c>
      <c r="M2635" s="7" t="n">
        <v>94.34999999999999</v>
      </c>
    </row>
    <row r="2636">
      <c r="A2636" t="n">
        <v>510714</v>
      </c>
      <c r="B2636" s="6" t="n">
        <v>45970</v>
      </c>
      <c r="C2636" t="n">
        <v>17260</v>
      </c>
      <c r="D2636" t="inlineStr">
        <is>
          <t>Chennai</t>
        </is>
      </c>
      <c r="E2636" t="inlineStr">
        <is>
          <t>South</t>
        </is>
      </c>
      <c r="F2636" t="inlineStr">
        <is>
          <t>Referral</t>
        </is>
      </c>
      <c r="G2636" t="inlineStr">
        <is>
          <t>Desktop</t>
        </is>
      </c>
      <c r="H2636" t="inlineStr">
        <is>
          <t>UPI</t>
        </is>
      </c>
      <c r="I2636" t="inlineStr">
        <is>
          <t>Delivered</t>
        </is>
      </c>
      <c r="J2636" t="n">
        <v>139</v>
      </c>
      <c r="K2636" t="n">
        <v>1</v>
      </c>
      <c r="L2636" s="7" t="n">
        <v>366</v>
      </c>
      <c r="M2636" s="7" t="n">
        <v>54.9</v>
      </c>
    </row>
    <row r="2637">
      <c r="A2637" t="n">
        <v>510715</v>
      </c>
      <c r="B2637" s="6" t="n">
        <v>45970</v>
      </c>
      <c r="C2637" t="n">
        <v>17254</v>
      </c>
      <c r="D2637" t="inlineStr">
        <is>
          <t>Mumbai</t>
        </is>
      </c>
      <c r="E2637" t="inlineStr">
        <is>
          <t>West</t>
        </is>
      </c>
      <c r="F2637" t="inlineStr">
        <is>
          <t>Organic Search</t>
        </is>
      </c>
      <c r="G2637" t="inlineStr">
        <is>
          <t>Mobile Web</t>
        </is>
      </c>
      <c r="H2637" t="inlineStr">
        <is>
          <t>Credit Card</t>
        </is>
      </c>
      <c r="I2637" t="inlineStr">
        <is>
          <t>Returned</t>
        </is>
      </c>
      <c r="J2637" t="n">
        <v>135</v>
      </c>
      <c r="K2637" t="n">
        <v>1</v>
      </c>
      <c r="L2637" s="7" t="n">
        <v>1574</v>
      </c>
      <c r="M2637" s="7" t="n">
        <v>236.1</v>
      </c>
    </row>
    <row r="2638">
      <c r="A2638" t="n">
        <v>510715</v>
      </c>
      <c r="B2638" s="6" t="n">
        <v>45970</v>
      </c>
      <c r="C2638" t="n">
        <v>17254</v>
      </c>
      <c r="D2638" t="inlineStr">
        <is>
          <t>Mumbai</t>
        </is>
      </c>
      <c r="E2638" t="inlineStr">
        <is>
          <t>West</t>
        </is>
      </c>
      <c r="F2638" t="inlineStr">
        <is>
          <t>Organic Search</t>
        </is>
      </c>
      <c r="G2638" t="inlineStr">
        <is>
          <t>Mobile Web</t>
        </is>
      </c>
      <c r="H2638" t="inlineStr">
        <is>
          <t>Credit Card</t>
        </is>
      </c>
      <c r="I2638" t="inlineStr">
        <is>
          <t>Returned</t>
        </is>
      </c>
      <c r="J2638" t="n">
        <v>115</v>
      </c>
      <c r="K2638" t="n">
        <v>2</v>
      </c>
      <c r="L2638" s="7" t="n">
        <v>4199</v>
      </c>
      <c r="M2638" s="7" t="n">
        <v>1259.7</v>
      </c>
    </row>
    <row r="2639">
      <c r="A2639" t="n">
        <v>510716</v>
      </c>
      <c r="B2639" s="6" t="n">
        <v>45970</v>
      </c>
      <c r="C2639" t="n">
        <v>17177</v>
      </c>
      <c r="D2639" t="inlineStr">
        <is>
          <t>Delhi</t>
        </is>
      </c>
      <c r="E2639" t="inlineStr">
        <is>
          <t>North</t>
        </is>
      </c>
      <c r="F2639" t="inlineStr">
        <is>
          <t>Paid Search</t>
        </is>
      </c>
      <c r="G2639" t="inlineStr">
        <is>
          <t>Mobile App</t>
        </is>
      </c>
      <c r="H2639" t="inlineStr">
        <is>
          <t>Cash on Delivery</t>
        </is>
      </c>
      <c r="I2639" t="inlineStr">
        <is>
          <t>Delivered</t>
        </is>
      </c>
      <c r="J2639" t="n">
        <v>116</v>
      </c>
      <c r="K2639" t="n">
        <v>1</v>
      </c>
      <c r="L2639" s="7" t="n">
        <v>2624</v>
      </c>
      <c r="M2639" s="7" t="n">
        <v>131.2</v>
      </c>
    </row>
    <row r="2640">
      <c r="A2640" t="n">
        <v>510717</v>
      </c>
      <c r="B2640" s="6" t="n">
        <v>45970</v>
      </c>
      <c r="C2640" t="n">
        <v>15876</v>
      </c>
      <c r="D2640" t="inlineStr">
        <is>
          <t>Gurugram</t>
        </is>
      </c>
      <c r="E2640" t="inlineStr">
        <is>
          <t>North</t>
        </is>
      </c>
      <c r="F2640" t="inlineStr">
        <is>
          <t>Paid Social</t>
        </is>
      </c>
      <c r="G2640" t="inlineStr">
        <is>
          <t>Mobile App</t>
        </is>
      </c>
      <c r="H2640" t="inlineStr">
        <is>
          <t>Credit Card</t>
        </is>
      </c>
      <c r="I2640" t="inlineStr">
        <is>
          <t>Delivered</t>
        </is>
      </c>
      <c r="J2640" t="n">
        <v>107</v>
      </c>
      <c r="K2640" t="n">
        <v>1</v>
      </c>
      <c r="L2640" s="7" t="n">
        <v>1259</v>
      </c>
      <c r="M2640" s="7" t="n">
        <v>0</v>
      </c>
    </row>
    <row r="2641">
      <c r="A2641" t="n">
        <v>510717</v>
      </c>
      <c r="B2641" s="6" t="n">
        <v>45970</v>
      </c>
      <c r="C2641" t="n">
        <v>15876</v>
      </c>
      <c r="D2641" t="inlineStr">
        <is>
          <t>Gurugram</t>
        </is>
      </c>
      <c r="E2641" t="inlineStr">
        <is>
          <t>North</t>
        </is>
      </c>
      <c r="F2641" t="inlineStr">
        <is>
          <t>Paid Social</t>
        </is>
      </c>
      <c r="G2641" t="inlineStr">
        <is>
          <t>Mobile App</t>
        </is>
      </c>
      <c r="H2641" t="inlineStr">
        <is>
          <t>Credit Card</t>
        </is>
      </c>
      <c r="I2641" t="inlineStr">
        <is>
          <t>Delivered</t>
        </is>
      </c>
      <c r="J2641" t="n">
        <v>108</v>
      </c>
      <c r="K2641" t="n">
        <v>1</v>
      </c>
      <c r="L2641" s="7" t="n">
        <v>419</v>
      </c>
      <c r="M2641" s="7" t="n">
        <v>0</v>
      </c>
    </row>
    <row r="2642">
      <c r="A2642" t="n">
        <v>510718</v>
      </c>
      <c r="B2642" s="6" t="n">
        <v>45970</v>
      </c>
      <c r="C2642" t="n">
        <v>12022</v>
      </c>
      <c r="D2642" t="inlineStr">
        <is>
          <t>Mumbai</t>
        </is>
      </c>
      <c r="E2642" t="inlineStr">
        <is>
          <t>West</t>
        </is>
      </c>
      <c r="F2642" t="inlineStr">
        <is>
          <t>Organic Search</t>
        </is>
      </c>
      <c r="G2642" t="inlineStr">
        <is>
          <t>Mobile Web</t>
        </is>
      </c>
      <c r="H2642" t="inlineStr">
        <is>
          <t>Net Banking</t>
        </is>
      </c>
      <c r="I2642" t="inlineStr">
        <is>
          <t>Delivered</t>
        </is>
      </c>
      <c r="J2642" t="n">
        <v>124</v>
      </c>
      <c r="K2642" t="n">
        <v>1</v>
      </c>
      <c r="L2642" s="7" t="n">
        <v>1154</v>
      </c>
      <c r="M2642" s="7" t="n">
        <v>0</v>
      </c>
    </row>
    <row r="2643">
      <c r="A2643" t="n">
        <v>510719</v>
      </c>
      <c r="B2643" s="6" t="n">
        <v>45970</v>
      </c>
      <c r="C2643" t="n">
        <v>17141</v>
      </c>
      <c r="D2643" t="inlineStr">
        <is>
          <t>Pune</t>
        </is>
      </c>
      <c r="E2643" t="inlineStr">
        <is>
          <t>West</t>
        </is>
      </c>
      <c r="F2643" t="inlineStr">
        <is>
          <t>Paid Social</t>
        </is>
      </c>
      <c r="G2643" t="inlineStr">
        <is>
          <t>Mobile App</t>
        </is>
      </c>
      <c r="H2643" t="inlineStr">
        <is>
          <t>Credit Card</t>
        </is>
      </c>
      <c r="I2643" t="inlineStr">
        <is>
          <t>Delivered</t>
        </is>
      </c>
      <c r="J2643" t="n">
        <v>111</v>
      </c>
      <c r="K2643" t="n">
        <v>1</v>
      </c>
      <c r="L2643" s="7" t="n">
        <v>524</v>
      </c>
      <c r="M2643" s="7" t="n">
        <v>0</v>
      </c>
    </row>
    <row r="2644">
      <c r="A2644" t="n">
        <v>510720</v>
      </c>
      <c r="B2644" s="6" t="n">
        <v>45970</v>
      </c>
      <c r="C2644" t="n">
        <v>17143</v>
      </c>
      <c r="D2644" t="inlineStr">
        <is>
          <t>Jaipur</t>
        </is>
      </c>
      <c r="E2644" t="inlineStr">
        <is>
          <t>North</t>
        </is>
      </c>
      <c r="F2644" t="inlineStr">
        <is>
          <t>Referral</t>
        </is>
      </c>
      <c r="G2644" t="inlineStr">
        <is>
          <t>Desktop</t>
        </is>
      </c>
      <c r="H2644" t="inlineStr">
        <is>
          <t>UPI</t>
        </is>
      </c>
      <c r="I2644" t="inlineStr">
        <is>
          <t>Delivered</t>
        </is>
      </c>
      <c r="J2644" t="n">
        <v>137</v>
      </c>
      <c r="K2644" t="n">
        <v>1</v>
      </c>
      <c r="L2644" s="7" t="n">
        <v>261</v>
      </c>
      <c r="M2644" s="7" t="n">
        <v>0</v>
      </c>
    </row>
    <row r="2645">
      <c r="A2645" t="n">
        <v>510720</v>
      </c>
      <c r="B2645" s="6" t="n">
        <v>45970</v>
      </c>
      <c r="C2645" t="n">
        <v>17143</v>
      </c>
      <c r="D2645" t="inlineStr">
        <is>
          <t>Jaipur</t>
        </is>
      </c>
      <c r="E2645" t="inlineStr">
        <is>
          <t>North</t>
        </is>
      </c>
      <c r="F2645" t="inlineStr">
        <is>
          <t>Referral</t>
        </is>
      </c>
      <c r="G2645" t="inlineStr">
        <is>
          <t>Desktop</t>
        </is>
      </c>
      <c r="H2645" t="inlineStr">
        <is>
          <t>UPI</t>
        </is>
      </c>
      <c r="I2645" t="inlineStr">
        <is>
          <t>Delivered</t>
        </is>
      </c>
      <c r="J2645" t="n">
        <v>129</v>
      </c>
      <c r="K2645" t="n">
        <v>2</v>
      </c>
      <c r="L2645" s="7" t="n">
        <v>576</v>
      </c>
      <c r="M2645" s="7" t="n">
        <v>0</v>
      </c>
    </row>
    <row r="2646">
      <c r="A2646" t="n">
        <v>510721</v>
      </c>
      <c r="B2646" s="6" t="n">
        <v>45970</v>
      </c>
      <c r="C2646" t="n">
        <v>14939</v>
      </c>
      <c r="D2646" t="inlineStr">
        <is>
          <t>Chennai</t>
        </is>
      </c>
      <c r="E2646" t="inlineStr">
        <is>
          <t>South</t>
        </is>
      </c>
      <c r="F2646" t="inlineStr">
        <is>
          <t>Affiliate</t>
        </is>
      </c>
      <c r="G2646" t="inlineStr">
        <is>
          <t>Mobile App</t>
        </is>
      </c>
      <c r="H2646" t="inlineStr">
        <is>
          <t>Cash on Delivery</t>
        </is>
      </c>
      <c r="I2646" t="inlineStr">
        <is>
          <t>Delivered</t>
        </is>
      </c>
      <c r="J2646" t="n">
        <v>142</v>
      </c>
      <c r="K2646" t="n">
        <v>1</v>
      </c>
      <c r="L2646" s="7" t="n">
        <v>839</v>
      </c>
      <c r="M2646" s="7" t="n">
        <v>0</v>
      </c>
    </row>
    <row r="2647">
      <c r="A2647" t="n">
        <v>510722</v>
      </c>
      <c r="B2647" s="6" t="n">
        <v>45970</v>
      </c>
      <c r="C2647" t="n">
        <v>13486</v>
      </c>
      <c r="D2647" t="inlineStr">
        <is>
          <t>Mumbai</t>
        </is>
      </c>
      <c r="E2647" t="inlineStr">
        <is>
          <t>West</t>
        </is>
      </c>
      <c r="F2647" t="inlineStr">
        <is>
          <t>Paid Search</t>
        </is>
      </c>
      <c r="G2647" t="inlineStr">
        <is>
          <t>Mobile App</t>
        </is>
      </c>
      <c r="H2647" t="inlineStr">
        <is>
          <t>Cash on Delivery</t>
        </is>
      </c>
      <c r="I2647" t="inlineStr">
        <is>
          <t>Delivered</t>
        </is>
      </c>
      <c r="J2647" t="n">
        <v>121</v>
      </c>
      <c r="K2647" t="n">
        <v>1</v>
      </c>
      <c r="L2647" s="7" t="n">
        <v>2939</v>
      </c>
      <c r="M2647" s="7" t="n">
        <v>0</v>
      </c>
    </row>
    <row r="2648">
      <c r="A2648" t="n">
        <v>510723</v>
      </c>
      <c r="B2648" s="6" t="n">
        <v>45970</v>
      </c>
      <c r="C2648" t="n">
        <v>17256</v>
      </c>
      <c r="D2648" t="inlineStr">
        <is>
          <t>Lucknow</t>
        </is>
      </c>
      <c r="E2648" t="inlineStr">
        <is>
          <t>North</t>
        </is>
      </c>
      <c r="F2648" t="inlineStr">
        <is>
          <t>Referral</t>
        </is>
      </c>
      <c r="G2648" t="inlineStr">
        <is>
          <t>Mobile Web</t>
        </is>
      </c>
      <c r="H2648" t="inlineStr">
        <is>
          <t>Credit Card</t>
        </is>
      </c>
      <c r="I2648" t="inlineStr">
        <is>
          <t>Delivered</t>
        </is>
      </c>
      <c r="J2648" t="n">
        <v>125</v>
      </c>
      <c r="K2648" t="n">
        <v>1</v>
      </c>
      <c r="L2648" s="7" t="n">
        <v>1364</v>
      </c>
      <c r="M2648" s="7" t="n">
        <v>0</v>
      </c>
    </row>
    <row r="2649">
      <c r="A2649" t="n">
        <v>510724</v>
      </c>
      <c r="B2649" s="6" t="n">
        <v>45970</v>
      </c>
      <c r="C2649" t="n">
        <v>17119</v>
      </c>
      <c r="D2649" t="inlineStr">
        <is>
          <t>Bengaluru</t>
        </is>
      </c>
      <c r="E2649" t="inlineStr">
        <is>
          <t>South</t>
        </is>
      </c>
      <c r="F2649" t="inlineStr">
        <is>
          <t>Organic Search</t>
        </is>
      </c>
      <c r="G2649" t="inlineStr">
        <is>
          <t>Mobile Web</t>
        </is>
      </c>
      <c r="H2649" t="inlineStr">
        <is>
          <t>UPI</t>
        </is>
      </c>
      <c r="I2649" t="inlineStr">
        <is>
          <t>Delivered</t>
        </is>
      </c>
      <c r="J2649" t="n">
        <v>135</v>
      </c>
      <c r="K2649" t="n">
        <v>1</v>
      </c>
      <c r="L2649" s="7" t="n">
        <v>1574</v>
      </c>
      <c r="M2649" s="7" t="n">
        <v>0</v>
      </c>
    </row>
    <row r="2650">
      <c r="A2650" t="n">
        <v>510725</v>
      </c>
      <c r="B2650" s="6" t="n">
        <v>45970</v>
      </c>
      <c r="C2650" t="n">
        <v>17232</v>
      </c>
      <c r="D2650" t="inlineStr">
        <is>
          <t>Mumbai</t>
        </is>
      </c>
      <c r="E2650" t="inlineStr">
        <is>
          <t>West</t>
        </is>
      </c>
      <c r="F2650" t="inlineStr">
        <is>
          <t>Paid Social</t>
        </is>
      </c>
      <c r="G2650" t="inlineStr">
        <is>
          <t>Mobile App</t>
        </is>
      </c>
      <c r="H2650" t="inlineStr">
        <is>
          <t>UPI</t>
        </is>
      </c>
      <c r="I2650" t="inlineStr">
        <is>
          <t>Delivered</t>
        </is>
      </c>
      <c r="J2650" t="n">
        <v>147</v>
      </c>
      <c r="K2650" t="n">
        <v>1</v>
      </c>
      <c r="L2650" s="7" t="n">
        <v>1364</v>
      </c>
      <c r="M2650" s="7" t="n">
        <v>204.6</v>
      </c>
    </row>
    <row r="2651">
      <c r="A2651" t="n">
        <v>510725</v>
      </c>
      <c r="B2651" s="6" t="n">
        <v>45970</v>
      </c>
      <c r="C2651" t="n">
        <v>17232</v>
      </c>
      <c r="D2651" t="inlineStr">
        <is>
          <t>Mumbai</t>
        </is>
      </c>
      <c r="E2651" t="inlineStr">
        <is>
          <t>West</t>
        </is>
      </c>
      <c r="F2651" t="inlineStr">
        <is>
          <t>Paid Social</t>
        </is>
      </c>
      <c r="G2651" t="inlineStr">
        <is>
          <t>Mobile App</t>
        </is>
      </c>
      <c r="H2651" t="inlineStr">
        <is>
          <t>UPI</t>
        </is>
      </c>
      <c r="I2651" t="inlineStr">
        <is>
          <t>Delivered</t>
        </is>
      </c>
      <c r="J2651" t="n">
        <v>103</v>
      </c>
      <c r="K2651" t="n">
        <v>2</v>
      </c>
      <c r="L2651" s="7" t="n">
        <v>2624</v>
      </c>
      <c r="M2651" s="7" t="n">
        <v>787.2</v>
      </c>
    </row>
    <row r="2652">
      <c r="A2652" t="n">
        <v>510725</v>
      </c>
      <c r="B2652" s="6" t="n">
        <v>45970</v>
      </c>
      <c r="C2652" t="n">
        <v>17232</v>
      </c>
      <c r="D2652" t="inlineStr">
        <is>
          <t>Mumbai</t>
        </is>
      </c>
      <c r="E2652" t="inlineStr">
        <is>
          <t>West</t>
        </is>
      </c>
      <c r="F2652" t="inlineStr">
        <is>
          <t>Paid Social</t>
        </is>
      </c>
      <c r="G2652" t="inlineStr">
        <is>
          <t>Mobile App</t>
        </is>
      </c>
      <c r="H2652" t="inlineStr">
        <is>
          <t>UPI</t>
        </is>
      </c>
      <c r="I2652" t="inlineStr">
        <is>
          <t>Delivered</t>
        </is>
      </c>
      <c r="J2652" t="n">
        <v>122</v>
      </c>
      <c r="K2652" t="n">
        <v>1</v>
      </c>
      <c r="L2652" s="7" t="n">
        <v>1994</v>
      </c>
      <c r="M2652" s="7" t="n">
        <v>299.1</v>
      </c>
    </row>
    <row r="2653">
      <c r="A2653" t="n">
        <v>510726</v>
      </c>
      <c r="B2653" s="6" t="n">
        <v>45970</v>
      </c>
      <c r="C2653" t="n">
        <v>13294</v>
      </c>
      <c r="D2653" t="inlineStr">
        <is>
          <t>Chennai</t>
        </is>
      </c>
      <c r="E2653" t="inlineStr">
        <is>
          <t>South</t>
        </is>
      </c>
      <c r="F2653" t="inlineStr">
        <is>
          <t>Referral</t>
        </is>
      </c>
      <c r="G2653" t="inlineStr">
        <is>
          <t>Mobile App</t>
        </is>
      </c>
      <c r="H2653" t="inlineStr">
        <is>
          <t>Cash on Delivery</t>
        </is>
      </c>
      <c r="I2653" t="inlineStr">
        <is>
          <t>Delivered</t>
        </is>
      </c>
      <c r="J2653" t="n">
        <v>112</v>
      </c>
      <c r="K2653" t="n">
        <v>1</v>
      </c>
      <c r="L2653" s="7" t="n">
        <v>1574</v>
      </c>
      <c r="M2653" s="7" t="n">
        <v>0</v>
      </c>
    </row>
    <row r="2654">
      <c r="A2654" t="n">
        <v>510726</v>
      </c>
      <c r="B2654" s="6" t="n">
        <v>45970</v>
      </c>
      <c r="C2654" t="n">
        <v>13294</v>
      </c>
      <c r="D2654" t="inlineStr">
        <is>
          <t>Chennai</t>
        </is>
      </c>
      <c r="E2654" t="inlineStr">
        <is>
          <t>South</t>
        </is>
      </c>
      <c r="F2654" t="inlineStr">
        <is>
          <t>Referral</t>
        </is>
      </c>
      <c r="G2654" t="inlineStr">
        <is>
          <t>Mobile App</t>
        </is>
      </c>
      <c r="H2654" t="inlineStr">
        <is>
          <t>Cash on Delivery</t>
        </is>
      </c>
      <c r="I2654" t="inlineStr">
        <is>
          <t>Delivered</t>
        </is>
      </c>
      <c r="J2654" t="n">
        <v>107</v>
      </c>
      <c r="K2654" t="n">
        <v>1</v>
      </c>
      <c r="L2654" s="7" t="n">
        <v>1259</v>
      </c>
      <c r="M2654" s="7" t="n">
        <v>0</v>
      </c>
    </row>
    <row r="2655">
      <c r="A2655" t="n">
        <v>510727</v>
      </c>
      <c r="B2655" s="6" t="n">
        <v>45970</v>
      </c>
      <c r="C2655" t="n">
        <v>17137</v>
      </c>
      <c r="D2655" t="inlineStr">
        <is>
          <t>Bengaluru</t>
        </is>
      </c>
      <c r="E2655" t="inlineStr">
        <is>
          <t>South</t>
        </is>
      </c>
      <c r="F2655" t="inlineStr">
        <is>
          <t>Organic Search</t>
        </is>
      </c>
      <c r="G2655" t="inlineStr">
        <is>
          <t>Mobile Web</t>
        </is>
      </c>
      <c r="H2655" t="inlineStr">
        <is>
          <t>UPI</t>
        </is>
      </c>
      <c r="I2655" t="inlineStr">
        <is>
          <t>Delivered</t>
        </is>
      </c>
      <c r="J2655" t="n">
        <v>124</v>
      </c>
      <c r="K2655" t="n">
        <v>1</v>
      </c>
      <c r="L2655" s="7" t="n">
        <v>1154</v>
      </c>
      <c r="M2655" s="7" t="n">
        <v>0</v>
      </c>
    </row>
    <row r="2656">
      <c r="A2656" t="n">
        <v>510728</v>
      </c>
      <c r="B2656" s="6" t="n">
        <v>45970</v>
      </c>
      <c r="C2656" t="n">
        <v>17160</v>
      </c>
      <c r="D2656" t="inlineStr">
        <is>
          <t>Kolkata</t>
        </is>
      </c>
      <c r="E2656" t="inlineStr">
        <is>
          <t>East</t>
        </is>
      </c>
      <c r="F2656" t="inlineStr">
        <is>
          <t>Affiliate</t>
        </is>
      </c>
      <c r="G2656" t="inlineStr">
        <is>
          <t>Mobile App</t>
        </is>
      </c>
      <c r="H2656" t="inlineStr">
        <is>
          <t>Credit Card</t>
        </is>
      </c>
      <c r="I2656" t="inlineStr">
        <is>
          <t>Delivered</t>
        </is>
      </c>
      <c r="J2656" t="n">
        <v>117</v>
      </c>
      <c r="K2656" t="n">
        <v>1</v>
      </c>
      <c r="L2656" s="7" t="n">
        <v>3149</v>
      </c>
      <c r="M2656" s="7" t="n">
        <v>472.35</v>
      </c>
    </row>
    <row r="2657">
      <c r="A2657" t="n">
        <v>510728</v>
      </c>
      <c r="B2657" s="6" t="n">
        <v>45970</v>
      </c>
      <c r="C2657" t="n">
        <v>17160</v>
      </c>
      <c r="D2657" t="inlineStr">
        <is>
          <t>Kolkata</t>
        </is>
      </c>
      <c r="E2657" t="inlineStr">
        <is>
          <t>East</t>
        </is>
      </c>
      <c r="F2657" t="inlineStr">
        <is>
          <t>Affiliate</t>
        </is>
      </c>
      <c r="G2657" t="inlineStr">
        <is>
          <t>Mobile App</t>
        </is>
      </c>
      <c r="H2657" t="inlineStr">
        <is>
          <t>Credit Card</t>
        </is>
      </c>
      <c r="I2657" t="inlineStr">
        <is>
          <t>Delivered</t>
        </is>
      </c>
      <c r="J2657" t="n">
        <v>139</v>
      </c>
      <c r="K2657" t="n">
        <v>1</v>
      </c>
      <c r="L2657" s="7" t="n">
        <v>366</v>
      </c>
      <c r="M2657" s="7" t="n">
        <v>54.9</v>
      </c>
    </row>
    <row r="2658">
      <c r="A2658" t="n">
        <v>510729</v>
      </c>
      <c r="B2658" s="6" t="n">
        <v>45970</v>
      </c>
      <c r="C2658" t="n">
        <v>17032</v>
      </c>
      <c r="D2658" t="inlineStr">
        <is>
          <t>Chennai</t>
        </is>
      </c>
      <c r="E2658" t="inlineStr">
        <is>
          <t>South</t>
        </is>
      </c>
      <c r="F2658" t="inlineStr">
        <is>
          <t>Paid Search</t>
        </is>
      </c>
      <c r="G2658" t="inlineStr">
        <is>
          <t>Mobile Web</t>
        </is>
      </c>
      <c r="H2658" t="inlineStr">
        <is>
          <t>UPI</t>
        </is>
      </c>
      <c r="I2658" t="inlineStr">
        <is>
          <t>Delivered</t>
        </is>
      </c>
      <c r="J2658" t="n">
        <v>111</v>
      </c>
      <c r="K2658" t="n">
        <v>1</v>
      </c>
      <c r="L2658" s="7" t="n">
        <v>524</v>
      </c>
      <c r="M2658" s="7" t="n">
        <v>0</v>
      </c>
    </row>
    <row r="2659">
      <c r="A2659" t="n">
        <v>510730</v>
      </c>
      <c r="B2659" s="6" t="n">
        <v>45970</v>
      </c>
      <c r="C2659" t="n">
        <v>17138</v>
      </c>
      <c r="D2659" t="inlineStr">
        <is>
          <t>Lucknow</t>
        </is>
      </c>
      <c r="E2659" t="inlineStr">
        <is>
          <t>North</t>
        </is>
      </c>
      <c r="F2659" t="inlineStr">
        <is>
          <t>Paid Social</t>
        </is>
      </c>
      <c r="G2659" t="inlineStr">
        <is>
          <t>Mobile App</t>
        </is>
      </c>
      <c r="H2659" t="inlineStr">
        <is>
          <t>Cash on Delivery</t>
        </is>
      </c>
      <c r="I2659" t="inlineStr">
        <is>
          <t>Delivered</t>
        </is>
      </c>
      <c r="J2659" t="n">
        <v>102</v>
      </c>
      <c r="K2659" t="n">
        <v>1</v>
      </c>
      <c r="L2659" s="7" t="n">
        <v>3674</v>
      </c>
      <c r="M2659" s="7" t="n">
        <v>0</v>
      </c>
    </row>
    <row r="2660">
      <c r="A2660" t="n">
        <v>510731</v>
      </c>
      <c r="B2660" s="6" t="n">
        <v>45970</v>
      </c>
      <c r="C2660" t="n">
        <v>16974</v>
      </c>
      <c r="D2660" t="inlineStr">
        <is>
          <t>Kolkata</t>
        </is>
      </c>
      <c r="E2660" t="inlineStr">
        <is>
          <t>East</t>
        </is>
      </c>
      <c r="F2660" t="inlineStr">
        <is>
          <t>Organic Search</t>
        </is>
      </c>
      <c r="G2660" t="inlineStr">
        <is>
          <t>Desktop</t>
        </is>
      </c>
      <c r="H2660" t="inlineStr">
        <is>
          <t>UPI</t>
        </is>
      </c>
      <c r="I2660" t="inlineStr">
        <is>
          <t>Delivered</t>
        </is>
      </c>
      <c r="J2660" t="n">
        <v>113</v>
      </c>
      <c r="K2660" t="n">
        <v>1</v>
      </c>
      <c r="L2660" s="7" t="n">
        <v>1364</v>
      </c>
      <c r="M2660" s="7" t="n">
        <v>204.6</v>
      </c>
    </row>
    <row r="2661">
      <c r="A2661" t="n">
        <v>510732</v>
      </c>
      <c r="B2661" s="6" t="n">
        <v>45970</v>
      </c>
      <c r="C2661" t="n">
        <v>17217</v>
      </c>
      <c r="D2661" t="inlineStr">
        <is>
          <t>Gurugram</t>
        </is>
      </c>
      <c r="E2661" t="inlineStr">
        <is>
          <t>North</t>
        </is>
      </c>
      <c r="F2661" t="inlineStr">
        <is>
          <t>Organic Search</t>
        </is>
      </c>
      <c r="G2661" t="inlineStr">
        <is>
          <t>Mobile App</t>
        </is>
      </c>
      <c r="H2661" t="inlineStr">
        <is>
          <t>Net Banking</t>
        </is>
      </c>
      <c r="I2661" t="inlineStr">
        <is>
          <t>Delivered</t>
        </is>
      </c>
      <c r="J2661" t="n">
        <v>111</v>
      </c>
      <c r="K2661" t="n">
        <v>3</v>
      </c>
      <c r="L2661" s="7" t="n">
        <v>524</v>
      </c>
      <c r="M2661" s="7" t="n">
        <v>0</v>
      </c>
    </row>
    <row r="2662">
      <c r="A2662" t="n">
        <v>510733</v>
      </c>
      <c r="B2662" s="6" t="n">
        <v>45970</v>
      </c>
      <c r="C2662" t="n">
        <v>17243</v>
      </c>
      <c r="D2662" t="inlineStr">
        <is>
          <t>Pune</t>
        </is>
      </c>
      <c r="E2662" t="inlineStr">
        <is>
          <t>West</t>
        </is>
      </c>
      <c r="F2662" t="inlineStr">
        <is>
          <t>Affiliate</t>
        </is>
      </c>
      <c r="G2662" t="inlineStr">
        <is>
          <t>Mobile Web</t>
        </is>
      </c>
      <c r="H2662" t="inlineStr">
        <is>
          <t>Cash on Delivery</t>
        </is>
      </c>
      <c r="I2662" t="inlineStr">
        <is>
          <t>Delivered</t>
        </is>
      </c>
      <c r="J2662" t="n">
        <v>110</v>
      </c>
      <c r="K2662" t="n">
        <v>1</v>
      </c>
      <c r="L2662" s="7" t="n">
        <v>839</v>
      </c>
      <c r="M2662" s="7" t="n">
        <v>125.85</v>
      </c>
    </row>
    <row r="2663">
      <c r="A2663" t="n">
        <v>510734</v>
      </c>
      <c r="B2663" s="6" t="n">
        <v>45971</v>
      </c>
      <c r="C2663" t="n">
        <v>17178</v>
      </c>
      <c r="D2663" t="inlineStr">
        <is>
          <t>Bengaluru</t>
        </is>
      </c>
      <c r="E2663" t="inlineStr">
        <is>
          <t>South</t>
        </is>
      </c>
      <c r="F2663" t="inlineStr">
        <is>
          <t>Paid Search</t>
        </is>
      </c>
      <c r="G2663" t="inlineStr">
        <is>
          <t>Mobile App</t>
        </is>
      </c>
      <c r="H2663" t="inlineStr">
        <is>
          <t>UPI</t>
        </is>
      </c>
      <c r="I2663" t="inlineStr">
        <is>
          <t>Returned</t>
        </is>
      </c>
      <c r="J2663" t="n">
        <v>110</v>
      </c>
      <c r="K2663" t="n">
        <v>3</v>
      </c>
      <c r="L2663" s="7" t="n">
        <v>839</v>
      </c>
      <c r="M2663" s="7" t="n">
        <v>0</v>
      </c>
    </row>
    <row r="2664">
      <c r="A2664" t="n">
        <v>510734</v>
      </c>
      <c r="B2664" s="6" t="n">
        <v>45971</v>
      </c>
      <c r="C2664" t="n">
        <v>17178</v>
      </c>
      <c r="D2664" t="inlineStr">
        <is>
          <t>Bengaluru</t>
        </is>
      </c>
      <c r="E2664" t="inlineStr">
        <is>
          <t>South</t>
        </is>
      </c>
      <c r="F2664" t="inlineStr">
        <is>
          <t>Paid Search</t>
        </is>
      </c>
      <c r="G2664" t="inlineStr">
        <is>
          <t>Mobile App</t>
        </is>
      </c>
      <c r="H2664" t="inlineStr">
        <is>
          <t>UPI</t>
        </is>
      </c>
      <c r="I2664" t="inlineStr">
        <is>
          <t>Returned</t>
        </is>
      </c>
      <c r="J2664" t="n">
        <v>111</v>
      </c>
      <c r="K2664" t="n">
        <v>3</v>
      </c>
      <c r="L2664" s="7" t="n">
        <v>524</v>
      </c>
      <c r="M2664" s="7" t="n">
        <v>0</v>
      </c>
    </row>
    <row r="2665">
      <c r="A2665" t="n">
        <v>510735</v>
      </c>
      <c r="B2665" s="6" t="n">
        <v>45971</v>
      </c>
      <c r="C2665" t="n">
        <v>17275</v>
      </c>
      <c r="D2665" t="inlineStr">
        <is>
          <t>Chennai</t>
        </is>
      </c>
      <c r="E2665" t="inlineStr">
        <is>
          <t>South</t>
        </is>
      </c>
      <c r="F2665" t="inlineStr">
        <is>
          <t>Organic Search</t>
        </is>
      </c>
      <c r="G2665" t="inlineStr">
        <is>
          <t>Mobile App</t>
        </is>
      </c>
      <c r="H2665" t="inlineStr">
        <is>
          <t>Cash on Delivery</t>
        </is>
      </c>
      <c r="I2665" t="inlineStr">
        <is>
          <t>Delivered</t>
        </is>
      </c>
      <c r="J2665" t="n">
        <v>128</v>
      </c>
      <c r="K2665" t="n">
        <v>1</v>
      </c>
      <c r="L2665" s="7" t="n">
        <v>1049</v>
      </c>
      <c r="M2665" s="7" t="n">
        <v>0</v>
      </c>
    </row>
    <row r="2666">
      <c r="A2666" t="n">
        <v>510735</v>
      </c>
      <c r="B2666" s="6" t="n">
        <v>45971</v>
      </c>
      <c r="C2666" t="n">
        <v>17275</v>
      </c>
      <c r="D2666" t="inlineStr">
        <is>
          <t>Chennai</t>
        </is>
      </c>
      <c r="E2666" t="inlineStr">
        <is>
          <t>South</t>
        </is>
      </c>
      <c r="F2666" t="inlineStr">
        <is>
          <t>Organic Search</t>
        </is>
      </c>
      <c r="G2666" t="inlineStr">
        <is>
          <t>Mobile App</t>
        </is>
      </c>
      <c r="H2666" t="inlineStr">
        <is>
          <t>Cash on Delivery</t>
        </is>
      </c>
      <c r="I2666" t="inlineStr">
        <is>
          <t>Delivered</t>
        </is>
      </c>
      <c r="J2666" t="n">
        <v>127</v>
      </c>
      <c r="K2666" t="n">
        <v>1</v>
      </c>
      <c r="L2666" s="7" t="n">
        <v>681</v>
      </c>
      <c r="M2666" s="7" t="n">
        <v>0</v>
      </c>
    </row>
    <row r="2667">
      <c r="A2667" t="n">
        <v>510735</v>
      </c>
      <c r="B2667" s="6" t="n">
        <v>45971</v>
      </c>
      <c r="C2667" t="n">
        <v>17275</v>
      </c>
      <c r="D2667" t="inlineStr">
        <is>
          <t>Chennai</t>
        </is>
      </c>
      <c r="E2667" t="inlineStr">
        <is>
          <t>South</t>
        </is>
      </c>
      <c r="F2667" t="inlineStr">
        <is>
          <t>Organic Search</t>
        </is>
      </c>
      <c r="G2667" t="inlineStr">
        <is>
          <t>Mobile App</t>
        </is>
      </c>
      <c r="H2667" t="inlineStr">
        <is>
          <t>Cash on Delivery</t>
        </is>
      </c>
      <c r="I2667" t="inlineStr">
        <is>
          <t>Delivered</t>
        </is>
      </c>
      <c r="J2667" t="n">
        <v>146</v>
      </c>
      <c r="K2667" t="n">
        <v>1</v>
      </c>
      <c r="L2667" s="7" t="n">
        <v>4724</v>
      </c>
      <c r="M2667" s="7" t="n">
        <v>0</v>
      </c>
    </row>
    <row r="2668">
      <c r="A2668" t="n">
        <v>510736</v>
      </c>
      <c r="B2668" s="6" t="n">
        <v>45971</v>
      </c>
      <c r="C2668" t="n">
        <v>16681</v>
      </c>
      <c r="D2668" t="inlineStr">
        <is>
          <t>Delhi</t>
        </is>
      </c>
      <c r="E2668" t="inlineStr">
        <is>
          <t>North</t>
        </is>
      </c>
      <c r="F2668" t="inlineStr">
        <is>
          <t>Paid Search</t>
        </is>
      </c>
      <c r="G2668" t="inlineStr">
        <is>
          <t>Desktop</t>
        </is>
      </c>
      <c r="H2668" t="inlineStr">
        <is>
          <t>UPI</t>
        </is>
      </c>
      <c r="I2668" t="inlineStr">
        <is>
          <t>Cancelled</t>
        </is>
      </c>
      <c r="J2668" t="n">
        <v>107</v>
      </c>
      <c r="K2668" t="n">
        <v>1</v>
      </c>
      <c r="L2668" s="7" t="n">
        <v>1259</v>
      </c>
      <c r="M2668" s="7" t="n">
        <v>0</v>
      </c>
    </row>
    <row r="2669">
      <c r="A2669" t="n">
        <v>510737</v>
      </c>
      <c r="B2669" s="6" t="n">
        <v>45971</v>
      </c>
      <c r="C2669" t="n">
        <v>16505</v>
      </c>
      <c r="D2669" t="inlineStr">
        <is>
          <t>Mumbai</t>
        </is>
      </c>
      <c r="E2669" t="inlineStr">
        <is>
          <t>West</t>
        </is>
      </c>
      <c r="F2669" t="inlineStr">
        <is>
          <t>Paid Search</t>
        </is>
      </c>
      <c r="G2669" t="inlineStr">
        <is>
          <t>Mobile App</t>
        </is>
      </c>
      <c r="H2669" t="inlineStr">
        <is>
          <t>UPI</t>
        </is>
      </c>
      <c r="I2669" t="inlineStr">
        <is>
          <t>Cancelled</t>
        </is>
      </c>
      <c r="J2669" t="n">
        <v>120</v>
      </c>
      <c r="K2669" t="n">
        <v>1</v>
      </c>
      <c r="L2669" s="7" t="n">
        <v>734</v>
      </c>
      <c r="M2669" s="7" t="n">
        <v>0</v>
      </c>
    </row>
    <row r="2670">
      <c r="A2670" t="n">
        <v>510738</v>
      </c>
      <c r="B2670" s="6" t="n">
        <v>45971</v>
      </c>
      <c r="C2670" t="n">
        <v>17230</v>
      </c>
      <c r="D2670" t="inlineStr">
        <is>
          <t>Indore</t>
        </is>
      </c>
      <c r="E2670" t="inlineStr">
        <is>
          <t>West</t>
        </is>
      </c>
      <c r="F2670" t="inlineStr">
        <is>
          <t>Referral</t>
        </is>
      </c>
      <c r="G2670" t="inlineStr">
        <is>
          <t>Mobile App</t>
        </is>
      </c>
      <c r="H2670" t="inlineStr">
        <is>
          <t>UPI</t>
        </is>
      </c>
      <c r="I2670" t="inlineStr">
        <is>
          <t>Delivered</t>
        </is>
      </c>
      <c r="J2670" t="n">
        <v>137</v>
      </c>
      <c r="K2670" t="n">
        <v>1</v>
      </c>
      <c r="L2670" s="7" t="n">
        <v>261</v>
      </c>
      <c r="M2670" s="7" t="n">
        <v>0</v>
      </c>
    </row>
    <row r="2671">
      <c r="A2671" t="n">
        <v>510739</v>
      </c>
      <c r="B2671" s="6" t="n">
        <v>45971</v>
      </c>
      <c r="C2671" t="n">
        <v>15999</v>
      </c>
      <c r="D2671" t="inlineStr">
        <is>
          <t>Pune</t>
        </is>
      </c>
      <c r="E2671" t="inlineStr">
        <is>
          <t>West</t>
        </is>
      </c>
      <c r="F2671" t="inlineStr">
        <is>
          <t>Organic Search</t>
        </is>
      </c>
      <c r="G2671" t="inlineStr">
        <is>
          <t>Desktop</t>
        </is>
      </c>
      <c r="H2671" t="inlineStr">
        <is>
          <t>UPI</t>
        </is>
      </c>
      <c r="I2671" t="inlineStr">
        <is>
          <t>Delivered</t>
        </is>
      </c>
      <c r="J2671" t="n">
        <v>138</v>
      </c>
      <c r="K2671" t="n">
        <v>1</v>
      </c>
      <c r="L2671" s="7" t="n">
        <v>419</v>
      </c>
      <c r="M2671" s="7" t="n">
        <v>20.95</v>
      </c>
    </row>
    <row r="2672">
      <c r="A2672" t="n">
        <v>510739</v>
      </c>
      <c r="B2672" s="6" t="n">
        <v>45971</v>
      </c>
      <c r="C2672" t="n">
        <v>15999</v>
      </c>
      <c r="D2672" t="inlineStr">
        <is>
          <t>Pune</t>
        </is>
      </c>
      <c r="E2672" t="inlineStr">
        <is>
          <t>West</t>
        </is>
      </c>
      <c r="F2672" t="inlineStr">
        <is>
          <t>Organic Search</t>
        </is>
      </c>
      <c r="G2672" t="inlineStr">
        <is>
          <t>Desktop</t>
        </is>
      </c>
      <c r="H2672" t="inlineStr">
        <is>
          <t>UPI</t>
        </is>
      </c>
      <c r="I2672" t="inlineStr">
        <is>
          <t>Delivered</t>
        </is>
      </c>
      <c r="J2672" t="n">
        <v>120</v>
      </c>
      <c r="K2672" t="n">
        <v>1</v>
      </c>
      <c r="L2672" s="7" t="n">
        <v>734</v>
      </c>
      <c r="M2672" s="7" t="n">
        <v>36.7</v>
      </c>
    </row>
    <row r="2673">
      <c r="A2673" t="n">
        <v>510740</v>
      </c>
      <c r="B2673" s="6" t="n">
        <v>45971</v>
      </c>
      <c r="C2673" t="n">
        <v>14927</v>
      </c>
      <c r="D2673" t="inlineStr">
        <is>
          <t>Delhi</t>
        </is>
      </c>
      <c r="E2673" t="inlineStr">
        <is>
          <t>North</t>
        </is>
      </c>
      <c r="F2673" t="inlineStr">
        <is>
          <t>Referral</t>
        </is>
      </c>
      <c r="G2673" t="inlineStr">
        <is>
          <t>Mobile App</t>
        </is>
      </c>
      <c r="H2673" t="inlineStr">
        <is>
          <t>UPI</t>
        </is>
      </c>
      <c r="I2673" t="inlineStr">
        <is>
          <t>Delivered</t>
        </is>
      </c>
      <c r="J2673" t="n">
        <v>124</v>
      </c>
      <c r="K2673" t="n">
        <v>1</v>
      </c>
      <c r="L2673" s="7" t="n">
        <v>1154</v>
      </c>
      <c r="M2673" s="7" t="n">
        <v>0</v>
      </c>
    </row>
    <row r="2674">
      <c r="A2674" t="n">
        <v>510740</v>
      </c>
      <c r="B2674" s="6" t="n">
        <v>45971</v>
      </c>
      <c r="C2674" t="n">
        <v>14927</v>
      </c>
      <c r="D2674" t="inlineStr">
        <is>
          <t>Delhi</t>
        </is>
      </c>
      <c r="E2674" t="inlineStr">
        <is>
          <t>North</t>
        </is>
      </c>
      <c r="F2674" t="inlineStr">
        <is>
          <t>Referral</t>
        </is>
      </c>
      <c r="G2674" t="inlineStr">
        <is>
          <t>Mobile App</t>
        </is>
      </c>
      <c r="H2674" t="inlineStr">
        <is>
          <t>UPI</t>
        </is>
      </c>
      <c r="I2674" t="inlineStr">
        <is>
          <t>Delivered</t>
        </is>
      </c>
      <c r="J2674" t="n">
        <v>116</v>
      </c>
      <c r="K2674" t="n">
        <v>2</v>
      </c>
      <c r="L2674" s="7" t="n">
        <v>2624</v>
      </c>
      <c r="M2674" s="7" t="n">
        <v>0</v>
      </c>
    </row>
    <row r="2675">
      <c r="A2675" t="n">
        <v>510741</v>
      </c>
      <c r="B2675" s="6" t="n">
        <v>45971</v>
      </c>
      <c r="C2675" t="n">
        <v>12227</v>
      </c>
      <c r="D2675" t="inlineStr">
        <is>
          <t>Hyderabad</t>
        </is>
      </c>
      <c r="E2675" t="inlineStr">
        <is>
          <t>South</t>
        </is>
      </c>
      <c r="F2675" t="inlineStr">
        <is>
          <t>Referral</t>
        </is>
      </c>
      <c r="G2675" t="inlineStr">
        <is>
          <t>Mobile App</t>
        </is>
      </c>
      <c r="H2675" t="inlineStr">
        <is>
          <t>UPI</t>
        </is>
      </c>
      <c r="I2675" t="inlineStr">
        <is>
          <t>Returned</t>
        </is>
      </c>
      <c r="J2675" t="n">
        <v>122</v>
      </c>
      <c r="K2675" t="n">
        <v>2</v>
      </c>
      <c r="L2675" s="7" t="n">
        <v>1994</v>
      </c>
      <c r="M2675" s="7" t="n">
        <v>0</v>
      </c>
    </row>
    <row r="2676">
      <c r="A2676" t="n">
        <v>510742</v>
      </c>
      <c r="B2676" s="6" t="n">
        <v>45971</v>
      </c>
      <c r="C2676" t="n">
        <v>17255</v>
      </c>
      <c r="D2676" t="inlineStr">
        <is>
          <t>Ahmedabad</t>
        </is>
      </c>
      <c r="E2676" t="inlineStr">
        <is>
          <t>West</t>
        </is>
      </c>
      <c r="F2676" t="inlineStr">
        <is>
          <t>Email</t>
        </is>
      </c>
      <c r="G2676" t="inlineStr">
        <is>
          <t>Mobile App</t>
        </is>
      </c>
      <c r="H2676" t="inlineStr">
        <is>
          <t>UPI</t>
        </is>
      </c>
      <c r="I2676" t="inlineStr">
        <is>
          <t>Delivered</t>
        </is>
      </c>
      <c r="J2676" t="n">
        <v>117</v>
      </c>
      <c r="K2676" t="n">
        <v>1</v>
      </c>
      <c r="L2676" s="7" t="n">
        <v>3149</v>
      </c>
      <c r="M2676" s="7" t="n">
        <v>157.45</v>
      </c>
    </row>
    <row r="2677">
      <c r="A2677" t="n">
        <v>510743</v>
      </c>
      <c r="B2677" s="6" t="n">
        <v>45971</v>
      </c>
      <c r="C2677" t="n">
        <v>12572</v>
      </c>
      <c r="D2677" t="inlineStr">
        <is>
          <t>Hyderabad</t>
        </is>
      </c>
      <c r="E2677" t="inlineStr">
        <is>
          <t>South</t>
        </is>
      </c>
      <c r="F2677" t="inlineStr">
        <is>
          <t>Referral</t>
        </is>
      </c>
      <c r="G2677" t="inlineStr">
        <is>
          <t>Mobile App</t>
        </is>
      </c>
      <c r="H2677" t="inlineStr">
        <is>
          <t>UPI</t>
        </is>
      </c>
      <c r="I2677" t="inlineStr">
        <is>
          <t>Delivered</t>
        </is>
      </c>
      <c r="J2677" t="n">
        <v>118</v>
      </c>
      <c r="K2677" t="n">
        <v>2</v>
      </c>
      <c r="L2677" s="7" t="n">
        <v>944</v>
      </c>
      <c r="M2677" s="7" t="n">
        <v>94.40000000000001</v>
      </c>
    </row>
    <row r="2678">
      <c r="A2678" t="n">
        <v>510744</v>
      </c>
      <c r="B2678" s="6" t="n">
        <v>45971</v>
      </c>
      <c r="C2678" t="n">
        <v>17269</v>
      </c>
      <c r="D2678" t="inlineStr">
        <is>
          <t>Bengaluru</t>
        </is>
      </c>
      <c r="E2678" t="inlineStr">
        <is>
          <t>South</t>
        </is>
      </c>
      <c r="F2678" t="inlineStr">
        <is>
          <t>Referral</t>
        </is>
      </c>
      <c r="G2678" t="inlineStr">
        <is>
          <t>Mobile App</t>
        </is>
      </c>
      <c r="H2678" t="inlineStr">
        <is>
          <t>Debit Card</t>
        </is>
      </c>
      <c r="I2678" t="inlineStr">
        <is>
          <t>Delivered</t>
        </is>
      </c>
      <c r="J2678" t="n">
        <v>122</v>
      </c>
      <c r="K2678" t="n">
        <v>2</v>
      </c>
      <c r="L2678" s="7" t="n">
        <v>1994</v>
      </c>
      <c r="M2678" s="7" t="n">
        <v>598.2</v>
      </c>
    </row>
    <row r="2679">
      <c r="A2679" t="n">
        <v>510745</v>
      </c>
      <c r="B2679" s="6" t="n">
        <v>45971</v>
      </c>
      <c r="C2679" t="n">
        <v>16444</v>
      </c>
      <c r="D2679" t="inlineStr">
        <is>
          <t>Gurugram</t>
        </is>
      </c>
      <c r="E2679" t="inlineStr">
        <is>
          <t>North</t>
        </is>
      </c>
      <c r="F2679" t="inlineStr">
        <is>
          <t>Organic Search</t>
        </is>
      </c>
      <c r="G2679" t="inlineStr">
        <is>
          <t>Mobile App</t>
        </is>
      </c>
      <c r="H2679" t="inlineStr">
        <is>
          <t>Cash on Delivery</t>
        </is>
      </c>
      <c r="I2679" t="inlineStr">
        <is>
          <t>Delivered</t>
        </is>
      </c>
      <c r="J2679" t="n">
        <v>138</v>
      </c>
      <c r="K2679" t="n">
        <v>1</v>
      </c>
      <c r="L2679" s="7" t="n">
        <v>419</v>
      </c>
      <c r="M2679" s="7" t="n">
        <v>0</v>
      </c>
    </row>
    <row r="2680">
      <c r="A2680" t="n">
        <v>510745</v>
      </c>
      <c r="B2680" s="6" t="n">
        <v>45971</v>
      </c>
      <c r="C2680" t="n">
        <v>16444</v>
      </c>
      <c r="D2680" t="inlineStr">
        <is>
          <t>Gurugram</t>
        </is>
      </c>
      <c r="E2680" t="inlineStr">
        <is>
          <t>North</t>
        </is>
      </c>
      <c r="F2680" t="inlineStr">
        <is>
          <t>Organic Search</t>
        </is>
      </c>
      <c r="G2680" t="inlineStr">
        <is>
          <t>Mobile App</t>
        </is>
      </c>
      <c r="H2680" t="inlineStr">
        <is>
          <t>Cash on Delivery</t>
        </is>
      </c>
      <c r="I2680" t="inlineStr">
        <is>
          <t>Delivered</t>
        </is>
      </c>
      <c r="J2680" t="n">
        <v>113</v>
      </c>
      <c r="K2680" t="n">
        <v>1</v>
      </c>
      <c r="L2680" s="7" t="n">
        <v>1364</v>
      </c>
      <c r="M2680" s="7" t="n">
        <v>0</v>
      </c>
    </row>
    <row r="2681">
      <c r="A2681" t="n">
        <v>510745</v>
      </c>
      <c r="B2681" s="6" t="n">
        <v>45971</v>
      </c>
      <c r="C2681" t="n">
        <v>16444</v>
      </c>
      <c r="D2681" t="inlineStr">
        <is>
          <t>Gurugram</t>
        </is>
      </c>
      <c r="E2681" t="inlineStr">
        <is>
          <t>North</t>
        </is>
      </c>
      <c r="F2681" t="inlineStr">
        <is>
          <t>Organic Search</t>
        </is>
      </c>
      <c r="G2681" t="inlineStr">
        <is>
          <t>Mobile App</t>
        </is>
      </c>
      <c r="H2681" t="inlineStr">
        <is>
          <t>Cash on Delivery</t>
        </is>
      </c>
      <c r="I2681" t="inlineStr">
        <is>
          <t>Delivered</t>
        </is>
      </c>
      <c r="J2681" t="n">
        <v>139</v>
      </c>
      <c r="K2681" t="n">
        <v>1</v>
      </c>
      <c r="L2681" s="7" t="n">
        <v>366</v>
      </c>
      <c r="M2681" s="7" t="n">
        <v>0</v>
      </c>
    </row>
    <row r="2682">
      <c r="A2682" t="n">
        <v>510746</v>
      </c>
      <c r="B2682" s="6" t="n">
        <v>45971</v>
      </c>
      <c r="C2682" t="n">
        <v>17088</v>
      </c>
      <c r="D2682" t="inlineStr">
        <is>
          <t>Kolkata</t>
        </is>
      </c>
      <c r="E2682" t="inlineStr">
        <is>
          <t>East</t>
        </is>
      </c>
      <c r="F2682" t="inlineStr">
        <is>
          <t>Organic Search</t>
        </is>
      </c>
      <c r="G2682" t="inlineStr">
        <is>
          <t>Mobile Web</t>
        </is>
      </c>
      <c r="H2682" t="inlineStr">
        <is>
          <t>Net Banking</t>
        </is>
      </c>
      <c r="I2682" t="inlineStr">
        <is>
          <t>Delivered</t>
        </is>
      </c>
      <c r="J2682" t="n">
        <v>108</v>
      </c>
      <c r="K2682" t="n">
        <v>1</v>
      </c>
      <c r="L2682" s="7" t="n">
        <v>419</v>
      </c>
      <c r="M2682" s="7" t="n">
        <v>0</v>
      </c>
    </row>
    <row r="2683">
      <c r="A2683" t="n">
        <v>510747</v>
      </c>
      <c r="B2683" s="6" t="n">
        <v>45971</v>
      </c>
      <c r="C2683" t="n">
        <v>13515</v>
      </c>
      <c r="D2683" t="inlineStr">
        <is>
          <t>Kolkata</t>
        </is>
      </c>
      <c r="E2683" t="inlineStr">
        <is>
          <t>East</t>
        </is>
      </c>
      <c r="F2683" t="inlineStr">
        <is>
          <t>Referral</t>
        </is>
      </c>
      <c r="G2683" t="inlineStr">
        <is>
          <t>Desktop</t>
        </is>
      </c>
      <c r="H2683" t="inlineStr">
        <is>
          <t>UPI</t>
        </is>
      </c>
      <c r="I2683" t="inlineStr">
        <is>
          <t>Delivered</t>
        </is>
      </c>
      <c r="J2683" t="n">
        <v>128</v>
      </c>
      <c r="K2683" t="n">
        <v>1</v>
      </c>
      <c r="L2683" s="7" t="n">
        <v>1049</v>
      </c>
      <c r="M2683" s="7" t="n">
        <v>0</v>
      </c>
    </row>
    <row r="2684">
      <c r="A2684" t="n">
        <v>510747</v>
      </c>
      <c r="B2684" s="6" t="n">
        <v>45971</v>
      </c>
      <c r="C2684" t="n">
        <v>13515</v>
      </c>
      <c r="D2684" t="inlineStr">
        <is>
          <t>Kolkata</t>
        </is>
      </c>
      <c r="E2684" t="inlineStr">
        <is>
          <t>East</t>
        </is>
      </c>
      <c r="F2684" t="inlineStr">
        <is>
          <t>Referral</t>
        </is>
      </c>
      <c r="G2684" t="inlineStr">
        <is>
          <t>Desktop</t>
        </is>
      </c>
      <c r="H2684" t="inlineStr">
        <is>
          <t>UPI</t>
        </is>
      </c>
      <c r="I2684" t="inlineStr">
        <is>
          <t>Delivered</t>
        </is>
      </c>
      <c r="J2684" t="n">
        <v>111</v>
      </c>
      <c r="K2684" t="n">
        <v>1</v>
      </c>
      <c r="L2684" s="7" t="n">
        <v>524</v>
      </c>
      <c r="M2684" s="7" t="n">
        <v>0</v>
      </c>
    </row>
    <row r="2685">
      <c r="A2685" t="n">
        <v>510748</v>
      </c>
      <c r="B2685" s="6" t="n">
        <v>45971</v>
      </c>
      <c r="C2685" t="n">
        <v>17237</v>
      </c>
      <c r="D2685" t="inlineStr">
        <is>
          <t>Lucknow</t>
        </is>
      </c>
      <c r="E2685" t="inlineStr">
        <is>
          <t>North</t>
        </is>
      </c>
      <c r="F2685" t="inlineStr">
        <is>
          <t>Organic Search</t>
        </is>
      </c>
      <c r="G2685" t="inlineStr">
        <is>
          <t>Mobile App</t>
        </is>
      </c>
      <c r="H2685" t="inlineStr">
        <is>
          <t>UPI</t>
        </is>
      </c>
      <c r="I2685" t="inlineStr">
        <is>
          <t>Delivered</t>
        </is>
      </c>
      <c r="J2685" t="n">
        <v>120</v>
      </c>
      <c r="K2685" t="n">
        <v>1</v>
      </c>
      <c r="L2685" s="7" t="n">
        <v>734</v>
      </c>
      <c r="M2685" s="7" t="n">
        <v>0</v>
      </c>
    </row>
    <row r="2686">
      <c r="A2686" t="n">
        <v>510749</v>
      </c>
      <c r="B2686" s="6" t="n">
        <v>45971</v>
      </c>
      <c r="C2686" t="n">
        <v>16422</v>
      </c>
      <c r="D2686" t="inlineStr">
        <is>
          <t>Gurugram</t>
        </is>
      </c>
      <c r="E2686" t="inlineStr">
        <is>
          <t>North</t>
        </is>
      </c>
      <c r="F2686" t="inlineStr">
        <is>
          <t>Paid Social</t>
        </is>
      </c>
      <c r="G2686" t="inlineStr">
        <is>
          <t>Mobile App</t>
        </is>
      </c>
      <c r="H2686" t="inlineStr">
        <is>
          <t>UPI</t>
        </is>
      </c>
      <c r="I2686" t="inlineStr">
        <is>
          <t>Delivered</t>
        </is>
      </c>
      <c r="J2686" t="n">
        <v>114</v>
      </c>
      <c r="K2686" t="n">
        <v>1</v>
      </c>
      <c r="L2686" s="7" t="n">
        <v>1259</v>
      </c>
      <c r="M2686" s="7" t="n">
        <v>0</v>
      </c>
    </row>
    <row r="2687">
      <c r="A2687" t="n">
        <v>510749</v>
      </c>
      <c r="B2687" s="6" t="n">
        <v>45971</v>
      </c>
      <c r="C2687" t="n">
        <v>16422</v>
      </c>
      <c r="D2687" t="inlineStr">
        <is>
          <t>Gurugram</t>
        </is>
      </c>
      <c r="E2687" t="inlineStr">
        <is>
          <t>North</t>
        </is>
      </c>
      <c r="F2687" t="inlineStr">
        <is>
          <t>Paid Social</t>
        </is>
      </c>
      <c r="G2687" t="inlineStr">
        <is>
          <t>Mobile App</t>
        </is>
      </c>
      <c r="H2687" t="inlineStr">
        <is>
          <t>UPI</t>
        </is>
      </c>
      <c r="I2687" t="inlineStr">
        <is>
          <t>Delivered</t>
        </is>
      </c>
      <c r="J2687" t="n">
        <v>112</v>
      </c>
      <c r="K2687" t="n">
        <v>1</v>
      </c>
      <c r="L2687" s="7" t="n">
        <v>1574</v>
      </c>
      <c r="M2687" s="7" t="n">
        <v>0</v>
      </c>
    </row>
    <row r="2688">
      <c r="A2688" t="n">
        <v>510749</v>
      </c>
      <c r="B2688" s="6" t="n">
        <v>45971</v>
      </c>
      <c r="C2688" t="n">
        <v>16422</v>
      </c>
      <c r="D2688" t="inlineStr">
        <is>
          <t>Gurugram</t>
        </is>
      </c>
      <c r="E2688" t="inlineStr">
        <is>
          <t>North</t>
        </is>
      </c>
      <c r="F2688" t="inlineStr">
        <is>
          <t>Paid Social</t>
        </is>
      </c>
      <c r="G2688" t="inlineStr">
        <is>
          <t>Mobile App</t>
        </is>
      </c>
      <c r="H2688" t="inlineStr">
        <is>
          <t>UPI</t>
        </is>
      </c>
      <c r="I2688" t="inlineStr">
        <is>
          <t>Delivered</t>
        </is>
      </c>
      <c r="J2688" t="n">
        <v>131</v>
      </c>
      <c r="K2688" t="n">
        <v>1</v>
      </c>
      <c r="L2688" s="7" t="n">
        <v>314</v>
      </c>
      <c r="M2688" s="7" t="n">
        <v>0</v>
      </c>
    </row>
    <row r="2689">
      <c r="A2689" t="n">
        <v>510750</v>
      </c>
      <c r="B2689" s="6" t="n">
        <v>45972</v>
      </c>
      <c r="C2689" t="n">
        <v>17085</v>
      </c>
      <c r="D2689" t="inlineStr">
        <is>
          <t>Pune</t>
        </is>
      </c>
      <c r="E2689" t="inlineStr">
        <is>
          <t>West</t>
        </is>
      </c>
      <c r="F2689" t="inlineStr">
        <is>
          <t>Paid Social</t>
        </is>
      </c>
      <c r="G2689" t="inlineStr">
        <is>
          <t>Mobile Web</t>
        </is>
      </c>
      <c r="H2689" t="inlineStr">
        <is>
          <t>UPI</t>
        </is>
      </c>
      <c r="I2689" t="inlineStr">
        <is>
          <t>Delivered</t>
        </is>
      </c>
      <c r="J2689" t="n">
        <v>137</v>
      </c>
      <c r="K2689" t="n">
        <v>1</v>
      </c>
      <c r="L2689" s="7" t="n">
        <v>261</v>
      </c>
      <c r="M2689" s="7" t="n">
        <v>39.15</v>
      </c>
    </row>
    <row r="2690">
      <c r="A2690" t="n">
        <v>510751</v>
      </c>
      <c r="B2690" s="6" t="n">
        <v>45972</v>
      </c>
      <c r="C2690" t="n">
        <v>14904</v>
      </c>
      <c r="D2690" t="inlineStr">
        <is>
          <t>Mumbai</t>
        </is>
      </c>
      <c r="E2690" t="inlineStr">
        <is>
          <t>West</t>
        </is>
      </c>
      <c r="F2690" t="inlineStr">
        <is>
          <t>Referral</t>
        </is>
      </c>
      <c r="G2690" t="inlineStr">
        <is>
          <t>Mobile App</t>
        </is>
      </c>
      <c r="H2690" t="inlineStr">
        <is>
          <t>UPI</t>
        </is>
      </c>
      <c r="I2690" t="inlineStr">
        <is>
          <t>Delivered</t>
        </is>
      </c>
      <c r="J2690" t="n">
        <v>112</v>
      </c>
      <c r="K2690" t="n">
        <v>1</v>
      </c>
      <c r="L2690" s="7" t="n">
        <v>1574</v>
      </c>
      <c r="M2690" s="7" t="n">
        <v>0</v>
      </c>
    </row>
    <row r="2691">
      <c r="A2691" t="n">
        <v>510752</v>
      </c>
      <c r="B2691" s="6" t="n">
        <v>45972</v>
      </c>
      <c r="C2691" t="n">
        <v>16778</v>
      </c>
      <c r="D2691" t="inlineStr">
        <is>
          <t>Ahmedabad</t>
        </is>
      </c>
      <c r="E2691" t="inlineStr">
        <is>
          <t>West</t>
        </is>
      </c>
      <c r="F2691" t="inlineStr">
        <is>
          <t>Organic Search</t>
        </is>
      </c>
      <c r="G2691" t="inlineStr">
        <is>
          <t>Mobile App</t>
        </is>
      </c>
      <c r="H2691" t="inlineStr">
        <is>
          <t>UPI</t>
        </is>
      </c>
      <c r="I2691" t="inlineStr">
        <is>
          <t>Delivered</t>
        </is>
      </c>
      <c r="J2691" t="n">
        <v>137</v>
      </c>
      <c r="K2691" t="n">
        <v>1</v>
      </c>
      <c r="L2691" s="7" t="n">
        <v>261</v>
      </c>
      <c r="M2691" s="7" t="n">
        <v>0</v>
      </c>
    </row>
    <row r="2692">
      <c r="A2692" t="n">
        <v>510753</v>
      </c>
      <c r="B2692" s="6" t="n">
        <v>45972</v>
      </c>
      <c r="C2692" t="n">
        <v>13180</v>
      </c>
      <c r="D2692" t="inlineStr">
        <is>
          <t>Mumbai</t>
        </is>
      </c>
      <c r="E2692" t="inlineStr">
        <is>
          <t>West</t>
        </is>
      </c>
      <c r="F2692" t="inlineStr">
        <is>
          <t>Email</t>
        </is>
      </c>
      <c r="G2692" t="inlineStr">
        <is>
          <t>Desktop</t>
        </is>
      </c>
      <c r="H2692" t="inlineStr">
        <is>
          <t>Debit Card</t>
        </is>
      </c>
      <c r="I2692" t="inlineStr">
        <is>
          <t>Delivered</t>
        </is>
      </c>
      <c r="J2692" t="n">
        <v>115</v>
      </c>
      <c r="K2692" t="n">
        <v>1</v>
      </c>
      <c r="L2692" s="7" t="n">
        <v>4199</v>
      </c>
      <c r="M2692" s="7" t="n">
        <v>0</v>
      </c>
    </row>
    <row r="2693">
      <c r="A2693" t="n">
        <v>510754</v>
      </c>
      <c r="B2693" s="6" t="n">
        <v>45972</v>
      </c>
      <c r="C2693" t="n">
        <v>14300</v>
      </c>
      <c r="D2693" t="inlineStr">
        <is>
          <t>Mumbai</t>
        </is>
      </c>
      <c r="E2693" t="inlineStr">
        <is>
          <t>West</t>
        </is>
      </c>
      <c r="F2693" t="inlineStr">
        <is>
          <t>Organic Search</t>
        </is>
      </c>
      <c r="G2693" t="inlineStr">
        <is>
          <t>Mobile App</t>
        </is>
      </c>
      <c r="H2693" t="inlineStr">
        <is>
          <t>UPI</t>
        </is>
      </c>
      <c r="I2693" t="inlineStr">
        <is>
          <t>Delivered</t>
        </is>
      </c>
      <c r="J2693" t="n">
        <v>131</v>
      </c>
      <c r="K2693" t="n">
        <v>1</v>
      </c>
      <c r="L2693" s="7" t="n">
        <v>314</v>
      </c>
      <c r="M2693" s="7" t="n">
        <v>0</v>
      </c>
    </row>
    <row r="2694">
      <c r="A2694" t="n">
        <v>510755</v>
      </c>
      <c r="B2694" s="6" t="n">
        <v>45972</v>
      </c>
      <c r="C2694" t="n">
        <v>17261</v>
      </c>
      <c r="D2694" t="inlineStr">
        <is>
          <t>Delhi</t>
        </is>
      </c>
      <c r="E2694" t="inlineStr">
        <is>
          <t>North</t>
        </is>
      </c>
      <c r="F2694" t="inlineStr">
        <is>
          <t>Affiliate</t>
        </is>
      </c>
      <c r="G2694" t="inlineStr">
        <is>
          <t>Mobile App</t>
        </is>
      </c>
      <c r="H2694" t="inlineStr">
        <is>
          <t>Credit Card</t>
        </is>
      </c>
      <c r="I2694" t="inlineStr">
        <is>
          <t>Delivered</t>
        </is>
      </c>
      <c r="J2694" t="n">
        <v>148</v>
      </c>
      <c r="K2694" t="n">
        <v>1</v>
      </c>
      <c r="L2694" s="7" t="n">
        <v>734</v>
      </c>
      <c r="M2694" s="7" t="n">
        <v>0</v>
      </c>
    </row>
    <row r="2695">
      <c r="A2695" t="n">
        <v>510756</v>
      </c>
      <c r="B2695" s="6" t="n">
        <v>45972</v>
      </c>
      <c r="C2695" t="n">
        <v>17148</v>
      </c>
      <c r="D2695" t="inlineStr">
        <is>
          <t>Delhi</t>
        </is>
      </c>
      <c r="E2695" t="inlineStr">
        <is>
          <t>North</t>
        </is>
      </c>
      <c r="F2695" t="inlineStr">
        <is>
          <t>Referral</t>
        </is>
      </c>
      <c r="G2695" t="inlineStr">
        <is>
          <t>Mobile Web</t>
        </is>
      </c>
      <c r="H2695" t="inlineStr">
        <is>
          <t>Net Banking</t>
        </is>
      </c>
      <c r="I2695" t="inlineStr">
        <is>
          <t>Delivered</t>
        </is>
      </c>
      <c r="J2695" t="n">
        <v>107</v>
      </c>
      <c r="K2695" t="n">
        <v>1</v>
      </c>
      <c r="L2695" s="7" t="n">
        <v>1259</v>
      </c>
      <c r="M2695" s="7" t="n">
        <v>0</v>
      </c>
    </row>
    <row r="2696">
      <c r="A2696" t="n">
        <v>510757</v>
      </c>
      <c r="B2696" s="6" t="n">
        <v>45972</v>
      </c>
      <c r="C2696" t="n">
        <v>14556</v>
      </c>
      <c r="D2696" t="inlineStr">
        <is>
          <t>Indore</t>
        </is>
      </c>
      <c r="E2696" t="inlineStr">
        <is>
          <t>West</t>
        </is>
      </c>
      <c r="F2696" t="inlineStr">
        <is>
          <t>Organic Search</t>
        </is>
      </c>
      <c r="G2696" t="inlineStr">
        <is>
          <t>Desktop</t>
        </is>
      </c>
      <c r="H2696" t="inlineStr">
        <is>
          <t>Debit Card</t>
        </is>
      </c>
      <c r="I2696" t="inlineStr">
        <is>
          <t>Delivered</t>
        </is>
      </c>
      <c r="J2696" t="n">
        <v>117</v>
      </c>
      <c r="K2696" t="n">
        <v>1</v>
      </c>
      <c r="L2696" s="7" t="n">
        <v>3149</v>
      </c>
      <c r="M2696" s="7" t="n">
        <v>0</v>
      </c>
    </row>
    <row r="2697">
      <c r="A2697" t="n">
        <v>510758</v>
      </c>
      <c r="B2697" s="6" t="n">
        <v>45972</v>
      </c>
      <c r="C2697" t="n">
        <v>16549</v>
      </c>
      <c r="D2697" t="inlineStr">
        <is>
          <t>Ahmedabad</t>
        </is>
      </c>
      <c r="E2697" t="inlineStr">
        <is>
          <t>West</t>
        </is>
      </c>
      <c r="F2697" t="inlineStr">
        <is>
          <t>Organic Search</t>
        </is>
      </c>
      <c r="G2697" t="inlineStr">
        <is>
          <t>Mobile App</t>
        </is>
      </c>
      <c r="H2697" t="inlineStr">
        <is>
          <t>UPI</t>
        </is>
      </c>
      <c r="I2697" t="inlineStr">
        <is>
          <t>Delivered</t>
        </is>
      </c>
      <c r="J2697" t="n">
        <v>131</v>
      </c>
      <c r="K2697" t="n">
        <v>1</v>
      </c>
      <c r="L2697" s="7" t="n">
        <v>314</v>
      </c>
      <c r="M2697" s="7" t="n">
        <v>0</v>
      </c>
    </row>
    <row r="2698">
      <c r="A2698" t="n">
        <v>510759</v>
      </c>
      <c r="B2698" s="6" t="n">
        <v>45972</v>
      </c>
      <c r="C2698" t="n">
        <v>17228</v>
      </c>
      <c r="D2698" t="inlineStr">
        <is>
          <t>Chennai</t>
        </is>
      </c>
      <c r="E2698" t="inlineStr">
        <is>
          <t>South</t>
        </is>
      </c>
      <c r="F2698" t="inlineStr">
        <is>
          <t>Paid Social</t>
        </is>
      </c>
      <c r="G2698" t="inlineStr">
        <is>
          <t>Desktop</t>
        </is>
      </c>
      <c r="H2698" t="inlineStr">
        <is>
          <t>UPI</t>
        </is>
      </c>
      <c r="I2698" t="inlineStr">
        <is>
          <t>Delivered</t>
        </is>
      </c>
      <c r="J2698" t="n">
        <v>114</v>
      </c>
      <c r="K2698" t="n">
        <v>1</v>
      </c>
      <c r="L2698" s="7" t="n">
        <v>1259</v>
      </c>
      <c r="M2698" s="7" t="n">
        <v>0</v>
      </c>
    </row>
    <row r="2699">
      <c r="A2699" t="n">
        <v>510760</v>
      </c>
      <c r="B2699" s="6" t="n">
        <v>45972</v>
      </c>
      <c r="C2699" t="n">
        <v>17239</v>
      </c>
      <c r="D2699" t="inlineStr">
        <is>
          <t>Mumbai</t>
        </is>
      </c>
      <c r="E2699" t="inlineStr">
        <is>
          <t>West</t>
        </is>
      </c>
      <c r="F2699" t="inlineStr">
        <is>
          <t>Paid Search</t>
        </is>
      </c>
      <c r="G2699" t="inlineStr">
        <is>
          <t>Mobile Web</t>
        </is>
      </c>
      <c r="H2699" t="inlineStr">
        <is>
          <t>Debit Card</t>
        </is>
      </c>
      <c r="I2699" t="inlineStr">
        <is>
          <t>Delivered</t>
        </is>
      </c>
      <c r="J2699" t="n">
        <v>103</v>
      </c>
      <c r="K2699" t="n">
        <v>1</v>
      </c>
      <c r="L2699" s="7" t="n">
        <v>2624</v>
      </c>
      <c r="M2699" s="7" t="n">
        <v>393.6</v>
      </c>
    </row>
    <row r="2700">
      <c r="A2700" t="n">
        <v>510761</v>
      </c>
      <c r="B2700" s="6" t="n">
        <v>45972</v>
      </c>
      <c r="C2700" t="n">
        <v>15580</v>
      </c>
      <c r="D2700" t="inlineStr">
        <is>
          <t>Kolkata</t>
        </is>
      </c>
      <c r="E2700" t="inlineStr">
        <is>
          <t>East</t>
        </is>
      </c>
      <c r="F2700" t="inlineStr">
        <is>
          <t>Paid Social</t>
        </is>
      </c>
      <c r="G2700" t="inlineStr">
        <is>
          <t>Mobile App</t>
        </is>
      </c>
      <c r="H2700" t="inlineStr">
        <is>
          <t>Cash on Delivery</t>
        </is>
      </c>
      <c r="I2700" t="inlineStr">
        <is>
          <t>Delivered</t>
        </is>
      </c>
      <c r="J2700" t="n">
        <v>118</v>
      </c>
      <c r="K2700" t="n">
        <v>1</v>
      </c>
      <c r="L2700" s="7" t="n">
        <v>944</v>
      </c>
      <c r="M2700" s="7" t="n">
        <v>0</v>
      </c>
    </row>
    <row r="2701">
      <c r="A2701" t="n">
        <v>510761</v>
      </c>
      <c r="B2701" s="6" t="n">
        <v>45972</v>
      </c>
      <c r="C2701" t="n">
        <v>15580</v>
      </c>
      <c r="D2701" t="inlineStr">
        <is>
          <t>Kolkata</t>
        </is>
      </c>
      <c r="E2701" t="inlineStr">
        <is>
          <t>East</t>
        </is>
      </c>
      <c r="F2701" t="inlineStr">
        <is>
          <t>Paid Social</t>
        </is>
      </c>
      <c r="G2701" t="inlineStr">
        <is>
          <t>Mobile App</t>
        </is>
      </c>
      <c r="H2701" t="inlineStr">
        <is>
          <t>Cash on Delivery</t>
        </is>
      </c>
      <c r="I2701" t="inlineStr">
        <is>
          <t>Delivered</t>
        </is>
      </c>
      <c r="J2701" t="n">
        <v>134</v>
      </c>
      <c r="K2701" t="n">
        <v>1</v>
      </c>
      <c r="L2701" s="7" t="n">
        <v>209</v>
      </c>
      <c r="M2701" s="7" t="n">
        <v>0</v>
      </c>
    </row>
    <row r="2702">
      <c r="A2702" t="n">
        <v>510762</v>
      </c>
      <c r="B2702" s="6" t="n">
        <v>45972</v>
      </c>
      <c r="C2702" t="n">
        <v>17285</v>
      </c>
      <c r="D2702" t="inlineStr">
        <is>
          <t>Gurugram</t>
        </is>
      </c>
      <c r="E2702" t="inlineStr">
        <is>
          <t>North</t>
        </is>
      </c>
      <c r="F2702" t="inlineStr">
        <is>
          <t>Organic Search</t>
        </is>
      </c>
      <c r="G2702" t="inlineStr">
        <is>
          <t>Mobile Web</t>
        </is>
      </c>
      <c r="H2702" t="inlineStr">
        <is>
          <t>Credit Card</t>
        </is>
      </c>
      <c r="I2702" t="inlineStr">
        <is>
          <t>Delivered</t>
        </is>
      </c>
      <c r="J2702" t="n">
        <v>116</v>
      </c>
      <c r="K2702" t="n">
        <v>1</v>
      </c>
      <c r="L2702" s="7" t="n">
        <v>2624</v>
      </c>
      <c r="M2702" s="7" t="n">
        <v>0</v>
      </c>
    </row>
    <row r="2703">
      <c r="A2703" t="n">
        <v>510763</v>
      </c>
      <c r="B2703" s="6" t="n">
        <v>45972</v>
      </c>
      <c r="C2703" t="n">
        <v>17253</v>
      </c>
      <c r="D2703" t="inlineStr">
        <is>
          <t>Delhi</t>
        </is>
      </c>
      <c r="E2703" t="inlineStr">
        <is>
          <t>North</t>
        </is>
      </c>
      <c r="F2703" t="inlineStr">
        <is>
          <t>Referral</t>
        </is>
      </c>
      <c r="G2703" t="inlineStr">
        <is>
          <t>Desktop</t>
        </is>
      </c>
      <c r="H2703" t="inlineStr">
        <is>
          <t>Cash on Delivery</t>
        </is>
      </c>
      <c r="I2703" t="inlineStr">
        <is>
          <t>Delivered</t>
        </is>
      </c>
      <c r="J2703" t="n">
        <v>125</v>
      </c>
      <c r="K2703" t="n">
        <v>1</v>
      </c>
      <c r="L2703" s="7" t="n">
        <v>1364</v>
      </c>
      <c r="M2703" s="7" t="n">
        <v>0</v>
      </c>
    </row>
    <row r="2704">
      <c r="A2704" t="n">
        <v>510763</v>
      </c>
      <c r="B2704" s="6" t="n">
        <v>45972</v>
      </c>
      <c r="C2704" t="n">
        <v>17253</v>
      </c>
      <c r="D2704" t="inlineStr">
        <is>
          <t>Delhi</t>
        </is>
      </c>
      <c r="E2704" t="inlineStr">
        <is>
          <t>North</t>
        </is>
      </c>
      <c r="F2704" t="inlineStr">
        <is>
          <t>Referral</t>
        </is>
      </c>
      <c r="G2704" t="inlineStr">
        <is>
          <t>Desktop</t>
        </is>
      </c>
      <c r="H2704" t="inlineStr">
        <is>
          <t>Cash on Delivery</t>
        </is>
      </c>
      <c r="I2704" t="inlineStr">
        <is>
          <t>Delivered</t>
        </is>
      </c>
      <c r="J2704" t="n">
        <v>130</v>
      </c>
      <c r="K2704" t="n">
        <v>1</v>
      </c>
      <c r="L2704" s="7" t="n">
        <v>734</v>
      </c>
      <c r="M2704" s="7" t="n">
        <v>0</v>
      </c>
    </row>
    <row r="2705">
      <c r="A2705" t="n">
        <v>510764</v>
      </c>
      <c r="B2705" s="6" t="n">
        <v>45972</v>
      </c>
      <c r="C2705" t="n">
        <v>16905</v>
      </c>
      <c r="D2705" t="inlineStr">
        <is>
          <t>Pune</t>
        </is>
      </c>
      <c r="E2705" t="inlineStr">
        <is>
          <t>West</t>
        </is>
      </c>
      <c r="F2705" t="inlineStr">
        <is>
          <t>Organic Search</t>
        </is>
      </c>
      <c r="G2705" t="inlineStr">
        <is>
          <t>Mobile App</t>
        </is>
      </c>
      <c r="H2705" t="inlineStr">
        <is>
          <t>UPI</t>
        </is>
      </c>
      <c r="I2705" t="inlineStr">
        <is>
          <t>Delivered</t>
        </is>
      </c>
      <c r="J2705" t="n">
        <v>110</v>
      </c>
      <c r="K2705" t="n">
        <v>1</v>
      </c>
      <c r="L2705" s="7" t="n">
        <v>839</v>
      </c>
      <c r="M2705" s="7" t="n">
        <v>0</v>
      </c>
    </row>
    <row r="2706">
      <c r="A2706" t="n">
        <v>510765</v>
      </c>
      <c r="B2706" s="6" t="n">
        <v>45972</v>
      </c>
      <c r="C2706" t="n">
        <v>17132</v>
      </c>
      <c r="D2706" t="inlineStr">
        <is>
          <t>Hyderabad</t>
        </is>
      </c>
      <c r="E2706" t="inlineStr">
        <is>
          <t>South</t>
        </is>
      </c>
      <c r="F2706" t="inlineStr">
        <is>
          <t>Paid Social</t>
        </is>
      </c>
      <c r="G2706" t="inlineStr">
        <is>
          <t>Mobile App</t>
        </is>
      </c>
      <c r="H2706" t="inlineStr">
        <is>
          <t>UPI</t>
        </is>
      </c>
      <c r="I2706" t="inlineStr">
        <is>
          <t>Delivered</t>
        </is>
      </c>
      <c r="J2706" t="n">
        <v>121</v>
      </c>
      <c r="K2706" t="n">
        <v>1</v>
      </c>
      <c r="L2706" s="7" t="n">
        <v>2939</v>
      </c>
      <c r="M2706" s="7" t="n">
        <v>0</v>
      </c>
    </row>
    <row r="2707">
      <c r="A2707" t="n">
        <v>510765</v>
      </c>
      <c r="B2707" s="6" t="n">
        <v>45972</v>
      </c>
      <c r="C2707" t="n">
        <v>17132</v>
      </c>
      <c r="D2707" t="inlineStr">
        <is>
          <t>Hyderabad</t>
        </is>
      </c>
      <c r="E2707" t="inlineStr">
        <is>
          <t>South</t>
        </is>
      </c>
      <c r="F2707" t="inlineStr">
        <is>
          <t>Paid Social</t>
        </is>
      </c>
      <c r="G2707" t="inlineStr">
        <is>
          <t>Mobile App</t>
        </is>
      </c>
      <c r="H2707" t="inlineStr">
        <is>
          <t>UPI</t>
        </is>
      </c>
      <c r="I2707" t="inlineStr">
        <is>
          <t>Delivered</t>
        </is>
      </c>
      <c r="J2707" t="n">
        <v>126</v>
      </c>
      <c r="K2707" t="n">
        <v>2</v>
      </c>
      <c r="L2707" s="7" t="n">
        <v>471</v>
      </c>
      <c r="M2707" s="7" t="n">
        <v>0</v>
      </c>
    </row>
    <row r="2708">
      <c r="A2708" t="n">
        <v>510766</v>
      </c>
      <c r="B2708" s="6" t="n">
        <v>45972</v>
      </c>
      <c r="C2708" t="n">
        <v>13133</v>
      </c>
      <c r="D2708" t="inlineStr">
        <is>
          <t>Mumbai</t>
        </is>
      </c>
      <c r="E2708" t="inlineStr">
        <is>
          <t>West</t>
        </is>
      </c>
      <c r="F2708" t="inlineStr">
        <is>
          <t>Paid Search</t>
        </is>
      </c>
      <c r="G2708" t="inlineStr">
        <is>
          <t>Desktop</t>
        </is>
      </c>
      <c r="H2708" t="inlineStr">
        <is>
          <t>Debit Card</t>
        </is>
      </c>
      <c r="I2708" t="inlineStr">
        <is>
          <t>Delivered</t>
        </is>
      </c>
      <c r="J2708" t="n">
        <v>124</v>
      </c>
      <c r="K2708" t="n">
        <v>1</v>
      </c>
      <c r="L2708" s="7" t="n">
        <v>1154</v>
      </c>
      <c r="M2708" s="7" t="n">
        <v>0</v>
      </c>
    </row>
    <row r="2709">
      <c r="A2709" t="n">
        <v>510767</v>
      </c>
      <c r="B2709" s="6" t="n">
        <v>45972</v>
      </c>
      <c r="C2709" t="n">
        <v>16773</v>
      </c>
      <c r="D2709" t="inlineStr">
        <is>
          <t>Bengaluru</t>
        </is>
      </c>
      <c r="E2709" t="inlineStr">
        <is>
          <t>South</t>
        </is>
      </c>
      <c r="F2709" t="inlineStr">
        <is>
          <t>Referral</t>
        </is>
      </c>
      <c r="G2709" t="inlineStr">
        <is>
          <t>Desktop</t>
        </is>
      </c>
      <c r="H2709" t="inlineStr">
        <is>
          <t>UPI</t>
        </is>
      </c>
      <c r="I2709" t="inlineStr">
        <is>
          <t>Delivered</t>
        </is>
      </c>
      <c r="J2709" t="n">
        <v>104</v>
      </c>
      <c r="K2709" t="n">
        <v>1</v>
      </c>
      <c r="L2709" s="7" t="n">
        <v>5249</v>
      </c>
      <c r="M2709" s="7" t="n">
        <v>0</v>
      </c>
    </row>
    <row r="2710">
      <c r="A2710" t="n">
        <v>510767</v>
      </c>
      <c r="B2710" s="6" t="n">
        <v>45972</v>
      </c>
      <c r="C2710" t="n">
        <v>16773</v>
      </c>
      <c r="D2710" t="inlineStr">
        <is>
          <t>Bengaluru</t>
        </is>
      </c>
      <c r="E2710" t="inlineStr">
        <is>
          <t>South</t>
        </is>
      </c>
      <c r="F2710" t="inlineStr">
        <is>
          <t>Referral</t>
        </is>
      </c>
      <c r="G2710" t="inlineStr">
        <is>
          <t>Desktop</t>
        </is>
      </c>
      <c r="H2710" t="inlineStr">
        <is>
          <t>UPI</t>
        </is>
      </c>
      <c r="I2710" t="inlineStr">
        <is>
          <t>Delivered</t>
        </is>
      </c>
      <c r="J2710" t="n">
        <v>116</v>
      </c>
      <c r="K2710" t="n">
        <v>2</v>
      </c>
      <c r="L2710" s="7" t="n">
        <v>2624</v>
      </c>
      <c r="M2710" s="7" t="n">
        <v>0</v>
      </c>
    </row>
    <row r="2711">
      <c r="A2711" t="n">
        <v>510768</v>
      </c>
      <c r="B2711" s="6" t="n">
        <v>45972</v>
      </c>
      <c r="C2711" t="n">
        <v>17283</v>
      </c>
      <c r="D2711" t="inlineStr">
        <is>
          <t>Mumbai</t>
        </is>
      </c>
      <c r="E2711" t="inlineStr">
        <is>
          <t>West</t>
        </is>
      </c>
      <c r="F2711" t="inlineStr">
        <is>
          <t>Organic Search</t>
        </is>
      </c>
      <c r="G2711" t="inlineStr">
        <is>
          <t>Mobile App</t>
        </is>
      </c>
      <c r="H2711" t="inlineStr">
        <is>
          <t>UPI</t>
        </is>
      </c>
      <c r="I2711" t="inlineStr">
        <is>
          <t>Delivered</t>
        </is>
      </c>
      <c r="J2711" t="n">
        <v>123</v>
      </c>
      <c r="K2711" t="n">
        <v>1</v>
      </c>
      <c r="L2711" s="7" t="n">
        <v>3464</v>
      </c>
      <c r="M2711" s="7" t="n">
        <v>519.6</v>
      </c>
    </row>
    <row r="2712">
      <c r="A2712" t="n">
        <v>510769</v>
      </c>
      <c r="B2712" s="6" t="n">
        <v>45972</v>
      </c>
      <c r="C2712" t="n">
        <v>17165</v>
      </c>
      <c r="D2712" t="inlineStr">
        <is>
          <t>Mumbai</t>
        </is>
      </c>
      <c r="E2712" t="inlineStr">
        <is>
          <t>West</t>
        </is>
      </c>
      <c r="F2712" t="inlineStr">
        <is>
          <t>Affiliate</t>
        </is>
      </c>
      <c r="G2712" t="inlineStr">
        <is>
          <t>Mobile App</t>
        </is>
      </c>
      <c r="H2712" t="inlineStr">
        <is>
          <t>Cash on Delivery</t>
        </is>
      </c>
      <c r="I2712" t="inlineStr">
        <is>
          <t>Delivered</t>
        </is>
      </c>
      <c r="J2712" t="n">
        <v>133</v>
      </c>
      <c r="K2712" t="n">
        <v>1</v>
      </c>
      <c r="L2712" s="7" t="n">
        <v>419</v>
      </c>
      <c r="M2712" s="7" t="n">
        <v>0</v>
      </c>
    </row>
    <row r="2713">
      <c r="A2713" t="n">
        <v>510769</v>
      </c>
      <c r="B2713" s="6" t="n">
        <v>45972</v>
      </c>
      <c r="C2713" t="n">
        <v>17165</v>
      </c>
      <c r="D2713" t="inlineStr">
        <is>
          <t>Mumbai</t>
        </is>
      </c>
      <c r="E2713" t="inlineStr">
        <is>
          <t>West</t>
        </is>
      </c>
      <c r="F2713" t="inlineStr">
        <is>
          <t>Affiliate</t>
        </is>
      </c>
      <c r="G2713" t="inlineStr">
        <is>
          <t>Mobile App</t>
        </is>
      </c>
      <c r="H2713" t="inlineStr">
        <is>
          <t>Cash on Delivery</t>
        </is>
      </c>
      <c r="I2713" t="inlineStr">
        <is>
          <t>Delivered</t>
        </is>
      </c>
      <c r="J2713" t="n">
        <v>116</v>
      </c>
      <c r="K2713" t="n">
        <v>2</v>
      </c>
      <c r="L2713" s="7" t="n">
        <v>2624</v>
      </c>
      <c r="M2713" s="7" t="n">
        <v>0</v>
      </c>
    </row>
    <row r="2714">
      <c r="A2714" t="n">
        <v>510769</v>
      </c>
      <c r="B2714" s="6" t="n">
        <v>45972</v>
      </c>
      <c r="C2714" t="n">
        <v>17165</v>
      </c>
      <c r="D2714" t="inlineStr">
        <is>
          <t>Mumbai</t>
        </is>
      </c>
      <c r="E2714" t="inlineStr">
        <is>
          <t>West</t>
        </is>
      </c>
      <c r="F2714" t="inlineStr">
        <is>
          <t>Affiliate</t>
        </is>
      </c>
      <c r="G2714" t="inlineStr">
        <is>
          <t>Mobile App</t>
        </is>
      </c>
      <c r="H2714" t="inlineStr">
        <is>
          <t>Cash on Delivery</t>
        </is>
      </c>
      <c r="I2714" t="inlineStr">
        <is>
          <t>Delivered</t>
        </is>
      </c>
      <c r="J2714" t="n">
        <v>120</v>
      </c>
      <c r="K2714" t="n">
        <v>1</v>
      </c>
      <c r="L2714" s="7" t="n">
        <v>734</v>
      </c>
      <c r="M2714" s="7" t="n">
        <v>0</v>
      </c>
    </row>
    <row r="2715">
      <c r="A2715" t="n">
        <v>510770</v>
      </c>
      <c r="B2715" s="6" t="n">
        <v>45972</v>
      </c>
      <c r="C2715" t="n">
        <v>17242</v>
      </c>
      <c r="D2715" t="inlineStr">
        <is>
          <t>Chandigarh</t>
        </is>
      </c>
      <c r="E2715" t="inlineStr">
        <is>
          <t>North</t>
        </is>
      </c>
      <c r="F2715" t="inlineStr">
        <is>
          <t>Paid Social</t>
        </is>
      </c>
      <c r="G2715" t="inlineStr">
        <is>
          <t>Desktop</t>
        </is>
      </c>
      <c r="H2715" t="inlineStr">
        <is>
          <t>Credit Card</t>
        </is>
      </c>
      <c r="I2715" t="inlineStr">
        <is>
          <t>Delivered</t>
        </is>
      </c>
      <c r="J2715" t="n">
        <v>137</v>
      </c>
      <c r="K2715" t="n">
        <v>1</v>
      </c>
      <c r="L2715" s="7" t="n">
        <v>261</v>
      </c>
      <c r="M2715" s="7" t="n">
        <v>0</v>
      </c>
    </row>
    <row r="2716">
      <c r="A2716" t="n">
        <v>510771</v>
      </c>
      <c r="B2716" s="6" t="n">
        <v>45972</v>
      </c>
      <c r="C2716" t="n">
        <v>16134</v>
      </c>
      <c r="D2716" t="inlineStr">
        <is>
          <t>Mumbai</t>
        </is>
      </c>
      <c r="E2716" t="inlineStr">
        <is>
          <t>West</t>
        </is>
      </c>
      <c r="F2716" t="inlineStr">
        <is>
          <t>Referral</t>
        </is>
      </c>
      <c r="G2716" t="inlineStr">
        <is>
          <t>Mobile Web</t>
        </is>
      </c>
      <c r="H2716" t="inlineStr">
        <is>
          <t>UPI</t>
        </is>
      </c>
      <c r="I2716" t="inlineStr">
        <is>
          <t>Delivered</t>
        </is>
      </c>
      <c r="J2716" t="n">
        <v>124</v>
      </c>
      <c r="K2716" t="n">
        <v>1</v>
      </c>
      <c r="L2716" s="7" t="n">
        <v>1154</v>
      </c>
      <c r="M2716" s="7" t="n">
        <v>0</v>
      </c>
    </row>
    <row r="2717">
      <c r="A2717" t="n">
        <v>510772</v>
      </c>
      <c r="B2717" s="6" t="n">
        <v>45973</v>
      </c>
      <c r="C2717" t="n">
        <v>16091</v>
      </c>
      <c r="D2717" t="inlineStr">
        <is>
          <t>Mumbai</t>
        </is>
      </c>
      <c r="E2717" t="inlineStr">
        <is>
          <t>West</t>
        </is>
      </c>
      <c r="F2717" t="inlineStr">
        <is>
          <t>Organic Search</t>
        </is>
      </c>
      <c r="G2717" t="inlineStr">
        <is>
          <t>Mobile App</t>
        </is>
      </c>
      <c r="H2717" t="inlineStr">
        <is>
          <t>UPI</t>
        </is>
      </c>
      <c r="I2717" t="inlineStr">
        <is>
          <t>Delivered</t>
        </is>
      </c>
      <c r="J2717" t="n">
        <v>106</v>
      </c>
      <c r="K2717" t="n">
        <v>1</v>
      </c>
      <c r="L2717" s="7" t="n">
        <v>1574</v>
      </c>
      <c r="M2717" s="7" t="n">
        <v>0</v>
      </c>
    </row>
    <row r="2718">
      <c r="A2718" t="n">
        <v>510773</v>
      </c>
      <c r="B2718" s="6" t="n">
        <v>45973</v>
      </c>
      <c r="C2718" t="n">
        <v>16473</v>
      </c>
      <c r="D2718" t="inlineStr">
        <is>
          <t>Mumbai</t>
        </is>
      </c>
      <c r="E2718" t="inlineStr">
        <is>
          <t>West</t>
        </is>
      </c>
      <c r="F2718" t="inlineStr">
        <is>
          <t>Referral</t>
        </is>
      </c>
      <c r="G2718" t="inlineStr">
        <is>
          <t>Mobile App</t>
        </is>
      </c>
      <c r="H2718" t="inlineStr">
        <is>
          <t>UPI</t>
        </is>
      </c>
      <c r="I2718" t="inlineStr">
        <is>
          <t>Delivered</t>
        </is>
      </c>
      <c r="J2718" t="n">
        <v>124</v>
      </c>
      <c r="K2718" t="n">
        <v>1</v>
      </c>
      <c r="L2718" s="7" t="n">
        <v>1154</v>
      </c>
      <c r="M2718" s="7" t="n">
        <v>0</v>
      </c>
    </row>
    <row r="2719">
      <c r="A2719" t="n">
        <v>510773</v>
      </c>
      <c r="B2719" s="6" t="n">
        <v>45973</v>
      </c>
      <c r="C2719" t="n">
        <v>16473</v>
      </c>
      <c r="D2719" t="inlineStr">
        <is>
          <t>Mumbai</t>
        </is>
      </c>
      <c r="E2719" t="inlineStr">
        <is>
          <t>West</t>
        </is>
      </c>
      <c r="F2719" t="inlineStr">
        <is>
          <t>Referral</t>
        </is>
      </c>
      <c r="G2719" t="inlineStr">
        <is>
          <t>Mobile App</t>
        </is>
      </c>
      <c r="H2719" t="inlineStr">
        <is>
          <t>UPI</t>
        </is>
      </c>
      <c r="I2719" t="inlineStr">
        <is>
          <t>Delivered</t>
        </is>
      </c>
      <c r="J2719" t="n">
        <v>118</v>
      </c>
      <c r="K2719" t="n">
        <v>1</v>
      </c>
      <c r="L2719" s="7" t="n">
        <v>944</v>
      </c>
      <c r="M2719" s="7" t="n">
        <v>0</v>
      </c>
    </row>
    <row r="2720">
      <c r="A2720" t="n">
        <v>510774</v>
      </c>
      <c r="B2720" s="6" t="n">
        <v>45973</v>
      </c>
      <c r="C2720" t="n">
        <v>15283</v>
      </c>
      <c r="D2720" t="inlineStr">
        <is>
          <t>Bengaluru</t>
        </is>
      </c>
      <c r="E2720" t="inlineStr">
        <is>
          <t>South</t>
        </is>
      </c>
      <c r="F2720" t="inlineStr">
        <is>
          <t>Referral</t>
        </is>
      </c>
      <c r="G2720" t="inlineStr">
        <is>
          <t>Desktop</t>
        </is>
      </c>
      <c r="H2720" t="inlineStr">
        <is>
          <t>Net Banking</t>
        </is>
      </c>
      <c r="I2720" t="inlineStr">
        <is>
          <t>Delivered</t>
        </is>
      </c>
      <c r="J2720" t="n">
        <v>112</v>
      </c>
      <c r="K2720" t="n">
        <v>3</v>
      </c>
      <c r="L2720" s="7" t="n">
        <v>1574</v>
      </c>
      <c r="M2720" s="7" t="n">
        <v>0</v>
      </c>
    </row>
    <row r="2721">
      <c r="A2721" t="n">
        <v>510775</v>
      </c>
      <c r="B2721" s="6" t="n">
        <v>45973</v>
      </c>
      <c r="C2721" t="n">
        <v>10992</v>
      </c>
      <c r="D2721" t="inlineStr">
        <is>
          <t>Gurugram</t>
        </is>
      </c>
      <c r="E2721" t="inlineStr">
        <is>
          <t>North</t>
        </is>
      </c>
      <c r="F2721" t="inlineStr">
        <is>
          <t>Paid Search</t>
        </is>
      </c>
      <c r="G2721" t="inlineStr">
        <is>
          <t>Desktop</t>
        </is>
      </c>
      <c r="H2721" t="inlineStr">
        <is>
          <t>Debit Card</t>
        </is>
      </c>
      <c r="I2721" t="inlineStr">
        <is>
          <t>Delivered</t>
        </is>
      </c>
      <c r="J2721" t="n">
        <v>107</v>
      </c>
      <c r="K2721" t="n">
        <v>1</v>
      </c>
      <c r="L2721" s="7" t="n">
        <v>1259</v>
      </c>
      <c r="M2721" s="7" t="n">
        <v>0</v>
      </c>
    </row>
    <row r="2722">
      <c r="A2722" t="n">
        <v>510775</v>
      </c>
      <c r="B2722" s="6" t="n">
        <v>45973</v>
      </c>
      <c r="C2722" t="n">
        <v>10992</v>
      </c>
      <c r="D2722" t="inlineStr">
        <is>
          <t>Gurugram</t>
        </is>
      </c>
      <c r="E2722" t="inlineStr">
        <is>
          <t>North</t>
        </is>
      </c>
      <c r="F2722" t="inlineStr">
        <is>
          <t>Paid Search</t>
        </is>
      </c>
      <c r="G2722" t="inlineStr">
        <is>
          <t>Desktop</t>
        </is>
      </c>
      <c r="H2722" t="inlineStr">
        <is>
          <t>Debit Card</t>
        </is>
      </c>
      <c r="I2722" t="inlineStr">
        <is>
          <t>Delivered</t>
        </is>
      </c>
      <c r="J2722" t="n">
        <v>105</v>
      </c>
      <c r="K2722" t="n">
        <v>1</v>
      </c>
      <c r="L2722" s="7" t="n">
        <v>2414</v>
      </c>
      <c r="M2722" s="7" t="n">
        <v>0</v>
      </c>
    </row>
    <row r="2723">
      <c r="A2723" t="n">
        <v>510776</v>
      </c>
      <c r="B2723" s="6" t="n">
        <v>45973</v>
      </c>
      <c r="C2723" t="n">
        <v>14695</v>
      </c>
      <c r="D2723" t="inlineStr">
        <is>
          <t>Lucknow</t>
        </is>
      </c>
      <c r="E2723" t="inlineStr">
        <is>
          <t>North</t>
        </is>
      </c>
      <c r="F2723" t="inlineStr">
        <is>
          <t>Referral</t>
        </is>
      </c>
      <c r="G2723" t="inlineStr">
        <is>
          <t>Mobile App</t>
        </is>
      </c>
      <c r="H2723" t="inlineStr">
        <is>
          <t>Cash on Delivery</t>
        </is>
      </c>
      <c r="I2723" t="inlineStr">
        <is>
          <t>Cancelled</t>
        </is>
      </c>
      <c r="J2723" t="n">
        <v>111</v>
      </c>
      <c r="K2723" t="n">
        <v>1</v>
      </c>
      <c r="L2723" s="7" t="n">
        <v>524</v>
      </c>
      <c r="M2723" s="7" t="n">
        <v>0</v>
      </c>
    </row>
    <row r="2724">
      <c r="A2724" t="n">
        <v>510776</v>
      </c>
      <c r="B2724" s="6" t="n">
        <v>45973</v>
      </c>
      <c r="C2724" t="n">
        <v>14695</v>
      </c>
      <c r="D2724" t="inlineStr">
        <is>
          <t>Lucknow</t>
        </is>
      </c>
      <c r="E2724" t="inlineStr">
        <is>
          <t>North</t>
        </is>
      </c>
      <c r="F2724" t="inlineStr">
        <is>
          <t>Referral</t>
        </is>
      </c>
      <c r="G2724" t="inlineStr">
        <is>
          <t>Mobile App</t>
        </is>
      </c>
      <c r="H2724" t="inlineStr">
        <is>
          <t>Cash on Delivery</t>
        </is>
      </c>
      <c r="I2724" t="inlineStr">
        <is>
          <t>Cancelled</t>
        </is>
      </c>
      <c r="J2724" t="n">
        <v>118</v>
      </c>
      <c r="K2724" t="n">
        <v>3</v>
      </c>
      <c r="L2724" s="7" t="n">
        <v>944</v>
      </c>
      <c r="M2724" s="7" t="n">
        <v>0</v>
      </c>
    </row>
    <row r="2725">
      <c r="A2725" t="n">
        <v>510777</v>
      </c>
      <c r="B2725" s="6" t="n">
        <v>45973</v>
      </c>
      <c r="C2725" t="n">
        <v>14753</v>
      </c>
      <c r="D2725" t="inlineStr">
        <is>
          <t>Lucknow</t>
        </is>
      </c>
      <c r="E2725" t="inlineStr">
        <is>
          <t>North</t>
        </is>
      </c>
      <c r="F2725" t="inlineStr">
        <is>
          <t>Paid Search</t>
        </is>
      </c>
      <c r="G2725" t="inlineStr">
        <is>
          <t>Mobile App</t>
        </is>
      </c>
      <c r="H2725" t="inlineStr">
        <is>
          <t>Cash on Delivery</t>
        </is>
      </c>
      <c r="I2725" t="inlineStr">
        <is>
          <t>Delivered</t>
        </is>
      </c>
      <c r="J2725" t="n">
        <v>130</v>
      </c>
      <c r="K2725" t="n">
        <v>1</v>
      </c>
      <c r="L2725" s="7" t="n">
        <v>734</v>
      </c>
      <c r="M2725" s="7" t="n">
        <v>0</v>
      </c>
    </row>
    <row r="2726">
      <c r="A2726" t="n">
        <v>510777</v>
      </c>
      <c r="B2726" s="6" t="n">
        <v>45973</v>
      </c>
      <c r="C2726" t="n">
        <v>14753</v>
      </c>
      <c r="D2726" t="inlineStr">
        <is>
          <t>Lucknow</t>
        </is>
      </c>
      <c r="E2726" t="inlineStr">
        <is>
          <t>North</t>
        </is>
      </c>
      <c r="F2726" t="inlineStr">
        <is>
          <t>Paid Search</t>
        </is>
      </c>
      <c r="G2726" t="inlineStr">
        <is>
          <t>Mobile App</t>
        </is>
      </c>
      <c r="H2726" t="inlineStr">
        <is>
          <t>Cash on Delivery</t>
        </is>
      </c>
      <c r="I2726" t="inlineStr">
        <is>
          <t>Delivered</t>
        </is>
      </c>
      <c r="J2726" t="n">
        <v>144</v>
      </c>
      <c r="K2726" t="n">
        <v>1</v>
      </c>
      <c r="L2726" s="7" t="n">
        <v>3149</v>
      </c>
      <c r="M2726" s="7" t="n">
        <v>0</v>
      </c>
    </row>
    <row r="2727">
      <c r="A2727" t="n">
        <v>510778</v>
      </c>
      <c r="B2727" s="6" t="n">
        <v>45973</v>
      </c>
      <c r="C2727" t="n">
        <v>17265</v>
      </c>
      <c r="D2727" t="inlineStr">
        <is>
          <t>Hyderabad</t>
        </is>
      </c>
      <c r="E2727" t="inlineStr">
        <is>
          <t>South</t>
        </is>
      </c>
      <c r="F2727" t="inlineStr">
        <is>
          <t>Paid Search</t>
        </is>
      </c>
      <c r="G2727" t="inlineStr">
        <is>
          <t>Mobile App</t>
        </is>
      </c>
      <c r="H2727" t="inlineStr">
        <is>
          <t>UPI</t>
        </is>
      </c>
      <c r="I2727" t="inlineStr">
        <is>
          <t>Delivered</t>
        </is>
      </c>
      <c r="J2727" t="n">
        <v>120</v>
      </c>
      <c r="K2727" t="n">
        <v>2</v>
      </c>
      <c r="L2727" s="7" t="n">
        <v>734</v>
      </c>
      <c r="M2727" s="7" t="n">
        <v>0</v>
      </c>
    </row>
    <row r="2728">
      <c r="A2728" t="n">
        <v>510778</v>
      </c>
      <c r="B2728" s="6" t="n">
        <v>45973</v>
      </c>
      <c r="C2728" t="n">
        <v>17265</v>
      </c>
      <c r="D2728" t="inlineStr">
        <is>
          <t>Hyderabad</t>
        </is>
      </c>
      <c r="E2728" t="inlineStr">
        <is>
          <t>South</t>
        </is>
      </c>
      <c r="F2728" t="inlineStr">
        <is>
          <t>Paid Search</t>
        </is>
      </c>
      <c r="G2728" t="inlineStr">
        <is>
          <t>Mobile App</t>
        </is>
      </c>
      <c r="H2728" t="inlineStr">
        <is>
          <t>UPI</t>
        </is>
      </c>
      <c r="I2728" t="inlineStr">
        <is>
          <t>Delivered</t>
        </is>
      </c>
      <c r="J2728" t="n">
        <v>142</v>
      </c>
      <c r="K2728" t="n">
        <v>2</v>
      </c>
      <c r="L2728" s="7" t="n">
        <v>839</v>
      </c>
      <c r="M2728" s="7" t="n">
        <v>0</v>
      </c>
    </row>
    <row r="2729">
      <c r="A2729" t="n">
        <v>510779</v>
      </c>
      <c r="B2729" s="6" t="n">
        <v>45973</v>
      </c>
      <c r="C2729" t="n">
        <v>12731</v>
      </c>
      <c r="D2729" t="inlineStr">
        <is>
          <t>Delhi</t>
        </is>
      </c>
      <c r="E2729" t="inlineStr">
        <is>
          <t>North</t>
        </is>
      </c>
      <c r="F2729" t="inlineStr">
        <is>
          <t>Referral</t>
        </is>
      </c>
      <c r="G2729" t="inlineStr">
        <is>
          <t>Mobile App</t>
        </is>
      </c>
      <c r="H2729" t="inlineStr">
        <is>
          <t>Cash on Delivery</t>
        </is>
      </c>
      <c r="I2729" t="inlineStr">
        <is>
          <t>Returned</t>
        </is>
      </c>
      <c r="J2729" t="n">
        <v>129</v>
      </c>
      <c r="K2729" t="n">
        <v>1</v>
      </c>
      <c r="L2729" s="7" t="n">
        <v>576</v>
      </c>
      <c r="M2729" s="7" t="n">
        <v>28.8</v>
      </c>
    </row>
    <row r="2730">
      <c r="A2730" t="n">
        <v>510780</v>
      </c>
      <c r="B2730" s="6" t="n">
        <v>45973</v>
      </c>
      <c r="C2730" t="n">
        <v>15049</v>
      </c>
      <c r="D2730" t="inlineStr">
        <is>
          <t>Chandigarh</t>
        </is>
      </c>
      <c r="E2730" t="inlineStr">
        <is>
          <t>North</t>
        </is>
      </c>
      <c r="F2730" t="inlineStr">
        <is>
          <t>Organic Search</t>
        </is>
      </c>
      <c r="G2730" t="inlineStr">
        <is>
          <t>Mobile App</t>
        </is>
      </c>
      <c r="H2730" t="inlineStr">
        <is>
          <t>UPI</t>
        </is>
      </c>
      <c r="I2730" t="inlineStr">
        <is>
          <t>Delivered</t>
        </is>
      </c>
      <c r="J2730" t="n">
        <v>107</v>
      </c>
      <c r="K2730" t="n">
        <v>2</v>
      </c>
      <c r="L2730" s="7" t="n">
        <v>1259</v>
      </c>
      <c r="M2730" s="7" t="n">
        <v>0</v>
      </c>
    </row>
    <row r="2731">
      <c r="A2731" t="n">
        <v>510780</v>
      </c>
      <c r="B2731" s="6" t="n">
        <v>45973</v>
      </c>
      <c r="C2731" t="n">
        <v>15049</v>
      </c>
      <c r="D2731" t="inlineStr">
        <is>
          <t>Chandigarh</t>
        </is>
      </c>
      <c r="E2731" t="inlineStr">
        <is>
          <t>North</t>
        </is>
      </c>
      <c r="F2731" t="inlineStr">
        <is>
          <t>Organic Search</t>
        </is>
      </c>
      <c r="G2731" t="inlineStr">
        <is>
          <t>Mobile App</t>
        </is>
      </c>
      <c r="H2731" t="inlineStr">
        <is>
          <t>UPI</t>
        </is>
      </c>
      <c r="I2731" t="inlineStr">
        <is>
          <t>Delivered</t>
        </is>
      </c>
      <c r="J2731" t="n">
        <v>131</v>
      </c>
      <c r="K2731" t="n">
        <v>1</v>
      </c>
      <c r="L2731" s="7" t="n">
        <v>314</v>
      </c>
      <c r="M2731" s="7" t="n">
        <v>0</v>
      </c>
    </row>
    <row r="2732">
      <c r="A2732" t="n">
        <v>510781</v>
      </c>
      <c r="B2732" s="6" t="n">
        <v>45973</v>
      </c>
      <c r="C2732" t="n">
        <v>16011</v>
      </c>
      <c r="D2732" t="inlineStr">
        <is>
          <t>Delhi</t>
        </is>
      </c>
      <c r="E2732" t="inlineStr">
        <is>
          <t>North</t>
        </is>
      </c>
      <c r="F2732" t="inlineStr">
        <is>
          <t>Email</t>
        </is>
      </c>
      <c r="G2732" t="inlineStr">
        <is>
          <t>Mobile Web</t>
        </is>
      </c>
      <c r="H2732" t="inlineStr">
        <is>
          <t>Credit Card</t>
        </is>
      </c>
      <c r="I2732" t="inlineStr">
        <is>
          <t>Cancelled</t>
        </is>
      </c>
      <c r="J2732" t="n">
        <v>137</v>
      </c>
      <c r="K2732" t="n">
        <v>1</v>
      </c>
      <c r="L2732" s="7" t="n">
        <v>261</v>
      </c>
      <c r="M2732" s="7" t="n">
        <v>0</v>
      </c>
    </row>
    <row r="2733">
      <c r="A2733" t="n">
        <v>510781</v>
      </c>
      <c r="B2733" s="6" t="n">
        <v>45973</v>
      </c>
      <c r="C2733" t="n">
        <v>16011</v>
      </c>
      <c r="D2733" t="inlineStr">
        <is>
          <t>Delhi</t>
        </is>
      </c>
      <c r="E2733" t="inlineStr">
        <is>
          <t>North</t>
        </is>
      </c>
      <c r="F2733" t="inlineStr">
        <is>
          <t>Email</t>
        </is>
      </c>
      <c r="G2733" t="inlineStr">
        <is>
          <t>Mobile Web</t>
        </is>
      </c>
      <c r="H2733" t="inlineStr">
        <is>
          <t>Credit Card</t>
        </is>
      </c>
      <c r="I2733" t="inlineStr">
        <is>
          <t>Cancelled</t>
        </is>
      </c>
      <c r="J2733" t="n">
        <v>120</v>
      </c>
      <c r="K2733" t="n">
        <v>1</v>
      </c>
      <c r="L2733" s="7" t="n">
        <v>734</v>
      </c>
      <c r="M2733" s="7" t="n">
        <v>0</v>
      </c>
    </row>
    <row r="2734">
      <c r="A2734" t="n">
        <v>510782</v>
      </c>
      <c r="B2734" s="6" t="n">
        <v>45973</v>
      </c>
      <c r="C2734" t="n">
        <v>17268</v>
      </c>
      <c r="D2734" t="inlineStr">
        <is>
          <t>Delhi</t>
        </is>
      </c>
      <c r="E2734" t="inlineStr">
        <is>
          <t>North</t>
        </is>
      </c>
      <c r="F2734" t="inlineStr">
        <is>
          <t>Paid Social</t>
        </is>
      </c>
      <c r="G2734" t="inlineStr">
        <is>
          <t>Mobile Web</t>
        </is>
      </c>
      <c r="H2734" t="inlineStr">
        <is>
          <t>Credit Card</t>
        </is>
      </c>
      <c r="I2734" t="inlineStr">
        <is>
          <t>Returned</t>
        </is>
      </c>
      <c r="J2734" t="n">
        <v>110</v>
      </c>
      <c r="K2734" t="n">
        <v>1</v>
      </c>
      <c r="L2734" s="7" t="n">
        <v>839</v>
      </c>
      <c r="M2734" s="7" t="n">
        <v>0</v>
      </c>
    </row>
    <row r="2735">
      <c r="A2735" t="n">
        <v>510782</v>
      </c>
      <c r="B2735" s="6" t="n">
        <v>45973</v>
      </c>
      <c r="C2735" t="n">
        <v>17268</v>
      </c>
      <c r="D2735" t="inlineStr">
        <is>
          <t>Delhi</t>
        </is>
      </c>
      <c r="E2735" t="inlineStr">
        <is>
          <t>North</t>
        </is>
      </c>
      <c r="F2735" t="inlineStr">
        <is>
          <t>Paid Social</t>
        </is>
      </c>
      <c r="G2735" t="inlineStr">
        <is>
          <t>Mobile Web</t>
        </is>
      </c>
      <c r="H2735" t="inlineStr">
        <is>
          <t>Credit Card</t>
        </is>
      </c>
      <c r="I2735" t="inlineStr">
        <is>
          <t>Returned</t>
        </is>
      </c>
      <c r="J2735" t="n">
        <v>109</v>
      </c>
      <c r="K2735" t="n">
        <v>1</v>
      </c>
      <c r="L2735" s="7" t="n">
        <v>4199</v>
      </c>
      <c r="M2735" s="7" t="n">
        <v>0</v>
      </c>
    </row>
    <row r="2736">
      <c r="A2736" t="n">
        <v>510782</v>
      </c>
      <c r="B2736" s="6" t="n">
        <v>45973</v>
      </c>
      <c r="C2736" t="n">
        <v>17268</v>
      </c>
      <c r="D2736" t="inlineStr">
        <is>
          <t>Delhi</t>
        </is>
      </c>
      <c r="E2736" t="inlineStr">
        <is>
          <t>North</t>
        </is>
      </c>
      <c r="F2736" t="inlineStr">
        <is>
          <t>Paid Social</t>
        </is>
      </c>
      <c r="G2736" t="inlineStr">
        <is>
          <t>Mobile Web</t>
        </is>
      </c>
      <c r="H2736" t="inlineStr">
        <is>
          <t>Credit Card</t>
        </is>
      </c>
      <c r="I2736" t="inlineStr">
        <is>
          <t>Returned</t>
        </is>
      </c>
      <c r="J2736" t="n">
        <v>136</v>
      </c>
      <c r="K2736" t="n">
        <v>1</v>
      </c>
      <c r="L2736" s="7" t="n">
        <v>944</v>
      </c>
      <c r="M2736" s="7" t="n">
        <v>0</v>
      </c>
    </row>
    <row r="2737">
      <c r="A2737" t="n">
        <v>510783</v>
      </c>
      <c r="B2737" s="6" t="n">
        <v>45973</v>
      </c>
      <c r="C2737" t="n">
        <v>17223</v>
      </c>
      <c r="D2737" t="inlineStr">
        <is>
          <t>Kolkata</t>
        </is>
      </c>
      <c r="E2737" t="inlineStr">
        <is>
          <t>East</t>
        </is>
      </c>
      <c r="F2737" t="inlineStr">
        <is>
          <t>Paid Search</t>
        </is>
      </c>
      <c r="G2737" t="inlineStr">
        <is>
          <t>Mobile App</t>
        </is>
      </c>
      <c r="H2737" t="inlineStr">
        <is>
          <t>Credit Card</t>
        </is>
      </c>
      <c r="I2737" t="inlineStr">
        <is>
          <t>Delivered</t>
        </is>
      </c>
      <c r="J2737" t="n">
        <v>133</v>
      </c>
      <c r="K2737" t="n">
        <v>1</v>
      </c>
      <c r="L2737" s="7" t="n">
        <v>419</v>
      </c>
      <c r="M2737" s="7" t="n">
        <v>0</v>
      </c>
    </row>
    <row r="2738">
      <c r="A2738" t="n">
        <v>510783</v>
      </c>
      <c r="B2738" s="6" t="n">
        <v>45973</v>
      </c>
      <c r="C2738" t="n">
        <v>17223</v>
      </c>
      <c r="D2738" t="inlineStr">
        <is>
          <t>Kolkata</t>
        </is>
      </c>
      <c r="E2738" t="inlineStr">
        <is>
          <t>East</t>
        </is>
      </c>
      <c r="F2738" t="inlineStr">
        <is>
          <t>Paid Search</t>
        </is>
      </c>
      <c r="G2738" t="inlineStr">
        <is>
          <t>Mobile App</t>
        </is>
      </c>
      <c r="H2738" t="inlineStr">
        <is>
          <t>Credit Card</t>
        </is>
      </c>
      <c r="I2738" t="inlineStr">
        <is>
          <t>Delivered</t>
        </is>
      </c>
      <c r="J2738" t="n">
        <v>136</v>
      </c>
      <c r="K2738" t="n">
        <v>2</v>
      </c>
      <c r="L2738" s="7" t="n">
        <v>944</v>
      </c>
      <c r="M2738" s="7" t="n">
        <v>0</v>
      </c>
    </row>
    <row r="2739">
      <c r="A2739" t="n">
        <v>510784</v>
      </c>
      <c r="B2739" s="6" t="n">
        <v>45973</v>
      </c>
      <c r="C2739" t="n">
        <v>13842</v>
      </c>
      <c r="D2739" t="inlineStr">
        <is>
          <t>Bengaluru</t>
        </is>
      </c>
      <c r="E2739" t="inlineStr">
        <is>
          <t>South</t>
        </is>
      </c>
      <c r="F2739" t="inlineStr">
        <is>
          <t>Email</t>
        </is>
      </c>
      <c r="G2739" t="inlineStr">
        <is>
          <t>Mobile App</t>
        </is>
      </c>
      <c r="H2739" t="inlineStr">
        <is>
          <t>Credit Card</t>
        </is>
      </c>
      <c r="I2739" t="inlineStr">
        <is>
          <t>Returned</t>
        </is>
      </c>
      <c r="J2739" t="n">
        <v>126</v>
      </c>
      <c r="K2739" t="n">
        <v>1</v>
      </c>
      <c r="L2739" s="7" t="n">
        <v>471</v>
      </c>
      <c r="M2739" s="7" t="n">
        <v>0</v>
      </c>
    </row>
    <row r="2740">
      <c r="A2740" t="n">
        <v>510785</v>
      </c>
      <c r="B2740" s="6" t="n">
        <v>45973</v>
      </c>
      <c r="C2740" t="n">
        <v>16764</v>
      </c>
      <c r="D2740" t="inlineStr">
        <is>
          <t>Ahmedabad</t>
        </is>
      </c>
      <c r="E2740" t="inlineStr">
        <is>
          <t>West</t>
        </is>
      </c>
      <c r="F2740" t="inlineStr">
        <is>
          <t>Paid Social</t>
        </is>
      </c>
      <c r="G2740" t="inlineStr">
        <is>
          <t>Desktop</t>
        </is>
      </c>
      <c r="H2740" t="inlineStr">
        <is>
          <t>UPI</t>
        </is>
      </c>
      <c r="I2740" t="inlineStr">
        <is>
          <t>Delivered</t>
        </is>
      </c>
      <c r="J2740" t="n">
        <v>145</v>
      </c>
      <c r="K2740" t="n">
        <v>1</v>
      </c>
      <c r="L2740" s="7" t="n">
        <v>629</v>
      </c>
      <c r="M2740" s="7" t="n">
        <v>0</v>
      </c>
    </row>
    <row r="2741">
      <c r="A2741" t="n">
        <v>510786</v>
      </c>
      <c r="B2741" s="6" t="n">
        <v>45973</v>
      </c>
      <c r="C2741" t="n">
        <v>13778</v>
      </c>
      <c r="D2741" t="inlineStr">
        <is>
          <t>Hyderabad</t>
        </is>
      </c>
      <c r="E2741" t="inlineStr">
        <is>
          <t>South</t>
        </is>
      </c>
      <c r="F2741" t="inlineStr">
        <is>
          <t>Organic Search</t>
        </is>
      </c>
      <c r="G2741" t="inlineStr">
        <is>
          <t>Mobile App</t>
        </is>
      </c>
      <c r="H2741" t="inlineStr">
        <is>
          <t>Cash on Delivery</t>
        </is>
      </c>
      <c r="I2741" t="inlineStr">
        <is>
          <t>Delivered</t>
        </is>
      </c>
      <c r="J2741" t="n">
        <v>126</v>
      </c>
      <c r="K2741" t="n">
        <v>1</v>
      </c>
      <c r="L2741" s="7" t="n">
        <v>471</v>
      </c>
      <c r="M2741" s="7" t="n">
        <v>0</v>
      </c>
    </row>
    <row r="2742">
      <c r="A2742" t="n">
        <v>510787</v>
      </c>
      <c r="B2742" s="6" t="n">
        <v>45973</v>
      </c>
      <c r="C2742" t="n">
        <v>17284</v>
      </c>
      <c r="D2742" t="inlineStr">
        <is>
          <t>Lucknow</t>
        </is>
      </c>
      <c r="E2742" t="inlineStr">
        <is>
          <t>North</t>
        </is>
      </c>
      <c r="F2742" t="inlineStr">
        <is>
          <t>Paid Search</t>
        </is>
      </c>
      <c r="G2742" t="inlineStr">
        <is>
          <t>Mobile App</t>
        </is>
      </c>
      <c r="H2742" t="inlineStr">
        <is>
          <t>Cash on Delivery</t>
        </is>
      </c>
      <c r="I2742" t="inlineStr">
        <is>
          <t>Delivered</t>
        </is>
      </c>
      <c r="J2742" t="n">
        <v>104</v>
      </c>
      <c r="K2742" t="n">
        <v>1</v>
      </c>
      <c r="L2742" s="7" t="n">
        <v>5249</v>
      </c>
      <c r="M2742" s="7" t="n">
        <v>0</v>
      </c>
    </row>
    <row r="2743">
      <c r="A2743" t="n">
        <v>510787</v>
      </c>
      <c r="B2743" s="6" t="n">
        <v>45973</v>
      </c>
      <c r="C2743" t="n">
        <v>17284</v>
      </c>
      <c r="D2743" t="inlineStr">
        <is>
          <t>Lucknow</t>
        </is>
      </c>
      <c r="E2743" t="inlineStr">
        <is>
          <t>North</t>
        </is>
      </c>
      <c r="F2743" t="inlineStr">
        <is>
          <t>Paid Search</t>
        </is>
      </c>
      <c r="G2743" t="inlineStr">
        <is>
          <t>Mobile App</t>
        </is>
      </c>
      <c r="H2743" t="inlineStr">
        <is>
          <t>Cash on Delivery</t>
        </is>
      </c>
      <c r="I2743" t="inlineStr">
        <is>
          <t>Delivered</t>
        </is>
      </c>
      <c r="J2743" t="n">
        <v>111</v>
      </c>
      <c r="K2743" t="n">
        <v>1</v>
      </c>
      <c r="L2743" s="7" t="n">
        <v>524</v>
      </c>
      <c r="M2743" s="7" t="n">
        <v>0</v>
      </c>
    </row>
    <row r="2744">
      <c r="A2744" t="n">
        <v>510788</v>
      </c>
      <c r="B2744" s="6" t="n">
        <v>45973</v>
      </c>
      <c r="C2744" t="n">
        <v>17241</v>
      </c>
      <c r="D2744" t="inlineStr">
        <is>
          <t>Noida</t>
        </is>
      </c>
      <c r="E2744" t="inlineStr">
        <is>
          <t>North</t>
        </is>
      </c>
      <c r="F2744" t="inlineStr">
        <is>
          <t>Email</t>
        </is>
      </c>
      <c r="G2744" t="inlineStr">
        <is>
          <t>Desktop</t>
        </is>
      </c>
      <c r="H2744" t="inlineStr">
        <is>
          <t>Debit Card</t>
        </is>
      </c>
      <c r="I2744" t="inlineStr">
        <is>
          <t>Returned</t>
        </is>
      </c>
      <c r="J2744" t="n">
        <v>116</v>
      </c>
      <c r="K2744" t="n">
        <v>1</v>
      </c>
      <c r="L2744" s="7" t="n">
        <v>2624</v>
      </c>
      <c r="M2744" s="7" t="n">
        <v>393.6</v>
      </c>
    </row>
    <row r="2745">
      <c r="A2745" t="n">
        <v>510789</v>
      </c>
      <c r="B2745" s="6" t="n">
        <v>45973</v>
      </c>
      <c r="C2745" t="n">
        <v>17199</v>
      </c>
      <c r="D2745" t="inlineStr">
        <is>
          <t>Delhi</t>
        </is>
      </c>
      <c r="E2745" t="inlineStr">
        <is>
          <t>North</t>
        </is>
      </c>
      <c r="F2745" t="inlineStr">
        <is>
          <t>Organic Search</t>
        </is>
      </c>
      <c r="G2745" t="inlineStr">
        <is>
          <t>Mobile Web</t>
        </is>
      </c>
      <c r="H2745" t="inlineStr">
        <is>
          <t>Cash on Delivery</t>
        </is>
      </c>
      <c r="I2745" t="inlineStr">
        <is>
          <t>Delivered</t>
        </is>
      </c>
      <c r="J2745" t="n">
        <v>101</v>
      </c>
      <c r="K2745" t="n">
        <v>1</v>
      </c>
      <c r="L2745" s="7" t="n">
        <v>2099</v>
      </c>
      <c r="M2745" s="7" t="n">
        <v>0</v>
      </c>
    </row>
    <row r="2746">
      <c r="A2746" t="n">
        <v>510790</v>
      </c>
      <c r="B2746" s="6" t="n">
        <v>45973</v>
      </c>
      <c r="C2746" t="n">
        <v>17027</v>
      </c>
      <c r="D2746" t="inlineStr">
        <is>
          <t>Lucknow</t>
        </is>
      </c>
      <c r="E2746" t="inlineStr">
        <is>
          <t>North</t>
        </is>
      </c>
      <c r="F2746" t="inlineStr">
        <is>
          <t>Email</t>
        </is>
      </c>
      <c r="G2746" t="inlineStr">
        <is>
          <t>Mobile App</t>
        </is>
      </c>
      <c r="H2746" t="inlineStr">
        <is>
          <t>Cash on Delivery</t>
        </is>
      </c>
      <c r="I2746" t="inlineStr">
        <is>
          <t>Delivered</t>
        </is>
      </c>
      <c r="J2746" t="n">
        <v>120</v>
      </c>
      <c r="K2746" t="n">
        <v>1</v>
      </c>
      <c r="L2746" s="7" t="n">
        <v>734</v>
      </c>
      <c r="M2746" s="7" t="n">
        <v>0</v>
      </c>
    </row>
    <row r="2747">
      <c r="A2747" t="n">
        <v>510791</v>
      </c>
      <c r="B2747" s="6" t="n">
        <v>45974</v>
      </c>
      <c r="C2747" t="n">
        <v>16083</v>
      </c>
      <c r="D2747" t="inlineStr">
        <is>
          <t>Kochi</t>
        </is>
      </c>
      <c r="E2747" t="inlineStr">
        <is>
          <t>South</t>
        </is>
      </c>
      <c r="F2747" t="inlineStr">
        <is>
          <t>Paid Search</t>
        </is>
      </c>
      <c r="G2747" t="inlineStr">
        <is>
          <t>Desktop</t>
        </is>
      </c>
      <c r="H2747" t="inlineStr">
        <is>
          <t>UPI</t>
        </is>
      </c>
      <c r="I2747" t="inlineStr">
        <is>
          <t>Delivered</t>
        </is>
      </c>
      <c r="J2747" t="n">
        <v>127</v>
      </c>
      <c r="K2747" t="n">
        <v>1</v>
      </c>
      <c r="L2747" s="7" t="n">
        <v>681</v>
      </c>
      <c r="M2747" s="7" t="n">
        <v>34.05</v>
      </c>
    </row>
    <row r="2748">
      <c r="A2748" t="n">
        <v>510792</v>
      </c>
      <c r="B2748" s="6" t="n">
        <v>45974</v>
      </c>
      <c r="C2748" t="n">
        <v>17329</v>
      </c>
      <c r="D2748" t="inlineStr">
        <is>
          <t>Ahmedabad</t>
        </is>
      </c>
      <c r="E2748" t="inlineStr">
        <is>
          <t>West</t>
        </is>
      </c>
      <c r="F2748" t="inlineStr">
        <is>
          <t>Organic Search</t>
        </is>
      </c>
      <c r="G2748" t="inlineStr">
        <is>
          <t>Desktop</t>
        </is>
      </c>
      <c r="H2748" t="inlineStr">
        <is>
          <t>Cash on Delivery</t>
        </is>
      </c>
      <c r="I2748" t="inlineStr">
        <is>
          <t>Returned</t>
        </is>
      </c>
      <c r="J2748" t="n">
        <v>111</v>
      </c>
      <c r="K2748" t="n">
        <v>1</v>
      </c>
      <c r="L2748" s="7" t="n">
        <v>524</v>
      </c>
      <c r="M2748" s="7" t="n">
        <v>0</v>
      </c>
    </row>
    <row r="2749">
      <c r="A2749" t="n">
        <v>510793</v>
      </c>
      <c r="B2749" s="6" t="n">
        <v>45974</v>
      </c>
      <c r="C2749" t="n">
        <v>13999</v>
      </c>
      <c r="D2749" t="inlineStr">
        <is>
          <t>Mumbai</t>
        </is>
      </c>
      <c r="E2749" t="inlineStr">
        <is>
          <t>West</t>
        </is>
      </c>
      <c r="F2749" t="inlineStr">
        <is>
          <t>Referral</t>
        </is>
      </c>
      <c r="G2749" t="inlineStr">
        <is>
          <t>Mobile Web</t>
        </is>
      </c>
      <c r="H2749" t="inlineStr">
        <is>
          <t>UPI</t>
        </is>
      </c>
      <c r="I2749" t="inlineStr">
        <is>
          <t>Delivered</t>
        </is>
      </c>
      <c r="J2749" t="n">
        <v>147</v>
      </c>
      <c r="K2749" t="n">
        <v>2</v>
      </c>
      <c r="L2749" s="7" t="n">
        <v>1364</v>
      </c>
      <c r="M2749" s="7" t="n">
        <v>0</v>
      </c>
    </row>
    <row r="2750">
      <c r="A2750" t="n">
        <v>510794</v>
      </c>
      <c r="B2750" s="6" t="n">
        <v>45974</v>
      </c>
      <c r="C2750" t="n">
        <v>17309</v>
      </c>
      <c r="D2750" t="inlineStr">
        <is>
          <t>Mumbai</t>
        </is>
      </c>
      <c r="E2750" t="inlineStr">
        <is>
          <t>West</t>
        </is>
      </c>
      <c r="F2750" t="inlineStr">
        <is>
          <t>Organic Search</t>
        </is>
      </c>
      <c r="G2750" t="inlineStr">
        <is>
          <t>Mobile App</t>
        </is>
      </c>
      <c r="H2750" t="inlineStr">
        <is>
          <t>Cash on Delivery</t>
        </is>
      </c>
      <c r="I2750" t="inlineStr">
        <is>
          <t>Delivered</t>
        </is>
      </c>
      <c r="J2750" t="n">
        <v>112</v>
      </c>
      <c r="K2750" t="n">
        <v>1</v>
      </c>
      <c r="L2750" s="7" t="n">
        <v>1574</v>
      </c>
      <c r="M2750" s="7" t="n">
        <v>78.7</v>
      </c>
    </row>
    <row r="2751">
      <c r="A2751" t="n">
        <v>510795</v>
      </c>
      <c r="B2751" s="6" t="n">
        <v>45974</v>
      </c>
      <c r="C2751" t="n">
        <v>14588</v>
      </c>
      <c r="D2751" t="inlineStr">
        <is>
          <t>Ahmedabad</t>
        </is>
      </c>
      <c r="E2751" t="inlineStr">
        <is>
          <t>West</t>
        </is>
      </c>
      <c r="F2751" t="inlineStr">
        <is>
          <t>Organic Search</t>
        </is>
      </c>
      <c r="G2751" t="inlineStr">
        <is>
          <t>Mobile App</t>
        </is>
      </c>
      <c r="H2751" t="inlineStr">
        <is>
          <t>UPI</t>
        </is>
      </c>
      <c r="I2751" t="inlineStr">
        <is>
          <t>Delivered</t>
        </is>
      </c>
      <c r="J2751" t="n">
        <v>109</v>
      </c>
      <c r="K2751" t="n">
        <v>1</v>
      </c>
      <c r="L2751" s="7" t="n">
        <v>4199</v>
      </c>
      <c r="M2751" s="7" t="n">
        <v>0</v>
      </c>
    </row>
    <row r="2752">
      <c r="A2752" t="n">
        <v>510795</v>
      </c>
      <c r="B2752" s="6" t="n">
        <v>45974</v>
      </c>
      <c r="C2752" t="n">
        <v>14588</v>
      </c>
      <c r="D2752" t="inlineStr">
        <is>
          <t>Ahmedabad</t>
        </is>
      </c>
      <c r="E2752" t="inlineStr">
        <is>
          <t>West</t>
        </is>
      </c>
      <c r="F2752" t="inlineStr">
        <is>
          <t>Organic Search</t>
        </is>
      </c>
      <c r="G2752" t="inlineStr">
        <is>
          <t>Mobile App</t>
        </is>
      </c>
      <c r="H2752" t="inlineStr">
        <is>
          <t>UPI</t>
        </is>
      </c>
      <c r="I2752" t="inlineStr">
        <is>
          <t>Delivered</t>
        </is>
      </c>
      <c r="J2752" t="n">
        <v>113</v>
      </c>
      <c r="K2752" t="n">
        <v>1</v>
      </c>
      <c r="L2752" s="7" t="n">
        <v>1364</v>
      </c>
      <c r="M2752" s="7" t="n">
        <v>0</v>
      </c>
    </row>
    <row r="2753">
      <c r="A2753" t="n">
        <v>510796</v>
      </c>
      <c r="B2753" s="6" t="n">
        <v>45974</v>
      </c>
      <c r="C2753" t="n">
        <v>17300</v>
      </c>
      <c r="D2753" t="inlineStr">
        <is>
          <t>Pune</t>
        </is>
      </c>
      <c r="E2753" t="inlineStr">
        <is>
          <t>West</t>
        </is>
      </c>
      <c r="F2753" t="inlineStr">
        <is>
          <t>Paid Social</t>
        </is>
      </c>
      <c r="G2753" t="inlineStr">
        <is>
          <t>Mobile App</t>
        </is>
      </c>
      <c r="H2753" t="inlineStr">
        <is>
          <t>Cash on Delivery</t>
        </is>
      </c>
      <c r="I2753" t="inlineStr">
        <is>
          <t>Delivered</t>
        </is>
      </c>
      <c r="J2753" t="n">
        <v>146</v>
      </c>
      <c r="K2753" t="n">
        <v>1</v>
      </c>
      <c r="L2753" s="7" t="n">
        <v>4724</v>
      </c>
      <c r="M2753" s="7" t="n">
        <v>0</v>
      </c>
    </row>
    <row r="2754">
      <c r="A2754" t="n">
        <v>510797</v>
      </c>
      <c r="B2754" s="6" t="n">
        <v>45974</v>
      </c>
      <c r="C2754" t="n">
        <v>14340</v>
      </c>
      <c r="D2754" t="inlineStr">
        <is>
          <t>Delhi</t>
        </is>
      </c>
      <c r="E2754" t="inlineStr">
        <is>
          <t>North</t>
        </is>
      </c>
      <c r="F2754" t="inlineStr">
        <is>
          <t>Organic Search</t>
        </is>
      </c>
      <c r="G2754" t="inlineStr">
        <is>
          <t>Mobile App</t>
        </is>
      </c>
      <c r="H2754" t="inlineStr">
        <is>
          <t>Credit Card</t>
        </is>
      </c>
      <c r="I2754" t="inlineStr">
        <is>
          <t>Delivered</t>
        </is>
      </c>
      <c r="J2754" t="n">
        <v>140</v>
      </c>
      <c r="K2754" t="n">
        <v>1</v>
      </c>
      <c r="L2754" s="7" t="n">
        <v>629</v>
      </c>
      <c r="M2754" s="7" t="n">
        <v>0</v>
      </c>
    </row>
    <row r="2755">
      <c r="A2755" t="n">
        <v>510798</v>
      </c>
      <c r="B2755" s="6" t="n">
        <v>45974</v>
      </c>
      <c r="C2755" t="n">
        <v>17314</v>
      </c>
      <c r="D2755" t="inlineStr">
        <is>
          <t>Mumbai</t>
        </is>
      </c>
      <c r="E2755" t="inlineStr">
        <is>
          <t>West</t>
        </is>
      </c>
      <c r="F2755" t="inlineStr">
        <is>
          <t>Affiliate</t>
        </is>
      </c>
      <c r="G2755" t="inlineStr">
        <is>
          <t>Mobile App</t>
        </is>
      </c>
      <c r="H2755" t="inlineStr">
        <is>
          <t>UPI</t>
        </is>
      </c>
      <c r="I2755" t="inlineStr">
        <is>
          <t>Delivered</t>
        </is>
      </c>
      <c r="J2755" t="n">
        <v>114</v>
      </c>
      <c r="K2755" t="n">
        <v>1</v>
      </c>
      <c r="L2755" s="7" t="n">
        <v>1259</v>
      </c>
      <c r="M2755" s="7" t="n">
        <v>188.85</v>
      </c>
    </row>
    <row r="2756">
      <c r="A2756" t="n">
        <v>510798</v>
      </c>
      <c r="B2756" s="6" t="n">
        <v>45974</v>
      </c>
      <c r="C2756" t="n">
        <v>17314</v>
      </c>
      <c r="D2756" t="inlineStr">
        <is>
          <t>Mumbai</t>
        </is>
      </c>
      <c r="E2756" t="inlineStr">
        <is>
          <t>West</t>
        </is>
      </c>
      <c r="F2756" t="inlineStr">
        <is>
          <t>Affiliate</t>
        </is>
      </c>
      <c r="G2756" t="inlineStr">
        <is>
          <t>Mobile App</t>
        </is>
      </c>
      <c r="H2756" t="inlineStr">
        <is>
          <t>UPI</t>
        </is>
      </c>
      <c r="I2756" t="inlineStr">
        <is>
          <t>Delivered</t>
        </is>
      </c>
      <c r="J2756" t="n">
        <v>123</v>
      </c>
      <c r="K2756" t="n">
        <v>2</v>
      </c>
      <c r="L2756" s="7" t="n">
        <v>3464</v>
      </c>
      <c r="M2756" s="7" t="n">
        <v>1039.2</v>
      </c>
    </row>
    <row r="2757">
      <c r="A2757" t="n">
        <v>510798</v>
      </c>
      <c r="B2757" s="6" t="n">
        <v>45974</v>
      </c>
      <c r="C2757" t="n">
        <v>17314</v>
      </c>
      <c r="D2757" t="inlineStr">
        <is>
          <t>Mumbai</t>
        </is>
      </c>
      <c r="E2757" t="inlineStr">
        <is>
          <t>West</t>
        </is>
      </c>
      <c r="F2757" t="inlineStr">
        <is>
          <t>Affiliate</t>
        </is>
      </c>
      <c r="G2757" t="inlineStr">
        <is>
          <t>Mobile App</t>
        </is>
      </c>
      <c r="H2757" t="inlineStr">
        <is>
          <t>UPI</t>
        </is>
      </c>
      <c r="I2757" t="inlineStr">
        <is>
          <t>Delivered</t>
        </is>
      </c>
      <c r="J2757" t="n">
        <v>116</v>
      </c>
      <c r="K2757" t="n">
        <v>1</v>
      </c>
      <c r="L2757" s="7" t="n">
        <v>2624</v>
      </c>
      <c r="M2757" s="7" t="n">
        <v>393.6</v>
      </c>
    </row>
    <row r="2758">
      <c r="A2758" t="n">
        <v>510799</v>
      </c>
      <c r="B2758" s="6" t="n">
        <v>45974</v>
      </c>
      <c r="C2758" t="n">
        <v>16394</v>
      </c>
      <c r="D2758" t="inlineStr">
        <is>
          <t>Lucknow</t>
        </is>
      </c>
      <c r="E2758" t="inlineStr">
        <is>
          <t>North</t>
        </is>
      </c>
      <c r="F2758" t="inlineStr">
        <is>
          <t>Email</t>
        </is>
      </c>
      <c r="G2758" t="inlineStr">
        <is>
          <t>Mobile Web</t>
        </is>
      </c>
      <c r="H2758" t="inlineStr">
        <is>
          <t>Cash on Delivery</t>
        </is>
      </c>
      <c r="I2758" t="inlineStr">
        <is>
          <t>Returned</t>
        </is>
      </c>
      <c r="J2758" t="n">
        <v>118</v>
      </c>
      <c r="K2758" t="n">
        <v>1</v>
      </c>
      <c r="L2758" s="7" t="n">
        <v>944</v>
      </c>
      <c r="M2758" s="7" t="n">
        <v>0</v>
      </c>
    </row>
    <row r="2759">
      <c r="A2759" t="n">
        <v>510800</v>
      </c>
      <c r="B2759" s="6" t="n">
        <v>45974</v>
      </c>
      <c r="C2759" t="n">
        <v>17240</v>
      </c>
      <c r="D2759" t="inlineStr">
        <is>
          <t>Pune</t>
        </is>
      </c>
      <c r="E2759" t="inlineStr">
        <is>
          <t>West</t>
        </is>
      </c>
      <c r="F2759" t="inlineStr">
        <is>
          <t>Paid Search</t>
        </is>
      </c>
      <c r="G2759" t="inlineStr">
        <is>
          <t>Desktop</t>
        </is>
      </c>
      <c r="H2759" t="inlineStr">
        <is>
          <t>Cash on Delivery</t>
        </is>
      </c>
      <c r="I2759" t="inlineStr">
        <is>
          <t>Delivered</t>
        </is>
      </c>
      <c r="J2759" t="n">
        <v>133</v>
      </c>
      <c r="K2759" t="n">
        <v>2</v>
      </c>
      <c r="L2759" s="7" t="n">
        <v>419</v>
      </c>
      <c r="M2759" s="7" t="n">
        <v>0</v>
      </c>
    </row>
    <row r="2760">
      <c r="A2760" t="n">
        <v>510800</v>
      </c>
      <c r="B2760" s="6" t="n">
        <v>45974</v>
      </c>
      <c r="C2760" t="n">
        <v>17240</v>
      </c>
      <c r="D2760" t="inlineStr">
        <is>
          <t>Pune</t>
        </is>
      </c>
      <c r="E2760" t="inlineStr">
        <is>
          <t>West</t>
        </is>
      </c>
      <c r="F2760" t="inlineStr">
        <is>
          <t>Paid Search</t>
        </is>
      </c>
      <c r="G2760" t="inlineStr">
        <is>
          <t>Desktop</t>
        </is>
      </c>
      <c r="H2760" t="inlineStr">
        <is>
          <t>Cash on Delivery</t>
        </is>
      </c>
      <c r="I2760" t="inlineStr">
        <is>
          <t>Delivered</t>
        </is>
      </c>
      <c r="J2760" t="n">
        <v>118</v>
      </c>
      <c r="K2760" t="n">
        <v>2</v>
      </c>
      <c r="L2760" s="7" t="n">
        <v>944</v>
      </c>
      <c r="M2760" s="7" t="n">
        <v>0</v>
      </c>
    </row>
    <row r="2761">
      <c r="A2761" t="n">
        <v>510801</v>
      </c>
      <c r="B2761" s="6" t="n">
        <v>45974</v>
      </c>
      <c r="C2761" t="n">
        <v>13650</v>
      </c>
      <c r="D2761" t="inlineStr">
        <is>
          <t>Mumbai</t>
        </is>
      </c>
      <c r="E2761" t="inlineStr">
        <is>
          <t>West</t>
        </is>
      </c>
      <c r="F2761" t="inlineStr">
        <is>
          <t>Referral</t>
        </is>
      </c>
      <c r="G2761" t="inlineStr">
        <is>
          <t>Desktop</t>
        </is>
      </c>
      <c r="H2761" t="inlineStr">
        <is>
          <t>Credit Card</t>
        </is>
      </c>
      <c r="I2761" t="inlineStr">
        <is>
          <t>Delivered</t>
        </is>
      </c>
      <c r="J2761" t="n">
        <v>124</v>
      </c>
      <c r="K2761" t="n">
        <v>1</v>
      </c>
      <c r="L2761" s="7" t="n">
        <v>1154</v>
      </c>
      <c r="M2761" s="7" t="n">
        <v>0</v>
      </c>
    </row>
    <row r="2762">
      <c r="A2762" t="n">
        <v>510802</v>
      </c>
      <c r="B2762" s="6" t="n">
        <v>45974</v>
      </c>
      <c r="C2762" t="n">
        <v>17308</v>
      </c>
      <c r="D2762" t="inlineStr">
        <is>
          <t>Delhi</t>
        </is>
      </c>
      <c r="E2762" t="inlineStr">
        <is>
          <t>North</t>
        </is>
      </c>
      <c r="F2762" t="inlineStr">
        <is>
          <t>Organic Search</t>
        </is>
      </c>
      <c r="G2762" t="inlineStr">
        <is>
          <t>Mobile Web</t>
        </is>
      </c>
      <c r="H2762" t="inlineStr">
        <is>
          <t>Cash on Delivery</t>
        </is>
      </c>
      <c r="I2762" t="inlineStr">
        <is>
          <t>Delivered</t>
        </is>
      </c>
      <c r="J2762" t="n">
        <v>130</v>
      </c>
      <c r="K2762" t="n">
        <v>1</v>
      </c>
      <c r="L2762" s="7" t="n">
        <v>734</v>
      </c>
      <c r="M2762" s="7" t="n">
        <v>110.1</v>
      </c>
    </row>
    <row r="2763">
      <c r="A2763" t="n">
        <v>510803</v>
      </c>
      <c r="B2763" s="6" t="n">
        <v>45974</v>
      </c>
      <c r="C2763" t="n">
        <v>17289</v>
      </c>
      <c r="D2763" t="inlineStr">
        <is>
          <t>Ahmedabad</t>
        </is>
      </c>
      <c r="E2763" t="inlineStr">
        <is>
          <t>West</t>
        </is>
      </c>
      <c r="F2763" t="inlineStr">
        <is>
          <t>Referral</t>
        </is>
      </c>
      <c r="G2763" t="inlineStr">
        <is>
          <t>Mobile App</t>
        </is>
      </c>
      <c r="H2763" t="inlineStr">
        <is>
          <t>Net Banking</t>
        </is>
      </c>
      <c r="I2763" t="inlineStr">
        <is>
          <t>Delivered</t>
        </is>
      </c>
      <c r="J2763" t="n">
        <v>117</v>
      </c>
      <c r="K2763" t="n">
        <v>1</v>
      </c>
      <c r="L2763" s="7" t="n">
        <v>3149</v>
      </c>
      <c r="M2763" s="7" t="n">
        <v>472.35</v>
      </c>
    </row>
    <row r="2764">
      <c r="A2764" t="n">
        <v>510803</v>
      </c>
      <c r="B2764" s="6" t="n">
        <v>45974</v>
      </c>
      <c r="C2764" t="n">
        <v>17289</v>
      </c>
      <c r="D2764" t="inlineStr">
        <is>
          <t>Ahmedabad</t>
        </is>
      </c>
      <c r="E2764" t="inlineStr">
        <is>
          <t>West</t>
        </is>
      </c>
      <c r="F2764" t="inlineStr">
        <is>
          <t>Referral</t>
        </is>
      </c>
      <c r="G2764" t="inlineStr">
        <is>
          <t>Mobile App</t>
        </is>
      </c>
      <c r="H2764" t="inlineStr">
        <is>
          <t>Net Banking</t>
        </is>
      </c>
      <c r="I2764" t="inlineStr">
        <is>
          <t>Delivered</t>
        </is>
      </c>
      <c r="J2764" t="n">
        <v>120</v>
      </c>
      <c r="K2764" t="n">
        <v>1</v>
      </c>
      <c r="L2764" s="7" t="n">
        <v>734</v>
      </c>
      <c r="M2764" s="7" t="n">
        <v>110.1</v>
      </c>
    </row>
    <row r="2765">
      <c r="A2765" t="n">
        <v>510804</v>
      </c>
      <c r="B2765" s="6" t="n">
        <v>45974</v>
      </c>
      <c r="C2765" t="n">
        <v>15807</v>
      </c>
      <c r="D2765" t="inlineStr">
        <is>
          <t>Delhi</t>
        </is>
      </c>
      <c r="E2765" t="inlineStr">
        <is>
          <t>North</t>
        </is>
      </c>
      <c r="F2765" t="inlineStr">
        <is>
          <t>Organic Search</t>
        </is>
      </c>
      <c r="G2765" t="inlineStr">
        <is>
          <t>Desktop</t>
        </is>
      </c>
      <c r="H2765" t="inlineStr">
        <is>
          <t>UPI</t>
        </is>
      </c>
      <c r="I2765" t="inlineStr">
        <is>
          <t>Delivered</t>
        </is>
      </c>
      <c r="J2765" t="n">
        <v>124</v>
      </c>
      <c r="K2765" t="n">
        <v>2</v>
      </c>
      <c r="L2765" s="7" t="n">
        <v>1154</v>
      </c>
      <c r="M2765" s="7" t="n">
        <v>0</v>
      </c>
    </row>
    <row r="2766">
      <c r="A2766" t="n">
        <v>510804</v>
      </c>
      <c r="B2766" s="6" t="n">
        <v>45974</v>
      </c>
      <c r="C2766" t="n">
        <v>15807</v>
      </c>
      <c r="D2766" t="inlineStr">
        <is>
          <t>Delhi</t>
        </is>
      </c>
      <c r="E2766" t="inlineStr">
        <is>
          <t>North</t>
        </is>
      </c>
      <c r="F2766" t="inlineStr">
        <is>
          <t>Organic Search</t>
        </is>
      </c>
      <c r="G2766" t="inlineStr">
        <is>
          <t>Desktop</t>
        </is>
      </c>
      <c r="H2766" t="inlineStr">
        <is>
          <t>UPI</t>
        </is>
      </c>
      <c r="I2766" t="inlineStr">
        <is>
          <t>Delivered</t>
        </is>
      </c>
      <c r="J2766" t="n">
        <v>117</v>
      </c>
      <c r="K2766" t="n">
        <v>1</v>
      </c>
      <c r="L2766" s="7" t="n">
        <v>3149</v>
      </c>
      <c r="M2766" s="7" t="n">
        <v>0</v>
      </c>
    </row>
    <row r="2767">
      <c r="A2767" t="n">
        <v>510805</v>
      </c>
      <c r="B2767" s="6" t="n">
        <v>45974</v>
      </c>
      <c r="C2767" t="n">
        <v>16617</v>
      </c>
      <c r="D2767" t="inlineStr">
        <is>
          <t>Lucknow</t>
        </is>
      </c>
      <c r="E2767" t="inlineStr">
        <is>
          <t>North</t>
        </is>
      </c>
      <c r="F2767" t="inlineStr">
        <is>
          <t>Paid Search</t>
        </is>
      </c>
      <c r="G2767" t="inlineStr">
        <is>
          <t>Mobile App</t>
        </is>
      </c>
      <c r="H2767" t="inlineStr">
        <is>
          <t>Cash on Delivery</t>
        </is>
      </c>
      <c r="I2767" t="inlineStr">
        <is>
          <t>Cancelled</t>
        </is>
      </c>
      <c r="J2767" t="n">
        <v>111</v>
      </c>
      <c r="K2767" t="n">
        <v>1</v>
      </c>
      <c r="L2767" s="7" t="n">
        <v>524</v>
      </c>
      <c r="M2767" s="7" t="n">
        <v>0</v>
      </c>
    </row>
    <row r="2768">
      <c r="A2768" t="n">
        <v>510805</v>
      </c>
      <c r="B2768" s="6" t="n">
        <v>45974</v>
      </c>
      <c r="C2768" t="n">
        <v>16617</v>
      </c>
      <c r="D2768" t="inlineStr">
        <is>
          <t>Lucknow</t>
        </is>
      </c>
      <c r="E2768" t="inlineStr">
        <is>
          <t>North</t>
        </is>
      </c>
      <c r="F2768" t="inlineStr">
        <is>
          <t>Paid Search</t>
        </is>
      </c>
      <c r="G2768" t="inlineStr">
        <is>
          <t>Mobile App</t>
        </is>
      </c>
      <c r="H2768" t="inlineStr">
        <is>
          <t>Cash on Delivery</t>
        </is>
      </c>
      <c r="I2768" t="inlineStr">
        <is>
          <t>Cancelled</t>
        </is>
      </c>
      <c r="J2768" t="n">
        <v>140</v>
      </c>
      <c r="K2768" t="n">
        <v>1</v>
      </c>
      <c r="L2768" s="7" t="n">
        <v>629</v>
      </c>
      <c r="M2768" s="7" t="n">
        <v>0</v>
      </c>
    </row>
    <row r="2769">
      <c r="A2769" t="n">
        <v>510805</v>
      </c>
      <c r="B2769" s="6" t="n">
        <v>45974</v>
      </c>
      <c r="C2769" t="n">
        <v>16617</v>
      </c>
      <c r="D2769" t="inlineStr">
        <is>
          <t>Lucknow</t>
        </is>
      </c>
      <c r="E2769" t="inlineStr">
        <is>
          <t>North</t>
        </is>
      </c>
      <c r="F2769" t="inlineStr">
        <is>
          <t>Paid Search</t>
        </is>
      </c>
      <c r="G2769" t="inlineStr">
        <is>
          <t>Mobile App</t>
        </is>
      </c>
      <c r="H2769" t="inlineStr">
        <is>
          <t>Cash on Delivery</t>
        </is>
      </c>
      <c r="I2769" t="inlineStr">
        <is>
          <t>Cancelled</t>
        </is>
      </c>
      <c r="J2769" t="n">
        <v>114</v>
      </c>
      <c r="K2769" t="n">
        <v>1</v>
      </c>
      <c r="L2769" s="7" t="n">
        <v>1259</v>
      </c>
      <c r="M2769" s="7" t="n">
        <v>0</v>
      </c>
    </row>
    <row r="2770">
      <c r="A2770" t="n">
        <v>510805</v>
      </c>
      <c r="B2770" s="6" t="n">
        <v>45974</v>
      </c>
      <c r="C2770" t="n">
        <v>16617</v>
      </c>
      <c r="D2770" t="inlineStr">
        <is>
          <t>Lucknow</t>
        </is>
      </c>
      <c r="E2770" t="inlineStr">
        <is>
          <t>North</t>
        </is>
      </c>
      <c r="F2770" t="inlineStr">
        <is>
          <t>Paid Search</t>
        </is>
      </c>
      <c r="G2770" t="inlineStr">
        <is>
          <t>Mobile App</t>
        </is>
      </c>
      <c r="H2770" t="inlineStr">
        <is>
          <t>Cash on Delivery</t>
        </is>
      </c>
      <c r="I2770" t="inlineStr">
        <is>
          <t>Cancelled</t>
        </is>
      </c>
      <c r="J2770" t="n">
        <v>135</v>
      </c>
      <c r="K2770" t="n">
        <v>1</v>
      </c>
      <c r="L2770" s="7" t="n">
        <v>1574</v>
      </c>
      <c r="M2770" s="7" t="n">
        <v>0</v>
      </c>
    </row>
    <row r="2771">
      <c r="A2771" t="n">
        <v>510806</v>
      </c>
      <c r="B2771" s="6" t="n">
        <v>45974</v>
      </c>
      <c r="C2771" t="n">
        <v>17325</v>
      </c>
      <c r="D2771" t="inlineStr">
        <is>
          <t>Chennai</t>
        </is>
      </c>
      <c r="E2771" t="inlineStr">
        <is>
          <t>South</t>
        </is>
      </c>
      <c r="F2771" t="inlineStr">
        <is>
          <t>Affiliate</t>
        </is>
      </c>
      <c r="G2771" t="inlineStr">
        <is>
          <t>Mobile App</t>
        </is>
      </c>
      <c r="H2771" t="inlineStr">
        <is>
          <t>UPI</t>
        </is>
      </c>
      <c r="I2771" t="inlineStr">
        <is>
          <t>Delivered</t>
        </is>
      </c>
      <c r="J2771" t="n">
        <v>120</v>
      </c>
      <c r="K2771" t="n">
        <v>1</v>
      </c>
      <c r="L2771" s="7" t="n">
        <v>734</v>
      </c>
      <c r="M2771" s="7" t="n">
        <v>0</v>
      </c>
    </row>
    <row r="2772">
      <c r="A2772" t="n">
        <v>510806</v>
      </c>
      <c r="B2772" s="6" t="n">
        <v>45974</v>
      </c>
      <c r="C2772" t="n">
        <v>17325</v>
      </c>
      <c r="D2772" t="inlineStr">
        <is>
          <t>Chennai</t>
        </is>
      </c>
      <c r="E2772" t="inlineStr">
        <is>
          <t>South</t>
        </is>
      </c>
      <c r="F2772" t="inlineStr">
        <is>
          <t>Affiliate</t>
        </is>
      </c>
      <c r="G2772" t="inlineStr">
        <is>
          <t>Mobile App</t>
        </is>
      </c>
      <c r="H2772" t="inlineStr">
        <is>
          <t>UPI</t>
        </is>
      </c>
      <c r="I2772" t="inlineStr">
        <is>
          <t>Delivered</t>
        </is>
      </c>
      <c r="J2772" t="n">
        <v>123</v>
      </c>
      <c r="K2772" t="n">
        <v>1</v>
      </c>
      <c r="L2772" s="7" t="n">
        <v>3464</v>
      </c>
      <c r="M2772" s="7" t="n">
        <v>0</v>
      </c>
    </row>
    <row r="2773">
      <c r="A2773" t="n">
        <v>510806</v>
      </c>
      <c r="B2773" s="6" t="n">
        <v>45974</v>
      </c>
      <c r="C2773" t="n">
        <v>17325</v>
      </c>
      <c r="D2773" t="inlineStr">
        <is>
          <t>Chennai</t>
        </is>
      </c>
      <c r="E2773" t="inlineStr">
        <is>
          <t>South</t>
        </is>
      </c>
      <c r="F2773" t="inlineStr">
        <is>
          <t>Affiliate</t>
        </is>
      </c>
      <c r="G2773" t="inlineStr">
        <is>
          <t>Mobile App</t>
        </is>
      </c>
      <c r="H2773" t="inlineStr">
        <is>
          <t>UPI</t>
        </is>
      </c>
      <c r="I2773" t="inlineStr">
        <is>
          <t>Delivered</t>
        </is>
      </c>
      <c r="J2773" t="n">
        <v>113</v>
      </c>
      <c r="K2773" t="n">
        <v>2</v>
      </c>
      <c r="L2773" s="7" t="n">
        <v>1364</v>
      </c>
      <c r="M2773" s="7" t="n">
        <v>0</v>
      </c>
    </row>
    <row r="2774">
      <c r="A2774" t="n">
        <v>510807</v>
      </c>
      <c r="B2774" s="6" t="n">
        <v>45974</v>
      </c>
      <c r="C2774" t="n">
        <v>17169</v>
      </c>
      <c r="D2774" t="inlineStr">
        <is>
          <t>Kochi</t>
        </is>
      </c>
      <c r="E2774" t="inlineStr">
        <is>
          <t>South</t>
        </is>
      </c>
      <c r="F2774" t="inlineStr">
        <is>
          <t>Referral</t>
        </is>
      </c>
      <c r="G2774" t="inlineStr">
        <is>
          <t>Desktop</t>
        </is>
      </c>
      <c r="H2774" t="inlineStr">
        <is>
          <t>UPI</t>
        </is>
      </c>
      <c r="I2774" t="inlineStr">
        <is>
          <t>Returned</t>
        </is>
      </c>
      <c r="J2774" t="n">
        <v>113</v>
      </c>
      <c r="K2774" t="n">
        <v>1</v>
      </c>
      <c r="L2774" s="7" t="n">
        <v>1364</v>
      </c>
      <c r="M2774" s="7" t="n">
        <v>0</v>
      </c>
    </row>
    <row r="2775">
      <c r="A2775" t="n">
        <v>510808</v>
      </c>
      <c r="B2775" s="6" t="n">
        <v>45974</v>
      </c>
      <c r="C2775" t="n">
        <v>16116</v>
      </c>
      <c r="D2775" t="inlineStr">
        <is>
          <t>Noida</t>
        </is>
      </c>
      <c r="E2775" t="inlineStr">
        <is>
          <t>North</t>
        </is>
      </c>
      <c r="F2775" t="inlineStr">
        <is>
          <t>Referral</t>
        </is>
      </c>
      <c r="G2775" t="inlineStr">
        <is>
          <t>Mobile Web</t>
        </is>
      </c>
      <c r="H2775" t="inlineStr">
        <is>
          <t>UPI</t>
        </is>
      </c>
      <c r="I2775" t="inlineStr">
        <is>
          <t>Delivered</t>
        </is>
      </c>
      <c r="J2775" t="n">
        <v>110</v>
      </c>
      <c r="K2775" t="n">
        <v>2</v>
      </c>
      <c r="L2775" s="7" t="n">
        <v>839</v>
      </c>
      <c r="M2775" s="7" t="n">
        <v>0</v>
      </c>
    </row>
    <row r="2776">
      <c r="A2776" t="n">
        <v>510808</v>
      </c>
      <c r="B2776" s="6" t="n">
        <v>45974</v>
      </c>
      <c r="C2776" t="n">
        <v>16116</v>
      </c>
      <c r="D2776" t="inlineStr">
        <is>
          <t>Noida</t>
        </is>
      </c>
      <c r="E2776" t="inlineStr">
        <is>
          <t>North</t>
        </is>
      </c>
      <c r="F2776" t="inlineStr">
        <is>
          <t>Referral</t>
        </is>
      </c>
      <c r="G2776" t="inlineStr">
        <is>
          <t>Mobile Web</t>
        </is>
      </c>
      <c r="H2776" t="inlineStr">
        <is>
          <t>UPI</t>
        </is>
      </c>
      <c r="I2776" t="inlineStr">
        <is>
          <t>Delivered</t>
        </is>
      </c>
      <c r="J2776" t="n">
        <v>139</v>
      </c>
      <c r="K2776" t="n">
        <v>1</v>
      </c>
      <c r="L2776" s="7" t="n">
        <v>366</v>
      </c>
      <c r="M2776" s="7" t="n">
        <v>0</v>
      </c>
    </row>
    <row r="2777">
      <c r="A2777" t="n">
        <v>510809</v>
      </c>
      <c r="B2777" s="6" t="n">
        <v>45974</v>
      </c>
      <c r="C2777" t="n">
        <v>16767</v>
      </c>
      <c r="D2777" t="inlineStr">
        <is>
          <t>Delhi</t>
        </is>
      </c>
      <c r="E2777" t="inlineStr">
        <is>
          <t>North</t>
        </is>
      </c>
      <c r="F2777" t="inlineStr">
        <is>
          <t>Paid Search</t>
        </is>
      </c>
      <c r="G2777" t="inlineStr">
        <is>
          <t>Mobile Web</t>
        </is>
      </c>
      <c r="H2777" t="inlineStr">
        <is>
          <t>Credit Card</t>
        </is>
      </c>
      <c r="I2777" t="inlineStr">
        <is>
          <t>Delivered</t>
        </is>
      </c>
      <c r="J2777" t="n">
        <v>118</v>
      </c>
      <c r="K2777" t="n">
        <v>1</v>
      </c>
      <c r="L2777" s="7" t="n">
        <v>944</v>
      </c>
      <c r="M2777" s="7" t="n">
        <v>0</v>
      </c>
    </row>
    <row r="2778">
      <c r="A2778" t="n">
        <v>510810</v>
      </c>
      <c r="B2778" s="6" t="n">
        <v>45974</v>
      </c>
      <c r="C2778" t="n">
        <v>17303</v>
      </c>
      <c r="D2778" t="inlineStr">
        <is>
          <t>Delhi</t>
        </is>
      </c>
      <c r="E2778" t="inlineStr">
        <is>
          <t>North</t>
        </is>
      </c>
      <c r="F2778" t="inlineStr">
        <is>
          <t>Paid Social</t>
        </is>
      </c>
      <c r="G2778" t="inlineStr">
        <is>
          <t>Mobile App</t>
        </is>
      </c>
      <c r="H2778" t="inlineStr">
        <is>
          <t>Credit Card</t>
        </is>
      </c>
      <c r="I2778" t="inlineStr">
        <is>
          <t>Delivered</t>
        </is>
      </c>
      <c r="J2778" t="n">
        <v>123</v>
      </c>
      <c r="K2778" t="n">
        <v>1</v>
      </c>
      <c r="L2778" s="7" t="n">
        <v>3464</v>
      </c>
      <c r="M2778" s="7" t="n">
        <v>519.6</v>
      </c>
    </row>
    <row r="2779">
      <c r="A2779" t="n">
        <v>510811</v>
      </c>
      <c r="B2779" s="6" t="n">
        <v>45974</v>
      </c>
      <c r="C2779" t="n">
        <v>13754</v>
      </c>
      <c r="D2779" t="inlineStr">
        <is>
          <t>Mumbai</t>
        </is>
      </c>
      <c r="E2779" t="inlineStr">
        <is>
          <t>West</t>
        </is>
      </c>
      <c r="F2779" t="inlineStr">
        <is>
          <t>Paid Search</t>
        </is>
      </c>
      <c r="G2779" t="inlineStr">
        <is>
          <t>Desktop</t>
        </is>
      </c>
      <c r="H2779" t="inlineStr">
        <is>
          <t>Credit Card</t>
        </is>
      </c>
      <c r="I2779" t="inlineStr">
        <is>
          <t>Delivered</t>
        </is>
      </c>
      <c r="J2779" t="n">
        <v>122</v>
      </c>
      <c r="K2779" t="n">
        <v>1</v>
      </c>
      <c r="L2779" s="7" t="n">
        <v>1994</v>
      </c>
      <c r="M2779" s="7" t="n">
        <v>0</v>
      </c>
    </row>
    <row r="2780">
      <c r="A2780" t="n">
        <v>510812</v>
      </c>
      <c r="B2780" s="6" t="n">
        <v>45974</v>
      </c>
      <c r="C2780" t="n">
        <v>17304</v>
      </c>
      <c r="D2780" t="inlineStr">
        <is>
          <t>Pune</t>
        </is>
      </c>
      <c r="E2780" t="inlineStr">
        <is>
          <t>West</t>
        </is>
      </c>
      <c r="F2780" t="inlineStr">
        <is>
          <t>Referral</t>
        </is>
      </c>
      <c r="G2780" t="inlineStr">
        <is>
          <t>Mobile App</t>
        </is>
      </c>
      <c r="H2780" t="inlineStr">
        <is>
          <t>Debit Card</t>
        </is>
      </c>
      <c r="I2780" t="inlineStr">
        <is>
          <t>Delivered</t>
        </is>
      </c>
      <c r="J2780" t="n">
        <v>115</v>
      </c>
      <c r="K2780" t="n">
        <v>1</v>
      </c>
      <c r="L2780" s="7" t="n">
        <v>4199</v>
      </c>
      <c r="M2780" s="7" t="n">
        <v>0</v>
      </c>
    </row>
    <row r="2781">
      <c r="A2781" t="n">
        <v>510812</v>
      </c>
      <c r="B2781" s="6" t="n">
        <v>45974</v>
      </c>
      <c r="C2781" t="n">
        <v>17304</v>
      </c>
      <c r="D2781" t="inlineStr">
        <is>
          <t>Pune</t>
        </is>
      </c>
      <c r="E2781" t="inlineStr">
        <is>
          <t>West</t>
        </is>
      </c>
      <c r="F2781" t="inlineStr">
        <is>
          <t>Referral</t>
        </is>
      </c>
      <c r="G2781" t="inlineStr">
        <is>
          <t>Mobile App</t>
        </is>
      </c>
      <c r="H2781" t="inlineStr">
        <is>
          <t>Debit Card</t>
        </is>
      </c>
      <c r="I2781" t="inlineStr">
        <is>
          <t>Delivered</t>
        </is>
      </c>
      <c r="J2781" t="n">
        <v>118</v>
      </c>
      <c r="K2781" t="n">
        <v>1</v>
      </c>
      <c r="L2781" s="7" t="n">
        <v>944</v>
      </c>
      <c r="M2781" s="7" t="n">
        <v>0</v>
      </c>
    </row>
    <row r="2782">
      <c r="A2782" t="n">
        <v>510812</v>
      </c>
      <c r="B2782" s="6" t="n">
        <v>45974</v>
      </c>
      <c r="C2782" t="n">
        <v>17304</v>
      </c>
      <c r="D2782" t="inlineStr">
        <is>
          <t>Pune</t>
        </is>
      </c>
      <c r="E2782" t="inlineStr">
        <is>
          <t>West</t>
        </is>
      </c>
      <c r="F2782" t="inlineStr">
        <is>
          <t>Referral</t>
        </is>
      </c>
      <c r="G2782" t="inlineStr">
        <is>
          <t>Mobile App</t>
        </is>
      </c>
      <c r="H2782" t="inlineStr">
        <is>
          <t>Debit Card</t>
        </is>
      </c>
      <c r="I2782" t="inlineStr">
        <is>
          <t>Delivered</t>
        </is>
      </c>
      <c r="J2782" t="n">
        <v>139</v>
      </c>
      <c r="K2782" t="n">
        <v>1</v>
      </c>
      <c r="L2782" s="7" t="n">
        <v>366</v>
      </c>
      <c r="M2782" s="7" t="n">
        <v>0</v>
      </c>
    </row>
    <row r="2783">
      <c r="A2783" t="n">
        <v>510813</v>
      </c>
      <c r="B2783" s="6" t="n">
        <v>45974</v>
      </c>
      <c r="C2783" t="n">
        <v>17320</v>
      </c>
      <c r="D2783" t="inlineStr">
        <is>
          <t>Delhi</t>
        </is>
      </c>
      <c r="E2783" t="inlineStr">
        <is>
          <t>North</t>
        </is>
      </c>
      <c r="F2783" t="inlineStr">
        <is>
          <t>Organic Search</t>
        </is>
      </c>
      <c r="G2783" t="inlineStr">
        <is>
          <t>Mobile App</t>
        </is>
      </c>
      <c r="H2783" t="inlineStr">
        <is>
          <t>UPI</t>
        </is>
      </c>
      <c r="I2783" t="inlineStr">
        <is>
          <t>Delivered</t>
        </is>
      </c>
      <c r="J2783" t="n">
        <v>104</v>
      </c>
      <c r="K2783" t="n">
        <v>1</v>
      </c>
      <c r="L2783" s="7" t="n">
        <v>5249</v>
      </c>
      <c r="M2783" s="7" t="n">
        <v>787.35</v>
      </c>
    </row>
    <row r="2784">
      <c r="A2784" t="n">
        <v>510813</v>
      </c>
      <c r="B2784" s="6" t="n">
        <v>45974</v>
      </c>
      <c r="C2784" t="n">
        <v>17320</v>
      </c>
      <c r="D2784" t="inlineStr">
        <is>
          <t>Delhi</t>
        </is>
      </c>
      <c r="E2784" t="inlineStr">
        <is>
          <t>North</t>
        </is>
      </c>
      <c r="F2784" t="inlineStr">
        <is>
          <t>Organic Search</t>
        </is>
      </c>
      <c r="G2784" t="inlineStr">
        <is>
          <t>Mobile App</t>
        </is>
      </c>
      <c r="H2784" t="inlineStr">
        <is>
          <t>UPI</t>
        </is>
      </c>
      <c r="I2784" t="inlineStr">
        <is>
          <t>Delivered</t>
        </is>
      </c>
      <c r="J2784" t="n">
        <v>103</v>
      </c>
      <c r="K2784" t="n">
        <v>2</v>
      </c>
      <c r="L2784" s="7" t="n">
        <v>2624</v>
      </c>
      <c r="M2784" s="7" t="n">
        <v>787.2</v>
      </c>
    </row>
    <row r="2785">
      <c r="A2785" t="n">
        <v>510814</v>
      </c>
      <c r="B2785" s="6" t="n">
        <v>45974</v>
      </c>
      <c r="C2785" t="n">
        <v>17280</v>
      </c>
      <c r="D2785" t="inlineStr">
        <is>
          <t>Lucknow</t>
        </is>
      </c>
      <c r="E2785" t="inlineStr">
        <is>
          <t>North</t>
        </is>
      </c>
      <c r="F2785" t="inlineStr">
        <is>
          <t>Affiliate</t>
        </is>
      </c>
      <c r="G2785" t="inlineStr">
        <is>
          <t>Mobile Web</t>
        </is>
      </c>
      <c r="H2785" t="inlineStr">
        <is>
          <t>UPI</t>
        </is>
      </c>
      <c r="I2785" t="inlineStr">
        <is>
          <t>Delivered</t>
        </is>
      </c>
      <c r="J2785" t="n">
        <v>131</v>
      </c>
      <c r="K2785" t="n">
        <v>2</v>
      </c>
      <c r="L2785" s="7" t="n">
        <v>314</v>
      </c>
      <c r="M2785" s="7" t="n">
        <v>0</v>
      </c>
    </row>
    <row r="2786">
      <c r="A2786" t="n">
        <v>510814</v>
      </c>
      <c r="B2786" s="6" t="n">
        <v>45974</v>
      </c>
      <c r="C2786" t="n">
        <v>17280</v>
      </c>
      <c r="D2786" t="inlineStr">
        <is>
          <t>Lucknow</t>
        </is>
      </c>
      <c r="E2786" t="inlineStr">
        <is>
          <t>North</t>
        </is>
      </c>
      <c r="F2786" t="inlineStr">
        <is>
          <t>Affiliate</t>
        </is>
      </c>
      <c r="G2786" t="inlineStr">
        <is>
          <t>Mobile Web</t>
        </is>
      </c>
      <c r="H2786" t="inlineStr">
        <is>
          <t>UPI</t>
        </is>
      </c>
      <c r="I2786" t="inlineStr">
        <is>
          <t>Delivered</t>
        </is>
      </c>
      <c r="J2786" t="n">
        <v>106</v>
      </c>
      <c r="K2786" t="n">
        <v>1</v>
      </c>
      <c r="L2786" s="7" t="n">
        <v>1574</v>
      </c>
      <c r="M2786" s="7" t="n">
        <v>0</v>
      </c>
    </row>
    <row r="2787">
      <c r="A2787" t="n">
        <v>510814</v>
      </c>
      <c r="B2787" s="6" t="n">
        <v>45974</v>
      </c>
      <c r="C2787" t="n">
        <v>17280</v>
      </c>
      <c r="D2787" t="inlineStr">
        <is>
          <t>Lucknow</t>
        </is>
      </c>
      <c r="E2787" t="inlineStr">
        <is>
          <t>North</t>
        </is>
      </c>
      <c r="F2787" t="inlineStr">
        <is>
          <t>Affiliate</t>
        </is>
      </c>
      <c r="G2787" t="inlineStr">
        <is>
          <t>Mobile Web</t>
        </is>
      </c>
      <c r="H2787" t="inlineStr">
        <is>
          <t>UPI</t>
        </is>
      </c>
      <c r="I2787" t="inlineStr">
        <is>
          <t>Delivered</t>
        </is>
      </c>
      <c r="J2787" t="n">
        <v>138</v>
      </c>
      <c r="K2787" t="n">
        <v>3</v>
      </c>
      <c r="L2787" s="7" t="n">
        <v>419</v>
      </c>
      <c r="M2787" s="7" t="n">
        <v>0</v>
      </c>
    </row>
    <row r="2788">
      <c r="A2788" t="n">
        <v>510814</v>
      </c>
      <c r="B2788" s="6" t="n">
        <v>45974</v>
      </c>
      <c r="C2788" t="n">
        <v>17280</v>
      </c>
      <c r="D2788" t="inlineStr">
        <is>
          <t>Lucknow</t>
        </is>
      </c>
      <c r="E2788" t="inlineStr">
        <is>
          <t>North</t>
        </is>
      </c>
      <c r="F2788" t="inlineStr">
        <is>
          <t>Affiliate</t>
        </is>
      </c>
      <c r="G2788" t="inlineStr">
        <is>
          <t>Mobile Web</t>
        </is>
      </c>
      <c r="H2788" t="inlineStr">
        <is>
          <t>UPI</t>
        </is>
      </c>
      <c r="I2788" t="inlineStr">
        <is>
          <t>Delivered</t>
        </is>
      </c>
      <c r="J2788" t="n">
        <v>147</v>
      </c>
      <c r="K2788" t="n">
        <v>1</v>
      </c>
      <c r="L2788" s="7" t="n">
        <v>1364</v>
      </c>
      <c r="M2788" s="7" t="n">
        <v>0</v>
      </c>
    </row>
    <row r="2789">
      <c r="A2789" t="n">
        <v>510815</v>
      </c>
      <c r="B2789" s="6" t="n">
        <v>45974</v>
      </c>
      <c r="C2789" t="n">
        <v>17219</v>
      </c>
      <c r="D2789" t="inlineStr">
        <is>
          <t>Bengaluru</t>
        </is>
      </c>
      <c r="E2789" t="inlineStr">
        <is>
          <t>South</t>
        </is>
      </c>
      <c r="F2789" t="inlineStr">
        <is>
          <t>Paid Social</t>
        </is>
      </c>
      <c r="G2789" t="inlineStr">
        <is>
          <t>Mobile Web</t>
        </is>
      </c>
      <c r="H2789" t="inlineStr">
        <is>
          <t>Credit Card</t>
        </is>
      </c>
      <c r="I2789" t="inlineStr">
        <is>
          <t>Delivered</t>
        </is>
      </c>
      <c r="J2789" t="n">
        <v>139</v>
      </c>
      <c r="K2789" t="n">
        <v>1</v>
      </c>
      <c r="L2789" s="7" t="n">
        <v>366</v>
      </c>
      <c r="M2789" s="7" t="n">
        <v>0</v>
      </c>
    </row>
    <row r="2790">
      <c r="A2790" t="n">
        <v>510816</v>
      </c>
      <c r="B2790" s="6" t="n">
        <v>45974</v>
      </c>
      <c r="C2790" t="n">
        <v>17310</v>
      </c>
      <c r="D2790" t="inlineStr">
        <is>
          <t>Gurugram</t>
        </is>
      </c>
      <c r="E2790" t="inlineStr">
        <is>
          <t>North</t>
        </is>
      </c>
      <c r="F2790" t="inlineStr">
        <is>
          <t>Paid Search</t>
        </is>
      </c>
      <c r="G2790" t="inlineStr">
        <is>
          <t>Desktop</t>
        </is>
      </c>
      <c r="H2790" t="inlineStr">
        <is>
          <t>UPI</t>
        </is>
      </c>
      <c r="I2790" t="inlineStr">
        <is>
          <t>Delivered</t>
        </is>
      </c>
      <c r="J2790" t="n">
        <v>123</v>
      </c>
      <c r="K2790" t="n">
        <v>2</v>
      </c>
      <c r="L2790" s="7" t="n">
        <v>3464</v>
      </c>
      <c r="M2790" s="7" t="n">
        <v>1039.2</v>
      </c>
    </row>
    <row r="2791">
      <c r="A2791" t="n">
        <v>510817</v>
      </c>
      <c r="B2791" s="6" t="n">
        <v>45974</v>
      </c>
      <c r="C2791" t="n">
        <v>16643</v>
      </c>
      <c r="D2791" t="inlineStr">
        <is>
          <t>Delhi</t>
        </is>
      </c>
      <c r="E2791" t="inlineStr">
        <is>
          <t>North</t>
        </is>
      </c>
      <c r="F2791" t="inlineStr">
        <is>
          <t>Referral</t>
        </is>
      </c>
      <c r="G2791" t="inlineStr">
        <is>
          <t>Mobile App</t>
        </is>
      </c>
      <c r="H2791" t="inlineStr">
        <is>
          <t>Debit Card</t>
        </is>
      </c>
      <c r="I2791" t="inlineStr">
        <is>
          <t>Delivered</t>
        </is>
      </c>
      <c r="J2791" t="n">
        <v>126</v>
      </c>
      <c r="K2791" t="n">
        <v>1</v>
      </c>
      <c r="L2791" s="7" t="n">
        <v>471</v>
      </c>
      <c r="M2791" s="7" t="n">
        <v>0</v>
      </c>
    </row>
    <row r="2792">
      <c r="A2792" t="n">
        <v>510817</v>
      </c>
      <c r="B2792" s="6" t="n">
        <v>45974</v>
      </c>
      <c r="C2792" t="n">
        <v>16643</v>
      </c>
      <c r="D2792" t="inlineStr">
        <is>
          <t>Delhi</t>
        </is>
      </c>
      <c r="E2792" t="inlineStr">
        <is>
          <t>North</t>
        </is>
      </c>
      <c r="F2792" t="inlineStr">
        <is>
          <t>Referral</t>
        </is>
      </c>
      <c r="G2792" t="inlineStr">
        <is>
          <t>Mobile App</t>
        </is>
      </c>
      <c r="H2792" t="inlineStr">
        <is>
          <t>Debit Card</t>
        </is>
      </c>
      <c r="I2792" t="inlineStr">
        <is>
          <t>Delivered</t>
        </is>
      </c>
      <c r="J2792" t="n">
        <v>116</v>
      </c>
      <c r="K2792" t="n">
        <v>1</v>
      </c>
      <c r="L2792" s="7" t="n">
        <v>2624</v>
      </c>
      <c r="M2792" s="7" t="n">
        <v>0</v>
      </c>
    </row>
    <row r="2793">
      <c r="A2793" t="n">
        <v>510818</v>
      </c>
      <c r="B2793" s="6" t="n">
        <v>45974</v>
      </c>
      <c r="C2793" t="n">
        <v>17271</v>
      </c>
      <c r="D2793" t="inlineStr">
        <is>
          <t>Bengaluru</t>
        </is>
      </c>
      <c r="E2793" t="inlineStr">
        <is>
          <t>South</t>
        </is>
      </c>
      <c r="F2793" t="inlineStr">
        <is>
          <t>Affiliate</t>
        </is>
      </c>
      <c r="G2793" t="inlineStr">
        <is>
          <t>Mobile App</t>
        </is>
      </c>
      <c r="H2793" t="inlineStr">
        <is>
          <t>Credit Card</t>
        </is>
      </c>
      <c r="I2793" t="inlineStr">
        <is>
          <t>Delivered</t>
        </is>
      </c>
      <c r="J2793" t="n">
        <v>131</v>
      </c>
      <c r="K2793" t="n">
        <v>1</v>
      </c>
      <c r="L2793" s="7" t="n">
        <v>314</v>
      </c>
      <c r="M2793" s="7" t="n">
        <v>0</v>
      </c>
    </row>
    <row r="2794">
      <c r="A2794" t="n">
        <v>510818</v>
      </c>
      <c r="B2794" s="6" t="n">
        <v>45974</v>
      </c>
      <c r="C2794" t="n">
        <v>17271</v>
      </c>
      <c r="D2794" t="inlineStr">
        <is>
          <t>Bengaluru</t>
        </is>
      </c>
      <c r="E2794" t="inlineStr">
        <is>
          <t>South</t>
        </is>
      </c>
      <c r="F2794" t="inlineStr">
        <is>
          <t>Affiliate</t>
        </is>
      </c>
      <c r="G2794" t="inlineStr">
        <is>
          <t>Mobile App</t>
        </is>
      </c>
      <c r="H2794" t="inlineStr">
        <is>
          <t>Credit Card</t>
        </is>
      </c>
      <c r="I2794" t="inlineStr">
        <is>
          <t>Delivered</t>
        </is>
      </c>
      <c r="J2794" t="n">
        <v>134</v>
      </c>
      <c r="K2794" t="n">
        <v>1</v>
      </c>
      <c r="L2794" s="7" t="n">
        <v>209</v>
      </c>
      <c r="M2794" s="7" t="n">
        <v>0</v>
      </c>
    </row>
    <row r="2795">
      <c r="A2795" t="n">
        <v>510818</v>
      </c>
      <c r="B2795" s="6" t="n">
        <v>45974</v>
      </c>
      <c r="C2795" t="n">
        <v>17271</v>
      </c>
      <c r="D2795" t="inlineStr">
        <is>
          <t>Bengaluru</t>
        </is>
      </c>
      <c r="E2795" t="inlineStr">
        <is>
          <t>South</t>
        </is>
      </c>
      <c r="F2795" t="inlineStr">
        <is>
          <t>Affiliate</t>
        </is>
      </c>
      <c r="G2795" t="inlineStr">
        <is>
          <t>Mobile App</t>
        </is>
      </c>
      <c r="H2795" t="inlineStr">
        <is>
          <t>Credit Card</t>
        </is>
      </c>
      <c r="I2795" t="inlineStr">
        <is>
          <t>Delivered</t>
        </is>
      </c>
      <c r="J2795" t="n">
        <v>104</v>
      </c>
      <c r="K2795" t="n">
        <v>1</v>
      </c>
      <c r="L2795" s="7" t="n">
        <v>5249</v>
      </c>
      <c r="M2795" s="7" t="n">
        <v>0</v>
      </c>
    </row>
    <row r="2796">
      <c r="A2796" t="n">
        <v>510818</v>
      </c>
      <c r="B2796" s="6" t="n">
        <v>45974</v>
      </c>
      <c r="C2796" t="n">
        <v>17271</v>
      </c>
      <c r="D2796" t="inlineStr">
        <is>
          <t>Bengaluru</t>
        </is>
      </c>
      <c r="E2796" t="inlineStr">
        <is>
          <t>South</t>
        </is>
      </c>
      <c r="F2796" t="inlineStr">
        <is>
          <t>Affiliate</t>
        </is>
      </c>
      <c r="G2796" t="inlineStr">
        <is>
          <t>Mobile App</t>
        </is>
      </c>
      <c r="H2796" t="inlineStr">
        <is>
          <t>Credit Card</t>
        </is>
      </c>
      <c r="I2796" t="inlineStr">
        <is>
          <t>Delivered</t>
        </is>
      </c>
      <c r="J2796" t="n">
        <v>107</v>
      </c>
      <c r="K2796" t="n">
        <v>1</v>
      </c>
      <c r="L2796" s="7" t="n">
        <v>1259</v>
      </c>
      <c r="M2796" s="7" t="n">
        <v>0</v>
      </c>
    </row>
    <row r="2797">
      <c r="A2797" t="n">
        <v>510819</v>
      </c>
      <c r="B2797" s="6" t="n">
        <v>45974</v>
      </c>
      <c r="C2797" t="n">
        <v>14158</v>
      </c>
      <c r="D2797" t="inlineStr">
        <is>
          <t>Gurugram</t>
        </is>
      </c>
      <c r="E2797" t="inlineStr">
        <is>
          <t>North</t>
        </is>
      </c>
      <c r="F2797" t="inlineStr">
        <is>
          <t>Referral</t>
        </is>
      </c>
      <c r="G2797" t="inlineStr">
        <is>
          <t>Desktop</t>
        </is>
      </c>
      <c r="H2797" t="inlineStr">
        <is>
          <t>UPI</t>
        </is>
      </c>
      <c r="I2797" t="inlineStr">
        <is>
          <t>Delivered</t>
        </is>
      </c>
      <c r="J2797" t="n">
        <v>145</v>
      </c>
      <c r="K2797" t="n">
        <v>1</v>
      </c>
      <c r="L2797" s="7" t="n">
        <v>629</v>
      </c>
      <c r="M2797" s="7" t="n">
        <v>0</v>
      </c>
    </row>
    <row r="2798">
      <c r="A2798" t="n">
        <v>510820</v>
      </c>
      <c r="B2798" s="6" t="n">
        <v>45974</v>
      </c>
      <c r="C2798" t="n">
        <v>17295</v>
      </c>
      <c r="D2798" t="inlineStr">
        <is>
          <t>Mumbai</t>
        </is>
      </c>
      <c r="E2798" t="inlineStr">
        <is>
          <t>West</t>
        </is>
      </c>
      <c r="F2798" t="inlineStr">
        <is>
          <t>Paid Search</t>
        </is>
      </c>
      <c r="G2798" t="inlineStr">
        <is>
          <t>Mobile App</t>
        </is>
      </c>
      <c r="H2798" t="inlineStr">
        <is>
          <t>UPI</t>
        </is>
      </c>
      <c r="I2798" t="inlineStr">
        <is>
          <t>Delivered</t>
        </is>
      </c>
      <c r="J2798" t="n">
        <v>112</v>
      </c>
      <c r="K2798" t="n">
        <v>1</v>
      </c>
      <c r="L2798" s="7" t="n">
        <v>1574</v>
      </c>
      <c r="M2798" s="7" t="n">
        <v>0</v>
      </c>
    </row>
    <row r="2799">
      <c r="A2799" t="n">
        <v>510821</v>
      </c>
      <c r="B2799" s="6" t="n">
        <v>45974</v>
      </c>
      <c r="C2799" t="n">
        <v>14808</v>
      </c>
      <c r="D2799" t="inlineStr">
        <is>
          <t>Chennai</t>
        </is>
      </c>
      <c r="E2799" t="inlineStr">
        <is>
          <t>South</t>
        </is>
      </c>
      <c r="F2799" t="inlineStr">
        <is>
          <t>Organic Search</t>
        </is>
      </c>
      <c r="G2799" t="inlineStr">
        <is>
          <t>Mobile App</t>
        </is>
      </c>
      <c r="H2799" t="inlineStr">
        <is>
          <t>Cash on Delivery</t>
        </is>
      </c>
      <c r="I2799" t="inlineStr">
        <is>
          <t>Delivered</t>
        </is>
      </c>
      <c r="J2799" t="n">
        <v>144</v>
      </c>
      <c r="K2799" t="n">
        <v>1</v>
      </c>
      <c r="L2799" s="7" t="n">
        <v>3149</v>
      </c>
      <c r="M2799" s="7" t="n">
        <v>0</v>
      </c>
    </row>
    <row r="2800">
      <c r="A2800" t="n">
        <v>510822</v>
      </c>
      <c r="B2800" s="6" t="n">
        <v>45974</v>
      </c>
      <c r="C2800" t="n">
        <v>17252</v>
      </c>
      <c r="D2800" t="inlineStr">
        <is>
          <t>Pune</t>
        </is>
      </c>
      <c r="E2800" t="inlineStr">
        <is>
          <t>West</t>
        </is>
      </c>
      <c r="F2800" t="inlineStr">
        <is>
          <t>Organic Search</t>
        </is>
      </c>
      <c r="G2800" t="inlineStr">
        <is>
          <t>Mobile App</t>
        </is>
      </c>
      <c r="H2800" t="inlineStr">
        <is>
          <t>Cash on Delivery</t>
        </is>
      </c>
      <c r="I2800" t="inlineStr">
        <is>
          <t>Cancelled</t>
        </is>
      </c>
      <c r="J2800" t="n">
        <v>127</v>
      </c>
      <c r="K2800" t="n">
        <v>1</v>
      </c>
      <c r="L2800" s="7" t="n">
        <v>681</v>
      </c>
      <c r="M2800" s="7" t="n">
        <v>0</v>
      </c>
    </row>
    <row r="2801">
      <c r="A2801" t="n">
        <v>510823</v>
      </c>
      <c r="B2801" s="6" t="n">
        <v>45974</v>
      </c>
      <c r="C2801" t="n">
        <v>17318</v>
      </c>
      <c r="D2801" t="inlineStr">
        <is>
          <t>Ahmedabad</t>
        </is>
      </c>
      <c r="E2801" t="inlineStr">
        <is>
          <t>West</t>
        </is>
      </c>
      <c r="F2801" t="inlineStr">
        <is>
          <t>Organic Search</t>
        </is>
      </c>
      <c r="G2801" t="inlineStr">
        <is>
          <t>Mobile App</t>
        </is>
      </c>
      <c r="H2801" t="inlineStr">
        <is>
          <t>Credit Card</t>
        </is>
      </c>
      <c r="I2801" t="inlineStr">
        <is>
          <t>Returned</t>
        </is>
      </c>
      <c r="J2801" t="n">
        <v>103</v>
      </c>
      <c r="K2801" t="n">
        <v>1</v>
      </c>
      <c r="L2801" s="7" t="n">
        <v>2624</v>
      </c>
      <c r="M2801" s="7" t="n">
        <v>393.6</v>
      </c>
    </row>
    <row r="2802">
      <c r="A2802" t="n">
        <v>510823</v>
      </c>
      <c r="B2802" s="6" t="n">
        <v>45974</v>
      </c>
      <c r="C2802" t="n">
        <v>17318</v>
      </c>
      <c r="D2802" t="inlineStr">
        <is>
          <t>Ahmedabad</t>
        </is>
      </c>
      <c r="E2802" t="inlineStr">
        <is>
          <t>West</t>
        </is>
      </c>
      <c r="F2802" t="inlineStr">
        <is>
          <t>Organic Search</t>
        </is>
      </c>
      <c r="G2802" t="inlineStr">
        <is>
          <t>Mobile App</t>
        </is>
      </c>
      <c r="H2802" t="inlineStr">
        <is>
          <t>Credit Card</t>
        </is>
      </c>
      <c r="I2802" t="inlineStr">
        <is>
          <t>Returned</t>
        </is>
      </c>
      <c r="J2802" t="n">
        <v>140</v>
      </c>
      <c r="K2802" t="n">
        <v>1</v>
      </c>
      <c r="L2802" s="7" t="n">
        <v>629</v>
      </c>
      <c r="M2802" s="7" t="n">
        <v>94.34999999999999</v>
      </c>
    </row>
    <row r="2803">
      <c r="A2803" t="n">
        <v>510823</v>
      </c>
      <c r="B2803" s="6" t="n">
        <v>45974</v>
      </c>
      <c r="C2803" t="n">
        <v>17318</v>
      </c>
      <c r="D2803" t="inlineStr">
        <is>
          <t>Ahmedabad</t>
        </is>
      </c>
      <c r="E2803" t="inlineStr">
        <is>
          <t>West</t>
        </is>
      </c>
      <c r="F2803" t="inlineStr">
        <is>
          <t>Organic Search</t>
        </is>
      </c>
      <c r="G2803" t="inlineStr">
        <is>
          <t>Mobile App</t>
        </is>
      </c>
      <c r="H2803" t="inlineStr">
        <is>
          <t>Credit Card</t>
        </is>
      </c>
      <c r="I2803" t="inlineStr">
        <is>
          <t>Returned</t>
        </is>
      </c>
      <c r="J2803" t="n">
        <v>113</v>
      </c>
      <c r="K2803" t="n">
        <v>2</v>
      </c>
      <c r="L2803" s="7" t="n">
        <v>1364</v>
      </c>
      <c r="M2803" s="7" t="n">
        <v>409.2</v>
      </c>
    </row>
    <row r="2804">
      <c r="A2804" t="n">
        <v>510824</v>
      </c>
      <c r="B2804" s="6" t="n">
        <v>45974</v>
      </c>
      <c r="C2804" t="n">
        <v>17276</v>
      </c>
      <c r="D2804" t="inlineStr">
        <is>
          <t>Hyderabad</t>
        </is>
      </c>
      <c r="E2804" t="inlineStr">
        <is>
          <t>South</t>
        </is>
      </c>
      <c r="F2804" t="inlineStr">
        <is>
          <t>Referral</t>
        </is>
      </c>
      <c r="G2804" t="inlineStr">
        <is>
          <t>Mobile App</t>
        </is>
      </c>
      <c r="H2804" t="inlineStr">
        <is>
          <t>UPI</t>
        </is>
      </c>
      <c r="I2804" t="inlineStr">
        <is>
          <t>Delivered</t>
        </is>
      </c>
      <c r="J2804" t="n">
        <v>127</v>
      </c>
      <c r="K2804" t="n">
        <v>1</v>
      </c>
      <c r="L2804" s="7" t="n">
        <v>681</v>
      </c>
      <c r="M2804" s="7" t="n">
        <v>102.15</v>
      </c>
    </row>
    <row r="2805">
      <c r="A2805" t="n">
        <v>510825</v>
      </c>
      <c r="B2805" s="6" t="n">
        <v>45974</v>
      </c>
      <c r="C2805" t="n">
        <v>17301</v>
      </c>
      <c r="D2805" t="inlineStr">
        <is>
          <t>Bengaluru</t>
        </is>
      </c>
      <c r="E2805" t="inlineStr">
        <is>
          <t>South</t>
        </is>
      </c>
      <c r="F2805" t="inlineStr">
        <is>
          <t>Organic Search</t>
        </is>
      </c>
      <c r="G2805" t="inlineStr">
        <is>
          <t>Mobile Web</t>
        </is>
      </c>
      <c r="H2805" t="inlineStr">
        <is>
          <t>Credit Card</t>
        </is>
      </c>
      <c r="I2805" t="inlineStr">
        <is>
          <t>Delivered</t>
        </is>
      </c>
      <c r="J2805" t="n">
        <v>106</v>
      </c>
      <c r="K2805" t="n">
        <v>3</v>
      </c>
      <c r="L2805" s="7" t="n">
        <v>1574</v>
      </c>
      <c r="M2805" s="7" t="n">
        <v>0</v>
      </c>
    </row>
    <row r="2806">
      <c r="A2806" t="n">
        <v>510826</v>
      </c>
      <c r="B2806" s="6" t="n">
        <v>45975</v>
      </c>
      <c r="C2806" t="n">
        <v>17317</v>
      </c>
      <c r="D2806" t="inlineStr">
        <is>
          <t>Delhi</t>
        </is>
      </c>
      <c r="E2806" t="inlineStr">
        <is>
          <t>North</t>
        </is>
      </c>
      <c r="F2806" t="inlineStr">
        <is>
          <t>Paid Social</t>
        </is>
      </c>
      <c r="G2806" t="inlineStr">
        <is>
          <t>Mobile App</t>
        </is>
      </c>
      <c r="H2806" t="inlineStr">
        <is>
          <t>Cash on Delivery</t>
        </is>
      </c>
      <c r="I2806" t="inlineStr">
        <is>
          <t>Delivered</t>
        </is>
      </c>
      <c r="J2806" t="n">
        <v>118</v>
      </c>
      <c r="K2806" t="n">
        <v>1</v>
      </c>
      <c r="L2806" s="7" t="n">
        <v>944</v>
      </c>
      <c r="M2806" s="7" t="n">
        <v>141.6</v>
      </c>
    </row>
    <row r="2807">
      <c r="A2807" t="n">
        <v>510826</v>
      </c>
      <c r="B2807" s="6" t="n">
        <v>45975</v>
      </c>
      <c r="C2807" t="n">
        <v>17317</v>
      </c>
      <c r="D2807" t="inlineStr">
        <is>
          <t>Delhi</t>
        </is>
      </c>
      <c r="E2807" t="inlineStr">
        <is>
          <t>North</t>
        </is>
      </c>
      <c r="F2807" t="inlineStr">
        <is>
          <t>Paid Social</t>
        </is>
      </c>
      <c r="G2807" t="inlineStr">
        <is>
          <t>Mobile App</t>
        </is>
      </c>
      <c r="H2807" t="inlineStr">
        <is>
          <t>Cash on Delivery</t>
        </is>
      </c>
      <c r="I2807" t="inlineStr">
        <is>
          <t>Delivered</t>
        </is>
      </c>
      <c r="J2807" t="n">
        <v>113</v>
      </c>
      <c r="K2807" t="n">
        <v>1</v>
      </c>
      <c r="L2807" s="7" t="n">
        <v>1364</v>
      </c>
      <c r="M2807" s="7" t="n">
        <v>204.6</v>
      </c>
    </row>
    <row r="2808">
      <c r="A2808" t="n">
        <v>510827</v>
      </c>
      <c r="B2808" s="6" t="n">
        <v>45975</v>
      </c>
      <c r="C2808" t="n">
        <v>17246</v>
      </c>
      <c r="D2808" t="inlineStr">
        <is>
          <t>Mumbai</t>
        </is>
      </c>
      <c r="E2808" t="inlineStr">
        <is>
          <t>West</t>
        </is>
      </c>
      <c r="F2808" t="inlineStr">
        <is>
          <t>Paid Search</t>
        </is>
      </c>
      <c r="G2808" t="inlineStr">
        <is>
          <t>Mobile App</t>
        </is>
      </c>
      <c r="H2808" t="inlineStr">
        <is>
          <t>Cash on Delivery</t>
        </is>
      </c>
      <c r="I2808" t="inlineStr">
        <is>
          <t>Cancelled</t>
        </is>
      </c>
      <c r="J2808" t="n">
        <v>111</v>
      </c>
      <c r="K2808" t="n">
        <v>1</v>
      </c>
      <c r="L2808" s="7" t="n">
        <v>524</v>
      </c>
      <c r="M2808" s="7" t="n">
        <v>78.59999999999999</v>
      </c>
    </row>
    <row r="2809">
      <c r="A2809" t="n">
        <v>510827</v>
      </c>
      <c r="B2809" s="6" t="n">
        <v>45975</v>
      </c>
      <c r="C2809" t="n">
        <v>17246</v>
      </c>
      <c r="D2809" t="inlineStr">
        <is>
          <t>Mumbai</t>
        </is>
      </c>
      <c r="E2809" t="inlineStr">
        <is>
          <t>West</t>
        </is>
      </c>
      <c r="F2809" t="inlineStr">
        <is>
          <t>Paid Search</t>
        </is>
      </c>
      <c r="G2809" t="inlineStr">
        <is>
          <t>Mobile App</t>
        </is>
      </c>
      <c r="H2809" t="inlineStr">
        <is>
          <t>Cash on Delivery</t>
        </is>
      </c>
      <c r="I2809" t="inlineStr">
        <is>
          <t>Cancelled</t>
        </is>
      </c>
      <c r="J2809" t="n">
        <v>135</v>
      </c>
      <c r="K2809" t="n">
        <v>1</v>
      </c>
      <c r="L2809" s="7" t="n">
        <v>1574</v>
      </c>
      <c r="M2809" s="7" t="n">
        <v>236.1</v>
      </c>
    </row>
    <row r="2810">
      <c r="A2810" t="n">
        <v>510828</v>
      </c>
      <c r="B2810" s="6" t="n">
        <v>45975</v>
      </c>
      <c r="C2810" t="n">
        <v>17207</v>
      </c>
      <c r="D2810" t="inlineStr">
        <is>
          <t>Chandigarh</t>
        </is>
      </c>
      <c r="E2810" t="inlineStr">
        <is>
          <t>North</t>
        </is>
      </c>
      <c r="F2810" t="inlineStr">
        <is>
          <t>Paid Social</t>
        </is>
      </c>
      <c r="G2810" t="inlineStr">
        <is>
          <t>Desktop</t>
        </is>
      </c>
      <c r="H2810" t="inlineStr">
        <is>
          <t>Debit Card</t>
        </is>
      </c>
      <c r="I2810" t="inlineStr">
        <is>
          <t>Delivered</t>
        </is>
      </c>
      <c r="J2810" t="n">
        <v>125</v>
      </c>
      <c r="K2810" t="n">
        <v>1</v>
      </c>
      <c r="L2810" s="7" t="n">
        <v>1364</v>
      </c>
      <c r="M2810" s="7" t="n">
        <v>0</v>
      </c>
    </row>
    <row r="2811">
      <c r="A2811" t="n">
        <v>510829</v>
      </c>
      <c r="B2811" s="6" t="n">
        <v>45975</v>
      </c>
      <c r="C2811" t="n">
        <v>17298</v>
      </c>
      <c r="D2811" t="inlineStr">
        <is>
          <t>Kolkata</t>
        </is>
      </c>
      <c r="E2811" t="inlineStr">
        <is>
          <t>East</t>
        </is>
      </c>
      <c r="F2811" t="inlineStr">
        <is>
          <t>Referral</t>
        </is>
      </c>
      <c r="G2811" t="inlineStr">
        <is>
          <t>Mobile App</t>
        </is>
      </c>
      <c r="H2811" t="inlineStr">
        <is>
          <t>UPI</t>
        </is>
      </c>
      <c r="I2811" t="inlineStr">
        <is>
          <t>Delivered</t>
        </is>
      </c>
      <c r="J2811" t="n">
        <v>143</v>
      </c>
      <c r="K2811" t="n">
        <v>1</v>
      </c>
      <c r="L2811" s="7" t="n">
        <v>839</v>
      </c>
      <c r="M2811" s="7" t="n">
        <v>125.85</v>
      </c>
    </row>
    <row r="2812">
      <c r="A2812" t="n">
        <v>510829</v>
      </c>
      <c r="B2812" s="6" t="n">
        <v>45975</v>
      </c>
      <c r="C2812" t="n">
        <v>17298</v>
      </c>
      <c r="D2812" t="inlineStr">
        <is>
          <t>Kolkata</t>
        </is>
      </c>
      <c r="E2812" t="inlineStr">
        <is>
          <t>East</t>
        </is>
      </c>
      <c r="F2812" t="inlineStr">
        <is>
          <t>Referral</t>
        </is>
      </c>
      <c r="G2812" t="inlineStr">
        <is>
          <t>Mobile App</t>
        </is>
      </c>
      <c r="H2812" t="inlineStr">
        <is>
          <t>UPI</t>
        </is>
      </c>
      <c r="I2812" t="inlineStr">
        <is>
          <t>Delivered</t>
        </is>
      </c>
      <c r="J2812" t="n">
        <v>103</v>
      </c>
      <c r="K2812" t="n">
        <v>1</v>
      </c>
      <c r="L2812" s="7" t="n">
        <v>2624</v>
      </c>
      <c r="M2812" s="7" t="n">
        <v>393.6</v>
      </c>
    </row>
    <row r="2813">
      <c r="A2813" t="n">
        <v>510829</v>
      </c>
      <c r="B2813" s="6" t="n">
        <v>45975</v>
      </c>
      <c r="C2813" t="n">
        <v>17298</v>
      </c>
      <c r="D2813" t="inlineStr">
        <is>
          <t>Kolkata</t>
        </is>
      </c>
      <c r="E2813" t="inlineStr">
        <is>
          <t>East</t>
        </is>
      </c>
      <c r="F2813" t="inlineStr">
        <is>
          <t>Referral</t>
        </is>
      </c>
      <c r="G2813" t="inlineStr">
        <is>
          <t>Mobile App</t>
        </is>
      </c>
      <c r="H2813" t="inlineStr">
        <is>
          <t>UPI</t>
        </is>
      </c>
      <c r="I2813" t="inlineStr">
        <is>
          <t>Delivered</t>
        </is>
      </c>
      <c r="J2813" t="n">
        <v>118</v>
      </c>
      <c r="K2813" t="n">
        <v>1</v>
      </c>
      <c r="L2813" s="7" t="n">
        <v>944</v>
      </c>
      <c r="M2813" s="7" t="n">
        <v>141.6</v>
      </c>
    </row>
    <row r="2814">
      <c r="A2814" t="n">
        <v>510830</v>
      </c>
      <c r="B2814" s="6" t="n">
        <v>45975</v>
      </c>
      <c r="C2814" t="n">
        <v>17328</v>
      </c>
      <c r="D2814" t="inlineStr">
        <is>
          <t>Mumbai</t>
        </is>
      </c>
      <c r="E2814" t="inlineStr">
        <is>
          <t>West</t>
        </is>
      </c>
      <c r="F2814" t="inlineStr">
        <is>
          <t>Affiliate</t>
        </is>
      </c>
      <c r="G2814" t="inlineStr">
        <is>
          <t>Mobile App</t>
        </is>
      </c>
      <c r="H2814" t="inlineStr">
        <is>
          <t>UPI</t>
        </is>
      </c>
      <c r="I2814" t="inlineStr">
        <is>
          <t>Delivered</t>
        </is>
      </c>
      <c r="J2814" t="n">
        <v>119</v>
      </c>
      <c r="K2814" t="n">
        <v>1</v>
      </c>
      <c r="L2814" s="7" t="n">
        <v>2309</v>
      </c>
      <c r="M2814" s="7" t="n">
        <v>0</v>
      </c>
    </row>
    <row r="2815">
      <c r="A2815" t="n">
        <v>510831</v>
      </c>
      <c r="B2815" s="6" t="n">
        <v>45975</v>
      </c>
      <c r="C2815" t="n">
        <v>16222</v>
      </c>
      <c r="D2815" t="inlineStr">
        <is>
          <t>Delhi</t>
        </is>
      </c>
      <c r="E2815" t="inlineStr">
        <is>
          <t>North</t>
        </is>
      </c>
      <c r="F2815" t="inlineStr">
        <is>
          <t>Paid Social</t>
        </is>
      </c>
      <c r="G2815" t="inlineStr">
        <is>
          <t>Mobile App</t>
        </is>
      </c>
      <c r="H2815" t="inlineStr">
        <is>
          <t>UPI</t>
        </is>
      </c>
      <c r="I2815" t="inlineStr">
        <is>
          <t>Delivered</t>
        </is>
      </c>
      <c r="J2815" t="n">
        <v>143</v>
      </c>
      <c r="K2815" t="n">
        <v>2</v>
      </c>
      <c r="L2815" s="7" t="n">
        <v>839</v>
      </c>
      <c r="M2815" s="7" t="n">
        <v>0</v>
      </c>
    </row>
    <row r="2816">
      <c r="A2816" t="n">
        <v>510831</v>
      </c>
      <c r="B2816" s="6" t="n">
        <v>45975</v>
      </c>
      <c r="C2816" t="n">
        <v>16222</v>
      </c>
      <c r="D2816" t="inlineStr">
        <is>
          <t>Delhi</t>
        </is>
      </c>
      <c r="E2816" t="inlineStr">
        <is>
          <t>North</t>
        </is>
      </c>
      <c r="F2816" t="inlineStr">
        <is>
          <t>Paid Social</t>
        </is>
      </c>
      <c r="G2816" t="inlineStr">
        <is>
          <t>Mobile App</t>
        </is>
      </c>
      <c r="H2816" t="inlineStr">
        <is>
          <t>UPI</t>
        </is>
      </c>
      <c r="I2816" t="inlineStr">
        <is>
          <t>Delivered</t>
        </is>
      </c>
      <c r="J2816" t="n">
        <v>126</v>
      </c>
      <c r="K2816" t="n">
        <v>2</v>
      </c>
      <c r="L2816" s="7" t="n">
        <v>471</v>
      </c>
      <c r="M2816" s="7" t="n">
        <v>0</v>
      </c>
    </row>
    <row r="2817">
      <c r="A2817" t="n">
        <v>510832</v>
      </c>
      <c r="B2817" s="6" t="n">
        <v>45975</v>
      </c>
      <c r="C2817" t="n">
        <v>14231</v>
      </c>
      <c r="D2817" t="inlineStr">
        <is>
          <t>Delhi</t>
        </is>
      </c>
      <c r="E2817" t="inlineStr">
        <is>
          <t>North</t>
        </is>
      </c>
      <c r="F2817" t="inlineStr">
        <is>
          <t>Referral</t>
        </is>
      </c>
      <c r="G2817" t="inlineStr">
        <is>
          <t>Mobile App</t>
        </is>
      </c>
      <c r="H2817" t="inlineStr">
        <is>
          <t>Cash on Delivery</t>
        </is>
      </c>
      <c r="I2817" t="inlineStr">
        <is>
          <t>Delivered</t>
        </is>
      </c>
      <c r="J2817" t="n">
        <v>103</v>
      </c>
      <c r="K2817" t="n">
        <v>1</v>
      </c>
      <c r="L2817" s="7" t="n">
        <v>2624</v>
      </c>
      <c r="M2817" s="7" t="n">
        <v>0</v>
      </c>
    </row>
    <row r="2818">
      <c r="A2818" t="n">
        <v>510832</v>
      </c>
      <c r="B2818" s="6" t="n">
        <v>45975</v>
      </c>
      <c r="C2818" t="n">
        <v>14231</v>
      </c>
      <c r="D2818" t="inlineStr">
        <is>
          <t>Delhi</t>
        </is>
      </c>
      <c r="E2818" t="inlineStr">
        <is>
          <t>North</t>
        </is>
      </c>
      <c r="F2818" t="inlineStr">
        <is>
          <t>Referral</t>
        </is>
      </c>
      <c r="G2818" t="inlineStr">
        <is>
          <t>Mobile App</t>
        </is>
      </c>
      <c r="H2818" t="inlineStr">
        <is>
          <t>Cash on Delivery</t>
        </is>
      </c>
      <c r="I2818" t="inlineStr">
        <is>
          <t>Delivered</t>
        </is>
      </c>
      <c r="J2818" t="n">
        <v>116</v>
      </c>
      <c r="K2818" t="n">
        <v>1</v>
      </c>
      <c r="L2818" s="7" t="n">
        <v>2624</v>
      </c>
      <c r="M2818" s="7" t="n">
        <v>0</v>
      </c>
    </row>
    <row r="2819">
      <c r="A2819" t="n">
        <v>510833</v>
      </c>
      <c r="B2819" s="6" t="n">
        <v>45975</v>
      </c>
      <c r="C2819" t="n">
        <v>15727</v>
      </c>
      <c r="D2819" t="inlineStr">
        <is>
          <t>Delhi</t>
        </is>
      </c>
      <c r="E2819" t="inlineStr">
        <is>
          <t>North</t>
        </is>
      </c>
      <c r="F2819" t="inlineStr">
        <is>
          <t>Paid Search</t>
        </is>
      </c>
      <c r="G2819" t="inlineStr">
        <is>
          <t>Desktop</t>
        </is>
      </c>
      <c r="H2819" t="inlineStr">
        <is>
          <t>Credit Card</t>
        </is>
      </c>
      <c r="I2819" t="inlineStr">
        <is>
          <t>Delivered</t>
        </is>
      </c>
      <c r="J2819" t="n">
        <v>114</v>
      </c>
      <c r="K2819" t="n">
        <v>1</v>
      </c>
      <c r="L2819" s="7" t="n">
        <v>1259</v>
      </c>
      <c r="M2819" s="7" t="n">
        <v>0</v>
      </c>
    </row>
    <row r="2820">
      <c r="A2820" t="n">
        <v>510833</v>
      </c>
      <c r="B2820" s="6" t="n">
        <v>45975</v>
      </c>
      <c r="C2820" t="n">
        <v>15727</v>
      </c>
      <c r="D2820" t="inlineStr">
        <is>
          <t>Delhi</t>
        </is>
      </c>
      <c r="E2820" t="inlineStr">
        <is>
          <t>North</t>
        </is>
      </c>
      <c r="F2820" t="inlineStr">
        <is>
          <t>Paid Search</t>
        </is>
      </c>
      <c r="G2820" t="inlineStr">
        <is>
          <t>Desktop</t>
        </is>
      </c>
      <c r="H2820" t="inlineStr">
        <is>
          <t>Credit Card</t>
        </is>
      </c>
      <c r="I2820" t="inlineStr">
        <is>
          <t>Delivered</t>
        </is>
      </c>
      <c r="J2820" t="n">
        <v>107</v>
      </c>
      <c r="K2820" t="n">
        <v>1</v>
      </c>
      <c r="L2820" s="7" t="n">
        <v>1259</v>
      </c>
      <c r="M2820" s="7" t="n">
        <v>0</v>
      </c>
    </row>
    <row r="2821">
      <c r="A2821" t="n">
        <v>510834</v>
      </c>
      <c r="B2821" s="6" t="n">
        <v>45975</v>
      </c>
      <c r="C2821" t="n">
        <v>17293</v>
      </c>
      <c r="D2821" t="inlineStr">
        <is>
          <t>Ahmedabad</t>
        </is>
      </c>
      <c r="E2821" t="inlineStr">
        <is>
          <t>West</t>
        </is>
      </c>
      <c r="F2821" t="inlineStr">
        <is>
          <t>Paid Social</t>
        </is>
      </c>
      <c r="G2821" t="inlineStr">
        <is>
          <t>Mobile App</t>
        </is>
      </c>
      <c r="H2821" t="inlineStr">
        <is>
          <t>UPI</t>
        </is>
      </c>
      <c r="I2821" t="inlineStr">
        <is>
          <t>Delivered</t>
        </is>
      </c>
      <c r="J2821" t="n">
        <v>116</v>
      </c>
      <c r="K2821" t="n">
        <v>2</v>
      </c>
      <c r="L2821" s="7" t="n">
        <v>2624</v>
      </c>
      <c r="M2821" s="7" t="n">
        <v>787.2</v>
      </c>
    </row>
    <row r="2822">
      <c r="A2822" t="n">
        <v>510835</v>
      </c>
      <c r="B2822" s="6" t="n">
        <v>45975</v>
      </c>
      <c r="C2822" t="n">
        <v>17344</v>
      </c>
      <c r="D2822" t="inlineStr">
        <is>
          <t>Mumbai</t>
        </is>
      </c>
      <c r="E2822" t="inlineStr">
        <is>
          <t>West</t>
        </is>
      </c>
      <c r="F2822" t="inlineStr">
        <is>
          <t>Paid Social</t>
        </is>
      </c>
      <c r="G2822" t="inlineStr">
        <is>
          <t>Mobile App</t>
        </is>
      </c>
      <c r="H2822" t="inlineStr">
        <is>
          <t>Cash on Delivery</t>
        </is>
      </c>
      <c r="I2822" t="inlineStr">
        <is>
          <t>Delivered</t>
        </is>
      </c>
      <c r="J2822" t="n">
        <v>143</v>
      </c>
      <c r="K2822" t="n">
        <v>1</v>
      </c>
      <c r="L2822" s="7" t="n">
        <v>839</v>
      </c>
      <c r="M2822" s="7" t="n">
        <v>41.95</v>
      </c>
    </row>
    <row r="2823">
      <c r="A2823" t="n">
        <v>510835</v>
      </c>
      <c r="B2823" s="6" t="n">
        <v>45975</v>
      </c>
      <c r="C2823" t="n">
        <v>17344</v>
      </c>
      <c r="D2823" t="inlineStr">
        <is>
          <t>Mumbai</t>
        </is>
      </c>
      <c r="E2823" t="inlineStr">
        <is>
          <t>West</t>
        </is>
      </c>
      <c r="F2823" t="inlineStr">
        <is>
          <t>Paid Social</t>
        </is>
      </c>
      <c r="G2823" t="inlineStr">
        <is>
          <t>Mobile App</t>
        </is>
      </c>
      <c r="H2823" t="inlineStr">
        <is>
          <t>Cash on Delivery</t>
        </is>
      </c>
      <c r="I2823" t="inlineStr">
        <is>
          <t>Delivered</t>
        </is>
      </c>
      <c r="J2823" t="n">
        <v>121</v>
      </c>
      <c r="K2823" t="n">
        <v>1</v>
      </c>
      <c r="L2823" s="7" t="n">
        <v>2939</v>
      </c>
      <c r="M2823" s="7" t="n">
        <v>146.95</v>
      </c>
    </row>
    <row r="2824">
      <c r="A2824" t="n">
        <v>510836</v>
      </c>
      <c r="B2824" s="6" t="n">
        <v>45975</v>
      </c>
      <c r="C2824" t="n">
        <v>17302</v>
      </c>
      <c r="D2824" t="inlineStr">
        <is>
          <t>Ahmedabad</t>
        </is>
      </c>
      <c r="E2824" t="inlineStr">
        <is>
          <t>West</t>
        </is>
      </c>
      <c r="F2824" t="inlineStr">
        <is>
          <t>Paid Social</t>
        </is>
      </c>
      <c r="G2824" t="inlineStr">
        <is>
          <t>Mobile App</t>
        </is>
      </c>
      <c r="H2824" t="inlineStr">
        <is>
          <t>UPI</t>
        </is>
      </c>
      <c r="I2824" t="inlineStr">
        <is>
          <t>Delivered</t>
        </is>
      </c>
      <c r="J2824" t="n">
        <v>132</v>
      </c>
      <c r="K2824" t="n">
        <v>1</v>
      </c>
      <c r="L2824" s="7" t="n">
        <v>471</v>
      </c>
      <c r="M2824" s="7" t="n">
        <v>0</v>
      </c>
    </row>
    <row r="2825">
      <c r="A2825" t="n">
        <v>510836</v>
      </c>
      <c r="B2825" s="6" t="n">
        <v>45975</v>
      </c>
      <c r="C2825" t="n">
        <v>17302</v>
      </c>
      <c r="D2825" t="inlineStr">
        <is>
          <t>Ahmedabad</t>
        </is>
      </c>
      <c r="E2825" t="inlineStr">
        <is>
          <t>West</t>
        </is>
      </c>
      <c r="F2825" t="inlineStr">
        <is>
          <t>Paid Social</t>
        </is>
      </c>
      <c r="G2825" t="inlineStr">
        <is>
          <t>Mobile App</t>
        </is>
      </c>
      <c r="H2825" t="inlineStr">
        <is>
          <t>UPI</t>
        </is>
      </c>
      <c r="I2825" t="inlineStr">
        <is>
          <t>Delivered</t>
        </is>
      </c>
      <c r="J2825" t="n">
        <v>102</v>
      </c>
      <c r="K2825" t="n">
        <v>1</v>
      </c>
      <c r="L2825" s="7" t="n">
        <v>3674</v>
      </c>
      <c r="M2825" s="7" t="n">
        <v>0</v>
      </c>
    </row>
    <row r="2826">
      <c r="A2826" t="n">
        <v>510836</v>
      </c>
      <c r="B2826" s="6" t="n">
        <v>45975</v>
      </c>
      <c r="C2826" t="n">
        <v>17302</v>
      </c>
      <c r="D2826" t="inlineStr">
        <is>
          <t>Ahmedabad</t>
        </is>
      </c>
      <c r="E2826" t="inlineStr">
        <is>
          <t>West</t>
        </is>
      </c>
      <c r="F2826" t="inlineStr">
        <is>
          <t>Paid Social</t>
        </is>
      </c>
      <c r="G2826" t="inlineStr">
        <is>
          <t>Mobile App</t>
        </is>
      </c>
      <c r="H2826" t="inlineStr">
        <is>
          <t>UPI</t>
        </is>
      </c>
      <c r="I2826" t="inlineStr">
        <is>
          <t>Delivered</t>
        </is>
      </c>
      <c r="J2826" t="n">
        <v>120</v>
      </c>
      <c r="K2826" t="n">
        <v>1</v>
      </c>
      <c r="L2826" s="7" t="n">
        <v>734</v>
      </c>
      <c r="M2826" s="7" t="n">
        <v>0</v>
      </c>
    </row>
    <row r="2827">
      <c r="A2827" t="n">
        <v>510837</v>
      </c>
      <c r="B2827" s="6" t="n">
        <v>45975</v>
      </c>
      <c r="C2827" t="n">
        <v>16245</v>
      </c>
      <c r="D2827" t="inlineStr">
        <is>
          <t>Kolkata</t>
        </is>
      </c>
      <c r="E2827" t="inlineStr">
        <is>
          <t>East</t>
        </is>
      </c>
      <c r="F2827" t="inlineStr">
        <is>
          <t>Organic Search</t>
        </is>
      </c>
      <c r="G2827" t="inlineStr">
        <is>
          <t>Mobile App</t>
        </is>
      </c>
      <c r="H2827" t="inlineStr">
        <is>
          <t>UPI</t>
        </is>
      </c>
      <c r="I2827" t="inlineStr">
        <is>
          <t>Delivered</t>
        </is>
      </c>
      <c r="J2827" t="n">
        <v>135</v>
      </c>
      <c r="K2827" t="n">
        <v>2</v>
      </c>
      <c r="L2827" s="7" t="n">
        <v>1574</v>
      </c>
      <c r="M2827" s="7" t="n">
        <v>0</v>
      </c>
    </row>
    <row r="2828">
      <c r="A2828" t="n">
        <v>510838</v>
      </c>
      <c r="B2828" s="6" t="n">
        <v>45975</v>
      </c>
      <c r="C2828" t="n">
        <v>17332</v>
      </c>
      <c r="D2828" t="inlineStr">
        <is>
          <t>Mumbai</t>
        </is>
      </c>
      <c r="E2828" t="inlineStr">
        <is>
          <t>West</t>
        </is>
      </c>
      <c r="F2828" t="inlineStr">
        <is>
          <t>Paid Social</t>
        </is>
      </c>
      <c r="G2828" t="inlineStr">
        <is>
          <t>Mobile Web</t>
        </is>
      </c>
      <c r="H2828" t="inlineStr">
        <is>
          <t>Debit Card</t>
        </is>
      </c>
      <c r="I2828" t="inlineStr">
        <is>
          <t>Delivered</t>
        </is>
      </c>
      <c r="J2828" t="n">
        <v>108</v>
      </c>
      <c r="K2828" t="n">
        <v>3</v>
      </c>
      <c r="L2828" s="7" t="n">
        <v>419</v>
      </c>
      <c r="M2828" s="7" t="n">
        <v>0</v>
      </c>
    </row>
    <row r="2829">
      <c r="A2829" t="n">
        <v>510838</v>
      </c>
      <c r="B2829" s="6" t="n">
        <v>45975</v>
      </c>
      <c r="C2829" t="n">
        <v>17332</v>
      </c>
      <c r="D2829" t="inlineStr">
        <is>
          <t>Mumbai</t>
        </is>
      </c>
      <c r="E2829" t="inlineStr">
        <is>
          <t>West</t>
        </is>
      </c>
      <c r="F2829" t="inlineStr">
        <is>
          <t>Paid Social</t>
        </is>
      </c>
      <c r="G2829" t="inlineStr">
        <is>
          <t>Mobile Web</t>
        </is>
      </c>
      <c r="H2829" t="inlineStr">
        <is>
          <t>Debit Card</t>
        </is>
      </c>
      <c r="I2829" t="inlineStr">
        <is>
          <t>Delivered</t>
        </is>
      </c>
      <c r="J2829" t="n">
        <v>137</v>
      </c>
      <c r="K2829" t="n">
        <v>1</v>
      </c>
      <c r="L2829" s="7" t="n">
        <v>261</v>
      </c>
      <c r="M2829" s="7" t="n">
        <v>0</v>
      </c>
    </row>
    <row r="2830">
      <c r="A2830" t="n">
        <v>510839</v>
      </c>
      <c r="B2830" s="6" t="n">
        <v>45975</v>
      </c>
      <c r="C2830" t="n">
        <v>17299</v>
      </c>
      <c r="D2830" t="inlineStr">
        <is>
          <t>Lucknow</t>
        </is>
      </c>
      <c r="E2830" t="inlineStr">
        <is>
          <t>North</t>
        </is>
      </c>
      <c r="F2830" t="inlineStr">
        <is>
          <t>Paid Search</t>
        </is>
      </c>
      <c r="G2830" t="inlineStr">
        <is>
          <t>Mobile Web</t>
        </is>
      </c>
      <c r="H2830" t="inlineStr">
        <is>
          <t>UPI</t>
        </is>
      </c>
      <c r="I2830" t="inlineStr">
        <is>
          <t>Delivered</t>
        </is>
      </c>
      <c r="J2830" t="n">
        <v>118</v>
      </c>
      <c r="K2830" t="n">
        <v>1</v>
      </c>
      <c r="L2830" s="7" t="n">
        <v>944</v>
      </c>
      <c r="M2830" s="7" t="n">
        <v>141.6</v>
      </c>
    </row>
    <row r="2831">
      <c r="A2831" t="n">
        <v>510840</v>
      </c>
      <c r="B2831" s="6" t="n">
        <v>45975</v>
      </c>
      <c r="C2831" t="n">
        <v>17217</v>
      </c>
      <c r="D2831" t="inlineStr">
        <is>
          <t>Gurugram</t>
        </is>
      </c>
      <c r="E2831" t="inlineStr">
        <is>
          <t>North</t>
        </is>
      </c>
      <c r="F2831" t="inlineStr">
        <is>
          <t>Organic Search</t>
        </is>
      </c>
      <c r="G2831" t="inlineStr">
        <is>
          <t>Desktop</t>
        </is>
      </c>
      <c r="H2831" t="inlineStr">
        <is>
          <t>Cash on Delivery</t>
        </is>
      </c>
      <c r="I2831" t="inlineStr">
        <is>
          <t>Delivered</t>
        </is>
      </c>
      <c r="J2831" t="n">
        <v>110</v>
      </c>
      <c r="K2831" t="n">
        <v>1</v>
      </c>
      <c r="L2831" s="7" t="n">
        <v>839</v>
      </c>
      <c r="M2831" s="7" t="n">
        <v>0</v>
      </c>
    </row>
    <row r="2832">
      <c r="A2832" t="n">
        <v>510841</v>
      </c>
      <c r="B2832" s="6" t="n">
        <v>45975</v>
      </c>
      <c r="C2832" t="n">
        <v>17313</v>
      </c>
      <c r="D2832" t="inlineStr">
        <is>
          <t>Kolkata</t>
        </is>
      </c>
      <c r="E2832" t="inlineStr">
        <is>
          <t>East</t>
        </is>
      </c>
      <c r="F2832" t="inlineStr">
        <is>
          <t>Organic Search</t>
        </is>
      </c>
      <c r="G2832" t="inlineStr">
        <is>
          <t>Mobile Web</t>
        </is>
      </c>
      <c r="H2832" t="inlineStr">
        <is>
          <t>Net Banking</t>
        </is>
      </c>
      <c r="I2832" t="inlineStr">
        <is>
          <t>Delivered</t>
        </is>
      </c>
      <c r="J2832" t="n">
        <v>103</v>
      </c>
      <c r="K2832" t="n">
        <v>1</v>
      </c>
      <c r="L2832" s="7" t="n">
        <v>2624</v>
      </c>
      <c r="M2832" s="7" t="n">
        <v>393.6</v>
      </c>
    </row>
    <row r="2833">
      <c r="A2833" t="n">
        <v>510842</v>
      </c>
      <c r="B2833" s="6" t="n">
        <v>45975</v>
      </c>
      <c r="C2833" t="n">
        <v>17322</v>
      </c>
      <c r="D2833" t="inlineStr">
        <is>
          <t>Hyderabad</t>
        </is>
      </c>
      <c r="E2833" t="inlineStr">
        <is>
          <t>South</t>
        </is>
      </c>
      <c r="F2833" t="inlineStr">
        <is>
          <t>Paid Social</t>
        </is>
      </c>
      <c r="G2833" t="inlineStr">
        <is>
          <t>Desktop</t>
        </is>
      </c>
      <c r="H2833" t="inlineStr">
        <is>
          <t>UPI</t>
        </is>
      </c>
      <c r="I2833" t="inlineStr">
        <is>
          <t>Delivered</t>
        </is>
      </c>
      <c r="J2833" t="n">
        <v>107</v>
      </c>
      <c r="K2833" t="n">
        <v>1</v>
      </c>
      <c r="L2833" s="7" t="n">
        <v>1259</v>
      </c>
      <c r="M2833" s="7" t="n">
        <v>0</v>
      </c>
    </row>
    <row r="2834">
      <c r="A2834" t="n">
        <v>510842</v>
      </c>
      <c r="B2834" s="6" t="n">
        <v>45975</v>
      </c>
      <c r="C2834" t="n">
        <v>17322</v>
      </c>
      <c r="D2834" t="inlineStr">
        <is>
          <t>Hyderabad</t>
        </is>
      </c>
      <c r="E2834" t="inlineStr">
        <is>
          <t>South</t>
        </is>
      </c>
      <c r="F2834" t="inlineStr">
        <is>
          <t>Paid Social</t>
        </is>
      </c>
      <c r="G2834" t="inlineStr">
        <is>
          <t>Desktop</t>
        </is>
      </c>
      <c r="H2834" t="inlineStr">
        <is>
          <t>UPI</t>
        </is>
      </c>
      <c r="I2834" t="inlineStr">
        <is>
          <t>Delivered</t>
        </is>
      </c>
      <c r="J2834" t="n">
        <v>108</v>
      </c>
      <c r="K2834" t="n">
        <v>1</v>
      </c>
      <c r="L2834" s="7" t="n">
        <v>419</v>
      </c>
      <c r="M2834" s="7" t="n">
        <v>0</v>
      </c>
    </row>
    <row r="2835">
      <c r="A2835" t="n">
        <v>510843</v>
      </c>
      <c r="B2835" s="6" t="n">
        <v>45975</v>
      </c>
      <c r="C2835" t="n">
        <v>17190</v>
      </c>
      <c r="D2835" t="inlineStr">
        <is>
          <t>Chennai</t>
        </is>
      </c>
      <c r="E2835" t="inlineStr">
        <is>
          <t>South</t>
        </is>
      </c>
      <c r="F2835" t="inlineStr">
        <is>
          <t>Referral</t>
        </is>
      </c>
      <c r="G2835" t="inlineStr">
        <is>
          <t>Mobile Web</t>
        </is>
      </c>
      <c r="H2835" t="inlineStr">
        <is>
          <t>UPI</t>
        </is>
      </c>
      <c r="I2835" t="inlineStr">
        <is>
          <t>Delivered</t>
        </is>
      </c>
      <c r="J2835" t="n">
        <v>111</v>
      </c>
      <c r="K2835" t="n">
        <v>1</v>
      </c>
      <c r="L2835" s="7" t="n">
        <v>524</v>
      </c>
      <c r="M2835" s="7" t="n">
        <v>78.59999999999999</v>
      </c>
    </row>
    <row r="2836">
      <c r="A2836" t="n">
        <v>510844</v>
      </c>
      <c r="B2836" s="6" t="n">
        <v>45975</v>
      </c>
      <c r="C2836" t="n">
        <v>17307</v>
      </c>
      <c r="D2836" t="inlineStr">
        <is>
          <t>Delhi</t>
        </is>
      </c>
      <c r="E2836" t="inlineStr">
        <is>
          <t>North</t>
        </is>
      </c>
      <c r="F2836" t="inlineStr">
        <is>
          <t>Email</t>
        </is>
      </c>
      <c r="G2836" t="inlineStr">
        <is>
          <t>Mobile App</t>
        </is>
      </c>
      <c r="H2836" t="inlineStr">
        <is>
          <t>UPI</t>
        </is>
      </c>
      <c r="I2836" t="inlineStr">
        <is>
          <t>Delivered</t>
        </is>
      </c>
      <c r="J2836" t="n">
        <v>132</v>
      </c>
      <c r="K2836" t="n">
        <v>2</v>
      </c>
      <c r="L2836" s="7" t="n">
        <v>471</v>
      </c>
      <c r="M2836" s="7" t="n">
        <v>141.3</v>
      </c>
    </row>
    <row r="2837">
      <c r="A2837" t="n">
        <v>510844</v>
      </c>
      <c r="B2837" s="6" t="n">
        <v>45975</v>
      </c>
      <c r="C2837" t="n">
        <v>17307</v>
      </c>
      <c r="D2837" t="inlineStr">
        <is>
          <t>Delhi</t>
        </is>
      </c>
      <c r="E2837" t="inlineStr">
        <is>
          <t>North</t>
        </is>
      </c>
      <c r="F2837" t="inlineStr">
        <is>
          <t>Email</t>
        </is>
      </c>
      <c r="G2837" t="inlineStr">
        <is>
          <t>Mobile App</t>
        </is>
      </c>
      <c r="H2837" t="inlineStr">
        <is>
          <t>UPI</t>
        </is>
      </c>
      <c r="I2837" t="inlineStr">
        <is>
          <t>Delivered</t>
        </is>
      </c>
      <c r="J2837" t="n">
        <v>114</v>
      </c>
      <c r="K2837" t="n">
        <v>2</v>
      </c>
      <c r="L2837" s="7" t="n">
        <v>1259</v>
      </c>
      <c r="M2837" s="7" t="n">
        <v>377.7</v>
      </c>
    </row>
    <row r="2838">
      <c r="A2838" t="n">
        <v>510844</v>
      </c>
      <c r="B2838" s="6" t="n">
        <v>45975</v>
      </c>
      <c r="C2838" t="n">
        <v>17307</v>
      </c>
      <c r="D2838" t="inlineStr">
        <is>
          <t>Delhi</t>
        </is>
      </c>
      <c r="E2838" t="inlineStr">
        <is>
          <t>North</t>
        </is>
      </c>
      <c r="F2838" t="inlineStr">
        <is>
          <t>Email</t>
        </is>
      </c>
      <c r="G2838" t="inlineStr">
        <is>
          <t>Mobile App</t>
        </is>
      </c>
      <c r="H2838" t="inlineStr">
        <is>
          <t>UPI</t>
        </is>
      </c>
      <c r="I2838" t="inlineStr">
        <is>
          <t>Delivered</t>
        </is>
      </c>
      <c r="J2838" t="n">
        <v>140</v>
      </c>
      <c r="K2838" t="n">
        <v>1</v>
      </c>
      <c r="L2838" s="7" t="n">
        <v>629</v>
      </c>
      <c r="M2838" s="7" t="n">
        <v>94.34999999999999</v>
      </c>
    </row>
    <row r="2839">
      <c r="A2839" t="n">
        <v>510845</v>
      </c>
      <c r="B2839" s="6" t="n">
        <v>45975</v>
      </c>
      <c r="C2839" t="n">
        <v>17259</v>
      </c>
      <c r="D2839" t="inlineStr">
        <is>
          <t>Gurugram</t>
        </is>
      </c>
      <c r="E2839" t="inlineStr">
        <is>
          <t>North</t>
        </is>
      </c>
      <c r="F2839" t="inlineStr">
        <is>
          <t>Affiliate</t>
        </is>
      </c>
      <c r="G2839" t="inlineStr">
        <is>
          <t>Mobile Web</t>
        </is>
      </c>
      <c r="H2839" t="inlineStr">
        <is>
          <t>UPI</t>
        </is>
      </c>
      <c r="I2839" t="inlineStr">
        <is>
          <t>Returned</t>
        </is>
      </c>
      <c r="J2839" t="n">
        <v>130</v>
      </c>
      <c r="K2839" t="n">
        <v>2</v>
      </c>
      <c r="L2839" s="7" t="n">
        <v>734</v>
      </c>
      <c r="M2839" s="7" t="n">
        <v>0</v>
      </c>
    </row>
    <row r="2840">
      <c r="A2840" t="n">
        <v>510845</v>
      </c>
      <c r="B2840" s="6" t="n">
        <v>45975</v>
      </c>
      <c r="C2840" t="n">
        <v>17259</v>
      </c>
      <c r="D2840" t="inlineStr">
        <is>
          <t>Gurugram</t>
        </is>
      </c>
      <c r="E2840" t="inlineStr">
        <is>
          <t>North</t>
        </is>
      </c>
      <c r="F2840" t="inlineStr">
        <is>
          <t>Affiliate</t>
        </is>
      </c>
      <c r="G2840" t="inlineStr">
        <is>
          <t>Mobile Web</t>
        </is>
      </c>
      <c r="H2840" t="inlineStr">
        <is>
          <t>UPI</t>
        </is>
      </c>
      <c r="I2840" t="inlineStr">
        <is>
          <t>Returned</t>
        </is>
      </c>
      <c r="J2840" t="n">
        <v>117</v>
      </c>
      <c r="K2840" t="n">
        <v>1</v>
      </c>
      <c r="L2840" s="7" t="n">
        <v>3149</v>
      </c>
      <c r="M2840" s="7" t="n">
        <v>0</v>
      </c>
    </row>
    <row r="2841">
      <c r="A2841" t="n">
        <v>510846</v>
      </c>
      <c r="B2841" s="6" t="n">
        <v>45975</v>
      </c>
      <c r="C2841" t="n">
        <v>17286</v>
      </c>
      <c r="D2841" t="inlineStr">
        <is>
          <t>Kochi</t>
        </is>
      </c>
      <c r="E2841" t="inlineStr">
        <is>
          <t>South</t>
        </is>
      </c>
      <c r="F2841" t="inlineStr">
        <is>
          <t>Paid Social</t>
        </is>
      </c>
      <c r="G2841" t="inlineStr">
        <is>
          <t>Mobile App</t>
        </is>
      </c>
      <c r="H2841" t="inlineStr">
        <is>
          <t>Credit Card</t>
        </is>
      </c>
      <c r="I2841" t="inlineStr">
        <is>
          <t>Delivered</t>
        </is>
      </c>
      <c r="J2841" t="n">
        <v>127</v>
      </c>
      <c r="K2841" t="n">
        <v>1</v>
      </c>
      <c r="L2841" s="7" t="n">
        <v>681</v>
      </c>
      <c r="M2841" s="7" t="n">
        <v>0</v>
      </c>
    </row>
    <row r="2842">
      <c r="A2842" t="n">
        <v>510847</v>
      </c>
      <c r="B2842" s="6" t="n">
        <v>45975</v>
      </c>
      <c r="C2842" t="n">
        <v>16974</v>
      </c>
      <c r="D2842" t="inlineStr">
        <is>
          <t>Kolkata</t>
        </is>
      </c>
      <c r="E2842" t="inlineStr">
        <is>
          <t>East</t>
        </is>
      </c>
      <c r="F2842" t="inlineStr">
        <is>
          <t>Organic Search</t>
        </is>
      </c>
      <c r="G2842" t="inlineStr">
        <is>
          <t>Desktop</t>
        </is>
      </c>
      <c r="H2842" t="inlineStr">
        <is>
          <t>Cash on Delivery</t>
        </is>
      </c>
      <c r="I2842" t="inlineStr">
        <is>
          <t>Returned</t>
        </is>
      </c>
      <c r="J2842" t="n">
        <v>107</v>
      </c>
      <c r="K2842" t="n">
        <v>1</v>
      </c>
      <c r="L2842" s="7" t="n">
        <v>1259</v>
      </c>
      <c r="M2842" s="7" t="n">
        <v>0</v>
      </c>
    </row>
    <row r="2843">
      <c r="A2843" t="n">
        <v>510848</v>
      </c>
      <c r="B2843" s="6" t="n">
        <v>45975</v>
      </c>
      <c r="C2843" t="n">
        <v>17111</v>
      </c>
      <c r="D2843" t="inlineStr">
        <is>
          <t>Bengaluru</t>
        </is>
      </c>
      <c r="E2843" t="inlineStr">
        <is>
          <t>South</t>
        </is>
      </c>
      <c r="F2843" t="inlineStr">
        <is>
          <t>Paid Search</t>
        </is>
      </c>
      <c r="G2843" t="inlineStr">
        <is>
          <t>Desktop</t>
        </is>
      </c>
      <c r="H2843" t="inlineStr">
        <is>
          <t>Credit Card</t>
        </is>
      </c>
      <c r="I2843" t="inlineStr">
        <is>
          <t>Delivered</t>
        </is>
      </c>
      <c r="J2843" t="n">
        <v>130</v>
      </c>
      <c r="K2843" t="n">
        <v>2</v>
      </c>
      <c r="L2843" s="7" t="n">
        <v>734</v>
      </c>
      <c r="M2843" s="7" t="n">
        <v>0</v>
      </c>
    </row>
    <row r="2844">
      <c r="A2844" t="n">
        <v>510849</v>
      </c>
      <c r="B2844" s="6" t="n">
        <v>45975</v>
      </c>
      <c r="C2844" t="n">
        <v>17266</v>
      </c>
      <c r="D2844" t="inlineStr">
        <is>
          <t>Gurugram</t>
        </is>
      </c>
      <c r="E2844" t="inlineStr">
        <is>
          <t>North</t>
        </is>
      </c>
      <c r="F2844" t="inlineStr">
        <is>
          <t>Organic Search</t>
        </is>
      </c>
      <c r="G2844" t="inlineStr">
        <is>
          <t>Mobile Web</t>
        </is>
      </c>
      <c r="H2844" t="inlineStr">
        <is>
          <t>UPI</t>
        </is>
      </c>
      <c r="I2844" t="inlineStr">
        <is>
          <t>Delivered</t>
        </is>
      </c>
      <c r="J2844" t="n">
        <v>106</v>
      </c>
      <c r="K2844" t="n">
        <v>1</v>
      </c>
      <c r="L2844" s="7" t="n">
        <v>1574</v>
      </c>
      <c r="M2844" s="7" t="n">
        <v>236.1</v>
      </c>
    </row>
    <row r="2845">
      <c r="A2845" t="n">
        <v>510850</v>
      </c>
      <c r="B2845" s="6" t="n">
        <v>45975</v>
      </c>
      <c r="C2845" t="n">
        <v>16396</v>
      </c>
      <c r="D2845" t="inlineStr">
        <is>
          <t>Kolkata</t>
        </is>
      </c>
      <c r="E2845" t="inlineStr">
        <is>
          <t>East</t>
        </is>
      </c>
      <c r="F2845" t="inlineStr">
        <is>
          <t>Referral</t>
        </is>
      </c>
      <c r="G2845" t="inlineStr">
        <is>
          <t>Desktop</t>
        </is>
      </c>
      <c r="H2845" t="inlineStr">
        <is>
          <t>UPI</t>
        </is>
      </c>
      <c r="I2845" t="inlineStr">
        <is>
          <t>Delivered</t>
        </is>
      </c>
      <c r="J2845" t="n">
        <v>114</v>
      </c>
      <c r="K2845" t="n">
        <v>3</v>
      </c>
      <c r="L2845" s="7" t="n">
        <v>1259</v>
      </c>
      <c r="M2845" s="7" t="n">
        <v>0</v>
      </c>
    </row>
    <row r="2846">
      <c r="A2846" t="n">
        <v>510850</v>
      </c>
      <c r="B2846" s="6" t="n">
        <v>45975</v>
      </c>
      <c r="C2846" t="n">
        <v>16396</v>
      </c>
      <c r="D2846" t="inlineStr">
        <is>
          <t>Kolkata</t>
        </is>
      </c>
      <c r="E2846" t="inlineStr">
        <is>
          <t>East</t>
        </is>
      </c>
      <c r="F2846" t="inlineStr">
        <is>
          <t>Referral</t>
        </is>
      </c>
      <c r="G2846" t="inlineStr">
        <is>
          <t>Desktop</t>
        </is>
      </c>
      <c r="H2846" t="inlineStr">
        <is>
          <t>UPI</t>
        </is>
      </c>
      <c r="I2846" t="inlineStr">
        <is>
          <t>Delivered</t>
        </is>
      </c>
      <c r="J2846" t="n">
        <v>142</v>
      </c>
      <c r="K2846" t="n">
        <v>1</v>
      </c>
      <c r="L2846" s="7" t="n">
        <v>839</v>
      </c>
      <c r="M2846" s="7" t="n">
        <v>0</v>
      </c>
    </row>
    <row r="2847">
      <c r="A2847" t="n">
        <v>510851</v>
      </c>
      <c r="B2847" s="6" t="n">
        <v>45976</v>
      </c>
      <c r="C2847" t="n">
        <v>15738</v>
      </c>
      <c r="D2847" t="inlineStr">
        <is>
          <t>Delhi</t>
        </is>
      </c>
      <c r="E2847" t="inlineStr">
        <is>
          <t>North</t>
        </is>
      </c>
      <c r="F2847" t="inlineStr">
        <is>
          <t>Organic Search</t>
        </is>
      </c>
      <c r="G2847" t="inlineStr">
        <is>
          <t>Desktop</t>
        </is>
      </c>
      <c r="H2847" t="inlineStr">
        <is>
          <t>UPI</t>
        </is>
      </c>
      <c r="I2847" t="inlineStr">
        <is>
          <t>Delivered</t>
        </is>
      </c>
      <c r="J2847" t="n">
        <v>104</v>
      </c>
      <c r="K2847" t="n">
        <v>1</v>
      </c>
      <c r="L2847" s="7" t="n">
        <v>5249</v>
      </c>
      <c r="M2847" s="7" t="n">
        <v>0</v>
      </c>
    </row>
    <row r="2848">
      <c r="A2848" t="n">
        <v>510851</v>
      </c>
      <c r="B2848" s="6" t="n">
        <v>45976</v>
      </c>
      <c r="C2848" t="n">
        <v>15738</v>
      </c>
      <c r="D2848" t="inlineStr">
        <is>
          <t>Delhi</t>
        </is>
      </c>
      <c r="E2848" t="inlineStr">
        <is>
          <t>North</t>
        </is>
      </c>
      <c r="F2848" t="inlineStr">
        <is>
          <t>Organic Search</t>
        </is>
      </c>
      <c r="G2848" t="inlineStr">
        <is>
          <t>Desktop</t>
        </is>
      </c>
      <c r="H2848" t="inlineStr">
        <is>
          <t>UPI</t>
        </is>
      </c>
      <c r="I2848" t="inlineStr">
        <is>
          <t>Delivered</t>
        </is>
      </c>
      <c r="J2848" t="n">
        <v>132</v>
      </c>
      <c r="K2848" t="n">
        <v>1</v>
      </c>
      <c r="L2848" s="7" t="n">
        <v>471</v>
      </c>
      <c r="M2848" s="7" t="n">
        <v>0</v>
      </c>
    </row>
    <row r="2849">
      <c r="A2849" t="n">
        <v>510852</v>
      </c>
      <c r="B2849" s="6" t="n">
        <v>45976</v>
      </c>
      <c r="C2849" t="n">
        <v>17277</v>
      </c>
      <c r="D2849" t="inlineStr">
        <is>
          <t>Delhi</t>
        </is>
      </c>
      <c r="E2849" t="inlineStr">
        <is>
          <t>North</t>
        </is>
      </c>
      <c r="F2849" t="inlineStr">
        <is>
          <t>Paid Social</t>
        </is>
      </c>
      <c r="G2849" t="inlineStr">
        <is>
          <t>Mobile Web</t>
        </is>
      </c>
      <c r="H2849" t="inlineStr">
        <is>
          <t>Cash on Delivery</t>
        </is>
      </c>
      <c r="I2849" t="inlineStr">
        <is>
          <t>Delivered</t>
        </is>
      </c>
      <c r="J2849" t="n">
        <v>142</v>
      </c>
      <c r="K2849" t="n">
        <v>1</v>
      </c>
      <c r="L2849" s="7" t="n">
        <v>839</v>
      </c>
      <c r="M2849" s="7" t="n">
        <v>125.85</v>
      </c>
    </row>
    <row r="2850">
      <c r="A2850" t="n">
        <v>510853</v>
      </c>
      <c r="B2850" s="6" t="n">
        <v>45976</v>
      </c>
      <c r="C2850" t="n">
        <v>17331</v>
      </c>
      <c r="D2850" t="inlineStr">
        <is>
          <t>Hyderabad</t>
        </is>
      </c>
      <c r="E2850" t="inlineStr">
        <is>
          <t>South</t>
        </is>
      </c>
      <c r="F2850" t="inlineStr">
        <is>
          <t>Referral</t>
        </is>
      </c>
      <c r="G2850" t="inlineStr">
        <is>
          <t>Desktop</t>
        </is>
      </c>
      <c r="H2850" t="inlineStr">
        <is>
          <t>UPI</t>
        </is>
      </c>
      <c r="I2850" t="inlineStr">
        <is>
          <t>Delivered</t>
        </is>
      </c>
      <c r="J2850" t="n">
        <v>137</v>
      </c>
      <c r="K2850" t="n">
        <v>1</v>
      </c>
      <c r="L2850" s="7" t="n">
        <v>261</v>
      </c>
      <c r="M2850" s="7" t="n">
        <v>39.15</v>
      </c>
    </row>
    <row r="2851">
      <c r="A2851" t="n">
        <v>510854</v>
      </c>
      <c r="B2851" s="6" t="n">
        <v>45976</v>
      </c>
      <c r="C2851" t="n">
        <v>17222</v>
      </c>
      <c r="D2851" t="inlineStr">
        <is>
          <t>Mumbai</t>
        </is>
      </c>
      <c r="E2851" t="inlineStr">
        <is>
          <t>West</t>
        </is>
      </c>
      <c r="F2851" t="inlineStr">
        <is>
          <t>Paid Search</t>
        </is>
      </c>
      <c r="G2851" t="inlineStr">
        <is>
          <t>Mobile App</t>
        </is>
      </c>
      <c r="H2851" t="inlineStr">
        <is>
          <t>UPI</t>
        </is>
      </c>
      <c r="I2851" t="inlineStr">
        <is>
          <t>Returned</t>
        </is>
      </c>
      <c r="J2851" t="n">
        <v>117</v>
      </c>
      <c r="K2851" t="n">
        <v>2</v>
      </c>
      <c r="L2851" s="7" t="n">
        <v>3149</v>
      </c>
      <c r="M2851" s="7" t="n">
        <v>944.7</v>
      </c>
    </row>
    <row r="2852">
      <c r="A2852" t="n">
        <v>510855</v>
      </c>
      <c r="B2852" s="6" t="n">
        <v>45976</v>
      </c>
      <c r="C2852" t="n">
        <v>17316</v>
      </c>
      <c r="D2852" t="inlineStr">
        <is>
          <t>Chandigarh</t>
        </is>
      </c>
      <c r="E2852" t="inlineStr">
        <is>
          <t>North</t>
        </is>
      </c>
      <c r="F2852" t="inlineStr">
        <is>
          <t>Organic Search</t>
        </is>
      </c>
      <c r="G2852" t="inlineStr">
        <is>
          <t>Mobile App</t>
        </is>
      </c>
      <c r="H2852" t="inlineStr">
        <is>
          <t>UPI</t>
        </is>
      </c>
      <c r="I2852" t="inlineStr">
        <is>
          <t>Delivered</t>
        </is>
      </c>
      <c r="J2852" t="n">
        <v>113</v>
      </c>
      <c r="K2852" t="n">
        <v>1</v>
      </c>
      <c r="L2852" s="7" t="n">
        <v>1364</v>
      </c>
      <c r="M2852" s="7" t="n">
        <v>0</v>
      </c>
    </row>
    <row r="2853">
      <c r="A2853" t="n">
        <v>510856</v>
      </c>
      <c r="B2853" s="6" t="n">
        <v>45976</v>
      </c>
      <c r="C2853" t="n">
        <v>17249</v>
      </c>
      <c r="D2853" t="inlineStr">
        <is>
          <t>Mumbai</t>
        </is>
      </c>
      <c r="E2853" t="inlineStr">
        <is>
          <t>West</t>
        </is>
      </c>
      <c r="F2853" t="inlineStr">
        <is>
          <t>Organic Search</t>
        </is>
      </c>
      <c r="G2853" t="inlineStr">
        <is>
          <t>Mobile App</t>
        </is>
      </c>
      <c r="H2853" t="inlineStr">
        <is>
          <t>Cash on Delivery</t>
        </is>
      </c>
      <c r="I2853" t="inlineStr">
        <is>
          <t>Cancelled</t>
        </is>
      </c>
      <c r="J2853" t="n">
        <v>137</v>
      </c>
      <c r="K2853" t="n">
        <v>1</v>
      </c>
      <c r="L2853" s="7" t="n">
        <v>261</v>
      </c>
      <c r="M2853" s="7" t="n">
        <v>0</v>
      </c>
    </row>
    <row r="2854">
      <c r="A2854" t="n">
        <v>510856</v>
      </c>
      <c r="B2854" s="6" t="n">
        <v>45976</v>
      </c>
      <c r="C2854" t="n">
        <v>17249</v>
      </c>
      <c r="D2854" t="inlineStr">
        <is>
          <t>Mumbai</t>
        </is>
      </c>
      <c r="E2854" t="inlineStr">
        <is>
          <t>West</t>
        </is>
      </c>
      <c r="F2854" t="inlineStr">
        <is>
          <t>Organic Search</t>
        </is>
      </c>
      <c r="G2854" t="inlineStr">
        <is>
          <t>Mobile App</t>
        </is>
      </c>
      <c r="H2854" t="inlineStr">
        <is>
          <t>Cash on Delivery</t>
        </is>
      </c>
      <c r="I2854" t="inlineStr">
        <is>
          <t>Cancelled</t>
        </is>
      </c>
      <c r="J2854" t="n">
        <v>111</v>
      </c>
      <c r="K2854" t="n">
        <v>1</v>
      </c>
      <c r="L2854" s="7" t="n">
        <v>524</v>
      </c>
      <c r="M2854" s="7" t="n">
        <v>0</v>
      </c>
    </row>
    <row r="2855">
      <c r="A2855" t="n">
        <v>510857</v>
      </c>
      <c r="B2855" s="6" t="n">
        <v>45976</v>
      </c>
      <c r="C2855" t="n">
        <v>12612</v>
      </c>
      <c r="D2855" t="inlineStr">
        <is>
          <t>Ahmedabad</t>
        </is>
      </c>
      <c r="E2855" t="inlineStr">
        <is>
          <t>West</t>
        </is>
      </c>
      <c r="F2855" t="inlineStr">
        <is>
          <t>Organic Search</t>
        </is>
      </c>
      <c r="G2855" t="inlineStr">
        <is>
          <t>Desktop</t>
        </is>
      </c>
      <c r="H2855" t="inlineStr">
        <is>
          <t>Credit Card</t>
        </is>
      </c>
      <c r="I2855" t="inlineStr">
        <is>
          <t>Delivered</t>
        </is>
      </c>
      <c r="J2855" t="n">
        <v>131</v>
      </c>
      <c r="K2855" t="n">
        <v>1</v>
      </c>
      <c r="L2855" s="7" t="n">
        <v>314</v>
      </c>
      <c r="M2855" s="7" t="n">
        <v>15.7</v>
      </c>
    </row>
    <row r="2856">
      <c r="A2856" t="n">
        <v>510858</v>
      </c>
      <c r="B2856" s="6" t="n">
        <v>45976</v>
      </c>
      <c r="C2856" t="n">
        <v>17255</v>
      </c>
      <c r="D2856" t="inlineStr">
        <is>
          <t>Ahmedabad</t>
        </is>
      </c>
      <c r="E2856" t="inlineStr">
        <is>
          <t>West</t>
        </is>
      </c>
      <c r="F2856" t="inlineStr">
        <is>
          <t>Email</t>
        </is>
      </c>
      <c r="G2856" t="inlineStr">
        <is>
          <t>Mobile Web</t>
        </is>
      </c>
      <c r="H2856" t="inlineStr">
        <is>
          <t>Cash on Delivery</t>
        </is>
      </c>
      <c r="I2856" t="inlineStr">
        <is>
          <t>Cancelled</t>
        </is>
      </c>
      <c r="J2856" t="n">
        <v>104</v>
      </c>
      <c r="K2856" t="n">
        <v>2</v>
      </c>
      <c r="L2856" s="7" t="n">
        <v>5249</v>
      </c>
      <c r="M2856" s="7" t="n">
        <v>0</v>
      </c>
    </row>
    <row r="2857">
      <c r="A2857" t="n">
        <v>510859</v>
      </c>
      <c r="B2857" s="6" t="n">
        <v>45976</v>
      </c>
      <c r="C2857" t="n">
        <v>16423</v>
      </c>
      <c r="D2857" t="inlineStr">
        <is>
          <t>Chennai</t>
        </is>
      </c>
      <c r="E2857" t="inlineStr">
        <is>
          <t>South</t>
        </is>
      </c>
      <c r="F2857" t="inlineStr">
        <is>
          <t>Paid Social</t>
        </is>
      </c>
      <c r="G2857" t="inlineStr">
        <is>
          <t>Mobile Web</t>
        </is>
      </c>
      <c r="H2857" t="inlineStr">
        <is>
          <t>Debit Card</t>
        </is>
      </c>
      <c r="I2857" t="inlineStr">
        <is>
          <t>Delivered</t>
        </is>
      </c>
      <c r="J2857" t="n">
        <v>117</v>
      </c>
      <c r="K2857" t="n">
        <v>1</v>
      </c>
      <c r="L2857" s="7" t="n">
        <v>3149</v>
      </c>
      <c r="M2857" s="7" t="n">
        <v>0</v>
      </c>
    </row>
    <row r="2858">
      <c r="A2858" t="n">
        <v>510859</v>
      </c>
      <c r="B2858" s="6" t="n">
        <v>45976</v>
      </c>
      <c r="C2858" t="n">
        <v>16423</v>
      </c>
      <c r="D2858" t="inlineStr">
        <is>
          <t>Chennai</t>
        </is>
      </c>
      <c r="E2858" t="inlineStr">
        <is>
          <t>South</t>
        </is>
      </c>
      <c r="F2858" t="inlineStr">
        <is>
          <t>Paid Social</t>
        </is>
      </c>
      <c r="G2858" t="inlineStr">
        <is>
          <t>Mobile Web</t>
        </is>
      </c>
      <c r="H2858" t="inlineStr">
        <is>
          <t>Debit Card</t>
        </is>
      </c>
      <c r="I2858" t="inlineStr">
        <is>
          <t>Delivered</t>
        </is>
      </c>
      <c r="J2858" t="n">
        <v>118</v>
      </c>
      <c r="K2858" t="n">
        <v>1</v>
      </c>
      <c r="L2858" s="7" t="n">
        <v>944</v>
      </c>
      <c r="M2858" s="7" t="n">
        <v>0</v>
      </c>
    </row>
    <row r="2859">
      <c r="A2859" t="n">
        <v>510860</v>
      </c>
      <c r="B2859" s="6" t="n">
        <v>45976</v>
      </c>
      <c r="C2859" t="n">
        <v>17156</v>
      </c>
      <c r="D2859" t="inlineStr">
        <is>
          <t>Chandigarh</t>
        </is>
      </c>
      <c r="E2859" t="inlineStr">
        <is>
          <t>North</t>
        </is>
      </c>
      <c r="F2859" t="inlineStr">
        <is>
          <t>Organic Search</t>
        </is>
      </c>
      <c r="G2859" t="inlineStr">
        <is>
          <t>Mobile Web</t>
        </is>
      </c>
      <c r="H2859" t="inlineStr">
        <is>
          <t>Cash on Delivery</t>
        </is>
      </c>
      <c r="I2859" t="inlineStr">
        <is>
          <t>Delivered</t>
        </is>
      </c>
      <c r="J2859" t="n">
        <v>122</v>
      </c>
      <c r="K2859" t="n">
        <v>1</v>
      </c>
      <c r="L2859" s="7" t="n">
        <v>1994</v>
      </c>
      <c r="M2859" s="7" t="n">
        <v>0</v>
      </c>
    </row>
    <row r="2860">
      <c r="A2860" t="n">
        <v>510860</v>
      </c>
      <c r="B2860" s="6" t="n">
        <v>45976</v>
      </c>
      <c r="C2860" t="n">
        <v>17156</v>
      </c>
      <c r="D2860" t="inlineStr">
        <is>
          <t>Chandigarh</t>
        </is>
      </c>
      <c r="E2860" t="inlineStr">
        <is>
          <t>North</t>
        </is>
      </c>
      <c r="F2860" t="inlineStr">
        <is>
          <t>Organic Search</t>
        </is>
      </c>
      <c r="G2860" t="inlineStr">
        <is>
          <t>Mobile Web</t>
        </is>
      </c>
      <c r="H2860" t="inlineStr">
        <is>
          <t>Cash on Delivery</t>
        </is>
      </c>
      <c r="I2860" t="inlineStr">
        <is>
          <t>Delivered</t>
        </is>
      </c>
      <c r="J2860" t="n">
        <v>118</v>
      </c>
      <c r="K2860" t="n">
        <v>1</v>
      </c>
      <c r="L2860" s="7" t="n">
        <v>944</v>
      </c>
      <c r="M2860" s="7" t="n">
        <v>0</v>
      </c>
    </row>
    <row r="2861">
      <c r="A2861" t="n">
        <v>510860</v>
      </c>
      <c r="B2861" s="6" t="n">
        <v>45976</v>
      </c>
      <c r="C2861" t="n">
        <v>17156</v>
      </c>
      <c r="D2861" t="inlineStr">
        <is>
          <t>Chandigarh</t>
        </is>
      </c>
      <c r="E2861" t="inlineStr">
        <is>
          <t>North</t>
        </is>
      </c>
      <c r="F2861" t="inlineStr">
        <is>
          <t>Organic Search</t>
        </is>
      </c>
      <c r="G2861" t="inlineStr">
        <is>
          <t>Mobile Web</t>
        </is>
      </c>
      <c r="H2861" t="inlineStr">
        <is>
          <t>Cash on Delivery</t>
        </is>
      </c>
      <c r="I2861" t="inlineStr">
        <is>
          <t>Delivered</t>
        </is>
      </c>
      <c r="J2861" t="n">
        <v>115</v>
      </c>
      <c r="K2861" t="n">
        <v>1</v>
      </c>
      <c r="L2861" s="7" t="n">
        <v>4199</v>
      </c>
      <c r="M2861" s="7" t="n">
        <v>0</v>
      </c>
    </row>
    <row r="2862">
      <c r="A2862" t="n">
        <v>510861</v>
      </c>
      <c r="B2862" s="6" t="n">
        <v>45976</v>
      </c>
      <c r="C2862" t="n">
        <v>15859</v>
      </c>
      <c r="D2862" t="inlineStr">
        <is>
          <t>Hyderabad</t>
        </is>
      </c>
      <c r="E2862" t="inlineStr">
        <is>
          <t>South</t>
        </is>
      </c>
      <c r="F2862" t="inlineStr">
        <is>
          <t>Email</t>
        </is>
      </c>
      <c r="G2862" t="inlineStr">
        <is>
          <t>Mobile Web</t>
        </is>
      </c>
      <c r="H2862" t="inlineStr">
        <is>
          <t>UPI</t>
        </is>
      </c>
      <c r="I2862" t="inlineStr">
        <is>
          <t>Delivered</t>
        </is>
      </c>
      <c r="J2862" t="n">
        <v>107</v>
      </c>
      <c r="K2862" t="n">
        <v>1</v>
      </c>
      <c r="L2862" s="7" t="n">
        <v>1259</v>
      </c>
      <c r="M2862" s="7" t="n">
        <v>0</v>
      </c>
    </row>
    <row r="2863">
      <c r="A2863" t="n">
        <v>510862</v>
      </c>
      <c r="B2863" s="6" t="n">
        <v>45976</v>
      </c>
      <c r="C2863" t="n">
        <v>16460</v>
      </c>
      <c r="D2863" t="inlineStr">
        <is>
          <t>Jaipur</t>
        </is>
      </c>
      <c r="E2863" t="inlineStr">
        <is>
          <t>North</t>
        </is>
      </c>
      <c r="F2863" t="inlineStr">
        <is>
          <t>Email</t>
        </is>
      </c>
      <c r="G2863" t="inlineStr">
        <is>
          <t>Mobile App</t>
        </is>
      </c>
      <c r="H2863" t="inlineStr">
        <is>
          <t>UPI</t>
        </is>
      </c>
      <c r="I2863" t="inlineStr">
        <is>
          <t>Delivered</t>
        </is>
      </c>
      <c r="J2863" t="n">
        <v>121</v>
      </c>
      <c r="K2863" t="n">
        <v>1</v>
      </c>
      <c r="L2863" s="7" t="n">
        <v>2939</v>
      </c>
      <c r="M2863" s="7" t="n">
        <v>0</v>
      </c>
    </row>
    <row r="2864">
      <c r="A2864" t="n">
        <v>510863</v>
      </c>
      <c r="B2864" s="6" t="n">
        <v>45976</v>
      </c>
      <c r="C2864" t="n">
        <v>10908</v>
      </c>
      <c r="D2864" t="inlineStr">
        <is>
          <t>Lucknow</t>
        </is>
      </c>
      <c r="E2864" t="inlineStr">
        <is>
          <t>North</t>
        </is>
      </c>
      <c r="F2864" t="inlineStr">
        <is>
          <t>Paid Search</t>
        </is>
      </c>
      <c r="G2864" t="inlineStr">
        <is>
          <t>Mobile Web</t>
        </is>
      </c>
      <c r="H2864" t="inlineStr">
        <is>
          <t>Cash on Delivery</t>
        </is>
      </c>
      <c r="I2864" t="inlineStr">
        <is>
          <t>Cancelled</t>
        </is>
      </c>
      <c r="J2864" t="n">
        <v>117</v>
      </c>
      <c r="K2864" t="n">
        <v>1</v>
      </c>
      <c r="L2864" s="7" t="n">
        <v>3149</v>
      </c>
      <c r="M2864" s="7" t="n">
        <v>0</v>
      </c>
    </row>
    <row r="2865">
      <c r="A2865" t="n">
        <v>510864</v>
      </c>
      <c r="B2865" s="6" t="n">
        <v>45976</v>
      </c>
      <c r="C2865" t="n">
        <v>17297</v>
      </c>
      <c r="D2865" t="inlineStr">
        <is>
          <t>Mumbai</t>
        </is>
      </c>
      <c r="E2865" t="inlineStr">
        <is>
          <t>West</t>
        </is>
      </c>
      <c r="F2865" t="inlineStr">
        <is>
          <t>Organic Search</t>
        </is>
      </c>
      <c r="G2865" t="inlineStr">
        <is>
          <t>Mobile Web</t>
        </is>
      </c>
      <c r="H2865" t="inlineStr">
        <is>
          <t>Credit Card</t>
        </is>
      </c>
      <c r="I2865" t="inlineStr">
        <is>
          <t>Cancelled</t>
        </is>
      </c>
      <c r="J2865" t="n">
        <v>137</v>
      </c>
      <c r="K2865" t="n">
        <v>1</v>
      </c>
      <c r="L2865" s="7" t="n">
        <v>261</v>
      </c>
      <c r="M2865" s="7" t="n">
        <v>0</v>
      </c>
    </row>
    <row r="2866">
      <c r="A2866" t="n">
        <v>510865</v>
      </c>
      <c r="B2866" s="6" t="n">
        <v>45976</v>
      </c>
      <c r="C2866" t="n">
        <v>17343</v>
      </c>
      <c r="D2866" t="inlineStr">
        <is>
          <t>Delhi</t>
        </is>
      </c>
      <c r="E2866" t="inlineStr">
        <is>
          <t>North</t>
        </is>
      </c>
      <c r="F2866" t="inlineStr">
        <is>
          <t>Paid Search</t>
        </is>
      </c>
      <c r="G2866" t="inlineStr">
        <is>
          <t>Desktop</t>
        </is>
      </c>
      <c r="H2866" t="inlineStr">
        <is>
          <t>UPI</t>
        </is>
      </c>
      <c r="I2866" t="inlineStr">
        <is>
          <t>Delivered</t>
        </is>
      </c>
      <c r="J2866" t="n">
        <v>108</v>
      </c>
      <c r="K2866" t="n">
        <v>1</v>
      </c>
      <c r="L2866" s="7" t="n">
        <v>419</v>
      </c>
      <c r="M2866" s="7" t="n">
        <v>0</v>
      </c>
    </row>
    <row r="2867">
      <c r="A2867" t="n">
        <v>510866</v>
      </c>
      <c r="B2867" s="6" t="n">
        <v>45976</v>
      </c>
      <c r="C2867" t="n">
        <v>17296</v>
      </c>
      <c r="D2867" t="inlineStr">
        <is>
          <t>Bengaluru</t>
        </is>
      </c>
      <c r="E2867" t="inlineStr">
        <is>
          <t>South</t>
        </is>
      </c>
      <c r="F2867" t="inlineStr">
        <is>
          <t>Organic Search</t>
        </is>
      </c>
      <c r="G2867" t="inlineStr">
        <is>
          <t>Mobile App</t>
        </is>
      </c>
      <c r="H2867" t="inlineStr">
        <is>
          <t>UPI</t>
        </is>
      </c>
      <c r="I2867" t="inlineStr">
        <is>
          <t>Delivered</t>
        </is>
      </c>
      <c r="J2867" t="n">
        <v>122</v>
      </c>
      <c r="K2867" t="n">
        <v>1</v>
      </c>
      <c r="L2867" s="7" t="n">
        <v>1994</v>
      </c>
      <c r="M2867" s="7" t="n">
        <v>299.1</v>
      </c>
    </row>
    <row r="2868">
      <c r="A2868" t="n">
        <v>510866</v>
      </c>
      <c r="B2868" s="6" t="n">
        <v>45976</v>
      </c>
      <c r="C2868" t="n">
        <v>17296</v>
      </c>
      <c r="D2868" t="inlineStr">
        <is>
          <t>Bengaluru</t>
        </is>
      </c>
      <c r="E2868" t="inlineStr">
        <is>
          <t>South</t>
        </is>
      </c>
      <c r="F2868" t="inlineStr">
        <is>
          <t>Organic Search</t>
        </is>
      </c>
      <c r="G2868" t="inlineStr">
        <is>
          <t>Mobile App</t>
        </is>
      </c>
      <c r="H2868" t="inlineStr">
        <is>
          <t>UPI</t>
        </is>
      </c>
      <c r="I2868" t="inlineStr">
        <is>
          <t>Delivered</t>
        </is>
      </c>
      <c r="J2868" t="n">
        <v>105</v>
      </c>
      <c r="K2868" t="n">
        <v>3</v>
      </c>
      <c r="L2868" s="7" t="n">
        <v>2414</v>
      </c>
      <c r="M2868" s="7" t="n">
        <v>1086.3</v>
      </c>
    </row>
    <row r="2869">
      <c r="A2869" t="n">
        <v>510867</v>
      </c>
      <c r="B2869" s="6" t="n">
        <v>45976</v>
      </c>
      <c r="C2869" t="n">
        <v>16009</v>
      </c>
      <c r="D2869" t="inlineStr">
        <is>
          <t>Delhi</t>
        </is>
      </c>
      <c r="E2869" t="inlineStr">
        <is>
          <t>North</t>
        </is>
      </c>
      <c r="F2869" t="inlineStr">
        <is>
          <t>Referral</t>
        </is>
      </c>
      <c r="G2869" t="inlineStr">
        <is>
          <t>Mobile App</t>
        </is>
      </c>
      <c r="H2869" t="inlineStr">
        <is>
          <t>UPI</t>
        </is>
      </c>
      <c r="I2869" t="inlineStr">
        <is>
          <t>Delivered</t>
        </is>
      </c>
      <c r="J2869" t="n">
        <v>125</v>
      </c>
      <c r="K2869" t="n">
        <v>1</v>
      </c>
      <c r="L2869" s="7" t="n">
        <v>1364</v>
      </c>
      <c r="M2869" s="7" t="n">
        <v>0</v>
      </c>
    </row>
    <row r="2870">
      <c r="A2870" t="n">
        <v>510868</v>
      </c>
      <c r="B2870" s="6" t="n">
        <v>45976</v>
      </c>
      <c r="C2870" t="n">
        <v>16713</v>
      </c>
      <c r="D2870" t="inlineStr">
        <is>
          <t>Mumbai</t>
        </is>
      </c>
      <c r="E2870" t="inlineStr">
        <is>
          <t>West</t>
        </is>
      </c>
      <c r="F2870" t="inlineStr">
        <is>
          <t>Email</t>
        </is>
      </c>
      <c r="G2870" t="inlineStr">
        <is>
          <t>Mobile App</t>
        </is>
      </c>
      <c r="H2870" t="inlineStr">
        <is>
          <t>UPI</t>
        </is>
      </c>
      <c r="I2870" t="inlineStr">
        <is>
          <t>Delivered</t>
        </is>
      </c>
      <c r="J2870" t="n">
        <v>133</v>
      </c>
      <c r="K2870" t="n">
        <v>1</v>
      </c>
      <c r="L2870" s="7" t="n">
        <v>419</v>
      </c>
      <c r="M2870" s="7" t="n">
        <v>0</v>
      </c>
    </row>
    <row r="2871">
      <c r="A2871" t="n">
        <v>510869</v>
      </c>
      <c r="B2871" s="6" t="n">
        <v>45976</v>
      </c>
      <c r="C2871" t="n">
        <v>17281</v>
      </c>
      <c r="D2871" t="inlineStr">
        <is>
          <t>Pune</t>
        </is>
      </c>
      <c r="E2871" t="inlineStr">
        <is>
          <t>West</t>
        </is>
      </c>
      <c r="F2871" t="inlineStr">
        <is>
          <t>Affiliate</t>
        </is>
      </c>
      <c r="G2871" t="inlineStr">
        <is>
          <t>Desktop</t>
        </is>
      </c>
      <c r="H2871" t="inlineStr">
        <is>
          <t>Debit Card</t>
        </is>
      </c>
      <c r="I2871" t="inlineStr">
        <is>
          <t>Delivered</t>
        </is>
      </c>
      <c r="J2871" t="n">
        <v>135</v>
      </c>
      <c r="K2871" t="n">
        <v>1</v>
      </c>
      <c r="L2871" s="7" t="n">
        <v>1574</v>
      </c>
      <c r="M2871" s="7" t="n">
        <v>0</v>
      </c>
    </row>
    <row r="2872">
      <c r="A2872" t="n">
        <v>510869</v>
      </c>
      <c r="B2872" s="6" t="n">
        <v>45976</v>
      </c>
      <c r="C2872" t="n">
        <v>17281</v>
      </c>
      <c r="D2872" t="inlineStr">
        <is>
          <t>Pune</t>
        </is>
      </c>
      <c r="E2872" t="inlineStr">
        <is>
          <t>West</t>
        </is>
      </c>
      <c r="F2872" t="inlineStr">
        <is>
          <t>Affiliate</t>
        </is>
      </c>
      <c r="G2872" t="inlineStr">
        <is>
          <t>Desktop</t>
        </is>
      </c>
      <c r="H2872" t="inlineStr">
        <is>
          <t>Debit Card</t>
        </is>
      </c>
      <c r="I2872" t="inlineStr">
        <is>
          <t>Delivered</t>
        </is>
      </c>
      <c r="J2872" t="n">
        <v>113</v>
      </c>
      <c r="K2872" t="n">
        <v>1</v>
      </c>
      <c r="L2872" s="7" t="n">
        <v>1364</v>
      </c>
      <c r="M2872" s="7" t="n">
        <v>0</v>
      </c>
    </row>
    <row r="2873">
      <c r="A2873" t="n">
        <v>510870</v>
      </c>
      <c r="B2873" s="6" t="n">
        <v>45976</v>
      </c>
      <c r="C2873" t="n">
        <v>15485</v>
      </c>
      <c r="D2873" t="inlineStr">
        <is>
          <t>Hyderabad</t>
        </is>
      </c>
      <c r="E2873" t="inlineStr">
        <is>
          <t>South</t>
        </is>
      </c>
      <c r="F2873" t="inlineStr">
        <is>
          <t>Email</t>
        </is>
      </c>
      <c r="G2873" t="inlineStr">
        <is>
          <t>Mobile App</t>
        </is>
      </c>
      <c r="H2873" t="inlineStr">
        <is>
          <t>Credit Card</t>
        </is>
      </c>
      <c r="I2873" t="inlineStr">
        <is>
          <t>Cancelled</t>
        </is>
      </c>
      <c r="J2873" t="n">
        <v>111</v>
      </c>
      <c r="K2873" t="n">
        <v>1</v>
      </c>
      <c r="L2873" s="7" t="n">
        <v>524</v>
      </c>
      <c r="M2873" s="7" t="n">
        <v>0</v>
      </c>
    </row>
    <row r="2874">
      <c r="A2874" t="n">
        <v>510870</v>
      </c>
      <c r="B2874" s="6" t="n">
        <v>45976</v>
      </c>
      <c r="C2874" t="n">
        <v>15485</v>
      </c>
      <c r="D2874" t="inlineStr">
        <is>
          <t>Hyderabad</t>
        </is>
      </c>
      <c r="E2874" t="inlineStr">
        <is>
          <t>South</t>
        </is>
      </c>
      <c r="F2874" t="inlineStr">
        <is>
          <t>Email</t>
        </is>
      </c>
      <c r="G2874" t="inlineStr">
        <is>
          <t>Mobile App</t>
        </is>
      </c>
      <c r="H2874" t="inlineStr">
        <is>
          <t>Credit Card</t>
        </is>
      </c>
      <c r="I2874" t="inlineStr">
        <is>
          <t>Cancelled</t>
        </is>
      </c>
      <c r="J2874" t="n">
        <v>116</v>
      </c>
      <c r="K2874" t="n">
        <v>1</v>
      </c>
      <c r="L2874" s="7" t="n">
        <v>2624</v>
      </c>
      <c r="M2874" s="7" t="n">
        <v>0</v>
      </c>
    </row>
    <row r="2875">
      <c r="A2875" t="n">
        <v>510871</v>
      </c>
      <c r="B2875" s="6" t="n">
        <v>45976</v>
      </c>
      <c r="C2875" t="n">
        <v>17342</v>
      </c>
      <c r="D2875" t="inlineStr">
        <is>
          <t>Bengaluru</t>
        </is>
      </c>
      <c r="E2875" t="inlineStr">
        <is>
          <t>South</t>
        </is>
      </c>
      <c r="F2875" t="inlineStr">
        <is>
          <t>Affiliate</t>
        </is>
      </c>
      <c r="G2875" t="inlineStr">
        <is>
          <t>Mobile App</t>
        </is>
      </c>
      <c r="H2875" t="inlineStr">
        <is>
          <t>Debit Card</t>
        </is>
      </c>
      <c r="I2875" t="inlineStr">
        <is>
          <t>Delivered</t>
        </is>
      </c>
      <c r="J2875" t="n">
        <v>132</v>
      </c>
      <c r="K2875" t="n">
        <v>1</v>
      </c>
      <c r="L2875" s="7" t="n">
        <v>471</v>
      </c>
      <c r="M2875" s="7" t="n">
        <v>70.65000000000001</v>
      </c>
    </row>
    <row r="2876">
      <c r="A2876" t="n">
        <v>510872</v>
      </c>
      <c r="B2876" s="6" t="n">
        <v>45976</v>
      </c>
      <c r="C2876" t="n">
        <v>16770</v>
      </c>
      <c r="D2876" t="inlineStr">
        <is>
          <t>Hyderabad</t>
        </is>
      </c>
      <c r="E2876" t="inlineStr">
        <is>
          <t>South</t>
        </is>
      </c>
      <c r="F2876" t="inlineStr">
        <is>
          <t>Referral</t>
        </is>
      </c>
      <c r="G2876" t="inlineStr">
        <is>
          <t>Mobile App</t>
        </is>
      </c>
      <c r="H2876" t="inlineStr">
        <is>
          <t>Credit Card</t>
        </is>
      </c>
      <c r="I2876" t="inlineStr">
        <is>
          <t>Delivered</t>
        </is>
      </c>
      <c r="J2876" t="n">
        <v>126</v>
      </c>
      <c r="K2876" t="n">
        <v>1</v>
      </c>
      <c r="L2876" s="7" t="n">
        <v>471</v>
      </c>
      <c r="M2876" s="7" t="n">
        <v>0</v>
      </c>
    </row>
    <row r="2877">
      <c r="A2877" t="n">
        <v>510873</v>
      </c>
      <c r="B2877" s="6" t="n">
        <v>45976</v>
      </c>
      <c r="C2877" t="n">
        <v>15392</v>
      </c>
      <c r="D2877" t="inlineStr">
        <is>
          <t>Lucknow</t>
        </is>
      </c>
      <c r="E2877" t="inlineStr">
        <is>
          <t>North</t>
        </is>
      </c>
      <c r="F2877" t="inlineStr">
        <is>
          <t>Referral</t>
        </is>
      </c>
      <c r="G2877" t="inlineStr">
        <is>
          <t>Mobile App</t>
        </is>
      </c>
      <c r="H2877" t="inlineStr">
        <is>
          <t>Net Banking</t>
        </is>
      </c>
      <c r="I2877" t="inlineStr">
        <is>
          <t>Delivered</t>
        </is>
      </c>
      <c r="J2877" t="n">
        <v>108</v>
      </c>
      <c r="K2877" t="n">
        <v>2</v>
      </c>
      <c r="L2877" s="7" t="n">
        <v>419</v>
      </c>
      <c r="M2877" s="7" t="n">
        <v>0</v>
      </c>
    </row>
    <row r="2878">
      <c r="A2878" t="n">
        <v>510874</v>
      </c>
      <c r="B2878" s="6" t="n">
        <v>45976</v>
      </c>
      <c r="C2878" t="n">
        <v>17351</v>
      </c>
      <c r="D2878" t="inlineStr">
        <is>
          <t>Mumbai</t>
        </is>
      </c>
      <c r="E2878" t="inlineStr">
        <is>
          <t>West</t>
        </is>
      </c>
      <c r="F2878" t="inlineStr">
        <is>
          <t>Organic Search</t>
        </is>
      </c>
      <c r="G2878" t="inlineStr">
        <is>
          <t>Mobile Web</t>
        </is>
      </c>
      <c r="H2878" t="inlineStr">
        <is>
          <t>Credit Card</t>
        </is>
      </c>
      <c r="I2878" t="inlineStr">
        <is>
          <t>Delivered</t>
        </is>
      </c>
      <c r="J2878" t="n">
        <v>119</v>
      </c>
      <c r="K2878" t="n">
        <v>1</v>
      </c>
      <c r="L2878" s="7" t="n">
        <v>2309</v>
      </c>
      <c r="M2878" s="7" t="n">
        <v>0</v>
      </c>
    </row>
    <row r="2879">
      <c r="A2879" t="n">
        <v>510875</v>
      </c>
      <c r="B2879" s="6" t="n">
        <v>45976</v>
      </c>
      <c r="C2879" t="n">
        <v>17064</v>
      </c>
      <c r="D2879" t="inlineStr">
        <is>
          <t>Chandigarh</t>
        </is>
      </c>
      <c r="E2879" t="inlineStr">
        <is>
          <t>North</t>
        </is>
      </c>
      <c r="F2879" t="inlineStr">
        <is>
          <t>Email</t>
        </is>
      </c>
      <c r="G2879" t="inlineStr">
        <is>
          <t>Mobile App</t>
        </is>
      </c>
      <c r="H2879" t="inlineStr">
        <is>
          <t>Debit Card</t>
        </is>
      </c>
      <c r="I2879" t="inlineStr">
        <is>
          <t>Delivered</t>
        </is>
      </c>
      <c r="J2879" t="n">
        <v>116</v>
      </c>
      <c r="K2879" t="n">
        <v>1</v>
      </c>
      <c r="L2879" s="7" t="n">
        <v>2624</v>
      </c>
      <c r="M2879" s="7" t="n">
        <v>0</v>
      </c>
    </row>
    <row r="2880">
      <c r="A2880" t="n">
        <v>510876</v>
      </c>
      <c r="B2880" s="6" t="n">
        <v>45976</v>
      </c>
      <c r="C2880" t="n">
        <v>16882</v>
      </c>
      <c r="D2880" t="inlineStr">
        <is>
          <t>Gurugram</t>
        </is>
      </c>
      <c r="E2880" t="inlineStr">
        <is>
          <t>North</t>
        </is>
      </c>
      <c r="F2880" t="inlineStr">
        <is>
          <t>Referral</t>
        </is>
      </c>
      <c r="G2880" t="inlineStr">
        <is>
          <t>Mobile App</t>
        </is>
      </c>
      <c r="H2880" t="inlineStr">
        <is>
          <t>UPI</t>
        </is>
      </c>
      <c r="I2880" t="inlineStr">
        <is>
          <t>Delivered</t>
        </is>
      </c>
      <c r="J2880" t="n">
        <v>106</v>
      </c>
      <c r="K2880" t="n">
        <v>1</v>
      </c>
      <c r="L2880" s="7" t="n">
        <v>1574</v>
      </c>
      <c r="M2880" s="7" t="n">
        <v>0</v>
      </c>
    </row>
    <row r="2881">
      <c r="A2881" t="n">
        <v>510876</v>
      </c>
      <c r="B2881" s="6" t="n">
        <v>45976</v>
      </c>
      <c r="C2881" t="n">
        <v>16882</v>
      </c>
      <c r="D2881" t="inlineStr">
        <is>
          <t>Gurugram</t>
        </is>
      </c>
      <c r="E2881" t="inlineStr">
        <is>
          <t>North</t>
        </is>
      </c>
      <c r="F2881" t="inlineStr">
        <is>
          <t>Referral</t>
        </is>
      </c>
      <c r="G2881" t="inlineStr">
        <is>
          <t>Mobile App</t>
        </is>
      </c>
      <c r="H2881" t="inlineStr">
        <is>
          <t>UPI</t>
        </is>
      </c>
      <c r="I2881" t="inlineStr">
        <is>
          <t>Delivered</t>
        </is>
      </c>
      <c r="J2881" t="n">
        <v>125</v>
      </c>
      <c r="K2881" t="n">
        <v>1</v>
      </c>
      <c r="L2881" s="7" t="n">
        <v>1364</v>
      </c>
      <c r="M2881" s="7" t="n">
        <v>0</v>
      </c>
    </row>
    <row r="2882">
      <c r="A2882" t="n">
        <v>510876</v>
      </c>
      <c r="B2882" s="6" t="n">
        <v>45976</v>
      </c>
      <c r="C2882" t="n">
        <v>16882</v>
      </c>
      <c r="D2882" t="inlineStr">
        <is>
          <t>Gurugram</t>
        </is>
      </c>
      <c r="E2882" t="inlineStr">
        <is>
          <t>North</t>
        </is>
      </c>
      <c r="F2882" t="inlineStr">
        <is>
          <t>Referral</t>
        </is>
      </c>
      <c r="G2882" t="inlineStr">
        <is>
          <t>Mobile App</t>
        </is>
      </c>
      <c r="H2882" t="inlineStr">
        <is>
          <t>UPI</t>
        </is>
      </c>
      <c r="I2882" t="inlineStr">
        <is>
          <t>Delivered</t>
        </is>
      </c>
      <c r="J2882" t="n">
        <v>117</v>
      </c>
      <c r="K2882" t="n">
        <v>1</v>
      </c>
      <c r="L2882" s="7" t="n">
        <v>3149</v>
      </c>
      <c r="M2882" s="7" t="n">
        <v>0</v>
      </c>
    </row>
    <row r="2883">
      <c r="A2883" t="n">
        <v>510877</v>
      </c>
      <c r="B2883" s="6" t="n">
        <v>45976</v>
      </c>
      <c r="C2883" t="n">
        <v>17350</v>
      </c>
      <c r="D2883" t="inlineStr">
        <is>
          <t>Mumbai</t>
        </is>
      </c>
      <c r="E2883" t="inlineStr">
        <is>
          <t>West</t>
        </is>
      </c>
      <c r="F2883" t="inlineStr">
        <is>
          <t>Organic Search</t>
        </is>
      </c>
      <c r="G2883" t="inlineStr">
        <is>
          <t>Mobile App</t>
        </is>
      </c>
      <c r="H2883" t="inlineStr">
        <is>
          <t>Cash on Delivery</t>
        </is>
      </c>
      <c r="I2883" t="inlineStr">
        <is>
          <t>Delivered</t>
        </is>
      </c>
      <c r="J2883" t="n">
        <v>128</v>
      </c>
      <c r="K2883" t="n">
        <v>1</v>
      </c>
      <c r="L2883" s="7" t="n">
        <v>1049</v>
      </c>
      <c r="M2883" s="7" t="n">
        <v>157.35</v>
      </c>
    </row>
    <row r="2884">
      <c r="A2884" t="n">
        <v>510878</v>
      </c>
      <c r="B2884" s="6" t="n">
        <v>45976</v>
      </c>
      <c r="C2884" t="n">
        <v>17348</v>
      </c>
      <c r="D2884" t="inlineStr">
        <is>
          <t>Kolkata</t>
        </is>
      </c>
      <c r="E2884" t="inlineStr">
        <is>
          <t>East</t>
        </is>
      </c>
      <c r="F2884" t="inlineStr">
        <is>
          <t>Paid Search</t>
        </is>
      </c>
      <c r="G2884" t="inlineStr">
        <is>
          <t>Mobile App</t>
        </is>
      </c>
      <c r="H2884" t="inlineStr">
        <is>
          <t>Credit Card</t>
        </is>
      </c>
      <c r="I2884" t="inlineStr">
        <is>
          <t>Delivered</t>
        </is>
      </c>
      <c r="J2884" t="n">
        <v>137</v>
      </c>
      <c r="K2884" t="n">
        <v>1</v>
      </c>
      <c r="L2884" s="7" t="n">
        <v>261</v>
      </c>
      <c r="M2884" s="7" t="n">
        <v>0</v>
      </c>
    </row>
    <row r="2885">
      <c r="A2885" t="n">
        <v>510879</v>
      </c>
      <c r="B2885" s="6" t="n">
        <v>45977</v>
      </c>
      <c r="C2885" t="n">
        <v>17353</v>
      </c>
      <c r="D2885" t="inlineStr">
        <is>
          <t>Chandigarh</t>
        </is>
      </c>
      <c r="E2885" t="inlineStr">
        <is>
          <t>North</t>
        </is>
      </c>
      <c r="F2885" t="inlineStr">
        <is>
          <t>Email</t>
        </is>
      </c>
      <c r="G2885" t="inlineStr">
        <is>
          <t>Mobile App</t>
        </is>
      </c>
      <c r="H2885" t="inlineStr">
        <is>
          <t>Net Banking</t>
        </is>
      </c>
      <c r="I2885" t="inlineStr">
        <is>
          <t>Returned</t>
        </is>
      </c>
      <c r="J2885" t="n">
        <v>128</v>
      </c>
      <c r="K2885" t="n">
        <v>1</v>
      </c>
      <c r="L2885" s="7" t="n">
        <v>1049</v>
      </c>
      <c r="M2885" s="7" t="n">
        <v>0</v>
      </c>
    </row>
    <row r="2886">
      <c r="A2886" t="n">
        <v>510880</v>
      </c>
      <c r="B2886" s="6" t="n">
        <v>45977</v>
      </c>
      <c r="C2886" t="n">
        <v>17360</v>
      </c>
      <c r="D2886" t="inlineStr">
        <is>
          <t>Mumbai</t>
        </is>
      </c>
      <c r="E2886" t="inlineStr">
        <is>
          <t>West</t>
        </is>
      </c>
      <c r="F2886" t="inlineStr">
        <is>
          <t>Organic Search</t>
        </is>
      </c>
      <c r="G2886" t="inlineStr">
        <is>
          <t>Mobile App</t>
        </is>
      </c>
      <c r="H2886" t="inlineStr">
        <is>
          <t>Credit Card</t>
        </is>
      </c>
      <c r="I2886" t="inlineStr">
        <is>
          <t>Delivered</t>
        </is>
      </c>
      <c r="J2886" t="n">
        <v>136</v>
      </c>
      <c r="K2886" t="n">
        <v>1</v>
      </c>
      <c r="L2886" s="7" t="n">
        <v>944</v>
      </c>
      <c r="M2886" s="7" t="n">
        <v>141.6</v>
      </c>
    </row>
    <row r="2887">
      <c r="A2887" t="n">
        <v>510880</v>
      </c>
      <c r="B2887" s="6" t="n">
        <v>45977</v>
      </c>
      <c r="C2887" t="n">
        <v>17360</v>
      </c>
      <c r="D2887" t="inlineStr">
        <is>
          <t>Mumbai</t>
        </is>
      </c>
      <c r="E2887" t="inlineStr">
        <is>
          <t>West</t>
        </is>
      </c>
      <c r="F2887" t="inlineStr">
        <is>
          <t>Organic Search</t>
        </is>
      </c>
      <c r="G2887" t="inlineStr">
        <is>
          <t>Mobile App</t>
        </is>
      </c>
      <c r="H2887" t="inlineStr">
        <is>
          <t>Credit Card</t>
        </is>
      </c>
      <c r="I2887" t="inlineStr">
        <is>
          <t>Delivered</t>
        </is>
      </c>
      <c r="J2887" t="n">
        <v>106</v>
      </c>
      <c r="K2887" t="n">
        <v>1</v>
      </c>
      <c r="L2887" s="7" t="n">
        <v>1574</v>
      </c>
      <c r="M2887" s="7" t="n">
        <v>236.1</v>
      </c>
    </row>
    <row r="2888">
      <c r="A2888" t="n">
        <v>510881</v>
      </c>
      <c r="B2888" s="6" t="n">
        <v>45977</v>
      </c>
      <c r="C2888" t="n">
        <v>17305</v>
      </c>
      <c r="D2888" t="inlineStr">
        <is>
          <t>Kolkata</t>
        </is>
      </c>
      <c r="E2888" t="inlineStr">
        <is>
          <t>East</t>
        </is>
      </c>
      <c r="F2888" t="inlineStr">
        <is>
          <t>Organic Search</t>
        </is>
      </c>
      <c r="G2888" t="inlineStr">
        <is>
          <t>Mobile Web</t>
        </is>
      </c>
      <c r="H2888" t="inlineStr">
        <is>
          <t>Cash on Delivery</t>
        </is>
      </c>
      <c r="I2888" t="inlineStr">
        <is>
          <t>Cancelled</t>
        </is>
      </c>
      <c r="J2888" t="n">
        <v>120</v>
      </c>
      <c r="K2888" t="n">
        <v>1</v>
      </c>
      <c r="L2888" s="7" t="n">
        <v>734</v>
      </c>
      <c r="M2888" s="7" t="n">
        <v>0</v>
      </c>
    </row>
    <row r="2889">
      <c r="A2889" t="n">
        <v>510881</v>
      </c>
      <c r="B2889" s="6" t="n">
        <v>45977</v>
      </c>
      <c r="C2889" t="n">
        <v>17305</v>
      </c>
      <c r="D2889" t="inlineStr">
        <is>
          <t>Kolkata</t>
        </is>
      </c>
      <c r="E2889" t="inlineStr">
        <is>
          <t>East</t>
        </is>
      </c>
      <c r="F2889" t="inlineStr">
        <is>
          <t>Organic Search</t>
        </is>
      </c>
      <c r="G2889" t="inlineStr">
        <is>
          <t>Mobile Web</t>
        </is>
      </c>
      <c r="H2889" t="inlineStr">
        <is>
          <t>Cash on Delivery</t>
        </is>
      </c>
      <c r="I2889" t="inlineStr">
        <is>
          <t>Cancelled</t>
        </is>
      </c>
      <c r="J2889" t="n">
        <v>110</v>
      </c>
      <c r="K2889" t="n">
        <v>1</v>
      </c>
      <c r="L2889" s="7" t="n">
        <v>839</v>
      </c>
      <c r="M2889" s="7" t="n">
        <v>0</v>
      </c>
    </row>
    <row r="2890">
      <c r="A2890" t="n">
        <v>510882</v>
      </c>
      <c r="B2890" s="6" t="n">
        <v>45977</v>
      </c>
      <c r="C2890" t="n">
        <v>17326</v>
      </c>
      <c r="D2890" t="inlineStr">
        <is>
          <t>Mumbai</t>
        </is>
      </c>
      <c r="E2890" t="inlineStr">
        <is>
          <t>West</t>
        </is>
      </c>
      <c r="F2890" t="inlineStr">
        <is>
          <t>Paid Search</t>
        </is>
      </c>
      <c r="G2890" t="inlineStr">
        <is>
          <t>Desktop</t>
        </is>
      </c>
      <c r="H2890" t="inlineStr">
        <is>
          <t>UPI</t>
        </is>
      </c>
      <c r="I2890" t="inlineStr">
        <is>
          <t>Returned</t>
        </is>
      </c>
      <c r="J2890" t="n">
        <v>113</v>
      </c>
      <c r="K2890" t="n">
        <v>1</v>
      </c>
      <c r="L2890" s="7" t="n">
        <v>1364</v>
      </c>
      <c r="M2890" s="7" t="n">
        <v>0</v>
      </c>
    </row>
    <row r="2891">
      <c r="A2891" t="n">
        <v>510882</v>
      </c>
      <c r="B2891" s="6" t="n">
        <v>45977</v>
      </c>
      <c r="C2891" t="n">
        <v>17326</v>
      </c>
      <c r="D2891" t="inlineStr">
        <is>
          <t>Mumbai</t>
        </is>
      </c>
      <c r="E2891" t="inlineStr">
        <is>
          <t>West</t>
        </is>
      </c>
      <c r="F2891" t="inlineStr">
        <is>
          <t>Paid Search</t>
        </is>
      </c>
      <c r="G2891" t="inlineStr">
        <is>
          <t>Desktop</t>
        </is>
      </c>
      <c r="H2891" t="inlineStr">
        <is>
          <t>UPI</t>
        </is>
      </c>
      <c r="I2891" t="inlineStr">
        <is>
          <t>Returned</t>
        </is>
      </c>
      <c r="J2891" t="n">
        <v>147</v>
      </c>
      <c r="K2891" t="n">
        <v>1</v>
      </c>
      <c r="L2891" s="7" t="n">
        <v>1364</v>
      </c>
      <c r="M2891" s="7" t="n">
        <v>0</v>
      </c>
    </row>
    <row r="2892">
      <c r="A2892" t="n">
        <v>510882</v>
      </c>
      <c r="B2892" s="6" t="n">
        <v>45977</v>
      </c>
      <c r="C2892" t="n">
        <v>17326</v>
      </c>
      <c r="D2892" t="inlineStr">
        <is>
          <t>Mumbai</t>
        </is>
      </c>
      <c r="E2892" t="inlineStr">
        <is>
          <t>West</t>
        </is>
      </c>
      <c r="F2892" t="inlineStr">
        <is>
          <t>Paid Search</t>
        </is>
      </c>
      <c r="G2892" t="inlineStr">
        <is>
          <t>Desktop</t>
        </is>
      </c>
      <c r="H2892" t="inlineStr">
        <is>
          <t>UPI</t>
        </is>
      </c>
      <c r="I2892" t="inlineStr">
        <is>
          <t>Returned</t>
        </is>
      </c>
      <c r="J2892" t="n">
        <v>123</v>
      </c>
      <c r="K2892" t="n">
        <v>1</v>
      </c>
      <c r="L2892" s="7" t="n">
        <v>3464</v>
      </c>
      <c r="M2892" s="7" t="n">
        <v>0</v>
      </c>
    </row>
    <row r="2893">
      <c r="A2893" t="n">
        <v>510883</v>
      </c>
      <c r="B2893" s="6" t="n">
        <v>45977</v>
      </c>
      <c r="C2893" t="n">
        <v>17122</v>
      </c>
      <c r="D2893" t="inlineStr">
        <is>
          <t>Chandigarh</t>
        </is>
      </c>
      <c r="E2893" t="inlineStr">
        <is>
          <t>North</t>
        </is>
      </c>
      <c r="F2893" t="inlineStr">
        <is>
          <t>Paid Search</t>
        </is>
      </c>
      <c r="G2893" t="inlineStr">
        <is>
          <t>Mobile App</t>
        </is>
      </c>
      <c r="H2893" t="inlineStr">
        <is>
          <t>UPI</t>
        </is>
      </c>
      <c r="I2893" t="inlineStr">
        <is>
          <t>Delivered</t>
        </is>
      </c>
      <c r="J2893" t="n">
        <v>137</v>
      </c>
      <c r="K2893" t="n">
        <v>1</v>
      </c>
      <c r="L2893" s="7" t="n">
        <v>261</v>
      </c>
      <c r="M2893" s="7" t="n">
        <v>0</v>
      </c>
    </row>
    <row r="2894">
      <c r="A2894" t="n">
        <v>510884</v>
      </c>
      <c r="B2894" s="6" t="n">
        <v>45977</v>
      </c>
      <c r="C2894" t="n">
        <v>16045</v>
      </c>
      <c r="D2894" t="inlineStr">
        <is>
          <t>Noida</t>
        </is>
      </c>
      <c r="E2894" t="inlineStr">
        <is>
          <t>North</t>
        </is>
      </c>
      <c r="F2894" t="inlineStr">
        <is>
          <t>Referral</t>
        </is>
      </c>
      <c r="G2894" t="inlineStr">
        <is>
          <t>Mobile Web</t>
        </is>
      </c>
      <c r="H2894" t="inlineStr">
        <is>
          <t>UPI</t>
        </is>
      </c>
      <c r="I2894" t="inlineStr">
        <is>
          <t>Returned</t>
        </is>
      </c>
      <c r="J2894" t="n">
        <v>125</v>
      </c>
      <c r="K2894" t="n">
        <v>1</v>
      </c>
      <c r="L2894" s="7" t="n">
        <v>1364</v>
      </c>
      <c r="M2894" s="7" t="n">
        <v>0</v>
      </c>
    </row>
    <row r="2895">
      <c r="A2895" t="n">
        <v>510885</v>
      </c>
      <c r="B2895" s="6" t="n">
        <v>45977</v>
      </c>
      <c r="C2895" t="n">
        <v>17311</v>
      </c>
      <c r="D2895" t="inlineStr">
        <is>
          <t>Chennai</t>
        </is>
      </c>
      <c r="E2895" t="inlineStr">
        <is>
          <t>South</t>
        </is>
      </c>
      <c r="F2895" t="inlineStr">
        <is>
          <t>Affiliate</t>
        </is>
      </c>
      <c r="G2895" t="inlineStr">
        <is>
          <t>Desktop</t>
        </is>
      </c>
      <c r="H2895" t="inlineStr">
        <is>
          <t>UPI</t>
        </is>
      </c>
      <c r="I2895" t="inlineStr">
        <is>
          <t>Delivered</t>
        </is>
      </c>
      <c r="J2895" t="n">
        <v>134</v>
      </c>
      <c r="K2895" t="n">
        <v>3</v>
      </c>
      <c r="L2895" s="7" t="n">
        <v>209</v>
      </c>
      <c r="M2895" s="7" t="n">
        <v>94.05</v>
      </c>
    </row>
    <row r="2896">
      <c r="A2896" t="n">
        <v>510886</v>
      </c>
      <c r="B2896" s="6" t="n">
        <v>45977</v>
      </c>
      <c r="C2896" t="n">
        <v>15691</v>
      </c>
      <c r="D2896" t="inlineStr">
        <is>
          <t>Mumbai</t>
        </is>
      </c>
      <c r="E2896" t="inlineStr">
        <is>
          <t>West</t>
        </is>
      </c>
      <c r="F2896" t="inlineStr">
        <is>
          <t>Referral</t>
        </is>
      </c>
      <c r="G2896" t="inlineStr">
        <is>
          <t>Mobile App</t>
        </is>
      </c>
      <c r="H2896" t="inlineStr">
        <is>
          <t>Cash on Delivery</t>
        </is>
      </c>
      <c r="I2896" t="inlineStr">
        <is>
          <t>Delivered</t>
        </is>
      </c>
      <c r="J2896" t="n">
        <v>131</v>
      </c>
      <c r="K2896" t="n">
        <v>2</v>
      </c>
      <c r="L2896" s="7" t="n">
        <v>314</v>
      </c>
      <c r="M2896" s="7" t="n">
        <v>0</v>
      </c>
    </row>
    <row r="2897">
      <c r="A2897" t="n">
        <v>510887</v>
      </c>
      <c r="B2897" s="6" t="n">
        <v>45977</v>
      </c>
      <c r="C2897" t="n">
        <v>17274</v>
      </c>
      <c r="D2897" t="inlineStr">
        <is>
          <t>Bengaluru</t>
        </is>
      </c>
      <c r="E2897" t="inlineStr">
        <is>
          <t>South</t>
        </is>
      </c>
      <c r="F2897" t="inlineStr">
        <is>
          <t>Paid Social</t>
        </is>
      </c>
      <c r="G2897" t="inlineStr">
        <is>
          <t>Mobile Web</t>
        </is>
      </c>
      <c r="H2897" t="inlineStr">
        <is>
          <t>Cash on Delivery</t>
        </is>
      </c>
      <c r="I2897" t="inlineStr">
        <is>
          <t>Delivered</t>
        </is>
      </c>
      <c r="J2897" t="n">
        <v>107</v>
      </c>
      <c r="K2897" t="n">
        <v>1</v>
      </c>
      <c r="L2897" s="7" t="n">
        <v>1259</v>
      </c>
      <c r="M2897" s="7" t="n">
        <v>188.85</v>
      </c>
    </row>
    <row r="2898">
      <c r="A2898" t="n">
        <v>510888</v>
      </c>
      <c r="B2898" s="6" t="n">
        <v>45977</v>
      </c>
      <c r="C2898" t="n">
        <v>15184</v>
      </c>
      <c r="D2898" t="inlineStr">
        <is>
          <t>Kolkata</t>
        </is>
      </c>
      <c r="E2898" t="inlineStr">
        <is>
          <t>East</t>
        </is>
      </c>
      <c r="F2898" t="inlineStr">
        <is>
          <t>Email</t>
        </is>
      </c>
      <c r="G2898" t="inlineStr">
        <is>
          <t>Mobile App</t>
        </is>
      </c>
      <c r="H2898" t="inlineStr">
        <is>
          <t>Net Banking</t>
        </is>
      </c>
      <c r="I2898" t="inlineStr">
        <is>
          <t>Delivered</t>
        </is>
      </c>
      <c r="J2898" t="n">
        <v>120</v>
      </c>
      <c r="K2898" t="n">
        <v>2</v>
      </c>
      <c r="L2898" s="7" t="n">
        <v>734</v>
      </c>
      <c r="M2898" s="7" t="n">
        <v>0</v>
      </c>
    </row>
    <row r="2899">
      <c r="A2899" t="n">
        <v>510889</v>
      </c>
      <c r="B2899" s="6" t="n">
        <v>45977</v>
      </c>
      <c r="C2899" t="n">
        <v>17335</v>
      </c>
      <c r="D2899" t="inlineStr">
        <is>
          <t>Bengaluru</t>
        </is>
      </c>
      <c r="E2899" t="inlineStr">
        <is>
          <t>South</t>
        </is>
      </c>
      <c r="F2899" t="inlineStr">
        <is>
          <t>Email</t>
        </is>
      </c>
      <c r="G2899" t="inlineStr">
        <is>
          <t>Mobile App</t>
        </is>
      </c>
      <c r="H2899" t="inlineStr">
        <is>
          <t>UPI</t>
        </is>
      </c>
      <c r="I2899" t="inlineStr">
        <is>
          <t>Delivered</t>
        </is>
      </c>
      <c r="J2899" t="n">
        <v>135</v>
      </c>
      <c r="K2899" t="n">
        <v>1</v>
      </c>
      <c r="L2899" s="7" t="n">
        <v>1574</v>
      </c>
      <c r="M2899" s="7" t="n">
        <v>0</v>
      </c>
    </row>
    <row r="2900">
      <c r="A2900" t="n">
        <v>510890</v>
      </c>
      <c r="B2900" s="6" t="n">
        <v>45977</v>
      </c>
      <c r="C2900" t="n">
        <v>16699</v>
      </c>
      <c r="D2900" t="inlineStr">
        <is>
          <t>Pune</t>
        </is>
      </c>
      <c r="E2900" t="inlineStr">
        <is>
          <t>West</t>
        </is>
      </c>
      <c r="F2900" t="inlineStr">
        <is>
          <t>Organic Search</t>
        </is>
      </c>
      <c r="G2900" t="inlineStr">
        <is>
          <t>Mobile Web</t>
        </is>
      </c>
      <c r="H2900" t="inlineStr">
        <is>
          <t>UPI</t>
        </is>
      </c>
      <c r="I2900" t="inlineStr">
        <is>
          <t>Delivered</t>
        </is>
      </c>
      <c r="J2900" t="n">
        <v>104</v>
      </c>
      <c r="K2900" t="n">
        <v>1</v>
      </c>
      <c r="L2900" s="7" t="n">
        <v>5249</v>
      </c>
      <c r="M2900" s="7" t="n">
        <v>0</v>
      </c>
    </row>
    <row r="2901">
      <c r="A2901" t="n">
        <v>510890</v>
      </c>
      <c r="B2901" s="6" t="n">
        <v>45977</v>
      </c>
      <c r="C2901" t="n">
        <v>16699</v>
      </c>
      <c r="D2901" t="inlineStr">
        <is>
          <t>Pune</t>
        </is>
      </c>
      <c r="E2901" t="inlineStr">
        <is>
          <t>West</t>
        </is>
      </c>
      <c r="F2901" t="inlineStr">
        <is>
          <t>Organic Search</t>
        </is>
      </c>
      <c r="G2901" t="inlineStr">
        <is>
          <t>Mobile Web</t>
        </is>
      </c>
      <c r="H2901" t="inlineStr">
        <is>
          <t>UPI</t>
        </is>
      </c>
      <c r="I2901" t="inlineStr">
        <is>
          <t>Delivered</t>
        </is>
      </c>
      <c r="J2901" t="n">
        <v>117</v>
      </c>
      <c r="K2901" t="n">
        <v>1</v>
      </c>
      <c r="L2901" s="7" t="n">
        <v>3149</v>
      </c>
      <c r="M2901" s="7" t="n">
        <v>0</v>
      </c>
    </row>
    <row r="2902">
      <c r="A2902" t="n">
        <v>510891</v>
      </c>
      <c r="B2902" s="6" t="n">
        <v>45977</v>
      </c>
      <c r="C2902" t="n">
        <v>17363</v>
      </c>
      <c r="D2902" t="inlineStr">
        <is>
          <t>Indore</t>
        </is>
      </c>
      <c r="E2902" t="inlineStr">
        <is>
          <t>West</t>
        </is>
      </c>
      <c r="F2902" t="inlineStr">
        <is>
          <t>Paid Search</t>
        </is>
      </c>
      <c r="G2902" t="inlineStr">
        <is>
          <t>Mobile App</t>
        </is>
      </c>
      <c r="H2902" t="inlineStr">
        <is>
          <t>Debit Card</t>
        </is>
      </c>
      <c r="I2902" t="inlineStr">
        <is>
          <t>Delivered</t>
        </is>
      </c>
      <c r="J2902" t="n">
        <v>103</v>
      </c>
      <c r="K2902" t="n">
        <v>1</v>
      </c>
      <c r="L2902" s="7" t="n">
        <v>2624</v>
      </c>
      <c r="M2902" s="7" t="n">
        <v>0</v>
      </c>
    </row>
    <row r="2903">
      <c r="A2903" t="n">
        <v>510892</v>
      </c>
      <c r="B2903" s="6" t="n">
        <v>45977</v>
      </c>
      <c r="C2903" t="n">
        <v>15375</v>
      </c>
      <c r="D2903" t="inlineStr">
        <is>
          <t>Ahmedabad</t>
        </is>
      </c>
      <c r="E2903" t="inlineStr">
        <is>
          <t>West</t>
        </is>
      </c>
      <c r="F2903" t="inlineStr">
        <is>
          <t>Paid Search</t>
        </is>
      </c>
      <c r="G2903" t="inlineStr">
        <is>
          <t>Mobile App</t>
        </is>
      </c>
      <c r="H2903" t="inlineStr">
        <is>
          <t>Net Banking</t>
        </is>
      </c>
      <c r="I2903" t="inlineStr">
        <is>
          <t>Delivered</t>
        </is>
      </c>
      <c r="J2903" t="n">
        <v>105</v>
      </c>
      <c r="K2903" t="n">
        <v>2</v>
      </c>
      <c r="L2903" s="7" t="n">
        <v>2414</v>
      </c>
      <c r="M2903" s="7" t="n">
        <v>0</v>
      </c>
    </row>
    <row r="2904">
      <c r="A2904" t="n">
        <v>510893</v>
      </c>
      <c r="B2904" s="6" t="n">
        <v>45977</v>
      </c>
      <c r="C2904" t="n">
        <v>16949</v>
      </c>
      <c r="D2904" t="inlineStr">
        <is>
          <t>Bengaluru</t>
        </is>
      </c>
      <c r="E2904" t="inlineStr">
        <is>
          <t>South</t>
        </is>
      </c>
      <c r="F2904" t="inlineStr">
        <is>
          <t>Organic Search</t>
        </is>
      </c>
      <c r="G2904" t="inlineStr">
        <is>
          <t>Mobile Web</t>
        </is>
      </c>
      <c r="H2904" t="inlineStr">
        <is>
          <t>Debit Card</t>
        </is>
      </c>
      <c r="I2904" t="inlineStr">
        <is>
          <t>Delivered</t>
        </is>
      </c>
      <c r="J2904" t="n">
        <v>131</v>
      </c>
      <c r="K2904" t="n">
        <v>1</v>
      </c>
      <c r="L2904" s="7" t="n">
        <v>314</v>
      </c>
      <c r="M2904" s="7" t="n">
        <v>0</v>
      </c>
    </row>
    <row r="2905">
      <c r="A2905" t="n">
        <v>510893</v>
      </c>
      <c r="B2905" s="6" t="n">
        <v>45977</v>
      </c>
      <c r="C2905" t="n">
        <v>16949</v>
      </c>
      <c r="D2905" t="inlineStr">
        <is>
          <t>Bengaluru</t>
        </is>
      </c>
      <c r="E2905" t="inlineStr">
        <is>
          <t>South</t>
        </is>
      </c>
      <c r="F2905" t="inlineStr">
        <is>
          <t>Organic Search</t>
        </is>
      </c>
      <c r="G2905" t="inlineStr">
        <is>
          <t>Mobile Web</t>
        </is>
      </c>
      <c r="H2905" t="inlineStr">
        <is>
          <t>Debit Card</t>
        </is>
      </c>
      <c r="I2905" t="inlineStr">
        <is>
          <t>Delivered</t>
        </is>
      </c>
      <c r="J2905" t="n">
        <v>111</v>
      </c>
      <c r="K2905" t="n">
        <v>1</v>
      </c>
      <c r="L2905" s="7" t="n">
        <v>524</v>
      </c>
      <c r="M2905" s="7" t="n">
        <v>0</v>
      </c>
    </row>
    <row r="2906">
      <c r="A2906" t="n">
        <v>510894</v>
      </c>
      <c r="B2906" s="6" t="n">
        <v>45978</v>
      </c>
      <c r="C2906" t="n">
        <v>17356</v>
      </c>
      <c r="D2906" t="inlineStr">
        <is>
          <t>Pune</t>
        </is>
      </c>
      <c r="E2906" t="inlineStr">
        <is>
          <t>West</t>
        </is>
      </c>
      <c r="F2906" t="inlineStr">
        <is>
          <t>Referral</t>
        </is>
      </c>
      <c r="G2906" t="inlineStr">
        <is>
          <t>Desktop</t>
        </is>
      </c>
      <c r="H2906" t="inlineStr">
        <is>
          <t>Cash on Delivery</t>
        </is>
      </c>
      <c r="I2906" t="inlineStr">
        <is>
          <t>Delivered</t>
        </is>
      </c>
      <c r="J2906" t="n">
        <v>128</v>
      </c>
      <c r="K2906" t="n">
        <v>1</v>
      </c>
      <c r="L2906" s="7" t="n">
        <v>1049</v>
      </c>
      <c r="M2906" s="7" t="n">
        <v>0</v>
      </c>
    </row>
    <row r="2907">
      <c r="A2907" t="n">
        <v>510895</v>
      </c>
      <c r="B2907" s="6" t="n">
        <v>45978</v>
      </c>
      <c r="C2907" t="n">
        <v>14493</v>
      </c>
      <c r="D2907" t="inlineStr">
        <is>
          <t>Kolkata</t>
        </is>
      </c>
      <c r="E2907" t="inlineStr">
        <is>
          <t>East</t>
        </is>
      </c>
      <c r="F2907" t="inlineStr">
        <is>
          <t>Paid Search</t>
        </is>
      </c>
      <c r="G2907" t="inlineStr">
        <is>
          <t>Mobile App</t>
        </is>
      </c>
      <c r="H2907" t="inlineStr">
        <is>
          <t>UPI</t>
        </is>
      </c>
      <c r="I2907" t="inlineStr">
        <is>
          <t>Delivered</t>
        </is>
      </c>
      <c r="J2907" t="n">
        <v>107</v>
      </c>
      <c r="K2907" t="n">
        <v>1</v>
      </c>
      <c r="L2907" s="7" t="n">
        <v>1259</v>
      </c>
      <c r="M2907" s="7" t="n">
        <v>0</v>
      </c>
    </row>
    <row r="2908">
      <c r="A2908" t="n">
        <v>510895</v>
      </c>
      <c r="B2908" s="6" t="n">
        <v>45978</v>
      </c>
      <c r="C2908" t="n">
        <v>14493</v>
      </c>
      <c r="D2908" t="inlineStr">
        <is>
          <t>Kolkata</t>
        </is>
      </c>
      <c r="E2908" t="inlineStr">
        <is>
          <t>East</t>
        </is>
      </c>
      <c r="F2908" t="inlineStr">
        <is>
          <t>Paid Search</t>
        </is>
      </c>
      <c r="G2908" t="inlineStr">
        <is>
          <t>Mobile App</t>
        </is>
      </c>
      <c r="H2908" t="inlineStr">
        <is>
          <t>UPI</t>
        </is>
      </c>
      <c r="I2908" t="inlineStr">
        <is>
          <t>Delivered</t>
        </is>
      </c>
      <c r="J2908" t="n">
        <v>112</v>
      </c>
      <c r="K2908" t="n">
        <v>1</v>
      </c>
      <c r="L2908" s="7" t="n">
        <v>1574</v>
      </c>
      <c r="M2908" s="7" t="n">
        <v>0</v>
      </c>
    </row>
    <row r="2909">
      <c r="A2909" t="n">
        <v>510896</v>
      </c>
      <c r="B2909" s="6" t="n">
        <v>45978</v>
      </c>
      <c r="C2909" t="n">
        <v>17371</v>
      </c>
      <c r="D2909" t="inlineStr">
        <is>
          <t>Kolkata</t>
        </is>
      </c>
      <c r="E2909" t="inlineStr">
        <is>
          <t>East</t>
        </is>
      </c>
      <c r="F2909" t="inlineStr">
        <is>
          <t>Organic Search</t>
        </is>
      </c>
      <c r="G2909" t="inlineStr">
        <is>
          <t>Desktop</t>
        </is>
      </c>
      <c r="H2909" t="inlineStr">
        <is>
          <t>Credit Card</t>
        </is>
      </c>
      <c r="I2909" t="inlineStr">
        <is>
          <t>Delivered</t>
        </is>
      </c>
      <c r="J2909" t="n">
        <v>147</v>
      </c>
      <c r="K2909" t="n">
        <v>1</v>
      </c>
      <c r="L2909" s="7" t="n">
        <v>1364</v>
      </c>
      <c r="M2909" s="7" t="n">
        <v>0</v>
      </c>
    </row>
    <row r="2910">
      <c r="A2910" t="n">
        <v>510897</v>
      </c>
      <c r="B2910" s="6" t="n">
        <v>45978</v>
      </c>
      <c r="C2910" t="n">
        <v>13588</v>
      </c>
      <c r="D2910" t="inlineStr">
        <is>
          <t>Delhi</t>
        </is>
      </c>
      <c r="E2910" t="inlineStr">
        <is>
          <t>North</t>
        </is>
      </c>
      <c r="F2910" t="inlineStr">
        <is>
          <t>Organic Search</t>
        </is>
      </c>
      <c r="G2910" t="inlineStr">
        <is>
          <t>Mobile App</t>
        </is>
      </c>
      <c r="H2910" t="inlineStr">
        <is>
          <t>Credit Card</t>
        </is>
      </c>
      <c r="I2910" t="inlineStr">
        <is>
          <t>Delivered</t>
        </is>
      </c>
      <c r="J2910" t="n">
        <v>139</v>
      </c>
      <c r="K2910" t="n">
        <v>3</v>
      </c>
      <c r="L2910" s="7" t="n">
        <v>366</v>
      </c>
      <c r="M2910" s="7" t="n">
        <v>0</v>
      </c>
    </row>
    <row r="2911">
      <c r="A2911" t="n">
        <v>510897</v>
      </c>
      <c r="B2911" s="6" t="n">
        <v>45978</v>
      </c>
      <c r="C2911" t="n">
        <v>13588</v>
      </c>
      <c r="D2911" t="inlineStr">
        <is>
          <t>Delhi</t>
        </is>
      </c>
      <c r="E2911" t="inlineStr">
        <is>
          <t>North</t>
        </is>
      </c>
      <c r="F2911" t="inlineStr">
        <is>
          <t>Organic Search</t>
        </is>
      </c>
      <c r="G2911" t="inlineStr">
        <is>
          <t>Mobile App</t>
        </is>
      </c>
      <c r="H2911" t="inlineStr">
        <is>
          <t>Credit Card</t>
        </is>
      </c>
      <c r="I2911" t="inlineStr">
        <is>
          <t>Delivered</t>
        </is>
      </c>
      <c r="J2911" t="n">
        <v>127</v>
      </c>
      <c r="K2911" t="n">
        <v>1</v>
      </c>
      <c r="L2911" s="7" t="n">
        <v>681</v>
      </c>
      <c r="M2911" s="7" t="n">
        <v>0</v>
      </c>
    </row>
    <row r="2912">
      <c r="A2912" t="n">
        <v>510898</v>
      </c>
      <c r="B2912" s="6" t="n">
        <v>45978</v>
      </c>
      <c r="C2912" t="n">
        <v>17354</v>
      </c>
      <c r="D2912" t="inlineStr">
        <is>
          <t>Hyderabad</t>
        </is>
      </c>
      <c r="E2912" t="inlineStr">
        <is>
          <t>South</t>
        </is>
      </c>
      <c r="F2912" t="inlineStr">
        <is>
          <t>Organic Search</t>
        </is>
      </c>
      <c r="G2912" t="inlineStr">
        <is>
          <t>Mobile App</t>
        </is>
      </c>
      <c r="H2912" t="inlineStr">
        <is>
          <t>Debit Card</t>
        </is>
      </c>
      <c r="I2912" t="inlineStr">
        <is>
          <t>Delivered</t>
        </is>
      </c>
      <c r="J2912" t="n">
        <v>140</v>
      </c>
      <c r="K2912" t="n">
        <v>2</v>
      </c>
      <c r="L2912" s="7" t="n">
        <v>629</v>
      </c>
      <c r="M2912" s="7" t="n">
        <v>0</v>
      </c>
    </row>
    <row r="2913">
      <c r="A2913" t="n">
        <v>510899</v>
      </c>
      <c r="B2913" s="6" t="n">
        <v>45978</v>
      </c>
      <c r="C2913" t="n">
        <v>13923</v>
      </c>
      <c r="D2913" t="inlineStr">
        <is>
          <t>Noida</t>
        </is>
      </c>
      <c r="E2913" t="inlineStr">
        <is>
          <t>North</t>
        </is>
      </c>
      <c r="F2913" t="inlineStr">
        <is>
          <t>Organic Search</t>
        </is>
      </c>
      <c r="G2913" t="inlineStr">
        <is>
          <t>Mobile App</t>
        </is>
      </c>
      <c r="H2913" t="inlineStr">
        <is>
          <t>UPI</t>
        </is>
      </c>
      <c r="I2913" t="inlineStr">
        <is>
          <t>Delivered</t>
        </is>
      </c>
      <c r="J2913" t="n">
        <v>138</v>
      </c>
      <c r="K2913" t="n">
        <v>1</v>
      </c>
      <c r="L2913" s="7" t="n">
        <v>419</v>
      </c>
      <c r="M2913" s="7" t="n">
        <v>0</v>
      </c>
    </row>
    <row r="2914">
      <c r="A2914" t="n">
        <v>510899</v>
      </c>
      <c r="B2914" s="6" t="n">
        <v>45978</v>
      </c>
      <c r="C2914" t="n">
        <v>13923</v>
      </c>
      <c r="D2914" t="inlineStr">
        <is>
          <t>Noida</t>
        </is>
      </c>
      <c r="E2914" t="inlineStr">
        <is>
          <t>North</t>
        </is>
      </c>
      <c r="F2914" t="inlineStr">
        <is>
          <t>Organic Search</t>
        </is>
      </c>
      <c r="G2914" t="inlineStr">
        <is>
          <t>Mobile App</t>
        </is>
      </c>
      <c r="H2914" t="inlineStr">
        <is>
          <t>UPI</t>
        </is>
      </c>
      <c r="I2914" t="inlineStr">
        <is>
          <t>Delivered</t>
        </is>
      </c>
      <c r="J2914" t="n">
        <v>135</v>
      </c>
      <c r="K2914" t="n">
        <v>2</v>
      </c>
      <c r="L2914" s="7" t="n">
        <v>1574</v>
      </c>
      <c r="M2914" s="7" t="n">
        <v>0</v>
      </c>
    </row>
    <row r="2915">
      <c r="A2915" t="n">
        <v>510900</v>
      </c>
      <c r="B2915" s="6" t="n">
        <v>45978</v>
      </c>
      <c r="C2915" t="n">
        <v>17372</v>
      </c>
      <c r="D2915" t="inlineStr">
        <is>
          <t>Bengaluru</t>
        </is>
      </c>
      <c r="E2915" t="inlineStr">
        <is>
          <t>South</t>
        </is>
      </c>
      <c r="F2915" t="inlineStr">
        <is>
          <t>Paid Social</t>
        </is>
      </c>
      <c r="G2915" t="inlineStr">
        <is>
          <t>Mobile App</t>
        </is>
      </c>
      <c r="H2915" t="inlineStr">
        <is>
          <t>Debit Card</t>
        </is>
      </c>
      <c r="I2915" t="inlineStr">
        <is>
          <t>Delivered</t>
        </is>
      </c>
      <c r="J2915" t="n">
        <v>123</v>
      </c>
      <c r="K2915" t="n">
        <v>1</v>
      </c>
      <c r="L2915" s="7" t="n">
        <v>3464</v>
      </c>
      <c r="M2915" s="7" t="n">
        <v>519.6</v>
      </c>
    </row>
    <row r="2916">
      <c r="A2916" t="n">
        <v>510901</v>
      </c>
      <c r="B2916" s="6" t="n">
        <v>45978</v>
      </c>
      <c r="C2916" t="n">
        <v>12589</v>
      </c>
      <c r="D2916" t="inlineStr">
        <is>
          <t>Bengaluru</t>
        </is>
      </c>
      <c r="E2916" t="inlineStr">
        <is>
          <t>South</t>
        </is>
      </c>
      <c r="F2916" t="inlineStr">
        <is>
          <t>Organic Search</t>
        </is>
      </c>
      <c r="G2916" t="inlineStr">
        <is>
          <t>Mobile Web</t>
        </is>
      </c>
      <c r="H2916" t="inlineStr">
        <is>
          <t>Debit Card</t>
        </is>
      </c>
      <c r="I2916" t="inlineStr">
        <is>
          <t>Delivered</t>
        </is>
      </c>
      <c r="J2916" t="n">
        <v>144</v>
      </c>
      <c r="K2916" t="n">
        <v>2</v>
      </c>
      <c r="L2916" s="7" t="n">
        <v>3149</v>
      </c>
      <c r="M2916" s="7" t="n">
        <v>0</v>
      </c>
    </row>
    <row r="2917">
      <c r="A2917" t="n">
        <v>510902</v>
      </c>
      <c r="B2917" s="6" t="n">
        <v>45978</v>
      </c>
      <c r="C2917" t="n">
        <v>17231</v>
      </c>
      <c r="D2917" t="inlineStr">
        <is>
          <t>Noida</t>
        </is>
      </c>
      <c r="E2917" t="inlineStr">
        <is>
          <t>North</t>
        </is>
      </c>
      <c r="F2917" t="inlineStr">
        <is>
          <t>Paid Search</t>
        </is>
      </c>
      <c r="G2917" t="inlineStr">
        <is>
          <t>Mobile App</t>
        </is>
      </c>
      <c r="H2917" t="inlineStr">
        <is>
          <t>Net Banking</t>
        </is>
      </c>
      <c r="I2917" t="inlineStr">
        <is>
          <t>Cancelled</t>
        </is>
      </c>
      <c r="J2917" t="n">
        <v>113</v>
      </c>
      <c r="K2917" t="n">
        <v>1</v>
      </c>
      <c r="L2917" s="7" t="n">
        <v>1364</v>
      </c>
      <c r="M2917" s="7" t="n">
        <v>204.6</v>
      </c>
    </row>
    <row r="2918">
      <c r="A2918" t="n">
        <v>510903</v>
      </c>
      <c r="B2918" s="6" t="n">
        <v>45979</v>
      </c>
      <c r="C2918" t="n">
        <v>17390</v>
      </c>
      <c r="D2918" t="inlineStr">
        <is>
          <t>Delhi</t>
        </is>
      </c>
      <c r="E2918" t="inlineStr">
        <is>
          <t>North</t>
        </is>
      </c>
      <c r="F2918" t="inlineStr">
        <is>
          <t>Paid Search</t>
        </is>
      </c>
      <c r="G2918" t="inlineStr">
        <is>
          <t>Desktop</t>
        </is>
      </c>
      <c r="H2918" t="inlineStr">
        <is>
          <t>Debit Card</t>
        </is>
      </c>
      <c r="I2918" t="inlineStr">
        <is>
          <t>Delivered</t>
        </is>
      </c>
      <c r="J2918" t="n">
        <v>133</v>
      </c>
      <c r="K2918" t="n">
        <v>2</v>
      </c>
      <c r="L2918" s="7" t="n">
        <v>419</v>
      </c>
      <c r="M2918" s="7" t="n">
        <v>41.9</v>
      </c>
    </row>
    <row r="2919">
      <c r="A2919" t="n">
        <v>510903</v>
      </c>
      <c r="B2919" s="6" t="n">
        <v>45979</v>
      </c>
      <c r="C2919" t="n">
        <v>17390</v>
      </c>
      <c r="D2919" t="inlineStr">
        <is>
          <t>Delhi</t>
        </is>
      </c>
      <c r="E2919" t="inlineStr">
        <is>
          <t>North</t>
        </is>
      </c>
      <c r="F2919" t="inlineStr">
        <is>
          <t>Paid Search</t>
        </is>
      </c>
      <c r="G2919" t="inlineStr">
        <is>
          <t>Desktop</t>
        </is>
      </c>
      <c r="H2919" t="inlineStr">
        <is>
          <t>Debit Card</t>
        </is>
      </c>
      <c r="I2919" t="inlineStr">
        <is>
          <t>Delivered</t>
        </is>
      </c>
      <c r="J2919" t="n">
        <v>101</v>
      </c>
      <c r="K2919" t="n">
        <v>1</v>
      </c>
      <c r="L2919" s="7" t="n">
        <v>2099</v>
      </c>
      <c r="M2919" s="7" t="n">
        <v>104.95</v>
      </c>
    </row>
    <row r="2920">
      <c r="A2920" t="n">
        <v>510904</v>
      </c>
      <c r="B2920" s="6" t="n">
        <v>45979</v>
      </c>
      <c r="C2920" t="n">
        <v>14952</v>
      </c>
      <c r="D2920" t="inlineStr">
        <is>
          <t>Bengaluru</t>
        </is>
      </c>
      <c r="E2920" t="inlineStr">
        <is>
          <t>South</t>
        </is>
      </c>
      <c r="F2920" t="inlineStr">
        <is>
          <t>Referral</t>
        </is>
      </c>
      <c r="G2920" t="inlineStr">
        <is>
          <t>Desktop</t>
        </is>
      </c>
      <c r="H2920" t="inlineStr">
        <is>
          <t>UPI</t>
        </is>
      </c>
      <c r="I2920" t="inlineStr">
        <is>
          <t>Cancelled</t>
        </is>
      </c>
      <c r="J2920" t="n">
        <v>117</v>
      </c>
      <c r="K2920" t="n">
        <v>1</v>
      </c>
      <c r="L2920" s="7" t="n">
        <v>3149</v>
      </c>
      <c r="M2920" s="7" t="n">
        <v>0</v>
      </c>
    </row>
    <row r="2921">
      <c r="A2921" t="n">
        <v>510905</v>
      </c>
      <c r="B2921" s="6" t="n">
        <v>45979</v>
      </c>
      <c r="C2921" t="n">
        <v>15352</v>
      </c>
      <c r="D2921" t="inlineStr">
        <is>
          <t>Kolkata</t>
        </is>
      </c>
      <c r="E2921" t="inlineStr">
        <is>
          <t>East</t>
        </is>
      </c>
      <c r="F2921" t="inlineStr">
        <is>
          <t>Referral</t>
        </is>
      </c>
      <c r="G2921" t="inlineStr">
        <is>
          <t>Mobile Web</t>
        </is>
      </c>
      <c r="H2921" t="inlineStr">
        <is>
          <t>UPI</t>
        </is>
      </c>
      <c r="I2921" t="inlineStr">
        <is>
          <t>Delivered</t>
        </is>
      </c>
      <c r="J2921" t="n">
        <v>134</v>
      </c>
      <c r="K2921" t="n">
        <v>1</v>
      </c>
      <c r="L2921" s="7" t="n">
        <v>209</v>
      </c>
      <c r="M2921" s="7" t="n">
        <v>0</v>
      </c>
    </row>
    <row r="2922">
      <c r="A2922" t="n">
        <v>510906</v>
      </c>
      <c r="B2922" s="6" t="n">
        <v>45979</v>
      </c>
      <c r="C2922" t="n">
        <v>17349</v>
      </c>
      <c r="D2922" t="inlineStr">
        <is>
          <t>Bengaluru</t>
        </is>
      </c>
      <c r="E2922" t="inlineStr">
        <is>
          <t>South</t>
        </is>
      </c>
      <c r="F2922" t="inlineStr">
        <is>
          <t>Paid Social</t>
        </is>
      </c>
      <c r="G2922" t="inlineStr">
        <is>
          <t>Mobile App</t>
        </is>
      </c>
      <c r="H2922" t="inlineStr">
        <is>
          <t>UPI</t>
        </is>
      </c>
      <c r="I2922" t="inlineStr">
        <is>
          <t>Delivered</t>
        </is>
      </c>
      <c r="J2922" t="n">
        <v>109</v>
      </c>
      <c r="K2922" t="n">
        <v>1</v>
      </c>
      <c r="L2922" s="7" t="n">
        <v>4199</v>
      </c>
      <c r="M2922" s="7" t="n">
        <v>629.85</v>
      </c>
    </row>
    <row r="2923">
      <c r="A2923" t="n">
        <v>510907</v>
      </c>
      <c r="B2923" s="6" t="n">
        <v>45979</v>
      </c>
      <c r="C2923" t="n">
        <v>17282</v>
      </c>
      <c r="D2923" t="inlineStr">
        <is>
          <t>Kolkata</t>
        </is>
      </c>
      <c r="E2923" t="inlineStr">
        <is>
          <t>East</t>
        </is>
      </c>
      <c r="F2923" t="inlineStr">
        <is>
          <t>Paid Social</t>
        </is>
      </c>
      <c r="G2923" t="inlineStr">
        <is>
          <t>Desktop</t>
        </is>
      </c>
      <c r="H2923" t="inlineStr">
        <is>
          <t>UPI</t>
        </is>
      </c>
      <c r="I2923" t="inlineStr">
        <is>
          <t>Delivered</t>
        </is>
      </c>
      <c r="J2923" t="n">
        <v>123</v>
      </c>
      <c r="K2923" t="n">
        <v>1</v>
      </c>
      <c r="L2923" s="7" t="n">
        <v>3464</v>
      </c>
      <c r="M2923" s="7" t="n">
        <v>0</v>
      </c>
    </row>
    <row r="2924">
      <c r="A2924" t="n">
        <v>510908</v>
      </c>
      <c r="B2924" s="6" t="n">
        <v>45979</v>
      </c>
      <c r="C2924" t="n">
        <v>14483</v>
      </c>
      <c r="D2924" t="inlineStr">
        <is>
          <t>Lucknow</t>
        </is>
      </c>
      <c r="E2924" t="inlineStr">
        <is>
          <t>North</t>
        </is>
      </c>
      <c r="F2924" t="inlineStr">
        <is>
          <t>Organic Search</t>
        </is>
      </c>
      <c r="G2924" t="inlineStr">
        <is>
          <t>Mobile Web</t>
        </is>
      </c>
      <c r="H2924" t="inlineStr">
        <is>
          <t>UPI</t>
        </is>
      </c>
      <c r="I2924" t="inlineStr">
        <is>
          <t>Delivered</t>
        </is>
      </c>
      <c r="J2924" t="n">
        <v>113</v>
      </c>
      <c r="K2924" t="n">
        <v>1</v>
      </c>
      <c r="L2924" s="7" t="n">
        <v>1364</v>
      </c>
      <c r="M2924" s="7" t="n">
        <v>0</v>
      </c>
    </row>
    <row r="2925">
      <c r="A2925" t="n">
        <v>510908</v>
      </c>
      <c r="B2925" s="6" t="n">
        <v>45979</v>
      </c>
      <c r="C2925" t="n">
        <v>14483</v>
      </c>
      <c r="D2925" t="inlineStr">
        <is>
          <t>Lucknow</t>
        </is>
      </c>
      <c r="E2925" t="inlineStr">
        <is>
          <t>North</t>
        </is>
      </c>
      <c r="F2925" t="inlineStr">
        <is>
          <t>Organic Search</t>
        </is>
      </c>
      <c r="G2925" t="inlineStr">
        <is>
          <t>Mobile Web</t>
        </is>
      </c>
      <c r="H2925" t="inlineStr">
        <is>
          <t>UPI</t>
        </is>
      </c>
      <c r="I2925" t="inlineStr">
        <is>
          <t>Delivered</t>
        </is>
      </c>
      <c r="J2925" t="n">
        <v>126</v>
      </c>
      <c r="K2925" t="n">
        <v>2</v>
      </c>
      <c r="L2925" s="7" t="n">
        <v>471</v>
      </c>
      <c r="M2925" s="7" t="n">
        <v>0</v>
      </c>
    </row>
    <row r="2926">
      <c r="A2926" t="n">
        <v>510909</v>
      </c>
      <c r="B2926" s="6" t="n">
        <v>45979</v>
      </c>
      <c r="C2926" t="n">
        <v>17339</v>
      </c>
      <c r="D2926" t="inlineStr">
        <is>
          <t>Bengaluru</t>
        </is>
      </c>
      <c r="E2926" t="inlineStr">
        <is>
          <t>South</t>
        </is>
      </c>
      <c r="F2926" t="inlineStr">
        <is>
          <t>Paid Search</t>
        </is>
      </c>
      <c r="G2926" t="inlineStr">
        <is>
          <t>Mobile App</t>
        </is>
      </c>
      <c r="H2926" t="inlineStr">
        <is>
          <t>Debit Card</t>
        </is>
      </c>
      <c r="I2926" t="inlineStr">
        <is>
          <t>Delivered</t>
        </is>
      </c>
      <c r="J2926" t="n">
        <v>107</v>
      </c>
      <c r="K2926" t="n">
        <v>1</v>
      </c>
      <c r="L2926" s="7" t="n">
        <v>1259</v>
      </c>
      <c r="M2926" s="7" t="n">
        <v>0</v>
      </c>
    </row>
    <row r="2927">
      <c r="A2927" t="n">
        <v>510909</v>
      </c>
      <c r="B2927" s="6" t="n">
        <v>45979</v>
      </c>
      <c r="C2927" t="n">
        <v>17339</v>
      </c>
      <c r="D2927" t="inlineStr">
        <is>
          <t>Bengaluru</t>
        </is>
      </c>
      <c r="E2927" t="inlineStr">
        <is>
          <t>South</t>
        </is>
      </c>
      <c r="F2927" t="inlineStr">
        <is>
          <t>Paid Search</t>
        </is>
      </c>
      <c r="G2927" t="inlineStr">
        <is>
          <t>Mobile App</t>
        </is>
      </c>
      <c r="H2927" t="inlineStr">
        <is>
          <t>Debit Card</t>
        </is>
      </c>
      <c r="I2927" t="inlineStr">
        <is>
          <t>Delivered</t>
        </is>
      </c>
      <c r="J2927" t="n">
        <v>122</v>
      </c>
      <c r="K2927" t="n">
        <v>1</v>
      </c>
      <c r="L2927" s="7" t="n">
        <v>1994</v>
      </c>
      <c r="M2927" s="7" t="n">
        <v>0</v>
      </c>
    </row>
    <row r="2928">
      <c r="A2928" t="n">
        <v>510909</v>
      </c>
      <c r="B2928" s="6" t="n">
        <v>45979</v>
      </c>
      <c r="C2928" t="n">
        <v>17339</v>
      </c>
      <c r="D2928" t="inlineStr">
        <is>
          <t>Bengaluru</t>
        </is>
      </c>
      <c r="E2928" t="inlineStr">
        <is>
          <t>South</t>
        </is>
      </c>
      <c r="F2928" t="inlineStr">
        <is>
          <t>Paid Search</t>
        </is>
      </c>
      <c r="G2928" t="inlineStr">
        <is>
          <t>Mobile App</t>
        </is>
      </c>
      <c r="H2928" t="inlineStr">
        <is>
          <t>Debit Card</t>
        </is>
      </c>
      <c r="I2928" t="inlineStr">
        <is>
          <t>Delivered</t>
        </is>
      </c>
      <c r="J2928" t="n">
        <v>140</v>
      </c>
      <c r="K2928" t="n">
        <v>1</v>
      </c>
      <c r="L2928" s="7" t="n">
        <v>629</v>
      </c>
      <c r="M2928" s="7" t="n">
        <v>0</v>
      </c>
    </row>
    <row r="2929">
      <c r="A2929" t="n">
        <v>510910</v>
      </c>
      <c r="B2929" s="6" t="n">
        <v>45979</v>
      </c>
      <c r="C2929" t="n">
        <v>15949</v>
      </c>
      <c r="D2929" t="inlineStr">
        <is>
          <t>Jaipur</t>
        </is>
      </c>
      <c r="E2929" t="inlineStr">
        <is>
          <t>North</t>
        </is>
      </c>
      <c r="F2929" t="inlineStr">
        <is>
          <t>Email</t>
        </is>
      </c>
      <c r="G2929" t="inlineStr">
        <is>
          <t>Mobile App</t>
        </is>
      </c>
      <c r="H2929" t="inlineStr">
        <is>
          <t>Credit Card</t>
        </is>
      </c>
      <c r="I2929" t="inlineStr">
        <is>
          <t>Delivered</t>
        </is>
      </c>
      <c r="J2929" t="n">
        <v>123</v>
      </c>
      <c r="K2929" t="n">
        <v>1</v>
      </c>
      <c r="L2929" s="7" t="n">
        <v>3464</v>
      </c>
      <c r="M2929" s="7" t="n">
        <v>0</v>
      </c>
    </row>
    <row r="2930">
      <c r="A2930" t="n">
        <v>510911</v>
      </c>
      <c r="B2930" s="6" t="n">
        <v>45979</v>
      </c>
      <c r="C2930" t="n">
        <v>17396</v>
      </c>
      <c r="D2930" t="inlineStr">
        <is>
          <t>Chandigarh</t>
        </is>
      </c>
      <c r="E2930" t="inlineStr">
        <is>
          <t>North</t>
        </is>
      </c>
      <c r="F2930" t="inlineStr">
        <is>
          <t>Paid Search</t>
        </is>
      </c>
      <c r="G2930" t="inlineStr">
        <is>
          <t>Desktop</t>
        </is>
      </c>
      <c r="H2930" t="inlineStr">
        <is>
          <t>Debit Card</t>
        </is>
      </c>
      <c r="I2930" t="inlineStr">
        <is>
          <t>Delivered</t>
        </is>
      </c>
      <c r="J2930" t="n">
        <v>104</v>
      </c>
      <c r="K2930" t="n">
        <v>1</v>
      </c>
      <c r="L2930" s="7" t="n">
        <v>5249</v>
      </c>
      <c r="M2930" s="7" t="n">
        <v>787.35</v>
      </c>
    </row>
    <row r="2931">
      <c r="A2931" t="n">
        <v>510912</v>
      </c>
      <c r="B2931" s="6" t="n">
        <v>45979</v>
      </c>
      <c r="C2931" t="n">
        <v>17367</v>
      </c>
      <c r="D2931" t="inlineStr">
        <is>
          <t>Kolkata</t>
        </is>
      </c>
      <c r="E2931" t="inlineStr">
        <is>
          <t>East</t>
        </is>
      </c>
      <c r="F2931" t="inlineStr">
        <is>
          <t>Paid Search</t>
        </is>
      </c>
      <c r="G2931" t="inlineStr">
        <is>
          <t>Mobile Web</t>
        </is>
      </c>
      <c r="H2931" t="inlineStr">
        <is>
          <t>UPI</t>
        </is>
      </c>
      <c r="I2931" t="inlineStr">
        <is>
          <t>Delivered</t>
        </is>
      </c>
      <c r="J2931" t="n">
        <v>117</v>
      </c>
      <c r="K2931" t="n">
        <v>1</v>
      </c>
      <c r="L2931" s="7" t="n">
        <v>3149</v>
      </c>
      <c r="M2931" s="7" t="n">
        <v>0</v>
      </c>
    </row>
    <row r="2932">
      <c r="A2932" t="n">
        <v>510912</v>
      </c>
      <c r="B2932" s="6" t="n">
        <v>45979</v>
      </c>
      <c r="C2932" t="n">
        <v>17367</v>
      </c>
      <c r="D2932" t="inlineStr">
        <is>
          <t>Kolkata</t>
        </is>
      </c>
      <c r="E2932" t="inlineStr">
        <is>
          <t>East</t>
        </is>
      </c>
      <c r="F2932" t="inlineStr">
        <is>
          <t>Paid Search</t>
        </is>
      </c>
      <c r="G2932" t="inlineStr">
        <is>
          <t>Mobile Web</t>
        </is>
      </c>
      <c r="H2932" t="inlineStr">
        <is>
          <t>UPI</t>
        </is>
      </c>
      <c r="I2932" t="inlineStr">
        <is>
          <t>Delivered</t>
        </is>
      </c>
      <c r="J2932" t="n">
        <v>122</v>
      </c>
      <c r="K2932" t="n">
        <v>1</v>
      </c>
      <c r="L2932" s="7" t="n">
        <v>1994</v>
      </c>
      <c r="M2932" s="7" t="n">
        <v>0</v>
      </c>
    </row>
    <row r="2933">
      <c r="A2933" t="n">
        <v>510913</v>
      </c>
      <c r="B2933" s="6" t="n">
        <v>45979</v>
      </c>
      <c r="C2933" t="n">
        <v>13154</v>
      </c>
      <c r="D2933" t="inlineStr">
        <is>
          <t>Mumbai</t>
        </is>
      </c>
      <c r="E2933" t="inlineStr">
        <is>
          <t>West</t>
        </is>
      </c>
      <c r="F2933" t="inlineStr">
        <is>
          <t>Paid Social</t>
        </is>
      </c>
      <c r="G2933" t="inlineStr">
        <is>
          <t>Mobile App</t>
        </is>
      </c>
      <c r="H2933" t="inlineStr">
        <is>
          <t>Cash on Delivery</t>
        </is>
      </c>
      <c r="I2933" t="inlineStr">
        <is>
          <t>Delivered</t>
        </is>
      </c>
      <c r="J2933" t="n">
        <v>118</v>
      </c>
      <c r="K2933" t="n">
        <v>1</v>
      </c>
      <c r="L2933" s="7" t="n">
        <v>944</v>
      </c>
      <c r="M2933" s="7" t="n">
        <v>47.2</v>
      </c>
    </row>
    <row r="2934">
      <c r="A2934" t="n">
        <v>510913</v>
      </c>
      <c r="B2934" s="6" t="n">
        <v>45979</v>
      </c>
      <c r="C2934" t="n">
        <v>13154</v>
      </c>
      <c r="D2934" t="inlineStr">
        <is>
          <t>Mumbai</t>
        </is>
      </c>
      <c r="E2934" t="inlineStr">
        <is>
          <t>West</t>
        </is>
      </c>
      <c r="F2934" t="inlineStr">
        <is>
          <t>Paid Social</t>
        </is>
      </c>
      <c r="G2934" t="inlineStr">
        <is>
          <t>Mobile App</t>
        </is>
      </c>
      <c r="H2934" t="inlineStr">
        <is>
          <t>Cash on Delivery</t>
        </is>
      </c>
      <c r="I2934" t="inlineStr">
        <is>
          <t>Delivered</t>
        </is>
      </c>
      <c r="J2934" t="n">
        <v>111</v>
      </c>
      <c r="K2934" t="n">
        <v>1</v>
      </c>
      <c r="L2934" s="7" t="n">
        <v>524</v>
      </c>
      <c r="M2934" s="7" t="n">
        <v>26.2</v>
      </c>
    </row>
    <row r="2935">
      <c r="A2935" t="n">
        <v>510914</v>
      </c>
      <c r="B2935" s="6" t="n">
        <v>45979</v>
      </c>
      <c r="C2935" t="n">
        <v>17358</v>
      </c>
      <c r="D2935" t="inlineStr">
        <is>
          <t>Kochi</t>
        </is>
      </c>
      <c r="E2935" t="inlineStr">
        <is>
          <t>South</t>
        </is>
      </c>
      <c r="F2935" t="inlineStr">
        <is>
          <t>Paid Social</t>
        </is>
      </c>
      <c r="G2935" t="inlineStr">
        <is>
          <t>Desktop</t>
        </is>
      </c>
      <c r="H2935" t="inlineStr">
        <is>
          <t>UPI</t>
        </is>
      </c>
      <c r="I2935" t="inlineStr">
        <is>
          <t>Delivered</t>
        </is>
      </c>
      <c r="J2935" t="n">
        <v>107</v>
      </c>
      <c r="K2935" t="n">
        <v>1</v>
      </c>
      <c r="L2935" s="7" t="n">
        <v>1259</v>
      </c>
      <c r="M2935" s="7" t="n">
        <v>188.85</v>
      </c>
    </row>
    <row r="2936">
      <c r="A2936" t="n">
        <v>510915</v>
      </c>
      <c r="B2936" s="6" t="n">
        <v>45979</v>
      </c>
      <c r="C2936" t="n">
        <v>15959</v>
      </c>
      <c r="D2936" t="inlineStr">
        <is>
          <t>Chandigarh</t>
        </is>
      </c>
      <c r="E2936" t="inlineStr">
        <is>
          <t>North</t>
        </is>
      </c>
      <c r="F2936" t="inlineStr">
        <is>
          <t>Organic Search</t>
        </is>
      </c>
      <c r="G2936" t="inlineStr">
        <is>
          <t>Mobile App</t>
        </is>
      </c>
      <c r="H2936" t="inlineStr">
        <is>
          <t>Debit Card</t>
        </is>
      </c>
      <c r="I2936" t="inlineStr">
        <is>
          <t>Returned</t>
        </is>
      </c>
      <c r="J2936" t="n">
        <v>117</v>
      </c>
      <c r="K2936" t="n">
        <v>1</v>
      </c>
      <c r="L2936" s="7" t="n">
        <v>3149</v>
      </c>
      <c r="M2936" s="7" t="n">
        <v>157.45</v>
      </c>
    </row>
    <row r="2937">
      <c r="A2937" t="n">
        <v>510916</v>
      </c>
      <c r="B2937" s="6" t="n">
        <v>45979</v>
      </c>
      <c r="C2937" t="n">
        <v>14505</v>
      </c>
      <c r="D2937" t="inlineStr">
        <is>
          <t>Gurugram</t>
        </is>
      </c>
      <c r="E2937" t="inlineStr">
        <is>
          <t>North</t>
        </is>
      </c>
      <c r="F2937" t="inlineStr">
        <is>
          <t>Paid Search</t>
        </is>
      </c>
      <c r="G2937" t="inlineStr">
        <is>
          <t>Mobile App</t>
        </is>
      </c>
      <c r="H2937" t="inlineStr">
        <is>
          <t>UPI</t>
        </is>
      </c>
      <c r="I2937" t="inlineStr">
        <is>
          <t>Returned</t>
        </is>
      </c>
      <c r="J2937" t="n">
        <v>114</v>
      </c>
      <c r="K2937" t="n">
        <v>2</v>
      </c>
      <c r="L2937" s="7" t="n">
        <v>1259</v>
      </c>
      <c r="M2937" s="7" t="n">
        <v>0</v>
      </c>
    </row>
    <row r="2938">
      <c r="A2938" t="n">
        <v>510917</v>
      </c>
      <c r="B2938" s="6" t="n">
        <v>45979</v>
      </c>
      <c r="C2938" t="n">
        <v>16837</v>
      </c>
      <c r="D2938" t="inlineStr">
        <is>
          <t>Mumbai</t>
        </is>
      </c>
      <c r="E2938" t="inlineStr">
        <is>
          <t>West</t>
        </is>
      </c>
      <c r="F2938" t="inlineStr">
        <is>
          <t>Organic Search</t>
        </is>
      </c>
      <c r="G2938" t="inlineStr">
        <is>
          <t>Mobile App</t>
        </is>
      </c>
      <c r="H2938" t="inlineStr">
        <is>
          <t>Debit Card</t>
        </is>
      </c>
      <c r="I2938" t="inlineStr">
        <is>
          <t>Delivered</t>
        </is>
      </c>
      <c r="J2938" t="n">
        <v>141</v>
      </c>
      <c r="K2938" t="n">
        <v>1</v>
      </c>
      <c r="L2938" s="7" t="n">
        <v>261</v>
      </c>
      <c r="M2938" s="7" t="n">
        <v>0</v>
      </c>
    </row>
    <row r="2939">
      <c r="A2939" t="n">
        <v>510918</v>
      </c>
      <c r="B2939" s="6" t="n">
        <v>45979</v>
      </c>
      <c r="C2939" t="n">
        <v>17386</v>
      </c>
      <c r="D2939" t="inlineStr">
        <is>
          <t>Lucknow</t>
        </is>
      </c>
      <c r="E2939" t="inlineStr">
        <is>
          <t>North</t>
        </is>
      </c>
      <c r="F2939" t="inlineStr">
        <is>
          <t>Referral</t>
        </is>
      </c>
      <c r="G2939" t="inlineStr">
        <is>
          <t>Desktop</t>
        </is>
      </c>
      <c r="H2939" t="inlineStr">
        <is>
          <t>Credit Card</t>
        </is>
      </c>
      <c r="I2939" t="inlineStr">
        <is>
          <t>Delivered</t>
        </is>
      </c>
      <c r="J2939" t="n">
        <v>143</v>
      </c>
      <c r="K2939" t="n">
        <v>2</v>
      </c>
      <c r="L2939" s="7" t="n">
        <v>839</v>
      </c>
      <c r="M2939" s="7" t="n">
        <v>0</v>
      </c>
    </row>
    <row r="2940">
      <c r="A2940" t="n">
        <v>510919</v>
      </c>
      <c r="B2940" s="6" t="n">
        <v>45979</v>
      </c>
      <c r="C2940" t="n">
        <v>16616</v>
      </c>
      <c r="D2940" t="inlineStr">
        <is>
          <t>Lucknow</t>
        </is>
      </c>
      <c r="E2940" t="inlineStr">
        <is>
          <t>North</t>
        </is>
      </c>
      <c r="F2940" t="inlineStr">
        <is>
          <t>Paid Social</t>
        </is>
      </c>
      <c r="G2940" t="inlineStr">
        <is>
          <t>Mobile Web</t>
        </is>
      </c>
      <c r="H2940" t="inlineStr">
        <is>
          <t>UPI</t>
        </is>
      </c>
      <c r="I2940" t="inlineStr">
        <is>
          <t>Delivered</t>
        </is>
      </c>
      <c r="J2940" t="n">
        <v>125</v>
      </c>
      <c r="K2940" t="n">
        <v>1</v>
      </c>
      <c r="L2940" s="7" t="n">
        <v>1364</v>
      </c>
      <c r="M2940" s="7" t="n">
        <v>0</v>
      </c>
    </row>
    <row r="2941">
      <c r="A2941" t="n">
        <v>510919</v>
      </c>
      <c r="B2941" s="6" t="n">
        <v>45979</v>
      </c>
      <c r="C2941" t="n">
        <v>16616</v>
      </c>
      <c r="D2941" t="inlineStr">
        <is>
          <t>Lucknow</t>
        </is>
      </c>
      <c r="E2941" t="inlineStr">
        <is>
          <t>North</t>
        </is>
      </c>
      <c r="F2941" t="inlineStr">
        <is>
          <t>Paid Social</t>
        </is>
      </c>
      <c r="G2941" t="inlineStr">
        <is>
          <t>Mobile Web</t>
        </is>
      </c>
      <c r="H2941" t="inlineStr">
        <is>
          <t>UPI</t>
        </is>
      </c>
      <c r="I2941" t="inlineStr">
        <is>
          <t>Delivered</t>
        </is>
      </c>
      <c r="J2941" t="n">
        <v>123</v>
      </c>
      <c r="K2941" t="n">
        <v>1</v>
      </c>
      <c r="L2941" s="7" t="n">
        <v>3464</v>
      </c>
      <c r="M2941" s="7" t="n">
        <v>0</v>
      </c>
    </row>
    <row r="2942">
      <c r="A2942" t="n">
        <v>510919</v>
      </c>
      <c r="B2942" s="6" t="n">
        <v>45979</v>
      </c>
      <c r="C2942" t="n">
        <v>16616</v>
      </c>
      <c r="D2942" t="inlineStr">
        <is>
          <t>Lucknow</t>
        </is>
      </c>
      <c r="E2942" t="inlineStr">
        <is>
          <t>North</t>
        </is>
      </c>
      <c r="F2942" t="inlineStr">
        <is>
          <t>Paid Social</t>
        </is>
      </c>
      <c r="G2942" t="inlineStr">
        <is>
          <t>Mobile Web</t>
        </is>
      </c>
      <c r="H2942" t="inlineStr">
        <is>
          <t>UPI</t>
        </is>
      </c>
      <c r="I2942" t="inlineStr">
        <is>
          <t>Delivered</t>
        </is>
      </c>
      <c r="J2942" t="n">
        <v>122</v>
      </c>
      <c r="K2942" t="n">
        <v>1</v>
      </c>
      <c r="L2942" s="7" t="n">
        <v>1994</v>
      </c>
      <c r="M2942" s="7" t="n">
        <v>0</v>
      </c>
    </row>
    <row r="2943">
      <c r="A2943" t="n">
        <v>510920</v>
      </c>
      <c r="B2943" s="6" t="n">
        <v>45979</v>
      </c>
      <c r="C2943" t="n">
        <v>17364</v>
      </c>
      <c r="D2943" t="inlineStr">
        <is>
          <t>Bengaluru</t>
        </is>
      </c>
      <c r="E2943" t="inlineStr">
        <is>
          <t>South</t>
        </is>
      </c>
      <c r="F2943" t="inlineStr">
        <is>
          <t>Paid Search</t>
        </is>
      </c>
      <c r="G2943" t="inlineStr">
        <is>
          <t>Mobile App</t>
        </is>
      </c>
      <c r="H2943" t="inlineStr">
        <is>
          <t>UPI</t>
        </is>
      </c>
      <c r="I2943" t="inlineStr">
        <is>
          <t>Delivered</t>
        </is>
      </c>
      <c r="J2943" t="n">
        <v>131</v>
      </c>
      <c r="K2943" t="n">
        <v>1</v>
      </c>
      <c r="L2943" s="7" t="n">
        <v>314</v>
      </c>
      <c r="M2943" s="7" t="n">
        <v>47.1</v>
      </c>
    </row>
    <row r="2944">
      <c r="A2944" t="n">
        <v>510921</v>
      </c>
      <c r="B2944" s="6" t="n">
        <v>45979</v>
      </c>
      <c r="C2944" t="n">
        <v>17391</v>
      </c>
      <c r="D2944" t="inlineStr">
        <is>
          <t>Delhi</t>
        </is>
      </c>
      <c r="E2944" t="inlineStr">
        <is>
          <t>North</t>
        </is>
      </c>
      <c r="F2944" t="inlineStr">
        <is>
          <t>Organic Search</t>
        </is>
      </c>
      <c r="G2944" t="inlineStr">
        <is>
          <t>Mobile Web</t>
        </is>
      </c>
      <c r="H2944" t="inlineStr">
        <is>
          <t>Cash on Delivery</t>
        </is>
      </c>
      <c r="I2944" t="inlineStr">
        <is>
          <t>Delivered</t>
        </is>
      </c>
      <c r="J2944" t="n">
        <v>135</v>
      </c>
      <c r="K2944" t="n">
        <v>1</v>
      </c>
      <c r="L2944" s="7" t="n">
        <v>1574</v>
      </c>
      <c r="M2944" s="7" t="n">
        <v>236.1</v>
      </c>
    </row>
    <row r="2945">
      <c r="A2945" t="n">
        <v>510922</v>
      </c>
      <c r="B2945" s="6" t="n">
        <v>45979</v>
      </c>
      <c r="C2945" t="n">
        <v>16646</v>
      </c>
      <c r="D2945" t="inlineStr">
        <is>
          <t>Chennai</t>
        </is>
      </c>
      <c r="E2945" t="inlineStr">
        <is>
          <t>South</t>
        </is>
      </c>
      <c r="F2945" t="inlineStr">
        <is>
          <t>Organic Search</t>
        </is>
      </c>
      <c r="G2945" t="inlineStr">
        <is>
          <t>Mobile Web</t>
        </is>
      </c>
      <c r="H2945" t="inlineStr">
        <is>
          <t>UPI</t>
        </is>
      </c>
      <c r="I2945" t="inlineStr">
        <is>
          <t>Delivered</t>
        </is>
      </c>
      <c r="J2945" t="n">
        <v>103</v>
      </c>
      <c r="K2945" t="n">
        <v>1</v>
      </c>
      <c r="L2945" s="7" t="n">
        <v>2624</v>
      </c>
      <c r="M2945" s="7" t="n">
        <v>0</v>
      </c>
    </row>
    <row r="2946">
      <c r="A2946" t="n">
        <v>510923</v>
      </c>
      <c r="B2946" s="6" t="n">
        <v>45979</v>
      </c>
      <c r="C2946" t="n">
        <v>17210</v>
      </c>
      <c r="D2946" t="inlineStr">
        <is>
          <t>Delhi</t>
        </is>
      </c>
      <c r="E2946" t="inlineStr">
        <is>
          <t>North</t>
        </is>
      </c>
      <c r="F2946" t="inlineStr">
        <is>
          <t>Email</t>
        </is>
      </c>
      <c r="G2946" t="inlineStr">
        <is>
          <t>Desktop</t>
        </is>
      </c>
      <c r="H2946" t="inlineStr">
        <is>
          <t>Cash on Delivery</t>
        </is>
      </c>
      <c r="I2946" t="inlineStr">
        <is>
          <t>Cancelled</t>
        </is>
      </c>
      <c r="J2946" t="n">
        <v>133</v>
      </c>
      <c r="K2946" t="n">
        <v>1</v>
      </c>
      <c r="L2946" s="7" t="n">
        <v>419</v>
      </c>
      <c r="M2946" s="7" t="n">
        <v>62.85</v>
      </c>
    </row>
    <row r="2947">
      <c r="A2947" t="n">
        <v>510924</v>
      </c>
      <c r="B2947" s="6" t="n">
        <v>45979</v>
      </c>
      <c r="C2947" t="n">
        <v>16990</v>
      </c>
      <c r="D2947" t="inlineStr">
        <is>
          <t>Chandigarh</t>
        </is>
      </c>
      <c r="E2947" t="inlineStr">
        <is>
          <t>North</t>
        </is>
      </c>
      <c r="F2947" t="inlineStr">
        <is>
          <t>Referral</t>
        </is>
      </c>
      <c r="G2947" t="inlineStr">
        <is>
          <t>Mobile App</t>
        </is>
      </c>
      <c r="H2947" t="inlineStr">
        <is>
          <t>Credit Card</t>
        </is>
      </c>
      <c r="I2947" t="inlineStr">
        <is>
          <t>Delivered</t>
        </is>
      </c>
      <c r="J2947" t="n">
        <v>103</v>
      </c>
      <c r="K2947" t="n">
        <v>1</v>
      </c>
      <c r="L2947" s="7" t="n">
        <v>2624</v>
      </c>
      <c r="M2947" s="7" t="n">
        <v>0</v>
      </c>
    </row>
    <row r="2948">
      <c r="A2948" t="n">
        <v>510925</v>
      </c>
      <c r="B2948" s="6" t="n">
        <v>45979</v>
      </c>
      <c r="C2948" t="n">
        <v>12663</v>
      </c>
      <c r="D2948" t="inlineStr">
        <is>
          <t>Delhi</t>
        </is>
      </c>
      <c r="E2948" t="inlineStr">
        <is>
          <t>North</t>
        </is>
      </c>
      <c r="F2948" t="inlineStr">
        <is>
          <t>Organic Search</t>
        </is>
      </c>
      <c r="G2948" t="inlineStr">
        <is>
          <t>Mobile App</t>
        </is>
      </c>
      <c r="H2948" t="inlineStr">
        <is>
          <t>UPI</t>
        </is>
      </c>
      <c r="I2948" t="inlineStr">
        <is>
          <t>Delivered</t>
        </is>
      </c>
      <c r="J2948" t="n">
        <v>137</v>
      </c>
      <c r="K2948" t="n">
        <v>1</v>
      </c>
      <c r="L2948" s="7" t="n">
        <v>261</v>
      </c>
      <c r="M2948" s="7" t="n">
        <v>0</v>
      </c>
    </row>
    <row r="2949">
      <c r="A2949" t="n">
        <v>510926</v>
      </c>
      <c r="B2949" s="6" t="n">
        <v>45980</v>
      </c>
      <c r="C2949" t="n">
        <v>17279</v>
      </c>
      <c r="D2949" t="inlineStr">
        <is>
          <t>Pune</t>
        </is>
      </c>
      <c r="E2949" t="inlineStr">
        <is>
          <t>West</t>
        </is>
      </c>
      <c r="F2949" t="inlineStr">
        <is>
          <t>Organic Search</t>
        </is>
      </c>
      <c r="G2949" t="inlineStr">
        <is>
          <t>Mobile App</t>
        </is>
      </c>
      <c r="H2949" t="inlineStr">
        <is>
          <t>Net Banking</t>
        </is>
      </c>
      <c r="I2949" t="inlineStr">
        <is>
          <t>Delivered</t>
        </is>
      </c>
      <c r="J2949" t="n">
        <v>130</v>
      </c>
      <c r="K2949" t="n">
        <v>1</v>
      </c>
      <c r="L2949" s="7" t="n">
        <v>734</v>
      </c>
      <c r="M2949" s="7" t="n">
        <v>110.1</v>
      </c>
    </row>
    <row r="2950">
      <c r="A2950" t="n">
        <v>510927</v>
      </c>
      <c r="B2950" s="6" t="n">
        <v>45980</v>
      </c>
      <c r="C2950" t="n">
        <v>17031</v>
      </c>
      <c r="D2950" t="inlineStr">
        <is>
          <t>Ahmedabad</t>
        </is>
      </c>
      <c r="E2950" t="inlineStr">
        <is>
          <t>West</t>
        </is>
      </c>
      <c r="F2950" t="inlineStr">
        <is>
          <t>Paid Search</t>
        </is>
      </c>
      <c r="G2950" t="inlineStr">
        <is>
          <t>Mobile Web</t>
        </is>
      </c>
      <c r="H2950" t="inlineStr">
        <is>
          <t>UPI</t>
        </is>
      </c>
      <c r="I2950" t="inlineStr">
        <is>
          <t>Delivered</t>
        </is>
      </c>
      <c r="J2950" t="n">
        <v>116</v>
      </c>
      <c r="K2950" t="n">
        <v>1</v>
      </c>
      <c r="L2950" s="7" t="n">
        <v>2624</v>
      </c>
      <c r="M2950" s="7" t="n">
        <v>0</v>
      </c>
    </row>
    <row r="2951">
      <c r="A2951" t="n">
        <v>510927</v>
      </c>
      <c r="B2951" s="6" t="n">
        <v>45980</v>
      </c>
      <c r="C2951" t="n">
        <v>17031</v>
      </c>
      <c r="D2951" t="inlineStr">
        <is>
          <t>Ahmedabad</t>
        </is>
      </c>
      <c r="E2951" t="inlineStr">
        <is>
          <t>West</t>
        </is>
      </c>
      <c r="F2951" t="inlineStr">
        <is>
          <t>Paid Search</t>
        </is>
      </c>
      <c r="G2951" t="inlineStr">
        <is>
          <t>Mobile Web</t>
        </is>
      </c>
      <c r="H2951" t="inlineStr">
        <is>
          <t>UPI</t>
        </is>
      </c>
      <c r="I2951" t="inlineStr">
        <is>
          <t>Delivered</t>
        </is>
      </c>
      <c r="J2951" t="n">
        <v>113</v>
      </c>
      <c r="K2951" t="n">
        <v>1</v>
      </c>
      <c r="L2951" s="7" t="n">
        <v>1364</v>
      </c>
      <c r="M2951" s="7" t="n">
        <v>0</v>
      </c>
    </row>
    <row r="2952">
      <c r="A2952" t="n">
        <v>510928</v>
      </c>
      <c r="B2952" s="6" t="n">
        <v>45980</v>
      </c>
      <c r="C2952" t="n">
        <v>15567</v>
      </c>
      <c r="D2952" t="inlineStr">
        <is>
          <t>Gurugram</t>
        </is>
      </c>
      <c r="E2952" t="inlineStr">
        <is>
          <t>North</t>
        </is>
      </c>
      <c r="F2952" t="inlineStr">
        <is>
          <t>Email</t>
        </is>
      </c>
      <c r="G2952" t="inlineStr">
        <is>
          <t>Mobile App</t>
        </is>
      </c>
      <c r="H2952" t="inlineStr">
        <is>
          <t>UPI</t>
        </is>
      </c>
      <c r="I2952" t="inlineStr">
        <is>
          <t>Delivered</t>
        </is>
      </c>
      <c r="J2952" t="n">
        <v>119</v>
      </c>
      <c r="K2952" t="n">
        <v>1</v>
      </c>
      <c r="L2952" s="7" t="n">
        <v>2309</v>
      </c>
      <c r="M2952" s="7" t="n">
        <v>0</v>
      </c>
    </row>
    <row r="2953">
      <c r="A2953" t="n">
        <v>510929</v>
      </c>
      <c r="B2953" s="6" t="n">
        <v>45980</v>
      </c>
      <c r="C2953" t="n">
        <v>16746</v>
      </c>
      <c r="D2953" t="inlineStr">
        <is>
          <t>Bengaluru</t>
        </is>
      </c>
      <c r="E2953" t="inlineStr">
        <is>
          <t>South</t>
        </is>
      </c>
      <c r="F2953" t="inlineStr">
        <is>
          <t>Organic Search</t>
        </is>
      </c>
      <c r="G2953" t="inlineStr">
        <is>
          <t>Mobile Web</t>
        </is>
      </c>
      <c r="H2953" t="inlineStr">
        <is>
          <t>Credit Card</t>
        </is>
      </c>
      <c r="I2953" t="inlineStr">
        <is>
          <t>Returned</t>
        </is>
      </c>
      <c r="J2953" t="n">
        <v>118</v>
      </c>
      <c r="K2953" t="n">
        <v>1</v>
      </c>
      <c r="L2953" s="7" t="n">
        <v>944</v>
      </c>
      <c r="M2953" s="7" t="n">
        <v>0</v>
      </c>
    </row>
    <row r="2954">
      <c r="A2954" t="n">
        <v>510929</v>
      </c>
      <c r="B2954" s="6" t="n">
        <v>45980</v>
      </c>
      <c r="C2954" t="n">
        <v>16746</v>
      </c>
      <c r="D2954" t="inlineStr">
        <is>
          <t>Bengaluru</t>
        </is>
      </c>
      <c r="E2954" t="inlineStr">
        <is>
          <t>South</t>
        </is>
      </c>
      <c r="F2954" t="inlineStr">
        <is>
          <t>Organic Search</t>
        </is>
      </c>
      <c r="G2954" t="inlineStr">
        <is>
          <t>Mobile Web</t>
        </is>
      </c>
      <c r="H2954" t="inlineStr">
        <is>
          <t>Credit Card</t>
        </is>
      </c>
      <c r="I2954" t="inlineStr">
        <is>
          <t>Returned</t>
        </is>
      </c>
      <c r="J2954" t="n">
        <v>146</v>
      </c>
      <c r="K2954" t="n">
        <v>1</v>
      </c>
      <c r="L2954" s="7" t="n">
        <v>4724</v>
      </c>
      <c r="M2954" s="7" t="n">
        <v>0</v>
      </c>
    </row>
    <row r="2955">
      <c r="A2955" t="n">
        <v>510930</v>
      </c>
      <c r="B2955" s="6" t="n">
        <v>45980</v>
      </c>
      <c r="C2955" t="n">
        <v>17381</v>
      </c>
      <c r="D2955" t="inlineStr">
        <is>
          <t>Mumbai</t>
        </is>
      </c>
      <c r="E2955" t="inlineStr">
        <is>
          <t>West</t>
        </is>
      </c>
      <c r="F2955" t="inlineStr">
        <is>
          <t>Paid Search</t>
        </is>
      </c>
      <c r="G2955" t="inlineStr">
        <is>
          <t>Mobile Web</t>
        </is>
      </c>
      <c r="H2955" t="inlineStr">
        <is>
          <t>Cash on Delivery</t>
        </is>
      </c>
      <c r="I2955" t="inlineStr">
        <is>
          <t>Cancelled</t>
        </is>
      </c>
      <c r="J2955" t="n">
        <v>113</v>
      </c>
      <c r="K2955" t="n">
        <v>3</v>
      </c>
      <c r="L2955" s="7" t="n">
        <v>1364</v>
      </c>
      <c r="M2955" s="7" t="n">
        <v>613.8</v>
      </c>
    </row>
    <row r="2956">
      <c r="A2956" t="n">
        <v>510930</v>
      </c>
      <c r="B2956" s="6" t="n">
        <v>45980</v>
      </c>
      <c r="C2956" t="n">
        <v>17381</v>
      </c>
      <c r="D2956" t="inlineStr">
        <is>
          <t>Mumbai</t>
        </is>
      </c>
      <c r="E2956" t="inlineStr">
        <is>
          <t>West</t>
        </is>
      </c>
      <c r="F2956" t="inlineStr">
        <is>
          <t>Paid Search</t>
        </is>
      </c>
      <c r="G2956" t="inlineStr">
        <is>
          <t>Mobile Web</t>
        </is>
      </c>
      <c r="H2956" t="inlineStr">
        <is>
          <t>Cash on Delivery</t>
        </is>
      </c>
      <c r="I2956" t="inlineStr">
        <is>
          <t>Cancelled</t>
        </is>
      </c>
      <c r="J2956" t="n">
        <v>112</v>
      </c>
      <c r="K2956" t="n">
        <v>1</v>
      </c>
      <c r="L2956" s="7" t="n">
        <v>1574</v>
      </c>
      <c r="M2956" s="7" t="n">
        <v>236.1</v>
      </c>
    </row>
    <row r="2957">
      <c r="A2957" t="n">
        <v>510931</v>
      </c>
      <c r="B2957" s="6" t="n">
        <v>45980</v>
      </c>
      <c r="C2957" t="n">
        <v>17340</v>
      </c>
      <c r="D2957" t="inlineStr">
        <is>
          <t>Delhi</t>
        </is>
      </c>
      <c r="E2957" t="inlineStr">
        <is>
          <t>North</t>
        </is>
      </c>
      <c r="F2957" t="inlineStr">
        <is>
          <t>Paid Social</t>
        </is>
      </c>
      <c r="G2957" t="inlineStr">
        <is>
          <t>Desktop</t>
        </is>
      </c>
      <c r="H2957" t="inlineStr">
        <is>
          <t>Credit Card</t>
        </is>
      </c>
      <c r="I2957" t="inlineStr">
        <is>
          <t>Returned</t>
        </is>
      </c>
      <c r="J2957" t="n">
        <v>126</v>
      </c>
      <c r="K2957" t="n">
        <v>1</v>
      </c>
      <c r="L2957" s="7" t="n">
        <v>471</v>
      </c>
      <c r="M2957" s="7" t="n">
        <v>70.65000000000001</v>
      </c>
    </row>
    <row r="2958">
      <c r="A2958" t="n">
        <v>510931</v>
      </c>
      <c r="B2958" s="6" t="n">
        <v>45980</v>
      </c>
      <c r="C2958" t="n">
        <v>17340</v>
      </c>
      <c r="D2958" t="inlineStr">
        <is>
          <t>Delhi</t>
        </is>
      </c>
      <c r="E2958" t="inlineStr">
        <is>
          <t>North</t>
        </is>
      </c>
      <c r="F2958" t="inlineStr">
        <is>
          <t>Paid Social</t>
        </is>
      </c>
      <c r="G2958" t="inlineStr">
        <is>
          <t>Desktop</t>
        </is>
      </c>
      <c r="H2958" t="inlineStr">
        <is>
          <t>Credit Card</t>
        </is>
      </c>
      <c r="I2958" t="inlineStr">
        <is>
          <t>Returned</t>
        </is>
      </c>
      <c r="J2958" t="n">
        <v>112</v>
      </c>
      <c r="K2958" t="n">
        <v>1</v>
      </c>
      <c r="L2958" s="7" t="n">
        <v>1574</v>
      </c>
      <c r="M2958" s="7" t="n">
        <v>236.1</v>
      </c>
    </row>
    <row r="2959">
      <c r="A2959" t="n">
        <v>510932</v>
      </c>
      <c r="B2959" s="6" t="n">
        <v>45980</v>
      </c>
      <c r="C2959" t="n">
        <v>17370</v>
      </c>
      <c r="D2959" t="inlineStr">
        <is>
          <t>Gurugram</t>
        </is>
      </c>
      <c r="E2959" t="inlineStr">
        <is>
          <t>North</t>
        </is>
      </c>
      <c r="F2959" t="inlineStr">
        <is>
          <t>Paid Search</t>
        </is>
      </c>
      <c r="G2959" t="inlineStr">
        <is>
          <t>Mobile App</t>
        </is>
      </c>
      <c r="H2959" t="inlineStr">
        <is>
          <t>UPI</t>
        </is>
      </c>
      <c r="I2959" t="inlineStr">
        <is>
          <t>Delivered</t>
        </is>
      </c>
      <c r="J2959" t="n">
        <v>107</v>
      </c>
      <c r="K2959" t="n">
        <v>1</v>
      </c>
      <c r="L2959" s="7" t="n">
        <v>1259</v>
      </c>
      <c r="M2959" s="7" t="n">
        <v>62.95</v>
      </c>
    </row>
    <row r="2960">
      <c r="A2960" t="n">
        <v>510933</v>
      </c>
      <c r="B2960" s="6" t="n">
        <v>45980</v>
      </c>
      <c r="C2960" t="n">
        <v>17389</v>
      </c>
      <c r="D2960" t="inlineStr">
        <is>
          <t>Indore</t>
        </is>
      </c>
      <c r="E2960" t="inlineStr">
        <is>
          <t>West</t>
        </is>
      </c>
      <c r="F2960" t="inlineStr">
        <is>
          <t>Referral</t>
        </is>
      </c>
      <c r="G2960" t="inlineStr">
        <is>
          <t>Mobile Web</t>
        </is>
      </c>
      <c r="H2960" t="inlineStr">
        <is>
          <t>Credit Card</t>
        </is>
      </c>
      <c r="I2960" t="inlineStr">
        <is>
          <t>Delivered</t>
        </is>
      </c>
      <c r="J2960" t="n">
        <v>137</v>
      </c>
      <c r="K2960" t="n">
        <v>1</v>
      </c>
      <c r="L2960" s="7" t="n">
        <v>261</v>
      </c>
      <c r="M2960" s="7" t="n">
        <v>39.15</v>
      </c>
    </row>
    <row r="2961">
      <c r="A2961" t="n">
        <v>510934</v>
      </c>
      <c r="B2961" s="6" t="n">
        <v>45980</v>
      </c>
      <c r="C2961" t="n">
        <v>17245</v>
      </c>
      <c r="D2961" t="inlineStr">
        <is>
          <t>Bengaluru</t>
        </is>
      </c>
      <c r="E2961" t="inlineStr">
        <is>
          <t>South</t>
        </is>
      </c>
      <c r="F2961" t="inlineStr">
        <is>
          <t>Paid Search</t>
        </is>
      </c>
      <c r="G2961" t="inlineStr">
        <is>
          <t>Mobile App</t>
        </is>
      </c>
      <c r="H2961" t="inlineStr">
        <is>
          <t>Cash on Delivery</t>
        </is>
      </c>
      <c r="I2961" t="inlineStr">
        <is>
          <t>Delivered</t>
        </is>
      </c>
      <c r="J2961" t="n">
        <v>130</v>
      </c>
      <c r="K2961" t="n">
        <v>1</v>
      </c>
      <c r="L2961" s="7" t="n">
        <v>734</v>
      </c>
      <c r="M2961" s="7" t="n">
        <v>0</v>
      </c>
    </row>
    <row r="2962">
      <c r="A2962" t="n">
        <v>510935</v>
      </c>
      <c r="B2962" s="6" t="n">
        <v>45980</v>
      </c>
      <c r="C2962" t="n">
        <v>10286</v>
      </c>
      <c r="D2962" t="inlineStr">
        <is>
          <t>Delhi</t>
        </is>
      </c>
      <c r="E2962" t="inlineStr">
        <is>
          <t>North</t>
        </is>
      </c>
      <c r="F2962" t="inlineStr">
        <is>
          <t>Paid Search</t>
        </is>
      </c>
      <c r="G2962" t="inlineStr">
        <is>
          <t>Mobile Web</t>
        </is>
      </c>
      <c r="H2962" t="inlineStr">
        <is>
          <t>UPI</t>
        </is>
      </c>
      <c r="I2962" t="inlineStr">
        <is>
          <t>Delivered</t>
        </is>
      </c>
      <c r="J2962" t="n">
        <v>120</v>
      </c>
      <c r="K2962" t="n">
        <v>1</v>
      </c>
      <c r="L2962" s="7" t="n">
        <v>734</v>
      </c>
      <c r="M2962" s="7" t="n">
        <v>0</v>
      </c>
    </row>
    <row r="2963">
      <c r="A2963" t="n">
        <v>510936</v>
      </c>
      <c r="B2963" s="6" t="n">
        <v>45980</v>
      </c>
      <c r="C2963" t="n">
        <v>16656</v>
      </c>
      <c r="D2963" t="inlineStr">
        <is>
          <t>Lucknow</t>
        </is>
      </c>
      <c r="E2963" t="inlineStr">
        <is>
          <t>North</t>
        </is>
      </c>
      <c r="F2963" t="inlineStr">
        <is>
          <t>Organic Search</t>
        </is>
      </c>
      <c r="G2963" t="inlineStr">
        <is>
          <t>Mobile App</t>
        </is>
      </c>
      <c r="H2963" t="inlineStr">
        <is>
          <t>UPI</t>
        </is>
      </c>
      <c r="I2963" t="inlineStr">
        <is>
          <t>Delivered</t>
        </is>
      </c>
      <c r="J2963" t="n">
        <v>117</v>
      </c>
      <c r="K2963" t="n">
        <v>1</v>
      </c>
      <c r="L2963" s="7" t="n">
        <v>3149</v>
      </c>
      <c r="M2963" s="7" t="n">
        <v>0</v>
      </c>
    </row>
    <row r="2964">
      <c r="A2964" t="n">
        <v>510937</v>
      </c>
      <c r="B2964" s="6" t="n">
        <v>45980</v>
      </c>
      <c r="C2964" t="n">
        <v>17411</v>
      </c>
      <c r="D2964" t="inlineStr">
        <is>
          <t>Mumbai</t>
        </is>
      </c>
      <c r="E2964" t="inlineStr">
        <is>
          <t>West</t>
        </is>
      </c>
      <c r="F2964" t="inlineStr">
        <is>
          <t>Referral</t>
        </is>
      </c>
      <c r="G2964" t="inlineStr">
        <is>
          <t>Mobile App</t>
        </is>
      </c>
      <c r="H2964" t="inlineStr">
        <is>
          <t>UPI</t>
        </is>
      </c>
      <c r="I2964" t="inlineStr">
        <is>
          <t>Delivered</t>
        </is>
      </c>
      <c r="J2964" t="n">
        <v>101</v>
      </c>
      <c r="K2964" t="n">
        <v>1</v>
      </c>
      <c r="L2964" s="7" t="n">
        <v>2099</v>
      </c>
      <c r="M2964" s="7" t="n">
        <v>0</v>
      </c>
    </row>
    <row r="2965">
      <c r="A2965" t="n">
        <v>510938</v>
      </c>
      <c r="B2965" s="6" t="n">
        <v>45980</v>
      </c>
      <c r="C2965" t="n">
        <v>15731</v>
      </c>
      <c r="D2965" t="inlineStr">
        <is>
          <t>Pune</t>
        </is>
      </c>
      <c r="E2965" t="inlineStr">
        <is>
          <t>West</t>
        </is>
      </c>
      <c r="F2965" t="inlineStr">
        <is>
          <t>Organic Search</t>
        </is>
      </c>
      <c r="G2965" t="inlineStr">
        <is>
          <t>Desktop</t>
        </is>
      </c>
      <c r="H2965" t="inlineStr">
        <is>
          <t>UPI</t>
        </is>
      </c>
      <c r="I2965" t="inlineStr">
        <is>
          <t>Delivered</t>
        </is>
      </c>
      <c r="J2965" t="n">
        <v>104</v>
      </c>
      <c r="K2965" t="n">
        <v>1</v>
      </c>
      <c r="L2965" s="7" t="n">
        <v>5249</v>
      </c>
      <c r="M2965" s="7" t="n">
        <v>0</v>
      </c>
    </row>
    <row r="2966">
      <c r="A2966" t="n">
        <v>510938</v>
      </c>
      <c r="B2966" s="6" t="n">
        <v>45980</v>
      </c>
      <c r="C2966" t="n">
        <v>15731</v>
      </c>
      <c r="D2966" t="inlineStr">
        <is>
          <t>Pune</t>
        </is>
      </c>
      <c r="E2966" t="inlineStr">
        <is>
          <t>West</t>
        </is>
      </c>
      <c r="F2966" t="inlineStr">
        <is>
          <t>Organic Search</t>
        </is>
      </c>
      <c r="G2966" t="inlineStr">
        <is>
          <t>Desktop</t>
        </is>
      </c>
      <c r="H2966" t="inlineStr">
        <is>
          <t>UPI</t>
        </is>
      </c>
      <c r="I2966" t="inlineStr">
        <is>
          <t>Delivered</t>
        </is>
      </c>
      <c r="J2966" t="n">
        <v>127</v>
      </c>
      <c r="K2966" t="n">
        <v>1</v>
      </c>
      <c r="L2966" s="7" t="n">
        <v>681</v>
      </c>
      <c r="M2966" s="7" t="n">
        <v>0</v>
      </c>
    </row>
    <row r="2967">
      <c r="A2967" t="n">
        <v>510939</v>
      </c>
      <c r="B2967" s="6" t="n">
        <v>45980</v>
      </c>
      <c r="C2967" t="n">
        <v>17336</v>
      </c>
      <c r="D2967" t="inlineStr">
        <is>
          <t>Kochi</t>
        </is>
      </c>
      <c r="E2967" t="inlineStr">
        <is>
          <t>South</t>
        </is>
      </c>
      <c r="F2967" t="inlineStr">
        <is>
          <t>Organic Search</t>
        </is>
      </c>
      <c r="G2967" t="inlineStr">
        <is>
          <t>Mobile App</t>
        </is>
      </c>
      <c r="H2967" t="inlineStr">
        <is>
          <t>Debit Card</t>
        </is>
      </c>
      <c r="I2967" t="inlineStr">
        <is>
          <t>Delivered</t>
        </is>
      </c>
      <c r="J2967" t="n">
        <v>133</v>
      </c>
      <c r="K2967" t="n">
        <v>1</v>
      </c>
      <c r="L2967" s="7" t="n">
        <v>419</v>
      </c>
      <c r="M2967" s="7" t="n">
        <v>62.85</v>
      </c>
    </row>
    <row r="2968">
      <c r="A2968" t="n">
        <v>510939</v>
      </c>
      <c r="B2968" s="6" t="n">
        <v>45980</v>
      </c>
      <c r="C2968" t="n">
        <v>17336</v>
      </c>
      <c r="D2968" t="inlineStr">
        <is>
          <t>Kochi</t>
        </is>
      </c>
      <c r="E2968" t="inlineStr">
        <is>
          <t>South</t>
        </is>
      </c>
      <c r="F2968" t="inlineStr">
        <is>
          <t>Organic Search</t>
        </is>
      </c>
      <c r="G2968" t="inlineStr">
        <is>
          <t>Mobile App</t>
        </is>
      </c>
      <c r="H2968" t="inlineStr">
        <is>
          <t>Debit Card</t>
        </is>
      </c>
      <c r="I2968" t="inlineStr">
        <is>
          <t>Delivered</t>
        </is>
      </c>
      <c r="J2968" t="n">
        <v>145</v>
      </c>
      <c r="K2968" t="n">
        <v>1</v>
      </c>
      <c r="L2968" s="7" t="n">
        <v>629</v>
      </c>
      <c r="M2968" s="7" t="n">
        <v>94.34999999999999</v>
      </c>
    </row>
    <row r="2969">
      <c r="A2969" t="n">
        <v>510939</v>
      </c>
      <c r="B2969" s="6" t="n">
        <v>45980</v>
      </c>
      <c r="C2969" t="n">
        <v>17336</v>
      </c>
      <c r="D2969" t="inlineStr">
        <is>
          <t>Kochi</t>
        </is>
      </c>
      <c r="E2969" t="inlineStr">
        <is>
          <t>South</t>
        </is>
      </c>
      <c r="F2969" t="inlineStr">
        <is>
          <t>Organic Search</t>
        </is>
      </c>
      <c r="G2969" t="inlineStr">
        <is>
          <t>Mobile App</t>
        </is>
      </c>
      <c r="H2969" t="inlineStr">
        <is>
          <t>Debit Card</t>
        </is>
      </c>
      <c r="I2969" t="inlineStr">
        <is>
          <t>Delivered</t>
        </is>
      </c>
      <c r="J2969" t="n">
        <v>138</v>
      </c>
      <c r="K2969" t="n">
        <v>1</v>
      </c>
      <c r="L2969" s="7" t="n">
        <v>419</v>
      </c>
      <c r="M2969" s="7" t="n">
        <v>62.85</v>
      </c>
    </row>
    <row r="2970">
      <c r="A2970" t="n">
        <v>510940</v>
      </c>
      <c r="B2970" s="6" t="n">
        <v>45980</v>
      </c>
      <c r="C2970" t="n">
        <v>15751</v>
      </c>
      <c r="D2970" t="inlineStr">
        <is>
          <t>Chennai</t>
        </is>
      </c>
      <c r="E2970" t="inlineStr">
        <is>
          <t>South</t>
        </is>
      </c>
      <c r="F2970" t="inlineStr">
        <is>
          <t>Paid Search</t>
        </is>
      </c>
      <c r="G2970" t="inlineStr">
        <is>
          <t>Mobile App</t>
        </is>
      </c>
      <c r="H2970" t="inlineStr">
        <is>
          <t>Credit Card</t>
        </is>
      </c>
      <c r="I2970" t="inlineStr">
        <is>
          <t>Delivered</t>
        </is>
      </c>
      <c r="J2970" t="n">
        <v>118</v>
      </c>
      <c r="K2970" t="n">
        <v>1</v>
      </c>
      <c r="L2970" s="7" t="n">
        <v>944</v>
      </c>
      <c r="M2970" s="7" t="n">
        <v>47.2</v>
      </c>
    </row>
    <row r="2971">
      <c r="A2971" t="n">
        <v>510940</v>
      </c>
      <c r="B2971" s="6" t="n">
        <v>45980</v>
      </c>
      <c r="C2971" t="n">
        <v>15751</v>
      </c>
      <c r="D2971" t="inlineStr">
        <is>
          <t>Chennai</t>
        </is>
      </c>
      <c r="E2971" t="inlineStr">
        <is>
          <t>South</t>
        </is>
      </c>
      <c r="F2971" t="inlineStr">
        <is>
          <t>Paid Search</t>
        </is>
      </c>
      <c r="G2971" t="inlineStr">
        <is>
          <t>Mobile App</t>
        </is>
      </c>
      <c r="H2971" t="inlineStr">
        <is>
          <t>Credit Card</t>
        </is>
      </c>
      <c r="I2971" t="inlineStr">
        <is>
          <t>Delivered</t>
        </is>
      </c>
      <c r="J2971" t="n">
        <v>111</v>
      </c>
      <c r="K2971" t="n">
        <v>1</v>
      </c>
      <c r="L2971" s="7" t="n">
        <v>524</v>
      </c>
      <c r="M2971" s="7" t="n">
        <v>26.2</v>
      </c>
    </row>
    <row r="2972">
      <c r="A2972" t="n">
        <v>510941</v>
      </c>
      <c r="B2972" s="6" t="n">
        <v>45980</v>
      </c>
      <c r="C2972" t="n">
        <v>17383</v>
      </c>
      <c r="D2972" t="inlineStr">
        <is>
          <t>Jaipur</t>
        </is>
      </c>
      <c r="E2972" t="inlineStr">
        <is>
          <t>North</t>
        </is>
      </c>
      <c r="F2972" t="inlineStr">
        <is>
          <t>Organic Search</t>
        </is>
      </c>
      <c r="G2972" t="inlineStr">
        <is>
          <t>Mobile App</t>
        </is>
      </c>
      <c r="H2972" t="inlineStr">
        <is>
          <t>Net Banking</t>
        </is>
      </c>
      <c r="I2972" t="inlineStr">
        <is>
          <t>Delivered</t>
        </is>
      </c>
      <c r="J2972" t="n">
        <v>124</v>
      </c>
      <c r="K2972" t="n">
        <v>1</v>
      </c>
      <c r="L2972" s="7" t="n">
        <v>1154</v>
      </c>
      <c r="M2972" s="7" t="n">
        <v>0</v>
      </c>
    </row>
    <row r="2973">
      <c r="A2973" t="n">
        <v>510941</v>
      </c>
      <c r="B2973" s="6" t="n">
        <v>45980</v>
      </c>
      <c r="C2973" t="n">
        <v>17383</v>
      </c>
      <c r="D2973" t="inlineStr">
        <is>
          <t>Jaipur</t>
        </is>
      </c>
      <c r="E2973" t="inlineStr">
        <is>
          <t>North</t>
        </is>
      </c>
      <c r="F2973" t="inlineStr">
        <is>
          <t>Organic Search</t>
        </is>
      </c>
      <c r="G2973" t="inlineStr">
        <is>
          <t>Mobile App</t>
        </is>
      </c>
      <c r="H2973" t="inlineStr">
        <is>
          <t>Net Banking</t>
        </is>
      </c>
      <c r="I2973" t="inlineStr">
        <is>
          <t>Delivered</t>
        </is>
      </c>
      <c r="J2973" t="n">
        <v>143</v>
      </c>
      <c r="K2973" t="n">
        <v>1</v>
      </c>
      <c r="L2973" s="7" t="n">
        <v>839</v>
      </c>
      <c r="M2973" s="7" t="n">
        <v>0</v>
      </c>
    </row>
    <row r="2974">
      <c r="A2974" t="n">
        <v>510941</v>
      </c>
      <c r="B2974" s="6" t="n">
        <v>45980</v>
      </c>
      <c r="C2974" t="n">
        <v>17383</v>
      </c>
      <c r="D2974" t="inlineStr">
        <is>
          <t>Jaipur</t>
        </is>
      </c>
      <c r="E2974" t="inlineStr">
        <is>
          <t>North</t>
        </is>
      </c>
      <c r="F2974" t="inlineStr">
        <is>
          <t>Organic Search</t>
        </is>
      </c>
      <c r="G2974" t="inlineStr">
        <is>
          <t>Mobile App</t>
        </is>
      </c>
      <c r="H2974" t="inlineStr">
        <is>
          <t>Net Banking</t>
        </is>
      </c>
      <c r="I2974" t="inlineStr">
        <is>
          <t>Delivered</t>
        </is>
      </c>
      <c r="J2974" t="n">
        <v>138</v>
      </c>
      <c r="K2974" t="n">
        <v>1</v>
      </c>
      <c r="L2974" s="7" t="n">
        <v>419</v>
      </c>
      <c r="M2974" s="7" t="n">
        <v>0</v>
      </c>
    </row>
    <row r="2975">
      <c r="A2975" t="n">
        <v>510942</v>
      </c>
      <c r="B2975" s="6" t="n">
        <v>45980</v>
      </c>
      <c r="C2975" t="n">
        <v>15945</v>
      </c>
      <c r="D2975" t="inlineStr">
        <is>
          <t>Kolkata</t>
        </is>
      </c>
      <c r="E2975" t="inlineStr">
        <is>
          <t>East</t>
        </is>
      </c>
      <c r="F2975" t="inlineStr">
        <is>
          <t>Email</t>
        </is>
      </c>
      <c r="G2975" t="inlineStr">
        <is>
          <t>Desktop</t>
        </is>
      </c>
      <c r="H2975" t="inlineStr">
        <is>
          <t>Debit Card</t>
        </is>
      </c>
      <c r="I2975" t="inlineStr">
        <is>
          <t>Delivered</t>
        </is>
      </c>
      <c r="J2975" t="n">
        <v>138</v>
      </c>
      <c r="K2975" t="n">
        <v>1</v>
      </c>
      <c r="L2975" s="7" t="n">
        <v>419</v>
      </c>
      <c r="M2975" s="7" t="n">
        <v>0</v>
      </c>
    </row>
    <row r="2976">
      <c r="A2976" t="n">
        <v>510942</v>
      </c>
      <c r="B2976" s="6" t="n">
        <v>45980</v>
      </c>
      <c r="C2976" t="n">
        <v>15945</v>
      </c>
      <c r="D2976" t="inlineStr">
        <is>
          <t>Kolkata</t>
        </is>
      </c>
      <c r="E2976" t="inlineStr">
        <is>
          <t>East</t>
        </is>
      </c>
      <c r="F2976" t="inlineStr">
        <is>
          <t>Email</t>
        </is>
      </c>
      <c r="G2976" t="inlineStr">
        <is>
          <t>Desktop</t>
        </is>
      </c>
      <c r="H2976" t="inlineStr">
        <is>
          <t>Debit Card</t>
        </is>
      </c>
      <c r="I2976" t="inlineStr">
        <is>
          <t>Delivered</t>
        </is>
      </c>
      <c r="J2976" t="n">
        <v>124</v>
      </c>
      <c r="K2976" t="n">
        <v>1</v>
      </c>
      <c r="L2976" s="7" t="n">
        <v>1154</v>
      </c>
      <c r="M2976" s="7" t="n">
        <v>0</v>
      </c>
    </row>
    <row r="2977">
      <c r="A2977" t="n">
        <v>510943</v>
      </c>
      <c r="B2977" s="6" t="n">
        <v>45980</v>
      </c>
      <c r="C2977" t="n">
        <v>17034</v>
      </c>
      <c r="D2977" t="inlineStr">
        <is>
          <t>Lucknow</t>
        </is>
      </c>
      <c r="E2977" t="inlineStr">
        <is>
          <t>North</t>
        </is>
      </c>
      <c r="F2977" t="inlineStr">
        <is>
          <t>Organic Search</t>
        </is>
      </c>
      <c r="G2977" t="inlineStr">
        <is>
          <t>Mobile App</t>
        </is>
      </c>
      <c r="H2977" t="inlineStr">
        <is>
          <t>Net Banking</t>
        </is>
      </c>
      <c r="I2977" t="inlineStr">
        <is>
          <t>Delivered</t>
        </is>
      </c>
      <c r="J2977" t="n">
        <v>138</v>
      </c>
      <c r="K2977" t="n">
        <v>1</v>
      </c>
      <c r="L2977" s="7" t="n">
        <v>419</v>
      </c>
      <c r="M2977" s="7" t="n">
        <v>0</v>
      </c>
    </row>
    <row r="2978">
      <c r="A2978" t="n">
        <v>510944</v>
      </c>
      <c r="B2978" s="6" t="n">
        <v>45980</v>
      </c>
      <c r="C2978" t="n">
        <v>11902</v>
      </c>
      <c r="D2978" t="inlineStr">
        <is>
          <t>Hyderabad</t>
        </is>
      </c>
      <c r="E2978" t="inlineStr">
        <is>
          <t>South</t>
        </is>
      </c>
      <c r="F2978" t="inlineStr">
        <is>
          <t>Organic Search</t>
        </is>
      </c>
      <c r="G2978" t="inlineStr">
        <is>
          <t>Mobile Web</t>
        </is>
      </c>
      <c r="H2978" t="inlineStr">
        <is>
          <t>Net Banking</t>
        </is>
      </c>
      <c r="I2978" t="inlineStr">
        <is>
          <t>Delivered</t>
        </is>
      </c>
      <c r="J2978" t="n">
        <v>138</v>
      </c>
      <c r="K2978" t="n">
        <v>1</v>
      </c>
      <c r="L2978" s="7" t="n">
        <v>419</v>
      </c>
      <c r="M2978" s="7" t="n">
        <v>0</v>
      </c>
    </row>
    <row r="2979">
      <c r="A2979" t="n">
        <v>510945</v>
      </c>
      <c r="B2979" s="6" t="n">
        <v>45980</v>
      </c>
      <c r="C2979" t="n">
        <v>13307</v>
      </c>
      <c r="D2979" t="inlineStr">
        <is>
          <t>Ahmedabad</t>
        </is>
      </c>
      <c r="E2979" t="inlineStr">
        <is>
          <t>West</t>
        </is>
      </c>
      <c r="F2979" t="inlineStr">
        <is>
          <t>Paid Social</t>
        </is>
      </c>
      <c r="G2979" t="inlineStr">
        <is>
          <t>Mobile Web</t>
        </is>
      </c>
      <c r="H2979" t="inlineStr">
        <is>
          <t>UPI</t>
        </is>
      </c>
      <c r="I2979" t="inlineStr">
        <is>
          <t>Delivered</t>
        </is>
      </c>
      <c r="J2979" t="n">
        <v>127</v>
      </c>
      <c r="K2979" t="n">
        <v>2</v>
      </c>
      <c r="L2979" s="7" t="n">
        <v>681</v>
      </c>
      <c r="M2979" s="7" t="n">
        <v>0</v>
      </c>
    </row>
    <row r="2980">
      <c r="A2980" t="n">
        <v>510945</v>
      </c>
      <c r="B2980" s="6" t="n">
        <v>45980</v>
      </c>
      <c r="C2980" t="n">
        <v>13307</v>
      </c>
      <c r="D2980" t="inlineStr">
        <is>
          <t>Ahmedabad</t>
        </is>
      </c>
      <c r="E2980" t="inlineStr">
        <is>
          <t>West</t>
        </is>
      </c>
      <c r="F2980" t="inlineStr">
        <is>
          <t>Paid Social</t>
        </is>
      </c>
      <c r="G2980" t="inlineStr">
        <is>
          <t>Mobile Web</t>
        </is>
      </c>
      <c r="H2980" t="inlineStr">
        <is>
          <t>UPI</t>
        </is>
      </c>
      <c r="I2980" t="inlineStr">
        <is>
          <t>Delivered</t>
        </is>
      </c>
      <c r="J2980" t="n">
        <v>105</v>
      </c>
      <c r="K2980" t="n">
        <v>2</v>
      </c>
      <c r="L2980" s="7" t="n">
        <v>2414</v>
      </c>
      <c r="M2980" s="7" t="n">
        <v>0</v>
      </c>
    </row>
    <row r="2981">
      <c r="A2981" t="n">
        <v>510946</v>
      </c>
      <c r="B2981" s="6" t="n">
        <v>45980</v>
      </c>
      <c r="C2981" t="n">
        <v>17344</v>
      </c>
      <c r="D2981" t="inlineStr">
        <is>
          <t>Mumbai</t>
        </is>
      </c>
      <c r="E2981" t="inlineStr">
        <is>
          <t>West</t>
        </is>
      </c>
      <c r="F2981" t="inlineStr">
        <is>
          <t>Paid Social</t>
        </is>
      </c>
      <c r="G2981" t="inlineStr">
        <is>
          <t>Desktop</t>
        </is>
      </c>
      <c r="H2981" t="inlineStr">
        <is>
          <t>UPI</t>
        </is>
      </c>
      <c r="I2981" t="inlineStr">
        <is>
          <t>Delivered</t>
        </is>
      </c>
      <c r="J2981" t="n">
        <v>107</v>
      </c>
      <c r="K2981" t="n">
        <v>1</v>
      </c>
      <c r="L2981" s="7" t="n">
        <v>1259</v>
      </c>
      <c r="M2981" s="7" t="n">
        <v>0</v>
      </c>
    </row>
    <row r="2982">
      <c r="A2982" t="n">
        <v>510947</v>
      </c>
      <c r="B2982" s="6" t="n">
        <v>45980</v>
      </c>
      <c r="C2982" t="n">
        <v>17374</v>
      </c>
      <c r="D2982" t="inlineStr">
        <is>
          <t>Delhi</t>
        </is>
      </c>
      <c r="E2982" t="inlineStr">
        <is>
          <t>North</t>
        </is>
      </c>
      <c r="F2982" t="inlineStr">
        <is>
          <t>Paid Social</t>
        </is>
      </c>
      <c r="G2982" t="inlineStr">
        <is>
          <t>Mobile Web</t>
        </is>
      </c>
      <c r="H2982" t="inlineStr">
        <is>
          <t>Net Banking</t>
        </is>
      </c>
      <c r="I2982" t="inlineStr">
        <is>
          <t>Delivered</t>
        </is>
      </c>
      <c r="J2982" t="n">
        <v>119</v>
      </c>
      <c r="K2982" t="n">
        <v>1</v>
      </c>
      <c r="L2982" s="7" t="n">
        <v>2309</v>
      </c>
      <c r="M2982" s="7" t="n">
        <v>0</v>
      </c>
    </row>
    <row r="2983">
      <c r="A2983" t="n">
        <v>510948</v>
      </c>
      <c r="B2983" s="6" t="n">
        <v>45980</v>
      </c>
      <c r="C2983" t="n">
        <v>17413</v>
      </c>
      <c r="D2983" t="inlineStr">
        <is>
          <t>Bengaluru</t>
        </is>
      </c>
      <c r="E2983" t="inlineStr">
        <is>
          <t>South</t>
        </is>
      </c>
      <c r="F2983" t="inlineStr">
        <is>
          <t>Paid Search</t>
        </is>
      </c>
      <c r="G2983" t="inlineStr">
        <is>
          <t>Desktop</t>
        </is>
      </c>
      <c r="H2983" t="inlineStr">
        <is>
          <t>UPI</t>
        </is>
      </c>
      <c r="I2983" t="inlineStr">
        <is>
          <t>Delivered</t>
        </is>
      </c>
      <c r="J2983" t="n">
        <v>105</v>
      </c>
      <c r="K2983" t="n">
        <v>1</v>
      </c>
      <c r="L2983" s="7" t="n">
        <v>2414</v>
      </c>
      <c r="M2983" s="7" t="n">
        <v>362.1</v>
      </c>
    </row>
    <row r="2984">
      <c r="A2984" t="n">
        <v>510948</v>
      </c>
      <c r="B2984" s="6" t="n">
        <v>45980</v>
      </c>
      <c r="C2984" t="n">
        <v>17413</v>
      </c>
      <c r="D2984" t="inlineStr">
        <is>
          <t>Bengaluru</t>
        </is>
      </c>
      <c r="E2984" t="inlineStr">
        <is>
          <t>South</t>
        </is>
      </c>
      <c r="F2984" t="inlineStr">
        <is>
          <t>Paid Search</t>
        </is>
      </c>
      <c r="G2984" t="inlineStr">
        <is>
          <t>Desktop</t>
        </is>
      </c>
      <c r="H2984" t="inlineStr">
        <is>
          <t>UPI</t>
        </is>
      </c>
      <c r="I2984" t="inlineStr">
        <is>
          <t>Delivered</t>
        </is>
      </c>
      <c r="J2984" t="n">
        <v>143</v>
      </c>
      <c r="K2984" t="n">
        <v>2</v>
      </c>
      <c r="L2984" s="7" t="n">
        <v>839</v>
      </c>
      <c r="M2984" s="7" t="n">
        <v>251.7</v>
      </c>
    </row>
    <row r="2985">
      <c r="A2985" t="n">
        <v>510948</v>
      </c>
      <c r="B2985" s="6" t="n">
        <v>45980</v>
      </c>
      <c r="C2985" t="n">
        <v>17413</v>
      </c>
      <c r="D2985" t="inlineStr">
        <is>
          <t>Bengaluru</t>
        </is>
      </c>
      <c r="E2985" t="inlineStr">
        <is>
          <t>South</t>
        </is>
      </c>
      <c r="F2985" t="inlineStr">
        <is>
          <t>Paid Search</t>
        </is>
      </c>
      <c r="G2985" t="inlineStr">
        <is>
          <t>Desktop</t>
        </is>
      </c>
      <c r="H2985" t="inlineStr">
        <is>
          <t>UPI</t>
        </is>
      </c>
      <c r="I2985" t="inlineStr">
        <is>
          <t>Delivered</t>
        </is>
      </c>
      <c r="J2985" t="n">
        <v>132</v>
      </c>
      <c r="K2985" t="n">
        <v>2</v>
      </c>
      <c r="L2985" s="7" t="n">
        <v>471</v>
      </c>
      <c r="M2985" s="7" t="n">
        <v>141.3</v>
      </c>
    </row>
    <row r="2986">
      <c r="A2986" t="n">
        <v>510948</v>
      </c>
      <c r="B2986" s="6" t="n">
        <v>45980</v>
      </c>
      <c r="C2986" t="n">
        <v>17413</v>
      </c>
      <c r="D2986" t="inlineStr">
        <is>
          <t>Bengaluru</t>
        </is>
      </c>
      <c r="E2986" t="inlineStr">
        <is>
          <t>South</t>
        </is>
      </c>
      <c r="F2986" t="inlineStr">
        <is>
          <t>Paid Search</t>
        </is>
      </c>
      <c r="G2986" t="inlineStr">
        <is>
          <t>Desktop</t>
        </is>
      </c>
      <c r="H2986" t="inlineStr">
        <is>
          <t>UPI</t>
        </is>
      </c>
      <c r="I2986" t="inlineStr">
        <is>
          <t>Delivered</t>
        </is>
      </c>
      <c r="J2986" t="n">
        <v>104</v>
      </c>
      <c r="K2986" t="n">
        <v>1</v>
      </c>
      <c r="L2986" s="7" t="n">
        <v>5249</v>
      </c>
      <c r="M2986" s="7" t="n">
        <v>787.35</v>
      </c>
    </row>
    <row r="2987">
      <c r="A2987" t="n">
        <v>510949</v>
      </c>
      <c r="B2987" s="6" t="n">
        <v>45981</v>
      </c>
      <c r="C2987" t="n">
        <v>17425</v>
      </c>
      <c r="D2987" t="inlineStr">
        <is>
          <t>Lucknow</t>
        </is>
      </c>
      <c r="E2987" t="inlineStr">
        <is>
          <t>North</t>
        </is>
      </c>
      <c r="F2987" t="inlineStr">
        <is>
          <t>Paid Social</t>
        </is>
      </c>
      <c r="G2987" t="inlineStr">
        <is>
          <t>Mobile App</t>
        </is>
      </c>
      <c r="H2987" t="inlineStr">
        <is>
          <t>UPI</t>
        </is>
      </c>
      <c r="I2987" t="inlineStr">
        <is>
          <t>Delivered</t>
        </is>
      </c>
      <c r="J2987" t="n">
        <v>123</v>
      </c>
      <c r="K2987" t="n">
        <v>1</v>
      </c>
      <c r="L2987" s="7" t="n">
        <v>3464</v>
      </c>
      <c r="M2987" s="7" t="n">
        <v>0</v>
      </c>
    </row>
    <row r="2988">
      <c r="A2988" t="n">
        <v>510949</v>
      </c>
      <c r="B2988" s="6" t="n">
        <v>45981</v>
      </c>
      <c r="C2988" t="n">
        <v>17425</v>
      </c>
      <c r="D2988" t="inlineStr">
        <is>
          <t>Lucknow</t>
        </is>
      </c>
      <c r="E2988" t="inlineStr">
        <is>
          <t>North</t>
        </is>
      </c>
      <c r="F2988" t="inlineStr">
        <is>
          <t>Paid Social</t>
        </is>
      </c>
      <c r="G2988" t="inlineStr">
        <is>
          <t>Mobile App</t>
        </is>
      </c>
      <c r="H2988" t="inlineStr">
        <is>
          <t>UPI</t>
        </is>
      </c>
      <c r="I2988" t="inlineStr">
        <is>
          <t>Delivered</t>
        </is>
      </c>
      <c r="J2988" t="n">
        <v>119</v>
      </c>
      <c r="K2988" t="n">
        <v>2</v>
      </c>
      <c r="L2988" s="7" t="n">
        <v>2309</v>
      </c>
      <c r="M2988" s="7" t="n">
        <v>0</v>
      </c>
    </row>
    <row r="2989">
      <c r="A2989" t="n">
        <v>510950</v>
      </c>
      <c r="B2989" s="6" t="n">
        <v>45981</v>
      </c>
      <c r="C2989" t="n">
        <v>17345</v>
      </c>
      <c r="D2989" t="inlineStr">
        <is>
          <t>Delhi</t>
        </is>
      </c>
      <c r="E2989" t="inlineStr">
        <is>
          <t>North</t>
        </is>
      </c>
      <c r="F2989" t="inlineStr">
        <is>
          <t>Organic Search</t>
        </is>
      </c>
      <c r="G2989" t="inlineStr">
        <is>
          <t>Desktop</t>
        </is>
      </c>
      <c r="H2989" t="inlineStr">
        <is>
          <t>UPI</t>
        </is>
      </c>
      <c r="I2989" t="inlineStr">
        <is>
          <t>Delivered</t>
        </is>
      </c>
      <c r="J2989" t="n">
        <v>133</v>
      </c>
      <c r="K2989" t="n">
        <v>3</v>
      </c>
      <c r="L2989" s="7" t="n">
        <v>419</v>
      </c>
      <c r="M2989" s="7" t="n">
        <v>188.55</v>
      </c>
    </row>
    <row r="2990">
      <c r="A2990" t="n">
        <v>510951</v>
      </c>
      <c r="B2990" s="6" t="n">
        <v>45981</v>
      </c>
      <c r="C2990" t="n">
        <v>17420</v>
      </c>
      <c r="D2990" t="inlineStr">
        <is>
          <t>Gurugram</t>
        </is>
      </c>
      <c r="E2990" t="inlineStr">
        <is>
          <t>North</t>
        </is>
      </c>
      <c r="F2990" t="inlineStr">
        <is>
          <t>Organic Search</t>
        </is>
      </c>
      <c r="G2990" t="inlineStr">
        <is>
          <t>Mobile App</t>
        </is>
      </c>
      <c r="H2990" t="inlineStr">
        <is>
          <t>UPI</t>
        </is>
      </c>
      <c r="I2990" t="inlineStr">
        <is>
          <t>Delivered</t>
        </is>
      </c>
      <c r="J2990" t="n">
        <v>108</v>
      </c>
      <c r="K2990" t="n">
        <v>1</v>
      </c>
      <c r="L2990" s="7" t="n">
        <v>419</v>
      </c>
      <c r="M2990" s="7" t="n">
        <v>0</v>
      </c>
    </row>
    <row r="2991">
      <c r="A2991" t="n">
        <v>510952</v>
      </c>
      <c r="B2991" s="6" t="n">
        <v>45981</v>
      </c>
      <c r="C2991" t="n">
        <v>17373</v>
      </c>
      <c r="D2991" t="inlineStr">
        <is>
          <t>Pune</t>
        </is>
      </c>
      <c r="E2991" t="inlineStr">
        <is>
          <t>West</t>
        </is>
      </c>
      <c r="F2991" t="inlineStr">
        <is>
          <t>Paid Social</t>
        </is>
      </c>
      <c r="G2991" t="inlineStr">
        <is>
          <t>Mobile Web</t>
        </is>
      </c>
      <c r="H2991" t="inlineStr">
        <is>
          <t>Debit Card</t>
        </is>
      </c>
      <c r="I2991" t="inlineStr">
        <is>
          <t>Delivered</t>
        </is>
      </c>
      <c r="J2991" t="n">
        <v>114</v>
      </c>
      <c r="K2991" t="n">
        <v>1</v>
      </c>
      <c r="L2991" s="7" t="n">
        <v>1259</v>
      </c>
      <c r="M2991" s="7" t="n">
        <v>188.85</v>
      </c>
    </row>
    <row r="2992">
      <c r="A2992" t="n">
        <v>510952</v>
      </c>
      <c r="B2992" s="6" t="n">
        <v>45981</v>
      </c>
      <c r="C2992" t="n">
        <v>17373</v>
      </c>
      <c r="D2992" t="inlineStr">
        <is>
          <t>Pune</t>
        </is>
      </c>
      <c r="E2992" t="inlineStr">
        <is>
          <t>West</t>
        </is>
      </c>
      <c r="F2992" t="inlineStr">
        <is>
          <t>Paid Social</t>
        </is>
      </c>
      <c r="G2992" t="inlineStr">
        <is>
          <t>Mobile Web</t>
        </is>
      </c>
      <c r="H2992" t="inlineStr">
        <is>
          <t>Debit Card</t>
        </is>
      </c>
      <c r="I2992" t="inlineStr">
        <is>
          <t>Delivered</t>
        </is>
      </c>
      <c r="J2992" t="n">
        <v>117</v>
      </c>
      <c r="K2992" t="n">
        <v>1</v>
      </c>
      <c r="L2992" s="7" t="n">
        <v>3149</v>
      </c>
      <c r="M2992" s="7" t="n">
        <v>472.35</v>
      </c>
    </row>
    <row r="2993">
      <c r="A2993" t="n">
        <v>510953</v>
      </c>
      <c r="B2993" s="6" t="n">
        <v>45981</v>
      </c>
      <c r="C2993" t="n">
        <v>17366</v>
      </c>
      <c r="D2993" t="inlineStr">
        <is>
          <t>Delhi</t>
        </is>
      </c>
      <c r="E2993" t="inlineStr">
        <is>
          <t>North</t>
        </is>
      </c>
      <c r="F2993" t="inlineStr">
        <is>
          <t>Paid Search</t>
        </is>
      </c>
      <c r="G2993" t="inlineStr">
        <is>
          <t>Mobile Web</t>
        </is>
      </c>
      <c r="H2993" t="inlineStr">
        <is>
          <t>Debit Card</t>
        </is>
      </c>
      <c r="I2993" t="inlineStr">
        <is>
          <t>Delivered</t>
        </is>
      </c>
      <c r="J2993" t="n">
        <v>117</v>
      </c>
      <c r="K2993" t="n">
        <v>3</v>
      </c>
      <c r="L2993" s="7" t="n">
        <v>3149</v>
      </c>
      <c r="M2993" s="7" t="n">
        <v>0</v>
      </c>
    </row>
    <row r="2994">
      <c r="A2994" t="n">
        <v>510954</v>
      </c>
      <c r="B2994" s="6" t="n">
        <v>45981</v>
      </c>
      <c r="C2994" t="n">
        <v>15574</v>
      </c>
      <c r="D2994" t="inlineStr">
        <is>
          <t>Chennai</t>
        </is>
      </c>
      <c r="E2994" t="inlineStr">
        <is>
          <t>South</t>
        </is>
      </c>
      <c r="F2994" t="inlineStr">
        <is>
          <t>Referral</t>
        </is>
      </c>
      <c r="G2994" t="inlineStr">
        <is>
          <t>Desktop</t>
        </is>
      </c>
      <c r="H2994" t="inlineStr">
        <is>
          <t>Debit Card</t>
        </is>
      </c>
      <c r="I2994" t="inlineStr">
        <is>
          <t>Delivered</t>
        </is>
      </c>
      <c r="J2994" t="n">
        <v>113</v>
      </c>
      <c r="K2994" t="n">
        <v>1</v>
      </c>
      <c r="L2994" s="7" t="n">
        <v>1364</v>
      </c>
      <c r="M2994" s="7" t="n">
        <v>0</v>
      </c>
    </row>
    <row r="2995">
      <c r="A2995" t="n">
        <v>510954</v>
      </c>
      <c r="B2995" s="6" t="n">
        <v>45981</v>
      </c>
      <c r="C2995" t="n">
        <v>15574</v>
      </c>
      <c r="D2995" t="inlineStr">
        <is>
          <t>Chennai</t>
        </is>
      </c>
      <c r="E2995" t="inlineStr">
        <is>
          <t>South</t>
        </is>
      </c>
      <c r="F2995" t="inlineStr">
        <is>
          <t>Referral</t>
        </is>
      </c>
      <c r="G2995" t="inlineStr">
        <is>
          <t>Desktop</t>
        </is>
      </c>
      <c r="H2995" t="inlineStr">
        <is>
          <t>Debit Card</t>
        </is>
      </c>
      <c r="I2995" t="inlineStr">
        <is>
          <t>Delivered</t>
        </is>
      </c>
      <c r="J2995" t="n">
        <v>125</v>
      </c>
      <c r="K2995" t="n">
        <v>2</v>
      </c>
      <c r="L2995" s="7" t="n">
        <v>1364</v>
      </c>
      <c r="M2995" s="7" t="n">
        <v>0</v>
      </c>
    </row>
    <row r="2996">
      <c r="A2996" t="n">
        <v>510955</v>
      </c>
      <c r="B2996" s="6" t="n">
        <v>45981</v>
      </c>
      <c r="C2996" t="n">
        <v>17399</v>
      </c>
      <c r="D2996" t="inlineStr">
        <is>
          <t>Ahmedabad</t>
        </is>
      </c>
      <c r="E2996" t="inlineStr">
        <is>
          <t>West</t>
        </is>
      </c>
      <c r="F2996" t="inlineStr">
        <is>
          <t>Paid Social</t>
        </is>
      </c>
      <c r="G2996" t="inlineStr">
        <is>
          <t>Mobile App</t>
        </is>
      </c>
      <c r="H2996" t="inlineStr">
        <is>
          <t>Cash on Delivery</t>
        </is>
      </c>
      <c r="I2996" t="inlineStr">
        <is>
          <t>Delivered</t>
        </is>
      </c>
      <c r="J2996" t="n">
        <v>104</v>
      </c>
      <c r="K2996" t="n">
        <v>1</v>
      </c>
      <c r="L2996" s="7" t="n">
        <v>5249</v>
      </c>
      <c r="M2996" s="7" t="n">
        <v>262.45</v>
      </c>
    </row>
    <row r="2997">
      <c r="A2997" t="n">
        <v>510955</v>
      </c>
      <c r="B2997" s="6" t="n">
        <v>45981</v>
      </c>
      <c r="C2997" t="n">
        <v>17399</v>
      </c>
      <c r="D2997" t="inlineStr">
        <is>
          <t>Ahmedabad</t>
        </is>
      </c>
      <c r="E2997" t="inlineStr">
        <is>
          <t>West</t>
        </is>
      </c>
      <c r="F2997" t="inlineStr">
        <is>
          <t>Paid Social</t>
        </is>
      </c>
      <c r="G2997" t="inlineStr">
        <is>
          <t>Mobile App</t>
        </is>
      </c>
      <c r="H2997" t="inlineStr">
        <is>
          <t>Cash on Delivery</t>
        </is>
      </c>
      <c r="I2997" t="inlineStr">
        <is>
          <t>Delivered</t>
        </is>
      </c>
      <c r="J2997" t="n">
        <v>122</v>
      </c>
      <c r="K2997" t="n">
        <v>1</v>
      </c>
      <c r="L2997" s="7" t="n">
        <v>1994</v>
      </c>
      <c r="M2997" s="7" t="n">
        <v>99.7</v>
      </c>
    </row>
    <row r="2998">
      <c r="A2998" t="n">
        <v>510956</v>
      </c>
      <c r="B2998" s="6" t="n">
        <v>45981</v>
      </c>
      <c r="C2998" t="n">
        <v>15929</v>
      </c>
      <c r="D2998" t="inlineStr">
        <is>
          <t>Ahmedabad</t>
        </is>
      </c>
      <c r="E2998" t="inlineStr">
        <is>
          <t>West</t>
        </is>
      </c>
      <c r="F2998" t="inlineStr">
        <is>
          <t>Organic Search</t>
        </is>
      </c>
      <c r="G2998" t="inlineStr">
        <is>
          <t>Mobile Web</t>
        </is>
      </c>
      <c r="H2998" t="inlineStr">
        <is>
          <t>UPI</t>
        </is>
      </c>
      <c r="I2998" t="inlineStr">
        <is>
          <t>Delivered</t>
        </is>
      </c>
      <c r="J2998" t="n">
        <v>131</v>
      </c>
      <c r="K2998" t="n">
        <v>1</v>
      </c>
      <c r="L2998" s="7" t="n">
        <v>314</v>
      </c>
      <c r="M2998" s="7" t="n">
        <v>0</v>
      </c>
    </row>
    <row r="2999">
      <c r="A2999" t="n">
        <v>510957</v>
      </c>
      <c r="B2999" s="6" t="n">
        <v>45981</v>
      </c>
      <c r="C2999" t="n">
        <v>14381</v>
      </c>
      <c r="D2999" t="inlineStr">
        <is>
          <t>Delhi</t>
        </is>
      </c>
      <c r="E2999" t="inlineStr">
        <is>
          <t>North</t>
        </is>
      </c>
      <c r="F2999" t="inlineStr">
        <is>
          <t>Paid Social</t>
        </is>
      </c>
      <c r="G2999" t="inlineStr">
        <is>
          <t>Mobile App</t>
        </is>
      </c>
      <c r="H2999" t="inlineStr">
        <is>
          <t>UPI</t>
        </is>
      </c>
      <c r="I2999" t="inlineStr">
        <is>
          <t>Delivered</t>
        </is>
      </c>
      <c r="J2999" t="n">
        <v>135</v>
      </c>
      <c r="K2999" t="n">
        <v>2</v>
      </c>
      <c r="L2999" s="7" t="n">
        <v>1574</v>
      </c>
      <c r="M2999" s="7" t="n">
        <v>0</v>
      </c>
    </row>
    <row r="3000">
      <c r="A3000" t="n">
        <v>510958</v>
      </c>
      <c r="B3000" s="6" t="n">
        <v>45981</v>
      </c>
      <c r="C3000" t="n">
        <v>17379</v>
      </c>
      <c r="D3000" t="inlineStr">
        <is>
          <t>Bengaluru</t>
        </is>
      </c>
      <c r="E3000" t="inlineStr">
        <is>
          <t>South</t>
        </is>
      </c>
      <c r="F3000" t="inlineStr">
        <is>
          <t>Organic Search</t>
        </is>
      </c>
      <c r="G3000" t="inlineStr">
        <is>
          <t>Mobile App</t>
        </is>
      </c>
      <c r="H3000" t="inlineStr">
        <is>
          <t>Credit Card</t>
        </is>
      </c>
      <c r="I3000" t="inlineStr">
        <is>
          <t>Delivered</t>
        </is>
      </c>
      <c r="J3000" t="n">
        <v>114</v>
      </c>
      <c r="K3000" t="n">
        <v>3</v>
      </c>
      <c r="L3000" s="7" t="n">
        <v>1259</v>
      </c>
      <c r="M3000" s="7" t="n">
        <v>0</v>
      </c>
    </row>
    <row r="3001">
      <c r="A3001" t="n">
        <v>510959</v>
      </c>
      <c r="B3001" s="6" t="n">
        <v>45981</v>
      </c>
      <c r="C3001" t="n">
        <v>17423</v>
      </c>
      <c r="D3001" t="inlineStr">
        <is>
          <t>Delhi</t>
        </is>
      </c>
      <c r="E3001" t="inlineStr">
        <is>
          <t>North</t>
        </is>
      </c>
      <c r="F3001" t="inlineStr">
        <is>
          <t>Paid Search</t>
        </is>
      </c>
      <c r="G3001" t="inlineStr">
        <is>
          <t>Mobile App</t>
        </is>
      </c>
      <c r="H3001" t="inlineStr">
        <is>
          <t>UPI</t>
        </is>
      </c>
      <c r="I3001" t="inlineStr">
        <is>
          <t>Delivered</t>
        </is>
      </c>
      <c r="J3001" t="n">
        <v>130</v>
      </c>
      <c r="K3001" t="n">
        <v>1</v>
      </c>
      <c r="L3001" s="7" t="n">
        <v>734</v>
      </c>
      <c r="M3001" s="7" t="n">
        <v>110.1</v>
      </c>
    </row>
    <row r="3002">
      <c r="A3002" t="n">
        <v>510959</v>
      </c>
      <c r="B3002" s="6" t="n">
        <v>45981</v>
      </c>
      <c r="C3002" t="n">
        <v>17423</v>
      </c>
      <c r="D3002" t="inlineStr">
        <is>
          <t>Delhi</t>
        </is>
      </c>
      <c r="E3002" t="inlineStr">
        <is>
          <t>North</t>
        </is>
      </c>
      <c r="F3002" t="inlineStr">
        <is>
          <t>Paid Search</t>
        </is>
      </c>
      <c r="G3002" t="inlineStr">
        <is>
          <t>Mobile App</t>
        </is>
      </c>
      <c r="H3002" t="inlineStr">
        <is>
          <t>UPI</t>
        </is>
      </c>
      <c r="I3002" t="inlineStr">
        <is>
          <t>Delivered</t>
        </is>
      </c>
      <c r="J3002" t="n">
        <v>105</v>
      </c>
      <c r="K3002" t="n">
        <v>1</v>
      </c>
      <c r="L3002" s="7" t="n">
        <v>2414</v>
      </c>
      <c r="M3002" s="7" t="n">
        <v>362.1</v>
      </c>
    </row>
    <row r="3003">
      <c r="A3003" t="n">
        <v>510960</v>
      </c>
      <c r="B3003" s="6" t="n">
        <v>45981</v>
      </c>
      <c r="C3003" t="n">
        <v>17230</v>
      </c>
      <c r="D3003" t="inlineStr">
        <is>
          <t>Indore</t>
        </is>
      </c>
      <c r="E3003" t="inlineStr">
        <is>
          <t>West</t>
        </is>
      </c>
      <c r="F3003" t="inlineStr">
        <is>
          <t>Referral</t>
        </is>
      </c>
      <c r="G3003" t="inlineStr">
        <is>
          <t>Mobile App</t>
        </is>
      </c>
      <c r="H3003" t="inlineStr">
        <is>
          <t>UPI</t>
        </is>
      </c>
      <c r="I3003" t="inlineStr">
        <is>
          <t>Delivered</t>
        </is>
      </c>
      <c r="J3003" t="n">
        <v>111</v>
      </c>
      <c r="K3003" t="n">
        <v>1</v>
      </c>
      <c r="L3003" s="7" t="n">
        <v>524</v>
      </c>
      <c r="M3003" s="7" t="n">
        <v>0</v>
      </c>
    </row>
    <row r="3004">
      <c r="A3004" t="n">
        <v>510961</v>
      </c>
      <c r="B3004" s="6" t="n">
        <v>45981</v>
      </c>
      <c r="C3004" t="n">
        <v>17270</v>
      </c>
      <c r="D3004" t="inlineStr">
        <is>
          <t>Gurugram</t>
        </is>
      </c>
      <c r="E3004" t="inlineStr">
        <is>
          <t>North</t>
        </is>
      </c>
      <c r="F3004" t="inlineStr">
        <is>
          <t>Organic Search</t>
        </is>
      </c>
      <c r="G3004" t="inlineStr">
        <is>
          <t>Mobile App</t>
        </is>
      </c>
      <c r="H3004" t="inlineStr">
        <is>
          <t>UPI</t>
        </is>
      </c>
      <c r="I3004" t="inlineStr">
        <is>
          <t>Delivered</t>
        </is>
      </c>
      <c r="J3004" t="n">
        <v>111</v>
      </c>
      <c r="K3004" t="n">
        <v>3</v>
      </c>
      <c r="L3004" s="7" t="n">
        <v>524</v>
      </c>
      <c r="M3004" s="7" t="n">
        <v>0</v>
      </c>
    </row>
    <row r="3005">
      <c r="A3005" t="n">
        <v>510961</v>
      </c>
      <c r="B3005" s="6" t="n">
        <v>45981</v>
      </c>
      <c r="C3005" t="n">
        <v>17270</v>
      </c>
      <c r="D3005" t="inlineStr">
        <is>
          <t>Gurugram</t>
        </is>
      </c>
      <c r="E3005" t="inlineStr">
        <is>
          <t>North</t>
        </is>
      </c>
      <c r="F3005" t="inlineStr">
        <is>
          <t>Organic Search</t>
        </is>
      </c>
      <c r="G3005" t="inlineStr">
        <is>
          <t>Mobile App</t>
        </is>
      </c>
      <c r="H3005" t="inlineStr">
        <is>
          <t>UPI</t>
        </is>
      </c>
      <c r="I3005" t="inlineStr">
        <is>
          <t>Delivered</t>
        </is>
      </c>
      <c r="J3005" t="n">
        <v>116</v>
      </c>
      <c r="K3005" t="n">
        <v>2</v>
      </c>
      <c r="L3005" s="7" t="n">
        <v>2624</v>
      </c>
      <c r="M3005" s="7" t="n">
        <v>0</v>
      </c>
    </row>
    <row r="3006">
      <c r="A3006" t="n">
        <v>510962</v>
      </c>
      <c r="B3006" s="6" t="n">
        <v>45981</v>
      </c>
      <c r="C3006" t="n">
        <v>12450</v>
      </c>
      <c r="D3006" t="inlineStr">
        <is>
          <t>Hyderabad</t>
        </is>
      </c>
      <c r="E3006" t="inlineStr">
        <is>
          <t>South</t>
        </is>
      </c>
      <c r="F3006" t="inlineStr">
        <is>
          <t>Affiliate</t>
        </is>
      </c>
      <c r="G3006" t="inlineStr">
        <is>
          <t>Desktop</t>
        </is>
      </c>
      <c r="H3006" t="inlineStr">
        <is>
          <t>UPI</t>
        </is>
      </c>
      <c r="I3006" t="inlineStr">
        <is>
          <t>Delivered</t>
        </is>
      </c>
      <c r="J3006" t="n">
        <v>107</v>
      </c>
      <c r="K3006" t="n">
        <v>1</v>
      </c>
      <c r="L3006" s="7" t="n">
        <v>1259</v>
      </c>
      <c r="M3006" s="7" t="n">
        <v>0</v>
      </c>
    </row>
    <row r="3007">
      <c r="A3007" t="n">
        <v>510963</v>
      </c>
      <c r="B3007" s="6" t="n">
        <v>45981</v>
      </c>
      <c r="C3007" t="n">
        <v>16654</v>
      </c>
      <c r="D3007" t="inlineStr">
        <is>
          <t>Delhi</t>
        </is>
      </c>
      <c r="E3007" t="inlineStr">
        <is>
          <t>North</t>
        </is>
      </c>
      <c r="F3007" t="inlineStr">
        <is>
          <t>Paid Social</t>
        </is>
      </c>
      <c r="G3007" t="inlineStr">
        <is>
          <t>Mobile App</t>
        </is>
      </c>
      <c r="H3007" t="inlineStr">
        <is>
          <t>Credit Card</t>
        </is>
      </c>
      <c r="I3007" t="inlineStr">
        <is>
          <t>Delivered</t>
        </is>
      </c>
      <c r="J3007" t="n">
        <v>111</v>
      </c>
      <c r="K3007" t="n">
        <v>1</v>
      </c>
      <c r="L3007" s="7" t="n">
        <v>524</v>
      </c>
      <c r="M3007" s="7" t="n">
        <v>0</v>
      </c>
    </row>
    <row r="3008">
      <c r="A3008" t="n">
        <v>510963</v>
      </c>
      <c r="B3008" s="6" t="n">
        <v>45981</v>
      </c>
      <c r="C3008" t="n">
        <v>16654</v>
      </c>
      <c r="D3008" t="inlineStr">
        <is>
          <t>Delhi</t>
        </is>
      </c>
      <c r="E3008" t="inlineStr">
        <is>
          <t>North</t>
        </is>
      </c>
      <c r="F3008" t="inlineStr">
        <is>
          <t>Paid Social</t>
        </is>
      </c>
      <c r="G3008" t="inlineStr">
        <is>
          <t>Mobile App</t>
        </is>
      </c>
      <c r="H3008" t="inlineStr">
        <is>
          <t>Credit Card</t>
        </is>
      </c>
      <c r="I3008" t="inlineStr">
        <is>
          <t>Delivered</t>
        </is>
      </c>
      <c r="J3008" t="n">
        <v>124</v>
      </c>
      <c r="K3008" t="n">
        <v>1</v>
      </c>
      <c r="L3008" s="7" t="n">
        <v>1154</v>
      </c>
      <c r="M3008" s="7" t="n">
        <v>0</v>
      </c>
    </row>
    <row r="3009">
      <c r="A3009" t="n">
        <v>510963</v>
      </c>
      <c r="B3009" s="6" t="n">
        <v>45981</v>
      </c>
      <c r="C3009" t="n">
        <v>16654</v>
      </c>
      <c r="D3009" t="inlineStr">
        <is>
          <t>Delhi</t>
        </is>
      </c>
      <c r="E3009" t="inlineStr">
        <is>
          <t>North</t>
        </is>
      </c>
      <c r="F3009" t="inlineStr">
        <is>
          <t>Paid Social</t>
        </is>
      </c>
      <c r="G3009" t="inlineStr">
        <is>
          <t>Mobile App</t>
        </is>
      </c>
      <c r="H3009" t="inlineStr">
        <is>
          <t>Credit Card</t>
        </is>
      </c>
      <c r="I3009" t="inlineStr">
        <is>
          <t>Delivered</t>
        </is>
      </c>
      <c r="J3009" t="n">
        <v>117</v>
      </c>
      <c r="K3009" t="n">
        <v>1</v>
      </c>
      <c r="L3009" s="7" t="n">
        <v>3149</v>
      </c>
      <c r="M3009" s="7" t="n">
        <v>0</v>
      </c>
    </row>
    <row r="3010">
      <c r="A3010" t="n">
        <v>510964</v>
      </c>
      <c r="B3010" s="6" t="n">
        <v>45981</v>
      </c>
      <c r="C3010" t="n">
        <v>17338</v>
      </c>
      <c r="D3010" t="inlineStr">
        <is>
          <t>Chennai</t>
        </is>
      </c>
      <c r="E3010" t="inlineStr">
        <is>
          <t>South</t>
        </is>
      </c>
      <c r="F3010" t="inlineStr">
        <is>
          <t>Email</t>
        </is>
      </c>
      <c r="G3010" t="inlineStr">
        <is>
          <t>Mobile App</t>
        </is>
      </c>
      <c r="H3010" t="inlineStr">
        <is>
          <t>UPI</t>
        </is>
      </c>
      <c r="I3010" t="inlineStr">
        <is>
          <t>Delivered</t>
        </is>
      </c>
      <c r="J3010" t="n">
        <v>104</v>
      </c>
      <c r="K3010" t="n">
        <v>1</v>
      </c>
      <c r="L3010" s="7" t="n">
        <v>5249</v>
      </c>
      <c r="M3010" s="7" t="n">
        <v>0</v>
      </c>
    </row>
    <row r="3011">
      <c r="A3011" t="n">
        <v>510964</v>
      </c>
      <c r="B3011" s="6" t="n">
        <v>45981</v>
      </c>
      <c r="C3011" t="n">
        <v>17338</v>
      </c>
      <c r="D3011" t="inlineStr">
        <is>
          <t>Chennai</t>
        </is>
      </c>
      <c r="E3011" t="inlineStr">
        <is>
          <t>South</t>
        </is>
      </c>
      <c r="F3011" t="inlineStr">
        <is>
          <t>Email</t>
        </is>
      </c>
      <c r="G3011" t="inlineStr">
        <is>
          <t>Mobile App</t>
        </is>
      </c>
      <c r="H3011" t="inlineStr">
        <is>
          <t>UPI</t>
        </is>
      </c>
      <c r="I3011" t="inlineStr">
        <is>
          <t>Delivered</t>
        </is>
      </c>
      <c r="J3011" t="n">
        <v>137</v>
      </c>
      <c r="K3011" t="n">
        <v>1</v>
      </c>
      <c r="L3011" s="7" t="n">
        <v>261</v>
      </c>
      <c r="M3011" s="7" t="n">
        <v>0</v>
      </c>
    </row>
    <row r="3012">
      <c r="A3012" t="n">
        <v>510965</v>
      </c>
      <c r="B3012" s="6" t="n">
        <v>45981</v>
      </c>
      <c r="C3012" t="n">
        <v>17415</v>
      </c>
      <c r="D3012" t="inlineStr">
        <is>
          <t>Mumbai</t>
        </is>
      </c>
      <c r="E3012" t="inlineStr">
        <is>
          <t>West</t>
        </is>
      </c>
      <c r="F3012" t="inlineStr">
        <is>
          <t>Paid Social</t>
        </is>
      </c>
      <c r="G3012" t="inlineStr">
        <is>
          <t>Mobile App</t>
        </is>
      </c>
      <c r="H3012" t="inlineStr">
        <is>
          <t>Cash on Delivery</t>
        </is>
      </c>
      <c r="I3012" t="inlineStr">
        <is>
          <t>Delivered</t>
        </is>
      </c>
      <c r="J3012" t="n">
        <v>105</v>
      </c>
      <c r="K3012" t="n">
        <v>1</v>
      </c>
      <c r="L3012" s="7" t="n">
        <v>2414</v>
      </c>
      <c r="M3012" s="7" t="n">
        <v>362.1</v>
      </c>
    </row>
    <row r="3013">
      <c r="A3013" t="n">
        <v>510966</v>
      </c>
      <c r="B3013" s="6" t="n">
        <v>45981</v>
      </c>
      <c r="C3013" t="n">
        <v>16377</v>
      </c>
      <c r="D3013" t="inlineStr">
        <is>
          <t>Ahmedabad</t>
        </is>
      </c>
      <c r="E3013" t="inlineStr">
        <is>
          <t>West</t>
        </is>
      </c>
      <c r="F3013" t="inlineStr">
        <is>
          <t>Organic Search</t>
        </is>
      </c>
      <c r="G3013" t="inlineStr">
        <is>
          <t>Mobile App</t>
        </is>
      </c>
      <c r="H3013" t="inlineStr">
        <is>
          <t>Cash on Delivery</t>
        </is>
      </c>
      <c r="I3013" t="inlineStr">
        <is>
          <t>Delivered</t>
        </is>
      </c>
      <c r="J3013" t="n">
        <v>122</v>
      </c>
      <c r="K3013" t="n">
        <v>3</v>
      </c>
      <c r="L3013" s="7" t="n">
        <v>1994</v>
      </c>
      <c r="M3013" s="7" t="n">
        <v>0</v>
      </c>
    </row>
    <row r="3014">
      <c r="A3014" t="n">
        <v>510966</v>
      </c>
      <c r="B3014" s="6" t="n">
        <v>45981</v>
      </c>
      <c r="C3014" t="n">
        <v>16377</v>
      </c>
      <c r="D3014" t="inlineStr">
        <is>
          <t>Ahmedabad</t>
        </is>
      </c>
      <c r="E3014" t="inlineStr">
        <is>
          <t>West</t>
        </is>
      </c>
      <c r="F3014" t="inlineStr">
        <is>
          <t>Organic Search</t>
        </is>
      </c>
      <c r="G3014" t="inlineStr">
        <is>
          <t>Mobile App</t>
        </is>
      </c>
      <c r="H3014" t="inlineStr">
        <is>
          <t>Cash on Delivery</t>
        </is>
      </c>
      <c r="I3014" t="inlineStr">
        <is>
          <t>Delivered</t>
        </is>
      </c>
      <c r="J3014" t="n">
        <v>139</v>
      </c>
      <c r="K3014" t="n">
        <v>1</v>
      </c>
      <c r="L3014" s="7" t="n">
        <v>366</v>
      </c>
      <c r="M3014" s="7" t="n">
        <v>0</v>
      </c>
    </row>
    <row r="3015">
      <c r="A3015" t="n">
        <v>510967</v>
      </c>
      <c r="B3015" s="6" t="n">
        <v>45981</v>
      </c>
      <c r="C3015" t="n">
        <v>17407</v>
      </c>
      <c r="D3015" t="inlineStr">
        <is>
          <t>Bengaluru</t>
        </is>
      </c>
      <c r="E3015" t="inlineStr">
        <is>
          <t>South</t>
        </is>
      </c>
      <c r="F3015" t="inlineStr">
        <is>
          <t>Referral</t>
        </is>
      </c>
      <c r="G3015" t="inlineStr">
        <is>
          <t>Mobile App</t>
        </is>
      </c>
      <c r="H3015" t="inlineStr">
        <is>
          <t>Net Banking</t>
        </is>
      </c>
      <c r="I3015" t="inlineStr">
        <is>
          <t>Delivered</t>
        </is>
      </c>
      <c r="J3015" t="n">
        <v>141</v>
      </c>
      <c r="K3015" t="n">
        <v>1</v>
      </c>
      <c r="L3015" s="7" t="n">
        <v>261</v>
      </c>
      <c r="M3015" s="7" t="n">
        <v>0</v>
      </c>
    </row>
    <row r="3016">
      <c r="A3016" t="n">
        <v>510967</v>
      </c>
      <c r="B3016" s="6" t="n">
        <v>45981</v>
      </c>
      <c r="C3016" t="n">
        <v>17407</v>
      </c>
      <c r="D3016" t="inlineStr">
        <is>
          <t>Bengaluru</t>
        </is>
      </c>
      <c r="E3016" t="inlineStr">
        <is>
          <t>South</t>
        </is>
      </c>
      <c r="F3016" t="inlineStr">
        <is>
          <t>Referral</t>
        </is>
      </c>
      <c r="G3016" t="inlineStr">
        <is>
          <t>Mobile App</t>
        </is>
      </c>
      <c r="H3016" t="inlineStr">
        <is>
          <t>Net Banking</t>
        </is>
      </c>
      <c r="I3016" t="inlineStr">
        <is>
          <t>Delivered</t>
        </is>
      </c>
      <c r="J3016" t="n">
        <v>112</v>
      </c>
      <c r="K3016" t="n">
        <v>1</v>
      </c>
      <c r="L3016" s="7" t="n">
        <v>1574</v>
      </c>
      <c r="M3016" s="7" t="n">
        <v>0</v>
      </c>
    </row>
    <row r="3017">
      <c r="A3017" t="n">
        <v>510968</v>
      </c>
      <c r="B3017" s="6" t="n">
        <v>45981</v>
      </c>
      <c r="C3017" t="n">
        <v>17397</v>
      </c>
      <c r="D3017" t="inlineStr">
        <is>
          <t>Delhi</t>
        </is>
      </c>
      <c r="E3017" t="inlineStr">
        <is>
          <t>North</t>
        </is>
      </c>
      <c r="F3017" t="inlineStr">
        <is>
          <t>Paid Social</t>
        </is>
      </c>
      <c r="G3017" t="inlineStr">
        <is>
          <t>Mobile Web</t>
        </is>
      </c>
      <c r="H3017" t="inlineStr">
        <is>
          <t>Credit Card</t>
        </is>
      </c>
      <c r="I3017" t="inlineStr">
        <is>
          <t>Delivered</t>
        </is>
      </c>
      <c r="J3017" t="n">
        <v>115</v>
      </c>
      <c r="K3017" t="n">
        <v>1</v>
      </c>
      <c r="L3017" s="7" t="n">
        <v>4199</v>
      </c>
      <c r="M3017" s="7" t="n">
        <v>629.85</v>
      </c>
    </row>
    <row r="3018">
      <c r="A3018" t="n">
        <v>510969</v>
      </c>
      <c r="B3018" s="6" t="n">
        <v>45981</v>
      </c>
      <c r="C3018" t="n">
        <v>17292</v>
      </c>
      <c r="D3018" t="inlineStr">
        <is>
          <t>Ahmedabad</t>
        </is>
      </c>
      <c r="E3018" t="inlineStr">
        <is>
          <t>West</t>
        </is>
      </c>
      <c r="F3018" t="inlineStr">
        <is>
          <t>Paid Search</t>
        </is>
      </c>
      <c r="G3018" t="inlineStr">
        <is>
          <t>Mobile Web</t>
        </is>
      </c>
      <c r="H3018" t="inlineStr">
        <is>
          <t>Credit Card</t>
        </is>
      </c>
      <c r="I3018" t="inlineStr">
        <is>
          <t>Delivered</t>
        </is>
      </c>
      <c r="J3018" t="n">
        <v>137</v>
      </c>
      <c r="K3018" t="n">
        <v>1</v>
      </c>
      <c r="L3018" s="7" t="n">
        <v>261</v>
      </c>
      <c r="M3018" s="7" t="n">
        <v>13.05</v>
      </c>
    </row>
    <row r="3019">
      <c r="A3019" t="n">
        <v>510970</v>
      </c>
      <c r="B3019" s="6" t="n">
        <v>45981</v>
      </c>
      <c r="C3019" t="n">
        <v>15254</v>
      </c>
      <c r="D3019" t="inlineStr">
        <is>
          <t>Delhi</t>
        </is>
      </c>
      <c r="E3019" t="inlineStr">
        <is>
          <t>North</t>
        </is>
      </c>
      <c r="F3019" t="inlineStr">
        <is>
          <t>Organic Search</t>
        </is>
      </c>
      <c r="G3019" t="inlineStr">
        <is>
          <t>Desktop</t>
        </is>
      </c>
      <c r="H3019" t="inlineStr">
        <is>
          <t>Credit Card</t>
        </is>
      </c>
      <c r="I3019" t="inlineStr">
        <is>
          <t>Delivered</t>
        </is>
      </c>
      <c r="J3019" t="n">
        <v>107</v>
      </c>
      <c r="K3019" t="n">
        <v>1</v>
      </c>
      <c r="L3019" s="7" t="n">
        <v>1259</v>
      </c>
      <c r="M3019" s="7" t="n">
        <v>0</v>
      </c>
    </row>
    <row r="3020">
      <c r="A3020" t="n">
        <v>510970</v>
      </c>
      <c r="B3020" s="6" t="n">
        <v>45981</v>
      </c>
      <c r="C3020" t="n">
        <v>15254</v>
      </c>
      <c r="D3020" t="inlineStr">
        <is>
          <t>Delhi</t>
        </is>
      </c>
      <c r="E3020" t="inlineStr">
        <is>
          <t>North</t>
        </is>
      </c>
      <c r="F3020" t="inlineStr">
        <is>
          <t>Organic Search</t>
        </is>
      </c>
      <c r="G3020" t="inlineStr">
        <is>
          <t>Desktop</t>
        </is>
      </c>
      <c r="H3020" t="inlineStr">
        <is>
          <t>Credit Card</t>
        </is>
      </c>
      <c r="I3020" t="inlineStr">
        <is>
          <t>Delivered</t>
        </is>
      </c>
      <c r="J3020" t="n">
        <v>106</v>
      </c>
      <c r="K3020" t="n">
        <v>1</v>
      </c>
      <c r="L3020" s="7" t="n">
        <v>1574</v>
      </c>
      <c r="M3020" s="7" t="n">
        <v>0</v>
      </c>
    </row>
    <row r="3021">
      <c r="A3021" t="n">
        <v>510971</v>
      </c>
      <c r="B3021" s="6" t="n">
        <v>45981</v>
      </c>
      <c r="C3021" t="n">
        <v>17291</v>
      </c>
      <c r="D3021" t="inlineStr">
        <is>
          <t>Mumbai</t>
        </is>
      </c>
      <c r="E3021" t="inlineStr">
        <is>
          <t>West</t>
        </is>
      </c>
      <c r="F3021" t="inlineStr">
        <is>
          <t>Organic Search</t>
        </is>
      </c>
      <c r="G3021" t="inlineStr">
        <is>
          <t>Mobile Web</t>
        </is>
      </c>
      <c r="H3021" t="inlineStr">
        <is>
          <t>UPI</t>
        </is>
      </c>
      <c r="I3021" t="inlineStr">
        <is>
          <t>Delivered</t>
        </is>
      </c>
      <c r="J3021" t="n">
        <v>112</v>
      </c>
      <c r="K3021" t="n">
        <v>3</v>
      </c>
      <c r="L3021" s="7" t="n">
        <v>1574</v>
      </c>
      <c r="M3021" s="7" t="n">
        <v>0</v>
      </c>
    </row>
    <row r="3022">
      <c r="A3022" t="n">
        <v>510972</v>
      </c>
      <c r="B3022" s="6" t="n">
        <v>45981</v>
      </c>
      <c r="C3022" t="n">
        <v>16993</v>
      </c>
      <c r="D3022" t="inlineStr">
        <is>
          <t>Hyderabad</t>
        </is>
      </c>
      <c r="E3022" t="inlineStr">
        <is>
          <t>South</t>
        </is>
      </c>
      <c r="F3022" t="inlineStr">
        <is>
          <t>Organic Search</t>
        </is>
      </c>
      <c r="G3022" t="inlineStr">
        <is>
          <t>Mobile Web</t>
        </is>
      </c>
      <c r="H3022" t="inlineStr">
        <is>
          <t>Debit Card</t>
        </is>
      </c>
      <c r="I3022" t="inlineStr">
        <is>
          <t>Delivered</t>
        </is>
      </c>
      <c r="J3022" t="n">
        <v>148</v>
      </c>
      <c r="K3022" t="n">
        <v>1</v>
      </c>
      <c r="L3022" s="7" t="n">
        <v>734</v>
      </c>
      <c r="M3022" s="7" t="n">
        <v>0</v>
      </c>
    </row>
    <row r="3023">
      <c r="A3023" t="n">
        <v>510972</v>
      </c>
      <c r="B3023" s="6" t="n">
        <v>45981</v>
      </c>
      <c r="C3023" t="n">
        <v>16993</v>
      </c>
      <c r="D3023" t="inlineStr">
        <is>
          <t>Hyderabad</t>
        </is>
      </c>
      <c r="E3023" t="inlineStr">
        <is>
          <t>South</t>
        </is>
      </c>
      <c r="F3023" t="inlineStr">
        <is>
          <t>Organic Search</t>
        </is>
      </c>
      <c r="G3023" t="inlineStr">
        <is>
          <t>Mobile Web</t>
        </is>
      </c>
      <c r="H3023" t="inlineStr">
        <is>
          <t>Debit Card</t>
        </is>
      </c>
      <c r="I3023" t="inlineStr">
        <is>
          <t>Delivered</t>
        </is>
      </c>
      <c r="J3023" t="n">
        <v>124</v>
      </c>
      <c r="K3023" t="n">
        <v>1</v>
      </c>
      <c r="L3023" s="7" t="n">
        <v>1154</v>
      </c>
      <c r="M3023" s="7" t="n">
        <v>0</v>
      </c>
    </row>
    <row r="3024">
      <c r="A3024" t="n">
        <v>510972</v>
      </c>
      <c r="B3024" s="6" t="n">
        <v>45981</v>
      </c>
      <c r="C3024" t="n">
        <v>16993</v>
      </c>
      <c r="D3024" t="inlineStr">
        <is>
          <t>Hyderabad</t>
        </is>
      </c>
      <c r="E3024" t="inlineStr">
        <is>
          <t>South</t>
        </is>
      </c>
      <c r="F3024" t="inlineStr">
        <is>
          <t>Organic Search</t>
        </is>
      </c>
      <c r="G3024" t="inlineStr">
        <is>
          <t>Mobile Web</t>
        </is>
      </c>
      <c r="H3024" t="inlineStr">
        <is>
          <t>Debit Card</t>
        </is>
      </c>
      <c r="I3024" t="inlineStr">
        <is>
          <t>Delivered</t>
        </is>
      </c>
      <c r="J3024" t="n">
        <v>127</v>
      </c>
      <c r="K3024" t="n">
        <v>2</v>
      </c>
      <c r="L3024" s="7" t="n">
        <v>681</v>
      </c>
      <c r="M3024" s="7" t="n">
        <v>0</v>
      </c>
    </row>
    <row r="3025">
      <c r="A3025" t="n">
        <v>510973</v>
      </c>
      <c r="B3025" s="6" t="n">
        <v>45982</v>
      </c>
      <c r="C3025" t="n">
        <v>17323</v>
      </c>
      <c r="D3025" t="inlineStr">
        <is>
          <t>Kochi</t>
        </is>
      </c>
      <c r="E3025" t="inlineStr">
        <is>
          <t>South</t>
        </is>
      </c>
      <c r="F3025" t="inlineStr">
        <is>
          <t>Organic Search</t>
        </is>
      </c>
      <c r="G3025" t="inlineStr">
        <is>
          <t>Mobile App</t>
        </is>
      </c>
      <c r="H3025" t="inlineStr">
        <is>
          <t>Credit Card</t>
        </is>
      </c>
      <c r="I3025" t="inlineStr">
        <is>
          <t>Delivered</t>
        </is>
      </c>
      <c r="J3025" t="n">
        <v>108</v>
      </c>
      <c r="K3025" t="n">
        <v>1</v>
      </c>
      <c r="L3025" s="7" t="n">
        <v>419</v>
      </c>
      <c r="M3025" s="7" t="n">
        <v>0</v>
      </c>
    </row>
    <row r="3026">
      <c r="A3026" t="n">
        <v>510974</v>
      </c>
      <c r="B3026" s="6" t="n">
        <v>45982</v>
      </c>
      <c r="C3026" t="n">
        <v>17428</v>
      </c>
      <c r="D3026" t="inlineStr">
        <is>
          <t>Pune</t>
        </is>
      </c>
      <c r="E3026" t="inlineStr">
        <is>
          <t>West</t>
        </is>
      </c>
      <c r="F3026" t="inlineStr">
        <is>
          <t>Paid Social</t>
        </is>
      </c>
      <c r="G3026" t="inlineStr">
        <is>
          <t>Mobile Web</t>
        </is>
      </c>
      <c r="H3026" t="inlineStr">
        <is>
          <t>Credit Card</t>
        </is>
      </c>
      <c r="I3026" t="inlineStr">
        <is>
          <t>Delivered</t>
        </is>
      </c>
      <c r="J3026" t="n">
        <v>102</v>
      </c>
      <c r="K3026" t="n">
        <v>1</v>
      </c>
      <c r="L3026" s="7" t="n">
        <v>3674</v>
      </c>
      <c r="M3026" s="7" t="n">
        <v>0</v>
      </c>
    </row>
    <row r="3027">
      <c r="A3027" t="n">
        <v>510975</v>
      </c>
      <c r="B3027" s="6" t="n">
        <v>45982</v>
      </c>
      <c r="C3027" t="n">
        <v>17100</v>
      </c>
      <c r="D3027" t="inlineStr">
        <is>
          <t>Pune</t>
        </is>
      </c>
      <c r="E3027" t="inlineStr">
        <is>
          <t>West</t>
        </is>
      </c>
      <c r="F3027" t="inlineStr">
        <is>
          <t>Organic Search</t>
        </is>
      </c>
      <c r="G3027" t="inlineStr">
        <is>
          <t>Desktop</t>
        </is>
      </c>
      <c r="H3027" t="inlineStr">
        <is>
          <t>UPI</t>
        </is>
      </c>
      <c r="I3027" t="inlineStr">
        <is>
          <t>Delivered</t>
        </is>
      </c>
      <c r="J3027" t="n">
        <v>126</v>
      </c>
      <c r="K3027" t="n">
        <v>1</v>
      </c>
      <c r="L3027" s="7" t="n">
        <v>471</v>
      </c>
      <c r="M3027" s="7" t="n">
        <v>70.65000000000001</v>
      </c>
    </row>
    <row r="3028">
      <c r="A3028" t="n">
        <v>510976</v>
      </c>
      <c r="B3028" s="6" t="n">
        <v>45982</v>
      </c>
      <c r="C3028" t="n">
        <v>13833</v>
      </c>
      <c r="D3028" t="inlineStr">
        <is>
          <t>Ahmedabad</t>
        </is>
      </c>
      <c r="E3028" t="inlineStr">
        <is>
          <t>West</t>
        </is>
      </c>
      <c r="F3028" t="inlineStr">
        <is>
          <t>Organic Search</t>
        </is>
      </c>
      <c r="G3028" t="inlineStr">
        <is>
          <t>Mobile App</t>
        </is>
      </c>
      <c r="H3028" t="inlineStr">
        <is>
          <t>Cash on Delivery</t>
        </is>
      </c>
      <c r="I3028" t="inlineStr">
        <is>
          <t>Delivered</t>
        </is>
      </c>
      <c r="J3028" t="n">
        <v>141</v>
      </c>
      <c r="K3028" t="n">
        <v>1</v>
      </c>
      <c r="L3028" s="7" t="n">
        <v>261</v>
      </c>
      <c r="M3028" s="7" t="n">
        <v>0</v>
      </c>
    </row>
    <row r="3029">
      <c r="A3029" t="n">
        <v>510976</v>
      </c>
      <c r="B3029" s="6" t="n">
        <v>45982</v>
      </c>
      <c r="C3029" t="n">
        <v>13833</v>
      </c>
      <c r="D3029" t="inlineStr">
        <is>
          <t>Ahmedabad</t>
        </is>
      </c>
      <c r="E3029" t="inlineStr">
        <is>
          <t>West</t>
        </is>
      </c>
      <c r="F3029" t="inlineStr">
        <is>
          <t>Organic Search</t>
        </is>
      </c>
      <c r="G3029" t="inlineStr">
        <is>
          <t>Mobile App</t>
        </is>
      </c>
      <c r="H3029" t="inlineStr">
        <is>
          <t>Cash on Delivery</t>
        </is>
      </c>
      <c r="I3029" t="inlineStr">
        <is>
          <t>Delivered</t>
        </is>
      </c>
      <c r="J3029" t="n">
        <v>113</v>
      </c>
      <c r="K3029" t="n">
        <v>1</v>
      </c>
      <c r="L3029" s="7" t="n">
        <v>1364</v>
      </c>
      <c r="M3029" s="7" t="n">
        <v>0</v>
      </c>
    </row>
    <row r="3030">
      <c r="A3030" t="n">
        <v>510977</v>
      </c>
      <c r="B3030" s="6" t="n">
        <v>45982</v>
      </c>
      <c r="C3030" t="n">
        <v>15880</v>
      </c>
      <c r="D3030" t="inlineStr">
        <is>
          <t>Pune</t>
        </is>
      </c>
      <c r="E3030" t="inlineStr">
        <is>
          <t>West</t>
        </is>
      </c>
      <c r="F3030" t="inlineStr">
        <is>
          <t>Email</t>
        </is>
      </c>
      <c r="G3030" t="inlineStr">
        <is>
          <t>Desktop</t>
        </is>
      </c>
      <c r="H3030" t="inlineStr">
        <is>
          <t>UPI</t>
        </is>
      </c>
      <c r="I3030" t="inlineStr">
        <is>
          <t>Cancelled</t>
        </is>
      </c>
      <c r="J3030" t="n">
        <v>126</v>
      </c>
      <c r="K3030" t="n">
        <v>2</v>
      </c>
      <c r="L3030" s="7" t="n">
        <v>471</v>
      </c>
      <c r="M3030" s="7" t="n">
        <v>0</v>
      </c>
    </row>
    <row r="3031">
      <c r="A3031" t="n">
        <v>510978</v>
      </c>
      <c r="B3031" s="6" t="n">
        <v>45982</v>
      </c>
      <c r="C3031" t="n">
        <v>14340</v>
      </c>
      <c r="D3031" t="inlineStr">
        <is>
          <t>Delhi</t>
        </is>
      </c>
      <c r="E3031" t="inlineStr">
        <is>
          <t>North</t>
        </is>
      </c>
      <c r="F3031" t="inlineStr">
        <is>
          <t>Organic Search</t>
        </is>
      </c>
      <c r="G3031" t="inlineStr">
        <is>
          <t>Mobile App</t>
        </is>
      </c>
      <c r="H3031" t="inlineStr">
        <is>
          <t>Debit Card</t>
        </is>
      </c>
      <c r="I3031" t="inlineStr">
        <is>
          <t>Delivered</t>
        </is>
      </c>
      <c r="J3031" t="n">
        <v>118</v>
      </c>
      <c r="K3031" t="n">
        <v>1</v>
      </c>
      <c r="L3031" s="7" t="n">
        <v>944</v>
      </c>
      <c r="M3031" s="7" t="n">
        <v>47.2</v>
      </c>
    </row>
    <row r="3032">
      <c r="A3032" t="n">
        <v>510979</v>
      </c>
      <c r="B3032" s="6" t="n">
        <v>45982</v>
      </c>
      <c r="C3032" t="n">
        <v>13882</v>
      </c>
      <c r="D3032" t="inlineStr">
        <is>
          <t>Noida</t>
        </is>
      </c>
      <c r="E3032" t="inlineStr">
        <is>
          <t>North</t>
        </is>
      </c>
      <c r="F3032" t="inlineStr">
        <is>
          <t>Referral</t>
        </is>
      </c>
      <c r="G3032" t="inlineStr">
        <is>
          <t>Mobile Web</t>
        </is>
      </c>
      <c r="H3032" t="inlineStr">
        <is>
          <t>UPI</t>
        </is>
      </c>
      <c r="I3032" t="inlineStr">
        <is>
          <t>Returned</t>
        </is>
      </c>
      <c r="J3032" t="n">
        <v>101</v>
      </c>
      <c r="K3032" t="n">
        <v>1</v>
      </c>
      <c r="L3032" s="7" t="n">
        <v>2099</v>
      </c>
      <c r="M3032" s="7" t="n">
        <v>0</v>
      </c>
    </row>
    <row r="3033">
      <c r="A3033" t="n">
        <v>510980</v>
      </c>
      <c r="B3033" s="6" t="n">
        <v>45982</v>
      </c>
      <c r="C3033" t="n">
        <v>10878</v>
      </c>
      <c r="D3033" t="inlineStr">
        <is>
          <t>Hyderabad</t>
        </is>
      </c>
      <c r="E3033" t="inlineStr">
        <is>
          <t>South</t>
        </is>
      </c>
      <c r="F3033" t="inlineStr">
        <is>
          <t>Paid Search</t>
        </is>
      </c>
      <c r="G3033" t="inlineStr">
        <is>
          <t>Mobile Web</t>
        </is>
      </c>
      <c r="H3033" t="inlineStr">
        <is>
          <t>Cash on Delivery</t>
        </is>
      </c>
      <c r="I3033" t="inlineStr">
        <is>
          <t>Delivered</t>
        </is>
      </c>
      <c r="J3033" t="n">
        <v>113</v>
      </c>
      <c r="K3033" t="n">
        <v>1</v>
      </c>
      <c r="L3033" s="7" t="n">
        <v>1364</v>
      </c>
      <c r="M3033" s="7" t="n">
        <v>0</v>
      </c>
    </row>
    <row r="3034">
      <c r="A3034" t="n">
        <v>510980</v>
      </c>
      <c r="B3034" s="6" t="n">
        <v>45982</v>
      </c>
      <c r="C3034" t="n">
        <v>10878</v>
      </c>
      <c r="D3034" t="inlineStr">
        <is>
          <t>Hyderabad</t>
        </is>
      </c>
      <c r="E3034" t="inlineStr">
        <is>
          <t>South</t>
        </is>
      </c>
      <c r="F3034" t="inlineStr">
        <is>
          <t>Paid Search</t>
        </is>
      </c>
      <c r="G3034" t="inlineStr">
        <is>
          <t>Mobile Web</t>
        </is>
      </c>
      <c r="H3034" t="inlineStr">
        <is>
          <t>Cash on Delivery</t>
        </is>
      </c>
      <c r="I3034" t="inlineStr">
        <is>
          <t>Delivered</t>
        </is>
      </c>
      <c r="J3034" t="n">
        <v>137</v>
      </c>
      <c r="K3034" t="n">
        <v>2</v>
      </c>
      <c r="L3034" s="7" t="n">
        <v>261</v>
      </c>
      <c r="M3034" s="7" t="n">
        <v>0</v>
      </c>
    </row>
    <row r="3035">
      <c r="A3035" t="n">
        <v>510981</v>
      </c>
      <c r="B3035" s="6" t="n">
        <v>45982</v>
      </c>
      <c r="C3035" t="n">
        <v>16128</v>
      </c>
      <c r="D3035" t="inlineStr">
        <is>
          <t>Delhi</t>
        </is>
      </c>
      <c r="E3035" t="inlineStr">
        <is>
          <t>North</t>
        </is>
      </c>
      <c r="F3035" t="inlineStr">
        <is>
          <t>Referral</t>
        </is>
      </c>
      <c r="G3035" t="inlineStr">
        <is>
          <t>Mobile App</t>
        </is>
      </c>
      <c r="H3035" t="inlineStr">
        <is>
          <t>Cash on Delivery</t>
        </is>
      </c>
      <c r="I3035" t="inlineStr">
        <is>
          <t>Delivered</t>
        </is>
      </c>
      <c r="J3035" t="n">
        <v>142</v>
      </c>
      <c r="K3035" t="n">
        <v>1</v>
      </c>
      <c r="L3035" s="7" t="n">
        <v>839</v>
      </c>
      <c r="M3035" s="7" t="n">
        <v>0</v>
      </c>
    </row>
    <row r="3036">
      <c r="A3036" t="n">
        <v>510982</v>
      </c>
      <c r="B3036" s="6" t="n">
        <v>45982</v>
      </c>
      <c r="C3036" t="n">
        <v>17203</v>
      </c>
      <c r="D3036" t="inlineStr">
        <is>
          <t>Ahmedabad</t>
        </is>
      </c>
      <c r="E3036" t="inlineStr">
        <is>
          <t>West</t>
        </is>
      </c>
      <c r="F3036" t="inlineStr">
        <is>
          <t>Email</t>
        </is>
      </c>
      <c r="G3036" t="inlineStr">
        <is>
          <t>Mobile Web</t>
        </is>
      </c>
      <c r="H3036" t="inlineStr">
        <is>
          <t>Net Banking</t>
        </is>
      </c>
      <c r="I3036" t="inlineStr">
        <is>
          <t>Delivered</t>
        </is>
      </c>
      <c r="J3036" t="n">
        <v>138</v>
      </c>
      <c r="K3036" t="n">
        <v>1</v>
      </c>
      <c r="L3036" s="7" t="n">
        <v>419</v>
      </c>
      <c r="M3036" s="7" t="n">
        <v>0</v>
      </c>
    </row>
    <row r="3037">
      <c r="A3037" t="n">
        <v>510982</v>
      </c>
      <c r="B3037" s="6" t="n">
        <v>45982</v>
      </c>
      <c r="C3037" t="n">
        <v>17203</v>
      </c>
      <c r="D3037" t="inlineStr">
        <is>
          <t>Ahmedabad</t>
        </is>
      </c>
      <c r="E3037" t="inlineStr">
        <is>
          <t>West</t>
        </is>
      </c>
      <c r="F3037" t="inlineStr">
        <is>
          <t>Email</t>
        </is>
      </c>
      <c r="G3037" t="inlineStr">
        <is>
          <t>Mobile Web</t>
        </is>
      </c>
      <c r="H3037" t="inlineStr">
        <is>
          <t>Net Banking</t>
        </is>
      </c>
      <c r="I3037" t="inlineStr">
        <is>
          <t>Delivered</t>
        </is>
      </c>
      <c r="J3037" t="n">
        <v>107</v>
      </c>
      <c r="K3037" t="n">
        <v>1</v>
      </c>
      <c r="L3037" s="7" t="n">
        <v>1259</v>
      </c>
      <c r="M3037" s="7" t="n">
        <v>0</v>
      </c>
    </row>
    <row r="3038">
      <c r="A3038" t="n">
        <v>510983</v>
      </c>
      <c r="B3038" s="6" t="n">
        <v>45982</v>
      </c>
      <c r="C3038" t="n">
        <v>15186</v>
      </c>
      <c r="D3038" t="inlineStr">
        <is>
          <t>Delhi</t>
        </is>
      </c>
      <c r="E3038" t="inlineStr">
        <is>
          <t>North</t>
        </is>
      </c>
      <c r="F3038" t="inlineStr">
        <is>
          <t>Referral</t>
        </is>
      </c>
      <c r="G3038" t="inlineStr">
        <is>
          <t>Mobile App</t>
        </is>
      </c>
      <c r="H3038" t="inlineStr">
        <is>
          <t>Credit Card</t>
        </is>
      </c>
      <c r="I3038" t="inlineStr">
        <is>
          <t>Delivered</t>
        </is>
      </c>
      <c r="J3038" t="n">
        <v>117</v>
      </c>
      <c r="K3038" t="n">
        <v>1</v>
      </c>
      <c r="L3038" s="7" t="n">
        <v>3149</v>
      </c>
      <c r="M3038" s="7" t="n">
        <v>0</v>
      </c>
    </row>
    <row r="3039">
      <c r="A3039" t="n">
        <v>510984</v>
      </c>
      <c r="B3039" s="6" t="n">
        <v>45982</v>
      </c>
      <c r="C3039" t="n">
        <v>16288</v>
      </c>
      <c r="D3039" t="inlineStr">
        <is>
          <t>Lucknow</t>
        </is>
      </c>
      <c r="E3039" t="inlineStr">
        <is>
          <t>North</t>
        </is>
      </c>
      <c r="F3039" t="inlineStr">
        <is>
          <t>Organic Search</t>
        </is>
      </c>
      <c r="G3039" t="inlineStr">
        <is>
          <t>Mobile App</t>
        </is>
      </c>
      <c r="H3039" t="inlineStr">
        <is>
          <t>UPI</t>
        </is>
      </c>
      <c r="I3039" t="inlineStr">
        <is>
          <t>Returned</t>
        </is>
      </c>
      <c r="J3039" t="n">
        <v>112</v>
      </c>
      <c r="K3039" t="n">
        <v>1</v>
      </c>
      <c r="L3039" s="7" t="n">
        <v>1574</v>
      </c>
      <c r="M3039" s="7" t="n">
        <v>0</v>
      </c>
    </row>
    <row r="3040">
      <c r="A3040" t="n">
        <v>510984</v>
      </c>
      <c r="B3040" s="6" t="n">
        <v>45982</v>
      </c>
      <c r="C3040" t="n">
        <v>16288</v>
      </c>
      <c r="D3040" t="inlineStr">
        <is>
          <t>Lucknow</t>
        </is>
      </c>
      <c r="E3040" t="inlineStr">
        <is>
          <t>North</t>
        </is>
      </c>
      <c r="F3040" t="inlineStr">
        <is>
          <t>Organic Search</t>
        </is>
      </c>
      <c r="G3040" t="inlineStr">
        <is>
          <t>Mobile App</t>
        </is>
      </c>
      <c r="H3040" t="inlineStr">
        <is>
          <t>UPI</t>
        </is>
      </c>
      <c r="I3040" t="inlineStr">
        <is>
          <t>Returned</t>
        </is>
      </c>
      <c r="J3040" t="n">
        <v>103</v>
      </c>
      <c r="K3040" t="n">
        <v>1</v>
      </c>
      <c r="L3040" s="7" t="n">
        <v>2624</v>
      </c>
      <c r="M3040" s="7" t="n">
        <v>0</v>
      </c>
    </row>
    <row r="3041">
      <c r="A3041" t="n">
        <v>510984</v>
      </c>
      <c r="B3041" s="6" t="n">
        <v>45982</v>
      </c>
      <c r="C3041" t="n">
        <v>16288</v>
      </c>
      <c r="D3041" t="inlineStr">
        <is>
          <t>Lucknow</t>
        </is>
      </c>
      <c r="E3041" t="inlineStr">
        <is>
          <t>North</t>
        </is>
      </c>
      <c r="F3041" t="inlineStr">
        <is>
          <t>Organic Search</t>
        </is>
      </c>
      <c r="G3041" t="inlineStr">
        <is>
          <t>Mobile App</t>
        </is>
      </c>
      <c r="H3041" t="inlineStr">
        <is>
          <t>UPI</t>
        </is>
      </c>
      <c r="I3041" t="inlineStr">
        <is>
          <t>Returned</t>
        </is>
      </c>
      <c r="J3041" t="n">
        <v>133</v>
      </c>
      <c r="K3041" t="n">
        <v>1</v>
      </c>
      <c r="L3041" s="7" t="n">
        <v>419</v>
      </c>
      <c r="M3041" s="7" t="n">
        <v>0</v>
      </c>
    </row>
    <row r="3042">
      <c r="A3042" t="n">
        <v>510984</v>
      </c>
      <c r="B3042" s="6" t="n">
        <v>45982</v>
      </c>
      <c r="C3042" t="n">
        <v>16288</v>
      </c>
      <c r="D3042" t="inlineStr">
        <is>
          <t>Lucknow</t>
        </is>
      </c>
      <c r="E3042" t="inlineStr">
        <is>
          <t>North</t>
        </is>
      </c>
      <c r="F3042" t="inlineStr">
        <is>
          <t>Organic Search</t>
        </is>
      </c>
      <c r="G3042" t="inlineStr">
        <is>
          <t>Mobile App</t>
        </is>
      </c>
      <c r="H3042" t="inlineStr">
        <is>
          <t>UPI</t>
        </is>
      </c>
      <c r="I3042" t="inlineStr">
        <is>
          <t>Returned</t>
        </is>
      </c>
      <c r="J3042" t="n">
        <v>126</v>
      </c>
      <c r="K3042" t="n">
        <v>1</v>
      </c>
      <c r="L3042" s="7" t="n">
        <v>471</v>
      </c>
      <c r="M3042" s="7" t="n">
        <v>0</v>
      </c>
    </row>
    <row r="3043">
      <c r="A3043" t="n">
        <v>510985</v>
      </c>
      <c r="B3043" s="6" t="n">
        <v>45982</v>
      </c>
      <c r="C3043" t="n">
        <v>16114</v>
      </c>
      <c r="D3043" t="inlineStr">
        <is>
          <t>Bengaluru</t>
        </is>
      </c>
      <c r="E3043" t="inlineStr">
        <is>
          <t>South</t>
        </is>
      </c>
      <c r="F3043" t="inlineStr">
        <is>
          <t>Paid Search</t>
        </is>
      </c>
      <c r="G3043" t="inlineStr">
        <is>
          <t>Mobile App</t>
        </is>
      </c>
      <c r="H3043" t="inlineStr">
        <is>
          <t>Cash on Delivery</t>
        </is>
      </c>
      <c r="I3043" t="inlineStr">
        <is>
          <t>Delivered</t>
        </is>
      </c>
      <c r="J3043" t="n">
        <v>110</v>
      </c>
      <c r="K3043" t="n">
        <v>1</v>
      </c>
      <c r="L3043" s="7" t="n">
        <v>839</v>
      </c>
      <c r="M3043" s="7" t="n">
        <v>0</v>
      </c>
    </row>
    <row r="3044">
      <c r="A3044" t="n">
        <v>510986</v>
      </c>
      <c r="B3044" s="6" t="n">
        <v>45982</v>
      </c>
      <c r="C3044" t="n">
        <v>15623</v>
      </c>
      <c r="D3044" t="inlineStr">
        <is>
          <t>Noida</t>
        </is>
      </c>
      <c r="E3044" t="inlineStr">
        <is>
          <t>North</t>
        </is>
      </c>
      <c r="F3044" t="inlineStr">
        <is>
          <t>Paid Social</t>
        </is>
      </c>
      <c r="G3044" t="inlineStr">
        <is>
          <t>Mobile App</t>
        </is>
      </c>
      <c r="H3044" t="inlineStr">
        <is>
          <t>Credit Card</t>
        </is>
      </c>
      <c r="I3044" t="inlineStr">
        <is>
          <t>Delivered</t>
        </is>
      </c>
      <c r="J3044" t="n">
        <v>133</v>
      </c>
      <c r="K3044" t="n">
        <v>1</v>
      </c>
      <c r="L3044" s="7" t="n">
        <v>419</v>
      </c>
      <c r="M3044" s="7" t="n">
        <v>0</v>
      </c>
    </row>
    <row r="3045">
      <c r="A3045" t="n">
        <v>510986</v>
      </c>
      <c r="B3045" s="6" t="n">
        <v>45982</v>
      </c>
      <c r="C3045" t="n">
        <v>15623</v>
      </c>
      <c r="D3045" t="inlineStr">
        <is>
          <t>Noida</t>
        </is>
      </c>
      <c r="E3045" t="inlineStr">
        <is>
          <t>North</t>
        </is>
      </c>
      <c r="F3045" t="inlineStr">
        <is>
          <t>Paid Social</t>
        </is>
      </c>
      <c r="G3045" t="inlineStr">
        <is>
          <t>Mobile App</t>
        </is>
      </c>
      <c r="H3045" t="inlineStr">
        <is>
          <t>Credit Card</t>
        </is>
      </c>
      <c r="I3045" t="inlineStr">
        <is>
          <t>Delivered</t>
        </is>
      </c>
      <c r="J3045" t="n">
        <v>116</v>
      </c>
      <c r="K3045" t="n">
        <v>1</v>
      </c>
      <c r="L3045" s="7" t="n">
        <v>2624</v>
      </c>
      <c r="M3045" s="7" t="n">
        <v>0</v>
      </c>
    </row>
    <row r="3046">
      <c r="A3046" t="n">
        <v>510987</v>
      </c>
      <c r="B3046" s="6" t="n">
        <v>45982</v>
      </c>
      <c r="C3046" t="n">
        <v>17186</v>
      </c>
      <c r="D3046" t="inlineStr">
        <is>
          <t>Chandigarh</t>
        </is>
      </c>
      <c r="E3046" t="inlineStr">
        <is>
          <t>North</t>
        </is>
      </c>
      <c r="F3046" t="inlineStr">
        <is>
          <t>Paid Search</t>
        </is>
      </c>
      <c r="G3046" t="inlineStr">
        <is>
          <t>Mobile Web</t>
        </is>
      </c>
      <c r="H3046" t="inlineStr">
        <is>
          <t>UPI</t>
        </is>
      </c>
      <c r="I3046" t="inlineStr">
        <is>
          <t>Delivered</t>
        </is>
      </c>
      <c r="J3046" t="n">
        <v>106</v>
      </c>
      <c r="K3046" t="n">
        <v>1</v>
      </c>
      <c r="L3046" s="7" t="n">
        <v>1574</v>
      </c>
      <c r="M3046" s="7" t="n">
        <v>0</v>
      </c>
    </row>
    <row r="3047">
      <c r="A3047" t="n">
        <v>510987</v>
      </c>
      <c r="B3047" s="6" t="n">
        <v>45982</v>
      </c>
      <c r="C3047" t="n">
        <v>17186</v>
      </c>
      <c r="D3047" t="inlineStr">
        <is>
          <t>Chandigarh</t>
        </is>
      </c>
      <c r="E3047" t="inlineStr">
        <is>
          <t>North</t>
        </is>
      </c>
      <c r="F3047" t="inlineStr">
        <is>
          <t>Paid Search</t>
        </is>
      </c>
      <c r="G3047" t="inlineStr">
        <is>
          <t>Mobile Web</t>
        </is>
      </c>
      <c r="H3047" t="inlineStr">
        <is>
          <t>UPI</t>
        </is>
      </c>
      <c r="I3047" t="inlineStr">
        <is>
          <t>Delivered</t>
        </is>
      </c>
      <c r="J3047" t="n">
        <v>124</v>
      </c>
      <c r="K3047" t="n">
        <v>1</v>
      </c>
      <c r="L3047" s="7" t="n">
        <v>1154</v>
      </c>
      <c r="M3047" s="7" t="n">
        <v>0</v>
      </c>
    </row>
    <row r="3048">
      <c r="A3048" t="n">
        <v>510988</v>
      </c>
      <c r="B3048" s="6" t="n">
        <v>45982</v>
      </c>
      <c r="C3048" t="n">
        <v>13366</v>
      </c>
      <c r="D3048" t="inlineStr">
        <is>
          <t>Chandigarh</t>
        </is>
      </c>
      <c r="E3048" t="inlineStr">
        <is>
          <t>North</t>
        </is>
      </c>
      <c r="F3048" t="inlineStr">
        <is>
          <t>Paid Social</t>
        </is>
      </c>
      <c r="G3048" t="inlineStr">
        <is>
          <t>Mobile Web</t>
        </is>
      </c>
      <c r="H3048" t="inlineStr">
        <is>
          <t>UPI</t>
        </is>
      </c>
      <c r="I3048" t="inlineStr">
        <is>
          <t>Delivered</t>
        </is>
      </c>
      <c r="J3048" t="n">
        <v>109</v>
      </c>
      <c r="K3048" t="n">
        <v>1</v>
      </c>
      <c r="L3048" s="7" t="n">
        <v>4199</v>
      </c>
      <c r="M3048" s="7" t="n">
        <v>0</v>
      </c>
    </row>
    <row r="3049">
      <c r="A3049" t="n">
        <v>510988</v>
      </c>
      <c r="B3049" s="6" t="n">
        <v>45982</v>
      </c>
      <c r="C3049" t="n">
        <v>13366</v>
      </c>
      <c r="D3049" t="inlineStr">
        <is>
          <t>Chandigarh</t>
        </is>
      </c>
      <c r="E3049" t="inlineStr">
        <is>
          <t>North</t>
        </is>
      </c>
      <c r="F3049" t="inlineStr">
        <is>
          <t>Paid Social</t>
        </is>
      </c>
      <c r="G3049" t="inlineStr">
        <is>
          <t>Mobile Web</t>
        </is>
      </c>
      <c r="H3049" t="inlineStr">
        <is>
          <t>UPI</t>
        </is>
      </c>
      <c r="I3049" t="inlineStr">
        <is>
          <t>Delivered</t>
        </is>
      </c>
      <c r="J3049" t="n">
        <v>125</v>
      </c>
      <c r="K3049" t="n">
        <v>3</v>
      </c>
      <c r="L3049" s="7" t="n">
        <v>1364</v>
      </c>
      <c r="M3049" s="7" t="n">
        <v>0</v>
      </c>
    </row>
    <row r="3050">
      <c r="A3050" t="n">
        <v>510989</v>
      </c>
      <c r="B3050" s="6" t="n">
        <v>45982</v>
      </c>
      <c r="C3050" t="n">
        <v>16713</v>
      </c>
      <c r="D3050" t="inlineStr">
        <is>
          <t>Mumbai</t>
        </is>
      </c>
      <c r="E3050" t="inlineStr">
        <is>
          <t>West</t>
        </is>
      </c>
      <c r="F3050" t="inlineStr">
        <is>
          <t>Email</t>
        </is>
      </c>
      <c r="G3050" t="inlineStr">
        <is>
          <t>Desktop</t>
        </is>
      </c>
      <c r="H3050" t="inlineStr">
        <is>
          <t>UPI</t>
        </is>
      </c>
      <c r="I3050" t="inlineStr">
        <is>
          <t>Delivered</t>
        </is>
      </c>
      <c r="J3050" t="n">
        <v>117</v>
      </c>
      <c r="K3050" t="n">
        <v>1</v>
      </c>
      <c r="L3050" s="7" t="n">
        <v>3149</v>
      </c>
      <c r="M3050" s="7" t="n">
        <v>157.45</v>
      </c>
    </row>
    <row r="3051">
      <c r="A3051" t="n">
        <v>510990</v>
      </c>
      <c r="B3051" s="6" t="n">
        <v>45982</v>
      </c>
      <c r="C3051" t="n">
        <v>15922</v>
      </c>
      <c r="D3051" t="inlineStr">
        <is>
          <t>Bengaluru</t>
        </is>
      </c>
      <c r="E3051" t="inlineStr">
        <is>
          <t>South</t>
        </is>
      </c>
      <c r="F3051" t="inlineStr">
        <is>
          <t>Organic Search</t>
        </is>
      </c>
      <c r="G3051" t="inlineStr">
        <is>
          <t>Mobile Web</t>
        </is>
      </c>
      <c r="H3051" t="inlineStr">
        <is>
          <t>Credit Card</t>
        </is>
      </c>
      <c r="I3051" t="inlineStr">
        <is>
          <t>Delivered</t>
        </is>
      </c>
      <c r="J3051" t="n">
        <v>120</v>
      </c>
      <c r="K3051" t="n">
        <v>1</v>
      </c>
      <c r="L3051" s="7" t="n">
        <v>734</v>
      </c>
      <c r="M3051" s="7" t="n">
        <v>0</v>
      </c>
    </row>
    <row r="3052">
      <c r="A3052" t="n">
        <v>510990</v>
      </c>
      <c r="B3052" s="6" t="n">
        <v>45982</v>
      </c>
      <c r="C3052" t="n">
        <v>15922</v>
      </c>
      <c r="D3052" t="inlineStr">
        <is>
          <t>Bengaluru</t>
        </is>
      </c>
      <c r="E3052" t="inlineStr">
        <is>
          <t>South</t>
        </is>
      </c>
      <c r="F3052" t="inlineStr">
        <is>
          <t>Organic Search</t>
        </is>
      </c>
      <c r="G3052" t="inlineStr">
        <is>
          <t>Mobile Web</t>
        </is>
      </c>
      <c r="H3052" t="inlineStr">
        <is>
          <t>Credit Card</t>
        </is>
      </c>
      <c r="I3052" t="inlineStr">
        <is>
          <t>Delivered</t>
        </is>
      </c>
      <c r="J3052" t="n">
        <v>110</v>
      </c>
      <c r="K3052" t="n">
        <v>1</v>
      </c>
      <c r="L3052" s="7" t="n">
        <v>839</v>
      </c>
      <c r="M3052" s="7" t="n">
        <v>0</v>
      </c>
    </row>
    <row r="3053">
      <c r="A3053" t="n">
        <v>510990</v>
      </c>
      <c r="B3053" s="6" t="n">
        <v>45982</v>
      </c>
      <c r="C3053" t="n">
        <v>15922</v>
      </c>
      <c r="D3053" t="inlineStr">
        <is>
          <t>Bengaluru</t>
        </is>
      </c>
      <c r="E3053" t="inlineStr">
        <is>
          <t>South</t>
        </is>
      </c>
      <c r="F3053" t="inlineStr">
        <is>
          <t>Organic Search</t>
        </is>
      </c>
      <c r="G3053" t="inlineStr">
        <is>
          <t>Mobile Web</t>
        </is>
      </c>
      <c r="H3053" t="inlineStr">
        <is>
          <t>Credit Card</t>
        </is>
      </c>
      <c r="I3053" t="inlineStr">
        <is>
          <t>Delivered</t>
        </is>
      </c>
      <c r="J3053" t="n">
        <v>128</v>
      </c>
      <c r="K3053" t="n">
        <v>2</v>
      </c>
      <c r="L3053" s="7" t="n">
        <v>1049</v>
      </c>
      <c r="M3053" s="7" t="n">
        <v>0</v>
      </c>
    </row>
    <row r="3054">
      <c r="A3054" t="n">
        <v>510991</v>
      </c>
      <c r="B3054" s="6" t="n">
        <v>45982</v>
      </c>
      <c r="C3054" t="n">
        <v>17385</v>
      </c>
      <c r="D3054" t="inlineStr">
        <is>
          <t>Mumbai</t>
        </is>
      </c>
      <c r="E3054" t="inlineStr">
        <is>
          <t>West</t>
        </is>
      </c>
      <c r="F3054" t="inlineStr">
        <is>
          <t>Paid Search</t>
        </is>
      </c>
      <c r="G3054" t="inlineStr">
        <is>
          <t>Mobile App</t>
        </is>
      </c>
      <c r="H3054" t="inlineStr">
        <is>
          <t>UPI</t>
        </is>
      </c>
      <c r="I3054" t="inlineStr">
        <is>
          <t>Delivered</t>
        </is>
      </c>
      <c r="J3054" t="n">
        <v>133</v>
      </c>
      <c r="K3054" t="n">
        <v>1</v>
      </c>
      <c r="L3054" s="7" t="n">
        <v>419</v>
      </c>
      <c r="M3054" s="7" t="n">
        <v>62.85</v>
      </c>
    </row>
    <row r="3055">
      <c r="A3055" t="n">
        <v>510991</v>
      </c>
      <c r="B3055" s="6" t="n">
        <v>45982</v>
      </c>
      <c r="C3055" t="n">
        <v>17385</v>
      </c>
      <c r="D3055" t="inlineStr">
        <is>
          <t>Mumbai</t>
        </is>
      </c>
      <c r="E3055" t="inlineStr">
        <is>
          <t>West</t>
        </is>
      </c>
      <c r="F3055" t="inlineStr">
        <is>
          <t>Paid Search</t>
        </is>
      </c>
      <c r="G3055" t="inlineStr">
        <is>
          <t>Mobile App</t>
        </is>
      </c>
      <c r="H3055" t="inlineStr">
        <is>
          <t>UPI</t>
        </is>
      </c>
      <c r="I3055" t="inlineStr">
        <is>
          <t>Delivered</t>
        </is>
      </c>
      <c r="J3055" t="n">
        <v>138</v>
      </c>
      <c r="K3055" t="n">
        <v>1</v>
      </c>
      <c r="L3055" s="7" t="n">
        <v>419</v>
      </c>
      <c r="M3055" s="7" t="n">
        <v>62.85</v>
      </c>
    </row>
    <row r="3056">
      <c r="A3056" t="n">
        <v>510992</v>
      </c>
      <c r="B3056" s="6" t="n">
        <v>45982</v>
      </c>
      <c r="C3056" t="n">
        <v>16865</v>
      </c>
      <c r="D3056" t="inlineStr">
        <is>
          <t>Kolkata</t>
        </is>
      </c>
      <c r="E3056" t="inlineStr">
        <is>
          <t>East</t>
        </is>
      </c>
      <c r="F3056" t="inlineStr">
        <is>
          <t>Organic Search</t>
        </is>
      </c>
      <c r="G3056" t="inlineStr">
        <is>
          <t>Mobile App</t>
        </is>
      </c>
      <c r="H3056" t="inlineStr">
        <is>
          <t>Cash on Delivery</t>
        </is>
      </c>
      <c r="I3056" t="inlineStr">
        <is>
          <t>Delivered</t>
        </is>
      </c>
      <c r="J3056" t="n">
        <v>120</v>
      </c>
      <c r="K3056" t="n">
        <v>1</v>
      </c>
      <c r="L3056" s="7" t="n">
        <v>734</v>
      </c>
      <c r="M3056" s="7" t="n">
        <v>0</v>
      </c>
    </row>
    <row r="3057">
      <c r="A3057" t="n">
        <v>510993</v>
      </c>
      <c r="B3057" s="6" t="n">
        <v>45982</v>
      </c>
      <c r="C3057" t="n">
        <v>17430</v>
      </c>
      <c r="D3057" t="inlineStr">
        <is>
          <t>Kolkata</t>
        </is>
      </c>
      <c r="E3057" t="inlineStr">
        <is>
          <t>East</t>
        </is>
      </c>
      <c r="F3057" t="inlineStr">
        <is>
          <t>Affiliate</t>
        </is>
      </c>
      <c r="G3057" t="inlineStr">
        <is>
          <t>Mobile App</t>
        </is>
      </c>
      <c r="H3057" t="inlineStr">
        <is>
          <t>UPI</t>
        </is>
      </c>
      <c r="I3057" t="inlineStr">
        <is>
          <t>Delivered</t>
        </is>
      </c>
      <c r="J3057" t="n">
        <v>138</v>
      </c>
      <c r="K3057" t="n">
        <v>1</v>
      </c>
      <c r="L3057" s="7" t="n">
        <v>419</v>
      </c>
      <c r="M3057" s="7" t="n">
        <v>62.85</v>
      </c>
    </row>
    <row r="3058">
      <c r="A3058" t="n">
        <v>510994</v>
      </c>
      <c r="B3058" s="6" t="n">
        <v>45982</v>
      </c>
      <c r="C3058" t="n">
        <v>17438</v>
      </c>
      <c r="D3058" t="inlineStr">
        <is>
          <t>Pune</t>
        </is>
      </c>
      <c r="E3058" t="inlineStr">
        <is>
          <t>West</t>
        </is>
      </c>
      <c r="F3058" t="inlineStr">
        <is>
          <t>Organic Search</t>
        </is>
      </c>
      <c r="G3058" t="inlineStr">
        <is>
          <t>Mobile App</t>
        </is>
      </c>
      <c r="H3058" t="inlineStr">
        <is>
          <t>UPI</t>
        </is>
      </c>
      <c r="I3058" t="inlineStr">
        <is>
          <t>Delivered</t>
        </is>
      </c>
      <c r="J3058" t="n">
        <v>102</v>
      </c>
      <c r="K3058" t="n">
        <v>1</v>
      </c>
      <c r="L3058" s="7" t="n">
        <v>3674</v>
      </c>
      <c r="M3058" s="7" t="n">
        <v>0</v>
      </c>
    </row>
    <row r="3059">
      <c r="A3059" t="n">
        <v>510994</v>
      </c>
      <c r="B3059" s="6" t="n">
        <v>45982</v>
      </c>
      <c r="C3059" t="n">
        <v>17438</v>
      </c>
      <c r="D3059" t="inlineStr">
        <is>
          <t>Pune</t>
        </is>
      </c>
      <c r="E3059" t="inlineStr">
        <is>
          <t>West</t>
        </is>
      </c>
      <c r="F3059" t="inlineStr">
        <is>
          <t>Organic Search</t>
        </is>
      </c>
      <c r="G3059" t="inlineStr">
        <is>
          <t>Mobile App</t>
        </is>
      </c>
      <c r="H3059" t="inlineStr">
        <is>
          <t>UPI</t>
        </is>
      </c>
      <c r="I3059" t="inlineStr">
        <is>
          <t>Delivered</t>
        </is>
      </c>
      <c r="J3059" t="n">
        <v>133</v>
      </c>
      <c r="K3059" t="n">
        <v>1</v>
      </c>
      <c r="L3059" s="7" t="n">
        <v>419</v>
      </c>
      <c r="M3059" s="7" t="n">
        <v>0</v>
      </c>
    </row>
    <row r="3060">
      <c r="A3060" t="n">
        <v>510995</v>
      </c>
      <c r="B3060" s="6" t="n">
        <v>45982</v>
      </c>
      <c r="C3060" t="n">
        <v>17073</v>
      </c>
      <c r="D3060" t="inlineStr">
        <is>
          <t>Mumbai</t>
        </is>
      </c>
      <c r="E3060" t="inlineStr">
        <is>
          <t>West</t>
        </is>
      </c>
      <c r="F3060" t="inlineStr">
        <is>
          <t>Organic Search</t>
        </is>
      </c>
      <c r="G3060" t="inlineStr">
        <is>
          <t>Mobile Web</t>
        </is>
      </c>
      <c r="H3060" t="inlineStr">
        <is>
          <t>UPI</t>
        </is>
      </c>
      <c r="I3060" t="inlineStr">
        <is>
          <t>Delivered</t>
        </is>
      </c>
      <c r="J3060" t="n">
        <v>123</v>
      </c>
      <c r="K3060" t="n">
        <v>1</v>
      </c>
      <c r="L3060" s="7" t="n">
        <v>3464</v>
      </c>
      <c r="M3060" s="7" t="n">
        <v>0</v>
      </c>
    </row>
    <row r="3061">
      <c r="A3061" t="n">
        <v>510996</v>
      </c>
      <c r="B3061" s="6" t="n">
        <v>45982</v>
      </c>
      <c r="C3061" t="n">
        <v>17412</v>
      </c>
      <c r="D3061" t="inlineStr">
        <is>
          <t>Bengaluru</t>
        </is>
      </c>
      <c r="E3061" t="inlineStr">
        <is>
          <t>South</t>
        </is>
      </c>
      <c r="F3061" t="inlineStr">
        <is>
          <t>Paid Search</t>
        </is>
      </c>
      <c r="G3061" t="inlineStr">
        <is>
          <t>Mobile Web</t>
        </is>
      </c>
      <c r="H3061" t="inlineStr">
        <is>
          <t>Cash on Delivery</t>
        </is>
      </c>
      <c r="I3061" t="inlineStr">
        <is>
          <t>Cancelled</t>
        </is>
      </c>
      <c r="J3061" t="n">
        <v>114</v>
      </c>
      <c r="K3061" t="n">
        <v>1</v>
      </c>
      <c r="L3061" s="7" t="n">
        <v>1259</v>
      </c>
      <c r="M3061" s="7" t="n">
        <v>0</v>
      </c>
    </row>
    <row r="3062">
      <c r="A3062" t="n">
        <v>510997</v>
      </c>
      <c r="B3062" s="6" t="n">
        <v>45982</v>
      </c>
      <c r="C3062" t="n">
        <v>16378</v>
      </c>
      <c r="D3062" t="inlineStr">
        <is>
          <t>Jaipur</t>
        </is>
      </c>
      <c r="E3062" t="inlineStr">
        <is>
          <t>North</t>
        </is>
      </c>
      <c r="F3062" t="inlineStr">
        <is>
          <t>Organic Search</t>
        </is>
      </c>
      <c r="G3062" t="inlineStr">
        <is>
          <t>Mobile App</t>
        </is>
      </c>
      <c r="H3062" t="inlineStr">
        <is>
          <t>UPI</t>
        </is>
      </c>
      <c r="I3062" t="inlineStr">
        <is>
          <t>Delivered</t>
        </is>
      </c>
      <c r="J3062" t="n">
        <v>111</v>
      </c>
      <c r="K3062" t="n">
        <v>1</v>
      </c>
      <c r="L3062" s="7" t="n">
        <v>524</v>
      </c>
      <c r="M3062" s="7" t="n">
        <v>0</v>
      </c>
    </row>
    <row r="3063">
      <c r="A3063" t="n">
        <v>510997</v>
      </c>
      <c r="B3063" s="6" t="n">
        <v>45982</v>
      </c>
      <c r="C3063" t="n">
        <v>16378</v>
      </c>
      <c r="D3063" t="inlineStr">
        <is>
          <t>Jaipur</t>
        </is>
      </c>
      <c r="E3063" t="inlineStr">
        <is>
          <t>North</t>
        </is>
      </c>
      <c r="F3063" t="inlineStr">
        <is>
          <t>Organic Search</t>
        </is>
      </c>
      <c r="G3063" t="inlineStr">
        <is>
          <t>Mobile App</t>
        </is>
      </c>
      <c r="H3063" t="inlineStr">
        <is>
          <t>UPI</t>
        </is>
      </c>
      <c r="I3063" t="inlineStr">
        <is>
          <t>Delivered</t>
        </is>
      </c>
      <c r="J3063" t="n">
        <v>130</v>
      </c>
      <c r="K3063" t="n">
        <v>2</v>
      </c>
      <c r="L3063" s="7" t="n">
        <v>734</v>
      </c>
      <c r="M3063" s="7" t="n">
        <v>0</v>
      </c>
    </row>
    <row r="3064">
      <c r="A3064" t="n">
        <v>510998</v>
      </c>
      <c r="B3064" s="6" t="n">
        <v>45983</v>
      </c>
      <c r="C3064" t="n">
        <v>14113</v>
      </c>
      <c r="D3064" t="inlineStr">
        <is>
          <t>Pune</t>
        </is>
      </c>
      <c r="E3064" t="inlineStr">
        <is>
          <t>West</t>
        </is>
      </c>
      <c r="F3064" t="inlineStr">
        <is>
          <t>Organic Search</t>
        </is>
      </c>
      <c r="G3064" t="inlineStr">
        <is>
          <t>Desktop</t>
        </is>
      </c>
      <c r="H3064" t="inlineStr">
        <is>
          <t>Debit Card</t>
        </is>
      </c>
      <c r="I3064" t="inlineStr">
        <is>
          <t>Delivered</t>
        </is>
      </c>
      <c r="J3064" t="n">
        <v>103</v>
      </c>
      <c r="K3064" t="n">
        <v>1</v>
      </c>
      <c r="L3064" s="7" t="n">
        <v>2624</v>
      </c>
      <c r="M3064" s="7" t="n">
        <v>131.2</v>
      </c>
    </row>
    <row r="3065">
      <c r="A3065" t="n">
        <v>510998</v>
      </c>
      <c r="B3065" s="6" t="n">
        <v>45983</v>
      </c>
      <c r="C3065" t="n">
        <v>14113</v>
      </c>
      <c r="D3065" t="inlineStr">
        <is>
          <t>Pune</t>
        </is>
      </c>
      <c r="E3065" t="inlineStr">
        <is>
          <t>West</t>
        </is>
      </c>
      <c r="F3065" t="inlineStr">
        <is>
          <t>Organic Search</t>
        </is>
      </c>
      <c r="G3065" t="inlineStr">
        <is>
          <t>Desktop</t>
        </is>
      </c>
      <c r="H3065" t="inlineStr">
        <is>
          <t>Debit Card</t>
        </is>
      </c>
      <c r="I3065" t="inlineStr">
        <is>
          <t>Delivered</t>
        </is>
      </c>
      <c r="J3065" t="n">
        <v>135</v>
      </c>
      <c r="K3065" t="n">
        <v>1</v>
      </c>
      <c r="L3065" s="7" t="n">
        <v>1574</v>
      </c>
      <c r="M3065" s="7" t="n">
        <v>78.7</v>
      </c>
    </row>
    <row r="3066">
      <c r="A3066" t="n">
        <v>510999</v>
      </c>
      <c r="B3066" s="6" t="n">
        <v>45983</v>
      </c>
      <c r="C3066" t="n">
        <v>15049</v>
      </c>
      <c r="D3066" t="inlineStr">
        <is>
          <t>Chandigarh</t>
        </is>
      </c>
      <c r="E3066" t="inlineStr">
        <is>
          <t>North</t>
        </is>
      </c>
      <c r="F3066" t="inlineStr">
        <is>
          <t>Organic Search</t>
        </is>
      </c>
      <c r="G3066" t="inlineStr">
        <is>
          <t>Mobile Web</t>
        </is>
      </c>
      <c r="H3066" t="inlineStr">
        <is>
          <t>UPI</t>
        </is>
      </c>
      <c r="I3066" t="inlineStr">
        <is>
          <t>Delivered</t>
        </is>
      </c>
      <c r="J3066" t="n">
        <v>127</v>
      </c>
      <c r="K3066" t="n">
        <v>1</v>
      </c>
      <c r="L3066" s="7" t="n">
        <v>681</v>
      </c>
      <c r="M3066" s="7" t="n">
        <v>0</v>
      </c>
    </row>
    <row r="3067">
      <c r="A3067" t="n">
        <v>510999</v>
      </c>
      <c r="B3067" s="6" t="n">
        <v>45983</v>
      </c>
      <c r="C3067" t="n">
        <v>15049</v>
      </c>
      <c r="D3067" t="inlineStr">
        <is>
          <t>Chandigarh</t>
        </is>
      </c>
      <c r="E3067" t="inlineStr">
        <is>
          <t>North</t>
        </is>
      </c>
      <c r="F3067" t="inlineStr">
        <is>
          <t>Organic Search</t>
        </is>
      </c>
      <c r="G3067" t="inlineStr">
        <is>
          <t>Mobile Web</t>
        </is>
      </c>
      <c r="H3067" t="inlineStr">
        <is>
          <t>UPI</t>
        </is>
      </c>
      <c r="I3067" t="inlineStr">
        <is>
          <t>Delivered</t>
        </is>
      </c>
      <c r="J3067" t="n">
        <v>112</v>
      </c>
      <c r="K3067" t="n">
        <v>1</v>
      </c>
      <c r="L3067" s="7" t="n">
        <v>1574</v>
      </c>
      <c r="M3067" s="7" t="n">
        <v>0</v>
      </c>
    </row>
    <row r="3068">
      <c r="A3068" t="n">
        <v>510999</v>
      </c>
      <c r="B3068" s="6" t="n">
        <v>45983</v>
      </c>
      <c r="C3068" t="n">
        <v>15049</v>
      </c>
      <c r="D3068" t="inlineStr">
        <is>
          <t>Chandigarh</t>
        </is>
      </c>
      <c r="E3068" t="inlineStr">
        <is>
          <t>North</t>
        </is>
      </c>
      <c r="F3068" t="inlineStr">
        <is>
          <t>Organic Search</t>
        </is>
      </c>
      <c r="G3068" t="inlineStr">
        <is>
          <t>Mobile Web</t>
        </is>
      </c>
      <c r="H3068" t="inlineStr">
        <is>
          <t>UPI</t>
        </is>
      </c>
      <c r="I3068" t="inlineStr">
        <is>
          <t>Delivered</t>
        </is>
      </c>
      <c r="J3068" t="n">
        <v>106</v>
      </c>
      <c r="K3068" t="n">
        <v>1</v>
      </c>
      <c r="L3068" s="7" t="n">
        <v>1574</v>
      </c>
      <c r="M3068" s="7" t="n">
        <v>0</v>
      </c>
    </row>
    <row r="3069">
      <c r="A3069" t="n">
        <v>511000</v>
      </c>
      <c r="B3069" s="6" t="n">
        <v>45983</v>
      </c>
      <c r="C3069" t="n">
        <v>16425</v>
      </c>
      <c r="D3069" t="inlineStr">
        <is>
          <t>Delhi</t>
        </is>
      </c>
      <c r="E3069" t="inlineStr">
        <is>
          <t>North</t>
        </is>
      </c>
      <c r="F3069" t="inlineStr">
        <is>
          <t>Organic Search</t>
        </is>
      </c>
      <c r="G3069" t="inlineStr">
        <is>
          <t>Mobile App</t>
        </is>
      </c>
      <c r="H3069" t="inlineStr">
        <is>
          <t>UPI</t>
        </is>
      </c>
      <c r="I3069" t="inlineStr">
        <is>
          <t>Delivered</t>
        </is>
      </c>
      <c r="J3069" t="n">
        <v>108</v>
      </c>
      <c r="K3069" t="n">
        <v>1</v>
      </c>
      <c r="L3069" s="7" t="n">
        <v>419</v>
      </c>
      <c r="M3069" s="7" t="n">
        <v>0</v>
      </c>
    </row>
    <row r="3070">
      <c r="A3070" t="n">
        <v>511000</v>
      </c>
      <c r="B3070" s="6" t="n">
        <v>45983</v>
      </c>
      <c r="C3070" t="n">
        <v>16425</v>
      </c>
      <c r="D3070" t="inlineStr">
        <is>
          <t>Delhi</t>
        </is>
      </c>
      <c r="E3070" t="inlineStr">
        <is>
          <t>North</t>
        </is>
      </c>
      <c r="F3070" t="inlineStr">
        <is>
          <t>Organic Search</t>
        </is>
      </c>
      <c r="G3070" t="inlineStr">
        <is>
          <t>Mobile App</t>
        </is>
      </c>
      <c r="H3070" t="inlineStr">
        <is>
          <t>UPI</t>
        </is>
      </c>
      <c r="I3070" t="inlineStr">
        <is>
          <t>Delivered</t>
        </is>
      </c>
      <c r="J3070" t="n">
        <v>124</v>
      </c>
      <c r="K3070" t="n">
        <v>1</v>
      </c>
      <c r="L3070" s="7" t="n">
        <v>1154</v>
      </c>
      <c r="M3070" s="7" t="n">
        <v>0</v>
      </c>
    </row>
    <row r="3071">
      <c r="A3071" t="n">
        <v>511001</v>
      </c>
      <c r="B3071" s="6" t="n">
        <v>45983</v>
      </c>
      <c r="C3071" t="n">
        <v>17437</v>
      </c>
      <c r="D3071" t="inlineStr">
        <is>
          <t>Chennai</t>
        </is>
      </c>
      <c r="E3071" t="inlineStr">
        <is>
          <t>South</t>
        </is>
      </c>
      <c r="F3071" t="inlineStr">
        <is>
          <t>Organic Search</t>
        </is>
      </c>
      <c r="G3071" t="inlineStr">
        <is>
          <t>Desktop</t>
        </is>
      </c>
      <c r="H3071" t="inlineStr">
        <is>
          <t>Credit Card</t>
        </is>
      </c>
      <c r="I3071" t="inlineStr">
        <is>
          <t>Delivered</t>
        </is>
      </c>
      <c r="J3071" t="n">
        <v>107</v>
      </c>
      <c r="K3071" t="n">
        <v>1</v>
      </c>
      <c r="L3071" s="7" t="n">
        <v>1259</v>
      </c>
      <c r="M3071" s="7" t="n">
        <v>0</v>
      </c>
    </row>
    <row r="3072">
      <c r="A3072" t="n">
        <v>511001</v>
      </c>
      <c r="B3072" s="6" t="n">
        <v>45983</v>
      </c>
      <c r="C3072" t="n">
        <v>17437</v>
      </c>
      <c r="D3072" t="inlineStr">
        <is>
          <t>Chennai</t>
        </is>
      </c>
      <c r="E3072" t="inlineStr">
        <is>
          <t>South</t>
        </is>
      </c>
      <c r="F3072" t="inlineStr">
        <is>
          <t>Organic Search</t>
        </is>
      </c>
      <c r="G3072" t="inlineStr">
        <is>
          <t>Desktop</t>
        </is>
      </c>
      <c r="H3072" t="inlineStr">
        <is>
          <t>Credit Card</t>
        </is>
      </c>
      <c r="I3072" t="inlineStr">
        <is>
          <t>Delivered</t>
        </is>
      </c>
      <c r="J3072" t="n">
        <v>111</v>
      </c>
      <c r="K3072" t="n">
        <v>1</v>
      </c>
      <c r="L3072" s="7" t="n">
        <v>524</v>
      </c>
      <c r="M3072" s="7" t="n">
        <v>0</v>
      </c>
    </row>
    <row r="3073">
      <c r="A3073" t="n">
        <v>511002</v>
      </c>
      <c r="B3073" s="6" t="n">
        <v>45983</v>
      </c>
      <c r="C3073" t="n">
        <v>14205</v>
      </c>
      <c r="D3073" t="inlineStr">
        <is>
          <t>Pune</t>
        </is>
      </c>
      <c r="E3073" t="inlineStr">
        <is>
          <t>West</t>
        </is>
      </c>
      <c r="F3073" t="inlineStr">
        <is>
          <t>Affiliate</t>
        </is>
      </c>
      <c r="G3073" t="inlineStr">
        <is>
          <t>Mobile Web</t>
        </is>
      </c>
      <c r="H3073" t="inlineStr">
        <is>
          <t>Credit Card</t>
        </is>
      </c>
      <c r="I3073" t="inlineStr">
        <is>
          <t>Delivered</t>
        </is>
      </c>
      <c r="J3073" t="n">
        <v>116</v>
      </c>
      <c r="K3073" t="n">
        <v>1</v>
      </c>
      <c r="L3073" s="7" t="n">
        <v>2624</v>
      </c>
      <c r="M3073" s="7" t="n">
        <v>131.2</v>
      </c>
    </row>
    <row r="3074">
      <c r="A3074" t="n">
        <v>511002</v>
      </c>
      <c r="B3074" s="6" t="n">
        <v>45983</v>
      </c>
      <c r="C3074" t="n">
        <v>14205</v>
      </c>
      <c r="D3074" t="inlineStr">
        <is>
          <t>Pune</t>
        </is>
      </c>
      <c r="E3074" t="inlineStr">
        <is>
          <t>West</t>
        </is>
      </c>
      <c r="F3074" t="inlineStr">
        <is>
          <t>Affiliate</t>
        </is>
      </c>
      <c r="G3074" t="inlineStr">
        <is>
          <t>Mobile Web</t>
        </is>
      </c>
      <c r="H3074" t="inlineStr">
        <is>
          <t>Credit Card</t>
        </is>
      </c>
      <c r="I3074" t="inlineStr">
        <is>
          <t>Delivered</t>
        </is>
      </c>
      <c r="J3074" t="n">
        <v>113</v>
      </c>
      <c r="K3074" t="n">
        <v>1</v>
      </c>
      <c r="L3074" s="7" t="n">
        <v>1364</v>
      </c>
      <c r="M3074" s="7" t="n">
        <v>68.2</v>
      </c>
    </row>
    <row r="3075">
      <c r="A3075" t="n">
        <v>511003</v>
      </c>
      <c r="B3075" s="6" t="n">
        <v>45983</v>
      </c>
      <c r="C3075" t="n">
        <v>16168</v>
      </c>
      <c r="D3075" t="inlineStr">
        <is>
          <t>Gurugram</t>
        </is>
      </c>
      <c r="E3075" t="inlineStr">
        <is>
          <t>North</t>
        </is>
      </c>
      <c r="F3075" t="inlineStr">
        <is>
          <t>Organic Search</t>
        </is>
      </c>
      <c r="G3075" t="inlineStr">
        <is>
          <t>Mobile App</t>
        </is>
      </c>
      <c r="H3075" t="inlineStr">
        <is>
          <t>UPI</t>
        </is>
      </c>
      <c r="I3075" t="inlineStr">
        <is>
          <t>Delivered</t>
        </is>
      </c>
      <c r="J3075" t="n">
        <v>110</v>
      </c>
      <c r="K3075" t="n">
        <v>1</v>
      </c>
      <c r="L3075" s="7" t="n">
        <v>839</v>
      </c>
      <c r="M3075" s="7" t="n">
        <v>0</v>
      </c>
    </row>
    <row r="3076">
      <c r="A3076" t="n">
        <v>511004</v>
      </c>
      <c r="B3076" s="6" t="n">
        <v>45983</v>
      </c>
      <c r="C3076" t="n">
        <v>17417</v>
      </c>
      <c r="D3076" t="inlineStr">
        <is>
          <t>Delhi</t>
        </is>
      </c>
      <c r="E3076" t="inlineStr">
        <is>
          <t>North</t>
        </is>
      </c>
      <c r="F3076" t="inlineStr">
        <is>
          <t>Affiliate</t>
        </is>
      </c>
      <c r="G3076" t="inlineStr">
        <is>
          <t>Mobile Web</t>
        </is>
      </c>
      <c r="H3076" t="inlineStr">
        <is>
          <t>UPI</t>
        </is>
      </c>
      <c r="I3076" t="inlineStr">
        <is>
          <t>Delivered</t>
        </is>
      </c>
      <c r="J3076" t="n">
        <v>107</v>
      </c>
      <c r="K3076" t="n">
        <v>2</v>
      </c>
      <c r="L3076" s="7" t="n">
        <v>1259</v>
      </c>
      <c r="M3076" s="7" t="n">
        <v>377.7</v>
      </c>
    </row>
    <row r="3077">
      <c r="A3077" t="n">
        <v>511005</v>
      </c>
      <c r="B3077" s="6" t="n">
        <v>45983</v>
      </c>
      <c r="C3077" t="n">
        <v>14755</v>
      </c>
      <c r="D3077" t="inlineStr">
        <is>
          <t>Bengaluru</t>
        </is>
      </c>
      <c r="E3077" t="inlineStr">
        <is>
          <t>South</t>
        </is>
      </c>
      <c r="F3077" t="inlineStr">
        <is>
          <t>Organic Search</t>
        </is>
      </c>
      <c r="G3077" t="inlineStr">
        <is>
          <t>Mobile App</t>
        </is>
      </c>
      <c r="H3077" t="inlineStr">
        <is>
          <t>Net Banking</t>
        </is>
      </c>
      <c r="I3077" t="inlineStr">
        <is>
          <t>Delivered</t>
        </is>
      </c>
      <c r="J3077" t="n">
        <v>119</v>
      </c>
      <c r="K3077" t="n">
        <v>2</v>
      </c>
      <c r="L3077" s="7" t="n">
        <v>2309</v>
      </c>
      <c r="M3077" s="7" t="n">
        <v>0</v>
      </c>
    </row>
    <row r="3078">
      <c r="A3078" t="n">
        <v>511005</v>
      </c>
      <c r="B3078" s="6" t="n">
        <v>45983</v>
      </c>
      <c r="C3078" t="n">
        <v>14755</v>
      </c>
      <c r="D3078" t="inlineStr">
        <is>
          <t>Bengaluru</t>
        </is>
      </c>
      <c r="E3078" t="inlineStr">
        <is>
          <t>South</t>
        </is>
      </c>
      <c r="F3078" t="inlineStr">
        <is>
          <t>Organic Search</t>
        </is>
      </c>
      <c r="G3078" t="inlineStr">
        <is>
          <t>Mobile App</t>
        </is>
      </c>
      <c r="H3078" t="inlineStr">
        <is>
          <t>Net Banking</t>
        </is>
      </c>
      <c r="I3078" t="inlineStr">
        <is>
          <t>Delivered</t>
        </is>
      </c>
      <c r="J3078" t="n">
        <v>116</v>
      </c>
      <c r="K3078" t="n">
        <v>1</v>
      </c>
      <c r="L3078" s="7" t="n">
        <v>2624</v>
      </c>
      <c r="M3078" s="7" t="n">
        <v>0</v>
      </c>
    </row>
    <row r="3079">
      <c r="A3079" t="n">
        <v>511006</v>
      </c>
      <c r="B3079" s="6" t="n">
        <v>45983</v>
      </c>
      <c r="C3079" t="n">
        <v>17443</v>
      </c>
      <c r="D3079" t="inlineStr">
        <is>
          <t>Chennai</t>
        </is>
      </c>
      <c r="E3079" t="inlineStr">
        <is>
          <t>South</t>
        </is>
      </c>
      <c r="F3079" t="inlineStr">
        <is>
          <t>Organic Search</t>
        </is>
      </c>
      <c r="G3079" t="inlineStr">
        <is>
          <t>Mobile Web</t>
        </is>
      </c>
      <c r="H3079" t="inlineStr">
        <is>
          <t>UPI</t>
        </is>
      </c>
      <c r="I3079" t="inlineStr">
        <is>
          <t>Delivered</t>
        </is>
      </c>
      <c r="J3079" t="n">
        <v>127</v>
      </c>
      <c r="K3079" t="n">
        <v>1</v>
      </c>
      <c r="L3079" s="7" t="n">
        <v>681</v>
      </c>
      <c r="M3079" s="7" t="n">
        <v>102.15</v>
      </c>
    </row>
    <row r="3080">
      <c r="A3080" t="n">
        <v>511006</v>
      </c>
      <c r="B3080" s="6" t="n">
        <v>45983</v>
      </c>
      <c r="C3080" t="n">
        <v>17443</v>
      </c>
      <c r="D3080" t="inlineStr">
        <is>
          <t>Chennai</t>
        </is>
      </c>
      <c r="E3080" t="inlineStr">
        <is>
          <t>South</t>
        </is>
      </c>
      <c r="F3080" t="inlineStr">
        <is>
          <t>Organic Search</t>
        </is>
      </c>
      <c r="G3080" t="inlineStr">
        <is>
          <t>Mobile Web</t>
        </is>
      </c>
      <c r="H3080" t="inlineStr">
        <is>
          <t>UPI</t>
        </is>
      </c>
      <c r="I3080" t="inlineStr">
        <is>
          <t>Delivered</t>
        </is>
      </c>
      <c r="J3080" t="n">
        <v>108</v>
      </c>
      <c r="K3080" t="n">
        <v>1</v>
      </c>
      <c r="L3080" s="7" t="n">
        <v>419</v>
      </c>
      <c r="M3080" s="7" t="n">
        <v>62.85</v>
      </c>
    </row>
    <row r="3081">
      <c r="A3081" t="n">
        <v>511007</v>
      </c>
      <c r="B3081" s="6" t="n">
        <v>45983</v>
      </c>
      <c r="C3081" t="n">
        <v>16002</v>
      </c>
      <c r="D3081" t="inlineStr">
        <is>
          <t>Bengaluru</t>
        </is>
      </c>
      <c r="E3081" t="inlineStr">
        <is>
          <t>South</t>
        </is>
      </c>
      <c r="F3081" t="inlineStr">
        <is>
          <t>Organic Search</t>
        </is>
      </c>
      <c r="G3081" t="inlineStr">
        <is>
          <t>Mobile Web</t>
        </is>
      </c>
      <c r="H3081" t="inlineStr">
        <is>
          <t>UPI</t>
        </is>
      </c>
      <c r="I3081" t="inlineStr">
        <is>
          <t>Delivered</t>
        </is>
      </c>
      <c r="J3081" t="n">
        <v>116</v>
      </c>
      <c r="K3081" t="n">
        <v>1</v>
      </c>
      <c r="L3081" s="7" t="n">
        <v>2624</v>
      </c>
      <c r="M3081" s="7" t="n">
        <v>0</v>
      </c>
    </row>
    <row r="3082">
      <c r="A3082" t="n">
        <v>511007</v>
      </c>
      <c r="B3082" s="6" t="n">
        <v>45983</v>
      </c>
      <c r="C3082" t="n">
        <v>16002</v>
      </c>
      <c r="D3082" t="inlineStr">
        <is>
          <t>Bengaluru</t>
        </is>
      </c>
      <c r="E3082" t="inlineStr">
        <is>
          <t>South</t>
        </is>
      </c>
      <c r="F3082" t="inlineStr">
        <is>
          <t>Organic Search</t>
        </is>
      </c>
      <c r="G3082" t="inlineStr">
        <is>
          <t>Mobile Web</t>
        </is>
      </c>
      <c r="H3082" t="inlineStr">
        <is>
          <t>UPI</t>
        </is>
      </c>
      <c r="I3082" t="inlineStr">
        <is>
          <t>Delivered</t>
        </is>
      </c>
      <c r="J3082" t="n">
        <v>126</v>
      </c>
      <c r="K3082" t="n">
        <v>1</v>
      </c>
      <c r="L3082" s="7" t="n">
        <v>471</v>
      </c>
      <c r="M3082" s="7" t="n">
        <v>0</v>
      </c>
    </row>
    <row r="3083">
      <c r="A3083" t="n">
        <v>511007</v>
      </c>
      <c r="B3083" s="6" t="n">
        <v>45983</v>
      </c>
      <c r="C3083" t="n">
        <v>16002</v>
      </c>
      <c r="D3083" t="inlineStr">
        <is>
          <t>Bengaluru</t>
        </is>
      </c>
      <c r="E3083" t="inlineStr">
        <is>
          <t>South</t>
        </is>
      </c>
      <c r="F3083" t="inlineStr">
        <is>
          <t>Organic Search</t>
        </is>
      </c>
      <c r="G3083" t="inlineStr">
        <is>
          <t>Mobile Web</t>
        </is>
      </c>
      <c r="H3083" t="inlineStr">
        <is>
          <t>UPI</t>
        </is>
      </c>
      <c r="I3083" t="inlineStr">
        <is>
          <t>Delivered</t>
        </is>
      </c>
      <c r="J3083" t="n">
        <v>123</v>
      </c>
      <c r="K3083" t="n">
        <v>2</v>
      </c>
      <c r="L3083" s="7" t="n">
        <v>3464</v>
      </c>
      <c r="M3083" s="7" t="n">
        <v>0</v>
      </c>
    </row>
    <row r="3084">
      <c r="A3084" t="n">
        <v>511008</v>
      </c>
      <c r="B3084" s="6" t="n">
        <v>45983</v>
      </c>
      <c r="C3084" t="n">
        <v>17446</v>
      </c>
      <c r="D3084" t="inlineStr">
        <is>
          <t>Delhi</t>
        </is>
      </c>
      <c r="E3084" t="inlineStr">
        <is>
          <t>North</t>
        </is>
      </c>
      <c r="F3084" t="inlineStr">
        <is>
          <t>Organic Search</t>
        </is>
      </c>
      <c r="G3084" t="inlineStr">
        <is>
          <t>Mobile App</t>
        </is>
      </c>
      <c r="H3084" t="inlineStr">
        <is>
          <t>Cash on Delivery</t>
        </is>
      </c>
      <c r="I3084" t="inlineStr">
        <is>
          <t>Delivered</t>
        </is>
      </c>
      <c r="J3084" t="n">
        <v>124</v>
      </c>
      <c r="K3084" t="n">
        <v>1</v>
      </c>
      <c r="L3084" s="7" t="n">
        <v>1154</v>
      </c>
      <c r="M3084" s="7" t="n">
        <v>0</v>
      </c>
    </row>
    <row r="3085">
      <c r="A3085" t="n">
        <v>511008</v>
      </c>
      <c r="B3085" s="6" t="n">
        <v>45983</v>
      </c>
      <c r="C3085" t="n">
        <v>17446</v>
      </c>
      <c r="D3085" t="inlineStr">
        <is>
          <t>Delhi</t>
        </is>
      </c>
      <c r="E3085" t="inlineStr">
        <is>
          <t>North</t>
        </is>
      </c>
      <c r="F3085" t="inlineStr">
        <is>
          <t>Organic Search</t>
        </is>
      </c>
      <c r="G3085" t="inlineStr">
        <is>
          <t>Mobile App</t>
        </is>
      </c>
      <c r="H3085" t="inlineStr">
        <is>
          <t>Cash on Delivery</t>
        </is>
      </c>
      <c r="I3085" t="inlineStr">
        <is>
          <t>Delivered</t>
        </is>
      </c>
      <c r="J3085" t="n">
        <v>121</v>
      </c>
      <c r="K3085" t="n">
        <v>1</v>
      </c>
      <c r="L3085" s="7" t="n">
        <v>2939</v>
      </c>
      <c r="M3085" s="7" t="n">
        <v>0</v>
      </c>
    </row>
    <row r="3086">
      <c r="A3086" t="n">
        <v>511009</v>
      </c>
      <c r="B3086" s="6" t="n">
        <v>45983</v>
      </c>
      <c r="C3086" t="n">
        <v>17414</v>
      </c>
      <c r="D3086" t="inlineStr">
        <is>
          <t>Gurugram</t>
        </is>
      </c>
      <c r="E3086" t="inlineStr">
        <is>
          <t>North</t>
        </is>
      </c>
      <c r="F3086" t="inlineStr">
        <is>
          <t>Affiliate</t>
        </is>
      </c>
      <c r="G3086" t="inlineStr">
        <is>
          <t>Mobile Web</t>
        </is>
      </c>
      <c r="H3086" t="inlineStr">
        <is>
          <t>Cash on Delivery</t>
        </is>
      </c>
      <c r="I3086" t="inlineStr">
        <is>
          <t>Delivered</t>
        </is>
      </c>
      <c r="J3086" t="n">
        <v>113</v>
      </c>
      <c r="K3086" t="n">
        <v>1</v>
      </c>
      <c r="L3086" s="7" t="n">
        <v>1364</v>
      </c>
      <c r="M3086" s="7" t="n">
        <v>0</v>
      </c>
    </row>
    <row r="3087">
      <c r="A3087" t="n">
        <v>511010</v>
      </c>
      <c r="B3087" s="6" t="n">
        <v>45983</v>
      </c>
      <c r="C3087" t="n">
        <v>17442</v>
      </c>
      <c r="D3087" t="inlineStr">
        <is>
          <t>Kolkata</t>
        </is>
      </c>
      <c r="E3087" t="inlineStr">
        <is>
          <t>East</t>
        </is>
      </c>
      <c r="F3087" t="inlineStr">
        <is>
          <t>Paid Social</t>
        </is>
      </c>
      <c r="G3087" t="inlineStr">
        <is>
          <t>Mobile Web</t>
        </is>
      </c>
      <c r="H3087" t="inlineStr">
        <is>
          <t>UPI</t>
        </is>
      </c>
      <c r="I3087" t="inlineStr">
        <is>
          <t>Delivered</t>
        </is>
      </c>
      <c r="J3087" t="n">
        <v>102</v>
      </c>
      <c r="K3087" t="n">
        <v>1</v>
      </c>
      <c r="L3087" s="7" t="n">
        <v>3674</v>
      </c>
      <c r="M3087" s="7" t="n">
        <v>551.1</v>
      </c>
    </row>
    <row r="3088">
      <c r="A3088" t="n">
        <v>511010</v>
      </c>
      <c r="B3088" s="6" t="n">
        <v>45983</v>
      </c>
      <c r="C3088" t="n">
        <v>17442</v>
      </c>
      <c r="D3088" t="inlineStr">
        <is>
          <t>Kolkata</t>
        </is>
      </c>
      <c r="E3088" t="inlineStr">
        <is>
          <t>East</t>
        </is>
      </c>
      <c r="F3088" t="inlineStr">
        <is>
          <t>Paid Social</t>
        </is>
      </c>
      <c r="G3088" t="inlineStr">
        <is>
          <t>Mobile Web</t>
        </is>
      </c>
      <c r="H3088" t="inlineStr">
        <is>
          <t>UPI</t>
        </is>
      </c>
      <c r="I3088" t="inlineStr">
        <is>
          <t>Delivered</t>
        </is>
      </c>
      <c r="J3088" t="n">
        <v>107</v>
      </c>
      <c r="K3088" t="n">
        <v>1</v>
      </c>
      <c r="L3088" s="7" t="n">
        <v>1259</v>
      </c>
      <c r="M3088" s="7" t="n">
        <v>188.85</v>
      </c>
    </row>
    <row r="3089">
      <c r="A3089" t="n">
        <v>511011</v>
      </c>
      <c r="B3089" s="6" t="n">
        <v>45983</v>
      </c>
      <c r="C3089" t="n">
        <v>16434</v>
      </c>
      <c r="D3089" t="inlineStr">
        <is>
          <t>Pune</t>
        </is>
      </c>
      <c r="E3089" t="inlineStr">
        <is>
          <t>West</t>
        </is>
      </c>
      <c r="F3089" t="inlineStr">
        <is>
          <t>Referral</t>
        </is>
      </c>
      <c r="G3089" t="inlineStr">
        <is>
          <t>Desktop</t>
        </is>
      </c>
      <c r="H3089" t="inlineStr">
        <is>
          <t>Credit Card</t>
        </is>
      </c>
      <c r="I3089" t="inlineStr">
        <is>
          <t>Delivered</t>
        </is>
      </c>
      <c r="J3089" t="n">
        <v>111</v>
      </c>
      <c r="K3089" t="n">
        <v>1</v>
      </c>
      <c r="L3089" s="7" t="n">
        <v>524</v>
      </c>
      <c r="M3089" s="7" t="n">
        <v>0</v>
      </c>
    </row>
    <row r="3090">
      <c r="A3090" t="n">
        <v>511011</v>
      </c>
      <c r="B3090" s="6" t="n">
        <v>45983</v>
      </c>
      <c r="C3090" t="n">
        <v>16434</v>
      </c>
      <c r="D3090" t="inlineStr">
        <is>
          <t>Pune</t>
        </is>
      </c>
      <c r="E3090" t="inlineStr">
        <is>
          <t>West</t>
        </is>
      </c>
      <c r="F3090" t="inlineStr">
        <is>
          <t>Referral</t>
        </is>
      </c>
      <c r="G3090" t="inlineStr">
        <is>
          <t>Desktop</t>
        </is>
      </c>
      <c r="H3090" t="inlineStr">
        <is>
          <t>Credit Card</t>
        </is>
      </c>
      <c r="I3090" t="inlineStr">
        <is>
          <t>Delivered</t>
        </is>
      </c>
      <c r="J3090" t="n">
        <v>140</v>
      </c>
      <c r="K3090" t="n">
        <v>1</v>
      </c>
      <c r="L3090" s="7" t="n">
        <v>629</v>
      </c>
      <c r="M3090" s="7" t="n">
        <v>0</v>
      </c>
    </row>
    <row r="3091">
      <c r="A3091" t="n">
        <v>511012</v>
      </c>
      <c r="B3091" s="6" t="n">
        <v>45983</v>
      </c>
      <c r="C3091" t="n">
        <v>16703</v>
      </c>
      <c r="D3091" t="inlineStr">
        <is>
          <t>Kochi</t>
        </is>
      </c>
      <c r="E3091" t="inlineStr">
        <is>
          <t>South</t>
        </is>
      </c>
      <c r="F3091" t="inlineStr">
        <is>
          <t>Organic Search</t>
        </is>
      </c>
      <c r="G3091" t="inlineStr">
        <is>
          <t>Mobile App</t>
        </is>
      </c>
      <c r="H3091" t="inlineStr">
        <is>
          <t>Cash on Delivery</t>
        </is>
      </c>
      <c r="I3091" t="inlineStr">
        <is>
          <t>Delivered</t>
        </is>
      </c>
      <c r="J3091" t="n">
        <v>111</v>
      </c>
      <c r="K3091" t="n">
        <v>1</v>
      </c>
      <c r="L3091" s="7" t="n">
        <v>524</v>
      </c>
      <c r="M3091" s="7" t="n">
        <v>0</v>
      </c>
    </row>
    <row r="3092">
      <c r="A3092" t="n">
        <v>511012</v>
      </c>
      <c r="B3092" s="6" t="n">
        <v>45983</v>
      </c>
      <c r="C3092" t="n">
        <v>16703</v>
      </c>
      <c r="D3092" t="inlineStr">
        <is>
          <t>Kochi</t>
        </is>
      </c>
      <c r="E3092" t="inlineStr">
        <is>
          <t>South</t>
        </is>
      </c>
      <c r="F3092" t="inlineStr">
        <is>
          <t>Organic Search</t>
        </is>
      </c>
      <c r="G3092" t="inlineStr">
        <is>
          <t>Mobile App</t>
        </is>
      </c>
      <c r="H3092" t="inlineStr">
        <is>
          <t>Cash on Delivery</t>
        </is>
      </c>
      <c r="I3092" t="inlineStr">
        <is>
          <t>Delivered</t>
        </is>
      </c>
      <c r="J3092" t="n">
        <v>125</v>
      </c>
      <c r="K3092" t="n">
        <v>1</v>
      </c>
      <c r="L3092" s="7" t="n">
        <v>1364</v>
      </c>
      <c r="M3092" s="7" t="n">
        <v>0</v>
      </c>
    </row>
    <row r="3093">
      <c r="A3093" t="n">
        <v>511013</v>
      </c>
      <c r="B3093" s="6" t="n">
        <v>45983</v>
      </c>
      <c r="C3093" t="n">
        <v>16015</v>
      </c>
      <c r="D3093" t="inlineStr">
        <is>
          <t>Hyderabad</t>
        </is>
      </c>
      <c r="E3093" t="inlineStr">
        <is>
          <t>South</t>
        </is>
      </c>
      <c r="F3093" t="inlineStr">
        <is>
          <t>Paid Social</t>
        </is>
      </c>
      <c r="G3093" t="inlineStr">
        <is>
          <t>Desktop</t>
        </is>
      </c>
      <c r="H3093" t="inlineStr">
        <is>
          <t>UPI</t>
        </is>
      </c>
      <c r="I3093" t="inlineStr">
        <is>
          <t>Delivered</t>
        </is>
      </c>
      <c r="J3093" t="n">
        <v>146</v>
      </c>
      <c r="K3093" t="n">
        <v>1</v>
      </c>
      <c r="L3093" s="7" t="n">
        <v>4724</v>
      </c>
      <c r="M3093" s="7" t="n">
        <v>0</v>
      </c>
    </row>
    <row r="3094">
      <c r="A3094" t="n">
        <v>511013</v>
      </c>
      <c r="B3094" s="6" t="n">
        <v>45983</v>
      </c>
      <c r="C3094" t="n">
        <v>16015</v>
      </c>
      <c r="D3094" t="inlineStr">
        <is>
          <t>Hyderabad</t>
        </is>
      </c>
      <c r="E3094" t="inlineStr">
        <is>
          <t>South</t>
        </is>
      </c>
      <c r="F3094" t="inlineStr">
        <is>
          <t>Paid Social</t>
        </is>
      </c>
      <c r="G3094" t="inlineStr">
        <is>
          <t>Desktop</t>
        </is>
      </c>
      <c r="H3094" t="inlineStr">
        <is>
          <t>UPI</t>
        </is>
      </c>
      <c r="I3094" t="inlineStr">
        <is>
          <t>Delivered</t>
        </is>
      </c>
      <c r="J3094" t="n">
        <v>107</v>
      </c>
      <c r="K3094" t="n">
        <v>1</v>
      </c>
      <c r="L3094" s="7" t="n">
        <v>1259</v>
      </c>
      <c r="M3094" s="7" t="n">
        <v>0</v>
      </c>
    </row>
    <row r="3095">
      <c r="A3095" t="n">
        <v>511014</v>
      </c>
      <c r="B3095" s="6" t="n">
        <v>45983</v>
      </c>
      <c r="C3095" t="n">
        <v>17445</v>
      </c>
      <c r="D3095" t="inlineStr">
        <is>
          <t>Noida</t>
        </is>
      </c>
      <c r="E3095" t="inlineStr">
        <is>
          <t>North</t>
        </is>
      </c>
      <c r="F3095" t="inlineStr">
        <is>
          <t>Organic Search</t>
        </is>
      </c>
      <c r="G3095" t="inlineStr">
        <is>
          <t>Desktop</t>
        </is>
      </c>
      <c r="H3095" t="inlineStr">
        <is>
          <t>Debit Card</t>
        </is>
      </c>
      <c r="I3095" t="inlineStr">
        <is>
          <t>Delivered</t>
        </is>
      </c>
      <c r="J3095" t="n">
        <v>109</v>
      </c>
      <c r="K3095" t="n">
        <v>1</v>
      </c>
      <c r="L3095" s="7" t="n">
        <v>4199</v>
      </c>
      <c r="M3095" s="7" t="n">
        <v>0</v>
      </c>
    </row>
    <row r="3096">
      <c r="A3096" t="n">
        <v>511015</v>
      </c>
      <c r="B3096" s="6" t="n">
        <v>45983</v>
      </c>
      <c r="C3096" t="n">
        <v>14896</v>
      </c>
      <c r="D3096" t="inlineStr">
        <is>
          <t>Bengaluru</t>
        </is>
      </c>
      <c r="E3096" t="inlineStr">
        <is>
          <t>South</t>
        </is>
      </c>
      <c r="F3096" t="inlineStr">
        <is>
          <t>Organic Search</t>
        </is>
      </c>
      <c r="G3096" t="inlineStr">
        <is>
          <t>Desktop</t>
        </is>
      </c>
      <c r="H3096" t="inlineStr">
        <is>
          <t>Debit Card</t>
        </is>
      </c>
      <c r="I3096" t="inlineStr">
        <is>
          <t>Delivered</t>
        </is>
      </c>
      <c r="J3096" t="n">
        <v>144</v>
      </c>
      <c r="K3096" t="n">
        <v>2</v>
      </c>
      <c r="L3096" s="7" t="n">
        <v>3149</v>
      </c>
      <c r="M3096" s="7" t="n">
        <v>0</v>
      </c>
    </row>
    <row r="3097">
      <c r="A3097" t="n">
        <v>511016</v>
      </c>
      <c r="B3097" s="6" t="n">
        <v>45984</v>
      </c>
      <c r="C3097" t="n">
        <v>17459</v>
      </c>
      <c r="D3097" t="inlineStr">
        <is>
          <t>Kolkata</t>
        </is>
      </c>
      <c r="E3097" t="inlineStr">
        <is>
          <t>East</t>
        </is>
      </c>
      <c r="F3097" t="inlineStr">
        <is>
          <t>Paid Social</t>
        </is>
      </c>
      <c r="G3097" t="inlineStr">
        <is>
          <t>Desktop</t>
        </is>
      </c>
      <c r="H3097" t="inlineStr">
        <is>
          <t>UPI</t>
        </is>
      </c>
      <c r="I3097" t="inlineStr">
        <is>
          <t>Delivered</t>
        </is>
      </c>
      <c r="J3097" t="n">
        <v>117</v>
      </c>
      <c r="K3097" t="n">
        <v>1</v>
      </c>
      <c r="L3097" s="7" t="n">
        <v>3149</v>
      </c>
      <c r="M3097" s="7" t="n">
        <v>472.35</v>
      </c>
    </row>
    <row r="3098">
      <c r="A3098" t="n">
        <v>511017</v>
      </c>
      <c r="B3098" s="6" t="n">
        <v>45984</v>
      </c>
      <c r="C3098" t="n">
        <v>16916</v>
      </c>
      <c r="D3098" t="inlineStr">
        <is>
          <t>Delhi</t>
        </is>
      </c>
      <c r="E3098" t="inlineStr">
        <is>
          <t>North</t>
        </is>
      </c>
      <c r="F3098" t="inlineStr">
        <is>
          <t>Affiliate</t>
        </is>
      </c>
      <c r="G3098" t="inlineStr">
        <is>
          <t>Mobile App</t>
        </is>
      </c>
      <c r="H3098" t="inlineStr">
        <is>
          <t>Debit Card</t>
        </is>
      </c>
      <c r="I3098" t="inlineStr">
        <is>
          <t>Returned</t>
        </is>
      </c>
      <c r="J3098" t="n">
        <v>117</v>
      </c>
      <c r="K3098" t="n">
        <v>1</v>
      </c>
      <c r="L3098" s="7" t="n">
        <v>3149</v>
      </c>
      <c r="M3098" s="7" t="n">
        <v>0</v>
      </c>
    </row>
    <row r="3099">
      <c r="A3099" t="n">
        <v>511018</v>
      </c>
      <c r="B3099" s="6" t="n">
        <v>45984</v>
      </c>
      <c r="C3099" t="n">
        <v>15157</v>
      </c>
      <c r="D3099" t="inlineStr">
        <is>
          <t>Hyderabad</t>
        </is>
      </c>
      <c r="E3099" t="inlineStr">
        <is>
          <t>South</t>
        </is>
      </c>
      <c r="F3099" t="inlineStr">
        <is>
          <t>Referral</t>
        </is>
      </c>
      <c r="G3099" t="inlineStr">
        <is>
          <t>Mobile App</t>
        </is>
      </c>
      <c r="H3099" t="inlineStr">
        <is>
          <t>UPI</t>
        </is>
      </c>
      <c r="I3099" t="inlineStr">
        <is>
          <t>Delivered</t>
        </is>
      </c>
      <c r="J3099" t="n">
        <v>147</v>
      </c>
      <c r="K3099" t="n">
        <v>1</v>
      </c>
      <c r="L3099" s="7" t="n">
        <v>1364</v>
      </c>
      <c r="M3099" s="7" t="n">
        <v>68.2</v>
      </c>
    </row>
    <row r="3100">
      <c r="A3100" t="n">
        <v>511018</v>
      </c>
      <c r="B3100" s="6" t="n">
        <v>45984</v>
      </c>
      <c r="C3100" t="n">
        <v>15157</v>
      </c>
      <c r="D3100" t="inlineStr">
        <is>
          <t>Hyderabad</t>
        </is>
      </c>
      <c r="E3100" t="inlineStr">
        <is>
          <t>South</t>
        </is>
      </c>
      <c r="F3100" t="inlineStr">
        <is>
          <t>Referral</t>
        </is>
      </c>
      <c r="G3100" t="inlineStr">
        <is>
          <t>Mobile App</t>
        </is>
      </c>
      <c r="H3100" t="inlineStr">
        <is>
          <t>UPI</t>
        </is>
      </c>
      <c r="I3100" t="inlineStr">
        <is>
          <t>Delivered</t>
        </is>
      </c>
      <c r="J3100" t="n">
        <v>141</v>
      </c>
      <c r="K3100" t="n">
        <v>1</v>
      </c>
      <c r="L3100" s="7" t="n">
        <v>261</v>
      </c>
      <c r="M3100" s="7" t="n">
        <v>13.05</v>
      </c>
    </row>
    <row r="3101">
      <c r="A3101" t="n">
        <v>511019</v>
      </c>
      <c r="B3101" s="6" t="n">
        <v>45984</v>
      </c>
      <c r="C3101" t="n">
        <v>17368</v>
      </c>
      <c r="D3101" t="inlineStr">
        <is>
          <t>Bengaluru</t>
        </is>
      </c>
      <c r="E3101" t="inlineStr">
        <is>
          <t>South</t>
        </is>
      </c>
      <c r="F3101" t="inlineStr">
        <is>
          <t>Paid Search</t>
        </is>
      </c>
      <c r="G3101" t="inlineStr">
        <is>
          <t>Desktop</t>
        </is>
      </c>
      <c r="H3101" t="inlineStr">
        <is>
          <t>Debit Card</t>
        </is>
      </c>
      <c r="I3101" t="inlineStr">
        <is>
          <t>Delivered</t>
        </is>
      </c>
      <c r="J3101" t="n">
        <v>109</v>
      </c>
      <c r="K3101" t="n">
        <v>1</v>
      </c>
      <c r="L3101" s="7" t="n">
        <v>4199</v>
      </c>
      <c r="M3101" s="7" t="n">
        <v>629.85</v>
      </c>
    </row>
    <row r="3102">
      <c r="A3102" t="n">
        <v>511020</v>
      </c>
      <c r="B3102" s="6" t="n">
        <v>45984</v>
      </c>
      <c r="C3102" t="n">
        <v>17434</v>
      </c>
      <c r="D3102" t="inlineStr">
        <is>
          <t>Gurugram</t>
        </is>
      </c>
      <c r="E3102" t="inlineStr">
        <is>
          <t>North</t>
        </is>
      </c>
      <c r="F3102" t="inlineStr">
        <is>
          <t>Email</t>
        </is>
      </c>
      <c r="G3102" t="inlineStr">
        <is>
          <t>Mobile App</t>
        </is>
      </c>
      <c r="H3102" t="inlineStr">
        <is>
          <t>UPI</t>
        </is>
      </c>
      <c r="I3102" t="inlineStr">
        <is>
          <t>Delivered</t>
        </is>
      </c>
      <c r="J3102" t="n">
        <v>137</v>
      </c>
      <c r="K3102" t="n">
        <v>1</v>
      </c>
      <c r="L3102" s="7" t="n">
        <v>261</v>
      </c>
      <c r="M3102" s="7" t="n">
        <v>0</v>
      </c>
    </row>
    <row r="3103">
      <c r="A3103" t="n">
        <v>511021</v>
      </c>
      <c r="B3103" s="6" t="n">
        <v>45984</v>
      </c>
      <c r="C3103" t="n">
        <v>17461</v>
      </c>
      <c r="D3103" t="inlineStr">
        <is>
          <t>Chennai</t>
        </is>
      </c>
      <c r="E3103" t="inlineStr">
        <is>
          <t>South</t>
        </is>
      </c>
      <c r="F3103" t="inlineStr">
        <is>
          <t>Paid Search</t>
        </is>
      </c>
      <c r="G3103" t="inlineStr">
        <is>
          <t>Mobile App</t>
        </is>
      </c>
      <c r="H3103" t="inlineStr">
        <is>
          <t>UPI</t>
        </is>
      </c>
      <c r="I3103" t="inlineStr">
        <is>
          <t>Delivered</t>
        </is>
      </c>
      <c r="J3103" t="n">
        <v>112</v>
      </c>
      <c r="K3103" t="n">
        <v>2</v>
      </c>
      <c r="L3103" s="7" t="n">
        <v>1574</v>
      </c>
      <c r="M3103" s="7" t="n">
        <v>472.2</v>
      </c>
    </row>
    <row r="3104">
      <c r="A3104" t="n">
        <v>511022</v>
      </c>
      <c r="B3104" s="6" t="n">
        <v>45984</v>
      </c>
      <c r="C3104" t="n">
        <v>16470</v>
      </c>
      <c r="D3104" t="inlineStr">
        <is>
          <t>Pune</t>
        </is>
      </c>
      <c r="E3104" t="inlineStr">
        <is>
          <t>West</t>
        </is>
      </c>
      <c r="F3104" t="inlineStr">
        <is>
          <t>Referral</t>
        </is>
      </c>
      <c r="G3104" t="inlineStr">
        <is>
          <t>Mobile Web</t>
        </is>
      </c>
      <c r="H3104" t="inlineStr">
        <is>
          <t>Debit Card</t>
        </is>
      </c>
      <c r="I3104" t="inlineStr">
        <is>
          <t>Delivered</t>
        </is>
      </c>
      <c r="J3104" t="n">
        <v>136</v>
      </c>
      <c r="K3104" t="n">
        <v>1</v>
      </c>
      <c r="L3104" s="7" t="n">
        <v>944</v>
      </c>
      <c r="M3104" s="7" t="n">
        <v>0</v>
      </c>
    </row>
    <row r="3105">
      <c r="A3105" t="n">
        <v>511022</v>
      </c>
      <c r="B3105" s="6" t="n">
        <v>45984</v>
      </c>
      <c r="C3105" t="n">
        <v>16470</v>
      </c>
      <c r="D3105" t="inlineStr">
        <is>
          <t>Pune</t>
        </is>
      </c>
      <c r="E3105" t="inlineStr">
        <is>
          <t>West</t>
        </is>
      </c>
      <c r="F3105" t="inlineStr">
        <is>
          <t>Referral</t>
        </is>
      </c>
      <c r="G3105" t="inlineStr">
        <is>
          <t>Mobile Web</t>
        </is>
      </c>
      <c r="H3105" t="inlineStr">
        <is>
          <t>Debit Card</t>
        </is>
      </c>
      <c r="I3105" t="inlineStr">
        <is>
          <t>Delivered</t>
        </is>
      </c>
      <c r="J3105" t="n">
        <v>141</v>
      </c>
      <c r="K3105" t="n">
        <v>3</v>
      </c>
      <c r="L3105" s="7" t="n">
        <v>261</v>
      </c>
      <c r="M3105" s="7" t="n">
        <v>0</v>
      </c>
    </row>
    <row r="3106">
      <c r="A3106" t="n">
        <v>511023</v>
      </c>
      <c r="B3106" s="6" t="n">
        <v>45984</v>
      </c>
      <c r="C3106" t="n">
        <v>17473</v>
      </c>
      <c r="D3106" t="inlineStr">
        <is>
          <t>Indore</t>
        </is>
      </c>
      <c r="E3106" t="inlineStr">
        <is>
          <t>West</t>
        </is>
      </c>
      <c r="F3106" t="inlineStr">
        <is>
          <t>Paid Social</t>
        </is>
      </c>
      <c r="G3106" t="inlineStr">
        <is>
          <t>Mobile App</t>
        </is>
      </c>
      <c r="H3106" t="inlineStr">
        <is>
          <t>UPI</t>
        </is>
      </c>
      <c r="I3106" t="inlineStr">
        <is>
          <t>Delivered</t>
        </is>
      </c>
      <c r="J3106" t="n">
        <v>105</v>
      </c>
      <c r="K3106" t="n">
        <v>1</v>
      </c>
      <c r="L3106" s="7" t="n">
        <v>2414</v>
      </c>
      <c r="M3106" s="7" t="n">
        <v>362.1</v>
      </c>
    </row>
    <row r="3107">
      <c r="A3107" t="n">
        <v>511023</v>
      </c>
      <c r="B3107" s="6" t="n">
        <v>45984</v>
      </c>
      <c r="C3107" t="n">
        <v>17473</v>
      </c>
      <c r="D3107" t="inlineStr">
        <is>
          <t>Indore</t>
        </is>
      </c>
      <c r="E3107" t="inlineStr">
        <is>
          <t>West</t>
        </is>
      </c>
      <c r="F3107" t="inlineStr">
        <is>
          <t>Paid Social</t>
        </is>
      </c>
      <c r="G3107" t="inlineStr">
        <is>
          <t>Mobile App</t>
        </is>
      </c>
      <c r="H3107" t="inlineStr">
        <is>
          <t>UPI</t>
        </is>
      </c>
      <c r="I3107" t="inlineStr">
        <is>
          <t>Delivered</t>
        </is>
      </c>
      <c r="J3107" t="n">
        <v>137</v>
      </c>
      <c r="K3107" t="n">
        <v>3</v>
      </c>
      <c r="L3107" s="7" t="n">
        <v>261</v>
      </c>
      <c r="M3107" s="7" t="n">
        <v>117.45</v>
      </c>
    </row>
    <row r="3108">
      <c r="A3108" t="n">
        <v>511023</v>
      </c>
      <c r="B3108" s="6" t="n">
        <v>45984</v>
      </c>
      <c r="C3108" t="n">
        <v>17473</v>
      </c>
      <c r="D3108" t="inlineStr">
        <is>
          <t>Indore</t>
        </is>
      </c>
      <c r="E3108" t="inlineStr">
        <is>
          <t>West</t>
        </is>
      </c>
      <c r="F3108" t="inlineStr">
        <is>
          <t>Paid Social</t>
        </is>
      </c>
      <c r="G3108" t="inlineStr">
        <is>
          <t>Mobile App</t>
        </is>
      </c>
      <c r="H3108" t="inlineStr">
        <is>
          <t>UPI</t>
        </is>
      </c>
      <c r="I3108" t="inlineStr">
        <is>
          <t>Delivered</t>
        </is>
      </c>
      <c r="J3108" t="n">
        <v>103</v>
      </c>
      <c r="K3108" t="n">
        <v>1</v>
      </c>
      <c r="L3108" s="7" t="n">
        <v>2624</v>
      </c>
      <c r="M3108" s="7" t="n">
        <v>393.6</v>
      </c>
    </row>
    <row r="3109">
      <c r="A3109" t="n">
        <v>511024</v>
      </c>
      <c r="B3109" s="6" t="n">
        <v>45984</v>
      </c>
      <c r="C3109" t="n">
        <v>15960</v>
      </c>
      <c r="D3109" t="inlineStr">
        <is>
          <t>Delhi</t>
        </is>
      </c>
      <c r="E3109" t="inlineStr">
        <is>
          <t>North</t>
        </is>
      </c>
      <c r="F3109" t="inlineStr">
        <is>
          <t>Paid Search</t>
        </is>
      </c>
      <c r="G3109" t="inlineStr">
        <is>
          <t>Desktop</t>
        </is>
      </c>
      <c r="H3109" t="inlineStr">
        <is>
          <t>UPI</t>
        </is>
      </c>
      <c r="I3109" t="inlineStr">
        <is>
          <t>Delivered</t>
        </is>
      </c>
      <c r="J3109" t="n">
        <v>120</v>
      </c>
      <c r="K3109" t="n">
        <v>1</v>
      </c>
      <c r="L3109" s="7" t="n">
        <v>734</v>
      </c>
      <c r="M3109" s="7" t="n">
        <v>0</v>
      </c>
    </row>
    <row r="3110">
      <c r="A3110" t="n">
        <v>511025</v>
      </c>
      <c r="B3110" s="6" t="n">
        <v>45984</v>
      </c>
      <c r="C3110" t="n">
        <v>16616</v>
      </c>
      <c r="D3110" t="inlineStr">
        <is>
          <t>Lucknow</t>
        </is>
      </c>
      <c r="E3110" t="inlineStr">
        <is>
          <t>North</t>
        </is>
      </c>
      <c r="F3110" t="inlineStr">
        <is>
          <t>Paid Social</t>
        </is>
      </c>
      <c r="G3110" t="inlineStr">
        <is>
          <t>Mobile Web</t>
        </is>
      </c>
      <c r="H3110" t="inlineStr">
        <is>
          <t>Debit Card</t>
        </is>
      </c>
      <c r="I3110" t="inlineStr">
        <is>
          <t>Returned</t>
        </is>
      </c>
      <c r="J3110" t="n">
        <v>111</v>
      </c>
      <c r="K3110" t="n">
        <v>1</v>
      </c>
      <c r="L3110" s="7" t="n">
        <v>524</v>
      </c>
      <c r="M3110" s="7" t="n">
        <v>0</v>
      </c>
    </row>
    <row r="3111">
      <c r="A3111" t="n">
        <v>511026</v>
      </c>
      <c r="B3111" s="6" t="n">
        <v>45984</v>
      </c>
      <c r="C3111" t="n">
        <v>17393</v>
      </c>
      <c r="D3111" t="inlineStr">
        <is>
          <t>Lucknow</t>
        </is>
      </c>
      <c r="E3111" t="inlineStr">
        <is>
          <t>North</t>
        </is>
      </c>
      <c r="F3111" t="inlineStr">
        <is>
          <t>Affiliate</t>
        </is>
      </c>
      <c r="G3111" t="inlineStr">
        <is>
          <t>Mobile App</t>
        </is>
      </c>
      <c r="H3111" t="inlineStr">
        <is>
          <t>Credit Card</t>
        </is>
      </c>
      <c r="I3111" t="inlineStr">
        <is>
          <t>Delivered</t>
        </is>
      </c>
      <c r="J3111" t="n">
        <v>138</v>
      </c>
      <c r="K3111" t="n">
        <v>1</v>
      </c>
      <c r="L3111" s="7" t="n">
        <v>419</v>
      </c>
      <c r="M3111" s="7" t="n">
        <v>0</v>
      </c>
    </row>
    <row r="3112">
      <c r="A3112" t="n">
        <v>511026</v>
      </c>
      <c r="B3112" s="6" t="n">
        <v>45984</v>
      </c>
      <c r="C3112" t="n">
        <v>17393</v>
      </c>
      <c r="D3112" t="inlineStr">
        <is>
          <t>Lucknow</t>
        </is>
      </c>
      <c r="E3112" t="inlineStr">
        <is>
          <t>North</t>
        </is>
      </c>
      <c r="F3112" t="inlineStr">
        <is>
          <t>Affiliate</t>
        </is>
      </c>
      <c r="G3112" t="inlineStr">
        <is>
          <t>Mobile App</t>
        </is>
      </c>
      <c r="H3112" t="inlineStr">
        <is>
          <t>Credit Card</t>
        </is>
      </c>
      <c r="I3112" t="inlineStr">
        <is>
          <t>Delivered</t>
        </is>
      </c>
      <c r="J3112" t="n">
        <v>127</v>
      </c>
      <c r="K3112" t="n">
        <v>1</v>
      </c>
      <c r="L3112" s="7" t="n">
        <v>681</v>
      </c>
      <c r="M3112" s="7" t="n">
        <v>0</v>
      </c>
    </row>
    <row r="3113">
      <c r="A3113" t="n">
        <v>511027</v>
      </c>
      <c r="B3113" s="6" t="n">
        <v>45984</v>
      </c>
      <c r="C3113" t="n">
        <v>15801</v>
      </c>
      <c r="D3113" t="inlineStr">
        <is>
          <t>Jaipur</t>
        </is>
      </c>
      <c r="E3113" t="inlineStr">
        <is>
          <t>North</t>
        </is>
      </c>
      <c r="F3113" t="inlineStr">
        <is>
          <t>Referral</t>
        </is>
      </c>
      <c r="G3113" t="inlineStr">
        <is>
          <t>Mobile App</t>
        </is>
      </c>
      <c r="H3113" t="inlineStr">
        <is>
          <t>Cash on Delivery</t>
        </is>
      </c>
      <c r="I3113" t="inlineStr">
        <is>
          <t>Delivered</t>
        </is>
      </c>
      <c r="J3113" t="n">
        <v>138</v>
      </c>
      <c r="K3113" t="n">
        <v>1</v>
      </c>
      <c r="L3113" s="7" t="n">
        <v>419</v>
      </c>
      <c r="M3113" s="7" t="n">
        <v>0</v>
      </c>
    </row>
    <row r="3114">
      <c r="A3114" t="n">
        <v>511027</v>
      </c>
      <c r="B3114" s="6" t="n">
        <v>45984</v>
      </c>
      <c r="C3114" t="n">
        <v>15801</v>
      </c>
      <c r="D3114" t="inlineStr">
        <is>
          <t>Jaipur</t>
        </is>
      </c>
      <c r="E3114" t="inlineStr">
        <is>
          <t>North</t>
        </is>
      </c>
      <c r="F3114" t="inlineStr">
        <is>
          <t>Referral</t>
        </is>
      </c>
      <c r="G3114" t="inlineStr">
        <is>
          <t>Mobile App</t>
        </is>
      </c>
      <c r="H3114" t="inlineStr">
        <is>
          <t>Cash on Delivery</t>
        </is>
      </c>
      <c r="I3114" t="inlineStr">
        <is>
          <t>Delivered</t>
        </is>
      </c>
      <c r="J3114" t="n">
        <v>120</v>
      </c>
      <c r="K3114" t="n">
        <v>1</v>
      </c>
      <c r="L3114" s="7" t="n">
        <v>734</v>
      </c>
      <c r="M3114" s="7" t="n">
        <v>0</v>
      </c>
    </row>
    <row r="3115">
      <c r="A3115" t="n">
        <v>511028</v>
      </c>
      <c r="B3115" s="6" t="n">
        <v>45984</v>
      </c>
      <c r="C3115" t="n">
        <v>17382</v>
      </c>
      <c r="D3115" t="inlineStr">
        <is>
          <t>Kochi</t>
        </is>
      </c>
      <c r="E3115" t="inlineStr">
        <is>
          <t>South</t>
        </is>
      </c>
      <c r="F3115" t="inlineStr">
        <is>
          <t>Paid Search</t>
        </is>
      </c>
      <c r="G3115" t="inlineStr">
        <is>
          <t>Mobile Web</t>
        </is>
      </c>
      <c r="H3115" t="inlineStr">
        <is>
          <t>Credit Card</t>
        </is>
      </c>
      <c r="I3115" t="inlineStr">
        <is>
          <t>Delivered</t>
        </is>
      </c>
      <c r="J3115" t="n">
        <v>125</v>
      </c>
      <c r="K3115" t="n">
        <v>1</v>
      </c>
      <c r="L3115" s="7" t="n">
        <v>1364</v>
      </c>
      <c r="M3115" s="7" t="n">
        <v>204.6</v>
      </c>
    </row>
    <row r="3116">
      <c r="A3116" t="n">
        <v>511029</v>
      </c>
      <c r="B3116" s="6" t="n">
        <v>45984</v>
      </c>
      <c r="C3116" t="n">
        <v>17406</v>
      </c>
      <c r="D3116" t="inlineStr">
        <is>
          <t>Jaipur</t>
        </is>
      </c>
      <c r="E3116" t="inlineStr">
        <is>
          <t>North</t>
        </is>
      </c>
      <c r="F3116" t="inlineStr">
        <is>
          <t>Paid Search</t>
        </is>
      </c>
      <c r="G3116" t="inlineStr">
        <is>
          <t>Mobile App</t>
        </is>
      </c>
      <c r="H3116" t="inlineStr">
        <is>
          <t>Cash on Delivery</t>
        </is>
      </c>
      <c r="I3116" t="inlineStr">
        <is>
          <t>Delivered</t>
        </is>
      </c>
      <c r="J3116" t="n">
        <v>127</v>
      </c>
      <c r="K3116" t="n">
        <v>1</v>
      </c>
      <c r="L3116" s="7" t="n">
        <v>681</v>
      </c>
      <c r="M3116" s="7" t="n">
        <v>0</v>
      </c>
    </row>
    <row r="3117">
      <c r="A3117" t="n">
        <v>511029</v>
      </c>
      <c r="B3117" s="6" t="n">
        <v>45984</v>
      </c>
      <c r="C3117" t="n">
        <v>17406</v>
      </c>
      <c r="D3117" t="inlineStr">
        <is>
          <t>Jaipur</t>
        </is>
      </c>
      <c r="E3117" t="inlineStr">
        <is>
          <t>North</t>
        </is>
      </c>
      <c r="F3117" t="inlineStr">
        <is>
          <t>Paid Search</t>
        </is>
      </c>
      <c r="G3117" t="inlineStr">
        <is>
          <t>Mobile App</t>
        </is>
      </c>
      <c r="H3117" t="inlineStr">
        <is>
          <t>Cash on Delivery</t>
        </is>
      </c>
      <c r="I3117" t="inlineStr">
        <is>
          <t>Delivered</t>
        </is>
      </c>
      <c r="J3117" t="n">
        <v>112</v>
      </c>
      <c r="K3117" t="n">
        <v>1</v>
      </c>
      <c r="L3117" s="7" t="n">
        <v>1574</v>
      </c>
      <c r="M3117" s="7" t="n">
        <v>0</v>
      </c>
    </row>
    <row r="3118">
      <c r="A3118" t="n">
        <v>511029</v>
      </c>
      <c r="B3118" s="6" t="n">
        <v>45984</v>
      </c>
      <c r="C3118" t="n">
        <v>17406</v>
      </c>
      <c r="D3118" t="inlineStr">
        <is>
          <t>Jaipur</t>
        </is>
      </c>
      <c r="E3118" t="inlineStr">
        <is>
          <t>North</t>
        </is>
      </c>
      <c r="F3118" t="inlineStr">
        <is>
          <t>Paid Search</t>
        </is>
      </c>
      <c r="G3118" t="inlineStr">
        <is>
          <t>Mobile App</t>
        </is>
      </c>
      <c r="H3118" t="inlineStr">
        <is>
          <t>Cash on Delivery</t>
        </is>
      </c>
      <c r="I3118" t="inlineStr">
        <is>
          <t>Delivered</t>
        </is>
      </c>
      <c r="J3118" t="n">
        <v>118</v>
      </c>
      <c r="K3118" t="n">
        <v>1</v>
      </c>
      <c r="L3118" s="7" t="n">
        <v>944</v>
      </c>
      <c r="M3118" s="7" t="n">
        <v>0</v>
      </c>
    </row>
    <row r="3119">
      <c r="A3119" t="n">
        <v>511030</v>
      </c>
      <c r="B3119" s="6" t="n">
        <v>45984</v>
      </c>
      <c r="C3119" t="n">
        <v>17214</v>
      </c>
      <c r="D3119" t="inlineStr">
        <is>
          <t>Delhi</t>
        </is>
      </c>
      <c r="E3119" t="inlineStr">
        <is>
          <t>North</t>
        </is>
      </c>
      <c r="F3119" t="inlineStr">
        <is>
          <t>Paid Social</t>
        </is>
      </c>
      <c r="G3119" t="inlineStr">
        <is>
          <t>Mobile Web</t>
        </is>
      </c>
      <c r="H3119" t="inlineStr">
        <is>
          <t>UPI</t>
        </is>
      </c>
      <c r="I3119" t="inlineStr">
        <is>
          <t>Delivered</t>
        </is>
      </c>
      <c r="J3119" t="n">
        <v>111</v>
      </c>
      <c r="K3119" t="n">
        <v>1</v>
      </c>
      <c r="L3119" s="7" t="n">
        <v>524</v>
      </c>
      <c r="M3119" s="7" t="n">
        <v>0</v>
      </c>
    </row>
    <row r="3120">
      <c r="A3120" t="n">
        <v>511031</v>
      </c>
      <c r="B3120" s="6" t="n">
        <v>45984</v>
      </c>
      <c r="C3120" t="n">
        <v>17357</v>
      </c>
      <c r="D3120" t="inlineStr">
        <is>
          <t>Delhi</t>
        </is>
      </c>
      <c r="E3120" t="inlineStr">
        <is>
          <t>North</t>
        </is>
      </c>
      <c r="F3120" t="inlineStr">
        <is>
          <t>Email</t>
        </is>
      </c>
      <c r="G3120" t="inlineStr">
        <is>
          <t>Mobile Web</t>
        </is>
      </c>
      <c r="H3120" t="inlineStr">
        <is>
          <t>UPI</t>
        </is>
      </c>
      <c r="I3120" t="inlineStr">
        <is>
          <t>Returned</t>
        </is>
      </c>
      <c r="J3120" t="n">
        <v>113</v>
      </c>
      <c r="K3120" t="n">
        <v>2</v>
      </c>
      <c r="L3120" s="7" t="n">
        <v>1364</v>
      </c>
      <c r="M3120" s="7" t="n">
        <v>409.2</v>
      </c>
    </row>
    <row r="3121">
      <c r="A3121" t="n">
        <v>511032</v>
      </c>
      <c r="B3121" s="6" t="n">
        <v>45984</v>
      </c>
      <c r="C3121" t="n">
        <v>17464</v>
      </c>
      <c r="D3121" t="inlineStr">
        <is>
          <t>Delhi</t>
        </is>
      </c>
      <c r="E3121" t="inlineStr">
        <is>
          <t>North</t>
        </is>
      </c>
      <c r="F3121" t="inlineStr">
        <is>
          <t>Paid Social</t>
        </is>
      </c>
      <c r="G3121" t="inlineStr">
        <is>
          <t>Mobile App</t>
        </is>
      </c>
      <c r="H3121" t="inlineStr">
        <is>
          <t>Net Banking</t>
        </is>
      </c>
      <c r="I3121" t="inlineStr">
        <is>
          <t>Delivered</t>
        </is>
      </c>
      <c r="J3121" t="n">
        <v>113</v>
      </c>
      <c r="K3121" t="n">
        <v>3</v>
      </c>
      <c r="L3121" s="7" t="n">
        <v>1364</v>
      </c>
      <c r="M3121" s="7" t="n">
        <v>0</v>
      </c>
    </row>
    <row r="3122">
      <c r="A3122" t="n">
        <v>511032</v>
      </c>
      <c r="B3122" s="6" t="n">
        <v>45984</v>
      </c>
      <c r="C3122" t="n">
        <v>17464</v>
      </c>
      <c r="D3122" t="inlineStr">
        <is>
          <t>Delhi</t>
        </is>
      </c>
      <c r="E3122" t="inlineStr">
        <is>
          <t>North</t>
        </is>
      </c>
      <c r="F3122" t="inlineStr">
        <is>
          <t>Paid Social</t>
        </is>
      </c>
      <c r="G3122" t="inlineStr">
        <is>
          <t>Mobile App</t>
        </is>
      </c>
      <c r="H3122" t="inlineStr">
        <is>
          <t>Net Banking</t>
        </is>
      </c>
      <c r="I3122" t="inlineStr">
        <is>
          <t>Delivered</t>
        </is>
      </c>
      <c r="J3122" t="n">
        <v>124</v>
      </c>
      <c r="K3122" t="n">
        <v>1</v>
      </c>
      <c r="L3122" s="7" t="n">
        <v>1154</v>
      </c>
      <c r="M3122" s="7" t="n">
        <v>0</v>
      </c>
    </row>
    <row r="3123">
      <c r="A3123" t="n">
        <v>511033</v>
      </c>
      <c r="B3123" s="6" t="n">
        <v>45984</v>
      </c>
      <c r="C3123" t="n">
        <v>17467</v>
      </c>
      <c r="D3123" t="inlineStr">
        <is>
          <t>Indore</t>
        </is>
      </c>
      <c r="E3123" t="inlineStr">
        <is>
          <t>West</t>
        </is>
      </c>
      <c r="F3123" t="inlineStr">
        <is>
          <t>Organic Search</t>
        </is>
      </c>
      <c r="G3123" t="inlineStr">
        <is>
          <t>Mobile App</t>
        </is>
      </c>
      <c r="H3123" t="inlineStr">
        <is>
          <t>Cash on Delivery</t>
        </is>
      </c>
      <c r="I3123" t="inlineStr">
        <is>
          <t>Cancelled</t>
        </is>
      </c>
      <c r="J3123" t="n">
        <v>109</v>
      </c>
      <c r="K3123" t="n">
        <v>1</v>
      </c>
      <c r="L3123" s="7" t="n">
        <v>4199</v>
      </c>
      <c r="M3123" s="7" t="n">
        <v>0</v>
      </c>
    </row>
    <row r="3124">
      <c r="A3124" t="n">
        <v>511034</v>
      </c>
      <c r="B3124" s="6" t="n">
        <v>45984</v>
      </c>
      <c r="C3124" t="n">
        <v>13854</v>
      </c>
      <c r="D3124" t="inlineStr">
        <is>
          <t>Lucknow</t>
        </is>
      </c>
      <c r="E3124" t="inlineStr">
        <is>
          <t>North</t>
        </is>
      </c>
      <c r="F3124" t="inlineStr">
        <is>
          <t>Referral</t>
        </is>
      </c>
      <c r="G3124" t="inlineStr">
        <is>
          <t>Desktop</t>
        </is>
      </c>
      <c r="H3124" t="inlineStr">
        <is>
          <t>UPI</t>
        </is>
      </c>
      <c r="I3124" t="inlineStr">
        <is>
          <t>Delivered</t>
        </is>
      </c>
      <c r="J3124" t="n">
        <v>118</v>
      </c>
      <c r="K3124" t="n">
        <v>2</v>
      </c>
      <c r="L3124" s="7" t="n">
        <v>944</v>
      </c>
      <c r="M3124" s="7" t="n">
        <v>0</v>
      </c>
    </row>
    <row r="3125">
      <c r="A3125" t="n">
        <v>511035</v>
      </c>
      <c r="B3125" s="6" t="n">
        <v>45984</v>
      </c>
      <c r="C3125" t="n">
        <v>17470</v>
      </c>
      <c r="D3125" t="inlineStr">
        <is>
          <t>Ahmedabad</t>
        </is>
      </c>
      <c r="E3125" t="inlineStr">
        <is>
          <t>West</t>
        </is>
      </c>
      <c r="F3125" t="inlineStr">
        <is>
          <t>Referral</t>
        </is>
      </c>
      <c r="G3125" t="inlineStr">
        <is>
          <t>Mobile App</t>
        </is>
      </c>
      <c r="H3125" t="inlineStr">
        <is>
          <t>Net Banking</t>
        </is>
      </c>
      <c r="I3125" t="inlineStr">
        <is>
          <t>Delivered</t>
        </is>
      </c>
      <c r="J3125" t="n">
        <v>113</v>
      </c>
      <c r="K3125" t="n">
        <v>2</v>
      </c>
      <c r="L3125" s="7" t="n">
        <v>1364</v>
      </c>
      <c r="M3125" s="7" t="n">
        <v>409.2</v>
      </c>
    </row>
    <row r="3126">
      <c r="A3126" t="n">
        <v>511036</v>
      </c>
      <c r="B3126" s="6" t="n">
        <v>45984</v>
      </c>
      <c r="C3126" t="n">
        <v>13796</v>
      </c>
      <c r="D3126" t="inlineStr">
        <is>
          <t>Bengaluru</t>
        </is>
      </c>
      <c r="E3126" t="inlineStr">
        <is>
          <t>South</t>
        </is>
      </c>
      <c r="F3126" t="inlineStr">
        <is>
          <t>Paid Search</t>
        </is>
      </c>
      <c r="G3126" t="inlineStr">
        <is>
          <t>Mobile App</t>
        </is>
      </c>
      <c r="H3126" t="inlineStr">
        <is>
          <t>Credit Card</t>
        </is>
      </c>
      <c r="I3126" t="inlineStr">
        <is>
          <t>Delivered</t>
        </is>
      </c>
      <c r="J3126" t="n">
        <v>147</v>
      </c>
      <c r="K3126" t="n">
        <v>1</v>
      </c>
      <c r="L3126" s="7" t="n">
        <v>1364</v>
      </c>
      <c r="M3126" s="7" t="n">
        <v>0</v>
      </c>
    </row>
    <row r="3127">
      <c r="A3127" t="n">
        <v>511036</v>
      </c>
      <c r="B3127" s="6" t="n">
        <v>45984</v>
      </c>
      <c r="C3127" t="n">
        <v>13796</v>
      </c>
      <c r="D3127" t="inlineStr">
        <is>
          <t>Bengaluru</t>
        </is>
      </c>
      <c r="E3127" t="inlineStr">
        <is>
          <t>South</t>
        </is>
      </c>
      <c r="F3127" t="inlineStr">
        <is>
          <t>Paid Search</t>
        </is>
      </c>
      <c r="G3127" t="inlineStr">
        <is>
          <t>Mobile App</t>
        </is>
      </c>
      <c r="H3127" t="inlineStr">
        <is>
          <t>Credit Card</t>
        </is>
      </c>
      <c r="I3127" t="inlineStr">
        <is>
          <t>Delivered</t>
        </is>
      </c>
      <c r="J3127" t="n">
        <v>130</v>
      </c>
      <c r="K3127" t="n">
        <v>1</v>
      </c>
      <c r="L3127" s="7" t="n">
        <v>734</v>
      </c>
      <c r="M3127" s="7" t="n">
        <v>0</v>
      </c>
    </row>
    <row r="3128">
      <c r="A3128" t="n">
        <v>511036</v>
      </c>
      <c r="B3128" s="6" t="n">
        <v>45984</v>
      </c>
      <c r="C3128" t="n">
        <v>13796</v>
      </c>
      <c r="D3128" t="inlineStr">
        <is>
          <t>Bengaluru</t>
        </is>
      </c>
      <c r="E3128" t="inlineStr">
        <is>
          <t>South</t>
        </is>
      </c>
      <c r="F3128" t="inlineStr">
        <is>
          <t>Paid Search</t>
        </is>
      </c>
      <c r="G3128" t="inlineStr">
        <is>
          <t>Mobile App</t>
        </is>
      </c>
      <c r="H3128" t="inlineStr">
        <is>
          <t>Credit Card</t>
        </is>
      </c>
      <c r="I3128" t="inlineStr">
        <is>
          <t>Delivered</t>
        </is>
      </c>
      <c r="J3128" t="n">
        <v>108</v>
      </c>
      <c r="K3128" t="n">
        <v>1</v>
      </c>
      <c r="L3128" s="7" t="n">
        <v>419</v>
      </c>
      <c r="M3128" s="7" t="n">
        <v>0</v>
      </c>
    </row>
    <row r="3129">
      <c r="A3129" t="n">
        <v>511036</v>
      </c>
      <c r="B3129" s="6" t="n">
        <v>45984</v>
      </c>
      <c r="C3129" t="n">
        <v>13796</v>
      </c>
      <c r="D3129" t="inlineStr">
        <is>
          <t>Bengaluru</t>
        </is>
      </c>
      <c r="E3129" t="inlineStr">
        <is>
          <t>South</t>
        </is>
      </c>
      <c r="F3129" t="inlineStr">
        <is>
          <t>Paid Search</t>
        </is>
      </c>
      <c r="G3129" t="inlineStr">
        <is>
          <t>Mobile App</t>
        </is>
      </c>
      <c r="H3129" t="inlineStr">
        <is>
          <t>Credit Card</t>
        </is>
      </c>
      <c r="I3129" t="inlineStr">
        <is>
          <t>Delivered</t>
        </is>
      </c>
      <c r="J3129" t="n">
        <v>132</v>
      </c>
      <c r="K3129" t="n">
        <v>1</v>
      </c>
      <c r="L3129" s="7" t="n">
        <v>471</v>
      </c>
      <c r="M3129" s="7" t="n">
        <v>0</v>
      </c>
    </row>
    <row r="3130">
      <c r="A3130" t="n">
        <v>511037</v>
      </c>
      <c r="B3130" s="6" t="n">
        <v>45985</v>
      </c>
      <c r="C3130" t="n">
        <v>15679</v>
      </c>
      <c r="D3130" t="inlineStr">
        <is>
          <t>Indore</t>
        </is>
      </c>
      <c r="E3130" t="inlineStr">
        <is>
          <t>West</t>
        </is>
      </c>
      <c r="F3130" t="inlineStr">
        <is>
          <t>Paid Search</t>
        </is>
      </c>
      <c r="G3130" t="inlineStr">
        <is>
          <t>Mobile App</t>
        </is>
      </c>
      <c r="H3130" t="inlineStr">
        <is>
          <t>Net Banking</t>
        </is>
      </c>
      <c r="I3130" t="inlineStr">
        <is>
          <t>Delivered</t>
        </is>
      </c>
      <c r="J3130" t="n">
        <v>106</v>
      </c>
      <c r="K3130" t="n">
        <v>1</v>
      </c>
      <c r="L3130" s="7" t="n">
        <v>1574</v>
      </c>
      <c r="M3130" s="7" t="n">
        <v>0</v>
      </c>
    </row>
    <row r="3131">
      <c r="A3131" t="n">
        <v>511037</v>
      </c>
      <c r="B3131" s="6" t="n">
        <v>45985</v>
      </c>
      <c r="C3131" t="n">
        <v>15679</v>
      </c>
      <c r="D3131" t="inlineStr">
        <is>
          <t>Indore</t>
        </is>
      </c>
      <c r="E3131" t="inlineStr">
        <is>
          <t>West</t>
        </is>
      </c>
      <c r="F3131" t="inlineStr">
        <is>
          <t>Paid Search</t>
        </is>
      </c>
      <c r="G3131" t="inlineStr">
        <is>
          <t>Mobile App</t>
        </is>
      </c>
      <c r="H3131" t="inlineStr">
        <is>
          <t>Net Banking</t>
        </is>
      </c>
      <c r="I3131" t="inlineStr">
        <is>
          <t>Delivered</t>
        </is>
      </c>
      <c r="J3131" t="n">
        <v>137</v>
      </c>
      <c r="K3131" t="n">
        <v>1</v>
      </c>
      <c r="L3131" s="7" t="n">
        <v>261</v>
      </c>
      <c r="M3131" s="7" t="n">
        <v>0</v>
      </c>
    </row>
    <row r="3132">
      <c r="A3132" t="n">
        <v>511038</v>
      </c>
      <c r="B3132" s="6" t="n">
        <v>45985</v>
      </c>
      <c r="C3132" t="n">
        <v>17169</v>
      </c>
      <c r="D3132" t="inlineStr">
        <is>
          <t>Kochi</t>
        </is>
      </c>
      <c r="E3132" t="inlineStr">
        <is>
          <t>South</t>
        </is>
      </c>
      <c r="F3132" t="inlineStr">
        <is>
          <t>Referral</t>
        </is>
      </c>
      <c r="G3132" t="inlineStr">
        <is>
          <t>Mobile App</t>
        </is>
      </c>
      <c r="H3132" t="inlineStr">
        <is>
          <t>UPI</t>
        </is>
      </c>
      <c r="I3132" t="inlineStr">
        <is>
          <t>Delivered</t>
        </is>
      </c>
      <c r="J3132" t="n">
        <v>123</v>
      </c>
      <c r="K3132" t="n">
        <v>1</v>
      </c>
      <c r="L3132" s="7" t="n">
        <v>3464</v>
      </c>
      <c r="M3132" s="7" t="n">
        <v>0</v>
      </c>
    </row>
    <row r="3133">
      <c r="A3133" t="n">
        <v>511038</v>
      </c>
      <c r="B3133" s="6" t="n">
        <v>45985</v>
      </c>
      <c r="C3133" t="n">
        <v>17169</v>
      </c>
      <c r="D3133" t="inlineStr">
        <is>
          <t>Kochi</t>
        </is>
      </c>
      <c r="E3133" t="inlineStr">
        <is>
          <t>South</t>
        </is>
      </c>
      <c r="F3133" t="inlineStr">
        <is>
          <t>Referral</t>
        </is>
      </c>
      <c r="G3133" t="inlineStr">
        <is>
          <t>Mobile App</t>
        </is>
      </c>
      <c r="H3133" t="inlineStr">
        <is>
          <t>UPI</t>
        </is>
      </c>
      <c r="I3133" t="inlineStr">
        <is>
          <t>Delivered</t>
        </is>
      </c>
      <c r="J3133" t="n">
        <v>120</v>
      </c>
      <c r="K3133" t="n">
        <v>1</v>
      </c>
      <c r="L3133" s="7" t="n">
        <v>734</v>
      </c>
      <c r="M3133" s="7" t="n">
        <v>0</v>
      </c>
    </row>
    <row r="3134">
      <c r="A3134" t="n">
        <v>511039</v>
      </c>
      <c r="B3134" s="6" t="n">
        <v>45985</v>
      </c>
      <c r="C3134" t="n">
        <v>15907</v>
      </c>
      <c r="D3134" t="inlineStr">
        <is>
          <t>Hyderabad</t>
        </is>
      </c>
      <c r="E3134" t="inlineStr">
        <is>
          <t>South</t>
        </is>
      </c>
      <c r="F3134" t="inlineStr">
        <is>
          <t>Organic Search</t>
        </is>
      </c>
      <c r="G3134" t="inlineStr">
        <is>
          <t>Mobile App</t>
        </is>
      </c>
      <c r="H3134" t="inlineStr">
        <is>
          <t>UPI</t>
        </is>
      </c>
      <c r="I3134" t="inlineStr">
        <is>
          <t>Delivered</t>
        </is>
      </c>
      <c r="J3134" t="n">
        <v>116</v>
      </c>
      <c r="K3134" t="n">
        <v>1</v>
      </c>
      <c r="L3134" s="7" t="n">
        <v>2624</v>
      </c>
      <c r="M3134" s="7" t="n">
        <v>0</v>
      </c>
    </row>
    <row r="3135">
      <c r="A3135" t="n">
        <v>511040</v>
      </c>
      <c r="B3135" s="6" t="n">
        <v>45985</v>
      </c>
      <c r="C3135" t="n">
        <v>16742</v>
      </c>
      <c r="D3135" t="inlineStr">
        <is>
          <t>Jaipur</t>
        </is>
      </c>
      <c r="E3135" t="inlineStr">
        <is>
          <t>North</t>
        </is>
      </c>
      <c r="F3135" t="inlineStr">
        <is>
          <t>Email</t>
        </is>
      </c>
      <c r="G3135" t="inlineStr">
        <is>
          <t>Desktop</t>
        </is>
      </c>
      <c r="H3135" t="inlineStr">
        <is>
          <t>UPI</t>
        </is>
      </c>
      <c r="I3135" t="inlineStr">
        <is>
          <t>Delivered</t>
        </is>
      </c>
      <c r="J3135" t="n">
        <v>147</v>
      </c>
      <c r="K3135" t="n">
        <v>1</v>
      </c>
      <c r="L3135" s="7" t="n">
        <v>1364</v>
      </c>
      <c r="M3135" s="7" t="n">
        <v>68.2</v>
      </c>
    </row>
    <row r="3136">
      <c r="A3136" t="n">
        <v>511041</v>
      </c>
      <c r="B3136" s="6" t="n">
        <v>45985</v>
      </c>
      <c r="C3136" t="n">
        <v>17386</v>
      </c>
      <c r="D3136" t="inlineStr">
        <is>
          <t>Lucknow</t>
        </is>
      </c>
      <c r="E3136" t="inlineStr">
        <is>
          <t>North</t>
        </is>
      </c>
      <c r="F3136" t="inlineStr">
        <is>
          <t>Referral</t>
        </is>
      </c>
      <c r="G3136" t="inlineStr">
        <is>
          <t>Mobile App</t>
        </is>
      </c>
      <c r="H3136" t="inlineStr">
        <is>
          <t>Debit Card</t>
        </is>
      </c>
      <c r="I3136" t="inlineStr">
        <is>
          <t>Delivered</t>
        </is>
      </c>
      <c r="J3136" t="n">
        <v>138</v>
      </c>
      <c r="K3136" t="n">
        <v>3</v>
      </c>
      <c r="L3136" s="7" t="n">
        <v>419</v>
      </c>
      <c r="M3136" s="7" t="n">
        <v>0</v>
      </c>
    </row>
    <row r="3137">
      <c r="A3137" t="n">
        <v>511041</v>
      </c>
      <c r="B3137" s="6" t="n">
        <v>45985</v>
      </c>
      <c r="C3137" t="n">
        <v>17386</v>
      </c>
      <c r="D3137" t="inlineStr">
        <is>
          <t>Lucknow</t>
        </is>
      </c>
      <c r="E3137" t="inlineStr">
        <is>
          <t>North</t>
        </is>
      </c>
      <c r="F3137" t="inlineStr">
        <is>
          <t>Referral</t>
        </is>
      </c>
      <c r="G3137" t="inlineStr">
        <is>
          <t>Mobile App</t>
        </is>
      </c>
      <c r="H3137" t="inlineStr">
        <is>
          <t>Debit Card</t>
        </is>
      </c>
      <c r="I3137" t="inlineStr">
        <is>
          <t>Delivered</t>
        </is>
      </c>
      <c r="J3137" t="n">
        <v>108</v>
      </c>
      <c r="K3137" t="n">
        <v>1</v>
      </c>
      <c r="L3137" s="7" t="n">
        <v>419</v>
      </c>
      <c r="M3137" s="7" t="n">
        <v>0</v>
      </c>
    </row>
    <row r="3138">
      <c r="A3138" t="n">
        <v>511042</v>
      </c>
      <c r="B3138" s="6" t="n">
        <v>45985</v>
      </c>
      <c r="C3138" t="n">
        <v>17410</v>
      </c>
      <c r="D3138" t="inlineStr">
        <is>
          <t>Kolkata</t>
        </is>
      </c>
      <c r="E3138" t="inlineStr">
        <is>
          <t>East</t>
        </is>
      </c>
      <c r="F3138" t="inlineStr">
        <is>
          <t>Paid Search</t>
        </is>
      </c>
      <c r="G3138" t="inlineStr">
        <is>
          <t>Mobile Web</t>
        </is>
      </c>
      <c r="H3138" t="inlineStr">
        <is>
          <t>UPI</t>
        </is>
      </c>
      <c r="I3138" t="inlineStr">
        <is>
          <t>Returned</t>
        </is>
      </c>
      <c r="J3138" t="n">
        <v>115</v>
      </c>
      <c r="K3138" t="n">
        <v>2</v>
      </c>
      <c r="L3138" s="7" t="n">
        <v>4199</v>
      </c>
      <c r="M3138" s="7" t="n">
        <v>1259.7</v>
      </c>
    </row>
    <row r="3139">
      <c r="A3139" t="n">
        <v>511043</v>
      </c>
      <c r="B3139" s="6" t="n">
        <v>45985</v>
      </c>
      <c r="C3139" t="n">
        <v>14056</v>
      </c>
      <c r="D3139" t="inlineStr">
        <is>
          <t>Pune</t>
        </is>
      </c>
      <c r="E3139" t="inlineStr">
        <is>
          <t>West</t>
        </is>
      </c>
      <c r="F3139" t="inlineStr">
        <is>
          <t>Email</t>
        </is>
      </c>
      <c r="G3139" t="inlineStr">
        <is>
          <t>Mobile App</t>
        </is>
      </c>
      <c r="H3139" t="inlineStr">
        <is>
          <t>UPI</t>
        </is>
      </c>
      <c r="I3139" t="inlineStr">
        <is>
          <t>Returned</t>
        </is>
      </c>
      <c r="J3139" t="n">
        <v>118</v>
      </c>
      <c r="K3139" t="n">
        <v>1</v>
      </c>
      <c r="L3139" s="7" t="n">
        <v>944</v>
      </c>
      <c r="M3139" s="7" t="n">
        <v>0</v>
      </c>
    </row>
    <row r="3140">
      <c r="A3140" t="n">
        <v>511044</v>
      </c>
      <c r="B3140" s="6" t="n">
        <v>45985</v>
      </c>
      <c r="C3140" t="n">
        <v>17451</v>
      </c>
      <c r="D3140" t="inlineStr">
        <is>
          <t>Kolkata</t>
        </is>
      </c>
      <c r="E3140" t="inlineStr">
        <is>
          <t>East</t>
        </is>
      </c>
      <c r="F3140" t="inlineStr">
        <is>
          <t>Organic Search</t>
        </is>
      </c>
      <c r="G3140" t="inlineStr">
        <is>
          <t>Desktop</t>
        </is>
      </c>
      <c r="H3140" t="inlineStr">
        <is>
          <t>Cash on Delivery</t>
        </is>
      </c>
      <c r="I3140" t="inlineStr">
        <is>
          <t>Delivered</t>
        </is>
      </c>
      <c r="J3140" t="n">
        <v>118</v>
      </c>
      <c r="K3140" t="n">
        <v>1</v>
      </c>
      <c r="L3140" s="7" t="n">
        <v>944</v>
      </c>
      <c r="M3140" s="7" t="n">
        <v>0</v>
      </c>
    </row>
    <row r="3141">
      <c r="A3141" t="n">
        <v>511045</v>
      </c>
      <c r="B3141" s="6" t="n">
        <v>45985</v>
      </c>
      <c r="C3141" t="n">
        <v>17427</v>
      </c>
      <c r="D3141" t="inlineStr">
        <is>
          <t>Ahmedabad</t>
        </is>
      </c>
      <c r="E3141" t="inlineStr">
        <is>
          <t>West</t>
        </is>
      </c>
      <c r="F3141" t="inlineStr">
        <is>
          <t>Paid Search</t>
        </is>
      </c>
      <c r="G3141" t="inlineStr">
        <is>
          <t>Mobile App</t>
        </is>
      </c>
      <c r="H3141" t="inlineStr">
        <is>
          <t>Credit Card</t>
        </is>
      </c>
      <c r="I3141" t="inlineStr">
        <is>
          <t>Returned</t>
        </is>
      </c>
      <c r="J3141" t="n">
        <v>111</v>
      </c>
      <c r="K3141" t="n">
        <v>3</v>
      </c>
      <c r="L3141" s="7" t="n">
        <v>524</v>
      </c>
      <c r="M3141" s="7" t="n">
        <v>235.8</v>
      </c>
    </row>
    <row r="3142">
      <c r="A3142" t="n">
        <v>511045</v>
      </c>
      <c r="B3142" s="6" t="n">
        <v>45985</v>
      </c>
      <c r="C3142" t="n">
        <v>17427</v>
      </c>
      <c r="D3142" t="inlineStr">
        <is>
          <t>Ahmedabad</t>
        </is>
      </c>
      <c r="E3142" t="inlineStr">
        <is>
          <t>West</t>
        </is>
      </c>
      <c r="F3142" t="inlineStr">
        <is>
          <t>Paid Search</t>
        </is>
      </c>
      <c r="G3142" t="inlineStr">
        <is>
          <t>Mobile App</t>
        </is>
      </c>
      <c r="H3142" t="inlineStr">
        <is>
          <t>Credit Card</t>
        </is>
      </c>
      <c r="I3142" t="inlineStr">
        <is>
          <t>Returned</t>
        </is>
      </c>
      <c r="J3142" t="n">
        <v>118</v>
      </c>
      <c r="K3142" t="n">
        <v>1</v>
      </c>
      <c r="L3142" s="7" t="n">
        <v>944</v>
      </c>
      <c r="M3142" s="7" t="n">
        <v>141.6</v>
      </c>
    </row>
    <row r="3143">
      <c r="A3143" t="n">
        <v>511046</v>
      </c>
      <c r="B3143" s="6" t="n">
        <v>45985</v>
      </c>
      <c r="C3143" t="n">
        <v>17392</v>
      </c>
      <c r="D3143" t="inlineStr">
        <is>
          <t>Bengaluru</t>
        </is>
      </c>
      <c r="E3143" t="inlineStr">
        <is>
          <t>South</t>
        </is>
      </c>
      <c r="F3143" t="inlineStr">
        <is>
          <t>Referral</t>
        </is>
      </c>
      <c r="G3143" t="inlineStr">
        <is>
          <t>Mobile App</t>
        </is>
      </c>
      <c r="H3143" t="inlineStr">
        <is>
          <t>UPI</t>
        </is>
      </c>
      <c r="I3143" t="inlineStr">
        <is>
          <t>Delivered</t>
        </is>
      </c>
      <c r="J3143" t="n">
        <v>135</v>
      </c>
      <c r="K3143" t="n">
        <v>2</v>
      </c>
      <c r="L3143" s="7" t="n">
        <v>1574</v>
      </c>
      <c r="M3143" s="7" t="n">
        <v>472.2</v>
      </c>
    </row>
    <row r="3144">
      <c r="A3144" t="n">
        <v>511046</v>
      </c>
      <c r="B3144" s="6" t="n">
        <v>45985</v>
      </c>
      <c r="C3144" t="n">
        <v>17392</v>
      </c>
      <c r="D3144" t="inlineStr">
        <is>
          <t>Bengaluru</t>
        </is>
      </c>
      <c r="E3144" t="inlineStr">
        <is>
          <t>South</t>
        </is>
      </c>
      <c r="F3144" t="inlineStr">
        <is>
          <t>Referral</t>
        </is>
      </c>
      <c r="G3144" t="inlineStr">
        <is>
          <t>Mobile App</t>
        </is>
      </c>
      <c r="H3144" t="inlineStr">
        <is>
          <t>UPI</t>
        </is>
      </c>
      <c r="I3144" t="inlineStr">
        <is>
          <t>Delivered</t>
        </is>
      </c>
      <c r="J3144" t="n">
        <v>102</v>
      </c>
      <c r="K3144" t="n">
        <v>3</v>
      </c>
      <c r="L3144" s="7" t="n">
        <v>3674</v>
      </c>
      <c r="M3144" s="7" t="n">
        <v>1653.3</v>
      </c>
    </row>
    <row r="3145">
      <c r="A3145" t="n">
        <v>511047</v>
      </c>
      <c r="B3145" s="6" t="n">
        <v>45985</v>
      </c>
      <c r="C3145" t="n">
        <v>17485</v>
      </c>
      <c r="D3145" t="inlineStr">
        <is>
          <t>Kochi</t>
        </is>
      </c>
      <c r="E3145" t="inlineStr">
        <is>
          <t>South</t>
        </is>
      </c>
      <c r="F3145" t="inlineStr">
        <is>
          <t>Paid Social</t>
        </is>
      </c>
      <c r="G3145" t="inlineStr">
        <is>
          <t>Desktop</t>
        </is>
      </c>
      <c r="H3145" t="inlineStr">
        <is>
          <t>UPI</t>
        </is>
      </c>
      <c r="I3145" t="inlineStr">
        <is>
          <t>Delivered</t>
        </is>
      </c>
      <c r="J3145" t="n">
        <v>134</v>
      </c>
      <c r="K3145" t="n">
        <v>1</v>
      </c>
      <c r="L3145" s="7" t="n">
        <v>209</v>
      </c>
      <c r="M3145" s="7" t="n">
        <v>31.35</v>
      </c>
    </row>
    <row r="3146">
      <c r="A3146" t="n">
        <v>511047</v>
      </c>
      <c r="B3146" s="6" t="n">
        <v>45985</v>
      </c>
      <c r="C3146" t="n">
        <v>17485</v>
      </c>
      <c r="D3146" t="inlineStr">
        <is>
          <t>Kochi</t>
        </is>
      </c>
      <c r="E3146" t="inlineStr">
        <is>
          <t>South</t>
        </is>
      </c>
      <c r="F3146" t="inlineStr">
        <is>
          <t>Paid Social</t>
        </is>
      </c>
      <c r="G3146" t="inlineStr">
        <is>
          <t>Desktop</t>
        </is>
      </c>
      <c r="H3146" t="inlineStr">
        <is>
          <t>UPI</t>
        </is>
      </c>
      <c r="I3146" t="inlineStr">
        <is>
          <t>Delivered</t>
        </is>
      </c>
      <c r="J3146" t="n">
        <v>104</v>
      </c>
      <c r="K3146" t="n">
        <v>1</v>
      </c>
      <c r="L3146" s="7" t="n">
        <v>5249</v>
      </c>
      <c r="M3146" s="7" t="n">
        <v>787.35</v>
      </c>
    </row>
    <row r="3147">
      <c r="A3147" t="n">
        <v>511048</v>
      </c>
      <c r="B3147" s="6" t="n">
        <v>45985</v>
      </c>
      <c r="C3147" t="n">
        <v>16405</v>
      </c>
      <c r="D3147" t="inlineStr">
        <is>
          <t>Hyderabad</t>
        </is>
      </c>
      <c r="E3147" t="inlineStr">
        <is>
          <t>South</t>
        </is>
      </c>
      <c r="F3147" t="inlineStr">
        <is>
          <t>Organic Search</t>
        </is>
      </c>
      <c r="G3147" t="inlineStr">
        <is>
          <t>Mobile App</t>
        </is>
      </c>
      <c r="H3147" t="inlineStr">
        <is>
          <t>Credit Card</t>
        </is>
      </c>
      <c r="I3147" t="inlineStr">
        <is>
          <t>Delivered</t>
        </is>
      </c>
      <c r="J3147" t="n">
        <v>133</v>
      </c>
      <c r="K3147" t="n">
        <v>1</v>
      </c>
      <c r="L3147" s="7" t="n">
        <v>419</v>
      </c>
      <c r="M3147" s="7" t="n">
        <v>0</v>
      </c>
    </row>
    <row r="3148">
      <c r="A3148" t="n">
        <v>511048</v>
      </c>
      <c r="B3148" s="6" t="n">
        <v>45985</v>
      </c>
      <c r="C3148" t="n">
        <v>16405</v>
      </c>
      <c r="D3148" t="inlineStr">
        <is>
          <t>Hyderabad</t>
        </is>
      </c>
      <c r="E3148" t="inlineStr">
        <is>
          <t>South</t>
        </is>
      </c>
      <c r="F3148" t="inlineStr">
        <is>
          <t>Organic Search</t>
        </is>
      </c>
      <c r="G3148" t="inlineStr">
        <is>
          <t>Mobile App</t>
        </is>
      </c>
      <c r="H3148" t="inlineStr">
        <is>
          <t>Credit Card</t>
        </is>
      </c>
      <c r="I3148" t="inlineStr">
        <is>
          <t>Delivered</t>
        </is>
      </c>
      <c r="J3148" t="n">
        <v>103</v>
      </c>
      <c r="K3148" t="n">
        <v>2</v>
      </c>
      <c r="L3148" s="7" t="n">
        <v>2624</v>
      </c>
      <c r="M3148" s="7" t="n">
        <v>0</v>
      </c>
    </row>
    <row r="3149">
      <c r="A3149" t="n">
        <v>511049</v>
      </c>
      <c r="B3149" s="6" t="n">
        <v>45985</v>
      </c>
      <c r="C3149" t="n">
        <v>17378</v>
      </c>
      <c r="D3149" t="inlineStr">
        <is>
          <t>Bengaluru</t>
        </is>
      </c>
      <c r="E3149" t="inlineStr">
        <is>
          <t>South</t>
        </is>
      </c>
      <c r="F3149" t="inlineStr">
        <is>
          <t>Paid Search</t>
        </is>
      </c>
      <c r="G3149" t="inlineStr">
        <is>
          <t>Mobile App</t>
        </is>
      </c>
      <c r="H3149" t="inlineStr">
        <is>
          <t>Debit Card</t>
        </is>
      </c>
      <c r="I3149" t="inlineStr">
        <is>
          <t>Delivered</t>
        </is>
      </c>
      <c r="J3149" t="n">
        <v>108</v>
      </c>
      <c r="K3149" t="n">
        <v>1</v>
      </c>
      <c r="L3149" s="7" t="n">
        <v>419</v>
      </c>
      <c r="M3149" s="7" t="n">
        <v>62.85</v>
      </c>
    </row>
    <row r="3150">
      <c r="A3150" t="n">
        <v>511049</v>
      </c>
      <c r="B3150" s="6" t="n">
        <v>45985</v>
      </c>
      <c r="C3150" t="n">
        <v>17378</v>
      </c>
      <c r="D3150" t="inlineStr">
        <is>
          <t>Bengaluru</t>
        </is>
      </c>
      <c r="E3150" t="inlineStr">
        <is>
          <t>South</t>
        </is>
      </c>
      <c r="F3150" t="inlineStr">
        <is>
          <t>Paid Search</t>
        </is>
      </c>
      <c r="G3150" t="inlineStr">
        <is>
          <t>Mobile App</t>
        </is>
      </c>
      <c r="H3150" t="inlineStr">
        <is>
          <t>Debit Card</t>
        </is>
      </c>
      <c r="I3150" t="inlineStr">
        <is>
          <t>Delivered</t>
        </is>
      </c>
      <c r="J3150" t="n">
        <v>136</v>
      </c>
      <c r="K3150" t="n">
        <v>1</v>
      </c>
      <c r="L3150" s="7" t="n">
        <v>944</v>
      </c>
      <c r="M3150" s="7" t="n">
        <v>141.6</v>
      </c>
    </row>
    <row r="3151">
      <c r="A3151" t="n">
        <v>511050</v>
      </c>
      <c r="B3151" s="6" t="n">
        <v>45985</v>
      </c>
      <c r="C3151" t="n">
        <v>17441</v>
      </c>
      <c r="D3151" t="inlineStr">
        <is>
          <t>Delhi</t>
        </is>
      </c>
      <c r="E3151" t="inlineStr">
        <is>
          <t>North</t>
        </is>
      </c>
      <c r="F3151" t="inlineStr">
        <is>
          <t>Paid Search</t>
        </is>
      </c>
      <c r="G3151" t="inlineStr">
        <is>
          <t>Mobile Web</t>
        </is>
      </c>
      <c r="H3151" t="inlineStr">
        <is>
          <t>UPI</t>
        </is>
      </c>
      <c r="I3151" t="inlineStr">
        <is>
          <t>Delivered</t>
        </is>
      </c>
      <c r="J3151" t="n">
        <v>139</v>
      </c>
      <c r="K3151" t="n">
        <v>1</v>
      </c>
      <c r="L3151" s="7" t="n">
        <v>366</v>
      </c>
      <c r="M3151" s="7" t="n">
        <v>0</v>
      </c>
    </row>
    <row r="3152">
      <c r="A3152" t="n">
        <v>511050</v>
      </c>
      <c r="B3152" s="6" t="n">
        <v>45985</v>
      </c>
      <c r="C3152" t="n">
        <v>17441</v>
      </c>
      <c r="D3152" t="inlineStr">
        <is>
          <t>Delhi</t>
        </is>
      </c>
      <c r="E3152" t="inlineStr">
        <is>
          <t>North</t>
        </is>
      </c>
      <c r="F3152" t="inlineStr">
        <is>
          <t>Paid Search</t>
        </is>
      </c>
      <c r="G3152" t="inlineStr">
        <is>
          <t>Mobile Web</t>
        </is>
      </c>
      <c r="H3152" t="inlineStr">
        <is>
          <t>UPI</t>
        </is>
      </c>
      <c r="I3152" t="inlineStr">
        <is>
          <t>Delivered</t>
        </is>
      </c>
      <c r="J3152" t="n">
        <v>124</v>
      </c>
      <c r="K3152" t="n">
        <v>1</v>
      </c>
      <c r="L3152" s="7" t="n">
        <v>1154</v>
      </c>
      <c r="M3152" s="7" t="n">
        <v>0</v>
      </c>
    </row>
    <row r="3153">
      <c r="A3153" t="n">
        <v>511051</v>
      </c>
      <c r="B3153" s="6" t="n">
        <v>45985</v>
      </c>
      <c r="C3153" t="n">
        <v>16800</v>
      </c>
      <c r="D3153" t="inlineStr">
        <is>
          <t>Bengaluru</t>
        </is>
      </c>
      <c r="E3153" t="inlineStr">
        <is>
          <t>South</t>
        </is>
      </c>
      <c r="F3153" t="inlineStr">
        <is>
          <t>Referral</t>
        </is>
      </c>
      <c r="G3153" t="inlineStr">
        <is>
          <t>Mobile App</t>
        </is>
      </c>
      <c r="H3153" t="inlineStr">
        <is>
          <t>Net Banking</t>
        </is>
      </c>
      <c r="I3153" t="inlineStr">
        <is>
          <t>Delivered</t>
        </is>
      </c>
      <c r="J3153" t="n">
        <v>111</v>
      </c>
      <c r="K3153" t="n">
        <v>2</v>
      </c>
      <c r="L3153" s="7" t="n">
        <v>524</v>
      </c>
      <c r="M3153" s="7" t="n">
        <v>0</v>
      </c>
    </row>
    <row r="3154">
      <c r="A3154" t="n">
        <v>511052</v>
      </c>
      <c r="B3154" s="6" t="n">
        <v>45985</v>
      </c>
      <c r="C3154" t="n">
        <v>17346</v>
      </c>
      <c r="D3154" t="inlineStr">
        <is>
          <t>Jaipur</t>
        </is>
      </c>
      <c r="E3154" t="inlineStr">
        <is>
          <t>North</t>
        </is>
      </c>
      <c r="F3154" t="inlineStr">
        <is>
          <t>Organic Search</t>
        </is>
      </c>
      <c r="G3154" t="inlineStr">
        <is>
          <t>Mobile App</t>
        </is>
      </c>
      <c r="H3154" t="inlineStr">
        <is>
          <t>Cash on Delivery</t>
        </is>
      </c>
      <c r="I3154" t="inlineStr">
        <is>
          <t>Delivered</t>
        </is>
      </c>
      <c r="J3154" t="n">
        <v>115</v>
      </c>
      <c r="K3154" t="n">
        <v>2</v>
      </c>
      <c r="L3154" s="7" t="n">
        <v>4199</v>
      </c>
      <c r="M3154" s="7" t="n">
        <v>0</v>
      </c>
    </row>
    <row r="3155">
      <c r="A3155" t="n">
        <v>511052</v>
      </c>
      <c r="B3155" s="6" t="n">
        <v>45985</v>
      </c>
      <c r="C3155" t="n">
        <v>17346</v>
      </c>
      <c r="D3155" t="inlineStr">
        <is>
          <t>Jaipur</t>
        </is>
      </c>
      <c r="E3155" t="inlineStr">
        <is>
          <t>North</t>
        </is>
      </c>
      <c r="F3155" t="inlineStr">
        <is>
          <t>Organic Search</t>
        </is>
      </c>
      <c r="G3155" t="inlineStr">
        <is>
          <t>Mobile App</t>
        </is>
      </c>
      <c r="H3155" t="inlineStr">
        <is>
          <t>Cash on Delivery</t>
        </is>
      </c>
      <c r="I3155" t="inlineStr">
        <is>
          <t>Delivered</t>
        </is>
      </c>
      <c r="J3155" t="n">
        <v>137</v>
      </c>
      <c r="K3155" t="n">
        <v>1</v>
      </c>
      <c r="L3155" s="7" t="n">
        <v>261</v>
      </c>
      <c r="M3155" s="7" t="n">
        <v>0</v>
      </c>
    </row>
    <row r="3156">
      <c r="A3156" t="n">
        <v>511053</v>
      </c>
      <c r="B3156" s="6" t="n">
        <v>45985</v>
      </c>
      <c r="C3156" t="n">
        <v>17482</v>
      </c>
      <c r="D3156" t="inlineStr">
        <is>
          <t>Lucknow</t>
        </is>
      </c>
      <c r="E3156" t="inlineStr">
        <is>
          <t>North</t>
        </is>
      </c>
      <c r="F3156" t="inlineStr">
        <is>
          <t>Paid Search</t>
        </is>
      </c>
      <c r="G3156" t="inlineStr">
        <is>
          <t>Mobile Web</t>
        </is>
      </c>
      <c r="H3156" t="inlineStr">
        <is>
          <t>UPI</t>
        </is>
      </c>
      <c r="I3156" t="inlineStr">
        <is>
          <t>Delivered</t>
        </is>
      </c>
      <c r="J3156" t="n">
        <v>117</v>
      </c>
      <c r="K3156" t="n">
        <v>1</v>
      </c>
      <c r="L3156" s="7" t="n">
        <v>3149</v>
      </c>
      <c r="M3156" s="7" t="n">
        <v>472.35</v>
      </c>
    </row>
    <row r="3157">
      <c r="A3157" t="n">
        <v>511053</v>
      </c>
      <c r="B3157" s="6" t="n">
        <v>45985</v>
      </c>
      <c r="C3157" t="n">
        <v>17482</v>
      </c>
      <c r="D3157" t="inlineStr">
        <is>
          <t>Lucknow</t>
        </is>
      </c>
      <c r="E3157" t="inlineStr">
        <is>
          <t>North</t>
        </is>
      </c>
      <c r="F3157" t="inlineStr">
        <is>
          <t>Paid Search</t>
        </is>
      </c>
      <c r="G3157" t="inlineStr">
        <is>
          <t>Mobile Web</t>
        </is>
      </c>
      <c r="H3157" t="inlineStr">
        <is>
          <t>UPI</t>
        </is>
      </c>
      <c r="I3157" t="inlineStr">
        <is>
          <t>Delivered</t>
        </is>
      </c>
      <c r="J3157" t="n">
        <v>104</v>
      </c>
      <c r="K3157" t="n">
        <v>2</v>
      </c>
      <c r="L3157" s="7" t="n">
        <v>5249</v>
      </c>
      <c r="M3157" s="7" t="n">
        <v>1574.7</v>
      </c>
    </row>
    <row r="3158">
      <c r="A3158" t="n">
        <v>511053</v>
      </c>
      <c r="B3158" s="6" t="n">
        <v>45985</v>
      </c>
      <c r="C3158" t="n">
        <v>17482</v>
      </c>
      <c r="D3158" t="inlineStr">
        <is>
          <t>Lucknow</t>
        </is>
      </c>
      <c r="E3158" t="inlineStr">
        <is>
          <t>North</t>
        </is>
      </c>
      <c r="F3158" t="inlineStr">
        <is>
          <t>Paid Search</t>
        </is>
      </c>
      <c r="G3158" t="inlineStr">
        <is>
          <t>Mobile Web</t>
        </is>
      </c>
      <c r="H3158" t="inlineStr">
        <is>
          <t>UPI</t>
        </is>
      </c>
      <c r="I3158" t="inlineStr">
        <is>
          <t>Delivered</t>
        </is>
      </c>
      <c r="J3158" t="n">
        <v>142</v>
      </c>
      <c r="K3158" t="n">
        <v>1</v>
      </c>
      <c r="L3158" s="7" t="n">
        <v>839</v>
      </c>
      <c r="M3158" s="7" t="n">
        <v>125.85</v>
      </c>
    </row>
    <row r="3159">
      <c r="A3159" t="n">
        <v>511054</v>
      </c>
      <c r="B3159" s="6" t="n">
        <v>45985</v>
      </c>
      <c r="C3159" t="n">
        <v>16922</v>
      </c>
      <c r="D3159" t="inlineStr">
        <is>
          <t>Chandigarh</t>
        </is>
      </c>
      <c r="E3159" t="inlineStr">
        <is>
          <t>North</t>
        </is>
      </c>
      <c r="F3159" t="inlineStr">
        <is>
          <t>Referral</t>
        </is>
      </c>
      <c r="G3159" t="inlineStr">
        <is>
          <t>Mobile App</t>
        </is>
      </c>
      <c r="H3159" t="inlineStr">
        <is>
          <t>UPI</t>
        </is>
      </c>
      <c r="I3159" t="inlineStr">
        <is>
          <t>Delivered</t>
        </is>
      </c>
      <c r="J3159" t="n">
        <v>126</v>
      </c>
      <c r="K3159" t="n">
        <v>1</v>
      </c>
      <c r="L3159" s="7" t="n">
        <v>471</v>
      </c>
      <c r="M3159" s="7" t="n">
        <v>0</v>
      </c>
    </row>
    <row r="3160">
      <c r="A3160" t="n">
        <v>511055</v>
      </c>
      <c r="B3160" s="6" t="n">
        <v>45985</v>
      </c>
      <c r="C3160" t="n">
        <v>17456</v>
      </c>
      <c r="D3160" t="inlineStr">
        <is>
          <t>Delhi</t>
        </is>
      </c>
      <c r="E3160" t="inlineStr">
        <is>
          <t>North</t>
        </is>
      </c>
      <c r="F3160" t="inlineStr">
        <is>
          <t>Email</t>
        </is>
      </c>
      <c r="G3160" t="inlineStr">
        <is>
          <t>Mobile App</t>
        </is>
      </c>
      <c r="H3160" t="inlineStr">
        <is>
          <t>UPI</t>
        </is>
      </c>
      <c r="I3160" t="inlineStr">
        <is>
          <t>Cancelled</t>
        </is>
      </c>
      <c r="J3160" t="n">
        <v>104</v>
      </c>
      <c r="K3160" t="n">
        <v>1</v>
      </c>
      <c r="L3160" s="7" t="n">
        <v>5249</v>
      </c>
      <c r="M3160" s="7" t="n">
        <v>787.35</v>
      </c>
    </row>
    <row r="3161">
      <c r="A3161" t="n">
        <v>511056</v>
      </c>
      <c r="B3161" s="6" t="n">
        <v>45985</v>
      </c>
      <c r="C3161" t="n">
        <v>16365</v>
      </c>
      <c r="D3161" t="inlineStr">
        <is>
          <t>Delhi</t>
        </is>
      </c>
      <c r="E3161" t="inlineStr">
        <is>
          <t>North</t>
        </is>
      </c>
      <c r="F3161" t="inlineStr">
        <is>
          <t>Paid Search</t>
        </is>
      </c>
      <c r="G3161" t="inlineStr">
        <is>
          <t>Mobile App</t>
        </is>
      </c>
      <c r="H3161" t="inlineStr">
        <is>
          <t>UPI</t>
        </is>
      </c>
      <c r="I3161" t="inlineStr">
        <is>
          <t>Delivered</t>
        </is>
      </c>
      <c r="J3161" t="n">
        <v>116</v>
      </c>
      <c r="K3161" t="n">
        <v>1</v>
      </c>
      <c r="L3161" s="7" t="n">
        <v>2624</v>
      </c>
      <c r="M3161" s="7" t="n">
        <v>0</v>
      </c>
    </row>
    <row r="3162">
      <c r="A3162" t="n">
        <v>511057</v>
      </c>
      <c r="B3162" s="6" t="n">
        <v>45985</v>
      </c>
      <c r="C3162" t="n">
        <v>12458</v>
      </c>
      <c r="D3162" t="inlineStr">
        <is>
          <t>Noida</t>
        </is>
      </c>
      <c r="E3162" t="inlineStr">
        <is>
          <t>North</t>
        </is>
      </c>
      <c r="F3162" t="inlineStr">
        <is>
          <t>Organic Search</t>
        </is>
      </c>
      <c r="G3162" t="inlineStr">
        <is>
          <t>Mobile App</t>
        </is>
      </c>
      <c r="H3162" t="inlineStr">
        <is>
          <t>Cash on Delivery</t>
        </is>
      </c>
      <c r="I3162" t="inlineStr">
        <is>
          <t>Delivered</t>
        </is>
      </c>
      <c r="J3162" t="n">
        <v>117</v>
      </c>
      <c r="K3162" t="n">
        <v>1</v>
      </c>
      <c r="L3162" s="7" t="n">
        <v>3149</v>
      </c>
      <c r="M3162" s="7" t="n">
        <v>0</v>
      </c>
    </row>
    <row r="3163">
      <c r="A3163" t="n">
        <v>511058</v>
      </c>
      <c r="B3163" s="6" t="n">
        <v>45985</v>
      </c>
      <c r="C3163" t="n">
        <v>16682</v>
      </c>
      <c r="D3163" t="inlineStr">
        <is>
          <t>Chandigarh</t>
        </is>
      </c>
      <c r="E3163" t="inlineStr">
        <is>
          <t>North</t>
        </is>
      </c>
      <c r="F3163" t="inlineStr">
        <is>
          <t>Email</t>
        </is>
      </c>
      <c r="G3163" t="inlineStr">
        <is>
          <t>Mobile App</t>
        </is>
      </c>
      <c r="H3163" t="inlineStr">
        <is>
          <t>Cash on Delivery</t>
        </is>
      </c>
      <c r="I3163" t="inlineStr">
        <is>
          <t>Delivered</t>
        </is>
      </c>
      <c r="J3163" t="n">
        <v>118</v>
      </c>
      <c r="K3163" t="n">
        <v>2</v>
      </c>
      <c r="L3163" s="7" t="n">
        <v>944</v>
      </c>
      <c r="M3163" s="7" t="n">
        <v>0</v>
      </c>
    </row>
    <row r="3164">
      <c r="A3164" t="n">
        <v>511058</v>
      </c>
      <c r="B3164" s="6" t="n">
        <v>45985</v>
      </c>
      <c r="C3164" t="n">
        <v>16682</v>
      </c>
      <c r="D3164" t="inlineStr">
        <is>
          <t>Chandigarh</t>
        </is>
      </c>
      <c r="E3164" t="inlineStr">
        <is>
          <t>North</t>
        </is>
      </c>
      <c r="F3164" t="inlineStr">
        <is>
          <t>Email</t>
        </is>
      </c>
      <c r="G3164" t="inlineStr">
        <is>
          <t>Mobile App</t>
        </is>
      </c>
      <c r="H3164" t="inlineStr">
        <is>
          <t>Cash on Delivery</t>
        </is>
      </c>
      <c r="I3164" t="inlineStr">
        <is>
          <t>Delivered</t>
        </is>
      </c>
      <c r="J3164" t="n">
        <v>137</v>
      </c>
      <c r="K3164" t="n">
        <v>1</v>
      </c>
      <c r="L3164" s="7" t="n">
        <v>261</v>
      </c>
      <c r="M3164" s="7" t="n">
        <v>0</v>
      </c>
    </row>
    <row r="3165">
      <c r="A3165" t="n">
        <v>511059</v>
      </c>
      <c r="B3165" s="6" t="n">
        <v>45986</v>
      </c>
      <c r="C3165" t="n">
        <v>17337</v>
      </c>
      <c r="D3165" t="inlineStr">
        <is>
          <t>Ahmedabad</t>
        </is>
      </c>
      <c r="E3165" t="inlineStr">
        <is>
          <t>West</t>
        </is>
      </c>
      <c r="F3165" t="inlineStr">
        <is>
          <t>Paid Social</t>
        </is>
      </c>
      <c r="G3165" t="inlineStr">
        <is>
          <t>Mobile Web</t>
        </is>
      </c>
      <c r="H3165" t="inlineStr">
        <is>
          <t>UPI</t>
        </is>
      </c>
      <c r="I3165" t="inlineStr">
        <is>
          <t>Delivered</t>
        </is>
      </c>
      <c r="J3165" t="n">
        <v>131</v>
      </c>
      <c r="K3165" t="n">
        <v>2</v>
      </c>
      <c r="L3165" s="7" t="n">
        <v>314</v>
      </c>
      <c r="M3165" s="7" t="n">
        <v>0</v>
      </c>
    </row>
    <row r="3166">
      <c r="A3166" t="n">
        <v>511059</v>
      </c>
      <c r="B3166" s="6" t="n">
        <v>45986</v>
      </c>
      <c r="C3166" t="n">
        <v>17337</v>
      </c>
      <c r="D3166" t="inlineStr">
        <is>
          <t>Ahmedabad</t>
        </is>
      </c>
      <c r="E3166" t="inlineStr">
        <is>
          <t>West</t>
        </is>
      </c>
      <c r="F3166" t="inlineStr">
        <is>
          <t>Paid Social</t>
        </is>
      </c>
      <c r="G3166" t="inlineStr">
        <is>
          <t>Mobile Web</t>
        </is>
      </c>
      <c r="H3166" t="inlineStr">
        <is>
          <t>UPI</t>
        </is>
      </c>
      <c r="I3166" t="inlineStr">
        <is>
          <t>Delivered</t>
        </is>
      </c>
      <c r="J3166" t="n">
        <v>141</v>
      </c>
      <c r="K3166" t="n">
        <v>1</v>
      </c>
      <c r="L3166" s="7" t="n">
        <v>261</v>
      </c>
      <c r="M3166" s="7" t="n">
        <v>0</v>
      </c>
    </row>
    <row r="3167">
      <c r="A3167" t="n">
        <v>511060</v>
      </c>
      <c r="B3167" s="6" t="n">
        <v>45986</v>
      </c>
      <c r="C3167" t="n">
        <v>12357</v>
      </c>
      <c r="D3167" t="inlineStr">
        <is>
          <t>Hyderabad</t>
        </is>
      </c>
      <c r="E3167" t="inlineStr">
        <is>
          <t>South</t>
        </is>
      </c>
      <c r="F3167" t="inlineStr">
        <is>
          <t>Referral</t>
        </is>
      </c>
      <c r="G3167" t="inlineStr">
        <is>
          <t>Mobile App</t>
        </is>
      </c>
      <c r="H3167" t="inlineStr">
        <is>
          <t>Cash on Delivery</t>
        </is>
      </c>
      <c r="I3167" t="inlineStr">
        <is>
          <t>Delivered</t>
        </is>
      </c>
      <c r="J3167" t="n">
        <v>106</v>
      </c>
      <c r="K3167" t="n">
        <v>1</v>
      </c>
      <c r="L3167" s="7" t="n">
        <v>1574</v>
      </c>
      <c r="M3167" s="7" t="n">
        <v>0</v>
      </c>
    </row>
    <row r="3168">
      <c r="A3168" t="n">
        <v>511061</v>
      </c>
      <c r="B3168" s="6" t="n">
        <v>45986</v>
      </c>
      <c r="C3168" t="n">
        <v>14167</v>
      </c>
      <c r="D3168" t="inlineStr">
        <is>
          <t>Delhi</t>
        </is>
      </c>
      <c r="E3168" t="inlineStr">
        <is>
          <t>North</t>
        </is>
      </c>
      <c r="F3168" t="inlineStr">
        <is>
          <t>Referral</t>
        </is>
      </c>
      <c r="G3168" t="inlineStr">
        <is>
          <t>Mobile App</t>
        </is>
      </c>
      <c r="H3168" t="inlineStr">
        <is>
          <t>UPI</t>
        </is>
      </c>
      <c r="I3168" t="inlineStr">
        <is>
          <t>Delivered</t>
        </is>
      </c>
      <c r="J3168" t="n">
        <v>119</v>
      </c>
      <c r="K3168" t="n">
        <v>1</v>
      </c>
      <c r="L3168" s="7" t="n">
        <v>2309</v>
      </c>
      <c r="M3168" s="7" t="n">
        <v>0</v>
      </c>
    </row>
    <row r="3169">
      <c r="A3169" t="n">
        <v>511062</v>
      </c>
      <c r="B3169" s="6" t="n">
        <v>45986</v>
      </c>
      <c r="C3169" t="n">
        <v>15850</v>
      </c>
      <c r="D3169" t="inlineStr">
        <is>
          <t>Chennai</t>
        </is>
      </c>
      <c r="E3169" t="inlineStr">
        <is>
          <t>South</t>
        </is>
      </c>
      <c r="F3169" t="inlineStr">
        <is>
          <t>Referral</t>
        </is>
      </c>
      <c r="G3169" t="inlineStr">
        <is>
          <t>Mobile App</t>
        </is>
      </c>
      <c r="H3169" t="inlineStr">
        <is>
          <t>UPI</t>
        </is>
      </c>
      <c r="I3169" t="inlineStr">
        <is>
          <t>Delivered</t>
        </is>
      </c>
      <c r="J3169" t="n">
        <v>128</v>
      </c>
      <c r="K3169" t="n">
        <v>1</v>
      </c>
      <c r="L3169" s="7" t="n">
        <v>1049</v>
      </c>
      <c r="M3169" s="7" t="n">
        <v>0</v>
      </c>
    </row>
    <row r="3170">
      <c r="A3170" t="n">
        <v>511063</v>
      </c>
      <c r="B3170" s="6" t="n">
        <v>45986</v>
      </c>
      <c r="C3170" t="n">
        <v>17453</v>
      </c>
      <c r="D3170" t="inlineStr">
        <is>
          <t>Hyderabad</t>
        </is>
      </c>
      <c r="E3170" t="inlineStr">
        <is>
          <t>South</t>
        </is>
      </c>
      <c r="F3170" t="inlineStr">
        <is>
          <t>Referral</t>
        </is>
      </c>
      <c r="G3170" t="inlineStr">
        <is>
          <t>Mobile App</t>
        </is>
      </c>
      <c r="H3170" t="inlineStr">
        <is>
          <t>Cash on Delivery</t>
        </is>
      </c>
      <c r="I3170" t="inlineStr">
        <is>
          <t>Delivered</t>
        </is>
      </c>
      <c r="J3170" t="n">
        <v>115</v>
      </c>
      <c r="K3170" t="n">
        <v>1</v>
      </c>
      <c r="L3170" s="7" t="n">
        <v>4199</v>
      </c>
      <c r="M3170" s="7" t="n">
        <v>0</v>
      </c>
    </row>
    <row r="3171">
      <c r="A3171" t="n">
        <v>511063</v>
      </c>
      <c r="B3171" s="6" t="n">
        <v>45986</v>
      </c>
      <c r="C3171" t="n">
        <v>17453</v>
      </c>
      <c r="D3171" t="inlineStr">
        <is>
          <t>Hyderabad</t>
        </is>
      </c>
      <c r="E3171" t="inlineStr">
        <is>
          <t>South</t>
        </is>
      </c>
      <c r="F3171" t="inlineStr">
        <is>
          <t>Referral</t>
        </is>
      </c>
      <c r="G3171" t="inlineStr">
        <is>
          <t>Mobile App</t>
        </is>
      </c>
      <c r="H3171" t="inlineStr">
        <is>
          <t>Cash on Delivery</t>
        </is>
      </c>
      <c r="I3171" t="inlineStr">
        <is>
          <t>Delivered</t>
        </is>
      </c>
      <c r="J3171" t="n">
        <v>135</v>
      </c>
      <c r="K3171" t="n">
        <v>1</v>
      </c>
      <c r="L3171" s="7" t="n">
        <v>1574</v>
      </c>
      <c r="M3171" s="7" t="n">
        <v>0</v>
      </c>
    </row>
    <row r="3172">
      <c r="A3172" t="n">
        <v>511064</v>
      </c>
      <c r="B3172" s="6" t="n">
        <v>45986</v>
      </c>
      <c r="C3172" t="n">
        <v>17476</v>
      </c>
      <c r="D3172" t="inlineStr">
        <is>
          <t>Hyderabad</t>
        </is>
      </c>
      <c r="E3172" t="inlineStr">
        <is>
          <t>South</t>
        </is>
      </c>
      <c r="F3172" t="inlineStr">
        <is>
          <t>Organic Search</t>
        </is>
      </c>
      <c r="G3172" t="inlineStr">
        <is>
          <t>Mobile Web</t>
        </is>
      </c>
      <c r="H3172" t="inlineStr">
        <is>
          <t>UPI</t>
        </is>
      </c>
      <c r="I3172" t="inlineStr">
        <is>
          <t>Delivered</t>
        </is>
      </c>
      <c r="J3172" t="n">
        <v>107</v>
      </c>
      <c r="K3172" t="n">
        <v>1</v>
      </c>
      <c r="L3172" s="7" t="n">
        <v>1259</v>
      </c>
      <c r="M3172" s="7" t="n">
        <v>0</v>
      </c>
    </row>
    <row r="3173">
      <c r="A3173" t="n">
        <v>511065</v>
      </c>
      <c r="B3173" s="6" t="n">
        <v>45986</v>
      </c>
      <c r="C3173" t="n">
        <v>17460</v>
      </c>
      <c r="D3173" t="inlineStr">
        <is>
          <t>Pune</t>
        </is>
      </c>
      <c r="E3173" t="inlineStr">
        <is>
          <t>West</t>
        </is>
      </c>
      <c r="F3173" t="inlineStr">
        <is>
          <t>Affiliate</t>
        </is>
      </c>
      <c r="G3173" t="inlineStr">
        <is>
          <t>Mobile App</t>
        </is>
      </c>
      <c r="H3173" t="inlineStr">
        <is>
          <t>UPI</t>
        </is>
      </c>
      <c r="I3173" t="inlineStr">
        <is>
          <t>Delivered</t>
        </is>
      </c>
      <c r="J3173" t="n">
        <v>117</v>
      </c>
      <c r="K3173" t="n">
        <v>1</v>
      </c>
      <c r="L3173" s="7" t="n">
        <v>3149</v>
      </c>
      <c r="M3173" s="7" t="n">
        <v>0</v>
      </c>
    </row>
    <row r="3174">
      <c r="A3174" t="n">
        <v>511065</v>
      </c>
      <c r="B3174" s="6" t="n">
        <v>45986</v>
      </c>
      <c r="C3174" t="n">
        <v>17460</v>
      </c>
      <c r="D3174" t="inlineStr">
        <is>
          <t>Pune</t>
        </is>
      </c>
      <c r="E3174" t="inlineStr">
        <is>
          <t>West</t>
        </is>
      </c>
      <c r="F3174" t="inlineStr">
        <is>
          <t>Affiliate</t>
        </is>
      </c>
      <c r="G3174" t="inlineStr">
        <is>
          <t>Mobile App</t>
        </is>
      </c>
      <c r="H3174" t="inlineStr">
        <is>
          <t>UPI</t>
        </is>
      </c>
      <c r="I3174" t="inlineStr">
        <is>
          <t>Delivered</t>
        </is>
      </c>
      <c r="J3174" t="n">
        <v>103</v>
      </c>
      <c r="K3174" t="n">
        <v>1</v>
      </c>
      <c r="L3174" s="7" t="n">
        <v>2624</v>
      </c>
      <c r="M3174" s="7" t="n">
        <v>0</v>
      </c>
    </row>
    <row r="3175">
      <c r="A3175" t="n">
        <v>511065</v>
      </c>
      <c r="B3175" s="6" t="n">
        <v>45986</v>
      </c>
      <c r="C3175" t="n">
        <v>17460</v>
      </c>
      <c r="D3175" t="inlineStr">
        <is>
          <t>Pune</t>
        </is>
      </c>
      <c r="E3175" t="inlineStr">
        <is>
          <t>West</t>
        </is>
      </c>
      <c r="F3175" t="inlineStr">
        <is>
          <t>Affiliate</t>
        </is>
      </c>
      <c r="G3175" t="inlineStr">
        <is>
          <t>Mobile App</t>
        </is>
      </c>
      <c r="H3175" t="inlineStr">
        <is>
          <t>UPI</t>
        </is>
      </c>
      <c r="I3175" t="inlineStr">
        <is>
          <t>Delivered</t>
        </is>
      </c>
      <c r="J3175" t="n">
        <v>126</v>
      </c>
      <c r="K3175" t="n">
        <v>1</v>
      </c>
      <c r="L3175" s="7" t="n">
        <v>471</v>
      </c>
      <c r="M3175" s="7" t="n">
        <v>0</v>
      </c>
    </row>
    <row r="3176">
      <c r="A3176" t="n">
        <v>511066</v>
      </c>
      <c r="B3176" s="6" t="n">
        <v>45986</v>
      </c>
      <c r="C3176" t="n">
        <v>17418</v>
      </c>
      <c r="D3176" t="inlineStr">
        <is>
          <t>Ahmedabad</t>
        </is>
      </c>
      <c r="E3176" t="inlineStr">
        <is>
          <t>West</t>
        </is>
      </c>
      <c r="F3176" t="inlineStr">
        <is>
          <t>Paid Search</t>
        </is>
      </c>
      <c r="G3176" t="inlineStr">
        <is>
          <t>Desktop</t>
        </is>
      </c>
      <c r="H3176" t="inlineStr">
        <is>
          <t>UPI</t>
        </is>
      </c>
      <c r="I3176" t="inlineStr">
        <is>
          <t>Delivered</t>
        </is>
      </c>
      <c r="J3176" t="n">
        <v>121</v>
      </c>
      <c r="K3176" t="n">
        <v>1</v>
      </c>
      <c r="L3176" s="7" t="n">
        <v>2939</v>
      </c>
      <c r="M3176" s="7" t="n">
        <v>0</v>
      </c>
    </row>
    <row r="3177">
      <c r="A3177" t="n">
        <v>511067</v>
      </c>
      <c r="B3177" s="6" t="n">
        <v>45986</v>
      </c>
      <c r="C3177" t="n">
        <v>15674</v>
      </c>
      <c r="D3177" t="inlineStr">
        <is>
          <t>Bengaluru</t>
        </is>
      </c>
      <c r="E3177" t="inlineStr">
        <is>
          <t>South</t>
        </is>
      </c>
      <c r="F3177" t="inlineStr">
        <is>
          <t>Paid Social</t>
        </is>
      </c>
      <c r="G3177" t="inlineStr">
        <is>
          <t>Mobile Web</t>
        </is>
      </c>
      <c r="H3177" t="inlineStr">
        <is>
          <t>UPI</t>
        </is>
      </c>
      <c r="I3177" t="inlineStr">
        <is>
          <t>Returned</t>
        </is>
      </c>
      <c r="J3177" t="n">
        <v>111</v>
      </c>
      <c r="K3177" t="n">
        <v>1</v>
      </c>
      <c r="L3177" s="7" t="n">
        <v>524</v>
      </c>
      <c r="M3177" s="7" t="n">
        <v>0</v>
      </c>
    </row>
    <row r="3178">
      <c r="A3178" t="n">
        <v>511067</v>
      </c>
      <c r="B3178" s="6" t="n">
        <v>45986</v>
      </c>
      <c r="C3178" t="n">
        <v>15674</v>
      </c>
      <c r="D3178" t="inlineStr">
        <is>
          <t>Bengaluru</t>
        </is>
      </c>
      <c r="E3178" t="inlineStr">
        <is>
          <t>South</t>
        </is>
      </c>
      <c r="F3178" t="inlineStr">
        <is>
          <t>Paid Social</t>
        </is>
      </c>
      <c r="G3178" t="inlineStr">
        <is>
          <t>Mobile Web</t>
        </is>
      </c>
      <c r="H3178" t="inlineStr">
        <is>
          <t>UPI</t>
        </is>
      </c>
      <c r="I3178" t="inlineStr">
        <is>
          <t>Returned</t>
        </is>
      </c>
      <c r="J3178" t="n">
        <v>125</v>
      </c>
      <c r="K3178" t="n">
        <v>1</v>
      </c>
      <c r="L3178" s="7" t="n">
        <v>1364</v>
      </c>
      <c r="M3178" s="7" t="n">
        <v>0</v>
      </c>
    </row>
    <row r="3179">
      <c r="A3179" t="n">
        <v>511068</v>
      </c>
      <c r="B3179" s="6" t="n">
        <v>45986</v>
      </c>
      <c r="C3179" t="n">
        <v>14878</v>
      </c>
      <c r="D3179" t="inlineStr">
        <is>
          <t>Kochi</t>
        </is>
      </c>
      <c r="E3179" t="inlineStr">
        <is>
          <t>South</t>
        </is>
      </c>
      <c r="F3179" t="inlineStr">
        <is>
          <t>Email</t>
        </is>
      </c>
      <c r="G3179" t="inlineStr">
        <is>
          <t>Mobile Web</t>
        </is>
      </c>
      <c r="H3179" t="inlineStr">
        <is>
          <t>UPI</t>
        </is>
      </c>
      <c r="I3179" t="inlineStr">
        <is>
          <t>Delivered</t>
        </is>
      </c>
      <c r="J3179" t="n">
        <v>112</v>
      </c>
      <c r="K3179" t="n">
        <v>1</v>
      </c>
      <c r="L3179" s="7" t="n">
        <v>1574</v>
      </c>
      <c r="M3179" s="7" t="n">
        <v>0</v>
      </c>
    </row>
    <row r="3180">
      <c r="A3180" t="n">
        <v>511068</v>
      </c>
      <c r="B3180" s="6" t="n">
        <v>45986</v>
      </c>
      <c r="C3180" t="n">
        <v>14878</v>
      </c>
      <c r="D3180" t="inlineStr">
        <is>
          <t>Kochi</t>
        </is>
      </c>
      <c r="E3180" t="inlineStr">
        <is>
          <t>South</t>
        </is>
      </c>
      <c r="F3180" t="inlineStr">
        <is>
          <t>Email</t>
        </is>
      </c>
      <c r="G3180" t="inlineStr">
        <is>
          <t>Mobile Web</t>
        </is>
      </c>
      <c r="H3180" t="inlineStr">
        <is>
          <t>UPI</t>
        </is>
      </c>
      <c r="I3180" t="inlineStr">
        <is>
          <t>Delivered</t>
        </is>
      </c>
      <c r="J3180" t="n">
        <v>102</v>
      </c>
      <c r="K3180" t="n">
        <v>1</v>
      </c>
      <c r="L3180" s="7" t="n">
        <v>3674</v>
      </c>
      <c r="M3180" s="7" t="n">
        <v>0</v>
      </c>
    </row>
    <row r="3181">
      <c r="A3181" t="n">
        <v>511068</v>
      </c>
      <c r="B3181" s="6" t="n">
        <v>45986</v>
      </c>
      <c r="C3181" t="n">
        <v>14878</v>
      </c>
      <c r="D3181" t="inlineStr">
        <is>
          <t>Kochi</t>
        </is>
      </c>
      <c r="E3181" t="inlineStr">
        <is>
          <t>South</t>
        </is>
      </c>
      <c r="F3181" t="inlineStr">
        <is>
          <t>Email</t>
        </is>
      </c>
      <c r="G3181" t="inlineStr">
        <is>
          <t>Mobile Web</t>
        </is>
      </c>
      <c r="H3181" t="inlineStr">
        <is>
          <t>UPI</t>
        </is>
      </c>
      <c r="I3181" t="inlineStr">
        <is>
          <t>Delivered</t>
        </is>
      </c>
      <c r="J3181" t="n">
        <v>120</v>
      </c>
      <c r="K3181" t="n">
        <v>1</v>
      </c>
      <c r="L3181" s="7" t="n">
        <v>734</v>
      </c>
      <c r="M3181" s="7" t="n">
        <v>0</v>
      </c>
    </row>
    <row r="3182">
      <c r="A3182" t="n">
        <v>511068</v>
      </c>
      <c r="B3182" s="6" t="n">
        <v>45986</v>
      </c>
      <c r="C3182" t="n">
        <v>14878</v>
      </c>
      <c r="D3182" t="inlineStr">
        <is>
          <t>Kochi</t>
        </is>
      </c>
      <c r="E3182" t="inlineStr">
        <is>
          <t>South</t>
        </is>
      </c>
      <c r="F3182" t="inlineStr">
        <is>
          <t>Email</t>
        </is>
      </c>
      <c r="G3182" t="inlineStr">
        <is>
          <t>Mobile Web</t>
        </is>
      </c>
      <c r="H3182" t="inlineStr">
        <is>
          <t>UPI</t>
        </is>
      </c>
      <c r="I3182" t="inlineStr">
        <is>
          <t>Delivered</t>
        </is>
      </c>
      <c r="J3182" t="n">
        <v>138</v>
      </c>
      <c r="K3182" t="n">
        <v>1</v>
      </c>
      <c r="L3182" s="7" t="n">
        <v>419</v>
      </c>
      <c r="M3182" s="7" t="n">
        <v>0</v>
      </c>
    </row>
    <row r="3183">
      <c r="A3183" t="n">
        <v>511069</v>
      </c>
      <c r="B3183" s="6" t="n">
        <v>45986</v>
      </c>
      <c r="C3183" t="n">
        <v>17468</v>
      </c>
      <c r="D3183" t="inlineStr">
        <is>
          <t>Bengaluru</t>
        </is>
      </c>
      <c r="E3183" t="inlineStr">
        <is>
          <t>South</t>
        </is>
      </c>
      <c r="F3183" t="inlineStr">
        <is>
          <t>Referral</t>
        </is>
      </c>
      <c r="G3183" t="inlineStr">
        <is>
          <t>Mobile App</t>
        </is>
      </c>
      <c r="H3183" t="inlineStr">
        <is>
          <t>UPI</t>
        </is>
      </c>
      <c r="I3183" t="inlineStr">
        <is>
          <t>Delivered</t>
        </is>
      </c>
      <c r="J3183" t="n">
        <v>109</v>
      </c>
      <c r="K3183" t="n">
        <v>1</v>
      </c>
      <c r="L3183" s="7" t="n">
        <v>4199</v>
      </c>
      <c r="M3183" s="7" t="n">
        <v>629.85</v>
      </c>
    </row>
    <row r="3184">
      <c r="A3184" t="n">
        <v>511069</v>
      </c>
      <c r="B3184" s="6" t="n">
        <v>45986</v>
      </c>
      <c r="C3184" t="n">
        <v>17468</v>
      </c>
      <c r="D3184" t="inlineStr">
        <is>
          <t>Bengaluru</t>
        </is>
      </c>
      <c r="E3184" t="inlineStr">
        <is>
          <t>South</t>
        </is>
      </c>
      <c r="F3184" t="inlineStr">
        <is>
          <t>Referral</t>
        </is>
      </c>
      <c r="G3184" t="inlineStr">
        <is>
          <t>Mobile App</t>
        </is>
      </c>
      <c r="H3184" t="inlineStr">
        <is>
          <t>UPI</t>
        </is>
      </c>
      <c r="I3184" t="inlineStr">
        <is>
          <t>Delivered</t>
        </is>
      </c>
      <c r="J3184" t="n">
        <v>107</v>
      </c>
      <c r="K3184" t="n">
        <v>1</v>
      </c>
      <c r="L3184" s="7" t="n">
        <v>1259</v>
      </c>
      <c r="M3184" s="7" t="n">
        <v>188.85</v>
      </c>
    </row>
    <row r="3185">
      <c r="A3185" t="n">
        <v>511070</v>
      </c>
      <c r="B3185" s="6" t="n">
        <v>45986</v>
      </c>
      <c r="C3185" t="n">
        <v>17457</v>
      </c>
      <c r="D3185" t="inlineStr">
        <is>
          <t>Chennai</t>
        </is>
      </c>
      <c r="E3185" t="inlineStr">
        <is>
          <t>South</t>
        </is>
      </c>
      <c r="F3185" t="inlineStr">
        <is>
          <t>Referral</t>
        </is>
      </c>
      <c r="G3185" t="inlineStr">
        <is>
          <t>Mobile App</t>
        </is>
      </c>
      <c r="H3185" t="inlineStr">
        <is>
          <t>UPI</t>
        </is>
      </c>
      <c r="I3185" t="inlineStr">
        <is>
          <t>Delivered</t>
        </is>
      </c>
      <c r="J3185" t="n">
        <v>135</v>
      </c>
      <c r="K3185" t="n">
        <v>2</v>
      </c>
      <c r="L3185" s="7" t="n">
        <v>1574</v>
      </c>
      <c r="M3185" s="7" t="n">
        <v>472.2</v>
      </c>
    </row>
    <row r="3186">
      <c r="A3186" t="n">
        <v>511071</v>
      </c>
      <c r="B3186" s="6" t="n">
        <v>45986</v>
      </c>
      <c r="C3186" t="n">
        <v>17479</v>
      </c>
      <c r="D3186" t="inlineStr">
        <is>
          <t>Mumbai</t>
        </is>
      </c>
      <c r="E3186" t="inlineStr">
        <is>
          <t>West</t>
        </is>
      </c>
      <c r="F3186" t="inlineStr">
        <is>
          <t>Paid Social</t>
        </is>
      </c>
      <c r="G3186" t="inlineStr">
        <is>
          <t>Mobile Web</t>
        </is>
      </c>
      <c r="H3186" t="inlineStr">
        <is>
          <t>UPI</t>
        </is>
      </c>
      <c r="I3186" t="inlineStr">
        <is>
          <t>Delivered</t>
        </is>
      </c>
      <c r="J3186" t="n">
        <v>113</v>
      </c>
      <c r="K3186" t="n">
        <v>1</v>
      </c>
      <c r="L3186" s="7" t="n">
        <v>1364</v>
      </c>
      <c r="M3186" s="7" t="n">
        <v>68.2</v>
      </c>
    </row>
    <row r="3187">
      <c r="A3187" t="n">
        <v>511071</v>
      </c>
      <c r="B3187" s="6" t="n">
        <v>45986</v>
      </c>
      <c r="C3187" t="n">
        <v>17479</v>
      </c>
      <c r="D3187" t="inlineStr">
        <is>
          <t>Mumbai</t>
        </is>
      </c>
      <c r="E3187" t="inlineStr">
        <is>
          <t>West</t>
        </is>
      </c>
      <c r="F3187" t="inlineStr">
        <is>
          <t>Paid Social</t>
        </is>
      </c>
      <c r="G3187" t="inlineStr">
        <is>
          <t>Mobile Web</t>
        </is>
      </c>
      <c r="H3187" t="inlineStr">
        <is>
          <t>UPI</t>
        </is>
      </c>
      <c r="I3187" t="inlineStr">
        <is>
          <t>Delivered</t>
        </is>
      </c>
      <c r="J3187" t="n">
        <v>142</v>
      </c>
      <c r="K3187" t="n">
        <v>1</v>
      </c>
      <c r="L3187" s="7" t="n">
        <v>839</v>
      </c>
      <c r="M3187" s="7" t="n">
        <v>41.95</v>
      </c>
    </row>
    <row r="3188">
      <c r="A3188" t="n">
        <v>511072</v>
      </c>
      <c r="B3188" s="6" t="n">
        <v>45986</v>
      </c>
      <c r="C3188" t="n">
        <v>17075</v>
      </c>
      <c r="D3188" t="inlineStr">
        <is>
          <t>Delhi</t>
        </is>
      </c>
      <c r="E3188" t="inlineStr">
        <is>
          <t>North</t>
        </is>
      </c>
      <c r="F3188" t="inlineStr">
        <is>
          <t>Organic Search</t>
        </is>
      </c>
      <c r="G3188" t="inlineStr">
        <is>
          <t>Desktop</t>
        </is>
      </c>
      <c r="H3188" t="inlineStr">
        <is>
          <t>Cash on Delivery</t>
        </is>
      </c>
      <c r="I3188" t="inlineStr">
        <is>
          <t>Delivered</t>
        </is>
      </c>
      <c r="J3188" t="n">
        <v>118</v>
      </c>
      <c r="K3188" t="n">
        <v>1</v>
      </c>
      <c r="L3188" s="7" t="n">
        <v>944</v>
      </c>
      <c r="M3188" s="7" t="n">
        <v>0</v>
      </c>
    </row>
    <row r="3189">
      <c r="A3189" t="n">
        <v>511073</v>
      </c>
      <c r="B3189" s="6" t="n">
        <v>45986</v>
      </c>
      <c r="C3189" t="n">
        <v>17431</v>
      </c>
      <c r="D3189" t="inlineStr">
        <is>
          <t>Noida</t>
        </is>
      </c>
      <c r="E3189" t="inlineStr">
        <is>
          <t>North</t>
        </is>
      </c>
      <c r="F3189" t="inlineStr">
        <is>
          <t>Paid Social</t>
        </is>
      </c>
      <c r="G3189" t="inlineStr">
        <is>
          <t>Mobile App</t>
        </is>
      </c>
      <c r="H3189" t="inlineStr">
        <is>
          <t>Cash on Delivery</t>
        </is>
      </c>
      <c r="I3189" t="inlineStr">
        <is>
          <t>Delivered</t>
        </is>
      </c>
      <c r="J3189" t="n">
        <v>114</v>
      </c>
      <c r="K3189" t="n">
        <v>1</v>
      </c>
      <c r="L3189" s="7" t="n">
        <v>1259</v>
      </c>
      <c r="M3189" s="7" t="n">
        <v>188.85</v>
      </c>
    </row>
    <row r="3190">
      <c r="A3190" t="n">
        <v>511074</v>
      </c>
      <c r="B3190" s="6" t="n">
        <v>45986</v>
      </c>
      <c r="C3190" t="n">
        <v>17077</v>
      </c>
      <c r="D3190" t="inlineStr">
        <is>
          <t>Noida</t>
        </is>
      </c>
      <c r="E3190" t="inlineStr">
        <is>
          <t>North</t>
        </is>
      </c>
      <c r="F3190" t="inlineStr">
        <is>
          <t>Paid Social</t>
        </is>
      </c>
      <c r="G3190" t="inlineStr">
        <is>
          <t>Mobile App</t>
        </is>
      </c>
      <c r="H3190" t="inlineStr">
        <is>
          <t>UPI</t>
        </is>
      </c>
      <c r="I3190" t="inlineStr">
        <is>
          <t>Delivered</t>
        </is>
      </c>
      <c r="J3190" t="n">
        <v>105</v>
      </c>
      <c r="K3190" t="n">
        <v>1</v>
      </c>
      <c r="L3190" s="7" t="n">
        <v>2414</v>
      </c>
      <c r="M3190" s="7" t="n">
        <v>0</v>
      </c>
    </row>
    <row r="3191">
      <c r="A3191" t="n">
        <v>511075</v>
      </c>
      <c r="B3191" s="6" t="n">
        <v>45986</v>
      </c>
      <c r="C3191" t="n">
        <v>17490</v>
      </c>
      <c r="D3191" t="inlineStr">
        <is>
          <t>Mumbai</t>
        </is>
      </c>
      <c r="E3191" t="inlineStr">
        <is>
          <t>West</t>
        </is>
      </c>
      <c r="F3191" t="inlineStr">
        <is>
          <t>Paid Search</t>
        </is>
      </c>
      <c r="G3191" t="inlineStr">
        <is>
          <t>Mobile App</t>
        </is>
      </c>
      <c r="H3191" t="inlineStr">
        <is>
          <t>UPI</t>
        </is>
      </c>
      <c r="I3191" t="inlineStr">
        <is>
          <t>Delivered</t>
        </is>
      </c>
      <c r="J3191" t="n">
        <v>134</v>
      </c>
      <c r="K3191" t="n">
        <v>1</v>
      </c>
      <c r="L3191" s="7" t="n">
        <v>209</v>
      </c>
      <c r="M3191" s="7" t="n">
        <v>31.35</v>
      </c>
    </row>
    <row r="3192">
      <c r="A3192" t="n">
        <v>511076</v>
      </c>
      <c r="B3192" s="6" t="n">
        <v>45986</v>
      </c>
      <c r="C3192" t="n">
        <v>17334</v>
      </c>
      <c r="D3192" t="inlineStr">
        <is>
          <t>Delhi</t>
        </is>
      </c>
      <c r="E3192" t="inlineStr">
        <is>
          <t>North</t>
        </is>
      </c>
      <c r="F3192" t="inlineStr">
        <is>
          <t>Organic Search</t>
        </is>
      </c>
      <c r="G3192" t="inlineStr">
        <is>
          <t>Mobile Web</t>
        </is>
      </c>
      <c r="H3192" t="inlineStr">
        <is>
          <t>UPI</t>
        </is>
      </c>
      <c r="I3192" t="inlineStr">
        <is>
          <t>Cancelled</t>
        </is>
      </c>
      <c r="J3192" t="n">
        <v>131</v>
      </c>
      <c r="K3192" t="n">
        <v>2</v>
      </c>
      <c r="L3192" s="7" t="n">
        <v>314</v>
      </c>
      <c r="M3192" s="7" t="n">
        <v>94.2</v>
      </c>
    </row>
    <row r="3193">
      <c r="A3193" t="n">
        <v>511077</v>
      </c>
      <c r="B3193" s="6" t="n">
        <v>45986</v>
      </c>
      <c r="C3193" t="n">
        <v>17424</v>
      </c>
      <c r="D3193" t="inlineStr">
        <is>
          <t>Gurugram</t>
        </is>
      </c>
      <c r="E3193" t="inlineStr">
        <is>
          <t>North</t>
        </is>
      </c>
      <c r="F3193" t="inlineStr">
        <is>
          <t>Organic Search</t>
        </is>
      </c>
      <c r="G3193" t="inlineStr">
        <is>
          <t>Mobile Web</t>
        </is>
      </c>
      <c r="H3193" t="inlineStr">
        <is>
          <t>UPI</t>
        </is>
      </c>
      <c r="I3193" t="inlineStr">
        <is>
          <t>Delivered</t>
        </is>
      </c>
      <c r="J3193" t="n">
        <v>124</v>
      </c>
      <c r="K3193" t="n">
        <v>2</v>
      </c>
      <c r="L3193" s="7" t="n">
        <v>1154</v>
      </c>
      <c r="M3193" s="7" t="n">
        <v>0</v>
      </c>
    </row>
    <row r="3194">
      <c r="A3194" t="n">
        <v>511077</v>
      </c>
      <c r="B3194" s="6" t="n">
        <v>45986</v>
      </c>
      <c r="C3194" t="n">
        <v>17424</v>
      </c>
      <c r="D3194" t="inlineStr">
        <is>
          <t>Gurugram</t>
        </is>
      </c>
      <c r="E3194" t="inlineStr">
        <is>
          <t>North</t>
        </is>
      </c>
      <c r="F3194" t="inlineStr">
        <is>
          <t>Organic Search</t>
        </is>
      </c>
      <c r="G3194" t="inlineStr">
        <is>
          <t>Mobile Web</t>
        </is>
      </c>
      <c r="H3194" t="inlineStr">
        <is>
          <t>UPI</t>
        </is>
      </c>
      <c r="I3194" t="inlineStr">
        <is>
          <t>Delivered</t>
        </is>
      </c>
      <c r="J3194" t="n">
        <v>104</v>
      </c>
      <c r="K3194" t="n">
        <v>2</v>
      </c>
      <c r="L3194" s="7" t="n">
        <v>5249</v>
      </c>
      <c r="M3194" s="7" t="n">
        <v>0</v>
      </c>
    </row>
    <row r="3195">
      <c r="A3195" t="n">
        <v>511078</v>
      </c>
      <c r="B3195" s="6" t="n">
        <v>45986</v>
      </c>
      <c r="C3195" t="n">
        <v>17450</v>
      </c>
      <c r="D3195" t="inlineStr">
        <is>
          <t>Bengaluru</t>
        </is>
      </c>
      <c r="E3195" t="inlineStr">
        <is>
          <t>South</t>
        </is>
      </c>
      <c r="F3195" t="inlineStr">
        <is>
          <t>Organic Search</t>
        </is>
      </c>
      <c r="G3195" t="inlineStr">
        <is>
          <t>Mobile App</t>
        </is>
      </c>
      <c r="H3195" t="inlineStr">
        <is>
          <t>UPI</t>
        </is>
      </c>
      <c r="I3195" t="inlineStr">
        <is>
          <t>Delivered</t>
        </is>
      </c>
      <c r="J3195" t="n">
        <v>136</v>
      </c>
      <c r="K3195" t="n">
        <v>1</v>
      </c>
      <c r="L3195" s="7" t="n">
        <v>944</v>
      </c>
      <c r="M3195" s="7" t="n">
        <v>0</v>
      </c>
    </row>
    <row r="3196">
      <c r="A3196" t="n">
        <v>511078</v>
      </c>
      <c r="B3196" s="6" t="n">
        <v>45986</v>
      </c>
      <c r="C3196" t="n">
        <v>17450</v>
      </c>
      <c r="D3196" t="inlineStr">
        <is>
          <t>Bengaluru</t>
        </is>
      </c>
      <c r="E3196" t="inlineStr">
        <is>
          <t>South</t>
        </is>
      </c>
      <c r="F3196" t="inlineStr">
        <is>
          <t>Organic Search</t>
        </is>
      </c>
      <c r="G3196" t="inlineStr">
        <is>
          <t>Mobile App</t>
        </is>
      </c>
      <c r="H3196" t="inlineStr">
        <is>
          <t>UPI</t>
        </is>
      </c>
      <c r="I3196" t="inlineStr">
        <is>
          <t>Delivered</t>
        </is>
      </c>
      <c r="J3196" t="n">
        <v>113</v>
      </c>
      <c r="K3196" t="n">
        <v>1</v>
      </c>
      <c r="L3196" s="7" t="n">
        <v>1364</v>
      </c>
      <c r="M3196" s="7" t="n">
        <v>0</v>
      </c>
    </row>
    <row r="3197">
      <c r="A3197" t="n">
        <v>511079</v>
      </c>
      <c r="B3197" s="6" t="n">
        <v>45986</v>
      </c>
      <c r="C3197" t="n">
        <v>17501</v>
      </c>
      <c r="D3197" t="inlineStr">
        <is>
          <t>Kochi</t>
        </is>
      </c>
      <c r="E3197" t="inlineStr">
        <is>
          <t>South</t>
        </is>
      </c>
      <c r="F3197" t="inlineStr">
        <is>
          <t>Email</t>
        </is>
      </c>
      <c r="G3197" t="inlineStr">
        <is>
          <t>Desktop</t>
        </is>
      </c>
      <c r="H3197" t="inlineStr">
        <is>
          <t>Debit Card</t>
        </is>
      </c>
      <c r="I3197" t="inlineStr">
        <is>
          <t>Delivered</t>
        </is>
      </c>
      <c r="J3197" t="n">
        <v>120</v>
      </c>
      <c r="K3197" t="n">
        <v>1</v>
      </c>
      <c r="L3197" s="7" t="n">
        <v>734</v>
      </c>
      <c r="M3197" s="7" t="n">
        <v>110.1</v>
      </c>
    </row>
    <row r="3198">
      <c r="A3198" t="n">
        <v>511080</v>
      </c>
      <c r="B3198" s="6" t="n">
        <v>45986</v>
      </c>
      <c r="C3198" t="n">
        <v>17402</v>
      </c>
      <c r="D3198" t="inlineStr">
        <is>
          <t>Mumbai</t>
        </is>
      </c>
      <c r="E3198" t="inlineStr">
        <is>
          <t>West</t>
        </is>
      </c>
      <c r="F3198" t="inlineStr">
        <is>
          <t>Paid Social</t>
        </is>
      </c>
      <c r="G3198" t="inlineStr">
        <is>
          <t>Mobile App</t>
        </is>
      </c>
      <c r="H3198" t="inlineStr">
        <is>
          <t>Cash on Delivery</t>
        </is>
      </c>
      <c r="I3198" t="inlineStr">
        <is>
          <t>Delivered</t>
        </is>
      </c>
      <c r="J3198" t="n">
        <v>114</v>
      </c>
      <c r="K3198" t="n">
        <v>2</v>
      </c>
      <c r="L3198" s="7" t="n">
        <v>1259</v>
      </c>
      <c r="M3198" s="7" t="n">
        <v>0</v>
      </c>
    </row>
    <row r="3199">
      <c r="A3199" t="n">
        <v>511080</v>
      </c>
      <c r="B3199" s="6" t="n">
        <v>45986</v>
      </c>
      <c r="C3199" t="n">
        <v>17402</v>
      </c>
      <c r="D3199" t="inlineStr">
        <is>
          <t>Mumbai</t>
        </is>
      </c>
      <c r="E3199" t="inlineStr">
        <is>
          <t>West</t>
        </is>
      </c>
      <c r="F3199" t="inlineStr">
        <is>
          <t>Paid Social</t>
        </is>
      </c>
      <c r="G3199" t="inlineStr">
        <is>
          <t>Mobile App</t>
        </is>
      </c>
      <c r="H3199" t="inlineStr">
        <is>
          <t>Cash on Delivery</t>
        </is>
      </c>
      <c r="I3199" t="inlineStr">
        <is>
          <t>Delivered</t>
        </is>
      </c>
      <c r="J3199" t="n">
        <v>137</v>
      </c>
      <c r="K3199" t="n">
        <v>1</v>
      </c>
      <c r="L3199" s="7" t="n">
        <v>261</v>
      </c>
      <c r="M3199" s="7" t="n">
        <v>0</v>
      </c>
    </row>
    <row r="3200">
      <c r="A3200" t="n">
        <v>511081</v>
      </c>
      <c r="B3200" s="6" t="n">
        <v>45986</v>
      </c>
      <c r="C3200" t="n">
        <v>17474</v>
      </c>
      <c r="D3200" t="inlineStr">
        <is>
          <t>Mumbai</t>
        </is>
      </c>
      <c r="E3200" t="inlineStr">
        <is>
          <t>West</t>
        </is>
      </c>
      <c r="F3200" t="inlineStr">
        <is>
          <t>Paid Social</t>
        </is>
      </c>
      <c r="G3200" t="inlineStr">
        <is>
          <t>Mobile App</t>
        </is>
      </c>
      <c r="H3200" t="inlineStr">
        <is>
          <t>Cash on Delivery</t>
        </is>
      </c>
      <c r="I3200" t="inlineStr">
        <is>
          <t>Delivered</t>
        </is>
      </c>
      <c r="J3200" t="n">
        <v>106</v>
      </c>
      <c r="K3200" t="n">
        <v>1</v>
      </c>
      <c r="L3200" s="7" t="n">
        <v>1574</v>
      </c>
      <c r="M3200" s="7" t="n">
        <v>236.1</v>
      </c>
    </row>
    <row r="3201">
      <c r="A3201" t="n">
        <v>511082</v>
      </c>
      <c r="B3201" s="6" t="n">
        <v>45987</v>
      </c>
      <c r="C3201" t="n">
        <v>14057</v>
      </c>
      <c r="D3201" t="inlineStr">
        <is>
          <t>Pune</t>
        </is>
      </c>
      <c r="E3201" t="inlineStr">
        <is>
          <t>West</t>
        </is>
      </c>
      <c r="F3201" t="inlineStr">
        <is>
          <t>Organic Search</t>
        </is>
      </c>
      <c r="G3201" t="inlineStr">
        <is>
          <t>Mobile App</t>
        </is>
      </c>
      <c r="H3201" t="inlineStr">
        <is>
          <t>Credit Card</t>
        </is>
      </c>
      <c r="I3201" t="inlineStr">
        <is>
          <t>Delivered</t>
        </is>
      </c>
      <c r="J3201" t="n">
        <v>148</v>
      </c>
      <c r="K3201" t="n">
        <v>1</v>
      </c>
      <c r="L3201" s="7" t="n">
        <v>734</v>
      </c>
      <c r="M3201" s="7" t="n">
        <v>36.7</v>
      </c>
    </row>
    <row r="3202">
      <c r="A3202" t="n">
        <v>511083</v>
      </c>
      <c r="B3202" s="6" t="n">
        <v>45987</v>
      </c>
      <c r="C3202" t="n">
        <v>17495</v>
      </c>
      <c r="D3202" t="inlineStr">
        <is>
          <t>Bengaluru</t>
        </is>
      </c>
      <c r="E3202" t="inlineStr">
        <is>
          <t>South</t>
        </is>
      </c>
      <c r="F3202" t="inlineStr">
        <is>
          <t>Paid Social</t>
        </is>
      </c>
      <c r="G3202" t="inlineStr">
        <is>
          <t>Mobile Web</t>
        </is>
      </c>
      <c r="H3202" t="inlineStr">
        <is>
          <t>UPI</t>
        </is>
      </c>
      <c r="I3202" t="inlineStr">
        <is>
          <t>Delivered</t>
        </is>
      </c>
      <c r="J3202" t="n">
        <v>130</v>
      </c>
      <c r="K3202" t="n">
        <v>1</v>
      </c>
      <c r="L3202" s="7" t="n">
        <v>734</v>
      </c>
      <c r="M3202" s="7" t="n">
        <v>0</v>
      </c>
    </row>
    <row r="3203">
      <c r="A3203" t="n">
        <v>511083</v>
      </c>
      <c r="B3203" s="6" t="n">
        <v>45987</v>
      </c>
      <c r="C3203" t="n">
        <v>17495</v>
      </c>
      <c r="D3203" t="inlineStr">
        <is>
          <t>Bengaluru</t>
        </is>
      </c>
      <c r="E3203" t="inlineStr">
        <is>
          <t>South</t>
        </is>
      </c>
      <c r="F3203" t="inlineStr">
        <is>
          <t>Paid Social</t>
        </is>
      </c>
      <c r="G3203" t="inlineStr">
        <is>
          <t>Mobile Web</t>
        </is>
      </c>
      <c r="H3203" t="inlineStr">
        <is>
          <t>UPI</t>
        </is>
      </c>
      <c r="I3203" t="inlineStr">
        <is>
          <t>Delivered</t>
        </is>
      </c>
      <c r="J3203" t="n">
        <v>138</v>
      </c>
      <c r="K3203" t="n">
        <v>1</v>
      </c>
      <c r="L3203" s="7" t="n">
        <v>419</v>
      </c>
      <c r="M3203" s="7" t="n">
        <v>0</v>
      </c>
    </row>
    <row r="3204">
      <c r="A3204" t="n">
        <v>511083</v>
      </c>
      <c r="B3204" s="6" t="n">
        <v>45987</v>
      </c>
      <c r="C3204" t="n">
        <v>17495</v>
      </c>
      <c r="D3204" t="inlineStr">
        <is>
          <t>Bengaluru</t>
        </is>
      </c>
      <c r="E3204" t="inlineStr">
        <is>
          <t>South</t>
        </is>
      </c>
      <c r="F3204" t="inlineStr">
        <is>
          <t>Paid Social</t>
        </is>
      </c>
      <c r="G3204" t="inlineStr">
        <is>
          <t>Mobile Web</t>
        </is>
      </c>
      <c r="H3204" t="inlineStr">
        <is>
          <t>UPI</t>
        </is>
      </c>
      <c r="I3204" t="inlineStr">
        <is>
          <t>Delivered</t>
        </is>
      </c>
      <c r="J3204" t="n">
        <v>127</v>
      </c>
      <c r="K3204" t="n">
        <v>2</v>
      </c>
      <c r="L3204" s="7" t="n">
        <v>681</v>
      </c>
      <c r="M3204" s="7" t="n">
        <v>0</v>
      </c>
    </row>
    <row r="3205">
      <c r="A3205" t="n">
        <v>511084</v>
      </c>
      <c r="B3205" s="6" t="n">
        <v>45987</v>
      </c>
      <c r="C3205" t="n">
        <v>17512</v>
      </c>
      <c r="D3205" t="inlineStr">
        <is>
          <t>Bengaluru</t>
        </is>
      </c>
      <c r="E3205" t="inlineStr">
        <is>
          <t>South</t>
        </is>
      </c>
      <c r="F3205" t="inlineStr">
        <is>
          <t>Paid Social</t>
        </is>
      </c>
      <c r="G3205" t="inlineStr">
        <is>
          <t>Mobile Web</t>
        </is>
      </c>
      <c r="H3205" t="inlineStr">
        <is>
          <t>UPI</t>
        </is>
      </c>
      <c r="I3205" t="inlineStr">
        <is>
          <t>Delivered</t>
        </is>
      </c>
      <c r="J3205" t="n">
        <v>120</v>
      </c>
      <c r="K3205" t="n">
        <v>1</v>
      </c>
      <c r="L3205" s="7" t="n">
        <v>734</v>
      </c>
      <c r="M3205" s="7" t="n">
        <v>36.7</v>
      </c>
    </row>
    <row r="3206">
      <c r="A3206" t="n">
        <v>511085</v>
      </c>
      <c r="B3206" s="6" t="n">
        <v>45987</v>
      </c>
      <c r="C3206" t="n">
        <v>17487</v>
      </c>
      <c r="D3206" t="inlineStr">
        <is>
          <t>Pune</t>
        </is>
      </c>
      <c r="E3206" t="inlineStr">
        <is>
          <t>West</t>
        </is>
      </c>
      <c r="F3206" t="inlineStr">
        <is>
          <t>Paid Search</t>
        </is>
      </c>
      <c r="G3206" t="inlineStr">
        <is>
          <t>Mobile Web</t>
        </is>
      </c>
      <c r="H3206" t="inlineStr">
        <is>
          <t>Credit Card</t>
        </is>
      </c>
      <c r="I3206" t="inlineStr">
        <is>
          <t>Returned</t>
        </is>
      </c>
      <c r="J3206" t="n">
        <v>115</v>
      </c>
      <c r="K3206" t="n">
        <v>1</v>
      </c>
      <c r="L3206" s="7" t="n">
        <v>4199</v>
      </c>
      <c r="M3206" s="7" t="n">
        <v>629.85</v>
      </c>
    </row>
    <row r="3207">
      <c r="A3207" t="n">
        <v>511086</v>
      </c>
      <c r="B3207" s="6" t="n">
        <v>45987</v>
      </c>
      <c r="C3207" t="n">
        <v>17405</v>
      </c>
      <c r="D3207" t="inlineStr">
        <is>
          <t>Delhi</t>
        </is>
      </c>
      <c r="E3207" t="inlineStr">
        <is>
          <t>North</t>
        </is>
      </c>
      <c r="F3207" t="inlineStr">
        <is>
          <t>Organic Search</t>
        </is>
      </c>
      <c r="G3207" t="inlineStr">
        <is>
          <t>Mobile Web</t>
        </is>
      </c>
      <c r="H3207" t="inlineStr">
        <is>
          <t>Debit Card</t>
        </is>
      </c>
      <c r="I3207" t="inlineStr">
        <is>
          <t>Delivered</t>
        </is>
      </c>
      <c r="J3207" t="n">
        <v>120</v>
      </c>
      <c r="K3207" t="n">
        <v>1</v>
      </c>
      <c r="L3207" s="7" t="n">
        <v>734</v>
      </c>
      <c r="M3207" s="7" t="n">
        <v>110.1</v>
      </c>
    </row>
    <row r="3208">
      <c r="A3208" t="n">
        <v>511087</v>
      </c>
      <c r="B3208" s="6" t="n">
        <v>45987</v>
      </c>
      <c r="C3208" t="n">
        <v>17514</v>
      </c>
      <c r="D3208" t="inlineStr">
        <is>
          <t>Kolkata</t>
        </is>
      </c>
      <c r="E3208" t="inlineStr">
        <is>
          <t>East</t>
        </is>
      </c>
      <c r="F3208" t="inlineStr">
        <is>
          <t>Paid Search</t>
        </is>
      </c>
      <c r="G3208" t="inlineStr">
        <is>
          <t>Mobile Web</t>
        </is>
      </c>
      <c r="H3208" t="inlineStr">
        <is>
          <t>UPI</t>
        </is>
      </c>
      <c r="I3208" t="inlineStr">
        <is>
          <t>Cancelled</t>
        </is>
      </c>
      <c r="J3208" t="n">
        <v>137</v>
      </c>
      <c r="K3208" t="n">
        <v>1</v>
      </c>
      <c r="L3208" s="7" t="n">
        <v>261</v>
      </c>
      <c r="M3208" s="7" t="n">
        <v>39.15</v>
      </c>
    </row>
    <row r="3209">
      <c r="A3209" t="n">
        <v>511088</v>
      </c>
      <c r="B3209" s="6" t="n">
        <v>45987</v>
      </c>
      <c r="C3209" t="n">
        <v>16785</v>
      </c>
      <c r="D3209" t="inlineStr">
        <is>
          <t>Delhi</t>
        </is>
      </c>
      <c r="E3209" t="inlineStr">
        <is>
          <t>North</t>
        </is>
      </c>
      <c r="F3209" t="inlineStr">
        <is>
          <t>Organic Search</t>
        </is>
      </c>
      <c r="G3209" t="inlineStr">
        <is>
          <t>Desktop</t>
        </is>
      </c>
      <c r="H3209" t="inlineStr">
        <is>
          <t>UPI</t>
        </is>
      </c>
      <c r="I3209" t="inlineStr">
        <is>
          <t>Delivered</t>
        </is>
      </c>
      <c r="J3209" t="n">
        <v>132</v>
      </c>
      <c r="K3209" t="n">
        <v>1</v>
      </c>
      <c r="L3209" s="7" t="n">
        <v>471</v>
      </c>
      <c r="M3209" s="7" t="n">
        <v>0</v>
      </c>
    </row>
    <row r="3210">
      <c r="A3210" t="n">
        <v>511088</v>
      </c>
      <c r="B3210" s="6" t="n">
        <v>45987</v>
      </c>
      <c r="C3210" t="n">
        <v>16785</v>
      </c>
      <c r="D3210" t="inlineStr">
        <is>
          <t>Delhi</t>
        </is>
      </c>
      <c r="E3210" t="inlineStr">
        <is>
          <t>North</t>
        </is>
      </c>
      <c r="F3210" t="inlineStr">
        <is>
          <t>Organic Search</t>
        </is>
      </c>
      <c r="G3210" t="inlineStr">
        <is>
          <t>Desktop</t>
        </is>
      </c>
      <c r="H3210" t="inlineStr">
        <is>
          <t>UPI</t>
        </is>
      </c>
      <c r="I3210" t="inlineStr">
        <is>
          <t>Delivered</t>
        </is>
      </c>
      <c r="J3210" t="n">
        <v>146</v>
      </c>
      <c r="K3210" t="n">
        <v>1</v>
      </c>
      <c r="L3210" s="7" t="n">
        <v>4724</v>
      </c>
      <c r="M3210" s="7" t="n">
        <v>0</v>
      </c>
    </row>
    <row r="3211">
      <c r="A3211" t="n">
        <v>511088</v>
      </c>
      <c r="B3211" s="6" t="n">
        <v>45987</v>
      </c>
      <c r="C3211" t="n">
        <v>16785</v>
      </c>
      <c r="D3211" t="inlineStr">
        <is>
          <t>Delhi</t>
        </is>
      </c>
      <c r="E3211" t="inlineStr">
        <is>
          <t>North</t>
        </is>
      </c>
      <c r="F3211" t="inlineStr">
        <is>
          <t>Organic Search</t>
        </is>
      </c>
      <c r="G3211" t="inlineStr">
        <is>
          <t>Desktop</t>
        </is>
      </c>
      <c r="H3211" t="inlineStr">
        <is>
          <t>UPI</t>
        </is>
      </c>
      <c r="I3211" t="inlineStr">
        <is>
          <t>Delivered</t>
        </is>
      </c>
      <c r="J3211" t="n">
        <v>126</v>
      </c>
      <c r="K3211" t="n">
        <v>1</v>
      </c>
      <c r="L3211" s="7" t="n">
        <v>471</v>
      </c>
      <c r="M3211" s="7" t="n">
        <v>0</v>
      </c>
    </row>
    <row r="3212">
      <c r="A3212" t="n">
        <v>511088</v>
      </c>
      <c r="B3212" s="6" t="n">
        <v>45987</v>
      </c>
      <c r="C3212" t="n">
        <v>16785</v>
      </c>
      <c r="D3212" t="inlineStr">
        <is>
          <t>Delhi</t>
        </is>
      </c>
      <c r="E3212" t="inlineStr">
        <is>
          <t>North</t>
        </is>
      </c>
      <c r="F3212" t="inlineStr">
        <is>
          <t>Organic Search</t>
        </is>
      </c>
      <c r="G3212" t="inlineStr">
        <is>
          <t>Desktop</t>
        </is>
      </c>
      <c r="H3212" t="inlineStr">
        <is>
          <t>UPI</t>
        </is>
      </c>
      <c r="I3212" t="inlineStr">
        <is>
          <t>Delivered</t>
        </is>
      </c>
      <c r="J3212" t="n">
        <v>117</v>
      </c>
      <c r="K3212" t="n">
        <v>1</v>
      </c>
      <c r="L3212" s="7" t="n">
        <v>3149</v>
      </c>
      <c r="M3212" s="7" t="n">
        <v>0</v>
      </c>
    </row>
    <row r="3213">
      <c r="A3213" t="n">
        <v>511089</v>
      </c>
      <c r="B3213" s="6" t="n">
        <v>45987</v>
      </c>
      <c r="C3213" t="n">
        <v>15221</v>
      </c>
      <c r="D3213" t="inlineStr">
        <is>
          <t>Mumbai</t>
        </is>
      </c>
      <c r="E3213" t="inlineStr">
        <is>
          <t>West</t>
        </is>
      </c>
      <c r="F3213" t="inlineStr">
        <is>
          <t>Organic Search</t>
        </is>
      </c>
      <c r="G3213" t="inlineStr">
        <is>
          <t>Mobile App</t>
        </is>
      </c>
      <c r="H3213" t="inlineStr">
        <is>
          <t>Credit Card</t>
        </is>
      </c>
      <c r="I3213" t="inlineStr">
        <is>
          <t>Delivered</t>
        </is>
      </c>
      <c r="J3213" t="n">
        <v>109</v>
      </c>
      <c r="K3213" t="n">
        <v>1</v>
      </c>
      <c r="L3213" s="7" t="n">
        <v>4199</v>
      </c>
      <c r="M3213" s="7" t="n">
        <v>0</v>
      </c>
    </row>
    <row r="3214">
      <c r="A3214" t="n">
        <v>511089</v>
      </c>
      <c r="B3214" s="6" t="n">
        <v>45987</v>
      </c>
      <c r="C3214" t="n">
        <v>15221</v>
      </c>
      <c r="D3214" t="inlineStr">
        <is>
          <t>Mumbai</t>
        </is>
      </c>
      <c r="E3214" t="inlineStr">
        <is>
          <t>West</t>
        </is>
      </c>
      <c r="F3214" t="inlineStr">
        <is>
          <t>Organic Search</t>
        </is>
      </c>
      <c r="G3214" t="inlineStr">
        <is>
          <t>Mobile App</t>
        </is>
      </c>
      <c r="H3214" t="inlineStr">
        <is>
          <t>Credit Card</t>
        </is>
      </c>
      <c r="I3214" t="inlineStr">
        <is>
          <t>Delivered</t>
        </is>
      </c>
      <c r="J3214" t="n">
        <v>124</v>
      </c>
      <c r="K3214" t="n">
        <v>1</v>
      </c>
      <c r="L3214" s="7" t="n">
        <v>1154</v>
      </c>
      <c r="M3214" s="7" t="n">
        <v>0</v>
      </c>
    </row>
    <row r="3215">
      <c r="A3215" t="n">
        <v>511090</v>
      </c>
      <c r="B3215" s="6" t="n">
        <v>45987</v>
      </c>
      <c r="C3215" t="n">
        <v>17137</v>
      </c>
      <c r="D3215" t="inlineStr">
        <is>
          <t>Bengaluru</t>
        </is>
      </c>
      <c r="E3215" t="inlineStr">
        <is>
          <t>South</t>
        </is>
      </c>
      <c r="F3215" t="inlineStr">
        <is>
          <t>Organic Search</t>
        </is>
      </c>
      <c r="G3215" t="inlineStr">
        <is>
          <t>Mobile App</t>
        </is>
      </c>
      <c r="H3215" t="inlineStr">
        <is>
          <t>Cash on Delivery</t>
        </is>
      </c>
      <c r="I3215" t="inlineStr">
        <is>
          <t>Delivered</t>
        </is>
      </c>
      <c r="J3215" t="n">
        <v>107</v>
      </c>
      <c r="K3215" t="n">
        <v>2</v>
      </c>
      <c r="L3215" s="7" t="n">
        <v>1259</v>
      </c>
      <c r="M3215" s="7" t="n">
        <v>125.9</v>
      </c>
    </row>
    <row r="3216">
      <c r="A3216" t="n">
        <v>511091</v>
      </c>
      <c r="B3216" s="6" t="n">
        <v>45987</v>
      </c>
      <c r="C3216" t="n">
        <v>17510</v>
      </c>
      <c r="D3216" t="inlineStr">
        <is>
          <t>Kochi</t>
        </is>
      </c>
      <c r="E3216" t="inlineStr">
        <is>
          <t>South</t>
        </is>
      </c>
      <c r="F3216" t="inlineStr">
        <is>
          <t>Organic Search</t>
        </is>
      </c>
      <c r="G3216" t="inlineStr">
        <is>
          <t>Mobile App</t>
        </is>
      </c>
      <c r="H3216" t="inlineStr">
        <is>
          <t>UPI</t>
        </is>
      </c>
      <c r="I3216" t="inlineStr">
        <is>
          <t>Delivered</t>
        </is>
      </c>
      <c r="J3216" t="n">
        <v>131</v>
      </c>
      <c r="K3216" t="n">
        <v>1</v>
      </c>
      <c r="L3216" s="7" t="n">
        <v>314</v>
      </c>
      <c r="M3216" s="7" t="n">
        <v>0</v>
      </c>
    </row>
    <row r="3217">
      <c r="A3217" t="n">
        <v>511091</v>
      </c>
      <c r="B3217" s="6" t="n">
        <v>45987</v>
      </c>
      <c r="C3217" t="n">
        <v>17510</v>
      </c>
      <c r="D3217" t="inlineStr">
        <is>
          <t>Kochi</t>
        </is>
      </c>
      <c r="E3217" t="inlineStr">
        <is>
          <t>South</t>
        </is>
      </c>
      <c r="F3217" t="inlineStr">
        <is>
          <t>Organic Search</t>
        </is>
      </c>
      <c r="G3217" t="inlineStr">
        <is>
          <t>Mobile App</t>
        </is>
      </c>
      <c r="H3217" t="inlineStr">
        <is>
          <t>UPI</t>
        </is>
      </c>
      <c r="I3217" t="inlineStr">
        <is>
          <t>Delivered</t>
        </is>
      </c>
      <c r="J3217" t="n">
        <v>130</v>
      </c>
      <c r="K3217" t="n">
        <v>1</v>
      </c>
      <c r="L3217" s="7" t="n">
        <v>734</v>
      </c>
      <c r="M3217" s="7" t="n">
        <v>0</v>
      </c>
    </row>
    <row r="3218">
      <c r="A3218" t="n">
        <v>511092</v>
      </c>
      <c r="B3218" s="6" t="n">
        <v>45987</v>
      </c>
      <c r="C3218" t="n">
        <v>15677</v>
      </c>
      <c r="D3218" t="inlineStr">
        <is>
          <t>Ahmedabad</t>
        </is>
      </c>
      <c r="E3218" t="inlineStr">
        <is>
          <t>West</t>
        </is>
      </c>
      <c r="F3218" t="inlineStr">
        <is>
          <t>Referral</t>
        </is>
      </c>
      <c r="G3218" t="inlineStr">
        <is>
          <t>Mobile Web</t>
        </is>
      </c>
      <c r="H3218" t="inlineStr">
        <is>
          <t>UPI</t>
        </is>
      </c>
      <c r="I3218" t="inlineStr">
        <is>
          <t>Delivered</t>
        </is>
      </c>
      <c r="J3218" t="n">
        <v>117</v>
      </c>
      <c r="K3218" t="n">
        <v>1</v>
      </c>
      <c r="L3218" s="7" t="n">
        <v>3149</v>
      </c>
      <c r="M3218" s="7" t="n">
        <v>0</v>
      </c>
    </row>
    <row r="3219">
      <c r="A3219" t="n">
        <v>511092</v>
      </c>
      <c r="B3219" s="6" t="n">
        <v>45987</v>
      </c>
      <c r="C3219" t="n">
        <v>15677</v>
      </c>
      <c r="D3219" t="inlineStr">
        <is>
          <t>Ahmedabad</t>
        </is>
      </c>
      <c r="E3219" t="inlineStr">
        <is>
          <t>West</t>
        </is>
      </c>
      <c r="F3219" t="inlineStr">
        <is>
          <t>Referral</t>
        </is>
      </c>
      <c r="G3219" t="inlineStr">
        <is>
          <t>Mobile Web</t>
        </is>
      </c>
      <c r="H3219" t="inlineStr">
        <is>
          <t>UPI</t>
        </is>
      </c>
      <c r="I3219" t="inlineStr">
        <is>
          <t>Delivered</t>
        </is>
      </c>
      <c r="J3219" t="n">
        <v>137</v>
      </c>
      <c r="K3219" t="n">
        <v>1</v>
      </c>
      <c r="L3219" s="7" t="n">
        <v>261</v>
      </c>
      <c r="M3219" s="7" t="n">
        <v>0</v>
      </c>
    </row>
    <row r="3220">
      <c r="A3220" t="n">
        <v>511093</v>
      </c>
      <c r="B3220" s="6" t="n">
        <v>45987</v>
      </c>
      <c r="C3220" t="n">
        <v>17520</v>
      </c>
      <c r="D3220" t="inlineStr">
        <is>
          <t>Jaipur</t>
        </is>
      </c>
      <c r="E3220" t="inlineStr">
        <is>
          <t>North</t>
        </is>
      </c>
      <c r="F3220" t="inlineStr">
        <is>
          <t>Referral</t>
        </is>
      </c>
      <c r="G3220" t="inlineStr">
        <is>
          <t>Mobile Web</t>
        </is>
      </c>
      <c r="H3220" t="inlineStr">
        <is>
          <t>UPI</t>
        </is>
      </c>
      <c r="I3220" t="inlineStr">
        <is>
          <t>Delivered</t>
        </is>
      </c>
      <c r="J3220" t="n">
        <v>107</v>
      </c>
      <c r="K3220" t="n">
        <v>1</v>
      </c>
      <c r="L3220" s="7" t="n">
        <v>1259</v>
      </c>
      <c r="M3220" s="7" t="n">
        <v>188.85</v>
      </c>
    </row>
    <row r="3221">
      <c r="A3221" t="n">
        <v>511094</v>
      </c>
      <c r="B3221" s="6" t="n">
        <v>45987</v>
      </c>
      <c r="C3221" t="n">
        <v>13089</v>
      </c>
      <c r="D3221" t="inlineStr">
        <is>
          <t>Pune</t>
        </is>
      </c>
      <c r="E3221" t="inlineStr">
        <is>
          <t>West</t>
        </is>
      </c>
      <c r="F3221" t="inlineStr">
        <is>
          <t>Referral</t>
        </is>
      </c>
      <c r="G3221" t="inlineStr">
        <is>
          <t>Mobile App</t>
        </is>
      </c>
      <c r="H3221" t="inlineStr">
        <is>
          <t>UPI</t>
        </is>
      </c>
      <c r="I3221" t="inlineStr">
        <is>
          <t>Delivered</t>
        </is>
      </c>
      <c r="J3221" t="n">
        <v>112</v>
      </c>
      <c r="K3221" t="n">
        <v>2</v>
      </c>
      <c r="L3221" s="7" t="n">
        <v>1574</v>
      </c>
      <c r="M3221" s="7" t="n">
        <v>0</v>
      </c>
    </row>
    <row r="3222">
      <c r="A3222" t="n">
        <v>511095</v>
      </c>
      <c r="B3222" s="6" t="n">
        <v>45987</v>
      </c>
      <c r="C3222" t="n">
        <v>17480</v>
      </c>
      <c r="D3222" t="inlineStr">
        <is>
          <t>Chennai</t>
        </is>
      </c>
      <c r="E3222" t="inlineStr">
        <is>
          <t>South</t>
        </is>
      </c>
      <c r="F3222" t="inlineStr">
        <is>
          <t>Paid Search</t>
        </is>
      </c>
      <c r="G3222" t="inlineStr">
        <is>
          <t>Desktop</t>
        </is>
      </c>
      <c r="H3222" t="inlineStr">
        <is>
          <t>Credit Card</t>
        </is>
      </c>
      <c r="I3222" t="inlineStr">
        <is>
          <t>Delivered</t>
        </is>
      </c>
      <c r="J3222" t="n">
        <v>105</v>
      </c>
      <c r="K3222" t="n">
        <v>1</v>
      </c>
      <c r="L3222" s="7" t="n">
        <v>2414</v>
      </c>
      <c r="M3222" s="7" t="n">
        <v>362.1</v>
      </c>
    </row>
    <row r="3223">
      <c r="A3223" t="n">
        <v>511095</v>
      </c>
      <c r="B3223" s="6" t="n">
        <v>45987</v>
      </c>
      <c r="C3223" t="n">
        <v>17480</v>
      </c>
      <c r="D3223" t="inlineStr">
        <is>
          <t>Chennai</t>
        </is>
      </c>
      <c r="E3223" t="inlineStr">
        <is>
          <t>South</t>
        </is>
      </c>
      <c r="F3223" t="inlineStr">
        <is>
          <t>Paid Search</t>
        </is>
      </c>
      <c r="G3223" t="inlineStr">
        <is>
          <t>Desktop</t>
        </is>
      </c>
      <c r="H3223" t="inlineStr">
        <is>
          <t>Credit Card</t>
        </is>
      </c>
      <c r="I3223" t="inlineStr">
        <is>
          <t>Delivered</t>
        </is>
      </c>
      <c r="J3223" t="n">
        <v>126</v>
      </c>
      <c r="K3223" t="n">
        <v>1</v>
      </c>
      <c r="L3223" s="7" t="n">
        <v>471</v>
      </c>
      <c r="M3223" s="7" t="n">
        <v>70.65000000000001</v>
      </c>
    </row>
    <row r="3224">
      <c r="A3224" t="n">
        <v>511096</v>
      </c>
      <c r="B3224" s="6" t="n">
        <v>45987</v>
      </c>
      <c r="C3224" t="n">
        <v>17497</v>
      </c>
      <c r="D3224" t="inlineStr">
        <is>
          <t>Chennai</t>
        </is>
      </c>
      <c r="E3224" t="inlineStr">
        <is>
          <t>South</t>
        </is>
      </c>
      <c r="F3224" t="inlineStr">
        <is>
          <t>Email</t>
        </is>
      </c>
      <c r="G3224" t="inlineStr">
        <is>
          <t>Mobile App</t>
        </is>
      </c>
      <c r="H3224" t="inlineStr">
        <is>
          <t>Cash on Delivery</t>
        </is>
      </c>
      <c r="I3224" t="inlineStr">
        <is>
          <t>Delivered</t>
        </is>
      </c>
      <c r="J3224" t="n">
        <v>103</v>
      </c>
      <c r="K3224" t="n">
        <v>1</v>
      </c>
      <c r="L3224" s="7" t="n">
        <v>2624</v>
      </c>
      <c r="M3224" s="7" t="n">
        <v>393.6</v>
      </c>
    </row>
    <row r="3225">
      <c r="A3225" t="n">
        <v>511097</v>
      </c>
      <c r="B3225" s="6" t="n">
        <v>45987</v>
      </c>
      <c r="C3225" t="n">
        <v>17436</v>
      </c>
      <c r="D3225" t="inlineStr">
        <is>
          <t>Mumbai</t>
        </is>
      </c>
      <c r="E3225" t="inlineStr">
        <is>
          <t>West</t>
        </is>
      </c>
      <c r="F3225" t="inlineStr">
        <is>
          <t>Affiliate</t>
        </is>
      </c>
      <c r="G3225" t="inlineStr">
        <is>
          <t>Mobile Web</t>
        </is>
      </c>
      <c r="H3225" t="inlineStr">
        <is>
          <t>Credit Card</t>
        </is>
      </c>
      <c r="I3225" t="inlineStr">
        <is>
          <t>Delivered</t>
        </is>
      </c>
      <c r="J3225" t="n">
        <v>116</v>
      </c>
      <c r="K3225" t="n">
        <v>1</v>
      </c>
      <c r="L3225" s="7" t="n">
        <v>2624</v>
      </c>
      <c r="M3225" s="7" t="n">
        <v>0</v>
      </c>
    </row>
    <row r="3226">
      <c r="A3226" t="n">
        <v>511097</v>
      </c>
      <c r="B3226" s="6" t="n">
        <v>45987</v>
      </c>
      <c r="C3226" t="n">
        <v>17436</v>
      </c>
      <c r="D3226" t="inlineStr">
        <is>
          <t>Mumbai</t>
        </is>
      </c>
      <c r="E3226" t="inlineStr">
        <is>
          <t>West</t>
        </is>
      </c>
      <c r="F3226" t="inlineStr">
        <is>
          <t>Affiliate</t>
        </is>
      </c>
      <c r="G3226" t="inlineStr">
        <is>
          <t>Mobile Web</t>
        </is>
      </c>
      <c r="H3226" t="inlineStr">
        <is>
          <t>Credit Card</t>
        </is>
      </c>
      <c r="I3226" t="inlineStr">
        <is>
          <t>Delivered</t>
        </is>
      </c>
      <c r="J3226" t="n">
        <v>120</v>
      </c>
      <c r="K3226" t="n">
        <v>1</v>
      </c>
      <c r="L3226" s="7" t="n">
        <v>734</v>
      </c>
      <c r="M3226" s="7" t="n">
        <v>0</v>
      </c>
    </row>
    <row r="3227">
      <c r="A3227" t="n">
        <v>511098</v>
      </c>
      <c r="B3227" s="6" t="n">
        <v>45987</v>
      </c>
      <c r="C3227" t="n">
        <v>17361</v>
      </c>
      <c r="D3227" t="inlineStr">
        <is>
          <t>Chandigarh</t>
        </is>
      </c>
      <c r="E3227" t="inlineStr">
        <is>
          <t>North</t>
        </is>
      </c>
      <c r="F3227" t="inlineStr">
        <is>
          <t>Organic Search</t>
        </is>
      </c>
      <c r="G3227" t="inlineStr">
        <is>
          <t>Mobile App</t>
        </is>
      </c>
      <c r="H3227" t="inlineStr">
        <is>
          <t>Net Banking</t>
        </is>
      </c>
      <c r="I3227" t="inlineStr">
        <is>
          <t>Delivered</t>
        </is>
      </c>
      <c r="J3227" t="n">
        <v>129</v>
      </c>
      <c r="K3227" t="n">
        <v>1</v>
      </c>
      <c r="L3227" s="7" t="n">
        <v>576</v>
      </c>
      <c r="M3227" s="7" t="n">
        <v>86.40000000000001</v>
      </c>
    </row>
    <row r="3228">
      <c r="A3228" t="n">
        <v>511099</v>
      </c>
      <c r="B3228" s="6" t="n">
        <v>45987</v>
      </c>
      <c r="C3228" t="n">
        <v>17125</v>
      </c>
      <c r="D3228" t="inlineStr">
        <is>
          <t>Delhi</t>
        </is>
      </c>
      <c r="E3228" t="inlineStr">
        <is>
          <t>North</t>
        </is>
      </c>
      <c r="F3228" t="inlineStr">
        <is>
          <t>Paid Social</t>
        </is>
      </c>
      <c r="G3228" t="inlineStr">
        <is>
          <t>Mobile Web</t>
        </is>
      </c>
      <c r="H3228" t="inlineStr">
        <is>
          <t>Cash on Delivery</t>
        </is>
      </c>
      <c r="I3228" t="inlineStr">
        <is>
          <t>Cancelled</t>
        </is>
      </c>
      <c r="J3228" t="n">
        <v>137</v>
      </c>
      <c r="K3228" t="n">
        <v>1</v>
      </c>
      <c r="L3228" s="7" t="n">
        <v>261</v>
      </c>
      <c r="M3228" s="7" t="n">
        <v>39.15</v>
      </c>
    </row>
    <row r="3229">
      <c r="A3229" t="n">
        <v>511099</v>
      </c>
      <c r="B3229" s="6" t="n">
        <v>45987</v>
      </c>
      <c r="C3229" t="n">
        <v>17125</v>
      </c>
      <c r="D3229" t="inlineStr">
        <is>
          <t>Delhi</t>
        </is>
      </c>
      <c r="E3229" t="inlineStr">
        <is>
          <t>North</t>
        </is>
      </c>
      <c r="F3229" t="inlineStr">
        <is>
          <t>Paid Social</t>
        </is>
      </c>
      <c r="G3229" t="inlineStr">
        <is>
          <t>Mobile Web</t>
        </is>
      </c>
      <c r="H3229" t="inlineStr">
        <is>
          <t>Cash on Delivery</t>
        </is>
      </c>
      <c r="I3229" t="inlineStr">
        <is>
          <t>Cancelled</t>
        </is>
      </c>
      <c r="J3229" t="n">
        <v>120</v>
      </c>
      <c r="K3229" t="n">
        <v>1</v>
      </c>
      <c r="L3229" s="7" t="n">
        <v>734</v>
      </c>
      <c r="M3229" s="7" t="n">
        <v>110.1</v>
      </c>
    </row>
    <row r="3230">
      <c r="A3230" t="n">
        <v>511100</v>
      </c>
      <c r="B3230" s="6" t="n">
        <v>45987</v>
      </c>
      <c r="C3230" t="n">
        <v>17365</v>
      </c>
      <c r="D3230" t="inlineStr">
        <is>
          <t>Indore</t>
        </is>
      </c>
      <c r="E3230" t="inlineStr">
        <is>
          <t>West</t>
        </is>
      </c>
      <c r="F3230" t="inlineStr">
        <is>
          <t>Organic Search</t>
        </is>
      </c>
      <c r="G3230" t="inlineStr">
        <is>
          <t>Mobile App</t>
        </is>
      </c>
      <c r="H3230" t="inlineStr">
        <is>
          <t>Credit Card</t>
        </is>
      </c>
      <c r="I3230" t="inlineStr">
        <is>
          <t>Delivered</t>
        </is>
      </c>
      <c r="J3230" t="n">
        <v>135</v>
      </c>
      <c r="K3230" t="n">
        <v>1</v>
      </c>
      <c r="L3230" s="7" t="n">
        <v>1574</v>
      </c>
      <c r="M3230" s="7" t="n">
        <v>236.1</v>
      </c>
    </row>
    <row r="3231">
      <c r="A3231" t="n">
        <v>511100</v>
      </c>
      <c r="B3231" s="6" t="n">
        <v>45987</v>
      </c>
      <c r="C3231" t="n">
        <v>17365</v>
      </c>
      <c r="D3231" t="inlineStr">
        <is>
          <t>Indore</t>
        </is>
      </c>
      <c r="E3231" t="inlineStr">
        <is>
          <t>West</t>
        </is>
      </c>
      <c r="F3231" t="inlineStr">
        <is>
          <t>Organic Search</t>
        </is>
      </c>
      <c r="G3231" t="inlineStr">
        <is>
          <t>Mobile App</t>
        </is>
      </c>
      <c r="H3231" t="inlineStr">
        <is>
          <t>Credit Card</t>
        </is>
      </c>
      <c r="I3231" t="inlineStr">
        <is>
          <t>Delivered</t>
        </is>
      </c>
      <c r="J3231" t="n">
        <v>108</v>
      </c>
      <c r="K3231" t="n">
        <v>2</v>
      </c>
      <c r="L3231" s="7" t="n">
        <v>419</v>
      </c>
      <c r="M3231" s="7" t="n">
        <v>125.7</v>
      </c>
    </row>
    <row r="3232">
      <c r="A3232" t="n">
        <v>511101</v>
      </c>
      <c r="B3232" s="6" t="n">
        <v>45987</v>
      </c>
      <c r="C3232" t="n">
        <v>17454</v>
      </c>
      <c r="D3232" t="inlineStr">
        <is>
          <t>Chandigarh</t>
        </is>
      </c>
      <c r="E3232" t="inlineStr">
        <is>
          <t>North</t>
        </is>
      </c>
      <c r="F3232" t="inlineStr">
        <is>
          <t>Organic Search</t>
        </is>
      </c>
      <c r="G3232" t="inlineStr">
        <is>
          <t>Mobile App</t>
        </is>
      </c>
      <c r="H3232" t="inlineStr">
        <is>
          <t>Debit Card</t>
        </is>
      </c>
      <c r="I3232" t="inlineStr">
        <is>
          <t>Delivered</t>
        </is>
      </c>
      <c r="J3232" t="n">
        <v>106</v>
      </c>
      <c r="K3232" t="n">
        <v>2</v>
      </c>
      <c r="L3232" s="7" t="n">
        <v>1574</v>
      </c>
      <c r="M3232" s="7" t="n">
        <v>0</v>
      </c>
    </row>
    <row r="3233">
      <c r="A3233" t="n">
        <v>511102</v>
      </c>
      <c r="B3233" s="6" t="n">
        <v>45987</v>
      </c>
      <c r="C3233" t="n">
        <v>15485</v>
      </c>
      <c r="D3233" t="inlineStr">
        <is>
          <t>Hyderabad</t>
        </is>
      </c>
      <c r="E3233" t="inlineStr">
        <is>
          <t>South</t>
        </is>
      </c>
      <c r="F3233" t="inlineStr">
        <is>
          <t>Email</t>
        </is>
      </c>
      <c r="G3233" t="inlineStr">
        <is>
          <t>Mobile App</t>
        </is>
      </c>
      <c r="H3233" t="inlineStr">
        <is>
          <t>Cash on Delivery</t>
        </is>
      </c>
      <c r="I3233" t="inlineStr">
        <is>
          <t>Delivered</t>
        </is>
      </c>
      <c r="J3233" t="n">
        <v>116</v>
      </c>
      <c r="K3233" t="n">
        <v>1</v>
      </c>
      <c r="L3233" s="7" t="n">
        <v>2624</v>
      </c>
      <c r="M3233" s="7" t="n">
        <v>0</v>
      </c>
    </row>
    <row r="3234">
      <c r="A3234" t="n">
        <v>511102</v>
      </c>
      <c r="B3234" s="6" t="n">
        <v>45987</v>
      </c>
      <c r="C3234" t="n">
        <v>15485</v>
      </c>
      <c r="D3234" t="inlineStr">
        <is>
          <t>Hyderabad</t>
        </is>
      </c>
      <c r="E3234" t="inlineStr">
        <is>
          <t>South</t>
        </is>
      </c>
      <c r="F3234" t="inlineStr">
        <is>
          <t>Email</t>
        </is>
      </c>
      <c r="G3234" t="inlineStr">
        <is>
          <t>Mobile App</t>
        </is>
      </c>
      <c r="H3234" t="inlineStr">
        <is>
          <t>Cash on Delivery</t>
        </is>
      </c>
      <c r="I3234" t="inlineStr">
        <is>
          <t>Delivered</t>
        </is>
      </c>
      <c r="J3234" t="n">
        <v>111</v>
      </c>
      <c r="K3234" t="n">
        <v>1</v>
      </c>
      <c r="L3234" s="7" t="n">
        <v>524</v>
      </c>
      <c r="M3234" s="7" t="n">
        <v>0</v>
      </c>
    </row>
    <row r="3235">
      <c r="A3235" t="n">
        <v>511103</v>
      </c>
      <c r="B3235" s="6" t="n">
        <v>45987</v>
      </c>
      <c r="C3235" t="n">
        <v>15457</v>
      </c>
      <c r="D3235" t="inlineStr">
        <is>
          <t>Kochi</t>
        </is>
      </c>
      <c r="E3235" t="inlineStr">
        <is>
          <t>South</t>
        </is>
      </c>
      <c r="F3235" t="inlineStr">
        <is>
          <t>Email</t>
        </is>
      </c>
      <c r="G3235" t="inlineStr">
        <is>
          <t>Desktop</t>
        </is>
      </c>
      <c r="H3235" t="inlineStr">
        <is>
          <t>Cash on Delivery</t>
        </is>
      </c>
      <c r="I3235" t="inlineStr">
        <is>
          <t>Delivered</t>
        </is>
      </c>
      <c r="J3235" t="n">
        <v>123</v>
      </c>
      <c r="K3235" t="n">
        <v>1</v>
      </c>
      <c r="L3235" s="7" t="n">
        <v>3464</v>
      </c>
      <c r="M3235" s="7" t="n">
        <v>0</v>
      </c>
    </row>
    <row r="3236">
      <c r="A3236" t="n">
        <v>511103</v>
      </c>
      <c r="B3236" s="6" t="n">
        <v>45987</v>
      </c>
      <c r="C3236" t="n">
        <v>15457</v>
      </c>
      <c r="D3236" t="inlineStr">
        <is>
          <t>Kochi</t>
        </is>
      </c>
      <c r="E3236" t="inlineStr">
        <is>
          <t>South</t>
        </is>
      </c>
      <c r="F3236" t="inlineStr">
        <is>
          <t>Email</t>
        </is>
      </c>
      <c r="G3236" t="inlineStr">
        <is>
          <t>Desktop</t>
        </is>
      </c>
      <c r="H3236" t="inlineStr">
        <is>
          <t>Cash on Delivery</t>
        </is>
      </c>
      <c r="I3236" t="inlineStr">
        <is>
          <t>Delivered</t>
        </is>
      </c>
      <c r="J3236" t="n">
        <v>113</v>
      </c>
      <c r="K3236" t="n">
        <v>1</v>
      </c>
      <c r="L3236" s="7" t="n">
        <v>1364</v>
      </c>
      <c r="M3236" s="7" t="n">
        <v>0</v>
      </c>
    </row>
    <row r="3237">
      <c r="A3237" t="n">
        <v>511103</v>
      </c>
      <c r="B3237" s="6" t="n">
        <v>45987</v>
      </c>
      <c r="C3237" t="n">
        <v>15457</v>
      </c>
      <c r="D3237" t="inlineStr">
        <is>
          <t>Kochi</t>
        </is>
      </c>
      <c r="E3237" t="inlineStr">
        <is>
          <t>South</t>
        </is>
      </c>
      <c r="F3237" t="inlineStr">
        <is>
          <t>Email</t>
        </is>
      </c>
      <c r="G3237" t="inlineStr">
        <is>
          <t>Desktop</t>
        </is>
      </c>
      <c r="H3237" t="inlineStr">
        <is>
          <t>Cash on Delivery</t>
        </is>
      </c>
      <c r="I3237" t="inlineStr">
        <is>
          <t>Delivered</t>
        </is>
      </c>
      <c r="J3237" t="n">
        <v>144</v>
      </c>
      <c r="K3237" t="n">
        <v>1</v>
      </c>
      <c r="L3237" s="7" t="n">
        <v>3149</v>
      </c>
      <c r="M3237" s="7" t="n">
        <v>0</v>
      </c>
    </row>
    <row r="3238">
      <c r="A3238" t="n">
        <v>511104</v>
      </c>
      <c r="B3238" s="6" t="n">
        <v>45987</v>
      </c>
      <c r="C3238" t="n">
        <v>14262</v>
      </c>
      <c r="D3238" t="inlineStr">
        <is>
          <t>Mumbai</t>
        </is>
      </c>
      <c r="E3238" t="inlineStr">
        <is>
          <t>West</t>
        </is>
      </c>
      <c r="F3238" t="inlineStr">
        <is>
          <t>Affiliate</t>
        </is>
      </c>
      <c r="G3238" t="inlineStr">
        <is>
          <t>Mobile App</t>
        </is>
      </c>
      <c r="H3238" t="inlineStr">
        <is>
          <t>UPI</t>
        </is>
      </c>
      <c r="I3238" t="inlineStr">
        <is>
          <t>Delivered</t>
        </is>
      </c>
      <c r="J3238" t="n">
        <v>103</v>
      </c>
      <c r="K3238" t="n">
        <v>1</v>
      </c>
      <c r="L3238" s="7" t="n">
        <v>2624</v>
      </c>
      <c r="M3238" s="7" t="n">
        <v>0</v>
      </c>
    </row>
    <row r="3239">
      <c r="A3239" t="n">
        <v>511105</v>
      </c>
      <c r="B3239" s="6" t="n">
        <v>45987</v>
      </c>
      <c r="C3239" t="n">
        <v>17504</v>
      </c>
      <c r="D3239" t="inlineStr">
        <is>
          <t>Delhi</t>
        </is>
      </c>
      <c r="E3239" t="inlineStr">
        <is>
          <t>North</t>
        </is>
      </c>
      <c r="F3239" t="inlineStr">
        <is>
          <t>Organic Search</t>
        </is>
      </c>
      <c r="G3239" t="inlineStr">
        <is>
          <t>Mobile App</t>
        </is>
      </c>
      <c r="H3239" t="inlineStr">
        <is>
          <t>UPI</t>
        </is>
      </c>
      <c r="I3239" t="inlineStr">
        <is>
          <t>Delivered</t>
        </is>
      </c>
      <c r="J3239" t="n">
        <v>120</v>
      </c>
      <c r="K3239" t="n">
        <v>1</v>
      </c>
      <c r="L3239" s="7" t="n">
        <v>734</v>
      </c>
      <c r="M3239" s="7" t="n">
        <v>0</v>
      </c>
    </row>
    <row r="3240">
      <c r="A3240" t="n">
        <v>511105</v>
      </c>
      <c r="B3240" s="6" t="n">
        <v>45987</v>
      </c>
      <c r="C3240" t="n">
        <v>17504</v>
      </c>
      <c r="D3240" t="inlineStr">
        <is>
          <t>Delhi</t>
        </is>
      </c>
      <c r="E3240" t="inlineStr">
        <is>
          <t>North</t>
        </is>
      </c>
      <c r="F3240" t="inlineStr">
        <is>
          <t>Organic Search</t>
        </is>
      </c>
      <c r="G3240" t="inlineStr">
        <is>
          <t>Mobile App</t>
        </is>
      </c>
      <c r="H3240" t="inlineStr">
        <is>
          <t>UPI</t>
        </is>
      </c>
      <c r="I3240" t="inlineStr">
        <is>
          <t>Delivered</t>
        </is>
      </c>
      <c r="J3240" t="n">
        <v>122</v>
      </c>
      <c r="K3240" t="n">
        <v>1</v>
      </c>
      <c r="L3240" s="7" t="n">
        <v>1994</v>
      </c>
      <c r="M3240" s="7" t="n">
        <v>0</v>
      </c>
    </row>
    <row r="3241">
      <c r="A3241" t="n">
        <v>511106</v>
      </c>
      <c r="B3241" s="6" t="n">
        <v>45987</v>
      </c>
      <c r="C3241" t="n">
        <v>17421</v>
      </c>
      <c r="D3241" t="inlineStr">
        <is>
          <t>Pune</t>
        </is>
      </c>
      <c r="E3241" t="inlineStr">
        <is>
          <t>West</t>
        </is>
      </c>
      <c r="F3241" t="inlineStr">
        <is>
          <t>Email</t>
        </is>
      </c>
      <c r="G3241" t="inlineStr">
        <is>
          <t>Mobile App</t>
        </is>
      </c>
      <c r="H3241" t="inlineStr">
        <is>
          <t>UPI</t>
        </is>
      </c>
      <c r="I3241" t="inlineStr">
        <is>
          <t>Delivered</t>
        </is>
      </c>
      <c r="J3241" t="n">
        <v>134</v>
      </c>
      <c r="K3241" t="n">
        <v>1</v>
      </c>
      <c r="L3241" s="7" t="n">
        <v>209</v>
      </c>
      <c r="M3241" s="7" t="n">
        <v>0</v>
      </c>
    </row>
    <row r="3242">
      <c r="A3242" t="n">
        <v>511106</v>
      </c>
      <c r="B3242" s="6" t="n">
        <v>45987</v>
      </c>
      <c r="C3242" t="n">
        <v>17421</v>
      </c>
      <c r="D3242" t="inlineStr">
        <is>
          <t>Pune</t>
        </is>
      </c>
      <c r="E3242" t="inlineStr">
        <is>
          <t>West</t>
        </is>
      </c>
      <c r="F3242" t="inlineStr">
        <is>
          <t>Email</t>
        </is>
      </c>
      <c r="G3242" t="inlineStr">
        <is>
          <t>Mobile App</t>
        </is>
      </c>
      <c r="H3242" t="inlineStr">
        <is>
          <t>UPI</t>
        </is>
      </c>
      <c r="I3242" t="inlineStr">
        <is>
          <t>Delivered</t>
        </is>
      </c>
      <c r="J3242" t="n">
        <v>101</v>
      </c>
      <c r="K3242" t="n">
        <v>1</v>
      </c>
      <c r="L3242" s="7" t="n">
        <v>2099</v>
      </c>
      <c r="M3242" s="7" t="n">
        <v>0</v>
      </c>
    </row>
    <row r="3243">
      <c r="A3243" t="n">
        <v>511107</v>
      </c>
      <c r="B3243" s="6" t="n">
        <v>45988</v>
      </c>
      <c r="C3243" t="n">
        <v>15216</v>
      </c>
      <c r="D3243" t="inlineStr">
        <is>
          <t>Hyderabad</t>
        </is>
      </c>
      <c r="E3243" t="inlineStr">
        <is>
          <t>South</t>
        </is>
      </c>
      <c r="F3243" t="inlineStr">
        <is>
          <t>Organic Search</t>
        </is>
      </c>
      <c r="G3243" t="inlineStr">
        <is>
          <t>Mobile App</t>
        </is>
      </c>
      <c r="H3243" t="inlineStr">
        <is>
          <t>Cash on Delivery</t>
        </is>
      </c>
      <c r="I3243" t="inlineStr">
        <is>
          <t>Delivered</t>
        </is>
      </c>
      <c r="J3243" t="n">
        <v>117</v>
      </c>
      <c r="K3243" t="n">
        <v>1</v>
      </c>
      <c r="L3243" s="7" t="n">
        <v>3149</v>
      </c>
      <c r="M3243" s="7" t="n">
        <v>0</v>
      </c>
    </row>
    <row r="3244">
      <c r="A3244" t="n">
        <v>511108</v>
      </c>
      <c r="B3244" s="6" t="n">
        <v>45988</v>
      </c>
      <c r="C3244" t="n">
        <v>17387</v>
      </c>
      <c r="D3244" t="inlineStr">
        <is>
          <t>Mumbai</t>
        </is>
      </c>
      <c r="E3244" t="inlineStr">
        <is>
          <t>West</t>
        </is>
      </c>
      <c r="F3244" t="inlineStr">
        <is>
          <t>Organic Search</t>
        </is>
      </c>
      <c r="G3244" t="inlineStr">
        <is>
          <t>Desktop</t>
        </is>
      </c>
      <c r="H3244" t="inlineStr">
        <is>
          <t>UPI</t>
        </is>
      </c>
      <c r="I3244" t="inlineStr">
        <is>
          <t>Delivered</t>
        </is>
      </c>
      <c r="J3244" t="n">
        <v>116</v>
      </c>
      <c r="K3244" t="n">
        <v>1</v>
      </c>
      <c r="L3244" s="7" t="n">
        <v>2624</v>
      </c>
      <c r="M3244" s="7" t="n">
        <v>0</v>
      </c>
    </row>
    <row r="3245">
      <c r="A3245" t="n">
        <v>511109</v>
      </c>
      <c r="B3245" s="6" t="n">
        <v>45988</v>
      </c>
      <c r="C3245" t="n">
        <v>17499</v>
      </c>
      <c r="D3245" t="inlineStr">
        <is>
          <t>Chennai</t>
        </is>
      </c>
      <c r="E3245" t="inlineStr">
        <is>
          <t>South</t>
        </is>
      </c>
      <c r="F3245" t="inlineStr">
        <is>
          <t>Organic Search</t>
        </is>
      </c>
      <c r="G3245" t="inlineStr">
        <is>
          <t>Mobile Web</t>
        </is>
      </c>
      <c r="H3245" t="inlineStr">
        <is>
          <t>UPI</t>
        </is>
      </c>
      <c r="I3245" t="inlineStr">
        <is>
          <t>Delivered</t>
        </is>
      </c>
      <c r="J3245" t="n">
        <v>110</v>
      </c>
      <c r="K3245" t="n">
        <v>1</v>
      </c>
      <c r="L3245" s="7" t="n">
        <v>839</v>
      </c>
      <c r="M3245" s="7" t="n">
        <v>125.85</v>
      </c>
    </row>
    <row r="3246">
      <c r="A3246" t="n">
        <v>511109</v>
      </c>
      <c r="B3246" s="6" t="n">
        <v>45988</v>
      </c>
      <c r="C3246" t="n">
        <v>17499</v>
      </c>
      <c r="D3246" t="inlineStr">
        <is>
          <t>Chennai</t>
        </is>
      </c>
      <c r="E3246" t="inlineStr">
        <is>
          <t>South</t>
        </is>
      </c>
      <c r="F3246" t="inlineStr">
        <is>
          <t>Organic Search</t>
        </is>
      </c>
      <c r="G3246" t="inlineStr">
        <is>
          <t>Mobile Web</t>
        </is>
      </c>
      <c r="H3246" t="inlineStr">
        <is>
          <t>UPI</t>
        </is>
      </c>
      <c r="I3246" t="inlineStr">
        <is>
          <t>Delivered</t>
        </is>
      </c>
      <c r="J3246" t="n">
        <v>111</v>
      </c>
      <c r="K3246" t="n">
        <v>1</v>
      </c>
      <c r="L3246" s="7" t="n">
        <v>524</v>
      </c>
      <c r="M3246" s="7" t="n">
        <v>78.59999999999999</v>
      </c>
    </row>
    <row r="3247">
      <c r="A3247" t="n">
        <v>511109</v>
      </c>
      <c r="B3247" s="6" t="n">
        <v>45988</v>
      </c>
      <c r="C3247" t="n">
        <v>17499</v>
      </c>
      <c r="D3247" t="inlineStr">
        <is>
          <t>Chennai</t>
        </is>
      </c>
      <c r="E3247" t="inlineStr">
        <is>
          <t>South</t>
        </is>
      </c>
      <c r="F3247" t="inlineStr">
        <is>
          <t>Organic Search</t>
        </is>
      </c>
      <c r="G3247" t="inlineStr">
        <is>
          <t>Mobile Web</t>
        </is>
      </c>
      <c r="H3247" t="inlineStr">
        <is>
          <t>UPI</t>
        </is>
      </c>
      <c r="I3247" t="inlineStr">
        <is>
          <t>Delivered</t>
        </is>
      </c>
      <c r="J3247" t="n">
        <v>117</v>
      </c>
      <c r="K3247" t="n">
        <v>1</v>
      </c>
      <c r="L3247" s="7" t="n">
        <v>3149</v>
      </c>
      <c r="M3247" s="7" t="n">
        <v>472.35</v>
      </c>
    </row>
    <row r="3248">
      <c r="A3248" t="n">
        <v>511110</v>
      </c>
      <c r="B3248" s="6" t="n">
        <v>45988</v>
      </c>
      <c r="C3248" t="n">
        <v>17426</v>
      </c>
      <c r="D3248" t="inlineStr">
        <is>
          <t>Hyderabad</t>
        </is>
      </c>
      <c r="E3248" t="inlineStr">
        <is>
          <t>South</t>
        </is>
      </c>
      <c r="F3248" t="inlineStr">
        <is>
          <t>Organic Search</t>
        </is>
      </c>
      <c r="G3248" t="inlineStr">
        <is>
          <t>Mobile App</t>
        </is>
      </c>
      <c r="H3248" t="inlineStr">
        <is>
          <t>Credit Card</t>
        </is>
      </c>
      <c r="I3248" t="inlineStr">
        <is>
          <t>Delivered</t>
        </is>
      </c>
      <c r="J3248" t="n">
        <v>125</v>
      </c>
      <c r="K3248" t="n">
        <v>1</v>
      </c>
      <c r="L3248" s="7" t="n">
        <v>1364</v>
      </c>
      <c r="M3248" s="7" t="n">
        <v>204.6</v>
      </c>
    </row>
    <row r="3249">
      <c r="A3249" t="n">
        <v>511111</v>
      </c>
      <c r="B3249" s="6" t="n">
        <v>45988</v>
      </c>
      <c r="C3249" t="n">
        <v>17448</v>
      </c>
      <c r="D3249" t="inlineStr">
        <is>
          <t>Delhi</t>
        </is>
      </c>
      <c r="E3249" t="inlineStr">
        <is>
          <t>North</t>
        </is>
      </c>
      <c r="F3249" t="inlineStr">
        <is>
          <t>Organic Search</t>
        </is>
      </c>
      <c r="G3249" t="inlineStr">
        <is>
          <t>Mobile App</t>
        </is>
      </c>
      <c r="H3249" t="inlineStr">
        <is>
          <t>Debit Card</t>
        </is>
      </c>
      <c r="I3249" t="inlineStr">
        <is>
          <t>Delivered</t>
        </is>
      </c>
      <c r="J3249" t="n">
        <v>110</v>
      </c>
      <c r="K3249" t="n">
        <v>1</v>
      </c>
      <c r="L3249" s="7" t="n">
        <v>839</v>
      </c>
      <c r="M3249" s="7" t="n">
        <v>0</v>
      </c>
    </row>
    <row r="3250">
      <c r="A3250" t="n">
        <v>511111</v>
      </c>
      <c r="B3250" s="6" t="n">
        <v>45988</v>
      </c>
      <c r="C3250" t="n">
        <v>17448</v>
      </c>
      <c r="D3250" t="inlineStr">
        <is>
          <t>Delhi</t>
        </is>
      </c>
      <c r="E3250" t="inlineStr">
        <is>
          <t>North</t>
        </is>
      </c>
      <c r="F3250" t="inlineStr">
        <is>
          <t>Organic Search</t>
        </is>
      </c>
      <c r="G3250" t="inlineStr">
        <is>
          <t>Mobile App</t>
        </is>
      </c>
      <c r="H3250" t="inlineStr">
        <is>
          <t>Debit Card</t>
        </is>
      </c>
      <c r="I3250" t="inlineStr">
        <is>
          <t>Delivered</t>
        </is>
      </c>
      <c r="J3250" t="n">
        <v>116</v>
      </c>
      <c r="K3250" t="n">
        <v>1</v>
      </c>
      <c r="L3250" s="7" t="n">
        <v>2624</v>
      </c>
      <c r="M3250" s="7" t="n">
        <v>0</v>
      </c>
    </row>
    <row r="3251">
      <c r="A3251" t="n">
        <v>511112</v>
      </c>
      <c r="B3251" s="6" t="n">
        <v>45988</v>
      </c>
      <c r="C3251" t="n">
        <v>17107</v>
      </c>
      <c r="D3251" t="inlineStr">
        <is>
          <t>Delhi</t>
        </is>
      </c>
      <c r="E3251" t="inlineStr">
        <is>
          <t>North</t>
        </is>
      </c>
      <c r="F3251" t="inlineStr">
        <is>
          <t>Affiliate</t>
        </is>
      </c>
      <c r="G3251" t="inlineStr">
        <is>
          <t>Mobile Web</t>
        </is>
      </c>
      <c r="H3251" t="inlineStr">
        <is>
          <t>UPI</t>
        </is>
      </c>
      <c r="I3251" t="inlineStr">
        <is>
          <t>Delivered</t>
        </is>
      </c>
      <c r="J3251" t="n">
        <v>147</v>
      </c>
      <c r="K3251" t="n">
        <v>1</v>
      </c>
      <c r="L3251" s="7" t="n">
        <v>1364</v>
      </c>
      <c r="M3251" s="7" t="n">
        <v>0</v>
      </c>
    </row>
    <row r="3252">
      <c r="A3252" t="n">
        <v>511113</v>
      </c>
      <c r="B3252" s="6" t="n">
        <v>45988</v>
      </c>
      <c r="C3252" t="n">
        <v>17505</v>
      </c>
      <c r="D3252" t="inlineStr">
        <is>
          <t>Delhi</t>
        </is>
      </c>
      <c r="E3252" t="inlineStr">
        <is>
          <t>North</t>
        </is>
      </c>
      <c r="F3252" t="inlineStr">
        <is>
          <t>Paid Social</t>
        </is>
      </c>
      <c r="G3252" t="inlineStr">
        <is>
          <t>Mobile App</t>
        </is>
      </c>
      <c r="H3252" t="inlineStr">
        <is>
          <t>Debit Card</t>
        </is>
      </c>
      <c r="I3252" t="inlineStr">
        <is>
          <t>Returned</t>
        </is>
      </c>
      <c r="J3252" t="n">
        <v>124</v>
      </c>
      <c r="K3252" t="n">
        <v>1</v>
      </c>
      <c r="L3252" s="7" t="n">
        <v>1154</v>
      </c>
      <c r="M3252" s="7" t="n">
        <v>173.1</v>
      </c>
    </row>
    <row r="3253">
      <c r="A3253" t="n">
        <v>511113</v>
      </c>
      <c r="B3253" s="6" t="n">
        <v>45988</v>
      </c>
      <c r="C3253" t="n">
        <v>17505</v>
      </c>
      <c r="D3253" t="inlineStr">
        <is>
          <t>Delhi</t>
        </is>
      </c>
      <c r="E3253" t="inlineStr">
        <is>
          <t>North</t>
        </is>
      </c>
      <c r="F3253" t="inlineStr">
        <is>
          <t>Paid Social</t>
        </is>
      </c>
      <c r="G3253" t="inlineStr">
        <is>
          <t>Mobile App</t>
        </is>
      </c>
      <c r="H3253" t="inlineStr">
        <is>
          <t>Debit Card</t>
        </is>
      </c>
      <c r="I3253" t="inlineStr">
        <is>
          <t>Returned</t>
        </is>
      </c>
      <c r="J3253" t="n">
        <v>139</v>
      </c>
      <c r="K3253" t="n">
        <v>2</v>
      </c>
      <c r="L3253" s="7" t="n">
        <v>366</v>
      </c>
      <c r="M3253" s="7" t="n">
        <v>109.8</v>
      </c>
    </row>
    <row r="3254">
      <c r="A3254" t="n">
        <v>511113</v>
      </c>
      <c r="B3254" s="6" t="n">
        <v>45988</v>
      </c>
      <c r="C3254" t="n">
        <v>17505</v>
      </c>
      <c r="D3254" t="inlineStr">
        <is>
          <t>Delhi</t>
        </is>
      </c>
      <c r="E3254" t="inlineStr">
        <is>
          <t>North</t>
        </is>
      </c>
      <c r="F3254" t="inlineStr">
        <is>
          <t>Paid Social</t>
        </is>
      </c>
      <c r="G3254" t="inlineStr">
        <is>
          <t>Mobile App</t>
        </is>
      </c>
      <c r="H3254" t="inlineStr">
        <is>
          <t>Debit Card</t>
        </is>
      </c>
      <c r="I3254" t="inlineStr">
        <is>
          <t>Returned</t>
        </is>
      </c>
      <c r="J3254" t="n">
        <v>125</v>
      </c>
      <c r="K3254" t="n">
        <v>1</v>
      </c>
      <c r="L3254" s="7" t="n">
        <v>1364</v>
      </c>
      <c r="M3254" s="7" t="n">
        <v>204.6</v>
      </c>
    </row>
    <row r="3255">
      <c r="A3255" t="n">
        <v>511114</v>
      </c>
      <c r="B3255" s="6" t="n">
        <v>45988</v>
      </c>
      <c r="C3255" t="n">
        <v>17463</v>
      </c>
      <c r="D3255" t="inlineStr">
        <is>
          <t>Pune</t>
        </is>
      </c>
      <c r="E3255" t="inlineStr">
        <is>
          <t>West</t>
        </is>
      </c>
      <c r="F3255" t="inlineStr">
        <is>
          <t>Organic Search</t>
        </is>
      </c>
      <c r="G3255" t="inlineStr">
        <is>
          <t>Mobile App</t>
        </is>
      </c>
      <c r="H3255" t="inlineStr">
        <is>
          <t>Credit Card</t>
        </is>
      </c>
      <c r="I3255" t="inlineStr">
        <is>
          <t>Delivered</t>
        </is>
      </c>
      <c r="J3255" t="n">
        <v>118</v>
      </c>
      <c r="K3255" t="n">
        <v>2</v>
      </c>
      <c r="L3255" s="7" t="n">
        <v>944</v>
      </c>
      <c r="M3255" s="7" t="n">
        <v>0</v>
      </c>
    </row>
    <row r="3256">
      <c r="A3256" t="n">
        <v>511115</v>
      </c>
      <c r="B3256" s="6" t="n">
        <v>45988</v>
      </c>
      <c r="C3256" t="n">
        <v>15316</v>
      </c>
      <c r="D3256" t="inlineStr">
        <is>
          <t>Kolkata</t>
        </is>
      </c>
      <c r="E3256" t="inlineStr">
        <is>
          <t>East</t>
        </is>
      </c>
      <c r="F3256" t="inlineStr">
        <is>
          <t>Organic Search</t>
        </is>
      </c>
      <c r="G3256" t="inlineStr">
        <is>
          <t>Desktop</t>
        </is>
      </c>
      <c r="H3256" t="inlineStr">
        <is>
          <t>UPI</t>
        </is>
      </c>
      <c r="I3256" t="inlineStr">
        <is>
          <t>Delivered</t>
        </is>
      </c>
      <c r="J3256" t="n">
        <v>137</v>
      </c>
      <c r="K3256" t="n">
        <v>1</v>
      </c>
      <c r="L3256" s="7" t="n">
        <v>261</v>
      </c>
      <c r="M3256" s="7" t="n">
        <v>0</v>
      </c>
    </row>
    <row r="3257">
      <c r="A3257" t="n">
        <v>511115</v>
      </c>
      <c r="B3257" s="6" t="n">
        <v>45988</v>
      </c>
      <c r="C3257" t="n">
        <v>15316</v>
      </c>
      <c r="D3257" t="inlineStr">
        <is>
          <t>Kolkata</t>
        </is>
      </c>
      <c r="E3257" t="inlineStr">
        <is>
          <t>East</t>
        </is>
      </c>
      <c r="F3257" t="inlineStr">
        <is>
          <t>Organic Search</t>
        </is>
      </c>
      <c r="G3257" t="inlineStr">
        <is>
          <t>Desktop</t>
        </is>
      </c>
      <c r="H3257" t="inlineStr">
        <is>
          <t>UPI</t>
        </is>
      </c>
      <c r="I3257" t="inlineStr">
        <is>
          <t>Delivered</t>
        </is>
      </c>
      <c r="J3257" t="n">
        <v>115</v>
      </c>
      <c r="K3257" t="n">
        <v>1</v>
      </c>
      <c r="L3257" s="7" t="n">
        <v>4199</v>
      </c>
      <c r="M3257" s="7" t="n">
        <v>0</v>
      </c>
    </row>
    <row r="3258">
      <c r="A3258" t="n">
        <v>511116</v>
      </c>
      <c r="B3258" s="6" t="n">
        <v>45988</v>
      </c>
      <c r="C3258" t="n">
        <v>17489</v>
      </c>
      <c r="D3258" t="inlineStr">
        <is>
          <t>Ahmedabad</t>
        </is>
      </c>
      <c r="E3258" t="inlineStr">
        <is>
          <t>West</t>
        </is>
      </c>
      <c r="F3258" t="inlineStr">
        <is>
          <t>Email</t>
        </is>
      </c>
      <c r="G3258" t="inlineStr">
        <is>
          <t>Mobile App</t>
        </is>
      </c>
      <c r="H3258" t="inlineStr">
        <is>
          <t>Cash on Delivery</t>
        </is>
      </c>
      <c r="I3258" t="inlineStr">
        <is>
          <t>Delivered</t>
        </is>
      </c>
      <c r="J3258" t="n">
        <v>112</v>
      </c>
      <c r="K3258" t="n">
        <v>2</v>
      </c>
      <c r="L3258" s="7" t="n">
        <v>1574</v>
      </c>
      <c r="M3258" s="7" t="n">
        <v>472.2</v>
      </c>
    </row>
    <row r="3259">
      <c r="A3259" t="n">
        <v>511117</v>
      </c>
      <c r="B3259" s="6" t="n">
        <v>45988</v>
      </c>
      <c r="C3259" t="n">
        <v>17375</v>
      </c>
      <c r="D3259" t="inlineStr">
        <is>
          <t>Lucknow</t>
        </is>
      </c>
      <c r="E3259" t="inlineStr">
        <is>
          <t>North</t>
        </is>
      </c>
      <c r="F3259" t="inlineStr">
        <is>
          <t>Organic Search</t>
        </is>
      </c>
      <c r="G3259" t="inlineStr">
        <is>
          <t>Mobile Web</t>
        </is>
      </c>
      <c r="H3259" t="inlineStr">
        <is>
          <t>Credit Card</t>
        </is>
      </c>
      <c r="I3259" t="inlineStr">
        <is>
          <t>Delivered</t>
        </is>
      </c>
      <c r="J3259" t="n">
        <v>108</v>
      </c>
      <c r="K3259" t="n">
        <v>1</v>
      </c>
      <c r="L3259" s="7" t="n">
        <v>419</v>
      </c>
      <c r="M3259" s="7" t="n">
        <v>0</v>
      </c>
    </row>
    <row r="3260">
      <c r="A3260" t="n">
        <v>511118</v>
      </c>
      <c r="B3260" s="6" t="n">
        <v>45988</v>
      </c>
      <c r="C3260" t="n">
        <v>17267</v>
      </c>
      <c r="D3260" t="inlineStr">
        <is>
          <t>Noida</t>
        </is>
      </c>
      <c r="E3260" t="inlineStr">
        <is>
          <t>North</t>
        </is>
      </c>
      <c r="F3260" t="inlineStr">
        <is>
          <t>Referral</t>
        </is>
      </c>
      <c r="G3260" t="inlineStr">
        <is>
          <t>Mobile Web</t>
        </is>
      </c>
      <c r="H3260" t="inlineStr">
        <is>
          <t>Credit Card</t>
        </is>
      </c>
      <c r="I3260" t="inlineStr">
        <is>
          <t>Delivered</t>
        </is>
      </c>
      <c r="J3260" t="n">
        <v>140</v>
      </c>
      <c r="K3260" t="n">
        <v>1</v>
      </c>
      <c r="L3260" s="7" t="n">
        <v>629</v>
      </c>
      <c r="M3260" s="7" t="n">
        <v>0</v>
      </c>
    </row>
    <row r="3261">
      <c r="A3261" t="n">
        <v>511119</v>
      </c>
      <c r="B3261" s="6" t="n">
        <v>45988</v>
      </c>
      <c r="C3261" t="n">
        <v>17434</v>
      </c>
      <c r="D3261" t="inlineStr">
        <is>
          <t>Gurugram</t>
        </is>
      </c>
      <c r="E3261" t="inlineStr">
        <is>
          <t>North</t>
        </is>
      </c>
      <c r="F3261" t="inlineStr">
        <is>
          <t>Email</t>
        </is>
      </c>
      <c r="G3261" t="inlineStr">
        <is>
          <t>Desktop</t>
        </is>
      </c>
      <c r="H3261" t="inlineStr">
        <is>
          <t>Cash on Delivery</t>
        </is>
      </c>
      <c r="I3261" t="inlineStr">
        <is>
          <t>Delivered</t>
        </is>
      </c>
      <c r="J3261" t="n">
        <v>118</v>
      </c>
      <c r="K3261" t="n">
        <v>3</v>
      </c>
      <c r="L3261" s="7" t="n">
        <v>944</v>
      </c>
      <c r="M3261" s="7" t="n">
        <v>0</v>
      </c>
    </row>
    <row r="3262">
      <c r="A3262" t="n">
        <v>511120</v>
      </c>
      <c r="B3262" s="6" t="n">
        <v>45988</v>
      </c>
      <c r="C3262" t="n">
        <v>15153</v>
      </c>
      <c r="D3262" t="inlineStr">
        <is>
          <t>Bengaluru</t>
        </is>
      </c>
      <c r="E3262" t="inlineStr">
        <is>
          <t>South</t>
        </is>
      </c>
      <c r="F3262" t="inlineStr">
        <is>
          <t>Organic Search</t>
        </is>
      </c>
      <c r="G3262" t="inlineStr">
        <is>
          <t>Mobile App</t>
        </is>
      </c>
      <c r="H3262" t="inlineStr">
        <is>
          <t>UPI</t>
        </is>
      </c>
      <c r="I3262" t="inlineStr">
        <is>
          <t>Delivered</t>
        </is>
      </c>
      <c r="J3262" t="n">
        <v>111</v>
      </c>
      <c r="K3262" t="n">
        <v>1</v>
      </c>
      <c r="L3262" s="7" t="n">
        <v>524</v>
      </c>
      <c r="M3262" s="7" t="n">
        <v>0</v>
      </c>
    </row>
    <row r="3263">
      <c r="A3263" t="n">
        <v>511121</v>
      </c>
      <c r="B3263" s="6" t="n">
        <v>45988</v>
      </c>
      <c r="C3263" t="n">
        <v>17529</v>
      </c>
      <c r="D3263" t="inlineStr">
        <is>
          <t>Pune</t>
        </is>
      </c>
      <c r="E3263" t="inlineStr">
        <is>
          <t>West</t>
        </is>
      </c>
      <c r="F3263" t="inlineStr">
        <is>
          <t>Referral</t>
        </is>
      </c>
      <c r="G3263" t="inlineStr">
        <is>
          <t>Desktop</t>
        </is>
      </c>
      <c r="H3263" t="inlineStr">
        <is>
          <t>Cash on Delivery</t>
        </is>
      </c>
      <c r="I3263" t="inlineStr">
        <is>
          <t>Delivered</t>
        </is>
      </c>
      <c r="J3263" t="n">
        <v>109</v>
      </c>
      <c r="K3263" t="n">
        <v>1</v>
      </c>
      <c r="L3263" s="7" t="n">
        <v>4199</v>
      </c>
      <c r="M3263" s="7" t="n">
        <v>629.85</v>
      </c>
    </row>
    <row r="3264">
      <c r="A3264" t="n">
        <v>511121</v>
      </c>
      <c r="B3264" s="6" t="n">
        <v>45988</v>
      </c>
      <c r="C3264" t="n">
        <v>17529</v>
      </c>
      <c r="D3264" t="inlineStr">
        <is>
          <t>Pune</t>
        </is>
      </c>
      <c r="E3264" t="inlineStr">
        <is>
          <t>West</t>
        </is>
      </c>
      <c r="F3264" t="inlineStr">
        <is>
          <t>Referral</t>
        </is>
      </c>
      <c r="G3264" t="inlineStr">
        <is>
          <t>Desktop</t>
        </is>
      </c>
      <c r="H3264" t="inlineStr">
        <is>
          <t>Cash on Delivery</t>
        </is>
      </c>
      <c r="I3264" t="inlineStr">
        <is>
          <t>Delivered</t>
        </is>
      </c>
      <c r="J3264" t="n">
        <v>121</v>
      </c>
      <c r="K3264" t="n">
        <v>1</v>
      </c>
      <c r="L3264" s="7" t="n">
        <v>2939</v>
      </c>
      <c r="M3264" s="7" t="n">
        <v>440.85</v>
      </c>
    </row>
    <row r="3265">
      <c r="A3265" t="n">
        <v>511122</v>
      </c>
      <c r="B3265" s="6" t="n">
        <v>45988</v>
      </c>
      <c r="C3265" t="n">
        <v>17491</v>
      </c>
      <c r="D3265" t="inlineStr">
        <is>
          <t>Hyderabad</t>
        </is>
      </c>
      <c r="E3265" t="inlineStr">
        <is>
          <t>South</t>
        </is>
      </c>
      <c r="F3265" t="inlineStr">
        <is>
          <t>Paid Social</t>
        </is>
      </c>
      <c r="G3265" t="inlineStr">
        <is>
          <t>Mobile App</t>
        </is>
      </c>
      <c r="H3265" t="inlineStr">
        <is>
          <t>UPI</t>
        </is>
      </c>
      <c r="I3265" t="inlineStr">
        <is>
          <t>Delivered</t>
        </is>
      </c>
      <c r="J3265" t="n">
        <v>121</v>
      </c>
      <c r="K3265" t="n">
        <v>1</v>
      </c>
      <c r="L3265" s="7" t="n">
        <v>2939</v>
      </c>
      <c r="M3265" s="7" t="n">
        <v>440.85</v>
      </c>
    </row>
    <row r="3266">
      <c r="A3266" t="n">
        <v>511122</v>
      </c>
      <c r="B3266" s="6" t="n">
        <v>45988</v>
      </c>
      <c r="C3266" t="n">
        <v>17491</v>
      </c>
      <c r="D3266" t="inlineStr">
        <is>
          <t>Hyderabad</t>
        </is>
      </c>
      <c r="E3266" t="inlineStr">
        <is>
          <t>South</t>
        </is>
      </c>
      <c r="F3266" t="inlineStr">
        <is>
          <t>Paid Social</t>
        </is>
      </c>
      <c r="G3266" t="inlineStr">
        <is>
          <t>Mobile App</t>
        </is>
      </c>
      <c r="H3266" t="inlineStr">
        <is>
          <t>UPI</t>
        </is>
      </c>
      <c r="I3266" t="inlineStr">
        <is>
          <t>Delivered</t>
        </is>
      </c>
      <c r="J3266" t="n">
        <v>135</v>
      </c>
      <c r="K3266" t="n">
        <v>1</v>
      </c>
      <c r="L3266" s="7" t="n">
        <v>1574</v>
      </c>
      <c r="M3266" s="7" t="n">
        <v>236.1</v>
      </c>
    </row>
    <row r="3267">
      <c r="A3267" t="n">
        <v>511123</v>
      </c>
      <c r="B3267" s="6" t="n">
        <v>45988</v>
      </c>
      <c r="C3267" t="n">
        <v>17523</v>
      </c>
      <c r="D3267" t="inlineStr">
        <is>
          <t>Mumbai</t>
        </is>
      </c>
      <c r="E3267" t="inlineStr">
        <is>
          <t>West</t>
        </is>
      </c>
      <c r="F3267" t="inlineStr">
        <is>
          <t>Paid Search</t>
        </is>
      </c>
      <c r="G3267" t="inlineStr">
        <is>
          <t>Mobile Web</t>
        </is>
      </c>
      <c r="H3267" t="inlineStr">
        <is>
          <t>Cash on Delivery</t>
        </is>
      </c>
      <c r="I3267" t="inlineStr">
        <is>
          <t>Delivered</t>
        </is>
      </c>
      <c r="J3267" t="n">
        <v>144</v>
      </c>
      <c r="K3267" t="n">
        <v>1</v>
      </c>
      <c r="L3267" s="7" t="n">
        <v>3149</v>
      </c>
      <c r="M3267" s="7" t="n">
        <v>0</v>
      </c>
    </row>
    <row r="3268">
      <c r="A3268" t="n">
        <v>511123</v>
      </c>
      <c r="B3268" s="6" t="n">
        <v>45988</v>
      </c>
      <c r="C3268" t="n">
        <v>17523</v>
      </c>
      <c r="D3268" t="inlineStr">
        <is>
          <t>Mumbai</t>
        </is>
      </c>
      <c r="E3268" t="inlineStr">
        <is>
          <t>West</t>
        </is>
      </c>
      <c r="F3268" t="inlineStr">
        <is>
          <t>Paid Search</t>
        </is>
      </c>
      <c r="G3268" t="inlineStr">
        <is>
          <t>Mobile Web</t>
        </is>
      </c>
      <c r="H3268" t="inlineStr">
        <is>
          <t>Cash on Delivery</t>
        </is>
      </c>
      <c r="I3268" t="inlineStr">
        <is>
          <t>Delivered</t>
        </is>
      </c>
      <c r="J3268" t="n">
        <v>137</v>
      </c>
      <c r="K3268" t="n">
        <v>1</v>
      </c>
      <c r="L3268" s="7" t="n">
        <v>261</v>
      </c>
      <c r="M3268" s="7" t="n">
        <v>0</v>
      </c>
    </row>
    <row r="3269">
      <c r="A3269" t="n">
        <v>511124</v>
      </c>
      <c r="B3269" s="6" t="n">
        <v>45988</v>
      </c>
      <c r="C3269" t="n">
        <v>17215</v>
      </c>
      <c r="D3269" t="inlineStr">
        <is>
          <t>Delhi</t>
        </is>
      </c>
      <c r="E3269" t="inlineStr">
        <is>
          <t>North</t>
        </is>
      </c>
      <c r="F3269" t="inlineStr">
        <is>
          <t>Organic Search</t>
        </is>
      </c>
      <c r="G3269" t="inlineStr">
        <is>
          <t>Desktop</t>
        </is>
      </c>
      <c r="H3269" t="inlineStr">
        <is>
          <t>Debit Card</t>
        </is>
      </c>
      <c r="I3269" t="inlineStr">
        <is>
          <t>Delivered</t>
        </is>
      </c>
      <c r="J3269" t="n">
        <v>113</v>
      </c>
      <c r="K3269" t="n">
        <v>1</v>
      </c>
      <c r="L3269" s="7" t="n">
        <v>1364</v>
      </c>
      <c r="M3269" s="7" t="n">
        <v>0</v>
      </c>
    </row>
    <row r="3270">
      <c r="A3270" t="n">
        <v>511125</v>
      </c>
      <c r="B3270" s="6" t="n">
        <v>45988</v>
      </c>
      <c r="C3270" t="n">
        <v>17508</v>
      </c>
      <c r="D3270" t="inlineStr">
        <is>
          <t>Kolkata</t>
        </is>
      </c>
      <c r="E3270" t="inlineStr">
        <is>
          <t>East</t>
        </is>
      </c>
      <c r="F3270" t="inlineStr">
        <is>
          <t>Paid Search</t>
        </is>
      </c>
      <c r="G3270" t="inlineStr">
        <is>
          <t>Mobile Web</t>
        </is>
      </c>
      <c r="H3270" t="inlineStr">
        <is>
          <t>UPI</t>
        </is>
      </c>
      <c r="I3270" t="inlineStr">
        <is>
          <t>Delivered</t>
        </is>
      </c>
      <c r="J3270" t="n">
        <v>143</v>
      </c>
      <c r="K3270" t="n">
        <v>2</v>
      </c>
      <c r="L3270" s="7" t="n">
        <v>839</v>
      </c>
      <c r="M3270" s="7" t="n">
        <v>251.7</v>
      </c>
    </row>
    <row r="3271">
      <c r="A3271" t="n">
        <v>511125</v>
      </c>
      <c r="B3271" s="6" t="n">
        <v>45988</v>
      </c>
      <c r="C3271" t="n">
        <v>17508</v>
      </c>
      <c r="D3271" t="inlineStr">
        <is>
          <t>Kolkata</t>
        </is>
      </c>
      <c r="E3271" t="inlineStr">
        <is>
          <t>East</t>
        </is>
      </c>
      <c r="F3271" t="inlineStr">
        <is>
          <t>Paid Search</t>
        </is>
      </c>
      <c r="G3271" t="inlineStr">
        <is>
          <t>Mobile Web</t>
        </is>
      </c>
      <c r="H3271" t="inlineStr">
        <is>
          <t>UPI</t>
        </is>
      </c>
      <c r="I3271" t="inlineStr">
        <is>
          <t>Delivered</t>
        </is>
      </c>
      <c r="J3271" t="n">
        <v>107</v>
      </c>
      <c r="K3271" t="n">
        <v>1</v>
      </c>
      <c r="L3271" s="7" t="n">
        <v>1259</v>
      </c>
      <c r="M3271" s="7" t="n">
        <v>188.85</v>
      </c>
    </row>
    <row r="3272">
      <c r="A3272" t="n">
        <v>511126</v>
      </c>
      <c r="B3272" s="6" t="n">
        <v>45988</v>
      </c>
      <c r="C3272" t="n">
        <v>16170</v>
      </c>
      <c r="D3272" t="inlineStr">
        <is>
          <t>Indore</t>
        </is>
      </c>
      <c r="E3272" t="inlineStr">
        <is>
          <t>West</t>
        </is>
      </c>
      <c r="F3272" t="inlineStr">
        <is>
          <t>Email</t>
        </is>
      </c>
      <c r="G3272" t="inlineStr">
        <is>
          <t>Mobile Web</t>
        </is>
      </c>
      <c r="H3272" t="inlineStr">
        <is>
          <t>UPI</t>
        </is>
      </c>
      <c r="I3272" t="inlineStr">
        <is>
          <t>Delivered</t>
        </is>
      </c>
      <c r="J3272" t="n">
        <v>117</v>
      </c>
      <c r="K3272" t="n">
        <v>1</v>
      </c>
      <c r="L3272" s="7" t="n">
        <v>3149</v>
      </c>
      <c r="M3272" s="7" t="n">
        <v>0</v>
      </c>
    </row>
    <row r="3273">
      <c r="A3273" t="n">
        <v>511127</v>
      </c>
      <c r="B3273" s="6" t="n">
        <v>45988</v>
      </c>
      <c r="C3273" t="n">
        <v>16949</v>
      </c>
      <c r="D3273" t="inlineStr">
        <is>
          <t>Bengaluru</t>
        </is>
      </c>
      <c r="E3273" t="inlineStr">
        <is>
          <t>South</t>
        </is>
      </c>
      <c r="F3273" t="inlineStr">
        <is>
          <t>Organic Search</t>
        </is>
      </c>
      <c r="G3273" t="inlineStr">
        <is>
          <t>Mobile Web</t>
        </is>
      </c>
      <c r="H3273" t="inlineStr">
        <is>
          <t>Cash on Delivery</t>
        </is>
      </c>
      <c r="I3273" t="inlineStr">
        <is>
          <t>Returned</t>
        </is>
      </c>
      <c r="J3273" t="n">
        <v>114</v>
      </c>
      <c r="K3273" t="n">
        <v>1</v>
      </c>
      <c r="L3273" s="7" t="n">
        <v>1259</v>
      </c>
      <c r="M3273" s="7" t="n">
        <v>0</v>
      </c>
    </row>
    <row r="3274">
      <c r="A3274" t="n">
        <v>511127</v>
      </c>
      <c r="B3274" s="6" t="n">
        <v>45988</v>
      </c>
      <c r="C3274" t="n">
        <v>16949</v>
      </c>
      <c r="D3274" t="inlineStr">
        <is>
          <t>Bengaluru</t>
        </is>
      </c>
      <c r="E3274" t="inlineStr">
        <is>
          <t>South</t>
        </is>
      </c>
      <c r="F3274" t="inlineStr">
        <is>
          <t>Organic Search</t>
        </is>
      </c>
      <c r="G3274" t="inlineStr">
        <is>
          <t>Mobile Web</t>
        </is>
      </c>
      <c r="H3274" t="inlineStr">
        <is>
          <t>Cash on Delivery</t>
        </is>
      </c>
      <c r="I3274" t="inlineStr">
        <is>
          <t>Returned</t>
        </is>
      </c>
      <c r="J3274" t="n">
        <v>126</v>
      </c>
      <c r="K3274" t="n">
        <v>1</v>
      </c>
      <c r="L3274" s="7" t="n">
        <v>471</v>
      </c>
      <c r="M3274" s="7" t="n">
        <v>0</v>
      </c>
    </row>
    <row r="3275">
      <c r="A3275" t="n">
        <v>511128</v>
      </c>
      <c r="B3275" s="6" t="n">
        <v>45988</v>
      </c>
      <c r="C3275" t="n">
        <v>17429</v>
      </c>
      <c r="D3275" t="inlineStr">
        <is>
          <t>Hyderabad</t>
        </is>
      </c>
      <c r="E3275" t="inlineStr">
        <is>
          <t>South</t>
        </is>
      </c>
      <c r="F3275" t="inlineStr">
        <is>
          <t>Organic Search</t>
        </is>
      </c>
      <c r="G3275" t="inlineStr">
        <is>
          <t>Mobile Web</t>
        </is>
      </c>
      <c r="H3275" t="inlineStr">
        <is>
          <t>Cash on Delivery</t>
        </is>
      </c>
      <c r="I3275" t="inlineStr">
        <is>
          <t>Delivered</t>
        </is>
      </c>
      <c r="J3275" t="n">
        <v>105</v>
      </c>
      <c r="K3275" t="n">
        <v>1</v>
      </c>
      <c r="L3275" s="7" t="n">
        <v>2414</v>
      </c>
      <c r="M3275" s="7" t="n">
        <v>362.1</v>
      </c>
    </row>
    <row r="3276">
      <c r="A3276" t="n">
        <v>511128</v>
      </c>
      <c r="B3276" s="6" t="n">
        <v>45988</v>
      </c>
      <c r="C3276" t="n">
        <v>17429</v>
      </c>
      <c r="D3276" t="inlineStr">
        <is>
          <t>Hyderabad</t>
        </is>
      </c>
      <c r="E3276" t="inlineStr">
        <is>
          <t>South</t>
        </is>
      </c>
      <c r="F3276" t="inlineStr">
        <is>
          <t>Organic Search</t>
        </is>
      </c>
      <c r="G3276" t="inlineStr">
        <is>
          <t>Mobile Web</t>
        </is>
      </c>
      <c r="H3276" t="inlineStr">
        <is>
          <t>Cash on Delivery</t>
        </is>
      </c>
      <c r="I3276" t="inlineStr">
        <is>
          <t>Delivered</t>
        </is>
      </c>
      <c r="J3276" t="n">
        <v>148</v>
      </c>
      <c r="K3276" t="n">
        <v>1</v>
      </c>
      <c r="L3276" s="7" t="n">
        <v>734</v>
      </c>
      <c r="M3276" s="7" t="n">
        <v>110.1</v>
      </c>
    </row>
    <row r="3277">
      <c r="A3277" t="n">
        <v>511128</v>
      </c>
      <c r="B3277" s="6" t="n">
        <v>45988</v>
      </c>
      <c r="C3277" t="n">
        <v>17429</v>
      </c>
      <c r="D3277" t="inlineStr">
        <is>
          <t>Hyderabad</t>
        </is>
      </c>
      <c r="E3277" t="inlineStr">
        <is>
          <t>South</t>
        </is>
      </c>
      <c r="F3277" t="inlineStr">
        <is>
          <t>Organic Search</t>
        </is>
      </c>
      <c r="G3277" t="inlineStr">
        <is>
          <t>Mobile Web</t>
        </is>
      </c>
      <c r="H3277" t="inlineStr">
        <is>
          <t>Cash on Delivery</t>
        </is>
      </c>
      <c r="I3277" t="inlineStr">
        <is>
          <t>Delivered</t>
        </is>
      </c>
      <c r="J3277" t="n">
        <v>117</v>
      </c>
      <c r="K3277" t="n">
        <v>1</v>
      </c>
      <c r="L3277" s="7" t="n">
        <v>3149</v>
      </c>
      <c r="M3277" s="7" t="n">
        <v>472.35</v>
      </c>
    </row>
    <row r="3278">
      <c r="A3278" t="n">
        <v>511129</v>
      </c>
      <c r="B3278" s="6" t="n">
        <v>45988</v>
      </c>
      <c r="C3278" t="n">
        <v>17502</v>
      </c>
      <c r="D3278" t="inlineStr">
        <is>
          <t>Jaipur</t>
        </is>
      </c>
      <c r="E3278" t="inlineStr">
        <is>
          <t>North</t>
        </is>
      </c>
      <c r="F3278" t="inlineStr">
        <is>
          <t>Paid Search</t>
        </is>
      </c>
      <c r="G3278" t="inlineStr">
        <is>
          <t>Mobile App</t>
        </is>
      </c>
      <c r="H3278" t="inlineStr">
        <is>
          <t>Debit Card</t>
        </is>
      </c>
      <c r="I3278" t="inlineStr">
        <is>
          <t>Delivered</t>
        </is>
      </c>
      <c r="J3278" t="n">
        <v>111</v>
      </c>
      <c r="K3278" t="n">
        <v>1</v>
      </c>
      <c r="L3278" s="7" t="n">
        <v>524</v>
      </c>
      <c r="M3278" s="7" t="n">
        <v>0</v>
      </c>
    </row>
    <row r="3279">
      <c r="A3279" t="n">
        <v>511129</v>
      </c>
      <c r="B3279" s="6" t="n">
        <v>45988</v>
      </c>
      <c r="C3279" t="n">
        <v>17502</v>
      </c>
      <c r="D3279" t="inlineStr">
        <is>
          <t>Jaipur</t>
        </is>
      </c>
      <c r="E3279" t="inlineStr">
        <is>
          <t>North</t>
        </is>
      </c>
      <c r="F3279" t="inlineStr">
        <is>
          <t>Paid Search</t>
        </is>
      </c>
      <c r="G3279" t="inlineStr">
        <is>
          <t>Mobile App</t>
        </is>
      </c>
      <c r="H3279" t="inlineStr">
        <is>
          <t>Debit Card</t>
        </is>
      </c>
      <c r="I3279" t="inlineStr">
        <is>
          <t>Delivered</t>
        </is>
      </c>
      <c r="J3279" t="n">
        <v>117</v>
      </c>
      <c r="K3279" t="n">
        <v>1</v>
      </c>
      <c r="L3279" s="7" t="n">
        <v>3149</v>
      </c>
      <c r="M3279" s="7" t="n">
        <v>0</v>
      </c>
    </row>
    <row r="3280">
      <c r="A3280" t="n">
        <v>511129</v>
      </c>
      <c r="B3280" s="6" t="n">
        <v>45988</v>
      </c>
      <c r="C3280" t="n">
        <v>17502</v>
      </c>
      <c r="D3280" t="inlineStr">
        <is>
          <t>Jaipur</t>
        </is>
      </c>
      <c r="E3280" t="inlineStr">
        <is>
          <t>North</t>
        </is>
      </c>
      <c r="F3280" t="inlineStr">
        <is>
          <t>Paid Search</t>
        </is>
      </c>
      <c r="G3280" t="inlineStr">
        <is>
          <t>Mobile App</t>
        </is>
      </c>
      <c r="H3280" t="inlineStr">
        <is>
          <t>Debit Card</t>
        </is>
      </c>
      <c r="I3280" t="inlineStr">
        <is>
          <t>Delivered</t>
        </is>
      </c>
      <c r="J3280" t="n">
        <v>109</v>
      </c>
      <c r="K3280" t="n">
        <v>1</v>
      </c>
      <c r="L3280" s="7" t="n">
        <v>4199</v>
      </c>
      <c r="M3280" s="7" t="n">
        <v>0</v>
      </c>
    </row>
    <row r="3281">
      <c r="A3281" t="n">
        <v>511129</v>
      </c>
      <c r="B3281" s="6" t="n">
        <v>45988</v>
      </c>
      <c r="C3281" t="n">
        <v>17502</v>
      </c>
      <c r="D3281" t="inlineStr">
        <is>
          <t>Jaipur</t>
        </is>
      </c>
      <c r="E3281" t="inlineStr">
        <is>
          <t>North</t>
        </is>
      </c>
      <c r="F3281" t="inlineStr">
        <is>
          <t>Paid Search</t>
        </is>
      </c>
      <c r="G3281" t="inlineStr">
        <is>
          <t>Mobile App</t>
        </is>
      </c>
      <c r="H3281" t="inlineStr">
        <is>
          <t>Debit Card</t>
        </is>
      </c>
      <c r="I3281" t="inlineStr">
        <is>
          <t>Delivered</t>
        </is>
      </c>
      <c r="J3281" t="n">
        <v>108</v>
      </c>
      <c r="K3281" t="n">
        <v>1</v>
      </c>
      <c r="L3281" s="7" t="n">
        <v>419</v>
      </c>
      <c r="M3281" s="7" t="n">
        <v>0</v>
      </c>
    </row>
    <row r="3282">
      <c r="A3282" t="n">
        <v>511130</v>
      </c>
      <c r="B3282" s="6" t="n">
        <v>45988</v>
      </c>
      <c r="C3282" t="n">
        <v>17059</v>
      </c>
      <c r="D3282" t="inlineStr">
        <is>
          <t>Mumbai</t>
        </is>
      </c>
      <c r="E3282" t="inlineStr">
        <is>
          <t>West</t>
        </is>
      </c>
      <c r="F3282" t="inlineStr">
        <is>
          <t>Affiliate</t>
        </is>
      </c>
      <c r="G3282" t="inlineStr">
        <is>
          <t>Mobile App</t>
        </is>
      </c>
      <c r="H3282" t="inlineStr">
        <is>
          <t>UPI</t>
        </is>
      </c>
      <c r="I3282" t="inlineStr">
        <is>
          <t>Delivered</t>
        </is>
      </c>
      <c r="J3282" t="n">
        <v>131</v>
      </c>
      <c r="K3282" t="n">
        <v>1</v>
      </c>
      <c r="L3282" s="7" t="n">
        <v>314</v>
      </c>
      <c r="M3282" s="7" t="n">
        <v>0</v>
      </c>
    </row>
    <row r="3283">
      <c r="A3283" t="n">
        <v>511131</v>
      </c>
      <c r="B3283" s="6" t="n">
        <v>45988</v>
      </c>
      <c r="C3283" t="n">
        <v>15864</v>
      </c>
      <c r="D3283" t="inlineStr">
        <is>
          <t>Delhi</t>
        </is>
      </c>
      <c r="E3283" t="inlineStr">
        <is>
          <t>North</t>
        </is>
      </c>
      <c r="F3283" t="inlineStr">
        <is>
          <t>Paid Social</t>
        </is>
      </c>
      <c r="G3283" t="inlineStr">
        <is>
          <t>Mobile App</t>
        </is>
      </c>
      <c r="H3283" t="inlineStr">
        <is>
          <t>UPI</t>
        </is>
      </c>
      <c r="I3283" t="inlineStr">
        <is>
          <t>Delivered</t>
        </is>
      </c>
      <c r="J3283" t="n">
        <v>145</v>
      </c>
      <c r="K3283" t="n">
        <v>2</v>
      </c>
      <c r="L3283" s="7" t="n">
        <v>629</v>
      </c>
      <c r="M3283" s="7" t="n">
        <v>0</v>
      </c>
    </row>
    <row r="3284">
      <c r="A3284" t="n">
        <v>511131</v>
      </c>
      <c r="B3284" s="6" t="n">
        <v>45988</v>
      </c>
      <c r="C3284" t="n">
        <v>15864</v>
      </c>
      <c r="D3284" t="inlineStr">
        <is>
          <t>Delhi</t>
        </is>
      </c>
      <c r="E3284" t="inlineStr">
        <is>
          <t>North</t>
        </is>
      </c>
      <c r="F3284" t="inlineStr">
        <is>
          <t>Paid Social</t>
        </is>
      </c>
      <c r="G3284" t="inlineStr">
        <is>
          <t>Mobile App</t>
        </is>
      </c>
      <c r="H3284" t="inlineStr">
        <is>
          <t>UPI</t>
        </is>
      </c>
      <c r="I3284" t="inlineStr">
        <is>
          <t>Delivered</t>
        </is>
      </c>
      <c r="J3284" t="n">
        <v>135</v>
      </c>
      <c r="K3284" t="n">
        <v>1</v>
      </c>
      <c r="L3284" s="7" t="n">
        <v>1574</v>
      </c>
      <c r="M3284" s="7" t="n">
        <v>0</v>
      </c>
    </row>
    <row r="3285">
      <c r="A3285" t="n">
        <v>511132</v>
      </c>
      <c r="B3285" s="6" t="n">
        <v>45989</v>
      </c>
      <c r="C3285" t="n">
        <v>17534</v>
      </c>
      <c r="D3285" t="inlineStr">
        <is>
          <t>Kochi</t>
        </is>
      </c>
      <c r="E3285" t="inlineStr">
        <is>
          <t>South</t>
        </is>
      </c>
      <c r="F3285" t="inlineStr">
        <is>
          <t>Organic Search</t>
        </is>
      </c>
      <c r="G3285" t="inlineStr">
        <is>
          <t>Desktop</t>
        </is>
      </c>
      <c r="H3285" t="inlineStr">
        <is>
          <t>UPI</t>
        </is>
      </c>
      <c r="I3285" t="inlineStr">
        <is>
          <t>Delivered</t>
        </is>
      </c>
      <c r="J3285" t="n">
        <v>103</v>
      </c>
      <c r="K3285" t="n">
        <v>1</v>
      </c>
      <c r="L3285" s="7" t="n">
        <v>2624</v>
      </c>
      <c r="M3285" s="7" t="n">
        <v>393.6</v>
      </c>
    </row>
    <row r="3286">
      <c r="A3286" t="n">
        <v>511133</v>
      </c>
      <c r="B3286" s="6" t="n">
        <v>45989</v>
      </c>
      <c r="C3286" t="n">
        <v>17538</v>
      </c>
      <c r="D3286" t="inlineStr">
        <is>
          <t>Bengaluru</t>
        </is>
      </c>
      <c r="E3286" t="inlineStr">
        <is>
          <t>South</t>
        </is>
      </c>
      <c r="F3286" t="inlineStr">
        <is>
          <t>Affiliate</t>
        </is>
      </c>
      <c r="G3286" t="inlineStr">
        <is>
          <t>Desktop</t>
        </is>
      </c>
      <c r="H3286" t="inlineStr">
        <is>
          <t>UPI</t>
        </is>
      </c>
      <c r="I3286" t="inlineStr">
        <is>
          <t>Delivered</t>
        </is>
      </c>
      <c r="J3286" t="n">
        <v>114</v>
      </c>
      <c r="K3286" t="n">
        <v>1</v>
      </c>
      <c r="L3286" s="7" t="n">
        <v>1259</v>
      </c>
      <c r="M3286" s="7" t="n">
        <v>0</v>
      </c>
    </row>
    <row r="3287">
      <c r="A3287" t="n">
        <v>511134</v>
      </c>
      <c r="B3287" s="6" t="n">
        <v>45989</v>
      </c>
      <c r="C3287" t="n">
        <v>12746</v>
      </c>
      <c r="D3287" t="inlineStr">
        <is>
          <t>Chandigarh</t>
        </is>
      </c>
      <c r="E3287" t="inlineStr">
        <is>
          <t>North</t>
        </is>
      </c>
      <c r="F3287" t="inlineStr">
        <is>
          <t>Organic Search</t>
        </is>
      </c>
      <c r="G3287" t="inlineStr">
        <is>
          <t>Mobile Web</t>
        </is>
      </c>
      <c r="H3287" t="inlineStr">
        <is>
          <t>UPI</t>
        </is>
      </c>
      <c r="I3287" t="inlineStr">
        <is>
          <t>Cancelled</t>
        </is>
      </c>
      <c r="J3287" t="n">
        <v>128</v>
      </c>
      <c r="K3287" t="n">
        <v>1</v>
      </c>
      <c r="L3287" s="7" t="n">
        <v>1049</v>
      </c>
      <c r="M3287" s="7" t="n">
        <v>52.45</v>
      </c>
    </row>
    <row r="3288">
      <c r="A3288" t="n">
        <v>511135</v>
      </c>
      <c r="B3288" s="6" t="n">
        <v>45989</v>
      </c>
      <c r="C3288" t="n">
        <v>15362</v>
      </c>
      <c r="D3288" t="inlineStr">
        <is>
          <t>Mumbai</t>
        </is>
      </c>
      <c r="E3288" t="inlineStr">
        <is>
          <t>West</t>
        </is>
      </c>
      <c r="F3288" t="inlineStr">
        <is>
          <t>Paid Search</t>
        </is>
      </c>
      <c r="G3288" t="inlineStr">
        <is>
          <t>Desktop</t>
        </is>
      </c>
      <c r="H3288" t="inlineStr">
        <is>
          <t>Cash on Delivery</t>
        </is>
      </c>
      <c r="I3288" t="inlineStr">
        <is>
          <t>Delivered</t>
        </is>
      </c>
      <c r="J3288" t="n">
        <v>137</v>
      </c>
      <c r="K3288" t="n">
        <v>3</v>
      </c>
      <c r="L3288" s="7" t="n">
        <v>261</v>
      </c>
      <c r="M3288" s="7" t="n">
        <v>0</v>
      </c>
    </row>
    <row r="3289">
      <c r="A3289" t="n">
        <v>511136</v>
      </c>
      <c r="B3289" s="6" t="n">
        <v>45989</v>
      </c>
      <c r="C3289" t="n">
        <v>15401</v>
      </c>
      <c r="D3289" t="inlineStr">
        <is>
          <t>Mumbai</t>
        </is>
      </c>
      <c r="E3289" t="inlineStr">
        <is>
          <t>West</t>
        </is>
      </c>
      <c r="F3289" t="inlineStr">
        <is>
          <t>Paid Search</t>
        </is>
      </c>
      <c r="G3289" t="inlineStr">
        <is>
          <t>Desktop</t>
        </is>
      </c>
      <c r="H3289" t="inlineStr">
        <is>
          <t>Debit Card</t>
        </is>
      </c>
      <c r="I3289" t="inlineStr">
        <is>
          <t>Delivered</t>
        </is>
      </c>
      <c r="J3289" t="n">
        <v>144</v>
      </c>
      <c r="K3289" t="n">
        <v>1</v>
      </c>
      <c r="L3289" s="7" t="n">
        <v>3149</v>
      </c>
      <c r="M3289" s="7" t="n">
        <v>0</v>
      </c>
    </row>
    <row r="3290">
      <c r="A3290" t="n">
        <v>511137</v>
      </c>
      <c r="B3290" s="6" t="n">
        <v>45989</v>
      </c>
      <c r="C3290" t="n">
        <v>14074</v>
      </c>
      <c r="D3290" t="inlineStr">
        <is>
          <t>Lucknow</t>
        </is>
      </c>
      <c r="E3290" t="inlineStr">
        <is>
          <t>North</t>
        </is>
      </c>
      <c r="F3290" t="inlineStr">
        <is>
          <t>Paid Search</t>
        </is>
      </c>
      <c r="G3290" t="inlineStr">
        <is>
          <t>Mobile App</t>
        </is>
      </c>
      <c r="H3290" t="inlineStr">
        <is>
          <t>Cash on Delivery</t>
        </is>
      </c>
      <c r="I3290" t="inlineStr">
        <is>
          <t>Delivered</t>
        </is>
      </c>
      <c r="J3290" t="n">
        <v>101</v>
      </c>
      <c r="K3290" t="n">
        <v>2</v>
      </c>
      <c r="L3290" s="7" t="n">
        <v>2099</v>
      </c>
      <c r="M3290" s="7" t="n">
        <v>0</v>
      </c>
    </row>
    <row r="3291">
      <c r="A3291" t="n">
        <v>511138</v>
      </c>
      <c r="B3291" s="6" t="n">
        <v>45989</v>
      </c>
      <c r="C3291" t="n">
        <v>17526</v>
      </c>
      <c r="D3291" t="inlineStr">
        <is>
          <t>Kolkata</t>
        </is>
      </c>
      <c r="E3291" t="inlineStr">
        <is>
          <t>East</t>
        </is>
      </c>
      <c r="F3291" t="inlineStr">
        <is>
          <t>Paid Social</t>
        </is>
      </c>
      <c r="G3291" t="inlineStr">
        <is>
          <t>Desktop</t>
        </is>
      </c>
      <c r="H3291" t="inlineStr">
        <is>
          <t>Credit Card</t>
        </is>
      </c>
      <c r="I3291" t="inlineStr">
        <is>
          <t>Delivered</t>
        </is>
      </c>
      <c r="J3291" t="n">
        <v>128</v>
      </c>
      <c r="K3291" t="n">
        <v>1</v>
      </c>
      <c r="L3291" s="7" t="n">
        <v>1049</v>
      </c>
      <c r="M3291" s="7" t="n">
        <v>157.35</v>
      </c>
    </row>
    <row r="3292">
      <c r="A3292" t="n">
        <v>511139</v>
      </c>
      <c r="B3292" s="6" t="n">
        <v>45989</v>
      </c>
      <c r="C3292" t="n">
        <v>17483</v>
      </c>
      <c r="D3292" t="inlineStr">
        <is>
          <t>Kolkata</t>
        </is>
      </c>
      <c r="E3292" t="inlineStr">
        <is>
          <t>East</t>
        </is>
      </c>
      <c r="F3292" t="inlineStr">
        <is>
          <t>Organic Search</t>
        </is>
      </c>
      <c r="G3292" t="inlineStr">
        <is>
          <t>Mobile App</t>
        </is>
      </c>
      <c r="H3292" t="inlineStr">
        <is>
          <t>UPI</t>
        </is>
      </c>
      <c r="I3292" t="inlineStr">
        <is>
          <t>Delivered</t>
        </is>
      </c>
      <c r="J3292" t="n">
        <v>115</v>
      </c>
      <c r="K3292" t="n">
        <v>1</v>
      </c>
      <c r="L3292" s="7" t="n">
        <v>4199</v>
      </c>
      <c r="M3292" s="7" t="n">
        <v>629.85</v>
      </c>
    </row>
    <row r="3293">
      <c r="A3293" t="n">
        <v>511140</v>
      </c>
      <c r="B3293" s="6" t="n">
        <v>45989</v>
      </c>
      <c r="C3293" t="n">
        <v>17045</v>
      </c>
      <c r="D3293" t="inlineStr">
        <is>
          <t>Delhi</t>
        </is>
      </c>
      <c r="E3293" t="inlineStr">
        <is>
          <t>North</t>
        </is>
      </c>
      <c r="F3293" t="inlineStr">
        <is>
          <t>Paid Search</t>
        </is>
      </c>
      <c r="G3293" t="inlineStr">
        <is>
          <t>Mobile App</t>
        </is>
      </c>
      <c r="H3293" t="inlineStr">
        <is>
          <t>UPI</t>
        </is>
      </c>
      <c r="I3293" t="inlineStr">
        <is>
          <t>Delivered</t>
        </is>
      </c>
      <c r="J3293" t="n">
        <v>114</v>
      </c>
      <c r="K3293" t="n">
        <v>1</v>
      </c>
      <c r="L3293" s="7" t="n">
        <v>1259</v>
      </c>
      <c r="M3293" s="7" t="n">
        <v>0</v>
      </c>
    </row>
    <row r="3294">
      <c r="A3294" t="n">
        <v>511140</v>
      </c>
      <c r="B3294" s="6" t="n">
        <v>45989</v>
      </c>
      <c r="C3294" t="n">
        <v>17045</v>
      </c>
      <c r="D3294" t="inlineStr">
        <is>
          <t>Delhi</t>
        </is>
      </c>
      <c r="E3294" t="inlineStr">
        <is>
          <t>North</t>
        </is>
      </c>
      <c r="F3294" t="inlineStr">
        <is>
          <t>Paid Search</t>
        </is>
      </c>
      <c r="G3294" t="inlineStr">
        <is>
          <t>Mobile App</t>
        </is>
      </c>
      <c r="H3294" t="inlineStr">
        <is>
          <t>UPI</t>
        </is>
      </c>
      <c r="I3294" t="inlineStr">
        <is>
          <t>Delivered</t>
        </is>
      </c>
      <c r="J3294" t="n">
        <v>142</v>
      </c>
      <c r="K3294" t="n">
        <v>1</v>
      </c>
      <c r="L3294" s="7" t="n">
        <v>839</v>
      </c>
      <c r="M3294" s="7" t="n">
        <v>0</v>
      </c>
    </row>
    <row r="3295">
      <c r="A3295" t="n">
        <v>511141</v>
      </c>
      <c r="B3295" s="6" t="n">
        <v>45989</v>
      </c>
      <c r="C3295" t="n">
        <v>17484</v>
      </c>
      <c r="D3295" t="inlineStr">
        <is>
          <t>Jaipur</t>
        </is>
      </c>
      <c r="E3295" t="inlineStr">
        <is>
          <t>North</t>
        </is>
      </c>
      <c r="F3295" t="inlineStr">
        <is>
          <t>Paid Social</t>
        </is>
      </c>
      <c r="G3295" t="inlineStr">
        <is>
          <t>Mobile App</t>
        </is>
      </c>
      <c r="H3295" t="inlineStr">
        <is>
          <t>UPI</t>
        </is>
      </c>
      <c r="I3295" t="inlineStr">
        <is>
          <t>Delivered</t>
        </is>
      </c>
      <c r="J3295" t="n">
        <v>120</v>
      </c>
      <c r="K3295" t="n">
        <v>1</v>
      </c>
      <c r="L3295" s="7" t="n">
        <v>734</v>
      </c>
      <c r="M3295" s="7" t="n">
        <v>0</v>
      </c>
    </row>
    <row r="3296">
      <c r="A3296" t="n">
        <v>511141</v>
      </c>
      <c r="B3296" s="6" t="n">
        <v>45989</v>
      </c>
      <c r="C3296" t="n">
        <v>17484</v>
      </c>
      <c r="D3296" t="inlineStr">
        <is>
          <t>Jaipur</t>
        </is>
      </c>
      <c r="E3296" t="inlineStr">
        <is>
          <t>North</t>
        </is>
      </c>
      <c r="F3296" t="inlineStr">
        <is>
          <t>Paid Social</t>
        </is>
      </c>
      <c r="G3296" t="inlineStr">
        <is>
          <t>Mobile App</t>
        </is>
      </c>
      <c r="H3296" t="inlineStr">
        <is>
          <t>UPI</t>
        </is>
      </c>
      <c r="I3296" t="inlineStr">
        <is>
          <t>Delivered</t>
        </is>
      </c>
      <c r="J3296" t="n">
        <v>114</v>
      </c>
      <c r="K3296" t="n">
        <v>1</v>
      </c>
      <c r="L3296" s="7" t="n">
        <v>1259</v>
      </c>
      <c r="M3296" s="7" t="n">
        <v>0</v>
      </c>
    </row>
    <row r="3297">
      <c r="A3297" t="n">
        <v>511142</v>
      </c>
      <c r="B3297" s="6" t="n">
        <v>45989</v>
      </c>
      <c r="C3297" t="n">
        <v>13402</v>
      </c>
      <c r="D3297" t="inlineStr">
        <is>
          <t>Chennai</t>
        </is>
      </c>
      <c r="E3297" t="inlineStr">
        <is>
          <t>South</t>
        </is>
      </c>
      <c r="F3297" t="inlineStr">
        <is>
          <t>Paid Search</t>
        </is>
      </c>
      <c r="G3297" t="inlineStr">
        <is>
          <t>Mobile Web</t>
        </is>
      </c>
      <c r="H3297" t="inlineStr">
        <is>
          <t>UPI</t>
        </is>
      </c>
      <c r="I3297" t="inlineStr">
        <is>
          <t>Delivered</t>
        </is>
      </c>
      <c r="J3297" t="n">
        <v>102</v>
      </c>
      <c r="K3297" t="n">
        <v>1</v>
      </c>
      <c r="L3297" s="7" t="n">
        <v>3674</v>
      </c>
      <c r="M3297" s="7" t="n">
        <v>0</v>
      </c>
    </row>
    <row r="3298">
      <c r="A3298" t="n">
        <v>511142</v>
      </c>
      <c r="B3298" s="6" t="n">
        <v>45989</v>
      </c>
      <c r="C3298" t="n">
        <v>13402</v>
      </c>
      <c r="D3298" t="inlineStr">
        <is>
          <t>Chennai</t>
        </is>
      </c>
      <c r="E3298" t="inlineStr">
        <is>
          <t>South</t>
        </is>
      </c>
      <c r="F3298" t="inlineStr">
        <is>
          <t>Paid Search</t>
        </is>
      </c>
      <c r="G3298" t="inlineStr">
        <is>
          <t>Mobile Web</t>
        </is>
      </c>
      <c r="H3298" t="inlineStr">
        <is>
          <t>UPI</t>
        </is>
      </c>
      <c r="I3298" t="inlineStr">
        <is>
          <t>Delivered</t>
        </is>
      </c>
      <c r="J3298" t="n">
        <v>108</v>
      </c>
      <c r="K3298" t="n">
        <v>1</v>
      </c>
      <c r="L3298" s="7" t="n">
        <v>419</v>
      </c>
      <c r="M3298" s="7" t="n">
        <v>0</v>
      </c>
    </row>
    <row r="3299">
      <c r="A3299" t="n">
        <v>511143</v>
      </c>
      <c r="B3299" s="6" t="n">
        <v>45989</v>
      </c>
      <c r="C3299" t="n">
        <v>16873</v>
      </c>
      <c r="D3299" t="inlineStr">
        <is>
          <t>Kolkata</t>
        </is>
      </c>
      <c r="E3299" t="inlineStr">
        <is>
          <t>East</t>
        </is>
      </c>
      <c r="F3299" t="inlineStr">
        <is>
          <t>Organic Search</t>
        </is>
      </c>
      <c r="G3299" t="inlineStr">
        <is>
          <t>Mobile App</t>
        </is>
      </c>
      <c r="H3299" t="inlineStr">
        <is>
          <t>UPI</t>
        </is>
      </c>
      <c r="I3299" t="inlineStr">
        <is>
          <t>Delivered</t>
        </is>
      </c>
      <c r="J3299" t="n">
        <v>118</v>
      </c>
      <c r="K3299" t="n">
        <v>1</v>
      </c>
      <c r="L3299" s="7" t="n">
        <v>944</v>
      </c>
      <c r="M3299" s="7" t="n">
        <v>0</v>
      </c>
    </row>
    <row r="3300">
      <c r="A3300" t="n">
        <v>511143</v>
      </c>
      <c r="B3300" s="6" t="n">
        <v>45989</v>
      </c>
      <c r="C3300" t="n">
        <v>16873</v>
      </c>
      <c r="D3300" t="inlineStr">
        <is>
          <t>Kolkata</t>
        </is>
      </c>
      <c r="E3300" t="inlineStr">
        <is>
          <t>East</t>
        </is>
      </c>
      <c r="F3300" t="inlineStr">
        <is>
          <t>Organic Search</t>
        </is>
      </c>
      <c r="G3300" t="inlineStr">
        <is>
          <t>Mobile App</t>
        </is>
      </c>
      <c r="H3300" t="inlineStr">
        <is>
          <t>UPI</t>
        </is>
      </c>
      <c r="I3300" t="inlineStr">
        <is>
          <t>Delivered</t>
        </is>
      </c>
      <c r="J3300" t="n">
        <v>121</v>
      </c>
      <c r="K3300" t="n">
        <v>1</v>
      </c>
      <c r="L3300" s="7" t="n">
        <v>2939</v>
      </c>
      <c r="M3300" s="7" t="n">
        <v>0</v>
      </c>
    </row>
    <row r="3301">
      <c r="A3301" t="n">
        <v>511143</v>
      </c>
      <c r="B3301" s="6" t="n">
        <v>45989</v>
      </c>
      <c r="C3301" t="n">
        <v>16873</v>
      </c>
      <c r="D3301" t="inlineStr">
        <is>
          <t>Kolkata</t>
        </is>
      </c>
      <c r="E3301" t="inlineStr">
        <is>
          <t>East</t>
        </is>
      </c>
      <c r="F3301" t="inlineStr">
        <is>
          <t>Organic Search</t>
        </is>
      </c>
      <c r="G3301" t="inlineStr">
        <is>
          <t>Mobile App</t>
        </is>
      </c>
      <c r="H3301" t="inlineStr">
        <is>
          <t>UPI</t>
        </is>
      </c>
      <c r="I3301" t="inlineStr">
        <is>
          <t>Delivered</t>
        </is>
      </c>
      <c r="J3301" t="n">
        <v>113</v>
      </c>
      <c r="K3301" t="n">
        <v>1</v>
      </c>
      <c r="L3301" s="7" t="n">
        <v>1364</v>
      </c>
      <c r="M3301" s="7" t="n">
        <v>0</v>
      </c>
    </row>
    <row r="3302">
      <c r="A3302" t="n">
        <v>511143</v>
      </c>
      <c r="B3302" s="6" t="n">
        <v>45989</v>
      </c>
      <c r="C3302" t="n">
        <v>16873</v>
      </c>
      <c r="D3302" t="inlineStr">
        <is>
          <t>Kolkata</t>
        </is>
      </c>
      <c r="E3302" t="inlineStr">
        <is>
          <t>East</t>
        </is>
      </c>
      <c r="F3302" t="inlineStr">
        <is>
          <t>Organic Search</t>
        </is>
      </c>
      <c r="G3302" t="inlineStr">
        <is>
          <t>Mobile App</t>
        </is>
      </c>
      <c r="H3302" t="inlineStr">
        <is>
          <t>UPI</t>
        </is>
      </c>
      <c r="I3302" t="inlineStr">
        <is>
          <t>Delivered</t>
        </is>
      </c>
      <c r="J3302" t="n">
        <v>103</v>
      </c>
      <c r="K3302" t="n">
        <v>2</v>
      </c>
      <c r="L3302" s="7" t="n">
        <v>2624</v>
      </c>
      <c r="M3302" s="7" t="n">
        <v>0</v>
      </c>
    </row>
    <row r="3303">
      <c r="A3303" t="n">
        <v>511144</v>
      </c>
      <c r="B3303" s="6" t="n">
        <v>45989</v>
      </c>
      <c r="C3303" t="n">
        <v>16927</v>
      </c>
      <c r="D3303" t="inlineStr">
        <is>
          <t>Jaipur</t>
        </is>
      </c>
      <c r="E3303" t="inlineStr">
        <is>
          <t>North</t>
        </is>
      </c>
      <c r="F3303" t="inlineStr">
        <is>
          <t>Referral</t>
        </is>
      </c>
      <c r="G3303" t="inlineStr">
        <is>
          <t>Mobile App</t>
        </is>
      </c>
      <c r="H3303" t="inlineStr">
        <is>
          <t>Cash on Delivery</t>
        </is>
      </c>
      <c r="I3303" t="inlineStr">
        <is>
          <t>Returned</t>
        </is>
      </c>
      <c r="J3303" t="n">
        <v>102</v>
      </c>
      <c r="K3303" t="n">
        <v>2</v>
      </c>
      <c r="L3303" s="7" t="n">
        <v>3674</v>
      </c>
      <c r="M3303" s="7" t="n">
        <v>0</v>
      </c>
    </row>
    <row r="3304">
      <c r="A3304" t="n">
        <v>511144</v>
      </c>
      <c r="B3304" s="6" t="n">
        <v>45989</v>
      </c>
      <c r="C3304" t="n">
        <v>16927</v>
      </c>
      <c r="D3304" t="inlineStr">
        <is>
          <t>Jaipur</t>
        </is>
      </c>
      <c r="E3304" t="inlineStr">
        <is>
          <t>North</t>
        </is>
      </c>
      <c r="F3304" t="inlineStr">
        <is>
          <t>Referral</t>
        </is>
      </c>
      <c r="G3304" t="inlineStr">
        <is>
          <t>Mobile App</t>
        </is>
      </c>
      <c r="H3304" t="inlineStr">
        <is>
          <t>Cash on Delivery</t>
        </is>
      </c>
      <c r="I3304" t="inlineStr">
        <is>
          <t>Returned</t>
        </is>
      </c>
      <c r="J3304" t="n">
        <v>101</v>
      </c>
      <c r="K3304" t="n">
        <v>1</v>
      </c>
      <c r="L3304" s="7" t="n">
        <v>2099</v>
      </c>
      <c r="M3304" s="7" t="n">
        <v>0</v>
      </c>
    </row>
    <row r="3305">
      <c r="A3305" t="n">
        <v>511145</v>
      </c>
      <c r="B3305" s="6" t="n">
        <v>45989</v>
      </c>
      <c r="C3305" t="n">
        <v>17530</v>
      </c>
      <c r="D3305" t="inlineStr">
        <is>
          <t>Noida</t>
        </is>
      </c>
      <c r="E3305" t="inlineStr">
        <is>
          <t>North</t>
        </is>
      </c>
      <c r="F3305" t="inlineStr">
        <is>
          <t>Organic Search</t>
        </is>
      </c>
      <c r="G3305" t="inlineStr">
        <is>
          <t>Mobile App</t>
        </is>
      </c>
      <c r="H3305" t="inlineStr">
        <is>
          <t>Cash on Delivery</t>
        </is>
      </c>
      <c r="I3305" t="inlineStr">
        <is>
          <t>Cancelled</t>
        </is>
      </c>
      <c r="J3305" t="n">
        <v>123</v>
      </c>
      <c r="K3305" t="n">
        <v>1</v>
      </c>
      <c r="L3305" s="7" t="n">
        <v>3464</v>
      </c>
      <c r="M3305" s="7" t="n">
        <v>173.2</v>
      </c>
    </row>
    <row r="3306">
      <c r="A3306" t="n">
        <v>511146</v>
      </c>
      <c r="B3306" s="6" t="n">
        <v>45989</v>
      </c>
      <c r="C3306" t="n">
        <v>17539</v>
      </c>
      <c r="D3306" t="inlineStr">
        <is>
          <t>Noida</t>
        </is>
      </c>
      <c r="E3306" t="inlineStr">
        <is>
          <t>North</t>
        </is>
      </c>
      <c r="F3306" t="inlineStr">
        <is>
          <t>Email</t>
        </is>
      </c>
      <c r="G3306" t="inlineStr">
        <is>
          <t>Mobile App</t>
        </is>
      </c>
      <c r="H3306" t="inlineStr">
        <is>
          <t>UPI</t>
        </is>
      </c>
      <c r="I3306" t="inlineStr">
        <is>
          <t>Delivered</t>
        </is>
      </c>
      <c r="J3306" t="n">
        <v>138</v>
      </c>
      <c r="K3306" t="n">
        <v>1</v>
      </c>
      <c r="L3306" s="7" t="n">
        <v>419</v>
      </c>
      <c r="M3306" s="7" t="n">
        <v>62.85</v>
      </c>
    </row>
    <row r="3307">
      <c r="A3307" t="n">
        <v>511146</v>
      </c>
      <c r="B3307" s="6" t="n">
        <v>45989</v>
      </c>
      <c r="C3307" t="n">
        <v>17539</v>
      </c>
      <c r="D3307" t="inlineStr">
        <is>
          <t>Noida</t>
        </is>
      </c>
      <c r="E3307" t="inlineStr">
        <is>
          <t>North</t>
        </is>
      </c>
      <c r="F3307" t="inlineStr">
        <is>
          <t>Email</t>
        </is>
      </c>
      <c r="G3307" t="inlineStr">
        <is>
          <t>Mobile App</t>
        </is>
      </c>
      <c r="H3307" t="inlineStr">
        <is>
          <t>UPI</t>
        </is>
      </c>
      <c r="I3307" t="inlineStr">
        <is>
          <t>Delivered</t>
        </is>
      </c>
      <c r="J3307" t="n">
        <v>114</v>
      </c>
      <c r="K3307" t="n">
        <v>1</v>
      </c>
      <c r="L3307" s="7" t="n">
        <v>1259</v>
      </c>
      <c r="M3307" s="7" t="n">
        <v>188.85</v>
      </c>
    </row>
    <row r="3308">
      <c r="A3308" t="n">
        <v>511147</v>
      </c>
      <c r="B3308" s="6" t="n">
        <v>45990</v>
      </c>
      <c r="C3308" t="n">
        <v>11007</v>
      </c>
      <c r="D3308" t="inlineStr">
        <is>
          <t>Lucknow</t>
        </is>
      </c>
      <c r="E3308" t="inlineStr">
        <is>
          <t>North</t>
        </is>
      </c>
      <c r="F3308" t="inlineStr">
        <is>
          <t>Email</t>
        </is>
      </c>
      <c r="G3308" t="inlineStr">
        <is>
          <t>Mobile App</t>
        </is>
      </c>
      <c r="H3308" t="inlineStr">
        <is>
          <t>Net Banking</t>
        </is>
      </c>
      <c r="I3308" t="inlineStr">
        <is>
          <t>Delivered</t>
        </is>
      </c>
      <c r="J3308" t="n">
        <v>126</v>
      </c>
      <c r="K3308" t="n">
        <v>1</v>
      </c>
      <c r="L3308" s="7" t="n">
        <v>471</v>
      </c>
      <c r="M3308" s="7" t="n">
        <v>0</v>
      </c>
    </row>
    <row r="3309">
      <c r="A3309" t="n">
        <v>511147</v>
      </c>
      <c r="B3309" s="6" t="n">
        <v>45990</v>
      </c>
      <c r="C3309" t="n">
        <v>11007</v>
      </c>
      <c r="D3309" t="inlineStr">
        <is>
          <t>Lucknow</t>
        </is>
      </c>
      <c r="E3309" t="inlineStr">
        <is>
          <t>North</t>
        </is>
      </c>
      <c r="F3309" t="inlineStr">
        <is>
          <t>Email</t>
        </is>
      </c>
      <c r="G3309" t="inlineStr">
        <is>
          <t>Mobile App</t>
        </is>
      </c>
      <c r="H3309" t="inlineStr">
        <is>
          <t>Net Banking</t>
        </is>
      </c>
      <c r="I3309" t="inlineStr">
        <is>
          <t>Delivered</t>
        </is>
      </c>
      <c r="J3309" t="n">
        <v>103</v>
      </c>
      <c r="K3309" t="n">
        <v>1</v>
      </c>
      <c r="L3309" s="7" t="n">
        <v>2624</v>
      </c>
      <c r="M3309" s="7" t="n">
        <v>0</v>
      </c>
    </row>
    <row r="3310">
      <c r="A3310" t="n">
        <v>511147</v>
      </c>
      <c r="B3310" s="6" t="n">
        <v>45990</v>
      </c>
      <c r="C3310" t="n">
        <v>11007</v>
      </c>
      <c r="D3310" t="inlineStr">
        <is>
          <t>Lucknow</t>
        </is>
      </c>
      <c r="E3310" t="inlineStr">
        <is>
          <t>North</t>
        </is>
      </c>
      <c r="F3310" t="inlineStr">
        <is>
          <t>Email</t>
        </is>
      </c>
      <c r="G3310" t="inlineStr">
        <is>
          <t>Mobile App</t>
        </is>
      </c>
      <c r="H3310" t="inlineStr">
        <is>
          <t>Net Banking</t>
        </is>
      </c>
      <c r="I3310" t="inlineStr">
        <is>
          <t>Delivered</t>
        </is>
      </c>
      <c r="J3310" t="n">
        <v>132</v>
      </c>
      <c r="K3310" t="n">
        <v>1</v>
      </c>
      <c r="L3310" s="7" t="n">
        <v>471</v>
      </c>
      <c r="M3310" s="7" t="n">
        <v>0</v>
      </c>
    </row>
    <row r="3311">
      <c r="A3311" t="n">
        <v>511148</v>
      </c>
      <c r="B3311" s="6" t="n">
        <v>45990</v>
      </c>
      <c r="C3311" t="n">
        <v>17517</v>
      </c>
      <c r="D3311" t="inlineStr">
        <is>
          <t>Kolkata</t>
        </is>
      </c>
      <c r="E3311" t="inlineStr">
        <is>
          <t>East</t>
        </is>
      </c>
      <c r="F3311" t="inlineStr">
        <is>
          <t>Paid Social</t>
        </is>
      </c>
      <c r="G3311" t="inlineStr">
        <is>
          <t>Mobile App</t>
        </is>
      </c>
      <c r="H3311" t="inlineStr">
        <is>
          <t>UPI</t>
        </is>
      </c>
      <c r="I3311" t="inlineStr">
        <is>
          <t>Delivered</t>
        </is>
      </c>
      <c r="J3311" t="n">
        <v>102</v>
      </c>
      <c r="K3311" t="n">
        <v>1</v>
      </c>
      <c r="L3311" s="7" t="n">
        <v>3674</v>
      </c>
      <c r="M3311" s="7" t="n">
        <v>551.1</v>
      </c>
    </row>
    <row r="3312">
      <c r="A3312" t="n">
        <v>511148</v>
      </c>
      <c r="B3312" s="6" t="n">
        <v>45990</v>
      </c>
      <c r="C3312" t="n">
        <v>17517</v>
      </c>
      <c r="D3312" t="inlineStr">
        <is>
          <t>Kolkata</t>
        </is>
      </c>
      <c r="E3312" t="inlineStr">
        <is>
          <t>East</t>
        </is>
      </c>
      <c r="F3312" t="inlineStr">
        <is>
          <t>Paid Social</t>
        </is>
      </c>
      <c r="G3312" t="inlineStr">
        <is>
          <t>Mobile App</t>
        </is>
      </c>
      <c r="H3312" t="inlineStr">
        <is>
          <t>UPI</t>
        </is>
      </c>
      <c r="I3312" t="inlineStr">
        <is>
          <t>Delivered</t>
        </is>
      </c>
      <c r="J3312" t="n">
        <v>134</v>
      </c>
      <c r="K3312" t="n">
        <v>3</v>
      </c>
      <c r="L3312" s="7" t="n">
        <v>209</v>
      </c>
      <c r="M3312" s="7" t="n">
        <v>94.05</v>
      </c>
    </row>
    <row r="3313">
      <c r="A3313" t="n">
        <v>511149</v>
      </c>
      <c r="B3313" s="6" t="n">
        <v>45990</v>
      </c>
      <c r="C3313" t="n">
        <v>17544</v>
      </c>
      <c r="D3313" t="inlineStr">
        <is>
          <t>Lucknow</t>
        </is>
      </c>
      <c r="E3313" t="inlineStr">
        <is>
          <t>North</t>
        </is>
      </c>
      <c r="F3313" t="inlineStr">
        <is>
          <t>Paid Search</t>
        </is>
      </c>
      <c r="G3313" t="inlineStr">
        <is>
          <t>Mobile App</t>
        </is>
      </c>
      <c r="H3313" t="inlineStr">
        <is>
          <t>Credit Card</t>
        </is>
      </c>
      <c r="I3313" t="inlineStr">
        <is>
          <t>Delivered</t>
        </is>
      </c>
      <c r="J3313" t="n">
        <v>108</v>
      </c>
      <c r="K3313" t="n">
        <v>1</v>
      </c>
      <c r="L3313" s="7" t="n">
        <v>419</v>
      </c>
      <c r="M3313" s="7" t="n">
        <v>62.85</v>
      </c>
    </row>
    <row r="3314">
      <c r="A3314" t="n">
        <v>511150</v>
      </c>
      <c r="B3314" s="6" t="n">
        <v>45990</v>
      </c>
      <c r="C3314" t="n">
        <v>17432</v>
      </c>
      <c r="D3314" t="inlineStr">
        <is>
          <t>Hyderabad</t>
        </is>
      </c>
      <c r="E3314" t="inlineStr">
        <is>
          <t>South</t>
        </is>
      </c>
      <c r="F3314" t="inlineStr">
        <is>
          <t>Paid Search</t>
        </is>
      </c>
      <c r="G3314" t="inlineStr">
        <is>
          <t>Mobile App</t>
        </is>
      </c>
      <c r="H3314" t="inlineStr">
        <is>
          <t>Cash on Delivery</t>
        </is>
      </c>
      <c r="I3314" t="inlineStr">
        <is>
          <t>Delivered</t>
        </is>
      </c>
      <c r="J3314" t="n">
        <v>124</v>
      </c>
      <c r="K3314" t="n">
        <v>1</v>
      </c>
      <c r="L3314" s="7" t="n">
        <v>1154</v>
      </c>
      <c r="M3314" s="7" t="n">
        <v>173.1</v>
      </c>
    </row>
    <row r="3315">
      <c r="A3315" t="n">
        <v>511150</v>
      </c>
      <c r="B3315" s="6" t="n">
        <v>45990</v>
      </c>
      <c r="C3315" t="n">
        <v>17432</v>
      </c>
      <c r="D3315" t="inlineStr">
        <is>
          <t>Hyderabad</t>
        </is>
      </c>
      <c r="E3315" t="inlineStr">
        <is>
          <t>South</t>
        </is>
      </c>
      <c r="F3315" t="inlineStr">
        <is>
          <t>Paid Search</t>
        </is>
      </c>
      <c r="G3315" t="inlineStr">
        <is>
          <t>Mobile App</t>
        </is>
      </c>
      <c r="H3315" t="inlineStr">
        <is>
          <t>Cash on Delivery</t>
        </is>
      </c>
      <c r="I3315" t="inlineStr">
        <is>
          <t>Delivered</t>
        </is>
      </c>
      <c r="J3315" t="n">
        <v>101</v>
      </c>
      <c r="K3315" t="n">
        <v>1</v>
      </c>
      <c r="L3315" s="7" t="n">
        <v>2099</v>
      </c>
      <c r="M3315" s="7" t="n">
        <v>314.85</v>
      </c>
    </row>
    <row r="3316">
      <c r="A3316" t="n">
        <v>511150</v>
      </c>
      <c r="B3316" s="6" t="n">
        <v>45990</v>
      </c>
      <c r="C3316" t="n">
        <v>17432</v>
      </c>
      <c r="D3316" t="inlineStr">
        <is>
          <t>Hyderabad</t>
        </is>
      </c>
      <c r="E3316" t="inlineStr">
        <is>
          <t>South</t>
        </is>
      </c>
      <c r="F3316" t="inlineStr">
        <is>
          <t>Paid Search</t>
        </is>
      </c>
      <c r="G3316" t="inlineStr">
        <is>
          <t>Mobile App</t>
        </is>
      </c>
      <c r="H3316" t="inlineStr">
        <is>
          <t>Cash on Delivery</t>
        </is>
      </c>
      <c r="I3316" t="inlineStr">
        <is>
          <t>Delivered</t>
        </is>
      </c>
      <c r="J3316" t="n">
        <v>121</v>
      </c>
      <c r="K3316" t="n">
        <v>1</v>
      </c>
      <c r="L3316" s="7" t="n">
        <v>2939</v>
      </c>
      <c r="M3316" s="7" t="n">
        <v>440.85</v>
      </c>
    </row>
    <row r="3317">
      <c r="A3317" t="n">
        <v>511151</v>
      </c>
      <c r="B3317" s="6" t="n">
        <v>45990</v>
      </c>
      <c r="C3317" t="n">
        <v>17525</v>
      </c>
      <c r="D3317" t="inlineStr">
        <is>
          <t>Hyderabad</t>
        </is>
      </c>
      <c r="E3317" t="inlineStr">
        <is>
          <t>South</t>
        </is>
      </c>
      <c r="F3317" t="inlineStr">
        <is>
          <t>Email</t>
        </is>
      </c>
      <c r="G3317" t="inlineStr">
        <is>
          <t>Mobile App</t>
        </is>
      </c>
      <c r="H3317" t="inlineStr">
        <is>
          <t>Credit Card</t>
        </is>
      </c>
      <c r="I3317" t="inlineStr">
        <is>
          <t>Delivered</t>
        </is>
      </c>
      <c r="J3317" t="n">
        <v>148</v>
      </c>
      <c r="K3317" t="n">
        <v>1</v>
      </c>
      <c r="L3317" s="7" t="n">
        <v>734</v>
      </c>
      <c r="M3317" s="7" t="n">
        <v>110.1</v>
      </c>
    </row>
    <row r="3318">
      <c r="A3318" t="n">
        <v>511151</v>
      </c>
      <c r="B3318" s="6" t="n">
        <v>45990</v>
      </c>
      <c r="C3318" t="n">
        <v>17525</v>
      </c>
      <c r="D3318" t="inlineStr">
        <is>
          <t>Hyderabad</t>
        </is>
      </c>
      <c r="E3318" t="inlineStr">
        <is>
          <t>South</t>
        </is>
      </c>
      <c r="F3318" t="inlineStr">
        <is>
          <t>Email</t>
        </is>
      </c>
      <c r="G3318" t="inlineStr">
        <is>
          <t>Mobile App</t>
        </is>
      </c>
      <c r="H3318" t="inlineStr">
        <is>
          <t>Credit Card</t>
        </is>
      </c>
      <c r="I3318" t="inlineStr">
        <is>
          <t>Delivered</t>
        </is>
      </c>
      <c r="J3318" t="n">
        <v>118</v>
      </c>
      <c r="K3318" t="n">
        <v>1</v>
      </c>
      <c r="L3318" s="7" t="n">
        <v>944</v>
      </c>
      <c r="M3318" s="7" t="n">
        <v>141.6</v>
      </c>
    </row>
    <row r="3319">
      <c r="A3319" t="n">
        <v>511151</v>
      </c>
      <c r="B3319" s="6" t="n">
        <v>45990</v>
      </c>
      <c r="C3319" t="n">
        <v>17525</v>
      </c>
      <c r="D3319" t="inlineStr">
        <is>
          <t>Hyderabad</t>
        </is>
      </c>
      <c r="E3319" t="inlineStr">
        <is>
          <t>South</t>
        </is>
      </c>
      <c r="F3319" t="inlineStr">
        <is>
          <t>Email</t>
        </is>
      </c>
      <c r="G3319" t="inlineStr">
        <is>
          <t>Mobile App</t>
        </is>
      </c>
      <c r="H3319" t="inlineStr">
        <is>
          <t>Credit Card</t>
        </is>
      </c>
      <c r="I3319" t="inlineStr">
        <is>
          <t>Delivered</t>
        </is>
      </c>
      <c r="J3319" t="n">
        <v>116</v>
      </c>
      <c r="K3319" t="n">
        <v>1</v>
      </c>
      <c r="L3319" s="7" t="n">
        <v>2624</v>
      </c>
      <c r="M3319" s="7" t="n">
        <v>393.6</v>
      </c>
    </row>
    <row r="3320">
      <c r="A3320" t="n">
        <v>511151</v>
      </c>
      <c r="B3320" s="6" t="n">
        <v>45990</v>
      </c>
      <c r="C3320" t="n">
        <v>17525</v>
      </c>
      <c r="D3320" t="inlineStr">
        <is>
          <t>Hyderabad</t>
        </is>
      </c>
      <c r="E3320" t="inlineStr">
        <is>
          <t>South</t>
        </is>
      </c>
      <c r="F3320" t="inlineStr">
        <is>
          <t>Email</t>
        </is>
      </c>
      <c r="G3320" t="inlineStr">
        <is>
          <t>Mobile App</t>
        </is>
      </c>
      <c r="H3320" t="inlineStr">
        <is>
          <t>Credit Card</t>
        </is>
      </c>
      <c r="I3320" t="inlineStr">
        <is>
          <t>Delivered</t>
        </is>
      </c>
      <c r="J3320" t="n">
        <v>140</v>
      </c>
      <c r="K3320" t="n">
        <v>1</v>
      </c>
      <c r="L3320" s="7" t="n">
        <v>629</v>
      </c>
      <c r="M3320" s="7" t="n">
        <v>94.34999999999999</v>
      </c>
    </row>
    <row r="3321">
      <c r="A3321" t="n">
        <v>511152</v>
      </c>
      <c r="B3321" s="6" t="n">
        <v>45990</v>
      </c>
      <c r="C3321" t="n">
        <v>17006</v>
      </c>
      <c r="D3321" t="inlineStr">
        <is>
          <t>Mumbai</t>
        </is>
      </c>
      <c r="E3321" t="inlineStr">
        <is>
          <t>West</t>
        </is>
      </c>
      <c r="F3321" t="inlineStr">
        <is>
          <t>Paid Search</t>
        </is>
      </c>
      <c r="G3321" t="inlineStr">
        <is>
          <t>Desktop</t>
        </is>
      </c>
      <c r="H3321" t="inlineStr">
        <is>
          <t>Debit Card</t>
        </is>
      </c>
      <c r="I3321" t="inlineStr">
        <is>
          <t>Delivered</t>
        </is>
      </c>
      <c r="J3321" t="n">
        <v>110</v>
      </c>
      <c r="K3321" t="n">
        <v>1</v>
      </c>
      <c r="L3321" s="7" t="n">
        <v>839</v>
      </c>
      <c r="M3321" s="7" t="n">
        <v>0</v>
      </c>
    </row>
    <row r="3322">
      <c r="A3322" t="n">
        <v>511153</v>
      </c>
      <c r="B3322" s="6" t="n">
        <v>45990</v>
      </c>
      <c r="C3322" t="n">
        <v>13727</v>
      </c>
      <c r="D3322" t="inlineStr">
        <is>
          <t>Bengaluru</t>
        </is>
      </c>
      <c r="E3322" t="inlineStr">
        <is>
          <t>South</t>
        </is>
      </c>
      <c r="F3322" t="inlineStr">
        <is>
          <t>Email</t>
        </is>
      </c>
      <c r="G3322" t="inlineStr">
        <is>
          <t>Mobile Web</t>
        </is>
      </c>
      <c r="H3322" t="inlineStr">
        <is>
          <t>Credit Card</t>
        </is>
      </c>
      <c r="I3322" t="inlineStr">
        <is>
          <t>Returned</t>
        </is>
      </c>
      <c r="J3322" t="n">
        <v>107</v>
      </c>
      <c r="K3322" t="n">
        <v>2</v>
      </c>
      <c r="L3322" s="7" t="n">
        <v>1259</v>
      </c>
      <c r="M3322" s="7" t="n">
        <v>0</v>
      </c>
    </row>
    <row r="3323">
      <c r="A3323" t="n">
        <v>511154</v>
      </c>
      <c r="B3323" s="6" t="n">
        <v>45990</v>
      </c>
      <c r="C3323" t="n">
        <v>15233</v>
      </c>
      <c r="D3323" t="inlineStr">
        <is>
          <t>Mumbai</t>
        </is>
      </c>
      <c r="E3323" t="inlineStr">
        <is>
          <t>West</t>
        </is>
      </c>
      <c r="F3323" t="inlineStr">
        <is>
          <t>Paid Search</t>
        </is>
      </c>
      <c r="G3323" t="inlineStr">
        <is>
          <t>Desktop</t>
        </is>
      </c>
      <c r="H3323" t="inlineStr">
        <is>
          <t>Credit Card</t>
        </is>
      </c>
      <c r="I3323" t="inlineStr">
        <is>
          <t>Delivered</t>
        </is>
      </c>
      <c r="J3323" t="n">
        <v>138</v>
      </c>
      <c r="K3323" t="n">
        <v>2</v>
      </c>
      <c r="L3323" s="7" t="n">
        <v>419</v>
      </c>
      <c r="M3323" s="7" t="n">
        <v>0</v>
      </c>
    </row>
    <row r="3324">
      <c r="A3324" t="n">
        <v>511155</v>
      </c>
      <c r="B3324" s="6" t="n">
        <v>45990</v>
      </c>
      <c r="C3324" t="n">
        <v>17554</v>
      </c>
      <c r="D3324" t="inlineStr">
        <is>
          <t>Bengaluru</t>
        </is>
      </c>
      <c r="E3324" t="inlineStr">
        <is>
          <t>South</t>
        </is>
      </c>
      <c r="F3324" t="inlineStr">
        <is>
          <t>Paid Social</t>
        </is>
      </c>
      <c r="G3324" t="inlineStr">
        <is>
          <t>Desktop</t>
        </is>
      </c>
      <c r="H3324" t="inlineStr">
        <is>
          <t>UPI</t>
        </is>
      </c>
      <c r="I3324" t="inlineStr">
        <is>
          <t>Delivered</t>
        </is>
      </c>
      <c r="J3324" t="n">
        <v>131</v>
      </c>
      <c r="K3324" t="n">
        <v>3</v>
      </c>
      <c r="L3324" s="7" t="n">
        <v>314</v>
      </c>
      <c r="M3324" s="7" t="n">
        <v>141.3</v>
      </c>
    </row>
    <row r="3325">
      <c r="A3325" t="n">
        <v>511156</v>
      </c>
      <c r="B3325" s="6" t="n">
        <v>45990</v>
      </c>
      <c r="C3325" t="n">
        <v>17478</v>
      </c>
      <c r="D3325" t="inlineStr">
        <is>
          <t>Gurugram</t>
        </is>
      </c>
      <c r="E3325" t="inlineStr">
        <is>
          <t>North</t>
        </is>
      </c>
      <c r="F3325" t="inlineStr">
        <is>
          <t>Paid Social</t>
        </is>
      </c>
      <c r="G3325" t="inlineStr">
        <is>
          <t>Desktop</t>
        </is>
      </c>
      <c r="H3325" t="inlineStr">
        <is>
          <t>Credit Card</t>
        </is>
      </c>
      <c r="I3325" t="inlineStr">
        <is>
          <t>Delivered</t>
        </is>
      </c>
      <c r="J3325" t="n">
        <v>140</v>
      </c>
      <c r="K3325" t="n">
        <v>1</v>
      </c>
      <c r="L3325" s="7" t="n">
        <v>629</v>
      </c>
      <c r="M3325" s="7" t="n">
        <v>94.34999999999999</v>
      </c>
    </row>
    <row r="3326">
      <c r="A3326" t="n">
        <v>511156</v>
      </c>
      <c r="B3326" s="6" t="n">
        <v>45990</v>
      </c>
      <c r="C3326" t="n">
        <v>17478</v>
      </c>
      <c r="D3326" t="inlineStr">
        <is>
          <t>Gurugram</t>
        </is>
      </c>
      <c r="E3326" t="inlineStr">
        <is>
          <t>North</t>
        </is>
      </c>
      <c r="F3326" t="inlineStr">
        <is>
          <t>Paid Social</t>
        </is>
      </c>
      <c r="G3326" t="inlineStr">
        <is>
          <t>Desktop</t>
        </is>
      </c>
      <c r="H3326" t="inlineStr">
        <is>
          <t>Credit Card</t>
        </is>
      </c>
      <c r="I3326" t="inlineStr">
        <is>
          <t>Delivered</t>
        </is>
      </c>
      <c r="J3326" t="n">
        <v>115</v>
      </c>
      <c r="K3326" t="n">
        <v>1</v>
      </c>
      <c r="L3326" s="7" t="n">
        <v>4199</v>
      </c>
      <c r="M3326" s="7" t="n">
        <v>629.85</v>
      </c>
    </row>
    <row r="3327">
      <c r="A3327" t="n">
        <v>511157</v>
      </c>
      <c r="B3327" s="6" t="n">
        <v>45990</v>
      </c>
      <c r="C3327" t="n">
        <v>14478</v>
      </c>
      <c r="D3327" t="inlineStr">
        <is>
          <t>Kochi</t>
        </is>
      </c>
      <c r="E3327" t="inlineStr">
        <is>
          <t>South</t>
        </is>
      </c>
      <c r="F3327" t="inlineStr">
        <is>
          <t>Referral</t>
        </is>
      </c>
      <c r="G3327" t="inlineStr">
        <is>
          <t>Mobile Web</t>
        </is>
      </c>
      <c r="H3327" t="inlineStr">
        <is>
          <t>Credit Card</t>
        </is>
      </c>
      <c r="I3327" t="inlineStr">
        <is>
          <t>Delivered</t>
        </is>
      </c>
      <c r="J3327" t="n">
        <v>101</v>
      </c>
      <c r="K3327" t="n">
        <v>1</v>
      </c>
      <c r="L3327" s="7" t="n">
        <v>2099</v>
      </c>
      <c r="M3327" s="7" t="n">
        <v>104.95</v>
      </c>
    </row>
    <row r="3328">
      <c r="A3328" t="n">
        <v>511158</v>
      </c>
      <c r="B3328" s="6" t="n">
        <v>45990</v>
      </c>
      <c r="C3328" t="n">
        <v>17494</v>
      </c>
      <c r="D3328" t="inlineStr">
        <is>
          <t>Noida</t>
        </is>
      </c>
      <c r="E3328" t="inlineStr">
        <is>
          <t>North</t>
        </is>
      </c>
      <c r="F3328" t="inlineStr">
        <is>
          <t>Referral</t>
        </is>
      </c>
      <c r="G3328" t="inlineStr">
        <is>
          <t>Desktop</t>
        </is>
      </c>
      <c r="H3328" t="inlineStr">
        <is>
          <t>Credit Card</t>
        </is>
      </c>
      <c r="I3328" t="inlineStr">
        <is>
          <t>Delivered</t>
        </is>
      </c>
      <c r="J3328" t="n">
        <v>140</v>
      </c>
      <c r="K3328" t="n">
        <v>1</v>
      </c>
      <c r="L3328" s="7" t="n">
        <v>629</v>
      </c>
      <c r="M3328" s="7" t="n">
        <v>94.34999999999999</v>
      </c>
    </row>
    <row r="3329">
      <c r="A3329" t="n">
        <v>511159</v>
      </c>
      <c r="B3329" s="6" t="n">
        <v>45990</v>
      </c>
      <c r="C3329" t="n">
        <v>17500</v>
      </c>
      <c r="D3329" t="inlineStr">
        <is>
          <t>Bengaluru</t>
        </is>
      </c>
      <c r="E3329" t="inlineStr">
        <is>
          <t>South</t>
        </is>
      </c>
      <c r="F3329" t="inlineStr">
        <is>
          <t>Organic Search</t>
        </is>
      </c>
      <c r="G3329" t="inlineStr">
        <is>
          <t>Mobile Web</t>
        </is>
      </c>
      <c r="H3329" t="inlineStr">
        <is>
          <t>UPI</t>
        </is>
      </c>
      <c r="I3329" t="inlineStr">
        <is>
          <t>Delivered</t>
        </is>
      </c>
      <c r="J3329" t="n">
        <v>135</v>
      </c>
      <c r="K3329" t="n">
        <v>1</v>
      </c>
      <c r="L3329" s="7" t="n">
        <v>1574</v>
      </c>
      <c r="M3329" s="7" t="n">
        <v>0</v>
      </c>
    </row>
    <row r="3330">
      <c r="A3330" t="n">
        <v>511160</v>
      </c>
      <c r="B3330" s="6" t="n">
        <v>45990</v>
      </c>
      <c r="C3330" t="n">
        <v>17528</v>
      </c>
      <c r="D3330" t="inlineStr">
        <is>
          <t>Hyderabad</t>
        </is>
      </c>
      <c r="E3330" t="inlineStr">
        <is>
          <t>South</t>
        </is>
      </c>
      <c r="F3330" t="inlineStr">
        <is>
          <t>Paid Social</t>
        </is>
      </c>
      <c r="G3330" t="inlineStr">
        <is>
          <t>Mobile Web</t>
        </is>
      </c>
      <c r="H3330" t="inlineStr">
        <is>
          <t>Debit Card</t>
        </is>
      </c>
      <c r="I3330" t="inlineStr">
        <is>
          <t>Delivered</t>
        </is>
      </c>
      <c r="J3330" t="n">
        <v>136</v>
      </c>
      <c r="K3330" t="n">
        <v>1</v>
      </c>
      <c r="L3330" s="7" t="n">
        <v>944</v>
      </c>
      <c r="M3330" s="7" t="n">
        <v>141.6</v>
      </c>
    </row>
    <row r="3331">
      <c r="A3331" t="n">
        <v>511161</v>
      </c>
      <c r="B3331" s="6" t="n">
        <v>45990</v>
      </c>
      <c r="C3331" t="n">
        <v>16646</v>
      </c>
      <c r="D3331" t="inlineStr">
        <is>
          <t>Chennai</t>
        </is>
      </c>
      <c r="E3331" t="inlineStr">
        <is>
          <t>South</t>
        </is>
      </c>
      <c r="F3331" t="inlineStr">
        <is>
          <t>Organic Search</t>
        </is>
      </c>
      <c r="G3331" t="inlineStr">
        <is>
          <t>Mobile App</t>
        </is>
      </c>
      <c r="H3331" t="inlineStr">
        <is>
          <t>UPI</t>
        </is>
      </c>
      <c r="I3331" t="inlineStr">
        <is>
          <t>Delivered</t>
        </is>
      </c>
      <c r="J3331" t="n">
        <v>135</v>
      </c>
      <c r="K3331" t="n">
        <v>1</v>
      </c>
      <c r="L3331" s="7" t="n">
        <v>1574</v>
      </c>
      <c r="M3331" s="7" t="n">
        <v>0</v>
      </c>
    </row>
    <row r="3332">
      <c r="A3332" t="n">
        <v>511161</v>
      </c>
      <c r="B3332" s="6" t="n">
        <v>45990</v>
      </c>
      <c r="C3332" t="n">
        <v>16646</v>
      </c>
      <c r="D3332" t="inlineStr">
        <is>
          <t>Chennai</t>
        </is>
      </c>
      <c r="E3332" t="inlineStr">
        <is>
          <t>South</t>
        </is>
      </c>
      <c r="F3332" t="inlineStr">
        <is>
          <t>Organic Search</t>
        </is>
      </c>
      <c r="G3332" t="inlineStr">
        <is>
          <t>Mobile App</t>
        </is>
      </c>
      <c r="H3332" t="inlineStr">
        <is>
          <t>UPI</t>
        </is>
      </c>
      <c r="I3332" t="inlineStr">
        <is>
          <t>Delivered</t>
        </is>
      </c>
      <c r="J3332" t="n">
        <v>120</v>
      </c>
      <c r="K3332" t="n">
        <v>1</v>
      </c>
      <c r="L3332" s="7" t="n">
        <v>734</v>
      </c>
      <c r="M3332" s="7" t="n">
        <v>0</v>
      </c>
    </row>
    <row r="3333">
      <c r="A3333" t="n">
        <v>511161</v>
      </c>
      <c r="B3333" s="6" t="n">
        <v>45990</v>
      </c>
      <c r="C3333" t="n">
        <v>16646</v>
      </c>
      <c r="D3333" t="inlineStr">
        <is>
          <t>Chennai</t>
        </is>
      </c>
      <c r="E3333" t="inlineStr">
        <is>
          <t>South</t>
        </is>
      </c>
      <c r="F3333" t="inlineStr">
        <is>
          <t>Organic Search</t>
        </is>
      </c>
      <c r="G3333" t="inlineStr">
        <is>
          <t>Mobile App</t>
        </is>
      </c>
      <c r="H3333" t="inlineStr">
        <is>
          <t>UPI</t>
        </is>
      </c>
      <c r="I3333" t="inlineStr">
        <is>
          <t>Delivered</t>
        </is>
      </c>
      <c r="J3333" t="n">
        <v>115</v>
      </c>
      <c r="K3333" t="n">
        <v>1</v>
      </c>
      <c r="L3333" s="7" t="n">
        <v>4199</v>
      </c>
      <c r="M3333" s="7" t="n">
        <v>0</v>
      </c>
    </row>
    <row r="3334">
      <c r="A3334" t="n">
        <v>511161</v>
      </c>
      <c r="B3334" s="6" t="n">
        <v>45990</v>
      </c>
      <c r="C3334" t="n">
        <v>16646</v>
      </c>
      <c r="D3334" t="inlineStr">
        <is>
          <t>Chennai</t>
        </is>
      </c>
      <c r="E3334" t="inlineStr">
        <is>
          <t>South</t>
        </is>
      </c>
      <c r="F3334" t="inlineStr">
        <is>
          <t>Organic Search</t>
        </is>
      </c>
      <c r="G3334" t="inlineStr">
        <is>
          <t>Mobile App</t>
        </is>
      </c>
      <c r="H3334" t="inlineStr">
        <is>
          <t>UPI</t>
        </is>
      </c>
      <c r="I3334" t="inlineStr">
        <is>
          <t>Delivered</t>
        </is>
      </c>
      <c r="J3334" t="n">
        <v>139</v>
      </c>
      <c r="K3334" t="n">
        <v>1</v>
      </c>
      <c r="L3334" s="7" t="n">
        <v>366</v>
      </c>
      <c r="M3334" s="7" t="n">
        <v>0</v>
      </c>
    </row>
    <row r="3335">
      <c r="A3335" t="n">
        <v>511162</v>
      </c>
      <c r="B3335" s="6" t="n">
        <v>45990</v>
      </c>
      <c r="C3335" t="n">
        <v>16705</v>
      </c>
      <c r="D3335" t="inlineStr">
        <is>
          <t>Indore</t>
        </is>
      </c>
      <c r="E3335" t="inlineStr">
        <is>
          <t>West</t>
        </is>
      </c>
      <c r="F3335" t="inlineStr">
        <is>
          <t>Organic Search</t>
        </is>
      </c>
      <c r="G3335" t="inlineStr">
        <is>
          <t>Mobile App</t>
        </is>
      </c>
      <c r="H3335" t="inlineStr">
        <is>
          <t>Cash on Delivery</t>
        </is>
      </c>
      <c r="I3335" t="inlineStr">
        <is>
          <t>Delivered</t>
        </is>
      </c>
      <c r="J3335" t="n">
        <v>137</v>
      </c>
      <c r="K3335" t="n">
        <v>1</v>
      </c>
      <c r="L3335" s="7" t="n">
        <v>261</v>
      </c>
      <c r="M3335" s="7" t="n">
        <v>13.05</v>
      </c>
    </row>
    <row r="3336">
      <c r="A3336" t="n">
        <v>511163</v>
      </c>
      <c r="B3336" s="6" t="n">
        <v>45990</v>
      </c>
      <c r="C3336" t="n">
        <v>17471</v>
      </c>
      <c r="D3336" t="inlineStr">
        <is>
          <t>Indore</t>
        </is>
      </c>
      <c r="E3336" t="inlineStr">
        <is>
          <t>West</t>
        </is>
      </c>
      <c r="F3336" t="inlineStr">
        <is>
          <t>Affiliate</t>
        </is>
      </c>
      <c r="G3336" t="inlineStr">
        <is>
          <t>Mobile App</t>
        </is>
      </c>
      <c r="H3336" t="inlineStr">
        <is>
          <t>Cash on Delivery</t>
        </is>
      </c>
      <c r="I3336" t="inlineStr">
        <is>
          <t>Returned</t>
        </is>
      </c>
      <c r="J3336" t="n">
        <v>104</v>
      </c>
      <c r="K3336" t="n">
        <v>1</v>
      </c>
      <c r="L3336" s="7" t="n">
        <v>5249</v>
      </c>
      <c r="M3336" s="7" t="n">
        <v>787.35</v>
      </c>
    </row>
    <row r="3337">
      <c r="A3337" t="n">
        <v>511164</v>
      </c>
      <c r="B3337" s="6" t="n">
        <v>45991</v>
      </c>
      <c r="C3337" t="n">
        <v>17422</v>
      </c>
      <c r="D3337" t="inlineStr">
        <is>
          <t>Kochi</t>
        </is>
      </c>
      <c r="E3337" t="inlineStr">
        <is>
          <t>South</t>
        </is>
      </c>
      <c r="F3337" t="inlineStr">
        <is>
          <t>Affiliate</t>
        </is>
      </c>
      <c r="G3337" t="inlineStr">
        <is>
          <t>Mobile App</t>
        </is>
      </c>
      <c r="H3337" t="inlineStr">
        <is>
          <t>UPI</t>
        </is>
      </c>
      <c r="I3337" t="inlineStr">
        <is>
          <t>Delivered</t>
        </is>
      </c>
      <c r="J3337" t="n">
        <v>118</v>
      </c>
      <c r="K3337" t="n">
        <v>3</v>
      </c>
      <c r="L3337" s="7" t="n">
        <v>944</v>
      </c>
      <c r="M3337" s="7" t="n">
        <v>0</v>
      </c>
    </row>
    <row r="3338">
      <c r="A3338" t="n">
        <v>511165</v>
      </c>
      <c r="B3338" s="6" t="n">
        <v>45991</v>
      </c>
      <c r="C3338" t="n">
        <v>17346</v>
      </c>
      <c r="D3338" t="inlineStr">
        <is>
          <t>Jaipur</t>
        </is>
      </c>
      <c r="E3338" t="inlineStr">
        <is>
          <t>North</t>
        </is>
      </c>
      <c r="F3338" t="inlineStr">
        <is>
          <t>Organic Search</t>
        </is>
      </c>
      <c r="G3338" t="inlineStr">
        <is>
          <t>Mobile App</t>
        </is>
      </c>
      <c r="H3338" t="inlineStr">
        <is>
          <t>UPI</t>
        </is>
      </c>
      <c r="I3338" t="inlineStr">
        <is>
          <t>Delivered</t>
        </is>
      </c>
      <c r="J3338" t="n">
        <v>131</v>
      </c>
      <c r="K3338" t="n">
        <v>1</v>
      </c>
      <c r="L3338" s="7" t="n">
        <v>314</v>
      </c>
      <c r="M3338" s="7" t="n">
        <v>0</v>
      </c>
    </row>
    <row r="3339">
      <c r="A3339" t="n">
        <v>511166</v>
      </c>
      <c r="B3339" s="6" t="n">
        <v>45991</v>
      </c>
      <c r="C3339" t="n">
        <v>14781</v>
      </c>
      <c r="D3339" t="inlineStr">
        <is>
          <t>Indore</t>
        </is>
      </c>
      <c r="E3339" t="inlineStr">
        <is>
          <t>West</t>
        </is>
      </c>
      <c r="F3339" t="inlineStr">
        <is>
          <t>Referral</t>
        </is>
      </c>
      <c r="G3339" t="inlineStr">
        <is>
          <t>Mobile Web</t>
        </is>
      </c>
      <c r="H3339" t="inlineStr">
        <is>
          <t>Cash on Delivery</t>
        </is>
      </c>
      <c r="I3339" t="inlineStr">
        <is>
          <t>Cancelled</t>
        </is>
      </c>
      <c r="J3339" t="n">
        <v>101</v>
      </c>
      <c r="K3339" t="n">
        <v>1</v>
      </c>
      <c r="L3339" s="7" t="n">
        <v>2099</v>
      </c>
      <c r="M3339" s="7" t="n">
        <v>0</v>
      </c>
    </row>
    <row r="3340">
      <c r="A3340" t="n">
        <v>511167</v>
      </c>
      <c r="B3340" s="6" t="n">
        <v>45991</v>
      </c>
      <c r="C3340" t="n">
        <v>17475</v>
      </c>
      <c r="D3340" t="inlineStr">
        <is>
          <t>Hyderabad</t>
        </is>
      </c>
      <c r="E3340" t="inlineStr">
        <is>
          <t>South</t>
        </is>
      </c>
      <c r="F3340" t="inlineStr">
        <is>
          <t>Organic Search</t>
        </is>
      </c>
      <c r="G3340" t="inlineStr">
        <is>
          <t>Mobile App</t>
        </is>
      </c>
      <c r="H3340" t="inlineStr">
        <is>
          <t>Cash on Delivery</t>
        </is>
      </c>
      <c r="I3340" t="inlineStr">
        <is>
          <t>Delivered</t>
        </is>
      </c>
      <c r="J3340" t="n">
        <v>124</v>
      </c>
      <c r="K3340" t="n">
        <v>2</v>
      </c>
      <c r="L3340" s="7" t="n">
        <v>1154</v>
      </c>
      <c r="M3340" s="7" t="n">
        <v>115.4</v>
      </c>
    </row>
    <row r="3341">
      <c r="A3341" t="n">
        <v>511167</v>
      </c>
      <c r="B3341" s="6" t="n">
        <v>45991</v>
      </c>
      <c r="C3341" t="n">
        <v>17475</v>
      </c>
      <c r="D3341" t="inlineStr">
        <is>
          <t>Hyderabad</t>
        </is>
      </c>
      <c r="E3341" t="inlineStr">
        <is>
          <t>South</t>
        </is>
      </c>
      <c r="F3341" t="inlineStr">
        <is>
          <t>Organic Search</t>
        </is>
      </c>
      <c r="G3341" t="inlineStr">
        <is>
          <t>Mobile App</t>
        </is>
      </c>
      <c r="H3341" t="inlineStr">
        <is>
          <t>Cash on Delivery</t>
        </is>
      </c>
      <c r="I3341" t="inlineStr">
        <is>
          <t>Delivered</t>
        </is>
      </c>
      <c r="J3341" t="n">
        <v>116</v>
      </c>
      <c r="K3341" t="n">
        <v>3</v>
      </c>
      <c r="L3341" s="7" t="n">
        <v>2624</v>
      </c>
      <c r="M3341" s="7" t="n">
        <v>393.6</v>
      </c>
    </row>
    <row r="3342">
      <c r="A3342" t="n">
        <v>511167</v>
      </c>
      <c r="B3342" s="6" t="n">
        <v>45991</v>
      </c>
      <c r="C3342" t="n">
        <v>17475</v>
      </c>
      <c r="D3342" t="inlineStr">
        <is>
          <t>Hyderabad</t>
        </is>
      </c>
      <c r="E3342" t="inlineStr">
        <is>
          <t>South</t>
        </is>
      </c>
      <c r="F3342" t="inlineStr">
        <is>
          <t>Organic Search</t>
        </is>
      </c>
      <c r="G3342" t="inlineStr">
        <is>
          <t>Mobile App</t>
        </is>
      </c>
      <c r="H3342" t="inlineStr">
        <is>
          <t>Cash on Delivery</t>
        </is>
      </c>
      <c r="I3342" t="inlineStr">
        <is>
          <t>Delivered</t>
        </is>
      </c>
      <c r="J3342" t="n">
        <v>112</v>
      </c>
      <c r="K3342" t="n">
        <v>2</v>
      </c>
      <c r="L3342" s="7" t="n">
        <v>1574</v>
      </c>
      <c r="M3342" s="7" t="n">
        <v>157.4</v>
      </c>
    </row>
    <row r="3343">
      <c r="A3343" t="n">
        <v>511168</v>
      </c>
      <c r="B3343" s="6" t="n">
        <v>45991</v>
      </c>
      <c r="C3343" t="n">
        <v>17394</v>
      </c>
      <c r="D3343" t="inlineStr">
        <is>
          <t>Noida</t>
        </is>
      </c>
      <c r="E3343" t="inlineStr">
        <is>
          <t>North</t>
        </is>
      </c>
      <c r="F3343" t="inlineStr">
        <is>
          <t>Paid Search</t>
        </is>
      </c>
      <c r="G3343" t="inlineStr">
        <is>
          <t>Mobile App</t>
        </is>
      </c>
      <c r="H3343" t="inlineStr">
        <is>
          <t>Credit Card</t>
        </is>
      </c>
      <c r="I3343" t="inlineStr">
        <is>
          <t>Delivered</t>
        </is>
      </c>
      <c r="J3343" t="n">
        <v>145</v>
      </c>
      <c r="K3343" t="n">
        <v>1</v>
      </c>
      <c r="L3343" s="7" t="n">
        <v>629</v>
      </c>
      <c r="M3343" s="7" t="n">
        <v>94.34999999999999</v>
      </c>
    </row>
    <row r="3344">
      <c r="A3344" t="n">
        <v>511169</v>
      </c>
      <c r="B3344" s="6" t="n">
        <v>45991</v>
      </c>
      <c r="C3344" t="n">
        <v>16676</v>
      </c>
      <c r="D3344" t="inlineStr">
        <is>
          <t>Mumbai</t>
        </is>
      </c>
      <c r="E3344" t="inlineStr">
        <is>
          <t>West</t>
        </is>
      </c>
      <c r="F3344" t="inlineStr">
        <is>
          <t>Email</t>
        </is>
      </c>
      <c r="G3344" t="inlineStr">
        <is>
          <t>Mobile App</t>
        </is>
      </c>
      <c r="H3344" t="inlineStr">
        <is>
          <t>Cash on Delivery</t>
        </is>
      </c>
      <c r="I3344" t="inlineStr">
        <is>
          <t>Delivered</t>
        </is>
      </c>
      <c r="J3344" t="n">
        <v>101</v>
      </c>
      <c r="K3344" t="n">
        <v>1</v>
      </c>
      <c r="L3344" s="7" t="n">
        <v>2099</v>
      </c>
      <c r="M3344" s="7" t="n">
        <v>0</v>
      </c>
    </row>
    <row r="3345">
      <c r="A3345" t="n">
        <v>511170</v>
      </c>
      <c r="B3345" s="6" t="n">
        <v>45991</v>
      </c>
      <c r="C3345" t="n">
        <v>17548</v>
      </c>
      <c r="D3345" t="inlineStr">
        <is>
          <t>Mumbai</t>
        </is>
      </c>
      <c r="E3345" t="inlineStr">
        <is>
          <t>West</t>
        </is>
      </c>
      <c r="F3345" t="inlineStr">
        <is>
          <t>Organic Search</t>
        </is>
      </c>
      <c r="G3345" t="inlineStr">
        <is>
          <t>Mobile App</t>
        </is>
      </c>
      <c r="H3345" t="inlineStr">
        <is>
          <t>Credit Card</t>
        </is>
      </c>
      <c r="I3345" t="inlineStr">
        <is>
          <t>Cancelled</t>
        </is>
      </c>
      <c r="J3345" t="n">
        <v>106</v>
      </c>
      <c r="K3345" t="n">
        <v>2</v>
      </c>
      <c r="L3345" s="7" t="n">
        <v>1574</v>
      </c>
      <c r="M3345" s="7" t="n">
        <v>472.2</v>
      </c>
    </row>
    <row r="3346">
      <c r="A3346" t="n">
        <v>511170</v>
      </c>
      <c r="B3346" s="6" t="n">
        <v>45991</v>
      </c>
      <c r="C3346" t="n">
        <v>17548</v>
      </c>
      <c r="D3346" t="inlineStr">
        <is>
          <t>Mumbai</t>
        </is>
      </c>
      <c r="E3346" t="inlineStr">
        <is>
          <t>West</t>
        </is>
      </c>
      <c r="F3346" t="inlineStr">
        <is>
          <t>Organic Search</t>
        </is>
      </c>
      <c r="G3346" t="inlineStr">
        <is>
          <t>Mobile App</t>
        </is>
      </c>
      <c r="H3346" t="inlineStr">
        <is>
          <t>Credit Card</t>
        </is>
      </c>
      <c r="I3346" t="inlineStr">
        <is>
          <t>Cancelled</t>
        </is>
      </c>
      <c r="J3346" t="n">
        <v>135</v>
      </c>
      <c r="K3346" t="n">
        <v>1</v>
      </c>
      <c r="L3346" s="7" t="n">
        <v>1574</v>
      </c>
      <c r="M3346" s="7" t="n">
        <v>236.1</v>
      </c>
    </row>
    <row r="3347">
      <c r="A3347" t="n">
        <v>511171</v>
      </c>
      <c r="B3347" s="6" t="n">
        <v>45991</v>
      </c>
      <c r="C3347" t="n">
        <v>17493</v>
      </c>
      <c r="D3347" t="inlineStr">
        <is>
          <t>Noida</t>
        </is>
      </c>
      <c r="E3347" t="inlineStr">
        <is>
          <t>North</t>
        </is>
      </c>
      <c r="F3347" t="inlineStr">
        <is>
          <t>Paid Search</t>
        </is>
      </c>
      <c r="G3347" t="inlineStr">
        <is>
          <t>Mobile App</t>
        </is>
      </c>
      <c r="H3347" t="inlineStr">
        <is>
          <t>UPI</t>
        </is>
      </c>
      <c r="I3347" t="inlineStr">
        <is>
          <t>Delivered</t>
        </is>
      </c>
      <c r="J3347" t="n">
        <v>132</v>
      </c>
      <c r="K3347" t="n">
        <v>2</v>
      </c>
      <c r="L3347" s="7" t="n">
        <v>471</v>
      </c>
      <c r="M3347" s="7" t="n">
        <v>0</v>
      </c>
    </row>
    <row r="3348">
      <c r="A3348" t="n">
        <v>511171</v>
      </c>
      <c r="B3348" s="6" t="n">
        <v>45991</v>
      </c>
      <c r="C3348" t="n">
        <v>17493</v>
      </c>
      <c r="D3348" t="inlineStr">
        <is>
          <t>Noida</t>
        </is>
      </c>
      <c r="E3348" t="inlineStr">
        <is>
          <t>North</t>
        </is>
      </c>
      <c r="F3348" t="inlineStr">
        <is>
          <t>Paid Search</t>
        </is>
      </c>
      <c r="G3348" t="inlineStr">
        <is>
          <t>Mobile App</t>
        </is>
      </c>
      <c r="H3348" t="inlineStr">
        <is>
          <t>UPI</t>
        </is>
      </c>
      <c r="I3348" t="inlineStr">
        <is>
          <t>Delivered</t>
        </is>
      </c>
      <c r="J3348" t="n">
        <v>101</v>
      </c>
      <c r="K3348" t="n">
        <v>1</v>
      </c>
      <c r="L3348" s="7" t="n">
        <v>2099</v>
      </c>
      <c r="M3348" s="7" t="n">
        <v>0</v>
      </c>
    </row>
    <row r="3349">
      <c r="A3349" t="n">
        <v>511171</v>
      </c>
      <c r="B3349" s="6" t="n">
        <v>45991</v>
      </c>
      <c r="C3349" t="n">
        <v>17493</v>
      </c>
      <c r="D3349" t="inlineStr">
        <is>
          <t>Noida</t>
        </is>
      </c>
      <c r="E3349" t="inlineStr">
        <is>
          <t>North</t>
        </is>
      </c>
      <c r="F3349" t="inlineStr">
        <is>
          <t>Paid Search</t>
        </is>
      </c>
      <c r="G3349" t="inlineStr">
        <is>
          <t>Mobile App</t>
        </is>
      </c>
      <c r="H3349" t="inlineStr">
        <is>
          <t>UPI</t>
        </is>
      </c>
      <c r="I3349" t="inlineStr">
        <is>
          <t>Delivered</t>
        </is>
      </c>
      <c r="J3349" t="n">
        <v>117</v>
      </c>
      <c r="K3349" t="n">
        <v>1</v>
      </c>
      <c r="L3349" s="7" t="n">
        <v>3149</v>
      </c>
      <c r="M3349" s="7" t="n">
        <v>0</v>
      </c>
    </row>
    <row r="3350">
      <c r="A3350" t="n">
        <v>511171</v>
      </c>
      <c r="B3350" s="6" t="n">
        <v>45991</v>
      </c>
      <c r="C3350" t="n">
        <v>17493</v>
      </c>
      <c r="D3350" t="inlineStr">
        <is>
          <t>Noida</t>
        </is>
      </c>
      <c r="E3350" t="inlineStr">
        <is>
          <t>North</t>
        </is>
      </c>
      <c r="F3350" t="inlineStr">
        <is>
          <t>Paid Search</t>
        </is>
      </c>
      <c r="G3350" t="inlineStr">
        <is>
          <t>Mobile App</t>
        </is>
      </c>
      <c r="H3350" t="inlineStr">
        <is>
          <t>UPI</t>
        </is>
      </c>
      <c r="I3350" t="inlineStr">
        <is>
          <t>Delivered</t>
        </is>
      </c>
      <c r="J3350" t="n">
        <v>126</v>
      </c>
      <c r="K3350" t="n">
        <v>2</v>
      </c>
      <c r="L3350" s="7" t="n">
        <v>471</v>
      </c>
      <c r="M3350" s="7" t="n">
        <v>0</v>
      </c>
    </row>
    <row r="3351">
      <c r="A3351" t="n">
        <v>511172</v>
      </c>
      <c r="B3351" s="6" t="n">
        <v>45991</v>
      </c>
      <c r="C3351" t="n">
        <v>17540</v>
      </c>
      <c r="D3351" t="inlineStr">
        <is>
          <t>Bengaluru</t>
        </is>
      </c>
      <c r="E3351" t="inlineStr">
        <is>
          <t>South</t>
        </is>
      </c>
      <c r="F3351" t="inlineStr">
        <is>
          <t>Paid Social</t>
        </is>
      </c>
      <c r="G3351" t="inlineStr">
        <is>
          <t>Mobile Web</t>
        </is>
      </c>
      <c r="H3351" t="inlineStr">
        <is>
          <t>Cash on Delivery</t>
        </is>
      </c>
      <c r="I3351" t="inlineStr">
        <is>
          <t>Cancelled</t>
        </is>
      </c>
      <c r="J3351" t="n">
        <v>111</v>
      </c>
      <c r="K3351" t="n">
        <v>1</v>
      </c>
      <c r="L3351" s="7" t="n">
        <v>524</v>
      </c>
      <c r="M3351" s="7" t="n">
        <v>78.59999999999999</v>
      </c>
    </row>
    <row r="3352">
      <c r="A3352" t="n">
        <v>511172</v>
      </c>
      <c r="B3352" s="6" t="n">
        <v>45991</v>
      </c>
      <c r="C3352" t="n">
        <v>17540</v>
      </c>
      <c r="D3352" t="inlineStr">
        <is>
          <t>Bengaluru</t>
        </is>
      </c>
      <c r="E3352" t="inlineStr">
        <is>
          <t>South</t>
        </is>
      </c>
      <c r="F3352" t="inlineStr">
        <is>
          <t>Paid Social</t>
        </is>
      </c>
      <c r="G3352" t="inlineStr">
        <is>
          <t>Mobile Web</t>
        </is>
      </c>
      <c r="H3352" t="inlineStr">
        <is>
          <t>Cash on Delivery</t>
        </is>
      </c>
      <c r="I3352" t="inlineStr">
        <is>
          <t>Cancelled</t>
        </is>
      </c>
      <c r="J3352" t="n">
        <v>129</v>
      </c>
      <c r="K3352" t="n">
        <v>1</v>
      </c>
      <c r="L3352" s="7" t="n">
        <v>576</v>
      </c>
      <c r="M3352" s="7" t="n">
        <v>86.40000000000001</v>
      </c>
    </row>
    <row r="3353">
      <c r="A3353" t="n">
        <v>511172</v>
      </c>
      <c r="B3353" s="6" t="n">
        <v>45991</v>
      </c>
      <c r="C3353" t="n">
        <v>17540</v>
      </c>
      <c r="D3353" t="inlineStr">
        <is>
          <t>Bengaluru</t>
        </is>
      </c>
      <c r="E3353" t="inlineStr">
        <is>
          <t>South</t>
        </is>
      </c>
      <c r="F3353" t="inlineStr">
        <is>
          <t>Paid Social</t>
        </is>
      </c>
      <c r="G3353" t="inlineStr">
        <is>
          <t>Mobile Web</t>
        </is>
      </c>
      <c r="H3353" t="inlineStr">
        <is>
          <t>Cash on Delivery</t>
        </is>
      </c>
      <c r="I3353" t="inlineStr">
        <is>
          <t>Cancelled</t>
        </is>
      </c>
      <c r="J3353" t="n">
        <v>119</v>
      </c>
      <c r="K3353" t="n">
        <v>1</v>
      </c>
      <c r="L3353" s="7" t="n">
        <v>2309</v>
      </c>
      <c r="M3353" s="7" t="n">
        <v>346.35</v>
      </c>
    </row>
    <row r="3354">
      <c r="A3354" t="n">
        <v>511173</v>
      </c>
      <c r="B3354" s="6" t="n">
        <v>45991</v>
      </c>
      <c r="C3354" t="n">
        <v>16690</v>
      </c>
      <c r="D3354" t="inlineStr">
        <is>
          <t>Bengaluru</t>
        </is>
      </c>
      <c r="E3354" t="inlineStr">
        <is>
          <t>South</t>
        </is>
      </c>
      <c r="F3354" t="inlineStr">
        <is>
          <t>Paid Search</t>
        </is>
      </c>
      <c r="G3354" t="inlineStr">
        <is>
          <t>Mobile Web</t>
        </is>
      </c>
      <c r="H3354" t="inlineStr">
        <is>
          <t>Cash on Delivery</t>
        </is>
      </c>
      <c r="I3354" t="inlineStr">
        <is>
          <t>Delivered</t>
        </is>
      </c>
      <c r="J3354" t="n">
        <v>113</v>
      </c>
      <c r="K3354" t="n">
        <v>1</v>
      </c>
      <c r="L3354" s="7" t="n">
        <v>1364</v>
      </c>
      <c r="M3354" s="7" t="n">
        <v>0</v>
      </c>
    </row>
    <row r="3355">
      <c r="A3355" t="n">
        <v>511174</v>
      </c>
      <c r="B3355" s="6" t="n">
        <v>45991</v>
      </c>
      <c r="C3355" t="n">
        <v>17567</v>
      </c>
      <c r="D3355" t="inlineStr">
        <is>
          <t>Delhi</t>
        </is>
      </c>
      <c r="E3355" t="inlineStr">
        <is>
          <t>North</t>
        </is>
      </c>
      <c r="F3355" t="inlineStr">
        <is>
          <t>Organic Search</t>
        </is>
      </c>
      <c r="G3355" t="inlineStr">
        <is>
          <t>Mobile App</t>
        </is>
      </c>
      <c r="H3355" t="inlineStr">
        <is>
          <t>UPI</t>
        </is>
      </c>
      <c r="I3355" t="inlineStr">
        <is>
          <t>Delivered</t>
        </is>
      </c>
      <c r="J3355" t="n">
        <v>118</v>
      </c>
      <c r="K3355" t="n">
        <v>1</v>
      </c>
      <c r="L3355" s="7" t="n">
        <v>944</v>
      </c>
      <c r="M3355" s="7" t="n">
        <v>141.6</v>
      </c>
    </row>
    <row r="3356">
      <c r="A3356" t="n">
        <v>511174</v>
      </c>
      <c r="B3356" s="6" t="n">
        <v>45991</v>
      </c>
      <c r="C3356" t="n">
        <v>17567</v>
      </c>
      <c r="D3356" t="inlineStr">
        <is>
          <t>Delhi</t>
        </is>
      </c>
      <c r="E3356" t="inlineStr">
        <is>
          <t>North</t>
        </is>
      </c>
      <c r="F3356" t="inlineStr">
        <is>
          <t>Organic Search</t>
        </is>
      </c>
      <c r="G3356" t="inlineStr">
        <is>
          <t>Mobile App</t>
        </is>
      </c>
      <c r="H3356" t="inlineStr">
        <is>
          <t>UPI</t>
        </is>
      </c>
      <c r="I3356" t="inlineStr">
        <is>
          <t>Delivered</t>
        </is>
      </c>
      <c r="J3356" t="n">
        <v>138</v>
      </c>
      <c r="K3356" t="n">
        <v>3</v>
      </c>
      <c r="L3356" s="7" t="n">
        <v>419</v>
      </c>
      <c r="M3356" s="7" t="n">
        <v>188.55</v>
      </c>
    </row>
    <row r="3357">
      <c r="A3357" t="n">
        <v>511175</v>
      </c>
      <c r="B3357" s="6" t="n">
        <v>45991</v>
      </c>
      <c r="C3357" t="n">
        <v>16068</v>
      </c>
      <c r="D3357" t="inlineStr">
        <is>
          <t>Delhi</t>
        </is>
      </c>
      <c r="E3357" t="inlineStr">
        <is>
          <t>North</t>
        </is>
      </c>
      <c r="F3357" t="inlineStr">
        <is>
          <t>Paid Search</t>
        </is>
      </c>
      <c r="G3357" t="inlineStr">
        <is>
          <t>Desktop</t>
        </is>
      </c>
      <c r="H3357" t="inlineStr">
        <is>
          <t>Cash on Delivery</t>
        </is>
      </c>
      <c r="I3357" t="inlineStr">
        <is>
          <t>Delivered</t>
        </is>
      </c>
      <c r="J3357" t="n">
        <v>136</v>
      </c>
      <c r="K3357" t="n">
        <v>2</v>
      </c>
      <c r="L3357" s="7" t="n">
        <v>944</v>
      </c>
      <c r="M3357" s="7" t="n">
        <v>0</v>
      </c>
    </row>
    <row r="3358">
      <c r="A3358" t="n">
        <v>511175</v>
      </c>
      <c r="B3358" s="6" t="n">
        <v>45991</v>
      </c>
      <c r="C3358" t="n">
        <v>16068</v>
      </c>
      <c r="D3358" t="inlineStr">
        <is>
          <t>Delhi</t>
        </is>
      </c>
      <c r="E3358" t="inlineStr">
        <is>
          <t>North</t>
        </is>
      </c>
      <c r="F3358" t="inlineStr">
        <is>
          <t>Paid Search</t>
        </is>
      </c>
      <c r="G3358" t="inlineStr">
        <is>
          <t>Desktop</t>
        </is>
      </c>
      <c r="H3358" t="inlineStr">
        <is>
          <t>Cash on Delivery</t>
        </is>
      </c>
      <c r="I3358" t="inlineStr">
        <is>
          <t>Delivered</t>
        </is>
      </c>
      <c r="J3358" t="n">
        <v>137</v>
      </c>
      <c r="K3358" t="n">
        <v>1</v>
      </c>
      <c r="L3358" s="7" t="n">
        <v>261</v>
      </c>
      <c r="M3358" s="7" t="n">
        <v>0</v>
      </c>
    </row>
    <row r="3359">
      <c r="A3359" t="n">
        <v>511176</v>
      </c>
      <c r="B3359" s="6" t="n">
        <v>45991</v>
      </c>
      <c r="C3359" t="n">
        <v>17395</v>
      </c>
      <c r="D3359" t="inlineStr">
        <is>
          <t>Bengaluru</t>
        </is>
      </c>
      <c r="E3359" t="inlineStr">
        <is>
          <t>South</t>
        </is>
      </c>
      <c r="F3359" t="inlineStr">
        <is>
          <t>Paid Social</t>
        </is>
      </c>
      <c r="G3359" t="inlineStr">
        <is>
          <t>Mobile App</t>
        </is>
      </c>
      <c r="H3359" t="inlineStr">
        <is>
          <t>Net Banking</t>
        </is>
      </c>
      <c r="I3359" t="inlineStr">
        <is>
          <t>Delivered</t>
        </is>
      </c>
      <c r="J3359" t="n">
        <v>145</v>
      </c>
      <c r="K3359" t="n">
        <v>2</v>
      </c>
      <c r="L3359" s="7" t="n">
        <v>629</v>
      </c>
      <c r="M3359" s="7" t="n">
        <v>0</v>
      </c>
    </row>
    <row r="3360">
      <c r="A3360" t="n">
        <v>511177</v>
      </c>
      <c r="B3360" s="6" t="n">
        <v>45991</v>
      </c>
      <c r="C3360" t="n">
        <v>17505</v>
      </c>
      <c r="D3360" t="inlineStr">
        <is>
          <t>Delhi</t>
        </is>
      </c>
      <c r="E3360" t="inlineStr">
        <is>
          <t>North</t>
        </is>
      </c>
      <c r="F3360" t="inlineStr">
        <is>
          <t>Paid Social</t>
        </is>
      </c>
      <c r="G3360" t="inlineStr">
        <is>
          <t>Mobile Web</t>
        </is>
      </c>
      <c r="H3360" t="inlineStr">
        <is>
          <t>Debit Card</t>
        </is>
      </c>
      <c r="I3360" t="inlineStr">
        <is>
          <t>Delivered</t>
        </is>
      </c>
      <c r="J3360" t="n">
        <v>103</v>
      </c>
      <c r="K3360" t="n">
        <v>1</v>
      </c>
      <c r="L3360" s="7" t="n">
        <v>2624</v>
      </c>
      <c r="M3360" s="7" t="n">
        <v>0</v>
      </c>
    </row>
    <row r="3361">
      <c r="A3361" t="n">
        <v>511177</v>
      </c>
      <c r="B3361" s="6" t="n">
        <v>45991</v>
      </c>
      <c r="C3361" t="n">
        <v>17505</v>
      </c>
      <c r="D3361" t="inlineStr">
        <is>
          <t>Delhi</t>
        </is>
      </c>
      <c r="E3361" t="inlineStr">
        <is>
          <t>North</t>
        </is>
      </c>
      <c r="F3361" t="inlineStr">
        <is>
          <t>Paid Social</t>
        </is>
      </c>
      <c r="G3361" t="inlineStr">
        <is>
          <t>Mobile Web</t>
        </is>
      </c>
      <c r="H3361" t="inlineStr">
        <is>
          <t>Debit Card</t>
        </is>
      </c>
      <c r="I3361" t="inlineStr">
        <is>
          <t>Delivered</t>
        </is>
      </c>
      <c r="J3361" t="n">
        <v>145</v>
      </c>
      <c r="K3361" t="n">
        <v>1</v>
      </c>
      <c r="L3361" s="7" t="n">
        <v>629</v>
      </c>
      <c r="M3361" s="7" t="n">
        <v>0</v>
      </c>
    </row>
    <row r="3362">
      <c r="A3362" t="n">
        <v>511178</v>
      </c>
      <c r="B3362" s="6" t="n">
        <v>45991</v>
      </c>
      <c r="C3362" t="n">
        <v>16736</v>
      </c>
      <c r="D3362" t="inlineStr">
        <is>
          <t>Pune</t>
        </is>
      </c>
      <c r="E3362" t="inlineStr">
        <is>
          <t>West</t>
        </is>
      </c>
      <c r="F3362" t="inlineStr">
        <is>
          <t>Email</t>
        </is>
      </c>
      <c r="G3362" t="inlineStr">
        <is>
          <t>Mobile Web</t>
        </is>
      </c>
      <c r="H3362" t="inlineStr">
        <is>
          <t>UPI</t>
        </is>
      </c>
      <c r="I3362" t="inlineStr">
        <is>
          <t>Returned</t>
        </is>
      </c>
      <c r="J3362" t="n">
        <v>126</v>
      </c>
      <c r="K3362" t="n">
        <v>1</v>
      </c>
      <c r="L3362" s="7" t="n">
        <v>471</v>
      </c>
      <c r="M3362" s="7" t="n">
        <v>0</v>
      </c>
    </row>
    <row r="3363">
      <c r="A3363" t="n">
        <v>511178</v>
      </c>
      <c r="B3363" s="6" t="n">
        <v>45991</v>
      </c>
      <c r="C3363" t="n">
        <v>16736</v>
      </c>
      <c r="D3363" t="inlineStr">
        <is>
          <t>Pune</t>
        </is>
      </c>
      <c r="E3363" t="inlineStr">
        <is>
          <t>West</t>
        </is>
      </c>
      <c r="F3363" t="inlineStr">
        <is>
          <t>Email</t>
        </is>
      </c>
      <c r="G3363" t="inlineStr">
        <is>
          <t>Mobile Web</t>
        </is>
      </c>
      <c r="H3363" t="inlineStr">
        <is>
          <t>UPI</t>
        </is>
      </c>
      <c r="I3363" t="inlineStr">
        <is>
          <t>Returned</t>
        </is>
      </c>
      <c r="J3363" t="n">
        <v>121</v>
      </c>
      <c r="K3363" t="n">
        <v>2</v>
      </c>
      <c r="L3363" s="7" t="n">
        <v>2939</v>
      </c>
      <c r="M3363" s="7" t="n">
        <v>0</v>
      </c>
    </row>
    <row r="3364">
      <c r="A3364" t="n">
        <v>511178</v>
      </c>
      <c r="B3364" s="6" t="n">
        <v>45991</v>
      </c>
      <c r="C3364" t="n">
        <v>16736</v>
      </c>
      <c r="D3364" t="inlineStr">
        <is>
          <t>Pune</t>
        </is>
      </c>
      <c r="E3364" t="inlineStr">
        <is>
          <t>West</t>
        </is>
      </c>
      <c r="F3364" t="inlineStr">
        <is>
          <t>Email</t>
        </is>
      </c>
      <c r="G3364" t="inlineStr">
        <is>
          <t>Mobile Web</t>
        </is>
      </c>
      <c r="H3364" t="inlineStr">
        <is>
          <t>UPI</t>
        </is>
      </c>
      <c r="I3364" t="inlineStr">
        <is>
          <t>Returned</t>
        </is>
      </c>
      <c r="J3364" t="n">
        <v>113</v>
      </c>
      <c r="K3364" t="n">
        <v>1</v>
      </c>
      <c r="L3364" s="7" t="n">
        <v>1364</v>
      </c>
      <c r="M3364" s="7" t="n">
        <v>0</v>
      </c>
    </row>
    <row r="3365">
      <c r="A3365" t="n">
        <v>511178</v>
      </c>
      <c r="B3365" s="6" t="n">
        <v>45991</v>
      </c>
      <c r="C3365" t="n">
        <v>16736</v>
      </c>
      <c r="D3365" t="inlineStr">
        <is>
          <t>Pune</t>
        </is>
      </c>
      <c r="E3365" t="inlineStr">
        <is>
          <t>West</t>
        </is>
      </c>
      <c r="F3365" t="inlineStr">
        <is>
          <t>Email</t>
        </is>
      </c>
      <c r="G3365" t="inlineStr">
        <is>
          <t>Mobile Web</t>
        </is>
      </c>
      <c r="H3365" t="inlineStr">
        <is>
          <t>UPI</t>
        </is>
      </c>
      <c r="I3365" t="inlineStr">
        <is>
          <t>Returned</t>
        </is>
      </c>
      <c r="J3365" t="n">
        <v>120</v>
      </c>
      <c r="K3365" t="n">
        <v>1</v>
      </c>
      <c r="L3365" s="7" t="n">
        <v>734</v>
      </c>
      <c r="M3365" s="7" t="n">
        <v>0</v>
      </c>
    </row>
    <row r="3366">
      <c r="A3366" t="n">
        <v>511179</v>
      </c>
      <c r="B3366" s="6" t="n">
        <v>45991</v>
      </c>
      <c r="C3366" t="n">
        <v>17536</v>
      </c>
      <c r="D3366" t="inlineStr">
        <is>
          <t>Jaipur</t>
        </is>
      </c>
      <c r="E3366" t="inlineStr">
        <is>
          <t>North</t>
        </is>
      </c>
      <c r="F3366" t="inlineStr">
        <is>
          <t>Affiliate</t>
        </is>
      </c>
      <c r="G3366" t="inlineStr">
        <is>
          <t>Mobile App</t>
        </is>
      </c>
      <c r="H3366" t="inlineStr">
        <is>
          <t>UPI</t>
        </is>
      </c>
      <c r="I3366" t="inlineStr">
        <is>
          <t>Delivered</t>
        </is>
      </c>
      <c r="J3366" t="n">
        <v>146</v>
      </c>
      <c r="K3366" t="n">
        <v>1</v>
      </c>
      <c r="L3366" s="7" t="n">
        <v>4724</v>
      </c>
      <c r="M3366" s="7" t="n">
        <v>0</v>
      </c>
    </row>
    <row r="3367">
      <c r="A3367" t="n">
        <v>511180</v>
      </c>
      <c r="B3367" s="6" t="n">
        <v>45991</v>
      </c>
      <c r="C3367" t="n">
        <v>17521</v>
      </c>
      <c r="D3367" t="inlineStr">
        <is>
          <t>Mumbai</t>
        </is>
      </c>
      <c r="E3367" t="inlineStr">
        <is>
          <t>West</t>
        </is>
      </c>
      <c r="F3367" t="inlineStr">
        <is>
          <t>Organic Search</t>
        </is>
      </c>
      <c r="G3367" t="inlineStr">
        <is>
          <t>Desktop</t>
        </is>
      </c>
      <c r="H3367" t="inlineStr">
        <is>
          <t>Credit Card</t>
        </is>
      </c>
      <c r="I3367" t="inlineStr">
        <is>
          <t>Delivered</t>
        </is>
      </c>
      <c r="J3367" t="n">
        <v>107</v>
      </c>
      <c r="K3367" t="n">
        <v>2</v>
      </c>
      <c r="L3367" s="7" t="n">
        <v>1259</v>
      </c>
      <c r="M3367" s="7" t="n">
        <v>0</v>
      </c>
    </row>
    <row r="3368">
      <c r="A3368" t="n">
        <v>511180</v>
      </c>
      <c r="B3368" s="6" t="n">
        <v>45991</v>
      </c>
      <c r="C3368" t="n">
        <v>17521</v>
      </c>
      <c r="D3368" t="inlineStr">
        <is>
          <t>Mumbai</t>
        </is>
      </c>
      <c r="E3368" t="inlineStr">
        <is>
          <t>West</t>
        </is>
      </c>
      <c r="F3368" t="inlineStr">
        <is>
          <t>Organic Search</t>
        </is>
      </c>
      <c r="G3368" t="inlineStr">
        <is>
          <t>Desktop</t>
        </is>
      </c>
      <c r="H3368" t="inlineStr">
        <is>
          <t>Credit Card</t>
        </is>
      </c>
      <c r="I3368" t="inlineStr">
        <is>
          <t>Delivered</t>
        </is>
      </c>
      <c r="J3368" t="n">
        <v>117</v>
      </c>
      <c r="K3368" t="n">
        <v>2</v>
      </c>
      <c r="L3368" s="7" t="n">
        <v>3149</v>
      </c>
      <c r="M3368" s="7" t="n">
        <v>0</v>
      </c>
    </row>
    <row r="3369">
      <c r="A3369" t="n">
        <v>511181</v>
      </c>
      <c r="B3369" s="6" t="n">
        <v>45991</v>
      </c>
      <c r="C3369" t="n">
        <v>17543</v>
      </c>
      <c r="D3369" t="inlineStr">
        <is>
          <t>Chennai</t>
        </is>
      </c>
      <c r="E3369" t="inlineStr">
        <is>
          <t>South</t>
        </is>
      </c>
      <c r="F3369" t="inlineStr">
        <is>
          <t>Referral</t>
        </is>
      </c>
      <c r="G3369" t="inlineStr">
        <is>
          <t>Mobile App</t>
        </is>
      </c>
      <c r="H3369" t="inlineStr">
        <is>
          <t>Credit Card</t>
        </is>
      </c>
      <c r="I3369" t="inlineStr">
        <is>
          <t>Delivered</t>
        </is>
      </c>
      <c r="J3369" t="n">
        <v>111</v>
      </c>
      <c r="K3369" t="n">
        <v>1</v>
      </c>
      <c r="L3369" s="7" t="n">
        <v>524</v>
      </c>
      <c r="M3369" s="7" t="n">
        <v>0</v>
      </c>
    </row>
    <row r="3370">
      <c r="A3370" t="n">
        <v>511182</v>
      </c>
      <c r="B3370" s="6" t="n">
        <v>45991</v>
      </c>
      <c r="C3370" t="n">
        <v>17516</v>
      </c>
      <c r="D3370" t="inlineStr">
        <is>
          <t>Bengaluru</t>
        </is>
      </c>
      <c r="E3370" t="inlineStr">
        <is>
          <t>South</t>
        </is>
      </c>
      <c r="F3370" t="inlineStr">
        <is>
          <t>Affiliate</t>
        </is>
      </c>
      <c r="G3370" t="inlineStr">
        <is>
          <t>Mobile Web</t>
        </is>
      </c>
      <c r="H3370" t="inlineStr">
        <is>
          <t>Credit Card</t>
        </is>
      </c>
      <c r="I3370" t="inlineStr">
        <is>
          <t>Delivered</t>
        </is>
      </c>
      <c r="J3370" t="n">
        <v>101</v>
      </c>
      <c r="K3370" t="n">
        <v>2</v>
      </c>
      <c r="L3370" s="7" t="n">
        <v>2099</v>
      </c>
      <c r="M3370" s="7" t="n">
        <v>629.7</v>
      </c>
    </row>
    <row r="3371">
      <c r="A3371" t="n">
        <v>511183</v>
      </c>
      <c r="B3371" s="6" t="n">
        <v>45991</v>
      </c>
      <c r="C3371" t="n">
        <v>14864</v>
      </c>
      <c r="D3371" t="inlineStr">
        <is>
          <t>Kolkata</t>
        </is>
      </c>
      <c r="E3371" t="inlineStr">
        <is>
          <t>East</t>
        </is>
      </c>
      <c r="F3371" t="inlineStr">
        <is>
          <t>Affiliate</t>
        </is>
      </c>
      <c r="G3371" t="inlineStr">
        <is>
          <t>Mobile App</t>
        </is>
      </c>
      <c r="H3371" t="inlineStr">
        <is>
          <t>UPI</t>
        </is>
      </c>
      <c r="I3371" t="inlineStr">
        <is>
          <t>Returned</t>
        </is>
      </c>
      <c r="J3371" t="n">
        <v>115</v>
      </c>
      <c r="K3371" t="n">
        <v>2</v>
      </c>
      <c r="L3371" s="7" t="n">
        <v>4199</v>
      </c>
      <c r="M3371" s="7" t="n">
        <v>0</v>
      </c>
    </row>
    <row r="3372">
      <c r="A3372" t="n">
        <v>511184</v>
      </c>
      <c r="B3372" s="6" t="n">
        <v>45991</v>
      </c>
      <c r="C3372" t="n">
        <v>16434</v>
      </c>
      <c r="D3372" t="inlineStr">
        <is>
          <t>Pune</t>
        </is>
      </c>
      <c r="E3372" t="inlineStr">
        <is>
          <t>West</t>
        </is>
      </c>
      <c r="F3372" t="inlineStr">
        <is>
          <t>Referral</t>
        </is>
      </c>
      <c r="G3372" t="inlineStr">
        <is>
          <t>Mobile App</t>
        </is>
      </c>
      <c r="H3372" t="inlineStr">
        <is>
          <t>UPI</t>
        </is>
      </c>
      <c r="I3372" t="inlineStr">
        <is>
          <t>Returned</t>
        </is>
      </c>
      <c r="J3372" t="n">
        <v>148</v>
      </c>
      <c r="K3372" t="n">
        <v>1</v>
      </c>
      <c r="L3372" s="7" t="n">
        <v>734</v>
      </c>
      <c r="M3372" s="7" t="n">
        <v>0</v>
      </c>
    </row>
    <row r="3373">
      <c r="A3373" t="n">
        <v>511184</v>
      </c>
      <c r="B3373" s="6" t="n">
        <v>45991</v>
      </c>
      <c r="C3373" t="n">
        <v>16434</v>
      </c>
      <c r="D3373" t="inlineStr">
        <is>
          <t>Pune</t>
        </is>
      </c>
      <c r="E3373" t="inlineStr">
        <is>
          <t>West</t>
        </is>
      </c>
      <c r="F3373" t="inlineStr">
        <is>
          <t>Referral</t>
        </is>
      </c>
      <c r="G3373" t="inlineStr">
        <is>
          <t>Mobile App</t>
        </is>
      </c>
      <c r="H3373" t="inlineStr">
        <is>
          <t>UPI</t>
        </is>
      </c>
      <c r="I3373" t="inlineStr">
        <is>
          <t>Returned</t>
        </is>
      </c>
      <c r="J3373" t="n">
        <v>116</v>
      </c>
      <c r="K3373" t="n">
        <v>1</v>
      </c>
      <c r="L3373" s="7" t="n">
        <v>2624</v>
      </c>
      <c r="M3373" s="7" t="n">
        <v>0</v>
      </c>
    </row>
    <row r="3374">
      <c r="A3374" t="n">
        <v>511185</v>
      </c>
      <c r="B3374" s="6" t="n">
        <v>45991</v>
      </c>
      <c r="C3374" t="n">
        <v>16513</v>
      </c>
      <c r="D3374" t="inlineStr">
        <is>
          <t>Chandigarh</t>
        </is>
      </c>
      <c r="E3374" t="inlineStr">
        <is>
          <t>North</t>
        </is>
      </c>
      <c r="F3374" t="inlineStr">
        <is>
          <t>Paid Search</t>
        </is>
      </c>
      <c r="G3374" t="inlineStr">
        <is>
          <t>Desktop</t>
        </is>
      </c>
      <c r="H3374" t="inlineStr">
        <is>
          <t>Cash on Delivery</t>
        </is>
      </c>
      <c r="I3374" t="inlineStr">
        <is>
          <t>Delivered</t>
        </is>
      </c>
      <c r="J3374" t="n">
        <v>107</v>
      </c>
      <c r="K3374" t="n">
        <v>1</v>
      </c>
      <c r="L3374" s="7" t="n">
        <v>1259</v>
      </c>
      <c r="M3374" s="7" t="n">
        <v>0</v>
      </c>
    </row>
    <row r="3375">
      <c r="A3375" t="n">
        <v>511185</v>
      </c>
      <c r="B3375" s="6" t="n">
        <v>45991</v>
      </c>
      <c r="C3375" t="n">
        <v>16513</v>
      </c>
      <c r="D3375" t="inlineStr">
        <is>
          <t>Chandigarh</t>
        </is>
      </c>
      <c r="E3375" t="inlineStr">
        <is>
          <t>North</t>
        </is>
      </c>
      <c r="F3375" t="inlineStr">
        <is>
          <t>Paid Search</t>
        </is>
      </c>
      <c r="G3375" t="inlineStr">
        <is>
          <t>Desktop</t>
        </is>
      </c>
      <c r="H3375" t="inlineStr">
        <is>
          <t>Cash on Delivery</t>
        </is>
      </c>
      <c r="I3375" t="inlineStr">
        <is>
          <t>Delivered</t>
        </is>
      </c>
      <c r="J3375" t="n">
        <v>116</v>
      </c>
      <c r="K3375" t="n">
        <v>1</v>
      </c>
      <c r="L3375" s="7" t="n">
        <v>2624</v>
      </c>
      <c r="M3375" s="7" t="n">
        <v>0</v>
      </c>
    </row>
    <row r="3376">
      <c r="A3376" t="n">
        <v>511186</v>
      </c>
      <c r="B3376" s="6" t="n">
        <v>45991</v>
      </c>
      <c r="C3376" t="n">
        <v>15629</v>
      </c>
      <c r="D3376" t="inlineStr">
        <is>
          <t>Bengaluru</t>
        </is>
      </c>
      <c r="E3376" t="inlineStr">
        <is>
          <t>South</t>
        </is>
      </c>
      <c r="F3376" t="inlineStr">
        <is>
          <t>Organic Search</t>
        </is>
      </c>
      <c r="G3376" t="inlineStr">
        <is>
          <t>Mobile Web</t>
        </is>
      </c>
      <c r="H3376" t="inlineStr">
        <is>
          <t>UPI</t>
        </is>
      </c>
      <c r="I3376" t="inlineStr">
        <is>
          <t>Delivered</t>
        </is>
      </c>
      <c r="J3376" t="n">
        <v>115</v>
      </c>
      <c r="K3376" t="n">
        <v>2</v>
      </c>
      <c r="L3376" s="7" t="n">
        <v>4199</v>
      </c>
      <c r="M3376" s="7" t="n">
        <v>0</v>
      </c>
    </row>
    <row r="3377">
      <c r="A3377" t="n">
        <v>511187</v>
      </c>
      <c r="B3377" s="6" t="n">
        <v>45991</v>
      </c>
      <c r="C3377" t="n">
        <v>16952</v>
      </c>
      <c r="D3377" t="inlineStr">
        <is>
          <t>Pune</t>
        </is>
      </c>
      <c r="E3377" t="inlineStr">
        <is>
          <t>West</t>
        </is>
      </c>
      <c r="F3377" t="inlineStr">
        <is>
          <t>Referral</t>
        </is>
      </c>
      <c r="G3377" t="inlineStr">
        <is>
          <t>Mobile App</t>
        </is>
      </c>
      <c r="H3377" t="inlineStr">
        <is>
          <t>Cash on Delivery</t>
        </is>
      </c>
      <c r="I3377" t="inlineStr">
        <is>
          <t>Delivered</t>
        </is>
      </c>
      <c r="J3377" t="n">
        <v>126</v>
      </c>
      <c r="K3377" t="n">
        <v>1</v>
      </c>
      <c r="L3377" s="7" t="n">
        <v>471</v>
      </c>
      <c r="M3377" s="7" t="n">
        <v>0</v>
      </c>
    </row>
    <row r="3378">
      <c r="A3378" t="n">
        <v>511188</v>
      </c>
      <c r="B3378" s="6" t="n">
        <v>45992</v>
      </c>
      <c r="C3378" t="n">
        <v>17546</v>
      </c>
      <c r="D3378" t="inlineStr">
        <is>
          <t>Gurugram</t>
        </is>
      </c>
      <c r="E3378" t="inlineStr">
        <is>
          <t>North</t>
        </is>
      </c>
      <c r="F3378" t="inlineStr">
        <is>
          <t>Paid Search</t>
        </is>
      </c>
      <c r="G3378" t="inlineStr">
        <is>
          <t>Desktop</t>
        </is>
      </c>
      <c r="H3378" t="inlineStr">
        <is>
          <t>UPI</t>
        </is>
      </c>
      <c r="I3378" t="inlineStr">
        <is>
          <t>Delivered</t>
        </is>
      </c>
      <c r="J3378" t="n">
        <v>127</v>
      </c>
      <c r="K3378" t="n">
        <v>1</v>
      </c>
      <c r="L3378" s="7" t="n">
        <v>681</v>
      </c>
      <c r="M3378" s="7" t="n">
        <v>0</v>
      </c>
    </row>
    <row r="3379">
      <c r="A3379" t="n">
        <v>511188</v>
      </c>
      <c r="B3379" s="6" t="n">
        <v>45992</v>
      </c>
      <c r="C3379" t="n">
        <v>17546</v>
      </c>
      <c r="D3379" t="inlineStr">
        <is>
          <t>Gurugram</t>
        </is>
      </c>
      <c r="E3379" t="inlineStr">
        <is>
          <t>North</t>
        </is>
      </c>
      <c r="F3379" t="inlineStr">
        <is>
          <t>Paid Search</t>
        </is>
      </c>
      <c r="G3379" t="inlineStr">
        <is>
          <t>Desktop</t>
        </is>
      </c>
      <c r="H3379" t="inlineStr">
        <is>
          <t>UPI</t>
        </is>
      </c>
      <c r="I3379" t="inlineStr">
        <is>
          <t>Delivered</t>
        </is>
      </c>
      <c r="J3379" t="n">
        <v>120</v>
      </c>
      <c r="K3379" t="n">
        <v>1</v>
      </c>
      <c r="L3379" s="7" t="n">
        <v>734</v>
      </c>
      <c r="M3379" s="7" t="n">
        <v>0</v>
      </c>
    </row>
    <row r="3380">
      <c r="A3380" t="n">
        <v>511189</v>
      </c>
      <c r="B3380" s="6" t="n">
        <v>45992</v>
      </c>
      <c r="C3380" t="n">
        <v>17519</v>
      </c>
      <c r="D3380" t="inlineStr">
        <is>
          <t>Hyderabad</t>
        </is>
      </c>
      <c r="E3380" t="inlineStr">
        <is>
          <t>South</t>
        </is>
      </c>
      <c r="F3380" t="inlineStr">
        <is>
          <t>Paid Social</t>
        </is>
      </c>
      <c r="G3380" t="inlineStr">
        <is>
          <t>Mobile Web</t>
        </is>
      </c>
      <c r="H3380" t="inlineStr">
        <is>
          <t>Credit Card</t>
        </is>
      </c>
      <c r="I3380" t="inlineStr">
        <is>
          <t>Returned</t>
        </is>
      </c>
      <c r="J3380" t="n">
        <v>146</v>
      </c>
      <c r="K3380" t="n">
        <v>1</v>
      </c>
      <c r="L3380" s="7" t="n">
        <v>4724</v>
      </c>
      <c r="M3380" s="7" t="n">
        <v>708.6</v>
      </c>
    </row>
    <row r="3381">
      <c r="A3381" t="n">
        <v>511189</v>
      </c>
      <c r="B3381" s="6" t="n">
        <v>45992</v>
      </c>
      <c r="C3381" t="n">
        <v>17519</v>
      </c>
      <c r="D3381" t="inlineStr">
        <is>
          <t>Hyderabad</t>
        </is>
      </c>
      <c r="E3381" t="inlineStr">
        <is>
          <t>South</t>
        </is>
      </c>
      <c r="F3381" t="inlineStr">
        <is>
          <t>Paid Social</t>
        </is>
      </c>
      <c r="G3381" t="inlineStr">
        <is>
          <t>Mobile Web</t>
        </is>
      </c>
      <c r="H3381" t="inlineStr">
        <is>
          <t>Credit Card</t>
        </is>
      </c>
      <c r="I3381" t="inlineStr">
        <is>
          <t>Returned</t>
        </is>
      </c>
      <c r="J3381" t="n">
        <v>132</v>
      </c>
      <c r="K3381" t="n">
        <v>1</v>
      </c>
      <c r="L3381" s="7" t="n">
        <v>471</v>
      </c>
      <c r="M3381" s="7" t="n">
        <v>70.65000000000001</v>
      </c>
    </row>
    <row r="3382">
      <c r="A3382" t="n">
        <v>511189</v>
      </c>
      <c r="B3382" s="6" t="n">
        <v>45992</v>
      </c>
      <c r="C3382" t="n">
        <v>17519</v>
      </c>
      <c r="D3382" t="inlineStr">
        <is>
          <t>Hyderabad</t>
        </is>
      </c>
      <c r="E3382" t="inlineStr">
        <is>
          <t>South</t>
        </is>
      </c>
      <c r="F3382" t="inlineStr">
        <is>
          <t>Paid Social</t>
        </is>
      </c>
      <c r="G3382" t="inlineStr">
        <is>
          <t>Mobile Web</t>
        </is>
      </c>
      <c r="H3382" t="inlineStr">
        <is>
          <t>Credit Card</t>
        </is>
      </c>
      <c r="I3382" t="inlineStr">
        <is>
          <t>Returned</t>
        </is>
      </c>
      <c r="J3382" t="n">
        <v>133</v>
      </c>
      <c r="K3382" t="n">
        <v>1</v>
      </c>
      <c r="L3382" s="7" t="n">
        <v>419</v>
      </c>
      <c r="M3382" s="7" t="n">
        <v>62.85</v>
      </c>
    </row>
    <row r="3383">
      <c r="A3383" t="n">
        <v>511190</v>
      </c>
      <c r="B3383" s="6" t="n">
        <v>45992</v>
      </c>
      <c r="C3383" t="n">
        <v>16983</v>
      </c>
      <c r="D3383" t="inlineStr">
        <is>
          <t>Delhi</t>
        </is>
      </c>
      <c r="E3383" t="inlineStr">
        <is>
          <t>North</t>
        </is>
      </c>
      <c r="F3383" t="inlineStr">
        <is>
          <t>Paid Search</t>
        </is>
      </c>
      <c r="G3383" t="inlineStr">
        <is>
          <t>Desktop</t>
        </is>
      </c>
      <c r="H3383" t="inlineStr">
        <is>
          <t>UPI</t>
        </is>
      </c>
      <c r="I3383" t="inlineStr">
        <is>
          <t>Delivered</t>
        </is>
      </c>
      <c r="J3383" t="n">
        <v>116</v>
      </c>
      <c r="K3383" t="n">
        <v>1</v>
      </c>
      <c r="L3383" s="7" t="n">
        <v>2624</v>
      </c>
      <c r="M3383" s="7" t="n">
        <v>0</v>
      </c>
    </row>
    <row r="3384">
      <c r="A3384" t="n">
        <v>511190</v>
      </c>
      <c r="B3384" s="6" t="n">
        <v>45992</v>
      </c>
      <c r="C3384" t="n">
        <v>16983</v>
      </c>
      <c r="D3384" t="inlineStr">
        <is>
          <t>Delhi</t>
        </is>
      </c>
      <c r="E3384" t="inlineStr">
        <is>
          <t>North</t>
        </is>
      </c>
      <c r="F3384" t="inlineStr">
        <is>
          <t>Paid Search</t>
        </is>
      </c>
      <c r="G3384" t="inlineStr">
        <is>
          <t>Desktop</t>
        </is>
      </c>
      <c r="H3384" t="inlineStr">
        <is>
          <t>UPI</t>
        </is>
      </c>
      <c r="I3384" t="inlineStr">
        <is>
          <t>Delivered</t>
        </is>
      </c>
      <c r="J3384" t="n">
        <v>111</v>
      </c>
      <c r="K3384" t="n">
        <v>1</v>
      </c>
      <c r="L3384" s="7" t="n">
        <v>524</v>
      </c>
      <c r="M3384" s="7" t="n">
        <v>0</v>
      </c>
    </row>
    <row r="3385">
      <c r="A3385" t="n">
        <v>511191</v>
      </c>
      <c r="B3385" s="6" t="n">
        <v>45992</v>
      </c>
      <c r="C3385" t="n">
        <v>17558</v>
      </c>
      <c r="D3385" t="inlineStr">
        <is>
          <t>Chennai</t>
        </is>
      </c>
      <c r="E3385" t="inlineStr">
        <is>
          <t>South</t>
        </is>
      </c>
      <c r="F3385" t="inlineStr">
        <is>
          <t>Organic Search</t>
        </is>
      </c>
      <c r="G3385" t="inlineStr">
        <is>
          <t>Mobile Web</t>
        </is>
      </c>
      <c r="H3385" t="inlineStr">
        <is>
          <t>Cash on Delivery</t>
        </is>
      </c>
      <c r="I3385" t="inlineStr">
        <is>
          <t>Delivered</t>
        </is>
      </c>
      <c r="J3385" t="n">
        <v>111</v>
      </c>
      <c r="K3385" t="n">
        <v>1</v>
      </c>
      <c r="L3385" s="7" t="n">
        <v>524</v>
      </c>
      <c r="M3385" s="7" t="n">
        <v>0</v>
      </c>
    </row>
    <row r="3386">
      <c r="A3386" t="n">
        <v>511191</v>
      </c>
      <c r="B3386" s="6" t="n">
        <v>45992</v>
      </c>
      <c r="C3386" t="n">
        <v>17558</v>
      </c>
      <c r="D3386" t="inlineStr">
        <is>
          <t>Chennai</t>
        </is>
      </c>
      <c r="E3386" t="inlineStr">
        <is>
          <t>South</t>
        </is>
      </c>
      <c r="F3386" t="inlineStr">
        <is>
          <t>Organic Search</t>
        </is>
      </c>
      <c r="G3386" t="inlineStr">
        <is>
          <t>Mobile Web</t>
        </is>
      </c>
      <c r="H3386" t="inlineStr">
        <is>
          <t>Cash on Delivery</t>
        </is>
      </c>
      <c r="I3386" t="inlineStr">
        <is>
          <t>Delivered</t>
        </is>
      </c>
      <c r="J3386" t="n">
        <v>112</v>
      </c>
      <c r="K3386" t="n">
        <v>1</v>
      </c>
      <c r="L3386" s="7" t="n">
        <v>1574</v>
      </c>
      <c r="M3386" s="7" t="n">
        <v>0</v>
      </c>
    </row>
    <row r="3387">
      <c r="A3387" t="n">
        <v>511192</v>
      </c>
      <c r="B3387" s="6" t="n">
        <v>45992</v>
      </c>
      <c r="C3387" t="n">
        <v>17452</v>
      </c>
      <c r="D3387" t="inlineStr">
        <is>
          <t>Delhi</t>
        </is>
      </c>
      <c r="E3387" t="inlineStr">
        <is>
          <t>North</t>
        </is>
      </c>
      <c r="F3387" t="inlineStr">
        <is>
          <t>Affiliate</t>
        </is>
      </c>
      <c r="G3387" t="inlineStr">
        <is>
          <t>Desktop</t>
        </is>
      </c>
      <c r="H3387" t="inlineStr">
        <is>
          <t>UPI</t>
        </is>
      </c>
      <c r="I3387" t="inlineStr">
        <is>
          <t>Delivered</t>
        </is>
      </c>
      <c r="J3387" t="n">
        <v>136</v>
      </c>
      <c r="K3387" t="n">
        <v>1</v>
      </c>
      <c r="L3387" s="7" t="n">
        <v>944</v>
      </c>
      <c r="M3387" s="7" t="n">
        <v>0</v>
      </c>
    </row>
    <row r="3388">
      <c r="A3388" t="n">
        <v>511192</v>
      </c>
      <c r="B3388" s="6" t="n">
        <v>45992</v>
      </c>
      <c r="C3388" t="n">
        <v>17452</v>
      </c>
      <c r="D3388" t="inlineStr">
        <is>
          <t>Delhi</t>
        </is>
      </c>
      <c r="E3388" t="inlineStr">
        <is>
          <t>North</t>
        </is>
      </c>
      <c r="F3388" t="inlineStr">
        <is>
          <t>Affiliate</t>
        </is>
      </c>
      <c r="G3388" t="inlineStr">
        <is>
          <t>Desktop</t>
        </is>
      </c>
      <c r="H3388" t="inlineStr">
        <is>
          <t>UPI</t>
        </is>
      </c>
      <c r="I3388" t="inlineStr">
        <is>
          <t>Delivered</t>
        </is>
      </c>
      <c r="J3388" t="n">
        <v>118</v>
      </c>
      <c r="K3388" t="n">
        <v>2</v>
      </c>
      <c r="L3388" s="7" t="n">
        <v>944</v>
      </c>
      <c r="M3388" s="7" t="n">
        <v>0</v>
      </c>
    </row>
    <row r="3389">
      <c r="A3389" t="n">
        <v>511193</v>
      </c>
      <c r="B3389" s="6" t="n">
        <v>45992</v>
      </c>
      <c r="C3389" t="n">
        <v>13937</v>
      </c>
      <c r="D3389" t="inlineStr">
        <is>
          <t>Delhi</t>
        </is>
      </c>
      <c r="E3389" t="inlineStr">
        <is>
          <t>North</t>
        </is>
      </c>
      <c r="F3389" t="inlineStr">
        <is>
          <t>Paid Social</t>
        </is>
      </c>
      <c r="G3389" t="inlineStr">
        <is>
          <t>Mobile App</t>
        </is>
      </c>
      <c r="H3389" t="inlineStr">
        <is>
          <t>Credit Card</t>
        </is>
      </c>
      <c r="I3389" t="inlineStr">
        <is>
          <t>Returned</t>
        </is>
      </c>
      <c r="J3389" t="n">
        <v>111</v>
      </c>
      <c r="K3389" t="n">
        <v>2</v>
      </c>
      <c r="L3389" s="7" t="n">
        <v>524</v>
      </c>
      <c r="M3389" s="7" t="n">
        <v>0</v>
      </c>
    </row>
    <row r="3390">
      <c r="A3390" t="n">
        <v>511194</v>
      </c>
      <c r="B3390" s="6" t="n">
        <v>45992</v>
      </c>
      <c r="C3390" t="n">
        <v>17572</v>
      </c>
      <c r="D3390" t="inlineStr">
        <is>
          <t>Lucknow</t>
        </is>
      </c>
      <c r="E3390" t="inlineStr">
        <is>
          <t>North</t>
        </is>
      </c>
      <c r="F3390" t="inlineStr">
        <is>
          <t>Email</t>
        </is>
      </c>
      <c r="G3390" t="inlineStr">
        <is>
          <t>Mobile Web</t>
        </is>
      </c>
      <c r="H3390" t="inlineStr">
        <is>
          <t>UPI</t>
        </is>
      </c>
      <c r="I3390" t="inlineStr">
        <is>
          <t>Delivered</t>
        </is>
      </c>
      <c r="J3390" t="n">
        <v>133</v>
      </c>
      <c r="K3390" t="n">
        <v>1</v>
      </c>
      <c r="L3390" s="7" t="n">
        <v>419</v>
      </c>
      <c r="M3390" s="7" t="n">
        <v>0</v>
      </c>
    </row>
    <row r="3391">
      <c r="A3391" t="n">
        <v>511195</v>
      </c>
      <c r="B3391" s="6" t="n">
        <v>45992</v>
      </c>
      <c r="C3391" t="n">
        <v>14755</v>
      </c>
      <c r="D3391" t="inlineStr">
        <is>
          <t>Bengaluru</t>
        </is>
      </c>
      <c r="E3391" t="inlineStr">
        <is>
          <t>South</t>
        </is>
      </c>
      <c r="F3391" t="inlineStr">
        <is>
          <t>Organic Search</t>
        </is>
      </c>
      <c r="G3391" t="inlineStr">
        <is>
          <t>Desktop</t>
        </is>
      </c>
      <c r="H3391" t="inlineStr">
        <is>
          <t>Debit Card</t>
        </is>
      </c>
      <c r="I3391" t="inlineStr">
        <is>
          <t>Delivered</t>
        </is>
      </c>
      <c r="J3391" t="n">
        <v>142</v>
      </c>
      <c r="K3391" t="n">
        <v>2</v>
      </c>
      <c r="L3391" s="7" t="n">
        <v>839</v>
      </c>
      <c r="M3391" s="7" t="n">
        <v>83.90000000000001</v>
      </c>
    </row>
    <row r="3392">
      <c r="A3392" t="n">
        <v>511195</v>
      </c>
      <c r="B3392" s="6" t="n">
        <v>45992</v>
      </c>
      <c r="C3392" t="n">
        <v>14755</v>
      </c>
      <c r="D3392" t="inlineStr">
        <is>
          <t>Bengaluru</t>
        </is>
      </c>
      <c r="E3392" t="inlineStr">
        <is>
          <t>South</t>
        </is>
      </c>
      <c r="F3392" t="inlineStr">
        <is>
          <t>Organic Search</t>
        </is>
      </c>
      <c r="G3392" t="inlineStr">
        <is>
          <t>Desktop</t>
        </is>
      </c>
      <c r="H3392" t="inlineStr">
        <is>
          <t>Debit Card</t>
        </is>
      </c>
      <c r="I3392" t="inlineStr">
        <is>
          <t>Delivered</t>
        </is>
      </c>
      <c r="J3392" t="n">
        <v>129</v>
      </c>
      <c r="K3392" t="n">
        <v>1</v>
      </c>
      <c r="L3392" s="7" t="n">
        <v>576</v>
      </c>
      <c r="M3392" s="7" t="n">
        <v>28.8</v>
      </c>
    </row>
    <row r="3393">
      <c r="A3393" t="n">
        <v>511195</v>
      </c>
      <c r="B3393" s="6" t="n">
        <v>45992</v>
      </c>
      <c r="C3393" t="n">
        <v>14755</v>
      </c>
      <c r="D3393" t="inlineStr">
        <is>
          <t>Bengaluru</t>
        </is>
      </c>
      <c r="E3393" t="inlineStr">
        <is>
          <t>South</t>
        </is>
      </c>
      <c r="F3393" t="inlineStr">
        <is>
          <t>Organic Search</t>
        </is>
      </c>
      <c r="G3393" t="inlineStr">
        <is>
          <t>Desktop</t>
        </is>
      </c>
      <c r="H3393" t="inlineStr">
        <is>
          <t>Debit Card</t>
        </is>
      </c>
      <c r="I3393" t="inlineStr">
        <is>
          <t>Delivered</t>
        </is>
      </c>
      <c r="J3393" t="n">
        <v>126</v>
      </c>
      <c r="K3393" t="n">
        <v>1</v>
      </c>
      <c r="L3393" s="7" t="n">
        <v>471</v>
      </c>
      <c r="M3393" s="7" t="n">
        <v>23.55</v>
      </c>
    </row>
    <row r="3394">
      <c r="A3394" t="n">
        <v>511196</v>
      </c>
      <c r="B3394" s="6" t="n">
        <v>45992</v>
      </c>
      <c r="C3394" t="n">
        <v>16709</v>
      </c>
      <c r="D3394" t="inlineStr">
        <is>
          <t>Bengaluru</t>
        </is>
      </c>
      <c r="E3394" t="inlineStr">
        <is>
          <t>South</t>
        </is>
      </c>
      <c r="F3394" t="inlineStr">
        <is>
          <t>Email</t>
        </is>
      </c>
      <c r="G3394" t="inlineStr">
        <is>
          <t>Mobile App</t>
        </is>
      </c>
      <c r="H3394" t="inlineStr">
        <is>
          <t>UPI</t>
        </is>
      </c>
      <c r="I3394" t="inlineStr">
        <is>
          <t>Delivered</t>
        </is>
      </c>
      <c r="J3394" t="n">
        <v>148</v>
      </c>
      <c r="K3394" t="n">
        <v>1</v>
      </c>
      <c r="L3394" s="7" t="n">
        <v>734</v>
      </c>
      <c r="M3394" s="7" t="n">
        <v>0</v>
      </c>
    </row>
    <row r="3395">
      <c r="A3395" t="n">
        <v>511197</v>
      </c>
      <c r="B3395" s="6" t="n">
        <v>45992</v>
      </c>
      <c r="C3395" t="n">
        <v>17574</v>
      </c>
      <c r="D3395" t="inlineStr">
        <is>
          <t>Pune</t>
        </is>
      </c>
      <c r="E3395" t="inlineStr">
        <is>
          <t>West</t>
        </is>
      </c>
      <c r="F3395" t="inlineStr">
        <is>
          <t>Paid Search</t>
        </is>
      </c>
      <c r="G3395" t="inlineStr">
        <is>
          <t>Mobile App</t>
        </is>
      </c>
      <c r="H3395" t="inlineStr">
        <is>
          <t>Credit Card</t>
        </is>
      </c>
      <c r="I3395" t="inlineStr">
        <is>
          <t>Returned</t>
        </is>
      </c>
      <c r="J3395" t="n">
        <v>117</v>
      </c>
      <c r="K3395" t="n">
        <v>1</v>
      </c>
      <c r="L3395" s="7" t="n">
        <v>3149</v>
      </c>
      <c r="M3395" s="7" t="n">
        <v>0</v>
      </c>
    </row>
    <row r="3396">
      <c r="A3396" t="n">
        <v>511197</v>
      </c>
      <c r="B3396" s="6" t="n">
        <v>45992</v>
      </c>
      <c r="C3396" t="n">
        <v>17574</v>
      </c>
      <c r="D3396" t="inlineStr">
        <is>
          <t>Pune</t>
        </is>
      </c>
      <c r="E3396" t="inlineStr">
        <is>
          <t>West</t>
        </is>
      </c>
      <c r="F3396" t="inlineStr">
        <is>
          <t>Paid Search</t>
        </is>
      </c>
      <c r="G3396" t="inlineStr">
        <is>
          <t>Mobile App</t>
        </is>
      </c>
      <c r="H3396" t="inlineStr">
        <is>
          <t>Credit Card</t>
        </is>
      </c>
      <c r="I3396" t="inlineStr">
        <is>
          <t>Returned</t>
        </is>
      </c>
      <c r="J3396" t="n">
        <v>122</v>
      </c>
      <c r="K3396" t="n">
        <v>2</v>
      </c>
      <c r="L3396" s="7" t="n">
        <v>1994</v>
      </c>
      <c r="M3396" s="7" t="n">
        <v>0</v>
      </c>
    </row>
    <row r="3397">
      <c r="A3397" t="n">
        <v>511198</v>
      </c>
      <c r="B3397" s="6" t="n">
        <v>45992</v>
      </c>
      <c r="C3397" t="n">
        <v>17561</v>
      </c>
      <c r="D3397" t="inlineStr">
        <is>
          <t>Delhi</t>
        </is>
      </c>
      <c r="E3397" t="inlineStr">
        <is>
          <t>North</t>
        </is>
      </c>
      <c r="F3397" t="inlineStr">
        <is>
          <t>Referral</t>
        </is>
      </c>
      <c r="G3397" t="inlineStr">
        <is>
          <t>Mobile App</t>
        </is>
      </c>
      <c r="H3397" t="inlineStr">
        <is>
          <t>Net Banking</t>
        </is>
      </c>
      <c r="I3397" t="inlineStr">
        <is>
          <t>Delivered</t>
        </is>
      </c>
      <c r="J3397" t="n">
        <v>123</v>
      </c>
      <c r="K3397" t="n">
        <v>1</v>
      </c>
      <c r="L3397" s="7" t="n">
        <v>3464</v>
      </c>
      <c r="M3397" s="7" t="n">
        <v>0</v>
      </c>
    </row>
    <row r="3398">
      <c r="A3398" t="n">
        <v>511198</v>
      </c>
      <c r="B3398" s="6" t="n">
        <v>45992</v>
      </c>
      <c r="C3398" t="n">
        <v>17561</v>
      </c>
      <c r="D3398" t="inlineStr">
        <is>
          <t>Delhi</t>
        </is>
      </c>
      <c r="E3398" t="inlineStr">
        <is>
          <t>North</t>
        </is>
      </c>
      <c r="F3398" t="inlineStr">
        <is>
          <t>Referral</t>
        </is>
      </c>
      <c r="G3398" t="inlineStr">
        <is>
          <t>Mobile App</t>
        </is>
      </c>
      <c r="H3398" t="inlineStr">
        <is>
          <t>Net Banking</t>
        </is>
      </c>
      <c r="I3398" t="inlineStr">
        <is>
          <t>Delivered</t>
        </is>
      </c>
      <c r="J3398" t="n">
        <v>112</v>
      </c>
      <c r="K3398" t="n">
        <v>1</v>
      </c>
      <c r="L3398" s="7" t="n">
        <v>1574</v>
      </c>
      <c r="M3398" s="7" t="n">
        <v>0</v>
      </c>
    </row>
    <row r="3399">
      <c r="A3399" t="n">
        <v>511199</v>
      </c>
      <c r="B3399" s="6" t="n">
        <v>45992</v>
      </c>
      <c r="C3399" t="n">
        <v>17564</v>
      </c>
      <c r="D3399" t="inlineStr">
        <is>
          <t>Bengaluru</t>
        </is>
      </c>
      <c r="E3399" t="inlineStr">
        <is>
          <t>South</t>
        </is>
      </c>
      <c r="F3399" t="inlineStr">
        <is>
          <t>Organic Search</t>
        </is>
      </c>
      <c r="G3399" t="inlineStr">
        <is>
          <t>Mobile App</t>
        </is>
      </c>
      <c r="H3399" t="inlineStr">
        <is>
          <t>Credit Card</t>
        </is>
      </c>
      <c r="I3399" t="inlineStr">
        <is>
          <t>Delivered</t>
        </is>
      </c>
      <c r="J3399" t="n">
        <v>106</v>
      </c>
      <c r="K3399" t="n">
        <v>1</v>
      </c>
      <c r="L3399" s="7" t="n">
        <v>1574</v>
      </c>
      <c r="M3399" s="7" t="n">
        <v>236.1</v>
      </c>
    </row>
    <row r="3400">
      <c r="A3400" t="n">
        <v>511200</v>
      </c>
      <c r="B3400" s="6" t="n">
        <v>45992</v>
      </c>
      <c r="C3400" t="n">
        <v>17369</v>
      </c>
      <c r="D3400" t="inlineStr">
        <is>
          <t>Chennai</t>
        </is>
      </c>
      <c r="E3400" t="inlineStr">
        <is>
          <t>South</t>
        </is>
      </c>
      <c r="F3400" t="inlineStr">
        <is>
          <t>Organic Search</t>
        </is>
      </c>
      <c r="G3400" t="inlineStr">
        <is>
          <t>Mobile App</t>
        </is>
      </c>
      <c r="H3400" t="inlineStr">
        <is>
          <t>Credit Card</t>
        </is>
      </c>
      <c r="I3400" t="inlineStr">
        <is>
          <t>Delivered</t>
        </is>
      </c>
      <c r="J3400" t="n">
        <v>135</v>
      </c>
      <c r="K3400" t="n">
        <v>1</v>
      </c>
      <c r="L3400" s="7" t="n">
        <v>1574</v>
      </c>
      <c r="M3400" s="7" t="n">
        <v>236.1</v>
      </c>
    </row>
    <row r="3401">
      <c r="A3401" t="n">
        <v>511200</v>
      </c>
      <c r="B3401" s="6" t="n">
        <v>45992</v>
      </c>
      <c r="C3401" t="n">
        <v>17369</v>
      </c>
      <c r="D3401" t="inlineStr">
        <is>
          <t>Chennai</t>
        </is>
      </c>
      <c r="E3401" t="inlineStr">
        <is>
          <t>South</t>
        </is>
      </c>
      <c r="F3401" t="inlineStr">
        <is>
          <t>Organic Search</t>
        </is>
      </c>
      <c r="G3401" t="inlineStr">
        <is>
          <t>Mobile App</t>
        </is>
      </c>
      <c r="H3401" t="inlineStr">
        <is>
          <t>Credit Card</t>
        </is>
      </c>
      <c r="I3401" t="inlineStr">
        <is>
          <t>Delivered</t>
        </is>
      </c>
      <c r="J3401" t="n">
        <v>123</v>
      </c>
      <c r="K3401" t="n">
        <v>1</v>
      </c>
      <c r="L3401" s="7" t="n">
        <v>3464</v>
      </c>
      <c r="M3401" s="7" t="n">
        <v>519.6</v>
      </c>
    </row>
    <row r="3402">
      <c r="A3402" t="n">
        <v>511200</v>
      </c>
      <c r="B3402" s="6" t="n">
        <v>45992</v>
      </c>
      <c r="C3402" t="n">
        <v>17369</v>
      </c>
      <c r="D3402" t="inlineStr">
        <is>
          <t>Chennai</t>
        </is>
      </c>
      <c r="E3402" t="inlineStr">
        <is>
          <t>South</t>
        </is>
      </c>
      <c r="F3402" t="inlineStr">
        <is>
          <t>Organic Search</t>
        </is>
      </c>
      <c r="G3402" t="inlineStr">
        <is>
          <t>Mobile App</t>
        </is>
      </c>
      <c r="H3402" t="inlineStr">
        <is>
          <t>Credit Card</t>
        </is>
      </c>
      <c r="I3402" t="inlineStr">
        <is>
          <t>Delivered</t>
        </is>
      </c>
      <c r="J3402" t="n">
        <v>108</v>
      </c>
      <c r="K3402" t="n">
        <v>1</v>
      </c>
      <c r="L3402" s="7" t="n">
        <v>419</v>
      </c>
      <c r="M3402" s="7" t="n">
        <v>62.85</v>
      </c>
    </row>
    <row r="3403">
      <c r="A3403" t="n">
        <v>511201</v>
      </c>
      <c r="B3403" s="6" t="n">
        <v>45992</v>
      </c>
      <c r="C3403" t="n">
        <v>14279</v>
      </c>
      <c r="D3403" t="inlineStr">
        <is>
          <t>Chennai</t>
        </is>
      </c>
      <c r="E3403" t="inlineStr">
        <is>
          <t>South</t>
        </is>
      </c>
      <c r="F3403" t="inlineStr">
        <is>
          <t>Referral</t>
        </is>
      </c>
      <c r="G3403" t="inlineStr">
        <is>
          <t>Mobile App</t>
        </is>
      </c>
      <c r="H3403" t="inlineStr">
        <is>
          <t>Credit Card</t>
        </is>
      </c>
      <c r="I3403" t="inlineStr">
        <is>
          <t>Delivered</t>
        </is>
      </c>
      <c r="J3403" t="n">
        <v>129</v>
      </c>
      <c r="K3403" t="n">
        <v>1</v>
      </c>
      <c r="L3403" s="7" t="n">
        <v>576</v>
      </c>
      <c r="M3403" s="7" t="n">
        <v>0</v>
      </c>
    </row>
    <row r="3404">
      <c r="A3404" t="n">
        <v>511201</v>
      </c>
      <c r="B3404" s="6" t="n">
        <v>45992</v>
      </c>
      <c r="C3404" t="n">
        <v>14279</v>
      </c>
      <c r="D3404" t="inlineStr">
        <is>
          <t>Chennai</t>
        </is>
      </c>
      <c r="E3404" t="inlineStr">
        <is>
          <t>South</t>
        </is>
      </c>
      <c r="F3404" t="inlineStr">
        <is>
          <t>Referral</t>
        </is>
      </c>
      <c r="G3404" t="inlineStr">
        <is>
          <t>Mobile App</t>
        </is>
      </c>
      <c r="H3404" t="inlineStr">
        <is>
          <t>Credit Card</t>
        </is>
      </c>
      <c r="I3404" t="inlineStr">
        <is>
          <t>Delivered</t>
        </is>
      </c>
      <c r="J3404" t="n">
        <v>126</v>
      </c>
      <c r="K3404" t="n">
        <v>2</v>
      </c>
      <c r="L3404" s="7" t="n">
        <v>471</v>
      </c>
      <c r="M3404" s="7" t="n">
        <v>0</v>
      </c>
    </row>
    <row r="3405">
      <c r="A3405" t="n">
        <v>511201</v>
      </c>
      <c r="B3405" s="6" t="n">
        <v>45992</v>
      </c>
      <c r="C3405" t="n">
        <v>14279</v>
      </c>
      <c r="D3405" t="inlineStr">
        <is>
          <t>Chennai</t>
        </is>
      </c>
      <c r="E3405" t="inlineStr">
        <is>
          <t>South</t>
        </is>
      </c>
      <c r="F3405" t="inlineStr">
        <is>
          <t>Referral</t>
        </is>
      </c>
      <c r="G3405" t="inlineStr">
        <is>
          <t>Mobile App</t>
        </is>
      </c>
      <c r="H3405" t="inlineStr">
        <is>
          <t>Credit Card</t>
        </is>
      </c>
      <c r="I3405" t="inlineStr">
        <is>
          <t>Delivered</t>
        </is>
      </c>
      <c r="J3405" t="n">
        <v>114</v>
      </c>
      <c r="K3405" t="n">
        <v>1</v>
      </c>
      <c r="L3405" s="7" t="n">
        <v>1259</v>
      </c>
      <c r="M3405" s="7" t="n">
        <v>0</v>
      </c>
    </row>
    <row r="3406">
      <c r="A3406" t="n">
        <v>511202</v>
      </c>
      <c r="B3406" s="6" t="n">
        <v>45992</v>
      </c>
      <c r="C3406" t="n">
        <v>17575</v>
      </c>
      <c r="D3406" t="inlineStr">
        <is>
          <t>Pune</t>
        </is>
      </c>
      <c r="E3406" t="inlineStr">
        <is>
          <t>West</t>
        </is>
      </c>
      <c r="F3406" t="inlineStr">
        <is>
          <t>Paid Social</t>
        </is>
      </c>
      <c r="G3406" t="inlineStr">
        <is>
          <t>Mobile App</t>
        </is>
      </c>
      <c r="H3406" t="inlineStr">
        <is>
          <t>UPI</t>
        </is>
      </c>
      <c r="I3406" t="inlineStr">
        <is>
          <t>Delivered</t>
        </is>
      </c>
      <c r="J3406" t="n">
        <v>123</v>
      </c>
      <c r="K3406" t="n">
        <v>1</v>
      </c>
      <c r="L3406" s="7" t="n">
        <v>3464</v>
      </c>
      <c r="M3406" s="7" t="n">
        <v>0</v>
      </c>
    </row>
    <row r="3407">
      <c r="A3407" t="n">
        <v>511203</v>
      </c>
      <c r="B3407" s="6" t="n">
        <v>45992</v>
      </c>
      <c r="C3407" t="n">
        <v>17578</v>
      </c>
      <c r="D3407" t="inlineStr">
        <is>
          <t>Hyderabad</t>
        </is>
      </c>
      <c r="E3407" t="inlineStr">
        <is>
          <t>South</t>
        </is>
      </c>
      <c r="F3407" t="inlineStr">
        <is>
          <t>Organic Search</t>
        </is>
      </c>
      <c r="G3407" t="inlineStr">
        <is>
          <t>Mobile App</t>
        </is>
      </c>
      <c r="H3407" t="inlineStr">
        <is>
          <t>Debit Card</t>
        </is>
      </c>
      <c r="I3407" t="inlineStr">
        <is>
          <t>Delivered</t>
        </is>
      </c>
      <c r="J3407" t="n">
        <v>135</v>
      </c>
      <c r="K3407" t="n">
        <v>3</v>
      </c>
      <c r="L3407" s="7" t="n">
        <v>1574</v>
      </c>
      <c r="M3407" s="7" t="n">
        <v>0</v>
      </c>
    </row>
    <row r="3408">
      <c r="A3408" t="n">
        <v>511203</v>
      </c>
      <c r="B3408" s="6" t="n">
        <v>45992</v>
      </c>
      <c r="C3408" t="n">
        <v>17578</v>
      </c>
      <c r="D3408" t="inlineStr">
        <is>
          <t>Hyderabad</t>
        </is>
      </c>
      <c r="E3408" t="inlineStr">
        <is>
          <t>South</t>
        </is>
      </c>
      <c r="F3408" t="inlineStr">
        <is>
          <t>Organic Search</t>
        </is>
      </c>
      <c r="G3408" t="inlineStr">
        <is>
          <t>Mobile App</t>
        </is>
      </c>
      <c r="H3408" t="inlineStr">
        <is>
          <t>Debit Card</t>
        </is>
      </c>
      <c r="I3408" t="inlineStr">
        <is>
          <t>Delivered</t>
        </is>
      </c>
      <c r="J3408" t="n">
        <v>123</v>
      </c>
      <c r="K3408" t="n">
        <v>1</v>
      </c>
      <c r="L3408" s="7" t="n">
        <v>3464</v>
      </c>
      <c r="M3408" s="7" t="n">
        <v>0</v>
      </c>
    </row>
    <row r="3409">
      <c r="A3409" t="n">
        <v>511204</v>
      </c>
      <c r="B3409" s="6" t="n">
        <v>45992</v>
      </c>
      <c r="C3409" t="n">
        <v>17552</v>
      </c>
      <c r="D3409" t="inlineStr">
        <is>
          <t>Chennai</t>
        </is>
      </c>
      <c r="E3409" t="inlineStr">
        <is>
          <t>South</t>
        </is>
      </c>
      <c r="F3409" t="inlineStr">
        <is>
          <t>Email</t>
        </is>
      </c>
      <c r="G3409" t="inlineStr">
        <is>
          <t>Mobile App</t>
        </is>
      </c>
      <c r="H3409" t="inlineStr">
        <is>
          <t>Cash on Delivery</t>
        </is>
      </c>
      <c r="I3409" t="inlineStr">
        <is>
          <t>Returned</t>
        </is>
      </c>
      <c r="J3409" t="n">
        <v>111</v>
      </c>
      <c r="K3409" t="n">
        <v>1</v>
      </c>
      <c r="L3409" s="7" t="n">
        <v>524</v>
      </c>
      <c r="M3409" s="7" t="n">
        <v>78.59999999999999</v>
      </c>
    </row>
    <row r="3410">
      <c r="A3410" t="n">
        <v>511204</v>
      </c>
      <c r="B3410" s="6" t="n">
        <v>45992</v>
      </c>
      <c r="C3410" t="n">
        <v>17552</v>
      </c>
      <c r="D3410" t="inlineStr">
        <is>
          <t>Chennai</t>
        </is>
      </c>
      <c r="E3410" t="inlineStr">
        <is>
          <t>South</t>
        </is>
      </c>
      <c r="F3410" t="inlineStr">
        <is>
          <t>Email</t>
        </is>
      </c>
      <c r="G3410" t="inlineStr">
        <is>
          <t>Mobile App</t>
        </is>
      </c>
      <c r="H3410" t="inlineStr">
        <is>
          <t>Cash on Delivery</t>
        </is>
      </c>
      <c r="I3410" t="inlineStr">
        <is>
          <t>Returned</t>
        </is>
      </c>
      <c r="J3410" t="n">
        <v>107</v>
      </c>
      <c r="K3410" t="n">
        <v>1</v>
      </c>
      <c r="L3410" s="7" t="n">
        <v>1259</v>
      </c>
      <c r="M3410" s="7" t="n">
        <v>188.85</v>
      </c>
    </row>
    <row r="3411">
      <c r="A3411" t="n">
        <v>511204</v>
      </c>
      <c r="B3411" s="6" t="n">
        <v>45992</v>
      </c>
      <c r="C3411" t="n">
        <v>17552</v>
      </c>
      <c r="D3411" t="inlineStr">
        <is>
          <t>Chennai</t>
        </is>
      </c>
      <c r="E3411" t="inlineStr">
        <is>
          <t>South</t>
        </is>
      </c>
      <c r="F3411" t="inlineStr">
        <is>
          <t>Email</t>
        </is>
      </c>
      <c r="G3411" t="inlineStr">
        <is>
          <t>Mobile App</t>
        </is>
      </c>
      <c r="H3411" t="inlineStr">
        <is>
          <t>Cash on Delivery</t>
        </is>
      </c>
      <c r="I3411" t="inlineStr">
        <is>
          <t>Returned</t>
        </is>
      </c>
      <c r="J3411" t="n">
        <v>139</v>
      </c>
      <c r="K3411" t="n">
        <v>1</v>
      </c>
      <c r="L3411" s="7" t="n">
        <v>366</v>
      </c>
      <c r="M3411" s="7" t="n">
        <v>54.9</v>
      </c>
    </row>
    <row r="3412">
      <c r="A3412" t="n">
        <v>511205</v>
      </c>
      <c r="B3412" s="6" t="n">
        <v>45992</v>
      </c>
      <c r="C3412" t="n">
        <v>17550</v>
      </c>
      <c r="D3412" t="inlineStr">
        <is>
          <t>Kolkata</t>
        </is>
      </c>
      <c r="E3412" t="inlineStr">
        <is>
          <t>East</t>
        </is>
      </c>
      <c r="F3412" t="inlineStr">
        <is>
          <t>Paid Search</t>
        </is>
      </c>
      <c r="G3412" t="inlineStr">
        <is>
          <t>Mobile Web</t>
        </is>
      </c>
      <c r="H3412" t="inlineStr">
        <is>
          <t>Credit Card</t>
        </is>
      </c>
      <c r="I3412" t="inlineStr">
        <is>
          <t>Delivered</t>
        </is>
      </c>
      <c r="J3412" t="n">
        <v>133</v>
      </c>
      <c r="K3412" t="n">
        <v>1</v>
      </c>
      <c r="L3412" s="7" t="n">
        <v>419</v>
      </c>
      <c r="M3412" s="7" t="n">
        <v>20.95</v>
      </c>
    </row>
    <row r="3413">
      <c r="A3413" t="n">
        <v>511206</v>
      </c>
      <c r="B3413" s="6" t="n">
        <v>45992</v>
      </c>
      <c r="C3413" t="n">
        <v>17583</v>
      </c>
      <c r="D3413" t="inlineStr">
        <is>
          <t>Bengaluru</t>
        </is>
      </c>
      <c r="E3413" t="inlineStr">
        <is>
          <t>South</t>
        </is>
      </c>
      <c r="F3413" t="inlineStr">
        <is>
          <t>Referral</t>
        </is>
      </c>
      <c r="G3413" t="inlineStr">
        <is>
          <t>Mobile App</t>
        </is>
      </c>
      <c r="H3413" t="inlineStr">
        <is>
          <t>Debit Card</t>
        </is>
      </c>
      <c r="I3413" t="inlineStr">
        <is>
          <t>Delivered</t>
        </is>
      </c>
      <c r="J3413" t="n">
        <v>114</v>
      </c>
      <c r="K3413" t="n">
        <v>1</v>
      </c>
      <c r="L3413" s="7" t="n">
        <v>1259</v>
      </c>
      <c r="M3413" s="7" t="n">
        <v>0</v>
      </c>
    </row>
    <row r="3414">
      <c r="A3414" t="n">
        <v>511207</v>
      </c>
      <c r="B3414" s="6" t="n">
        <v>45993</v>
      </c>
      <c r="C3414" t="n">
        <v>17506</v>
      </c>
      <c r="D3414" t="inlineStr">
        <is>
          <t>Noida</t>
        </is>
      </c>
      <c r="E3414" t="inlineStr">
        <is>
          <t>North</t>
        </is>
      </c>
      <c r="F3414" t="inlineStr">
        <is>
          <t>Paid Social</t>
        </is>
      </c>
      <c r="G3414" t="inlineStr">
        <is>
          <t>Mobile App</t>
        </is>
      </c>
      <c r="H3414" t="inlineStr">
        <is>
          <t>Cash on Delivery</t>
        </is>
      </c>
      <c r="I3414" t="inlineStr">
        <is>
          <t>Cancelled</t>
        </is>
      </c>
      <c r="J3414" t="n">
        <v>123</v>
      </c>
      <c r="K3414" t="n">
        <v>1</v>
      </c>
      <c r="L3414" s="7" t="n">
        <v>3464</v>
      </c>
      <c r="M3414" s="7" t="n">
        <v>0</v>
      </c>
    </row>
    <row r="3415">
      <c r="A3415" t="n">
        <v>511207</v>
      </c>
      <c r="B3415" s="6" t="n">
        <v>45993</v>
      </c>
      <c r="C3415" t="n">
        <v>17506</v>
      </c>
      <c r="D3415" t="inlineStr">
        <is>
          <t>Noida</t>
        </is>
      </c>
      <c r="E3415" t="inlineStr">
        <is>
          <t>North</t>
        </is>
      </c>
      <c r="F3415" t="inlineStr">
        <is>
          <t>Paid Social</t>
        </is>
      </c>
      <c r="G3415" t="inlineStr">
        <is>
          <t>Mobile App</t>
        </is>
      </c>
      <c r="H3415" t="inlineStr">
        <is>
          <t>Cash on Delivery</t>
        </is>
      </c>
      <c r="I3415" t="inlineStr">
        <is>
          <t>Cancelled</t>
        </is>
      </c>
      <c r="J3415" t="n">
        <v>133</v>
      </c>
      <c r="K3415" t="n">
        <v>1</v>
      </c>
      <c r="L3415" s="7" t="n">
        <v>419</v>
      </c>
      <c r="M3415" s="7" t="n">
        <v>0</v>
      </c>
    </row>
    <row r="3416">
      <c r="A3416" t="n">
        <v>511207</v>
      </c>
      <c r="B3416" s="6" t="n">
        <v>45993</v>
      </c>
      <c r="C3416" t="n">
        <v>17506</v>
      </c>
      <c r="D3416" t="inlineStr">
        <is>
          <t>Noida</t>
        </is>
      </c>
      <c r="E3416" t="inlineStr">
        <is>
          <t>North</t>
        </is>
      </c>
      <c r="F3416" t="inlineStr">
        <is>
          <t>Paid Social</t>
        </is>
      </c>
      <c r="G3416" t="inlineStr">
        <is>
          <t>Mobile App</t>
        </is>
      </c>
      <c r="H3416" t="inlineStr">
        <is>
          <t>Cash on Delivery</t>
        </is>
      </c>
      <c r="I3416" t="inlineStr">
        <is>
          <t>Cancelled</t>
        </is>
      </c>
      <c r="J3416" t="n">
        <v>127</v>
      </c>
      <c r="K3416" t="n">
        <v>2</v>
      </c>
      <c r="L3416" s="7" t="n">
        <v>681</v>
      </c>
      <c r="M3416" s="7" t="n">
        <v>0</v>
      </c>
    </row>
    <row r="3417">
      <c r="A3417" t="n">
        <v>511207</v>
      </c>
      <c r="B3417" s="6" t="n">
        <v>45993</v>
      </c>
      <c r="C3417" t="n">
        <v>17506</v>
      </c>
      <c r="D3417" t="inlineStr">
        <is>
          <t>Noida</t>
        </is>
      </c>
      <c r="E3417" t="inlineStr">
        <is>
          <t>North</t>
        </is>
      </c>
      <c r="F3417" t="inlineStr">
        <is>
          <t>Paid Social</t>
        </is>
      </c>
      <c r="G3417" t="inlineStr">
        <is>
          <t>Mobile App</t>
        </is>
      </c>
      <c r="H3417" t="inlineStr">
        <is>
          <t>Cash on Delivery</t>
        </is>
      </c>
      <c r="I3417" t="inlineStr">
        <is>
          <t>Cancelled</t>
        </is>
      </c>
      <c r="J3417" t="n">
        <v>103</v>
      </c>
      <c r="K3417" t="n">
        <v>1</v>
      </c>
      <c r="L3417" s="7" t="n">
        <v>2624</v>
      </c>
      <c r="M3417" s="7" t="n">
        <v>0</v>
      </c>
    </row>
    <row r="3418">
      <c r="A3418" t="n">
        <v>511208</v>
      </c>
      <c r="B3418" s="6" t="n">
        <v>45993</v>
      </c>
      <c r="C3418" t="n">
        <v>16347</v>
      </c>
      <c r="D3418" t="inlineStr">
        <is>
          <t>Mumbai</t>
        </is>
      </c>
      <c r="E3418" t="inlineStr">
        <is>
          <t>West</t>
        </is>
      </c>
      <c r="F3418" t="inlineStr">
        <is>
          <t>Referral</t>
        </is>
      </c>
      <c r="G3418" t="inlineStr">
        <is>
          <t>Mobile App</t>
        </is>
      </c>
      <c r="H3418" t="inlineStr">
        <is>
          <t>Net Banking</t>
        </is>
      </c>
      <c r="I3418" t="inlineStr">
        <is>
          <t>Delivered</t>
        </is>
      </c>
      <c r="J3418" t="n">
        <v>113</v>
      </c>
      <c r="K3418" t="n">
        <v>1</v>
      </c>
      <c r="L3418" s="7" t="n">
        <v>1364</v>
      </c>
      <c r="M3418" s="7" t="n">
        <v>68.2</v>
      </c>
    </row>
    <row r="3419">
      <c r="A3419" t="n">
        <v>511208</v>
      </c>
      <c r="B3419" s="6" t="n">
        <v>45993</v>
      </c>
      <c r="C3419" t="n">
        <v>16347</v>
      </c>
      <c r="D3419" t="inlineStr">
        <is>
          <t>Mumbai</t>
        </is>
      </c>
      <c r="E3419" t="inlineStr">
        <is>
          <t>West</t>
        </is>
      </c>
      <c r="F3419" t="inlineStr">
        <is>
          <t>Referral</t>
        </is>
      </c>
      <c r="G3419" t="inlineStr">
        <is>
          <t>Mobile App</t>
        </is>
      </c>
      <c r="H3419" t="inlineStr">
        <is>
          <t>Net Banking</t>
        </is>
      </c>
      <c r="I3419" t="inlineStr">
        <is>
          <t>Delivered</t>
        </is>
      </c>
      <c r="J3419" t="n">
        <v>137</v>
      </c>
      <c r="K3419" t="n">
        <v>1</v>
      </c>
      <c r="L3419" s="7" t="n">
        <v>261</v>
      </c>
      <c r="M3419" s="7" t="n">
        <v>13.05</v>
      </c>
    </row>
    <row r="3420">
      <c r="A3420" t="n">
        <v>511209</v>
      </c>
      <c r="B3420" s="6" t="n">
        <v>45993</v>
      </c>
      <c r="C3420" t="n">
        <v>16644</v>
      </c>
      <c r="D3420" t="inlineStr">
        <is>
          <t>Pune</t>
        </is>
      </c>
      <c r="E3420" t="inlineStr">
        <is>
          <t>West</t>
        </is>
      </c>
      <c r="F3420" t="inlineStr">
        <is>
          <t>Organic Search</t>
        </is>
      </c>
      <c r="G3420" t="inlineStr">
        <is>
          <t>Mobile Web</t>
        </is>
      </c>
      <c r="H3420" t="inlineStr">
        <is>
          <t>UPI</t>
        </is>
      </c>
      <c r="I3420" t="inlineStr">
        <is>
          <t>Delivered</t>
        </is>
      </c>
      <c r="J3420" t="n">
        <v>145</v>
      </c>
      <c r="K3420" t="n">
        <v>1</v>
      </c>
      <c r="L3420" s="7" t="n">
        <v>629</v>
      </c>
      <c r="M3420" s="7" t="n">
        <v>0</v>
      </c>
    </row>
    <row r="3421">
      <c r="A3421" t="n">
        <v>511210</v>
      </c>
      <c r="B3421" s="6" t="n">
        <v>45993</v>
      </c>
      <c r="C3421" t="n">
        <v>17593</v>
      </c>
      <c r="D3421" t="inlineStr">
        <is>
          <t>Gurugram</t>
        </is>
      </c>
      <c r="E3421" t="inlineStr">
        <is>
          <t>North</t>
        </is>
      </c>
      <c r="F3421" t="inlineStr">
        <is>
          <t>Paid Search</t>
        </is>
      </c>
      <c r="G3421" t="inlineStr">
        <is>
          <t>Mobile App</t>
        </is>
      </c>
      <c r="H3421" t="inlineStr">
        <is>
          <t>Cash on Delivery</t>
        </is>
      </c>
      <c r="I3421" t="inlineStr">
        <is>
          <t>Delivered</t>
        </is>
      </c>
      <c r="J3421" t="n">
        <v>125</v>
      </c>
      <c r="K3421" t="n">
        <v>1</v>
      </c>
      <c r="L3421" s="7" t="n">
        <v>1364</v>
      </c>
      <c r="M3421" s="7" t="n">
        <v>0</v>
      </c>
    </row>
    <row r="3422">
      <c r="A3422" t="n">
        <v>511211</v>
      </c>
      <c r="B3422" s="6" t="n">
        <v>45993</v>
      </c>
      <c r="C3422" t="n">
        <v>11850</v>
      </c>
      <c r="D3422" t="inlineStr">
        <is>
          <t>Bengaluru</t>
        </is>
      </c>
      <c r="E3422" t="inlineStr">
        <is>
          <t>South</t>
        </is>
      </c>
      <c r="F3422" t="inlineStr">
        <is>
          <t>Paid Social</t>
        </is>
      </c>
      <c r="G3422" t="inlineStr">
        <is>
          <t>Mobile App</t>
        </is>
      </c>
      <c r="H3422" t="inlineStr">
        <is>
          <t>Credit Card</t>
        </is>
      </c>
      <c r="I3422" t="inlineStr">
        <is>
          <t>Delivered</t>
        </is>
      </c>
      <c r="J3422" t="n">
        <v>130</v>
      </c>
      <c r="K3422" t="n">
        <v>1</v>
      </c>
      <c r="L3422" s="7" t="n">
        <v>734</v>
      </c>
      <c r="M3422" s="7" t="n">
        <v>0</v>
      </c>
    </row>
    <row r="3423">
      <c r="A3423" t="n">
        <v>511211</v>
      </c>
      <c r="B3423" s="6" t="n">
        <v>45993</v>
      </c>
      <c r="C3423" t="n">
        <v>11850</v>
      </c>
      <c r="D3423" t="inlineStr">
        <is>
          <t>Bengaluru</t>
        </is>
      </c>
      <c r="E3423" t="inlineStr">
        <is>
          <t>South</t>
        </is>
      </c>
      <c r="F3423" t="inlineStr">
        <is>
          <t>Paid Social</t>
        </is>
      </c>
      <c r="G3423" t="inlineStr">
        <is>
          <t>Mobile App</t>
        </is>
      </c>
      <c r="H3423" t="inlineStr">
        <is>
          <t>Credit Card</t>
        </is>
      </c>
      <c r="I3423" t="inlineStr">
        <is>
          <t>Delivered</t>
        </is>
      </c>
      <c r="J3423" t="n">
        <v>114</v>
      </c>
      <c r="K3423" t="n">
        <v>1</v>
      </c>
      <c r="L3423" s="7" t="n">
        <v>1259</v>
      </c>
      <c r="M3423" s="7" t="n">
        <v>0</v>
      </c>
    </row>
    <row r="3424">
      <c r="A3424" t="n">
        <v>511212</v>
      </c>
      <c r="B3424" s="6" t="n">
        <v>45993</v>
      </c>
      <c r="C3424" t="n">
        <v>14486</v>
      </c>
      <c r="D3424" t="inlineStr">
        <is>
          <t>Gurugram</t>
        </is>
      </c>
      <c r="E3424" t="inlineStr">
        <is>
          <t>North</t>
        </is>
      </c>
      <c r="F3424" t="inlineStr">
        <is>
          <t>Referral</t>
        </is>
      </c>
      <c r="G3424" t="inlineStr">
        <is>
          <t>Mobile App</t>
        </is>
      </c>
      <c r="H3424" t="inlineStr">
        <is>
          <t>Credit Card</t>
        </is>
      </c>
      <c r="I3424" t="inlineStr">
        <is>
          <t>Delivered</t>
        </is>
      </c>
      <c r="J3424" t="n">
        <v>127</v>
      </c>
      <c r="K3424" t="n">
        <v>3</v>
      </c>
      <c r="L3424" s="7" t="n">
        <v>681</v>
      </c>
      <c r="M3424" s="7" t="n">
        <v>102.15</v>
      </c>
    </row>
    <row r="3425">
      <c r="A3425" t="n">
        <v>511213</v>
      </c>
      <c r="B3425" s="6" t="n">
        <v>45993</v>
      </c>
      <c r="C3425" t="n">
        <v>15360</v>
      </c>
      <c r="D3425" t="inlineStr">
        <is>
          <t>Jaipur</t>
        </is>
      </c>
      <c r="E3425" t="inlineStr">
        <is>
          <t>North</t>
        </is>
      </c>
      <c r="F3425" t="inlineStr">
        <is>
          <t>Email</t>
        </is>
      </c>
      <c r="G3425" t="inlineStr">
        <is>
          <t>Mobile App</t>
        </is>
      </c>
      <c r="H3425" t="inlineStr">
        <is>
          <t>UPI</t>
        </is>
      </c>
      <c r="I3425" t="inlineStr">
        <is>
          <t>Delivered</t>
        </is>
      </c>
      <c r="J3425" t="n">
        <v>118</v>
      </c>
      <c r="K3425" t="n">
        <v>1</v>
      </c>
      <c r="L3425" s="7" t="n">
        <v>944</v>
      </c>
      <c r="M3425" s="7" t="n">
        <v>0</v>
      </c>
    </row>
    <row r="3426">
      <c r="A3426" t="n">
        <v>511213</v>
      </c>
      <c r="B3426" s="6" t="n">
        <v>45993</v>
      </c>
      <c r="C3426" t="n">
        <v>15360</v>
      </c>
      <c r="D3426" t="inlineStr">
        <is>
          <t>Jaipur</t>
        </is>
      </c>
      <c r="E3426" t="inlineStr">
        <is>
          <t>North</t>
        </is>
      </c>
      <c r="F3426" t="inlineStr">
        <is>
          <t>Email</t>
        </is>
      </c>
      <c r="G3426" t="inlineStr">
        <is>
          <t>Mobile App</t>
        </is>
      </c>
      <c r="H3426" t="inlineStr">
        <is>
          <t>UPI</t>
        </is>
      </c>
      <c r="I3426" t="inlineStr">
        <is>
          <t>Delivered</t>
        </is>
      </c>
      <c r="J3426" t="n">
        <v>138</v>
      </c>
      <c r="K3426" t="n">
        <v>1</v>
      </c>
      <c r="L3426" s="7" t="n">
        <v>419</v>
      </c>
      <c r="M3426" s="7" t="n">
        <v>0</v>
      </c>
    </row>
    <row r="3427">
      <c r="A3427" t="n">
        <v>511214</v>
      </c>
      <c r="B3427" s="6" t="n">
        <v>45993</v>
      </c>
      <c r="C3427" t="n">
        <v>17557</v>
      </c>
      <c r="D3427" t="inlineStr">
        <is>
          <t>Hyderabad</t>
        </is>
      </c>
      <c r="E3427" t="inlineStr">
        <is>
          <t>South</t>
        </is>
      </c>
      <c r="F3427" t="inlineStr">
        <is>
          <t>Organic Search</t>
        </is>
      </c>
      <c r="G3427" t="inlineStr">
        <is>
          <t>Mobile App</t>
        </is>
      </c>
      <c r="H3427" t="inlineStr">
        <is>
          <t>UPI</t>
        </is>
      </c>
      <c r="I3427" t="inlineStr">
        <is>
          <t>Delivered</t>
        </is>
      </c>
      <c r="J3427" t="n">
        <v>128</v>
      </c>
      <c r="K3427" t="n">
        <v>1</v>
      </c>
      <c r="L3427" s="7" t="n">
        <v>1049</v>
      </c>
      <c r="M3427" s="7" t="n">
        <v>52.45</v>
      </c>
    </row>
    <row r="3428">
      <c r="A3428" t="n">
        <v>511215</v>
      </c>
      <c r="B3428" s="6" t="n">
        <v>45993</v>
      </c>
      <c r="C3428" t="n">
        <v>16742</v>
      </c>
      <c r="D3428" t="inlineStr">
        <is>
          <t>Jaipur</t>
        </is>
      </c>
      <c r="E3428" t="inlineStr">
        <is>
          <t>North</t>
        </is>
      </c>
      <c r="F3428" t="inlineStr">
        <is>
          <t>Email</t>
        </is>
      </c>
      <c r="G3428" t="inlineStr">
        <is>
          <t>Desktop</t>
        </is>
      </c>
      <c r="H3428" t="inlineStr">
        <is>
          <t>UPI</t>
        </is>
      </c>
      <c r="I3428" t="inlineStr">
        <is>
          <t>Delivered</t>
        </is>
      </c>
      <c r="J3428" t="n">
        <v>111</v>
      </c>
      <c r="K3428" t="n">
        <v>1</v>
      </c>
      <c r="L3428" s="7" t="n">
        <v>524</v>
      </c>
      <c r="M3428" s="7" t="n">
        <v>0</v>
      </c>
    </row>
    <row r="3429">
      <c r="A3429" t="n">
        <v>511215</v>
      </c>
      <c r="B3429" s="6" t="n">
        <v>45993</v>
      </c>
      <c r="C3429" t="n">
        <v>16742</v>
      </c>
      <c r="D3429" t="inlineStr">
        <is>
          <t>Jaipur</t>
        </is>
      </c>
      <c r="E3429" t="inlineStr">
        <is>
          <t>North</t>
        </is>
      </c>
      <c r="F3429" t="inlineStr">
        <is>
          <t>Email</t>
        </is>
      </c>
      <c r="G3429" t="inlineStr">
        <is>
          <t>Desktop</t>
        </is>
      </c>
      <c r="H3429" t="inlineStr">
        <is>
          <t>UPI</t>
        </is>
      </c>
      <c r="I3429" t="inlineStr">
        <is>
          <t>Delivered</t>
        </is>
      </c>
      <c r="J3429" t="n">
        <v>132</v>
      </c>
      <c r="K3429" t="n">
        <v>1</v>
      </c>
      <c r="L3429" s="7" t="n">
        <v>471</v>
      </c>
      <c r="M3429" s="7" t="n">
        <v>0</v>
      </c>
    </row>
    <row r="3430">
      <c r="A3430" t="n">
        <v>511216</v>
      </c>
      <c r="B3430" s="6" t="n">
        <v>45993</v>
      </c>
      <c r="C3430" t="n">
        <v>17568</v>
      </c>
      <c r="D3430" t="inlineStr">
        <is>
          <t>Delhi</t>
        </is>
      </c>
      <c r="E3430" t="inlineStr">
        <is>
          <t>North</t>
        </is>
      </c>
      <c r="F3430" t="inlineStr">
        <is>
          <t>Paid Social</t>
        </is>
      </c>
      <c r="G3430" t="inlineStr">
        <is>
          <t>Mobile Web</t>
        </is>
      </c>
      <c r="H3430" t="inlineStr">
        <is>
          <t>Cash on Delivery</t>
        </is>
      </c>
      <c r="I3430" t="inlineStr">
        <is>
          <t>Cancelled</t>
        </is>
      </c>
      <c r="J3430" t="n">
        <v>107</v>
      </c>
      <c r="K3430" t="n">
        <v>1</v>
      </c>
      <c r="L3430" s="7" t="n">
        <v>1259</v>
      </c>
      <c r="M3430" s="7" t="n">
        <v>0</v>
      </c>
    </row>
    <row r="3431">
      <c r="A3431" t="n">
        <v>511216</v>
      </c>
      <c r="B3431" s="6" t="n">
        <v>45993</v>
      </c>
      <c r="C3431" t="n">
        <v>17568</v>
      </c>
      <c r="D3431" t="inlineStr">
        <is>
          <t>Delhi</t>
        </is>
      </c>
      <c r="E3431" t="inlineStr">
        <is>
          <t>North</t>
        </is>
      </c>
      <c r="F3431" t="inlineStr">
        <is>
          <t>Paid Social</t>
        </is>
      </c>
      <c r="G3431" t="inlineStr">
        <is>
          <t>Mobile Web</t>
        </is>
      </c>
      <c r="H3431" t="inlineStr">
        <is>
          <t>Cash on Delivery</t>
        </is>
      </c>
      <c r="I3431" t="inlineStr">
        <is>
          <t>Cancelled</t>
        </is>
      </c>
      <c r="J3431" t="n">
        <v>118</v>
      </c>
      <c r="K3431" t="n">
        <v>1</v>
      </c>
      <c r="L3431" s="7" t="n">
        <v>944</v>
      </c>
      <c r="M3431" s="7" t="n">
        <v>0</v>
      </c>
    </row>
    <row r="3432">
      <c r="A3432" t="n">
        <v>511217</v>
      </c>
      <c r="B3432" s="6" t="n">
        <v>45993</v>
      </c>
      <c r="C3432" t="n">
        <v>17576</v>
      </c>
      <c r="D3432" t="inlineStr">
        <is>
          <t>Mumbai</t>
        </is>
      </c>
      <c r="E3432" t="inlineStr">
        <is>
          <t>West</t>
        </is>
      </c>
      <c r="F3432" t="inlineStr">
        <is>
          <t>Affiliate</t>
        </is>
      </c>
      <c r="G3432" t="inlineStr">
        <is>
          <t>Mobile App</t>
        </is>
      </c>
      <c r="H3432" t="inlineStr">
        <is>
          <t>UPI</t>
        </is>
      </c>
      <c r="I3432" t="inlineStr">
        <is>
          <t>Delivered</t>
        </is>
      </c>
      <c r="J3432" t="n">
        <v>137</v>
      </c>
      <c r="K3432" t="n">
        <v>2</v>
      </c>
      <c r="L3432" s="7" t="n">
        <v>261</v>
      </c>
      <c r="M3432" s="7" t="n">
        <v>78.3</v>
      </c>
    </row>
    <row r="3433">
      <c r="A3433" t="n">
        <v>511218</v>
      </c>
      <c r="B3433" s="6" t="n">
        <v>45993</v>
      </c>
      <c r="C3433" t="n">
        <v>12589</v>
      </c>
      <c r="D3433" t="inlineStr">
        <is>
          <t>Bengaluru</t>
        </is>
      </c>
      <c r="E3433" t="inlineStr">
        <is>
          <t>South</t>
        </is>
      </c>
      <c r="F3433" t="inlineStr">
        <is>
          <t>Organic Search</t>
        </is>
      </c>
      <c r="G3433" t="inlineStr">
        <is>
          <t>Mobile App</t>
        </is>
      </c>
      <c r="H3433" t="inlineStr">
        <is>
          <t>UPI</t>
        </is>
      </c>
      <c r="I3433" t="inlineStr">
        <is>
          <t>Delivered</t>
        </is>
      </c>
      <c r="J3433" t="n">
        <v>104</v>
      </c>
      <c r="K3433" t="n">
        <v>1</v>
      </c>
      <c r="L3433" s="7" t="n">
        <v>5249</v>
      </c>
      <c r="M3433" s="7" t="n">
        <v>0</v>
      </c>
    </row>
    <row r="3434">
      <c r="A3434" t="n">
        <v>511219</v>
      </c>
      <c r="B3434" s="6" t="n">
        <v>45993</v>
      </c>
      <c r="C3434" t="n">
        <v>14189</v>
      </c>
      <c r="D3434" t="inlineStr">
        <is>
          <t>Pune</t>
        </is>
      </c>
      <c r="E3434" t="inlineStr">
        <is>
          <t>West</t>
        </is>
      </c>
      <c r="F3434" t="inlineStr">
        <is>
          <t>Referral</t>
        </is>
      </c>
      <c r="G3434" t="inlineStr">
        <is>
          <t>Mobile App</t>
        </is>
      </c>
      <c r="H3434" t="inlineStr">
        <is>
          <t>Net Banking</t>
        </is>
      </c>
      <c r="I3434" t="inlineStr">
        <is>
          <t>Delivered</t>
        </is>
      </c>
      <c r="J3434" t="n">
        <v>110</v>
      </c>
      <c r="K3434" t="n">
        <v>1</v>
      </c>
      <c r="L3434" s="7" t="n">
        <v>839</v>
      </c>
      <c r="M3434" s="7" t="n">
        <v>0</v>
      </c>
    </row>
    <row r="3435">
      <c r="A3435" t="n">
        <v>511220</v>
      </c>
      <c r="B3435" s="6" t="n">
        <v>45994</v>
      </c>
      <c r="C3435" t="n">
        <v>16713</v>
      </c>
      <c r="D3435" t="inlineStr">
        <is>
          <t>Mumbai</t>
        </is>
      </c>
      <c r="E3435" t="inlineStr">
        <is>
          <t>West</t>
        </is>
      </c>
      <c r="F3435" t="inlineStr">
        <is>
          <t>Email</t>
        </is>
      </c>
      <c r="G3435" t="inlineStr">
        <is>
          <t>Mobile App</t>
        </is>
      </c>
      <c r="H3435" t="inlineStr">
        <is>
          <t>Debit Card</t>
        </is>
      </c>
      <c r="I3435" t="inlineStr">
        <is>
          <t>Delivered</t>
        </is>
      </c>
      <c r="J3435" t="n">
        <v>111</v>
      </c>
      <c r="K3435" t="n">
        <v>3</v>
      </c>
      <c r="L3435" s="7" t="n">
        <v>524</v>
      </c>
      <c r="M3435" s="7" t="n">
        <v>0</v>
      </c>
    </row>
    <row r="3436">
      <c r="A3436" t="n">
        <v>511221</v>
      </c>
      <c r="B3436" s="6" t="n">
        <v>45994</v>
      </c>
      <c r="C3436" t="n">
        <v>17597</v>
      </c>
      <c r="D3436" t="inlineStr">
        <is>
          <t>Ahmedabad</t>
        </is>
      </c>
      <c r="E3436" t="inlineStr">
        <is>
          <t>West</t>
        </is>
      </c>
      <c r="F3436" t="inlineStr">
        <is>
          <t>Organic Search</t>
        </is>
      </c>
      <c r="G3436" t="inlineStr">
        <is>
          <t>Mobile Web</t>
        </is>
      </c>
      <c r="H3436" t="inlineStr">
        <is>
          <t>UPI</t>
        </is>
      </c>
      <c r="I3436" t="inlineStr">
        <is>
          <t>Returned</t>
        </is>
      </c>
      <c r="J3436" t="n">
        <v>114</v>
      </c>
      <c r="K3436" t="n">
        <v>2</v>
      </c>
      <c r="L3436" s="7" t="n">
        <v>1259</v>
      </c>
      <c r="M3436" s="7" t="n">
        <v>377.7</v>
      </c>
    </row>
    <row r="3437">
      <c r="A3437" t="n">
        <v>511222</v>
      </c>
      <c r="B3437" s="6" t="n">
        <v>45994</v>
      </c>
      <c r="C3437" t="n">
        <v>17565</v>
      </c>
      <c r="D3437" t="inlineStr">
        <is>
          <t>Gurugram</t>
        </is>
      </c>
      <c r="E3437" t="inlineStr">
        <is>
          <t>North</t>
        </is>
      </c>
      <c r="F3437" t="inlineStr">
        <is>
          <t>Referral</t>
        </is>
      </c>
      <c r="G3437" t="inlineStr">
        <is>
          <t>Mobile App</t>
        </is>
      </c>
      <c r="H3437" t="inlineStr">
        <is>
          <t>UPI</t>
        </is>
      </c>
      <c r="I3437" t="inlineStr">
        <is>
          <t>Delivered</t>
        </is>
      </c>
      <c r="J3437" t="n">
        <v>107</v>
      </c>
      <c r="K3437" t="n">
        <v>1</v>
      </c>
      <c r="L3437" s="7" t="n">
        <v>1259</v>
      </c>
      <c r="M3437" s="7" t="n">
        <v>0</v>
      </c>
    </row>
    <row r="3438">
      <c r="A3438" t="n">
        <v>511223</v>
      </c>
      <c r="B3438" s="6" t="n">
        <v>45994</v>
      </c>
      <c r="C3438" t="n">
        <v>17615</v>
      </c>
      <c r="D3438" t="inlineStr">
        <is>
          <t>Gurugram</t>
        </is>
      </c>
      <c r="E3438" t="inlineStr">
        <is>
          <t>North</t>
        </is>
      </c>
      <c r="F3438" t="inlineStr">
        <is>
          <t>Affiliate</t>
        </is>
      </c>
      <c r="G3438" t="inlineStr">
        <is>
          <t>Desktop</t>
        </is>
      </c>
      <c r="H3438" t="inlineStr">
        <is>
          <t>Cash on Delivery</t>
        </is>
      </c>
      <c r="I3438" t="inlineStr">
        <is>
          <t>Delivered</t>
        </is>
      </c>
      <c r="J3438" t="n">
        <v>140</v>
      </c>
      <c r="K3438" t="n">
        <v>1</v>
      </c>
      <c r="L3438" s="7" t="n">
        <v>629</v>
      </c>
      <c r="M3438" s="7" t="n">
        <v>94.34999999999999</v>
      </c>
    </row>
    <row r="3439">
      <c r="A3439" t="n">
        <v>511224</v>
      </c>
      <c r="B3439" s="6" t="n">
        <v>45994</v>
      </c>
      <c r="C3439" t="n">
        <v>17604</v>
      </c>
      <c r="D3439" t="inlineStr">
        <is>
          <t>Chandigarh</t>
        </is>
      </c>
      <c r="E3439" t="inlineStr">
        <is>
          <t>North</t>
        </is>
      </c>
      <c r="F3439" t="inlineStr">
        <is>
          <t>Paid Search</t>
        </is>
      </c>
      <c r="G3439" t="inlineStr">
        <is>
          <t>Mobile App</t>
        </is>
      </c>
      <c r="H3439" t="inlineStr">
        <is>
          <t>Debit Card</t>
        </is>
      </c>
      <c r="I3439" t="inlineStr">
        <is>
          <t>Delivered</t>
        </is>
      </c>
      <c r="J3439" t="n">
        <v>111</v>
      </c>
      <c r="K3439" t="n">
        <v>1</v>
      </c>
      <c r="L3439" s="7" t="n">
        <v>524</v>
      </c>
      <c r="M3439" s="7" t="n">
        <v>0</v>
      </c>
    </row>
    <row r="3440">
      <c r="A3440" t="n">
        <v>511225</v>
      </c>
      <c r="B3440" s="6" t="n">
        <v>45994</v>
      </c>
      <c r="C3440" t="n">
        <v>17577</v>
      </c>
      <c r="D3440" t="inlineStr">
        <is>
          <t>Kolkata</t>
        </is>
      </c>
      <c r="E3440" t="inlineStr">
        <is>
          <t>East</t>
        </is>
      </c>
      <c r="F3440" t="inlineStr">
        <is>
          <t>Organic Search</t>
        </is>
      </c>
      <c r="G3440" t="inlineStr">
        <is>
          <t>Mobile App</t>
        </is>
      </c>
      <c r="H3440" t="inlineStr">
        <is>
          <t>Cash on Delivery</t>
        </is>
      </c>
      <c r="I3440" t="inlineStr">
        <is>
          <t>Delivered</t>
        </is>
      </c>
      <c r="J3440" t="n">
        <v>101</v>
      </c>
      <c r="K3440" t="n">
        <v>2</v>
      </c>
      <c r="L3440" s="7" t="n">
        <v>2099</v>
      </c>
      <c r="M3440" s="7" t="n">
        <v>0</v>
      </c>
    </row>
    <row r="3441">
      <c r="A3441" t="n">
        <v>511226</v>
      </c>
      <c r="B3441" s="6" t="n">
        <v>45994</v>
      </c>
      <c r="C3441" t="n">
        <v>17457</v>
      </c>
      <c r="D3441" t="inlineStr">
        <is>
          <t>Chennai</t>
        </is>
      </c>
      <c r="E3441" t="inlineStr">
        <is>
          <t>South</t>
        </is>
      </c>
      <c r="F3441" t="inlineStr">
        <is>
          <t>Referral</t>
        </is>
      </c>
      <c r="G3441" t="inlineStr">
        <is>
          <t>Mobile Web</t>
        </is>
      </c>
      <c r="H3441" t="inlineStr">
        <is>
          <t>Debit Card</t>
        </is>
      </c>
      <c r="I3441" t="inlineStr">
        <is>
          <t>Delivered</t>
        </is>
      </c>
      <c r="J3441" t="n">
        <v>105</v>
      </c>
      <c r="K3441" t="n">
        <v>2</v>
      </c>
      <c r="L3441" s="7" t="n">
        <v>2414</v>
      </c>
      <c r="M3441" s="7" t="n">
        <v>0</v>
      </c>
    </row>
    <row r="3442">
      <c r="A3442" t="n">
        <v>511227</v>
      </c>
      <c r="B3442" s="6" t="n">
        <v>45994</v>
      </c>
      <c r="C3442" t="n">
        <v>16412</v>
      </c>
      <c r="D3442" t="inlineStr">
        <is>
          <t>Kolkata</t>
        </is>
      </c>
      <c r="E3442" t="inlineStr">
        <is>
          <t>East</t>
        </is>
      </c>
      <c r="F3442" t="inlineStr">
        <is>
          <t>Organic Search</t>
        </is>
      </c>
      <c r="G3442" t="inlineStr">
        <is>
          <t>Mobile Web</t>
        </is>
      </c>
      <c r="H3442" t="inlineStr">
        <is>
          <t>Cash on Delivery</t>
        </is>
      </c>
      <c r="I3442" t="inlineStr">
        <is>
          <t>Delivered</t>
        </is>
      </c>
      <c r="J3442" t="n">
        <v>117</v>
      </c>
      <c r="K3442" t="n">
        <v>1</v>
      </c>
      <c r="L3442" s="7" t="n">
        <v>3149</v>
      </c>
      <c r="M3442" s="7" t="n">
        <v>0</v>
      </c>
    </row>
    <row r="3443">
      <c r="A3443" t="n">
        <v>511228</v>
      </c>
      <c r="B3443" s="6" t="n">
        <v>45994</v>
      </c>
      <c r="C3443" t="n">
        <v>17605</v>
      </c>
      <c r="D3443" t="inlineStr">
        <is>
          <t>Pune</t>
        </is>
      </c>
      <c r="E3443" t="inlineStr">
        <is>
          <t>West</t>
        </is>
      </c>
      <c r="F3443" t="inlineStr">
        <is>
          <t>Affiliate</t>
        </is>
      </c>
      <c r="G3443" t="inlineStr">
        <is>
          <t>Mobile App</t>
        </is>
      </c>
      <c r="H3443" t="inlineStr">
        <is>
          <t>Cash on Delivery</t>
        </is>
      </c>
      <c r="I3443" t="inlineStr">
        <is>
          <t>Delivered</t>
        </is>
      </c>
      <c r="J3443" t="n">
        <v>118</v>
      </c>
      <c r="K3443" t="n">
        <v>1</v>
      </c>
      <c r="L3443" s="7" t="n">
        <v>944</v>
      </c>
      <c r="M3443" s="7" t="n">
        <v>141.6</v>
      </c>
    </row>
    <row r="3444">
      <c r="A3444" t="n">
        <v>511228</v>
      </c>
      <c r="B3444" s="6" t="n">
        <v>45994</v>
      </c>
      <c r="C3444" t="n">
        <v>17605</v>
      </c>
      <c r="D3444" t="inlineStr">
        <is>
          <t>Pune</t>
        </is>
      </c>
      <c r="E3444" t="inlineStr">
        <is>
          <t>West</t>
        </is>
      </c>
      <c r="F3444" t="inlineStr">
        <is>
          <t>Affiliate</t>
        </is>
      </c>
      <c r="G3444" t="inlineStr">
        <is>
          <t>Mobile App</t>
        </is>
      </c>
      <c r="H3444" t="inlineStr">
        <is>
          <t>Cash on Delivery</t>
        </is>
      </c>
      <c r="I3444" t="inlineStr">
        <is>
          <t>Delivered</t>
        </is>
      </c>
      <c r="J3444" t="n">
        <v>145</v>
      </c>
      <c r="K3444" t="n">
        <v>1</v>
      </c>
      <c r="L3444" s="7" t="n">
        <v>629</v>
      </c>
      <c r="M3444" s="7" t="n">
        <v>94.34999999999999</v>
      </c>
    </row>
    <row r="3445">
      <c r="A3445" t="n">
        <v>511229</v>
      </c>
      <c r="B3445" s="6" t="n">
        <v>45994</v>
      </c>
      <c r="C3445" t="n">
        <v>17531</v>
      </c>
      <c r="D3445" t="inlineStr">
        <is>
          <t>Bengaluru</t>
        </is>
      </c>
      <c r="E3445" t="inlineStr">
        <is>
          <t>South</t>
        </is>
      </c>
      <c r="F3445" t="inlineStr">
        <is>
          <t>Organic Search</t>
        </is>
      </c>
      <c r="G3445" t="inlineStr">
        <is>
          <t>Desktop</t>
        </is>
      </c>
      <c r="H3445" t="inlineStr">
        <is>
          <t>Cash on Delivery</t>
        </is>
      </c>
      <c r="I3445" t="inlineStr">
        <is>
          <t>Delivered</t>
        </is>
      </c>
      <c r="J3445" t="n">
        <v>136</v>
      </c>
      <c r="K3445" t="n">
        <v>1</v>
      </c>
      <c r="L3445" s="7" t="n">
        <v>944</v>
      </c>
      <c r="M3445" s="7" t="n">
        <v>0</v>
      </c>
    </row>
    <row r="3446">
      <c r="A3446" t="n">
        <v>511230</v>
      </c>
      <c r="B3446" s="6" t="n">
        <v>45994</v>
      </c>
      <c r="C3446" t="n">
        <v>17309</v>
      </c>
      <c r="D3446" t="inlineStr">
        <is>
          <t>Mumbai</t>
        </is>
      </c>
      <c r="E3446" t="inlineStr">
        <is>
          <t>West</t>
        </is>
      </c>
      <c r="F3446" t="inlineStr">
        <is>
          <t>Organic Search</t>
        </is>
      </c>
      <c r="G3446" t="inlineStr">
        <is>
          <t>Mobile Web</t>
        </is>
      </c>
      <c r="H3446" t="inlineStr">
        <is>
          <t>Cash on Delivery</t>
        </is>
      </c>
      <c r="I3446" t="inlineStr">
        <is>
          <t>Delivered</t>
        </is>
      </c>
      <c r="J3446" t="n">
        <v>136</v>
      </c>
      <c r="K3446" t="n">
        <v>1</v>
      </c>
      <c r="L3446" s="7" t="n">
        <v>944</v>
      </c>
      <c r="M3446" s="7" t="n">
        <v>0</v>
      </c>
    </row>
    <row r="3447">
      <c r="A3447" t="n">
        <v>511231</v>
      </c>
      <c r="B3447" s="6" t="n">
        <v>45994</v>
      </c>
      <c r="C3447" t="n">
        <v>17298</v>
      </c>
      <c r="D3447" t="inlineStr">
        <is>
          <t>Kolkata</t>
        </is>
      </c>
      <c r="E3447" t="inlineStr">
        <is>
          <t>East</t>
        </is>
      </c>
      <c r="F3447" t="inlineStr">
        <is>
          <t>Referral</t>
        </is>
      </c>
      <c r="G3447" t="inlineStr">
        <is>
          <t>Mobile App</t>
        </is>
      </c>
      <c r="H3447" t="inlineStr">
        <is>
          <t>Credit Card</t>
        </is>
      </c>
      <c r="I3447" t="inlineStr">
        <is>
          <t>Delivered</t>
        </is>
      </c>
      <c r="J3447" t="n">
        <v>142</v>
      </c>
      <c r="K3447" t="n">
        <v>1</v>
      </c>
      <c r="L3447" s="7" t="n">
        <v>839</v>
      </c>
      <c r="M3447" s="7" t="n">
        <v>0</v>
      </c>
    </row>
    <row r="3448">
      <c r="A3448" t="n">
        <v>511231</v>
      </c>
      <c r="B3448" s="6" t="n">
        <v>45994</v>
      </c>
      <c r="C3448" t="n">
        <v>17298</v>
      </c>
      <c r="D3448" t="inlineStr">
        <is>
          <t>Kolkata</t>
        </is>
      </c>
      <c r="E3448" t="inlineStr">
        <is>
          <t>East</t>
        </is>
      </c>
      <c r="F3448" t="inlineStr">
        <is>
          <t>Referral</t>
        </is>
      </c>
      <c r="G3448" t="inlineStr">
        <is>
          <t>Mobile App</t>
        </is>
      </c>
      <c r="H3448" t="inlineStr">
        <is>
          <t>Credit Card</t>
        </is>
      </c>
      <c r="I3448" t="inlineStr">
        <is>
          <t>Delivered</t>
        </is>
      </c>
      <c r="J3448" t="n">
        <v>138</v>
      </c>
      <c r="K3448" t="n">
        <v>1</v>
      </c>
      <c r="L3448" s="7" t="n">
        <v>419</v>
      </c>
      <c r="M3448" s="7" t="n">
        <v>0</v>
      </c>
    </row>
    <row r="3449">
      <c r="A3449" t="n">
        <v>511232</v>
      </c>
      <c r="B3449" s="6" t="n">
        <v>45994</v>
      </c>
      <c r="C3449" t="n">
        <v>17469</v>
      </c>
      <c r="D3449" t="inlineStr">
        <is>
          <t>Hyderabad</t>
        </is>
      </c>
      <c r="E3449" t="inlineStr">
        <is>
          <t>South</t>
        </is>
      </c>
      <c r="F3449" t="inlineStr">
        <is>
          <t>Referral</t>
        </is>
      </c>
      <c r="G3449" t="inlineStr">
        <is>
          <t>Mobile App</t>
        </is>
      </c>
      <c r="H3449" t="inlineStr">
        <is>
          <t>Cash on Delivery</t>
        </is>
      </c>
      <c r="I3449" t="inlineStr">
        <is>
          <t>Delivered</t>
        </is>
      </c>
      <c r="J3449" t="n">
        <v>121</v>
      </c>
      <c r="K3449" t="n">
        <v>1</v>
      </c>
      <c r="L3449" s="7" t="n">
        <v>2939</v>
      </c>
      <c r="M3449" s="7" t="n">
        <v>440.85</v>
      </c>
    </row>
    <row r="3450">
      <c r="A3450" t="n">
        <v>511232</v>
      </c>
      <c r="B3450" s="6" t="n">
        <v>45994</v>
      </c>
      <c r="C3450" t="n">
        <v>17469</v>
      </c>
      <c r="D3450" t="inlineStr">
        <is>
          <t>Hyderabad</t>
        </is>
      </c>
      <c r="E3450" t="inlineStr">
        <is>
          <t>South</t>
        </is>
      </c>
      <c r="F3450" t="inlineStr">
        <is>
          <t>Referral</t>
        </is>
      </c>
      <c r="G3450" t="inlineStr">
        <is>
          <t>Mobile App</t>
        </is>
      </c>
      <c r="H3450" t="inlineStr">
        <is>
          <t>Cash on Delivery</t>
        </is>
      </c>
      <c r="I3450" t="inlineStr">
        <is>
          <t>Delivered</t>
        </is>
      </c>
      <c r="J3450" t="n">
        <v>123</v>
      </c>
      <c r="K3450" t="n">
        <v>1</v>
      </c>
      <c r="L3450" s="7" t="n">
        <v>3464</v>
      </c>
      <c r="M3450" s="7" t="n">
        <v>519.6</v>
      </c>
    </row>
    <row r="3451">
      <c r="A3451" t="n">
        <v>511233</v>
      </c>
      <c r="B3451" s="6" t="n">
        <v>45994</v>
      </c>
      <c r="C3451" t="n">
        <v>17036</v>
      </c>
      <c r="D3451" t="inlineStr">
        <is>
          <t>Ahmedabad</t>
        </is>
      </c>
      <c r="E3451" t="inlineStr">
        <is>
          <t>West</t>
        </is>
      </c>
      <c r="F3451" t="inlineStr">
        <is>
          <t>Organic Search</t>
        </is>
      </c>
      <c r="G3451" t="inlineStr">
        <is>
          <t>Mobile App</t>
        </is>
      </c>
      <c r="H3451" t="inlineStr">
        <is>
          <t>UPI</t>
        </is>
      </c>
      <c r="I3451" t="inlineStr">
        <is>
          <t>Delivered</t>
        </is>
      </c>
      <c r="J3451" t="n">
        <v>123</v>
      </c>
      <c r="K3451" t="n">
        <v>3</v>
      </c>
      <c r="L3451" s="7" t="n">
        <v>3464</v>
      </c>
      <c r="M3451" s="7" t="n">
        <v>0</v>
      </c>
    </row>
    <row r="3452">
      <c r="A3452" t="n">
        <v>511233</v>
      </c>
      <c r="B3452" s="6" t="n">
        <v>45994</v>
      </c>
      <c r="C3452" t="n">
        <v>17036</v>
      </c>
      <c r="D3452" t="inlineStr">
        <is>
          <t>Ahmedabad</t>
        </is>
      </c>
      <c r="E3452" t="inlineStr">
        <is>
          <t>West</t>
        </is>
      </c>
      <c r="F3452" t="inlineStr">
        <is>
          <t>Organic Search</t>
        </is>
      </c>
      <c r="G3452" t="inlineStr">
        <is>
          <t>Mobile App</t>
        </is>
      </c>
      <c r="H3452" t="inlineStr">
        <is>
          <t>UPI</t>
        </is>
      </c>
      <c r="I3452" t="inlineStr">
        <is>
          <t>Delivered</t>
        </is>
      </c>
      <c r="J3452" t="n">
        <v>122</v>
      </c>
      <c r="K3452" t="n">
        <v>1</v>
      </c>
      <c r="L3452" s="7" t="n">
        <v>1994</v>
      </c>
      <c r="M3452" s="7" t="n">
        <v>0</v>
      </c>
    </row>
    <row r="3453">
      <c r="A3453" t="n">
        <v>511234</v>
      </c>
      <c r="B3453" s="6" t="n">
        <v>45994</v>
      </c>
      <c r="C3453" t="n">
        <v>17580</v>
      </c>
      <c r="D3453" t="inlineStr">
        <is>
          <t>Delhi</t>
        </is>
      </c>
      <c r="E3453" t="inlineStr">
        <is>
          <t>North</t>
        </is>
      </c>
      <c r="F3453" t="inlineStr">
        <is>
          <t>Paid Social</t>
        </is>
      </c>
      <c r="G3453" t="inlineStr">
        <is>
          <t>Mobile App</t>
        </is>
      </c>
      <c r="H3453" t="inlineStr">
        <is>
          <t>Cash on Delivery</t>
        </is>
      </c>
      <c r="I3453" t="inlineStr">
        <is>
          <t>Delivered</t>
        </is>
      </c>
      <c r="J3453" t="n">
        <v>129</v>
      </c>
      <c r="K3453" t="n">
        <v>1</v>
      </c>
      <c r="L3453" s="7" t="n">
        <v>576</v>
      </c>
      <c r="M3453" s="7" t="n">
        <v>86.40000000000001</v>
      </c>
    </row>
    <row r="3454">
      <c r="A3454" t="n">
        <v>511234</v>
      </c>
      <c r="B3454" s="6" t="n">
        <v>45994</v>
      </c>
      <c r="C3454" t="n">
        <v>17580</v>
      </c>
      <c r="D3454" t="inlineStr">
        <is>
          <t>Delhi</t>
        </is>
      </c>
      <c r="E3454" t="inlineStr">
        <is>
          <t>North</t>
        </is>
      </c>
      <c r="F3454" t="inlineStr">
        <is>
          <t>Paid Social</t>
        </is>
      </c>
      <c r="G3454" t="inlineStr">
        <is>
          <t>Mobile App</t>
        </is>
      </c>
      <c r="H3454" t="inlineStr">
        <is>
          <t>Cash on Delivery</t>
        </is>
      </c>
      <c r="I3454" t="inlineStr">
        <is>
          <t>Delivered</t>
        </is>
      </c>
      <c r="J3454" t="n">
        <v>123</v>
      </c>
      <c r="K3454" t="n">
        <v>1</v>
      </c>
      <c r="L3454" s="7" t="n">
        <v>3464</v>
      </c>
      <c r="M3454" s="7" t="n">
        <v>519.6</v>
      </c>
    </row>
    <row r="3455">
      <c r="A3455" t="n">
        <v>511235</v>
      </c>
      <c r="B3455" s="6" t="n">
        <v>45994</v>
      </c>
      <c r="C3455" t="n">
        <v>17587</v>
      </c>
      <c r="D3455" t="inlineStr">
        <is>
          <t>Chennai</t>
        </is>
      </c>
      <c r="E3455" t="inlineStr">
        <is>
          <t>South</t>
        </is>
      </c>
      <c r="F3455" t="inlineStr">
        <is>
          <t>Paid Social</t>
        </is>
      </c>
      <c r="G3455" t="inlineStr">
        <is>
          <t>Mobile App</t>
        </is>
      </c>
      <c r="H3455" t="inlineStr">
        <is>
          <t>Net Banking</t>
        </is>
      </c>
      <c r="I3455" t="inlineStr">
        <is>
          <t>Delivered</t>
        </is>
      </c>
      <c r="J3455" t="n">
        <v>132</v>
      </c>
      <c r="K3455" t="n">
        <v>1</v>
      </c>
      <c r="L3455" s="7" t="n">
        <v>471</v>
      </c>
      <c r="M3455" s="7" t="n">
        <v>0</v>
      </c>
    </row>
    <row r="3456">
      <c r="A3456" t="n">
        <v>511235</v>
      </c>
      <c r="B3456" s="6" t="n">
        <v>45994</v>
      </c>
      <c r="C3456" t="n">
        <v>17587</v>
      </c>
      <c r="D3456" t="inlineStr">
        <is>
          <t>Chennai</t>
        </is>
      </c>
      <c r="E3456" t="inlineStr">
        <is>
          <t>South</t>
        </is>
      </c>
      <c r="F3456" t="inlineStr">
        <is>
          <t>Paid Social</t>
        </is>
      </c>
      <c r="G3456" t="inlineStr">
        <is>
          <t>Mobile App</t>
        </is>
      </c>
      <c r="H3456" t="inlineStr">
        <is>
          <t>Net Banking</t>
        </is>
      </c>
      <c r="I3456" t="inlineStr">
        <is>
          <t>Delivered</t>
        </is>
      </c>
      <c r="J3456" t="n">
        <v>148</v>
      </c>
      <c r="K3456" t="n">
        <v>1</v>
      </c>
      <c r="L3456" s="7" t="n">
        <v>734</v>
      </c>
      <c r="M3456" s="7" t="n">
        <v>0</v>
      </c>
    </row>
    <row r="3457">
      <c r="A3457" t="n">
        <v>511236</v>
      </c>
      <c r="B3457" s="6" t="n">
        <v>45994</v>
      </c>
      <c r="C3457" t="n">
        <v>12659</v>
      </c>
      <c r="D3457" t="inlineStr">
        <is>
          <t>Pune</t>
        </is>
      </c>
      <c r="E3457" t="inlineStr">
        <is>
          <t>West</t>
        </is>
      </c>
      <c r="F3457" t="inlineStr">
        <is>
          <t>Paid Search</t>
        </is>
      </c>
      <c r="G3457" t="inlineStr">
        <is>
          <t>Mobile Web</t>
        </is>
      </c>
      <c r="H3457" t="inlineStr">
        <is>
          <t>Net Banking</t>
        </is>
      </c>
      <c r="I3457" t="inlineStr">
        <is>
          <t>Delivered</t>
        </is>
      </c>
      <c r="J3457" t="n">
        <v>142</v>
      </c>
      <c r="K3457" t="n">
        <v>1</v>
      </c>
      <c r="L3457" s="7" t="n">
        <v>839</v>
      </c>
      <c r="M3457" s="7" t="n">
        <v>0</v>
      </c>
    </row>
    <row r="3458">
      <c r="A3458" t="n">
        <v>511236</v>
      </c>
      <c r="B3458" s="6" t="n">
        <v>45994</v>
      </c>
      <c r="C3458" t="n">
        <v>12659</v>
      </c>
      <c r="D3458" t="inlineStr">
        <is>
          <t>Pune</t>
        </is>
      </c>
      <c r="E3458" t="inlineStr">
        <is>
          <t>West</t>
        </is>
      </c>
      <c r="F3458" t="inlineStr">
        <is>
          <t>Paid Search</t>
        </is>
      </c>
      <c r="G3458" t="inlineStr">
        <is>
          <t>Mobile Web</t>
        </is>
      </c>
      <c r="H3458" t="inlineStr">
        <is>
          <t>Net Banking</t>
        </is>
      </c>
      <c r="I3458" t="inlineStr">
        <is>
          <t>Delivered</t>
        </is>
      </c>
      <c r="J3458" t="n">
        <v>115</v>
      </c>
      <c r="K3458" t="n">
        <v>1</v>
      </c>
      <c r="L3458" s="7" t="n">
        <v>4199</v>
      </c>
      <c r="M3458" s="7" t="n">
        <v>0</v>
      </c>
    </row>
    <row r="3459">
      <c r="A3459" t="n">
        <v>511237</v>
      </c>
      <c r="B3459" s="6" t="n">
        <v>45994</v>
      </c>
      <c r="C3459" t="n">
        <v>15048</v>
      </c>
      <c r="D3459" t="inlineStr">
        <is>
          <t>Bengaluru</t>
        </is>
      </c>
      <c r="E3459" t="inlineStr">
        <is>
          <t>South</t>
        </is>
      </c>
      <c r="F3459" t="inlineStr">
        <is>
          <t>Paid Social</t>
        </is>
      </c>
      <c r="G3459" t="inlineStr">
        <is>
          <t>Mobile App</t>
        </is>
      </c>
      <c r="H3459" t="inlineStr">
        <is>
          <t>UPI</t>
        </is>
      </c>
      <c r="I3459" t="inlineStr">
        <is>
          <t>Delivered</t>
        </is>
      </c>
      <c r="J3459" t="n">
        <v>109</v>
      </c>
      <c r="K3459" t="n">
        <v>1</v>
      </c>
      <c r="L3459" s="7" t="n">
        <v>4199</v>
      </c>
      <c r="M3459" s="7" t="n">
        <v>209.95</v>
      </c>
    </row>
    <row r="3460">
      <c r="A3460" t="n">
        <v>511237</v>
      </c>
      <c r="B3460" s="6" t="n">
        <v>45994</v>
      </c>
      <c r="C3460" t="n">
        <v>15048</v>
      </c>
      <c r="D3460" t="inlineStr">
        <is>
          <t>Bengaluru</t>
        </is>
      </c>
      <c r="E3460" t="inlineStr">
        <is>
          <t>South</t>
        </is>
      </c>
      <c r="F3460" t="inlineStr">
        <is>
          <t>Paid Social</t>
        </is>
      </c>
      <c r="G3460" t="inlineStr">
        <is>
          <t>Mobile App</t>
        </is>
      </c>
      <c r="H3460" t="inlineStr">
        <is>
          <t>UPI</t>
        </is>
      </c>
      <c r="I3460" t="inlineStr">
        <is>
          <t>Delivered</t>
        </is>
      </c>
      <c r="J3460" t="n">
        <v>130</v>
      </c>
      <c r="K3460" t="n">
        <v>1</v>
      </c>
      <c r="L3460" s="7" t="n">
        <v>734</v>
      </c>
      <c r="M3460" s="7" t="n">
        <v>36.7</v>
      </c>
    </row>
    <row r="3461">
      <c r="A3461" t="n">
        <v>511237</v>
      </c>
      <c r="B3461" s="6" t="n">
        <v>45994</v>
      </c>
      <c r="C3461" t="n">
        <v>15048</v>
      </c>
      <c r="D3461" t="inlineStr">
        <is>
          <t>Bengaluru</t>
        </is>
      </c>
      <c r="E3461" t="inlineStr">
        <is>
          <t>South</t>
        </is>
      </c>
      <c r="F3461" t="inlineStr">
        <is>
          <t>Paid Social</t>
        </is>
      </c>
      <c r="G3461" t="inlineStr">
        <is>
          <t>Mobile App</t>
        </is>
      </c>
      <c r="H3461" t="inlineStr">
        <is>
          <t>UPI</t>
        </is>
      </c>
      <c r="I3461" t="inlineStr">
        <is>
          <t>Delivered</t>
        </is>
      </c>
      <c r="J3461" t="n">
        <v>133</v>
      </c>
      <c r="K3461" t="n">
        <v>1</v>
      </c>
      <c r="L3461" s="7" t="n">
        <v>419</v>
      </c>
      <c r="M3461" s="7" t="n">
        <v>20.95</v>
      </c>
    </row>
    <row r="3462">
      <c r="A3462" t="n">
        <v>511238</v>
      </c>
      <c r="B3462" s="6" t="n">
        <v>45994</v>
      </c>
      <c r="C3462" t="n">
        <v>17042</v>
      </c>
      <c r="D3462" t="inlineStr">
        <is>
          <t>Indore</t>
        </is>
      </c>
      <c r="E3462" t="inlineStr">
        <is>
          <t>West</t>
        </is>
      </c>
      <c r="F3462" t="inlineStr">
        <is>
          <t>Organic Search</t>
        </is>
      </c>
      <c r="G3462" t="inlineStr">
        <is>
          <t>Mobile App</t>
        </is>
      </c>
      <c r="H3462" t="inlineStr">
        <is>
          <t>Credit Card</t>
        </is>
      </c>
      <c r="I3462" t="inlineStr">
        <is>
          <t>Delivered</t>
        </is>
      </c>
      <c r="J3462" t="n">
        <v>139</v>
      </c>
      <c r="K3462" t="n">
        <v>1</v>
      </c>
      <c r="L3462" s="7" t="n">
        <v>366</v>
      </c>
      <c r="M3462" s="7" t="n">
        <v>0</v>
      </c>
    </row>
    <row r="3463">
      <c r="A3463" t="n">
        <v>511239</v>
      </c>
      <c r="B3463" s="6" t="n">
        <v>45994</v>
      </c>
      <c r="C3463" t="n">
        <v>17527</v>
      </c>
      <c r="D3463" t="inlineStr">
        <is>
          <t>Bengaluru</t>
        </is>
      </c>
      <c r="E3463" t="inlineStr">
        <is>
          <t>South</t>
        </is>
      </c>
      <c r="F3463" t="inlineStr">
        <is>
          <t>Organic Search</t>
        </is>
      </c>
      <c r="G3463" t="inlineStr">
        <is>
          <t>Mobile App</t>
        </is>
      </c>
      <c r="H3463" t="inlineStr">
        <is>
          <t>UPI</t>
        </is>
      </c>
      <c r="I3463" t="inlineStr">
        <is>
          <t>Delivered</t>
        </is>
      </c>
      <c r="J3463" t="n">
        <v>118</v>
      </c>
      <c r="K3463" t="n">
        <v>1</v>
      </c>
      <c r="L3463" s="7" t="n">
        <v>944</v>
      </c>
      <c r="M3463" s="7" t="n">
        <v>0</v>
      </c>
    </row>
    <row r="3464">
      <c r="A3464" t="n">
        <v>511240</v>
      </c>
      <c r="B3464" s="6" t="n">
        <v>45994</v>
      </c>
      <c r="C3464" t="n">
        <v>17571</v>
      </c>
      <c r="D3464" t="inlineStr">
        <is>
          <t>Kochi</t>
        </is>
      </c>
      <c r="E3464" t="inlineStr">
        <is>
          <t>South</t>
        </is>
      </c>
      <c r="F3464" t="inlineStr">
        <is>
          <t>Organic Search</t>
        </is>
      </c>
      <c r="G3464" t="inlineStr">
        <is>
          <t>Mobile App</t>
        </is>
      </c>
      <c r="H3464" t="inlineStr">
        <is>
          <t>UPI</t>
        </is>
      </c>
      <c r="I3464" t="inlineStr">
        <is>
          <t>Delivered</t>
        </is>
      </c>
      <c r="J3464" t="n">
        <v>124</v>
      </c>
      <c r="K3464" t="n">
        <v>1</v>
      </c>
      <c r="L3464" s="7" t="n">
        <v>1154</v>
      </c>
      <c r="M3464" s="7" t="n">
        <v>0</v>
      </c>
    </row>
    <row r="3465">
      <c r="A3465" t="n">
        <v>511241</v>
      </c>
      <c r="B3465" s="6" t="n">
        <v>45994</v>
      </c>
      <c r="C3465" t="n">
        <v>16223</v>
      </c>
      <c r="D3465" t="inlineStr">
        <is>
          <t>Kolkata</t>
        </is>
      </c>
      <c r="E3465" t="inlineStr">
        <is>
          <t>East</t>
        </is>
      </c>
      <c r="F3465" t="inlineStr">
        <is>
          <t>Organic Search</t>
        </is>
      </c>
      <c r="G3465" t="inlineStr">
        <is>
          <t>Mobile App</t>
        </is>
      </c>
      <c r="H3465" t="inlineStr">
        <is>
          <t>UPI</t>
        </is>
      </c>
      <c r="I3465" t="inlineStr">
        <is>
          <t>Delivered</t>
        </is>
      </c>
      <c r="J3465" t="n">
        <v>144</v>
      </c>
      <c r="K3465" t="n">
        <v>1</v>
      </c>
      <c r="L3465" s="7" t="n">
        <v>3149</v>
      </c>
      <c r="M3465" s="7" t="n">
        <v>0</v>
      </c>
    </row>
    <row r="3466">
      <c r="A3466" t="n">
        <v>511242</v>
      </c>
      <c r="B3466" s="6" t="n">
        <v>45994</v>
      </c>
      <c r="C3466" t="n">
        <v>17455</v>
      </c>
      <c r="D3466" t="inlineStr">
        <is>
          <t>Bengaluru</t>
        </is>
      </c>
      <c r="E3466" t="inlineStr">
        <is>
          <t>South</t>
        </is>
      </c>
      <c r="F3466" t="inlineStr">
        <is>
          <t>Email</t>
        </is>
      </c>
      <c r="G3466" t="inlineStr">
        <is>
          <t>Desktop</t>
        </is>
      </c>
      <c r="H3466" t="inlineStr">
        <is>
          <t>Credit Card</t>
        </is>
      </c>
      <c r="I3466" t="inlineStr">
        <is>
          <t>Delivered</t>
        </is>
      </c>
      <c r="J3466" t="n">
        <v>130</v>
      </c>
      <c r="K3466" t="n">
        <v>1</v>
      </c>
      <c r="L3466" s="7" t="n">
        <v>734</v>
      </c>
      <c r="M3466" s="7" t="n">
        <v>110.1</v>
      </c>
    </row>
    <row r="3467">
      <c r="A3467" t="n">
        <v>511243</v>
      </c>
      <c r="B3467" s="6" t="n">
        <v>45994</v>
      </c>
      <c r="C3467" t="n">
        <v>17606</v>
      </c>
      <c r="D3467" t="inlineStr">
        <is>
          <t>Bengaluru</t>
        </is>
      </c>
      <c r="E3467" t="inlineStr">
        <is>
          <t>South</t>
        </is>
      </c>
      <c r="F3467" t="inlineStr">
        <is>
          <t>Email</t>
        </is>
      </c>
      <c r="G3467" t="inlineStr">
        <is>
          <t>Mobile Web</t>
        </is>
      </c>
      <c r="H3467" t="inlineStr">
        <is>
          <t>UPI</t>
        </is>
      </c>
      <c r="I3467" t="inlineStr">
        <is>
          <t>Delivered</t>
        </is>
      </c>
      <c r="J3467" t="n">
        <v>130</v>
      </c>
      <c r="K3467" t="n">
        <v>1</v>
      </c>
      <c r="L3467" s="7" t="n">
        <v>734</v>
      </c>
      <c r="M3467" s="7" t="n">
        <v>0</v>
      </c>
    </row>
    <row r="3468">
      <c r="A3468" t="n">
        <v>511243</v>
      </c>
      <c r="B3468" s="6" t="n">
        <v>45994</v>
      </c>
      <c r="C3468" t="n">
        <v>17606</v>
      </c>
      <c r="D3468" t="inlineStr">
        <is>
          <t>Bengaluru</t>
        </is>
      </c>
      <c r="E3468" t="inlineStr">
        <is>
          <t>South</t>
        </is>
      </c>
      <c r="F3468" t="inlineStr">
        <is>
          <t>Email</t>
        </is>
      </c>
      <c r="G3468" t="inlineStr">
        <is>
          <t>Mobile Web</t>
        </is>
      </c>
      <c r="H3468" t="inlineStr">
        <is>
          <t>UPI</t>
        </is>
      </c>
      <c r="I3468" t="inlineStr">
        <is>
          <t>Delivered</t>
        </is>
      </c>
      <c r="J3468" t="n">
        <v>142</v>
      </c>
      <c r="K3468" t="n">
        <v>2</v>
      </c>
      <c r="L3468" s="7" t="n">
        <v>839</v>
      </c>
      <c r="M3468" s="7" t="n">
        <v>0</v>
      </c>
    </row>
    <row r="3469">
      <c r="A3469" t="n">
        <v>511244</v>
      </c>
      <c r="B3469" s="6" t="n">
        <v>45994</v>
      </c>
      <c r="C3469" t="n">
        <v>17560</v>
      </c>
      <c r="D3469" t="inlineStr">
        <is>
          <t>Kolkata</t>
        </is>
      </c>
      <c r="E3469" t="inlineStr">
        <is>
          <t>East</t>
        </is>
      </c>
      <c r="F3469" t="inlineStr">
        <is>
          <t>Paid Social</t>
        </is>
      </c>
      <c r="G3469" t="inlineStr">
        <is>
          <t>Mobile App</t>
        </is>
      </c>
      <c r="H3469" t="inlineStr">
        <is>
          <t>Debit Card</t>
        </is>
      </c>
      <c r="I3469" t="inlineStr">
        <is>
          <t>Delivered</t>
        </is>
      </c>
      <c r="J3469" t="n">
        <v>102</v>
      </c>
      <c r="K3469" t="n">
        <v>2</v>
      </c>
      <c r="L3469" s="7" t="n">
        <v>3674</v>
      </c>
      <c r="M3469" s="7" t="n">
        <v>0</v>
      </c>
    </row>
    <row r="3470">
      <c r="A3470" t="n">
        <v>511245</v>
      </c>
      <c r="B3470" s="6" t="n">
        <v>45994</v>
      </c>
      <c r="C3470" t="n">
        <v>17582</v>
      </c>
      <c r="D3470" t="inlineStr">
        <is>
          <t>Indore</t>
        </is>
      </c>
      <c r="E3470" t="inlineStr">
        <is>
          <t>West</t>
        </is>
      </c>
      <c r="F3470" t="inlineStr">
        <is>
          <t>Paid Social</t>
        </is>
      </c>
      <c r="G3470" t="inlineStr">
        <is>
          <t>Mobile App</t>
        </is>
      </c>
      <c r="H3470" t="inlineStr">
        <is>
          <t>Credit Card</t>
        </is>
      </c>
      <c r="I3470" t="inlineStr">
        <is>
          <t>Returned</t>
        </is>
      </c>
      <c r="J3470" t="n">
        <v>111</v>
      </c>
      <c r="K3470" t="n">
        <v>1</v>
      </c>
      <c r="L3470" s="7" t="n">
        <v>524</v>
      </c>
      <c r="M3470" s="7" t="n">
        <v>0</v>
      </c>
    </row>
    <row r="3471">
      <c r="A3471" t="n">
        <v>511246</v>
      </c>
      <c r="B3471" s="6" t="n">
        <v>45995</v>
      </c>
      <c r="C3471" t="n">
        <v>17591</v>
      </c>
      <c r="D3471" t="inlineStr">
        <is>
          <t>Bengaluru</t>
        </is>
      </c>
      <c r="E3471" t="inlineStr">
        <is>
          <t>South</t>
        </is>
      </c>
      <c r="F3471" t="inlineStr">
        <is>
          <t>Paid Search</t>
        </is>
      </c>
      <c r="G3471" t="inlineStr">
        <is>
          <t>Mobile App</t>
        </is>
      </c>
      <c r="H3471" t="inlineStr">
        <is>
          <t>Debit Card</t>
        </is>
      </c>
      <c r="I3471" t="inlineStr">
        <is>
          <t>Delivered</t>
        </is>
      </c>
      <c r="J3471" t="n">
        <v>117</v>
      </c>
      <c r="K3471" t="n">
        <v>1</v>
      </c>
      <c r="L3471" s="7" t="n">
        <v>3149</v>
      </c>
      <c r="M3471" s="7" t="n">
        <v>472.35</v>
      </c>
    </row>
    <row r="3472">
      <c r="A3472" t="n">
        <v>511247</v>
      </c>
      <c r="B3472" s="6" t="n">
        <v>45995</v>
      </c>
      <c r="C3472" t="n">
        <v>17609</v>
      </c>
      <c r="D3472" t="inlineStr">
        <is>
          <t>Delhi</t>
        </is>
      </c>
      <c r="E3472" t="inlineStr">
        <is>
          <t>North</t>
        </is>
      </c>
      <c r="F3472" t="inlineStr">
        <is>
          <t>Paid Search</t>
        </is>
      </c>
      <c r="G3472" t="inlineStr">
        <is>
          <t>Mobile Web</t>
        </is>
      </c>
      <c r="H3472" t="inlineStr">
        <is>
          <t>Credit Card</t>
        </is>
      </c>
      <c r="I3472" t="inlineStr">
        <is>
          <t>Delivered</t>
        </is>
      </c>
      <c r="J3472" t="n">
        <v>132</v>
      </c>
      <c r="K3472" t="n">
        <v>1</v>
      </c>
      <c r="L3472" s="7" t="n">
        <v>471</v>
      </c>
      <c r="M3472" s="7" t="n">
        <v>70.65000000000001</v>
      </c>
    </row>
    <row r="3473">
      <c r="A3473" t="n">
        <v>511248</v>
      </c>
      <c r="B3473" s="6" t="n">
        <v>45995</v>
      </c>
      <c r="C3473" t="n">
        <v>15727</v>
      </c>
      <c r="D3473" t="inlineStr">
        <is>
          <t>Delhi</t>
        </is>
      </c>
      <c r="E3473" t="inlineStr">
        <is>
          <t>North</t>
        </is>
      </c>
      <c r="F3473" t="inlineStr">
        <is>
          <t>Paid Search</t>
        </is>
      </c>
      <c r="G3473" t="inlineStr">
        <is>
          <t>Mobile App</t>
        </is>
      </c>
      <c r="H3473" t="inlineStr">
        <is>
          <t>UPI</t>
        </is>
      </c>
      <c r="I3473" t="inlineStr">
        <is>
          <t>Delivered</t>
        </is>
      </c>
      <c r="J3473" t="n">
        <v>131</v>
      </c>
      <c r="K3473" t="n">
        <v>1</v>
      </c>
      <c r="L3473" s="7" t="n">
        <v>314</v>
      </c>
      <c r="M3473" s="7" t="n">
        <v>0</v>
      </c>
    </row>
    <row r="3474">
      <c r="A3474" t="n">
        <v>511249</v>
      </c>
      <c r="B3474" s="6" t="n">
        <v>45995</v>
      </c>
      <c r="C3474" t="n">
        <v>17594</v>
      </c>
      <c r="D3474" t="inlineStr">
        <is>
          <t>Bengaluru</t>
        </is>
      </c>
      <c r="E3474" t="inlineStr">
        <is>
          <t>South</t>
        </is>
      </c>
      <c r="F3474" t="inlineStr">
        <is>
          <t>Email</t>
        </is>
      </c>
      <c r="G3474" t="inlineStr">
        <is>
          <t>Mobile Web</t>
        </is>
      </c>
      <c r="H3474" t="inlineStr">
        <is>
          <t>UPI</t>
        </is>
      </c>
      <c r="I3474" t="inlineStr">
        <is>
          <t>Delivered</t>
        </is>
      </c>
      <c r="J3474" t="n">
        <v>103</v>
      </c>
      <c r="K3474" t="n">
        <v>1</v>
      </c>
      <c r="L3474" s="7" t="n">
        <v>2624</v>
      </c>
      <c r="M3474" s="7" t="n">
        <v>393.6</v>
      </c>
    </row>
    <row r="3475">
      <c r="A3475" t="n">
        <v>511249</v>
      </c>
      <c r="B3475" s="6" t="n">
        <v>45995</v>
      </c>
      <c r="C3475" t="n">
        <v>17594</v>
      </c>
      <c r="D3475" t="inlineStr">
        <is>
          <t>Bengaluru</t>
        </is>
      </c>
      <c r="E3475" t="inlineStr">
        <is>
          <t>South</t>
        </is>
      </c>
      <c r="F3475" t="inlineStr">
        <is>
          <t>Email</t>
        </is>
      </c>
      <c r="G3475" t="inlineStr">
        <is>
          <t>Mobile Web</t>
        </is>
      </c>
      <c r="H3475" t="inlineStr">
        <is>
          <t>UPI</t>
        </is>
      </c>
      <c r="I3475" t="inlineStr">
        <is>
          <t>Delivered</t>
        </is>
      </c>
      <c r="J3475" t="n">
        <v>110</v>
      </c>
      <c r="K3475" t="n">
        <v>1</v>
      </c>
      <c r="L3475" s="7" t="n">
        <v>839</v>
      </c>
      <c r="M3475" s="7" t="n">
        <v>125.85</v>
      </c>
    </row>
    <row r="3476">
      <c r="A3476" t="n">
        <v>511250</v>
      </c>
      <c r="B3476" s="6" t="n">
        <v>45995</v>
      </c>
      <c r="C3476" t="n">
        <v>17552</v>
      </c>
      <c r="D3476" t="inlineStr">
        <is>
          <t>Chennai</t>
        </is>
      </c>
      <c r="E3476" t="inlineStr">
        <is>
          <t>South</t>
        </is>
      </c>
      <c r="F3476" t="inlineStr">
        <is>
          <t>Email</t>
        </is>
      </c>
      <c r="G3476" t="inlineStr">
        <is>
          <t>Desktop</t>
        </is>
      </c>
      <c r="H3476" t="inlineStr">
        <is>
          <t>UPI</t>
        </is>
      </c>
      <c r="I3476" t="inlineStr">
        <is>
          <t>Delivered</t>
        </is>
      </c>
      <c r="J3476" t="n">
        <v>120</v>
      </c>
      <c r="K3476" t="n">
        <v>1</v>
      </c>
      <c r="L3476" s="7" t="n">
        <v>734</v>
      </c>
      <c r="M3476" s="7" t="n">
        <v>0</v>
      </c>
    </row>
    <row r="3477">
      <c r="A3477" t="n">
        <v>511251</v>
      </c>
      <c r="B3477" s="6" t="n">
        <v>45995</v>
      </c>
      <c r="C3477" t="n">
        <v>17537</v>
      </c>
      <c r="D3477" t="inlineStr">
        <is>
          <t>Delhi</t>
        </is>
      </c>
      <c r="E3477" t="inlineStr">
        <is>
          <t>North</t>
        </is>
      </c>
      <c r="F3477" t="inlineStr">
        <is>
          <t>Paid Search</t>
        </is>
      </c>
      <c r="G3477" t="inlineStr">
        <is>
          <t>Mobile App</t>
        </is>
      </c>
      <c r="H3477" t="inlineStr">
        <is>
          <t>Credit Card</t>
        </is>
      </c>
      <c r="I3477" t="inlineStr">
        <is>
          <t>Delivered</t>
        </is>
      </c>
      <c r="J3477" t="n">
        <v>104</v>
      </c>
      <c r="K3477" t="n">
        <v>1</v>
      </c>
      <c r="L3477" s="7" t="n">
        <v>5249</v>
      </c>
      <c r="M3477" s="7" t="n">
        <v>0</v>
      </c>
    </row>
    <row r="3478">
      <c r="A3478" t="n">
        <v>511252</v>
      </c>
      <c r="B3478" s="6" t="n">
        <v>45995</v>
      </c>
      <c r="C3478" t="n">
        <v>17621</v>
      </c>
      <c r="D3478" t="inlineStr">
        <is>
          <t>Jaipur</t>
        </is>
      </c>
      <c r="E3478" t="inlineStr">
        <is>
          <t>North</t>
        </is>
      </c>
      <c r="F3478" t="inlineStr">
        <is>
          <t>Organic Search</t>
        </is>
      </c>
      <c r="G3478" t="inlineStr">
        <is>
          <t>Mobile Web</t>
        </is>
      </c>
      <c r="H3478" t="inlineStr">
        <is>
          <t>Credit Card</t>
        </is>
      </c>
      <c r="I3478" t="inlineStr">
        <is>
          <t>Delivered</t>
        </is>
      </c>
      <c r="J3478" t="n">
        <v>122</v>
      </c>
      <c r="K3478" t="n">
        <v>2</v>
      </c>
      <c r="L3478" s="7" t="n">
        <v>1994</v>
      </c>
      <c r="M3478" s="7" t="n">
        <v>0</v>
      </c>
    </row>
    <row r="3479">
      <c r="A3479" t="n">
        <v>511252</v>
      </c>
      <c r="B3479" s="6" t="n">
        <v>45995</v>
      </c>
      <c r="C3479" t="n">
        <v>17621</v>
      </c>
      <c r="D3479" t="inlineStr">
        <is>
          <t>Jaipur</t>
        </is>
      </c>
      <c r="E3479" t="inlineStr">
        <is>
          <t>North</t>
        </is>
      </c>
      <c r="F3479" t="inlineStr">
        <is>
          <t>Organic Search</t>
        </is>
      </c>
      <c r="G3479" t="inlineStr">
        <is>
          <t>Mobile Web</t>
        </is>
      </c>
      <c r="H3479" t="inlineStr">
        <is>
          <t>Credit Card</t>
        </is>
      </c>
      <c r="I3479" t="inlineStr">
        <is>
          <t>Delivered</t>
        </is>
      </c>
      <c r="J3479" t="n">
        <v>116</v>
      </c>
      <c r="K3479" t="n">
        <v>1</v>
      </c>
      <c r="L3479" s="7" t="n">
        <v>2624</v>
      </c>
      <c r="M3479" s="7" t="n">
        <v>0</v>
      </c>
    </row>
    <row r="3480">
      <c r="A3480" t="n">
        <v>511252</v>
      </c>
      <c r="B3480" s="6" t="n">
        <v>45995</v>
      </c>
      <c r="C3480" t="n">
        <v>17621</v>
      </c>
      <c r="D3480" t="inlineStr">
        <is>
          <t>Jaipur</t>
        </is>
      </c>
      <c r="E3480" t="inlineStr">
        <is>
          <t>North</t>
        </is>
      </c>
      <c r="F3480" t="inlineStr">
        <is>
          <t>Organic Search</t>
        </is>
      </c>
      <c r="G3480" t="inlineStr">
        <is>
          <t>Mobile Web</t>
        </is>
      </c>
      <c r="H3480" t="inlineStr">
        <is>
          <t>Credit Card</t>
        </is>
      </c>
      <c r="I3480" t="inlineStr">
        <is>
          <t>Delivered</t>
        </is>
      </c>
      <c r="J3480" t="n">
        <v>109</v>
      </c>
      <c r="K3480" t="n">
        <v>1</v>
      </c>
      <c r="L3480" s="7" t="n">
        <v>4199</v>
      </c>
      <c r="M3480" s="7" t="n">
        <v>0</v>
      </c>
    </row>
    <row r="3481">
      <c r="A3481" t="n">
        <v>511253</v>
      </c>
      <c r="B3481" s="6" t="n">
        <v>45995</v>
      </c>
      <c r="C3481" t="n">
        <v>17424</v>
      </c>
      <c r="D3481" t="inlineStr">
        <is>
          <t>Gurugram</t>
        </is>
      </c>
      <c r="E3481" t="inlineStr">
        <is>
          <t>North</t>
        </is>
      </c>
      <c r="F3481" t="inlineStr">
        <is>
          <t>Organic Search</t>
        </is>
      </c>
      <c r="G3481" t="inlineStr">
        <is>
          <t>Mobile Web</t>
        </is>
      </c>
      <c r="H3481" t="inlineStr">
        <is>
          <t>Debit Card</t>
        </is>
      </c>
      <c r="I3481" t="inlineStr">
        <is>
          <t>Returned</t>
        </is>
      </c>
      <c r="J3481" t="n">
        <v>110</v>
      </c>
      <c r="K3481" t="n">
        <v>1</v>
      </c>
      <c r="L3481" s="7" t="n">
        <v>839</v>
      </c>
      <c r="M3481" s="7" t="n">
        <v>0</v>
      </c>
    </row>
    <row r="3482">
      <c r="A3482" t="n">
        <v>511253</v>
      </c>
      <c r="B3482" s="6" t="n">
        <v>45995</v>
      </c>
      <c r="C3482" t="n">
        <v>17424</v>
      </c>
      <c r="D3482" t="inlineStr">
        <is>
          <t>Gurugram</t>
        </is>
      </c>
      <c r="E3482" t="inlineStr">
        <is>
          <t>North</t>
        </is>
      </c>
      <c r="F3482" t="inlineStr">
        <is>
          <t>Organic Search</t>
        </is>
      </c>
      <c r="G3482" t="inlineStr">
        <is>
          <t>Mobile Web</t>
        </is>
      </c>
      <c r="H3482" t="inlineStr">
        <is>
          <t>Debit Card</t>
        </is>
      </c>
      <c r="I3482" t="inlineStr">
        <is>
          <t>Returned</t>
        </is>
      </c>
      <c r="J3482" t="n">
        <v>131</v>
      </c>
      <c r="K3482" t="n">
        <v>1</v>
      </c>
      <c r="L3482" s="7" t="n">
        <v>314</v>
      </c>
      <c r="M3482" s="7" t="n">
        <v>0</v>
      </c>
    </row>
    <row r="3483">
      <c r="A3483" t="n">
        <v>511254</v>
      </c>
      <c r="B3483" s="6" t="n">
        <v>45995</v>
      </c>
      <c r="C3483" t="n">
        <v>15795</v>
      </c>
      <c r="D3483" t="inlineStr">
        <is>
          <t>Noida</t>
        </is>
      </c>
      <c r="E3483" t="inlineStr">
        <is>
          <t>North</t>
        </is>
      </c>
      <c r="F3483" t="inlineStr">
        <is>
          <t>Referral</t>
        </is>
      </c>
      <c r="G3483" t="inlineStr">
        <is>
          <t>Mobile Web</t>
        </is>
      </c>
      <c r="H3483" t="inlineStr">
        <is>
          <t>Cash on Delivery</t>
        </is>
      </c>
      <c r="I3483" t="inlineStr">
        <is>
          <t>Delivered</t>
        </is>
      </c>
      <c r="J3483" t="n">
        <v>113</v>
      </c>
      <c r="K3483" t="n">
        <v>1</v>
      </c>
      <c r="L3483" s="7" t="n">
        <v>1364</v>
      </c>
      <c r="M3483" s="7" t="n">
        <v>0</v>
      </c>
    </row>
    <row r="3484">
      <c r="A3484" t="n">
        <v>511255</v>
      </c>
      <c r="B3484" s="6" t="n">
        <v>45995</v>
      </c>
      <c r="C3484" t="n">
        <v>17202</v>
      </c>
      <c r="D3484" t="inlineStr">
        <is>
          <t>Delhi</t>
        </is>
      </c>
      <c r="E3484" t="inlineStr">
        <is>
          <t>North</t>
        </is>
      </c>
      <c r="F3484" t="inlineStr">
        <is>
          <t>Email</t>
        </is>
      </c>
      <c r="G3484" t="inlineStr">
        <is>
          <t>Mobile App</t>
        </is>
      </c>
      <c r="H3484" t="inlineStr">
        <is>
          <t>Cash on Delivery</t>
        </is>
      </c>
      <c r="I3484" t="inlineStr">
        <is>
          <t>Delivered</t>
        </is>
      </c>
      <c r="J3484" t="n">
        <v>112</v>
      </c>
      <c r="K3484" t="n">
        <v>1</v>
      </c>
      <c r="L3484" s="7" t="n">
        <v>1574</v>
      </c>
      <c r="M3484" s="7" t="n">
        <v>0</v>
      </c>
    </row>
    <row r="3485">
      <c r="A3485" t="n">
        <v>511256</v>
      </c>
      <c r="B3485" s="6" t="n">
        <v>45995</v>
      </c>
      <c r="C3485" t="n">
        <v>17595</v>
      </c>
      <c r="D3485" t="inlineStr">
        <is>
          <t>Mumbai</t>
        </is>
      </c>
      <c r="E3485" t="inlineStr">
        <is>
          <t>West</t>
        </is>
      </c>
      <c r="F3485" t="inlineStr">
        <is>
          <t>Paid Social</t>
        </is>
      </c>
      <c r="G3485" t="inlineStr">
        <is>
          <t>Mobile Web</t>
        </is>
      </c>
      <c r="H3485" t="inlineStr">
        <is>
          <t>Debit Card</t>
        </is>
      </c>
      <c r="I3485" t="inlineStr">
        <is>
          <t>Delivered</t>
        </is>
      </c>
      <c r="J3485" t="n">
        <v>142</v>
      </c>
      <c r="K3485" t="n">
        <v>2</v>
      </c>
      <c r="L3485" s="7" t="n">
        <v>839</v>
      </c>
      <c r="M3485" s="7" t="n">
        <v>0</v>
      </c>
    </row>
    <row r="3486">
      <c r="A3486" t="n">
        <v>511257</v>
      </c>
      <c r="B3486" s="6" t="n">
        <v>45995</v>
      </c>
      <c r="C3486" t="n">
        <v>16784</v>
      </c>
      <c r="D3486" t="inlineStr">
        <is>
          <t>Kolkata</t>
        </is>
      </c>
      <c r="E3486" t="inlineStr">
        <is>
          <t>East</t>
        </is>
      </c>
      <c r="F3486" t="inlineStr">
        <is>
          <t>Referral</t>
        </is>
      </c>
      <c r="G3486" t="inlineStr">
        <is>
          <t>Mobile Web</t>
        </is>
      </c>
      <c r="H3486" t="inlineStr">
        <is>
          <t>UPI</t>
        </is>
      </c>
      <c r="I3486" t="inlineStr">
        <is>
          <t>Delivered</t>
        </is>
      </c>
      <c r="J3486" t="n">
        <v>140</v>
      </c>
      <c r="K3486" t="n">
        <v>1</v>
      </c>
      <c r="L3486" s="7" t="n">
        <v>629</v>
      </c>
      <c r="M3486" s="7" t="n">
        <v>0</v>
      </c>
    </row>
    <row r="3487">
      <c r="A3487" t="n">
        <v>511257</v>
      </c>
      <c r="B3487" s="6" t="n">
        <v>45995</v>
      </c>
      <c r="C3487" t="n">
        <v>16784</v>
      </c>
      <c r="D3487" t="inlineStr">
        <is>
          <t>Kolkata</t>
        </is>
      </c>
      <c r="E3487" t="inlineStr">
        <is>
          <t>East</t>
        </is>
      </c>
      <c r="F3487" t="inlineStr">
        <is>
          <t>Referral</t>
        </is>
      </c>
      <c r="G3487" t="inlineStr">
        <is>
          <t>Mobile Web</t>
        </is>
      </c>
      <c r="H3487" t="inlineStr">
        <is>
          <t>UPI</t>
        </is>
      </c>
      <c r="I3487" t="inlineStr">
        <is>
          <t>Delivered</t>
        </is>
      </c>
      <c r="J3487" t="n">
        <v>107</v>
      </c>
      <c r="K3487" t="n">
        <v>1</v>
      </c>
      <c r="L3487" s="7" t="n">
        <v>1259</v>
      </c>
      <c r="M3487" s="7" t="n">
        <v>0</v>
      </c>
    </row>
    <row r="3488">
      <c r="A3488" t="n">
        <v>511258</v>
      </c>
      <c r="B3488" s="6" t="n">
        <v>45995</v>
      </c>
      <c r="C3488" t="n">
        <v>14483</v>
      </c>
      <c r="D3488" t="inlineStr">
        <is>
          <t>Lucknow</t>
        </is>
      </c>
      <c r="E3488" t="inlineStr">
        <is>
          <t>North</t>
        </is>
      </c>
      <c r="F3488" t="inlineStr">
        <is>
          <t>Organic Search</t>
        </is>
      </c>
      <c r="G3488" t="inlineStr">
        <is>
          <t>Mobile Web</t>
        </is>
      </c>
      <c r="H3488" t="inlineStr">
        <is>
          <t>Debit Card</t>
        </is>
      </c>
      <c r="I3488" t="inlineStr">
        <is>
          <t>Returned</t>
        </is>
      </c>
      <c r="J3488" t="n">
        <v>120</v>
      </c>
      <c r="K3488" t="n">
        <v>1</v>
      </c>
      <c r="L3488" s="7" t="n">
        <v>734</v>
      </c>
      <c r="M3488" s="7" t="n">
        <v>0</v>
      </c>
    </row>
    <row r="3489">
      <c r="A3489" t="n">
        <v>511258</v>
      </c>
      <c r="B3489" s="6" t="n">
        <v>45995</v>
      </c>
      <c r="C3489" t="n">
        <v>14483</v>
      </c>
      <c r="D3489" t="inlineStr">
        <is>
          <t>Lucknow</t>
        </is>
      </c>
      <c r="E3489" t="inlineStr">
        <is>
          <t>North</t>
        </is>
      </c>
      <c r="F3489" t="inlineStr">
        <is>
          <t>Organic Search</t>
        </is>
      </c>
      <c r="G3489" t="inlineStr">
        <is>
          <t>Mobile Web</t>
        </is>
      </c>
      <c r="H3489" t="inlineStr">
        <is>
          <t>Debit Card</t>
        </is>
      </c>
      <c r="I3489" t="inlineStr">
        <is>
          <t>Returned</t>
        </is>
      </c>
      <c r="J3489" t="n">
        <v>135</v>
      </c>
      <c r="K3489" t="n">
        <v>3</v>
      </c>
      <c r="L3489" s="7" t="n">
        <v>1574</v>
      </c>
      <c r="M3489" s="7" t="n">
        <v>0</v>
      </c>
    </row>
    <row r="3490">
      <c r="A3490" t="n">
        <v>511258</v>
      </c>
      <c r="B3490" s="6" t="n">
        <v>45995</v>
      </c>
      <c r="C3490" t="n">
        <v>14483</v>
      </c>
      <c r="D3490" t="inlineStr">
        <is>
          <t>Lucknow</t>
        </is>
      </c>
      <c r="E3490" t="inlineStr">
        <is>
          <t>North</t>
        </is>
      </c>
      <c r="F3490" t="inlineStr">
        <is>
          <t>Organic Search</t>
        </is>
      </c>
      <c r="G3490" t="inlineStr">
        <is>
          <t>Mobile Web</t>
        </is>
      </c>
      <c r="H3490" t="inlineStr">
        <is>
          <t>Debit Card</t>
        </is>
      </c>
      <c r="I3490" t="inlineStr">
        <is>
          <t>Returned</t>
        </is>
      </c>
      <c r="J3490" t="n">
        <v>109</v>
      </c>
      <c r="K3490" t="n">
        <v>2</v>
      </c>
      <c r="L3490" s="7" t="n">
        <v>4199</v>
      </c>
      <c r="M3490" s="7" t="n">
        <v>0</v>
      </c>
    </row>
    <row r="3491">
      <c r="A3491" t="n">
        <v>511258</v>
      </c>
      <c r="B3491" s="6" t="n">
        <v>45995</v>
      </c>
      <c r="C3491" t="n">
        <v>14483</v>
      </c>
      <c r="D3491" t="inlineStr">
        <is>
          <t>Lucknow</t>
        </is>
      </c>
      <c r="E3491" t="inlineStr">
        <is>
          <t>North</t>
        </is>
      </c>
      <c r="F3491" t="inlineStr">
        <is>
          <t>Organic Search</t>
        </is>
      </c>
      <c r="G3491" t="inlineStr">
        <is>
          <t>Mobile Web</t>
        </is>
      </c>
      <c r="H3491" t="inlineStr">
        <is>
          <t>Debit Card</t>
        </is>
      </c>
      <c r="I3491" t="inlineStr">
        <is>
          <t>Returned</t>
        </is>
      </c>
      <c r="J3491" t="n">
        <v>124</v>
      </c>
      <c r="K3491" t="n">
        <v>1</v>
      </c>
      <c r="L3491" s="7" t="n">
        <v>1154</v>
      </c>
      <c r="M3491" s="7" t="n">
        <v>0</v>
      </c>
    </row>
    <row r="3492">
      <c r="A3492" t="n">
        <v>511259</v>
      </c>
      <c r="B3492" s="6" t="n">
        <v>45995</v>
      </c>
      <c r="C3492" t="n">
        <v>15856</v>
      </c>
      <c r="D3492" t="inlineStr">
        <is>
          <t>Pune</t>
        </is>
      </c>
      <c r="E3492" t="inlineStr">
        <is>
          <t>West</t>
        </is>
      </c>
      <c r="F3492" t="inlineStr">
        <is>
          <t>Referral</t>
        </is>
      </c>
      <c r="G3492" t="inlineStr">
        <is>
          <t>Mobile Web</t>
        </is>
      </c>
      <c r="H3492" t="inlineStr">
        <is>
          <t>Net Banking</t>
        </is>
      </c>
      <c r="I3492" t="inlineStr">
        <is>
          <t>Delivered</t>
        </is>
      </c>
      <c r="J3492" t="n">
        <v>113</v>
      </c>
      <c r="K3492" t="n">
        <v>1</v>
      </c>
      <c r="L3492" s="7" t="n">
        <v>1364</v>
      </c>
      <c r="M3492" s="7" t="n">
        <v>0</v>
      </c>
    </row>
    <row r="3493">
      <c r="A3493" t="n">
        <v>511259</v>
      </c>
      <c r="B3493" s="6" t="n">
        <v>45995</v>
      </c>
      <c r="C3493" t="n">
        <v>15856</v>
      </c>
      <c r="D3493" t="inlineStr">
        <is>
          <t>Pune</t>
        </is>
      </c>
      <c r="E3493" t="inlineStr">
        <is>
          <t>West</t>
        </is>
      </c>
      <c r="F3493" t="inlineStr">
        <is>
          <t>Referral</t>
        </is>
      </c>
      <c r="G3493" t="inlineStr">
        <is>
          <t>Mobile Web</t>
        </is>
      </c>
      <c r="H3493" t="inlineStr">
        <is>
          <t>Net Banking</t>
        </is>
      </c>
      <c r="I3493" t="inlineStr">
        <is>
          <t>Delivered</t>
        </is>
      </c>
      <c r="J3493" t="n">
        <v>124</v>
      </c>
      <c r="K3493" t="n">
        <v>2</v>
      </c>
      <c r="L3493" s="7" t="n">
        <v>1154</v>
      </c>
      <c r="M3493" s="7" t="n">
        <v>0</v>
      </c>
    </row>
    <row r="3494">
      <c r="A3494" t="n">
        <v>511260</v>
      </c>
      <c r="B3494" s="6" t="n">
        <v>45995</v>
      </c>
      <c r="C3494" t="n">
        <v>17541</v>
      </c>
      <c r="D3494" t="inlineStr">
        <is>
          <t>Mumbai</t>
        </is>
      </c>
      <c r="E3494" t="inlineStr">
        <is>
          <t>West</t>
        </is>
      </c>
      <c r="F3494" t="inlineStr">
        <is>
          <t>Referral</t>
        </is>
      </c>
      <c r="G3494" t="inlineStr">
        <is>
          <t>Mobile App</t>
        </is>
      </c>
      <c r="H3494" t="inlineStr">
        <is>
          <t>Net Banking</t>
        </is>
      </c>
      <c r="I3494" t="inlineStr">
        <is>
          <t>Returned</t>
        </is>
      </c>
      <c r="J3494" t="n">
        <v>117</v>
      </c>
      <c r="K3494" t="n">
        <v>1</v>
      </c>
      <c r="L3494" s="7" t="n">
        <v>3149</v>
      </c>
      <c r="M3494" s="7" t="n">
        <v>472.35</v>
      </c>
    </row>
    <row r="3495">
      <c r="A3495" t="n">
        <v>511260</v>
      </c>
      <c r="B3495" s="6" t="n">
        <v>45995</v>
      </c>
      <c r="C3495" t="n">
        <v>17541</v>
      </c>
      <c r="D3495" t="inlineStr">
        <is>
          <t>Mumbai</t>
        </is>
      </c>
      <c r="E3495" t="inlineStr">
        <is>
          <t>West</t>
        </is>
      </c>
      <c r="F3495" t="inlineStr">
        <is>
          <t>Referral</t>
        </is>
      </c>
      <c r="G3495" t="inlineStr">
        <is>
          <t>Mobile App</t>
        </is>
      </c>
      <c r="H3495" t="inlineStr">
        <is>
          <t>Net Banking</t>
        </is>
      </c>
      <c r="I3495" t="inlineStr">
        <is>
          <t>Returned</t>
        </is>
      </c>
      <c r="J3495" t="n">
        <v>114</v>
      </c>
      <c r="K3495" t="n">
        <v>1</v>
      </c>
      <c r="L3495" s="7" t="n">
        <v>1259</v>
      </c>
      <c r="M3495" s="7" t="n">
        <v>188.85</v>
      </c>
    </row>
    <row r="3496">
      <c r="A3496" t="n">
        <v>511261</v>
      </c>
      <c r="B3496" s="6" t="n">
        <v>45995</v>
      </c>
      <c r="C3496" t="n">
        <v>17511</v>
      </c>
      <c r="D3496" t="inlineStr">
        <is>
          <t>Pune</t>
        </is>
      </c>
      <c r="E3496" t="inlineStr">
        <is>
          <t>West</t>
        </is>
      </c>
      <c r="F3496" t="inlineStr">
        <is>
          <t>Paid Search</t>
        </is>
      </c>
      <c r="G3496" t="inlineStr">
        <is>
          <t>Desktop</t>
        </is>
      </c>
      <c r="H3496" t="inlineStr">
        <is>
          <t>Cash on Delivery</t>
        </is>
      </c>
      <c r="I3496" t="inlineStr">
        <is>
          <t>Delivered</t>
        </is>
      </c>
      <c r="J3496" t="n">
        <v>117</v>
      </c>
      <c r="K3496" t="n">
        <v>1</v>
      </c>
      <c r="L3496" s="7" t="n">
        <v>3149</v>
      </c>
      <c r="M3496" s="7" t="n">
        <v>472.35</v>
      </c>
    </row>
    <row r="3497">
      <c r="A3497" t="n">
        <v>511261</v>
      </c>
      <c r="B3497" s="6" t="n">
        <v>45995</v>
      </c>
      <c r="C3497" t="n">
        <v>17511</v>
      </c>
      <c r="D3497" t="inlineStr">
        <is>
          <t>Pune</t>
        </is>
      </c>
      <c r="E3497" t="inlineStr">
        <is>
          <t>West</t>
        </is>
      </c>
      <c r="F3497" t="inlineStr">
        <is>
          <t>Paid Search</t>
        </is>
      </c>
      <c r="G3497" t="inlineStr">
        <is>
          <t>Desktop</t>
        </is>
      </c>
      <c r="H3497" t="inlineStr">
        <is>
          <t>Cash on Delivery</t>
        </is>
      </c>
      <c r="I3497" t="inlineStr">
        <is>
          <t>Delivered</t>
        </is>
      </c>
      <c r="J3497" t="n">
        <v>125</v>
      </c>
      <c r="K3497" t="n">
        <v>1</v>
      </c>
      <c r="L3497" s="7" t="n">
        <v>1364</v>
      </c>
      <c r="M3497" s="7" t="n">
        <v>204.6</v>
      </c>
    </row>
    <row r="3498">
      <c r="A3498" t="n">
        <v>511262</v>
      </c>
      <c r="B3498" s="6" t="n">
        <v>45995</v>
      </c>
      <c r="C3498" t="n">
        <v>17449</v>
      </c>
      <c r="D3498" t="inlineStr">
        <is>
          <t>Lucknow</t>
        </is>
      </c>
      <c r="E3498" t="inlineStr">
        <is>
          <t>North</t>
        </is>
      </c>
      <c r="F3498" t="inlineStr">
        <is>
          <t>Affiliate</t>
        </is>
      </c>
      <c r="G3498" t="inlineStr">
        <is>
          <t>Desktop</t>
        </is>
      </c>
      <c r="H3498" t="inlineStr">
        <is>
          <t>UPI</t>
        </is>
      </c>
      <c r="I3498" t="inlineStr">
        <is>
          <t>Returned</t>
        </is>
      </c>
      <c r="J3498" t="n">
        <v>139</v>
      </c>
      <c r="K3498" t="n">
        <v>1</v>
      </c>
      <c r="L3498" s="7" t="n">
        <v>366</v>
      </c>
      <c r="M3498" s="7" t="n">
        <v>54.9</v>
      </c>
    </row>
    <row r="3499">
      <c r="A3499" t="n">
        <v>511262</v>
      </c>
      <c r="B3499" s="6" t="n">
        <v>45995</v>
      </c>
      <c r="C3499" t="n">
        <v>17449</v>
      </c>
      <c r="D3499" t="inlineStr">
        <is>
          <t>Lucknow</t>
        </is>
      </c>
      <c r="E3499" t="inlineStr">
        <is>
          <t>North</t>
        </is>
      </c>
      <c r="F3499" t="inlineStr">
        <is>
          <t>Affiliate</t>
        </is>
      </c>
      <c r="G3499" t="inlineStr">
        <is>
          <t>Desktop</t>
        </is>
      </c>
      <c r="H3499" t="inlineStr">
        <is>
          <t>UPI</t>
        </is>
      </c>
      <c r="I3499" t="inlineStr">
        <is>
          <t>Returned</t>
        </is>
      </c>
      <c r="J3499" t="n">
        <v>132</v>
      </c>
      <c r="K3499" t="n">
        <v>1</v>
      </c>
      <c r="L3499" s="7" t="n">
        <v>471</v>
      </c>
      <c r="M3499" s="7" t="n">
        <v>70.65000000000001</v>
      </c>
    </row>
    <row r="3500">
      <c r="A3500" t="n">
        <v>511262</v>
      </c>
      <c r="B3500" s="6" t="n">
        <v>45995</v>
      </c>
      <c r="C3500" t="n">
        <v>17449</v>
      </c>
      <c r="D3500" t="inlineStr">
        <is>
          <t>Lucknow</t>
        </is>
      </c>
      <c r="E3500" t="inlineStr">
        <is>
          <t>North</t>
        </is>
      </c>
      <c r="F3500" t="inlineStr">
        <is>
          <t>Affiliate</t>
        </is>
      </c>
      <c r="G3500" t="inlineStr">
        <is>
          <t>Desktop</t>
        </is>
      </c>
      <c r="H3500" t="inlineStr">
        <is>
          <t>UPI</t>
        </is>
      </c>
      <c r="I3500" t="inlineStr">
        <is>
          <t>Returned</t>
        </is>
      </c>
      <c r="J3500" t="n">
        <v>117</v>
      </c>
      <c r="K3500" t="n">
        <v>1</v>
      </c>
      <c r="L3500" s="7" t="n">
        <v>3149</v>
      </c>
      <c r="M3500" s="7" t="n">
        <v>472.35</v>
      </c>
    </row>
    <row r="3501">
      <c r="A3501" t="n">
        <v>511262</v>
      </c>
      <c r="B3501" s="6" t="n">
        <v>45995</v>
      </c>
      <c r="C3501" t="n">
        <v>17449</v>
      </c>
      <c r="D3501" t="inlineStr">
        <is>
          <t>Lucknow</t>
        </is>
      </c>
      <c r="E3501" t="inlineStr">
        <is>
          <t>North</t>
        </is>
      </c>
      <c r="F3501" t="inlineStr">
        <is>
          <t>Affiliate</t>
        </is>
      </c>
      <c r="G3501" t="inlineStr">
        <is>
          <t>Desktop</t>
        </is>
      </c>
      <c r="H3501" t="inlineStr">
        <is>
          <t>UPI</t>
        </is>
      </c>
      <c r="I3501" t="inlineStr">
        <is>
          <t>Returned</t>
        </is>
      </c>
      <c r="J3501" t="n">
        <v>111</v>
      </c>
      <c r="K3501" t="n">
        <v>2</v>
      </c>
      <c r="L3501" s="7" t="n">
        <v>524</v>
      </c>
      <c r="M3501" s="7" t="n">
        <v>157.2</v>
      </c>
    </row>
    <row r="3502">
      <c r="A3502" t="n">
        <v>511263</v>
      </c>
      <c r="B3502" s="6" t="n">
        <v>45995</v>
      </c>
      <c r="C3502" t="n">
        <v>17589</v>
      </c>
      <c r="D3502" t="inlineStr">
        <is>
          <t>Pune</t>
        </is>
      </c>
      <c r="E3502" t="inlineStr">
        <is>
          <t>West</t>
        </is>
      </c>
      <c r="F3502" t="inlineStr">
        <is>
          <t>Organic Search</t>
        </is>
      </c>
      <c r="G3502" t="inlineStr">
        <is>
          <t>Mobile App</t>
        </is>
      </c>
      <c r="H3502" t="inlineStr">
        <is>
          <t>UPI</t>
        </is>
      </c>
      <c r="I3502" t="inlineStr">
        <is>
          <t>Delivered</t>
        </is>
      </c>
      <c r="J3502" t="n">
        <v>114</v>
      </c>
      <c r="K3502" t="n">
        <v>1</v>
      </c>
      <c r="L3502" s="7" t="n">
        <v>1259</v>
      </c>
      <c r="M3502" s="7" t="n">
        <v>188.85</v>
      </c>
    </row>
    <row r="3503">
      <c r="A3503" t="n">
        <v>511263</v>
      </c>
      <c r="B3503" s="6" t="n">
        <v>45995</v>
      </c>
      <c r="C3503" t="n">
        <v>17589</v>
      </c>
      <c r="D3503" t="inlineStr">
        <is>
          <t>Pune</t>
        </is>
      </c>
      <c r="E3503" t="inlineStr">
        <is>
          <t>West</t>
        </is>
      </c>
      <c r="F3503" t="inlineStr">
        <is>
          <t>Organic Search</t>
        </is>
      </c>
      <c r="G3503" t="inlineStr">
        <is>
          <t>Mobile App</t>
        </is>
      </c>
      <c r="H3503" t="inlineStr">
        <is>
          <t>UPI</t>
        </is>
      </c>
      <c r="I3503" t="inlineStr">
        <is>
          <t>Delivered</t>
        </is>
      </c>
      <c r="J3503" t="n">
        <v>121</v>
      </c>
      <c r="K3503" t="n">
        <v>1</v>
      </c>
      <c r="L3503" s="7" t="n">
        <v>2939</v>
      </c>
      <c r="M3503" s="7" t="n">
        <v>440.85</v>
      </c>
    </row>
    <row r="3504">
      <c r="A3504" t="n">
        <v>511264</v>
      </c>
      <c r="B3504" s="6" t="n">
        <v>45995</v>
      </c>
      <c r="C3504" t="n">
        <v>17614</v>
      </c>
      <c r="D3504" t="inlineStr">
        <is>
          <t>Pune</t>
        </is>
      </c>
      <c r="E3504" t="inlineStr">
        <is>
          <t>West</t>
        </is>
      </c>
      <c r="F3504" t="inlineStr">
        <is>
          <t>Paid Search</t>
        </is>
      </c>
      <c r="G3504" t="inlineStr">
        <is>
          <t>Desktop</t>
        </is>
      </c>
      <c r="H3504" t="inlineStr">
        <is>
          <t>UPI</t>
        </is>
      </c>
      <c r="I3504" t="inlineStr">
        <is>
          <t>Delivered</t>
        </is>
      </c>
      <c r="J3504" t="n">
        <v>144</v>
      </c>
      <c r="K3504" t="n">
        <v>2</v>
      </c>
      <c r="L3504" s="7" t="n">
        <v>3149</v>
      </c>
      <c r="M3504" s="7" t="n">
        <v>944.7</v>
      </c>
    </row>
    <row r="3505">
      <c r="A3505" t="n">
        <v>511265</v>
      </c>
      <c r="B3505" s="6" t="n">
        <v>45996</v>
      </c>
      <c r="C3505" t="n">
        <v>17598</v>
      </c>
      <c r="D3505" t="inlineStr">
        <is>
          <t>Delhi</t>
        </is>
      </c>
      <c r="E3505" t="inlineStr">
        <is>
          <t>North</t>
        </is>
      </c>
      <c r="F3505" t="inlineStr">
        <is>
          <t>Referral</t>
        </is>
      </c>
      <c r="G3505" t="inlineStr">
        <is>
          <t>Mobile App</t>
        </is>
      </c>
      <c r="H3505" t="inlineStr">
        <is>
          <t>UPI</t>
        </is>
      </c>
      <c r="I3505" t="inlineStr">
        <is>
          <t>Returned</t>
        </is>
      </c>
      <c r="J3505" t="n">
        <v>109</v>
      </c>
      <c r="K3505" t="n">
        <v>1</v>
      </c>
      <c r="L3505" s="7" t="n">
        <v>4199</v>
      </c>
      <c r="M3505" s="7" t="n">
        <v>629.85</v>
      </c>
    </row>
    <row r="3506">
      <c r="A3506" t="n">
        <v>511265</v>
      </c>
      <c r="B3506" s="6" t="n">
        <v>45996</v>
      </c>
      <c r="C3506" t="n">
        <v>17598</v>
      </c>
      <c r="D3506" t="inlineStr">
        <is>
          <t>Delhi</t>
        </is>
      </c>
      <c r="E3506" t="inlineStr">
        <is>
          <t>North</t>
        </is>
      </c>
      <c r="F3506" t="inlineStr">
        <is>
          <t>Referral</t>
        </is>
      </c>
      <c r="G3506" t="inlineStr">
        <is>
          <t>Mobile App</t>
        </is>
      </c>
      <c r="H3506" t="inlineStr">
        <is>
          <t>UPI</t>
        </is>
      </c>
      <c r="I3506" t="inlineStr">
        <is>
          <t>Returned</t>
        </is>
      </c>
      <c r="J3506" t="n">
        <v>117</v>
      </c>
      <c r="K3506" t="n">
        <v>1</v>
      </c>
      <c r="L3506" s="7" t="n">
        <v>3149</v>
      </c>
      <c r="M3506" s="7" t="n">
        <v>472.35</v>
      </c>
    </row>
    <row r="3507">
      <c r="A3507" t="n">
        <v>511265</v>
      </c>
      <c r="B3507" s="6" t="n">
        <v>45996</v>
      </c>
      <c r="C3507" t="n">
        <v>17598</v>
      </c>
      <c r="D3507" t="inlineStr">
        <is>
          <t>Delhi</t>
        </is>
      </c>
      <c r="E3507" t="inlineStr">
        <is>
          <t>North</t>
        </is>
      </c>
      <c r="F3507" t="inlineStr">
        <is>
          <t>Referral</t>
        </is>
      </c>
      <c r="G3507" t="inlineStr">
        <is>
          <t>Mobile App</t>
        </is>
      </c>
      <c r="H3507" t="inlineStr">
        <is>
          <t>UPI</t>
        </is>
      </c>
      <c r="I3507" t="inlineStr">
        <is>
          <t>Returned</t>
        </is>
      </c>
      <c r="J3507" t="n">
        <v>103</v>
      </c>
      <c r="K3507" t="n">
        <v>1</v>
      </c>
      <c r="L3507" s="7" t="n">
        <v>2624</v>
      </c>
      <c r="M3507" s="7" t="n">
        <v>393.6</v>
      </c>
    </row>
    <row r="3508">
      <c r="A3508" t="n">
        <v>511266</v>
      </c>
      <c r="B3508" s="6" t="n">
        <v>45996</v>
      </c>
      <c r="C3508" t="n">
        <v>17616</v>
      </c>
      <c r="D3508" t="inlineStr">
        <is>
          <t>Bengaluru</t>
        </is>
      </c>
      <c r="E3508" t="inlineStr">
        <is>
          <t>South</t>
        </is>
      </c>
      <c r="F3508" t="inlineStr">
        <is>
          <t>Organic Search</t>
        </is>
      </c>
      <c r="G3508" t="inlineStr">
        <is>
          <t>Mobile Web</t>
        </is>
      </c>
      <c r="H3508" t="inlineStr">
        <is>
          <t>UPI</t>
        </is>
      </c>
      <c r="I3508" t="inlineStr">
        <is>
          <t>Delivered</t>
        </is>
      </c>
      <c r="J3508" t="n">
        <v>116</v>
      </c>
      <c r="K3508" t="n">
        <v>1</v>
      </c>
      <c r="L3508" s="7" t="n">
        <v>2624</v>
      </c>
      <c r="M3508" s="7" t="n">
        <v>0</v>
      </c>
    </row>
    <row r="3509">
      <c r="A3509" t="n">
        <v>511266</v>
      </c>
      <c r="B3509" s="6" t="n">
        <v>45996</v>
      </c>
      <c r="C3509" t="n">
        <v>17616</v>
      </c>
      <c r="D3509" t="inlineStr">
        <is>
          <t>Bengaluru</t>
        </is>
      </c>
      <c r="E3509" t="inlineStr">
        <is>
          <t>South</t>
        </is>
      </c>
      <c r="F3509" t="inlineStr">
        <is>
          <t>Organic Search</t>
        </is>
      </c>
      <c r="G3509" t="inlineStr">
        <is>
          <t>Mobile Web</t>
        </is>
      </c>
      <c r="H3509" t="inlineStr">
        <is>
          <t>UPI</t>
        </is>
      </c>
      <c r="I3509" t="inlineStr">
        <is>
          <t>Delivered</t>
        </is>
      </c>
      <c r="J3509" t="n">
        <v>134</v>
      </c>
      <c r="K3509" t="n">
        <v>1</v>
      </c>
      <c r="L3509" s="7" t="n">
        <v>209</v>
      </c>
      <c r="M3509" s="7" t="n">
        <v>0</v>
      </c>
    </row>
    <row r="3510">
      <c r="A3510" t="n">
        <v>511267</v>
      </c>
      <c r="B3510" s="6" t="n">
        <v>45996</v>
      </c>
      <c r="C3510" t="n">
        <v>17444</v>
      </c>
      <c r="D3510" t="inlineStr">
        <is>
          <t>Pune</t>
        </is>
      </c>
      <c r="E3510" t="inlineStr">
        <is>
          <t>West</t>
        </is>
      </c>
      <c r="F3510" t="inlineStr">
        <is>
          <t>Organic Search</t>
        </is>
      </c>
      <c r="G3510" t="inlineStr">
        <is>
          <t>Desktop</t>
        </is>
      </c>
      <c r="H3510" t="inlineStr">
        <is>
          <t>Credit Card</t>
        </is>
      </c>
      <c r="I3510" t="inlineStr">
        <is>
          <t>Delivered</t>
        </is>
      </c>
      <c r="J3510" t="n">
        <v>114</v>
      </c>
      <c r="K3510" t="n">
        <v>1</v>
      </c>
      <c r="L3510" s="7" t="n">
        <v>1259</v>
      </c>
      <c r="M3510" s="7" t="n">
        <v>188.85</v>
      </c>
    </row>
    <row r="3511">
      <c r="A3511" t="n">
        <v>511267</v>
      </c>
      <c r="B3511" s="6" t="n">
        <v>45996</v>
      </c>
      <c r="C3511" t="n">
        <v>17444</v>
      </c>
      <c r="D3511" t="inlineStr">
        <is>
          <t>Pune</t>
        </is>
      </c>
      <c r="E3511" t="inlineStr">
        <is>
          <t>West</t>
        </is>
      </c>
      <c r="F3511" t="inlineStr">
        <is>
          <t>Organic Search</t>
        </is>
      </c>
      <c r="G3511" t="inlineStr">
        <is>
          <t>Desktop</t>
        </is>
      </c>
      <c r="H3511" t="inlineStr">
        <is>
          <t>Credit Card</t>
        </is>
      </c>
      <c r="I3511" t="inlineStr">
        <is>
          <t>Delivered</t>
        </is>
      </c>
      <c r="J3511" t="n">
        <v>123</v>
      </c>
      <c r="K3511" t="n">
        <v>3</v>
      </c>
      <c r="L3511" s="7" t="n">
        <v>3464</v>
      </c>
      <c r="M3511" s="7" t="n">
        <v>1558.8</v>
      </c>
    </row>
    <row r="3512">
      <c r="A3512" t="n">
        <v>511268</v>
      </c>
      <c r="B3512" s="6" t="n">
        <v>45996</v>
      </c>
      <c r="C3512" t="n">
        <v>17465</v>
      </c>
      <c r="D3512" t="inlineStr">
        <is>
          <t>Hyderabad</t>
        </is>
      </c>
      <c r="E3512" t="inlineStr">
        <is>
          <t>South</t>
        </is>
      </c>
      <c r="F3512" t="inlineStr">
        <is>
          <t>Affiliate</t>
        </is>
      </c>
      <c r="G3512" t="inlineStr">
        <is>
          <t>Mobile Web</t>
        </is>
      </c>
      <c r="H3512" t="inlineStr">
        <is>
          <t>Credit Card</t>
        </is>
      </c>
      <c r="I3512" t="inlineStr">
        <is>
          <t>Delivered</t>
        </is>
      </c>
      <c r="J3512" t="n">
        <v>102</v>
      </c>
      <c r="K3512" t="n">
        <v>1</v>
      </c>
      <c r="L3512" s="7" t="n">
        <v>3674</v>
      </c>
      <c r="M3512" s="7" t="n">
        <v>551.1</v>
      </c>
    </row>
    <row r="3513">
      <c r="A3513" t="n">
        <v>511269</v>
      </c>
      <c r="B3513" s="6" t="n">
        <v>45996</v>
      </c>
      <c r="C3513" t="n">
        <v>17631</v>
      </c>
      <c r="D3513" t="inlineStr">
        <is>
          <t>Mumbai</t>
        </is>
      </c>
      <c r="E3513" t="inlineStr">
        <is>
          <t>West</t>
        </is>
      </c>
      <c r="F3513" t="inlineStr">
        <is>
          <t>Referral</t>
        </is>
      </c>
      <c r="G3513" t="inlineStr">
        <is>
          <t>Mobile App</t>
        </is>
      </c>
      <c r="H3513" t="inlineStr">
        <is>
          <t>UPI</t>
        </is>
      </c>
      <c r="I3513" t="inlineStr">
        <is>
          <t>Delivered</t>
        </is>
      </c>
      <c r="J3513" t="n">
        <v>120</v>
      </c>
      <c r="K3513" t="n">
        <v>1</v>
      </c>
      <c r="L3513" s="7" t="n">
        <v>734</v>
      </c>
      <c r="M3513" s="7" t="n">
        <v>0</v>
      </c>
    </row>
    <row r="3514">
      <c r="A3514" t="n">
        <v>511270</v>
      </c>
      <c r="B3514" s="6" t="n">
        <v>45996</v>
      </c>
      <c r="C3514" t="n">
        <v>17607</v>
      </c>
      <c r="D3514" t="inlineStr">
        <is>
          <t>Bengaluru</t>
        </is>
      </c>
      <c r="E3514" t="inlineStr">
        <is>
          <t>South</t>
        </is>
      </c>
      <c r="F3514" t="inlineStr">
        <is>
          <t>Paid Social</t>
        </is>
      </c>
      <c r="G3514" t="inlineStr">
        <is>
          <t>Mobile App</t>
        </is>
      </c>
      <c r="H3514" t="inlineStr">
        <is>
          <t>UPI</t>
        </is>
      </c>
      <c r="I3514" t="inlineStr">
        <is>
          <t>Delivered</t>
        </is>
      </c>
      <c r="J3514" t="n">
        <v>109</v>
      </c>
      <c r="K3514" t="n">
        <v>1</v>
      </c>
      <c r="L3514" s="7" t="n">
        <v>4199</v>
      </c>
      <c r="M3514" s="7" t="n">
        <v>629.85</v>
      </c>
    </row>
    <row r="3515">
      <c r="A3515" t="n">
        <v>511270</v>
      </c>
      <c r="B3515" s="6" t="n">
        <v>45996</v>
      </c>
      <c r="C3515" t="n">
        <v>17607</v>
      </c>
      <c r="D3515" t="inlineStr">
        <is>
          <t>Bengaluru</t>
        </is>
      </c>
      <c r="E3515" t="inlineStr">
        <is>
          <t>South</t>
        </is>
      </c>
      <c r="F3515" t="inlineStr">
        <is>
          <t>Paid Social</t>
        </is>
      </c>
      <c r="G3515" t="inlineStr">
        <is>
          <t>Mobile App</t>
        </is>
      </c>
      <c r="H3515" t="inlineStr">
        <is>
          <t>UPI</t>
        </is>
      </c>
      <c r="I3515" t="inlineStr">
        <is>
          <t>Delivered</t>
        </is>
      </c>
      <c r="J3515" t="n">
        <v>117</v>
      </c>
      <c r="K3515" t="n">
        <v>1</v>
      </c>
      <c r="L3515" s="7" t="n">
        <v>3149</v>
      </c>
      <c r="M3515" s="7" t="n">
        <v>472.35</v>
      </c>
    </row>
    <row r="3516">
      <c r="A3516" t="n">
        <v>511270</v>
      </c>
      <c r="B3516" s="6" t="n">
        <v>45996</v>
      </c>
      <c r="C3516" t="n">
        <v>17607</v>
      </c>
      <c r="D3516" t="inlineStr">
        <is>
          <t>Bengaluru</t>
        </is>
      </c>
      <c r="E3516" t="inlineStr">
        <is>
          <t>South</t>
        </is>
      </c>
      <c r="F3516" t="inlineStr">
        <is>
          <t>Paid Social</t>
        </is>
      </c>
      <c r="G3516" t="inlineStr">
        <is>
          <t>Mobile App</t>
        </is>
      </c>
      <c r="H3516" t="inlineStr">
        <is>
          <t>UPI</t>
        </is>
      </c>
      <c r="I3516" t="inlineStr">
        <is>
          <t>Delivered</t>
        </is>
      </c>
      <c r="J3516" t="n">
        <v>141</v>
      </c>
      <c r="K3516" t="n">
        <v>2</v>
      </c>
      <c r="L3516" s="7" t="n">
        <v>261</v>
      </c>
      <c r="M3516" s="7" t="n">
        <v>78.3</v>
      </c>
    </row>
    <row r="3517">
      <c r="A3517" t="n">
        <v>511271</v>
      </c>
      <c r="B3517" s="6" t="n">
        <v>45996</v>
      </c>
      <c r="C3517" t="n">
        <v>15640</v>
      </c>
      <c r="D3517" t="inlineStr">
        <is>
          <t>Chennai</t>
        </is>
      </c>
      <c r="E3517" t="inlineStr">
        <is>
          <t>South</t>
        </is>
      </c>
      <c r="F3517" t="inlineStr">
        <is>
          <t>Paid Social</t>
        </is>
      </c>
      <c r="G3517" t="inlineStr">
        <is>
          <t>Mobile Web</t>
        </is>
      </c>
      <c r="H3517" t="inlineStr">
        <is>
          <t>Cash on Delivery</t>
        </is>
      </c>
      <c r="I3517" t="inlineStr">
        <is>
          <t>Delivered</t>
        </is>
      </c>
      <c r="J3517" t="n">
        <v>130</v>
      </c>
      <c r="K3517" t="n">
        <v>1</v>
      </c>
      <c r="L3517" s="7" t="n">
        <v>734</v>
      </c>
      <c r="M3517" s="7" t="n">
        <v>36.7</v>
      </c>
    </row>
    <row r="3518">
      <c r="A3518" t="n">
        <v>511271</v>
      </c>
      <c r="B3518" s="6" t="n">
        <v>45996</v>
      </c>
      <c r="C3518" t="n">
        <v>15640</v>
      </c>
      <c r="D3518" t="inlineStr">
        <is>
          <t>Chennai</t>
        </is>
      </c>
      <c r="E3518" t="inlineStr">
        <is>
          <t>South</t>
        </is>
      </c>
      <c r="F3518" t="inlineStr">
        <is>
          <t>Paid Social</t>
        </is>
      </c>
      <c r="G3518" t="inlineStr">
        <is>
          <t>Mobile Web</t>
        </is>
      </c>
      <c r="H3518" t="inlineStr">
        <is>
          <t>Cash on Delivery</t>
        </is>
      </c>
      <c r="I3518" t="inlineStr">
        <is>
          <t>Delivered</t>
        </is>
      </c>
      <c r="J3518" t="n">
        <v>135</v>
      </c>
      <c r="K3518" t="n">
        <v>1</v>
      </c>
      <c r="L3518" s="7" t="n">
        <v>1574</v>
      </c>
      <c r="M3518" s="7" t="n">
        <v>78.7</v>
      </c>
    </row>
    <row r="3519">
      <c r="A3519" t="n">
        <v>511271</v>
      </c>
      <c r="B3519" s="6" t="n">
        <v>45996</v>
      </c>
      <c r="C3519" t="n">
        <v>15640</v>
      </c>
      <c r="D3519" t="inlineStr">
        <is>
          <t>Chennai</t>
        </is>
      </c>
      <c r="E3519" t="inlineStr">
        <is>
          <t>South</t>
        </is>
      </c>
      <c r="F3519" t="inlineStr">
        <is>
          <t>Paid Social</t>
        </is>
      </c>
      <c r="G3519" t="inlineStr">
        <is>
          <t>Mobile Web</t>
        </is>
      </c>
      <c r="H3519" t="inlineStr">
        <is>
          <t>Cash on Delivery</t>
        </is>
      </c>
      <c r="I3519" t="inlineStr">
        <is>
          <t>Delivered</t>
        </is>
      </c>
      <c r="J3519" t="n">
        <v>119</v>
      </c>
      <c r="K3519" t="n">
        <v>1</v>
      </c>
      <c r="L3519" s="7" t="n">
        <v>2309</v>
      </c>
      <c r="M3519" s="7" t="n">
        <v>115.45</v>
      </c>
    </row>
    <row r="3520">
      <c r="A3520" t="n">
        <v>511271</v>
      </c>
      <c r="B3520" s="6" t="n">
        <v>45996</v>
      </c>
      <c r="C3520" t="n">
        <v>15640</v>
      </c>
      <c r="D3520" t="inlineStr">
        <is>
          <t>Chennai</t>
        </is>
      </c>
      <c r="E3520" t="inlineStr">
        <is>
          <t>South</t>
        </is>
      </c>
      <c r="F3520" t="inlineStr">
        <is>
          <t>Paid Social</t>
        </is>
      </c>
      <c r="G3520" t="inlineStr">
        <is>
          <t>Mobile Web</t>
        </is>
      </c>
      <c r="H3520" t="inlineStr">
        <is>
          <t>Cash on Delivery</t>
        </is>
      </c>
      <c r="I3520" t="inlineStr">
        <is>
          <t>Delivered</t>
        </is>
      </c>
      <c r="J3520" t="n">
        <v>113</v>
      </c>
      <c r="K3520" t="n">
        <v>1</v>
      </c>
      <c r="L3520" s="7" t="n">
        <v>1364</v>
      </c>
      <c r="M3520" s="7" t="n">
        <v>68.2</v>
      </c>
    </row>
    <row r="3521">
      <c r="A3521" t="n">
        <v>511272</v>
      </c>
      <c r="B3521" s="6" t="n">
        <v>45996</v>
      </c>
      <c r="C3521" t="n">
        <v>14814</v>
      </c>
      <c r="D3521" t="inlineStr">
        <is>
          <t>Gurugram</t>
        </is>
      </c>
      <c r="E3521" t="inlineStr">
        <is>
          <t>North</t>
        </is>
      </c>
      <c r="F3521" t="inlineStr">
        <is>
          <t>Referral</t>
        </is>
      </c>
      <c r="G3521" t="inlineStr">
        <is>
          <t>Mobile App</t>
        </is>
      </c>
      <c r="H3521" t="inlineStr">
        <is>
          <t>UPI</t>
        </is>
      </c>
      <c r="I3521" t="inlineStr">
        <is>
          <t>Returned</t>
        </is>
      </c>
      <c r="J3521" t="n">
        <v>121</v>
      </c>
      <c r="K3521" t="n">
        <v>1</v>
      </c>
      <c r="L3521" s="7" t="n">
        <v>2939</v>
      </c>
      <c r="M3521" s="7" t="n">
        <v>0</v>
      </c>
    </row>
    <row r="3522">
      <c r="A3522" t="n">
        <v>511272</v>
      </c>
      <c r="B3522" s="6" t="n">
        <v>45996</v>
      </c>
      <c r="C3522" t="n">
        <v>14814</v>
      </c>
      <c r="D3522" t="inlineStr">
        <is>
          <t>Gurugram</t>
        </is>
      </c>
      <c r="E3522" t="inlineStr">
        <is>
          <t>North</t>
        </is>
      </c>
      <c r="F3522" t="inlineStr">
        <is>
          <t>Referral</t>
        </is>
      </c>
      <c r="G3522" t="inlineStr">
        <is>
          <t>Mobile App</t>
        </is>
      </c>
      <c r="H3522" t="inlineStr">
        <is>
          <t>UPI</t>
        </is>
      </c>
      <c r="I3522" t="inlineStr">
        <is>
          <t>Returned</t>
        </is>
      </c>
      <c r="J3522" t="n">
        <v>117</v>
      </c>
      <c r="K3522" t="n">
        <v>1</v>
      </c>
      <c r="L3522" s="7" t="n">
        <v>3149</v>
      </c>
      <c r="M3522" s="7" t="n">
        <v>0</v>
      </c>
    </row>
    <row r="3523">
      <c r="A3523" t="n">
        <v>511273</v>
      </c>
      <c r="B3523" s="6" t="n">
        <v>45996</v>
      </c>
      <c r="C3523" t="n">
        <v>17579</v>
      </c>
      <c r="D3523" t="inlineStr">
        <is>
          <t>Chennai</t>
        </is>
      </c>
      <c r="E3523" t="inlineStr">
        <is>
          <t>South</t>
        </is>
      </c>
      <c r="F3523" t="inlineStr">
        <is>
          <t>Email</t>
        </is>
      </c>
      <c r="G3523" t="inlineStr">
        <is>
          <t>Mobile App</t>
        </is>
      </c>
      <c r="H3523" t="inlineStr">
        <is>
          <t>UPI</t>
        </is>
      </c>
      <c r="I3523" t="inlineStr">
        <is>
          <t>Delivered</t>
        </is>
      </c>
      <c r="J3523" t="n">
        <v>113</v>
      </c>
      <c r="K3523" t="n">
        <v>1</v>
      </c>
      <c r="L3523" s="7" t="n">
        <v>1364</v>
      </c>
      <c r="M3523" s="7" t="n">
        <v>0</v>
      </c>
    </row>
    <row r="3524">
      <c r="A3524" t="n">
        <v>511274</v>
      </c>
      <c r="B3524" s="6" t="n">
        <v>45996</v>
      </c>
      <c r="C3524" t="n">
        <v>10761</v>
      </c>
      <c r="D3524" t="inlineStr">
        <is>
          <t>Delhi</t>
        </is>
      </c>
      <c r="E3524" t="inlineStr">
        <is>
          <t>North</t>
        </is>
      </c>
      <c r="F3524" t="inlineStr">
        <is>
          <t>Affiliate</t>
        </is>
      </c>
      <c r="G3524" t="inlineStr">
        <is>
          <t>Mobile App</t>
        </is>
      </c>
      <c r="H3524" t="inlineStr">
        <is>
          <t>UPI</t>
        </is>
      </c>
      <c r="I3524" t="inlineStr">
        <is>
          <t>Delivered</t>
        </is>
      </c>
      <c r="J3524" t="n">
        <v>122</v>
      </c>
      <c r="K3524" t="n">
        <v>1</v>
      </c>
      <c r="L3524" s="7" t="n">
        <v>1994</v>
      </c>
      <c r="M3524" s="7" t="n">
        <v>0</v>
      </c>
    </row>
    <row r="3525">
      <c r="A3525" t="n">
        <v>511274</v>
      </c>
      <c r="B3525" s="6" t="n">
        <v>45996</v>
      </c>
      <c r="C3525" t="n">
        <v>10761</v>
      </c>
      <c r="D3525" t="inlineStr">
        <is>
          <t>Delhi</t>
        </is>
      </c>
      <c r="E3525" t="inlineStr">
        <is>
          <t>North</t>
        </is>
      </c>
      <c r="F3525" t="inlineStr">
        <is>
          <t>Affiliate</t>
        </is>
      </c>
      <c r="G3525" t="inlineStr">
        <is>
          <t>Mobile App</t>
        </is>
      </c>
      <c r="H3525" t="inlineStr">
        <is>
          <t>UPI</t>
        </is>
      </c>
      <c r="I3525" t="inlineStr">
        <is>
          <t>Delivered</t>
        </is>
      </c>
      <c r="J3525" t="n">
        <v>111</v>
      </c>
      <c r="K3525" t="n">
        <v>1</v>
      </c>
      <c r="L3525" s="7" t="n">
        <v>524</v>
      </c>
      <c r="M3525" s="7" t="n">
        <v>0</v>
      </c>
    </row>
    <row r="3526">
      <c r="A3526" t="n">
        <v>511275</v>
      </c>
      <c r="B3526" s="6" t="n">
        <v>45996</v>
      </c>
      <c r="C3526" t="n">
        <v>17573</v>
      </c>
      <c r="D3526" t="inlineStr">
        <is>
          <t>Bengaluru</t>
        </is>
      </c>
      <c r="E3526" t="inlineStr">
        <is>
          <t>South</t>
        </is>
      </c>
      <c r="F3526" t="inlineStr">
        <is>
          <t>Paid Social</t>
        </is>
      </c>
      <c r="G3526" t="inlineStr">
        <is>
          <t>Desktop</t>
        </is>
      </c>
      <c r="H3526" t="inlineStr">
        <is>
          <t>UPI</t>
        </is>
      </c>
      <c r="I3526" t="inlineStr">
        <is>
          <t>Delivered</t>
        </is>
      </c>
      <c r="J3526" t="n">
        <v>133</v>
      </c>
      <c r="K3526" t="n">
        <v>1</v>
      </c>
      <c r="L3526" s="7" t="n">
        <v>419</v>
      </c>
      <c r="M3526" s="7" t="n">
        <v>62.85</v>
      </c>
    </row>
    <row r="3527">
      <c r="A3527" t="n">
        <v>511275</v>
      </c>
      <c r="B3527" s="6" t="n">
        <v>45996</v>
      </c>
      <c r="C3527" t="n">
        <v>17573</v>
      </c>
      <c r="D3527" t="inlineStr">
        <is>
          <t>Bengaluru</t>
        </is>
      </c>
      <c r="E3527" t="inlineStr">
        <is>
          <t>South</t>
        </is>
      </c>
      <c r="F3527" t="inlineStr">
        <is>
          <t>Paid Social</t>
        </is>
      </c>
      <c r="G3527" t="inlineStr">
        <is>
          <t>Desktop</t>
        </is>
      </c>
      <c r="H3527" t="inlineStr">
        <is>
          <t>UPI</t>
        </is>
      </c>
      <c r="I3527" t="inlineStr">
        <is>
          <t>Delivered</t>
        </is>
      </c>
      <c r="J3527" t="n">
        <v>122</v>
      </c>
      <c r="K3527" t="n">
        <v>3</v>
      </c>
      <c r="L3527" s="7" t="n">
        <v>1994</v>
      </c>
      <c r="M3527" s="7" t="n">
        <v>897.3</v>
      </c>
    </row>
    <row r="3528">
      <c r="A3528" t="n">
        <v>511276</v>
      </c>
      <c r="B3528" s="6" t="n">
        <v>45996</v>
      </c>
      <c r="C3528" t="n">
        <v>17600</v>
      </c>
      <c r="D3528" t="inlineStr">
        <is>
          <t>Mumbai</t>
        </is>
      </c>
      <c r="E3528" t="inlineStr">
        <is>
          <t>West</t>
        </is>
      </c>
      <c r="F3528" t="inlineStr">
        <is>
          <t>Organic Search</t>
        </is>
      </c>
      <c r="G3528" t="inlineStr">
        <is>
          <t>Mobile Web</t>
        </is>
      </c>
      <c r="H3528" t="inlineStr">
        <is>
          <t>UPI</t>
        </is>
      </c>
      <c r="I3528" t="inlineStr">
        <is>
          <t>Delivered</t>
        </is>
      </c>
      <c r="J3528" t="n">
        <v>107</v>
      </c>
      <c r="K3528" t="n">
        <v>1</v>
      </c>
      <c r="L3528" s="7" t="n">
        <v>1259</v>
      </c>
      <c r="M3528" s="7" t="n">
        <v>188.85</v>
      </c>
    </row>
    <row r="3529">
      <c r="A3529" t="n">
        <v>511277</v>
      </c>
      <c r="B3529" s="6" t="n">
        <v>45996</v>
      </c>
      <c r="C3529" t="n">
        <v>17608</v>
      </c>
      <c r="D3529" t="inlineStr">
        <is>
          <t>Mumbai</t>
        </is>
      </c>
      <c r="E3529" t="inlineStr">
        <is>
          <t>West</t>
        </is>
      </c>
      <c r="F3529" t="inlineStr">
        <is>
          <t>Paid Social</t>
        </is>
      </c>
      <c r="G3529" t="inlineStr">
        <is>
          <t>Mobile App</t>
        </is>
      </c>
      <c r="H3529" t="inlineStr">
        <is>
          <t>UPI</t>
        </is>
      </c>
      <c r="I3529" t="inlineStr">
        <is>
          <t>Delivered</t>
        </is>
      </c>
      <c r="J3529" t="n">
        <v>135</v>
      </c>
      <c r="K3529" t="n">
        <v>1</v>
      </c>
      <c r="L3529" s="7" t="n">
        <v>1574</v>
      </c>
      <c r="M3529" s="7" t="n">
        <v>0</v>
      </c>
    </row>
    <row r="3530">
      <c r="A3530" t="n">
        <v>511277</v>
      </c>
      <c r="B3530" s="6" t="n">
        <v>45996</v>
      </c>
      <c r="C3530" t="n">
        <v>17608</v>
      </c>
      <c r="D3530" t="inlineStr">
        <is>
          <t>Mumbai</t>
        </is>
      </c>
      <c r="E3530" t="inlineStr">
        <is>
          <t>West</t>
        </is>
      </c>
      <c r="F3530" t="inlineStr">
        <is>
          <t>Paid Social</t>
        </is>
      </c>
      <c r="G3530" t="inlineStr">
        <is>
          <t>Mobile App</t>
        </is>
      </c>
      <c r="H3530" t="inlineStr">
        <is>
          <t>UPI</t>
        </is>
      </c>
      <c r="I3530" t="inlineStr">
        <is>
          <t>Delivered</t>
        </is>
      </c>
      <c r="J3530" t="n">
        <v>132</v>
      </c>
      <c r="K3530" t="n">
        <v>1</v>
      </c>
      <c r="L3530" s="7" t="n">
        <v>471</v>
      </c>
      <c r="M3530" s="7" t="n">
        <v>0</v>
      </c>
    </row>
    <row r="3531">
      <c r="A3531" t="n">
        <v>511278</v>
      </c>
      <c r="B3531" s="6" t="n">
        <v>45996</v>
      </c>
      <c r="C3531" t="n">
        <v>17641</v>
      </c>
      <c r="D3531" t="inlineStr">
        <is>
          <t>Lucknow</t>
        </is>
      </c>
      <c r="E3531" t="inlineStr">
        <is>
          <t>North</t>
        </is>
      </c>
      <c r="F3531" t="inlineStr">
        <is>
          <t>Paid Social</t>
        </is>
      </c>
      <c r="G3531" t="inlineStr">
        <is>
          <t>Mobile App</t>
        </is>
      </c>
      <c r="H3531" t="inlineStr">
        <is>
          <t>Cash on Delivery</t>
        </is>
      </c>
      <c r="I3531" t="inlineStr">
        <is>
          <t>Delivered</t>
        </is>
      </c>
      <c r="J3531" t="n">
        <v>127</v>
      </c>
      <c r="K3531" t="n">
        <v>1</v>
      </c>
      <c r="L3531" s="7" t="n">
        <v>681</v>
      </c>
      <c r="M3531" s="7" t="n">
        <v>102.15</v>
      </c>
    </row>
    <row r="3532">
      <c r="A3532" t="n">
        <v>511279</v>
      </c>
      <c r="B3532" s="6" t="n">
        <v>45996</v>
      </c>
      <c r="C3532" t="n">
        <v>17613</v>
      </c>
      <c r="D3532" t="inlineStr">
        <is>
          <t>Indore</t>
        </is>
      </c>
      <c r="E3532" t="inlineStr">
        <is>
          <t>West</t>
        </is>
      </c>
      <c r="F3532" t="inlineStr">
        <is>
          <t>Paid Social</t>
        </is>
      </c>
      <c r="G3532" t="inlineStr">
        <is>
          <t>Mobile App</t>
        </is>
      </c>
      <c r="H3532" t="inlineStr">
        <is>
          <t>UPI</t>
        </is>
      </c>
      <c r="I3532" t="inlineStr">
        <is>
          <t>Returned</t>
        </is>
      </c>
      <c r="J3532" t="n">
        <v>116</v>
      </c>
      <c r="K3532" t="n">
        <v>1</v>
      </c>
      <c r="L3532" s="7" t="n">
        <v>2624</v>
      </c>
      <c r="M3532" s="7" t="n">
        <v>393.6</v>
      </c>
    </row>
    <row r="3533">
      <c r="A3533" t="n">
        <v>511279</v>
      </c>
      <c r="B3533" s="6" t="n">
        <v>45996</v>
      </c>
      <c r="C3533" t="n">
        <v>17613</v>
      </c>
      <c r="D3533" t="inlineStr">
        <is>
          <t>Indore</t>
        </is>
      </c>
      <c r="E3533" t="inlineStr">
        <is>
          <t>West</t>
        </is>
      </c>
      <c r="F3533" t="inlineStr">
        <is>
          <t>Paid Social</t>
        </is>
      </c>
      <c r="G3533" t="inlineStr">
        <is>
          <t>Mobile App</t>
        </is>
      </c>
      <c r="H3533" t="inlineStr">
        <is>
          <t>UPI</t>
        </is>
      </c>
      <c r="I3533" t="inlineStr">
        <is>
          <t>Returned</t>
        </is>
      </c>
      <c r="J3533" t="n">
        <v>106</v>
      </c>
      <c r="K3533" t="n">
        <v>1</v>
      </c>
      <c r="L3533" s="7" t="n">
        <v>1574</v>
      </c>
      <c r="M3533" s="7" t="n">
        <v>236.1</v>
      </c>
    </row>
    <row r="3534">
      <c r="A3534" t="n">
        <v>511279</v>
      </c>
      <c r="B3534" s="6" t="n">
        <v>45996</v>
      </c>
      <c r="C3534" t="n">
        <v>17613</v>
      </c>
      <c r="D3534" t="inlineStr">
        <is>
          <t>Indore</t>
        </is>
      </c>
      <c r="E3534" t="inlineStr">
        <is>
          <t>West</t>
        </is>
      </c>
      <c r="F3534" t="inlineStr">
        <is>
          <t>Paid Social</t>
        </is>
      </c>
      <c r="G3534" t="inlineStr">
        <is>
          <t>Mobile App</t>
        </is>
      </c>
      <c r="H3534" t="inlineStr">
        <is>
          <t>UPI</t>
        </is>
      </c>
      <c r="I3534" t="inlineStr">
        <is>
          <t>Returned</t>
        </is>
      </c>
      <c r="J3534" t="n">
        <v>113</v>
      </c>
      <c r="K3534" t="n">
        <v>1</v>
      </c>
      <c r="L3534" s="7" t="n">
        <v>1364</v>
      </c>
      <c r="M3534" s="7" t="n">
        <v>204.6</v>
      </c>
    </row>
    <row r="3535">
      <c r="A3535" t="n">
        <v>511280</v>
      </c>
      <c r="B3535" s="6" t="n">
        <v>45996</v>
      </c>
      <c r="C3535" t="n">
        <v>17050</v>
      </c>
      <c r="D3535" t="inlineStr">
        <is>
          <t>Kochi</t>
        </is>
      </c>
      <c r="E3535" t="inlineStr">
        <is>
          <t>South</t>
        </is>
      </c>
      <c r="F3535" t="inlineStr">
        <is>
          <t>Referral</t>
        </is>
      </c>
      <c r="G3535" t="inlineStr">
        <is>
          <t>Mobile App</t>
        </is>
      </c>
      <c r="H3535" t="inlineStr">
        <is>
          <t>Cash on Delivery</t>
        </is>
      </c>
      <c r="I3535" t="inlineStr">
        <is>
          <t>Delivered</t>
        </is>
      </c>
      <c r="J3535" t="n">
        <v>108</v>
      </c>
      <c r="K3535" t="n">
        <v>2</v>
      </c>
      <c r="L3535" s="7" t="n">
        <v>419</v>
      </c>
      <c r="M3535" s="7" t="n">
        <v>0</v>
      </c>
    </row>
    <row r="3536">
      <c r="A3536" t="n">
        <v>511281</v>
      </c>
      <c r="B3536" s="6" t="n">
        <v>45996</v>
      </c>
      <c r="C3536" t="n">
        <v>17619</v>
      </c>
      <c r="D3536" t="inlineStr">
        <is>
          <t>Ahmedabad</t>
        </is>
      </c>
      <c r="E3536" t="inlineStr">
        <is>
          <t>West</t>
        </is>
      </c>
      <c r="F3536" t="inlineStr">
        <is>
          <t>Affiliate</t>
        </is>
      </c>
      <c r="G3536" t="inlineStr">
        <is>
          <t>Mobile Web</t>
        </is>
      </c>
      <c r="H3536" t="inlineStr">
        <is>
          <t>UPI</t>
        </is>
      </c>
      <c r="I3536" t="inlineStr">
        <is>
          <t>Delivered</t>
        </is>
      </c>
      <c r="J3536" t="n">
        <v>102</v>
      </c>
      <c r="K3536" t="n">
        <v>1</v>
      </c>
      <c r="L3536" s="7" t="n">
        <v>3674</v>
      </c>
      <c r="M3536" s="7" t="n">
        <v>551.1</v>
      </c>
    </row>
    <row r="3537">
      <c r="A3537" t="n">
        <v>511282</v>
      </c>
      <c r="B3537" s="6" t="n">
        <v>45996</v>
      </c>
      <c r="C3537" t="n">
        <v>17581</v>
      </c>
      <c r="D3537" t="inlineStr">
        <is>
          <t>Mumbai</t>
        </is>
      </c>
      <c r="E3537" t="inlineStr">
        <is>
          <t>West</t>
        </is>
      </c>
      <c r="F3537" t="inlineStr">
        <is>
          <t>Affiliate</t>
        </is>
      </c>
      <c r="G3537" t="inlineStr">
        <is>
          <t>Mobile Web</t>
        </is>
      </c>
      <c r="H3537" t="inlineStr">
        <is>
          <t>UPI</t>
        </is>
      </c>
      <c r="I3537" t="inlineStr">
        <is>
          <t>Delivered</t>
        </is>
      </c>
      <c r="J3537" t="n">
        <v>144</v>
      </c>
      <c r="K3537" t="n">
        <v>1</v>
      </c>
      <c r="L3537" s="7" t="n">
        <v>3149</v>
      </c>
      <c r="M3537" s="7" t="n">
        <v>0</v>
      </c>
    </row>
    <row r="3538">
      <c r="A3538" t="n">
        <v>511282</v>
      </c>
      <c r="B3538" s="6" t="n">
        <v>45996</v>
      </c>
      <c r="C3538" t="n">
        <v>17581</v>
      </c>
      <c r="D3538" t="inlineStr">
        <is>
          <t>Mumbai</t>
        </is>
      </c>
      <c r="E3538" t="inlineStr">
        <is>
          <t>West</t>
        </is>
      </c>
      <c r="F3538" t="inlineStr">
        <is>
          <t>Affiliate</t>
        </is>
      </c>
      <c r="G3538" t="inlineStr">
        <is>
          <t>Mobile Web</t>
        </is>
      </c>
      <c r="H3538" t="inlineStr">
        <is>
          <t>UPI</t>
        </is>
      </c>
      <c r="I3538" t="inlineStr">
        <is>
          <t>Delivered</t>
        </is>
      </c>
      <c r="J3538" t="n">
        <v>108</v>
      </c>
      <c r="K3538" t="n">
        <v>1</v>
      </c>
      <c r="L3538" s="7" t="n">
        <v>419</v>
      </c>
      <c r="M3538" s="7" t="n">
        <v>0</v>
      </c>
    </row>
    <row r="3539">
      <c r="A3539" t="n">
        <v>511283</v>
      </c>
      <c r="B3539" s="6" t="n">
        <v>45996</v>
      </c>
      <c r="C3539" t="n">
        <v>17630</v>
      </c>
      <c r="D3539" t="inlineStr">
        <is>
          <t>Kochi</t>
        </is>
      </c>
      <c r="E3539" t="inlineStr">
        <is>
          <t>South</t>
        </is>
      </c>
      <c r="F3539" t="inlineStr">
        <is>
          <t>Organic Search</t>
        </is>
      </c>
      <c r="G3539" t="inlineStr">
        <is>
          <t>Desktop</t>
        </is>
      </c>
      <c r="H3539" t="inlineStr">
        <is>
          <t>UPI</t>
        </is>
      </c>
      <c r="I3539" t="inlineStr">
        <is>
          <t>Delivered</t>
        </is>
      </c>
      <c r="J3539" t="n">
        <v>121</v>
      </c>
      <c r="K3539" t="n">
        <v>1</v>
      </c>
      <c r="L3539" s="7" t="n">
        <v>2939</v>
      </c>
      <c r="M3539" s="7" t="n">
        <v>0</v>
      </c>
    </row>
    <row r="3540">
      <c r="A3540" t="n">
        <v>511284</v>
      </c>
      <c r="B3540" s="6" t="n">
        <v>45996</v>
      </c>
      <c r="C3540" t="n">
        <v>13652</v>
      </c>
      <c r="D3540" t="inlineStr">
        <is>
          <t>Jaipur</t>
        </is>
      </c>
      <c r="E3540" t="inlineStr">
        <is>
          <t>North</t>
        </is>
      </c>
      <c r="F3540" t="inlineStr">
        <is>
          <t>Paid Social</t>
        </is>
      </c>
      <c r="G3540" t="inlineStr">
        <is>
          <t>Desktop</t>
        </is>
      </c>
      <c r="H3540" t="inlineStr">
        <is>
          <t>UPI</t>
        </is>
      </c>
      <c r="I3540" t="inlineStr">
        <is>
          <t>Delivered</t>
        </is>
      </c>
      <c r="J3540" t="n">
        <v>128</v>
      </c>
      <c r="K3540" t="n">
        <v>1</v>
      </c>
      <c r="L3540" s="7" t="n">
        <v>1049</v>
      </c>
      <c r="M3540" s="7" t="n">
        <v>0</v>
      </c>
    </row>
    <row r="3541">
      <c r="A3541" t="n">
        <v>511284</v>
      </c>
      <c r="B3541" s="6" t="n">
        <v>45996</v>
      </c>
      <c r="C3541" t="n">
        <v>13652</v>
      </c>
      <c r="D3541" t="inlineStr">
        <is>
          <t>Jaipur</t>
        </is>
      </c>
      <c r="E3541" t="inlineStr">
        <is>
          <t>North</t>
        </is>
      </c>
      <c r="F3541" t="inlineStr">
        <is>
          <t>Paid Social</t>
        </is>
      </c>
      <c r="G3541" t="inlineStr">
        <is>
          <t>Desktop</t>
        </is>
      </c>
      <c r="H3541" t="inlineStr">
        <is>
          <t>UPI</t>
        </is>
      </c>
      <c r="I3541" t="inlineStr">
        <is>
          <t>Delivered</t>
        </is>
      </c>
      <c r="J3541" t="n">
        <v>134</v>
      </c>
      <c r="K3541" t="n">
        <v>1</v>
      </c>
      <c r="L3541" s="7" t="n">
        <v>209</v>
      </c>
      <c r="M3541" s="7" t="n">
        <v>0</v>
      </c>
    </row>
    <row r="3542">
      <c r="A3542" t="n">
        <v>511284</v>
      </c>
      <c r="B3542" s="6" t="n">
        <v>45996</v>
      </c>
      <c r="C3542" t="n">
        <v>13652</v>
      </c>
      <c r="D3542" t="inlineStr">
        <is>
          <t>Jaipur</t>
        </is>
      </c>
      <c r="E3542" t="inlineStr">
        <is>
          <t>North</t>
        </is>
      </c>
      <c r="F3542" t="inlineStr">
        <is>
          <t>Paid Social</t>
        </is>
      </c>
      <c r="G3542" t="inlineStr">
        <is>
          <t>Desktop</t>
        </is>
      </c>
      <c r="H3542" t="inlineStr">
        <is>
          <t>UPI</t>
        </is>
      </c>
      <c r="I3542" t="inlineStr">
        <is>
          <t>Delivered</t>
        </is>
      </c>
      <c r="J3542" t="n">
        <v>102</v>
      </c>
      <c r="K3542" t="n">
        <v>1</v>
      </c>
      <c r="L3542" s="7" t="n">
        <v>3674</v>
      </c>
      <c r="M3542" s="7" t="n">
        <v>0</v>
      </c>
    </row>
    <row r="3543">
      <c r="A3543" t="n">
        <v>511285</v>
      </c>
      <c r="B3543" s="6" t="n">
        <v>45996</v>
      </c>
      <c r="C3543" t="n">
        <v>16709</v>
      </c>
      <c r="D3543" t="inlineStr">
        <is>
          <t>Bengaluru</t>
        </is>
      </c>
      <c r="E3543" t="inlineStr">
        <is>
          <t>South</t>
        </is>
      </c>
      <c r="F3543" t="inlineStr">
        <is>
          <t>Email</t>
        </is>
      </c>
      <c r="G3543" t="inlineStr">
        <is>
          <t>Desktop</t>
        </is>
      </c>
      <c r="H3543" t="inlineStr">
        <is>
          <t>UPI</t>
        </is>
      </c>
      <c r="I3543" t="inlineStr">
        <is>
          <t>Delivered</t>
        </is>
      </c>
      <c r="J3543" t="n">
        <v>130</v>
      </c>
      <c r="K3543" t="n">
        <v>1</v>
      </c>
      <c r="L3543" s="7" t="n">
        <v>734</v>
      </c>
      <c r="M3543" s="7" t="n">
        <v>0</v>
      </c>
    </row>
    <row r="3544">
      <c r="A3544" t="n">
        <v>511286</v>
      </c>
      <c r="B3544" s="6" t="n">
        <v>45997</v>
      </c>
      <c r="C3544" t="n">
        <v>17024</v>
      </c>
      <c r="D3544" t="inlineStr">
        <is>
          <t>Delhi</t>
        </is>
      </c>
      <c r="E3544" t="inlineStr">
        <is>
          <t>North</t>
        </is>
      </c>
      <c r="F3544" t="inlineStr">
        <is>
          <t>Organic Search</t>
        </is>
      </c>
      <c r="G3544" t="inlineStr">
        <is>
          <t>Mobile App</t>
        </is>
      </c>
      <c r="H3544" t="inlineStr">
        <is>
          <t>Cash on Delivery</t>
        </is>
      </c>
      <c r="I3544" t="inlineStr">
        <is>
          <t>Delivered</t>
        </is>
      </c>
      <c r="J3544" t="n">
        <v>114</v>
      </c>
      <c r="K3544" t="n">
        <v>1</v>
      </c>
      <c r="L3544" s="7" t="n">
        <v>1259</v>
      </c>
      <c r="M3544" s="7" t="n">
        <v>0</v>
      </c>
    </row>
    <row r="3545">
      <c r="A3545" t="n">
        <v>511286</v>
      </c>
      <c r="B3545" s="6" t="n">
        <v>45997</v>
      </c>
      <c r="C3545" t="n">
        <v>17024</v>
      </c>
      <c r="D3545" t="inlineStr">
        <is>
          <t>Delhi</t>
        </is>
      </c>
      <c r="E3545" t="inlineStr">
        <is>
          <t>North</t>
        </is>
      </c>
      <c r="F3545" t="inlineStr">
        <is>
          <t>Organic Search</t>
        </is>
      </c>
      <c r="G3545" t="inlineStr">
        <is>
          <t>Mobile App</t>
        </is>
      </c>
      <c r="H3545" t="inlineStr">
        <is>
          <t>Cash on Delivery</t>
        </is>
      </c>
      <c r="I3545" t="inlineStr">
        <is>
          <t>Delivered</t>
        </is>
      </c>
      <c r="J3545" t="n">
        <v>103</v>
      </c>
      <c r="K3545" t="n">
        <v>2</v>
      </c>
      <c r="L3545" s="7" t="n">
        <v>2624</v>
      </c>
      <c r="M3545" s="7" t="n">
        <v>0</v>
      </c>
    </row>
    <row r="3546">
      <c r="A3546" t="n">
        <v>511286</v>
      </c>
      <c r="B3546" s="6" t="n">
        <v>45997</v>
      </c>
      <c r="C3546" t="n">
        <v>17024</v>
      </c>
      <c r="D3546" t="inlineStr">
        <is>
          <t>Delhi</t>
        </is>
      </c>
      <c r="E3546" t="inlineStr">
        <is>
          <t>North</t>
        </is>
      </c>
      <c r="F3546" t="inlineStr">
        <is>
          <t>Organic Search</t>
        </is>
      </c>
      <c r="G3546" t="inlineStr">
        <is>
          <t>Mobile App</t>
        </is>
      </c>
      <c r="H3546" t="inlineStr">
        <is>
          <t>Cash on Delivery</t>
        </is>
      </c>
      <c r="I3546" t="inlineStr">
        <is>
          <t>Delivered</t>
        </is>
      </c>
      <c r="J3546" t="n">
        <v>116</v>
      </c>
      <c r="K3546" t="n">
        <v>1</v>
      </c>
      <c r="L3546" s="7" t="n">
        <v>2624</v>
      </c>
      <c r="M3546" s="7" t="n">
        <v>0</v>
      </c>
    </row>
    <row r="3547">
      <c r="A3547" t="n">
        <v>511287</v>
      </c>
      <c r="B3547" s="6" t="n">
        <v>45997</v>
      </c>
      <c r="C3547" t="n">
        <v>15274</v>
      </c>
      <c r="D3547" t="inlineStr">
        <is>
          <t>Lucknow</t>
        </is>
      </c>
      <c r="E3547" t="inlineStr">
        <is>
          <t>North</t>
        </is>
      </c>
      <c r="F3547" t="inlineStr">
        <is>
          <t>Organic Search</t>
        </is>
      </c>
      <c r="G3547" t="inlineStr">
        <is>
          <t>Mobile Web</t>
        </is>
      </c>
      <c r="H3547" t="inlineStr">
        <is>
          <t>Cash on Delivery</t>
        </is>
      </c>
      <c r="I3547" t="inlineStr">
        <is>
          <t>Cancelled</t>
        </is>
      </c>
      <c r="J3547" t="n">
        <v>118</v>
      </c>
      <c r="K3547" t="n">
        <v>1</v>
      </c>
      <c r="L3547" s="7" t="n">
        <v>944</v>
      </c>
      <c r="M3547" s="7" t="n">
        <v>0</v>
      </c>
    </row>
    <row r="3548">
      <c r="A3548" t="n">
        <v>511288</v>
      </c>
      <c r="B3548" s="6" t="n">
        <v>45997</v>
      </c>
      <c r="C3548" t="n">
        <v>17648</v>
      </c>
      <c r="D3548" t="inlineStr">
        <is>
          <t>Lucknow</t>
        </is>
      </c>
      <c r="E3548" t="inlineStr">
        <is>
          <t>North</t>
        </is>
      </c>
      <c r="F3548" t="inlineStr">
        <is>
          <t>Email</t>
        </is>
      </c>
      <c r="G3548" t="inlineStr">
        <is>
          <t>Mobile App</t>
        </is>
      </c>
      <c r="H3548" t="inlineStr">
        <is>
          <t>Credit Card</t>
        </is>
      </c>
      <c r="I3548" t="inlineStr">
        <is>
          <t>Delivered</t>
        </is>
      </c>
      <c r="J3548" t="n">
        <v>107</v>
      </c>
      <c r="K3548" t="n">
        <v>1</v>
      </c>
      <c r="L3548" s="7" t="n">
        <v>1259</v>
      </c>
      <c r="M3548" s="7" t="n">
        <v>0</v>
      </c>
    </row>
    <row r="3549">
      <c r="A3549" t="n">
        <v>511289</v>
      </c>
      <c r="B3549" s="6" t="n">
        <v>45997</v>
      </c>
      <c r="C3549" t="n">
        <v>15442</v>
      </c>
      <c r="D3549" t="inlineStr">
        <is>
          <t>Lucknow</t>
        </is>
      </c>
      <c r="E3549" t="inlineStr">
        <is>
          <t>North</t>
        </is>
      </c>
      <c r="F3549" t="inlineStr">
        <is>
          <t>Referral</t>
        </is>
      </c>
      <c r="G3549" t="inlineStr">
        <is>
          <t>Mobile App</t>
        </is>
      </c>
      <c r="H3549" t="inlineStr">
        <is>
          <t>UPI</t>
        </is>
      </c>
      <c r="I3549" t="inlineStr">
        <is>
          <t>Delivered</t>
        </is>
      </c>
      <c r="J3549" t="n">
        <v>109</v>
      </c>
      <c r="K3549" t="n">
        <v>1</v>
      </c>
      <c r="L3549" s="7" t="n">
        <v>4199</v>
      </c>
      <c r="M3549" s="7" t="n">
        <v>0</v>
      </c>
    </row>
    <row r="3550">
      <c r="A3550" t="n">
        <v>511289</v>
      </c>
      <c r="B3550" s="6" t="n">
        <v>45997</v>
      </c>
      <c r="C3550" t="n">
        <v>15442</v>
      </c>
      <c r="D3550" t="inlineStr">
        <is>
          <t>Lucknow</t>
        </is>
      </c>
      <c r="E3550" t="inlineStr">
        <is>
          <t>North</t>
        </is>
      </c>
      <c r="F3550" t="inlineStr">
        <is>
          <t>Referral</t>
        </is>
      </c>
      <c r="G3550" t="inlineStr">
        <is>
          <t>Mobile App</t>
        </is>
      </c>
      <c r="H3550" t="inlineStr">
        <is>
          <t>UPI</t>
        </is>
      </c>
      <c r="I3550" t="inlineStr">
        <is>
          <t>Delivered</t>
        </is>
      </c>
      <c r="J3550" t="n">
        <v>111</v>
      </c>
      <c r="K3550" t="n">
        <v>1</v>
      </c>
      <c r="L3550" s="7" t="n">
        <v>524</v>
      </c>
      <c r="M3550" s="7" t="n">
        <v>0</v>
      </c>
    </row>
    <row r="3551">
      <c r="A3551" t="n">
        <v>511289</v>
      </c>
      <c r="B3551" s="6" t="n">
        <v>45997</v>
      </c>
      <c r="C3551" t="n">
        <v>15442</v>
      </c>
      <c r="D3551" t="inlineStr">
        <is>
          <t>Lucknow</t>
        </is>
      </c>
      <c r="E3551" t="inlineStr">
        <is>
          <t>North</t>
        </is>
      </c>
      <c r="F3551" t="inlineStr">
        <is>
          <t>Referral</t>
        </is>
      </c>
      <c r="G3551" t="inlineStr">
        <is>
          <t>Mobile App</t>
        </is>
      </c>
      <c r="H3551" t="inlineStr">
        <is>
          <t>UPI</t>
        </is>
      </c>
      <c r="I3551" t="inlineStr">
        <is>
          <t>Delivered</t>
        </is>
      </c>
      <c r="J3551" t="n">
        <v>118</v>
      </c>
      <c r="K3551" t="n">
        <v>1</v>
      </c>
      <c r="L3551" s="7" t="n">
        <v>944</v>
      </c>
      <c r="M3551" s="7" t="n">
        <v>0</v>
      </c>
    </row>
    <row r="3552">
      <c r="A3552" t="n">
        <v>511290</v>
      </c>
      <c r="B3552" s="6" t="n">
        <v>45997</v>
      </c>
      <c r="C3552" t="n">
        <v>17644</v>
      </c>
      <c r="D3552" t="inlineStr">
        <is>
          <t>Delhi</t>
        </is>
      </c>
      <c r="E3552" t="inlineStr">
        <is>
          <t>North</t>
        </is>
      </c>
      <c r="F3552" t="inlineStr">
        <is>
          <t>Referral</t>
        </is>
      </c>
      <c r="G3552" t="inlineStr">
        <is>
          <t>Desktop</t>
        </is>
      </c>
      <c r="H3552" t="inlineStr">
        <is>
          <t>UPI</t>
        </is>
      </c>
      <c r="I3552" t="inlineStr">
        <is>
          <t>Delivered</t>
        </is>
      </c>
      <c r="J3552" t="n">
        <v>124</v>
      </c>
      <c r="K3552" t="n">
        <v>1</v>
      </c>
      <c r="L3552" s="7" t="n">
        <v>1154</v>
      </c>
      <c r="M3552" s="7" t="n">
        <v>0</v>
      </c>
    </row>
    <row r="3553">
      <c r="A3553" t="n">
        <v>511291</v>
      </c>
      <c r="B3553" s="6" t="n">
        <v>45997</v>
      </c>
      <c r="C3553" t="n">
        <v>14715</v>
      </c>
      <c r="D3553" t="inlineStr">
        <is>
          <t>Mumbai</t>
        </is>
      </c>
      <c r="E3553" t="inlineStr">
        <is>
          <t>West</t>
        </is>
      </c>
      <c r="F3553" t="inlineStr">
        <is>
          <t>Email</t>
        </is>
      </c>
      <c r="G3553" t="inlineStr">
        <is>
          <t>Mobile Web</t>
        </is>
      </c>
      <c r="H3553" t="inlineStr">
        <is>
          <t>Cash on Delivery</t>
        </is>
      </c>
      <c r="I3553" t="inlineStr">
        <is>
          <t>Cancelled</t>
        </is>
      </c>
      <c r="J3553" t="n">
        <v>118</v>
      </c>
      <c r="K3553" t="n">
        <v>1</v>
      </c>
      <c r="L3553" s="7" t="n">
        <v>944</v>
      </c>
      <c r="M3553" s="7" t="n">
        <v>0</v>
      </c>
    </row>
    <row r="3554">
      <c r="A3554" t="n">
        <v>511291</v>
      </c>
      <c r="B3554" s="6" t="n">
        <v>45997</v>
      </c>
      <c r="C3554" t="n">
        <v>14715</v>
      </c>
      <c r="D3554" t="inlineStr">
        <is>
          <t>Mumbai</t>
        </is>
      </c>
      <c r="E3554" t="inlineStr">
        <is>
          <t>West</t>
        </is>
      </c>
      <c r="F3554" t="inlineStr">
        <is>
          <t>Email</t>
        </is>
      </c>
      <c r="G3554" t="inlineStr">
        <is>
          <t>Mobile Web</t>
        </is>
      </c>
      <c r="H3554" t="inlineStr">
        <is>
          <t>Cash on Delivery</t>
        </is>
      </c>
      <c r="I3554" t="inlineStr">
        <is>
          <t>Cancelled</t>
        </is>
      </c>
      <c r="J3554" t="n">
        <v>122</v>
      </c>
      <c r="K3554" t="n">
        <v>1</v>
      </c>
      <c r="L3554" s="7" t="n">
        <v>1994</v>
      </c>
      <c r="M3554" s="7" t="n">
        <v>0</v>
      </c>
    </row>
    <row r="3555">
      <c r="A3555" t="n">
        <v>511292</v>
      </c>
      <c r="B3555" s="6" t="n">
        <v>45997</v>
      </c>
      <c r="C3555" t="n">
        <v>17201</v>
      </c>
      <c r="D3555" t="inlineStr">
        <is>
          <t>Mumbai</t>
        </is>
      </c>
      <c r="E3555" t="inlineStr">
        <is>
          <t>West</t>
        </is>
      </c>
      <c r="F3555" t="inlineStr">
        <is>
          <t>Paid Social</t>
        </is>
      </c>
      <c r="G3555" t="inlineStr">
        <is>
          <t>Desktop</t>
        </is>
      </c>
      <c r="H3555" t="inlineStr">
        <is>
          <t>Credit Card</t>
        </is>
      </c>
      <c r="I3555" t="inlineStr">
        <is>
          <t>Delivered</t>
        </is>
      </c>
      <c r="J3555" t="n">
        <v>132</v>
      </c>
      <c r="K3555" t="n">
        <v>1</v>
      </c>
      <c r="L3555" s="7" t="n">
        <v>471</v>
      </c>
      <c r="M3555" s="7" t="n">
        <v>23.55</v>
      </c>
    </row>
    <row r="3556">
      <c r="A3556" t="n">
        <v>511292</v>
      </c>
      <c r="B3556" s="6" t="n">
        <v>45997</v>
      </c>
      <c r="C3556" t="n">
        <v>17201</v>
      </c>
      <c r="D3556" t="inlineStr">
        <is>
          <t>Mumbai</t>
        </is>
      </c>
      <c r="E3556" t="inlineStr">
        <is>
          <t>West</t>
        </is>
      </c>
      <c r="F3556" t="inlineStr">
        <is>
          <t>Paid Social</t>
        </is>
      </c>
      <c r="G3556" t="inlineStr">
        <is>
          <t>Desktop</t>
        </is>
      </c>
      <c r="H3556" t="inlineStr">
        <is>
          <t>Credit Card</t>
        </is>
      </c>
      <c r="I3556" t="inlineStr">
        <is>
          <t>Delivered</t>
        </is>
      </c>
      <c r="J3556" t="n">
        <v>115</v>
      </c>
      <c r="K3556" t="n">
        <v>1</v>
      </c>
      <c r="L3556" s="7" t="n">
        <v>4199</v>
      </c>
      <c r="M3556" s="7" t="n">
        <v>209.95</v>
      </c>
    </row>
    <row r="3557">
      <c r="A3557" t="n">
        <v>511293</v>
      </c>
      <c r="B3557" s="6" t="n">
        <v>45997</v>
      </c>
      <c r="C3557" t="n">
        <v>17183</v>
      </c>
      <c r="D3557" t="inlineStr">
        <is>
          <t>Delhi</t>
        </is>
      </c>
      <c r="E3557" t="inlineStr">
        <is>
          <t>North</t>
        </is>
      </c>
      <c r="F3557" t="inlineStr">
        <is>
          <t>Paid Social</t>
        </is>
      </c>
      <c r="G3557" t="inlineStr">
        <is>
          <t>Mobile Web</t>
        </is>
      </c>
      <c r="H3557" t="inlineStr">
        <is>
          <t>UPI</t>
        </is>
      </c>
      <c r="I3557" t="inlineStr">
        <is>
          <t>Delivered</t>
        </is>
      </c>
      <c r="J3557" t="n">
        <v>103</v>
      </c>
      <c r="K3557" t="n">
        <v>2</v>
      </c>
      <c r="L3557" s="7" t="n">
        <v>2624</v>
      </c>
      <c r="M3557" s="7" t="n">
        <v>0</v>
      </c>
    </row>
    <row r="3558">
      <c r="A3558" t="n">
        <v>511293</v>
      </c>
      <c r="B3558" s="6" t="n">
        <v>45997</v>
      </c>
      <c r="C3558" t="n">
        <v>17183</v>
      </c>
      <c r="D3558" t="inlineStr">
        <is>
          <t>Delhi</t>
        </is>
      </c>
      <c r="E3558" t="inlineStr">
        <is>
          <t>North</t>
        </is>
      </c>
      <c r="F3558" t="inlineStr">
        <is>
          <t>Paid Social</t>
        </is>
      </c>
      <c r="G3558" t="inlineStr">
        <is>
          <t>Mobile Web</t>
        </is>
      </c>
      <c r="H3558" t="inlineStr">
        <is>
          <t>UPI</t>
        </is>
      </c>
      <c r="I3558" t="inlineStr">
        <is>
          <t>Delivered</t>
        </is>
      </c>
      <c r="J3558" t="n">
        <v>112</v>
      </c>
      <c r="K3558" t="n">
        <v>1</v>
      </c>
      <c r="L3558" s="7" t="n">
        <v>1574</v>
      </c>
      <c r="M3558" s="7" t="n">
        <v>0</v>
      </c>
    </row>
    <row r="3559">
      <c r="A3559" t="n">
        <v>511294</v>
      </c>
      <c r="B3559" s="6" t="n">
        <v>45997</v>
      </c>
      <c r="C3559" t="n">
        <v>17074</v>
      </c>
      <c r="D3559" t="inlineStr">
        <is>
          <t>Hyderabad</t>
        </is>
      </c>
      <c r="E3559" t="inlineStr">
        <is>
          <t>South</t>
        </is>
      </c>
      <c r="F3559" t="inlineStr">
        <is>
          <t>Referral</t>
        </is>
      </c>
      <c r="G3559" t="inlineStr">
        <is>
          <t>Desktop</t>
        </is>
      </c>
      <c r="H3559" t="inlineStr">
        <is>
          <t>Cash on Delivery</t>
        </is>
      </c>
      <c r="I3559" t="inlineStr">
        <is>
          <t>Cancelled</t>
        </is>
      </c>
      <c r="J3559" t="n">
        <v>118</v>
      </c>
      <c r="K3559" t="n">
        <v>2</v>
      </c>
      <c r="L3559" s="7" t="n">
        <v>944</v>
      </c>
      <c r="M3559" s="7" t="n">
        <v>0</v>
      </c>
    </row>
    <row r="3560">
      <c r="A3560" t="n">
        <v>511295</v>
      </c>
      <c r="B3560" s="6" t="n">
        <v>45997</v>
      </c>
      <c r="C3560" t="n">
        <v>15652</v>
      </c>
      <c r="D3560" t="inlineStr">
        <is>
          <t>Delhi</t>
        </is>
      </c>
      <c r="E3560" t="inlineStr">
        <is>
          <t>North</t>
        </is>
      </c>
      <c r="F3560" t="inlineStr">
        <is>
          <t>Email</t>
        </is>
      </c>
      <c r="G3560" t="inlineStr">
        <is>
          <t>Mobile App</t>
        </is>
      </c>
      <c r="H3560" t="inlineStr">
        <is>
          <t>UPI</t>
        </is>
      </c>
      <c r="I3560" t="inlineStr">
        <is>
          <t>Delivered</t>
        </is>
      </c>
      <c r="J3560" t="n">
        <v>118</v>
      </c>
      <c r="K3560" t="n">
        <v>1</v>
      </c>
      <c r="L3560" s="7" t="n">
        <v>944</v>
      </c>
      <c r="M3560" s="7" t="n">
        <v>0</v>
      </c>
    </row>
    <row r="3561">
      <c r="A3561" t="n">
        <v>511296</v>
      </c>
      <c r="B3561" s="6" t="n">
        <v>45997</v>
      </c>
      <c r="C3561" t="n">
        <v>17650</v>
      </c>
      <c r="D3561" t="inlineStr">
        <is>
          <t>Mumbai</t>
        </is>
      </c>
      <c r="E3561" t="inlineStr">
        <is>
          <t>West</t>
        </is>
      </c>
      <c r="F3561" t="inlineStr">
        <is>
          <t>Paid Search</t>
        </is>
      </c>
      <c r="G3561" t="inlineStr">
        <is>
          <t>Desktop</t>
        </is>
      </c>
      <c r="H3561" t="inlineStr">
        <is>
          <t>Credit Card</t>
        </is>
      </c>
      <c r="I3561" t="inlineStr">
        <is>
          <t>Delivered</t>
        </is>
      </c>
      <c r="J3561" t="n">
        <v>113</v>
      </c>
      <c r="K3561" t="n">
        <v>1</v>
      </c>
      <c r="L3561" s="7" t="n">
        <v>1364</v>
      </c>
      <c r="M3561" s="7" t="n">
        <v>204.6</v>
      </c>
    </row>
    <row r="3562">
      <c r="A3562" t="n">
        <v>511297</v>
      </c>
      <c r="B3562" s="6" t="n">
        <v>45997</v>
      </c>
      <c r="C3562" t="n">
        <v>17483</v>
      </c>
      <c r="D3562" t="inlineStr">
        <is>
          <t>Kolkata</t>
        </is>
      </c>
      <c r="E3562" t="inlineStr">
        <is>
          <t>East</t>
        </is>
      </c>
      <c r="F3562" t="inlineStr">
        <is>
          <t>Organic Search</t>
        </is>
      </c>
      <c r="G3562" t="inlineStr">
        <is>
          <t>Desktop</t>
        </is>
      </c>
      <c r="H3562" t="inlineStr">
        <is>
          <t>UPI</t>
        </is>
      </c>
      <c r="I3562" t="inlineStr">
        <is>
          <t>Delivered</t>
        </is>
      </c>
      <c r="J3562" t="n">
        <v>117</v>
      </c>
      <c r="K3562" t="n">
        <v>1</v>
      </c>
      <c r="L3562" s="7" t="n">
        <v>3149</v>
      </c>
      <c r="M3562" s="7" t="n">
        <v>0</v>
      </c>
    </row>
    <row r="3563">
      <c r="A3563" t="n">
        <v>511297</v>
      </c>
      <c r="B3563" s="6" t="n">
        <v>45997</v>
      </c>
      <c r="C3563" t="n">
        <v>17483</v>
      </c>
      <c r="D3563" t="inlineStr">
        <is>
          <t>Kolkata</t>
        </is>
      </c>
      <c r="E3563" t="inlineStr">
        <is>
          <t>East</t>
        </is>
      </c>
      <c r="F3563" t="inlineStr">
        <is>
          <t>Organic Search</t>
        </is>
      </c>
      <c r="G3563" t="inlineStr">
        <is>
          <t>Desktop</t>
        </is>
      </c>
      <c r="H3563" t="inlineStr">
        <is>
          <t>UPI</t>
        </is>
      </c>
      <c r="I3563" t="inlineStr">
        <is>
          <t>Delivered</t>
        </is>
      </c>
      <c r="J3563" t="n">
        <v>121</v>
      </c>
      <c r="K3563" t="n">
        <v>1</v>
      </c>
      <c r="L3563" s="7" t="n">
        <v>2939</v>
      </c>
      <c r="M3563" s="7" t="n">
        <v>0</v>
      </c>
    </row>
    <row r="3564">
      <c r="A3564" t="n">
        <v>511297</v>
      </c>
      <c r="B3564" s="6" t="n">
        <v>45997</v>
      </c>
      <c r="C3564" t="n">
        <v>17483</v>
      </c>
      <c r="D3564" t="inlineStr">
        <is>
          <t>Kolkata</t>
        </is>
      </c>
      <c r="E3564" t="inlineStr">
        <is>
          <t>East</t>
        </is>
      </c>
      <c r="F3564" t="inlineStr">
        <is>
          <t>Organic Search</t>
        </is>
      </c>
      <c r="G3564" t="inlineStr">
        <is>
          <t>Desktop</t>
        </is>
      </c>
      <c r="H3564" t="inlineStr">
        <is>
          <t>UPI</t>
        </is>
      </c>
      <c r="I3564" t="inlineStr">
        <is>
          <t>Delivered</t>
        </is>
      </c>
      <c r="J3564" t="n">
        <v>102</v>
      </c>
      <c r="K3564" t="n">
        <v>1</v>
      </c>
      <c r="L3564" s="7" t="n">
        <v>3674</v>
      </c>
      <c r="M3564" s="7" t="n">
        <v>0</v>
      </c>
    </row>
    <row r="3565">
      <c r="A3565" t="n">
        <v>511297</v>
      </c>
      <c r="B3565" s="6" t="n">
        <v>45997</v>
      </c>
      <c r="C3565" t="n">
        <v>17483</v>
      </c>
      <c r="D3565" t="inlineStr">
        <is>
          <t>Kolkata</t>
        </is>
      </c>
      <c r="E3565" t="inlineStr">
        <is>
          <t>East</t>
        </is>
      </c>
      <c r="F3565" t="inlineStr">
        <is>
          <t>Organic Search</t>
        </is>
      </c>
      <c r="G3565" t="inlineStr">
        <is>
          <t>Desktop</t>
        </is>
      </c>
      <c r="H3565" t="inlineStr">
        <is>
          <t>UPI</t>
        </is>
      </c>
      <c r="I3565" t="inlineStr">
        <is>
          <t>Delivered</t>
        </is>
      </c>
      <c r="J3565" t="n">
        <v>125</v>
      </c>
      <c r="K3565" t="n">
        <v>2</v>
      </c>
      <c r="L3565" s="7" t="n">
        <v>1364</v>
      </c>
      <c r="M3565" s="7" t="n">
        <v>0</v>
      </c>
    </row>
    <row r="3566">
      <c r="A3566" t="n">
        <v>511298</v>
      </c>
      <c r="B3566" s="6" t="n">
        <v>45997</v>
      </c>
      <c r="C3566" t="n">
        <v>17535</v>
      </c>
      <c r="D3566" t="inlineStr">
        <is>
          <t>Mumbai</t>
        </is>
      </c>
      <c r="E3566" t="inlineStr">
        <is>
          <t>West</t>
        </is>
      </c>
      <c r="F3566" t="inlineStr">
        <is>
          <t>Email</t>
        </is>
      </c>
      <c r="G3566" t="inlineStr">
        <is>
          <t>Desktop</t>
        </is>
      </c>
      <c r="H3566" t="inlineStr">
        <is>
          <t>UPI</t>
        </is>
      </c>
      <c r="I3566" t="inlineStr">
        <is>
          <t>Delivered</t>
        </is>
      </c>
      <c r="J3566" t="n">
        <v>118</v>
      </c>
      <c r="K3566" t="n">
        <v>1</v>
      </c>
      <c r="L3566" s="7" t="n">
        <v>944</v>
      </c>
      <c r="M3566" s="7" t="n">
        <v>141.6</v>
      </c>
    </row>
    <row r="3567">
      <c r="A3567" t="n">
        <v>511298</v>
      </c>
      <c r="B3567" s="6" t="n">
        <v>45997</v>
      </c>
      <c r="C3567" t="n">
        <v>17535</v>
      </c>
      <c r="D3567" t="inlineStr">
        <is>
          <t>Mumbai</t>
        </is>
      </c>
      <c r="E3567" t="inlineStr">
        <is>
          <t>West</t>
        </is>
      </c>
      <c r="F3567" t="inlineStr">
        <is>
          <t>Email</t>
        </is>
      </c>
      <c r="G3567" t="inlineStr">
        <is>
          <t>Desktop</t>
        </is>
      </c>
      <c r="H3567" t="inlineStr">
        <is>
          <t>UPI</t>
        </is>
      </c>
      <c r="I3567" t="inlineStr">
        <is>
          <t>Delivered</t>
        </is>
      </c>
      <c r="J3567" t="n">
        <v>124</v>
      </c>
      <c r="K3567" t="n">
        <v>1</v>
      </c>
      <c r="L3567" s="7" t="n">
        <v>1154</v>
      </c>
      <c r="M3567" s="7" t="n">
        <v>173.1</v>
      </c>
    </row>
    <row r="3568">
      <c r="A3568" t="n">
        <v>511299</v>
      </c>
      <c r="B3568" s="6" t="n">
        <v>45997</v>
      </c>
      <c r="C3568" t="n">
        <v>17620</v>
      </c>
      <c r="D3568" t="inlineStr">
        <is>
          <t>Indore</t>
        </is>
      </c>
      <c r="E3568" t="inlineStr">
        <is>
          <t>West</t>
        </is>
      </c>
      <c r="F3568" t="inlineStr">
        <is>
          <t>Organic Search</t>
        </is>
      </c>
      <c r="G3568" t="inlineStr">
        <is>
          <t>Desktop</t>
        </is>
      </c>
      <c r="H3568" t="inlineStr">
        <is>
          <t>UPI</t>
        </is>
      </c>
      <c r="I3568" t="inlineStr">
        <is>
          <t>Cancelled</t>
        </is>
      </c>
      <c r="J3568" t="n">
        <v>117</v>
      </c>
      <c r="K3568" t="n">
        <v>1</v>
      </c>
      <c r="L3568" s="7" t="n">
        <v>3149</v>
      </c>
      <c r="M3568" s="7" t="n">
        <v>0</v>
      </c>
    </row>
    <row r="3569">
      <c r="A3569" t="n">
        <v>511299</v>
      </c>
      <c r="B3569" s="6" t="n">
        <v>45997</v>
      </c>
      <c r="C3569" t="n">
        <v>17620</v>
      </c>
      <c r="D3569" t="inlineStr">
        <is>
          <t>Indore</t>
        </is>
      </c>
      <c r="E3569" t="inlineStr">
        <is>
          <t>West</t>
        </is>
      </c>
      <c r="F3569" t="inlineStr">
        <is>
          <t>Organic Search</t>
        </is>
      </c>
      <c r="G3569" t="inlineStr">
        <is>
          <t>Desktop</t>
        </is>
      </c>
      <c r="H3569" t="inlineStr">
        <is>
          <t>UPI</t>
        </is>
      </c>
      <c r="I3569" t="inlineStr">
        <is>
          <t>Cancelled</t>
        </is>
      </c>
      <c r="J3569" t="n">
        <v>108</v>
      </c>
      <c r="K3569" t="n">
        <v>1</v>
      </c>
      <c r="L3569" s="7" t="n">
        <v>419</v>
      </c>
      <c r="M3569" s="7" t="n">
        <v>0</v>
      </c>
    </row>
    <row r="3570">
      <c r="A3570" t="n">
        <v>511299</v>
      </c>
      <c r="B3570" s="6" t="n">
        <v>45997</v>
      </c>
      <c r="C3570" t="n">
        <v>17620</v>
      </c>
      <c r="D3570" t="inlineStr">
        <is>
          <t>Indore</t>
        </is>
      </c>
      <c r="E3570" t="inlineStr">
        <is>
          <t>West</t>
        </is>
      </c>
      <c r="F3570" t="inlineStr">
        <is>
          <t>Organic Search</t>
        </is>
      </c>
      <c r="G3570" t="inlineStr">
        <is>
          <t>Desktop</t>
        </is>
      </c>
      <c r="H3570" t="inlineStr">
        <is>
          <t>UPI</t>
        </is>
      </c>
      <c r="I3570" t="inlineStr">
        <is>
          <t>Cancelled</t>
        </is>
      </c>
      <c r="J3570" t="n">
        <v>146</v>
      </c>
      <c r="K3570" t="n">
        <v>1</v>
      </c>
      <c r="L3570" s="7" t="n">
        <v>4724</v>
      </c>
      <c r="M3570" s="7" t="n">
        <v>0</v>
      </c>
    </row>
    <row r="3571">
      <c r="A3571" t="n">
        <v>511300</v>
      </c>
      <c r="B3571" s="6" t="n">
        <v>45997</v>
      </c>
      <c r="C3571" t="n">
        <v>17550</v>
      </c>
      <c r="D3571" t="inlineStr">
        <is>
          <t>Kolkata</t>
        </is>
      </c>
      <c r="E3571" t="inlineStr">
        <is>
          <t>East</t>
        </is>
      </c>
      <c r="F3571" t="inlineStr">
        <is>
          <t>Paid Search</t>
        </is>
      </c>
      <c r="G3571" t="inlineStr">
        <is>
          <t>Mobile App</t>
        </is>
      </c>
      <c r="H3571" t="inlineStr">
        <is>
          <t>UPI</t>
        </is>
      </c>
      <c r="I3571" t="inlineStr">
        <is>
          <t>Delivered</t>
        </is>
      </c>
      <c r="J3571" t="n">
        <v>133</v>
      </c>
      <c r="K3571" t="n">
        <v>1</v>
      </c>
      <c r="L3571" s="7" t="n">
        <v>419</v>
      </c>
      <c r="M3571" s="7" t="n">
        <v>0</v>
      </c>
    </row>
    <row r="3572">
      <c r="A3572" t="n">
        <v>511301</v>
      </c>
      <c r="B3572" s="6" t="n">
        <v>45997</v>
      </c>
      <c r="C3572" t="n">
        <v>17635</v>
      </c>
      <c r="D3572" t="inlineStr">
        <is>
          <t>Hyderabad</t>
        </is>
      </c>
      <c r="E3572" t="inlineStr">
        <is>
          <t>South</t>
        </is>
      </c>
      <c r="F3572" t="inlineStr">
        <is>
          <t>Organic Search</t>
        </is>
      </c>
      <c r="G3572" t="inlineStr">
        <is>
          <t>Mobile Web</t>
        </is>
      </c>
      <c r="H3572" t="inlineStr">
        <is>
          <t>Debit Card</t>
        </is>
      </c>
      <c r="I3572" t="inlineStr">
        <is>
          <t>Delivered</t>
        </is>
      </c>
      <c r="J3572" t="n">
        <v>109</v>
      </c>
      <c r="K3572" t="n">
        <v>2</v>
      </c>
      <c r="L3572" s="7" t="n">
        <v>4199</v>
      </c>
      <c r="M3572" s="7" t="n">
        <v>1259.7</v>
      </c>
    </row>
    <row r="3573">
      <c r="A3573" t="n">
        <v>511301</v>
      </c>
      <c r="B3573" s="6" t="n">
        <v>45997</v>
      </c>
      <c r="C3573" t="n">
        <v>17635</v>
      </c>
      <c r="D3573" t="inlineStr">
        <is>
          <t>Hyderabad</t>
        </is>
      </c>
      <c r="E3573" t="inlineStr">
        <is>
          <t>South</t>
        </is>
      </c>
      <c r="F3573" t="inlineStr">
        <is>
          <t>Organic Search</t>
        </is>
      </c>
      <c r="G3573" t="inlineStr">
        <is>
          <t>Mobile Web</t>
        </is>
      </c>
      <c r="H3573" t="inlineStr">
        <is>
          <t>Debit Card</t>
        </is>
      </c>
      <c r="I3573" t="inlineStr">
        <is>
          <t>Delivered</t>
        </is>
      </c>
      <c r="J3573" t="n">
        <v>137</v>
      </c>
      <c r="K3573" t="n">
        <v>2</v>
      </c>
      <c r="L3573" s="7" t="n">
        <v>261</v>
      </c>
      <c r="M3573" s="7" t="n">
        <v>78.3</v>
      </c>
    </row>
    <row r="3574">
      <c r="A3574" t="n">
        <v>511301</v>
      </c>
      <c r="B3574" s="6" t="n">
        <v>45997</v>
      </c>
      <c r="C3574" t="n">
        <v>17635</v>
      </c>
      <c r="D3574" t="inlineStr">
        <is>
          <t>Hyderabad</t>
        </is>
      </c>
      <c r="E3574" t="inlineStr">
        <is>
          <t>South</t>
        </is>
      </c>
      <c r="F3574" t="inlineStr">
        <is>
          <t>Organic Search</t>
        </is>
      </c>
      <c r="G3574" t="inlineStr">
        <is>
          <t>Mobile Web</t>
        </is>
      </c>
      <c r="H3574" t="inlineStr">
        <is>
          <t>Debit Card</t>
        </is>
      </c>
      <c r="I3574" t="inlineStr">
        <is>
          <t>Delivered</t>
        </is>
      </c>
      <c r="J3574" t="n">
        <v>111</v>
      </c>
      <c r="K3574" t="n">
        <v>1</v>
      </c>
      <c r="L3574" s="7" t="n">
        <v>524</v>
      </c>
      <c r="M3574" s="7" t="n">
        <v>78.59999999999999</v>
      </c>
    </row>
    <row r="3575">
      <c r="A3575" t="n">
        <v>511301</v>
      </c>
      <c r="B3575" s="6" t="n">
        <v>45997</v>
      </c>
      <c r="C3575" t="n">
        <v>17635</v>
      </c>
      <c r="D3575" t="inlineStr">
        <is>
          <t>Hyderabad</t>
        </is>
      </c>
      <c r="E3575" t="inlineStr">
        <is>
          <t>South</t>
        </is>
      </c>
      <c r="F3575" t="inlineStr">
        <is>
          <t>Organic Search</t>
        </is>
      </c>
      <c r="G3575" t="inlineStr">
        <is>
          <t>Mobile Web</t>
        </is>
      </c>
      <c r="H3575" t="inlineStr">
        <is>
          <t>Debit Card</t>
        </is>
      </c>
      <c r="I3575" t="inlineStr">
        <is>
          <t>Delivered</t>
        </is>
      </c>
      <c r="J3575" t="n">
        <v>102</v>
      </c>
      <c r="K3575" t="n">
        <v>1</v>
      </c>
      <c r="L3575" s="7" t="n">
        <v>3674</v>
      </c>
      <c r="M3575" s="7" t="n">
        <v>551.1</v>
      </c>
    </row>
    <row r="3576">
      <c r="A3576" t="n">
        <v>511302</v>
      </c>
      <c r="B3576" s="6" t="n">
        <v>45997</v>
      </c>
      <c r="C3576" t="n">
        <v>17645</v>
      </c>
      <c r="D3576" t="inlineStr">
        <is>
          <t>Kochi</t>
        </is>
      </c>
      <c r="E3576" t="inlineStr">
        <is>
          <t>South</t>
        </is>
      </c>
      <c r="F3576" t="inlineStr">
        <is>
          <t>Paid Search</t>
        </is>
      </c>
      <c r="G3576" t="inlineStr">
        <is>
          <t>Desktop</t>
        </is>
      </c>
      <c r="H3576" t="inlineStr">
        <is>
          <t>Cash on Delivery</t>
        </is>
      </c>
      <c r="I3576" t="inlineStr">
        <is>
          <t>Delivered</t>
        </is>
      </c>
      <c r="J3576" t="n">
        <v>113</v>
      </c>
      <c r="K3576" t="n">
        <v>2</v>
      </c>
      <c r="L3576" s="7" t="n">
        <v>1364</v>
      </c>
      <c r="M3576" s="7" t="n">
        <v>0</v>
      </c>
    </row>
    <row r="3577">
      <c r="A3577" t="n">
        <v>511303</v>
      </c>
      <c r="B3577" s="6" t="n">
        <v>45997</v>
      </c>
      <c r="C3577" t="n">
        <v>16458</v>
      </c>
      <c r="D3577" t="inlineStr">
        <is>
          <t>Mumbai</t>
        </is>
      </c>
      <c r="E3577" t="inlineStr">
        <is>
          <t>West</t>
        </is>
      </c>
      <c r="F3577" t="inlineStr">
        <is>
          <t>Paid Social</t>
        </is>
      </c>
      <c r="G3577" t="inlineStr">
        <is>
          <t>Mobile App</t>
        </is>
      </c>
      <c r="H3577" t="inlineStr">
        <is>
          <t>Net Banking</t>
        </is>
      </c>
      <c r="I3577" t="inlineStr">
        <is>
          <t>Delivered</t>
        </is>
      </c>
      <c r="J3577" t="n">
        <v>109</v>
      </c>
      <c r="K3577" t="n">
        <v>1</v>
      </c>
      <c r="L3577" s="7" t="n">
        <v>4199</v>
      </c>
      <c r="M3577" s="7" t="n">
        <v>0</v>
      </c>
    </row>
    <row r="3578">
      <c r="A3578" t="n">
        <v>511304</v>
      </c>
      <c r="B3578" s="6" t="n">
        <v>45998</v>
      </c>
      <c r="C3578" t="n">
        <v>17658</v>
      </c>
      <c r="D3578" t="inlineStr">
        <is>
          <t>Bengaluru</t>
        </is>
      </c>
      <c r="E3578" t="inlineStr">
        <is>
          <t>South</t>
        </is>
      </c>
      <c r="F3578" t="inlineStr">
        <is>
          <t>Paid Search</t>
        </is>
      </c>
      <c r="G3578" t="inlineStr">
        <is>
          <t>Mobile Web</t>
        </is>
      </c>
      <c r="H3578" t="inlineStr">
        <is>
          <t>Debit Card</t>
        </is>
      </c>
      <c r="I3578" t="inlineStr">
        <is>
          <t>Delivered</t>
        </is>
      </c>
      <c r="J3578" t="n">
        <v>141</v>
      </c>
      <c r="K3578" t="n">
        <v>1</v>
      </c>
      <c r="L3578" s="7" t="n">
        <v>261</v>
      </c>
      <c r="M3578" s="7" t="n">
        <v>0</v>
      </c>
    </row>
    <row r="3579">
      <c r="A3579" t="n">
        <v>511304</v>
      </c>
      <c r="B3579" s="6" t="n">
        <v>45998</v>
      </c>
      <c r="C3579" t="n">
        <v>17658</v>
      </c>
      <c r="D3579" t="inlineStr">
        <is>
          <t>Bengaluru</t>
        </is>
      </c>
      <c r="E3579" t="inlineStr">
        <is>
          <t>South</t>
        </is>
      </c>
      <c r="F3579" t="inlineStr">
        <is>
          <t>Paid Search</t>
        </is>
      </c>
      <c r="G3579" t="inlineStr">
        <is>
          <t>Mobile Web</t>
        </is>
      </c>
      <c r="H3579" t="inlineStr">
        <is>
          <t>Debit Card</t>
        </is>
      </c>
      <c r="I3579" t="inlineStr">
        <is>
          <t>Delivered</t>
        </is>
      </c>
      <c r="J3579" t="n">
        <v>128</v>
      </c>
      <c r="K3579" t="n">
        <v>1</v>
      </c>
      <c r="L3579" s="7" t="n">
        <v>1049</v>
      </c>
      <c r="M3579" s="7" t="n">
        <v>0</v>
      </c>
    </row>
    <row r="3580">
      <c r="A3580" t="n">
        <v>511305</v>
      </c>
      <c r="B3580" s="6" t="n">
        <v>45998</v>
      </c>
      <c r="C3580" t="n">
        <v>17570</v>
      </c>
      <c r="D3580" t="inlineStr">
        <is>
          <t>Kolkata</t>
        </is>
      </c>
      <c r="E3580" t="inlineStr">
        <is>
          <t>East</t>
        </is>
      </c>
      <c r="F3580" t="inlineStr">
        <is>
          <t>Organic Search</t>
        </is>
      </c>
      <c r="G3580" t="inlineStr">
        <is>
          <t>Desktop</t>
        </is>
      </c>
      <c r="H3580" t="inlineStr">
        <is>
          <t>Cash on Delivery</t>
        </is>
      </c>
      <c r="I3580" t="inlineStr">
        <is>
          <t>Delivered</t>
        </is>
      </c>
      <c r="J3580" t="n">
        <v>102</v>
      </c>
      <c r="K3580" t="n">
        <v>3</v>
      </c>
      <c r="L3580" s="7" t="n">
        <v>3674</v>
      </c>
      <c r="M3580" s="7" t="n">
        <v>1653.3</v>
      </c>
    </row>
    <row r="3581">
      <c r="A3581" t="n">
        <v>511306</v>
      </c>
      <c r="B3581" s="6" t="n">
        <v>45998</v>
      </c>
      <c r="C3581" t="n">
        <v>16754</v>
      </c>
      <c r="D3581" t="inlineStr">
        <is>
          <t>Bengaluru</t>
        </is>
      </c>
      <c r="E3581" t="inlineStr">
        <is>
          <t>South</t>
        </is>
      </c>
      <c r="F3581" t="inlineStr">
        <is>
          <t>Organic Search</t>
        </is>
      </c>
      <c r="G3581" t="inlineStr">
        <is>
          <t>Desktop</t>
        </is>
      </c>
      <c r="H3581" t="inlineStr">
        <is>
          <t>Credit Card</t>
        </is>
      </c>
      <c r="I3581" t="inlineStr">
        <is>
          <t>Delivered</t>
        </is>
      </c>
      <c r="J3581" t="n">
        <v>139</v>
      </c>
      <c r="K3581" t="n">
        <v>2</v>
      </c>
      <c r="L3581" s="7" t="n">
        <v>366</v>
      </c>
      <c r="M3581" s="7" t="n">
        <v>0</v>
      </c>
    </row>
    <row r="3582">
      <c r="A3582" t="n">
        <v>511306</v>
      </c>
      <c r="B3582" s="6" t="n">
        <v>45998</v>
      </c>
      <c r="C3582" t="n">
        <v>16754</v>
      </c>
      <c r="D3582" t="inlineStr">
        <is>
          <t>Bengaluru</t>
        </is>
      </c>
      <c r="E3582" t="inlineStr">
        <is>
          <t>South</t>
        </is>
      </c>
      <c r="F3582" t="inlineStr">
        <is>
          <t>Organic Search</t>
        </is>
      </c>
      <c r="G3582" t="inlineStr">
        <is>
          <t>Desktop</t>
        </is>
      </c>
      <c r="H3582" t="inlineStr">
        <is>
          <t>Credit Card</t>
        </is>
      </c>
      <c r="I3582" t="inlineStr">
        <is>
          <t>Delivered</t>
        </is>
      </c>
      <c r="J3582" t="n">
        <v>115</v>
      </c>
      <c r="K3582" t="n">
        <v>1</v>
      </c>
      <c r="L3582" s="7" t="n">
        <v>4199</v>
      </c>
      <c r="M3582" s="7" t="n">
        <v>0</v>
      </c>
    </row>
    <row r="3583">
      <c r="A3583" t="n">
        <v>511306</v>
      </c>
      <c r="B3583" s="6" t="n">
        <v>45998</v>
      </c>
      <c r="C3583" t="n">
        <v>16754</v>
      </c>
      <c r="D3583" t="inlineStr">
        <is>
          <t>Bengaluru</t>
        </is>
      </c>
      <c r="E3583" t="inlineStr">
        <is>
          <t>South</t>
        </is>
      </c>
      <c r="F3583" t="inlineStr">
        <is>
          <t>Organic Search</t>
        </is>
      </c>
      <c r="G3583" t="inlineStr">
        <is>
          <t>Desktop</t>
        </is>
      </c>
      <c r="H3583" t="inlineStr">
        <is>
          <t>Credit Card</t>
        </is>
      </c>
      <c r="I3583" t="inlineStr">
        <is>
          <t>Delivered</t>
        </is>
      </c>
      <c r="J3583" t="n">
        <v>127</v>
      </c>
      <c r="K3583" t="n">
        <v>1</v>
      </c>
      <c r="L3583" s="7" t="n">
        <v>681</v>
      </c>
      <c r="M3583" s="7" t="n">
        <v>0</v>
      </c>
    </row>
    <row r="3584">
      <c r="A3584" t="n">
        <v>511307</v>
      </c>
      <c r="B3584" s="6" t="n">
        <v>45998</v>
      </c>
      <c r="C3584" t="n">
        <v>17507</v>
      </c>
      <c r="D3584" t="inlineStr">
        <is>
          <t>Delhi</t>
        </is>
      </c>
      <c r="E3584" t="inlineStr">
        <is>
          <t>North</t>
        </is>
      </c>
      <c r="F3584" t="inlineStr">
        <is>
          <t>Organic Search</t>
        </is>
      </c>
      <c r="G3584" t="inlineStr">
        <is>
          <t>Mobile Web</t>
        </is>
      </c>
      <c r="H3584" t="inlineStr">
        <is>
          <t>Cash on Delivery</t>
        </is>
      </c>
      <c r="I3584" t="inlineStr">
        <is>
          <t>Delivered</t>
        </is>
      </c>
      <c r="J3584" t="n">
        <v>103</v>
      </c>
      <c r="K3584" t="n">
        <v>1</v>
      </c>
      <c r="L3584" s="7" t="n">
        <v>2624</v>
      </c>
      <c r="M3584" s="7" t="n">
        <v>393.6</v>
      </c>
    </row>
    <row r="3585">
      <c r="A3585" t="n">
        <v>511308</v>
      </c>
      <c r="B3585" s="6" t="n">
        <v>45998</v>
      </c>
      <c r="C3585" t="n">
        <v>17611</v>
      </c>
      <c r="D3585" t="inlineStr">
        <is>
          <t>Gurugram</t>
        </is>
      </c>
      <c r="E3585" t="inlineStr">
        <is>
          <t>North</t>
        </is>
      </c>
      <c r="F3585" t="inlineStr">
        <is>
          <t>Paid Search</t>
        </is>
      </c>
      <c r="G3585" t="inlineStr">
        <is>
          <t>Mobile App</t>
        </is>
      </c>
      <c r="H3585" t="inlineStr">
        <is>
          <t>UPI</t>
        </is>
      </c>
      <c r="I3585" t="inlineStr">
        <is>
          <t>Delivered</t>
        </is>
      </c>
      <c r="J3585" t="n">
        <v>136</v>
      </c>
      <c r="K3585" t="n">
        <v>1</v>
      </c>
      <c r="L3585" s="7" t="n">
        <v>944</v>
      </c>
      <c r="M3585" s="7" t="n">
        <v>0</v>
      </c>
    </row>
    <row r="3586">
      <c r="A3586" t="n">
        <v>511308</v>
      </c>
      <c r="B3586" s="6" t="n">
        <v>45998</v>
      </c>
      <c r="C3586" t="n">
        <v>17611</v>
      </c>
      <c r="D3586" t="inlineStr">
        <is>
          <t>Gurugram</t>
        </is>
      </c>
      <c r="E3586" t="inlineStr">
        <is>
          <t>North</t>
        </is>
      </c>
      <c r="F3586" t="inlineStr">
        <is>
          <t>Paid Search</t>
        </is>
      </c>
      <c r="G3586" t="inlineStr">
        <is>
          <t>Mobile App</t>
        </is>
      </c>
      <c r="H3586" t="inlineStr">
        <is>
          <t>UPI</t>
        </is>
      </c>
      <c r="I3586" t="inlineStr">
        <is>
          <t>Delivered</t>
        </is>
      </c>
      <c r="J3586" t="n">
        <v>117</v>
      </c>
      <c r="K3586" t="n">
        <v>1</v>
      </c>
      <c r="L3586" s="7" t="n">
        <v>3149</v>
      </c>
      <c r="M3586" s="7" t="n">
        <v>0</v>
      </c>
    </row>
    <row r="3587">
      <c r="A3587" t="n">
        <v>511308</v>
      </c>
      <c r="B3587" s="6" t="n">
        <v>45998</v>
      </c>
      <c r="C3587" t="n">
        <v>17611</v>
      </c>
      <c r="D3587" t="inlineStr">
        <is>
          <t>Gurugram</t>
        </is>
      </c>
      <c r="E3587" t="inlineStr">
        <is>
          <t>North</t>
        </is>
      </c>
      <c r="F3587" t="inlineStr">
        <is>
          <t>Paid Search</t>
        </is>
      </c>
      <c r="G3587" t="inlineStr">
        <is>
          <t>Mobile App</t>
        </is>
      </c>
      <c r="H3587" t="inlineStr">
        <is>
          <t>UPI</t>
        </is>
      </c>
      <c r="I3587" t="inlineStr">
        <is>
          <t>Delivered</t>
        </is>
      </c>
      <c r="J3587" t="n">
        <v>104</v>
      </c>
      <c r="K3587" t="n">
        <v>1</v>
      </c>
      <c r="L3587" s="7" t="n">
        <v>5249</v>
      </c>
      <c r="M3587" s="7" t="n">
        <v>0</v>
      </c>
    </row>
    <row r="3588">
      <c r="A3588" t="n">
        <v>511309</v>
      </c>
      <c r="B3588" s="6" t="n">
        <v>45998</v>
      </c>
      <c r="C3588" t="n">
        <v>17661</v>
      </c>
      <c r="D3588" t="inlineStr">
        <is>
          <t>Mumbai</t>
        </is>
      </c>
      <c r="E3588" t="inlineStr">
        <is>
          <t>West</t>
        </is>
      </c>
      <c r="F3588" t="inlineStr">
        <is>
          <t>Paid Search</t>
        </is>
      </c>
      <c r="G3588" t="inlineStr">
        <is>
          <t>Mobile Web</t>
        </is>
      </c>
      <c r="H3588" t="inlineStr">
        <is>
          <t>Debit Card</t>
        </is>
      </c>
      <c r="I3588" t="inlineStr">
        <is>
          <t>Delivered</t>
        </is>
      </c>
      <c r="J3588" t="n">
        <v>107</v>
      </c>
      <c r="K3588" t="n">
        <v>2</v>
      </c>
      <c r="L3588" s="7" t="n">
        <v>1259</v>
      </c>
      <c r="M3588" s="7" t="n">
        <v>0</v>
      </c>
    </row>
    <row r="3589">
      <c r="A3589" t="n">
        <v>511310</v>
      </c>
      <c r="B3589" s="6" t="n">
        <v>45998</v>
      </c>
      <c r="C3589" t="n">
        <v>13858</v>
      </c>
      <c r="D3589" t="inlineStr">
        <is>
          <t>Kolkata</t>
        </is>
      </c>
      <c r="E3589" t="inlineStr">
        <is>
          <t>East</t>
        </is>
      </c>
      <c r="F3589" t="inlineStr">
        <is>
          <t>Referral</t>
        </is>
      </c>
      <c r="G3589" t="inlineStr">
        <is>
          <t>Desktop</t>
        </is>
      </c>
      <c r="H3589" t="inlineStr">
        <is>
          <t>Net Banking</t>
        </is>
      </c>
      <c r="I3589" t="inlineStr">
        <is>
          <t>Returned</t>
        </is>
      </c>
      <c r="J3589" t="n">
        <v>115</v>
      </c>
      <c r="K3589" t="n">
        <v>1</v>
      </c>
      <c r="L3589" s="7" t="n">
        <v>4199</v>
      </c>
      <c r="M3589" s="7" t="n">
        <v>0</v>
      </c>
    </row>
    <row r="3590">
      <c r="A3590" t="n">
        <v>511311</v>
      </c>
      <c r="B3590" s="6" t="n">
        <v>45998</v>
      </c>
      <c r="C3590" t="n">
        <v>16961</v>
      </c>
      <c r="D3590" t="inlineStr">
        <is>
          <t>Bengaluru</t>
        </is>
      </c>
      <c r="E3590" t="inlineStr">
        <is>
          <t>South</t>
        </is>
      </c>
      <c r="F3590" t="inlineStr">
        <is>
          <t>Affiliate</t>
        </is>
      </c>
      <c r="G3590" t="inlineStr">
        <is>
          <t>Desktop</t>
        </is>
      </c>
      <c r="H3590" t="inlineStr">
        <is>
          <t>UPI</t>
        </is>
      </c>
      <c r="I3590" t="inlineStr">
        <is>
          <t>Delivered</t>
        </is>
      </c>
      <c r="J3590" t="n">
        <v>134</v>
      </c>
      <c r="K3590" t="n">
        <v>1</v>
      </c>
      <c r="L3590" s="7" t="n">
        <v>209</v>
      </c>
      <c r="M3590" s="7" t="n">
        <v>0</v>
      </c>
    </row>
    <row r="3591">
      <c r="A3591" t="n">
        <v>511311</v>
      </c>
      <c r="B3591" s="6" t="n">
        <v>45998</v>
      </c>
      <c r="C3591" t="n">
        <v>16961</v>
      </c>
      <c r="D3591" t="inlineStr">
        <is>
          <t>Bengaluru</t>
        </is>
      </c>
      <c r="E3591" t="inlineStr">
        <is>
          <t>South</t>
        </is>
      </c>
      <c r="F3591" t="inlineStr">
        <is>
          <t>Affiliate</t>
        </is>
      </c>
      <c r="G3591" t="inlineStr">
        <is>
          <t>Desktop</t>
        </is>
      </c>
      <c r="H3591" t="inlineStr">
        <is>
          <t>UPI</t>
        </is>
      </c>
      <c r="I3591" t="inlineStr">
        <is>
          <t>Delivered</t>
        </is>
      </c>
      <c r="J3591" t="n">
        <v>114</v>
      </c>
      <c r="K3591" t="n">
        <v>1</v>
      </c>
      <c r="L3591" s="7" t="n">
        <v>1259</v>
      </c>
      <c r="M3591" s="7" t="n">
        <v>0</v>
      </c>
    </row>
    <row r="3592">
      <c r="A3592" t="n">
        <v>511311</v>
      </c>
      <c r="B3592" s="6" t="n">
        <v>45998</v>
      </c>
      <c r="C3592" t="n">
        <v>16961</v>
      </c>
      <c r="D3592" t="inlineStr">
        <is>
          <t>Bengaluru</t>
        </is>
      </c>
      <c r="E3592" t="inlineStr">
        <is>
          <t>South</t>
        </is>
      </c>
      <c r="F3592" t="inlineStr">
        <is>
          <t>Affiliate</t>
        </is>
      </c>
      <c r="G3592" t="inlineStr">
        <is>
          <t>Desktop</t>
        </is>
      </c>
      <c r="H3592" t="inlineStr">
        <is>
          <t>UPI</t>
        </is>
      </c>
      <c r="I3592" t="inlineStr">
        <is>
          <t>Delivered</t>
        </is>
      </c>
      <c r="J3592" t="n">
        <v>132</v>
      </c>
      <c r="K3592" t="n">
        <v>1</v>
      </c>
      <c r="L3592" s="7" t="n">
        <v>471</v>
      </c>
      <c r="M3592" s="7" t="n">
        <v>0</v>
      </c>
    </row>
    <row r="3593">
      <c r="A3593" t="n">
        <v>511312</v>
      </c>
      <c r="B3593" s="6" t="n">
        <v>45998</v>
      </c>
      <c r="C3593" t="n">
        <v>17626</v>
      </c>
      <c r="D3593" t="inlineStr">
        <is>
          <t>Mumbai</t>
        </is>
      </c>
      <c r="E3593" t="inlineStr">
        <is>
          <t>West</t>
        </is>
      </c>
      <c r="F3593" t="inlineStr">
        <is>
          <t>Email</t>
        </is>
      </c>
      <c r="G3593" t="inlineStr">
        <is>
          <t>Desktop</t>
        </is>
      </c>
      <c r="H3593" t="inlineStr">
        <is>
          <t>Credit Card</t>
        </is>
      </c>
      <c r="I3593" t="inlineStr">
        <is>
          <t>Delivered</t>
        </is>
      </c>
      <c r="J3593" t="n">
        <v>128</v>
      </c>
      <c r="K3593" t="n">
        <v>2</v>
      </c>
      <c r="L3593" s="7" t="n">
        <v>1049</v>
      </c>
      <c r="M3593" s="7" t="n">
        <v>0</v>
      </c>
    </row>
    <row r="3594">
      <c r="A3594" t="n">
        <v>511312</v>
      </c>
      <c r="B3594" s="6" t="n">
        <v>45998</v>
      </c>
      <c r="C3594" t="n">
        <v>17626</v>
      </c>
      <c r="D3594" t="inlineStr">
        <is>
          <t>Mumbai</t>
        </is>
      </c>
      <c r="E3594" t="inlineStr">
        <is>
          <t>West</t>
        </is>
      </c>
      <c r="F3594" t="inlineStr">
        <is>
          <t>Email</t>
        </is>
      </c>
      <c r="G3594" t="inlineStr">
        <is>
          <t>Desktop</t>
        </is>
      </c>
      <c r="H3594" t="inlineStr">
        <is>
          <t>Credit Card</t>
        </is>
      </c>
      <c r="I3594" t="inlineStr">
        <is>
          <t>Delivered</t>
        </is>
      </c>
      <c r="J3594" t="n">
        <v>130</v>
      </c>
      <c r="K3594" t="n">
        <v>1</v>
      </c>
      <c r="L3594" s="7" t="n">
        <v>734</v>
      </c>
      <c r="M3594" s="7" t="n">
        <v>0</v>
      </c>
    </row>
    <row r="3595">
      <c r="A3595" t="n">
        <v>511312</v>
      </c>
      <c r="B3595" s="6" t="n">
        <v>45998</v>
      </c>
      <c r="C3595" t="n">
        <v>17626</v>
      </c>
      <c r="D3595" t="inlineStr">
        <is>
          <t>Mumbai</t>
        </is>
      </c>
      <c r="E3595" t="inlineStr">
        <is>
          <t>West</t>
        </is>
      </c>
      <c r="F3595" t="inlineStr">
        <is>
          <t>Email</t>
        </is>
      </c>
      <c r="G3595" t="inlineStr">
        <is>
          <t>Desktop</t>
        </is>
      </c>
      <c r="H3595" t="inlineStr">
        <is>
          <t>Credit Card</t>
        </is>
      </c>
      <c r="I3595" t="inlineStr">
        <is>
          <t>Delivered</t>
        </is>
      </c>
      <c r="J3595" t="n">
        <v>111</v>
      </c>
      <c r="K3595" t="n">
        <v>3</v>
      </c>
      <c r="L3595" s="7" t="n">
        <v>524</v>
      </c>
      <c r="M3595" s="7" t="n">
        <v>0</v>
      </c>
    </row>
    <row r="3596">
      <c r="A3596" t="n">
        <v>511313</v>
      </c>
      <c r="B3596" s="6" t="n">
        <v>45998</v>
      </c>
      <c r="C3596" t="n">
        <v>15401</v>
      </c>
      <c r="D3596" t="inlineStr">
        <is>
          <t>Mumbai</t>
        </is>
      </c>
      <c r="E3596" t="inlineStr">
        <is>
          <t>West</t>
        </is>
      </c>
      <c r="F3596" t="inlineStr">
        <is>
          <t>Paid Search</t>
        </is>
      </c>
      <c r="G3596" t="inlineStr">
        <is>
          <t>Mobile App</t>
        </is>
      </c>
      <c r="H3596" t="inlineStr">
        <is>
          <t>UPI</t>
        </is>
      </c>
      <c r="I3596" t="inlineStr">
        <is>
          <t>Delivered</t>
        </is>
      </c>
      <c r="J3596" t="n">
        <v>113</v>
      </c>
      <c r="K3596" t="n">
        <v>1</v>
      </c>
      <c r="L3596" s="7" t="n">
        <v>1364</v>
      </c>
      <c r="M3596" s="7" t="n">
        <v>0</v>
      </c>
    </row>
    <row r="3597">
      <c r="A3597" t="n">
        <v>511313</v>
      </c>
      <c r="B3597" s="6" t="n">
        <v>45998</v>
      </c>
      <c r="C3597" t="n">
        <v>15401</v>
      </c>
      <c r="D3597" t="inlineStr">
        <is>
          <t>Mumbai</t>
        </is>
      </c>
      <c r="E3597" t="inlineStr">
        <is>
          <t>West</t>
        </is>
      </c>
      <c r="F3597" t="inlineStr">
        <is>
          <t>Paid Search</t>
        </is>
      </c>
      <c r="G3597" t="inlineStr">
        <is>
          <t>Mobile App</t>
        </is>
      </c>
      <c r="H3597" t="inlineStr">
        <is>
          <t>UPI</t>
        </is>
      </c>
      <c r="I3597" t="inlineStr">
        <is>
          <t>Delivered</t>
        </is>
      </c>
      <c r="J3597" t="n">
        <v>103</v>
      </c>
      <c r="K3597" t="n">
        <v>2</v>
      </c>
      <c r="L3597" s="7" t="n">
        <v>2624</v>
      </c>
      <c r="M3597" s="7" t="n">
        <v>0</v>
      </c>
    </row>
    <row r="3598">
      <c r="A3598" t="n">
        <v>511313</v>
      </c>
      <c r="B3598" s="6" t="n">
        <v>45998</v>
      </c>
      <c r="C3598" t="n">
        <v>15401</v>
      </c>
      <c r="D3598" t="inlineStr">
        <is>
          <t>Mumbai</t>
        </is>
      </c>
      <c r="E3598" t="inlineStr">
        <is>
          <t>West</t>
        </is>
      </c>
      <c r="F3598" t="inlineStr">
        <is>
          <t>Paid Search</t>
        </is>
      </c>
      <c r="G3598" t="inlineStr">
        <is>
          <t>Mobile App</t>
        </is>
      </c>
      <c r="H3598" t="inlineStr">
        <is>
          <t>UPI</t>
        </is>
      </c>
      <c r="I3598" t="inlineStr">
        <is>
          <t>Delivered</t>
        </is>
      </c>
      <c r="J3598" t="n">
        <v>107</v>
      </c>
      <c r="K3598" t="n">
        <v>2</v>
      </c>
      <c r="L3598" s="7" t="n">
        <v>1259</v>
      </c>
      <c r="M3598" s="7" t="n">
        <v>0</v>
      </c>
    </row>
    <row r="3599">
      <c r="A3599" t="n">
        <v>511314</v>
      </c>
      <c r="B3599" s="6" t="n">
        <v>45998</v>
      </c>
      <c r="C3599" t="n">
        <v>17629</v>
      </c>
      <c r="D3599" t="inlineStr">
        <is>
          <t>Ahmedabad</t>
        </is>
      </c>
      <c r="E3599" t="inlineStr">
        <is>
          <t>West</t>
        </is>
      </c>
      <c r="F3599" t="inlineStr">
        <is>
          <t>Organic Search</t>
        </is>
      </c>
      <c r="G3599" t="inlineStr">
        <is>
          <t>Mobile Web</t>
        </is>
      </c>
      <c r="H3599" t="inlineStr">
        <is>
          <t>UPI</t>
        </is>
      </c>
      <c r="I3599" t="inlineStr">
        <is>
          <t>Delivered</t>
        </is>
      </c>
      <c r="J3599" t="n">
        <v>137</v>
      </c>
      <c r="K3599" t="n">
        <v>1</v>
      </c>
      <c r="L3599" s="7" t="n">
        <v>261</v>
      </c>
      <c r="M3599" s="7" t="n">
        <v>0</v>
      </c>
    </row>
    <row r="3600">
      <c r="A3600" t="n">
        <v>511315</v>
      </c>
      <c r="B3600" s="6" t="n">
        <v>45998</v>
      </c>
      <c r="C3600" t="n">
        <v>16018</v>
      </c>
      <c r="D3600" t="inlineStr">
        <is>
          <t>Lucknow</t>
        </is>
      </c>
      <c r="E3600" t="inlineStr">
        <is>
          <t>North</t>
        </is>
      </c>
      <c r="F3600" t="inlineStr">
        <is>
          <t>Affiliate</t>
        </is>
      </c>
      <c r="G3600" t="inlineStr">
        <is>
          <t>Mobile App</t>
        </is>
      </c>
      <c r="H3600" t="inlineStr">
        <is>
          <t>UPI</t>
        </is>
      </c>
      <c r="I3600" t="inlineStr">
        <is>
          <t>Delivered</t>
        </is>
      </c>
      <c r="J3600" t="n">
        <v>126</v>
      </c>
      <c r="K3600" t="n">
        <v>1</v>
      </c>
      <c r="L3600" s="7" t="n">
        <v>471</v>
      </c>
      <c r="M3600" s="7" t="n">
        <v>0</v>
      </c>
    </row>
    <row r="3601">
      <c r="A3601" t="n">
        <v>511315</v>
      </c>
      <c r="B3601" s="6" t="n">
        <v>45998</v>
      </c>
      <c r="C3601" t="n">
        <v>16018</v>
      </c>
      <c r="D3601" t="inlineStr">
        <is>
          <t>Lucknow</t>
        </is>
      </c>
      <c r="E3601" t="inlineStr">
        <is>
          <t>North</t>
        </is>
      </c>
      <c r="F3601" t="inlineStr">
        <is>
          <t>Affiliate</t>
        </is>
      </c>
      <c r="G3601" t="inlineStr">
        <is>
          <t>Mobile App</t>
        </is>
      </c>
      <c r="H3601" t="inlineStr">
        <is>
          <t>UPI</t>
        </is>
      </c>
      <c r="I3601" t="inlineStr">
        <is>
          <t>Delivered</t>
        </is>
      </c>
      <c r="J3601" t="n">
        <v>130</v>
      </c>
      <c r="K3601" t="n">
        <v>1</v>
      </c>
      <c r="L3601" s="7" t="n">
        <v>734</v>
      </c>
      <c r="M3601" s="7" t="n">
        <v>0</v>
      </c>
    </row>
    <row r="3602">
      <c r="A3602" t="n">
        <v>511316</v>
      </c>
      <c r="B3602" s="6" t="n">
        <v>45998</v>
      </c>
      <c r="C3602" t="n">
        <v>17633</v>
      </c>
      <c r="D3602" t="inlineStr">
        <is>
          <t>Kochi</t>
        </is>
      </c>
      <c r="E3602" t="inlineStr">
        <is>
          <t>South</t>
        </is>
      </c>
      <c r="F3602" t="inlineStr">
        <is>
          <t>Organic Search</t>
        </is>
      </c>
      <c r="G3602" t="inlineStr">
        <is>
          <t>Mobile Web</t>
        </is>
      </c>
      <c r="H3602" t="inlineStr">
        <is>
          <t>Cash on Delivery</t>
        </is>
      </c>
      <c r="I3602" t="inlineStr">
        <is>
          <t>Cancelled</t>
        </is>
      </c>
      <c r="J3602" t="n">
        <v>124</v>
      </c>
      <c r="K3602" t="n">
        <v>1</v>
      </c>
      <c r="L3602" s="7" t="n">
        <v>1154</v>
      </c>
      <c r="M3602" s="7" t="n">
        <v>173.1</v>
      </c>
    </row>
    <row r="3603">
      <c r="A3603" t="n">
        <v>511317</v>
      </c>
      <c r="B3603" s="6" t="n">
        <v>45998</v>
      </c>
      <c r="C3603" t="n">
        <v>13958</v>
      </c>
      <c r="D3603" t="inlineStr">
        <is>
          <t>Chandigarh</t>
        </is>
      </c>
      <c r="E3603" t="inlineStr">
        <is>
          <t>North</t>
        </is>
      </c>
      <c r="F3603" t="inlineStr">
        <is>
          <t>Referral</t>
        </is>
      </c>
      <c r="G3603" t="inlineStr">
        <is>
          <t>Desktop</t>
        </is>
      </c>
      <c r="H3603" t="inlineStr">
        <is>
          <t>UPI</t>
        </is>
      </c>
      <c r="I3603" t="inlineStr">
        <is>
          <t>Delivered</t>
        </is>
      </c>
      <c r="J3603" t="n">
        <v>102</v>
      </c>
      <c r="K3603" t="n">
        <v>1</v>
      </c>
      <c r="L3603" s="7" t="n">
        <v>3674</v>
      </c>
      <c r="M3603" s="7" t="n">
        <v>0</v>
      </c>
    </row>
    <row r="3604">
      <c r="A3604" t="n">
        <v>511318</v>
      </c>
      <c r="B3604" s="6" t="n">
        <v>45998</v>
      </c>
      <c r="C3604" t="n">
        <v>13854</v>
      </c>
      <c r="D3604" t="inlineStr">
        <is>
          <t>Lucknow</t>
        </is>
      </c>
      <c r="E3604" t="inlineStr">
        <is>
          <t>North</t>
        </is>
      </c>
      <c r="F3604" t="inlineStr">
        <is>
          <t>Referral</t>
        </is>
      </c>
      <c r="G3604" t="inlineStr">
        <is>
          <t>Mobile Web</t>
        </is>
      </c>
      <c r="H3604" t="inlineStr">
        <is>
          <t>UPI</t>
        </is>
      </c>
      <c r="I3604" t="inlineStr">
        <is>
          <t>Delivered</t>
        </is>
      </c>
      <c r="J3604" t="n">
        <v>133</v>
      </c>
      <c r="K3604" t="n">
        <v>1</v>
      </c>
      <c r="L3604" s="7" t="n">
        <v>419</v>
      </c>
      <c r="M3604" s="7" t="n">
        <v>0</v>
      </c>
    </row>
    <row r="3605">
      <c r="A3605" t="n">
        <v>511319</v>
      </c>
      <c r="B3605" s="6" t="n">
        <v>45998</v>
      </c>
      <c r="C3605" t="n">
        <v>10351</v>
      </c>
      <c r="D3605" t="inlineStr">
        <is>
          <t>Gurugram</t>
        </is>
      </c>
      <c r="E3605" t="inlineStr">
        <is>
          <t>North</t>
        </is>
      </c>
      <c r="F3605" t="inlineStr">
        <is>
          <t>Organic Search</t>
        </is>
      </c>
      <c r="G3605" t="inlineStr">
        <is>
          <t>Mobile App</t>
        </is>
      </c>
      <c r="H3605" t="inlineStr">
        <is>
          <t>Cash on Delivery</t>
        </is>
      </c>
      <c r="I3605" t="inlineStr">
        <is>
          <t>Delivered</t>
        </is>
      </c>
      <c r="J3605" t="n">
        <v>147</v>
      </c>
      <c r="K3605" t="n">
        <v>1</v>
      </c>
      <c r="L3605" s="7" t="n">
        <v>1364</v>
      </c>
      <c r="M3605" s="7" t="n">
        <v>0</v>
      </c>
    </row>
    <row r="3606">
      <c r="A3606" t="n">
        <v>511319</v>
      </c>
      <c r="B3606" s="6" t="n">
        <v>45998</v>
      </c>
      <c r="C3606" t="n">
        <v>10351</v>
      </c>
      <c r="D3606" t="inlineStr">
        <is>
          <t>Gurugram</t>
        </is>
      </c>
      <c r="E3606" t="inlineStr">
        <is>
          <t>North</t>
        </is>
      </c>
      <c r="F3606" t="inlineStr">
        <is>
          <t>Organic Search</t>
        </is>
      </c>
      <c r="G3606" t="inlineStr">
        <is>
          <t>Mobile App</t>
        </is>
      </c>
      <c r="H3606" t="inlineStr">
        <is>
          <t>Cash on Delivery</t>
        </is>
      </c>
      <c r="I3606" t="inlineStr">
        <is>
          <t>Delivered</t>
        </is>
      </c>
      <c r="J3606" t="n">
        <v>111</v>
      </c>
      <c r="K3606" t="n">
        <v>2</v>
      </c>
      <c r="L3606" s="7" t="n">
        <v>524</v>
      </c>
      <c r="M3606" s="7" t="n">
        <v>0</v>
      </c>
    </row>
    <row r="3607">
      <c r="A3607" t="n">
        <v>511319</v>
      </c>
      <c r="B3607" s="6" t="n">
        <v>45998</v>
      </c>
      <c r="C3607" t="n">
        <v>10351</v>
      </c>
      <c r="D3607" t="inlineStr">
        <is>
          <t>Gurugram</t>
        </is>
      </c>
      <c r="E3607" t="inlineStr">
        <is>
          <t>North</t>
        </is>
      </c>
      <c r="F3607" t="inlineStr">
        <is>
          <t>Organic Search</t>
        </is>
      </c>
      <c r="G3607" t="inlineStr">
        <is>
          <t>Mobile App</t>
        </is>
      </c>
      <c r="H3607" t="inlineStr">
        <is>
          <t>Cash on Delivery</t>
        </is>
      </c>
      <c r="I3607" t="inlineStr">
        <is>
          <t>Delivered</t>
        </is>
      </c>
      <c r="J3607" t="n">
        <v>142</v>
      </c>
      <c r="K3607" t="n">
        <v>1</v>
      </c>
      <c r="L3607" s="7" t="n">
        <v>839</v>
      </c>
      <c r="M3607" s="7" t="n">
        <v>0</v>
      </c>
    </row>
    <row r="3608">
      <c r="A3608" t="n">
        <v>511319</v>
      </c>
      <c r="B3608" s="6" t="n">
        <v>45998</v>
      </c>
      <c r="C3608" t="n">
        <v>10351</v>
      </c>
      <c r="D3608" t="inlineStr">
        <is>
          <t>Gurugram</t>
        </is>
      </c>
      <c r="E3608" t="inlineStr">
        <is>
          <t>North</t>
        </is>
      </c>
      <c r="F3608" t="inlineStr">
        <is>
          <t>Organic Search</t>
        </is>
      </c>
      <c r="G3608" t="inlineStr">
        <is>
          <t>Mobile App</t>
        </is>
      </c>
      <c r="H3608" t="inlineStr">
        <is>
          <t>Cash on Delivery</t>
        </is>
      </c>
      <c r="I3608" t="inlineStr">
        <is>
          <t>Delivered</t>
        </is>
      </c>
      <c r="J3608" t="n">
        <v>114</v>
      </c>
      <c r="K3608" t="n">
        <v>1</v>
      </c>
      <c r="L3608" s="7" t="n">
        <v>1259</v>
      </c>
      <c r="M3608" s="7" t="n">
        <v>0</v>
      </c>
    </row>
    <row r="3609">
      <c r="A3609" t="n">
        <v>511320</v>
      </c>
      <c r="B3609" s="6" t="n">
        <v>45998</v>
      </c>
      <c r="C3609" t="n">
        <v>16052</v>
      </c>
      <c r="D3609" t="inlineStr">
        <is>
          <t>Gurugram</t>
        </is>
      </c>
      <c r="E3609" t="inlineStr">
        <is>
          <t>North</t>
        </is>
      </c>
      <c r="F3609" t="inlineStr">
        <is>
          <t>Email</t>
        </is>
      </c>
      <c r="G3609" t="inlineStr">
        <is>
          <t>Mobile App</t>
        </is>
      </c>
      <c r="H3609" t="inlineStr">
        <is>
          <t>Credit Card</t>
        </is>
      </c>
      <c r="I3609" t="inlineStr">
        <is>
          <t>Delivered</t>
        </is>
      </c>
      <c r="J3609" t="n">
        <v>103</v>
      </c>
      <c r="K3609" t="n">
        <v>1</v>
      </c>
      <c r="L3609" s="7" t="n">
        <v>2624</v>
      </c>
      <c r="M3609" s="7" t="n">
        <v>131.2</v>
      </c>
    </row>
    <row r="3610">
      <c r="A3610" t="n">
        <v>511320</v>
      </c>
      <c r="B3610" s="6" t="n">
        <v>45998</v>
      </c>
      <c r="C3610" t="n">
        <v>16052</v>
      </c>
      <c r="D3610" t="inlineStr">
        <is>
          <t>Gurugram</t>
        </is>
      </c>
      <c r="E3610" t="inlineStr">
        <is>
          <t>North</t>
        </is>
      </c>
      <c r="F3610" t="inlineStr">
        <is>
          <t>Email</t>
        </is>
      </c>
      <c r="G3610" t="inlineStr">
        <is>
          <t>Mobile App</t>
        </is>
      </c>
      <c r="H3610" t="inlineStr">
        <is>
          <t>Credit Card</t>
        </is>
      </c>
      <c r="I3610" t="inlineStr">
        <is>
          <t>Delivered</t>
        </is>
      </c>
      <c r="J3610" t="n">
        <v>117</v>
      </c>
      <c r="K3610" t="n">
        <v>1</v>
      </c>
      <c r="L3610" s="7" t="n">
        <v>3149</v>
      </c>
      <c r="M3610" s="7" t="n">
        <v>157.45</v>
      </c>
    </row>
    <row r="3611">
      <c r="A3611" t="n">
        <v>511321</v>
      </c>
      <c r="B3611" s="6" t="n">
        <v>45999</v>
      </c>
      <c r="C3611" t="n">
        <v>17230</v>
      </c>
      <c r="D3611" t="inlineStr">
        <is>
          <t>Indore</t>
        </is>
      </c>
      <c r="E3611" t="inlineStr">
        <is>
          <t>West</t>
        </is>
      </c>
      <c r="F3611" t="inlineStr">
        <is>
          <t>Referral</t>
        </is>
      </c>
      <c r="G3611" t="inlineStr">
        <is>
          <t>Mobile App</t>
        </is>
      </c>
      <c r="H3611" t="inlineStr">
        <is>
          <t>Credit Card</t>
        </is>
      </c>
      <c r="I3611" t="inlineStr">
        <is>
          <t>Delivered</t>
        </is>
      </c>
      <c r="J3611" t="n">
        <v>105</v>
      </c>
      <c r="K3611" t="n">
        <v>2</v>
      </c>
      <c r="L3611" s="7" t="n">
        <v>2414</v>
      </c>
      <c r="M3611" s="7" t="n">
        <v>0</v>
      </c>
    </row>
    <row r="3612">
      <c r="A3612" t="n">
        <v>511322</v>
      </c>
      <c r="B3612" s="6" t="n">
        <v>45999</v>
      </c>
      <c r="C3612" t="n">
        <v>16937</v>
      </c>
      <c r="D3612" t="inlineStr">
        <is>
          <t>Bengaluru</t>
        </is>
      </c>
      <c r="E3612" t="inlineStr">
        <is>
          <t>South</t>
        </is>
      </c>
      <c r="F3612" t="inlineStr">
        <is>
          <t>Paid Search</t>
        </is>
      </c>
      <c r="G3612" t="inlineStr">
        <is>
          <t>Mobile App</t>
        </is>
      </c>
      <c r="H3612" t="inlineStr">
        <is>
          <t>Credit Card</t>
        </is>
      </c>
      <c r="I3612" t="inlineStr">
        <is>
          <t>Delivered</t>
        </is>
      </c>
      <c r="J3612" t="n">
        <v>102</v>
      </c>
      <c r="K3612" t="n">
        <v>1</v>
      </c>
      <c r="L3612" s="7" t="n">
        <v>3674</v>
      </c>
      <c r="M3612" s="7" t="n">
        <v>0</v>
      </c>
    </row>
    <row r="3613">
      <c r="A3613" t="n">
        <v>511323</v>
      </c>
      <c r="B3613" s="6" t="n">
        <v>45999</v>
      </c>
      <c r="C3613" t="n">
        <v>17119</v>
      </c>
      <c r="D3613" t="inlineStr">
        <is>
          <t>Bengaluru</t>
        </is>
      </c>
      <c r="E3613" t="inlineStr">
        <is>
          <t>South</t>
        </is>
      </c>
      <c r="F3613" t="inlineStr">
        <is>
          <t>Organic Search</t>
        </is>
      </c>
      <c r="G3613" t="inlineStr">
        <is>
          <t>Mobile Web</t>
        </is>
      </c>
      <c r="H3613" t="inlineStr">
        <is>
          <t>Debit Card</t>
        </is>
      </c>
      <c r="I3613" t="inlineStr">
        <is>
          <t>Delivered</t>
        </is>
      </c>
      <c r="J3613" t="n">
        <v>130</v>
      </c>
      <c r="K3613" t="n">
        <v>1</v>
      </c>
      <c r="L3613" s="7" t="n">
        <v>734</v>
      </c>
      <c r="M3613" s="7" t="n">
        <v>0</v>
      </c>
    </row>
    <row r="3614">
      <c r="A3614" t="n">
        <v>511324</v>
      </c>
      <c r="B3614" s="6" t="n">
        <v>45999</v>
      </c>
      <c r="C3614" t="n">
        <v>17532</v>
      </c>
      <c r="D3614" t="inlineStr">
        <is>
          <t>Jaipur</t>
        </is>
      </c>
      <c r="E3614" t="inlineStr">
        <is>
          <t>North</t>
        </is>
      </c>
      <c r="F3614" t="inlineStr">
        <is>
          <t>Paid Social</t>
        </is>
      </c>
      <c r="G3614" t="inlineStr">
        <is>
          <t>Desktop</t>
        </is>
      </c>
      <c r="H3614" t="inlineStr">
        <is>
          <t>Cash on Delivery</t>
        </is>
      </c>
      <c r="I3614" t="inlineStr">
        <is>
          <t>Delivered</t>
        </is>
      </c>
      <c r="J3614" t="n">
        <v>111</v>
      </c>
      <c r="K3614" t="n">
        <v>1</v>
      </c>
      <c r="L3614" s="7" t="n">
        <v>524</v>
      </c>
      <c r="M3614" s="7" t="n">
        <v>0</v>
      </c>
    </row>
    <row r="3615">
      <c r="A3615" t="n">
        <v>511324</v>
      </c>
      <c r="B3615" s="6" t="n">
        <v>45999</v>
      </c>
      <c r="C3615" t="n">
        <v>17532</v>
      </c>
      <c r="D3615" t="inlineStr">
        <is>
          <t>Jaipur</t>
        </is>
      </c>
      <c r="E3615" t="inlineStr">
        <is>
          <t>North</t>
        </is>
      </c>
      <c r="F3615" t="inlineStr">
        <is>
          <t>Paid Social</t>
        </is>
      </c>
      <c r="G3615" t="inlineStr">
        <is>
          <t>Desktop</t>
        </is>
      </c>
      <c r="H3615" t="inlineStr">
        <is>
          <t>Cash on Delivery</t>
        </is>
      </c>
      <c r="I3615" t="inlineStr">
        <is>
          <t>Delivered</t>
        </is>
      </c>
      <c r="J3615" t="n">
        <v>132</v>
      </c>
      <c r="K3615" t="n">
        <v>1</v>
      </c>
      <c r="L3615" s="7" t="n">
        <v>471</v>
      </c>
      <c r="M3615" s="7" t="n">
        <v>0</v>
      </c>
    </row>
    <row r="3616">
      <c r="A3616" t="n">
        <v>511324</v>
      </c>
      <c r="B3616" s="6" t="n">
        <v>45999</v>
      </c>
      <c r="C3616" t="n">
        <v>17532</v>
      </c>
      <c r="D3616" t="inlineStr">
        <is>
          <t>Jaipur</t>
        </is>
      </c>
      <c r="E3616" t="inlineStr">
        <is>
          <t>North</t>
        </is>
      </c>
      <c r="F3616" t="inlineStr">
        <is>
          <t>Paid Social</t>
        </is>
      </c>
      <c r="G3616" t="inlineStr">
        <is>
          <t>Desktop</t>
        </is>
      </c>
      <c r="H3616" t="inlineStr">
        <is>
          <t>Cash on Delivery</t>
        </is>
      </c>
      <c r="I3616" t="inlineStr">
        <is>
          <t>Delivered</t>
        </is>
      </c>
      <c r="J3616" t="n">
        <v>136</v>
      </c>
      <c r="K3616" t="n">
        <v>1</v>
      </c>
      <c r="L3616" s="7" t="n">
        <v>944</v>
      </c>
      <c r="M3616" s="7" t="n">
        <v>0</v>
      </c>
    </row>
    <row r="3617">
      <c r="A3617" t="n">
        <v>511325</v>
      </c>
      <c r="B3617" s="6" t="n">
        <v>45999</v>
      </c>
      <c r="C3617" t="n">
        <v>14204</v>
      </c>
      <c r="D3617" t="inlineStr">
        <is>
          <t>Pune</t>
        </is>
      </c>
      <c r="E3617" t="inlineStr">
        <is>
          <t>West</t>
        </is>
      </c>
      <c r="F3617" t="inlineStr">
        <is>
          <t>Email</t>
        </is>
      </c>
      <c r="G3617" t="inlineStr">
        <is>
          <t>Mobile Web</t>
        </is>
      </c>
      <c r="H3617" t="inlineStr">
        <is>
          <t>Credit Card</t>
        </is>
      </c>
      <c r="I3617" t="inlineStr">
        <is>
          <t>Delivered</t>
        </is>
      </c>
      <c r="J3617" t="n">
        <v>131</v>
      </c>
      <c r="K3617" t="n">
        <v>1</v>
      </c>
      <c r="L3617" s="7" t="n">
        <v>314</v>
      </c>
      <c r="M3617" s="7" t="n">
        <v>0</v>
      </c>
    </row>
    <row r="3618">
      <c r="A3618" t="n">
        <v>511326</v>
      </c>
      <c r="B3618" s="6" t="n">
        <v>45999</v>
      </c>
      <c r="C3618" t="n">
        <v>17628</v>
      </c>
      <c r="D3618" t="inlineStr">
        <is>
          <t>Ahmedabad</t>
        </is>
      </c>
      <c r="E3618" t="inlineStr">
        <is>
          <t>West</t>
        </is>
      </c>
      <c r="F3618" t="inlineStr">
        <is>
          <t>Organic Search</t>
        </is>
      </c>
      <c r="G3618" t="inlineStr">
        <is>
          <t>Mobile Web</t>
        </is>
      </c>
      <c r="H3618" t="inlineStr">
        <is>
          <t>UPI</t>
        </is>
      </c>
      <c r="I3618" t="inlineStr">
        <is>
          <t>Delivered</t>
        </is>
      </c>
      <c r="J3618" t="n">
        <v>104</v>
      </c>
      <c r="K3618" t="n">
        <v>1</v>
      </c>
      <c r="L3618" s="7" t="n">
        <v>5249</v>
      </c>
      <c r="M3618" s="7" t="n">
        <v>0</v>
      </c>
    </row>
    <row r="3619">
      <c r="A3619" t="n">
        <v>511327</v>
      </c>
      <c r="B3619" s="6" t="n">
        <v>45999</v>
      </c>
      <c r="C3619" t="n">
        <v>17533</v>
      </c>
      <c r="D3619" t="inlineStr">
        <is>
          <t>Mumbai</t>
        </is>
      </c>
      <c r="E3619" t="inlineStr">
        <is>
          <t>West</t>
        </is>
      </c>
      <c r="F3619" t="inlineStr">
        <is>
          <t>Paid Search</t>
        </is>
      </c>
      <c r="G3619" t="inlineStr">
        <is>
          <t>Mobile App</t>
        </is>
      </c>
      <c r="H3619" t="inlineStr">
        <is>
          <t>Credit Card</t>
        </is>
      </c>
      <c r="I3619" t="inlineStr">
        <is>
          <t>Returned</t>
        </is>
      </c>
      <c r="J3619" t="n">
        <v>111</v>
      </c>
      <c r="K3619" t="n">
        <v>1</v>
      </c>
      <c r="L3619" s="7" t="n">
        <v>524</v>
      </c>
      <c r="M3619" s="7" t="n">
        <v>78.59999999999999</v>
      </c>
    </row>
    <row r="3620">
      <c r="A3620" t="n">
        <v>511327</v>
      </c>
      <c r="B3620" s="6" t="n">
        <v>45999</v>
      </c>
      <c r="C3620" t="n">
        <v>17533</v>
      </c>
      <c r="D3620" t="inlineStr">
        <is>
          <t>Mumbai</t>
        </is>
      </c>
      <c r="E3620" t="inlineStr">
        <is>
          <t>West</t>
        </is>
      </c>
      <c r="F3620" t="inlineStr">
        <is>
          <t>Paid Search</t>
        </is>
      </c>
      <c r="G3620" t="inlineStr">
        <is>
          <t>Mobile App</t>
        </is>
      </c>
      <c r="H3620" t="inlineStr">
        <is>
          <t>Credit Card</t>
        </is>
      </c>
      <c r="I3620" t="inlineStr">
        <is>
          <t>Returned</t>
        </is>
      </c>
      <c r="J3620" t="n">
        <v>126</v>
      </c>
      <c r="K3620" t="n">
        <v>3</v>
      </c>
      <c r="L3620" s="7" t="n">
        <v>471</v>
      </c>
      <c r="M3620" s="7" t="n">
        <v>211.95</v>
      </c>
    </row>
    <row r="3621">
      <c r="A3621" t="n">
        <v>511327</v>
      </c>
      <c r="B3621" s="6" t="n">
        <v>45999</v>
      </c>
      <c r="C3621" t="n">
        <v>17533</v>
      </c>
      <c r="D3621" t="inlineStr">
        <is>
          <t>Mumbai</t>
        </is>
      </c>
      <c r="E3621" t="inlineStr">
        <is>
          <t>West</t>
        </is>
      </c>
      <c r="F3621" t="inlineStr">
        <is>
          <t>Paid Search</t>
        </is>
      </c>
      <c r="G3621" t="inlineStr">
        <is>
          <t>Mobile App</t>
        </is>
      </c>
      <c r="H3621" t="inlineStr">
        <is>
          <t>Credit Card</t>
        </is>
      </c>
      <c r="I3621" t="inlineStr">
        <is>
          <t>Returned</t>
        </is>
      </c>
      <c r="J3621" t="n">
        <v>108</v>
      </c>
      <c r="K3621" t="n">
        <v>2</v>
      </c>
      <c r="L3621" s="7" t="n">
        <v>419</v>
      </c>
      <c r="M3621" s="7" t="n">
        <v>125.7</v>
      </c>
    </row>
    <row r="3622">
      <c r="A3622" t="n">
        <v>511328</v>
      </c>
      <c r="B3622" s="6" t="n">
        <v>45999</v>
      </c>
      <c r="C3622" t="n">
        <v>17524</v>
      </c>
      <c r="D3622" t="inlineStr">
        <is>
          <t>Delhi</t>
        </is>
      </c>
      <c r="E3622" t="inlineStr">
        <is>
          <t>North</t>
        </is>
      </c>
      <c r="F3622" t="inlineStr">
        <is>
          <t>Referral</t>
        </is>
      </c>
      <c r="G3622" t="inlineStr">
        <is>
          <t>Mobile App</t>
        </is>
      </c>
      <c r="H3622" t="inlineStr">
        <is>
          <t>Credit Card</t>
        </is>
      </c>
      <c r="I3622" t="inlineStr">
        <is>
          <t>Delivered</t>
        </is>
      </c>
      <c r="J3622" t="n">
        <v>113</v>
      </c>
      <c r="K3622" t="n">
        <v>1</v>
      </c>
      <c r="L3622" s="7" t="n">
        <v>1364</v>
      </c>
      <c r="M3622" s="7" t="n">
        <v>0</v>
      </c>
    </row>
    <row r="3623">
      <c r="A3623" t="n">
        <v>511329</v>
      </c>
      <c r="B3623" s="6" t="n">
        <v>45999</v>
      </c>
      <c r="C3623" t="n">
        <v>11847</v>
      </c>
      <c r="D3623" t="inlineStr">
        <is>
          <t>Ahmedabad</t>
        </is>
      </c>
      <c r="E3623" t="inlineStr">
        <is>
          <t>West</t>
        </is>
      </c>
      <c r="F3623" t="inlineStr">
        <is>
          <t>Affiliate</t>
        </is>
      </c>
      <c r="G3623" t="inlineStr">
        <is>
          <t>Mobile App</t>
        </is>
      </c>
      <c r="H3623" t="inlineStr">
        <is>
          <t>UPI</t>
        </is>
      </c>
      <c r="I3623" t="inlineStr">
        <is>
          <t>Delivered</t>
        </is>
      </c>
      <c r="J3623" t="n">
        <v>108</v>
      </c>
      <c r="K3623" t="n">
        <v>3</v>
      </c>
      <c r="L3623" s="7" t="n">
        <v>419</v>
      </c>
      <c r="M3623" s="7" t="n">
        <v>0</v>
      </c>
    </row>
    <row r="3624">
      <c r="A3624" t="n">
        <v>511329</v>
      </c>
      <c r="B3624" s="6" t="n">
        <v>45999</v>
      </c>
      <c r="C3624" t="n">
        <v>11847</v>
      </c>
      <c r="D3624" t="inlineStr">
        <is>
          <t>Ahmedabad</t>
        </is>
      </c>
      <c r="E3624" t="inlineStr">
        <is>
          <t>West</t>
        </is>
      </c>
      <c r="F3624" t="inlineStr">
        <is>
          <t>Affiliate</t>
        </is>
      </c>
      <c r="G3624" t="inlineStr">
        <is>
          <t>Mobile App</t>
        </is>
      </c>
      <c r="H3624" t="inlineStr">
        <is>
          <t>UPI</t>
        </is>
      </c>
      <c r="I3624" t="inlineStr">
        <is>
          <t>Delivered</t>
        </is>
      </c>
      <c r="J3624" t="n">
        <v>102</v>
      </c>
      <c r="K3624" t="n">
        <v>1</v>
      </c>
      <c r="L3624" s="7" t="n">
        <v>3674</v>
      </c>
      <c r="M3624" s="7" t="n">
        <v>0</v>
      </c>
    </row>
    <row r="3625">
      <c r="A3625" t="n">
        <v>511330</v>
      </c>
      <c r="B3625" s="6" t="n">
        <v>45999</v>
      </c>
      <c r="C3625" t="n">
        <v>14300</v>
      </c>
      <c r="D3625" t="inlineStr">
        <is>
          <t>Mumbai</t>
        </is>
      </c>
      <c r="E3625" t="inlineStr">
        <is>
          <t>West</t>
        </is>
      </c>
      <c r="F3625" t="inlineStr">
        <is>
          <t>Organic Search</t>
        </is>
      </c>
      <c r="G3625" t="inlineStr">
        <is>
          <t>Mobile Web</t>
        </is>
      </c>
      <c r="H3625" t="inlineStr">
        <is>
          <t>Cash on Delivery</t>
        </is>
      </c>
      <c r="I3625" t="inlineStr">
        <is>
          <t>Delivered</t>
        </is>
      </c>
      <c r="J3625" t="n">
        <v>108</v>
      </c>
      <c r="K3625" t="n">
        <v>2</v>
      </c>
      <c r="L3625" s="7" t="n">
        <v>419</v>
      </c>
      <c r="M3625" s="7" t="n">
        <v>0</v>
      </c>
    </row>
    <row r="3626">
      <c r="A3626" t="n">
        <v>511331</v>
      </c>
      <c r="B3626" s="6" t="n">
        <v>45999</v>
      </c>
      <c r="C3626" t="n">
        <v>16825</v>
      </c>
      <c r="D3626" t="inlineStr">
        <is>
          <t>Ahmedabad</t>
        </is>
      </c>
      <c r="E3626" t="inlineStr">
        <is>
          <t>West</t>
        </is>
      </c>
      <c r="F3626" t="inlineStr">
        <is>
          <t>Paid Social</t>
        </is>
      </c>
      <c r="G3626" t="inlineStr">
        <is>
          <t>Mobile App</t>
        </is>
      </c>
      <c r="H3626" t="inlineStr">
        <is>
          <t>UPI</t>
        </is>
      </c>
      <c r="I3626" t="inlineStr">
        <is>
          <t>Delivered</t>
        </is>
      </c>
      <c r="J3626" t="n">
        <v>119</v>
      </c>
      <c r="K3626" t="n">
        <v>1</v>
      </c>
      <c r="L3626" s="7" t="n">
        <v>2309</v>
      </c>
      <c r="M3626" s="7" t="n">
        <v>0</v>
      </c>
    </row>
    <row r="3627">
      <c r="A3627" t="n">
        <v>511332</v>
      </c>
      <c r="B3627" s="6" t="n">
        <v>45999</v>
      </c>
      <c r="C3627" t="n">
        <v>17498</v>
      </c>
      <c r="D3627" t="inlineStr">
        <is>
          <t>Chennai</t>
        </is>
      </c>
      <c r="E3627" t="inlineStr">
        <is>
          <t>South</t>
        </is>
      </c>
      <c r="F3627" t="inlineStr">
        <is>
          <t>Organic Search</t>
        </is>
      </c>
      <c r="G3627" t="inlineStr">
        <is>
          <t>Mobile App</t>
        </is>
      </c>
      <c r="H3627" t="inlineStr">
        <is>
          <t>Cash on Delivery</t>
        </is>
      </c>
      <c r="I3627" t="inlineStr">
        <is>
          <t>Returned</t>
        </is>
      </c>
      <c r="J3627" t="n">
        <v>112</v>
      </c>
      <c r="K3627" t="n">
        <v>1</v>
      </c>
      <c r="L3627" s="7" t="n">
        <v>1574</v>
      </c>
      <c r="M3627" s="7" t="n">
        <v>236.1</v>
      </c>
    </row>
    <row r="3628">
      <c r="A3628" t="n">
        <v>511333</v>
      </c>
      <c r="B3628" s="6" t="n">
        <v>45999</v>
      </c>
      <c r="C3628" t="n">
        <v>17656</v>
      </c>
      <c r="D3628" t="inlineStr">
        <is>
          <t>Chandigarh</t>
        </is>
      </c>
      <c r="E3628" t="inlineStr">
        <is>
          <t>North</t>
        </is>
      </c>
      <c r="F3628" t="inlineStr">
        <is>
          <t>Referral</t>
        </is>
      </c>
      <c r="G3628" t="inlineStr">
        <is>
          <t>Mobile App</t>
        </is>
      </c>
      <c r="H3628" t="inlineStr">
        <is>
          <t>Debit Card</t>
        </is>
      </c>
      <c r="I3628" t="inlineStr">
        <is>
          <t>Delivered</t>
        </is>
      </c>
      <c r="J3628" t="n">
        <v>122</v>
      </c>
      <c r="K3628" t="n">
        <v>1</v>
      </c>
      <c r="L3628" s="7" t="n">
        <v>1994</v>
      </c>
      <c r="M3628" s="7" t="n">
        <v>299.1</v>
      </c>
    </row>
    <row r="3629">
      <c r="A3629" t="n">
        <v>511333</v>
      </c>
      <c r="B3629" s="6" t="n">
        <v>45999</v>
      </c>
      <c r="C3629" t="n">
        <v>17656</v>
      </c>
      <c r="D3629" t="inlineStr">
        <is>
          <t>Chandigarh</t>
        </is>
      </c>
      <c r="E3629" t="inlineStr">
        <is>
          <t>North</t>
        </is>
      </c>
      <c r="F3629" t="inlineStr">
        <is>
          <t>Referral</t>
        </is>
      </c>
      <c r="G3629" t="inlineStr">
        <is>
          <t>Mobile App</t>
        </is>
      </c>
      <c r="H3629" t="inlineStr">
        <is>
          <t>Debit Card</t>
        </is>
      </c>
      <c r="I3629" t="inlineStr">
        <is>
          <t>Delivered</t>
        </is>
      </c>
      <c r="J3629" t="n">
        <v>129</v>
      </c>
      <c r="K3629" t="n">
        <v>1</v>
      </c>
      <c r="L3629" s="7" t="n">
        <v>576</v>
      </c>
      <c r="M3629" s="7" t="n">
        <v>86.40000000000001</v>
      </c>
    </row>
    <row r="3630">
      <c r="A3630" t="n">
        <v>511334</v>
      </c>
      <c r="B3630" s="6" t="n">
        <v>45999</v>
      </c>
      <c r="C3630" t="n">
        <v>17669</v>
      </c>
      <c r="D3630" t="inlineStr">
        <is>
          <t>Pune</t>
        </is>
      </c>
      <c r="E3630" t="inlineStr">
        <is>
          <t>West</t>
        </is>
      </c>
      <c r="F3630" t="inlineStr">
        <is>
          <t>Affiliate</t>
        </is>
      </c>
      <c r="G3630" t="inlineStr">
        <is>
          <t>Mobile Web</t>
        </is>
      </c>
      <c r="H3630" t="inlineStr">
        <is>
          <t>UPI</t>
        </is>
      </c>
      <c r="I3630" t="inlineStr">
        <is>
          <t>Delivered</t>
        </is>
      </c>
      <c r="J3630" t="n">
        <v>111</v>
      </c>
      <c r="K3630" t="n">
        <v>1</v>
      </c>
      <c r="L3630" s="7" t="n">
        <v>524</v>
      </c>
      <c r="M3630" s="7" t="n">
        <v>0</v>
      </c>
    </row>
    <row r="3631">
      <c r="A3631" t="n">
        <v>511335</v>
      </c>
      <c r="B3631" s="6" t="n">
        <v>45999</v>
      </c>
      <c r="C3631" t="n">
        <v>17606</v>
      </c>
      <c r="D3631" t="inlineStr">
        <is>
          <t>Bengaluru</t>
        </is>
      </c>
      <c r="E3631" t="inlineStr">
        <is>
          <t>South</t>
        </is>
      </c>
      <c r="F3631" t="inlineStr">
        <is>
          <t>Email</t>
        </is>
      </c>
      <c r="G3631" t="inlineStr">
        <is>
          <t>Desktop</t>
        </is>
      </c>
      <c r="H3631" t="inlineStr">
        <is>
          <t>Debit Card</t>
        </is>
      </c>
      <c r="I3631" t="inlineStr">
        <is>
          <t>Delivered</t>
        </is>
      </c>
      <c r="J3631" t="n">
        <v>141</v>
      </c>
      <c r="K3631" t="n">
        <v>1</v>
      </c>
      <c r="L3631" s="7" t="n">
        <v>261</v>
      </c>
      <c r="M3631" s="7" t="n">
        <v>0</v>
      </c>
    </row>
    <row r="3632">
      <c r="A3632" t="n">
        <v>511335</v>
      </c>
      <c r="B3632" s="6" t="n">
        <v>45999</v>
      </c>
      <c r="C3632" t="n">
        <v>17606</v>
      </c>
      <c r="D3632" t="inlineStr">
        <is>
          <t>Bengaluru</t>
        </is>
      </c>
      <c r="E3632" t="inlineStr">
        <is>
          <t>South</t>
        </is>
      </c>
      <c r="F3632" t="inlineStr">
        <is>
          <t>Email</t>
        </is>
      </c>
      <c r="G3632" t="inlineStr">
        <is>
          <t>Desktop</t>
        </is>
      </c>
      <c r="H3632" t="inlineStr">
        <is>
          <t>Debit Card</t>
        </is>
      </c>
      <c r="I3632" t="inlineStr">
        <is>
          <t>Delivered</t>
        </is>
      </c>
      <c r="J3632" t="n">
        <v>110</v>
      </c>
      <c r="K3632" t="n">
        <v>1</v>
      </c>
      <c r="L3632" s="7" t="n">
        <v>839</v>
      </c>
      <c r="M3632" s="7" t="n">
        <v>0</v>
      </c>
    </row>
    <row r="3633">
      <c r="A3633" t="n">
        <v>511336</v>
      </c>
      <c r="B3633" s="6" t="n">
        <v>46000</v>
      </c>
      <c r="C3633" t="n">
        <v>14205</v>
      </c>
      <c r="D3633" t="inlineStr">
        <is>
          <t>Pune</t>
        </is>
      </c>
      <c r="E3633" t="inlineStr">
        <is>
          <t>West</t>
        </is>
      </c>
      <c r="F3633" t="inlineStr">
        <is>
          <t>Affiliate</t>
        </is>
      </c>
      <c r="G3633" t="inlineStr">
        <is>
          <t>Mobile App</t>
        </is>
      </c>
      <c r="H3633" t="inlineStr">
        <is>
          <t>Cash on Delivery</t>
        </is>
      </c>
      <c r="I3633" t="inlineStr">
        <is>
          <t>Returned</t>
        </is>
      </c>
      <c r="J3633" t="n">
        <v>118</v>
      </c>
      <c r="K3633" t="n">
        <v>1</v>
      </c>
      <c r="L3633" s="7" t="n">
        <v>944</v>
      </c>
      <c r="M3633" s="7" t="n">
        <v>0</v>
      </c>
    </row>
    <row r="3634">
      <c r="A3634" t="n">
        <v>511337</v>
      </c>
      <c r="B3634" s="6" t="n">
        <v>46000</v>
      </c>
      <c r="C3634" t="n">
        <v>17670</v>
      </c>
      <c r="D3634" t="inlineStr">
        <is>
          <t>Pune</t>
        </is>
      </c>
      <c r="E3634" t="inlineStr">
        <is>
          <t>West</t>
        </is>
      </c>
      <c r="F3634" t="inlineStr">
        <is>
          <t>Paid Search</t>
        </is>
      </c>
      <c r="G3634" t="inlineStr">
        <is>
          <t>Mobile Web</t>
        </is>
      </c>
      <c r="H3634" t="inlineStr">
        <is>
          <t>Debit Card</t>
        </is>
      </c>
      <c r="I3634" t="inlineStr">
        <is>
          <t>Delivered</t>
        </is>
      </c>
      <c r="J3634" t="n">
        <v>131</v>
      </c>
      <c r="K3634" t="n">
        <v>1</v>
      </c>
      <c r="L3634" s="7" t="n">
        <v>314</v>
      </c>
      <c r="M3634" s="7" t="n">
        <v>0</v>
      </c>
    </row>
    <row r="3635">
      <c r="A3635" t="n">
        <v>511338</v>
      </c>
      <c r="B3635" s="6" t="n">
        <v>46000</v>
      </c>
      <c r="C3635" t="n">
        <v>17685</v>
      </c>
      <c r="D3635" t="inlineStr">
        <is>
          <t>Kochi</t>
        </is>
      </c>
      <c r="E3635" t="inlineStr">
        <is>
          <t>South</t>
        </is>
      </c>
      <c r="F3635" t="inlineStr">
        <is>
          <t>Paid Search</t>
        </is>
      </c>
      <c r="G3635" t="inlineStr">
        <is>
          <t>Mobile App</t>
        </is>
      </c>
      <c r="H3635" t="inlineStr">
        <is>
          <t>UPI</t>
        </is>
      </c>
      <c r="I3635" t="inlineStr">
        <is>
          <t>Returned</t>
        </is>
      </c>
      <c r="J3635" t="n">
        <v>112</v>
      </c>
      <c r="K3635" t="n">
        <v>2</v>
      </c>
      <c r="L3635" s="7" t="n">
        <v>1574</v>
      </c>
      <c r="M3635" s="7" t="n">
        <v>472.2</v>
      </c>
    </row>
    <row r="3636">
      <c r="A3636" t="n">
        <v>511339</v>
      </c>
      <c r="B3636" s="6" t="n">
        <v>46000</v>
      </c>
      <c r="C3636" t="n">
        <v>17585</v>
      </c>
      <c r="D3636" t="inlineStr">
        <is>
          <t>Gurugram</t>
        </is>
      </c>
      <c r="E3636" t="inlineStr">
        <is>
          <t>North</t>
        </is>
      </c>
      <c r="F3636" t="inlineStr">
        <is>
          <t>Organic Search</t>
        </is>
      </c>
      <c r="G3636" t="inlineStr">
        <is>
          <t>Desktop</t>
        </is>
      </c>
      <c r="H3636" t="inlineStr">
        <is>
          <t>UPI</t>
        </is>
      </c>
      <c r="I3636" t="inlineStr">
        <is>
          <t>Delivered</t>
        </is>
      </c>
      <c r="J3636" t="n">
        <v>137</v>
      </c>
      <c r="K3636" t="n">
        <v>1</v>
      </c>
      <c r="L3636" s="7" t="n">
        <v>261</v>
      </c>
      <c r="M3636" s="7" t="n">
        <v>0</v>
      </c>
    </row>
    <row r="3637">
      <c r="A3637" t="n">
        <v>511339</v>
      </c>
      <c r="B3637" s="6" t="n">
        <v>46000</v>
      </c>
      <c r="C3637" t="n">
        <v>17585</v>
      </c>
      <c r="D3637" t="inlineStr">
        <is>
          <t>Gurugram</t>
        </is>
      </c>
      <c r="E3637" t="inlineStr">
        <is>
          <t>North</t>
        </is>
      </c>
      <c r="F3637" t="inlineStr">
        <is>
          <t>Organic Search</t>
        </is>
      </c>
      <c r="G3637" t="inlineStr">
        <is>
          <t>Desktop</t>
        </is>
      </c>
      <c r="H3637" t="inlineStr">
        <is>
          <t>UPI</t>
        </is>
      </c>
      <c r="I3637" t="inlineStr">
        <is>
          <t>Delivered</t>
        </is>
      </c>
      <c r="J3637" t="n">
        <v>102</v>
      </c>
      <c r="K3637" t="n">
        <v>1</v>
      </c>
      <c r="L3637" s="7" t="n">
        <v>3674</v>
      </c>
      <c r="M3637" s="7" t="n">
        <v>0</v>
      </c>
    </row>
    <row r="3638">
      <c r="A3638" t="n">
        <v>511340</v>
      </c>
      <c r="B3638" s="6" t="n">
        <v>46000</v>
      </c>
      <c r="C3638" t="n">
        <v>17201</v>
      </c>
      <c r="D3638" t="inlineStr">
        <is>
          <t>Mumbai</t>
        </is>
      </c>
      <c r="E3638" t="inlineStr">
        <is>
          <t>West</t>
        </is>
      </c>
      <c r="F3638" t="inlineStr">
        <is>
          <t>Paid Social</t>
        </is>
      </c>
      <c r="G3638" t="inlineStr">
        <is>
          <t>Mobile App</t>
        </is>
      </c>
      <c r="H3638" t="inlineStr">
        <is>
          <t>Cash on Delivery</t>
        </is>
      </c>
      <c r="I3638" t="inlineStr">
        <is>
          <t>Delivered</t>
        </is>
      </c>
      <c r="J3638" t="n">
        <v>135</v>
      </c>
      <c r="K3638" t="n">
        <v>1</v>
      </c>
      <c r="L3638" s="7" t="n">
        <v>1574</v>
      </c>
      <c r="M3638" s="7" t="n">
        <v>78.7</v>
      </c>
    </row>
    <row r="3639">
      <c r="A3639" t="n">
        <v>511341</v>
      </c>
      <c r="B3639" s="6" t="n">
        <v>46000</v>
      </c>
      <c r="C3639" t="n">
        <v>14189</v>
      </c>
      <c r="D3639" t="inlineStr">
        <is>
          <t>Pune</t>
        </is>
      </c>
      <c r="E3639" t="inlineStr">
        <is>
          <t>West</t>
        </is>
      </c>
      <c r="F3639" t="inlineStr">
        <is>
          <t>Referral</t>
        </is>
      </c>
      <c r="G3639" t="inlineStr">
        <is>
          <t>Desktop</t>
        </is>
      </c>
      <c r="H3639" t="inlineStr">
        <is>
          <t>Credit Card</t>
        </is>
      </c>
      <c r="I3639" t="inlineStr">
        <is>
          <t>Returned</t>
        </is>
      </c>
      <c r="J3639" t="n">
        <v>113</v>
      </c>
      <c r="K3639" t="n">
        <v>2</v>
      </c>
      <c r="L3639" s="7" t="n">
        <v>1364</v>
      </c>
      <c r="M3639" s="7" t="n">
        <v>136.4</v>
      </c>
    </row>
    <row r="3640">
      <c r="A3640" t="n">
        <v>511342</v>
      </c>
      <c r="B3640" s="6" t="n">
        <v>46000</v>
      </c>
      <c r="C3640" t="n">
        <v>17627</v>
      </c>
      <c r="D3640" t="inlineStr">
        <is>
          <t>Hyderabad</t>
        </is>
      </c>
      <c r="E3640" t="inlineStr">
        <is>
          <t>South</t>
        </is>
      </c>
      <c r="F3640" t="inlineStr">
        <is>
          <t>Paid Social</t>
        </is>
      </c>
      <c r="G3640" t="inlineStr">
        <is>
          <t>Mobile Web</t>
        </is>
      </c>
      <c r="H3640" t="inlineStr">
        <is>
          <t>Credit Card</t>
        </is>
      </c>
      <c r="I3640" t="inlineStr">
        <is>
          <t>Delivered</t>
        </is>
      </c>
      <c r="J3640" t="n">
        <v>112</v>
      </c>
      <c r="K3640" t="n">
        <v>2</v>
      </c>
      <c r="L3640" s="7" t="n">
        <v>1574</v>
      </c>
      <c r="M3640" s="7" t="n">
        <v>472.2</v>
      </c>
    </row>
    <row r="3641">
      <c r="A3641" t="n">
        <v>511343</v>
      </c>
      <c r="B3641" s="6" t="n">
        <v>46000</v>
      </c>
      <c r="C3641" t="n">
        <v>14915</v>
      </c>
      <c r="D3641" t="inlineStr">
        <is>
          <t>Kochi</t>
        </is>
      </c>
      <c r="E3641" t="inlineStr">
        <is>
          <t>South</t>
        </is>
      </c>
      <c r="F3641" t="inlineStr">
        <is>
          <t>Referral</t>
        </is>
      </c>
      <c r="G3641" t="inlineStr">
        <is>
          <t>Mobile App</t>
        </is>
      </c>
      <c r="H3641" t="inlineStr">
        <is>
          <t>Cash on Delivery</t>
        </is>
      </c>
      <c r="I3641" t="inlineStr">
        <is>
          <t>Delivered</t>
        </is>
      </c>
      <c r="J3641" t="n">
        <v>144</v>
      </c>
      <c r="K3641" t="n">
        <v>1</v>
      </c>
      <c r="L3641" s="7" t="n">
        <v>3149</v>
      </c>
      <c r="M3641" s="7" t="n">
        <v>0</v>
      </c>
    </row>
    <row r="3642">
      <c r="A3642" t="n">
        <v>511344</v>
      </c>
      <c r="B3642" s="6" t="n">
        <v>46000</v>
      </c>
      <c r="C3642" t="n">
        <v>17557</v>
      </c>
      <c r="D3642" t="inlineStr">
        <is>
          <t>Hyderabad</t>
        </is>
      </c>
      <c r="E3642" t="inlineStr">
        <is>
          <t>South</t>
        </is>
      </c>
      <c r="F3642" t="inlineStr">
        <is>
          <t>Organic Search</t>
        </is>
      </c>
      <c r="G3642" t="inlineStr">
        <is>
          <t>Mobile Web</t>
        </is>
      </c>
      <c r="H3642" t="inlineStr">
        <is>
          <t>Cash on Delivery</t>
        </is>
      </c>
      <c r="I3642" t="inlineStr">
        <is>
          <t>Delivered</t>
        </is>
      </c>
      <c r="J3642" t="n">
        <v>132</v>
      </c>
      <c r="K3642" t="n">
        <v>1</v>
      </c>
      <c r="L3642" s="7" t="n">
        <v>471</v>
      </c>
      <c r="M3642" s="7" t="n">
        <v>0</v>
      </c>
    </row>
    <row r="3643">
      <c r="A3643" t="n">
        <v>511345</v>
      </c>
      <c r="B3643" s="6" t="n">
        <v>46000</v>
      </c>
      <c r="C3643" t="n">
        <v>16005</v>
      </c>
      <c r="D3643" t="inlineStr">
        <is>
          <t>Mumbai</t>
        </is>
      </c>
      <c r="E3643" t="inlineStr">
        <is>
          <t>West</t>
        </is>
      </c>
      <c r="F3643" t="inlineStr">
        <is>
          <t>Paid Search</t>
        </is>
      </c>
      <c r="G3643" t="inlineStr">
        <is>
          <t>Mobile Web</t>
        </is>
      </c>
      <c r="H3643" t="inlineStr">
        <is>
          <t>UPI</t>
        </is>
      </c>
      <c r="I3643" t="inlineStr">
        <is>
          <t>Delivered</t>
        </is>
      </c>
      <c r="J3643" t="n">
        <v>145</v>
      </c>
      <c r="K3643" t="n">
        <v>2</v>
      </c>
      <c r="L3643" s="7" t="n">
        <v>629</v>
      </c>
      <c r="M3643" s="7" t="n">
        <v>0</v>
      </c>
    </row>
    <row r="3644">
      <c r="A3644" t="n">
        <v>511346</v>
      </c>
      <c r="B3644" s="6" t="n">
        <v>46000</v>
      </c>
      <c r="C3644" t="n">
        <v>15369</v>
      </c>
      <c r="D3644" t="inlineStr">
        <is>
          <t>Ahmedabad</t>
        </is>
      </c>
      <c r="E3644" t="inlineStr">
        <is>
          <t>West</t>
        </is>
      </c>
      <c r="F3644" t="inlineStr">
        <is>
          <t>Organic Search</t>
        </is>
      </c>
      <c r="G3644" t="inlineStr">
        <is>
          <t>Mobile Web</t>
        </is>
      </c>
      <c r="H3644" t="inlineStr">
        <is>
          <t>UPI</t>
        </is>
      </c>
      <c r="I3644" t="inlineStr">
        <is>
          <t>Delivered</t>
        </is>
      </c>
      <c r="J3644" t="n">
        <v>114</v>
      </c>
      <c r="K3644" t="n">
        <v>1</v>
      </c>
      <c r="L3644" s="7" t="n">
        <v>1259</v>
      </c>
      <c r="M3644" s="7" t="n">
        <v>0</v>
      </c>
    </row>
    <row r="3645">
      <c r="A3645" t="n">
        <v>511347</v>
      </c>
      <c r="B3645" s="6" t="n">
        <v>46000</v>
      </c>
      <c r="C3645" t="n">
        <v>17642</v>
      </c>
      <c r="D3645" t="inlineStr">
        <is>
          <t>Jaipur</t>
        </is>
      </c>
      <c r="E3645" t="inlineStr">
        <is>
          <t>North</t>
        </is>
      </c>
      <c r="F3645" t="inlineStr">
        <is>
          <t>Email</t>
        </is>
      </c>
      <c r="G3645" t="inlineStr">
        <is>
          <t>Mobile App</t>
        </is>
      </c>
      <c r="H3645" t="inlineStr">
        <is>
          <t>Cash on Delivery</t>
        </is>
      </c>
      <c r="I3645" t="inlineStr">
        <is>
          <t>Cancelled</t>
        </is>
      </c>
      <c r="J3645" t="n">
        <v>128</v>
      </c>
      <c r="K3645" t="n">
        <v>1</v>
      </c>
      <c r="L3645" s="7" t="n">
        <v>1049</v>
      </c>
      <c r="M3645" s="7" t="n">
        <v>157.35</v>
      </c>
    </row>
    <row r="3646">
      <c r="A3646" t="n">
        <v>511347</v>
      </c>
      <c r="B3646" s="6" t="n">
        <v>46000</v>
      </c>
      <c r="C3646" t="n">
        <v>17642</v>
      </c>
      <c r="D3646" t="inlineStr">
        <is>
          <t>Jaipur</t>
        </is>
      </c>
      <c r="E3646" t="inlineStr">
        <is>
          <t>North</t>
        </is>
      </c>
      <c r="F3646" t="inlineStr">
        <is>
          <t>Email</t>
        </is>
      </c>
      <c r="G3646" t="inlineStr">
        <is>
          <t>Mobile App</t>
        </is>
      </c>
      <c r="H3646" t="inlineStr">
        <is>
          <t>Cash on Delivery</t>
        </is>
      </c>
      <c r="I3646" t="inlineStr">
        <is>
          <t>Cancelled</t>
        </is>
      </c>
      <c r="J3646" t="n">
        <v>108</v>
      </c>
      <c r="K3646" t="n">
        <v>1</v>
      </c>
      <c r="L3646" s="7" t="n">
        <v>419</v>
      </c>
      <c r="M3646" s="7" t="n">
        <v>62.85</v>
      </c>
    </row>
    <row r="3647">
      <c r="A3647" t="n">
        <v>511348</v>
      </c>
      <c r="B3647" s="6" t="n">
        <v>46000</v>
      </c>
      <c r="C3647" t="n">
        <v>15568</v>
      </c>
      <c r="D3647" t="inlineStr">
        <is>
          <t>Jaipur</t>
        </is>
      </c>
      <c r="E3647" t="inlineStr">
        <is>
          <t>North</t>
        </is>
      </c>
      <c r="F3647" t="inlineStr">
        <is>
          <t>Email</t>
        </is>
      </c>
      <c r="G3647" t="inlineStr">
        <is>
          <t>Mobile App</t>
        </is>
      </c>
      <c r="H3647" t="inlineStr">
        <is>
          <t>Cash on Delivery</t>
        </is>
      </c>
      <c r="I3647" t="inlineStr">
        <is>
          <t>Delivered</t>
        </is>
      </c>
      <c r="J3647" t="n">
        <v>128</v>
      </c>
      <c r="K3647" t="n">
        <v>1</v>
      </c>
      <c r="L3647" s="7" t="n">
        <v>1049</v>
      </c>
      <c r="M3647" s="7" t="n">
        <v>0</v>
      </c>
    </row>
    <row r="3648">
      <c r="A3648" t="n">
        <v>511348</v>
      </c>
      <c r="B3648" s="6" t="n">
        <v>46000</v>
      </c>
      <c r="C3648" t="n">
        <v>15568</v>
      </c>
      <c r="D3648" t="inlineStr">
        <is>
          <t>Jaipur</t>
        </is>
      </c>
      <c r="E3648" t="inlineStr">
        <is>
          <t>North</t>
        </is>
      </c>
      <c r="F3648" t="inlineStr">
        <is>
          <t>Email</t>
        </is>
      </c>
      <c r="G3648" t="inlineStr">
        <is>
          <t>Mobile App</t>
        </is>
      </c>
      <c r="H3648" t="inlineStr">
        <is>
          <t>Cash on Delivery</t>
        </is>
      </c>
      <c r="I3648" t="inlineStr">
        <is>
          <t>Delivered</t>
        </is>
      </c>
      <c r="J3648" t="n">
        <v>141</v>
      </c>
      <c r="K3648" t="n">
        <v>1</v>
      </c>
      <c r="L3648" s="7" t="n">
        <v>261</v>
      </c>
      <c r="M3648" s="7" t="n">
        <v>0</v>
      </c>
    </row>
    <row r="3649">
      <c r="A3649" t="n">
        <v>511349</v>
      </c>
      <c r="B3649" s="6" t="n">
        <v>46000</v>
      </c>
      <c r="C3649" t="n">
        <v>17203</v>
      </c>
      <c r="D3649" t="inlineStr">
        <is>
          <t>Ahmedabad</t>
        </is>
      </c>
      <c r="E3649" t="inlineStr">
        <is>
          <t>West</t>
        </is>
      </c>
      <c r="F3649" t="inlineStr">
        <is>
          <t>Email</t>
        </is>
      </c>
      <c r="G3649" t="inlineStr">
        <is>
          <t>Mobile App</t>
        </is>
      </c>
      <c r="H3649" t="inlineStr">
        <is>
          <t>Cash on Delivery</t>
        </is>
      </c>
      <c r="I3649" t="inlineStr">
        <is>
          <t>Delivered</t>
        </is>
      </c>
      <c r="J3649" t="n">
        <v>111</v>
      </c>
      <c r="K3649" t="n">
        <v>2</v>
      </c>
      <c r="L3649" s="7" t="n">
        <v>524</v>
      </c>
      <c r="M3649" s="7" t="n">
        <v>0</v>
      </c>
    </row>
    <row r="3650">
      <c r="A3650" t="n">
        <v>511349</v>
      </c>
      <c r="B3650" s="6" t="n">
        <v>46000</v>
      </c>
      <c r="C3650" t="n">
        <v>17203</v>
      </c>
      <c r="D3650" t="inlineStr">
        <is>
          <t>Ahmedabad</t>
        </is>
      </c>
      <c r="E3650" t="inlineStr">
        <is>
          <t>West</t>
        </is>
      </c>
      <c r="F3650" t="inlineStr">
        <is>
          <t>Email</t>
        </is>
      </c>
      <c r="G3650" t="inlineStr">
        <is>
          <t>Mobile App</t>
        </is>
      </c>
      <c r="H3650" t="inlineStr">
        <is>
          <t>Cash on Delivery</t>
        </is>
      </c>
      <c r="I3650" t="inlineStr">
        <is>
          <t>Delivered</t>
        </is>
      </c>
      <c r="J3650" t="n">
        <v>126</v>
      </c>
      <c r="K3650" t="n">
        <v>2</v>
      </c>
      <c r="L3650" s="7" t="n">
        <v>471</v>
      </c>
      <c r="M3650" s="7" t="n">
        <v>0</v>
      </c>
    </row>
    <row r="3651">
      <c r="A3651" t="n">
        <v>511350</v>
      </c>
      <c r="B3651" s="6" t="n">
        <v>46000</v>
      </c>
      <c r="C3651" t="n">
        <v>17652</v>
      </c>
      <c r="D3651" t="inlineStr">
        <is>
          <t>Kochi</t>
        </is>
      </c>
      <c r="E3651" t="inlineStr">
        <is>
          <t>South</t>
        </is>
      </c>
      <c r="F3651" t="inlineStr">
        <is>
          <t>Organic Search</t>
        </is>
      </c>
      <c r="G3651" t="inlineStr">
        <is>
          <t>Mobile App</t>
        </is>
      </c>
      <c r="H3651" t="inlineStr">
        <is>
          <t>UPI</t>
        </is>
      </c>
      <c r="I3651" t="inlineStr">
        <is>
          <t>Delivered</t>
        </is>
      </c>
      <c r="J3651" t="n">
        <v>105</v>
      </c>
      <c r="K3651" t="n">
        <v>1</v>
      </c>
      <c r="L3651" s="7" t="n">
        <v>2414</v>
      </c>
      <c r="M3651" s="7" t="n">
        <v>0</v>
      </c>
    </row>
    <row r="3652">
      <c r="A3652" t="n">
        <v>511351</v>
      </c>
      <c r="B3652" s="6" t="n">
        <v>46000</v>
      </c>
      <c r="C3652" t="n">
        <v>14028</v>
      </c>
      <c r="D3652" t="inlineStr">
        <is>
          <t>Bengaluru</t>
        </is>
      </c>
      <c r="E3652" t="inlineStr">
        <is>
          <t>South</t>
        </is>
      </c>
      <c r="F3652" t="inlineStr">
        <is>
          <t>Referral</t>
        </is>
      </c>
      <c r="G3652" t="inlineStr">
        <is>
          <t>Mobile App</t>
        </is>
      </c>
      <c r="H3652" t="inlineStr">
        <is>
          <t>UPI</t>
        </is>
      </c>
      <c r="I3652" t="inlineStr">
        <is>
          <t>Delivered</t>
        </is>
      </c>
      <c r="J3652" t="n">
        <v>110</v>
      </c>
      <c r="K3652" t="n">
        <v>1</v>
      </c>
      <c r="L3652" s="7" t="n">
        <v>839</v>
      </c>
      <c r="M3652" s="7" t="n">
        <v>0</v>
      </c>
    </row>
    <row r="3653">
      <c r="A3653" t="n">
        <v>511352</v>
      </c>
      <c r="B3653" s="6" t="n">
        <v>46000</v>
      </c>
      <c r="C3653" t="n">
        <v>17188</v>
      </c>
      <c r="D3653" t="inlineStr">
        <is>
          <t>Delhi</t>
        </is>
      </c>
      <c r="E3653" t="inlineStr">
        <is>
          <t>North</t>
        </is>
      </c>
      <c r="F3653" t="inlineStr">
        <is>
          <t>Organic Search</t>
        </is>
      </c>
      <c r="G3653" t="inlineStr">
        <is>
          <t>Mobile App</t>
        </is>
      </c>
      <c r="H3653" t="inlineStr">
        <is>
          <t>UPI</t>
        </is>
      </c>
      <c r="I3653" t="inlineStr">
        <is>
          <t>Delivered</t>
        </is>
      </c>
      <c r="J3653" t="n">
        <v>137</v>
      </c>
      <c r="K3653" t="n">
        <v>1</v>
      </c>
      <c r="L3653" s="7" t="n">
        <v>261</v>
      </c>
      <c r="M3653" s="7" t="n">
        <v>0</v>
      </c>
    </row>
    <row r="3654">
      <c r="A3654" t="n">
        <v>511353</v>
      </c>
      <c r="B3654" s="6" t="n">
        <v>46000</v>
      </c>
      <c r="C3654" t="n">
        <v>17469</v>
      </c>
      <c r="D3654" t="inlineStr">
        <is>
          <t>Hyderabad</t>
        </is>
      </c>
      <c r="E3654" t="inlineStr">
        <is>
          <t>South</t>
        </is>
      </c>
      <c r="F3654" t="inlineStr">
        <is>
          <t>Referral</t>
        </is>
      </c>
      <c r="G3654" t="inlineStr">
        <is>
          <t>Mobile Web</t>
        </is>
      </c>
      <c r="H3654" t="inlineStr">
        <is>
          <t>Cash on Delivery</t>
        </is>
      </c>
      <c r="I3654" t="inlineStr">
        <is>
          <t>Delivered</t>
        </is>
      </c>
      <c r="J3654" t="n">
        <v>145</v>
      </c>
      <c r="K3654" t="n">
        <v>1</v>
      </c>
      <c r="L3654" s="7" t="n">
        <v>629</v>
      </c>
      <c r="M3654" s="7" t="n">
        <v>0</v>
      </c>
    </row>
    <row r="3655">
      <c r="A3655" t="n">
        <v>511353</v>
      </c>
      <c r="B3655" s="6" t="n">
        <v>46000</v>
      </c>
      <c r="C3655" t="n">
        <v>17469</v>
      </c>
      <c r="D3655" t="inlineStr">
        <is>
          <t>Hyderabad</t>
        </is>
      </c>
      <c r="E3655" t="inlineStr">
        <is>
          <t>South</t>
        </is>
      </c>
      <c r="F3655" t="inlineStr">
        <is>
          <t>Referral</t>
        </is>
      </c>
      <c r="G3655" t="inlineStr">
        <is>
          <t>Mobile Web</t>
        </is>
      </c>
      <c r="H3655" t="inlineStr">
        <is>
          <t>Cash on Delivery</t>
        </is>
      </c>
      <c r="I3655" t="inlineStr">
        <is>
          <t>Delivered</t>
        </is>
      </c>
      <c r="J3655" t="n">
        <v>135</v>
      </c>
      <c r="K3655" t="n">
        <v>1</v>
      </c>
      <c r="L3655" s="7" t="n">
        <v>1574</v>
      </c>
      <c r="M3655" s="7" t="n">
        <v>0</v>
      </c>
    </row>
    <row r="3656">
      <c r="A3656" t="n">
        <v>511354</v>
      </c>
      <c r="B3656" s="6" t="n">
        <v>46000</v>
      </c>
      <c r="C3656" t="n">
        <v>16071</v>
      </c>
      <c r="D3656" t="inlineStr">
        <is>
          <t>Indore</t>
        </is>
      </c>
      <c r="E3656" t="inlineStr">
        <is>
          <t>West</t>
        </is>
      </c>
      <c r="F3656" t="inlineStr">
        <is>
          <t>Organic Search</t>
        </is>
      </c>
      <c r="G3656" t="inlineStr">
        <is>
          <t>Desktop</t>
        </is>
      </c>
      <c r="H3656" t="inlineStr">
        <is>
          <t>Net Banking</t>
        </is>
      </c>
      <c r="I3656" t="inlineStr">
        <is>
          <t>Delivered</t>
        </is>
      </c>
      <c r="J3656" t="n">
        <v>130</v>
      </c>
      <c r="K3656" t="n">
        <v>1</v>
      </c>
      <c r="L3656" s="7" t="n">
        <v>734</v>
      </c>
      <c r="M3656" s="7" t="n">
        <v>0</v>
      </c>
    </row>
    <row r="3657">
      <c r="A3657" t="n">
        <v>511355</v>
      </c>
      <c r="B3657" s="6" t="n">
        <v>46000</v>
      </c>
      <c r="C3657" t="n">
        <v>17194</v>
      </c>
      <c r="D3657" t="inlineStr">
        <is>
          <t>Hyderabad</t>
        </is>
      </c>
      <c r="E3657" t="inlineStr">
        <is>
          <t>South</t>
        </is>
      </c>
      <c r="F3657" t="inlineStr">
        <is>
          <t>Affiliate</t>
        </is>
      </c>
      <c r="G3657" t="inlineStr">
        <is>
          <t>Mobile Web</t>
        </is>
      </c>
      <c r="H3657" t="inlineStr">
        <is>
          <t>Credit Card</t>
        </is>
      </c>
      <c r="I3657" t="inlineStr">
        <is>
          <t>Delivered</t>
        </is>
      </c>
      <c r="J3657" t="n">
        <v>121</v>
      </c>
      <c r="K3657" t="n">
        <v>1</v>
      </c>
      <c r="L3657" s="7" t="n">
        <v>2939</v>
      </c>
      <c r="M3657" s="7" t="n">
        <v>0</v>
      </c>
    </row>
    <row r="3658">
      <c r="A3658" t="n">
        <v>511355</v>
      </c>
      <c r="B3658" s="6" t="n">
        <v>46000</v>
      </c>
      <c r="C3658" t="n">
        <v>17194</v>
      </c>
      <c r="D3658" t="inlineStr">
        <is>
          <t>Hyderabad</t>
        </is>
      </c>
      <c r="E3658" t="inlineStr">
        <is>
          <t>South</t>
        </is>
      </c>
      <c r="F3658" t="inlineStr">
        <is>
          <t>Affiliate</t>
        </is>
      </c>
      <c r="G3658" t="inlineStr">
        <is>
          <t>Mobile Web</t>
        </is>
      </c>
      <c r="H3658" t="inlineStr">
        <is>
          <t>Credit Card</t>
        </is>
      </c>
      <c r="I3658" t="inlineStr">
        <is>
          <t>Delivered</t>
        </is>
      </c>
      <c r="J3658" t="n">
        <v>107</v>
      </c>
      <c r="K3658" t="n">
        <v>1</v>
      </c>
      <c r="L3658" s="7" t="n">
        <v>1259</v>
      </c>
      <c r="M3658" s="7" t="n">
        <v>0</v>
      </c>
    </row>
    <row r="3659">
      <c r="A3659" t="n">
        <v>511355</v>
      </c>
      <c r="B3659" s="6" t="n">
        <v>46000</v>
      </c>
      <c r="C3659" t="n">
        <v>17194</v>
      </c>
      <c r="D3659" t="inlineStr">
        <is>
          <t>Hyderabad</t>
        </is>
      </c>
      <c r="E3659" t="inlineStr">
        <is>
          <t>South</t>
        </is>
      </c>
      <c r="F3659" t="inlineStr">
        <is>
          <t>Affiliate</t>
        </is>
      </c>
      <c r="G3659" t="inlineStr">
        <is>
          <t>Mobile Web</t>
        </is>
      </c>
      <c r="H3659" t="inlineStr">
        <is>
          <t>Credit Card</t>
        </is>
      </c>
      <c r="I3659" t="inlineStr">
        <is>
          <t>Delivered</t>
        </is>
      </c>
      <c r="J3659" t="n">
        <v>122</v>
      </c>
      <c r="K3659" t="n">
        <v>1</v>
      </c>
      <c r="L3659" s="7" t="n">
        <v>1994</v>
      </c>
      <c r="M3659" s="7" t="n">
        <v>0</v>
      </c>
    </row>
    <row r="3660">
      <c r="A3660" t="n">
        <v>511356</v>
      </c>
      <c r="B3660" s="6" t="n">
        <v>46000</v>
      </c>
      <c r="C3660" t="n">
        <v>15488</v>
      </c>
      <c r="D3660" t="inlineStr">
        <is>
          <t>Hyderabad</t>
        </is>
      </c>
      <c r="E3660" t="inlineStr">
        <is>
          <t>South</t>
        </is>
      </c>
      <c r="F3660" t="inlineStr">
        <is>
          <t>Referral</t>
        </is>
      </c>
      <c r="G3660" t="inlineStr">
        <is>
          <t>Mobile Web</t>
        </is>
      </c>
      <c r="H3660" t="inlineStr">
        <is>
          <t>UPI</t>
        </is>
      </c>
      <c r="I3660" t="inlineStr">
        <is>
          <t>Delivered</t>
        </is>
      </c>
      <c r="J3660" t="n">
        <v>137</v>
      </c>
      <c r="K3660" t="n">
        <v>2</v>
      </c>
      <c r="L3660" s="7" t="n">
        <v>261</v>
      </c>
      <c r="M3660" s="7" t="n">
        <v>0</v>
      </c>
    </row>
    <row r="3661">
      <c r="A3661" t="n">
        <v>511356</v>
      </c>
      <c r="B3661" s="6" t="n">
        <v>46000</v>
      </c>
      <c r="C3661" t="n">
        <v>15488</v>
      </c>
      <c r="D3661" t="inlineStr">
        <is>
          <t>Hyderabad</t>
        </is>
      </c>
      <c r="E3661" t="inlineStr">
        <is>
          <t>South</t>
        </is>
      </c>
      <c r="F3661" t="inlineStr">
        <is>
          <t>Referral</t>
        </is>
      </c>
      <c r="G3661" t="inlineStr">
        <is>
          <t>Mobile Web</t>
        </is>
      </c>
      <c r="H3661" t="inlineStr">
        <is>
          <t>UPI</t>
        </is>
      </c>
      <c r="I3661" t="inlineStr">
        <is>
          <t>Delivered</t>
        </is>
      </c>
      <c r="J3661" t="n">
        <v>107</v>
      </c>
      <c r="K3661" t="n">
        <v>1</v>
      </c>
      <c r="L3661" s="7" t="n">
        <v>1259</v>
      </c>
      <c r="M3661" s="7" t="n">
        <v>0</v>
      </c>
    </row>
    <row r="3662">
      <c r="A3662" t="n">
        <v>511357</v>
      </c>
      <c r="B3662" s="6" t="n">
        <v>46000</v>
      </c>
      <c r="C3662" t="n">
        <v>17663</v>
      </c>
      <c r="D3662" t="inlineStr">
        <is>
          <t>Bengaluru</t>
        </is>
      </c>
      <c r="E3662" t="inlineStr">
        <is>
          <t>South</t>
        </is>
      </c>
      <c r="F3662" t="inlineStr">
        <is>
          <t>Referral</t>
        </is>
      </c>
      <c r="G3662" t="inlineStr">
        <is>
          <t>Desktop</t>
        </is>
      </c>
      <c r="H3662" t="inlineStr">
        <is>
          <t>UPI</t>
        </is>
      </c>
      <c r="I3662" t="inlineStr">
        <is>
          <t>Delivered</t>
        </is>
      </c>
      <c r="J3662" t="n">
        <v>112</v>
      </c>
      <c r="K3662" t="n">
        <v>1</v>
      </c>
      <c r="L3662" s="7" t="n">
        <v>1574</v>
      </c>
      <c r="M3662" s="7" t="n">
        <v>0</v>
      </c>
    </row>
    <row r="3663">
      <c r="A3663" t="n">
        <v>511357</v>
      </c>
      <c r="B3663" s="6" t="n">
        <v>46000</v>
      </c>
      <c r="C3663" t="n">
        <v>17663</v>
      </c>
      <c r="D3663" t="inlineStr">
        <is>
          <t>Bengaluru</t>
        </is>
      </c>
      <c r="E3663" t="inlineStr">
        <is>
          <t>South</t>
        </is>
      </c>
      <c r="F3663" t="inlineStr">
        <is>
          <t>Referral</t>
        </is>
      </c>
      <c r="G3663" t="inlineStr">
        <is>
          <t>Desktop</t>
        </is>
      </c>
      <c r="H3663" t="inlineStr">
        <is>
          <t>UPI</t>
        </is>
      </c>
      <c r="I3663" t="inlineStr">
        <is>
          <t>Delivered</t>
        </is>
      </c>
      <c r="J3663" t="n">
        <v>144</v>
      </c>
      <c r="K3663" t="n">
        <v>1</v>
      </c>
      <c r="L3663" s="7" t="n">
        <v>3149</v>
      </c>
      <c r="M3663" s="7" t="n">
        <v>0</v>
      </c>
    </row>
    <row r="3664">
      <c r="A3664" t="n">
        <v>511358</v>
      </c>
      <c r="B3664" s="6" t="n">
        <v>46001</v>
      </c>
      <c r="C3664" t="n">
        <v>17553</v>
      </c>
      <c r="D3664" t="inlineStr">
        <is>
          <t>Delhi</t>
        </is>
      </c>
      <c r="E3664" t="inlineStr">
        <is>
          <t>North</t>
        </is>
      </c>
      <c r="F3664" t="inlineStr">
        <is>
          <t>Organic Search</t>
        </is>
      </c>
      <c r="G3664" t="inlineStr">
        <is>
          <t>Mobile Web</t>
        </is>
      </c>
      <c r="H3664" t="inlineStr">
        <is>
          <t>UPI</t>
        </is>
      </c>
      <c r="I3664" t="inlineStr">
        <is>
          <t>Cancelled</t>
        </is>
      </c>
      <c r="J3664" t="n">
        <v>130</v>
      </c>
      <c r="K3664" t="n">
        <v>1</v>
      </c>
      <c r="L3664" s="7" t="n">
        <v>734</v>
      </c>
      <c r="M3664" s="7" t="n">
        <v>0</v>
      </c>
    </row>
    <row r="3665">
      <c r="A3665" t="n">
        <v>511358</v>
      </c>
      <c r="B3665" s="6" t="n">
        <v>46001</v>
      </c>
      <c r="C3665" t="n">
        <v>17553</v>
      </c>
      <c r="D3665" t="inlineStr">
        <is>
          <t>Delhi</t>
        </is>
      </c>
      <c r="E3665" t="inlineStr">
        <is>
          <t>North</t>
        </is>
      </c>
      <c r="F3665" t="inlineStr">
        <is>
          <t>Organic Search</t>
        </is>
      </c>
      <c r="G3665" t="inlineStr">
        <is>
          <t>Mobile Web</t>
        </is>
      </c>
      <c r="H3665" t="inlineStr">
        <is>
          <t>UPI</t>
        </is>
      </c>
      <c r="I3665" t="inlineStr">
        <is>
          <t>Cancelled</t>
        </is>
      </c>
      <c r="J3665" t="n">
        <v>116</v>
      </c>
      <c r="K3665" t="n">
        <v>1</v>
      </c>
      <c r="L3665" s="7" t="n">
        <v>2624</v>
      </c>
      <c r="M3665" s="7" t="n">
        <v>0</v>
      </c>
    </row>
    <row r="3666">
      <c r="A3666" t="n">
        <v>511359</v>
      </c>
      <c r="B3666" s="6" t="n">
        <v>46001</v>
      </c>
      <c r="C3666" t="n">
        <v>14554</v>
      </c>
      <c r="D3666" t="inlineStr">
        <is>
          <t>Gurugram</t>
        </is>
      </c>
      <c r="E3666" t="inlineStr">
        <is>
          <t>North</t>
        </is>
      </c>
      <c r="F3666" t="inlineStr">
        <is>
          <t>Paid Search</t>
        </is>
      </c>
      <c r="G3666" t="inlineStr">
        <is>
          <t>Mobile Web</t>
        </is>
      </c>
      <c r="H3666" t="inlineStr">
        <is>
          <t>Cash on Delivery</t>
        </is>
      </c>
      <c r="I3666" t="inlineStr">
        <is>
          <t>Delivered</t>
        </is>
      </c>
      <c r="J3666" t="n">
        <v>102</v>
      </c>
      <c r="K3666" t="n">
        <v>1</v>
      </c>
      <c r="L3666" s="7" t="n">
        <v>3674</v>
      </c>
      <c r="M3666" s="7" t="n">
        <v>0</v>
      </c>
    </row>
    <row r="3667">
      <c r="A3667" t="n">
        <v>511360</v>
      </c>
      <c r="B3667" s="6" t="n">
        <v>46001</v>
      </c>
      <c r="C3667" t="n">
        <v>12042</v>
      </c>
      <c r="D3667" t="inlineStr">
        <is>
          <t>Indore</t>
        </is>
      </c>
      <c r="E3667" t="inlineStr">
        <is>
          <t>West</t>
        </is>
      </c>
      <c r="F3667" t="inlineStr">
        <is>
          <t>Email</t>
        </is>
      </c>
      <c r="G3667" t="inlineStr">
        <is>
          <t>Mobile App</t>
        </is>
      </c>
      <c r="H3667" t="inlineStr">
        <is>
          <t>Net Banking</t>
        </is>
      </c>
      <c r="I3667" t="inlineStr">
        <is>
          <t>Delivered</t>
        </is>
      </c>
      <c r="J3667" t="n">
        <v>134</v>
      </c>
      <c r="K3667" t="n">
        <v>1</v>
      </c>
      <c r="L3667" s="7" t="n">
        <v>209</v>
      </c>
      <c r="M3667" s="7" t="n">
        <v>0</v>
      </c>
    </row>
    <row r="3668">
      <c r="A3668" t="n">
        <v>511361</v>
      </c>
      <c r="B3668" s="6" t="n">
        <v>46001</v>
      </c>
      <c r="C3668" t="n">
        <v>17665</v>
      </c>
      <c r="D3668" t="inlineStr">
        <is>
          <t>Delhi</t>
        </is>
      </c>
      <c r="E3668" t="inlineStr">
        <is>
          <t>North</t>
        </is>
      </c>
      <c r="F3668" t="inlineStr">
        <is>
          <t>Paid Search</t>
        </is>
      </c>
      <c r="G3668" t="inlineStr">
        <is>
          <t>Mobile Web</t>
        </is>
      </c>
      <c r="H3668" t="inlineStr">
        <is>
          <t>UPI</t>
        </is>
      </c>
      <c r="I3668" t="inlineStr">
        <is>
          <t>Returned</t>
        </is>
      </c>
      <c r="J3668" t="n">
        <v>113</v>
      </c>
      <c r="K3668" t="n">
        <v>1</v>
      </c>
      <c r="L3668" s="7" t="n">
        <v>1364</v>
      </c>
      <c r="M3668" s="7" t="n">
        <v>204.6</v>
      </c>
    </row>
    <row r="3669">
      <c r="A3669" t="n">
        <v>511361</v>
      </c>
      <c r="B3669" s="6" t="n">
        <v>46001</v>
      </c>
      <c r="C3669" t="n">
        <v>17665</v>
      </c>
      <c r="D3669" t="inlineStr">
        <is>
          <t>Delhi</t>
        </is>
      </c>
      <c r="E3669" t="inlineStr">
        <is>
          <t>North</t>
        </is>
      </c>
      <c r="F3669" t="inlineStr">
        <is>
          <t>Paid Search</t>
        </is>
      </c>
      <c r="G3669" t="inlineStr">
        <is>
          <t>Mobile Web</t>
        </is>
      </c>
      <c r="H3669" t="inlineStr">
        <is>
          <t>UPI</t>
        </is>
      </c>
      <c r="I3669" t="inlineStr">
        <is>
          <t>Returned</t>
        </is>
      </c>
      <c r="J3669" t="n">
        <v>143</v>
      </c>
      <c r="K3669" t="n">
        <v>1</v>
      </c>
      <c r="L3669" s="7" t="n">
        <v>839</v>
      </c>
      <c r="M3669" s="7" t="n">
        <v>125.85</v>
      </c>
    </row>
    <row r="3670">
      <c r="A3670" t="n">
        <v>511361</v>
      </c>
      <c r="B3670" s="6" t="n">
        <v>46001</v>
      </c>
      <c r="C3670" t="n">
        <v>17665</v>
      </c>
      <c r="D3670" t="inlineStr">
        <is>
          <t>Delhi</t>
        </is>
      </c>
      <c r="E3670" t="inlineStr">
        <is>
          <t>North</t>
        </is>
      </c>
      <c r="F3670" t="inlineStr">
        <is>
          <t>Paid Search</t>
        </is>
      </c>
      <c r="G3670" t="inlineStr">
        <is>
          <t>Mobile Web</t>
        </is>
      </c>
      <c r="H3670" t="inlineStr">
        <is>
          <t>UPI</t>
        </is>
      </c>
      <c r="I3670" t="inlineStr">
        <is>
          <t>Returned</t>
        </is>
      </c>
      <c r="J3670" t="n">
        <v>137</v>
      </c>
      <c r="K3670" t="n">
        <v>1</v>
      </c>
      <c r="L3670" s="7" t="n">
        <v>261</v>
      </c>
      <c r="M3670" s="7" t="n">
        <v>39.15</v>
      </c>
    </row>
    <row r="3671">
      <c r="A3671" t="n">
        <v>511362</v>
      </c>
      <c r="B3671" s="6" t="n">
        <v>46001</v>
      </c>
      <c r="C3671" t="n">
        <v>14628</v>
      </c>
      <c r="D3671" t="inlineStr">
        <is>
          <t>Jaipur</t>
        </is>
      </c>
      <c r="E3671" t="inlineStr">
        <is>
          <t>North</t>
        </is>
      </c>
      <c r="F3671" t="inlineStr">
        <is>
          <t>Referral</t>
        </is>
      </c>
      <c r="G3671" t="inlineStr">
        <is>
          <t>Mobile App</t>
        </is>
      </c>
      <c r="H3671" t="inlineStr">
        <is>
          <t>Credit Card</t>
        </is>
      </c>
      <c r="I3671" t="inlineStr">
        <is>
          <t>Delivered</t>
        </is>
      </c>
      <c r="J3671" t="n">
        <v>136</v>
      </c>
      <c r="K3671" t="n">
        <v>1</v>
      </c>
      <c r="L3671" s="7" t="n">
        <v>944</v>
      </c>
      <c r="M3671" s="7" t="n">
        <v>0</v>
      </c>
    </row>
    <row r="3672">
      <c r="A3672" t="n">
        <v>511362</v>
      </c>
      <c r="B3672" s="6" t="n">
        <v>46001</v>
      </c>
      <c r="C3672" t="n">
        <v>14628</v>
      </c>
      <c r="D3672" t="inlineStr">
        <is>
          <t>Jaipur</t>
        </is>
      </c>
      <c r="E3672" t="inlineStr">
        <is>
          <t>North</t>
        </is>
      </c>
      <c r="F3672" t="inlineStr">
        <is>
          <t>Referral</t>
        </is>
      </c>
      <c r="G3672" t="inlineStr">
        <is>
          <t>Mobile App</t>
        </is>
      </c>
      <c r="H3672" t="inlineStr">
        <is>
          <t>Credit Card</t>
        </is>
      </c>
      <c r="I3672" t="inlineStr">
        <is>
          <t>Delivered</t>
        </is>
      </c>
      <c r="J3672" t="n">
        <v>125</v>
      </c>
      <c r="K3672" t="n">
        <v>1</v>
      </c>
      <c r="L3672" s="7" t="n">
        <v>1364</v>
      </c>
      <c r="M3672" s="7" t="n">
        <v>0</v>
      </c>
    </row>
    <row r="3673">
      <c r="A3673" t="n">
        <v>511363</v>
      </c>
      <c r="B3673" s="6" t="n">
        <v>46001</v>
      </c>
      <c r="C3673" t="n">
        <v>17621</v>
      </c>
      <c r="D3673" t="inlineStr">
        <is>
          <t>Jaipur</t>
        </is>
      </c>
      <c r="E3673" t="inlineStr">
        <is>
          <t>North</t>
        </is>
      </c>
      <c r="F3673" t="inlineStr">
        <is>
          <t>Organic Search</t>
        </is>
      </c>
      <c r="G3673" t="inlineStr">
        <is>
          <t>Mobile App</t>
        </is>
      </c>
      <c r="H3673" t="inlineStr">
        <is>
          <t>Cash on Delivery</t>
        </is>
      </c>
      <c r="I3673" t="inlineStr">
        <is>
          <t>Delivered</t>
        </is>
      </c>
      <c r="J3673" t="n">
        <v>122</v>
      </c>
      <c r="K3673" t="n">
        <v>1</v>
      </c>
      <c r="L3673" s="7" t="n">
        <v>1994</v>
      </c>
      <c r="M3673" s="7" t="n">
        <v>0</v>
      </c>
    </row>
    <row r="3674">
      <c r="A3674" t="n">
        <v>511363</v>
      </c>
      <c r="B3674" s="6" t="n">
        <v>46001</v>
      </c>
      <c r="C3674" t="n">
        <v>17621</v>
      </c>
      <c r="D3674" t="inlineStr">
        <is>
          <t>Jaipur</t>
        </is>
      </c>
      <c r="E3674" t="inlineStr">
        <is>
          <t>North</t>
        </is>
      </c>
      <c r="F3674" t="inlineStr">
        <is>
          <t>Organic Search</t>
        </is>
      </c>
      <c r="G3674" t="inlineStr">
        <is>
          <t>Mobile App</t>
        </is>
      </c>
      <c r="H3674" t="inlineStr">
        <is>
          <t>Cash on Delivery</t>
        </is>
      </c>
      <c r="I3674" t="inlineStr">
        <is>
          <t>Delivered</t>
        </is>
      </c>
      <c r="J3674" t="n">
        <v>126</v>
      </c>
      <c r="K3674" t="n">
        <v>2</v>
      </c>
      <c r="L3674" s="7" t="n">
        <v>471</v>
      </c>
      <c r="M3674" s="7" t="n">
        <v>0</v>
      </c>
    </row>
    <row r="3675">
      <c r="A3675" t="n">
        <v>511364</v>
      </c>
      <c r="B3675" s="6" t="n">
        <v>46001</v>
      </c>
      <c r="C3675" t="n">
        <v>17646</v>
      </c>
      <c r="D3675" t="inlineStr">
        <is>
          <t>Bengaluru</t>
        </is>
      </c>
      <c r="E3675" t="inlineStr">
        <is>
          <t>South</t>
        </is>
      </c>
      <c r="F3675" t="inlineStr">
        <is>
          <t>Paid Social</t>
        </is>
      </c>
      <c r="G3675" t="inlineStr">
        <is>
          <t>Desktop</t>
        </is>
      </c>
      <c r="H3675" t="inlineStr">
        <is>
          <t>UPI</t>
        </is>
      </c>
      <c r="I3675" t="inlineStr">
        <is>
          <t>Delivered</t>
        </is>
      </c>
      <c r="J3675" t="n">
        <v>138</v>
      </c>
      <c r="K3675" t="n">
        <v>1</v>
      </c>
      <c r="L3675" s="7" t="n">
        <v>419</v>
      </c>
      <c r="M3675" s="7" t="n">
        <v>0</v>
      </c>
    </row>
    <row r="3676">
      <c r="A3676" t="n">
        <v>511364</v>
      </c>
      <c r="B3676" s="6" t="n">
        <v>46001</v>
      </c>
      <c r="C3676" t="n">
        <v>17646</v>
      </c>
      <c r="D3676" t="inlineStr">
        <is>
          <t>Bengaluru</t>
        </is>
      </c>
      <c r="E3676" t="inlineStr">
        <is>
          <t>South</t>
        </is>
      </c>
      <c r="F3676" t="inlineStr">
        <is>
          <t>Paid Social</t>
        </is>
      </c>
      <c r="G3676" t="inlineStr">
        <is>
          <t>Desktop</t>
        </is>
      </c>
      <c r="H3676" t="inlineStr">
        <is>
          <t>UPI</t>
        </is>
      </c>
      <c r="I3676" t="inlineStr">
        <is>
          <t>Delivered</t>
        </is>
      </c>
      <c r="J3676" t="n">
        <v>101</v>
      </c>
      <c r="K3676" t="n">
        <v>1</v>
      </c>
      <c r="L3676" s="7" t="n">
        <v>2099</v>
      </c>
      <c r="M3676" s="7" t="n">
        <v>0</v>
      </c>
    </row>
    <row r="3677">
      <c r="A3677" t="n">
        <v>511365</v>
      </c>
      <c r="B3677" s="6" t="n">
        <v>46001</v>
      </c>
      <c r="C3677" t="n">
        <v>15793</v>
      </c>
      <c r="D3677" t="inlineStr">
        <is>
          <t>Indore</t>
        </is>
      </c>
      <c r="E3677" t="inlineStr">
        <is>
          <t>West</t>
        </is>
      </c>
      <c r="F3677" t="inlineStr">
        <is>
          <t>Organic Search</t>
        </is>
      </c>
      <c r="G3677" t="inlineStr">
        <is>
          <t>Mobile App</t>
        </is>
      </c>
      <c r="H3677" t="inlineStr">
        <is>
          <t>Debit Card</t>
        </is>
      </c>
      <c r="I3677" t="inlineStr">
        <is>
          <t>Delivered</t>
        </is>
      </c>
      <c r="J3677" t="n">
        <v>126</v>
      </c>
      <c r="K3677" t="n">
        <v>2</v>
      </c>
      <c r="L3677" s="7" t="n">
        <v>471</v>
      </c>
      <c r="M3677" s="7" t="n">
        <v>0</v>
      </c>
    </row>
    <row r="3678">
      <c r="A3678" t="n">
        <v>511365</v>
      </c>
      <c r="B3678" s="6" t="n">
        <v>46001</v>
      </c>
      <c r="C3678" t="n">
        <v>15793</v>
      </c>
      <c r="D3678" t="inlineStr">
        <is>
          <t>Indore</t>
        </is>
      </c>
      <c r="E3678" t="inlineStr">
        <is>
          <t>West</t>
        </is>
      </c>
      <c r="F3678" t="inlineStr">
        <is>
          <t>Organic Search</t>
        </is>
      </c>
      <c r="G3678" t="inlineStr">
        <is>
          <t>Mobile App</t>
        </is>
      </c>
      <c r="H3678" t="inlineStr">
        <is>
          <t>Debit Card</t>
        </is>
      </c>
      <c r="I3678" t="inlineStr">
        <is>
          <t>Delivered</t>
        </is>
      </c>
      <c r="J3678" t="n">
        <v>136</v>
      </c>
      <c r="K3678" t="n">
        <v>1</v>
      </c>
      <c r="L3678" s="7" t="n">
        <v>944</v>
      </c>
      <c r="M3678" s="7" t="n">
        <v>0</v>
      </c>
    </row>
    <row r="3679">
      <c r="A3679" t="n">
        <v>511366</v>
      </c>
      <c r="B3679" s="6" t="n">
        <v>46001</v>
      </c>
      <c r="C3679" t="n">
        <v>15736</v>
      </c>
      <c r="D3679" t="inlineStr">
        <is>
          <t>Ahmedabad</t>
        </is>
      </c>
      <c r="E3679" t="inlineStr">
        <is>
          <t>West</t>
        </is>
      </c>
      <c r="F3679" t="inlineStr">
        <is>
          <t>Referral</t>
        </is>
      </c>
      <c r="G3679" t="inlineStr">
        <is>
          <t>Mobile App</t>
        </is>
      </c>
      <c r="H3679" t="inlineStr">
        <is>
          <t>Cash on Delivery</t>
        </is>
      </c>
      <c r="I3679" t="inlineStr">
        <is>
          <t>Delivered</t>
        </is>
      </c>
      <c r="J3679" t="n">
        <v>134</v>
      </c>
      <c r="K3679" t="n">
        <v>1</v>
      </c>
      <c r="L3679" s="7" t="n">
        <v>209</v>
      </c>
      <c r="M3679" s="7" t="n">
        <v>0</v>
      </c>
    </row>
    <row r="3680">
      <c r="A3680" t="n">
        <v>511367</v>
      </c>
      <c r="B3680" s="6" t="n">
        <v>46001</v>
      </c>
      <c r="C3680" t="n">
        <v>17518</v>
      </c>
      <c r="D3680" t="inlineStr">
        <is>
          <t>Hyderabad</t>
        </is>
      </c>
      <c r="E3680" t="inlineStr">
        <is>
          <t>South</t>
        </is>
      </c>
      <c r="F3680" t="inlineStr">
        <is>
          <t>Affiliate</t>
        </is>
      </c>
      <c r="G3680" t="inlineStr">
        <is>
          <t>Mobile Web</t>
        </is>
      </c>
      <c r="H3680" t="inlineStr">
        <is>
          <t>UPI</t>
        </is>
      </c>
      <c r="I3680" t="inlineStr">
        <is>
          <t>Returned</t>
        </is>
      </c>
      <c r="J3680" t="n">
        <v>114</v>
      </c>
      <c r="K3680" t="n">
        <v>1</v>
      </c>
      <c r="L3680" s="7" t="n">
        <v>1259</v>
      </c>
      <c r="M3680" s="7" t="n">
        <v>0</v>
      </c>
    </row>
    <row r="3681">
      <c r="A3681" t="n">
        <v>511367</v>
      </c>
      <c r="B3681" s="6" t="n">
        <v>46001</v>
      </c>
      <c r="C3681" t="n">
        <v>17518</v>
      </c>
      <c r="D3681" t="inlineStr">
        <is>
          <t>Hyderabad</t>
        </is>
      </c>
      <c r="E3681" t="inlineStr">
        <is>
          <t>South</t>
        </is>
      </c>
      <c r="F3681" t="inlineStr">
        <is>
          <t>Affiliate</t>
        </is>
      </c>
      <c r="G3681" t="inlineStr">
        <is>
          <t>Mobile Web</t>
        </is>
      </c>
      <c r="H3681" t="inlineStr">
        <is>
          <t>UPI</t>
        </is>
      </c>
      <c r="I3681" t="inlineStr">
        <is>
          <t>Returned</t>
        </is>
      </c>
      <c r="J3681" t="n">
        <v>113</v>
      </c>
      <c r="K3681" t="n">
        <v>1</v>
      </c>
      <c r="L3681" s="7" t="n">
        <v>1364</v>
      </c>
      <c r="M3681" s="7" t="n">
        <v>0</v>
      </c>
    </row>
    <row r="3682">
      <c r="A3682" t="n">
        <v>511368</v>
      </c>
      <c r="B3682" s="6" t="n">
        <v>46001</v>
      </c>
      <c r="C3682" t="n">
        <v>17612</v>
      </c>
      <c r="D3682" t="inlineStr">
        <is>
          <t>Lucknow</t>
        </is>
      </c>
      <c r="E3682" t="inlineStr">
        <is>
          <t>North</t>
        </is>
      </c>
      <c r="F3682" t="inlineStr">
        <is>
          <t>Email</t>
        </is>
      </c>
      <c r="G3682" t="inlineStr">
        <is>
          <t>Mobile App</t>
        </is>
      </c>
      <c r="H3682" t="inlineStr">
        <is>
          <t>UPI</t>
        </is>
      </c>
      <c r="I3682" t="inlineStr">
        <is>
          <t>Delivered</t>
        </is>
      </c>
      <c r="J3682" t="n">
        <v>129</v>
      </c>
      <c r="K3682" t="n">
        <v>2</v>
      </c>
      <c r="L3682" s="7" t="n">
        <v>576</v>
      </c>
      <c r="M3682" s="7" t="n">
        <v>172.8</v>
      </c>
    </row>
    <row r="3683">
      <c r="A3683" t="n">
        <v>511369</v>
      </c>
      <c r="B3683" s="6" t="n">
        <v>46001</v>
      </c>
      <c r="C3683" t="n">
        <v>17651</v>
      </c>
      <c r="D3683" t="inlineStr">
        <is>
          <t>Jaipur</t>
        </is>
      </c>
      <c r="E3683" t="inlineStr">
        <is>
          <t>North</t>
        </is>
      </c>
      <c r="F3683" t="inlineStr">
        <is>
          <t>Referral</t>
        </is>
      </c>
      <c r="G3683" t="inlineStr">
        <is>
          <t>Mobile Web</t>
        </is>
      </c>
      <c r="H3683" t="inlineStr">
        <is>
          <t>Cash on Delivery</t>
        </is>
      </c>
      <c r="I3683" t="inlineStr">
        <is>
          <t>Returned</t>
        </is>
      </c>
      <c r="J3683" t="n">
        <v>108</v>
      </c>
      <c r="K3683" t="n">
        <v>1</v>
      </c>
      <c r="L3683" s="7" t="n">
        <v>419</v>
      </c>
      <c r="M3683" s="7" t="n">
        <v>0</v>
      </c>
    </row>
    <row r="3684">
      <c r="A3684" t="n">
        <v>511370</v>
      </c>
      <c r="B3684" s="6" t="n">
        <v>46001</v>
      </c>
      <c r="C3684" t="n">
        <v>17578</v>
      </c>
      <c r="D3684" t="inlineStr">
        <is>
          <t>Hyderabad</t>
        </is>
      </c>
      <c r="E3684" t="inlineStr">
        <is>
          <t>South</t>
        </is>
      </c>
      <c r="F3684" t="inlineStr">
        <is>
          <t>Organic Search</t>
        </is>
      </c>
      <c r="G3684" t="inlineStr">
        <is>
          <t>Mobile App</t>
        </is>
      </c>
      <c r="H3684" t="inlineStr">
        <is>
          <t>Cash on Delivery</t>
        </is>
      </c>
      <c r="I3684" t="inlineStr">
        <is>
          <t>Delivered</t>
        </is>
      </c>
      <c r="J3684" t="n">
        <v>127</v>
      </c>
      <c r="K3684" t="n">
        <v>1</v>
      </c>
      <c r="L3684" s="7" t="n">
        <v>681</v>
      </c>
      <c r="M3684" s="7" t="n">
        <v>0</v>
      </c>
    </row>
    <row r="3685">
      <c r="A3685" t="n">
        <v>511370</v>
      </c>
      <c r="B3685" s="6" t="n">
        <v>46001</v>
      </c>
      <c r="C3685" t="n">
        <v>17578</v>
      </c>
      <c r="D3685" t="inlineStr">
        <is>
          <t>Hyderabad</t>
        </is>
      </c>
      <c r="E3685" t="inlineStr">
        <is>
          <t>South</t>
        </is>
      </c>
      <c r="F3685" t="inlineStr">
        <is>
          <t>Organic Search</t>
        </is>
      </c>
      <c r="G3685" t="inlineStr">
        <is>
          <t>Mobile App</t>
        </is>
      </c>
      <c r="H3685" t="inlineStr">
        <is>
          <t>Cash on Delivery</t>
        </is>
      </c>
      <c r="I3685" t="inlineStr">
        <is>
          <t>Delivered</t>
        </is>
      </c>
      <c r="J3685" t="n">
        <v>128</v>
      </c>
      <c r="K3685" t="n">
        <v>1</v>
      </c>
      <c r="L3685" s="7" t="n">
        <v>1049</v>
      </c>
      <c r="M3685" s="7" t="n">
        <v>0</v>
      </c>
    </row>
    <row r="3686">
      <c r="A3686" t="n">
        <v>511370</v>
      </c>
      <c r="B3686" s="6" t="n">
        <v>46001</v>
      </c>
      <c r="C3686" t="n">
        <v>17578</v>
      </c>
      <c r="D3686" t="inlineStr">
        <is>
          <t>Hyderabad</t>
        </is>
      </c>
      <c r="E3686" t="inlineStr">
        <is>
          <t>South</t>
        </is>
      </c>
      <c r="F3686" t="inlineStr">
        <is>
          <t>Organic Search</t>
        </is>
      </c>
      <c r="G3686" t="inlineStr">
        <is>
          <t>Mobile App</t>
        </is>
      </c>
      <c r="H3686" t="inlineStr">
        <is>
          <t>Cash on Delivery</t>
        </is>
      </c>
      <c r="I3686" t="inlineStr">
        <is>
          <t>Delivered</t>
        </is>
      </c>
      <c r="J3686" t="n">
        <v>113</v>
      </c>
      <c r="K3686" t="n">
        <v>1</v>
      </c>
      <c r="L3686" s="7" t="n">
        <v>1364</v>
      </c>
      <c r="M3686" s="7" t="n">
        <v>0</v>
      </c>
    </row>
    <row r="3687">
      <c r="A3687" t="n">
        <v>511370</v>
      </c>
      <c r="B3687" s="6" t="n">
        <v>46001</v>
      </c>
      <c r="C3687" t="n">
        <v>17578</v>
      </c>
      <c r="D3687" t="inlineStr">
        <is>
          <t>Hyderabad</t>
        </is>
      </c>
      <c r="E3687" t="inlineStr">
        <is>
          <t>South</t>
        </is>
      </c>
      <c r="F3687" t="inlineStr">
        <is>
          <t>Organic Search</t>
        </is>
      </c>
      <c r="G3687" t="inlineStr">
        <is>
          <t>Mobile App</t>
        </is>
      </c>
      <c r="H3687" t="inlineStr">
        <is>
          <t>Cash on Delivery</t>
        </is>
      </c>
      <c r="I3687" t="inlineStr">
        <is>
          <t>Delivered</t>
        </is>
      </c>
      <c r="J3687" t="n">
        <v>140</v>
      </c>
      <c r="K3687" t="n">
        <v>1</v>
      </c>
      <c r="L3687" s="7" t="n">
        <v>629</v>
      </c>
      <c r="M3687" s="7" t="n">
        <v>0</v>
      </c>
    </row>
    <row r="3688">
      <c r="A3688" t="n">
        <v>511371</v>
      </c>
      <c r="B3688" s="6" t="n">
        <v>46001</v>
      </c>
      <c r="C3688" t="n">
        <v>17085</v>
      </c>
      <c r="D3688" t="inlineStr">
        <is>
          <t>Pune</t>
        </is>
      </c>
      <c r="E3688" t="inlineStr">
        <is>
          <t>West</t>
        </is>
      </c>
      <c r="F3688" t="inlineStr">
        <is>
          <t>Paid Social</t>
        </is>
      </c>
      <c r="G3688" t="inlineStr">
        <is>
          <t>Mobile App</t>
        </is>
      </c>
      <c r="H3688" t="inlineStr">
        <is>
          <t>Credit Card</t>
        </is>
      </c>
      <c r="I3688" t="inlineStr">
        <is>
          <t>Delivered</t>
        </is>
      </c>
      <c r="J3688" t="n">
        <v>115</v>
      </c>
      <c r="K3688" t="n">
        <v>1</v>
      </c>
      <c r="L3688" s="7" t="n">
        <v>4199</v>
      </c>
      <c r="M3688" s="7" t="n">
        <v>0</v>
      </c>
    </row>
    <row r="3689">
      <c r="A3689" t="n">
        <v>511371</v>
      </c>
      <c r="B3689" s="6" t="n">
        <v>46001</v>
      </c>
      <c r="C3689" t="n">
        <v>17085</v>
      </c>
      <c r="D3689" t="inlineStr">
        <is>
          <t>Pune</t>
        </is>
      </c>
      <c r="E3689" t="inlineStr">
        <is>
          <t>West</t>
        </is>
      </c>
      <c r="F3689" t="inlineStr">
        <is>
          <t>Paid Social</t>
        </is>
      </c>
      <c r="G3689" t="inlineStr">
        <is>
          <t>Mobile App</t>
        </is>
      </c>
      <c r="H3689" t="inlineStr">
        <is>
          <t>Credit Card</t>
        </is>
      </c>
      <c r="I3689" t="inlineStr">
        <is>
          <t>Delivered</t>
        </is>
      </c>
      <c r="J3689" t="n">
        <v>104</v>
      </c>
      <c r="K3689" t="n">
        <v>2</v>
      </c>
      <c r="L3689" s="7" t="n">
        <v>5249</v>
      </c>
      <c r="M3689" s="7" t="n">
        <v>0</v>
      </c>
    </row>
    <row r="3690">
      <c r="A3690" t="n">
        <v>511372</v>
      </c>
      <c r="B3690" s="6" t="n">
        <v>46001</v>
      </c>
      <c r="C3690" t="n">
        <v>17551</v>
      </c>
      <c r="D3690" t="inlineStr">
        <is>
          <t>Hyderabad</t>
        </is>
      </c>
      <c r="E3690" t="inlineStr">
        <is>
          <t>South</t>
        </is>
      </c>
      <c r="F3690" t="inlineStr">
        <is>
          <t>Organic Search</t>
        </is>
      </c>
      <c r="G3690" t="inlineStr">
        <is>
          <t>Desktop</t>
        </is>
      </c>
      <c r="H3690" t="inlineStr">
        <is>
          <t>Credit Card</t>
        </is>
      </c>
      <c r="I3690" t="inlineStr">
        <is>
          <t>Delivered</t>
        </is>
      </c>
      <c r="J3690" t="n">
        <v>112</v>
      </c>
      <c r="K3690" t="n">
        <v>1</v>
      </c>
      <c r="L3690" s="7" t="n">
        <v>1574</v>
      </c>
      <c r="M3690" s="7" t="n">
        <v>236.1</v>
      </c>
    </row>
    <row r="3691">
      <c r="A3691" t="n">
        <v>511372</v>
      </c>
      <c r="B3691" s="6" t="n">
        <v>46001</v>
      </c>
      <c r="C3691" t="n">
        <v>17551</v>
      </c>
      <c r="D3691" t="inlineStr">
        <is>
          <t>Hyderabad</t>
        </is>
      </c>
      <c r="E3691" t="inlineStr">
        <is>
          <t>South</t>
        </is>
      </c>
      <c r="F3691" t="inlineStr">
        <is>
          <t>Organic Search</t>
        </is>
      </c>
      <c r="G3691" t="inlineStr">
        <is>
          <t>Desktop</t>
        </is>
      </c>
      <c r="H3691" t="inlineStr">
        <is>
          <t>Credit Card</t>
        </is>
      </c>
      <c r="I3691" t="inlineStr">
        <is>
          <t>Delivered</t>
        </is>
      </c>
      <c r="J3691" t="n">
        <v>117</v>
      </c>
      <c r="K3691" t="n">
        <v>1</v>
      </c>
      <c r="L3691" s="7" t="n">
        <v>3149</v>
      </c>
      <c r="M3691" s="7" t="n">
        <v>472.35</v>
      </c>
    </row>
    <row r="3692">
      <c r="A3692" t="n">
        <v>511373</v>
      </c>
      <c r="B3692" s="6" t="n">
        <v>46001</v>
      </c>
      <c r="C3692" t="n">
        <v>13141</v>
      </c>
      <c r="D3692" t="inlineStr">
        <is>
          <t>Hyderabad</t>
        </is>
      </c>
      <c r="E3692" t="inlineStr">
        <is>
          <t>South</t>
        </is>
      </c>
      <c r="F3692" t="inlineStr">
        <is>
          <t>Email</t>
        </is>
      </c>
      <c r="G3692" t="inlineStr">
        <is>
          <t>Mobile Web</t>
        </is>
      </c>
      <c r="H3692" t="inlineStr">
        <is>
          <t>UPI</t>
        </is>
      </c>
      <c r="I3692" t="inlineStr">
        <is>
          <t>Delivered</t>
        </is>
      </c>
      <c r="J3692" t="n">
        <v>142</v>
      </c>
      <c r="K3692" t="n">
        <v>1</v>
      </c>
      <c r="L3692" s="7" t="n">
        <v>839</v>
      </c>
      <c r="M3692" s="7" t="n">
        <v>0</v>
      </c>
    </row>
    <row r="3693">
      <c r="A3693" t="n">
        <v>511374</v>
      </c>
      <c r="B3693" s="6" t="n">
        <v>46001</v>
      </c>
      <c r="C3693" t="n">
        <v>17667</v>
      </c>
      <c r="D3693" t="inlineStr">
        <is>
          <t>Chennai</t>
        </is>
      </c>
      <c r="E3693" t="inlineStr">
        <is>
          <t>South</t>
        </is>
      </c>
      <c r="F3693" t="inlineStr">
        <is>
          <t>Referral</t>
        </is>
      </c>
      <c r="G3693" t="inlineStr">
        <is>
          <t>Mobile Web</t>
        </is>
      </c>
      <c r="H3693" t="inlineStr">
        <is>
          <t>Cash on Delivery</t>
        </is>
      </c>
      <c r="I3693" t="inlineStr">
        <is>
          <t>Delivered</t>
        </is>
      </c>
      <c r="J3693" t="n">
        <v>115</v>
      </c>
      <c r="K3693" t="n">
        <v>1</v>
      </c>
      <c r="L3693" s="7" t="n">
        <v>4199</v>
      </c>
      <c r="M3693" s="7" t="n">
        <v>0</v>
      </c>
    </row>
    <row r="3694">
      <c r="A3694" t="n">
        <v>511375</v>
      </c>
      <c r="B3694" s="6" t="n">
        <v>46001</v>
      </c>
      <c r="C3694" t="n">
        <v>17706</v>
      </c>
      <c r="D3694" t="inlineStr">
        <is>
          <t>Chennai</t>
        </is>
      </c>
      <c r="E3694" t="inlineStr">
        <is>
          <t>South</t>
        </is>
      </c>
      <c r="F3694" t="inlineStr">
        <is>
          <t>Referral</t>
        </is>
      </c>
      <c r="G3694" t="inlineStr">
        <is>
          <t>Mobile App</t>
        </is>
      </c>
      <c r="H3694" t="inlineStr">
        <is>
          <t>Credit Card</t>
        </is>
      </c>
      <c r="I3694" t="inlineStr">
        <is>
          <t>Delivered</t>
        </is>
      </c>
      <c r="J3694" t="n">
        <v>129</v>
      </c>
      <c r="K3694" t="n">
        <v>1</v>
      </c>
      <c r="L3694" s="7" t="n">
        <v>576</v>
      </c>
      <c r="M3694" s="7" t="n">
        <v>0</v>
      </c>
    </row>
    <row r="3695">
      <c r="A3695" t="n">
        <v>511375</v>
      </c>
      <c r="B3695" s="6" t="n">
        <v>46001</v>
      </c>
      <c r="C3695" t="n">
        <v>17706</v>
      </c>
      <c r="D3695" t="inlineStr">
        <is>
          <t>Chennai</t>
        </is>
      </c>
      <c r="E3695" t="inlineStr">
        <is>
          <t>South</t>
        </is>
      </c>
      <c r="F3695" t="inlineStr">
        <is>
          <t>Referral</t>
        </is>
      </c>
      <c r="G3695" t="inlineStr">
        <is>
          <t>Mobile App</t>
        </is>
      </c>
      <c r="H3695" t="inlineStr">
        <is>
          <t>Credit Card</t>
        </is>
      </c>
      <c r="I3695" t="inlineStr">
        <is>
          <t>Delivered</t>
        </is>
      </c>
      <c r="J3695" t="n">
        <v>133</v>
      </c>
      <c r="K3695" t="n">
        <v>1</v>
      </c>
      <c r="L3695" s="7" t="n">
        <v>419</v>
      </c>
      <c r="M3695" s="7" t="n">
        <v>0</v>
      </c>
    </row>
    <row r="3696">
      <c r="A3696" t="n">
        <v>511375</v>
      </c>
      <c r="B3696" s="6" t="n">
        <v>46001</v>
      </c>
      <c r="C3696" t="n">
        <v>17706</v>
      </c>
      <c r="D3696" t="inlineStr">
        <is>
          <t>Chennai</t>
        </is>
      </c>
      <c r="E3696" t="inlineStr">
        <is>
          <t>South</t>
        </is>
      </c>
      <c r="F3696" t="inlineStr">
        <is>
          <t>Referral</t>
        </is>
      </c>
      <c r="G3696" t="inlineStr">
        <is>
          <t>Mobile App</t>
        </is>
      </c>
      <c r="H3696" t="inlineStr">
        <is>
          <t>Credit Card</t>
        </is>
      </c>
      <c r="I3696" t="inlineStr">
        <is>
          <t>Delivered</t>
        </is>
      </c>
      <c r="J3696" t="n">
        <v>111</v>
      </c>
      <c r="K3696" t="n">
        <v>1</v>
      </c>
      <c r="L3696" s="7" t="n">
        <v>524</v>
      </c>
      <c r="M3696" s="7" t="n">
        <v>0</v>
      </c>
    </row>
    <row r="3697">
      <c r="A3697" t="n">
        <v>511376</v>
      </c>
      <c r="B3697" s="6" t="n">
        <v>46001</v>
      </c>
      <c r="C3697" t="n">
        <v>17686</v>
      </c>
      <c r="D3697" t="inlineStr">
        <is>
          <t>Noida</t>
        </is>
      </c>
      <c r="E3697" t="inlineStr">
        <is>
          <t>North</t>
        </is>
      </c>
      <c r="F3697" t="inlineStr">
        <is>
          <t>Referral</t>
        </is>
      </c>
      <c r="G3697" t="inlineStr">
        <is>
          <t>Mobile App</t>
        </is>
      </c>
      <c r="H3697" t="inlineStr">
        <is>
          <t>UPI</t>
        </is>
      </c>
      <c r="I3697" t="inlineStr">
        <is>
          <t>Delivered</t>
        </is>
      </c>
      <c r="J3697" t="n">
        <v>146</v>
      </c>
      <c r="K3697" t="n">
        <v>1</v>
      </c>
      <c r="L3697" s="7" t="n">
        <v>4724</v>
      </c>
      <c r="M3697" s="7" t="n">
        <v>708.6</v>
      </c>
    </row>
    <row r="3698">
      <c r="A3698" t="n">
        <v>511377</v>
      </c>
      <c r="B3698" s="6" t="n">
        <v>46001</v>
      </c>
      <c r="C3698" t="n">
        <v>17698</v>
      </c>
      <c r="D3698" t="inlineStr">
        <is>
          <t>Mumbai</t>
        </is>
      </c>
      <c r="E3698" t="inlineStr">
        <is>
          <t>West</t>
        </is>
      </c>
      <c r="F3698" t="inlineStr">
        <is>
          <t>Paid Search</t>
        </is>
      </c>
      <c r="G3698" t="inlineStr">
        <is>
          <t>Mobile Web</t>
        </is>
      </c>
      <c r="H3698" t="inlineStr">
        <is>
          <t>UPI</t>
        </is>
      </c>
      <c r="I3698" t="inlineStr">
        <is>
          <t>Delivered</t>
        </is>
      </c>
      <c r="J3698" t="n">
        <v>117</v>
      </c>
      <c r="K3698" t="n">
        <v>1</v>
      </c>
      <c r="L3698" s="7" t="n">
        <v>3149</v>
      </c>
      <c r="M3698" s="7" t="n">
        <v>0</v>
      </c>
    </row>
    <row r="3699">
      <c r="A3699" t="n">
        <v>511378</v>
      </c>
      <c r="B3699" s="6" t="n">
        <v>46001</v>
      </c>
      <c r="C3699" t="n">
        <v>17653</v>
      </c>
      <c r="D3699" t="inlineStr">
        <is>
          <t>Noida</t>
        </is>
      </c>
      <c r="E3699" t="inlineStr">
        <is>
          <t>North</t>
        </is>
      </c>
      <c r="F3699" t="inlineStr">
        <is>
          <t>Organic Search</t>
        </is>
      </c>
      <c r="G3699" t="inlineStr">
        <is>
          <t>Desktop</t>
        </is>
      </c>
      <c r="H3699" t="inlineStr">
        <is>
          <t>UPI</t>
        </is>
      </c>
      <c r="I3699" t="inlineStr">
        <is>
          <t>Delivered</t>
        </is>
      </c>
      <c r="J3699" t="n">
        <v>116</v>
      </c>
      <c r="K3699" t="n">
        <v>1</v>
      </c>
      <c r="L3699" s="7" t="n">
        <v>2624</v>
      </c>
      <c r="M3699" s="7" t="n">
        <v>0</v>
      </c>
    </row>
    <row r="3700">
      <c r="A3700" t="n">
        <v>511379</v>
      </c>
      <c r="B3700" s="6" t="n">
        <v>46001</v>
      </c>
      <c r="C3700" t="n">
        <v>17708</v>
      </c>
      <c r="D3700" t="inlineStr">
        <is>
          <t>Jaipur</t>
        </is>
      </c>
      <c r="E3700" t="inlineStr">
        <is>
          <t>North</t>
        </is>
      </c>
      <c r="F3700" t="inlineStr">
        <is>
          <t>Paid Social</t>
        </is>
      </c>
      <c r="G3700" t="inlineStr">
        <is>
          <t>Mobile Web</t>
        </is>
      </c>
      <c r="H3700" t="inlineStr">
        <is>
          <t>Net Banking</t>
        </is>
      </c>
      <c r="I3700" t="inlineStr">
        <is>
          <t>Delivered</t>
        </is>
      </c>
      <c r="J3700" t="n">
        <v>120</v>
      </c>
      <c r="K3700" t="n">
        <v>2</v>
      </c>
      <c r="L3700" s="7" t="n">
        <v>734</v>
      </c>
      <c r="M3700" s="7" t="n">
        <v>0</v>
      </c>
    </row>
    <row r="3701">
      <c r="A3701" t="n">
        <v>511380</v>
      </c>
      <c r="B3701" s="6" t="n">
        <v>46001</v>
      </c>
      <c r="C3701" t="n">
        <v>17087</v>
      </c>
      <c r="D3701" t="inlineStr">
        <is>
          <t>Bengaluru</t>
        </is>
      </c>
      <c r="E3701" t="inlineStr">
        <is>
          <t>South</t>
        </is>
      </c>
      <c r="F3701" t="inlineStr">
        <is>
          <t>Paid Search</t>
        </is>
      </c>
      <c r="G3701" t="inlineStr">
        <is>
          <t>Mobile Web</t>
        </is>
      </c>
      <c r="H3701" t="inlineStr">
        <is>
          <t>UPI</t>
        </is>
      </c>
      <c r="I3701" t="inlineStr">
        <is>
          <t>Delivered</t>
        </is>
      </c>
      <c r="J3701" t="n">
        <v>117</v>
      </c>
      <c r="K3701" t="n">
        <v>1</v>
      </c>
      <c r="L3701" s="7" t="n">
        <v>3149</v>
      </c>
      <c r="M3701" s="7" t="n">
        <v>0</v>
      </c>
    </row>
    <row r="3702">
      <c r="A3702" t="n">
        <v>511381</v>
      </c>
      <c r="B3702" s="6" t="n">
        <v>46001</v>
      </c>
      <c r="C3702" t="n">
        <v>14750</v>
      </c>
      <c r="D3702" t="inlineStr">
        <is>
          <t>Jaipur</t>
        </is>
      </c>
      <c r="E3702" t="inlineStr">
        <is>
          <t>North</t>
        </is>
      </c>
      <c r="F3702" t="inlineStr">
        <is>
          <t>Paid Social</t>
        </is>
      </c>
      <c r="G3702" t="inlineStr">
        <is>
          <t>Mobile Web</t>
        </is>
      </c>
      <c r="H3702" t="inlineStr">
        <is>
          <t>Net Banking</t>
        </is>
      </c>
      <c r="I3702" t="inlineStr">
        <is>
          <t>Delivered</t>
        </is>
      </c>
      <c r="J3702" t="n">
        <v>124</v>
      </c>
      <c r="K3702" t="n">
        <v>1</v>
      </c>
      <c r="L3702" s="7" t="n">
        <v>1154</v>
      </c>
      <c r="M3702" s="7" t="n">
        <v>0</v>
      </c>
    </row>
    <row r="3703">
      <c r="A3703" t="n">
        <v>511382</v>
      </c>
      <c r="B3703" s="6" t="n">
        <v>46001</v>
      </c>
      <c r="C3703" t="n">
        <v>16290</v>
      </c>
      <c r="D3703" t="inlineStr">
        <is>
          <t>Lucknow</t>
        </is>
      </c>
      <c r="E3703" t="inlineStr">
        <is>
          <t>North</t>
        </is>
      </c>
      <c r="F3703" t="inlineStr">
        <is>
          <t>Paid Search</t>
        </is>
      </c>
      <c r="G3703" t="inlineStr">
        <is>
          <t>Mobile App</t>
        </is>
      </c>
      <c r="H3703" t="inlineStr">
        <is>
          <t>Net Banking</t>
        </is>
      </c>
      <c r="I3703" t="inlineStr">
        <is>
          <t>Delivered</t>
        </is>
      </c>
      <c r="J3703" t="n">
        <v>101</v>
      </c>
      <c r="K3703" t="n">
        <v>2</v>
      </c>
      <c r="L3703" s="7" t="n">
        <v>2099</v>
      </c>
      <c r="M3703" s="7" t="n">
        <v>0</v>
      </c>
    </row>
    <row r="3704">
      <c r="A3704" t="n">
        <v>511382</v>
      </c>
      <c r="B3704" s="6" t="n">
        <v>46001</v>
      </c>
      <c r="C3704" t="n">
        <v>16290</v>
      </c>
      <c r="D3704" t="inlineStr">
        <is>
          <t>Lucknow</t>
        </is>
      </c>
      <c r="E3704" t="inlineStr">
        <is>
          <t>North</t>
        </is>
      </c>
      <c r="F3704" t="inlineStr">
        <is>
          <t>Paid Search</t>
        </is>
      </c>
      <c r="G3704" t="inlineStr">
        <is>
          <t>Mobile App</t>
        </is>
      </c>
      <c r="H3704" t="inlineStr">
        <is>
          <t>Net Banking</t>
        </is>
      </c>
      <c r="I3704" t="inlineStr">
        <is>
          <t>Delivered</t>
        </is>
      </c>
      <c r="J3704" t="n">
        <v>109</v>
      </c>
      <c r="K3704" t="n">
        <v>1</v>
      </c>
      <c r="L3704" s="7" t="n">
        <v>4199</v>
      </c>
      <c r="M3704" s="7" t="n">
        <v>0</v>
      </c>
    </row>
    <row r="3705">
      <c r="A3705" t="n">
        <v>511383</v>
      </c>
      <c r="B3705" s="6" t="n">
        <v>46002</v>
      </c>
      <c r="C3705" t="n">
        <v>17728</v>
      </c>
      <c r="D3705" t="inlineStr">
        <is>
          <t>Hyderabad</t>
        </is>
      </c>
      <c r="E3705" t="inlineStr">
        <is>
          <t>South</t>
        </is>
      </c>
      <c r="F3705" t="inlineStr">
        <is>
          <t>Organic Search</t>
        </is>
      </c>
      <c r="G3705" t="inlineStr">
        <is>
          <t>Mobile Web</t>
        </is>
      </c>
      <c r="H3705" t="inlineStr">
        <is>
          <t>UPI</t>
        </is>
      </c>
      <c r="I3705" t="inlineStr">
        <is>
          <t>Returned</t>
        </is>
      </c>
      <c r="J3705" t="n">
        <v>148</v>
      </c>
      <c r="K3705" t="n">
        <v>1</v>
      </c>
      <c r="L3705" s="7" t="n">
        <v>734</v>
      </c>
      <c r="M3705" s="7" t="n">
        <v>110.1</v>
      </c>
    </row>
    <row r="3706">
      <c r="A3706" t="n">
        <v>511384</v>
      </c>
      <c r="B3706" s="6" t="n">
        <v>46002</v>
      </c>
      <c r="C3706" t="n">
        <v>17420</v>
      </c>
      <c r="D3706" t="inlineStr">
        <is>
          <t>Gurugram</t>
        </is>
      </c>
      <c r="E3706" t="inlineStr">
        <is>
          <t>North</t>
        </is>
      </c>
      <c r="F3706" t="inlineStr">
        <is>
          <t>Organic Search</t>
        </is>
      </c>
      <c r="G3706" t="inlineStr">
        <is>
          <t>Desktop</t>
        </is>
      </c>
      <c r="H3706" t="inlineStr">
        <is>
          <t>UPI</t>
        </is>
      </c>
      <c r="I3706" t="inlineStr">
        <is>
          <t>Delivered</t>
        </is>
      </c>
      <c r="J3706" t="n">
        <v>102</v>
      </c>
      <c r="K3706" t="n">
        <v>1</v>
      </c>
      <c r="L3706" s="7" t="n">
        <v>3674</v>
      </c>
      <c r="M3706" s="7" t="n">
        <v>0</v>
      </c>
    </row>
    <row r="3707">
      <c r="A3707" t="n">
        <v>511384</v>
      </c>
      <c r="B3707" s="6" t="n">
        <v>46002</v>
      </c>
      <c r="C3707" t="n">
        <v>17420</v>
      </c>
      <c r="D3707" t="inlineStr">
        <is>
          <t>Gurugram</t>
        </is>
      </c>
      <c r="E3707" t="inlineStr">
        <is>
          <t>North</t>
        </is>
      </c>
      <c r="F3707" t="inlineStr">
        <is>
          <t>Organic Search</t>
        </is>
      </c>
      <c r="G3707" t="inlineStr">
        <is>
          <t>Desktop</t>
        </is>
      </c>
      <c r="H3707" t="inlineStr">
        <is>
          <t>UPI</t>
        </is>
      </c>
      <c r="I3707" t="inlineStr">
        <is>
          <t>Delivered</t>
        </is>
      </c>
      <c r="J3707" t="n">
        <v>124</v>
      </c>
      <c r="K3707" t="n">
        <v>1</v>
      </c>
      <c r="L3707" s="7" t="n">
        <v>1154</v>
      </c>
      <c r="M3707" s="7" t="n">
        <v>0</v>
      </c>
    </row>
    <row r="3708">
      <c r="A3708" t="n">
        <v>511385</v>
      </c>
      <c r="B3708" s="6" t="n">
        <v>46002</v>
      </c>
      <c r="C3708" t="n">
        <v>17624</v>
      </c>
      <c r="D3708" t="inlineStr">
        <is>
          <t>Kolkata</t>
        </is>
      </c>
      <c r="E3708" t="inlineStr">
        <is>
          <t>East</t>
        </is>
      </c>
      <c r="F3708" t="inlineStr">
        <is>
          <t>Paid Search</t>
        </is>
      </c>
      <c r="G3708" t="inlineStr">
        <is>
          <t>Mobile App</t>
        </is>
      </c>
      <c r="H3708" t="inlineStr">
        <is>
          <t>UPI</t>
        </is>
      </c>
      <c r="I3708" t="inlineStr">
        <is>
          <t>Cancelled</t>
        </is>
      </c>
      <c r="J3708" t="n">
        <v>103</v>
      </c>
      <c r="K3708" t="n">
        <v>2</v>
      </c>
      <c r="L3708" s="7" t="n">
        <v>2624</v>
      </c>
      <c r="M3708" s="7" t="n">
        <v>0</v>
      </c>
    </row>
    <row r="3709">
      <c r="A3709" t="n">
        <v>511386</v>
      </c>
      <c r="B3709" s="6" t="n">
        <v>46002</v>
      </c>
      <c r="C3709" t="n">
        <v>17110</v>
      </c>
      <c r="D3709" t="inlineStr">
        <is>
          <t>Kochi</t>
        </is>
      </c>
      <c r="E3709" t="inlineStr">
        <is>
          <t>South</t>
        </is>
      </c>
      <c r="F3709" t="inlineStr">
        <is>
          <t>Organic Search</t>
        </is>
      </c>
      <c r="G3709" t="inlineStr">
        <is>
          <t>Mobile App</t>
        </is>
      </c>
      <c r="H3709" t="inlineStr">
        <is>
          <t>UPI</t>
        </is>
      </c>
      <c r="I3709" t="inlineStr">
        <is>
          <t>Delivered</t>
        </is>
      </c>
      <c r="J3709" t="n">
        <v>109</v>
      </c>
      <c r="K3709" t="n">
        <v>2</v>
      </c>
      <c r="L3709" s="7" t="n">
        <v>4199</v>
      </c>
      <c r="M3709" s="7" t="n">
        <v>0</v>
      </c>
    </row>
    <row r="3710">
      <c r="A3710" t="n">
        <v>511387</v>
      </c>
      <c r="B3710" s="6" t="n">
        <v>46002</v>
      </c>
      <c r="C3710" t="n">
        <v>16889</v>
      </c>
      <c r="D3710" t="inlineStr">
        <is>
          <t>Chandigarh</t>
        </is>
      </c>
      <c r="E3710" t="inlineStr">
        <is>
          <t>North</t>
        </is>
      </c>
      <c r="F3710" t="inlineStr">
        <is>
          <t>Referral</t>
        </is>
      </c>
      <c r="G3710" t="inlineStr">
        <is>
          <t>Mobile Web</t>
        </is>
      </c>
      <c r="H3710" t="inlineStr">
        <is>
          <t>UPI</t>
        </is>
      </c>
      <c r="I3710" t="inlineStr">
        <is>
          <t>Delivered</t>
        </is>
      </c>
      <c r="J3710" t="n">
        <v>132</v>
      </c>
      <c r="K3710" t="n">
        <v>1</v>
      </c>
      <c r="L3710" s="7" t="n">
        <v>471</v>
      </c>
      <c r="M3710" s="7" t="n">
        <v>0</v>
      </c>
    </row>
    <row r="3711">
      <c r="A3711" t="n">
        <v>511387</v>
      </c>
      <c r="B3711" s="6" t="n">
        <v>46002</v>
      </c>
      <c r="C3711" t="n">
        <v>16889</v>
      </c>
      <c r="D3711" t="inlineStr">
        <is>
          <t>Chandigarh</t>
        </is>
      </c>
      <c r="E3711" t="inlineStr">
        <is>
          <t>North</t>
        </is>
      </c>
      <c r="F3711" t="inlineStr">
        <is>
          <t>Referral</t>
        </is>
      </c>
      <c r="G3711" t="inlineStr">
        <is>
          <t>Mobile Web</t>
        </is>
      </c>
      <c r="H3711" t="inlineStr">
        <is>
          <t>UPI</t>
        </is>
      </c>
      <c r="I3711" t="inlineStr">
        <is>
          <t>Delivered</t>
        </is>
      </c>
      <c r="J3711" t="n">
        <v>130</v>
      </c>
      <c r="K3711" t="n">
        <v>1</v>
      </c>
      <c r="L3711" s="7" t="n">
        <v>734</v>
      </c>
      <c r="M3711" s="7" t="n">
        <v>0</v>
      </c>
    </row>
    <row r="3712">
      <c r="A3712" t="n">
        <v>511388</v>
      </c>
      <c r="B3712" s="6" t="n">
        <v>46002</v>
      </c>
      <c r="C3712" t="n">
        <v>17143</v>
      </c>
      <c r="D3712" t="inlineStr">
        <is>
          <t>Jaipur</t>
        </is>
      </c>
      <c r="E3712" t="inlineStr">
        <is>
          <t>North</t>
        </is>
      </c>
      <c r="F3712" t="inlineStr">
        <is>
          <t>Referral</t>
        </is>
      </c>
      <c r="G3712" t="inlineStr">
        <is>
          <t>Desktop</t>
        </is>
      </c>
      <c r="H3712" t="inlineStr">
        <is>
          <t>UPI</t>
        </is>
      </c>
      <c r="I3712" t="inlineStr">
        <is>
          <t>Cancelled</t>
        </is>
      </c>
      <c r="J3712" t="n">
        <v>127</v>
      </c>
      <c r="K3712" t="n">
        <v>1</v>
      </c>
      <c r="L3712" s="7" t="n">
        <v>681</v>
      </c>
      <c r="M3712" s="7" t="n">
        <v>0</v>
      </c>
    </row>
    <row r="3713">
      <c r="A3713" t="n">
        <v>511388</v>
      </c>
      <c r="B3713" s="6" t="n">
        <v>46002</v>
      </c>
      <c r="C3713" t="n">
        <v>17143</v>
      </c>
      <c r="D3713" t="inlineStr">
        <is>
          <t>Jaipur</t>
        </is>
      </c>
      <c r="E3713" t="inlineStr">
        <is>
          <t>North</t>
        </is>
      </c>
      <c r="F3713" t="inlineStr">
        <is>
          <t>Referral</t>
        </is>
      </c>
      <c r="G3713" t="inlineStr">
        <is>
          <t>Desktop</t>
        </is>
      </c>
      <c r="H3713" t="inlineStr">
        <is>
          <t>UPI</t>
        </is>
      </c>
      <c r="I3713" t="inlineStr">
        <is>
          <t>Cancelled</t>
        </is>
      </c>
      <c r="J3713" t="n">
        <v>125</v>
      </c>
      <c r="K3713" t="n">
        <v>1</v>
      </c>
      <c r="L3713" s="7" t="n">
        <v>1364</v>
      </c>
      <c r="M3713" s="7" t="n">
        <v>0</v>
      </c>
    </row>
    <row r="3714">
      <c r="A3714" t="n">
        <v>511389</v>
      </c>
      <c r="B3714" s="6" t="n">
        <v>46002</v>
      </c>
      <c r="C3714" t="n">
        <v>17695</v>
      </c>
      <c r="D3714" t="inlineStr">
        <is>
          <t>Mumbai</t>
        </is>
      </c>
      <c r="E3714" t="inlineStr">
        <is>
          <t>West</t>
        </is>
      </c>
      <c r="F3714" t="inlineStr">
        <is>
          <t>Email</t>
        </is>
      </c>
      <c r="G3714" t="inlineStr">
        <is>
          <t>Mobile Web</t>
        </is>
      </c>
      <c r="H3714" t="inlineStr">
        <is>
          <t>UPI</t>
        </is>
      </c>
      <c r="I3714" t="inlineStr">
        <is>
          <t>Returned</t>
        </is>
      </c>
      <c r="J3714" t="n">
        <v>114</v>
      </c>
      <c r="K3714" t="n">
        <v>1</v>
      </c>
      <c r="L3714" s="7" t="n">
        <v>1259</v>
      </c>
      <c r="M3714" s="7" t="n">
        <v>0</v>
      </c>
    </row>
    <row r="3715">
      <c r="A3715" t="n">
        <v>511390</v>
      </c>
      <c r="B3715" s="6" t="n">
        <v>46002</v>
      </c>
      <c r="C3715" t="n">
        <v>17725</v>
      </c>
      <c r="D3715" t="inlineStr">
        <is>
          <t>Hyderabad</t>
        </is>
      </c>
      <c r="E3715" t="inlineStr">
        <is>
          <t>South</t>
        </is>
      </c>
      <c r="F3715" t="inlineStr">
        <is>
          <t>Affiliate</t>
        </is>
      </c>
      <c r="G3715" t="inlineStr">
        <is>
          <t>Mobile App</t>
        </is>
      </c>
      <c r="H3715" t="inlineStr">
        <is>
          <t>UPI</t>
        </is>
      </c>
      <c r="I3715" t="inlineStr">
        <is>
          <t>Delivered</t>
        </is>
      </c>
      <c r="J3715" t="n">
        <v>108</v>
      </c>
      <c r="K3715" t="n">
        <v>1</v>
      </c>
      <c r="L3715" s="7" t="n">
        <v>419</v>
      </c>
      <c r="M3715" s="7" t="n">
        <v>62.85</v>
      </c>
    </row>
    <row r="3716">
      <c r="A3716" t="n">
        <v>511390</v>
      </c>
      <c r="B3716" s="6" t="n">
        <v>46002</v>
      </c>
      <c r="C3716" t="n">
        <v>17725</v>
      </c>
      <c r="D3716" t="inlineStr">
        <is>
          <t>Hyderabad</t>
        </is>
      </c>
      <c r="E3716" t="inlineStr">
        <is>
          <t>South</t>
        </is>
      </c>
      <c r="F3716" t="inlineStr">
        <is>
          <t>Affiliate</t>
        </is>
      </c>
      <c r="G3716" t="inlineStr">
        <is>
          <t>Mobile App</t>
        </is>
      </c>
      <c r="H3716" t="inlineStr">
        <is>
          <t>UPI</t>
        </is>
      </c>
      <c r="I3716" t="inlineStr">
        <is>
          <t>Delivered</t>
        </is>
      </c>
      <c r="J3716" t="n">
        <v>123</v>
      </c>
      <c r="K3716" t="n">
        <v>1</v>
      </c>
      <c r="L3716" s="7" t="n">
        <v>3464</v>
      </c>
      <c r="M3716" s="7" t="n">
        <v>519.6</v>
      </c>
    </row>
    <row r="3717">
      <c r="A3717" t="n">
        <v>511391</v>
      </c>
      <c r="B3717" s="6" t="n">
        <v>46002</v>
      </c>
      <c r="C3717" t="n">
        <v>17731</v>
      </c>
      <c r="D3717" t="inlineStr">
        <is>
          <t>Kochi</t>
        </is>
      </c>
      <c r="E3717" t="inlineStr">
        <is>
          <t>South</t>
        </is>
      </c>
      <c r="F3717" t="inlineStr">
        <is>
          <t>Affiliate</t>
        </is>
      </c>
      <c r="G3717" t="inlineStr">
        <is>
          <t>Mobile Web</t>
        </is>
      </c>
      <c r="H3717" t="inlineStr">
        <is>
          <t>Net Banking</t>
        </is>
      </c>
      <c r="I3717" t="inlineStr">
        <is>
          <t>Delivered</t>
        </is>
      </c>
      <c r="J3717" t="n">
        <v>120</v>
      </c>
      <c r="K3717" t="n">
        <v>1</v>
      </c>
      <c r="L3717" s="7" t="n">
        <v>734</v>
      </c>
      <c r="M3717" s="7" t="n">
        <v>110.1</v>
      </c>
    </row>
    <row r="3718">
      <c r="A3718" t="n">
        <v>511391</v>
      </c>
      <c r="B3718" s="6" t="n">
        <v>46002</v>
      </c>
      <c r="C3718" t="n">
        <v>17731</v>
      </c>
      <c r="D3718" t="inlineStr">
        <is>
          <t>Kochi</t>
        </is>
      </c>
      <c r="E3718" t="inlineStr">
        <is>
          <t>South</t>
        </is>
      </c>
      <c r="F3718" t="inlineStr">
        <is>
          <t>Affiliate</t>
        </is>
      </c>
      <c r="G3718" t="inlineStr">
        <is>
          <t>Mobile Web</t>
        </is>
      </c>
      <c r="H3718" t="inlineStr">
        <is>
          <t>Net Banking</t>
        </is>
      </c>
      <c r="I3718" t="inlineStr">
        <is>
          <t>Delivered</t>
        </is>
      </c>
      <c r="J3718" t="n">
        <v>109</v>
      </c>
      <c r="K3718" t="n">
        <v>1</v>
      </c>
      <c r="L3718" s="7" t="n">
        <v>4199</v>
      </c>
      <c r="M3718" s="7" t="n">
        <v>629.85</v>
      </c>
    </row>
    <row r="3719">
      <c r="A3719" t="n">
        <v>511392</v>
      </c>
      <c r="B3719" s="6" t="n">
        <v>46002</v>
      </c>
      <c r="C3719" t="n">
        <v>12388</v>
      </c>
      <c r="D3719" t="inlineStr">
        <is>
          <t>Lucknow</t>
        </is>
      </c>
      <c r="E3719" t="inlineStr">
        <is>
          <t>North</t>
        </is>
      </c>
      <c r="F3719" t="inlineStr">
        <is>
          <t>Organic Search</t>
        </is>
      </c>
      <c r="G3719" t="inlineStr">
        <is>
          <t>Mobile Web</t>
        </is>
      </c>
      <c r="H3719" t="inlineStr">
        <is>
          <t>UPI</t>
        </is>
      </c>
      <c r="I3719" t="inlineStr">
        <is>
          <t>Delivered</t>
        </is>
      </c>
      <c r="J3719" t="n">
        <v>148</v>
      </c>
      <c r="K3719" t="n">
        <v>1</v>
      </c>
      <c r="L3719" s="7" t="n">
        <v>734</v>
      </c>
      <c r="M3719" s="7" t="n">
        <v>0</v>
      </c>
    </row>
    <row r="3720">
      <c r="A3720" t="n">
        <v>511393</v>
      </c>
      <c r="B3720" s="6" t="n">
        <v>46002</v>
      </c>
      <c r="C3720" t="n">
        <v>17699</v>
      </c>
      <c r="D3720" t="inlineStr">
        <is>
          <t>Indore</t>
        </is>
      </c>
      <c r="E3720" t="inlineStr">
        <is>
          <t>West</t>
        </is>
      </c>
      <c r="F3720" t="inlineStr">
        <is>
          <t>Email</t>
        </is>
      </c>
      <c r="G3720" t="inlineStr">
        <is>
          <t>Mobile Web</t>
        </is>
      </c>
      <c r="H3720" t="inlineStr">
        <is>
          <t>UPI</t>
        </is>
      </c>
      <c r="I3720" t="inlineStr">
        <is>
          <t>Returned</t>
        </is>
      </c>
      <c r="J3720" t="n">
        <v>147</v>
      </c>
      <c r="K3720" t="n">
        <v>1</v>
      </c>
      <c r="L3720" s="7" t="n">
        <v>1364</v>
      </c>
      <c r="M3720" s="7" t="n">
        <v>0</v>
      </c>
    </row>
    <row r="3721">
      <c r="A3721" t="n">
        <v>511394</v>
      </c>
      <c r="B3721" s="6" t="n">
        <v>46002</v>
      </c>
      <c r="C3721" t="n">
        <v>17335</v>
      </c>
      <c r="D3721" t="inlineStr">
        <is>
          <t>Bengaluru</t>
        </is>
      </c>
      <c r="E3721" t="inlineStr">
        <is>
          <t>South</t>
        </is>
      </c>
      <c r="F3721" t="inlineStr">
        <is>
          <t>Email</t>
        </is>
      </c>
      <c r="G3721" t="inlineStr">
        <is>
          <t>Mobile Web</t>
        </is>
      </c>
      <c r="H3721" t="inlineStr">
        <is>
          <t>UPI</t>
        </is>
      </c>
      <c r="I3721" t="inlineStr">
        <is>
          <t>Delivered</t>
        </is>
      </c>
      <c r="J3721" t="n">
        <v>135</v>
      </c>
      <c r="K3721" t="n">
        <v>1</v>
      </c>
      <c r="L3721" s="7" t="n">
        <v>1574</v>
      </c>
      <c r="M3721" s="7" t="n">
        <v>0</v>
      </c>
    </row>
    <row r="3722">
      <c r="A3722" t="n">
        <v>511395</v>
      </c>
      <c r="B3722" s="6" t="n">
        <v>46002</v>
      </c>
      <c r="C3722" t="n">
        <v>17696</v>
      </c>
      <c r="D3722" t="inlineStr">
        <is>
          <t>Delhi</t>
        </is>
      </c>
      <c r="E3722" t="inlineStr">
        <is>
          <t>North</t>
        </is>
      </c>
      <c r="F3722" t="inlineStr">
        <is>
          <t>Paid Search</t>
        </is>
      </c>
      <c r="G3722" t="inlineStr">
        <is>
          <t>Mobile App</t>
        </is>
      </c>
      <c r="H3722" t="inlineStr">
        <is>
          <t>Credit Card</t>
        </is>
      </c>
      <c r="I3722" t="inlineStr">
        <is>
          <t>Delivered</t>
        </is>
      </c>
      <c r="J3722" t="n">
        <v>128</v>
      </c>
      <c r="K3722" t="n">
        <v>1</v>
      </c>
      <c r="L3722" s="7" t="n">
        <v>1049</v>
      </c>
      <c r="M3722" s="7" t="n">
        <v>0</v>
      </c>
    </row>
    <row r="3723">
      <c r="A3723" t="n">
        <v>511395</v>
      </c>
      <c r="B3723" s="6" t="n">
        <v>46002</v>
      </c>
      <c r="C3723" t="n">
        <v>17696</v>
      </c>
      <c r="D3723" t="inlineStr">
        <is>
          <t>Delhi</t>
        </is>
      </c>
      <c r="E3723" t="inlineStr">
        <is>
          <t>North</t>
        </is>
      </c>
      <c r="F3723" t="inlineStr">
        <is>
          <t>Paid Search</t>
        </is>
      </c>
      <c r="G3723" t="inlineStr">
        <is>
          <t>Mobile App</t>
        </is>
      </c>
      <c r="H3723" t="inlineStr">
        <is>
          <t>Credit Card</t>
        </is>
      </c>
      <c r="I3723" t="inlineStr">
        <is>
          <t>Delivered</t>
        </is>
      </c>
      <c r="J3723" t="n">
        <v>134</v>
      </c>
      <c r="K3723" t="n">
        <v>1</v>
      </c>
      <c r="L3723" s="7" t="n">
        <v>209</v>
      </c>
      <c r="M3723" s="7" t="n">
        <v>0</v>
      </c>
    </row>
    <row r="3724">
      <c r="A3724" t="n">
        <v>511395</v>
      </c>
      <c r="B3724" s="6" t="n">
        <v>46002</v>
      </c>
      <c r="C3724" t="n">
        <v>17696</v>
      </c>
      <c r="D3724" t="inlineStr">
        <is>
          <t>Delhi</t>
        </is>
      </c>
      <c r="E3724" t="inlineStr">
        <is>
          <t>North</t>
        </is>
      </c>
      <c r="F3724" t="inlineStr">
        <is>
          <t>Paid Search</t>
        </is>
      </c>
      <c r="G3724" t="inlineStr">
        <is>
          <t>Mobile App</t>
        </is>
      </c>
      <c r="H3724" t="inlineStr">
        <is>
          <t>Credit Card</t>
        </is>
      </c>
      <c r="I3724" t="inlineStr">
        <is>
          <t>Delivered</t>
        </is>
      </c>
      <c r="J3724" t="n">
        <v>129</v>
      </c>
      <c r="K3724" t="n">
        <v>1</v>
      </c>
      <c r="L3724" s="7" t="n">
        <v>576</v>
      </c>
      <c r="M3724" s="7" t="n">
        <v>0</v>
      </c>
    </row>
    <row r="3725">
      <c r="A3725" t="n">
        <v>511396</v>
      </c>
      <c r="B3725" s="6" t="n">
        <v>46002</v>
      </c>
      <c r="C3725" t="n">
        <v>17733</v>
      </c>
      <c r="D3725" t="inlineStr">
        <is>
          <t>Delhi</t>
        </is>
      </c>
      <c r="E3725" t="inlineStr">
        <is>
          <t>North</t>
        </is>
      </c>
      <c r="F3725" t="inlineStr">
        <is>
          <t>Paid Search</t>
        </is>
      </c>
      <c r="G3725" t="inlineStr">
        <is>
          <t>Mobile Web</t>
        </is>
      </c>
      <c r="H3725" t="inlineStr">
        <is>
          <t>Cash on Delivery</t>
        </is>
      </c>
      <c r="I3725" t="inlineStr">
        <is>
          <t>Returned</t>
        </is>
      </c>
      <c r="J3725" t="n">
        <v>112</v>
      </c>
      <c r="K3725" t="n">
        <v>1</v>
      </c>
      <c r="L3725" s="7" t="n">
        <v>1574</v>
      </c>
      <c r="M3725" s="7" t="n">
        <v>236.1</v>
      </c>
    </row>
    <row r="3726">
      <c r="A3726" t="n">
        <v>511397</v>
      </c>
      <c r="B3726" s="6" t="n">
        <v>46002</v>
      </c>
      <c r="C3726" t="n">
        <v>14308</v>
      </c>
      <c r="D3726" t="inlineStr">
        <is>
          <t>Delhi</t>
        </is>
      </c>
      <c r="E3726" t="inlineStr">
        <is>
          <t>North</t>
        </is>
      </c>
      <c r="F3726" t="inlineStr">
        <is>
          <t>Organic Search</t>
        </is>
      </c>
      <c r="G3726" t="inlineStr">
        <is>
          <t>Mobile App</t>
        </is>
      </c>
      <c r="H3726" t="inlineStr">
        <is>
          <t>Credit Card</t>
        </is>
      </c>
      <c r="I3726" t="inlineStr">
        <is>
          <t>Cancelled</t>
        </is>
      </c>
      <c r="J3726" t="n">
        <v>130</v>
      </c>
      <c r="K3726" t="n">
        <v>1</v>
      </c>
      <c r="L3726" s="7" t="n">
        <v>734</v>
      </c>
      <c r="M3726" s="7" t="n">
        <v>0</v>
      </c>
    </row>
    <row r="3727">
      <c r="A3727" t="n">
        <v>511397</v>
      </c>
      <c r="B3727" s="6" t="n">
        <v>46002</v>
      </c>
      <c r="C3727" t="n">
        <v>14308</v>
      </c>
      <c r="D3727" t="inlineStr">
        <is>
          <t>Delhi</t>
        </is>
      </c>
      <c r="E3727" t="inlineStr">
        <is>
          <t>North</t>
        </is>
      </c>
      <c r="F3727" t="inlineStr">
        <is>
          <t>Organic Search</t>
        </is>
      </c>
      <c r="G3727" t="inlineStr">
        <is>
          <t>Mobile App</t>
        </is>
      </c>
      <c r="H3727" t="inlineStr">
        <is>
          <t>Credit Card</t>
        </is>
      </c>
      <c r="I3727" t="inlineStr">
        <is>
          <t>Cancelled</t>
        </is>
      </c>
      <c r="J3727" t="n">
        <v>118</v>
      </c>
      <c r="K3727" t="n">
        <v>1</v>
      </c>
      <c r="L3727" s="7" t="n">
        <v>944</v>
      </c>
      <c r="M3727" s="7" t="n">
        <v>0</v>
      </c>
    </row>
    <row r="3728">
      <c r="A3728" t="n">
        <v>511397</v>
      </c>
      <c r="B3728" s="6" t="n">
        <v>46002</v>
      </c>
      <c r="C3728" t="n">
        <v>14308</v>
      </c>
      <c r="D3728" t="inlineStr">
        <is>
          <t>Delhi</t>
        </is>
      </c>
      <c r="E3728" t="inlineStr">
        <is>
          <t>North</t>
        </is>
      </c>
      <c r="F3728" t="inlineStr">
        <is>
          <t>Organic Search</t>
        </is>
      </c>
      <c r="G3728" t="inlineStr">
        <is>
          <t>Mobile App</t>
        </is>
      </c>
      <c r="H3728" t="inlineStr">
        <is>
          <t>Credit Card</t>
        </is>
      </c>
      <c r="I3728" t="inlineStr">
        <is>
          <t>Cancelled</t>
        </is>
      </c>
      <c r="J3728" t="n">
        <v>124</v>
      </c>
      <c r="K3728" t="n">
        <v>1</v>
      </c>
      <c r="L3728" s="7" t="n">
        <v>1154</v>
      </c>
      <c r="M3728" s="7" t="n">
        <v>0</v>
      </c>
    </row>
    <row r="3729">
      <c r="A3729" t="n">
        <v>511398</v>
      </c>
      <c r="B3729" s="6" t="n">
        <v>46002</v>
      </c>
      <c r="C3729" t="n">
        <v>17726</v>
      </c>
      <c r="D3729" t="inlineStr">
        <is>
          <t>Kochi</t>
        </is>
      </c>
      <c r="E3729" t="inlineStr">
        <is>
          <t>South</t>
        </is>
      </c>
      <c r="F3729" t="inlineStr">
        <is>
          <t>Paid Social</t>
        </is>
      </c>
      <c r="G3729" t="inlineStr">
        <is>
          <t>Mobile App</t>
        </is>
      </c>
      <c r="H3729" t="inlineStr">
        <is>
          <t>Debit Card</t>
        </is>
      </c>
      <c r="I3729" t="inlineStr">
        <is>
          <t>Delivered</t>
        </is>
      </c>
      <c r="J3729" t="n">
        <v>121</v>
      </c>
      <c r="K3729" t="n">
        <v>2</v>
      </c>
      <c r="L3729" s="7" t="n">
        <v>2939</v>
      </c>
      <c r="M3729" s="7" t="n">
        <v>881.7</v>
      </c>
    </row>
    <row r="3730">
      <c r="A3730" t="n">
        <v>511398</v>
      </c>
      <c r="B3730" s="6" t="n">
        <v>46002</v>
      </c>
      <c r="C3730" t="n">
        <v>17726</v>
      </c>
      <c r="D3730" t="inlineStr">
        <is>
          <t>Kochi</t>
        </is>
      </c>
      <c r="E3730" t="inlineStr">
        <is>
          <t>South</t>
        </is>
      </c>
      <c r="F3730" t="inlineStr">
        <is>
          <t>Paid Social</t>
        </is>
      </c>
      <c r="G3730" t="inlineStr">
        <is>
          <t>Mobile App</t>
        </is>
      </c>
      <c r="H3730" t="inlineStr">
        <is>
          <t>Debit Card</t>
        </is>
      </c>
      <c r="I3730" t="inlineStr">
        <is>
          <t>Delivered</t>
        </is>
      </c>
      <c r="J3730" t="n">
        <v>127</v>
      </c>
      <c r="K3730" t="n">
        <v>1</v>
      </c>
      <c r="L3730" s="7" t="n">
        <v>681</v>
      </c>
      <c r="M3730" s="7" t="n">
        <v>102.15</v>
      </c>
    </row>
    <row r="3731">
      <c r="A3731" t="n">
        <v>511399</v>
      </c>
      <c r="B3731" s="6" t="n">
        <v>46002</v>
      </c>
      <c r="C3731" t="n">
        <v>17020</v>
      </c>
      <c r="D3731" t="inlineStr">
        <is>
          <t>Indore</t>
        </is>
      </c>
      <c r="E3731" t="inlineStr">
        <is>
          <t>West</t>
        </is>
      </c>
      <c r="F3731" t="inlineStr">
        <is>
          <t>Email</t>
        </is>
      </c>
      <c r="G3731" t="inlineStr">
        <is>
          <t>Desktop</t>
        </is>
      </c>
      <c r="H3731" t="inlineStr">
        <is>
          <t>UPI</t>
        </is>
      </c>
      <c r="I3731" t="inlineStr">
        <is>
          <t>Delivered</t>
        </is>
      </c>
      <c r="J3731" t="n">
        <v>104</v>
      </c>
      <c r="K3731" t="n">
        <v>1</v>
      </c>
      <c r="L3731" s="7" t="n">
        <v>5249</v>
      </c>
      <c r="M3731" s="7" t="n">
        <v>0</v>
      </c>
    </row>
    <row r="3732">
      <c r="A3732" t="n">
        <v>511400</v>
      </c>
      <c r="B3732" s="6" t="n">
        <v>46002</v>
      </c>
      <c r="C3732" t="n">
        <v>14979</v>
      </c>
      <c r="D3732" t="inlineStr">
        <is>
          <t>Gurugram</t>
        </is>
      </c>
      <c r="E3732" t="inlineStr">
        <is>
          <t>North</t>
        </is>
      </c>
      <c r="F3732" t="inlineStr">
        <is>
          <t>Referral</t>
        </is>
      </c>
      <c r="G3732" t="inlineStr">
        <is>
          <t>Mobile App</t>
        </is>
      </c>
      <c r="H3732" t="inlineStr">
        <is>
          <t>Debit Card</t>
        </is>
      </c>
      <c r="I3732" t="inlineStr">
        <is>
          <t>Delivered</t>
        </is>
      </c>
      <c r="J3732" t="n">
        <v>118</v>
      </c>
      <c r="K3732" t="n">
        <v>1</v>
      </c>
      <c r="L3732" s="7" t="n">
        <v>944</v>
      </c>
      <c r="M3732" s="7" t="n">
        <v>0</v>
      </c>
    </row>
    <row r="3733">
      <c r="A3733" t="n">
        <v>511401</v>
      </c>
      <c r="B3733" s="6" t="n">
        <v>46002</v>
      </c>
      <c r="C3733" t="n">
        <v>17703</v>
      </c>
      <c r="D3733" t="inlineStr">
        <is>
          <t>Delhi</t>
        </is>
      </c>
      <c r="E3733" t="inlineStr">
        <is>
          <t>North</t>
        </is>
      </c>
      <c r="F3733" t="inlineStr">
        <is>
          <t>Email</t>
        </is>
      </c>
      <c r="G3733" t="inlineStr">
        <is>
          <t>Mobile Web</t>
        </is>
      </c>
      <c r="H3733" t="inlineStr">
        <is>
          <t>UPI</t>
        </is>
      </c>
      <c r="I3733" t="inlineStr">
        <is>
          <t>Delivered</t>
        </is>
      </c>
      <c r="J3733" t="n">
        <v>140</v>
      </c>
      <c r="K3733" t="n">
        <v>1</v>
      </c>
      <c r="L3733" s="7" t="n">
        <v>629</v>
      </c>
      <c r="M3733" s="7" t="n">
        <v>0</v>
      </c>
    </row>
    <row r="3734">
      <c r="A3734" t="n">
        <v>511402</v>
      </c>
      <c r="B3734" s="6" t="n">
        <v>46003</v>
      </c>
      <c r="C3734" t="n">
        <v>16594</v>
      </c>
      <c r="D3734" t="inlineStr">
        <is>
          <t>Pune</t>
        </is>
      </c>
      <c r="E3734" t="inlineStr">
        <is>
          <t>West</t>
        </is>
      </c>
      <c r="F3734" t="inlineStr">
        <is>
          <t>Paid Search</t>
        </is>
      </c>
      <c r="G3734" t="inlineStr">
        <is>
          <t>Desktop</t>
        </is>
      </c>
      <c r="H3734" t="inlineStr">
        <is>
          <t>Credit Card</t>
        </is>
      </c>
      <c r="I3734" t="inlineStr">
        <is>
          <t>Delivered</t>
        </is>
      </c>
      <c r="J3734" t="n">
        <v>107</v>
      </c>
      <c r="K3734" t="n">
        <v>1</v>
      </c>
      <c r="L3734" s="7" t="n">
        <v>1259</v>
      </c>
      <c r="M3734" s="7" t="n">
        <v>0</v>
      </c>
    </row>
    <row r="3735">
      <c r="A3735" t="n">
        <v>511403</v>
      </c>
      <c r="B3735" s="6" t="n">
        <v>46003</v>
      </c>
      <c r="C3735" t="n">
        <v>16999</v>
      </c>
      <c r="D3735" t="inlineStr">
        <is>
          <t>Hyderabad</t>
        </is>
      </c>
      <c r="E3735" t="inlineStr">
        <is>
          <t>South</t>
        </is>
      </c>
      <c r="F3735" t="inlineStr">
        <is>
          <t>Referral</t>
        </is>
      </c>
      <c r="G3735" t="inlineStr">
        <is>
          <t>Mobile App</t>
        </is>
      </c>
      <c r="H3735" t="inlineStr">
        <is>
          <t>UPI</t>
        </is>
      </c>
      <c r="I3735" t="inlineStr">
        <is>
          <t>Delivered</t>
        </is>
      </c>
      <c r="J3735" t="n">
        <v>102</v>
      </c>
      <c r="K3735" t="n">
        <v>1</v>
      </c>
      <c r="L3735" s="7" t="n">
        <v>3674</v>
      </c>
      <c r="M3735" s="7" t="n">
        <v>0</v>
      </c>
    </row>
    <row r="3736">
      <c r="A3736" t="n">
        <v>511404</v>
      </c>
      <c r="B3736" s="6" t="n">
        <v>46003</v>
      </c>
      <c r="C3736" t="n">
        <v>17592</v>
      </c>
      <c r="D3736" t="inlineStr">
        <is>
          <t>Bengaluru</t>
        </is>
      </c>
      <c r="E3736" t="inlineStr">
        <is>
          <t>South</t>
        </is>
      </c>
      <c r="F3736" t="inlineStr">
        <is>
          <t>Organic Search</t>
        </is>
      </c>
      <c r="G3736" t="inlineStr">
        <is>
          <t>Desktop</t>
        </is>
      </c>
      <c r="H3736" t="inlineStr">
        <is>
          <t>UPI</t>
        </is>
      </c>
      <c r="I3736" t="inlineStr">
        <is>
          <t>Delivered</t>
        </is>
      </c>
      <c r="J3736" t="n">
        <v>107</v>
      </c>
      <c r="K3736" t="n">
        <v>3</v>
      </c>
      <c r="L3736" s="7" t="n">
        <v>1259</v>
      </c>
      <c r="M3736" s="7" t="n">
        <v>566.55</v>
      </c>
    </row>
    <row r="3737">
      <c r="A3737" t="n">
        <v>511404</v>
      </c>
      <c r="B3737" s="6" t="n">
        <v>46003</v>
      </c>
      <c r="C3737" t="n">
        <v>17592</v>
      </c>
      <c r="D3737" t="inlineStr">
        <is>
          <t>Bengaluru</t>
        </is>
      </c>
      <c r="E3737" t="inlineStr">
        <is>
          <t>South</t>
        </is>
      </c>
      <c r="F3737" t="inlineStr">
        <is>
          <t>Organic Search</t>
        </is>
      </c>
      <c r="G3737" t="inlineStr">
        <is>
          <t>Desktop</t>
        </is>
      </c>
      <c r="H3737" t="inlineStr">
        <is>
          <t>UPI</t>
        </is>
      </c>
      <c r="I3737" t="inlineStr">
        <is>
          <t>Delivered</t>
        </is>
      </c>
      <c r="J3737" t="n">
        <v>113</v>
      </c>
      <c r="K3737" t="n">
        <v>1</v>
      </c>
      <c r="L3737" s="7" t="n">
        <v>1364</v>
      </c>
      <c r="M3737" s="7" t="n">
        <v>204.6</v>
      </c>
    </row>
    <row r="3738">
      <c r="A3738" t="n">
        <v>511405</v>
      </c>
      <c r="B3738" s="6" t="n">
        <v>46003</v>
      </c>
      <c r="C3738" t="n">
        <v>17225</v>
      </c>
      <c r="D3738" t="inlineStr">
        <is>
          <t>Hyderabad</t>
        </is>
      </c>
      <c r="E3738" t="inlineStr">
        <is>
          <t>South</t>
        </is>
      </c>
      <c r="F3738" t="inlineStr">
        <is>
          <t>Organic Search</t>
        </is>
      </c>
      <c r="G3738" t="inlineStr">
        <is>
          <t>Mobile App</t>
        </is>
      </c>
      <c r="H3738" t="inlineStr">
        <is>
          <t>UPI</t>
        </is>
      </c>
      <c r="I3738" t="inlineStr">
        <is>
          <t>Delivered</t>
        </is>
      </c>
      <c r="J3738" t="n">
        <v>122</v>
      </c>
      <c r="K3738" t="n">
        <v>2</v>
      </c>
      <c r="L3738" s="7" t="n">
        <v>1994</v>
      </c>
      <c r="M3738" s="7" t="n">
        <v>0</v>
      </c>
    </row>
    <row r="3739">
      <c r="A3739" t="n">
        <v>511405</v>
      </c>
      <c r="B3739" s="6" t="n">
        <v>46003</v>
      </c>
      <c r="C3739" t="n">
        <v>17225</v>
      </c>
      <c r="D3739" t="inlineStr">
        <is>
          <t>Hyderabad</t>
        </is>
      </c>
      <c r="E3739" t="inlineStr">
        <is>
          <t>South</t>
        </is>
      </c>
      <c r="F3739" t="inlineStr">
        <is>
          <t>Organic Search</t>
        </is>
      </c>
      <c r="G3739" t="inlineStr">
        <is>
          <t>Mobile App</t>
        </is>
      </c>
      <c r="H3739" t="inlineStr">
        <is>
          <t>UPI</t>
        </is>
      </c>
      <c r="I3739" t="inlineStr">
        <is>
          <t>Delivered</t>
        </is>
      </c>
      <c r="J3739" t="n">
        <v>106</v>
      </c>
      <c r="K3739" t="n">
        <v>1</v>
      </c>
      <c r="L3739" s="7" t="n">
        <v>1574</v>
      </c>
      <c r="M3739" s="7" t="n">
        <v>0</v>
      </c>
    </row>
    <row r="3740">
      <c r="A3740" t="n">
        <v>511406</v>
      </c>
      <c r="B3740" s="6" t="n">
        <v>46003</v>
      </c>
      <c r="C3740" t="n">
        <v>17744</v>
      </c>
      <c r="D3740" t="inlineStr">
        <is>
          <t>Chandigarh</t>
        </is>
      </c>
      <c r="E3740" t="inlineStr">
        <is>
          <t>North</t>
        </is>
      </c>
      <c r="F3740" t="inlineStr">
        <is>
          <t>Paid Social</t>
        </is>
      </c>
      <c r="G3740" t="inlineStr">
        <is>
          <t>Mobile App</t>
        </is>
      </c>
      <c r="H3740" t="inlineStr">
        <is>
          <t>Cash on Delivery</t>
        </is>
      </c>
      <c r="I3740" t="inlineStr">
        <is>
          <t>Returned</t>
        </is>
      </c>
      <c r="J3740" t="n">
        <v>117</v>
      </c>
      <c r="K3740" t="n">
        <v>1</v>
      </c>
      <c r="L3740" s="7" t="n">
        <v>3149</v>
      </c>
      <c r="M3740" s="7" t="n">
        <v>0</v>
      </c>
    </row>
    <row r="3741">
      <c r="A3741" t="n">
        <v>511407</v>
      </c>
      <c r="B3741" s="6" t="n">
        <v>46003</v>
      </c>
      <c r="C3741" t="n">
        <v>15056</v>
      </c>
      <c r="D3741" t="inlineStr">
        <is>
          <t>Chandigarh</t>
        </is>
      </c>
      <c r="E3741" t="inlineStr">
        <is>
          <t>North</t>
        </is>
      </c>
      <c r="F3741" t="inlineStr">
        <is>
          <t>Referral</t>
        </is>
      </c>
      <c r="G3741" t="inlineStr">
        <is>
          <t>Mobile Web</t>
        </is>
      </c>
      <c r="H3741" t="inlineStr">
        <is>
          <t>UPI</t>
        </is>
      </c>
      <c r="I3741" t="inlineStr">
        <is>
          <t>Delivered</t>
        </is>
      </c>
      <c r="J3741" t="n">
        <v>119</v>
      </c>
      <c r="K3741" t="n">
        <v>1</v>
      </c>
      <c r="L3741" s="7" t="n">
        <v>2309</v>
      </c>
      <c r="M3741" s="7" t="n">
        <v>115.45</v>
      </c>
    </row>
    <row r="3742">
      <c r="A3742" t="n">
        <v>511408</v>
      </c>
      <c r="B3742" s="6" t="n">
        <v>46003</v>
      </c>
      <c r="C3742" t="n">
        <v>17513</v>
      </c>
      <c r="D3742" t="inlineStr">
        <is>
          <t>Chandigarh</t>
        </is>
      </c>
      <c r="E3742" t="inlineStr">
        <is>
          <t>North</t>
        </is>
      </c>
      <c r="F3742" t="inlineStr">
        <is>
          <t>Organic Search</t>
        </is>
      </c>
      <c r="G3742" t="inlineStr">
        <is>
          <t>Mobile Web</t>
        </is>
      </c>
      <c r="H3742" t="inlineStr">
        <is>
          <t>Credit Card</t>
        </is>
      </c>
      <c r="I3742" t="inlineStr">
        <is>
          <t>Cancelled</t>
        </is>
      </c>
      <c r="J3742" t="n">
        <v>113</v>
      </c>
      <c r="K3742" t="n">
        <v>2</v>
      </c>
      <c r="L3742" s="7" t="n">
        <v>1364</v>
      </c>
      <c r="M3742" s="7" t="n">
        <v>409.2</v>
      </c>
    </row>
    <row r="3743">
      <c r="A3743" t="n">
        <v>511408</v>
      </c>
      <c r="B3743" s="6" t="n">
        <v>46003</v>
      </c>
      <c r="C3743" t="n">
        <v>17513</v>
      </c>
      <c r="D3743" t="inlineStr">
        <is>
          <t>Chandigarh</t>
        </is>
      </c>
      <c r="E3743" t="inlineStr">
        <is>
          <t>North</t>
        </is>
      </c>
      <c r="F3743" t="inlineStr">
        <is>
          <t>Organic Search</t>
        </is>
      </c>
      <c r="G3743" t="inlineStr">
        <is>
          <t>Mobile Web</t>
        </is>
      </c>
      <c r="H3743" t="inlineStr">
        <is>
          <t>Credit Card</t>
        </is>
      </c>
      <c r="I3743" t="inlineStr">
        <is>
          <t>Cancelled</t>
        </is>
      </c>
      <c r="J3743" t="n">
        <v>124</v>
      </c>
      <c r="K3743" t="n">
        <v>2</v>
      </c>
      <c r="L3743" s="7" t="n">
        <v>1154</v>
      </c>
      <c r="M3743" s="7" t="n">
        <v>346.2</v>
      </c>
    </row>
    <row r="3744">
      <c r="A3744" t="n">
        <v>511409</v>
      </c>
      <c r="B3744" s="6" t="n">
        <v>46003</v>
      </c>
      <c r="C3744" t="n">
        <v>14261</v>
      </c>
      <c r="D3744" t="inlineStr">
        <is>
          <t>Bengaluru</t>
        </is>
      </c>
      <c r="E3744" t="inlineStr">
        <is>
          <t>South</t>
        </is>
      </c>
      <c r="F3744" t="inlineStr">
        <is>
          <t>Email</t>
        </is>
      </c>
      <c r="G3744" t="inlineStr">
        <is>
          <t>Mobile App</t>
        </is>
      </c>
      <c r="H3744" t="inlineStr">
        <is>
          <t>Credit Card</t>
        </is>
      </c>
      <c r="I3744" t="inlineStr">
        <is>
          <t>Delivered</t>
        </is>
      </c>
      <c r="J3744" t="n">
        <v>121</v>
      </c>
      <c r="K3744" t="n">
        <v>1</v>
      </c>
      <c r="L3744" s="7" t="n">
        <v>2939</v>
      </c>
      <c r="M3744" s="7" t="n">
        <v>0</v>
      </c>
    </row>
    <row r="3745">
      <c r="A3745" t="n">
        <v>511410</v>
      </c>
      <c r="B3745" s="6" t="n">
        <v>46003</v>
      </c>
      <c r="C3745" t="n">
        <v>17722</v>
      </c>
      <c r="D3745" t="inlineStr">
        <is>
          <t>Lucknow</t>
        </is>
      </c>
      <c r="E3745" t="inlineStr">
        <is>
          <t>North</t>
        </is>
      </c>
      <c r="F3745" t="inlineStr">
        <is>
          <t>Referral</t>
        </is>
      </c>
      <c r="G3745" t="inlineStr">
        <is>
          <t>Mobile App</t>
        </is>
      </c>
      <c r="H3745" t="inlineStr">
        <is>
          <t>UPI</t>
        </is>
      </c>
      <c r="I3745" t="inlineStr">
        <is>
          <t>Delivered</t>
        </is>
      </c>
      <c r="J3745" t="n">
        <v>146</v>
      </c>
      <c r="K3745" t="n">
        <v>1</v>
      </c>
      <c r="L3745" s="7" t="n">
        <v>4724</v>
      </c>
      <c r="M3745" s="7" t="n">
        <v>0</v>
      </c>
    </row>
    <row r="3746">
      <c r="A3746" t="n">
        <v>511410</v>
      </c>
      <c r="B3746" s="6" t="n">
        <v>46003</v>
      </c>
      <c r="C3746" t="n">
        <v>17722</v>
      </c>
      <c r="D3746" t="inlineStr">
        <is>
          <t>Lucknow</t>
        </is>
      </c>
      <c r="E3746" t="inlineStr">
        <is>
          <t>North</t>
        </is>
      </c>
      <c r="F3746" t="inlineStr">
        <is>
          <t>Referral</t>
        </is>
      </c>
      <c r="G3746" t="inlineStr">
        <is>
          <t>Mobile App</t>
        </is>
      </c>
      <c r="H3746" t="inlineStr">
        <is>
          <t>UPI</t>
        </is>
      </c>
      <c r="I3746" t="inlineStr">
        <is>
          <t>Delivered</t>
        </is>
      </c>
      <c r="J3746" t="n">
        <v>113</v>
      </c>
      <c r="K3746" t="n">
        <v>1</v>
      </c>
      <c r="L3746" s="7" t="n">
        <v>1364</v>
      </c>
      <c r="M3746" s="7" t="n">
        <v>0</v>
      </c>
    </row>
    <row r="3747">
      <c r="A3747" t="n">
        <v>511410</v>
      </c>
      <c r="B3747" s="6" t="n">
        <v>46003</v>
      </c>
      <c r="C3747" t="n">
        <v>17722</v>
      </c>
      <c r="D3747" t="inlineStr">
        <is>
          <t>Lucknow</t>
        </is>
      </c>
      <c r="E3747" t="inlineStr">
        <is>
          <t>North</t>
        </is>
      </c>
      <c r="F3747" t="inlineStr">
        <is>
          <t>Referral</t>
        </is>
      </c>
      <c r="G3747" t="inlineStr">
        <is>
          <t>Mobile App</t>
        </is>
      </c>
      <c r="H3747" t="inlineStr">
        <is>
          <t>UPI</t>
        </is>
      </c>
      <c r="I3747" t="inlineStr">
        <is>
          <t>Delivered</t>
        </is>
      </c>
      <c r="J3747" t="n">
        <v>106</v>
      </c>
      <c r="K3747" t="n">
        <v>1</v>
      </c>
      <c r="L3747" s="7" t="n">
        <v>1574</v>
      </c>
      <c r="M3747" s="7" t="n">
        <v>0</v>
      </c>
    </row>
    <row r="3748">
      <c r="A3748" t="n">
        <v>511410</v>
      </c>
      <c r="B3748" s="6" t="n">
        <v>46003</v>
      </c>
      <c r="C3748" t="n">
        <v>17722</v>
      </c>
      <c r="D3748" t="inlineStr">
        <is>
          <t>Lucknow</t>
        </is>
      </c>
      <c r="E3748" t="inlineStr">
        <is>
          <t>North</t>
        </is>
      </c>
      <c r="F3748" t="inlineStr">
        <is>
          <t>Referral</t>
        </is>
      </c>
      <c r="G3748" t="inlineStr">
        <is>
          <t>Mobile App</t>
        </is>
      </c>
      <c r="H3748" t="inlineStr">
        <is>
          <t>UPI</t>
        </is>
      </c>
      <c r="I3748" t="inlineStr">
        <is>
          <t>Delivered</t>
        </is>
      </c>
      <c r="J3748" t="n">
        <v>126</v>
      </c>
      <c r="K3748" t="n">
        <v>1</v>
      </c>
      <c r="L3748" s="7" t="n">
        <v>471</v>
      </c>
      <c r="M3748" s="7" t="n">
        <v>0</v>
      </c>
    </row>
    <row r="3749">
      <c r="A3749" t="n">
        <v>511411</v>
      </c>
      <c r="B3749" s="6" t="n">
        <v>46003</v>
      </c>
      <c r="C3749" t="n">
        <v>16128</v>
      </c>
      <c r="D3749" t="inlineStr">
        <is>
          <t>Delhi</t>
        </is>
      </c>
      <c r="E3749" t="inlineStr">
        <is>
          <t>North</t>
        </is>
      </c>
      <c r="F3749" t="inlineStr">
        <is>
          <t>Referral</t>
        </is>
      </c>
      <c r="G3749" t="inlineStr">
        <is>
          <t>Mobile App</t>
        </is>
      </c>
      <c r="H3749" t="inlineStr">
        <is>
          <t>Debit Card</t>
        </is>
      </c>
      <c r="I3749" t="inlineStr">
        <is>
          <t>Cancelled</t>
        </is>
      </c>
      <c r="J3749" t="n">
        <v>133</v>
      </c>
      <c r="K3749" t="n">
        <v>1</v>
      </c>
      <c r="L3749" s="7" t="n">
        <v>419</v>
      </c>
      <c r="M3749" s="7" t="n">
        <v>0</v>
      </c>
    </row>
    <row r="3750">
      <c r="A3750" t="n">
        <v>511412</v>
      </c>
      <c r="B3750" s="6" t="n">
        <v>46003</v>
      </c>
      <c r="C3750" t="n">
        <v>16428</v>
      </c>
      <c r="D3750" t="inlineStr">
        <is>
          <t>Delhi</t>
        </is>
      </c>
      <c r="E3750" t="inlineStr">
        <is>
          <t>North</t>
        </is>
      </c>
      <c r="F3750" t="inlineStr">
        <is>
          <t>Organic Search</t>
        </is>
      </c>
      <c r="G3750" t="inlineStr">
        <is>
          <t>Mobile App</t>
        </is>
      </c>
      <c r="H3750" t="inlineStr">
        <is>
          <t>UPI</t>
        </is>
      </c>
      <c r="I3750" t="inlineStr">
        <is>
          <t>Delivered</t>
        </is>
      </c>
      <c r="J3750" t="n">
        <v>127</v>
      </c>
      <c r="K3750" t="n">
        <v>2</v>
      </c>
      <c r="L3750" s="7" t="n">
        <v>681</v>
      </c>
      <c r="M3750" s="7" t="n">
        <v>0</v>
      </c>
    </row>
    <row r="3751">
      <c r="A3751" t="n">
        <v>511413</v>
      </c>
      <c r="B3751" s="6" t="n">
        <v>46003</v>
      </c>
      <c r="C3751" t="n">
        <v>17659</v>
      </c>
      <c r="D3751" t="inlineStr">
        <is>
          <t>Delhi</t>
        </is>
      </c>
      <c r="E3751" t="inlineStr">
        <is>
          <t>North</t>
        </is>
      </c>
      <c r="F3751" t="inlineStr">
        <is>
          <t>Organic Search</t>
        </is>
      </c>
      <c r="G3751" t="inlineStr">
        <is>
          <t>Mobile App</t>
        </is>
      </c>
      <c r="H3751" t="inlineStr">
        <is>
          <t>Cash on Delivery</t>
        </is>
      </c>
      <c r="I3751" t="inlineStr">
        <is>
          <t>Delivered</t>
        </is>
      </c>
      <c r="J3751" t="n">
        <v>127</v>
      </c>
      <c r="K3751" t="n">
        <v>1</v>
      </c>
      <c r="L3751" s="7" t="n">
        <v>681</v>
      </c>
      <c r="M3751" s="7" t="n">
        <v>34.05</v>
      </c>
    </row>
    <row r="3752">
      <c r="A3752" t="n">
        <v>511413</v>
      </c>
      <c r="B3752" s="6" t="n">
        <v>46003</v>
      </c>
      <c r="C3752" t="n">
        <v>17659</v>
      </c>
      <c r="D3752" t="inlineStr">
        <is>
          <t>Delhi</t>
        </is>
      </c>
      <c r="E3752" t="inlineStr">
        <is>
          <t>North</t>
        </is>
      </c>
      <c r="F3752" t="inlineStr">
        <is>
          <t>Organic Search</t>
        </is>
      </c>
      <c r="G3752" t="inlineStr">
        <is>
          <t>Mobile App</t>
        </is>
      </c>
      <c r="H3752" t="inlineStr">
        <is>
          <t>Cash on Delivery</t>
        </is>
      </c>
      <c r="I3752" t="inlineStr">
        <is>
          <t>Delivered</t>
        </is>
      </c>
      <c r="J3752" t="n">
        <v>112</v>
      </c>
      <c r="K3752" t="n">
        <v>1</v>
      </c>
      <c r="L3752" s="7" t="n">
        <v>1574</v>
      </c>
      <c r="M3752" s="7" t="n">
        <v>78.7</v>
      </c>
    </row>
    <row r="3753">
      <c r="A3753" t="n">
        <v>511413</v>
      </c>
      <c r="B3753" s="6" t="n">
        <v>46003</v>
      </c>
      <c r="C3753" t="n">
        <v>17659</v>
      </c>
      <c r="D3753" t="inlineStr">
        <is>
          <t>Delhi</t>
        </is>
      </c>
      <c r="E3753" t="inlineStr">
        <is>
          <t>North</t>
        </is>
      </c>
      <c r="F3753" t="inlineStr">
        <is>
          <t>Organic Search</t>
        </is>
      </c>
      <c r="G3753" t="inlineStr">
        <is>
          <t>Mobile App</t>
        </is>
      </c>
      <c r="H3753" t="inlineStr">
        <is>
          <t>Cash on Delivery</t>
        </is>
      </c>
      <c r="I3753" t="inlineStr">
        <is>
          <t>Delivered</t>
        </is>
      </c>
      <c r="J3753" t="n">
        <v>113</v>
      </c>
      <c r="K3753" t="n">
        <v>1</v>
      </c>
      <c r="L3753" s="7" t="n">
        <v>1364</v>
      </c>
      <c r="M3753" s="7" t="n">
        <v>68.2</v>
      </c>
    </row>
    <row r="3754">
      <c r="A3754" t="n">
        <v>511414</v>
      </c>
      <c r="B3754" s="6" t="n">
        <v>46003</v>
      </c>
      <c r="C3754" t="n">
        <v>15625</v>
      </c>
      <c r="D3754" t="inlineStr">
        <is>
          <t>Gurugram</t>
        </is>
      </c>
      <c r="E3754" t="inlineStr">
        <is>
          <t>North</t>
        </is>
      </c>
      <c r="F3754" t="inlineStr">
        <is>
          <t>Referral</t>
        </is>
      </c>
      <c r="G3754" t="inlineStr">
        <is>
          <t>Mobile App</t>
        </is>
      </c>
      <c r="H3754" t="inlineStr">
        <is>
          <t>Credit Card</t>
        </is>
      </c>
      <c r="I3754" t="inlineStr">
        <is>
          <t>Delivered</t>
        </is>
      </c>
      <c r="J3754" t="n">
        <v>117</v>
      </c>
      <c r="K3754" t="n">
        <v>1</v>
      </c>
      <c r="L3754" s="7" t="n">
        <v>3149</v>
      </c>
      <c r="M3754" s="7" t="n">
        <v>0</v>
      </c>
    </row>
    <row r="3755">
      <c r="A3755" t="n">
        <v>511415</v>
      </c>
      <c r="B3755" s="6" t="n">
        <v>46003</v>
      </c>
      <c r="C3755" t="n">
        <v>17701</v>
      </c>
      <c r="D3755" t="inlineStr">
        <is>
          <t>Delhi</t>
        </is>
      </c>
      <c r="E3755" t="inlineStr">
        <is>
          <t>North</t>
        </is>
      </c>
      <c r="F3755" t="inlineStr">
        <is>
          <t>Referral</t>
        </is>
      </c>
      <c r="G3755" t="inlineStr">
        <is>
          <t>Mobile App</t>
        </is>
      </c>
      <c r="H3755" t="inlineStr">
        <is>
          <t>UPI</t>
        </is>
      </c>
      <c r="I3755" t="inlineStr">
        <is>
          <t>Returned</t>
        </is>
      </c>
      <c r="J3755" t="n">
        <v>111</v>
      </c>
      <c r="K3755" t="n">
        <v>1</v>
      </c>
      <c r="L3755" s="7" t="n">
        <v>524</v>
      </c>
      <c r="M3755" s="7" t="n">
        <v>78.59999999999999</v>
      </c>
    </row>
    <row r="3756">
      <c r="A3756" t="n">
        <v>511415</v>
      </c>
      <c r="B3756" s="6" t="n">
        <v>46003</v>
      </c>
      <c r="C3756" t="n">
        <v>17701</v>
      </c>
      <c r="D3756" t="inlineStr">
        <is>
          <t>Delhi</t>
        </is>
      </c>
      <c r="E3756" t="inlineStr">
        <is>
          <t>North</t>
        </is>
      </c>
      <c r="F3756" t="inlineStr">
        <is>
          <t>Referral</t>
        </is>
      </c>
      <c r="G3756" t="inlineStr">
        <is>
          <t>Mobile App</t>
        </is>
      </c>
      <c r="H3756" t="inlineStr">
        <is>
          <t>UPI</t>
        </is>
      </c>
      <c r="I3756" t="inlineStr">
        <is>
          <t>Returned</t>
        </is>
      </c>
      <c r="J3756" t="n">
        <v>108</v>
      </c>
      <c r="K3756" t="n">
        <v>1</v>
      </c>
      <c r="L3756" s="7" t="n">
        <v>419</v>
      </c>
      <c r="M3756" s="7" t="n">
        <v>62.85</v>
      </c>
    </row>
    <row r="3757">
      <c r="A3757" t="n">
        <v>511416</v>
      </c>
      <c r="B3757" s="6" t="n">
        <v>46003</v>
      </c>
      <c r="C3757" t="n">
        <v>17150</v>
      </c>
      <c r="D3757" t="inlineStr">
        <is>
          <t>Bengaluru</t>
        </is>
      </c>
      <c r="E3757" t="inlineStr">
        <is>
          <t>South</t>
        </is>
      </c>
      <c r="F3757" t="inlineStr">
        <is>
          <t>Email</t>
        </is>
      </c>
      <c r="G3757" t="inlineStr">
        <is>
          <t>Desktop</t>
        </is>
      </c>
      <c r="H3757" t="inlineStr">
        <is>
          <t>UPI</t>
        </is>
      </c>
      <c r="I3757" t="inlineStr">
        <is>
          <t>Delivered</t>
        </is>
      </c>
      <c r="J3757" t="n">
        <v>140</v>
      </c>
      <c r="K3757" t="n">
        <v>1</v>
      </c>
      <c r="L3757" s="7" t="n">
        <v>629</v>
      </c>
      <c r="M3757" s="7" t="n">
        <v>0</v>
      </c>
    </row>
    <row r="3758">
      <c r="A3758" t="n">
        <v>511416</v>
      </c>
      <c r="B3758" s="6" t="n">
        <v>46003</v>
      </c>
      <c r="C3758" t="n">
        <v>17150</v>
      </c>
      <c r="D3758" t="inlineStr">
        <is>
          <t>Bengaluru</t>
        </is>
      </c>
      <c r="E3758" t="inlineStr">
        <is>
          <t>South</t>
        </is>
      </c>
      <c r="F3758" t="inlineStr">
        <is>
          <t>Email</t>
        </is>
      </c>
      <c r="G3758" t="inlineStr">
        <is>
          <t>Desktop</t>
        </is>
      </c>
      <c r="H3758" t="inlineStr">
        <is>
          <t>UPI</t>
        </is>
      </c>
      <c r="I3758" t="inlineStr">
        <is>
          <t>Delivered</t>
        </is>
      </c>
      <c r="J3758" t="n">
        <v>135</v>
      </c>
      <c r="K3758" t="n">
        <v>1</v>
      </c>
      <c r="L3758" s="7" t="n">
        <v>1574</v>
      </c>
      <c r="M3758" s="7" t="n">
        <v>0</v>
      </c>
    </row>
    <row r="3759">
      <c r="A3759" t="n">
        <v>511416</v>
      </c>
      <c r="B3759" s="6" t="n">
        <v>46003</v>
      </c>
      <c r="C3759" t="n">
        <v>17150</v>
      </c>
      <c r="D3759" t="inlineStr">
        <is>
          <t>Bengaluru</t>
        </is>
      </c>
      <c r="E3759" t="inlineStr">
        <is>
          <t>South</t>
        </is>
      </c>
      <c r="F3759" t="inlineStr">
        <is>
          <t>Email</t>
        </is>
      </c>
      <c r="G3759" t="inlineStr">
        <is>
          <t>Desktop</t>
        </is>
      </c>
      <c r="H3759" t="inlineStr">
        <is>
          <t>UPI</t>
        </is>
      </c>
      <c r="I3759" t="inlineStr">
        <is>
          <t>Delivered</t>
        </is>
      </c>
      <c r="J3759" t="n">
        <v>111</v>
      </c>
      <c r="K3759" t="n">
        <v>1</v>
      </c>
      <c r="L3759" s="7" t="n">
        <v>524</v>
      </c>
      <c r="M3759" s="7" t="n">
        <v>0</v>
      </c>
    </row>
    <row r="3760">
      <c r="A3760" t="n">
        <v>511417</v>
      </c>
      <c r="B3760" s="6" t="n">
        <v>46003</v>
      </c>
      <c r="C3760" t="n">
        <v>16832</v>
      </c>
      <c r="D3760" t="inlineStr">
        <is>
          <t>Mumbai</t>
        </is>
      </c>
      <c r="E3760" t="inlineStr">
        <is>
          <t>West</t>
        </is>
      </c>
      <c r="F3760" t="inlineStr">
        <is>
          <t>Organic Search</t>
        </is>
      </c>
      <c r="G3760" t="inlineStr">
        <is>
          <t>Mobile Web</t>
        </is>
      </c>
      <c r="H3760" t="inlineStr">
        <is>
          <t>UPI</t>
        </is>
      </c>
      <c r="I3760" t="inlineStr">
        <is>
          <t>Returned</t>
        </is>
      </c>
      <c r="J3760" t="n">
        <v>113</v>
      </c>
      <c r="K3760" t="n">
        <v>2</v>
      </c>
      <c r="L3760" s="7" t="n">
        <v>1364</v>
      </c>
      <c r="M3760" s="7" t="n">
        <v>0</v>
      </c>
    </row>
    <row r="3761">
      <c r="A3761" t="n">
        <v>511418</v>
      </c>
      <c r="B3761" s="6" t="n">
        <v>46003</v>
      </c>
      <c r="C3761" t="n">
        <v>17677</v>
      </c>
      <c r="D3761" t="inlineStr">
        <is>
          <t>Bengaluru</t>
        </is>
      </c>
      <c r="E3761" t="inlineStr">
        <is>
          <t>South</t>
        </is>
      </c>
      <c r="F3761" t="inlineStr">
        <is>
          <t>Paid Social</t>
        </is>
      </c>
      <c r="G3761" t="inlineStr">
        <is>
          <t>Mobile App</t>
        </is>
      </c>
      <c r="H3761" t="inlineStr">
        <is>
          <t>Cash on Delivery</t>
        </is>
      </c>
      <c r="I3761" t="inlineStr">
        <is>
          <t>Returned</t>
        </is>
      </c>
      <c r="J3761" t="n">
        <v>147</v>
      </c>
      <c r="K3761" t="n">
        <v>1</v>
      </c>
      <c r="L3761" s="7" t="n">
        <v>1364</v>
      </c>
      <c r="M3761" s="7" t="n">
        <v>0</v>
      </c>
    </row>
    <row r="3762">
      <c r="A3762" t="n">
        <v>511419</v>
      </c>
      <c r="B3762" s="6" t="n">
        <v>46003</v>
      </c>
      <c r="C3762" t="n">
        <v>17679</v>
      </c>
      <c r="D3762" t="inlineStr">
        <is>
          <t>Ahmedabad</t>
        </is>
      </c>
      <c r="E3762" t="inlineStr">
        <is>
          <t>West</t>
        </is>
      </c>
      <c r="F3762" t="inlineStr">
        <is>
          <t>Paid Search</t>
        </is>
      </c>
      <c r="G3762" t="inlineStr">
        <is>
          <t>Mobile App</t>
        </is>
      </c>
      <c r="H3762" t="inlineStr">
        <is>
          <t>UPI</t>
        </is>
      </c>
      <c r="I3762" t="inlineStr">
        <is>
          <t>Delivered</t>
        </is>
      </c>
      <c r="J3762" t="n">
        <v>112</v>
      </c>
      <c r="K3762" t="n">
        <v>1</v>
      </c>
      <c r="L3762" s="7" t="n">
        <v>1574</v>
      </c>
      <c r="M3762" s="7" t="n">
        <v>0</v>
      </c>
    </row>
    <row r="3763">
      <c r="A3763" t="n">
        <v>511420</v>
      </c>
      <c r="B3763" s="6" t="n">
        <v>46003</v>
      </c>
      <c r="C3763" t="n">
        <v>17720</v>
      </c>
      <c r="D3763" t="inlineStr">
        <is>
          <t>Bengaluru</t>
        </is>
      </c>
      <c r="E3763" t="inlineStr">
        <is>
          <t>South</t>
        </is>
      </c>
      <c r="F3763" t="inlineStr">
        <is>
          <t>Paid Search</t>
        </is>
      </c>
      <c r="G3763" t="inlineStr">
        <is>
          <t>Desktop</t>
        </is>
      </c>
      <c r="H3763" t="inlineStr">
        <is>
          <t>UPI</t>
        </is>
      </c>
      <c r="I3763" t="inlineStr">
        <is>
          <t>Delivered</t>
        </is>
      </c>
      <c r="J3763" t="n">
        <v>129</v>
      </c>
      <c r="K3763" t="n">
        <v>1</v>
      </c>
      <c r="L3763" s="7" t="n">
        <v>576</v>
      </c>
      <c r="M3763" s="7" t="n">
        <v>0</v>
      </c>
    </row>
    <row r="3764">
      <c r="A3764" t="n">
        <v>511421</v>
      </c>
      <c r="B3764" s="6" t="n">
        <v>46003</v>
      </c>
      <c r="C3764" t="n">
        <v>17724</v>
      </c>
      <c r="D3764" t="inlineStr">
        <is>
          <t>Gurugram</t>
        </is>
      </c>
      <c r="E3764" t="inlineStr">
        <is>
          <t>North</t>
        </is>
      </c>
      <c r="F3764" t="inlineStr">
        <is>
          <t>Paid Social</t>
        </is>
      </c>
      <c r="G3764" t="inlineStr">
        <is>
          <t>Desktop</t>
        </is>
      </c>
      <c r="H3764" t="inlineStr">
        <is>
          <t>Credit Card</t>
        </is>
      </c>
      <c r="I3764" t="inlineStr">
        <is>
          <t>Delivered</t>
        </is>
      </c>
      <c r="J3764" t="n">
        <v>117</v>
      </c>
      <c r="K3764" t="n">
        <v>2</v>
      </c>
      <c r="L3764" s="7" t="n">
        <v>3149</v>
      </c>
      <c r="M3764" s="7" t="n">
        <v>944.7</v>
      </c>
    </row>
    <row r="3765">
      <c r="A3765" t="n">
        <v>511421</v>
      </c>
      <c r="B3765" s="6" t="n">
        <v>46003</v>
      </c>
      <c r="C3765" t="n">
        <v>17724</v>
      </c>
      <c r="D3765" t="inlineStr">
        <is>
          <t>Gurugram</t>
        </is>
      </c>
      <c r="E3765" t="inlineStr">
        <is>
          <t>North</t>
        </is>
      </c>
      <c r="F3765" t="inlineStr">
        <is>
          <t>Paid Social</t>
        </is>
      </c>
      <c r="G3765" t="inlineStr">
        <is>
          <t>Desktop</t>
        </is>
      </c>
      <c r="H3765" t="inlineStr">
        <is>
          <t>Credit Card</t>
        </is>
      </c>
      <c r="I3765" t="inlineStr">
        <is>
          <t>Delivered</t>
        </is>
      </c>
      <c r="J3765" t="n">
        <v>130</v>
      </c>
      <c r="K3765" t="n">
        <v>2</v>
      </c>
      <c r="L3765" s="7" t="n">
        <v>734</v>
      </c>
      <c r="M3765" s="7" t="n">
        <v>220.2</v>
      </c>
    </row>
    <row r="3766">
      <c r="A3766" t="n">
        <v>511422</v>
      </c>
      <c r="B3766" s="6" t="n">
        <v>46003</v>
      </c>
      <c r="C3766" t="n">
        <v>17749</v>
      </c>
      <c r="D3766" t="inlineStr">
        <is>
          <t>Pune</t>
        </is>
      </c>
      <c r="E3766" t="inlineStr">
        <is>
          <t>West</t>
        </is>
      </c>
      <c r="F3766" t="inlineStr">
        <is>
          <t>Paid Search</t>
        </is>
      </c>
      <c r="G3766" t="inlineStr">
        <is>
          <t>Mobile Web</t>
        </is>
      </c>
      <c r="H3766" t="inlineStr">
        <is>
          <t>Cash on Delivery</t>
        </is>
      </c>
      <c r="I3766" t="inlineStr">
        <is>
          <t>Delivered</t>
        </is>
      </c>
      <c r="J3766" t="n">
        <v>105</v>
      </c>
      <c r="K3766" t="n">
        <v>1</v>
      </c>
      <c r="L3766" s="7" t="n">
        <v>2414</v>
      </c>
      <c r="M3766" s="7" t="n">
        <v>362.1</v>
      </c>
    </row>
    <row r="3767">
      <c r="A3767" t="n">
        <v>511423</v>
      </c>
      <c r="B3767" s="6" t="n">
        <v>46003</v>
      </c>
      <c r="C3767" t="n">
        <v>17215</v>
      </c>
      <c r="D3767" t="inlineStr">
        <is>
          <t>Delhi</t>
        </is>
      </c>
      <c r="E3767" t="inlineStr">
        <is>
          <t>North</t>
        </is>
      </c>
      <c r="F3767" t="inlineStr">
        <is>
          <t>Organic Search</t>
        </is>
      </c>
      <c r="G3767" t="inlineStr">
        <is>
          <t>Desktop</t>
        </is>
      </c>
      <c r="H3767" t="inlineStr">
        <is>
          <t>Credit Card</t>
        </is>
      </c>
      <c r="I3767" t="inlineStr">
        <is>
          <t>Delivered</t>
        </is>
      </c>
      <c r="J3767" t="n">
        <v>143</v>
      </c>
      <c r="K3767" t="n">
        <v>1</v>
      </c>
      <c r="L3767" s="7" t="n">
        <v>839</v>
      </c>
      <c r="M3767" s="7" t="n">
        <v>0</v>
      </c>
    </row>
    <row r="3768">
      <c r="A3768" t="n">
        <v>511423</v>
      </c>
      <c r="B3768" s="6" t="n">
        <v>46003</v>
      </c>
      <c r="C3768" t="n">
        <v>17215</v>
      </c>
      <c r="D3768" t="inlineStr">
        <is>
          <t>Delhi</t>
        </is>
      </c>
      <c r="E3768" t="inlineStr">
        <is>
          <t>North</t>
        </is>
      </c>
      <c r="F3768" t="inlineStr">
        <is>
          <t>Organic Search</t>
        </is>
      </c>
      <c r="G3768" t="inlineStr">
        <is>
          <t>Desktop</t>
        </is>
      </c>
      <c r="H3768" t="inlineStr">
        <is>
          <t>Credit Card</t>
        </is>
      </c>
      <c r="I3768" t="inlineStr">
        <is>
          <t>Delivered</t>
        </is>
      </c>
      <c r="J3768" t="n">
        <v>112</v>
      </c>
      <c r="K3768" t="n">
        <v>1</v>
      </c>
      <c r="L3768" s="7" t="n">
        <v>1574</v>
      </c>
      <c r="M3768" s="7" t="n">
        <v>0</v>
      </c>
    </row>
    <row r="3769">
      <c r="A3769" t="n">
        <v>511424</v>
      </c>
      <c r="B3769" s="6" t="n">
        <v>46003</v>
      </c>
      <c r="C3769" t="n">
        <v>17705</v>
      </c>
      <c r="D3769" t="inlineStr">
        <is>
          <t>Chennai</t>
        </is>
      </c>
      <c r="E3769" t="inlineStr">
        <is>
          <t>South</t>
        </is>
      </c>
      <c r="F3769" t="inlineStr">
        <is>
          <t>Paid Social</t>
        </is>
      </c>
      <c r="G3769" t="inlineStr">
        <is>
          <t>Desktop</t>
        </is>
      </c>
      <c r="H3769" t="inlineStr">
        <is>
          <t>Credit Card</t>
        </is>
      </c>
      <c r="I3769" t="inlineStr">
        <is>
          <t>Delivered</t>
        </is>
      </c>
      <c r="J3769" t="n">
        <v>133</v>
      </c>
      <c r="K3769" t="n">
        <v>2</v>
      </c>
      <c r="L3769" s="7" t="n">
        <v>419</v>
      </c>
      <c r="M3769" s="7" t="n">
        <v>125.7</v>
      </c>
    </row>
    <row r="3770">
      <c r="A3770" t="n">
        <v>511425</v>
      </c>
      <c r="B3770" s="6" t="n">
        <v>46003</v>
      </c>
      <c r="C3770" t="n">
        <v>17690</v>
      </c>
      <c r="D3770" t="inlineStr">
        <is>
          <t>Chennai</t>
        </is>
      </c>
      <c r="E3770" t="inlineStr">
        <is>
          <t>South</t>
        </is>
      </c>
      <c r="F3770" t="inlineStr">
        <is>
          <t>Organic Search</t>
        </is>
      </c>
      <c r="G3770" t="inlineStr">
        <is>
          <t>Mobile Web</t>
        </is>
      </c>
      <c r="H3770" t="inlineStr">
        <is>
          <t>Credit Card</t>
        </is>
      </c>
      <c r="I3770" t="inlineStr">
        <is>
          <t>Delivered</t>
        </is>
      </c>
      <c r="J3770" t="n">
        <v>107</v>
      </c>
      <c r="K3770" t="n">
        <v>1</v>
      </c>
      <c r="L3770" s="7" t="n">
        <v>1259</v>
      </c>
      <c r="M3770" s="7" t="n">
        <v>188.85</v>
      </c>
    </row>
    <row r="3771">
      <c r="A3771" t="n">
        <v>511426</v>
      </c>
      <c r="B3771" s="6" t="n">
        <v>46003</v>
      </c>
      <c r="C3771" t="n">
        <v>17697</v>
      </c>
      <c r="D3771" t="inlineStr">
        <is>
          <t>Delhi</t>
        </is>
      </c>
      <c r="E3771" t="inlineStr">
        <is>
          <t>North</t>
        </is>
      </c>
      <c r="F3771" t="inlineStr">
        <is>
          <t>Paid Social</t>
        </is>
      </c>
      <c r="G3771" t="inlineStr">
        <is>
          <t>Mobile App</t>
        </is>
      </c>
      <c r="H3771" t="inlineStr">
        <is>
          <t>Credit Card</t>
        </is>
      </c>
      <c r="I3771" t="inlineStr">
        <is>
          <t>Delivered</t>
        </is>
      </c>
      <c r="J3771" t="n">
        <v>124</v>
      </c>
      <c r="K3771" t="n">
        <v>1</v>
      </c>
      <c r="L3771" s="7" t="n">
        <v>1154</v>
      </c>
      <c r="M3771" s="7" t="n">
        <v>173.1</v>
      </c>
    </row>
    <row r="3772">
      <c r="A3772" t="n">
        <v>511427</v>
      </c>
      <c r="B3772" s="6" t="n">
        <v>46003</v>
      </c>
      <c r="C3772" t="n">
        <v>17700</v>
      </c>
      <c r="D3772" t="inlineStr">
        <is>
          <t>Indore</t>
        </is>
      </c>
      <c r="E3772" t="inlineStr">
        <is>
          <t>West</t>
        </is>
      </c>
      <c r="F3772" t="inlineStr">
        <is>
          <t>Affiliate</t>
        </is>
      </c>
      <c r="G3772" t="inlineStr">
        <is>
          <t>Mobile App</t>
        </is>
      </c>
      <c r="H3772" t="inlineStr">
        <is>
          <t>UPI</t>
        </is>
      </c>
      <c r="I3772" t="inlineStr">
        <is>
          <t>Delivered</t>
        </is>
      </c>
      <c r="J3772" t="n">
        <v>112</v>
      </c>
      <c r="K3772" t="n">
        <v>1</v>
      </c>
      <c r="L3772" s="7" t="n">
        <v>1574</v>
      </c>
      <c r="M3772" s="7" t="n">
        <v>236.1</v>
      </c>
    </row>
    <row r="3773">
      <c r="A3773" t="n">
        <v>511428</v>
      </c>
      <c r="B3773" s="6" t="n">
        <v>46003</v>
      </c>
      <c r="C3773" t="n">
        <v>14422</v>
      </c>
      <c r="D3773" t="inlineStr">
        <is>
          <t>Delhi</t>
        </is>
      </c>
      <c r="E3773" t="inlineStr">
        <is>
          <t>North</t>
        </is>
      </c>
      <c r="F3773" t="inlineStr">
        <is>
          <t>Paid Social</t>
        </is>
      </c>
      <c r="G3773" t="inlineStr">
        <is>
          <t>Mobile App</t>
        </is>
      </c>
      <c r="H3773" t="inlineStr">
        <is>
          <t>Cash on Delivery</t>
        </is>
      </c>
      <c r="I3773" t="inlineStr">
        <is>
          <t>Delivered</t>
        </is>
      </c>
      <c r="J3773" t="n">
        <v>102</v>
      </c>
      <c r="K3773" t="n">
        <v>1</v>
      </c>
      <c r="L3773" s="7" t="n">
        <v>3674</v>
      </c>
      <c r="M3773" s="7" t="n">
        <v>0</v>
      </c>
    </row>
    <row r="3774">
      <c r="A3774" t="n">
        <v>511429</v>
      </c>
      <c r="B3774" s="6" t="n">
        <v>46003</v>
      </c>
      <c r="C3774" t="n">
        <v>17709</v>
      </c>
      <c r="D3774" t="inlineStr">
        <is>
          <t>Hyderabad</t>
        </is>
      </c>
      <c r="E3774" t="inlineStr">
        <is>
          <t>South</t>
        </is>
      </c>
      <c r="F3774" t="inlineStr">
        <is>
          <t>Paid Search</t>
        </is>
      </c>
      <c r="G3774" t="inlineStr">
        <is>
          <t>Mobile App</t>
        </is>
      </c>
      <c r="H3774" t="inlineStr">
        <is>
          <t>Debit Card</t>
        </is>
      </c>
      <c r="I3774" t="inlineStr">
        <is>
          <t>Delivered</t>
        </is>
      </c>
      <c r="J3774" t="n">
        <v>147</v>
      </c>
      <c r="K3774" t="n">
        <v>1</v>
      </c>
      <c r="L3774" s="7" t="n">
        <v>1364</v>
      </c>
      <c r="M3774" s="7" t="n">
        <v>204.6</v>
      </c>
    </row>
    <row r="3775">
      <c r="A3775" t="n">
        <v>511430</v>
      </c>
      <c r="B3775" s="6" t="n">
        <v>46003</v>
      </c>
      <c r="C3775" t="n">
        <v>17710</v>
      </c>
      <c r="D3775" t="inlineStr">
        <is>
          <t>Indore</t>
        </is>
      </c>
      <c r="E3775" t="inlineStr">
        <is>
          <t>West</t>
        </is>
      </c>
      <c r="F3775" t="inlineStr">
        <is>
          <t>Organic Search</t>
        </is>
      </c>
      <c r="G3775" t="inlineStr">
        <is>
          <t>Mobile App</t>
        </is>
      </c>
      <c r="H3775" t="inlineStr">
        <is>
          <t>UPI</t>
        </is>
      </c>
      <c r="I3775" t="inlineStr">
        <is>
          <t>Delivered</t>
        </is>
      </c>
      <c r="J3775" t="n">
        <v>101</v>
      </c>
      <c r="K3775" t="n">
        <v>2</v>
      </c>
      <c r="L3775" s="7" t="n">
        <v>2099</v>
      </c>
      <c r="M3775" s="7" t="n">
        <v>0</v>
      </c>
    </row>
    <row r="3776">
      <c r="A3776" t="n">
        <v>511430</v>
      </c>
      <c r="B3776" s="6" t="n">
        <v>46003</v>
      </c>
      <c r="C3776" t="n">
        <v>17710</v>
      </c>
      <c r="D3776" t="inlineStr">
        <is>
          <t>Indore</t>
        </is>
      </c>
      <c r="E3776" t="inlineStr">
        <is>
          <t>West</t>
        </is>
      </c>
      <c r="F3776" t="inlineStr">
        <is>
          <t>Organic Search</t>
        </is>
      </c>
      <c r="G3776" t="inlineStr">
        <is>
          <t>Mobile App</t>
        </is>
      </c>
      <c r="H3776" t="inlineStr">
        <is>
          <t>UPI</t>
        </is>
      </c>
      <c r="I3776" t="inlineStr">
        <is>
          <t>Delivered</t>
        </is>
      </c>
      <c r="J3776" t="n">
        <v>122</v>
      </c>
      <c r="K3776" t="n">
        <v>2</v>
      </c>
      <c r="L3776" s="7" t="n">
        <v>1994</v>
      </c>
      <c r="M3776" s="7" t="n">
        <v>0</v>
      </c>
    </row>
    <row r="3777">
      <c r="A3777" t="n">
        <v>511431</v>
      </c>
      <c r="B3777" s="6" t="n">
        <v>46003</v>
      </c>
      <c r="C3777" t="n">
        <v>17732</v>
      </c>
      <c r="D3777" t="inlineStr">
        <is>
          <t>Delhi</t>
        </is>
      </c>
      <c r="E3777" t="inlineStr">
        <is>
          <t>North</t>
        </is>
      </c>
      <c r="F3777" t="inlineStr">
        <is>
          <t>Email</t>
        </is>
      </c>
      <c r="G3777" t="inlineStr">
        <is>
          <t>Mobile App</t>
        </is>
      </c>
      <c r="H3777" t="inlineStr">
        <is>
          <t>UPI</t>
        </is>
      </c>
      <c r="I3777" t="inlineStr">
        <is>
          <t>Delivered</t>
        </is>
      </c>
      <c r="J3777" t="n">
        <v>126</v>
      </c>
      <c r="K3777" t="n">
        <v>2</v>
      </c>
      <c r="L3777" s="7" t="n">
        <v>471</v>
      </c>
      <c r="M3777" s="7" t="n">
        <v>0</v>
      </c>
    </row>
    <row r="3778">
      <c r="A3778" t="n">
        <v>511431</v>
      </c>
      <c r="B3778" s="6" t="n">
        <v>46003</v>
      </c>
      <c r="C3778" t="n">
        <v>17732</v>
      </c>
      <c r="D3778" t="inlineStr">
        <is>
          <t>Delhi</t>
        </is>
      </c>
      <c r="E3778" t="inlineStr">
        <is>
          <t>North</t>
        </is>
      </c>
      <c r="F3778" t="inlineStr">
        <is>
          <t>Email</t>
        </is>
      </c>
      <c r="G3778" t="inlineStr">
        <is>
          <t>Mobile App</t>
        </is>
      </c>
      <c r="H3778" t="inlineStr">
        <is>
          <t>UPI</t>
        </is>
      </c>
      <c r="I3778" t="inlineStr">
        <is>
          <t>Delivered</t>
        </is>
      </c>
      <c r="J3778" t="n">
        <v>112</v>
      </c>
      <c r="K3778" t="n">
        <v>1</v>
      </c>
      <c r="L3778" s="7" t="n">
        <v>1574</v>
      </c>
      <c r="M3778" s="7" t="n">
        <v>0</v>
      </c>
    </row>
    <row r="3779">
      <c r="A3779" t="n">
        <v>511432</v>
      </c>
      <c r="B3779" s="6" t="n">
        <v>46003</v>
      </c>
      <c r="C3779" t="n">
        <v>17689</v>
      </c>
      <c r="D3779" t="inlineStr">
        <is>
          <t>Pune</t>
        </is>
      </c>
      <c r="E3779" t="inlineStr">
        <is>
          <t>West</t>
        </is>
      </c>
      <c r="F3779" t="inlineStr">
        <is>
          <t>Organic Search</t>
        </is>
      </c>
      <c r="G3779" t="inlineStr">
        <is>
          <t>Mobile App</t>
        </is>
      </c>
      <c r="H3779" t="inlineStr">
        <is>
          <t>Cash on Delivery</t>
        </is>
      </c>
      <c r="I3779" t="inlineStr">
        <is>
          <t>Delivered</t>
        </is>
      </c>
      <c r="J3779" t="n">
        <v>101</v>
      </c>
      <c r="K3779" t="n">
        <v>1</v>
      </c>
      <c r="L3779" s="7" t="n">
        <v>2099</v>
      </c>
      <c r="M3779" s="7" t="n">
        <v>314.85</v>
      </c>
    </row>
    <row r="3780">
      <c r="A3780" t="n">
        <v>511433</v>
      </c>
      <c r="B3780" s="6" t="n">
        <v>46004</v>
      </c>
      <c r="C3780" t="n">
        <v>17177</v>
      </c>
      <c r="D3780" t="inlineStr">
        <is>
          <t>Delhi</t>
        </is>
      </c>
      <c r="E3780" t="inlineStr">
        <is>
          <t>North</t>
        </is>
      </c>
      <c r="F3780" t="inlineStr">
        <is>
          <t>Paid Search</t>
        </is>
      </c>
      <c r="G3780" t="inlineStr">
        <is>
          <t>Mobile App</t>
        </is>
      </c>
      <c r="H3780" t="inlineStr">
        <is>
          <t>UPI</t>
        </is>
      </c>
      <c r="I3780" t="inlineStr">
        <is>
          <t>Delivered</t>
        </is>
      </c>
      <c r="J3780" t="n">
        <v>145</v>
      </c>
      <c r="K3780" t="n">
        <v>2</v>
      </c>
      <c r="L3780" s="7" t="n">
        <v>629</v>
      </c>
      <c r="M3780" s="7" t="n">
        <v>62.9</v>
      </c>
    </row>
    <row r="3781">
      <c r="A3781" t="n">
        <v>511433</v>
      </c>
      <c r="B3781" s="6" t="n">
        <v>46004</v>
      </c>
      <c r="C3781" t="n">
        <v>17177</v>
      </c>
      <c r="D3781" t="inlineStr">
        <is>
          <t>Delhi</t>
        </is>
      </c>
      <c r="E3781" t="inlineStr">
        <is>
          <t>North</t>
        </is>
      </c>
      <c r="F3781" t="inlineStr">
        <is>
          <t>Paid Search</t>
        </is>
      </c>
      <c r="G3781" t="inlineStr">
        <is>
          <t>Mobile App</t>
        </is>
      </c>
      <c r="H3781" t="inlineStr">
        <is>
          <t>UPI</t>
        </is>
      </c>
      <c r="I3781" t="inlineStr">
        <is>
          <t>Delivered</t>
        </is>
      </c>
      <c r="J3781" t="n">
        <v>115</v>
      </c>
      <c r="K3781" t="n">
        <v>2</v>
      </c>
      <c r="L3781" s="7" t="n">
        <v>4199</v>
      </c>
      <c r="M3781" s="7" t="n">
        <v>419.9</v>
      </c>
    </row>
    <row r="3782">
      <c r="A3782" t="n">
        <v>511433</v>
      </c>
      <c r="B3782" s="6" t="n">
        <v>46004</v>
      </c>
      <c r="C3782" t="n">
        <v>17177</v>
      </c>
      <c r="D3782" t="inlineStr">
        <is>
          <t>Delhi</t>
        </is>
      </c>
      <c r="E3782" t="inlineStr">
        <is>
          <t>North</t>
        </is>
      </c>
      <c r="F3782" t="inlineStr">
        <is>
          <t>Paid Search</t>
        </is>
      </c>
      <c r="G3782" t="inlineStr">
        <is>
          <t>Mobile App</t>
        </is>
      </c>
      <c r="H3782" t="inlineStr">
        <is>
          <t>UPI</t>
        </is>
      </c>
      <c r="I3782" t="inlineStr">
        <is>
          <t>Delivered</t>
        </is>
      </c>
      <c r="J3782" t="n">
        <v>105</v>
      </c>
      <c r="K3782" t="n">
        <v>2</v>
      </c>
      <c r="L3782" s="7" t="n">
        <v>2414</v>
      </c>
      <c r="M3782" s="7" t="n">
        <v>241.4</v>
      </c>
    </row>
    <row r="3783">
      <c r="A3783" t="n">
        <v>511433</v>
      </c>
      <c r="B3783" s="6" t="n">
        <v>46004</v>
      </c>
      <c r="C3783" t="n">
        <v>17177</v>
      </c>
      <c r="D3783" t="inlineStr">
        <is>
          <t>Delhi</t>
        </is>
      </c>
      <c r="E3783" t="inlineStr">
        <is>
          <t>North</t>
        </is>
      </c>
      <c r="F3783" t="inlineStr">
        <is>
          <t>Paid Search</t>
        </is>
      </c>
      <c r="G3783" t="inlineStr">
        <is>
          <t>Mobile App</t>
        </is>
      </c>
      <c r="H3783" t="inlineStr">
        <is>
          <t>UPI</t>
        </is>
      </c>
      <c r="I3783" t="inlineStr">
        <is>
          <t>Delivered</t>
        </is>
      </c>
      <c r="J3783" t="n">
        <v>114</v>
      </c>
      <c r="K3783" t="n">
        <v>1</v>
      </c>
      <c r="L3783" s="7" t="n">
        <v>1259</v>
      </c>
      <c r="M3783" s="7" t="n">
        <v>62.95</v>
      </c>
    </row>
    <row r="3784">
      <c r="A3784" t="n">
        <v>511434</v>
      </c>
      <c r="B3784" s="6" t="n">
        <v>46004</v>
      </c>
      <c r="C3784" t="n">
        <v>17758</v>
      </c>
      <c r="D3784" t="inlineStr">
        <is>
          <t>Mumbai</t>
        </is>
      </c>
      <c r="E3784" t="inlineStr">
        <is>
          <t>West</t>
        </is>
      </c>
      <c r="F3784" t="inlineStr">
        <is>
          <t>Organic Search</t>
        </is>
      </c>
      <c r="G3784" t="inlineStr">
        <is>
          <t>Mobile Web</t>
        </is>
      </c>
      <c r="H3784" t="inlineStr">
        <is>
          <t>UPI</t>
        </is>
      </c>
      <c r="I3784" t="inlineStr">
        <is>
          <t>Returned</t>
        </is>
      </c>
      <c r="J3784" t="n">
        <v>117</v>
      </c>
      <c r="K3784" t="n">
        <v>1</v>
      </c>
      <c r="L3784" s="7" t="n">
        <v>3149</v>
      </c>
      <c r="M3784" s="7" t="n">
        <v>472.35</v>
      </c>
    </row>
    <row r="3785">
      <c r="A3785" t="n">
        <v>511434</v>
      </c>
      <c r="B3785" s="6" t="n">
        <v>46004</v>
      </c>
      <c r="C3785" t="n">
        <v>17758</v>
      </c>
      <c r="D3785" t="inlineStr">
        <is>
          <t>Mumbai</t>
        </is>
      </c>
      <c r="E3785" t="inlineStr">
        <is>
          <t>West</t>
        </is>
      </c>
      <c r="F3785" t="inlineStr">
        <is>
          <t>Organic Search</t>
        </is>
      </c>
      <c r="G3785" t="inlineStr">
        <is>
          <t>Mobile Web</t>
        </is>
      </c>
      <c r="H3785" t="inlineStr">
        <is>
          <t>UPI</t>
        </is>
      </c>
      <c r="I3785" t="inlineStr">
        <is>
          <t>Returned</t>
        </is>
      </c>
      <c r="J3785" t="n">
        <v>115</v>
      </c>
      <c r="K3785" t="n">
        <v>1</v>
      </c>
      <c r="L3785" s="7" t="n">
        <v>4199</v>
      </c>
      <c r="M3785" s="7" t="n">
        <v>629.85</v>
      </c>
    </row>
    <row r="3786">
      <c r="A3786" t="n">
        <v>511435</v>
      </c>
      <c r="B3786" s="6" t="n">
        <v>46004</v>
      </c>
      <c r="C3786" t="n">
        <v>17737</v>
      </c>
      <c r="D3786" t="inlineStr">
        <is>
          <t>Mumbai</t>
        </is>
      </c>
      <c r="E3786" t="inlineStr">
        <is>
          <t>West</t>
        </is>
      </c>
      <c r="F3786" t="inlineStr">
        <is>
          <t>Organic Search</t>
        </is>
      </c>
      <c r="G3786" t="inlineStr">
        <is>
          <t>Mobile Web</t>
        </is>
      </c>
      <c r="H3786" t="inlineStr">
        <is>
          <t>UPI</t>
        </is>
      </c>
      <c r="I3786" t="inlineStr">
        <is>
          <t>Delivered</t>
        </is>
      </c>
      <c r="J3786" t="n">
        <v>109</v>
      </c>
      <c r="K3786" t="n">
        <v>1</v>
      </c>
      <c r="L3786" s="7" t="n">
        <v>4199</v>
      </c>
      <c r="M3786" s="7" t="n">
        <v>209.95</v>
      </c>
    </row>
    <row r="3787">
      <c r="A3787" t="n">
        <v>511436</v>
      </c>
      <c r="B3787" s="6" t="n">
        <v>46004</v>
      </c>
      <c r="C3787" t="n">
        <v>14300</v>
      </c>
      <c r="D3787" t="inlineStr">
        <is>
          <t>Mumbai</t>
        </is>
      </c>
      <c r="E3787" t="inlineStr">
        <is>
          <t>West</t>
        </is>
      </c>
      <c r="F3787" t="inlineStr">
        <is>
          <t>Organic Search</t>
        </is>
      </c>
      <c r="G3787" t="inlineStr">
        <is>
          <t>Mobile App</t>
        </is>
      </c>
      <c r="H3787" t="inlineStr">
        <is>
          <t>Net Banking</t>
        </is>
      </c>
      <c r="I3787" t="inlineStr">
        <is>
          <t>Delivered</t>
        </is>
      </c>
      <c r="J3787" t="n">
        <v>122</v>
      </c>
      <c r="K3787" t="n">
        <v>1</v>
      </c>
      <c r="L3787" s="7" t="n">
        <v>1994</v>
      </c>
      <c r="M3787" s="7" t="n">
        <v>0</v>
      </c>
    </row>
    <row r="3788">
      <c r="A3788" t="n">
        <v>511437</v>
      </c>
      <c r="B3788" s="6" t="n">
        <v>46004</v>
      </c>
      <c r="C3788" t="n">
        <v>17688</v>
      </c>
      <c r="D3788" t="inlineStr">
        <is>
          <t>Pune</t>
        </is>
      </c>
      <c r="E3788" t="inlineStr">
        <is>
          <t>West</t>
        </is>
      </c>
      <c r="F3788" t="inlineStr">
        <is>
          <t>Organic Search</t>
        </is>
      </c>
      <c r="G3788" t="inlineStr">
        <is>
          <t>Mobile Web</t>
        </is>
      </c>
      <c r="H3788" t="inlineStr">
        <is>
          <t>Debit Card</t>
        </is>
      </c>
      <c r="I3788" t="inlineStr">
        <is>
          <t>Delivered</t>
        </is>
      </c>
      <c r="J3788" t="n">
        <v>136</v>
      </c>
      <c r="K3788" t="n">
        <v>1</v>
      </c>
      <c r="L3788" s="7" t="n">
        <v>944</v>
      </c>
      <c r="M3788" s="7" t="n">
        <v>0</v>
      </c>
    </row>
    <row r="3789">
      <c r="A3789" t="n">
        <v>511437</v>
      </c>
      <c r="B3789" s="6" t="n">
        <v>46004</v>
      </c>
      <c r="C3789" t="n">
        <v>17688</v>
      </c>
      <c r="D3789" t="inlineStr">
        <is>
          <t>Pune</t>
        </is>
      </c>
      <c r="E3789" t="inlineStr">
        <is>
          <t>West</t>
        </is>
      </c>
      <c r="F3789" t="inlineStr">
        <is>
          <t>Organic Search</t>
        </is>
      </c>
      <c r="G3789" t="inlineStr">
        <is>
          <t>Mobile Web</t>
        </is>
      </c>
      <c r="H3789" t="inlineStr">
        <is>
          <t>Debit Card</t>
        </is>
      </c>
      <c r="I3789" t="inlineStr">
        <is>
          <t>Delivered</t>
        </is>
      </c>
      <c r="J3789" t="n">
        <v>107</v>
      </c>
      <c r="K3789" t="n">
        <v>1</v>
      </c>
      <c r="L3789" s="7" t="n">
        <v>1259</v>
      </c>
      <c r="M3789" s="7" t="n">
        <v>0</v>
      </c>
    </row>
    <row r="3790">
      <c r="A3790" t="n">
        <v>511438</v>
      </c>
      <c r="B3790" s="6" t="n">
        <v>46004</v>
      </c>
      <c r="C3790" t="n">
        <v>16994</v>
      </c>
      <c r="D3790" t="inlineStr">
        <is>
          <t>Bengaluru</t>
        </is>
      </c>
      <c r="E3790" t="inlineStr">
        <is>
          <t>South</t>
        </is>
      </c>
      <c r="F3790" t="inlineStr">
        <is>
          <t>Paid Search</t>
        </is>
      </c>
      <c r="G3790" t="inlineStr">
        <is>
          <t>Desktop</t>
        </is>
      </c>
      <c r="H3790" t="inlineStr">
        <is>
          <t>UPI</t>
        </is>
      </c>
      <c r="I3790" t="inlineStr">
        <is>
          <t>Delivered</t>
        </is>
      </c>
      <c r="J3790" t="n">
        <v>139</v>
      </c>
      <c r="K3790" t="n">
        <v>1</v>
      </c>
      <c r="L3790" s="7" t="n">
        <v>366</v>
      </c>
      <c r="M3790" s="7" t="n">
        <v>0</v>
      </c>
    </row>
    <row r="3791">
      <c r="A3791" t="n">
        <v>511438</v>
      </c>
      <c r="B3791" s="6" t="n">
        <v>46004</v>
      </c>
      <c r="C3791" t="n">
        <v>16994</v>
      </c>
      <c r="D3791" t="inlineStr">
        <is>
          <t>Bengaluru</t>
        </is>
      </c>
      <c r="E3791" t="inlineStr">
        <is>
          <t>South</t>
        </is>
      </c>
      <c r="F3791" t="inlineStr">
        <is>
          <t>Paid Search</t>
        </is>
      </c>
      <c r="G3791" t="inlineStr">
        <is>
          <t>Desktop</t>
        </is>
      </c>
      <c r="H3791" t="inlineStr">
        <is>
          <t>UPI</t>
        </is>
      </c>
      <c r="I3791" t="inlineStr">
        <is>
          <t>Delivered</t>
        </is>
      </c>
      <c r="J3791" t="n">
        <v>127</v>
      </c>
      <c r="K3791" t="n">
        <v>1</v>
      </c>
      <c r="L3791" s="7" t="n">
        <v>681</v>
      </c>
      <c r="M3791" s="7" t="n">
        <v>0</v>
      </c>
    </row>
    <row r="3792">
      <c r="A3792" t="n">
        <v>511438</v>
      </c>
      <c r="B3792" s="6" t="n">
        <v>46004</v>
      </c>
      <c r="C3792" t="n">
        <v>16994</v>
      </c>
      <c r="D3792" t="inlineStr">
        <is>
          <t>Bengaluru</t>
        </is>
      </c>
      <c r="E3792" t="inlineStr">
        <is>
          <t>South</t>
        </is>
      </c>
      <c r="F3792" t="inlineStr">
        <is>
          <t>Paid Search</t>
        </is>
      </c>
      <c r="G3792" t="inlineStr">
        <is>
          <t>Desktop</t>
        </is>
      </c>
      <c r="H3792" t="inlineStr">
        <is>
          <t>UPI</t>
        </is>
      </c>
      <c r="I3792" t="inlineStr">
        <is>
          <t>Delivered</t>
        </is>
      </c>
      <c r="J3792" t="n">
        <v>117</v>
      </c>
      <c r="K3792" t="n">
        <v>1</v>
      </c>
      <c r="L3792" s="7" t="n">
        <v>3149</v>
      </c>
      <c r="M3792" s="7" t="n">
        <v>0</v>
      </c>
    </row>
    <row r="3793">
      <c r="A3793" t="n">
        <v>511438</v>
      </c>
      <c r="B3793" s="6" t="n">
        <v>46004</v>
      </c>
      <c r="C3793" t="n">
        <v>16994</v>
      </c>
      <c r="D3793" t="inlineStr">
        <is>
          <t>Bengaluru</t>
        </is>
      </c>
      <c r="E3793" t="inlineStr">
        <is>
          <t>South</t>
        </is>
      </c>
      <c r="F3793" t="inlineStr">
        <is>
          <t>Paid Search</t>
        </is>
      </c>
      <c r="G3793" t="inlineStr">
        <is>
          <t>Desktop</t>
        </is>
      </c>
      <c r="H3793" t="inlineStr">
        <is>
          <t>UPI</t>
        </is>
      </c>
      <c r="I3793" t="inlineStr">
        <is>
          <t>Delivered</t>
        </is>
      </c>
      <c r="J3793" t="n">
        <v>124</v>
      </c>
      <c r="K3793" t="n">
        <v>1</v>
      </c>
      <c r="L3793" s="7" t="n">
        <v>1154</v>
      </c>
      <c r="M3793" s="7" t="n">
        <v>0</v>
      </c>
    </row>
    <row r="3794">
      <c r="A3794" t="n">
        <v>511439</v>
      </c>
      <c r="B3794" s="6" t="n">
        <v>46004</v>
      </c>
      <c r="C3794" t="n">
        <v>17664</v>
      </c>
      <c r="D3794" t="inlineStr">
        <is>
          <t>Bengaluru</t>
        </is>
      </c>
      <c r="E3794" t="inlineStr">
        <is>
          <t>South</t>
        </is>
      </c>
      <c r="F3794" t="inlineStr">
        <is>
          <t>Email</t>
        </is>
      </c>
      <c r="G3794" t="inlineStr">
        <is>
          <t>Mobile App</t>
        </is>
      </c>
      <c r="H3794" t="inlineStr">
        <is>
          <t>Debit Card</t>
        </is>
      </c>
      <c r="I3794" t="inlineStr">
        <is>
          <t>Delivered</t>
        </is>
      </c>
      <c r="J3794" t="n">
        <v>134</v>
      </c>
      <c r="K3794" t="n">
        <v>1</v>
      </c>
      <c r="L3794" s="7" t="n">
        <v>209</v>
      </c>
      <c r="M3794" s="7" t="n">
        <v>0</v>
      </c>
    </row>
    <row r="3795">
      <c r="A3795" t="n">
        <v>511440</v>
      </c>
      <c r="B3795" s="6" t="n">
        <v>46004</v>
      </c>
      <c r="C3795" t="n">
        <v>17621</v>
      </c>
      <c r="D3795" t="inlineStr">
        <is>
          <t>Jaipur</t>
        </is>
      </c>
      <c r="E3795" t="inlineStr">
        <is>
          <t>North</t>
        </is>
      </c>
      <c r="F3795" t="inlineStr">
        <is>
          <t>Organic Search</t>
        </is>
      </c>
      <c r="G3795" t="inlineStr">
        <is>
          <t>Mobile Web</t>
        </is>
      </c>
      <c r="H3795" t="inlineStr">
        <is>
          <t>Credit Card</t>
        </is>
      </c>
      <c r="I3795" t="inlineStr">
        <is>
          <t>Delivered</t>
        </is>
      </c>
      <c r="J3795" t="n">
        <v>135</v>
      </c>
      <c r="K3795" t="n">
        <v>1</v>
      </c>
      <c r="L3795" s="7" t="n">
        <v>1574</v>
      </c>
      <c r="M3795" s="7" t="n">
        <v>0</v>
      </c>
    </row>
    <row r="3796">
      <c r="A3796" t="n">
        <v>511440</v>
      </c>
      <c r="B3796" s="6" t="n">
        <v>46004</v>
      </c>
      <c r="C3796" t="n">
        <v>17621</v>
      </c>
      <c r="D3796" t="inlineStr">
        <is>
          <t>Jaipur</t>
        </is>
      </c>
      <c r="E3796" t="inlineStr">
        <is>
          <t>North</t>
        </is>
      </c>
      <c r="F3796" t="inlineStr">
        <is>
          <t>Organic Search</t>
        </is>
      </c>
      <c r="G3796" t="inlineStr">
        <is>
          <t>Mobile Web</t>
        </is>
      </c>
      <c r="H3796" t="inlineStr">
        <is>
          <t>Credit Card</t>
        </is>
      </c>
      <c r="I3796" t="inlineStr">
        <is>
          <t>Delivered</t>
        </is>
      </c>
      <c r="J3796" t="n">
        <v>132</v>
      </c>
      <c r="K3796" t="n">
        <v>1</v>
      </c>
      <c r="L3796" s="7" t="n">
        <v>471</v>
      </c>
      <c r="M3796" s="7" t="n">
        <v>0</v>
      </c>
    </row>
    <row r="3797">
      <c r="A3797" t="n">
        <v>511440</v>
      </c>
      <c r="B3797" s="6" t="n">
        <v>46004</v>
      </c>
      <c r="C3797" t="n">
        <v>17621</v>
      </c>
      <c r="D3797" t="inlineStr">
        <is>
          <t>Jaipur</t>
        </is>
      </c>
      <c r="E3797" t="inlineStr">
        <is>
          <t>North</t>
        </is>
      </c>
      <c r="F3797" t="inlineStr">
        <is>
          <t>Organic Search</t>
        </is>
      </c>
      <c r="G3797" t="inlineStr">
        <is>
          <t>Mobile Web</t>
        </is>
      </c>
      <c r="H3797" t="inlineStr">
        <is>
          <t>Credit Card</t>
        </is>
      </c>
      <c r="I3797" t="inlineStr">
        <is>
          <t>Delivered</t>
        </is>
      </c>
      <c r="J3797" t="n">
        <v>131</v>
      </c>
      <c r="K3797" t="n">
        <v>1</v>
      </c>
      <c r="L3797" s="7" t="n">
        <v>314</v>
      </c>
      <c r="M3797" s="7" t="n">
        <v>0</v>
      </c>
    </row>
    <row r="3798">
      <c r="A3798" t="n">
        <v>511441</v>
      </c>
      <c r="B3798" s="6" t="n">
        <v>46004</v>
      </c>
      <c r="C3798" t="n">
        <v>15847</v>
      </c>
      <c r="D3798" t="inlineStr">
        <is>
          <t>Hyderabad</t>
        </is>
      </c>
      <c r="E3798" t="inlineStr">
        <is>
          <t>South</t>
        </is>
      </c>
      <c r="F3798" t="inlineStr">
        <is>
          <t>Affiliate</t>
        </is>
      </c>
      <c r="G3798" t="inlineStr">
        <is>
          <t>Mobile Web</t>
        </is>
      </c>
      <c r="H3798" t="inlineStr">
        <is>
          <t>Debit Card</t>
        </is>
      </c>
      <c r="I3798" t="inlineStr">
        <is>
          <t>Delivered</t>
        </is>
      </c>
      <c r="J3798" t="n">
        <v>125</v>
      </c>
      <c r="K3798" t="n">
        <v>1</v>
      </c>
      <c r="L3798" s="7" t="n">
        <v>1364</v>
      </c>
      <c r="M3798" s="7" t="n">
        <v>0</v>
      </c>
    </row>
    <row r="3799">
      <c r="A3799" t="n">
        <v>511442</v>
      </c>
      <c r="B3799" s="6" t="n">
        <v>46004</v>
      </c>
      <c r="C3799" t="n">
        <v>17029</v>
      </c>
      <c r="D3799" t="inlineStr">
        <is>
          <t>Chennai</t>
        </is>
      </c>
      <c r="E3799" t="inlineStr">
        <is>
          <t>South</t>
        </is>
      </c>
      <c r="F3799" t="inlineStr">
        <is>
          <t>Paid Search</t>
        </is>
      </c>
      <c r="G3799" t="inlineStr">
        <is>
          <t>Mobile Web</t>
        </is>
      </c>
      <c r="H3799" t="inlineStr">
        <is>
          <t>UPI</t>
        </is>
      </c>
      <c r="I3799" t="inlineStr">
        <is>
          <t>Delivered</t>
        </is>
      </c>
      <c r="J3799" t="n">
        <v>127</v>
      </c>
      <c r="K3799" t="n">
        <v>1</v>
      </c>
      <c r="L3799" s="7" t="n">
        <v>681</v>
      </c>
      <c r="M3799" s="7" t="n">
        <v>0</v>
      </c>
    </row>
    <row r="3800">
      <c r="A3800" t="n">
        <v>511442</v>
      </c>
      <c r="B3800" s="6" t="n">
        <v>46004</v>
      </c>
      <c r="C3800" t="n">
        <v>17029</v>
      </c>
      <c r="D3800" t="inlineStr">
        <is>
          <t>Chennai</t>
        </is>
      </c>
      <c r="E3800" t="inlineStr">
        <is>
          <t>South</t>
        </is>
      </c>
      <c r="F3800" t="inlineStr">
        <is>
          <t>Paid Search</t>
        </is>
      </c>
      <c r="G3800" t="inlineStr">
        <is>
          <t>Mobile Web</t>
        </is>
      </c>
      <c r="H3800" t="inlineStr">
        <is>
          <t>UPI</t>
        </is>
      </c>
      <c r="I3800" t="inlineStr">
        <is>
          <t>Delivered</t>
        </is>
      </c>
      <c r="J3800" t="n">
        <v>109</v>
      </c>
      <c r="K3800" t="n">
        <v>1</v>
      </c>
      <c r="L3800" s="7" t="n">
        <v>4199</v>
      </c>
      <c r="M3800" s="7" t="n">
        <v>0</v>
      </c>
    </row>
    <row r="3801">
      <c r="A3801" t="n">
        <v>511442</v>
      </c>
      <c r="B3801" s="6" t="n">
        <v>46004</v>
      </c>
      <c r="C3801" t="n">
        <v>17029</v>
      </c>
      <c r="D3801" t="inlineStr">
        <is>
          <t>Chennai</t>
        </is>
      </c>
      <c r="E3801" t="inlineStr">
        <is>
          <t>South</t>
        </is>
      </c>
      <c r="F3801" t="inlineStr">
        <is>
          <t>Paid Search</t>
        </is>
      </c>
      <c r="G3801" t="inlineStr">
        <is>
          <t>Mobile Web</t>
        </is>
      </c>
      <c r="H3801" t="inlineStr">
        <is>
          <t>UPI</t>
        </is>
      </c>
      <c r="I3801" t="inlineStr">
        <is>
          <t>Delivered</t>
        </is>
      </c>
      <c r="J3801" t="n">
        <v>111</v>
      </c>
      <c r="K3801" t="n">
        <v>1</v>
      </c>
      <c r="L3801" s="7" t="n">
        <v>524</v>
      </c>
      <c r="M3801" s="7" t="n">
        <v>0</v>
      </c>
    </row>
    <row r="3802">
      <c r="A3802" t="n">
        <v>511443</v>
      </c>
      <c r="B3802" s="6" t="n">
        <v>46004</v>
      </c>
      <c r="C3802" t="n">
        <v>17727</v>
      </c>
      <c r="D3802" t="inlineStr">
        <is>
          <t>Gurugram</t>
        </is>
      </c>
      <c r="E3802" t="inlineStr">
        <is>
          <t>North</t>
        </is>
      </c>
      <c r="F3802" t="inlineStr">
        <is>
          <t>Email</t>
        </is>
      </c>
      <c r="G3802" t="inlineStr">
        <is>
          <t>Mobile App</t>
        </is>
      </c>
      <c r="H3802" t="inlineStr">
        <is>
          <t>Credit Card</t>
        </is>
      </c>
      <c r="I3802" t="inlineStr">
        <is>
          <t>Delivered</t>
        </is>
      </c>
      <c r="J3802" t="n">
        <v>128</v>
      </c>
      <c r="K3802" t="n">
        <v>1</v>
      </c>
      <c r="L3802" s="7" t="n">
        <v>1049</v>
      </c>
      <c r="M3802" s="7" t="n">
        <v>0</v>
      </c>
    </row>
    <row r="3803">
      <c r="A3803" t="n">
        <v>511444</v>
      </c>
      <c r="B3803" s="6" t="n">
        <v>46004</v>
      </c>
      <c r="C3803" t="n">
        <v>17735</v>
      </c>
      <c r="D3803" t="inlineStr">
        <is>
          <t>Gurugram</t>
        </is>
      </c>
      <c r="E3803" t="inlineStr">
        <is>
          <t>North</t>
        </is>
      </c>
      <c r="F3803" t="inlineStr">
        <is>
          <t>Organic Search</t>
        </is>
      </c>
      <c r="G3803" t="inlineStr">
        <is>
          <t>Mobile App</t>
        </is>
      </c>
      <c r="H3803" t="inlineStr">
        <is>
          <t>UPI</t>
        </is>
      </c>
      <c r="I3803" t="inlineStr">
        <is>
          <t>Delivered</t>
        </is>
      </c>
      <c r="J3803" t="n">
        <v>136</v>
      </c>
      <c r="K3803" t="n">
        <v>1</v>
      </c>
      <c r="L3803" s="7" t="n">
        <v>944</v>
      </c>
      <c r="M3803" s="7" t="n">
        <v>141.6</v>
      </c>
    </row>
    <row r="3804">
      <c r="A3804" t="n">
        <v>511445</v>
      </c>
      <c r="B3804" s="6" t="n">
        <v>46004</v>
      </c>
      <c r="C3804" t="n">
        <v>17618</v>
      </c>
      <c r="D3804" t="inlineStr">
        <is>
          <t>Kochi</t>
        </is>
      </c>
      <c r="E3804" t="inlineStr">
        <is>
          <t>South</t>
        </is>
      </c>
      <c r="F3804" t="inlineStr">
        <is>
          <t>Paid Search</t>
        </is>
      </c>
      <c r="G3804" t="inlineStr">
        <is>
          <t>Desktop</t>
        </is>
      </c>
      <c r="H3804" t="inlineStr">
        <is>
          <t>UPI</t>
        </is>
      </c>
      <c r="I3804" t="inlineStr">
        <is>
          <t>Delivered</t>
        </is>
      </c>
      <c r="J3804" t="n">
        <v>135</v>
      </c>
      <c r="K3804" t="n">
        <v>1</v>
      </c>
      <c r="L3804" s="7" t="n">
        <v>1574</v>
      </c>
      <c r="M3804" s="7" t="n">
        <v>236.1</v>
      </c>
    </row>
    <row r="3805">
      <c r="A3805" t="n">
        <v>511446</v>
      </c>
      <c r="B3805" s="6" t="n">
        <v>46004</v>
      </c>
      <c r="C3805" t="n">
        <v>16773</v>
      </c>
      <c r="D3805" t="inlineStr">
        <is>
          <t>Bengaluru</t>
        </is>
      </c>
      <c r="E3805" t="inlineStr">
        <is>
          <t>South</t>
        </is>
      </c>
      <c r="F3805" t="inlineStr">
        <is>
          <t>Referral</t>
        </is>
      </c>
      <c r="G3805" t="inlineStr">
        <is>
          <t>Desktop</t>
        </is>
      </c>
      <c r="H3805" t="inlineStr">
        <is>
          <t>UPI</t>
        </is>
      </c>
      <c r="I3805" t="inlineStr">
        <is>
          <t>Delivered</t>
        </is>
      </c>
      <c r="J3805" t="n">
        <v>133</v>
      </c>
      <c r="K3805" t="n">
        <v>1</v>
      </c>
      <c r="L3805" s="7" t="n">
        <v>419</v>
      </c>
      <c r="M3805" s="7" t="n">
        <v>0</v>
      </c>
    </row>
    <row r="3806">
      <c r="A3806" t="n">
        <v>511446</v>
      </c>
      <c r="B3806" s="6" t="n">
        <v>46004</v>
      </c>
      <c r="C3806" t="n">
        <v>16773</v>
      </c>
      <c r="D3806" t="inlineStr">
        <is>
          <t>Bengaluru</t>
        </is>
      </c>
      <c r="E3806" t="inlineStr">
        <is>
          <t>South</t>
        </is>
      </c>
      <c r="F3806" t="inlineStr">
        <is>
          <t>Referral</t>
        </is>
      </c>
      <c r="G3806" t="inlineStr">
        <is>
          <t>Desktop</t>
        </is>
      </c>
      <c r="H3806" t="inlineStr">
        <is>
          <t>UPI</t>
        </is>
      </c>
      <c r="I3806" t="inlineStr">
        <is>
          <t>Delivered</t>
        </is>
      </c>
      <c r="J3806" t="n">
        <v>116</v>
      </c>
      <c r="K3806" t="n">
        <v>1</v>
      </c>
      <c r="L3806" s="7" t="n">
        <v>2624</v>
      </c>
      <c r="M3806" s="7" t="n">
        <v>0</v>
      </c>
    </row>
    <row r="3807">
      <c r="A3807" t="n">
        <v>511446</v>
      </c>
      <c r="B3807" s="6" t="n">
        <v>46004</v>
      </c>
      <c r="C3807" t="n">
        <v>16773</v>
      </c>
      <c r="D3807" t="inlineStr">
        <is>
          <t>Bengaluru</t>
        </is>
      </c>
      <c r="E3807" t="inlineStr">
        <is>
          <t>South</t>
        </is>
      </c>
      <c r="F3807" t="inlineStr">
        <is>
          <t>Referral</t>
        </is>
      </c>
      <c r="G3807" t="inlineStr">
        <is>
          <t>Desktop</t>
        </is>
      </c>
      <c r="H3807" t="inlineStr">
        <is>
          <t>UPI</t>
        </is>
      </c>
      <c r="I3807" t="inlineStr">
        <is>
          <t>Delivered</t>
        </is>
      </c>
      <c r="J3807" t="n">
        <v>148</v>
      </c>
      <c r="K3807" t="n">
        <v>1</v>
      </c>
      <c r="L3807" s="7" t="n">
        <v>734</v>
      </c>
      <c r="M3807" s="7" t="n">
        <v>0</v>
      </c>
    </row>
    <row r="3808">
      <c r="A3808" t="n">
        <v>511447</v>
      </c>
      <c r="B3808" s="6" t="n">
        <v>46004</v>
      </c>
      <c r="C3808" t="n">
        <v>17566</v>
      </c>
      <c r="D3808" t="inlineStr">
        <is>
          <t>Mumbai</t>
        </is>
      </c>
      <c r="E3808" t="inlineStr">
        <is>
          <t>West</t>
        </is>
      </c>
      <c r="F3808" t="inlineStr">
        <is>
          <t>Paid Search</t>
        </is>
      </c>
      <c r="G3808" t="inlineStr">
        <is>
          <t>Mobile App</t>
        </is>
      </c>
      <c r="H3808" t="inlineStr">
        <is>
          <t>Credit Card</t>
        </is>
      </c>
      <c r="I3808" t="inlineStr">
        <is>
          <t>Delivered</t>
        </is>
      </c>
      <c r="J3808" t="n">
        <v>129</v>
      </c>
      <c r="K3808" t="n">
        <v>1</v>
      </c>
      <c r="L3808" s="7" t="n">
        <v>576</v>
      </c>
      <c r="M3808" s="7" t="n">
        <v>0</v>
      </c>
    </row>
    <row r="3809">
      <c r="A3809" t="n">
        <v>511447</v>
      </c>
      <c r="B3809" s="6" t="n">
        <v>46004</v>
      </c>
      <c r="C3809" t="n">
        <v>17566</v>
      </c>
      <c r="D3809" t="inlineStr">
        <is>
          <t>Mumbai</t>
        </is>
      </c>
      <c r="E3809" t="inlineStr">
        <is>
          <t>West</t>
        </is>
      </c>
      <c r="F3809" t="inlineStr">
        <is>
          <t>Paid Search</t>
        </is>
      </c>
      <c r="G3809" t="inlineStr">
        <is>
          <t>Mobile App</t>
        </is>
      </c>
      <c r="H3809" t="inlineStr">
        <is>
          <t>Credit Card</t>
        </is>
      </c>
      <c r="I3809" t="inlineStr">
        <is>
          <t>Delivered</t>
        </is>
      </c>
      <c r="J3809" t="n">
        <v>107</v>
      </c>
      <c r="K3809" t="n">
        <v>1</v>
      </c>
      <c r="L3809" s="7" t="n">
        <v>1259</v>
      </c>
      <c r="M3809" s="7" t="n">
        <v>0</v>
      </c>
    </row>
    <row r="3810">
      <c r="A3810" t="n">
        <v>511447</v>
      </c>
      <c r="B3810" s="6" t="n">
        <v>46004</v>
      </c>
      <c r="C3810" t="n">
        <v>17566</v>
      </c>
      <c r="D3810" t="inlineStr">
        <is>
          <t>Mumbai</t>
        </is>
      </c>
      <c r="E3810" t="inlineStr">
        <is>
          <t>West</t>
        </is>
      </c>
      <c r="F3810" t="inlineStr">
        <is>
          <t>Paid Search</t>
        </is>
      </c>
      <c r="G3810" t="inlineStr">
        <is>
          <t>Mobile App</t>
        </is>
      </c>
      <c r="H3810" t="inlineStr">
        <is>
          <t>Credit Card</t>
        </is>
      </c>
      <c r="I3810" t="inlineStr">
        <is>
          <t>Delivered</t>
        </is>
      </c>
      <c r="J3810" t="n">
        <v>112</v>
      </c>
      <c r="K3810" t="n">
        <v>1</v>
      </c>
      <c r="L3810" s="7" t="n">
        <v>1574</v>
      </c>
      <c r="M3810" s="7" t="n">
        <v>0</v>
      </c>
    </row>
    <row r="3811">
      <c r="A3811" t="n">
        <v>511447</v>
      </c>
      <c r="B3811" s="6" t="n">
        <v>46004</v>
      </c>
      <c r="C3811" t="n">
        <v>17566</v>
      </c>
      <c r="D3811" t="inlineStr">
        <is>
          <t>Mumbai</t>
        </is>
      </c>
      <c r="E3811" t="inlineStr">
        <is>
          <t>West</t>
        </is>
      </c>
      <c r="F3811" t="inlineStr">
        <is>
          <t>Paid Search</t>
        </is>
      </c>
      <c r="G3811" t="inlineStr">
        <is>
          <t>Mobile App</t>
        </is>
      </c>
      <c r="H3811" t="inlineStr">
        <is>
          <t>Credit Card</t>
        </is>
      </c>
      <c r="I3811" t="inlineStr">
        <is>
          <t>Delivered</t>
        </is>
      </c>
      <c r="J3811" t="n">
        <v>146</v>
      </c>
      <c r="K3811" t="n">
        <v>1</v>
      </c>
      <c r="L3811" s="7" t="n">
        <v>4724</v>
      </c>
      <c r="M3811" s="7" t="n">
        <v>0</v>
      </c>
    </row>
    <row r="3812">
      <c r="A3812" t="n">
        <v>511448</v>
      </c>
      <c r="B3812" s="6" t="n">
        <v>46004</v>
      </c>
      <c r="C3812" t="n">
        <v>13041</v>
      </c>
      <c r="D3812" t="inlineStr">
        <is>
          <t>Kochi</t>
        </is>
      </c>
      <c r="E3812" t="inlineStr">
        <is>
          <t>South</t>
        </is>
      </c>
      <c r="F3812" t="inlineStr">
        <is>
          <t>Paid Social</t>
        </is>
      </c>
      <c r="G3812" t="inlineStr">
        <is>
          <t>Mobile Web</t>
        </is>
      </c>
      <c r="H3812" t="inlineStr">
        <is>
          <t>UPI</t>
        </is>
      </c>
      <c r="I3812" t="inlineStr">
        <is>
          <t>Delivered</t>
        </is>
      </c>
      <c r="J3812" t="n">
        <v>144</v>
      </c>
      <c r="K3812" t="n">
        <v>1</v>
      </c>
      <c r="L3812" s="7" t="n">
        <v>3149</v>
      </c>
      <c r="M3812" s="7" t="n">
        <v>0</v>
      </c>
    </row>
    <row r="3813">
      <c r="A3813" t="n">
        <v>511449</v>
      </c>
      <c r="B3813" s="6" t="n">
        <v>46004</v>
      </c>
      <c r="C3813" t="n">
        <v>16570</v>
      </c>
      <c r="D3813" t="inlineStr">
        <is>
          <t>Chennai</t>
        </is>
      </c>
      <c r="E3813" t="inlineStr">
        <is>
          <t>South</t>
        </is>
      </c>
      <c r="F3813" t="inlineStr">
        <is>
          <t>Organic Search</t>
        </is>
      </c>
      <c r="G3813" t="inlineStr">
        <is>
          <t>Mobile App</t>
        </is>
      </c>
      <c r="H3813" t="inlineStr">
        <is>
          <t>Credit Card</t>
        </is>
      </c>
      <c r="I3813" t="inlineStr">
        <is>
          <t>Delivered</t>
        </is>
      </c>
      <c r="J3813" t="n">
        <v>135</v>
      </c>
      <c r="K3813" t="n">
        <v>1</v>
      </c>
      <c r="L3813" s="7" t="n">
        <v>1574</v>
      </c>
      <c r="M3813" s="7" t="n">
        <v>0</v>
      </c>
    </row>
    <row r="3814">
      <c r="A3814" t="n">
        <v>511449</v>
      </c>
      <c r="B3814" s="6" t="n">
        <v>46004</v>
      </c>
      <c r="C3814" t="n">
        <v>16570</v>
      </c>
      <c r="D3814" t="inlineStr">
        <is>
          <t>Chennai</t>
        </is>
      </c>
      <c r="E3814" t="inlineStr">
        <is>
          <t>South</t>
        </is>
      </c>
      <c r="F3814" t="inlineStr">
        <is>
          <t>Organic Search</t>
        </is>
      </c>
      <c r="G3814" t="inlineStr">
        <is>
          <t>Mobile App</t>
        </is>
      </c>
      <c r="H3814" t="inlineStr">
        <is>
          <t>Credit Card</t>
        </is>
      </c>
      <c r="I3814" t="inlineStr">
        <is>
          <t>Delivered</t>
        </is>
      </c>
      <c r="J3814" t="n">
        <v>138</v>
      </c>
      <c r="K3814" t="n">
        <v>1</v>
      </c>
      <c r="L3814" s="7" t="n">
        <v>419</v>
      </c>
      <c r="M3814" s="7" t="n">
        <v>0</v>
      </c>
    </row>
    <row r="3815">
      <c r="A3815" t="n">
        <v>511449</v>
      </c>
      <c r="B3815" s="6" t="n">
        <v>46004</v>
      </c>
      <c r="C3815" t="n">
        <v>16570</v>
      </c>
      <c r="D3815" t="inlineStr">
        <is>
          <t>Chennai</t>
        </is>
      </c>
      <c r="E3815" t="inlineStr">
        <is>
          <t>South</t>
        </is>
      </c>
      <c r="F3815" t="inlineStr">
        <is>
          <t>Organic Search</t>
        </is>
      </c>
      <c r="G3815" t="inlineStr">
        <is>
          <t>Mobile App</t>
        </is>
      </c>
      <c r="H3815" t="inlineStr">
        <is>
          <t>Credit Card</t>
        </is>
      </c>
      <c r="I3815" t="inlineStr">
        <is>
          <t>Delivered</t>
        </is>
      </c>
      <c r="J3815" t="n">
        <v>104</v>
      </c>
      <c r="K3815" t="n">
        <v>2</v>
      </c>
      <c r="L3815" s="7" t="n">
        <v>5249</v>
      </c>
      <c r="M3815" s="7" t="n">
        <v>0</v>
      </c>
    </row>
    <row r="3816">
      <c r="A3816" t="n">
        <v>511449</v>
      </c>
      <c r="B3816" s="6" t="n">
        <v>46004</v>
      </c>
      <c r="C3816" t="n">
        <v>16570</v>
      </c>
      <c r="D3816" t="inlineStr">
        <is>
          <t>Chennai</t>
        </is>
      </c>
      <c r="E3816" t="inlineStr">
        <is>
          <t>South</t>
        </is>
      </c>
      <c r="F3816" t="inlineStr">
        <is>
          <t>Organic Search</t>
        </is>
      </c>
      <c r="G3816" t="inlineStr">
        <is>
          <t>Mobile App</t>
        </is>
      </c>
      <c r="H3816" t="inlineStr">
        <is>
          <t>Credit Card</t>
        </is>
      </c>
      <c r="I3816" t="inlineStr">
        <is>
          <t>Delivered</t>
        </is>
      </c>
      <c r="J3816" t="n">
        <v>102</v>
      </c>
      <c r="K3816" t="n">
        <v>2</v>
      </c>
      <c r="L3816" s="7" t="n">
        <v>3674</v>
      </c>
      <c r="M3816" s="7" t="n">
        <v>0</v>
      </c>
    </row>
    <row r="3817">
      <c r="A3817" t="n">
        <v>511450</v>
      </c>
      <c r="B3817" s="6" t="n">
        <v>46004</v>
      </c>
      <c r="C3817" t="n">
        <v>16531</v>
      </c>
      <c r="D3817" t="inlineStr">
        <is>
          <t>Gurugram</t>
        </is>
      </c>
      <c r="E3817" t="inlineStr">
        <is>
          <t>North</t>
        </is>
      </c>
      <c r="F3817" t="inlineStr">
        <is>
          <t>Organic Search</t>
        </is>
      </c>
      <c r="G3817" t="inlineStr">
        <is>
          <t>Desktop</t>
        </is>
      </c>
      <c r="H3817" t="inlineStr">
        <is>
          <t>UPI</t>
        </is>
      </c>
      <c r="I3817" t="inlineStr">
        <is>
          <t>Delivered</t>
        </is>
      </c>
      <c r="J3817" t="n">
        <v>127</v>
      </c>
      <c r="K3817" t="n">
        <v>1</v>
      </c>
      <c r="L3817" s="7" t="n">
        <v>681</v>
      </c>
      <c r="M3817" s="7" t="n">
        <v>0</v>
      </c>
    </row>
    <row r="3818">
      <c r="A3818" t="n">
        <v>511451</v>
      </c>
      <c r="B3818" s="6" t="n">
        <v>46004</v>
      </c>
      <c r="C3818" t="n">
        <v>17014</v>
      </c>
      <c r="D3818" t="inlineStr">
        <is>
          <t>Bengaluru</t>
        </is>
      </c>
      <c r="E3818" t="inlineStr">
        <is>
          <t>South</t>
        </is>
      </c>
      <c r="F3818" t="inlineStr">
        <is>
          <t>Organic Search</t>
        </is>
      </c>
      <c r="G3818" t="inlineStr">
        <is>
          <t>Mobile App</t>
        </is>
      </c>
      <c r="H3818" t="inlineStr">
        <is>
          <t>UPI</t>
        </is>
      </c>
      <c r="I3818" t="inlineStr">
        <is>
          <t>Delivered</t>
        </is>
      </c>
      <c r="J3818" t="n">
        <v>140</v>
      </c>
      <c r="K3818" t="n">
        <v>1</v>
      </c>
      <c r="L3818" s="7" t="n">
        <v>629</v>
      </c>
      <c r="M3818" s="7" t="n">
        <v>0</v>
      </c>
    </row>
    <row r="3819">
      <c r="A3819" t="n">
        <v>511451</v>
      </c>
      <c r="B3819" s="6" t="n">
        <v>46004</v>
      </c>
      <c r="C3819" t="n">
        <v>17014</v>
      </c>
      <c r="D3819" t="inlineStr">
        <is>
          <t>Bengaluru</t>
        </is>
      </c>
      <c r="E3819" t="inlineStr">
        <is>
          <t>South</t>
        </is>
      </c>
      <c r="F3819" t="inlineStr">
        <is>
          <t>Organic Search</t>
        </is>
      </c>
      <c r="G3819" t="inlineStr">
        <is>
          <t>Mobile App</t>
        </is>
      </c>
      <c r="H3819" t="inlineStr">
        <is>
          <t>UPI</t>
        </is>
      </c>
      <c r="I3819" t="inlineStr">
        <is>
          <t>Delivered</t>
        </is>
      </c>
      <c r="J3819" t="n">
        <v>131</v>
      </c>
      <c r="K3819" t="n">
        <v>1</v>
      </c>
      <c r="L3819" s="7" t="n">
        <v>314</v>
      </c>
      <c r="M3819" s="7" t="n">
        <v>0</v>
      </c>
    </row>
    <row r="3820">
      <c r="A3820" t="n">
        <v>511451</v>
      </c>
      <c r="B3820" s="6" t="n">
        <v>46004</v>
      </c>
      <c r="C3820" t="n">
        <v>17014</v>
      </c>
      <c r="D3820" t="inlineStr">
        <is>
          <t>Bengaluru</t>
        </is>
      </c>
      <c r="E3820" t="inlineStr">
        <is>
          <t>South</t>
        </is>
      </c>
      <c r="F3820" t="inlineStr">
        <is>
          <t>Organic Search</t>
        </is>
      </c>
      <c r="G3820" t="inlineStr">
        <is>
          <t>Mobile App</t>
        </is>
      </c>
      <c r="H3820" t="inlineStr">
        <is>
          <t>UPI</t>
        </is>
      </c>
      <c r="I3820" t="inlineStr">
        <is>
          <t>Delivered</t>
        </is>
      </c>
      <c r="J3820" t="n">
        <v>142</v>
      </c>
      <c r="K3820" t="n">
        <v>2</v>
      </c>
      <c r="L3820" s="7" t="n">
        <v>839</v>
      </c>
      <c r="M3820" s="7" t="n">
        <v>0</v>
      </c>
    </row>
    <row r="3821">
      <c r="A3821" t="n">
        <v>511452</v>
      </c>
      <c r="B3821" s="6" t="n">
        <v>46004</v>
      </c>
      <c r="C3821" t="n">
        <v>17713</v>
      </c>
      <c r="D3821" t="inlineStr">
        <is>
          <t>Kochi</t>
        </is>
      </c>
      <c r="E3821" t="inlineStr">
        <is>
          <t>South</t>
        </is>
      </c>
      <c r="F3821" t="inlineStr">
        <is>
          <t>Paid Social</t>
        </is>
      </c>
      <c r="G3821" t="inlineStr">
        <is>
          <t>Desktop</t>
        </is>
      </c>
      <c r="H3821" t="inlineStr">
        <is>
          <t>UPI</t>
        </is>
      </c>
      <c r="I3821" t="inlineStr">
        <is>
          <t>Delivered</t>
        </is>
      </c>
      <c r="J3821" t="n">
        <v>124</v>
      </c>
      <c r="K3821" t="n">
        <v>1</v>
      </c>
      <c r="L3821" s="7" t="n">
        <v>1154</v>
      </c>
      <c r="M3821" s="7" t="n">
        <v>173.1</v>
      </c>
    </row>
    <row r="3822">
      <c r="A3822" t="n">
        <v>511453</v>
      </c>
      <c r="B3822" s="6" t="n">
        <v>46004</v>
      </c>
      <c r="C3822" t="n">
        <v>16968</v>
      </c>
      <c r="D3822" t="inlineStr">
        <is>
          <t>Pune</t>
        </is>
      </c>
      <c r="E3822" t="inlineStr">
        <is>
          <t>West</t>
        </is>
      </c>
      <c r="F3822" t="inlineStr">
        <is>
          <t>Email</t>
        </is>
      </c>
      <c r="G3822" t="inlineStr">
        <is>
          <t>Mobile Web</t>
        </is>
      </c>
      <c r="H3822" t="inlineStr">
        <is>
          <t>Cash on Delivery</t>
        </is>
      </c>
      <c r="I3822" t="inlineStr">
        <is>
          <t>Delivered</t>
        </is>
      </c>
      <c r="J3822" t="n">
        <v>148</v>
      </c>
      <c r="K3822" t="n">
        <v>1</v>
      </c>
      <c r="L3822" s="7" t="n">
        <v>734</v>
      </c>
      <c r="M3822" s="7" t="n">
        <v>0</v>
      </c>
    </row>
    <row r="3823">
      <c r="A3823" t="n">
        <v>511453</v>
      </c>
      <c r="B3823" s="6" t="n">
        <v>46004</v>
      </c>
      <c r="C3823" t="n">
        <v>16968</v>
      </c>
      <c r="D3823" t="inlineStr">
        <is>
          <t>Pune</t>
        </is>
      </c>
      <c r="E3823" t="inlineStr">
        <is>
          <t>West</t>
        </is>
      </c>
      <c r="F3823" t="inlineStr">
        <is>
          <t>Email</t>
        </is>
      </c>
      <c r="G3823" t="inlineStr">
        <is>
          <t>Mobile Web</t>
        </is>
      </c>
      <c r="H3823" t="inlineStr">
        <is>
          <t>Cash on Delivery</t>
        </is>
      </c>
      <c r="I3823" t="inlineStr">
        <is>
          <t>Delivered</t>
        </is>
      </c>
      <c r="J3823" t="n">
        <v>144</v>
      </c>
      <c r="K3823" t="n">
        <v>1</v>
      </c>
      <c r="L3823" s="7" t="n">
        <v>3149</v>
      </c>
      <c r="M3823" s="7" t="n">
        <v>0</v>
      </c>
    </row>
    <row r="3824">
      <c r="A3824" t="n">
        <v>511453</v>
      </c>
      <c r="B3824" s="6" t="n">
        <v>46004</v>
      </c>
      <c r="C3824" t="n">
        <v>16968</v>
      </c>
      <c r="D3824" t="inlineStr">
        <is>
          <t>Pune</t>
        </is>
      </c>
      <c r="E3824" t="inlineStr">
        <is>
          <t>West</t>
        </is>
      </c>
      <c r="F3824" t="inlineStr">
        <is>
          <t>Email</t>
        </is>
      </c>
      <c r="G3824" t="inlineStr">
        <is>
          <t>Mobile Web</t>
        </is>
      </c>
      <c r="H3824" t="inlineStr">
        <is>
          <t>Cash on Delivery</t>
        </is>
      </c>
      <c r="I3824" t="inlineStr">
        <is>
          <t>Delivered</t>
        </is>
      </c>
      <c r="J3824" t="n">
        <v>118</v>
      </c>
      <c r="K3824" t="n">
        <v>1</v>
      </c>
      <c r="L3824" s="7" t="n">
        <v>944</v>
      </c>
      <c r="M3824" s="7" t="n">
        <v>0</v>
      </c>
    </row>
    <row r="3825">
      <c r="A3825" t="n">
        <v>511454</v>
      </c>
      <c r="B3825" s="6" t="n">
        <v>46004</v>
      </c>
      <c r="C3825" t="n">
        <v>13577</v>
      </c>
      <c r="D3825" t="inlineStr">
        <is>
          <t>Bengaluru</t>
        </is>
      </c>
      <c r="E3825" t="inlineStr">
        <is>
          <t>South</t>
        </is>
      </c>
      <c r="F3825" t="inlineStr">
        <is>
          <t>Referral</t>
        </is>
      </c>
      <c r="G3825" t="inlineStr">
        <is>
          <t>Mobile App</t>
        </is>
      </c>
      <c r="H3825" t="inlineStr">
        <is>
          <t>UPI</t>
        </is>
      </c>
      <c r="I3825" t="inlineStr">
        <is>
          <t>Delivered</t>
        </is>
      </c>
      <c r="J3825" t="n">
        <v>107</v>
      </c>
      <c r="K3825" t="n">
        <v>2</v>
      </c>
      <c r="L3825" s="7" t="n">
        <v>1259</v>
      </c>
      <c r="M3825" s="7" t="n">
        <v>0</v>
      </c>
    </row>
    <row r="3826">
      <c r="A3826" t="n">
        <v>511454</v>
      </c>
      <c r="B3826" s="6" t="n">
        <v>46004</v>
      </c>
      <c r="C3826" t="n">
        <v>13577</v>
      </c>
      <c r="D3826" t="inlineStr">
        <is>
          <t>Bengaluru</t>
        </is>
      </c>
      <c r="E3826" t="inlineStr">
        <is>
          <t>South</t>
        </is>
      </c>
      <c r="F3826" t="inlineStr">
        <is>
          <t>Referral</t>
        </is>
      </c>
      <c r="G3826" t="inlineStr">
        <is>
          <t>Mobile App</t>
        </is>
      </c>
      <c r="H3826" t="inlineStr">
        <is>
          <t>UPI</t>
        </is>
      </c>
      <c r="I3826" t="inlineStr">
        <is>
          <t>Delivered</t>
        </is>
      </c>
      <c r="J3826" t="n">
        <v>134</v>
      </c>
      <c r="K3826" t="n">
        <v>1</v>
      </c>
      <c r="L3826" s="7" t="n">
        <v>209</v>
      </c>
      <c r="M3826" s="7" t="n">
        <v>0</v>
      </c>
    </row>
    <row r="3827">
      <c r="A3827" t="n">
        <v>511454</v>
      </c>
      <c r="B3827" s="6" t="n">
        <v>46004</v>
      </c>
      <c r="C3827" t="n">
        <v>13577</v>
      </c>
      <c r="D3827" t="inlineStr">
        <is>
          <t>Bengaluru</t>
        </is>
      </c>
      <c r="E3827" t="inlineStr">
        <is>
          <t>South</t>
        </is>
      </c>
      <c r="F3827" t="inlineStr">
        <is>
          <t>Referral</t>
        </is>
      </c>
      <c r="G3827" t="inlineStr">
        <is>
          <t>Mobile App</t>
        </is>
      </c>
      <c r="H3827" t="inlineStr">
        <is>
          <t>UPI</t>
        </is>
      </c>
      <c r="I3827" t="inlineStr">
        <is>
          <t>Delivered</t>
        </is>
      </c>
      <c r="J3827" t="n">
        <v>109</v>
      </c>
      <c r="K3827" t="n">
        <v>1</v>
      </c>
      <c r="L3827" s="7" t="n">
        <v>4199</v>
      </c>
      <c r="M3827" s="7" t="n">
        <v>0</v>
      </c>
    </row>
    <row r="3828">
      <c r="A3828" t="n">
        <v>511455</v>
      </c>
      <c r="B3828" s="6" t="n">
        <v>46004</v>
      </c>
      <c r="C3828" t="n">
        <v>16215</v>
      </c>
      <c r="D3828" t="inlineStr">
        <is>
          <t>Bengaluru</t>
        </is>
      </c>
      <c r="E3828" t="inlineStr">
        <is>
          <t>South</t>
        </is>
      </c>
      <c r="F3828" t="inlineStr">
        <is>
          <t>Paid Search</t>
        </is>
      </c>
      <c r="G3828" t="inlineStr">
        <is>
          <t>Mobile App</t>
        </is>
      </c>
      <c r="H3828" t="inlineStr">
        <is>
          <t>Debit Card</t>
        </is>
      </c>
      <c r="I3828" t="inlineStr">
        <is>
          <t>Delivered</t>
        </is>
      </c>
      <c r="J3828" t="n">
        <v>108</v>
      </c>
      <c r="K3828" t="n">
        <v>1</v>
      </c>
      <c r="L3828" s="7" t="n">
        <v>419</v>
      </c>
      <c r="M3828" s="7" t="n">
        <v>0</v>
      </c>
    </row>
    <row r="3829">
      <c r="A3829" t="n">
        <v>511455</v>
      </c>
      <c r="B3829" s="6" t="n">
        <v>46004</v>
      </c>
      <c r="C3829" t="n">
        <v>16215</v>
      </c>
      <c r="D3829" t="inlineStr">
        <is>
          <t>Bengaluru</t>
        </is>
      </c>
      <c r="E3829" t="inlineStr">
        <is>
          <t>South</t>
        </is>
      </c>
      <c r="F3829" t="inlineStr">
        <is>
          <t>Paid Search</t>
        </is>
      </c>
      <c r="G3829" t="inlineStr">
        <is>
          <t>Mobile App</t>
        </is>
      </c>
      <c r="H3829" t="inlineStr">
        <is>
          <t>Debit Card</t>
        </is>
      </c>
      <c r="I3829" t="inlineStr">
        <is>
          <t>Delivered</t>
        </is>
      </c>
      <c r="J3829" t="n">
        <v>132</v>
      </c>
      <c r="K3829" t="n">
        <v>1</v>
      </c>
      <c r="L3829" s="7" t="n">
        <v>471</v>
      </c>
      <c r="M3829" s="7" t="n">
        <v>0</v>
      </c>
    </row>
    <row r="3830">
      <c r="A3830" t="n">
        <v>511456</v>
      </c>
      <c r="B3830" s="6" t="n">
        <v>46004</v>
      </c>
      <c r="C3830" t="n">
        <v>17654</v>
      </c>
      <c r="D3830" t="inlineStr">
        <is>
          <t>Mumbai</t>
        </is>
      </c>
      <c r="E3830" t="inlineStr">
        <is>
          <t>West</t>
        </is>
      </c>
      <c r="F3830" t="inlineStr">
        <is>
          <t>Paid Search</t>
        </is>
      </c>
      <c r="G3830" t="inlineStr">
        <is>
          <t>Desktop</t>
        </is>
      </c>
      <c r="H3830" t="inlineStr">
        <is>
          <t>UPI</t>
        </is>
      </c>
      <c r="I3830" t="inlineStr">
        <is>
          <t>Delivered</t>
        </is>
      </c>
      <c r="J3830" t="n">
        <v>130</v>
      </c>
      <c r="K3830" t="n">
        <v>1</v>
      </c>
      <c r="L3830" s="7" t="n">
        <v>734</v>
      </c>
      <c r="M3830" s="7" t="n">
        <v>0</v>
      </c>
    </row>
    <row r="3831">
      <c r="A3831" t="n">
        <v>511456</v>
      </c>
      <c r="B3831" s="6" t="n">
        <v>46004</v>
      </c>
      <c r="C3831" t="n">
        <v>17654</v>
      </c>
      <c r="D3831" t="inlineStr">
        <is>
          <t>Mumbai</t>
        </is>
      </c>
      <c r="E3831" t="inlineStr">
        <is>
          <t>West</t>
        </is>
      </c>
      <c r="F3831" t="inlineStr">
        <is>
          <t>Paid Search</t>
        </is>
      </c>
      <c r="G3831" t="inlineStr">
        <is>
          <t>Desktop</t>
        </is>
      </c>
      <c r="H3831" t="inlineStr">
        <is>
          <t>UPI</t>
        </is>
      </c>
      <c r="I3831" t="inlineStr">
        <is>
          <t>Delivered</t>
        </is>
      </c>
      <c r="J3831" t="n">
        <v>116</v>
      </c>
      <c r="K3831" t="n">
        <v>3</v>
      </c>
      <c r="L3831" s="7" t="n">
        <v>2624</v>
      </c>
      <c r="M3831" s="7" t="n">
        <v>0</v>
      </c>
    </row>
    <row r="3832">
      <c r="A3832" t="n">
        <v>511457</v>
      </c>
      <c r="B3832" s="6" t="n">
        <v>46004</v>
      </c>
      <c r="C3832" t="n">
        <v>17704</v>
      </c>
      <c r="D3832" t="inlineStr">
        <is>
          <t>Bengaluru</t>
        </is>
      </c>
      <c r="E3832" t="inlineStr">
        <is>
          <t>South</t>
        </is>
      </c>
      <c r="F3832" t="inlineStr">
        <is>
          <t>Organic Search</t>
        </is>
      </c>
      <c r="G3832" t="inlineStr">
        <is>
          <t>Mobile Web</t>
        </is>
      </c>
      <c r="H3832" t="inlineStr">
        <is>
          <t>UPI</t>
        </is>
      </c>
      <c r="I3832" t="inlineStr">
        <is>
          <t>Delivered</t>
        </is>
      </c>
      <c r="J3832" t="n">
        <v>125</v>
      </c>
      <c r="K3832" t="n">
        <v>1</v>
      </c>
      <c r="L3832" s="7" t="n">
        <v>1364</v>
      </c>
      <c r="M3832" s="7" t="n">
        <v>204.6</v>
      </c>
    </row>
    <row r="3833">
      <c r="A3833" t="n">
        <v>511457</v>
      </c>
      <c r="B3833" s="6" t="n">
        <v>46004</v>
      </c>
      <c r="C3833" t="n">
        <v>17704</v>
      </c>
      <c r="D3833" t="inlineStr">
        <is>
          <t>Bengaluru</t>
        </is>
      </c>
      <c r="E3833" t="inlineStr">
        <is>
          <t>South</t>
        </is>
      </c>
      <c r="F3833" t="inlineStr">
        <is>
          <t>Organic Search</t>
        </is>
      </c>
      <c r="G3833" t="inlineStr">
        <is>
          <t>Mobile Web</t>
        </is>
      </c>
      <c r="H3833" t="inlineStr">
        <is>
          <t>UPI</t>
        </is>
      </c>
      <c r="I3833" t="inlineStr">
        <is>
          <t>Delivered</t>
        </is>
      </c>
      <c r="J3833" t="n">
        <v>123</v>
      </c>
      <c r="K3833" t="n">
        <v>1</v>
      </c>
      <c r="L3833" s="7" t="n">
        <v>3464</v>
      </c>
      <c r="M3833" s="7" t="n">
        <v>519.6</v>
      </c>
    </row>
    <row r="3834">
      <c r="A3834" t="n">
        <v>511458</v>
      </c>
      <c r="B3834" s="6" t="n">
        <v>46005</v>
      </c>
      <c r="C3834" t="n">
        <v>17760</v>
      </c>
      <c r="D3834" t="inlineStr">
        <is>
          <t>Mumbai</t>
        </is>
      </c>
      <c r="E3834" t="inlineStr">
        <is>
          <t>West</t>
        </is>
      </c>
      <c r="F3834" t="inlineStr">
        <is>
          <t>Paid Search</t>
        </is>
      </c>
      <c r="G3834" t="inlineStr">
        <is>
          <t>Mobile App</t>
        </is>
      </c>
      <c r="H3834" t="inlineStr">
        <is>
          <t>Debit Card</t>
        </is>
      </c>
      <c r="I3834" t="inlineStr">
        <is>
          <t>Delivered</t>
        </is>
      </c>
      <c r="J3834" t="n">
        <v>118</v>
      </c>
      <c r="K3834" t="n">
        <v>1</v>
      </c>
      <c r="L3834" s="7" t="n">
        <v>944</v>
      </c>
      <c r="M3834" s="7" t="n">
        <v>0</v>
      </c>
    </row>
    <row r="3835">
      <c r="A3835" t="n">
        <v>511459</v>
      </c>
      <c r="B3835" s="6" t="n">
        <v>46005</v>
      </c>
      <c r="C3835" t="n">
        <v>17761</v>
      </c>
      <c r="D3835" t="inlineStr">
        <is>
          <t>Hyderabad</t>
        </is>
      </c>
      <c r="E3835" t="inlineStr">
        <is>
          <t>South</t>
        </is>
      </c>
      <c r="F3835" t="inlineStr">
        <is>
          <t>Organic Search</t>
        </is>
      </c>
      <c r="G3835" t="inlineStr">
        <is>
          <t>Mobile App</t>
        </is>
      </c>
      <c r="H3835" t="inlineStr">
        <is>
          <t>Cash on Delivery</t>
        </is>
      </c>
      <c r="I3835" t="inlineStr">
        <is>
          <t>Delivered</t>
        </is>
      </c>
      <c r="J3835" t="n">
        <v>111</v>
      </c>
      <c r="K3835" t="n">
        <v>1</v>
      </c>
      <c r="L3835" s="7" t="n">
        <v>524</v>
      </c>
      <c r="M3835" s="7" t="n">
        <v>0</v>
      </c>
    </row>
    <row r="3836">
      <c r="A3836" t="n">
        <v>511459</v>
      </c>
      <c r="B3836" s="6" t="n">
        <v>46005</v>
      </c>
      <c r="C3836" t="n">
        <v>17761</v>
      </c>
      <c r="D3836" t="inlineStr">
        <is>
          <t>Hyderabad</t>
        </is>
      </c>
      <c r="E3836" t="inlineStr">
        <is>
          <t>South</t>
        </is>
      </c>
      <c r="F3836" t="inlineStr">
        <is>
          <t>Organic Search</t>
        </is>
      </c>
      <c r="G3836" t="inlineStr">
        <is>
          <t>Mobile App</t>
        </is>
      </c>
      <c r="H3836" t="inlineStr">
        <is>
          <t>Cash on Delivery</t>
        </is>
      </c>
      <c r="I3836" t="inlineStr">
        <is>
          <t>Delivered</t>
        </is>
      </c>
      <c r="J3836" t="n">
        <v>122</v>
      </c>
      <c r="K3836" t="n">
        <v>1</v>
      </c>
      <c r="L3836" s="7" t="n">
        <v>1994</v>
      </c>
      <c r="M3836" s="7" t="n">
        <v>0</v>
      </c>
    </row>
    <row r="3837">
      <c r="A3837" t="n">
        <v>511459</v>
      </c>
      <c r="B3837" s="6" t="n">
        <v>46005</v>
      </c>
      <c r="C3837" t="n">
        <v>17761</v>
      </c>
      <c r="D3837" t="inlineStr">
        <is>
          <t>Hyderabad</t>
        </is>
      </c>
      <c r="E3837" t="inlineStr">
        <is>
          <t>South</t>
        </is>
      </c>
      <c r="F3837" t="inlineStr">
        <is>
          <t>Organic Search</t>
        </is>
      </c>
      <c r="G3837" t="inlineStr">
        <is>
          <t>Mobile App</t>
        </is>
      </c>
      <c r="H3837" t="inlineStr">
        <is>
          <t>Cash on Delivery</t>
        </is>
      </c>
      <c r="I3837" t="inlineStr">
        <is>
          <t>Delivered</t>
        </is>
      </c>
      <c r="J3837" t="n">
        <v>128</v>
      </c>
      <c r="K3837" t="n">
        <v>1</v>
      </c>
      <c r="L3837" s="7" t="n">
        <v>1049</v>
      </c>
      <c r="M3837" s="7" t="n">
        <v>0</v>
      </c>
    </row>
    <row r="3838">
      <c r="A3838" t="n">
        <v>511460</v>
      </c>
      <c r="B3838" s="6" t="n">
        <v>46005</v>
      </c>
      <c r="C3838" t="n">
        <v>17674</v>
      </c>
      <c r="D3838" t="inlineStr">
        <is>
          <t>Chandigarh</t>
        </is>
      </c>
      <c r="E3838" t="inlineStr">
        <is>
          <t>North</t>
        </is>
      </c>
      <c r="F3838" t="inlineStr">
        <is>
          <t>Organic Search</t>
        </is>
      </c>
      <c r="G3838" t="inlineStr">
        <is>
          <t>Mobile Web</t>
        </is>
      </c>
      <c r="H3838" t="inlineStr">
        <is>
          <t>UPI</t>
        </is>
      </c>
      <c r="I3838" t="inlineStr">
        <is>
          <t>Delivered</t>
        </is>
      </c>
      <c r="J3838" t="n">
        <v>109</v>
      </c>
      <c r="K3838" t="n">
        <v>1</v>
      </c>
      <c r="L3838" s="7" t="n">
        <v>4199</v>
      </c>
      <c r="M3838" s="7" t="n">
        <v>629.85</v>
      </c>
    </row>
    <row r="3839">
      <c r="A3839" t="n">
        <v>511461</v>
      </c>
      <c r="B3839" s="6" t="n">
        <v>46005</v>
      </c>
      <c r="C3839" t="n">
        <v>17637</v>
      </c>
      <c r="D3839" t="inlineStr">
        <is>
          <t>Delhi</t>
        </is>
      </c>
      <c r="E3839" t="inlineStr">
        <is>
          <t>North</t>
        </is>
      </c>
      <c r="F3839" t="inlineStr">
        <is>
          <t>Paid Search</t>
        </is>
      </c>
      <c r="G3839" t="inlineStr">
        <is>
          <t>Mobile App</t>
        </is>
      </c>
      <c r="H3839" t="inlineStr">
        <is>
          <t>Cash on Delivery</t>
        </is>
      </c>
      <c r="I3839" t="inlineStr">
        <is>
          <t>Returned</t>
        </is>
      </c>
      <c r="J3839" t="n">
        <v>108</v>
      </c>
      <c r="K3839" t="n">
        <v>1</v>
      </c>
      <c r="L3839" s="7" t="n">
        <v>419</v>
      </c>
      <c r="M3839" s="7" t="n">
        <v>62.85</v>
      </c>
    </row>
    <row r="3840">
      <c r="A3840" t="n">
        <v>511461</v>
      </c>
      <c r="B3840" s="6" t="n">
        <v>46005</v>
      </c>
      <c r="C3840" t="n">
        <v>17637</v>
      </c>
      <c r="D3840" t="inlineStr">
        <is>
          <t>Delhi</t>
        </is>
      </c>
      <c r="E3840" t="inlineStr">
        <is>
          <t>North</t>
        </is>
      </c>
      <c r="F3840" t="inlineStr">
        <is>
          <t>Paid Search</t>
        </is>
      </c>
      <c r="G3840" t="inlineStr">
        <is>
          <t>Mobile App</t>
        </is>
      </c>
      <c r="H3840" t="inlineStr">
        <is>
          <t>Cash on Delivery</t>
        </is>
      </c>
      <c r="I3840" t="inlineStr">
        <is>
          <t>Returned</t>
        </is>
      </c>
      <c r="J3840" t="n">
        <v>117</v>
      </c>
      <c r="K3840" t="n">
        <v>1</v>
      </c>
      <c r="L3840" s="7" t="n">
        <v>3149</v>
      </c>
      <c r="M3840" s="7" t="n">
        <v>472.35</v>
      </c>
    </row>
    <row r="3841">
      <c r="A3841" t="n">
        <v>511462</v>
      </c>
      <c r="B3841" s="6" t="n">
        <v>46005</v>
      </c>
      <c r="C3841" t="n">
        <v>17673</v>
      </c>
      <c r="D3841" t="inlineStr">
        <is>
          <t>Delhi</t>
        </is>
      </c>
      <c r="E3841" t="inlineStr">
        <is>
          <t>North</t>
        </is>
      </c>
      <c r="F3841" t="inlineStr">
        <is>
          <t>Organic Search</t>
        </is>
      </c>
      <c r="G3841" t="inlineStr">
        <is>
          <t>Mobile App</t>
        </is>
      </c>
      <c r="H3841" t="inlineStr">
        <is>
          <t>UPI</t>
        </is>
      </c>
      <c r="I3841" t="inlineStr">
        <is>
          <t>Delivered</t>
        </is>
      </c>
      <c r="J3841" t="n">
        <v>134</v>
      </c>
      <c r="K3841" t="n">
        <v>1</v>
      </c>
      <c r="L3841" s="7" t="n">
        <v>209</v>
      </c>
      <c r="M3841" s="7" t="n">
        <v>0</v>
      </c>
    </row>
    <row r="3842">
      <c r="A3842" t="n">
        <v>511463</v>
      </c>
      <c r="B3842" s="6" t="n">
        <v>46005</v>
      </c>
      <c r="C3842" t="n">
        <v>17718</v>
      </c>
      <c r="D3842" t="inlineStr">
        <is>
          <t>Noida</t>
        </is>
      </c>
      <c r="E3842" t="inlineStr">
        <is>
          <t>North</t>
        </is>
      </c>
      <c r="F3842" t="inlineStr">
        <is>
          <t>Organic Search</t>
        </is>
      </c>
      <c r="G3842" t="inlineStr">
        <is>
          <t>Mobile App</t>
        </is>
      </c>
      <c r="H3842" t="inlineStr">
        <is>
          <t>UPI</t>
        </is>
      </c>
      <c r="I3842" t="inlineStr">
        <is>
          <t>Delivered</t>
        </is>
      </c>
      <c r="J3842" t="n">
        <v>119</v>
      </c>
      <c r="K3842" t="n">
        <v>1</v>
      </c>
      <c r="L3842" s="7" t="n">
        <v>2309</v>
      </c>
      <c r="M3842" s="7" t="n">
        <v>0</v>
      </c>
    </row>
    <row r="3843">
      <c r="A3843" t="n">
        <v>511464</v>
      </c>
      <c r="B3843" s="6" t="n">
        <v>46005</v>
      </c>
      <c r="C3843" t="n">
        <v>17498</v>
      </c>
      <c r="D3843" t="inlineStr">
        <is>
          <t>Chennai</t>
        </is>
      </c>
      <c r="E3843" t="inlineStr">
        <is>
          <t>South</t>
        </is>
      </c>
      <c r="F3843" t="inlineStr">
        <is>
          <t>Organic Search</t>
        </is>
      </c>
      <c r="G3843" t="inlineStr">
        <is>
          <t>Mobile App</t>
        </is>
      </c>
      <c r="H3843" t="inlineStr">
        <is>
          <t>UPI</t>
        </is>
      </c>
      <c r="I3843" t="inlineStr">
        <is>
          <t>Delivered</t>
        </is>
      </c>
      <c r="J3843" t="n">
        <v>110</v>
      </c>
      <c r="K3843" t="n">
        <v>2</v>
      </c>
      <c r="L3843" s="7" t="n">
        <v>839</v>
      </c>
      <c r="M3843" s="7" t="n">
        <v>0</v>
      </c>
    </row>
    <row r="3844">
      <c r="A3844" t="n">
        <v>511465</v>
      </c>
      <c r="B3844" s="6" t="n">
        <v>46005</v>
      </c>
      <c r="C3844" t="n">
        <v>17767</v>
      </c>
      <c r="D3844" t="inlineStr">
        <is>
          <t>Kolkata</t>
        </is>
      </c>
      <c r="E3844" t="inlineStr">
        <is>
          <t>East</t>
        </is>
      </c>
      <c r="F3844" t="inlineStr">
        <is>
          <t>Organic Search</t>
        </is>
      </c>
      <c r="G3844" t="inlineStr">
        <is>
          <t>Desktop</t>
        </is>
      </c>
      <c r="H3844" t="inlineStr">
        <is>
          <t>UPI</t>
        </is>
      </c>
      <c r="I3844" t="inlineStr">
        <is>
          <t>Delivered</t>
        </is>
      </c>
      <c r="J3844" t="n">
        <v>134</v>
      </c>
      <c r="K3844" t="n">
        <v>1</v>
      </c>
      <c r="L3844" s="7" t="n">
        <v>209</v>
      </c>
      <c r="M3844" s="7" t="n">
        <v>31.35</v>
      </c>
    </row>
    <row r="3845">
      <c r="A3845" t="n">
        <v>511466</v>
      </c>
      <c r="B3845" s="6" t="n">
        <v>46005</v>
      </c>
      <c r="C3845" t="n">
        <v>17773</v>
      </c>
      <c r="D3845" t="inlineStr">
        <is>
          <t>Delhi</t>
        </is>
      </c>
      <c r="E3845" t="inlineStr">
        <is>
          <t>North</t>
        </is>
      </c>
      <c r="F3845" t="inlineStr">
        <is>
          <t>Organic Search</t>
        </is>
      </c>
      <c r="G3845" t="inlineStr">
        <is>
          <t>Mobile App</t>
        </is>
      </c>
      <c r="H3845" t="inlineStr">
        <is>
          <t>Net Banking</t>
        </is>
      </c>
      <c r="I3845" t="inlineStr">
        <is>
          <t>Delivered</t>
        </is>
      </c>
      <c r="J3845" t="n">
        <v>137</v>
      </c>
      <c r="K3845" t="n">
        <v>1</v>
      </c>
      <c r="L3845" s="7" t="n">
        <v>261</v>
      </c>
      <c r="M3845" s="7" t="n">
        <v>13.05</v>
      </c>
    </row>
    <row r="3846">
      <c r="A3846" t="n">
        <v>511467</v>
      </c>
      <c r="B3846" s="6" t="n">
        <v>46005</v>
      </c>
      <c r="C3846" t="n">
        <v>17506</v>
      </c>
      <c r="D3846" t="inlineStr">
        <is>
          <t>Noida</t>
        </is>
      </c>
      <c r="E3846" t="inlineStr">
        <is>
          <t>North</t>
        </is>
      </c>
      <c r="F3846" t="inlineStr">
        <is>
          <t>Paid Social</t>
        </is>
      </c>
      <c r="G3846" t="inlineStr">
        <is>
          <t>Desktop</t>
        </is>
      </c>
      <c r="H3846" t="inlineStr">
        <is>
          <t>Net Banking</t>
        </is>
      </c>
      <c r="I3846" t="inlineStr">
        <is>
          <t>Delivered</t>
        </is>
      </c>
      <c r="J3846" t="n">
        <v>105</v>
      </c>
      <c r="K3846" t="n">
        <v>1</v>
      </c>
      <c r="L3846" s="7" t="n">
        <v>2414</v>
      </c>
      <c r="M3846" s="7" t="n">
        <v>0</v>
      </c>
    </row>
    <row r="3847">
      <c r="A3847" t="n">
        <v>511468</v>
      </c>
      <c r="B3847" s="6" t="n">
        <v>46005</v>
      </c>
      <c r="C3847" t="n">
        <v>14205</v>
      </c>
      <c r="D3847" t="inlineStr">
        <is>
          <t>Pune</t>
        </is>
      </c>
      <c r="E3847" t="inlineStr">
        <is>
          <t>West</t>
        </is>
      </c>
      <c r="F3847" t="inlineStr">
        <is>
          <t>Affiliate</t>
        </is>
      </c>
      <c r="G3847" t="inlineStr">
        <is>
          <t>Mobile App</t>
        </is>
      </c>
      <c r="H3847" t="inlineStr">
        <is>
          <t>UPI</t>
        </is>
      </c>
      <c r="I3847" t="inlineStr">
        <is>
          <t>Delivered</t>
        </is>
      </c>
      <c r="J3847" t="n">
        <v>122</v>
      </c>
      <c r="K3847" t="n">
        <v>1</v>
      </c>
      <c r="L3847" s="7" t="n">
        <v>1994</v>
      </c>
      <c r="M3847" s="7" t="n">
        <v>0</v>
      </c>
    </row>
    <row r="3848">
      <c r="A3848" t="n">
        <v>511469</v>
      </c>
      <c r="B3848" s="6" t="n">
        <v>46005</v>
      </c>
      <c r="C3848" t="n">
        <v>16475</v>
      </c>
      <c r="D3848" t="inlineStr">
        <is>
          <t>Hyderabad</t>
        </is>
      </c>
      <c r="E3848" t="inlineStr">
        <is>
          <t>South</t>
        </is>
      </c>
      <c r="F3848" t="inlineStr">
        <is>
          <t>Paid Social</t>
        </is>
      </c>
      <c r="G3848" t="inlineStr">
        <is>
          <t>Mobile App</t>
        </is>
      </c>
      <c r="H3848" t="inlineStr">
        <is>
          <t>UPI</t>
        </is>
      </c>
      <c r="I3848" t="inlineStr">
        <is>
          <t>Delivered</t>
        </is>
      </c>
      <c r="J3848" t="n">
        <v>109</v>
      </c>
      <c r="K3848" t="n">
        <v>1</v>
      </c>
      <c r="L3848" s="7" t="n">
        <v>4199</v>
      </c>
      <c r="M3848" s="7" t="n">
        <v>0</v>
      </c>
    </row>
    <row r="3849">
      <c r="A3849" t="n">
        <v>511469</v>
      </c>
      <c r="B3849" s="6" t="n">
        <v>46005</v>
      </c>
      <c r="C3849" t="n">
        <v>16475</v>
      </c>
      <c r="D3849" t="inlineStr">
        <is>
          <t>Hyderabad</t>
        </is>
      </c>
      <c r="E3849" t="inlineStr">
        <is>
          <t>South</t>
        </is>
      </c>
      <c r="F3849" t="inlineStr">
        <is>
          <t>Paid Social</t>
        </is>
      </c>
      <c r="G3849" t="inlineStr">
        <is>
          <t>Mobile App</t>
        </is>
      </c>
      <c r="H3849" t="inlineStr">
        <is>
          <t>UPI</t>
        </is>
      </c>
      <c r="I3849" t="inlineStr">
        <is>
          <t>Delivered</t>
        </is>
      </c>
      <c r="J3849" t="n">
        <v>131</v>
      </c>
      <c r="K3849" t="n">
        <v>1</v>
      </c>
      <c r="L3849" s="7" t="n">
        <v>314</v>
      </c>
      <c r="M3849" s="7" t="n">
        <v>0</v>
      </c>
    </row>
    <row r="3850">
      <c r="A3850" t="n">
        <v>511470</v>
      </c>
      <c r="B3850" s="6" t="n">
        <v>46005</v>
      </c>
      <c r="C3850" t="n">
        <v>17682</v>
      </c>
      <c r="D3850" t="inlineStr">
        <is>
          <t>Kochi</t>
        </is>
      </c>
      <c r="E3850" t="inlineStr">
        <is>
          <t>South</t>
        </is>
      </c>
      <c r="F3850" t="inlineStr">
        <is>
          <t>Paid Social</t>
        </is>
      </c>
      <c r="G3850" t="inlineStr">
        <is>
          <t>Mobile App</t>
        </is>
      </c>
      <c r="H3850" t="inlineStr">
        <is>
          <t>UPI</t>
        </is>
      </c>
      <c r="I3850" t="inlineStr">
        <is>
          <t>Delivered</t>
        </is>
      </c>
      <c r="J3850" t="n">
        <v>133</v>
      </c>
      <c r="K3850" t="n">
        <v>2</v>
      </c>
      <c r="L3850" s="7" t="n">
        <v>419</v>
      </c>
      <c r="M3850" s="7" t="n">
        <v>0</v>
      </c>
    </row>
    <row r="3851">
      <c r="A3851" t="n">
        <v>511471</v>
      </c>
      <c r="B3851" s="6" t="n">
        <v>46005</v>
      </c>
      <c r="C3851" t="n">
        <v>15256</v>
      </c>
      <c r="D3851" t="inlineStr">
        <is>
          <t>Kolkata</t>
        </is>
      </c>
      <c r="E3851" t="inlineStr">
        <is>
          <t>East</t>
        </is>
      </c>
      <c r="F3851" t="inlineStr">
        <is>
          <t>Paid Search</t>
        </is>
      </c>
      <c r="G3851" t="inlineStr">
        <is>
          <t>Mobile Web</t>
        </is>
      </c>
      <c r="H3851" t="inlineStr">
        <is>
          <t>Cash on Delivery</t>
        </is>
      </c>
      <c r="I3851" t="inlineStr">
        <is>
          <t>Delivered</t>
        </is>
      </c>
      <c r="J3851" t="n">
        <v>140</v>
      </c>
      <c r="K3851" t="n">
        <v>1</v>
      </c>
      <c r="L3851" s="7" t="n">
        <v>629</v>
      </c>
      <c r="M3851" s="7" t="n">
        <v>0</v>
      </c>
    </row>
    <row r="3852">
      <c r="A3852" t="n">
        <v>511472</v>
      </c>
      <c r="B3852" s="6" t="n">
        <v>46005</v>
      </c>
      <c r="C3852" t="n">
        <v>16890</v>
      </c>
      <c r="D3852" t="inlineStr">
        <is>
          <t>Kolkata</t>
        </is>
      </c>
      <c r="E3852" t="inlineStr">
        <is>
          <t>East</t>
        </is>
      </c>
      <c r="F3852" t="inlineStr">
        <is>
          <t>Paid Social</t>
        </is>
      </c>
      <c r="G3852" t="inlineStr">
        <is>
          <t>Mobile Web</t>
        </is>
      </c>
      <c r="H3852" t="inlineStr">
        <is>
          <t>Cash on Delivery</t>
        </is>
      </c>
      <c r="I3852" t="inlineStr">
        <is>
          <t>Returned</t>
        </is>
      </c>
      <c r="J3852" t="n">
        <v>113</v>
      </c>
      <c r="K3852" t="n">
        <v>1</v>
      </c>
      <c r="L3852" s="7" t="n">
        <v>1364</v>
      </c>
      <c r="M3852" s="7" t="n">
        <v>0</v>
      </c>
    </row>
    <row r="3853">
      <c r="A3853" t="n">
        <v>511473</v>
      </c>
      <c r="B3853" s="6" t="n">
        <v>46005</v>
      </c>
      <c r="C3853" t="n">
        <v>16487</v>
      </c>
      <c r="D3853" t="inlineStr">
        <is>
          <t>Jaipur</t>
        </is>
      </c>
      <c r="E3853" t="inlineStr">
        <is>
          <t>North</t>
        </is>
      </c>
      <c r="F3853" t="inlineStr">
        <is>
          <t>Referral</t>
        </is>
      </c>
      <c r="G3853" t="inlineStr">
        <is>
          <t>Mobile Web</t>
        </is>
      </c>
      <c r="H3853" t="inlineStr">
        <is>
          <t>Credit Card</t>
        </is>
      </c>
      <c r="I3853" t="inlineStr">
        <is>
          <t>Delivered</t>
        </is>
      </c>
      <c r="J3853" t="n">
        <v>111</v>
      </c>
      <c r="K3853" t="n">
        <v>1</v>
      </c>
      <c r="L3853" s="7" t="n">
        <v>524</v>
      </c>
      <c r="M3853" s="7" t="n">
        <v>0</v>
      </c>
    </row>
    <row r="3854">
      <c r="A3854" t="n">
        <v>511473</v>
      </c>
      <c r="B3854" s="6" t="n">
        <v>46005</v>
      </c>
      <c r="C3854" t="n">
        <v>16487</v>
      </c>
      <c r="D3854" t="inlineStr">
        <is>
          <t>Jaipur</t>
        </is>
      </c>
      <c r="E3854" t="inlineStr">
        <is>
          <t>North</t>
        </is>
      </c>
      <c r="F3854" t="inlineStr">
        <is>
          <t>Referral</t>
        </is>
      </c>
      <c r="G3854" t="inlineStr">
        <is>
          <t>Mobile Web</t>
        </is>
      </c>
      <c r="H3854" t="inlineStr">
        <is>
          <t>Credit Card</t>
        </is>
      </c>
      <c r="I3854" t="inlineStr">
        <is>
          <t>Delivered</t>
        </is>
      </c>
      <c r="J3854" t="n">
        <v>112</v>
      </c>
      <c r="K3854" t="n">
        <v>1</v>
      </c>
      <c r="L3854" s="7" t="n">
        <v>1574</v>
      </c>
      <c r="M3854" s="7" t="n">
        <v>0</v>
      </c>
    </row>
    <row r="3855">
      <c r="A3855" t="n">
        <v>511474</v>
      </c>
      <c r="B3855" s="6" t="n">
        <v>46005</v>
      </c>
      <c r="C3855" t="n">
        <v>17716</v>
      </c>
      <c r="D3855" t="inlineStr">
        <is>
          <t>Kolkata</t>
        </is>
      </c>
      <c r="E3855" t="inlineStr">
        <is>
          <t>East</t>
        </is>
      </c>
      <c r="F3855" t="inlineStr">
        <is>
          <t>Paid Search</t>
        </is>
      </c>
      <c r="G3855" t="inlineStr">
        <is>
          <t>Desktop</t>
        </is>
      </c>
      <c r="H3855" t="inlineStr">
        <is>
          <t>Credit Card</t>
        </is>
      </c>
      <c r="I3855" t="inlineStr">
        <is>
          <t>Delivered</t>
        </is>
      </c>
      <c r="J3855" t="n">
        <v>112</v>
      </c>
      <c r="K3855" t="n">
        <v>1</v>
      </c>
      <c r="L3855" s="7" t="n">
        <v>1574</v>
      </c>
      <c r="M3855" s="7" t="n">
        <v>0</v>
      </c>
    </row>
    <row r="3856">
      <c r="A3856" t="n">
        <v>511475</v>
      </c>
      <c r="B3856" s="6" t="n">
        <v>46005</v>
      </c>
      <c r="C3856" t="n">
        <v>17714</v>
      </c>
      <c r="D3856" t="inlineStr">
        <is>
          <t>Kochi</t>
        </is>
      </c>
      <c r="E3856" t="inlineStr">
        <is>
          <t>South</t>
        </is>
      </c>
      <c r="F3856" t="inlineStr">
        <is>
          <t>Organic Search</t>
        </is>
      </c>
      <c r="G3856" t="inlineStr">
        <is>
          <t>Mobile App</t>
        </is>
      </c>
      <c r="H3856" t="inlineStr">
        <is>
          <t>Debit Card</t>
        </is>
      </c>
      <c r="I3856" t="inlineStr">
        <is>
          <t>Delivered</t>
        </is>
      </c>
      <c r="J3856" t="n">
        <v>143</v>
      </c>
      <c r="K3856" t="n">
        <v>1</v>
      </c>
      <c r="L3856" s="7" t="n">
        <v>839</v>
      </c>
      <c r="M3856" s="7" t="n">
        <v>0</v>
      </c>
    </row>
    <row r="3857">
      <c r="A3857" t="n">
        <v>511476</v>
      </c>
      <c r="B3857" s="6" t="n">
        <v>46005</v>
      </c>
      <c r="C3857" t="n">
        <v>16081</v>
      </c>
      <c r="D3857" t="inlineStr">
        <is>
          <t>Kolkata</t>
        </is>
      </c>
      <c r="E3857" t="inlineStr">
        <is>
          <t>East</t>
        </is>
      </c>
      <c r="F3857" t="inlineStr">
        <is>
          <t>Referral</t>
        </is>
      </c>
      <c r="G3857" t="inlineStr">
        <is>
          <t>Mobile App</t>
        </is>
      </c>
      <c r="H3857" t="inlineStr">
        <is>
          <t>UPI</t>
        </is>
      </c>
      <c r="I3857" t="inlineStr">
        <is>
          <t>Delivered</t>
        </is>
      </c>
      <c r="J3857" t="n">
        <v>107</v>
      </c>
      <c r="K3857" t="n">
        <v>1</v>
      </c>
      <c r="L3857" s="7" t="n">
        <v>1259</v>
      </c>
      <c r="M3857" s="7" t="n">
        <v>0</v>
      </c>
    </row>
    <row r="3858">
      <c r="A3858" t="n">
        <v>511477</v>
      </c>
      <c r="B3858" s="6" t="n">
        <v>46005</v>
      </c>
      <c r="C3858" t="n">
        <v>17692</v>
      </c>
      <c r="D3858" t="inlineStr">
        <is>
          <t>Gurugram</t>
        </is>
      </c>
      <c r="E3858" t="inlineStr">
        <is>
          <t>North</t>
        </is>
      </c>
      <c r="F3858" t="inlineStr">
        <is>
          <t>Referral</t>
        </is>
      </c>
      <c r="G3858" t="inlineStr">
        <is>
          <t>Mobile App</t>
        </is>
      </c>
      <c r="H3858" t="inlineStr">
        <is>
          <t>UPI</t>
        </is>
      </c>
      <c r="I3858" t="inlineStr">
        <is>
          <t>Delivered</t>
        </is>
      </c>
      <c r="J3858" t="n">
        <v>116</v>
      </c>
      <c r="K3858" t="n">
        <v>3</v>
      </c>
      <c r="L3858" s="7" t="n">
        <v>2624</v>
      </c>
      <c r="M3858" s="7" t="n">
        <v>1180.8</v>
      </c>
    </row>
    <row r="3859">
      <c r="A3859" t="n">
        <v>511478</v>
      </c>
      <c r="B3859" s="6" t="n">
        <v>46005</v>
      </c>
      <c r="C3859" t="n">
        <v>17602</v>
      </c>
      <c r="D3859" t="inlineStr">
        <is>
          <t>Delhi</t>
        </is>
      </c>
      <c r="E3859" t="inlineStr">
        <is>
          <t>North</t>
        </is>
      </c>
      <c r="F3859" t="inlineStr">
        <is>
          <t>Organic Search</t>
        </is>
      </c>
      <c r="G3859" t="inlineStr">
        <is>
          <t>Mobile App</t>
        </is>
      </c>
      <c r="H3859" t="inlineStr">
        <is>
          <t>Cash on Delivery</t>
        </is>
      </c>
      <c r="I3859" t="inlineStr">
        <is>
          <t>Delivered</t>
        </is>
      </c>
      <c r="J3859" t="n">
        <v>101</v>
      </c>
      <c r="K3859" t="n">
        <v>1</v>
      </c>
      <c r="L3859" s="7" t="n">
        <v>2099</v>
      </c>
      <c r="M3859" s="7" t="n">
        <v>0</v>
      </c>
    </row>
    <row r="3860">
      <c r="A3860" t="n">
        <v>511478</v>
      </c>
      <c r="B3860" s="6" t="n">
        <v>46005</v>
      </c>
      <c r="C3860" t="n">
        <v>17602</v>
      </c>
      <c r="D3860" t="inlineStr">
        <is>
          <t>Delhi</t>
        </is>
      </c>
      <c r="E3860" t="inlineStr">
        <is>
          <t>North</t>
        </is>
      </c>
      <c r="F3860" t="inlineStr">
        <is>
          <t>Organic Search</t>
        </is>
      </c>
      <c r="G3860" t="inlineStr">
        <is>
          <t>Mobile App</t>
        </is>
      </c>
      <c r="H3860" t="inlineStr">
        <is>
          <t>Cash on Delivery</t>
        </is>
      </c>
      <c r="I3860" t="inlineStr">
        <is>
          <t>Delivered</t>
        </is>
      </c>
      <c r="J3860" t="n">
        <v>125</v>
      </c>
      <c r="K3860" t="n">
        <v>1</v>
      </c>
      <c r="L3860" s="7" t="n">
        <v>1364</v>
      </c>
      <c r="M3860" s="7" t="n">
        <v>0</v>
      </c>
    </row>
    <row r="3861">
      <c r="A3861" t="n">
        <v>511479</v>
      </c>
      <c r="B3861" s="6" t="n">
        <v>46005</v>
      </c>
      <c r="C3861" t="n">
        <v>17759</v>
      </c>
      <c r="D3861" t="inlineStr">
        <is>
          <t>Kochi</t>
        </is>
      </c>
      <c r="E3861" t="inlineStr">
        <is>
          <t>South</t>
        </is>
      </c>
      <c r="F3861" t="inlineStr">
        <is>
          <t>Referral</t>
        </is>
      </c>
      <c r="G3861" t="inlineStr">
        <is>
          <t>Mobile App</t>
        </is>
      </c>
      <c r="H3861" t="inlineStr">
        <is>
          <t>UPI</t>
        </is>
      </c>
      <c r="I3861" t="inlineStr">
        <is>
          <t>Delivered</t>
        </is>
      </c>
      <c r="J3861" t="n">
        <v>131</v>
      </c>
      <c r="K3861" t="n">
        <v>2</v>
      </c>
      <c r="L3861" s="7" t="n">
        <v>314</v>
      </c>
      <c r="M3861" s="7" t="n">
        <v>0</v>
      </c>
    </row>
    <row r="3862">
      <c r="A3862" t="n">
        <v>511480</v>
      </c>
      <c r="B3862" s="6" t="n">
        <v>46005</v>
      </c>
      <c r="C3862" t="n">
        <v>17763</v>
      </c>
      <c r="D3862" t="inlineStr">
        <is>
          <t>Kochi</t>
        </is>
      </c>
      <c r="E3862" t="inlineStr">
        <is>
          <t>South</t>
        </is>
      </c>
      <c r="F3862" t="inlineStr">
        <is>
          <t>Affiliate</t>
        </is>
      </c>
      <c r="G3862" t="inlineStr">
        <is>
          <t>Mobile App</t>
        </is>
      </c>
      <c r="H3862" t="inlineStr">
        <is>
          <t>Credit Card</t>
        </is>
      </c>
      <c r="I3862" t="inlineStr">
        <is>
          <t>Returned</t>
        </is>
      </c>
      <c r="J3862" t="n">
        <v>133</v>
      </c>
      <c r="K3862" t="n">
        <v>2</v>
      </c>
      <c r="L3862" s="7" t="n">
        <v>419</v>
      </c>
      <c r="M3862" s="7" t="n">
        <v>41.9</v>
      </c>
    </row>
    <row r="3863">
      <c r="A3863" t="n">
        <v>511480</v>
      </c>
      <c r="B3863" s="6" t="n">
        <v>46005</v>
      </c>
      <c r="C3863" t="n">
        <v>17763</v>
      </c>
      <c r="D3863" t="inlineStr">
        <is>
          <t>Kochi</t>
        </is>
      </c>
      <c r="E3863" t="inlineStr">
        <is>
          <t>South</t>
        </is>
      </c>
      <c r="F3863" t="inlineStr">
        <is>
          <t>Affiliate</t>
        </is>
      </c>
      <c r="G3863" t="inlineStr">
        <is>
          <t>Mobile App</t>
        </is>
      </c>
      <c r="H3863" t="inlineStr">
        <is>
          <t>Credit Card</t>
        </is>
      </c>
      <c r="I3863" t="inlineStr">
        <is>
          <t>Returned</t>
        </is>
      </c>
      <c r="J3863" t="n">
        <v>113</v>
      </c>
      <c r="K3863" t="n">
        <v>1</v>
      </c>
      <c r="L3863" s="7" t="n">
        <v>1364</v>
      </c>
      <c r="M3863" s="7" t="n">
        <v>68.2</v>
      </c>
    </row>
    <row r="3864">
      <c r="A3864" t="n">
        <v>511481</v>
      </c>
      <c r="B3864" s="6" t="n">
        <v>46005</v>
      </c>
      <c r="C3864" t="n">
        <v>17775</v>
      </c>
      <c r="D3864" t="inlineStr">
        <is>
          <t>Mumbai</t>
        </is>
      </c>
      <c r="E3864" t="inlineStr">
        <is>
          <t>West</t>
        </is>
      </c>
      <c r="F3864" t="inlineStr">
        <is>
          <t>Organic Search</t>
        </is>
      </c>
      <c r="G3864" t="inlineStr">
        <is>
          <t>Mobile App</t>
        </is>
      </c>
      <c r="H3864" t="inlineStr">
        <is>
          <t>UPI</t>
        </is>
      </c>
      <c r="I3864" t="inlineStr">
        <is>
          <t>Delivered</t>
        </is>
      </c>
      <c r="J3864" t="n">
        <v>124</v>
      </c>
      <c r="K3864" t="n">
        <v>1</v>
      </c>
      <c r="L3864" s="7" t="n">
        <v>1154</v>
      </c>
      <c r="M3864" s="7" t="n">
        <v>173.1</v>
      </c>
    </row>
    <row r="3865">
      <c r="A3865" t="n">
        <v>511481</v>
      </c>
      <c r="B3865" s="6" t="n">
        <v>46005</v>
      </c>
      <c r="C3865" t="n">
        <v>17775</v>
      </c>
      <c r="D3865" t="inlineStr">
        <is>
          <t>Mumbai</t>
        </is>
      </c>
      <c r="E3865" t="inlineStr">
        <is>
          <t>West</t>
        </is>
      </c>
      <c r="F3865" t="inlineStr">
        <is>
          <t>Organic Search</t>
        </is>
      </c>
      <c r="G3865" t="inlineStr">
        <is>
          <t>Mobile App</t>
        </is>
      </c>
      <c r="H3865" t="inlineStr">
        <is>
          <t>UPI</t>
        </is>
      </c>
      <c r="I3865" t="inlineStr">
        <is>
          <t>Delivered</t>
        </is>
      </c>
      <c r="J3865" t="n">
        <v>116</v>
      </c>
      <c r="K3865" t="n">
        <v>1</v>
      </c>
      <c r="L3865" s="7" t="n">
        <v>2624</v>
      </c>
      <c r="M3865" s="7" t="n">
        <v>393.6</v>
      </c>
    </row>
    <row r="3866">
      <c r="A3866" t="n">
        <v>511482</v>
      </c>
      <c r="B3866" s="6" t="n">
        <v>46005</v>
      </c>
      <c r="C3866" t="n">
        <v>17751</v>
      </c>
      <c r="D3866" t="inlineStr">
        <is>
          <t>Indore</t>
        </is>
      </c>
      <c r="E3866" t="inlineStr">
        <is>
          <t>West</t>
        </is>
      </c>
      <c r="F3866" t="inlineStr">
        <is>
          <t>Paid Social</t>
        </is>
      </c>
      <c r="G3866" t="inlineStr">
        <is>
          <t>Mobile App</t>
        </is>
      </c>
      <c r="H3866" t="inlineStr">
        <is>
          <t>UPI</t>
        </is>
      </c>
      <c r="I3866" t="inlineStr">
        <is>
          <t>Delivered</t>
        </is>
      </c>
      <c r="J3866" t="n">
        <v>118</v>
      </c>
      <c r="K3866" t="n">
        <v>2</v>
      </c>
      <c r="L3866" s="7" t="n">
        <v>944</v>
      </c>
      <c r="M3866" s="7" t="n">
        <v>283.2</v>
      </c>
    </row>
    <row r="3867">
      <c r="A3867" t="n">
        <v>511482</v>
      </c>
      <c r="B3867" s="6" t="n">
        <v>46005</v>
      </c>
      <c r="C3867" t="n">
        <v>17751</v>
      </c>
      <c r="D3867" t="inlineStr">
        <is>
          <t>Indore</t>
        </is>
      </c>
      <c r="E3867" t="inlineStr">
        <is>
          <t>West</t>
        </is>
      </c>
      <c r="F3867" t="inlineStr">
        <is>
          <t>Paid Social</t>
        </is>
      </c>
      <c r="G3867" t="inlineStr">
        <is>
          <t>Mobile App</t>
        </is>
      </c>
      <c r="H3867" t="inlineStr">
        <is>
          <t>UPI</t>
        </is>
      </c>
      <c r="I3867" t="inlineStr">
        <is>
          <t>Delivered</t>
        </is>
      </c>
      <c r="J3867" t="n">
        <v>144</v>
      </c>
      <c r="K3867" t="n">
        <v>1</v>
      </c>
      <c r="L3867" s="7" t="n">
        <v>3149</v>
      </c>
      <c r="M3867" s="7" t="n">
        <v>472.35</v>
      </c>
    </row>
    <row r="3868">
      <c r="A3868" t="n">
        <v>511482</v>
      </c>
      <c r="B3868" s="6" t="n">
        <v>46005</v>
      </c>
      <c r="C3868" t="n">
        <v>17751</v>
      </c>
      <c r="D3868" t="inlineStr">
        <is>
          <t>Indore</t>
        </is>
      </c>
      <c r="E3868" t="inlineStr">
        <is>
          <t>West</t>
        </is>
      </c>
      <c r="F3868" t="inlineStr">
        <is>
          <t>Paid Social</t>
        </is>
      </c>
      <c r="G3868" t="inlineStr">
        <is>
          <t>Mobile App</t>
        </is>
      </c>
      <c r="H3868" t="inlineStr">
        <is>
          <t>UPI</t>
        </is>
      </c>
      <c r="I3868" t="inlineStr">
        <is>
          <t>Delivered</t>
        </is>
      </c>
      <c r="J3868" t="n">
        <v>114</v>
      </c>
      <c r="K3868" t="n">
        <v>3</v>
      </c>
      <c r="L3868" s="7" t="n">
        <v>1259</v>
      </c>
      <c r="M3868" s="7" t="n">
        <v>566.55</v>
      </c>
    </row>
    <row r="3869">
      <c r="A3869" t="n">
        <v>511482</v>
      </c>
      <c r="B3869" s="6" t="n">
        <v>46005</v>
      </c>
      <c r="C3869" t="n">
        <v>17751</v>
      </c>
      <c r="D3869" t="inlineStr">
        <is>
          <t>Indore</t>
        </is>
      </c>
      <c r="E3869" t="inlineStr">
        <is>
          <t>West</t>
        </is>
      </c>
      <c r="F3869" t="inlineStr">
        <is>
          <t>Paid Social</t>
        </is>
      </c>
      <c r="G3869" t="inlineStr">
        <is>
          <t>Mobile App</t>
        </is>
      </c>
      <c r="H3869" t="inlineStr">
        <is>
          <t>UPI</t>
        </is>
      </c>
      <c r="I3869" t="inlineStr">
        <is>
          <t>Delivered</t>
        </is>
      </c>
      <c r="J3869" t="n">
        <v>103</v>
      </c>
      <c r="K3869" t="n">
        <v>1</v>
      </c>
      <c r="L3869" s="7" t="n">
        <v>2624</v>
      </c>
      <c r="M3869" s="7" t="n">
        <v>393.6</v>
      </c>
    </row>
    <row r="3870">
      <c r="A3870" t="n">
        <v>511483</v>
      </c>
      <c r="B3870" s="6" t="n">
        <v>46005</v>
      </c>
      <c r="C3870" t="n">
        <v>17333</v>
      </c>
      <c r="D3870" t="inlineStr">
        <is>
          <t>Kochi</t>
        </is>
      </c>
      <c r="E3870" t="inlineStr">
        <is>
          <t>South</t>
        </is>
      </c>
      <c r="F3870" t="inlineStr">
        <is>
          <t>Referral</t>
        </is>
      </c>
      <c r="G3870" t="inlineStr">
        <is>
          <t>Desktop</t>
        </is>
      </c>
      <c r="H3870" t="inlineStr">
        <is>
          <t>Net Banking</t>
        </is>
      </c>
      <c r="I3870" t="inlineStr">
        <is>
          <t>Delivered</t>
        </is>
      </c>
      <c r="J3870" t="n">
        <v>108</v>
      </c>
      <c r="K3870" t="n">
        <v>1</v>
      </c>
      <c r="L3870" s="7" t="n">
        <v>419</v>
      </c>
      <c r="M3870" s="7" t="n">
        <v>62.85</v>
      </c>
    </row>
    <row r="3871">
      <c r="A3871" t="n">
        <v>511483</v>
      </c>
      <c r="B3871" s="6" t="n">
        <v>46005</v>
      </c>
      <c r="C3871" t="n">
        <v>17333</v>
      </c>
      <c r="D3871" t="inlineStr">
        <is>
          <t>Kochi</t>
        </is>
      </c>
      <c r="E3871" t="inlineStr">
        <is>
          <t>South</t>
        </is>
      </c>
      <c r="F3871" t="inlineStr">
        <is>
          <t>Referral</t>
        </is>
      </c>
      <c r="G3871" t="inlineStr">
        <is>
          <t>Desktop</t>
        </is>
      </c>
      <c r="H3871" t="inlineStr">
        <is>
          <t>Net Banking</t>
        </is>
      </c>
      <c r="I3871" t="inlineStr">
        <is>
          <t>Delivered</t>
        </is>
      </c>
      <c r="J3871" t="n">
        <v>111</v>
      </c>
      <c r="K3871" t="n">
        <v>1</v>
      </c>
      <c r="L3871" s="7" t="n">
        <v>524</v>
      </c>
      <c r="M3871" s="7" t="n">
        <v>78.59999999999999</v>
      </c>
    </row>
    <row r="3872">
      <c r="A3872" t="n">
        <v>511484</v>
      </c>
      <c r="B3872" s="6" t="n">
        <v>46005</v>
      </c>
      <c r="C3872" t="n">
        <v>17756</v>
      </c>
      <c r="D3872" t="inlineStr">
        <is>
          <t>Bengaluru</t>
        </is>
      </c>
      <c r="E3872" t="inlineStr">
        <is>
          <t>South</t>
        </is>
      </c>
      <c r="F3872" t="inlineStr">
        <is>
          <t>Referral</t>
        </is>
      </c>
      <c r="G3872" t="inlineStr">
        <is>
          <t>Mobile App</t>
        </is>
      </c>
      <c r="H3872" t="inlineStr">
        <is>
          <t>Net Banking</t>
        </is>
      </c>
      <c r="I3872" t="inlineStr">
        <is>
          <t>Delivered</t>
        </is>
      </c>
      <c r="J3872" t="n">
        <v>135</v>
      </c>
      <c r="K3872" t="n">
        <v>1</v>
      </c>
      <c r="L3872" s="7" t="n">
        <v>1574</v>
      </c>
      <c r="M3872" s="7" t="n">
        <v>236.1</v>
      </c>
    </row>
    <row r="3873">
      <c r="A3873" t="n">
        <v>511485</v>
      </c>
      <c r="B3873" s="6" t="n">
        <v>46005</v>
      </c>
      <c r="C3873" t="n">
        <v>14167</v>
      </c>
      <c r="D3873" t="inlineStr">
        <is>
          <t>Delhi</t>
        </is>
      </c>
      <c r="E3873" t="inlineStr">
        <is>
          <t>North</t>
        </is>
      </c>
      <c r="F3873" t="inlineStr">
        <is>
          <t>Referral</t>
        </is>
      </c>
      <c r="G3873" t="inlineStr">
        <is>
          <t>Mobile App</t>
        </is>
      </c>
      <c r="H3873" t="inlineStr">
        <is>
          <t>UPI</t>
        </is>
      </c>
      <c r="I3873" t="inlineStr">
        <is>
          <t>Returned</t>
        </is>
      </c>
      <c r="J3873" t="n">
        <v>118</v>
      </c>
      <c r="K3873" t="n">
        <v>1</v>
      </c>
      <c r="L3873" s="7" t="n">
        <v>944</v>
      </c>
      <c r="M3873" s="7" t="n">
        <v>0</v>
      </c>
    </row>
    <row r="3874">
      <c r="A3874" t="n">
        <v>511485</v>
      </c>
      <c r="B3874" s="6" t="n">
        <v>46005</v>
      </c>
      <c r="C3874" t="n">
        <v>14167</v>
      </c>
      <c r="D3874" t="inlineStr">
        <is>
          <t>Delhi</t>
        </is>
      </c>
      <c r="E3874" t="inlineStr">
        <is>
          <t>North</t>
        </is>
      </c>
      <c r="F3874" t="inlineStr">
        <is>
          <t>Referral</t>
        </is>
      </c>
      <c r="G3874" t="inlineStr">
        <is>
          <t>Mobile App</t>
        </is>
      </c>
      <c r="H3874" t="inlineStr">
        <is>
          <t>UPI</t>
        </is>
      </c>
      <c r="I3874" t="inlineStr">
        <is>
          <t>Returned</t>
        </is>
      </c>
      <c r="J3874" t="n">
        <v>126</v>
      </c>
      <c r="K3874" t="n">
        <v>1</v>
      </c>
      <c r="L3874" s="7" t="n">
        <v>471</v>
      </c>
      <c r="M3874" s="7" t="n">
        <v>0</v>
      </c>
    </row>
    <row r="3875">
      <c r="A3875" t="n">
        <v>511486</v>
      </c>
      <c r="B3875" s="6" t="n">
        <v>46005</v>
      </c>
      <c r="C3875" t="n">
        <v>17766</v>
      </c>
      <c r="D3875" t="inlineStr">
        <is>
          <t>Chandigarh</t>
        </is>
      </c>
      <c r="E3875" t="inlineStr">
        <is>
          <t>North</t>
        </is>
      </c>
      <c r="F3875" t="inlineStr">
        <is>
          <t>Paid Search</t>
        </is>
      </c>
      <c r="G3875" t="inlineStr">
        <is>
          <t>Mobile App</t>
        </is>
      </c>
      <c r="H3875" t="inlineStr">
        <is>
          <t>UPI</t>
        </is>
      </c>
      <c r="I3875" t="inlineStr">
        <is>
          <t>Returned</t>
        </is>
      </c>
      <c r="J3875" t="n">
        <v>113</v>
      </c>
      <c r="K3875" t="n">
        <v>2</v>
      </c>
      <c r="L3875" s="7" t="n">
        <v>1364</v>
      </c>
      <c r="M3875" s="7" t="n">
        <v>0</v>
      </c>
    </row>
    <row r="3876">
      <c r="A3876" t="n">
        <v>511486</v>
      </c>
      <c r="B3876" s="6" t="n">
        <v>46005</v>
      </c>
      <c r="C3876" t="n">
        <v>17766</v>
      </c>
      <c r="D3876" t="inlineStr">
        <is>
          <t>Chandigarh</t>
        </is>
      </c>
      <c r="E3876" t="inlineStr">
        <is>
          <t>North</t>
        </is>
      </c>
      <c r="F3876" t="inlineStr">
        <is>
          <t>Paid Search</t>
        </is>
      </c>
      <c r="G3876" t="inlineStr">
        <is>
          <t>Mobile App</t>
        </is>
      </c>
      <c r="H3876" t="inlineStr">
        <is>
          <t>UPI</t>
        </is>
      </c>
      <c r="I3876" t="inlineStr">
        <is>
          <t>Returned</t>
        </is>
      </c>
      <c r="J3876" t="n">
        <v>123</v>
      </c>
      <c r="K3876" t="n">
        <v>1</v>
      </c>
      <c r="L3876" s="7" t="n">
        <v>3464</v>
      </c>
      <c r="M3876" s="7" t="n">
        <v>0</v>
      </c>
    </row>
    <row r="3877">
      <c r="A3877" t="n">
        <v>511486</v>
      </c>
      <c r="B3877" s="6" t="n">
        <v>46005</v>
      </c>
      <c r="C3877" t="n">
        <v>17766</v>
      </c>
      <c r="D3877" t="inlineStr">
        <is>
          <t>Chandigarh</t>
        </is>
      </c>
      <c r="E3877" t="inlineStr">
        <is>
          <t>North</t>
        </is>
      </c>
      <c r="F3877" t="inlineStr">
        <is>
          <t>Paid Search</t>
        </is>
      </c>
      <c r="G3877" t="inlineStr">
        <is>
          <t>Mobile App</t>
        </is>
      </c>
      <c r="H3877" t="inlineStr">
        <is>
          <t>UPI</t>
        </is>
      </c>
      <c r="I3877" t="inlineStr">
        <is>
          <t>Returned</t>
        </is>
      </c>
      <c r="J3877" t="n">
        <v>104</v>
      </c>
      <c r="K3877" t="n">
        <v>1</v>
      </c>
      <c r="L3877" s="7" t="n">
        <v>5249</v>
      </c>
      <c r="M3877" s="7" t="n">
        <v>0</v>
      </c>
    </row>
    <row r="3878">
      <c r="A3878" t="n">
        <v>511487</v>
      </c>
      <c r="B3878" s="6" t="n">
        <v>46005</v>
      </c>
      <c r="C3878" t="n">
        <v>17707</v>
      </c>
      <c r="D3878" t="inlineStr">
        <is>
          <t>Pune</t>
        </is>
      </c>
      <c r="E3878" t="inlineStr">
        <is>
          <t>West</t>
        </is>
      </c>
      <c r="F3878" t="inlineStr">
        <is>
          <t>Paid Social</t>
        </is>
      </c>
      <c r="G3878" t="inlineStr">
        <is>
          <t>Mobile Web</t>
        </is>
      </c>
      <c r="H3878" t="inlineStr">
        <is>
          <t>UPI</t>
        </is>
      </c>
      <c r="I3878" t="inlineStr">
        <is>
          <t>Delivered</t>
        </is>
      </c>
      <c r="J3878" t="n">
        <v>141</v>
      </c>
      <c r="K3878" t="n">
        <v>1</v>
      </c>
      <c r="L3878" s="7" t="n">
        <v>261</v>
      </c>
      <c r="M3878" s="7" t="n">
        <v>39.15</v>
      </c>
    </row>
    <row r="3879">
      <c r="A3879" t="n">
        <v>511487</v>
      </c>
      <c r="B3879" s="6" t="n">
        <v>46005</v>
      </c>
      <c r="C3879" t="n">
        <v>17707</v>
      </c>
      <c r="D3879" t="inlineStr">
        <is>
          <t>Pune</t>
        </is>
      </c>
      <c r="E3879" t="inlineStr">
        <is>
          <t>West</t>
        </is>
      </c>
      <c r="F3879" t="inlineStr">
        <is>
          <t>Paid Social</t>
        </is>
      </c>
      <c r="G3879" t="inlineStr">
        <is>
          <t>Mobile Web</t>
        </is>
      </c>
      <c r="H3879" t="inlineStr">
        <is>
          <t>UPI</t>
        </is>
      </c>
      <c r="I3879" t="inlineStr">
        <is>
          <t>Delivered</t>
        </is>
      </c>
      <c r="J3879" t="n">
        <v>127</v>
      </c>
      <c r="K3879" t="n">
        <v>1</v>
      </c>
      <c r="L3879" s="7" t="n">
        <v>681</v>
      </c>
      <c r="M3879" s="7" t="n">
        <v>102.15</v>
      </c>
    </row>
    <row r="3880">
      <c r="A3880" t="n">
        <v>511488</v>
      </c>
      <c r="B3880" s="6" t="n">
        <v>46005</v>
      </c>
      <c r="C3880" t="n">
        <v>14553</v>
      </c>
      <c r="D3880" t="inlineStr">
        <is>
          <t>Kolkata</t>
        </is>
      </c>
      <c r="E3880" t="inlineStr">
        <is>
          <t>East</t>
        </is>
      </c>
      <c r="F3880" t="inlineStr">
        <is>
          <t>Paid Social</t>
        </is>
      </c>
      <c r="G3880" t="inlineStr">
        <is>
          <t>Mobile App</t>
        </is>
      </c>
      <c r="H3880" t="inlineStr">
        <is>
          <t>UPI</t>
        </is>
      </c>
      <c r="I3880" t="inlineStr">
        <is>
          <t>Delivered</t>
        </is>
      </c>
      <c r="J3880" t="n">
        <v>134</v>
      </c>
      <c r="K3880" t="n">
        <v>2</v>
      </c>
      <c r="L3880" s="7" t="n">
        <v>209</v>
      </c>
      <c r="M3880" s="7" t="n">
        <v>0</v>
      </c>
    </row>
    <row r="3881">
      <c r="A3881" t="n">
        <v>511489</v>
      </c>
      <c r="B3881" s="6" t="n">
        <v>46006</v>
      </c>
      <c r="C3881" t="n">
        <v>17632</v>
      </c>
      <c r="D3881" t="inlineStr">
        <is>
          <t>Delhi</t>
        </is>
      </c>
      <c r="E3881" t="inlineStr">
        <is>
          <t>North</t>
        </is>
      </c>
      <c r="F3881" t="inlineStr">
        <is>
          <t>Referral</t>
        </is>
      </c>
      <c r="G3881" t="inlineStr">
        <is>
          <t>Mobile App</t>
        </is>
      </c>
      <c r="H3881" t="inlineStr">
        <is>
          <t>UPI</t>
        </is>
      </c>
      <c r="I3881" t="inlineStr">
        <is>
          <t>Delivered</t>
        </is>
      </c>
      <c r="J3881" t="n">
        <v>147</v>
      </c>
      <c r="K3881" t="n">
        <v>2</v>
      </c>
      <c r="L3881" s="7" t="n">
        <v>1364</v>
      </c>
      <c r="M3881" s="7" t="n">
        <v>409.2</v>
      </c>
    </row>
    <row r="3882">
      <c r="A3882" t="n">
        <v>511489</v>
      </c>
      <c r="B3882" s="6" t="n">
        <v>46006</v>
      </c>
      <c r="C3882" t="n">
        <v>17632</v>
      </c>
      <c r="D3882" t="inlineStr">
        <is>
          <t>Delhi</t>
        </is>
      </c>
      <c r="E3882" t="inlineStr">
        <is>
          <t>North</t>
        </is>
      </c>
      <c r="F3882" t="inlineStr">
        <is>
          <t>Referral</t>
        </is>
      </c>
      <c r="G3882" t="inlineStr">
        <is>
          <t>Mobile App</t>
        </is>
      </c>
      <c r="H3882" t="inlineStr">
        <is>
          <t>UPI</t>
        </is>
      </c>
      <c r="I3882" t="inlineStr">
        <is>
          <t>Delivered</t>
        </is>
      </c>
      <c r="J3882" t="n">
        <v>121</v>
      </c>
      <c r="K3882" t="n">
        <v>1</v>
      </c>
      <c r="L3882" s="7" t="n">
        <v>2939</v>
      </c>
      <c r="M3882" s="7" t="n">
        <v>440.85</v>
      </c>
    </row>
    <row r="3883">
      <c r="A3883" t="n">
        <v>511490</v>
      </c>
      <c r="B3883" s="6" t="n">
        <v>46006</v>
      </c>
      <c r="C3883" t="n">
        <v>10861</v>
      </c>
      <c r="D3883" t="inlineStr">
        <is>
          <t>Bengaluru</t>
        </is>
      </c>
      <c r="E3883" t="inlineStr">
        <is>
          <t>South</t>
        </is>
      </c>
      <c r="F3883" t="inlineStr">
        <is>
          <t>Email</t>
        </is>
      </c>
      <c r="G3883" t="inlineStr">
        <is>
          <t>Mobile Web</t>
        </is>
      </c>
      <c r="H3883" t="inlineStr">
        <is>
          <t>UPI</t>
        </is>
      </c>
      <c r="I3883" t="inlineStr">
        <is>
          <t>Returned</t>
        </is>
      </c>
      <c r="J3883" t="n">
        <v>112</v>
      </c>
      <c r="K3883" t="n">
        <v>1</v>
      </c>
      <c r="L3883" s="7" t="n">
        <v>1574</v>
      </c>
      <c r="M3883" s="7" t="n">
        <v>0</v>
      </c>
    </row>
    <row r="3884">
      <c r="A3884" t="n">
        <v>511490</v>
      </c>
      <c r="B3884" s="6" t="n">
        <v>46006</v>
      </c>
      <c r="C3884" t="n">
        <v>10861</v>
      </c>
      <c r="D3884" t="inlineStr">
        <is>
          <t>Bengaluru</t>
        </is>
      </c>
      <c r="E3884" t="inlineStr">
        <is>
          <t>South</t>
        </is>
      </c>
      <c r="F3884" t="inlineStr">
        <is>
          <t>Email</t>
        </is>
      </c>
      <c r="G3884" t="inlineStr">
        <is>
          <t>Mobile Web</t>
        </is>
      </c>
      <c r="H3884" t="inlineStr">
        <is>
          <t>UPI</t>
        </is>
      </c>
      <c r="I3884" t="inlineStr">
        <is>
          <t>Returned</t>
        </is>
      </c>
      <c r="J3884" t="n">
        <v>128</v>
      </c>
      <c r="K3884" t="n">
        <v>2</v>
      </c>
      <c r="L3884" s="7" t="n">
        <v>1049</v>
      </c>
      <c r="M3884" s="7" t="n">
        <v>0</v>
      </c>
    </row>
    <row r="3885">
      <c r="A3885" t="n">
        <v>511491</v>
      </c>
      <c r="B3885" s="6" t="n">
        <v>46006</v>
      </c>
      <c r="C3885" t="n">
        <v>17689</v>
      </c>
      <c r="D3885" t="inlineStr">
        <is>
          <t>Pune</t>
        </is>
      </c>
      <c r="E3885" t="inlineStr">
        <is>
          <t>West</t>
        </is>
      </c>
      <c r="F3885" t="inlineStr">
        <is>
          <t>Organic Search</t>
        </is>
      </c>
      <c r="G3885" t="inlineStr">
        <is>
          <t>Mobile App</t>
        </is>
      </c>
      <c r="H3885" t="inlineStr">
        <is>
          <t>UPI</t>
        </is>
      </c>
      <c r="I3885" t="inlineStr">
        <is>
          <t>Delivered</t>
        </is>
      </c>
      <c r="J3885" t="n">
        <v>118</v>
      </c>
      <c r="K3885" t="n">
        <v>2</v>
      </c>
      <c r="L3885" s="7" t="n">
        <v>944</v>
      </c>
      <c r="M3885" s="7" t="n">
        <v>0</v>
      </c>
    </row>
    <row r="3886">
      <c r="A3886" t="n">
        <v>511492</v>
      </c>
      <c r="B3886" s="6" t="n">
        <v>46006</v>
      </c>
      <c r="C3886" t="n">
        <v>17097</v>
      </c>
      <c r="D3886" t="inlineStr">
        <is>
          <t>Delhi</t>
        </is>
      </c>
      <c r="E3886" t="inlineStr">
        <is>
          <t>North</t>
        </is>
      </c>
      <c r="F3886" t="inlineStr">
        <is>
          <t>Paid Search</t>
        </is>
      </c>
      <c r="G3886" t="inlineStr">
        <is>
          <t>Mobile App</t>
        </is>
      </c>
      <c r="H3886" t="inlineStr">
        <is>
          <t>UPI</t>
        </is>
      </c>
      <c r="I3886" t="inlineStr">
        <is>
          <t>Returned</t>
        </is>
      </c>
      <c r="J3886" t="n">
        <v>120</v>
      </c>
      <c r="K3886" t="n">
        <v>1</v>
      </c>
      <c r="L3886" s="7" t="n">
        <v>734</v>
      </c>
      <c r="M3886" s="7" t="n">
        <v>0</v>
      </c>
    </row>
    <row r="3887">
      <c r="A3887" t="n">
        <v>511493</v>
      </c>
      <c r="B3887" s="6" t="n">
        <v>46006</v>
      </c>
      <c r="C3887" t="n">
        <v>14628</v>
      </c>
      <c r="D3887" t="inlineStr">
        <is>
          <t>Jaipur</t>
        </is>
      </c>
      <c r="E3887" t="inlineStr">
        <is>
          <t>North</t>
        </is>
      </c>
      <c r="F3887" t="inlineStr">
        <is>
          <t>Referral</t>
        </is>
      </c>
      <c r="G3887" t="inlineStr">
        <is>
          <t>Mobile Web</t>
        </is>
      </c>
      <c r="H3887" t="inlineStr">
        <is>
          <t>Debit Card</t>
        </is>
      </c>
      <c r="I3887" t="inlineStr">
        <is>
          <t>Delivered</t>
        </is>
      </c>
      <c r="J3887" t="n">
        <v>107</v>
      </c>
      <c r="K3887" t="n">
        <v>1</v>
      </c>
      <c r="L3887" s="7" t="n">
        <v>1259</v>
      </c>
      <c r="M3887" s="7" t="n">
        <v>0</v>
      </c>
    </row>
    <row r="3888">
      <c r="A3888" t="n">
        <v>511493</v>
      </c>
      <c r="B3888" s="6" t="n">
        <v>46006</v>
      </c>
      <c r="C3888" t="n">
        <v>14628</v>
      </c>
      <c r="D3888" t="inlineStr">
        <is>
          <t>Jaipur</t>
        </is>
      </c>
      <c r="E3888" t="inlineStr">
        <is>
          <t>North</t>
        </is>
      </c>
      <c r="F3888" t="inlineStr">
        <is>
          <t>Referral</t>
        </is>
      </c>
      <c r="G3888" t="inlineStr">
        <is>
          <t>Mobile Web</t>
        </is>
      </c>
      <c r="H3888" t="inlineStr">
        <is>
          <t>Debit Card</t>
        </is>
      </c>
      <c r="I3888" t="inlineStr">
        <is>
          <t>Delivered</t>
        </is>
      </c>
      <c r="J3888" t="n">
        <v>118</v>
      </c>
      <c r="K3888" t="n">
        <v>2</v>
      </c>
      <c r="L3888" s="7" t="n">
        <v>944</v>
      </c>
      <c r="M3888" s="7" t="n">
        <v>0</v>
      </c>
    </row>
    <row r="3889">
      <c r="A3889" t="n">
        <v>511494</v>
      </c>
      <c r="B3889" s="6" t="n">
        <v>46006</v>
      </c>
      <c r="C3889" t="n">
        <v>17620</v>
      </c>
      <c r="D3889" t="inlineStr">
        <is>
          <t>Indore</t>
        </is>
      </c>
      <c r="E3889" t="inlineStr">
        <is>
          <t>West</t>
        </is>
      </c>
      <c r="F3889" t="inlineStr">
        <is>
          <t>Organic Search</t>
        </is>
      </c>
      <c r="G3889" t="inlineStr">
        <is>
          <t>Mobile Web</t>
        </is>
      </c>
      <c r="H3889" t="inlineStr">
        <is>
          <t>UPI</t>
        </is>
      </c>
      <c r="I3889" t="inlineStr">
        <is>
          <t>Delivered</t>
        </is>
      </c>
      <c r="J3889" t="n">
        <v>120</v>
      </c>
      <c r="K3889" t="n">
        <v>1</v>
      </c>
      <c r="L3889" s="7" t="n">
        <v>734</v>
      </c>
      <c r="M3889" s="7" t="n">
        <v>0</v>
      </c>
    </row>
    <row r="3890">
      <c r="A3890" t="n">
        <v>511494</v>
      </c>
      <c r="B3890" s="6" t="n">
        <v>46006</v>
      </c>
      <c r="C3890" t="n">
        <v>17620</v>
      </c>
      <c r="D3890" t="inlineStr">
        <is>
          <t>Indore</t>
        </is>
      </c>
      <c r="E3890" t="inlineStr">
        <is>
          <t>West</t>
        </is>
      </c>
      <c r="F3890" t="inlineStr">
        <is>
          <t>Organic Search</t>
        </is>
      </c>
      <c r="G3890" t="inlineStr">
        <is>
          <t>Mobile Web</t>
        </is>
      </c>
      <c r="H3890" t="inlineStr">
        <is>
          <t>UPI</t>
        </is>
      </c>
      <c r="I3890" t="inlineStr">
        <is>
          <t>Delivered</t>
        </is>
      </c>
      <c r="J3890" t="n">
        <v>125</v>
      </c>
      <c r="K3890" t="n">
        <v>1</v>
      </c>
      <c r="L3890" s="7" t="n">
        <v>1364</v>
      </c>
      <c r="M3890" s="7" t="n">
        <v>0</v>
      </c>
    </row>
    <row r="3891">
      <c r="A3891" t="n">
        <v>511494</v>
      </c>
      <c r="B3891" s="6" t="n">
        <v>46006</v>
      </c>
      <c r="C3891" t="n">
        <v>17620</v>
      </c>
      <c r="D3891" t="inlineStr">
        <is>
          <t>Indore</t>
        </is>
      </c>
      <c r="E3891" t="inlineStr">
        <is>
          <t>West</t>
        </is>
      </c>
      <c r="F3891" t="inlineStr">
        <is>
          <t>Organic Search</t>
        </is>
      </c>
      <c r="G3891" t="inlineStr">
        <is>
          <t>Mobile Web</t>
        </is>
      </c>
      <c r="H3891" t="inlineStr">
        <is>
          <t>UPI</t>
        </is>
      </c>
      <c r="I3891" t="inlineStr">
        <is>
          <t>Delivered</t>
        </is>
      </c>
      <c r="J3891" t="n">
        <v>143</v>
      </c>
      <c r="K3891" t="n">
        <v>2</v>
      </c>
      <c r="L3891" s="7" t="n">
        <v>839</v>
      </c>
      <c r="M3891" s="7" t="n">
        <v>0</v>
      </c>
    </row>
    <row r="3892">
      <c r="A3892" t="n">
        <v>511495</v>
      </c>
      <c r="B3892" s="6" t="n">
        <v>46006</v>
      </c>
      <c r="C3892" t="n">
        <v>16940</v>
      </c>
      <c r="D3892" t="inlineStr">
        <is>
          <t>Jaipur</t>
        </is>
      </c>
      <c r="E3892" t="inlineStr">
        <is>
          <t>North</t>
        </is>
      </c>
      <c r="F3892" t="inlineStr">
        <is>
          <t>Paid Social</t>
        </is>
      </c>
      <c r="G3892" t="inlineStr">
        <is>
          <t>Mobile App</t>
        </is>
      </c>
      <c r="H3892" t="inlineStr">
        <is>
          <t>UPI</t>
        </is>
      </c>
      <c r="I3892" t="inlineStr">
        <is>
          <t>Delivered</t>
        </is>
      </c>
      <c r="J3892" t="n">
        <v>102</v>
      </c>
      <c r="K3892" t="n">
        <v>3</v>
      </c>
      <c r="L3892" s="7" t="n">
        <v>3674</v>
      </c>
      <c r="M3892" s="7" t="n">
        <v>0</v>
      </c>
    </row>
    <row r="3893">
      <c r="A3893" t="n">
        <v>511496</v>
      </c>
      <c r="B3893" s="6" t="n">
        <v>46006</v>
      </c>
      <c r="C3893" t="n">
        <v>17220</v>
      </c>
      <c r="D3893" t="inlineStr">
        <is>
          <t>Hyderabad</t>
        </is>
      </c>
      <c r="E3893" t="inlineStr">
        <is>
          <t>South</t>
        </is>
      </c>
      <c r="F3893" t="inlineStr">
        <is>
          <t>Referral</t>
        </is>
      </c>
      <c r="G3893" t="inlineStr">
        <is>
          <t>Mobile App</t>
        </is>
      </c>
      <c r="H3893" t="inlineStr">
        <is>
          <t>UPI</t>
        </is>
      </c>
      <c r="I3893" t="inlineStr">
        <is>
          <t>Delivered</t>
        </is>
      </c>
      <c r="J3893" t="n">
        <v>103</v>
      </c>
      <c r="K3893" t="n">
        <v>1</v>
      </c>
      <c r="L3893" s="7" t="n">
        <v>2624</v>
      </c>
      <c r="M3893" s="7" t="n">
        <v>0</v>
      </c>
    </row>
    <row r="3894">
      <c r="A3894" t="n">
        <v>511496</v>
      </c>
      <c r="B3894" s="6" t="n">
        <v>46006</v>
      </c>
      <c r="C3894" t="n">
        <v>17220</v>
      </c>
      <c r="D3894" t="inlineStr">
        <is>
          <t>Hyderabad</t>
        </is>
      </c>
      <c r="E3894" t="inlineStr">
        <is>
          <t>South</t>
        </is>
      </c>
      <c r="F3894" t="inlineStr">
        <is>
          <t>Referral</t>
        </is>
      </c>
      <c r="G3894" t="inlineStr">
        <is>
          <t>Mobile App</t>
        </is>
      </c>
      <c r="H3894" t="inlineStr">
        <is>
          <t>UPI</t>
        </is>
      </c>
      <c r="I3894" t="inlineStr">
        <is>
          <t>Delivered</t>
        </is>
      </c>
      <c r="J3894" t="n">
        <v>118</v>
      </c>
      <c r="K3894" t="n">
        <v>1</v>
      </c>
      <c r="L3894" s="7" t="n">
        <v>944</v>
      </c>
      <c r="M3894" s="7" t="n">
        <v>0</v>
      </c>
    </row>
    <row r="3895">
      <c r="A3895" t="n">
        <v>511496</v>
      </c>
      <c r="B3895" s="6" t="n">
        <v>46006</v>
      </c>
      <c r="C3895" t="n">
        <v>17220</v>
      </c>
      <c r="D3895" t="inlineStr">
        <is>
          <t>Hyderabad</t>
        </is>
      </c>
      <c r="E3895" t="inlineStr">
        <is>
          <t>South</t>
        </is>
      </c>
      <c r="F3895" t="inlineStr">
        <is>
          <t>Referral</t>
        </is>
      </c>
      <c r="G3895" t="inlineStr">
        <is>
          <t>Mobile App</t>
        </is>
      </c>
      <c r="H3895" t="inlineStr">
        <is>
          <t>UPI</t>
        </is>
      </c>
      <c r="I3895" t="inlineStr">
        <is>
          <t>Delivered</t>
        </is>
      </c>
      <c r="J3895" t="n">
        <v>104</v>
      </c>
      <c r="K3895" t="n">
        <v>1</v>
      </c>
      <c r="L3895" s="7" t="n">
        <v>5249</v>
      </c>
      <c r="M3895" s="7" t="n">
        <v>0</v>
      </c>
    </row>
    <row r="3896">
      <c r="A3896" t="n">
        <v>511497</v>
      </c>
      <c r="B3896" s="6" t="n">
        <v>46006</v>
      </c>
      <c r="C3896" t="n">
        <v>15839</v>
      </c>
      <c r="D3896" t="inlineStr">
        <is>
          <t>Gurugram</t>
        </is>
      </c>
      <c r="E3896" t="inlineStr">
        <is>
          <t>North</t>
        </is>
      </c>
      <c r="F3896" t="inlineStr">
        <is>
          <t>Paid Search</t>
        </is>
      </c>
      <c r="G3896" t="inlineStr">
        <is>
          <t>Mobile Web</t>
        </is>
      </c>
      <c r="H3896" t="inlineStr">
        <is>
          <t>UPI</t>
        </is>
      </c>
      <c r="I3896" t="inlineStr">
        <is>
          <t>Delivered</t>
        </is>
      </c>
      <c r="J3896" t="n">
        <v>140</v>
      </c>
      <c r="K3896" t="n">
        <v>1</v>
      </c>
      <c r="L3896" s="7" t="n">
        <v>629</v>
      </c>
      <c r="M3896" s="7" t="n">
        <v>0</v>
      </c>
    </row>
    <row r="3897">
      <c r="A3897" t="n">
        <v>511498</v>
      </c>
      <c r="B3897" s="6" t="n">
        <v>46006</v>
      </c>
      <c r="C3897" t="n">
        <v>17788</v>
      </c>
      <c r="D3897" t="inlineStr">
        <is>
          <t>Chennai</t>
        </is>
      </c>
      <c r="E3897" t="inlineStr">
        <is>
          <t>South</t>
        </is>
      </c>
      <c r="F3897" t="inlineStr">
        <is>
          <t>Paid Social</t>
        </is>
      </c>
      <c r="G3897" t="inlineStr">
        <is>
          <t>Mobile Web</t>
        </is>
      </c>
      <c r="H3897" t="inlineStr">
        <is>
          <t>UPI</t>
        </is>
      </c>
      <c r="I3897" t="inlineStr">
        <is>
          <t>Delivered</t>
        </is>
      </c>
      <c r="J3897" t="n">
        <v>124</v>
      </c>
      <c r="K3897" t="n">
        <v>1</v>
      </c>
      <c r="L3897" s="7" t="n">
        <v>1154</v>
      </c>
      <c r="M3897" s="7" t="n">
        <v>0</v>
      </c>
    </row>
    <row r="3898">
      <c r="A3898" t="n">
        <v>511498</v>
      </c>
      <c r="B3898" s="6" t="n">
        <v>46006</v>
      </c>
      <c r="C3898" t="n">
        <v>17788</v>
      </c>
      <c r="D3898" t="inlineStr">
        <is>
          <t>Chennai</t>
        </is>
      </c>
      <c r="E3898" t="inlineStr">
        <is>
          <t>South</t>
        </is>
      </c>
      <c r="F3898" t="inlineStr">
        <is>
          <t>Paid Social</t>
        </is>
      </c>
      <c r="G3898" t="inlineStr">
        <is>
          <t>Mobile Web</t>
        </is>
      </c>
      <c r="H3898" t="inlineStr">
        <is>
          <t>UPI</t>
        </is>
      </c>
      <c r="I3898" t="inlineStr">
        <is>
          <t>Delivered</t>
        </is>
      </c>
      <c r="J3898" t="n">
        <v>117</v>
      </c>
      <c r="K3898" t="n">
        <v>1</v>
      </c>
      <c r="L3898" s="7" t="n">
        <v>3149</v>
      </c>
      <c r="M3898" s="7" t="n">
        <v>0</v>
      </c>
    </row>
    <row r="3899">
      <c r="A3899" t="n">
        <v>511499</v>
      </c>
      <c r="B3899" s="6" t="n">
        <v>46006</v>
      </c>
      <c r="C3899" t="n">
        <v>17643</v>
      </c>
      <c r="D3899" t="inlineStr">
        <is>
          <t>Delhi</t>
        </is>
      </c>
      <c r="E3899" t="inlineStr">
        <is>
          <t>North</t>
        </is>
      </c>
      <c r="F3899" t="inlineStr">
        <is>
          <t>Paid Search</t>
        </is>
      </c>
      <c r="G3899" t="inlineStr">
        <is>
          <t>Mobile Web</t>
        </is>
      </c>
      <c r="H3899" t="inlineStr">
        <is>
          <t>UPI</t>
        </is>
      </c>
      <c r="I3899" t="inlineStr">
        <is>
          <t>Delivered</t>
        </is>
      </c>
      <c r="J3899" t="n">
        <v>111</v>
      </c>
      <c r="K3899" t="n">
        <v>1</v>
      </c>
      <c r="L3899" s="7" t="n">
        <v>524</v>
      </c>
      <c r="M3899" s="7" t="n">
        <v>78.59999999999999</v>
      </c>
    </row>
    <row r="3900">
      <c r="A3900" t="n">
        <v>511499</v>
      </c>
      <c r="B3900" s="6" t="n">
        <v>46006</v>
      </c>
      <c r="C3900" t="n">
        <v>17643</v>
      </c>
      <c r="D3900" t="inlineStr">
        <is>
          <t>Delhi</t>
        </is>
      </c>
      <c r="E3900" t="inlineStr">
        <is>
          <t>North</t>
        </is>
      </c>
      <c r="F3900" t="inlineStr">
        <is>
          <t>Paid Search</t>
        </is>
      </c>
      <c r="G3900" t="inlineStr">
        <is>
          <t>Mobile Web</t>
        </is>
      </c>
      <c r="H3900" t="inlineStr">
        <is>
          <t>UPI</t>
        </is>
      </c>
      <c r="I3900" t="inlineStr">
        <is>
          <t>Delivered</t>
        </is>
      </c>
      <c r="J3900" t="n">
        <v>118</v>
      </c>
      <c r="K3900" t="n">
        <v>1</v>
      </c>
      <c r="L3900" s="7" t="n">
        <v>944</v>
      </c>
      <c r="M3900" s="7" t="n">
        <v>141.6</v>
      </c>
    </row>
    <row r="3901">
      <c r="A3901" t="n">
        <v>511499</v>
      </c>
      <c r="B3901" s="6" t="n">
        <v>46006</v>
      </c>
      <c r="C3901" t="n">
        <v>17643</v>
      </c>
      <c r="D3901" t="inlineStr">
        <is>
          <t>Delhi</t>
        </is>
      </c>
      <c r="E3901" t="inlineStr">
        <is>
          <t>North</t>
        </is>
      </c>
      <c r="F3901" t="inlineStr">
        <is>
          <t>Paid Search</t>
        </is>
      </c>
      <c r="G3901" t="inlineStr">
        <is>
          <t>Mobile Web</t>
        </is>
      </c>
      <c r="H3901" t="inlineStr">
        <is>
          <t>UPI</t>
        </is>
      </c>
      <c r="I3901" t="inlineStr">
        <is>
          <t>Delivered</t>
        </is>
      </c>
      <c r="J3901" t="n">
        <v>115</v>
      </c>
      <c r="K3901" t="n">
        <v>1</v>
      </c>
      <c r="L3901" s="7" t="n">
        <v>4199</v>
      </c>
      <c r="M3901" s="7" t="n">
        <v>629.85</v>
      </c>
    </row>
    <row r="3902">
      <c r="A3902" t="n">
        <v>511500</v>
      </c>
      <c r="B3902" s="6" t="n">
        <v>46006</v>
      </c>
      <c r="C3902" t="n">
        <v>17702</v>
      </c>
      <c r="D3902" t="inlineStr">
        <is>
          <t>Kolkata</t>
        </is>
      </c>
      <c r="E3902" t="inlineStr">
        <is>
          <t>East</t>
        </is>
      </c>
      <c r="F3902" t="inlineStr">
        <is>
          <t>Referral</t>
        </is>
      </c>
      <c r="G3902" t="inlineStr">
        <is>
          <t>Mobile App</t>
        </is>
      </c>
      <c r="H3902" t="inlineStr">
        <is>
          <t>UPI</t>
        </is>
      </c>
      <c r="I3902" t="inlineStr">
        <is>
          <t>Delivered</t>
        </is>
      </c>
      <c r="J3902" t="n">
        <v>113</v>
      </c>
      <c r="K3902" t="n">
        <v>1</v>
      </c>
      <c r="L3902" s="7" t="n">
        <v>1364</v>
      </c>
      <c r="M3902" s="7" t="n">
        <v>0</v>
      </c>
    </row>
    <row r="3903">
      <c r="A3903" t="n">
        <v>511500</v>
      </c>
      <c r="B3903" s="6" t="n">
        <v>46006</v>
      </c>
      <c r="C3903" t="n">
        <v>17702</v>
      </c>
      <c r="D3903" t="inlineStr">
        <is>
          <t>Kolkata</t>
        </is>
      </c>
      <c r="E3903" t="inlineStr">
        <is>
          <t>East</t>
        </is>
      </c>
      <c r="F3903" t="inlineStr">
        <is>
          <t>Referral</t>
        </is>
      </c>
      <c r="G3903" t="inlineStr">
        <is>
          <t>Mobile App</t>
        </is>
      </c>
      <c r="H3903" t="inlineStr">
        <is>
          <t>UPI</t>
        </is>
      </c>
      <c r="I3903" t="inlineStr">
        <is>
          <t>Delivered</t>
        </is>
      </c>
      <c r="J3903" t="n">
        <v>135</v>
      </c>
      <c r="K3903" t="n">
        <v>1</v>
      </c>
      <c r="L3903" s="7" t="n">
        <v>1574</v>
      </c>
      <c r="M3903" s="7" t="n">
        <v>0</v>
      </c>
    </row>
    <row r="3904">
      <c r="A3904" t="n">
        <v>511501</v>
      </c>
      <c r="B3904" s="6" t="n">
        <v>46006</v>
      </c>
      <c r="C3904" t="n">
        <v>17745</v>
      </c>
      <c r="D3904" t="inlineStr">
        <is>
          <t>Mumbai</t>
        </is>
      </c>
      <c r="E3904" t="inlineStr">
        <is>
          <t>West</t>
        </is>
      </c>
      <c r="F3904" t="inlineStr">
        <is>
          <t>Paid Search</t>
        </is>
      </c>
      <c r="G3904" t="inlineStr">
        <is>
          <t>Desktop</t>
        </is>
      </c>
      <c r="H3904" t="inlineStr">
        <is>
          <t>UPI</t>
        </is>
      </c>
      <c r="I3904" t="inlineStr">
        <is>
          <t>Returned</t>
        </is>
      </c>
      <c r="J3904" t="n">
        <v>114</v>
      </c>
      <c r="K3904" t="n">
        <v>1</v>
      </c>
      <c r="L3904" s="7" t="n">
        <v>1259</v>
      </c>
      <c r="M3904" s="7" t="n">
        <v>188.85</v>
      </c>
    </row>
    <row r="3905">
      <c r="A3905" t="n">
        <v>511501</v>
      </c>
      <c r="B3905" s="6" t="n">
        <v>46006</v>
      </c>
      <c r="C3905" t="n">
        <v>17745</v>
      </c>
      <c r="D3905" t="inlineStr">
        <is>
          <t>Mumbai</t>
        </is>
      </c>
      <c r="E3905" t="inlineStr">
        <is>
          <t>West</t>
        </is>
      </c>
      <c r="F3905" t="inlineStr">
        <is>
          <t>Paid Search</t>
        </is>
      </c>
      <c r="G3905" t="inlineStr">
        <is>
          <t>Desktop</t>
        </is>
      </c>
      <c r="H3905" t="inlineStr">
        <is>
          <t>UPI</t>
        </is>
      </c>
      <c r="I3905" t="inlineStr">
        <is>
          <t>Returned</t>
        </is>
      </c>
      <c r="J3905" t="n">
        <v>132</v>
      </c>
      <c r="K3905" t="n">
        <v>1</v>
      </c>
      <c r="L3905" s="7" t="n">
        <v>471</v>
      </c>
      <c r="M3905" s="7" t="n">
        <v>70.65000000000001</v>
      </c>
    </row>
    <row r="3906">
      <c r="A3906" t="n">
        <v>511502</v>
      </c>
      <c r="B3906" s="6" t="n">
        <v>46006</v>
      </c>
      <c r="C3906" t="n">
        <v>14100</v>
      </c>
      <c r="D3906" t="inlineStr">
        <is>
          <t>Mumbai</t>
        </is>
      </c>
      <c r="E3906" t="inlineStr">
        <is>
          <t>West</t>
        </is>
      </c>
      <c r="F3906" t="inlineStr">
        <is>
          <t>Organic Search</t>
        </is>
      </c>
      <c r="G3906" t="inlineStr">
        <is>
          <t>Mobile App</t>
        </is>
      </c>
      <c r="H3906" t="inlineStr">
        <is>
          <t>Credit Card</t>
        </is>
      </c>
      <c r="I3906" t="inlineStr">
        <is>
          <t>Cancelled</t>
        </is>
      </c>
      <c r="J3906" t="n">
        <v>117</v>
      </c>
      <c r="K3906" t="n">
        <v>1</v>
      </c>
      <c r="L3906" s="7" t="n">
        <v>3149</v>
      </c>
      <c r="M3906" s="7" t="n">
        <v>0</v>
      </c>
    </row>
    <row r="3907">
      <c r="A3907" t="n">
        <v>511503</v>
      </c>
      <c r="B3907" s="6" t="n">
        <v>46006</v>
      </c>
      <c r="C3907" t="n">
        <v>17729</v>
      </c>
      <c r="D3907" t="inlineStr">
        <is>
          <t>Noida</t>
        </is>
      </c>
      <c r="E3907" t="inlineStr">
        <is>
          <t>North</t>
        </is>
      </c>
      <c r="F3907" t="inlineStr">
        <is>
          <t>Organic Search</t>
        </is>
      </c>
      <c r="G3907" t="inlineStr">
        <is>
          <t>Desktop</t>
        </is>
      </c>
      <c r="H3907" t="inlineStr">
        <is>
          <t>UPI</t>
        </is>
      </c>
      <c r="I3907" t="inlineStr">
        <is>
          <t>Delivered</t>
        </is>
      </c>
      <c r="J3907" t="n">
        <v>102</v>
      </c>
      <c r="K3907" t="n">
        <v>1</v>
      </c>
      <c r="L3907" s="7" t="n">
        <v>3674</v>
      </c>
      <c r="M3907" s="7" t="n">
        <v>551.1</v>
      </c>
    </row>
    <row r="3908">
      <c r="A3908" t="n">
        <v>511504</v>
      </c>
      <c r="B3908" s="6" t="n">
        <v>46006</v>
      </c>
      <c r="C3908" t="n">
        <v>15499</v>
      </c>
      <c r="D3908" t="inlineStr">
        <is>
          <t>Chennai</t>
        </is>
      </c>
      <c r="E3908" t="inlineStr">
        <is>
          <t>South</t>
        </is>
      </c>
      <c r="F3908" t="inlineStr">
        <is>
          <t>Paid Search</t>
        </is>
      </c>
      <c r="G3908" t="inlineStr">
        <is>
          <t>Mobile Web</t>
        </is>
      </c>
      <c r="H3908" t="inlineStr">
        <is>
          <t>UPI</t>
        </is>
      </c>
      <c r="I3908" t="inlineStr">
        <is>
          <t>Delivered</t>
        </is>
      </c>
      <c r="J3908" t="n">
        <v>119</v>
      </c>
      <c r="K3908" t="n">
        <v>1</v>
      </c>
      <c r="L3908" s="7" t="n">
        <v>2309</v>
      </c>
      <c r="M3908" s="7" t="n">
        <v>0</v>
      </c>
    </row>
    <row r="3909">
      <c r="A3909" t="n">
        <v>511504</v>
      </c>
      <c r="B3909" s="6" t="n">
        <v>46006</v>
      </c>
      <c r="C3909" t="n">
        <v>15499</v>
      </c>
      <c r="D3909" t="inlineStr">
        <is>
          <t>Chennai</t>
        </is>
      </c>
      <c r="E3909" t="inlineStr">
        <is>
          <t>South</t>
        </is>
      </c>
      <c r="F3909" t="inlineStr">
        <is>
          <t>Paid Search</t>
        </is>
      </c>
      <c r="G3909" t="inlineStr">
        <is>
          <t>Mobile Web</t>
        </is>
      </c>
      <c r="H3909" t="inlineStr">
        <is>
          <t>UPI</t>
        </is>
      </c>
      <c r="I3909" t="inlineStr">
        <is>
          <t>Delivered</t>
        </is>
      </c>
      <c r="J3909" t="n">
        <v>106</v>
      </c>
      <c r="K3909" t="n">
        <v>1</v>
      </c>
      <c r="L3909" s="7" t="n">
        <v>1574</v>
      </c>
      <c r="M3909" s="7" t="n">
        <v>0</v>
      </c>
    </row>
    <row r="3910">
      <c r="A3910" t="n">
        <v>511505</v>
      </c>
      <c r="B3910" s="6" t="n">
        <v>46006</v>
      </c>
      <c r="C3910" t="n">
        <v>17719</v>
      </c>
      <c r="D3910" t="inlineStr">
        <is>
          <t>Bengaluru</t>
        </is>
      </c>
      <c r="E3910" t="inlineStr">
        <is>
          <t>South</t>
        </is>
      </c>
      <c r="F3910" t="inlineStr">
        <is>
          <t>Organic Search</t>
        </is>
      </c>
      <c r="G3910" t="inlineStr">
        <is>
          <t>Mobile App</t>
        </is>
      </c>
      <c r="H3910" t="inlineStr">
        <is>
          <t>UPI</t>
        </is>
      </c>
      <c r="I3910" t="inlineStr">
        <is>
          <t>Returned</t>
        </is>
      </c>
      <c r="J3910" t="n">
        <v>118</v>
      </c>
      <c r="K3910" t="n">
        <v>2</v>
      </c>
      <c r="L3910" s="7" t="n">
        <v>944</v>
      </c>
      <c r="M3910" s="7" t="n">
        <v>283.2</v>
      </c>
    </row>
    <row r="3911">
      <c r="A3911" t="n">
        <v>511506</v>
      </c>
      <c r="B3911" s="6" t="n">
        <v>46006</v>
      </c>
      <c r="C3911" t="n">
        <v>14261</v>
      </c>
      <c r="D3911" t="inlineStr">
        <is>
          <t>Bengaluru</t>
        </is>
      </c>
      <c r="E3911" t="inlineStr">
        <is>
          <t>South</t>
        </is>
      </c>
      <c r="F3911" t="inlineStr">
        <is>
          <t>Email</t>
        </is>
      </c>
      <c r="G3911" t="inlineStr">
        <is>
          <t>Mobile App</t>
        </is>
      </c>
      <c r="H3911" t="inlineStr">
        <is>
          <t>Credit Card</t>
        </is>
      </c>
      <c r="I3911" t="inlineStr">
        <is>
          <t>Delivered</t>
        </is>
      </c>
      <c r="J3911" t="n">
        <v>145</v>
      </c>
      <c r="K3911" t="n">
        <v>1</v>
      </c>
      <c r="L3911" s="7" t="n">
        <v>629</v>
      </c>
      <c r="M3911" s="7" t="n">
        <v>0</v>
      </c>
    </row>
    <row r="3912">
      <c r="A3912" t="n">
        <v>511506</v>
      </c>
      <c r="B3912" s="6" t="n">
        <v>46006</v>
      </c>
      <c r="C3912" t="n">
        <v>14261</v>
      </c>
      <c r="D3912" t="inlineStr">
        <is>
          <t>Bengaluru</t>
        </is>
      </c>
      <c r="E3912" t="inlineStr">
        <is>
          <t>South</t>
        </is>
      </c>
      <c r="F3912" t="inlineStr">
        <is>
          <t>Email</t>
        </is>
      </c>
      <c r="G3912" t="inlineStr">
        <is>
          <t>Mobile App</t>
        </is>
      </c>
      <c r="H3912" t="inlineStr">
        <is>
          <t>Credit Card</t>
        </is>
      </c>
      <c r="I3912" t="inlineStr">
        <is>
          <t>Delivered</t>
        </is>
      </c>
      <c r="J3912" t="n">
        <v>120</v>
      </c>
      <c r="K3912" t="n">
        <v>2</v>
      </c>
      <c r="L3912" s="7" t="n">
        <v>734</v>
      </c>
      <c r="M3912" s="7" t="n">
        <v>0</v>
      </c>
    </row>
    <row r="3913">
      <c r="A3913" t="n">
        <v>511507</v>
      </c>
      <c r="B3913" s="6" t="n">
        <v>46006</v>
      </c>
      <c r="C3913" t="n">
        <v>16849</v>
      </c>
      <c r="D3913" t="inlineStr">
        <is>
          <t>Delhi</t>
        </is>
      </c>
      <c r="E3913" t="inlineStr">
        <is>
          <t>North</t>
        </is>
      </c>
      <c r="F3913" t="inlineStr">
        <is>
          <t>Paid Search</t>
        </is>
      </c>
      <c r="G3913" t="inlineStr">
        <is>
          <t>Mobile Web</t>
        </is>
      </c>
      <c r="H3913" t="inlineStr">
        <is>
          <t>Credit Card</t>
        </is>
      </c>
      <c r="I3913" t="inlineStr">
        <is>
          <t>Delivered</t>
        </is>
      </c>
      <c r="J3913" t="n">
        <v>103</v>
      </c>
      <c r="K3913" t="n">
        <v>1</v>
      </c>
      <c r="L3913" s="7" t="n">
        <v>2624</v>
      </c>
      <c r="M3913" s="7" t="n">
        <v>0</v>
      </c>
    </row>
    <row r="3914">
      <c r="A3914" t="n">
        <v>511508</v>
      </c>
      <c r="B3914" s="6" t="n">
        <v>46006</v>
      </c>
      <c r="C3914" t="n">
        <v>15726</v>
      </c>
      <c r="D3914" t="inlineStr">
        <is>
          <t>Kolkata</t>
        </is>
      </c>
      <c r="E3914" t="inlineStr">
        <is>
          <t>East</t>
        </is>
      </c>
      <c r="F3914" t="inlineStr">
        <is>
          <t>Organic Search</t>
        </is>
      </c>
      <c r="G3914" t="inlineStr">
        <is>
          <t>Mobile App</t>
        </is>
      </c>
      <c r="H3914" t="inlineStr">
        <is>
          <t>Cash on Delivery</t>
        </is>
      </c>
      <c r="I3914" t="inlineStr">
        <is>
          <t>Delivered</t>
        </is>
      </c>
      <c r="J3914" t="n">
        <v>109</v>
      </c>
      <c r="K3914" t="n">
        <v>1</v>
      </c>
      <c r="L3914" s="7" t="n">
        <v>4199</v>
      </c>
      <c r="M3914" s="7" t="n">
        <v>0</v>
      </c>
    </row>
    <row r="3915">
      <c r="A3915" t="n">
        <v>511509</v>
      </c>
      <c r="B3915" s="6" t="n">
        <v>46006</v>
      </c>
      <c r="C3915" t="n">
        <v>13848</v>
      </c>
      <c r="D3915" t="inlineStr">
        <is>
          <t>Chennai</t>
        </is>
      </c>
      <c r="E3915" t="inlineStr">
        <is>
          <t>South</t>
        </is>
      </c>
      <c r="F3915" t="inlineStr">
        <is>
          <t>Paid Social</t>
        </is>
      </c>
      <c r="G3915" t="inlineStr">
        <is>
          <t>Mobile Web</t>
        </is>
      </c>
      <c r="H3915" t="inlineStr">
        <is>
          <t>UPI</t>
        </is>
      </c>
      <c r="I3915" t="inlineStr">
        <is>
          <t>Delivered</t>
        </is>
      </c>
      <c r="J3915" t="n">
        <v>127</v>
      </c>
      <c r="K3915" t="n">
        <v>1</v>
      </c>
      <c r="L3915" s="7" t="n">
        <v>681</v>
      </c>
      <c r="M3915" s="7" t="n">
        <v>0</v>
      </c>
    </row>
    <row r="3916">
      <c r="A3916" t="n">
        <v>511510</v>
      </c>
      <c r="B3916" s="6" t="n">
        <v>46006</v>
      </c>
      <c r="C3916" t="n">
        <v>17299</v>
      </c>
      <c r="D3916" t="inlineStr">
        <is>
          <t>Lucknow</t>
        </is>
      </c>
      <c r="E3916" t="inlineStr">
        <is>
          <t>North</t>
        </is>
      </c>
      <c r="F3916" t="inlineStr">
        <is>
          <t>Paid Search</t>
        </is>
      </c>
      <c r="G3916" t="inlineStr">
        <is>
          <t>Desktop</t>
        </is>
      </c>
      <c r="H3916" t="inlineStr">
        <is>
          <t>UPI</t>
        </is>
      </c>
      <c r="I3916" t="inlineStr">
        <is>
          <t>Delivered</t>
        </is>
      </c>
      <c r="J3916" t="n">
        <v>104</v>
      </c>
      <c r="K3916" t="n">
        <v>1</v>
      </c>
      <c r="L3916" s="7" t="n">
        <v>5249</v>
      </c>
      <c r="M3916" s="7" t="n">
        <v>0</v>
      </c>
    </row>
    <row r="3917">
      <c r="A3917" t="n">
        <v>511511</v>
      </c>
      <c r="B3917" s="6" t="n">
        <v>46006</v>
      </c>
      <c r="C3917" t="n">
        <v>14534</v>
      </c>
      <c r="D3917" t="inlineStr">
        <is>
          <t>Delhi</t>
        </is>
      </c>
      <c r="E3917" t="inlineStr">
        <is>
          <t>North</t>
        </is>
      </c>
      <c r="F3917" t="inlineStr">
        <is>
          <t>Paid Search</t>
        </is>
      </c>
      <c r="G3917" t="inlineStr">
        <is>
          <t>Mobile App</t>
        </is>
      </c>
      <c r="H3917" t="inlineStr">
        <is>
          <t>Credit Card</t>
        </is>
      </c>
      <c r="I3917" t="inlineStr">
        <is>
          <t>Delivered</t>
        </is>
      </c>
      <c r="J3917" t="n">
        <v>138</v>
      </c>
      <c r="K3917" t="n">
        <v>1</v>
      </c>
      <c r="L3917" s="7" t="n">
        <v>419</v>
      </c>
      <c r="M3917" s="7" t="n">
        <v>0</v>
      </c>
    </row>
    <row r="3918">
      <c r="A3918" t="n">
        <v>511511</v>
      </c>
      <c r="B3918" s="6" t="n">
        <v>46006</v>
      </c>
      <c r="C3918" t="n">
        <v>14534</v>
      </c>
      <c r="D3918" t="inlineStr">
        <is>
          <t>Delhi</t>
        </is>
      </c>
      <c r="E3918" t="inlineStr">
        <is>
          <t>North</t>
        </is>
      </c>
      <c r="F3918" t="inlineStr">
        <is>
          <t>Paid Search</t>
        </is>
      </c>
      <c r="G3918" t="inlineStr">
        <is>
          <t>Mobile App</t>
        </is>
      </c>
      <c r="H3918" t="inlineStr">
        <is>
          <t>Credit Card</t>
        </is>
      </c>
      <c r="I3918" t="inlineStr">
        <is>
          <t>Delivered</t>
        </is>
      </c>
      <c r="J3918" t="n">
        <v>113</v>
      </c>
      <c r="K3918" t="n">
        <v>1</v>
      </c>
      <c r="L3918" s="7" t="n">
        <v>1364</v>
      </c>
      <c r="M3918" s="7" t="n">
        <v>0</v>
      </c>
    </row>
    <row r="3919">
      <c r="A3919" t="n">
        <v>511511</v>
      </c>
      <c r="B3919" s="6" t="n">
        <v>46006</v>
      </c>
      <c r="C3919" t="n">
        <v>14534</v>
      </c>
      <c r="D3919" t="inlineStr">
        <is>
          <t>Delhi</t>
        </is>
      </c>
      <c r="E3919" t="inlineStr">
        <is>
          <t>North</t>
        </is>
      </c>
      <c r="F3919" t="inlineStr">
        <is>
          <t>Paid Search</t>
        </is>
      </c>
      <c r="G3919" t="inlineStr">
        <is>
          <t>Mobile App</t>
        </is>
      </c>
      <c r="H3919" t="inlineStr">
        <is>
          <t>Credit Card</t>
        </is>
      </c>
      <c r="I3919" t="inlineStr">
        <is>
          <t>Delivered</t>
        </is>
      </c>
      <c r="J3919" t="n">
        <v>142</v>
      </c>
      <c r="K3919" t="n">
        <v>1</v>
      </c>
      <c r="L3919" s="7" t="n">
        <v>839</v>
      </c>
      <c r="M3919" s="7" t="n">
        <v>0</v>
      </c>
    </row>
    <row r="3920">
      <c r="A3920" t="n">
        <v>511512</v>
      </c>
      <c r="B3920" s="6" t="n">
        <v>46006</v>
      </c>
      <c r="C3920" t="n">
        <v>17774</v>
      </c>
      <c r="D3920" t="inlineStr">
        <is>
          <t>Chennai</t>
        </is>
      </c>
      <c r="E3920" t="inlineStr">
        <is>
          <t>South</t>
        </is>
      </c>
      <c r="F3920" t="inlineStr">
        <is>
          <t>Organic Search</t>
        </is>
      </c>
      <c r="G3920" t="inlineStr">
        <is>
          <t>Mobile App</t>
        </is>
      </c>
      <c r="H3920" t="inlineStr">
        <is>
          <t>Credit Card</t>
        </is>
      </c>
      <c r="I3920" t="inlineStr">
        <is>
          <t>Delivered</t>
        </is>
      </c>
      <c r="J3920" t="n">
        <v>144</v>
      </c>
      <c r="K3920" t="n">
        <v>3</v>
      </c>
      <c r="L3920" s="7" t="n">
        <v>3149</v>
      </c>
      <c r="M3920" s="7" t="n">
        <v>1417.05</v>
      </c>
    </row>
    <row r="3921">
      <c r="A3921" t="n">
        <v>511512</v>
      </c>
      <c r="B3921" s="6" t="n">
        <v>46006</v>
      </c>
      <c r="C3921" t="n">
        <v>17774</v>
      </c>
      <c r="D3921" t="inlineStr">
        <is>
          <t>Chennai</t>
        </is>
      </c>
      <c r="E3921" t="inlineStr">
        <is>
          <t>South</t>
        </is>
      </c>
      <c r="F3921" t="inlineStr">
        <is>
          <t>Organic Search</t>
        </is>
      </c>
      <c r="G3921" t="inlineStr">
        <is>
          <t>Mobile App</t>
        </is>
      </c>
      <c r="H3921" t="inlineStr">
        <is>
          <t>Credit Card</t>
        </is>
      </c>
      <c r="I3921" t="inlineStr">
        <is>
          <t>Delivered</t>
        </is>
      </c>
      <c r="J3921" t="n">
        <v>106</v>
      </c>
      <c r="K3921" t="n">
        <v>1</v>
      </c>
      <c r="L3921" s="7" t="n">
        <v>1574</v>
      </c>
      <c r="M3921" s="7" t="n">
        <v>236.1</v>
      </c>
    </row>
    <row r="3922">
      <c r="A3922" t="n">
        <v>511513</v>
      </c>
      <c r="B3922" s="6" t="n">
        <v>46006</v>
      </c>
      <c r="C3922" t="n">
        <v>17249</v>
      </c>
      <c r="D3922" t="inlineStr">
        <is>
          <t>Mumbai</t>
        </is>
      </c>
      <c r="E3922" t="inlineStr">
        <is>
          <t>West</t>
        </is>
      </c>
      <c r="F3922" t="inlineStr">
        <is>
          <t>Organic Search</t>
        </is>
      </c>
      <c r="G3922" t="inlineStr">
        <is>
          <t>Desktop</t>
        </is>
      </c>
      <c r="H3922" t="inlineStr">
        <is>
          <t>Debit Card</t>
        </is>
      </c>
      <c r="I3922" t="inlineStr">
        <is>
          <t>Delivered</t>
        </is>
      </c>
      <c r="J3922" t="n">
        <v>102</v>
      </c>
      <c r="K3922" t="n">
        <v>1</v>
      </c>
      <c r="L3922" s="7" t="n">
        <v>3674</v>
      </c>
      <c r="M3922" s="7" t="n">
        <v>0</v>
      </c>
    </row>
    <row r="3923">
      <c r="A3923" t="n">
        <v>511514</v>
      </c>
      <c r="B3923" s="6" t="n">
        <v>46006</v>
      </c>
      <c r="C3923" t="n">
        <v>15281</v>
      </c>
      <c r="D3923" t="inlineStr">
        <is>
          <t>Delhi</t>
        </is>
      </c>
      <c r="E3923" t="inlineStr">
        <is>
          <t>North</t>
        </is>
      </c>
      <c r="F3923" t="inlineStr">
        <is>
          <t>Email</t>
        </is>
      </c>
      <c r="G3923" t="inlineStr">
        <is>
          <t>Mobile App</t>
        </is>
      </c>
      <c r="H3923" t="inlineStr">
        <is>
          <t>UPI</t>
        </is>
      </c>
      <c r="I3923" t="inlineStr">
        <is>
          <t>Delivered</t>
        </is>
      </c>
      <c r="J3923" t="n">
        <v>131</v>
      </c>
      <c r="K3923" t="n">
        <v>1</v>
      </c>
      <c r="L3923" s="7" t="n">
        <v>314</v>
      </c>
      <c r="M3923" s="7" t="n">
        <v>0</v>
      </c>
    </row>
    <row r="3924">
      <c r="A3924" t="n">
        <v>511515</v>
      </c>
      <c r="B3924" s="6" t="n">
        <v>46006</v>
      </c>
      <c r="C3924" t="n">
        <v>17754</v>
      </c>
      <c r="D3924" t="inlineStr">
        <is>
          <t>Gurugram</t>
        </is>
      </c>
      <c r="E3924" t="inlineStr">
        <is>
          <t>North</t>
        </is>
      </c>
      <c r="F3924" t="inlineStr">
        <is>
          <t>Organic Search</t>
        </is>
      </c>
      <c r="G3924" t="inlineStr">
        <is>
          <t>Desktop</t>
        </is>
      </c>
      <c r="H3924" t="inlineStr">
        <is>
          <t>UPI</t>
        </is>
      </c>
      <c r="I3924" t="inlineStr">
        <is>
          <t>Delivered</t>
        </is>
      </c>
      <c r="J3924" t="n">
        <v>102</v>
      </c>
      <c r="K3924" t="n">
        <v>1</v>
      </c>
      <c r="L3924" s="7" t="n">
        <v>3674</v>
      </c>
      <c r="M3924" s="7" t="n">
        <v>0</v>
      </c>
    </row>
    <row r="3925">
      <c r="A3925" t="n">
        <v>511515</v>
      </c>
      <c r="B3925" s="6" t="n">
        <v>46006</v>
      </c>
      <c r="C3925" t="n">
        <v>17754</v>
      </c>
      <c r="D3925" t="inlineStr">
        <is>
          <t>Gurugram</t>
        </is>
      </c>
      <c r="E3925" t="inlineStr">
        <is>
          <t>North</t>
        </is>
      </c>
      <c r="F3925" t="inlineStr">
        <is>
          <t>Organic Search</t>
        </is>
      </c>
      <c r="G3925" t="inlineStr">
        <is>
          <t>Desktop</t>
        </is>
      </c>
      <c r="H3925" t="inlineStr">
        <is>
          <t>UPI</t>
        </is>
      </c>
      <c r="I3925" t="inlineStr">
        <is>
          <t>Delivered</t>
        </is>
      </c>
      <c r="J3925" t="n">
        <v>118</v>
      </c>
      <c r="K3925" t="n">
        <v>1</v>
      </c>
      <c r="L3925" s="7" t="n">
        <v>944</v>
      </c>
      <c r="M3925" s="7" t="n">
        <v>0</v>
      </c>
    </row>
    <row r="3926">
      <c r="A3926" t="n">
        <v>511516</v>
      </c>
      <c r="B3926" s="6" t="n">
        <v>46007</v>
      </c>
      <c r="C3926" t="n">
        <v>12185</v>
      </c>
      <c r="D3926" t="inlineStr">
        <is>
          <t>Kolkata</t>
        </is>
      </c>
      <c r="E3926" t="inlineStr">
        <is>
          <t>East</t>
        </is>
      </c>
      <c r="F3926" t="inlineStr">
        <is>
          <t>Organic Search</t>
        </is>
      </c>
      <c r="G3926" t="inlineStr">
        <is>
          <t>Mobile Web</t>
        </is>
      </c>
      <c r="H3926" t="inlineStr">
        <is>
          <t>UPI</t>
        </is>
      </c>
      <c r="I3926" t="inlineStr">
        <is>
          <t>Delivered</t>
        </is>
      </c>
      <c r="J3926" t="n">
        <v>133</v>
      </c>
      <c r="K3926" t="n">
        <v>1</v>
      </c>
      <c r="L3926" s="7" t="n">
        <v>419</v>
      </c>
      <c r="M3926" s="7" t="n">
        <v>0</v>
      </c>
    </row>
    <row r="3927">
      <c r="A3927" t="n">
        <v>511516</v>
      </c>
      <c r="B3927" s="6" t="n">
        <v>46007</v>
      </c>
      <c r="C3927" t="n">
        <v>12185</v>
      </c>
      <c r="D3927" t="inlineStr">
        <is>
          <t>Kolkata</t>
        </is>
      </c>
      <c r="E3927" t="inlineStr">
        <is>
          <t>East</t>
        </is>
      </c>
      <c r="F3927" t="inlineStr">
        <is>
          <t>Organic Search</t>
        </is>
      </c>
      <c r="G3927" t="inlineStr">
        <is>
          <t>Mobile Web</t>
        </is>
      </c>
      <c r="H3927" t="inlineStr">
        <is>
          <t>UPI</t>
        </is>
      </c>
      <c r="I3927" t="inlineStr">
        <is>
          <t>Delivered</t>
        </is>
      </c>
      <c r="J3927" t="n">
        <v>114</v>
      </c>
      <c r="K3927" t="n">
        <v>1</v>
      </c>
      <c r="L3927" s="7" t="n">
        <v>1259</v>
      </c>
      <c r="M3927" s="7" t="n">
        <v>0</v>
      </c>
    </row>
    <row r="3928">
      <c r="A3928" t="n">
        <v>511517</v>
      </c>
      <c r="B3928" s="6" t="n">
        <v>46007</v>
      </c>
      <c r="C3928" t="n">
        <v>16676</v>
      </c>
      <c r="D3928" t="inlineStr">
        <is>
          <t>Mumbai</t>
        </is>
      </c>
      <c r="E3928" t="inlineStr">
        <is>
          <t>West</t>
        </is>
      </c>
      <c r="F3928" t="inlineStr">
        <is>
          <t>Email</t>
        </is>
      </c>
      <c r="G3928" t="inlineStr">
        <is>
          <t>Mobile Web</t>
        </is>
      </c>
      <c r="H3928" t="inlineStr">
        <is>
          <t>Cash on Delivery</t>
        </is>
      </c>
      <c r="I3928" t="inlineStr">
        <is>
          <t>Cancelled</t>
        </is>
      </c>
      <c r="J3928" t="n">
        <v>104</v>
      </c>
      <c r="K3928" t="n">
        <v>2</v>
      </c>
      <c r="L3928" s="7" t="n">
        <v>5249</v>
      </c>
      <c r="M3928" s="7" t="n">
        <v>0</v>
      </c>
    </row>
    <row r="3929">
      <c r="A3929" t="n">
        <v>511518</v>
      </c>
      <c r="B3929" s="6" t="n">
        <v>46007</v>
      </c>
      <c r="C3929" t="n">
        <v>17510</v>
      </c>
      <c r="D3929" t="inlineStr">
        <is>
          <t>Kochi</t>
        </is>
      </c>
      <c r="E3929" t="inlineStr">
        <is>
          <t>South</t>
        </is>
      </c>
      <c r="F3929" t="inlineStr">
        <is>
          <t>Organic Search</t>
        </is>
      </c>
      <c r="G3929" t="inlineStr">
        <is>
          <t>Mobile App</t>
        </is>
      </c>
      <c r="H3929" t="inlineStr">
        <is>
          <t>Credit Card</t>
        </is>
      </c>
      <c r="I3929" t="inlineStr">
        <is>
          <t>Delivered</t>
        </is>
      </c>
      <c r="J3929" t="n">
        <v>128</v>
      </c>
      <c r="K3929" t="n">
        <v>1</v>
      </c>
      <c r="L3929" s="7" t="n">
        <v>1049</v>
      </c>
      <c r="M3929" s="7" t="n">
        <v>0</v>
      </c>
    </row>
    <row r="3930">
      <c r="A3930" t="n">
        <v>511519</v>
      </c>
      <c r="B3930" s="6" t="n">
        <v>46007</v>
      </c>
      <c r="C3930" t="n">
        <v>12978</v>
      </c>
      <c r="D3930" t="inlineStr">
        <is>
          <t>Bengaluru</t>
        </is>
      </c>
      <c r="E3930" t="inlineStr">
        <is>
          <t>South</t>
        </is>
      </c>
      <c r="F3930" t="inlineStr">
        <is>
          <t>Referral</t>
        </is>
      </c>
      <c r="G3930" t="inlineStr">
        <is>
          <t>Mobile App</t>
        </is>
      </c>
      <c r="H3930" t="inlineStr">
        <is>
          <t>UPI</t>
        </is>
      </c>
      <c r="I3930" t="inlineStr">
        <is>
          <t>Delivered</t>
        </is>
      </c>
      <c r="J3930" t="n">
        <v>135</v>
      </c>
      <c r="K3930" t="n">
        <v>1</v>
      </c>
      <c r="L3930" s="7" t="n">
        <v>1574</v>
      </c>
      <c r="M3930" s="7" t="n">
        <v>0</v>
      </c>
    </row>
    <row r="3931">
      <c r="A3931" t="n">
        <v>511520</v>
      </c>
      <c r="B3931" s="6" t="n">
        <v>46007</v>
      </c>
      <c r="C3931" t="n">
        <v>17765</v>
      </c>
      <c r="D3931" t="inlineStr">
        <is>
          <t>Hyderabad</t>
        </is>
      </c>
      <c r="E3931" t="inlineStr">
        <is>
          <t>South</t>
        </is>
      </c>
      <c r="F3931" t="inlineStr">
        <is>
          <t>Organic Search</t>
        </is>
      </c>
      <c r="G3931" t="inlineStr">
        <is>
          <t>Mobile App</t>
        </is>
      </c>
      <c r="H3931" t="inlineStr">
        <is>
          <t>UPI</t>
        </is>
      </c>
      <c r="I3931" t="inlineStr">
        <is>
          <t>Delivered</t>
        </is>
      </c>
      <c r="J3931" t="n">
        <v>143</v>
      </c>
      <c r="K3931" t="n">
        <v>1</v>
      </c>
      <c r="L3931" s="7" t="n">
        <v>839</v>
      </c>
      <c r="M3931" s="7" t="n">
        <v>125.85</v>
      </c>
    </row>
    <row r="3932">
      <c r="A3932" t="n">
        <v>511521</v>
      </c>
      <c r="B3932" s="6" t="n">
        <v>46007</v>
      </c>
      <c r="C3932" t="n">
        <v>15679</v>
      </c>
      <c r="D3932" t="inlineStr">
        <is>
          <t>Indore</t>
        </is>
      </c>
      <c r="E3932" t="inlineStr">
        <is>
          <t>West</t>
        </is>
      </c>
      <c r="F3932" t="inlineStr">
        <is>
          <t>Paid Search</t>
        </is>
      </c>
      <c r="G3932" t="inlineStr">
        <is>
          <t>Mobile Web</t>
        </is>
      </c>
      <c r="H3932" t="inlineStr">
        <is>
          <t>UPI</t>
        </is>
      </c>
      <c r="I3932" t="inlineStr">
        <is>
          <t>Delivered</t>
        </is>
      </c>
      <c r="J3932" t="n">
        <v>108</v>
      </c>
      <c r="K3932" t="n">
        <v>2</v>
      </c>
      <c r="L3932" s="7" t="n">
        <v>419</v>
      </c>
      <c r="M3932" s="7" t="n">
        <v>0</v>
      </c>
    </row>
    <row r="3933">
      <c r="A3933" t="n">
        <v>511522</v>
      </c>
      <c r="B3933" s="6" t="n">
        <v>46007</v>
      </c>
      <c r="C3933" t="n">
        <v>12594</v>
      </c>
      <c r="D3933" t="inlineStr">
        <is>
          <t>Bengaluru</t>
        </is>
      </c>
      <c r="E3933" t="inlineStr">
        <is>
          <t>South</t>
        </is>
      </c>
      <c r="F3933" t="inlineStr">
        <is>
          <t>Paid Search</t>
        </is>
      </c>
      <c r="G3933" t="inlineStr">
        <is>
          <t>Desktop</t>
        </is>
      </c>
      <c r="H3933" t="inlineStr">
        <is>
          <t>UPI</t>
        </is>
      </c>
      <c r="I3933" t="inlineStr">
        <is>
          <t>Delivered</t>
        </is>
      </c>
      <c r="J3933" t="n">
        <v>140</v>
      </c>
      <c r="K3933" t="n">
        <v>1</v>
      </c>
      <c r="L3933" s="7" t="n">
        <v>629</v>
      </c>
      <c r="M3933" s="7" t="n">
        <v>0</v>
      </c>
    </row>
    <row r="3934">
      <c r="A3934" t="n">
        <v>511522</v>
      </c>
      <c r="B3934" s="6" t="n">
        <v>46007</v>
      </c>
      <c r="C3934" t="n">
        <v>12594</v>
      </c>
      <c r="D3934" t="inlineStr">
        <is>
          <t>Bengaluru</t>
        </is>
      </c>
      <c r="E3934" t="inlineStr">
        <is>
          <t>South</t>
        </is>
      </c>
      <c r="F3934" t="inlineStr">
        <is>
          <t>Paid Search</t>
        </is>
      </c>
      <c r="G3934" t="inlineStr">
        <is>
          <t>Desktop</t>
        </is>
      </c>
      <c r="H3934" t="inlineStr">
        <is>
          <t>UPI</t>
        </is>
      </c>
      <c r="I3934" t="inlineStr">
        <is>
          <t>Delivered</t>
        </is>
      </c>
      <c r="J3934" t="n">
        <v>108</v>
      </c>
      <c r="K3934" t="n">
        <v>1</v>
      </c>
      <c r="L3934" s="7" t="n">
        <v>419</v>
      </c>
      <c r="M3934" s="7" t="n">
        <v>0</v>
      </c>
    </row>
    <row r="3935">
      <c r="A3935" t="n">
        <v>511523</v>
      </c>
      <c r="B3935" s="6" t="n">
        <v>46007</v>
      </c>
      <c r="C3935" t="n">
        <v>17739</v>
      </c>
      <c r="D3935" t="inlineStr">
        <is>
          <t>Gurugram</t>
        </is>
      </c>
      <c r="E3935" t="inlineStr">
        <is>
          <t>North</t>
        </is>
      </c>
      <c r="F3935" t="inlineStr">
        <is>
          <t>Organic Search</t>
        </is>
      </c>
      <c r="G3935" t="inlineStr">
        <is>
          <t>Mobile App</t>
        </is>
      </c>
      <c r="H3935" t="inlineStr">
        <is>
          <t>Net Banking</t>
        </is>
      </c>
      <c r="I3935" t="inlineStr">
        <is>
          <t>Delivered</t>
        </is>
      </c>
      <c r="J3935" t="n">
        <v>119</v>
      </c>
      <c r="K3935" t="n">
        <v>1</v>
      </c>
      <c r="L3935" s="7" t="n">
        <v>2309</v>
      </c>
      <c r="M3935" s="7" t="n">
        <v>346.35</v>
      </c>
    </row>
    <row r="3936">
      <c r="A3936" t="n">
        <v>511523</v>
      </c>
      <c r="B3936" s="6" t="n">
        <v>46007</v>
      </c>
      <c r="C3936" t="n">
        <v>17739</v>
      </c>
      <c r="D3936" t="inlineStr">
        <is>
          <t>Gurugram</t>
        </is>
      </c>
      <c r="E3936" t="inlineStr">
        <is>
          <t>North</t>
        </is>
      </c>
      <c r="F3936" t="inlineStr">
        <is>
          <t>Organic Search</t>
        </is>
      </c>
      <c r="G3936" t="inlineStr">
        <is>
          <t>Mobile App</t>
        </is>
      </c>
      <c r="H3936" t="inlineStr">
        <is>
          <t>Net Banking</t>
        </is>
      </c>
      <c r="I3936" t="inlineStr">
        <is>
          <t>Delivered</t>
        </is>
      </c>
      <c r="J3936" t="n">
        <v>118</v>
      </c>
      <c r="K3936" t="n">
        <v>1</v>
      </c>
      <c r="L3936" s="7" t="n">
        <v>944</v>
      </c>
      <c r="M3936" s="7" t="n">
        <v>141.6</v>
      </c>
    </row>
    <row r="3937">
      <c r="A3937" t="n">
        <v>511524</v>
      </c>
      <c r="B3937" s="6" t="n">
        <v>46007</v>
      </c>
      <c r="C3937" t="n">
        <v>17753</v>
      </c>
      <c r="D3937" t="inlineStr">
        <is>
          <t>Mumbai</t>
        </is>
      </c>
      <c r="E3937" t="inlineStr">
        <is>
          <t>West</t>
        </is>
      </c>
      <c r="F3937" t="inlineStr">
        <is>
          <t>Organic Search</t>
        </is>
      </c>
      <c r="G3937" t="inlineStr">
        <is>
          <t>Mobile App</t>
        </is>
      </c>
      <c r="H3937" t="inlineStr">
        <is>
          <t>UPI</t>
        </is>
      </c>
      <c r="I3937" t="inlineStr">
        <is>
          <t>Delivered</t>
        </is>
      </c>
      <c r="J3937" t="n">
        <v>102</v>
      </c>
      <c r="K3937" t="n">
        <v>3</v>
      </c>
      <c r="L3937" s="7" t="n">
        <v>3674</v>
      </c>
      <c r="M3937" s="7" t="n">
        <v>0</v>
      </c>
    </row>
    <row r="3938">
      <c r="A3938" t="n">
        <v>511524</v>
      </c>
      <c r="B3938" s="6" t="n">
        <v>46007</v>
      </c>
      <c r="C3938" t="n">
        <v>17753</v>
      </c>
      <c r="D3938" t="inlineStr">
        <is>
          <t>Mumbai</t>
        </is>
      </c>
      <c r="E3938" t="inlineStr">
        <is>
          <t>West</t>
        </is>
      </c>
      <c r="F3938" t="inlineStr">
        <is>
          <t>Organic Search</t>
        </is>
      </c>
      <c r="G3938" t="inlineStr">
        <is>
          <t>Mobile App</t>
        </is>
      </c>
      <c r="H3938" t="inlineStr">
        <is>
          <t>UPI</t>
        </is>
      </c>
      <c r="I3938" t="inlineStr">
        <is>
          <t>Delivered</t>
        </is>
      </c>
      <c r="J3938" t="n">
        <v>101</v>
      </c>
      <c r="K3938" t="n">
        <v>3</v>
      </c>
      <c r="L3938" s="7" t="n">
        <v>2099</v>
      </c>
      <c r="M3938" s="7" t="n">
        <v>0</v>
      </c>
    </row>
    <row r="3939">
      <c r="A3939" t="n">
        <v>511524</v>
      </c>
      <c r="B3939" s="6" t="n">
        <v>46007</v>
      </c>
      <c r="C3939" t="n">
        <v>17753</v>
      </c>
      <c r="D3939" t="inlineStr">
        <is>
          <t>Mumbai</t>
        </is>
      </c>
      <c r="E3939" t="inlineStr">
        <is>
          <t>West</t>
        </is>
      </c>
      <c r="F3939" t="inlineStr">
        <is>
          <t>Organic Search</t>
        </is>
      </c>
      <c r="G3939" t="inlineStr">
        <is>
          <t>Mobile App</t>
        </is>
      </c>
      <c r="H3939" t="inlineStr">
        <is>
          <t>UPI</t>
        </is>
      </c>
      <c r="I3939" t="inlineStr">
        <is>
          <t>Delivered</t>
        </is>
      </c>
      <c r="J3939" t="n">
        <v>116</v>
      </c>
      <c r="K3939" t="n">
        <v>1</v>
      </c>
      <c r="L3939" s="7" t="n">
        <v>2624</v>
      </c>
      <c r="M3939" s="7" t="n">
        <v>0</v>
      </c>
    </row>
    <row r="3940">
      <c r="A3940" t="n">
        <v>511524</v>
      </c>
      <c r="B3940" s="6" t="n">
        <v>46007</v>
      </c>
      <c r="C3940" t="n">
        <v>17753</v>
      </c>
      <c r="D3940" t="inlineStr">
        <is>
          <t>Mumbai</t>
        </is>
      </c>
      <c r="E3940" t="inlineStr">
        <is>
          <t>West</t>
        </is>
      </c>
      <c r="F3940" t="inlineStr">
        <is>
          <t>Organic Search</t>
        </is>
      </c>
      <c r="G3940" t="inlineStr">
        <is>
          <t>Mobile App</t>
        </is>
      </c>
      <c r="H3940" t="inlineStr">
        <is>
          <t>UPI</t>
        </is>
      </c>
      <c r="I3940" t="inlineStr">
        <is>
          <t>Delivered</t>
        </is>
      </c>
      <c r="J3940" t="n">
        <v>135</v>
      </c>
      <c r="K3940" t="n">
        <v>1</v>
      </c>
      <c r="L3940" s="7" t="n">
        <v>1574</v>
      </c>
      <c r="M3940" s="7" t="n">
        <v>0</v>
      </c>
    </row>
    <row r="3941">
      <c r="A3941" t="n">
        <v>511525</v>
      </c>
      <c r="B3941" s="6" t="n">
        <v>46007</v>
      </c>
      <c r="C3941" t="n">
        <v>17785</v>
      </c>
      <c r="D3941" t="inlineStr">
        <is>
          <t>Bengaluru</t>
        </is>
      </c>
      <c r="E3941" t="inlineStr">
        <is>
          <t>South</t>
        </is>
      </c>
      <c r="F3941" t="inlineStr">
        <is>
          <t>Affiliate</t>
        </is>
      </c>
      <c r="G3941" t="inlineStr">
        <is>
          <t>Mobile Web</t>
        </is>
      </c>
      <c r="H3941" t="inlineStr">
        <is>
          <t>UPI</t>
        </is>
      </c>
      <c r="I3941" t="inlineStr">
        <is>
          <t>Delivered</t>
        </is>
      </c>
      <c r="J3941" t="n">
        <v>101</v>
      </c>
      <c r="K3941" t="n">
        <v>1</v>
      </c>
      <c r="L3941" s="7" t="n">
        <v>2099</v>
      </c>
      <c r="M3941" s="7" t="n">
        <v>314.85</v>
      </c>
    </row>
    <row r="3942">
      <c r="A3942" t="n">
        <v>511525</v>
      </c>
      <c r="B3942" s="6" t="n">
        <v>46007</v>
      </c>
      <c r="C3942" t="n">
        <v>17785</v>
      </c>
      <c r="D3942" t="inlineStr">
        <is>
          <t>Bengaluru</t>
        </is>
      </c>
      <c r="E3942" t="inlineStr">
        <is>
          <t>South</t>
        </is>
      </c>
      <c r="F3942" t="inlineStr">
        <is>
          <t>Affiliate</t>
        </is>
      </c>
      <c r="G3942" t="inlineStr">
        <is>
          <t>Mobile Web</t>
        </is>
      </c>
      <c r="H3942" t="inlineStr">
        <is>
          <t>UPI</t>
        </is>
      </c>
      <c r="I3942" t="inlineStr">
        <is>
          <t>Delivered</t>
        </is>
      </c>
      <c r="J3942" t="n">
        <v>123</v>
      </c>
      <c r="K3942" t="n">
        <v>2</v>
      </c>
      <c r="L3942" s="7" t="n">
        <v>3464</v>
      </c>
      <c r="M3942" s="7" t="n">
        <v>1039.2</v>
      </c>
    </row>
    <row r="3943">
      <c r="A3943" t="n">
        <v>511526</v>
      </c>
      <c r="B3943" s="6" t="n">
        <v>46007</v>
      </c>
      <c r="C3943" t="n">
        <v>14820</v>
      </c>
      <c r="D3943" t="inlineStr">
        <is>
          <t>Kochi</t>
        </is>
      </c>
      <c r="E3943" t="inlineStr">
        <is>
          <t>South</t>
        </is>
      </c>
      <c r="F3943" t="inlineStr">
        <is>
          <t>Paid Social</t>
        </is>
      </c>
      <c r="G3943" t="inlineStr">
        <is>
          <t>Mobile Web</t>
        </is>
      </c>
      <c r="H3943" t="inlineStr">
        <is>
          <t>UPI</t>
        </is>
      </c>
      <c r="I3943" t="inlineStr">
        <is>
          <t>Delivered</t>
        </is>
      </c>
      <c r="J3943" t="n">
        <v>117</v>
      </c>
      <c r="K3943" t="n">
        <v>1</v>
      </c>
      <c r="L3943" s="7" t="n">
        <v>3149</v>
      </c>
      <c r="M3943" s="7" t="n">
        <v>0</v>
      </c>
    </row>
    <row r="3944">
      <c r="A3944" t="n">
        <v>511527</v>
      </c>
      <c r="B3944" s="6" t="n">
        <v>46007</v>
      </c>
      <c r="C3944" t="n">
        <v>17610</v>
      </c>
      <c r="D3944" t="inlineStr">
        <is>
          <t>Noida</t>
        </is>
      </c>
      <c r="E3944" t="inlineStr">
        <is>
          <t>North</t>
        </is>
      </c>
      <c r="F3944" t="inlineStr">
        <is>
          <t>Paid Search</t>
        </is>
      </c>
      <c r="G3944" t="inlineStr">
        <is>
          <t>Mobile App</t>
        </is>
      </c>
      <c r="H3944" t="inlineStr">
        <is>
          <t>Cash on Delivery</t>
        </is>
      </c>
      <c r="I3944" t="inlineStr">
        <is>
          <t>Delivered</t>
        </is>
      </c>
      <c r="J3944" t="n">
        <v>107</v>
      </c>
      <c r="K3944" t="n">
        <v>1</v>
      </c>
      <c r="L3944" s="7" t="n">
        <v>1259</v>
      </c>
      <c r="M3944" s="7" t="n">
        <v>0</v>
      </c>
    </row>
    <row r="3945">
      <c r="A3945" t="n">
        <v>511527</v>
      </c>
      <c r="B3945" s="6" t="n">
        <v>46007</v>
      </c>
      <c r="C3945" t="n">
        <v>17610</v>
      </c>
      <c r="D3945" t="inlineStr">
        <is>
          <t>Noida</t>
        </is>
      </c>
      <c r="E3945" t="inlineStr">
        <is>
          <t>North</t>
        </is>
      </c>
      <c r="F3945" t="inlineStr">
        <is>
          <t>Paid Search</t>
        </is>
      </c>
      <c r="G3945" t="inlineStr">
        <is>
          <t>Mobile App</t>
        </is>
      </c>
      <c r="H3945" t="inlineStr">
        <is>
          <t>Cash on Delivery</t>
        </is>
      </c>
      <c r="I3945" t="inlineStr">
        <is>
          <t>Delivered</t>
        </is>
      </c>
      <c r="J3945" t="n">
        <v>117</v>
      </c>
      <c r="K3945" t="n">
        <v>1</v>
      </c>
      <c r="L3945" s="7" t="n">
        <v>3149</v>
      </c>
      <c r="M3945" s="7" t="n">
        <v>0</v>
      </c>
    </row>
    <row r="3946">
      <c r="A3946" t="n">
        <v>511528</v>
      </c>
      <c r="B3946" s="6" t="n">
        <v>46007</v>
      </c>
      <c r="C3946" t="n">
        <v>17636</v>
      </c>
      <c r="D3946" t="inlineStr">
        <is>
          <t>Delhi</t>
        </is>
      </c>
      <c r="E3946" t="inlineStr">
        <is>
          <t>North</t>
        </is>
      </c>
      <c r="F3946" t="inlineStr">
        <is>
          <t>Paid Search</t>
        </is>
      </c>
      <c r="G3946" t="inlineStr">
        <is>
          <t>Mobile App</t>
        </is>
      </c>
      <c r="H3946" t="inlineStr">
        <is>
          <t>UPI</t>
        </is>
      </c>
      <c r="I3946" t="inlineStr">
        <is>
          <t>Returned</t>
        </is>
      </c>
      <c r="J3946" t="n">
        <v>120</v>
      </c>
      <c r="K3946" t="n">
        <v>1</v>
      </c>
      <c r="L3946" s="7" t="n">
        <v>734</v>
      </c>
      <c r="M3946" s="7" t="n">
        <v>0</v>
      </c>
    </row>
    <row r="3947">
      <c r="A3947" t="n">
        <v>511529</v>
      </c>
      <c r="B3947" s="6" t="n">
        <v>46007</v>
      </c>
      <c r="C3947" t="n">
        <v>16906</v>
      </c>
      <c r="D3947" t="inlineStr">
        <is>
          <t>Delhi</t>
        </is>
      </c>
      <c r="E3947" t="inlineStr">
        <is>
          <t>North</t>
        </is>
      </c>
      <c r="F3947" t="inlineStr">
        <is>
          <t>Paid Search</t>
        </is>
      </c>
      <c r="G3947" t="inlineStr">
        <is>
          <t>Mobile App</t>
        </is>
      </c>
      <c r="H3947" t="inlineStr">
        <is>
          <t>UPI</t>
        </is>
      </c>
      <c r="I3947" t="inlineStr">
        <is>
          <t>Delivered</t>
        </is>
      </c>
      <c r="J3947" t="n">
        <v>132</v>
      </c>
      <c r="K3947" t="n">
        <v>1</v>
      </c>
      <c r="L3947" s="7" t="n">
        <v>471</v>
      </c>
      <c r="M3947" s="7" t="n">
        <v>0</v>
      </c>
    </row>
    <row r="3948">
      <c r="A3948" t="n">
        <v>511530</v>
      </c>
      <c r="B3948" s="6" t="n">
        <v>46007</v>
      </c>
      <c r="C3948" t="n">
        <v>16885</v>
      </c>
      <c r="D3948" t="inlineStr">
        <is>
          <t>Chandigarh</t>
        </is>
      </c>
      <c r="E3948" t="inlineStr">
        <is>
          <t>North</t>
        </is>
      </c>
      <c r="F3948" t="inlineStr">
        <is>
          <t>Organic Search</t>
        </is>
      </c>
      <c r="G3948" t="inlineStr">
        <is>
          <t>Mobile App</t>
        </is>
      </c>
      <c r="H3948" t="inlineStr">
        <is>
          <t>Credit Card</t>
        </is>
      </c>
      <c r="I3948" t="inlineStr">
        <is>
          <t>Delivered</t>
        </is>
      </c>
      <c r="J3948" t="n">
        <v>103</v>
      </c>
      <c r="K3948" t="n">
        <v>1</v>
      </c>
      <c r="L3948" s="7" t="n">
        <v>2624</v>
      </c>
      <c r="M3948" s="7" t="n">
        <v>0</v>
      </c>
    </row>
    <row r="3949">
      <c r="A3949" t="n">
        <v>511531</v>
      </c>
      <c r="B3949" s="6" t="n">
        <v>46007</v>
      </c>
      <c r="C3949" t="n">
        <v>15473</v>
      </c>
      <c r="D3949" t="inlineStr">
        <is>
          <t>Pune</t>
        </is>
      </c>
      <c r="E3949" t="inlineStr">
        <is>
          <t>West</t>
        </is>
      </c>
      <c r="F3949" t="inlineStr">
        <is>
          <t>Organic Search</t>
        </is>
      </c>
      <c r="G3949" t="inlineStr">
        <is>
          <t>Mobile App</t>
        </is>
      </c>
      <c r="H3949" t="inlineStr">
        <is>
          <t>Debit Card</t>
        </is>
      </c>
      <c r="I3949" t="inlineStr">
        <is>
          <t>Delivered</t>
        </is>
      </c>
      <c r="J3949" t="n">
        <v>108</v>
      </c>
      <c r="K3949" t="n">
        <v>1</v>
      </c>
      <c r="L3949" s="7" t="n">
        <v>419</v>
      </c>
      <c r="M3949" s="7" t="n">
        <v>0</v>
      </c>
    </row>
    <row r="3950">
      <c r="A3950" t="n">
        <v>511532</v>
      </c>
      <c r="B3950" s="6" t="n">
        <v>46007</v>
      </c>
      <c r="C3950" t="n">
        <v>17778</v>
      </c>
      <c r="D3950" t="inlineStr">
        <is>
          <t>Kochi</t>
        </is>
      </c>
      <c r="E3950" t="inlineStr">
        <is>
          <t>South</t>
        </is>
      </c>
      <c r="F3950" t="inlineStr">
        <is>
          <t>Paid Social</t>
        </is>
      </c>
      <c r="G3950" t="inlineStr">
        <is>
          <t>Mobile Web</t>
        </is>
      </c>
      <c r="H3950" t="inlineStr">
        <is>
          <t>Debit Card</t>
        </is>
      </c>
      <c r="I3950" t="inlineStr">
        <is>
          <t>Delivered</t>
        </is>
      </c>
      <c r="J3950" t="n">
        <v>136</v>
      </c>
      <c r="K3950" t="n">
        <v>1</v>
      </c>
      <c r="L3950" s="7" t="n">
        <v>944</v>
      </c>
      <c r="M3950" s="7" t="n">
        <v>0</v>
      </c>
    </row>
    <row r="3951">
      <c r="A3951" t="n">
        <v>511533</v>
      </c>
      <c r="B3951" s="6" t="n">
        <v>46007</v>
      </c>
      <c r="C3951" t="n">
        <v>17764</v>
      </c>
      <c r="D3951" t="inlineStr">
        <is>
          <t>Mumbai</t>
        </is>
      </c>
      <c r="E3951" t="inlineStr">
        <is>
          <t>West</t>
        </is>
      </c>
      <c r="F3951" t="inlineStr">
        <is>
          <t>Paid Social</t>
        </is>
      </c>
      <c r="G3951" t="inlineStr">
        <is>
          <t>Desktop</t>
        </is>
      </c>
      <c r="H3951" t="inlineStr">
        <is>
          <t>UPI</t>
        </is>
      </c>
      <c r="I3951" t="inlineStr">
        <is>
          <t>Delivered</t>
        </is>
      </c>
      <c r="J3951" t="n">
        <v>130</v>
      </c>
      <c r="K3951" t="n">
        <v>1</v>
      </c>
      <c r="L3951" s="7" t="n">
        <v>734</v>
      </c>
      <c r="M3951" s="7" t="n">
        <v>0</v>
      </c>
    </row>
    <row r="3952">
      <c r="A3952" t="n">
        <v>511534</v>
      </c>
      <c r="B3952" s="6" t="n">
        <v>46007</v>
      </c>
      <c r="C3952" t="n">
        <v>15834</v>
      </c>
      <c r="D3952" t="inlineStr">
        <is>
          <t>Bengaluru</t>
        </is>
      </c>
      <c r="E3952" t="inlineStr">
        <is>
          <t>South</t>
        </is>
      </c>
      <c r="F3952" t="inlineStr">
        <is>
          <t>Organic Search</t>
        </is>
      </c>
      <c r="G3952" t="inlineStr">
        <is>
          <t>Desktop</t>
        </is>
      </c>
      <c r="H3952" t="inlineStr">
        <is>
          <t>Net Banking</t>
        </is>
      </c>
      <c r="I3952" t="inlineStr">
        <is>
          <t>Delivered</t>
        </is>
      </c>
      <c r="J3952" t="n">
        <v>135</v>
      </c>
      <c r="K3952" t="n">
        <v>1</v>
      </c>
      <c r="L3952" s="7" t="n">
        <v>1574</v>
      </c>
      <c r="M3952" s="7" t="n">
        <v>0</v>
      </c>
    </row>
    <row r="3953">
      <c r="A3953" t="n">
        <v>511535</v>
      </c>
      <c r="B3953" s="6" t="n">
        <v>46007</v>
      </c>
      <c r="C3953" t="n">
        <v>16009</v>
      </c>
      <c r="D3953" t="inlineStr">
        <is>
          <t>Delhi</t>
        </is>
      </c>
      <c r="E3953" t="inlineStr">
        <is>
          <t>North</t>
        </is>
      </c>
      <c r="F3953" t="inlineStr">
        <is>
          <t>Referral</t>
        </is>
      </c>
      <c r="G3953" t="inlineStr">
        <is>
          <t>Mobile Web</t>
        </is>
      </c>
      <c r="H3953" t="inlineStr">
        <is>
          <t>Cash on Delivery</t>
        </is>
      </c>
      <c r="I3953" t="inlineStr">
        <is>
          <t>Delivered</t>
        </is>
      </c>
      <c r="J3953" t="n">
        <v>134</v>
      </c>
      <c r="K3953" t="n">
        <v>2</v>
      </c>
      <c r="L3953" s="7" t="n">
        <v>209</v>
      </c>
      <c r="M3953" s="7" t="n">
        <v>0</v>
      </c>
    </row>
    <row r="3954">
      <c r="A3954" t="n">
        <v>511536</v>
      </c>
      <c r="B3954" s="6" t="n">
        <v>46007</v>
      </c>
      <c r="C3954" t="n">
        <v>17762</v>
      </c>
      <c r="D3954" t="inlineStr">
        <is>
          <t>Chennai</t>
        </is>
      </c>
      <c r="E3954" t="inlineStr">
        <is>
          <t>South</t>
        </is>
      </c>
      <c r="F3954" t="inlineStr">
        <is>
          <t>Organic Search</t>
        </is>
      </c>
      <c r="G3954" t="inlineStr">
        <is>
          <t>Desktop</t>
        </is>
      </c>
      <c r="H3954" t="inlineStr">
        <is>
          <t>Credit Card</t>
        </is>
      </c>
      <c r="I3954" t="inlineStr">
        <is>
          <t>Delivered</t>
        </is>
      </c>
      <c r="J3954" t="n">
        <v>113</v>
      </c>
      <c r="K3954" t="n">
        <v>2</v>
      </c>
      <c r="L3954" s="7" t="n">
        <v>1364</v>
      </c>
      <c r="M3954" s="7" t="n">
        <v>409.2</v>
      </c>
    </row>
    <row r="3955">
      <c r="A3955" t="n">
        <v>511537</v>
      </c>
      <c r="B3955" s="6" t="n">
        <v>46007</v>
      </c>
      <c r="C3955" t="n">
        <v>14074</v>
      </c>
      <c r="D3955" t="inlineStr">
        <is>
          <t>Lucknow</t>
        </is>
      </c>
      <c r="E3955" t="inlineStr">
        <is>
          <t>North</t>
        </is>
      </c>
      <c r="F3955" t="inlineStr">
        <is>
          <t>Paid Search</t>
        </is>
      </c>
      <c r="G3955" t="inlineStr">
        <is>
          <t>Mobile Web</t>
        </is>
      </c>
      <c r="H3955" t="inlineStr">
        <is>
          <t>Credit Card</t>
        </is>
      </c>
      <c r="I3955" t="inlineStr">
        <is>
          <t>Delivered</t>
        </is>
      </c>
      <c r="J3955" t="n">
        <v>118</v>
      </c>
      <c r="K3955" t="n">
        <v>3</v>
      </c>
      <c r="L3955" s="7" t="n">
        <v>944</v>
      </c>
      <c r="M3955" s="7" t="n">
        <v>0</v>
      </c>
    </row>
    <row r="3956">
      <c r="A3956" t="n">
        <v>511538</v>
      </c>
      <c r="B3956" s="6" t="n">
        <v>46007</v>
      </c>
      <c r="C3956" t="n">
        <v>15658</v>
      </c>
      <c r="D3956" t="inlineStr">
        <is>
          <t>Kochi</t>
        </is>
      </c>
      <c r="E3956" t="inlineStr">
        <is>
          <t>South</t>
        </is>
      </c>
      <c r="F3956" t="inlineStr">
        <is>
          <t>Paid Search</t>
        </is>
      </c>
      <c r="G3956" t="inlineStr">
        <is>
          <t>Mobile Web</t>
        </is>
      </c>
      <c r="H3956" t="inlineStr">
        <is>
          <t>UPI</t>
        </is>
      </c>
      <c r="I3956" t="inlineStr">
        <is>
          <t>Delivered</t>
        </is>
      </c>
      <c r="J3956" t="n">
        <v>134</v>
      </c>
      <c r="K3956" t="n">
        <v>1</v>
      </c>
      <c r="L3956" s="7" t="n">
        <v>209</v>
      </c>
      <c r="M3956" s="7" t="n">
        <v>0</v>
      </c>
    </row>
    <row r="3957">
      <c r="A3957" t="n">
        <v>511539</v>
      </c>
      <c r="B3957" s="6" t="n">
        <v>46007</v>
      </c>
      <c r="C3957" t="n">
        <v>17777</v>
      </c>
      <c r="D3957" t="inlineStr">
        <is>
          <t>Delhi</t>
        </is>
      </c>
      <c r="E3957" t="inlineStr">
        <is>
          <t>North</t>
        </is>
      </c>
      <c r="F3957" t="inlineStr">
        <is>
          <t>Paid Search</t>
        </is>
      </c>
      <c r="G3957" t="inlineStr">
        <is>
          <t>Mobile App</t>
        </is>
      </c>
      <c r="H3957" t="inlineStr">
        <is>
          <t>UPI</t>
        </is>
      </c>
      <c r="I3957" t="inlineStr">
        <is>
          <t>Delivered</t>
        </is>
      </c>
      <c r="J3957" t="n">
        <v>105</v>
      </c>
      <c r="K3957" t="n">
        <v>2</v>
      </c>
      <c r="L3957" s="7" t="n">
        <v>2414</v>
      </c>
      <c r="M3957" s="7" t="n">
        <v>724.2</v>
      </c>
    </row>
    <row r="3958">
      <c r="A3958" t="n">
        <v>511540</v>
      </c>
      <c r="B3958" s="6" t="n">
        <v>46007</v>
      </c>
      <c r="C3958" t="n">
        <v>17784</v>
      </c>
      <c r="D3958" t="inlineStr">
        <is>
          <t>Gurugram</t>
        </is>
      </c>
      <c r="E3958" t="inlineStr">
        <is>
          <t>North</t>
        </is>
      </c>
      <c r="F3958" t="inlineStr">
        <is>
          <t>Affiliate</t>
        </is>
      </c>
      <c r="G3958" t="inlineStr">
        <is>
          <t>Mobile App</t>
        </is>
      </c>
      <c r="H3958" t="inlineStr">
        <is>
          <t>Debit Card</t>
        </is>
      </c>
      <c r="I3958" t="inlineStr">
        <is>
          <t>Delivered</t>
        </is>
      </c>
      <c r="J3958" t="n">
        <v>137</v>
      </c>
      <c r="K3958" t="n">
        <v>1</v>
      </c>
      <c r="L3958" s="7" t="n">
        <v>261</v>
      </c>
      <c r="M3958" s="7" t="n">
        <v>39.15</v>
      </c>
    </row>
    <row r="3959">
      <c r="A3959" t="n">
        <v>511540</v>
      </c>
      <c r="B3959" s="6" t="n">
        <v>46007</v>
      </c>
      <c r="C3959" t="n">
        <v>17784</v>
      </c>
      <c r="D3959" t="inlineStr">
        <is>
          <t>Gurugram</t>
        </is>
      </c>
      <c r="E3959" t="inlineStr">
        <is>
          <t>North</t>
        </is>
      </c>
      <c r="F3959" t="inlineStr">
        <is>
          <t>Affiliate</t>
        </is>
      </c>
      <c r="G3959" t="inlineStr">
        <is>
          <t>Mobile App</t>
        </is>
      </c>
      <c r="H3959" t="inlineStr">
        <is>
          <t>Debit Card</t>
        </is>
      </c>
      <c r="I3959" t="inlineStr">
        <is>
          <t>Delivered</t>
        </is>
      </c>
      <c r="J3959" t="n">
        <v>110</v>
      </c>
      <c r="K3959" t="n">
        <v>1</v>
      </c>
      <c r="L3959" s="7" t="n">
        <v>839</v>
      </c>
      <c r="M3959" s="7" t="n">
        <v>125.85</v>
      </c>
    </row>
    <row r="3960">
      <c r="A3960" t="n">
        <v>511541</v>
      </c>
      <c r="B3960" s="6" t="n">
        <v>46007</v>
      </c>
      <c r="C3960" t="n">
        <v>17781</v>
      </c>
      <c r="D3960" t="inlineStr">
        <is>
          <t>Chennai</t>
        </is>
      </c>
      <c r="E3960" t="inlineStr">
        <is>
          <t>South</t>
        </is>
      </c>
      <c r="F3960" t="inlineStr">
        <is>
          <t>Paid Search</t>
        </is>
      </c>
      <c r="G3960" t="inlineStr">
        <is>
          <t>Mobile App</t>
        </is>
      </c>
      <c r="H3960" t="inlineStr">
        <is>
          <t>Debit Card</t>
        </is>
      </c>
      <c r="I3960" t="inlineStr">
        <is>
          <t>Delivered</t>
        </is>
      </c>
      <c r="J3960" t="n">
        <v>108</v>
      </c>
      <c r="K3960" t="n">
        <v>1</v>
      </c>
      <c r="L3960" s="7" t="n">
        <v>419</v>
      </c>
      <c r="M3960" s="7" t="n">
        <v>62.85</v>
      </c>
    </row>
    <row r="3961">
      <c r="A3961" t="n">
        <v>511541</v>
      </c>
      <c r="B3961" s="6" t="n">
        <v>46007</v>
      </c>
      <c r="C3961" t="n">
        <v>17781</v>
      </c>
      <c r="D3961" t="inlineStr">
        <is>
          <t>Chennai</t>
        </is>
      </c>
      <c r="E3961" t="inlineStr">
        <is>
          <t>South</t>
        </is>
      </c>
      <c r="F3961" t="inlineStr">
        <is>
          <t>Paid Search</t>
        </is>
      </c>
      <c r="G3961" t="inlineStr">
        <is>
          <t>Mobile App</t>
        </is>
      </c>
      <c r="H3961" t="inlineStr">
        <is>
          <t>Debit Card</t>
        </is>
      </c>
      <c r="I3961" t="inlineStr">
        <is>
          <t>Delivered</t>
        </is>
      </c>
      <c r="J3961" t="n">
        <v>117</v>
      </c>
      <c r="K3961" t="n">
        <v>2</v>
      </c>
      <c r="L3961" s="7" t="n">
        <v>3149</v>
      </c>
      <c r="M3961" s="7" t="n">
        <v>944.7</v>
      </c>
    </row>
    <row r="3962">
      <c r="A3962" t="n">
        <v>511541</v>
      </c>
      <c r="B3962" s="6" t="n">
        <v>46007</v>
      </c>
      <c r="C3962" t="n">
        <v>17781</v>
      </c>
      <c r="D3962" t="inlineStr">
        <is>
          <t>Chennai</t>
        </is>
      </c>
      <c r="E3962" t="inlineStr">
        <is>
          <t>South</t>
        </is>
      </c>
      <c r="F3962" t="inlineStr">
        <is>
          <t>Paid Search</t>
        </is>
      </c>
      <c r="G3962" t="inlineStr">
        <is>
          <t>Mobile App</t>
        </is>
      </c>
      <c r="H3962" t="inlineStr">
        <is>
          <t>Debit Card</t>
        </is>
      </c>
      <c r="I3962" t="inlineStr">
        <is>
          <t>Delivered</t>
        </is>
      </c>
      <c r="J3962" t="n">
        <v>127</v>
      </c>
      <c r="K3962" t="n">
        <v>1</v>
      </c>
      <c r="L3962" s="7" t="n">
        <v>681</v>
      </c>
      <c r="M3962" s="7" t="n">
        <v>102.15</v>
      </c>
    </row>
    <row r="3963">
      <c r="A3963" t="n">
        <v>511542</v>
      </c>
      <c r="B3963" s="6" t="n">
        <v>46007</v>
      </c>
      <c r="C3963" t="n">
        <v>17648</v>
      </c>
      <c r="D3963" t="inlineStr">
        <is>
          <t>Lucknow</t>
        </is>
      </c>
      <c r="E3963" t="inlineStr">
        <is>
          <t>North</t>
        </is>
      </c>
      <c r="F3963" t="inlineStr">
        <is>
          <t>Email</t>
        </is>
      </c>
      <c r="G3963" t="inlineStr">
        <is>
          <t>Mobile App</t>
        </is>
      </c>
      <c r="H3963" t="inlineStr">
        <is>
          <t>UPI</t>
        </is>
      </c>
      <c r="I3963" t="inlineStr">
        <is>
          <t>Returned</t>
        </is>
      </c>
      <c r="J3963" t="n">
        <v>110</v>
      </c>
      <c r="K3963" t="n">
        <v>1</v>
      </c>
      <c r="L3963" s="7" t="n">
        <v>839</v>
      </c>
      <c r="M3963" s="7" t="n">
        <v>0</v>
      </c>
    </row>
    <row r="3964">
      <c r="A3964" t="n">
        <v>511542</v>
      </c>
      <c r="B3964" s="6" t="n">
        <v>46007</v>
      </c>
      <c r="C3964" t="n">
        <v>17648</v>
      </c>
      <c r="D3964" t="inlineStr">
        <is>
          <t>Lucknow</t>
        </is>
      </c>
      <c r="E3964" t="inlineStr">
        <is>
          <t>North</t>
        </is>
      </c>
      <c r="F3964" t="inlineStr">
        <is>
          <t>Email</t>
        </is>
      </c>
      <c r="G3964" t="inlineStr">
        <is>
          <t>Mobile App</t>
        </is>
      </c>
      <c r="H3964" t="inlineStr">
        <is>
          <t>UPI</t>
        </is>
      </c>
      <c r="I3964" t="inlineStr">
        <is>
          <t>Returned</t>
        </is>
      </c>
      <c r="J3964" t="n">
        <v>138</v>
      </c>
      <c r="K3964" t="n">
        <v>1</v>
      </c>
      <c r="L3964" s="7" t="n">
        <v>419</v>
      </c>
      <c r="M3964" s="7" t="n">
        <v>0</v>
      </c>
    </row>
    <row r="3965">
      <c r="A3965" t="n">
        <v>511542</v>
      </c>
      <c r="B3965" s="6" t="n">
        <v>46007</v>
      </c>
      <c r="C3965" t="n">
        <v>17648</v>
      </c>
      <c r="D3965" t="inlineStr">
        <is>
          <t>Lucknow</t>
        </is>
      </c>
      <c r="E3965" t="inlineStr">
        <is>
          <t>North</t>
        </is>
      </c>
      <c r="F3965" t="inlineStr">
        <is>
          <t>Email</t>
        </is>
      </c>
      <c r="G3965" t="inlineStr">
        <is>
          <t>Mobile App</t>
        </is>
      </c>
      <c r="H3965" t="inlineStr">
        <is>
          <t>UPI</t>
        </is>
      </c>
      <c r="I3965" t="inlineStr">
        <is>
          <t>Returned</t>
        </is>
      </c>
      <c r="J3965" t="n">
        <v>116</v>
      </c>
      <c r="K3965" t="n">
        <v>1</v>
      </c>
      <c r="L3965" s="7" t="n">
        <v>2624</v>
      </c>
      <c r="M3965" s="7" t="n">
        <v>0</v>
      </c>
    </row>
    <row r="3966">
      <c r="A3966" t="n">
        <v>511543</v>
      </c>
      <c r="B3966" s="6" t="n">
        <v>46007</v>
      </c>
      <c r="C3966" t="n">
        <v>17742</v>
      </c>
      <c r="D3966" t="inlineStr">
        <is>
          <t>Mumbai</t>
        </is>
      </c>
      <c r="E3966" t="inlineStr">
        <is>
          <t>West</t>
        </is>
      </c>
      <c r="F3966" t="inlineStr">
        <is>
          <t>Paid Social</t>
        </is>
      </c>
      <c r="G3966" t="inlineStr">
        <is>
          <t>Mobile App</t>
        </is>
      </c>
      <c r="H3966" t="inlineStr">
        <is>
          <t>UPI</t>
        </is>
      </c>
      <c r="I3966" t="inlineStr">
        <is>
          <t>Delivered</t>
        </is>
      </c>
      <c r="J3966" t="n">
        <v>145</v>
      </c>
      <c r="K3966" t="n">
        <v>1</v>
      </c>
      <c r="L3966" s="7" t="n">
        <v>629</v>
      </c>
      <c r="M3966" s="7" t="n">
        <v>0</v>
      </c>
    </row>
    <row r="3967">
      <c r="A3967" t="n">
        <v>511543</v>
      </c>
      <c r="B3967" s="6" t="n">
        <v>46007</v>
      </c>
      <c r="C3967" t="n">
        <v>17742</v>
      </c>
      <c r="D3967" t="inlineStr">
        <is>
          <t>Mumbai</t>
        </is>
      </c>
      <c r="E3967" t="inlineStr">
        <is>
          <t>West</t>
        </is>
      </c>
      <c r="F3967" t="inlineStr">
        <is>
          <t>Paid Social</t>
        </is>
      </c>
      <c r="G3967" t="inlineStr">
        <is>
          <t>Mobile App</t>
        </is>
      </c>
      <c r="H3967" t="inlineStr">
        <is>
          <t>UPI</t>
        </is>
      </c>
      <c r="I3967" t="inlineStr">
        <is>
          <t>Delivered</t>
        </is>
      </c>
      <c r="J3967" t="n">
        <v>112</v>
      </c>
      <c r="K3967" t="n">
        <v>1</v>
      </c>
      <c r="L3967" s="7" t="n">
        <v>1574</v>
      </c>
      <c r="M3967" s="7" t="n">
        <v>0</v>
      </c>
    </row>
    <row r="3968">
      <c r="A3968" t="n">
        <v>511543</v>
      </c>
      <c r="B3968" s="6" t="n">
        <v>46007</v>
      </c>
      <c r="C3968" t="n">
        <v>17742</v>
      </c>
      <c r="D3968" t="inlineStr">
        <is>
          <t>Mumbai</t>
        </is>
      </c>
      <c r="E3968" t="inlineStr">
        <is>
          <t>West</t>
        </is>
      </c>
      <c r="F3968" t="inlineStr">
        <is>
          <t>Paid Social</t>
        </is>
      </c>
      <c r="G3968" t="inlineStr">
        <is>
          <t>Mobile App</t>
        </is>
      </c>
      <c r="H3968" t="inlineStr">
        <is>
          <t>UPI</t>
        </is>
      </c>
      <c r="I3968" t="inlineStr">
        <is>
          <t>Delivered</t>
        </is>
      </c>
      <c r="J3968" t="n">
        <v>124</v>
      </c>
      <c r="K3968" t="n">
        <v>1</v>
      </c>
      <c r="L3968" s="7" t="n">
        <v>1154</v>
      </c>
      <c r="M3968" s="7" t="n">
        <v>0</v>
      </c>
    </row>
    <row r="3969">
      <c r="A3969" t="n">
        <v>511544</v>
      </c>
      <c r="B3969" s="6" t="n">
        <v>46007</v>
      </c>
      <c r="C3969" t="n">
        <v>17782</v>
      </c>
      <c r="D3969" t="inlineStr">
        <is>
          <t>Chennai</t>
        </is>
      </c>
      <c r="E3969" t="inlineStr">
        <is>
          <t>South</t>
        </is>
      </c>
      <c r="F3969" t="inlineStr">
        <is>
          <t>Organic Search</t>
        </is>
      </c>
      <c r="G3969" t="inlineStr">
        <is>
          <t>Mobile App</t>
        </is>
      </c>
      <c r="H3969" t="inlineStr">
        <is>
          <t>UPI</t>
        </is>
      </c>
      <c r="I3969" t="inlineStr">
        <is>
          <t>Delivered</t>
        </is>
      </c>
      <c r="J3969" t="n">
        <v>109</v>
      </c>
      <c r="K3969" t="n">
        <v>1</v>
      </c>
      <c r="L3969" s="7" t="n">
        <v>4199</v>
      </c>
      <c r="M3969" s="7" t="n">
        <v>629.85</v>
      </c>
    </row>
    <row r="3970">
      <c r="A3970" t="n">
        <v>511545</v>
      </c>
      <c r="B3970" s="6" t="n">
        <v>46007</v>
      </c>
      <c r="C3970" t="n">
        <v>17780</v>
      </c>
      <c r="D3970" t="inlineStr">
        <is>
          <t>Bengaluru</t>
        </is>
      </c>
      <c r="E3970" t="inlineStr">
        <is>
          <t>South</t>
        </is>
      </c>
      <c r="F3970" t="inlineStr">
        <is>
          <t>Organic Search</t>
        </is>
      </c>
      <c r="G3970" t="inlineStr">
        <is>
          <t>Mobile App</t>
        </is>
      </c>
      <c r="H3970" t="inlineStr">
        <is>
          <t>Debit Card</t>
        </is>
      </c>
      <c r="I3970" t="inlineStr">
        <is>
          <t>Delivered</t>
        </is>
      </c>
      <c r="J3970" t="n">
        <v>123</v>
      </c>
      <c r="K3970" t="n">
        <v>1</v>
      </c>
      <c r="L3970" s="7" t="n">
        <v>3464</v>
      </c>
      <c r="M3970" s="7" t="n">
        <v>519.6</v>
      </c>
    </row>
    <row r="3971">
      <c r="A3971" t="n">
        <v>511545</v>
      </c>
      <c r="B3971" s="6" t="n">
        <v>46007</v>
      </c>
      <c r="C3971" t="n">
        <v>17780</v>
      </c>
      <c r="D3971" t="inlineStr">
        <is>
          <t>Bengaluru</t>
        </is>
      </c>
      <c r="E3971" t="inlineStr">
        <is>
          <t>South</t>
        </is>
      </c>
      <c r="F3971" t="inlineStr">
        <is>
          <t>Organic Search</t>
        </is>
      </c>
      <c r="G3971" t="inlineStr">
        <is>
          <t>Mobile App</t>
        </is>
      </c>
      <c r="H3971" t="inlineStr">
        <is>
          <t>Debit Card</t>
        </is>
      </c>
      <c r="I3971" t="inlineStr">
        <is>
          <t>Delivered</t>
        </is>
      </c>
      <c r="J3971" t="n">
        <v>124</v>
      </c>
      <c r="K3971" t="n">
        <v>2</v>
      </c>
      <c r="L3971" s="7" t="n">
        <v>1154</v>
      </c>
      <c r="M3971" s="7" t="n">
        <v>346.2</v>
      </c>
    </row>
    <row r="3972">
      <c r="A3972" t="n">
        <v>511546</v>
      </c>
      <c r="B3972" s="6" t="n">
        <v>46008</v>
      </c>
      <c r="C3972" t="n">
        <v>13111</v>
      </c>
      <c r="D3972" t="inlineStr">
        <is>
          <t>Hyderabad</t>
        </is>
      </c>
      <c r="E3972" t="inlineStr">
        <is>
          <t>South</t>
        </is>
      </c>
      <c r="F3972" t="inlineStr">
        <is>
          <t>Referral</t>
        </is>
      </c>
      <c r="G3972" t="inlineStr">
        <is>
          <t>Desktop</t>
        </is>
      </c>
      <c r="H3972" t="inlineStr">
        <is>
          <t>UPI</t>
        </is>
      </c>
      <c r="I3972" t="inlineStr">
        <is>
          <t>Delivered</t>
        </is>
      </c>
      <c r="J3972" t="n">
        <v>128</v>
      </c>
      <c r="K3972" t="n">
        <v>1</v>
      </c>
      <c r="L3972" s="7" t="n">
        <v>1049</v>
      </c>
      <c r="M3972" s="7" t="n">
        <v>0</v>
      </c>
    </row>
    <row r="3973">
      <c r="A3973" t="n">
        <v>511546</v>
      </c>
      <c r="B3973" s="6" t="n">
        <v>46008</v>
      </c>
      <c r="C3973" t="n">
        <v>13111</v>
      </c>
      <c r="D3973" t="inlineStr">
        <is>
          <t>Hyderabad</t>
        </is>
      </c>
      <c r="E3973" t="inlineStr">
        <is>
          <t>South</t>
        </is>
      </c>
      <c r="F3973" t="inlineStr">
        <is>
          <t>Referral</t>
        </is>
      </c>
      <c r="G3973" t="inlineStr">
        <is>
          <t>Desktop</t>
        </is>
      </c>
      <c r="H3973" t="inlineStr">
        <is>
          <t>UPI</t>
        </is>
      </c>
      <c r="I3973" t="inlineStr">
        <is>
          <t>Delivered</t>
        </is>
      </c>
      <c r="J3973" t="n">
        <v>112</v>
      </c>
      <c r="K3973" t="n">
        <v>1</v>
      </c>
      <c r="L3973" s="7" t="n">
        <v>1574</v>
      </c>
      <c r="M3973" s="7" t="n">
        <v>0</v>
      </c>
    </row>
    <row r="3974">
      <c r="A3974" t="n">
        <v>511546</v>
      </c>
      <c r="B3974" s="6" t="n">
        <v>46008</v>
      </c>
      <c r="C3974" t="n">
        <v>13111</v>
      </c>
      <c r="D3974" t="inlineStr">
        <is>
          <t>Hyderabad</t>
        </is>
      </c>
      <c r="E3974" t="inlineStr">
        <is>
          <t>South</t>
        </is>
      </c>
      <c r="F3974" t="inlineStr">
        <is>
          <t>Referral</t>
        </is>
      </c>
      <c r="G3974" t="inlineStr">
        <is>
          <t>Desktop</t>
        </is>
      </c>
      <c r="H3974" t="inlineStr">
        <is>
          <t>UPI</t>
        </is>
      </c>
      <c r="I3974" t="inlineStr">
        <is>
          <t>Delivered</t>
        </is>
      </c>
      <c r="J3974" t="n">
        <v>120</v>
      </c>
      <c r="K3974" t="n">
        <v>2</v>
      </c>
      <c r="L3974" s="7" t="n">
        <v>734</v>
      </c>
      <c r="M3974" s="7" t="n">
        <v>0</v>
      </c>
    </row>
    <row r="3975">
      <c r="A3975" t="n">
        <v>511547</v>
      </c>
      <c r="B3975" s="6" t="n">
        <v>46008</v>
      </c>
      <c r="C3975" t="n">
        <v>14883</v>
      </c>
      <c r="D3975" t="inlineStr">
        <is>
          <t>Bengaluru</t>
        </is>
      </c>
      <c r="E3975" t="inlineStr">
        <is>
          <t>South</t>
        </is>
      </c>
      <c r="F3975" t="inlineStr">
        <is>
          <t>Paid Social</t>
        </is>
      </c>
      <c r="G3975" t="inlineStr">
        <is>
          <t>Mobile App</t>
        </is>
      </c>
      <c r="H3975" t="inlineStr">
        <is>
          <t>UPI</t>
        </is>
      </c>
      <c r="I3975" t="inlineStr">
        <is>
          <t>Delivered</t>
        </is>
      </c>
      <c r="J3975" t="n">
        <v>111</v>
      </c>
      <c r="K3975" t="n">
        <v>1</v>
      </c>
      <c r="L3975" s="7" t="n">
        <v>524</v>
      </c>
      <c r="M3975" s="7" t="n">
        <v>0</v>
      </c>
    </row>
    <row r="3976">
      <c r="A3976" t="n">
        <v>511548</v>
      </c>
      <c r="B3976" s="6" t="n">
        <v>46008</v>
      </c>
      <c r="C3976" t="n">
        <v>17391</v>
      </c>
      <c r="D3976" t="inlineStr">
        <is>
          <t>Delhi</t>
        </is>
      </c>
      <c r="E3976" t="inlineStr">
        <is>
          <t>North</t>
        </is>
      </c>
      <c r="F3976" t="inlineStr">
        <is>
          <t>Organic Search</t>
        </is>
      </c>
      <c r="G3976" t="inlineStr">
        <is>
          <t>Mobile Web</t>
        </is>
      </c>
      <c r="H3976" t="inlineStr">
        <is>
          <t>Net Banking</t>
        </is>
      </c>
      <c r="I3976" t="inlineStr">
        <is>
          <t>Delivered</t>
        </is>
      </c>
      <c r="J3976" t="n">
        <v>109</v>
      </c>
      <c r="K3976" t="n">
        <v>1</v>
      </c>
      <c r="L3976" s="7" t="n">
        <v>4199</v>
      </c>
      <c r="M3976" s="7" t="n">
        <v>0</v>
      </c>
    </row>
    <row r="3977">
      <c r="A3977" t="n">
        <v>511549</v>
      </c>
      <c r="B3977" s="6" t="n">
        <v>46008</v>
      </c>
      <c r="C3977" t="n">
        <v>17243</v>
      </c>
      <c r="D3977" t="inlineStr">
        <is>
          <t>Pune</t>
        </is>
      </c>
      <c r="E3977" t="inlineStr">
        <is>
          <t>West</t>
        </is>
      </c>
      <c r="F3977" t="inlineStr">
        <is>
          <t>Affiliate</t>
        </is>
      </c>
      <c r="G3977" t="inlineStr">
        <is>
          <t>Mobile App</t>
        </is>
      </c>
      <c r="H3977" t="inlineStr">
        <is>
          <t>UPI</t>
        </is>
      </c>
      <c r="I3977" t="inlineStr">
        <is>
          <t>Returned</t>
        </is>
      </c>
      <c r="J3977" t="n">
        <v>113</v>
      </c>
      <c r="K3977" t="n">
        <v>1</v>
      </c>
      <c r="L3977" s="7" t="n">
        <v>1364</v>
      </c>
      <c r="M3977" s="7" t="n">
        <v>0</v>
      </c>
    </row>
    <row r="3978">
      <c r="A3978" t="n">
        <v>511550</v>
      </c>
      <c r="B3978" s="6" t="n">
        <v>46008</v>
      </c>
      <c r="C3978" t="n">
        <v>17675</v>
      </c>
      <c r="D3978" t="inlineStr">
        <is>
          <t>Pune</t>
        </is>
      </c>
      <c r="E3978" t="inlineStr">
        <is>
          <t>West</t>
        </is>
      </c>
      <c r="F3978" t="inlineStr">
        <is>
          <t>Paid Search</t>
        </is>
      </c>
      <c r="G3978" t="inlineStr">
        <is>
          <t>Desktop</t>
        </is>
      </c>
      <c r="H3978" t="inlineStr">
        <is>
          <t>UPI</t>
        </is>
      </c>
      <c r="I3978" t="inlineStr">
        <is>
          <t>Delivered</t>
        </is>
      </c>
      <c r="J3978" t="n">
        <v>118</v>
      </c>
      <c r="K3978" t="n">
        <v>2</v>
      </c>
      <c r="L3978" s="7" t="n">
        <v>944</v>
      </c>
      <c r="M3978" s="7" t="n">
        <v>283.2</v>
      </c>
    </row>
    <row r="3979">
      <c r="A3979" t="n">
        <v>511551</v>
      </c>
      <c r="B3979" s="6" t="n">
        <v>46008</v>
      </c>
      <c r="C3979" t="n">
        <v>17802</v>
      </c>
      <c r="D3979" t="inlineStr">
        <is>
          <t>Gurugram</t>
        </is>
      </c>
      <c r="E3979" t="inlineStr">
        <is>
          <t>North</t>
        </is>
      </c>
      <c r="F3979" t="inlineStr">
        <is>
          <t>Referral</t>
        </is>
      </c>
      <c r="G3979" t="inlineStr">
        <is>
          <t>Mobile App</t>
        </is>
      </c>
      <c r="H3979" t="inlineStr">
        <is>
          <t>Cash on Delivery</t>
        </is>
      </c>
      <c r="I3979" t="inlineStr">
        <is>
          <t>Delivered</t>
        </is>
      </c>
      <c r="J3979" t="n">
        <v>102</v>
      </c>
      <c r="K3979" t="n">
        <v>1</v>
      </c>
      <c r="L3979" s="7" t="n">
        <v>3674</v>
      </c>
      <c r="M3979" s="7" t="n">
        <v>0</v>
      </c>
    </row>
    <row r="3980">
      <c r="A3980" t="n">
        <v>511551</v>
      </c>
      <c r="B3980" s="6" t="n">
        <v>46008</v>
      </c>
      <c r="C3980" t="n">
        <v>17802</v>
      </c>
      <c r="D3980" t="inlineStr">
        <is>
          <t>Gurugram</t>
        </is>
      </c>
      <c r="E3980" t="inlineStr">
        <is>
          <t>North</t>
        </is>
      </c>
      <c r="F3980" t="inlineStr">
        <is>
          <t>Referral</t>
        </is>
      </c>
      <c r="G3980" t="inlineStr">
        <is>
          <t>Mobile App</t>
        </is>
      </c>
      <c r="H3980" t="inlineStr">
        <is>
          <t>Cash on Delivery</t>
        </is>
      </c>
      <c r="I3980" t="inlineStr">
        <is>
          <t>Delivered</t>
        </is>
      </c>
      <c r="J3980" t="n">
        <v>111</v>
      </c>
      <c r="K3980" t="n">
        <v>1</v>
      </c>
      <c r="L3980" s="7" t="n">
        <v>524</v>
      </c>
      <c r="M3980" s="7" t="n">
        <v>0</v>
      </c>
    </row>
    <row r="3981">
      <c r="A3981" t="n">
        <v>511552</v>
      </c>
      <c r="B3981" s="6" t="n">
        <v>46008</v>
      </c>
      <c r="C3981" t="n">
        <v>17798</v>
      </c>
      <c r="D3981" t="inlineStr">
        <is>
          <t>Mumbai</t>
        </is>
      </c>
      <c r="E3981" t="inlineStr">
        <is>
          <t>West</t>
        </is>
      </c>
      <c r="F3981" t="inlineStr">
        <is>
          <t>Affiliate</t>
        </is>
      </c>
      <c r="G3981" t="inlineStr">
        <is>
          <t>Mobile App</t>
        </is>
      </c>
      <c r="H3981" t="inlineStr">
        <is>
          <t>Cash on Delivery</t>
        </is>
      </c>
      <c r="I3981" t="inlineStr">
        <is>
          <t>Delivered</t>
        </is>
      </c>
      <c r="J3981" t="n">
        <v>113</v>
      </c>
      <c r="K3981" t="n">
        <v>2</v>
      </c>
      <c r="L3981" s="7" t="n">
        <v>1364</v>
      </c>
      <c r="M3981" s="7" t="n">
        <v>0</v>
      </c>
    </row>
    <row r="3982">
      <c r="A3982" t="n">
        <v>511552</v>
      </c>
      <c r="B3982" s="6" t="n">
        <v>46008</v>
      </c>
      <c r="C3982" t="n">
        <v>17798</v>
      </c>
      <c r="D3982" t="inlineStr">
        <is>
          <t>Mumbai</t>
        </is>
      </c>
      <c r="E3982" t="inlineStr">
        <is>
          <t>West</t>
        </is>
      </c>
      <c r="F3982" t="inlineStr">
        <is>
          <t>Affiliate</t>
        </is>
      </c>
      <c r="G3982" t="inlineStr">
        <is>
          <t>Mobile App</t>
        </is>
      </c>
      <c r="H3982" t="inlineStr">
        <is>
          <t>Cash on Delivery</t>
        </is>
      </c>
      <c r="I3982" t="inlineStr">
        <is>
          <t>Delivered</t>
        </is>
      </c>
      <c r="J3982" t="n">
        <v>146</v>
      </c>
      <c r="K3982" t="n">
        <v>1</v>
      </c>
      <c r="L3982" s="7" t="n">
        <v>4724</v>
      </c>
      <c r="M3982" s="7" t="n">
        <v>0</v>
      </c>
    </row>
    <row r="3983">
      <c r="A3983" t="n">
        <v>511553</v>
      </c>
      <c r="B3983" s="6" t="n">
        <v>46008</v>
      </c>
      <c r="C3983" t="n">
        <v>17549</v>
      </c>
      <c r="D3983" t="inlineStr">
        <is>
          <t>Chandigarh</t>
        </is>
      </c>
      <c r="E3983" t="inlineStr">
        <is>
          <t>North</t>
        </is>
      </c>
      <c r="F3983" t="inlineStr">
        <is>
          <t>Paid Search</t>
        </is>
      </c>
      <c r="G3983" t="inlineStr">
        <is>
          <t>Mobile App</t>
        </is>
      </c>
      <c r="H3983" t="inlineStr">
        <is>
          <t>Debit Card</t>
        </is>
      </c>
      <c r="I3983" t="inlineStr">
        <is>
          <t>Delivered</t>
        </is>
      </c>
      <c r="J3983" t="n">
        <v>143</v>
      </c>
      <c r="K3983" t="n">
        <v>1</v>
      </c>
      <c r="L3983" s="7" t="n">
        <v>839</v>
      </c>
      <c r="M3983" s="7" t="n">
        <v>0</v>
      </c>
    </row>
    <row r="3984">
      <c r="A3984" t="n">
        <v>511554</v>
      </c>
      <c r="B3984" s="6" t="n">
        <v>46008</v>
      </c>
      <c r="C3984" t="n">
        <v>17513</v>
      </c>
      <c r="D3984" t="inlineStr">
        <is>
          <t>Chandigarh</t>
        </is>
      </c>
      <c r="E3984" t="inlineStr">
        <is>
          <t>North</t>
        </is>
      </c>
      <c r="F3984" t="inlineStr">
        <is>
          <t>Organic Search</t>
        </is>
      </c>
      <c r="G3984" t="inlineStr">
        <is>
          <t>Mobile App</t>
        </is>
      </c>
      <c r="H3984" t="inlineStr">
        <is>
          <t>Credit Card</t>
        </is>
      </c>
      <c r="I3984" t="inlineStr">
        <is>
          <t>Delivered</t>
        </is>
      </c>
      <c r="J3984" t="n">
        <v>118</v>
      </c>
      <c r="K3984" t="n">
        <v>1</v>
      </c>
      <c r="L3984" s="7" t="n">
        <v>944</v>
      </c>
      <c r="M3984" s="7" t="n">
        <v>0</v>
      </c>
    </row>
    <row r="3985">
      <c r="A3985" t="n">
        <v>511555</v>
      </c>
      <c r="B3985" s="6" t="n">
        <v>46008</v>
      </c>
      <c r="C3985" t="n">
        <v>15574</v>
      </c>
      <c r="D3985" t="inlineStr">
        <is>
          <t>Chennai</t>
        </is>
      </c>
      <c r="E3985" t="inlineStr">
        <is>
          <t>South</t>
        </is>
      </c>
      <c r="F3985" t="inlineStr">
        <is>
          <t>Referral</t>
        </is>
      </c>
      <c r="G3985" t="inlineStr">
        <is>
          <t>Mobile App</t>
        </is>
      </c>
      <c r="H3985" t="inlineStr">
        <is>
          <t>UPI</t>
        </is>
      </c>
      <c r="I3985" t="inlineStr">
        <is>
          <t>Delivered</t>
        </is>
      </c>
      <c r="J3985" t="n">
        <v>112</v>
      </c>
      <c r="K3985" t="n">
        <v>3</v>
      </c>
      <c r="L3985" s="7" t="n">
        <v>1574</v>
      </c>
      <c r="M3985" s="7" t="n">
        <v>0</v>
      </c>
    </row>
    <row r="3986">
      <c r="A3986" t="n">
        <v>511556</v>
      </c>
      <c r="B3986" s="6" t="n">
        <v>46008</v>
      </c>
      <c r="C3986" t="n">
        <v>17501</v>
      </c>
      <c r="D3986" t="inlineStr">
        <is>
          <t>Kochi</t>
        </is>
      </c>
      <c r="E3986" t="inlineStr">
        <is>
          <t>South</t>
        </is>
      </c>
      <c r="F3986" t="inlineStr">
        <is>
          <t>Email</t>
        </is>
      </c>
      <c r="G3986" t="inlineStr">
        <is>
          <t>Mobile App</t>
        </is>
      </c>
      <c r="H3986" t="inlineStr">
        <is>
          <t>Debit Card</t>
        </is>
      </c>
      <c r="I3986" t="inlineStr">
        <is>
          <t>Cancelled</t>
        </is>
      </c>
      <c r="J3986" t="n">
        <v>113</v>
      </c>
      <c r="K3986" t="n">
        <v>1</v>
      </c>
      <c r="L3986" s="7" t="n">
        <v>1364</v>
      </c>
      <c r="M3986" s="7" t="n">
        <v>0</v>
      </c>
    </row>
    <row r="3987">
      <c r="A3987" t="n">
        <v>511556</v>
      </c>
      <c r="B3987" s="6" t="n">
        <v>46008</v>
      </c>
      <c r="C3987" t="n">
        <v>17501</v>
      </c>
      <c r="D3987" t="inlineStr">
        <is>
          <t>Kochi</t>
        </is>
      </c>
      <c r="E3987" t="inlineStr">
        <is>
          <t>South</t>
        </is>
      </c>
      <c r="F3987" t="inlineStr">
        <is>
          <t>Email</t>
        </is>
      </c>
      <c r="G3987" t="inlineStr">
        <is>
          <t>Mobile App</t>
        </is>
      </c>
      <c r="H3987" t="inlineStr">
        <is>
          <t>Debit Card</t>
        </is>
      </c>
      <c r="I3987" t="inlineStr">
        <is>
          <t>Cancelled</t>
        </is>
      </c>
      <c r="J3987" t="n">
        <v>134</v>
      </c>
      <c r="K3987" t="n">
        <v>2</v>
      </c>
      <c r="L3987" s="7" t="n">
        <v>209</v>
      </c>
      <c r="M3987" s="7" t="n">
        <v>0</v>
      </c>
    </row>
    <row r="3988">
      <c r="A3988" t="n">
        <v>511557</v>
      </c>
      <c r="B3988" s="6" t="n">
        <v>46008</v>
      </c>
      <c r="C3988" t="n">
        <v>16206</v>
      </c>
      <c r="D3988" t="inlineStr">
        <is>
          <t>Pune</t>
        </is>
      </c>
      <c r="E3988" t="inlineStr">
        <is>
          <t>West</t>
        </is>
      </c>
      <c r="F3988" t="inlineStr">
        <is>
          <t>Organic Search</t>
        </is>
      </c>
      <c r="G3988" t="inlineStr">
        <is>
          <t>Desktop</t>
        </is>
      </c>
      <c r="H3988" t="inlineStr">
        <is>
          <t>UPI</t>
        </is>
      </c>
      <c r="I3988" t="inlineStr">
        <is>
          <t>Delivered</t>
        </is>
      </c>
      <c r="J3988" t="n">
        <v>126</v>
      </c>
      <c r="K3988" t="n">
        <v>1</v>
      </c>
      <c r="L3988" s="7" t="n">
        <v>471</v>
      </c>
      <c r="M3988" s="7" t="n">
        <v>0</v>
      </c>
    </row>
    <row r="3989">
      <c r="A3989" t="n">
        <v>511557</v>
      </c>
      <c r="B3989" s="6" t="n">
        <v>46008</v>
      </c>
      <c r="C3989" t="n">
        <v>16206</v>
      </c>
      <c r="D3989" t="inlineStr">
        <is>
          <t>Pune</t>
        </is>
      </c>
      <c r="E3989" t="inlineStr">
        <is>
          <t>West</t>
        </is>
      </c>
      <c r="F3989" t="inlineStr">
        <is>
          <t>Organic Search</t>
        </is>
      </c>
      <c r="G3989" t="inlineStr">
        <is>
          <t>Desktop</t>
        </is>
      </c>
      <c r="H3989" t="inlineStr">
        <is>
          <t>UPI</t>
        </is>
      </c>
      <c r="I3989" t="inlineStr">
        <is>
          <t>Delivered</t>
        </is>
      </c>
      <c r="J3989" t="n">
        <v>113</v>
      </c>
      <c r="K3989" t="n">
        <v>2</v>
      </c>
      <c r="L3989" s="7" t="n">
        <v>1364</v>
      </c>
      <c r="M3989" s="7" t="n">
        <v>0</v>
      </c>
    </row>
    <row r="3990">
      <c r="A3990" t="n">
        <v>511558</v>
      </c>
      <c r="B3990" s="6" t="n">
        <v>46009</v>
      </c>
      <c r="C3990" t="n">
        <v>12553</v>
      </c>
      <c r="D3990" t="inlineStr">
        <is>
          <t>Kochi</t>
        </is>
      </c>
      <c r="E3990" t="inlineStr">
        <is>
          <t>South</t>
        </is>
      </c>
      <c r="F3990" t="inlineStr">
        <is>
          <t>Organic Search</t>
        </is>
      </c>
      <c r="G3990" t="inlineStr">
        <is>
          <t>Desktop</t>
        </is>
      </c>
      <c r="H3990" t="inlineStr">
        <is>
          <t>UPI</t>
        </is>
      </c>
      <c r="I3990" t="inlineStr">
        <is>
          <t>Delivered</t>
        </is>
      </c>
      <c r="J3990" t="n">
        <v>115</v>
      </c>
      <c r="K3990" t="n">
        <v>2</v>
      </c>
      <c r="L3990" s="7" t="n">
        <v>4199</v>
      </c>
      <c r="M3990" s="7" t="n">
        <v>0</v>
      </c>
    </row>
    <row r="3991">
      <c r="A3991" t="n">
        <v>511559</v>
      </c>
      <c r="B3991" s="6" t="n">
        <v>46009</v>
      </c>
      <c r="C3991" t="n">
        <v>15567</v>
      </c>
      <c r="D3991" t="inlineStr">
        <is>
          <t>Gurugram</t>
        </is>
      </c>
      <c r="E3991" t="inlineStr">
        <is>
          <t>North</t>
        </is>
      </c>
      <c r="F3991" t="inlineStr">
        <is>
          <t>Email</t>
        </is>
      </c>
      <c r="G3991" t="inlineStr">
        <is>
          <t>Mobile App</t>
        </is>
      </c>
      <c r="H3991" t="inlineStr">
        <is>
          <t>Cash on Delivery</t>
        </is>
      </c>
      <c r="I3991" t="inlineStr">
        <is>
          <t>Delivered</t>
        </is>
      </c>
      <c r="J3991" t="n">
        <v>136</v>
      </c>
      <c r="K3991" t="n">
        <v>2</v>
      </c>
      <c r="L3991" s="7" t="n">
        <v>944</v>
      </c>
      <c r="M3991" s="7" t="n">
        <v>0</v>
      </c>
    </row>
    <row r="3992">
      <c r="A3992" t="n">
        <v>511560</v>
      </c>
      <c r="B3992" s="6" t="n">
        <v>46009</v>
      </c>
      <c r="C3992" t="n">
        <v>17820</v>
      </c>
      <c r="D3992" t="inlineStr">
        <is>
          <t>Bengaluru</t>
        </is>
      </c>
      <c r="E3992" t="inlineStr">
        <is>
          <t>South</t>
        </is>
      </c>
      <c r="F3992" t="inlineStr">
        <is>
          <t>Affiliate</t>
        </is>
      </c>
      <c r="G3992" t="inlineStr">
        <is>
          <t>Mobile App</t>
        </is>
      </c>
      <c r="H3992" t="inlineStr">
        <is>
          <t>Net Banking</t>
        </is>
      </c>
      <c r="I3992" t="inlineStr">
        <is>
          <t>Delivered</t>
        </is>
      </c>
      <c r="J3992" t="n">
        <v>130</v>
      </c>
      <c r="K3992" t="n">
        <v>1</v>
      </c>
      <c r="L3992" s="7" t="n">
        <v>734</v>
      </c>
      <c r="M3992" s="7" t="n">
        <v>110.1</v>
      </c>
    </row>
    <row r="3993">
      <c r="A3993" t="n">
        <v>511561</v>
      </c>
      <c r="B3993" s="6" t="n">
        <v>46009</v>
      </c>
      <c r="C3993" t="n">
        <v>17768</v>
      </c>
      <c r="D3993" t="inlineStr">
        <is>
          <t>Delhi</t>
        </is>
      </c>
      <c r="E3993" t="inlineStr">
        <is>
          <t>North</t>
        </is>
      </c>
      <c r="F3993" t="inlineStr">
        <is>
          <t>Organic Search</t>
        </is>
      </c>
      <c r="G3993" t="inlineStr">
        <is>
          <t>Mobile Web</t>
        </is>
      </c>
      <c r="H3993" t="inlineStr">
        <is>
          <t>Cash on Delivery</t>
        </is>
      </c>
      <c r="I3993" t="inlineStr">
        <is>
          <t>Delivered</t>
        </is>
      </c>
      <c r="J3993" t="n">
        <v>122</v>
      </c>
      <c r="K3993" t="n">
        <v>2</v>
      </c>
      <c r="L3993" s="7" t="n">
        <v>1994</v>
      </c>
      <c r="M3993" s="7" t="n">
        <v>0</v>
      </c>
    </row>
    <row r="3994">
      <c r="A3994" t="n">
        <v>511561</v>
      </c>
      <c r="B3994" s="6" t="n">
        <v>46009</v>
      </c>
      <c r="C3994" t="n">
        <v>17768</v>
      </c>
      <c r="D3994" t="inlineStr">
        <is>
          <t>Delhi</t>
        </is>
      </c>
      <c r="E3994" t="inlineStr">
        <is>
          <t>North</t>
        </is>
      </c>
      <c r="F3994" t="inlineStr">
        <is>
          <t>Organic Search</t>
        </is>
      </c>
      <c r="G3994" t="inlineStr">
        <is>
          <t>Mobile Web</t>
        </is>
      </c>
      <c r="H3994" t="inlineStr">
        <is>
          <t>Cash on Delivery</t>
        </is>
      </c>
      <c r="I3994" t="inlineStr">
        <is>
          <t>Delivered</t>
        </is>
      </c>
      <c r="J3994" t="n">
        <v>130</v>
      </c>
      <c r="K3994" t="n">
        <v>1</v>
      </c>
      <c r="L3994" s="7" t="n">
        <v>734</v>
      </c>
      <c r="M3994" s="7" t="n">
        <v>0</v>
      </c>
    </row>
    <row r="3995">
      <c r="A3995" t="n">
        <v>511561</v>
      </c>
      <c r="B3995" s="6" t="n">
        <v>46009</v>
      </c>
      <c r="C3995" t="n">
        <v>17768</v>
      </c>
      <c r="D3995" t="inlineStr">
        <is>
          <t>Delhi</t>
        </is>
      </c>
      <c r="E3995" t="inlineStr">
        <is>
          <t>North</t>
        </is>
      </c>
      <c r="F3995" t="inlineStr">
        <is>
          <t>Organic Search</t>
        </is>
      </c>
      <c r="G3995" t="inlineStr">
        <is>
          <t>Mobile Web</t>
        </is>
      </c>
      <c r="H3995" t="inlineStr">
        <is>
          <t>Cash on Delivery</t>
        </is>
      </c>
      <c r="I3995" t="inlineStr">
        <is>
          <t>Delivered</t>
        </is>
      </c>
      <c r="J3995" t="n">
        <v>137</v>
      </c>
      <c r="K3995" t="n">
        <v>1</v>
      </c>
      <c r="L3995" s="7" t="n">
        <v>261</v>
      </c>
      <c r="M3995" s="7" t="n">
        <v>0</v>
      </c>
    </row>
    <row r="3996">
      <c r="A3996" t="n">
        <v>511561</v>
      </c>
      <c r="B3996" s="6" t="n">
        <v>46009</v>
      </c>
      <c r="C3996" t="n">
        <v>17768</v>
      </c>
      <c r="D3996" t="inlineStr">
        <is>
          <t>Delhi</t>
        </is>
      </c>
      <c r="E3996" t="inlineStr">
        <is>
          <t>North</t>
        </is>
      </c>
      <c r="F3996" t="inlineStr">
        <is>
          <t>Organic Search</t>
        </is>
      </c>
      <c r="G3996" t="inlineStr">
        <is>
          <t>Mobile Web</t>
        </is>
      </c>
      <c r="H3996" t="inlineStr">
        <is>
          <t>Cash on Delivery</t>
        </is>
      </c>
      <c r="I3996" t="inlineStr">
        <is>
          <t>Delivered</t>
        </is>
      </c>
      <c r="J3996" t="n">
        <v>135</v>
      </c>
      <c r="K3996" t="n">
        <v>1</v>
      </c>
      <c r="L3996" s="7" t="n">
        <v>1574</v>
      </c>
      <c r="M3996" s="7" t="n">
        <v>0</v>
      </c>
    </row>
    <row r="3997">
      <c r="A3997" t="n">
        <v>511562</v>
      </c>
      <c r="B3997" s="6" t="n">
        <v>46009</v>
      </c>
      <c r="C3997" t="n">
        <v>15426</v>
      </c>
      <c r="D3997" t="inlineStr">
        <is>
          <t>Bengaluru</t>
        </is>
      </c>
      <c r="E3997" t="inlineStr">
        <is>
          <t>South</t>
        </is>
      </c>
      <c r="F3997" t="inlineStr">
        <is>
          <t>Organic Search</t>
        </is>
      </c>
      <c r="G3997" t="inlineStr">
        <is>
          <t>Mobile Web</t>
        </is>
      </c>
      <c r="H3997" t="inlineStr">
        <is>
          <t>UPI</t>
        </is>
      </c>
      <c r="I3997" t="inlineStr">
        <is>
          <t>Delivered</t>
        </is>
      </c>
      <c r="J3997" t="n">
        <v>121</v>
      </c>
      <c r="K3997" t="n">
        <v>1</v>
      </c>
      <c r="L3997" s="7" t="n">
        <v>2939</v>
      </c>
      <c r="M3997" s="7" t="n">
        <v>0</v>
      </c>
    </row>
    <row r="3998">
      <c r="A3998" t="n">
        <v>511562</v>
      </c>
      <c r="B3998" s="6" t="n">
        <v>46009</v>
      </c>
      <c r="C3998" t="n">
        <v>15426</v>
      </c>
      <c r="D3998" t="inlineStr">
        <is>
          <t>Bengaluru</t>
        </is>
      </c>
      <c r="E3998" t="inlineStr">
        <is>
          <t>South</t>
        </is>
      </c>
      <c r="F3998" t="inlineStr">
        <is>
          <t>Organic Search</t>
        </is>
      </c>
      <c r="G3998" t="inlineStr">
        <is>
          <t>Mobile Web</t>
        </is>
      </c>
      <c r="H3998" t="inlineStr">
        <is>
          <t>UPI</t>
        </is>
      </c>
      <c r="I3998" t="inlineStr">
        <is>
          <t>Delivered</t>
        </is>
      </c>
      <c r="J3998" t="n">
        <v>112</v>
      </c>
      <c r="K3998" t="n">
        <v>3</v>
      </c>
      <c r="L3998" s="7" t="n">
        <v>1574</v>
      </c>
      <c r="M3998" s="7" t="n">
        <v>0</v>
      </c>
    </row>
    <row r="3999">
      <c r="A3999" t="n">
        <v>511563</v>
      </c>
      <c r="B3999" s="6" t="n">
        <v>46009</v>
      </c>
      <c r="C3999" t="n">
        <v>17552</v>
      </c>
      <c r="D3999" t="inlineStr">
        <is>
          <t>Chennai</t>
        </is>
      </c>
      <c r="E3999" t="inlineStr">
        <is>
          <t>South</t>
        </is>
      </c>
      <c r="F3999" t="inlineStr">
        <is>
          <t>Email</t>
        </is>
      </c>
      <c r="G3999" t="inlineStr">
        <is>
          <t>Mobile App</t>
        </is>
      </c>
      <c r="H3999" t="inlineStr">
        <is>
          <t>UPI</t>
        </is>
      </c>
      <c r="I3999" t="inlineStr">
        <is>
          <t>Returned</t>
        </is>
      </c>
      <c r="J3999" t="n">
        <v>112</v>
      </c>
      <c r="K3999" t="n">
        <v>1</v>
      </c>
      <c r="L3999" s="7" t="n">
        <v>1574</v>
      </c>
      <c r="M3999" s="7" t="n">
        <v>78.7</v>
      </c>
    </row>
    <row r="4000">
      <c r="A4000" t="n">
        <v>511563</v>
      </c>
      <c r="B4000" s="6" t="n">
        <v>46009</v>
      </c>
      <c r="C4000" t="n">
        <v>17552</v>
      </c>
      <c r="D4000" t="inlineStr">
        <is>
          <t>Chennai</t>
        </is>
      </c>
      <c r="E4000" t="inlineStr">
        <is>
          <t>South</t>
        </is>
      </c>
      <c r="F4000" t="inlineStr">
        <is>
          <t>Email</t>
        </is>
      </c>
      <c r="G4000" t="inlineStr">
        <is>
          <t>Mobile App</t>
        </is>
      </c>
      <c r="H4000" t="inlineStr">
        <is>
          <t>UPI</t>
        </is>
      </c>
      <c r="I4000" t="inlineStr">
        <is>
          <t>Returned</t>
        </is>
      </c>
      <c r="J4000" t="n">
        <v>137</v>
      </c>
      <c r="K4000" t="n">
        <v>1</v>
      </c>
      <c r="L4000" s="7" t="n">
        <v>261</v>
      </c>
      <c r="M4000" s="7" t="n">
        <v>13.05</v>
      </c>
    </row>
    <row r="4001">
      <c r="A4001" t="n">
        <v>511563</v>
      </c>
      <c r="B4001" s="6" t="n">
        <v>46009</v>
      </c>
      <c r="C4001" t="n">
        <v>17552</v>
      </c>
      <c r="D4001" t="inlineStr">
        <is>
          <t>Chennai</t>
        </is>
      </c>
      <c r="E4001" t="inlineStr">
        <is>
          <t>South</t>
        </is>
      </c>
      <c r="F4001" t="inlineStr">
        <is>
          <t>Email</t>
        </is>
      </c>
      <c r="G4001" t="inlineStr">
        <is>
          <t>Mobile App</t>
        </is>
      </c>
      <c r="H4001" t="inlineStr">
        <is>
          <t>UPI</t>
        </is>
      </c>
      <c r="I4001" t="inlineStr">
        <is>
          <t>Returned</t>
        </is>
      </c>
      <c r="J4001" t="n">
        <v>145</v>
      </c>
      <c r="K4001" t="n">
        <v>1</v>
      </c>
      <c r="L4001" s="7" t="n">
        <v>629</v>
      </c>
      <c r="M4001" s="7" t="n">
        <v>31.45</v>
      </c>
    </row>
    <row r="4002">
      <c r="A4002" t="n">
        <v>511564</v>
      </c>
      <c r="B4002" s="6" t="n">
        <v>46009</v>
      </c>
      <c r="C4002" t="n">
        <v>17812</v>
      </c>
      <c r="D4002" t="inlineStr">
        <is>
          <t>Kolkata</t>
        </is>
      </c>
      <c r="E4002" t="inlineStr">
        <is>
          <t>East</t>
        </is>
      </c>
      <c r="F4002" t="inlineStr">
        <is>
          <t>Paid Social</t>
        </is>
      </c>
      <c r="G4002" t="inlineStr">
        <is>
          <t>Mobile App</t>
        </is>
      </c>
      <c r="H4002" t="inlineStr">
        <is>
          <t>Cash on Delivery</t>
        </is>
      </c>
      <c r="I4002" t="inlineStr">
        <is>
          <t>Delivered</t>
        </is>
      </c>
      <c r="J4002" t="n">
        <v>119</v>
      </c>
      <c r="K4002" t="n">
        <v>1</v>
      </c>
      <c r="L4002" s="7" t="n">
        <v>2309</v>
      </c>
      <c r="M4002" s="7" t="n">
        <v>346.35</v>
      </c>
    </row>
    <row r="4003">
      <c r="A4003" t="n">
        <v>511564</v>
      </c>
      <c r="B4003" s="6" t="n">
        <v>46009</v>
      </c>
      <c r="C4003" t="n">
        <v>17812</v>
      </c>
      <c r="D4003" t="inlineStr">
        <is>
          <t>Kolkata</t>
        </is>
      </c>
      <c r="E4003" t="inlineStr">
        <is>
          <t>East</t>
        </is>
      </c>
      <c r="F4003" t="inlineStr">
        <is>
          <t>Paid Social</t>
        </is>
      </c>
      <c r="G4003" t="inlineStr">
        <is>
          <t>Mobile App</t>
        </is>
      </c>
      <c r="H4003" t="inlineStr">
        <is>
          <t>Cash on Delivery</t>
        </is>
      </c>
      <c r="I4003" t="inlineStr">
        <is>
          <t>Delivered</t>
        </is>
      </c>
      <c r="J4003" t="n">
        <v>123</v>
      </c>
      <c r="K4003" t="n">
        <v>1</v>
      </c>
      <c r="L4003" s="7" t="n">
        <v>3464</v>
      </c>
      <c r="M4003" s="7" t="n">
        <v>519.6</v>
      </c>
    </row>
    <row r="4004">
      <c r="A4004" t="n">
        <v>511565</v>
      </c>
      <c r="B4004" s="6" t="n">
        <v>46009</v>
      </c>
      <c r="C4004" t="n">
        <v>11789</v>
      </c>
      <c r="D4004" t="inlineStr">
        <is>
          <t>Delhi</t>
        </is>
      </c>
      <c r="E4004" t="inlineStr">
        <is>
          <t>North</t>
        </is>
      </c>
      <c r="F4004" t="inlineStr">
        <is>
          <t>Paid Social</t>
        </is>
      </c>
      <c r="G4004" t="inlineStr">
        <is>
          <t>Mobile App</t>
        </is>
      </c>
      <c r="H4004" t="inlineStr">
        <is>
          <t>UPI</t>
        </is>
      </c>
      <c r="I4004" t="inlineStr">
        <is>
          <t>Delivered</t>
        </is>
      </c>
      <c r="J4004" t="n">
        <v>148</v>
      </c>
      <c r="K4004" t="n">
        <v>1</v>
      </c>
      <c r="L4004" s="7" t="n">
        <v>734</v>
      </c>
      <c r="M4004" s="7" t="n">
        <v>0</v>
      </c>
    </row>
    <row r="4005">
      <c r="A4005" t="n">
        <v>511565</v>
      </c>
      <c r="B4005" s="6" t="n">
        <v>46009</v>
      </c>
      <c r="C4005" t="n">
        <v>11789</v>
      </c>
      <c r="D4005" t="inlineStr">
        <is>
          <t>Delhi</t>
        </is>
      </c>
      <c r="E4005" t="inlineStr">
        <is>
          <t>North</t>
        </is>
      </c>
      <c r="F4005" t="inlineStr">
        <is>
          <t>Paid Social</t>
        </is>
      </c>
      <c r="G4005" t="inlineStr">
        <is>
          <t>Mobile App</t>
        </is>
      </c>
      <c r="H4005" t="inlineStr">
        <is>
          <t>UPI</t>
        </is>
      </c>
      <c r="I4005" t="inlineStr">
        <is>
          <t>Delivered</t>
        </is>
      </c>
      <c r="J4005" t="n">
        <v>101</v>
      </c>
      <c r="K4005" t="n">
        <v>2</v>
      </c>
      <c r="L4005" s="7" t="n">
        <v>2099</v>
      </c>
      <c r="M4005" s="7" t="n">
        <v>0</v>
      </c>
    </row>
    <row r="4006">
      <c r="A4006" t="n">
        <v>511566</v>
      </c>
      <c r="B4006" s="6" t="n">
        <v>46009</v>
      </c>
      <c r="C4006" t="n">
        <v>17810</v>
      </c>
      <c r="D4006" t="inlineStr">
        <is>
          <t>Noida</t>
        </is>
      </c>
      <c r="E4006" t="inlineStr">
        <is>
          <t>North</t>
        </is>
      </c>
      <c r="F4006" t="inlineStr">
        <is>
          <t>Organic Search</t>
        </is>
      </c>
      <c r="G4006" t="inlineStr">
        <is>
          <t>Mobile App</t>
        </is>
      </c>
      <c r="H4006" t="inlineStr">
        <is>
          <t>Cash on Delivery</t>
        </is>
      </c>
      <c r="I4006" t="inlineStr">
        <is>
          <t>Delivered</t>
        </is>
      </c>
      <c r="J4006" t="n">
        <v>109</v>
      </c>
      <c r="K4006" t="n">
        <v>1</v>
      </c>
      <c r="L4006" s="7" t="n">
        <v>4199</v>
      </c>
      <c r="M4006" s="7" t="n">
        <v>629.85</v>
      </c>
    </row>
    <row r="4007">
      <c r="A4007" t="n">
        <v>511567</v>
      </c>
      <c r="B4007" s="6" t="n">
        <v>46009</v>
      </c>
      <c r="C4007" t="n">
        <v>11902</v>
      </c>
      <c r="D4007" t="inlineStr">
        <is>
          <t>Hyderabad</t>
        </is>
      </c>
      <c r="E4007" t="inlineStr">
        <is>
          <t>South</t>
        </is>
      </c>
      <c r="F4007" t="inlineStr">
        <is>
          <t>Organic Search</t>
        </is>
      </c>
      <c r="G4007" t="inlineStr">
        <is>
          <t>Desktop</t>
        </is>
      </c>
      <c r="H4007" t="inlineStr">
        <is>
          <t>Debit Card</t>
        </is>
      </c>
      <c r="I4007" t="inlineStr">
        <is>
          <t>Delivered</t>
        </is>
      </c>
      <c r="J4007" t="n">
        <v>126</v>
      </c>
      <c r="K4007" t="n">
        <v>2</v>
      </c>
      <c r="L4007" s="7" t="n">
        <v>471</v>
      </c>
      <c r="M4007" s="7" t="n">
        <v>0</v>
      </c>
    </row>
    <row r="4008">
      <c r="A4008" t="n">
        <v>511568</v>
      </c>
      <c r="B4008" s="6" t="n">
        <v>46009</v>
      </c>
      <c r="C4008" t="n">
        <v>15281</v>
      </c>
      <c r="D4008" t="inlineStr">
        <is>
          <t>Delhi</t>
        </is>
      </c>
      <c r="E4008" t="inlineStr">
        <is>
          <t>North</t>
        </is>
      </c>
      <c r="F4008" t="inlineStr">
        <is>
          <t>Email</t>
        </is>
      </c>
      <c r="G4008" t="inlineStr">
        <is>
          <t>Mobile App</t>
        </is>
      </c>
      <c r="H4008" t="inlineStr">
        <is>
          <t>Credit Card</t>
        </is>
      </c>
      <c r="I4008" t="inlineStr">
        <is>
          <t>Delivered</t>
        </is>
      </c>
      <c r="J4008" t="n">
        <v>148</v>
      </c>
      <c r="K4008" t="n">
        <v>3</v>
      </c>
      <c r="L4008" s="7" t="n">
        <v>734</v>
      </c>
      <c r="M4008" s="7" t="n">
        <v>0</v>
      </c>
    </row>
    <row r="4009">
      <c r="A4009" t="n">
        <v>511569</v>
      </c>
      <c r="B4009" s="6" t="n">
        <v>46009</v>
      </c>
      <c r="C4009" t="n">
        <v>17799</v>
      </c>
      <c r="D4009" t="inlineStr">
        <is>
          <t>Kolkata</t>
        </is>
      </c>
      <c r="E4009" t="inlineStr">
        <is>
          <t>East</t>
        </is>
      </c>
      <c r="F4009" t="inlineStr">
        <is>
          <t>Paid Search</t>
        </is>
      </c>
      <c r="G4009" t="inlineStr">
        <is>
          <t>Mobile Web</t>
        </is>
      </c>
      <c r="H4009" t="inlineStr">
        <is>
          <t>Debit Card</t>
        </is>
      </c>
      <c r="I4009" t="inlineStr">
        <is>
          <t>Delivered</t>
        </is>
      </c>
      <c r="J4009" t="n">
        <v>110</v>
      </c>
      <c r="K4009" t="n">
        <v>2</v>
      </c>
      <c r="L4009" s="7" t="n">
        <v>839</v>
      </c>
      <c r="M4009" s="7" t="n">
        <v>251.7</v>
      </c>
    </row>
    <row r="4010">
      <c r="A4010" t="n">
        <v>511569</v>
      </c>
      <c r="B4010" s="6" t="n">
        <v>46009</v>
      </c>
      <c r="C4010" t="n">
        <v>17799</v>
      </c>
      <c r="D4010" t="inlineStr">
        <is>
          <t>Kolkata</t>
        </is>
      </c>
      <c r="E4010" t="inlineStr">
        <is>
          <t>East</t>
        </is>
      </c>
      <c r="F4010" t="inlineStr">
        <is>
          <t>Paid Search</t>
        </is>
      </c>
      <c r="G4010" t="inlineStr">
        <is>
          <t>Mobile Web</t>
        </is>
      </c>
      <c r="H4010" t="inlineStr">
        <is>
          <t>Debit Card</t>
        </is>
      </c>
      <c r="I4010" t="inlineStr">
        <is>
          <t>Delivered</t>
        </is>
      </c>
      <c r="J4010" t="n">
        <v>116</v>
      </c>
      <c r="K4010" t="n">
        <v>1</v>
      </c>
      <c r="L4010" s="7" t="n">
        <v>2624</v>
      </c>
      <c r="M4010" s="7" t="n">
        <v>393.6</v>
      </c>
    </row>
    <row r="4011">
      <c r="A4011" t="n">
        <v>511570</v>
      </c>
      <c r="B4011" s="6" t="n">
        <v>46009</v>
      </c>
      <c r="C4011" t="n">
        <v>15445</v>
      </c>
      <c r="D4011" t="inlineStr">
        <is>
          <t>Bengaluru</t>
        </is>
      </c>
      <c r="E4011" t="inlineStr">
        <is>
          <t>South</t>
        </is>
      </c>
      <c r="F4011" t="inlineStr">
        <is>
          <t>Paid Search</t>
        </is>
      </c>
      <c r="G4011" t="inlineStr">
        <is>
          <t>Desktop</t>
        </is>
      </c>
      <c r="H4011" t="inlineStr">
        <is>
          <t>Net Banking</t>
        </is>
      </c>
      <c r="I4011" t="inlineStr">
        <is>
          <t>Delivered</t>
        </is>
      </c>
      <c r="J4011" t="n">
        <v>122</v>
      </c>
      <c r="K4011" t="n">
        <v>1</v>
      </c>
      <c r="L4011" s="7" t="n">
        <v>1994</v>
      </c>
      <c r="M4011" s="7" t="n">
        <v>0</v>
      </c>
    </row>
    <row r="4012">
      <c r="A4012" t="n">
        <v>511571</v>
      </c>
      <c r="B4012" s="6" t="n">
        <v>46009</v>
      </c>
      <c r="C4012" t="n">
        <v>16919</v>
      </c>
      <c r="D4012" t="inlineStr">
        <is>
          <t>Bengaluru</t>
        </is>
      </c>
      <c r="E4012" t="inlineStr">
        <is>
          <t>South</t>
        </is>
      </c>
      <c r="F4012" t="inlineStr">
        <is>
          <t>Organic Search</t>
        </is>
      </c>
      <c r="G4012" t="inlineStr">
        <is>
          <t>Mobile App</t>
        </is>
      </c>
      <c r="H4012" t="inlineStr">
        <is>
          <t>UPI</t>
        </is>
      </c>
      <c r="I4012" t="inlineStr">
        <is>
          <t>Returned</t>
        </is>
      </c>
      <c r="J4012" t="n">
        <v>140</v>
      </c>
      <c r="K4012" t="n">
        <v>2</v>
      </c>
      <c r="L4012" s="7" t="n">
        <v>629</v>
      </c>
      <c r="M4012" s="7" t="n">
        <v>0</v>
      </c>
    </row>
    <row r="4013">
      <c r="A4013" t="n">
        <v>511571</v>
      </c>
      <c r="B4013" s="6" t="n">
        <v>46009</v>
      </c>
      <c r="C4013" t="n">
        <v>16919</v>
      </c>
      <c r="D4013" t="inlineStr">
        <is>
          <t>Bengaluru</t>
        </is>
      </c>
      <c r="E4013" t="inlineStr">
        <is>
          <t>South</t>
        </is>
      </c>
      <c r="F4013" t="inlineStr">
        <is>
          <t>Organic Search</t>
        </is>
      </c>
      <c r="G4013" t="inlineStr">
        <is>
          <t>Mobile App</t>
        </is>
      </c>
      <c r="H4013" t="inlineStr">
        <is>
          <t>UPI</t>
        </is>
      </c>
      <c r="I4013" t="inlineStr">
        <is>
          <t>Returned</t>
        </is>
      </c>
      <c r="J4013" t="n">
        <v>120</v>
      </c>
      <c r="K4013" t="n">
        <v>1</v>
      </c>
      <c r="L4013" s="7" t="n">
        <v>734</v>
      </c>
      <c r="M4013" s="7" t="n">
        <v>0</v>
      </c>
    </row>
    <row r="4014">
      <c r="A4014" t="n">
        <v>511572</v>
      </c>
      <c r="B4014" s="6" t="n">
        <v>46009</v>
      </c>
      <c r="C4014" t="n">
        <v>15202</v>
      </c>
      <c r="D4014" t="inlineStr">
        <is>
          <t>Delhi</t>
        </is>
      </c>
      <c r="E4014" t="inlineStr">
        <is>
          <t>North</t>
        </is>
      </c>
      <c r="F4014" t="inlineStr">
        <is>
          <t>Referral</t>
        </is>
      </c>
      <c r="G4014" t="inlineStr">
        <is>
          <t>Desktop</t>
        </is>
      </c>
      <c r="H4014" t="inlineStr">
        <is>
          <t>UPI</t>
        </is>
      </c>
      <c r="I4014" t="inlineStr">
        <is>
          <t>Delivered</t>
        </is>
      </c>
      <c r="J4014" t="n">
        <v>139</v>
      </c>
      <c r="K4014" t="n">
        <v>1</v>
      </c>
      <c r="L4014" s="7" t="n">
        <v>366</v>
      </c>
      <c r="M4014" s="7" t="n">
        <v>18.3</v>
      </c>
    </row>
    <row r="4015">
      <c r="A4015" t="n">
        <v>511573</v>
      </c>
      <c r="B4015" s="6" t="n">
        <v>46009</v>
      </c>
      <c r="C4015" t="n">
        <v>17779</v>
      </c>
      <c r="D4015" t="inlineStr">
        <is>
          <t>Bengaluru</t>
        </is>
      </c>
      <c r="E4015" t="inlineStr">
        <is>
          <t>South</t>
        </is>
      </c>
      <c r="F4015" t="inlineStr">
        <is>
          <t>Organic Search</t>
        </is>
      </c>
      <c r="G4015" t="inlineStr">
        <is>
          <t>Desktop</t>
        </is>
      </c>
      <c r="H4015" t="inlineStr">
        <is>
          <t>UPI</t>
        </is>
      </c>
      <c r="I4015" t="inlineStr">
        <is>
          <t>Delivered</t>
        </is>
      </c>
      <c r="J4015" t="n">
        <v>112</v>
      </c>
      <c r="K4015" t="n">
        <v>1</v>
      </c>
      <c r="L4015" s="7" t="n">
        <v>1574</v>
      </c>
      <c r="M4015" s="7" t="n">
        <v>236.1</v>
      </c>
    </row>
    <row r="4016">
      <c r="A4016" t="n">
        <v>511573</v>
      </c>
      <c r="B4016" s="6" t="n">
        <v>46009</v>
      </c>
      <c r="C4016" t="n">
        <v>17779</v>
      </c>
      <c r="D4016" t="inlineStr">
        <is>
          <t>Bengaluru</t>
        </is>
      </c>
      <c r="E4016" t="inlineStr">
        <is>
          <t>South</t>
        </is>
      </c>
      <c r="F4016" t="inlineStr">
        <is>
          <t>Organic Search</t>
        </is>
      </c>
      <c r="G4016" t="inlineStr">
        <is>
          <t>Desktop</t>
        </is>
      </c>
      <c r="H4016" t="inlineStr">
        <is>
          <t>UPI</t>
        </is>
      </c>
      <c r="I4016" t="inlineStr">
        <is>
          <t>Delivered</t>
        </is>
      </c>
      <c r="J4016" t="n">
        <v>137</v>
      </c>
      <c r="K4016" t="n">
        <v>1</v>
      </c>
      <c r="L4016" s="7" t="n">
        <v>261</v>
      </c>
      <c r="M4016" s="7" t="n">
        <v>39.15</v>
      </c>
    </row>
    <row r="4017">
      <c r="A4017" t="n">
        <v>511573</v>
      </c>
      <c r="B4017" s="6" t="n">
        <v>46009</v>
      </c>
      <c r="C4017" t="n">
        <v>17779</v>
      </c>
      <c r="D4017" t="inlineStr">
        <is>
          <t>Bengaluru</t>
        </is>
      </c>
      <c r="E4017" t="inlineStr">
        <is>
          <t>South</t>
        </is>
      </c>
      <c r="F4017" t="inlineStr">
        <is>
          <t>Organic Search</t>
        </is>
      </c>
      <c r="G4017" t="inlineStr">
        <is>
          <t>Desktop</t>
        </is>
      </c>
      <c r="H4017" t="inlineStr">
        <is>
          <t>UPI</t>
        </is>
      </c>
      <c r="I4017" t="inlineStr">
        <is>
          <t>Delivered</t>
        </is>
      </c>
      <c r="J4017" t="n">
        <v>122</v>
      </c>
      <c r="K4017" t="n">
        <v>1</v>
      </c>
      <c r="L4017" s="7" t="n">
        <v>1994</v>
      </c>
      <c r="M4017" s="7" t="n">
        <v>299.1</v>
      </c>
    </row>
    <row r="4018">
      <c r="A4018" t="n">
        <v>511573</v>
      </c>
      <c r="B4018" s="6" t="n">
        <v>46009</v>
      </c>
      <c r="C4018" t="n">
        <v>17779</v>
      </c>
      <c r="D4018" t="inlineStr">
        <is>
          <t>Bengaluru</t>
        </is>
      </c>
      <c r="E4018" t="inlineStr">
        <is>
          <t>South</t>
        </is>
      </c>
      <c r="F4018" t="inlineStr">
        <is>
          <t>Organic Search</t>
        </is>
      </c>
      <c r="G4018" t="inlineStr">
        <is>
          <t>Desktop</t>
        </is>
      </c>
      <c r="H4018" t="inlineStr">
        <is>
          <t>UPI</t>
        </is>
      </c>
      <c r="I4018" t="inlineStr">
        <is>
          <t>Delivered</t>
        </is>
      </c>
      <c r="J4018" t="n">
        <v>125</v>
      </c>
      <c r="K4018" t="n">
        <v>1</v>
      </c>
      <c r="L4018" s="7" t="n">
        <v>1364</v>
      </c>
      <c r="M4018" s="7" t="n">
        <v>204.6</v>
      </c>
    </row>
    <row r="4019">
      <c r="A4019" t="n">
        <v>511574</v>
      </c>
      <c r="B4019" s="6" t="n">
        <v>46009</v>
      </c>
      <c r="C4019" t="n">
        <v>17238</v>
      </c>
      <c r="D4019" t="inlineStr">
        <is>
          <t>Hyderabad</t>
        </is>
      </c>
      <c r="E4019" t="inlineStr">
        <is>
          <t>South</t>
        </is>
      </c>
      <c r="F4019" t="inlineStr">
        <is>
          <t>Organic Search</t>
        </is>
      </c>
      <c r="G4019" t="inlineStr">
        <is>
          <t>Mobile App</t>
        </is>
      </c>
      <c r="H4019" t="inlineStr">
        <is>
          <t>Cash on Delivery</t>
        </is>
      </c>
      <c r="I4019" t="inlineStr">
        <is>
          <t>Delivered</t>
        </is>
      </c>
      <c r="J4019" t="n">
        <v>122</v>
      </c>
      <c r="K4019" t="n">
        <v>1</v>
      </c>
      <c r="L4019" s="7" t="n">
        <v>1994</v>
      </c>
      <c r="M4019" s="7" t="n">
        <v>0</v>
      </c>
    </row>
    <row r="4020">
      <c r="A4020" t="n">
        <v>511575</v>
      </c>
      <c r="B4020" s="6" t="n">
        <v>46009</v>
      </c>
      <c r="C4020" t="n">
        <v>17666</v>
      </c>
      <c r="D4020" t="inlineStr">
        <is>
          <t>Mumbai</t>
        </is>
      </c>
      <c r="E4020" t="inlineStr">
        <is>
          <t>West</t>
        </is>
      </c>
      <c r="F4020" t="inlineStr">
        <is>
          <t>Paid Social</t>
        </is>
      </c>
      <c r="G4020" t="inlineStr">
        <is>
          <t>Mobile Web</t>
        </is>
      </c>
      <c r="H4020" t="inlineStr">
        <is>
          <t>UPI</t>
        </is>
      </c>
      <c r="I4020" t="inlineStr">
        <is>
          <t>Delivered</t>
        </is>
      </c>
      <c r="J4020" t="n">
        <v>129</v>
      </c>
      <c r="K4020" t="n">
        <v>1</v>
      </c>
      <c r="L4020" s="7" t="n">
        <v>576</v>
      </c>
      <c r="M4020" s="7" t="n">
        <v>0</v>
      </c>
    </row>
    <row r="4021">
      <c r="A4021" t="n">
        <v>511576</v>
      </c>
      <c r="B4021" s="6" t="n">
        <v>46009</v>
      </c>
      <c r="C4021" t="n">
        <v>16222</v>
      </c>
      <c r="D4021" t="inlineStr">
        <is>
          <t>Delhi</t>
        </is>
      </c>
      <c r="E4021" t="inlineStr">
        <is>
          <t>North</t>
        </is>
      </c>
      <c r="F4021" t="inlineStr">
        <is>
          <t>Paid Social</t>
        </is>
      </c>
      <c r="G4021" t="inlineStr">
        <is>
          <t>Mobile App</t>
        </is>
      </c>
      <c r="H4021" t="inlineStr">
        <is>
          <t>Credit Card</t>
        </is>
      </c>
      <c r="I4021" t="inlineStr">
        <is>
          <t>Cancelled</t>
        </is>
      </c>
      <c r="J4021" t="n">
        <v>114</v>
      </c>
      <c r="K4021" t="n">
        <v>1</v>
      </c>
      <c r="L4021" s="7" t="n">
        <v>1259</v>
      </c>
      <c r="M4021" s="7" t="n">
        <v>0</v>
      </c>
    </row>
    <row r="4022">
      <c r="A4022" t="n">
        <v>511577</v>
      </c>
      <c r="B4022" s="6" t="n">
        <v>46009</v>
      </c>
      <c r="C4022" t="n">
        <v>15736</v>
      </c>
      <c r="D4022" t="inlineStr">
        <is>
          <t>Ahmedabad</t>
        </is>
      </c>
      <c r="E4022" t="inlineStr">
        <is>
          <t>West</t>
        </is>
      </c>
      <c r="F4022" t="inlineStr">
        <is>
          <t>Referral</t>
        </is>
      </c>
      <c r="G4022" t="inlineStr">
        <is>
          <t>Mobile App</t>
        </is>
      </c>
      <c r="H4022" t="inlineStr">
        <is>
          <t>UPI</t>
        </is>
      </c>
      <c r="I4022" t="inlineStr">
        <is>
          <t>Delivered</t>
        </is>
      </c>
      <c r="J4022" t="n">
        <v>116</v>
      </c>
      <c r="K4022" t="n">
        <v>1</v>
      </c>
      <c r="L4022" s="7" t="n">
        <v>2624</v>
      </c>
      <c r="M4022" s="7" t="n">
        <v>0</v>
      </c>
    </row>
    <row r="4023">
      <c r="A4023" t="n">
        <v>511578</v>
      </c>
      <c r="B4023" s="6" t="n">
        <v>46009</v>
      </c>
      <c r="C4023" t="n">
        <v>16255</v>
      </c>
      <c r="D4023" t="inlineStr">
        <is>
          <t>Hyderabad</t>
        </is>
      </c>
      <c r="E4023" t="inlineStr">
        <is>
          <t>South</t>
        </is>
      </c>
      <c r="F4023" t="inlineStr">
        <is>
          <t>Organic Search</t>
        </is>
      </c>
      <c r="G4023" t="inlineStr">
        <is>
          <t>Mobile Web</t>
        </is>
      </c>
      <c r="H4023" t="inlineStr">
        <is>
          <t>UPI</t>
        </is>
      </c>
      <c r="I4023" t="inlineStr">
        <is>
          <t>Delivered</t>
        </is>
      </c>
      <c r="J4023" t="n">
        <v>135</v>
      </c>
      <c r="K4023" t="n">
        <v>1</v>
      </c>
      <c r="L4023" s="7" t="n">
        <v>1574</v>
      </c>
      <c r="M4023" s="7" t="n">
        <v>0</v>
      </c>
    </row>
    <row r="4024">
      <c r="A4024" t="n">
        <v>511578</v>
      </c>
      <c r="B4024" s="6" t="n">
        <v>46009</v>
      </c>
      <c r="C4024" t="n">
        <v>16255</v>
      </c>
      <c r="D4024" t="inlineStr">
        <is>
          <t>Hyderabad</t>
        </is>
      </c>
      <c r="E4024" t="inlineStr">
        <is>
          <t>South</t>
        </is>
      </c>
      <c r="F4024" t="inlineStr">
        <is>
          <t>Organic Search</t>
        </is>
      </c>
      <c r="G4024" t="inlineStr">
        <is>
          <t>Mobile Web</t>
        </is>
      </c>
      <c r="H4024" t="inlineStr">
        <is>
          <t>UPI</t>
        </is>
      </c>
      <c r="I4024" t="inlineStr">
        <is>
          <t>Delivered</t>
        </is>
      </c>
      <c r="J4024" t="n">
        <v>117</v>
      </c>
      <c r="K4024" t="n">
        <v>3</v>
      </c>
      <c r="L4024" s="7" t="n">
        <v>3149</v>
      </c>
      <c r="M4024" s="7" t="n">
        <v>0</v>
      </c>
    </row>
    <row r="4025">
      <c r="A4025" t="n">
        <v>511579</v>
      </c>
      <c r="B4025" s="6" t="n">
        <v>46009</v>
      </c>
      <c r="C4025" t="n">
        <v>16469</v>
      </c>
      <c r="D4025" t="inlineStr">
        <is>
          <t>Delhi</t>
        </is>
      </c>
      <c r="E4025" t="inlineStr">
        <is>
          <t>North</t>
        </is>
      </c>
      <c r="F4025" t="inlineStr">
        <is>
          <t>Email</t>
        </is>
      </c>
      <c r="G4025" t="inlineStr">
        <is>
          <t>Mobile App</t>
        </is>
      </c>
      <c r="H4025" t="inlineStr">
        <is>
          <t>Debit Card</t>
        </is>
      </c>
      <c r="I4025" t="inlineStr">
        <is>
          <t>Delivered</t>
        </is>
      </c>
      <c r="J4025" t="n">
        <v>133</v>
      </c>
      <c r="K4025" t="n">
        <v>1</v>
      </c>
      <c r="L4025" s="7" t="n">
        <v>419</v>
      </c>
      <c r="M4025" s="7" t="n">
        <v>0</v>
      </c>
    </row>
    <row r="4026">
      <c r="A4026" t="n">
        <v>511580</v>
      </c>
      <c r="B4026" s="6" t="n">
        <v>46009</v>
      </c>
      <c r="C4026" t="n">
        <v>17693</v>
      </c>
      <c r="D4026" t="inlineStr">
        <is>
          <t>Jaipur</t>
        </is>
      </c>
      <c r="E4026" t="inlineStr">
        <is>
          <t>North</t>
        </is>
      </c>
      <c r="F4026" t="inlineStr">
        <is>
          <t>Affiliate</t>
        </is>
      </c>
      <c r="G4026" t="inlineStr">
        <is>
          <t>Mobile Web</t>
        </is>
      </c>
      <c r="H4026" t="inlineStr">
        <is>
          <t>UPI</t>
        </is>
      </c>
      <c r="I4026" t="inlineStr">
        <is>
          <t>Delivered</t>
        </is>
      </c>
      <c r="J4026" t="n">
        <v>104</v>
      </c>
      <c r="K4026" t="n">
        <v>1</v>
      </c>
      <c r="L4026" s="7" t="n">
        <v>5249</v>
      </c>
      <c r="M4026" s="7" t="n">
        <v>0</v>
      </c>
    </row>
    <row r="4027">
      <c r="A4027" t="n">
        <v>511581</v>
      </c>
      <c r="B4027" s="6" t="n">
        <v>46009</v>
      </c>
      <c r="C4027" t="n">
        <v>15400</v>
      </c>
      <c r="D4027" t="inlineStr">
        <is>
          <t>Indore</t>
        </is>
      </c>
      <c r="E4027" t="inlineStr">
        <is>
          <t>West</t>
        </is>
      </c>
      <c r="F4027" t="inlineStr">
        <is>
          <t>Paid Search</t>
        </is>
      </c>
      <c r="G4027" t="inlineStr">
        <is>
          <t>Mobile Web</t>
        </is>
      </c>
      <c r="H4027" t="inlineStr">
        <is>
          <t>UPI</t>
        </is>
      </c>
      <c r="I4027" t="inlineStr">
        <is>
          <t>Returned</t>
        </is>
      </c>
      <c r="J4027" t="n">
        <v>115</v>
      </c>
      <c r="K4027" t="n">
        <v>1</v>
      </c>
      <c r="L4027" s="7" t="n">
        <v>4199</v>
      </c>
      <c r="M4027" s="7" t="n">
        <v>0</v>
      </c>
    </row>
    <row r="4028">
      <c r="A4028" t="n">
        <v>511582</v>
      </c>
      <c r="B4028" s="6" t="n">
        <v>46009</v>
      </c>
      <c r="C4028" t="n">
        <v>17805</v>
      </c>
      <c r="D4028" t="inlineStr">
        <is>
          <t>Delhi</t>
        </is>
      </c>
      <c r="E4028" t="inlineStr">
        <is>
          <t>North</t>
        </is>
      </c>
      <c r="F4028" t="inlineStr">
        <is>
          <t>Email</t>
        </is>
      </c>
      <c r="G4028" t="inlineStr">
        <is>
          <t>Mobile App</t>
        </is>
      </c>
      <c r="H4028" t="inlineStr">
        <is>
          <t>UPI</t>
        </is>
      </c>
      <c r="I4028" t="inlineStr">
        <is>
          <t>Delivered</t>
        </is>
      </c>
      <c r="J4028" t="n">
        <v>121</v>
      </c>
      <c r="K4028" t="n">
        <v>1</v>
      </c>
      <c r="L4028" s="7" t="n">
        <v>2939</v>
      </c>
      <c r="M4028" s="7" t="n">
        <v>440.85</v>
      </c>
    </row>
    <row r="4029">
      <c r="A4029" t="n">
        <v>511582</v>
      </c>
      <c r="B4029" s="6" t="n">
        <v>46009</v>
      </c>
      <c r="C4029" t="n">
        <v>17805</v>
      </c>
      <c r="D4029" t="inlineStr">
        <is>
          <t>Delhi</t>
        </is>
      </c>
      <c r="E4029" t="inlineStr">
        <is>
          <t>North</t>
        </is>
      </c>
      <c r="F4029" t="inlineStr">
        <is>
          <t>Email</t>
        </is>
      </c>
      <c r="G4029" t="inlineStr">
        <is>
          <t>Mobile App</t>
        </is>
      </c>
      <c r="H4029" t="inlineStr">
        <is>
          <t>UPI</t>
        </is>
      </c>
      <c r="I4029" t="inlineStr">
        <is>
          <t>Delivered</t>
        </is>
      </c>
      <c r="J4029" t="n">
        <v>127</v>
      </c>
      <c r="K4029" t="n">
        <v>1</v>
      </c>
      <c r="L4029" s="7" t="n">
        <v>681</v>
      </c>
      <c r="M4029" s="7" t="n">
        <v>102.15</v>
      </c>
    </row>
    <row r="4030">
      <c r="A4030" t="n">
        <v>511583</v>
      </c>
      <c r="B4030" s="6" t="n">
        <v>46010</v>
      </c>
      <c r="C4030" t="n">
        <v>17813</v>
      </c>
      <c r="D4030" t="inlineStr">
        <is>
          <t>Bengaluru</t>
        </is>
      </c>
      <c r="E4030" t="inlineStr">
        <is>
          <t>South</t>
        </is>
      </c>
      <c r="F4030" t="inlineStr">
        <is>
          <t>Paid Social</t>
        </is>
      </c>
      <c r="G4030" t="inlineStr">
        <is>
          <t>Mobile App</t>
        </is>
      </c>
      <c r="H4030" t="inlineStr">
        <is>
          <t>Cash on Delivery</t>
        </is>
      </c>
      <c r="I4030" t="inlineStr">
        <is>
          <t>Delivered</t>
        </is>
      </c>
      <c r="J4030" t="n">
        <v>112</v>
      </c>
      <c r="K4030" t="n">
        <v>1</v>
      </c>
      <c r="L4030" s="7" t="n">
        <v>1574</v>
      </c>
      <c r="M4030" s="7" t="n">
        <v>0</v>
      </c>
    </row>
    <row r="4031">
      <c r="A4031" t="n">
        <v>511584</v>
      </c>
      <c r="B4031" s="6" t="n">
        <v>46010</v>
      </c>
      <c r="C4031" t="n">
        <v>16611</v>
      </c>
      <c r="D4031" t="inlineStr">
        <is>
          <t>Delhi</t>
        </is>
      </c>
      <c r="E4031" t="inlineStr">
        <is>
          <t>North</t>
        </is>
      </c>
      <c r="F4031" t="inlineStr">
        <is>
          <t>Organic Search</t>
        </is>
      </c>
      <c r="G4031" t="inlineStr">
        <is>
          <t>Mobile Web</t>
        </is>
      </c>
      <c r="H4031" t="inlineStr">
        <is>
          <t>UPI</t>
        </is>
      </c>
      <c r="I4031" t="inlineStr">
        <is>
          <t>Delivered</t>
        </is>
      </c>
      <c r="J4031" t="n">
        <v>123</v>
      </c>
      <c r="K4031" t="n">
        <v>1</v>
      </c>
      <c r="L4031" s="7" t="n">
        <v>3464</v>
      </c>
      <c r="M4031" s="7" t="n">
        <v>0</v>
      </c>
    </row>
    <row r="4032">
      <c r="A4032" t="n">
        <v>511584</v>
      </c>
      <c r="B4032" s="6" t="n">
        <v>46010</v>
      </c>
      <c r="C4032" t="n">
        <v>16611</v>
      </c>
      <c r="D4032" t="inlineStr">
        <is>
          <t>Delhi</t>
        </is>
      </c>
      <c r="E4032" t="inlineStr">
        <is>
          <t>North</t>
        </is>
      </c>
      <c r="F4032" t="inlineStr">
        <is>
          <t>Organic Search</t>
        </is>
      </c>
      <c r="G4032" t="inlineStr">
        <is>
          <t>Mobile Web</t>
        </is>
      </c>
      <c r="H4032" t="inlineStr">
        <is>
          <t>UPI</t>
        </is>
      </c>
      <c r="I4032" t="inlineStr">
        <is>
          <t>Delivered</t>
        </is>
      </c>
      <c r="J4032" t="n">
        <v>104</v>
      </c>
      <c r="K4032" t="n">
        <v>1</v>
      </c>
      <c r="L4032" s="7" t="n">
        <v>5249</v>
      </c>
      <c r="M4032" s="7" t="n">
        <v>0</v>
      </c>
    </row>
    <row r="4033">
      <c r="A4033" t="n">
        <v>511585</v>
      </c>
      <c r="B4033" s="6" t="n">
        <v>46010</v>
      </c>
      <c r="C4033" t="n">
        <v>17823</v>
      </c>
      <c r="D4033" t="inlineStr">
        <is>
          <t>Chennai</t>
        </is>
      </c>
      <c r="E4033" t="inlineStr">
        <is>
          <t>South</t>
        </is>
      </c>
      <c r="F4033" t="inlineStr">
        <is>
          <t>Referral</t>
        </is>
      </c>
      <c r="G4033" t="inlineStr">
        <is>
          <t>Mobile Web</t>
        </is>
      </c>
      <c r="H4033" t="inlineStr">
        <is>
          <t>Cash on Delivery</t>
        </is>
      </c>
      <c r="I4033" t="inlineStr">
        <is>
          <t>Returned</t>
        </is>
      </c>
      <c r="J4033" t="n">
        <v>127</v>
      </c>
      <c r="K4033" t="n">
        <v>1</v>
      </c>
      <c r="L4033" s="7" t="n">
        <v>681</v>
      </c>
      <c r="M4033" s="7" t="n">
        <v>0</v>
      </c>
    </row>
    <row r="4034">
      <c r="A4034" t="n">
        <v>511586</v>
      </c>
      <c r="B4034" s="6" t="n">
        <v>46010</v>
      </c>
      <c r="C4034" t="n">
        <v>10409</v>
      </c>
      <c r="D4034" t="inlineStr">
        <is>
          <t>Jaipur</t>
        </is>
      </c>
      <c r="E4034" t="inlineStr">
        <is>
          <t>North</t>
        </is>
      </c>
      <c r="F4034" t="inlineStr">
        <is>
          <t>Referral</t>
        </is>
      </c>
      <c r="G4034" t="inlineStr">
        <is>
          <t>Mobile App</t>
        </is>
      </c>
      <c r="H4034" t="inlineStr">
        <is>
          <t>UPI</t>
        </is>
      </c>
      <c r="I4034" t="inlineStr">
        <is>
          <t>Delivered</t>
        </is>
      </c>
      <c r="J4034" t="n">
        <v>111</v>
      </c>
      <c r="K4034" t="n">
        <v>1</v>
      </c>
      <c r="L4034" s="7" t="n">
        <v>524</v>
      </c>
      <c r="M4034" s="7" t="n">
        <v>0</v>
      </c>
    </row>
    <row r="4035">
      <c r="A4035" t="n">
        <v>511586</v>
      </c>
      <c r="B4035" s="6" t="n">
        <v>46010</v>
      </c>
      <c r="C4035" t="n">
        <v>10409</v>
      </c>
      <c r="D4035" t="inlineStr">
        <is>
          <t>Jaipur</t>
        </is>
      </c>
      <c r="E4035" t="inlineStr">
        <is>
          <t>North</t>
        </is>
      </c>
      <c r="F4035" t="inlineStr">
        <is>
          <t>Referral</t>
        </is>
      </c>
      <c r="G4035" t="inlineStr">
        <is>
          <t>Mobile App</t>
        </is>
      </c>
      <c r="H4035" t="inlineStr">
        <is>
          <t>UPI</t>
        </is>
      </c>
      <c r="I4035" t="inlineStr">
        <is>
          <t>Delivered</t>
        </is>
      </c>
      <c r="J4035" t="n">
        <v>140</v>
      </c>
      <c r="K4035" t="n">
        <v>1</v>
      </c>
      <c r="L4035" s="7" t="n">
        <v>629</v>
      </c>
      <c r="M4035" s="7" t="n">
        <v>0</v>
      </c>
    </row>
    <row r="4036">
      <c r="A4036" t="n">
        <v>511587</v>
      </c>
      <c r="B4036" s="6" t="n">
        <v>46010</v>
      </c>
      <c r="C4036" t="n">
        <v>17062</v>
      </c>
      <c r="D4036" t="inlineStr">
        <is>
          <t>Indore</t>
        </is>
      </c>
      <c r="E4036" t="inlineStr">
        <is>
          <t>West</t>
        </is>
      </c>
      <c r="F4036" t="inlineStr">
        <is>
          <t>Paid Search</t>
        </is>
      </c>
      <c r="G4036" t="inlineStr">
        <is>
          <t>Mobile App</t>
        </is>
      </c>
      <c r="H4036" t="inlineStr">
        <is>
          <t>UPI</t>
        </is>
      </c>
      <c r="I4036" t="inlineStr">
        <is>
          <t>Delivered</t>
        </is>
      </c>
      <c r="J4036" t="n">
        <v>116</v>
      </c>
      <c r="K4036" t="n">
        <v>1</v>
      </c>
      <c r="L4036" s="7" t="n">
        <v>2624</v>
      </c>
      <c r="M4036" s="7" t="n">
        <v>0</v>
      </c>
    </row>
    <row r="4037">
      <c r="A4037" t="n">
        <v>511587</v>
      </c>
      <c r="B4037" s="6" t="n">
        <v>46010</v>
      </c>
      <c r="C4037" t="n">
        <v>17062</v>
      </c>
      <c r="D4037" t="inlineStr">
        <is>
          <t>Indore</t>
        </is>
      </c>
      <c r="E4037" t="inlineStr">
        <is>
          <t>West</t>
        </is>
      </c>
      <c r="F4037" t="inlineStr">
        <is>
          <t>Paid Search</t>
        </is>
      </c>
      <c r="G4037" t="inlineStr">
        <is>
          <t>Mobile App</t>
        </is>
      </c>
      <c r="H4037" t="inlineStr">
        <is>
          <t>UPI</t>
        </is>
      </c>
      <c r="I4037" t="inlineStr">
        <is>
          <t>Delivered</t>
        </is>
      </c>
      <c r="J4037" t="n">
        <v>124</v>
      </c>
      <c r="K4037" t="n">
        <v>1</v>
      </c>
      <c r="L4037" s="7" t="n">
        <v>1154</v>
      </c>
      <c r="M4037" s="7" t="n">
        <v>0</v>
      </c>
    </row>
    <row r="4038">
      <c r="A4038" t="n">
        <v>511588</v>
      </c>
      <c r="B4038" s="6" t="n">
        <v>46010</v>
      </c>
      <c r="C4038" t="n">
        <v>17706</v>
      </c>
      <c r="D4038" t="inlineStr">
        <is>
          <t>Chennai</t>
        </is>
      </c>
      <c r="E4038" t="inlineStr">
        <is>
          <t>South</t>
        </is>
      </c>
      <c r="F4038" t="inlineStr">
        <is>
          <t>Referral</t>
        </is>
      </c>
      <c r="G4038" t="inlineStr">
        <is>
          <t>Mobile App</t>
        </is>
      </c>
      <c r="H4038" t="inlineStr">
        <is>
          <t>Debit Card</t>
        </is>
      </c>
      <c r="I4038" t="inlineStr">
        <is>
          <t>Delivered</t>
        </is>
      </c>
      <c r="J4038" t="n">
        <v>114</v>
      </c>
      <c r="K4038" t="n">
        <v>1</v>
      </c>
      <c r="L4038" s="7" t="n">
        <v>1259</v>
      </c>
      <c r="M4038" s="7" t="n">
        <v>0</v>
      </c>
    </row>
    <row r="4039">
      <c r="A4039" t="n">
        <v>511589</v>
      </c>
      <c r="B4039" s="6" t="n">
        <v>46010</v>
      </c>
      <c r="C4039" t="n">
        <v>17750</v>
      </c>
      <c r="D4039" t="inlineStr">
        <is>
          <t>Chennai</t>
        </is>
      </c>
      <c r="E4039" t="inlineStr">
        <is>
          <t>South</t>
        </is>
      </c>
      <c r="F4039" t="inlineStr">
        <is>
          <t>Paid Search</t>
        </is>
      </c>
      <c r="G4039" t="inlineStr">
        <is>
          <t>Mobile Web</t>
        </is>
      </c>
      <c r="H4039" t="inlineStr">
        <is>
          <t>UPI</t>
        </is>
      </c>
      <c r="I4039" t="inlineStr">
        <is>
          <t>Delivered</t>
        </is>
      </c>
      <c r="J4039" t="n">
        <v>116</v>
      </c>
      <c r="K4039" t="n">
        <v>1</v>
      </c>
      <c r="L4039" s="7" t="n">
        <v>2624</v>
      </c>
      <c r="M4039" s="7" t="n">
        <v>393.6</v>
      </c>
    </row>
    <row r="4040">
      <c r="A4040" t="n">
        <v>511589</v>
      </c>
      <c r="B4040" s="6" t="n">
        <v>46010</v>
      </c>
      <c r="C4040" t="n">
        <v>17750</v>
      </c>
      <c r="D4040" t="inlineStr">
        <is>
          <t>Chennai</t>
        </is>
      </c>
      <c r="E4040" t="inlineStr">
        <is>
          <t>South</t>
        </is>
      </c>
      <c r="F4040" t="inlineStr">
        <is>
          <t>Paid Search</t>
        </is>
      </c>
      <c r="G4040" t="inlineStr">
        <is>
          <t>Mobile Web</t>
        </is>
      </c>
      <c r="H4040" t="inlineStr">
        <is>
          <t>UPI</t>
        </is>
      </c>
      <c r="I4040" t="inlineStr">
        <is>
          <t>Delivered</t>
        </is>
      </c>
      <c r="J4040" t="n">
        <v>117</v>
      </c>
      <c r="K4040" t="n">
        <v>1</v>
      </c>
      <c r="L4040" s="7" t="n">
        <v>3149</v>
      </c>
      <c r="M4040" s="7" t="n">
        <v>472.35</v>
      </c>
    </row>
    <row r="4041">
      <c r="A4041" t="n">
        <v>511589</v>
      </c>
      <c r="B4041" s="6" t="n">
        <v>46010</v>
      </c>
      <c r="C4041" t="n">
        <v>17750</v>
      </c>
      <c r="D4041" t="inlineStr">
        <is>
          <t>Chennai</t>
        </is>
      </c>
      <c r="E4041" t="inlineStr">
        <is>
          <t>South</t>
        </is>
      </c>
      <c r="F4041" t="inlineStr">
        <is>
          <t>Paid Search</t>
        </is>
      </c>
      <c r="G4041" t="inlineStr">
        <is>
          <t>Mobile Web</t>
        </is>
      </c>
      <c r="H4041" t="inlineStr">
        <is>
          <t>UPI</t>
        </is>
      </c>
      <c r="I4041" t="inlineStr">
        <is>
          <t>Delivered</t>
        </is>
      </c>
      <c r="J4041" t="n">
        <v>105</v>
      </c>
      <c r="K4041" t="n">
        <v>1</v>
      </c>
      <c r="L4041" s="7" t="n">
        <v>2414</v>
      </c>
      <c r="M4041" s="7" t="n">
        <v>362.1</v>
      </c>
    </row>
    <row r="4042">
      <c r="A4042" t="n">
        <v>511589</v>
      </c>
      <c r="B4042" s="6" t="n">
        <v>46010</v>
      </c>
      <c r="C4042" t="n">
        <v>17750</v>
      </c>
      <c r="D4042" t="inlineStr">
        <is>
          <t>Chennai</t>
        </is>
      </c>
      <c r="E4042" t="inlineStr">
        <is>
          <t>South</t>
        </is>
      </c>
      <c r="F4042" t="inlineStr">
        <is>
          <t>Paid Search</t>
        </is>
      </c>
      <c r="G4042" t="inlineStr">
        <is>
          <t>Mobile Web</t>
        </is>
      </c>
      <c r="H4042" t="inlineStr">
        <is>
          <t>UPI</t>
        </is>
      </c>
      <c r="I4042" t="inlineStr">
        <is>
          <t>Delivered</t>
        </is>
      </c>
      <c r="J4042" t="n">
        <v>129</v>
      </c>
      <c r="K4042" t="n">
        <v>2</v>
      </c>
      <c r="L4042" s="7" t="n">
        <v>576</v>
      </c>
      <c r="M4042" s="7" t="n">
        <v>172.8</v>
      </c>
    </row>
    <row r="4043">
      <c r="A4043" t="n">
        <v>511590</v>
      </c>
      <c r="B4043" s="6" t="n">
        <v>46010</v>
      </c>
      <c r="C4043" t="n">
        <v>17304</v>
      </c>
      <c r="D4043" t="inlineStr">
        <is>
          <t>Pune</t>
        </is>
      </c>
      <c r="E4043" t="inlineStr">
        <is>
          <t>West</t>
        </is>
      </c>
      <c r="F4043" t="inlineStr">
        <is>
          <t>Referral</t>
        </is>
      </c>
      <c r="G4043" t="inlineStr">
        <is>
          <t>Mobile Web</t>
        </is>
      </c>
      <c r="H4043" t="inlineStr">
        <is>
          <t>Credit Card</t>
        </is>
      </c>
      <c r="I4043" t="inlineStr">
        <is>
          <t>Delivered</t>
        </is>
      </c>
      <c r="J4043" t="n">
        <v>142</v>
      </c>
      <c r="K4043" t="n">
        <v>1</v>
      </c>
      <c r="L4043" s="7" t="n">
        <v>839</v>
      </c>
      <c r="M4043" s="7" t="n">
        <v>0</v>
      </c>
    </row>
    <row r="4044">
      <c r="A4044" t="n">
        <v>511590</v>
      </c>
      <c r="B4044" s="6" t="n">
        <v>46010</v>
      </c>
      <c r="C4044" t="n">
        <v>17304</v>
      </c>
      <c r="D4044" t="inlineStr">
        <is>
          <t>Pune</t>
        </is>
      </c>
      <c r="E4044" t="inlineStr">
        <is>
          <t>West</t>
        </is>
      </c>
      <c r="F4044" t="inlineStr">
        <is>
          <t>Referral</t>
        </is>
      </c>
      <c r="G4044" t="inlineStr">
        <is>
          <t>Mobile Web</t>
        </is>
      </c>
      <c r="H4044" t="inlineStr">
        <is>
          <t>Credit Card</t>
        </is>
      </c>
      <c r="I4044" t="inlineStr">
        <is>
          <t>Delivered</t>
        </is>
      </c>
      <c r="J4044" t="n">
        <v>113</v>
      </c>
      <c r="K4044" t="n">
        <v>1</v>
      </c>
      <c r="L4044" s="7" t="n">
        <v>1364</v>
      </c>
      <c r="M4044" s="7" t="n">
        <v>0</v>
      </c>
    </row>
    <row r="4045">
      <c r="A4045" t="n">
        <v>511590</v>
      </c>
      <c r="B4045" s="6" t="n">
        <v>46010</v>
      </c>
      <c r="C4045" t="n">
        <v>17304</v>
      </c>
      <c r="D4045" t="inlineStr">
        <is>
          <t>Pune</t>
        </is>
      </c>
      <c r="E4045" t="inlineStr">
        <is>
          <t>West</t>
        </is>
      </c>
      <c r="F4045" t="inlineStr">
        <is>
          <t>Referral</t>
        </is>
      </c>
      <c r="G4045" t="inlineStr">
        <is>
          <t>Mobile Web</t>
        </is>
      </c>
      <c r="H4045" t="inlineStr">
        <is>
          <t>Credit Card</t>
        </is>
      </c>
      <c r="I4045" t="inlineStr">
        <is>
          <t>Delivered</t>
        </is>
      </c>
      <c r="J4045" t="n">
        <v>105</v>
      </c>
      <c r="K4045" t="n">
        <v>2</v>
      </c>
      <c r="L4045" s="7" t="n">
        <v>2414</v>
      </c>
      <c r="M4045" s="7" t="n">
        <v>0</v>
      </c>
    </row>
    <row r="4046">
      <c r="A4046" t="n">
        <v>511590</v>
      </c>
      <c r="B4046" s="6" t="n">
        <v>46010</v>
      </c>
      <c r="C4046" t="n">
        <v>17304</v>
      </c>
      <c r="D4046" t="inlineStr">
        <is>
          <t>Pune</t>
        </is>
      </c>
      <c r="E4046" t="inlineStr">
        <is>
          <t>West</t>
        </is>
      </c>
      <c r="F4046" t="inlineStr">
        <is>
          <t>Referral</t>
        </is>
      </c>
      <c r="G4046" t="inlineStr">
        <is>
          <t>Mobile Web</t>
        </is>
      </c>
      <c r="H4046" t="inlineStr">
        <is>
          <t>Credit Card</t>
        </is>
      </c>
      <c r="I4046" t="inlineStr">
        <is>
          <t>Delivered</t>
        </is>
      </c>
      <c r="J4046" t="n">
        <v>116</v>
      </c>
      <c r="K4046" t="n">
        <v>1</v>
      </c>
      <c r="L4046" s="7" t="n">
        <v>2624</v>
      </c>
      <c r="M4046" s="7" t="n">
        <v>0</v>
      </c>
    </row>
    <row r="4047">
      <c r="A4047" t="n">
        <v>511591</v>
      </c>
      <c r="B4047" s="6" t="n">
        <v>46010</v>
      </c>
      <c r="C4047" t="n">
        <v>17756</v>
      </c>
      <c r="D4047" t="inlineStr">
        <is>
          <t>Bengaluru</t>
        </is>
      </c>
      <c r="E4047" t="inlineStr">
        <is>
          <t>South</t>
        </is>
      </c>
      <c r="F4047" t="inlineStr">
        <is>
          <t>Referral</t>
        </is>
      </c>
      <c r="G4047" t="inlineStr">
        <is>
          <t>Mobile App</t>
        </is>
      </c>
      <c r="H4047" t="inlineStr">
        <is>
          <t>UPI</t>
        </is>
      </c>
      <c r="I4047" t="inlineStr">
        <is>
          <t>Delivered</t>
        </is>
      </c>
      <c r="J4047" t="n">
        <v>138</v>
      </c>
      <c r="K4047" t="n">
        <v>1</v>
      </c>
      <c r="L4047" s="7" t="n">
        <v>419</v>
      </c>
      <c r="M4047" s="7" t="n">
        <v>0</v>
      </c>
    </row>
    <row r="4048">
      <c r="A4048" t="n">
        <v>511591</v>
      </c>
      <c r="B4048" s="6" t="n">
        <v>46010</v>
      </c>
      <c r="C4048" t="n">
        <v>17756</v>
      </c>
      <c r="D4048" t="inlineStr">
        <is>
          <t>Bengaluru</t>
        </is>
      </c>
      <c r="E4048" t="inlineStr">
        <is>
          <t>South</t>
        </is>
      </c>
      <c r="F4048" t="inlineStr">
        <is>
          <t>Referral</t>
        </is>
      </c>
      <c r="G4048" t="inlineStr">
        <is>
          <t>Mobile App</t>
        </is>
      </c>
      <c r="H4048" t="inlineStr">
        <is>
          <t>UPI</t>
        </is>
      </c>
      <c r="I4048" t="inlineStr">
        <is>
          <t>Delivered</t>
        </is>
      </c>
      <c r="J4048" t="n">
        <v>111</v>
      </c>
      <c r="K4048" t="n">
        <v>1</v>
      </c>
      <c r="L4048" s="7" t="n">
        <v>524</v>
      </c>
      <c r="M4048" s="7" t="n">
        <v>0</v>
      </c>
    </row>
    <row r="4049">
      <c r="A4049" t="n">
        <v>511592</v>
      </c>
      <c r="B4049" s="6" t="n">
        <v>46010</v>
      </c>
      <c r="C4049" t="n">
        <v>14082</v>
      </c>
      <c r="D4049" t="inlineStr">
        <is>
          <t>Delhi</t>
        </is>
      </c>
      <c r="E4049" t="inlineStr">
        <is>
          <t>North</t>
        </is>
      </c>
      <c r="F4049" t="inlineStr">
        <is>
          <t>Paid Social</t>
        </is>
      </c>
      <c r="G4049" t="inlineStr">
        <is>
          <t>Desktop</t>
        </is>
      </c>
      <c r="H4049" t="inlineStr">
        <is>
          <t>Cash on Delivery</t>
        </is>
      </c>
      <c r="I4049" t="inlineStr">
        <is>
          <t>Returned</t>
        </is>
      </c>
      <c r="J4049" t="n">
        <v>123</v>
      </c>
      <c r="K4049" t="n">
        <v>1</v>
      </c>
      <c r="L4049" s="7" t="n">
        <v>3464</v>
      </c>
      <c r="M4049" s="7" t="n">
        <v>0</v>
      </c>
    </row>
    <row r="4050">
      <c r="A4050" t="n">
        <v>511592</v>
      </c>
      <c r="B4050" s="6" t="n">
        <v>46010</v>
      </c>
      <c r="C4050" t="n">
        <v>14082</v>
      </c>
      <c r="D4050" t="inlineStr">
        <is>
          <t>Delhi</t>
        </is>
      </c>
      <c r="E4050" t="inlineStr">
        <is>
          <t>North</t>
        </is>
      </c>
      <c r="F4050" t="inlineStr">
        <is>
          <t>Paid Social</t>
        </is>
      </c>
      <c r="G4050" t="inlineStr">
        <is>
          <t>Desktop</t>
        </is>
      </c>
      <c r="H4050" t="inlineStr">
        <is>
          <t>Cash on Delivery</t>
        </is>
      </c>
      <c r="I4050" t="inlineStr">
        <is>
          <t>Returned</t>
        </is>
      </c>
      <c r="J4050" t="n">
        <v>118</v>
      </c>
      <c r="K4050" t="n">
        <v>2</v>
      </c>
      <c r="L4050" s="7" t="n">
        <v>944</v>
      </c>
      <c r="M4050" s="7" t="n">
        <v>0</v>
      </c>
    </row>
    <row r="4051">
      <c r="A4051" t="n">
        <v>511593</v>
      </c>
      <c r="B4051" s="6" t="n">
        <v>46010</v>
      </c>
      <c r="C4051" t="n">
        <v>17807</v>
      </c>
      <c r="D4051" t="inlineStr">
        <is>
          <t>Kolkata</t>
        </is>
      </c>
      <c r="E4051" t="inlineStr">
        <is>
          <t>East</t>
        </is>
      </c>
      <c r="F4051" t="inlineStr">
        <is>
          <t>Organic Search</t>
        </is>
      </c>
      <c r="G4051" t="inlineStr">
        <is>
          <t>Mobile App</t>
        </is>
      </c>
      <c r="H4051" t="inlineStr">
        <is>
          <t>UPI</t>
        </is>
      </c>
      <c r="I4051" t="inlineStr">
        <is>
          <t>Delivered</t>
        </is>
      </c>
      <c r="J4051" t="n">
        <v>109</v>
      </c>
      <c r="K4051" t="n">
        <v>1</v>
      </c>
      <c r="L4051" s="7" t="n">
        <v>4199</v>
      </c>
      <c r="M4051" s="7" t="n">
        <v>0</v>
      </c>
    </row>
    <row r="4052">
      <c r="A4052" t="n">
        <v>511593</v>
      </c>
      <c r="B4052" s="6" t="n">
        <v>46010</v>
      </c>
      <c r="C4052" t="n">
        <v>17807</v>
      </c>
      <c r="D4052" t="inlineStr">
        <is>
          <t>Kolkata</t>
        </is>
      </c>
      <c r="E4052" t="inlineStr">
        <is>
          <t>East</t>
        </is>
      </c>
      <c r="F4052" t="inlineStr">
        <is>
          <t>Organic Search</t>
        </is>
      </c>
      <c r="G4052" t="inlineStr">
        <is>
          <t>Mobile App</t>
        </is>
      </c>
      <c r="H4052" t="inlineStr">
        <is>
          <t>UPI</t>
        </is>
      </c>
      <c r="I4052" t="inlineStr">
        <is>
          <t>Delivered</t>
        </is>
      </c>
      <c r="J4052" t="n">
        <v>147</v>
      </c>
      <c r="K4052" t="n">
        <v>1</v>
      </c>
      <c r="L4052" s="7" t="n">
        <v>1364</v>
      </c>
      <c r="M4052" s="7" t="n">
        <v>0</v>
      </c>
    </row>
    <row r="4053">
      <c r="A4053" t="n">
        <v>511593</v>
      </c>
      <c r="B4053" s="6" t="n">
        <v>46010</v>
      </c>
      <c r="C4053" t="n">
        <v>17807</v>
      </c>
      <c r="D4053" t="inlineStr">
        <is>
          <t>Kolkata</t>
        </is>
      </c>
      <c r="E4053" t="inlineStr">
        <is>
          <t>East</t>
        </is>
      </c>
      <c r="F4053" t="inlineStr">
        <is>
          <t>Organic Search</t>
        </is>
      </c>
      <c r="G4053" t="inlineStr">
        <is>
          <t>Mobile App</t>
        </is>
      </c>
      <c r="H4053" t="inlineStr">
        <is>
          <t>UPI</t>
        </is>
      </c>
      <c r="I4053" t="inlineStr">
        <is>
          <t>Delivered</t>
        </is>
      </c>
      <c r="J4053" t="n">
        <v>118</v>
      </c>
      <c r="K4053" t="n">
        <v>1</v>
      </c>
      <c r="L4053" s="7" t="n">
        <v>944</v>
      </c>
      <c r="M4053" s="7" t="n">
        <v>0</v>
      </c>
    </row>
    <row r="4054">
      <c r="A4054" t="n">
        <v>511594</v>
      </c>
      <c r="B4054" s="6" t="n">
        <v>46010</v>
      </c>
      <c r="C4054" t="n">
        <v>16463</v>
      </c>
      <c r="D4054" t="inlineStr">
        <is>
          <t>Kolkata</t>
        </is>
      </c>
      <c r="E4054" t="inlineStr">
        <is>
          <t>East</t>
        </is>
      </c>
      <c r="F4054" t="inlineStr">
        <is>
          <t>Organic Search</t>
        </is>
      </c>
      <c r="G4054" t="inlineStr">
        <is>
          <t>Mobile App</t>
        </is>
      </c>
      <c r="H4054" t="inlineStr">
        <is>
          <t>Credit Card</t>
        </is>
      </c>
      <c r="I4054" t="inlineStr">
        <is>
          <t>Delivered</t>
        </is>
      </c>
      <c r="J4054" t="n">
        <v>135</v>
      </c>
      <c r="K4054" t="n">
        <v>1</v>
      </c>
      <c r="L4054" s="7" t="n">
        <v>1574</v>
      </c>
      <c r="M4054" s="7" t="n">
        <v>0</v>
      </c>
    </row>
    <row r="4055">
      <c r="A4055" t="n">
        <v>511595</v>
      </c>
      <c r="B4055" s="6" t="n">
        <v>46010</v>
      </c>
      <c r="C4055" t="n">
        <v>17819</v>
      </c>
      <c r="D4055" t="inlineStr">
        <is>
          <t>Chennai</t>
        </is>
      </c>
      <c r="E4055" t="inlineStr">
        <is>
          <t>South</t>
        </is>
      </c>
      <c r="F4055" t="inlineStr">
        <is>
          <t>Paid Search</t>
        </is>
      </c>
      <c r="G4055" t="inlineStr">
        <is>
          <t>Desktop</t>
        </is>
      </c>
      <c r="H4055" t="inlineStr">
        <is>
          <t>UPI</t>
        </is>
      </c>
      <c r="I4055" t="inlineStr">
        <is>
          <t>Cancelled</t>
        </is>
      </c>
      <c r="J4055" t="n">
        <v>141</v>
      </c>
      <c r="K4055" t="n">
        <v>1</v>
      </c>
      <c r="L4055" s="7" t="n">
        <v>261</v>
      </c>
      <c r="M4055" s="7" t="n">
        <v>39.15</v>
      </c>
    </row>
    <row r="4056">
      <c r="A4056" t="n">
        <v>511596</v>
      </c>
      <c r="B4056" s="6" t="n">
        <v>46010</v>
      </c>
      <c r="C4056" t="n">
        <v>17801</v>
      </c>
      <c r="D4056" t="inlineStr">
        <is>
          <t>Gurugram</t>
        </is>
      </c>
      <c r="E4056" t="inlineStr">
        <is>
          <t>North</t>
        </is>
      </c>
      <c r="F4056" t="inlineStr">
        <is>
          <t>Organic Search</t>
        </is>
      </c>
      <c r="G4056" t="inlineStr">
        <is>
          <t>Desktop</t>
        </is>
      </c>
      <c r="H4056" t="inlineStr">
        <is>
          <t>UPI</t>
        </is>
      </c>
      <c r="I4056" t="inlineStr">
        <is>
          <t>Delivered</t>
        </is>
      </c>
      <c r="J4056" t="n">
        <v>131</v>
      </c>
      <c r="K4056" t="n">
        <v>1</v>
      </c>
      <c r="L4056" s="7" t="n">
        <v>314</v>
      </c>
      <c r="M4056" s="7" t="n">
        <v>47.1</v>
      </c>
    </row>
    <row r="4057">
      <c r="A4057" t="n">
        <v>511597</v>
      </c>
      <c r="B4057" s="6" t="n">
        <v>46010</v>
      </c>
      <c r="C4057" t="n">
        <v>17678</v>
      </c>
      <c r="D4057" t="inlineStr">
        <is>
          <t>Indore</t>
        </is>
      </c>
      <c r="E4057" t="inlineStr">
        <is>
          <t>West</t>
        </is>
      </c>
      <c r="F4057" t="inlineStr">
        <is>
          <t>Paid Search</t>
        </is>
      </c>
      <c r="G4057" t="inlineStr">
        <is>
          <t>Mobile App</t>
        </is>
      </c>
      <c r="H4057" t="inlineStr">
        <is>
          <t>Cash on Delivery</t>
        </is>
      </c>
      <c r="I4057" t="inlineStr">
        <is>
          <t>Delivered</t>
        </is>
      </c>
      <c r="J4057" t="n">
        <v>123</v>
      </c>
      <c r="K4057" t="n">
        <v>1</v>
      </c>
      <c r="L4057" s="7" t="n">
        <v>3464</v>
      </c>
      <c r="M4057" s="7" t="n">
        <v>0</v>
      </c>
    </row>
    <row r="4058">
      <c r="A4058" t="n">
        <v>511598</v>
      </c>
      <c r="B4058" s="6" t="n">
        <v>46010</v>
      </c>
      <c r="C4058" t="n">
        <v>15053</v>
      </c>
      <c r="D4058" t="inlineStr">
        <is>
          <t>Mumbai</t>
        </is>
      </c>
      <c r="E4058" t="inlineStr">
        <is>
          <t>West</t>
        </is>
      </c>
      <c r="F4058" t="inlineStr">
        <is>
          <t>Organic Search</t>
        </is>
      </c>
      <c r="G4058" t="inlineStr">
        <is>
          <t>Mobile App</t>
        </is>
      </c>
      <c r="H4058" t="inlineStr">
        <is>
          <t>Cash on Delivery</t>
        </is>
      </c>
      <c r="I4058" t="inlineStr">
        <is>
          <t>Delivered</t>
        </is>
      </c>
      <c r="J4058" t="n">
        <v>135</v>
      </c>
      <c r="K4058" t="n">
        <v>1</v>
      </c>
      <c r="L4058" s="7" t="n">
        <v>1574</v>
      </c>
      <c r="M4058" s="7" t="n">
        <v>0</v>
      </c>
    </row>
    <row r="4059">
      <c r="A4059" t="n">
        <v>511598</v>
      </c>
      <c r="B4059" s="6" t="n">
        <v>46010</v>
      </c>
      <c r="C4059" t="n">
        <v>15053</v>
      </c>
      <c r="D4059" t="inlineStr">
        <is>
          <t>Mumbai</t>
        </is>
      </c>
      <c r="E4059" t="inlineStr">
        <is>
          <t>West</t>
        </is>
      </c>
      <c r="F4059" t="inlineStr">
        <is>
          <t>Organic Search</t>
        </is>
      </c>
      <c r="G4059" t="inlineStr">
        <is>
          <t>Mobile App</t>
        </is>
      </c>
      <c r="H4059" t="inlineStr">
        <is>
          <t>Cash on Delivery</t>
        </is>
      </c>
      <c r="I4059" t="inlineStr">
        <is>
          <t>Delivered</t>
        </is>
      </c>
      <c r="J4059" t="n">
        <v>134</v>
      </c>
      <c r="K4059" t="n">
        <v>1</v>
      </c>
      <c r="L4059" s="7" t="n">
        <v>209</v>
      </c>
      <c r="M4059" s="7" t="n">
        <v>0</v>
      </c>
    </row>
    <row r="4060">
      <c r="A4060" t="n">
        <v>511599</v>
      </c>
      <c r="B4060" s="6" t="n">
        <v>46010</v>
      </c>
      <c r="C4060" t="n">
        <v>14587</v>
      </c>
      <c r="D4060" t="inlineStr">
        <is>
          <t>Bengaluru</t>
        </is>
      </c>
      <c r="E4060" t="inlineStr">
        <is>
          <t>South</t>
        </is>
      </c>
      <c r="F4060" t="inlineStr">
        <is>
          <t>Referral</t>
        </is>
      </c>
      <c r="G4060" t="inlineStr">
        <is>
          <t>Mobile App</t>
        </is>
      </c>
      <c r="H4060" t="inlineStr">
        <is>
          <t>UPI</t>
        </is>
      </c>
      <c r="I4060" t="inlineStr">
        <is>
          <t>Delivered</t>
        </is>
      </c>
      <c r="J4060" t="n">
        <v>123</v>
      </c>
      <c r="K4060" t="n">
        <v>1</v>
      </c>
      <c r="L4060" s="7" t="n">
        <v>3464</v>
      </c>
      <c r="M4060" s="7" t="n">
        <v>0</v>
      </c>
    </row>
    <row r="4061">
      <c r="A4061" t="n">
        <v>511599</v>
      </c>
      <c r="B4061" s="6" t="n">
        <v>46010</v>
      </c>
      <c r="C4061" t="n">
        <v>14587</v>
      </c>
      <c r="D4061" t="inlineStr">
        <is>
          <t>Bengaluru</t>
        </is>
      </c>
      <c r="E4061" t="inlineStr">
        <is>
          <t>South</t>
        </is>
      </c>
      <c r="F4061" t="inlineStr">
        <is>
          <t>Referral</t>
        </is>
      </c>
      <c r="G4061" t="inlineStr">
        <is>
          <t>Mobile App</t>
        </is>
      </c>
      <c r="H4061" t="inlineStr">
        <is>
          <t>UPI</t>
        </is>
      </c>
      <c r="I4061" t="inlineStr">
        <is>
          <t>Delivered</t>
        </is>
      </c>
      <c r="J4061" t="n">
        <v>122</v>
      </c>
      <c r="K4061" t="n">
        <v>1</v>
      </c>
      <c r="L4061" s="7" t="n">
        <v>1994</v>
      </c>
      <c r="M4061" s="7" t="n">
        <v>0</v>
      </c>
    </row>
    <row r="4062">
      <c r="A4062" t="n">
        <v>511600</v>
      </c>
      <c r="B4062" s="6" t="n">
        <v>46010</v>
      </c>
      <c r="C4062" t="n">
        <v>13132</v>
      </c>
      <c r="D4062" t="inlineStr">
        <is>
          <t>Hyderabad</t>
        </is>
      </c>
      <c r="E4062" t="inlineStr">
        <is>
          <t>South</t>
        </is>
      </c>
      <c r="F4062" t="inlineStr">
        <is>
          <t>Organic Search</t>
        </is>
      </c>
      <c r="G4062" t="inlineStr">
        <is>
          <t>Mobile App</t>
        </is>
      </c>
      <c r="H4062" t="inlineStr">
        <is>
          <t>UPI</t>
        </is>
      </c>
      <c r="I4062" t="inlineStr">
        <is>
          <t>Delivered</t>
        </is>
      </c>
      <c r="J4062" t="n">
        <v>118</v>
      </c>
      <c r="K4062" t="n">
        <v>1</v>
      </c>
      <c r="L4062" s="7" t="n">
        <v>944</v>
      </c>
      <c r="M4062" s="7" t="n">
        <v>47.2</v>
      </c>
    </row>
    <row r="4063">
      <c r="A4063" t="n">
        <v>511601</v>
      </c>
      <c r="B4063" s="6" t="n">
        <v>46010</v>
      </c>
      <c r="C4063" t="n">
        <v>17831</v>
      </c>
      <c r="D4063" t="inlineStr">
        <is>
          <t>Gurugram</t>
        </is>
      </c>
      <c r="E4063" t="inlineStr">
        <is>
          <t>North</t>
        </is>
      </c>
      <c r="F4063" t="inlineStr">
        <is>
          <t>Email</t>
        </is>
      </c>
      <c r="G4063" t="inlineStr">
        <is>
          <t>Mobile App</t>
        </is>
      </c>
      <c r="H4063" t="inlineStr">
        <is>
          <t>UPI</t>
        </is>
      </c>
      <c r="I4063" t="inlineStr">
        <is>
          <t>Returned</t>
        </is>
      </c>
      <c r="J4063" t="n">
        <v>112</v>
      </c>
      <c r="K4063" t="n">
        <v>1</v>
      </c>
      <c r="L4063" s="7" t="n">
        <v>1574</v>
      </c>
      <c r="M4063" s="7" t="n">
        <v>0</v>
      </c>
    </row>
    <row r="4064">
      <c r="A4064" t="n">
        <v>511601</v>
      </c>
      <c r="B4064" s="6" t="n">
        <v>46010</v>
      </c>
      <c r="C4064" t="n">
        <v>17831</v>
      </c>
      <c r="D4064" t="inlineStr">
        <is>
          <t>Gurugram</t>
        </is>
      </c>
      <c r="E4064" t="inlineStr">
        <is>
          <t>North</t>
        </is>
      </c>
      <c r="F4064" t="inlineStr">
        <is>
          <t>Email</t>
        </is>
      </c>
      <c r="G4064" t="inlineStr">
        <is>
          <t>Mobile App</t>
        </is>
      </c>
      <c r="H4064" t="inlineStr">
        <is>
          <t>UPI</t>
        </is>
      </c>
      <c r="I4064" t="inlineStr">
        <is>
          <t>Returned</t>
        </is>
      </c>
      <c r="J4064" t="n">
        <v>125</v>
      </c>
      <c r="K4064" t="n">
        <v>2</v>
      </c>
      <c r="L4064" s="7" t="n">
        <v>1364</v>
      </c>
      <c r="M4064" s="7" t="n">
        <v>0</v>
      </c>
    </row>
    <row r="4065">
      <c r="A4065" t="n">
        <v>511601</v>
      </c>
      <c r="B4065" s="6" t="n">
        <v>46010</v>
      </c>
      <c r="C4065" t="n">
        <v>17831</v>
      </c>
      <c r="D4065" t="inlineStr">
        <is>
          <t>Gurugram</t>
        </is>
      </c>
      <c r="E4065" t="inlineStr">
        <is>
          <t>North</t>
        </is>
      </c>
      <c r="F4065" t="inlineStr">
        <is>
          <t>Email</t>
        </is>
      </c>
      <c r="G4065" t="inlineStr">
        <is>
          <t>Mobile App</t>
        </is>
      </c>
      <c r="H4065" t="inlineStr">
        <is>
          <t>UPI</t>
        </is>
      </c>
      <c r="I4065" t="inlineStr">
        <is>
          <t>Returned</t>
        </is>
      </c>
      <c r="J4065" t="n">
        <v>118</v>
      </c>
      <c r="K4065" t="n">
        <v>1</v>
      </c>
      <c r="L4065" s="7" t="n">
        <v>944</v>
      </c>
      <c r="M4065" s="7" t="n">
        <v>0</v>
      </c>
    </row>
    <row r="4066">
      <c r="A4066" t="n">
        <v>511602</v>
      </c>
      <c r="B4066" s="6" t="n">
        <v>46010</v>
      </c>
      <c r="C4066" t="n">
        <v>16266</v>
      </c>
      <c r="D4066" t="inlineStr">
        <is>
          <t>Delhi</t>
        </is>
      </c>
      <c r="E4066" t="inlineStr">
        <is>
          <t>North</t>
        </is>
      </c>
      <c r="F4066" t="inlineStr">
        <is>
          <t>Organic Search</t>
        </is>
      </c>
      <c r="G4066" t="inlineStr">
        <is>
          <t>Desktop</t>
        </is>
      </c>
      <c r="H4066" t="inlineStr">
        <is>
          <t>UPI</t>
        </is>
      </c>
      <c r="I4066" t="inlineStr">
        <is>
          <t>Returned</t>
        </is>
      </c>
      <c r="J4066" t="n">
        <v>117</v>
      </c>
      <c r="K4066" t="n">
        <v>1</v>
      </c>
      <c r="L4066" s="7" t="n">
        <v>3149</v>
      </c>
      <c r="M4066" s="7" t="n">
        <v>0</v>
      </c>
    </row>
    <row r="4067">
      <c r="A4067" t="n">
        <v>511602</v>
      </c>
      <c r="B4067" s="6" t="n">
        <v>46010</v>
      </c>
      <c r="C4067" t="n">
        <v>16266</v>
      </c>
      <c r="D4067" t="inlineStr">
        <is>
          <t>Delhi</t>
        </is>
      </c>
      <c r="E4067" t="inlineStr">
        <is>
          <t>North</t>
        </is>
      </c>
      <c r="F4067" t="inlineStr">
        <is>
          <t>Organic Search</t>
        </is>
      </c>
      <c r="G4067" t="inlineStr">
        <is>
          <t>Desktop</t>
        </is>
      </c>
      <c r="H4067" t="inlineStr">
        <is>
          <t>UPI</t>
        </is>
      </c>
      <c r="I4067" t="inlineStr">
        <is>
          <t>Returned</t>
        </is>
      </c>
      <c r="J4067" t="n">
        <v>118</v>
      </c>
      <c r="K4067" t="n">
        <v>1</v>
      </c>
      <c r="L4067" s="7" t="n">
        <v>944</v>
      </c>
      <c r="M4067" s="7" t="n">
        <v>0</v>
      </c>
    </row>
    <row r="4068">
      <c r="A4068" t="n">
        <v>511602</v>
      </c>
      <c r="B4068" s="6" t="n">
        <v>46010</v>
      </c>
      <c r="C4068" t="n">
        <v>16266</v>
      </c>
      <c r="D4068" t="inlineStr">
        <is>
          <t>Delhi</t>
        </is>
      </c>
      <c r="E4068" t="inlineStr">
        <is>
          <t>North</t>
        </is>
      </c>
      <c r="F4068" t="inlineStr">
        <is>
          <t>Organic Search</t>
        </is>
      </c>
      <c r="G4068" t="inlineStr">
        <is>
          <t>Desktop</t>
        </is>
      </c>
      <c r="H4068" t="inlineStr">
        <is>
          <t>UPI</t>
        </is>
      </c>
      <c r="I4068" t="inlineStr">
        <is>
          <t>Returned</t>
        </is>
      </c>
      <c r="J4068" t="n">
        <v>126</v>
      </c>
      <c r="K4068" t="n">
        <v>1</v>
      </c>
      <c r="L4068" s="7" t="n">
        <v>471</v>
      </c>
      <c r="M4068" s="7" t="n">
        <v>0</v>
      </c>
    </row>
    <row r="4069">
      <c r="A4069" t="n">
        <v>511602</v>
      </c>
      <c r="B4069" s="6" t="n">
        <v>46010</v>
      </c>
      <c r="C4069" t="n">
        <v>16266</v>
      </c>
      <c r="D4069" t="inlineStr">
        <is>
          <t>Delhi</t>
        </is>
      </c>
      <c r="E4069" t="inlineStr">
        <is>
          <t>North</t>
        </is>
      </c>
      <c r="F4069" t="inlineStr">
        <is>
          <t>Organic Search</t>
        </is>
      </c>
      <c r="G4069" t="inlineStr">
        <is>
          <t>Desktop</t>
        </is>
      </c>
      <c r="H4069" t="inlineStr">
        <is>
          <t>UPI</t>
        </is>
      </c>
      <c r="I4069" t="inlineStr">
        <is>
          <t>Returned</t>
        </is>
      </c>
      <c r="J4069" t="n">
        <v>142</v>
      </c>
      <c r="K4069" t="n">
        <v>1</v>
      </c>
      <c r="L4069" s="7" t="n">
        <v>839</v>
      </c>
      <c r="M4069" s="7" t="n">
        <v>0</v>
      </c>
    </row>
    <row r="4070">
      <c r="A4070" t="n">
        <v>511603</v>
      </c>
      <c r="B4070" s="6" t="n">
        <v>46010</v>
      </c>
      <c r="C4070" t="n">
        <v>17225</v>
      </c>
      <c r="D4070" t="inlineStr">
        <is>
          <t>Hyderabad</t>
        </is>
      </c>
      <c r="E4070" t="inlineStr">
        <is>
          <t>South</t>
        </is>
      </c>
      <c r="F4070" t="inlineStr">
        <is>
          <t>Organic Search</t>
        </is>
      </c>
      <c r="G4070" t="inlineStr">
        <is>
          <t>Mobile Web</t>
        </is>
      </c>
      <c r="H4070" t="inlineStr">
        <is>
          <t>UPI</t>
        </is>
      </c>
      <c r="I4070" t="inlineStr">
        <is>
          <t>Delivered</t>
        </is>
      </c>
      <c r="J4070" t="n">
        <v>116</v>
      </c>
      <c r="K4070" t="n">
        <v>1</v>
      </c>
      <c r="L4070" s="7" t="n">
        <v>2624</v>
      </c>
      <c r="M4070" s="7" t="n">
        <v>0</v>
      </c>
    </row>
    <row r="4071">
      <c r="A4071" t="n">
        <v>511603</v>
      </c>
      <c r="B4071" s="6" t="n">
        <v>46010</v>
      </c>
      <c r="C4071" t="n">
        <v>17225</v>
      </c>
      <c r="D4071" t="inlineStr">
        <is>
          <t>Hyderabad</t>
        </is>
      </c>
      <c r="E4071" t="inlineStr">
        <is>
          <t>South</t>
        </is>
      </c>
      <c r="F4071" t="inlineStr">
        <is>
          <t>Organic Search</t>
        </is>
      </c>
      <c r="G4071" t="inlineStr">
        <is>
          <t>Mobile Web</t>
        </is>
      </c>
      <c r="H4071" t="inlineStr">
        <is>
          <t>UPI</t>
        </is>
      </c>
      <c r="I4071" t="inlineStr">
        <is>
          <t>Delivered</t>
        </is>
      </c>
      <c r="J4071" t="n">
        <v>125</v>
      </c>
      <c r="K4071" t="n">
        <v>1</v>
      </c>
      <c r="L4071" s="7" t="n">
        <v>1364</v>
      </c>
      <c r="M4071" s="7" t="n">
        <v>0</v>
      </c>
    </row>
    <row r="4072">
      <c r="A4072" t="n">
        <v>511603</v>
      </c>
      <c r="B4072" s="6" t="n">
        <v>46010</v>
      </c>
      <c r="C4072" t="n">
        <v>17225</v>
      </c>
      <c r="D4072" t="inlineStr">
        <is>
          <t>Hyderabad</t>
        </is>
      </c>
      <c r="E4072" t="inlineStr">
        <is>
          <t>South</t>
        </is>
      </c>
      <c r="F4072" t="inlineStr">
        <is>
          <t>Organic Search</t>
        </is>
      </c>
      <c r="G4072" t="inlineStr">
        <is>
          <t>Mobile Web</t>
        </is>
      </c>
      <c r="H4072" t="inlineStr">
        <is>
          <t>UPI</t>
        </is>
      </c>
      <c r="I4072" t="inlineStr">
        <is>
          <t>Delivered</t>
        </is>
      </c>
      <c r="J4072" t="n">
        <v>122</v>
      </c>
      <c r="K4072" t="n">
        <v>1</v>
      </c>
      <c r="L4072" s="7" t="n">
        <v>1994</v>
      </c>
      <c r="M4072" s="7" t="n">
        <v>0</v>
      </c>
    </row>
    <row r="4073">
      <c r="A4073" t="n">
        <v>511604</v>
      </c>
      <c r="B4073" s="6" t="n">
        <v>46010</v>
      </c>
      <c r="C4073" t="n">
        <v>14117</v>
      </c>
      <c r="D4073" t="inlineStr">
        <is>
          <t>Noida</t>
        </is>
      </c>
      <c r="E4073" t="inlineStr">
        <is>
          <t>North</t>
        </is>
      </c>
      <c r="F4073" t="inlineStr">
        <is>
          <t>Paid Search</t>
        </is>
      </c>
      <c r="G4073" t="inlineStr">
        <is>
          <t>Mobile App</t>
        </is>
      </c>
      <c r="H4073" t="inlineStr">
        <is>
          <t>UPI</t>
        </is>
      </c>
      <c r="I4073" t="inlineStr">
        <is>
          <t>Delivered</t>
        </is>
      </c>
      <c r="J4073" t="n">
        <v>110</v>
      </c>
      <c r="K4073" t="n">
        <v>1</v>
      </c>
      <c r="L4073" s="7" t="n">
        <v>839</v>
      </c>
      <c r="M4073" s="7" t="n">
        <v>0</v>
      </c>
    </row>
    <row r="4074">
      <c r="A4074" t="n">
        <v>511604</v>
      </c>
      <c r="B4074" s="6" t="n">
        <v>46010</v>
      </c>
      <c r="C4074" t="n">
        <v>14117</v>
      </c>
      <c r="D4074" t="inlineStr">
        <is>
          <t>Noida</t>
        </is>
      </c>
      <c r="E4074" t="inlineStr">
        <is>
          <t>North</t>
        </is>
      </c>
      <c r="F4074" t="inlineStr">
        <is>
          <t>Paid Search</t>
        </is>
      </c>
      <c r="G4074" t="inlineStr">
        <is>
          <t>Mobile App</t>
        </is>
      </c>
      <c r="H4074" t="inlineStr">
        <is>
          <t>UPI</t>
        </is>
      </c>
      <c r="I4074" t="inlineStr">
        <is>
          <t>Delivered</t>
        </is>
      </c>
      <c r="J4074" t="n">
        <v>106</v>
      </c>
      <c r="K4074" t="n">
        <v>1</v>
      </c>
      <c r="L4074" s="7" t="n">
        <v>1574</v>
      </c>
      <c r="M4074" s="7" t="n">
        <v>0</v>
      </c>
    </row>
    <row r="4075">
      <c r="A4075" t="n">
        <v>511604</v>
      </c>
      <c r="B4075" s="6" t="n">
        <v>46010</v>
      </c>
      <c r="C4075" t="n">
        <v>14117</v>
      </c>
      <c r="D4075" t="inlineStr">
        <is>
          <t>Noida</t>
        </is>
      </c>
      <c r="E4075" t="inlineStr">
        <is>
          <t>North</t>
        </is>
      </c>
      <c r="F4075" t="inlineStr">
        <is>
          <t>Paid Search</t>
        </is>
      </c>
      <c r="G4075" t="inlineStr">
        <is>
          <t>Mobile App</t>
        </is>
      </c>
      <c r="H4075" t="inlineStr">
        <is>
          <t>UPI</t>
        </is>
      </c>
      <c r="I4075" t="inlineStr">
        <is>
          <t>Delivered</t>
        </is>
      </c>
      <c r="J4075" t="n">
        <v>121</v>
      </c>
      <c r="K4075" t="n">
        <v>1</v>
      </c>
      <c r="L4075" s="7" t="n">
        <v>2939</v>
      </c>
      <c r="M4075" s="7" t="n">
        <v>0</v>
      </c>
    </row>
    <row r="4076">
      <c r="A4076" t="n">
        <v>511605</v>
      </c>
      <c r="B4076" s="6" t="n">
        <v>46010</v>
      </c>
      <c r="C4076" t="n">
        <v>17808</v>
      </c>
      <c r="D4076" t="inlineStr">
        <is>
          <t>Bengaluru</t>
        </is>
      </c>
      <c r="E4076" t="inlineStr">
        <is>
          <t>South</t>
        </is>
      </c>
      <c r="F4076" t="inlineStr">
        <is>
          <t>Paid Social</t>
        </is>
      </c>
      <c r="G4076" t="inlineStr">
        <is>
          <t>Mobile Web</t>
        </is>
      </c>
      <c r="H4076" t="inlineStr">
        <is>
          <t>UPI</t>
        </is>
      </c>
      <c r="I4076" t="inlineStr">
        <is>
          <t>Delivered</t>
        </is>
      </c>
      <c r="J4076" t="n">
        <v>110</v>
      </c>
      <c r="K4076" t="n">
        <v>1</v>
      </c>
      <c r="L4076" s="7" t="n">
        <v>839</v>
      </c>
      <c r="M4076" s="7" t="n">
        <v>125.85</v>
      </c>
    </row>
    <row r="4077">
      <c r="A4077" t="n">
        <v>511606</v>
      </c>
      <c r="B4077" s="6" t="n">
        <v>46010</v>
      </c>
      <c r="C4077" t="n">
        <v>16854</v>
      </c>
      <c r="D4077" t="inlineStr">
        <is>
          <t>Delhi</t>
        </is>
      </c>
      <c r="E4077" t="inlineStr">
        <is>
          <t>North</t>
        </is>
      </c>
      <c r="F4077" t="inlineStr">
        <is>
          <t>Organic Search</t>
        </is>
      </c>
      <c r="G4077" t="inlineStr">
        <is>
          <t>Mobile Web</t>
        </is>
      </c>
      <c r="H4077" t="inlineStr">
        <is>
          <t>Cash on Delivery</t>
        </is>
      </c>
      <c r="I4077" t="inlineStr">
        <is>
          <t>Returned</t>
        </is>
      </c>
      <c r="J4077" t="n">
        <v>116</v>
      </c>
      <c r="K4077" t="n">
        <v>1</v>
      </c>
      <c r="L4077" s="7" t="n">
        <v>2624</v>
      </c>
      <c r="M4077" s="7" t="n">
        <v>0</v>
      </c>
    </row>
    <row r="4078">
      <c r="A4078" t="n">
        <v>511607</v>
      </c>
      <c r="B4078" s="6" t="n">
        <v>46010</v>
      </c>
      <c r="C4078" t="n">
        <v>17825</v>
      </c>
      <c r="D4078" t="inlineStr">
        <is>
          <t>Delhi</t>
        </is>
      </c>
      <c r="E4078" t="inlineStr">
        <is>
          <t>North</t>
        </is>
      </c>
      <c r="F4078" t="inlineStr">
        <is>
          <t>Referral</t>
        </is>
      </c>
      <c r="G4078" t="inlineStr">
        <is>
          <t>Mobile Web</t>
        </is>
      </c>
      <c r="H4078" t="inlineStr">
        <is>
          <t>UPI</t>
        </is>
      </c>
      <c r="I4078" t="inlineStr">
        <is>
          <t>Delivered</t>
        </is>
      </c>
      <c r="J4078" t="n">
        <v>121</v>
      </c>
      <c r="K4078" t="n">
        <v>1</v>
      </c>
      <c r="L4078" s="7" t="n">
        <v>2939</v>
      </c>
      <c r="M4078" s="7" t="n">
        <v>440.85</v>
      </c>
    </row>
    <row r="4079">
      <c r="A4079" t="n">
        <v>511607</v>
      </c>
      <c r="B4079" s="6" t="n">
        <v>46010</v>
      </c>
      <c r="C4079" t="n">
        <v>17825</v>
      </c>
      <c r="D4079" t="inlineStr">
        <is>
          <t>Delhi</t>
        </is>
      </c>
      <c r="E4079" t="inlineStr">
        <is>
          <t>North</t>
        </is>
      </c>
      <c r="F4079" t="inlineStr">
        <is>
          <t>Referral</t>
        </is>
      </c>
      <c r="G4079" t="inlineStr">
        <is>
          <t>Mobile Web</t>
        </is>
      </c>
      <c r="H4079" t="inlineStr">
        <is>
          <t>UPI</t>
        </is>
      </c>
      <c r="I4079" t="inlineStr">
        <is>
          <t>Delivered</t>
        </is>
      </c>
      <c r="J4079" t="n">
        <v>118</v>
      </c>
      <c r="K4079" t="n">
        <v>3</v>
      </c>
      <c r="L4079" s="7" t="n">
        <v>944</v>
      </c>
      <c r="M4079" s="7" t="n">
        <v>424.8</v>
      </c>
    </row>
    <row r="4080">
      <c r="A4080" t="n">
        <v>511608</v>
      </c>
      <c r="B4080" s="6" t="n">
        <v>46010</v>
      </c>
      <c r="C4080" t="n">
        <v>16035</v>
      </c>
      <c r="D4080" t="inlineStr">
        <is>
          <t>Delhi</t>
        </is>
      </c>
      <c r="E4080" t="inlineStr">
        <is>
          <t>North</t>
        </is>
      </c>
      <c r="F4080" t="inlineStr">
        <is>
          <t>Email</t>
        </is>
      </c>
      <c r="G4080" t="inlineStr">
        <is>
          <t>Mobile App</t>
        </is>
      </c>
      <c r="H4080" t="inlineStr">
        <is>
          <t>Debit Card</t>
        </is>
      </c>
      <c r="I4080" t="inlineStr">
        <is>
          <t>Delivered</t>
        </is>
      </c>
      <c r="J4080" t="n">
        <v>141</v>
      </c>
      <c r="K4080" t="n">
        <v>1</v>
      </c>
      <c r="L4080" s="7" t="n">
        <v>261</v>
      </c>
      <c r="M4080" s="7" t="n">
        <v>0</v>
      </c>
    </row>
    <row r="4081">
      <c r="A4081" t="n">
        <v>511608</v>
      </c>
      <c r="B4081" s="6" t="n">
        <v>46010</v>
      </c>
      <c r="C4081" t="n">
        <v>16035</v>
      </c>
      <c r="D4081" t="inlineStr">
        <is>
          <t>Delhi</t>
        </is>
      </c>
      <c r="E4081" t="inlineStr">
        <is>
          <t>North</t>
        </is>
      </c>
      <c r="F4081" t="inlineStr">
        <is>
          <t>Email</t>
        </is>
      </c>
      <c r="G4081" t="inlineStr">
        <is>
          <t>Mobile App</t>
        </is>
      </c>
      <c r="H4081" t="inlineStr">
        <is>
          <t>Debit Card</t>
        </is>
      </c>
      <c r="I4081" t="inlineStr">
        <is>
          <t>Delivered</t>
        </is>
      </c>
      <c r="J4081" t="n">
        <v>137</v>
      </c>
      <c r="K4081" t="n">
        <v>1</v>
      </c>
      <c r="L4081" s="7" t="n">
        <v>261</v>
      </c>
      <c r="M4081" s="7" t="n">
        <v>0</v>
      </c>
    </row>
    <row r="4082">
      <c r="A4082" t="n">
        <v>511609</v>
      </c>
      <c r="B4082" s="6" t="n">
        <v>46010</v>
      </c>
      <c r="C4082" t="n">
        <v>12329</v>
      </c>
      <c r="D4082" t="inlineStr">
        <is>
          <t>Jaipur</t>
        </is>
      </c>
      <c r="E4082" t="inlineStr">
        <is>
          <t>North</t>
        </is>
      </c>
      <c r="F4082" t="inlineStr">
        <is>
          <t>Paid Search</t>
        </is>
      </c>
      <c r="G4082" t="inlineStr">
        <is>
          <t>Mobile Web</t>
        </is>
      </c>
      <c r="H4082" t="inlineStr">
        <is>
          <t>UPI</t>
        </is>
      </c>
      <c r="I4082" t="inlineStr">
        <is>
          <t>Delivered</t>
        </is>
      </c>
      <c r="J4082" t="n">
        <v>147</v>
      </c>
      <c r="K4082" t="n">
        <v>1</v>
      </c>
      <c r="L4082" s="7" t="n">
        <v>1364</v>
      </c>
      <c r="M4082" s="7" t="n">
        <v>68.2</v>
      </c>
    </row>
    <row r="4083">
      <c r="A4083" t="n">
        <v>511610</v>
      </c>
      <c r="B4083" s="6" t="n">
        <v>46010</v>
      </c>
      <c r="C4083" t="n">
        <v>17753</v>
      </c>
      <c r="D4083" t="inlineStr">
        <is>
          <t>Mumbai</t>
        </is>
      </c>
      <c r="E4083" t="inlineStr">
        <is>
          <t>West</t>
        </is>
      </c>
      <c r="F4083" t="inlineStr">
        <is>
          <t>Organic Search</t>
        </is>
      </c>
      <c r="G4083" t="inlineStr">
        <is>
          <t>Mobile App</t>
        </is>
      </c>
      <c r="H4083" t="inlineStr">
        <is>
          <t>UPI</t>
        </is>
      </c>
      <c r="I4083" t="inlineStr">
        <is>
          <t>Delivered</t>
        </is>
      </c>
      <c r="J4083" t="n">
        <v>113</v>
      </c>
      <c r="K4083" t="n">
        <v>1</v>
      </c>
      <c r="L4083" s="7" t="n">
        <v>1364</v>
      </c>
      <c r="M4083" s="7" t="n">
        <v>0</v>
      </c>
    </row>
    <row r="4084">
      <c r="A4084" t="n">
        <v>511610</v>
      </c>
      <c r="B4084" s="6" t="n">
        <v>46010</v>
      </c>
      <c r="C4084" t="n">
        <v>17753</v>
      </c>
      <c r="D4084" t="inlineStr">
        <is>
          <t>Mumbai</t>
        </is>
      </c>
      <c r="E4084" t="inlineStr">
        <is>
          <t>West</t>
        </is>
      </c>
      <c r="F4084" t="inlineStr">
        <is>
          <t>Organic Search</t>
        </is>
      </c>
      <c r="G4084" t="inlineStr">
        <is>
          <t>Mobile App</t>
        </is>
      </c>
      <c r="H4084" t="inlineStr">
        <is>
          <t>UPI</t>
        </is>
      </c>
      <c r="I4084" t="inlineStr">
        <is>
          <t>Delivered</t>
        </is>
      </c>
      <c r="J4084" t="n">
        <v>148</v>
      </c>
      <c r="K4084" t="n">
        <v>1</v>
      </c>
      <c r="L4084" s="7" t="n">
        <v>734</v>
      </c>
      <c r="M4084" s="7" t="n">
        <v>0</v>
      </c>
    </row>
    <row r="4085">
      <c r="A4085" t="n">
        <v>511611</v>
      </c>
      <c r="B4085" s="6" t="n">
        <v>46010</v>
      </c>
      <c r="C4085" t="n">
        <v>16791</v>
      </c>
      <c r="D4085" t="inlineStr">
        <is>
          <t>Delhi</t>
        </is>
      </c>
      <c r="E4085" t="inlineStr">
        <is>
          <t>North</t>
        </is>
      </c>
      <c r="F4085" t="inlineStr">
        <is>
          <t>Paid Search</t>
        </is>
      </c>
      <c r="G4085" t="inlineStr">
        <is>
          <t>Mobile Web</t>
        </is>
      </c>
      <c r="H4085" t="inlineStr">
        <is>
          <t>Credit Card</t>
        </is>
      </c>
      <c r="I4085" t="inlineStr">
        <is>
          <t>Delivered</t>
        </is>
      </c>
      <c r="J4085" t="n">
        <v>114</v>
      </c>
      <c r="K4085" t="n">
        <v>1</v>
      </c>
      <c r="L4085" s="7" t="n">
        <v>1259</v>
      </c>
      <c r="M4085" s="7" t="n">
        <v>62.95</v>
      </c>
    </row>
    <row r="4086">
      <c r="A4086" t="n">
        <v>511612</v>
      </c>
      <c r="B4086" s="6" t="n">
        <v>46010</v>
      </c>
      <c r="C4086" t="n">
        <v>17822</v>
      </c>
      <c r="D4086" t="inlineStr">
        <is>
          <t>Mumbai</t>
        </is>
      </c>
      <c r="E4086" t="inlineStr">
        <is>
          <t>West</t>
        </is>
      </c>
      <c r="F4086" t="inlineStr">
        <is>
          <t>Organic Search</t>
        </is>
      </c>
      <c r="G4086" t="inlineStr">
        <is>
          <t>Mobile Web</t>
        </is>
      </c>
      <c r="H4086" t="inlineStr">
        <is>
          <t>Debit Card</t>
        </is>
      </c>
      <c r="I4086" t="inlineStr">
        <is>
          <t>Delivered</t>
        </is>
      </c>
      <c r="J4086" t="n">
        <v>117</v>
      </c>
      <c r="K4086" t="n">
        <v>1</v>
      </c>
      <c r="L4086" s="7" t="n">
        <v>3149</v>
      </c>
      <c r="M4086" s="7" t="n">
        <v>0</v>
      </c>
    </row>
    <row r="4087">
      <c r="A4087" t="n">
        <v>511613</v>
      </c>
      <c r="B4087" s="6" t="n">
        <v>46011</v>
      </c>
      <c r="C4087" t="n">
        <v>17617</v>
      </c>
      <c r="D4087" t="inlineStr">
        <is>
          <t>Delhi</t>
        </is>
      </c>
      <c r="E4087" t="inlineStr">
        <is>
          <t>North</t>
        </is>
      </c>
      <c r="F4087" t="inlineStr">
        <is>
          <t>Organic Search</t>
        </is>
      </c>
      <c r="G4087" t="inlineStr">
        <is>
          <t>Desktop</t>
        </is>
      </c>
      <c r="H4087" t="inlineStr">
        <is>
          <t>Credit Card</t>
        </is>
      </c>
      <c r="I4087" t="inlineStr">
        <is>
          <t>Delivered</t>
        </is>
      </c>
      <c r="J4087" t="n">
        <v>132</v>
      </c>
      <c r="K4087" t="n">
        <v>1</v>
      </c>
      <c r="L4087" s="7" t="n">
        <v>471</v>
      </c>
      <c r="M4087" s="7" t="n">
        <v>0</v>
      </c>
    </row>
    <row r="4088">
      <c r="A4088" t="n">
        <v>511614</v>
      </c>
      <c r="B4088" s="6" t="n">
        <v>46011</v>
      </c>
      <c r="C4088" t="n">
        <v>17736</v>
      </c>
      <c r="D4088" t="inlineStr">
        <is>
          <t>Mumbai</t>
        </is>
      </c>
      <c r="E4088" t="inlineStr">
        <is>
          <t>West</t>
        </is>
      </c>
      <c r="F4088" t="inlineStr">
        <is>
          <t>Paid Social</t>
        </is>
      </c>
      <c r="G4088" t="inlineStr">
        <is>
          <t>Mobile App</t>
        </is>
      </c>
      <c r="H4088" t="inlineStr">
        <is>
          <t>Credit Card</t>
        </is>
      </c>
      <c r="I4088" t="inlineStr">
        <is>
          <t>Delivered</t>
        </is>
      </c>
      <c r="J4088" t="n">
        <v>134</v>
      </c>
      <c r="K4088" t="n">
        <v>1</v>
      </c>
      <c r="L4088" s="7" t="n">
        <v>209</v>
      </c>
      <c r="M4088" s="7" t="n">
        <v>31.35</v>
      </c>
    </row>
    <row r="4089">
      <c r="A4089" t="n">
        <v>511615</v>
      </c>
      <c r="B4089" s="6" t="n">
        <v>46011</v>
      </c>
      <c r="C4089" t="n">
        <v>14141</v>
      </c>
      <c r="D4089" t="inlineStr">
        <is>
          <t>Ahmedabad</t>
        </is>
      </c>
      <c r="E4089" t="inlineStr">
        <is>
          <t>West</t>
        </is>
      </c>
      <c r="F4089" t="inlineStr">
        <is>
          <t>Organic Search</t>
        </is>
      </c>
      <c r="G4089" t="inlineStr">
        <is>
          <t>Mobile App</t>
        </is>
      </c>
      <c r="H4089" t="inlineStr">
        <is>
          <t>UPI</t>
        </is>
      </c>
      <c r="I4089" t="inlineStr">
        <is>
          <t>Delivered</t>
        </is>
      </c>
      <c r="J4089" t="n">
        <v>139</v>
      </c>
      <c r="K4089" t="n">
        <v>3</v>
      </c>
      <c r="L4089" s="7" t="n">
        <v>366</v>
      </c>
      <c r="M4089" s="7" t="n">
        <v>0</v>
      </c>
    </row>
    <row r="4090">
      <c r="A4090" t="n">
        <v>511616</v>
      </c>
      <c r="B4090" s="6" t="n">
        <v>46011</v>
      </c>
      <c r="C4090" t="n">
        <v>17842</v>
      </c>
      <c r="D4090" t="inlineStr">
        <is>
          <t>Delhi</t>
        </is>
      </c>
      <c r="E4090" t="inlineStr">
        <is>
          <t>North</t>
        </is>
      </c>
      <c r="F4090" t="inlineStr">
        <is>
          <t>Organic Search</t>
        </is>
      </c>
      <c r="G4090" t="inlineStr">
        <is>
          <t>Mobile App</t>
        </is>
      </c>
      <c r="H4090" t="inlineStr">
        <is>
          <t>UPI</t>
        </is>
      </c>
      <c r="I4090" t="inlineStr">
        <is>
          <t>Delivered</t>
        </is>
      </c>
      <c r="J4090" t="n">
        <v>117</v>
      </c>
      <c r="K4090" t="n">
        <v>1</v>
      </c>
      <c r="L4090" s="7" t="n">
        <v>3149</v>
      </c>
      <c r="M4090" s="7" t="n">
        <v>0</v>
      </c>
    </row>
    <row r="4091">
      <c r="A4091" t="n">
        <v>511616</v>
      </c>
      <c r="B4091" s="6" t="n">
        <v>46011</v>
      </c>
      <c r="C4091" t="n">
        <v>17842</v>
      </c>
      <c r="D4091" t="inlineStr">
        <is>
          <t>Delhi</t>
        </is>
      </c>
      <c r="E4091" t="inlineStr">
        <is>
          <t>North</t>
        </is>
      </c>
      <c r="F4091" t="inlineStr">
        <is>
          <t>Organic Search</t>
        </is>
      </c>
      <c r="G4091" t="inlineStr">
        <is>
          <t>Mobile App</t>
        </is>
      </c>
      <c r="H4091" t="inlineStr">
        <is>
          <t>UPI</t>
        </is>
      </c>
      <c r="I4091" t="inlineStr">
        <is>
          <t>Delivered</t>
        </is>
      </c>
      <c r="J4091" t="n">
        <v>124</v>
      </c>
      <c r="K4091" t="n">
        <v>1</v>
      </c>
      <c r="L4091" s="7" t="n">
        <v>1154</v>
      </c>
      <c r="M4091" s="7" t="n">
        <v>0</v>
      </c>
    </row>
    <row r="4092">
      <c r="A4092" t="n">
        <v>511616</v>
      </c>
      <c r="B4092" s="6" t="n">
        <v>46011</v>
      </c>
      <c r="C4092" t="n">
        <v>17842</v>
      </c>
      <c r="D4092" t="inlineStr">
        <is>
          <t>Delhi</t>
        </is>
      </c>
      <c r="E4092" t="inlineStr">
        <is>
          <t>North</t>
        </is>
      </c>
      <c r="F4092" t="inlineStr">
        <is>
          <t>Organic Search</t>
        </is>
      </c>
      <c r="G4092" t="inlineStr">
        <is>
          <t>Mobile App</t>
        </is>
      </c>
      <c r="H4092" t="inlineStr">
        <is>
          <t>UPI</t>
        </is>
      </c>
      <c r="I4092" t="inlineStr">
        <is>
          <t>Delivered</t>
        </is>
      </c>
      <c r="J4092" t="n">
        <v>101</v>
      </c>
      <c r="K4092" t="n">
        <v>1</v>
      </c>
      <c r="L4092" s="7" t="n">
        <v>2099</v>
      </c>
      <c r="M4092" s="7" t="n">
        <v>0</v>
      </c>
    </row>
    <row r="4093">
      <c r="A4093" t="n">
        <v>511617</v>
      </c>
      <c r="B4093" s="6" t="n">
        <v>46011</v>
      </c>
      <c r="C4093" t="n">
        <v>16708</v>
      </c>
      <c r="D4093" t="inlineStr">
        <is>
          <t>Delhi</t>
        </is>
      </c>
      <c r="E4093" t="inlineStr">
        <is>
          <t>North</t>
        </is>
      </c>
      <c r="F4093" t="inlineStr">
        <is>
          <t>Organic Search</t>
        </is>
      </c>
      <c r="G4093" t="inlineStr">
        <is>
          <t>Desktop</t>
        </is>
      </c>
      <c r="H4093" t="inlineStr">
        <is>
          <t>UPI</t>
        </is>
      </c>
      <c r="I4093" t="inlineStr">
        <is>
          <t>Delivered</t>
        </is>
      </c>
      <c r="J4093" t="n">
        <v>103</v>
      </c>
      <c r="K4093" t="n">
        <v>1</v>
      </c>
      <c r="L4093" s="7" t="n">
        <v>2624</v>
      </c>
      <c r="M4093" s="7" t="n">
        <v>0</v>
      </c>
    </row>
    <row r="4094">
      <c r="A4094" t="n">
        <v>511618</v>
      </c>
      <c r="B4094" s="6" t="n">
        <v>46011</v>
      </c>
      <c r="C4094" t="n">
        <v>14486</v>
      </c>
      <c r="D4094" t="inlineStr">
        <is>
          <t>Gurugram</t>
        </is>
      </c>
      <c r="E4094" t="inlineStr">
        <is>
          <t>North</t>
        </is>
      </c>
      <c r="F4094" t="inlineStr">
        <is>
          <t>Referral</t>
        </is>
      </c>
      <c r="G4094" t="inlineStr">
        <is>
          <t>Mobile Web</t>
        </is>
      </c>
      <c r="H4094" t="inlineStr">
        <is>
          <t>Debit Card</t>
        </is>
      </c>
      <c r="I4094" t="inlineStr">
        <is>
          <t>Returned</t>
        </is>
      </c>
      <c r="J4094" t="n">
        <v>144</v>
      </c>
      <c r="K4094" t="n">
        <v>1</v>
      </c>
      <c r="L4094" s="7" t="n">
        <v>3149</v>
      </c>
      <c r="M4094" s="7" t="n">
        <v>0</v>
      </c>
    </row>
    <row r="4095">
      <c r="A4095" t="n">
        <v>511618</v>
      </c>
      <c r="B4095" s="6" t="n">
        <v>46011</v>
      </c>
      <c r="C4095" t="n">
        <v>14486</v>
      </c>
      <c r="D4095" t="inlineStr">
        <is>
          <t>Gurugram</t>
        </is>
      </c>
      <c r="E4095" t="inlineStr">
        <is>
          <t>North</t>
        </is>
      </c>
      <c r="F4095" t="inlineStr">
        <is>
          <t>Referral</t>
        </is>
      </c>
      <c r="G4095" t="inlineStr">
        <is>
          <t>Mobile Web</t>
        </is>
      </c>
      <c r="H4095" t="inlineStr">
        <is>
          <t>Debit Card</t>
        </is>
      </c>
      <c r="I4095" t="inlineStr">
        <is>
          <t>Returned</t>
        </is>
      </c>
      <c r="J4095" t="n">
        <v>137</v>
      </c>
      <c r="K4095" t="n">
        <v>1</v>
      </c>
      <c r="L4095" s="7" t="n">
        <v>261</v>
      </c>
      <c r="M4095" s="7" t="n">
        <v>0</v>
      </c>
    </row>
    <row r="4096">
      <c r="A4096" t="n">
        <v>511619</v>
      </c>
      <c r="B4096" s="6" t="n">
        <v>46011</v>
      </c>
      <c r="C4096" t="n">
        <v>13080</v>
      </c>
      <c r="D4096" t="inlineStr">
        <is>
          <t>Delhi</t>
        </is>
      </c>
      <c r="E4096" t="inlineStr">
        <is>
          <t>North</t>
        </is>
      </c>
      <c r="F4096" t="inlineStr">
        <is>
          <t>Referral</t>
        </is>
      </c>
      <c r="G4096" t="inlineStr">
        <is>
          <t>Mobile Web</t>
        </is>
      </c>
      <c r="H4096" t="inlineStr">
        <is>
          <t>Cash on Delivery</t>
        </is>
      </c>
      <c r="I4096" t="inlineStr">
        <is>
          <t>Cancelled</t>
        </is>
      </c>
      <c r="J4096" t="n">
        <v>116</v>
      </c>
      <c r="K4096" t="n">
        <v>1</v>
      </c>
      <c r="L4096" s="7" t="n">
        <v>2624</v>
      </c>
      <c r="M4096" s="7" t="n">
        <v>0</v>
      </c>
    </row>
    <row r="4097">
      <c r="A4097" t="n">
        <v>511619</v>
      </c>
      <c r="B4097" s="6" t="n">
        <v>46011</v>
      </c>
      <c r="C4097" t="n">
        <v>13080</v>
      </c>
      <c r="D4097" t="inlineStr">
        <is>
          <t>Delhi</t>
        </is>
      </c>
      <c r="E4097" t="inlineStr">
        <is>
          <t>North</t>
        </is>
      </c>
      <c r="F4097" t="inlineStr">
        <is>
          <t>Referral</t>
        </is>
      </c>
      <c r="G4097" t="inlineStr">
        <is>
          <t>Mobile Web</t>
        </is>
      </c>
      <c r="H4097" t="inlineStr">
        <is>
          <t>Cash on Delivery</t>
        </is>
      </c>
      <c r="I4097" t="inlineStr">
        <is>
          <t>Cancelled</t>
        </is>
      </c>
      <c r="J4097" t="n">
        <v>102</v>
      </c>
      <c r="K4097" t="n">
        <v>1</v>
      </c>
      <c r="L4097" s="7" t="n">
        <v>3674</v>
      </c>
      <c r="M4097" s="7" t="n">
        <v>0</v>
      </c>
    </row>
    <row r="4098">
      <c r="A4098" t="n">
        <v>511620</v>
      </c>
      <c r="B4098" s="6" t="n">
        <v>46011</v>
      </c>
      <c r="C4098" t="n">
        <v>17701</v>
      </c>
      <c r="D4098" t="inlineStr">
        <is>
          <t>Delhi</t>
        </is>
      </c>
      <c r="E4098" t="inlineStr">
        <is>
          <t>North</t>
        </is>
      </c>
      <c r="F4098" t="inlineStr">
        <is>
          <t>Referral</t>
        </is>
      </c>
      <c r="G4098" t="inlineStr">
        <is>
          <t>Mobile Web</t>
        </is>
      </c>
      <c r="H4098" t="inlineStr">
        <is>
          <t>Debit Card</t>
        </is>
      </c>
      <c r="I4098" t="inlineStr">
        <is>
          <t>Returned</t>
        </is>
      </c>
      <c r="J4098" t="n">
        <v>124</v>
      </c>
      <c r="K4098" t="n">
        <v>1</v>
      </c>
      <c r="L4098" s="7" t="n">
        <v>1154</v>
      </c>
      <c r="M4098" s="7" t="n">
        <v>57.7</v>
      </c>
    </row>
    <row r="4099">
      <c r="A4099" t="n">
        <v>511620</v>
      </c>
      <c r="B4099" s="6" t="n">
        <v>46011</v>
      </c>
      <c r="C4099" t="n">
        <v>17701</v>
      </c>
      <c r="D4099" t="inlineStr">
        <is>
          <t>Delhi</t>
        </is>
      </c>
      <c r="E4099" t="inlineStr">
        <is>
          <t>North</t>
        </is>
      </c>
      <c r="F4099" t="inlineStr">
        <is>
          <t>Referral</t>
        </is>
      </c>
      <c r="G4099" t="inlineStr">
        <is>
          <t>Mobile Web</t>
        </is>
      </c>
      <c r="H4099" t="inlineStr">
        <is>
          <t>Debit Card</t>
        </is>
      </c>
      <c r="I4099" t="inlineStr">
        <is>
          <t>Returned</t>
        </is>
      </c>
      <c r="J4099" t="n">
        <v>106</v>
      </c>
      <c r="K4099" t="n">
        <v>1</v>
      </c>
      <c r="L4099" s="7" t="n">
        <v>1574</v>
      </c>
      <c r="M4099" s="7" t="n">
        <v>78.7</v>
      </c>
    </row>
    <row r="4100">
      <c r="A4100" t="n">
        <v>511620</v>
      </c>
      <c r="B4100" s="6" t="n">
        <v>46011</v>
      </c>
      <c r="C4100" t="n">
        <v>17701</v>
      </c>
      <c r="D4100" t="inlineStr">
        <is>
          <t>Delhi</t>
        </is>
      </c>
      <c r="E4100" t="inlineStr">
        <is>
          <t>North</t>
        </is>
      </c>
      <c r="F4100" t="inlineStr">
        <is>
          <t>Referral</t>
        </is>
      </c>
      <c r="G4100" t="inlineStr">
        <is>
          <t>Mobile Web</t>
        </is>
      </c>
      <c r="H4100" t="inlineStr">
        <is>
          <t>Debit Card</t>
        </is>
      </c>
      <c r="I4100" t="inlineStr">
        <is>
          <t>Returned</t>
        </is>
      </c>
      <c r="J4100" t="n">
        <v>146</v>
      </c>
      <c r="K4100" t="n">
        <v>1</v>
      </c>
      <c r="L4100" s="7" t="n">
        <v>4724</v>
      </c>
      <c r="M4100" s="7" t="n">
        <v>236.2</v>
      </c>
    </row>
    <row r="4101">
      <c r="A4101" t="n">
        <v>511621</v>
      </c>
      <c r="B4101" s="6" t="n">
        <v>46011</v>
      </c>
      <c r="C4101" t="n">
        <v>17833</v>
      </c>
      <c r="D4101" t="inlineStr">
        <is>
          <t>Bengaluru</t>
        </is>
      </c>
      <c r="E4101" t="inlineStr">
        <is>
          <t>South</t>
        </is>
      </c>
      <c r="F4101" t="inlineStr">
        <is>
          <t>Organic Search</t>
        </is>
      </c>
      <c r="G4101" t="inlineStr">
        <is>
          <t>Mobile App</t>
        </is>
      </c>
      <c r="H4101" t="inlineStr">
        <is>
          <t>Debit Card</t>
        </is>
      </c>
      <c r="I4101" t="inlineStr">
        <is>
          <t>Delivered</t>
        </is>
      </c>
      <c r="J4101" t="n">
        <v>110</v>
      </c>
      <c r="K4101" t="n">
        <v>1</v>
      </c>
      <c r="L4101" s="7" t="n">
        <v>839</v>
      </c>
      <c r="M4101" s="7" t="n">
        <v>125.85</v>
      </c>
    </row>
    <row r="4102">
      <c r="A4102" t="n">
        <v>511621</v>
      </c>
      <c r="B4102" s="6" t="n">
        <v>46011</v>
      </c>
      <c r="C4102" t="n">
        <v>17833</v>
      </c>
      <c r="D4102" t="inlineStr">
        <is>
          <t>Bengaluru</t>
        </is>
      </c>
      <c r="E4102" t="inlineStr">
        <is>
          <t>South</t>
        </is>
      </c>
      <c r="F4102" t="inlineStr">
        <is>
          <t>Organic Search</t>
        </is>
      </c>
      <c r="G4102" t="inlineStr">
        <is>
          <t>Mobile App</t>
        </is>
      </c>
      <c r="H4102" t="inlineStr">
        <is>
          <t>Debit Card</t>
        </is>
      </c>
      <c r="I4102" t="inlineStr">
        <is>
          <t>Delivered</t>
        </is>
      </c>
      <c r="J4102" t="n">
        <v>118</v>
      </c>
      <c r="K4102" t="n">
        <v>1</v>
      </c>
      <c r="L4102" s="7" t="n">
        <v>944</v>
      </c>
      <c r="M4102" s="7" t="n">
        <v>141.6</v>
      </c>
    </row>
    <row r="4103">
      <c r="A4103" t="n">
        <v>511622</v>
      </c>
      <c r="B4103" s="6" t="n">
        <v>46011</v>
      </c>
      <c r="C4103" t="n">
        <v>17771</v>
      </c>
      <c r="D4103" t="inlineStr">
        <is>
          <t>Chennai</t>
        </is>
      </c>
      <c r="E4103" t="inlineStr">
        <is>
          <t>South</t>
        </is>
      </c>
      <c r="F4103" t="inlineStr">
        <is>
          <t>Paid Social</t>
        </is>
      </c>
      <c r="G4103" t="inlineStr">
        <is>
          <t>Desktop</t>
        </is>
      </c>
      <c r="H4103" t="inlineStr">
        <is>
          <t>UPI</t>
        </is>
      </c>
      <c r="I4103" t="inlineStr">
        <is>
          <t>Delivered</t>
        </is>
      </c>
      <c r="J4103" t="n">
        <v>131</v>
      </c>
      <c r="K4103" t="n">
        <v>3</v>
      </c>
      <c r="L4103" s="7" t="n">
        <v>314</v>
      </c>
      <c r="M4103" s="7" t="n">
        <v>0</v>
      </c>
    </row>
    <row r="4104">
      <c r="A4104" t="n">
        <v>511622</v>
      </c>
      <c r="B4104" s="6" t="n">
        <v>46011</v>
      </c>
      <c r="C4104" t="n">
        <v>17771</v>
      </c>
      <c r="D4104" t="inlineStr">
        <is>
          <t>Chennai</t>
        </is>
      </c>
      <c r="E4104" t="inlineStr">
        <is>
          <t>South</t>
        </is>
      </c>
      <c r="F4104" t="inlineStr">
        <is>
          <t>Paid Social</t>
        </is>
      </c>
      <c r="G4104" t="inlineStr">
        <is>
          <t>Desktop</t>
        </is>
      </c>
      <c r="H4104" t="inlineStr">
        <is>
          <t>UPI</t>
        </is>
      </c>
      <c r="I4104" t="inlineStr">
        <is>
          <t>Delivered</t>
        </is>
      </c>
      <c r="J4104" t="n">
        <v>145</v>
      </c>
      <c r="K4104" t="n">
        <v>2</v>
      </c>
      <c r="L4104" s="7" t="n">
        <v>629</v>
      </c>
      <c r="M4104" s="7" t="n">
        <v>0</v>
      </c>
    </row>
    <row r="4105">
      <c r="A4105" t="n">
        <v>511622</v>
      </c>
      <c r="B4105" s="6" t="n">
        <v>46011</v>
      </c>
      <c r="C4105" t="n">
        <v>17771</v>
      </c>
      <c r="D4105" t="inlineStr">
        <is>
          <t>Chennai</t>
        </is>
      </c>
      <c r="E4105" t="inlineStr">
        <is>
          <t>South</t>
        </is>
      </c>
      <c r="F4105" t="inlineStr">
        <is>
          <t>Paid Social</t>
        </is>
      </c>
      <c r="G4105" t="inlineStr">
        <is>
          <t>Desktop</t>
        </is>
      </c>
      <c r="H4105" t="inlineStr">
        <is>
          <t>UPI</t>
        </is>
      </c>
      <c r="I4105" t="inlineStr">
        <is>
          <t>Delivered</t>
        </is>
      </c>
      <c r="J4105" t="n">
        <v>103</v>
      </c>
      <c r="K4105" t="n">
        <v>2</v>
      </c>
      <c r="L4105" s="7" t="n">
        <v>2624</v>
      </c>
      <c r="M4105" s="7" t="n">
        <v>0</v>
      </c>
    </row>
    <row r="4106">
      <c r="A4106" t="n">
        <v>511623</v>
      </c>
      <c r="B4106" s="6" t="n">
        <v>46011</v>
      </c>
      <c r="C4106" t="n">
        <v>17671</v>
      </c>
      <c r="D4106" t="inlineStr">
        <is>
          <t>Indore</t>
        </is>
      </c>
      <c r="E4106" t="inlineStr">
        <is>
          <t>West</t>
        </is>
      </c>
      <c r="F4106" t="inlineStr">
        <is>
          <t>Paid Search</t>
        </is>
      </c>
      <c r="G4106" t="inlineStr">
        <is>
          <t>Mobile App</t>
        </is>
      </c>
      <c r="H4106" t="inlineStr">
        <is>
          <t>Cash on Delivery</t>
        </is>
      </c>
      <c r="I4106" t="inlineStr">
        <is>
          <t>Cancelled</t>
        </is>
      </c>
      <c r="J4106" t="n">
        <v>131</v>
      </c>
      <c r="K4106" t="n">
        <v>1</v>
      </c>
      <c r="L4106" s="7" t="n">
        <v>314</v>
      </c>
      <c r="M4106" s="7" t="n">
        <v>47.1</v>
      </c>
    </row>
    <row r="4107">
      <c r="A4107" t="n">
        <v>511624</v>
      </c>
      <c r="B4107" s="6" t="n">
        <v>46011</v>
      </c>
      <c r="C4107" t="n">
        <v>16687</v>
      </c>
      <c r="D4107" t="inlineStr">
        <is>
          <t>Delhi</t>
        </is>
      </c>
      <c r="E4107" t="inlineStr">
        <is>
          <t>North</t>
        </is>
      </c>
      <c r="F4107" t="inlineStr">
        <is>
          <t>Email</t>
        </is>
      </c>
      <c r="G4107" t="inlineStr">
        <is>
          <t>Desktop</t>
        </is>
      </c>
      <c r="H4107" t="inlineStr">
        <is>
          <t>UPI</t>
        </is>
      </c>
      <c r="I4107" t="inlineStr">
        <is>
          <t>Delivered</t>
        </is>
      </c>
      <c r="J4107" t="n">
        <v>117</v>
      </c>
      <c r="K4107" t="n">
        <v>1</v>
      </c>
      <c r="L4107" s="7" t="n">
        <v>3149</v>
      </c>
      <c r="M4107" s="7" t="n">
        <v>0</v>
      </c>
    </row>
    <row r="4108">
      <c r="A4108" t="n">
        <v>511624</v>
      </c>
      <c r="B4108" s="6" t="n">
        <v>46011</v>
      </c>
      <c r="C4108" t="n">
        <v>16687</v>
      </c>
      <c r="D4108" t="inlineStr">
        <is>
          <t>Delhi</t>
        </is>
      </c>
      <c r="E4108" t="inlineStr">
        <is>
          <t>North</t>
        </is>
      </c>
      <c r="F4108" t="inlineStr">
        <is>
          <t>Email</t>
        </is>
      </c>
      <c r="G4108" t="inlineStr">
        <is>
          <t>Desktop</t>
        </is>
      </c>
      <c r="H4108" t="inlineStr">
        <is>
          <t>UPI</t>
        </is>
      </c>
      <c r="I4108" t="inlineStr">
        <is>
          <t>Delivered</t>
        </is>
      </c>
      <c r="J4108" t="n">
        <v>121</v>
      </c>
      <c r="K4108" t="n">
        <v>1</v>
      </c>
      <c r="L4108" s="7" t="n">
        <v>2939</v>
      </c>
      <c r="M4108" s="7" t="n">
        <v>0</v>
      </c>
    </row>
    <row r="4109">
      <c r="A4109" t="n">
        <v>511624</v>
      </c>
      <c r="B4109" s="6" t="n">
        <v>46011</v>
      </c>
      <c r="C4109" t="n">
        <v>16687</v>
      </c>
      <c r="D4109" t="inlineStr">
        <is>
          <t>Delhi</t>
        </is>
      </c>
      <c r="E4109" t="inlineStr">
        <is>
          <t>North</t>
        </is>
      </c>
      <c r="F4109" t="inlineStr">
        <is>
          <t>Email</t>
        </is>
      </c>
      <c r="G4109" t="inlineStr">
        <is>
          <t>Desktop</t>
        </is>
      </c>
      <c r="H4109" t="inlineStr">
        <is>
          <t>UPI</t>
        </is>
      </c>
      <c r="I4109" t="inlineStr">
        <is>
          <t>Delivered</t>
        </is>
      </c>
      <c r="J4109" t="n">
        <v>128</v>
      </c>
      <c r="K4109" t="n">
        <v>1</v>
      </c>
      <c r="L4109" s="7" t="n">
        <v>1049</v>
      </c>
      <c r="M4109" s="7" t="n">
        <v>0</v>
      </c>
    </row>
    <row r="4110">
      <c r="A4110" t="n">
        <v>511625</v>
      </c>
      <c r="B4110" s="6" t="n">
        <v>46011</v>
      </c>
      <c r="C4110" t="n">
        <v>17818</v>
      </c>
      <c r="D4110" t="inlineStr">
        <is>
          <t>Noida</t>
        </is>
      </c>
      <c r="E4110" t="inlineStr">
        <is>
          <t>North</t>
        </is>
      </c>
      <c r="F4110" t="inlineStr">
        <is>
          <t>Paid Search</t>
        </is>
      </c>
      <c r="G4110" t="inlineStr">
        <is>
          <t>Desktop</t>
        </is>
      </c>
      <c r="H4110" t="inlineStr">
        <is>
          <t>UPI</t>
        </is>
      </c>
      <c r="I4110" t="inlineStr">
        <is>
          <t>Delivered</t>
        </is>
      </c>
      <c r="J4110" t="n">
        <v>120</v>
      </c>
      <c r="K4110" t="n">
        <v>3</v>
      </c>
      <c r="L4110" s="7" t="n">
        <v>734</v>
      </c>
      <c r="M4110" s="7" t="n">
        <v>0</v>
      </c>
    </row>
    <row r="4111">
      <c r="A4111" t="n">
        <v>511625</v>
      </c>
      <c r="B4111" s="6" t="n">
        <v>46011</v>
      </c>
      <c r="C4111" t="n">
        <v>17818</v>
      </c>
      <c r="D4111" t="inlineStr">
        <is>
          <t>Noida</t>
        </is>
      </c>
      <c r="E4111" t="inlineStr">
        <is>
          <t>North</t>
        </is>
      </c>
      <c r="F4111" t="inlineStr">
        <is>
          <t>Paid Search</t>
        </is>
      </c>
      <c r="G4111" t="inlineStr">
        <is>
          <t>Desktop</t>
        </is>
      </c>
      <c r="H4111" t="inlineStr">
        <is>
          <t>UPI</t>
        </is>
      </c>
      <c r="I4111" t="inlineStr">
        <is>
          <t>Delivered</t>
        </is>
      </c>
      <c r="J4111" t="n">
        <v>104</v>
      </c>
      <c r="K4111" t="n">
        <v>1</v>
      </c>
      <c r="L4111" s="7" t="n">
        <v>5249</v>
      </c>
      <c r="M4111" s="7" t="n">
        <v>0</v>
      </c>
    </row>
    <row r="4112">
      <c r="A4112" t="n">
        <v>511626</v>
      </c>
      <c r="B4112" s="6" t="n">
        <v>46011</v>
      </c>
      <c r="C4112" t="n">
        <v>17848</v>
      </c>
      <c r="D4112" t="inlineStr">
        <is>
          <t>Mumbai</t>
        </is>
      </c>
      <c r="E4112" t="inlineStr">
        <is>
          <t>West</t>
        </is>
      </c>
      <c r="F4112" t="inlineStr">
        <is>
          <t>Organic Search</t>
        </is>
      </c>
      <c r="G4112" t="inlineStr">
        <is>
          <t>Desktop</t>
        </is>
      </c>
      <c r="H4112" t="inlineStr">
        <is>
          <t>Credit Card</t>
        </is>
      </c>
      <c r="I4112" t="inlineStr">
        <is>
          <t>Delivered</t>
        </is>
      </c>
      <c r="J4112" t="n">
        <v>107</v>
      </c>
      <c r="K4112" t="n">
        <v>1</v>
      </c>
      <c r="L4112" s="7" t="n">
        <v>1259</v>
      </c>
      <c r="M4112" s="7" t="n">
        <v>0</v>
      </c>
    </row>
    <row r="4113">
      <c r="A4113" t="n">
        <v>511626</v>
      </c>
      <c r="B4113" s="6" t="n">
        <v>46011</v>
      </c>
      <c r="C4113" t="n">
        <v>17848</v>
      </c>
      <c r="D4113" t="inlineStr">
        <is>
          <t>Mumbai</t>
        </is>
      </c>
      <c r="E4113" t="inlineStr">
        <is>
          <t>West</t>
        </is>
      </c>
      <c r="F4113" t="inlineStr">
        <is>
          <t>Organic Search</t>
        </is>
      </c>
      <c r="G4113" t="inlineStr">
        <is>
          <t>Desktop</t>
        </is>
      </c>
      <c r="H4113" t="inlineStr">
        <is>
          <t>Credit Card</t>
        </is>
      </c>
      <c r="I4113" t="inlineStr">
        <is>
          <t>Delivered</t>
        </is>
      </c>
      <c r="J4113" t="n">
        <v>144</v>
      </c>
      <c r="K4113" t="n">
        <v>1</v>
      </c>
      <c r="L4113" s="7" t="n">
        <v>3149</v>
      </c>
      <c r="M4113" s="7" t="n">
        <v>0</v>
      </c>
    </row>
    <row r="4114">
      <c r="A4114" t="n">
        <v>511627</v>
      </c>
      <c r="B4114" s="6" t="n">
        <v>46011</v>
      </c>
      <c r="C4114" t="n">
        <v>17746</v>
      </c>
      <c r="D4114" t="inlineStr">
        <is>
          <t>Kolkata</t>
        </is>
      </c>
      <c r="E4114" t="inlineStr">
        <is>
          <t>East</t>
        </is>
      </c>
      <c r="F4114" t="inlineStr">
        <is>
          <t>Organic Search</t>
        </is>
      </c>
      <c r="G4114" t="inlineStr">
        <is>
          <t>Mobile Web</t>
        </is>
      </c>
      <c r="H4114" t="inlineStr">
        <is>
          <t>Cash on Delivery</t>
        </is>
      </c>
      <c r="I4114" t="inlineStr">
        <is>
          <t>Delivered</t>
        </is>
      </c>
      <c r="J4114" t="n">
        <v>122</v>
      </c>
      <c r="K4114" t="n">
        <v>2</v>
      </c>
      <c r="L4114" s="7" t="n">
        <v>1994</v>
      </c>
      <c r="M4114" s="7" t="n">
        <v>598.2</v>
      </c>
    </row>
    <row r="4115">
      <c r="A4115" t="n">
        <v>511628</v>
      </c>
      <c r="B4115" s="6" t="n">
        <v>46011</v>
      </c>
      <c r="C4115" t="n">
        <v>17770</v>
      </c>
      <c r="D4115" t="inlineStr">
        <is>
          <t>Pune</t>
        </is>
      </c>
      <c r="E4115" t="inlineStr">
        <is>
          <t>West</t>
        </is>
      </c>
      <c r="F4115" t="inlineStr">
        <is>
          <t>Paid Search</t>
        </is>
      </c>
      <c r="G4115" t="inlineStr">
        <is>
          <t>Desktop</t>
        </is>
      </c>
      <c r="H4115" t="inlineStr">
        <is>
          <t>UPI</t>
        </is>
      </c>
      <c r="I4115" t="inlineStr">
        <is>
          <t>Delivered</t>
        </is>
      </c>
      <c r="J4115" t="n">
        <v>126</v>
      </c>
      <c r="K4115" t="n">
        <v>1</v>
      </c>
      <c r="L4115" s="7" t="n">
        <v>471</v>
      </c>
      <c r="M4115" s="7" t="n">
        <v>0</v>
      </c>
    </row>
    <row r="4116">
      <c r="A4116" t="n">
        <v>511628</v>
      </c>
      <c r="B4116" s="6" t="n">
        <v>46011</v>
      </c>
      <c r="C4116" t="n">
        <v>17770</v>
      </c>
      <c r="D4116" t="inlineStr">
        <is>
          <t>Pune</t>
        </is>
      </c>
      <c r="E4116" t="inlineStr">
        <is>
          <t>West</t>
        </is>
      </c>
      <c r="F4116" t="inlineStr">
        <is>
          <t>Paid Search</t>
        </is>
      </c>
      <c r="G4116" t="inlineStr">
        <is>
          <t>Desktop</t>
        </is>
      </c>
      <c r="H4116" t="inlineStr">
        <is>
          <t>UPI</t>
        </is>
      </c>
      <c r="I4116" t="inlineStr">
        <is>
          <t>Delivered</t>
        </is>
      </c>
      <c r="J4116" t="n">
        <v>143</v>
      </c>
      <c r="K4116" t="n">
        <v>2</v>
      </c>
      <c r="L4116" s="7" t="n">
        <v>839</v>
      </c>
      <c r="M4116" s="7" t="n">
        <v>0</v>
      </c>
    </row>
    <row r="4117">
      <c r="A4117" t="n">
        <v>511629</v>
      </c>
      <c r="B4117" s="6" t="n">
        <v>46011</v>
      </c>
      <c r="C4117" t="n">
        <v>17050</v>
      </c>
      <c r="D4117" t="inlineStr">
        <is>
          <t>Kochi</t>
        </is>
      </c>
      <c r="E4117" t="inlineStr">
        <is>
          <t>South</t>
        </is>
      </c>
      <c r="F4117" t="inlineStr">
        <is>
          <t>Referral</t>
        </is>
      </c>
      <c r="G4117" t="inlineStr">
        <is>
          <t>Mobile App</t>
        </is>
      </c>
      <c r="H4117" t="inlineStr">
        <is>
          <t>UPI</t>
        </is>
      </c>
      <c r="I4117" t="inlineStr">
        <is>
          <t>Delivered</t>
        </is>
      </c>
      <c r="J4117" t="n">
        <v>137</v>
      </c>
      <c r="K4117" t="n">
        <v>2</v>
      </c>
      <c r="L4117" s="7" t="n">
        <v>261</v>
      </c>
      <c r="M4117" s="7" t="n">
        <v>0</v>
      </c>
    </row>
    <row r="4118">
      <c r="A4118" t="n">
        <v>511630</v>
      </c>
      <c r="B4118" s="6" t="n">
        <v>46011</v>
      </c>
      <c r="C4118" t="n">
        <v>17752</v>
      </c>
      <c r="D4118" t="inlineStr">
        <is>
          <t>Chandigarh</t>
        </is>
      </c>
      <c r="E4118" t="inlineStr">
        <is>
          <t>North</t>
        </is>
      </c>
      <c r="F4118" t="inlineStr">
        <is>
          <t>Paid Social</t>
        </is>
      </c>
      <c r="G4118" t="inlineStr">
        <is>
          <t>Mobile Web</t>
        </is>
      </c>
      <c r="H4118" t="inlineStr">
        <is>
          <t>UPI</t>
        </is>
      </c>
      <c r="I4118" t="inlineStr">
        <is>
          <t>Delivered</t>
        </is>
      </c>
      <c r="J4118" t="n">
        <v>114</v>
      </c>
      <c r="K4118" t="n">
        <v>1</v>
      </c>
      <c r="L4118" s="7" t="n">
        <v>1259</v>
      </c>
      <c r="M4118" s="7" t="n">
        <v>188.85</v>
      </c>
    </row>
    <row r="4119">
      <c r="A4119" t="n">
        <v>511630</v>
      </c>
      <c r="B4119" s="6" t="n">
        <v>46011</v>
      </c>
      <c r="C4119" t="n">
        <v>17752</v>
      </c>
      <c r="D4119" t="inlineStr">
        <is>
          <t>Chandigarh</t>
        </is>
      </c>
      <c r="E4119" t="inlineStr">
        <is>
          <t>North</t>
        </is>
      </c>
      <c r="F4119" t="inlineStr">
        <is>
          <t>Paid Social</t>
        </is>
      </c>
      <c r="G4119" t="inlineStr">
        <is>
          <t>Mobile Web</t>
        </is>
      </c>
      <c r="H4119" t="inlineStr">
        <is>
          <t>UPI</t>
        </is>
      </c>
      <c r="I4119" t="inlineStr">
        <is>
          <t>Delivered</t>
        </is>
      </c>
      <c r="J4119" t="n">
        <v>133</v>
      </c>
      <c r="K4119" t="n">
        <v>1</v>
      </c>
      <c r="L4119" s="7" t="n">
        <v>419</v>
      </c>
      <c r="M4119" s="7" t="n">
        <v>62.85</v>
      </c>
    </row>
    <row r="4120">
      <c r="A4120" t="n">
        <v>511630</v>
      </c>
      <c r="B4120" s="6" t="n">
        <v>46011</v>
      </c>
      <c r="C4120" t="n">
        <v>17752</v>
      </c>
      <c r="D4120" t="inlineStr">
        <is>
          <t>Chandigarh</t>
        </is>
      </c>
      <c r="E4120" t="inlineStr">
        <is>
          <t>North</t>
        </is>
      </c>
      <c r="F4120" t="inlineStr">
        <is>
          <t>Paid Social</t>
        </is>
      </c>
      <c r="G4120" t="inlineStr">
        <is>
          <t>Mobile Web</t>
        </is>
      </c>
      <c r="H4120" t="inlineStr">
        <is>
          <t>UPI</t>
        </is>
      </c>
      <c r="I4120" t="inlineStr">
        <is>
          <t>Delivered</t>
        </is>
      </c>
      <c r="J4120" t="n">
        <v>124</v>
      </c>
      <c r="K4120" t="n">
        <v>1</v>
      </c>
      <c r="L4120" s="7" t="n">
        <v>1154</v>
      </c>
      <c r="M4120" s="7" t="n">
        <v>173.1</v>
      </c>
    </row>
    <row r="4121">
      <c r="A4121" t="n">
        <v>511631</v>
      </c>
      <c r="B4121" s="6" t="n">
        <v>46011</v>
      </c>
      <c r="C4121" t="n">
        <v>17787</v>
      </c>
      <c r="D4121" t="inlineStr">
        <is>
          <t>Delhi</t>
        </is>
      </c>
      <c r="E4121" t="inlineStr">
        <is>
          <t>North</t>
        </is>
      </c>
      <c r="F4121" t="inlineStr">
        <is>
          <t>Paid Search</t>
        </is>
      </c>
      <c r="G4121" t="inlineStr">
        <is>
          <t>Mobile App</t>
        </is>
      </c>
      <c r="H4121" t="inlineStr">
        <is>
          <t>Cash on Delivery</t>
        </is>
      </c>
      <c r="I4121" t="inlineStr">
        <is>
          <t>Delivered</t>
        </is>
      </c>
      <c r="J4121" t="n">
        <v>110</v>
      </c>
      <c r="K4121" t="n">
        <v>1</v>
      </c>
      <c r="L4121" s="7" t="n">
        <v>839</v>
      </c>
      <c r="M4121" s="7" t="n">
        <v>0</v>
      </c>
    </row>
    <row r="4122">
      <c r="A4122" t="n">
        <v>511631</v>
      </c>
      <c r="B4122" s="6" t="n">
        <v>46011</v>
      </c>
      <c r="C4122" t="n">
        <v>17787</v>
      </c>
      <c r="D4122" t="inlineStr">
        <is>
          <t>Delhi</t>
        </is>
      </c>
      <c r="E4122" t="inlineStr">
        <is>
          <t>North</t>
        </is>
      </c>
      <c r="F4122" t="inlineStr">
        <is>
          <t>Paid Search</t>
        </is>
      </c>
      <c r="G4122" t="inlineStr">
        <is>
          <t>Mobile App</t>
        </is>
      </c>
      <c r="H4122" t="inlineStr">
        <is>
          <t>Cash on Delivery</t>
        </is>
      </c>
      <c r="I4122" t="inlineStr">
        <is>
          <t>Delivered</t>
        </is>
      </c>
      <c r="J4122" t="n">
        <v>120</v>
      </c>
      <c r="K4122" t="n">
        <v>1</v>
      </c>
      <c r="L4122" s="7" t="n">
        <v>734</v>
      </c>
      <c r="M4122" s="7" t="n">
        <v>0</v>
      </c>
    </row>
    <row r="4123">
      <c r="A4123" t="n">
        <v>511632</v>
      </c>
      <c r="B4123" s="6" t="n">
        <v>46011</v>
      </c>
      <c r="C4123" t="n">
        <v>17587</v>
      </c>
      <c r="D4123" t="inlineStr">
        <is>
          <t>Chennai</t>
        </is>
      </c>
      <c r="E4123" t="inlineStr">
        <is>
          <t>South</t>
        </is>
      </c>
      <c r="F4123" t="inlineStr">
        <is>
          <t>Paid Social</t>
        </is>
      </c>
      <c r="G4123" t="inlineStr">
        <is>
          <t>Desktop</t>
        </is>
      </c>
      <c r="H4123" t="inlineStr">
        <is>
          <t>UPI</t>
        </is>
      </c>
      <c r="I4123" t="inlineStr">
        <is>
          <t>Delivered</t>
        </is>
      </c>
      <c r="J4123" t="n">
        <v>117</v>
      </c>
      <c r="K4123" t="n">
        <v>1</v>
      </c>
      <c r="L4123" s="7" t="n">
        <v>3149</v>
      </c>
      <c r="M4123" s="7" t="n">
        <v>0</v>
      </c>
    </row>
    <row r="4124">
      <c r="A4124" t="n">
        <v>511632</v>
      </c>
      <c r="B4124" s="6" t="n">
        <v>46011</v>
      </c>
      <c r="C4124" t="n">
        <v>17587</v>
      </c>
      <c r="D4124" t="inlineStr">
        <is>
          <t>Chennai</t>
        </is>
      </c>
      <c r="E4124" t="inlineStr">
        <is>
          <t>South</t>
        </is>
      </c>
      <c r="F4124" t="inlineStr">
        <is>
          <t>Paid Social</t>
        </is>
      </c>
      <c r="G4124" t="inlineStr">
        <is>
          <t>Desktop</t>
        </is>
      </c>
      <c r="H4124" t="inlineStr">
        <is>
          <t>UPI</t>
        </is>
      </c>
      <c r="I4124" t="inlineStr">
        <is>
          <t>Delivered</t>
        </is>
      </c>
      <c r="J4124" t="n">
        <v>119</v>
      </c>
      <c r="K4124" t="n">
        <v>1</v>
      </c>
      <c r="L4124" s="7" t="n">
        <v>2309</v>
      </c>
      <c r="M4124" s="7" t="n">
        <v>0</v>
      </c>
    </row>
    <row r="4125">
      <c r="A4125" t="n">
        <v>511632</v>
      </c>
      <c r="B4125" s="6" t="n">
        <v>46011</v>
      </c>
      <c r="C4125" t="n">
        <v>17587</v>
      </c>
      <c r="D4125" t="inlineStr">
        <is>
          <t>Chennai</t>
        </is>
      </c>
      <c r="E4125" t="inlineStr">
        <is>
          <t>South</t>
        </is>
      </c>
      <c r="F4125" t="inlineStr">
        <is>
          <t>Paid Social</t>
        </is>
      </c>
      <c r="G4125" t="inlineStr">
        <is>
          <t>Desktop</t>
        </is>
      </c>
      <c r="H4125" t="inlineStr">
        <is>
          <t>UPI</t>
        </is>
      </c>
      <c r="I4125" t="inlineStr">
        <is>
          <t>Delivered</t>
        </is>
      </c>
      <c r="J4125" t="n">
        <v>116</v>
      </c>
      <c r="K4125" t="n">
        <v>1</v>
      </c>
      <c r="L4125" s="7" t="n">
        <v>2624</v>
      </c>
      <c r="M4125" s="7" t="n">
        <v>0</v>
      </c>
    </row>
    <row r="4126">
      <c r="A4126" t="n">
        <v>511633</v>
      </c>
      <c r="B4126" s="6" t="n">
        <v>46012</v>
      </c>
      <c r="C4126" t="n">
        <v>17837</v>
      </c>
      <c r="D4126" t="inlineStr">
        <is>
          <t>Kochi</t>
        </is>
      </c>
      <c r="E4126" t="inlineStr">
        <is>
          <t>South</t>
        </is>
      </c>
      <c r="F4126" t="inlineStr">
        <is>
          <t>Paid Search</t>
        </is>
      </c>
      <c r="G4126" t="inlineStr">
        <is>
          <t>Mobile Web</t>
        </is>
      </c>
      <c r="H4126" t="inlineStr">
        <is>
          <t>Debit Card</t>
        </is>
      </c>
      <c r="I4126" t="inlineStr">
        <is>
          <t>Delivered</t>
        </is>
      </c>
      <c r="J4126" t="n">
        <v>120</v>
      </c>
      <c r="K4126" t="n">
        <v>1</v>
      </c>
      <c r="L4126" s="7" t="n">
        <v>734</v>
      </c>
      <c r="M4126" s="7" t="n">
        <v>110.1</v>
      </c>
    </row>
    <row r="4127">
      <c r="A4127" t="n">
        <v>511633</v>
      </c>
      <c r="B4127" s="6" t="n">
        <v>46012</v>
      </c>
      <c r="C4127" t="n">
        <v>17837</v>
      </c>
      <c r="D4127" t="inlineStr">
        <is>
          <t>Kochi</t>
        </is>
      </c>
      <c r="E4127" t="inlineStr">
        <is>
          <t>South</t>
        </is>
      </c>
      <c r="F4127" t="inlineStr">
        <is>
          <t>Paid Search</t>
        </is>
      </c>
      <c r="G4127" t="inlineStr">
        <is>
          <t>Mobile Web</t>
        </is>
      </c>
      <c r="H4127" t="inlineStr">
        <is>
          <t>Debit Card</t>
        </is>
      </c>
      <c r="I4127" t="inlineStr">
        <is>
          <t>Delivered</t>
        </is>
      </c>
      <c r="J4127" t="n">
        <v>118</v>
      </c>
      <c r="K4127" t="n">
        <v>2</v>
      </c>
      <c r="L4127" s="7" t="n">
        <v>944</v>
      </c>
      <c r="M4127" s="7" t="n">
        <v>283.2</v>
      </c>
    </row>
    <row r="4128">
      <c r="A4128" t="n">
        <v>511633</v>
      </c>
      <c r="B4128" s="6" t="n">
        <v>46012</v>
      </c>
      <c r="C4128" t="n">
        <v>17837</v>
      </c>
      <c r="D4128" t="inlineStr">
        <is>
          <t>Kochi</t>
        </is>
      </c>
      <c r="E4128" t="inlineStr">
        <is>
          <t>South</t>
        </is>
      </c>
      <c r="F4128" t="inlineStr">
        <is>
          <t>Paid Search</t>
        </is>
      </c>
      <c r="G4128" t="inlineStr">
        <is>
          <t>Mobile Web</t>
        </is>
      </c>
      <c r="H4128" t="inlineStr">
        <is>
          <t>Debit Card</t>
        </is>
      </c>
      <c r="I4128" t="inlineStr">
        <is>
          <t>Delivered</t>
        </is>
      </c>
      <c r="J4128" t="n">
        <v>109</v>
      </c>
      <c r="K4128" t="n">
        <v>2</v>
      </c>
      <c r="L4128" s="7" t="n">
        <v>4199</v>
      </c>
      <c r="M4128" s="7" t="n">
        <v>1259.7</v>
      </c>
    </row>
    <row r="4129">
      <c r="A4129" t="n">
        <v>511634</v>
      </c>
      <c r="B4129" s="6" t="n">
        <v>46012</v>
      </c>
      <c r="C4129" t="n">
        <v>17856</v>
      </c>
      <c r="D4129" t="inlineStr">
        <is>
          <t>Bengaluru</t>
        </is>
      </c>
      <c r="E4129" t="inlineStr">
        <is>
          <t>South</t>
        </is>
      </c>
      <c r="F4129" t="inlineStr">
        <is>
          <t>Paid Search</t>
        </is>
      </c>
      <c r="G4129" t="inlineStr">
        <is>
          <t>Mobile Web</t>
        </is>
      </c>
      <c r="H4129" t="inlineStr">
        <is>
          <t>UPI</t>
        </is>
      </c>
      <c r="I4129" t="inlineStr">
        <is>
          <t>Delivered</t>
        </is>
      </c>
      <c r="J4129" t="n">
        <v>141</v>
      </c>
      <c r="K4129" t="n">
        <v>1</v>
      </c>
      <c r="L4129" s="7" t="n">
        <v>261</v>
      </c>
      <c r="M4129" s="7" t="n">
        <v>13.05</v>
      </c>
    </row>
    <row r="4130">
      <c r="A4130" t="n">
        <v>511634</v>
      </c>
      <c r="B4130" s="6" t="n">
        <v>46012</v>
      </c>
      <c r="C4130" t="n">
        <v>17856</v>
      </c>
      <c r="D4130" t="inlineStr">
        <is>
          <t>Bengaluru</t>
        </is>
      </c>
      <c r="E4130" t="inlineStr">
        <is>
          <t>South</t>
        </is>
      </c>
      <c r="F4130" t="inlineStr">
        <is>
          <t>Paid Search</t>
        </is>
      </c>
      <c r="G4130" t="inlineStr">
        <is>
          <t>Mobile Web</t>
        </is>
      </c>
      <c r="H4130" t="inlineStr">
        <is>
          <t>UPI</t>
        </is>
      </c>
      <c r="I4130" t="inlineStr">
        <is>
          <t>Delivered</t>
        </is>
      </c>
      <c r="J4130" t="n">
        <v>127</v>
      </c>
      <c r="K4130" t="n">
        <v>1</v>
      </c>
      <c r="L4130" s="7" t="n">
        <v>681</v>
      </c>
      <c r="M4130" s="7" t="n">
        <v>34.05</v>
      </c>
    </row>
    <row r="4131">
      <c r="A4131" t="n">
        <v>511635</v>
      </c>
      <c r="B4131" s="6" t="n">
        <v>46012</v>
      </c>
      <c r="C4131" t="n">
        <v>15679</v>
      </c>
      <c r="D4131" t="inlineStr">
        <is>
          <t>Indore</t>
        </is>
      </c>
      <c r="E4131" t="inlineStr">
        <is>
          <t>West</t>
        </is>
      </c>
      <c r="F4131" t="inlineStr">
        <is>
          <t>Paid Search</t>
        </is>
      </c>
      <c r="G4131" t="inlineStr">
        <is>
          <t>Desktop</t>
        </is>
      </c>
      <c r="H4131" t="inlineStr">
        <is>
          <t>Credit Card</t>
        </is>
      </c>
      <c r="I4131" t="inlineStr">
        <is>
          <t>Delivered</t>
        </is>
      </c>
      <c r="J4131" t="n">
        <v>109</v>
      </c>
      <c r="K4131" t="n">
        <v>1</v>
      </c>
      <c r="L4131" s="7" t="n">
        <v>4199</v>
      </c>
      <c r="M4131" s="7" t="n">
        <v>209.95</v>
      </c>
    </row>
    <row r="4132">
      <c r="A4132" t="n">
        <v>511636</v>
      </c>
      <c r="B4132" s="6" t="n">
        <v>46012</v>
      </c>
      <c r="C4132" t="n">
        <v>17757</v>
      </c>
      <c r="D4132" t="inlineStr">
        <is>
          <t>Mumbai</t>
        </is>
      </c>
      <c r="E4132" t="inlineStr">
        <is>
          <t>West</t>
        </is>
      </c>
      <c r="F4132" t="inlineStr">
        <is>
          <t>Organic Search</t>
        </is>
      </c>
      <c r="G4132" t="inlineStr">
        <is>
          <t>Desktop</t>
        </is>
      </c>
      <c r="H4132" t="inlineStr">
        <is>
          <t>Credit Card</t>
        </is>
      </c>
      <c r="I4132" t="inlineStr">
        <is>
          <t>Delivered</t>
        </is>
      </c>
      <c r="J4132" t="n">
        <v>146</v>
      </c>
      <c r="K4132" t="n">
        <v>1</v>
      </c>
      <c r="L4132" s="7" t="n">
        <v>4724</v>
      </c>
      <c r="M4132" s="7" t="n">
        <v>708.6</v>
      </c>
    </row>
    <row r="4133">
      <c r="A4133" t="n">
        <v>511637</v>
      </c>
      <c r="B4133" s="6" t="n">
        <v>46012</v>
      </c>
      <c r="C4133" t="n">
        <v>17858</v>
      </c>
      <c r="D4133" t="inlineStr">
        <is>
          <t>Kolkata</t>
        </is>
      </c>
      <c r="E4133" t="inlineStr">
        <is>
          <t>East</t>
        </is>
      </c>
      <c r="F4133" t="inlineStr">
        <is>
          <t>Referral</t>
        </is>
      </c>
      <c r="G4133" t="inlineStr">
        <is>
          <t>Mobile App</t>
        </is>
      </c>
      <c r="H4133" t="inlineStr">
        <is>
          <t>UPI</t>
        </is>
      </c>
      <c r="I4133" t="inlineStr">
        <is>
          <t>Delivered</t>
        </is>
      </c>
      <c r="J4133" t="n">
        <v>107</v>
      </c>
      <c r="K4133" t="n">
        <v>2</v>
      </c>
      <c r="L4133" s="7" t="n">
        <v>1259</v>
      </c>
      <c r="M4133" s="7" t="n">
        <v>0</v>
      </c>
    </row>
    <row r="4134">
      <c r="A4134" t="n">
        <v>511637</v>
      </c>
      <c r="B4134" s="6" t="n">
        <v>46012</v>
      </c>
      <c r="C4134" t="n">
        <v>17858</v>
      </c>
      <c r="D4134" t="inlineStr">
        <is>
          <t>Kolkata</t>
        </is>
      </c>
      <c r="E4134" t="inlineStr">
        <is>
          <t>East</t>
        </is>
      </c>
      <c r="F4134" t="inlineStr">
        <is>
          <t>Referral</t>
        </is>
      </c>
      <c r="G4134" t="inlineStr">
        <is>
          <t>Mobile App</t>
        </is>
      </c>
      <c r="H4134" t="inlineStr">
        <is>
          <t>UPI</t>
        </is>
      </c>
      <c r="I4134" t="inlineStr">
        <is>
          <t>Delivered</t>
        </is>
      </c>
      <c r="J4134" t="n">
        <v>111</v>
      </c>
      <c r="K4134" t="n">
        <v>1</v>
      </c>
      <c r="L4134" s="7" t="n">
        <v>524</v>
      </c>
      <c r="M4134" s="7" t="n">
        <v>0</v>
      </c>
    </row>
    <row r="4135">
      <c r="A4135" t="n">
        <v>511638</v>
      </c>
      <c r="B4135" s="6" t="n">
        <v>46012</v>
      </c>
      <c r="C4135" t="n">
        <v>16662</v>
      </c>
      <c r="D4135" t="inlineStr">
        <is>
          <t>Pune</t>
        </is>
      </c>
      <c r="E4135" t="inlineStr">
        <is>
          <t>West</t>
        </is>
      </c>
      <c r="F4135" t="inlineStr">
        <is>
          <t>Referral</t>
        </is>
      </c>
      <c r="G4135" t="inlineStr">
        <is>
          <t>Desktop</t>
        </is>
      </c>
      <c r="H4135" t="inlineStr">
        <is>
          <t>Debit Card</t>
        </is>
      </c>
      <c r="I4135" t="inlineStr">
        <is>
          <t>Delivered</t>
        </is>
      </c>
      <c r="J4135" t="n">
        <v>136</v>
      </c>
      <c r="K4135" t="n">
        <v>1</v>
      </c>
      <c r="L4135" s="7" t="n">
        <v>944</v>
      </c>
      <c r="M4135" s="7" t="n">
        <v>0</v>
      </c>
    </row>
    <row r="4136">
      <c r="A4136" t="n">
        <v>511639</v>
      </c>
      <c r="B4136" s="6" t="n">
        <v>46012</v>
      </c>
      <c r="C4136" t="n">
        <v>13854</v>
      </c>
      <c r="D4136" t="inlineStr">
        <is>
          <t>Lucknow</t>
        </is>
      </c>
      <c r="E4136" t="inlineStr">
        <is>
          <t>North</t>
        </is>
      </c>
      <c r="F4136" t="inlineStr">
        <is>
          <t>Referral</t>
        </is>
      </c>
      <c r="G4136" t="inlineStr">
        <is>
          <t>Desktop</t>
        </is>
      </c>
      <c r="H4136" t="inlineStr">
        <is>
          <t>UPI</t>
        </is>
      </c>
      <c r="I4136" t="inlineStr">
        <is>
          <t>Delivered</t>
        </is>
      </c>
      <c r="J4136" t="n">
        <v>141</v>
      </c>
      <c r="K4136" t="n">
        <v>1</v>
      </c>
      <c r="L4136" s="7" t="n">
        <v>261</v>
      </c>
      <c r="M4136" s="7" t="n">
        <v>0</v>
      </c>
    </row>
    <row r="4137">
      <c r="A4137" t="n">
        <v>511640</v>
      </c>
      <c r="B4137" s="6" t="n">
        <v>46012</v>
      </c>
      <c r="C4137" t="n">
        <v>16172</v>
      </c>
      <c r="D4137" t="inlineStr">
        <is>
          <t>Hyderabad</t>
        </is>
      </c>
      <c r="E4137" t="inlineStr">
        <is>
          <t>South</t>
        </is>
      </c>
      <c r="F4137" t="inlineStr">
        <is>
          <t>Organic Search</t>
        </is>
      </c>
      <c r="G4137" t="inlineStr">
        <is>
          <t>Mobile App</t>
        </is>
      </c>
      <c r="H4137" t="inlineStr">
        <is>
          <t>UPI</t>
        </is>
      </c>
      <c r="I4137" t="inlineStr">
        <is>
          <t>Delivered</t>
        </is>
      </c>
      <c r="J4137" t="n">
        <v>134</v>
      </c>
      <c r="K4137" t="n">
        <v>2</v>
      </c>
      <c r="L4137" s="7" t="n">
        <v>209</v>
      </c>
      <c r="M4137" s="7" t="n">
        <v>0</v>
      </c>
    </row>
    <row r="4138">
      <c r="A4138" t="n">
        <v>511640</v>
      </c>
      <c r="B4138" s="6" t="n">
        <v>46012</v>
      </c>
      <c r="C4138" t="n">
        <v>16172</v>
      </c>
      <c r="D4138" t="inlineStr">
        <is>
          <t>Hyderabad</t>
        </is>
      </c>
      <c r="E4138" t="inlineStr">
        <is>
          <t>South</t>
        </is>
      </c>
      <c r="F4138" t="inlineStr">
        <is>
          <t>Organic Search</t>
        </is>
      </c>
      <c r="G4138" t="inlineStr">
        <is>
          <t>Mobile App</t>
        </is>
      </c>
      <c r="H4138" t="inlineStr">
        <is>
          <t>UPI</t>
        </is>
      </c>
      <c r="I4138" t="inlineStr">
        <is>
          <t>Delivered</t>
        </is>
      </c>
      <c r="J4138" t="n">
        <v>111</v>
      </c>
      <c r="K4138" t="n">
        <v>1</v>
      </c>
      <c r="L4138" s="7" t="n">
        <v>524</v>
      </c>
      <c r="M4138" s="7" t="n">
        <v>0</v>
      </c>
    </row>
    <row r="4139">
      <c r="A4139" t="n">
        <v>511640</v>
      </c>
      <c r="B4139" s="6" t="n">
        <v>46012</v>
      </c>
      <c r="C4139" t="n">
        <v>16172</v>
      </c>
      <c r="D4139" t="inlineStr">
        <is>
          <t>Hyderabad</t>
        </is>
      </c>
      <c r="E4139" t="inlineStr">
        <is>
          <t>South</t>
        </is>
      </c>
      <c r="F4139" t="inlineStr">
        <is>
          <t>Organic Search</t>
        </is>
      </c>
      <c r="G4139" t="inlineStr">
        <is>
          <t>Mobile App</t>
        </is>
      </c>
      <c r="H4139" t="inlineStr">
        <is>
          <t>UPI</t>
        </is>
      </c>
      <c r="I4139" t="inlineStr">
        <is>
          <t>Delivered</t>
        </is>
      </c>
      <c r="J4139" t="n">
        <v>114</v>
      </c>
      <c r="K4139" t="n">
        <v>1</v>
      </c>
      <c r="L4139" s="7" t="n">
        <v>1259</v>
      </c>
      <c r="M4139" s="7" t="n">
        <v>0</v>
      </c>
    </row>
    <row r="4140">
      <c r="A4140" t="n">
        <v>511641</v>
      </c>
      <c r="B4140" s="6" t="n">
        <v>46012</v>
      </c>
      <c r="C4140" t="n">
        <v>16062</v>
      </c>
      <c r="D4140" t="inlineStr">
        <is>
          <t>Pune</t>
        </is>
      </c>
      <c r="E4140" t="inlineStr">
        <is>
          <t>West</t>
        </is>
      </c>
      <c r="F4140" t="inlineStr">
        <is>
          <t>Organic Search</t>
        </is>
      </c>
      <c r="G4140" t="inlineStr">
        <is>
          <t>Mobile App</t>
        </is>
      </c>
      <c r="H4140" t="inlineStr">
        <is>
          <t>Credit Card</t>
        </is>
      </c>
      <c r="I4140" t="inlineStr">
        <is>
          <t>Delivered</t>
        </is>
      </c>
      <c r="J4140" t="n">
        <v>103</v>
      </c>
      <c r="K4140" t="n">
        <v>1</v>
      </c>
      <c r="L4140" s="7" t="n">
        <v>2624</v>
      </c>
      <c r="M4140" s="7" t="n">
        <v>0</v>
      </c>
    </row>
    <row r="4141">
      <c r="A4141" t="n">
        <v>511642</v>
      </c>
      <c r="B4141" s="6" t="n">
        <v>46012</v>
      </c>
      <c r="C4141" t="n">
        <v>17867</v>
      </c>
      <c r="D4141" t="inlineStr">
        <is>
          <t>Delhi</t>
        </is>
      </c>
      <c r="E4141" t="inlineStr">
        <is>
          <t>North</t>
        </is>
      </c>
      <c r="F4141" t="inlineStr">
        <is>
          <t>Affiliate</t>
        </is>
      </c>
      <c r="G4141" t="inlineStr">
        <is>
          <t>Mobile App</t>
        </is>
      </c>
      <c r="H4141" t="inlineStr">
        <is>
          <t>Debit Card</t>
        </is>
      </c>
      <c r="I4141" t="inlineStr">
        <is>
          <t>Delivered</t>
        </is>
      </c>
      <c r="J4141" t="n">
        <v>114</v>
      </c>
      <c r="K4141" t="n">
        <v>1</v>
      </c>
      <c r="L4141" s="7" t="n">
        <v>1259</v>
      </c>
      <c r="M4141" s="7" t="n">
        <v>0</v>
      </c>
    </row>
    <row r="4142">
      <c r="A4142" t="n">
        <v>511643</v>
      </c>
      <c r="B4142" s="6" t="n">
        <v>46012</v>
      </c>
      <c r="C4142" t="n">
        <v>17854</v>
      </c>
      <c r="D4142" t="inlineStr">
        <is>
          <t>Mumbai</t>
        </is>
      </c>
      <c r="E4142" t="inlineStr">
        <is>
          <t>West</t>
        </is>
      </c>
      <c r="F4142" t="inlineStr">
        <is>
          <t>Organic Search</t>
        </is>
      </c>
      <c r="G4142" t="inlineStr">
        <is>
          <t>Desktop</t>
        </is>
      </c>
      <c r="H4142" t="inlineStr">
        <is>
          <t>UPI</t>
        </is>
      </c>
      <c r="I4142" t="inlineStr">
        <is>
          <t>Delivered</t>
        </is>
      </c>
      <c r="J4142" t="n">
        <v>118</v>
      </c>
      <c r="K4142" t="n">
        <v>1</v>
      </c>
      <c r="L4142" s="7" t="n">
        <v>944</v>
      </c>
      <c r="M4142" s="7" t="n">
        <v>0</v>
      </c>
    </row>
    <row r="4143">
      <c r="A4143" t="n">
        <v>511643</v>
      </c>
      <c r="B4143" s="6" t="n">
        <v>46012</v>
      </c>
      <c r="C4143" t="n">
        <v>17854</v>
      </c>
      <c r="D4143" t="inlineStr">
        <is>
          <t>Mumbai</t>
        </is>
      </c>
      <c r="E4143" t="inlineStr">
        <is>
          <t>West</t>
        </is>
      </c>
      <c r="F4143" t="inlineStr">
        <is>
          <t>Organic Search</t>
        </is>
      </c>
      <c r="G4143" t="inlineStr">
        <is>
          <t>Desktop</t>
        </is>
      </c>
      <c r="H4143" t="inlineStr">
        <is>
          <t>UPI</t>
        </is>
      </c>
      <c r="I4143" t="inlineStr">
        <is>
          <t>Delivered</t>
        </is>
      </c>
      <c r="J4143" t="n">
        <v>114</v>
      </c>
      <c r="K4143" t="n">
        <v>1</v>
      </c>
      <c r="L4143" s="7" t="n">
        <v>1259</v>
      </c>
      <c r="M4143" s="7" t="n">
        <v>0</v>
      </c>
    </row>
    <row r="4144">
      <c r="A4144" t="n">
        <v>511644</v>
      </c>
      <c r="B4144" s="6" t="n">
        <v>46012</v>
      </c>
      <c r="C4144" t="n">
        <v>17174</v>
      </c>
      <c r="D4144" t="inlineStr">
        <is>
          <t>Chandigarh</t>
        </is>
      </c>
      <c r="E4144" t="inlineStr">
        <is>
          <t>North</t>
        </is>
      </c>
      <c r="F4144" t="inlineStr">
        <is>
          <t>Organic Search</t>
        </is>
      </c>
      <c r="G4144" t="inlineStr">
        <is>
          <t>Mobile App</t>
        </is>
      </c>
      <c r="H4144" t="inlineStr">
        <is>
          <t>Debit Card</t>
        </is>
      </c>
      <c r="I4144" t="inlineStr">
        <is>
          <t>Delivered</t>
        </is>
      </c>
      <c r="J4144" t="n">
        <v>148</v>
      </c>
      <c r="K4144" t="n">
        <v>1</v>
      </c>
      <c r="L4144" s="7" t="n">
        <v>734</v>
      </c>
      <c r="M4144" s="7" t="n">
        <v>0</v>
      </c>
    </row>
    <row r="4145">
      <c r="A4145" t="n">
        <v>511644</v>
      </c>
      <c r="B4145" s="6" t="n">
        <v>46012</v>
      </c>
      <c r="C4145" t="n">
        <v>17174</v>
      </c>
      <c r="D4145" t="inlineStr">
        <is>
          <t>Chandigarh</t>
        </is>
      </c>
      <c r="E4145" t="inlineStr">
        <is>
          <t>North</t>
        </is>
      </c>
      <c r="F4145" t="inlineStr">
        <is>
          <t>Organic Search</t>
        </is>
      </c>
      <c r="G4145" t="inlineStr">
        <is>
          <t>Mobile App</t>
        </is>
      </c>
      <c r="H4145" t="inlineStr">
        <is>
          <t>Debit Card</t>
        </is>
      </c>
      <c r="I4145" t="inlineStr">
        <is>
          <t>Delivered</t>
        </is>
      </c>
      <c r="J4145" t="n">
        <v>145</v>
      </c>
      <c r="K4145" t="n">
        <v>1</v>
      </c>
      <c r="L4145" s="7" t="n">
        <v>629</v>
      </c>
      <c r="M4145" s="7" t="n">
        <v>0</v>
      </c>
    </row>
    <row r="4146">
      <c r="A4146" t="n">
        <v>511645</v>
      </c>
      <c r="B4146" s="6" t="n">
        <v>46012</v>
      </c>
      <c r="C4146" t="n">
        <v>17734</v>
      </c>
      <c r="D4146" t="inlineStr">
        <is>
          <t>Kolkata</t>
        </is>
      </c>
      <c r="E4146" t="inlineStr">
        <is>
          <t>East</t>
        </is>
      </c>
      <c r="F4146" t="inlineStr">
        <is>
          <t>Email</t>
        </is>
      </c>
      <c r="G4146" t="inlineStr">
        <is>
          <t>Mobile Web</t>
        </is>
      </c>
      <c r="H4146" t="inlineStr">
        <is>
          <t>Credit Card</t>
        </is>
      </c>
      <c r="I4146" t="inlineStr">
        <is>
          <t>Returned</t>
        </is>
      </c>
      <c r="J4146" t="n">
        <v>117</v>
      </c>
      <c r="K4146" t="n">
        <v>1</v>
      </c>
      <c r="L4146" s="7" t="n">
        <v>3149</v>
      </c>
      <c r="M4146" s="7" t="n">
        <v>0</v>
      </c>
    </row>
    <row r="4147">
      <c r="A4147" t="n">
        <v>511646</v>
      </c>
      <c r="B4147" s="6" t="n">
        <v>46012</v>
      </c>
      <c r="C4147" t="n">
        <v>17821</v>
      </c>
      <c r="D4147" t="inlineStr">
        <is>
          <t>Pune</t>
        </is>
      </c>
      <c r="E4147" t="inlineStr">
        <is>
          <t>West</t>
        </is>
      </c>
      <c r="F4147" t="inlineStr">
        <is>
          <t>Email</t>
        </is>
      </c>
      <c r="G4147" t="inlineStr">
        <is>
          <t>Mobile App</t>
        </is>
      </c>
      <c r="H4147" t="inlineStr">
        <is>
          <t>Credit Card</t>
        </is>
      </c>
      <c r="I4147" t="inlineStr">
        <is>
          <t>Delivered</t>
        </is>
      </c>
      <c r="J4147" t="n">
        <v>122</v>
      </c>
      <c r="K4147" t="n">
        <v>3</v>
      </c>
      <c r="L4147" s="7" t="n">
        <v>1994</v>
      </c>
      <c r="M4147" s="7" t="n">
        <v>0</v>
      </c>
    </row>
    <row r="4148">
      <c r="A4148" t="n">
        <v>511647</v>
      </c>
      <c r="B4148" s="6" t="n">
        <v>46012</v>
      </c>
      <c r="C4148" t="n">
        <v>14927</v>
      </c>
      <c r="D4148" t="inlineStr">
        <is>
          <t>Delhi</t>
        </is>
      </c>
      <c r="E4148" t="inlineStr">
        <is>
          <t>North</t>
        </is>
      </c>
      <c r="F4148" t="inlineStr">
        <is>
          <t>Referral</t>
        </is>
      </c>
      <c r="G4148" t="inlineStr">
        <is>
          <t>Mobile Web</t>
        </is>
      </c>
      <c r="H4148" t="inlineStr">
        <is>
          <t>Cash on Delivery</t>
        </is>
      </c>
      <c r="I4148" t="inlineStr">
        <is>
          <t>Delivered</t>
        </is>
      </c>
      <c r="J4148" t="n">
        <v>116</v>
      </c>
      <c r="K4148" t="n">
        <v>1</v>
      </c>
      <c r="L4148" s="7" t="n">
        <v>2624</v>
      </c>
      <c r="M4148" s="7" t="n">
        <v>0</v>
      </c>
    </row>
    <row r="4149">
      <c r="A4149" t="n">
        <v>511647</v>
      </c>
      <c r="B4149" s="6" t="n">
        <v>46012</v>
      </c>
      <c r="C4149" t="n">
        <v>14927</v>
      </c>
      <c r="D4149" t="inlineStr">
        <is>
          <t>Delhi</t>
        </is>
      </c>
      <c r="E4149" t="inlineStr">
        <is>
          <t>North</t>
        </is>
      </c>
      <c r="F4149" t="inlineStr">
        <is>
          <t>Referral</t>
        </is>
      </c>
      <c r="G4149" t="inlineStr">
        <is>
          <t>Mobile Web</t>
        </is>
      </c>
      <c r="H4149" t="inlineStr">
        <is>
          <t>Cash on Delivery</t>
        </is>
      </c>
      <c r="I4149" t="inlineStr">
        <is>
          <t>Delivered</t>
        </is>
      </c>
      <c r="J4149" t="n">
        <v>120</v>
      </c>
      <c r="K4149" t="n">
        <v>2</v>
      </c>
      <c r="L4149" s="7" t="n">
        <v>734</v>
      </c>
      <c r="M4149" s="7" t="n">
        <v>0</v>
      </c>
    </row>
    <row r="4150">
      <c r="A4150" t="n">
        <v>511647</v>
      </c>
      <c r="B4150" s="6" t="n">
        <v>46012</v>
      </c>
      <c r="C4150" t="n">
        <v>14927</v>
      </c>
      <c r="D4150" t="inlineStr">
        <is>
          <t>Delhi</t>
        </is>
      </c>
      <c r="E4150" t="inlineStr">
        <is>
          <t>North</t>
        </is>
      </c>
      <c r="F4150" t="inlineStr">
        <is>
          <t>Referral</t>
        </is>
      </c>
      <c r="G4150" t="inlineStr">
        <is>
          <t>Mobile Web</t>
        </is>
      </c>
      <c r="H4150" t="inlineStr">
        <is>
          <t>Cash on Delivery</t>
        </is>
      </c>
      <c r="I4150" t="inlineStr">
        <is>
          <t>Delivered</t>
        </is>
      </c>
      <c r="J4150" t="n">
        <v>113</v>
      </c>
      <c r="K4150" t="n">
        <v>3</v>
      </c>
      <c r="L4150" s="7" t="n">
        <v>1364</v>
      </c>
      <c r="M4150" s="7" t="n">
        <v>0</v>
      </c>
    </row>
    <row r="4151">
      <c r="A4151" t="n">
        <v>511648</v>
      </c>
      <c r="B4151" s="6" t="n">
        <v>46012</v>
      </c>
      <c r="C4151" t="n">
        <v>17826</v>
      </c>
      <c r="D4151" t="inlineStr">
        <is>
          <t>Chennai</t>
        </is>
      </c>
      <c r="E4151" t="inlineStr">
        <is>
          <t>South</t>
        </is>
      </c>
      <c r="F4151" t="inlineStr">
        <is>
          <t>Organic Search</t>
        </is>
      </c>
      <c r="G4151" t="inlineStr">
        <is>
          <t>Mobile Web</t>
        </is>
      </c>
      <c r="H4151" t="inlineStr">
        <is>
          <t>Cash on Delivery</t>
        </is>
      </c>
      <c r="I4151" t="inlineStr">
        <is>
          <t>Cancelled</t>
        </is>
      </c>
      <c r="J4151" t="n">
        <v>118</v>
      </c>
      <c r="K4151" t="n">
        <v>1</v>
      </c>
      <c r="L4151" s="7" t="n">
        <v>944</v>
      </c>
      <c r="M4151" s="7" t="n">
        <v>0</v>
      </c>
    </row>
    <row r="4152">
      <c r="A4152" t="n">
        <v>511649</v>
      </c>
      <c r="B4152" s="6" t="n">
        <v>46012</v>
      </c>
      <c r="C4152" t="n">
        <v>17525</v>
      </c>
      <c r="D4152" t="inlineStr">
        <is>
          <t>Hyderabad</t>
        </is>
      </c>
      <c r="E4152" t="inlineStr">
        <is>
          <t>South</t>
        </is>
      </c>
      <c r="F4152" t="inlineStr">
        <is>
          <t>Email</t>
        </is>
      </c>
      <c r="G4152" t="inlineStr">
        <is>
          <t>Mobile App</t>
        </is>
      </c>
      <c r="H4152" t="inlineStr">
        <is>
          <t>UPI</t>
        </is>
      </c>
      <c r="I4152" t="inlineStr">
        <is>
          <t>Delivered</t>
        </is>
      </c>
      <c r="J4152" t="n">
        <v>125</v>
      </c>
      <c r="K4152" t="n">
        <v>1</v>
      </c>
      <c r="L4152" s="7" t="n">
        <v>1364</v>
      </c>
      <c r="M4152" s="7" t="n">
        <v>0</v>
      </c>
    </row>
    <row r="4153">
      <c r="A4153" t="n">
        <v>511650</v>
      </c>
      <c r="B4153" s="6" t="n">
        <v>46012</v>
      </c>
      <c r="C4153" t="n">
        <v>17748</v>
      </c>
      <c r="D4153" t="inlineStr">
        <is>
          <t>Ahmedabad</t>
        </is>
      </c>
      <c r="E4153" t="inlineStr">
        <is>
          <t>West</t>
        </is>
      </c>
      <c r="F4153" t="inlineStr">
        <is>
          <t>Organic Search</t>
        </is>
      </c>
      <c r="G4153" t="inlineStr">
        <is>
          <t>Mobile App</t>
        </is>
      </c>
      <c r="H4153" t="inlineStr">
        <is>
          <t>Debit Card</t>
        </is>
      </c>
      <c r="I4153" t="inlineStr">
        <is>
          <t>Delivered</t>
        </is>
      </c>
      <c r="J4153" t="n">
        <v>101</v>
      </c>
      <c r="K4153" t="n">
        <v>1</v>
      </c>
      <c r="L4153" s="7" t="n">
        <v>2099</v>
      </c>
      <c r="M4153" s="7" t="n">
        <v>0</v>
      </c>
    </row>
    <row r="4154">
      <c r="A4154" t="n">
        <v>511651</v>
      </c>
      <c r="B4154" s="6" t="n">
        <v>46012</v>
      </c>
      <c r="C4154" t="n">
        <v>17846</v>
      </c>
      <c r="D4154" t="inlineStr">
        <is>
          <t>Hyderabad</t>
        </is>
      </c>
      <c r="E4154" t="inlineStr">
        <is>
          <t>South</t>
        </is>
      </c>
      <c r="F4154" t="inlineStr">
        <is>
          <t>Paid Search</t>
        </is>
      </c>
      <c r="G4154" t="inlineStr">
        <is>
          <t>Mobile App</t>
        </is>
      </c>
      <c r="H4154" t="inlineStr">
        <is>
          <t>Debit Card</t>
        </is>
      </c>
      <c r="I4154" t="inlineStr">
        <is>
          <t>Returned</t>
        </is>
      </c>
      <c r="J4154" t="n">
        <v>123</v>
      </c>
      <c r="K4154" t="n">
        <v>1</v>
      </c>
      <c r="L4154" s="7" t="n">
        <v>3464</v>
      </c>
      <c r="M4154" s="7" t="n">
        <v>519.6</v>
      </c>
    </row>
    <row r="4155">
      <c r="A4155" t="n">
        <v>511651</v>
      </c>
      <c r="B4155" s="6" t="n">
        <v>46012</v>
      </c>
      <c r="C4155" t="n">
        <v>17846</v>
      </c>
      <c r="D4155" t="inlineStr">
        <is>
          <t>Hyderabad</t>
        </is>
      </c>
      <c r="E4155" t="inlineStr">
        <is>
          <t>South</t>
        </is>
      </c>
      <c r="F4155" t="inlineStr">
        <is>
          <t>Paid Search</t>
        </is>
      </c>
      <c r="G4155" t="inlineStr">
        <is>
          <t>Mobile App</t>
        </is>
      </c>
      <c r="H4155" t="inlineStr">
        <is>
          <t>Debit Card</t>
        </is>
      </c>
      <c r="I4155" t="inlineStr">
        <is>
          <t>Returned</t>
        </is>
      </c>
      <c r="J4155" t="n">
        <v>124</v>
      </c>
      <c r="K4155" t="n">
        <v>2</v>
      </c>
      <c r="L4155" s="7" t="n">
        <v>1154</v>
      </c>
      <c r="M4155" s="7" t="n">
        <v>346.2</v>
      </c>
    </row>
    <row r="4156">
      <c r="A4156" t="n">
        <v>511652</v>
      </c>
      <c r="B4156" s="6" t="n">
        <v>46012</v>
      </c>
      <c r="C4156" t="n">
        <v>14986</v>
      </c>
      <c r="D4156" t="inlineStr">
        <is>
          <t>Ahmedabad</t>
        </is>
      </c>
      <c r="E4156" t="inlineStr">
        <is>
          <t>West</t>
        </is>
      </c>
      <c r="F4156" t="inlineStr">
        <is>
          <t>Organic Search</t>
        </is>
      </c>
      <c r="G4156" t="inlineStr">
        <is>
          <t>Desktop</t>
        </is>
      </c>
      <c r="H4156" t="inlineStr">
        <is>
          <t>Debit Card</t>
        </is>
      </c>
      <c r="I4156" t="inlineStr">
        <is>
          <t>Delivered</t>
        </is>
      </c>
      <c r="J4156" t="n">
        <v>102</v>
      </c>
      <c r="K4156" t="n">
        <v>1</v>
      </c>
      <c r="L4156" s="7" t="n">
        <v>3674</v>
      </c>
      <c r="M4156" s="7" t="n">
        <v>0</v>
      </c>
    </row>
    <row r="4157">
      <c r="A4157" t="n">
        <v>511653</v>
      </c>
      <c r="B4157" s="6" t="n">
        <v>46012</v>
      </c>
      <c r="C4157" t="n">
        <v>17829</v>
      </c>
      <c r="D4157" t="inlineStr">
        <is>
          <t>Noida</t>
        </is>
      </c>
      <c r="E4157" t="inlineStr">
        <is>
          <t>North</t>
        </is>
      </c>
      <c r="F4157" t="inlineStr">
        <is>
          <t>Paid Social</t>
        </is>
      </c>
      <c r="G4157" t="inlineStr">
        <is>
          <t>Mobile App</t>
        </is>
      </c>
      <c r="H4157" t="inlineStr">
        <is>
          <t>UPI</t>
        </is>
      </c>
      <c r="I4157" t="inlineStr">
        <is>
          <t>Returned</t>
        </is>
      </c>
      <c r="J4157" t="n">
        <v>115</v>
      </c>
      <c r="K4157" t="n">
        <v>1</v>
      </c>
      <c r="L4157" s="7" t="n">
        <v>4199</v>
      </c>
      <c r="M4157" s="7" t="n">
        <v>629.85</v>
      </c>
    </row>
    <row r="4158">
      <c r="A4158" t="n">
        <v>511653</v>
      </c>
      <c r="B4158" s="6" t="n">
        <v>46012</v>
      </c>
      <c r="C4158" t="n">
        <v>17829</v>
      </c>
      <c r="D4158" t="inlineStr">
        <is>
          <t>Noida</t>
        </is>
      </c>
      <c r="E4158" t="inlineStr">
        <is>
          <t>North</t>
        </is>
      </c>
      <c r="F4158" t="inlineStr">
        <is>
          <t>Paid Social</t>
        </is>
      </c>
      <c r="G4158" t="inlineStr">
        <is>
          <t>Mobile App</t>
        </is>
      </c>
      <c r="H4158" t="inlineStr">
        <is>
          <t>UPI</t>
        </is>
      </c>
      <c r="I4158" t="inlineStr">
        <is>
          <t>Returned</t>
        </is>
      </c>
      <c r="J4158" t="n">
        <v>102</v>
      </c>
      <c r="K4158" t="n">
        <v>2</v>
      </c>
      <c r="L4158" s="7" t="n">
        <v>3674</v>
      </c>
      <c r="M4158" s="7" t="n">
        <v>1102.2</v>
      </c>
    </row>
    <row r="4159">
      <c r="A4159" t="n">
        <v>511653</v>
      </c>
      <c r="B4159" s="6" t="n">
        <v>46012</v>
      </c>
      <c r="C4159" t="n">
        <v>17829</v>
      </c>
      <c r="D4159" t="inlineStr">
        <is>
          <t>Noida</t>
        </is>
      </c>
      <c r="E4159" t="inlineStr">
        <is>
          <t>North</t>
        </is>
      </c>
      <c r="F4159" t="inlineStr">
        <is>
          <t>Paid Social</t>
        </is>
      </c>
      <c r="G4159" t="inlineStr">
        <is>
          <t>Mobile App</t>
        </is>
      </c>
      <c r="H4159" t="inlineStr">
        <is>
          <t>UPI</t>
        </is>
      </c>
      <c r="I4159" t="inlineStr">
        <is>
          <t>Returned</t>
        </is>
      </c>
      <c r="J4159" t="n">
        <v>134</v>
      </c>
      <c r="K4159" t="n">
        <v>2</v>
      </c>
      <c r="L4159" s="7" t="n">
        <v>209</v>
      </c>
      <c r="M4159" s="7" t="n">
        <v>62.7</v>
      </c>
    </row>
    <row r="4160">
      <c r="A4160" t="n">
        <v>511654</v>
      </c>
      <c r="B4160" s="6" t="n">
        <v>46012</v>
      </c>
      <c r="C4160" t="n">
        <v>17783</v>
      </c>
      <c r="D4160" t="inlineStr">
        <is>
          <t>Mumbai</t>
        </is>
      </c>
      <c r="E4160" t="inlineStr">
        <is>
          <t>West</t>
        </is>
      </c>
      <c r="F4160" t="inlineStr">
        <is>
          <t>Referral</t>
        </is>
      </c>
      <c r="G4160" t="inlineStr">
        <is>
          <t>Mobile Web</t>
        </is>
      </c>
      <c r="H4160" t="inlineStr">
        <is>
          <t>Cash on Delivery</t>
        </is>
      </c>
      <c r="I4160" t="inlineStr">
        <is>
          <t>Delivered</t>
        </is>
      </c>
      <c r="J4160" t="n">
        <v>120</v>
      </c>
      <c r="K4160" t="n">
        <v>1</v>
      </c>
      <c r="L4160" s="7" t="n">
        <v>734</v>
      </c>
      <c r="M4160" s="7" t="n">
        <v>110.1</v>
      </c>
    </row>
    <row r="4161">
      <c r="A4161" t="n">
        <v>511654</v>
      </c>
      <c r="B4161" s="6" t="n">
        <v>46012</v>
      </c>
      <c r="C4161" t="n">
        <v>17783</v>
      </c>
      <c r="D4161" t="inlineStr">
        <is>
          <t>Mumbai</t>
        </is>
      </c>
      <c r="E4161" t="inlineStr">
        <is>
          <t>West</t>
        </is>
      </c>
      <c r="F4161" t="inlineStr">
        <is>
          <t>Referral</t>
        </is>
      </c>
      <c r="G4161" t="inlineStr">
        <is>
          <t>Mobile Web</t>
        </is>
      </c>
      <c r="H4161" t="inlineStr">
        <is>
          <t>Cash on Delivery</t>
        </is>
      </c>
      <c r="I4161" t="inlineStr">
        <is>
          <t>Delivered</t>
        </is>
      </c>
      <c r="J4161" t="n">
        <v>140</v>
      </c>
      <c r="K4161" t="n">
        <v>3</v>
      </c>
      <c r="L4161" s="7" t="n">
        <v>629</v>
      </c>
      <c r="M4161" s="7" t="n">
        <v>283.05</v>
      </c>
    </row>
    <row r="4162">
      <c r="A4162" t="n">
        <v>511655</v>
      </c>
      <c r="B4162" s="6" t="n">
        <v>46013</v>
      </c>
      <c r="C4162" t="n">
        <v>17793</v>
      </c>
      <c r="D4162" t="inlineStr">
        <is>
          <t>Gurugram</t>
        </is>
      </c>
      <c r="E4162" t="inlineStr">
        <is>
          <t>North</t>
        </is>
      </c>
      <c r="F4162" t="inlineStr">
        <is>
          <t>Referral</t>
        </is>
      </c>
      <c r="G4162" t="inlineStr">
        <is>
          <t>Mobile App</t>
        </is>
      </c>
      <c r="H4162" t="inlineStr">
        <is>
          <t>Debit Card</t>
        </is>
      </c>
      <c r="I4162" t="inlineStr">
        <is>
          <t>Delivered</t>
        </is>
      </c>
      <c r="J4162" t="n">
        <v>138</v>
      </c>
      <c r="K4162" t="n">
        <v>1</v>
      </c>
      <c r="L4162" s="7" t="n">
        <v>419</v>
      </c>
      <c r="M4162" s="7" t="n">
        <v>62.85</v>
      </c>
    </row>
    <row r="4163">
      <c r="A4163" t="n">
        <v>511656</v>
      </c>
      <c r="B4163" s="6" t="n">
        <v>46013</v>
      </c>
      <c r="C4163" t="n">
        <v>17809</v>
      </c>
      <c r="D4163" t="inlineStr">
        <is>
          <t>Ahmedabad</t>
        </is>
      </c>
      <c r="E4163" t="inlineStr">
        <is>
          <t>West</t>
        </is>
      </c>
      <c r="F4163" t="inlineStr">
        <is>
          <t>Paid Search</t>
        </is>
      </c>
      <c r="G4163" t="inlineStr">
        <is>
          <t>Mobile App</t>
        </is>
      </c>
      <c r="H4163" t="inlineStr">
        <is>
          <t>Cash on Delivery</t>
        </is>
      </c>
      <c r="I4163" t="inlineStr">
        <is>
          <t>Delivered</t>
        </is>
      </c>
      <c r="J4163" t="n">
        <v>116</v>
      </c>
      <c r="K4163" t="n">
        <v>1</v>
      </c>
      <c r="L4163" s="7" t="n">
        <v>2624</v>
      </c>
      <c r="M4163" s="7" t="n">
        <v>0</v>
      </c>
    </row>
    <row r="4164">
      <c r="A4164" t="n">
        <v>511657</v>
      </c>
      <c r="B4164" s="6" t="n">
        <v>46013</v>
      </c>
      <c r="C4164" t="n">
        <v>17838</v>
      </c>
      <c r="D4164" t="inlineStr">
        <is>
          <t>Bengaluru</t>
        </is>
      </c>
      <c r="E4164" t="inlineStr">
        <is>
          <t>South</t>
        </is>
      </c>
      <c r="F4164" t="inlineStr">
        <is>
          <t>Paid Social</t>
        </is>
      </c>
      <c r="G4164" t="inlineStr">
        <is>
          <t>Mobile Web</t>
        </is>
      </c>
      <c r="H4164" t="inlineStr">
        <is>
          <t>Credit Card</t>
        </is>
      </c>
      <c r="I4164" t="inlineStr">
        <is>
          <t>Delivered</t>
        </is>
      </c>
      <c r="J4164" t="n">
        <v>133</v>
      </c>
      <c r="K4164" t="n">
        <v>2</v>
      </c>
      <c r="L4164" s="7" t="n">
        <v>419</v>
      </c>
      <c r="M4164" s="7" t="n">
        <v>0</v>
      </c>
    </row>
    <row r="4165">
      <c r="A4165" t="n">
        <v>511658</v>
      </c>
      <c r="B4165" s="6" t="n">
        <v>46013</v>
      </c>
      <c r="C4165" t="n">
        <v>17844</v>
      </c>
      <c r="D4165" t="inlineStr">
        <is>
          <t>Mumbai</t>
        </is>
      </c>
      <c r="E4165" t="inlineStr">
        <is>
          <t>West</t>
        </is>
      </c>
      <c r="F4165" t="inlineStr">
        <is>
          <t>Referral</t>
        </is>
      </c>
      <c r="G4165" t="inlineStr">
        <is>
          <t>Mobile Web</t>
        </is>
      </c>
      <c r="H4165" t="inlineStr">
        <is>
          <t>Credit Card</t>
        </is>
      </c>
      <c r="I4165" t="inlineStr">
        <is>
          <t>Delivered</t>
        </is>
      </c>
      <c r="J4165" t="n">
        <v>117</v>
      </c>
      <c r="K4165" t="n">
        <v>1</v>
      </c>
      <c r="L4165" s="7" t="n">
        <v>3149</v>
      </c>
      <c r="M4165" s="7" t="n">
        <v>0</v>
      </c>
    </row>
    <row r="4166">
      <c r="A4166" t="n">
        <v>511659</v>
      </c>
      <c r="B4166" s="6" t="n">
        <v>46013</v>
      </c>
      <c r="C4166" t="n">
        <v>17839</v>
      </c>
      <c r="D4166" t="inlineStr">
        <is>
          <t>Mumbai</t>
        </is>
      </c>
      <c r="E4166" t="inlineStr">
        <is>
          <t>West</t>
        </is>
      </c>
      <c r="F4166" t="inlineStr">
        <is>
          <t>Paid Social</t>
        </is>
      </c>
      <c r="G4166" t="inlineStr">
        <is>
          <t>Mobile Web</t>
        </is>
      </c>
      <c r="H4166" t="inlineStr">
        <is>
          <t>UPI</t>
        </is>
      </c>
      <c r="I4166" t="inlineStr">
        <is>
          <t>Delivered</t>
        </is>
      </c>
      <c r="J4166" t="n">
        <v>126</v>
      </c>
      <c r="K4166" t="n">
        <v>1</v>
      </c>
      <c r="L4166" s="7" t="n">
        <v>471</v>
      </c>
      <c r="M4166" s="7" t="n">
        <v>70.65000000000001</v>
      </c>
    </row>
    <row r="4167">
      <c r="A4167" t="n">
        <v>511660</v>
      </c>
      <c r="B4167" s="6" t="n">
        <v>46013</v>
      </c>
      <c r="C4167" t="n">
        <v>17062</v>
      </c>
      <c r="D4167" t="inlineStr">
        <is>
          <t>Indore</t>
        </is>
      </c>
      <c r="E4167" t="inlineStr">
        <is>
          <t>West</t>
        </is>
      </c>
      <c r="F4167" t="inlineStr">
        <is>
          <t>Paid Search</t>
        </is>
      </c>
      <c r="G4167" t="inlineStr">
        <is>
          <t>Mobile Web</t>
        </is>
      </c>
      <c r="H4167" t="inlineStr">
        <is>
          <t>Cash on Delivery</t>
        </is>
      </c>
      <c r="I4167" t="inlineStr">
        <is>
          <t>Delivered</t>
        </is>
      </c>
      <c r="J4167" t="n">
        <v>107</v>
      </c>
      <c r="K4167" t="n">
        <v>1</v>
      </c>
      <c r="L4167" s="7" t="n">
        <v>1259</v>
      </c>
      <c r="M4167" s="7" t="n">
        <v>0</v>
      </c>
    </row>
    <row r="4168">
      <c r="A4168" t="n">
        <v>511660</v>
      </c>
      <c r="B4168" s="6" t="n">
        <v>46013</v>
      </c>
      <c r="C4168" t="n">
        <v>17062</v>
      </c>
      <c r="D4168" t="inlineStr">
        <is>
          <t>Indore</t>
        </is>
      </c>
      <c r="E4168" t="inlineStr">
        <is>
          <t>West</t>
        </is>
      </c>
      <c r="F4168" t="inlineStr">
        <is>
          <t>Paid Search</t>
        </is>
      </c>
      <c r="G4168" t="inlineStr">
        <is>
          <t>Mobile Web</t>
        </is>
      </c>
      <c r="H4168" t="inlineStr">
        <is>
          <t>Cash on Delivery</t>
        </is>
      </c>
      <c r="I4168" t="inlineStr">
        <is>
          <t>Delivered</t>
        </is>
      </c>
      <c r="J4168" t="n">
        <v>131</v>
      </c>
      <c r="K4168" t="n">
        <v>1</v>
      </c>
      <c r="L4168" s="7" t="n">
        <v>314</v>
      </c>
      <c r="M4168" s="7" t="n">
        <v>0</v>
      </c>
    </row>
    <row r="4169">
      <c r="A4169" t="n">
        <v>511660</v>
      </c>
      <c r="B4169" s="6" t="n">
        <v>46013</v>
      </c>
      <c r="C4169" t="n">
        <v>17062</v>
      </c>
      <c r="D4169" t="inlineStr">
        <is>
          <t>Indore</t>
        </is>
      </c>
      <c r="E4169" t="inlineStr">
        <is>
          <t>West</t>
        </is>
      </c>
      <c r="F4169" t="inlineStr">
        <is>
          <t>Paid Search</t>
        </is>
      </c>
      <c r="G4169" t="inlineStr">
        <is>
          <t>Mobile Web</t>
        </is>
      </c>
      <c r="H4169" t="inlineStr">
        <is>
          <t>Cash on Delivery</t>
        </is>
      </c>
      <c r="I4169" t="inlineStr">
        <is>
          <t>Delivered</t>
        </is>
      </c>
      <c r="J4169" t="n">
        <v>121</v>
      </c>
      <c r="K4169" t="n">
        <v>1</v>
      </c>
      <c r="L4169" s="7" t="n">
        <v>2939</v>
      </c>
      <c r="M4169" s="7" t="n">
        <v>0</v>
      </c>
    </row>
    <row r="4170">
      <c r="A4170" t="n">
        <v>511661</v>
      </c>
      <c r="B4170" s="6" t="n">
        <v>46013</v>
      </c>
      <c r="C4170" t="n">
        <v>11487</v>
      </c>
      <c r="D4170" t="inlineStr">
        <is>
          <t>Mumbai</t>
        </is>
      </c>
      <c r="E4170" t="inlineStr">
        <is>
          <t>West</t>
        </is>
      </c>
      <c r="F4170" t="inlineStr">
        <is>
          <t>Organic Search</t>
        </is>
      </c>
      <c r="G4170" t="inlineStr">
        <is>
          <t>Mobile Web</t>
        </is>
      </c>
      <c r="H4170" t="inlineStr">
        <is>
          <t>Cash on Delivery</t>
        </is>
      </c>
      <c r="I4170" t="inlineStr">
        <is>
          <t>Delivered</t>
        </is>
      </c>
      <c r="J4170" t="n">
        <v>145</v>
      </c>
      <c r="K4170" t="n">
        <v>1</v>
      </c>
      <c r="L4170" s="7" t="n">
        <v>629</v>
      </c>
      <c r="M4170" s="7" t="n">
        <v>0</v>
      </c>
    </row>
    <row r="4171">
      <c r="A4171" t="n">
        <v>511662</v>
      </c>
      <c r="B4171" s="6" t="n">
        <v>46013</v>
      </c>
      <c r="C4171" t="n">
        <v>15371</v>
      </c>
      <c r="D4171" t="inlineStr">
        <is>
          <t>Indore</t>
        </is>
      </c>
      <c r="E4171" t="inlineStr">
        <is>
          <t>West</t>
        </is>
      </c>
      <c r="F4171" t="inlineStr">
        <is>
          <t>Referral</t>
        </is>
      </c>
      <c r="G4171" t="inlineStr">
        <is>
          <t>Desktop</t>
        </is>
      </c>
      <c r="H4171" t="inlineStr">
        <is>
          <t>UPI</t>
        </is>
      </c>
      <c r="I4171" t="inlineStr">
        <is>
          <t>Delivered</t>
        </is>
      </c>
      <c r="J4171" t="n">
        <v>125</v>
      </c>
      <c r="K4171" t="n">
        <v>2</v>
      </c>
      <c r="L4171" s="7" t="n">
        <v>1364</v>
      </c>
      <c r="M4171" s="7" t="n">
        <v>0</v>
      </c>
    </row>
    <row r="4172">
      <c r="A4172" t="n">
        <v>511663</v>
      </c>
      <c r="B4172" s="6" t="n">
        <v>46013</v>
      </c>
      <c r="C4172" t="n">
        <v>17804</v>
      </c>
      <c r="D4172" t="inlineStr">
        <is>
          <t>Mumbai</t>
        </is>
      </c>
      <c r="E4172" t="inlineStr">
        <is>
          <t>West</t>
        </is>
      </c>
      <c r="F4172" t="inlineStr">
        <is>
          <t>Affiliate</t>
        </is>
      </c>
      <c r="G4172" t="inlineStr">
        <is>
          <t>Mobile App</t>
        </is>
      </c>
      <c r="H4172" t="inlineStr">
        <is>
          <t>Debit Card</t>
        </is>
      </c>
      <c r="I4172" t="inlineStr">
        <is>
          <t>Delivered</t>
        </is>
      </c>
      <c r="J4172" t="n">
        <v>127</v>
      </c>
      <c r="K4172" t="n">
        <v>2</v>
      </c>
      <c r="L4172" s="7" t="n">
        <v>681</v>
      </c>
      <c r="M4172" s="7" t="n">
        <v>0</v>
      </c>
    </row>
    <row r="4173">
      <c r="A4173" t="n">
        <v>511664</v>
      </c>
      <c r="B4173" s="6" t="n">
        <v>46013</v>
      </c>
      <c r="C4173" t="n">
        <v>17789</v>
      </c>
      <c r="D4173" t="inlineStr">
        <is>
          <t>Chandigarh</t>
        </is>
      </c>
      <c r="E4173" t="inlineStr">
        <is>
          <t>North</t>
        </is>
      </c>
      <c r="F4173" t="inlineStr">
        <is>
          <t>Organic Search</t>
        </is>
      </c>
      <c r="G4173" t="inlineStr">
        <is>
          <t>Mobile App</t>
        </is>
      </c>
      <c r="H4173" t="inlineStr">
        <is>
          <t>UPI</t>
        </is>
      </c>
      <c r="I4173" t="inlineStr">
        <is>
          <t>Cancelled</t>
        </is>
      </c>
      <c r="J4173" t="n">
        <v>137</v>
      </c>
      <c r="K4173" t="n">
        <v>1</v>
      </c>
      <c r="L4173" s="7" t="n">
        <v>261</v>
      </c>
      <c r="M4173" s="7" t="n">
        <v>39.15</v>
      </c>
    </row>
    <row r="4174">
      <c r="A4174" t="n">
        <v>511664</v>
      </c>
      <c r="B4174" s="6" t="n">
        <v>46013</v>
      </c>
      <c r="C4174" t="n">
        <v>17789</v>
      </c>
      <c r="D4174" t="inlineStr">
        <is>
          <t>Chandigarh</t>
        </is>
      </c>
      <c r="E4174" t="inlineStr">
        <is>
          <t>North</t>
        </is>
      </c>
      <c r="F4174" t="inlineStr">
        <is>
          <t>Organic Search</t>
        </is>
      </c>
      <c r="G4174" t="inlineStr">
        <is>
          <t>Mobile App</t>
        </is>
      </c>
      <c r="H4174" t="inlineStr">
        <is>
          <t>UPI</t>
        </is>
      </c>
      <c r="I4174" t="inlineStr">
        <is>
          <t>Cancelled</t>
        </is>
      </c>
      <c r="J4174" t="n">
        <v>130</v>
      </c>
      <c r="K4174" t="n">
        <v>2</v>
      </c>
      <c r="L4174" s="7" t="n">
        <v>734</v>
      </c>
      <c r="M4174" s="7" t="n">
        <v>220.2</v>
      </c>
    </row>
    <row r="4175">
      <c r="A4175" t="n">
        <v>511664</v>
      </c>
      <c r="B4175" s="6" t="n">
        <v>46013</v>
      </c>
      <c r="C4175" t="n">
        <v>17789</v>
      </c>
      <c r="D4175" t="inlineStr">
        <is>
          <t>Chandigarh</t>
        </is>
      </c>
      <c r="E4175" t="inlineStr">
        <is>
          <t>North</t>
        </is>
      </c>
      <c r="F4175" t="inlineStr">
        <is>
          <t>Organic Search</t>
        </is>
      </c>
      <c r="G4175" t="inlineStr">
        <is>
          <t>Mobile App</t>
        </is>
      </c>
      <c r="H4175" t="inlineStr">
        <is>
          <t>UPI</t>
        </is>
      </c>
      <c r="I4175" t="inlineStr">
        <is>
          <t>Cancelled</t>
        </is>
      </c>
      <c r="J4175" t="n">
        <v>117</v>
      </c>
      <c r="K4175" t="n">
        <v>2</v>
      </c>
      <c r="L4175" s="7" t="n">
        <v>3149</v>
      </c>
      <c r="M4175" s="7" t="n">
        <v>944.7</v>
      </c>
    </row>
    <row r="4176">
      <c r="A4176" t="n">
        <v>511665</v>
      </c>
      <c r="B4176" s="6" t="n">
        <v>46013</v>
      </c>
      <c r="C4176" t="n">
        <v>17853</v>
      </c>
      <c r="D4176" t="inlineStr">
        <is>
          <t>Delhi</t>
        </is>
      </c>
      <c r="E4176" t="inlineStr">
        <is>
          <t>North</t>
        </is>
      </c>
      <c r="F4176" t="inlineStr">
        <is>
          <t>Affiliate</t>
        </is>
      </c>
      <c r="G4176" t="inlineStr">
        <is>
          <t>Mobile App</t>
        </is>
      </c>
      <c r="H4176" t="inlineStr">
        <is>
          <t>Credit Card</t>
        </is>
      </c>
      <c r="I4176" t="inlineStr">
        <is>
          <t>Delivered</t>
        </is>
      </c>
      <c r="J4176" t="n">
        <v>134</v>
      </c>
      <c r="K4176" t="n">
        <v>1</v>
      </c>
      <c r="L4176" s="7" t="n">
        <v>209</v>
      </c>
      <c r="M4176" s="7" t="n">
        <v>31.35</v>
      </c>
    </row>
    <row r="4177">
      <c r="A4177" t="n">
        <v>511666</v>
      </c>
      <c r="B4177" s="6" t="n">
        <v>46013</v>
      </c>
      <c r="C4177" t="n">
        <v>17824</v>
      </c>
      <c r="D4177" t="inlineStr">
        <is>
          <t>Noida</t>
        </is>
      </c>
      <c r="E4177" t="inlineStr">
        <is>
          <t>North</t>
        </is>
      </c>
      <c r="F4177" t="inlineStr">
        <is>
          <t>Organic Search</t>
        </is>
      </c>
      <c r="G4177" t="inlineStr">
        <is>
          <t>Mobile Web</t>
        </is>
      </c>
      <c r="H4177" t="inlineStr">
        <is>
          <t>Debit Card</t>
        </is>
      </c>
      <c r="I4177" t="inlineStr">
        <is>
          <t>Delivered</t>
        </is>
      </c>
      <c r="J4177" t="n">
        <v>127</v>
      </c>
      <c r="K4177" t="n">
        <v>2</v>
      </c>
      <c r="L4177" s="7" t="n">
        <v>681</v>
      </c>
      <c r="M4177" s="7" t="n">
        <v>0</v>
      </c>
    </row>
    <row r="4178">
      <c r="A4178" t="n">
        <v>511667</v>
      </c>
      <c r="B4178" s="6" t="n">
        <v>46013</v>
      </c>
      <c r="C4178" t="n">
        <v>17061</v>
      </c>
      <c r="D4178" t="inlineStr">
        <is>
          <t>Gurugram</t>
        </is>
      </c>
      <c r="E4178" t="inlineStr">
        <is>
          <t>North</t>
        </is>
      </c>
      <c r="F4178" t="inlineStr">
        <is>
          <t>Paid Social</t>
        </is>
      </c>
      <c r="G4178" t="inlineStr">
        <is>
          <t>Desktop</t>
        </is>
      </c>
      <c r="H4178" t="inlineStr">
        <is>
          <t>Net Banking</t>
        </is>
      </c>
      <c r="I4178" t="inlineStr">
        <is>
          <t>Delivered</t>
        </is>
      </c>
      <c r="J4178" t="n">
        <v>118</v>
      </c>
      <c r="K4178" t="n">
        <v>3</v>
      </c>
      <c r="L4178" s="7" t="n">
        <v>944</v>
      </c>
      <c r="M4178" s="7" t="n">
        <v>0</v>
      </c>
    </row>
    <row r="4179">
      <c r="A4179" t="n">
        <v>511668</v>
      </c>
      <c r="B4179" s="6" t="n">
        <v>46013</v>
      </c>
      <c r="C4179" t="n">
        <v>17862</v>
      </c>
      <c r="D4179" t="inlineStr">
        <is>
          <t>Delhi</t>
        </is>
      </c>
      <c r="E4179" t="inlineStr">
        <is>
          <t>North</t>
        </is>
      </c>
      <c r="F4179" t="inlineStr">
        <is>
          <t>Organic Search</t>
        </is>
      </c>
      <c r="G4179" t="inlineStr">
        <is>
          <t>Mobile Web</t>
        </is>
      </c>
      <c r="H4179" t="inlineStr">
        <is>
          <t>Net Banking</t>
        </is>
      </c>
      <c r="I4179" t="inlineStr">
        <is>
          <t>Delivered</t>
        </is>
      </c>
      <c r="J4179" t="n">
        <v>114</v>
      </c>
      <c r="K4179" t="n">
        <v>1</v>
      </c>
      <c r="L4179" s="7" t="n">
        <v>1259</v>
      </c>
      <c r="M4179" s="7" t="n">
        <v>0</v>
      </c>
    </row>
    <row r="4180">
      <c r="A4180" t="n">
        <v>511668</v>
      </c>
      <c r="B4180" s="6" t="n">
        <v>46013</v>
      </c>
      <c r="C4180" t="n">
        <v>17862</v>
      </c>
      <c r="D4180" t="inlineStr">
        <is>
          <t>Delhi</t>
        </is>
      </c>
      <c r="E4180" t="inlineStr">
        <is>
          <t>North</t>
        </is>
      </c>
      <c r="F4180" t="inlineStr">
        <is>
          <t>Organic Search</t>
        </is>
      </c>
      <c r="G4180" t="inlineStr">
        <is>
          <t>Mobile Web</t>
        </is>
      </c>
      <c r="H4180" t="inlineStr">
        <is>
          <t>Net Banking</t>
        </is>
      </c>
      <c r="I4180" t="inlineStr">
        <is>
          <t>Delivered</t>
        </is>
      </c>
      <c r="J4180" t="n">
        <v>104</v>
      </c>
      <c r="K4180" t="n">
        <v>1</v>
      </c>
      <c r="L4180" s="7" t="n">
        <v>5249</v>
      </c>
      <c r="M4180" s="7" t="n">
        <v>0</v>
      </c>
    </row>
    <row r="4181">
      <c r="A4181" t="n">
        <v>511669</v>
      </c>
      <c r="B4181" s="6" t="n">
        <v>46013</v>
      </c>
      <c r="C4181" t="n">
        <v>17825</v>
      </c>
      <c r="D4181" t="inlineStr">
        <is>
          <t>Delhi</t>
        </is>
      </c>
      <c r="E4181" t="inlineStr">
        <is>
          <t>North</t>
        </is>
      </c>
      <c r="F4181" t="inlineStr">
        <is>
          <t>Referral</t>
        </is>
      </c>
      <c r="G4181" t="inlineStr">
        <is>
          <t>Mobile App</t>
        </is>
      </c>
      <c r="H4181" t="inlineStr">
        <is>
          <t>Cash on Delivery</t>
        </is>
      </c>
      <c r="I4181" t="inlineStr">
        <is>
          <t>Delivered</t>
        </is>
      </c>
      <c r="J4181" t="n">
        <v>116</v>
      </c>
      <c r="K4181" t="n">
        <v>1</v>
      </c>
      <c r="L4181" s="7" t="n">
        <v>2624</v>
      </c>
      <c r="M4181" s="7" t="n">
        <v>0</v>
      </c>
    </row>
    <row r="4182">
      <c r="A4182" t="n">
        <v>511669</v>
      </c>
      <c r="B4182" s="6" t="n">
        <v>46013</v>
      </c>
      <c r="C4182" t="n">
        <v>17825</v>
      </c>
      <c r="D4182" t="inlineStr">
        <is>
          <t>Delhi</t>
        </is>
      </c>
      <c r="E4182" t="inlineStr">
        <is>
          <t>North</t>
        </is>
      </c>
      <c r="F4182" t="inlineStr">
        <is>
          <t>Referral</t>
        </is>
      </c>
      <c r="G4182" t="inlineStr">
        <is>
          <t>Mobile App</t>
        </is>
      </c>
      <c r="H4182" t="inlineStr">
        <is>
          <t>Cash on Delivery</t>
        </is>
      </c>
      <c r="I4182" t="inlineStr">
        <is>
          <t>Delivered</t>
        </is>
      </c>
      <c r="J4182" t="n">
        <v>120</v>
      </c>
      <c r="K4182" t="n">
        <v>1</v>
      </c>
      <c r="L4182" s="7" t="n">
        <v>734</v>
      </c>
      <c r="M4182" s="7" t="n">
        <v>0</v>
      </c>
    </row>
    <row r="4183">
      <c r="A4183" t="n">
        <v>511670</v>
      </c>
      <c r="B4183" s="6" t="n">
        <v>46013</v>
      </c>
      <c r="C4183" t="n">
        <v>17872</v>
      </c>
      <c r="D4183" t="inlineStr">
        <is>
          <t>Ahmedabad</t>
        </is>
      </c>
      <c r="E4183" t="inlineStr">
        <is>
          <t>West</t>
        </is>
      </c>
      <c r="F4183" t="inlineStr">
        <is>
          <t>Paid Search</t>
        </is>
      </c>
      <c r="G4183" t="inlineStr">
        <is>
          <t>Mobile App</t>
        </is>
      </c>
      <c r="H4183" t="inlineStr">
        <is>
          <t>Net Banking</t>
        </is>
      </c>
      <c r="I4183" t="inlineStr">
        <is>
          <t>Delivered</t>
        </is>
      </c>
      <c r="J4183" t="n">
        <v>147</v>
      </c>
      <c r="K4183" t="n">
        <v>1</v>
      </c>
      <c r="L4183" s="7" t="n">
        <v>1364</v>
      </c>
      <c r="M4183" s="7" t="n">
        <v>204.6</v>
      </c>
    </row>
    <row r="4184">
      <c r="A4184" t="n">
        <v>511670</v>
      </c>
      <c r="B4184" s="6" t="n">
        <v>46013</v>
      </c>
      <c r="C4184" t="n">
        <v>17872</v>
      </c>
      <c r="D4184" t="inlineStr">
        <is>
          <t>Ahmedabad</t>
        </is>
      </c>
      <c r="E4184" t="inlineStr">
        <is>
          <t>West</t>
        </is>
      </c>
      <c r="F4184" t="inlineStr">
        <is>
          <t>Paid Search</t>
        </is>
      </c>
      <c r="G4184" t="inlineStr">
        <is>
          <t>Mobile App</t>
        </is>
      </c>
      <c r="H4184" t="inlineStr">
        <is>
          <t>Net Banking</t>
        </is>
      </c>
      <c r="I4184" t="inlineStr">
        <is>
          <t>Delivered</t>
        </is>
      </c>
      <c r="J4184" t="n">
        <v>146</v>
      </c>
      <c r="K4184" t="n">
        <v>1</v>
      </c>
      <c r="L4184" s="7" t="n">
        <v>4724</v>
      </c>
      <c r="M4184" s="7" t="n">
        <v>708.6</v>
      </c>
    </row>
    <row r="4185">
      <c r="A4185" t="n">
        <v>511670</v>
      </c>
      <c r="B4185" s="6" t="n">
        <v>46013</v>
      </c>
      <c r="C4185" t="n">
        <v>17872</v>
      </c>
      <c r="D4185" t="inlineStr">
        <is>
          <t>Ahmedabad</t>
        </is>
      </c>
      <c r="E4185" t="inlineStr">
        <is>
          <t>West</t>
        </is>
      </c>
      <c r="F4185" t="inlineStr">
        <is>
          <t>Paid Search</t>
        </is>
      </c>
      <c r="G4185" t="inlineStr">
        <is>
          <t>Mobile App</t>
        </is>
      </c>
      <c r="H4185" t="inlineStr">
        <is>
          <t>Net Banking</t>
        </is>
      </c>
      <c r="I4185" t="inlineStr">
        <is>
          <t>Delivered</t>
        </is>
      </c>
      <c r="J4185" t="n">
        <v>144</v>
      </c>
      <c r="K4185" t="n">
        <v>1</v>
      </c>
      <c r="L4185" s="7" t="n">
        <v>3149</v>
      </c>
      <c r="M4185" s="7" t="n">
        <v>472.35</v>
      </c>
    </row>
    <row r="4186">
      <c r="A4186" t="n">
        <v>511671</v>
      </c>
      <c r="B4186" s="6" t="n">
        <v>46013</v>
      </c>
      <c r="C4186" t="n">
        <v>17552</v>
      </c>
      <c r="D4186" t="inlineStr">
        <is>
          <t>Chennai</t>
        </is>
      </c>
      <c r="E4186" t="inlineStr">
        <is>
          <t>South</t>
        </is>
      </c>
      <c r="F4186" t="inlineStr">
        <is>
          <t>Email</t>
        </is>
      </c>
      <c r="G4186" t="inlineStr">
        <is>
          <t>Mobile App</t>
        </is>
      </c>
      <c r="H4186" t="inlineStr">
        <is>
          <t>Debit Card</t>
        </is>
      </c>
      <c r="I4186" t="inlineStr">
        <is>
          <t>Delivered</t>
        </is>
      </c>
      <c r="J4186" t="n">
        <v>112</v>
      </c>
      <c r="K4186" t="n">
        <v>1</v>
      </c>
      <c r="L4186" s="7" t="n">
        <v>1574</v>
      </c>
      <c r="M4186" s="7" t="n">
        <v>0</v>
      </c>
    </row>
    <row r="4187">
      <c r="A4187" t="n">
        <v>511672</v>
      </c>
      <c r="B4187" s="6" t="n">
        <v>46013</v>
      </c>
      <c r="C4187" t="n">
        <v>17871</v>
      </c>
      <c r="D4187" t="inlineStr">
        <is>
          <t>Chennai</t>
        </is>
      </c>
      <c r="E4187" t="inlineStr">
        <is>
          <t>South</t>
        </is>
      </c>
      <c r="F4187" t="inlineStr">
        <is>
          <t>Organic Search</t>
        </is>
      </c>
      <c r="G4187" t="inlineStr">
        <is>
          <t>Mobile Web</t>
        </is>
      </c>
      <c r="H4187" t="inlineStr">
        <is>
          <t>UPI</t>
        </is>
      </c>
      <c r="I4187" t="inlineStr">
        <is>
          <t>Delivered</t>
        </is>
      </c>
      <c r="J4187" t="n">
        <v>147</v>
      </c>
      <c r="K4187" t="n">
        <v>2</v>
      </c>
      <c r="L4187" s="7" t="n">
        <v>1364</v>
      </c>
      <c r="M4187" s="7" t="n">
        <v>409.2</v>
      </c>
    </row>
    <row r="4188">
      <c r="A4188" t="n">
        <v>511673</v>
      </c>
      <c r="B4188" s="6" t="n">
        <v>46013</v>
      </c>
      <c r="C4188" t="n">
        <v>12797</v>
      </c>
      <c r="D4188" t="inlineStr">
        <is>
          <t>Noida</t>
        </is>
      </c>
      <c r="E4188" t="inlineStr">
        <is>
          <t>North</t>
        </is>
      </c>
      <c r="F4188" t="inlineStr">
        <is>
          <t>Paid Social</t>
        </is>
      </c>
      <c r="G4188" t="inlineStr">
        <is>
          <t>Mobile Web</t>
        </is>
      </c>
      <c r="H4188" t="inlineStr">
        <is>
          <t>Net Banking</t>
        </is>
      </c>
      <c r="I4188" t="inlineStr">
        <is>
          <t>Delivered</t>
        </is>
      </c>
      <c r="J4188" t="n">
        <v>142</v>
      </c>
      <c r="K4188" t="n">
        <v>1</v>
      </c>
      <c r="L4188" s="7" t="n">
        <v>839</v>
      </c>
      <c r="M4188" s="7" t="n">
        <v>0</v>
      </c>
    </row>
    <row r="4189">
      <c r="A4189" t="n">
        <v>511674</v>
      </c>
      <c r="B4189" s="6" t="n">
        <v>46013</v>
      </c>
      <c r="C4189" t="n">
        <v>17860</v>
      </c>
      <c r="D4189" t="inlineStr">
        <is>
          <t>Indore</t>
        </is>
      </c>
      <c r="E4189" t="inlineStr">
        <is>
          <t>West</t>
        </is>
      </c>
      <c r="F4189" t="inlineStr">
        <is>
          <t>Paid Social</t>
        </is>
      </c>
      <c r="G4189" t="inlineStr">
        <is>
          <t>Mobile App</t>
        </is>
      </c>
      <c r="H4189" t="inlineStr">
        <is>
          <t>Debit Card</t>
        </is>
      </c>
      <c r="I4189" t="inlineStr">
        <is>
          <t>Delivered</t>
        </is>
      </c>
      <c r="J4189" t="n">
        <v>107</v>
      </c>
      <c r="K4189" t="n">
        <v>1</v>
      </c>
      <c r="L4189" s="7" t="n">
        <v>1259</v>
      </c>
      <c r="M4189" s="7" t="n">
        <v>0</v>
      </c>
    </row>
    <row r="4190">
      <c r="A4190" t="n">
        <v>511674</v>
      </c>
      <c r="B4190" s="6" t="n">
        <v>46013</v>
      </c>
      <c r="C4190" t="n">
        <v>17860</v>
      </c>
      <c r="D4190" t="inlineStr">
        <is>
          <t>Indore</t>
        </is>
      </c>
      <c r="E4190" t="inlineStr">
        <is>
          <t>West</t>
        </is>
      </c>
      <c r="F4190" t="inlineStr">
        <is>
          <t>Paid Social</t>
        </is>
      </c>
      <c r="G4190" t="inlineStr">
        <is>
          <t>Mobile App</t>
        </is>
      </c>
      <c r="H4190" t="inlineStr">
        <is>
          <t>Debit Card</t>
        </is>
      </c>
      <c r="I4190" t="inlineStr">
        <is>
          <t>Delivered</t>
        </is>
      </c>
      <c r="J4190" t="n">
        <v>115</v>
      </c>
      <c r="K4190" t="n">
        <v>1</v>
      </c>
      <c r="L4190" s="7" t="n">
        <v>4199</v>
      </c>
      <c r="M4190" s="7" t="n">
        <v>0</v>
      </c>
    </row>
    <row r="4191">
      <c r="A4191" t="n">
        <v>511675</v>
      </c>
      <c r="B4191" s="6" t="n">
        <v>46013</v>
      </c>
      <c r="C4191" t="n">
        <v>13882</v>
      </c>
      <c r="D4191" t="inlineStr">
        <is>
          <t>Noida</t>
        </is>
      </c>
      <c r="E4191" t="inlineStr">
        <is>
          <t>North</t>
        </is>
      </c>
      <c r="F4191" t="inlineStr">
        <is>
          <t>Referral</t>
        </is>
      </c>
      <c r="G4191" t="inlineStr">
        <is>
          <t>Mobile App</t>
        </is>
      </c>
      <c r="H4191" t="inlineStr">
        <is>
          <t>UPI</t>
        </is>
      </c>
      <c r="I4191" t="inlineStr">
        <is>
          <t>Delivered</t>
        </is>
      </c>
      <c r="J4191" t="n">
        <v>118</v>
      </c>
      <c r="K4191" t="n">
        <v>1</v>
      </c>
      <c r="L4191" s="7" t="n">
        <v>944</v>
      </c>
      <c r="M4191" s="7" t="n">
        <v>0</v>
      </c>
    </row>
    <row r="4192">
      <c r="A4192" t="n">
        <v>511675</v>
      </c>
      <c r="B4192" s="6" t="n">
        <v>46013</v>
      </c>
      <c r="C4192" t="n">
        <v>13882</v>
      </c>
      <c r="D4192" t="inlineStr">
        <is>
          <t>Noida</t>
        </is>
      </c>
      <c r="E4192" t="inlineStr">
        <is>
          <t>North</t>
        </is>
      </c>
      <c r="F4192" t="inlineStr">
        <is>
          <t>Referral</t>
        </is>
      </c>
      <c r="G4192" t="inlineStr">
        <is>
          <t>Mobile App</t>
        </is>
      </c>
      <c r="H4192" t="inlineStr">
        <is>
          <t>UPI</t>
        </is>
      </c>
      <c r="I4192" t="inlineStr">
        <is>
          <t>Delivered</t>
        </is>
      </c>
      <c r="J4192" t="n">
        <v>103</v>
      </c>
      <c r="K4192" t="n">
        <v>2</v>
      </c>
      <c r="L4192" s="7" t="n">
        <v>2624</v>
      </c>
      <c r="M4192" s="7" t="n">
        <v>0</v>
      </c>
    </row>
    <row r="4193">
      <c r="A4193" t="n">
        <v>511675</v>
      </c>
      <c r="B4193" s="6" t="n">
        <v>46013</v>
      </c>
      <c r="C4193" t="n">
        <v>13882</v>
      </c>
      <c r="D4193" t="inlineStr">
        <is>
          <t>Noida</t>
        </is>
      </c>
      <c r="E4193" t="inlineStr">
        <is>
          <t>North</t>
        </is>
      </c>
      <c r="F4193" t="inlineStr">
        <is>
          <t>Referral</t>
        </is>
      </c>
      <c r="G4193" t="inlineStr">
        <is>
          <t>Mobile App</t>
        </is>
      </c>
      <c r="H4193" t="inlineStr">
        <is>
          <t>UPI</t>
        </is>
      </c>
      <c r="I4193" t="inlineStr">
        <is>
          <t>Delivered</t>
        </is>
      </c>
      <c r="J4193" t="n">
        <v>111</v>
      </c>
      <c r="K4193" t="n">
        <v>1</v>
      </c>
      <c r="L4193" s="7" t="n">
        <v>524</v>
      </c>
      <c r="M4193" s="7" t="n">
        <v>0</v>
      </c>
    </row>
    <row r="4194">
      <c r="A4194" t="n">
        <v>511675</v>
      </c>
      <c r="B4194" s="6" t="n">
        <v>46013</v>
      </c>
      <c r="C4194" t="n">
        <v>13882</v>
      </c>
      <c r="D4194" t="inlineStr">
        <is>
          <t>Noida</t>
        </is>
      </c>
      <c r="E4194" t="inlineStr">
        <is>
          <t>North</t>
        </is>
      </c>
      <c r="F4194" t="inlineStr">
        <is>
          <t>Referral</t>
        </is>
      </c>
      <c r="G4194" t="inlineStr">
        <is>
          <t>Mobile App</t>
        </is>
      </c>
      <c r="H4194" t="inlineStr">
        <is>
          <t>UPI</t>
        </is>
      </c>
      <c r="I4194" t="inlineStr">
        <is>
          <t>Delivered</t>
        </is>
      </c>
      <c r="J4194" t="n">
        <v>112</v>
      </c>
      <c r="K4194" t="n">
        <v>1</v>
      </c>
      <c r="L4194" s="7" t="n">
        <v>1574</v>
      </c>
      <c r="M4194" s="7" t="n">
        <v>0</v>
      </c>
    </row>
    <row r="4195">
      <c r="A4195" t="n">
        <v>511676</v>
      </c>
      <c r="B4195" s="6" t="n">
        <v>46013</v>
      </c>
      <c r="C4195" t="n">
        <v>17406</v>
      </c>
      <c r="D4195" t="inlineStr">
        <is>
          <t>Jaipur</t>
        </is>
      </c>
      <c r="E4195" t="inlineStr">
        <is>
          <t>North</t>
        </is>
      </c>
      <c r="F4195" t="inlineStr">
        <is>
          <t>Paid Search</t>
        </is>
      </c>
      <c r="G4195" t="inlineStr">
        <is>
          <t>Mobile App</t>
        </is>
      </c>
      <c r="H4195" t="inlineStr">
        <is>
          <t>Credit Card</t>
        </is>
      </c>
      <c r="I4195" t="inlineStr">
        <is>
          <t>Delivered</t>
        </is>
      </c>
      <c r="J4195" t="n">
        <v>122</v>
      </c>
      <c r="K4195" t="n">
        <v>1</v>
      </c>
      <c r="L4195" s="7" t="n">
        <v>1994</v>
      </c>
      <c r="M4195" s="7" t="n">
        <v>0</v>
      </c>
    </row>
    <row r="4196">
      <c r="A4196" t="n">
        <v>511677</v>
      </c>
      <c r="B4196" s="6" t="n">
        <v>46013</v>
      </c>
      <c r="C4196" t="n">
        <v>17601</v>
      </c>
      <c r="D4196" t="inlineStr">
        <is>
          <t>Pune</t>
        </is>
      </c>
      <c r="E4196" t="inlineStr">
        <is>
          <t>West</t>
        </is>
      </c>
      <c r="F4196" t="inlineStr">
        <is>
          <t>Affiliate</t>
        </is>
      </c>
      <c r="G4196" t="inlineStr">
        <is>
          <t>Mobile App</t>
        </is>
      </c>
      <c r="H4196" t="inlineStr">
        <is>
          <t>Credit Card</t>
        </is>
      </c>
      <c r="I4196" t="inlineStr">
        <is>
          <t>Delivered</t>
        </is>
      </c>
      <c r="J4196" t="n">
        <v>121</v>
      </c>
      <c r="K4196" t="n">
        <v>2</v>
      </c>
      <c r="L4196" s="7" t="n">
        <v>2939</v>
      </c>
      <c r="M4196" s="7" t="n">
        <v>0</v>
      </c>
    </row>
    <row r="4197">
      <c r="A4197" t="n">
        <v>511677</v>
      </c>
      <c r="B4197" s="6" t="n">
        <v>46013</v>
      </c>
      <c r="C4197" t="n">
        <v>17601</v>
      </c>
      <c r="D4197" t="inlineStr">
        <is>
          <t>Pune</t>
        </is>
      </c>
      <c r="E4197" t="inlineStr">
        <is>
          <t>West</t>
        </is>
      </c>
      <c r="F4197" t="inlineStr">
        <is>
          <t>Affiliate</t>
        </is>
      </c>
      <c r="G4197" t="inlineStr">
        <is>
          <t>Mobile App</t>
        </is>
      </c>
      <c r="H4197" t="inlineStr">
        <is>
          <t>Credit Card</t>
        </is>
      </c>
      <c r="I4197" t="inlineStr">
        <is>
          <t>Delivered</t>
        </is>
      </c>
      <c r="J4197" t="n">
        <v>131</v>
      </c>
      <c r="K4197" t="n">
        <v>1</v>
      </c>
      <c r="L4197" s="7" t="n">
        <v>314</v>
      </c>
      <c r="M4197" s="7" t="n">
        <v>0</v>
      </c>
    </row>
    <row r="4198">
      <c r="A4198" t="n">
        <v>511678</v>
      </c>
      <c r="B4198" s="6" t="n">
        <v>46014</v>
      </c>
      <c r="C4198" t="n">
        <v>15860</v>
      </c>
      <c r="D4198" t="inlineStr">
        <is>
          <t>Mumbai</t>
        </is>
      </c>
      <c r="E4198" t="inlineStr">
        <is>
          <t>West</t>
        </is>
      </c>
      <c r="F4198" t="inlineStr">
        <is>
          <t>Paid Search</t>
        </is>
      </c>
      <c r="G4198" t="inlineStr">
        <is>
          <t>Mobile App</t>
        </is>
      </c>
      <c r="H4198" t="inlineStr">
        <is>
          <t>Credit Card</t>
        </is>
      </c>
      <c r="I4198" t="inlineStr">
        <is>
          <t>Delivered</t>
        </is>
      </c>
      <c r="J4198" t="n">
        <v>146</v>
      </c>
      <c r="K4198" t="n">
        <v>2</v>
      </c>
      <c r="L4198" s="7" t="n">
        <v>4724</v>
      </c>
      <c r="M4198" s="7" t="n">
        <v>0</v>
      </c>
    </row>
    <row r="4199">
      <c r="A4199" t="n">
        <v>511678</v>
      </c>
      <c r="B4199" s="6" t="n">
        <v>46014</v>
      </c>
      <c r="C4199" t="n">
        <v>15860</v>
      </c>
      <c r="D4199" t="inlineStr">
        <is>
          <t>Mumbai</t>
        </is>
      </c>
      <c r="E4199" t="inlineStr">
        <is>
          <t>West</t>
        </is>
      </c>
      <c r="F4199" t="inlineStr">
        <is>
          <t>Paid Search</t>
        </is>
      </c>
      <c r="G4199" t="inlineStr">
        <is>
          <t>Mobile App</t>
        </is>
      </c>
      <c r="H4199" t="inlineStr">
        <is>
          <t>Credit Card</t>
        </is>
      </c>
      <c r="I4199" t="inlineStr">
        <is>
          <t>Delivered</t>
        </is>
      </c>
      <c r="J4199" t="n">
        <v>114</v>
      </c>
      <c r="K4199" t="n">
        <v>1</v>
      </c>
      <c r="L4199" s="7" t="n">
        <v>1259</v>
      </c>
      <c r="M4199" s="7" t="n">
        <v>0</v>
      </c>
    </row>
    <row r="4200">
      <c r="A4200" t="n">
        <v>511678</v>
      </c>
      <c r="B4200" s="6" t="n">
        <v>46014</v>
      </c>
      <c r="C4200" t="n">
        <v>15860</v>
      </c>
      <c r="D4200" t="inlineStr">
        <is>
          <t>Mumbai</t>
        </is>
      </c>
      <c r="E4200" t="inlineStr">
        <is>
          <t>West</t>
        </is>
      </c>
      <c r="F4200" t="inlineStr">
        <is>
          <t>Paid Search</t>
        </is>
      </c>
      <c r="G4200" t="inlineStr">
        <is>
          <t>Mobile App</t>
        </is>
      </c>
      <c r="H4200" t="inlineStr">
        <is>
          <t>Credit Card</t>
        </is>
      </c>
      <c r="I4200" t="inlineStr">
        <is>
          <t>Delivered</t>
        </is>
      </c>
      <c r="J4200" t="n">
        <v>122</v>
      </c>
      <c r="K4200" t="n">
        <v>1</v>
      </c>
      <c r="L4200" s="7" t="n">
        <v>1994</v>
      </c>
      <c r="M4200" s="7" t="n">
        <v>0</v>
      </c>
    </row>
    <row r="4201">
      <c r="A4201" t="n">
        <v>511679</v>
      </c>
      <c r="B4201" s="6" t="n">
        <v>46014</v>
      </c>
      <c r="C4201" t="n">
        <v>17817</v>
      </c>
      <c r="D4201" t="inlineStr">
        <is>
          <t>Mumbai</t>
        </is>
      </c>
      <c r="E4201" t="inlineStr">
        <is>
          <t>West</t>
        </is>
      </c>
      <c r="F4201" t="inlineStr">
        <is>
          <t>Referral</t>
        </is>
      </c>
      <c r="G4201" t="inlineStr">
        <is>
          <t>Mobile App</t>
        </is>
      </c>
      <c r="H4201" t="inlineStr">
        <is>
          <t>UPI</t>
        </is>
      </c>
      <c r="I4201" t="inlineStr">
        <is>
          <t>Delivered</t>
        </is>
      </c>
      <c r="J4201" t="n">
        <v>137</v>
      </c>
      <c r="K4201" t="n">
        <v>1</v>
      </c>
      <c r="L4201" s="7" t="n">
        <v>261</v>
      </c>
      <c r="M4201" s="7" t="n">
        <v>39.15</v>
      </c>
    </row>
    <row r="4202">
      <c r="A4202" t="n">
        <v>511679</v>
      </c>
      <c r="B4202" s="6" t="n">
        <v>46014</v>
      </c>
      <c r="C4202" t="n">
        <v>17817</v>
      </c>
      <c r="D4202" t="inlineStr">
        <is>
          <t>Mumbai</t>
        </is>
      </c>
      <c r="E4202" t="inlineStr">
        <is>
          <t>West</t>
        </is>
      </c>
      <c r="F4202" t="inlineStr">
        <is>
          <t>Referral</t>
        </is>
      </c>
      <c r="G4202" t="inlineStr">
        <is>
          <t>Mobile App</t>
        </is>
      </c>
      <c r="H4202" t="inlineStr">
        <is>
          <t>UPI</t>
        </is>
      </c>
      <c r="I4202" t="inlineStr">
        <is>
          <t>Delivered</t>
        </is>
      </c>
      <c r="J4202" t="n">
        <v>133</v>
      </c>
      <c r="K4202" t="n">
        <v>1</v>
      </c>
      <c r="L4202" s="7" t="n">
        <v>419</v>
      </c>
      <c r="M4202" s="7" t="n">
        <v>62.85</v>
      </c>
    </row>
    <row r="4203">
      <c r="A4203" t="n">
        <v>511680</v>
      </c>
      <c r="B4203" s="6" t="n">
        <v>46014</v>
      </c>
      <c r="C4203" t="n">
        <v>17864</v>
      </c>
      <c r="D4203" t="inlineStr">
        <is>
          <t>Bengaluru</t>
        </is>
      </c>
      <c r="E4203" t="inlineStr">
        <is>
          <t>South</t>
        </is>
      </c>
      <c r="F4203" t="inlineStr">
        <is>
          <t>Paid Search</t>
        </is>
      </c>
      <c r="G4203" t="inlineStr">
        <is>
          <t>Mobile App</t>
        </is>
      </c>
      <c r="H4203" t="inlineStr">
        <is>
          <t>Debit Card</t>
        </is>
      </c>
      <c r="I4203" t="inlineStr">
        <is>
          <t>Delivered</t>
        </is>
      </c>
      <c r="J4203" t="n">
        <v>106</v>
      </c>
      <c r="K4203" t="n">
        <v>1</v>
      </c>
      <c r="L4203" s="7" t="n">
        <v>1574</v>
      </c>
      <c r="M4203" s="7" t="n">
        <v>236.1</v>
      </c>
    </row>
    <row r="4204">
      <c r="A4204" t="n">
        <v>511681</v>
      </c>
      <c r="B4204" s="6" t="n">
        <v>46014</v>
      </c>
      <c r="C4204" t="n">
        <v>15616</v>
      </c>
      <c r="D4204" t="inlineStr">
        <is>
          <t>Bengaluru</t>
        </is>
      </c>
      <c r="E4204" t="inlineStr">
        <is>
          <t>South</t>
        </is>
      </c>
      <c r="F4204" t="inlineStr">
        <is>
          <t>Organic Search</t>
        </is>
      </c>
      <c r="G4204" t="inlineStr">
        <is>
          <t>Mobile App</t>
        </is>
      </c>
      <c r="H4204" t="inlineStr">
        <is>
          <t>Net Banking</t>
        </is>
      </c>
      <c r="I4204" t="inlineStr">
        <is>
          <t>Cancelled</t>
        </is>
      </c>
      <c r="J4204" t="n">
        <v>134</v>
      </c>
      <c r="K4204" t="n">
        <v>1</v>
      </c>
      <c r="L4204" s="7" t="n">
        <v>209</v>
      </c>
      <c r="M4204" s="7" t="n">
        <v>0</v>
      </c>
    </row>
    <row r="4205">
      <c r="A4205" t="n">
        <v>511682</v>
      </c>
      <c r="B4205" s="6" t="n">
        <v>46014</v>
      </c>
      <c r="C4205" t="n">
        <v>17841</v>
      </c>
      <c r="D4205" t="inlineStr">
        <is>
          <t>Mumbai</t>
        </is>
      </c>
      <c r="E4205" t="inlineStr">
        <is>
          <t>West</t>
        </is>
      </c>
      <c r="F4205" t="inlineStr">
        <is>
          <t>Organic Search</t>
        </is>
      </c>
      <c r="G4205" t="inlineStr">
        <is>
          <t>Mobile Web</t>
        </is>
      </c>
      <c r="H4205" t="inlineStr">
        <is>
          <t>UPI</t>
        </is>
      </c>
      <c r="I4205" t="inlineStr">
        <is>
          <t>Delivered</t>
        </is>
      </c>
      <c r="J4205" t="n">
        <v>147</v>
      </c>
      <c r="K4205" t="n">
        <v>1</v>
      </c>
      <c r="L4205" s="7" t="n">
        <v>1364</v>
      </c>
      <c r="M4205" s="7" t="n">
        <v>204.6</v>
      </c>
    </row>
    <row r="4206">
      <c r="A4206" t="n">
        <v>511683</v>
      </c>
      <c r="B4206" s="6" t="n">
        <v>46014</v>
      </c>
      <c r="C4206" t="n">
        <v>17881</v>
      </c>
      <c r="D4206" t="inlineStr">
        <is>
          <t>Kolkata</t>
        </is>
      </c>
      <c r="E4206" t="inlineStr">
        <is>
          <t>East</t>
        </is>
      </c>
      <c r="F4206" t="inlineStr">
        <is>
          <t>Organic Search</t>
        </is>
      </c>
      <c r="G4206" t="inlineStr">
        <is>
          <t>Mobile App</t>
        </is>
      </c>
      <c r="H4206" t="inlineStr">
        <is>
          <t>UPI</t>
        </is>
      </c>
      <c r="I4206" t="inlineStr">
        <is>
          <t>Delivered</t>
        </is>
      </c>
      <c r="J4206" t="n">
        <v>109</v>
      </c>
      <c r="K4206" t="n">
        <v>1</v>
      </c>
      <c r="L4206" s="7" t="n">
        <v>4199</v>
      </c>
      <c r="M4206" s="7" t="n">
        <v>629.85</v>
      </c>
    </row>
    <row r="4207">
      <c r="A4207" t="n">
        <v>511683</v>
      </c>
      <c r="B4207" s="6" t="n">
        <v>46014</v>
      </c>
      <c r="C4207" t="n">
        <v>17881</v>
      </c>
      <c r="D4207" t="inlineStr">
        <is>
          <t>Kolkata</t>
        </is>
      </c>
      <c r="E4207" t="inlineStr">
        <is>
          <t>East</t>
        </is>
      </c>
      <c r="F4207" t="inlineStr">
        <is>
          <t>Organic Search</t>
        </is>
      </c>
      <c r="G4207" t="inlineStr">
        <is>
          <t>Mobile App</t>
        </is>
      </c>
      <c r="H4207" t="inlineStr">
        <is>
          <t>UPI</t>
        </is>
      </c>
      <c r="I4207" t="inlineStr">
        <is>
          <t>Delivered</t>
        </is>
      </c>
      <c r="J4207" t="n">
        <v>113</v>
      </c>
      <c r="K4207" t="n">
        <v>1</v>
      </c>
      <c r="L4207" s="7" t="n">
        <v>1364</v>
      </c>
      <c r="M4207" s="7" t="n">
        <v>204.6</v>
      </c>
    </row>
    <row r="4208">
      <c r="A4208" t="n">
        <v>511683</v>
      </c>
      <c r="B4208" s="6" t="n">
        <v>46014</v>
      </c>
      <c r="C4208" t="n">
        <v>17881</v>
      </c>
      <c r="D4208" t="inlineStr">
        <is>
          <t>Kolkata</t>
        </is>
      </c>
      <c r="E4208" t="inlineStr">
        <is>
          <t>East</t>
        </is>
      </c>
      <c r="F4208" t="inlineStr">
        <is>
          <t>Organic Search</t>
        </is>
      </c>
      <c r="G4208" t="inlineStr">
        <is>
          <t>Mobile App</t>
        </is>
      </c>
      <c r="H4208" t="inlineStr">
        <is>
          <t>UPI</t>
        </is>
      </c>
      <c r="I4208" t="inlineStr">
        <is>
          <t>Delivered</t>
        </is>
      </c>
      <c r="J4208" t="n">
        <v>117</v>
      </c>
      <c r="K4208" t="n">
        <v>1</v>
      </c>
      <c r="L4208" s="7" t="n">
        <v>3149</v>
      </c>
      <c r="M4208" s="7" t="n">
        <v>472.35</v>
      </c>
    </row>
    <row r="4209">
      <c r="A4209" t="n">
        <v>511684</v>
      </c>
      <c r="B4209" s="6" t="n">
        <v>46014</v>
      </c>
      <c r="C4209" t="n">
        <v>16431</v>
      </c>
      <c r="D4209" t="inlineStr">
        <is>
          <t>Delhi</t>
        </is>
      </c>
      <c r="E4209" t="inlineStr">
        <is>
          <t>North</t>
        </is>
      </c>
      <c r="F4209" t="inlineStr">
        <is>
          <t>Paid Social</t>
        </is>
      </c>
      <c r="G4209" t="inlineStr">
        <is>
          <t>Desktop</t>
        </is>
      </c>
      <c r="H4209" t="inlineStr">
        <is>
          <t>UPI</t>
        </is>
      </c>
      <c r="I4209" t="inlineStr">
        <is>
          <t>Delivered</t>
        </is>
      </c>
      <c r="J4209" t="n">
        <v>104</v>
      </c>
      <c r="K4209" t="n">
        <v>2</v>
      </c>
      <c r="L4209" s="7" t="n">
        <v>5249</v>
      </c>
      <c r="M4209" s="7" t="n">
        <v>0</v>
      </c>
    </row>
    <row r="4210">
      <c r="A4210" t="n">
        <v>511684</v>
      </c>
      <c r="B4210" s="6" t="n">
        <v>46014</v>
      </c>
      <c r="C4210" t="n">
        <v>16431</v>
      </c>
      <c r="D4210" t="inlineStr">
        <is>
          <t>Delhi</t>
        </is>
      </c>
      <c r="E4210" t="inlineStr">
        <is>
          <t>North</t>
        </is>
      </c>
      <c r="F4210" t="inlineStr">
        <is>
          <t>Paid Social</t>
        </is>
      </c>
      <c r="G4210" t="inlineStr">
        <is>
          <t>Desktop</t>
        </is>
      </c>
      <c r="H4210" t="inlineStr">
        <is>
          <t>UPI</t>
        </is>
      </c>
      <c r="I4210" t="inlineStr">
        <is>
          <t>Delivered</t>
        </is>
      </c>
      <c r="J4210" t="n">
        <v>118</v>
      </c>
      <c r="K4210" t="n">
        <v>1</v>
      </c>
      <c r="L4210" s="7" t="n">
        <v>944</v>
      </c>
      <c r="M4210" s="7" t="n">
        <v>0</v>
      </c>
    </row>
    <row r="4211">
      <c r="A4211" t="n">
        <v>511685</v>
      </c>
      <c r="B4211" s="6" t="n">
        <v>46014</v>
      </c>
      <c r="C4211" t="n">
        <v>16549</v>
      </c>
      <c r="D4211" t="inlineStr">
        <is>
          <t>Ahmedabad</t>
        </is>
      </c>
      <c r="E4211" t="inlineStr">
        <is>
          <t>West</t>
        </is>
      </c>
      <c r="F4211" t="inlineStr">
        <is>
          <t>Organic Search</t>
        </is>
      </c>
      <c r="G4211" t="inlineStr">
        <is>
          <t>Mobile App</t>
        </is>
      </c>
      <c r="H4211" t="inlineStr">
        <is>
          <t>Credit Card</t>
        </is>
      </c>
      <c r="I4211" t="inlineStr">
        <is>
          <t>Delivered</t>
        </is>
      </c>
      <c r="J4211" t="n">
        <v>103</v>
      </c>
      <c r="K4211" t="n">
        <v>1</v>
      </c>
      <c r="L4211" s="7" t="n">
        <v>2624</v>
      </c>
      <c r="M4211" s="7" t="n">
        <v>0</v>
      </c>
    </row>
    <row r="4212">
      <c r="A4212" t="n">
        <v>511685</v>
      </c>
      <c r="B4212" s="6" t="n">
        <v>46014</v>
      </c>
      <c r="C4212" t="n">
        <v>16549</v>
      </c>
      <c r="D4212" t="inlineStr">
        <is>
          <t>Ahmedabad</t>
        </is>
      </c>
      <c r="E4212" t="inlineStr">
        <is>
          <t>West</t>
        </is>
      </c>
      <c r="F4212" t="inlineStr">
        <is>
          <t>Organic Search</t>
        </is>
      </c>
      <c r="G4212" t="inlineStr">
        <is>
          <t>Mobile App</t>
        </is>
      </c>
      <c r="H4212" t="inlineStr">
        <is>
          <t>Credit Card</t>
        </is>
      </c>
      <c r="I4212" t="inlineStr">
        <is>
          <t>Delivered</t>
        </is>
      </c>
      <c r="J4212" t="n">
        <v>114</v>
      </c>
      <c r="K4212" t="n">
        <v>1</v>
      </c>
      <c r="L4212" s="7" t="n">
        <v>1259</v>
      </c>
      <c r="M4212" s="7" t="n">
        <v>0</v>
      </c>
    </row>
    <row r="4213">
      <c r="A4213" t="n">
        <v>511686</v>
      </c>
      <c r="B4213" s="6" t="n">
        <v>46014</v>
      </c>
      <c r="C4213" t="n">
        <v>17694</v>
      </c>
      <c r="D4213" t="inlineStr">
        <is>
          <t>Gurugram</t>
        </is>
      </c>
      <c r="E4213" t="inlineStr">
        <is>
          <t>North</t>
        </is>
      </c>
      <c r="F4213" t="inlineStr">
        <is>
          <t>Referral</t>
        </is>
      </c>
      <c r="G4213" t="inlineStr">
        <is>
          <t>Mobile App</t>
        </is>
      </c>
      <c r="H4213" t="inlineStr">
        <is>
          <t>Cash on Delivery</t>
        </is>
      </c>
      <c r="I4213" t="inlineStr">
        <is>
          <t>Delivered</t>
        </is>
      </c>
      <c r="J4213" t="n">
        <v>117</v>
      </c>
      <c r="K4213" t="n">
        <v>1</v>
      </c>
      <c r="L4213" s="7" t="n">
        <v>3149</v>
      </c>
      <c r="M4213" s="7" t="n">
        <v>472.35</v>
      </c>
    </row>
    <row r="4214">
      <c r="A4214" t="n">
        <v>511687</v>
      </c>
      <c r="B4214" s="6" t="n">
        <v>46014</v>
      </c>
      <c r="C4214" t="n">
        <v>17333</v>
      </c>
      <c r="D4214" t="inlineStr">
        <is>
          <t>Kochi</t>
        </is>
      </c>
      <c r="E4214" t="inlineStr">
        <is>
          <t>South</t>
        </is>
      </c>
      <c r="F4214" t="inlineStr">
        <is>
          <t>Referral</t>
        </is>
      </c>
      <c r="G4214" t="inlineStr">
        <is>
          <t>Mobile Web</t>
        </is>
      </c>
      <c r="H4214" t="inlineStr">
        <is>
          <t>Debit Card</t>
        </is>
      </c>
      <c r="I4214" t="inlineStr">
        <is>
          <t>Delivered</t>
        </is>
      </c>
      <c r="J4214" t="n">
        <v>107</v>
      </c>
      <c r="K4214" t="n">
        <v>1</v>
      </c>
      <c r="L4214" s="7" t="n">
        <v>1259</v>
      </c>
      <c r="M4214" s="7" t="n">
        <v>0</v>
      </c>
    </row>
    <row r="4215">
      <c r="A4215" t="n">
        <v>511688</v>
      </c>
      <c r="B4215" s="6" t="n">
        <v>46014</v>
      </c>
      <c r="C4215" t="n">
        <v>11889</v>
      </c>
      <c r="D4215" t="inlineStr">
        <is>
          <t>Lucknow</t>
        </is>
      </c>
      <c r="E4215" t="inlineStr">
        <is>
          <t>North</t>
        </is>
      </c>
      <c r="F4215" t="inlineStr">
        <is>
          <t>Organic Search</t>
        </is>
      </c>
      <c r="G4215" t="inlineStr">
        <is>
          <t>Mobile Web</t>
        </is>
      </c>
      <c r="H4215" t="inlineStr">
        <is>
          <t>UPI</t>
        </is>
      </c>
      <c r="I4215" t="inlineStr">
        <is>
          <t>Delivered</t>
        </is>
      </c>
      <c r="J4215" t="n">
        <v>103</v>
      </c>
      <c r="K4215" t="n">
        <v>1</v>
      </c>
      <c r="L4215" s="7" t="n">
        <v>2624</v>
      </c>
      <c r="M4215" s="7" t="n">
        <v>0</v>
      </c>
    </row>
    <row r="4216">
      <c r="A4216" t="n">
        <v>511689</v>
      </c>
      <c r="B4216" s="6" t="n">
        <v>46014</v>
      </c>
      <c r="C4216" t="n">
        <v>16898</v>
      </c>
      <c r="D4216" t="inlineStr">
        <is>
          <t>Noida</t>
        </is>
      </c>
      <c r="E4216" t="inlineStr">
        <is>
          <t>North</t>
        </is>
      </c>
      <c r="F4216" t="inlineStr">
        <is>
          <t>Organic Search</t>
        </is>
      </c>
      <c r="G4216" t="inlineStr">
        <is>
          <t>Mobile Web</t>
        </is>
      </c>
      <c r="H4216" t="inlineStr">
        <is>
          <t>UPI</t>
        </is>
      </c>
      <c r="I4216" t="inlineStr">
        <is>
          <t>Delivered</t>
        </is>
      </c>
      <c r="J4216" t="n">
        <v>125</v>
      </c>
      <c r="K4216" t="n">
        <v>1</v>
      </c>
      <c r="L4216" s="7" t="n">
        <v>1364</v>
      </c>
      <c r="M4216" s="7" t="n">
        <v>0</v>
      </c>
    </row>
    <row r="4217">
      <c r="A4217" t="n">
        <v>511690</v>
      </c>
      <c r="B4217" s="6" t="n">
        <v>46014</v>
      </c>
      <c r="C4217" t="n">
        <v>14856</v>
      </c>
      <c r="D4217" t="inlineStr">
        <is>
          <t>Gurugram</t>
        </is>
      </c>
      <c r="E4217" t="inlineStr">
        <is>
          <t>North</t>
        </is>
      </c>
      <c r="F4217" t="inlineStr">
        <is>
          <t>Paid Search</t>
        </is>
      </c>
      <c r="G4217" t="inlineStr">
        <is>
          <t>Mobile App</t>
        </is>
      </c>
      <c r="H4217" t="inlineStr">
        <is>
          <t>Cash on Delivery</t>
        </is>
      </c>
      <c r="I4217" t="inlineStr">
        <is>
          <t>Delivered</t>
        </is>
      </c>
      <c r="J4217" t="n">
        <v>111</v>
      </c>
      <c r="K4217" t="n">
        <v>1</v>
      </c>
      <c r="L4217" s="7" t="n">
        <v>524</v>
      </c>
      <c r="M4217" s="7" t="n">
        <v>0</v>
      </c>
    </row>
    <row r="4218">
      <c r="A4218" t="n">
        <v>511691</v>
      </c>
      <c r="B4218" s="6" t="n">
        <v>46014</v>
      </c>
      <c r="C4218" t="n">
        <v>17668</v>
      </c>
      <c r="D4218" t="inlineStr">
        <is>
          <t>Bengaluru</t>
        </is>
      </c>
      <c r="E4218" t="inlineStr">
        <is>
          <t>South</t>
        </is>
      </c>
      <c r="F4218" t="inlineStr">
        <is>
          <t>Organic Search</t>
        </is>
      </c>
      <c r="G4218" t="inlineStr">
        <is>
          <t>Mobile Web</t>
        </is>
      </c>
      <c r="H4218" t="inlineStr">
        <is>
          <t>UPI</t>
        </is>
      </c>
      <c r="I4218" t="inlineStr">
        <is>
          <t>Delivered</t>
        </is>
      </c>
      <c r="J4218" t="n">
        <v>116</v>
      </c>
      <c r="K4218" t="n">
        <v>1</v>
      </c>
      <c r="L4218" s="7" t="n">
        <v>2624</v>
      </c>
      <c r="M4218" s="7" t="n">
        <v>131.2</v>
      </c>
    </row>
    <row r="4219">
      <c r="A4219" t="n">
        <v>511691</v>
      </c>
      <c r="B4219" s="6" t="n">
        <v>46014</v>
      </c>
      <c r="C4219" t="n">
        <v>17668</v>
      </c>
      <c r="D4219" t="inlineStr">
        <is>
          <t>Bengaluru</t>
        </is>
      </c>
      <c r="E4219" t="inlineStr">
        <is>
          <t>South</t>
        </is>
      </c>
      <c r="F4219" t="inlineStr">
        <is>
          <t>Organic Search</t>
        </is>
      </c>
      <c r="G4219" t="inlineStr">
        <is>
          <t>Mobile Web</t>
        </is>
      </c>
      <c r="H4219" t="inlineStr">
        <is>
          <t>UPI</t>
        </is>
      </c>
      <c r="I4219" t="inlineStr">
        <is>
          <t>Delivered</t>
        </is>
      </c>
      <c r="J4219" t="n">
        <v>146</v>
      </c>
      <c r="K4219" t="n">
        <v>1</v>
      </c>
      <c r="L4219" s="7" t="n">
        <v>4724</v>
      </c>
      <c r="M4219" s="7" t="n">
        <v>236.2</v>
      </c>
    </row>
    <row r="4220">
      <c r="A4220" t="n">
        <v>511692</v>
      </c>
      <c r="B4220" s="6" t="n">
        <v>46014</v>
      </c>
      <c r="C4220" t="n">
        <v>16913</v>
      </c>
      <c r="D4220" t="inlineStr">
        <is>
          <t>Chennai</t>
        </is>
      </c>
      <c r="E4220" t="inlineStr">
        <is>
          <t>South</t>
        </is>
      </c>
      <c r="F4220" t="inlineStr">
        <is>
          <t>Paid Search</t>
        </is>
      </c>
      <c r="G4220" t="inlineStr">
        <is>
          <t>Desktop</t>
        </is>
      </c>
      <c r="H4220" t="inlineStr">
        <is>
          <t>Credit Card</t>
        </is>
      </c>
      <c r="I4220" t="inlineStr">
        <is>
          <t>Delivered</t>
        </is>
      </c>
      <c r="J4220" t="n">
        <v>102</v>
      </c>
      <c r="K4220" t="n">
        <v>2</v>
      </c>
      <c r="L4220" s="7" t="n">
        <v>3674</v>
      </c>
      <c r="M4220" s="7" t="n">
        <v>0</v>
      </c>
    </row>
    <row r="4221">
      <c r="A4221" t="n">
        <v>511693</v>
      </c>
      <c r="B4221" s="6" t="n">
        <v>46014</v>
      </c>
      <c r="C4221" t="n">
        <v>17891</v>
      </c>
      <c r="D4221" t="inlineStr">
        <is>
          <t>Delhi</t>
        </is>
      </c>
      <c r="E4221" t="inlineStr">
        <is>
          <t>North</t>
        </is>
      </c>
      <c r="F4221" t="inlineStr">
        <is>
          <t>Referral</t>
        </is>
      </c>
      <c r="G4221" t="inlineStr">
        <is>
          <t>Mobile Web</t>
        </is>
      </c>
      <c r="H4221" t="inlineStr">
        <is>
          <t>UPI</t>
        </is>
      </c>
      <c r="I4221" t="inlineStr">
        <is>
          <t>Returned</t>
        </is>
      </c>
      <c r="J4221" t="n">
        <v>127</v>
      </c>
      <c r="K4221" t="n">
        <v>1</v>
      </c>
      <c r="L4221" s="7" t="n">
        <v>681</v>
      </c>
      <c r="M4221" s="7" t="n">
        <v>102.15</v>
      </c>
    </row>
    <row r="4222">
      <c r="A4222" t="n">
        <v>511693</v>
      </c>
      <c r="B4222" s="6" t="n">
        <v>46014</v>
      </c>
      <c r="C4222" t="n">
        <v>17891</v>
      </c>
      <c r="D4222" t="inlineStr">
        <is>
          <t>Delhi</t>
        </is>
      </c>
      <c r="E4222" t="inlineStr">
        <is>
          <t>North</t>
        </is>
      </c>
      <c r="F4222" t="inlineStr">
        <is>
          <t>Referral</t>
        </is>
      </c>
      <c r="G4222" t="inlineStr">
        <is>
          <t>Mobile Web</t>
        </is>
      </c>
      <c r="H4222" t="inlineStr">
        <is>
          <t>UPI</t>
        </is>
      </c>
      <c r="I4222" t="inlineStr">
        <is>
          <t>Returned</t>
        </is>
      </c>
      <c r="J4222" t="n">
        <v>130</v>
      </c>
      <c r="K4222" t="n">
        <v>2</v>
      </c>
      <c r="L4222" s="7" t="n">
        <v>734</v>
      </c>
      <c r="M4222" s="7" t="n">
        <v>220.2</v>
      </c>
    </row>
    <row r="4223">
      <c r="A4223" t="n">
        <v>511693</v>
      </c>
      <c r="B4223" s="6" t="n">
        <v>46014</v>
      </c>
      <c r="C4223" t="n">
        <v>17891</v>
      </c>
      <c r="D4223" t="inlineStr">
        <is>
          <t>Delhi</t>
        </is>
      </c>
      <c r="E4223" t="inlineStr">
        <is>
          <t>North</t>
        </is>
      </c>
      <c r="F4223" t="inlineStr">
        <is>
          <t>Referral</t>
        </is>
      </c>
      <c r="G4223" t="inlineStr">
        <is>
          <t>Mobile Web</t>
        </is>
      </c>
      <c r="H4223" t="inlineStr">
        <is>
          <t>UPI</t>
        </is>
      </c>
      <c r="I4223" t="inlineStr">
        <is>
          <t>Returned</t>
        </is>
      </c>
      <c r="J4223" t="n">
        <v>118</v>
      </c>
      <c r="K4223" t="n">
        <v>2</v>
      </c>
      <c r="L4223" s="7" t="n">
        <v>944</v>
      </c>
      <c r="M4223" s="7" t="n">
        <v>283.2</v>
      </c>
    </row>
    <row r="4224">
      <c r="A4224" t="n">
        <v>511693</v>
      </c>
      <c r="B4224" s="6" t="n">
        <v>46014</v>
      </c>
      <c r="C4224" t="n">
        <v>17891</v>
      </c>
      <c r="D4224" t="inlineStr">
        <is>
          <t>Delhi</t>
        </is>
      </c>
      <c r="E4224" t="inlineStr">
        <is>
          <t>North</t>
        </is>
      </c>
      <c r="F4224" t="inlineStr">
        <is>
          <t>Referral</t>
        </is>
      </c>
      <c r="G4224" t="inlineStr">
        <is>
          <t>Mobile Web</t>
        </is>
      </c>
      <c r="H4224" t="inlineStr">
        <is>
          <t>UPI</t>
        </is>
      </c>
      <c r="I4224" t="inlineStr">
        <is>
          <t>Returned</t>
        </is>
      </c>
      <c r="J4224" t="n">
        <v>113</v>
      </c>
      <c r="K4224" t="n">
        <v>1</v>
      </c>
      <c r="L4224" s="7" t="n">
        <v>1364</v>
      </c>
      <c r="M4224" s="7" t="n">
        <v>204.6</v>
      </c>
    </row>
    <row r="4225">
      <c r="A4225" t="n">
        <v>511694</v>
      </c>
      <c r="B4225" s="6" t="n">
        <v>46014</v>
      </c>
      <c r="C4225" t="n">
        <v>15839</v>
      </c>
      <c r="D4225" t="inlineStr">
        <is>
          <t>Gurugram</t>
        </is>
      </c>
      <c r="E4225" t="inlineStr">
        <is>
          <t>North</t>
        </is>
      </c>
      <c r="F4225" t="inlineStr">
        <is>
          <t>Paid Search</t>
        </is>
      </c>
      <c r="G4225" t="inlineStr">
        <is>
          <t>Mobile Web</t>
        </is>
      </c>
      <c r="H4225" t="inlineStr">
        <is>
          <t>Cash on Delivery</t>
        </is>
      </c>
      <c r="I4225" t="inlineStr">
        <is>
          <t>Returned</t>
        </is>
      </c>
      <c r="J4225" t="n">
        <v>103</v>
      </c>
      <c r="K4225" t="n">
        <v>1</v>
      </c>
      <c r="L4225" s="7" t="n">
        <v>2624</v>
      </c>
      <c r="M4225" s="7" t="n">
        <v>0</v>
      </c>
    </row>
    <row r="4226">
      <c r="A4226" t="n">
        <v>511695</v>
      </c>
      <c r="B4226" s="6" t="n">
        <v>46014</v>
      </c>
      <c r="C4226" t="n">
        <v>15034</v>
      </c>
      <c r="D4226" t="inlineStr">
        <is>
          <t>Hyderabad</t>
        </is>
      </c>
      <c r="E4226" t="inlineStr">
        <is>
          <t>South</t>
        </is>
      </c>
      <c r="F4226" t="inlineStr">
        <is>
          <t>Organic Search</t>
        </is>
      </c>
      <c r="G4226" t="inlineStr">
        <is>
          <t>Mobile App</t>
        </is>
      </c>
      <c r="H4226" t="inlineStr">
        <is>
          <t>UPI</t>
        </is>
      </c>
      <c r="I4226" t="inlineStr">
        <is>
          <t>Returned</t>
        </is>
      </c>
      <c r="J4226" t="n">
        <v>112</v>
      </c>
      <c r="K4226" t="n">
        <v>1</v>
      </c>
      <c r="L4226" s="7" t="n">
        <v>1574</v>
      </c>
      <c r="M4226" s="7" t="n">
        <v>0</v>
      </c>
    </row>
    <row r="4227">
      <c r="A4227" t="n">
        <v>511695</v>
      </c>
      <c r="B4227" s="6" t="n">
        <v>46014</v>
      </c>
      <c r="C4227" t="n">
        <v>15034</v>
      </c>
      <c r="D4227" t="inlineStr">
        <is>
          <t>Hyderabad</t>
        </is>
      </c>
      <c r="E4227" t="inlineStr">
        <is>
          <t>South</t>
        </is>
      </c>
      <c r="F4227" t="inlineStr">
        <is>
          <t>Organic Search</t>
        </is>
      </c>
      <c r="G4227" t="inlineStr">
        <is>
          <t>Mobile App</t>
        </is>
      </c>
      <c r="H4227" t="inlineStr">
        <is>
          <t>UPI</t>
        </is>
      </c>
      <c r="I4227" t="inlineStr">
        <is>
          <t>Returned</t>
        </is>
      </c>
      <c r="J4227" t="n">
        <v>143</v>
      </c>
      <c r="K4227" t="n">
        <v>1</v>
      </c>
      <c r="L4227" s="7" t="n">
        <v>839</v>
      </c>
      <c r="M4227" s="7" t="n">
        <v>0</v>
      </c>
    </row>
    <row r="4228">
      <c r="A4228" t="n">
        <v>511695</v>
      </c>
      <c r="B4228" s="6" t="n">
        <v>46014</v>
      </c>
      <c r="C4228" t="n">
        <v>15034</v>
      </c>
      <c r="D4228" t="inlineStr">
        <is>
          <t>Hyderabad</t>
        </is>
      </c>
      <c r="E4228" t="inlineStr">
        <is>
          <t>South</t>
        </is>
      </c>
      <c r="F4228" t="inlineStr">
        <is>
          <t>Organic Search</t>
        </is>
      </c>
      <c r="G4228" t="inlineStr">
        <is>
          <t>Mobile App</t>
        </is>
      </c>
      <c r="H4228" t="inlineStr">
        <is>
          <t>UPI</t>
        </is>
      </c>
      <c r="I4228" t="inlineStr">
        <is>
          <t>Returned</t>
        </is>
      </c>
      <c r="J4228" t="n">
        <v>127</v>
      </c>
      <c r="K4228" t="n">
        <v>1</v>
      </c>
      <c r="L4228" s="7" t="n">
        <v>681</v>
      </c>
      <c r="M4228" s="7" t="n">
        <v>0</v>
      </c>
    </row>
    <row r="4229">
      <c r="A4229" t="n">
        <v>511695</v>
      </c>
      <c r="B4229" s="6" t="n">
        <v>46014</v>
      </c>
      <c r="C4229" t="n">
        <v>15034</v>
      </c>
      <c r="D4229" t="inlineStr">
        <is>
          <t>Hyderabad</t>
        </is>
      </c>
      <c r="E4229" t="inlineStr">
        <is>
          <t>South</t>
        </is>
      </c>
      <c r="F4229" t="inlineStr">
        <is>
          <t>Organic Search</t>
        </is>
      </c>
      <c r="G4229" t="inlineStr">
        <is>
          <t>Mobile App</t>
        </is>
      </c>
      <c r="H4229" t="inlineStr">
        <is>
          <t>UPI</t>
        </is>
      </c>
      <c r="I4229" t="inlineStr">
        <is>
          <t>Returned</t>
        </is>
      </c>
      <c r="J4229" t="n">
        <v>132</v>
      </c>
      <c r="K4229" t="n">
        <v>2</v>
      </c>
      <c r="L4229" s="7" t="n">
        <v>471</v>
      </c>
      <c r="M4229" s="7" t="n">
        <v>0</v>
      </c>
    </row>
    <row r="4230">
      <c r="A4230" t="n">
        <v>511696</v>
      </c>
      <c r="B4230" s="6" t="n">
        <v>46014</v>
      </c>
      <c r="C4230" t="n">
        <v>13468</v>
      </c>
      <c r="D4230" t="inlineStr">
        <is>
          <t>Delhi</t>
        </is>
      </c>
      <c r="E4230" t="inlineStr">
        <is>
          <t>North</t>
        </is>
      </c>
      <c r="F4230" t="inlineStr">
        <is>
          <t>Referral</t>
        </is>
      </c>
      <c r="G4230" t="inlineStr">
        <is>
          <t>Mobile App</t>
        </is>
      </c>
      <c r="H4230" t="inlineStr">
        <is>
          <t>UPI</t>
        </is>
      </c>
      <c r="I4230" t="inlineStr">
        <is>
          <t>Returned</t>
        </is>
      </c>
      <c r="J4230" t="n">
        <v>115</v>
      </c>
      <c r="K4230" t="n">
        <v>1</v>
      </c>
      <c r="L4230" s="7" t="n">
        <v>4199</v>
      </c>
      <c r="M4230" s="7" t="n">
        <v>0</v>
      </c>
    </row>
    <row r="4231">
      <c r="A4231" t="n">
        <v>511696</v>
      </c>
      <c r="B4231" s="6" t="n">
        <v>46014</v>
      </c>
      <c r="C4231" t="n">
        <v>13468</v>
      </c>
      <c r="D4231" t="inlineStr">
        <is>
          <t>Delhi</t>
        </is>
      </c>
      <c r="E4231" t="inlineStr">
        <is>
          <t>North</t>
        </is>
      </c>
      <c r="F4231" t="inlineStr">
        <is>
          <t>Referral</t>
        </is>
      </c>
      <c r="G4231" t="inlineStr">
        <is>
          <t>Mobile App</t>
        </is>
      </c>
      <c r="H4231" t="inlineStr">
        <is>
          <t>UPI</t>
        </is>
      </c>
      <c r="I4231" t="inlineStr">
        <is>
          <t>Returned</t>
        </is>
      </c>
      <c r="J4231" t="n">
        <v>113</v>
      </c>
      <c r="K4231" t="n">
        <v>1</v>
      </c>
      <c r="L4231" s="7" t="n">
        <v>1364</v>
      </c>
      <c r="M4231" s="7" t="n">
        <v>0</v>
      </c>
    </row>
    <row r="4232">
      <c r="A4232" t="n">
        <v>511696</v>
      </c>
      <c r="B4232" s="6" t="n">
        <v>46014</v>
      </c>
      <c r="C4232" t="n">
        <v>13468</v>
      </c>
      <c r="D4232" t="inlineStr">
        <is>
          <t>Delhi</t>
        </is>
      </c>
      <c r="E4232" t="inlineStr">
        <is>
          <t>North</t>
        </is>
      </c>
      <c r="F4232" t="inlineStr">
        <is>
          <t>Referral</t>
        </is>
      </c>
      <c r="G4232" t="inlineStr">
        <is>
          <t>Mobile App</t>
        </is>
      </c>
      <c r="H4232" t="inlineStr">
        <is>
          <t>UPI</t>
        </is>
      </c>
      <c r="I4232" t="inlineStr">
        <is>
          <t>Returned</t>
        </is>
      </c>
      <c r="J4232" t="n">
        <v>117</v>
      </c>
      <c r="K4232" t="n">
        <v>1</v>
      </c>
      <c r="L4232" s="7" t="n">
        <v>3149</v>
      </c>
      <c r="M4232" s="7" t="n">
        <v>0</v>
      </c>
    </row>
    <row r="4233">
      <c r="A4233" t="n">
        <v>511697</v>
      </c>
      <c r="B4233" s="6" t="n">
        <v>46014</v>
      </c>
      <c r="C4233" t="n">
        <v>11563</v>
      </c>
      <c r="D4233" t="inlineStr">
        <is>
          <t>Mumbai</t>
        </is>
      </c>
      <c r="E4233" t="inlineStr">
        <is>
          <t>West</t>
        </is>
      </c>
      <c r="F4233" t="inlineStr">
        <is>
          <t>Paid Search</t>
        </is>
      </c>
      <c r="G4233" t="inlineStr">
        <is>
          <t>Mobile Web</t>
        </is>
      </c>
      <c r="H4233" t="inlineStr">
        <is>
          <t>Credit Card</t>
        </is>
      </c>
      <c r="I4233" t="inlineStr">
        <is>
          <t>Delivered</t>
        </is>
      </c>
      <c r="J4233" t="n">
        <v>128</v>
      </c>
      <c r="K4233" t="n">
        <v>1</v>
      </c>
      <c r="L4233" s="7" t="n">
        <v>1049</v>
      </c>
      <c r="M4233" s="7" t="n">
        <v>0</v>
      </c>
    </row>
    <row r="4234">
      <c r="A4234" t="n">
        <v>511697</v>
      </c>
      <c r="B4234" s="6" t="n">
        <v>46014</v>
      </c>
      <c r="C4234" t="n">
        <v>11563</v>
      </c>
      <c r="D4234" t="inlineStr">
        <is>
          <t>Mumbai</t>
        </is>
      </c>
      <c r="E4234" t="inlineStr">
        <is>
          <t>West</t>
        </is>
      </c>
      <c r="F4234" t="inlineStr">
        <is>
          <t>Paid Search</t>
        </is>
      </c>
      <c r="G4234" t="inlineStr">
        <is>
          <t>Mobile Web</t>
        </is>
      </c>
      <c r="H4234" t="inlineStr">
        <is>
          <t>Credit Card</t>
        </is>
      </c>
      <c r="I4234" t="inlineStr">
        <is>
          <t>Delivered</t>
        </is>
      </c>
      <c r="J4234" t="n">
        <v>137</v>
      </c>
      <c r="K4234" t="n">
        <v>1</v>
      </c>
      <c r="L4234" s="7" t="n">
        <v>261</v>
      </c>
      <c r="M4234" s="7" t="n">
        <v>0</v>
      </c>
    </row>
    <row r="4235">
      <c r="A4235" t="n">
        <v>511698</v>
      </c>
      <c r="B4235" s="6" t="n">
        <v>46014</v>
      </c>
      <c r="C4235" t="n">
        <v>17893</v>
      </c>
      <c r="D4235" t="inlineStr">
        <is>
          <t>Delhi</t>
        </is>
      </c>
      <c r="E4235" t="inlineStr">
        <is>
          <t>North</t>
        </is>
      </c>
      <c r="F4235" t="inlineStr">
        <is>
          <t>Referral</t>
        </is>
      </c>
      <c r="G4235" t="inlineStr">
        <is>
          <t>Desktop</t>
        </is>
      </c>
      <c r="H4235" t="inlineStr">
        <is>
          <t>Credit Card</t>
        </is>
      </c>
      <c r="I4235" t="inlineStr">
        <is>
          <t>Delivered</t>
        </is>
      </c>
      <c r="J4235" t="n">
        <v>141</v>
      </c>
      <c r="K4235" t="n">
        <v>1</v>
      </c>
      <c r="L4235" s="7" t="n">
        <v>261</v>
      </c>
      <c r="M4235" s="7" t="n">
        <v>39.15</v>
      </c>
    </row>
    <row r="4236">
      <c r="A4236" t="n">
        <v>511698</v>
      </c>
      <c r="B4236" s="6" t="n">
        <v>46014</v>
      </c>
      <c r="C4236" t="n">
        <v>17893</v>
      </c>
      <c r="D4236" t="inlineStr">
        <is>
          <t>Delhi</t>
        </is>
      </c>
      <c r="E4236" t="inlineStr">
        <is>
          <t>North</t>
        </is>
      </c>
      <c r="F4236" t="inlineStr">
        <is>
          <t>Referral</t>
        </is>
      </c>
      <c r="G4236" t="inlineStr">
        <is>
          <t>Desktop</t>
        </is>
      </c>
      <c r="H4236" t="inlineStr">
        <is>
          <t>Credit Card</t>
        </is>
      </c>
      <c r="I4236" t="inlineStr">
        <is>
          <t>Delivered</t>
        </is>
      </c>
      <c r="J4236" t="n">
        <v>145</v>
      </c>
      <c r="K4236" t="n">
        <v>2</v>
      </c>
      <c r="L4236" s="7" t="n">
        <v>629</v>
      </c>
      <c r="M4236" s="7" t="n">
        <v>188.7</v>
      </c>
    </row>
    <row r="4237">
      <c r="A4237" t="n">
        <v>511699</v>
      </c>
      <c r="B4237" s="6" t="n">
        <v>46014</v>
      </c>
      <c r="C4237" t="n">
        <v>17896</v>
      </c>
      <c r="D4237" t="inlineStr">
        <is>
          <t>Jaipur</t>
        </is>
      </c>
      <c r="E4237" t="inlineStr">
        <is>
          <t>North</t>
        </is>
      </c>
      <c r="F4237" t="inlineStr">
        <is>
          <t>Organic Search</t>
        </is>
      </c>
      <c r="G4237" t="inlineStr">
        <is>
          <t>Mobile Web</t>
        </is>
      </c>
      <c r="H4237" t="inlineStr">
        <is>
          <t>Credit Card</t>
        </is>
      </c>
      <c r="I4237" t="inlineStr">
        <is>
          <t>Delivered</t>
        </is>
      </c>
      <c r="J4237" t="n">
        <v>135</v>
      </c>
      <c r="K4237" t="n">
        <v>2</v>
      </c>
      <c r="L4237" s="7" t="n">
        <v>1574</v>
      </c>
      <c r="M4237" s="7" t="n">
        <v>0</v>
      </c>
    </row>
    <row r="4238">
      <c r="A4238" t="n">
        <v>511700</v>
      </c>
      <c r="B4238" s="6" t="n">
        <v>46014</v>
      </c>
      <c r="C4238" t="n">
        <v>13335</v>
      </c>
      <c r="D4238" t="inlineStr">
        <is>
          <t>Pune</t>
        </is>
      </c>
      <c r="E4238" t="inlineStr">
        <is>
          <t>West</t>
        </is>
      </c>
      <c r="F4238" t="inlineStr">
        <is>
          <t>Organic Search</t>
        </is>
      </c>
      <c r="G4238" t="inlineStr">
        <is>
          <t>Mobile App</t>
        </is>
      </c>
      <c r="H4238" t="inlineStr">
        <is>
          <t>Debit Card</t>
        </is>
      </c>
      <c r="I4238" t="inlineStr">
        <is>
          <t>Delivered</t>
        </is>
      </c>
      <c r="J4238" t="n">
        <v>145</v>
      </c>
      <c r="K4238" t="n">
        <v>2</v>
      </c>
      <c r="L4238" s="7" t="n">
        <v>629</v>
      </c>
      <c r="M4238" s="7" t="n">
        <v>62.9</v>
      </c>
    </row>
    <row r="4239">
      <c r="A4239" t="n">
        <v>511701</v>
      </c>
      <c r="B4239" s="6" t="n">
        <v>46014</v>
      </c>
      <c r="C4239" t="n">
        <v>16945</v>
      </c>
      <c r="D4239" t="inlineStr">
        <is>
          <t>Ahmedabad</t>
        </is>
      </c>
      <c r="E4239" t="inlineStr">
        <is>
          <t>West</t>
        </is>
      </c>
      <c r="F4239" t="inlineStr">
        <is>
          <t>Organic Search</t>
        </is>
      </c>
      <c r="G4239" t="inlineStr">
        <is>
          <t>Mobile App</t>
        </is>
      </c>
      <c r="H4239" t="inlineStr">
        <is>
          <t>Credit Card</t>
        </is>
      </c>
      <c r="I4239" t="inlineStr">
        <is>
          <t>Delivered</t>
        </is>
      </c>
      <c r="J4239" t="n">
        <v>143</v>
      </c>
      <c r="K4239" t="n">
        <v>1</v>
      </c>
      <c r="L4239" s="7" t="n">
        <v>839</v>
      </c>
      <c r="M4239" s="7" t="n">
        <v>0</v>
      </c>
    </row>
    <row r="4240">
      <c r="A4240" t="n">
        <v>511702</v>
      </c>
      <c r="B4240" s="6" t="n">
        <v>46014</v>
      </c>
      <c r="C4240" t="n">
        <v>16071</v>
      </c>
      <c r="D4240" t="inlineStr">
        <is>
          <t>Indore</t>
        </is>
      </c>
      <c r="E4240" t="inlineStr">
        <is>
          <t>West</t>
        </is>
      </c>
      <c r="F4240" t="inlineStr">
        <is>
          <t>Organic Search</t>
        </is>
      </c>
      <c r="G4240" t="inlineStr">
        <is>
          <t>Mobile App</t>
        </is>
      </c>
      <c r="H4240" t="inlineStr">
        <is>
          <t>Credit Card</t>
        </is>
      </c>
      <c r="I4240" t="inlineStr">
        <is>
          <t>Delivered</t>
        </is>
      </c>
      <c r="J4240" t="n">
        <v>104</v>
      </c>
      <c r="K4240" t="n">
        <v>1</v>
      </c>
      <c r="L4240" s="7" t="n">
        <v>5249</v>
      </c>
      <c r="M4240" s="7" t="n">
        <v>0</v>
      </c>
    </row>
    <row r="4241">
      <c r="A4241" t="n">
        <v>511702</v>
      </c>
      <c r="B4241" s="6" t="n">
        <v>46014</v>
      </c>
      <c r="C4241" t="n">
        <v>16071</v>
      </c>
      <c r="D4241" t="inlineStr">
        <is>
          <t>Indore</t>
        </is>
      </c>
      <c r="E4241" t="inlineStr">
        <is>
          <t>West</t>
        </is>
      </c>
      <c r="F4241" t="inlineStr">
        <is>
          <t>Organic Search</t>
        </is>
      </c>
      <c r="G4241" t="inlineStr">
        <is>
          <t>Mobile App</t>
        </is>
      </c>
      <c r="H4241" t="inlineStr">
        <is>
          <t>Credit Card</t>
        </is>
      </c>
      <c r="I4241" t="inlineStr">
        <is>
          <t>Delivered</t>
        </is>
      </c>
      <c r="J4241" t="n">
        <v>121</v>
      </c>
      <c r="K4241" t="n">
        <v>2</v>
      </c>
      <c r="L4241" s="7" t="n">
        <v>2939</v>
      </c>
      <c r="M4241" s="7" t="n">
        <v>0</v>
      </c>
    </row>
    <row r="4242">
      <c r="A4242" t="n">
        <v>511703</v>
      </c>
      <c r="B4242" s="6" t="n">
        <v>46014</v>
      </c>
      <c r="C4242" t="n">
        <v>17358</v>
      </c>
      <c r="D4242" t="inlineStr">
        <is>
          <t>Kochi</t>
        </is>
      </c>
      <c r="E4242" t="inlineStr">
        <is>
          <t>South</t>
        </is>
      </c>
      <c r="F4242" t="inlineStr">
        <is>
          <t>Paid Social</t>
        </is>
      </c>
      <c r="G4242" t="inlineStr">
        <is>
          <t>Desktop</t>
        </is>
      </c>
      <c r="H4242" t="inlineStr">
        <is>
          <t>UPI</t>
        </is>
      </c>
      <c r="I4242" t="inlineStr">
        <is>
          <t>Delivered</t>
        </is>
      </c>
      <c r="J4242" t="n">
        <v>114</v>
      </c>
      <c r="K4242" t="n">
        <v>1</v>
      </c>
      <c r="L4242" s="7" t="n">
        <v>1259</v>
      </c>
      <c r="M4242" s="7" t="n">
        <v>0</v>
      </c>
    </row>
    <row r="4243">
      <c r="A4243" t="n">
        <v>511703</v>
      </c>
      <c r="B4243" s="6" t="n">
        <v>46014</v>
      </c>
      <c r="C4243" t="n">
        <v>17358</v>
      </c>
      <c r="D4243" t="inlineStr">
        <is>
          <t>Kochi</t>
        </is>
      </c>
      <c r="E4243" t="inlineStr">
        <is>
          <t>South</t>
        </is>
      </c>
      <c r="F4243" t="inlineStr">
        <is>
          <t>Paid Social</t>
        </is>
      </c>
      <c r="G4243" t="inlineStr">
        <is>
          <t>Desktop</t>
        </is>
      </c>
      <c r="H4243" t="inlineStr">
        <is>
          <t>UPI</t>
        </is>
      </c>
      <c r="I4243" t="inlineStr">
        <is>
          <t>Delivered</t>
        </is>
      </c>
      <c r="J4243" t="n">
        <v>142</v>
      </c>
      <c r="K4243" t="n">
        <v>2</v>
      </c>
      <c r="L4243" s="7" t="n">
        <v>839</v>
      </c>
      <c r="M4243" s="7" t="n">
        <v>0</v>
      </c>
    </row>
    <row r="4244">
      <c r="A4244" t="n">
        <v>511704</v>
      </c>
      <c r="B4244" s="6" t="n">
        <v>46014</v>
      </c>
      <c r="C4244" t="n">
        <v>16081</v>
      </c>
      <c r="D4244" t="inlineStr">
        <is>
          <t>Kolkata</t>
        </is>
      </c>
      <c r="E4244" t="inlineStr">
        <is>
          <t>East</t>
        </is>
      </c>
      <c r="F4244" t="inlineStr">
        <is>
          <t>Referral</t>
        </is>
      </c>
      <c r="G4244" t="inlineStr">
        <is>
          <t>Mobile App</t>
        </is>
      </c>
      <c r="H4244" t="inlineStr">
        <is>
          <t>UPI</t>
        </is>
      </c>
      <c r="I4244" t="inlineStr">
        <is>
          <t>Delivered</t>
        </is>
      </c>
      <c r="J4244" t="n">
        <v>123</v>
      </c>
      <c r="K4244" t="n">
        <v>3</v>
      </c>
      <c r="L4244" s="7" t="n">
        <v>3464</v>
      </c>
      <c r="M4244" s="7" t="n">
        <v>0</v>
      </c>
    </row>
    <row r="4245">
      <c r="A4245" t="n">
        <v>511704</v>
      </c>
      <c r="B4245" s="6" t="n">
        <v>46014</v>
      </c>
      <c r="C4245" t="n">
        <v>16081</v>
      </c>
      <c r="D4245" t="inlineStr">
        <is>
          <t>Kolkata</t>
        </is>
      </c>
      <c r="E4245" t="inlineStr">
        <is>
          <t>East</t>
        </is>
      </c>
      <c r="F4245" t="inlineStr">
        <is>
          <t>Referral</t>
        </is>
      </c>
      <c r="G4245" t="inlineStr">
        <is>
          <t>Mobile App</t>
        </is>
      </c>
      <c r="H4245" t="inlineStr">
        <is>
          <t>UPI</t>
        </is>
      </c>
      <c r="I4245" t="inlineStr">
        <is>
          <t>Delivered</t>
        </is>
      </c>
      <c r="J4245" t="n">
        <v>130</v>
      </c>
      <c r="K4245" t="n">
        <v>1</v>
      </c>
      <c r="L4245" s="7" t="n">
        <v>734</v>
      </c>
      <c r="M4245" s="7" t="n">
        <v>0</v>
      </c>
    </row>
    <row r="4246">
      <c r="A4246" t="n">
        <v>511705</v>
      </c>
      <c r="B4246" s="6" t="n">
        <v>46014</v>
      </c>
      <c r="C4246" t="n">
        <v>17886</v>
      </c>
      <c r="D4246" t="inlineStr">
        <is>
          <t>Hyderabad</t>
        </is>
      </c>
      <c r="E4246" t="inlineStr">
        <is>
          <t>South</t>
        </is>
      </c>
      <c r="F4246" t="inlineStr">
        <is>
          <t>Paid Social</t>
        </is>
      </c>
      <c r="G4246" t="inlineStr">
        <is>
          <t>Mobile App</t>
        </is>
      </c>
      <c r="H4246" t="inlineStr">
        <is>
          <t>Debit Card</t>
        </is>
      </c>
      <c r="I4246" t="inlineStr">
        <is>
          <t>Delivered</t>
        </is>
      </c>
      <c r="J4246" t="n">
        <v>109</v>
      </c>
      <c r="K4246" t="n">
        <v>1</v>
      </c>
      <c r="L4246" s="7" t="n">
        <v>4199</v>
      </c>
      <c r="M4246" s="7" t="n">
        <v>629.85</v>
      </c>
    </row>
    <row r="4247">
      <c r="A4247" t="n">
        <v>511706</v>
      </c>
      <c r="B4247" s="6" t="n">
        <v>46014</v>
      </c>
      <c r="C4247" t="n">
        <v>15568</v>
      </c>
      <c r="D4247" t="inlineStr">
        <is>
          <t>Jaipur</t>
        </is>
      </c>
      <c r="E4247" t="inlineStr">
        <is>
          <t>North</t>
        </is>
      </c>
      <c r="F4247" t="inlineStr">
        <is>
          <t>Email</t>
        </is>
      </c>
      <c r="G4247" t="inlineStr">
        <is>
          <t>Mobile App</t>
        </is>
      </c>
      <c r="H4247" t="inlineStr">
        <is>
          <t>UPI</t>
        </is>
      </c>
      <c r="I4247" t="inlineStr">
        <is>
          <t>Delivered</t>
        </is>
      </c>
      <c r="J4247" t="n">
        <v>103</v>
      </c>
      <c r="K4247" t="n">
        <v>1</v>
      </c>
      <c r="L4247" s="7" t="n">
        <v>2624</v>
      </c>
      <c r="M4247" s="7" t="n">
        <v>0</v>
      </c>
    </row>
    <row r="4248">
      <c r="A4248" t="n">
        <v>511707</v>
      </c>
      <c r="B4248" s="6" t="n">
        <v>46015</v>
      </c>
      <c r="C4248" t="n">
        <v>17889</v>
      </c>
      <c r="D4248" t="inlineStr">
        <is>
          <t>Delhi</t>
        </is>
      </c>
      <c r="E4248" t="inlineStr">
        <is>
          <t>North</t>
        </is>
      </c>
      <c r="F4248" t="inlineStr">
        <is>
          <t>Paid Social</t>
        </is>
      </c>
      <c r="G4248" t="inlineStr">
        <is>
          <t>Mobile App</t>
        </is>
      </c>
      <c r="H4248" t="inlineStr">
        <is>
          <t>UPI</t>
        </is>
      </c>
      <c r="I4248" t="inlineStr">
        <is>
          <t>Delivered</t>
        </is>
      </c>
      <c r="J4248" t="n">
        <v>119</v>
      </c>
      <c r="K4248" t="n">
        <v>1</v>
      </c>
      <c r="L4248" s="7" t="n">
        <v>2309</v>
      </c>
      <c r="M4248" s="7" t="n">
        <v>0</v>
      </c>
    </row>
    <row r="4249">
      <c r="A4249" t="n">
        <v>511707</v>
      </c>
      <c r="B4249" s="6" t="n">
        <v>46015</v>
      </c>
      <c r="C4249" t="n">
        <v>17889</v>
      </c>
      <c r="D4249" t="inlineStr">
        <is>
          <t>Delhi</t>
        </is>
      </c>
      <c r="E4249" t="inlineStr">
        <is>
          <t>North</t>
        </is>
      </c>
      <c r="F4249" t="inlineStr">
        <is>
          <t>Paid Social</t>
        </is>
      </c>
      <c r="G4249" t="inlineStr">
        <is>
          <t>Mobile App</t>
        </is>
      </c>
      <c r="H4249" t="inlineStr">
        <is>
          <t>UPI</t>
        </is>
      </c>
      <c r="I4249" t="inlineStr">
        <is>
          <t>Delivered</t>
        </is>
      </c>
      <c r="J4249" t="n">
        <v>107</v>
      </c>
      <c r="K4249" t="n">
        <v>1</v>
      </c>
      <c r="L4249" s="7" t="n">
        <v>1259</v>
      </c>
      <c r="M4249" s="7" t="n">
        <v>0</v>
      </c>
    </row>
    <row r="4250">
      <c r="A4250" t="n">
        <v>511708</v>
      </c>
      <c r="B4250" s="6" t="n">
        <v>46015</v>
      </c>
      <c r="C4250" t="n">
        <v>17509</v>
      </c>
      <c r="D4250" t="inlineStr">
        <is>
          <t>Mumbai</t>
        </is>
      </c>
      <c r="E4250" t="inlineStr">
        <is>
          <t>West</t>
        </is>
      </c>
      <c r="F4250" t="inlineStr">
        <is>
          <t>Organic Search</t>
        </is>
      </c>
      <c r="G4250" t="inlineStr">
        <is>
          <t>Mobile App</t>
        </is>
      </c>
      <c r="H4250" t="inlineStr">
        <is>
          <t>Credit Card</t>
        </is>
      </c>
      <c r="I4250" t="inlineStr">
        <is>
          <t>Delivered</t>
        </is>
      </c>
      <c r="J4250" t="n">
        <v>119</v>
      </c>
      <c r="K4250" t="n">
        <v>1</v>
      </c>
      <c r="L4250" s="7" t="n">
        <v>2309</v>
      </c>
      <c r="M4250" s="7" t="n">
        <v>0</v>
      </c>
    </row>
    <row r="4251">
      <c r="A4251" t="n">
        <v>511709</v>
      </c>
      <c r="B4251" s="6" t="n">
        <v>46015</v>
      </c>
      <c r="C4251" t="n">
        <v>17863</v>
      </c>
      <c r="D4251" t="inlineStr">
        <is>
          <t>Hyderabad</t>
        </is>
      </c>
      <c r="E4251" t="inlineStr">
        <is>
          <t>South</t>
        </is>
      </c>
      <c r="F4251" t="inlineStr">
        <is>
          <t>Organic Search</t>
        </is>
      </c>
      <c r="G4251" t="inlineStr">
        <is>
          <t>Mobile App</t>
        </is>
      </c>
      <c r="H4251" t="inlineStr">
        <is>
          <t>Debit Card</t>
        </is>
      </c>
      <c r="I4251" t="inlineStr">
        <is>
          <t>Delivered</t>
        </is>
      </c>
      <c r="J4251" t="n">
        <v>137</v>
      </c>
      <c r="K4251" t="n">
        <v>2</v>
      </c>
      <c r="L4251" s="7" t="n">
        <v>261</v>
      </c>
      <c r="M4251" s="7" t="n">
        <v>0</v>
      </c>
    </row>
    <row r="4252">
      <c r="A4252" t="n">
        <v>511709</v>
      </c>
      <c r="B4252" s="6" t="n">
        <v>46015</v>
      </c>
      <c r="C4252" t="n">
        <v>17863</v>
      </c>
      <c r="D4252" t="inlineStr">
        <is>
          <t>Hyderabad</t>
        </is>
      </c>
      <c r="E4252" t="inlineStr">
        <is>
          <t>South</t>
        </is>
      </c>
      <c r="F4252" t="inlineStr">
        <is>
          <t>Organic Search</t>
        </is>
      </c>
      <c r="G4252" t="inlineStr">
        <is>
          <t>Mobile App</t>
        </is>
      </c>
      <c r="H4252" t="inlineStr">
        <is>
          <t>Debit Card</t>
        </is>
      </c>
      <c r="I4252" t="inlineStr">
        <is>
          <t>Delivered</t>
        </is>
      </c>
      <c r="J4252" t="n">
        <v>134</v>
      </c>
      <c r="K4252" t="n">
        <v>1</v>
      </c>
      <c r="L4252" s="7" t="n">
        <v>209</v>
      </c>
      <c r="M4252" s="7" t="n">
        <v>0</v>
      </c>
    </row>
    <row r="4253">
      <c r="A4253" t="n">
        <v>511710</v>
      </c>
      <c r="B4253" s="6" t="n">
        <v>46015</v>
      </c>
      <c r="C4253" t="n">
        <v>17297</v>
      </c>
      <c r="D4253" t="inlineStr">
        <is>
          <t>Mumbai</t>
        </is>
      </c>
      <c r="E4253" t="inlineStr">
        <is>
          <t>West</t>
        </is>
      </c>
      <c r="F4253" t="inlineStr">
        <is>
          <t>Organic Search</t>
        </is>
      </c>
      <c r="G4253" t="inlineStr">
        <is>
          <t>Mobile App</t>
        </is>
      </c>
      <c r="H4253" t="inlineStr">
        <is>
          <t>UPI</t>
        </is>
      </c>
      <c r="I4253" t="inlineStr">
        <is>
          <t>Delivered</t>
        </is>
      </c>
      <c r="J4253" t="n">
        <v>110</v>
      </c>
      <c r="K4253" t="n">
        <v>1</v>
      </c>
      <c r="L4253" s="7" t="n">
        <v>839</v>
      </c>
      <c r="M4253" s="7" t="n">
        <v>0</v>
      </c>
    </row>
    <row r="4254">
      <c r="A4254" t="n">
        <v>511710</v>
      </c>
      <c r="B4254" s="6" t="n">
        <v>46015</v>
      </c>
      <c r="C4254" t="n">
        <v>17297</v>
      </c>
      <c r="D4254" t="inlineStr">
        <is>
          <t>Mumbai</t>
        </is>
      </c>
      <c r="E4254" t="inlineStr">
        <is>
          <t>West</t>
        </is>
      </c>
      <c r="F4254" t="inlineStr">
        <is>
          <t>Organic Search</t>
        </is>
      </c>
      <c r="G4254" t="inlineStr">
        <is>
          <t>Mobile App</t>
        </is>
      </c>
      <c r="H4254" t="inlineStr">
        <is>
          <t>UPI</t>
        </is>
      </c>
      <c r="I4254" t="inlineStr">
        <is>
          <t>Delivered</t>
        </is>
      </c>
      <c r="J4254" t="n">
        <v>120</v>
      </c>
      <c r="K4254" t="n">
        <v>1</v>
      </c>
      <c r="L4254" s="7" t="n">
        <v>734</v>
      </c>
      <c r="M4254" s="7" t="n">
        <v>0</v>
      </c>
    </row>
    <row r="4255">
      <c r="A4255" t="n">
        <v>511711</v>
      </c>
      <c r="B4255" s="6" t="n">
        <v>46015</v>
      </c>
      <c r="C4255" t="n">
        <v>12635</v>
      </c>
      <c r="D4255" t="inlineStr">
        <is>
          <t>Mumbai</t>
        </is>
      </c>
      <c r="E4255" t="inlineStr">
        <is>
          <t>West</t>
        </is>
      </c>
      <c r="F4255" t="inlineStr">
        <is>
          <t>Organic Search</t>
        </is>
      </c>
      <c r="G4255" t="inlineStr">
        <is>
          <t>Mobile Web</t>
        </is>
      </c>
      <c r="H4255" t="inlineStr">
        <is>
          <t>UPI</t>
        </is>
      </c>
      <c r="I4255" t="inlineStr">
        <is>
          <t>Delivered</t>
        </is>
      </c>
      <c r="J4255" t="n">
        <v>117</v>
      </c>
      <c r="K4255" t="n">
        <v>1</v>
      </c>
      <c r="L4255" s="7" t="n">
        <v>3149</v>
      </c>
      <c r="M4255" s="7" t="n">
        <v>0</v>
      </c>
    </row>
    <row r="4256">
      <c r="A4256" t="n">
        <v>511712</v>
      </c>
      <c r="B4256" s="6" t="n">
        <v>46015</v>
      </c>
      <c r="C4256" t="n">
        <v>15134</v>
      </c>
      <c r="D4256" t="inlineStr">
        <is>
          <t>Gurugram</t>
        </is>
      </c>
      <c r="E4256" t="inlineStr">
        <is>
          <t>North</t>
        </is>
      </c>
      <c r="F4256" t="inlineStr">
        <is>
          <t>Organic Search</t>
        </is>
      </c>
      <c r="G4256" t="inlineStr">
        <is>
          <t>Mobile Web</t>
        </is>
      </c>
      <c r="H4256" t="inlineStr">
        <is>
          <t>UPI</t>
        </is>
      </c>
      <c r="I4256" t="inlineStr">
        <is>
          <t>Delivered</t>
        </is>
      </c>
      <c r="J4256" t="n">
        <v>124</v>
      </c>
      <c r="K4256" t="n">
        <v>2</v>
      </c>
      <c r="L4256" s="7" t="n">
        <v>1154</v>
      </c>
      <c r="M4256" s="7" t="n">
        <v>0</v>
      </c>
    </row>
    <row r="4257">
      <c r="A4257" t="n">
        <v>511712</v>
      </c>
      <c r="B4257" s="6" t="n">
        <v>46015</v>
      </c>
      <c r="C4257" t="n">
        <v>15134</v>
      </c>
      <c r="D4257" t="inlineStr">
        <is>
          <t>Gurugram</t>
        </is>
      </c>
      <c r="E4257" t="inlineStr">
        <is>
          <t>North</t>
        </is>
      </c>
      <c r="F4257" t="inlineStr">
        <is>
          <t>Organic Search</t>
        </is>
      </c>
      <c r="G4257" t="inlineStr">
        <is>
          <t>Mobile Web</t>
        </is>
      </c>
      <c r="H4257" t="inlineStr">
        <is>
          <t>UPI</t>
        </is>
      </c>
      <c r="I4257" t="inlineStr">
        <is>
          <t>Delivered</t>
        </is>
      </c>
      <c r="J4257" t="n">
        <v>112</v>
      </c>
      <c r="K4257" t="n">
        <v>1</v>
      </c>
      <c r="L4257" s="7" t="n">
        <v>1574</v>
      </c>
      <c r="M4257" s="7" t="n">
        <v>0</v>
      </c>
    </row>
    <row r="4258">
      <c r="A4258" t="n">
        <v>511713</v>
      </c>
      <c r="B4258" s="6" t="n">
        <v>46015</v>
      </c>
      <c r="C4258" t="n">
        <v>14757</v>
      </c>
      <c r="D4258" t="inlineStr">
        <is>
          <t>Mumbai</t>
        </is>
      </c>
      <c r="E4258" t="inlineStr">
        <is>
          <t>West</t>
        </is>
      </c>
      <c r="F4258" t="inlineStr">
        <is>
          <t>Paid Social</t>
        </is>
      </c>
      <c r="G4258" t="inlineStr">
        <is>
          <t>Mobile App</t>
        </is>
      </c>
      <c r="H4258" t="inlineStr">
        <is>
          <t>UPI</t>
        </is>
      </c>
      <c r="I4258" t="inlineStr">
        <is>
          <t>Delivered</t>
        </is>
      </c>
      <c r="J4258" t="n">
        <v>113</v>
      </c>
      <c r="K4258" t="n">
        <v>1</v>
      </c>
      <c r="L4258" s="7" t="n">
        <v>1364</v>
      </c>
      <c r="M4258" s="7" t="n">
        <v>0</v>
      </c>
    </row>
    <row r="4259">
      <c r="A4259" t="n">
        <v>511714</v>
      </c>
      <c r="B4259" s="6" t="n">
        <v>46015</v>
      </c>
      <c r="C4259" t="n">
        <v>17898</v>
      </c>
      <c r="D4259" t="inlineStr">
        <is>
          <t>Chennai</t>
        </is>
      </c>
      <c r="E4259" t="inlineStr">
        <is>
          <t>South</t>
        </is>
      </c>
      <c r="F4259" t="inlineStr">
        <is>
          <t>Paid Social</t>
        </is>
      </c>
      <c r="G4259" t="inlineStr">
        <is>
          <t>Mobile Web</t>
        </is>
      </c>
      <c r="H4259" t="inlineStr">
        <is>
          <t>Cash on Delivery</t>
        </is>
      </c>
      <c r="I4259" t="inlineStr">
        <is>
          <t>Delivered</t>
        </is>
      </c>
      <c r="J4259" t="n">
        <v>114</v>
      </c>
      <c r="K4259" t="n">
        <v>1</v>
      </c>
      <c r="L4259" s="7" t="n">
        <v>1259</v>
      </c>
      <c r="M4259" s="7" t="n">
        <v>62.95</v>
      </c>
    </row>
    <row r="4260">
      <c r="A4260" t="n">
        <v>511714</v>
      </c>
      <c r="B4260" s="6" t="n">
        <v>46015</v>
      </c>
      <c r="C4260" t="n">
        <v>17898</v>
      </c>
      <c r="D4260" t="inlineStr">
        <is>
          <t>Chennai</t>
        </is>
      </c>
      <c r="E4260" t="inlineStr">
        <is>
          <t>South</t>
        </is>
      </c>
      <c r="F4260" t="inlineStr">
        <is>
          <t>Paid Social</t>
        </is>
      </c>
      <c r="G4260" t="inlineStr">
        <is>
          <t>Mobile Web</t>
        </is>
      </c>
      <c r="H4260" t="inlineStr">
        <is>
          <t>Cash on Delivery</t>
        </is>
      </c>
      <c r="I4260" t="inlineStr">
        <is>
          <t>Delivered</t>
        </is>
      </c>
      <c r="J4260" t="n">
        <v>137</v>
      </c>
      <c r="K4260" t="n">
        <v>1</v>
      </c>
      <c r="L4260" s="7" t="n">
        <v>261</v>
      </c>
      <c r="M4260" s="7" t="n">
        <v>13.05</v>
      </c>
    </row>
    <row r="4261">
      <c r="A4261" t="n">
        <v>511715</v>
      </c>
      <c r="B4261" s="6" t="n">
        <v>46015</v>
      </c>
      <c r="C4261" t="n">
        <v>17874</v>
      </c>
      <c r="D4261" t="inlineStr">
        <is>
          <t>Delhi</t>
        </is>
      </c>
      <c r="E4261" t="inlineStr">
        <is>
          <t>North</t>
        </is>
      </c>
      <c r="F4261" t="inlineStr">
        <is>
          <t>Paid Social</t>
        </is>
      </c>
      <c r="G4261" t="inlineStr">
        <is>
          <t>Mobile Web</t>
        </is>
      </c>
      <c r="H4261" t="inlineStr">
        <is>
          <t>UPI</t>
        </is>
      </c>
      <c r="I4261" t="inlineStr">
        <is>
          <t>Delivered</t>
        </is>
      </c>
      <c r="J4261" t="n">
        <v>104</v>
      </c>
      <c r="K4261" t="n">
        <v>1</v>
      </c>
      <c r="L4261" s="7" t="n">
        <v>5249</v>
      </c>
      <c r="M4261" s="7" t="n">
        <v>0</v>
      </c>
    </row>
    <row r="4262">
      <c r="A4262" t="n">
        <v>511716</v>
      </c>
      <c r="B4262" s="6" t="n">
        <v>46015</v>
      </c>
      <c r="C4262" t="n">
        <v>17101</v>
      </c>
      <c r="D4262" t="inlineStr">
        <is>
          <t>Kolkata</t>
        </is>
      </c>
      <c r="E4262" t="inlineStr">
        <is>
          <t>East</t>
        </is>
      </c>
      <c r="F4262" t="inlineStr">
        <is>
          <t>Paid Search</t>
        </is>
      </c>
      <c r="G4262" t="inlineStr">
        <is>
          <t>Mobile Web</t>
        </is>
      </c>
      <c r="H4262" t="inlineStr">
        <is>
          <t>UPI</t>
        </is>
      </c>
      <c r="I4262" t="inlineStr">
        <is>
          <t>Delivered</t>
        </is>
      </c>
      <c r="J4262" t="n">
        <v>141</v>
      </c>
      <c r="K4262" t="n">
        <v>3</v>
      </c>
      <c r="L4262" s="7" t="n">
        <v>261</v>
      </c>
      <c r="M4262" s="7" t="n">
        <v>0</v>
      </c>
    </row>
    <row r="4263">
      <c r="A4263" t="n">
        <v>511717</v>
      </c>
      <c r="B4263" s="6" t="n">
        <v>46015</v>
      </c>
      <c r="C4263" t="n">
        <v>17907</v>
      </c>
      <c r="D4263" t="inlineStr">
        <is>
          <t>Noida</t>
        </is>
      </c>
      <c r="E4263" t="inlineStr">
        <is>
          <t>North</t>
        </is>
      </c>
      <c r="F4263" t="inlineStr">
        <is>
          <t>Paid Social</t>
        </is>
      </c>
      <c r="G4263" t="inlineStr">
        <is>
          <t>Mobile App</t>
        </is>
      </c>
      <c r="H4263" t="inlineStr">
        <is>
          <t>UPI</t>
        </is>
      </c>
      <c r="I4263" t="inlineStr">
        <is>
          <t>Delivered</t>
        </is>
      </c>
      <c r="J4263" t="n">
        <v>125</v>
      </c>
      <c r="K4263" t="n">
        <v>1</v>
      </c>
      <c r="L4263" s="7" t="n">
        <v>1364</v>
      </c>
      <c r="M4263" s="7" t="n">
        <v>204.6</v>
      </c>
    </row>
    <row r="4264">
      <c r="A4264" t="n">
        <v>511718</v>
      </c>
      <c r="B4264" s="6" t="n">
        <v>46015</v>
      </c>
      <c r="C4264" t="n">
        <v>13590</v>
      </c>
      <c r="D4264" t="inlineStr">
        <is>
          <t>Chennai</t>
        </is>
      </c>
      <c r="E4264" t="inlineStr">
        <is>
          <t>South</t>
        </is>
      </c>
      <c r="F4264" t="inlineStr">
        <is>
          <t>Referral</t>
        </is>
      </c>
      <c r="G4264" t="inlineStr">
        <is>
          <t>Mobile App</t>
        </is>
      </c>
      <c r="H4264" t="inlineStr">
        <is>
          <t>UPI</t>
        </is>
      </c>
      <c r="I4264" t="inlineStr">
        <is>
          <t>Delivered</t>
        </is>
      </c>
      <c r="J4264" t="n">
        <v>120</v>
      </c>
      <c r="K4264" t="n">
        <v>1</v>
      </c>
      <c r="L4264" s="7" t="n">
        <v>734</v>
      </c>
      <c r="M4264" s="7" t="n">
        <v>0</v>
      </c>
    </row>
    <row r="4265">
      <c r="A4265" t="n">
        <v>511718</v>
      </c>
      <c r="B4265" s="6" t="n">
        <v>46015</v>
      </c>
      <c r="C4265" t="n">
        <v>13590</v>
      </c>
      <c r="D4265" t="inlineStr">
        <is>
          <t>Chennai</t>
        </is>
      </c>
      <c r="E4265" t="inlineStr">
        <is>
          <t>South</t>
        </is>
      </c>
      <c r="F4265" t="inlineStr">
        <is>
          <t>Referral</t>
        </is>
      </c>
      <c r="G4265" t="inlineStr">
        <is>
          <t>Mobile App</t>
        </is>
      </c>
      <c r="H4265" t="inlineStr">
        <is>
          <t>UPI</t>
        </is>
      </c>
      <c r="I4265" t="inlineStr">
        <is>
          <t>Delivered</t>
        </is>
      </c>
      <c r="J4265" t="n">
        <v>107</v>
      </c>
      <c r="K4265" t="n">
        <v>1</v>
      </c>
      <c r="L4265" s="7" t="n">
        <v>1259</v>
      </c>
      <c r="M4265" s="7" t="n">
        <v>0</v>
      </c>
    </row>
    <row r="4266">
      <c r="A4266" t="n">
        <v>511718</v>
      </c>
      <c r="B4266" s="6" t="n">
        <v>46015</v>
      </c>
      <c r="C4266" t="n">
        <v>13590</v>
      </c>
      <c r="D4266" t="inlineStr">
        <is>
          <t>Chennai</t>
        </is>
      </c>
      <c r="E4266" t="inlineStr">
        <is>
          <t>South</t>
        </is>
      </c>
      <c r="F4266" t="inlineStr">
        <is>
          <t>Referral</t>
        </is>
      </c>
      <c r="G4266" t="inlineStr">
        <is>
          <t>Mobile App</t>
        </is>
      </c>
      <c r="H4266" t="inlineStr">
        <is>
          <t>UPI</t>
        </is>
      </c>
      <c r="I4266" t="inlineStr">
        <is>
          <t>Delivered</t>
        </is>
      </c>
      <c r="J4266" t="n">
        <v>108</v>
      </c>
      <c r="K4266" t="n">
        <v>1</v>
      </c>
      <c r="L4266" s="7" t="n">
        <v>419</v>
      </c>
      <c r="M4266" s="7" t="n">
        <v>0</v>
      </c>
    </row>
    <row r="4267">
      <c r="A4267" t="n">
        <v>511718</v>
      </c>
      <c r="B4267" s="6" t="n">
        <v>46015</v>
      </c>
      <c r="C4267" t="n">
        <v>13590</v>
      </c>
      <c r="D4267" t="inlineStr">
        <is>
          <t>Chennai</t>
        </is>
      </c>
      <c r="E4267" t="inlineStr">
        <is>
          <t>South</t>
        </is>
      </c>
      <c r="F4267" t="inlineStr">
        <is>
          <t>Referral</t>
        </is>
      </c>
      <c r="G4267" t="inlineStr">
        <is>
          <t>Mobile App</t>
        </is>
      </c>
      <c r="H4267" t="inlineStr">
        <is>
          <t>UPI</t>
        </is>
      </c>
      <c r="I4267" t="inlineStr">
        <is>
          <t>Delivered</t>
        </is>
      </c>
      <c r="J4267" t="n">
        <v>102</v>
      </c>
      <c r="K4267" t="n">
        <v>1</v>
      </c>
      <c r="L4267" s="7" t="n">
        <v>3674</v>
      </c>
      <c r="M4267" s="7" t="n">
        <v>0</v>
      </c>
    </row>
    <row r="4268">
      <c r="A4268" t="n">
        <v>511719</v>
      </c>
      <c r="B4268" s="6" t="n">
        <v>46015</v>
      </c>
      <c r="C4268" t="n">
        <v>12008</v>
      </c>
      <c r="D4268" t="inlineStr">
        <is>
          <t>Gurugram</t>
        </is>
      </c>
      <c r="E4268" t="inlineStr">
        <is>
          <t>North</t>
        </is>
      </c>
      <c r="F4268" t="inlineStr">
        <is>
          <t>Referral</t>
        </is>
      </c>
      <c r="G4268" t="inlineStr">
        <is>
          <t>Desktop</t>
        </is>
      </c>
      <c r="H4268" t="inlineStr">
        <is>
          <t>Debit Card</t>
        </is>
      </c>
      <c r="I4268" t="inlineStr">
        <is>
          <t>Delivered</t>
        </is>
      </c>
      <c r="J4268" t="n">
        <v>104</v>
      </c>
      <c r="K4268" t="n">
        <v>1</v>
      </c>
      <c r="L4268" s="7" t="n">
        <v>5249</v>
      </c>
      <c r="M4268" s="7" t="n">
        <v>262.45</v>
      </c>
    </row>
    <row r="4269">
      <c r="A4269" t="n">
        <v>511720</v>
      </c>
      <c r="B4269" s="6" t="n">
        <v>46015</v>
      </c>
      <c r="C4269" t="n">
        <v>16957</v>
      </c>
      <c r="D4269" t="inlineStr">
        <is>
          <t>Lucknow</t>
        </is>
      </c>
      <c r="E4269" t="inlineStr">
        <is>
          <t>North</t>
        </is>
      </c>
      <c r="F4269" t="inlineStr">
        <is>
          <t>Organic Search</t>
        </is>
      </c>
      <c r="G4269" t="inlineStr">
        <is>
          <t>Mobile App</t>
        </is>
      </c>
      <c r="H4269" t="inlineStr">
        <is>
          <t>UPI</t>
        </is>
      </c>
      <c r="I4269" t="inlineStr">
        <is>
          <t>Delivered</t>
        </is>
      </c>
      <c r="J4269" t="n">
        <v>102</v>
      </c>
      <c r="K4269" t="n">
        <v>1</v>
      </c>
      <c r="L4269" s="7" t="n">
        <v>3674</v>
      </c>
      <c r="M4269" s="7" t="n">
        <v>0</v>
      </c>
    </row>
    <row r="4270">
      <c r="A4270" t="n">
        <v>511720</v>
      </c>
      <c r="B4270" s="6" t="n">
        <v>46015</v>
      </c>
      <c r="C4270" t="n">
        <v>16957</v>
      </c>
      <c r="D4270" t="inlineStr">
        <is>
          <t>Lucknow</t>
        </is>
      </c>
      <c r="E4270" t="inlineStr">
        <is>
          <t>North</t>
        </is>
      </c>
      <c r="F4270" t="inlineStr">
        <is>
          <t>Organic Search</t>
        </is>
      </c>
      <c r="G4270" t="inlineStr">
        <is>
          <t>Mobile App</t>
        </is>
      </c>
      <c r="H4270" t="inlineStr">
        <is>
          <t>UPI</t>
        </is>
      </c>
      <c r="I4270" t="inlineStr">
        <is>
          <t>Delivered</t>
        </is>
      </c>
      <c r="J4270" t="n">
        <v>117</v>
      </c>
      <c r="K4270" t="n">
        <v>1</v>
      </c>
      <c r="L4270" s="7" t="n">
        <v>3149</v>
      </c>
      <c r="M4270" s="7" t="n">
        <v>0</v>
      </c>
    </row>
    <row r="4271">
      <c r="A4271" t="n">
        <v>511721</v>
      </c>
      <c r="B4271" s="6" t="n">
        <v>46015</v>
      </c>
      <c r="C4271" t="n">
        <v>16754</v>
      </c>
      <c r="D4271" t="inlineStr">
        <is>
          <t>Bengaluru</t>
        </is>
      </c>
      <c r="E4271" t="inlineStr">
        <is>
          <t>South</t>
        </is>
      </c>
      <c r="F4271" t="inlineStr">
        <is>
          <t>Organic Search</t>
        </is>
      </c>
      <c r="G4271" t="inlineStr">
        <is>
          <t>Mobile App</t>
        </is>
      </c>
      <c r="H4271" t="inlineStr">
        <is>
          <t>Cash on Delivery</t>
        </is>
      </c>
      <c r="I4271" t="inlineStr">
        <is>
          <t>Delivered</t>
        </is>
      </c>
      <c r="J4271" t="n">
        <v>115</v>
      </c>
      <c r="K4271" t="n">
        <v>1</v>
      </c>
      <c r="L4271" s="7" t="n">
        <v>4199</v>
      </c>
      <c r="M4271" s="7" t="n">
        <v>0</v>
      </c>
    </row>
    <row r="4272">
      <c r="A4272" t="n">
        <v>511722</v>
      </c>
      <c r="B4272" s="6" t="n">
        <v>46015</v>
      </c>
      <c r="C4272" t="n">
        <v>15153</v>
      </c>
      <c r="D4272" t="inlineStr">
        <is>
          <t>Bengaluru</t>
        </is>
      </c>
      <c r="E4272" t="inlineStr">
        <is>
          <t>South</t>
        </is>
      </c>
      <c r="F4272" t="inlineStr">
        <is>
          <t>Organic Search</t>
        </is>
      </c>
      <c r="G4272" t="inlineStr">
        <is>
          <t>Mobile App</t>
        </is>
      </c>
      <c r="H4272" t="inlineStr">
        <is>
          <t>UPI</t>
        </is>
      </c>
      <c r="I4272" t="inlineStr">
        <is>
          <t>Delivered</t>
        </is>
      </c>
      <c r="J4272" t="n">
        <v>134</v>
      </c>
      <c r="K4272" t="n">
        <v>1</v>
      </c>
      <c r="L4272" s="7" t="n">
        <v>209</v>
      </c>
      <c r="M4272" s="7" t="n">
        <v>0</v>
      </c>
    </row>
    <row r="4273">
      <c r="A4273" t="n">
        <v>511723</v>
      </c>
      <c r="B4273" s="6" t="n">
        <v>46016</v>
      </c>
      <c r="C4273" t="n">
        <v>16953</v>
      </c>
      <c r="D4273" t="inlineStr">
        <is>
          <t>Delhi</t>
        </is>
      </c>
      <c r="E4273" t="inlineStr">
        <is>
          <t>North</t>
        </is>
      </c>
      <c r="F4273" t="inlineStr">
        <is>
          <t>Organic Search</t>
        </is>
      </c>
      <c r="G4273" t="inlineStr">
        <is>
          <t>Mobile App</t>
        </is>
      </c>
      <c r="H4273" t="inlineStr">
        <is>
          <t>Debit Card</t>
        </is>
      </c>
      <c r="I4273" t="inlineStr">
        <is>
          <t>Delivered</t>
        </is>
      </c>
      <c r="J4273" t="n">
        <v>132</v>
      </c>
      <c r="K4273" t="n">
        <v>1</v>
      </c>
      <c r="L4273" s="7" t="n">
        <v>471</v>
      </c>
      <c r="M4273" s="7" t="n">
        <v>0</v>
      </c>
    </row>
    <row r="4274">
      <c r="A4274" t="n">
        <v>511724</v>
      </c>
      <c r="B4274" s="6" t="n">
        <v>46016</v>
      </c>
      <c r="C4274" t="n">
        <v>17845</v>
      </c>
      <c r="D4274" t="inlineStr">
        <is>
          <t>Gurugram</t>
        </is>
      </c>
      <c r="E4274" t="inlineStr">
        <is>
          <t>North</t>
        </is>
      </c>
      <c r="F4274" t="inlineStr">
        <is>
          <t>Paid Search</t>
        </is>
      </c>
      <c r="G4274" t="inlineStr">
        <is>
          <t>Mobile App</t>
        </is>
      </c>
      <c r="H4274" t="inlineStr">
        <is>
          <t>Debit Card</t>
        </is>
      </c>
      <c r="I4274" t="inlineStr">
        <is>
          <t>Delivered</t>
        </is>
      </c>
      <c r="J4274" t="n">
        <v>119</v>
      </c>
      <c r="K4274" t="n">
        <v>1</v>
      </c>
      <c r="L4274" s="7" t="n">
        <v>2309</v>
      </c>
      <c r="M4274" s="7" t="n">
        <v>0</v>
      </c>
    </row>
    <row r="4275">
      <c r="A4275" t="n">
        <v>511724</v>
      </c>
      <c r="B4275" s="6" t="n">
        <v>46016</v>
      </c>
      <c r="C4275" t="n">
        <v>17845</v>
      </c>
      <c r="D4275" t="inlineStr">
        <is>
          <t>Gurugram</t>
        </is>
      </c>
      <c r="E4275" t="inlineStr">
        <is>
          <t>North</t>
        </is>
      </c>
      <c r="F4275" t="inlineStr">
        <is>
          <t>Paid Search</t>
        </is>
      </c>
      <c r="G4275" t="inlineStr">
        <is>
          <t>Mobile App</t>
        </is>
      </c>
      <c r="H4275" t="inlineStr">
        <is>
          <t>Debit Card</t>
        </is>
      </c>
      <c r="I4275" t="inlineStr">
        <is>
          <t>Delivered</t>
        </is>
      </c>
      <c r="J4275" t="n">
        <v>117</v>
      </c>
      <c r="K4275" t="n">
        <v>2</v>
      </c>
      <c r="L4275" s="7" t="n">
        <v>3149</v>
      </c>
      <c r="M4275" s="7" t="n">
        <v>0</v>
      </c>
    </row>
    <row r="4276">
      <c r="A4276" t="n">
        <v>511724</v>
      </c>
      <c r="B4276" s="6" t="n">
        <v>46016</v>
      </c>
      <c r="C4276" t="n">
        <v>17845</v>
      </c>
      <c r="D4276" t="inlineStr">
        <is>
          <t>Gurugram</t>
        </is>
      </c>
      <c r="E4276" t="inlineStr">
        <is>
          <t>North</t>
        </is>
      </c>
      <c r="F4276" t="inlineStr">
        <is>
          <t>Paid Search</t>
        </is>
      </c>
      <c r="G4276" t="inlineStr">
        <is>
          <t>Mobile App</t>
        </is>
      </c>
      <c r="H4276" t="inlineStr">
        <is>
          <t>Debit Card</t>
        </is>
      </c>
      <c r="I4276" t="inlineStr">
        <is>
          <t>Delivered</t>
        </is>
      </c>
      <c r="J4276" t="n">
        <v>123</v>
      </c>
      <c r="K4276" t="n">
        <v>1</v>
      </c>
      <c r="L4276" s="7" t="n">
        <v>3464</v>
      </c>
      <c r="M4276" s="7" t="n">
        <v>0</v>
      </c>
    </row>
    <row r="4277">
      <c r="A4277" t="n">
        <v>511725</v>
      </c>
      <c r="B4277" s="6" t="n">
        <v>46016</v>
      </c>
      <c r="C4277" t="n">
        <v>17902</v>
      </c>
      <c r="D4277" t="inlineStr">
        <is>
          <t>Jaipur</t>
        </is>
      </c>
      <c r="E4277" t="inlineStr">
        <is>
          <t>North</t>
        </is>
      </c>
      <c r="F4277" t="inlineStr">
        <is>
          <t>Organic Search</t>
        </is>
      </c>
      <c r="G4277" t="inlineStr">
        <is>
          <t>Mobile Web</t>
        </is>
      </c>
      <c r="H4277" t="inlineStr">
        <is>
          <t>UPI</t>
        </is>
      </c>
      <c r="I4277" t="inlineStr">
        <is>
          <t>Delivered</t>
        </is>
      </c>
      <c r="J4277" t="n">
        <v>123</v>
      </c>
      <c r="K4277" t="n">
        <v>2</v>
      </c>
      <c r="L4277" s="7" t="n">
        <v>3464</v>
      </c>
      <c r="M4277" s="7" t="n">
        <v>0</v>
      </c>
    </row>
    <row r="4278">
      <c r="A4278" t="n">
        <v>511725</v>
      </c>
      <c r="B4278" s="6" t="n">
        <v>46016</v>
      </c>
      <c r="C4278" t="n">
        <v>17902</v>
      </c>
      <c r="D4278" t="inlineStr">
        <is>
          <t>Jaipur</t>
        </is>
      </c>
      <c r="E4278" t="inlineStr">
        <is>
          <t>North</t>
        </is>
      </c>
      <c r="F4278" t="inlineStr">
        <is>
          <t>Organic Search</t>
        </is>
      </c>
      <c r="G4278" t="inlineStr">
        <is>
          <t>Mobile Web</t>
        </is>
      </c>
      <c r="H4278" t="inlineStr">
        <is>
          <t>UPI</t>
        </is>
      </c>
      <c r="I4278" t="inlineStr">
        <is>
          <t>Delivered</t>
        </is>
      </c>
      <c r="J4278" t="n">
        <v>133</v>
      </c>
      <c r="K4278" t="n">
        <v>1</v>
      </c>
      <c r="L4278" s="7" t="n">
        <v>419</v>
      </c>
      <c r="M4278" s="7" t="n">
        <v>0</v>
      </c>
    </row>
    <row r="4279">
      <c r="A4279" t="n">
        <v>511726</v>
      </c>
      <c r="B4279" s="6" t="n">
        <v>46016</v>
      </c>
      <c r="C4279" t="n">
        <v>17557</v>
      </c>
      <c r="D4279" t="inlineStr">
        <is>
          <t>Hyderabad</t>
        </is>
      </c>
      <c r="E4279" t="inlineStr">
        <is>
          <t>South</t>
        </is>
      </c>
      <c r="F4279" t="inlineStr">
        <is>
          <t>Organic Search</t>
        </is>
      </c>
      <c r="G4279" t="inlineStr">
        <is>
          <t>Mobile Web</t>
        </is>
      </c>
      <c r="H4279" t="inlineStr">
        <is>
          <t>Cash on Delivery</t>
        </is>
      </c>
      <c r="I4279" t="inlineStr">
        <is>
          <t>Returned</t>
        </is>
      </c>
      <c r="J4279" t="n">
        <v>120</v>
      </c>
      <c r="K4279" t="n">
        <v>1</v>
      </c>
      <c r="L4279" s="7" t="n">
        <v>734</v>
      </c>
      <c r="M4279" s="7" t="n">
        <v>36.7</v>
      </c>
    </row>
    <row r="4280">
      <c r="A4280" t="n">
        <v>511727</v>
      </c>
      <c r="B4280" s="6" t="n">
        <v>46016</v>
      </c>
      <c r="C4280" t="n">
        <v>17916</v>
      </c>
      <c r="D4280" t="inlineStr">
        <is>
          <t>Delhi</t>
        </is>
      </c>
      <c r="E4280" t="inlineStr">
        <is>
          <t>North</t>
        </is>
      </c>
      <c r="F4280" t="inlineStr">
        <is>
          <t>Organic Search</t>
        </is>
      </c>
      <c r="G4280" t="inlineStr">
        <is>
          <t>Mobile Web</t>
        </is>
      </c>
      <c r="H4280" t="inlineStr">
        <is>
          <t>Credit Card</t>
        </is>
      </c>
      <c r="I4280" t="inlineStr">
        <is>
          <t>Delivered</t>
        </is>
      </c>
      <c r="J4280" t="n">
        <v>148</v>
      </c>
      <c r="K4280" t="n">
        <v>1</v>
      </c>
      <c r="L4280" s="7" t="n">
        <v>734</v>
      </c>
      <c r="M4280" s="7" t="n">
        <v>0</v>
      </c>
    </row>
    <row r="4281">
      <c r="A4281" t="n">
        <v>511727</v>
      </c>
      <c r="B4281" s="6" t="n">
        <v>46016</v>
      </c>
      <c r="C4281" t="n">
        <v>17916</v>
      </c>
      <c r="D4281" t="inlineStr">
        <is>
          <t>Delhi</t>
        </is>
      </c>
      <c r="E4281" t="inlineStr">
        <is>
          <t>North</t>
        </is>
      </c>
      <c r="F4281" t="inlineStr">
        <is>
          <t>Organic Search</t>
        </is>
      </c>
      <c r="G4281" t="inlineStr">
        <is>
          <t>Mobile Web</t>
        </is>
      </c>
      <c r="H4281" t="inlineStr">
        <is>
          <t>Credit Card</t>
        </is>
      </c>
      <c r="I4281" t="inlineStr">
        <is>
          <t>Delivered</t>
        </is>
      </c>
      <c r="J4281" t="n">
        <v>141</v>
      </c>
      <c r="K4281" t="n">
        <v>1</v>
      </c>
      <c r="L4281" s="7" t="n">
        <v>261</v>
      </c>
      <c r="M4281" s="7" t="n">
        <v>0</v>
      </c>
    </row>
    <row r="4282">
      <c r="A4282" t="n">
        <v>511728</v>
      </c>
      <c r="B4282" s="6" t="n">
        <v>46016</v>
      </c>
      <c r="C4282" t="n">
        <v>15053</v>
      </c>
      <c r="D4282" t="inlineStr">
        <is>
          <t>Mumbai</t>
        </is>
      </c>
      <c r="E4282" t="inlineStr">
        <is>
          <t>West</t>
        </is>
      </c>
      <c r="F4282" t="inlineStr">
        <is>
          <t>Organic Search</t>
        </is>
      </c>
      <c r="G4282" t="inlineStr">
        <is>
          <t>Mobile App</t>
        </is>
      </c>
      <c r="H4282" t="inlineStr">
        <is>
          <t>Credit Card</t>
        </is>
      </c>
      <c r="I4282" t="inlineStr">
        <is>
          <t>Delivered</t>
        </is>
      </c>
      <c r="J4282" t="n">
        <v>107</v>
      </c>
      <c r="K4282" t="n">
        <v>3</v>
      </c>
      <c r="L4282" s="7" t="n">
        <v>1259</v>
      </c>
      <c r="M4282" s="7" t="n">
        <v>0</v>
      </c>
    </row>
    <row r="4283">
      <c r="A4283" t="n">
        <v>511729</v>
      </c>
      <c r="B4283" s="6" t="n">
        <v>46016</v>
      </c>
      <c r="C4283" t="n">
        <v>17636</v>
      </c>
      <c r="D4283" t="inlineStr">
        <is>
          <t>Delhi</t>
        </is>
      </c>
      <c r="E4283" t="inlineStr">
        <is>
          <t>North</t>
        </is>
      </c>
      <c r="F4283" t="inlineStr">
        <is>
          <t>Paid Search</t>
        </is>
      </c>
      <c r="G4283" t="inlineStr">
        <is>
          <t>Mobile App</t>
        </is>
      </c>
      <c r="H4283" t="inlineStr">
        <is>
          <t>Cash on Delivery</t>
        </is>
      </c>
      <c r="I4283" t="inlineStr">
        <is>
          <t>Delivered</t>
        </is>
      </c>
      <c r="J4283" t="n">
        <v>118</v>
      </c>
      <c r="K4283" t="n">
        <v>1</v>
      </c>
      <c r="L4283" s="7" t="n">
        <v>944</v>
      </c>
      <c r="M4283" s="7" t="n">
        <v>0</v>
      </c>
    </row>
    <row r="4284">
      <c r="A4284" t="n">
        <v>511729</v>
      </c>
      <c r="B4284" s="6" t="n">
        <v>46016</v>
      </c>
      <c r="C4284" t="n">
        <v>17636</v>
      </c>
      <c r="D4284" t="inlineStr">
        <is>
          <t>Delhi</t>
        </is>
      </c>
      <c r="E4284" t="inlineStr">
        <is>
          <t>North</t>
        </is>
      </c>
      <c r="F4284" t="inlineStr">
        <is>
          <t>Paid Search</t>
        </is>
      </c>
      <c r="G4284" t="inlineStr">
        <is>
          <t>Mobile App</t>
        </is>
      </c>
      <c r="H4284" t="inlineStr">
        <is>
          <t>Cash on Delivery</t>
        </is>
      </c>
      <c r="I4284" t="inlineStr">
        <is>
          <t>Delivered</t>
        </is>
      </c>
      <c r="J4284" t="n">
        <v>148</v>
      </c>
      <c r="K4284" t="n">
        <v>3</v>
      </c>
      <c r="L4284" s="7" t="n">
        <v>734</v>
      </c>
      <c r="M4284" s="7" t="n">
        <v>0</v>
      </c>
    </row>
    <row r="4285">
      <c r="A4285" t="n">
        <v>511730</v>
      </c>
      <c r="B4285" s="6" t="n">
        <v>46016</v>
      </c>
      <c r="C4285" t="n">
        <v>17877</v>
      </c>
      <c r="D4285" t="inlineStr">
        <is>
          <t>Noida</t>
        </is>
      </c>
      <c r="E4285" t="inlineStr">
        <is>
          <t>North</t>
        </is>
      </c>
      <c r="F4285" t="inlineStr">
        <is>
          <t>Affiliate</t>
        </is>
      </c>
      <c r="G4285" t="inlineStr">
        <is>
          <t>Mobile App</t>
        </is>
      </c>
      <c r="H4285" t="inlineStr">
        <is>
          <t>UPI</t>
        </is>
      </c>
      <c r="I4285" t="inlineStr">
        <is>
          <t>Delivered</t>
        </is>
      </c>
      <c r="J4285" t="n">
        <v>126</v>
      </c>
      <c r="K4285" t="n">
        <v>1</v>
      </c>
      <c r="L4285" s="7" t="n">
        <v>471</v>
      </c>
      <c r="M4285" s="7" t="n">
        <v>0</v>
      </c>
    </row>
    <row r="4286">
      <c r="A4286" t="n">
        <v>511730</v>
      </c>
      <c r="B4286" s="6" t="n">
        <v>46016</v>
      </c>
      <c r="C4286" t="n">
        <v>17877</v>
      </c>
      <c r="D4286" t="inlineStr">
        <is>
          <t>Noida</t>
        </is>
      </c>
      <c r="E4286" t="inlineStr">
        <is>
          <t>North</t>
        </is>
      </c>
      <c r="F4286" t="inlineStr">
        <is>
          <t>Affiliate</t>
        </is>
      </c>
      <c r="G4286" t="inlineStr">
        <is>
          <t>Mobile App</t>
        </is>
      </c>
      <c r="H4286" t="inlineStr">
        <is>
          <t>UPI</t>
        </is>
      </c>
      <c r="I4286" t="inlineStr">
        <is>
          <t>Delivered</t>
        </is>
      </c>
      <c r="J4286" t="n">
        <v>122</v>
      </c>
      <c r="K4286" t="n">
        <v>1</v>
      </c>
      <c r="L4286" s="7" t="n">
        <v>1994</v>
      </c>
      <c r="M4286" s="7" t="n">
        <v>0</v>
      </c>
    </row>
    <row r="4287">
      <c r="A4287" t="n">
        <v>511731</v>
      </c>
      <c r="B4287" s="6" t="n">
        <v>46016</v>
      </c>
      <c r="C4287" t="n">
        <v>16643</v>
      </c>
      <c r="D4287" t="inlineStr">
        <is>
          <t>Delhi</t>
        </is>
      </c>
      <c r="E4287" t="inlineStr">
        <is>
          <t>North</t>
        </is>
      </c>
      <c r="F4287" t="inlineStr">
        <is>
          <t>Referral</t>
        </is>
      </c>
      <c r="G4287" t="inlineStr">
        <is>
          <t>Mobile App</t>
        </is>
      </c>
      <c r="H4287" t="inlineStr">
        <is>
          <t>UPI</t>
        </is>
      </c>
      <c r="I4287" t="inlineStr">
        <is>
          <t>Cancelled</t>
        </is>
      </c>
      <c r="J4287" t="n">
        <v>144</v>
      </c>
      <c r="K4287" t="n">
        <v>1</v>
      </c>
      <c r="L4287" s="7" t="n">
        <v>3149</v>
      </c>
      <c r="M4287" s="7" t="n">
        <v>0</v>
      </c>
    </row>
    <row r="4288">
      <c r="A4288" t="n">
        <v>511732</v>
      </c>
      <c r="B4288" s="6" t="n">
        <v>46016</v>
      </c>
      <c r="C4288" t="n">
        <v>17870</v>
      </c>
      <c r="D4288" t="inlineStr">
        <is>
          <t>Hyderabad</t>
        </is>
      </c>
      <c r="E4288" t="inlineStr">
        <is>
          <t>South</t>
        </is>
      </c>
      <c r="F4288" t="inlineStr">
        <is>
          <t>Affiliate</t>
        </is>
      </c>
      <c r="G4288" t="inlineStr">
        <is>
          <t>Mobile App</t>
        </is>
      </c>
      <c r="H4288" t="inlineStr">
        <is>
          <t>UPI</t>
        </is>
      </c>
      <c r="I4288" t="inlineStr">
        <is>
          <t>Delivered</t>
        </is>
      </c>
      <c r="J4288" t="n">
        <v>148</v>
      </c>
      <c r="K4288" t="n">
        <v>1</v>
      </c>
      <c r="L4288" s="7" t="n">
        <v>734</v>
      </c>
      <c r="M4288" s="7" t="n">
        <v>0</v>
      </c>
    </row>
    <row r="4289">
      <c r="A4289" t="n">
        <v>511733</v>
      </c>
      <c r="B4289" s="6" t="n">
        <v>46016</v>
      </c>
      <c r="C4289" t="n">
        <v>14782</v>
      </c>
      <c r="D4289" t="inlineStr">
        <is>
          <t>Delhi</t>
        </is>
      </c>
      <c r="E4289" t="inlineStr">
        <is>
          <t>North</t>
        </is>
      </c>
      <c r="F4289" t="inlineStr">
        <is>
          <t>Referral</t>
        </is>
      </c>
      <c r="G4289" t="inlineStr">
        <is>
          <t>Mobile App</t>
        </is>
      </c>
      <c r="H4289" t="inlineStr">
        <is>
          <t>Credit Card</t>
        </is>
      </c>
      <c r="I4289" t="inlineStr">
        <is>
          <t>Delivered</t>
        </is>
      </c>
      <c r="J4289" t="n">
        <v>111</v>
      </c>
      <c r="K4289" t="n">
        <v>1</v>
      </c>
      <c r="L4289" s="7" t="n">
        <v>524</v>
      </c>
      <c r="M4289" s="7" t="n">
        <v>0</v>
      </c>
    </row>
    <row r="4290">
      <c r="A4290" t="n">
        <v>511734</v>
      </c>
      <c r="B4290" s="6" t="n">
        <v>46016</v>
      </c>
      <c r="C4290" t="n">
        <v>17884</v>
      </c>
      <c r="D4290" t="inlineStr">
        <is>
          <t>Kolkata</t>
        </is>
      </c>
      <c r="E4290" t="inlineStr">
        <is>
          <t>East</t>
        </is>
      </c>
      <c r="F4290" t="inlineStr">
        <is>
          <t>Paid Search</t>
        </is>
      </c>
      <c r="G4290" t="inlineStr">
        <is>
          <t>Mobile App</t>
        </is>
      </c>
      <c r="H4290" t="inlineStr">
        <is>
          <t>UPI</t>
        </is>
      </c>
      <c r="I4290" t="inlineStr">
        <is>
          <t>Delivered</t>
        </is>
      </c>
      <c r="J4290" t="n">
        <v>110</v>
      </c>
      <c r="K4290" t="n">
        <v>2</v>
      </c>
      <c r="L4290" s="7" t="n">
        <v>839</v>
      </c>
      <c r="M4290" s="7" t="n">
        <v>251.7</v>
      </c>
    </row>
    <row r="4291">
      <c r="A4291" t="n">
        <v>511735</v>
      </c>
      <c r="B4291" s="6" t="n">
        <v>46016</v>
      </c>
      <c r="C4291" t="n">
        <v>17850</v>
      </c>
      <c r="D4291" t="inlineStr">
        <is>
          <t>Delhi</t>
        </is>
      </c>
      <c r="E4291" t="inlineStr">
        <is>
          <t>North</t>
        </is>
      </c>
      <c r="F4291" t="inlineStr">
        <is>
          <t>Paid Search</t>
        </is>
      </c>
      <c r="G4291" t="inlineStr">
        <is>
          <t>Desktop</t>
        </is>
      </c>
      <c r="H4291" t="inlineStr">
        <is>
          <t>UPI</t>
        </is>
      </c>
      <c r="I4291" t="inlineStr">
        <is>
          <t>Returned</t>
        </is>
      </c>
      <c r="J4291" t="n">
        <v>106</v>
      </c>
      <c r="K4291" t="n">
        <v>1</v>
      </c>
      <c r="L4291" s="7" t="n">
        <v>1574</v>
      </c>
      <c r="M4291" s="7" t="n">
        <v>236.1</v>
      </c>
    </row>
    <row r="4292">
      <c r="A4292" t="n">
        <v>511735</v>
      </c>
      <c r="B4292" s="6" t="n">
        <v>46016</v>
      </c>
      <c r="C4292" t="n">
        <v>17850</v>
      </c>
      <c r="D4292" t="inlineStr">
        <is>
          <t>Delhi</t>
        </is>
      </c>
      <c r="E4292" t="inlineStr">
        <is>
          <t>North</t>
        </is>
      </c>
      <c r="F4292" t="inlineStr">
        <is>
          <t>Paid Search</t>
        </is>
      </c>
      <c r="G4292" t="inlineStr">
        <is>
          <t>Desktop</t>
        </is>
      </c>
      <c r="H4292" t="inlineStr">
        <is>
          <t>UPI</t>
        </is>
      </c>
      <c r="I4292" t="inlineStr">
        <is>
          <t>Returned</t>
        </is>
      </c>
      <c r="J4292" t="n">
        <v>115</v>
      </c>
      <c r="K4292" t="n">
        <v>2</v>
      </c>
      <c r="L4292" s="7" t="n">
        <v>4199</v>
      </c>
      <c r="M4292" s="7" t="n">
        <v>1259.7</v>
      </c>
    </row>
    <row r="4293">
      <c r="A4293" t="n">
        <v>511736</v>
      </c>
      <c r="B4293" s="6" t="n">
        <v>46016</v>
      </c>
      <c r="C4293" t="n">
        <v>16604</v>
      </c>
      <c r="D4293" t="inlineStr">
        <is>
          <t>Bengaluru</t>
        </is>
      </c>
      <c r="E4293" t="inlineStr">
        <is>
          <t>South</t>
        </is>
      </c>
      <c r="F4293" t="inlineStr">
        <is>
          <t>Paid Search</t>
        </is>
      </c>
      <c r="G4293" t="inlineStr">
        <is>
          <t>Mobile App</t>
        </is>
      </c>
      <c r="H4293" t="inlineStr">
        <is>
          <t>Credit Card</t>
        </is>
      </c>
      <c r="I4293" t="inlineStr">
        <is>
          <t>Delivered</t>
        </is>
      </c>
      <c r="J4293" t="n">
        <v>110</v>
      </c>
      <c r="K4293" t="n">
        <v>1</v>
      </c>
      <c r="L4293" s="7" t="n">
        <v>839</v>
      </c>
      <c r="M4293" s="7" t="n">
        <v>0</v>
      </c>
    </row>
    <row r="4294">
      <c r="A4294" t="n">
        <v>511737</v>
      </c>
      <c r="B4294" s="6" t="n">
        <v>46016</v>
      </c>
      <c r="C4294" t="n">
        <v>17914</v>
      </c>
      <c r="D4294" t="inlineStr">
        <is>
          <t>Mumbai</t>
        </is>
      </c>
      <c r="E4294" t="inlineStr">
        <is>
          <t>West</t>
        </is>
      </c>
      <c r="F4294" t="inlineStr">
        <is>
          <t>Organic Search</t>
        </is>
      </c>
      <c r="G4294" t="inlineStr">
        <is>
          <t>Mobile App</t>
        </is>
      </c>
      <c r="H4294" t="inlineStr">
        <is>
          <t>UPI</t>
        </is>
      </c>
      <c r="I4294" t="inlineStr">
        <is>
          <t>Returned</t>
        </is>
      </c>
      <c r="J4294" t="n">
        <v>148</v>
      </c>
      <c r="K4294" t="n">
        <v>1</v>
      </c>
      <c r="L4294" s="7" t="n">
        <v>734</v>
      </c>
      <c r="M4294" s="7" t="n">
        <v>110.1</v>
      </c>
    </row>
    <row r="4295">
      <c r="A4295" t="n">
        <v>511737</v>
      </c>
      <c r="B4295" s="6" t="n">
        <v>46016</v>
      </c>
      <c r="C4295" t="n">
        <v>17914</v>
      </c>
      <c r="D4295" t="inlineStr">
        <is>
          <t>Mumbai</t>
        </is>
      </c>
      <c r="E4295" t="inlineStr">
        <is>
          <t>West</t>
        </is>
      </c>
      <c r="F4295" t="inlineStr">
        <is>
          <t>Organic Search</t>
        </is>
      </c>
      <c r="G4295" t="inlineStr">
        <is>
          <t>Mobile App</t>
        </is>
      </c>
      <c r="H4295" t="inlineStr">
        <is>
          <t>UPI</t>
        </is>
      </c>
      <c r="I4295" t="inlineStr">
        <is>
          <t>Returned</t>
        </is>
      </c>
      <c r="J4295" t="n">
        <v>115</v>
      </c>
      <c r="K4295" t="n">
        <v>2</v>
      </c>
      <c r="L4295" s="7" t="n">
        <v>4199</v>
      </c>
      <c r="M4295" s="7" t="n">
        <v>1259.7</v>
      </c>
    </row>
    <row r="4296">
      <c r="A4296" t="n">
        <v>511737</v>
      </c>
      <c r="B4296" s="6" t="n">
        <v>46016</v>
      </c>
      <c r="C4296" t="n">
        <v>17914</v>
      </c>
      <c r="D4296" t="inlineStr">
        <is>
          <t>Mumbai</t>
        </is>
      </c>
      <c r="E4296" t="inlineStr">
        <is>
          <t>West</t>
        </is>
      </c>
      <c r="F4296" t="inlineStr">
        <is>
          <t>Organic Search</t>
        </is>
      </c>
      <c r="G4296" t="inlineStr">
        <is>
          <t>Mobile App</t>
        </is>
      </c>
      <c r="H4296" t="inlineStr">
        <is>
          <t>UPI</t>
        </is>
      </c>
      <c r="I4296" t="inlineStr">
        <is>
          <t>Returned</t>
        </is>
      </c>
      <c r="J4296" t="n">
        <v>108</v>
      </c>
      <c r="K4296" t="n">
        <v>1</v>
      </c>
      <c r="L4296" s="7" t="n">
        <v>419</v>
      </c>
      <c r="M4296" s="7" t="n">
        <v>62.85</v>
      </c>
    </row>
    <row r="4297">
      <c r="A4297" t="n">
        <v>511738</v>
      </c>
      <c r="B4297" s="6" t="n">
        <v>46016</v>
      </c>
      <c r="C4297" t="n">
        <v>14555</v>
      </c>
      <c r="D4297" t="inlineStr">
        <is>
          <t>Chennai</t>
        </is>
      </c>
      <c r="E4297" t="inlineStr">
        <is>
          <t>South</t>
        </is>
      </c>
      <c r="F4297" t="inlineStr">
        <is>
          <t>Paid Social</t>
        </is>
      </c>
      <c r="G4297" t="inlineStr">
        <is>
          <t>Mobile Web</t>
        </is>
      </c>
      <c r="H4297" t="inlineStr">
        <is>
          <t>Credit Card</t>
        </is>
      </c>
      <c r="I4297" t="inlineStr">
        <is>
          <t>Delivered</t>
        </is>
      </c>
      <c r="J4297" t="n">
        <v>122</v>
      </c>
      <c r="K4297" t="n">
        <v>1</v>
      </c>
      <c r="L4297" s="7" t="n">
        <v>1994</v>
      </c>
      <c r="M4297" s="7" t="n">
        <v>0</v>
      </c>
    </row>
    <row r="4298">
      <c r="A4298" t="n">
        <v>511738</v>
      </c>
      <c r="B4298" s="6" t="n">
        <v>46016</v>
      </c>
      <c r="C4298" t="n">
        <v>14555</v>
      </c>
      <c r="D4298" t="inlineStr">
        <is>
          <t>Chennai</t>
        </is>
      </c>
      <c r="E4298" t="inlineStr">
        <is>
          <t>South</t>
        </is>
      </c>
      <c r="F4298" t="inlineStr">
        <is>
          <t>Paid Social</t>
        </is>
      </c>
      <c r="G4298" t="inlineStr">
        <is>
          <t>Mobile Web</t>
        </is>
      </c>
      <c r="H4298" t="inlineStr">
        <is>
          <t>Credit Card</t>
        </is>
      </c>
      <c r="I4298" t="inlineStr">
        <is>
          <t>Delivered</t>
        </is>
      </c>
      <c r="J4298" t="n">
        <v>112</v>
      </c>
      <c r="K4298" t="n">
        <v>1</v>
      </c>
      <c r="L4298" s="7" t="n">
        <v>1574</v>
      </c>
      <c r="M4298" s="7" t="n">
        <v>0</v>
      </c>
    </row>
    <row r="4299">
      <c r="A4299" t="n">
        <v>511738</v>
      </c>
      <c r="B4299" s="6" t="n">
        <v>46016</v>
      </c>
      <c r="C4299" t="n">
        <v>14555</v>
      </c>
      <c r="D4299" t="inlineStr">
        <is>
          <t>Chennai</t>
        </is>
      </c>
      <c r="E4299" t="inlineStr">
        <is>
          <t>South</t>
        </is>
      </c>
      <c r="F4299" t="inlineStr">
        <is>
          <t>Paid Social</t>
        </is>
      </c>
      <c r="G4299" t="inlineStr">
        <is>
          <t>Mobile Web</t>
        </is>
      </c>
      <c r="H4299" t="inlineStr">
        <is>
          <t>Credit Card</t>
        </is>
      </c>
      <c r="I4299" t="inlineStr">
        <is>
          <t>Delivered</t>
        </is>
      </c>
      <c r="J4299" t="n">
        <v>102</v>
      </c>
      <c r="K4299" t="n">
        <v>2</v>
      </c>
      <c r="L4299" s="7" t="n">
        <v>3674</v>
      </c>
      <c r="M4299" s="7" t="n">
        <v>0</v>
      </c>
    </row>
    <row r="4300">
      <c r="A4300" t="n">
        <v>511739</v>
      </c>
      <c r="B4300" s="6" t="n">
        <v>46016</v>
      </c>
      <c r="C4300" t="n">
        <v>17223</v>
      </c>
      <c r="D4300" t="inlineStr">
        <is>
          <t>Kolkata</t>
        </is>
      </c>
      <c r="E4300" t="inlineStr">
        <is>
          <t>East</t>
        </is>
      </c>
      <c r="F4300" t="inlineStr">
        <is>
          <t>Paid Search</t>
        </is>
      </c>
      <c r="G4300" t="inlineStr">
        <is>
          <t>Mobile Web</t>
        </is>
      </c>
      <c r="H4300" t="inlineStr">
        <is>
          <t>Credit Card</t>
        </is>
      </c>
      <c r="I4300" t="inlineStr">
        <is>
          <t>Delivered</t>
        </is>
      </c>
      <c r="J4300" t="n">
        <v>104</v>
      </c>
      <c r="K4300" t="n">
        <v>1</v>
      </c>
      <c r="L4300" s="7" t="n">
        <v>5249</v>
      </c>
      <c r="M4300" s="7" t="n">
        <v>0</v>
      </c>
    </row>
    <row r="4301">
      <c r="A4301" t="n">
        <v>511740</v>
      </c>
      <c r="B4301" s="6" t="n">
        <v>46016</v>
      </c>
      <c r="C4301" t="n">
        <v>16318</v>
      </c>
      <c r="D4301" t="inlineStr">
        <is>
          <t>Pune</t>
        </is>
      </c>
      <c r="E4301" t="inlineStr">
        <is>
          <t>West</t>
        </is>
      </c>
      <c r="F4301" t="inlineStr">
        <is>
          <t>Referral</t>
        </is>
      </c>
      <c r="G4301" t="inlineStr">
        <is>
          <t>Mobile App</t>
        </is>
      </c>
      <c r="H4301" t="inlineStr">
        <is>
          <t>UPI</t>
        </is>
      </c>
      <c r="I4301" t="inlineStr">
        <is>
          <t>Delivered</t>
        </is>
      </c>
      <c r="J4301" t="n">
        <v>106</v>
      </c>
      <c r="K4301" t="n">
        <v>1</v>
      </c>
      <c r="L4301" s="7" t="n">
        <v>1574</v>
      </c>
      <c r="M4301" s="7" t="n">
        <v>0</v>
      </c>
    </row>
    <row r="4302">
      <c r="A4302" t="n">
        <v>511740</v>
      </c>
      <c r="B4302" s="6" t="n">
        <v>46016</v>
      </c>
      <c r="C4302" t="n">
        <v>16318</v>
      </c>
      <c r="D4302" t="inlineStr">
        <is>
          <t>Pune</t>
        </is>
      </c>
      <c r="E4302" t="inlineStr">
        <is>
          <t>West</t>
        </is>
      </c>
      <c r="F4302" t="inlineStr">
        <is>
          <t>Referral</t>
        </is>
      </c>
      <c r="G4302" t="inlineStr">
        <is>
          <t>Mobile App</t>
        </is>
      </c>
      <c r="H4302" t="inlineStr">
        <is>
          <t>UPI</t>
        </is>
      </c>
      <c r="I4302" t="inlineStr">
        <is>
          <t>Delivered</t>
        </is>
      </c>
      <c r="J4302" t="n">
        <v>112</v>
      </c>
      <c r="K4302" t="n">
        <v>1</v>
      </c>
      <c r="L4302" s="7" t="n">
        <v>1574</v>
      </c>
      <c r="M4302" s="7" t="n">
        <v>0</v>
      </c>
    </row>
    <row r="4303">
      <c r="A4303" t="n">
        <v>511741</v>
      </c>
      <c r="B4303" s="6" t="n">
        <v>46016</v>
      </c>
      <c r="C4303" t="n">
        <v>14440</v>
      </c>
      <c r="D4303" t="inlineStr">
        <is>
          <t>Kolkata</t>
        </is>
      </c>
      <c r="E4303" t="inlineStr">
        <is>
          <t>East</t>
        </is>
      </c>
      <c r="F4303" t="inlineStr">
        <is>
          <t>Organic Search</t>
        </is>
      </c>
      <c r="G4303" t="inlineStr">
        <is>
          <t>Desktop</t>
        </is>
      </c>
      <c r="H4303" t="inlineStr">
        <is>
          <t>UPI</t>
        </is>
      </c>
      <c r="I4303" t="inlineStr">
        <is>
          <t>Delivered</t>
        </is>
      </c>
      <c r="J4303" t="n">
        <v>107</v>
      </c>
      <c r="K4303" t="n">
        <v>2</v>
      </c>
      <c r="L4303" s="7" t="n">
        <v>1259</v>
      </c>
      <c r="M4303" s="7" t="n">
        <v>125.9</v>
      </c>
    </row>
    <row r="4304">
      <c r="A4304" t="n">
        <v>511741</v>
      </c>
      <c r="B4304" s="6" t="n">
        <v>46016</v>
      </c>
      <c r="C4304" t="n">
        <v>14440</v>
      </c>
      <c r="D4304" t="inlineStr">
        <is>
          <t>Kolkata</t>
        </is>
      </c>
      <c r="E4304" t="inlineStr">
        <is>
          <t>East</t>
        </is>
      </c>
      <c r="F4304" t="inlineStr">
        <is>
          <t>Organic Search</t>
        </is>
      </c>
      <c r="G4304" t="inlineStr">
        <is>
          <t>Desktop</t>
        </is>
      </c>
      <c r="H4304" t="inlineStr">
        <is>
          <t>UPI</t>
        </is>
      </c>
      <c r="I4304" t="inlineStr">
        <is>
          <t>Delivered</t>
        </is>
      </c>
      <c r="J4304" t="n">
        <v>117</v>
      </c>
      <c r="K4304" t="n">
        <v>1</v>
      </c>
      <c r="L4304" s="7" t="n">
        <v>3149</v>
      </c>
      <c r="M4304" s="7" t="n">
        <v>157.45</v>
      </c>
    </row>
    <row r="4305">
      <c r="A4305" t="n">
        <v>511742</v>
      </c>
      <c r="B4305" s="6" t="n">
        <v>46016</v>
      </c>
      <c r="C4305" t="n">
        <v>14189</v>
      </c>
      <c r="D4305" t="inlineStr">
        <is>
          <t>Pune</t>
        </is>
      </c>
      <c r="E4305" t="inlineStr">
        <is>
          <t>West</t>
        </is>
      </c>
      <c r="F4305" t="inlineStr">
        <is>
          <t>Referral</t>
        </is>
      </c>
      <c r="G4305" t="inlineStr">
        <is>
          <t>Mobile App</t>
        </is>
      </c>
      <c r="H4305" t="inlineStr">
        <is>
          <t>Cash on Delivery</t>
        </is>
      </c>
      <c r="I4305" t="inlineStr">
        <is>
          <t>Delivered</t>
        </is>
      </c>
      <c r="J4305" t="n">
        <v>147</v>
      </c>
      <c r="K4305" t="n">
        <v>1</v>
      </c>
      <c r="L4305" s="7" t="n">
        <v>1364</v>
      </c>
      <c r="M4305" s="7" t="n">
        <v>0</v>
      </c>
    </row>
    <row r="4306">
      <c r="A4306" t="n">
        <v>511742</v>
      </c>
      <c r="B4306" s="6" t="n">
        <v>46016</v>
      </c>
      <c r="C4306" t="n">
        <v>14189</v>
      </c>
      <c r="D4306" t="inlineStr">
        <is>
          <t>Pune</t>
        </is>
      </c>
      <c r="E4306" t="inlineStr">
        <is>
          <t>West</t>
        </is>
      </c>
      <c r="F4306" t="inlineStr">
        <is>
          <t>Referral</t>
        </is>
      </c>
      <c r="G4306" t="inlineStr">
        <is>
          <t>Mobile App</t>
        </is>
      </c>
      <c r="H4306" t="inlineStr">
        <is>
          <t>Cash on Delivery</t>
        </is>
      </c>
      <c r="I4306" t="inlineStr">
        <is>
          <t>Delivered</t>
        </is>
      </c>
      <c r="J4306" t="n">
        <v>123</v>
      </c>
      <c r="K4306" t="n">
        <v>1</v>
      </c>
      <c r="L4306" s="7" t="n">
        <v>3464</v>
      </c>
      <c r="M4306" s="7" t="n">
        <v>0</v>
      </c>
    </row>
    <row r="4307">
      <c r="A4307" t="n">
        <v>511742</v>
      </c>
      <c r="B4307" s="6" t="n">
        <v>46016</v>
      </c>
      <c r="C4307" t="n">
        <v>14189</v>
      </c>
      <c r="D4307" t="inlineStr">
        <is>
          <t>Pune</t>
        </is>
      </c>
      <c r="E4307" t="inlineStr">
        <is>
          <t>West</t>
        </is>
      </c>
      <c r="F4307" t="inlineStr">
        <is>
          <t>Referral</t>
        </is>
      </c>
      <c r="G4307" t="inlineStr">
        <is>
          <t>Mobile App</t>
        </is>
      </c>
      <c r="H4307" t="inlineStr">
        <is>
          <t>Cash on Delivery</t>
        </is>
      </c>
      <c r="I4307" t="inlineStr">
        <is>
          <t>Delivered</t>
        </is>
      </c>
      <c r="J4307" t="n">
        <v>120</v>
      </c>
      <c r="K4307" t="n">
        <v>1</v>
      </c>
      <c r="L4307" s="7" t="n">
        <v>734</v>
      </c>
      <c r="M4307" s="7" t="n">
        <v>0</v>
      </c>
    </row>
    <row r="4308">
      <c r="A4308" t="n">
        <v>511743</v>
      </c>
      <c r="B4308" s="6" t="n">
        <v>46016</v>
      </c>
      <c r="C4308" t="n">
        <v>17713</v>
      </c>
      <c r="D4308" t="inlineStr">
        <is>
          <t>Kochi</t>
        </is>
      </c>
      <c r="E4308" t="inlineStr">
        <is>
          <t>South</t>
        </is>
      </c>
      <c r="F4308" t="inlineStr">
        <is>
          <t>Paid Social</t>
        </is>
      </c>
      <c r="G4308" t="inlineStr">
        <is>
          <t>Mobile App</t>
        </is>
      </c>
      <c r="H4308" t="inlineStr">
        <is>
          <t>Debit Card</t>
        </is>
      </c>
      <c r="I4308" t="inlineStr">
        <is>
          <t>Delivered</t>
        </is>
      </c>
      <c r="J4308" t="n">
        <v>111</v>
      </c>
      <c r="K4308" t="n">
        <v>1</v>
      </c>
      <c r="L4308" s="7" t="n">
        <v>524</v>
      </c>
      <c r="M4308" s="7" t="n">
        <v>26.2</v>
      </c>
    </row>
    <row r="4309">
      <c r="A4309" t="n">
        <v>511743</v>
      </c>
      <c r="B4309" s="6" t="n">
        <v>46016</v>
      </c>
      <c r="C4309" t="n">
        <v>17713</v>
      </c>
      <c r="D4309" t="inlineStr">
        <is>
          <t>Kochi</t>
        </is>
      </c>
      <c r="E4309" t="inlineStr">
        <is>
          <t>South</t>
        </is>
      </c>
      <c r="F4309" t="inlineStr">
        <is>
          <t>Paid Social</t>
        </is>
      </c>
      <c r="G4309" t="inlineStr">
        <is>
          <t>Mobile App</t>
        </is>
      </c>
      <c r="H4309" t="inlineStr">
        <is>
          <t>Debit Card</t>
        </is>
      </c>
      <c r="I4309" t="inlineStr">
        <is>
          <t>Delivered</t>
        </is>
      </c>
      <c r="J4309" t="n">
        <v>140</v>
      </c>
      <c r="K4309" t="n">
        <v>1</v>
      </c>
      <c r="L4309" s="7" t="n">
        <v>629</v>
      </c>
      <c r="M4309" s="7" t="n">
        <v>31.45</v>
      </c>
    </row>
    <row r="4310">
      <c r="A4310" t="n">
        <v>511744</v>
      </c>
      <c r="B4310" s="6" t="n">
        <v>46017</v>
      </c>
      <c r="C4310" t="n">
        <v>16973</v>
      </c>
      <c r="D4310" t="inlineStr">
        <is>
          <t>Pune</t>
        </is>
      </c>
      <c r="E4310" t="inlineStr">
        <is>
          <t>West</t>
        </is>
      </c>
      <c r="F4310" t="inlineStr">
        <is>
          <t>Paid Social</t>
        </is>
      </c>
      <c r="G4310" t="inlineStr">
        <is>
          <t>Mobile Web</t>
        </is>
      </c>
      <c r="H4310" t="inlineStr">
        <is>
          <t>Cash on Delivery</t>
        </is>
      </c>
      <c r="I4310" t="inlineStr">
        <is>
          <t>Cancelled</t>
        </is>
      </c>
      <c r="J4310" t="n">
        <v>104</v>
      </c>
      <c r="K4310" t="n">
        <v>1</v>
      </c>
      <c r="L4310" s="7" t="n">
        <v>5249</v>
      </c>
      <c r="M4310" s="7" t="n">
        <v>0</v>
      </c>
    </row>
    <row r="4311">
      <c r="A4311" t="n">
        <v>511745</v>
      </c>
      <c r="B4311" s="6" t="n">
        <v>46017</v>
      </c>
      <c r="C4311" t="n">
        <v>17895</v>
      </c>
      <c r="D4311" t="inlineStr">
        <is>
          <t>Bengaluru</t>
        </is>
      </c>
      <c r="E4311" t="inlineStr">
        <is>
          <t>South</t>
        </is>
      </c>
      <c r="F4311" t="inlineStr">
        <is>
          <t>Paid Search</t>
        </is>
      </c>
      <c r="G4311" t="inlineStr">
        <is>
          <t>Mobile App</t>
        </is>
      </c>
      <c r="H4311" t="inlineStr">
        <is>
          <t>UPI</t>
        </is>
      </c>
      <c r="I4311" t="inlineStr">
        <is>
          <t>Delivered</t>
        </is>
      </c>
      <c r="J4311" t="n">
        <v>140</v>
      </c>
      <c r="K4311" t="n">
        <v>3</v>
      </c>
      <c r="L4311" s="7" t="n">
        <v>629</v>
      </c>
      <c r="M4311" s="7" t="n">
        <v>0</v>
      </c>
    </row>
    <row r="4312">
      <c r="A4312" t="n">
        <v>511746</v>
      </c>
      <c r="B4312" s="6" t="n">
        <v>46017</v>
      </c>
      <c r="C4312" t="n">
        <v>16441</v>
      </c>
      <c r="D4312" t="inlineStr">
        <is>
          <t>Jaipur</t>
        </is>
      </c>
      <c r="E4312" t="inlineStr">
        <is>
          <t>North</t>
        </is>
      </c>
      <c r="F4312" t="inlineStr">
        <is>
          <t>Email</t>
        </is>
      </c>
      <c r="G4312" t="inlineStr">
        <is>
          <t>Mobile App</t>
        </is>
      </c>
      <c r="H4312" t="inlineStr">
        <is>
          <t>UPI</t>
        </is>
      </c>
      <c r="I4312" t="inlineStr">
        <is>
          <t>Delivered</t>
        </is>
      </c>
      <c r="J4312" t="n">
        <v>114</v>
      </c>
      <c r="K4312" t="n">
        <v>2</v>
      </c>
      <c r="L4312" s="7" t="n">
        <v>1259</v>
      </c>
      <c r="M4312" s="7" t="n">
        <v>0</v>
      </c>
    </row>
    <row r="4313">
      <c r="A4313" t="n">
        <v>511746</v>
      </c>
      <c r="B4313" s="6" t="n">
        <v>46017</v>
      </c>
      <c r="C4313" t="n">
        <v>16441</v>
      </c>
      <c r="D4313" t="inlineStr">
        <is>
          <t>Jaipur</t>
        </is>
      </c>
      <c r="E4313" t="inlineStr">
        <is>
          <t>North</t>
        </is>
      </c>
      <c r="F4313" t="inlineStr">
        <is>
          <t>Email</t>
        </is>
      </c>
      <c r="G4313" t="inlineStr">
        <is>
          <t>Mobile App</t>
        </is>
      </c>
      <c r="H4313" t="inlineStr">
        <is>
          <t>UPI</t>
        </is>
      </c>
      <c r="I4313" t="inlineStr">
        <is>
          <t>Delivered</t>
        </is>
      </c>
      <c r="J4313" t="n">
        <v>118</v>
      </c>
      <c r="K4313" t="n">
        <v>2</v>
      </c>
      <c r="L4313" s="7" t="n">
        <v>944</v>
      </c>
      <c r="M4313" s="7" t="n">
        <v>0</v>
      </c>
    </row>
    <row r="4314">
      <c r="A4314" t="n">
        <v>511747</v>
      </c>
      <c r="B4314" s="6" t="n">
        <v>46017</v>
      </c>
      <c r="C4314" t="n">
        <v>17674</v>
      </c>
      <c r="D4314" t="inlineStr">
        <is>
          <t>Chandigarh</t>
        </is>
      </c>
      <c r="E4314" t="inlineStr">
        <is>
          <t>North</t>
        </is>
      </c>
      <c r="F4314" t="inlineStr">
        <is>
          <t>Organic Search</t>
        </is>
      </c>
      <c r="G4314" t="inlineStr">
        <is>
          <t>Mobile Web</t>
        </is>
      </c>
      <c r="H4314" t="inlineStr">
        <is>
          <t>Credit Card</t>
        </is>
      </c>
      <c r="I4314" t="inlineStr">
        <is>
          <t>Delivered</t>
        </is>
      </c>
      <c r="J4314" t="n">
        <v>140</v>
      </c>
      <c r="K4314" t="n">
        <v>1</v>
      </c>
      <c r="L4314" s="7" t="n">
        <v>629</v>
      </c>
      <c r="M4314" s="7" t="n">
        <v>0</v>
      </c>
    </row>
    <row r="4315">
      <c r="A4315" t="n">
        <v>511747</v>
      </c>
      <c r="B4315" s="6" t="n">
        <v>46017</v>
      </c>
      <c r="C4315" t="n">
        <v>17674</v>
      </c>
      <c r="D4315" t="inlineStr">
        <is>
          <t>Chandigarh</t>
        </is>
      </c>
      <c r="E4315" t="inlineStr">
        <is>
          <t>North</t>
        </is>
      </c>
      <c r="F4315" t="inlineStr">
        <is>
          <t>Organic Search</t>
        </is>
      </c>
      <c r="G4315" t="inlineStr">
        <is>
          <t>Mobile Web</t>
        </is>
      </c>
      <c r="H4315" t="inlineStr">
        <is>
          <t>Credit Card</t>
        </is>
      </c>
      <c r="I4315" t="inlineStr">
        <is>
          <t>Delivered</t>
        </is>
      </c>
      <c r="J4315" t="n">
        <v>112</v>
      </c>
      <c r="K4315" t="n">
        <v>1</v>
      </c>
      <c r="L4315" s="7" t="n">
        <v>1574</v>
      </c>
      <c r="M4315" s="7" t="n">
        <v>0</v>
      </c>
    </row>
    <row r="4316">
      <c r="A4316" t="n">
        <v>511748</v>
      </c>
      <c r="B4316" s="6" t="n">
        <v>46017</v>
      </c>
      <c r="C4316" t="n">
        <v>16513</v>
      </c>
      <c r="D4316" t="inlineStr">
        <is>
          <t>Chandigarh</t>
        </is>
      </c>
      <c r="E4316" t="inlineStr">
        <is>
          <t>North</t>
        </is>
      </c>
      <c r="F4316" t="inlineStr">
        <is>
          <t>Paid Search</t>
        </is>
      </c>
      <c r="G4316" t="inlineStr">
        <is>
          <t>Desktop</t>
        </is>
      </c>
      <c r="H4316" t="inlineStr">
        <is>
          <t>Debit Card</t>
        </is>
      </c>
      <c r="I4316" t="inlineStr">
        <is>
          <t>Delivered</t>
        </is>
      </c>
      <c r="J4316" t="n">
        <v>137</v>
      </c>
      <c r="K4316" t="n">
        <v>2</v>
      </c>
      <c r="L4316" s="7" t="n">
        <v>261</v>
      </c>
      <c r="M4316" s="7" t="n">
        <v>0</v>
      </c>
    </row>
    <row r="4317">
      <c r="A4317" t="n">
        <v>511748</v>
      </c>
      <c r="B4317" s="6" t="n">
        <v>46017</v>
      </c>
      <c r="C4317" t="n">
        <v>16513</v>
      </c>
      <c r="D4317" t="inlineStr">
        <is>
          <t>Chandigarh</t>
        </is>
      </c>
      <c r="E4317" t="inlineStr">
        <is>
          <t>North</t>
        </is>
      </c>
      <c r="F4317" t="inlineStr">
        <is>
          <t>Paid Search</t>
        </is>
      </c>
      <c r="G4317" t="inlineStr">
        <is>
          <t>Desktop</t>
        </is>
      </c>
      <c r="H4317" t="inlineStr">
        <is>
          <t>Debit Card</t>
        </is>
      </c>
      <c r="I4317" t="inlineStr">
        <is>
          <t>Delivered</t>
        </is>
      </c>
      <c r="J4317" t="n">
        <v>148</v>
      </c>
      <c r="K4317" t="n">
        <v>1</v>
      </c>
      <c r="L4317" s="7" t="n">
        <v>734</v>
      </c>
      <c r="M4317" s="7" t="n">
        <v>0</v>
      </c>
    </row>
    <row r="4318">
      <c r="A4318" t="n">
        <v>511748</v>
      </c>
      <c r="B4318" s="6" t="n">
        <v>46017</v>
      </c>
      <c r="C4318" t="n">
        <v>16513</v>
      </c>
      <c r="D4318" t="inlineStr">
        <is>
          <t>Chandigarh</t>
        </is>
      </c>
      <c r="E4318" t="inlineStr">
        <is>
          <t>North</t>
        </is>
      </c>
      <c r="F4318" t="inlineStr">
        <is>
          <t>Paid Search</t>
        </is>
      </c>
      <c r="G4318" t="inlineStr">
        <is>
          <t>Desktop</t>
        </is>
      </c>
      <c r="H4318" t="inlineStr">
        <is>
          <t>Debit Card</t>
        </is>
      </c>
      <c r="I4318" t="inlineStr">
        <is>
          <t>Delivered</t>
        </is>
      </c>
      <c r="J4318" t="n">
        <v>136</v>
      </c>
      <c r="K4318" t="n">
        <v>2</v>
      </c>
      <c r="L4318" s="7" t="n">
        <v>944</v>
      </c>
      <c r="M4318" s="7" t="n">
        <v>0</v>
      </c>
    </row>
    <row r="4319">
      <c r="A4319" t="n">
        <v>511749</v>
      </c>
      <c r="B4319" s="6" t="n">
        <v>46017</v>
      </c>
      <c r="C4319" t="n">
        <v>17925</v>
      </c>
      <c r="D4319" t="inlineStr">
        <is>
          <t>Gurugram</t>
        </is>
      </c>
      <c r="E4319" t="inlineStr">
        <is>
          <t>North</t>
        </is>
      </c>
      <c r="F4319" t="inlineStr">
        <is>
          <t>Organic Search</t>
        </is>
      </c>
      <c r="G4319" t="inlineStr">
        <is>
          <t>Mobile Web</t>
        </is>
      </c>
      <c r="H4319" t="inlineStr">
        <is>
          <t>UPI</t>
        </is>
      </c>
      <c r="I4319" t="inlineStr">
        <is>
          <t>Delivered</t>
        </is>
      </c>
      <c r="J4319" t="n">
        <v>114</v>
      </c>
      <c r="K4319" t="n">
        <v>1</v>
      </c>
      <c r="L4319" s="7" t="n">
        <v>1259</v>
      </c>
      <c r="M4319" s="7" t="n">
        <v>188.85</v>
      </c>
    </row>
    <row r="4320">
      <c r="A4320" t="n">
        <v>511750</v>
      </c>
      <c r="B4320" s="6" t="n">
        <v>46017</v>
      </c>
      <c r="C4320" t="n">
        <v>17909</v>
      </c>
      <c r="D4320" t="inlineStr">
        <is>
          <t>Indore</t>
        </is>
      </c>
      <c r="E4320" t="inlineStr">
        <is>
          <t>West</t>
        </is>
      </c>
      <c r="F4320" t="inlineStr">
        <is>
          <t>Email</t>
        </is>
      </c>
      <c r="G4320" t="inlineStr">
        <is>
          <t>Desktop</t>
        </is>
      </c>
      <c r="H4320" t="inlineStr">
        <is>
          <t>Cash on Delivery</t>
        </is>
      </c>
      <c r="I4320" t="inlineStr">
        <is>
          <t>Delivered</t>
        </is>
      </c>
      <c r="J4320" t="n">
        <v>104</v>
      </c>
      <c r="K4320" t="n">
        <v>1</v>
      </c>
      <c r="L4320" s="7" t="n">
        <v>5249</v>
      </c>
      <c r="M4320" s="7" t="n">
        <v>787.35</v>
      </c>
    </row>
    <row r="4321">
      <c r="A4321" t="n">
        <v>511750</v>
      </c>
      <c r="B4321" s="6" t="n">
        <v>46017</v>
      </c>
      <c r="C4321" t="n">
        <v>17909</v>
      </c>
      <c r="D4321" t="inlineStr">
        <is>
          <t>Indore</t>
        </is>
      </c>
      <c r="E4321" t="inlineStr">
        <is>
          <t>West</t>
        </is>
      </c>
      <c r="F4321" t="inlineStr">
        <is>
          <t>Email</t>
        </is>
      </c>
      <c r="G4321" t="inlineStr">
        <is>
          <t>Desktop</t>
        </is>
      </c>
      <c r="H4321" t="inlineStr">
        <is>
          <t>Cash on Delivery</t>
        </is>
      </c>
      <c r="I4321" t="inlineStr">
        <is>
          <t>Delivered</t>
        </is>
      </c>
      <c r="J4321" t="n">
        <v>113</v>
      </c>
      <c r="K4321" t="n">
        <v>1</v>
      </c>
      <c r="L4321" s="7" t="n">
        <v>1364</v>
      </c>
      <c r="M4321" s="7" t="n">
        <v>204.6</v>
      </c>
    </row>
    <row r="4322">
      <c r="A4322" t="n">
        <v>511751</v>
      </c>
      <c r="B4322" s="6" t="n">
        <v>46017</v>
      </c>
      <c r="C4322" t="n">
        <v>17922</v>
      </c>
      <c r="D4322" t="inlineStr">
        <is>
          <t>Lucknow</t>
        </is>
      </c>
      <c r="E4322" t="inlineStr">
        <is>
          <t>North</t>
        </is>
      </c>
      <c r="F4322" t="inlineStr">
        <is>
          <t>Organic Search</t>
        </is>
      </c>
      <c r="G4322" t="inlineStr">
        <is>
          <t>Mobile App</t>
        </is>
      </c>
      <c r="H4322" t="inlineStr">
        <is>
          <t>UPI</t>
        </is>
      </c>
      <c r="I4322" t="inlineStr">
        <is>
          <t>Delivered</t>
        </is>
      </c>
      <c r="J4322" t="n">
        <v>117</v>
      </c>
      <c r="K4322" t="n">
        <v>1</v>
      </c>
      <c r="L4322" s="7" t="n">
        <v>3149</v>
      </c>
      <c r="M4322" s="7" t="n">
        <v>0</v>
      </c>
    </row>
    <row r="4323">
      <c r="A4323" t="n">
        <v>511751</v>
      </c>
      <c r="B4323" s="6" t="n">
        <v>46017</v>
      </c>
      <c r="C4323" t="n">
        <v>17922</v>
      </c>
      <c r="D4323" t="inlineStr">
        <is>
          <t>Lucknow</t>
        </is>
      </c>
      <c r="E4323" t="inlineStr">
        <is>
          <t>North</t>
        </is>
      </c>
      <c r="F4323" t="inlineStr">
        <is>
          <t>Organic Search</t>
        </is>
      </c>
      <c r="G4323" t="inlineStr">
        <is>
          <t>Mobile App</t>
        </is>
      </c>
      <c r="H4323" t="inlineStr">
        <is>
          <t>UPI</t>
        </is>
      </c>
      <c r="I4323" t="inlineStr">
        <is>
          <t>Delivered</t>
        </is>
      </c>
      <c r="J4323" t="n">
        <v>132</v>
      </c>
      <c r="K4323" t="n">
        <v>1</v>
      </c>
      <c r="L4323" s="7" t="n">
        <v>471</v>
      </c>
      <c r="M4323" s="7" t="n">
        <v>0</v>
      </c>
    </row>
    <row r="4324">
      <c r="A4324" t="n">
        <v>511751</v>
      </c>
      <c r="B4324" s="6" t="n">
        <v>46017</v>
      </c>
      <c r="C4324" t="n">
        <v>17922</v>
      </c>
      <c r="D4324" t="inlineStr">
        <is>
          <t>Lucknow</t>
        </is>
      </c>
      <c r="E4324" t="inlineStr">
        <is>
          <t>North</t>
        </is>
      </c>
      <c r="F4324" t="inlineStr">
        <is>
          <t>Organic Search</t>
        </is>
      </c>
      <c r="G4324" t="inlineStr">
        <is>
          <t>Mobile App</t>
        </is>
      </c>
      <c r="H4324" t="inlineStr">
        <is>
          <t>UPI</t>
        </is>
      </c>
      <c r="I4324" t="inlineStr">
        <is>
          <t>Delivered</t>
        </is>
      </c>
      <c r="J4324" t="n">
        <v>105</v>
      </c>
      <c r="K4324" t="n">
        <v>2</v>
      </c>
      <c r="L4324" s="7" t="n">
        <v>2414</v>
      </c>
      <c r="M4324" s="7" t="n">
        <v>0</v>
      </c>
    </row>
    <row r="4325">
      <c r="A4325" t="n">
        <v>511752</v>
      </c>
      <c r="B4325" s="6" t="n">
        <v>46017</v>
      </c>
      <c r="C4325" t="n">
        <v>17924</v>
      </c>
      <c r="D4325" t="inlineStr">
        <is>
          <t>Mumbai</t>
        </is>
      </c>
      <c r="E4325" t="inlineStr">
        <is>
          <t>West</t>
        </is>
      </c>
      <c r="F4325" t="inlineStr">
        <is>
          <t>Affiliate</t>
        </is>
      </c>
      <c r="G4325" t="inlineStr">
        <is>
          <t>Mobile App</t>
        </is>
      </c>
      <c r="H4325" t="inlineStr">
        <is>
          <t>UPI</t>
        </is>
      </c>
      <c r="I4325" t="inlineStr">
        <is>
          <t>Delivered</t>
        </is>
      </c>
      <c r="J4325" t="n">
        <v>111</v>
      </c>
      <c r="K4325" t="n">
        <v>1</v>
      </c>
      <c r="L4325" s="7" t="n">
        <v>524</v>
      </c>
      <c r="M4325" s="7" t="n">
        <v>78.59999999999999</v>
      </c>
    </row>
    <row r="4326">
      <c r="A4326" t="n">
        <v>511752</v>
      </c>
      <c r="B4326" s="6" t="n">
        <v>46017</v>
      </c>
      <c r="C4326" t="n">
        <v>17924</v>
      </c>
      <c r="D4326" t="inlineStr">
        <is>
          <t>Mumbai</t>
        </is>
      </c>
      <c r="E4326" t="inlineStr">
        <is>
          <t>West</t>
        </is>
      </c>
      <c r="F4326" t="inlineStr">
        <is>
          <t>Affiliate</t>
        </is>
      </c>
      <c r="G4326" t="inlineStr">
        <is>
          <t>Mobile App</t>
        </is>
      </c>
      <c r="H4326" t="inlineStr">
        <is>
          <t>UPI</t>
        </is>
      </c>
      <c r="I4326" t="inlineStr">
        <is>
          <t>Delivered</t>
        </is>
      </c>
      <c r="J4326" t="n">
        <v>118</v>
      </c>
      <c r="K4326" t="n">
        <v>1</v>
      </c>
      <c r="L4326" s="7" t="n">
        <v>944</v>
      </c>
      <c r="M4326" s="7" t="n">
        <v>141.6</v>
      </c>
    </row>
    <row r="4327">
      <c r="A4327" t="n">
        <v>511752</v>
      </c>
      <c r="B4327" s="6" t="n">
        <v>46017</v>
      </c>
      <c r="C4327" t="n">
        <v>17924</v>
      </c>
      <c r="D4327" t="inlineStr">
        <is>
          <t>Mumbai</t>
        </is>
      </c>
      <c r="E4327" t="inlineStr">
        <is>
          <t>West</t>
        </is>
      </c>
      <c r="F4327" t="inlineStr">
        <is>
          <t>Affiliate</t>
        </is>
      </c>
      <c r="G4327" t="inlineStr">
        <is>
          <t>Mobile App</t>
        </is>
      </c>
      <c r="H4327" t="inlineStr">
        <is>
          <t>UPI</t>
        </is>
      </c>
      <c r="I4327" t="inlineStr">
        <is>
          <t>Delivered</t>
        </is>
      </c>
      <c r="J4327" t="n">
        <v>120</v>
      </c>
      <c r="K4327" t="n">
        <v>2</v>
      </c>
      <c r="L4327" s="7" t="n">
        <v>734</v>
      </c>
      <c r="M4327" s="7" t="n">
        <v>220.2</v>
      </c>
    </row>
    <row r="4328">
      <c r="A4328" t="n">
        <v>511753</v>
      </c>
      <c r="B4328" s="6" t="n">
        <v>46017</v>
      </c>
      <c r="C4328" t="n">
        <v>16558</v>
      </c>
      <c r="D4328" t="inlineStr">
        <is>
          <t>Lucknow</t>
        </is>
      </c>
      <c r="E4328" t="inlineStr">
        <is>
          <t>North</t>
        </is>
      </c>
      <c r="F4328" t="inlineStr">
        <is>
          <t>Paid Social</t>
        </is>
      </c>
      <c r="G4328" t="inlineStr">
        <is>
          <t>Mobile App</t>
        </is>
      </c>
      <c r="H4328" t="inlineStr">
        <is>
          <t>Net Banking</t>
        </is>
      </c>
      <c r="I4328" t="inlineStr">
        <is>
          <t>Delivered</t>
        </is>
      </c>
      <c r="J4328" t="n">
        <v>143</v>
      </c>
      <c r="K4328" t="n">
        <v>1</v>
      </c>
      <c r="L4328" s="7" t="n">
        <v>839</v>
      </c>
      <c r="M4328" s="7" t="n">
        <v>0</v>
      </c>
    </row>
    <row r="4329">
      <c r="A4329" t="n">
        <v>511753</v>
      </c>
      <c r="B4329" s="6" t="n">
        <v>46017</v>
      </c>
      <c r="C4329" t="n">
        <v>16558</v>
      </c>
      <c r="D4329" t="inlineStr">
        <is>
          <t>Lucknow</t>
        </is>
      </c>
      <c r="E4329" t="inlineStr">
        <is>
          <t>North</t>
        </is>
      </c>
      <c r="F4329" t="inlineStr">
        <is>
          <t>Paid Social</t>
        </is>
      </c>
      <c r="G4329" t="inlineStr">
        <is>
          <t>Mobile App</t>
        </is>
      </c>
      <c r="H4329" t="inlineStr">
        <is>
          <t>Net Banking</t>
        </is>
      </c>
      <c r="I4329" t="inlineStr">
        <is>
          <t>Delivered</t>
        </is>
      </c>
      <c r="J4329" t="n">
        <v>106</v>
      </c>
      <c r="K4329" t="n">
        <v>1</v>
      </c>
      <c r="L4329" s="7" t="n">
        <v>1574</v>
      </c>
      <c r="M4329" s="7" t="n">
        <v>0</v>
      </c>
    </row>
    <row r="4330">
      <c r="A4330" t="n">
        <v>511754</v>
      </c>
      <c r="B4330" s="6" t="n">
        <v>46017</v>
      </c>
      <c r="C4330" t="n">
        <v>17878</v>
      </c>
      <c r="D4330" t="inlineStr">
        <is>
          <t>Ahmedabad</t>
        </is>
      </c>
      <c r="E4330" t="inlineStr">
        <is>
          <t>West</t>
        </is>
      </c>
      <c r="F4330" t="inlineStr">
        <is>
          <t>Organic Search</t>
        </is>
      </c>
      <c r="G4330" t="inlineStr">
        <is>
          <t>Mobile Web</t>
        </is>
      </c>
      <c r="H4330" t="inlineStr">
        <is>
          <t>Credit Card</t>
        </is>
      </c>
      <c r="I4330" t="inlineStr">
        <is>
          <t>Delivered</t>
        </is>
      </c>
      <c r="J4330" t="n">
        <v>108</v>
      </c>
      <c r="K4330" t="n">
        <v>2</v>
      </c>
      <c r="L4330" s="7" t="n">
        <v>419</v>
      </c>
      <c r="M4330" s="7" t="n">
        <v>125.7</v>
      </c>
    </row>
    <row r="4331">
      <c r="A4331" t="n">
        <v>511755</v>
      </c>
      <c r="B4331" s="6" t="n">
        <v>46017</v>
      </c>
      <c r="C4331" t="n">
        <v>16805</v>
      </c>
      <c r="D4331" t="inlineStr">
        <is>
          <t>Mumbai</t>
        </is>
      </c>
      <c r="E4331" t="inlineStr">
        <is>
          <t>West</t>
        </is>
      </c>
      <c r="F4331" t="inlineStr">
        <is>
          <t>Referral</t>
        </is>
      </c>
      <c r="G4331" t="inlineStr">
        <is>
          <t>Mobile App</t>
        </is>
      </c>
      <c r="H4331" t="inlineStr">
        <is>
          <t>UPI</t>
        </is>
      </c>
      <c r="I4331" t="inlineStr">
        <is>
          <t>Delivered</t>
        </is>
      </c>
      <c r="J4331" t="n">
        <v>104</v>
      </c>
      <c r="K4331" t="n">
        <v>1</v>
      </c>
      <c r="L4331" s="7" t="n">
        <v>5249</v>
      </c>
      <c r="M4331" s="7" t="n">
        <v>0</v>
      </c>
    </row>
    <row r="4332">
      <c r="A4332" t="n">
        <v>511756</v>
      </c>
      <c r="B4332" s="6" t="n">
        <v>46017</v>
      </c>
      <c r="C4332" t="n">
        <v>17868</v>
      </c>
      <c r="D4332" t="inlineStr">
        <is>
          <t>Hyderabad</t>
        </is>
      </c>
      <c r="E4332" t="inlineStr">
        <is>
          <t>South</t>
        </is>
      </c>
      <c r="F4332" t="inlineStr">
        <is>
          <t>Paid Social</t>
        </is>
      </c>
      <c r="G4332" t="inlineStr">
        <is>
          <t>Mobile App</t>
        </is>
      </c>
      <c r="H4332" t="inlineStr">
        <is>
          <t>Credit Card</t>
        </is>
      </c>
      <c r="I4332" t="inlineStr">
        <is>
          <t>Delivered</t>
        </is>
      </c>
      <c r="J4332" t="n">
        <v>118</v>
      </c>
      <c r="K4332" t="n">
        <v>1</v>
      </c>
      <c r="L4332" s="7" t="n">
        <v>944</v>
      </c>
      <c r="M4332" s="7" t="n">
        <v>0</v>
      </c>
    </row>
    <row r="4333">
      <c r="A4333" t="n">
        <v>511756</v>
      </c>
      <c r="B4333" s="6" t="n">
        <v>46017</v>
      </c>
      <c r="C4333" t="n">
        <v>17868</v>
      </c>
      <c r="D4333" t="inlineStr">
        <is>
          <t>Hyderabad</t>
        </is>
      </c>
      <c r="E4333" t="inlineStr">
        <is>
          <t>South</t>
        </is>
      </c>
      <c r="F4333" t="inlineStr">
        <is>
          <t>Paid Social</t>
        </is>
      </c>
      <c r="G4333" t="inlineStr">
        <is>
          <t>Mobile App</t>
        </is>
      </c>
      <c r="H4333" t="inlineStr">
        <is>
          <t>Credit Card</t>
        </is>
      </c>
      <c r="I4333" t="inlineStr">
        <is>
          <t>Delivered</t>
        </is>
      </c>
      <c r="J4333" t="n">
        <v>107</v>
      </c>
      <c r="K4333" t="n">
        <v>1</v>
      </c>
      <c r="L4333" s="7" t="n">
        <v>1259</v>
      </c>
      <c r="M4333" s="7" t="n">
        <v>0</v>
      </c>
    </row>
    <row r="4334">
      <c r="A4334" t="n">
        <v>511757</v>
      </c>
      <c r="B4334" s="6" t="n">
        <v>46017</v>
      </c>
      <c r="C4334" t="n">
        <v>17882</v>
      </c>
      <c r="D4334" t="inlineStr">
        <is>
          <t>Hyderabad</t>
        </is>
      </c>
      <c r="E4334" t="inlineStr">
        <is>
          <t>South</t>
        </is>
      </c>
      <c r="F4334" t="inlineStr">
        <is>
          <t>Organic Search</t>
        </is>
      </c>
      <c r="G4334" t="inlineStr">
        <is>
          <t>Mobile App</t>
        </is>
      </c>
      <c r="H4334" t="inlineStr">
        <is>
          <t>UPI</t>
        </is>
      </c>
      <c r="I4334" t="inlineStr">
        <is>
          <t>Delivered</t>
        </is>
      </c>
      <c r="J4334" t="n">
        <v>113</v>
      </c>
      <c r="K4334" t="n">
        <v>1</v>
      </c>
      <c r="L4334" s="7" t="n">
        <v>1364</v>
      </c>
      <c r="M4334" s="7" t="n">
        <v>0</v>
      </c>
    </row>
    <row r="4335">
      <c r="A4335" t="n">
        <v>511758</v>
      </c>
      <c r="B4335" s="6" t="n">
        <v>46017</v>
      </c>
      <c r="C4335" t="n">
        <v>16126</v>
      </c>
      <c r="D4335" t="inlineStr">
        <is>
          <t>Gurugram</t>
        </is>
      </c>
      <c r="E4335" t="inlineStr">
        <is>
          <t>North</t>
        </is>
      </c>
      <c r="F4335" t="inlineStr">
        <is>
          <t>Organic Search</t>
        </is>
      </c>
      <c r="G4335" t="inlineStr">
        <is>
          <t>Mobile Web</t>
        </is>
      </c>
      <c r="H4335" t="inlineStr">
        <is>
          <t>Debit Card</t>
        </is>
      </c>
      <c r="I4335" t="inlineStr">
        <is>
          <t>Delivered</t>
        </is>
      </c>
      <c r="J4335" t="n">
        <v>134</v>
      </c>
      <c r="K4335" t="n">
        <v>2</v>
      </c>
      <c r="L4335" s="7" t="n">
        <v>209</v>
      </c>
      <c r="M4335" s="7" t="n">
        <v>0</v>
      </c>
    </row>
    <row r="4336">
      <c r="A4336" t="n">
        <v>511759</v>
      </c>
      <c r="B4336" s="6" t="n">
        <v>46017</v>
      </c>
      <c r="C4336" t="n">
        <v>17875</v>
      </c>
      <c r="D4336" t="inlineStr">
        <is>
          <t>Delhi</t>
        </is>
      </c>
      <c r="E4336" t="inlineStr">
        <is>
          <t>North</t>
        </is>
      </c>
      <c r="F4336" t="inlineStr">
        <is>
          <t>Email</t>
        </is>
      </c>
      <c r="G4336" t="inlineStr">
        <is>
          <t>Mobile Web</t>
        </is>
      </c>
      <c r="H4336" t="inlineStr">
        <is>
          <t>Debit Card</t>
        </is>
      </c>
      <c r="I4336" t="inlineStr">
        <is>
          <t>Returned</t>
        </is>
      </c>
      <c r="J4336" t="n">
        <v>113</v>
      </c>
      <c r="K4336" t="n">
        <v>1</v>
      </c>
      <c r="L4336" s="7" t="n">
        <v>1364</v>
      </c>
      <c r="M4336" s="7" t="n">
        <v>204.6</v>
      </c>
    </row>
    <row r="4337">
      <c r="A4337" t="n">
        <v>511760</v>
      </c>
      <c r="B4337" s="6" t="n">
        <v>46017</v>
      </c>
      <c r="C4337" t="n">
        <v>17834</v>
      </c>
      <c r="D4337" t="inlineStr">
        <is>
          <t>Bengaluru</t>
        </is>
      </c>
      <c r="E4337" t="inlineStr">
        <is>
          <t>South</t>
        </is>
      </c>
      <c r="F4337" t="inlineStr">
        <is>
          <t>Paid Search</t>
        </is>
      </c>
      <c r="G4337" t="inlineStr">
        <is>
          <t>Mobile App</t>
        </is>
      </c>
      <c r="H4337" t="inlineStr">
        <is>
          <t>Cash on Delivery</t>
        </is>
      </c>
      <c r="I4337" t="inlineStr">
        <is>
          <t>Returned</t>
        </is>
      </c>
      <c r="J4337" t="n">
        <v>111</v>
      </c>
      <c r="K4337" t="n">
        <v>1</v>
      </c>
      <c r="L4337" s="7" t="n">
        <v>524</v>
      </c>
      <c r="M4337" s="7" t="n">
        <v>0</v>
      </c>
    </row>
    <row r="4338">
      <c r="A4338" t="n">
        <v>511761</v>
      </c>
      <c r="B4338" s="6" t="n">
        <v>46017</v>
      </c>
      <c r="C4338" t="n">
        <v>17883</v>
      </c>
      <c r="D4338" t="inlineStr">
        <is>
          <t>Mumbai</t>
        </is>
      </c>
      <c r="E4338" t="inlineStr">
        <is>
          <t>West</t>
        </is>
      </c>
      <c r="F4338" t="inlineStr">
        <is>
          <t>Paid Social</t>
        </is>
      </c>
      <c r="G4338" t="inlineStr">
        <is>
          <t>Desktop</t>
        </is>
      </c>
      <c r="H4338" t="inlineStr">
        <is>
          <t>UPI</t>
        </is>
      </c>
      <c r="I4338" t="inlineStr">
        <is>
          <t>Returned</t>
        </is>
      </c>
      <c r="J4338" t="n">
        <v>114</v>
      </c>
      <c r="K4338" t="n">
        <v>1</v>
      </c>
      <c r="L4338" s="7" t="n">
        <v>1259</v>
      </c>
      <c r="M4338" s="7" t="n">
        <v>188.85</v>
      </c>
    </row>
    <row r="4339">
      <c r="A4339" t="n">
        <v>511762</v>
      </c>
      <c r="B4339" s="6" t="n">
        <v>46017</v>
      </c>
      <c r="C4339" t="n">
        <v>17903</v>
      </c>
      <c r="D4339" t="inlineStr">
        <is>
          <t>Delhi</t>
        </is>
      </c>
      <c r="E4339" t="inlineStr">
        <is>
          <t>North</t>
        </is>
      </c>
      <c r="F4339" t="inlineStr">
        <is>
          <t>Paid Social</t>
        </is>
      </c>
      <c r="G4339" t="inlineStr">
        <is>
          <t>Desktop</t>
        </is>
      </c>
      <c r="H4339" t="inlineStr">
        <is>
          <t>UPI</t>
        </is>
      </c>
      <c r="I4339" t="inlineStr">
        <is>
          <t>Delivered</t>
        </is>
      </c>
      <c r="J4339" t="n">
        <v>120</v>
      </c>
      <c r="K4339" t="n">
        <v>3</v>
      </c>
      <c r="L4339" s="7" t="n">
        <v>734</v>
      </c>
      <c r="M4339" s="7" t="n">
        <v>330.3</v>
      </c>
    </row>
    <row r="4340">
      <c r="A4340" t="n">
        <v>511762</v>
      </c>
      <c r="B4340" s="6" t="n">
        <v>46017</v>
      </c>
      <c r="C4340" t="n">
        <v>17903</v>
      </c>
      <c r="D4340" t="inlineStr">
        <is>
          <t>Delhi</t>
        </is>
      </c>
      <c r="E4340" t="inlineStr">
        <is>
          <t>North</t>
        </is>
      </c>
      <c r="F4340" t="inlineStr">
        <is>
          <t>Paid Social</t>
        </is>
      </c>
      <c r="G4340" t="inlineStr">
        <is>
          <t>Desktop</t>
        </is>
      </c>
      <c r="H4340" t="inlineStr">
        <is>
          <t>UPI</t>
        </is>
      </c>
      <c r="I4340" t="inlineStr">
        <is>
          <t>Delivered</t>
        </is>
      </c>
      <c r="J4340" t="n">
        <v>101</v>
      </c>
      <c r="K4340" t="n">
        <v>1</v>
      </c>
      <c r="L4340" s="7" t="n">
        <v>2099</v>
      </c>
      <c r="M4340" s="7" t="n">
        <v>314.85</v>
      </c>
    </row>
    <row r="4341">
      <c r="A4341" t="n">
        <v>511763</v>
      </c>
      <c r="B4341" s="6" t="n">
        <v>46017</v>
      </c>
      <c r="C4341" t="n">
        <v>17894</v>
      </c>
      <c r="D4341" t="inlineStr">
        <is>
          <t>Mumbai</t>
        </is>
      </c>
      <c r="E4341" t="inlineStr">
        <is>
          <t>West</t>
        </is>
      </c>
      <c r="F4341" t="inlineStr">
        <is>
          <t>Email</t>
        </is>
      </c>
      <c r="G4341" t="inlineStr">
        <is>
          <t>Mobile App</t>
        </is>
      </c>
      <c r="H4341" t="inlineStr">
        <is>
          <t>UPI</t>
        </is>
      </c>
      <c r="I4341" t="inlineStr">
        <is>
          <t>Delivered</t>
        </is>
      </c>
      <c r="J4341" t="n">
        <v>105</v>
      </c>
      <c r="K4341" t="n">
        <v>1</v>
      </c>
      <c r="L4341" s="7" t="n">
        <v>2414</v>
      </c>
      <c r="M4341" s="7" t="n">
        <v>0</v>
      </c>
    </row>
    <row r="4342">
      <c r="A4342" t="n">
        <v>511764</v>
      </c>
      <c r="B4342" s="6" t="n">
        <v>46017</v>
      </c>
      <c r="C4342" t="n">
        <v>15747</v>
      </c>
      <c r="D4342" t="inlineStr">
        <is>
          <t>Mumbai</t>
        </is>
      </c>
      <c r="E4342" t="inlineStr">
        <is>
          <t>West</t>
        </is>
      </c>
      <c r="F4342" t="inlineStr">
        <is>
          <t>Referral</t>
        </is>
      </c>
      <c r="G4342" t="inlineStr">
        <is>
          <t>Desktop</t>
        </is>
      </c>
      <c r="H4342" t="inlineStr">
        <is>
          <t>Credit Card</t>
        </is>
      </c>
      <c r="I4342" t="inlineStr">
        <is>
          <t>Delivered</t>
        </is>
      </c>
      <c r="J4342" t="n">
        <v>116</v>
      </c>
      <c r="K4342" t="n">
        <v>2</v>
      </c>
      <c r="L4342" s="7" t="n">
        <v>2624</v>
      </c>
      <c r="M4342" s="7" t="n">
        <v>0</v>
      </c>
    </row>
    <row r="4343">
      <c r="A4343" t="n">
        <v>511764</v>
      </c>
      <c r="B4343" s="6" t="n">
        <v>46017</v>
      </c>
      <c r="C4343" t="n">
        <v>15747</v>
      </c>
      <c r="D4343" t="inlineStr">
        <is>
          <t>Mumbai</t>
        </is>
      </c>
      <c r="E4343" t="inlineStr">
        <is>
          <t>West</t>
        </is>
      </c>
      <c r="F4343" t="inlineStr">
        <is>
          <t>Referral</t>
        </is>
      </c>
      <c r="G4343" t="inlineStr">
        <is>
          <t>Desktop</t>
        </is>
      </c>
      <c r="H4343" t="inlineStr">
        <is>
          <t>Credit Card</t>
        </is>
      </c>
      <c r="I4343" t="inlineStr">
        <is>
          <t>Delivered</t>
        </is>
      </c>
      <c r="J4343" t="n">
        <v>126</v>
      </c>
      <c r="K4343" t="n">
        <v>1</v>
      </c>
      <c r="L4343" s="7" t="n">
        <v>471</v>
      </c>
      <c r="M4343" s="7" t="n">
        <v>0</v>
      </c>
    </row>
    <row r="4344">
      <c r="A4344" t="n">
        <v>511764</v>
      </c>
      <c r="B4344" s="6" t="n">
        <v>46017</v>
      </c>
      <c r="C4344" t="n">
        <v>15747</v>
      </c>
      <c r="D4344" t="inlineStr">
        <is>
          <t>Mumbai</t>
        </is>
      </c>
      <c r="E4344" t="inlineStr">
        <is>
          <t>West</t>
        </is>
      </c>
      <c r="F4344" t="inlineStr">
        <is>
          <t>Referral</t>
        </is>
      </c>
      <c r="G4344" t="inlineStr">
        <is>
          <t>Desktop</t>
        </is>
      </c>
      <c r="H4344" t="inlineStr">
        <is>
          <t>Credit Card</t>
        </is>
      </c>
      <c r="I4344" t="inlineStr">
        <is>
          <t>Delivered</t>
        </is>
      </c>
      <c r="J4344" t="n">
        <v>120</v>
      </c>
      <c r="K4344" t="n">
        <v>1</v>
      </c>
      <c r="L4344" s="7" t="n">
        <v>734</v>
      </c>
      <c r="M4344" s="7" t="n">
        <v>0</v>
      </c>
    </row>
    <row r="4345">
      <c r="A4345" t="n">
        <v>511765</v>
      </c>
      <c r="B4345" s="6" t="n">
        <v>46017</v>
      </c>
      <c r="C4345" t="n">
        <v>17802</v>
      </c>
      <c r="D4345" t="inlineStr">
        <is>
          <t>Gurugram</t>
        </is>
      </c>
      <c r="E4345" t="inlineStr">
        <is>
          <t>North</t>
        </is>
      </c>
      <c r="F4345" t="inlineStr">
        <is>
          <t>Referral</t>
        </is>
      </c>
      <c r="G4345" t="inlineStr">
        <is>
          <t>Mobile App</t>
        </is>
      </c>
      <c r="H4345" t="inlineStr">
        <is>
          <t>UPI</t>
        </is>
      </c>
      <c r="I4345" t="inlineStr">
        <is>
          <t>Delivered</t>
        </is>
      </c>
      <c r="J4345" t="n">
        <v>114</v>
      </c>
      <c r="K4345" t="n">
        <v>1</v>
      </c>
      <c r="L4345" s="7" t="n">
        <v>1259</v>
      </c>
      <c r="M4345" s="7" t="n">
        <v>0</v>
      </c>
    </row>
    <row r="4346">
      <c r="A4346" t="n">
        <v>511766</v>
      </c>
      <c r="B4346" s="6" t="n">
        <v>46017</v>
      </c>
      <c r="C4346" t="n">
        <v>17415</v>
      </c>
      <c r="D4346" t="inlineStr">
        <is>
          <t>Mumbai</t>
        </is>
      </c>
      <c r="E4346" t="inlineStr">
        <is>
          <t>West</t>
        </is>
      </c>
      <c r="F4346" t="inlineStr">
        <is>
          <t>Paid Social</t>
        </is>
      </c>
      <c r="G4346" t="inlineStr">
        <is>
          <t>Mobile App</t>
        </is>
      </c>
      <c r="H4346" t="inlineStr">
        <is>
          <t>Cash on Delivery</t>
        </is>
      </c>
      <c r="I4346" t="inlineStr">
        <is>
          <t>Cancelled</t>
        </is>
      </c>
      <c r="J4346" t="n">
        <v>126</v>
      </c>
      <c r="K4346" t="n">
        <v>1</v>
      </c>
      <c r="L4346" s="7" t="n">
        <v>471</v>
      </c>
      <c r="M4346" s="7" t="n">
        <v>0</v>
      </c>
    </row>
    <row r="4347">
      <c r="A4347" t="n">
        <v>511767</v>
      </c>
      <c r="B4347" s="6" t="n">
        <v>46017</v>
      </c>
      <c r="C4347" t="n">
        <v>15738</v>
      </c>
      <c r="D4347" t="inlineStr">
        <is>
          <t>Delhi</t>
        </is>
      </c>
      <c r="E4347" t="inlineStr">
        <is>
          <t>North</t>
        </is>
      </c>
      <c r="F4347" t="inlineStr">
        <is>
          <t>Organic Search</t>
        </is>
      </c>
      <c r="G4347" t="inlineStr">
        <is>
          <t>Mobile Web</t>
        </is>
      </c>
      <c r="H4347" t="inlineStr">
        <is>
          <t>Debit Card</t>
        </is>
      </c>
      <c r="I4347" t="inlineStr">
        <is>
          <t>Cancelled</t>
        </is>
      </c>
      <c r="J4347" t="n">
        <v>139</v>
      </c>
      <c r="K4347" t="n">
        <v>1</v>
      </c>
      <c r="L4347" s="7" t="n">
        <v>366</v>
      </c>
      <c r="M4347" s="7" t="n">
        <v>0</v>
      </c>
    </row>
    <row r="4348">
      <c r="A4348" t="n">
        <v>511768</v>
      </c>
      <c r="B4348" s="6" t="n">
        <v>46018</v>
      </c>
      <c r="C4348" t="n">
        <v>17209</v>
      </c>
      <c r="D4348" t="inlineStr">
        <is>
          <t>Mumbai</t>
        </is>
      </c>
      <c r="E4348" t="inlineStr">
        <is>
          <t>West</t>
        </is>
      </c>
      <c r="F4348" t="inlineStr">
        <is>
          <t>Referral</t>
        </is>
      </c>
      <c r="G4348" t="inlineStr">
        <is>
          <t>Mobile App</t>
        </is>
      </c>
      <c r="H4348" t="inlineStr">
        <is>
          <t>UPI</t>
        </is>
      </c>
      <c r="I4348" t="inlineStr">
        <is>
          <t>Shipped</t>
        </is>
      </c>
      <c r="J4348" t="n">
        <v>134</v>
      </c>
      <c r="K4348" t="n">
        <v>2</v>
      </c>
      <c r="L4348" s="7" t="n">
        <v>209</v>
      </c>
      <c r="M4348" s="7" t="n">
        <v>0</v>
      </c>
    </row>
    <row r="4349">
      <c r="A4349" t="n">
        <v>511769</v>
      </c>
      <c r="B4349" s="6" t="n">
        <v>46018</v>
      </c>
      <c r="C4349" t="n">
        <v>16883</v>
      </c>
      <c r="D4349" t="inlineStr">
        <is>
          <t>Noida</t>
        </is>
      </c>
      <c r="E4349" t="inlineStr">
        <is>
          <t>North</t>
        </is>
      </c>
      <c r="F4349" t="inlineStr">
        <is>
          <t>Organic Search</t>
        </is>
      </c>
      <c r="G4349" t="inlineStr">
        <is>
          <t>Desktop</t>
        </is>
      </c>
      <c r="H4349" t="inlineStr">
        <is>
          <t>Cash on Delivery</t>
        </is>
      </c>
      <c r="I4349" t="inlineStr">
        <is>
          <t>Shipped</t>
        </is>
      </c>
      <c r="J4349" t="n">
        <v>135</v>
      </c>
      <c r="K4349" t="n">
        <v>1</v>
      </c>
      <c r="L4349" s="7" t="n">
        <v>1574</v>
      </c>
      <c r="M4349" s="7" t="n">
        <v>0</v>
      </c>
    </row>
    <row r="4350">
      <c r="A4350" t="n">
        <v>511769</v>
      </c>
      <c r="B4350" s="6" t="n">
        <v>46018</v>
      </c>
      <c r="C4350" t="n">
        <v>16883</v>
      </c>
      <c r="D4350" t="inlineStr">
        <is>
          <t>Noida</t>
        </is>
      </c>
      <c r="E4350" t="inlineStr">
        <is>
          <t>North</t>
        </is>
      </c>
      <c r="F4350" t="inlineStr">
        <is>
          <t>Organic Search</t>
        </is>
      </c>
      <c r="G4350" t="inlineStr">
        <is>
          <t>Desktop</t>
        </is>
      </c>
      <c r="H4350" t="inlineStr">
        <is>
          <t>Cash on Delivery</t>
        </is>
      </c>
      <c r="I4350" t="inlineStr">
        <is>
          <t>Shipped</t>
        </is>
      </c>
      <c r="J4350" t="n">
        <v>122</v>
      </c>
      <c r="K4350" t="n">
        <v>1</v>
      </c>
      <c r="L4350" s="7" t="n">
        <v>1994</v>
      </c>
      <c r="M4350" s="7" t="n">
        <v>0</v>
      </c>
    </row>
    <row r="4351">
      <c r="A4351" t="n">
        <v>511770</v>
      </c>
      <c r="B4351" s="6" t="n">
        <v>46018</v>
      </c>
      <c r="C4351" t="n">
        <v>14227</v>
      </c>
      <c r="D4351" t="inlineStr">
        <is>
          <t>Ahmedabad</t>
        </is>
      </c>
      <c r="E4351" t="inlineStr">
        <is>
          <t>West</t>
        </is>
      </c>
      <c r="F4351" t="inlineStr">
        <is>
          <t>Organic Search</t>
        </is>
      </c>
      <c r="G4351" t="inlineStr">
        <is>
          <t>Desktop</t>
        </is>
      </c>
      <c r="H4351" t="inlineStr">
        <is>
          <t>Cash on Delivery</t>
        </is>
      </c>
      <c r="I4351" t="inlineStr">
        <is>
          <t>Shipped</t>
        </is>
      </c>
      <c r="J4351" t="n">
        <v>111</v>
      </c>
      <c r="K4351" t="n">
        <v>1</v>
      </c>
      <c r="L4351" s="7" t="n">
        <v>524</v>
      </c>
      <c r="M4351" s="7" t="n">
        <v>0</v>
      </c>
    </row>
    <row r="4352">
      <c r="A4352" t="n">
        <v>511770</v>
      </c>
      <c r="B4352" s="6" t="n">
        <v>46018</v>
      </c>
      <c r="C4352" t="n">
        <v>14227</v>
      </c>
      <c r="D4352" t="inlineStr">
        <is>
          <t>Ahmedabad</t>
        </is>
      </c>
      <c r="E4352" t="inlineStr">
        <is>
          <t>West</t>
        </is>
      </c>
      <c r="F4352" t="inlineStr">
        <is>
          <t>Organic Search</t>
        </is>
      </c>
      <c r="G4352" t="inlineStr">
        <is>
          <t>Desktop</t>
        </is>
      </c>
      <c r="H4352" t="inlineStr">
        <is>
          <t>Cash on Delivery</t>
        </is>
      </c>
      <c r="I4352" t="inlineStr">
        <is>
          <t>Shipped</t>
        </is>
      </c>
      <c r="J4352" t="n">
        <v>102</v>
      </c>
      <c r="K4352" t="n">
        <v>1</v>
      </c>
      <c r="L4352" s="7" t="n">
        <v>3674</v>
      </c>
      <c r="M4352" s="7" t="n">
        <v>0</v>
      </c>
    </row>
    <row r="4353">
      <c r="A4353" t="n">
        <v>511771</v>
      </c>
      <c r="B4353" s="6" t="n">
        <v>46018</v>
      </c>
      <c r="C4353" t="n">
        <v>17930</v>
      </c>
      <c r="D4353" t="inlineStr">
        <is>
          <t>Gurugram</t>
        </is>
      </c>
      <c r="E4353" t="inlineStr">
        <is>
          <t>North</t>
        </is>
      </c>
      <c r="F4353" t="inlineStr">
        <is>
          <t>Email</t>
        </is>
      </c>
      <c r="G4353" t="inlineStr">
        <is>
          <t>Desktop</t>
        </is>
      </c>
      <c r="H4353" t="inlineStr">
        <is>
          <t>Credit Card</t>
        </is>
      </c>
      <c r="I4353" t="inlineStr">
        <is>
          <t>Shipped</t>
        </is>
      </c>
      <c r="J4353" t="n">
        <v>111</v>
      </c>
      <c r="K4353" t="n">
        <v>1</v>
      </c>
      <c r="L4353" s="7" t="n">
        <v>524</v>
      </c>
      <c r="M4353" s="7" t="n">
        <v>78.59999999999999</v>
      </c>
    </row>
    <row r="4354">
      <c r="A4354" t="n">
        <v>511771</v>
      </c>
      <c r="B4354" s="6" t="n">
        <v>46018</v>
      </c>
      <c r="C4354" t="n">
        <v>17930</v>
      </c>
      <c r="D4354" t="inlineStr">
        <is>
          <t>Gurugram</t>
        </is>
      </c>
      <c r="E4354" t="inlineStr">
        <is>
          <t>North</t>
        </is>
      </c>
      <c r="F4354" t="inlineStr">
        <is>
          <t>Email</t>
        </is>
      </c>
      <c r="G4354" t="inlineStr">
        <is>
          <t>Desktop</t>
        </is>
      </c>
      <c r="H4354" t="inlineStr">
        <is>
          <t>Credit Card</t>
        </is>
      </c>
      <c r="I4354" t="inlineStr">
        <is>
          <t>Shipped</t>
        </is>
      </c>
      <c r="J4354" t="n">
        <v>112</v>
      </c>
      <c r="K4354" t="n">
        <v>1</v>
      </c>
      <c r="L4354" s="7" t="n">
        <v>1574</v>
      </c>
      <c r="M4354" s="7" t="n">
        <v>236.1</v>
      </c>
    </row>
    <row r="4355">
      <c r="A4355" t="n">
        <v>511771</v>
      </c>
      <c r="B4355" s="6" t="n">
        <v>46018</v>
      </c>
      <c r="C4355" t="n">
        <v>17930</v>
      </c>
      <c r="D4355" t="inlineStr">
        <is>
          <t>Gurugram</t>
        </is>
      </c>
      <c r="E4355" t="inlineStr">
        <is>
          <t>North</t>
        </is>
      </c>
      <c r="F4355" t="inlineStr">
        <is>
          <t>Email</t>
        </is>
      </c>
      <c r="G4355" t="inlineStr">
        <is>
          <t>Desktop</t>
        </is>
      </c>
      <c r="H4355" t="inlineStr">
        <is>
          <t>Credit Card</t>
        </is>
      </c>
      <c r="I4355" t="inlineStr">
        <is>
          <t>Shipped</t>
        </is>
      </c>
      <c r="J4355" t="n">
        <v>116</v>
      </c>
      <c r="K4355" t="n">
        <v>2</v>
      </c>
      <c r="L4355" s="7" t="n">
        <v>2624</v>
      </c>
      <c r="M4355" s="7" t="n">
        <v>787.2</v>
      </c>
    </row>
    <row r="4356">
      <c r="A4356" t="n">
        <v>511772</v>
      </c>
      <c r="B4356" s="6" t="n">
        <v>46018</v>
      </c>
      <c r="C4356" t="n">
        <v>17933</v>
      </c>
      <c r="D4356" t="inlineStr">
        <is>
          <t>Mumbai</t>
        </is>
      </c>
      <c r="E4356" t="inlineStr">
        <is>
          <t>West</t>
        </is>
      </c>
      <c r="F4356" t="inlineStr">
        <is>
          <t>Affiliate</t>
        </is>
      </c>
      <c r="G4356" t="inlineStr">
        <is>
          <t>Desktop</t>
        </is>
      </c>
      <c r="H4356" t="inlineStr">
        <is>
          <t>Cash on Delivery</t>
        </is>
      </c>
      <c r="I4356" t="inlineStr">
        <is>
          <t>Shipped</t>
        </is>
      </c>
      <c r="J4356" t="n">
        <v>120</v>
      </c>
      <c r="K4356" t="n">
        <v>1</v>
      </c>
      <c r="L4356" s="7" t="n">
        <v>734</v>
      </c>
      <c r="M4356" s="7" t="n">
        <v>0</v>
      </c>
    </row>
    <row r="4357">
      <c r="A4357" t="n">
        <v>511773</v>
      </c>
      <c r="B4357" s="6" t="n">
        <v>46018</v>
      </c>
      <c r="C4357" t="n">
        <v>14737</v>
      </c>
      <c r="D4357" t="inlineStr">
        <is>
          <t>Noida</t>
        </is>
      </c>
      <c r="E4357" t="inlineStr">
        <is>
          <t>North</t>
        </is>
      </c>
      <c r="F4357" t="inlineStr">
        <is>
          <t>Referral</t>
        </is>
      </c>
      <c r="G4357" t="inlineStr">
        <is>
          <t>Mobile App</t>
        </is>
      </c>
      <c r="H4357" t="inlineStr">
        <is>
          <t>Cash on Delivery</t>
        </is>
      </c>
      <c r="I4357" t="inlineStr">
        <is>
          <t>Shipped</t>
        </is>
      </c>
      <c r="J4357" t="n">
        <v>130</v>
      </c>
      <c r="K4357" t="n">
        <v>2</v>
      </c>
      <c r="L4357" s="7" t="n">
        <v>734</v>
      </c>
      <c r="M4357" s="7" t="n">
        <v>0</v>
      </c>
    </row>
    <row r="4358">
      <c r="A4358" t="n">
        <v>511774</v>
      </c>
      <c r="B4358" s="6" t="n">
        <v>46018</v>
      </c>
      <c r="C4358" t="n">
        <v>17843</v>
      </c>
      <c r="D4358" t="inlineStr">
        <is>
          <t>Gurugram</t>
        </is>
      </c>
      <c r="E4358" t="inlineStr">
        <is>
          <t>North</t>
        </is>
      </c>
      <c r="F4358" t="inlineStr">
        <is>
          <t>Referral</t>
        </is>
      </c>
      <c r="G4358" t="inlineStr">
        <is>
          <t>Mobile App</t>
        </is>
      </c>
      <c r="H4358" t="inlineStr">
        <is>
          <t>UPI</t>
        </is>
      </c>
      <c r="I4358" t="inlineStr">
        <is>
          <t>Shipped</t>
        </is>
      </c>
      <c r="J4358" t="n">
        <v>127</v>
      </c>
      <c r="K4358" t="n">
        <v>1</v>
      </c>
      <c r="L4358" s="7" t="n">
        <v>681</v>
      </c>
      <c r="M4358" s="7" t="n">
        <v>0</v>
      </c>
    </row>
    <row r="4359">
      <c r="A4359" t="n">
        <v>511774</v>
      </c>
      <c r="B4359" s="6" t="n">
        <v>46018</v>
      </c>
      <c r="C4359" t="n">
        <v>17843</v>
      </c>
      <c r="D4359" t="inlineStr">
        <is>
          <t>Gurugram</t>
        </is>
      </c>
      <c r="E4359" t="inlineStr">
        <is>
          <t>North</t>
        </is>
      </c>
      <c r="F4359" t="inlineStr">
        <is>
          <t>Referral</t>
        </is>
      </c>
      <c r="G4359" t="inlineStr">
        <is>
          <t>Mobile App</t>
        </is>
      </c>
      <c r="H4359" t="inlineStr">
        <is>
          <t>UPI</t>
        </is>
      </c>
      <c r="I4359" t="inlineStr">
        <is>
          <t>Shipped</t>
        </is>
      </c>
      <c r="J4359" t="n">
        <v>137</v>
      </c>
      <c r="K4359" t="n">
        <v>1</v>
      </c>
      <c r="L4359" s="7" t="n">
        <v>261</v>
      </c>
      <c r="M4359" s="7" t="n">
        <v>0</v>
      </c>
    </row>
    <row r="4360">
      <c r="A4360" t="n">
        <v>511775</v>
      </c>
      <c r="B4360" s="6" t="n">
        <v>46018</v>
      </c>
      <c r="C4360" t="n">
        <v>17919</v>
      </c>
      <c r="D4360" t="inlineStr">
        <is>
          <t>Delhi</t>
        </is>
      </c>
      <c r="E4360" t="inlineStr">
        <is>
          <t>North</t>
        </is>
      </c>
      <c r="F4360" t="inlineStr">
        <is>
          <t>Paid Social</t>
        </is>
      </c>
      <c r="G4360" t="inlineStr">
        <is>
          <t>Mobile Web</t>
        </is>
      </c>
      <c r="H4360" t="inlineStr">
        <is>
          <t>Credit Card</t>
        </is>
      </c>
      <c r="I4360" t="inlineStr">
        <is>
          <t>Shipped</t>
        </is>
      </c>
      <c r="J4360" t="n">
        <v>113</v>
      </c>
      <c r="K4360" t="n">
        <v>1</v>
      </c>
      <c r="L4360" s="7" t="n">
        <v>1364</v>
      </c>
      <c r="M4360" s="7" t="n">
        <v>204.6</v>
      </c>
    </row>
    <row r="4361">
      <c r="A4361" t="n">
        <v>511775</v>
      </c>
      <c r="B4361" s="6" t="n">
        <v>46018</v>
      </c>
      <c r="C4361" t="n">
        <v>17919</v>
      </c>
      <c r="D4361" t="inlineStr">
        <is>
          <t>Delhi</t>
        </is>
      </c>
      <c r="E4361" t="inlineStr">
        <is>
          <t>North</t>
        </is>
      </c>
      <c r="F4361" t="inlineStr">
        <is>
          <t>Paid Social</t>
        </is>
      </c>
      <c r="G4361" t="inlineStr">
        <is>
          <t>Mobile Web</t>
        </is>
      </c>
      <c r="H4361" t="inlineStr">
        <is>
          <t>Credit Card</t>
        </is>
      </c>
      <c r="I4361" t="inlineStr">
        <is>
          <t>Shipped</t>
        </is>
      </c>
      <c r="J4361" t="n">
        <v>117</v>
      </c>
      <c r="K4361" t="n">
        <v>1</v>
      </c>
      <c r="L4361" s="7" t="n">
        <v>3149</v>
      </c>
      <c r="M4361" s="7" t="n">
        <v>472.35</v>
      </c>
    </row>
    <row r="4362">
      <c r="A4362" t="n">
        <v>511776</v>
      </c>
      <c r="B4362" s="6" t="n">
        <v>46018</v>
      </c>
      <c r="C4362" t="n">
        <v>16470</v>
      </c>
      <c r="D4362" t="inlineStr">
        <is>
          <t>Pune</t>
        </is>
      </c>
      <c r="E4362" t="inlineStr">
        <is>
          <t>West</t>
        </is>
      </c>
      <c r="F4362" t="inlineStr">
        <is>
          <t>Referral</t>
        </is>
      </c>
      <c r="G4362" t="inlineStr">
        <is>
          <t>Mobile Web</t>
        </is>
      </c>
      <c r="H4362" t="inlineStr">
        <is>
          <t>UPI</t>
        </is>
      </c>
      <c r="I4362" t="inlineStr">
        <is>
          <t>Shipped</t>
        </is>
      </c>
      <c r="J4362" t="n">
        <v>116</v>
      </c>
      <c r="K4362" t="n">
        <v>3</v>
      </c>
      <c r="L4362" s="7" t="n">
        <v>2624</v>
      </c>
      <c r="M4362" s="7" t="n">
        <v>0</v>
      </c>
    </row>
    <row r="4363">
      <c r="A4363" t="n">
        <v>511776</v>
      </c>
      <c r="B4363" s="6" t="n">
        <v>46018</v>
      </c>
      <c r="C4363" t="n">
        <v>16470</v>
      </c>
      <c r="D4363" t="inlineStr">
        <is>
          <t>Pune</t>
        </is>
      </c>
      <c r="E4363" t="inlineStr">
        <is>
          <t>West</t>
        </is>
      </c>
      <c r="F4363" t="inlineStr">
        <is>
          <t>Referral</t>
        </is>
      </c>
      <c r="G4363" t="inlineStr">
        <is>
          <t>Mobile Web</t>
        </is>
      </c>
      <c r="H4363" t="inlineStr">
        <is>
          <t>UPI</t>
        </is>
      </c>
      <c r="I4363" t="inlineStr">
        <is>
          <t>Shipped</t>
        </is>
      </c>
      <c r="J4363" t="n">
        <v>112</v>
      </c>
      <c r="K4363" t="n">
        <v>1</v>
      </c>
      <c r="L4363" s="7" t="n">
        <v>1574</v>
      </c>
      <c r="M4363" s="7" t="n">
        <v>0</v>
      </c>
    </row>
    <row r="4364">
      <c r="A4364" t="n">
        <v>511777</v>
      </c>
      <c r="B4364" s="6" t="n">
        <v>46018</v>
      </c>
      <c r="C4364" t="n">
        <v>12348</v>
      </c>
      <c r="D4364" t="inlineStr">
        <is>
          <t>Lucknow</t>
        </is>
      </c>
      <c r="E4364" t="inlineStr">
        <is>
          <t>North</t>
        </is>
      </c>
      <c r="F4364" t="inlineStr">
        <is>
          <t>Organic Search</t>
        </is>
      </c>
      <c r="G4364" t="inlineStr">
        <is>
          <t>Mobile Web</t>
        </is>
      </c>
      <c r="H4364" t="inlineStr">
        <is>
          <t>Debit Card</t>
        </is>
      </c>
      <c r="I4364" t="inlineStr">
        <is>
          <t>Shipped</t>
        </is>
      </c>
      <c r="J4364" t="n">
        <v>116</v>
      </c>
      <c r="K4364" t="n">
        <v>1</v>
      </c>
      <c r="L4364" s="7" t="n">
        <v>2624</v>
      </c>
      <c r="M4364" s="7" t="n">
        <v>0</v>
      </c>
    </row>
    <row r="4365">
      <c r="A4365" t="n">
        <v>511778</v>
      </c>
      <c r="B4365" s="6" t="n">
        <v>46018</v>
      </c>
      <c r="C4365" t="n">
        <v>11850</v>
      </c>
      <c r="D4365" t="inlineStr">
        <is>
          <t>Bengaluru</t>
        </is>
      </c>
      <c r="E4365" t="inlineStr">
        <is>
          <t>South</t>
        </is>
      </c>
      <c r="F4365" t="inlineStr">
        <is>
          <t>Paid Social</t>
        </is>
      </c>
      <c r="G4365" t="inlineStr">
        <is>
          <t>Mobile Web</t>
        </is>
      </c>
      <c r="H4365" t="inlineStr">
        <is>
          <t>Cash on Delivery</t>
        </is>
      </c>
      <c r="I4365" t="inlineStr">
        <is>
          <t>Shipped</t>
        </is>
      </c>
      <c r="J4365" t="n">
        <v>116</v>
      </c>
      <c r="K4365" t="n">
        <v>1</v>
      </c>
      <c r="L4365" s="7" t="n">
        <v>2624</v>
      </c>
      <c r="M4365" s="7" t="n">
        <v>0</v>
      </c>
    </row>
    <row r="4366">
      <c r="A4366" t="n">
        <v>511779</v>
      </c>
      <c r="B4366" s="6" t="n">
        <v>46018</v>
      </c>
      <c r="C4366" t="n">
        <v>15676</v>
      </c>
      <c r="D4366" t="inlineStr">
        <is>
          <t>Mumbai</t>
        </is>
      </c>
      <c r="E4366" t="inlineStr">
        <is>
          <t>West</t>
        </is>
      </c>
      <c r="F4366" t="inlineStr">
        <is>
          <t>Organic Search</t>
        </is>
      </c>
      <c r="G4366" t="inlineStr">
        <is>
          <t>Desktop</t>
        </is>
      </c>
      <c r="H4366" t="inlineStr">
        <is>
          <t>Debit Card</t>
        </is>
      </c>
      <c r="I4366" t="inlineStr">
        <is>
          <t>Shipped</t>
        </is>
      </c>
      <c r="J4366" t="n">
        <v>108</v>
      </c>
      <c r="K4366" t="n">
        <v>1</v>
      </c>
      <c r="L4366" s="7" t="n">
        <v>419</v>
      </c>
      <c r="M4366" s="7" t="n">
        <v>0</v>
      </c>
    </row>
    <row r="4367">
      <c r="A4367" t="n">
        <v>511780</v>
      </c>
      <c r="B4367" s="6" t="n">
        <v>46018</v>
      </c>
      <c r="C4367" t="n">
        <v>17286</v>
      </c>
      <c r="D4367" t="inlineStr">
        <is>
          <t>Kochi</t>
        </is>
      </c>
      <c r="E4367" t="inlineStr">
        <is>
          <t>South</t>
        </is>
      </c>
      <c r="F4367" t="inlineStr">
        <is>
          <t>Paid Social</t>
        </is>
      </c>
      <c r="G4367" t="inlineStr">
        <is>
          <t>Mobile App</t>
        </is>
      </c>
      <c r="H4367" t="inlineStr">
        <is>
          <t>UPI</t>
        </is>
      </c>
      <c r="I4367" t="inlineStr">
        <is>
          <t>Shipped</t>
        </is>
      </c>
      <c r="J4367" t="n">
        <v>118</v>
      </c>
      <c r="K4367" t="n">
        <v>1</v>
      </c>
      <c r="L4367" s="7" t="n">
        <v>944</v>
      </c>
      <c r="M4367" s="7" t="n">
        <v>0</v>
      </c>
    </row>
    <row r="4368">
      <c r="A4368" t="n">
        <v>511781</v>
      </c>
      <c r="B4368" s="6" t="n">
        <v>46019</v>
      </c>
      <c r="C4368" t="n">
        <v>14074</v>
      </c>
      <c r="D4368" t="inlineStr">
        <is>
          <t>Lucknow</t>
        </is>
      </c>
      <c r="E4368" t="inlineStr">
        <is>
          <t>North</t>
        </is>
      </c>
      <c r="F4368" t="inlineStr">
        <is>
          <t>Paid Search</t>
        </is>
      </c>
      <c r="G4368" t="inlineStr">
        <is>
          <t>Desktop</t>
        </is>
      </c>
      <c r="H4368" t="inlineStr">
        <is>
          <t>UPI</t>
        </is>
      </c>
      <c r="I4368" t="inlineStr">
        <is>
          <t>Shipped</t>
        </is>
      </c>
      <c r="J4368" t="n">
        <v>141</v>
      </c>
      <c r="K4368" t="n">
        <v>1</v>
      </c>
      <c r="L4368" s="7" t="n">
        <v>261</v>
      </c>
      <c r="M4368" s="7" t="n">
        <v>0</v>
      </c>
    </row>
    <row r="4369">
      <c r="A4369" t="n">
        <v>511782</v>
      </c>
      <c r="B4369" s="6" t="n">
        <v>46019</v>
      </c>
      <c r="C4369" t="n">
        <v>16401</v>
      </c>
      <c r="D4369" t="inlineStr">
        <is>
          <t>Gurugram</t>
        </is>
      </c>
      <c r="E4369" t="inlineStr">
        <is>
          <t>North</t>
        </is>
      </c>
      <c r="F4369" t="inlineStr">
        <is>
          <t>Paid Search</t>
        </is>
      </c>
      <c r="G4369" t="inlineStr">
        <is>
          <t>Mobile App</t>
        </is>
      </c>
      <c r="H4369" t="inlineStr">
        <is>
          <t>Cash on Delivery</t>
        </is>
      </c>
      <c r="I4369" t="inlineStr">
        <is>
          <t>Shipped</t>
        </is>
      </c>
      <c r="J4369" t="n">
        <v>134</v>
      </c>
      <c r="K4369" t="n">
        <v>1</v>
      </c>
      <c r="L4369" s="7" t="n">
        <v>209</v>
      </c>
      <c r="M4369" s="7" t="n">
        <v>0</v>
      </c>
    </row>
    <row r="4370">
      <c r="A4370" t="n">
        <v>511782</v>
      </c>
      <c r="B4370" s="6" t="n">
        <v>46019</v>
      </c>
      <c r="C4370" t="n">
        <v>16401</v>
      </c>
      <c r="D4370" t="inlineStr">
        <is>
          <t>Gurugram</t>
        </is>
      </c>
      <c r="E4370" t="inlineStr">
        <is>
          <t>North</t>
        </is>
      </c>
      <c r="F4370" t="inlineStr">
        <is>
          <t>Paid Search</t>
        </is>
      </c>
      <c r="G4370" t="inlineStr">
        <is>
          <t>Mobile App</t>
        </is>
      </c>
      <c r="H4370" t="inlineStr">
        <is>
          <t>Cash on Delivery</t>
        </is>
      </c>
      <c r="I4370" t="inlineStr">
        <is>
          <t>Shipped</t>
        </is>
      </c>
      <c r="J4370" t="n">
        <v>109</v>
      </c>
      <c r="K4370" t="n">
        <v>1</v>
      </c>
      <c r="L4370" s="7" t="n">
        <v>4199</v>
      </c>
      <c r="M4370" s="7" t="n">
        <v>0</v>
      </c>
    </row>
    <row r="4371">
      <c r="A4371" t="n">
        <v>511783</v>
      </c>
      <c r="B4371" s="6" t="n">
        <v>46019</v>
      </c>
      <c r="C4371" t="n">
        <v>17657</v>
      </c>
      <c r="D4371" t="inlineStr">
        <is>
          <t>Hyderabad</t>
        </is>
      </c>
      <c r="E4371" t="inlineStr">
        <is>
          <t>South</t>
        </is>
      </c>
      <c r="F4371" t="inlineStr">
        <is>
          <t>Paid Social</t>
        </is>
      </c>
      <c r="G4371" t="inlineStr">
        <is>
          <t>Desktop</t>
        </is>
      </c>
      <c r="H4371" t="inlineStr">
        <is>
          <t>Debit Card</t>
        </is>
      </c>
      <c r="I4371" t="inlineStr">
        <is>
          <t>Shipped</t>
        </is>
      </c>
      <c r="J4371" t="n">
        <v>113</v>
      </c>
      <c r="K4371" t="n">
        <v>1</v>
      </c>
      <c r="L4371" s="7" t="n">
        <v>1364</v>
      </c>
      <c r="M4371" s="7" t="n">
        <v>204.6</v>
      </c>
    </row>
    <row r="4372">
      <c r="A4372" t="n">
        <v>511783</v>
      </c>
      <c r="B4372" s="6" t="n">
        <v>46019</v>
      </c>
      <c r="C4372" t="n">
        <v>17657</v>
      </c>
      <c r="D4372" t="inlineStr">
        <is>
          <t>Hyderabad</t>
        </is>
      </c>
      <c r="E4372" t="inlineStr">
        <is>
          <t>South</t>
        </is>
      </c>
      <c r="F4372" t="inlineStr">
        <is>
          <t>Paid Social</t>
        </is>
      </c>
      <c r="G4372" t="inlineStr">
        <is>
          <t>Desktop</t>
        </is>
      </c>
      <c r="H4372" t="inlineStr">
        <is>
          <t>Debit Card</t>
        </is>
      </c>
      <c r="I4372" t="inlineStr">
        <is>
          <t>Shipped</t>
        </is>
      </c>
      <c r="J4372" t="n">
        <v>138</v>
      </c>
      <c r="K4372" t="n">
        <v>1</v>
      </c>
      <c r="L4372" s="7" t="n">
        <v>419</v>
      </c>
      <c r="M4372" s="7" t="n">
        <v>62.85</v>
      </c>
    </row>
    <row r="4373">
      <c r="A4373" t="n">
        <v>511783</v>
      </c>
      <c r="B4373" s="6" t="n">
        <v>46019</v>
      </c>
      <c r="C4373" t="n">
        <v>17657</v>
      </c>
      <c r="D4373" t="inlineStr">
        <is>
          <t>Hyderabad</t>
        </is>
      </c>
      <c r="E4373" t="inlineStr">
        <is>
          <t>South</t>
        </is>
      </c>
      <c r="F4373" t="inlineStr">
        <is>
          <t>Paid Social</t>
        </is>
      </c>
      <c r="G4373" t="inlineStr">
        <is>
          <t>Desktop</t>
        </is>
      </c>
      <c r="H4373" t="inlineStr">
        <is>
          <t>Debit Card</t>
        </is>
      </c>
      <c r="I4373" t="inlineStr">
        <is>
          <t>Shipped</t>
        </is>
      </c>
      <c r="J4373" t="n">
        <v>115</v>
      </c>
      <c r="K4373" t="n">
        <v>2</v>
      </c>
      <c r="L4373" s="7" t="n">
        <v>4199</v>
      </c>
      <c r="M4373" s="7" t="n">
        <v>1259.7</v>
      </c>
    </row>
    <row r="4374">
      <c r="A4374" t="n">
        <v>511783</v>
      </c>
      <c r="B4374" s="6" t="n">
        <v>46019</v>
      </c>
      <c r="C4374" t="n">
        <v>17657</v>
      </c>
      <c r="D4374" t="inlineStr">
        <is>
          <t>Hyderabad</t>
        </is>
      </c>
      <c r="E4374" t="inlineStr">
        <is>
          <t>South</t>
        </is>
      </c>
      <c r="F4374" t="inlineStr">
        <is>
          <t>Paid Social</t>
        </is>
      </c>
      <c r="G4374" t="inlineStr">
        <is>
          <t>Desktop</t>
        </is>
      </c>
      <c r="H4374" t="inlineStr">
        <is>
          <t>Debit Card</t>
        </is>
      </c>
      <c r="I4374" t="inlineStr">
        <is>
          <t>Shipped</t>
        </is>
      </c>
      <c r="J4374" t="n">
        <v>118</v>
      </c>
      <c r="K4374" t="n">
        <v>1</v>
      </c>
      <c r="L4374" s="7" t="n">
        <v>944</v>
      </c>
      <c r="M4374" s="7" t="n">
        <v>141.6</v>
      </c>
    </row>
    <row r="4375">
      <c r="A4375" t="n">
        <v>511784</v>
      </c>
      <c r="B4375" s="6" t="n">
        <v>46019</v>
      </c>
      <c r="C4375" t="n">
        <v>16994</v>
      </c>
      <c r="D4375" t="inlineStr">
        <is>
          <t>Bengaluru</t>
        </is>
      </c>
      <c r="E4375" t="inlineStr">
        <is>
          <t>South</t>
        </is>
      </c>
      <c r="F4375" t="inlineStr">
        <is>
          <t>Paid Search</t>
        </is>
      </c>
      <c r="G4375" t="inlineStr">
        <is>
          <t>Desktop</t>
        </is>
      </c>
      <c r="H4375" t="inlineStr">
        <is>
          <t>UPI</t>
        </is>
      </c>
      <c r="I4375" t="inlineStr">
        <is>
          <t>Shipped</t>
        </is>
      </c>
      <c r="J4375" t="n">
        <v>101</v>
      </c>
      <c r="K4375" t="n">
        <v>1</v>
      </c>
      <c r="L4375" s="7" t="n">
        <v>2099</v>
      </c>
      <c r="M4375" s="7" t="n">
        <v>0</v>
      </c>
    </row>
    <row r="4376">
      <c r="A4376" t="n">
        <v>511784</v>
      </c>
      <c r="B4376" s="6" t="n">
        <v>46019</v>
      </c>
      <c r="C4376" t="n">
        <v>16994</v>
      </c>
      <c r="D4376" t="inlineStr">
        <is>
          <t>Bengaluru</t>
        </is>
      </c>
      <c r="E4376" t="inlineStr">
        <is>
          <t>South</t>
        </is>
      </c>
      <c r="F4376" t="inlineStr">
        <is>
          <t>Paid Search</t>
        </is>
      </c>
      <c r="G4376" t="inlineStr">
        <is>
          <t>Desktop</t>
        </is>
      </c>
      <c r="H4376" t="inlineStr">
        <is>
          <t>UPI</t>
        </is>
      </c>
      <c r="I4376" t="inlineStr">
        <is>
          <t>Shipped</t>
        </is>
      </c>
      <c r="J4376" t="n">
        <v>131</v>
      </c>
      <c r="K4376" t="n">
        <v>1</v>
      </c>
      <c r="L4376" s="7" t="n">
        <v>314</v>
      </c>
      <c r="M4376" s="7" t="n">
        <v>0</v>
      </c>
    </row>
    <row r="4377">
      <c r="A4377" t="n">
        <v>511784</v>
      </c>
      <c r="B4377" s="6" t="n">
        <v>46019</v>
      </c>
      <c r="C4377" t="n">
        <v>16994</v>
      </c>
      <c r="D4377" t="inlineStr">
        <is>
          <t>Bengaluru</t>
        </is>
      </c>
      <c r="E4377" t="inlineStr">
        <is>
          <t>South</t>
        </is>
      </c>
      <c r="F4377" t="inlineStr">
        <is>
          <t>Paid Search</t>
        </is>
      </c>
      <c r="G4377" t="inlineStr">
        <is>
          <t>Desktop</t>
        </is>
      </c>
      <c r="H4377" t="inlineStr">
        <is>
          <t>UPI</t>
        </is>
      </c>
      <c r="I4377" t="inlineStr">
        <is>
          <t>Shipped</t>
        </is>
      </c>
      <c r="J4377" t="n">
        <v>119</v>
      </c>
      <c r="K4377" t="n">
        <v>1</v>
      </c>
      <c r="L4377" s="7" t="n">
        <v>2309</v>
      </c>
      <c r="M4377" s="7" t="n">
        <v>0</v>
      </c>
    </row>
    <row r="4378">
      <c r="A4378" t="n">
        <v>511784</v>
      </c>
      <c r="B4378" s="6" t="n">
        <v>46019</v>
      </c>
      <c r="C4378" t="n">
        <v>16994</v>
      </c>
      <c r="D4378" t="inlineStr">
        <is>
          <t>Bengaluru</t>
        </is>
      </c>
      <c r="E4378" t="inlineStr">
        <is>
          <t>South</t>
        </is>
      </c>
      <c r="F4378" t="inlineStr">
        <is>
          <t>Paid Search</t>
        </is>
      </c>
      <c r="G4378" t="inlineStr">
        <is>
          <t>Desktop</t>
        </is>
      </c>
      <c r="H4378" t="inlineStr">
        <is>
          <t>UPI</t>
        </is>
      </c>
      <c r="I4378" t="inlineStr">
        <is>
          <t>Shipped</t>
        </is>
      </c>
      <c r="J4378" t="n">
        <v>122</v>
      </c>
      <c r="K4378" t="n">
        <v>1</v>
      </c>
      <c r="L4378" s="7" t="n">
        <v>1994</v>
      </c>
      <c r="M4378" s="7" t="n">
        <v>0</v>
      </c>
    </row>
    <row r="4379">
      <c r="A4379" t="n">
        <v>511785</v>
      </c>
      <c r="B4379" s="6" t="n">
        <v>46019</v>
      </c>
      <c r="C4379" t="n">
        <v>17176</v>
      </c>
      <c r="D4379" t="inlineStr">
        <is>
          <t>Kolkata</t>
        </is>
      </c>
      <c r="E4379" t="inlineStr">
        <is>
          <t>East</t>
        </is>
      </c>
      <c r="F4379" t="inlineStr">
        <is>
          <t>Organic Search</t>
        </is>
      </c>
      <c r="G4379" t="inlineStr">
        <is>
          <t>Desktop</t>
        </is>
      </c>
      <c r="H4379" t="inlineStr">
        <is>
          <t>Cash on Delivery</t>
        </is>
      </c>
      <c r="I4379" t="inlineStr">
        <is>
          <t>Shipped</t>
        </is>
      </c>
      <c r="J4379" t="n">
        <v>135</v>
      </c>
      <c r="K4379" t="n">
        <v>1</v>
      </c>
      <c r="L4379" s="7" t="n">
        <v>1574</v>
      </c>
      <c r="M4379" s="7" t="n">
        <v>0</v>
      </c>
    </row>
    <row r="4380">
      <c r="A4380" t="n">
        <v>511786</v>
      </c>
      <c r="B4380" s="6" t="n">
        <v>46019</v>
      </c>
      <c r="C4380" t="n">
        <v>17806</v>
      </c>
      <c r="D4380" t="inlineStr">
        <is>
          <t>Mumbai</t>
        </is>
      </c>
      <c r="E4380" t="inlineStr">
        <is>
          <t>West</t>
        </is>
      </c>
      <c r="F4380" t="inlineStr">
        <is>
          <t>Organic Search</t>
        </is>
      </c>
      <c r="G4380" t="inlineStr">
        <is>
          <t>Mobile Web</t>
        </is>
      </c>
      <c r="H4380" t="inlineStr">
        <is>
          <t>UPI</t>
        </is>
      </c>
      <c r="I4380" t="inlineStr">
        <is>
          <t>Shipped</t>
        </is>
      </c>
      <c r="J4380" t="n">
        <v>130</v>
      </c>
      <c r="K4380" t="n">
        <v>1</v>
      </c>
      <c r="L4380" s="7" t="n">
        <v>734</v>
      </c>
      <c r="M4380" s="7" t="n">
        <v>110.1</v>
      </c>
    </row>
    <row r="4381">
      <c r="A4381" t="n">
        <v>511786</v>
      </c>
      <c r="B4381" s="6" t="n">
        <v>46019</v>
      </c>
      <c r="C4381" t="n">
        <v>17806</v>
      </c>
      <c r="D4381" t="inlineStr">
        <is>
          <t>Mumbai</t>
        </is>
      </c>
      <c r="E4381" t="inlineStr">
        <is>
          <t>West</t>
        </is>
      </c>
      <c r="F4381" t="inlineStr">
        <is>
          <t>Organic Search</t>
        </is>
      </c>
      <c r="G4381" t="inlineStr">
        <is>
          <t>Mobile Web</t>
        </is>
      </c>
      <c r="H4381" t="inlineStr">
        <is>
          <t>UPI</t>
        </is>
      </c>
      <c r="I4381" t="inlineStr">
        <is>
          <t>Shipped</t>
        </is>
      </c>
      <c r="J4381" t="n">
        <v>117</v>
      </c>
      <c r="K4381" t="n">
        <v>1</v>
      </c>
      <c r="L4381" s="7" t="n">
        <v>3149</v>
      </c>
      <c r="M4381" s="7" t="n">
        <v>472.35</v>
      </c>
    </row>
    <row r="4382">
      <c r="A4382" t="n">
        <v>511787</v>
      </c>
      <c r="B4382" s="6" t="n">
        <v>46019</v>
      </c>
      <c r="C4382" t="n">
        <v>17828</v>
      </c>
      <c r="D4382" t="inlineStr">
        <is>
          <t>Lucknow</t>
        </is>
      </c>
      <c r="E4382" t="inlineStr">
        <is>
          <t>North</t>
        </is>
      </c>
      <c r="F4382" t="inlineStr">
        <is>
          <t>Affiliate</t>
        </is>
      </c>
      <c r="G4382" t="inlineStr">
        <is>
          <t>Desktop</t>
        </is>
      </c>
      <c r="H4382" t="inlineStr">
        <is>
          <t>Cash on Delivery</t>
        </is>
      </c>
      <c r="I4382" t="inlineStr">
        <is>
          <t>Shipped</t>
        </is>
      </c>
      <c r="J4382" t="n">
        <v>106</v>
      </c>
      <c r="K4382" t="n">
        <v>1</v>
      </c>
      <c r="L4382" s="7" t="n">
        <v>1574</v>
      </c>
      <c r="M4382" s="7" t="n">
        <v>236.1</v>
      </c>
    </row>
    <row r="4383">
      <c r="A4383" t="n">
        <v>511787</v>
      </c>
      <c r="B4383" s="6" t="n">
        <v>46019</v>
      </c>
      <c r="C4383" t="n">
        <v>17828</v>
      </c>
      <c r="D4383" t="inlineStr">
        <is>
          <t>Lucknow</t>
        </is>
      </c>
      <c r="E4383" t="inlineStr">
        <is>
          <t>North</t>
        </is>
      </c>
      <c r="F4383" t="inlineStr">
        <is>
          <t>Affiliate</t>
        </is>
      </c>
      <c r="G4383" t="inlineStr">
        <is>
          <t>Desktop</t>
        </is>
      </c>
      <c r="H4383" t="inlineStr">
        <is>
          <t>Cash on Delivery</t>
        </is>
      </c>
      <c r="I4383" t="inlineStr">
        <is>
          <t>Shipped</t>
        </is>
      </c>
      <c r="J4383" t="n">
        <v>118</v>
      </c>
      <c r="K4383" t="n">
        <v>1</v>
      </c>
      <c r="L4383" s="7" t="n">
        <v>944</v>
      </c>
      <c r="M4383" s="7" t="n">
        <v>141.6</v>
      </c>
    </row>
    <row r="4384">
      <c r="A4384" t="n">
        <v>511788</v>
      </c>
      <c r="B4384" s="6" t="n">
        <v>46019</v>
      </c>
      <c r="C4384" t="n">
        <v>15602</v>
      </c>
      <c r="D4384" t="inlineStr">
        <is>
          <t>Kolkata</t>
        </is>
      </c>
      <c r="E4384" t="inlineStr">
        <is>
          <t>East</t>
        </is>
      </c>
      <c r="F4384" t="inlineStr">
        <is>
          <t>Referral</t>
        </is>
      </c>
      <c r="G4384" t="inlineStr">
        <is>
          <t>Mobile Web</t>
        </is>
      </c>
      <c r="H4384" t="inlineStr">
        <is>
          <t>UPI</t>
        </is>
      </c>
      <c r="I4384" t="inlineStr">
        <is>
          <t>Shipped</t>
        </is>
      </c>
      <c r="J4384" t="n">
        <v>118</v>
      </c>
      <c r="K4384" t="n">
        <v>1</v>
      </c>
      <c r="L4384" s="7" t="n">
        <v>944</v>
      </c>
      <c r="M4384" s="7" t="n">
        <v>0</v>
      </c>
    </row>
    <row r="4385">
      <c r="A4385" t="n">
        <v>511789</v>
      </c>
      <c r="B4385" s="6" t="n">
        <v>46019</v>
      </c>
      <c r="C4385" t="n">
        <v>17950</v>
      </c>
      <c r="D4385" t="inlineStr">
        <is>
          <t>Bengaluru</t>
        </is>
      </c>
      <c r="E4385" t="inlineStr">
        <is>
          <t>South</t>
        </is>
      </c>
      <c r="F4385" t="inlineStr">
        <is>
          <t>Paid Search</t>
        </is>
      </c>
      <c r="G4385" t="inlineStr">
        <is>
          <t>Mobile App</t>
        </is>
      </c>
      <c r="H4385" t="inlineStr">
        <is>
          <t>Net Banking</t>
        </is>
      </c>
      <c r="I4385" t="inlineStr">
        <is>
          <t>Shipped</t>
        </is>
      </c>
      <c r="J4385" t="n">
        <v>140</v>
      </c>
      <c r="K4385" t="n">
        <v>1</v>
      </c>
      <c r="L4385" s="7" t="n">
        <v>629</v>
      </c>
      <c r="M4385" s="7" t="n">
        <v>94.34999999999999</v>
      </c>
    </row>
    <row r="4386">
      <c r="A4386" t="n">
        <v>511790</v>
      </c>
      <c r="B4386" s="6" t="n">
        <v>46019</v>
      </c>
      <c r="C4386" t="n">
        <v>17688</v>
      </c>
      <c r="D4386" t="inlineStr">
        <is>
          <t>Pune</t>
        </is>
      </c>
      <c r="E4386" t="inlineStr">
        <is>
          <t>West</t>
        </is>
      </c>
      <c r="F4386" t="inlineStr">
        <is>
          <t>Organic Search</t>
        </is>
      </c>
      <c r="G4386" t="inlineStr">
        <is>
          <t>Mobile Web</t>
        </is>
      </c>
      <c r="H4386" t="inlineStr">
        <is>
          <t>Cash on Delivery</t>
        </is>
      </c>
      <c r="I4386" t="inlineStr">
        <is>
          <t>Cancelled</t>
        </is>
      </c>
      <c r="J4386" t="n">
        <v>131</v>
      </c>
      <c r="K4386" t="n">
        <v>1</v>
      </c>
      <c r="L4386" s="7" t="n">
        <v>314</v>
      </c>
      <c r="M4386" s="7" t="n">
        <v>0</v>
      </c>
    </row>
    <row r="4387">
      <c r="A4387" t="n">
        <v>511791</v>
      </c>
      <c r="B4387" s="6" t="n">
        <v>46019</v>
      </c>
      <c r="C4387" t="n">
        <v>15458</v>
      </c>
      <c r="D4387" t="inlineStr">
        <is>
          <t>Chennai</t>
        </is>
      </c>
      <c r="E4387" t="inlineStr">
        <is>
          <t>South</t>
        </is>
      </c>
      <c r="F4387" t="inlineStr">
        <is>
          <t>Paid Search</t>
        </is>
      </c>
      <c r="G4387" t="inlineStr">
        <is>
          <t>Mobile Web</t>
        </is>
      </c>
      <c r="H4387" t="inlineStr">
        <is>
          <t>UPI</t>
        </is>
      </c>
      <c r="I4387" t="inlineStr">
        <is>
          <t>Shipped</t>
        </is>
      </c>
      <c r="J4387" t="n">
        <v>112</v>
      </c>
      <c r="K4387" t="n">
        <v>1</v>
      </c>
      <c r="L4387" s="7" t="n">
        <v>1574</v>
      </c>
      <c r="M4387" s="7" t="n">
        <v>0</v>
      </c>
    </row>
    <row r="4388">
      <c r="A4388" t="n">
        <v>511792</v>
      </c>
      <c r="B4388" s="6" t="n">
        <v>46019</v>
      </c>
      <c r="C4388" t="n">
        <v>15792</v>
      </c>
      <c r="D4388" t="inlineStr">
        <is>
          <t>Kolkata</t>
        </is>
      </c>
      <c r="E4388" t="inlineStr">
        <is>
          <t>East</t>
        </is>
      </c>
      <c r="F4388" t="inlineStr">
        <is>
          <t>Paid Search</t>
        </is>
      </c>
      <c r="G4388" t="inlineStr">
        <is>
          <t>Mobile App</t>
        </is>
      </c>
      <c r="H4388" t="inlineStr">
        <is>
          <t>Credit Card</t>
        </is>
      </c>
      <c r="I4388" t="inlineStr">
        <is>
          <t>Shipped</t>
        </is>
      </c>
      <c r="J4388" t="n">
        <v>118</v>
      </c>
      <c r="K4388" t="n">
        <v>2</v>
      </c>
      <c r="L4388" s="7" t="n">
        <v>944</v>
      </c>
      <c r="M4388" s="7" t="n">
        <v>0</v>
      </c>
    </row>
    <row r="4389">
      <c r="A4389" t="n">
        <v>511793</v>
      </c>
      <c r="B4389" s="6" t="n">
        <v>46019</v>
      </c>
      <c r="C4389" t="n">
        <v>16255</v>
      </c>
      <c r="D4389" t="inlineStr">
        <is>
          <t>Hyderabad</t>
        </is>
      </c>
      <c r="E4389" t="inlineStr">
        <is>
          <t>South</t>
        </is>
      </c>
      <c r="F4389" t="inlineStr">
        <is>
          <t>Organic Search</t>
        </is>
      </c>
      <c r="G4389" t="inlineStr">
        <is>
          <t>Desktop</t>
        </is>
      </c>
      <c r="H4389" t="inlineStr">
        <is>
          <t>Debit Card</t>
        </is>
      </c>
      <c r="I4389" t="inlineStr">
        <is>
          <t>Shipped</t>
        </is>
      </c>
      <c r="J4389" t="n">
        <v>134</v>
      </c>
      <c r="K4389" t="n">
        <v>1</v>
      </c>
      <c r="L4389" s="7" t="n">
        <v>209</v>
      </c>
      <c r="M4389" s="7" t="n">
        <v>0</v>
      </c>
    </row>
    <row r="4390">
      <c r="A4390" t="n">
        <v>511794</v>
      </c>
      <c r="B4390" s="6" t="n">
        <v>46019</v>
      </c>
      <c r="C4390" t="n">
        <v>15914</v>
      </c>
      <c r="D4390" t="inlineStr">
        <is>
          <t>Jaipur</t>
        </is>
      </c>
      <c r="E4390" t="inlineStr">
        <is>
          <t>North</t>
        </is>
      </c>
      <c r="F4390" t="inlineStr">
        <is>
          <t>Paid Search</t>
        </is>
      </c>
      <c r="G4390" t="inlineStr">
        <is>
          <t>Desktop</t>
        </is>
      </c>
      <c r="H4390" t="inlineStr">
        <is>
          <t>Credit Card</t>
        </is>
      </c>
      <c r="I4390" t="inlineStr">
        <is>
          <t>Shipped</t>
        </is>
      </c>
      <c r="J4390" t="n">
        <v>138</v>
      </c>
      <c r="K4390" t="n">
        <v>1</v>
      </c>
      <c r="L4390" s="7" t="n">
        <v>419</v>
      </c>
      <c r="M4390" s="7" t="n">
        <v>0</v>
      </c>
    </row>
    <row r="4391">
      <c r="A4391" t="n">
        <v>511795</v>
      </c>
      <c r="B4391" s="6" t="n">
        <v>46019</v>
      </c>
      <c r="C4391" t="n">
        <v>14770</v>
      </c>
      <c r="D4391" t="inlineStr">
        <is>
          <t>Bengaluru</t>
        </is>
      </c>
      <c r="E4391" t="inlineStr">
        <is>
          <t>South</t>
        </is>
      </c>
      <c r="F4391" t="inlineStr">
        <is>
          <t>Email</t>
        </is>
      </c>
      <c r="G4391" t="inlineStr">
        <is>
          <t>Mobile Web</t>
        </is>
      </c>
      <c r="H4391" t="inlineStr">
        <is>
          <t>Credit Card</t>
        </is>
      </c>
      <c r="I4391" t="inlineStr">
        <is>
          <t>Shipped</t>
        </is>
      </c>
      <c r="J4391" t="n">
        <v>137</v>
      </c>
      <c r="K4391" t="n">
        <v>1</v>
      </c>
      <c r="L4391" s="7" t="n">
        <v>261</v>
      </c>
      <c r="M4391" s="7" t="n">
        <v>0</v>
      </c>
    </row>
    <row r="4392">
      <c r="A4392" t="n">
        <v>511796</v>
      </c>
      <c r="B4392" s="6" t="n">
        <v>46019</v>
      </c>
      <c r="C4392" t="n">
        <v>17890</v>
      </c>
      <c r="D4392" t="inlineStr">
        <is>
          <t>Lucknow</t>
        </is>
      </c>
      <c r="E4392" t="inlineStr">
        <is>
          <t>North</t>
        </is>
      </c>
      <c r="F4392" t="inlineStr">
        <is>
          <t>Email</t>
        </is>
      </c>
      <c r="G4392" t="inlineStr">
        <is>
          <t>Mobile App</t>
        </is>
      </c>
      <c r="H4392" t="inlineStr">
        <is>
          <t>UPI</t>
        </is>
      </c>
      <c r="I4392" t="inlineStr">
        <is>
          <t>Shipped</t>
        </is>
      </c>
      <c r="J4392" t="n">
        <v>130</v>
      </c>
      <c r="K4392" t="n">
        <v>1</v>
      </c>
      <c r="L4392" s="7" t="n">
        <v>734</v>
      </c>
      <c r="M4392" s="7" t="n">
        <v>0</v>
      </c>
    </row>
    <row r="4393">
      <c r="A4393" t="n">
        <v>511796</v>
      </c>
      <c r="B4393" s="6" t="n">
        <v>46019</v>
      </c>
      <c r="C4393" t="n">
        <v>17890</v>
      </c>
      <c r="D4393" t="inlineStr">
        <is>
          <t>Lucknow</t>
        </is>
      </c>
      <c r="E4393" t="inlineStr">
        <is>
          <t>North</t>
        </is>
      </c>
      <c r="F4393" t="inlineStr">
        <is>
          <t>Email</t>
        </is>
      </c>
      <c r="G4393" t="inlineStr">
        <is>
          <t>Mobile App</t>
        </is>
      </c>
      <c r="H4393" t="inlineStr">
        <is>
          <t>UPI</t>
        </is>
      </c>
      <c r="I4393" t="inlineStr">
        <is>
          <t>Shipped</t>
        </is>
      </c>
      <c r="J4393" t="n">
        <v>123</v>
      </c>
      <c r="K4393" t="n">
        <v>1</v>
      </c>
      <c r="L4393" s="7" t="n">
        <v>3464</v>
      </c>
      <c r="M4393" s="7" t="n">
        <v>0</v>
      </c>
    </row>
    <row r="4394">
      <c r="A4394" t="n">
        <v>511797</v>
      </c>
      <c r="B4394" s="6" t="n">
        <v>46019</v>
      </c>
      <c r="C4394" t="n">
        <v>15181</v>
      </c>
      <c r="D4394" t="inlineStr">
        <is>
          <t>Delhi</t>
        </is>
      </c>
      <c r="E4394" t="inlineStr">
        <is>
          <t>North</t>
        </is>
      </c>
      <c r="F4394" t="inlineStr">
        <is>
          <t>Organic Search</t>
        </is>
      </c>
      <c r="G4394" t="inlineStr">
        <is>
          <t>Mobile App</t>
        </is>
      </c>
      <c r="H4394" t="inlineStr">
        <is>
          <t>Debit Card</t>
        </is>
      </c>
      <c r="I4394" t="inlineStr">
        <is>
          <t>Shipped</t>
        </is>
      </c>
      <c r="J4394" t="n">
        <v>123</v>
      </c>
      <c r="K4394" t="n">
        <v>1</v>
      </c>
      <c r="L4394" s="7" t="n">
        <v>3464</v>
      </c>
      <c r="M4394" s="7" t="n">
        <v>0</v>
      </c>
    </row>
    <row r="4395">
      <c r="A4395" t="n">
        <v>511798</v>
      </c>
      <c r="B4395" s="6" t="n">
        <v>46019</v>
      </c>
      <c r="C4395" t="n">
        <v>17941</v>
      </c>
      <c r="D4395" t="inlineStr">
        <is>
          <t>Pune</t>
        </is>
      </c>
      <c r="E4395" t="inlineStr">
        <is>
          <t>West</t>
        </is>
      </c>
      <c r="F4395" t="inlineStr">
        <is>
          <t>Organic Search</t>
        </is>
      </c>
      <c r="G4395" t="inlineStr">
        <is>
          <t>Mobile Web</t>
        </is>
      </c>
      <c r="H4395" t="inlineStr">
        <is>
          <t>Cash on Delivery</t>
        </is>
      </c>
      <c r="I4395" t="inlineStr">
        <is>
          <t>Shipped</t>
        </is>
      </c>
      <c r="J4395" t="n">
        <v>131</v>
      </c>
      <c r="K4395" t="n">
        <v>3</v>
      </c>
      <c r="L4395" s="7" t="n">
        <v>314</v>
      </c>
      <c r="M4395" s="7" t="n">
        <v>141.3</v>
      </c>
    </row>
    <row r="4396">
      <c r="A4396" t="n">
        <v>511799</v>
      </c>
      <c r="B4396" s="6" t="n">
        <v>46019</v>
      </c>
      <c r="C4396" t="n">
        <v>15960</v>
      </c>
      <c r="D4396" t="inlineStr">
        <is>
          <t>Delhi</t>
        </is>
      </c>
      <c r="E4396" t="inlineStr">
        <is>
          <t>North</t>
        </is>
      </c>
      <c r="F4396" t="inlineStr">
        <is>
          <t>Paid Search</t>
        </is>
      </c>
      <c r="G4396" t="inlineStr">
        <is>
          <t>Mobile Web</t>
        </is>
      </c>
      <c r="H4396" t="inlineStr">
        <is>
          <t>Credit Card</t>
        </is>
      </c>
      <c r="I4396" t="inlineStr">
        <is>
          <t>Shipped</t>
        </is>
      </c>
      <c r="J4396" t="n">
        <v>138</v>
      </c>
      <c r="K4396" t="n">
        <v>1</v>
      </c>
      <c r="L4396" s="7" t="n">
        <v>419</v>
      </c>
      <c r="M4396" s="7" t="n">
        <v>0</v>
      </c>
    </row>
    <row r="4397">
      <c r="A4397" t="n">
        <v>511799</v>
      </c>
      <c r="B4397" s="6" t="n">
        <v>46019</v>
      </c>
      <c r="C4397" t="n">
        <v>15960</v>
      </c>
      <c r="D4397" t="inlineStr">
        <is>
          <t>Delhi</t>
        </is>
      </c>
      <c r="E4397" t="inlineStr">
        <is>
          <t>North</t>
        </is>
      </c>
      <c r="F4397" t="inlineStr">
        <is>
          <t>Paid Search</t>
        </is>
      </c>
      <c r="G4397" t="inlineStr">
        <is>
          <t>Mobile Web</t>
        </is>
      </c>
      <c r="H4397" t="inlineStr">
        <is>
          <t>Credit Card</t>
        </is>
      </c>
      <c r="I4397" t="inlineStr">
        <is>
          <t>Shipped</t>
        </is>
      </c>
      <c r="J4397" t="n">
        <v>101</v>
      </c>
      <c r="K4397" t="n">
        <v>1</v>
      </c>
      <c r="L4397" s="7" t="n">
        <v>2099</v>
      </c>
      <c r="M4397" s="7" t="n">
        <v>0</v>
      </c>
    </row>
    <row r="4398">
      <c r="A4398" t="n">
        <v>511800</v>
      </c>
      <c r="B4398" s="6" t="n">
        <v>46019</v>
      </c>
      <c r="C4398" t="n">
        <v>17920</v>
      </c>
      <c r="D4398" t="inlineStr">
        <is>
          <t>Lucknow</t>
        </is>
      </c>
      <c r="E4398" t="inlineStr">
        <is>
          <t>North</t>
        </is>
      </c>
      <c r="F4398" t="inlineStr">
        <is>
          <t>Referral</t>
        </is>
      </c>
      <c r="G4398" t="inlineStr">
        <is>
          <t>Desktop</t>
        </is>
      </c>
      <c r="H4398" t="inlineStr">
        <is>
          <t>UPI</t>
        </is>
      </c>
      <c r="I4398" t="inlineStr">
        <is>
          <t>Shipped</t>
        </is>
      </c>
      <c r="J4398" t="n">
        <v>126</v>
      </c>
      <c r="K4398" t="n">
        <v>2</v>
      </c>
      <c r="L4398" s="7" t="n">
        <v>471</v>
      </c>
      <c r="M4398" s="7" t="n">
        <v>141.3</v>
      </c>
    </row>
    <row r="4399">
      <c r="A4399" t="n">
        <v>511801</v>
      </c>
      <c r="B4399" s="6" t="n">
        <v>46019</v>
      </c>
      <c r="C4399" t="n">
        <v>17936</v>
      </c>
      <c r="D4399" t="inlineStr">
        <is>
          <t>Pune</t>
        </is>
      </c>
      <c r="E4399" t="inlineStr">
        <is>
          <t>West</t>
        </is>
      </c>
      <c r="F4399" t="inlineStr">
        <is>
          <t>Paid Search</t>
        </is>
      </c>
      <c r="G4399" t="inlineStr">
        <is>
          <t>Mobile Web</t>
        </is>
      </c>
      <c r="H4399" t="inlineStr">
        <is>
          <t>Cash on Delivery</t>
        </is>
      </c>
      <c r="I4399" t="inlineStr">
        <is>
          <t>Shipped</t>
        </is>
      </c>
      <c r="J4399" t="n">
        <v>112</v>
      </c>
      <c r="K4399" t="n">
        <v>1</v>
      </c>
      <c r="L4399" s="7" t="n">
        <v>1574</v>
      </c>
      <c r="M4399" s="7" t="n">
        <v>236.1</v>
      </c>
    </row>
    <row r="4400">
      <c r="A4400" t="n">
        <v>511801</v>
      </c>
      <c r="B4400" s="6" t="n">
        <v>46019</v>
      </c>
      <c r="C4400" t="n">
        <v>17936</v>
      </c>
      <c r="D4400" t="inlineStr">
        <is>
          <t>Pune</t>
        </is>
      </c>
      <c r="E4400" t="inlineStr">
        <is>
          <t>West</t>
        </is>
      </c>
      <c r="F4400" t="inlineStr">
        <is>
          <t>Paid Search</t>
        </is>
      </c>
      <c r="G4400" t="inlineStr">
        <is>
          <t>Mobile Web</t>
        </is>
      </c>
      <c r="H4400" t="inlineStr">
        <is>
          <t>Cash on Delivery</t>
        </is>
      </c>
      <c r="I4400" t="inlineStr">
        <is>
          <t>Shipped</t>
        </is>
      </c>
      <c r="J4400" t="n">
        <v>121</v>
      </c>
      <c r="K4400" t="n">
        <v>2</v>
      </c>
      <c r="L4400" s="7" t="n">
        <v>2939</v>
      </c>
      <c r="M4400" s="7" t="n">
        <v>881.7</v>
      </c>
    </row>
    <row r="4401">
      <c r="A4401" t="n">
        <v>511802</v>
      </c>
      <c r="B4401" s="6" t="n">
        <v>46019</v>
      </c>
      <c r="C4401" t="n">
        <v>17953</v>
      </c>
      <c r="D4401" t="inlineStr">
        <is>
          <t>Mumbai</t>
        </is>
      </c>
      <c r="E4401" t="inlineStr">
        <is>
          <t>West</t>
        </is>
      </c>
      <c r="F4401" t="inlineStr">
        <is>
          <t>Email</t>
        </is>
      </c>
      <c r="G4401" t="inlineStr">
        <is>
          <t>Mobile App</t>
        </is>
      </c>
      <c r="H4401" t="inlineStr">
        <is>
          <t>UPI</t>
        </is>
      </c>
      <c r="I4401" t="inlineStr">
        <is>
          <t>Shipped</t>
        </is>
      </c>
      <c r="J4401" t="n">
        <v>137</v>
      </c>
      <c r="K4401" t="n">
        <v>1</v>
      </c>
      <c r="L4401" s="7" t="n">
        <v>261</v>
      </c>
      <c r="M4401" s="7" t="n">
        <v>13.05</v>
      </c>
    </row>
    <row r="4402">
      <c r="A4402" t="n">
        <v>511803</v>
      </c>
      <c r="B4402" s="6" t="n">
        <v>46019</v>
      </c>
      <c r="C4402" t="n">
        <v>16075</v>
      </c>
      <c r="D4402" t="inlineStr">
        <is>
          <t>Bengaluru</t>
        </is>
      </c>
      <c r="E4402" t="inlineStr">
        <is>
          <t>South</t>
        </is>
      </c>
      <c r="F4402" t="inlineStr">
        <is>
          <t>Organic Search</t>
        </is>
      </c>
      <c r="G4402" t="inlineStr">
        <is>
          <t>Mobile Web</t>
        </is>
      </c>
      <c r="H4402" t="inlineStr">
        <is>
          <t>UPI</t>
        </is>
      </c>
      <c r="I4402" t="inlineStr">
        <is>
          <t>Shipped</t>
        </is>
      </c>
      <c r="J4402" t="n">
        <v>117</v>
      </c>
      <c r="K4402" t="n">
        <v>1</v>
      </c>
      <c r="L4402" s="7" t="n">
        <v>3149</v>
      </c>
      <c r="M4402" s="7" t="n">
        <v>0</v>
      </c>
    </row>
    <row r="4403">
      <c r="A4403" t="n">
        <v>511804</v>
      </c>
      <c r="B4403" s="6" t="n">
        <v>46020</v>
      </c>
      <c r="C4403" t="n">
        <v>17190</v>
      </c>
      <c r="D4403" t="inlineStr">
        <is>
          <t>Chennai</t>
        </is>
      </c>
      <c r="E4403" t="inlineStr">
        <is>
          <t>South</t>
        </is>
      </c>
      <c r="F4403" t="inlineStr">
        <is>
          <t>Referral</t>
        </is>
      </c>
      <c r="G4403" t="inlineStr">
        <is>
          <t>Mobile App</t>
        </is>
      </c>
      <c r="H4403" t="inlineStr">
        <is>
          <t>UPI</t>
        </is>
      </c>
      <c r="I4403" t="inlineStr">
        <is>
          <t>Shipped</t>
        </is>
      </c>
      <c r="J4403" t="n">
        <v>119</v>
      </c>
      <c r="K4403" t="n">
        <v>1</v>
      </c>
      <c r="L4403" s="7" t="n">
        <v>2309</v>
      </c>
      <c r="M4403" s="7" t="n">
        <v>0</v>
      </c>
    </row>
    <row r="4404">
      <c r="A4404" t="n">
        <v>511804</v>
      </c>
      <c r="B4404" s="6" t="n">
        <v>46020</v>
      </c>
      <c r="C4404" t="n">
        <v>17190</v>
      </c>
      <c r="D4404" t="inlineStr">
        <is>
          <t>Chennai</t>
        </is>
      </c>
      <c r="E4404" t="inlineStr">
        <is>
          <t>South</t>
        </is>
      </c>
      <c r="F4404" t="inlineStr">
        <is>
          <t>Referral</t>
        </is>
      </c>
      <c r="G4404" t="inlineStr">
        <is>
          <t>Mobile App</t>
        </is>
      </c>
      <c r="H4404" t="inlineStr">
        <is>
          <t>UPI</t>
        </is>
      </c>
      <c r="I4404" t="inlineStr">
        <is>
          <t>Shipped</t>
        </is>
      </c>
      <c r="J4404" t="n">
        <v>129</v>
      </c>
      <c r="K4404" t="n">
        <v>1</v>
      </c>
      <c r="L4404" s="7" t="n">
        <v>576</v>
      </c>
      <c r="M4404" s="7" t="n">
        <v>0</v>
      </c>
    </row>
    <row r="4405">
      <c r="A4405" t="n">
        <v>511805</v>
      </c>
      <c r="B4405" s="6" t="n">
        <v>46020</v>
      </c>
      <c r="C4405" t="n">
        <v>17861</v>
      </c>
      <c r="D4405" t="inlineStr">
        <is>
          <t>Kochi</t>
        </is>
      </c>
      <c r="E4405" t="inlineStr">
        <is>
          <t>South</t>
        </is>
      </c>
      <c r="F4405" t="inlineStr">
        <is>
          <t>Paid Search</t>
        </is>
      </c>
      <c r="G4405" t="inlineStr">
        <is>
          <t>Mobile Web</t>
        </is>
      </c>
      <c r="H4405" t="inlineStr">
        <is>
          <t>UPI</t>
        </is>
      </c>
      <c r="I4405" t="inlineStr">
        <is>
          <t>Shipped</t>
        </is>
      </c>
      <c r="J4405" t="n">
        <v>121</v>
      </c>
      <c r="K4405" t="n">
        <v>1</v>
      </c>
      <c r="L4405" s="7" t="n">
        <v>2939</v>
      </c>
      <c r="M4405" s="7" t="n">
        <v>440.85</v>
      </c>
    </row>
    <row r="4406">
      <c r="A4406" t="n">
        <v>511806</v>
      </c>
      <c r="B4406" s="6" t="n">
        <v>46020</v>
      </c>
      <c r="C4406" t="n">
        <v>16842</v>
      </c>
      <c r="D4406" t="inlineStr">
        <is>
          <t>Hyderabad</t>
        </is>
      </c>
      <c r="E4406" t="inlineStr">
        <is>
          <t>South</t>
        </is>
      </c>
      <c r="F4406" t="inlineStr">
        <is>
          <t>Referral</t>
        </is>
      </c>
      <c r="G4406" t="inlineStr">
        <is>
          <t>Mobile Web</t>
        </is>
      </c>
      <c r="H4406" t="inlineStr">
        <is>
          <t>UPI</t>
        </is>
      </c>
      <c r="I4406" t="inlineStr">
        <is>
          <t>Shipped</t>
        </is>
      </c>
      <c r="J4406" t="n">
        <v>103</v>
      </c>
      <c r="K4406" t="n">
        <v>2</v>
      </c>
      <c r="L4406" s="7" t="n">
        <v>2624</v>
      </c>
      <c r="M4406" s="7" t="n">
        <v>0</v>
      </c>
    </row>
    <row r="4407">
      <c r="A4407" t="n">
        <v>511806</v>
      </c>
      <c r="B4407" s="6" t="n">
        <v>46020</v>
      </c>
      <c r="C4407" t="n">
        <v>16842</v>
      </c>
      <c r="D4407" t="inlineStr">
        <is>
          <t>Hyderabad</t>
        </is>
      </c>
      <c r="E4407" t="inlineStr">
        <is>
          <t>South</t>
        </is>
      </c>
      <c r="F4407" t="inlineStr">
        <is>
          <t>Referral</t>
        </is>
      </c>
      <c r="G4407" t="inlineStr">
        <is>
          <t>Mobile Web</t>
        </is>
      </c>
      <c r="H4407" t="inlineStr">
        <is>
          <t>UPI</t>
        </is>
      </c>
      <c r="I4407" t="inlineStr">
        <is>
          <t>Shipped</t>
        </is>
      </c>
      <c r="J4407" t="n">
        <v>121</v>
      </c>
      <c r="K4407" t="n">
        <v>1</v>
      </c>
      <c r="L4407" s="7" t="n">
        <v>2939</v>
      </c>
      <c r="M4407" s="7" t="n">
        <v>0</v>
      </c>
    </row>
    <row r="4408">
      <c r="A4408" t="n">
        <v>511806</v>
      </c>
      <c r="B4408" s="6" t="n">
        <v>46020</v>
      </c>
      <c r="C4408" t="n">
        <v>16842</v>
      </c>
      <c r="D4408" t="inlineStr">
        <is>
          <t>Hyderabad</t>
        </is>
      </c>
      <c r="E4408" t="inlineStr">
        <is>
          <t>South</t>
        </is>
      </c>
      <c r="F4408" t="inlineStr">
        <is>
          <t>Referral</t>
        </is>
      </c>
      <c r="G4408" t="inlineStr">
        <is>
          <t>Mobile Web</t>
        </is>
      </c>
      <c r="H4408" t="inlineStr">
        <is>
          <t>UPI</t>
        </is>
      </c>
      <c r="I4408" t="inlineStr">
        <is>
          <t>Shipped</t>
        </is>
      </c>
      <c r="J4408" t="n">
        <v>118</v>
      </c>
      <c r="K4408" t="n">
        <v>1</v>
      </c>
      <c r="L4408" s="7" t="n">
        <v>944</v>
      </c>
      <c r="M4408" s="7" t="n">
        <v>0</v>
      </c>
    </row>
    <row r="4409">
      <c r="A4409" t="n">
        <v>511806</v>
      </c>
      <c r="B4409" s="6" t="n">
        <v>46020</v>
      </c>
      <c r="C4409" t="n">
        <v>16842</v>
      </c>
      <c r="D4409" t="inlineStr">
        <is>
          <t>Hyderabad</t>
        </is>
      </c>
      <c r="E4409" t="inlineStr">
        <is>
          <t>South</t>
        </is>
      </c>
      <c r="F4409" t="inlineStr">
        <is>
          <t>Referral</t>
        </is>
      </c>
      <c r="G4409" t="inlineStr">
        <is>
          <t>Mobile Web</t>
        </is>
      </c>
      <c r="H4409" t="inlineStr">
        <is>
          <t>UPI</t>
        </is>
      </c>
      <c r="I4409" t="inlineStr">
        <is>
          <t>Shipped</t>
        </is>
      </c>
      <c r="J4409" t="n">
        <v>134</v>
      </c>
      <c r="K4409" t="n">
        <v>1</v>
      </c>
      <c r="L4409" s="7" t="n">
        <v>209</v>
      </c>
      <c r="M4409" s="7" t="n">
        <v>0</v>
      </c>
    </row>
    <row r="4410">
      <c r="A4410" t="n">
        <v>511807</v>
      </c>
      <c r="B4410" s="6" t="n">
        <v>46020</v>
      </c>
      <c r="C4410" t="n">
        <v>17947</v>
      </c>
      <c r="D4410" t="inlineStr">
        <is>
          <t>Pune</t>
        </is>
      </c>
      <c r="E4410" t="inlineStr">
        <is>
          <t>West</t>
        </is>
      </c>
      <c r="F4410" t="inlineStr">
        <is>
          <t>Organic Search</t>
        </is>
      </c>
      <c r="G4410" t="inlineStr">
        <is>
          <t>Mobile App</t>
        </is>
      </c>
      <c r="H4410" t="inlineStr">
        <is>
          <t>Credit Card</t>
        </is>
      </c>
      <c r="I4410" t="inlineStr">
        <is>
          <t>Shipped</t>
        </is>
      </c>
      <c r="J4410" t="n">
        <v>126</v>
      </c>
      <c r="K4410" t="n">
        <v>1</v>
      </c>
      <c r="L4410" s="7" t="n">
        <v>471</v>
      </c>
      <c r="M4410" s="7" t="n">
        <v>0</v>
      </c>
    </row>
    <row r="4411">
      <c r="A4411" t="n">
        <v>511807</v>
      </c>
      <c r="B4411" s="6" t="n">
        <v>46020</v>
      </c>
      <c r="C4411" t="n">
        <v>17947</v>
      </c>
      <c r="D4411" t="inlineStr">
        <is>
          <t>Pune</t>
        </is>
      </c>
      <c r="E4411" t="inlineStr">
        <is>
          <t>West</t>
        </is>
      </c>
      <c r="F4411" t="inlineStr">
        <is>
          <t>Organic Search</t>
        </is>
      </c>
      <c r="G4411" t="inlineStr">
        <is>
          <t>Mobile App</t>
        </is>
      </c>
      <c r="H4411" t="inlineStr">
        <is>
          <t>Credit Card</t>
        </is>
      </c>
      <c r="I4411" t="inlineStr">
        <is>
          <t>Shipped</t>
        </is>
      </c>
      <c r="J4411" t="n">
        <v>116</v>
      </c>
      <c r="K4411" t="n">
        <v>1</v>
      </c>
      <c r="L4411" s="7" t="n">
        <v>2624</v>
      </c>
      <c r="M4411" s="7" t="n">
        <v>0</v>
      </c>
    </row>
    <row r="4412">
      <c r="A4412" t="n">
        <v>511808</v>
      </c>
      <c r="B4412" s="6" t="n">
        <v>46020</v>
      </c>
      <c r="C4412" t="n">
        <v>16579</v>
      </c>
      <c r="D4412" t="inlineStr">
        <is>
          <t>Kolkata</t>
        </is>
      </c>
      <c r="E4412" t="inlineStr">
        <is>
          <t>East</t>
        </is>
      </c>
      <c r="F4412" t="inlineStr">
        <is>
          <t>Organic Search</t>
        </is>
      </c>
      <c r="G4412" t="inlineStr">
        <is>
          <t>Mobile App</t>
        </is>
      </c>
      <c r="H4412" t="inlineStr">
        <is>
          <t>Credit Card</t>
        </is>
      </c>
      <c r="I4412" t="inlineStr">
        <is>
          <t>Shipped</t>
        </is>
      </c>
      <c r="J4412" t="n">
        <v>112</v>
      </c>
      <c r="K4412" t="n">
        <v>1</v>
      </c>
      <c r="L4412" s="7" t="n">
        <v>1574</v>
      </c>
      <c r="M4412" s="7" t="n">
        <v>0</v>
      </c>
    </row>
    <row r="4413">
      <c r="A4413" t="n">
        <v>511808</v>
      </c>
      <c r="B4413" s="6" t="n">
        <v>46020</v>
      </c>
      <c r="C4413" t="n">
        <v>16579</v>
      </c>
      <c r="D4413" t="inlineStr">
        <is>
          <t>Kolkata</t>
        </is>
      </c>
      <c r="E4413" t="inlineStr">
        <is>
          <t>East</t>
        </is>
      </c>
      <c r="F4413" t="inlineStr">
        <is>
          <t>Organic Search</t>
        </is>
      </c>
      <c r="G4413" t="inlineStr">
        <is>
          <t>Mobile App</t>
        </is>
      </c>
      <c r="H4413" t="inlineStr">
        <is>
          <t>Credit Card</t>
        </is>
      </c>
      <c r="I4413" t="inlineStr">
        <is>
          <t>Shipped</t>
        </is>
      </c>
      <c r="J4413" t="n">
        <v>142</v>
      </c>
      <c r="K4413" t="n">
        <v>1</v>
      </c>
      <c r="L4413" s="7" t="n">
        <v>839</v>
      </c>
      <c r="M4413" s="7" t="n">
        <v>0</v>
      </c>
    </row>
    <row r="4414">
      <c r="A4414" t="n">
        <v>511808</v>
      </c>
      <c r="B4414" s="6" t="n">
        <v>46020</v>
      </c>
      <c r="C4414" t="n">
        <v>16579</v>
      </c>
      <c r="D4414" t="inlineStr">
        <is>
          <t>Kolkata</t>
        </is>
      </c>
      <c r="E4414" t="inlineStr">
        <is>
          <t>East</t>
        </is>
      </c>
      <c r="F4414" t="inlineStr">
        <is>
          <t>Organic Search</t>
        </is>
      </c>
      <c r="G4414" t="inlineStr">
        <is>
          <t>Mobile App</t>
        </is>
      </c>
      <c r="H4414" t="inlineStr">
        <is>
          <t>Credit Card</t>
        </is>
      </c>
      <c r="I4414" t="inlineStr">
        <is>
          <t>Shipped</t>
        </is>
      </c>
      <c r="J4414" t="n">
        <v>131</v>
      </c>
      <c r="K4414" t="n">
        <v>2</v>
      </c>
      <c r="L4414" s="7" t="n">
        <v>314</v>
      </c>
      <c r="M4414" s="7" t="n">
        <v>0</v>
      </c>
    </row>
    <row r="4415">
      <c r="A4415" t="n">
        <v>511809</v>
      </c>
      <c r="B4415" s="6" t="n">
        <v>46020</v>
      </c>
      <c r="C4415" t="n">
        <v>17957</v>
      </c>
      <c r="D4415" t="inlineStr">
        <is>
          <t>Mumbai</t>
        </is>
      </c>
      <c r="E4415" t="inlineStr">
        <is>
          <t>West</t>
        </is>
      </c>
      <c r="F4415" t="inlineStr">
        <is>
          <t>Paid Social</t>
        </is>
      </c>
      <c r="G4415" t="inlineStr">
        <is>
          <t>Mobile App</t>
        </is>
      </c>
      <c r="H4415" t="inlineStr">
        <is>
          <t>Cash on Delivery</t>
        </is>
      </c>
      <c r="I4415" t="inlineStr">
        <is>
          <t>Shipped</t>
        </is>
      </c>
      <c r="J4415" t="n">
        <v>103</v>
      </c>
      <c r="K4415" t="n">
        <v>2</v>
      </c>
      <c r="L4415" s="7" t="n">
        <v>2624</v>
      </c>
      <c r="M4415" s="7" t="n">
        <v>0</v>
      </c>
    </row>
    <row r="4416">
      <c r="A4416" t="n">
        <v>511809</v>
      </c>
      <c r="B4416" s="6" t="n">
        <v>46020</v>
      </c>
      <c r="C4416" t="n">
        <v>17957</v>
      </c>
      <c r="D4416" t="inlineStr">
        <is>
          <t>Mumbai</t>
        </is>
      </c>
      <c r="E4416" t="inlineStr">
        <is>
          <t>West</t>
        </is>
      </c>
      <c r="F4416" t="inlineStr">
        <is>
          <t>Paid Social</t>
        </is>
      </c>
      <c r="G4416" t="inlineStr">
        <is>
          <t>Mobile App</t>
        </is>
      </c>
      <c r="H4416" t="inlineStr">
        <is>
          <t>Cash on Delivery</t>
        </is>
      </c>
      <c r="I4416" t="inlineStr">
        <is>
          <t>Shipped</t>
        </is>
      </c>
      <c r="J4416" t="n">
        <v>125</v>
      </c>
      <c r="K4416" t="n">
        <v>1</v>
      </c>
      <c r="L4416" s="7" t="n">
        <v>1364</v>
      </c>
      <c r="M4416" s="7" t="n">
        <v>0</v>
      </c>
    </row>
    <row r="4417">
      <c r="A4417" t="n">
        <v>511810</v>
      </c>
      <c r="B4417" s="6" t="n">
        <v>46020</v>
      </c>
      <c r="C4417" t="n">
        <v>11994</v>
      </c>
      <c r="D4417" t="inlineStr">
        <is>
          <t>Delhi</t>
        </is>
      </c>
      <c r="E4417" t="inlineStr">
        <is>
          <t>North</t>
        </is>
      </c>
      <c r="F4417" t="inlineStr">
        <is>
          <t>Email</t>
        </is>
      </c>
      <c r="G4417" t="inlineStr">
        <is>
          <t>Desktop</t>
        </is>
      </c>
      <c r="H4417" t="inlineStr">
        <is>
          <t>Cash on Delivery</t>
        </is>
      </c>
      <c r="I4417" t="inlineStr">
        <is>
          <t>Shipped</t>
        </is>
      </c>
      <c r="J4417" t="n">
        <v>135</v>
      </c>
      <c r="K4417" t="n">
        <v>1</v>
      </c>
      <c r="L4417" s="7" t="n">
        <v>1574</v>
      </c>
      <c r="M4417" s="7" t="n">
        <v>0</v>
      </c>
    </row>
    <row r="4418">
      <c r="A4418" t="n">
        <v>511811</v>
      </c>
      <c r="B4418" s="6" t="n">
        <v>46020</v>
      </c>
      <c r="C4418" t="n">
        <v>17502</v>
      </c>
      <c r="D4418" t="inlineStr">
        <is>
          <t>Jaipur</t>
        </is>
      </c>
      <c r="E4418" t="inlineStr">
        <is>
          <t>North</t>
        </is>
      </c>
      <c r="F4418" t="inlineStr">
        <is>
          <t>Paid Search</t>
        </is>
      </c>
      <c r="G4418" t="inlineStr">
        <is>
          <t>Mobile Web</t>
        </is>
      </c>
      <c r="H4418" t="inlineStr">
        <is>
          <t>Cash on Delivery</t>
        </is>
      </c>
      <c r="I4418" t="inlineStr">
        <is>
          <t>Shipped</t>
        </is>
      </c>
      <c r="J4418" t="n">
        <v>111</v>
      </c>
      <c r="K4418" t="n">
        <v>1</v>
      </c>
      <c r="L4418" s="7" t="n">
        <v>524</v>
      </c>
      <c r="M4418" s="7" t="n">
        <v>0</v>
      </c>
    </row>
    <row r="4419">
      <c r="A4419" t="n">
        <v>511812</v>
      </c>
      <c r="B4419" s="6" t="n">
        <v>46020</v>
      </c>
      <c r="C4419" t="n">
        <v>17921</v>
      </c>
      <c r="D4419" t="inlineStr">
        <is>
          <t>Pune</t>
        </is>
      </c>
      <c r="E4419" t="inlineStr">
        <is>
          <t>West</t>
        </is>
      </c>
      <c r="F4419" t="inlineStr">
        <is>
          <t>Paid Search</t>
        </is>
      </c>
      <c r="G4419" t="inlineStr">
        <is>
          <t>Desktop</t>
        </is>
      </c>
      <c r="H4419" t="inlineStr">
        <is>
          <t>UPI</t>
        </is>
      </c>
      <c r="I4419" t="inlineStr">
        <is>
          <t>Shipped</t>
        </is>
      </c>
      <c r="J4419" t="n">
        <v>111</v>
      </c>
      <c r="K4419" t="n">
        <v>1</v>
      </c>
      <c r="L4419" s="7" t="n">
        <v>524</v>
      </c>
      <c r="M4419" s="7" t="n">
        <v>78.59999999999999</v>
      </c>
    </row>
    <row r="4420">
      <c r="A4420" t="n">
        <v>511812</v>
      </c>
      <c r="B4420" s="6" t="n">
        <v>46020</v>
      </c>
      <c r="C4420" t="n">
        <v>17921</v>
      </c>
      <c r="D4420" t="inlineStr">
        <is>
          <t>Pune</t>
        </is>
      </c>
      <c r="E4420" t="inlineStr">
        <is>
          <t>West</t>
        </is>
      </c>
      <c r="F4420" t="inlineStr">
        <is>
          <t>Paid Search</t>
        </is>
      </c>
      <c r="G4420" t="inlineStr">
        <is>
          <t>Desktop</t>
        </is>
      </c>
      <c r="H4420" t="inlineStr">
        <is>
          <t>UPI</t>
        </is>
      </c>
      <c r="I4420" t="inlineStr">
        <is>
          <t>Shipped</t>
        </is>
      </c>
      <c r="J4420" t="n">
        <v>101</v>
      </c>
      <c r="K4420" t="n">
        <v>1</v>
      </c>
      <c r="L4420" s="7" t="n">
        <v>2099</v>
      </c>
      <c r="M4420" s="7" t="n">
        <v>314.85</v>
      </c>
    </row>
    <row r="4421">
      <c r="A4421" t="n">
        <v>511813</v>
      </c>
      <c r="B4421" s="6" t="n">
        <v>46020</v>
      </c>
      <c r="C4421" t="n">
        <v>16479</v>
      </c>
      <c r="D4421" t="inlineStr">
        <is>
          <t>Kolkata</t>
        </is>
      </c>
      <c r="E4421" t="inlineStr">
        <is>
          <t>East</t>
        </is>
      </c>
      <c r="F4421" t="inlineStr">
        <is>
          <t>Paid Search</t>
        </is>
      </c>
      <c r="G4421" t="inlineStr">
        <is>
          <t>Mobile Web</t>
        </is>
      </c>
      <c r="H4421" t="inlineStr">
        <is>
          <t>Cash on Delivery</t>
        </is>
      </c>
      <c r="I4421" t="inlineStr">
        <is>
          <t>Cancelled</t>
        </is>
      </c>
      <c r="J4421" t="n">
        <v>128</v>
      </c>
      <c r="K4421" t="n">
        <v>2</v>
      </c>
      <c r="L4421" s="7" t="n">
        <v>1049</v>
      </c>
      <c r="M4421" s="7" t="n">
        <v>0</v>
      </c>
    </row>
    <row r="4422">
      <c r="A4422" t="n">
        <v>511814</v>
      </c>
      <c r="B4422" s="6" t="n">
        <v>46020</v>
      </c>
      <c r="C4422" t="n">
        <v>16208</v>
      </c>
      <c r="D4422" t="inlineStr">
        <is>
          <t>Bengaluru</t>
        </is>
      </c>
      <c r="E4422" t="inlineStr">
        <is>
          <t>South</t>
        </is>
      </c>
      <c r="F4422" t="inlineStr">
        <is>
          <t>Organic Search</t>
        </is>
      </c>
      <c r="G4422" t="inlineStr">
        <is>
          <t>Desktop</t>
        </is>
      </c>
      <c r="H4422" t="inlineStr">
        <is>
          <t>Cash on Delivery</t>
        </is>
      </c>
      <c r="I4422" t="inlineStr">
        <is>
          <t>Shipped</t>
        </is>
      </c>
      <c r="J4422" t="n">
        <v>111</v>
      </c>
      <c r="K4422" t="n">
        <v>1</v>
      </c>
      <c r="L4422" s="7" t="n">
        <v>524</v>
      </c>
      <c r="M4422" s="7" t="n">
        <v>0</v>
      </c>
    </row>
    <row r="4423">
      <c r="A4423" t="n">
        <v>511814</v>
      </c>
      <c r="B4423" s="6" t="n">
        <v>46020</v>
      </c>
      <c r="C4423" t="n">
        <v>16208</v>
      </c>
      <c r="D4423" t="inlineStr">
        <is>
          <t>Bengaluru</t>
        </is>
      </c>
      <c r="E4423" t="inlineStr">
        <is>
          <t>South</t>
        </is>
      </c>
      <c r="F4423" t="inlineStr">
        <is>
          <t>Organic Search</t>
        </is>
      </c>
      <c r="G4423" t="inlineStr">
        <is>
          <t>Desktop</t>
        </is>
      </c>
      <c r="H4423" t="inlineStr">
        <is>
          <t>Cash on Delivery</t>
        </is>
      </c>
      <c r="I4423" t="inlineStr">
        <is>
          <t>Shipped</t>
        </is>
      </c>
      <c r="J4423" t="n">
        <v>118</v>
      </c>
      <c r="K4423" t="n">
        <v>1</v>
      </c>
      <c r="L4423" s="7" t="n">
        <v>944</v>
      </c>
      <c r="M4423" s="7" t="n">
        <v>0</v>
      </c>
    </row>
    <row r="4424">
      <c r="A4424" t="n">
        <v>511815</v>
      </c>
      <c r="B4424" s="6" t="n">
        <v>46020</v>
      </c>
      <c r="C4424" t="n">
        <v>17879</v>
      </c>
      <c r="D4424" t="inlineStr">
        <is>
          <t>Jaipur</t>
        </is>
      </c>
      <c r="E4424" t="inlineStr">
        <is>
          <t>North</t>
        </is>
      </c>
      <c r="F4424" t="inlineStr">
        <is>
          <t>Referral</t>
        </is>
      </c>
      <c r="G4424" t="inlineStr">
        <is>
          <t>Desktop</t>
        </is>
      </c>
      <c r="H4424" t="inlineStr">
        <is>
          <t>UPI</t>
        </is>
      </c>
      <c r="I4424" t="inlineStr">
        <is>
          <t>Shipped</t>
        </is>
      </c>
      <c r="J4424" t="n">
        <v>132</v>
      </c>
      <c r="K4424" t="n">
        <v>1</v>
      </c>
      <c r="L4424" s="7" t="n">
        <v>471</v>
      </c>
      <c r="M4424" s="7" t="n">
        <v>0</v>
      </c>
    </row>
    <row r="4425">
      <c r="A4425" t="n">
        <v>511816</v>
      </c>
      <c r="B4425" s="6" t="n">
        <v>46020</v>
      </c>
      <c r="C4425" t="n">
        <v>14116</v>
      </c>
      <c r="D4425" t="inlineStr">
        <is>
          <t>Bengaluru</t>
        </is>
      </c>
      <c r="E4425" t="inlineStr">
        <is>
          <t>South</t>
        </is>
      </c>
      <c r="F4425" t="inlineStr">
        <is>
          <t>Organic Search</t>
        </is>
      </c>
      <c r="G4425" t="inlineStr">
        <is>
          <t>Mobile App</t>
        </is>
      </c>
      <c r="H4425" t="inlineStr">
        <is>
          <t>Net Banking</t>
        </is>
      </c>
      <c r="I4425" t="inlineStr">
        <is>
          <t>Shipped</t>
        </is>
      </c>
      <c r="J4425" t="n">
        <v>108</v>
      </c>
      <c r="K4425" t="n">
        <v>1</v>
      </c>
      <c r="L4425" s="7" t="n">
        <v>419</v>
      </c>
      <c r="M4425" s="7" t="n">
        <v>0</v>
      </c>
    </row>
    <row r="4426">
      <c r="A4426" t="n">
        <v>511817</v>
      </c>
      <c r="B4426" s="6" t="n">
        <v>46020</v>
      </c>
      <c r="C4426" t="n">
        <v>17714</v>
      </c>
      <c r="D4426" t="inlineStr">
        <is>
          <t>Kochi</t>
        </is>
      </c>
      <c r="E4426" t="inlineStr">
        <is>
          <t>South</t>
        </is>
      </c>
      <c r="F4426" t="inlineStr">
        <is>
          <t>Organic Search</t>
        </is>
      </c>
      <c r="G4426" t="inlineStr">
        <is>
          <t>Mobile Web</t>
        </is>
      </c>
      <c r="H4426" t="inlineStr">
        <is>
          <t>UPI</t>
        </is>
      </c>
      <c r="I4426" t="inlineStr">
        <is>
          <t>Shipped</t>
        </is>
      </c>
      <c r="J4426" t="n">
        <v>117</v>
      </c>
      <c r="K4426" t="n">
        <v>1</v>
      </c>
      <c r="L4426" s="7" t="n">
        <v>3149</v>
      </c>
      <c r="M4426" s="7" t="n">
        <v>157.45</v>
      </c>
    </row>
    <row r="4427">
      <c r="A4427" t="n">
        <v>511818</v>
      </c>
      <c r="B4427" s="6" t="n">
        <v>46020</v>
      </c>
      <c r="C4427" t="n">
        <v>14514</v>
      </c>
      <c r="D4427" t="inlineStr">
        <is>
          <t>Noida</t>
        </is>
      </c>
      <c r="E4427" t="inlineStr">
        <is>
          <t>North</t>
        </is>
      </c>
      <c r="F4427" t="inlineStr">
        <is>
          <t>Referral</t>
        </is>
      </c>
      <c r="G4427" t="inlineStr">
        <is>
          <t>Desktop</t>
        </is>
      </c>
      <c r="H4427" t="inlineStr">
        <is>
          <t>Debit Card</t>
        </is>
      </c>
      <c r="I4427" t="inlineStr">
        <is>
          <t>Shipped</t>
        </is>
      </c>
      <c r="J4427" t="n">
        <v>111</v>
      </c>
      <c r="K4427" t="n">
        <v>1</v>
      </c>
      <c r="L4427" s="7" t="n">
        <v>524</v>
      </c>
      <c r="M4427" s="7" t="n">
        <v>0</v>
      </c>
    </row>
    <row r="4428">
      <c r="A4428" t="n">
        <v>511818</v>
      </c>
      <c r="B4428" s="6" t="n">
        <v>46020</v>
      </c>
      <c r="C4428" t="n">
        <v>14514</v>
      </c>
      <c r="D4428" t="inlineStr">
        <is>
          <t>Noida</t>
        </is>
      </c>
      <c r="E4428" t="inlineStr">
        <is>
          <t>North</t>
        </is>
      </c>
      <c r="F4428" t="inlineStr">
        <is>
          <t>Referral</t>
        </is>
      </c>
      <c r="G4428" t="inlineStr">
        <is>
          <t>Desktop</t>
        </is>
      </c>
      <c r="H4428" t="inlineStr">
        <is>
          <t>Debit Card</t>
        </is>
      </c>
      <c r="I4428" t="inlineStr">
        <is>
          <t>Shipped</t>
        </is>
      </c>
      <c r="J4428" t="n">
        <v>134</v>
      </c>
      <c r="K4428" t="n">
        <v>1</v>
      </c>
      <c r="L4428" s="7" t="n">
        <v>209</v>
      </c>
      <c r="M4428" s="7" t="n">
        <v>0</v>
      </c>
    </row>
    <row r="4429">
      <c r="A4429" t="n">
        <v>511818</v>
      </c>
      <c r="B4429" s="6" t="n">
        <v>46020</v>
      </c>
      <c r="C4429" t="n">
        <v>14514</v>
      </c>
      <c r="D4429" t="inlineStr">
        <is>
          <t>Noida</t>
        </is>
      </c>
      <c r="E4429" t="inlineStr">
        <is>
          <t>North</t>
        </is>
      </c>
      <c r="F4429" t="inlineStr">
        <is>
          <t>Referral</t>
        </is>
      </c>
      <c r="G4429" t="inlineStr">
        <is>
          <t>Desktop</t>
        </is>
      </c>
      <c r="H4429" t="inlineStr">
        <is>
          <t>Debit Card</t>
        </is>
      </c>
      <c r="I4429" t="inlineStr">
        <is>
          <t>Shipped</t>
        </is>
      </c>
      <c r="J4429" t="n">
        <v>120</v>
      </c>
      <c r="K4429" t="n">
        <v>1</v>
      </c>
      <c r="L4429" s="7" t="n">
        <v>734</v>
      </c>
      <c r="M4429" s="7" t="n">
        <v>0</v>
      </c>
    </row>
    <row r="4430">
      <c r="A4430" t="n">
        <v>511818</v>
      </c>
      <c r="B4430" s="6" t="n">
        <v>46020</v>
      </c>
      <c r="C4430" t="n">
        <v>14514</v>
      </c>
      <c r="D4430" t="inlineStr">
        <is>
          <t>Noida</t>
        </is>
      </c>
      <c r="E4430" t="inlineStr">
        <is>
          <t>North</t>
        </is>
      </c>
      <c r="F4430" t="inlineStr">
        <is>
          <t>Referral</t>
        </is>
      </c>
      <c r="G4430" t="inlineStr">
        <is>
          <t>Desktop</t>
        </is>
      </c>
      <c r="H4430" t="inlineStr">
        <is>
          <t>Debit Card</t>
        </is>
      </c>
      <c r="I4430" t="inlineStr">
        <is>
          <t>Shipped</t>
        </is>
      </c>
      <c r="J4430" t="n">
        <v>105</v>
      </c>
      <c r="K4430" t="n">
        <v>1</v>
      </c>
      <c r="L4430" s="7" t="n">
        <v>2414</v>
      </c>
      <c r="M4430" s="7" t="n">
        <v>0</v>
      </c>
    </row>
    <row r="4431">
      <c r="A4431" t="n">
        <v>511819</v>
      </c>
      <c r="B4431" s="6" t="n">
        <v>46020</v>
      </c>
      <c r="C4431" t="n">
        <v>17199</v>
      </c>
      <c r="D4431" t="inlineStr">
        <is>
          <t>Delhi</t>
        </is>
      </c>
      <c r="E4431" t="inlineStr">
        <is>
          <t>North</t>
        </is>
      </c>
      <c r="F4431" t="inlineStr">
        <is>
          <t>Organic Search</t>
        </is>
      </c>
      <c r="G4431" t="inlineStr">
        <is>
          <t>Mobile Web</t>
        </is>
      </c>
      <c r="H4431" t="inlineStr">
        <is>
          <t>Credit Card</t>
        </is>
      </c>
      <c r="I4431" t="inlineStr">
        <is>
          <t>Shipped</t>
        </is>
      </c>
      <c r="J4431" t="n">
        <v>127</v>
      </c>
      <c r="K4431" t="n">
        <v>1</v>
      </c>
      <c r="L4431" s="7" t="n">
        <v>681</v>
      </c>
      <c r="M4431" s="7" t="n">
        <v>0</v>
      </c>
    </row>
    <row r="4432">
      <c r="A4432" t="n">
        <v>511820</v>
      </c>
      <c r="B4432" s="6" t="n">
        <v>46020</v>
      </c>
      <c r="C4432" t="n">
        <v>17900</v>
      </c>
      <c r="D4432" t="inlineStr">
        <is>
          <t>Chennai</t>
        </is>
      </c>
      <c r="E4432" t="inlineStr">
        <is>
          <t>South</t>
        </is>
      </c>
      <c r="F4432" t="inlineStr">
        <is>
          <t>Organic Search</t>
        </is>
      </c>
      <c r="G4432" t="inlineStr">
        <is>
          <t>Mobile App</t>
        </is>
      </c>
      <c r="H4432" t="inlineStr">
        <is>
          <t>Cash on Delivery</t>
        </is>
      </c>
      <c r="I4432" t="inlineStr">
        <is>
          <t>Shipped</t>
        </is>
      </c>
      <c r="J4432" t="n">
        <v>124</v>
      </c>
      <c r="K4432" t="n">
        <v>1</v>
      </c>
      <c r="L4432" s="7" t="n">
        <v>1154</v>
      </c>
      <c r="M4432" s="7" t="n">
        <v>173.1</v>
      </c>
    </row>
    <row r="4433">
      <c r="A4433" t="n">
        <v>511821</v>
      </c>
      <c r="B4433" s="6" t="n">
        <v>46020</v>
      </c>
      <c r="C4433" t="n">
        <v>17937</v>
      </c>
      <c r="D4433" t="inlineStr">
        <is>
          <t>Jaipur</t>
        </is>
      </c>
      <c r="E4433" t="inlineStr">
        <is>
          <t>North</t>
        </is>
      </c>
      <c r="F4433" t="inlineStr">
        <is>
          <t>Email</t>
        </is>
      </c>
      <c r="G4433" t="inlineStr">
        <is>
          <t>Mobile App</t>
        </is>
      </c>
      <c r="H4433" t="inlineStr">
        <is>
          <t>Cash on Delivery</t>
        </is>
      </c>
      <c r="I4433" t="inlineStr">
        <is>
          <t>Shipped</t>
        </is>
      </c>
      <c r="J4433" t="n">
        <v>132</v>
      </c>
      <c r="K4433" t="n">
        <v>1</v>
      </c>
      <c r="L4433" s="7" t="n">
        <v>471</v>
      </c>
      <c r="M4433" s="7" t="n">
        <v>70.65000000000001</v>
      </c>
    </row>
    <row r="4434">
      <c r="A4434" t="n">
        <v>511822</v>
      </c>
      <c r="B4434" s="6" t="n">
        <v>46020</v>
      </c>
      <c r="C4434" t="n">
        <v>17923</v>
      </c>
      <c r="D4434" t="inlineStr">
        <is>
          <t>Delhi</t>
        </is>
      </c>
      <c r="E4434" t="inlineStr">
        <is>
          <t>North</t>
        </is>
      </c>
      <c r="F4434" t="inlineStr">
        <is>
          <t>Paid Social</t>
        </is>
      </c>
      <c r="G4434" t="inlineStr">
        <is>
          <t>Mobile App</t>
        </is>
      </c>
      <c r="H4434" t="inlineStr">
        <is>
          <t>Cash on Delivery</t>
        </is>
      </c>
      <c r="I4434" t="inlineStr">
        <is>
          <t>Shipped</t>
        </is>
      </c>
      <c r="J4434" t="n">
        <v>109</v>
      </c>
      <c r="K4434" t="n">
        <v>1</v>
      </c>
      <c r="L4434" s="7" t="n">
        <v>4199</v>
      </c>
      <c r="M4434" s="7" t="n">
        <v>629.85</v>
      </c>
    </row>
    <row r="4435">
      <c r="A4435" t="n">
        <v>511823</v>
      </c>
      <c r="B4435" s="6" t="n">
        <v>46020</v>
      </c>
      <c r="C4435" t="n">
        <v>17689</v>
      </c>
      <c r="D4435" t="inlineStr">
        <is>
          <t>Pune</t>
        </is>
      </c>
      <c r="E4435" t="inlineStr">
        <is>
          <t>West</t>
        </is>
      </c>
      <c r="F4435" t="inlineStr">
        <is>
          <t>Organic Search</t>
        </is>
      </c>
      <c r="G4435" t="inlineStr">
        <is>
          <t>Desktop</t>
        </is>
      </c>
      <c r="H4435" t="inlineStr">
        <is>
          <t>UPI</t>
        </is>
      </c>
      <c r="I4435" t="inlineStr">
        <is>
          <t>Shipped</t>
        </is>
      </c>
      <c r="J4435" t="n">
        <v>143</v>
      </c>
      <c r="K4435" t="n">
        <v>1</v>
      </c>
      <c r="L4435" s="7" t="n">
        <v>839</v>
      </c>
      <c r="M4435" s="7" t="n">
        <v>0</v>
      </c>
    </row>
    <row r="4436">
      <c r="A4436" t="n">
        <v>511824</v>
      </c>
      <c r="B4436" s="6" t="n">
        <v>46020</v>
      </c>
      <c r="C4436" t="n">
        <v>17948</v>
      </c>
      <c r="D4436" t="inlineStr">
        <is>
          <t>Mumbai</t>
        </is>
      </c>
      <c r="E4436" t="inlineStr">
        <is>
          <t>West</t>
        </is>
      </c>
      <c r="F4436" t="inlineStr">
        <is>
          <t>Referral</t>
        </is>
      </c>
      <c r="G4436" t="inlineStr">
        <is>
          <t>Desktop</t>
        </is>
      </c>
      <c r="H4436" t="inlineStr">
        <is>
          <t>UPI</t>
        </is>
      </c>
      <c r="I4436" t="inlineStr">
        <is>
          <t>Shipped</t>
        </is>
      </c>
      <c r="J4436" t="n">
        <v>117</v>
      </c>
      <c r="K4436" t="n">
        <v>1</v>
      </c>
      <c r="L4436" s="7" t="n">
        <v>3149</v>
      </c>
      <c r="M4436" s="7" t="n">
        <v>472.35</v>
      </c>
    </row>
    <row r="4437">
      <c r="A4437" t="n">
        <v>511825</v>
      </c>
      <c r="B4437" s="6" t="n">
        <v>46020</v>
      </c>
      <c r="C4437" t="n">
        <v>17962</v>
      </c>
      <c r="D4437" t="inlineStr">
        <is>
          <t>Kolkata</t>
        </is>
      </c>
      <c r="E4437" t="inlineStr">
        <is>
          <t>East</t>
        </is>
      </c>
      <c r="F4437" t="inlineStr">
        <is>
          <t>Paid Search</t>
        </is>
      </c>
      <c r="G4437" t="inlineStr">
        <is>
          <t>Mobile App</t>
        </is>
      </c>
      <c r="H4437" t="inlineStr">
        <is>
          <t>Debit Card</t>
        </is>
      </c>
      <c r="I4437" t="inlineStr">
        <is>
          <t>Shipped</t>
        </is>
      </c>
      <c r="J4437" t="n">
        <v>104</v>
      </c>
      <c r="K4437" t="n">
        <v>1</v>
      </c>
      <c r="L4437" s="7" t="n">
        <v>5249</v>
      </c>
      <c r="M4437" s="7" t="n">
        <v>787.35</v>
      </c>
    </row>
    <row r="4438">
      <c r="A4438" t="n">
        <v>511826</v>
      </c>
      <c r="B4438" s="6" t="n">
        <v>46020</v>
      </c>
      <c r="C4438" t="n">
        <v>15303</v>
      </c>
      <c r="D4438" t="inlineStr">
        <is>
          <t>Chandigarh</t>
        </is>
      </c>
      <c r="E4438" t="inlineStr">
        <is>
          <t>North</t>
        </is>
      </c>
      <c r="F4438" t="inlineStr">
        <is>
          <t>Paid Search</t>
        </is>
      </c>
      <c r="G4438" t="inlineStr">
        <is>
          <t>Mobile Web</t>
        </is>
      </c>
      <c r="H4438" t="inlineStr">
        <is>
          <t>UPI</t>
        </is>
      </c>
      <c r="I4438" t="inlineStr">
        <is>
          <t>Shipped</t>
        </is>
      </c>
      <c r="J4438" t="n">
        <v>115</v>
      </c>
      <c r="K4438" t="n">
        <v>1</v>
      </c>
      <c r="L4438" s="7" t="n">
        <v>4199</v>
      </c>
      <c r="M4438" s="7" t="n">
        <v>0</v>
      </c>
    </row>
    <row r="4439">
      <c r="A4439" t="n">
        <v>511827</v>
      </c>
      <c r="B4439" s="6" t="n">
        <v>46020</v>
      </c>
      <c r="C4439" t="n">
        <v>13358</v>
      </c>
      <c r="D4439" t="inlineStr">
        <is>
          <t>Bengaluru</t>
        </is>
      </c>
      <c r="E4439" t="inlineStr">
        <is>
          <t>South</t>
        </is>
      </c>
      <c r="F4439" t="inlineStr">
        <is>
          <t>Organic Search</t>
        </is>
      </c>
      <c r="G4439" t="inlineStr">
        <is>
          <t>Mobile Web</t>
        </is>
      </c>
      <c r="H4439" t="inlineStr">
        <is>
          <t>Cash on Delivery</t>
        </is>
      </c>
      <c r="I4439" t="inlineStr">
        <is>
          <t>Shipped</t>
        </is>
      </c>
      <c r="J4439" t="n">
        <v>108</v>
      </c>
      <c r="K4439" t="n">
        <v>1</v>
      </c>
      <c r="L4439" s="7" t="n">
        <v>419</v>
      </c>
      <c r="M4439" s="7" t="n">
        <v>0</v>
      </c>
    </row>
    <row r="4440">
      <c r="A4440" t="n">
        <v>511828</v>
      </c>
      <c r="B4440" s="6" t="n">
        <v>46020</v>
      </c>
      <c r="C4440" t="n">
        <v>17795</v>
      </c>
      <c r="D4440" t="inlineStr">
        <is>
          <t>Pune</t>
        </is>
      </c>
      <c r="E4440" t="inlineStr">
        <is>
          <t>West</t>
        </is>
      </c>
      <c r="F4440" t="inlineStr">
        <is>
          <t>Referral</t>
        </is>
      </c>
      <c r="G4440" t="inlineStr">
        <is>
          <t>Mobile App</t>
        </is>
      </c>
      <c r="H4440" t="inlineStr">
        <is>
          <t>Credit Card</t>
        </is>
      </c>
      <c r="I4440" t="inlineStr">
        <is>
          <t>Shipped</t>
        </is>
      </c>
      <c r="J4440" t="n">
        <v>148</v>
      </c>
      <c r="K4440" t="n">
        <v>1</v>
      </c>
      <c r="L4440" s="7" t="n">
        <v>734</v>
      </c>
      <c r="M4440" s="7" t="n">
        <v>110.1</v>
      </c>
    </row>
    <row r="4441">
      <c r="A4441" t="n">
        <v>511828</v>
      </c>
      <c r="B4441" s="6" t="n">
        <v>46020</v>
      </c>
      <c r="C4441" t="n">
        <v>17795</v>
      </c>
      <c r="D4441" t="inlineStr">
        <is>
          <t>Pune</t>
        </is>
      </c>
      <c r="E4441" t="inlineStr">
        <is>
          <t>West</t>
        </is>
      </c>
      <c r="F4441" t="inlineStr">
        <is>
          <t>Referral</t>
        </is>
      </c>
      <c r="G4441" t="inlineStr">
        <is>
          <t>Mobile App</t>
        </is>
      </c>
      <c r="H4441" t="inlineStr">
        <is>
          <t>Credit Card</t>
        </is>
      </c>
      <c r="I4441" t="inlineStr">
        <is>
          <t>Shipped</t>
        </is>
      </c>
      <c r="J4441" t="n">
        <v>102</v>
      </c>
      <c r="K4441" t="n">
        <v>1</v>
      </c>
      <c r="L4441" s="7" t="n">
        <v>3674</v>
      </c>
      <c r="M4441" s="7" t="n">
        <v>551.1</v>
      </c>
    </row>
    <row r="4442">
      <c r="A4442" t="n">
        <v>511829</v>
      </c>
      <c r="B4442" s="6" t="n">
        <v>46020</v>
      </c>
      <c r="C4442" t="n">
        <v>17955</v>
      </c>
      <c r="D4442" t="inlineStr">
        <is>
          <t>Mumbai</t>
        </is>
      </c>
      <c r="E4442" t="inlineStr">
        <is>
          <t>West</t>
        </is>
      </c>
      <c r="F4442" t="inlineStr">
        <is>
          <t>Organic Search</t>
        </is>
      </c>
      <c r="G4442" t="inlineStr">
        <is>
          <t>Mobile Web</t>
        </is>
      </c>
      <c r="H4442" t="inlineStr">
        <is>
          <t>UPI</t>
        </is>
      </c>
      <c r="I4442" t="inlineStr">
        <is>
          <t>Shipped</t>
        </is>
      </c>
      <c r="J4442" t="n">
        <v>141</v>
      </c>
      <c r="K4442" t="n">
        <v>1</v>
      </c>
      <c r="L4442" s="7" t="n">
        <v>261</v>
      </c>
      <c r="M4442" s="7" t="n">
        <v>0</v>
      </c>
    </row>
    <row r="4443">
      <c r="A4443" t="n">
        <v>511830</v>
      </c>
      <c r="B4443" s="6" t="n">
        <v>46020</v>
      </c>
      <c r="C4443" t="n">
        <v>14340</v>
      </c>
      <c r="D4443" t="inlineStr">
        <is>
          <t>Delhi</t>
        </is>
      </c>
      <c r="E4443" t="inlineStr">
        <is>
          <t>North</t>
        </is>
      </c>
      <c r="F4443" t="inlineStr">
        <is>
          <t>Organic Search</t>
        </is>
      </c>
      <c r="G4443" t="inlineStr">
        <is>
          <t>Mobile App</t>
        </is>
      </c>
      <c r="H4443" t="inlineStr">
        <is>
          <t>Debit Card</t>
        </is>
      </c>
      <c r="I4443" t="inlineStr">
        <is>
          <t>Shipped</t>
        </is>
      </c>
      <c r="J4443" t="n">
        <v>121</v>
      </c>
      <c r="K4443" t="n">
        <v>1</v>
      </c>
      <c r="L4443" s="7" t="n">
        <v>2939</v>
      </c>
      <c r="M4443" s="7" t="n">
        <v>0</v>
      </c>
    </row>
    <row r="4444">
      <c r="A4444" t="n">
        <v>511830</v>
      </c>
      <c r="B4444" s="6" t="n">
        <v>46020</v>
      </c>
      <c r="C4444" t="n">
        <v>14340</v>
      </c>
      <c r="D4444" t="inlineStr">
        <is>
          <t>Delhi</t>
        </is>
      </c>
      <c r="E4444" t="inlineStr">
        <is>
          <t>North</t>
        </is>
      </c>
      <c r="F4444" t="inlineStr">
        <is>
          <t>Organic Search</t>
        </is>
      </c>
      <c r="G4444" t="inlineStr">
        <is>
          <t>Mobile App</t>
        </is>
      </c>
      <c r="H4444" t="inlineStr">
        <is>
          <t>Debit Card</t>
        </is>
      </c>
      <c r="I4444" t="inlineStr">
        <is>
          <t>Shipped</t>
        </is>
      </c>
      <c r="J4444" t="n">
        <v>106</v>
      </c>
      <c r="K4444" t="n">
        <v>1</v>
      </c>
      <c r="L4444" s="7" t="n">
        <v>1574</v>
      </c>
      <c r="M4444" s="7" t="n">
        <v>0</v>
      </c>
    </row>
    <row r="4445">
      <c r="A4445" t="n">
        <v>511830</v>
      </c>
      <c r="B4445" s="6" t="n">
        <v>46020</v>
      </c>
      <c r="C4445" t="n">
        <v>14340</v>
      </c>
      <c r="D4445" t="inlineStr">
        <is>
          <t>Delhi</t>
        </is>
      </c>
      <c r="E4445" t="inlineStr">
        <is>
          <t>North</t>
        </is>
      </c>
      <c r="F4445" t="inlineStr">
        <is>
          <t>Organic Search</t>
        </is>
      </c>
      <c r="G4445" t="inlineStr">
        <is>
          <t>Mobile App</t>
        </is>
      </c>
      <c r="H4445" t="inlineStr">
        <is>
          <t>Debit Card</t>
        </is>
      </c>
      <c r="I4445" t="inlineStr">
        <is>
          <t>Shipped</t>
        </is>
      </c>
      <c r="J4445" t="n">
        <v>123</v>
      </c>
      <c r="K4445" t="n">
        <v>2</v>
      </c>
      <c r="L4445" s="7" t="n">
        <v>3464</v>
      </c>
      <c r="M4445" s="7" t="n">
        <v>0</v>
      </c>
    </row>
    <row r="4446">
      <c r="A4446" t="n">
        <v>511830</v>
      </c>
      <c r="B4446" s="6" t="n">
        <v>46020</v>
      </c>
      <c r="C4446" t="n">
        <v>14340</v>
      </c>
      <c r="D4446" t="inlineStr">
        <is>
          <t>Delhi</t>
        </is>
      </c>
      <c r="E4446" t="inlineStr">
        <is>
          <t>North</t>
        </is>
      </c>
      <c r="F4446" t="inlineStr">
        <is>
          <t>Organic Search</t>
        </is>
      </c>
      <c r="G4446" t="inlineStr">
        <is>
          <t>Mobile App</t>
        </is>
      </c>
      <c r="H4446" t="inlineStr">
        <is>
          <t>Debit Card</t>
        </is>
      </c>
      <c r="I4446" t="inlineStr">
        <is>
          <t>Shipped</t>
        </is>
      </c>
      <c r="J4446" t="n">
        <v>138</v>
      </c>
      <c r="K4446" t="n">
        <v>2</v>
      </c>
      <c r="L4446" s="7" t="n">
        <v>419</v>
      </c>
      <c r="M4446" s="7" t="n">
        <v>0</v>
      </c>
    </row>
    <row r="4447">
      <c r="A4447" t="n">
        <v>511831</v>
      </c>
      <c r="B4447" s="6" t="n">
        <v>46020</v>
      </c>
      <c r="C4447" t="n">
        <v>17460</v>
      </c>
      <c r="D4447" t="inlineStr">
        <is>
          <t>Pune</t>
        </is>
      </c>
      <c r="E4447" t="inlineStr">
        <is>
          <t>West</t>
        </is>
      </c>
      <c r="F4447" t="inlineStr">
        <is>
          <t>Affiliate</t>
        </is>
      </c>
      <c r="G4447" t="inlineStr">
        <is>
          <t>Desktop</t>
        </is>
      </c>
      <c r="H4447" t="inlineStr">
        <is>
          <t>Cash on Delivery</t>
        </is>
      </c>
      <c r="I4447" t="inlineStr">
        <is>
          <t>Shipped</t>
        </is>
      </c>
      <c r="J4447" t="n">
        <v>109</v>
      </c>
      <c r="K4447" t="n">
        <v>1</v>
      </c>
      <c r="L4447" s="7" t="n">
        <v>4199</v>
      </c>
      <c r="M4447" s="7" t="n">
        <v>0</v>
      </c>
    </row>
    <row r="4448">
      <c r="A4448" t="n">
        <v>511832</v>
      </c>
      <c r="B4448" s="6" t="n">
        <v>46020</v>
      </c>
      <c r="C4448" t="n">
        <v>17907</v>
      </c>
      <c r="D4448" t="inlineStr">
        <is>
          <t>Noida</t>
        </is>
      </c>
      <c r="E4448" t="inlineStr">
        <is>
          <t>North</t>
        </is>
      </c>
      <c r="F4448" t="inlineStr">
        <is>
          <t>Paid Social</t>
        </is>
      </c>
      <c r="G4448" t="inlineStr">
        <is>
          <t>Mobile App</t>
        </is>
      </c>
      <c r="H4448" t="inlineStr">
        <is>
          <t>Credit Card</t>
        </is>
      </c>
      <c r="I4448" t="inlineStr">
        <is>
          <t>Shipped</t>
        </is>
      </c>
      <c r="J4448" t="n">
        <v>112</v>
      </c>
      <c r="K4448" t="n">
        <v>1</v>
      </c>
      <c r="L4448" s="7" t="n">
        <v>1574</v>
      </c>
      <c r="M4448" s="7" t="n">
        <v>0</v>
      </c>
    </row>
    <row r="4449">
      <c r="A4449" t="n">
        <v>511833</v>
      </c>
      <c r="B4449" s="6" t="n">
        <v>46020</v>
      </c>
      <c r="C4449" t="n">
        <v>17928</v>
      </c>
      <c r="D4449" t="inlineStr">
        <is>
          <t>Pune</t>
        </is>
      </c>
      <c r="E4449" t="inlineStr">
        <is>
          <t>West</t>
        </is>
      </c>
      <c r="F4449" t="inlineStr">
        <is>
          <t>Organic Search</t>
        </is>
      </c>
      <c r="G4449" t="inlineStr">
        <is>
          <t>Mobile App</t>
        </is>
      </c>
      <c r="H4449" t="inlineStr">
        <is>
          <t>Debit Card</t>
        </is>
      </c>
      <c r="I4449" t="inlineStr">
        <is>
          <t>Shipped</t>
        </is>
      </c>
      <c r="J4449" t="n">
        <v>109</v>
      </c>
      <c r="K4449" t="n">
        <v>1</v>
      </c>
      <c r="L4449" s="7" t="n">
        <v>4199</v>
      </c>
      <c r="M4449" s="7" t="n">
        <v>629.85</v>
      </c>
    </row>
    <row r="4450">
      <c r="A4450" t="n">
        <v>511834</v>
      </c>
      <c r="B4450" s="6" t="n">
        <v>46020</v>
      </c>
      <c r="C4450" t="n">
        <v>16029</v>
      </c>
      <c r="D4450" t="inlineStr">
        <is>
          <t>Noida</t>
        </is>
      </c>
      <c r="E4450" t="inlineStr">
        <is>
          <t>North</t>
        </is>
      </c>
      <c r="F4450" t="inlineStr">
        <is>
          <t>Referral</t>
        </is>
      </c>
      <c r="G4450" t="inlineStr">
        <is>
          <t>Mobile App</t>
        </is>
      </c>
      <c r="H4450" t="inlineStr">
        <is>
          <t>UPI</t>
        </is>
      </c>
      <c r="I4450" t="inlineStr">
        <is>
          <t>Shipped</t>
        </is>
      </c>
      <c r="J4450" t="n">
        <v>119</v>
      </c>
      <c r="K4450" t="n">
        <v>1</v>
      </c>
      <c r="L4450" s="7" t="n">
        <v>2309</v>
      </c>
      <c r="M4450" s="7" t="n">
        <v>0</v>
      </c>
    </row>
    <row r="4451">
      <c r="A4451" t="n">
        <v>511834</v>
      </c>
      <c r="B4451" s="6" t="n">
        <v>46020</v>
      </c>
      <c r="C4451" t="n">
        <v>16029</v>
      </c>
      <c r="D4451" t="inlineStr">
        <is>
          <t>Noida</t>
        </is>
      </c>
      <c r="E4451" t="inlineStr">
        <is>
          <t>North</t>
        </is>
      </c>
      <c r="F4451" t="inlineStr">
        <is>
          <t>Referral</t>
        </is>
      </c>
      <c r="G4451" t="inlineStr">
        <is>
          <t>Mobile App</t>
        </is>
      </c>
      <c r="H4451" t="inlineStr">
        <is>
          <t>UPI</t>
        </is>
      </c>
      <c r="I4451" t="inlineStr">
        <is>
          <t>Shipped</t>
        </is>
      </c>
      <c r="J4451" t="n">
        <v>141</v>
      </c>
      <c r="K4451" t="n">
        <v>1</v>
      </c>
      <c r="L4451" s="7" t="n">
        <v>261</v>
      </c>
      <c r="M4451" s="7" t="n">
        <v>0</v>
      </c>
    </row>
    <row r="4452">
      <c r="A4452" t="n">
        <v>511834</v>
      </c>
      <c r="B4452" s="6" t="n">
        <v>46020</v>
      </c>
      <c r="C4452" t="n">
        <v>16029</v>
      </c>
      <c r="D4452" t="inlineStr">
        <is>
          <t>Noida</t>
        </is>
      </c>
      <c r="E4452" t="inlineStr">
        <is>
          <t>North</t>
        </is>
      </c>
      <c r="F4452" t="inlineStr">
        <is>
          <t>Referral</t>
        </is>
      </c>
      <c r="G4452" t="inlineStr">
        <is>
          <t>Mobile App</t>
        </is>
      </c>
      <c r="H4452" t="inlineStr">
        <is>
          <t>UPI</t>
        </is>
      </c>
      <c r="I4452" t="inlineStr">
        <is>
          <t>Shipped</t>
        </is>
      </c>
      <c r="J4452" t="n">
        <v>133</v>
      </c>
      <c r="K4452" t="n">
        <v>1</v>
      </c>
      <c r="L4452" s="7" t="n">
        <v>419</v>
      </c>
      <c r="M4452" s="7" t="n">
        <v>0</v>
      </c>
    </row>
    <row r="4453">
      <c r="A4453" t="n">
        <v>511834</v>
      </c>
      <c r="B4453" s="6" t="n">
        <v>46020</v>
      </c>
      <c r="C4453" t="n">
        <v>16029</v>
      </c>
      <c r="D4453" t="inlineStr">
        <is>
          <t>Noida</t>
        </is>
      </c>
      <c r="E4453" t="inlineStr">
        <is>
          <t>North</t>
        </is>
      </c>
      <c r="F4453" t="inlineStr">
        <is>
          <t>Referral</t>
        </is>
      </c>
      <c r="G4453" t="inlineStr">
        <is>
          <t>Mobile App</t>
        </is>
      </c>
      <c r="H4453" t="inlineStr">
        <is>
          <t>UPI</t>
        </is>
      </c>
      <c r="I4453" t="inlineStr">
        <is>
          <t>Shipped</t>
        </is>
      </c>
      <c r="J4453" t="n">
        <v>128</v>
      </c>
      <c r="K4453" t="n">
        <v>1</v>
      </c>
      <c r="L4453" s="7" t="n">
        <v>1049</v>
      </c>
      <c r="M4453" s="7" t="n">
        <v>0</v>
      </c>
    </row>
    <row r="4454">
      <c r="A4454" t="n">
        <v>511835</v>
      </c>
      <c r="B4454" s="6" t="n">
        <v>46020</v>
      </c>
      <c r="C4454" t="n">
        <v>17934</v>
      </c>
      <c r="D4454" t="inlineStr">
        <is>
          <t>Hyderabad</t>
        </is>
      </c>
      <c r="E4454" t="inlineStr">
        <is>
          <t>South</t>
        </is>
      </c>
      <c r="F4454" t="inlineStr">
        <is>
          <t>Paid Social</t>
        </is>
      </c>
      <c r="G4454" t="inlineStr">
        <is>
          <t>Desktop</t>
        </is>
      </c>
      <c r="H4454" t="inlineStr">
        <is>
          <t>Credit Card</t>
        </is>
      </c>
      <c r="I4454" t="inlineStr">
        <is>
          <t>Shipped</t>
        </is>
      </c>
      <c r="J4454" t="n">
        <v>147</v>
      </c>
      <c r="K4454" t="n">
        <v>1</v>
      </c>
      <c r="L4454" s="7" t="n">
        <v>1364</v>
      </c>
      <c r="M4454" s="7" t="n">
        <v>204.6</v>
      </c>
    </row>
    <row r="4455">
      <c r="A4455" t="n">
        <v>511836</v>
      </c>
      <c r="B4455" s="6" t="n">
        <v>46021</v>
      </c>
      <c r="C4455" t="n">
        <v>17993</v>
      </c>
      <c r="D4455" t="inlineStr">
        <is>
          <t>Lucknow</t>
        </is>
      </c>
      <c r="E4455" t="inlineStr">
        <is>
          <t>North</t>
        </is>
      </c>
      <c r="F4455" t="inlineStr">
        <is>
          <t>Organic Search</t>
        </is>
      </c>
      <c r="G4455" t="inlineStr">
        <is>
          <t>Mobile App</t>
        </is>
      </c>
      <c r="H4455" t="inlineStr">
        <is>
          <t>UPI</t>
        </is>
      </c>
      <c r="I4455" t="inlineStr">
        <is>
          <t>Shipped</t>
        </is>
      </c>
      <c r="J4455" t="n">
        <v>105</v>
      </c>
      <c r="K4455" t="n">
        <v>1</v>
      </c>
      <c r="L4455" s="7" t="n">
        <v>2414</v>
      </c>
      <c r="M4455" s="7" t="n">
        <v>0</v>
      </c>
    </row>
    <row r="4456">
      <c r="A4456" t="n">
        <v>511837</v>
      </c>
      <c r="B4456" s="6" t="n">
        <v>46021</v>
      </c>
      <c r="C4456" t="n">
        <v>15049</v>
      </c>
      <c r="D4456" t="inlineStr">
        <is>
          <t>Chandigarh</t>
        </is>
      </c>
      <c r="E4456" t="inlineStr">
        <is>
          <t>North</t>
        </is>
      </c>
      <c r="F4456" t="inlineStr">
        <is>
          <t>Organic Search</t>
        </is>
      </c>
      <c r="G4456" t="inlineStr">
        <is>
          <t>Mobile App</t>
        </is>
      </c>
      <c r="H4456" t="inlineStr">
        <is>
          <t>UPI</t>
        </is>
      </c>
      <c r="I4456" t="inlineStr">
        <is>
          <t>Shipped</t>
        </is>
      </c>
      <c r="J4456" t="n">
        <v>112</v>
      </c>
      <c r="K4456" t="n">
        <v>1</v>
      </c>
      <c r="L4456" s="7" t="n">
        <v>1574</v>
      </c>
      <c r="M4456" s="7" t="n">
        <v>0</v>
      </c>
    </row>
    <row r="4457">
      <c r="A4457" t="n">
        <v>511838</v>
      </c>
      <c r="B4457" s="6" t="n">
        <v>46021</v>
      </c>
      <c r="C4457" t="n">
        <v>17938</v>
      </c>
      <c r="D4457" t="inlineStr">
        <is>
          <t>Bengaluru</t>
        </is>
      </c>
      <c r="E4457" t="inlineStr">
        <is>
          <t>South</t>
        </is>
      </c>
      <c r="F4457" t="inlineStr">
        <is>
          <t>Paid Social</t>
        </is>
      </c>
      <c r="G4457" t="inlineStr">
        <is>
          <t>Desktop</t>
        </is>
      </c>
      <c r="H4457" t="inlineStr">
        <is>
          <t>Cash on Delivery</t>
        </is>
      </c>
      <c r="I4457" t="inlineStr">
        <is>
          <t>Shipped</t>
        </is>
      </c>
      <c r="J4457" t="n">
        <v>108</v>
      </c>
      <c r="K4457" t="n">
        <v>1</v>
      </c>
      <c r="L4457" s="7" t="n">
        <v>419</v>
      </c>
      <c r="M4457" s="7" t="n">
        <v>0</v>
      </c>
    </row>
    <row r="4458">
      <c r="A4458" t="n">
        <v>511838</v>
      </c>
      <c r="B4458" s="6" t="n">
        <v>46021</v>
      </c>
      <c r="C4458" t="n">
        <v>17938</v>
      </c>
      <c r="D4458" t="inlineStr">
        <is>
          <t>Bengaluru</t>
        </is>
      </c>
      <c r="E4458" t="inlineStr">
        <is>
          <t>South</t>
        </is>
      </c>
      <c r="F4458" t="inlineStr">
        <is>
          <t>Paid Social</t>
        </is>
      </c>
      <c r="G4458" t="inlineStr">
        <is>
          <t>Desktop</t>
        </is>
      </c>
      <c r="H4458" t="inlineStr">
        <is>
          <t>Cash on Delivery</t>
        </is>
      </c>
      <c r="I4458" t="inlineStr">
        <is>
          <t>Shipped</t>
        </is>
      </c>
      <c r="J4458" t="n">
        <v>120</v>
      </c>
      <c r="K4458" t="n">
        <v>1</v>
      </c>
      <c r="L4458" s="7" t="n">
        <v>734</v>
      </c>
      <c r="M4458" s="7" t="n">
        <v>0</v>
      </c>
    </row>
    <row r="4459">
      <c r="A4459" t="n">
        <v>511839</v>
      </c>
      <c r="B4459" s="6" t="n">
        <v>46021</v>
      </c>
      <c r="C4459" t="n">
        <v>17968</v>
      </c>
      <c r="D4459" t="inlineStr">
        <is>
          <t>Mumbai</t>
        </is>
      </c>
      <c r="E4459" t="inlineStr">
        <is>
          <t>West</t>
        </is>
      </c>
      <c r="F4459" t="inlineStr">
        <is>
          <t>Paid Social</t>
        </is>
      </c>
      <c r="G4459" t="inlineStr">
        <is>
          <t>Mobile App</t>
        </is>
      </c>
      <c r="H4459" t="inlineStr">
        <is>
          <t>Debit Card</t>
        </is>
      </c>
      <c r="I4459" t="inlineStr">
        <is>
          <t>Shipped</t>
        </is>
      </c>
      <c r="J4459" t="n">
        <v>124</v>
      </c>
      <c r="K4459" t="n">
        <v>2</v>
      </c>
      <c r="L4459" s="7" t="n">
        <v>1154</v>
      </c>
      <c r="M4459" s="7" t="n">
        <v>0</v>
      </c>
    </row>
    <row r="4460">
      <c r="A4460" t="n">
        <v>511839</v>
      </c>
      <c r="B4460" s="6" t="n">
        <v>46021</v>
      </c>
      <c r="C4460" t="n">
        <v>17968</v>
      </c>
      <c r="D4460" t="inlineStr">
        <is>
          <t>Mumbai</t>
        </is>
      </c>
      <c r="E4460" t="inlineStr">
        <is>
          <t>West</t>
        </is>
      </c>
      <c r="F4460" t="inlineStr">
        <is>
          <t>Paid Social</t>
        </is>
      </c>
      <c r="G4460" t="inlineStr">
        <is>
          <t>Mobile App</t>
        </is>
      </c>
      <c r="H4460" t="inlineStr">
        <is>
          <t>Debit Card</t>
        </is>
      </c>
      <c r="I4460" t="inlineStr">
        <is>
          <t>Shipped</t>
        </is>
      </c>
      <c r="J4460" t="n">
        <v>122</v>
      </c>
      <c r="K4460" t="n">
        <v>2</v>
      </c>
      <c r="L4460" s="7" t="n">
        <v>1994</v>
      </c>
      <c r="M4460" s="7" t="n">
        <v>0</v>
      </c>
    </row>
    <row r="4461">
      <c r="A4461" t="n">
        <v>511840</v>
      </c>
      <c r="B4461" s="6" t="n">
        <v>46021</v>
      </c>
      <c r="C4461" t="n">
        <v>17366</v>
      </c>
      <c r="D4461" t="inlineStr">
        <is>
          <t>Delhi</t>
        </is>
      </c>
      <c r="E4461" t="inlineStr">
        <is>
          <t>North</t>
        </is>
      </c>
      <c r="F4461" t="inlineStr">
        <is>
          <t>Paid Search</t>
        </is>
      </c>
      <c r="G4461" t="inlineStr">
        <is>
          <t>Mobile Web</t>
        </is>
      </c>
      <c r="H4461" t="inlineStr">
        <is>
          <t>UPI</t>
        </is>
      </c>
      <c r="I4461" t="inlineStr">
        <is>
          <t>Shipped</t>
        </is>
      </c>
      <c r="J4461" t="n">
        <v>135</v>
      </c>
      <c r="K4461" t="n">
        <v>1</v>
      </c>
      <c r="L4461" s="7" t="n">
        <v>1574</v>
      </c>
      <c r="M4461" s="7" t="n">
        <v>0</v>
      </c>
    </row>
    <row r="4462">
      <c r="A4462" t="n">
        <v>511840</v>
      </c>
      <c r="B4462" s="6" t="n">
        <v>46021</v>
      </c>
      <c r="C4462" t="n">
        <v>17366</v>
      </c>
      <c r="D4462" t="inlineStr">
        <is>
          <t>Delhi</t>
        </is>
      </c>
      <c r="E4462" t="inlineStr">
        <is>
          <t>North</t>
        </is>
      </c>
      <c r="F4462" t="inlineStr">
        <is>
          <t>Paid Search</t>
        </is>
      </c>
      <c r="G4462" t="inlineStr">
        <is>
          <t>Mobile Web</t>
        </is>
      </c>
      <c r="H4462" t="inlineStr">
        <is>
          <t>UPI</t>
        </is>
      </c>
      <c r="I4462" t="inlineStr">
        <is>
          <t>Shipped</t>
        </is>
      </c>
      <c r="J4462" t="n">
        <v>112</v>
      </c>
      <c r="K4462" t="n">
        <v>1</v>
      </c>
      <c r="L4462" s="7" t="n">
        <v>1574</v>
      </c>
      <c r="M4462" s="7" t="n">
        <v>0</v>
      </c>
    </row>
    <row r="4463">
      <c r="A4463" t="n">
        <v>511840</v>
      </c>
      <c r="B4463" s="6" t="n">
        <v>46021</v>
      </c>
      <c r="C4463" t="n">
        <v>17366</v>
      </c>
      <c r="D4463" t="inlineStr">
        <is>
          <t>Delhi</t>
        </is>
      </c>
      <c r="E4463" t="inlineStr">
        <is>
          <t>North</t>
        </is>
      </c>
      <c r="F4463" t="inlineStr">
        <is>
          <t>Paid Search</t>
        </is>
      </c>
      <c r="G4463" t="inlineStr">
        <is>
          <t>Mobile Web</t>
        </is>
      </c>
      <c r="H4463" t="inlineStr">
        <is>
          <t>UPI</t>
        </is>
      </c>
      <c r="I4463" t="inlineStr">
        <is>
          <t>Shipped</t>
        </is>
      </c>
      <c r="J4463" t="n">
        <v>105</v>
      </c>
      <c r="K4463" t="n">
        <v>1</v>
      </c>
      <c r="L4463" s="7" t="n">
        <v>2414</v>
      </c>
      <c r="M4463" s="7" t="n">
        <v>0</v>
      </c>
    </row>
    <row r="4464">
      <c r="A4464" t="n">
        <v>511841</v>
      </c>
      <c r="B4464" s="6" t="n">
        <v>46021</v>
      </c>
      <c r="C4464" t="n">
        <v>15029</v>
      </c>
      <c r="D4464" t="inlineStr">
        <is>
          <t>Noida</t>
        </is>
      </c>
      <c r="E4464" t="inlineStr">
        <is>
          <t>North</t>
        </is>
      </c>
      <c r="F4464" t="inlineStr">
        <is>
          <t>Organic Search</t>
        </is>
      </c>
      <c r="G4464" t="inlineStr">
        <is>
          <t>Mobile Web</t>
        </is>
      </c>
      <c r="H4464" t="inlineStr">
        <is>
          <t>Credit Card</t>
        </is>
      </c>
      <c r="I4464" t="inlineStr">
        <is>
          <t>Shipped</t>
        </is>
      </c>
      <c r="J4464" t="n">
        <v>113</v>
      </c>
      <c r="K4464" t="n">
        <v>2</v>
      </c>
      <c r="L4464" s="7" t="n">
        <v>1364</v>
      </c>
      <c r="M4464" s="7" t="n">
        <v>0</v>
      </c>
    </row>
    <row r="4465">
      <c r="A4465" t="n">
        <v>511841</v>
      </c>
      <c r="B4465" s="6" t="n">
        <v>46021</v>
      </c>
      <c r="C4465" t="n">
        <v>15029</v>
      </c>
      <c r="D4465" t="inlineStr">
        <is>
          <t>Noida</t>
        </is>
      </c>
      <c r="E4465" t="inlineStr">
        <is>
          <t>North</t>
        </is>
      </c>
      <c r="F4465" t="inlineStr">
        <is>
          <t>Organic Search</t>
        </is>
      </c>
      <c r="G4465" t="inlineStr">
        <is>
          <t>Mobile Web</t>
        </is>
      </c>
      <c r="H4465" t="inlineStr">
        <is>
          <t>Credit Card</t>
        </is>
      </c>
      <c r="I4465" t="inlineStr">
        <is>
          <t>Shipped</t>
        </is>
      </c>
      <c r="J4465" t="n">
        <v>111</v>
      </c>
      <c r="K4465" t="n">
        <v>1</v>
      </c>
      <c r="L4465" s="7" t="n">
        <v>524</v>
      </c>
      <c r="M4465" s="7" t="n">
        <v>0</v>
      </c>
    </row>
    <row r="4466">
      <c r="A4466" t="n">
        <v>511842</v>
      </c>
      <c r="B4466" s="6" t="n">
        <v>46021</v>
      </c>
      <c r="C4466" t="n">
        <v>17762</v>
      </c>
      <c r="D4466" t="inlineStr">
        <is>
          <t>Chennai</t>
        </is>
      </c>
      <c r="E4466" t="inlineStr">
        <is>
          <t>South</t>
        </is>
      </c>
      <c r="F4466" t="inlineStr">
        <is>
          <t>Organic Search</t>
        </is>
      </c>
      <c r="G4466" t="inlineStr">
        <is>
          <t>Desktop</t>
        </is>
      </c>
      <c r="H4466" t="inlineStr">
        <is>
          <t>Credit Card</t>
        </is>
      </c>
      <c r="I4466" t="inlineStr">
        <is>
          <t>Shipped</t>
        </is>
      </c>
      <c r="J4466" t="n">
        <v>101</v>
      </c>
      <c r="K4466" t="n">
        <v>1</v>
      </c>
      <c r="L4466" s="7" t="n">
        <v>2099</v>
      </c>
      <c r="M4466" s="7" t="n">
        <v>0</v>
      </c>
    </row>
    <row r="4467">
      <c r="A4467" t="n">
        <v>511843</v>
      </c>
      <c r="B4467" s="6" t="n">
        <v>46021</v>
      </c>
      <c r="C4467" t="n">
        <v>13786</v>
      </c>
      <c r="D4467" t="inlineStr">
        <is>
          <t>Mumbai</t>
        </is>
      </c>
      <c r="E4467" t="inlineStr">
        <is>
          <t>West</t>
        </is>
      </c>
      <c r="F4467" t="inlineStr">
        <is>
          <t>Paid Social</t>
        </is>
      </c>
      <c r="G4467" t="inlineStr">
        <is>
          <t>Mobile App</t>
        </is>
      </c>
      <c r="H4467" t="inlineStr">
        <is>
          <t>Cash on Delivery</t>
        </is>
      </c>
      <c r="I4467" t="inlineStr">
        <is>
          <t>Shipped</t>
        </is>
      </c>
      <c r="J4467" t="n">
        <v>116</v>
      </c>
      <c r="K4467" t="n">
        <v>1</v>
      </c>
      <c r="L4467" s="7" t="n">
        <v>2624</v>
      </c>
      <c r="M4467" s="7" t="n">
        <v>0</v>
      </c>
    </row>
    <row r="4468">
      <c r="A4468" t="n">
        <v>511844</v>
      </c>
      <c r="B4468" s="6" t="n">
        <v>46021</v>
      </c>
      <c r="C4468" t="n">
        <v>16822</v>
      </c>
      <c r="D4468" t="inlineStr">
        <is>
          <t>Jaipur</t>
        </is>
      </c>
      <c r="E4468" t="inlineStr">
        <is>
          <t>North</t>
        </is>
      </c>
      <c r="F4468" t="inlineStr">
        <is>
          <t>Email</t>
        </is>
      </c>
      <c r="G4468" t="inlineStr">
        <is>
          <t>Mobile App</t>
        </is>
      </c>
      <c r="H4468" t="inlineStr">
        <is>
          <t>Credit Card</t>
        </is>
      </c>
      <c r="I4468" t="inlineStr">
        <is>
          <t>Shipped</t>
        </is>
      </c>
      <c r="J4468" t="n">
        <v>115</v>
      </c>
      <c r="K4468" t="n">
        <v>1</v>
      </c>
      <c r="L4468" s="7" t="n">
        <v>4199</v>
      </c>
      <c r="M4468" s="7" t="n">
        <v>0</v>
      </c>
    </row>
    <row r="4469">
      <c r="A4469" t="n">
        <v>511844</v>
      </c>
      <c r="B4469" s="6" t="n">
        <v>46021</v>
      </c>
      <c r="C4469" t="n">
        <v>16822</v>
      </c>
      <c r="D4469" t="inlineStr">
        <is>
          <t>Jaipur</t>
        </is>
      </c>
      <c r="E4469" t="inlineStr">
        <is>
          <t>North</t>
        </is>
      </c>
      <c r="F4469" t="inlineStr">
        <is>
          <t>Email</t>
        </is>
      </c>
      <c r="G4469" t="inlineStr">
        <is>
          <t>Mobile App</t>
        </is>
      </c>
      <c r="H4469" t="inlineStr">
        <is>
          <t>Credit Card</t>
        </is>
      </c>
      <c r="I4469" t="inlineStr">
        <is>
          <t>Shipped</t>
        </is>
      </c>
      <c r="J4469" t="n">
        <v>112</v>
      </c>
      <c r="K4469" t="n">
        <v>1</v>
      </c>
      <c r="L4469" s="7" t="n">
        <v>1574</v>
      </c>
      <c r="M4469" s="7" t="n">
        <v>0</v>
      </c>
    </row>
    <row r="4470">
      <c r="A4470" t="n">
        <v>511845</v>
      </c>
      <c r="B4470" s="6" t="n">
        <v>46021</v>
      </c>
      <c r="C4470" t="n">
        <v>16708</v>
      </c>
      <c r="D4470" t="inlineStr">
        <is>
          <t>Delhi</t>
        </is>
      </c>
      <c r="E4470" t="inlineStr">
        <is>
          <t>North</t>
        </is>
      </c>
      <c r="F4470" t="inlineStr">
        <is>
          <t>Organic Search</t>
        </is>
      </c>
      <c r="G4470" t="inlineStr">
        <is>
          <t>Mobile Web</t>
        </is>
      </c>
      <c r="H4470" t="inlineStr">
        <is>
          <t>UPI</t>
        </is>
      </c>
      <c r="I4470" t="inlineStr">
        <is>
          <t>Shipped</t>
        </is>
      </c>
      <c r="J4470" t="n">
        <v>114</v>
      </c>
      <c r="K4470" t="n">
        <v>1</v>
      </c>
      <c r="L4470" s="7" t="n">
        <v>1259</v>
      </c>
      <c r="M4470" s="7" t="n">
        <v>0</v>
      </c>
    </row>
    <row r="4471">
      <c r="A4471" t="n">
        <v>511845</v>
      </c>
      <c r="B4471" s="6" t="n">
        <v>46021</v>
      </c>
      <c r="C4471" t="n">
        <v>16708</v>
      </c>
      <c r="D4471" t="inlineStr">
        <is>
          <t>Delhi</t>
        </is>
      </c>
      <c r="E4471" t="inlineStr">
        <is>
          <t>North</t>
        </is>
      </c>
      <c r="F4471" t="inlineStr">
        <is>
          <t>Organic Search</t>
        </is>
      </c>
      <c r="G4471" t="inlineStr">
        <is>
          <t>Mobile Web</t>
        </is>
      </c>
      <c r="H4471" t="inlineStr">
        <is>
          <t>UPI</t>
        </is>
      </c>
      <c r="I4471" t="inlineStr">
        <is>
          <t>Shipped</t>
        </is>
      </c>
      <c r="J4471" t="n">
        <v>127</v>
      </c>
      <c r="K4471" t="n">
        <v>1</v>
      </c>
      <c r="L4471" s="7" t="n">
        <v>681</v>
      </c>
      <c r="M4471" s="7" t="n">
        <v>0</v>
      </c>
    </row>
    <row r="4472">
      <c r="A4472" t="n">
        <v>511846</v>
      </c>
      <c r="B4472" s="6" t="n">
        <v>46021</v>
      </c>
      <c r="C4472" t="n">
        <v>15401</v>
      </c>
      <c r="D4472" t="inlineStr">
        <is>
          <t>Mumbai</t>
        </is>
      </c>
      <c r="E4472" t="inlineStr">
        <is>
          <t>West</t>
        </is>
      </c>
      <c r="F4472" t="inlineStr">
        <is>
          <t>Paid Search</t>
        </is>
      </c>
      <c r="G4472" t="inlineStr">
        <is>
          <t>Mobile App</t>
        </is>
      </c>
      <c r="H4472" t="inlineStr">
        <is>
          <t>UPI</t>
        </is>
      </c>
      <c r="I4472" t="inlineStr">
        <is>
          <t>Shipped</t>
        </is>
      </c>
      <c r="J4472" t="n">
        <v>111</v>
      </c>
      <c r="K4472" t="n">
        <v>1</v>
      </c>
      <c r="L4472" s="7" t="n">
        <v>524</v>
      </c>
      <c r="M4472" s="7" t="n">
        <v>0</v>
      </c>
    </row>
    <row r="4473">
      <c r="A4473" t="n">
        <v>511847</v>
      </c>
      <c r="B4473" s="6" t="n">
        <v>46021</v>
      </c>
      <c r="C4473" t="n">
        <v>17852</v>
      </c>
      <c r="D4473" t="inlineStr">
        <is>
          <t>Kolkata</t>
        </is>
      </c>
      <c r="E4473" t="inlineStr">
        <is>
          <t>East</t>
        </is>
      </c>
      <c r="F4473" t="inlineStr">
        <is>
          <t>Organic Search</t>
        </is>
      </c>
      <c r="G4473" t="inlineStr">
        <is>
          <t>Mobile App</t>
        </is>
      </c>
      <c r="H4473" t="inlineStr">
        <is>
          <t>Cash on Delivery</t>
        </is>
      </c>
      <c r="I4473" t="inlineStr">
        <is>
          <t>Cancelled</t>
        </is>
      </c>
      <c r="J4473" t="n">
        <v>136</v>
      </c>
      <c r="K4473" t="n">
        <v>1</v>
      </c>
      <c r="L4473" s="7" t="n">
        <v>944</v>
      </c>
      <c r="M4473" s="7" t="n">
        <v>0</v>
      </c>
    </row>
    <row r="4474">
      <c r="A4474" t="n">
        <v>511847</v>
      </c>
      <c r="B4474" s="6" t="n">
        <v>46021</v>
      </c>
      <c r="C4474" t="n">
        <v>17852</v>
      </c>
      <c r="D4474" t="inlineStr">
        <is>
          <t>Kolkata</t>
        </is>
      </c>
      <c r="E4474" t="inlineStr">
        <is>
          <t>East</t>
        </is>
      </c>
      <c r="F4474" t="inlineStr">
        <is>
          <t>Organic Search</t>
        </is>
      </c>
      <c r="G4474" t="inlineStr">
        <is>
          <t>Mobile App</t>
        </is>
      </c>
      <c r="H4474" t="inlineStr">
        <is>
          <t>Cash on Delivery</t>
        </is>
      </c>
      <c r="I4474" t="inlineStr">
        <is>
          <t>Cancelled</t>
        </is>
      </c>
      <c r="J4474" t="n">
        <v>124</v>
      </c>
      <c r="K4474" t="n">
        <v>1</v>
      </c>
      <c r="L4474" s="7" t="n">
        <v>1154</v>
      </c>
      <c r="M4474" s="7" t="n">
        <v>0</v>
      </c>
    </row>
    <row r="4475">
      <c r="A4475" t="n">
        <v>511847</v>
      </c>
      <c r="B4475" s="6" t="n">
        <v>46021</v>
      </c>
      <c r="C4475" t="n">
        <v>17852</v>
      </c>
      <c r="D4475" t="inlineStr">
        <is>
          <t>Kolkata</t>
        </is>
      </c>
      <c r="E4475" t="inlineStr">
        <is>
          <t>East</t>
        </is>
      </c>
      <c r="F4475" t="inlineStr">
        <is>
          <t>Organic Search</t>
        </is>
      </c>
      <c r="G4475" t="inlineStr">
        <is>
          <t>Mobile App</t>
        </is>
      </c>
      <c r="H4475" t="inlineStr">
        <is>
          <t>Cash on Delivery</t>
        </is>
      </c>
      <c r="I4475" t="inlineStr">
        <is>
          <t>Cancelled</t>
        </is>
      </c>
      <c r="J4475" t="n">
        <v>133</v>
      </c>
      <c r="K4475" t="n">
        <v>1</v>
      </c>
      <c r="L4475" s="7" t="n">
        <v>419</v>
      </c>
      <c r="M4475" s="7" t="n">
        <v>0</v>
      </c>
    </row>
    <row r="4476">
      <c r="A4476" t="n">
        <v>511848</v>
      </c>
      <c r="B4476" s="6" t="n">
        <v>46021</v>
      </c>
      <c r="C4476" t="n">
        <v>17768</v>
      </c>
      <c r="D4476" t="inlineStr">
        <is>
          <t>Delhi</t>
        </is>
      </c>
      <c r="E4476" t="inlineStr">
        <is>
          <t>North</t>
        </is>
      </c>
      <c r="F4476" t="inlineStr">
        <is>
          <t>Organic Search</t>
        </is>
      </c>
      <c r="G4476" t="inlineStr">
        <is>
          <t>Mobile Web</t>
        </is>
      </c>
      <c r="H4476" t="inlineStr">
        <is>
          <t>Cash on Delivery</t>
        </is>
      </c>
      <c r="I4476" t="inlineStr">
        <is>
          <t>Shipped</t>
        </is>
      </c>
      <c r="J4476" t="n">
        <v>117</v>
      </c>
      <c r="K4476" t="n">
        <v>1</v>
      </c>
      <c r="L4476" s="7" t="n">
        <v>3149</v>
      </c>
      <c r="M4476" s="7" t="n">
        <v>0</v>
      </c>
    </row>
    <row r="4477">
      <c r="A4477" t="n">
        <v>511849</v>
      </c>
      <c r="B4477" s="6" t="n">
        <v>46021</v>
      </c>
      <c r="C4477" t="n">
        <v>16660</v>
      </c>
      <c r="D4477" t="inlineStr">
        <is>
          <t>Pune</t>
        </is>
      </c>
      <c r="E4477" t="inlineStr">
        <is>
          <t>West</t>
        </is>
      </c>
      <c r="F4477" t="inlineStr">
        <is>
          <t>Paid Search</t>
        </is>
      </c>
      <c r="G4477" t="inlineStr">
        <is>
          <t>Mobile App</t>
        </is>
      </c>
      <c r="H4477" t="inlineStr">
        <is>
          <t>UPI</t>
        </is>
      </c>
      <c r="I4477" t="inlineStr">
        <is>
          <t>Shipped</t>
        </is>
      </c>
      <c r="J4477" t="n">
        <v>110</v>
      </c>
      <c r="K4477" t="n">
        <v>1</v>
      </c>
      <c r="L4477" s="7" t="n">
        <v>839</v>
      </c>
      <c r="M4477" s="7" t="n">
        <v>0</v>
      </c>
    </row>
    <row r="4478">
      <c r="A4478" t="n">
        <v>511849</v>
      </c>
      <c r="B4478" s="6" t="n">
        <v>46021</v>
      </c>
      <c r="C4478" t="n">
        <v>16660</v>
      </c>
      <c r="D4478" t="inlineStr">
        <is>
          <t>Pune</t>
        </is>
      </c>
      <c r="E4478" t="inlineStr">
        <is>
          <t>West</t>
        </is>
      </c>
      <c r="F4478" t="inlineStr">
        <is>
          <t>Paid Search</t>
        </is>
      </c>
      <c r="G4478" t="inlineStr">
        <is>
          <t>Mobile App</t>
        </is>
      </c>
      <c r="H4478" t="inlineStr">
        <is>
          <t>UPI</t>
        </is>
      </c>
      <c r="I4478" t="inlineStr">
        <is>
          <t>Shipped</t>
        </is>
      </c>
      <c r="J4478" t="n">
        <v>106</v>
      </c>
      <c r="K4478" t="n">
        <v>1</v>
      </c>
      <c r="L4478" s="7" t="n">
        <v>1574</v>
      </c>
      <c r="M4478" s="7" t="n">
        <v>0</v>
      </c>
    </row>
    <row r="4479">
      <c r="A4479" t="n">
        <v>511850</v>
      </c>
      <c r="B4479" s="6" t="n">
        <v>46021</v>
      </c>
      <c r="C4479" t="n">
        <v>17357</v>
      </c>
      <c r="D4479" t="inlineStr">
        <is>
          <t>Delhi</t>
        </is>
      </c>
      <c r="E4479" t="inlineStr">
        <is>
          <t>North</t>
        </is>
      </c>
      <c r="F4479" t="inlineStr">
        <is>
          <t>Email</t>
        </is>
      </c>
      <c r="G4479" t="inlineStr">
        <is>
          <t>Mobile Web</t>
        </is>
      </c>
      <c r="H4479" t="inlineStr">
        <is>
          <t>UPI</t>
        </is>
      </c>
      <c r="I4479" t="inlineStr">
        <is>
          <t>Shipped</t>
        </is>
      </c>
      <c r="J4479" t="n">
        <v>115</v>
      </c>
      <c r="K4479" t="n">
        <v>1</v>
      </c>
      <c r="L4479" s="7" t="n">
        <v>4199</v>
      </c>
      <c r="M4479" s="7" t="n">
        <v>209.95</v>
      </c>
    </row>
    <row r="4480">
      <c r="A4480" t="n">
        <v>511851</v>
      </c>
      <c r="B4480" s="6" t="n">
        <v>46021</v>
      </c>
      <c r="C4480" t="n">
        <v>16867</v>
      </c>
      <c r="D4480" t="inlineStr">
        <is>
          <t>Mumbai</t>
        </is>
      </c>
      <c r="E4480" t="inlineStr">
        <is>
          <t>West</t>
        </is>
      </c>
      <c r="F4480" t="inlineStr">
        <is>
          <t>Organic Search</t>
        </is>
      </c>
      <c r="G4480" t="inlineStr">
        <is>
          <t>Mobile App</t>
        </is>
      </c>
      <c r="H4480" t="inlineStr">
        <is>
          <t>Credit Card</t>
        </is>
      </c>
      <c r="I4480" t="inlineStr">
        <is>
          <t>Shipped</t>
        </is>
      </c>
      <c r="J4480" t="n">
        <v>129</v>
      </c>
      <c r="K4480" t="n">
        <v>1</v>
      </c>
      <c r="L4480" s="7" t="n">
        <v>576</v>
      </c>
      <c r="M4480" s="7" t="n">
        <v>28.8</v>
      </c>
    </row>
    <row r="4481">
      <c r="A4481" t="n">
        <v>511852</v>
      </c>
      <c r="B4481" s="6" t="n">
        <v>46021</v>
      </c>
      <c r="C4481" t="n">
        <v>17927</v>
      </c>
      <c r="D4481" t="inlineStr">
        <is>
          <t>Kolkata</t>
        </is>
      </c>
      <c r="E4481" t="inlineStr">
        <is>
          <t>East</t>
        </is>
      </c>
      <c r="F4481" t="inlineStr">
        <is>
          <t>Email</t>
        </is>
      </c>
      <c r="G4481" t="inlineStr">
        <is>
          <t>Mobile App</t>
        </is>
      </c>
      <c r="H4481" t="inlineStr">
        <is>
          <t>Credit Card</t>
        </is>
      </c>
      <c r="I4481" t="inlineStr">
        <is>
          <t>Shipped</t>
        </is>
      </c>
      <c r="J4481" t="n">
        <v>108</v>
      </c>
      <c r="K4481" t="n">
        <v>1</v>
      </c>
      <c r="L4481" s="7" t="n">
        <v>419</v>
      </c>
      <c r="M4481" s="7" t="n">
        <v>62.85</v>
      </c>
    </row>
    <row r="4482">
      <c r="A4482" t="n">
        <v>511852</v>
      </c>
      <c r="B4482" s="6" t="n">
        <v>46021</v>
      </c>
      <c r="C4482" t="n">
        <v>17927</v>
      </c>
      <c r="D4482" t="inlineStr">
        <is>
          <t>Kolkata</t>
        </is>
      </c>
      <c r="E4482" t="inlineStr">
        <is>
          <t>East</t>
        </is>
      </c>
      <c r="F4482" t="inlineStr">
        <is>
          <t>Email</t>
        </is>
      </c>
      <c r="G4482" t="inlineStr">
        <is>
          <t>Mobile App</t>
        </is>
      </c>
      <c r="H4482" t="inlineStr">
        <is>
          <t>Credit Card</t>
        </is>
      </c>
      <c r="I4482" t="inlineStr">
        <is>
          <t>Shipped</t>
        </is>
      </c>
      <c r="J4482" t="n">
        <v>144</v>
      </c>
      <c r="K4482" t="n">
        <v>1</v>
      </c>
      <c r="L4482" s="7" t="n">
        <v>3149</v>
      </c>
      <c r="M4482" s="7" t="n">
        <v>472.35</v>
      </c>
    </row>
    <row r="4483">
      <c r="A4483" t="n">
        <v>511853</v>
      </c>
      <c r="B4483" s="6" t="n">
        <v>46021</v>
      </c>
      <c r="C4483" t="n">
        <v>17951</v>
      </c>
      <c r="D4483" t="inlineStr">
        <is>
          <t>Pune</t>
        </is>
      </c>
      <c r="E4483" t="inlineStr">
        <is>
          <t>West</t>
        </is>
      </c>
      <c r="F4483" t="inlineStr">
        <is>
          <t>Paid Social</t>
        </is>
      </c>
      <c r="G4483" t="inlineStr">
        <is>
          <t>Mobile App</t>
        </is>
      </c>
      <c r="H4483" t="inlineStr">
        <is>
          <t>UPI</t>
        </is>
      </c>
      <c r="I4483" t="inlineStr">
        <is>
          <t>Shipped</t>
        </is>
      </c>
      <c r="J4483" t="n">
        <v>103</v>
      </c>
      <c r="K4483" t="n">
        <v>1</v>
      </c>
      <c r="L4483" s="7" t="n">
        <v>2624</v>
      </c>
      <c r="M4483" s="7" t="n">
        <v>393.6</v>
      </c>
    </row>
    <row r="4484">
      <c r="A4484" t="n">
        <v>511854</v>
      </c>
      <c r="B4484" s="6" t="n">
        <v>46021</v>
      </c>
      <c r="C4484" t="n">
        <v>17915</v>
      </c>
      <c r="D4484" t="inlineStr">
        <is>
          <t>Mumbai</t>
        </is>
      </c>
      <c r="E4484" t="inlineStr">
        <is>
          <t>West</t>
        </is>
      </c>
      <c r="F4484" t="inlineStr">
        <is>
          <t>Email</t>
        </is>
      </c>
      <c r="G4484" t="inlineStr">
        <is>
          <t>Mobile App</t>
        </is>
      </c>
      <c r="H4484" t="inlineStr">
        <is>
          <t>Cash on Delivery</t>
        </is>
      </c>
      <c r="I4484" t="inlineStr">
        <is>
          <t>Shipped</t>
        </is>
      </c>
      <c r="J4484" t="n">
        <v>124</v>
      </c>
      <c r="K4484" t="n">
        <v>1</v>
      </c>
      <c r="L4484" s="7" t="n">
        <v>1154</v>
      </c>
      <c r="M4484" s="7" t="n">
        <v>0</v>
      </c>
    </row>
    <row r="4485">
      <c r="A4485" t="n">
        <v>511854</v>
      </c>
      <c r="B4485" s="6" t="n">
        <v>46021</v>
      </c>
      <c r="C4485" t="n">
        <v>17915</v>
      </c>
      <c r="D4485" t="inlineStr">
        <is>
          <t>Mumbai</t>
        </is>
      </c>
      <c r="E4485" t="inlineStr">
        <is>
          <t>West</t>
        </is>
      </c>
      <c r="F4485" t="inlineStr">
        <is>
          <t>Email</t>
        </is>
      </c>
      <c r="G4485" t="inlineStr">
        <is>
          <t>Mobile App</t>
        </is>
      </c>
      <c r="H4485" t="inlineStr">
        <is>
          <t>Cash on Delivery</t>
        </is>
      </c>
      <c r="I4485" t="inlineStr">
        <is>
          <t>Shipped</t>
        </is>
      </c>
      <c r="J4485" t="n">
        <v>138</v>
      </c>
      <c r="K4485" t="n">
        <v>2</v>
      </c>
      <c r="L4485" s="7" t="n">
        <v>419</v>
      </c>
      <c r="M4485" s="7" t="n">
        <v>0</v>
      </c>
    </row>
    <row r="4486">
      <c r="A4486" t="n">
        <v>511855</v>
      </c>
      <c r="B4486" s="6" t="n">
        <v>46022</v>
      </c>
      <c r="C4486" t="n">
        <v>17944</v>
      </c>
      <c r="D4486" t="inlineStr">
        <is>
          <t>Pune</t>
        </is>
      </c>
      <c r="E4486" t="inlineStr">
        <is>
          <t>West</t>
        </is>
      </c>
      <c r="F4486" t="inlineStr">
        <is>
          <t>Referral</t>
        </is>
      </c>
      <c r="G4486" t="inlineStr">
        <is>
          <t>Mobile App</t>
        </is>
      </c>
      <c r="H4486" t="inlineStr">
        <is>
          <t>UPI</t>
        </is>
      </c>
      <c r="I4486" t="inlineStr">
        <is>
          <t>Shipped</t>
        </is>
      </c>
      <c r="J4486" t="n">
        <v>141</v>
      </c>
      <c r="K4486" t="n">
        <v>1</v>
      </c>
      <c r="L4486" s="7" t="n">
        <v>261</v>
      </c>
      <c r="M4486" s="7" t="n">
        <v>39.15</v>
      </c>
    </row>
    <row r="4487">
      <c r="A4487" t="n">
        <v>511856</v>
      </c>
      <c r="B4487" s="6" t="n">
        <v>46022</v>
      </c>
      <c r="C4487" t="n">
        <v>17904</v>
      </c>
      <c r="D4487" t="inlineStr">
        <is>
          <t>Pune</t>
        </is>
      </c>
      <c r="E4487" t="inlineStr">
        <is>
          <t>West</t>
        </is>
      </c>
      <c r="F4487" t="inlineStr">
        <is>
          <t>Email</t>
        </is>
      </c>
      <c r="G4487" t="inlineStr">
        <is>
          <t>Desktop</t>
        </is>
      </c>
      <c r="H4487" t="inlineStr">
        <is>
          <t>UPI</t>
        </is>
      </c>
      <c r="I4487" t="inlineStr">
        <is>
          <t>Shipped</t>
        </is>
      </c>
      <c r="J4487" t="n">
        <v>116</v>
      </c>
      <c r="K4487" t="n">
        <v>1</v>
      </c>
      <c r="L4487" s="7" t="n">
        <v>2624</v>
      </c>
      <c r="M4487" s="7" t="n">
        <v>0</v>
      </c>
    </row>
    <row r="4488">
      <c r="A4488" t="n">
        <v>511856</v>
      </c>
      <c r="B4488" s="6" t="n">
        <v>46022</v>
      </c>
      <c r="C4488" t="n">
        <v>17904</v>
      </c>
      <c r="D4488" t="inlineStr">
        <is>
          <t>Pune</t>
        </is>
      </c>
      <c r="E4488" t="inlineStr">
        <is>
          <t>West</t>
        </is>
      </c>
      <c r="F4488" t="inlineStr">
        <is>
          <t>Email</t>
        </is>
      </c>
      <c r="G4488" t="inlineStr">
        <is>
          <t>Desktop</t>
        </is>
      </c>
      <c r="H4488" t="inlineStr">
        <is>
          <t>UPI</t>
        </is>
      </c>
      <c r="I4488" t="inlineStr">
        <is>
          <t>Shipped</t>
        </is>
      </c>
      <c r="J4488" t="n">
        <v>122</v>
      </c>
      <c r="K4488" t="n">
        <v>2</v>
      </c>
      <c r="L4488" s="7" t="n">
        <v>1994</v>
      </c>
      <c r="M4488" s="7" t="n">
        <v>0</v>
      </c>
    </row>
    <row r="4489">
      <c r="A4489" t="n">
        <v>511857</v>
      </c>
      <c r="B4489" s="6" t="n">
        <v>46022</v>
      </c>
      <c r="C4489" t="n">
        <v>17888</v>
      </c>
      <c r="D4489" t="inlineStr">
        <is>
          <t>Bengaluru</t>
        </is>
      </c>
      <c r="E4489" t="inlineStr">
        <is>
          <t>South</t>
        </is>
      </c>
      <c r="F4489" t="inlineStr">
        <is>
          <t>Paid Search</t>
        </is>
      </c>
      <c r="G4489" t="inlineStr">
        <is>
          <t>Mobile App</t>
        </is>
      </c>
      <c r="H4489" t="inlineStr">
        <is>
          <t>UPI</t>
        </is>
      </c>
      <c r="I4489" t="inlineStr">
        <is>
          <t>Shipped</t>
        </is>
      </c>
      <c r="J4489" t="n">
        <v>109</v>
      </c>
      <c r="K4489" t="n">
        <v>1</v>
      </c>
      <c r="L4489" s="7" t="n">
        <v>4199</v>
      </c>
      <c r="M4489" s="7" t="n">
        <v>629.85</v>
      </c>
    </row>
    <row r="4490">
      <c r="A4490" t="n">
        <v>511858</v>
      </c>
      <c r="B4490" s="6" t="n">
        <v>46022</v>
      </c>
      <c r="C4490" t="n">
        <v>17954</v>
      </c>
      <c r="D4490" t="inlineStr">
        <is>
          <t>Delhi</t>
        </is>
      </c>
      <c r="E4490" t="inlineStr">
        <is>
          <t>North</t>
        </is>
      </c>
      <c r="F4490" t="inlineStr">
        <is>
          <t>Paid Search</t>
        </is>
      </c>
      <c r="G4490" t="inlineStr">
        <is>
          <t>Mobile App</t>
        </is>
      </c>
      <c r="H4490" t="inlineStr">
        <is>
          <t>Credit Card</t>
        </is>
      </c>
      <c r="I4490" t="inlineStr">
        <is>
          <t>Shipped</t>
        </is>
      </c>
      <c r="J4490" t="n">
        <v>121</v>
      </c>
      <c r="K4490" t="n">
        <v>1</v>
      </c>
      <c r="L4490" s="7" t="n">
        <v>2939</v>
      </c>
      <c r="M4490" s="7" t="n">
        <v>0</v>
      </c>
    </row>
    <row r="4491">
      <c r="A4491" t="n">
        <v>511859</v>
      </c>
      <c r="B4491" s="6" t="n">
        <v>46022</v>
      </c>
      <c r="C4491" t="n">
        <v>13638</v>
      </c>
      <c r="D4491" t="inlineStr">
        <is>
          <t>Lucknow</t>
        </is>
      </c>
      <c r="E4491" t="inlineStr">
        <is>
          <t>North</t>
        </is>
      </c>
      <c r="F4491" t="inlineStr">
        <is>
          <t>Affiliate</t>
        </is>
      </c>
      <c r="G4491" t="inlineStr">
        <is>
          <t>Mobile Web</t>
        </is>
      </c>
      <c r="H4491" t="inlineStr">
        <is>
          <t>UPI</t>
        </is>
      </c>
      <c r="I4491" t="inlineStr">
        <is>
          <t>Shipped</t>
        </is>
      </c>
      <c r="J4491" t="n">
        <v>137</v>
      </c>
      <c r="K4491" t="n">
        <v>1</v>
      </c>
      <c r="L4491" s="7" t="n">
        <v>261</v>
      </c>
      <c r="M4491" s="7" t="n">
        <v>0</v>
      </c>
    </row>
    <row r="4492">
      <c r="A4492" t="n">
        <v>511859</v>
      </c>
      <c r="B4492" s="6" t="n">
        <v>46022</v>
      </c>
      <c r="C4492" t="n">
        <v>13638</v>
      </c>
      <c r="D4492" t="inlineStr">
        <is>
          <t>Lucknow</t>
        </is>
      </c>
      <c r="E4492" t="inlineStr">
        <is>
          <t>North</t>
        </is>
      </c>
      <c r="F4492" t="inlineStr">
        <is>
          <t>Affiliate</t>
        </is>
      </c>
      <c r="G4492" t="inlineStr">
        <is>
          <t>Mobile Web</t>
        </is>
      </c>
      <c r="H4492" t="inlineStr">
        <is>
          <t>UPI</t>
        </is>
      </c>
      <c r="I4492" t="inlineStr">
        <is>
          <t>Shipped</t>
        </is>
      </c>
      <c r="J4492" t="n">
        <v>103</v>
      </c>
      <c r="K4492" t="n">
        <v>1</v>
      </c>
      <c r="L4492" s="7" t="n">
        <v>2624</v>
      </c>
      <c r="M4492" s="7" t="n">
        <v>0</v>
      </c>
    </row>
    <row r="4493">
      <c r="A4493" t="n">
        <v>511860</v>
      </c>
      <c r="B4493" s="6" t="n">
        <v>46022</v>
      </c>
      <c r="C4493" t="n">
        <v>15281</v>
      </c>
      <c r="D4493" t="inlineStr">
        <is>
          <t>Delhi</t>
        </is>
      </c>
      <c r="E4493" t="inlineStr">
        <is>
          <t>North</t>
        </is>
      </c>
      <c r="F4493" t="inlineStr">
        <is>
          <t>Email</t>
        </is>
      </c>
      <c r="G4493" t="inlineStr">
        <is>
          <t>Mobile App</t>
        </is>
      </c>
      <c r="H4493" t="inlineStr">
        <is>
          <t>UPI</t>
        </is>
      </c>
      <c r="I4493" t="inlineStr">
        <is>
          <t>Cancelled</t>
        </is>
      </c>
      <c r="J4493" t="n">
        <v>139</v>
      </c>
      <c r="K4493" t="n">
        <v>1</v>
      </c>
      <c r="L4493" s="7" t="n">
        <v>366</v>
      </c>
      <c r="M4493" s="7" t="n">
        <v>0</v>
      </c>
    </row>
    <row r="4494">
      <c r="A4494" t="n">
        <v>511860</v>
      </c>
      <c r="B4494" s="6" t="n">
        <v>46022</v>
      </c>
      <c r="C4494" t="n">
        <v>15281</v>
      </c>
      <c r="D4494" t="inlineStr">
        <is>
          <t>Delhi</t>
        </is>
      </c>
      <c r="E4494" t="inlineStr">
        <is>
          <t>North</t>
        </is>
      </c>
      <c r="F4494" t="inlineStr">
        <is>
          <t>Email</t>
        </is>
      </c>
      <c r="G4494" t="inlineStr">
        <is>
          <t>Mobile App</t>
        </is>
      </c>
      <c r="H4494" t="inlineStr">
        <is>
          <t>UPI</t>
        </is>
      </c>
      <c r="I4494" t="inlineStr">
        <is>
          <t>Cancelled</t>
        </is>
      </c>
      <c r="J4494" t="n">
        <v>111</v>
      </c>
      <c r="K4494" t="n">
        <v>1</v>
      </c>
      <c r="L4494" s="7" t="n">
        <v>524</v>
      </c>
      <c r="M4494" s="7" t="n">
        <v>0</v>
      </c>
    </row>
    <row r="4495">
      <c r="A4495" t="n">
        <v>511860</v>
      </c>
      <c r="B4495" s="6" t="n">
        <v>46022</v>
      </c>
      <c r="C4495" t="n">
        <v>15281</v>
      </c>
      <c r="D4495" t="inlineStr">
        <is>
          <t>Delhi</t>
        </is>
      </c>
      <c r="E4495" t="inlineStr">
        <is>
          <t>North</t>
        </is>
      </c>
      <c r="F4495" t="inlineStr">
        <is>
          <t>Email</t>
        </is>
      </c>
      <c r="G4495" t="inlineStr">
        <is>
          <t>Mobile App</t>
        </is>
      </c>
      <c r="H4495" t="inlineStr">
        <is>
          <t>UPI</t>
        </is>
      </c>
      <c r="I4495" t="inlineStr">
        <is>
          <t>Cancelled</t>
        </is>
      </c>
      <c r="J4495" t="n">
        <v>104</v>
      </c>
      <c r="K4495" t="n">
        <v>1</v>
      </c>
      <c r="L4495" s="7" t="n">
        <v>5249</v>
      </c>
      <c r="M4495" s="7" t="n">
        <v>0</v>
      </c>
    </row>
    <row r="4496">
      <c r="A4496" t="n">
        <v>511861</v>
      </c>
      <c r="B4496" s="6" t="n">
        <v>46022</v>
      </c>
      <c r="C4496" t="n">
        <v>17198</v>
      </c>
      <c r="D4496" t="inlineStr">
        <is>
          <t>Noida</t>
        </is>
      </c>
      <c r="E4496" t="inlineStr">
        <is>
          <t>North</t>
        </is>
      </c>
      <c r="F4496" t="inlineStr">
        <is>
          <t>Organic Search</t>
        </is>
      </c>
      <c r="G4496" t="inlineStr">
        <is>
          <t>Mobile App</t>
        </is>
      </c>
      <c r="H4496" t="inlineStr">
        <is>
          <t>Net Banking</t>
        </is>
      </c>
      <c r="I4496" t="inlineStr">
        <is>
          <t>Shipped</t>
        </is>
      </c>
      <c r="J4496" t="n">
        <v>138</v>
      </c>
      <c r="K4496" t="n">
        <v>1</v>
      </c>
      <c r="L4496" s="7" t="n">
        <v>419</v>
      </c>
      <c r="M4496" s="7" t="n">
        <v>0</v>
      </c>
    </row>
    <row r="4497">
      <c r="A4497" t="n">
        <v>511862</v>
      </c>
      <c r="B4497" s="6" t="n">
        <v>46022</v>
      </c>
      <c r="C4497" t="n">
        <v>17266</v>
      </c>
      <c r="D4497" t="inlineStr">
        <is>
          <t>Gurugram</t>
        </is>
      </c>
      <c r="E4497" t="inlineStr">
        <is>
          <t>North</t>
        </is>
      </c>
      <c r="F4497" t="inlineStr">
        <is>
          <t>Organic Search</t>
        </is>
      </c>
      <c r="G4497" t="inlineStr">
        <is>
          <t>Mobile App</t>
        </is>
      </c>
      <c r="H4497" t="inlineStr">
        <is>
          <t>Cash on Delivery</t>
        </is>
      </c>
      <c r="I4497" t="inlineStr">
        <is>
          <t>Shipped</t>
        </is>
      </c>
      <c r="J4497" t="n">
        <v>107</v>
      </c>
      <c r="K4497" t="n">
        <v>1</v>
      </c>
      <c r="L4497" s="7" t="n">
        <v>1259</v>
      </c>
      <c r="M4497" s="7" t="n">
        <v>0</v>
      </c>
    </row>
    <row r="4498">
      <c r="A4498" t="n">
        <v>511863</v>
      </c>
      <c r="B4498" s="6" t="n">
        <v>46022</v>
      </c>
      <c r="C4498" t="n">
        <v>17781</v>
      </c>
      <c r="D4498" t="inlineStr">
        <is>
          <t>Chennai</t>
        </is>
      </c>
      <c r="E4498" t="inlineStr">
        <is>
          <t>South</t>
        </is>
      </c>
      <c r="F4498" t="inlineStr">
        <is>
          <t>Paid Search</t>
        </is>
      </c>
      <c r="G4498" t="inlineStr">
        <is>
          <t>Desktop</t>
        </is>
      </c>
      <c r="H4498" t="inlineStr">
        <is>
          <t>Debit Card</t>
        </is>
      </c>
      <c r="I4498" t="inlineStr">
        <is>
          <t>Shipped</t>
        </is>
      </c>
      <c r="J4498" t="n">
        <v>109</v>
      </c>
      <c r="K4498" t="n">
        <v>1</v>
      </c>
      <c r="L4498" s="7" t="n">
        <v>4199</v>
      </c>
      <c r="M4498" s="7" t="n">
        <v>0</v>
      </c>
    </row>
    <row r="4499">
      <c r="A4499" t="n">
        <v>511863</v>
      </c>
      <c r="B4499" s="6" t="n">
        <v>46022</v>
      </c>
      <c r="C4499" t="n">
        <v>17781</v>
      </c>
      <c r="D4499" t="inlineStr">
        <is>
          <t>Chennai</t>
        </is>
      </c>
      <c r="E4499" t="inlineStr">
        <is>
          <t>South</t>
        </is>
      </c>
      <c r="F4499" t="inlineStr">
        <is>
          <t>Paid Search</t>
        </is>
      </c>
      <c r="G4499" t="inlineStr">
        <is>
          <t>Desktop</t>
        </is>
      </c>
      <c r="H4499" t="inlineStr">
        <is>
          <t>Debit Card</t>
        </is>
      </c>
      <c r="I4499" t="inlineStr">
        <is>
          <t>Shipped</t>
        </is>
      </c>
      <c r="J4499" t="n">
        <v>130</v>
      </c>
      <c r="K4499" t="n">
        <v>1</v>
      </c>
      <c r="L4499" s="7" t="n">
        <v>734</v>
      </c>
      <c r="M4499" s="7" t="n">
        <v>0</v>
      </c>
    </row>
    <row r="4500">
      <c r="A4500" t="n">
        <v>511863</v>
      </c>
      <c r="B4500" s="6" t="n">
        <v>46022</v>
      </c>
      <c r="C4500" t="n">
        <v>17781</v>
      </c>
      <c r="D4500" t="inlineStr">
        <is>
          <t>Chennai</t>
        </is>
      </c>
      <c r="E4500" t="inlineStr">
        <is>
          <t>South</t>
        </is>
      </c>
      <c r="F4500" t="inlineStr">
        <is>
          <t>Paid Search</t>
        </is>
      </c>
      <c r="G4500" t="inlineStr">
        <is>
          <t>Desktop</t>
        </is>
      </c>
      <c r="H4500" t="inlineStr">
        <is>
          <t>Debit Card</t>
        </is>
      </c>
      <c r="I4500" t="inlineStr">
        <is>
          <t>Shipped</t>
        </is>
      </c>
      <c r="J4500" t="n">
        <v>134</v>
      </c>
      <c r="K4500" t="n">
        <v>1</v>
      </c>
      <c r="L4500" s="7" t="n">
        <v>209</v>
      </c>
      <c r="M4500" s="7" t="n">
        <v>0</v>
      </c>
    </row>
    <row r="4501">
      <c r="A4501" t="n">
        <v>511863</v>
      </c>
      <c r="B4501" s="6" t="n">
        <v>46022</v>
      </c>
      <c r="C4501" t="n">
        <v>17781</v>
      </c>
      <c r="D4501" t="inlineStr">
        <is>
          <t>Chennai</t>
        </is>
      </c>
      <c r="E4501" t="inlineStr">
        <is>
          <t>South</t>
        </is>
      </c>
      <c r="F4501" t="inlineStr">
        <is>
          <t>Paid Search</t>
        </is>
      </c>
      <c r="G4501" t="inlineStr">
        <is>
          <t>Desktop</t>
        </is>
      </c>
      <c r="H4501" t="inlineStr">
        <is>
          <t>Debit Card</t>
        </is>
      </c>
      <c r="I4501" t="inlineStr">
        <is>
          <t>Shipped</t>
        </is>
      </c>
      <c r="J4501" t="n">
        <v>141</v>
      </c>
      <c r="K4501" t="n">
        <v>1</v>
      </c>
      <c r="L4501" s="7" t="n">
        <v>261</v>
      </c>
      <c r="M4501" s="7" t="n">
        <v>0</v>
      </c>
    </row>
    <row r="4502">
      <c r="A4502" t="n">
        <v>511864</v>
      </c>
      <c r="B4502" s="6" t="n">
        <v>46022</v>
      </c>
      <c r="C4502" t="n">
        <v>17965</v>
      </c>
      <c r="D4502" t="inlineStr">
        <is>
          <t>Gurugram</t>
        </is>
      </c>
      <c r="E4502" t="inlineStr">
        <is>
          <t>North</t>
        </is>
      </c>
      <c r="F4502" t="inlineStr">
        <is>
          <t>Paid Search</t>
        </is>
      </c>
      <c r="G4502" t="inlineStr">
        <is>
          <t>Mobile Web</t>
        </is>
      </c>
      <c r="H4502" t="inlineStr">
        <is>
          <t>Debit Card</t>
        </is>
      </c>
      <c r="I4502" t="inlineStr">
        <is>
          <t>Shipped</t>
        </is>
      </c>
      <c r="J4502" t="n">
        <v>126</v>
      </c>
      <c r="K4502" t="n">
        <v>1</v>
      </c>
      <c r="L4502" s="7" t="n">
        <v>471</v>
      </c>
      <c r="M4502" s="7" t="n">
        <v>70.65000000000001</v>
      </c>
    </row>
    <row r="4503">
      <c r="A4503" t="n">
        <v>511864</v>
      </c>
      <c r="B4503" s="6" t="n">
        <v>46022</v>
      </c>
      <c r="C4503" t="n">
        <v>17965</v>
      </c>
      <c r="D4503" t="inlineStr">
        <is>
          <t>Gurugram</t>
        </is>
      </c>
      <c r="E4503" t="inlineStr">
        <is>
          <t>North</t>
        </is>
      </c>
      <c r="F4503" t="inlineStr">
        <is>
          <t>Paid Search</t>
        </is>
      </c>
      <c r="G4503" t="inlineStr">
        <is>
          <t>Mobile Web</t>
        </is>
      </c>
      <c r="H4503" t="inlineStr">
        <is>
          <t>Debit Card</t>
        </is>
      </c>
      <c r="I4503" t="inlineStr">
        <is>
          <t>Shipped</t>
        </is>
      </c>
      <c r="J4503" t="n">
        <v>118</v>
      </c>
      <c r="K4503" t="n">
        <v>1</v>
      </c>
      <c r="L4503" s="7" t="n">
        <v>944</v>
      </c>
      <c r="M4503" s="7" t="n">
        <v>141.6</v>
      </c>
    </row>
    <row r="4504">
      <c r="A4504" t="n">
        <v>511865</v>
      </c>
      <c r="B4504" s="6" t="n">
        <v>46022</v>
      </c>
      <c r="C4504" t="n">
        <v>17511</v>
      </c>
      <c r="D4504" t="inlineStr">
        <is>
          <t>Pune</t>
        </is>
      </c>
      <c r="E4504" t="inlineStr">
        <is>
          <t>West</t>
        </is>
      </c>
      <c r="F4504" t="inlineStr">
        <is>
          <t>Paid Search</t>
        </is>
      </c>
      <c r="G4504" t="inlineStr">
        <is>
          <t>Mobile Web</t>
        </is>
      </c>
      <c r="H4504" t="inlineStr">
        <is>
          <t>Cash on Delivery</t>
        </is>
      </c>
      <c r="I4504" t="inlineStr">
        <is>
          <t>Shipped</t>
        </is>
      </c>
      <c r="J4504" t="n">
        <v>117</v>
      </c>
      <c r="K4504" t="n">
        <v>1</v>
      </c>
      <c r="L4504" s="7" t="n">
        <v>3149</v>
      </c>
      <c r="M4504" s="7" t="n">
        <v>0</v>
      </c>
    </row>
    <row r="4505">
      <c r="A4505" t="n">
        <v>511866</v>
      </c>
      <c r="B4505" s="6" t="n">
        <v>46022</v>
      </c>
      <c r="C4505" t="n">
        <v>16176</v>
      </c>
      <c r="D4505" t="inlineStr">
        <is>
          <t>Mumbai</t>
        </is>
      </c>
      <c r="E4505" t="inlineStr">
        <is>
          <t>West</t>
        </is>
      </c>
      <c r="F4505" t="inlineStr">
        <is>
          <t>Organic Search</t>
        </is>
      </c>
      <c r="G4505" t="inlineStr">
        <is>
          <t>Mobile Web</t>
        </is>
      </c>
      <c r="H4505" t="inlineStr">
        <is>
          <t>Credit Card</t>
        </is>
      </c>
      <c r="I4505" t="inlineStr">
        <is>
          <t>Shipped</t>
        </is>
      </c>
      <c r="J4505" t="n">
        <v>125</v>
      </c>
      <c r="K4505" t="n">
        <v>2</v>
      </c>
      <c r="L4505" s="7" t="n">
        <v>1364</v>
      </c>
      <c r="M4505" s="7" t="n">
        <v>0</v>
      </c>
    </row>
    <row r="4506">
      <c r="A4506" t="n">
        <v>511866</v>
      </c>
      <c r="B4506" s="6" t="n">
        <v>46022</v>
      </c>
      <c r="C4506" t="n">
        <v>16176</v>
      </c>
      <c r="D4506" t="inlineStr">
        <is>
          <t>Mumbai</t>
        </is>
      </c>
      <c r="E4506" t="inlineStr">
        <is>
          <t>West</t>
        </is>
      </c>
      <c r="F4506" t="inlineStr">
        <is>
          <t>Organic Search</t>
        </is>
      </c>
      <c r="G4506" t="inlineStr">
        <is>
          <t>Mobile Web</t>
        </is>
      </c>
      <c r="H4506" t="inlineStr">
        <is>
          <t>Credit Card</t>
        </is>
      </c>
      <c r="I4506" t="inlineStr">
        <is>
          <t>Shipped</t>
        </is>
      </c>
      <c r="J4506" t="n">
        <v>140</v>
      </c>
      <c r="K4506" t="n">
        <v>1</v>
      </c>
      <c r="L4506" s="7" t="n">
        <v>629</v>
      </c>
      <c r="M4506" s="7" t="n">
        <v>0</v>
      </c>
    </row>
    <row r="4507">
      <c r="A4507" t="n">
        <v>511867</v>
      </c>
      <c r="B4507" s="6" t="n">
        <v>46022</v>
      </c>
      <c r="C4507" t="n">
        <v>17998</v>
      </c>
      <c r="D4507" t="inlineStr">
        <is>
          <t>Chandigarh</t>
        </is>
      </c>
      <c r="E4507" t="inlineStr">
        <is>
          <t>North</t>
        </is>
      </c>
      <c r="F4507" t="inlineStr">
        <is>
          <t>Paid Social</t>
        </is>
      </c>
      <c r="G4507" t="inlineStr">
        <is>
          <t>Mobile App</t>
        </is>
      </c>
      <c r="H4507" t="inlineStr">
        <is>
          <t>Credit Card</t>
        </is>
      </c>
      <c r="I4507" t="inlineStr">
        <is>
          <t>Shipped</t>
        </is>
      </c>
      <c r="J4507" t="n">
        <v>119</v>
      </c>
      <c r="K4507" t="n">
        <v>1</v>
      </c>
      <c r="L4507" s="7" t="n">
        <v>2309</v>
      </c>
      <c r="M4507" s="7" t="n">
        <v>0</v>
      </c>
    </row>
    <row r="4508">
      <c r="A4508" t="n">
        <v>511867</v>
      </c>
      <c r="B4508" s="6" t="n">
        <v>46022</v>
      </c>
      <c r="C4508" t="n">
        <v>17998</v>
      </c>
      <c r="D4508" t="inlineStr">
        <is>
          <t>Chandigarh</t>
        </is>
      </c>
      <c r="E4508" t="inlineStr">
        <is>
          <t>North</t>
        </is>
      </c>
      <c r="F4508" t="inlineStr">
        <is>
          <t>Paid Social</t>
        </is>
      </c>
      <c r="G4508" t="inlineStr">
        <is>
          <t>Mobile App</t>
        </is>
      </c>
      <c r="H4508" t="inlineStr">
        <is>
          <t>Credit Card</t>
        </is>
      </c>
      <c r="I4508" t="inlineStr">
        <is>
          <t>Shipped</t>
        </is>
      </c>
      <c r="J4508" t="n">
        <v>123</v>
      </c>
      <c r="K4508" t="n">
        <v>1</v>
      </c>
      <c r="L4508" s="7" t="n">
        <v>3464</v>
      </c>
      <c r="M4508" s="7" t="n">
        <v>0</v>
      </c>
    </row>
    <row r="4509">
      <c r="A4509" t="n">
        <v>511867</v>
      </c>
      <c r="B4509" s="6" t="n">
        <v>46022</v>
      </c>
      <c r="C4509" t="n">
        <v>17998</v>
      </c>
      <c r="D4509" t="inlineStr">
        <is>
          <t>Chandigarh</t>
        </is>
      </c>
      <c r="E4509" t="inlineStr">
        <is>
          <t>North</t>
        </is>
      </c>
      <c r="F4509" t="inlineStr">
        <is>
          <t>Paid Social</t>
        </is>
      </c>
      <c r="G4509" t="inlineStr">
        <is>
          <t>Mobile App</t>
        </is>
      </c>
      <c r="H4509" t="inlineStr">
        <is>
          <t>Credit Card</t>
        </is>
      </c>
      <c r="I4509" t="inlineStr">
        <is>
          <t>Shipped</t>
        </is>
      </c>
      <c r="J4509" t="n">
        <v>120</v>
      </c>
      <c r="K4509" t="n">
        <v>1</v>
      </c>
      <c r="L4509" s="7" t="n">
        <v>734</v>
      </c>
      <c r="M4509" s="7" t="n">
        <v>0</v>
      </c>
    </row>
    <row r="4510">
      <c r="A4510" t="n">
        <v>511867</v>
      </c>
      <c r="B4510" s="6" t="n">
        <v>46022</v>
      </c>
      <c r="C4510" t="n">
        <v>17998</v>
      </c>
      <c r="D4510" t="inlineStr">
        <is>
          <t>Chandigarh</t>
        </is>
      </c>
      <c r="E4510" t="inlineStr">
        <is>
          <t>North</t>
        </is>
      </c>
      <c r="F4510" t="inlineStr">
        <is>
          <t>Paid Social</t>
        </is>
      </c>
      <c r="G4510" t="inlineStr">
        <is>
          <t>Mobile App</t>
        </is>
      </c>
      <c r="H4510" t="inlineStr">
        <is>
          <t>Credit Card</t>
        </is>
      </c>
      <c r="I4510" t="inlineStr">
        <is>
          <t>Shipped</t>
        </is>
      </c>
      <c r="J4510" t="n">
        <v>117</v>
      </c>
      <c r="K4510" t="n">
        <v>1</v>
      </c>
      <c r="L4510" s="7" t="n">
        <v>3149</v>
      </c>
      <c r="M4510" s="7" t="n">
        <v>0</v>
      </c>
    </row>
    <row r="4511">
      <c r="A4511" t="n">
        <v>511868</v>
      </c>
      <c r="B4511" s="6" t="n">
        <v>46022</v>
      </c>
      <c r="C4511" t="n">
        <v>17943</v>
      </c>
      <c r="D4511" t="inlineStr">
        <is>
          <t>Chandigarh</t>
        </is>
      </c>
      <c r="E4511" t="inlineStr">
        <is>
          <t>North</t>
        </is>
      </c>
      <c r="F4511" t="inlineStr">
        <is>
          <t>Organic Search</t>
        </is>
      </c>
      <c r="G4511" t="inlineStr">
        <is>
          <t>Mobile Web</t>
        </is>
      </c>
      <c r="H4511" t="inlineStr">
        <is>
          <t>UPI</t>
        </is>
      </c>
      <c r="I4511" t="inlineStr">
        <is>
          <t>Shipped</t>
        </is>
      </c>
      <c r="J4511" t="n">
        <v>136</v>
      </c>
      <c r="K4511" t="n">
        <v>2</v>
      </c>
      <c r="L4511" s="7" t="n">
        <v>944</v>
      </c>
      <c r="M4511" s="7" t="n">
        <v>283.2</v>
      </c>
    </row>
    <row r="4512">
      <c r="A4512" t="n">
        <v>511868</v>
      </c>
      <c r="B4512" s="6" t="n">
        <v>46022</v>
      </c>
      <c r="C4512" t="n">
        <v>17943</v>
      </c>
      <c r="D4512" t="inlineStr">
        <is>
          <t>Chandigarh</t>
        </is>
      </c>
      <c r="E4512" t="inlineStr">
        <is>
          <t>North</t>
        </is>
      </c>
      <c r="F4512" t="inlineStr">
        <is>
          <t>Organic Search</t>
        </is>
      </c>
      <c r="G4512" t="inlineStr">
        <is>
          <t>Mobile Web</t>
        </is>
      </c>
      <c r="H4512" t="inlineStr">
        <is>
          <t>UPI</t>
        </is>
      </c>
      <c r="I4512" t="inlineStr">
        <is>
          <t>Shipped</t>
        </is>
      </c>
      <c r="J4512" t="n">
        <v>123</v>
      </c>
      <c r="K4512" t="n">
        <v>1</v>
      </c>
      <c r="L4512" s="7" t="n">
        <v>3464</v>
      </c>
      <c r="M4512" s="7" t="n">
        <v>519.6</v>
      </c>
    </row>
    <row r="4513">
      <c r="A4513" t="n">
        <v>511868</v>
      </c>
      <c r="B4513" s="6" t="n">
        <v>46022</v>
      </c>
      <c r="C4513" t="n">
        <v>17943</v>
      </c>
      <c r="D4513" t="inlineStr">
        <is>
          <t>Chandigarh</t>
        </is>
      </c>
      <c r="E4513" t="inlineStr">
        <is>
          <t>North</t>
        </is>
      </c>
      <c r="F4513" t="inlineStr">
        <is>
          <t>Organic Search</t>
        </is>
      </c>
      <c r="G4513" t="inlineStr">
        <is>
          <t>Mobile Web</t>
        </is>
      </c>
      <c r="H4513" t="inlineStr">
        <is>
          <t>UPI</t>
        </is>
      </c>
      <c r="I4513" t="inlineStr">
        <is>
          <t>Shipped</t>
        </is>
      </c>
      <c r="J4513" t="n">
        <v>113</v>
      </c>
      <c r="K4513" t="n">
        <v>1</v>
      </c>
      <c r="L4513" s="7" t="n">
        <v>1364</v>
      </c>
      <c r="M4513" s="7" t="n">
        <v>204.6</v>
      </c>
    </row>
    <row r="4514">
      <c r="A4514" t="n">
        <v>511869</v>
      </c>
      <c r="B4514" s="6" t="n">
        <v>46022</v>
      </c>
      <c r="C4514" t="n">
        <v>17997</v>
      </c>
      <c r="D4514" t="inlineStr">
        <is>
          <t>Kolkata</t>
        </is>
      </c>
      <c r="E4514" t="inlineStr">
        <is>
          <t>East</t>
        </is>
      </c>
      <c r="F4514" t="inlineStr">
        <is>
          <t>Email</t>
        </is>
      </c>
      <c r="G4514" t="inlineStr">
        <is>
          <t>Mobile App</t>
        </is>
      </c>
      <c r="H4514" t="inlineStr">
        <is>
          <t>UPI</t>
        </is>
      </c>
      <c r="I4514" t="inlineStr">
        <is>
          <t>Shipped</t>
        </is>
      </c>
      <c r="J4514" t="n">
        <v>140</v>
      </c>
      <c r="K4514" t="n">
        <v>1</v>
      </c>
      <c r="L4514" s="7" t="n">
        <v>629</v>
      </c>
      <c r="M4514" s="7" t="n">
        <v>0</v>
      </c>
    </row>
    <row r="4515">
      <c r="A4515" t="n">
        <v>511869</v>
      </c>
      <c r="B4515" s="6" t="n">
        <v>46022</v>
      </c>
      <c r="C4515" t="n">
        <v>17997</v>
      </c>
      <c r="D4515" t="inlineStr">
        <is>
          <t>Kolkata</t>
        </is>
      </c>
      <c r="E4515" t="inlineStr">
        <is>
          <t>East</t>
        </is>
      </c>
      <c r="F4515" t="inlineStr">
        <is>
          <t>Email</t>
        </is>
      </c>
      <c r="G4515" t="inlineStr">
        <is>
          <t>Mobile App</t>
        </is>
      </c>
      <c r="H4515" t="inlineStr">
        <is>
          <t>UPI</t>
        </is>
      </c>
      <c r="I4515" t="inlineStr">
        <is>
          <t>Shipped</t>
        </is>
      </c>
      <c r="J4515" t="n">
        <v>105</v>
      </c>
      <c r="K4515" t="n">
        <v>1</v>
      </c>
      <c r="L4515" s="7" t="n">
        <v>2414</v>
      </c>
      <c r="M4515" s="7" t="n">
        <v>0</v>
      </c>
    </row>
    <row r="4516">
      <c r="A4516" t="n">
        <v>511870</v>
      </c>
      <c r="B4516" s="6" t="n">
        <v>46022</v>
      </c>
      <c r="C4516" t="n">
        <v>15652</v>
      </c>
      <c r="D4516" t="inlineStr">
        <is>
          <t>Delhi</t>
        </is>
      </c>
      <c r="E4516" t="inlineStr">
        <is>
          <t>North</t>
        </is>
      </c>
      <c r="F4516" t="inlineStr">
        <is>
          <t>Email</t>
        </is>
      </c>
      <c r="G4516" t="inlineStr">
        <is>
          <t>Mobile App</t>
        </is>
      </c>
      <c r="H4516" t="inlineStr">
        <is>
          <t>UPI</t>
        </is>
      </c>
      <c r="I4516" t="inlineStr">
        <is>
          <t>Shipped</t>
        </is>
      </c>
      <c r="J4516" t="n">
        <v>141</v>
      </c>
      <c r="K4516" t="n">
        <v>1</v>
      </c>
      <c r="L4516" s="7" t="n">
        <v>261</v>
      </c>
      <c r="M4516" s="7" t="n">
        <v>0</v>
      </c>
    </row>
    <row r="4517">
      <c r="A4517" t="n">
        <v>511870</v>
      </c>
      <c r="B4517" s="6" t="n">
        <v>46022</v>
      </c>
      <c r="C4517" t="n">
        <v>15652</v>
      </c>
      <c r="D4517" t="inlineStr">
        <is>
          <t>Delhi</t>
        </is>
      </c>
      <c r="E4517" t="inlineStr">
        <is>
          <t>North</t>
        </is>
      </c>
      <c r="F4517" t="inlineStr">
        <is>
          <t>Email</t>
        </is>
      </c>
      <c r="G4517" t="inlineStr">
        <is>
          <t>Mobile App</t>
        </is>
      </c>
      <c r="H4517" t="inlineStr">
        <is>
          <t>UPI</t>
        </is>
      </c>
      <c r="I4517" t="inlineStr">
        <is>
          <t>Shipped</t>
        </is>
      </c>
      <c r="J4517" t="n">
        <v>126</v>
      </c>
      <c r="K4517" t="n">
        <v>1</v>
      </c>
      <c r="L4517" s="7" t="n">
        <v>471</v>
      </c>
      <c r="M4517" s="7" t="n">
        <v>0</v>
      </c>
    </row>
    <row r="4518">
      <c r="A4518" t="n">
        <v>511870</v>
      </c>
      <c r="B4518" s="6" t="n">
        <v>46022</v>
      </c>
      <c r="C4518" t="n">
        <v>15652</v>
      </c>
      <c r="D4518" t="inlineStr">
        <is>
          <t>Delhi</t>
        </is>
      </c>
      <c r="E4518" t="inlineStr">
        <is>
          <t>North</t>
        </is>
      </c>
      <c r="F4518" t="inlineStr">
        <is>
          <t>Email</t>
        </is>
      </c>
      <c r="G4518" t="inlineStr">
        <is>
          <t>Mobile App</t>
        </is>
      </c>
      <c r="H4518" t="inlineStr">
        <is>
          <t>UPI</t>
        </is>
      </c>
      <c r="I4518" t="inlineStr">
        <is>
          <t>Shipped</t>
        </is>
      </c>
      <c r="J4518" t="n">
        <v>121</v>
      </c>
      <c r="K4518" t="n">
        <v>1</v>
      </c>
      <c r="L4518" s="7" t="n">
        <v>2939</v>
      </c>
      <c r="M4518" s="7" t="n">
        <v>0</v>
      </c>
    </row>
    <row r="4519">
      <c r="A4519" t="n">
        <v>511871</v>
      </c>
      <c r="B4519" s="6" t="n">
        <v>46022</v>
      </c>
      <c r="C4519" t="n">
        <v>17961</v>
      </c>
      <c r="D4519" t="inlineStr">
        <is>
          <t>Delhi</t>
        </is>
      </c>
      <c r="E4519" t="inlineStr">
        <is>
          <t>North</t>
        </is>
      </c>
      <c r="F4519" t="inlineStr">
        <is>
          <t>Affiliate</t>
        </is>
      </c>
      <c r="G4519" t="inlineStr">
        <is>
          <t>Mobile App</t>
        </is>
      </c>
      <c r="H4519" t="inlineStr">
        <is>
          <t>UPI</t>
        </is>
      </c>
      <c r="I4519" t="inlineStr">
        <is>
          <t>Shipped</t>
        </is>
      </c>
      <c r="J4519" t="n">
        <v>109</v>
      </c>
      <c r="K4519" t="n">
        <v>1</v>
      </c>
      <c r="L4519" s="7" t="n">
        <v>4199</v>
      </c>
      <c r="M4519" s="7" t="n">
        <v>629.85</v>
      </c>
    </row>
    <row r="4520">
      <c r="A4520" t="n">
        <v>511872</v>
      </c>
      <c r="B4520" s="6" t="n">
        <v>46022</v>
      </c>
      <c r="C4520" t="n">
        <v>17772</v>
      </c>
      <c r="D4520" t="inlineStr">
        <is>
          <t>Noida</t>
        </is>
      </c>
      <c r="E4520" t="inlineStr">
        <is>
          <t>North</t>
        </is>
      </c>
      <c r="F4520" t="inlineStr">
        <is>
          <t>Email</t>
        </is>
      </c>
      <c r="G4520" t="inlineStr">
        <is>
          <t>Mobile Web</t>
        </is>
      </c>
      <c r="H4520" t="inlineStr">
        <is>
          <t>Credit Card</t>
        </is>
      </c>
      <c r="I4520" t="inlineStr">
        <is>
          <t>Shipped</t>
        </is>
      </c>
      <c r="J4520" t="n">
        <v>111</v>
      </c>
      <c r="K4520" t="n">
        <v>1</v>
      </c>
      <c r="L4520" s="7" t="n">
        <v>524</v>
      </c>
      <c r="M4520" s="7" t="n">
        <v>78.59999999999999</v>
      </c>
    </row>
    <row r="4521">
      <c r="A4521" t="n">
        <v>511873</v>
      </c>
      <c r="B4521" s="6" t="n">
        <v>46022</v>
      </c>
      <c r="C4521" t="n">
        <v>17985</v>
      </c>
      <c r="D4521" t="inlineStr">
        <is>
          <t>Mumbai</t>
        </is>
      </c>
      <c r="E4521" t="inlineStr">
        <is>
          <t>West</t>
        </is>
      </c>
      <c r="F4521" t="inlineStr">
        <is>
          <t>Paid Social</t>
        </is>
      </c>
      <c r="G4521" t="inlineStr">
        <is>
          <t>Mobile Web</t>
        </is>
      </c>
      <c r="H4521" t="inlineStr">
        <is>
          <t>Cash on Delivery</t>
        </is>
      </c>
      <c r="I4521" t="inlineStr">
        <is>
          <t>Shipped</t>
        </is>
      </c>
      <c r="J4521" t="n">
        <v>141</v>
      </c>
      <c r="K4521" t="n">
        <v>1</v>
      </c>
      <c r="L4521" s="7" t="n">
        <v>261</v>
      </c>
      <c r="M4521" s="7" t="n">
        <v>0</v>
      </c>
    </row>
    <row r="4522">
      <c r="A4522" t="n">
        <v>511874</v>
      </c>
      <c r="B4522" s="6" t="n">
        <v>46022</v>
      </c>
      <c r="C4522" t="n">
        <v>17855</v>
      </c>
      <c r="D4522" t="inlineStr">
        <is>
          <t>Delhi</t>
        </is>
      </c>
      <c r="E4522" t="inlineStr">
        <is>
          <t>North</t>
        </is>
      </c>
      <c r="F4522" t="inlineStr">
        <is>
          <t>Organic Search</t>
        </is>
      </c>
      <c r="G4522" t="inlineStr">
        <is>
          <t>Mobile Web</t>
        </is>
      </c>
      <c r="H4522" t="inlineStr">
        <is>
          <t>Cash on Delivery</t>
        </is>
      </c>
      <c r="I4522" t="inlineStr">
        <is>
          <t>Cancelled</t>
        </is>
      </c>
      <c r="J4522" t="n">
        <v>130</v>
      </c>
      <c r="K4522" t="n">
        <v>1</v>
      </c>
      <c r="L4522" s="7" t="n">
        <v>734</v>
      </c>
      <c r="M4522" s="7" t="n">
        <v>0</v>
      </c>
    </row>
    <row r="4523">
      <c r="A4523" t="n">
        <v>511874</v>
      </c>
      <c r="B4523" s="6" t="n">
        <v>46022</v>
      </c>
      <c r="C4523" t="n">
        <v>17855</v>
      </c>
      <c r="D4523" t="inlineStr">
        <is>
          <t>Delhi</t>
        </is>
      </c>
      <c r="E4523" t="inlineStr">
        <is>
          <t>North</t>
        </is>
      </c>
      <c r="F4523" t="inlineStr">
        <is>
          <t>Organic Search</t>
        </is>
      </c>
      <c r="G4523" t="inlineStr">
        <is>
          <t>Mobile Web</t>
        </is>
      </c>
      <c r="H4523" t="inlineStr">
        <is>
          <t>Cash on Delivery</t>
        </is>
      </c>
      <c r="I4523" t="inlineStr">
        <is>
          <t>Cancelled</t>
        </is>
      </c>
      <c r="J4523" t="n">
        <v>120</v>
      </c>
      <c r="K4523" t="n">
        <v>1</v>
      </c>
      <c r="L4523" s="7" t="n">
        <v>734</v>
      </c>
      <c r="M4523" s="7" t="n">
        <v>0</v>
      </c>
    </row>
    <row r="4524">
      <c r="A4524" t="n">
        <v>511874</v>
      </c>
      <c r="B4524" s="6" t="n">
        <v>46022</v>
      </c>
      <c r="C4524" t="n">
        <v>17855</v>
      </c>
      <c r="D4524" t="inlineStr">
        <is>
          <t>Delhi</t>
        </is>
      </c>
      <c r="E4524" t="inlineStr">
        <is>
          <t>North</t>
        </is>
      </c>
      <c r="F4524" t="inlineStr">
        <is>
          <t>Organic Search</t>
        </is>
      </c>
      <c r="G4524" t="inlineStr">
        <is>
          <t>Mobile Web</t>
        </is>
      </c>
      <c r="H4524" t="inlineStr">
        <is>
          <t>Cash on Delivery</t>
        </is>
      </c>
      <c r="I4524" t="inlineStr">
        <is>
          <t>Cancelled</t>
        </is>
      </c>
      <c r="J4524" t="n">
        <v>131</v>
      </c>
      <c r="K4524" t="n">
        <v>2</v>
      </c>
      <c r="L4524" s="7" t="n">
        <v>314</v>
      </c>
      <c r="M4524" s="7" t="n">
        <v>0</v>
      </c>
    </row>
    <row r="4525">
      <c r="A4525" t="n">
        <v>511875</v>
      </c>
      <c r="B4525" s="6" t="n">
        <v>46022</v>
      </c>
      <c r="C4525" t="n">
        <v>17030</v>
      </c>
      <c r="D4525" t="inlineStr">
        <is>
          <t>Delhi</t>
        </is>
      </c>
      <c r="E4525" t="inlineStr">
        <is>
          <t>North</t>
        </is>
      </c>
      <c r="F4525" t="inlineStr">
        <is>
          <t>Organic Search</t>
        </is>
      </c>
      <c r="G4525" t="inlineStr">
        <is>
          <t>Desktop</t>
        </is>
      </c>
      <c r="H4525" t="inlineStr">
        <is>
          <t>UPI</t>
        </is>
      </c>
      <c r="I4525" t="inlineStr">
        <is>
          <t>Shipped</t>
        </is>
      </c>
      <c r="J4525" t="n">
        <v>126</v>
      </c>
      <c r="K4525" t="n">
        <v>1</v>
      </c>
      <c r="L4525" s="7" t="n">
        <v>471</v>
      </c>
      <c r="M4525" s="7" t="n">
        <v>0</v>
      </c>
    </row>
    <row r="4526">
      <c r="A4526" t="n">
        <v>511876</v>
      </c>
      <c r="B4526" s="6" t="n">
        <v>46022</v>
      </c>
      <c r="C4526" t="n">
        <v>16768</v>
      </c>
      <c r="D4526" t="inlineStr">
        <is>
          <t>Kolkata</t>
        </is>
      </c>
      <c r="E4526" t="inlineStr">
        <is>
          <t>East</t>
        </is>
      </c>
      <c r="F4526" t="inlineStr">
        <is>
          <t>Paid Search</t>
        </is>
      </c>
      <c r="G4526" t="inlineStr">
        <is>
          <t>Mobile App</t>
        </is>
      </c>
      <c r="H4526" t="inlineStr">
        <is>
          <t>Credit Card</t>
        </is>
      </c>
      <c r="I4526" t="inlineStr">
        <is>
          <t>Shipped</t>
        </is>
      </c>
      <c r="J4526" t="n">
        <v>134</v>
      </c>
      <c r="K4526" t="n">
        <v>1</v>
      </c>
      <c r="L4526" s="7" t="n">
        <v>209</v>
      </c>
      <c r="M4526" s="7" t="n">
        <v>0</v>
      </c>
    </row>
    <row r="4527">
      <c r="A4527" t="n">
        <v>511877</v>
      </c>
      <c r="B4527" s="6" t="n">
        <v>46022</v>
      </c>
      <c r="C4527" t="n">
        <v>15761</v>
      </c>
      <c r="D4527" t="inlineStr">
        <is>
          <t>Lucknow</t>
        </is>
      </c>
      <c r="E4527" t="inlineStr">
        <is>
          <t>North</t>
        </is>
      </c>
      <c r="F4527" t="inlineStr">
        <is>
          <t>Paid Social</t>
        </is>
      </c>
      <c r="G4527" t="inlineStr">
        <is>
          <t>Desktop</t>
        </is>
      </c>
      <c r="H4527" t="inlineStr">
        <is>
          <t>UPI</t>
        </is>
      </c>
      <c r="I4527" t="inlineStr">
        <is>
          <t>Shipped</t>
        </is>
      </c>
      <c r="J4527" t="n">
        <v>123</v>
      </c>
      <c r="K4527" t="n">
        <v>1</v>
      </c>
      <c r="L4527" s="7" t="n">
        <v>3464</v>
      </c>
      <c r="M4527" s="7" t="n">
        <v>0</v>
      </c>
    </row>
    <row r="4528">
      <c r="A4528" t="n">
        <v>511877</v>
      </c>
      <c r="B4528" s="6" t="n">
        <v>46022</v>
      </c>
      <c r="C4528" t="n">
        <v>15761</v>
      </c>
      <c r="D4528" t="inlineStr">
        <is>
          <t>Lucknow</t>
        </is>
      </c>
      <c r="E4528" t="inlineStr">
        <is>
          <t>North</t>
        </is>
      </c>
      <c r="F4528" t="inlineStr">
        <is>
          <t>Paid Social</t>
        </is>
      </c>
      <c r="G4528" t="inlineStr">
        <is>
          <t>Desktop</t>
        </is>
      </c>
      <c r="H4528" t="inlineStr">
        <is>
          <t>UPI</t>
        </is>
      </c>
      <c r="I4528" t="inlineStr">
        <is>
          <t>Shipped</t>
        </is>
      </c>
      <c r="J4528" t="n">
        <v>107</v>
      </c>
      <c r="K4528" t="n">
        <v>2</v>
      </c>
      <c r="L4528" s="7" t="n">
        <v>1259</v>
      </c>
      <c r="M4528" s="7" t="n">
        <v>0</v>
      </c>
    </row>
    <row r="4529">
      <c r="A4529" t="n">
        <v>511878</v>
      </c>
      <c r="B4529" s="6" t="n">
        <v>46022</v>
      </c>
      <c r="C4529" t="n">
        <v>17064</v>
      </c>
      <c r="D4529" t="inlineStr">
        <is>
          <t>Chandigarh</t>
        </is>
      </c>
      <c r="E4529" t="inlineStr">
        <is>
          <t>North</t>
        </is>
      </c>
      <c r="F4529" t="inlineStr">
        <is>
          <t>Email</t>
        </is>
      </c>
      <c r="G4529" t="inlineStr">
        <is>
          <t>Mobile Web</t>
        </is>
      </c>
      <c r="H4529" t="inlineStr">
        <is>
          <t>UPI</t>
        </is>
      </c>
      <c r="I4529" t="inlineStr">
        <is>
          <t>Shipped</t>
        </is>
      </c>
      <c r="J4529" t="n">
        <v>113</v>
      </c>
      <c r="K4529" t="n">
        <v>1</v>
      </c>
      <c r="L4529" s="7" t="n">
        <v>1364</v>
      </c>
      <c r="M4529" s="7" t="n">
        <v>68.2</v>
      </c>
    </row>
    <row r="4530">
      <c r="A4530" t="n">
        <v>511878</v>
      </c>
      <c r="B4530" s="6" t="n">
        <v>46022</v>
      </c>
      <c r="C4530" t="n">
        <v>17064</v>
      </c>
      <c r="D4530" t="inlineStr">
        <is>
          <t>Chandigarh</t>
        </is>
      </c>
      <c r="E4530" t="inlineStr">
        <is>
          <t>North</t>
        </is>
      </c>
      <c r="F4530" t="inlineStr">
        <is>
          <t>Email</t>
        </is>
      </c>
      <c r="G4530" t="inlineStr">
        <is>
          <t>Mobile Web</t>
        </is>
      </c>
      <c r="H4530" t="inlineStr">
        <is>
          <t>UPI</t>
        </is>
      </c>
      <c r="I4530" t="inlineStr">
        <is>
          <t>Shipped</t>
        </is>
      </c>
      <c r="J4530" t="n">
        <v>130</v>
      </c>
      <c r="K4530" t="n">
        <v>1</v>
      </c>
      <c r="L4530" s="7" t="n">
        <v>734</v>
      </c>
      <c r="M4530" s="7" t="n">
        <v>36.7</v>
      </c>
    </row>
    <row r="4531">
      <c r="A4531" t="n">
        <v>511879</v>
      </c>
      <c r="B4531" s="6" t="n">
        <v>46022</v>
      </c>
      <c r="C4531" t="n">
        <v>15125</v>
      </c>
      <c r="D4531" t="inlineStr">
        <is>
          <t>Pune</t>
        </is>
      </c>
      <c r="E4531" t="inlineStr">
        <is>
          <t>West</t>
        </is>
      </c>
      <c r="F4531" t="inlineStr">
        <is>
          <t>Organic Search</t>
        </is>
      </c>
      <c r="G4531" t="inlineStr">
        <is>
          <t>Mobile App</t>
        </is>
      </c>
      <c r="H4531" t="inlineStr">
        <is>
          <t>UPI</t>
        </is>
      </c>
      <c r="I4531" t="inlineStr">
        <is>
          <t>Shipped</t>
        </is>
      </c>
      <c r="J4531" t="n">
        <v>123</v>
      </c>
      <c r="K4531" t="n">
        <v>1</v>
      </c>
      <c r="L4531" s="7" t="n">
        <v>3464</v>
      </c>
      <c r="M4531" s="7" t="n">
        <v>0</v>
      </c>
    </row>
    <row r="4532">
      <c r="A4532" t="n">
        <v>511879</v>
      </c>
      <c r="B4532" s="6" t="n">
        <v>46022</v>
      </c>
      <c r="C4532" t="n">
        <v>15125</v>
      </c>
      <c r="D4532" t="inlineStr">
        <is>
          <t>Pune</t>
        </is>
      </c>
      <c r="E4532" t="inlineStr">
        <is>
          <t>West</t>
        </is>
      </c>
      <c r="F4532" t="inlineStr">
        <is>
          <t>Organic Search</t>
        </is>
      </c>
      <c r="G4532" t="inlineStr">
        <is>
          <t>Mobile App</t>
        </is>
      </c>
      <c r="H4532" t="inlineStr">
        <is>
          <t>UPI</t>
        </is>
      </c>
      <c r="I4532" t="inlineStr">
        <is>
          <t>Shipped</t>
        </is>
      </c>
      <c r="J4532" t="n">
        <v>111</v>
      </c>
      <c r="K4532" t="n">
        <v>1</v>
      </c>
      <c r="L4532" s="7" t="n">
        <v>524</v>
      </c>
      <c r="M4532" s="7" t="n">
        <v>0</v>
      </c>
    </row>
    <row r="4533">
      <c r="A4533" t="n">
        <v>511880</v>
      </c>
      <c r="B4533" s="6" t="n">
        <v>46022</v>
      </c>
      <c r="C4533" t="n">
        <v>15287</v>
      </c>
      <c r="D4533" t="inlineStr">
        <is>
          <t>Ahmedabad</t>
        </is>
      </c>
      <c r="E4533" t="inlineStr">
        <is>
          <t>West</t>
        </is>
      </c>
      <c r="F4533" t="inlineStr">
        <is>
          <t>Referral</t>
        </is>
      </c>
      <c r="G4533" t="inlineStr">
        <is>
          <t>Mobile App</t>
        </is>
      </c>
      <c r="H4533" t="inlineStr">
        <is>
          <t>UPI</t>
        </is>
      </c>
      <c r="I4533" t="inlineStr">
        <is>
          <t>Shipped</t>
        </is>
      </c>
      <c r="J4533" t="n">
        <v>116</v>
      </c>
      <c r="K4533" t="n">
        <v>1</v>
      </c>
      <c r="L4533" s="7" t="n">
        <v>2624</v>
      </c>
      <c r="M4533" s="7" t="n">
        <v>0</v>
      </c>
    </row>
    <row r="4534">
      <c r="A4534" t="n">
        <v>511880</v>
      </c>
      <c r="B4534" s="6" t="n">
        <v>46022</v>
      </c>
      <c r="C4534" t="n">
        <v>15287</v>
      </c>
      <c r="D4534" t="inlineStr">
        <is>
          <t>Ahmedabad</t>
        </is>
      </c>
      <c r="E4534" t="inlineStr">
        <is>
          <t>West</t>
        </is>
      </c>
      <c r="F4534" t="inlineStr">
        <is>
          <t>Referral</t>
        </is>
      </c>
      <c r="G4534" t="inlineStr">
        <is>
          <t>Mobile App</t>
        </is>
      </c>
      <c r="H4534" t="inlineStr">
        <is>
          <t>UPI</t>
        </is>
      </c>
      <c r="I4534" t="inlineStr">
        <is>
          <t>Shipped</t>
        </is>
      </c>
      <c r="J4534" t="n">
        <v>101</v>
      </c>
      <c r="K4534" t="n">
        <v>1</v>
      </c>
      <c r="L4534" s="7" t="n">
        <v>2099</v>
      </c>
      <c r="M4534" s="7" t="n">
        <v>0</v>
      </c>
    </row>
    <row r="4535">
      <c r="A4535" t="n">
        <v>511880</v>
      </c>
      <c r="B4535" s="6" t="n">
        <v>46022</v>
      </c>
      <c r="C4535" t="n">
        <v>15287</v>
      </c>
      <c r="D4535" t="inlineStr">
        <is>
          <t>Ahmedabad</t>
        </is>
      </c>
      <c r="E4535" t="inlineStr">
        <is>
          <t>West</t>
        </is>
      </c>
      <c r="F4535" t="inlineStr">
        <is>
          <t>Referral</t>
        </is>
      </c>
      <c r="G4535" t="inlineStr">
        <is>
          <t>Mobile App</t>
        </is>
      </c>
      <c r="H4535" t="inlineStr">
        <is>
          <t>UPI</t>
        </is>
      </c>
      <c r="I4535" t="inlineStr">
        <is>
          <t>Shipped</t>
        </is>
      </c>
      <c r="J4535" t="n">
        <v>107</v>
      </c>
      <c r="K4535" t="n">
        <v>2</v>
      </c>
      <c r="L4535" s="7" t="n">
        <v>1259</v>
      </c>
      <c r="M4535" s="7" t="n">
        <v>0</v>
      </c>
    </row>
    <row r="4536">
      <c r="A4536" t="n">
        <v>511881</v>
      </c>
      <c r="B4536" s="6" t="n">
        <v>46022</v>
      </c>
      <c r="C4536" t="n">
        <v>13248</v>
      </c>
      <c r="D4536" t="inlineStr">
        <is>
          <t>Delhi</t>
        </is>
      </c>
      <c r="E4536" t="inlineStr">
        <is>
          <t>North</t>
        </is>
      </c>
      <c r="F4536" t="inlineStr">
        <is>
          <t>Paid Search</t>
        </is>
      </c>
      <c r="G4536" t="inlineStr">
        <is>
          <t>Mobile App</t>
        </is>
      </c>
      <c r="H4536" t="inlineStr">
        <is>
          <t>UPI</t>
        </is>
      </c>
      <c r="I4536" t="inlineStr">
        <is>
          <t>Shipped</t>
        </is>
      </c>
      <c r="J4536" t="n">
        <v>125</v>
      </c>
      <c r="K4536" t="n">
        <v>1</v>
      </c>
      <c r="L4536" s="7" t="n">
        <v>1364</v>
      </c>
      <c r="M4536" s="7" t="n">
        <v>68.2</v>
      </c>
    </row>
    <row r="4537">
      <c r="A4537" t="n">
        <v>511881</v>
      </c>
      <c r="B4537" s="6" t="n">
        <v>46022</v>
      </c>
      <c r="C4537" t="n">
        <v>13248</v>
      </c>
      <c r="D4537" t="inlineStr">
        <is>
          <t>Delhi</t>
        </is>
      </c>
      <c r="E4537" t="inlineStr">
        <is>
          <t>North</t>
        </is>
      </c>
      <c r="F4537" t="inlineStr">
        <is>
          <t>Paid Search</t>
        </is>
      </c>
      <c r="G4537" t="inlineStr">
        <is>
          <t>Mobile App</t>
        </is>
      </c>
      <c r="H4537" t="inlineStr">
        <is>
          <t>UPI</t>
        </is>
      </c>
      <c r="I4537" t="inlineStr">
        <is>
          <t>Shipped</t>
        </is>
      </c>
      <c r="J4537" t="n">
        <v>138</v>
      </c>
      <c r="K4537" t="n">
        <v>3</v>
      </c>
      <c r="L4537" s="7" t="n">
        <v>419</v>
      </c>
      <c r="M4537" s="7" t="n">
        <v>62.85</v>
      </c>
    </row>
    <row r="4538">
      <c r="A4538" t="n">
        <v>511882</v>
      </c>
      <c r="B4538" s="6" t="n">
        <v>46022</v>
      </c>
      <c r="C4538" t="n">
        <v>16389</v>
      </c>
      <c r="D4538" t="inlineStr">
        <is>
          <t>Bengaluru</t>
        </is>
      </c>
      <c r="E4538" t="inlineStr">
        <is>
          <t>South</t>
        </is>
      </c>
      <c r="F4538" t="inlineStr">
        <is>
          <t>Organic Search</t>
        </is>
      </c>
      <c r="G4538" t="inlineStr">
        <is>
          <t>Desktop</t>
        </is>
      </c>
      <c r="H4538" t="inlineStr">
        <is>
          <t>Cash on Delivery</t>
        </is>
      </c>
      <c r="I4538" t="inlineStr">
        <is>
          <t>Shipped</t>
        </is>
      </c>
      <c r="J4538" t="n">
        <v>114</v>
      </c>
      <c r="K4538" t="n">
        <v>1</v>
      </c>
      <c r="L4538" s="7" t="n">
        <v>1259</v>
      </c>
      <c r="M4538" s="7" t="n">
        <v>0</v>
      </c>
    </row>
    <row r="4539">
      <c r="A4539" t="n">
        <v>511883</v>
      </c>
      <c r="B4539" s="6" t="n">
        <v>46022</v>
      </c>
      <c r="C4539" t="n">
        <v>17618</v>
      </c>
      <c r="D4539" t="inlineStr">
        <is>
          <t>Kochi</t>
        </is>
      </c>
      <c r="E4539" t="inlineStr">
        <is>
          <t>South</t>
        </is>
      </c>
      <c r="F4539" t="inlineStr">
        <is>
          <t>Paid Search</t>
        </is>
      </c>
      <c r="G4539" t="inlineStr">
        <is>
          <t>Mobile App</t>
        </is>
      </c>
      <c r="H4539" t="inlineStr">
        <is>
          <t>UPI</t>
        </is>
      </c>
      <c r="I4539" t="inlineStr">
        <is>
          <t>Shipped</t>
        </is>
      </c>
      <c r="J4539" t="n">
        <v>126</v>
      </c>
      <c r="K4539" t="n">
        <v>1</v>
      </c>
      <c r="L4539" s="7" t="n">
        <v>471</v>
      </c>
      <c r="M4539" s="7" t="n">
        <v>0</v>
      </c>
    </row>
    <row r="4540">
      <c r="A4540" t="n">
        <v>511883</v>
      </c>
      <c r="B4540" s="6" t="n">
        <v>46022</v>
      </c>
      <c r="C4540" t="n">
        <v>17618</v>
      </c>
      <c r="D4540" t="inlineStr">
        <is>
          <t>Kochi</t>
        </is>
      </c>
      <c r="E4540" t="inlineStr">
        <is>
          <t>South</t>
        </is>
      </c>
      <c r="F4540" t="inlineStr">
        <is>
          <t>Paid Search</t>
        </is>
      </c>
      <c r="G4540" t="inlineStr">
        <is>
          <t>Mobile App</t>
        </is>
      </c>
      <c r="H4540" t="inlineStr">
        <is>
          <t>UPI</t>
        </is>
      </c>
      <c r="I4540" t="inlineStr">
        <is>
          <t>Shipped</t>
        </is>
      </c>
      <c r="J4540" t="n">
        <v>144</v>
      </c>
      <c r="K4540" t="n">
        <v>1</v>
      </c>
      <c r="L4540" s="7" t="n">
        <v>3149</v>
      </c>
      <c r="M4540" s="7" t="n">
        <v>0</v>
      </c>
    </row>
    <row r="4541">
      <c r="A4541" t="n">
        <v>511884</v>
      </c>
      <c r="B4541" s="6" t="n">
        <v>46022</v>
      </c>
      <c r="C4541" t="n">
        <v>17972</v>
      </c>
      <c r="D4541" t="inlineStr">
        <is>
          <t>Gurugram</t>
        </is>
      </c>
      <c r="E4541" t="inlineStr">
        <is>
          <t>North</t>
        </is>
      </c>
      <c r="F4541" t="inlineStr">
        <is>
          <t>Paid Search</t>
        </is>
      </c>
      <c r="G4541" t="inlineStr">
        <is>
          <t>Desktop</t>
        </is>
      </c>
      <c r="H4541" t="inlineStr">
        <is>
          <t>Debit Card</t>
        </is>
      </c>
      <c r="I4541" t="inlineStr">
        <is>
          <t>Cancelled</t>
        </is>
      </c>
      <c r="J4541" t="n">
        <v>141</v>
      </c>
      <c r="K4541" t="n">
        <v>2</v>
      </c>
      <c r="L4541" s="7" t="n">
        <v>261</v>
      </c>
      <c r="M4541" s="7" t="n">
        <v>78.3</v>
      </c>
    </row>
    <row r="4542">
      <c r="A4542" t="n">
        <v>511885</v>
      </c>
      <c r="B4542" s="6" t="n">
        <v>46022</v>
      </c>
      <c r="C4542" t="n">
        <v>17908</v>
      </c>
      <c r="D4542" t="inlineStr">
        <is>
          <t>Hyderabad</t>
        </is>
      </c>
      <c r="E4542" t="inlineStr">
        <is>
          <t>South</t>
        </is>
      </c>
      <c r="F4542" t="inlineStr">
        <is>
          <t>Paid Social</t>
        </is>
      </c>
      <c r="G4542" t="inlineStr">
        <is>
          <t>Mobile Web</t>
        </is>
      </c>
      <c r="H4542" t="inlineStr">
        <is>
          <t>Cash on Delivery</t>
        </is>
      </c>
      <c r="I4542" t="inlineStr">
        <is>
          <t>Shipped</t>
        </is>
      </c>
      <c r="J4542" t="n">
        <v>136</v>
      </c>
      <c r="K4542" t="n">
        <v>1</v>
      </c>
      <c r="L4542" s="7" t="n">
        <v>944</v>
      </c>
      <c r="M4542" s="7" t="n">
        <v>141.6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subcategory</t>
        </is>
      </c>
      <c r="E1" s="5" t="inlineStr">
        <is>
          <t>list_price</t>
        </is>
      </c>
      <c r="F1" s="5" t="inlineStr">
        <is>
          <t>unit_cost</t>
        </is>
      </c>
    </row>
    <row r="2">
      <c r="A2" t="n">
        <v>101</v>
      </c>
      <c r="B2" t="inlineStr">
        <is>
          <t>Wireless Earbuds</t>
        </is>
      </c>
      <c r="C2" t="inlineStr">
        <is>
          <t>Electronics</t>
        </is>
      </c>
      <c r="D2" t="inlineStr">
        <is>
          <t>Audio</t>
        </is>
      </c>
      <c r="E2" s="7" t="n">
        <v>1999</v>
      </c>
      <c r="F2" s="7" t="n">
        <v>1557.99</v>
      </c>
    </row>
    <row r="3">
      <c r="A3" t="n">
        <v>102</v>
      </c>
      <c r="B3" t="inlineStr">
        <is>
          <t>Over-Ear Headphones</t>
        </is>
      </c>
      <c r="C3" t="inlineStr">
        <is>
          <t>Electronics</t>
        </is>
      </c>
      <c r="D3" t="inlineStr">
        <is>
          <t>Audio</t>
        </is>
      </c>
      <c r="E3" s="7" t="n">
        <v>3499</v>
      </c>
      <c r="F3" s="7" t="n">
        <v>2688.57</v>
      </c>
    </row>
    <row r="4">
      <c r="A4" t="n">
        <v>103</v>
      </c>
      <c r="B4" t="inlineStr">
        <is>
          <t>Bluetooth Speaker</t>
        </is>
      </c>
      <c r="C4" t="inlineStr">
        <is>
          <t>Electronics</t>
        </is>
      </c>
      <c r="D4" t="inlineStr">
        <is>
          <t>Audio</t>
        </is>
      </c>
      <c r="E4" s="7" t="n">
        <v>2499</v>
      </c>
      <c r="F4" s="7" t="n">
        <v>1972.57</v>
      </c>
    </row>
    <row r="5">
      <c r="A5" t="n">
        <v>104</v>
      </c>
      <c r="B5" t="inlineStr">
        <is>
          <t>Smartwatch</t>
        </is>
      </c>
      <c r="C5" t="inlineStr">
        <is>
          <t>Electronics</t>
        </is>
      </c>
      <c r="D5" t="inlineStr">
        <is>
          <t>Wearables</t>
        </is>
      </c>
      <c r="E5" s="7" t="n">
        <v>4999</v>
      </c>
      <c r="F5" s="7" t="n">
        <v>3765.09</v>
      </c>
    </row>
    <row r="6">
      <c r="A6" t="n">
        <v>105</v>
      </c>
      <c r="B6" t="inlineStr">
        <is>
          <t>Fitness Band</t>
        </is>
      </c>
      <c r="C6" t="inlineStr">
        <is>
          <t>Electronics</t>
        </is>
      </c>
      <c r="D6" t="inlineStr">
        <is>
          <t>Wearables</t>
        </is>
      </c>
      <c r="E6" s="7" t="n">
        <v>2299</v>
      </c>
      <c r="F6" s="7" t="n">
        <v>1795.64</v>
      </c>
    </row>
    <row r="7">
      <c r="A7" t="n">
        <v>106</v>
      </c>
      <c r="B7" t="inlineStr">
        <is>
          <t>20000mAh Power Bank</t>
        </is>
      </c>
      <c r="C7" t="inlineStr">
        <is>
          <t>Electronics</t>
        </is>
      </c>
      <c r="D7" t="inlineStr">
        <is>
          <t>Accessories</t>
        </is>
      </c>
      <c r="E7" s="7" t="n">
        <v>1499</v>
      </c>
      <c r="F7" s="7" t="n">
        <v>1294.15</v>
      </c>
    </row>
    <row r="8">
      <c r="A8" t="n">
        <v>107</v>
      </c>
      <c r="B8" t="inlineStr">
        <is>
          <t>65W Fast Charger</t>
        </is>
      </c>
      <c r="C8" t="inlineStr">
        <is>
          <t>Electronics</t>
        </is>
      </c>
      <c r="D8" t="inlineStr">
        <is>
          <t>Accessories</t>
        </is>
      </c>
      <c r="E8" s="7" t="n">
        <v>1199</v>
      </c>
      <c r="F8" s="7" t="n">
        <v>984.92</v>
      </c>
    </row>
    <row r="9">
      <c r="A9" t="n">
        <v>108</v>
      </c>
      <c r="B9" t="inlineStr">
        <is>
          <t>USB-C Cable (2-pack)</t>
        </is>
      </c>
      <c r="C9" t="inlineStr">
        <is>
          <t>Electronics</t>
        </is>
      </c>
      <c r="D9" t="inlineStr">
        <is>
          <t>Accessories</t>
        </is>
      </c>
      <c r="E9" s="7" t="n">
        <v>399</v>
      </c>
      <c r="F9" s="7" t="n">
        <v>303.05</v>
      </c>
    </row>
    <row r="10">
      <c r="A10" t="n">
        <v>109</v>
      </c>
      <c r="B10" t="inlineStr">
        <is>
          <t>Mechanical Keyboard</t>
        </is>
      </c>
      <c r="C10" t="inlineStr">
        <is>
          <t>Electronics</t>
        </is>
      </c>
      <c r="D10" t="inlineStr">
        <is>
          <t>Computer</t>
        </is>
      </c>
      <c r="E10" s="7" t="n">
        <v>3999</v>
      </c>
      <c r="F10" s="7" t="n">
        <v>3184.39</v>
      </c>
    </row>
    <row r="11">
      <c r="A11" t="n">
        <v>110</v>
      </c>
      <c r="B11" t="inlineStr">
        <is>
          <t>Wireless Mouse</t>
        </is>
      </c>
      <c r="C11" t="inlineStr">
        <is>
          <t>Electronics</t>
        </is>
      </c>
      <c r="D11" t="inlineStr">
        <is>
          <t>Computer</t>
        </is>
      </c>
      <c r="E11" s="7" t="n">
        <v>799</v>
      </c>
      <c r="F11" s="7" t="n">
        <v>657.0599999999999</v>
      </c>
    </row>
    <row r="12">
      <c r="A12" t="n">
        <v>111</v>
      </c>
      <c r="B12" t="inlineStr">
        <is>
          <t>Cotton T-Shirt</t>
        </is>
      </c>
      <c r="C12" t="inlineStr">
        <is>
          <t>Fashion</t>
        </is>
      </c>
      <c r="D12" t="inlineStr">
        <is>
          <t>Menswear</t>
        </is>
      </c>
      <c r="E12" s="7" t="n">
        <v>499</v>
      </c>
      <c r="F12" s="7" t="n">
        <v>257.44</v>
      </c>
    </row>
    <row r="13">
      <c r="A13" t="n">
        <v>112</v>
      </c>
      <c r="B13" t="inlineStr">
        <is>
          <t>Slim Fit Jeans</t>
        </is>
      </c>
      <c r="C13" t="inlineStr">
        <is>
          <t>Fashion</t>
        </is>
      </c>
      <c r="D13" t="inlineStr">
        <is>
          <t>Menswear</t>
        </is>
      </c>
      <c r="E13" s="7" t="n">
        <v>1499</v>
      </c>
      <c r="F13" s="7" t="n">
        <v>810.1</v>
      </c>
    </row>
    <row r="14">
      <c r="A14" t="n">
        <v>113</v>
      </c>
      <c r="B14" t="inlineStr">
        <is>
          <t>Linen Shirt</t>
        </is>
      </c>
      <c r="C14" t="inlineStr">
        <is>
          <t>Fashion</t>
        </is>
      </c>
      <c r="D14" t="inlineStr">
        <is>
          <t>Menswear</t>
        </is>
      </c>
      <c r="E14" s="7" t="n">
        <v>1299</v>
      </c>
      <c r="F14" s="7" t="n">
        <v>553.1900000000001</v>
      </c>
    </row>
    <row r="15">
      <c r="A15" t="n">
        <v>114</v>
      </c>
      <c r="B15" t="inlineStr">
        <is>
          <t>Printed Kurta</t>
        </is>
      </c>
      <c r="C15" t="inlineStr">
        <is>
          <t>Fashion</t>
        </is>
      </c>
      <c r="D15" t="inlineStr">
        <is>
          <t>Womenswear</t>
        </is>
      </c>
      <c r="E15" s="7" t="n">
        <v>1199</v>
      </c>
      <c r="F15" s="7" t="n">
        <v>523.11</v>
      </c>
    </row>
    <row r="16">
      <c r="A16" t="n">
        <v>115</v>
      </c>
      <c r="B16" t="inlineStr">
        <is>
          <t>Silk Saree</t>
        </is>
      </c>
      <c r="C16" t="inlineStr">
        <is>
          <t>Fashion</t>
        </is>
      </c>
      <c r="D16" t="inlineStr">
        <is>
          <t>Womenswear</t>
        </is>
      </c>
      <c r="E16" s="7" t="n">
        <v>3999</v>
      </c>
      <c r="F16" s="7" t="n">
        <v>1986.79</v>
      </c>
    </row>
    <row r="17">
      <c r="A17" t="n">
        <v>116</v>
      </c>
      <c r="B17" t="inlineStr">
        <is>
          <t>Anarkali Dress</t>
        </is>
      </c>
      <c r="C17" t="inlineStr">
        <is>
          <t>Fashion</t>
        </is>
      </c>
      <c r="D17" t="inlineStr">
        <is>
          <t>Womenswear</t>
        </is>
      </c>
      <c r="E17" s="7" t="n">
        <v>2499</v>
      </c>
      <c r="F17" s="7" t="n">
        <v>1039.66</v>
      </c>
    </row>
    <row r="18">
      <c r="A18" t="n">
        <v>117</v>
      </c>
      <c r="B18" t="inlineStr">
        <is>
          <t>Running Sneakers</t>
        </is>
      </c>
      <c r="C18" t="inlineStr">
        <is>
          <t>Fashion</t>
        </is>
      </c>
      <c r="D18" t="inlineStr">
        <is>
          <t>Footwear</t>
        </is>
      </c>
      <c r="E18" s="7" t="n">
        <v>2999</v>
      </c>
      <c r="F18" s="7" t="n">
        <v>1299.29</v>
      </c>
    </row>
    <row r="19">
      <c r="A19" t="n">
        <v>118</v>
      </c>
      <c r="B19" t="inlineStr">
        <is>
          <t>Casual Sandals</t>
        </is>
      </c>
      <c r="C19" t="inlineStr">
        <is>
          <t>Fashion</t>
        </is>
      </c>
      <c r="D19" t="inlineStr">
        <is>
          <t>Footwear</t>
        </is>
      </c>
      <c r="E19" s="7" t="n">
        <v>899</v>
      </c>
      <c r="F19" s="7" t="n">
        <v>431.51</v>
      </c>
    </row>
    <row r="20">
      <c r="A20" t="n">
        <v>119</v>
      </c>
      <c r="B20" t="inlineStr">
        <is>
          <t>Denim Jacket</t>
        </is>
      </c>
      <c r="C20" t="inlineStr">
        <is>
          <t>Fashion</t>
        </is>
      </c>
      <c r="D20" t="inlineStr">
        <is>
          <t>Menswear</t>
        </is>
      </c>
      <c r="E20" s="7" t="n">
        <v>2199</v>
      </c>
      <c r="F20" s="7" t="n">
        <v>1195</v>
      </c>
    </row>
    <row r="21">
      <c r="A21" t="n">
        <v>120</v>
      </c>
      <c r="B21" t="inlineStr">
        <is>
          <t>Leather Wallet</t>
        </is>
      </c>
      <c r="C21" t="inlineStr">
        <is>
          <t>Fashion</t>
        </is>
      </c>
      <c r="D21" t="inlineStr">
        <is>
          <t>Accessories</t>
        </is>
      </c>
      <c r="E21" s="7" t="n">
        <v>699</v>
      </c>
      <c r="F21" s="7" t="n">
        <v>312.83</v>
      </c>
    </row>
    <row r="22">
      <c r="A22" t="n">
        <v>121</v>
      </c>
      <c r="B22" t="inlineStr">
        <is>
          <t>Non-Stick Cookware Set</t>
        </is>
      </c>
      <c r="C22" t="inlineStr">
        <is>
          <t>Home &amp; Kitchen</t>
        </is>
      </c>
      <c r="D22" t="inlineStr">
        <is>
          <t>Cookware</t>
        </is>
      </c>
      <c r="E22" s="7" t="n">
        <v>2799</v>
      </c>
      <c r="F22" s="7" t="n">
        <v>1750.84</v>
      </c>
    </row>
    <row r="23">
      <c r="A23" t="n">
        <v>122</v>
      </c>
      <c r="B23" t="inlineStr">
        <is>
          <t>Pressure Cooker 5L</t>
        </is>
      </c>
      <c r="C23" t="inlineStr">
        <is>
          <t>Home &amp; Kitchen</t>
        </is>
      </c>
      <c r="D23" t="inlineStr">
        <is>
          <t>Cookware</t>
        </is>
      </c>
      <c r="E23" s="7" t="n">
        <v>1899</v>
      </c>
      <c r="F23" s="7" t="n">
        <v>1267.43</v>
      </c>
    </row>
    <row r="24">
      <c r="A24" t="n">
        <v>123</v>
      </c>
      <c r="B24" t="inlineStr">
        <is>
          <t>Mixer Grinder</t>
        </is>
      </c>
      <c r="C24" t="inlineStr">
        <is>
          <t>Home &amp; Kitchen</t>
        </is>
      </c>
      <c r="D24" t="inlineStr">
        <is>
          <t>Appliances</t>
        </is>
      </c>
      <c r="E24" s="7" t="n">
        <v>3299</v>
      </c>
      <c r="F24" s="7" t="n">
        <v>2187.09</v>
      </c>
    </row>
    <row r="25">
      <c r="A25" t="n">
        <v>124</v>
      </c>
      <c r="B25" t="inlineStr">
        <is>
          <t>Electric Kettle</t>
        </is>
      </c>
      <c r="C25" t="inlineStr">
        <is>
          <t>Home &amp; Kitchen</t>
        </is>
      </c>
      <c r="D25" t="inlineStr">
        <is>
          <t>Appliances</t>
        </is>
      </c>
      <c r="E25" s="7" t="n">
        <v>1099</v>
      </c>
      <c r="F25" s="7" t="n">
        <v>748.48</v>
      </c>
    </row>
    <row r="26">
      <c r="A26" t="n">
        <v>125</v>
      </c>
      <c r="B26" t="inlineStr">
        <is>
          <t>Cotton Bedsheet Set</t>
        </is>
      </c>
      <c r="C26" t="inlineStr">
        <is>
          <t>Home &amp; Kitchen</t>
        </is>
      </c>
      <c r="D26" t="inlineStr">
        <is>
          <t>Furnishing</t>
        </is>
      </c>
      <c r="E26" s="7" t="n">
        <v>1299</v>
      </c>
      <c r="F26" s="7" t="n">
        <v>892.42</v>
      </c>
    </row>
    <row r="27">
      <c r="A27" t="n">
        <v>126</v>
      </c>
      <c r="B27" t="inlineStr">
        <is>
          <t>Steel Water Bottle</t>
        </is>
      </c>
      <c r="C27" t="inlineStr">
        <is>
          <t>Home &amp; Kitchen</t>
        </is>
      </c>
      <c r="D27" t="inlineStr">
        <is>
          <t>Kitchen Tools</t>
        </is>
      </c>
      <c r="E27" s="7" t="n">
        <v>449</v>
      </c>
      <c r="F27" s="7" t="n">
        <v>304.11</v>
      </c>
    </row>
    <row r="28">
      <c r="A28" t="n">
        <v>127</v>
      </c>
      <c r="B28" t="inlineStr">
        <is>
          <t>Storage Containers (6)</t>
        </is>
      </c>
      <c r="C28" t="inlineStr">
        <is>
          <t>Home &amp; Kitchen</t>
        </is>
      </c>
      <c r="D28" t="inlineStr">
        <is>
          <t>Kitchen Tools</t>
        </is>
      </c>
      <c r="E28" s="7" t="n">
        <v>649</v>
      </c>
      <c r="F28" s="7" t="n">
        <v>410.83</v>
      </c>
    </row>
    <row r="29">
      <c r="A29" t="n">
        <v>128</v>
      </c>
      <c r="B29" t="inlineStr">
        <is>
          <t>Table Lamp</t>
        </is>
      </c>
      <c r="C29" t="inlineStr">
        <is>
          <t>Home &amp; Kitchen</t>
        </is>
      </c>
      <c r="D29" t="inlineStr">
        <is>
          <t>Decor</t>
        </is>
      </c>
      <c r="E29" s="7" t="n">
        <v>999</v>
      </c>
      <c r="F29" s="7" t="n">
        <v>616.12</v>
      </c>
    </row>
    <row r="30">
      <c r="A30" t="n">
        <v>129</v>
      </c>
      <c r="B30" t="inlineStr">
        <is>
          <t>Diya &amp; Candle Set</t>
        </is>
      </c>
      <c r="C30" t="inlineStr">
        <is>
          <t>Home &amp; Kitchen</t>
        </is>
      </c>
      <c r="D30" t="inlineStr">
        <is>
          <t>Decor</t>
        </is>
      </c>
      <c r="E30" s="7" t="n">
        <v>549</v>
      </c>
      <c r="F30" s="7" t="n">
        <v>345.86</v>
      </c>
    </row>
    <row r="31">
      <c r="A31" t="n">
        <v>130</v>
      </c>
      <c r="B31" t="inlineStr">
        <is>
          <t>Vitamin C Serum</t>
        </is>
      </c>
      <c r="C31" t="inlineStr">
        <is>
          <t>Beauty</t>
        </is>
      </c>
      <c r="D31" t="inlineStr">
        <is>
          <t>Skincare</t>
        </is>
      </c>
      <c r="E31" s="7" t="n">
        <v>699</v>
      </c>
      <c r="F31" s="7" t="n">
        <v>262.24</v>
      </c>
    </row>
    <row r="32">
      <c r="A32" t="n">
        <v>131</v>
      </c>
      <c r="B32" t="inlineStr">
        <is>
          <t>Face Wash</t>
        </is>
      </c>
      <c r="C32" t="inlineStr">
        <is>
          <t>Beauty</t>
        </is>
      </c>
      <c r="D32" t="inlineStr">
        <is>
          <t>Skincare</t>
        </is>
      </c>
      <c r="E32" s="7" t="n">
        <v>299</v>
      </c>
      <c r="F32" s="7" t="n">
        <v>113.41</v>
      </c>
    </row>
    <row r="33">
      <c r="A33" t="n">
        <v>132</v>
      </c>
      <c r="B33" t="inlineStr">
        <is>
          <t>Sunscreen SPF 50</t>
        </is>
      </c>
      <c r="C33" t="inlineStr">
        <is>
          <t>Beauty</t>
        </is>
      </c>
      <c r="D33" t="inlineStr">
        <is>
          <t>Skincare</t>
        </is>
      </c>
      <c r="E33" s="7" t="n">
        <v>449</v>
      </c>
      <c r="F33" s="7" t="n">
        <v>205.08</v>
      </c>
    </row>
    <row r="34">
      <c r="A34" t="n">
        <v>133</v>
      </c>
      <c r="B34" t="inlineStr">
        <is>
          <t>Matte Lipstick</t>
        </is>
      </c>
      <c r="C34" t="inlineStr">
        <is>
          <t>Beauty</t>
        </is>
      </c>
      <c r="D34" t="inlineStr">
        <is>
          <t>Makeup</t>
        </is>
      </c>
      <c r="E34" s="7" t="n">
        <v>399</v>
      </c>
      <c r="F34" s="7" t="n">
        <v>158.65</v>
      </c>
    </row>
    <row r="35">
      <c r="A35" t="n">
        <v>134</v>
      </c>
      <c r="B35" t="inlineStr">
        <is>
          <t>Kajal</t>
        </is>
      </c>
      <c r="C35" t="inlineStr">
        <is>
          <t>Beauty</t>
        </is>
      </c>
      <c r="D35" t="inlineStr">
        <is>
          <t>Makeup</t>
        </is>
      </c>
      <c r="E35" s="7" t="n">
        <v>199</v>
      </c>
      <c r="F35" s="7" t="n">
        <v>93.53</v>
      </c>
    </row>
    <row r="36">
      <c r="A36" t="n">
        <v>135</v>
      </c>
      <c r="B36" t="inlineStr">
        <is>
          <t>Perfume 100ml</t>
        </is>
      </c>
      <c r="C36" t="inlineStr">
        <is>
          <t>Beauty</t>
        </is>
      </c>
      <c r="D36" t="inlineStr">
        <is>
          <t>Fragrance</t>
        </is>
      </c>
      <c r="E36" s="7" t="n">
        <v>1499</v>
      </c>
      <c r="F36" s="7" t="n">
        <v>747.84</v>
      </c>
    </row>
    <row r="37">
      <c r="A37" t="n">
        <v>136</v>
      </c>
      <c r="B37" t="inlineStr">
        <is>
          <t>Beard Grooming Kit</t>
        </is>
      </c>
      <c r="C37" t="inlineStr">
        <is>
          <t>Beauty</t>
        </is>
      </c>
      <c r="D37" t="inlineStr">
        <is>
          <t>Grooming</t>
        </is>
      </c>
      <c r="E37" s="7" t="n">
        <v>899</v>
      </c>
      <c r="F37" s="7" t="n">
        <v>359.84</v>
      </c>
    </row>
    <row r="38">
      <c r="A38" t="n">
        <v>137</v>
      </c>
      <c r="B38" t="inlineStr">
        <is>
          <t>Hair Oil</t>
        </is>
      </c>
      <c r="C38" t="inlineStr">
        <is>
          <t>Beauty</t>
        </is>
      </c>
      <c r="D38" t="inlineStr">
        <is>
          <t>Haircare</t>
        </is>
      </c>
      <c r="E38" s="7" t="n">
        <v>249</v>
      </c>
      <c r="F38" s="7" t="n">
        <v>98.16</v>
      </c>
    </row>
    <row r="39">
      <c r="A39" t="n">
        <v>138</v>
      </c>
      <c r="B39" t="inlineStr">
        <is>
          <t>Bestselling Novel</t>
        </is>
      </c>
      <c r="C39" t="inlineStr">
        <is>
          <t>Books</t>
        </is>
      </c>
      <c r="D39" t="inlineStr">
        <is>
          <t>Fiction</t>
        </is>
      </c>
      <c r="E39" s="7" t="n">
        <v>399</v>
      </c>
      <c r="F39" s="7" t="n">
        <v>280.94</v>
      </c>
    </row>
    <row r="40">
      <c r="A40" t="n">
        <v>139</v>
      </c>
      <c r="B40" t="inlineStr">
        <is>
          <t>Self-Help Paperback</t>
        </is>
      </c>
      <c r="C40" t="inlineStr">
        <is>
          <t>Books</t>
        </is>
      </c>
      <c r="D40" t="inlineStr">
        <is>
          <t>Non-Fiction</t>
        </is>
      </c>
      <c r="E40" s="7" t="n">
        <v>349</v>
      </c>
      <c r="F40" s="7" t="n">
        <v>241.9</v>
      </c>
    </row>
    <row r="41">
      <c r="A41" t="n">
        <v>140</v>
      </c>
      <c r="B41" t="inlineStr">
        <is>
          <t>Competitive Exam Guide</t>
        </is>
      </c>
      <c r="C41" t="inlineStr">
        <is>
          <t>Books</t>
        </is>
      </c>
      <c r="D41" t="inlineStr">
        <is>
          <t>Education</t>
        </is>
      </c>
      <c r="E41" s="7" t="n">
        <v>599</v>
      </c>
      <c r="F41" s="7" t="n">
        <v>442.39</v>
      </c>
    </row>
    <row r="42">
      <c r="A42" t="n">
        <v>141</v>
      </c>
      <c r="B42" t="inlineStr">
        <is>
          <t>Children's Storybook</t>
        </is>
      </c>
      <c r="C42" t="inlineStr">
        <is>
          <t>Books</t>
        </is>
      </c>
      <c r="D42" t="inlineStr">
        <is>
          <t>Kids</t>
        </is>
      </c>
      <c r="E42" s="7" t="n">
        <v>249</v>
      </c>
      <c r="F42" s="7" t="n">
        <v>170.11</v>
      </c>
    </row>
    <row r="43">
      <c r="A43" t="n">
        <v>142</v>
      </c>
      <c r="B43" t="inlineStr">
        <is>
          <t>SQL for Data Analysis</t>
        </is>
      </c>
      <c r="C43" t="inlineStr">
        <is>
          <t>Books</t>
        </is>
      </c>
      <c r="D43" t="inlineStr">
        <is>
          <t>Education</t>
        </is>
      </c>
      <c r="E43" s="7" t="n">
        <v>799</v>
      </c>
      <c r="F43" s="7" t="n">
        <v>554.09</v>
      </c>
    </row>
    <row r="44">
      <c r="A44" t="n">
        <v>143</v>
      </c>
      <c r="B44" t="inlineStr">
        <is>
          <t>Yoga Mat</t>
        </is>
      </c>
      <c r="C44" t="inlineStr">
        <is>
          <t>Sports</t>
        </is>
      </c>
      <c r="D44" t="inlineStr">
        <is>
          <t>Fitness</t>
        </is>
      </c>
      <c r="E44" s="7" t="n">
        <v>799</v>
      </c>
      <c r="F44" s="7" t="n">
        <v>458.23</v>
      </c>
    </row>
    <row r="45">
      <c r="A45" t="n">
        <v>144</v>
      </c>
      <c r="B45" t="inlineStr">
        <is>
          <t>Adjustable Dumbbells</t>
        </is>
      </c>
      <c r="C45" t="inlineStr">
        <is>
          <t>Sports</t>
        </is>
      </c>
      <c r="D45" t="inlineStr">
        <is>
          <t>Fitness</t>
        </is>
      </c>
      <c r="E45" s="7" t="n">
        <v>2999</v>
      </c>
      <c r="F45" s="7" t="n">
        <v>1783.33</v>
      </c>
    </row>
    <row r="46">
      <c r="A46" t="n">
        <v>145</v>
      </c>
      <c r="B46" t="inlineStr">
        <is>
          <t>Resistance Bands</t>
        </is>
      </c>
      <c r="C46" t="inlineStr">
        <is>
          <t>Sports</t>
        </is>
      </c>
      <c r="D46" t="inlineStr">
        <is>
          <t>Fitness</t>
        </is>
      </c>
      <c r="E46" s="7" t="n">
        <v>599</v>
      </c>
      <c r="F46" s="7" t="n">
        <v>355.85</v>
      </c>
    </row>
    <row r="47">
      <c r="A47" t="n">
        <v>146</v>
      </c>
      <c r="B47" t="inlineStr">
        <is>
          <t>English Willow Cricket Bat</t>
        </is>
      </c>
      <c r="C47" t="inlineStr">
        <is>
          <t>Sports</t>
        </is>
      </c>
      <c r="D47" t="inlineStr">
        <is>
          <t>Cricket</t>
        </is>
      </c>
      <c r="E47" s="7" t="n">
        <v>4499</v>
      </c>
      <c r="F47" s="7" t="n">
        <v>2910.49</v>
      </c>
    </row>
    <row r="48">
      <c r="A48" t="n">
        <v>147</v>
      </c>
      <c r="B48" t="inlineStr">
        <is>
          <t>Badminton Racket</t>
        </is>
      </c>
      <c r="C48" t="inlineStr">
        <is>
          <t>Sports</t>
        </is>
      </c>
      <c r="D48" t="inlineStr">
        <is>
          <t>Racket Sports</t>
        </is>
      </c>
      <c r="E48" s="7" t="n">
        <v>1299</v>
      </c>
      <c r="F48" s="7" t="n">
        <v>787.62</v>
      </c>
    </row>
    <row r="49">
      <c r="A49" t="n">
        <v>148</v>
      </c>
      <c r="B49" t="inlineStr">
        <is>
          <t>Football</t>
        </is>
      </c>
      <c r="C49" t="inlineStr">
        <is>
          <t>Sports</t>
        </is>
      </c>
      <c r="D49" t="inlineStr">
        <is>
          <t>Outdoor</t>
        </is>
      </c>
      <c r="E49" s="7" t="n">
        <v>699</v>
      </c>
      <c r="F49" s="7" t="n">
        <v>425.79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18" customWidth="1" min="4" max="4"/>
    <col width="14" customWidth="1" min="5" max="5"/>
    <col hidden="1" width="14" customWidth="1" min="6" max="6"/>
    <col width="70" customWidth="1" min="7" max="7"/>
  </cols>
  <sheetData>
    <row r="1" ht="22" customHeight="1">
      <c r="A1" s="5" t="inlineStr">
        <is>
          <t>#</t>
        </is>
      </c>
      <c r="B1" s="5" t="inlineStr">
        <is>
          <t>Skill</t>
        </is>
      </c>
      <c r="C1" s="5" t="inlineStr">
        <is>
          <t>Question</t>
        </is>
      </c>
      <c r="D1" s="5" t="inlineStr">
        <is>
          <t>Your answer</t>
        </is>
      </c>
      <c r="E1" s="5" t="inlineStr">
        <is>
          <t>Result</t>
        </is>
      </c>
      <c r="F1" s="5" t="inlineStr">
        <is>
          <t>expected (hidden)</t>
        </is>
      </c>
      <c r="G1" s="5" t="inlineStr">
        <is>
          <t>Hint</t>
        </is>
      </c>
    </row>
    <row r="2" ht="45" customHeight="1">
      <c r="A2" s="8" t="n">
        <v>1</v>
      </c>
      <c r="B2" s="9" t="inlineStr">
        <is>
          <t>XLOOKUP / VLOOKUP</t>
        </is>
      </c>
      <c r="C2" s="3" t="inlineStr">
        <is>
          <t>Add a Category column to the Orders table by looking up product_id in tblProducts. How many order lines are Fashion?</t>
        </is>
      </c>
      <c r="D2" s="10" t="n"/>
      <c r="E2" s="8">
        <f>IF(D2="","",IF(ISNUMBER(D2),IF(ABS(D2-F2)&lt;0.05,"✅ Correct","❌ Try again"),"❌ Not a number"))</f>
        <v/>
      </c>
      <c r="F2" t="n">
        <v>1349</v>
      </c>
      <c r="G2" s="11" t="inlineStr">
        <is>
          <t>=XLOOKUP([@product_id], tblProducts[product_id], tblProducts[category]) then COUNTIF</t>
        </is>
      </c>
    </row>
    <row r="3" ht="45" customHeight="1">
      <c r="A3" s="8" t="n">
        <v>2</v>
      </c>
      <c r="B3" s="9" t="inlineStr">
        <is>
          <t>Calculated column</t>
        </is>
      </c>
      <c r="C3" s="3" t="inlineStr">
        <is>
          <t>Add a Line Revenue column = quantity × unit_price − discount. What is the total Line Revenue across ALL lines (any status)?</t>
        </is>
      </c>
      <c r="D3" s="10" t="n"/>
      <c r="E3" s="8">
        <f>IF(D3="","",IF(ISNUMBER(D3),IF(ABS(D3-F3)&lt;0.05,"✅ Correct","❌ Try again"),"❌ Not a number"))</f>
        <v/>
      </c>
      <c r="F3" t="n">
        <v>8039818.85</v>
      </c>
      <c r="G3" s="11" t="inlineStr">
        <is>
          <t>=[@quantity]*[@unit_price]-[@discount], then SUM the column</t>
        </is>
      </c>
    </row>
    <row r="4" ht="45" customHeight="1">
      <c r="A4" s="8" t="n">
        <v>3</v>
      </c>
      <c r="B4" s="9" t="inlineStr">
        <is>
          <t>SUMIFS (OR logic)</t>
        </is>
      </c>
      <c r="C4" s="3" t="inlineStr">
        <is>
          <t>Net revenue from VALID lines only (status Delivered or Shipped)?</t>
        </is>
      </c>
      <c r="D4" s="10" t="n"/>
      <c r="E4" s="8">
        <f>IF(D4="","",IF(ISNUMBER(D4),IF(ABS(D4-F4)&lt;0.05,"✅ Correct","❌ Try again"),"❌ Not a number"))</f>
        <v/>
      </c>
      <c r="F4" t="n">
        <v>6820604.8</v>
      </c>
      <c r="G4" s="11" t="inlineStr">
        <is>
          <t>SUMIFS can't do OR in one criterion – add two SUMIFS, or SUM(SUMIFS(..., {"Delivered","Shipped"}))</t>
        </is>
      </c>
    </row>
    <row r="5" ht="45" customHeight="1">
      <c r="A5" s="8" t="n">
        <v>4</v>
      </c>
      <c r="B5" s="9" t="inlineStr">
        <is>
          <t>SUMIFS (multiple criteria)</t>
        </is>
      </c>
      <c r="C5" s="3" t="inlineStr">
        <is>
          <t>Valid net revenue from Electronics in the South region?</t>
        </is>
      </c>
      <c r="D5" s="10" t="n"/>
      <c r="E5" s="8">
        <f>IF(D5="","",IF(ISNUMBER(D5),IF(ABS(D5-F5)&lt;0.05,"✅ Correct","❌ Try again"),"❌ Not a number"))</f>
        <v/>
      </c>
      <c r="F5" t="n">
        <v>738239.9</v>
      </c>
      <c r="G5" s="11" t="inlineStr">
        <is>
          <t>Three criteria ranges: Category, region, status (x2 statuses)</t>
        </is>
      </c>
    </row>
    <row r="6" ht="45" customHeight="1">
      <c r="A6" s="8" t="n">
        <v>5</v>
      </c>
      <c r="B6" s="9" t="inlineStr">
        <is>
          <t>COUNTIFS</t>
        </is>
      </c>
      <c r="C6" s="3" t="inlineStr">
        <is>
          <t>How many order lines were paid Cash on Delivery AND Cancelled?</t>
        </is>
      </c>
      <c r="D6" s="10" t="n"/>
      <c r="E6" s="8">
        <f>IF(D6="","",IF(ISNUMBER(D6),IF(ABS(D6-F6)&lt;0.05,"✅ Correct","❌ Try again"),"❌ Not a number"))</f>
        <v/>
      </c>
      <c r="F6" t="n">
        <v>104</v>
      </c>
      <c r="G6" s="11" t="inlineStr">
        <is>
          <t>COUNTIFS(range1, crit1, range2, crit2)</t>
        </is>
      </c>
    </row>
    <row r="7" ht="45" customHeight="1">
      <c r="A7" s="8" t="n">
        <v>6</v>
      </c>
      <c r="B7" s="9" t="inlineStr">
        <is>
          <t>Distinct count</t>
        </is>
      </c>
      <c r="C7" s="3" t="inlineStr">
        <is>
          <t>How many DISTINCT orders (order_id) are in the sheet? (Lines ≠ orders!)</t>
        </is>
      </c>
      <c r="D7" s="10" t="n"/>
      <c r="E7" s="8">
        <f>IF(D7="","",IF(ISNUMBER(D7),IF(ABS(D7-F7)&lt;0.05,"✅ Correct","❌ Try again"),"❌ Not a number"))</f>
        <v/>
      </c>
      <c r="F7" t="n">
        <v>2581</v>
      </c>
      <c r="G7" s="11" t="inlineStr">
        <is>
          <t>Excel 365: =COUNTA(UNIQUE(tblOrders[order_id])). Older: =SUMPRODUCT(1/COUNTIF(rng,rng)) or Remove Duplicates on a copy</t>
        </is>
      </c>
    </row>
    <row r="8" ht="45" customHeight="1">
      <c r="A8" s="8" t="n">
        <v>7</v>
      </c>
      <c r="B8" s="9" t="inlineStr">
        <is>
          <t>AVERAGEIFS</t>
        </is>
      </c>
      <c r="C8" s="3" t="inlineStr">
        <is>
          <t>Average unit_price of Beauty order lines? (2 dp)</t>
        </is>
      </c>
      <c r="D8" s="10" t="n"/>
      <c r="E8" s="8">
        <f>IF(D8="","",IF(ISNUMBER(D8),IF(ABS(D8-F8)&lt;0.05,"✅ Correct","❌ Try again"),"❌ Not a number"))</f>
        <v/>
      </c>
      <c r="F8" t="n">
        <v>601.904478</v>
      </c>
      <c r="G8" s="11" t="inlineStr">
        <is>
          <t>AVERAGEIFS(avg_range, criteria_range, criteria)</t>
        </is>
      </c>
    </row>
    <row r="9" ht="45" customHeight="1">
      <c r="A9" s="8" t="n">
        <v>8</v>
      </c>
      <c r="B9" s="9" t="inlineStr">
        <is>
          <t>MAXIFS</t>
        </is>
      </c>
      <c r="C9" s="3" t="inlineStr">
        <is>
          <t>Largest single Line Revenue in Home &amp; Kitchen?</t>
        </is>
      </c>
      <c r="D9" s="10" t="n"/>
      <c r="E9" s="8">
        <f>IF(D9="","",IF(ISNUMBER(D9),IF(ABS(D9-F9)&lt;0.05,"✅ Correct","❌ Try again"),"❌ Not a number"))</f>
        <v/>
      </c>
      <c r="F9" t="n">
        <v>10392</v>
      </c>
      <c r="G9" s="11" t="inlineStr">
        <is>
          <t>MAXIFS(max_range, criteria_range, criteria)  (Excel 2019+)</t>
        </is>
      </c>
    </row>
    <row r="10" ht="45" customHeight="1">
      <c r="A10" s="8" t="n">
        <v>9</v>
      </c>
      <c r="B10" s="9" t="inlineStr">
        <is>
          <t>Dates in criteria</t>
        </is>
      </c>
      <c r="C10" s="3" t="inlineStr">
        <is>
          <t>Valid net revenue for November 2025?</t>
        </is>
      </c>
      <c r="D10" s="10" t="n"/>
      <c r="E10" s="8">
        <f>IF(D10="","",IF(ISNUMBER(D10),IF(ABS(D10-F10)&lt;0.05,"✅ Correct","❌ Try again"),"❌ Not a number"))</f>
        <v/>
      </c>
      <c r="F10" t="n">
        <v>1655441.2</v>
      </c>
      <c r="G10" s="11" t="inlineStr">
        <is>
          <t>Use "&gt;="&amp;DATE(2025,11,1) and "&lt;"&amp;DATE(2025,12,1) as criteria on order_date</t>
        </is>
      </c>
    </row>
    <row r="11" ht="45" customHeight="1">
      <c r="A11" s="8" t="n">
        <v>10</v>
      </c>
      <c r="B11" s="9" t="inlineStr">
        <is>
          <t>IF</t>
        </is>
      </c>
      <c r="C11" s="3" t="inlineStr">
        <is>
          <t>Add an Order Size column: "Large" if Line Revenue ≥ 3000, else "Small". How many lines are Large?</t>
        </is>
      </c>
      <c r="D11" s="10" t="n"/>
      <c r="E11" s="8">
        <f>IF(D11="","",IF(ISNUMBER(D11),IF(ABS(D11-F11)&lt;0.05,"✅ Correct","❌ Try again"),"❌ Not a number"))</f>
        <v/>
      </c>
      <c r="F11" t="n">
        <v>819</v>
      </c>
      <c r="G11" s="11" t="inlineStr">
        <is>
          <t>=IF([@[Line Revenue]]&gt;=3000,"Large","Small")</t>
        </is>
      </c>
    </row>
    <row r="12" ht="45" customHeight="1">
      <c r="A12" s="8" t="n">
        <v>11</v>
      </c>
      <c r="B12" s="9" t="inlineStr">
        <is>
          <t>INDEX / MATCH</t>
        </is>
      </c>
      <c r="C12" s="3" t="inlineStr">
        <is>
          <t>What is the product_name of product_id 131? (use INDEX/MATCH on tblProducts)</t>
        </is>
      </c>
      <c r="D12" s="12" t="n"/>
      <c r="E12" s="8">
        <f>IF(D12="","",IF(LOWER(TRIM(D12))=LOWER(F12),"✅ Correct","❌ Try again"))</f>
        <v/>
      </c>
      <c r="F12" t="inlineStr">
        <is>
          <t>Face Wash</t>
        </is>
      </c>
      <c r="G12" s="11" t="inlineStr">
        <is>
          <t>=INDEX(tblProducts[product_name], MATCH(131, tblProducts[product_id], 0))</t>
        </is>
      </c>
    </row>
    <row r="13" ht="45" customHeight="1">
      <c r="A13" s="8" t="n">
        <v>12</v>
      </c>
      <c r="B13" s="9" t="inlineStr">
        <is>
          <t>Ratios</t>
        </is>
      </c>
      <c r="C13" s="3" t="inlineStr">
        <is>
          <t>Return rate for Fashion = Returned lines ÷ (Delivered + Returned lines). Answer as a % (e.g. 12.3%).</t>
        </is>
      </c>
      <c r="D13" s="13" t="n"/>
      <c r="E13" s="8">
        <f>IF(D13="","",IF(ISNUMBER(D13),IF(OR(ABS(D13-F13)&lt;0.0005,ABS(D13/100-F13)&lt;0.0005),"✅ Correct","❌ Try again"),"❌ Not a number"))</f>
        <v/>
      </c>
      <c r="F13" t="n">
        <v>0.154664</v>
      </c>
      <c r="G13" s="11" t="inlineStr">
        <is>
          <t>Two COUNTIFS divided; format as %</t>
        </is>
      </c>
    </row>
    <row r="14" ht="45" customHeight="1">
      <c r="A14" s="8" t="n">
        <v>13</v>
      </c>
      <c r="B14" s="9" t="inlineStr">
        <is>
          <t>SUMPRODUCT</t>
        </is>
      </c>
      <c r="C14" s="3" t="inlineStr">
        <is>
          <t>Gross margin % on valid lines = (revenue − quantity × unit_cost) ÷ revenue. Answer as %.</t>
        </is>
      </c>
      <c r="D14" s="13" t="n"/>
      <c r="E14" s="8">
        <f>IF(D14="","",IF(ISNUMBER(D14),IF(OR(ABS(D14-F14)&lt;0.0005,ABS(D14/100-F14)&lt;0.0005),"✅ Correct","❌ Try again"),"❌ Not a number"))</f>
        <v/>
      </c>
      <c r="F14" t="n">
        <v>0.374871</v>
      </c>
      <c r="G14" s="11" t="inlineStr">
        <is>
          <t>Look up unit_cost too, then SUMPRODUCT with a (status="Delivered")+(status="Shipped") mask</t>
        </is>
      </c>
    </row>
    <row r="15" ht="45" customHeight="1">
      <c r="A15" s="8" t="n">
        <v>14</v>
      </c>
      <c r="B15" s="9" t="inlineStr">
        <is>
          <t>PivotTable</t>
        </is>
      </c>
      <c r="C15" s="3" t="inlineStr">
        <is>
          <t>Which city generated the most valid net revenue? (type the city name)</t>
        </is>
      </c>
      <c r="D15" s="12" t="n"/>
      <c r="E15" s="8">
        <f>IF(D15="","",IF(LOWER(TRIM(D15))=LOWER(F15),"✅ Correct","❌ Try again"))</f>
        <v/>
      </c>
      <c r="F15" t="inlineStr">
        <is>
          <t>Delhi</t>
        </is>
      </c>
      <c r="G15" s="11" t="inlineStr">
        <is>
          <t>Insert ▸ PivotTable: Rows = city, Values = Sum of Line Revenue, Filter = status. Sort descending.</t>
        </is>
      </c>
    </row>
    <row r="16" ht="45" customHeight="1">
      <c r="A16" s="8" t="n">
        <v>15</v>
      </c>
      <c r="B16" s="9" t="inlineStr">
        <is>
          <t>PivotTable – % of total</t>
        </is>
      </c>
      <c r="C16" s="3" t="inlineStr">
        <is>
          <t>What share of valid net revenue came from the Mobile App? Answer as %.</t>
        </is>
      </c>
      <c r="D16" s="13" t="n"/>
      <c r="E16" s="8">
        <f>IF(D16="","",IF(ISNUMBER(D16),IF(OR(ABS(D16-F16)&lt;0.0005,ABS(D16/100-F16)&lt;0.0005),"✅ Correct","❌ Try again"),"❌ Not a number"))</f>
        <v/>
      </c>
      <c r="F16" t="n">
        <v>0.519732</v>
      </c>
      <c r="G16" s="11" t="inlineStr">
        <is>
          <t>Pivot: Rows = device, Values = Sum of Line Revenue ▸ Show Values As ▸ % of Grand Total</t>
        </is>
      </c>
    </row>
    <row r="17" ht="45" customHeight="1">
      <c r="A17" s="8" t="n">
        <v>16</v>
      </c>
      <c r="B17" s="9" t="inlineStr">
        <is>
          <t>Date functions</t>
        </is>
      </c>
      <c r="C17" s="3" t="inlineStr">
        <is>
          <t>Total discount given in December 2025 (any status)?</t>
        </is>
      </c>
      <c r="D17" s="10" t="n"/>
      <c r="E17" s="8">
        <f>IF(D17="","",IF(ISNUMBER(D17),IF(ABS(D17-F17)&lt;0.05,"✅ Correct","❌ Try again"),"❌ Not a number"))</f>
        <v/>
      </c>
      <c r="F17" t="n">
        <v>97266.55</v>
      </c>
      <c r="G17" s="11" t="inlineStr">
        <is>
          <t>SUMIFS on discount with a date range – or add a Month column with =TEXT([@order_date],"yyyy-mm")</t>
        </is>
      </c>
    </row>
    <row r="18" ht="45" customHeight="1">
      <c r="A18" s="8" t="n">
        <v>17</v>
      </c>
      <c r="B18" s="9" t="inlineStr">
        <is>
          <t>TEXT / WEEKDAY</t>
        </is>
      </c>
      <c r="C18" s="3" t="inlineStr">
        <is>
          <t>Which weekday had the most order lines? (e.g. Monday)</t>
        </is>
      </c>
      <c r="D18" s="12" t="n"/>
      <c r="E18" s="8">
        <f>IF(D18="","",IF(LOWER(TRIM(D18))=LOWER(F18),"✅ Correct","❌ Try again"))</f>
        <v/>
      </c>
      <c r="F18" t="inlineStr">
        <is>
          <t>Friday</t>
        </is>
      </c>
      <c r="G18" s="11" t="inlineStr">
        <is>
          <t>Add =TEXT([@order_date],"dddd") and pivot / COUNTIF it</t>
        </is>
      </c>
    </row>
    <row r="19" ht="45" customHeight="1">
      <c r="A19" s="8" t="n">
        <v>18</v>
      </c>
      <c r="B19" s="9" t="inlineStr">
        <is>
          <t>Distinct count with a condition</t>
        </is>
      </c>
      <c r="C19" s="3" t="inlineStr">
        <is>
          <t>Average order value of valid orders = valid revenue ÷ number of distinct valid orders? (2 dp)</t>
        </is>
      </c>
      <c r="D19" s="10" t="n"/>
      <c r="E19" s="8">
        <f>IF(D19="","",IF(ISNUMBER(D19),IF(ABS(D19-F19)&lt;0.05,"✅ Correct","❌ Try again"),"❌ Not a number"))</f>
        <v/>
      </c>
      <c r="F19" t="n">
        <v>3077.890253</v>
      </c>
      <c r="G19" s="11" t="inlineStr">
        <is>
          <t>Distinct valid orders: =SUMPRODUCT(((status="Delivered")+(status="Shipped"))/COUNTIF(order_id,order_id))</t>
        </is>
      </c>
    </row>
    <row r="20" ht="45" customHeight="1">
      <c r="A20" s="8" t="n">
        <v>19</v>
      </c>
      <c r="B20" s="9" t="inlineStr">
        <is>
          <t>Distinct count + dates</t>
        </is>
      </c>
      <c r="C20" s="3" t="inlineStr">
        <is>
          <t>How many distinct customers placed an order in December 2025?</t>
        </is>
      </c>
      <c r="D20" s="10" t="n"/>
      <c r="E20" s="8">
        <f>IF(D20="","",IF(ISNUMBER(D20),IF(ABS(D20-F20)&lt;0.05,"✅ Correct","❌ Try again"),"❌ Not a number"))</f>
        <v/>
      </c>
      <c r="F20" t="n">
        <v>631</v>
      </c>
      <c r="G20" s="11" t="inlineStr">
        <is>
          <t>Excel 365: =COUNTA(UNIQUE(FILTER(customer_id, month="2025-12"))). Older: SUMPRODUCT((month="2025-12")/COUNTIFS(customer_id,customer_id,month,month))</t>
        </is>
      </c>
    </row>
    <row r="21" ht="45" customHeight="1">
      <c r="A21" s="8" t="n">
        <v>20</v>
      </c>
      <c r="B21" s="9" t="inlineStr">
        <is>
          <t>Average of top N</t>
        </is>
      </c>
      <c r="C21" s="3" t="inlineStr">
        <is>
          <t>What is the average Line Revenue of the 10 largest lines (any status)? (2 dp)</t>
        </is>
      </c>
      <c r="D21" s="10" t="n"/>
      <c r="E21" s="8">
        <f>IF(D21="","",IF(ISNUMBER(D21),IF(ABS(D21-F21)&lt;0.05,"✅ Correct","❌ Try again"),"❌ Not a number"))</f>
        <v/>
      </c>
      <c r="F21" t="n">
        <v>12355.645</v>
      </c>
      <c r="G21" s="11" t="inlineStr">
        <is>
          <t>=AVERAGE(LARGE(range,{1,2,3,4,5,6,7,8,9,10})) or SORT/TAKE in Excel 365</t>
        </is>
      </c>
    </row>
    <row r="23">
      <c r="C23" s="14" t="inlineStr">
        <is>
          <t>Score</t>
        </is>
      </c>
      <c r="D23" s="15">
        <f>COUNTIF(E2:E21,"✅*")&amp;" / 20"</f>
        <v/>
      </c>
    </row>
  </sheetData>
  <conditionalFormatting sqref="E2:E21">
    <cfRule type="expression" priority="1" dxfId="0">
      <formula>LEFT(E2,1)="✅"</formula>
    </cfRule>
    <cfRule type="expression" priority="2" dxfId="1">
      <formula>LEFT(E2,1)="❌"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8" customWidth="1" min="5" max="5"/>
    <col width="15" customWidth="1" min="6" max="6"/>
    <col width="12" customWidth="1" min="7" max="7"/>
    <col width="17" customWidth="1" min="8" max="8"/>
    <col width="11" customWidth="1" min="9" max="9"/>
    <col width="10" customWidth="1" min="10" max="10"/>
    <col width="9" customWidth="1" min="11" max="11"/>
    <col width="10" customWidth="1" min="12" max="12"/>
    <col width="9" customWidth="1" min="13" max="13"/>
    <col width="16" customWidth="1" min="14" max="14"/>
    <col width="13" customWidth="1" min="15" max="15"/>
    <col width="10" customWidth="1" min="16" max="16"/>
    <col width="11" customWidth="1" min="17" max="17"/>
    <col width="10" customWidth="1" min="18" max="18"/>
    <col width="10" customWidth="1" min="19" max="19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city</t>
        </is>
      </c>
      <c r="E1" s="5" t="inlineStr">
        <is>
          <t>region</t>
        </is>
      </c>
      <c r="F1" s="5" t="inlineStr">
        <is>
          <t>channel</t>
        </is>
      </c>
      <c r="G1" s="5" t="inlineStr">
        <is>
          <t>device</t>
        </is>
      </c>
      <c r="H1" s="5" t="inlineStr">
        <is>
          <t>payment_method</t>
        </is>
      </c>
      <c r="I1" s="5" t="inlineStr">
        <is>
          <t>status</t>
        </is>
      </c>
      <c r="J1" s="5" t="inlineStr">
        <is>
          <t>product_id</t>
        </is>
      </c>
      <c r="K1" s="5" t="inlineStr">
        <is>
          <t>quantity</t>
        </is>
      </c>
      <c r="L1" s="5" t="inlineStr">
        <is>
          <t>unit_price</t>
        </is>
      </c>
      <c r="M1" s="5" t="inlineStr">
        <is>
          <t>discount</t>
        </is>
      </c>
      <c r="N1" s="5" t="inlineStr">
        <is>
          <t>Category</t>
        </is>
      </c>
      <c r="O1" s="5" t="inlineStr">
        <is>
          <t>Line Revenue</t>
        </is>
      </c>
      <c r="P1" s="5" t="inlineStr">
        <is>
          <t>Month</t>
        </is>
      </c>
      <c r="Q1" s="5" t="inlineStr">
        <is>
          <t>Order Size</t>
        </is>
      </c>
      <c r="R1" s="5" t="inlineStr">
        <is>
          <t>unit_cost</t>
        </is>
      </c>
      <c r="S1" s="5" t="inlineStr">
        <is>
          <t>Weekday #</t>
        </is>
      </c>
    </row>
    <row r="2">
      <c r="A2" t="n">
        <v>509305</v>
      </c>
      <c r="B2" s="6" t="n">
        <v>45931</v>
      </c>
      <c r="C2" t="n">
        <v>16376</v>
      </c>
      <c r="D2" t="inlineStr">
        <is>
          <t>Mumbai</t>
        </is>
      </c>
      <c r="E2" t="inlineStr">
        <is>
          <t>West</t>
        </is>
      </c>
      <c r="F2" t="inlineStr">
        <is>
          <t>Referral</t>
        </is>
      </c>
      <c r="G2" t="inlineStr">
        <is>
          <t>Mobile App</t>
        </is>
      </c>
      <c r="H2" t="inlineStr">
        <is>
          <t>UPI</t>
        </is>
      </c>
      <c r="I2" t="inlineStr">
        <is>
          <t>Delivered</t>
        </is>
      </c>
      <c r="J2" t="n">
        <v>112</v>
      </c>
      <c r="K2" t="n">
        <v>1</v>
      </c>
      <c r="L2" t="n">
        <v>1574</v>
      </c>
      <c r="M2" t="n">
        <v>0</v>
      </c>
      <c r="N2">
        <f>VLOOKUP(J2,Products!$A$2:$C$49,3,FALSE)</f>
        <v/>
      </c>
      <c r="O2">
        <f>K2*L2-M2</f>
        <v/>
      </c>
      <c r="P2">
        <f>TEXT(B2,"yyyy-mm")</f>
        <v/>
      </c>
      <c r="Q2">
        <f>IF(O2&gt;=3000,"Large","Small")</f>
        <v/>
      </c>
      <c r="R2">
        <f>INDEX(Products!$F$2:$F$49,MATCH(J2,Products!$A$2:$A$49,0))</f>
        <v/>
      </c>
      <c r="S2">
        <f>WEEKDAY(B2,2)</f>
        <v/>
      </c>
    </row>
    <row r="3">
      <c r="A3" t="n">
        <v>509306</v>
      </c>
      <c r="B3" s="6" t="n">
        <v>45931</v>
      </c>
      <c r="C3" t="n">
        <v>16561</v>
      </c>
      <c r="D3" t="inlineStr">
        <is>
          <t>Kochi</t>
        </is>
      </c>
      <c r="E3" t="inlineStr">
        <is>
          <t>South</t>
        </is>
      </c>
      <c r="F3" t="inlineStr">
        <is>
          <t>Email</t>
        </is>
      </c>
      <c r="G3" t="inlineStr">
        <is>
          <t>Mobile Web</t>
        </is>
      </c>
      <c r="H3" t="inlineStr">
        <is>
          <t>Credit Card</t>
        </is>
      </c>
      <c r="I3" t="inlineStr">
        <is>
          <t>Cancelled</t>
        </is>
      </c>
      <c r="J3" t="n">
        <v>119</v>
      </c>
      <c r="K3" t="n">
        <v>1</v>
      </c>
      <c r="L3" t="n">
        <v>2309</v>
      </c>
      <c r="M3" t="n">
        <v>346.35</v>
      </c>
      <c r="N3">
        <f>VLOOKUP(J3,Products!$A$2:$C$49,3,FALSE)</f>
        <v/>
      </c>
      <c r="O3">
        <f>K3*L3-M3</f>
        <v/>
      </c>
      <c r="P3">
        <f>TEXT(B3,"yyyy-mm")</f>
        <v/>
      </c>
      <c r="Q3">
        <f>IF(O3&gt;=3000,"Large","Small")</f>
        <v/>
      </c>
      <c r="R3">
        <f>INDEX(Products!$F$2:$F$49,MATCH(J3,Products!$A$2:$A$49,0))</f>
        <v/>
      </c>
      <c r="S3">
        <f>WEEKDAY(B3,2)</f>
        <v/>
      </c>
    </row>
    <row r="4">
      <c r="A4" t="n">
        <v>509307</v>
      </c>
      <c r="B4" s="6" t="n">
        <v>45931</v>
      </c>
      <c r="C4" t="n">
        <v>15029</v>
      </c>
      <c r="D4" t="inlineStr">
        <is>
          <t>Noida</t>
        </is>
      </c>
      <c r="E4" t="inlineStr">
        <is>
          <t>North</t>
        </is>
      </c>
      <c r="F4" t="inlineStr">
        <is>
          <t>Organic Search</t>
        </is>
      </c>
      <c r="G4" t="inlineStr">
        <is>
          <t>Desktop</t>
        </is>
      </c>
      <c r="H4" t="inlineStr">
        <is>
          <t>UPI</t>
        </is>
      </c>
      <c r="I4" t="inlineStr">
        <is>
          <t>Delivered</t>
        </is>
      </c>
      <c r="J4" t="n">
        <v>115</v>
      </c>
      <c r="K4" t="n">
        <v>1</v>
      </c>
      <c r="L4" t="n">
        <v>4199</v>
      </c>
      <c r="M4" t="n">
        <v>0</v>
      </c>
      <c r="N4">
        <f>VLOOKUP(J4,Products!$A$2:$C$49,3,FALSE)</f>
        <v/>
      </c>
      <c r="O4">
        <f>K4*L4-M4</f>
        <v/>
      </c>
      <c r="P4">
        <f>TEXT(B4,"yyyy-mm")</f>
        <v/>
      </c>
      <c r="Q4">
        <f>IF(O4&gt;=3000,"Large","Small")</f>
        <v/>
      </c>
      <c r="R4">
        <f>INDEX(Products!$F$2:$F$49,MATCH(J4,Products!$A$2:$A$49,0))</f>
        <v/>
      </c>
      <c r="S4">
        <f>WEEKDAY(B4,2)</f>
        <v/>
      </c>
    </row>
    <row r="5">
      <c r="A5" t="n">
        <v>509308</v>
      </c>
      <c r="B5" s="6" t="n">
        <v>45931</v>
      </c>
      <c r="C5" t="n">
        <v>16563</v>
      </c>
      <c r="D5" t="inlineStr">
        <is>
          <t>Lucknow</t>
        </is>
      </c>
      <c r="E5" t="inlineStr">
        <is>
          <t>North</t>
        </is>
      </c>
      <c r="F5" t="inlineStr">
        <is>
          <t>Organic Search</t>
        </is>
      </c>
      <c r="G5" t="inlineStr">
        <is>
          <t>Mobile Web</t>
        </is>
      </c>
      <c r="H5" t="inlineStr">
        <is>
          <t>UPI</t>
        </is>
      </c>
      <c r="I5" t="inlineStr">
        <is>
          <t>Delivered</t>
        </is>
      </c>
      <c r="J5" t="n">
        <v>104</v>
      </c>
      <c r="K5" t="n">
        <v>2</v>
      </c>
      <c r="L5" t="n">
        <v>5249</v>
      </c>
      <c r="M5" t="n">
        <v>0</v>
      </c>
      <c r="N5">
        <f>VLOOKUP(J5,Products!$A$2:$C$49,3,FALSE)</f>
        <v/>
      </c>
      <c r="O5">
        <f>K5*L5-M5</f>
        <v/>
      </c>
      <c r="P5">
        <f>TEXT(B5,"yyyy-mm")</f>
        <v/>
      </c>
      <c r="Q5">
        <f>IF(O5&gt;=3000,"Large","Small")</f>
        <v/>
      </c>
      <c r="R5">
        <f>INDEX(Products!$F$2:$F$49,MATCH(J5,Products!$A$2:$A$49,0))</f>
        <v/>
      </c>
      <c r="S5">
        <f>WEEKDAY(B5,2)</f>
        <v/>
      </c>
    </row>
    <row r="6">
      <c r="A6" t="n">
        <v>509309</v>
      </c>
      <c r="B6" s="6" t="n">
        <v>45931</v>
      </c>
      <c r="C6" t="n">
        <v>14305</v>
      </c>
      <c r="D6" t="inlineStr">
        <is>
          <t>Hyderabad</t>
        </is>
      </c>
      <c r="E6" t="inlineStr">
        <is>
          <t>South</t>
        </is>
      </c>
      <c r="F6" t="inlineStr">
        <is>
          <t>Referral</t>
        </is>
      </c>
      <c r="G6" t="inlineStr">
        <is>
          <t>Mobile Web</t>
        </is>
      </c>
      <c r="H6" t="inlineStr">
        <is>
          <t>Credit Card</t>
        </is>
      </c>
      <c r="I6" t="inlineStr">
        <is>
          <t>Delivered</t>
        </is>
      </c>
      <c r="J6" t="n">
        <v>141</v>
      </c>
      <c r="K6" t="n">
        <v>1</v>
      </c>
      <c r="L6" t="n">
        <v>261</v>
      </c>
      <c r="M6" t="n">
        <v>0</v>
      </c>
      <c r="N6">
        <f>VLOOKUP(J6,Products!$A$2:$C$49,3,FALSE)</f>
        <v/>
      </c>
      <c r="O6">
        <f>K6*L6-M6</f>
        <v/>
      </c>
      <c r="P6">
        <f>TEXT(B6,"yyyy-mm")</f>
        <v/>
      </c>
      <c r="Q6">
        <f>IF(O6&gt;=3000,"Large","Small")</f>
        <v/>
      </c>
      <c r="R6">
        <f>INDEX(Products!$F$2:$F$49,MATCH(J6,Products!$A$2:$A$49,0))</f>
        <v/>
      </c>
      <c r="S6">
        <f>WEEKDAY(B6,2)</f>
        <v/>
      </c>
    </row>
    <row r="7">
      <c r="A7" t="n">
        <v>509309</v>
      </c>
      <c r="B7" s="6" t="n">
        <v>45931</v>
      </c>
      <c r="C7" t="n">
        <v>14305</v>
      </c>
      <c r="D7" t="inlineStr">
        <is>
          <t>Hyderabad</t>
        </is>
      </c>
      <c r="E7" t="inlineStr">
        <is>
          <t>South</t>
        </is>
      </c>
      <c r="F7" t="inlineStr">
        <is>
          <t>Referral</t>
        </is>
      </c>
      <c r="G7" t="inlineStr">
        <is>
          <t>Mobile Web</t>
        </is>
      </c>
      <c r="H7" t="inlineStr">
        <is>
          <t>Credit Card</t>
        </is>
      </c>
      <c r="I7" t="inlineStr">
        <is>
          <t>Delivered</t>
        </is>
      </c>
      <c r="J7" t="n">
        <v>119</v>
      </c>
      <c r="K7" t="n">
        <v>1</v>
      </c>
      <c r="L7" t="n">
        <v>2309</v>
      </c>
      <c r="M7" t="n">
        <v>0</v>
      </c>
      <c r="N7">
        <f>VLOOKUP(J7,Products!$A$2:$C$49,3,FALSE)</f>
        <v/>
      </c>
      <c r="O7">
        <f>K7*L7-M7</f>
        <v/>
      </c>
      <c r="P7">
        <f>TEXT(B7,"yyyy-mm")</f>
        <v/>
      </c>
      <c r="Q7">
        <f>IF(O7&gt;=3000,"Large","Small")</f>
        <v/>
      </c>
      <c r="R7">
        <f>INDEX(Products!$F$2:$F$49,MATCH(J7,Products!$A$2:$A$49,0))</f>
        <v/>
      </c>
      <c r="S7">
        <f>WEEKDAY(B7,2)</f>
        <v/>
      </c>
    </row>
    <row r="8">
      <c r="A8" t="n">
        <v>509310</v>
      </c>
      <c r="B8" s="6" t="n">
        <v>45931</v>
      </c>
      <c r="C8" t="n">
        <v>16572</v>
      </c>
      <c r="D8" t="inlineStr">
        <is>
          <t>Bengaluru</t>
        </is>
      </c>
      <c r="E8" t="inlineStr">
        <is>
          <t>South</t>
        </is>
      </c>
      <c r="F8" t="inlineStr">
        <is>
          <t>Organic Search</t>
        </is>
      </c>
      <c r="G8" t="inlineStr">
        <is>
          <t>Desktop</t>
        </is>
      </c>
      <c r="H8" t="inlineStr">
        <is>
          <t>Net Banking</t>
        </is>
      </c>
      <c r="I8" t="inlineStr">
        <is>
          <t>Delivered</t>
        </is>
      </c>
      <c r="J8" t="n">
        <v>118</v>
      </c>
      <c r="K8" t="n">
        <v>1</v>
      </c>
      <c r="L8" t="n">
        <v>944</v>
      </c>
      <c r="M8" t="n">
        <v>0</v>
      </c>
      <c r="N8">
        <f>VLOOKUP(J8,Products!$A$2:$C$49,3,FALSE)</f>
        <v/>
      </c>
      <c r="O8">
        <f>K8*L8-M8</f>
        <v/>
      </c>
      <c r="P8">
        <f>TEXT(B8,"yyyy-mm")</f>
        <v/>
      </c>
      <c r="Q8">
        <f>IF(O8&gt;=3000,"Large","Small")</f>
        <v/>
      </c>
      <c r="R8">
        <f>INDEX(Products!$F$2:$F$49,MATCH(J8,Products!$A$2:$A$49,0))</f>
        <v/>
      </c>
      <c r="S8">
        <f>WEEKDAY(B8,2)</f>
        <v/>
      </c>
    </row>
    <row r="9">
      <c r="A9" t="n">
        <v>509311</v>
      </c>
      <c r="B9" s="6" t="n">
        <v>45931</v>
      </c>
      <c r="C9" t="n">
        <v>14615</v>
      </c>
      <c r="D9" t="inlineStr">
        <is>
          <t>Delhi</t>
        </is>
      </c>
      <c r="E9" t="inlineStr">
        <is>
          <t>North</t>
        </is>
      </c>
      <c r="F9" t="inlineStr">
        <is>
          <t>Organic Search</t>
        </is>
      </c>
      <c r="G9" t="inlineStr">
        <is>
          <t>Mobile App</t>
        </is>
      </c>
      <c r="H9" t="inlineStr">
        <is>
          <t>Net Banking</t>
        </is>
      </c>
      <c r="I9" t="inlineStr">
        <is>
          <t>Delivered</t>
        </is>
      </c>
      <c r="J9" t="n">
        <v>136</v>
      </c>
      <c r="K9" t="n">
        <v>2</v>
      </c>
      <c r="L9" t="n">
        <v>944</v>
      </c>
      <c r="M9" t="n">
        <v>0</v>
      </c>
      <c r="N9">
        <f>VLOOKUP(J9,Products!$A$2:$C$49,3,FALSE)</f>
        <v/>
      </c>
      <c r="O9">
        <f>K9*L9-M9</f>
        <v/>
      </c>
      <c r="P9">
        <f>TEXT(B9,"yyyy-mm")</f>
        <v/>
      </c>
      <c r="Q9">
        <f>IF(O9&gt;=3000,"Large","Small")</f>
        <v/>
      </c>
      <c r="R9">
        <f>INDEX(Products!$F$2:$F$49,MATCH(J9,Products!$A$2:$A$49,0))</f>
        <v/>
      </c>
      <c r="S9">
        <f>WEEKDAY(B9,2)</f>
        <v/>
      </c>
    </row>
    <row r="10">
      <c r="A10" t="n">
        <v>509311</v>
      </c>
      <c r="B10" s="6" t="n">
        <v>45931</v>
      </c>
      <c r="C10" t="n">
        <v>14615</v>
      </c>
      <c r="D10" t="inlineStr">
        <is>
          <t>Delhi</t>
        </is>
      </c>
      <c r="E10" t="inlineStr">
        <is>
          <t>North</t>
        </is>
      </c>
      <c r="F10" t="inlineStr">
        <is>
          <t>Organic Search</t>
        </is>
      </c>
      <c r="G10" t="inlineStr">
        <is>
          <t>Mobile App</t>
        </is>
      </c>
      <c r="H10" t="inlineStr">
        <is>
          <t>Net Banking</t>
        </is>
      </c>
      <c r="I10" t="inlineStr">
        <is>
          <t>Delivered</t>
        </is>
      </c>
      <c r="J10" t="n">
        <v>110</v>
      </c>
      <c r="K10" t="n">
        <v>1</v>
      </c>
      <c r="L10" t="n">
        <v>839</v>
      </c>
      <c r="M10" t="n">
        <v>0</v>
      </c>
      <c r="N10">
        <f>VLOOKUP(J10,Products!$A$2:$C$49,3,FALSE)</f>
        <v/>
      </c>
      <c r="O10">
        <f>K10*L10-M10</f>
        <v/>
      </c>
      <c r="P10">
        <f>TEXT(B10,"yyyy-mm")</f>
        <v/>
      </c>
      <c r="Q10">
        <f>IF(O10&gt;=3000,"Large","Small")</f>
        <v/>
      </c>
      <c r="R10">
        <f>INDEX(Products!$F$2:$F$49,MATCH(J10,Products!$A$2:$A$49,0))</f>
        <v/>
      </c>
      <c r="S10">
        <f>WEEKDAY(B10,2)</f>
        <v/>
      </c>
    </row>
    <row r="11">
      <c r="A11" t="n">
        <v>509312</v>
      </c>
      <c r="B11" s="6" t="n">
        <v>45931</v>
      </c>
      <c r="C11" t="n">
        <v>16551</v>
      </c>
      <c r="D11" t="inlineStr">
        <is>
          <t>Chandigarh</t>
        </is>
      </c>
      <c r="E11" t="inlineStr">
        <is>
          <t>North</t>
        </is>
      </c>
      <c r="F11" t="inlineStr">
        <is>
          <t>Paid Social</t>
        </is>
      </c>
      <c r="G11" t="inlineStr">
        <is>
          <t>Desktop</t>
        </is>
      </c>
      <c r="H11" t="inlineStr">
        <is>
          <t>UPI</t>
        </is>
      </c>
      <c r="I11" t="inlineStr">
        <is>
          <t>Delivered</t>
        </is>
      </c>
      <c r="J11" t="n">
        <v>135</v>
      </c>
      <c r="K11" t="n">
        <v>1</v>
      </c>
      <c r="L11" t="n">
        <v>1574</v>
      </c>
      <c r="M11" t="n">
        <v>0</v>
      </c>
      <c r="N11">
        <f>VLOOKUP(J11,Products!$A$2:$C$49,3,FALSE)</f>
        <v/>
      </c>
      <c r="O11">
        <f>K11*L11-M11</f>
        <v/>
      </c>
      <c r="P11">
        <f>TEXT(B11,"yyyy-mm")</f>
        <v/>
      </c>
      <c r="Q11">
        <f>IF(O11&gt;=3000,"Large","Small")</f>
        <v/>
      </c>
      <c r="R11">
        <f>INDEX(Products!$F$2:$F$49,MATCH(J11,Products!$A$2:$A$49,0))</f>
        <v/>
      </c>
      <c r="S11">
        <f>WEEKDAY(B11,2)</f>
        <v/>
      </c>
    </row>
    <row r="12">
      <c r="A12" t="n">
        <v>509312</v>
      </c>
      <c r="B12" s="6" t="n">
        <v>45931</v>
      </c>
      <c r="C12" t="n">
        <v>16551</v>
      </c>
      <c r="D12" t="inlineStr">
        <is>
          <t>Chandigarh</t>
        </is>
      </c>
      <c r="E12" t="inlineStr">
        <is>
          <t>North</t>
        </is>
      </c>
      <c r="F12" t="inlineStr">
        <is>
          <t>Paid Social</t>
        </is>
      </c>
      <c r="G12" t="inlineStr">
        <is>
          <t>Desktop</t>
        </is>
      </c>
      <c r="H12" t="inlineStr">
        <is>
          <t>UPI</t>
        </is>
      </c>
      <c r="I12" t="inlineStr">
        <is>
          <t>Delivered</t>
        </is>
      </c>
      <c r="J12" t="n">
        <v>115</v>
      </c>
      <c r="K12" t="n">
        <v>2</v>
      </c>
      <c r="L12" t="n">
        <v>4199</v>
      </c>
      <c r="M12" t="n">
        <v>0</v>
      </c>
      <c r="N12">
        <f>VLOOKUP(J12,Products!$A$2:$C$49,3,FALSE)</f>
        <v/>
      </c>
      <c r="O12">
        <f>K12*L12-M12</f>
        <v/>
      </c>
      <c r="P12">
        <f>TEXT(B12,"yyyy-mm")</f>
        <v/>
      </c>
      <c r="Q12">
        <f>IF(O12&gt;=3000,"Large","Small")</f>
        <v/>
      </c>
      <c r="R12">
        <f>INDEX(Products!$F$2:$F$49,MATCH(J12,Products!$A$2:$A$49,0))</f>
        <v/>
      </c>
      <c r="S12">
        <f>WEEKDAY(B12,2)</f>
        <v/>
      </c>
    </row>
    <row r="13">
      <c r="A13" t="n">
        <v>509313</v>
      </c>
      <c r="B13" s="6" t="n">
        <v>45931</v>
      </c>
      <c r="C13" t="n">
        <v>16522</v>
      </c>
      <c r="D13" t="inlineStr">
        <is>
          <t>Bengaluru</t>
        </is>
      </c>
      <c r="E13" t="inlineStr">
        <is>
          <t>South</t>
        </is>
      </c>
      <c r="F13" t="inlineStr">
        <is>
          <t>Paid Search</t>
        </is>
      </c>
      <c r="G13" t="inlineStr">
        <is>
          <t>Desktop</t>
        </is>
      </c>
      <c r="H13" t="inlineStr">
        <is>
          <t>UPI</t>
        </is>
      </c>
      <c r="I13" t="inlineStr">
        <is>
          <t>Delivered</t>
        </is>
      </c>
      <c r="J13" t="n">
        <v>125</v>
      </c>
      <c r="K13" t="n">
        <v>1</v>
      </c>
      <c r="L13" t="n">
        <v>1364</v>
      </c>
      <c r="M13" t="n">
        <v>0</v>
      </c>
      <c r="N13">
        <f>VLOOKUP(J13,Products!$A$2:$C$49,3,FALSE)</f>
        <v/>
      </c>
      <c r="O13">
        <f>K13*L13-M13</f>
        <v/>
      </c>
      <c r="P13">
        <f>TEXT(B13,"yyyy-mm")</f>
        <v/>
      </c>
      <c r="Q13">
        <f>IF(O13&gt;=3000,"Large","Small")</f>
        <v/>
      </c>
      <c r="R13">
        <f>INDEX(Products!$F$2:$F$49,MATCH(J13,Products!$A$2:$A$49,0))</f>
        <v/>
      </c>
      <c r="S13">
        <f>WEEKDAY(B13,2)</f>
        <v/>
      </c>
    </row>
    <row r="14">
      <c r="A14" t="n">
        <v>509314</v>
      </c>
      <c r="B14" s="6" t="n">
        <v>45931</v>
      </c>
      <c r="C14" t="n">
        <v>13111</v>
      </c>
      <c r="D14" t="inlineStr">
        <is>
          <t>Hyderabad</t>
        </is>
      </c>
      <c r="E14" t="inlineStr">
        <is>
          <t>South</t>
        </is>
      </c>
      <c r="F14" t="inlineStr">
        <is>
          <t>Referral</t>
        </is>
      </c>
      <c r="G14" t="inlineStr">
        <is>
          <t>Mobile App</t>
        </is>
      </c>
      <c r="H14" t="inlineStr">
        <is>
          <t>UPI</t>
        </is>
      </c>
      <c r="I14" t="inlineStr">
        <is>
          <t>Delivered</t>
        </is>
      </c>
      <c r="J14" t="n">
        <v>107</v>
      </c>
      <c r="K14" t="n">
        <v>1</v>
      </c>
      <c r="L14" t="n">
        <v>1259</v>
      </c>
      <c r="M14" t="n">
        <v>0</v>
      </c>
      <c r="N14">
        <f>VLOOKUP(J14,Products!$A$2:$C$49,3,FALSE)</f>
        <v/>
      </c>
      <c r="O14">
        <f>K14*L14-M14</f>
        <v/>
      </c>
      <c r="P14">
        <f>TEXT(B14,"yyyy-mm")</f>
        <v/>
      </c>
      <c r="Q14">
        <f>IF(O14&gt;=3000,"Large","Small")</f>
        <v/>
      </c>
      <c r="R14">
        <f>INDEX(Products!$F$2:$F$49,MATCH(J14,Products!$A$2:$A$49,0))</f>
        <v/>
      </c>
      <c r="S14">
        <f>WEEKDAY(B14,2)</f>
        <v/>
      </c>
    </row>
    <row r="15">
      <c r="A15" t="n">
        <v>509315</v>
      </c>
      <c r="B15" s="6" t="n">
        <v>45931</v>
      </c>
      <c r="C15" t="n">
        <v>16579</v>
      </c>
      <c r="D15" t="inlineStr">
        <is>
          <t>Kolkata</t>
        </is>
      </c>
      <c r="E15" t="inlineStr">
        <is>
          <t>East</t>
        </is>
      </c>
      <c r="F15" t="inlineStr">
        <is>
          <t>Organic Search</t>
        </is>
      </c>
      <c r="G15" t="inlineStr">
        <is>
          <t>Mobile App</t>
        </is>
      </c>
      <c r="H15" t="inlineStr">
        <is>
          <t>Credit Card</t>
        </is>
      </c>
      <c r="I15" t="inlineStr">
        <is>
          <t>Delivered</t>
        </is>
      </c>
      <c r="J15" t="n">
        <v>147</v>
      </c>
      <c r="K15" t="n">
        <v>1</v>
      </c>
      <c r="L15" t="n">
        <v>1364</v>
      </c>
      <c r="M15" t="n">
        <v>204.6</v>
      </c>
      <c r="N15">
        <f>VLOOKUP(J15,Products!$A$2:$C$49,3,FALSE)</f>
        <v/>
      </c>
      <c r="O15">
        <f>K15*L15-M15</f>
        <v/>
      </c>
      <c r="P15">
        <f>TEXT(B15,"yyyy-mm")</f>
        <v/>
      </c>
      <c r="Q15">
        <f>IF(O15&gt;=3000,"Large","Small")</f>
        <v/>
      </c>
      <c r="R15">
        <f>INDEX(Products!$F$2:$F$49,MATCH(J15,Products!$A$2:$A$49,0))</f>
        <v/>
      </c>
      <c r="S15">
        <f>WEEKDAY(B15,2)</f>
        <v/>
      </c>
    </row>
    <row r="16">
      <c r="A16" t="n">
        <v>509316</v>
      </c>
      <c r="B16" s="6" t="n">
        <v>45931</v>
      </c>
      <c r="C16" t="n">
        <v>16306</v>
      </c>
      <c r="D16" t="inlineStr">
        <is>
          <t>Delhi</t>
        </is>
      </c>
      <c r="E16" t="inlineStr">
        <is>
          <t>North</t>
        </is>
      </c>
      <c r="F16" t="inlineStr">
        <is>
          <t>Paid Social</t>
        </is>
      </c>
      <c r="G16" t="inlineStr">
        <is>
          <t>Mobile Web</t>
        </is>
      </c>
      <c r="H16" t="inlineStr">
        <is>
          <t>Credit Card</t>
        </is>
      </c>
      <c r="I16" t="inlineStr">
        <is>
          <t>Delivered</t>
        </is>
      </c>
      <c r="J16" t="n">
        <v>117</v>
      </c>
      <c r="K16" t="n">
        <v>1</v>
      </c>
      <c r="L16" t="n">
        <v>3149</v>
      </c>
      <c r="M16" t="n">
        <v>0</v>
      </c>
      <c r="N16">
        <f>VLOOKUP(J16,Products!$A$2:$C$49,3,FALSE)</f>
        <v/>
      </c>
      <c r="O16">
        <f>K16*L16-M16</f>
        <v/>
      </c>
      <c r="P16">
        <f>TEXT(B16,"yyyy-mm")</f>
        <v/>
      </c>
      <c r="Q16">
        <f>IF(O16&gt;=3000,"Large","Small")</f>
        <v/>
      </c>
      <c r="R16">
        <f>INDEX(Products!$F$2:$F$49,MATCH(J16,Products!$A$2:$A$49,0))</f>
        <v/>
      </c>
      <c r="S16">
        <f>WEEKDAY(B16,2)</f>
        <v/>
      </c>
    </row>
    <row r="17">
      <c r="A17" t="n">
        <v>509316</v>
      </c>
      <c r="B17" s="6" t="n">
        <v>45931</v>
      </c>
      <c r="C17" t="n">
        <v>16306</v>
      </c>
      <c r="D17" t="inlineStr">
        <is>
          <t>Delhi</t>
        </is>
      </c>
      <c r="E17" t="inlineStr">
        <is>
          <t>North</t>
        </is>
      </c>
      <c r="F17" t="inlineStr">
        <is>
          <t>Paid Social</t>
        </is>
      </c>
      <c r="G17" t="inlineStr">
        <is>
          <t>Mobile Web</t>
        </is>
      </c>
      <c r="H17" t="inlineStr">
        <is>
          <t>Credit Card</t>
        </is>
      </c>
      <c r="I17" t="inlineStr">
        <is>
          <t>Delivered</t>
        </is>
      </c>
      <c r="J17" t="n">
        <v>143</v>
      </c>
      <c r="K17" t="n">
        <v>2</v>
      </c>
      <c r="L17" t="n">
        <v>839</v>
      </c>
      <c r="M17" t="n">
        <v>0</v>
      </c>
      <c r="N17">
        <f>VLOOKUP(J17,Products!$A$2:$C$49,3,FALSE)</f>
        <v/>
      </c>
      <c r="O17">
        <f>K17*L17-M17</f>
        <v/>
      </c>
      <c r="P17">
        <f>TEXT(B17,"yyyy-mm")</f>
        <v/>
      </c>
      <c r="Q17">
        <f>IF(O17&gt;=3000,"Large","Small")</f>
        <v/>
      </c>
      <c r="R17">
        <f>INDEX(Products!$F$2:$F$49,MATCH(J17,Products!$A$2:$A$49,0))</f>
        <v/>
      </c>
      <c r="S17">
        <f>WEEKDAY(B17,2)</f>
        <v/>
      </c>
    </row>
    <row r="18">
      <c r="A18" t="n">
        <v>509316</v>
      </c>
      <c r="B18" s="6" t="n">
        <v>45931</v>
      </c>
      <c r="C18" t="n">
        <v>16306</v>
      </c>
      <c r="D18" t="inlineStr">
        <is>
          <t>Delhi</t>
        </is>
      </c>
      <c r="E18" t="inlineStr">
        <is>
          <t>North</t>
        </is>
      </c>
      <c r="F18" t="inlineStr">
        <is>
          <t>Paid Social</t>
        </is>
      </c>
      <c r="G18" t="inlineStr">
        <is>
          <t>Mobile Web</t>
        </is>
      </c>
      <c r="H18" t="inlineStr">
        <is>
          <t>Credit Card</t>
        </is>
      </c>
      <c r="I18" t="inlineStr">
        <is>
          <t>Delivered</t>
        </is>
      </c>
      <c r="J18" t="n">
        <v>128</v>
      </c>
      <c r="K18" t="n">
        <v>1</v>
      </c>
      <c r="L18" t="n">
        <v>1049</v>
      </c>
      <c r="M18" t="n">
        <v>0</v>
      </c>
      <c r="N18">
        <f>VLOOKUP(J18,Products!$A$2:$C$49,3,FALSE)</f>
        <v/>
      </c>
      <c r="O18">
        <f>K18*L18-M18</f>
        <v/>
      </c>
      <c r="P18">
        <f>TEXT(B18,"yyyy-mm")</f>
        <v/>
      </c>
      <c r="Q18">
        <f>IF(O18&gt;=3000,"Large","Small")</f>
        <v/>
      </c>
      <c r="R18">
        <f>INDEX(Products!$F$2:$F$49,MATCH(J18,Products!$A$2:$A$49,0))</f>
        <v/>
      </c>
      <c r="S18">
        <f>WEEKDAY(B18,2)</f>
        <v/>
      </c>
    </row>
    <row r="19">
      <c r="A19" t="n">
        <v>509317</v>
      </c>
      <c r="B19" s="6" t="n">
        <v>45931</v>
      </c>
      <c r="C19" t="n">
        <v>16495</v>
      </c>
      <c r="D19" t="inlineStr">
        <is>
          <t>Chennai</t>
        </is>
      </c>
      <c r="E19" t="inlineStr">
        <is>
          <t>South</t>
        </is>
      </c>
      <c r="F19" t="inlineStr">
        <is>
          <t>Affiliate</t>
        </is>
      </c>
      <c r="G19" t="inlineStr">
        <is>
          <t>Mobile App</t>
        </is>
      </c>
      <c r="H19" t="inlineStr">
        <is>
          <t>UPI</t>
        </is>
      </c>
      <c r="I19" t="inlineStr">
        <is>
          <t>Delivered</t>
        </is>
      </c>
      <c r="J19" t="n">
        <v>117</v>
      </c>
      <c r="K19" t="n">
        <v>2</v>
      </c>
      <c r="L19" t="n">
        <v>3149</v>
      </c>
      <c r="M19" t="n">
        <v>0</v>
      </c>
      <c r="N19">
        <f>VLOOKUP(J19,Products!$A$2:$C$49,3,FALSE)</f>
        <v/>
      </c>
      <c r="O19">
        <f>K19*L19-M19</f>
        <v/>
      </c>
      <c r="P19">
        <f>TEXT(B19,"yyyy-mm")</f>
        <v/>
      </c>
      <c r="Q19">
        <f>IF(O19&gt;=3000,"Large","Small")</f>
        <v/>
      </c>
      <c r="R19">
        <f>INDEX(Products!$F$2:$F$49,MATCH(J19,Products!$A$2:$A$49,0))</f>
        <v/>
      </c>
      <c r="S19">
        <f>WEEKDAY(B19,2)</f>
        <v/>
      </c>
    </row>
    <row r="20">
      <c r="A20" t="n">
        <v>509318</v>
      </c>
      <c r="B20" s="6" t="n">
        <v>45931</v>
      </c>
      <c r="C20" t="n">
        <v>16543</v>
      </c>
      <c r="D20" t="inlineStr">
        <is>
          <t>Jaipur</t>
        </is>
      </c>
      <c r="E20" t="inlineStr">
        <is>
          <t>North</t>
        </is>
      </c>
      <c r="F20" t="inlineStr">
        <is>
          <t>Organic Search</t>
        </is>
      </c>
      <c r="G20" t="inlineStr">
        <is>
          <t>Desktop</t>
        </is>
      </c>
      <c r="H20" t="inlineStr">
        <is>
          <t>Debit Card</t>
        </is>
      </c>
      <c r="I20" t="inlineStr">
        <is>
          <t>Returned</t>
        </is>
      </c>
      <c r="J20" t="n">
        <v>107</v>
      </c>
      <c r="K20" t="n">
        <v>1</v>
      </c>
      <c r="L20" t="n">
        <v>1259</v>
      </c>
      <c r="M20" t="n">
        <v>188.85</v>
      </c>
      <c r="N20">
        <f>VLOOKUP(J20,Products!$A$2:$C$49,3,FALSE)</f>
        <v/>
      </c>
      <c r="O20">
        <f>K20*L20-M20</f>
        <v/>
      </c>
      <c r="P20">
        <f>TEXT(B20,"yyyy-mm")</f>
        <v/>
      </c>
      <c r="Q20">
        <f>IF(O20&gt;=3000,"Large","Small")</f>
        <v/>
      </c>
      <c r="R20">
        <f>INDEX(Products!$F$2:$F$49,MATCH(J20,Products!$A$2:$A$49,0))</f>
        <v/>
      </c>
      <c r="S20">
        <f>WEEKDAY(B20,2)</f>
        <v/>
      </c>
    </row>
    <row r="21">
      <c r="A21" t="n">
        <v>509318</v>
      </c>
      <c r="B21" s="6" t="n">
        <v>45931</v>
      </c>
      <c r="C21" t="n">
        <v>16543</v>
      </c>
      <c r="D21" t="inlineStr">
        <is>
          <t>Jaipur</t>
        </is>
      </c>
      <c r="E21" t="inlineStr">
        <is>
          <t>North</t>
        </is>
      </c>
      <c r="F21" t="inlineStr">
        <is>
          <t>Organic Search</t>
        </is>
      </c>
      <c r="G21" t="inlineStr">
        <is>
          <t>Desktop</t>
        </is>
      </c>
      <c r="H21" t="inlineStr">
        <is>
          <t>Debit Card</t>
        </is>
      </c>
      <c r="I21" t="inlineStr">
        <is>
          <t>Returned</t>
        </is>
      </c>
      <c r="J21" t="n">
        <v>117</v>
      </c>
      <c r="K21" t="n">
        <v>2</v>
      </c>
      <c r="L21" t="n">
        <v>3149</v>
      </c>
      <c r="M21" t="n">
        <v>944.7</v>
      </c>
      <c r="N21">
        <f>VLOOKUP(J21,Products!$A$2:$C$49,3,FALSE)</f>
        <v/>
      </c>
      <c r="O21">
        <f>K21*L21-M21</f>
        <v/>
      </c>
      <c r="P21">
        <f>TEXT(B21,"yyyy-mm")</f>
        <v/>
      </c>
      <c r="Q21">
        <f>IF(O21&gt;=3000,"Large","Small")</f>
        <v/>
      </c>
      <c r="R21">
        <f>INDEX(Products!$F$2:$F$49,MATCH(J21,Products!$A$2:$A$49,0))</f>
        <v/>
      </c>
      <c r="S21">
        <f>WEEKDAY(B21,2)</f>
        <v/>
      </c>
    </row>
    <row r="22">
      <c r="A22" t="n">
        <v>509318</v>
      </c>
      <c r="B22" s="6" t="n">
        <v>45931</v>
      </c>
      <c r="C22" t="n">
        <v>16543</v>
      </c>
      <c r="D22" t="inlineStr">
        <is>
          <t>Jaipur</t>
        </is>
      </c>
      <c r="E22" t="inlineStr">
        <is>
          <t>North</t>
        </is>
      </c>
      <c r="F22" t="inlineStr">
        <is>
          <t>Organic Search</t>
        </is>
      </c>
      <c r="G22" t="inlineStr">
        <is>
          <t>Desktop</t>
        </is>
      </c>
      <c r="H22" t="inlineStr">
        <is>
          <t>Debit Card</t>
        </is>
      </c>
      <c r="I22" t="inlineStr">
        <is>
          <t>Returned</t>
        </is>
      </c>
      <c r="J22" t="n">
        <v>103</v>
      </c>
      <c r="K22" t="n">
        <v>2</v>
      </c>
      <c r="L22" t="n">
        <v>2624</v>
      </c>
      <c r="M22" t="n">
        <v>787.2</v>
      </c>
      <c r="N22">
        <f>VLOOKUP(J22,Products!$A$2:$C$49,3,FALSE)</f>
        <v/>
      </c>
      <c r="O22">
        <f>K22*L22-M22</f>
        <v/>
      </c>
      <c r="P22">
        <f>TEXT(B22,"yyyy-mm")</f>
        <v/>
      </c>
      <c r="Q22">
        <f>IF(O22&gt;=3000,"Large","Small")</f>
        <v/>
      </c>
      <c r="R22">
        <f>INDEX(Products!$F$2:$F$49,MATCH(J22,Products!$A$2:$A$49,0))</f>
        <v/>
      </c>
      <c r="S22">
        <f>WEEKDAY(B22,2)</f>
        <v/>
      </c>
    </row>
    <row r="23">
      <c r="A23" t="n">
        <v>509319</v>
      </c>
      <c r="B23" s="6" t="n">
        <v>45931</v>
      </c>
      <c r="C23" t="n">
        <v>14548</v>
      </c>
      <c r="D23" t="inlineStr">
        <is>
          <t>Indore</t>
        </is>
      </c>
      <c r="E23" t="inlineStr">
        <is>
          <t>West</t>
        </is>
      </c>
      <c r="F23" t="inlineStr">
        <is>
          <t>Organic Search</t>
        </is>
      </c>
      <c r="G23" t="inlineStr">
        <is>
          <t>Mobile Web</t>
        </is>
      </c>
      <c r="H23" t="inlineStr">
        <is>
          <t>Net Banking</t>
        </is>
      </c>
      <c r="I23" t="inlineStr">
        <is>
          <t>Delivered</t>
        </is>
      </c>
      <c r="J23" t="n">
        <v>130</v>
      </c>
      <c r="K23" t="n">
        <v>1</v>
      </c>
      <c r="L23" t="n">
        <v>734</v>
      </c>
      <c r="M23" t="n">
        <v>0</v>
      </c>
      <c r="N23">
        <f>VLOOKUP(J23,Products!$A$2:$C$49,3,FALSE)</f>
        <v/>
      </c>
      <c r="O23">
        <f>K23*L23-M23</f>
        <v/>
      </c>
      <c r="P23">
        <f>TEXT(B23,"yyyy-mm")</f>
        <v/>
      </c>
      <c r="Q23">
        <f>IF(O23&gt;=3000,"Large","Small")</f>
        <v/>
      </c>
      <c r="R23">
        <f>INDEX(Products!$F$2:$F$49,MATCH(J23,Products!$A$2:$A$49,0))</f>
        <v/>
      </c>
      <c r="S23">
        <f>WEEKDAY(B23,2)</f>
        <v/>
      </c>
    </row>
    <row r="24">
      <c r="A24" t="n">
        <v>509319</v>
      </c>
      <c r="B24" s="6" t="n">
        <v>45931</v>
      </c>
      <c r="C24" t="n">
        <v>14548</v>
      </c>
      <c r="D24" t="inlineStr">
        <is>
          <t>Indore</t>
        </is>
      </c>
      <c r="E24" t="inlineStr">
        <is>
          <t>West</t>
        </is>
      </c>
      <c r="F24" t="inlineStr">
        <is>
          <t>Organic Search</t>
        </is>
      </c>
      <c r="G24" t="inlineStr">
        <is>
          <t>Mobile Web</t>
        </is>
      </c>
      <c r="H24" t="inlineStr">
        <is>
          <t>Net Banking</t>
        </is>
      </c>
      <c r="I24" t="inlineStr">
        <is>
          <t>Delivered</t>
        </is>
      </c>
      <c r="J24" t="n">
        <v>133</v>
      </c>
      <c r="K24" t="n">
        <v>2</v>
      </c>
      <c r="L24" t="n">
        <v>419</v>
      </c>
      <c r="M24" t="n">
        <v>0</v>
      </c>
      <c r="N24">
        <f>VLOOKUP(J24,Products!$A$2:$C$49,3,FALSE)</f>
        <v/>
      </c>
      <c r="O24">
        <f>K24*L24-M24</f>
        <v/>
      </c>
      <c r="P24">
        <f>TEXT(B24,"yyyy-mm")</f>
        <v/>
      </c>
      <c r="Q24">
        <f>IF(O24&gt;=3000,"Large","Small")</f>
        <v/>
      </c>
      <c r="R24">
        <f>INDEX(Products!$F$2:$F$49,MATCH(J24,Products!$A$2:$A$49,0))</f>
        <v/>
      </c>
      <c r="S24">
        <f>WEEKDAY(B24,2)</f>
        <v/>
      </c>
    </row>
    <row r="25">
      <c r="A25" t="n">
        <v>509320</v>
      </c>
      <c r="B25" s="6" t="n">
        <v>45931</v>
      </c>
      <c r="C25" t="n">
        <v>16532</v>
      </c>
      <c r="D25" t="inlineStr">
        <is>
          <t>Delhi</t>
        </is>
      </c>
      <c r="E25" t="inlineStr">
        <is>
          <t>North</t>
        </is>
      </c>
      <c r="F25" t="inlineStr">
        <is>
          <t>Organic Search</t>
        </is>
      </c>
      <c r="G25" t="inlineStr">
        <is>
          <t>Mobile App</t>
        </is>
      </c>
      <c r="H25" t="inlineStr">
        <is>
          <t>UPI</t>
        </is>
      </c>
      <c r="I25" t="inlineStr">
        <is>
          <t>Delivered</t>
        </is>
      </c>
      <c r="J25" t="n">
        <v>134</v>
      </c>
      <c r="K25" t="n">
        <v>1</v>
      </c>
      <c r="L25" t="n">
        <v>209</v>
      </c>
      <c r="M25" t="n">
        <v>0</v>
      </c>
      <c r="N25">
        <f>VLOOKUP(J25,Products!$A$2:$C$49,3,FALSE)</f>
        <v/>
      </c>
      <c r="O25">
        <f>K25*L25-M25</f>
        <v/>
      </c>
      <c r="P25">
        <f>TEXT(B25,"yyyy-mm")</f>
        <v/>
      </c>
      <c r="Q25">
        <f>IF(O25&gt;=3000,"Large","Small")</f>
        <v/>
      </c>
      <c r="R25">
        <f>INDEX(Products!$F$2:$F$49,MATCH(J25,Products!$A$2:$A$49,0))</f>
        <v/>
      </c>
      <c r="S25">
        <f>WEEKDAY(B25,2)</f>
        <v/>
      </c>
    </row>
    <row r="26">
      <c r="A26" t="n">
        <v>509321</v>
      </c>
      <c r="B26" s="6" t="n">
        <v>45931</v>
      </c>
      <c r="C26" t="n">
        <v>11573</v>
      </c>
      <c r="D26" t="inlineStr">
        <is>
          <t>Bengaluru</t>
        </is>
      </c>
      <c r="E26" t="inlineStr">
        <is>
          <t>South</t>
        </is>
      </c>
      <c r="F26" t="inlineStr">
        <is>
          <t>Email</t>
        </is>
      </c>
      <c r="G26" t="inlineStr">
        <is>
          <t>Mobile App</t>
        </is>
      </c>
      <c r="H26" t="inlineStr">
        <is>
          <t>Cash on Delivery</t>
        </is>
      </c>
      <c r="I26" t="inlineStr">
        <is>
          <t>Delivered</t>
        </is>
      </c>
      <c r="J26" t="n">
        <v>103</v>
      </c>
      <c r="K26" t="n">
        <v>2</v>
      </c>
      <c r="L26" t="n">
        <v>2624</v>
      </c>
      <c r="M26" t="n">
        <v>0</v>
      </c>
      <c r="N26">
        <f>VLOOKUP(J26,Products!$A$2:$C$49,3,FALSE)</f>
        <v/>
      </c>
      <c r="O26">
        <f>K26*L26-M26</f>
        <v/>
      </c>
      <c r="P26">
        <f>TEXT(B26,"yyyy-mm")</f>
        <v/>
      </c>
      <c r="Q26">
        <f>IF(O26&gt;=3000,"Large","Small")</f>
        <v/>
      </c>
      <c r="R26">
        <f>INDEX(Products!$F$2:$F$49,MATCH(J26,Products!$A$2:$A$49,0))</f>
        <v/>
      </c>
      <c r="S26">
        <f>WEEKDAY(B26,2)</f>
        <v/>
      </c>
    </row>
    <row r="27">
      <c r="A27" t="n">
        <v>509321</v>
      </c>
      <c r="B27" s="6" t="n">
        <v>45931</v>
      </c>
      <c r="C27" t="n">
        <v>11573</v>
      </c>
      <c r="D27" t="inlineStr">
        <is>
          <t>Bengaluru</t>
        </is>
      </c>
      <c r="E27" t="inlineStr">
        <is>
          <t>South</t>
        </is>
      </c>
      <c r="F27" t="inlineStr">
        <is>
          <t>Email</t>
        </is>
      </c>
      <c r="G27" t="inlineStr">
        <is>
          <t>Mobile App</t>
        </is>
      </c>
      <c r="H27" t="inlineStr">
        <is>
          <t>Cash on Delivery</t>
        </is>
      </c>
      <c r="I27" t="inlineStr">
        <is>
          <t>Delivered</t>
        </is>
      </c>
      <c r="J27" t="n">
        <v>112</v>
      </c>
      <c r="K27" t="n">
        <v>1</v>
      </c>
      <c r="L27" t="n">
        <v>1574</v>
      </c>
      <c r="M27" t="n">
        <v>0</v>
      </c>
      <c r="N27">
        <f>VLOOKUP(J27,Products!$A$2:$C$49,3,FALSE)</f>
        <v/>
      </c>
      <c r="O27">
        <f>K27*L27-M27</f>
        <v/>
      </c>
      <c r="P27">
        <f>TEXT(B27,"yyyy-mm")</f>
        <v/>
      </c>
      <c r="Q27">
        <f>IF(O27&gt;=3000,"Large","Small")</f>
        <v/>
      </c>
      <c r="R27">
        <f>INDEX(Products!$F$2:$F$49,MATCH(J27,Products!$A$2:$A$49,0))</f>
        <v/>
      </c>
      <c r="S27">
        <f>WEEKDAY(B27,2)</f>
        <v/>
      </c>
    </row>
    <row r="28">
      <c r="A28" t="n">
        <v>509322</v>
      </c>
      <c r="B28" s="6" t="n">
        <v>45931</v>
      </c>
      <c r="C28" t="n">
        <v>16521</v>
      </c>
      <c r="D28" t="inlineStr">
        <is>
          <t>Indore</t>
        </is>
      </c>
      <c r="E28" t="inlineStr">
        <is>
          <t>West</t>
        </is>
      </c>
      <c r="F28" t="inlineStr">
        <is>
          <t>Paid Search</t>
        </is>
      </c>
      <c r="G28" t="inlineStr">
        <is>
          <t>Mobile App</t>
        </is>
      </c>
      <c r="H28" t="inlineStr">
        <is>
          <t>UPI</t>
        </is>
      </c>
      <c r="I28" t="inlineStr">
        <is>
          <t>Returned</t>
        </is>
      </c>
      <c r="J28" t="n">
        <v>118</v>
      </c>
      <c r="K28" t="n">
        <v>1</v>
      </c>
      <c r="L28" t="n">
        <v>944</v>
      </c>
      <c r="M28" t="n">
        <v>0</v>
      </c>
      <c r="N28">
        <f>VLOOKUP(J28,Products!$A$2:$C$49,3,FALSE)</f>
        <v/>
      </c>
      <c r="O28">
        <f>K28*L28-M28</f>
        <v/>
      </c>
      <c r="P28">
        <f>TEXT(B28,"yyyy-mm")</f>
        <v/>
      </c>
      <c r="Q28">
        <f>IF(O28&gt;=3000,"Large","Small")</f>
        <v/>
      </c>
      <c r="R28">
        <f>INDEX(Products!$F$2:$F$49,MATCH(J28,Products!$A$2:$A$49,0))</f>
        <v/>
      </c>
      <c r="S28">
        <f>WEEKDAY(B28,2)</f>
        <v/>
      </c>
    </row>
    <row r="29">
      <c r="A29" t="n">
        <v>509322</v>
      </c>
      <c r="B29" s="6" t="n">
        <v>45931</v>
      </c>
      <c r="C29" t="n">
        <v>16521</v>
      </c>
      <c r="D29" t="inlineStr">
        <is>
          <t>Indore</t>
        </is>
      </c>
      <c r="E29" t="inlineStr">
        <is>
          <t>West</t>
        </is>
      </c>
      <c r="F29" t="inlineStr">
        <is>
          <t>Paid Search</t>
        </is>
      </c>
      <c r="G29" t="inlineStr">
        <is>
          <t>Mobile App</t>
        </is>
      </c>
      <c r="H29" t="inlineStr">
        <is>
          <t>UPI</t>
        </is>
      </c>
      <c r="I29" t="inlineStr">
        <is>
          <t>Returned</t>
        </is>
      </c>
      <c r="J29" t="n">
        <v>126</v>
      </c>
      <c r="K29" t="n">
        <v>1</v>
      </c>
      <c r="L29" t="n">
        <v>471</v>
      </c>
      <c r="M29" t="n">
        <v>0</v>
      </c>
      <c r="N29">
        <f>VLOOKUP(J29,Products!$A$2:$C$49,3,FALSE)</f>
        <v/>
      </c>
      <c r="O29">
        <f>K29*L29-M29</f>
        <v/>
      </c>
      <c r="P29">
        <f>TEXT(B29,"yyyy-mm")</f>
        <v/>
      </c>
      <c r="Q29">
        <f>IF(O29&gt;=3000,"Large","Small")</f>
        <v/>
      </c>
      <c r="R29">
        <f>INDEX(Products!$F$2:$F$49,MATCH(J29,Products!$A$2:$A$49,0))</f>
        <v/>
      </c>
      <c r="S29">
        <f>WEEKDAY(B29,2)</f>
        <v/>
      </c>
    </row>
    <row r="30">
      <c r="A30" t="n">
        <v>509322</v>
      </c>
      <c r="B30" s="6" t="n">
        <v>45931</v>
      </c>
      <c r="C30" t="n">
        <v>16521</v>
      </c>
      <c r="D30" t="inlineStr">
        <is>
          <t>Indore</t>
        </is>
      </c>
      <c r="E30" t="inlineStr">
        <is>
          <t>West</t>
        </is>
      </c>
      <c r="F30" t="inlineStr">
        <is>
          <t>Paid Search</t>
        </is>
      </c>
      <c r="G30" t="inlineStr">
        <is>
          <t>Mobile App</t>
        </is>
      </c>
      <c r="H30" t="inlineStr">
        <is>
          <t>UPI</t>
        </is>
      </c>
      <c r="I30" t="inlineStr">
        <is>
          <t>Returned</t>
        </is>
      </c>
      <c r="J30" t="n">
        <v>139</v>
      </c>
      <c r="K30" t="n">
        <v>1</v>
      </c>
      <c r="L30" t="n">
        <v>366</v>
      </c>
      <c r="M30" t="n">
        <v>0</v>
      </c>
      <c r="N30">
        <f>VLOOKUP(J30,Products!$A$2:$C$49,3,FALSE)</f>
        <v/>
      </c>
      <c r="O30">
        <f>K30*L30-M30</f>
        <v/>
      </c>
      <c r="P30">
        <f>TEXT(B30,"yyyy-mm")</f>
        <v/>
      </c>
      <c r="Q30">
        <f>IF(O30&gt;=3000,"Large","Small")</f>
        <v/>
      </c>
      <c r="R30">
        <f>INDEX(Products!$F$2:$F$49,MATCH(J30,Products!$A$2:$A$49,0))</f>
        <v/>
      </c>
      <c r="S30">
        <f>WEEKDAY(B30,2)</f>
        <v/>
      </c>
    </row>
    <row r="31">
      <c r="A31" t="n">
        <v>509323</v>
      </c>
      <c r="B31" s="6" t="n">
        <v>45931</v>
      </c>
      <c r="C31" t="n">
        <v>11402</v>
      </c>
      <c r="D31" t="inlineStr">
        <is>
          <t>Hyderabad</t>
        </is>
      </c>
      <c r="E31" t="inlineStr">
        <is>
          <t>South</t>
        </is>
      </c>
      <c r="F31" t="inlineStr">
        <is>
          <t>Paid Search</t>
        </is>
      </c>
      <c r="G31" t="inlineStr">
        <is>
          <t>Mobile App</t>
        </is>
      </c>
      <c r="H31" t="inlineStr">
        <is>
          <t>UPI</t>
        </is>
      </c>
      <c r="I31" t="inlineStr">
        <is>
          <t>Delivered</t>
        </is>
      </c>
      <c r="J31" t="n">
        <v>105</v>
      </c>
      <c r="K31" t="n">
        <v>2</v>
      </c>
      <c r="L31" t="n">
        <v>2414</v>
      </c>
      <c r="M31" t="n">
        <v>0</v>
      </c>
      <c r="N31">
        <f>VLOOKUP(J31,Products!$A$2:$C$49,3,FALSE)</f>
        <v/>
      </c>
      <c r="O31">
        <f>K31*L31-M31</f>
        <v/>
      </c>
      <c r="P31">
        <f>TEXT(B31,"yyyy-mm")</f>
        <v/>
      </c>
      <c r="Q31">
        <f>IF(O31&gt;=3000,"Large","Small")</f>
        <v/>
      </c>
      <c r="R31">
        <f>INDEX(Products!$F$2:$F$49,MATCH(J31,Products!$A$2:$A$49,0))</f>
        <v/>
      </c>
      <c r="S31">
        <f>WEEKDAY(B31,2)</f>
        <v/>
      </c>
    </row>
    <row r="32">
      <c r="A32" t="n">
        <v>509324</v>
      </c>
      <c r="B32" s="6" t="n">
        <v>45931</v>
      </c>
      <c r="C32" t="n">
        <v>14140</v>
      </c>
      <c r="D32" t="inlineStr">
        <is>
          <t>Hyderabad</t>
        </is>
      </c>
      <c r="E32" t="inlineStr">
        <is>
          <t>South</t>
        </is>
      </c>
      <c r="F32" t="inlineStr">
        <is>
          <t>Referral</t>
        </is>
      </c>
      <c r="G32" t="inlineStr">
        <is>
          <t>Mobile App</t>
        </is>
      </c>
      <c r="H32" t="inlineStr">
        <is>
          <t>Cash on Delivery</t>
        </is>
      </c>
      <c r="I32" t="inlineStr">
        <is>
          <t>Delivered</t>
        </is>
      </c>
      <c r="J32" t="n">
        <v>117</v>
      </c>
      <c r="K32" t="n">
        <v>1</v>
      </c>
      <c r="L32" t="n">
        <v>3149</v>
      </c>
      <c r="M32" t="n">
        <v>0</v>
      </c>
      <c r="N32">
        <f>VLOOKUP(J32,Products!$A$2:$C$49,3,FALSE)</f>
        <v/>
      </c>
      <c r="O32">
        <f>K32*L32-M32</f>
        <v/>
      </c>
      <c r="P32">
        <f>TEXT(B32,"yyyy-mm")</f>
        <v/>
      </c>
      <c r="Q32">
        <f>IF(O32&gt;=3000,"Large","Small")</f>
        <v/>
      </c>
      <c r="R32">
        <f>INDEX(Products!$F$2:$F$49,MATCH(J32,Products!$A$2:$A$49,0))</f>
        <v/>
      </c>
      <c r="S32">
        <f>WEEKDAY(B32,2)</f>
        <v/>
      </c>
    </row>
    <row r="33">
      <c r="A33" t="n">
        <v>509325</v>
      </c>
      <c r="B33" s="6" t="n">
        <v>45931</v>
      </c>
      <c r="C33" t="n">
        <v>16506</v>
      </c>
      <c r="D33" t="inlineStr">
        <is>
          <t>Chandigarh</t>
        </is>
      </c>
      <c r="E33" t="inlineStr">
        <is>
          <t>North</t>
        </is>
      </c>
      <c r="F33" t="inlineStr">
        <is>
          <t>Paid Social</t>
        </is>
      </c>
      <c r="G33" t="inlineStr">
        <is>
          <t>Desktop</t>
        </is>
      </c>
      <c r="H33" t="inlineStr">
        <is>
          <t>Credit Card</t>
        </is>
      </c>
      <c r="I33" t="inlineStr">
        <is>
          <t>Delivered</t>
        </is>
      </c>
      <c r="J33" t="n">
        <v>130</v>
      </c>
      <c r="K33" t="n">
        <v>2</v>
      </c>
      <c r="L33" t="n">
        <v>734</v>
      </c>
      <c r="M33" t="n">
        <v>220.2</v>
      </c>
      <c r="N33">
        <f>VLOOKUP(J33,Products!$A$2:$C$49,3,FALSE)</f>
        <v/>
      </c>
      <c r="O33">
        <f>K33*L33-M33</f>
        <v/>
      </c>
      <c r="P33">
        <f>TEXT(B33,"yyyy-mm")</f>
        <v/>
      </c>
      <c r="Q33">
        <f>IF(O33&gt;=3000,"Large","Small")</f>
        <v/>
      </c>
      <c r="R33">
        <f>INDEX(Products!$F$2:$F$49,MATCH(J33,Products!$A$2:$A$49,0))</f>
        <v/>
      </c>
      <c r="S33">
        <f>WEEKDAY(B33,2)</f>
        <v/>
      </c>
    </row>
    <row r="34">
      <c r="A34" t="n">
        <v>509326</v>
      </c>
      <c r="B34" s="6" t="n">
        <v>45931</v>
      </c>
      <c r="C34" t="n">
        <v>16476</v>
      </c>
      <c r="D34" t="inlineStr">
        <is>
          <t>Kolkata</t>
        </is>
      </c>
      <c r="E34" t="inlineStr">
        <is>
          <t>East</t>
        </is>
      </c>
      <c r="F34" t="inlineStr">
        <is>
          <t>Affiliate</t>
        </is>
      </c>
      <c r="G34" t="inlineStr">
        <is>
          <t>Mobile Web</t>
        </is>
      </c>
      <c r="H34" t="inlineStr">
        <is>
          <t>Cash on Delivery</t>
        </is>
      </c>
      <c r="I34" t="inlineStr">
        <is>
          <t>Delivered</t>
        </is>
      </c>
      <c r="J34" t="n">
        <v>125</v>
      </c>
      <c r="K34" t="n">
        <v>1</v>
      </c>
      <c r="L34" t="n">
        <v>1364</v>
      </c>
      <c r="M34" t="n">
        <v>68.2</v>
      </c>
      <c r="N34">
        <f>VLOOKUP(J34,Products!$A$2:$C$49,3,FALSE)</f>
        <v/>
      </c>
      <c r="O34">
        <f>K34*L34-M34</f>
        <v/>
      </c>
      <c r="P34">
        <f>TEXT(B34,"yyyy-mm")</f>
        <v/>
      </c>
      <c r="Q34">
        <f>IF(O34&gt;=3000,"Large","Small")</f>
        <v/>
      </c>
      <c r="R34">
        <f>INDEX(Products!$F$2:$F$49,MATCH(J34,Products!$A$2:$A$49,0))</f>
        <v/>
      </c>
      <c r="S34">
        <f>WEEKDAY(B34,2)</f>
        <v/>
      </c>
    </row>
    <row r="35">
      <c r="A35" t="n">
        <v>509326</v>
      </c>
      <c r="B35" s="6" t="n">
        <v>45931</v>
      </c>
      <c r="C35" t="n">
        <v>16476</v>
      </c>
      <c r="D35" t="inlineStr">
        <is>
          <t>Kolkata</t>
        </is>
      </c>
      <c r="E35" t="inlineStr">
        <is>
          <t>East</t>
        </is>
      </c>
      <c r="F35" t="inlineStr">
        <is>
          <t>Affiliate</t>
        </is>
      </c>
      <c r="G35" t="inlineStr">
        <is>
          <t>Mobile Web</t>
        </is>
      </c>
      <c r="H35" t="inlineStr">
        <is>
          <t>Cash on Delivery</t>
        </is>
      </c>
      <c r="I35" t="inlineStr">
        <is>
          <t>Delivered</t>
        </is>
      </c>
      <c r="J35" t="n">
        <v>134</v>
      </c>
      <c r="K35" t="n">
        <v>1</v>
      </c>
      <c r="L35" t="n">
        <v>209</v>
      </c>
      <c r="M35" t="n">
        <v>10.45</v>
      </c>
      <c r="N35">
        <f>VLOOKUP(J35,Products!$A$2:$C$49,3,FALSE)</f>
        <v/>
      </c>
      <c r="O35">
        <f>K35*L35-M35</f>
        <v/>
      </c>
      <c r="P35">
        <f>TEXT(B35,"yyyy-mm")</f>
        <v/>
      </c>
      <c r="Q35">
        <f>IF(O35&gt;=3000,"Large","Small")</f>
        <v/>
      </c>
      <c r="R35">
        <f>INDEX(Products!$F$2:$F$49,MATCH(J35,Products!$A$2:$A$49,0))</f>
        <v/>
      </c>
      <c r="S35">
        <f>WEEKDAY(B35,2)</f>
        <v/>
      </c>
    </row>
    <row r="36">
      <c r="A36" t="n">
        <v>509327</v>
      </c>
      <c r="B36" s="6" t="n">
        <v>45931</v>
      </c>
      <c r="C36" t="n">
        <v>16575</v>
      </c>
      <c r="D36" t="inlineStr">
        <is>
          <t>Mumbai</t>
        </is>
      </c>
      <c r="E36" t="inlineStr">
        <is>
          <t>West</t>
        </is>
      </c>
      <c r="F36" t="inlineStr">
        <is>
          <t>Affiliate</t>
        </is>
      </c>
      <c r="G36" t="inlineStr">
        <is>
          <t>Mobile Web</t>
        </is>
      </c>
      <c r="H36" t="inlineStr">
        <is>
          <t>UPI</t>
        </is>
      </c>
      <c r="I36" t="inlineStr">
        <is>
          <t>Delivered</t>
        </is>
      </c>
      <c r="J36" t="n">
        <v>144</v>
      </c>
      <c r="K36" t="n">
        <v>1</v>
      </c>
      <c r="L36" t="n">
        <v>3149</v>
      </c>
      <c r="M36" t="n">
        <v>472.35</v>
      </c>
      <c r="N36">
        <f>VLOOKUP(J36,Products!$A$2:$C$49,3,FALSE)</f>
        <v/>
      </c>
      <c r="O36">
        <f>K36*L36-M36</f>
        <v/>
      </c>
      <c r="P36">
        <f>TEXT(B36,"yyyy-mm")</f>
        <v/>
      </c>
      <c r="Q36">
        <f>IF(O36&gt;=3000,"Large","Small")</f>
        <v/>
      </c>
      <c r="R36">
        <f>INDEX(Products!$F$2:$F$49,MATCH(J36,Products!$A$2:$A$49,0))</f>
        <v/>
      </c>
      <c r="S36">
        <f>WEEKDAY(B36,2)</f>
        <v/>
      </c>
    </row>
    <row r="37">
      <c r="A37" t="n">
        <v>509327</v>
      </c>
      <c r="B37" s="6" t="n">
        <v>45931</v>
      </c>
      <c r="C37" t="n">
        <v>16575</v>
      </c>
      <c r="D37" t="inlineStr">
        <is>
          <t>Mumbai</t>
        </is>
      </c>
      <c r="E37" t="inlineStr">
        <is>
          <t>West</t>
        </is>
      </c>
      <c r="F37" t="inlineStr">
        <is>
          <t>Affiliate</t>
        </is>
      </c>
      <c r="G37" t="inlineStr">
        <is>
          <t>Mobile Web</t>
        </is>
      </c>
      <c r="H37" t="inlineStr">
        <is>
          <t>UPI</t>
        </is>
      </c>
      <c r="I37" t="inlineStr">
        <is>
          <t>Delivered</t>
        </is>
      </c>
      <c r="J37" t="n">
        <v>135</v>
      </c>
      <c r="K37" t="n">
        <v>1</v>
      </c>
      <c r="L37" t="n">
        <v>1574</v>
      </c>
      <c r="M37" t="n">
        <v>236.1</v>
      </c>
      <c r="N37">
        <f>VLOOKUP(J37,Products!$A$2:$C$49,3,FALSE)</f>
        <v/>
      </c>
      <c r="O37">
        <f>K37*L37-M37</f>
        <v/>
      </c>
      <c r="P37">
        <f>TEXT(B37,"yyyy-mm")</f>
        <v/>
      </c>
      <c r="Q37">
        <f>IF(O37&gt;=3000,"Large","Small")</f>
        <v/>
      </c>
      <c r="R37">
        <f>INDEX(Products!$F$2:$F$49,MATCH(J37,Products!$A$2:$A$49,0))</f>
        <v/>
      </c>
      <c r="S37">
        <f>WEEKDAY(B37,2)</f>
        <v/>
      </c>
    </row>
    <row r="38">
      <c r="A38" t="n">
        <v>509327</v>
      </c>
      <c r="B38" s="6" t="n">
        <v>45931</v>
      </c>
      <c r="C38" t="n">
        <v>16575</v>
      </c>
      <c r="D38" t="inlineStr">
        <is>
          <t>Mumbai</t>
        </is>
      </c>
      <c r="E38" t="inlineStr">
        <is>
          <t>West</t>
        </is>
      </c>
      <c r="F38" t="inlineStr">
        <is>
          <t>Affiliate</t>
        </is>
      </c>
      <c r="G38" t="inlineStr">
        <is>
          <t>Mobile Web</t>
        </is>
      </c>
      <c r="H38" t="inlineStr">
        <is>
          <t>UPI</t>
        </is>
      </c>
      <c r="I38" t="inlineStr">
        <is>
          <t>Delivered</t>
        </is>
      </c>
      <c r="J38" t="n">
        <v>101</v>
      </c>
      <c r="K38" t="n">
        <v>2</v>
      </c>
      <c r="L38" t="n">
        <v>2099</v>
      </c>
      <c r="M38" t="n">
        <v>629.7</v>
      </c>
      <c r="N38">
        <f>VLOOKUP(J38,Products!$A$2:$C$49,3,FALSE)</f>
        <v/>
      </c>
      <c r="O38">
        <f>K38*L38-M38</f>
        <v/>
      </c>
      <c r="P38">
        <f>TEXT(B38,"yyyy-mm")</f>
        <v/>
      </c>
      <c r="Q38">
        <f>IF(O38&gt;=3000,"Large","Small")</f>
        <v/>
      </c>
      <c r="R38">
        <f>INDEX(Products!$F$2:$F$49,MATCH(J38,Products!$A$2:$A$49,0))</f>
        <v/>
      </c>
      <c r="S38">
        <f>WEEKDAY(B38,2)</f>
        <v/>
      </c>
    </row>
    <row r="39">
      <c r="A39" t="n">
        <v>509328</v>
      </c>
      <c r="B39" s="6" t="n">
        <v>45931</v>
      </c>
      <c r="C39" t="n">
        <v>15816</v>
      </c>
      <c r="D39" t="inlineStr">
        <is>
          <t>Mumbai</t>
        </is>
      </c>
      <c r="E39" t="inlineStr">
        <is>
          <t>West</t>
        </is>
      </c>
      <c r="F39" t="inlineStr">
        <is>
          <t>Paid Social</t>
        </is>
      </c>
      <c r="G39" t="inlineStr">
        <is>
          <t>Mobile App</t>
        </is>
      </c>
      <c r="H39" t="inlineStr">
        <is>
          <t>UPI</t>
        </is>
      </c>
      <c r="I39" t="inlineStr">
        <is>
          <t>Delivered</t>
        </is>
      </c>
      <c r="J39" t="n">
        <v>142</v>
      </c>
      <c r="K39" t="n">
        <v>1</v>
      </c>
      <c r="L39" t="n">
        <v>839</v>
      </c>
      <c r="M39" t="n">
        <v>0</v>
      </c>
      <c r="N39">
        <f>VLOOKUP(J39,Products!$A$2:$C$49,3,FALSE)</f>
        <v/>
      </c>
      <c r="O39">
        <f>K39*L39-M39</f>
        <v/>
      </c>
      <c r="P39">
        <f>TEXT(B39,"yyyy-mm")</f>
        <v/>
      </c>
      <c r="Q39">
        <f>IF(O39&gt;=3000,"Large","Small")</f>
        <v/>
      </c>
      <c r="R39">
        <f>INDEX(Products!$F$2:$F$49,MATCH(J39,Products!$A$2:$A$49,0))</f>
        <v/>
      </c>
      <c r="S39">
        <f>WEEKDAY(B39,2)</f>
        <v/>
      </c>
    </row>
    <row r="40">
      <c r="A40" t="n">
        <v>509329</v>
      </c>
      <c r="B40" s="6" t="n">
        <v>45931</v>
      </c>
      <c r="C40" t="n">
        <v>16517</v>
      </c>
      <c r="D40" t="inlineStr">
        <is>
          <t>Mumbai</t>
        </is>
      </c>
      <c r="E40" t="inlineStr">
        <is>
          <t>West</t>
        </is>
      </c>
      <c r="F40" t="inlineStr">
        <is>
          <t>Paid Search</t>
        </is>
      </c>
      <c r="G40" t="inlineStr">
        <is>
          <t>Mobile Web</t>
        </is>
      </c>
      <c r="H40" t="inlineStr">
        <is>
          <t>Credit Card</t>
        </is>
      </c>
      <c r="I40" t="inlineStr">
        <is>
          <t>Delivered</t>
        </is>
      </c>
      <c r="J40" t="n">
        <v>136</v>
      </c>
      <c r="K40" t="n">
        <v>1</v>
      </c>
      <c r="L40" t="n">
        <v>944</v>
      </c>
      <c r="M40" t="n">
        <v>0</v>
      </c>
      <c r="N40">
        <f>VLOOKUP(J40,Products!$A$2:$C$49,3,FALSE)</f>
        <v/>
      </c>
      <c r="O40">
        <f>K40*L40-M40</f>
        <v/>
      </c>
      <c r="P40">
        <f>TEXT(B40,"yyyy-mm")</f>
        <v/>
      </c>
      <c r="Q40">
        <f>IF(O40&gt;=3000,"Large","Small")</f>
        <v/>
      </c>
      <c r="R40">
        <f>INDEX(Products!$F$2:$F$49,MATCH(J40,Products!$A$2:$A$49,0))</f>
        <v/>
      </c>
      <c r="S40">
        <f>WEEKDAY(B40,2)</f>
        <v/>
      </c>
    </row>
    <row r="41">
      <c r="A41" t="n">
        <v>509329</v>
      </c>
      <c r="B41" s="6" t="n">
        <v>45931</v>
      </c>
      <c r="C41" t="n">
        <v>16517</v>
      </c>
      <c r="D41" t="inlineStr">
        <is>
          <t>Mumbai</t>
        </is>
      </c>
      <c r="E41" t="inlineStr">
        <is>
          <t>West</t>
        </is>
      </c>
      <c r="F41" t="inlineStr">
        <is>
          <t>Paid Search</t>
        </is>
      </c>
      <c r="G41" t="inlineStr">
        <is>
          <t>Mobile Web</t>
        </is>
      </c>
      <c r="H41" t="inlineStr">
        <is>
          <t>Credit Card</t>
        </is>
      </c>
      <c r="I41" t="inlineStr">
        <is>
          <t>Delivered</t>
        </is>
      </c>
      <c r="J41" t="n">
        <v>125</v>
      </c>
      <c r="K41" t="n">
        <v>1</v>
      </c>
      <c r="L41" t="n">
        <v>1364</v>
      </c>
      <c r="M41" t="n">
        <v>0</v>
      </c>
      <c r="N41">
        <f>VLOOKUP(J41,Products!$A$2:$C$49,3,FALSE)</f>
        <v/>
      </c>
      <c r="O41">
        <f>K41*L41-M41</f>
        <v/>
      </c>
      <c r="P41">
        <f>TEXT(B41,"yyyy-mm")</f>
        <v/>
      </c>
      <c r="Q41">
        <f>IF(O41&gt;=3000,"Large","Small")</f>
        <v/>
      </c>
      <c r="R41">
        <f>INDEX(Products!$F$2:$F$49,MATCH(J41,Products!$A$2:$A$49,0))</f>
        <v/>
      </c>
      <c r="S41">
        <f>WEEKDAY(B41,2)</f>
        <v/>
      </c>
    </row>
    <row r="42">
      <c r="A42" t="n">
        <v>509330</v>
      </c>
      <c r="B42" s="6" t="n">
        <v>45931</v>
      </c>
      <c r="C42" t="n">
        <v>15988</v>
      </c>
      <c r="D42" t="inlineStr">
        <is>
          <t>Delhi</t>
        </is>
      </c>
      <c r="E42" t="inlineStr">
        <is>
          <t>North</t>
        </is>
      </c>
      <c r="F42" t="inlineStr">
        <is>
          <t>Organic Search</t>
        </is>
      </c>
      <c r="G42" t="inlineStr">
        <is>
          <t>Mobile App</t>
        </is>
      </c>
      <c r="H42" t="inlineStr">
        <is>
          <t>Credit Card</t>
        </is>
      </c>
      <c r="I42" t="inlineStr">
        <is>
          <t>Delivered</t>
        </is>
      </c>
      <c r="J42" t="n">
        <v>128</v>
      </c>
      <c r="K42" t="n">
        <v>1</v>
      </c>
      <c r="L42" t="n">
        <v>1049</v>
      </c>
      <c r="M42" t="n">
        <v>0</v>
      </c>
      <c r="N42">
        <f>VLOOKUP(J42,Products!$A$2:$C$49,3,FALSE)</f>
        <v/>
      </c>
      <c r="O42">
        <f>K42*L42-M42</f>
        <v/>
      </c>
      <c r="P42">
        <f>TEXT(B42,"yyyy-mm")</f>
        <v/>
      </c>
      <c r="Q42">
        <f>IF(O42&gt;=3000,"Large","Small")</f>
        <v/>
      </c>
      <c r="R42">
        <f>INDEX(Products!$F$2:$F$49,MATCH(J42,Products!$A$2:$A$49,0))</f>
        <v/>
      </c>
      <c r="S42">
        <f>WEEKDAY(B42,2)</f>
        <v/>
      </c>
    </row>
    <row r="43">
      <c r="A43" t="n">
        <v>509330</v>
      </c>
      <c r="B43" s="6" t="n">
        <v>45931</v>
      </c>
      <c r="C43" t="n">
        <v>15988</v>
      </c>
      <c r="D43" t="inlineStr">
        <is>
          <t>Delhi</t>
        </is>
      </c>
      <c r="E43" t="inlineStr">
        <is>
          <t>North</t>
        </is>
      </c>
      <c r="F43" t="inlineStr">
        <is>
          <t>Organic Search</t>
        </is>
      </c>
      <c r="G43" t="inlineStr">
        <is>
          <t>Mobile App</t>
        </is>
      </c>
      <c r="H43" t="inlineStr">
        <is>
          <t>Credit Card</t>
        </is>
      </c>
      <c r="I43" t="inlineStr">
        <is>
          <t>Delivered</t>
        </is>
      </c>
      <c r="J43" t="n">
        <v>124</v>
      </c>
      <c r="K43" t="n">
        <v>1</v>
      </c>
      <c r="L43" t="n">
        <v>1154</v>
      </c>
      <c r="M43" t="n">
        <v>0</v>
      </c>
      <c r="N43">
        <f>VLOOKUP(J43,Products!$A$2:$C$49,3,FALSE)</f>
        <v/>
      </c>
      <c r="O43">
        <f>K43*L43-M43</f>
        <v/>
      </c>
      <c r="P43">
        <f>TEXT(B43,"yyyy-mm")</f>
        <v/>
      </c>
      <c r="Q43">
        <f>IF(O43&gt;=3000,"Large","Small")</f>
        <v/>
      </c>
      <c r="R43">
        <f>INDEX(Products!$F$2:$F$49,MATCH(J43,Products!$A$2:$A$49,0))</f>
        <v/>
      </c>
      <c r="S43">
        <f>WEEKDAY(B43,2)</f>
        <v/>
      </c>
    </row>
    <row r="44">
      <c r="A44" t="n">
        <v>509331</v>
      </c>
      <c r="B44" s="6" t="n">
        <v>45931</v>
      </c>
      <c r="C44" t="n">
        <v>15978</v>
      </c>
      <c r="D44" t="inlineStr">
        <is>
          <t>Delhi</t>
        </is>
      </c>
      <c r="E44" t="inlineStr">
        <is>
          <t>North</t>
        </is>
      </c>
      <c r="F44" t="inlineStr">
        <is>
          <t>Paid Search</t>
        </is>
      </c>
      <c r="G44" t="inlineStr">
        <is>
          <t>Mobile Web</t>
        </is>
      </c>
      <c r="H44" t="inlineStr">
        <is>
          <t>UPI</t>
        </is>
      </c>
      <c r="I44" t="inlineStr">
        <is>
          <t>Delivered</t>
        </is>
      </c>
      <c r="J44" t="n">
        <v>129</v>
      </c>
      <c r="K44" t="n">
        <v>1</v>
      </c>
      <c r="L44" t="n">
        <v>576</v>
      </c>
      <c r="M44" t="n">
        <v>0</v>
      </c>
      <c r="N44">
        <f>VLOOKUP(J44,Products!$A$2:$C$49,3,FALSE)</f>
        <v/>
      </c>
      <c r="O44">
        <f>K44*L44-M44</f>
        <v/>
      </c>
      <c r="P44">
        <f>TEXT(B44,"yyyy-mm")</f>
        <v/>
      </c>
      <c r="Q44">
        <f>IF(O44&gt;=3000,"Large","Small")</f>
        <v/>
      </c>
      <c r="R44">
        <f>INDEX(Products!$F$2:$F$49,MATCH(J44,Products!$A$2:$A$49,0))</f>
        <v/>
      </c>
      <c r="S44">
        <f>WEEKDAY(B44,2)</f>
        <v/>
      </c>
    </row>
    <row r="45">
      <c r="A45" t="n">
        <v>509332</v>
      </c>
      <c r="B45" s="6" t="n">
        <v>45931</v>
      </c>
      <c r="C45" t="n">
        <v>15857</v>
      </c>
      <c r="D45" t="inlineStr">
        <is>
          <t>Mumbai</t>
        </is>
      </c>
      <c r="E45" t="inlineStr">
        <is>
          <t>West</t>
        </is>
      </c>
      <c r="F45" t="inlineStr">
        <is>
          <t>Organic Search</t>
        </is>
      </c>
      <c r="G45" t="inlineStr">
        <is>
          <t>Desktop</t>
        </is>
      </c>
      <c r="H45" t="inlineStr">
        <is>
          <t>UPI</t>
        </is>
      </c>
      <c r="I45" t="inlineStr">
        <is>
          <t>Delivered</t>
        </is>
      </c>
      <c r="J45" t="n">
        <v>120</v>
      </c>
      <c r="K45" t="n">
        <v>1</v>
      </c>
      <c r="L45" t="n">
        <v>734</v>
      </c>
      <c r="M45" t="n">
        <v>0</v>
      </c>
      <c r="N45">
        <f>VLOOKUP(J45,Products!$A$2:$C$49,3,FALSE)</f>
        <v/>
      </c>
      <c r="O45">
        <f>K45*L45-M45</f>
        <v/>
      </c>
      <c r="P45">
        <f>TEXT(B45,"yyyy-mm")</f>
        <v/>
      </c>
      <c r="Q45">
        <f>IF(O45&gt;=3000,"Large","Small")</f>
        <v/>
      </c>
      <c r="R45">
        <f>INDEX(Products!$F$2:$F$49,MATCH(J45,Products!$A$2:$A$49,0))</f>
        <v/>
      </c>
      <c r="S45">
        <f>WEEKDAY(B45,2)</f>
        <v/>
      </c>
    </row>
    <row r="46">
      <c r="A46" t="n">
        <v>509333</v>
      </c>
      <c r="B46" s="6" t="n">
        <v>45932</v>
      </c>
      <c r="C46" t="n">
        <v>14890</v>
      </c>
      <c r="D46" t="inlineStr">
        <is>
          <t>Delhi</t>
        </is>
      </c>
      <c r="E46" t="inlineStr">
        <is>
          <t>North</t>
        </is>
      </c>
      <c r="F46" t="inlineStr">
        <is>
          <t>Referral</t>
        </is>
      </c>
      <c r="G46" t="inlineStr">
        <is>
          <t>Mobile Web</t>
        </is>
      </c>
      <c r="H46" t="inlineStr">
        <is>
          <t>Credit Card</t>
        </is>
      </c>
      <c r="I46" t="inlineStr">
        <is>
          <t>Delivered</t>
        </is>
      </c>
      <c r="J46" t="n">
        <v>120</v>
      </c>
      <c r="K46" t="n">
        <v>1</v>
      </c>
      <c r="L46" t="n">
        <v>734</v>
      </c>
      <c r="M46" t="n">
        <v>0</v>
      </c>
      <c r="N46">
        <f>VLOOKUP(J46,Products!$A$2:$C$49,3,FALSE)</f>
        <v/>
      </c>
      <c r="O46">
        <f>K46*L46-M46</f>
        <v/>
      </c>
      <c r="P46">
        <f>TEXT(B46,"yyyy-mm")</f>
        <v/>
      </c>
      <c r="Q46">
        <f>IF(O46&gt;=3000,"Large","Small")</f>
        <v/>
      </c>
      <c r="R46">
        <f>INDEX(Products!$F$2:$F$49,MATCH(J46,Products!$A$2:$A$49,0))</f>
        <v/>
      </c>
      <c r="S46">
        <f>WEEKDAY(B46,2)</f>
        <v/>
      </c>
    </row>
    <row r="47">
      <c r="A47" t="n">
        <v>509334</v>
      </c>
      <c r="B47" s="6" t="n">
        <v>45932</v>
      </c>
      <c r="C47" t="n">
        <v>16136</v>
      </c>
      <c r="D47" t="inlineStr">
        <is>
          <t>Pune</t>
        </is>
      </c>
      <c r="E47" t="inlineStr">
        <is>
          <t>West</t>
        </is>
      </c>
      <c r="F47" t="inlineStr">
        <is>
          <t>Affiliate</t>
        </is>
      </c>
      <c r="G47" t="inlineStr">
        <is>
          <t>Mobile App</t>
        </is>
      </c>
      <c r="H47" t="inlineStr">
        <is>
          <t>Cash on Delivery</t>
        </is>
      </c>
      <c r="I47" t="inlineStr">
        <is>
          <t>Delivered</t>
        </is>
      </c>
      <c r="J47" t="n">
        <v>115</v>
      </c>
      <c r="K47" t="n">
        <v>1</v>
      </c>
      <c r="L47" t="n">
        <v>4199</v>
      </c>
      <c r="M47" t="n">
        <v>0</v>
      </c>
      <c r="N47">
        <f>VLOOKUP(J47,Products!$A$2:$C$49,3,FALSE)</f>
        <v/>
      </c>
      <c r="O47">
        <f>K47*L47-M47</f>
        <v/>
      </c>
      <c r="P47">
        <f>TEXT(B47,"yyyy-mm")</f>
        <v/>
      </c>
      <c r="Q47">
        <f>IF(O47&gt;=3000,"Large","Small")</f>
        <v/>
      </c>
      <c r="R47">
        <f>INDEX(Products!$F$2:$F$49,MATCH(J47,Products!$A$2:$A$49,0))</f>
        <v/>
      </c>
      <c r="S47">
        <f>WEEKDAY(B47,2)</f>
        <v/>
      </c>
    </row>
    <row r="48">
      <c r="A48" t="n">
        <v>509335</v>
      </c>
      <c r="B48" s="6" t="n">
        <v>45932</v>
      </c>
      <c r="C48" t="n">
        <v>14133</v>
      </c>
      <c r="D48" t="inlineStr">
        <is>
          <t>Bengaluru</t>
        </is>
      </c>
      <c r="E48" t="inlineStr">
        <is>
          <t>South</t>
        </is>
      </c>
      <c r="F48" t="inlineStr">
        <is>
          <t>Referral</t>
        </is>
      </c>
      <c r="G48" t="inlineStr">
        <is>
          <t>Mobile Web</t>
        </is>
      </c>
      <c r="H48" t="inlineStr">
        <is>
          <t>Cash on Delivery</t>
        </is>
      </c>
      <c r="I48" t="inlineStr">
        <is>
          <t>Delivered</t>
        </is>
      </c>
      <c r="J48" t="n">
        <v>104</v>
      </c>
      <c r="K48" t="n">
        <v>1</v>
      </c>
      <c r="L48" t="n">
        <v>5249</v>
      </c>
      <c r="M48" t="n">
        <v>0</v>
      </c>
      <c r="N48">
        <f>VLOOKUP(J48,Products!$A$2:$C$49,3,FALSE)</f>
        <v/>
      </c>
      <c r="O48">
        <f>K48*L48-M48</f>
        <v/>
      </c>
      <c r="P48">
        <f>TEXT(B48,"yyyy-mm")</f>
        <v/>
      </c>
      <c r="Q48">
        <f>IF(O48&gt;=3000,"Large","Small")</f>
        <v/>
      </c>
      <c r="R48">
        <f>INDEX(Products!$F$2:$F$49,MATCH(J48,Products!$A$2:$A$49,0))</f>
        <v/>
      </c>
      <c r="S48">
        <f>WEEKDAY(B48,2)</f>
        <v/>
      </c>
    </row>
    <row r="49">
      <c r="A49" t="n">
        <v>509336</v>
      </c>
      <c r="B49" s="6" t="n">
        <v>45932</v>
      </c>
      <c r="C49" t="n">
        <v>13869</v>
      </c>
      <c r="D49" t="inlineStr">
        <is>
          <t>Chandigarh</t>
        </is>
      </c>
      <c r="E49" t="inlineStr">
        <is>
          <t>North</t>
        </is>
      </c>
      <c r="F49" t="inlineStr">
        <is>
          <t>Organic Search</t>
        </is>
      </c>
      <c r="G49" t="inlineStr">
        <is>
          <t>Mobile App</t>
        </is>
      </c>
      <c r="H49" t="inlineStr">
        <is>
          <t>UPI</t>
        </is>
      </c>
      <c r="I49" t="inlineStr">
        <is>
          <t>Delivered</t>
        </is>
      </c>
      <c r="J49" t="n">
        <v>140</v>
      </c>
      <c r="K49" t="n">
        <v>1</v>
      </c>
      <c r="L49" t="n">
        <v>629</v>
      </c>
      <c r="M49" t="n">
        <v>0</v>
      </c>
      <c r="N49">
        <f>VLOOKUP(J49,Products!$A$2:$C$49,3,FALSE)</f>
        <v/>
      </c>
      <c r="O49">
        <f>K49*L49-M49</f>
        <v/>
      </c>
      <c r="P49">
        <f>TEXT(B49,"yyyy-mm")</f>
        <v/>
      </c>
      <c r="Q49">
        <f>IF(O49&gt;=3000,"Large","Small")</f>
        <v/>
      </c>
      <c r="R49">
        <f>INDEX(Products!$F$2:$F$49,MATCH(J49,Products!$A$2:$A$49,0))</f>
        <v/>
      </c>
      <c r="S49">
        <f>WEEKDAY(B49,2)</f>
        <v/>
      </c>
    </row>
    <row r="50">
      <c r="A50" t="n">
        <v>509337</v>
      </c>
      <c r="B50" s="6" t="n">
        <v>45932</v>
      </c>
      <c r="C50" t="n">
        <v>16564</v>
      </c>
      <c r="D50" t="inlineStr">
        <is>
          <t>Hyderabad</t>
        </is>
      </c>
      <c r="E50" t="inlineStr">
        <is>
          <t>South</t>
        </is>
      </c>
      <c r="F50" t="inlineStr">
        <is>
          <t>Organic Search</t>
        </is>
      </c>
      <c r="G50" t="inlineStr">
        <is>
          <t>Mobile App</t>
        </is>
      </c>
      <c r="H50" t="inlineStr">
        <is>
          <t>Debit Card</t>
        </is>
      </c>
      <c r="I50" t="inlineStr">
        <is>
          <t>Delivered</t>
        </is>
      </c>
      <c r="J50" t="n">
        <v>114</v>
      </c>
      <c r="K50" t="n">
        <v>1</v>
      </c>
      <c r="L50" t="n">
        <v>1259</v>
      </c>
      <c r="M50" t="n">
        <v>0</v>
      </c>
      <c r="N50">
        <f>VLOOKUP(J50,Products!$A$2:$C$49,3,FALSE)</f>
        <v/>
      </c>
      <c r="O50">
        <f>K50*L50-M50</f>
        <v/>
      </c>
      <c r="P50">
        <f>TEXT(B50,"yyyy-mm")</f>
        <v/>
      </c>
      <c r="Q50">
        <f>IF(O50&gt;=3000,"Large","Small")</f>
        <v/>
      </c>
      <c r="R50">
        <f>INDEX(Products!$F$2:$F$49,MATCH(J50,Products!$A$2:$A$49,0))</f>
        <v/>
      </c>
      <c r="S50">
        <f>WEEKDAY(B50,2)</f>
        <v/>
      </c>
    </row>
    <row r="51">
      <c r="A51" t="n">
        <v>509338</v>
      </c>
      <c r="B51" s="6" t="n">
        <v>45932</v>
      </c>
      <c r="C51" t="n">
        <v>14958</v>
      </c>
      <c r="D51" t="inlineStr">
        <is>
          <t>Kolkata</t>
        </is>
      </c>
      <c r="E51" t="inlineStr">
        <is>
          <t>East</t>
        </is>
      </c>
      <c r="F51" t="inlineStr">
        <is>
          <t>Organic Search</t>
        </is>
      </c>
      <c r="G51" t="inlineStr">
        <is>
          <t>Mobile Web</t>
        </is>
      </c>
      <c r="H51" t="inlineStr">
        <is>
          <t>Cash on Delivery</t>
        </is>
      </c>
      <c r="I51" t="inlineStr">
        <is>
          <t>Delivered</t>
        </is>
      </c>
      <c r="J51" t="n">
        <v>118</v>
      </c>
      <c r="K51" t="n">
        <v>1</v>
      </c>
      <c r="L51" t="n">
        <v>944</v>
      </c>
      <c r="M51" t="n">
        <v>0</v>
      </c>
      <c r="N51">
        <f>VLOOKUP(J51,Products!$A$2:$C$49,3,FALSE)</f>
        <v/>
      </c>
      <c r="O51">
        <f>K51*L51-M51</f>
        <v/>
      </c>
      <c r="P51">
        <f>TEXT(B51,"yyyy-mm")</f>
        <v/>
      </c>
      <c r="Q51">
        <f>IF(O51&gt;=3000,"Large","Small")</f>
        <v/>
      </c>
      <c r="R51">
        <f>INDEX(Products!$F$2:$F$49,MATCH(J51,Products!$A$2:$A$49,0))</f>
        <v/>
      </c>
      <c r="S51">
        <f>WEEKDAY(B51,2)</f>
        <v/>
      </c>
    </row>
    <row r="52">
      <c r="A52" t="n">
        <v>509338</v>
      </c>
      <c r="B52" s="6" t="n">
        <v>45932</v>
      </c>
      <c r="C52" t="n">
        <v>14958</v>
      </c>
      <c r="D52" t="inlineStr">
        <is>
          <t>Kolkata</t>
        </is>
      </c>
      <c r="E52" t="inlineStr">
        <is>
          <t>East</t>
        </is>
      </c>
      <c r="F52" t="inlineStr">
        <is>
          <t>Organic Search</t>
        </is>
      </c>
      <c r="G52" t="inlineStr">
        <is>
          <t>Mobile Web</t>
        </is>
      </c>
      <c r="H52" t="inlineStr">
        <is>
          <t>Cash on Delivery</t>
        </is>
      </c>
      <c r="I52" t="inlineStr">
        <is>
          <t>Delivered</t>
        </is>
      </c>
      <c r="J52" t="n">
        <v>137</v>
      </c>
      <c r="K52" t="n">
        <v>1</v>
      </c>
      <c r="L52" t="n">
        <v>261</v>
      </c>
      <c r="M52" t="n">
        <v>0</v>
      </c>
      <c r="N52">
        <f>VLOOKUP(J52,Products!$A$2:$C$49,3,FALSE)</f>
        <v/>
      </c>
      <c r="O52">
        <f>K52*L52-M52</f>
        <v/>
      </c>
      <c r="P52">
        <f>TEXT(B52,"yyyy-mm")</f>
        <v/>
      </c>
      <c r="Q52">
        <f>IF(O52&gt;=3000,"Large","Small")</f>
        <v/>
      </c>
      <c r="R52">
        <f>INDEX(Products!$F$2:$F$49,MATCH(J52,Products!$A$2:$A$49,0))</f>
        <v/>
      </c>
      <c r="S52">
        <f>WEEKDAY(B52,2)</f>
        <v/>
      </c>
    </row>
    <row r="53">
      <c r="A53" t="n">
        <v>509339</v>
      </c>
      <c r="B53" s="6" t="n">
        <v>45932</v>
      </c>
      <c r="C53" t="n">
        <v>13007</v>
      </c>
      <c r="D53" t="inlineStr">
        <is>
          <t>Bengaluru</t>
        </is>
      </c>
      <c r="E53" t="inlineStr">
        <is>
          <t>South</t>
        </is>
      </c>
      <c r="F53" t="inlineStr">
        <is>
          <t>Email</t>
        </is>
      </c>
      <c r="G53" t="inlineStr">
        <is>
          <t>Mobile App</t>
        </is>
      </c>
      <c r="H53" t="inlineStr">
        <is>
          <t>Cash on Delivery</t>
        </is>
      </c>
      <c r="I53" t="inlineStr">
        <is>
          <t>Delivered</t>
        </is>
      </c>
      <c r="J53" t="n">
        <v>107</v>
      </c>
      <c r="K53" t="n">
        <v>1</v>
      </c>
      <c r="L53" t="n">
        <v>1259</v>
      </c>
      <c r="M53" t="n">
        <v>0</v>
      </c>
      <c r="N53">
        <f>VLOOKUP(J53,Products!$A$2:$C$49,3,FALSE)</f>
        <v/>
      </c>
      <c r="O53">
        <f>K53*L53-M53</f>
        <v/>
      </c>
      <c r="P53">
        <f>TEXT(B53,"yyyy-mm")</f>
        <v/>
      </c>
      <c r="Q53">
        <f>IF(O53&gt;=3000,"Large","Small")</f>
        <v/>
      </c>
      <c r="R53">
        <f>INDEX(Products!$F$2:$F$49,MATCH(J53,Products!$A$2:$A$49,0))</f>
        <v/>
      </c>
      <c r="S53">
        <f>WEEKDAY(B53,2)</f>
        <v/>
      </c>
    </row>
    <row r="54">
      <c r="A54" t="n">
        <v>509339</v>
      </c>
      <c r="B54" s="6" t="n">
        <v>45932</v>
      </c>
      <c r="C54" t="n">
        <v>13007</v>
      </c>
      <c r="D54" t="inlineStr">
        <is>
          <t>Bengaluru</t>
        </is>
      </c>
      <c r="E54" t="inlineStr">
        <is>
          <t>South</t>
        </is>
      </c>
      <c r="F54" t="inlineStr">
        <is>
          <t>Email</t>
        </is>
      </c>
      <c r="G54" t="inlineStr">
        <is>
          <t>Mobile App</t>
        </is>
      </c>
      <c r="H54" t="inlineStr">
        <is>
          <t>Cash on Delivery</t>
        </is>
      </c>
      <c r="I54" t="inlineStr">
        <is>
          <t>Delivered</t>
        </is>
      </c>
      <c r="J54" t="n">
        <v>141</v>
      </c>
      <c r="K54" t="n">
        <v>1</v>
      </c>
      <c r="L54" t="n">
        <v>261</v>
      </c>
      <c r="M54" t="n">
        <v>0</v>
      </c>
      <c r="N54">
        <f>VLOOKUP(J54,Products!$A$2:$C$49,3,FALSE)</f>
        <v/>
      </c>
      <c r="O54">
        <f>K54*L54-M54</f>
        <v/>
      </c>
      <c r="P54">
        <f>TEXT(B54,"yyyy-mm")</f>
        <v/>
      </c>
      <c r="Q54">
        <f>IF(O54&gt;=3000,"Large","Small")</f>
        <v/>
      </c>
      <c r="R54">
        <f>INDEX(Products!$F$2:$F$49,MATCH(J54,Products!$A$2:$A$49,0))</f>
        <v/>
      </c>
      <c r="S54">
        <f>WEEKDAY(B54,2)</f>
        <v/>
      </c>
    </row>
    <row r="55">
      <c r="A55" t="n">
        <v>509340</v>
      </c>
      <c r="B55" s="6" t="n">
        <v>45932</v>
      </c>
      <c r="C55" t="n">
        <v>15304</v>
      </c>
      <c r="D55" t="inlineStr">
        <is>
          <t>Bengaluru</t>
        </is>
      </c>
      <c r="E55" t="inlineStr">
        <is>
          <t>South</t>
        </is>
      </c>
      <c r="F55" t="inlineStr">
        <is>
          <t>Organic Search</t>
        </is>
      </c>
      <c r="G55" t="inlineStr">
        <is>
          <t>Desktop</t>
        </is>
      </c>
      <c r="H55" t="inlineStr">
        <is>
          <t>UPI</t>
        </is>
      </c>
      <c r="I55" t="inlineStr">
        <is>
          <t>Delivered</t>
        </is>
      </c>
      <c r="J55" t="n">
        <v>107</v>
      </c>
      <c r="K55" t="n">
        <v>1</v>
      </c>
      <c r="L55" t="n">
        <v>1259</v>
      </c>
      <c r="M55" t="n">
        <v>0</v>
      </c>
      <c r="N55">
        <f>VLOOKUP(J55,Products!$A$2:$C$49,3,FALSE)</f>
        <v/>
      </c>
      <c r="O55">
        <f>K55*L55-M55</f>
        <v/>
      </c>
      <c r="P55">
        <f>TEXT(B55,"yyyy-mm")</f>
        <v/>
      </c>
      <c r="Q55">
        <f>IF(O55&gt;=3000,"Large","Small")</f>
        <v/>
      </c>
      <c r="R55">
        <f>INDEX(Products!$F$2:$F$49,MATCH(J55,Products!$A$2:$A$49,0))</f>
        <v/>
      </c>
      <c r="S55">
        <f>WEEKDAY(B55,2)</f>
        <v/>
      </c>
    </row>
    <row r="56">
      <c r="A56" t="n">
        <v>509341</v>
      </c>
      <c r="B56" s="6" t="n">
        <v>45932</v>
      </c>
      <c r="C56" t="n">
        <v>16570</v>
      </c>
      <c r="D56" t="inlineStr">
        <is>
          <t>Chennai</t>
        </is>
      </c>
      <c r="E56" t="inlineStr">
        <is>
          <t>South</t>
        </is>
      </c>
      <c r="F56" t="inlineStr">
        <is>
          <t>Organic Search</t>
        </is>
      </c>
      <c r="G56" t="inlineStr">
        <is>
          <t>Desktop</t>
        </is>
      </c>
      <c r="H56" t="inlineStr">
        <is>
          <t>Cash on Delivery</t>
        </is>
      </c>
      <c r="I56" t="inlineStr">
        <is>
          <t>Delivered</t>
        </is>
      </c>
      <c r="J56" t="n">
        <v>131</v>
      </c>
      <c r="K56" t="n">
        <v>1</v>
      </c>
      <c r="L56" t="n">
        <v>314</v>
      </c>
      <c r="M56" t="n">
        <v>0</v>
      </c>
      <c r="N56">
        <f>VLOOKUP(J56,Products!$A$2:$C$49,3,FALSE)</f>
        <v/>
      </c>
      <c r="O56">
        <f>K56*L56-M56</f>
        <v/>
      </c>
      <c r="P56">
        <f>TEXT(B56,"yyyy-mm")</f>
        <v/>
      </c>
      <c r="Q56">
        <f>IF(O56&gt;=3000,"Large","Small")</f>
        <v/>
      </c>
      <c r="R56">
        <f>INDEX(Products!$F$2:$F$49,MATCH(J56,Products!$A$2:$A$49,0))</f>
        <v/>
      </c>
      <c r="S56">
        <f>WEEKDAY(B56,2)</f>
        <v/>
      </c>
    </row>
    <row r="57">
      <c r="A57" t="n">
        <v>509342</v>
      </c>
      <c r="B57" s="6" t="n">
        <v>45932</v>
      </c>
      <c r="C57" t="n">
        <v>16194</v>
      </c>
      <c r="D57" t="inlineStr">
        <is>
          <t>Bengaluru</t>
        </is>
      </c>
      <c r="E57" t="inlineStr">
        <is>
          <t>South</t>
        </is>
      </c>
      <c r="F57" t="inlineStr">
        <is>
          <t>Referral</t>
        </is>
      </c>
      <c r="G57" t="inlineStr">
        <is>
          <t>Mobile Web</t>
        </is>
      </c>
      <c r="H57" t="inlineStr">
        <is>
          <t>Net Banking</t>
        </is>
      </c>
      <c r="I57" t="inlineStr">
        <is>
          <t>Delivered</t>
        </is>
      </c>
      <c r="J57" t="n">
        <v>114</v>
      </c>
      <c r="K57" t="n">
        <v>2</v>
      </c>
      <c r="L57" t="n">
        <v>1259</v>
      </c>
      <c r="M57" t="n">
        <v>0</v>
      </c>
      <c r="N57">
        <f>VLOOKUP(J57,Products!$A$2:$C$49,3,FALSE)</f>
        <v/>
      </c>
      <c r="O57">
        <f>K57*L57-M57</f>
        <v/>
      </c>
      <c r="P57">
        <f>TEXT(B57,"yyyy-mm")</f>
        <v/>
      </c>
      <c r="Q57">
        <f>IF(O57&gt;=3000,"Large","Small")</f>
        <v/>
      </c>
      <c r="R57">
        <f>INDEX(Products!$F$2:$F$49,MATCH(J57,Products!$A$2:$A$49,0))</f>
        <v/>
      </c>
      <c r="S57">
        <f>WEEKDAY(B57,2)</f>
        <v/>
      </c>
    </row>
    <row r="58">
      <c r="A58" t="n">
        <v>509343</v>
      </c>
      <c r="B58" s="6" t="n">
        <v>45932</v>
      </c>
      <c r="C58" t="n">
        <v>15253</v>
      </c>
      <c r="D58" t="inlineStr">
        <is>
          <t>Mumbai</t>
        </is>
      </c>
      <c r="E58" t="inlineStr">
        <is>
          <t>West</t>
        </is>
      </c>
      <c r="F58" t="inlineStr">
        <is>
          <t>Paid Social</t>
        </is>
      </c>
      <c r="G58" t="inlineStr">
        <is>
          <t>Mobile App</t>
        </is>
      </c>
      <c r="H58" t="inlineStr">
        <is>
          <t>UPI</t>
        </is>
      </c>
      <c r="I58" t="inlineStr">
        <is>
          <t>Delivered</t>
        </is>
      </c>
      <c r="J58" t="n">
        <v>137</v>
      </c>
      <c r="K58" t="n">
        <v>1</v>
      </c>
      <c r="L58" t="n">
        <v>261</v>
      </c>
      <c r="M58" t="n">
        <v>0</v>
      </c>
      <c r="N58">
        <f>VLOOKUP(J58,Products!$A$2:$C$49,3,FALSE)</f>
        <v/>
      </c>
      <c r="O58">
        <f>K58*L58-M58</f>
        <v/>
      </c>
      <c r="P58">
        <f>TEXT(B58,"yyyy-mm")</f>
        <v/>
      </c>
      <c r="Q58">
        <f>IF(O58&gt;=3000,"Large","Small")</f>
        <v/>
      </c>
      <c r="R58">
        <f>INDEX(Products!$F$2:$F$49,MATCH(J58,Products!$A$2:$A$49,0))</f>
        <v/>
      </c>
      <c r="S58">
        <f>WEEKDAY(B58,2)</f>
        <v/>
      </c>
    </row>
    <row r="59">
      <c r="A59" t="n">
        <v>509343</v>
      </c>
      <c r="B59" s="6" t="n">
        <v>45932</v>
      </c>
      <c r="C59" t="n">
        <v>15253</v>
      </c>
      <c r="D59" t="inlineStr">
        <is>
          <t>Mumbai</t>
        </is>
      </c>
      <c r="E59" t="inlineStr">
        <is>
          <t>West</t>
        </is>
      </c>
      <c r="F59" t="inlineStr">
        <is>
          <t>Paid Social</t>
        </is>
      </c>
      <c r="G59" t="inlineStr">
        <is>
          <t>Mobile App</t>
        </is>
      </c>
      <c r="H59" t="inlineStr">
        <is>
          <t>UPI</t>
        </is>
      </c>
      <c r="I59" t="inlineStr">
        <is>
          <t>Delivered</t>
        </is>
      </c>
      <c r="J59" t="n">
        <v>147</v>
      </c>
      <c r="K59" t="n">
        <v>3</v>
      </c>
      <c r="L59" t="n">
        <v>1364</v>
      </c>
      <c r="M59" t="n">
        <v>0</v>
      </c>
      <c r="N59">
        <f>VLOOKUP(J59,Products!$A$2:$C$49,3,FALSE)</f>
        <v/>
      </c>
      <c r="O59">
        <f>K59*L59-M59</f>
        <v/>
      </c>
      <c r="P59">
        <f>TEXT(B59,"yyyy-mm")</f>
        <v/>
      </c>
      <c r="Q59">
        <f>IF(O59&gt;=3000,"Large","Small")</f>
        <v/>
      </c>
      <c r="R59">
        <f>INDEX(Products!$F$2:$F$49,MATCH(J59,Products!$A$2:$A$49,0))</f>
        <v/>
      </c>
      <c r="S59">
        <f>WEEKDAY(B59,2)</f>
        <v/>
      </c>
    </row>
    <row r="60">
      <c r="A60" t="n">
        <v>509343</v>
      </c>
      <c r="B60" s="6" t="n">
        <v>45932</v>
      </c>
      <c r="C60" t="n">
        <v>15253</v>
      </c>
      <c r="D60" t="inlineStr">
        <is>
          <t>Mumbai</t>
        </is>
      </c>
      <c r="E60" t="inlineStr">
        <is>
          <t>West</t>
        </is>
      </c>
      <c r="F60" t="inlineStr">
        <is>
          <t>Paid Social</t>
        </is>
      </c>
      <c r="G60" t="inlineStr">
        <is>
          <t>Mobile App</t>
        </is>
      </c>
      <c r="H60" t="inlineStr">
        <is>
          <t>UPI</t>
        </is>
      </c>
      <c r="I60" t="inlineStr">
        <is>
          <t>Delivered</t>
        </is>
      </c>
      <c r="J60" t="n">
        <v>107</v>
      </c>
      <c r="K60" t="n">
        <v>1</v>
      </c>
      <c r="L60" t="n">
        <v>1259</v>
      </c>
      <c r="M60" t="n">
        <v>0</v>
      </c>
      <c r="N60">
        <f>VLOOKUP(J60,Products!$A$2:$C$49,3,FALSE)</f>
        <v/>
      </c>
      <c r="O60">
        <f>K60*L60-M60</f>
        <v/>
      </c>
      <c r="P60">
        <f>TEXT(B60,"yyyy-mm")</f>
        <v/>
      </c>
      <c r="Q60">
        <f>IF(O60&gt;=3000,"Large","Small")</f>
        <v/>
      </c>
      <c r="R60">
        <f>INDEX(Products!$F$2:$F$49,MATCH(J60,Products!$A$2:$A$49,0))</f>
        <v/>
      </c>
      <c r="S60">
        <f>WEEKDAY(B60,2)</f>
        <v/>
      </c>
    </row>
    <row r="61">
      <c r="A61" t="n">
        <v>509344</v>
      </c>
      <c r="B61" s="6" t="n">
        <v>45932</v>
      </c>
      <c r="C61" t="n">
        <v>16550</v>
      </c>
      <c r="D61" t="inlineStr">
        <is>
          <t>Ahmedabad</t>
        </is>
      </c>
      <c r="E61" t="inlineStr">
        <is>
          <t>West</t>
        </is>
      </c>
      <c r="F61" t="inlineStr">
        <is>
          <t>Affiliate</t>
        </is>
      </c>
      <c r="G61" t="inlineStr">
        <is>
          <t>Mobile Web</t>
        </is>
      </c>
      <c r="H61" t="inlineStr">
        <is>
          <t>UPI</t>
        </is>
      </c>
      <c r="I61" t="inlineStr">
        <is>
          <t>Delivered</t>
        </is>
      </c>
      <c r="J61" t="n">
        <v>134</v>
      </c>
      <c r="K61" t="n">
        <v>2</v>
      </c>
      <c r="L61" t="n">
        <v>209</v>
      </c>
      <c r="M61" t="n">
        <v>62.7</v>
      </c>
      <c r="N61">
        <f>VLOOKUP(J61,Products!$A$2:$C$49,3,FALSE)</f>
        <v/>
      </c>
      <c r="O61">
        <f>K61*L61-M61</f>
        <v/>
      </c>
      <c r="P61">
        <f>TEXT(B61,"yyyy-mm")</f>
        <v/>
      </c>
      <c r="Q61">
        <f>IF(O61&gt;=3000,"Large","Small")</f>
        <v/>
      </c>
      <c r="R61">
        <f>INDEX(Products!$F$2:$F$49,MATCH(J61,Products!$A$2:$A$49,0))</f>
        <v/>
      </c>
      <c r="S61">
        <f>WEEKDAY(B61,2)</f>
        <v/>
      </c>
    </row>
    <row r="62">
      <c r="A62" t="n">
        <v>509344</v>
      </c>
      <c r="B62" s="6" t="n">
        <v>45932</v>
      </c>
      <c r="C62" t="n">
        <v>16550</v>
      </c>
      <c r="D62" t="inlineStr">
        <is>
          <t>Ahmedabad</t>
        </is>
      </c>
      <c r="E62" t="inlineStr">
        <is>
          <t>West</t>
        </is>
      </c>
      <c r="F62" t="inlineStr">
        <is>
          <t>Affiliate</t>
        </is>
      </c>
      <c r="G62" t="inlineStr">
        <is>
          <t>Mobile Web</t>
        </is>
      </c>
      <c r="H62" t="inlineStr">
        <is>
          <t>UPI</t>
        </is>
      </c>
      <c r="I62" t="inlineStr">
        <is>
          <t>Delivered</t>
        </is>
      </c>
      <c r="J62" t="n">
        <v>145</v>
      </c>
      <c r="K62" t="n">
        <v>1</v>
      </c>
      <c r="L62" t="n">
        <v>629</v>
      </c>
      <c r="M62" t="n">
        <v>94.34999999999999</v>
      </c>
      <c r="N62">
        <f>VLOOKUP(J62,Products!$A$2:$C$49,3,FALSE)</f>
        <v/>
      </c>
      <c r="O62">
        <f>K62*L62-M62</f>
        <v/>
      </c>
      <c r="P62">
        <f>TEXT(B62,"yyyy-mm")</f>
        <v/>
      </c>
      <c r="Q62">
        <f>IF(O62&gt;=3000,"Large","Small")</f>
        <v/>
      </c>
      <c r="R62">
        <f>INDEX(Products!$F$2:$F$49,MATCH(J62,Products!$A$2:$A$49,0))</f>
        <v/>
      </c>
      <c r="S62">
        <f>WEEKDAY(B62,2)</f>
        <v/>
      </c>
    </row>
    <row r="63">
      <c r="A63" t="n">
        <v>509345</v>
      </c>
      <c r="B63" s="6" t="n">
        <v>45932</v>
      </c>
      <c r="C63" t="n">
        <v>13506</v>
      </c>
      <c r="D63" t="inlineStr">
        <is>
          <t>Delhi</t>
        </is>
      </c>
      <c r="E63" t="inlineStr">
        <is>
          <t>North</t>
        </is>
      </c>
      <c r="F63" t="inlineStr">
        <is>
          <t>Organic Search</t>
        </is>
      </c>
      <c r="G63" t="inlineStr">
        <is>
          <t>Mobile App</t>
        </is>
      </c>
      <c r="H63" t="inlineStr">
        <is>
          <t>UPI</t>
        </is>
      </c>
      <c r="I63" t="inlineStr">
        <is>
          <t>Delivered</t>
        </is>
      </c>
      <c r="J63" t="n">
        <v>143</v>
      </c>
      <c r="K63" t="n">
        <v>1</v>
      </c>
      <c r="L63" t="n">
        <v>839</v>
      </c>
      <c r="M63" t="n">
        <v>0</v>
      </c>
      <c r="N63">
        <f>VLOOKUP(J63,Products!$A$2:$C$49,3,FALSE)</f>
        <v/>
      </c>
      <c r="O63">
        <f>K63*L63-M63</f>
        <v/>
      </c>
      <c r="P63">
        <f>TEXT(B63,"yyyy-mm")</f>
        <v/>
      </c>
      <c r="Q63">
        <f>IF(O63&gt;=3000,"Large","Small")</f>
        <v/>
      </c>
      <c r="R63">
        <f>INDEX(Products!$F$2:$F$49,MATCH(J63,Products!$A$2:$A$49,0))</f>
        <v/>
      </c>
      <c r="S63">
        <f>WEEKDAY(B63,2)</f>
        <v/>
      </c>
    </row>
    <row r="64">
      <c r="A64" t="n">
        <v>509345</v>
      </c>
      <c r="B64" s="6" t="n">
        <v>45932</v>
      </c>
      <c r="C64" t="n">
        <v>13506</v>
      </c>
      <c r="D64" t="inlineStr">
        <is>
          <t>Delhi</t>
        </is>
      </c>
      <c r="E64" t="inlineStr">
        <is>
          <t>North</t>
        </is>
      </c>
      <c r="F64" t="inlineStr">
        <is>
          <t>Organic Search</t>
        </is>
      </c>
      <c r="G64" t="inlineStr">
        <is>
          <t>Mobile App</t>
        </is>
      </c>
      <c r="H64" t="inlineStr">
        <is>
          <t>UPI</t>
        </is>
      </c>
      <c r="I64" t="inlineStr">
        <is>
          <t>Delivered</t>
        </is>
      </c>
      <c r="J64" t="n">
        <v>137</v>
      </c>
      <c r="K64" t="n">
        <v>1</v>
      </c>
      <c r="L64" t="n">
        <v>261</v>
      </c>
      <c r="M64" t="n">
        <v>0</v>
      </c>
      <c r="N64">
        <f>VLOOKUP(J64,Products!$A$2:$C$49,3,FALSE)</f>
        <v/>
      </c>
      <c r="O64">
        <f>K64*L64-M64</f>
        <v/>
      </c>
      <c r="P64">
        <f>TEXT(B64,"yyyy-mm")</f>
        <v/>
      </c>
      <c r="Q64">
        <f>IF(O64&gt;=3000,"Large","Small")</f>
        <v/>
      </c>
      <c r="R64">
        <f>INDEX(Products!$F$2:$F$49,MATCH(J64,Products!$A$2:$A$49,0))</f>
        <v/>
      </c>
      <c r="S64">
        <f>WEEKDAY(B64,2)</f>
        <v/>
      </c>
    </row>
    <row r="65">
      <c r="A65" t="n">
        <v>509346</v>
      </c>
      <c r="B65" s="6" t="n">
        <v>45932</v>
      </c>
      <c r="C65" t="n">
        <v>16334</v>
      </c>
      <c r="D65" t="inlineStr">
        <is>
          <t>Bengaluru</t>
        </is>
      </c>
      <c r="E65" t="inlineStr">
        <is>
          <t>South</t>
        </is>
      </c>
      <c r="F65" t="inlineStr">
        <is>
          <t>Affiliate</t>
        </is>
      </c>
      <c r="G65" t="inlineStr">
        <is>
          <t>Mobile App</t>
        </is>
      </c>
      <c r="H65" t="inlineStr">
        <is>
          <t>Cash on Delivery</t>
        </is>
      </c>
      <c r="I65" t="inlineStr">
        <is>
          <t>Delivered</t>
        </is>
      </c>
      <c r="J65" t="n">
        <v>117</v>
      </c>
      <c r="K65" t="n">
        <v>1</v>
      </c>
      <c r="L65" t="n">
        <v>3149</v>
      </c>
      <c r="M65" t="n">
        <v>0</v>
      </c>
      <c r="N65">
        <f>VLOOKUP(J65,Products!$A$2:$C$49,3,FALSE)</f>
        <v/>
      </c>
      <c r="O65">
        <f>K65*L65-M65</f>
        <v/>
      </c>
      <c r="P65">
        <f>TEXT(B65,"yyyy-mm")</f>
        <v/>
      </c>
      <c r="Q65">
        <f>IF(O65&gt;=3000,"Large","Small")</f>
        <v/>
      </c>
      <c r="R65">
        <f>INDEX(Products!$F$2:$F$49,MATCH(J65,Products!$A$2:$A$49,0))</f>
        <v/>
      </c>
      <c r="S65">
        <f>WEEKDAY(B65,2)</f>
        <v/>
      </c>
    </row>
    <row r="66">
      <c r="A66" t="n">
        <v>509346</v>
      </c>
      <c r="B66" s="6" t="n">
        <v>45932</v>
      </c>
      <c r="C66" t="n">
        <v>16334</v>
      </c>
      <c r="D66" t="inlineStr">
        <is>
          <t>Bengaluru</t>
        </is>
      </c>
      <c r="E66" t="inlineStr">
        <is>
          <t>South</t>
        </is>
      </c>
      <c r="F66" t="inlineStr">
        <is>
          <t>Affiliate</t>
        </is>
      </c>
      <c r="G66" t="inlineStr">
        <is>
          <t>Mobile App</t>
        </is>
      </c>
      <c r="H66" t="inlineStr">
        <is>
          <t>Cash on Delivery</t>
        </is>
      </c>
      <c r="I66" t="inlineStr">
        <is>
          <t>Delivered</t>
        </is>
      </c>
      <c r="J66" t="n">
        <v>114</v>
      </c>
      <c r="K66" t="n">
        <v>3</v>
      </c>
      <c r="L66" t="n">
        <v>1259</v>
      </c>
      <c r="M66" t="n">
        <v>0</v>
      </c>
      <c r="N66">
        <f>VLOOKUP(J66,Products!$A$2:$C$49,3,FALSE)</f>
        <v/>
      </c>
      <c r="O66">
        <f>K66*L66-M66</f>
        <v/>
      </c>
      <c r="P66">
        <f>TEXT(B66,"yyyy-mm")</f>
        <v/>
      </c>
      <c r="Q66">
        <f>IF(O66&gt;=3000,"Large","Small")</f>
        <v/>
      </c>
      <c r="R66">
        <f>INDEX(Products!$F$2:$F$49,MATCH(J66,Products!$A$2:$A$49,0))</f>
        <v/>
      </c>
      <c r="S66">
        <f>WEEKDAY(B66,2)</f>
        <v/>
      </c>
    </row>
    <row r="67">
      <c r="A67" t="n">
        <v>509347</v>
      </c>
      <c r="B67" s="6" t="n">
        <v>45932</v>
      </c>
      <c r="C67" t="n">
        <v>13962</v>
      </c>
      <c r="D67" t="inlineStr">
        <is>
          <t>Lucknow</t>
        </is>
      </c>
      <c r="E67" t="inlineStr">
        <is>
          <t>North</t>
        </is>
      </c>
      <c r="F67" t="inlineStr">
        <is>
          <t>Email</t>
        </is>
      </c>
      <c r="G67" t="inlineStr">
        <is>
          <t>Mobile App</t>
        </is>
      </c>
      <c r="H67" t="inlineStr">
        <is>
          <t>UPI</t>
        </is>
      </c>
      <c r="I67" t="inlineStr">
        <is>
          <t>Delivered</t>
        </is>
      </c>
      <c r="J67" t="n">
        <v>147</v>
      </c>
      <c r="K67" t="n">
        <v>1</v>
      </c>
      <c r="L67" t="n">
        <v>1364</v>
      </c>
      <c r="M67" t="n">
        <v>0</v>
      </c>
      <c r="N67">
        <f>VLOOKUP(J67,Products!$A$2:$C$49,3,FALSE)</f>
        <v/>
      </c>
      <c r="O67">
        <f>K67*L67-M67</f>
        <v/>
      </c>
      <c r="P67">
        <f>TEXT(B67,"yyyy-mm")</f>
        <v/>
      </c>
      <c r="Q67">
        <f>IF(O67&gt;=3000,"Large","Small")</f>
        <v/>
      </c>
      <c r="R67">
        <f>INDEX(Products!$F$2:$F$49,MATCH(J67,Products!$A$2:$A$49,0))</f>
        <v/>
      </c>
      <c r="S67">
        <f>WEEKDAY(B67,2)</f>
        <v/>
      </c>
    </row>
    <row r="68">
      <c r="A68" t="n">
        <v>509348</v>
      </c>
      <c r="B68" s="6" t="n">
        <v>45932</v>
      </c>
      <c r="C68" t="n">
        <v>16039</v>
      </c>
      <c r="D68" t="inlineStr">
        <is>
          <t>Gurugram</t>
        </is>
      </c>
      <c r="E68" t="inlineStr">
        <is>
          <t>North</t>
        </is>
      </c>
      <c r="F68" t="inlineStr">
        <is>
          <t>Organic Search</t>
        </is>
      </c>
      <c r="G68" t="inlineStr">
        <is>
          <t>Mobile Web</t>
        </is>
      </c>
      <c r="H68" t="inlineStr">
        <is>
          <t>Cash on Delivery</t>
        </is>
      </c>
      <c r="I68" t="inlineStr">
        <is>
          <t>Delivered</t>
        </is>
      </c>
      <c r="J68" t="n">
        <v>111</v>
      </c>
      <c r="K68" t="n">
        <v>1</v>
      </c>
      <c r="L68" t="n">
        <v>524</v>
      </c>
      <c r="M68" t="n">
        <v>0</v>
      </c>
      <c r="N68">
        <f>VLOOKUP(J68,Products!$A$2:$C$49,3,FALSE)</f>
        <v/>
      </c>
      <c r="O68">
        <f>K68*L68-M68</f>
        <v/>
      </c>
      <c r="P68">
        <f>TEXT(B68,"yyyy-mm")</f>
        <v/>
      </c>
      <c r="Q68">
        <f>IF(O68&gt;=3000,"Large","Small")</f>
        <v/>
      </c>
      <c r="R68">
        <f>INDEX(Products!$F$2:$F$49,MATCH(J68,Products!$A$2:$A$49,0))</f>
        <v/>
      </c>
      <c r="S68">
        <f>WEEKDAY(B68,2)</f>
        <v/>
      </c>
    </row>
    <row r="69">
      <c r="A69" t="n">
        <v>509349</v>
      </c>
      <c r="B69" s="6" t="n">
        <v>45932</v>
      </c>
      <c r="C69" t="n">
        <v>16589</v>
      </c>
      <c r="D69" t="inlineStr">
        <is>
          <t>Mumbai</t>
        </is>
      </c>
      <c r="E69" t="inlineStr">
        <is>
          <t>West</t>
        </is>
      </c>
      <c r="F69" t="inlineStr">
        <is>
          <t>Paid Search</t>
        </is>
      </c>
      <c r="G69" t="inlineStr">
        <is>
          <t>Mobile Web</t>
        </is>
      </c>
      <c r="H69" t="inlineStr">
        <is>
          <t>Net Banking</t>
        </is>
      </c>
      <c r="I69" t="inlineStr">
        <is>
          <t>Returned</t>
        </is>
      </c>
      <c r="J69" t="n">
        <v>111</v>
      </c>
      <c r="K69" t="n">
        <v>2</v>
      </c>
      <c r="L69" t="n">
        <v>524</v>
      </c>
      <c r="M69" t="n">
        <v>0</v>
      </c>
      <c r="N69">
        <f>VLOOKUP(J69,Products!$A$2:$C$49,3,FALSE)</f>
        <v/>
      </c>
      <c r="O69">
        <f>K69*L69-M69</f>
        <v/>
      </c>
      <c r="P69">
        <f>TEXT(B69,"yyyy-mm")</f>
        <v/>
      </c>
      <c r="Q69">
        <f>IF(O69&gt;=3000,"Large","Small")</f>
        <v/>
      </c>
      <c r="R69">
        <f>INDEX(Products!$F$2:$F$49,MATCH(J69,Products!$A$2:$A$49,0))</f>
        <v/>
      </c>
      <c r="S69">
        <f>WEEKDAY(B69,2)</f>
        <v/>
      </c>
    </row>
    <row r="70">
      <c r="A70" t="n">
        <v>509349</v>
      </c>
      <c r="B70" s="6" t="n">
        <v>45932</v>
      </c>
      <c r="C70" t="n">
        <v>16589</v>
      </c>
      <c r="D70" t="inlineStr">
        <is>
          <t>Mumbai</t>
        </is>
      </c>
      <c r="E70" t="inlineStr">
        <is>
          <t>West</t>
        </is>
      </c>
      <c r="F70" t="inlineStr">
        <is>
          <t>Paid Search</t>
        </is>
      </c>
      <c r="G70" t="inlineStr">
        <is>
          <t>Mobile Web</t>
        </is>
      </c>
      <c r="H70" t="inlineStr">
        <is>
          <t>Net Banking</t>
        </is>
      </c>
      <c r="I70" t="inlineStr">
        <is>
          <t>Returned</t>
        </is>
      </c>
      <c r="J70" t="n">
        <v>123</v>
      </c>
      <c r="K70" t="n">
        <v>1</v>
      </c>
      <c r="L70" t="n">
        <v>3464</v>
      </c>
      <c r="M70" t="n">
        <v>0</v>
      </c>
      <c r="N70">
        <f>VLOOKUP(J70,Products!$A$2:$C$49,3,FALSE)</f>
        <v/>
      </c>
      <c r="O70">
        <f>K70*L70-M70</f>
        <v/>
      </c>
      <c r="P70">
        <f>TEXT(B70,"yyyy-mm")</f>
        <v/>
      </c>
      <c r="Q70">
        <f>IF(O70&gt;=3000,"Large","Small")</f>
        <v/>
      </c>
      <c r="R70">
        <f>INDEX(Products!$F$2:$F$49,MATCH(J70,Products!$A$2:$A$49,0))</f>
        <v/>
      </c>
      <c r="S70">
        <f>WEEKDAY(B70,2)</f>
        <v/>
      </c>
    </row>
    <row r="71">
      <c r="A71" t="n">
        <v>509350</v>
      </c>
      <c r="B71" s="6" t="n">
        <v>45932</v>
      </c>
      <c r="C71" t="n">
        <v>16236</v>
      </c>
      <c r="D71" t="inlineStr">
        <is>
          <t>Lucknow</t>
        </is>
      </c>
      <c r="E71" t="inlineStr">
        <is>
          <t>North</t>
        </is>
      </c>
      <c r="F71" t="inlineStr">
        <is>
          <t>Email</t>
        </is>
      </c>
      <c r="G71" t="inlineStr">
        <is>
          <t>Mobile Web</t>
        </is>
      </c>
      <c r="H71" t="inlineStr">
        <is>
          <t>UPI</t>
        </is>
      </c>
      <c r="I71" t="inlineStr">
        <is>
          <t>Delivered</t>
        </is>
      </c>
      <c r="J71" t="n">
        <v>111</v>
      </c>
      <c r="K71" t="n">
        <v>2</v>
      </c>
      <c r="L71" t="n">
        <v>524</v>
      </c>
      <c r="M71" t="n">
        <v>0</v>
      </c>
      <c r="N71">
        <f>VLOOKUP(J71,Products!$A$2:$C$49,3,FALSE)</f>
        <v/>
      </c>
      <c r="O71">
        <f>K71*L71-M71</f>
        <v/>
      </c>
      <c r="P71">
        <f>TEXT(B71,"yyyy-mm")</f>
        <v/>
      </c>
      <c r="Q71">
        <f>IF(O71&gt;=3000,"Large","Small")</f>
        <v/>
      </c>
      <c r="R71">
        <f>INDEX(Products!$F$2:$F$49,MATCH(J71,Products!$A$2:$A$49,0))</f>
        <v/>
      </c>
      <c r="S71">
        <f>WEEKDAY(B71,2)</f>
        <v/>
      </c>
    </row>
    <row r="72">
      <c r="A72" t="n">
        <v>509350</v>
      </c>
      <c r="B72" s="6" t="n">
        <v>45932</v>
      </c>
      <c r="C72" t="n">
        <v>16236</v>
      </c>
      <c r="D72" t="inlineStr">
        <is>
          <t>Lucknow</t>
        </is>
      </c>
      <c r="E72" t="inlineStr">
        <is>
          <t>North</t>
        </is>
      </c>
      <c r="F72" t="inlineStr">
        <is>
          <t>Email</t>
        </is>
      </c>
      <c r="G72" t="inlineStr">
        <is>
          <t>Mobile Web</t>
        </is>
      </c>
      <c r="H72" t="inlineStr">
        <is>
          <t>UPI</t>
        </is>
      </c>
      <c r="I72" t="inlineStr">
        <is>
          <t>Delivered</t>
        </is>
      </c>
      <c r="J72" t="n">
        <v>147</v>
      </c>
      <c r="K72" t="n">
        <v>1</v>
      </c>
      <c r="L72" t="n">
        <v>1364</v>
      </c>
      <c r="M72" t="n">
        <v>0</v>
      </c>
      <c r="N72">
        <f>VLOOKUP(J72,Products!$A$2:$C$49,3,FALSE)</f>
        <v/>
      </c>
      <c r="O72">
        <f>K72*L72-M72</f>
        <v/>
      </c>
      <c r="P72">
        <f>TEXT(B72,"yyyy-mm")</f>
        <v/>
      </c>
      <c r="Q72">
        <f>IF(O72&gt;=3000,"Large","Small")</f>
        <v/>
      </c>
      <c r="R72">
        <f>INDEX(Products!$F$2:$F$49,MATCH(J72,Products!$A$2:$A$49,0))</f>
        <v/>
      </c>
      <c r="S72">
        <f>WEEKDAY(B72,2)</f>
        <v/>
      </c>
    </row>
    <row r="73">
      <c r="A73" t="n">
        <v>509351</v>
      </c>
      <c r="B73" s="6" t="n">
        <v>45932</v>
      </c>
      <c r="C73" t="n">
        <v>16475</v>
      </c>
      <c r="D73" t="inlineStr">
        <is>
          <t>Hyderabad</t>
        </is>
      </c>
      <c r="E73" t="inlineStr">
        <is>
          <t>South</t>
        </is>
      </c>
      <c r="F73" t="inlineStr">
        <is>
          <t>Paid Social</t>
        </is>
      </c>
      <c r="G73" t="inlineStr">
        <is>
          <t>Mobile Web</t>
        </is>
      </c>
      <c r="H73" t="inlineStr">
        <is>
          <t>UPI</t>
        </is>
      </c>
      <c r="I73" t="inlineStr">
        <is>
          <t>Delivered</t>
        </is>
      </c>
      <c r="J73" t="n">
        <v>134</v>
      </c>
      <c r="K73" t="n">
        <v>2</v>
      </c>
      <c r="L73" t="n">
        <v>209</v>
      </c>
      <c r="M73" t="n">
        <v>0</v>
      </c>
      <c r="N73">
        <f>VLOOKUP(J73,Products!$A$2:$C$49,3,FALSE)</f>
        <v/>
      </c>
      <c r="O73">
        <f>K73*L73-M73</f>
        <v/>
      </c>
      <c r="P73">
        <f>TEXT(B73,"yyyy-mm")</f>
        <v/>
      </c>
      <c r="Q73">
        <f>IF(O73&gt;=3000,"Large","Small")</f>
        <v/>
      </c>
      <c r="R73">
        <f>INDEX(Products!$F$2:$F$49,MATCH(J73,Products!$A$2:$A$49,0))</f>
        <v/>
      </c>
      <c r="S73">
        <f>WEEKDAY(B73,2)</f>
        <v/>
      </c>
    </row>
    <row r="74">
      <c r="A74" t="n">
        <v>509352</v>
      </c>
      <c r="B74" s="6" t="n">
        <v>45932</v>
      </c>
      <c r="C74" t="n">
        <v>14662</v>
      </c>
      <c r="D74" t="inlineStr">
        <is>
          <t>Delhi</t>
        </is>
      </c>
      <c r="E74" t="inlineStr">
        <is>
          <t>North</t>
        </is>
      </c>
      <c r="F74" t="inlineStr">
        <is>
          <t>Referral</t>
        </is>
      </c>
      <c r="G74" t="inlineStr">
        <is>
          <t>Mobile App</t>
        </is>
      </c>
      <c r="H74" t="inlineStr">
        <is>
          <t>Credit Card</t>
        </is>
      </c>
      <c r="I74" t="inlineStr">
        <is>
          <t>Delivered</t>
        </is>
      </c>
      <c r="J74" t="n">
        <v>104</v>
      </c>
      <c r="K74" t="n">
        <v>1</v>
      </c>
      <c r="L74" t="n">
        <v>5249</v>
      </c>
      <c r="M74" t="n">
        <v>262.45</v>
      </c>
      <c r="N74">
        <f>VLOOKUP(J74,Products!$A$2:$C$49,3,FALSE)</f>
        <v/>
      </c>
      <c r="O74">
        <f>K74*L74-M74</f>
        <v/>
      </c>
      <c r="P74">
        <f>TEXT(B74,"yyyy-mm")</f>
        <v/>
      </c>
      <c r="Q74">
        <f>IF(O74&gt;=3000,"Large","Small")</f>
        <v/>
      </c>
      <c r="R74">
        <f>INDEX(Products!$F$2:$F$49,MATCH(J74,Products!$A$2:$A$49,0))</f>
        <v/>
      </c>
      <c r="S74">
        <f>WEEKDAY(B74,2)</f>
        <v/>
      </c>
    </row>
    <row r="75">
      <c r="A75" t="n">
        <v>509353</v>
      </c>
      <c r="B75" s="6" t="n">
        <v>45932</v>
      </c>
      <c r="C75" t="n">
        <v>16565</v>
      </c>
      <c r="D75" t="inlineStr">
        <is>
          <t>Noida</t>
        </is>
      </c>
      <c r="E75" t="inlineStr">
        <is>
          <t>North</t>
        </is>
      </c>
      <c r="F75" t="inlineStr">
        <is>
          <t>Paid Social</t>
        </is>
      </c>
      <c r="G75" t="inlineStr">
        <is>
          <t>Mobile App</t>
        </is>
      </c>
      <c r="H75" t="inlineStr">
        <is>
          <t>Cash on Delivery</t>
        </is>
      </c>
      <c r="I75" t="inlineStr">
        <is>
          <t>Cancelled</t>
        </is>
      </c>
      <c r="J75" t="n">
        <v>148</v>
      </c>
      <c r="K75" t="n">
        <v>1</v>
      </c>
      <c r="L75" t="n">
        <v>734</v>
      </c>
      <c r="M75" t="n">
        <v>0</v>
      </c>
      <c r="N75">
        <f>VLOOKUP(J75,Products!$A$2:$C$49,3,FALSE)</f>
        <v/>
      </c>
      <c r="O75">
        <f>K75*L75-M75</f>
        <v/>
      </c>
      <c r="P75">
        <f>TEXT(B75,"yyyy-mm")</f>
        <v/>
      </c>
      <c r="Q75">
        <f>IF(O75&gt;=3000,"Large","Small")</f>
        <v/>
      </c>
      <c r="R75">
        <f>INDEX(Products!$F$2:$F$49,MATCH(J75,Products!$A$2:$A$49,0))</f>
        <v/>
      </c>
      <c r="S75">
        <f>WEEKDAY(B75,2)</f>
        <v/>
      </c>
    </row>
    <row r="76">
      <c r="A76" t="n">
        <v>509354</v>
      </c>
      <c r="B76" s="6" t="n">
        <v>45933</v>
      </c>
      <c r="C76" t="n">
        <v>16377</v>
      </c>
      <c r="D76" t="inlineStr">
        <is>
          <t>Ahmedabad</t>
        </is>
      </c>
      <c r="E76" t="inlineStr">
        <is>
          <t>West</t>
        </is>
      </c>
      <c r="F76" t="inlineStr">
        <is>
          <t>Organic Search</t>
        </is>
      </c>
      <c r="G76" t="inlineStr">
        <is>
          <t>Mobile App</t>
        </is>
      </c>
      <c r="H76" t="inlineStr">
        <is>
          <t>UPI</t>
        </is>
      </c>
      <c r="I76" t="inlineStr">
        <is>
          <t>Delivered</t>
        </is>
      </c>
      <c r="J76" t="n">
        <v>118</v>
      </c>
      <c r="K76" t="n">
        <v>2</v>
      </c>
      <c r="L76" t="n">
        <v>944</v>
      </c>
      <c r="M76" t="n">
        <v>0</v>
      </c>
      <c r="N76">
        <f>VLOOKUP(J76,Products!$A$2:$C$49,3,FALSE)</f>
        <v/>
      </c>
      <c r="O76">
        <f>K76*L76-M76</f>
        <v/>
      </c>
      <c r="P76">
        <f>TEXT(B76,"yyyy-mm")</f>
        <v/>
      </c>
      <c r="Q76">
        <f>IF(O76&gt;=3000,"Large","Small")</f>
        <v/>
      </c>
      <c r="R76">
        <f>INDEX(Products!$F$2:$F$49,MATCH(J76,Products!$A$2:$A$49,0))</f>
        <v/>
      </c>
      <c r="S76">
        <f>WEEKDAY(B76,2)</f>
        <v/>
      </c>
    </row>
    <row r="77">
      <c r="A77" t="n">
        <v>509355</v>
      </c>
      <c r="B77" s="6" t="n">
        <v>45933</v>
      </c>
      <c r="C77" t="n">
        <v>16600</v>
      </c>
      <c r="D77" t="inlineStr">
        <is>
          <t>Hyderabad</t>
        </is>
      </c>
      <c r="E77" t="inlineStr">
        <is>
          <t>South</t>
        </is>
      </c>
      <c r="F77" t="inlineStr">
        <is>
          <t>Paid Search</t>
        </is>
      </c>
      <c r="G77" t="inlineStr">
        <is>
          <t>Desktop</t>
        </is>
      </c>
      <c r="H77" t="inlineStr">
        <is>
          <t>UPI</t>
        </is>
      </c>
      <c r="I77" t="inlineStr">
        <is>
          <t>Delivered</t>
        </is>
      </c>
      <c r="J77" t="n">
        <v>124</v>
      </c>
      <c r="K77" t="n">
        <v>3</v>
      </c>
      <c r="L77" t="n">
        <v>1154</v>
      </c>
      <c r="M77" t="n">
        <v>0</v>
      </c>
      <c r="N77">
        <f>VLOOKUP(J77,Products!$A$2:$C$49,3,FALSE)</f>
        <v/>
      </c>
      <c r="O77">
        <f>K77*L77-M77</f>
        <v/>
      </c>
      <c r="P77">
        <f>TEXT(B77,"yyyy-mm")</f>
        <v/>
      </c>
      <c r="Q77">
        <f>IF(O77&gt;=3000,"Large","Small")</f>
        <v/>
      </c>
      <c r="R77">
        <f>INDEX(Products!$F$2:$F$49,MATCH(J77,Products!$A$2:$A$49,0))</f>
        <v/>
      </c>
      <c r="S77">
        <f>WEEKDAY(B77,2)</f>
        <v/>
      </c>
    </row>
    <row r="78">
      <c r="A78" t="n">
        <v>509355</v>
      </c>
      <c r="B78" s="6" t="n">
        <v>45933</v>
      </c>
      <c r="C78" t="n">
        <v>16600</v>
      </c>
      <c r="D78" t="inlineStr">
        <is>
          <t>Hyderabad</t>
        </is>
      </c>
      <c r="E78" t="inlineStr">
        <is>
          <t>South</t>
        </is>
      </c>
      <c r="F78" t="inlineStr">
        <is>
          <t>Paid Search</t>
        </is>
      </c>
      <c r="G78" t="inlineStr">
        <is>
          <t>Desktop</t>
        </is>
      </c>
      <c r="H78" t="inlineStr">
        <is>
          <t>UPI</t>
        </is>
      </c>
      <c r="I78" t="inlineStr">
        <is>
          <t>Delivered</t>
        </is>
      </c>
      <c r="J78" t="n">
        <v>116</v>
      </c>
      <c r="K78" t="n">
        <v>1</v>
      </c>
      <c r="L78" t="n">
        <v>2624</v>
      </c>
      <c r="M78" t="n">
        <v>0</v>
      </c>
      <c r="N78">
        <f>VLOOKUP(J78,Products!$A$2:$C$49,3,FALSE)</f>
        <v/>
      </c>
      <c r="O78">
        <f>K78*L78-M78</f>
        <v/>
      </c>
      <c r="P78">
        <f>TEXT(B78,"yyyy-mm")</f>
        <v/>
      </c>
      <c r="Q78">
        <f>IF(O78&gt;=3000,"Large","Small")</f>
        <v/>
      </c>
      <c r="R78">
        <f>INDEX(Products!$F$2:$F$49,MATCH(J78,Products!$A$2:$A$49,0))</f>
        <v/>
      </c>
      <c r="S78">
        <f>WEEKDAY(B78,2)</f>
        <v/>
      </c>
    </row>
    <row r="79">
      <c r="A79" t="n">
        <v>509356</v>
      </c>
      <c r="B79" s="6" t="n">
        <v>45933</v>
      </c>
      <c r="C79" t="n">
        <v>16604</v>
      </c>
      <c r="D79" t="inlineStr">
        <is>
          <t>Bengaluru</t>
        </is>
      </c>
      <c r="E79" t="inlineStr">
        <is>
          <t>South</t>
        </is>
      </c>
      <c r="F79" t="inlineStr">
        <is>
          <t>Paid Search</t>
        </is>
      </c>
      <c r="G79" t="inlineStr">
        <is>
          <t>Mobile Web</t>
        </is>
      </c>
      <c r="H79" t="inlineStr">
        <is>
          <t>Cash on Delivery</t>
        </is>
      </c>
      <c r="I79" t="inlineStr">
        <is>
          <t>Delivered</t>
        </is>
      </c>
      <c r="J79" t="n">
        <v>108</v>
      </c>
      <c r="K79" t="n">
        <v>1</v>
      </c>
      <c r="L79" t="n">
        <v>419</v>
      </c>
      <c r="M79" t="n">
        <v>62.85</v>
      </c>
      <c r="N79">
        <f>VLOOKUP(J79,Products!$A$2:$C$49,3,FALSE)</f>
        <v/>
      </c>
      <c r="O79">
        <f>K79*L79-M79</f>
        <v/>
      </c>
      <c r="P79">
        <f>TEXT(B79,"yyyy-mm")</f>
        <v/>
      </c>
      <c r="Q79">
        <f>IF(O79&gt;=3000,"Large","Small")</f>
        <v/>
      </c>
      <c r="R79">
        <f>INDEX(Products!$F$2:$F$49,MATCH(J79,Products!$A$2:$A$49,0))</f>
        <v/>
      </c>
      <c r="S79">
        <f>WEEKDAY(B79,2)</f>
        <v/>
      </c>
    </row>
    <row r="80">
      <c r="A80" t="n">
        <v>509357</v>
      </c>
      <c r="B80" s="6" t="n">
        <v>45933</v>
      </c>
      <c r="C80" t="n">
        <v>16449</v>
      </c>
      <c r="D80" t="inlineStr">
        <is>
          <t>Jaipur</t>
        </is>
      </c>
      <c r="E80" t="inlineStr">
        <is>
          <t>North</t>
        </is>
      </c>
      <c r="F80" t="inlineStr">
        <is>
          <t>Affiliate</t>
        </is>
      </c>
      <c r="G80" t="inlineStr">
        <is>
          <t>Mobile Web</t>
        </is>
      </c>
      <c r="H80" t="inlineStr">
        <is>
          <t>Debit Card</t>
        </is>
      </c>
      <c r="I80" t="inlineStr">
        <is>
          <t>Delivered</t>
        </is>
      </c>
      <c r="J80" t="n">
        <v>130</v>
      </c>
      <c r="K80" t="n">
        <v>1</v>
      </c>
      <c r="L80" t="n">
        <v>734</v>
      </c>
      <c r="M80" t="n">
        <v>0</v>
      </c>
      <c r="N80">
        <f>VLOOKUP(J80,Products!$A$2:$C$49,3,FALSE)</f>
        <v/>
      </c>
      <c r="O80">
        <f>K80*L80-M80</f>
        <v/>
      </c>
      <c r="P80">
        <f>TEXT(B80,"yyyy-mm")</f>
        <v/>
      </c>
      <c r="Q80">
        <f>IF(O80&gt;=3000,"Large","Small")</f>
        <v/>
      </c>
      <c r="R80">
        <f>INDEX(Products!$F$2:$F$49,MATCH(J80,Products!$A$2:$A$49,0))</f>
        <v/>
      </c>
      <c r="S80">
        <f>WEEKDAY(B80,2)</f>
        <v/>
      </c>
    </row>
    <row r="81">
      <c r="A81" t="n">
        <v>509358</v>
      </c>
      <c r="B81" s="6" t="n">
        <v>45933</v>
      </c>
      <c r="C81" t="n">
        <v>16577</v>
      </c>
      <c r="D81" t="inlineStr">
        <is>
          <t>Chennai</t>
        </is>
      </c>
      <c r="E81" t="inlineStr">
        <is>
          <t>South</t>
        </is>
      </c>
      <c r="F81" t="inlineStr">
        <is>
          <t>Referral</t>
        </is>
      </c>
      <c r="G81" t="inlineStr">
        <is>
          <t>Mobile App</t>
        </is>
      </c>
      <c r="H81" t="inlineStr">
        <is>
          <t>UPI</t>
        </is>
      </c>
      <c r="I81" t="inlineStr">
        <is>
          <t>Delivered</t>
        </is>
      </c>
      <c r="J81" t="n">
        <v>137</v>
      </c>
      <c r="K81" t="n">
        <v>1</v>
      </c>
      <c r="L81" t="n">
        <v>261</v>
      </c>
      <c r="M81" t="n">
        <v>0</v>
      </c>
      <c r="N81">
        <f>VLOOKUP(J81,Products!$A$2:$C$49,3,FALSE)</f>
        <v/>
      </c>
      <c r="O81">
        <f>K81*L81-M81</f>
        <v/>
      </c>
      <c r="P81">
        <f>TEXT(B81,"yyyy-mm")</f>
        <v/>
      </c>
      <c r="Q81">
        <f>IF(O81&gt;=3000,"Large","Small")</f>
        <v/>
      </c>
      <c r="R81">
        <f>INDEX(Products!$F$2:$F$49,MATCH(J81,Products!$A$2:$A$49,0))</f>
        <v/>
      </c>
      <c r="S81">
        <f>WEEKDAY(B81,2)</f>
        <v/>
      </c>
    </row>
    <row r="82">
      <c r="A82" t="n">
        <v>509358</v>
      </c>
      <c r="B82" s="6" t="n">
        <v>45933</v>
      </c>
      <c r="C82" t="n">
        <v>16577</v>
      </c>
      <c r="D82" t="inlineStr">
        <is>
          <t>Chennai</t>
        </is>
      </c>
      <c r="E82" t="inlineStr">
        <is>
          <t>South</t>
        </is>
      </c>
      <c r="F82" t="inlineStr">
        <is>
          <t>Referral</t>
        </is>
      </c>
      <c r="G82" t="inlineStr">
        <is>
          <t>Mobile App</t>
        </is>
      </c>
      <c r="H82" t="inlineStr">
        <is>
          <t>UPI</t>
        </is>
      </c>
      <c r="I82" t="inlineStr">
        <is>
          <t>Delivered</t>
        </is>
      </c>
      <c r="J82" t="n">
        <v>109</v>
      </c>
      <c r="K82" t="n">
        <v>2</v>
      </c>
      <c r="L82" t="n">
        <v>4199</v>
      </c>
      <c r="M82" t="n">
        <v>0</v>
      </c>
      <c r="N82">
        <f>VLOOKUP(J82,Products!$A$2:$C$49,3,FALSE)</f>
        <v/>
      </c>
      <c r="O82">
        <f>K82*L82-M82</f>
        <v/>
      </c>
      <c r="P82">
        <f>TEXT(B82,"yyyy-mm")</f>
        <v/>
      </c>
      <c r="Q82">
        <f>IF(O82&gt;=3000,"Large","Small")</f>
        <v/>
      </c>
      <c r="R82">
        <f>INDEX(Products!$F$2:$F$49,MATCH(J82,Products!$A$2:$A$49,0))</f>
        <v/>
      </c>
      <c r="S82">
        <f>WEEKDAY(B82,2)</f>
        <v/>
      </c>
    </row>
    <row r="83">
      <c r="A83" t="n">
        <v>509358</v>
      </c>
      <c r="B83" s="6" t="n">
        <v>45933</v>
      </c>
      <c r="C83" t="n">
        <v>16577</v>
      </c>
      <c r="D83" t="inlineStr">
        <is>
          <t>Chennai</t>
        </is>
      </c>
      <c r="E83" t="inlineStr">
        <is>
          <t>South</t>
        </is>
      </c>
      <c r="F83" t="inlineStr">
        <is>
          <t>Referral</t>
        </is>
      </c>
      <c r="G83" t="inlineStr">
        <is>
          <t>Mobile App</t>
        </is>
      </c>
      <c r="H83" t="inlineStr">
        <is>
          <t>UPI</t>
        </is>
      </c>
      <c r="I83" t="inlineStr">
        <is>
          <t>Delivered</t>
        </is>
      </c>
      <c r="J83" t="n">
        <v>125</v>
      </c>
      <c r="K83" t="n">
        <v>1</v>
      </c>
      <c r="L83" t="n">
        <v>1364</v>
      </c>
      <c r="M83" t="n">
        <v>0</v>
      </c>
      <c r="N83">
        <f>VLOOKUP(J83,Products!$A$2:$C$49,3,FALSE)</f>
        <v/>
      </c>
      <c r="O83">
        <f>K83*L83-M83</f>
        <v/>
      </c>
      <c r="P83">
        <f>TEXT(B83,"yyyy-mm")</f>
        <v/>
      </c>
      <c r="Q83">
        <f>IF(O83&gt;=3000,"Large","Small")</f>
        <v/>
      </c>
      <c r="R83">
        <f>INDEX(Products!$F$2:$F$49,MATCH(J83,Products!$A$2:$A$49,0))</f>
        <v/>
      </c>
      <c r="S83">
        <f>WEEKDAY(B83,2)</f>
        <v/>
      </c>
    </row>
    <row r="84">
      <c r="A84" t="n">
        <v>509359</v>
      </c>
      <c r="B84" s="6" t="n">
        <v>45933</v>
      </c>
      <c r="C84" t="n">
        <v>16478</v>
      </c>
      <c r="D84" t="inlineStr">
        <is>
          <t>Indore</t>
        </is>
      </c>
      <c r="E84" t="inlineStr">
        <is>
          <t>West</t>
        </is>
      </c>
      <c r="F84" t="inlineStr">
        <is>
          <t>Affiliate</t>
        </is>
      </c>
      <c r="G84" t="inlineStr">
        <is>
          <t>Mobile App</t>
        </is>
      </c>
      <c r="H84" t="inlineStr">
        <is>
          <t>Credit Card</t>
        </is>
      </c>
      <c r="I84" t="inlineStr">
        <is>
          <t>Delivered</t>
        </is>
      </c>
      <c r="J84" t="n">
        <v>133</v>
      </c>
      <c r="K84" t="n">
        <v>1</v>
      </c>
      <c r="L84" t="n">
        <v>419</v>
      </c>
      <c r="M84" t="n">
        <v>0</v>
      </c>
      <c r="N84">
        <f>VLOOKUP(J84,Products!$A$2:$C$49,3,FALSE)</f>
        <v/>
      </c>
      <c r="O84">
        <f>K84*L84-M84</f>
        <v/>
      </c>
      <c r="P84">
        <f>TEXT(B84,"yyyy-mm")</f>
        <v/>
      </c>
      <c r="Q84">
        <f>IF(O84&gt;=3000,"Large","Small")</f>
        <v/>
      </c>
      <c r="R84">
        <f>INDEX(Products!$F$2:$F$49,MATCH(J84,Products!$A$2:$A$49,0))</f>
        <v/>
      </c>
      <c r="S84">
        <f>WEEKDAY(B84,2)</f>
        <v/>
      </c>
    </row>
    <row r="85">
      <c r="A85" t="n">
        <v>509359</v>
      </c>
      <c r="B85" s="6" t="n">
        <v>45933</v>
      </c>
      <c r="C85" t="n">
        <v>16478</v>
      </c>
      <c r="D85" t="inlineStr">
        <is>
          <t>Indore</t>
        </is>
      </c>
      <c r="E85" t="inlineStr">
        <is>
          <t>West</t>
        </is>
      </c>
      <c r="F85" t="inlineStr">
        <is>
          <t>Affiliate</t>
        </is>
      </c>
      <c r="G85" t="inlineStr">
        <is>
          <t>Mobile App</t>
        </is>
      </c>
      <c r="H85" t="inlineStr">
        <is>
          <t>Credit Card</t>
        </is>
      </c>
      <c r="I85" t="inlineStr">
        <is>
          <t>Delivered</t>
        </is>
      </c>
      <c r="J85" t="n">
        <v>102</v>
      </c>
      <c r="K85" t="n">
        <v>2</v>
      </c>
      <c r="L85" t="n">
        <v>3674</v>
      </c>
      <c r="M85" t="n">
        <v>0</v>
      </c>
      <c r="N85">
        <f>VLOOKUP(J85,Products!$A$2:$C$49,3,FALSE)</f>
        <v/>
      </c>
      <c r="O85">
        <f>K85*L85-M85</f>
        <v/>
      </c>
      <c r="P85">
        <f>TEXT(B85,"yyyy-mm")</f>
        <v/>
      </c>
      <c r="Q85">
        <f>IF(O85&gt;=3000,"Large","Small")</f>
        <v/>
      </c>
      <c r="R85">
        <f>INDEX(Products!$F$2:$F$49,MATCH(J85,Products!$A$2:$A$49,0))</f>
        <v/>
      </c>
      <c r="S85">
        <f>WEEKDAY(B85,2)</f>
        <v/>
      </c>
    </row>
    <row r="86">
      <c r="A86" t="n">
        <v>509360</v>
      </c>
      <c r="B86" s="6" t="n">
        <v>45933</v>
      </c>
      <c r="C86" t="n">
        <v>16576</v>
      </c>
      <c r="D86" t="inlineStr">
        <is>
          <t>Mumbai</t>
        </is>
      </c>
      <c r="E86" t="inlineStr">
        <is>
          <t>West</t>
        </is>
      </c>
      <c r="F86" t="inlineStr">
        <is>
          <t>Referral</t>
        </is>
      </c>
      <c r="G86" t="inlineStr">
        <is>
          <t>Mobile App</t>
        </is>
      </c>
      <c r="H86" t="inlineStr">
        <is>
          <t>Debit Card</t>
        </is>
      </c>
      <c r="I86" t="inlineStr">
        <is>
          <t>Delivered</t>
        </is>
      </c>
      <c r="J86" t="n">
        <v>113</v>
      </c>
      <c r="K86" t="n">
        <v>2</v>
      </c>
      <c r="L86" t="n">
        <v>1364</v>
      </c>
      <c r="M86" t="n">
        <v>136.4</v>
      </c>
      <c r="N86">
        <f>VLOOKUP(J86,Products!$A$2:$C$49,3,FALSE)</f>
        <v/>
      </c>
      <c r="O86">
        <f>K86*L86-M86</f>
        <v/>
      </c>
      <c r="P86">
        <f>TEXT(B86,"yyyy-mm")</f>
        <v/>
      </c>
      <c r="Q86">
        <f>IF(O86&gt;=3000,"Large","Small")</f>
        <v/>
      </c>
      <c r="R86">
        <f>INDEX(Products!$F$2:$F$49,MATCH(J86,Products!$A$2:$A$49,0))</f>
        <v/>
      </c>
      <c r="S86">
        <f>WEEKDAY(B86,2)</f>
        <v/>
      </c>
    </row>
    <row r="87">
      <c r="A87" t="n">
        <v>509360</v>
      </c>
      <c r="B87" s="6" t="n">
        <v>45933</v>
      </c>
      <c r="C87" t="n">
        <v>16576</v>
      </c>
      <c r="D87" t="inlineStr">
        <is>
          <t>Mumbai</t>
        </is>
      </c>
      <c r="E87" t="inlineStr">
        <is>
          <t>West</t>
        </is>
      </c>
      <c r="F87" t="inlineStr">
        <is>
          <t>Referral</t>
        </is>
      </c>
      <c r="G87" t="inlineStr">
        <is>
          <t>Mobile App</t>
        </is>
      </c>
      <c r="H87" t="inlineStr">
        <is>
          <t>Debit Card</t>
        </is>
      </c>
      <c r="I87" t="inlineStr">
        <is>
          <t>Delivered</t>
        </is>
      </c>
      <c r="J87" t="n">
        <v>118</v>
      </c>
      <c r="K87" t="n">
        <v>1</v>
      </c>
      <c r="L87" t="n">
        <v>944</v>
      </c>
      <c r="M87" t="n">
        <v>47.2</v>
      </c>
      <c r="N87">
        <f>VLOOKUP(J87,Products!$A$2:$C$49,3,FALSE)</f>
        <v/>
      </c>
      <c r="O87">
        <f>K87*L87-M87</f>
        <v/>
      </c>
      <c r="P87">
        <f>TEXT(B87,"yyyy-mm")</f>
        <v/>
      </c>
      <c r="Q87">
        <f>IF(O87&gt;=3000,"Large","Small")</f>
        <v/>
      </c>
      <c r="R87">
        <f>INDEX(Products!$F$2:$F$49,MATCH(J87,Products!$A$2:$A$49,0))</f>
        <v/>
      </c>
      <c r="S87">
        <f>WEEKDAY(B87,2)</f>
        <v/>
      </c>
    </row>
    <row r="88">
      <c r="A88" t="n">
        <v>509361</v>
      </c>
      <c r="B88" s="6" t="n">
        <v>45933</v>
      </c>
      <c r="C88" t="n">
        <v>12269</v>
      </c>
      <c r="D88" t="inlineStr">
        <is>
          <t>Kochi</t>
        </is>
      </c>
      <c r="E88" t="inlineStr">
        <is>
          <t>South</t>
        </is>
      </c>
      <c r="F88" t="inlineStr">
        <is>
          <t>Paid Search</t>
        </is>
      </c>
      <c r="G88" t="inlineStr">
        <is>
          <t>Desktop</t>
        </is>
      </c>
      <c r="H88" t="inlineStr">
        <is>
          <t>UPI</t>
        </is>
      </c>
      <c r="I88" t="inlineStr">
        <is>
          <t>Returned</t>
        </is>
      </c>
      <c r="J88" t="n">
        <v>113</v>
      </c>
      <c r="K88" t="n">
        <v>1</v>
      </c>
      <c r="L88" t="n">
        <v>1364</v>
      </c>
      <c r="M88" t="n">
        <v>0</v>
      </c>
      <c r="N88">
        <f>VLOOKUP(J88,Products!$A$2:$C$49,3,FALSE)</f>
        <v/>
      </c>
      <c r="O88">
        <f>K88*L88-M88</f>
        <v/>
      </c>
      <c r="P88">
        <f>TEXT(B88,"yyyy-mm")</f>
        <v/>
      </c>
      <c r="Q88">
        <f>IF(O88&gt;=3000,"Large","Small")</f>
        <v/>
      </c>
      <c r="R88">
        <f>INDEX(Products!$F$2:$F$49,MATCH(J88,Products!$A$2:$A$49,0))</f>
        <v/>
      </c>
      <c r="S88">
        <f>WEEKDAY(B88,2)</f>
        <v/>
      </c>
    </row>
    <row r="89">
      <c r="A89" t="n">
        <v>509361</v>
      </c>
      <c r="B89" s="6" t="n">
        <v>45933</v>
      </c>
      <c r="C89" t="n">
        <v>12269</v>
      </c>
      <c r="D89" t="inlineStr">
        <is>
          <t>Kochi</t>
        </is>
      </c>
      <c r="E89" t="inlineStr">
        <is>
          <t>South</t>
        </is>
      </c>
      <c r="F89" t="inlineStr">
        <is>
          <t>Paid Search</t>
        </is>
      </c>
      <c r="G89" t="inlineStr">
        <is>
          <t>Desktop</t>
        </is>
      </c>
      <c r="H89" t="inlineStr">
        <is>
          <t>UPI</t>
        </is>
      </c>
      <c r="I89" t="inlineStr">
        <is>
          <t>Returned</t>
        </is>
      </c>
      <c r="J89" t="n">
        <v>141</v>
      </c>
      <c r="K89" t="n">
        <v>1</v>
      </c>
      <c r="L89" t="n">
        <v>261</v>
      </c>
      <c r="M89" t="n">
        <v>0</v>
      </c>
      <c r="N89">
        <f>VLOOKUP(J89,Products!$A$2:$C$49,3,FALSE)</f>
        <v/>
      </c>
      <c r="O89">
        <f>K89*L89-M89</f>
        <v/>
      </c>
      <c r="P89">
        <f>TEXT(B89,"yyyy-mm")</f>
        <v/>
      </c>
      <c r="Q89">
        <f>IF(O89&gt;=3000,"Large","Small")</f>
        <v/>
      </c>
      <c r="R89">
        <f>INDEX(Products!$F$2:$F$49,MATCH(J89,Products!$A$2:$A$49,0))</f>
        <v/>
      </c>
      <c r="S89">
        <f>WEEKDAY(B89,2)</f>
        <v/>
      </c>
    </row>
    <row r="90">
      <c r="A90" t="n">
        <v>509362</v>
      </c>
      <c r="B90" s="6" t="n">
        <v>45933</v>
      </c>
      <c r="C90" t="n">
        <v>16590</v>
      </c>
      <c r="D90" t="inlineStr">
        <is>
          <t>Bengaluru</t>
        </is>
      </c>
      <c r="E90" t="inlineStr">
        <is>
          <t>South</t>
        </is>
      </c>
      <c r="F90" t="inlineStr">
        <is>
          <t>Paid Search</t>
        </is>
      </c>
      <c r="G90" t="inlineStr">
        <is>
          <t>Mobile App</t>
        </is>
      </c>
      <c r="H90" t="inlineStr">
        <is>
          <t>UPI</t>
        </is>
      </c>
      <c r="I90" t="inlineStr">
        <is>
          <t>Delivered</t>
        </is>
      </c>
      <c r="J90" t="n">
        <v>106</v>
      </c>
      <c r="K90" t="n">
        <v>1</v>
      </c>
      <c r="L90" t="n">
        <v>1574</v>
      </c>
      <c r="M90" t="n">
        <v>0</v>
      </c>
      <c r="N90">
        <f>VLOOKUP(J90,Products!$A$2:$C$49,3,FALSE)</f>
        <v/>
      </c>
      <c r="O90">
        <f>K90*L90-M90</f>
        <v/>
      </c>
      <c r="P90">
        <f>TEXT(B90,"yyyy-mm")</f>
        <v/>
      </c>
      <c r="Q90">
        <f>IF(O90&gt;=3000,"Large","Small")</f>
        <v/>
      </c>
      <c r="R90">
        <f>INDEX(Products!$F$2:$F$49,MATCH(J90,Products!$A$2:$A$49,0))</f>
        <v/>
      </c>
      <c r="S90">
        <f>WEEKDAY(B90,2)</f>
        <v/>
      </c>
    </row>
    <row r="91">
      <c r="A91" t="n">
        <v>509362</v>
      </c>
      <c r="B91" s="6" t="n">
        <v>45933</v>
      </c>
      <c r="C91" t="n">
        <v>16590</v>
      </c>
      <c r="D91" t="inlineStr">
        <is>
          <t>Bengaluru</t>
        </is>
      </c>
      <c r="E91" t="inlineStr">
        <is>
          <t>South</t>
        </is>
      </c>
      <c r="F91" t="inlineStr">
        <is>
          <t>Paid Search</t>
        </is>
      </c>
      <c r="G91" t="inlineStr">
        <is>
          <t>Mobile App</t>
        </is>
      </c>
      <c r="H91" t="inlineStr">
        <is>
          <t>UPI</t>
        </is>
      </c>
      <c r="I91" t="inlineStr">
        <is>
          <t>Delivered</t>
        </is>
      </c>
      <c r="J91" t="n">
        <v>123</v>
      </c>
      <c r="K91" t="n">
        <v>2</v>
      </c>
      <c r="L91" t="n">
        <v>3464</v>
      </c>
      <c r="M91" t="n">
        <v>0</v>
      </c>
      <c r="N91">
        <f>VLOOKUP(J91,Products!$A$2:$C$49,3,FALSE)</f>
        <v/>
      </c>
      <c r="O91">
        <f>K91*L91-M91</f>
        <v/>
      </c>
      <c r="P91">
        <f>TEXT(B91,"yyyy-mm")</f>
        <v/>
      </c>
      <c r="Q91">
        <f>IF(O91&gt;=3000,"Large","Small")</f>
        <v/>
      </c>
      <c r="R91">
        <f>INDEX(Products!$F$2:$F$49,MATCH(J91,Products!$A$2:$A$49,0))</f>
        <v/>
      </c>
      <c r="S91">
        <f>WEEKDAY(B91,2)</f>
        <v/>
      </c>
    </row>
    <row r="92">
      <c r="A92" t="n">
        <v>509363</v>
      </c>
      <c r="B92" s="6" t="n">
        <v>45933</v>
      </c>
      <c r="C92" t="n">
        <v>16586</v>
      </c>
      <c r="D92" t="inlineStr">
        <is>
          <t>Kochi</t>
        </is>
      </c>
      <c r="E92" t="inlineStr">
        <is>
          <t>South</t>
        </is>
      </c>
      <c r="F92" t="inlineStr">
        <is>
          <t>Organic Search</t>
        </is>
      </c>
      <c r="G92" t="inlineStr">
        <is>
          <t>Mobile App</t>
        </is>
      </c>
      <c r="H92" t="inlineStr">
        <is>
          <t>UPI</t>
        </is>
      </c>
      <c r="I92" t="inlineStr">
        <is>
          <t>Delivered</t>
        </is>
      </c>
      <c r="J92" t="n">
        <v>125</v>
      </c>
      <c r="K92" t="n">
        <v>1</v>
      </c>
      <c r="L92" t="n">
        <v>1364</v>
      </c>
      <c r="M92" t="n">
        <v>0</v>
      </c>
      <c r="N92">
        <f>VLOOKUP(J92,Products!$A$2:$C$49,3,FALSE)</f>
        <v/>
      </c>
      <c r="O92">
        <f>K92*L92-M92</f>
        <v/>
      </c>
      <c r="P92">
        <f>TEXT(B92,"yyyy-mm")</f>
        <v/>
      </c>
      <c r="Q92">
        <f>IF(O92&gt;=3000,"Large","Small")</f>
        <v/>
      </c>
      <c r="R92">
        <f>INDEX(Products!$F$2:$F$49,MATCH(J92,Products!$A$2:$A$49,0))</f>
        <v/>
      </c>
      <c r="S92">
        <f>WEEKDAY(B92,2)</f>
        <v/>
      </c>
    </row>
    <row r="93">
      <c r="A93" t="n">
        <v>509364</v>
      </c>
      <c r="B93" s="6" t="n">
        <v>45933</v>
      </c>
      <c r="C93" t="n">
        <v>12279</v>
      </c>
      <c r="D93" t="inlineStr">
        <is>
          <t>Gurugram</t>
        </is>
      </c>
      <c r="E93" t="inlineStr">
        <is>
          <t>North</t>
        </is>
      </c>
      <c r="F93" t="inlineStr">
        <is>
          <t>Paid Social</t>
        </is>
      </c>
      <c r="G93" t="inlineStr">
        <is>
          <t>Mobile Web</t>
        </is>
      </c>
      <c r="H93" t="inlineStr">
        <is>
          <t>UPI</t>
        </is>
      </c>
      <c r="I93" t="inlineStr">
        <is>
          <t>Returned</t>
        </is>
      </c>
      <c r="J93" t="n">
        <v>114</v>
      </c>
      <c r="K93" t="n">
        <v>2</v>
      </c>
      <c r="L93" t="n">
        <v>1259</v>
      </c>
      <c r="M93" t="n">
        <v>0</v>
      </c>
      <c r="N93">
        <f>VLOOKUP(J93,Products!$A$2:$C$49,3,FALSE)</f>
        <v/>
      </c>
      <c r="O93">
        <f>K93*L93-M93</f>
        <v/>
      </c>
      <c r="P93">
        <f>TEXT(B93,"yyyy-mm")</f>
        <v/>
      </c>
      <c r="Q93">
        <f>IF(O93&gt;=3000,"Large","Small")</f>
        <v/>
      </c>
      <c r="R93">
        <f>INDEX(Products!$F$2:$F$49,MATCH(J93,Products!$A$2:$A$49,0))</f>
        <v/>
      </c>
      <c r="S93">
        <f>WEEKDAY(B93,2)</f>
        <v/>
      </c>
    </row>
    <row r="94">
      <c r="A94" t="n">
        <v>509365</v>
      </c>
      <c r="B94" s="6" t="n">
        <v>45933</v>
      </c>
      <c r="C94" t="n">
        <v>16592</v>
      </c>
      <c r="D94" t="inlineStr">
        <is>
          <t>Chennai</t>
        </is>
      </c>
      <c r="E94" t="inlineStr">
        <is>
          <t>South</t>
        </is>
      </c>
      <c r="F94" t="inlineStr">
        <is>
          <t>Referral</t>
        </is>
      </c>
      <c r="G94" t="inlineStr">
        <is>
          <t>Mobile Web</t>
        </is>
      </c>
      <c r="H94" t="inlineStr">
        <is>
          <t>UPI</t>
        </is>
      </c>
      <c r="I94" t="inlineStr">
        <is>
          <t>Delivered</t>
        </is>
      </c>
      <c r="J94" t="n">
        <v>104</v>
      </c>
      <c r="K94" t="n">
        <v>3</v>
      </c>
      <c r="L94" t="n">
        <v>5249</v>
      </c>
      <c r="M94" t="n">
        <v>0</v>
      </c>
      <c r="N94">
        <f>VLOOKUP(J94,Products!$A$2:$C$49,3,FALSE)</f>
        <v/>
      </c>
      <c r="O94">
        <f>K94*L94-M94</f>
        <v/>
      </c>
      <c r="P94">
        <f>TEXT(B94,"yyyy-mm")</f>
        <v/>
      </c>
      <c r="Q94">
        <f>IF(O94&gt;=3000,"Large","Small")</f>
        <v/>
      </c>
      <c r="R94">
        <f>INDEX(Products!$F$2:$F$49,MATCH(J94,Products!$A$2:$A$49,0))</f>
        <v/>
      </c>
      <c r="S94">
        <f>WEEKDAY(B94,2)</f>
        <v/>
      </c>
    </row>
    <row r="95">
      <c r="A95" t="n">
        <v>509365</v>
      </c>
      <c r="B95" s="6" t="n">
        <v>45933</v>
      </c>
      <c r="C95" t="n">
        <v>16592</v>
      </c>
      <c r="D95" t="inlineStr">
        <is>
          <t>Chennai</t>
        </is>
      </c>
      <c r="E95" t="inlineStr">
        <is>
          <t>South</t>
        </is>
      </c>
      <c r="F95" t="inlineStr">
        <is>
          <t>Referral</t>
        </is>
      </c>
      <c r="G95" t="inlineStr">
        <is>
          <t>Mobile Web</t>
        </is>
      </c>
      <c r="H95" t="inlineStr">
        <is>
          <t>UPI</t>
        </is>
      </c>
      <c r="I95" t="inlineStr">
        <is>
          <t>Delivered</t>
        </is>
      </c>
      <c r="J95" t="n">
        <v>116</v>
      </c>
      <c r="K95" t="n">
        <v>3</v>
      </c>
      <c r="L95" t="n">
        <v>2624</v>
      </c>
      <c r="M95" t="n">
        <v>0</v>
      </c>
      <c r="N95">
        <f>VLOOKUP(J95,Products!$A$2:$C$49,3,FALSE)</f>
        <v/>
      </c>
      <c r="O95">
        <f>K95*L95-M95</f>
        <v/>
      </c>
      <c r="P95">
        <f>TEXT(B95,"yyyy-mm")</f>
        <v/>
      </c>
      <c r="Q95">
        <f>IF(O95&gt;=3000,"Large","Small")</f>
        <v/>
      </c>
      <c r="R95">
        <f>INDEX(Products!$F$2:$F$49,MATCH(J95,Products!$A$2:$A$49,0))</f>
        <v/>
      </c>
      <c r="S95">
        <f>WEEKDAY(B95,2)</f>
        <v/>
      </c>
    </row>
    <row r="96">
      <c r="A96" t="n">
        <v>509366</v>
      </c>
      <c r="B96" s="6" t="n">
        <v>45933</v>
      </c>
      <c r="C96" t="n">
        <v>16599</v>
      </c>
      <c r="D96" t="inlineStr">
        <is>
          <t>Mumbai</t>
        </is>
      </c>
      <c r="E96" t="inlineStr">
        <is>
          <t>West</t>
        </is>
      </c>
      <c r="F96" t="inlineStr">
        <is>
          <t>Paid Social</t>
        </is>
      </c>
      <c r="G96" t="inlineStr">
        <is>
          <t>Desktop</t>
        </is>
      </c>
      <c r="H96" t="inlineStr">
        <is>
          <t>Debit Card</t>
        </is>
      </c>
      <c r="I96" t="inlineStr">
        <is>
          <t>Delivered</t>
        </is>
      </c>
      <c r="J96" t="n">
        <v>135</v>
      </c>
      <c r="K96" t="n">
        <v>1</v>
      </c>
      <c r="L96" t="n">
        <v>1574</v>
      </c>
      <c r="M96" t="n">
        <v>78.7</v>
      </c>
      <c r="N96">
        <f>VLOOKUP(J96,Products!$A$2:$C$49,3,FALSE)</f>
        <v/>
      </c>
      <c r="O96">
        <f>K96*L96-M96</f>
        <v/>
      </c>
      <c r="P96">
        <f>TEXT(B96,"yyyy-mm")</f>
        <v/>
      </c>
      <c r="Q96">
        <f>IF(O96&gt;=3000,"Large","Small")</f>
        <v/>
      </c>
      <c r="R96">
        <f>INDEX(Products!$F$2:$F$49,MATCH(J96,Products!$A$2:$A$49,0))</f>
        <v/>
      </c>
      <c r="S96">
        <f>WEEKDAY(B96,2)</f>
        <v/>
      </c>
    </row>
    <row r="97">
      <c r="A97" t="n">
        <v>509367</v>
      </c>
      <c r="B97" s="6" t="n">
        <v>45933</v>
      </c>
      <c r="C97" t="n">
        <v>16130</v>
      </c>
      <c r="D97" t="inlineStr">
        <is>
          <t>Bengaluru</t>
        </is>
      </c>
      <c r="E97" t="inlineStr">
        <is>
          <t>South</t>
        </is>
      </c>
      <c r="F97" t="inlineStr">
        <is>
          <t>Paid Search</t>
        </is>
      </c>
      <c r="G97" t="inlineStr">
        <is>
          <t>Mobile Web</t>
        </is>
      </c>
      <c r="H97" t="inlineStr">
        <is>
          <t>UPI</t>
        </is>
      </c>
      <c r="I97" t="inlineStr">
        <is>
          <t>Delivered</t>
        </is>
      </c>
      <c r="J97" t="n">
        <v>138</v>
      </c>
      <c r="K97" t="n">
        <v>1</v>
      </c>
      <c r="L97" t="n">
        <v>419</v>
      </c>
      <c r="M97" t="n">
        <v>0</v>
      </c>
      <c r="N97">
        <f>VLOOKUP(J97,Products!$A$2:$C$49,3,FALSE)</f>
        <v/>
      </c>
      <c r="O97">
        <f>K97*L97-M97</f>
        <v/>
      </c>
      <c r="P97">
        <f>TEXT(B97,"yyyy-mm")</f>
        <v/>
      </c>
      <c r="Q97">
        <f>IF(O97&gt;=3000,"Large","Small")</f>
        <v/>
      </c>
      <c r="R97">
        <f>INDEX(Products!$F$2:$F$49,MATCH(J97,Products!$A$2:$A$49,0))</f>
        <v/>
      </c>
      <c r="S97">
        <f>WEEKDAY(B97,2)</f>
        <v/>
      </c>
    </row>
    <row r="98">
      <c r="A98" t="n">
        <v>509367</v>
      </c>
      <c r="B98" s="6" t="n">
        <v>45933</v>
      </c>
      <c r="C98" t="n">
        <v>16130</v>
      </c>
      <c r="D98" t="inlineStr">
        <is>
          <t>Bengaluru</t>
        </is>
      </c>
      <c r="E98" t="inlineStr">
        <is>
          <t>South</t>
        </is>
      </c>
      <c r="F98" t="inlineStr">
        <is>
          <t>Paid Search</t>
        </is>
      </c>
      <c r="G98" t="inlineStr">
        <is>
          <t>Mobile Web</t>
        </is>
      </c>
      <c r="H98" t="inlineStr">
        <is>
          <t>UPI</t>
        </is>
      </c>
      <c r="I98" t="inlineStr">
        <is>
          <t>Delivered</t>
        </is>
      </c>
      <c r="J98" t="n">
        <v>101</v>
      </c>
      <c r="K98" t="n">
        <v>1</v>
      </c>
      <c r="L98" t="n">
        <v>2099</v>
      </c>
      <c r="M98" t="n">
        <v>0</v>
      </c>
      <c r="N98">
        <f>VLOOKUP(J98,Products!$A$2:$C$49,3,FALSE)</f>
        <v/>
      </c>
      <c r="O98">
        <f>K98*L98-M98</f>
        <v/>
      </c>
      <c r="P98">
        <f>TEXT(B98,"yyyy-mm")</f>
        <v/>
      </c>
      <c r="Q98">
        <f>IF(O98&gt;=3000,"Large","Small")</f>
        <v/>
      </c>
      <c r="R98">
        <f>INDEX(Products!$F$2:$F$49,MATCH(J98,Products!$A$2:$A$49,0))</f>
        <v/>
      </c>
      <c r="S98">
        <f>WEEKDAY(B98,2)</f>
        <v/>
      </c>
    </row>
    <row r="99">
      <c r="A99" t="n">
        <v>509367</v>
      </c>
      <c r="B99" s="6" t="n">
        <v>45933</v>
      </c>
      <c r="C99" t="n">
        <v>16130</v>
      </c>
      <c r="D99" t="inlineStr">
        <is>
          <t>Bengaluru</t>
        </is>
      </c>
      <c r="E99" t="inlineStr">
        <is>
          <t>South</t>
        </is>
      </c>
      <c r="F99" t="inlineStr">
        <is>
          <t>Paid Search</t>
        </is>
      </c>
      <c r="G99" t="inlineStr">
        <is>
          <t>Mobile Web</t>
        </is>
      </c>
      <c r="H99" t="inlineStr">
        <is>
          <t>UPI</t>
        </is>
      </c>
      <c r="I99" t="inlineStr">
        <is>
          <t>Delivered</t>
        </is>
      </c>
      <c r="J99" t="n">
        <v>145</v>
      </c>
      <c r="K99" t="n">
        <v>1</v>
      </c>
      <c r="L99" t="n">
        <v>629</v>
      </c>
      <c r="M99" t="n">
        <v>0</v>
      </c>
      <c r="N99">
        <f>VLOOKUP(J99,Products!$A$2:$C$49,3,FALSE)</f>
        <v/>
      </c>
      <c r="O99">
        <f>K99*L99-M99</f>
        <v/>
      </c>
      <c r="P99">
        <f>TEXT(B99,"yyyy-mm")</f>
        <v/>
      </c>
      <c r="Q99">
        <f>IF(O99&gt;=3000,"Large","Small")</f>
        <v/>
      </c>
      <c r="R99">
        <f>INDEX(Products!$F$2:$F$49,MATCH(J99,Products!$A$2:$A$49,0))</f>
        <v/>
      </c>
      <c r="S99">
        <f>WEEKDAY(B99,2)</f>
        <v/>
      </c>
    </row>
    <row r="100">
      <c r="A100" t="n">
        <v>509368</v>
      </c>
      <c r="B100" s="6" t="n">
        <v>45933</v>
      </c>
      <c r="C100" t="n">
        <v>16526</v>
      </c>
      <c r="D100" t="inlineStr">
        <is>
          <t>Delhi</t>
        </is>
      </c>
      <c r="E100" t="inlineStr">
        <is>
          <t>North</t>
        </is>
      </c>
      <c r="F100" t="inlineStr">
        <is>
          <t>Organic Search</t>
        </is>
      </c>
      <c r="G100" t="inlineStr">
        <is>
          <t>Mobile App</t>
        </is>
      </c>
      <c r="H100" t="inlineStr">
        <is>
          <t>Cash on Delivery</t>
        </is>
      </c>
      <c r="I100" t="inlineStr">
        <is>
          <t>Cancelled</t>
        </is>
      </c>
      <c r="J100" t="n">
        <v>108</v>
      </c>
      <c r="K100" t="n">
        <v>1</v>
      </c>
      <c r="L100" t="n">
        <v>419</v>
      </c>
      <c r="M100" t="n">
        <v>0</v>
      </c>
      <c r="N100">
        <f>VLOOKUP(J100,Products!$A$2:$C$49,3,FALSE)</f>
        <v/>
      </c>
      <c r="O100">
        <f>K100*L100-M100</f>
        <v/>
      </c>
      <c r="P100">
        <f>TEXT(B100,"yyyy-mm")</f>
        <v/>
      </c>
      <c r="Q100">
        <f>IF(O100&gt;=3000,"Large","Small")</f>
        <v/>
      </c>
      <c r="R100">
        <f>INDEX(Products!$F$2:$F$49,MATCH(J100,Products!$A$2:$A$49,0))</f>
        <v/>
      </c>
      <c r="S100">
        <f>WEEKDAY(B100,2)</f>
        <v/>
      </c>
    </row>
    <row r="101">
      <c r="A101" t="n">
        <v>509369</v>
      </c>
      <c r="B101" s="6" t="n">
        <v>45933</v>
      </c>
      <c r="C101" t="n">
        <v>13620</v>
      </c>
      <c r="D101" t="inlineStr">
        <is>
          <t>Kochi</t>
        </is>
      </c>
      <c r="E101" t="inlineStr">
        <is>
          <t>South</t>
        </is>
      </c>
      <c r="F101" t="inlineStr">
        <is>
          <t>Organic Search</t>
        </is>
      </c>
      <c r="G101" t="inlineStr">
        <is>
          <t>Mobile App</t>
        </is>
      </c>
      <c r="H101" t="inlineStr">
        <is>
          <t>UPI</t>
        </is>
      </c>
      <c r="I101" t="inlineStr">
        <is>
          <t>Delivered</t>
        </is>
      </c>
      <c r="J101" t="n">
        <v>123</v>
      </c>
      <c r="K101" t="n">
        <v>1</v>
      </c>
      <c r="L101" t="n">
        <v>3464</v>
      </c>
      <c r="M101" t="n">
        <v>0</v>
      </c>
      <c r="N101">
        <f>VLOOKUP(J101,Products!$A$2:$C$49,3,FALSE)</f>
        <v/>
      </c>
      <c r="O101">
        <f>K101*L101-M101</f>
        <v/>
      </c>
      <c r="P101">
        <f>TEXT(B101,"yyyy-mm")</f>
        <v/>
      </c>
      <c r="Q101">
        <f>IF(O101&gt;=3000,"Large","Small")</f>
        <v/>
      </c>
      <c r="R101">
        <f>INDEX(Products!$F$2:$F$49,MATCH(J101,Products!$A$2:$A$49,0))</f>
        <v/>
      </c>
      <c r="S101">
        <f>WEEKDAY(B101,2)</f>
        <v/>
      </c>
    </row>
    <row r="102">
      <c r="A102" t="n">
        <v>509369</v>
      </c>
      <c r="B102" s="6" t="n">
        <v>45933</v>
      </c>
      <c r="C102" t="n">
        <v>13620</v>
      </c>
      <c r="D102" t="inlineStr">
        <is>
          <t>Kochi</t>
        </is>
      </c>
      <c r="E102" t="inlineStr">
        <is>
          <t>South</t>
        </is>
      </c>
      <c r="F102" t="inlineStr">
        <is>
          <t>Organic Search</t>
        </is>
      </c>
      <c r="G102" t="inlineStr">
        <is>
          <t>Mobile App</t>
        </is>
      </c>
      <c r="H102" t="inlineStr">
        <is>
          <t>UPI</t>
        </is>
      </c>
      <c r="I102" t="inlineStr">
        <is>
          <t>Delivered</t>
        </is>
      </c>
      <c r="J102" t="n">
        <v>116</v>
      </c>
      <c r="K102" t="n">
        <v>2</v>
      </c>
      <c r="L102" t="n">
        <v>2624</v>
      </c>
      <c r="M102" t="n">
        <v>0</v>
      </c>
      <c r="N102">
        <f>VLOOKUP(J102,Products!$A$2:$C$49,3,FALSE)</f>
        <v/>
      </c>
      <c r="O102">
        <f>K102*L102-M102</f>
        <v/>
      </c>
      <c r="P102">
        <f>TEXT(B102,"yyyy-mm")</f>
        <v/>
      </c>
      <c r="Q102">
        <f>IF(O102&gt;=3000,"Large","Small")</f>
        <v/>
      </c>
      <c r="R102">
        <f>INDEX(Products!$F$2:$F$49,MATCH(J102,Products!$A$2:$A$49,0))</f>
        <v/>
      </c>
      <c r="S102">
        <f>WEEKDAY(B102,2)</f>
        <v/>
      </c>
    </row>
    <row r="103">
      <c r="A103" t="n">
        <v>509370</v>
      </c>
      <c r="B103" s="6" t="n">
        <v>45933</v>
      </c>
      <c r="C103" t="n">
        <v>16594</v>
      </c>
      <c r="D103" t="inlineStr">
        <is>
          <t>Pune</t>
        </is>
      </c>
      <c r="E103" t="inlineStr">
        <is>
          <t>West</t>
        </is>
      </c>
      <c r="F103" t="inlineStr">
        <is>
          <t>Paid Search</t>
        </is>
      </c>
      <c r="G103" t="inlineStr">
        <is>
          <t>Mobile App</t>
        </is>
      </c>
      <c r="H103" t="inlineStr">
        <is>
          <t>UPI</t>
        </is>
      </c>
      <c r="I103" t="inlineStr">
        <is>
          <t>Delivered</t>
        </is>
      </c>
      <c r="J103" t="n">
        <v>126</v>
      </c>
      <c r="K103" t="n">
        <v>1</v>
      </c>
      <c r="L103" t="n">
        <v>471</v>
      </c>
      <c r="M103" t="n">
        <v>70.65000000000001</v>
      </c>
      <c r="N103">
        <f>VLOOKUP(J103,Products!$A$2:$C$49,3,FALSE)</f>
        <v/>
      </c>
      <c r="O103">
        <f>K103*L103-M103</f>
        <v/>
      </c>
      <c r="P103">
        <f>TEXT(B103,"yyyy-mm")</f>
        <v/>
      </c>
      <c r="Q103">
        <f>IF(O103&gt;=3000,"Large","Small")</f>
        <v/>
      </c>
      <c r="R103">
        <f>INDEX(Products!$F$2:$F$49,MATCH(J103,Products!$A$2:$A$49,0))</f>
        <v/>
      </c>
      <c r="S103">
        <f>WEEKDAY(B103,2)</f>
        <v/>
      </c>
    </row>
    <row r="104">
      <c r="A104" t="n">
        <v>509371</v>
      </c>
      <c r="B104" s="6" t="n">
        <v>45933</v>
      </c>
      <c r="C104" t="n">
        <v>16548</v>
      </c>
      <c r="D104" t="inlineStr">
        <is>
          <t>Delhi</t>
        </is>
      </c>
      <c r="E104" t="inlineStr">
        <is>
          <t>North</t>
        </is>
      </c>
      <c r="F104" t="inlineStr">
        <is>
          <t>Organic Search</t>
        </is>
      </c>
      <c r="G104" t="inlineStr">
        <is>
          <t>Mobile App</t>
        </is>
      </c>
      <c r="H104" t="inlineStr">
        <is>
          <t>Net Banking</t>
        </is>
      </c>
      <c r="I104" t="inlineStr">
        <is>
          <t>Delivered</t>
        </is>
      </c>
      <c r="J104" t="n">
        <v>137</v>
      </c>
      <c r="K104" t="n">
        <v>1</v>
      </c>
      <c r="L104" t="n">
        <v>261</v>
      </c>
      <c r="M104" t="n">
        <v>0</v>
      </c>
      <c r="N104">
        <f>VLOOKUP(J104,Products!$A$2:$C$49,3,FALSE)</f>
        <v/>
      </c>
      <c r="O104">
        <f>K104*L104-M104</f>
        <v/>
      </c>
      <c r="P104">
        <f>TEXT(B104,"yyyy-mm")</f>
        <v/>
      </c>
      <c r="Q104">
        <f>IF(O104&gt;=3000,"Large","Small")</f>
        <v/>
      </c>
      <c r="R104">
        <f>INDEX(Products!$F$2:$F$49,MATCH(J104,Products!$A$2:$A$49,0))</f>
        <v/>
      </c>
      <c r="S104">
        <f>WEEKDAY(B104,2)</f>
        <v/>
      </c>
    </row>
    <row r="105">
      <c r="A105" t="n">
        <v>509371</v>
      </c>
      <c r="B105" s="6" t="n">
        <v>45933</v>
      </c>
      <c r="C105" t="n">
        <v>16548</v>
      </c>
      <c r="D105" t="inlineStr">
        <is>
          <t>Delhi</t>
        </is>
      </c>
      <c r="E105" t="inlineStr">
        <is>
          <t>North</t>
        </is>
      </c>
      <c r="F105" t="inlineStr">
        <is>
          <t>Organic Search</t>
        </is>
      </c>
      <c r="G105" t="inlineStr">
        <is>
          <t>Mobile App</t>
        </is>
      </c>
      <c r="H105" t="inlineStr">
        <is>
          <t>Net Banking</t>
        </is>
      </c>
      <c r="I105" t="inlineStr">
        <is>
          <t>Delivered</t>
        </is>
      </c>
      <c r="J105" t="n">
        <v>123</v>
      </c>
      <c r="K105" t="n">
        <v>1</v>
      </c>
      <c r="L105" t="n">
        <v>3464</v>
      </c>
      <c r="M105" t="n">
        <v>0</v>
      </c>
      <c r="N105">
        <f>VLOOKUP(J105,Products!$A$2:$C$49,3,FALSE)</f>
        <v/>
      </c>
      <c r="O105">
        <f>K105*L105-M105</f>
        <v/>
      </c>
      <c r="P105">
        <f>TEXT(B105,"yyyy-mm")</f>
        <v/>
      </c>
      <c r="Q105">
        <f>IF(O105&gt;=3000,"Large","Small")</f>
        <v/>
      </c>
      <c r="R105">
        <f>INDEX(Products!$F$2:$F$49,MATCH(J105,Products!$A$2:$A$49,0))</f>
        <v/>
      </c>
      <c r="S105">
        <f>WEEKDAY(B105,2)</f>
        <v/>
      </c>
    </row>
    <row r="106">
      <c r="A106" t="n">
        <v>509371</v>
      </c>
      <c r="B106" s="6" t="n">
        <v>45933</v>
      </c>
      <c r="C106" t="n">
        <v>16548</v>
      </c>
      <c r="D106" t="inlineStr">
        <is>
          <t>Delhi</t>
        </is>
      </c>
      <c r="E106" t="inlineStr">
        <is>
          <t>North</t>
        </is>
      </c>
      <c r="F106" t="inlineStr">
        <is>
          <t>Organic Search</t>
        </is>
      </c>
      <c r="G106" t="inlineStr">
        <is>
          <t>Mobile App</t>
        </is>
      </c>
      <c r="H106" t="inlineStr">
        <is>
          <t>Net Banking</t>
        </is>
      </c>
      <c r="I106" t="inlineStr">
        <is>
          <t>Delivered</t>
        </is>
      </c>
      <c r="J106" t="n">
        <v>116</v>
      </c>
      <c r="K106" t="n">
        <v>1</v>
      </c>
      <c r="L106" t="n">
        <v>2624</v>
      </c>
      <c r="M106" t="n">
        <v>0</v>
      </c>
      <c r="N106">
        <f>VLOOKUP(J106,Products!$A$2:$C$49,3,FALSE)</f>
        <v/>
      </c>
      <c r="O106">
        <f>K106*L106-M106</f>
        <v/>
      </c>
      <c r="P106">
        <f>TEXT(B106,"yyyy-mm")</f>
        <v/>
      </c>
      <c r="Q106">
        <f>IF(O106&gt;=3000,"Large","Small")</f>
        <v/>
      </c>
      <c r="R106">
        <f>INDEX(Products!$F$2:$F$49,MATCH(J106,Products!$A$2:$A$49,0))</f>
        <v/>
      </c>
      <c r="S106">
        <f>WEEKDAY(B106,2)</f>
        <v/>
      </c>
    </row>
    <row r="107">
      <c r="A107" t="n">
        <v>509371</v>
      </c>
      <c r="B107" s="6" t="n">
        <v>45933</v>
      </c>
      <c r="C107" t="n">
        <v>16548</v>
      </c>
      <c r="D107" t="inlineStr">
        <is>
          <t>Delhi</t>
        </is>
      </c>
      <c r="E107" t="inlineStr">
        <is>
          <t>North</t>
        </is>
      </c>
      <c r="F107" t="inlineStr">
        <is>
          <t>Organic Search</t>
        </is>
      </c>
      <c r="G107" t="inlineStr">
        <is>
          <t>Mobile App</t>
        </is>
      </c>
      <c r="H107" t="inlineStr">
        <is>
          <t>Net Banking</t>
        </is>
      </c>
      <c r="I107" t="inlineStr">
        <is>
          <t>Delivered</t>
        </is>
      </c>
      <c r="J107" t="n">
        <v>117</v>
      </c>
      <c r="K107" t="n">
        <v>2</v>
      </c>
      <c r="L107" t="n">
        <v>3149</v>
      </c>
      <c r="M107" t="n">
        <v>0</v>
      </c>
      <c r="N107">
        <f>VLOOKUP(J107,Products!$A$2:$C$49,3,FALSE)</f>
        <v/>
      </c>
      <c r="O107">
        <f>K107*L107-M107</f>
        <v/>
      </c>
      <c r="P107">
        <f>TEXT(B107,"yyyy-mm")</f>
        <v/>
      </c>
      <c r="Q107">
        <f>IF(O107&gt;=3000,"Large","Small")</f>
        <v/>
      </c>
      <c r="R107">
        <f>INDEX(Products!$F$2:$F$49,MATCH(J107,Products!$A$2:$A$49,0))</f>
        <v/>
      </c>
      <c r="S107">
        <f>WEEKDAY(B107,2)</f>
        <v/>
      </c>
    </row>
    <row r="108">
      <c r="A108" t="n">
        <v>509372</v>
      </c>
      <c r="B108" s="6" t="n">
        <v>45933</v>
      </c>
      <c r="C108" t="n">
        <v>16454</v>
      </c>
      <c r="D108" t="inlineStr">
        <is>
          <t>Mumbai</t>
        </is>
      </c>
      <c r="E108" t="inlineStr">
        <is>
          <t>West</t>
        </is>
      </c>
      <c r="F108" t="inlineStr">
        <is>
          <t>Email</t>
        </is>
      </c>
      <c r="G108" t="inlineStr">
        <is>
          <t>Mobile Web</t>
        </is>
      </c>
      <c r="H108" t="inlineStr">
        <is>
          <t>Credit Card</t>
        </is>
      </c>
      <c r="I108" t="inlineStr">
        <is>
          <t>Delivered</t>
        </is>
      </c>
      <c r="J108" t="n">
        <v>132</v>
      </c>
      <c r="K108" t="n">
        <v>1</v>
      </c>
      <c r="L108" t="n">
        <v>471</v>
      </c>
      <c r="M108" t="n">
        <v>70.65000000000001</v>
      </c>
      <c r="N108">
        <f>VLOOKUP(J108,Products!$A$2:$C$49,3,FALSE)</f>
        <v/>
      </c>
      <c r="O108">
        <f>K108*L108-M108</f>
        <v/>
      </c>
      <c r="P108">
        <f>TEXT(B108,"yyyy-mm")</f>
        <v/>
      </c>
      <c r="Q108">
        <f>IF(O108&gt;=3000,"Large","Small")</f>
        <v/>
      </c>
      <c r="R108">
        <f>INDEX(Products!$F$2:$F$49,MATCH(J108,Products!$A$2:$A$49,0))</f>
        <v/>
      </c>
      <c r="S108">
        <f>WEEKDAY(B108,2)</f>
        <v/>
      </c>
    </row>
    <row r="109">
      <c r="A109" t="n">
        <v>509373</v>
      </c>
      <c r="B109" s="6" t="n">
        <v>45933</v>
      </c>
      <c r="C109" t="n">
        <v>13773</v>
      </c>
      <c r="D109" t="inlineStr">
        <is>
          <t>Jaipur</t>
        </is>
      </c>
      <c r="E109" t="inlineStr">
        <is>
          <t>North</t>
        </is>
      </c>
      <c r="F109" t="inlineStr">
        <is>
          <t>Organic Search</t>
        </is>
      </c>
      <c r="G109" t="inlineStr">
        <is>
          <t>Mobile Web</t>
        </is>
      </c>
      <c r="H109" t="inlineStr">
        <is>
          <t>UPI</t>
        </is>
      </c>
      <c r="I109" t="inlineStr">
        <is>
          <t>Delivered</t>
        </is>
      </c>
      <c r="J109" t="n">
        <v>113</v>
      </c>
      <c r="K109" t="n">
        <v>1</v>
      </c>
      <c r="L109" t="n">
        <v>1364</v>
      </c>
      <c r="M109" t="n">
        <v>0</v>
      </c>
      <c r="N109">
        <f>VLOOKUP(J109,Products!$A$2:$C$49,3,FALSE)</f>
        <v/>
      </c>
      <c r="O109">
        <f>K109*L109-M109</f>
        <v/>
      </c>
      <c r="P109">
        <f>TEXT(B109,"yyyy-mm")</f>
        <v/>
      </c>
      <c r="Q109">
        <f>IF(O109&gt;=3000,"Large","Small")</f>
        <v/>
      </c>
      <c r="R109">
        <f>INDEX(Products!$F$2:$F$49,MATCH(J109,Products!$A$2:$A$49,0))</f>
        <v/>
      </c>
      <c r="S109">
        <f>WEEKDAY(B109,2)</f>
        <v/>
      </c>
    </row>
    <row r="110">
      <c r="A110" t="n">
        <v>509374</v>
      </c>
      <c r="B110" s="6" t="n">
        <v>45933</v>
      </c>
      <c r="C110" t="n">
        <v>12868</v>
      </c>
      <c r="D110" t="inlineStr">
        <is>
          <t>Delhi</t>
        </is>
      </c>
      <c r="E110" t="inlineStr">
        <is>
          <t>North</t>
        </is>
      </c>
      <c r="F110" t="inlineStr">
        <is>
          <t>Email</t>
        </is>
      </c>
      <c r="G110" t="inlineStr">
        <is>
          <t>Mobile App</t>
        </is>
      </c>
      <c r="H110" t="inlineStr">
        <is>
          <t>UPI</t>
        </is>
      </c>
      <c r="I110" t="inlineStr">
        <is>
          <t>Delivered</t>
        </is>
      </c>
      <c r="J110" t="n">
        <v>120</v>
      </c>
      <c r="K110" t="n">
        <v>1</v>
      </c>
      <c r="L110" t="n">
        <v>734</v>
      </c>
      <c r="M110" t="n">
        <v>0</v>
      </c>
      <c r="N110">
        <f>VLOOKUP(J110,Products!$A$2:$C$49,3,FALSE)</f>
        <v/>
      </c>
      <c r="O110">
        <f>K110*L110-M110</f>
        <v/>
      </c>
      <c r="P110">
        <f>TEXT(B110,"yyyy-mm")</f>
        <v/>
      </c>
      <c r="Q110">
        <f>IF(O110&gt;=3000,"Large","Small")</f>
        <v/>
      </c>
      <c r="R110">
        <f>INDEX(Products!$F$2:$F$49,MATCH(J110,Products!$A$2:$A$49,0))</f>
        <v/>
      </c>
      <c r="S110">
        <f>WEEKDAY(B110,2)</f>
        <v/>
      </c>
    </row>
    <row r="111">
      <c r="A111" t="n">
        <v>509375</v>
      </c>
      <c r="B111" s="6" t="n">
        <v>45933</v>
      </c>
      <c r="C111" t="n">
        <v>16549</v>
      </c>
      <c r="D111" t="inlineStr">
        <is>
          <t>Ahmedabad</t>
        </is>
      </c>
      <c r="E111" t="inlineStr">
        <is>
          <t>West</t>
        </is>
      </c>
      <c r="F111" t="inlineStr">
        <is>
          <t>Organic Search</t>
        </is>
      </c>
      <c r="G111" t="inlineStr">
        <is>
          <t>Mobile App</t>
        </is>
      </c>
      <c r="H111" t="inlineStr">
        <is>
          <t>Debit Card</t>
        </is>
      </c>
      <c r="I111" t="inlineStr">
        <is>
          <t>Delivered</t>
        </is>
      </c>
      <c r="J111" t="n">
        <v>144</v>
      </c>
      <c r="K111" t="n">
        <v>1</v>
      </c>
      <c r="L111" t="n">
        <v>3149</v>
      </c>
      <c r="M111" t="n">
        <v>0</v>
      </c>
      <c r="N111">
        <f>VLOOKUP(J111,Products!$A$2:$C$49,3,FALSE)</f>
        <v/>
      </c>
      <c r="O111">
        <f>K111*L111-M111</f>
        <v/>
      </c>
      <c r="P111">
        <f>TEXT(B111,"yyyy-mm")</f>
        <v/>
      </c>
      <c r="Q111">
        <f>IF(O111&gt;=3000,"Large","Small")</f>
        <v/>
      </c>
      <c r="R111">
        <f>INDEX(Products!$F$2:$F$49,MATCH(J111,Products!$A$2:$A$49,0))</f>
        <v/>
      </c>
      <c r="S111">
        <f>WEEKDAY(B111,2)</f>
        <v/>
      </c>
    </row>
    <row r="112">
      <c r="A112" t="n">
        <v>509376</v>
      </c>
      <c r="B112" s="6" t="n">
        <v>45933</v>
      </c>
      <c r="C112" t="n">
        <v>16487</v>
      </c>
      <c r="D112" t="inlineStr">
        <is>
          <t>Jaipur</t>
        </is>
      </c>
      <c r="E112" t="inlineStr">
        <is>
          <t>North</t>
        </is>
      </c>
      <c r="F112" t="inlineStr">
        <is>
          <t>Referral</t>
        </is>
      </c>
      <c r="G112" t="inlineStr">
        <is>
          <t>Mobile App</t>
        </is>
      </c>
      <c r="H112" t="inlineStr">
        <is>
          <t>Credit Card</t>
        </is>
      </c>
      <c r="I112" t="inlineStr">
        <is>
          <t>Delivered</t>
        </is>
      </c>
      <c r="J112" t="n">
        <v>118</v>
      </c>
      <c r="K112" t="n">
        <v>1</v>
      </c>
      <c r="L112" t="n">
        <v>944</v>
      </c>
      <c r="M112" t="n">
        <v>141.6</v>
      </c>
      <c r="N112">
        <f>VLOOKUP(J112,Products!$A$2:$C$49,3,FALSE)</f>
        <v/>
      </c>
      <c r="O112">
        <f>K112*L112-M112</f>
        <v/>
      </c>
      <c r="P112">
        <f>TEXT(B112,"yyyy-mm")</f>
        <v/>
      </c>
      <c r="Q112">
        <f>IF(O112&gt;=3000,"Large","Small")</f>
        <v/>
      </c>
      <c r="R112">
        <f>INDEX(Products!$F$2:$F$49,MATCH(J112,Products!$A$2:$A$49,0))</f>
        <v/>
      </c>
      <c r="S112">
        <f>WEEKDAY(B112,2)</f>
        <v/>
      </c>
    </row>
    <row r="113">
      <c r="A113" t="n">
        <v>509377</v>
      </c>
      <c r="B113" s="6" t="n">
        <v>45934</v>
      </c>
      <c r="C113" t="n">
        <v>14912</v>
      </c>
      <c r="D113" t="inlineStr">
        <is>
          <t>Hyderabad</t>
        </is>
      </c>
      <c r="E113" t="inlineStr">
        <is>
          <t>South</t>
        </is>
      </c>
      <c r="F113" t="inlineStr">
        <is>
          <t>Referral</t>
        </is>
      </c>
      <c r="G113" t="inlineStr">
        <is>
          <t>Desktop</t>
        </is>
      </c>
      <c r="H113" t="inlineStr">
        <is>
          <t>UPI</t>
        </is>
      </c>
      <c r="I113" t="inlineStr">
        <is>
          <t>Delivered</t>
        </is>
      </c>
      <c r="J113" t="n">
        <v>138</v>
      </c>
      <c r="K113" t="n">
        <v>1</v>
      </c>
      <c r="L113" t="n">
        <v>419</v>
      </c>
      <c r="M113" t="n">
        <v>0</v>
      </c>
      <c r="N113">
        <f>VLOOKUP(J113,Products!$A$2:$C$49,3,FALSE)</f>
        <v/>
      </c>
      <c r="O113">
        <f>K113*L113-M113</f>
        <v/>
      </c>
      <c r="P113">
        <f>TEXT(B113,"yyyy-mm")</f>
        <v/>
      </c>
      <c r="Q113">
        <f>IF(O113&gt;=3000,"Large","Small")</f>
        <v/>
      </c>
      <c r="R113">
        <f>INDEX(Products!$F$2:$F$49,MATCH(J113,Products!$A$2:$A$49,0))</f>
        <v/>
      </c>
      <c r="S113">
        <f>WEEKDAY(B113,2)</f>
        <v/>
      </c>
    </row>
    <row r="114">
      <c r="A114" t="n">
        <v>509378</v>
      </c>
      <c r="B114" s="6" t="n">
        <v>45934</v>
      </c>
      <c r="C114" t="n">
        <v>16530</v>
      </c>
      <c r="D114" t="inlineStr">
        <is>
          <t>Kolkata</t>
        </is>
      </c>
      <c r="E114" t="inlineStr">
        <is>
          <t>East</t>
        </is>
      </c>
      <c r="F114" t="inlineStr">
        <is>
          <t>Paid Social</t>
        </is>
      </c>
      <c r="G114" t="inlineStr">
        <is>
          <t>Mobile Web</t>
        </is>
      </c>
      <c r="H114" t="inlineStr">
        <is>
          <t>UPI</t>
        </is>
      </c>
      <c r="I114" t="inlineStr">
        <is>
          <t>Cancelled</t>
        </is>
      </c>
      <c r="J114" t="n">
        <v>108</v>
      </c>
      <c r="K114" t="n">
        <v>1</v>
      </c>
      <c r="L114" t="n">
        <v>419</v>
      </c>
      <c r="M114" t="n">
        <v>62.85</v>
      </c>
      <c r="N114">
        <f>VLOOKUP(J114,Products!$A$2:$C$49,3,FALSE)</f>
        <v/>
      </c>
      <c r="O114">
        <f>K114*L114-M114</f>
        <v/>
      </c>
      <c r="P114">
        <f>TEXT(B114,"yyyy-mm")</f>
        <v/>
      </c>
      <c r="Q114">
        <f>IF(O114&gt;=3000,"Large","Small")</f>
        <v/>
      </c>
      <c r="R114">
        <f>INDEX(Products!$F$2:$F$49,MATCH(J114,Products!$A$2:$A$49,0))</f>
        <v/>
      </c>
      <c r="S114">
        <f>WEEKDAY(B114,2)</f>
        <v/>
      </c>
    </row>
    <row r="115">
      <c r="A115" t="n">
        <v>509378</v>
      </c>
      <c r="B115" s="6" t="n">
        <v>45934</v>
      </c>
      <c r="C115" t="n">
        <v>16530</v>
      </c>
      <c r="D115" t="inlineStr">
        <is>
          <t>Kolkata</t>
        </is>
      </c>
      <c r="E115" t="inlineStr">
        <is>
          <t>East</t>
        </is>
      </c>
      <c r="F115" t="inlineStr">
        <is>
          <t>Paid Social</t>
        </is>
      </c>
      <c r="G115" t="inlineStr">
        <is>
          <t>Mobile Web</t>
        </is>
      </c>
      <c r="H115" t="inlineStr">
        <is>
          <t>UPI</t>
        </is>
      </c>
      <c r="I115" t="inlineStr">
        <is>
          <t>Cancelled</t>
        </is>
      </c>
      <c r="J115" t="n">
        <v>135</v>
      </c>
      <c r="K115" t="n">
        <v>1</v>
      </c>
      <c r="L115" t="n">
        <v>1574</v>
      </c>
      <c r="M115" t="n">
        <v>236.1</v>
      </c>
      <c r="N115">
        <f>VLOOKUP(J115,Products!$A$2:$C$49,3,FALSE)</f>
        <v/>
      </c>
      <c r="O115">
        <f>K115*L115-M115</f>
        <v/>
      </c>
      <c r="P115">
        <f>TEXT(B115,"yyyy-mm")</f>
        <v/>
      </c>
      <c r="Q115">
        <f>IF(O115&gt;=3000,"Large","Small")</f>
        <v/>
      </c>
      <c r="R115">
        <f>INDEX(Products!$F$2:$F$49,MATCH(J115,Products!$A$2:$A$49,0))</f>
        <v/>
      </c>
      <c r="S115">
        <f>WEEKDAY(B115,2)</f>
        <v/>
      </c>
    </row>
    <row r="116">
      <c r="A116" t="n">
        <v>509378</v>
      </c>
      <c r="B116" s="6" t="n">
        <v>45934</v>
      </c>
      <c r="C116" t="n">
        <v>16530</v>
      </c>
      <c r="D116" t="inlineStr">
        <is>
          <t>Kolkata</t>
        </is>
      </c>
      <c r="E116" t="inlineStr">
        <is>
          <t>East</t>
        </is>
      </c>
      <c r="F116" t="inlineStr">
        <is>
          <t>Paid Social</t>
        </is>
      </c>
      <c r="G116" t="inlineStr">
        <is>
          <t>Mobile Web</t>
        </is>
      </c>
      <c r="H116" t="inlineStr">
        <is>
          <t>UPI</t>
        </is>
      </c>
      <c r="I116" t="inlineStr">
        <is>
          <t>Cancelled</t>
        </is>
      </c>
      <c r="J116" t="n">
        <v>137</v>
      </c>
      <c r="K116" t="n">
        <v>1</v>
      </c>
      <c r="L116" t="n">
        <v>261</v>
      </c>
      <c r="M116" t="n">
        <v>39.15</v>
      </c>
      <c r="N116">
        <f>VLOOKUP(J116,Products!$A$2:$C$49,3,FALSE)</f>
        <v/>
      </c>
      <c r="O116">
        <f>K116*L116-M116</f>
        <v/>
      </c>
      <c r="P116">
        <f>TEXT(B116,"yyyy-mm")</f>
        <v/>
      </c>
      <c r="Q116">
        <f>IF(O116&gt;=3000,"Large","Small")</f>
        <v/>
      </c>
      <c r="R116">
        <f>INDEX(Products!$F$2:$F$49,MATCH(J116,Products!$A$2:$A$49,0))</f>
        <v/>
      </c>
      <c r="S116">
        <f>WEEKDAY(B116,2)</f>
        <v/>
      </c>
    </row>
    <row r="117">
      <c r="A117" t="n">
        <v>509379</v>
      </c>
      <c r="B117" s="6" t="n">
        <v>45934</v>
      </c>
      <c r="C117" t="n">
        <v>15062</v>
      </c>
      <c r="D117" t="inlineStr">
        <is>
          <t>Chennai</t>
        </is>
      </c>
      <c r="E117" t="inlineStr">
        <is>
          <t>South</t>
        </is>
      </c>
      <c r="F117" t="inlineStr">
        <is>
          <t>Paid Search</t>
        </is>
      </c>
      <c r="G117" t="inlineStr">
        <is>
          <t>Desktop</t>
        </is>
      </c>
      <c r="H117" t="inlineStr">
        <is>
          <t>UPI</t>
        </is>
      </c>
      <c r="I117" t="inlineStr">
        <is>
          <t>Delivered</t>
        </is>
      </c>
      <c r="J117" t="n">
        <v>134</v>
      </c>
      <c r="K117" t="n">
        <v>1</v>
      </c>
      <c r="L117" t="n">
        <v>209</v>
      </c>
      <c r="M117" t="n">
        <v>0</v>
      </c>
      <c r="N117">
        <f>VLOOKUP(J117,Products!$A$2:$C$49,3,FALSE)</f>
        <v/>
      </c>
      <c r="O117">
        <f>K117*L117-M117</f>
        <v/>
      </c>
      <c r="P117">
        <f>TEXT(B117,"yyyy-mm")</f>
        <v/>
      </c>
      <c r="Q117">
        <f>IF(O117&gt;=3000,"Large","Small")</f>
        <v/>
      </c>
      <c r="R117">
        <f>INDEX(Products!$F$2:$F$49,MATCH(J117,Products!$A$2:$A$49,0))</f>
        <v/>
      </c>
      <c r="S117">
        <f>WEEKDAY(B117,2)</f>
        <v/>
      </c>
    </row>
    <row r="118">
      <c r="A118" t="n">
        <v>509380</v>
      </c>
      <c r="B118" s="6" t="n">
        <v>45934</v>
      </c>
      <c r="C118" t="n">
        <v>16574</v>
      </c>
      <c r="D118" t="inlineStr">
        <is>
          <t>Hyderabad</t>
        </is>
      </c>
      <c r="E118" t="inlineStr">
        <is>
          <t>South</t>
        </is>
      </c>
      <c r="F118" t="inlineStr">
        <is>
          <t>Paid Social</t>
        </is>
      </c>
      <c r="G118" t="inlineStr">
        <is>
          <t>Desktop</t>
        </is>
      </c>
      <c r="H118" t="inlineStr">
        <is>
          <t>Credit Card</t>
        </is>
      </c>
      <c r="I118" t="inlineStr">
        <is>
          <t>Delivered</t>
        </is>
      </c>
      <c r="J118" t="n">
        <v>131</v>
      </c>
      <c r="K118" t="n">
        <v>2</v>
      </c>
      <c r="L118" t="n">
        <v>314</v>
      </c>
      <c r="M118" t="n">
        <v>94.2</v>
      </c>
      <c r="N118">
        <f>VLOOKUP(J118,Products!$A$2:$C$49,3,FALSE)</f>
        <v/>
      </c>
      <c r="O118">
        <f>K118*L118-M118</f>
        <v/>
      </c>
      <c r="P118">
        <f>TEXT(B118,"yyyy-mm")</f>
        <v/>
      </c>
      <c r="Q118">
        <f>IF(O118&gt;=3000,"Large","Small")</f>
        <v/>
      </c>
      <c r="R118">
        <f>INDEX(Products!$F$2:$F$49,MATCH(J118,Products!$A$2:$A$49,0))</f>
        <v/>
      </c>
      <c r="S118">
        <f>WEEKDAY(B118,2)</f>
        <v/>
      </c>
    </row>
    <row r="119">
      <c r="A119" t="n">
        <v>509380</v>
      </c>
      <c r="B119" s="6" t="n">
        <v>45934</v>
      </c>
      <c r="C119" t="n">
        <v>16574</v>
      </c>
      <c r="D119" t="inlineStr">
        <is>
          <t>Hyderabad</t>
        </is>
      </c>
      <c r="E119" t="inlineStr">
        <is>
          <t>South</t>
        </is>
      </c>
      <c r="F119" t="inlineStr">
        <is>
          <t>Paid Social</t>
        </is>
      </c>
      <c r="G119" t="inlineStr">
        <is>
          <t>Desktop</t>
        </is>
      </c>
      <c r="H119" t="inlineStr">
        <is>
          <t>Credit Card</t>
        </is>
      </c>
      <c r="I119" t="inlineStr">
        <is>
          <t>Delivered</t>
        </is>
      </c>
      <c r="J119" t="n">
        <v>111</v>
      </c>
      <c r="K119" t="n">
        <v>1</v>
      </c>
      <c r="L119" t="n">
        <v>524</v>
      </c>
      <c r="M119" t="n">
        <v>78.59999999999999</v>
      </c>
      <c r="N119">
        <f>VLOOKUP(J119,Products!$A$2:$C$49,3,FALSE)</f>
        <v/>
      </c>
      <c r="O119">
        <f>K119*L119-M119</f>
        <v/>
      </c>
      <c r="P119">
        <f>TEXT(B119,"yyyy-mm")</f>
        <v/>
      </c>
      <c r="Q119">
        <f>IF(O119&gt;=3000,"Large","Small")</f>
        <v/>
      </c>
      <c r="R119">
        <f>INDEX(Products!$F$2:$F$49,MATCH(J119,Products!$A$2:$A$49,0))</f>
        <v/>
      </c>
      <c r="S119">
        <f>WEEKDAY(B119,2)</f>
        <v/>
      </c>
    </row>
    <row r="120">
      <c r="A120" t="n">
        <v>509381</v>
      </c>
      <c r="B120" s="6" t="n">
        <v>45934</v>
      </c>
      <c r="C120" t="n">
        <v>16593</v>
      </c>
      <c r="D120" t="inlineStr">
        <is>
          <t>Mumbai</t>
        </is>
      </c>
      <c r="E120" t="inlineStr">
        <is>
          <t>West</t>
        </is>
      </c>
      <c r="F120" t="inlineStr">
        <is>
          <t>Referral</t>
        </is>
      </c>
      <c r="G120" t="inlineStr">
        <is>
          <t>Mobile Web</t>
        </is>
      </c>
      <c r="H120" t="inlineStr">
        <is>
          <t>Cash on Delivery</t>
        </is>
      </c>
      <c r="I120" t="inlineStr">
        <is>
          <t>Returned</t>
        </is>
      </c>
      <c r="J120" t="n">
        <v>148</v>
      </c>
      <c r="K120" t="n">
        <v>1</v>
      </c>
      <c r="L120" t="n">
        <v>734</v>
      </c>
      <c r="M120" t="n">
        <v>0</v>
      </c>
      <c r="N120">
        <f>VLOOKUP(J120,Products!$A$2:$C$49,3,FALSE)</f>
        <v/>
      </c>
      <c r="O120">
        <f>K120*L120-M120</f>
        <v/>
      </c>
      <c r="P120">
        <f>TEXT(B120,"yyyy-mm")</f>
        <v/>
      </c>
      <c r="Q120">
        <f>IF(O120&gt;=3000,"Large","Small")</f>
        <v/>
      </c>
      <c r="R120">
        <f>INDEX(Products!$F$2:$F$49,MATCH(J120,Products!$A$2:$A$49,0))</f>
        <v/>
      </c>
      <c r="S120">
        <f>WEEKDAY(B120,2)</f>
        <v/>
      </c>
    </row>
    <row r="121">
      <c r="A121" t="n">
        <v>509382</v>
      </c>
      <c r="B121" s="6" t="n">
        <v>45934</v>
      </c>
      <c r="C121" t="n">
        <v>11263</v>
      </c>
      <c r="D121" t="inlineStr">
        <is>
          <t>Ahmedabad</t>
        </is>
      </c>
      <c r="E121" t="inlineStr">
        <is>
          <t>West</t>
        </is>
      </c>
      <c r="F121" t="inlineStr">
        <is>
          <t>Organic Search</t>
        </is>
      </c>
      <c r="G121" t="inlineStr">
        <is>
          <t>Mobile Web</t>
        </is>
      </c>
      <c r="H121" t="inlineStr">
        <is>
          <t>Cash on Delivery</t>
        </is>
      </c>
      <c r="I121" t="inlineStr">
        <is>
          <t>Delivered</t>
        </is>
      </c>
      <c r="J121" t="n">
        <v>121</v>
      </c>
      <c r="K121" t="n">
        <v>1</v>
      </c>
      <c r="L121" t="n">
        <v>2939</v>
      </c>
      <c r="M121" t="n">
        <v>0</v>
      </c>
      <c r="N121">
        <f>VLOOKUP(J121,Products!$A$2:$C$49,3,FALSE)</f>
        <v/>
      </c>
      <c r="O121">
        <f>K121*L121-M121</f>
        <v/>
      </c>
      <c r="P121">
        <f>TEXT(B121,"yyyy-mm")</f>
        <v/>
      </c>
      <c r="Q121">
        <f>IF(O121&gt;=3000,"Large","Small")</f>
        <v/>
      </c>
      <c r="R121">
        <f>INDEX(Products!$F$2:$F$49,MATCH(J121,Products!$A$2:$A$49,0))</f>
        <v/>
      </c>
      <c r="S121">
        <f>WEEKDAY(B121,2)</f>
        <v/>
      </c>
    </row>
    <row r="122">
      <c r="A122" t="n">
        <v>509383</v>
      </c>
      <c r="B122" s="6" t="n">
        <v>45934</v>
      </c>
      <c r="C122" t="n">
        <v>16281</v>
      </c>
      <c r="D122" t="inlineStr">
        <is>
          <t>Mumbai</t>
        </is>
      </c>
      <c r="E122" t="inlineStr">
        <is>
          <t>West</t>
        </is>
      </c>
      <c r="F122" t="inlineStr">
        <is>
          <t>Organic Search</t>
        </is>
      </c>
      <c r="G122" t="inlineStr">
        <is>
          <t>Mobile Web</t>
        </is>
      </c>
      <c r="H122" t="inlineStr">
        <is>
          <t>UPI</t>
        </is>
      </c>
      <c r="I122" t="inlineStr">
        <is>
          <t>Delivered</t>
        </is>
      </c>
      <c r="J122" t="n">
        <v>128</v>
      </c>
      <c r="K122" t="n">
        <v>1</v>
      </c>
      <c r="L122" t="n">
        <v>1049</v>
      </c>
      <c r="M122" t="n">
        <v>0</v>
      </c>
      <c r="N122">
        <f>VLOOKUP(J122,Products!$A$2:$C$49,3,FALSE)</f>
        <v/>
      </c>
      <c r="O122">
        <f>K122*L122-M122</f>
        <v/>
      </c>
      <c r="P122">
        <f>TEXT(B122,"yyyy-mm")</f>
        <v/>
      </c>
      <c r="Q122">
        <f>IF(O122&gt;=3000,"Large","Small")</f>
        <v/>
      </c>
      <c r="R122">
        <f>INDEX(Products!$F$2:$F$49,MATCH(J122,Products!$A$2:$A$49,0))</f>
        <v/>
      </c>
      <c r="S122">
        <f>WEEKDAY(B122,2)</f>
        <v/>
      </c>
    </row>
    <row r="123">
      <c r="A123" t="n">
        <v>509383</v>
      </c>
      <c r="B123" s="6" t="n">
        <v>45934</v>
      </c>
      <c r="C123" t="n">
        <v>16281</v>
      </c>
      <c r="D123" t="inlineStr">
        <is>
          <t>Mumbai</t>
        </is>
      </c>
      <c r="E123" t="inlineStr">
        <is>
          <t>West</t>
        </is>
      </c>
      <c r="F123" t="inlineStr">
        <is>
          <t>Organic Search</t>
        </is>
      </c>
      <c r="G123" t="inlineStr">
        <is>
          <t>Mobile Web</t>
        </is>
      </c>
      <c r="H123" t="inlineStr">
        <is>
          <t>UPI</t>
        </is>
      </c>
      <c r="I123" t="inlineStr">
        <is>
          <t>Delivered</t>
        </is>
      </c>
      <c r="J123" t="n">
        <v>139</v>
      </c>
      <c r="K123" t="n">
        <v>1</v>
      </c>
      <c r="L123" t="n">
        <v>366</v>
      </c>
      <c r="M123" t="n">
        <v>0</v>
      </c>
      <c r="N123">
        <f>VLOOKUP(J123,Products!$A$2:$C$49,3,FALSE)</f>
        <v/>
      </c>
      <c r="O123">
        <f>K123*L123-M123</f>
        <v/>
      </c>
      <c r="P123">
        <f>TEXT(B123,"yyyy-mm")</f>
        <v/>
      </c>
      <c r="Q123">
        <f>IF(O123&gt;=3000,"Large","Small")</f>
        <v/>
      </c>
      <c r="R123">
        <f>INDEX(Products!$F$2:$F$49,MATCH(J123,Products!$A$2:$A$49,0))</f>
        <v/>
      </c>
      <c r="S123">
        <f>WEEKDAY(B123,2)</f>
        <v/>
      </c>
    </row>
    <row r="124">
      <c r="A124" t="n">
        <v>509384</v>
      </c>
      <c r="B124" s="6" t="n">
        <v>45934</v>
      </c>
      <c r="C124" t="n">
        <v>16618</v>
      </c>
      <c r="D124" t="inlineStr">
        <is>
          <t>Bengaluru</t>
        </is>
      </c>
      <c r="E124" t="inlineStr">
        <is>
          <t>South</t>
        </is>
      </c>
      <c r="F124" t="inlineStr">
        <is>
          <t>Paid Social</t>
        </is>
      </c>
      <c r="G124" t="inlineStr">
        <is>
          <t>Mobile App</t>
        </is>
      </c>
      <c r="H124" t="inlineStr">
        <is>
          <t>Cash on Delivery</t>
        </is>
      </c>
      <c r="I124" t="inlineStr">
        <is>
          <t>Delivered</t>
        </is>
      </c>
      <c r="J124" t="n">
        <v>133</v>
      </c>
      <c r="K124" t="n">
        <v>1</v>
      </c>
      <c r="L124" t="n">
        <v>419</v>
      </c>
      <c r="M124" t="n">
        <v>62.85</v>
      </c>
      <c r="N124">
        <f>VLOOKUP(J124,Products!$A$2:$C$49,3,FALSE)</f>
        <v/>
      </c>
      <c r="O124">
        <f>K124*L124-M124</f>
        <v/>
      </c>
      <c r="P124">
        <f>TEXT(B124,"yyyy-mm")</f>
        <v/>
      </c>
      <c r="Q124">
        <f>IF(O124&gt;=3000,"Large","Small")</f>
        <v/>
      </c>
      <c r="R124">
        <f>INDEX(Products!$F$2:$F$49,MATCH(J124,Products!$A$2:$A$49,0))</f>
        <v/>
      </c>
      <c r="S124">
        <f>WEEKDAY(B124,2)</f>
        <v/>
      </c>
    </row>
    <row r="125">
      <c r="A125" t="n">
        <v>509385</v>
      </c>
      <c r="B125" s="6" t="n">
        <v>45934</v>
      </c>
      <c r="C125" t="n">
        <v>16328</v>
      </c>
      <c r="D125" t="inlineStr">
        <is>
          <t>Ahmedabad</t>
        </is>
      </c>
      <c r="E125" t="inlineStr">
        <is>
          <t>West</t>
        </is>
      </c>
      <c r="F125" t="inlineStr">
        <is>
          <t>Paid Social</t>
        </is>
      </c>
      <c r="G125" t="inlineStr">
        <is>
          <t>Desktop</t>
        </is>
      </c>
      <c r="H125" t="inlineStr">
        <is>
          <t>Cash on Delivery</t>
        </is>
      </c>
      <c r="I125" t="inlineStr">
        <is>
          <t>Delivered</t>
        </is>
      </c>
      <c r="J125" t="n">
        <v>107</v>
      </c>
      <c r="K125" t="n">
        <v>1</v>
      </c>
      <c r="L125" t="n">
        <v>1259</v>
      </c>
      <c r="M125" t="n">
        <v>0</v>
      </c>
      <c r="N125">
        <f>VLOOKUP(J125,Products!$A$2:$C$49,3,FALSE)</f>
        <v/>
      </c>
      <c r="O125">
        <f>K125*L125-M125</f>
        <v/>
      </c>
      <c r="P125">
        <f>TEXT(B125,"yyyy-mm")</f>
        <v/>
      </c>
      <c r="Q125">
        <f>IF(O125&gt;=3000,"Large","Small")</f>
        <v/>
      </c>
      <c r="R125">
        <f>INDEX(Products!$F$2:$F$49,MATCH(J125,Products!$A$2:$A$49,0))</f>
        <v/>
      </c>
      <c r="S125">
        <f>WEEKDAY(B125,2)</f>
        <v/>
      </c>
    </row>
    <row r="126">
      <c r="A126" t="n">
        <v>509385</v>
      </c>
      <c r="B126" s="6" t="n">
        <v>45934</v>
      </c>
      <c r="C126" t="n">
        <v>16328</v>
      </c>
      <c r="D126" t="inlineStr">
        <is>
          <t>Ahmedabad</t>
        </is>
      </c>
      <c r="E126" t="inlineStr">
        <is>
          <t>West</t>
        </is>
      </c>
      <c r="F126" t="inlineStr">
        <is>
          <t>Paid Social</t>
        </is>
      </c>
      <c r="G126" t="inlineStr">
        <is>
          <t>Desktop</t>
        </is>
      </c>
      <c r="H126" t="inlineStr">
        <is>
          <t>Cash on Delivery</t>
        </is>
      </c>
      <c r="I126" t="inlineStr">
        <is>
          <t>Delivered</t>
        </is>
      </c>
      <c r="J126" t="n">
        <v>138</v>
      </c>
      <c r="K126" t="n">
        <v>1</v>
      </c>
      <c r="L126" t="n">
        <v>419</v>
      </c>
      <c r="M126" t="n">
        <v>0</v>
      </c>
      <c r="N126">
        <f>VLOOKUP(J126,Products!$A$2:$C$49,3,FALSE)</f>
        <v/>
      </c>
      <c r="O126">
        <f>K126*L126-M126</f>
        <v/>
      </c>
      <c r="P126">
        <f>TEXT(B126,"yyyy-mm")</f>
        <v/>
      </c>
      <c r="Q126">
        <f>IF(O126&gt;=3000,"Large","Small")</f>
        <v/>
      </c>
      <c r="R126">
        <f>INDEX(Products!$F$2:$F$49,MATCH(J126,Products!$A$2:$A$49,0))</f>
        <v/>
      </c>
      <c r="S126">
        <f>WEEKDAY(B126,2)</f>
        <v/>
      </c>
    </row>
    <row r="127">
      <c r="A127" t="n">
        <v>509386</v>
      </c>
      <c r="B127" s="6" t="n">
        <v>45934</v>
      </c>
      <c r="C127" t="n">
        <v>15214</v>
      </c>
      <c r="D127" t="inlineStr">
        <is>
          <t>Mumbai</t>
        </is>
      </c>
      <c r="E127" t="inlineStr">
        <is>
          <t>West</t>
        </is>
      </c>
      <c r="F127" t="inlineStr">
        <is>
          <t>Organic Search</t>
        </is>
      </c>
      <c r="G127" t="inlineStr">
        <is>
          <t>Mobile Web</t>
        </is>
      </c>
      <c r="H127" t="inlineStr">
        <is>
          <t>UPI</t>
        </is>
      </c>
      <c r="I127" t="inlineStr">
        <is>
          <t>Delivered</t>
        </is>
      </c>
      <c r="J127" t="n">
        <v>141</v>
      </c>
      <c r="K127" t="n">
        <v>1</v>
      </c>
      <c r="L127" t="n">
        <v>261</v>
      </c>
      <c r="M127" t="n">
        <v>0</v>
      </c>
      <c r="N127">
        <f>VLOOKUP(J127,Products!$A$2:$C$49,3,FALSE)</f>
        <v/>
      </c>
      <c r="O127">
        <f>K127*L127-M127</f>
        <v/>
      </c>
      <c r="P127">
        <f>TEXT(B127,"yyyy-mm")</f>
        <v/>
      </c>
      <c r="Q127">
        <f>IF(O127&gt;=3000,"Large","Small")</f>
        <v/>
      </c>
      <c r="R127">
        <f>INDEX(Products!$F$2:$F$49,MATCH(J127,Products!$A$2:$A$49,0))</f>
        <v/>
      </c>
      <c r="S127">
        <f>WEEKDAY(B127,2)</f>
        <v/>
      </c>
    </row>
    <row r="128">
      <c r="A128" t="n">
        <v>509387</v>
      </c>
      <c r="B128" s="6" t="n">
        <v>45934</v>
      </c>
      <c r="C128" t="n">
        <v>16571</v>
      </c>
      <c r="D128" t="inlineStr">
        <is>
          <t>Delhi</t>
        </is>
      </c>
      <c r="E128" t="inlineStr">
        <is>
          <t>North</t>
        </is>
      </c>
      <c r="F128" t="inlineStr">
        <is>
          <t>Organic Search</t>
        </is>
      </c>
      <c r="G128" t="inlineStr">
        <is>
          <t>Mobile Web</t>
        </is>
      </c>
      <c r="H128" t="inlineStr">
        <is>
          <t>Credit Card</t>
        </is>
      </c>
      <c r="I128" t="inlineStr">
        <is>
          <t>Delivered</t>
        </is>
      </c>
      <c r="J128" t="n">
        <v>125</v>
      </c>
      <c r="K128" t="n">
        <v>1</v>
      </c>
      <c r="L128" t="n">
        <v>1364</v>
      </c>
      <c r="M128" t="n">
        <v>204.6</v>
      </c>
      <c r="N128">
        <f>VLOOKUP(J128,Products!$A$2:$C$49,3,FALSE)</f>
        <v/>
      </c>
      <c r="O128">
        <f>K128*L128-M128</f>
        <v/>
      </c>
      <c r="P128">
        <f>TEXT(B128,"yyyy-mm")</f>
        <v/>
      </c>
      <c r="Q128">
        <f>IF(O128&gt;=3000,"Large","Small")</f>
        <v/>
      </c>
      <c r="R128">
        <f>INDEX(Products!$F$2:$F$49,MATCH(J128,Products!$A$2:$A$49,0))</f>
        <v/>
      </c>
      <c r="S128">
        <f>WEEKDAY(B128,2)</f>
        <v/>
      </c>
    </row>
    <row r="129">
      <c r="A129" t="n">
        <v>509388</v>
      </c>
      <c r="B129" s="6" t="n">
        <v>45934</v>
      </c>
      <c r="C129" t="n">
        <v>16562</v>
      </c>
      <c r="D129" t="inlineStr">
        <is>
          <t>Chennai</t>
        </is>
      </c>
      <c r="E129" t="inlineStr">
        <is>
          <t>South</t>
        </is>
      </c>
      <c r="F129" t="inlineStr">
        <is>
          <t>Affiliate</t>
        </is>
      </c>
      <c r="G129" t="inlineStr">
        <is>
          <t>Mobile Web</t>
        </is>
      </c>
      <c r="H129" t="inlineStr">
        <is>
          <t>UPI</t>
        </is>
      </c>
      <c r="I129" t="inlineStr">
        <is>
          <t>Delivered</t>
        </is>
      </c>
      <c r="J129" t="n">
        <v>113</v>
      </c>
      <c r="K129" t="n">
        <v>1</v>
      </c>
      <c r="L129" t="n">
        <v>1364</v>
      </c>
      <c r="M129" t="n">
        <v>204.6</v>
      </c>
      <c r="N129">
        <f>VLOOKUP(J129,Products!$A$2:$C$49,3,FALSE)</f>
        <v/>
      </c>
      <c r="O129">
        <f>K129*L129-M129</f>
        <v/>
      </c>
      <c r="P129">
        <f>TEXT(B129,"yyyy-mm")</f>
        <v/>
      </c>
      <c r="Q129">
        <f>IF(O129&gt;=3000,"Large","Small")</f>
        <v/>
      </c>
      <c r="R129">
        <f>INDEX(Products!$F$2:$F$49,MATCH(J129,Products!$A$2:$A$49,0))</f>
        <v/>
      </c>
      <c r="S129">
        <f>WEEKDAY(B129,2)</f>
        <v/>
      </c>
    </row>
    <row r="130">
      <c r="A130" t="n">
        <v>509388</v>
      </c>
      <c r="B130" s="6" t="n">
        <v>45934</v>
      </c>
      <c r="C130" t="n">
        <v>16562</v>
      </c>
      <c r="D130" t="inlineStr">
        <is>
          <t>Chennai</t>
        </is>
      </c>
      <c r="E130" t="inlineStr">
        <is>
          <t>South</t>
        </is>
      </c>
      <c r="F130" t="inlineStr">
        <is>
          <t>Affiliate</t>
        </is>
      </c>
      <c r="G130" t="inlineStr">
        <is>
          <t>Mobile Web</t>
        </is>
      </c>
      <c r="H130" t="inlineStr">
        <is>
          <t>UPI</t>
        </is>
      </c>
      <c r="I130" t="inlineStr">
        <is>
          <t>Delivered</t>
        </is>
      </c>
      <c r="J130" t="n">
        <v>119</v>
      </c>
      <c r="K130" t="n">
        <v>2</v>
      </c>
      <c r="L130" t="n">
        <v>2309</v>
      </c>
      <c r="M130" t="n">
        <v>692.7</v>
      </c>
      <c r="N130">
        <f>VLOOKUP(J130,Products!$A$2:$C$49,3,FALSE)</f>
        <v/>
      </c>
      <c r="O130">
        <f>K130*L130-M130</f>
        <v/>
      </c>
      <c r="P130">
        <f>TEXT(B130,"yyyy-mm")</f>
        <v/>
      </c>
      <c r="Q130">
        <f>IF(O130&gt;=3000,"Large","Small")</f>
        <v/>
      </c>
      <c r="R130">
        <f>INDEX(Products!$F$2:$F$49,MATCH(J130,Products!$A$2:$A$49,0))</f>
        <v/>
      </c>
      <c r="S130">
        <f>WEEKDAY(B130,2)</f>
        <v/>
      </c>
    </row>
    <row r="131">
      <c r="A131" t="n">
        <v>509389</v>
      </c>
      <c r="B131" s="6" t="n">
        <v>45934</v>
      </c>
      <c r="C131" t="n">
        <v>13378</v>
      </c>
      <c r="D131" t="inlineStr">
        <is>
          <t>Bengaluru</t>
        </is>
      </c>
      <c r="E131" t="inlineStr">
        <is>
          <t>South</t>
        </is>
      </c>
      <c r="F131" t="inlineStr">
        <is>
          <t>Referral</t>
        </is>
      </c>
      <c r="G131" t="inlineStr">
        <is>
          <t>Mobile App</t>
        </is>
      </c>
      <c r="H131" t="inlineStr">
        <is>
          <t>Credit Card</t>
        </is>
      </c>
      <c r="I131" t="inlineStr">
        <is>
          <t>Delivered</t>
        </is>
      </c>
      <c r="J131" t="n">
        <v>142</v>
      </c>
      <c r="K131" t="n">
        <v>1</v>
      </c>
      <c r="L131" t="n">
        <v>839</v>
      </c>
      <c r="M131" t="n">
        <v>0</v>
      </c>
      <c r="N131">
        <f>VLOOKUP(J131,Products!$A$2:$C$49,3,FALSE)</f>
        <v/>
      </c>
      <c r="O131">
        <f>K131*L131-M131</f>
        <v/>
      </c>
      <c r="P131">
        <f>TEXT(B131,"yyyy-mm")</f>
        <v/>
      </c>
      <c r="Q131">
        <f>IF(O131&gt;=3000,"Large","Small")</f>
        <v/>
      </c>
      <c r="R131">
        <f>INDEX(Products!$F$2:$F$49,MATCH(J131,Products!$A$2:$A$49,0))</f>
        <v/>
      </c>
      <c r="S131">
        <f>WEEKDAY(B131,2)</f>
        <v/>
      </c>
    </row>
    <row r="132">
      <c r="A132" t="n">
        <v>509390</v>
      </c>
      <c r="B132" s="6" t="n">
        <v>45934</v>
      </c>
      <c r="C132" t="n">
        <v>16622</v>
      </c>
      <c r="D132" t="inlineStr">
        <is>
          <t>Delhi</t>
        </is>
      </c>
      <c r="E132" t="inlineStr">
        <is>
          <t>North</t>
        </is>
      </c>
      <c r="F132" t="inlineStr">
        <is>
          <t>Paid Social</t>
        </is>
      </c>
      <c r="G132" t="inlineStr">
        <is>
          <t>Mobile Web</t>
        </is>
      </c>
      <c r="H132" t="inlineStr">
        <is>
          <t>Cash on Delivery</t>
        </is>
      </c>
      <c r="I132" t="inlineStr">
        <is>
          <t>Delivered</t>
        </is>
      </c>
      <c r="J132" t="n">
        <v>124</v>
      </c>
      <c r="K132" t="n">
        <v>1</v>
      </c>
      <c r="L132" t="n">
        <v>1154</v>
      </c>
      <c r="M132" t="n">
        <v>0</v>
      </c>
      <c r="N132">
        <f>VLOOKUP(J132,Products!$A$2:$C$49,3,FALSE)</f>
        <v/>
      </c>
      <c r="O132">
        <f>K132*L132-M132</f>
        <v/>
      </c>
      <c r="P132">
        <f>TEXT(B132,"yyyy-mm")</f>
        <v/>
      </c>
      <c r="Q132">
        <f>IF(O132&gt;=3000,"Large","Small")</f>
        <v/>
      </c>
      <c r="R132">
        <f>INDEX(Products!$F$2:$F$49,MATCH(J132,Products!$A$2:$A$49,0))</f>
        <v/>
      </c>
      <c r="S132">
        <f>WEEKDAY(B132,2)</f>
        <v/>
      </c>
    </row>
    <row r="133">
      <c r="A133" t="n">
        <v>509391</v>
      </c>
      <c r="B133" s="6" t="n">
        <v>45934</v>
      </c>
      <c r="C133" t="n">
        <v>15110</v>
      </c>
      <c r="D133" t="inlineStr">
        <is>
          <t>Gurugram</t>
        </is>
      </c>
      <c r="E133" t="inlineStr">
        <is>
          <t>North</t>
        </is>
      </c>
      <c r="F133" t="inlineStr">
        <is>
          <t>Organic Search</t>
        </is>
      </c>
      <c r="G133" t="inlineStr">
        <is>
          <t>Mobile Web</t>
        </is>
      </c>
      <c r="H133" t="inlineStr">
        <is>
          <t>Cash on Delivery</t>
        </is>
      </c>
      <c r="I133" t="inlineStr">
        <is>
          <t>Delivered</t>
        </is>
      </c>
      <c r="J133" t="n">
        <v>113</v>
      </c>
      <c r="K133" t="n">
        <v>1</v>
      </c>
      <c r="L133" t="n">
        <v>1364</v>
      </c>
      <c r="M133" t="n">
        <v>0</v>
      </c>
      <c r="N133">
        <f>VLOOKUP(J133,Products!$A$2:$C$49,3,FALSE)</f>
        <v/>
      </c>
      <c r="O133">
        <f>K133*L133-M133</f>
        <v/>
      </c>
      <c r="P133">
        <f>TEXT(B133,"yyyy-mm")</f>
        <v/>
      </c>
      <c r="Q133">
        <f>IF(O133&gt;=3000,"Large","Small")</f>
        <v/>
      </c>
      <c r="R133">
        <f>INDEX(Products!$F$2:$F$49,MATCH(J133,Products!$A$2:$A$49,0))</f>
        <v/>
      </c>
      <c r="S133">
        <f>WEEKDAY(B133,2)</f>
        <v/>
      </c>
    </row>
    <row r="134">
      <c r="A134" t="n">
        <v>509392</v>
      </c>
      <c r="B134" s="6" t="n">
        <v>45934</v>
      </c>
      <c r="C134" t="n">
        <v>13144</v>
      </c>
      <c r="D134" t="inlineStr">
        <is>
          <t>Chennai</t>
        </is>
      </c>
      <c r="E134" t="inlineStr">
        <is>
          <t>South</t>
        </is>
      </c>
      <c r="F134" t="inlineStr">
        <is>
          <t>Paid Social</t>
        </is>
      </c>
      <c r="G134" t="inlineStr">
        <is>
          <t>Mobile App</t>
        </is>
      </c>
      <c r="H134" t="inlineStr">
        <is>
          <t>Cash on Delivery</t>
        </is>
      </c>
      <c r="I134" t="inlineStr">
        <is>
          <t>Delivered</t>
        </is>
      </c>
      <c r="J134" t="n">
        <v>131</v>
      </c>
      <c r="K134" t="n">
        <v>1</v>
      </c>
      <c r="L134" t="n">
        <v>314</v>
      </c>
      <c r="M134" t="n">
        <v>0</v>
      </c>
      <c r="N134">
        <f>VLOOKUP(J134,Products!$A$2:$C$49,3,FALSE)</f>
        <v/>
      </c>
      <c r="O134">
        <f>K134*L134-M134</f>
        <v/>
      </c>
      <c r="P134">
        <f>TEXT(B134,"yyyy-mm")</f>
        <v/>
      </c>
      <c r="Q134">
        <f>IF(O134&gt;=3000,"Large","Small")</f>
        <v/>
      </c>
      <c r="R134">
        <f>INDEX(Products!$F$2:$F$49,MATCH(J134,Products!$A$2:$A$49,0))</f>
        <v/>
      </c>
      <c r="S134">
        <f>WEEKDAY(B134,2)</f>
        <v/>
      </c>
    </row>
    <row r="135">
      <c r="A135" t="n">
        <v>509392</v>
      </c>
      <c r="B135" s="6" t="n">
        <v>45934</v>
      </c>
      <c r="C135" t="n">
        <v>13144</v>
      </c>
      <c r="D135" t="inlineStr">
        <is>
          <t>Chennai</t>
        </is>
      </c>
      <c r="E135" t="inlineStr">
        <is>
          <t>South</t>
        </is>
      </c>
      <c r="F135" t="inlineStr">
        <is>
          <t>Paid Social</t>
        </is>
      </c>
      <c r="G135" t="inlineStr">
        <is>
          <t>Mobile App</t>
        </is>
      </c>
      <c r="H135" t="inlineStr">
        <is>
          <t>Cash on Delivery</t>
        </is>
      </c>
      <c r="I135" t="inlineStr">
        <is>
          <t>Delivered</t>
        </is>
      </c>
      <c r="J135" t="n">
        <v>125</v>
      </c>
      <c r="K135" t="n">
        <v>1</v>
      </c>
      <c r="L135" t="n">
        <v>1364</v>
      </c>
      <c r="M135" t="n">
        <v>0</v>
      </c>
      <c r="N135">
        <f>VLOOKUP(J135,Products!$A$2:$C$49,3,FALSE)</f>
        <v/>
      </c>
      <c r="O135">
        <f>K135*L135-M135</f>
        <v/>
      </c>
      <c r="P135">
        <f>TEXT(B135,"yyyy-mm")</f>
        <v/>
      </c>
      <c r="Q135">
        <f>IF(O135&gt;=3000,"Large","Small")</f>
        <v/>
      </c>
      <c r="R135">
        <f>INDEX(Products!$F$2:$F$49,MATCH(J135,Products!$A$2:$A$49,0))</f>
        <v/>
      </c>
      <c r="S135">
        <f>WEEKDAY(B135,2)</f>
        <v/>
      </c>
    </row>
    <row r="136">
      <c r="A136" t="n">
        <v>509393</v>
      </c>
      <c r="B136" s="6" t="n">
        <v>45934</v>
      </c>
      <c r="C136" t="n">
        <v>16605</v>
      </c>
      <c r="D136" t="inlineStr">
        <is>
          <t>Kolkata</t>
        </is>
      </c>
      <c r="E136" t="inlineStr">
        <is>
          <t>East</t>
        </is>
      </c>
      <c r="F136" t="inlineStr">
        <is>
          <t>Paid Social</t>
        </is>
      </c>
      <c r="G136" t="inlineStr">
        <is>
          <t>Mobile Web</t>
        </is>
      </c>
      <c r="H136" t="inlineStr">
        <is>
          <t>Credit Card</t>
        </is>
      </c>
      <c r="I136" t="inlineStr">
        <is>
          <t>Delivered</t>
        </is>
      </c>
      <c r="J136" t="n">
        <v>124</v>
      </c>
      <c r="K136" t="n">
        <v>1</v>
      </c>
      <c r="L136" t="n">
        <v>1154</v>
      </c>
      <c r="M136" t="n">
        <v>173.1</v>
      </c>
      <c r="N136">
        <f>VLOOKUP(J136,Products!$A$2:$C$49,3,FALSE)</f>
        <v/>
      </c>
      <c r="O136">
        <f>K136*L136-M136</f>
        <v/>
      </c>
      <c r="P136">
        <f>TEXT(B136,"yyyy-mm")</f>
        <v/>
      </c>
      <c r="Q136">
        <f>IF(O136&gt;=3000,"Large","Small")</f>
        <v/>
      </c>
      <c r="R136">
        <f>INDEX(Products!$F$2:$F$49,MATCH(J136,Products!$A$2:$A$49,0))</f>
        <v/>
      </c>
      <c r="S136">
        <f>WEEKDAY(B136,2)</f>
        <v/>
      </c>
    </row>
    <row r="137">
      <c r="A137" t="n">
        <v>509394</v>
      </c>
      <c r="B137" s="6" t="n">
        <v>45934</v>
      </c>
      <c r="C137" t="n">
        <v>14289</v>
      </c>
      <c r="D137" t="inlineStr">
        <is>
          <t>Kolkata</t>
        </is>
      </c>
      <c r="E137" t="inlineStr">
        <is>
          <t>East</t>
        </is>
      </c>
      <c r="F137" t="inlineStr">
        <is>
          <t>Paid Search</t>
        </is>
      </c>
      <c r="G137" t="inlineStr">
        <is>
          <t>Mobile App</t>
        </is>
      </c>
      <c r="H137" t="inlineStr">
        <is>
          <t>Credit Card</t>
        </is>
      </c>
      <c r="I137" t="inlineStr">
        <is>
          <t>Delivered</t>
        </is>
      </c>
      <c r="J137" t="n">
        <v>113</v>
      </c>
      <c r="K137" t="n">
        <v>1</v>
      </c>
      <c r="L137" t="n">
        <v>1364</v>
      </c>
      <c r="M137" t="n">
        <v>0</v>
      </c>
      <c r="N137">
        <f>VLOOKUP(J137,Products!$A$2:$C$49,3,FALSE)</f>
        <v/>
      </c>
      <c r="O137">
        <f>K137*L137-M137</f>
        <v/>
      </c>
      <c r="P137">
        <f>TEXT(B137,"yyyy-mm")</f>
        <v/>
      </c>
      <c r="Q137">
        <f>IF(O137&gt;=3000,"Large","Small")</f>
        <v/>
      </c>
      <c r="R137">
        <f>INDEX(Products!$F$2:$F$49,MATCH(J137,Products!$A$2:$A$49,0))</f>
        <v/>
      </c>
      <c r="S137">
        <f>WEEKDAY(B137,2)</f>
        <v/>
      </c>
    </row>
    <row r="138">
      <c r="A138" t="n">
        <v>509394</v>
      </c>
      <c r="B138" s="6" t="n">
        <v>45934</v>
      </c>
      <c r="C138" t="n">
        <v>14289</v>
      </c>
      <c r="D138" t="inlineStr">
        <is>
          <t>Kolkata</t>
        </is>
      </c>
      <c r="E138" t="inlineStr">
        <is>
          <t>East</t>
        </is>
      </c>
      <c r="F138" t="inlineStr">
        <is>
          <t>Paid Search</t>
        </is>
      </c>
      <c r="G138" t="inlineStr">
        <is>
          <t>Mobile App</t>
        </is>
      </c>
      <c r="H138" t="inlineStr">
        <is>
          <t>Credit Card</t>
        </is>
      </c>
      <c r="I138" t="inlineStr">
        <is>
          <t>Delivered</t>
        </is>
      </c>
      <c r="J138" t="n">
        <v>112</v>
      </c>
      <c r="K138" t="n">
        <v>1</v>
      </c>
      <c r="L138" t="n">
        <v>1574</v>
      </c>
      <c r="M138" t="n">
        <v>0</v>
      </c>
      <c r="N138">
        <f>VLOOKUP(J138,Products!$A$2:$C$49,3,FALSE)</f>
        <v/>
      </c>
      <c r="O138">
        <f>K138*L138-M138</f>
        <v/>
      </c>
      <c r="P138">
        <f>TEXT(B138,"yyyy-mm")</f>
        <v/>
      </c>
      <c r="Q138">
        <f>IF(O138&gt;=3000,"Large","Small")</f>
        <v/>
      </c>
      <c r="R138">
        <f>INDEX(Products!$F$2:$F$49,MATCH(J138,Products!$A$2:$A$49,0))</f>
        <v/>
      </c>
      <c r="S138">
        <f>WEEKDAY(B138,2)</f>
        <v/>
      </c>
    </row>
    <row r="139">
      <c r="A139" t="n">
        <v>509395</v>
      </c>
      <c r="B139" s="6" t="n">
        <v>45934</v>
      </c>
      <c r="C139" t="n">
        <v>16581</v>
      </c>
      <c r="D139" t="inlineStr">
        <is>
          <t>Delhi</t>
        </is>
      </c>
      <c r="E139" t="inlineStr">
        <is>
          <t>North</t>
        </is>
      </c>
      <c r="F139" t="inlineStr">
        <is>
          <t>Paid Social</t>
        </is>
      </c>
      <c r="G139" t="inlineStr">
        <is>
          <t>Mobile App</t>
        </is>
      </c>
      <c r="H139" t="inlineStr">
        <is>
          <t>Debit Card</t>
        </is>
      </c>
      <c r="I139" t="inlineStr">
        <is>
          <t>Delivered</t>
        </is>
      </c>
      <c r="J139" t="n">
        <v>107</v>
      </c>
      <c r="K139" t="n">
        <v>1</v>
      </c>
      <c r="L139" t="n">
        <v>1259</v>
      </c>
      <c r="M139" t="n">
        <v>0</v>
      </c>
      <c r="N139">
        <f>VLOOKUP(J139,Products!$A$2:$C$49,3,FALSE)</f>
        <v/>
      </c>
      <c r="O139">
        <f>K139*L139-M139</f>
        <v/>
      </c>
      <c r="P139">
        <f>TEXT(B139,"yyyy-mm")</f>
        <v/>
      </c>
      <c r="Q139">
        <f>IF(O139&gt;=3000,"Large","Small")</f>
        <v/>
      </c>
      <c r="R139">
        <f>INDEX(Products!$F$2:$F$49,MATCH(J139,Products!$A$2:$A$49,0))</f>
        <v/>
      </c>
      <c r="S139">
        <f>WEEKDAY(B139,2)</f>
        <v/>
      </c>
    </row>
    <row r="140">
      <c r="A140" t="n">
        <v>509395</v>
      </c>
      <c r="B140" s="6" t="n">
        <v>45934</v>
      </c>
      <c r="C140" t="n">
        <v>16581</v>
      </c>
      <c r="D140" t="inlineStr">
        <is>
          <t>Delhi</t>
        </is>
      </c>
      <c r="E140" t="inlineStr">
        <is>
          <t>North</t>
        </is>
      </c>
      <c r="F140" t="inlineStr">
        <is>
          <t>Paid Social</t>
        </is>
      </c>
      <c r="G140" t="inlineStr">
        <is>
          <t>Mobile App</t>
        </is>
      </c>
      <c r="H140" t="inlineStr">
        <is>
          <t>Debit Card</t>
        </is>
      </c>
      <c r="I140" t="inlineStr">
        <is>
          <t>Delivered</t>
        </is>
      </c>
      <c r="J140" t="n">
        <v>124</v>
      </c>
      <c r="K140" t="n">
        <v>1</v>
      </c>
      <c r="L140" t="n">
        <v>1154</v>
      </c>
      <c r="M140" t="n">
        <v>0</v>
      </c>
      <c r="N140">
        <f>VLOOKUP(J140,Products!$A$2:$C$49,3,FALSE)</f>
        <v/>
      </c>
      <c r="O140">
        <f>K140*L140-M140</f>
        <v/>
      </c>
      <c r="P140">
        <f>TEXT(B140,"yyyy-mm")</f>
        <v/>
      </c>
      <c r="Q140">
        <f>IF(O140&gt;=3000,"Large","Small")</f>
        <v/>
      </c>
      <c r="R140">
        <f>INDEX(Products!$F$2:$F$49,MATCH(J140,Products!$A$2:$A$49,0))</f>
        <v/>
      </c>
      <c r="S140">
        <f>WEEKDAY(B140,2)</f>
        <v/>
      </c>
    </row>
    <row r="141">
      <c r="A141" t="n">
        <v>509396</v>
      </c>
      <c r="B141" s="6" t="n">
        <v>45934</v>
      </c>
      <c r="C141" t="n">
        <v>13587</v>
      </c>
      <c r="D141" t="inlineStr">
        <is>
          <t>Delhi</t>
        </is>
      </c>
      <c r="E141" t="inlineStr">
        <is>
          <t>North</t>
        </is>
      </c>
      <c r="F141" t="inlineStr">
        <is>
          <t>Email</t>
        </is>
      </c>
      <c r="G141" t="inlineStr">
        <is>
          <t>Mobile App</t>
        </is>
      </c>
      <c r="H141" t="inlineStr">
        <is>
          <t>Cash on Delivery</t>
        </is>
      </c>
      <c r="I141" t="inlineStr">
        <is>
          <t>Delivered</t>
        </is>
      </c>
      <c r="J141" t="n">
        <v>125</v>
      </c>
      <c r="K141" t="n">
        <v>1</v>
      </c>
      <c r="L141" t="n">
        <v>1364</v>
      </c>
      <c r="M141" t="n">
        <v>0</v>
      </c>
      <c r="N141">
        <f>VLOOKUP(J141,Products!$A$2:$C$49,3,FALSE)</f>
        <v/>
      </c>
      <c r="O141">
        <f>K141*L141-M141</f>
        <v/>
      </c>
      <c r="P141">
        <f>TEXT(B141,"yyyy-mm")</f>
        <v/>
      </c>
      <c r="Q141">
        <f>IF(O141&gt;=3000,"Large","Small")</f>
        <v/>
      </c>
      <c r="R141">
        <f>INDEX(Products!$F$2:$F$49,MATCH(J141,Products!$A$2:$A$49,0))</f>
        <v/>
      </c>
      <c r="S141">
        <f>WEEKDAY(B141,2)</f>
        <v/>
      </c>
    </row>
    <row r="142">
      <c r="A142" t="n">
        <v>509397</v>
      </c>
      <c r="B142" s="6" t="n">
        <v>45934</v>
      </c>
      <c r="C142" t="n">
        <v>14971</v>
      </c>
      <c r="D142" t="inlineStr">
        <is>
          <t>Delhi</t>
        </is>
      </c>
      <c r="E142" t="inlineStr">
        <is>
          <t>North</t>
        </is>
      </c>
      <c r="F142" t="inlineStr">
        <is>
          <t>Email</t>
        </is>
      </c>
      <c r="G142" t="inlineStr">
        <is>
          <t>Mobile App</t>
        </is>
      </c>
      <c r="H142" t="inlineStr">
        <is>
          <t>Cash on Delivery</t>
        </is>
      </c>
      <c r="I142" t="inlineStr">
        <is>
          <t>Delivered</t>
        </is>
      </c>
      <c r="J142" t="n">
        <v>102</v>
      </c>
      <c r="K142" t="n">
        <v>1</v>
      </c>
      <c r="L142" t="n">
        <v>3674</v>
      </c>
      <c r="M142" t="n">
        <v>0</v>
      </c>
      <c r="N142">
        <f>VLOOKUP(J142,Products!$A$2:$C$49,3,FALSE)</f>
        <v/>
      </c>
      <c r="O142">
        <f>K142*L142-M142</f>
        <v/>
      </c>
      <c r="P142">
        <f>TEXT(B142,"yyyy-mm")</f>
        <v/>
      </c>
      <c r="Q142">
        <f>IF(O142&gt;=3000,"Large","Small")</f>
        <v/>
      </c>
      <c r="R142">
        <f>INDEX(Products!$F$2:$F$49,MATCH(J142,Products!$A$2:$A$49,0))</f>
        <v/>
      </c>
      <c r="S142">
        <f>WEEKDAY(B142,2)</f>
        <v/>
      </c>
    </row>
    <row r="143">
      <c r="A143" t="n">
        <v>509398</v>
      </c>
      <c r="B143" s="6" t="n">
        <v>45934</v>
      </c>
      <c r="C143" t="n">
        <v>14118</v>
      </c>
      <c r="D143" t="inlineStr">
        <is>
          <t>Lucknow</t>
        </is>
      </c>
      <c r="E143" t="inlineStr">
        <is>
          <t>North</t>
        </is>
      </c>
      <c r="F143" t="inlineStr">
        <is>
          <t>Paid Social</t>
        </is>
      </c>
      <c r="G143" t="inlineStr">
        <is>
          <t>Mobile App</t>
        </is>
      </c>
      <c r="H143" t="inlineStr">
        <is>
          <t>Cash on Delivery</t>
        </is>
      </c>
      <c r="I143" t="inlineStr">
        <is>
          <t>Delivered</t>
        </is>
      </c>
      <c r="J143" t="n">
        <v>131</v>
      </c>
      <c r="K143" t="n">
        <v>1</v>
      </c>
      <c r="L143" t="n">
        <v>314</v>
      </c>
      <c r="M143" t="n">
        <v>0</v>
      </c>
      <c r="N143">
        <f>VLOOKUP(J143,Products!$A$2:$C$49,3,FALSE)</f>
        <v/>
      </c>
      <c r="O143">
        <f>K143*L143-M143</f>
        <v/>
      </c>
      <c r="P143">
        <f>TEXT(B143,"yyyy-mm")</f>
        <v/>
      </c>
      <c r="Q143">
        <f>IF(O143&gt;=3000,"Large","Small")</f>
        <v/>
      </c>
      <c r="R143">
        <f>INDEX(Products!$F$2:$F$49,MATCH(J143,Products!$A$2:$A$49,0))</f>
        <v/>
      </c>
      <c r="S143">
        <f>WEEKDAY(B143,2)</f>
        <v/>
      </c>
    </row>
    <row r="144">
      <c r="A144" t="n">
        <v>509399</v>
      </c>
      <c r="B144" s="6" t="n">
        <v>45934</v>
      </c>
      <c r="C144" t="n">
        <v>14666</v>
      </c>
      <c r="D144" t="inlineStr">
        <is>
          <t>Mumbai</t>
        </is>
      </c>
      <c r="E144" t="inlineStr">
        <is>
          <t>West</t>
        </is>
      </c>
      <c r="F144" t="inlineStr">
        <is>
          <t>Email</t>
        </is>
      </c>
      <c r="G144" t="inlineStr">
        <is>
          <t>Mobile Web</t>
        </is>
      </c>
      <c r="H144" t="inlineStr">
        <is>
          <t>UPI</t>
        </is>
      </c>
      <c r="I144" t="inlineStr">
        <is>
          <t>Delivered</t>
        </is>
      </c>
      <c r="J144" t="n">
        <v>131</v>
      </c>
      <c r="K144" t="n">
        <v>1</v>
      </c>
      <c r="L144" t="n">
        <v>314</v>
      </c>
      <c r="M144" t="n">
        <v>0</v>
      </c>
      <c r="N144">
        <f>VLOOKUP(J144,Products!$A$2:$C$49,3,FALSE)</f>
        <v/>
      </c>
      <c r="O144">
        <f>K144*L144-M144</f>
        <v/>
      </c>
      <c r="P144">
        <f>TEXT(B144,"yyyy-mm")</f>
        <v/>
      </c>
      <c r="Q144">
        <f>IF(O144&gt;=3000,"Large","Small")</f>
        <v/>
      </c>
      <c r="R144">
        <f>INDEX(Products!$F$2:$F$49,MATCH(J144,Products!$A$2:$A$49,0))</f>
        <v/>
      </c>
      <c r="S144">
        <f>WEEKDAY(B144,2)</f>
        <v/>
      </c>
    </row>
    <row r="145">
      <c r="A145" t="n">
        <v>509399</v>
      </c>
      <c r="B145" s="6" t="n">
        <v>45934</v>
      </c>
      <c r="C145" t="n">
        <v>14666</v>
      </c>
      <c r="D145" t="inlineStr">
        <is>
          <t>Mumbai</t>
        </is>
      </c>
      <c r="E145" t="inlineStr">
        <is>
          <t>West</t>
        </is>
      </c>
      <c r="F145" t="inlineStr">
        <is>
          <t>Email</t>
        </is>
      </c>
      <c r="G145" t="inlineStr">
        <is>
          <t>Mobile Web</t>
        </is>
      </c>
      <c r="H145" t="inlineStr">
        <is>
          <t>UPI</t>
        </is>
      </c>
      <c r="I145" t="inlineStr">
        <is>
          <t>Delivered</t>
        </is>
      </c>
      <c r="J145" t="n">
        <v>109</v>
      </c>
      <c r="K145" t="n">
        <v>1</v>
      </c>
      <c r="L145" t="n">
        <v>4199</v>
      </c>
      <c r="M145" t="n">
        <v>0</v>
      </c>
      <c r="N145">
        <f>VLOOKUP(J145,Products!$A$2:$C$49,3,FALSE)</f>
        <v/>
      </c>
      <c r="O145">
        <f>K145*L145-M145</f>
        <v/>
      </c>
      <c r="P145">
        <f>TEXT(B145,"yyyy-mm")</f>
        <v/>
      </c>
      <c r="Q145">
        <f>IF(O145&gt;=3000,"Large","Small")</f>
        <v/>
      </c>
      <c r="R145">
        <f>INDEX(Products!$F$2:$F$49,MATCH(J145,Products!$A$2:$A$49,0))</f>
        <v/>
      </c>
      <c r="S145">
        <f>WEEKDAY(B145,2)</f>
        <v/>
      </c>
    </row>
    <row r="146">
      <c r="A146" t="n">
        <v>509399</v>
      </c>
      <c r="B146" s="6" t="n">
        <v>45934</v>
      </c>
      <c r="C146" t="n">
        <v>14666</v>
      </c>
      <c r="D146" t="inlineStr">
        <is>
          <t>Mumbai</t>
        </is>
      </c>
      <c r="E146" t="inlineStr">
        <is>
          <t>West</t>
        </is>
      </c>
      <c r="F146" t="inlineStr">
        <is>
          <t>Email</t>
        </is>
      </c>
      <c r="G146" t="inlineStr">
        <is>
          <t>Mobile Web</t>
        </is>
      </c>
      <c r="H146" t="inlineStr">
        <is>
          <t>UPI</t>
        </is>
      </c>
      <c r="I146" t="inlineStr">
        <is>
          <t>Delivered</t>
        </is>
      </c>
      <c r="J146" t="n">
        <v>111</v>
      </c>
      <c r="K146" t="n">
        <v>1</v>
      </c>
      <c r="L146" t="n">
        <v>524</v>
      </c>
      <c r="M146" t="n">
        <v>0</v>
      </c>
      <c r="N146">
        <f>VLOOKUP(J146,Products!$A$2:$C$49,3,FALSE)</f>
        <v/>
      </c>
      <c r="O146">
        <f>K146*L146-M146</f>
        <v/>
      </c>
      <c r="P146">
        <f>TEXT(B146,"yyyy-mm")</f>
        <v/>
      </c>
      <c r="Q146">
        <f>IF(O146&gt;=3000,"Large","Small")</f>
        <v/>
      </c>
      <c r="R146">
        <f>INDEX(Products!$F$2:$F$49,MATCH(J146,Products!$A$2:$A$49,0))</f>
        <v/>
      </c>
      <c r="S146">
        <f>WEEKDAY(B146,2)</f>
        <v/>
      </c>
    </row>
    <row r="147">
      <c r="A147" t="n">
        <v>509399</v>
      </c>
      <c r="B147" s="6" t="n">
        <v>45934</v>
      </c>
      <c r="C147" t="n">
        <v>14666</v>
      </c>
      <c r="D147" t="inlineStr">
        <is>
          <t>Mumbai</t>
        </is>
      </c>
      <c r="E147" t="inlineStr">
        <is>
          <t>West</t>
        </is>
      </c>
      <c r="F147" t="inlineStr">
        <is>
          <t>Email</t>
        </is>
      </c>
      <c r="G147" t="inlineStr">
        <is>
          <t>Mobile Web</t>
        </is>
      </c>
      <c r="H147" t="inlineStr">
        <is>
          <t>UPI</t>
        </is>
      </c>
      <c r="I147" t="inlineStr">
        <is>
          <t>Delivered</t>
        </is>
      </c>
      <c r="J147" t="n">
        <v>134</v>
      </c>
      <c r="K147" t="n">
        <v>1</v>
      </c>
      <c r="L147" t="n">
        <v>209</v>
      </c>
      <c r="M147" t="n">
        <v>0</v>
      </c>
      <c r="N147">
        <f>VLOOKUP(J147,Products!$A$2:$C$49,3,FALSE)</f>
        <v/>
      </c>
      <c r="O147">
        <f>K147*L147-M147</f>
        <v/>
      </c>
      <c r="P147">
        <f>TEXT(B147,"yyyy-mm")</f>
        <v/>
      </c>
      <c r="Q147">
        <f>IF(O147&gt;=3000,"Large","Small")</f>
        <v/>
      </c>
      <c r="R147">
        <f>INDEX(Products!$F$2:$F$49,MATCH(J147,Products!$A$2:$A$49,0))</f>
        <v/>
      </c>
      <c r="S147">
        <f>WEEKDAY(B147,2)</f>
        <v/>
      </c>
    </row>
    <row r="148">
      <c r="A148" t="n">
        <v>509400</v>
      </c>
      <c r="B148" s="6" t="n">
        <v>45934</v>
      </c>
      <c r="C148" t="n">
        <v>16621</v>
      </c>
      <c r="D148" t="inlineStr">
        <is>
          <t>Jaipur</t>
        </is>
      </c>
      <c r="E148" t="inlineStr">
        <is>
          <t>North</t>
        </is>
      </c>
      <c r="F148" t="inlineStr">
        <is>
          <t>Paid Social</t>
        </is>
      </c>
      <c r="G148" t="inlineStr">
        <is>
          <t>Desktop</t>
        </is>
      </c>
      <c r="H148" t="inlineStr">
        <is>
          <t>UPI</t>
        </is>
      </c>
      <c r="I148" t="inlineStr">
        <is>
          <t>Delivered</t>
        </is>
      </c>
      <c r="J148" t="n">
        <v>129</v>
      </c>
      <c r="K148" t="n">
        <v>1</v>
      </c>
      <c r="L148" t="n">
        <v>576</v>
      </c>
      <c r="M148" t="n">
        <v>86.40000000000001</v>
      </c>
      <c r="N148">
        <f>VLOOKUP(J148,Products!$A$2:$C$49,3,FALSE)</f>
        <v/>
      </c>
      <c r="O148">
        <f>K148*L148-M148</f>
        <v/>
      </c>
      <c r="P148">
        <f>TEXT(B148,"yyyy-mm")</f>
        <v/>
      </c>
      <c r="Q148">
        <f>IF(O148&gt;=3000,"Large","Small")</f>
        <v/>
      </c>
      <c r="R148">
        <f>INDEX(Products!$F$2:$F$49,MATCH(J148,Products!$A$2:$A$49,0))</f>
        <v/>
      </c>
      <c r="S148">
        <f>WEEKDAY(B148,2)</f>
        <v/>
      </c>
    </row>
    <row r="149">
      <c r="A149" t="n">
        <v>509401</v>
      </c>
      <c r="B149" s="6" t="n">
        <v>45934</v>
      </c>
      <c r="C149" t="n">
        <v>14814</v>
      </c>
      <c r="D149" t="inlineStr">
        <is>
          <t>Gurugram</t>
        </is>
      </c>
      <c r="E149" t="inlineStr">
        <is>
          <t>North</t>
        </is>
      </c>
      <c r="F149" t="inlineStr">
        <is>
          <t>Referral</t>
        </is>
      </c>
      <c r="G149" t="inlineStr">
        <is>
          <t>Desktop</t>
        </is>
      </c>
      <c r="H149" t="inlineStr">
        <is>
          <t>Credit Card</t>
        </is>
      </c>
      <c r="I149" t="inlineStr">
        <is>
          <t>Cancelled</t>
        </is>
      </c>
      <c r="J149" t="n">
        <v>122</v>
      </c>
      <c r="K149" t="n">
        <v>1</v>
      </c>
      <c r="L149" t="n">
        <v>1994</v>
      </c>
      <c r="M149" t="n">
        <v>0</v>
      </c>
      <c r="N149">
        <f>VLOOKUP(J149,Products!$A$2:$C$49,3,FALSE)</f>
        <v/>
      </c>
      <c r="O149">
        <f>K149*L149-M149</f>
        <v/>
      </c>
      <c r="P149">
        <f>TEXT(B149,"yyyy-mm")</f>
        <v/>
      </c>
      <c r="Q149">
        <f>IF(O149&gt;=3000,"Large","Small")</f>
        <v/>
      </c>
      <c r="R149">
        <f>INDEX(Products!$F$2:$F$49,MATCH(J149,Products!$A$2:$A$49,0))</f>
        <v/>
      </c>
      <c r="S149">
        <f>WEEKDAY(B149,2)</f>
        <v/>
      </c>
    </row>
    <row r="150">
      <c r="A150" t="n">
        <v>509401</v>
      </c>
      <c r="B150" s="6" t="n">
        <v>45934</v>
      </c>
      <c r="C150" t="n">
        <v>14814</v>
      </c>
      <c r="D150" t="inlineStr">
        <is>
          <t>Gurugram</t>
        </is>
      </c>
      <c r="E150" t="inlineStr">
        <is>
          <t>North</t>
        </is>
      </c>
      <c r="F150" t="inlineStr">
        <is>
          <t>Referral</t>
        </is>
      </c>
      <c r="G150" t="inlineStr">
        <is>
          <t>Desktop</t>
        </is>
      </c>
      <c r="H150" t="inlineStr">
        <is>
          <t>Credit Card</t>
        </is>
      </c>
      <c r="I150" t="inlineStr">
        <is>
          <t>Cancelled</t>
        </is>
      </c>
      <c r="J150" t="n">
        <v>140</v>
      </c>
      <c r="K150" t="n">
        <v>1</v>
      </c>
      <c r="L150" t="n">
        <v>629</v>
      </c>
      <c r="M150" t="n">
        <v>0</v>
      </c>
      <c r="N150">
        <f>VLOOKUP(J150,Products!$A$2:$C$49,3,FALSE)</f>
        <v/>
      </c>
      <c r="O150">
        <f>K150*L150-M150</f>
        <v/>
      </c>
      <c r="P150">
        <f>TEXT(B150,"yyyy-mm")</f>
        <v/>
      </c>
      <c r="Q150">
        <f>IF(O150&gt;=3000,"Large","Small")</f>
        <v/>
      </c>
      <c r="R150">
        <f>INDEX(Products!$F$2:$F$49,MATCH(J150,Products!$A$2:$A$49,0))</f>
        <v/>
      </c>
      <c r="S150">
        <f>WEEKDAY(B150,2)</f>
        <v/>
      </c>
    </row>
    <row r="151">
      <c r="A151" t="n">
        <v>509401</v>
      </c>
      <c r="B151" s="6" t="n">
        <v>45934</v>
      </c>
      <c r="C151" t="n">
        <v>14814</v>
      </c>
      <c r="D151" t="inlineStr">
        <is>
          <t>Gurugram</t>
        </is>
      </c>
      <c r="E151" t="inlineStr">
        <is>
          <t>North</t>
        </is>
      </c>
      <c r="F151" t="inlineStr">
        <is>
          <t>Referral</t>
        </is>
      </c>
      <c r="G151" t="inlineStr">
        <is>
          <t>Desktop</t>
        </is>
      </c>
      <c r="H151" t="inlineStr">
        <is>
          <t>Credit Card</t>
        </is>
      </c>
      <c r="I151" t="inlineStr">
        <is>
          <t>Cancelled</t>
        </is>
      </c>
      <c r="J151" t="n">
        <v>146</v>
      </c>
      <c r="K151" t="n">
        <v>1</v>
      </c>
      <c r="L151" t="n">
        <v>4724</v>
      </c>
      <c r="M151" t="n">
        <v>0</v>
      </c>
      <c r="N151">
        <f>VLOOKUP(J151,Products!$A$2:$C$49,3,FALSE)</f>
        <v/>
      </c>
      <c r="O151">
        <f>K151*L151-M151</f>
        <v/>
      </c>
      <c r="P151">
        <f>TEXT(B151,"yyyy-mm")</f>
        <v/>
      </c>
      <c r="Q151">
        <f>IF(O151&gt;=3000,"Large","Small")</f>
        <v/>
      </c>
      <c r="R151">
        <f>INDEX(Products!$F$2:$F$49,MATCH(J151,Products!$A$2:$A$49,0))</f>
        <v/>
      </c>
      <c r="S151">
        <f>WEEKDAY(B151,2)</f>
        <v/>
      </c>
    </row>
    <row r="152">
      <c r="A152" t="n">
        <v>509402</v>
      </c>
      <c r="B152" s="6" t="n">
        <v>45934</v>
      </c>
      <c r="C152" t="n">
        <v>13002</v>
      </c>
      <c r="D152" t="inlineStr">
        <is>
          <t>Mumbai</t>
        </is>
      </c>
      <c r="E152" t="inlineStr">
        <is>
          <t>West</t>
        </is>
      </c>
      <c r="F152" t="inlineStr">
        <is>
          <t>Organic Search</t>
        </is>
      </c>
      <c r="G152" t="inlineStr">
        <is>
          <t>Desktop</t>
        </is>
      </c>
      <c r="H152" t="inlineStr">
        <is>
          <t>UPI</t>
        </is>
      </c>
      <c r="I152" t="inlineStr">
        <is>
          <t>Delivered</t>
        </is>
      </c>
      <c r="J152" t="n">
        <v>140</v>
      </c>
      <c r="K152" t="n">
        <v>1</v>
      </c>
      <c r="L152" t="n">
        <v>629</v>
      </c>
      <c r="M152" t="n">
        <v>0</v>
      </c>
      <c r="N152">
        <f>VLOOKUP(J152,Products!$A$2:$C$49,3,FALSE)</f>
        <v/>
      </c>
      <c r="O152">
        <f>K152*L152-M152</f>
        <v/>
      </c>
      <c r="P152">
        <f>TEXT(B152,"yyyy-mm")</f>
        <v/>
      </c>
      <c r="Q152">
        <f>IF(O152&gt;=3000,"Large","Small")</f>
        <v/>
      </c>
      <c r="R152">
        <f>INDEX(Products!$F$2:$F$49,MATCH(J152,Products!$A$2:$A$49,0))</f>
        <v/>
      </c>
      <c r="S152">
        <f>WEEKDAY(B152,2)</f>
        <v/>
      </c>
    </row>
    <row r="153">
      <c r="A153" t="n">
        <v>509402</v>
      </c>
      <c r="B153" s="6" t="n">
        <v>45934</v>
      </c>
      <c r="C153" t="n">
        <v>13002</v>
      </c>
      <c r="D153" t="inlineStr">
        <is>
          <t>Mumbai</t>
        </is>
      </c>
      <c r="E153" t="inlineStr">
        <is>
          <t>West</t>
        </is>
      </c>
      <c r="F153" t="inlineStr">
        <is>
          <t>Organic Search</t>
        </is>
      </c>
      <c r="G153" t="inlineStr">
        <is>
          <t>Desktop</t>
        </is>
      </c>
      <c r="H153" t="inlineStr">
        <is>
          <t>UPI</t>
        </is>
      </c>
      <c r="I153" t="inlineStr">
        <is>
          <t>Delivered</t>
        </is>
      </c>
      <c r="J153" t="n">
        <v>104</v>
      </c>
      <c r="K153" t="n">
        <v>1</v>
      </c>
      <c r="L153" t="n">
        <v>5249</v>
      </c>
      <c r="M153" t="n">
        <v>0</v>
      </c>
      <c r="N153">
        <f>VLOOKUP(J153,Products!$A$2:$C$49,3,FALSE)</f>
        <v/>
      </c>
      <c r="O153">
        <f>K153*L153-M153</f>
        <v/>
      </c>
      <c r="P153">
        <f>TEXT(B153,"yyyy-mm")</f>
        <v/>
      </c>
      <c r="Q153">
        <f>IF(O153&gt;=3000,"Large","Small")</f>
        <v/>
      </c>
      <c r="R153">
        <f>INDEX(Products!$F$2:$F$49,MATCH(J153,Products!$A$2:$A$49,0))</f>
        <v/>
      </c>
      <c r="S153">
        <f>WEEKDAY(B153,2)</f>
        <v/>
      </c>
    </row>
    <row r="154">
      <c r="A154" t="n">
        <v>509402</v>
      </c>
      <c r="B154" s="6" t="n">
        <v>45934</v>
      </c>
      <c r="C154" t="n">
        <v>13002</v>
      </c>
      <c r="D154" t="inlineStr">
        <is>
          <t>Mumbai</t>
        </is>
      </c>
      <c r="E154" t="inlineStr">
        <is>
          <t>West</t>
        </is>
      </c>
      <c r="F154" t="inlineStr">
        <is>
          <t>Organic Search</t>
        </is>
      </c>
      <c r="G154" t="inlineStr">
        <is>
          <t>Desktop</t>
        </is>
      </c>
      <c r="H154" t="inlineStr">
        <is>
          <t>UPI</t>
        </is>
      </c>
      <c r="I154" t="inlineStr">
        <is>
          <t>Delivered</t>
        </is>
      </c>
      <c r="J154" t="n">
        <v>137</v>
      </c>
      <c r="K154" t="n">
        <v>1</v>
      </c>
      <c r="L154" t="n">
        <v>261</v>
      </c>
      <c r="M154" t="n">
        <v>0</v>
      </c>
      <c r="N154">
        <f>VLOOKUP(J154,Products!$A$2:$C$49,3,FALSE)</f>
        <v/>
      </c>
      <c r="O154">
        <f>K154*L154-M154</f>
        <v/>
      </c>
      <c r="P154">
        <f>TEXT(B154,"yyyy-mm")</f>
        <v/>
      </c>
      <c r="Q154">
        <f>IF(O154&gt;=3000,"Large","Small")</f>
        <v/>
      </c>
      <c r="R154">
        <f>INDEX(Products!$F$2:$F$49,MATCH(J154,Products!$A$2:$A$49,0))</f>
        <v/>
      </c>
      <c r="S154">
        <f>WEEKDAY(B154,2)</f>
        <v/>
      </c>
    </row>
    <row r="155">
      <c r="A155" t="n">
        <v>509402</v>
      </c>
      <c r="B155" s="6" t="n">
        <v>45934</v>
      </c>
      <c r="C155" t="n">
        <v>13002</v>
      </c>
      <c r="D155" t="inlineStr">
        <is>
          <t>Mumbai</t>
        </is>
      </c>
      <c r="E155" t="inlineStr">
        <is>
          <t>West</t>
        </is>
      </c>
      <c r="F155" t="inlineStr">
        <is>
          <t>Organic Search</t>
        </is>
      </c>
      <c r="G155" t="inlineStr">
        <is>
          <t>Desktop</t>
        </is>
      </c>
      <c r="H155" t="inlineStr">
        <is>
          <t>UPI</t>
        </is>
      </c>
      <c r="I155" t="inlineStr">
        <is>
          <t>Delivered</t>
        </is>
      </c>
      <c r="J155" t="n">
        <v>109</v>
      </c>
      <c r="K155" t="n">
        <v>3</v>
      </c>
      <c r="L155" t="n">
        <v>4199</v>
      </c>
      <c r="M155" t="n">
        <v>0</v>
      </c>
      <c r="N155">
        <f>VLOOKUP(J155,Products!$A$2:$C$49,3,FALSE)</f>
        <v/>
      </c>
      <c r="O155">
        <f>K155*L155-M155</f>
        <v/>
      </c>
      <c r="P155">
        <f>TEXT(B155,"yyyy-mm")</f>
        <v/>
      </c>
      <c r="Q155">
        <f>IF(O155&gt;=3000,"Large","Small")</f>
        <v/>
      </c>
      <c r="R155">
        <f>INDEX(Products!$F$2:$F$49,MATCH(J155,Products!$A$2:$A$49,0))</f>
        <v/>
      </c>
      <c r="S155">
        <f>WEEKDAY(B155,2)</f>
        <v/>
      </c>
    </row>
    <row r="156">
      <c r="A156" t="n">
        <v>509403</v>
      </c>
      <c r="B156" s="6" t="n">
        <v>45935</v>
      </c>
      <c r="C156" t="n">
        <v>16607</v>
      </c>
      <c r="D156" t="inlineStr">
        <is>
          <t>Delhi</t>
        </is>
      </c>
      <c r="E156" t="inlineStr">
        <is>
          <t>North</t>
        </is>
      </c>
      <c r="F156" t="inlineStr">
        <is>
          <t>Paid Search</t>
        </is>
      </c>
      <c r="G156" t="inlineStr">
        <is>
          <t>Mobile Web</t>
        </is>
      </c>
      <c r="H156" t="inlineStr">
        <is>
          <t>Cash on Delivery</t>
        </is>
      </c>
      <c r="I156" t="inlineStr">
        <is>
          <t>Cancelled</t>
        </is>
      </c>
      <c r="J156" t="n">
        <v>132</v>
      </c>
      <c r="K156" t="n">
        <v>1</v>
      </c>
      <c r="L156" t="n">
        <v>471</v>
      </c>
      <c r="M156" t="n">
        <v>47.1</v>
      </c>
      <c r="N156">
        <f>VLOOKUP(J156,Products!$A$2:$C$49,3,FALSE)</f>
        <v/>
      </c>
      <c r="O156">
        <f>K156*L156-M156</f>
        <v/>
      </c>
      <c r="P156">
        <f>TEXT(B156,"yyyy-mm")</f>
        <v/>
      </c>
      <c r="Q156">
        <f>IF(O156&gt;=3000,"Large","Small")</f>
        <v/>
      </c>
      <c r="R156">
        <f>INDEX(Products!$F$2:$F$49,MATCH(J156,Products!$A$2:$A$49,0))</f>
        <v/>
      </c>
      <c r="S156">
        <f>WEEKDAY(B156,2)</f>
        <v/>
      </c>
    </row>
    <row r="157">
      <c r="A157" t="n">
        <v>509403</v>
      </c>
      <c r="B157" s="6" t="n">
        <v>45935</v>
      </c>
      <c r="C157" t="n">
        <v>16607</v>
      </c>
      <c r="D157" t="inlineStr">
        <is>
          <t>Delhi</t>
        </is>
      </c>
      <c r="E157" t="inlineStr">
        <is>
          <t>North</t>
        </is>
      </c>
      <c r="F157" t="inlineStr">
        <is>
          <t>Paid Search</t>
        </is>
      </c>
      <c r="G157" t="inlineStr">
        <is>
          <t>Mobile Web</t>
        </is>
      </c>
      <c r="H157" t="inlineStr">
        <is>
          <t>Cash on Delivery</t>
        </is>
      </c>
      <c r="I157" t="inlineStr">
        <is>
          <t>Cancelled</t>
        </is>
      </c>
      <c r="J157" t="n">
        <v>129</v>
      </c>
      <c r="K157" t="n">
        <v>1</v>
      </c>
      <c r="L157" t="n">
        <v>576</v>
      </c>
      <c r="M157" t="n">
        <v>57.6</v>
      </c>
      <c r="N157">
        <f>VLOOKUP(J157,Products!$A$2:$C$49,3,FALSE)</f>
        <v/>
      </c>
      <c r="O157">
        <f>K157*L157-M157</f>
        <v/>
      </c>
      <c r="P157">
        <f>TEXT(B157,"yyyy-mm")</f>
        <v/>
      </c>
      <c r="Q157">
        <f>IF(O157&gt;=3000,"Large","Small")</f>
        <v/>
      </c>
      <c r="R157">
        <f>INDEX(Products!$F$2:$F$49,MATCH(J157,Products!$A$2:$A$49,0))</f>
        <v/>
      </c>
      <c r="S157">
        <f>WEEKDAY(B157,2)</f>
        <v/>
      </c>
    </row>
    <row r="158">
      <c r="A158" t="n">
        <v>509404</v>
      </c>
      <c r="B158" s="6" t="n">
        <v>45935</v>
      </c>
      <c r="C158" t="n">
        <v>16128</v>
      </c>
      <c r="D158" t="inlineStr">
        <is>
          <t>Delhi</t>
        </is>
      </c>
      <c r="E158" t="inlineStr">
        <is>
          <t>North</t>
        </is>
      </c>
      <c r="F158" t="inlineStr">
        <is>
          <t>Referral</t>
        </is>
      </c>
      <c r="G158" t="inlineStr">
        <is>
          <t>Mobile App</t>
        </is>
      </c>
      <c r="H158" t="inlineStr">
        <is>
          <t>Credit Card</t>
        </is>
      </c>
      <c r="I158" t="inlineStr">
        <is>
          <t>Delivered</t>
        </is>
      </c>
      <c r="J158" t="n">
        <v>141</v>
      </c>
      <c r="K158" t="n">
        <v>1</v>
      </c>
      <c r="L158" t="n">
        <v>261</v>
      </c>
      <c r="M158" t="n">
        <v>26.1</v>
      </c>
      <c r="N158">
        <f>VLOOKUP(J158,Products!$A$2:$C$49,3,FALSE)</f>
        <v/>
      </c>
      <c r="O158">
        <f>K158*L158-M158</f>
        <v/>
      </c>
      <c r="P158">
        <f>TEXT(B158,"yyyy-mm")</f>
        <v/>
      </c>
      <c r="Q158">
        <f>IF(O158&gt;=3000,"Large","Small")</f>
        <v/>
      </c>
      <c r="R158">
        <f>INDEX(Products!$F$2:$F$49,MATCH(J158,Products!$A$2:$A$49,0))</f>
        <v/>
      </c>
      <c r="S158">
        <f>WEEKDAY(B158,2)</f>
        <v/>
      </c>
    </row>
    <row r="159">
      <c r="A159" t="n">
        <v>509405</v>
      </c>
      <c r="B159" s="6" t="n">
        <v>45935</v>
      </c>
      <c r="C159" t="n">
        <v>14438</v>
      </c>
      <c r="D159" t="inlineStr">
        <is>
          <t>Lucknow</t>
        </is>
      </c>
      <c r="E159" t="inlineStr">
        <is>
          <t>North</t>
        </is>
      </c>
      <c r="F159" t="inlineStr">
        <is>
          <t>Referral</t>
        </is>
      </c>
      <c r="G159" t="inlineStr">
        <is>
          <t>Desktop</t>
        </is>
      </c>
      <c r="H159" t="inlineStr">
        <is>
          <t>UPI</t>
        </is>
      </c>
      <c r="I159" t="inlineStr">
        <is>
          <t>Delivered</t>
        </is>
      </c>
      <c r="J159" t="n">
        <v>109</v>
      </c>
      <c r="K159" t="n">
        <v>1</v>
      </c>
      <c r="L159" t="n">
        <v>4199</v>
      </c>
      <c r="M159" t="n">
        <v>419.9</v>
      </c>
      <c r="N159">
        <f>VLOOKUP(J159,Products!$A$2:$C$49,3,FALSE)</f>
        <v/>
      </c>
      <c r="O159">
        <f>K159*L159-M159</f>
        <v/>
      </c>
      <c r="P159">
        <f>TEXT(B159,"yyyy-mm")</f>
        <v/>
      </c>
      <c r="Q159">
        <f>IF(O159&gt;=3000,"Large","Small")</f>
        <v/>
      </c>
      <c r="R159">
        <f>INDEX(Products!$F$2:$F$49,MATCH(J159,Products!$A$2:$A$49,0))</f>
        <v/>
      </c>
      <c r="S159">
        <f>WEEKDAY(B159,2)</f>
        <v/>
      </c>
    </row>
    <row r="160">
      <c r="A160" t="n">
        <v>509406</v>
      </c>
      <c r="B160" s="6" t="n">
        <v>45935</v>
      </c>
      <c r="C160" t="n">
        <v>13307</v>
      </c>
      <c r="D160" t="inlineStr">
        <is>
          <t>Ahmedabad</t>
        </is>
      </c>
      <c r="E160" t="inlineStr">
        <is>
          <t>West</t>
        </is>
      </c>
      <c r="F160" t="inlineStr">
        <is>
          <t>Paid Social</t>
        </is>
      </c>
      <c r="G160" t="inlineStr">
        <is>
          <t>Mobile App</t>
        </is>
      </c>
      <c r="H160" t="inlineStr">
        <is>
          <t>UPI</t>
        </is>
      </c>
      <c r="I160" t="inlineStr">
        <is>
          <t>Delivered</t>
        </is>
      </c>
      <c r="J160" t="n">
        <v>126</v>
      </c>
      <c r="K160" t="n">
        <v>1</v>
      </c>
      <c r="L160" t="n">
        <v>471</v>
      </c>
      <c r="M160" t="n">
        <v>47.1</v>
      </c>
      <c r="N160">
        <f>VLOOKUP(J160,Products!$A$2:$C$49,3,FALSE)</f>
        <v/>
      </c>
      <c r="O160">
        <f>K160*L160-M160</f>
        <v/>
      </c>
      <c r="P160">
        <f>TEXT(B160,"yyyy-mm")</f>
        <v/>
      </c>
      <c r="Q160">
        <f>IF(O160&gt;=3000,"Large","Small")</f>
        <v/>
      </c>
      <c r="R160">
        <f>INDEX(Products!$F$2:$F$49,MATCH(J160,Products!$A$2:$A$49,0))</f>
        <v/>
      </c>
      <c r="S160">
        <f>WEEKDAY(B160,2)</f>
        <v/>
      </c>
    </row>
    <row r="161">
      <c r="A161" t="n">
        <v>509407</v>
      </c>
      <c r="B161" s="6" t="n">
        <v>45935</v>
      </c>
      <c r="C161" t="n">
        <v>10335</v>
      </c>
      <c r="D161" t="inlineStr">
        <is>
          <t>Hyderabad</t>
        </is>
      </c>
      <c r="E161" t="inlineStr">
        <is>
          <t>South</t>
        </is>
      </c>
      <c r="F161" t="inlineStr">
        <is>
          <t>Referral</t>
        </is>
      </c>
      <c r="G161" t="inlineStr">
        <is>
          <t>Mobile App</t>
        </is>
      </c>
      <c r="H161" t="inlineStr">
        <is>
          <t>Net Banking</t>
        </is>
      </c>
      <c r="I161" t="inlineStr">
        <is>
          <t>Delivered</t>
        </is>
      </c>
      <c r="J161" t="n">
        <v>130</v>
      </c>
      <c r="K161" t="n">
        <v>1</v>
      </c>
      <c r="L161" t="n">
        <v>734</v>
      </c>
      <c r="M161" t="n">
        <v>0</v>
      </c>
      <c r="N161">
        <f>VLOOKUP(J161,Products!$A$2:$C$49,3,FALSE)</f>
        <v/>
      </c>
      <c r="O161">
        <f>K161*L161-M161</f>
        <v/>
      </c>
      <c r="P161">
        <f>TEXT(B161,"yyyy-mm")</f>
        <v/>
      </c>
      <c r="Q161">
        <f>IF(O161&gt;=3000,"Large","Small")</f>
        <v/>
      </c>
      <c r="R161">
        <f>INDEX(Products!$F$2:$F$49,MATCH(J161,Products!$A$2:$A$49,0))</f>
        <v/>
      </c>
      <c r="S161">
        <f>WEEKDAY(B161,2)</f>
        <v/>
      </c>
    </row>
    <row r="162">
      <c r="A162" t="n">
        <v>509408</v>
      </c>
      <c r="B162" s="6" t="n">
        <v>45935</v>
      </c>
      <c r="C162" t="n">
        <v>16624</v>
      </c>
      <c r="D162" t="inlineStr">
        <is>
          <t>Ahmedabad</t>
        </is>
      </c>
      <c r="E162" t="inlineStr">
        <is>
          <t>West</t>
        </is>
      </c>
      <c r="F162" t="inlineStr">
        <is>
          <t>Paid Search</t>
        </is>
      </c>
      <c r="G162" t="inlineStr">
        <is>
          <t>Mobile Web</t>
        </is>
      </c>
      <c r="H162" t="inlineStr">
        <is>
          <t>UPI</t>
        </is>
      </c>
      <c r="I162" t="inlineStr">
        <is>
          <t>Delivered</t>
        </is>
      </c>
      <c r="J162" t="n">
        <v>147</v>
      </c>
      <c r="K162" t="n">
        <v>1</v>
      </c>
      <c r="L162" t="n">
        <v>1364</v>
      </c>
      <c r="M162" t="n">
        <v>68.2</v>
      </c>
      <c r="N162">
        <f>VLOOKUP(J162,Products!$A$2:$C$49,3,FALSE)</f>
        <v/>
      </c>
      <c r="O162">
        <f>K162*L162-M162</f>
        <v/>
      </c>
      <c r="P162">
        <f>TEXT(B162,"yyyy-mm")</f>
        <v/>
      </c>
      <c r="Q162">
        <f>IF(O162&gt;=3000,"Large","Small")</f>
        <v/>
      </c>
      <c r="R162">
        <f>INDEX(Products!$F$2:$F$49,MATCH(J162,Products!$A$2:$A$49,0))</f>
        <v/>
      </c>
      <c r="S162">
        <f>WEEKDAY(B162,2)</f>
        <v/>
      </c>
    </row>
    <row r="163">
      <c r="A163" t="n">
        <v>509408</v>
      </c>
      <c r="B163" s="6" t="n">
        <v>45935</v>
      </c>
      <c r="C163" t="n">
        <v>16624</v>
      </c>
      <c r="D163" t="inlineStr">
        <is>
          <t>Ahmedabad</t>
        </is>
      </c>
      <c r="E163" t="inlineStr">
        <is>
          <t>West</t>
        </is>
      </c>
      <c r="F163" t="inlineStr">
        <is>
          <t>Paid Search</t>
        </is>
      </c>
      <c r="G163" t="inlineStr">
        <is>
          <t>Mobile Web</t>
        </is>
      </c>
      <c r="H163" t="inlineStr">
        <is>
          <t>UPI</t>
        </is>
      </c>
      <c r="I163" t="inlineStr">
        <is>
          <t>Delivered</t>
        </is>
      </c>
      <c r="J163" t="n">
        <v>106</v>
      </c>
      <c r="K163" t="n">
        <v>1</v>
      </c>
      <c r="L163" t="n">
        <v>1574</v>
      </c>
      <c r="M163" t="n">
        <v>78.7</v>
      </c>
      <c r="N163">
        <f>VLOOKUP(J163,Products!$A$2:$C$49,3,FALSE)</f>
        <v/>
      </c>
      <c r="O163">
        <f>K163*L163-M163</f>
        <v/>
      </c>
      <c r="P163">
        <f>TEXT(B163,"yyyy-mm")</f>
        <v/>
      </c>
      <c r="Q163">
        <f>IF(O163&gt;=3000,"Large","Small")</f>
        <v/>
      </c>
      <c r="R163">
        <f>INDEX(Products!$F$2:$F$49,MATCH(J163,Products!$A$2:$A$49,0))</f>
        <v/>
      </c>
      <c r="S163">
        <f>WEEKDAY(B163,2)</f>
        <v/>
      </c>
    </row>
    <row r="164">
      <c r="A164" t="n">
        <v>509409</v>
      </c>
      <c r="B164" s="6" t="n">
        <v>45935</v>
      </c>
      <c r="C164" t="n">
        <v>14133</v>
      </c>
      <c r="D164" t="inlineStr">
        <is>
          <t>Bengaluru</t>
        </is>
      </c>
      <c r="E164" t="inlineStr">
        <is>
          <t>South</t>
        </is>
      </c>
      <c r="F164" t="inlineStr">
        <is>
          <t>Referral</t>
        </is>
      </c>
      <c r="G164" t="inlineStr">
        <is>
          <t>Mobile Web</t>
        </is>
      </c>
      <c r="H164" t="inlineStr">
        <is>
          <t>Credit Card</t>
        </is>
      </c>
      <c r="I164" t="inlineStr">
        <is>
          <t>Returned</t>
        </is>
      </c>
      <c r="J164" t="n">
        <v>116</v>
      </c>
      <c r="K164" t="n">
        <v>3</v>
      </c>
      <c r="L164" t="n">
        <v>2624</v>
      </c>
      <c r="M164" t="n">
        <v>787.2</v>
      </c>
      <c r="N164">
        <f>VLOOKUP(J164,Products!$A$2:$C$49,3,FALSE)</f>
        <v/>
      </c>
      <c r="O164">
        <f>K164*L164-M164</f>
        <v/>
      </c>
      <c r="P164">
        <f>TEXT(B164,"yyyy-mm")</f>
        <v/>
      </c>
      <c r="Q164">
        <f>IF(O164&gt;=3000,"Large","Small")</f>
        <v/>
      </c>
      <c r="R164">
        <f>INDEX(Products!$F$2:$F$49,MATCH(J164,Products!$A$2:$A$49,0))</f>
        <v/>
      </c>
      <c r="S164">
        <f>WEEKDAY(B164,2)</f>
        <v/>
      </c>
    </row>
    <row r="165">
      <c r="A165" t="n">
        <v>509409</v>
      </c>
      <c r="B165" s="6" t="n">
        <v>45935</v>
      </c>
      <c r="C165" t="n">
        <v>14133</v>
      </c>
      <c r="D165" t="inlineStr">
        <is>
          <t>Bengaluru</t>
        </is>
      </c>
      <c r="E165" t="inlineStr">
        <is>
          <t>South</t>
        </is>
      </c>
      <c r="F165" t="inlineStr">
        <is>
          <t>Referral</t>
        </is>
      </c>
      <c r="G165" t="inlineStr">
        <is>
          <t>Mobile Web</t>
        </is>
      </c>
      <c r="H165" t="inlineStr">
        <is>
          <t>Credit Card</t>
        </is>
      </c>
      <c r="I165" t="inlineStr">
        <is>
          <t>Returned</t>
        </is>
      </c>
      <c r="J165" t="n">
        <v>137</v>
      </c>
      <c r="K165" t="n">
        <v>1</v>
      </c>
      <c r="L165" t="n">
        <v>261</v>
      </c>
      <c r="M165" t="n">
        <v>26.1</v>
      </c>
      <c r="N165">
        <f>VLOOKUP(J165,Products!$A$2:$C$49,3,FALSE)</f>
        <v/>
      </c>
      <c r="O165">
        <f>K165*L165-M165</f>
        <v/>
      </c>
      <c r="P165">
        <f>TEXT(B165,"yyyy-mm")</f>
        <v/>
      </c>
      <c r="Q165">
        <f>IF(O165&gt;=3000,"Large","Small")</f>
        <v/>
      </c>
      <c r="R165">
        <f>INDEX(Products!$F$2:$F$49,MATCH(J165,Products!$A$2:$A$49,0))</f>
        <v/>
      </c>
      <c r="S165">
        <f>WEEKDAY(B165,2)</f>
        <v/>
      </c>
    </row>
    <row r="166">
      <c r="A166" t="n">
        <v>509409</v>
      </c>
      <c r="B166" s="6" t="n">
        <v>45935</v>
      </c>
      <c r="C166" t="n">
        <v>14133</v>
      </c>
      <c r="D166" t="inlineStr">
        <is>
          <t>Bengaluru</t>
        </is>
      </c>
      <c r="E166" t="inlineStr">
        <is>
          <t>South</t>
        </is>
      </c>
      <c r="F166" t="inlineStr">
        <is>
          <t>Referral</t>
        </is>
      </c>
      <c r="G166" t="inlineStr">
        <is>
          <t>Mobile Web</t>
        </is>
      </c>
      <c r="H166" t="inlineStr">
        <is>
          <t>Credit Card</t>
        </is>
      </c>
      <c r="I166" t="inlineStr">
        <is>
          <t>Returned</t>
        </is>
      </c>
      <c r="J166" t="n">
        <v>145</v>
      </c>
      <c r="K166" t="n">
        <v>2</v>
      </c>
      <c r="L166" t="n">
        <v>629</v>
      </c>
      <c r="M166" t="n">
        <v>125.8</v>
      </c>
      <c r="N166">
        <f>VLOOKUP(J166,Products!$A$2:$C$49,3,FALSE)</f>
        <v/>
      </c>
      <c r="O166">
        <f>K166*L166-M166</f>
        <v/>
      </c>
      <c r="P166">
        <f>TEXT(B166,"yyyy-mm")</f>
        <v/>
      </c>
      <c r="Q166">
        <f>IF(O166&gt;=3000,"Large","Small")</f>
        <v/>
      </c>
      <c r="R166">
        <f>INDEX(Products!$F$2:$F$49,MATCH(J166,Products!$A$2:$A$49,0))</f>
        <v/>
      </c>
      <c r="S166">
        <f>WEEKDAY(B166,2)</f>
        <v/>
      </c>
    </row>
    <row r="167">
      <c r="A167" t="n">
        <v>509410</v>
      </c>
      <c r="B167" s="6" t="n">
        <v>45935</v>
      </c>
      <c r="C167" t="n">
        <v>12521</v>
      </c>
      <c r="D167" t="inlineStr">
        <is>
          <t>Mumbai</t>
        </is>
      </c>
      <c r="E167" t="inlineStr">
        <is>
          <t>West</t>
        </is>
      </c>
      <c r="F167" t="inlineStr">
        <is>
          <t>Organic Search</t>
        </is>
      </c>
      <c r="G167" t="inlineStr">
        <is>
          <t>Mobile App</t>
        </is>
      </c>
      <c r="H167" t="inlineStr">
        <is>
          <t>Cash on Delivery</t>
        </is>
      </c>
      <c r="I167" t="inlineStr">
        <is>
          <t>Delivered</t>
        </is>
      </c>
      <c r="J167" t="n">
        <v>104</v>
      </c>
      <c r="K167" t="n">
        <v>1</v>
      </c>
      <c r="L167" t="n">
        <v>5249</v>
      </c>
      <c r="M167" t="n">
        <v>0</v>
      </c>
      <c r="N167">
        <f>VLOOKUP(J167,Products!$A$2:$C$49,3,FALSE)</f>
        <v/>
      </c>
      <c r="O167">
        <f>K167*L167-M167</f>
        <v/>
      </c>
      <c r="P167">
        <f>TEXT(B167,"yyyy-mm")</f>
        <v/>
      </c>
      <c r="Q167">
        <f>IF(O167&gt;=3000,"Large","Small")</f>
        <v/>
      </c>
      <c r="R167">
        <f>INDEX(Products!$F$2:$F$49,MATCH(J167,Products!$A$2:$A$49,0))</f>
        <v/>
      </c>
      <c r="S167">
        <f>WEEKDAY(B167,2)</f>
        <v/>
      </c>
    </row>
    <row r="168">
      <c r="A168" t="n">
        <v>509411</v>
      </c>
      <c r="B168" s="6" t="n">
        <v>45935</v>
      </c>
      <c r="C168" t="n">
        <v>11895</v>
      </c>
      <c r="D168" t="inlineStr">
        <is>
          <t>Pune</t>
        </is>
      </c>
      <c r="E168" t="inlineStr">
        <is>
          <t>West</t>
        </is>
      </c>
      <c r="F168" t="inlineStr">
        <is>
          <t>Email</t>
        </is>
      </c>
      <c r="G168" t="inlineStr">
        <is>
          <t>Mobile Web</t>
        </is>
      </c>
      <c r="H168" t="inlineStr">
        <is>
          <t>Debit Card</t>
        </is>
      </c>
      <c r="I168" t="inlineStr">
        <is>
          <t>Delivered</t>
        </is>
      </c>
      <c r="J168" t="n">
        <v>106</v>
      </c>
      <c r="K168" t="n">
        <v>1</v>
      </c>
      <c r="L168" t="n">
        <v>1574</v>
      </c>
      <c r="M168" t="n">
        <v>0</v>
      </c>
      <c r="N168">
        <f>VLOOKUP(J168,Products!$A$2:$C$49,3,FALSE)</f>
        <v/>
      </c>
      <c r="O168">
        <f>K168*L168-M168</f>
        <v/>
      </c>
      <c r="P168">
        <f>TEXT(B168,"yyyy-mm")</f>
        <v/>
      </c>
      <c r="Q168">
        <f>IF(O168&gt;=3000,"Large","Small")</f>
        <v/>
      </c>
      <c r="R168">
        <f>INDEX(Products!$F$2:$F$49,MATCH(J168,Products!$A$2:$A$49,0))</f>
        <v/>
      </c>
      <c r="S168">
        <f>WEEKDAY(B168,2)</f>
        <v/>
      </c>
    </row>
    <row r="169">
      <c r="A169" t="n">
        <v>509411</v>
      </c>
      <c r="B169" s="6" t="n">
        <v>45935</v>
      </c>
      <c r="C169" t="n">
        <v>11895</v>
      </c>
      <c r="D169" t="inlineStr">
        <is>
          <t>Pune</t>
        </is>
      </c>
      <c r="E169" t="inlineStr">
        <is>
          <t>West</t>
        </is>
      </c>
      <c r="F169" t="inlineStr">
        <is>
          <t>Email</t>
        </is>
      </c>
      <c r="G169" t="inlineStr">
        <is>
          <t>Mobile Web</t>
        </is>
      </c>
      <c r="H169" t="inlineStr">
        <is>
          <t>Debit Card</t>
        </is>
      </c>
      <c r="I169" t="inlineStr">
        <is>
          <t>Delivered</t>
        </is>
      </c>
      <c r="J169" t="n">
        <v>126</v>
      </c>
      <c r="K169" t="n">
        <v>1</v>
      </c>
      <c r="L169" t="n">
        <v>471</v>
      </c>
      <c r="M169" t="n">
        <v>0</v>
      </c>
      <c r="N169">
        <f>VLOOKUP(J169,Products!$A$2:$C$49,3,FALSE)</f>
        <v/>
      </c>
      <c r="O169">
        <f>K169*L169-M169</f>
        <v/>
      </c>
      <c r="P169">
        <f>TEXT(B169,"yyyy-mm")</f>
        <v/>
      </c>
      <c r="Q169">
        <f>IF(O169&gt;=3000,"Large","Small")</f>
        <v/>
      </c>
      <c r="R169">
        <f>INDEX(Products!$F$2:$F$49,MATCH(J169,Products!$A$2:$A$49,0))</f>
        <v/>
      </c>
      <c r="S169">
        <f>WEEKDAY(B169,2)</f>
        <v/>
      </c>
    </row>
    <row r="170">
      <c r="A170" t="n">
        <v>509411</v>
      </c>
      <c r="B170" s="6" t="n">
        <v>45935</v>
      </c>
      <c r="C170" t="n">
        <v>11895</v>
      </c>
      <c r="D170" t="inlineStr">
        <is>
          <t>Pune</t>
        </is>
      </c>
      <c r="E170" t="inlineStr">
        <is>
          <t>West</t>
        </is>
      </c>
      <c r="F170" t="inlineStr">
        <is>
          <t>Email</t>
        </is>
      </c>
      <c r="G170" t="inlineStr">
        <is>
          <t>Mobile Web</t>
        </is>
      </c>
      <c r="H170" t="inlineStr">
        <is>
          <t>Debit Card</t>
        </is>
      </c>
      <c r="I170" t="inlineStr">
        <is>
          <t>Delivered</t>
        </is>
      </c>
      <c r="J170" t="n">
        <v>112</v>
      </c>
      <c r="K170" t="n">
        <v>2</v>
      </c>
      <c r="L170" t="n">
        <v>1574</v>
      </c>
      <c r="M170" t="n">
        <v>0</v>
      </c>
      <c r="N170">
        <f>VLOOKUP(J170,Products!$A$2:$C$49,3,FALSE)</f>
        <v/>
      </c>
      <c r="O170">
        <f>K170*L170-M170</f>
        <v/>
      </c>
      <c r="P170">
        <f>TEXT(B170,"yyyy-mm")</f>
        <v/>
      </c>
      <c r="Q170">
        <f>IF(O170&gt;=3000,"Large","Small")</f>
        <v/>
      </c>
      <c r="R170">
        <f>INDEX(Products!$F$2:$F$49,MATCH(J170,Products!$A$2:$A$49,0))</f>
        <v/>
      </c>
      <c r="S170">
        <f>WEEKDAY(B170,2)</f>
        <v/>
      </c>
    </row>
    <row r="171">
      <c r="A171" t="n">
        <v>509411</v>
      </c>
      <c r="B171" s="6" t="n">
        <v>45935</v>
      </c>
      <c r="C171" t="n">
        <v>11895</v>
      </c>
      <c r="D171" t="inlineStr">
        <is>
          <t>Pune</t>
        </is>
      </c>
      <c r="E171" t="inlineStr">
        <is>
          <t>West</t>
        </is>
      </c>
      <c r="F171" t="inlineStr">
        <is>
          <t>Email</t>
        </is>
      </c>
      <c r="G171" t="inlineStr">
        <is>
          <t>Mobile Web</t>
        </is>
      </c>
      <c r="H171" t="inlineStr">
        <is>
          <t>Debit Card</t>
        </is>
      </c>
      <c r="I171" t="inlineStr">
        <is>
          <t>Delivered</t>
        </is>
      </c>
      <c r="J171" t="n">
        <v>143</v>
      </c>
      <c r="K171" t="n">
        <v>1</v>
      </c>
      <c r="L171" t="n">
        <v>839</v>
      </c>
      <c r="M171" t="n">
        <v>0</v>
      </c>
      <c r="N171">
        <f>VLOOKUP(J171,Products!$A$2:$C$49,3,FALSE)</f>
        <v/>
      </c>
      <c r="O171">
        <f>K171*L171-M171</f>
        <v/>
      </c>
      <c r="P171">
        <f>TEXT(B171,"yyyy-mm")</f>
        <v/>
      </c>
      <c r="Q171">
        <f>IF(O171&gt;=3000,"Large","Small")</f>
        <v/>
      </c>
      <c r="R171">
        <f>INDEX(Products!$F$2:$F$49,MATCH(J171,Products!$A$2:$A$49,0))</f>
        <v/>
      </c>
      <c r="S171">
        <f>WEEKDAY(B171,2)</f>
        <v/>
      </c>
    </row>
    <row r="172">
      <c r="A172" t="n">
        <v>509411</v>
      </c>
      <c r="B172" s="6" t="n">
        <v>45935</v>
      </c>
      <c r="C172" t="n">
        <v>11895</v>
      </c>
      <c r="D172" t="inlineStr">
        <is>
          <t>Pune</t>
        </is>
      </c>
      <c r="E172" t="inlineStr">
        <is>
          <t>West</t>
        </is>
      </c>
      <c r="F172" t="inlineStr">
        <is>
          <t>Email</t>
        </is>
      </c>
      <c r="G172" t="inlineStr">
        <is>
          <t>Mobile Web</t>
        </is>
      </c>
      <c r="H172" t="inlineStr">
        <is>
          <t>Debit Card</t>
        </is>
      </c>
      <c r="I172" t="inlineStr">
        <is>
          <t>Delivered</t>
        </is>
      </c>
      <c r="J172" t="n">
        <v>129</v>
      </c>
      <c r="K172" t="n">
        <v>1</v>
      </c>
      <c r="L172" t="n">
        <v>576</v>
      </c>
      <c r="M172" t="n">
        <v>0</v>
      </c>
      <c r="N172">
        <f>VLOOKUP(J172,Products!$A$2:$C$49,3,FALSE)</f>
        <v/>
      </c>
      <c r="O172">
        <f>K172*L172-M172</f>
        <v/>
      </c>
      <c r="P172">
        <f>TEXT(B172,"yyyy-mm")</f>
        <v/>
      </c>
      <c r="Q172">
        <f>IF(O172&gt;=3000,"Large","Small")</f>
        <v/>
      </c>
      <c r="R172">
        <f>INDEX(Products!$F$2:$F$49,MATCH(J172,Products!$A$2:$A$49,0))</f>
        <v/>
      </c>
      <c r="S172">
        <f>WEEKDAY(B172,2)</f>
        <v/>
      </c>
    </row>
    <row r="173">
      <c r="A173" t="n">
        <v>509412</v>
      </c>
      <c r="B173" s="6" t="n">
        <v>45935</v>
      </c>
      <c r="C173" t="n">
        <v>16297</v>
      </c>
      <c r="D173" t="inlineStr">
        <is>
          <t>Bengaluru</t>
        </is>
      </c>
      <c r="E173" t="inlineStr">
        <is>
          <t>South</t>
        </is>
      </c>
      <c r="F173" t="inlineStr">
        <is>
          <t>Referral</t>
        </is>
      </c>
      <c r="G173" t="inlineStr">
        <is>
          <t>Desktop</t>
        </is>
      </c>
      <c r="H173" t="inlineStr">
        <is>
          <t>UPI</t>
        </is>
      </c>
      <c r="I173" t="inlineStr">
        <is>
          <t>Delivered</t>
        </is>
      </c>
      <c r="J173" t="n">
        <v>113</v>
      </c>
      <c r="K173" t="n">
        <v>1</v>
      </c>
      <c r="L173" t="n">
        <v>1364</v>
      </c>
      <c r="M173" t="n">
        <v>136.4</v>
      </c>
      <c r="N173">
        <f>VLOOKUP(J173,Products!$A$2:$C$49,3,FALSE)</f>
        <v/>
      </c>
      <c r="O173">
        <f>K173*L173-M173</f>
        <v/>
      </c>
      <c r="P173">
        <f>TEXT(B173,"yyyy-mm")</f>
        <v/>
      </c>
      <c r="Q173">
        <f>IF(O173&gt;=3000,"Large","Small")</f>
        <v/>
      </c>
      <c r="R173">
        <f>INDEX(Products!$F$2:$F$49,MATCH(J173,Products!$A$2:$A$49,0))</f>
        <v/>
      </c>
      <c r="S173">
        <f>WEEKDAY(B173,2)</f>
        <v/>
      </c>
    </row>
    <row r="174">
      <c r="A174" t="n">
        <v>509413</v>
      </c>
      <c r="B174" s="6" t="n">
        <v>45935</v>
      </c>
      <c r="C174" t="n">
        <v>12746</v>
      </c>
      <c r="D174" t="inlineStr">
        <is>
          <t>Chandigarh</t>
        </is>
      </c>
      <c r="E174" t="inlineStr">
        <is>
          <t>North</t>
        </is>
      </c>
      <c r="F174" t="inlineStr">
        <is>
          <t>Organic Search</t>
        </is>
      </c>
      <c r="G174" t="inlineStr">
        <is>
          <t>Mobile Web</t>
        </is>
      </c>
      <c r="H174" t="inlineStr">
        <is>
          <t>UPI</t>
        </is>
      </c>
      <c r="I174" t="inlineStr">
        <is>
          <t>Returned</t>
        </is>
      </c>
      <c r="J174" t="n">
        <v>104</v>
      </c>
      <c r="K174" t="n">
        <v>1</v>
      </c>
      <c r="L174" t="n">
        <v>5249</v>
      </c>
      <c r="M174" t="n">
        <v>262.45</v>
      </c>
      <c r="N174">
        <f>VLOOKUP(J174,Products!$A$2:$C$49,3,FALSE)</f>
        <v/>
      </c>
      <c r="O174">
        <f>K174*L174-M174</f>
        <v/>
      </c>
      <c r="P174">
        <f>TEXT(B174,"yyyy-mm")</f>
        <v/>
      </c>
      <c r="Q174">
        <f>IF(O174&gt;=3000,"Large","Small")</f>
        <v/>
      </c>
      <c r="R174">
        <f>INDEX(Products!$F$2:$F$49,MATCH(J174,Products!$A$2:$A$49,0))</f>
        <v/>
      </c>
      <c r="S174">
        <f>WEEKDAY(B174,2)</f>
        <v/>
      </c>
    </row>
    <row r="175">
      <c r="A175" t="n">
        <v>509413</v>
      </c>
      <c r="B175" s="6" t="n">
        <v>45935</v>
      </c>
      <c r="C175" t="n">
        <v>12746</v>
      </c>
      <c r="D175" t="inlineStr">
        <is>
          <t>Chandigarh</t>
        </is>
      </c>
      <c r="E175" t="inlineStr">
        <is>
          <t>North</t>
        </is>
      </c>
      <c r="F175" t="inlineStr">
        <is>
          <t>Organic Search</t>
        </is>
      </c>
      <c r="G175" t="inlineStr">
        <is>
          <t>Mobile Web</t>
        </is>
      </c>
      <c r="H175" t="inlineStr">
        <is>
          <t>UPI</t>
        </is>
      </c>
      <c r="I175" t="inlineStr">
        <is>
          <t>Returned</t>
        </is>
      </c>
      <c r="J175" t="n">
        <v>113</v>
      </c>
      <c r="K175" t="n">
        <v>1</v>
      </c>
      <c r="L175" t="n">
        <v>1364</v>
      </c>
      <c r="M175" t="n">
        <v>68.2</v>
      </c>
      <c r="N175">
        <f>VLOOKUP(J175,Products!$A$2:$C$49,3,FALSE)</f>
        <v/>
      </c>
      <c r="O175">
        <f>K175*L175-M175</f>
        <v/>
      </c>
      <c r="P175">
        <f>TEXT(B175,"yyyy-mm")</f>
        <v/>
      </c>
      <c r="Q175">
        <f>IF(O175&gt;=3000,"Large","Small")</f>
        <v/>
      </c>
      <c r="R175">
        <f>INDEX(Products!$F$2:$F$49,MATCH(J175,Products!$A$2:$A$49,0))</f>
        <v/>
      </c>
      <c r="S175">
        <f>WEEKDAY(B175,2)</f>
        <v/>
      </c>
    </row>
    <row r="176">
      <c r="A176" t="n">
        <v>509413</v>
      </c>
      <c r="B176" s="6" t="n">
        <v>45935</v>
      </c>
      <c r="C176" t="n">
        <v>12746</v>
      </c>
      <c r="D176" t="inlineStr">
        <is>
          <t>Chandigarh</t>
        </is>
      </c>
      <c r="E176" t="inlineStr">
        <is>
          <t>North</t>
        </is>
      </c>
      <c r="F176" t="inlineStr">
        <is>
          <t>Organic Search</t>
        </is>
      </c>
      <c r="G176" t="inlineStr">
        <is>
          <t>Mobile Web</t>
        </is>
      </c>
      <c r="H176" t="inlineStr">
        <is>
          <t>UPI</t>
        </is>
      </c>
      <c r="I176" t="inlineStr">
        <is>
          <t>Returned</t>
        </is>
      </c>
      <c r="J176" t="n">
        <v>114</v>
      </c>
      <c r="K176" t="n">
        <v>1</v>
      </c>
      <c r="L176" t="n">
        <v>1259</v>
      </c>
      <c r="M176" t="n">
        <v>62.95</v>
      </c>
      <c r="N176">
        <f>VLOOKUP(J176,Products!$A$2:$C$49,3,FALSE)</f>
        <v/>
      </c>
      <c r="O176">
        <f>K176*L176-M176</f>
        <v/>
      </c>
      <c r="P176">
        <f>TEXT(B176,"yyyy-mm")</f>
        <v/>
      </c>
      <c r="Q176">
        <f>IF(O176&gt;=3000,"Large","Small")</f>
        <v/>
      </c>
      <c r="R176">
        <f>INDEX(Products!$F$2:$F$49,MATCH(J176,Products!$A$2:$A$49,0))</f>
        <v/>
      </c>
      <c r="S176">
        <f>WEEKDAY(B176,2)</f>
        <v/>
      </c>
    </row>
    <row r="177">
      <c r="A177" t="n">
        <v>509414</v>
      </c>
      <c r="B177" s="6" t="n">
        <v>45935</v>
      </c>
      <c r="C177" t="n">
        <v>11819</v>
      </c>
      <c r="D177" t="inlineStr">
        <is>
          <t>Bengaluru</t>
        </is>
      </c>
      <c r="E177" t="inlineStr">
        <is>
          <t>South</t>
        </is>
      </c>
      <c r="F177" t="inlineStr">
        <is>
          <t>Organic Search</t>
        </is>
      </c>
      <c r="G177" t="inlineStr">
        <is>
          <t>Mobile Web</t>
        </is>
      </c>
      <c r="H177" t="inlineStr">
        <is>
          <t>Debit Card</t>
        </is>
      </c>
      <c r="I177" t="inlineStr">
        <is>
          <t>Delivered</t>
        </is>
      </c>
      <c r="J177" t="n">
        <v>143</v>
      </c>
      <c r="K177" t="n">
        <v>1</v>
      </c>
      <c r="L177" t="n">
        <v>839</v>
      </c>
      <c r="M177" t="n">
        <v>0</v>
      </c>
      <c r="N177">
        <f>VLOOKUP(J177,Products!$A$2:$C$49,3,FALSE)</f>
        <v/>
      </c>
      <c r="O177">
        <f>K177*L177-M177</f>
        <v/>
      </c>
      <c r="P177">
        <f>TEXT(B177,"yyyy-mm")</f>
        <v/>
      </c>
      <c r="Q177">
        <f>IF(O177&gt;=3000,"Large","Small")</f>
        <v/>
      </c>
      <c r="R177">
        <f>INDEX(Products!$F$2:$F$49,MATCH(J177,Products!$A$2:$A$49,0))</f>
        <v/>
      </c>
      <c r="S177">
        <f>WEEKDAY(B177,2)</f>
        <v/>
      </c>
    </row>
    <row r="178">
      <c r="A178" t="n">
        <v>509414</v>
      </c>
      <c r="B178" s="6" t="n">
        <v>45935</v>
      </c>
      <c r="C178" t="n">
        <v>11819</v>
      </c>
      <c r="D178" t="inlineStr">
        <is>
          <t>Bengaluru</t>
        </is>
      </c>
      <c r="E178" t="inlineStr">
        <is>
          <t>South</t>
        </is>
      </c>
      <c r="F178" t="inlineStr">
        <is>
          <t>Organic Search</t>
        </is>
      </c>
      <c r="G178" t="inlineStr">
        <is>
          <t>Mobile Web</t>
        </is>
      </c>
      <c r="H178" t="inlineStr">
        <is>
          <t>Debit Card</t>
        </is>
      </c>
      <c r="I178" t="inlineStr">
        <is>
          <t>Delivered</t>
        </is>
      </c>
      <c r="J178" t="n">
        <v>129</v>
      </c>
      <c r="K178" t="n">
        <v>2</v>
      </c>
      <c r="L178" t="n">
        <v>576</v>
      </c>
      <c r="M178" t="n">
        <v>0</v>
      </c>
      <c r="N178">
        <f>VLOOKUP(J178,Products!$A$2:$C$49,3,FALSE)</f>
        <v/>
      </c>
      <c r="O178">
        <f>K178*L178-M178</f>
        <v/>
      </c>
      <c r="P178">
        <f>TEXT(B178,"yyyy-mm")</f>
        <v/>
      </c>
      <c r="Q178">
        <f>IF(O178&gt;=3000,"Large","Small")</f>
        <v/>
      </c>
      <c r="R178">
        <f>INDEX(Products!$F$2:$F$49,MATCH(J178,Products!$A$2:$A$49,0))</f>
        <v/>
      </c>
      <c r="S178">
        <f>WEEKDAY(B178,2)</f>
        <v/>
      </c>
    </row>
    <row r="179">
      <c r="A179" t="n">
        <v>509415</v>
      </c>
      <c r="B179" s="6" t="n">
        <v>45935</v>
      </c>
      <c r="C179" t="n">
        <v>11941</v>
      </c>
      <c r="D179" t="inlineStr">
        <is>
          <t>Chennai</t>
        </is>
      </c>
      <c r="E179" t="inlineStr">
        <is>
          <t>South</t>
        </is>
      </c>
      <c r="F179" t="inlineStr">
        <is>
          <t>Paid Social</t>
        </is>
      </c>
      <c r="G179" t="inlineStr">
        <is>
          <t>Mobile App</t>
        </is>
      </c>
      <c r="H179" t="inlineStr">
        <is>
          <t>UPI</t>
        </is>
      </c>
      <c r="I179" t="inlineStr">
        <is>
          <t>Delivered</t>
        </is>
      </c>
      <c r="J179" t="n">
        <v>116</v>
      </c>
      <c r="K179" t="n">
        <v>1</v>
      </c>
      <c r="L179" t="n">
        <v>2624</v>
      </c>
      <c r="M179" t="n">
        <v>262.4</v>
      </c>
      <c r="N179">
        <f>VLOOKUP(J179,Products!$A$2:$C$49,3,FALSE)</f>
        <v/>
      </c>
      <c r="O179">
        <f>K179*L179-M179</f>
        <v/>
      </c>
      <c r="P179">
        <f>TEXT(B179,"yyyy-mm")</f>
        <v/>
      </c>
      <c r="Q179">
        <f>IF(O179&gt;=3000,"Large","Small")</f>
        <v/>
      </c>
      <c r="R179">
        <f>INDEX(Products!$F$2:$F$49,MATCH(J179,Products!$A$2:$A$49,0))</f>
        <v/>
      </c>
      <c r="S179">
        <f>WEEKDAY(B179,2)</f>
        <v/>
      </c>
    </row>
    <row r="180">
      <c r="A180" t="n">
        <v>509415</v>
      </c>
      <c r="B180" s="6" t="n">
        <v>45935</v>
      </c>
      <c r="C180" t="n">
        <v>11941</v>
      </c>
      <c r="D180" t="inlineStr">
        <is>
          <t>Chennai</t>
        </is>
      </c>
      <c r="E180" t="inlineStr">
        <is>
          <t>South</t>
        </is>
      </c>
      <c r="F180" t="inlineStr">
        <is>
          <t>Paid Social</t>
        </is>
      </c>
      <c r="G180" t="inlineStr">
        <is>
          <t>Mobile App</t>
        </is>
      </c>
      <c r="H180" t="inlineStr">
        <is>
          <t>UPI</t>
        </is>
      </c>
      <c r="I180" t="inlineStr">
        <is>
          <t>Delivered</t>
        </is>
      </c>
      <c r="J180" t="n">
        <v>101</v>
      </c>
      <c r="K180" t="n">
        <v>2</v>
      </c>
      <c r="L180" t="n">
        <v>2099</v>
      </c>
      <c r="M180" t="n">
        <v>419.8</v>
      </c>
      <c r="N180">
        <f>VLOOKUP(J180,Products!$A$2:$C$49,3,FALSE)</f>
        <v/>
      </c>
      <c r="O180">
        <f>K180*L180-M180</f>
        <v/>
      </c>
      <c r="P180">
        <f>TEXT(B180,"yyyy-mm")</f>
        <v/>
      </c>
      <c r="Q180">
        <f>IF(O180&gt;=3000,"Large","Small")</f>
        <v/>
      </c>
      <c r="R180">
        <f>INDEX(Products!$F$2:$F$49,MATCH(J180,Products!$A$2:$A$49,0))</f>
        <v/>
      </c>
      <c r="S180">
        <f>WEEKDAY(B180,2)</f>
        <v/>
      </c>
    </row>
    <row r="181">
      <c r="A181" t="n">
        <v>509415</v>
      </c>
      <c r="B181" s="6" t="n">
        <v>45935</v>
      </c>
      <c r="C181" t="n">
        <v>11941</v>
      </c>
      <c r="D181" t="inlineStr">
        <is>
          <t>Chennai</t>
        </is>
      </c>
      <c r="E181" t="inlineStr">
        <is>
          <t>South</t>
        </is>
      </c>
      <c r="F181" t="inlineStr">
        <is>
          <t>Paid Social</t>
        </is>
      </c>
      <c r="G181" t="inlineStr">
        <is>
          <t>Mobile App</t>
        </is>
      </c>
      <c r="H181" t="inlineStr">
        <is>
          <t>UPI</t>
        </is>
      </c>
      <c r="I181" t="inlineStr">
        <is>
          <t>Delivered</t>
        </is>
      </c>
      <c r="J181" t="n">
        <v>113</v>
      </c>
      <c r="K181" t="n">
        <v>1</v>
      </c>
      <c r="L181" t="n">
        <v>1364</v>
      </c>
      <c r="M181" t="n">
        <v>136.4</v>
      </c>
      <c r="N181">
        <f>VLOOKUP(J181,Products!$A$2:$C$49,3,FALSE)</f>
        <v/>
      </c>
      <c r="O181">
        <f>K181*L181-M181</f>
        <v/>
      </c>
      <c r="P181">
        <f>TEXT(B181,"yyyy-mm")</f>
        <v/>
      </c>
      <c r="Q181">
        <f>IF(O181&gt;=3000,"Large","Small")</f>
        <v/>
      </c>
      <c r="R181">
        <f>INDEX(Products!$F$2:$F$49,MATCH(J181,Products!$A$2:$A$49,0))</f>
        <v/>
      </c>
      <c r="S181">
        <f>WEEKDAY(B181,2)</f>
        <v/>
      </c>
    </row>
    <row r="182">
      <c r="A182" t="n">
        <v>509415</v>
      </c>
      <c r="B182" s="6" t="n">
        <v>45935</v>
      </c>
      <c r="C182" t="n">
        <v>11941</v>
      </c>
      <c r="D182" t="inlineStr">
        <is>
          <t>Chennai</t>
        </is>
      </c>
      <c r="E182" t="inlineStr">
        <is>
          <t>South</t>
        </is>
      </c>
      <c r="F182" t="inlineStr">
        <is>
          <t>Paid Social</t>
        </is>
      </c>
      <c r="G182" t="inlineStr">
        <is>
          <t>Mobile App</t>
        </is>
      </c>
      <c r="H182" t="inlineStr">
        <is>
          <t>UPI</t>
        </is>
      </c>
      <c r="I182" t="inlineStr">
        <is>
          <t>Delivered</t>
        </is>
      </c>
      <c r="J182" t="n">
        <v>118</v>
      </c>
      <c r="K182" t="n">
        <v>1</v>
      </c>
      <c r="L182" t="n">
        <v>944</v>
      </c>
      <c r="M182" t="n">
        <v>94.40000000000001</v>
      </c>
      <c r="N182">
        <f>VLOOKUP(J182,Products!$A$2:$C$49,3,FALSE)</f>
        <v/>
      </c>
      <c r="O182">
        <f>K182*L182-M182</f>
        <v/>
      </c>
      <c r="P182">
        <f>TEXT(B182,"yyyy-mm")</f>
        <v/>
      </c>
      <c r="Q182">
        <f>IF(O182&gt;=3000,"Large","Small")</f>
        <v/>
      </c>
      <c r="R182">
        <f>INDEX(Products!$F$2:$F$49,MATCH(J182,Products!$A$2:$A$49,0))</f>
        <v/>
      </c>
      <c r="S182">
        <f>WEEKDAY(B182,2)</f>
        <v/>
      </c>
    </row>
    <row r="183">
      <c r="A183" t="n">
        <v>509416</v>
      </c>
      <c r="B183" s="6" t="n">
        <v>45935</v>
      </c>
      <c r="C183" t="n">
        <v>15686</v>
      </c>
      <c r="D183" t="inlineStr">
        <is>
          <t>Indore</t>
        </is>
      </c>
      <c r="E183" t="inlineStr">
        <is>
          <t>West</t>
        </is>
      </c>
      <c r="F183" t="inlineStr">
        <is>
          <t>Paid Social</t>
        </is>
      </c>
      <c r="G183" t="inlineStr">
        <is>
          <t>Mobile Web</t>
        </is>
      </c>
      <c r="H183" t="inlineStr">
        <is>
          <t>Cash on Delivery</t>
        </is>
      </c>
      <c r="I183" t="inlineStr">
        <is>
          <t>Delivered</t>
        </is>
      </c>
      <c r="J183" t="n">
        <v>107</v>
      </c>
      <c r="K183" t="n">
        <v>1</v>
      </c>
      <c r="L183" t="n">
        <v>1259</v>
      </c>
      <c r="M183" t="n">
        <v>125.9</v>
      </c>
      <c r="N183">
        <f>VLOOKUP(J183,Products!$A$2:$C$49,3,FALSE)</f>
        <v/>
      </c>
      <c r="O183">
        <f>K183*L183-M183</f>
        <v/>
      </c>
      <c r="P183">
        <f>TEXT(B183,"yyyy-mm")</f>
        <v/>
      </c>
      <c r="Q183">
        <f>IF(O183&gt;=3000,"Large","Small")</f>
        <v/>
      </c>
      <c r="R183">
        <f>INDEX(Products!$F$2:$F$49,MATCH(J183,Products!$A$2:$A$49,0))</f>
        <v/>
      </c>
      <c r="S183">
        <f>WEEKDAY(B183,2)</f>
        <v/>
      </c>
    </row>
    <row r="184">
      <c r="A184" t="n">
        <v>509416</v>
      </c>
      <c r="B184" s="6" t="n">
        <v>45935</v>
      </c>
      <c r="C184" t="n">
        <v>15686</v>
      </c>
      <c r="D184" t="inlineStr">
        <is>
          <t>Indore</t>
        </is>
      </c>
      <c r="E184" t="inlineStr">
        <is>
          <t>West</t>
        </is>
      </c>
      <c r="F184" t="inlineStr">
        <is>
          <t>Paid Social</t>
        </is>
      </c>
      <c r="G184" t="inlineStr">
        <is>
          <t>Mobile Web</t>
        </is>
      </c>
      <c r="H184" t="inlineStr">
        <is>
          <t>Cash on Delivery</t>
        </is>
      </c>
      <c r="I184" t="inlineStr">
        <is>
          <t>Delivered</t>
        </is>
      </c>
      <c r="J184" t="n">
        <v>129</v>
      </c>
      <c r="K184" t="n">
        <v>1</v>
      </c>
      <c r="L184" t="n">
        <v>576</v>
      </c>
      <c r="M184" t="n">
        <v>57.6</v>
      </c>
      <c r="N184">
        <f>VLOOKUP(J184,Products!$A$2:$C$49,3,FALSE)</f>
        <v/>
      </c>
      <c r="O184">
        <f>K184*L184-M184</f>
        <v/>
      </c>
      <c r="P184">
        <f>TEXT(B184,"yyyy-mm")</f>
        <v/>
      </c>
      <c r="Q184">
        <f>IF(O184&gt;=3000,"Large","Small")</f>
        <v/>
      </c>
      <c r="R184">
        <f>INDEX(Products!$F$2:$F$49,MATCH(J184,Products!$A$2:$A$49,0))</f>
        <v/>
      </c>
      <c r="S184">
        <f>WEEKDAY(B184,2)</f>
        <v/>
      </c>
    </row>
    <row r="185">
      <c r="A185" t="n">
        <v>509417</v>
      </c>
      <c r="B185" s="6" t="n">
        <v>45935</v>
      </c>
      <c r="C185" t="n">
        <v>13210</v>
      </c>
      <c r="D185" t="inlineStr">
        <is>
          <t>Bengaluru</t>
        </is>
      </c>
      <c r="E185" t="inlineStr">
        <is>
          <t>South</t>
        </is>
      </c>
      <c r="F185" t="inlineStr">
        <is>
          <t>Paid Social</t>
        </is>
      </c>
      <c r="G185" t="inlineStr">
        <is>
          <t>Mobile App</t>
        </is>
      </c>
      <c r="H185" t="inlineStr">
        <is>
          <t>UPI</t>
        </is>
      </c>
      <c r="I185" t="inlineStr">
        <is>
          <t>Delivered</t>
        </is>
      </c>
      <c r="J185" t="n">
        <v>108</v>
      </c>
      <c r="K185" t="n">
        <v>2</v>
      </c>
      <c r="L185" t="n">
        <v>419</v>
      </c>
      <c r="M185" t="n">
        <v>83.8</v>
      </c>
      <c r="N185">
        <f>VLOOKUP(J185,Products!$A$2:$C$49,3,FALSE)</f>
        <v/>
      </c>
      <c r="O185">
        <f>K185*L185-M185</f>
        <v/>
      </c>
      <c r="P185">
        <f>TEXT(B185,"yyyy-mm")</f>
        <v/>
      </c>
      <c r="Q185">
        <f>IF(O185&gt;=3000,"Large","Small")</f>
        <v/>
      </c>
      <c r="R185">
        <f>INDEX(Products!$F$2:$F$49,MATCH(J185,Products!$A$2:$A$49,0))</f>
        <v/>
      </c>
      <c r="S185">
        <f>WEEKDAY(B185,2)</f>
        <v/>
      </c>
    </row>
    <row r="186">
      <c r="A186" t="n">
        <v>509417</v>
      </c>
      <c r="B186" s="6" t="n">
        <v>45935</v>
      </c>
      <c r="C186" t="n">
        <v>13210</v>
      </c>
      <c r="D186" t="inlineStr">
        <is>
          <t>Bengaluru</t>
        </is>
      </c>
      <c r="E186" t="inlineStr">
        <is>
          <t>South</t>
        </is>
      </c>
      <c r="F186" t="inlineStr">
        <is>
          <t>Paid Social</t>
        </is>
      </c>
      <c r="G186" t="inlineStr">
        <is>
          <t>Mobile App</t>
        </is>
      </c>
      <c r="H186" t="inlineStr">
        <is>
          <t>UPI</t>
        </is>
      </c>
      <c r="I186" t="inlineStr">
        <is>
          <t>Delivered</t>
        </is>
      </c>
      <c r="J186" t="n">
        <v>129</v>
      </c>
      <c r="K186" t="n">
        <v>1</v>
      </c>
      <c r="L186" t="n">
        <v>576</v>
      </c>
      <c r="M186" t="n">
        <v>57.6</v>
      </c>
      <c r="N186">
        <f>VLOOKUP(J186,Products!$A$2:$C$49,3,FALSE)</f>
        <v/>
      </c>
      <c r="O186">
        <f>K186*L186-M186</f>
        <v/>
      </c>
      <c r="P186">
        <f>TEXT(B186,"yyyy-mm")</f>
        <v/>
      </c>
      <c r="Q186">
        <f>IF(O186&gt;=3000,"Large","Small")</f>
        <v/>
      </c>
      <c r="R186">
        <f>INDEX(Products!$F$2:$F$49,MATCH(J186,Products!$A$2:$A$49,0))</f>
        <v/>
      </c>
      <c r="S186">
        <f>WEEKDAY(B186,2)</f>
        <v/>
      </c>
    </row>
    <row r="187">
      <c r="A187" t="n">
        <v>509418</v>
      </c>
      <c r="B187" s="6" t="n">
        <v>45935</v>
      </c>
      <c r="C187" t="n">
        <v>16055</v>
      </c>
      <c r="D187" t="inlineStr">
        <is>
          <t>Bengaluru</t>
        </is>
      </c>
      <c r="E187" t="inlineStr">
        <is>
          <t>South</t>
        </is>
      </c>
      <c r="F187" t="inlineStr">
        <is>
          <t>Paid Social</t>
        </is>
      </c>
      <c r="G187" t="inlineStr">
        <is>
          <t>Mobile App</t>
        </is>
      </c>
      <c r="H187" t="inlineStr">
        <is>
          <t>UPI</t>
        </is>
      </c>
      <c r="I187" t="inlineStr">
        <is>
          <t>Delivered</t>
        </is>
      </c>
      <c r="J187" t="n">
        <v>141</v>
      </c>
      <c r="K187" t="n">
        <v>1</v>
      </c>
      <c r="L187" t="n">
        <v>261</v>
      </c>
      <c r="M187" t="n">
        <v>0</v>
      </c>
      <c r="N187">
        <f>VLOOKUP(J187,Products!$A$2:$C$49,3,FALSE)</f>
        <v/>
      </c>
      <c r="O187">
        <f>K187*L187-M187</f>
        <v/>
      </c>
      <c r="P187">
        <f>TEXT(B187,"yyyy-mm")</f>
        <v/>
      </c>
      <c r="Q187">
        <f>IF(O187&gt;=3000,"Large","Small")</f>
        <v/>
      </c>
      <c r="R187">
        <f>INDEX(Products!$F$2:$F$49,MATCH(J187,Products!$A$2:$A$49,0))</f>
        <v/>
      </c>
      <c r="S187">
        <f>WEEKDAY(B187,2)</f>
        <v/>
      </c>
    </row>
    <row r="188">
      <c r="A188" t="n">
        <v>509418</v>
      </c>
      <c r="B188" s="6" t="n">
        <v>45935</v>
      </c>
      <c r="C188" t="n">
        <v>16055</v>
      </c>
      <c r="D188" t="inlineStr">
        <is>
          <t>Bengaluru</t>
        </is>
      </c>
      <c r="E188" t="inlineStr">
        <is>
          <t>South</t>
        </is>
      </c>
      <c r="F188" t="inlineStr">
        <is>
          <t>Paid Social</t>
        </is>
      </c>
      <c r="G188" t="inlineStr">
        <is>
          <t>Mobile App</t>
        </is>
      </c>
      <c r="H188" t="inlineStr">
        <is>
          <t>UPI</t>
        </is>
      </c>
      <c r="I188" t="inlineStr">
        <is>
          <t>Delivered</t>
        </is>
      </c>
      <c r="J188" t="n">
        <v>115</v>
      </c>
      <c r="K188" t="n">
        <v>1</v>
      </c>
      <c r="L188" t="n">
        <v>4199</v>
      </c>
      <c r="M188" t="n">
        <v>0</v>
      </c>
      <c r="N188">
        <f>VLOOKUP(J188,Products!$A$2:$C$49,3,FALSE)</f>
        <v/>
      </c>
      <c r="O188">
        <f>K188*L188-M188</f>
        <v/>
      </c>
      <c r="P188">
        <f>TEXT(B188,"yyyy-mm")</f>
        <v/>
      </c>
      <c r="Q188">
        <f>IF(O188&gt;=3000,"Large","Small")</f>
        <v/>
      </c>
      <c r="R188">
        <f>INDEX(Products!$F$2:$F$49,MATCH(J188,Products!$A$2:$A$49,0))</f>
        <v/>
      </c>
      <c r="S188">
        <f>WEEKDAY(B188,2)</f>
        <v/>
      </c>
    </row>
    <row r="189">
      <c r="A189" t="n">
        <v>509419</v>
      </c>
      <c r="B189" s="6" t="n">
        <v>45935</v>
      </c>
      <c r="C189" t="n">
        <v>11413</v>
      </c>
      <c r="D189" t="inlineStr">
        <is>
          <t>Chennai</t>
        </is>
      </c>
      <c r="E189" t="inlineStr">
        <is>
          <t>South</t>
        </is>
      </c>
      <c r="F189" t="inlineStr">
        <is>
          <t>Paid Search</t>
        </is>
      </c>
      <c r="G189" t="inlineStr">
        <is>
          <t>Desktop</t>
        </is>
      </c>
      <c r="H189" t="inlineStr">
        <is>
          <t>UPI</t>
        </is>
      </c>
      <c r="I189" t="inlineStr">
        <is>
          <t>Delivered</t>
        </is>
      </c>
      <c r="J189" t="n">
        <v>118</v>
      </c>
      <c r="K189" t="n">
        <v>1</v>
      </c>
      <c r="L189" t="n">
        <v>944</v>
      </c>
      <c r="M189" t="n">
        <v>94.40000000000001</v>
      </c>
      <c r="N189">
        <f>VLOOKUP(J189,Products!$A$2:$C$49,3,FALSE)</f>
        <v/>
      </c>
      <c r="O189">
        <f>K189*L189-M189</f>
        <v/>
      </c>
      <c r="P189">
        <f>TEXT(B189,"yyyy-mm")</f>
        <v/>
      </c>
      <c r="Q189">
        <f>IF(O189&gt;=3000,"Large","Small")</f>
        <v/>
      </c>
      <c r="R189">
        <f>INDEX(Products!$F$2:$F$49,MATCH(J189,Products!$A$2:$A$49,0))</f>
        <v/>
      </c>
      <c r="S189">
        <f>WEEKDAY(B189,2)</f>
        <v/>
      </c>
    </row>
    <row r="190">
      <c r="A190" t="n">
        <v>509419</v>
      </c>
      <c r="B190" s="6" t="n">
        <v>45935</v>
      </c>
      <c r="C190" t="n">
        <v>11413</v>
      </c>
      <c r="D190" t="inlineStr">
        <is>
          <t>Chennai</t>
        </is>
      </c>
      <c r="E190" t="inlineStr">
        <is>
          <t>South</t>
        </is>
      </c>
      <c r="F190" t="inlineStr">
        <is>
          <t>Paid Search</t>
        </is>
      </c>
      <c r="G190" t="inlineStr">
        <is>
          <t>Desktop</t>
        </is>
      </c>
      <c r="H190" t="inlineStr">
        <is>
          <t>UPI</t>
        </is>
      </c>
      <c r="I190" t="inlineStr">
        <is>
          <t>Delivered</t>
        </is>
      </c>
      <c r="J190" t="n">
        <v>129</v>
      </c>
      <c r="K190" t="n">
        <v>2</v>
      </c>
      <c r="L190" t="n">
        <v>576</v>
      </c>
      <c r="M190" t="n">
        <v>115.2</v>
      </c>
      <c r="N190">
        <f>VLOOKUP(J190,Products!$A$2:$C$49,3,FALSE)</f>
        <v/>
      </c>
      <c r="O190">
        <f>K190*L190-M190</f>
        <v/>
      </c>
      <c r="P190">
        <f>TEXT(B190,"yyyy-mm")</f>
        <v/>
      </c>
      <c r="Q190">
        <f>IF(O190&gt;=3000,"Large","Small")</f>
        <v/>
      </c>
      <c r="R190">
        <f>INDEX(Products!$F$2:$F$49,MATCH(J190,Products!$A$2:$A$49,0))</f>
        <v/>
      </c>
      <c r="S190">
        <f>WEEKDAY(B190,2)</f>
        <v/>
      </c>
    </row>
    <row r="191">
      <c r="A191" t="n">
        <v>509420</v>
      </c>
      <c r="B191" s="6" t="n">
        <v>45935</v>
      </c>
      <c r="C191" t="n">
        <v>14791</v>
      </c>
      <c r="D191" t="inlineStr">
        <is>
          <t>Bengaluru</t>
        </is>
      </c>
      <c r="E191" t="inlineStr">
        <is>
          <t>South</t>
        </is>
      </c>
      <c r="F191" t="inlineStr">
        <is>
          <t>Email</t>
        </is>
      </c>
      <c r="G191" t="inlineStr">
        <is>
          <t>Mobile Web</t>
        </is>
      </c>
      <c r="H191" t="inlineStr">
        <is>
          <t>UPI</t>
        </is>
      </c>
      <c r="I191" t="inlineStr">
        <is>
          <t>Delivered</t>
        </is>
      </c>
      <c r="J191" t="n">
        <v>121</v>
      </c>
      <c r="K191" t="n">
        <v>1</v>
      </c>
      <c r="L191" t="n">
        <v>2939</v>
      </c>
      <c r="M191" t="n">
        <v>293.9</v>
      </c>
      <c r="N191">
        <f>VLOOKUP(J191,Products!$A$2:$C$49,3,FALSE)</f>
        <v/>
      </c>
      <c r="O191">
        <f>K191*L191-M191</f>
        <v/>
      </c>
      <c r="P191">
        <f>TEXT(B191,"yyyy-mm")</f>
        <v/>
      </c>
      <c r="Q191">
        <f>IF(O191&gt;=3000,"Large","Small")</f>
        <v/>
      </c>
      <c r="R191">
        <f>INDEX(Products!$F$2:$F$49,MATCH(J191,Products!$A$2:$A$49,0))</f>
        <v/>
      </c>
      <c r="S191">
        <f>WEEKDAY(B191,2)</f>
        <v/>
      </c>
    </row>
    <row r="192">
      <c r="A192" t="n">
        <v>509421</v>
      </c>
      <c r="B192" s="6" t="n">
        <v>45935</v>
      </c>
      <c r="C192" t="n">
        <v>16463</v>
      </c>
      <c r="D192" t="inlineStr">
        <is>
          <t>Kolkata</t>
        </is>
      </c>
      <c r="E192" t="inlineStr">
        <is>
          <t>East</t>
        </is>
      </c>
      <c r="F192" t="inlineStr">
        <is>
          <t>Organic Search</t>
        </is>
      </c>
      <c r="G192" t="inlineStr">
        <is>
          <t>Mobile App</t>
        </is>
      </c>
      <c r="H192" t="inlineStr">
        <is>
          <t>Credit Card</t>
        </is>
      </c>
      <c r="I192" t="inlineStr">
        <is>
          <t>Delivered</t>
        </is>
      </c>
      <c r="J192" t="n">
        <v>118</v>
      </c>
      <c r="K192" t="n">
        <v>1</v>
      </c>
      <c r="L192" t="n">
        <v>944</v>
      </c>
      <c r="M192" t="n">
        <v>141.6</v>
      </c>
      <c r="N192">
        <f>VLOOKUP(J192,Products!$A$2:$C$49,3,FALSE)</f>
        <v/>
      </c>
      <c r="O192">
        <f>K192*L192-M192</f>
        <v/>
      </c>
      <c r="P192">
        <f>TEXT(B192,"yyyy-mm")</f>
        <v/>
      </c>
      <c r="Q192">
        <f>IF(O192&gt;=3000,"Large","Small")</f>
        <v/>
      </c>
      <c r="R192">
        <f>INDEX(Products!$F$2:$F$49,MATCH(J192,Products!$A$2:$A$49,0))</f>
        <v/>
      </c>
      <c r="S192">
        <f>WEEKDAY(B192,2)</f>
        <v/>
      </c>
    </row>
    <row r="193">
      <c r="A193" t="n">
        <v>509421</v>
      </c>
      <c r="B193" s="6" t="n">
        <v>45935</v>
      </c>
      <c r="C193" t="n">
        <v>16463</v>
      </c>
      <c r="D193" t="inlineStr">
        <is>
          <t>Kolkata</t>
        </is>
      </c>
      <c r="E193" t="inlineStr">
        <is>
          <t>East</t>
        </is>
      </c>
      <c r="F193" t="inlineStr">
        <is>
          <t>Organic Search</t>
        </is>
      </c>
      <c r="G193" t="inlineStr">
        <is>
          <t>Mobile App</t>
        </is>
      </c>
      <c r="H193" t="inlineStr">
        <is>
          <t>Credit Card</t>
        </is>
      </c>
      <c r="I193" t="inlineStr">
        <is>
          <t>Delivered</t>
        </is>
      </c>
      <c r="J193" t="n">
        <v>117</v>
      </c>
      <c r="K193" t="n">
        <v>2</v>
      </c>
      <c r="L193" t="n">
        <v>3149</v>
      </c>
      <c r="M193" t="n">
        <v>944.7</v>
      </c>
      <c r="N193">
        <f>VLOOKUP(J193,Products!$A$2:$C$49,3,FALSE)</f>
        <v/>
      </c>
      <c r="O193">
        <f>K193*L193-M193</f>
        <v/>
      </c>
      <c r="P193">
        <f>TEXT(B193,"yyyy-mm")</f>
        <v/>
      </c>
      <c r="Q193">
        <f>IF(O193&gt;=3000,"Large","Small")</f>
        <v/>
      </c>
      <c r="R193">
        <f>INDEX(Products!$F$2:$F$49,MATCH(J193,Products!$A$2:$A$49,0))</f>
        <v/>
      </c>
      <c r="S193">
        <f>WEEKDAY(B193,2)</f>
        <v/>
      </c>
    </row>
    <row r="194">
      <c r="A194" t="n">
        <v>509422</v>
      </c>
      <c r="B194" s="6" t="n">
        <v>45935</v>
      </c>
      <c r="C194" t="n">
        <v>13025</v>
      </c>
      <c r="D194" t="inlineStr">
        <is>
          <t>Gurugram</t>
        </is>
      </c>
      <c r="E194" t="inlineStr">
        <is>
          <t>North</t>
        </is>
      </c>
      <c r="F194" t="inlineStr">
        <is>
          <t>Paid Search</t>
        </is>
      </c>
      <c r="G194" t="inlineStr">
        <is>
          <t>Mobile App</t>
        </is>
      </c>
      <c r="H194" t="inlineStr">
        <is>
          <t>UPI</t>
        </is>
      </c>
      <c r="I194" t="inlineStr">
        <is>
          <t>Delivered</t>
        </is>
      </c>
      <c r="J194" t="n">
        <v>116</v>
      </c>
      <c r="K194" t="n">
        <v>2</v>
      </c>
      <c r="L194" t="n">
        <v>2624</v>
      </c>
      <c r="M194" t="n">
        <v>262.4</v>
      </c>
      <c r="N194">
        <f>VLOOKUP(J194,Products!$A$2:$C$49,3,FALSE)</f>
        <v/>
      </c>
      <c r="O194">
        <f>K194*L194-M194</f>
        <v/>
      </c>
      <c r="P194">
        <f>TEXT(B194,"yyyy-mm")</f>
        <v/>
      </c>
      <c r="Q194">
        <f>IF(O194&gt;=3000,"Large","Small")</f>
        <v/>
      </c>
      <c r="R194">
        <f>INDEX(Products!$F$2:$F$49,MATCH(J194,Products!$A$2:$A$49,0))</f>
        <v/>
      </c>
      <c r="S194">
        <f>WEEKDAY(B194,2)</f>
        <v/>
      </c>
    </row>
    <row r="195">
      <c r="A195" t="n">
        <v>509423</v>
      </c>
      <c r="B195" s="6" t="n">
        <v>45935</v>
      </c>
      <c r="C195" t="n">
        <v>15888</v>
      </c>
      <c r="D195" t="inlineStr">
        <is>
          <t>Ahmedabad</t>
        </is>
      </c>
      <c r="E195" t="inlineStr">
        <is>
          <t>West</t>
        </is>
      </c>
      <c r="F195" t="inlineStr">
        <is>
          <t>Organic Search</t>
        </is>
      </c>
      <c r="G195" t="inlineStr">
        <is>
          <t>Desktop</t>
        </is>
      </c>
      <c r="H195" t="inlineStr">
        <is>
          <t>Debit Card</t>
        </is>
      </c>
      <c r="I195" t="inlineStr">
        <is>
          <t>Returned</t>
        </is>
      </c>
      <c r="J195" t="n">
        <v>126</v>
      </c>
      <c r="K195" t="n">
        <v>3</v>
      </c>
      <c r="L195" t="n">
        <v>471</v>
      </c>
      <c r="M195" t="n">
        <v>0</v>
      </c>
      <c r="N195">
        <f>VLOOKUP(J195,Products!$A$2:$C$49,3,FALSE)</f>
        <v/>
      </c>
      <c r="O195">
        <f>K195*L195-M195</f>
        <v/>
      </c>
      <c r="P195">
        <f>TEXT(B195,"yyyy-mm")</f>
        <v/>
      </c>
      <c r="Q195">
        <f>IF(O195&gt;=3000,"Large","Small")</f>
        <v/>
      </c>
      <c r="R195">
        <f>INDEX(Products!$F$2:$F$49,MATCH(J195,Products!$A$2:$A$49,0))</f>
        <v/>
      </c>
      <c r="S195">
        <f>WEEKDAY(B195,2)</f>
        <v/>
      </c>
    </row>
    <row r="196">
      <c r="A196" t="n">
        <v>509423</v>
      </c>
      <c r="B196" s="6" t="n">
        <v>45935</v>
      </c>
      <c r="C196" t="n">
        <v>15888</v>
      </c>
      <c r="D196" t="inlineStr">
        <is>
          <t>Ahmedabad</t>
        </is>
      </c>
      <c r="E196" t="inlineStr">
        <is>
          <t>West</t>
        </is>
      </c>
      <c r="F196" t="inlineStr">
        <is>
          <t>Organic Search</t>
        </is>
      </c>
      <c r="G196" t="inlineStr">
        <is>
          <t>Desktop</t>
        </is>
      </c>
      <c r="H196" t="inlineStr">
        <is>
          <t>Debit Card</t>
        </is>
      </c>
      <c r="I196" t="inlineStr">
        <is>
          <t>Returned</t>
        </is>
      </c>
      <c r="J196" t="n">
        <v>129</v>
      </c>
      <c r="K196" t="n">
        <v>1</v>
      </c>
      <c r="L196" t="n">
        <v>576</v>
      </c>
      <c r="M196" t="n">
        <v>0</v>
      </c>
      <c r="N196">
        <f>VLOOKUP(J196,Products!$A$2:$C$49,3,FALSE)</f>
        <v/>
      </c>
      <c r="O196">
        <f>K196*L196-M196</f>
        <v/>
      </c>
      <c r="P196">
        <f>TEXT(B196,"yyyy-mm")</f>
        <v/>
      </c>
      <c r="Q196">
        <f>IF(O196&gt;=3000,"Large","Small")</f>
        <v/>
      </c>
      <c r="R196">
        <f>INDEX(Products!$F$2:$F$49,MATCH(J196,Products!$A$2:$A$49,0))</f>
        <v/>
      </c>
      <c r="S196">
        <f>WEEKDAY(B196,2)</f>
        <v/>
      </c>
    </row>
    <row r="197">
      <c r="A197" t="n">
        <v>509424</v>
      </c>
      <c r="B197" s="6" t="n">
        <v>45935</v>
      </c>
      <c r="C197" t="n">
        <v>13389</v>
      </c>
      <c r="D197" t="inlineStr">
        <is>
          <t>Mumbai</t>
        </is>
      </c>
      <c r="E197" t="inlineStr">
        <is>
          <t>West</t>
        </is>
      </c>
      <c r="F197" t="inlineStr">
        <is>
          <t>Organic Search</t>
        </is>
      </c>
      <c r="G197" t="inlineStr">
        <is>
          <t>Desktop</t>
        </is>
      </c>
      <c r="H197" t="inlineStr">
        <is>
          <t>UPI</t>
        </is>
      </c>
      <c r="I197" t="inlineStr">
        <is>
          <t>Delivered</t>
        </is>
      </c>
      <c r="J197" t="n">
        <v>127</v>
      </c>
      <c r="K197" t="n">
        <v>1</v>
      </c>
      <c r="L197" t="n">
        <v>681</v>
      </c>
      <c r="M197" t="n">
        <v>68.09999999999999</v>
      </c>
      <c r="N197">
        <f>VLOOKUP(J197,Products!$A$2:$C$49,3,FALSE)</f>
        <v/>
      </c>
      <c r="O197">
        <f>K197*L197-M197</f>
        <v/>
      </c>
      <c r="P197">
        <f>TEXT(B197,"yyyy-mm")</f>
        <v/>
      </c>
      <c r="Q197">
        <f>IF(O197&gt;=3000,"Large","Small")</f>
        <v/>
      </c>
      <c r="R197">
        <f>INDEX(Products!$F$2:$F$49,MATCH(J197,Products!$A$2:$A$49,0))</f>
        <v/>
      </c>
      <c r="S197">
        <f>WEEKDAY(B197,2)</f>
        <v/>
      </c>
    </row>
    <row r="198">
      <c r="A198" t="n">
        <v>509424</v>
      </c>
      <c r="B198" s="6" t="n">
        <v>45935</v>
      </c>
      <c r="C198" t="n">
        <v>13389</v>
      </c>
      <c r="D198" t="inlineStr">
        <is>
          <t>Mumbai</t>
        </is>
      </c>
      <c r="E198" t="inlineStr">
        <is>
          <t>West</t>
        </is>
      </c>
      <c r="F198" t="inlineStr">
        <is>
          <t>Organic Search</t>
        </is>
      </c>
      <c r="G198" t="inlineStr">
        <is>
          <t>Desktop</t>
        </is>
      </c>
      <c r="H198" t="inlineStr">
        <is>
          <t>UPI</t>
        </is>
      </c>
      <c r="I198" t="inlineStr">
        <is>
          <t>Delivered</t>
        </is>
      </c>
      <c r="J198" t="n">
        <v>129</v>
      </c>
      <c r="K198" t="n">
        <v>1</v>
      </c>
      <c r="L198" t="n">
        <v>576</v>
      </c>
      <c r="M198" t="n">
        <v>57.6</v>
      </c>
      <c r="N198">
        <f>VLOOKUP(J198,Products!$A$2:$C$49,3,FALSE)</f>
        <v/>
      </c>
      <c r="O198">
        <f>K198*L198-M198</f>
        <v/>
      </c>
      <c r="P198">
        <f>TEXT(B198,"yyyy-mm")</f>
        <v/>
      </c>
      <c r="Q198">
        <f>IF(O198&gt;=3000,"Large","Small")</f>
        <v/>
      </c>
      <c r="R198">
        <f>INDEX(Products!$F$2:$F$49,MATCH(J198,Products!$A$2:$A$49,0))</f>
        <v/>
      </c>
      <c r="S198">
        <f>WEEKDAY(B198,2)</f>
        <v/>
      </c>
    </row>
    <row r="199">
      <c r="A199" t="n">
        <v>509425</v>
      </c>
      <c r="B199" s="6" t="n">
        <v>45935</v>
      </c>
      <c r="C199" t="n">
        <v>16336</v>
      </c>
      <c r="D199" t="inlineStr">
        <is>
          <t>Indore</t>
        </is>
      </c>
      <c r="E199" t="inlineStr">
        <is>
          <t>West</t>
        </is>
      </c>
      <c r="F199" t="inlineStr">
        <is>
          <t>Paid Social</t>
        </is>
      </c>
      <c r="G199" t="inlineStr">
        <is>
          <t>Desktop</t>
        </is>
      </c>
      <c r="H199" t="inlineStr">
        <is>
          <t>UPI</t>
        </is>
      </c>
      <c r="I199" t="inlineStr">
        <is>
          <t>Delivered</t>
        </is>
      </c>
      <c r="J199" t="n">
        <v>128</v>
      </c>
      <c r="K199" t="n">
        <v>1</v>
      </c>
      <c r="L199" t="n">
        <v>1049</v>
      </c>
      <c r="M199" t="n">
        <v>104.9</v>
      </c>
      <c r="N199">
        <f>VLOOKUP(J199,Products!$A$2:$C$49,3,FALSE)</f>
        <v/>
      </c>
      <c r="O199">
        <f>K199*L199-M199</f>
        <v/>
      </c>
      <c r="P199">
        <f>TEXT(B199,"yyyy-mm")</f>
        <v/>
      </c>
      <c r="Q199">
        <f>IF(O199&gt;=3000,"Large","Small")</f>
        <v/>
      </c>
      <c r="R199">
        <f>INDEX(Products!$F$2:$F$49,MATCH(J199,Products!$A$2:$A$49,0))</f>
        <v/>
      </c>
      <c r="S199">
        <f>WEEKDAY(B199,2)</f>
        <v/>
      </c>
    </row>
    <row r="200">
      <c r="A200" t="n">
        <v>509426</v>
      </c>
      <c r="B200" s="6" t="n">
        <v>45935</v>
      </c>
      <c r="C200" t="n">
        <v>16223</v>
      </c>
      <c r="D200" t="inlineStr">
        <is>
          <t>Kolkata</t>
        </is>
      </c>
      <c r="E200" t="inlineStr">
        <is>
          <t>East</t>
        </is>
      </c>
      <c r="F200" t="inlineStr">
        <is>
          <t>Organic Search</t>
        </is>
      </c>
      <c r="G200" t="inlineStr">
        <is>
          <t>Mobile Web</t>
        </is>
      </c>
      <c r="H200" t="inlineStr">
        <is>
          <t>Credit Card</t>
        </is>
      </c>
      <c r="I200" t="inlineStr">
        <is>
          <t>Delivered</t>
        </is>
      </c>
      <c r="J200" t="n">
        <v>142</v>
      </c>
      <c r="K200" t="n">
        <v>1</v>
      </c>
      <c r="L200" t="n">
        <v>839</v>
      </c>
      <c r="M200" t="n">
        <v>0</v>
      </c>
      <c r="N200">
        <f>VLOOKUP(J200,Products!$A$2:$C$49,3,FALSE)</f>
        <v/>
      </c>
      <c r="O200">
        <f>K200*L200-M200</f>
        <v/>
      </c>
      <c r="P200">
        <f>TEXT(B200,"yyyy-mm")</f>
        <v/>
      </c>
      <c r="Q200">
        <f>IF(O200&gt;=3000,"Large","Small")</f>
        <v/>
      </c>
      <c r="R200">
        <f>INDEX(Products!$F$2:$F$49,MATCH(J200,Products!$A$2:$A$49,0))</f>
        <v/>
      </c>
      <c r="S200">
        <f>WEEKDAY(B200,2)</f>
        <v/>
      </c>
    </row>
    <row r="201">
      <c r="A201" t="n">
        <v>509426</v>
      </c>
      <c r="B201" s="6" t="n">
        <v>45935</v>
      </c>
      <c r="C201" t="n">
        <v>16223</v>
      </c>
      <c r="D201" t="inlineStr">
        <is>
          <t>Kolkata</t>
        </is>
      </c>
      <c r="E201" t="inlineStr">
        <is>
          <t>East</t>
        </is>
      </c>
      <c r="F201" t="inlineStr">
        <is>
          <t>Organic Search</t>
        </is>
      </c>
      <c r="G201" t="inlineStr">
        <is>
          <t>Mobile Web</t>
        </is>
      </c>
      <c r="H201" t="inlineStr">
        <is>
          <t>Credit Card</t>
        </is>
      </c>
      <c r="I201" t="inlineStr">
        <is>
          <t>Delivered</t>
        </is>
      </c>
      <c r="J201" t="n">
        <v>125</v>
      </c>
      <c r="K201" t="n">
        <v>1</v>
      </c>
      <c r="L201" t="n">
        <v>1364</v>
      </c>
      <c r="M201" t="n">
        <v>0</v>
      </c>
      <c r="N201">
        <f>VLOOKUP(J201,Products!$A$2:$C$49,3,FALSE)</f>
        <v/>
      </c>
      <c r="O201">
        <f>K201*L201-M201</f>
        <v/>
      </c>
      <c r="P201">
        <f>TEXT(B201,"yyyy-mm")</f>
        <v/>
      </c>
      <c r="Q201">
        <f>IF(O201&gt;=3000,"Large","Small")</f>
        <v/>
      </c>
      <c r="R201">
        <f>INDEX(Products!$F$2:$F$49,MATCH(J201,Products!$A$2:$A$49,0))</f>
        <v/>
      </c>
      <c r="S201">
        <f>WEEKDAY(B201,2)</f>
        <v/>
      </c>
    </row>
    <row r="202">
      <c r="A202" t="n">
        <v>509427</v>
      </c>
      <c r="B202" s="6" t="n">
        <v>45935</v>
      </c>
      <c r="C202" t="n">
        <v>11096</v>
      </c>
      <c r="D202" t="inlineStr">
        <is>
          <t>Chennai</t>
        </is>
      </c>
      <c r="E202" t="inlineStr">
        <is>
          <t>South</t>
        </is>
      </c>
      <c r="F202" t="inlineStr">
        <is>
          <t>Referral</t>
        </is>
      </c>
      <c r="G202" t="inlineStr">
        <is>
          <t>Mobile App</t>
        </is>
      </c>
      <c r="H202" t="inlineStr">
        <is>
          <t>Cash on Delivery</t>
        </is>
      </c>
      <c r="I202" t="inlineStr">
        <is>
          <t>Delivered</t>
        </is>
      </c>
      <c r="J202" t="n">
        <v>117</v>
      </c>
      <c r="K202" t="n">
        <v>1</v>
      </c>
      <c r="L202" t="n">
        <v>3149</v>
      </c>
      <c r="M202" t="n">
        <v>314.9</v>
      </c>
      <c r="N202">
        <f>VLOOKUP(J202,Products!$A$2:$C$49,3,FALSE)</f>
        <v/>
      </c>
      <c r="O202">
        <f>K202*L202-M202</f>
        <v/>
      </c>
      <c r="P202">
        <f>TEXT(B202,"yyyy-mm")</f>
        <v/>
      </c>
      <c r="Q202">
        <f>IF(O202&gt;=3000,"Large","Small")</f>
        <v/>
      </c>
      <c r="R202">
        <f>INDEX(Products!$F$2:$F$49,MATCH(J202,Products!$A$2:$A$49,0))</f>
        <v/>
      </c>
      <c r="S202">
        <f>WEEKDAY(B202,2)</f>
        <v/>
      </c>
    </row>
    <row r="203">
      <c r="A203" t="n">
        <v>509428</v>
      </c>
      <c r="B203" s="6" t="n">
        <v>45935</v>
      </c>
      <c r="C203" t="n">
        <v>13000</v>
      </c>
      <c r="D203" t="inlineStr">
        <is>
          <t>Bengaluru</t>
        </is>
      </c>
      <c r="E203" t="inlineStr">
        <is>
          <t>South</t>
        </is>
      </c>
      <c r="F203" t="inlineStr">
        <is>
          <t>Paid Search</t>
        </is>
      </c>
      <c r="G203" t="inlineStr">
        <is>
          <t>Mobile App</t>
        </is>
      </c>
      <c r="H203" t="inlineStr">
        <is>
          <t>Credit Card</t>
        </is>
      </c>
      <c r="I203" t="inlineStr">
        <is>
          <t>Delivered</t>
        </is>
      </c>
      <c r="J203" t="n">
        <v>102</v>
      </c>
      <c r="K203" t="n">
        <v>3</v>
      </c>
      <c r="L203" t="n">
        <v>3674</v>
      </c>
      <c r="M203" t="n">
        <v>0</v>
      </c>
      <c r="N203">
        <f>VLOOKUP(J203,Products!$A$2:$C$49,3,FALSE)</f>
        <v/>
      </c>
      <c r="O203">
        <f>K203*L203-M203</f>
        <v/>
      </c>
      <c r="P203">
        <f>TEXT(B203,"yyyy-mm")</f>
        <v/>
      </c>
      <c r="Q203">
        <f>IF(O203&gt;=3000,"Large","Small")</f>
        <v/>
      </c>
      <c r="R203">
        <f>INDEX(Products!$F$2:$F$49,MATCH(J203,Products!$A$2:$A$49,0))</f>
        <v/>
      </c>
      <c r="S203">
        <f>WEEKDAY(B203,2)</f>
        <v/>
      </c>
    </row>
    <row r="204">
      <c r="A204" t="n">
        <v>509428</v>
      </c>
      <c r="B204" s="6" t="n">
        <v>45935</v>
      </c>
      <c r="C204" t="n">
        <v>13000</v>
      </c>
      <c r="D204" t="inlineStr">
        <is>
          <t>Bengaluru</t>
        </is>
      </c>
      <c r="E204" t="inlineStr">
        <is>
          <t>South</t>
        </is>
      </c>
      <c r="F204" t="inlineStr">
        <is>
          <t>Paid Search</t>
        </is>
      </c>
      <c r="G204" t="inlineStr">
        <is>
          <t>Mobile App</t>
        </is>
      </c>
      <c r="H204" t="inlineStr">
        <is>
          <t>Credit Card</t>
        </is>
      </c>
      <c r="I204" t="inlineStr">
        <is>
          <t>Delivered</t>
        </is>
      </c>
      <c r="J204" t="n">
        <v>129</v>
      </c>
      <c r="K204" t="n">
        <v>1</v>
      </c>
      <c r="L204" t="n">
        <v>576</v>
      </c>
      <c r="M204" t="n">
        <v>0</v>
      </c>
      <c r="N204">
        <f>VLOOKUP(J204,Products!$A$2:$C$49,3,FALSE)</f>
        <v/>
      </c>
      <c r="O204">
        <f>K204*L204-M204</f>
        <v/>
      </c>
      <c r="P204">
        <f>TEXT(B204,"yyyy-mm")</f>
        <v/>
      </c>
      <c r="Q204">
        <f>IF(O204&gt;=3000,"Large","Small")</f>
        <v/>
      </c>
      <c r="R204">
        <f>INDEX(Products!$F$2:$F$49,MATCH(J204,Products!$A$2:$A$49,0))</f>
        <v/>
      </c>
      <c r="S204">
        <f>WEEKDAY(B204,2)</f>
        <v/>
      </c>
    </row>
    <row r="205">
      <c r="A205" t="n">
        <v>509429</v>
      </c>
      <c r="B205" s="6" t="n">
        <v>45935</v>
      </c>
      <c r="C205" t="n">
        <v>16003</v>
      </c>
      <c r="D205" t="inlineStr">
        <is>
          <t>Kochi</t>
        </is>
      </c>
      <c r="E205" t="inlineStr">
        <is>
          <t>South</t>
        </is>
      </c>
      <c r="F205" t="inlineStr">
        <is>
          <t>Paid Search</t>
        </is>
      </c>
      <c r="G205" t="inlineStr">
        <is>
          <t>Mobile App</t>
        </is>
      </c>
      <c r="H205" t="inlineStr">
        <is>
          <t>UPI</t>
        </is>
      </c>
      <c r="I205" t="inlineStr">
        <is>
          <t>Cancelled</t>
        </is>
      </c>
      <c r="J205" t="n">
        <v>125</v>
      </c>
      <c r="K205" t="n">
        <v>1</v>
      </c>
      <c r="L205" t="n">
        <v>1364</v>
      </c>
      <c r="M205" t="n">
        <v>136.4</v>
      </c>
      <c r="N205">
        <f>VLOOKUP(J205,Products!$A$2:$C$49,3,FALSE)</f>
        <v/>
      </c>
      <c r="O205">
        <f>K205*L205-M205</f>
        <v/>
      </c>
      <c r="P205">
        <f>TEXT(B205,"yyyy-mm")</f>
        <v/>
      </c>
      <c r="Q205">
        <f>IF(O205&gt;=3000,"Large","Small")</f>
        <v/>
      </c>
      <c r="R205">
        <f>INDEX(Products!$F$2:$F$49,MATCH(J205,Products!$A$2:$A$49,0))</f>
        <v/>
      </c>
      <c r="S205">
        <f>WEEKDAY(B205,2)</f>
        <v/>
      </c>
    </row>
    <row r="206">
      <c r="A206" t="n">
        <v>509430</v>
      </c>
      <c r="B206" s="6" t="n">
        <v>45935</v>
      </c>
      <c r="C206" t="n">
        <v>12824</v>
      </c>
      <c r="D206" t="inlineStr">
        <is>
          <t>Gurugram</t>
        </is>
      </c>
      <c r="E206" t="inlineStr">
        <is>
          <t>North</t>
        </is>
      </c>
      <c r="F206" t="inlineStr">
        <is>
          <t>Email</t>
        </is>
      </c>
      <c r="G206" t="inlineStr">
        <is>
          <t>Mobile Web</t>
        </is>
      </c>
      <c r="H206" t="inlineStr">
        <is>
          <t>Debit Card</t>
        </is>
      </c>
      <c r="I206" t="inlineStr">
        <is>
          <t>Delivered</t>
        </is>
      </c>
      <c r="J206" t="n">
        <v>148</v>
      </c>
      <c r="K206" t="n">
        <v>1</v>
      </c>
      <c r="L206" t="n">
        <v>734</v>
      </c>
      <c r="M206" t="n">
        <v>73.40000000000001</v>
      </c>
      <c r="N206">
        <f>VLOOKUP(J206,Products!$A$2:$C$49,3,FALSE)</f>
        <v/>
      </c>
      <c r="O206">
        <f>K206*L206-M206</f>
        <v/>
      </c>
      <c r="P206">
        <f>TEXT(B206,"yyyy-mm")</f>
        <v/>
      </c>
      <c r="Q206">
        <f>IF(O206&gt;=3000,"Large","Small")</f>
        <v/>
      </c>
      <c r="R206">
        <f>INDEX(Products!$F$2:$F$49,MATCH(J206,Products!$A$2:$A$49,0))</f>
        <v/>
      </c>
      <c r="S206">
        <f>WEEKDAY(B206,2)</f>
        <v/>
      </c>
    </row>
    <row r="207">
      <c r="A207" t="n">
        <v>509430</v>
      </c>
      <c r="B207" s="6" t="n">
        <v>45935</v>
      </c>
      <c r="C207" t="n">
        <v>12824</v>
      </c>
      <c r="D207" t="inlineStr">
        <is>
          <t>Gurugram</t>
        </is>
      </c>
      <c r="E207" t="inlineStr">
        <is>
          <t>North</t>
        </is>
      </c>
      <c r="F207" t="inlineStr">
        <is>
          <t>Email</t>
        </is>
      </c>
      <c r="G207" t="inlineStr">
        <is>
          <t>Mobile Web</t>
        </is>
      </c>
      <c r="H207" t="inlineStr">
        <is>
          <t>Debit Card</t>
        </is>
      </c>
      <c r="I207" t="inlineStr">
        <is>
          <t>Delivered</t>
        </is>
      </c>
      <c r="J207" t="n">
        <v>129</v>
      </c>
      <c r="K207" t="n">
        <v>1</v>
      </c>
      <c r="L207" t="n">
        <v>576</v>
      </c>
      <c r="M207" t="n">
        <v>57.6</v>
      </c>
      <c r="N207">
        <f>VLOOKUP(J207,Products!$A$2:$C$49,3,FALSE)</f>
        <v/>
      </c>
      <c r="O207">
        <f>K207*L207-M207</f>
        <v/>
      </c>
      <c r="P207">
        <f>TEXT(B207,"yyyy-mm")</f>
        <v/>
      </c>
      <c r="Q207">
        <f>IF(O207&gt;=3000,"Large","Small")</f>
        <v/>
      </c>
      <c r="R207">
        <f>INDEX(Products!$F$2:$F$49,MATCH(J207,Products!$A$2:$A$49,0))</f>
        <v/>
      </c>
      <c r="S207">
        <f>WEEKDAY(B207,2)</f>
        <v/>
      </c>
    </row>
    <row r="208">
      <c r="A208" t="n">
        <v>509431</v>
      </c>
      <c r="B208" s="6" t="n">
        <v>45935</v>
      </c>
      <c r="C208" t="n">
        <v>11140</v>
      </c>
      <c r="D208" t="inlineStr">
        <is>
          <t>Bengaluru</t>
        </is>
      </c>
      <c r="E208" t="inlineStr">
        <is>
          <t>South</t>
        </is>
      </c>
      <c r="F208" t="inlineStr">
        <is>
          <t>Affiliate</t>
        </is>
      </c>
      <c r="G208" t="inlineStr">
        <is>
          <t>Mobile App</t>
        </is>
      </c>
      <c r="H208" t="inlineStr">
        <is>
          <t>Debit Card</t>
        </is>
      </c>
      <c r="I208" t="inlineStr">
        <is>
          <t>Cancelled</t>
        </is>
      </c>
      <c r="J208" t="n">
        <v>104</v>
      </c>
      <c r="K208" t="n">
        <v>1</v>
      </c>
      <c r="L208" t="n">
        <v>5249</v>
      </c>
      <c r="M208" t="n">
        <v>524.9</v>
      </c>
      <c r="N208">
        <f>VLOOKUP(J208,Products!$A$2:$C$49,3,FALSE)</f>
        <v/>
      </c>
      <c r="O208">
        <f>K208*L208-M208</f>
        <v/>
      </c>
      <c r="P208">
        <f>TEXT(B208,"yyyy-mm")</f>
        <v/>
      </c>
      <c r="Q208">
        <f>IF(O208&gt;=3000,"Large","Small")</f>
        <v/>
      </c>
      <c r="R208">
        <f>INDEX(Products!$F$2:$F$49,MATCH(J208,Products!$A$2:$A$49,0))</f>
        <v/>
      </c>
      <c r="S208">
        <f>WEEKDAY(B208,2)</f>
        <v/>
      </c>
    </row>
    <row r="209">
      <c r="A209" t="n">
        <v>509432</v>
      </c>
      <c r="B209" s="6" t="n">
        <v>45935</v>
      </c>
      <c r="C209" t="n">
        <v>10366</v>
      </c>
      <c r="D209" t="inlineStr">
        <is>
          <t>Delhi</t>
        </is>
      </c>
      <c r="E209" t="inlineStr">
        <is>
          <t>North</t>
        </is>
      </c>
      <c r="F209" t="inlineStr">
        <is>
          <t>Organic Search</t>
        </is>
      </c>
      <c r="G209" t="inlineStr">
        <is>
          <t>Mobile App</t>
        </is>
      </c>
      <c r="H209" t="inlineStr">
        <is>
          <t>UPI</t>
        </is>
      </c>
      <c r="I209" t="inlineStr">
        <is>
          <t>Delivered</t>
        </is>
      </c>
      <c r="J209" t="n">
        <v>116</v>
      </c>
      <c r="K209" t="n">
        <v>1</v>
      </c>
      <c r="L209" t="n">
        <v>2624</v>
      </c>
      <c r="M209" t="n">
        <v>131.2</v>
      </c>
      <c r="N209">
        <f>VLOOKUP(J209,Products!$A$2:$C$49,3,FALSE)</f>
        <v/>
      </c>
      <c r="O209">
        <f>K209*L209-M209</f>
        <v/>
      </c>
      <c r="P209">
        <f>TEXT(B209,"yyyy-mm")</f>
        <v/>
      </c>
      <c r="Q209">
        <f>IF(O209&gt;=3000,"Large","Small")</f>
        <v/>
      </c>
      <c r="R209">
        <f>INDEX(Products!$F$2:$F$49,MATCH(J209,Products!$A$2:$A$49,0))</f>
        <v/>
      </c>
      <c r="S209">
        <f>WEEKDAY(B209,2)</f>
        <v/>
      </c>
    </row>
    <row r="210">
      <c r="A210" t="n">
        <v>509432</v>
      </c>
      <c r="B210" s="6" t="n">
        <v>45935</v>
      </c>
      <c r="C210" t="n">
        <v>10366</v>
      </c>
      <c r="D210" t="inlineStr">
        <is>
          <t>Delhi</t>
        </is>
      </c>
      <c r="E210" t="inlineStr">
        <is>
          <t>North</t>
        </is>
      </c>
      <c r="F210" t="inlineStr">
        <is>
          <t>Organic Search</t>
        </is>
      </c>
      <c r="G210" t="inlineStr">
        <is>
          <t>Mobile App</t>
        </is>
      </c>
      <c r="H210" t="inlineStr">
        <is>
          <t>UPI</t>
        </is>
      </c>
      <c r="I210" t="inlineStr">
        <is>
          <t>Delivered</t>
        </is>
      </c>
      <c r="J210" t="n">
        <v>120</v>
      </c>
      <c r="K210" t="n">
        <v>2</v>
      </c>
      <c r="L210" t="n">
        <v>734</v>
      </c>
      <c r="M210" t="n">
        <v>73.40000000000001</v>
      </c>
      <c r="N210">
        <f>VLOOKUP(J210,Products!$A$2:$C$49,3,FALSE)</f>
        <v/>
      </c>
      <c r="O210">
        <f>K210*L210-M210</f>
        <v/>
      </c>
      <c r="P210">
        <f>TEXT(B210,"yyyy-mm")</f>
        <v/>
      </c>
      <c r="Q210">
        <f>IF(O210&gt;=3000,"Large","Small")</f>
        <v/>
      </c>
      <c r="R210">
        <f>INDEX(Products!$F$2:$F$49,MATCH(J210,Products!$A$2:$A$49,0))</f>
        <v/>
      </c>
      <c r="S210">
        <f>WEEKDAY(B210,2)</f>
        <v/>
      </c>
    </row>
    <row r="211">
      <c r="A211" t="n">
        <v>509432</v>
      </c>
      <c r="B211" s="6" t="n">
        <v>45935</v>
      </c>
      <c r="C211" t="n">
        <v>10366</v>
      </c>
      <c r="D211" t="inlineStr">
        <is>
          <t>Delhi</t>
        </is>
      </c>
      <c r="E211" t="inlineStr">
        <is>
          <t>North</t>
        </is>
      </c>
      <c r="F211" t="inlineStr">
        <is>
          <t>Organic Search</t>
        </is>
      </c>
      <c r="G211" t="inlineStr">
        <is>
          <t>Mobile App</t>
        </is>
      </c>
      <c r="H211" t="inlineStr">
        <is>
          <t>UPI</t>
        </is>
      </c>
      <c r="I211" t="inlineStr">
        <is>
          <t>Delivered</t>
        </is>
      </c>
      <c r="J211" t="n">
        <v>129</v>
      </c>
      <c r="K211" t="n">
        <v>1</v>
      </c>
      <c r="L211" t="n">
        <v>576</v>
      </c>
      <c r="M211" t="n">
        <v>28.8</v>
      </c>
      <c r="N211">
        <f>VLOOKUP(J211,Products!$A$2:$C$49,3,FALSE)</f>
        <v/>
      </c>
      <c r="O211">
        <f>K211*L211-M211</f>
        <v/>
      </c>
      <c r="P211">
        <f>TEXT(B211,"yyyy-mm")</f>
        <v/>
      </c>
      <c r="Q211">
        <f>IF(O211&gt;=3000,"Large","Small")</f>
        <v/>
      </c>
      <c r="R211">
        <f>INDEX(Products!$F$2:$F$49,MATCH(J211,Products!$A$2:$A$49,0))</f>
        <v/>
      </c>
      <c r="S211">
        <f>WEEKDAY(B211,2)</f>
        <v/>
      </c>
    </row>
    <row r="212">
      <c r="A212" t="n">
        <v>509433</v>
      </c>
      <c r="B212" s="6" t="n">
        <v>45935</v>
      </c>
      <c r="C212" t="n">
        <v>14878</v>
      </c>
      <c r="D212" t="inlineStr">
        <is>
          <t>Kochi</t>
        </is>
      </c>
      <c r="E212" t="inlineStr">
        <is>
          <t>South</t>
        </is>
      </c>
      <c r="F212" t="inlineStr">
        <is>
          <t>Email</t>
        </is>
      </c>
      <c r="G212" t="inlineStr">
        <is>
          <t>Mobile App</t>
        </is>
      </c>
      <c r="H212" t="inlineStr">
        <is>
          <t>Cash on Delivery</t>
        </is>
      </c>
      <c r="I212" t="inlineStr">
        <is>
          <t>Delivered</t>
        </is>
      </c>
      <c r="J212" t="n">
        <v>107</v>
      </c>
      <c r="K212" t="n">
        <v>1</v>
      </c>
      <c r="L212" t="n">
        <v>1259</v>
      </c>
      <c r="M212" t="n">
        <v>125.9</v>
      </c>
      <c r="N212">
        <f>VLOOKUP(J212,Products!$A$2:$C$49,3,FALSE)</f>
        <v/>
      </c>
      <c r="O212">
        <f>K212*L212-M212</f>
        <v/>
      </c>
      <c r="P212">
        <f>TEXT(B212,"yyyy-mm")</f>
        <v/>
      </c>
      <c r="Q212">
        <f>IF(O212&gt;=3000,"Large","Small")</f>
        <v/>
      </c>
      <c r="R212">
        <f>INDEX(Products!$F$2:$F$49,MATCH(J212,Products!$A$2:$A$49,0))</f>
        <v/>
      </c>
      <c r="S212">
        <f>WEEKDAY(B212,2)</f>
        <v/>
      </c>
    </row>
    <row r="213">
      <c r="A213" t="n">
        <v>509434</v>
      </c>
      <c r="B213" s="6" t="n">
        <v>45935</v>
      </c>
      <c r="C213" t="n">
        <v>13767</v>
      </c>
      <c r="D213" t="inlineStr">
        <is>
          <t>Mumbai</t>
        </is>
      </c>
      <c r="E213" t="inlineStr">
        <is>
          <t>West</t>
        </is>
      </c>
      <c r="F213" t="inlineStr">
        <is>
          <t>Paid Social</t>
        </is>
      </c>
      <c r="G213" t="inlineStr">
        <is>
          <t>Desktop</t>
        </is>
      </c>
      <c r="H213" t="inlineStr">
        <is>
          <t>UPI</t>
        </is>
      </c>
      <c r="I213" t="inlineStr">
        <is>
          <t>Delivered</t>
        </is>
      </c>
      <c r="J213" t="n">
        <v>134</v>
      </c>
      <c r="K213" t="n">
        <v>1</v>
      </c>
      <c r="L213" t="n">
        <v>209</v>
      </c>
      <c r="M213" t="n">
        <v>20.9</v>
      </c>
      <c r="N213">
        <f>VLOOKUP(J213,Products!$A$2:$C$49,3,FALSE)</f>
        <v/>
      </c>
      <c r="O213">
        <f>K213*L213-M213</f>
        <v/>
      </c>
      <c r="P213">
        <f>TEXT(B213,"yyyy-mm")</f>
        <v/>
      </c>
      <c r="Q213">
        <f>IF(O213&gt;=3000,"Large","Small")</f>
        <v/>
      </c>
      <c r="R213">
        <f>INDEX(Products!$F$2:$F$49,MATCH(J213,Products!$A$2:$A$49,0))</f>
        <v/>
      </c>
      <c r="S213">
        <f>WEEKDAY(B213,2)</f>
        <v/>
      </c>
    </row>
    <row r="214">
      <c r="A214" t="n">
        <v>509434</v>
      </c>
      <c r="B214" s="6" t="n">
        <v>45935</v>
      </c>
      <c r="C214" t="n">
        <v>13767</v>
      </c>
      <c r="D214" t="inlineStr">
        <is>
          <t>Mumbai</t>
        </is>
      </c>
      <c r="E214" t="inlineStr">
        <is>
          <t>West</t>
        </is>
      </c>
      <c r="F214" t="inlineStr">
        <is>
          <t>Paid Social</t>
        </is>
      </c>
      <c r="G214" t="inlineStr">
        <is>
          <t>Desktop</t>
        </is>
      </c>
      <c r="H214" t="inlineStr">
        <is>
          <t>UPI</t>
        </is>
      </c>
      <c r="I214" t="inlineStr">
        <is>
          <t>Delivered</t>
        </is>
      </c>
      <c r="J214" t="n">
        <v>118</v>
      </c>
      <c r="K214" t="n">
        <v>1</v>
      </c>
      <c r="L214" t="n">
        <v>944</v>
      </c>
      <c r="M214" t="n">
        <v>94.40000000000001</v>
      </c>
      <c r="N214">
        <f>VLOOKUP(J214,Products!$A$2:$C$49,3,FALSE)</f>
        <v/>
      </c>
      <c r="O214">
        <f>K214*L214-M214</f>
        <v/>
      </c>
      <c r="P214">
        <f>TEXT(B214,"yyyy-mm")</f>
        <v/>
      </c>
      <c r="Q214">
        <f>IF(O214&gt;=3000,"Large","Small")</f>
        <v/>
      </c>
      <c r="R214">
        <f>INDEX(Products!$F$2:$F$49,MATCH(J214,Products!$A$2:$A$49,0))</f>
        <v/>
      </c>
      <c r="S214">
        <f>WEEKDAY(B214,2)</f>
        <v/>
      </c>
    </row>
    <row r="215">
      <c r="A215" t="n">
        <v>509435</v>
      </c>
      <c r="B215" s="6" t="n">
        <v>45935</v>
      </c>
      <c r="C215" t="n">
        <v>16606</v>
      </c>
      <c r="D215" t="inlineStr">
        <is>
          <t>Mumbai</t>
        </is>
      </c>
      <c r="E215" t="inlineStr">
        <is>
          <t>West</t>
        </is>
      </c>
      <c r="F215" t="inlineStr">
        <is>
          <t>Organic Search</t>
        </is>
      </c>
      <c r="G215" t="inlineStr">
        <is>
          <t>Mobile Web</t>
        </is>
      </c>
      <c r="H215" t="inlineStr">
        <is>
          <t>Net Banking</t>
        </is>
      </c>
      <c r="I215" t="inlineStr">
        <is>
          <t>Delivered</t>
        </is>
      </c>
      <c r="J215" t="n">
        <v>117</v>
      </c>
      <c r="K215" t="n">
        <v>2</v>
      </c>
      <c r="L215" t="n">
        <v>3149</v>
      </c>
      <c r="M215" t="n">
        <v>629.8</v>
      </c>
      <c r="N215">
        <f>VLOOKUP(J215,Products!$A$2:$C$49,3,FALSE)</f>
        <v/>
      </c>
      <c r="O215">
        <f>K215*L215-M215</f>
        <v/>
      </c>
      <c r="P215">
        <f>TEXT(B215,"yyyy-mm")</f>
        <v/>
      </c>
      <c r="Q215">
        <f>IF(O215&gt;=3000,"Large","Small")</f>
        <v/>
      </c>
      <c r="R215">
        <f>INDEX(Products!$F$2:$F$49,MATCH(J215,Products!$A$2:$A$49,0))</f>
        <v/>
      </c>
      <c r="S215">
        <f>WEEKDAY(B215,2)</f>
        <v/>
      </c>
    </row>
    <row r="216">
      <c r="A216" t="n">
        <v>509436</v>
      </c>
      <c r="B216" s="6" t="n">
        <v>45935</v>
      </c>
      <c r="C216" t="n">
        <v>13151</v>
      </c>
      <c r="D216" t="inlineStr">
        <is>
          <t>Pune</t>
        </is>
      </c>
      <c r="E216" t="inlineStr">
        <is>
          <t>West</t>
        </is>
      </c>
      <c r="F216" t="inlineStr">
        <is>
          <t>Paid Search</t>
        </is>
      </c>
      <c r="G216" t="inlineStr">
        <is>
          <t>Mobile App</t>
        </is>
      </c>
      <c r="H216" t="inlineStr">
        <is>
          <t>Debit Card</t>
        </is>
      </c>
      <c r="I216" t="inlineStr">
        <is>
          <t>Delivered</t>
        </is>
      </c>
      <c r="J216" t="n">
        <v>124</v>
      </c>
      <c r="K216" t="n">
        <v>1</v>
      </c>
      <c r="L216" t="n">
        <v>1154</v>
      </c>
      <c r="M216" t="n">
        <v>115.4</v>
      </c>
      <c r="N216">
        <f>VLOOKUP(J216,Products!$A$2:$C$49,3,FALSE)</f>
        <v/>
      </c>
      <c r="O216">
        <f>K216*L216-M216</f>
        <v/>
      </c>
      <c r="P216">
        <f>TEXT(B216,"yyyy-mm")</f>
        <v/>
      </c>
      <c r="Q216">
        <f>IF(O216&gt;=3000,"Large","Small")</f>
        <v/>
      </c>
      <c r="R216">
        <f>INDEX(Products!$F$2:$F$49,MATCH(J216,Products!$A$2:$A$49,0))</f>
        <v/>
      </c>
      <c r="S216">
        <f>WEEKDAY(B216,2)</f>
        <v/>
      </c>
    </row>
    <row r="217">
      <c r="A217" t="n">
        <v>509436</v>
      </c>
      <c r="B217" s="6" t="n">
        <v>45935</v>
      </c>
      <c r="C217" t="n">
        <v>13151</v>
      </c>
      <c r="D217" t="inlineStr">
        <is>
          <t>Pune</t>
        </is>
      </c>
      <c r="E217" t="inlineStr">
        <is>
          <t>West</t>
        </is>
      </c>
      <c r="F217" t="inlineStr">
        <is>
          <t>Paid Search</t>
        </is>
      </c>
      <c r="G217" t="inlineStr">
        <is>
          <t>Mobile App</t>
        </is>
      </c>
      <c r="H217" t="inlineStr">
        <is>
          <t>Debit Card</t>
        </is>
      </c>
      <c r="I217" t="inlineStr">
        <is>
          <t>Delivered</t>
        </is>
      </c>
      <c r="J217" t="n">
        <v>112</v>
      </c>
      <c r="K217" t="n">
        <v>1</v>
      </c>
      <c r="L217" t="n">
        <v>1574</v>
      </c>
      <c r="M217" t="n">
        <v>157.4</v>
      </c>
      <c r="N217">
        <f>VLOOKUP(J217,Products!$A$2:$C$49,3,FALSE)</f>
        <v/>
      </c>
      <c r="O217">
        <f>K217*L217-M217</f>
        <v/>
      </c>
      <c r="P217">
        <f>TEXT(B217,"yyyy-mm")</f>
        <v/>
      </c>
      <c r="Q217">
        <f>IF(O217&gt;=3000,"Large","Small")</f>
        <v/>
      </c>
      <c r="R217">
        <f>INDEX(Products!$F$2:$F$49,MATCH(J217,Products!$A$2:$A$49,0))</f>
        <v/>
      </c>
      <c r="S217">
        <f>WEEKDAY(B217,2)</f>
        <v/>
      </c>
    </row>
    <row r="218">
      <c r="A218" t="n">
        <v>509437</v>
      </c>
      <c r="B218" s="6" t="n">
        <v>45935</v>
      </c>
      <c r="C218" t="n">
        <v>13206</v>
      </c>
      <c r="D218" t="inlineStr">
        <is>
          <t>Hyderabad</t>
        </is>
      </c>
      <c r="E218" t="inlineStr">
        <is>
          <t>South</t>
        </is>
      </c>
      <c r="F218" t="inlineStr">
        <is>
          <t>Paid Social</t>
        </is>
      </c>
      <c r="G218" t="inlineStr">
        <is>
          <t>Desktop</t>
        </is>
      </c>
      <c r="H218" t="inlineStr">
        <is>
          <t>Cash on Delivery</t>
        </is>
      </c>
      <c r="I218" t="inlineStr">
        <is>
          <t>Delivered</t>
        </is>
      </c>
      <c r="J218" t="n">
        <v>133</v>
      </c>
      <c r="K218" t="n">
        <v>1</v>
      </c>
      <c r="L218" t="n">
        <v>419</v>
      </c>
      <c r="M218" t="n">
        <v>41.9</v>
      </c>
      <c r="N218">
        <f>VLOOKUP(J218,Products!$A$2:$C$49,3,FALSE)</f>
        <v/>
      </c>
      <c r="O218">
        <f>K218*L218-M218</f>
        <v/>
      </c>
      <c r="P218">
        <f>TEXT(B218,"yyyy-mm")</f>
        <v/>
      </c>
      <c r="Q218">
        <f>IF(O218&gt;=3000,"Large","Small")</f>
        <v/>
      </c>
      <c r="R218">
        <f>INDEX(Products!$F$2:$F$49,MATCH(J218,Products!$A$2:$A$49,0))</f>
        <v/>
      </c>
      <c r="S218">
        <f>WEEKDAY(B218,2)</f>
        <v/>
      </c>
    </row>
    <row r="219">
      <c r="A219" t="n">
        <v>509437</v>
      </c>
      <c r="B219" s="6" t="n">
        <v>45935</v>
      </c>
      <c r="C219" t="n">
        <v>13206</v>
      </c>
      <c r="D219" t="inlineStr">
        <is>
          <t>Hyderabad</t>
        </is>
      </c>
      <c r="E219" t="inlineStr">
        <is>
          <t>South</t>
        </is>
      </c>
      <c r="F219" t="inlineStr">
        <is>
          <t>Paid Social</t>
        </is>
      </c>
      <c r="G219" t="inlineStr">
        <is>
          <t>Desktop</t>
        </is>
      </c>
      <c r="H219" t="inlineStr">
        <is>
          <t>Cash on Delivery</t>
        </is>
      </c>
      <c r="I219" t="inlineStr">
        <is>
          <t>Delivered</t>
        </is>
      </c>
      <c r="J219" t="n">
        <v>129</v>
      </c>
      <c r="K219" t="n">
        <v>1</v>
      </c>
      <c r="L219" t="n">
        <v>576</v>
      </c>
      <c r="M219" t="n">
        <v>57.6</v>
      </c>
      <c r="N219">
        <f>VLOOKUP(J219,Products!$A$2:$C$49,3,FALSE)</f>
        <v/>
      </c>
      <c r="O219">
        <f>K219*L219-M219</f>
        <v/>
      </c>
      <c r="P219">
        <f>TEXT(B219,"yyyy-mm")</f>
        <v/>
      </c>
      <c r="Q219">
        <f>IF(O219&gt;=3000,"Large","Small")</f>
        <v/>
      </c>
      <c r="R219">
        <f>INDEX(Products!$F$2:$F$49,MATCH(J219,Products!$A$2:$A$49,0))</f>
        <v/>
      </c>
      <c r="S219">
        <f>WEEKDAY(B219,2)</f>
        <v/>
      </c>
    </row>
    <row r="220">
      <c r="A220" t="n">
        <v>509438</v>
      </c>
      <c r="B220" s="6" t="n">
        <v>45935</v>
      </c>
      <c r="C220" t="n">
        <v>12627</v>
      </c>
      <c r="D220" t="inlineStr">
        <is>
          <t>Mumbai</t>
        </is>
      </c>
      <c r="E220" t="inlineStr">
        <is>
          <t>West</t>
        </is>
      </c>
      <c r="F220" t="inlineStr">
        <is>
          <t>Organic Search</t>
        </is>
      </c>
      <c r="G220" t="inlineStr">
        <is>
          <t>Mobile App</t>
        </is>
      </c>
      <c r="H220" t="inlineStr">
        <is>
          <t>UPI</t>
        </is>
      </c>
      <c r="I220" t="inlineStr">
        <is>
          <t>Delivered</t>
        </is>
      </c>
      <c r="J220" t="n">
        <v>112</v>
      </c>
      <c r="K220" t="n">
        <v>1</v>
      </c>
      <c r="L220" t="n">
        <v>1574</v>
      </c>
      <c r="M220" t="n">
        <v>157.4</v>
      </c>
      <c r="N220">
        <f>VLOOKUP(J220,Products!$A$2:$C$49,3,FALSE)</f>
        <v/>
      </c>
      <c r="O220">
        <f>K220*L220-M220</f>
        <v/>
      </c>
      <c r="P220">
        <f>TEXT(B220,"yyyy-mm")</f>
        <v/>
      </c>
      <c r="Q220">
        <f>IF(O220&gt;=3000,"Large","Small")</f>
        <v/>
      </c>
      <c r="R220">
        <f>INDEX(Products!$F$2:$F$49,MATCH(J220,Products!$A$2:$A$49,0))</f>
        <v/>
      </c>
      <c r="S220">
        <f>WEEKDAY(B220,2)</f>
        <v/>
      </c>
    </row>
    <row r="221">
      <c r="A221" t="n">
        <v>509439</v>
      </c>
      <c r="B221" s="6" t="n">
        <v>45935</v>
      </c>
      <c r="C221" t="n">
        <v>16602</v>
      </c>
      <c r="D221" t="inlineStr">
        <is>
          <t>Bengaluru</t>
        </is>
      </c>
      <c r="E221" t="inlineStr">
        <is>
          <t>South</t>
        </is>
      </c>
      <c r="F221" t="inlineStr">
        <is>
          <t>Organic Search</t>
        </is>
      </c>
      <c r="G221" t="inlineStr">
        <is>
          <t>Mobile App</t>
        </is>
      </c>
      <c r="H221" t="inlineStr">
        <is>
          <t>Credit Card</t>
        </is>
      </c>
      <c r="I221" t="inlineStr">
        <is>
          <t>Delivered</t>
        </is>
      </c>
      <c r="J221" t="n">
        <v>120</v>
      </c>
      <c r="K221" t="n">
        <v>1</v>
      </c>
      <c r="L221" t="n">
        <v>734</v>
      </c>
      <c r="M221" t="n">
        <v>110.1</v>
      </c>
      <c r="N221">
        <f>VLOOKUP(J221,Products!$A$2:$C$49,3,FALSE)</f>
        <v/>
      </c>
      <c r="O221">
        <f>K221*L221-M221</f>
        <v/>
      </c>
      <c r="P221">
        <f>TEXT(B221,"yyyy-mm")</f>
        <v/>
      </c>
      <c r="Q221">
        <f>IF(O221&gt;=3000,"Large","Small")</f>
        <v/>
      </c>
      <c r="R221">
        <f>INDEX(Products!$F$2:$F$49,MATCH(J221,Products!$A$2:$A$49,0))</f>
        <v/>
      </c>
      <c r="S221">
        <f>WEEKDAY(B221,2)</f>
        <v/>
      </c>
    </row>
    <row r="222">
      <c r="A222" t="n">
        <v>509439</v>
      </c>
      <c r="B222" s="6" t="n">
        <v>45935</v>
      </c>
      <c r="C222" t="n">
        <v>16602</v>
      </c>
      <c r="D222" t="inlineStr">
        <is>
          <t>Bengaluru</t>
        </is>
      </c>
      <c r="E222" t="inlineStr">
        <is>
          <t>South</t>
        </is>
      </c>
      <c r="F222" t="inlineStr">
        <is>
          <t>Organic Search</t>
        </is>
      </c>
      <c r="G222" t="inlineStr">
        <is>
          <t>Mobile App</t>
        </is>
      </c>
      <c r="H222" t="inlineStr">
        <is>
          <t>Credit Card</t>
        </is>
      </c>
      <c r="I222" t="inlineStr">
        <is>
          <t>Delivered</t>
        </is>
      </c>
      <c r="J222" t="n">
        <v>111</v>
      </c>
      <c r="K222" t="n">
        <v>1</v>
      </c>
      <c r="L222" t="n">
        <v>524</v>
      </c>
      <c r="M222" t="n">
        <v>78.59999999999999</v>
      </c>
      <c r="N222">
        <f>VLOOKUP(J222,Products!$A$2:$C$49,3,FALSE)</f>
        <v/>
      </c>
      <c r="O222">
        <f>K222*L222-M222</f>
        <v/>
      </c>
      <c r="P222">
        <f>TEXT(B222,"yyyy-mm")</f>
        <v/>
      </c>
      <c r="Q222">
        <f>IF(O222&gt;=3000,"Large","Small")</f>
        <v/>
      </c>
      <c r="R222">
        <f>INDEX(Products!$F$2:$F$49,MATCH(J222,Products!$A$2:$A$49,0))</f>
        <v/>
      </c>
      <c r="S222">
        <f>WEEKDAY(B222,2)</f>
        <v/>
      </c>
    </row>
    <row r="223">
      <c r="A223" t="n">
        <v>509439</v>
      </c>
      <c r="B223" s="6" t="n">
        <v>45935</v>
      </c>
      <c r="C223" t="n">
        <v>16602</v>
      </c>
      <c r="D223" t="inlineStr">
        <is>
          <t>Bengaluru</t>
        </is>
      </c>
      <c r="E223" t="inlineStr">
        <is>
          <t>South</t>
        </is>
      </c>
      <c r="F223" t="inlineStr">
        <is>
          <t>Organic Search</t>
        </is>
      </c>
      <c r="G223" t="inlineStr">
        <is>
          <t>Mobile App</t>
        </is>
      </c>
      <c r="H223" t="inlineStr">
        <is>
          <t>Credit Card</t>
        </is>
      </c>
      <c r="I223" t="inlineStr">
        <is>
          <t>Delivered</t>
        </is>
      </c>
      <c r="J223" t="n">
        <v>129</v>
      </c>
      <c r="K223" t="n">
        <v>1</v>
      </c>
      <c r="L223" t="n">
        <v>576</v>
      </c>
      <c r="M223" t="n">
        <v>86.40000000000001</v>
      </c>
      <c r="N223">
        <f>VLOOKUP(J223,Products!$A$2:$C$49,3,FALSE)</f>
        <v/>
      </c>
      <c r="O223">
        <f>K223*L223-M223</f>
        <v/>
      </c>
      <c r="P223">
        <f>TEXT(B223,"yyyy-mm")</f>
        <v/>
      </c>
      <c r="Q223">
        <f>IF(O223&gt;=3000,"Large","Small")</f>
        <v/>
      </c>
      <c r="R223">
        <f>INDEX(Products!$F$2:$F$49,MATCH(J223,Products!$A$2:$A$49,0))</f>
        <v/>
      </c>
      <c r="S223">
        <f>WEEKDAY(B223,2)</f>
        <v/>
      </c>
    </row>
    <row r="224">
      <c r="A224" t="n">
        <v>509440</v>
      </c>
      <c r="B224" s="6" t="n">
        <v>45935</v>
      </c>
      <c r="C224" t="n">
        <v>15705</v>
      </c>
      <c r="D224" t="inlineStr">
        <is>
          <t>Noida</t>
        </is>
      </c>
      <c r="E224" t="inlineStr">
        <is>
          <t>North</t>
        </is>
      </c>
      <c r="F224" t="inlineStr">
        <is>
          <t>Referral</t>
        </is>
      </c>
      <c r="G224" t="inlineStr">
        <is>
          <t>Desktop</t>
        </is>
      </c>
      <c r="H224" t="inlineStr">
        <is>
          <t>Credit Card</t>
        </is>
      </c>
      <c r="I224" t="inlineStr">
        <is>
          <t>Returned</t>
        </is>
      </c>
      <c r="J224" t="n">
        <v>144</v>
      </c>
      <c r="K224" t="n">
        <v>1</v>
      </c>
      <c r="L224" t="n">
        <v>3149</v>
      </c>
      <c r="M224" t="n">
        <v>0</v>
      </c>
      <c r="N224">
        <f>VLOOKUP(J224,Products!$A$2:$C$49,3,FALSE)</f>
        <v/>
      </c>
      <c r="O224">
        <f>K224*L224-M224</f>
        <v/>
      </c>
      <c r="P224">
        <f>TEXT(B224,"yyyy-mm")</f>
        <v/>
      </c>
      <c r="Q224">
        <f>IF(O224&gt;=3000,"Large","Small")</f>
        <v/>
      </c>
      <c r="R224">
        <f>INDEX(Products!$F$2:$F$49,MATCH(J224,Products!$A$2:$A$49,0))</f>
        <v/>
      </c>
      <c r="S224">
        <f>WEEKDAY(B224,2)</f>
        <v/>
      </c>
    </row>
    <row r="225">
      <c r="A225" t="n">
        <v>509440</v>
      </c>
      <c r="B225" s="6" t="n">
        <v>45935</v>
      </c>
      <c r="C225" t="n">
        <v>15705</v>
      </c>
      <c r="D225" t="inlineStr">
        <is>
          <t>Noida</t>
        </is>
      </c>
      <c r="E225" t="inlineStr">
        <is>
          <t>North</t>
        </is>
      </c>
      <c r="F225" t="inlineStr">
        <is>
          <t>Referral</t>
        </is>
      </c>
      <c r="G225" t="inlineStr">
        <is>
          <t>Desktop</t>
        </is>
      </c>
      <c r="H225" t="inlineStr">
        <is>
          <t>Credit Card</t>
        </is>
      </c>
      <c r="I225" t="inlineStr">
        <is>
          <t>Returned</t>
        </is>
      </c>
      <c r="J225" t="n">
        <v>129</v>
      </c>
      <c r="K225" t="n">
        <v>3</v>
      </c>
      <c r="L225" t="n">
        <v>576</v>
      </c>
      <c r="M225" t="n">
        <v>0</v>
      </c>
      <c r="N225">
        <f>VLOOKUP(J225,Products!$A$2:$C$49,3,FALSE)</f>
        <v/>
      </c>
      <c r="O225">
        <f>K225*L225-M225</f>
        <v/>
      </c>
      <c r="P225">
        <f>TEXT(B225,"yyyy-mm")</f>
        <v/>
      </c>
      <c r="Q225">
        <f>IF(O225&gt;=3000,"Large","Small")</f>
        <v/>
      </c>
      <c r="R225">
        <f>INDEX(Products!$F$2:$F$49,MATCH(J225,Products!$A$2:$A$49,0))</f>
        <v/>
      </c>
      <c r="S225">
        <f>WEEKDAY(B225,2)</f>
        <v/>
      </c>
    </row>
    <row r="226">
      <c r="A226" t="n">
        <v>509441</v>
      </c>
      <c r="B226" s="6" t="n">
        <v>45935</v>
      </c>
      <c r="C226" t="n">
        <v>10582</v>
      </c>
      <c r="D226" t="inlineStr">
        <is>
          <t>Delhi</t>
        </is>
      </c>
      <c r="E226" t="inlineStr">
        <is>
          <t>North</t>
        </is>
      </c>
      <c r="F226" t="inlineStr">
        <is>
          <t>Paid Search</t>
        </is>
      </c>
      <c r="G226" t="inlineStr">
        <is>
          <t>Mobile App</t>
        </is>
      </c>
      <c r="H226" t="inlineStr">
        <is>
          <t>UPI</t>
        </is>
      </c>
      <c r="I226" t="inlineStr">
        <is>
          <t>Delivered</t>
        </is>
      </c>
      <c r="J226" t="n">
        <v>106</v>
      </c>
      <c r="K226" t="n">
        <v>3</v>
      </c>
      <c r="L226" t="n">
        <v>1574</v>
      </c>
      <c r="M226" t="n">
        <v>472.2</v>
      </c>
      <c r="N226">
        <f>VLOOKUP(J226,Products!$A$2:$C$49,3,FALSE)</f>
        <v/>
      </c>
      <c r="O226">
        <f>K226*L226-M226</f>
        <v/>
      </c>
      <c r="P226">
        <f>TEXT(B226,"yyyy-mm")</f>
        <v/>
      </c>
      <c r="Q226">
        <f>IF(O226&gt;=3000,"Large","Small")</f>
        <v/>
      </c>
      <c r="R226">
        <f>INDEX(Products!$F$2:$F$49,MATCH(J226,Products!$A$2:$A$49,0))</f>
        <v/>
      </c>
      <c r="S226">
        <f>WEEKDAY(B226,2)</f>
        <v/>
      </c>
    </row>
    <row r="227">
      <c r="A227" t="n">
        <v>509441</v>
      </c>
      <c r="B227" s="6" t="n">
        <v>45935</v>
      </c>
      <c r="C227" t="n">
        <v>10582</v>
      </c>
      <c r="D227" t="inlineStr">
        <is>
          <t>Delhi</t>
        </is>
      </c>
      <c r="E227" t="inlineStr">
        <is>
          <t>North</t>
        </is>
      </c>
      <c r="F227" t="inlineStr">
        <is>
          <t>Paid Search</t>
        </is>
      </c>
      <c r="G227" t="inlineStr">
        <is>
          <t>Mobile App</t>
        </is>
      </c>
      <c r="H227" t="inlineStr">
        <is>
          <t>UPI</t>
        </is>
      </c>
      <c r="I227" t="inlineStr">
        <is>
          <t>Delivered</t>
        </is>
      </c>
      <c r="J227" t="n">
        <v>117</v>
      </c>
      <c r="K227" t="n">
        <v>1</v>
      </c>
      <c r="L227" t="n">
        <v>3149</v>
      </c>
      <c r="M227" t="n">
        <v>314.9</v>
      </c>
      <c r="N227">
        <f>VLOOKUP(J227,Products!$A$2:$C$49,3,FALSE)</f>
        <v/>
      </c>
      <c r="O227">
        <f>K227*L227-M227</f>
        <v/>
      </c>
      <c r="P227">
        <f>TEXT(B227,"yyyy-mm")</f>
        <v/>
      </c>
      <c r="Q227">
        <f>IF(O227&gt;=3000,"Large","Small")</f>
        <v/>
      </c>
      <c r="R227">
        <f>INDEX(Products!$F$2:$F$49,MATCH(J227,Products!$A$2:$A$49,0))</f>
        <v/>
      </c>
      <c r="S227">
        <f>WEEKDAY(B227,2)</f>
        <v/>
      </c>
    </row>
    <row r="228">
      <c r="A228" t="n">
        <v>509442</v>
      </c>
      <c r="B228" s="6" t="n">
        <v>45935</v>
      </c>
      <c r="C228" t="n">
        <v>11789</v>
      </c>
      <c r="D228" t="inlineStr">
        <is>
          <t>Delhi</t>
        </is>
      </c>
      <c r="E228" t="inlineStr">
        <is>
          <t>North</t>
        </is>
      </c>
      <c r="F228" t="inlineStr">
        <is>
          <t>Paid Social</t>
        </is>
      </c>
      <c r="G228" t="inlineStr">
        <is>
          <t>Mobile App</t>
        </is>
      </c>
      <c r="H228" t="inlineStr">
        <is>
          <t>Net Banking</t>
        </is>
      </c>
      <c r="I228" t="inlineStr">
        <is>
          <t>Delivered</t>
        </is>
      </c>
      <c r="J228" t="n">
        <v>148</v>
      </c>
      <c r="K228" t="n">
        <v>1</v>
      </c>
      <c r="L228" t="n">
        <v>734</v>
      </c>
      <c r="M228" t="n">
        <v>0</v>
      </c>
      <c r="N228">
        <f>VLOOKUP(J228,Products!$A$2:$C$49,3,FALSE)</f>
        <v/>
      </c>
      <c r="O228">
        <f>K228*L228-M228</f>
        <v/>
      </c>
      <c r="P228">
        <f>TEXT(B228,"yyyy-mm")</f>
        <v/>
      </c>
      <c r="Q228">
        <f>IF(O228&gt;=3000,"Large","Small")</f>
        <v/>
      </c>
      <c r="R228">
        <f>INDEX(Products!$F$2:$F$49,MATCH(J228,Products!$A$2:$A$49,0))</f>
        <v/>
      </c>
      <c r="S228">
        <f>WEEKDAY(B228,2)</f>
        <v/>
      </c>
    </row>
    <row r="229">
      <c r="A229" t="n">
        <v>509442</v>
      </c>
      <c r="B229" s="6" t="n">
        <v>45935</v>
      </c>
      <c r="C229" t="n">
        <v>11789</v>
      </c>
      <c r="D229" t="inlineStr">
        <is>
          <t>Delhi</t>
        </is>
      </c>
      <c r="E229" t="inlineStr">
        <is>
          <t>North</t>
        </is>
      </c>
      <c r="F229" t="inlineStr">
        <is>
          <t>Paid Social</t>
        </is>
      </c>
      <c r="G229" t="inlineStr">
        <is>
          <t>Mobile App</t>
        </is>
      </c>
      <c r="H229" t="inlineStr">
        <is>
          <t>Net Banking</t>
        </is>
      </c>
      <c r="I229" t="inlineStr">
        <is>
          <t>Delivered</t>
        </is>
      </c>
      <c r="J229" t="n">
        <v>118</v>
      </c>
      <c r="K229" t="n">
        <v>2</v>
      </c>
      <c r="L229" t="n">
        <v>944</v>
      </c>
      <c r="M229" t="n">
        <v>0</v>
      </c>
      <c r="N229">
        <f>VLOOKUP(J229,Products!$A$2:$C$49,3,FALSE)</f>
        <v/>
      </c>
      <c r="O229">
        <f>K229*L229-M229</f>
        <v/>
      </c>
      <c r="P229">
        <f>TEXT(B229,"yyyy-mm")</f>
        <v/>
      </c>
      <c r="Q229">
        <f>IF(O229&gt;=3000,"Large","Small")</f>
        <v/>
      </c>
      <c r="R229">
        <f>INDEX(Products!$F$2:$F$49,MATCH(J229,Products!$A$2:$A$49,0))</f>
        <v/>
      </c>
      <c r="S229">
        <f>WEEKDAY(B229,2)</f>
        <v/>
      </c>
    </row>
    <row r="230">
      <c r="A230" t="n">
        <v>509442</v>
      </c>
      <c r="B230" s="6" t="n">
        <v>45935</v>
      </c>
      <c r="C230" t="n">
        <v>11789</v>
      </c>
      <c r="D230" t="inlineStr">
        <is>
          <t>Delhi</t>
        </is>
      </c>
      <c r="E230" t="inlineStr">
        <is>
          <t>North</t>
        </is>
      </c>
      <c r="F230" t="inlineStr">
        <is>
          <t>Paid Social</t>
        </is>
      </c>
      <c r="G230" t="inlineStr">
        <is>
          <t>Mobile App</t>
        </is>
      </c>
      <c r="H230" t="inlineStr">
        <is>
          <t>Net Banking</t>
        </is>
      </c>
      <c r="I230" t="inlineStr">
        <is>
          <t>Delivered</t>
        </is>
      </c>
      <c r="J230" t="n">
        <v>129</v>
      </c>
      <c r="K230" t="n">
        <v>2</v>
      </c>
      <c r="L230" t="n">
        <v>576</v>
      </c>
      <c r="M230" t="n">
        <v>0</v>
      </c>
      <c r="N230">
        <f>VLOOKUP(J230,Products!$A$2:$C$49,3,FALSE)</f>
        <v/>
      </c>
      <c r="O230">
        <f>K230*L230-M230</f>
        <v/>
      </c>
      <c r="P230">
        <f>TEXT(B230,"yyyy-mm")</f>
        <v/>
      </c>
      <c r="Q230">
        <f>IF(O230&gt;=3000,"Large","Small")</f>
        <v/>
      </c>
      <c r="R230">
        <f>INDEX(Products!$F$2:$F$49,MATCH(J230,Products!$A$2:$A$49,0))</f>
        <v/>
      </c>
      <c r="S230">
        <f>WEEKDAY(B230,2)</f>
        <v/>
      </c>
    </row>
    <row r="231">
      <c r="A231" t="n">
        <v>509443</v>
      </c>
      <c r="B231" s="6" t="n">
        <v>45935</v>
      </c>
      <c r="C231" t="n">
        <v>10286</v>
      </c>
      <c r="D231" t="inlineStr">
        <is>
          <t>Delhi</t>
        </is>
      </c>
      <c r="E231" t="inlineStr">
        <is>
          <t>North</t>
        </is>
      </c>
      <c r="F231" t="inlineStr">
        <is>
          <t>Paid Search</t>
        </is>
      </c>
      <c r="G231" t="inlineStr">
        <is>
          <t>Desktop</t>
        </is>
      </c>
      <c r="H231" t="inlineStr">
        <is>
          <t>Cash on Delivery</t>
        </is>
      </c>
      <c r="I231" t="inlineStr">
        <is>
          <t>Delivered</t>
        </is>
      </c>
      <c r="J231" t="n">
        <v>111</v>
      </c>
      <c r="K231" t="n">
        <v>1</v>
      </c>
      <c r="L231" t="n">
        <v>524</v>
      </c>
      <c r="M231" t="n">
        <v>52.4</v>
      </c>
      <c r="N231">
        <f>VLOOKUP(J231,Products!$A$2:$C$49,3,FALSE)</f>
        <v/>
      </c>
      <c r="O231">
        <f>K231*L231-M231</f>
        <v/>
      </c>
      <c r="P231">
        <f>TEXT(B231,"yyyy-mm")</f>
        <v/>
      </c>
      <c r="Q231">
        <f>IF(O231&gt;=3000,"Large","Small")</f>
        <v/>
      </c>
      <c r="R231">
        <f>INDEX(Products!$F$2:$F$49,MATCH(J231,Products!$A$2:$A$49,0))</f>
        <v/>
      </c>
      <c r="S231">
        <f>WEEKDAY(B231,2)</f>
        <v/>
      </c>
    </row>
    <row r="232">
      <c r="A232" t="n">
        <v>509444</v>
      </c>
      <c r="B232" s="6" t="n">
        <v>45935</v>
      </c>
      <c r="C232" t="n">
        <v>11950</v>
      </c>
      <c r="D232" t="inlineStr">
        <is>
          <t>Noida</t>
        </is>
      </c>
      <c r="E232" t="inlineStr">
        <is>
          <t>North</t>
        </is>
      </c>
      <c r="F232" t="inlineStr">
        <is>
          <t>Organic Search</t>
        </is>
      </c>
      <c r="G232" t="inlineStr">
        <is>
          <t>Mobile Web</t>
        </is>
      </c>
      <c r="H232" t="inlineStr">
        <is>
          <t>Debit Card</t>
        </is>
      </c>
      <c r="I232" t="inlineStr">
        <is>
          <t>Delivered</t>
        </is>
      </c>
      <c r="J232" t="n">
        <v>116</v>
      </c>
      <c r="K232" t="n">
        <v>1</v>
      </c>
      <c r="L232" t="n">
        <v>2624</v>
      </c>
      <c r="M232" t="n">
        <v>262.4</v>
      </c>
      <c r="N232">
        <f>VLOOKUP(J232,Products!$A$2:$C$49,3,FALSE)</f>
        <v/>
      </c>
      <c r="O232">
        <f>K232*L232-M232</f>
        <v/>
      </c>
      <c r="P232">
        <f>TEXT(B232,"yyyy-mm")</f>
        <v/>
      </c>
      <c r="Q232">
        <f>IF(O232&gt;=3000,"Large","Small")</f>
        <v/>
      </c>
      <c r="R232">
        <f>INDEX(Products!$F$2:$F$49,MATCH(J232,Products!$A$2:$A$49,0))</f>
        <v/>
      </c>
      <c r="S232">
        <f>WEEKDAY(B232,2)</f>
        <v/>
      </c>
    </row>
    <row r="233">
      <c r="A233" t="n">
        <v>509445</v>
      </c>
      <c r="B233" s="6" t="n">
        <v>45935</v>
      </c>
      <c r="C233" t="n">
        <v>10634</v>
      </c>
      <c r="D233" t="inlineStr">
        <is>
          <t>Hyderabad</t>
        </is>
      </c>
      <c r="E233" t="inlineStr">
        <is>
          <t>South</t>
        </is>
      </c>
      <c r="F233" t="inlineStr">
        <is>
          <t>Paid Search</t>
        </is>
      </c>
      <c r="G233" t="inlineStr">
        <is>
          <t>Desktop</t>
        </is>
      </c>
      <c r="H233" t="inlineStr">
        <is>
          <t>UPI</t>
        </is>
      </c>
      <c r="I233" t="inlineStr">
        <is>
          <t>Delivered</t>
        </is>
      </c>
      <c r="J233" t="n">
        <v>123</v>
      </c>
      <c r="K233" t="n">
        <v>1</v>
      </c>
      <c r="L233" t="n">
        <v>3464</v>
      </c>
      <c r="M233" t="n">
        <v>0</v>
      </c>
      <c r="N233">
        <f>VLOOKUP(J233,Products!$A$2:$C$49,3,FALSE)</f>
        <v/>
      </c>
      <c r="O233">
        <f>K233*L233-M233</f>
        <v/>
      </c>
      <c r="P233">
        <f>TEXT(B233,"yyyy-mm")</f>
        <v/>
      </c>
      <c r="Q233">
        <f>IF(O233&gt;=3000,"Large","Small")</f>
        <v/>
      </c>
      <c r="R233">
        <f>INDEX(Products!$F$2:$F$49,MATCH(J233,Products!$A$2:$A$49,0))</f>
        <v/>
      </c>
      <c r="S233">
        <f>WEEKDAY(B233,2)</f>
        <v/>
      </c>
    </row>
    <row r="234">
      <c r="A234" t="n">
        <v>509445</v>
      </c>
      <c r="B234" s="6" t="n">
        <v>45935</v>
      </c>
      <c r="C234" t="n">
        <v>10634</v>
      </c>
      <c r="D234" t="inlineStr">
        <is>
          <t>Hyderabad</t>
        </is>
      </c>
      <c r="E234" t="inlineStr">
        <is>
          <t>South</t>
        </is>
      </c>
      <c r="F234" t="inlineStr">
        <is>
          <t>Paid Search</t>
        </is>
      </c>
      <c r="G234" t="inlineStr">
        <is>
          <t>Desktop</t>
        </is>
      </c>
      <c r="H234" t="inlineStr">
        <is>
          <t>UPI</t>
        </is>
      </c>
      <c r="I234" t="inlineStr">
        <is>
          <t>Delivered</t>
        </is>
      </c>
      <c r="J234" t="n">
        <v>104</v>
      </c>
      <c r="K234" t="n">
        <v>1</v>
      </c>
      <c r="L234" t="n">
        <v>5249</v>
      </c>
      <c r="M234" t="n">
        <v>0</v>
      </c>
      <c r="N234">
        <f>VLOOKUP(J234,Products!$A$2:$C$49,3,FALSE)</f>
        <v/>
      </c>
      <c r="O234">
        <f>K234*L234-M234</f>
        <v/>
      </c>
      <c r="P234">
        <f>TEXT(B234,"yyyy-mm")</f>
        <v/>
      </c>
      <c r="Q234">
        <f>IF(O234&gt;=3000,"Large","Small")</f>
        <v/>
      </c>
      <c r="R234">
        <f>INDEX(Products!$F$2:$F$49,MATCH(J234,Products!$A$2:$A$49,0))</f>
        <v/>
      </c>
      <c r="S234">
        <f>WEEKDAY(B234,2)</f>
        <v/>
      </c>
    </row>
    <row r="235">
      <c r="A235" t="n">
        <v>509445</v>
      </c>
      <c r="B235" s="6" t="n">
        <v>45935</v>
      </c>
      <c r="C235" t="n">
        <v>10634</v>
      </c>
      <c r="D235" t="inlineStr">
        <is>
          <t>Hyderabad</t>
        </is>
      </c>
      <c r="E235" t="inlineStr">
        <is>
          <t>South</t>
        </is>
      </c>
      <c r="F235" t="inlineStr">
        <is>
          <t>Paid Search</t>
        </is>
      </c>
      <c r="G235" t="inlineStr">
        <is>
          <t>Desktop</t>
        </is>
      </c>
      <c r="H235" t="inlineStr">
        <is>
          <t>UPI</t>
        </is>
      </c>
      <c r="I235" t="inlineStr">
        <is>
          <t>Delivered</t>
        </is>
      </c>
      <c r="J235" t="n">
        <v>129</v>
      </c>
      <c r="K235" t="n">
        <v>1</v>
      </c>
      <c r="L235" t="n">
        <v>576</v>
      </c>
      <c r="M235" t="n">
        <v>0</v>
      </c>
      <c r="N235">
        <f>VLOOKUP(J235,Products!$A$2:$C$49,3,FALSE)</f>
        <v/>
      </c>
      <c r="O235">
        <f>K235*L235-M235</f>
        <v/>
      </c>
      <c r="P235">
        <f>TEXT(B235,"yyyy-mm")</f>
        <v/>
      </c>
      <c r="Q235">
        <f>IF(O235&gt;=3000,"Large","Small")</f>
        <v/>
      </c>
      <c r="R235">
        <f>INDEX(Products!$F$2:$F$49,MATCH(J235,Products!$A$2:$A$49,0))</f>
        <v/>
      </c>
      <c r="S235">
        <f>WEEKDAY(B235,2)</f>
        <v/>
      </c>
    </row>
    <row r="236">
      <c r="A236" t="n">
        <v>509446</v>
      </c>
      <c r="B236" s="6" t="n">
        <v>45935</v>
      </c>
      <c r="C236" t="n">
        <v>16612</v>
      </c>
      <c r="D236" t="inlineStr">
        <is>
          <t>Mumbai</t>
        </is>
      </c>
      <c r="E236" t="inlineStr">
        <is>
          <t>West</t>
        </is>
      </c>
      <c r="F236" t="inlineStr">
        <is>
          <t>Referral</t>
        </is>
      </c>
      <c r="G236" t="inlineStr">
        <is>
          <t>Mobile Web</t>
        </is>
      </c>
      <c r="H236" t="inlineStr">
        <is>
          <t>UPI</t>
        </is>
      </c>
      <c r="I236" t="inlineStr">
        <is>
          <t>Delivered</t>
        </is>
      </c>
      <c r="J236" t="n">
        <v>116</v>
      </c>
      <c r="K236" t="n">
        <v>1</v>
      </c>
      <c r="L236" t="n">
        <v>2624</v>
      </c>
      <c r="M236" t="n">
        <v>262.4</v>
      </c>
      <c r="N236">
        <f>VLOOKUP(J236,Products!$A$2:$C$49,3,FALSE)</f>
        <v/>
      </c>
      <c r="O236">
        <f>K236*L236-M236</f>
        <v/>
      </c>
      <c r="P236">
        <f>TEXT(B236,"yyyy-mm")</f>
        <v/>
      </c>
      <c r="Q236">
        <f>IF(O236&gt;=3000,"Large","Small")</f>
        <v/>
      </c>
      <c r="R236">
        <f>INDEX(Products!$F$2:$F$49,MATCH(J236,Products!$A$2:$A$49,0))</f>
        <v/>
      </c>
      <c r="S236">
        <f>WEEKDAY(B236,2)</f>
        <v/>
      </c>
    </row>
    <row r="237">
      <c r="A237" t="n">
        <v>509447</v>
      </c>
      <c r="B237" s="6" t="n">
        <v>45935</v>
      </c>
      <c r="C237" t="n">
        <v>15730</v>
      </c>
      <c r="D237" t="inlineStr">
        <is>
          <t>Noida</t>
        </is>
      </c>
      <c r="E237" t="inlineStr">
        <is>
          <t>North</t>
        </is>
      </c>
      <c r="F237" t="inlineStr">
        <is>
          <t>Referral</t>
        </is>
      </c>
      <c r="G237" t="inlineStr">
        <is>
          <t>Mobile App</t>
        </is>
      </c>
      <c r="H237" t="inlineStr">
        <is>
          <t>Net Banking</t>
        </is>
      </c>
      <c r="I237" t="inlineStr">
        <is>
          <t>Delivered</t>
        </is>
      </c>
      <c r="J237" t="n">
        <v>122</v>
      </c>
      <c r="K237" t="n">
        <v>1</v>
      </c>
      <c r="L237" t="n">
        <v>1994</v>
      </c>
      <c r="M237" t="n">
        <v>199.4</v>
      </c>
      <c r="N237">
        <f>VLOOKUP(J237,Products!$A$2:$C$49,3,FALSE)</f>
        <v/>
      </c>
      <c r="O237">
        <f>K237*L237-M237</f>
        <v/>
      </c>
      <c r="P237">
        <f>TEXT(B237,"yyyy-mm")</f>
        <v/>
      </c>
      <c r="Q237">
        <f>IF(O237&gt;=3000,"Large","Small")</f>
        <v/>
      </c>
      <c r="R237">
        <f>INDEX(Products!$F$2:$F$49,MATCH(J237,Products!$A$2:$A$49,0))</f>
        <v/>
      </c>
      <c r="S237">
        <f>WEEKDAY(B237,2)</f>
        <v/>
      </c>
    </row>
    <row r="238">
      <c r="A238" t="n">
        <v>509448</v>
      </c>
      <c r="B238" s="6" t="n">
        <v>45935</v>
      </c>
      <c r="C238" t="n">
        <v>13681</v>
      </c>
      <c r="D238" t="inlineStr">
        <is>
          <t>Noida</t>
        </is>
      </c>
      <c r="E238" t="inlineStr">
        <is>
          <t>North</t>
        </is>
      </c>
      <c r="F238" t="inlineStr">
        <is>
          <t>Paid Search</t>
        </is>
      </c>
      <c r="G238" t="inlineStr">
        <is>
          <t>Mobile App</t>
        </is>
      </c>
      <c r="H238" t="inlineStr">
        <is>
          <t>UPI</t>
        </is>
      </c>
      <c r="I238" t="inlineStr">
        <is>
          <t>Returned</t>
        </is>
      </c>
      <c r="J238" t="n">
        <v>112</v>
      </c>
      <c r="K238" t="n">
        <v>1</v>
      </c>
      <c r="L238" t="n">
        <v>1574</v>
      </c>
      <c r="M238" t="n">
        <v>0</v>
      </c>
      <c r="N238">
        <f>VLOOKUP(J238,Products!$A$2:$C$49,3,FALSE)</f>
        <v/>
      </c>
      <c r="O238">
        <f>K238*L238-M238</f>
        <v/>
      </c>
      <c r="P238">
        <f>TEXT(B238,"yyyy-mm")</f>
        <v/>
      </c>
      <c r="Q238">
        <f>IF(O238&gt;=3000,"Large","Small")</f>
        <v/>
      </c>
      <c r="R238">
        <f>INDEX(Products!$F$2:$F$49,MATCH(J238,Products!$A$2:$A$49,0))</f>
        <v/>
      </c>
      <c r="S238">
        <f>WEEKDAY(B238,2)</f>
        <v/>
      </c>
    </row>
    <row r="239">
      <c r="A239" t="n">
        <v>509449</v>
      </c>
      <c r="B239" s="6" t="n">
        <v>45935</v>
      </c>
      <c r="C239" t="n">
        <v>15850</v>
      </c>
      <c r="D239" t="inlineStr">
        <is>
          <t>Chennai</t>
        </is>
      </c>
      <c r="E239" t="inlineStr">
        <is>
          <t>South</t>
        </is>
      </c>
      <c r="F239" t="inlineStr">
        <is>
          <t>Referral</t>
        </is>
      </c>
      <c r="G239" t="inlineStr">
        <is>
          <t>Desktop</t>
        </is>
      </c>
      <c r="H239" t="inlineStr">
        <is>
          <t>Cash on Delivery</t>
        </is>
      </c>
      <c r="I239" t="inlineStr">
        <is>
          <t>Cancelled</t>
        </is>
      </c>
      <c r="J239" t="n">
        <v>113</v>
      </c>
      <c r="K239" t="n">
        <v>1</v>
      </c>
      <c r="L239" t="n">
        <v>1364</v>
      </c>
      <c r="M239" t="n">
        <v>136.4</v>
      </c>
      <c r="N239">
        <f>VLOOKUP(J239,Products!$A$2:$C$49,3,FALSE)</f>
        <v/>
      </c>
      <c r="O239">
        <f>K239*L239-M239</f>
        <v/>
      </c>
      <c r="P239">
        <f>TEXT(B239,"yyyy-mm")</f>
        <v/>
      </c>
      <c r="Q239">
        <f>IF(O239&gt;=3000,"Large","Small")</f>
        <v/>
      </c>
      <c r="R239">
        <f>INDEX(Products!$F$2:$F$49,MATCH(J239,Products!$A$2:$A$49,0))</f>
        <v/>
      </c>
      <c r="S239">
        <f>WEEKDAY(B239,2)</f>
        <v/>
      </c>
    </row>
    <row r="240">
      <c r="A240" t="n">
        <v>509450</v>
      </c>
      <c r="B240" s="6" t="n">
        <v>45935</v>
      </c>
      <c r="C240" t="n">
        <v>13754</v>
      </c>
      <c r="D240" t="inlineStr">
        <is>
          <t>Mumbai</t>
        </is>
      </c>
      <c r="E240" t="inlineStr">
        <is>
          <t>West</t>
        </is>
      </c>
      <c r="F240" t="inlineStr">
        <is>
          <t>Paid Search</t>
        </is>
      </c>
      <c r="G240" t="inlineStr">
        <is>
          <t>Mobile App</t>
        </is>
      </c>
      <c r="H240" t="inlineStr">
        <is>
          <t>UPI</t>
        </is>
      </c>
      <c r="I240" t="inlineStr">
        <is>
          <t>Delivered</t>
        </is>
      </c>
      <c r="J240" t="n">
        <v>134</v>
      </c>
      <c r="K240" t="n">
        <v>1</v>
      </c>
      <c r="L240" t="n">
        <v>209</v>
      </c>
      <c r="M240" t="n">
        <v>0</v>
      </c>
      <c r="N240">
        <f>VLOOKUP(J240,Products!$A$2:$C$49,3,FALSE)</f>
        <v/>
      </c>
      <c r="O240">
        <f>K240*L240-M240</f>
        <v/>
      </c>
      <c r="P240">
        <f>TEXT(B240,"yyyy-mm")</f>
        <v/>
      </c>
      <c r="Q240">
        <f>IF(O240&gt;=3000,"Large","Small")</f>
        <v/>
      </c>
      <c r="R240">
        <f>INDEX(Products!$F$2:$F$49,MATCH(J240,Products!$A$2:$A$49,0))</f>
        <v/>
      </c>
      <c r="S240">
        <f>WEEKDAY(B240,2)</f>
        <v/>
      </c>
    </row>
    <row r="241">
      <c r="A241" t="n">
        <v>509451</v>
      </c>
      <c r="B241" s="6" t="n">
        <v>45935</v>
      </c>
      <c r="C241" t="n">
        <v>10536</v>
      </c>
      <c r="D241" t="inlineStr">
        <is>
          <t>Bengaluru</t>
        </is>
      </c>
      <c r="E241" t="inlineStr">
        <is>
          <t>South</t>
        </is>
      </c>
      <c r="F241" t="inlineStr">
        <is>
          <t>Paid Search</t>
        </is>
      </c>
      <c r="G241" t="inlineStr">
        <is>
          <t>Desktop</t>
        </is>
      </c>
      <c r="H241" t="inlineStr">
        <is>
          <t>UPI</t>
        </is>
      </c>
      <c r="I241" t="inlineStr">
        <is>
          <t>Returned</t>
        </is>
      </c>
      <c r="J241" t="n">
        <v>104</v>
      </c>
      <c r="K241" t="n">
        <v>1</v>
      </c>
      <c r="L241" t="n">
        <v>5249</v>
      </c>
      <c r="M241" t="n">
        <v>524.9</v>
      </c>
      <c r="N241">
        <f>VLOOKUP(J241,Products!$A$2:$C$49,3,FALSE)</f>
        <v/>
      </c>
      <c r="O241">
        <f>K241*L241-M241</f>
        <v/>
      </c>
      <c r="P241">
        <f>TEXT(B241,"yyyy-mm")</f>
        <v/>
      </c>
      <c r="Q241">
        <f>IF(O241&gt;=3000,"Large","Small")</f>
        <v/>
      </c>
      <c r="R241">
        <f>INDEX(Products!$F$2:$F$49,MATCH(J241,Products!$A$2:$A$49,0))</f>
        <v/>
      </c>
      <c r="S241">
        <f>WEEKDAY(B241,2)</f>
        <v/>
      </c>
    </row>
    <row r="242">
      <c r="A242" t="n">
        <v>509451</v>
      </c>
      <c r="B242" s="6" t="n">
        <v>45935</v>
      </c>
      <c r="C242" t="n">
        <v>10536</v>
      </c>
      <c r="D242" t="inlineStr">
        <is>
          <t>Bengaluru</t>
        </is>
      </c>
      <c r="E242" t="inlineStr">
        <is>
          <t>South</t>
        </is>
      </c>
      <c r="F242" t="inlineStr">
        <is>
          <t>Paid Search</t>
        </is>
      </c>
      <c r="G242" t="inlineStr">
        <is>
          <t>Desktop</t>
        </is>
      </c>
      <c r="H242" t="inlineStr">
        <is>
          <t>UPI</t>
        </is>
      </c>
      <c r="I242" t="inlineStr">
        <is>
          <t>Returned</t>
        </is>
      </c>
      <c r="J242" t="n">
        <v>111</v>
      </c>
      <c r="K242" t="n">
        <v>1</v>
      </c>
      <c r="L242" t="n">
        <v>524</v>
      </c>
      <c r="M242" t="n">
        <v>52.4</v>
      </c>
      <c r="N242">
        <f>VLOOKUP(J242,Products!$A$2:$C$49,3,FALSE)</f>
        <v/>
      </c>
      <c r="O242">
        <f>K242*L242-M242</f>
        <v/>
      </c>
      <c r="P242">
        <f>TEXT(B242,"yyyy-mm")</f>
        <v/>
      </c>
      <c r="Q242">
        <f>IF(O242&gt;=3000,"Large","Small")</f>
        <v/>
      </c>
      <c r="R242">
        <f>INDEX(Products!$F$2:$F$49,MATCH(J242,Products!$A$2:$A$49,0))</f>
        <v/>
      </c>
      <c r="S242">
        <f>WEEKDAY(B242,2)</f>
        <v/>
      </c>
    </row>
    <row r="243">
      <c r="A243" t="n">
        <v>509451</v>
      </c>
      <c r="B243" s="6" t="n">
        <v>45935</v>
      </c>
      <c r="C243" t="n">
        <v>10536</v>
      </c>
      <c r="D243" t="inlineStr">
        <is>
          <t>Bengaluru</t>
        </is>
      </c>
      <c r="E243" t="inlineStr">
        <is>
          <t>South</t>
        </is>
      </c>
      <c r="F243" t="inlineStr">
        <is>
          <t>Paid Search</t>
        </is>
      </c>
      <c r="G243" t="inlineStr">
        <is>
          <t>Desktop</t>
        </is>
      </c>
      <c r="H243" t="inlineStr">
        <is>
          <t>UPI</t>
        </is>
      </c>
      <c r="I243" t="inlineStr">
        <is>
          <t>Returned</t>
        </is>
      </c>
      <c r="J243" t="n">
        <v>135</v>
      </c>
      <c r="K243" t="n">
        <v>3</v>
      </c>
      <c r="L243" t="n">
        <v>1574</v>
      </c>
      <c r="M243" t="n">
        <v>472.2</v>
      </c>
      <c r="N243">
        <f>VLOOKUP(J243,Products!$A$2:$C$49,3,FALSE)</f>
        <v/>
      </c>
      <c r="O243">
        <f>K243*L243-M243</f>
        <v/>
      </c>
      <c r="P243">
        <f>TEXT(B243,"yyyy-mm")</f>
        <v/>
      </c>
      <c r="Q243">
        <f>IF(O243&gt;=3000,"Large","Small")</f>
        <v/>
      </c>
      <c r="R243">
        <f>INDEX(Products!$F$2:$F$49,MATCH(J243,Products!$A$2:$A$49,0))</f>
        <v/>
      </c>
      <c r="S243">
        <f>WEEKDAY(B243,2)</f>
        <v/>
      </c>
    </row>
    <row r="244">
      <c r="A244" t="n">
        <v>509452</v>
      </c>
      <c r="B244" s="6" t="n">
        <v>45935</v>
      </c>
      <c r="C244" t="n">
        <v>15795</v>
      </c>
      <c r="D244" t="inlineStr">
        <is>
          <t>Noida</t>
        </is>
      </c>
      <c r="E244" t="inlineStr">
        <is>
          <t>North</t>
        </is>
      </c>
      <c r="F244" t="inlineStr">
        <is>
          <t>Referral</t>
        </is>
      </c>
      <c r="G244" t="inlineStr">
        <is>
          <t>Mobile Web</t>
        </is>
      </c>
      <c r="H244" t="inlineStr">
        <is>
          <t>UPI</t>
        </is>
      </c>
      <c r="I244" t="inlineStr">
        <is>
          <t>Delivered</t>
        </is>
      </c>
      <c r="J244" t="n">
        <v>128</v>
      </c>
      <c r="K244" t="n">
        <v>1</v>
      </c>
      <c r="L244" t="n">
        <v>1049</v>
      </c>
      <c r="M244" t="n">
        <v>104.9</v>
      </c>
      <c r="N244">
        <f>VLOOKUP(J244,Products!$A$2:$C$49,3,FALSE)</f>
        <v/>
      </c>
      <c r="O244">
        <f>K244*L244-M244</f>
        <v/>
      </c>
      <c r="P244">
        <f>TEXT(B244,"yyyy-mm")</f>
        <v/>
      </c>
      <c r="Q244">
        <f>IF(O244&gt;=3000,"Large","Small")</f>
        <v/>
      </c>
      <c r="R244">
        <f>INDEX(Products!$F$2:$F$49,MATCH(J244,Products!$A$2:$A$49,0))</f>
        <v/>
      </c>
      <c r="S244">
        <f>WEEKDAY(B244,2)</f>
        <v/>
      </c>
    </row>
    <row r="245">
      <c r="A245" t="n">
        <v>509452</v>
      </c>
      <c r="B245" s="6" t="n">
        <v>45935</v>
      </c>
      <c r="C245" t="n">
        <v>15795</v>
      </c>
      <c r="D245" t="inlineStr">
        <is>
          <t>Noida</t>
        </is>
      </c>
      <c r="E245" t="inlineStr">
        <is>
          <t>North</t>
        </is>
      </c>
      <c r="F245" t="inlineStr">
        <is>
          <t>Referral</t>
        </is>
      </c>
      <c r="G245" t="inlineStr">
        <is>
          <t>Mobile Web</t>
        </is>
      </c>
      <c r="H245" t="inlineStr">
        <is>
          <t>UPI</t>
        </is>
      </c>
      <c r="I245" t="inlineStr">
        <is>
          <t>Delivered</t>
        </is>
      </c>
      <c r="J245" t="n">
        <v>129</v>
      </c>
      <c r="K245" t="n">
        <v>1</v>
      </c>
      <c r="L245" t="n">
        <v>576</v>
      </c>
      <c r="M245" t="n">
        <v>57.6</v>
      </c>
      <c r="N245">
        <f>VLOOKUP(J245,Products!$A$2:$C$49,3,FALSE)</f>
        <v/>
      </c>
      <c r="O245">
        <f>K245*L245-M245</f>
        <v/>
      </c>
      <c r="P245">
        <f>TEXT(B245,"yyyy-mm")</f>
        <v/>
      </c>
      <c r="Q245">
        <f>IF(O245&gt;=3000,"Large","Small")</f>
        <v/>
      </c>
      <c r="R245">
        <f>INDEX(Products!$F$2:$F$49,MATCH(J245,Products!$A$2:$A$49,0))</f>
        <v/>
      </c>
      <c r="S245">
        <f>WEEKDAY(B245,2)</f>
        <v/>
      </c>
    </row>
    <row r="246">
      <c r="A246" t="n">
        <v>509453</v>
      </c>
      <c r="B246" s="6" t="n">
        <v>45935</v>
      </c>
      <c r="C246" t="n">
        <v>15789</v>
      </c>
      <c r="D246" t="inlineStr">
        <is>
          <t>Delhi</t>
        </is>
      </c>
      <c r="E246" t="inlineStr">
        <is>
          <t>North</t>
        </is>
      </c>
      <c r="F246" t="inlineStr">
        <is>
          <t>Referral</t>
        </is>
      </c>
      <c r="G246" t="inlineStr">
        <is>
          <t>Mobile Web</t>
        </is>
      </c>
      <c r="H246" t="inlineStr">
        <is>
          <t>UPI</t>
        </is>
      </c>
      <c r="I246" t="inlineStr">
        <is>
          <t>Delivered</t>
        </is>
      </c>
      <c r="J246" t="n">
        <v>147</v>
      </c>
      <c r="K246" t="n">
        <v>1</v>
      </c>
      <c r="L246" t="n">
        <v>1364</v>
      </c>
      <c r="M246" t="n">
        <v>0</v>
      </c>
      <c r="N246">
        <f>VLOOKUP(J246,Products!$A$2:$C$49,3,FALSE)</f>
        <v/>
      </c>
      <c r="O246">
        <f>K246*L246-M246</f>
        <v/>
      </c>
      <c r="P246">
        <f>TEXT(B246,"yyyy-mm")</f>
        <v/>
      </c>
      <c r="Q246">
        <f>IF(O246&gt;=3000,"Large","Small")</f>
        <v/>
      </c>
      <c r="R246">
        <f>INDEX(Products!$F$2:$F$49,MATCH(J246,Products!$A$2:$A$49,0))</f>
        <v/>
      </c>
      <c r="S246">
        <f>WEEKDAY(B246,2)</f>
        <v/>
      </c>
    </row>
    <row r="247">
      <c r="A247" t="n">
        <v>509453</v>
      </c>
      <c r="B247" s="6" t="n">
        <v>45935</v>
      </c>
      <c r="C247" t="n">
        <v>15789</v>
      </c>
      <c r="D247" t="inlineStr">
        <is>
          <t>Delhi</t>
        </is>
      </c>
      <c r="E247" t="inlineStr">
        <is>
          <t>North</t>
        </is>
      </c>
      <c r="F247" t="inlineStr">
        <is>
          <t>Referral</t>
        </is>
      </c>
      <c r="G247" t="inlineStr">
        <is>
          <t>Mobile Web</t>
        </is>
      </c>
      <c r="H247" t="inlineStr">
        <is>
          <t>UPI</t>
        </is>
      </c>
      <c r="I247" t="inlineStr">
        <is>
          <t>Delivered</t>
        </is>
      </c>
      <c r="J247" t="n">
        <v>129</v>
      </c>
      <c r="K247" t="n">
        <v>2</v>
      </c>
      <c r="L247" t="n">
        <v>576</v>
      </c>
      <c r="M247" t="n">
        <v>0</v>
      </c>
      <c r="N247">
        <f>VLOOKUP(J247,Products!$A$2:$C$49,3,FALSE)</f>
        <v/>
      </c>
      <c r="O247">
        <f>K247*L247-M247</f>
        <v/>
      </c>
      <c r="P247">
        <f>TEXT(B247,"yyyy-mm")</f>
        <v/>
      </c>
      <c r="Q247">
        <f>IF(O247&gt;=3000,"Large","Small")</f>
        <v/>
      </c>
      <c r="R247">
        <f>INDEX(Products!$F$2:$F$49,MATCH(J247,Products!$A$2:$A$49,0))</f>
        <v/>
      </c>
      <c r="S247">
        <f>WEEKDAY(B247,2)</f>
        <v/>
      </c>
    </row>
    <row r="248">
      <c r="A248" t="n">
        <v>509454</v>
      </c>
      <c r="B248" s="6" t="n">
        <v>45935</v>
      </c>
      <c r="C248" t="n">
        <v>13802</v>
      </c>
      <c r="D248" t="inlineStr">
        <is>
          <t>Delhi</t>
        </is>
      </c>
      <c r="E248" t="inlineStr">
        <is>
          <t>North</t>
        </is>
      </c>
      <c r="F248" t="inlineStr">
        <is>
          <t>Paid Search</t>
        </is>
      </c>
      <c r="G248" t="inlineStr">
        <is>
          <t>Desktop</t>
        </is>
      </c>
      <c r="H248" t="inlineStr">
        <is>
          <t>Net Banking</t>
        </is>
      </c>
      <c r="I248" t="inlineStr">
        <is>
          <t>Returned</t>
        </is>
      </c>
      <c r="J248" t="n">
        <v>116</v>
      </c>
      <c r="K248" t="n">
        <v>1</v>
      </c>
      <c r="L248" t="n">
        <v>2624</v>
      </c>
      <c r="M248" t="n">
        <v>0</v>
      </c>
      <c r="N248">
        <f>VLOOKUP(J248,Products!$A$2:$C$49,3,FALSE)</f>
        <v/>
      </c>
      <c r="O248">
        <f>K248*L248-M248</f>
        <v/>
      </c>
      <c r="P248">
        <f>TEXT(B248,"yyyy-mm")</f>
        <v/>
      </c>
      <c r="Q248">
        <f>IF(O248&gt;=3000,"Large","Small")</f>
        <v/>
      </c>
      <c r="R248">
        <f>INDEX(Products!$F$2:$F$49,MATCH(J248,Products!$A$2:$A$49,0))</f>
        <v/>
      </c>
      <c r="S248">
        <f>WEEKDAY(B248,2)</f>
        <v/>
      </c>
    </row>
    <row r="249">
      <c r="A249" t="n">
        <v>509454</v>
      </c>
      <c r="B249" s="6" t="n">
        <v>45935</v>
      </c>
      <c r="C249" t="n">
        <v>13802</v>
      </c>
      <c r="D249" t="inlineStr">
        <is>
          <t>Delhi</t>
        </is>
      </c>
      <c r="E249" t="inlineStr">
        <is>
          <t>North</t>
        </is>
      </c>
      <c r="F249" t="inlineStr">
        <is>
          <t>Paid Search</t>
        </is>
      </c>
      <c r="G249" t="inlineStr">
        <is>
          <t>Desktop</t>
        </is>
      </c>
      <c r="H249" t="inlineStr">
        <is>
          <t>Net Banking</t>
        </is>
      </c>
      <c r="I249" t="inlineStr">
        <is>
          <t>Returned</t>
        </is>
      </c>
      <c r="J249" t="n">
        <v>129</v>
      </c>
      <c r="K249" t="n">
        <v>1</v>
      </c>
      <c r="L249" t="n">
        <v>576</v>
      </c>
      <c r="M249" t="n">
        <v>0</v>
      </c>
      <c r="N249">
        <f>VLOOKUP(J249,Products!$A$2:$C$49,3,FALSE)</f>
        <v/>
      </c>
      <c r="O249">
        <f>K249*L249-M249</f>
        <v/>
      </c>
      <c r="P249">
        <f>TEXT(B249,"yyyy-mm")</f>
        <v/>
      </c>
      <c r="Q249">
        <f>IF(O249&gt;=3000,"Large","Small")</f>
        <v/>
      </c>
      <c r="R249">
        <f>INDEX(Products!$F$2:$F$49,MATCH(J249,Products!$A$2:$A$49,0))</f>
        <v/>
      </c>
      <c r="S249">
        <f>WEEKDAY(B249,2)</f>
        <v/>
      </c>
    </row>
    <row r="250">
      <c r="A250" t="n">
        <v>509455</v>
      </c>
      <c r="B250" s="6" t="n">
        <v>45936</v>
      </c>
      <c r="C250" t="n">
        <v>11680</v>
      </c>
      <c r="D250" t="inlineStr">
        <is>
          <t>Delhi</t>
        </is>
      </c>
      <c r="E250" t="inlineStr">
        <is>
          <t>North</t>
        </is>
      </c>
      <c r="F250" t="inlineStr">
        <is>
          <t>Paid Social</t>
        </is>
      </c>
      <c r="G250" t="inlineStr">
        <is>
          <t>Mobile App</t>
        </is>
      </c>
      <c r="H250" t="inlineStr">
        <is>
          <t>UPI</t>
        </is>
      </c>
      <c r="I250" t="inlineStr">
        <is>
          <t>Delivered</t>
        </is>
      </c>
      <c r="J250" t="n">
        <v>118</v>
      </c>
      <c r="K250" t="n">
        <v>2</v>
      </c>
      <c r="L250" t="n">
        <v>944</v>
      </c>
      <c r="M250" t="n">
        <v>188.8</v>
      </c>
      <c r="N250">
        <f>VLOOKUP(J250,Products!$A$2:$C$49,3,FALSE)</f>
        <v/>
      </c>
      <c r="O250">
        <f>K250*L250-M250</f>
        <v/>
      </c>
      <c r="P250">
        <f>TEXT(B250,"yyyy-mm")</f>
        <v/>
      </c>
      <c r="Q250">
        <f>IF(O250&gt;=3000,"Large","Small")</f>
        <v/>
      </c>
      <c r="R250">
        <f>INDEX(Products!$F$2:$F$49,MATCH(J250,Products!$A$2:$A$49,0))</f>
        <v/>
      </c>
      <c r="S250">
        <f>WEEKDAY(B250,2)</f>
        <v/>
      </c>
    </row>
    <row r="251">
      <c r="A251" t="n">
        <v>509455</v>
      </c>
      <c r="B251" s="6" t="n">
        <v>45936</v>
      </c>
      <c r="C251" t="n">
        <v>11680</v>
      </c>
      <c r="D251" t="inlineStr">
        <is>
          <t>Delhi</t>
        </is>
      </c>
      <c r="E251" t="inlineStr">
        <is>
          <t>North</t>
        </is>
      </c>
      <c r="F251" t="inlineStr">
        <is>
          <t>Paid Social</t>
        </is>
      </c>
      <c r="G251" t="inlineStr">
        <is>
          <t>Mobile App</t>
        </is>
      </c>
      <c r="H251" t="inlineStr">
        <is>
          <t>UPI</t>
        </is>
      </c>
      <c r="I251" t="inlineStr">
        <is>
          <t>Delivered</t>
        </is>
      </c>
      <c r="J251" t="n">
        <v>122</v>
      </c>
      <c r="K251" t="n">
        <v>1</v>
      </c>
      <c r="L251" t="n">
        <v>1994</v>
      </c>
      <c r="M251" t="n">
        <v>199.4</v>
      </c>
      <c r="N251">
        <f>VLOOKUP(J251,Products!$A$2:$C$49,3,FALSE)</f>
        <v/>
      </c>
      <c r="O251">
        <f>K251*L251-M251</f>
        <v/>
      </c>
      <c r="P251">
        <f>TEXT(B251,"yyyy-mm")</f>
        <v/>
      </c>
      <c r="Q251">
        <f>IF(O251&gt;=3000,"Large","Small")</f>
        <v/>
      </c>
      <c r="R251">
        <f>INDEX(Products!$F$2:$F$49,MATCH(J251,Products!$A$2:$A$49,0))</f>
        <v/>
      </c>
      <c r="S251">
        <f>WEEKDAY(B251,2)</f>
        <v/>
      </c>
    </row>
    <row r="252">
      <c r="A252" t="n">
        <v>509455</v>
      </c>
      <c r="B252" s="6" t="n">
        <v>45936</v>
      </c>
      <c r="C252" t="n">
        <v>11680</v>
      </c>
      <c r="D252" t="inlineStr">
        <is>
          <t>Delhi</t>
        </is>
      </c>
      <c r="E252" t="inlineStr">
        <is>
          <t>North</t>
        </is>
      </c>
      <c r="F252" t="inlineStr">
        <is>
          <t>Paid Social</t>
        </is>
      </c>
      <c r="G252" t="inlineStr">
        <is>
          <t>Mobile App</t>
        </is>
      </c>
      <c r="H252" t="inlineStr">
        <is>
          <t>UPI</t>
        </is>
      </c>
      <c r="I252" t="inlineStr">
        <is>
          <t>Delivered</t>
        </is>
      </c>
      <c r="J252" t="n">
        <v>113</v>
      </c>
      <c r="K252" t="n">
        <v>1</v>
      </c>
      <c r="L252" t="n">
        <v>1364</v>
      </c>
      <c r="M252" t="n">
        <v>136.4</v>
      </c>
      <c r="N252">
        <f>VLOOKUP(J252,Products!$A$2:$C$49,3,FALSE)</f>
        <v/>
      </c>
      <c r="O252">
        <f>K252*L252-M252</f>
        <v/>
      </c>
      <c r="P252">
        <f>TEXT(B252,"yyyy-mm")</f>
        <v/>
      </c>
      <c r="Q252">
        <f>IF(O252&gt;=3000,"Large","Small")</f>
        <v/>
      </c>
      <c r="R252">
        <f>INDEX(Products!$F$2:$F$49,MATCH(J252,Products!$A$2:$A$49,0))</f>
        <v/>
      </c>
      <c r="S252">
        <f>WEEKDAY(B252,2)</f>
        <v/>
      </c>
    </row>
    <row r="253">
      <c r="A253" t="n">
        <v>509455</v>
      </c>
      <c r="B253" s="6" t="n">
        <v>45936</v>
      </c>
      <c r="C253" t="n">
        <v>11680</v>
      </c>
      <c r="D253" t="inlineStr">
        <is>
          <t>Delhi</t>
        </is>
      </c>
      <c r="E253" t="inlineStr">
        <is>
          <t>North</t>
        </is>
      </c>
      <c r="F253" t="inlineStr">
        <is>
          <t>Paid Social</t>
        </is>
      </c>
      <c r="G253" t="inlineStr">
        <is>
          <t>Mobile App</t>
        </is>
      </c>
      <c r="H253" t="inlineStr">
        <is>
          <t>UPI</t>
        </is>
      </c>
      <c r="I253" t="inlineStr">
        <is>
          <t>Delivered</t>
        </is>
      </c>
      <c r="J253" t="n">
        <v>129</v>
      </c>
      <c r="K253" t="n">
        <v>3</v>
      </c>
      <c r="L253" t="n">
        <v>576</v>
      </c>
      <c r="M253" t="n">
        <v>172.8</v>
      </c>
      <c r="N253">
        <f>VLOOKUP(J253,Products!$A$2:$C$49,3,FALSE)</f>
        <v/>
      </c>
      <c r="O253">
        <f>K253*L253-M253</f>
        <v/>
      </c>
      <c r="P253">
        <f>TEXT(B253,"yyyy-mm")</f>
        <v/>
      </c>
      <c r="Q253">
        <f>IF(O253&gt;=3000,"Large","Small")</f>
        <v/>
      </c>
      <c r="R253">
        <f>INDEX(Products!$F$2:$F$49,MATCH(J253,Products!$A$2:$A$49,0))</f>
        <v/>
      </c>
      <c r="S253">
        <f>WEEKDAY(B253,2)</f>
        <v/>
      </c>
    </row>
    <row r="254">
      <c r="A254" t="n">
        <v>509456</v>
      </c>
      <c r="B254" s="6" t="n">
        <v>45936</v>
      </c>
      <c r="C254" t="n">
        <v>16605</v>
      </c>
      <c r="D254" t="inlineStr">
        <is>
          <t>Kolkata</t>
        </is>
      </c>
      <c r="E254" t="inlineStr">
        <is>
          <t>East</t>
        </is>
      </c>
      <c r="F254" t="inlineStr">
        <is>
          <t>Paid Social</t>
        </is>
      </c>
      <c r="G254" t="inlineStr">
        <is>
          <t>Mobile Web</t>
        </is>
      </c>
      <c r="H254" t="inlineStr">
        <is>
          <t>Debit Card</t>
        </is>
      </c>
      <c r="I254" t="inlineStr">
        <is>
          <t>Delivered</t>
        </is>
      </c>
      <c r="J254" t="n">
        <v>108</v>
      </c>
      <c r="K254" t="n">
        <v>1</v>
      </c>
      <c r="L254" t="n">
        <v>419</v>
      </c>
      <c r="M254" t="n">
        <v>41.9</v>
      </c>
      <c r="N254">
        <f>VLOOKUP(J254,Products!$A$2:$C$49,3,FALSE)</f>
        <v/>
      </c>
      <c r="O254">
        <f>K254*L254-M254</f>
        <v/>
      </c>
      <c r="P254">
        <f>TEXT(B254,"yyyy-mm")</f>
        <v/>
      </c>
      <c r="Q254">
        <f>IF(O254&gt;=3000,"Large","Small")</f>
        <v/>
      </c>
      <c r="R254">
        <f>INDEX(Products!$F$2:$F$49,MATCH(J254,Products!$A$2:$A$49,0))</f>
        <v/>
      </c>
      <c r="S254">
        <f>WEEKDAY(B254,2)</f>
        <v/>
      </c>
    </row>
    <row r="255">
      <c r="A255" t="n">
        <v>509456</v>
      </c>
      <c r="B255" s="6" t="n">
        <v>45936</v>
      </c>
      <c r="C255" t="n">
        <v>16605</v>
      </c>
      <c r="D255" t="inlineStr">
        <is>
          <t>Kolkata</t>
        </is>
      </c>
      <c r="E255" t="inlineStr">
        <is>
          <t>East</t>
        </is>
      </c>
      <c r="F255" t="inlineStr">
        <is>
          <t>Paid Social</t>
        </is>
      </c>
      <c r="G255" t="inlineStr">
        <is>
          <t>Mobile Web</t>
        </is>
      </c>
      <c r="H255" t="inlineStr">
        <is>
          <t>Debit Card</t>
        </is>
      </c>
      <c r="I255" t="inlineStr">
        <is>
          <t>Delivered</t>
        </is>
      </c>
      <c r="J255" t="n">
        <v>114</v>
      </c>
      <c r="K255" t="n">
        <v>1</v>
      </c>
      <c r="L255" t="n">
        <v>1259</v>
      </c>
      <c r="M255" t="n">
        <v>125.9</v>
      </c>
      <c r="N255">
        <f>VLOOKUP(J255,Products!$A$2:$C$49,3,FALSE)</f>
        <v/>
      </c>
      <c r="O255">
        <f>K255*L255-M255</f>
        <v/>
      </c>
      <c r="P255">
        <f>TEXT(B255,"yyyy-mm")</f>
        <v/>
      </c>
      <c r="Q255">
        <f>IF(O255&gt;=3000,"Large","Small")</f>
        <v/>
      </c>
      <c r="R255">
        <f>INDEX(Products!$F$2:$F$49,MATCH(J255,Products!$A$2:$A$49,0))</f>
        <v/>
      </c>
      <c r="S255">
        <f>WEEKDAY(B255,2)</f>
        <v/>
      </c>
    </row>
    <row r="256">
      <c r="A256" t="n">
        <v>509456</v>
      </c>
      <c r="B256" s="6" t="n">
        <v>45936</v>
      </c>
      <c r="C256" t="n">
        <v>16605</v>
      </c>
      <c r="D256" t="inlineStr">
        <is>
          <t>Kolkata</t>
        </is>
      </c>
      <c r="E256" t="inlineStr">
        <is>
          <t>East</t>
        </is>
      </c>
      <c r="F256" t="inlineStr">
        <is>
          <t>Paid Social</t>
        </is>
      </c>
      <c r="G256" t="inlineStr">
        <is>
          <t>Mobile Web</t>
        </is>
      </c>
      <c r="H256" t="inlineStr">
        <is>
          <t>Debit Card</t>
        </is>
      </c>
      <c r="I256" t="inlineStr">
        <is>
          <t>Delivered</t>
        </is>
      </c>
      <c r="J256" t="n">
        <v>111</v>
      </c>
      <c r="K256" t="n">
        <v>1</v>
      </c>
      <c r="L256" t="n">
        <v>524</v>
      </c>
      <c r="M256" t="n">
        <v>52.4</v>
      </c>
      <c r="N256">
        <f>VLOOKUP(J256,Products!$A$2:$C$49,3,FALSE)</f>
        <v/>
      </c>
      <c r="O256">
        <f>K256*L256-M256</f>
        <v/>
      </c>
      <c r="P256">
        <f>TEXT(B256,"yyyy-mm")</f>
        <v/>
      </c>
      <c r="Q256">
        <f>IF(O256&gt;=3000,"Large","Small")</f>
        <v/>
      </c>
      <c r="R256">
        <f>INDEX(Products!$F$2:$F$49,MATCH(J256,Products!$A$2:$A$49,0))</f>
        <v/>
      </c>
      <c r="S256">
        <f>WEEKDAY(B256,2)</f>
        <v/>
      </c>
    </row>
    <row r="257">
      <c r="A257" t="n">
        <v>509457</v>
      </c>
      <c r="B257" s="6" t="n">
        <v>45936</v>
      </c>
      <c r="C257" t="n">
        <v>15960</v>
      </c>
      <c r="D257" t="inlineStr">
        <is>
          <t>Delhi</t>
        </is>
      </c>
      <c r="E257" t="inlineStr">
        <is>
          <t>North</t>
        </is>
      </c>
      <c r="F257" t="inlineStr">
        <is>
          <t>Paid Search</t>
        </is>
      </c>
      <c r="G257" t="inlineStr">
        <is>
          <t>Mobile App</t>
        </is>
      </c>
      <c r="H257" t="inlineStr">
        <is>
          <t>UPI</t>
        </is>
      </c>
      <c r="I257" t="inlineStr">
        <is>
          <t>Delivered</t>
        </is>
      </c>
      <c r="J257" t="n">
        <v>127</v>
      </c>
      <c r="K257" t="n">
        <v>1</v>
      </c>
      <c r="L257" t="n">
        <v>681</v>
      </c>
      <c r="M257" t="n">
        <v>68.09999999999999</v>
      </c>
      <c r="N257">
        <f>VLOOKUP(J257,Products!$A$2:$C$49,3,FALSE)</f>
        <v/>
      </c>
      <c r="O257">
        <f>K257*L257-M257</f>
        <v/>
      </c>
      <c r="P257">
        <f>TEXT(B257,"yyyy-mm")</f>
        <v/>
      </c>
      <c r="Q257">
        <f>IF(O257&gt;=3000,"Large","Small")</f>
        <v/>
      </c>
      <c r="R257">
        <f>INDEX(Products!$F$2:$F$49,MATCH(J257,Products!$A$2:$A$49,0))</f>
        <v/>
      </c>
      <c r="S257">
        <f>WEEKDAY(B257,2)</f>
        <v/>
      </c>
    </row>
    <row r="258">
      <c r="A258" t="n">
        <v>509457</v>
      </c>
      <c r="B258" s="6" t="n">
        <v>45936</v>
      </c>
      <c r="C258" t="n">
        <v>15960</v>
      </c>
      <c r="D258" t="inlineStr">
        <is>
          <t>Delhi</t>
        </is>
      </c>
      <c r="E258" t="inlineStr">
        <is>
          <t>North</t>
        </is>
      </c>
      <c r="F258" t="inlineStr">
        <is>
          <t>Paid Search</t>
        </is>
      </c>
      <c r="G258" t="inlineStr">
        <is>
          <t>Mobile App</t>
        </is>
      </c>
      <c r="H258" t="inlineStr">
        <is>
          <t>UPI</t>
        </is>
      </c>
      <c r="I258" t="inlineStr">
        <is>
          <t>Delivered</t>
        </is>
      </c>
      <c r="J258" t="n">
        <v>116</v>
      </c>
      <c r="K258" t="n">
        <v>1</v>
      </c>
      <c r="L258" t="n">
        <v>2624</v>
      </c>
      <c r="M258" t="n">
        <v>262.4</v>
      </c>
      <c r="N258">
        <f>VLOOKUP(J258,Products!$A$2:$C$49,3,FALSE)</f>
        <v/>
      </c>
      <c r="O258">
        <f>K258*L258-M258</f>
        <v/>
      </c>
      <c r="P258">
        <f>TEXT(B258,"yyyy-mm")</f>
        <v/>
      </c>
      <c r="Q258">
        <f>IF(O258&gt;=3000,"Large","Small")</f>
        <v/>
      </c>
      <c r="R258">
        <f>INDEX(Products!$F$2:$F$49,MATCH(J258,Products!$A$2:$A$49,0))</f>
        <v/>
      </c>
      <c r="S258">
        <f>WEEKDAY(B258,2)</f>
        <v/>
      </c>
    </row>
    <row r="259">
      <c r="A259" t="n">
        <v>509458</v>
      </c>
      <c r="B259" s="6" t="n">
        <v>45936</v>
      </c>
      <c r="C259" t="n">
        <v>16122</v>
      </c>
      <c r="D259" t="inlineStr">
        <is>
          <t>Chennai</t>
        </is>
      </c>
      <c r="E259" t="inlineStr">
        <is>
          <t>South</t>
        </is>
      </c>
      <c r="F259" t="inlineStr">
        <is>
          <t>Referral</t>
        </is>
      </c>
      <c r="G259" t="inlineStr">
        <is>
          <t>Mobile Web</t>
        </is>
      </c>
      <c r="H259" t="inlineStr">
        <is>
          <t>Net Banking</t>
        </is>
      </c>
      <c r="I259" t="inlineStr">
        <is>
          <t>Returned</t>
        </is>
      </c>
      <c r="J259" t="n">
        <v>106</v>
      </c>
      <c r="K259" t="n">
        <v>2</v>
      </c>
      <c r="L259" t="n">
        <v>1574</v>
      </c>
      <c r="M259" t="n">
        <v>314.8</v>
      </c>
      <c r="N259">
        <f>VLOOKUP(J259,Products!$A$2:$C$49,3,FALSE)</f>
        <v/>
      </c>
      <c r="O259">
        <f>K259*L259-M259</f>
        <v/>
      </c>
      <c r="P259">
        <f>TEXT(B259,"yyyy-mm")</f>
        <v/>
      </c>
      <c r="Q259">
        <f>IF(O259&gt;=3000,"Large","Small")</f>
        <v/>
      </c>
      <c r="R259">
        <f>INDEX(Products!$F$2:$F$49,MATCH(J259,Products!$A$2:$A$49,0))</f>
        <v/>
      </c>
      <c r="S259">
        <f>WEEKDAY(B259,2)</f>
        <v/>
      </c>
    </row>
    <row r="260">
      <c r="A260" t="n">
        <v>509458</v>
      </c>
      <c r="B260" s="6" t="n">
        <v>45936</v>
      </c>
      <c r="C260" t="n">
        <v>16122</v>
      </c>
      <c r="D260" t="inlineStr">
        <is>
          <t>Chennai</t>
        </is>
      </c>
      <c r="E260" t="inlineStr">
        <is>
          <t>South</t>
        </is>
      </c>
      <c r="F260" t="inlineStr">
        <is>
          <t>Referral</t>
        </is>
      </c>
      <c r="G260" t="inlineStr">
        <is>
          <t>Mobile Web</t>
        </is>
      </c>
      <c r="H260" t="inlineStr">
        <is>
          <t>Net Banking</t>
        </is>
      </c>
      <c r="I260" t="inlineStr">
        <is>
          <t>Returned</t>
        </is>
      </c>
      <c r="J260" t="n">
        <v>123</v>
      </c>
      <c r="K260" t="n">
        <v>2</v>
      </c>
      <c r="L260" t="n">
        <v>3464</v>
      </c>
      <c r="M260" t="n">
        <v>692.8</v>
      </c>
      <c r="N260">
        <f>VLOOKUP(J260,Products!$A$2:$C$49,3,FALSE)</f>
        <v/>
      </c>
      <c r="O260">
        <f>K260*L260-M260</f>
        <v/>
      </c>
      <c r="P260">
        <f>TEXT(B260,"yyyy-mm")</f>
        <v/>
      </c>
      <c r="Q260">
        <f>IF(O260&gt;=3000,"Large","Small")</f>
        <v/>
      </c>
      <c r="R260">
        <f>INDEX(Products!$F$2:$F$49,MATCH(J260,Products!$A$2:$A$49,0))</f>
        <v/>
      </c>
      <c r="S260">
        <f>WEEKDAY(B260,2)</f>
        <v/>
      </c>
    </row>
    <row r="261">
      <c r="A261" t="n">
        <v>509459</v>
      </c>
      <c r="B261" s="6" t="n">
        <v>45936</v>
      </c>
      <c r="C261" t="n">
        <v>13923</v>
      </c>
      <c r="D261" t="inlineStr">
        <is>
          <t>Noida</t>
        </is>
      </c>
      <c r="E261" t="inlineStr">
        <is>
          <t>North</t>
        </is>
      </c>
      <c r="F261" t="inlineStr">
        <is>
          <t>Organic Search</t>
        </is>
      </c>
      <c r="G261" t="inlineStr">
        <is>
          <t>Mobile App</t>
        </is>
      </c>
      <c r="H261" t="inlineStr">
        <is>
          <t>Net Banking</t>
        </is>
      </c>
      <c r="I261" t="inlineStr">
        <is>
          <t>Delivered</t>
        </is>
      </c>
      <c r="J261" t="n">
        <v>104</v>
      </c>
      <c r="K261" t="n">
        <v>1</v>
      </c>
      <c r="L261" t="n">
        <v>5249</v>
      </c>
      <c r="M261" t="n">
        <v>0</v>
      </c>
      <c r="N261">
        <f>VLOOKUP(J261,Products!$A$2:$C$49,3,FALSE)</f>
        <v/>
      </c>
      <c r="O261">
        <f>K261*L261-M261</f>
        <v/>
      </c>
      <c r="P261">
        <f>TEXT(B261,"yyyy-mm")</f>
        <v/>
      </c>
      <c r="Q261">
        <f>IF(O261&gt;=3000,"Large","Small")</f>
        <v/>
      </c>
      <c r="R261">
        <f>INDEX(Products!$F$2:$F$49,MATCH(J261,Products!$A$2:$A$49,0))</f>
        <v/>
      </c>
      <c r="S261">
        <f>WEEKDAY(B261,2)</f>
        <v/>
      </c>
    </row>
    <row r="262">
      <c r="A262" t="n">
        <v>509459</v>
      </c>
      <c r="B262" s="6" t="n">
        <v>45936</v>
      </c>
      <c r="C262" t="n">
        <v>13923</v>
      </c>
      <c r="D262" t="inlineStr">
        <is>
          <t>Noida</t>
        </is>
      </c>
      <c r="E262" t="inlineStr">
        <is>
          <t>North</t>
        </is>
      </c>
      <c r="F262" t="inlineStr">
        <is>
          <t>Organic Search</t>
        </is>
      </c>
      <c r="G262" t="inlineStr">
        <is>
          <t>Mobile App</t>
        </is>
      </c>
      <c r="H262" t="inlineStr">
        <is>
          <t>Net Banking</t>
        </is>
      </c>
      <c r="I262" t="inlineStr">
        <is>
          <t>Delivered</t>
        </is>
      </c>
      <c r="J262" t="n">
        <v>129</v>
      </c>
      <c r="K262" t="n">
        <v>2</v>
      </c>
      <c r="L262" t="n">
        <v>576</v>
      </c>
      <c r="M262" t="n">
        <v>0</v>
      </c>
      <c r="N262">
        <f>VLOOKUP(J262,Products!$A$2:$C$49,3,FALSE)</f>
        <v/>
      </c>
      <c r="O262">
        <f>K262*L262-M262</f>
        <v/>
      </c>
      <c r="P262">
        <f>TEXT(B262,"yyyy-mm")</f>
        <v/>
      </c>
      <c r="Q262">
        <f>IF(O262&gt;=3000,"Large","Small")</f>
        <v/>
      </c>
      <c r="R262">
        <f>INDEX(Products!$F$2:$F$49,MATCH(J262,Products!$A$2:$A$49,0))</f>
        <v/>
      </c>
      <c r="S262">
        <f>WEEKDAY(B262,2)</f>
        <v/>
      </c>
    </row>
    <row r="263">
      <c r="A263" t="n">
        <v>509460</v>
      </c>
      <c r="B263" s="6" t="n">
        <v>45936</v>
      </c>
      <c r="C263" t="n">
        <v>16124</v>
      </c>
      <c r="D263" t="inlineStr">
        <is>
          <t>Kolkata</t>
        </is>
      </c>
      <c r="E263" t="inlineStr">
        <is>
          <t>East</t>
        </is>
      </c>
      <c r="F263" t="inlineStr">
        <is>
          <t>Organic Search</t>
        </is>
      </c>
      <c r="G263" t="inlineStr">
        <is>
          <t>Mobile Web</t>
        </is>
      </c>
      <c r="H263" t="inlineStr">
        <is>
          <t>UPI</t>
        </is>
      </c>
      <c r="I263" t="inlineStr">
        <is>
          <t>Delivered</t>
        </is>
      </c>
      <c r="J263" t="n">
        <v>102</v>
      </c>
      <c r="K263" t="n">
        <v>1</v>
      </c>
      <c r="L263" t="n">
        <v>3674</v>
      </c>
      <c r="M263" t="n">
        <v>0</v>
      </c>
      <c r="N263">
        <f>VLOOKUP(J263,Products!$A$2:$C$49,3,FALSE)</f>
        <v/>
      </c>
      <c r="O263">
        <f>K263*L263-M263</f>
        <v/>
      </c>
      <c r="P263">
        <f>TEXT(B263,"yyyy-mm")</f>
        <v/>
      </c>
      <c r="Q263">
        <f>IF(O263&gt;=3000,"Large","Small")</f>
        <v/>
      </c>
      <c r="R263">
        <f>INDEX(Products!$F$2:$F$49,MATCH(J263,Products!$A$2:$A$49,0))</f>
        <v/>
      </c>
      <c r="S263">
        <f>WEEKDAY(B263,2)</f>
        <v/>
      </c>
    </row>
    <row r="264">
      <c r="A264" t="n">
        <v>509461</v>
      </c>
      <c r="B264" s="6" t="n">
        <v>45936</v>
      </c>
      <c r="C264" t="n">
        <v>16566</v>
      </c>
      <c r="D264" t="inlineStr">
        <is>
          <t>Delhi</t>
        </is>
      </c>
      <c r="E264" t="inlineStr">
        <is>
          <t>North</t>
        </is>
      </c>
      <c r="F264" t="inlineStr">
        <is>
          <t>Referral</t>
        </is>
      </c>
      <c r="G264" t="inlineStr">
        <is>
          <t>Mobile App</t>
        </is>
      </c>
      <c r="H264" t="inlineStr">
        <is>
          <t>UPI</t>
        </is>
      </c>
      <c r="I264" t="inlineStr">
        <is>
          <t>Delivered</t>
        </is>
      </c>
      <c r="J264" t="n">
        <v>126</v>
      </c>
      <c r="K264" t="n">
        <v>1</v>
      </c>
      <c r="L264" t="n">
        <v>471</v>
      </c>
      <c r="M264" t="n">
        <v>47.1</v>
      </c>
      <c r="N264">
        <f>VLOOKUP(J264,Products!$A$2:$C$49,3,FALSE)</f>
        <v/>
      </c>
      <c r="O264">
        <f>K264*L264-M264</f>
        <v/>
      </c>
      <c r="P264">
        <f>TEXT(B264,"yyyy-mm")</f>
        <v/>
      </c>
      <c r="Q264">
        <f>IF(O264&gt;=3000,"Large","Small")</f>
        <v/>
      </c>
      <c r="R264">
        <f>INDEX(Products!$F$2:$F$49,MATCH(J264,Products!$A$2:$A$49,0))</f>
        <v/>
      </c>
      <c r="S264">
        <f>WEEKDAY(B264,2)</f>
        <v/>
      </c>
    </row>
    <row r="265">
      <c r="A265" t="n">
        <v>509461</v>
      </c>
      <c r="B265" s="6" t="n">
        <v>45936</v>
      </c>
      <c r="C265" t="n">
        <v>16566</v>
      </c>
      <c r="D265" t="inlineStr">
        <is>
          <t>Delhi</t>
        </is>
      </c>
      <c r="E265" t="inlineStr">
        <is>
          <t>North</t>
        </is>
      </c>
      <c r="F265" t="inlineStr">
        <is>
          <t>Referral</t>
        </is>
      </c>
      <c r="G265" t="inlineStr">
        <is>
          <t>Mobile App</t>
        </is>
      </c>
      <c r="H265" t="inlineStr">
        <is>
          <t>UPI</t>
        </is>
      </c>
      <c r="I265" t="inlineStr">
        <is>
          <t>Delivered</t>
        </is>
      </c>
      <c r="J265" t="n">
        <v>134</v>
      </c>
      <c r="K265" t="n">
        <v>1</v>
      </c>
      <c r="L265" t="n">
        <v>209</v>
      </c>
      <c r="M265" t="n">
        <v>20.9</v>
      </c>
      <c r="N265">
        <f>VLOOKUP(J265,Products!$A$2:$C$49,3,FALSE)</f>
        <v/>
      </c>
      <c r="O265">
        <f>K265*L265-M265</f>
        <v/>
      </c>
      <c r="P265">
        <f>TEXT(B265,"yyyy-mm")</f>
        <v/>
      </c>
      <c r="Q265">
        <f>IF(O265&gt;=3000,"Large","Small")</f>
        <v/>
      </c>
      <c r="R265">
        <f>INDEX(Products!$F$2:$F$49,MATCH(J265,Products!$A$2:$A$49,0))</f>
        <v/>
      </c>
      <c r="S265">
        <f>WEEKDAY(B265,2)</f>
        <v/>
      </c>
    </row>
    <row r="266">
      <c r="A266" t="n">
        <v>509461</v>
      </c>
      <c r="B266" s="6" t="n">
        <v>45936</v>
      </c>
      <c r="C266" t="n">
        <v>16566</v>
      </c>
      <c r="D266" t="inlineStr">
        <is>
          <t>Delhi</t>
        </is>
      </c>
      <c r="E266" t="inlineStr">
        <is>
          <t>North</t>
        </is>
      </c>
      <c r="F266" t="inlineStr">
        <is>
          <t>Referral</t>
        </is>
      </c>
      <c r="G266" t="inlineStr">
        <is>
          <t>Mobile App</t>
        </is>
      </c>
      <c r="H266" t="inlineStr">
        <is>
          <t>UPI</t>
        </is>
      </c>
      <c r="I266" t="inlineStr">
        <is>
          <t>Delivered</t>
        </is>
      </c>
      <c r="J266" t="n">
        <v>145</v>
      </c>
      <c r="K266" t="n">
        <v>1</v>
      </c>
      <c r="L266" t="n">
        <v>629</v>
      </c>
      <c r="M266" t="n">
        <v>62.9</v>
      </c>
      <c r="N266">
        <f>VLOOKUP(J266,Products!$A$2:$C$49,3,FALSE)</f>
        <v/>
      </c>
      <c r="O266">
        <f>K266*L266-M266</f>
        <v/>
      </c>
      <c r="P266">
        <f>TEXT(B266,"yyyy-mm")</f>
        <v/>
      </c>
      <c r="Q266">
        <f>IF(O266&gt;=3000,"Large","Small")</f>
        <v/>
      </c>
      <c r="R266">
        <f>INDEX(Products!$F$2:$F$49,MATCH(J266,Products!$A$2:$A$49,0))</f>
        <v/>
      </c>
      <c r="S266">
        <f>WEEKDAY(B266,2)</f>
        <v/>
      </c>
    </row>
    <row r="267">
      <c r="A267" t="n">
        <v>509462</v>
      </c>
      <c r="B267" s="6" t="n">
        <v>45936</v>
      </c>
      <c r="C267" t="n">
        <v>13665</v>
      </c>
      <c r="D267" t="inlineStr">
        <is>
          <t>Mumbai</t>
        </is>
      </c>
      <c r="E267" t="inlineStr">
        <is>
          <t>West</t>
        </is>
      </c>
      <c r="F267" t="inlineStr">
        <is>
          <t>Email</t>
        </is>
      </c>
      <c r="G267" t="inlineStr">
        <is>
          <t>Desktop</t>
        </is>
      </c>
      <c r="H267" t="inlineStr">
        <is>
          <t>UPI</t>
        </is>
      </c>
      <c r="I267" t="inlineStr">
        <is>
          <t>Delivered</t>
        </is>
      </c>
      <c r="J267" t="n">
        <v>109</v>
      </c>
      <c r="K267" t="n">
        <v>1</v>
      </c>
      <c r="L267" t="n">
        <v>4199</v>
      </c>
      <c r="M267" t="n">
        <v>419.9</v>
      </c>
      <c r="N267">
        <f>VLOOKUP(J267,Products!$A$2:$C$49,3,FALSE)</f>
        <v/>
      </c>
      <c r="O267">
        <f>K267*L267-M267</f>
        <v/>
      </c>
      <c r="P267">
        <f>TEXT(B267,"yyyy-mm")</f>
        <v/>
      </c>
      <c r="Q267">
        <f>IF(O267&gt;=3000,"Large","Small")</f>
        <v/>
      </c>
      <c r="R267">
        <f>INDEX(Products!$F$2:$F$49,MATCH(J267,Products!$A$2:$A$49,0))</f>
        <v/>
      </c>
      <c r="S267">
        <f>WEEKDAY(B267,2)</f>
        <v/>
      </c>
    </row>
    <row r="268">
      <c r="A268" t="n">
        <v>509462</v>
      </c>
      <c r="B268" s="6" t="n">
        <v>45936</v>
      </c>
      <c r="C268" t="n">
        <v>13665</v>
      </c>
      <c r="D268" t="inlineStr">
        <is>
          <t>Mumbai</t>
        </is>
      </c>
      <c r="E268" t="inlineStr">
        <is>
          <t>West</t>
        </is>
      </c>
      <c r="F268" t="inlineStr">
        <is>
          <t>Email</t>
        </is>
      </c>
      <c r="G268" t="inlineStr">
        <is>
          <t>Desktop</t>
        </is>
      </c>
      <c r="H268" t="inlineStr">
        <is>
          <t>UPI</t>
        </is>
      </c>
      <c r="I268" t="inlineStr">
        <is>
          <t>Delivered</t>
        </is>
      </c>
      <c r="J268" t="n">
        <v>118</v>
      </c>
      <c r="K268" t="n">
        <v>1</v>
      </c>
      <c r="L268" t="n">
        <v>944</v>
      </c>
      <c r="M268" t="n">
        <v>94.40000000000001</v>
      </c>
      <c r="N268">
        <f>VLOOKUP(J268,Products!$A$2:$C$49,3,FALSE)</f>
        <v/>
      </c>
      <c r="O268">
        <f>K268*L268-M268</f>
        <v/>
      </c>
      <c r="P268">
        <f>TEXT(B268,"yyyy-mm")</f>
        <v/>
      </c>
      <c r="Q268">
        <f>IF(O268&gt;=3000,"Large","Small")</f>
        <v/>
      </c>
      <c r="R268">
        <f>INDEX(Products!$F$2:$F$49,MATCH(J268,Products!$A$2:$A$49,0))</f>
        <v/>
      </c>
      <c r="S268">
        <f>WEEKDAY(B268,2)</f>
        <v/>
      </c>
    </row>
    <row r="269">
      <c r="A269" t="n">
        <v>509462</v>
      </c>
      <c r="B269" s="6" t="n">
        <v>45936</v>
      </c>
      <c r="C269" t="n">
        <v>13665</v>
      </c>
      <c r="D269" t="inlineStr">
        <is>
          <t>Mumbai</t>
        </is>
      </c>
      <c r="E269" t="inlineStr">
        <is>
          <t>West</t>
        </is>
      </c>
      <c r="F269" t="inlineStr">
        <is>
          <t>Email</t>
        </is>
      </c>
      <c r="G269" t="inlineStr">
        <is>
          <t>Desktop</t>
        </is>
      </c>
      <c r="H269" t="inlineStr">
        <is>
          <t>UPI</t>
        </is>
      </c>
      <c r="I269" t="inlineStr">
        <is>
          <t>Delivered</t>
        </is>
      </c>
      <c r="J269" t="n">
        <v>129</v>
      </c>
      <c r="K269" t="n">
        <v>1</v>
      </c>
      <c r="L269" t="n">
        <v>576</v>
      </c>
      <c r="M269" t="n">
        <v>57.6</v>
      </c>
      <c r="N269">
        <f>VLOOKUP(J269,Products!$A$2:$C$49,3,FALSE)</f>
        <v/>
      </c>
      <c r="O269">
        <f>K269*L269-M269</f>
        <v/>
      </c>
      <c r="P269">
        <f>TEXT(B269,"yyyy-mm")</f>
        <v/>
      </c>
      <c r="Q269">
        <f>IF(O269&gt;=3000,"Large","Small")</f>
        <v/>
      </c>
      <c r="R269">
        <f>INDEX(Products!$F$2:$F$49,MATCH(J269,Products!$A$2:$A$49,0))</f>
        <v/>
      </c>
      <c r="S269">
        <f>WEEKDAY(B269,2)</f>
        <v/>
      </c>
    </row>
    <row r="270">
      <c r="A270" t="n">
        <v>509463</v>
      </c>
      <c r="B270" s="6" t="n">
        <v>45936</v>
      </c>
      <c r="C270" t="n">
        <v>15639</v>
      </c>
      <c r="D270" t="inlineStr">
        <is>
          <t>Delhi</t>
        </is>
      </c>
      <c r="E270" t="inlineStr">
        <is>
          <t>North</t>
        </is>
      </c>
      <c r="F270" t="inlineStr">
        <is>
          <t>Organic Search</t>
        </is>
      </c>
      <c r="G270" t="inlineStr">
        <is>
          <t>Mobile App</t>
        </is>
      </c>
      <c r="H270" t="inlineStr">
        <is>
          <t>Cash on Delivery</t>
        </is>
      </c>
      <c r="I270" t="inlineStr">
        <is>
          <t>Cancelled</t>
        </is>
      </c>
      <c r="J270" t="n">
        <v>116</v>
      </c>
      <c r="K270" t="n">
        <v>1</v>
      </c>
      <c r="L270" t="n">
        <v>2624</v>
      </c>
      <c r="M270" t="n">
        <v>0</v>
      </c>
      <c r="N270">
        <f>VLOOKUP(J270,Products!$A$2:$C$49,3,FALSE)</f>
        <v/>
      </c>
      <c r="O270">
        <f>K270*L270-M270</f>
        <v/>
      </c>
      <c r="P270">
        <f>TEXT(B270,"yyyy-mm")</f>
        <v/>
      </c>
      <c r="Q270">
        <f>IF(O270&gt;=3000,"Large","Small")</f>
        <v/>
      </c>
      <c r="R270">
        <f>INDEX(Products!$F$2:$F$49,MATCH(J270,Products!$A$2:$A$49,0))</f>
        <v/>
      </c>
      <c r="S270">
        <f>WEEKDAY(B270,2)</f>
        <v/>
      </c>
    </row>
    <row r="271">
      <c r="A271" t="n">
        <v>509463</v>
      </c>
      <c r="B271" s="6" t="n">
        <v>45936</v>
      </c>
      <c r="C271" t="n">
        <v>15639</v>
      </c>
      <c r="D271" t="inlineStr">
        <is>
          <t>Delhi</t>
        </is>
      </c>
      <c r="E271" t="inlineStr">
        <is>
          <t>North</t>
        </is>
      </c>
      <c r="F271" t="inlineStr">
        <is>
          <t>Organic Search</t>
        </is>
      </c>
      <c r="G271" t="inlineStr">
        <is>
          <t>Mobile App</t>
        </is>
      </c>
      <c r="H271" t="inlineStr">
        <is>
          <t>Cash on Delivery</t>
        </is>
      </c>
      <c r="I271" t="inlineStr">
        <is>
          <t>Cancelled</t>
        </is>
      </c>
      <c r="J271" t="n">
        <v>134</v>
      </c>
      <c r="K271" t="n">
        <v>1</v>
      </c>
      <c r="L271" t="n">
        <v>209</v>
      </c>
      <c r="M271" t="n">
        <v>0</v>
      </c>
      <c r="N271">
        <f>VLOOKUP(J271,Products!$A$2:$C$49,3,FALSE)</f>
        <v/>
      </c>
      <c r="O271">
        <f>K271*L271-M271</f>
        <v/>
      </c>
      <c r="P271">
        <f>TEXT(B271,"yyyy-mm")</f>
        <v/>
      </c>
      <c r="Q271">
        <f>IF(O271&gt;=3000,"Large","Small")</f>
        <v/>
      </c>
      <c r="R271">
        <f>INDEX(Products!$F$2:$F$49,MATCH(J271,Products!$A$2:$A$49,0))</f>
        <v/>
      </c>
      <c r="S271">
        <f>WEEKDAY(B271,2)</f>
        <v/>
      </c>
    </row>
    <row r="272">
      <c r="A272" t="n">
        <v>509463</v>
      </c>
      <c r="B272" s="6" t="n">
        <v>45936</v>
      </c>
      <c r="C272" t="n">
        <v>15639</v>
      </c>
      <c r="D272" t="inlineStr">
        <is>
          <t>Delhi</t>
        </is>
      </c>
      <c r="E272" t="inlineStr">
        <is>
          <t>North</t>
        </is>
      </c>
      <c r="F272" t="inlineStr">
        <is>
          <t>Organic Search</t>
        </is>
      </c>
      <c r="G272" t="inlineStr">
        <is>
          <t>Mobile App</t>
        </is>
      </c>
      <c r="H272" t="inlineStr">
        <is>
          <t>Cash on Delivery</t>
        </is>
      </c>
      <c r="I272" t="inlineStr">
        <is>
          <t>Cancelled</t>
        </is>
      </c>
      <c r="J272" t="n">
        <v>114</v>
      </c>
      <c r="K272" t="n">
        <v>1</v>
      </c>
      <c r="L272" t="n">
        <v>1259</v>
      </c>
      <c r="M272" t="n">
        <v>0</v>
      </c>
      <c r="N272">
        <f>VLOOKUP(J272,Products!$A$2:$C$49,3,FALSE)</f>
        <v/>
      </c>
      <c r="O272">
        <f>K272*L272-M272</f>
        <v/>
      </c>
      <c r="P272">
        <f>TEXT(B272,"yyyy-mm")</f>
        <v/>
      </c>
      <c r="Q272">
        <f>IF(O272&gt;=3000,"Large","Small")</f>
        <v/>
      </c>
      <c r="R272">
        <f>INDEX(Products!$F$2:$F$49,MATCH(J272,Products!$A$2:$A$49,0))</f>
        <v/>
      </c>
      <c r="S272">
        <f>WEEKDAY(B272,2)</f>
        <v/>
      </c>
    </row>
    <row r="273">
      <c r="A273" t="n">
        <v>509463</v>
      </c>
      <c r="B273" s="6" t="n">
        <v>45936</v>
      </c>
      <c r="C273" t="n">
        <v>15639</v>
      </c>
      <c r="D273" t="inlineStr">
        <is>
          <t>Delhi</t>
        </is>
      </c>
      <c r="E273" t="inlineStr">
        <is>
          <t>North</t>
        </is>
      </c>
      <c r="F273" t="inlineStr">
        <is>
          <t>Organic Search</t>
        </is>
      </c>
      <c r="G273" t="inlineStr">
        <is>
          <t>Mobile App</t>
        </is>
      </c>
      <c r="H273" t="inlineStr">
        <is>
          <t>Cash on Delivery</t>
        </is>
      </c>
      <c r="I273" t="inlineStr">
        <is>
          <t>Cancelled</t>
        </is>
      </c>
      <c r="J273" t="n">
        <v>101</v>
      </c>
      <c r="K273" t="n">
        <v>1</v>
      </c>
      <c r="L273" t="n">
        <v>2099</v>
      </c>
      <c r="M273" t="n">
        <v>0</v>
      </c>
      <c r="N273">
        <f>VLOOKUP(J273,Products!$A$2:$C$49,3,FALSE)</f>
        <v/>
      </c>
      <c r="O273">
        <f>K273*L273-M273</f>
        <v/>
      </c>
      <c r="P273">
        <f>TEXT(B273,"yyyy-mm")</f>
        <v/>
      </c>
      <c r="Q273">
        <f>IF(O273&gt;=3000,"Large","Small")</f>
        <v/>
      </c>
      <c r="R273">
        <f>INDEX(Products!$F$2:$F$49,MATCH(J273,Products!$A$2:$A$49,0))</f>
        <v/>
      </c>
      <c r="S273">
        <f>WEEKDAY(B273,2)</f>
        <v/>
      </c>
    </row>
    <row r="274">
      <c r="A274" t="n">
        <v>509464</v>
      </c>
      <c r="B274" s="6" t="n">
        <v>45936</v>
      </c>
      <c r="C274" t="n">
        <v>16646</v>
      </c>
      <c r="D274" t="inlineStr">
        <is>
          <t>Chennai</t>
        </is>
      </c>
      <c r="E274" t="inlineStr">
        <is>
          <t>South</t>
        </is>
      </c>
      <c r="F274" t="inlineStr">
        <is>
          <t>Organic Search</t>
        </is>
      </c>
      <c r="G274" t="inlineStr">
        <is>
          <t>Mobile Web</t>
        </is>
      </c>
      <c r="H274" t="inlineStr">
        <is>
          <t>Cash on Delivery</t>
        </is>
      </c>
      <c r="I274" t="inlineStr">
        <is>
          <t>Delivered</t>
        </is>
      </c>
      <c r="J274" t="n">
        <v>112</v>
      </c>
      <c r="K274" t="n">
        <v>1</v>
      </c>
      <c r="L274" t="n">
        <v>1574</v>
      </c>
      <c r="M274" t="n">
        <v>236.1</v>
      </c>
      <c r="N274">
        <f>VLOOKUP(J274,Products!$A$2:$C$49,3,FALSE)</f>
        <v/>
      </c>
      <c r="O274">
        <f>K274*L274-M274</f>
        <v/>
      </c>
      <c r="P274">
        <f>TEXT(B274,"yyyy-mm")</f>
        <v/>
      </c>
      <c r="Q274">
        <f>IF(O274&gt;=3000,"Large","Small")</f>
        <v/>
      </c>
      <c r="R274">
        <f>INDEX(Products!$F$2:$F$49,MATCH(J274,Products!$A$2:$A$49,0))</f>
        <v/>
      </c>
      <c r="S274">
        <f>WEEKDAY(B274,2)</f>
        <v/>
      </c>
    </row>
    <row r="275">
      <c r="A275" t="n">
        <v>509464</v>
      </c>
      <c r="B275" s="6" t="n">
        <v>45936</v>
      </c>
      <c r="C275" t="n">
        <v>16646</v>
      </c>
      <c r="D275" t="inlineStr">
        <is>
          <t>Chennai</t>
        </is>
      </c>
      <c r="E275" t="inlineStr">
        <is>
          <t>South</t>
        </is>
      </c>
      <c r="F275" t="inlineStr">
        <is>
          <t>Organic Search</t>
        </is>
      </c>
      <c r="G275" t="inlineStr">
        <is>
          <t>Mobile Web</t>
        </is>
      </c>
      <c r="H275" t="inlineStr">
        <is>
          <t>Cash on Delivery</t>
        </is>
      </c>
      <c r="I275" t="inlineStr">
        <is>
          <t>Delivered</t>
        </is>
      </c>
      <c r="J275" t="n">
        <v>128</v>
      </c>
      <c r="K275" t="n">
        <v>1</v>
      </c>
      <c r="L275" t="n">
        <v>1049</v>
      </c>
      <c r="M275" t="n">
        <v>157.35</v>
      </c>
      <c r="N275">
        <f>VLOOKUP(J275,Products!$A$2:$C$49,3,FALSE)</f>
        <v/>
      </c>
      <c r="O275">
        <f>K275*L275-M275</f>
        <v/>
      </c>
      <c r="P275">
        <f>TEXT(B275,"yyyy-mm")</f>
        <v/>
      </c>
      <c r="Q275">
        <f>IF(O275&gt;=3000,"Large","Small")</f>
        <v/>
      </c>
      <c r="R275">
        <f>INDEX(Products!$F$2:$F$49,MATCH(J275,Products!$A$2:$A$49,0))</f>
        <v/>
      </c>
      <c r="S275">
        <f>WEEKDAY(B275,2)</f>
        <v/>
      </c>
    </row>
    <row r="276">
      <c r="A276" t="n">
        <v>509465</v>
      </c>
      <c r="B276" s="6" t="n">
        <v>45936</v>
      </c>
      <c r="C276" t="n">
        <v>15968</v>
      </c>
      <c r="D276" t="inlineStr">
        <is>
          <t>Ahmedabad</t>
        </is>
      </c>
      <c r="E276" t="inlineStr">
        <is>
          <t>West</t>
        </is>
      </c>
      <c r="F276" t="inlineStr">
        <is>
          <t>Paid Social</t>
        </is>
      </c>
      <c r="G276" t="inlineStr">
        <is>
          <t>Mobile Web</t>
        </is>
      </c>
      <c r="H276" t="inlineStr">
        <is>
          <t>Cash on Delivery</t>
        </is>
      </c>
      <c r="I276" t="inlineStr">
        <is>
          <t>Delivered</t>
        </is>
      </c>
      <c r="J276" t="n">
        <v>107</v>
      </c>
      <c r="K276" t="n">
        <v>1</v>
      </c>
      <c r="L276" t="n">
        <v>1259</v>
      </c>
      <c r="M276" t="n">
        <v>125.9</v>
      </c>
      <c r="N276">
        <f>VLOOKUP(J276,Products!$A$2:$C$49,3,FALSE)</f>
        <v/>
      </c>
      <c r="O276">
        <f>K276*L276-M276</f>
        <v/>
      </c>
      <c r="P276">
        <f>TEXT(B276,"yyyy-mm")</f>
        <v/>
      </c>
      <c r="Q276">
        <f>IF(O276&gt;=3000,"Large","Small")</f>
        <v/>
      </c>
      <c r="R276">
        <f>INDEX(Products!$F$2:$F$49,MATCH(J276,Products!$A$2:$A$49,0))</f>
        <v/>
      </c>
      <c r="S276">
        <f>WEEKDAY(B276,2)</f>
        <v/>
      </c>
    </row>
    <row r="277">
      <c r="A277" t="n">
        <v>509465</v>
      </c>
      <c r="B277" s="6" t="n">
        <v>45936</v>
      </c>
      <c r="C277" t="n">
        <v>15968</v>
      </c>
      <c r="D277" t="inlineStr">
        <is>
          <t>Ahmedabad</t>
        </is>
      </c>
      <c r="E277" t="inlineStr">
        <is>
          <t>West</t>
        </is>
      </c>
      <c r="F277" t="inlineStr">
        <is>
          <t>Paid Social</t>
        </is>
      </c>
      <c r="G277" t="inlineStr">
        <is>
          <t>Mobile Web</t>
        </is>
      </c>
      <c r="H277" t="inlineStr">
        <is>
          <t>Cash on Delivery</t>
        </is>
      </c>
      <c r="I277" t="inlineStr">
        <is>
          <t>Delivered</t>
        </is>
      </c>
      <c r="J277" t="n">
        <v>129</v>
      </c>
      <c r="K277" t="n">
        <v>1</v>
      </c>
      <c r="L277" t="n">
        <v>576</v>
      </c>
      <c r="M277" t="n">
        <v>57.6</v>
      </c>
      <c r="N277">
        <f>VLOOKUP(J277,Products!$A$2:$C$49,3,FALSE)</f>
        <v/>
      </c>
      <c r="O277">
        <f>K277*L277-M277</f>
        <v/>
      </c>
      <c r="P277">
        <f>TEXT(B277,"yyyy-mm")</f>
        <v/>
      </c>
      <c r="Q277">
        <f>IF(O277&gt;=3000,"Large","Small")</f>
        <v/>
      </c>
      <c r="R277">
        <f>INDEX(Products!$F$2:$F$49,MATCH(J277,Products!$A$2:$A$49,0))</f>
        <v/>
      </c>
      <c r="S277">
        <f>WEEKDAY(B277,2)</f>
        <v/>
      </c>
    </row>
    <row r="278">
      <c r="A278" t="n">
        <v>509466</v>
      </c>
      <c r="B278" s="6" t="n">
        <v>45936</v>
      </c>
      <c r="C278" t="n">
        <v>16567</v>
      </c>
      <c r="D278" t="inlineStr">
        <is>
          <t>Kolkata</t>
        </is>
      </c>
      <c r="E278" t="inlineStr">
        <is>
          <t>East</t>
        </is>
      </c>
      <c r="F278" t="inlineStr">
        <is>
          <t>Paid Social</t>
        </is>
      </c>
      <c r="G278" t="inlineStr">
        <is>
          <t>Desktop</t>
        </is>
      </c>
      <c r="H278" t="inlineStr">
        <is>
          <t>Debit Card</t>
        </is>
      </c>
      <c r="I278" t="inlineStr">
        <is>
          <t>Delivered</t>
        </is>
      </c>
      <c r="J278" t="n">
        <v>135</v>
      </c>
      <c r="K278" t="n">
        <v>1</v>
      </c>
      <c r="L278" t="n">
        <v>1574</v>
      </c>
      <c r="M278" t="n">
        <v>236.1</v>
      </c>
      <c r="N278">
        <f>VLOOKUP(J278,Products!$A$2:$C$49,3,FALSE)</f>
        <v/>
      </c>
      <c r="O278">
        <f>K278*L278-M278</f>
        <v/>
      </c>
      <c r="P278">
        <f>TEXT(B278,"yyyy-mm")</f>
        <v/>
      </c>
      <c r="Q278">
        <f>IF(O278&gt;=3000,"Large","Small")</f>
        <v/>
      </c>
      <c r="R278">
        <f>INDEX(Products!$F$2:$F$49,MATCH(J278,Products!$A$2:$A$49,0))</f>
        <v/>
      </c>
      <c r="S278">
        <f>WEEKDAY(B278,2)</f>
        <v/>
      </c>
    </row>
    <row r="279">
      <c r="A279" t="n">
        <v>509467</v>
      </c>
      <c r="B279" s="6" t="n">
        <v>45936</v>
      </c>
      <c r="C279" t="n">
        <v>15298</v>
      </c>
      <c r="D279" t="inlineStr">
        <is>
          <t>Delhi</t>
        </is>
      </c>
      <c r="E279" t="inlineStr">
        <is>
          <t>North</t>
        </is>
      </c>
      <c r="F279" t="inlineStr">
        <is>
          <t>Referral</t>
        </is>
      </c>
      <c r="G279" t="inlineStr">
        <is>
          <t>Mobile Web</t>
        </is>
      </c>
      <c r="H279" t="inlineStr">
        <is>
          <t>Cash on Delivery</t>
        </is>
      </c>
      <c r="I279" t="inlineStr">
        <is>
          <t>Cancelled</t>
        </is>
      </c>
      <c r="J279" t="n">
        <v>132</v>
      </c>
      <c r="K279" t="n">
        <v>1</v>
      </c>
      <c r="L279" t="n">
        <v>471</v>
      </c>
      <c r="M279" t="n">
        <v>47.1</v>
      </c>
      <c r="N279">
        <f>VLOOKUP(J279,Products!$A$2:$C$49,3,FALSE)</f>
        <v/>
      </c>
      <c r="O279">
        <f>K279*L279-M279</f>
        <v/>
      </c>
      <c r="P279">
        <f>TEXT(B279,"yyyy-mm")</f>
        <v/>
      </c>
      <c r="Q279">
        <f>IF(O279&gt;=3000,"Large","Small")</f>
        <v/>
      </c>
      <c r="R279">
        <f>INDEX(Products!$F$2:$F$49,MATCH(J279,Products!$A$2:$A$49,0))</f>
        <v/>
      </c>
      <c r="S279">
        <f>WEEKDAY(B279,2)</f>
        <v/>
      </c>
    </row>
    <row r="280">
      <c r="A280" t="n">
        <v>509468</v>
      </c>
      <c r="B280" s="6" t="n">
        <v>45936</v>
      </c>
      <c r="C280" t="n">
        <v>16197</v>
      </c>
      <c r="D280" t="inlineStr">
        <is>
          <t>Delhi</t>
        </is>
      </c>
      <c r="E280" t="inlineStr">
        <is>
          <t>North</t>
        </is>
      </c>
      <c r="F280" t="inlineStr">
        <is>
          <t>Referral</t>
        </is>
      </c>
      <c r="G280" t="inlineStr">
        <is>
          <t>Mobile Web</t>
        </is>
      </c>
      <c r="H280" t="inlineStr">
        <is>
          <t>UPI</t>
        </is>
      </c>
      <c r="I280" t="inlineStr">
        <is>
          <t>Delivered</t>
        </is>
      </c>
      <c r="J280" t="n">
        <v>118</v>
      </c>
      <c r="K280" t="n">
        <v>1</v>
      </c>
      <c r="L280" t="n">
        <v>944</v>
      </c>
      <c r="M280" t="n">
        <v>0</v>
      </c>
      <c r="N280">
        <f>VLOOKUP(J280,Products!$A$2:$C$49,3,FALSE)</f>
        <v/>
      </c>
      <c r="O280">
        <f>K280*L280-M280</f>
        <v/>
      </c>
      <c r="P280">
        <f>TEXT(B280,"yyyy-mm")</f>
        <v/>
      </c>
      <c r="Q280">
        <f>IF(O280&gt;=3000,"Large","Small")</f>
        <v/>
      </c>
      <c r="R280">
        <f>INDEX(Products!$F$2:$F$49,MATCH(J280,Products!$A$2:$A$49,0))</f>
        <v/>
      </c>
      <c r="S280">
        <f>WEEKDAY(B280,2)</f>
        <v/>
      </c>
    </row>
    <row r="281">
      <c r="A281" t="n">
        <v>509468</v>
      </c>
      <c r="B281" s="6" t="n">
        <v>45936</v>
      </c>
      <c r="C281" t="n">
        <v>16197</v>
      </c>
      <c r="D281" t="inlineStr">
        <is>
          <t>Delhi</t>
        </is>
      </c>
      <c r="E281" t="inlineStr">
        <is>
          <t>North</t>
        </is>
      </c>
      <c r="F281" t="inlineStr">
        <is>
          <t>Referral</t>
        </is>
      </c>
      <c r="G281" t="inlineStr">
        <is>
          <t>Mobile Web</t>
        </is>
      </c>
      <c r="H281" t="inlineStr">
        <is>
          <t>UPI</t>
        </is>
      </c>
      <c r="I281" t="inlineStr">
        <is>
          <t>Delivered</t>
        </is>
      </c>
      <c r="J281" t="n">
        <v>114</v>
      </c>
      <c r="K281" t="n">
        <v>1</v>
      </c>
      <c r="L281" t="n">
        <v>1259</v>
      </c>
      <c r="M281" t="n">
        <v>0</v>
      </c>
      <c r="N281">
        <f>VLOOKUP(J281,Products!$A$2:$C$49,3,FALSE)</f>
        <v/>
      </c>
      <c r="O281">
        <f>K281*L281-M281</f>
        <v/>
      </c>
      <c r="P281">
        <f>TEXT(B281,"yyyy-mm")</f>
        <v/>
      </c>
      <c r="Q281">
        <f>IF(O281&gt;=3000,"Large","Small")</f>
        <v/>
      </c>
      <c r="R281">
        <f>INDEX(Products!$F$2:$F$49,MATCH(J281,Products!$A$2:$A$49,0))</f>
        <v/>
      </c>
      <c r="S281">
        <f>WEEKDAY(B281,2)</f>
        <v/>
      </c>
    </row>
    <row r="282">
      <c r="A282" t="n">
        <v>509469</v>
      </c>
      <c r="B282" s="6" t="n">
        <v>45936</v>
      </c>
      <c r="C282" t="n">
        <v>12787</v>
      </c>
      <c r="D282" t="inlineStr">
        <is>
          <t>Mumbai</t>
        </is>
      </c>
      <c r="E282" t="inlineStr">
        <is>
          <t>West</t>
        </is>
      </c>
      <c r="F282" t="inlineStr">
        <is>
          <t>Referral</t>
        </is>
      </c>
      <c r="G282" t="inlineStr">
        <is>
          <t>Mobile Web</t>
        </is>
      </c>
      <c r="H282" t="inlineStr">
        <is>
          <t>UPI</t>
        </is>
      </c>
      <c r="I282" t="inlineStr">
        <is>
          <t>Delivered</t>
        </is>
      </c>
      <c r="J282" t="n">
        <v>116</v>
      </c>
      <c r="K282" t="n">
        <v>1</v>
      </c>
      <c r="L282" t="n">
        <v>2624</v>
      </c>
      <c r="M282" t="n">
        <v>262.4</v>
      </c>
      <c r="N282">
        <f>VLOOKUP(J282,Products!$A$2:$C$49,3,FALSE)</f>
        <v/>
      </c>
      <c r="O282">
        <f>K282*L282-M282</f>
        <v/>
      </c>
      <c r="P282">
        <f>TEXT(B282,"yyyy-mm")</f>
        <v/>
      </c>
      <c r="Q282">
        <f>IF(O282&gt;=3000,"Large","Small")</f>
        <v/>
      </c>
      <c r="R282">
        <f>INDEX(Products!$F$2:$F$49,MATCH(J282,Products!$A$2:$A$49,0))</f>
        <v/>
      </c>
      <c r="S282">
        <f>WEEKDAY(B282,2)</f>
        <v/>
      </c>
    </row>
    <row r="283">
      <c r="A283" t="n">
        <v>509469</v>
      </c>
      <c r="B283" s="6" t="n">
        <v>45936</v>
      </c>
      <c r="C283" t="n">
        <v>12787</v>
      </c>
      <c r="D283" t="inlineStr">
        <is>
          <t>Mumbai</t>
        </is>
      </c>
      <c r="E283" t="inlineStr">
        <is>
          <t>West</t>
        </is>
      </c>
      <c r="F283" t="inlineStr">
        <is>
          <t>Referral</t>
        </is>
      </c>
      <c r="G283" t="inlineStr">
        <is>
          <t>Mobile Web</t>
        </is>
      </c>
      <c r="H283" t="inlineStr">
        <is>
          <t>UPI</t>
        </is>
      </c>
      <c r="I283" t="inlineStr">
        <is>
          <t>Delivered</t>
        </is>
      </c>
      <c r="J283" t="n">
        <v>127</v>
      </c>
      <c r="K283" t="n">
        <v>1</v>
      </c>
      <c r="L283" t="n">
        <v>681</v>
      </c>
      <c r="M283" t="n">
        <v>68.09999999999999</v>
      </c>
      <c r="N283">
        <f>VLOOKUP(J283,Products!$A$2:$C$49,3,FALSE)</f>
        <v/>
      </c>
      <c r="O283">
        <f>K283*L283-M283</f>
        <v/>
      </c>
      <c r="P283">
        <f>TEXT(B283,"yyyy-mm")</f>
        <v/>
      </c>
      <c r="Q283">
        <f>IF(O283&gt;=3000,"Large","Small")</f>
        <v/>
      </c>
      <c r="R283">
        <f>INDEX(Products!$F$2:$F$49,MATCH(J283,Products!$A$2:$A$49,0))</f>
        <v/>
      </c>
      <c r="S283">
        <f>WEEKDAY(B283,2)</f>
        <v/>
      </c>
    </row>
    <row r="284">
      <c r="A284" t="n">
        <v>509470</v>
      </c>
      <c r="B284" s="6" t="n">
        <v>45936</v>
      </c>
      <c r="C284" t="n">
        <v>16616</v>
      </c>
      <c r="D284" t="inlineStr">
        <is>
          <t>Lucknow</t>
        </is>
      </c>
      <c r="E284" t="inlineStr">
        <is>
          <t>North</t>
        </is>
      </c>
      <c r="F284" t="inlineStr">
        <is>
          <t>Paid Social</t>
        </is>
      </c>
      <c r="G284" t="inlineStr">
        <is>
          <t>Mobile App</t>
        </is>
      </c>
      <c r="H284" t="inlineStr">
        <is>
          <t>UPI</t>
        </is>
      </c>
      <c r="I284" t="inlineStr">
        <is>
          <t>Returned</t>
        </is>
      </c>
      <c r="J284" t="n">
        <v>112</v>
      </c>
      <c r="K284" t="n">
        <v>1</v>
      </c>
      <c r="L284" t="n">
        <v>1574</v>
      </c>
      <c r="M284" t="n">
        <v>0</v>
      </c>
      <c r="N284">
        <f>VLOOKUP(J284,Products!$A$2:$C$49,3,FALSE)</f>
        <v/>
      </c>
      <c r="O284">
        <f>K284*L284-M284</f>
        <v/>
      </c>
      <c r="P284">
        <f>TEXT(B284,"yyyy-mm")</f>
        <v/>
      </c>
      <c r="Q284">
        <f>IF(O284&gt;=3000,"Large","Small")</f>
        <v/>
      </c>
      <c r="R284">
        <f>INDEX(Products!$F$2:$F$49,MATCH(J284,Products!$A$2:$A$49,0))</f>
        <v/>
      </c>
      <c r="S284">
        <f>WEEKDAY(B284,2)</f>
        <v/>
      </c>
    </row>
    <row r="285">
      <c r="A285" t="n">
        <v>509471</v>
      </c>
      <c r="B285" s="6" t="n">
        <v>45936</v>
      </c>
      <c r="C285" t="n">
        <v>14295</v>
      </c>
      <c r="D285" t="inlineStr">
        <is>
          <t>Hyderabad</t>
        </is>
      </c>
      <c r="E285" t="inlineStr">
        <is>
          <t>South</t>
        </is>
      </c>
      <c r="F285" t="inlineStr">
        <is>
          <t>Organic Search</t>
        </is>
      </c>
      <c r="G285" t="inlineStr">
        <is>
          <t>Mobile App</t>
        </is>
      </c>
      <c r="H285" t="inlineStr">
        <is>
          <t>Credit Card</t>
        </is>
      </c>
      <c r="I285" t="inlineStr">
        <is>
          <t>Delivered</t>
        </is>
      </c>
      <c r="J285" t="n">
        <v>139</v>
      </c>
      <c r="K285" t="n">
        <v>2</v>
      </c>
      <c r="L285" t="n">
        <v>366</v>
      </c>
      <c r="M285" t="n">
        <v>0</v>
      </c>
      <c r="N285">
        <f>VLOOKUP(J285,Products!$A$2:$C$49,3,FALSE)</f>
        <v/>
      </c>
      <c r="O285">
        <f>K285*L285-M285</f>
        <v/>
      </c>
      <c r="P285">
        <f>TEXT(B285,"yyyy-mm")</f>
        <v/>
      </c>
      <c r="Q285">
        <f>IF(O285&gt;=3000,"Large","Small")</f>
        <v/>
      </c>
      <c r="R285">
        <f>INDEX(Products!$F$2:$F$49,MATCH(J285,Products!$A$2:$A$49,0))</f>
        <v/>
      </c>
      <c r="S285">
        <f>WEEKDAY(B285,2)</f>
        <v/>
      </c>
    </row>
    <row r="286">
      <c r="A286" t="n">
        <v>509472</v>
      </c>
      <c r="B286" s="6" t="n">
        <v>45936</v>
      </c>
      <c r="C286" t="n">
        <v>10159</v>
      </c>
      <c r="D286" t="inlineStr">
        <is>
          <t>Pune</t>
        </is>
      </c>
      <c r="E286" t="inlineStr">
        <is>
          <t>West</t>
        </is>
      </c>
      <c r="F286" t="inlineStr">
        <is>
          <t>Email</t>
        </is>
      </c>
      <c r="G286" t="inlineStr">
        <is>
          <t>Mobile Web</t>
        </is>
      </c>
      <c r="H286" t="inlineStr">
        <is>
          <t>Cash on Delivery</t>
        </is>
      </c>
      <c r="I286" t="inlineStr">
        <is>
          <t>Delivered</t>
        </is>
      </c>
      <c r="J286" t="n">
        <v>137</v>
      </c>
      <c r="K286" t="n">
        <v>1</v>
      </c>
      <c r="L286" t="n">
        <v>261</v>
      </c>
      <c r="M286" t="n">
        <v>0</v>
      </c>
      <c r="N286">
        <f>VLOOKUP(J286,Products!$A$2:$C$49,3,FALSE)</f>
        <v/>
      </c>
      <c r="O286">
        <f>K286*L286-M286</f>
        <v/>
      </c>
      <c r="P286">
        <f>TEXT(B286,"yyyy-mm")</f>
        <v/>
      </c>
      <c r="Q286">
        <f>IF(O286&gt;=3000,"Large","Small")</f>
        <v/>
      </c>
      <c r="R286">
        <f>INDEX(Products!$F$2:$F$49,MATCH(J286,Products!$A$2:$A$49,0))</f>
        <v/>
      </c>
      <c r="S286">
        <f>WEEKDAY(B286,2)</f>
        <v/>
      </c>
    </row>
    <row r="287">
      <c r="A287" t="n">
        <v>509473</v>
      </c>
      <c r="B287" s="6" t="n">
        <v>45936</v>
      </c>
      <c r="C287" t="n">
        <v>16656</v>
      </c>
      <c r="D287" t="inlineStr">
        <is>
          <t>Lucknow</t>
        </is>
      </c>
      <c r="E287" t="inlineStr">
        <is>
          <t>North</t>
        </is>
      </c>
      <c r="F287" t="inlineStr">
        <is>
          <t>Organic Search</t>
        </is>
      </c>
      <c r="G287" t="inlineStr">
        <is>
          <t>Mobile App</t>
        </is>
      </c>
      <c r="H287" t="inlineStr">
        <is>
          <t>Credit Card</t>
        </is>
      </c>
      <c r="I287" t="inlineStr">
        <is>
          <t>Returned</t>
        </is>
      </c>
      <c r="J287" t="n">
        <v>136</v>
      </c>
      <c r="K287" t="n">
        <v>1</v>
      </c>
      <c r="L287" t="n">
        <v>944</v>
      </c>
      <c r="M287" t="n">
        <v>141.6</v>
      </c>
      <c r="N287">
        <f>VLOOKUP(J287,Products!$A$2:$C$49,3,FALSE)</f>
        <v/>
      </c>
      <c r="O287">
        <f>K287*L287-M287</f>
        <v/>
      </c>
      <c r="P287">
        <f>TEXT(B287,"yyyy-mm")</f>
        <v/>
      </c>
      <c r="Q287">
        <f>IF(O287&gt;=3000,"Large","Small")</f>
        <v/>
      </c>
      <c r="R287">
        <f>INDEX(Products!$F$2:$F$49,MATCH(J287,Products!$A$2:$A$49,0))</f>
        <v/>
      </c>
      <c r="S287">
        <f>WEEKDAY(B287,2)</f>
        <v/>
      </c>
    </row>
    <row r="288">
      <c r="A288" t="n">
        <v>509473</v>
      </c>
      <c r="B288" s="6" t="n">
        <v>45936</v>
      </c>
      <c r="C288" t="n">
        <v>16656</v>
      </c>
      <c r="D288" t="inlineStr">
        <is>
          <t>Lucknow</t>
        </is>
      </c>
      <c r="E288" t="inlineStr">
        <is>
          <t>North</t>
        </is>
      </c>
      <c r="F288" t="inlineStr">
        <is>
          <t>Organic Search</t>
        </is>
      </c>
      <c r="G288" t="inlineStr">
        <is>
          <t>Mobile App</t>
        </is>
      </c>
      <c r="H288" t="inlineStr">
        <is>
          <t>Credit Card</t>
        </is>
      </c>
      <c r="I288" t="inlineStr">
        <is>
          <t>Returned</t>
        </is>
      </c>
      <c r="J288" t="n">
        <v>111</v>
      </c>
      <c r="K288" t="n">
        <v>2</v>
      </c>
      <c r="L288" t="n">
        <v>524</v>
      </c>
      <c r="M288" t="n">
        <v>157.2</v>
      </c>
      <c r="N288">
        <f>VLOOKUP(J288,Products!$A$2:$C$49,3,FALSE)</f>
        <v/>
      </c>
      <c r="O288">
        <f>K288*L288-M288</f>
        <v/>
      </c>
      <c r="P288">
        <f>TEXT(B288,"yyyy-mm")</f>
        <v/>
      </c>
      <c r="Q288">
        <f>IF(O288&gt;=3000,"Large","Small")</f>
        <v/>
      </c>
      <c r="R288">
        <f>INDEX(Products!$F$2:$F$49,MATCH(J288,Products!$A$2:$A$49,0))</f>
        <v/>
      </c>
      <c r="S288">
        <f>WEEKDAY(B288,2)</f>
        <v/>
      </c>
    </row>
    <row r="289">
      <c r="A289" t="n">
        <v>509473</v>
      </c>
      <c r="B289" s="6" t="n">
        <v>45936</v>
      </c>
      <c r="C289" t="n">
        <v>16656</v>
      </c>
      <c r="D289" t="inlineStr">
        <is>
          <t>Lucknow</t>
        </is>
      </c>
      <c r="E289" t="inlineStr">
        <is>
          <t>North</t>
        </is>
      </c>
      <c r="F289" t="inlineStr">
        <is>
          <t>Organic Search</t>
        </is>
      </c>
      <c r="G289" t="inlineStr">
        <is>
          <t>Mobile App</t>
        </is>
      </c>
      <c r="H289" t="inlineStr">
        <is>
          <t>Credit Card</t>
        </is>
      </c>
      <c r="I289" t="inlineStr">
        <is>
          <t>Returned</t>
        </is>
      </c>
      <c r="J289" t="n">
        <v>130</v>
      </c>
      <c r="K289" t="n">
        <v>1</v>
      </c>
      <c r="L289" t="n">
        <v>734</v>
      </c>
      <c r="M289" t="n">
        <v>110.1</v>
      </c>
      <c r="N289">
        <f>VLOOKUP(J289,Products!$A$2:$C$49,3,FALSE)</f>
        <v/>
      </c>
      <c r="O289">
        <f>K289*L289-M289</f>
        <v/>
      </c>
      <c r="P289">
        <f>TEXT(B289,"yyyy-mm")</f>
        <v/>
      </c>
      <c r="Q289">
        <f>IF(O289&gt;=3000,"Large","Small")</f>
        <v/>
      </c>
      <c r="R289">
        <f>INDEX(Products!$F$2:$F$49,MATCH(J289,Products!$A$2:$A$49,0))</f>
        <v/>
      </c>
      <c r="S289">
        <f>WEEKDAY(B289,2)</f>
        <v/>
      </c>
    </row>
    <row r="290">
      <c r="A290" t="n">
        <v>509473</v>
      </c>
      <c r="B290" s="6" t="n">
        <v>45936</v>
      </c>
      <c r="C290" t="n">
        <v>16656</v>
      </c>
      <c r="D290" t="inlineStr">
        <is>
          <t>Lucknow</t>
        </is>
      </c>
      <c r="E290" t="inlineStr">
        <is>
          <t>North</t>
        </is>
      </c>
      <c r="F290" t="inlineStr">
        <is>
          <t>Organic Search</t>
        </is>
      </c>
      <c r="G290" t="inlineStr">
        <is>
          <t>Mobile App</t>
        </is>
      </c>
      <c r="H290" t="inlineStr">
        <is>
          <t>Credit Card</t>
        </is>
      </c>
      <c r="I290" t="inlineStr">
        <is>
          <t>Returned</t>
        </is>
      </c>
      <c r="J290" t="n">
        <v>118</v>
      </c>
      <c r="K290" t="n">
        <v>2</v>
      </c>
      <c r="L290" t="n">
        <v>944</v>
      </c>
      <c r="M290" t="n">
        <v>283.2</v>
      </c>
      <c r="N290">
        <f>VLOOKUP(J290,Products!$A$2:$C$49,3,FALSE)</f>
        <v/>
      </c>
      <c r="O290">
        <f>K290*L290-M290</f>
        <v/>
      </c>
      <c r="P290">
        <f>TEXT(B290,"yyyy-mm")</f>
        <v/>
      </c>
      <c r="Q290">
        <f>IF(O290&gt;=3000,"Large","Small")</f>
        <v/>
      </c>
      <c r="R290">
        <f>INDEX(Products!$F$2:$F$49,MATCH(J290,Products!$A$2:$A$49,0))</f>
        <v/>
      </c>
      <c r="S290">
        <f>WEEKDAY(B290,2)</f>
        <v/>
      </c>
    </row>
    <row r="291">
      <c r="A291" t="n">
        <v>509473</v>
      </c>
      <c r="B291" s="6" t="n">
        <v>45936</v>
      </c>
      <c r="C291" t="n">
        <v>16656</v>
      </c>
      <c r="D291" t="inlineStr">
        <is>
          <t>Lucknow</t>
        </is>
      </c>
      <c r="E291" t="inlineStr">
        <is>
          <t>North</t>
        </is>
      </c>
      <c r="F291" t="inlineStr">
        <is>
          <t>Organic Search</t>
        </is>
      </c>
      <c r="G291" t="inlineStr">
        <is>
          <t>Mobile App</t>
        </is>
      </c>
      <c r="H291" t="inlineStr">
        <is>
          <t>Credit Card</t>
        </is>
      </c>
      <c r="I291" t="inlineStr">
        <is>
          <t>Returned</t>
        </is>
      </c>
      <c r="J291" t="n">
        <v>129</v>
      </c>
      <c r="K291" t="n">
        <v>1</v>
      </c>
      <c r="L291" t="n">
        <v>576</v>
      </c>
      <c r="M291" t="n">
        <v>86.40000000000001</v>
      </c>
      <c r="N291">
        <f>VLOOKUP(J291,Products!$A$2:$C$49,3,FALSE)</f>
        <v/>
      </c>
      <c r="O291">
        <f>K291*L291-M291</f>
        <v/>
      </c>
      <c r="P291">
        <f>TEXT(B291,"yyyy-mm")</f>
        <v/>
      </c>
      <c r="Q291">
        <f>IF(O291&gt;=3000,"Large","Small")</f>
        <v/>
      </c>
      <c r="R291">
        <f>INDEX(Products!$F$2:$F$49,MATCH(J291,Products!$A$2:$A$49,0))</f>
        <v/>
      </c>
      <c r="S291">
        <f>WEEKDAY(B291,2)</f>
        <v/>
      </c>
    </row>
    <row r="292">
      <c r="A292" t="n">
        <v>509474</v>
      </c>
      <c r="B292" s="6" t="n">
        <v>45936</v>
      </c>
      <c r="C292" t="n">
        <v>14634</v>
      </c>
      <c r="D292" t="inlineStr">
        <is>
          <t>Bengaluru</t>
        </is>
      </c>
      <c r="E292" t="inlineStr">
        <is>
          <t>South</t>
        </is>
      </c>
      <c r="F292" t="inlineStr">
        <is>
          <t>Affiliate</t>
        </is>
      </c>
      <c r="G292" t="inlineStr">
        <is>
          <t>Mobile Web</t>
        </is>
      </c>
      <c r="H292" t="inlineStr">
        <is>
          <t>Net Banking</t>
        </is>
      </c>
      <c r="I292" t="inlineStr">
        <is>
          <t>Delivered</t>
        </is>
      </c>
      <c r="J292" t="n">
        <v>130</v>
      </c>
      <c r="K292" t="n">
        <v>2</v>
      </c>
      <c r="L292" t="n">
        <v>734</v>
      </c>
      <c r="M292" t="n">
        <v>146.8</v>
      </c>
      <c r="N292">
        <f>VLOOKUP(J292,Products!$A$2:$C$49,3,FALSE)</f>
        <v/>
      </c>
      <c r="O292">
        <f>K292*L292-M292</f>
        <v/>
      </c>
      <c r="P292">
        <f>TEXT(B292,"yyyy-mm")</f>
        <v/>
      </c>
      <c r="Q292">
        <f>IF(O292&gt;=3000,"Large","Small")</f>
        <v/>
      </c>
      <c r="R292">
        <f>INDEX(Products!$F$2:$F$49,MATCH(J292,Products!$A$2:$A$49,0))</f>
        <v/>
      </c>
      <c r="S292">
        <f>WEEKDAY(B292,2)</f>
        <v/>
      </c>
    </row>
    <row r="293">
      <c r="A293" t="n">
        <v>509474</v>
      </c>
      <c r="B293" s="6" t="n">
        <v>45936</v>
      </c>
      <c r="C293" t="n">
        <v>14634</v>
      </c>
      <c r="D293" t="inlineStr">
        <is>
          <t>Bengaluru</t>
        </is>
      </c>
      <c r="E293" t="inlineStr">
        <is>
          <t>South</t>
        </is>
      </c>
      <c r="F293" t="inlineStr">
        <is>
          <t>Affiliate</t>
        </is>
      </c>
      <c r="G293" t="inlineStr">
        <is>
          <t>Mobile Web</t>
        </is>
      </c>
      <c r="H293" t="inlineStr">
        <is>
          <t>Net Banking</t>
        </is>
      </c>
      <c r="I293" t="inlineStr">
        <is>
          <t>Delivered</t>
        </is>
      </c>
      <c r="J293" t="n">
        <v>122</v>
      </c>
      <c r="K293" t="n">
        <v>1</v>
      </c>
      <c r="L293" t="n">
        <v>1994</v>
      </c>
      <c r="M293" t="n">
        <v>199.4</v>
      </c>
      <c r="N293">
        <f>VLOOKUP(J293,Products!$A$2:$C$49,3,FALSE)</f>
        <v/>
      </c>
      <c r="O293">
        <f>K293*L293-M293</f>
        <v/>
      </c>
      <c r="P293">
        <f>TEXT(B293,"yyyy-mm")</f>
        <v/>
      </c>
      <c r="Q293">
        <f>IF(O293&gt;=3000,"Large","Small")</f>
        <v/>
      </c>
      <c r="R293">
        <f>INDEX(Products!$F$2:$F$49,MATCH(J293,Products!$A$2:$A$49,0))</f>
        <v/>
      </c>
      <c r="S293">
        <f>WEEKDAY(B293,2)</f>
        <v/>
      </c>
    </row>
    <row r="294">
      <c r="A294" t="n">
        <v>509474</v>
      </c>
      <c r="B294" s="6" t="n">
        <v>45936</v>
      </c>
      <c r="C294" t="n">
        <v>14634</v>
      </c>
      <c r="D294" t="inlineStr">
        <is>
          <t>Bengaluru</t>
        </is>
      </c>
      <c r="E294" t="inlineStr">
        <is>
          <t>South</t>
        </is>
      </c>
      <c r="F294" t="inlineStr">
        <is>
          <t>Affiliate</t>
        </is>
      </c>
      <c r="G294" t="inlineStr">
        <is>
          <t>Mobile Web</t>
        </is>
      </c>
      <c r="H294" t="inlineStr">
        <is>
          <t>Net Banking</t>
        </is>
      </c>
      <c r="I294" t="inlineStr">
        <is>
          <t>Delivered</t>
        </is>
      </c>
      <c r="J294" t="n">
        <v>124</v>
      </c>
      <c r="K294" t="n">
        <v>2</v>
      </c>
      <c r="L294" t="n">
        <v>1154</v>
      </c>
      <c r="M294" t="n">
        <v>230.8</v>
      </c>
      <c r="N294">
        <f>VLOOKUP(J294,Products!$A$2:$C$49,3,FALSE)</f>
        <v/>
      </c>
      <c r="O294">
        <f>K294*L294-M294</f>
        <v/>
      </c>
      <c r="P294">
        <f>TEXT(B294,"yyyy-mm")</f>
        <v/>
      </c>
      <c r="Q294">
        <f>IF(O294&gt;=3000,"Large","Small")</f>
        <v/>
      </c>
      <c r="R294">
        <f>INDEX(Products!$F$2:$F$49,MATCH(J294,Products!$A$2:$A$49,0))</f>
        <v/>
      </c>
      <c r="S294">
        <f>WEEKDAY(B294,2)</f>
        <v/>
      </c>
    </row>
    <row r="295">
      <c r="A295" t="n">
        <v>509475</v>
      </c>
      <c r="B295" s="6" t="n">
        <v>45936</v>
      </c>
      <c r="C295" t="n">
        <v>15808</v>
      </c>
      <c r="D295" t="inlineStr">
        <is>
          <t>Indore</t>
        </is>
      </c>
      <c r="E295" t="inlineStr">
        <is>
          <t>West</t>
        </is>
      </c>
      <c r="F295" t="inlineStr">
        <is>
          <t>Referral</t>
        </is>
      </c>
      <c r="G295" t="inlineStr">
        <is>
          <t>Mobile App</t>
        </is>
      </c>
      <c r="H295" t="inlineStr">
        <is>
          <t>Credit Card</t>
        </is>
      </c>
      <c r="I295" t="inlineStr">
        <is>
          <t>Delivered</t>
        </is>
      </c>
      <c r="J295" t="n">
        <v>112</v>
      </c>
      <c r="K295" t="n">
        <v>2</v>
      </c>
      <c r="L295" t="n">
        <v>1574</v>
      </c>
      <c r="M295" t="n">
        <v>314.8</v>
      </c>
      <c r="N295">
        <f>VLOOKUP(J295,Products!$A$2:$C$49,3,FALSE)</f>
        <v/>
      </c>
      <c r="O295">
        <f>K295*L295-M295</f>
        <v/>
      </c>
      <c r="P295">
        <f>TEXT(B295,"yyyy-mm")</f>
        <v/>
      </c>
      <c r="Q295">
        <f>IF(O295&gt;=3000,"Large","Small")</f>
        <v/>
      </c>
      <c r="R295">
        <f>INDEX(Products!$F$2:$F$49,MATCH(J295,Products!$A$2:$A$49,0))</f>
        <v/>
      </c>
      <c r="S295">
        <f>WEEKDAY(B295,2)</f>
        <v/>
      </c>
    </row>
    <row r="296">
      <c r="A296" t="n">
        <v>509476</v>
      </c>
      <c r="B296" s="6" t="n">
        <v>45936</v>
      </c>
      <c r="C296" t="n">
        <v>15920</v>
      </c>
      <c r="D296" t="inlineStr">
        <is>
          <t>Mumbai</t>
        </is>
      </c>
      <c r="E296" t="inlineStr">
        <is>
          <t>West</t>
        </is>
      </c>
      <c r="F296" t="inlineStr">
        <is>
          <t>Paid Social</t>
        </is>
      </c>
      <c r="G296" t="inlineStr">
        <is>
          <t>Desktop</t>
        </is>
      </c>
      <c r="H296" t="inlineStr">
        <is>
          <t>Cash on Delivery</t>
        </is>
      </c>
      <c r="I296" t="inlineStr">
        <is>
          <t>Delivered</t>
        </is>
      </c>
      <c r="J296" t="n">
        <v>124</v>
      </c>
      <c r="K296" t="n">
        <v>1</v>
      </c>
      <c r="L296" t="n">
        <v>1154</v>
      </c>
      <c r="M296" t="n">
        <v>0</v>
      </c>
      <c r="N296">
        <f>VLOOKUP(J296,Products!$A$2:$C$49,3,FALSE)</f>
        <v/>
      </c>
      <c r="O296">
        <f>K296*L296-M296</f>
        <v/>
      </c>
      <c r="P296">
        <f>TEXT(B296,"yyyy-mm")</f>
        <v/>
      </c>
      <c r="Q296">
        <f>IF(O296&gt;=3000,"Large","Small")</f>
        <v/>
      </c>
      <c r="R296">
        <f>INDEX(Products!$F$2:$F$49,MATCH(J296,Products!$A$2:$A$49,0))</f>
        <v/>
      </c>
      <c r="S296">
        <f>WEEKDAY(B296,2)</f>
        <v/>
      </c>
    </row>
    <row r="297">
      <c r="A297" t="n">
        <v>509477</v>
      </c>
      <c r="B297" s="6" t="n">
        <v>45936</v>
      </c>
      <c r="C297" t="n">
        <v>11188</v>
      </c>
      <c r="D297" t="inlineStr">
        <is>
          <t>Delhi</t>
        </is>
      </c>
      <c r="E297" t="inlineStr">
        <is>
          <t>North</t>
        </is>
      </c>
      <c r="F297" t="inlineStr">
        <is>
          <t>Organic Search</t>
        </is>
      </c>
      <c r="G297" t="inlineStr">
        <is>
          <t>Mobile App</t>
        </is>
      </c>
      <c r="H297" t="inlineStr">
        <is>
          <t>Credit Card</t>
        </is>
      </c>
      <c r="I297" t="inlineStr">
        <is>
          <t>Delivered</t>
        </is>
      </c>
      <c r="J297" t="n">
        <v>127</v>
      </c>
      <c r="K297" t="n">
        <v>1</v>
      </c>
      <c r="L297" t="n">
        <v>681</v>
      </c>
      <c r="M297" t="n">
        <v>68.09999999999999</v>
      </c>
      <c r="N297">
        <f>VLOOKUP(J297,Products!$A$2:$C$49,3,FALSE)</f>
        <v/>
      </c>
      <c r="O297">
        <f>K297*L297-M297</f>
        <v/>
      </c>
      <c r="P297">
        <f>TEXT(B297,"yyyy-mm")</f>
        <v/>
      </c>
      <c r="Q297">
        <f>IF(O297&gt;=3000,"Large","Small")</f>
        <v/>
      </c>
      <c r="R297">
        <f>INDEX(Products!$F$2:$F$49,MATCH(J297,Products!$A$2:$A$49,0))</f>
        <v/>
      </c>
      <c r="S297">
        <f>WEEKDAY(B297,2)</f>
        <v/>
      </c>
    </row>
    <row r="298">
      <c r="A298" t="n">
        <v>509477</v>
      </c>
      <c r="B298" s="6" t="n">
        <v>45936</v>
      </c>
      <c r="C298" t="n">
        <v>11188</v>
      </c>
      <c r="D298" t="inlineStr">
        <is>
          <t>Delhi</t>
        </is>
      </c>
      <c r="E298" t="inlineStr">
        <is>
          <t>North</t>
        </is>
      </c>
      <c r="F298" t="inlineStr">
        <is>
          <t>Organic Search</t>
        </is>
      </c>
      <c r="G298" t="inlineStr">
        <is>
          <t>Mobile App</t>
        </is>
      </c>
      <c r="H298" t="inlineStr">
        <is>
          <t>Credit Card</t>
        </is>
      </c>
      <c r="I298" t="inlineStr">
        <is>
          <t>Delivered</t>
        </is>
      </c>
      <c r="J298" t="n">
        <v>129</v>
      </c>
      <c r="K298" t="n">
        <v>1</v>
      </c>
      <c r="L298" t="n">
        <v>576</v>
      </c>
      <c r="M298" t="n">
        <v>57.6</v>
      </c>
      <c r="N298">
        <f>VLOOKUP(J298,Products!$A$2:$C$49,3,FALSE)</f>
        <v/>
      </c>
      <c r="O298">
        <f>K298*L298-M298</f>
        <v/>
      </c>
      <c r="P298">
        <f>TEXT(B298,"yyyy-mm")</f>
        <v/>
      </c>
      <c r="Q298">
        <f>IF(O298&gt;=3000,"Large","Small")</f>
        <v/>
      </c>
      <c r="R298">
        <f>INDEX(Products!$F$2:$F$49,MATCH(J298,Products!$A$2:$A$49,0))</f>
        <v/>
      </c>
      <c r="S298">
        <f>WEEKDAY(B298,2)</f>
        <v/>
      </c>
    </row>
    <row r="299">
      <c r="A299" t="n">
        <v>509478</v>
      </c>
      <c r="B299" s="6" t="n">
        <v>45936</v>
      </c>
      <c r="C299" t="n">
        <v>16464</v>
      </c>
      <c r="D299" t="inlineStr">
        <is>
          <t>Delhi</t>
        </is>
      </c>
      <c r="E299" t="inlineStr">
        <is>
          <t>North</t>
        </is>
      </c>
      <c r="F299" t="inlineStr">
        <is>
          <t>Organic Search</t>
        </is>
      </c>
      <c r="G299" t="inlineStr">
        <is>
          <t>Mobile App</t>
        </is>
      </c>
      <c r="H299" t="inlineStr">
        <is>
          <t>UPI</t>
        </is>
      </c>
      <c r="I299" t="inlineStr">
        <is>
          <t>Delivered</t>
        </is>
      </c>
      <c r="J299" t="n">
        <v>126</v>
      </c>
      <c r="K299" t="n">
        <v>2</v>
      </c>
      <c r="L299" t="n">
        <v>471</v>
      </c>
      <c r="M299" t="n">
        <v>141.3</v>
      </c>
      <c r="N299">
        <f>VLOOKUP(J299,Products!$A$2:$C$49,3,FALSE)</f>
        <v/>
      </c>
      <c r="O299">
        <f>K299*L299-M299</f>
        <v/>
      </c>
      <c r="P299">
        <f>TEXT(B299,"yyyy-mm")</f>
        <v/>
      </c>
      <c r="Q299">
        <f>IF(O299&gt;=3000,"Large","Small")</f>
        <v/>
      </c>
      <c r="R299">
        <f>INDEX(Products!$F$2:$F$49,MATCH(J299,Products!$A$2:$A$49,0))</f>
        <v/>
      </c>
      <c r="S299">
        <f>WEEKDAY(B299,2)</f>
        <v/>
      </c>
    </row>
    <row r="300">
      <c r="A300" t="n">
        <v>509478</v>
      </c>
      <c r="B300" s="6" t="n">
        <v>45936</v>
      </c>
      <c r="C300" t="n">
        <v>16464</v>
      </c>
      <c r="D300" t="inlineStr">
        <is>
          <t>Delhi</t>
        </is>
      </c>
      <c r="E300" t="inlineStr">
        <is>
          <t>North</t>
        </is>
      </c>
      <c r="F300" t="inlineStr">
        <is>
          <t>Organic Search</t>
        </is>
      </c>
      <c r="G300" t="inlineStr">
        <is>
          <t>Mobile App</t>
        </is>
      </c>
      <c r="H300" t="inlineStr">
        <is>
          <t>UPI</t>
        </is>
      </c>
      <c r="I300" t="inlineStr">
        <is>
          <t>Delivered</t>
        </is>
      </c>
      <c r="J300" t="n">
        <v>105</v>
      </c>
      <c r="K300" t="n">
        <v>1</v>
      </c>
      <c r="L300" t="n">
        <v>2414</v>
      </c>
      <c r="M300" t="n">
        <v>362.1</v>
      </c>
      <c r="N300">
        <f>VLOOKUP(J300,Products!$A$2:$C$49,3,FALSE)</f>
        <v/>
      </c>
      <c r="O300">
        <f>K300*L300-M300</f>
        <v/>
      </c>
      <c r="P300">
        <f>TEXT(B300,"yyyy-mm")</f>
        <v/>
      </c>
      <c r="Q300">
        <f>IF(O300&gt;=3000,"Large","Small")</f>
        <v/>
      </c>
      <c r="R300">
        <f>INDEX(Products!$F$2:$F$49,MATCH(J300,Products!$A$2:$A$49,0))</f>
        <v/>
      </c>
      <c r="S300">
        <f>WEEKDAY(B300,2)</f>
        <v/>
      </c>
    </row>
    <row r="301">
      <c r="A301" t="n">
        <v>509479</v>
      </c>
      <c r="B301" s="6" t="n">
        <v>45936</v>
      </c>
      <c r="C301" t="n">
        <v>10345</v>
      </c>
      <c r="D301" t="inlineStr">
        <is>
          <t>Bengaluru</t>
        </is>
      </c>
      <c r="E301" t="inlineStr">
        <is>
          <t>South</t>
        </is>
      </c>
      <c r="F301" t="inlineStr">
        <is>
          <t>Referral</t>
        </is>
      </c>
      <c r="G301" t="inlineStr">
        <is>
          <t>Desktop</t>
        </is>
      </c>
      <c r="H301" t="inlineStr">
        <is>
          <t>UPI</t>
        </is>
      </c>
      <c r="I301" t="inlineStr">
        <is>
          <t>Delivered</t>
        </is>
      </c>
      <c r="J301" t="n">
        <v>111</v>
      </c>
      <c r="K301" t="n">
        <v>1</v>
      </c>
      <c r="L301" t="n">
        <v>524</v>
      </c>
      <c r="M301" t="n">
        <v>0</v>
      </c>
      <c r="N301">
        <f>VLOOKUP(J301,Products!$A$2:$C$49,3,FALSE)</f>
        <v/>
      </c>
      <c r="O301">
        <f>K301*L301-M301</f>
        <v/>
      </c>
      <c r="P301">
        <f>TEXT(B301,"yyyy-mm")</f>
        <v/>
      </c>
      <c r="Q301">
        <f>IF(O301&gt;=3000,"Large","Small")</f>
        <v/>
      </c>
      <c r="R301">
        <f>INDEX(Products!$F$2:$F$49,MATCH(J301,Products!$A$2:$A$49,0))</f>
        <v/>
      </c>
      <c r="S301">
        <f>WEEKDAY(B301,2)</f>
        <v/>
      </c>
    </row>
    <row r="302">
      <c r="A302" t="n">
        <v>509479</v>
      </c>
      <c r="B302" s="6" t="n">
        <v>45936</v>
      </c>
      <c r="C302" t="n">
        <v>10345</v>
      </c>
      <c r="D302" t="inlineStr">
        <is>
          <t>Bengaluru</t>
        </is>
      </c>
      <c r="E302" t="inlineStr">
        <is>
          <t>South</t>
        </is>
      </c>
      <c r="F302" t="inlineStr">
        <is>
          <t>Referral</t>
        </is>
      </c>
      <c r="G302" t="inlineStr">
        <is>
          <t>Desktop</t>
        </is>
      </c>
      <c r="H302" t="inlineStr">
        <is>
          <t>UPI</t>
        </is>
      </c>
      <c r="I302" t="inlineStr">
        <is>
          <t>Delivered</t>
        </is>
      </c>
      <c r="J302" t="n">
        <v>112</v>
      </c>
      <c r="K302" t="n">
        <v>1</v>
      </c>
      <c r="L302" t="n">
        <v>1574</v>
      </c>
      <c r="M302" t="n">
        <v>0</v>
      </c>
      <c r="N302">
        <f>VLOOKUP(J302,Products!$A$2:$C$49,3,FALSE)</f>
        <v/>
      </c>
      <c r="O302">
        <f>K302*L302-M302</f>
        <v/>
      </c>
      <c r="P302">
        <f>TEXT(B302,"yyyy-mm")</f>
        <v/>
      </c>
      <c r="Q302">
        <f>IF(O302&gt;=3000,"Large","Small")</f>
        <v/>
      </c>
      <c r="R302">
        <f>INDEX(Products!$F$2:$F$49,MATCH(J302,Products!$A$2:$A$49,0))</f>
        <v/>
      </c>
      <c r="S302">
        <f>WEEKDAY(B302,2)</f>
        <v/>
      </c>
    </row>
    <row r="303">
      <c r="A303" t="n">
        <v>509479</v>
      </c>
      <c r="B303" s="6" t="n">
        <v>45936</v>
      </c>
      <c r="C303" t="n">
        <v>10345</v>
      </c>
      <c r="D303" t="inlineStr">
        <is>
          <t>Bengaluru</t>
        </is>
      </c>
      <c r="E303" t="inlineStr">
        <is>
          <t>South</t>
        </is>
      </c>
      <c r="F303" t="inlineStr">
        <is>
          <t>Referral</t>
        </is>
      </c>
      <c r="G303" t="inlineStr">
        <is>
          <t>Desktop</t>
        </is>
      </c>
      <c r="H303" t="inlineStr">
        <is>
          <t>UPI</t>
        </is>
      </c>
      <c r="I303" t="inlineStr">
        <is>
          <t>Delivered</t>
        </is>
      </c>
      <c r="J303" t="n">
        <v>121</v>
      </c>
      <c r="K303" t="n">
        <v>1</v>
      </c>
      <c r="L303" t="n">
        <v>2939</v>
      </c>
      <c r="M303" t="n">
        <v>0</v>
      </c>
      <c r="N303">
        <f>VLOOKUP(J303,Products!$A$2:$C$49,3,FALSE)</f>
        <v/>
      </c>
      <c r="O303">
        <f>K303*L303-M303</f>
        <v/>
      </c>
      <c r="P303">
        <f>TEXT(B303,"yyyy-mm")</f>
        <v/>
      </c>
      <c r="Q303">
        <f>IF(O303&gt;=3000,"Large","Small")</f>
        <v/>
      </c>
      <c r="R303">
        <f>INDEX(Products!$F$2:$F$49,MATCH(J303,Products!$A$2:$A$49,0))</f>
        <v/>
      </c>
      <c r="S303">
        <f>WEEKDAY(B303,2)</f>
        <v/>
      </c>
    </row>
    <row r="304">
      <c r="A304" t="n">
        <v>509479</v>
      </c>
      <c r="B304" s="6" t="n">
        <v>45936</v>
      </c>
      <c r="C304" t="n">
        <v>10345</v>
      </c>
      <c r="D304" t="inlineStr">
        <is>
          <t>Bengaluru</t>
        </is>
      </c>
      <c r="E304" t="inlineStr">
        <is>
          <t>South</t>
        </is>
      </c>
      <c r="F304" t="inlineStr">
        <is>
          <t>Referral</t>
        </is>
      </c>
      <c r="G304" t="inlineStr">
        <is>
          <t>Desktop</t>
        </is>
      </c>
      <c r="H304" t="inlineStr">
        <is>
          <t>UPI</t>
        </is>
      </c>
      <c r="I304" t="inlineStr">
        <is>
          <t>Delivered</t>
        </is>
      </c>
      <c r="J304" t="n">
        <v>129</v>
      </c>
      <c r="K304" t="n">
        <v>1</v>
      </c>
      <c r="L304" t="n">
        <v>576</v>
      </c>
      <c r="M304" t="n">
        <v>0</v>
      </c>
      <c r="N304">
        <f>VLOOKUP(J304,Products!$A$2:$C$49,3,FALSE)</f>
        <v/>
      </c>
      <c r="O304">
        <f>K304*L304-M304</f>
        <v/>
      </c>
      <c r="P304">
        <f>TEXT(B304,"yyyy-mm")</f>
        <v/>
      </c>
      <c r="Q304">
        <f>IF(O304&gt;=3000,"Large","Small")</f>
        <v/>
      </c>
      <c r="R304">
        <f>INDEX(Products!$F$2:$F$49,MATCH(J304,Products!$A$2:$A$49,0))</f>
        <v/>
      </c>
      <c r="S304">
        <f>WEEKDAY(B304,2)</f>
        <v/>
      </c>
    </row>
    <row r="305">
      <c r="A305" t="n">
        <v>509480</v>
      </c>
      <c r="B305" s="6" t="n">
        <v>45936</v>
      </c>
      <c r="C305" t="n">
        <v>12143</v>
      </c>
      <c r="D305" t="inlineStr">
        <is>
          <t>Hyderabad</t>
        </is>
      </c>
      <c r="E305" t="inlineStr">
        <is>
          <t>South</t>
        </is>
      </c>
      <c r="F305" t="inlineStr">
        <is>
          <t>Organic Search</t>
        </is>
      </c>
      <c r="G305" t="inlineStr">
        <is>
          <t>Mobile Web</t>
        </is>
      </c>
      <c r="H305" t="inlineStr">
        <is>
          <t>Cash on Delivery</t>
        </is>
      </c>
      <c r="I305" t="inlineStr">
        <is>
          <t>Delivered</t>
        </is>
      </c>
      <c r="J305" t="n">
        <v>121</v>
      </c>
      <c r="K305" t="n">
        <v>2</v>
      </c>
      <c r="L305" t="n">
        <v>2939</v>
      </c>
      <c r="M305" t="n">
        <v>587.8</v>
      </c>
      <c r="N305">
        <f>VLOOKUP(J305,Products!$A$2:$C$49,3,FALSE)</f>
        <v/>
      </c>
      <c r="O305">
        <f>K305*L305-M305</f>
        <v/>
      </c>
      <c r="P305">
        <f>TEXT(B305,"yyyy-mm")</f>
        <v/>
      </c>
      <c r="Q305">
        <f>IF(O305&gt;=3000,"Large","Small")</f>
        <v/>
      </c>
      <c r="R305">
        <f>INDEX(Products!$F$2:$F$49,MATCH(J305,Products!$A$2:$A$49,0))</f>
        <v/>
      </c>
      <c r="S305">
        <f>WEEKDAY(B305,2)</f>
        <v/>
      </c>
    </row>
    <row r="306">
      <c r="A306" t="n">
        <v>509480</v>
      </c>
      <c r="B306" s="6" t="n">
        <v>45936</v>
      </c>
      <c r="C306" t="n">
        <v>12143</v>
      </c>
      <c r="D306" t="inlineStr">
        <is>
          <t>Hyderabad</t>
        </is>
      </c>
      <c r="E306" t="inlineStr">
        <is>
          <t>South</t>
        </is>
      </c>
      <c r="F306" t="inlineStr">
        <is>
          <t>Organic Search</t>
        </is>
      </c>
      <c r="G306" t="inlineStr">
        <is>
          <t>Mobile Web</t>
        </is>
      </c>
      <c r="H306" t="inlineStr">
        <is>
          <t>Cash on Delivery</t>
        </is>
      </c>
      <c r="I306" t="inlineStr">
        <is>
          <t>Delivered</t>
        </is>
      </c>
      <c r="J306" t="n">
        <v>129</v>
      </c>
      <c r="K306" t="n">
        <v>2</v>
      </c>
      <c r="L306" t="n">
        <v>576</v>
      </c>
      <c r="M306" t="n">
        <v>115.2</v>
      </c>
      <c r="N306">
        <f>VLOOKUP(J306,Products!$A$2:$C$49,3,FALSE)</f>
        <v/>
      </c>
      <c r="O306">
        <f>K306*L306-M306</f>
        <v/>
      </c>
      <c r="P306">
        <f>TEXT(B306,"yyyy-mm")</f>
        <v/>
      </c>
      <c r="Q306">
        <f>IF(O306&gt;=3000,"Large","Small")</f>
        <v/>
      </c>
      <c r="R306">
        <f>INDEX(Products!$F$2:$F$49,MATCH(J306,Products!$A$2:$A$49,0))</f>
        <v/>
      </c>
      <c r="S306">
        <f>WEEKDAY(B306,2)</f>
        <v/>
      </c>
    </row>
    <row r="307">
      <c r="A307" t="n">
        <v>509481</v>
      </c>
      <c r="B307" s="6" t="n">
        <v>45936</v>
      </c>
      <c r="C307" t="n">
        <v>16427</v>
      </c>
      <c r="D307" t="inlineStr">
        <is>
          <t>Delhi</t>
        </is>
      </c>
      <c r="E307" t="inlineStr">
        <is>
          <t>North</t>
        </is>
      </c>
      <c r="F307" t="inlineStr">
        <is>
          <t>Organic Search</t>
        </is>
      </c>
      <c r="G307" t="inlineStr">
        <is>
          <t>Mobile App</t>
        </is>
      </c>
      <c r="H307" t="inlineStr">
        <is>
          <t>Cash on Delivery</t>
        </is>
      </c>
      <c r="I307" t="inlineStr">
        <is>
          <t>Delivered</t>
        </is>
      </c>
      <c r="J307" t="n">
        <v>108</v>
      </c>
      <c r="K307" t="n">
        <v>1</v>
      </c>
      <c r="L307" t="n">
        <v>419</v>
      </c>
      <c r="M307" t="n">
        <v>41.9</v>
      </c>
      <c r="N307">
        <f>VLOOKUP(J307,Products!$A$2:$C$49,3,FALSE)</f>
        <v/>
      </c>
      <c r="O307">
        <f>K307*L307-M307</f>
        <v/>
      </c>
      <c r="P307">
        <f>TEXT(B307,"yyyy-mm")</f>
        <v/>
      </c>
      <c r="Q307">
        <f>IF(O307&gt;=3000,"Large","Small")</f>
        <v/>
      </c>
      <c r="R307">
        <f>INDEX(Products!$F$2:$F$49,MATCH(J307,Products!$A$2:$A$49,0))</f>
        <v/>
      </c>
      <c r="S307">
        <f>WEEKDAY(B307,2)</f>
        <v/>
      </c>
    </row>
    <row r="308">
      <c r="A308" t="n">
        <v>509481</v>
      </c>
      <c r="B308" s="6" t="n">
        <v>45936</v>
      </c>
      <c r="C308" t="n">
        <v>16427</v>
      </c>
      <c r="D308" t="inlineStr">
        <is>
          <t>Delhi</t>
        </is>
      </c>
      <c r="E308" t="inlineStr">
        <is>
          <t>North</t>
        </is>
      </c>
      <c r="F308" t="inlineStr">
        <is>
          <t>Organic Search</t>
        </is>
      </c>
      <c r="G308" t="inlineStr">
        <is>
          <t>Mobile App</t>
        </is>
      </c>
      <c r="H308" t="inlineStr">
        <is>
          <t>Cash on Delivery</t>
        </is>
      </c>
      <c r="I308" t="inlineStr">
        <is>
          <t>Delivered</t>
        </is>
      </c>
      <c r="J308" t="n">
        <v>137</v>
      </c>
      <c r="K308" t="n">
        <v>2</v>
      </c>
      <c r="L308" t="n">
        <v>261</v>
      </c>
      <c r="M308" t="n">
        <v>52.2</v>
      </c>
      <c r="N308">
        <f>VLOOKUP(J308,Products!$A$2:$C$49,3,FALSE)</f>
        <v/>
      </c>
      <c r="O308">
        <f>K308*L308-M308</f>
        <v/>
      </c>
      <c r="P308">
        <f>TEXT(B308,"yyyy-mm")</f>
        <v/>
      </c>
      <c r="Q308">
        <f>IF(O308&gt;=3000,"Large","Small")</f>
        <v/>
      </c>
      <c r="R308">
        <f>INDEX(Products!$F$2:$F$49,MATCH(J308,Products!$A$2:$A$49,0))</f>
        <v/>
      </c>
      <c r="S308">
        <f>WEEKDAY(B308,2)</f>
        <v/>
      </c>
    </row>
    <row r="309">
      <c r="A309" t="n">
        <v>509481</v>
      </c>
      <c r="B309" s="6" t="n">
        <v>45936</v>
      </c>
      <c r="C309" t="n">
        <v>16427</v>
      </c>
      <c r="D309" t="inlineStr">
        <is>
          <t>Delhi</t>
        </is>
      </c>
      <c r="E309" t="inlineStr">
        <is>
          <t>North</t>
        </is>
      </c>
      <c r="F309" t="inlineStr">
        <is>
          <t>Organic Search</t>
        </is>
      </c>
      <c r="G309" t="inlineStr">
        <is>
          <t>Mobile App</t>
        </is>
      </c>
      <c r="H309" t="inlineStr">
        <is>
          <t>Cash on Delivery</t>
        </is>
      </c>
      <c r="I309" t="inlineStr">
        <is>
          <t>Delivered</t>
        </is>
      </c>
      <c r="J309" t="n">
        <v>131</v>
      </c>
      <c r="K309" t="n">
        <v>1</v>
      </c>
      <c r="L309" t="n">
        <v>314</v>
      </c>
      <c r="M309" t="n">
        <v>31.4</v>
      </c>
      <c r="N309">
        <f>VLOOKUP(J309,Products!$A$2:$C$49,3,FALSE)</f>
        <v/>
      </c>
      <c r="O309">
        <f>K309*L309-M309</f>
        <v/>
      </c>
      <c r="P309">
        <f>TEXT(B309,"yyyy-mm")</f>
        <v/>
      </c>
      <c r="Q309">
        <f>IF(O309&gt;=3000,"Large","Small")</f>
        <v/>
      </c>
      <c r="R309">
        <f>INDEX(Products!$F$2:$F$49,MATCH(J309,Products!$A$2:$A$49,0))</f>
        <v/>
      </c>
      <c r="S309">
        <f>WEEKDAY(B309,2)</f>
        <v/>
      </c>
    </row>
    <row r="310">
      <c r="A310" t="n">
        <v>509481</v>
      </c>
      <c r="B310" s="6" t="n">
        <v>45936</v>
      </c>
      <c r="C310" t="n">
        <v>16427</v>
      </c>
      <c r="D310" t="inlineStr">
        <is>
          <t>Delhi</t>
        </is>
      </c>
      <c r="E310" t="inlineStr">
        <is>
          <t>North</t>
        </is>
      </c>
      <c r="F310" t="inlineStr">
        <is>
          <t>Organic Search</t>
        </is>
      </c>
      <c r="G310" t="inlineStr">
        <is>
          <t>Mobile App</t>
        </is>
      </c>
      <c r="H310" t="inlineStr">
        <is>
          <t>Cash on Delivery</t>
        </is>
      </c>
      <c r="I310" t="inlineStr">
        <is>
          <t>Delivered</t>
        </is>
      </c>
      <c r="J310" t="n">
        <v>118</v>
      </c>
      <c r="K310" t="n">
        <v>1</v>
      </c>
      <c r="L310" t="n">
        <v>944</v>
      </c>
      <c r="M310" t="n">
        <v>94.40000000000001</v>
      </c>
      <c r="N310">
        <f>VLOOKUP(J310,Products!$A$2:$C$49,3,FALSE)</f>
        <v/>
      </c>
      <c r="O310">
        <f>K310*L310-M310</f>
        <v/>
      </c>
      <c r="P310">
        <f>TEXT(B310,"yyyy-mm")</f>
        <v/>
      </c>
      <c r="Q310">
        <f>IF(O310&gt;=3000,"Large","Small")</f>
        <v/>
      </c>
      <c r="R310">
        <f>INDEX(Products!$F$2:$F$49,MATCH(J310,Products!$A$2:$A$49,0))</f>
        <v/>
      </c>
      <c r="S310">
        <f>WEEKDAY(B310,2)</f>
        <v/>
      </c>
    </row>
    <row r="311">
      <c r="A311" t="n">
        <v>509482</v>
      </c>
      <c r="B311" s="6" t="n">
        <v>45936</v>
      </c>
      <c r="C311" t="n">
        <v>16563</v>
      </c>
      <c r="D311" t="inlineStr">
        <is>
          <t>Lucknow</t>
        </is>
      </c>
      <c r="E311" t="inlineStr">
        <is>
          <t>North</t>
        </is>
      </c>
      <c r="F311" t="inlineStr">
        <is>
          <t>Organic Search</t>
        </is>
      </c>
      <c r="G311" t="inlineStr">
        <is>
          <t>Mobile App</t>
        </is>
      </c>
      <c r="H311" t="inlineStr">
        <is>
          <t>Debit Card</t>
        </is>
      </c>
      <c r="I311" t="inlineStr">
        <is>
          <t>Delivered</t>
        </is>
      </c>
      <c r="J311" t="n">
        <v>141</v>
      </c>
      <c r="K311" t="n">
        <v>1</v>
      </c>
      <c r="L311" t="n">
        <v>261</v>
      </c>
      <c r="M311" t="n">
        <v>26.1</v>
      </c>
      <c r="N311">
        <f>VLOOKUP(J311,Products!$A$2:$C$49,3,FALSE)</f>
        <v/>
      </c>
      <c r="O311">
        <f>K311*L311-M311</f>
        <v/>
      </c>
      <c r="P311">
        <f>TEXT(B311,"yyyy-mm")</f>
        <v/>
      </c>
      <c r="Q311">
        <f>IF(O311&gt;=3000,"Large","Small")</f>
        <v/>
      </c>
      <c r="R311">
        <f>INDEX(Products!$F$2:$F$49,MATCH(J311,Products!$A$2:$A$49,0))</f>
        <v/>
      </c>
      <c r="S311">
        <f>WEEKDAY(B311,2)</f>
        <v/>
      </c>
    </row>
    <row r="312">
      <c r="A312" t="n">
        <v>509483</v>
      </c>
      <c r="B312" s="6" t="n">
        <v>45936</v>
      </c>
      <c r="C312" t="n">
        <v>16435</v>
      </c>
      <c r="D312" t="inlineStr">
        <is>
          <t>Mumbai</t>
        </is>
      </c>
      <c r="E312" t="inlineStr">
        <is>
          <t>West</t>
        </is>
      </c>
      <c r="F312" t="inlineStr">
        <is>
          <t>Referral</t>
        </is>
      </c>
      <c r="G312" t="inlineStr">
        <is>
          <t>Desktop</t>
        </is>
      </c>
      <c r="H312" t="inlineStr">
        <is>
          <t>UPI</t>
        </is>
      </c>
      <c r="I312" t="inlineStr">
        <is>
          <t>Delivered</t>
        </is>
      </c>
      <c r="J312" t="n">
        <v>128</v>
      </c>
      <c r="K312" t="n">
        <v>1</v>
      </c>
      <c r="L312" t="n">
        <v>1049</v>
      </c>
      <c r="M312" t="n">
        <v>0</v>
      </c>
      <c r="N312">
        <f>VLOOKUP(J312,Products!$A$2:$C$49,3,FALSE)</f>
        <v/>
      </c>
      <c r="O312">
        <f>K312*L312-M312</f>
        <v/>
      </c>
      <c r="P312">
        <f>TEXT(B312,"yyyy-mm")</f>
        <v/>
      </c>
      <c r="Q312">
        <f>IF(O312&gt;=3000,"Large","Small")</f>
        <v/>
      </c>
      <c r="R312">
        <f>INDEX(Products!$F$2:$F$49,MATCH(J312,Products!$A$2:$A$49,0))</f>
        <v/>
      </c>
      <c r="S312">
        <f>WEEKDAY(B312,2)</f>
        <v/>
      </c>
    </row>
    <row r="313">
      <c r="A313" t="n">
        <v>509483</v>
      </c>
      <c r="B313" s="6" t="n">
        <v>45936</v>
      </c>
      <c r="C313" t="n">
        <v>16435</v>
      </c>
      <c r="D313" t="inlineStr">
        <is>
          <t>Mumbai</t>
        </is>
      </c>
      <c r="E313" t="inlineStr">
        <is>
          <t>West</t>
        </is>
      </c>
      <c r="F313" t="inlineStr">
        <is>
          <t>Referral</t>
        </is>
      </c>
      <c r="G313" t="inlineStr">
        <is>
          <t>Desktop</t>
        </is>
      </c>
      <c r="H313" t="inlineStr">
        <is>
          <t>UPI</t>
        </is>
      </c>
      <c r="I313" t="inlineStr">
        <is>
          <t>Delivered</t>
        </is>
      </c>
      <c r="J313" t="n">
        <v>129</v>
      </c>
      <c r="K313" t="n">
        <v>1</v>
      </c>
      <c r="L313" t="n">
        <v>576</v>
      </c>
      <c r="M313" t="n">
        <v>0</v>
      </c>
      <c r="N313">
        <f>VLOOKUP(J313,Products!$A$2:$C$49,3,FALSE)</f>
        <v/>
      </c>
      <c r="O313">
        <f>K313*L313-M313</f>
        <v/>
      </c>
      <c r="P313">
        <f>TEXT(B313,"yyyy-mm")</f>
        <v/>
      </c>
      <c r="Q313">
        <f>IF(O313&gt;=3000,"Large","Small")</f>
        <v/>
      </c>
      <c r="R313">
        <f>INDEX(Products!$F$2:$F$49,MATCH(J313,Products!$A$2:$A$49,0))</f>
        <v/>
      </c>
      <c r="S313">
        <f>WEEKDAY(B313,2)</f>
        <v/>
      </c>
    </row>
    <row r="314">
      <c r="A314" t="n">
        <v>509484</v>
      </c>
      <c r="B314" s="6" t="n">
        <v>45936</v>
      </c>
      <c r="C314" t="n">
        <v>16665</v>
      </c>
      <c r="D314" t="inlineStr">
        <is>
          <t>Bengaluru</t>
        </is>
      </c>
      <c r="E314" t="inlineStr">
        <is>
          <t>South</t>
        </is>
      </c>
      <c r="F314" t="inlineStr">
        <is>
          <t>Organic Search</t>
        </is>
      </c>
      <c r="G314" t="inlineStr">
        <is>
          <t>Mobile App</t>
        </is>
      </c>
      <c r="H314" t="inlineStr">
        <is>
          <t>Net Banking</t>
        </is>
      </c>
      <c r="I314" t="inlineStr">
        <is>
          <t>Delivered</t>
        </is>
      </c>
      <c r="J314" t="n">
        <v>134</v>
      </c>
      <c r="K314" t="n">
        <v>1</v>
      </c>
      <c r="L314" t="n">
        <v>209</v>
      </c>
      <c r="M314" t="n">
        <v>31.35</v>
      </c>
      <c r="N314">
        <f>VLOOKUP(J314,Products!$A$2:$C$49,3,FALSE)</f>
        <v/>
      </c>
      <c r="O314">
        <f>K314*L314-M314</f>
        <v/>
      </c>
      <c r="P314">
        <f>TEXT(B314,"yyyy-mm")</f>
        <v/>
      </c>
      <c r="Q314">
        <f>IF(O314&gt;=3000,"Large","Small")</f>
        <v/>
      </c>
      <c r="R314">
        <f>INDEX(Products!$F$2:$F$49,MATCH(J314,Products!$A$2:$A$49,0))</f>
        <v/>
      </c>
      <c r="S314">
        <f>WEEKDAY(B314,2)</f>
        <v/>
      </c>
    </row>
    <row r="315">
      <c r="A315" t="n">
        <v>509484</v>
      </c>
      <c r="B315" s="6" t="n">
        <v>45936</v>
      </c>
      <c r="C315" t="n">
        <v>16665</v>
      </c>
      <c r="D315" t="inlineStr">
        <is>
          <t>Bengaluru</t>
        </is>
      </c>
      <c r="E315" t="inlineStr">
        <is>
          <t>South</t>
        </is>
      </c>
      <c r="F315" t="inlineStr">
        <is>
          <t>Organic Search</t>
        </is>
      </c>
      <c r="G315" t="inlineStr">
        <is>
          <t>Mobile App</t>
        </is>
      </c>
      <c r="H315" t="inlineStr">
        <is>
          <t>Net Banking</t>
        </is>
      </c>
      <c r="I315" t="inlineStr">
        <is>
          <t>Delivered</t>
        </is>
      </c>
      <c r="J315" t="n">
        <v>136</v>
      </c>
      <c r="K315" t="n">
        <v>1</v>
      </c>
      <c r="L315" t="n">
        <v>944</v>
      </c>
      <c r="M315" t="n">
        <v>141.6</v>
      </c>
      <c r="N315">
        <f>VLOOKUP(J315,Products!$A$2:$C$49,3,FALSE)</f>
        <v/>
      </c>
      <c r="O315">
        <f>K315*L315-M315</f>
        <v/>
      </c>
      <c r="P315">
        <f>TEXT(B315,"yyyy-mm")</f>
        <v/>
      </c>
      <c r="Q315">
        <f>IF(O315&gt;=3000,"Large","Small")</f>
        <v/>
      </c>
      <c r="R315">
        <f>INDEX(Products!$F$2:$F$49,MATCH(J315,Products!$A$2:$A$49,0))</f>
        <v/>
      </c>
      <c r="S315">
        <f>WEEKDAY(B315,2)</f>
        <v/>
      </c>
    </row>
    <row r="316">
      <c r="A316" t="n">
        <v>509484</v>
      </c>
      <c r="B316" s="6" t="n">
        <v>45936</v>
      </c>
      <c r="C316" t="n">
        <v>16665</v>
      </c>
      <c r="D316" t="inlineStr">
        <is>
          <t>Bengaluru</t>
        </is>
      </c>
      <c r="E316" t="inlineStr">
        <is>
          <t>South</t>
        </is>
      </c>
      <c r="F316" t="inlineStr">
        <is>
          <t>Organic Search</t>
        </is>
      </c>
      <c r="G316" t="inlineStr">
        <is>
          <t>Mobile App</t>
        </is>
      </c>
      <c r="H316" t="inlineStr">
        <is>
          <t>Net Banking</t>
        </is>
      </c>
      <c r="I316" t="inlineStr">
        <is>
          <t>Delivered</t>
        </is>
      </c>
      <c r="J316" t="n">
        <v>137</v>
      </c>
      <c r="K316" t="n">
        <v>3</v>
      </c>
      <c r="L316" t="n">
        <v>261</v>
      </c>
      <c r="M316" t="n">
        <v>117.45</v>
      </c>
      <c r="N316">
        <f>VLOOKUP(J316,Products!$A$2:$C$49,3,FALSE)</f>
        <v/>
      </c>
      <c r="O316">
        <f>K316*L316-M316</f>
        <v/>
      </c>
      <c r="P316">
        <f>TEXT(B316,"yyyy-mm")</f>
        <v/>
      </c>
      <c r="Q316">
        <f>IF(O316&gt;=3000,"Large","Small")</f>
        <v/>
      </c>
      <c r="R316">
        <f>INDEX(Products!$F$2:$F$49,MATCH(J316,Products!$A$2:$A$49,0))</f>
        <v/>
      </c>
      <c r="S316">
        <f>WEEKDAY(B316,2)</f>
        <v/>
      </c>
    </row>
    <row r="317">
      <c r="A317" t="n">
        <v>509484</v>
      </c>
      <c r="B317" s="6" t="n">
        <v>45936</v>
      </c>
      <c r="C317" t="n">
        <v>16665</v>
      </c>
      <c r="D317" t="inlineStr">
        <is>
          <t>Bengaluru</t>
        </is>
      </c>
      <c r="E317" t="inlineStr">
        <is>
          <t>South</t>
        </is>
      </c>
      <c r="F317" t="inlineStr">
        <is>
          <t>Organic Search</t>
        </is>
      </c>
      <c r="G317" t="inlineStr">
        <is>
          <t>Mobile App</t>
        </is>
      </c>
      <c r="H317" t="inlineStr">
        <is>
          <t>Net Banking</t>
        </is>
      </c>
      <c r="I317" t="inlineStr">
        <is>
          <t>Delivered</t>
        </is>
      </c>
      <c r="J317" t="n">
        <v>123</v>
      </c>
      <c r="K317" t="n">
        <v>1</v>
      </c>
      <c r="L317" t="n">
        <v>3464</v>
      </c>
      <c r="M317" t="n">
        <v>519.6</v>
      </c>
      <c r="N317">
        <f>VLOOKUP(J317,Products!$A$2:$C$49,3,FALSE)</f>
        <v/>
      </c>
      <c r="O317">
        <f>K317*L317-M317</f>
        <v/>
      </c>
      <c r="P317">
        <f>TEXT(B317,"yyyy-mm")</f>
        <v/>
      </c>
      <c r="Q317">
        <f>IF(O317&gt;=3000,"Large","Small")</f>
        <v/>
      </c>
      <c r="R317">
        <f>INDEX(Products!$F$2:$F$49,MATCH(J317,Products!$A$2:$A$49,0))</f>
        <v/>
      </c>
      <c r="S317">
        <f>WEEKDAY(B317,2)</f>
        <v/>
      </c>
    </row>
    <row r="318">
      <c r="A318" t="n">
        <v>509485</v>
      </c>
      <c r="B318" s="6" t="n">
        <v>45936</v>
      </c>
      <c r="C318" t="n">
        <v>16585</v>
      </c>
      <c r="D318" t="inlineStr">
        <is>
          <t>Mumbai</t>
        </is>
      </c>
      <c r="E318" t="inlineStr">
        <is>
          <t>West</t>
        </is>
      </c>
      <c r="F318" t="inlineStr">
        <is>
          <t>Paid Social</t>
        </is>
      </c>
      <c r="G318" t="inlineStr">
        <is>
          <t>Mobile App</t>
        </is>
      </c>
      <c r="H318" t="inlineStr">
        <is>
          <t>Cash on Delivery</t>
        </is>
      </c>
      <c r="I318" t="inlineStr">
        <is>
          <t>Delivered</t>
        </is>
      </c>
      <c r="J318" t="n">
        <v>137</v>
      </c>
      <c r="K318" t="n">
        <v>1</v>
      </c>
      <c r="L318" t="n">
        <v>261</v>
      </c>
      <c r="M318" t="n">
        <v>39.15</v>
      </c>
      <c r="N318">
        <f>VLOOKUP(J318,Products!$A$2:$C$49,3,FALSE)</f>
        <v/>
      </c>
      <c r="O318">
        <f>K318*L318-M318</f>
        <v/>
      </c>
      <c r="P318">
        <f>TEXT(B318,"yyyy-mm")</f>
        <v/>
      </c>
      <c r="Q318">
        <f>IF(O318&gt;=3000,"Large","Small")</f>
        <v/>
      </c>
      <c r="R318">
        <f>INDEX(Products!$F$2:$F$49,MATCH(J318,Products!$A$2:$A$49,0))</f>
        <v/>
      </c>
      <c r="S318">
        <f>WEEKDAY(B318,2)</f>
        <v/>
      </c>
    </row>
    <row r="319">
      <c r="A319" t="n">
        <v>509486</v>
      </c>
      <c r="B319" s="6" t="n">
        <v>45936</v>
      </c>
      <c r="C319" t="n">
        <v>15595</v>
      </c>
      <c r="D319" t="inlineStr">
        <is>
          <t>Gurugram</t>
        </is>
      </c>
      <c r="E319" t="inlineStr">
        <is>
          <t>North</t>
        </is>
      </c>
      <c r="F319" t="inlineStr">
        <is>
          <t>Paid Social</t>
        </is>
      </c>
      <c r="G319" t="inlineStr">
        <is>
          <t>Mobile Web</t>
        </is>
      </c>
      <c r="H319" t="inlineStr">
        <is>
          <t>UPI</t>
        </is>
      </c>
      <c r="I319" t="inlineStr">
        <is>
          <t>Delivered</t>
        </is>
      </c>
      <c r="J319" t="n">
        <v>130</v>
      </c>
      <c r="K319" t="n">
        <v>1</v>
      </c>
      <c r="L319" t="n">
        <v>734</v>
      </c>
      <c r="M319" t="n">
        <v>0</v>
      </c>
      <c r="N319">
        <f>VLOOKUP(J319,Products!$A$2:$C$49,3,FALSE)</f>
        <v/>
      </c>
      <c r="O319">
        <f>K319*L319-M319</f>
        <v/>
      </c>
      <c r="P319">
        <f>TEXT(B319,"yyyy-mm")</f>
        <v/>
      </c>
      <c r="Q319">
        <f>IF(O319&gt;=3000,"Large","Small")</f>
        <v/>
      </c>
      <c r="R319">
        <f>INDEX(Products!$F$2:$F$49,MATCH(J319,Products!$A$2:$A$49,0))</f>
        <v/>
      </c>
      <c r="S319">
        <f>WEEKDAY(B319,2)</f>
        <v/>
      </c>
    </row>
    <row r="320">
      <c r="A320" t="n">
        <v>509487</v>
      </c>
      <c r="B320" s="6" t="n">
        <v>45936</v>
      </c>
      <c r="C320" t="n">
        <v>16141</v>
      </c>
      <c r="D320" t="inlineStr">
        <is>
          <t>Indore</t>
        </is>
      </c>
      <c r="E320" t="inlineStr">
        <is>
          <t>West</t>
        </is>
      </c>
      <c r="F320" t="inlineStr">
        <is>
          <t>Referral</t>
        </is>
      </c>
      <c r="G320" t="inlineStr">
        <is>
          <t>Mobile App</t>
        </is>
      </c>
      <c r="H320" t="inlineStr">
        <is>
          <t>Cash on Delivery</t>
        </is>
      </c>
      <c r="I320" t="inlineStr">
        <is>
          <t>Delivered</t>
        </is>
      </c>
      <c r="J320" t="n">
        <v>117</v>
      </c>
      <c r="K320" t="n">
        <v>1</v>
      </c>
      <c r="L320" t="n">
        <v>3149</v>
      </c>
      <c r="M320" t="n">
        <v>0</v>
      </c>
      <c r="N320">
        <f>VLOOKUP(J320,Products!$A$2:$C$49,3,FALSE)</f>
        <v/>
      </c>
      <c r="O320">
        <f>K320*L320-M320</f>
        <v/>
      </c>
      <c r="P320">
        <f>TEXT(B320,"yyyy-mm")</f>
        <v/>
      </c>
      <c r="Q320">
        <f>IF(O320&gt;=3000,"Large","Small")</f>
        <v/>
      </c>
      <c r="R320">
        <f>INDEX(Products!$F$2:$F$49,MATCH(J320,Products!$A$2:$A$49,0))</f>
        <v/>
      </c>
      <c r="S320">
        <f>WEEKDAY(B320,2)</f>
        <v/>
      </c>
    </row>
    <row r="321">
      <c r="A321" t="n">
        <v>509487</v>
      </c>
      <c r="B321" s="6" t="n">
        <v>45936</v>
      </c>
      <c r="C321" t="n">
        <v>16141</v>
      </c>
      <c r="D321" t="inlineStr">
        <is>
          <t>Indore</t>
        </is>
      </c>
      <c r="E321" t="inlineStr">
        <is>
          <t>West</t>
        </is>
      </c>
      <c r="F321" t="inlineStr">
        <is>
          <t>Referral</t>
        </is>
      </c>
      <c r="G321" t="inlineStr">
        <is>
          <t>Mobile App</t>
        </is>
      </c>
      <c r="H321" t="inlineStr">
        <is>
          <t>Cash on Delivery</t>
        </is>
      </c>
      <c r="I321" t="inlineStr">
        <is>
          <t>Delivered</t>
        </is>
      </c>
      <c r="J321" t="n">
        <v>129</v>
      </c>
      <c r="K321" t="n">
        <v>1</v>
      </c>
      <c r="L321" t="n">
        <v>576</v>
      </c>
      <c r="M321" t="n">
        <v>0</v>
      </c>
      <c r="N321">
        <f>VLOOKUP(J321,Products!$A$2:$C$49,3,FALSE)</f>
        <v/>
      </c>
      <c r="O321">
        <f>K321*L321-M321</f>
        <v/>
      </c>
      <c r="P321">
        <f>TEXT(B321,"yyyy-mm")</f>
        <v/>
      </c>
      <c r="Q321">
        <f>IF(O321&gt;=3000,"Large","Small")</f>
        <v/>
      </c>
      <c r="R321">
        <f>INDEX(Products!$F$2:$F$49,MATCH(J321,Products!$A$2:$A$49,0))</f>
        <v/>
      </c>
      <c r="S321">
        <f>WEEKDAY(B321,2)</f>
        <v/>
      </c>
    </row>
    <row r="322">
      <c r="A322" t="n">
        <v>509488</v>
      </c>
      <c r="B322" s="6" t="n">
        <v>45936</v>
      </c>
      <c r="C322" t="n">
        <v>16508</v>
      </c>
      <c r="D322" t="inlineStr">
        <is>
          <t>Bengaluru</t>
        </is>
      </c>
      <c r="E322" t="inlineStr">
        <is>
          <t>South</t>
        </is>
      </c>
      <c r="F322" t="inlineStr">
        <is>
          <t>Paid Search</t>
        </is>
      </c>
      <c r="G322" t="inlineStr">
        <is>
          <t>Mobile Web</t>
        </is>
      </c>
      <c r="H322" t="inlineStr">
        <is>
          <t>UPI</t>
        </is>
      </c>
      <c r="I322" t="inlineStr">
        <is>
          <t>Delivered</t>
        </is>
      </c>
      <c r="J322" t="n">
        <v>104</v>
      </c>
      <c r="K322" t="n">
        <v>1</v>
      </c>
      <c r="L322" t="n">
        <v>5249</v>
      </c>
      <c r="M322" t="n">
        <v>524.9</v>
      </c>
      <c r="N322">
        <f>VLOOKUP(J322,Products!$A$2:$C$49,3,FALSE)</f>
        <v/>
      </c>
      <c r="O322">
        <f>K322*L322-M322</f>
        <v/>
      </c>
      <c r="P322">
        <f>TEXT(B322,"yyyy-mm")</f>
        <v/>
      </c>
      <c r="Q322">
        <f>IF(O322&gt;=3000,"Large","Small")</f>
        <v/>
      </c>
      <c r="R322">
        <f>INDEX(Products!$F$2:$F$49,MATCH(J322,Products!$A$2:$A$49,0))</f>
        <v/>
      </c>
      <c r="S322">
        <f>WEEKDAY(B322,2)</f>
        <v/>
      </c>
    </row>
    <row r="323">
      <c r="A323" t="n">
        <v>509488</v>
      </c>
      <c r="B323" s="6" t="n">
        <v>45936</v>
      </c>
      <c r="C323" t="n">
        <v>16508</v>
      </c>
      <c r="D323" t="inlineStr">
        <is>
          <t>Bengaluru</t>
        </is>
      </c>
      <c r="E323" t="inlineStr">
        <is>
          <t>South</t>
        </is>
      </c>
      <c r="F323" t="inlineStr">
        <is>
          <t>Paid Search</t>
        </is>
      </c>
      <c r="G323" t="inlineStr">
        <is>
          <t>Mobile Web</t>
        </is>
      </c>
      <c r="H323" t="inlineStr">
        <is>
          <t>UPI</t>
        </is>
      </c>
      <c r="I323" t="inlineStr">
        <is>
          <t>Delivered</t>
        </is>
      </c>
      <c r="J323" t="n">
        <v>102</v>
      </c>
      <c r="K323" t="n">
        <v>1</v>
      </c>
      <c r="L323" t="n">
        <v>3674</v>
      </c>
      <c r="M323" t="n">
        <v>367.4</v>
      </c>
      <c r="N323">
        <f>VLOOKUP(J323,Products!$A$2:$C$49,3,FALSE)</f>
        <v/>
      </c>
      <c r="O323">
        <f>K323*L323-M323</f>
        <v/>
      </c>
      <c r="P323">
        <f>TEXT(B323,"yyyy-mm")</f>
        <v/>
      </c>
      <c r="Q323">
        <f>IF(O323&gt;=3000,"Large","Small")</f>
        <v/>
      </c>
      <c r="R323">
        <f>INDEX(Products!$F$2:$F$49,MATCH(J323,Products!$A$2:$A$49,0))</f>
        <v/>
      </c>
      <c r="S323">
        <f>WEEKDAY(B323,2)</f>
        <v/>
      </c>
    </row>
    <row r="324">
      <c r="A324" t="n">
        <v>509488</v>
      </c>
      <c r="B324" s="6" t="n">
        <v>45936</v>
      </c>
      <c r="C324" t="n">
        <v>16508</v>
      </c>
      <c r="D324" t="inlineStr">
        <is>
          <t>Bengaluru</t>
        </is>
      </c>
      <c r="E324" t="inlineStr">
        <is>
          <t>South</t>
        </is>
      </c>
      <c r="F324" t="inlineStr">
        <is>
          <t>Paid Search</t>
        </is>
      </c>
      <c r="G324" t="inlineStr">
        <is>
          <t>Mobile Web</t>
        </is>
      </c>
      <c r="H324" t="inlineStr">
        <is>
          <t>UPI</t>
        </is>
      </c>
      <c r="I324" t="inlineStr">
        <is>
          <t>Delivered</t>
        </is>
      </c>
      <c r="J324" t="n">
        <v>134</v>
      </c>
      <c r="K324" t="n">
        <v>2</v>
      </c>
      <c r="L324" t="n">
        <v>209</v>
      </c>
      <c r="M324" t="n">
        <v>41.8</v>
      </c>
      <c r="N324">
        <f>VLOOKUP(J324,Products!$A$2:$C$49,3,FALSE)</f>
        <v/>
      </c>
      <c r="O324">
        <f>K324*L324-M324</f>
        <v/>
      </c>
      <c r="P324">
        <f>TEXT(B324,"yyyy-mm")</f>
        <v/>
      </c>
      <c r="Q324">
        <f>IF(O324&gt;=3000,"Large","Small")</f>
        <v/>
      </c>
      <c r="R324">
        <f>INDEX(Products!$F$2:$F$49,MATCH(J324,Products!$A$2:$A$49,0))</f>
        <v/>
      </c>
      <c r="S324">
        <f>WEEKDAY(B324,2)</f>
        <v/>
      </c>
    </row>
    <row r="325">
      <c r="A325" t="n">
        <v>509488</v>
      </c>
      <c r="B325" s="6" t="n">
        <v>45936</v>
      </c>
      <c r="C325" t="n">
        <v>16508</v>
      </c>
      <c r="D325" t="inlineStr">
        <is>
          <t>Bengaluru</t>
        </is>
      </c>
      <c r="E325" t="inlineStr">
        <is>
          <t>South</t>
        </is>
      </c>
      <c r="F325" t="inlineStr">
        <is>
          <t>Paid Search</t>
        </is>
      </c>
      <c r="G325" t="inlineStr">
        <is>
          <t>Mobile Web</t>
        </is>
      </c>
      <c r="H325" t="inlineStr">
        <is>
          <t>UPI</t>
        </is>
      </c>
      <c r="I325" t="inlineStr">
        <is>
          <t>Delivered</t>
        </is>
      </c>
      <c r="J325" t="n">
        <v>129</v>
      </c>
      <c r="K325" t="n">
        <v>1</v>
      </c>
      <c r="L325" t="n">
        <v>576</v>
      </c>
      <c r="M325" t="n">
        <v>57.6</v>
      </c>
      <c r="N325">
        <f>VLOOKUP(J325,Products!$A$2:$C$49,3,FALSE)</f>
        <v/>
      </c>
      <c r="O325">
        <f>K325*L325-M325</f>
        <v/>
      </c>
      <c r="P325">
        <f>TEXT(B325,"yyyy-mm")</f>
        <v/>
      </c>
      <c r="Q325">
        <f>IF(O325&gt;=3000,"Large","Small")</f>
        <v/>
      </c>
      <c r="R325">
        <f>INDEX(Products!$F$2:$F$49,MATCH(J325,Products!$A$2:$A$49,0))</f>
        <v/>
      </c>
      <c r="S325">
        <f>WEEKDAY(B325,2)</f>
        <v/>
      </c>
    </row>
    <row r="326">
      <c r="A326" t="n">
        <v>509489</v>
      </c>
      <c r="B326" s="6" t="n">
        <v>45936</v>
      </c>
      <c r="C326" t="n">
        <v>16073</v>
      </c>
      <c r="D326" t="inlineStr">
        <is>
          <t>Chennai</t>
        </is>
      </c>
      <c r="E326" t="inlineStr">
        <is>
          <t>South</t>
        </is>
      </c>
      <c r="F326" t="inlineStr">
        <is>
          <t>Affiliate</t>
        </is>
      </c>
      <c r="G326" t="inlineStr">
        <is>
          <t>Mobile Web</t>
        </is>
      </c>
      <c r="H326" t="inlineStr">
        <is>
          <t>UPI</t>
        </is>
      </c>
      <c r="I326" t="inlineStr">
        <is>
          <t>Returned</t>
        </is>
      </c>
      <c r="J326" t="n">
        <v>146</v>
      </c>
      <c r="K326" t="n">
        <v>1</v>
      </c>
      <c r="L326" t="n">
        <v>4724</v>
      </c>
      <c r="M326" t="n">
        <v>472.4</v>
      </c>
      <c r="N326">
        <f>VLOOKUP(J326,Products!$A$2:$C$49,3,FALSE)</f>
        <v/>
      </c>
      <c r="O326">
        <f>K326*L326-M326</f>
        <v/>
      </c>
      <c r="P326">
        <f>TEXT(B326,"yyyy-mm")</f>
        <v/>
      </c>
      <c r="Q326">
        <f>IF(O326&gt;=3000,"Large","Small")</f>
        <v/>
      </c>
      <c r="R326">
        <f>INDEX(Products!$F$2:$F$49,MATCH(J326,Products!$A$2:$A$49,0))</f>
        <v/>
      </c>
      <c r="S326">
        <f>WEEKDAY(B326,2)</f>
        <v/>
      </c>
    </row>
    <row r="327">
      <c r="A327" t="n">
        <v>509489</v>
      </c>
      <c r="B327" s="6" t="n">
        <v>45936</v>
      </c>
      <c r="C327" t="n">
        <v>16073</v>
      </c>
      <c r="D327" t="inlineStr">
        <is>
          <t>Chennai</t>
        </is>
      </c>
      <c r="E327" t="inlineStr">
        <is>
          <t>South</t>
        </is>
      </c>
      <c r="F327" t="inlineStr">
        <is>
          <t>Affiliate</t>
        </is>
      </c>
      <c r="G327" t="inlineStr">
        <is>
          <t>Mobile Web</t>
        </is>
      </c>
      <c r="H327" t="inlineStr">
        <is>
          <t>UPI</t>
        </is>
      </c>
      <c r="I327" t="inlineStr">
        <is>
          <t>Returned</t>
        </is>
      </c>
      <c r="J327" t="n">
        <v>125</v>
      </c>
      <c r="K327" t="n">
        <v>1</v>
      </c>
      <c r="L327" t="n">
        <v>1364</v>
      </c>
      <c r="M327" t="n">
        <v>136.4</v>
      </c>
      <c r="N327">
        <f>VLOOKUP(J327,Products!$A$2:$C$49,3,FALSE)</f>
        <v/>
      </c>
      <c r="O327">
        <f>K327*L327-M327</f>
        <v/>
      </c>
      <c r="P327">
        <f>TEXT(B327,"yyyy-mm")</f>
        <v/>
      </c>
      <c r="Q327">
        <f>IF(O327&gt;=3000,"Large","Small")</f>
        <v/>
      </c>
      <c r="R327">
        <f>INDEX(Products!$F$2:$F$49,MATCH(J327,Products!$A$2:$A$49,0))</f>
        <v/>
      </c>
      <c r="S327">
        <f>WEEKDAY(B327,2)</f>
        <v/>
      </c>
    </row>
    <row r="328">
      <c r="A328" t="n">
        <v>509489</v>
      </c>
      <c r="B328" s="6" t="n">
        <v>45936</v>
      </c>
      <c r="C328" t="n">
        <v>16073</v>
      </c>
      <c r="D328" t="inlineStr">
        <is>
          <t>Chennai</t>
        </is>
      </c>
      <c r="E328" t="inlineStr">
        <is>
          <t>South</t>
        </is>
      </c>
      <c r="F328" t="inlineStr">
        <is>
          <t>Affiliate</t>
        </is>
      </c>
      <c r="G328" t="inlineStr">
        <is>
          <t>Mobile Web</t>
        </is>
      </c>
      <c r="H328" t="inlineStr">
        <is>
          <t>UPI</t>
        </is>
      </c>
      <c r="I328" t="inlineStr">
        <is>
          <t>Returned</t>
        </is>
      </c>
      <c r="J328" t="n">
        <v>143</v>
      </c>
      <c r="K328" t="n">
        <v>1</v>
      </c>
      <c r="L328" t="n">
        <v>839</v>
      </c>
      <c r="M328" t="n">
        <v>83.90000000000001</v>
      </c>
      <c r="N328">
        <f>VLOOKUP(J328,Products!$A$2:$C$49,3,FALSE)</f>
        <v/>
      </c>
      <c r="O328">
        <f>K328*L328-M328</f>
        <v/>
      </c>
      <c r="P328">
        <f>TEXT(B328,"yyyy-mm")</f>
        <v/>
      </c>
      <c r="Q328">
        <f>IF(O328&gt;=3000,"Large","Small")</f>
        <v/>
      </c>
      <c r="R328">
        <f>INDEX(Products!$F$2:$F$49,MATCH(J328,Products!$A$2:$A$49,0))</f>
        <v/>
      </c>
      <c r="S328">
        <f>WEEKDAY(B328,2)</f>
        <v/>
      </c>
    </row>
    <row r="329">
      <c r="A329" t="n">
        <v>509490</v>
      </c>
      <c r="B329" s="6" t="n">
        <v>45936</v>
      </c>
      <c r="C329" t="n">
        <v>16609</v>
      </c>
      <c r="D329" t="inlineStr">
        <is>
          <t>Gurugram</t>
        </is>
      </c>
      <c r="E329" t="inlineStr">
        <is>
          <t>North</t>
        </is>
      </c>
      <c r="F329" t="inlineStr">
        <is>
          <t>Paid Social</t>
        </is>
      </c>
      <c r="G329" t="inlineStr">
        <is>
          <t>Desktop</t>
        </is>
      </c>
      <c r="H329" t="inlineStr">
        <is>
          <t>UPI</t>
        </is>
      </c>
      <c r="I329" t="inlineStr">
        <is>
          <t>Delivered</t>
        </is>
      </c>
      <c r="J329" t="n">
        <v>117</v>
      </c>
      <c r="K329" t="n">
        <v>1</v>
      </c>
      <c r="L329" t="n">
        <v>3149</v>
      </c>
      <c r="M329" t="n">
        <v>472.35</v>
      </c>
      <c r="N329">
        <f>VLOOKUP(J329,Products!$A$2:$C$49,3,FALSE)</f>
        <v/>
      </c>
      <c r="O329">
        <f>K329*L329-M329</f>
        <v/>
      </c>
      <c r="P329">
        <f>TEXT(B329,"yyyy-mm")</f>
        <v/>
      </c>
      <c r="Q329">
        <f>IF(O329&gt;=3000,"Large","Small")</f>
        <v/>
      </c>
      <c r="R329">
        <f>INDEX(Products!$F$2:$F$49,MATCH(J329,Products!$A$2:$A$49,0))</f>
        <v/>
      </c>
      <c r="S329">
        <f>WEEKDAY(B329,2)</f>
        <v/>
      </c>
    </row>
    <row r="330">
      <c r="A330" t="n">
        <v>509491</v>
      </c>
      <c r="B330" s="6" t="n">
        <v>45936</v>
      </c>
      <c r="C330" t="n">
        <v>14870</v>
      </c>
      <c r="D330" t="inlineStr">
        <is>
          <t>Chennai</t>
        </is>
      </c>
      <c r="E330" t="inlineStr">
        <is>
          <t>South</t>
        </is>
      </c>
      <c r="F330" t="inlineStr">
        <is>
          <t>Paid Search</t>
        </is>
      </c>
      <c r="G330" t="inlineStr">
        <is>
          <t>Mobile App</t>
        </is>
      </c>
      <c r="H330" t="inlineStr">
        <is>
          <t>UPI</t>
        </is>
      </c>
      <c r="I330" t="inlineStr">
        <is>
          <t>Delivered</t>
        </is>
      </c>
      <c r="J330" t="n">
        <v>118</v>
      </c>
      <c r="K330" t="n">
        <v>1</v>
      </c>
      <c r="L330" t="n">
        <v>944</v>
      </c>
      <c r="M330" t="n">
        <v>0</v>
      </c>
      <c r="N330">
        <f>VLOOKUP(J330,Products!$A$2:$C$49,3,FALSE)</f>
        <v/>
      </c>
      <c r="O330">
        <f>K330*L330-M330</f>
        <v/>
      </c>
      <c r="P330">
        <f>TEXT(B330,"yyyy-mm")</f>
        <v/>
      </c>
      <c r="Q330">
        <f>IF(O330&gt;=3000,"Large","Small")</f>
        <v/>
      </c>
      <c r="R330">
        <f>INDEX(Products!$F$2:$F$49,MATCH(J330,Products!$A$2:$A$49,0))</f>
        <v/>
      </c>
      <c r="S330">
        <f>WEEKDAY(B330,2)</f>
        <v/>
      </c>
    </row>
    <row r="331">
      <c r="A331" t="n">
        <v>509492</v>
      </c>
      <c r="B331" s="6" t="n">
        <v>45936</v>
      </c>
      <c r="C331" t="n">
        <v>11889</v>
      </c>
      <c r="D331" t="inlineStr">
        <is>
          <t>Lucknow</t>
        </is>
      </c>
      <c r="E331" t="inlineStr">
        <is>
          <t>North</t>
        </is>
      </c>
      <c r="F331" t="inlineStr">
        <is>
          <t>Organic Search</t>
        </is>
      </c>
      <c r="G331" t="inlineStr">
        <is>
          <t>Mobile App</t>
        </is>
      </c>
      <c r="H331" t="inlineStr">
        <is>
          <t>UPI</t>
        </is>
      </c>
      <c r="I331" t="inlineStr">
        <is>
          <t>Delivered</t>
        </is>
      </c>
      <c r="J331" t="n">
        <v>140</v>
      </c>
      <c r="K331" t="n">
        <v>2</v>
      </c>
      <c r="L331" t="n">
        <v>629</v>
      </c>
      <c r="M331" t="n">
        <v>125.8</v>
      </c>
      <c r="N331">
        <f>VLOOKUP(J331,Products!$A$2:$C$49,3,FALSE)</f>
        <v/>
      </c>
      <c r="O331">
        <f>K331*L331-M331</f>
        <v/>
      </c>
      <c r="P331">
        <f>TEXT(B331,"yyyy-mm")</f>
        <v/>
      </c>
      <c r="Q331">
        <f>IF(O331&gt;=3000,"Large","Small")</f>
        <v/>
      </c>
      <c r="R331">
        <f>INDEX(Products!$F$2:$F$49,MATCH(J331,Products!$A$2:$A$49,0))</f>
        <v/>
      </c>
      <c r="S331">
        <f>WEEKDAY(B331,2)</f>
        <v/>
      </c>
    </row>
    <row r="332">
      <c r="A332" t="n">
        <v>509492</v>
      </c>
      <c r="B332" s="6" t="n">
        <v>45936</v>
      </c>
      <c r="C332" t="n">
        <v>11889</v>
      </c>
      <c r="D332" t="inlineStr">
        <is>
          <t>Lucknow</t>
        </is>
      </c>
      <c r="E332" t="inlineStr">
        <is>
          <t>North</t>
        </is>
      </c>
      <c r="F332" t="inlineStr">
        <is>
          <t>Organic Search</t>
        </is>
      </c>
      <c r="G332" t="inlineStr">
        <is>
          <t>Mobile App</t>
        </is>
      </c>
      <c r="H332" t="inlineStr">
        <is>
          <t>UPI</t>
        </is>
      </c>
      <c r="I332" t="inlineStr">
        <is>
          <t>Delivered</t>
        </is>
      </c>
      <c r="J332" t="n">
        <v>104</v>
      </c>
      <c r="K332" t="n">
        <v>1</v>
      </c>
      <c r="L332" t="n">
        <v>5249</v>
      </c>
      <c r="M332" t="n">
        <v>524.9</v>
      </c>
      <c r="N332">
        <f>VLOOKUP(J332,Products!$A$2:$C$49,3,FALSE)</f>
        <v/>
      </c>
      <c r="O332">
        <f>K332*L332-M332</f>
        <v/>
      </c>
      <c r="P332">
        <f>TEXT(B332,"yyyy-mm")</f>
        <v/>
      </c>
      <c r="Q332">
        <f>IF(O332&gt;=3000,"Large","Small")</f>
        <v/>
      </c>
      <c r="R332">
        <f>INDEX(Products!$F$2:$F$49,MATCH(J332,Products!$A$2:$A$49,0))</f>
        <v/>
      </c>
      <c r="S332">
        <f>WEEKDAY(B332,2)</f>
        <v/>
      </c>
    </row>
    <row r="333">
      <c r="A333" t="n">
        <v>509492</v>
      </c>
      <c r="B333" s="6" t="n">
        <v>45936</v>
      </c>
      <c r="C333" t="n">
        <v>11889</v>
      </c>
      <c r="D333" t="inlineStr">
        <is>
          <t>Lucknow</t>
        </is>
      </c>
      <c r="E333" t="inlineStr">
        <is>
          <t>North</t>
        </is>
      </c>
      <c r="F333" t="inlineStr">
        <is>
          <t>Organic Search</t>
        </is>
      </c>
      <c r="G333" t="inlineStr">
        <is>
          <t>Mobile App</t>
        </is>
      </c>
      <c r="H333" t="inlineStr">
        <is>
          <t>UPI</t>
        </is>
      </c>
      <c r="I333" t="inlineStr">
        <is>
          <t>Delivered</t>
        </is>
      </c>
      <c r="J333" t="n">
        <v>129</v>
      </c>
      <c r="K333" t="n">
        <v>1</v>
      </c>
      <c r="L333" t="n">
        <v>576</v>
      </c>
      <c r="M333" t="n">
        <v>57.6</v>
      </c>
      <c r="N333">
        <f>VLOOKUP(J333,Products!$A$2:$C$49,3,FALSE)</f>
        <v/>
      </c>
      <c r="O333">
        <f>K333*L333-M333</f>
        <v/>
      </c>
      <c r="P333">
        <f>TEXT(B333,"yyyy-mm")</f>
        <v/>
      </c>
      <c r="Q333">
        <f>IF(O333&gt;=3000,"Large","Small")</f>
        <v/>
      </c>
      <c r="R333">
        <f>INDEX(Products!$F$2:$F$49,MATCH(J333,Products!$A$2:$A$49,0))</f>
        <v/>
      </c>
      <c r="S333">
        <f>WEEKDAY(B333,2)</f>
        <v/>
      </c>
    </row>
    <row r="334">
      <c r="A334" t="n">
        <v>509493</v>
      </c>
      <c r="B334" s="6" t="n">
        <v>45936</v>
      </c>
      <c r="C334" t="n">
        <v>16120</v>
      </c>
      <c r="D334" t="inlineStr">
        <is>
          <t>Hyderabad</t>
        </is>
      </c>
      <c r="E334" t="inlineStr">
        <is>
          <t>South</t>
        </is>
      </c>
      <c r="F334" t="inlineStr">
        <is>
          <t>Email</t>
        </is>
      </c>
      <c r="G334" t="inlineStr">
        <is>
          <t>Mobile App</t>
        </is>
      </c>
      <c r="H334" t="inlineStr">
        <is>
          <t>Credit Card</t>
        </is>
      </c>
      <c r="I334" t="inlineStr">
        <is>
          <t>Delivered</t>
        </is>
      </c>
      <c r="J334" t="n">
        <v>127</v>
      </c>
      <c r="K334" t="n">
        <v>1</v>
      </c>
      <c r="L334" t="n">
        <v>681</v>
      </c>
      <c r="M334" t="n">
        <v>68.09999999999999</v>
      </c>
      <c r="N334">
        <f>VLOOKUP(J334,Products!$A$2:$C$49,3,FALSE)</f>
        <v/>
      </c>
      <c r="O334">
        <f>K334*L334-M334</f>
        <v/>
      </c>
      <c r="P334">
        <f>TEXT(B334,"yyyy-mm")</f>
        <v/>
      </c>
      <c r="Q334">
        <f>IF(O334&gt;=3000,"Large","Small")</f>
        <v/>
      </c>
      <c r="R334">
        <f>INDEX(Products!$F$2:$F$49,MATCH(J334,Products!$A$2:$A$49,0))</f>
        <v/>
      </c>
      <c r="S334">
        <f>WEEKDAY(B334,2)</f>
        <v/>
      </c>
    </row>
    <row r="335">
      <c r="A335" t="n">
        <v>509494</v>
      </c>
      <c r="B335" s="6" t="n">
        <v>45936</v>
      </c>
      <c r="C335" t="n">
        <v>15758</v>
      </c>
      <c r="D335" t="inlineStr">
        <is>
          <t>Delhi</t>
        </is>
      </c>
      <c r="E335" t="inlineStr">
        <is>
          <t>North</t>
        </is>
      </c>
      <c r="F335" t="inlineStr">
        <is>
          <t>Affiliate</t>
        </is>
      </c>
      <c r="G335" t="inlineStr">
        <is>
          <t>Mobile Web</t>
        </is>
      </c>
      <c r="H335" t="inlineStr">
        <is>
          <t>UPI</t>
        </is>
      </c>
      <c r="I335" t="inlineStr">
        <is>
          <t>Delivered</t>
        </is>
      </c>
      <c r="J335" t="n">
        <v>141</v>
      </c>
      <c r="K335" t="n">
        <v>1</v>
      </c>
      <c r="L335" t="n">
        <v>261</v>
      </c>
      <c r="M335" t="n">
        <v>0</v>
      </c>
      <c r="N335">
        <f>VLOOKUP(J335,Products!$A$2:$C$49,3,FALSE)</f>
        <v/>
      </c>
      <c r="O335">
        <f>K335*L335-M335</f>
        <v/>
      </c>
      <c r="P335">
        <f>TEXT(B335,"yyyy-mm")</f>
        <v/>
      </c>
      <c r="Q335">
        <f>IF(O335&gt;=3000,"Large","Small")</f>
        <v/>
      </c>
      <c r="R335">
        <f>INDEX(Products!$F$2:$F$49,MATCH(J335,Products!$A$2:$A$49,0))</f>
        <v/>
      </c>
      <c r="S335">
        <f>WEEKDAY(B335,2)</f>
        <v/>
      </c>
    </row>
    <row r="336">
      <c r="A336" t="n">
        <v>509494</v>
      </c>
      <c r="B336" s="6" t="n">
        <v>45936</v>
      </c>
      <c r="C336" t="n">
        <v>15758</v>
      </c>
      <c r="D336" t="inlineStr">
        <is>
          <t>Delhi</t>
        </is>
      </c>
      <c r="E336" t="inlineStr">
        <is>
          <t>North</t>
        </is>
      </c>
      <c r="F336" t="inlineStr">
        <is>
          <t>Affiliate</t>
        </is>
      </c>
      <c r="G336" t="inlineStr">
        <is>
          <t>Mobile Web</t>
        </is>
      </c>
      <c r="H336" t="inlineStr">
        <is>
          <t>UPI</t>
        </is>
      </c>
      <c r="I336" t="inlineStr">
        <is>
          <t>Delivered</t>
        </is>
      </c>
      <c r="J336" t="n">
        <v>111</v>
      </c>
      <c r="K336" t="n">
        <v>1</v>
      </c>
      <c r="L336" t="n">
        <v>524</v>
      </c>
      <c r="M336" t="n">
        <v>0</v>
      </c>
      <c r="N336">
        <f>VLOOKUP(J336,Products!$A$2:$C$49,3,FALSE)</f>
        <v/>
      </c>
      <c r="O336">
        <f>K336*L336-M336</f>
        <v/>
      </c>
      <c r="P336">
        <f>TEXT(B336,"yyyy-mm")</f>
        <v/>
      </c>
      <c r="Q336">
        <f>IF(O336&gt;=3000,"Large","Small")</f>
        <v/>
      </c>
      <c r="R336">
        <f>INDEX(Products!$F$2:$F$49,MATCH(J336,Products!$A$2:$A$49,0))</f>
        <v/>
      </c>
      <c r="S336">
        <f>WEEKDAY(B336,2)</f>
        <v/>
      </c>
    </row>
    <row r="337">
      <c r="A337" t="n">
        <v>509495</v>
      </c>
      <c r="B337" s="6" t="n">
        <v>45936</v>
      </c>
      <c r="C337" t="n">
        <v>16611</v>
      </c>
      <c r="D337" t="inlineStr">
        <is>
          <t>Delhi</t>
        </is>
      </c>
      <c r="E337" t="inlineStr">
        <is>
          <t>North</t>
        </is>
      </c>
      <c r="F337" t="inlineStr">
        <is>
          <t>Organic Search</t>
        </is>
      </c>
      <c r="G337" t="inlineStr">
        <is>
          <t>Mobile App</t>
        </is>
      </c>
      <c r="H337" t="inlineStr">
        <is>
          <t>UPI</t>
        </is>
      </c>
      <c r="I337" t="inlineStr">
        <is>
          <t>Delivered</t>
        </is>
      </c>
      <c r="J337" t="n">
        <v>124</v>
      </c>
      <c r="K337" t="n">
        <v>1</v>
      </c>
      <c r="L337" t="n">
        <v>1154</v>
      </c>
      <c r="M337" t="n">
        <v>115.4</v>
      </c>
      <c r="N337">
        <f>VLOOKUP(J337,Products!$A$2:$C$49,3,FALSE)</f>
        <v/>
      </c>
      <c r="O337">
        <f>K337*L337-M337</f>
        <v/>
      </c>
      <c r="P337">
        <f>TEXT(B337,"yyyy-mm")</f>
        <v/>
      </c>
      <c r="Q337">
        <f>IF(O337&gt;=3000,"Large","Small")</f>
        <v/>
      </c>
      <c r="R337">
        <f>INDEX(Products!$F$2:$F$49,MATCH(J337,Products!$A$2:$A$49,0))</f>
        <v/>
      </c>
      <c r="S337">
        <f>WEEKDAY(B337,2)</f>
        <v/>
      </c>
    </row>
    <row r="338">
      <c r="A338" t="n">
        <v>509496</v>
      </c>
      <c r="B338" s="6" t="n">
        <v>45936</v>
      </c>
      <c r="C338" t="n">
        <v>10813</v>
      </c>
      <c r="D338" t="inlineStr">
        <is>
          <t>Jaipur</t>
        </is>
      </c>
      <c r="E338" t="inlineStr">
        <is>
          <t>North</t>
        </is>
      </c>
      <c r="F338" t="inlineStr">
        <is>
          <t>Email</t>
        </is>
      </c>
      <c r="G338" t="inlineStr">
        <is>
          <t>Mobile Web</t>
        </is>
      </c>
      <c r="H338" t="inlineStr">
        <is>
          <t>Cash on Delivery</t>
        </is>
      </c>
      <c r="I338" t="inlineStr">
        <is>
          <t>Delivered</t>
        </is>
      </c>
      <c r="J338" t="n">
        <v>131</v>
      </c>
      <c r="K338" t="n">
        <v>1</v>
      </c>
      <c r="L338" t="n">
        <v>314</v>
      </c>
      <c r="M338" t="n">
        <v>31.4</v>
      </c>
      <c r="N338">
        <f>VLOOKUP(J338,Products!$A$2:$C$49,3,FALSE)</f>
        <v/>
      </c>
      <c r="O338">
        <f>K338*L338-M338</f>
        <v/>
      </c>
      <c r="P338">
        <f>TEXT(B338,"yyyy-mm")</f>
        <v/>
      </c>
      <c r="Q338">
        <f>IF(O338&gt;=3000,"Large","Small")</f>
        <v/>
      </c>
      <c r="R338">
        <f>INDEX(Products!$F$2:$F$49,MATCH(J338,Products!$A$2:$A$49,0))</f>
        <v/>
      </c>
      <c r="S338">
        <f>WEEKDAY(B338,2)</f>
        <v/>
      </c>
    </row>
    <row r="339">
      <c r="A339" t="n">
        <v>509497</v>
      </c>
      <c r="B339" s="6" t="n">
        <v>45936</v>
      </c>
      <c r="C339" t="n">
        <v>16658</v>
      </c>
      <c r="D339" t="inlineStr">
        <is>
          <t>Noida</t>
        </is>
      </c>
      <c r="E339" t="inlineStr">
        <is>
          <t>North</t>
        </is>
      </c>
      <c r="F339" t="inlineStr">
        <is>
          <t>Paid Social</t>
        </is>
      </c>
      <c r="G339" t="inlineStr">
        <is>
          <t>Mobile App</t>
        </is>
      </c>
      <c r="H339" t="inlineStr">
        <is>
          <t>Cash on Delivery</t>
        </is>
      </c>
      <c r="I339" t="inlineStr">
        <is>
          <t>Delivered</t>
        </is>
      </c>
      <c r="J339" t="n">
        <v>131</v>
      </c>
      <c r="K339" t="n">
        <v>2</v>
      </c>
      <c r="L339" t="n">
        <v>314</v>
      </c>
      <c r="M339" t="n">
        <v>94.2</v>
      </c>
      <c r="N339">
        <f>VLOOKUP(J339,Products!$A$2:$C$49,3,FALSE)</f>
        <v/>
      </c>
      <c r="O339">
        <f>K339*L339-M339</f>
        <v/>
      </c>
      <c r="P339">
        <f>TEXT(B339,"yyyy-mm")</f>
        <v/>
      </c>
      <c r="Q339">
        <f>IF(O339&gt;=3000,"Large","Small")</f>
        <v/>
      </c>
      <c r="R339">
        <f>INDEX(Products!$F$2:$F$49,MATCH(J339,Products!$A$2:$A$49,0))</f>
        <v/>
      </c>
      <c r="S339">
        <f>WEEKDAY(B339,2)</f>
        <v/>
      </c>
    </row>
    <row r="340">
      <c r="A340" t="n">
        <v>509497</v>
      </c>
      <c r="B340" s="6" t="n">
        <v>45936</v>
      </c>
      <c r="C340" t="n">
        <v>16658</v>
      </c>
      <c r="D340" t="inlineStr">
        <is>
          <t>Noida</t>
        </is>
      </c>
      <c r="E340" t="inlineStr">
        <is>
          <t>North</t>
        </is>
      </c>
      <c r="F340" t="inlineStr">
        <is>
          <t>Paid Social</t>
        </is>
      </c>
      <c r="G340" t="inlineStr">
        <is>
          <t>Mobile App</t>
        </is>
      </c>
      <c r="H340" t="inlineStr">
        <is>
          <t>Cash on Delivery</t>
        </is>
      </c>
      <c r="I340" t="inlineStr">
        <is>
          <t>Delivered</t>
        </is>
      </c>
      <c r="J340" t="n">
        <v>129</v>
      </c>
      <c r="K340" t="n">
        <v>1</v>
      </c>
      <c r="L340" t="n">
        <v>576</v>
      </c>
      <c r="M340" t="n">
        <v>86.40000000000001</v>
      </c>
      <c r="N340">
        <f>VLOOKUP(J340,Products!$A$2:$C$49,3,FALSE)</f>
        <v/>
      </c>
      <c r="O340">
        <f>K340*L340-M340</f>
        <v/>
      </c>
      <c r="P340">
        <f>TEXT(B340,"yyyy-mm")</f>
        <v/>
      </c>
      <c r="Q340">
        <f>IF(O340&gt;=3000,"Large","Small")</f>
        <v/>
      </c>
      <c r="R340">
        <f>INDEX(Products!$F$2:$F$49,MATCH(J340,Products!$A$2:$A$49,0))</f>
        <v/>
      </c>
      <c r="S340">
        <f>WEEKDAY(B340,2)</f>
        <v/>
      </c>
    </row>
    <row r="341">
      <c r="A341" t="n">
        <v>509498</v>
      </c>
      <c r="B341" s="6" t="n">
        <v>45936</v>
      </c>
      <c r="C341" t="n">
        <v>16555</v>
      </c>
      <c r="D341" t="inlineStr">
        <is>
          <t>Chennai</t>
        </is>
      </c>
      <c r="E341" t="inlineStr">
        <is>
          <t>South</t>
        </is>
      </c>
      <c r="F341" t="inlineStr">
        <is>
          <t>Referral</t>
        </is>
      </c>
      <c r="G341" t="inlineStr">
        <is>
          <t>Mobile Web</t>
        </is>
      </c>
      <c r="H341" t="inlineStr">
        <is>
          <t>UPI</t>
        </is>
      </c>
      <c r="I341" t="inlineStr">
        <is>
          <t>Delivered</t>
        </is>
      </c>
      <c r="J341" t="n">
        <v>111</v>
      </c>
      <c r="K341" t="n">
        <v>1</v>
      </c>
      <c r="L341" t="n">
        <v>524</v>
      </c>
      <c r="M341" t="n">
        <v>0</v>
      </c>
      <c r="N341">
        <f>VLOOKUP(J341,Products!$A$2:$C$49,3,FALSE)</f>
        <v/>
      </c>
      <c r="O341">
        <f>K341*L341-M341</f>
        <v/>
      </c>
      <c r="P341">
        <f>TEXT(B341,"yyyy-mm")</f>
        <v/>
      </c>
      <c r="Q341">
        <f>IF(O341&gt;=3000,"Large","Small")</f>
        <v/>
      </c>
      <c r="R341">
        <f>INDEX(Products!$F$2:$F$49,MATCH(J341,Products!$A$2:$A$49,0))</f>
        <v/>
      </c>
      <c r="S341">
        <f>WEEKDAY(B341,2)</f>
        <v/>
      </c>
    </row>
    <row r="342">
      <c r="A342" t="n">
        <v>509499</v>
      </c>
      <c r="B342" s="6" t="n">
        <v>45936</v>
      </c>
      <c r="C342" t="n">
        <v>12410</v>
      </c>
      <c r="D342" t="inlineStr">
        <is>
          <t>Lucknow</t>
        </is>
      </c>
      <c r="E342" t="inlineStr">
        <is>
          <t>North</t>
        </is>
      </c>
      <c r="F342" t="inlineStr">
        <is>
          <t>Referral</t>
        </is>
      </c>
      <c r="G342" t="inlineStr">
        <is>
          <t>Mobile Web</t>
        </is>
      </c>
      <c r="H342" t="inlineStr">
        <is>
          <t>UPI</t>
        </is>
      </c>
      <c r="I342" t="inlineStr">
        <is>
          <t>Delivered</t>
        </is>
      </c>
      <c r="J342" t="n">
        <v>130</v>
      </c>
      <c r="K342" t="n">
        <v>1</v>
      </c>
      <c r="L342" t="n">
        <v>734</v>
      </c>
      <c r="M342" t="n">
        <v>73.40000000000001</v>
      </c>
      <c r="N342">
        <f>VLOOKUP(J342,Products!$A$2:$C$49,3,FALSE)</f>
        <v/>
      </c>
      <c r="O342">
        <f>K342*L342-M342</f>
        <v/>
      </c>
      <c r="P342">
        <f>TEXT(B342,"yyyy-mm")</f>
        <v/>
      </c>
      <c r="Q342">
        <f>IF(O342&gt;=3000,"Large","Small")</f>
        <v/>
      </c>
      <c r="R342">
        <f>INDEX(Products!$F$2:$F$49,MATCH(J342,Products!$A$2:$A$49,0))</f>
        <v/>
      </c>
      <c r="S342">
        <f>WEEKDAY(B342,2)</f>
        <v/>
      </c>
    </row>
    <row r="343">
      <c r="A343" t="n">
        <v>509499</v>
      </c>
      <c r="B343" s="6" t="n">
        <v>45936</v>
      </c>
      <c r="C343" t="n">
        <v>12410</v>
      </c>
      <c r="D343" t="inlineStr">
        <is>
          <t>Lucknow</t>
        </is>
      </c>
      <c r="E343" t="inlineStr">
        <is>
          <t>North</t>
        </is>
      </c>
      <c r="F343" t="inlineStr">
        <is>
          <t>Referral</t>
        </is>
      </c>
      <c r="G343" t="inlineStr">
        <is>
          <t>Mobile Web</t>
        </is>
      </c>
      <c r="H343" t="inlineStr">
        <is>
          <t>UPI</t>
        </is>
      </c>
      <c r="I343" t="inlineStr">
        <is>
          <t>Delivered</t>
        </is>
      </c>
      <c r="J343" t="n">
        <v>129</v>
      </c>
      <c r="K343" t="n">
        <v>2</v>
      </c>
      <c r="L343" t="n">
        <v>576</v>
      </c>
      <c r="M343" t="n">
        <v>115.2</v>
      </c>
      <c r="N343">
        <f>VLOOKUP(J343,Products!$A$2:$C$49,3,FALSE)</f>
        <v/>
      </c>
      <c r="O343">
        <f>K343*L343-M343</f>
        <v/>
      </c>
      <c r="P343">
        <f>TEXT(B343,"yyyy-mm")</f>
        <v/>
      </c>
      <c r="Q343">
        <f>IF(O343&gt;=3000,"Large","Small")</f>
        <v/>
      </c>
      <c r="R343">
        <f>INDEX(Products!$F$2:$F$49,MATCH(J343,Products!$A$2:$A$49,0))</f>
        <v/>
      </c>
      <c r="S343">
        <f>WEEKDAY(B343,2)</f>
        <v/>
      </c>
    </row>
    <row r="344">
      <c r="A344" t="n">
        <v>509500</v>
      </c>
      <c r="B344" s="6" t="n">
        <v>45937</v>
      </c>
      <c r="C344" t="n">
        <v>16683</v>
      </c>
      <c r="D344" t="inlineStr">
        <is>
          <t>Kochi</t>
        </is>
      </c>
      <c r="E344" t="inlineStr">
        <is>
          <t>South</t>
        </is>
      </c>
      <c r="F344" t="inlineStr">
        <is>
          <t>Paid Social</t>
        </is>
      </c>
      <c r="G344" t="inlineStr">
        <is>
          <t>Mobile Web</t>
        </is>
      </c>
      <c r="H344" t="inlineStr">
        <is>
          <t>UPI</t>
        </is>
      </c>
      <c r="I344" t="inlineStr">
        <is>
          <t>Delivered</t>
        </is>
      </c>
      <c r="J344" t="n">
        <v>119</v>
      </c>
      <c r="K344" t="n">
        <v>1</v>
      </c>
      <c r="L344" t="n">
        <v>2309</v>
      </c>
      <c r="M344" t="n">
        <v>346.35</v>
      </c>
      <c r="N344">
        <f>VLOOKUP(J344,Products!$A$2:$C$49,3,FALSE)</f>
        <v/>
      </c>
      <c r="O344">
        <f>K344*L344-M344</f>
        <v/>
      </c>
      <c r="P344">
        <f>TEXT(B344,"yyyy-mm")</f>
        <v/>
      </c>
      <c r="Q344">
        <f>IF(O344&gt;=3000,"Large","Small")</f>
        <v/>
      </c>
      <c r="R344">
        <f>INDEX(Products!$F$2:$F$49,MATCH(J344,Products!$A$2:$A$49,0))</f>
        <v/>
      </c>
      <c r="S344">
        <f>WEEKDAY(B344,2)</f>
        <v/>
      </c>
    </row>
    <row r="345">
      <c r="A345" t="n">
        <v>509501</v>
      </c>
      <c r="B345" s="6" t="n">
        <v>45937</v>
      </c>
      <c r="C345" t="n">
        <v>12299</v>
      </c>
      <c r="D345" t="inlineStr">
        <is>
          <t>Bengaluru</t>
        </is>
      </c>
      <c r="E345" t="inlineStr">
        <is>
          <t>South</t>
        </is>
      </c>
      <c r="F345" t="inlineStr">
        <is>
          <t>Organic Search</t>
        </is>
      </c>
      <c r="G345" t="inlineStr">
        <is>
          <t>Mobile App</t>
        </is>
      </c>
      <c r="H345" t="inlineStr">
        <is>
          <t>UPI</t>
        </is>
      </c>
      <c r="I345" t="inlineStr">
        <is>
          <t>Delivered</t>
        </is>
      </c>
      <c r="J345" t="n">
        <v>119</v>
      </c>
      <c r="K345" t="n">
        <v>2</v>
      </c>
      <c r="L345" t="n">
        <v>2309</v>
      </c>
      <c r="M345" t="n">
        <v>0</v>
      </c>
      <c r="N345">
        <f>VLOOKUP(J345,Products!$A$2:$C$49,3,FALSE)</f>
        <v/>
      </c>
      <c r="O345">
        <f>K345*L345-M345</f>
        <v/>
      </c>
      <c r="P345">
        <f>TEXT(B345,"yyyy-mm")</f>
        <v/>
      </c>
      <c r="Q345">
        <f>IF(O345&gt;=3000,"Large","Small")</f>
        <v/>
      </c>
      <c r="R345">
        <f>INDEX(Products!$F$2:$F$49,MATCH(J345,Products!$A$2:$A$49,0))</f>
        <v/>
      </c>
      <c r="S345">
        <f>WEEKDAY(B345,2)</f>
        <v/>
      </c>
    </row>
    <row r="346">
      <c r="A346" t="n">
        <v>509502</v>
      </c>
      <c r="B346" s="6" t="n">
        <v>45937</v>
      </c>
      <c r="C346" t="n">
        <v>12692</v>
      </c>
      <c r="D346" t="inlineStr">
        <is>
          <t>Delhi</t>
        </is>
      </c>
      <c r="E346" t="inlineStr">
        <is>
          <t>North</t>
        </is>
      </c>
      <c r="F346" t="inlineStr">
        <is>
          <t>Organic Search</t>
        </is>
      </c>
      <c r="G346" t="inlineStr">
        <is>
          <t>Desktop</t>
        </is>
      </c>
      <c r="H346" t="inlineStr">
        <is>
          <t>Cash on Delivery</t>
        </is>
      </c>
      <c r="I346" t="inlineStr">
        <is>
          <t>Delivered</t>
        </is>
      </c>
      <c r="J346" t="n">
        <v>110</v>
      </c>
      <c r="K346" t="n">
        <v>2</v>
      </c>
      <c r="L346" t="n">
        <v>839</v>
      </c>
      <c r="M346" t="n">
        <v>167.8</v>
      </c>
      <c r="N346">
        <f>VLOOKUP(J346,Products!$A$2:$C$49,3,FALSE)</f>
        <v/>
      </c>
      <c r="O346">
        <f>K346*L346-M346</f>
        <v/>
      </c>
      <c r="P346">
        <f>TEXT(B346,"yyyy-mm")</f>
        <v/>
      </c>
      <c r="Q346">
        <f>IF(O346&gt;=3000,"Large","Small")</f>
        <v/>
      </c>
      <c r="R346">
        <f>INDEX(Products!$F$2:$F$49,MATCH(J346,Products!$A$2:$A$49,0))</f>
        <v/>
      </c>
      <c r="S346">
        <f>WEEKDAY(B346,2)</f>
        <v/>
      </c>
    </row>
    <row r="347">
      <c r="A347" t="n">
        <v>509502</v>
      </c>
      <c r="B347" s="6" t="n">
        <v>45937</v>
      </c>
      <c r="C347" t="n">
        <v>12692</v>
      </c>
      <c r="D347" t="inlineStr">
        <is>
          <t>Delhi</t>
        </is>
      </c>
      <c r="E347" t="inlineStr">
        <is>
          <t>North</t>
        </is>
      </c>
      <c r="F347" t="inlineStr">
        <is>
          <t>Organic Search</t>
        </is>
      </c>
      <c r="G347" t="inlineStr">
        <is>
          <t>Desktop</t>
        </is>
      </c>
      <c r="H347" t="inlineStr">
        <is>
          <t>Cash on Delivery</t>
        </is>
      </c>
      <c r="I347" t="inlineStr">
        <is>
          <t>Delivered</t>
        </is>
      </c>
      <c r="J347" t="n">
        <v>120</v>
      </c>
      <c r="K347" t="n">
        <v>1</v>
      </c>
      <c r="L347" t="n">
        <v>734</v>
      </c>
      <c r="M347" t="n">
        <v>73.40000000000001</v>
      </c>
      <c r="N347">
        <f>VLOOKUP(J347,Products!$A$2:$C$49,3,FALSE)</f>
        <v/>
      </c>
      <c r="O347">
        <f>K347*L347-M347</f>
        <v/>
      </c>
      <c r="P347">
        <f>TEXT(B347,"yyyy-mm")</f>
        <v/>
      </c>
      <c r="Q347">
        <f>IF(O347&gt;=3000,"Large","Small")</f>
        <v/>
      </c>
      <c r="R347">
        <f>INDEX(Products!$F$2:$F$49,MATCH(J347,Products!$A$2:$A$49,0))</f>
        <v/>
      </c>
      <c r="S347">
        <f>WEEKDAY(B347,2)</f>
        <v/>
      </c>
    </row>
    <row r="348">
      <c r="A348" t="n">
        <v>509502</v>
      </c>
      <c r="B348" s="6" t="n">
        <v>45937</v>
      </c>
      <c r="C348" t="n">
        <v>12692</v>
      </c>
      <c r="D348" t="inlineStr">
        <is>
          <t>Delhi</t>
        </is>
      </c>
      <c r="E348" t="inlineStr">
        <is>
          <t>North</t>
        </is>
      </c>
      <c r="F348" t="inlineStr">
        <is>
          <t>Organic Search</t>
        </is>
      </c>
      <c r="G348" t="inlineStr">
        <is>
          <t>Desktop</t>
        </is>
      </c>
      <c r="H348" t="inlineStr">
        <is>
          <t>Cash on Delivery</t>
        </is>
      </c>
      <c r="I348" t="inlineStr">
        <is>
          <t>Delivered</t>
        </is>
      </c>
      <c r="J348" t="n">
        <v>130</v>
      </c>
      <c r="K348" t="n">
        <v>1</v>
      </c>
      <c r="L348" t="n">
        <v>734</v>
      </c>
      <c r="M348" t="n">
        <v>73.40000000000001</v>
      </c>
      <c r="N348">
        <f>VLOOKUP(J348,Products!$A$2:$C$49,3,FALSE)</f>
        <v/>
      </c>
      <c r="O348">
        <f>K348*L348-M348</f>
        <v/>
      </c>
      <c r="P348">
        <f>TEXT(B348,"yyyy-mm")</f>
        <v/>
      </c>
      <c r="Q348">
        <f>IF(O348&gt;=3000,"Large","Small")</f>
        <v/>
      </c>
      <c r="R348">
        <f>INDEX(Products!$F$2:$F$49,MATCH(J348,Products!$A$2:$A$49,0))</f>
        <v/>
      </c>
      <c r="S348">
        <f>WEEKDAY(B348,2)</f>
        <v/>
      </c>
    </row>
    <row r="349">
      <c r="A349" t="n">
        <v>509502</v>
      </c>
      <c r="B349" s="6" t="n">
        <v>45937</v>
      </c>
      <c r="C349" t="n">
        <v>12692</v>
      </c>
      <c r="D349" t="inlineStr">
        <is>
          <t>Delhi</t>
        </is>
      </c>
      <c r="E349" t="inlineStr">
        <is>
          <t>North</t>
        </is>
      </c>
      <c r="F349" t="inlineStr">
        <is>
          <t>Organic Search</t>
        </is>
      </c>
      <c r="G349" t="inlineStr">
        <is>
          <t>Desktop</t>
        </is>
      </c>
      <c r="H349" t="inlineStr">
        <is>
          <t>Cash on Delivery</t>
        </is>
      </c>
      <c r="I349" t="inlineStr">
        <is>
          <t>Delivered</t>
        </is>
      </c>
      <c r="J349" t="n">
        <v>119</v>
      </c>
      <c r="K349" t="n">
        <v>2</v>
      </c>
      <c r="L349" t="n">
        <v>2309</v>
      </c>
      <c r="M349" t="n">
        <v>461.8</v>
      </c>
      <c r="N349">
        <f>VLOOKUP(J349,Products!$A$2:$C$49,3,FALSE)</f>
        <v/>
      </c>
      <c r="O349">
        <f>K349*L349-M349</f>
        <v/>
      </c>
      <c r="P349">
        <f>TEXT(B349,"yyyy-mm")</f>
        <v/>
      </c>
      <c r="Q349">
        <f>IF(O349&gt;=3000,"Large","Small")</f>
        <v/>
      </c>
      <c r="R349">
        <f>INDEX(Products!$F$2:$F$49,MATCH(J349,Products!$A$2:$A$49,0))</f>
        <v/>
      </c>
      <c r="S349">
        <f>WEEKDAY(B349,2)</f>
        <v/>
      </c>
    </row>
    <row r="350">
      <c r="A350" t="n">
        <v>509503</v>
      </c>
      <c r="B350" s="6" t="n">
        <v>45937</v>
      </c>
      <c r="C350" t="n">
        <v>15148</v>
      </c>
      <c r="D350" t="inlineStr">
        <is>
          <t>Hyderabad</t>
        </is>
      </c>
      <c r="E350" t="inlineStr">
        <is>
          <t>South</t>
        </is>
      </c>
      <c r="F350" t="inlineStr">
        <is>
          <t>Organic Search</t>
        </is>
      </c>
      <c r="G350" t="inlineStr">
        <is>
          <t>Mobile Web</t>
        </is>
      </c>
      <c r="H350" t="inlineStr">
        <is>
          <t>Credit Card</t>
        </is>
      </c>
      <c r="I350" t="inlineStr">
        <is>
          <t>Delivered</t>
        </is>
      </c>
      <c r="J350" t="n">
        <v>122</v>
      </c>
      <c r="K350" t="n">
        <v>1</v>
      </c>
      <c r="L350" t="n">
        <v>1994</v>
      </c>
      <c r="M350" t="n">
        <v>199.4</v>
      </c>
      <c r="N350">
        <f>VLOOKUP(J350,Products!$A$2:$C$49,3,FALSE)</f>
        <v/>
      </c>
      <c r="O350">
        <f>K350*L350-M350</f>
        <v/>
      </c>
      <c r="P350">
        <f>TEXT(B350,"yyyy-mm")</f>
        <v/>
      </c>
      <c r="Q350">
        <f>IF(O350&gt;=3000,"Large","Small")</f>
        <v/>
      </c>
      <c r="R350">
        <f>INDEX(Products!$F$2:$F$49,MATCH(J350,Products!$A$2:$A$49,0))</f>
        <v/>
      </c>
      <c r="S350">
        <f>WEEKDAY(B350,2)</f>
        <v/>
      </c>
    </row>
    <row r="351">
      <c r="A351" t="n">
        <v>509503</v>
      </c>
      <c r="B351" s="6" t="n">
        <v>45937</v>
      </c>
      <c r="C351" t="n">
        <v>15148</v>
      </c>
      <c r="D351" t="inlineStr">
        <is>
          <t>Hyderabad</t>
        </is>
      </c>
      <c r="E351" t="inlineStr">
        <is>
          <t>South</t>
        </is>
      </c>
      <c r="F351" t="inlineStr">
        <is>
          <t>Organic Search</t>
        </is>
      </c>
      <c r="G351" t="inlineStr">
        <is>
          <t>Mobile Web</t>
        </is>
      </c>
      <c r="H351" t="inlineStr">
        <is>
          <t>Credit Card</t>
        </is>
      </c>
      <c r="I351" t="inlineStr">
        <is>
          <t>Delivered</t>
        </is>
      </c>
      <c r="J351" t="n">
        <v>129</v>
      </c>
      <c r="K351" t="n">
        <v>1</v>
      </c>
      <c r="L351" t="n">
        <v>576</v>
      </c>
      <c r="M351" t="n">
        <v>57.6</v>
      </c>
      <c r="N351">
        <f>VLOOKUP(J351,Products!$A$2:$C$49,3,FALSE)</f>
        <v/>
      </c>
      <c r="O351">
        <f>K351*L351-M351</f>
        <v/>
      </c>
      <c r="P351">
        <f>TEXT(B351,"yyyy-mm")</f>
        <v/>
      </c>
      <c r="Q351">
        <f>IF(O351&gt;=3000,"Large","Small")</f>
        <v/>
      </c>
      <c r="R351">
        <f>INDEX(Products!$F$2:$F$49,MATCH(J351,Products!$A$2:$A$49,0))</f>
        <v/>
      </c>
      <c r="S351">
        <f>WEEKDAY(B351,2)</f>
        <v/>
      </c>
    </row>
    <row r="352">
      <c r="A352" t="n">
        <v>509504</v>
      </c>
      <c r="B352" s="6" t="n">
        <v>45937</v>
      </c>
      <c r="C352" t="n">
        <v>16647</v>
      </c>
      <c r="D352" t="inlineStr">
        <is>
          <t>Bengaluru</t>
        </is>
      </c>
      <c r="E352" t="inlineStr">
        <is>
          <t>South</t>
        </is>
      </c>
      <c r="F352" t="inlineStr">
        <is>
          <t>Referral</t>
        </is>
      </c>
      <c r="G352" t="inlineStr">
        <is>
          <t>Desktop</t>
        </is>
      </c>
      <c r="H352" t="inlineStr">
        <is>
          <t>Debit Card</t>
        </is>
      </c>
      <c r="I352" t="inlineStr">
        <is>
          <t>Delivered</t>
        </is>
      </c>
      <c r="J352" t="n">
        <v>120</v>
      </c>
      <c r="K352" t="n">
        <v>1</v>
      </c>
      <c r="L352" t="n">
        <v>734</v>
      </c>
      <c r="M352" t="n">
        <v>73.40000000000001</v>
      </c>
      <c r="N352">
        <f>VLOOKUP(J352,Products!$A$2:$C$49,3,FALSE)</f>
        <v/>
      </c>
      <c r="O352">
        <f>K352*L352-M352</f>
        <v/>
      </c>
      <c r="P352">
        <f>TEXT(B352,"yyyy-mm")</f>
        <v/>
      </c>
      <c r="Q352">
        <f>IF(O352&gt;=3000,"Large","Small")</f>
        <v/>
      </c>
      <c r="R352">
        <f>INDEX(Products!$F$2:$F$49,MATCH(J352,Products!$A$2:$A$49,0))</f>
        <v/>
      </c>
      <c r="S352">
        <f>WEEKDAY(B352,2)</f>
        <v/>
      </c>
    </row>
    <row r="353">
      <c r="A353" t="n">
        <v>509504</v>
      </c>
      <c r="B353" s="6" t="n">
        <v>45937</v>
      </c>
      <c r="C353" t="n">
        <v>16647</v>
      </c>
      <c r="D353" t="inlineStr">
        <is>
          <t>Bengaluru</t>
        </is>
      </c>
      <c r="E353" t="inlineStr">
        <is>
          <t>South</t>
        </is>
      </c>
      <c r="F353" t="inlineStr">
        <is>
          <t>Referral</t>
        </is>
      </c>
      <c r="G353" t="inlineStr">
        <is>
          <t>Desktop</t>
        </is>
      </c>
      <c r="H353" t="inlineStr">
        <is>
          <t>Debit Card</t>
        </is>
      </c>
      <c r="I353" t="inlineStr">
        <is>
          <t>Delivered</t>
        </is>
      </c>
      <c r="J353" t="n">
        <v>114</v>
      </c>
      <c r="K353" t="n">
        <v>1</v>
      </c>
      <c r="L353" t="n">
        <v>1259</v>
      </c>
      <c r="M353" t="n">
        <v>125.9</v>
      </c>
      <c r="N353">
        <f>VLOOKUP(J353,Products!$A$2:$C$49,3,FALSE)</f>
        <v/>
      </c>
      <c r="O353">
        <f>K353*L353-M353</f>
        <v/>
      </c>
      <c r="P353">
        <f>TEXT(B353,"yyyy-mm")</f>
        <v/>
      </c>
      <c r="Q353">
        <f>IF(O353&gt;=3000,"Large","Small")</f>
        <v/>
      </c>
      <c r="R353">
        <f>INDEX(Products!$F$2:$F$49,MATCH(J353,Products!$A$2:$A$49,0))</f>
        <v/>
      </c>
      <c r="S353">
        <f>WEEKDAY(B353,2)</f>
        <v/>
      </c>
    </row>
    <row r="354">
      <c r="A354" t="n">
        <v>509504</v>
      </c>
      <c r="B354" s="6" t="n">
        <v>45937</v>
      </c>
      <c r="C354" t="n">
        <v>16647</v>
      </c>
      <c r="D354" t="inlineStr">
        <is>
          <t>Bengaluru</t>
        </is>
      </c>
      <c r="E354" t="inlineStr">
        <is>
          <t>South</t>
        </is>
      </c>
      <c r="F354" t="inlineStr">
        <is>
          <t>Referral</t>
        </is>
      </c>
      <c r="G354" t="inlineStr">
        <is>
          <t>Desktop</t>
        </is>
      </c>
      <c r="H354" t="inlineStr">
        <is>
          <t>Debit Card</t>
        </is>
      </c>
      <c r="I354" t="inlineStr">
        <is>
          <t>Delivered</t>
        </is>
      </c>
      <c r="J354" t="n">
        <v>140</v>
      </c>
      <c r="K354" t="n">
        <v>1</v>
      </c>
      <c r="L354" t="n">
        <v>629</v>
      </c>
      <c r="M354" t="n">
        <v>62.9</v>
      </c>
      <c r="N354">
        <f>VLOOKUP(J354,Products!$A$2:$C$49,3,FALSE)</f>
        <v/>
      </c>
      <c r="O354">
        <f>K354*L354-M354</f>
        <v/>
      </c>
      <c r="P354">
        <f>TEXT(B354,"yyyy-mm")</f>
        <v/>
      </c>
      <c r="Q354">
        <f>IF(O354&gt;=3000,"Large","Small")</f>
        <v/>
      </c>
      <c r="R354">
        <f>INDEX(Products!$F$2:$F$49,MATCH(J354,Products!$A$2:$A$49,0))</f>
        <v/>
      </c>
      <c r="S354">
        <f>WEEKDAY(B354,2)</f>
        <v/>
      </c>
    </row>
    <row r="355">
      <c r="A355" t="n">
        <v>509504</v>
      </c>
      <c r="B355" s="6" t="n">
        <v>45937</v>
      </c>
      <c r="C355" t="n">
        <v>16647</v>
      </c>
      <c r="D355" t="inlineStr">
        <is>
          <t>Bengaluru</t>
        </is>
      </c>
      <c r="E355" t="inlineStr">
        <is>
          <t>South</t>
        </is>
      </c>
      <c r="F355" t="inlineStr">
        <is>
          <t>Referral</t>
        </is>
      </c>
      <c r="G355" t="inlineStr">
        <is>
          <t>Desktop</t>
        </is>
      </c>
      <c r="H355" t="inlineStr">
        <is>
          <t>Debit Card</t>
        </is>
      </c>
      <c r="I355" t="inlineStr">
        <is>
          <t>Delivered</t>
        </is>
      </c>
      <c r="J355" t="n">
        <v>139</v>
      </c>
      <c r="K355" t="n">
        <v>1</v>
      </c>
      <c r="L355" t="n">
        <v>366</v>
      </c>
      <c r="M355" t="n">
        <v>36.6</v>
      </c>
      <c r="N355">
        <f>VLOOKUP(J355,Products!$A$2:$C$49,3,FALSE)</f>
        <v/>
      </c>
      <c r="O355">
        <f>K355*L355-M355</f>
        <v/>
      </c>
      <c r="P355">
        <f>TEXT(B355,"yyyy-mm")</f>
        <v/>
      </c>
      <c r="Q355">
        <f>IF(O355&gt;=3000,"Large","Small")</f>
        <v/>
      </c>
      <c r="R355">
        <f>INDEX(Products!$F$2:$F$49,MATCH(J355,Products!$A$2:$A$49,0))</f>
        <v/>
      </c>
      <c r="S355">
        <f>WEEKDAY(B355,2)</f>
        <v/>
      </c>
    </row>
    <row r="356">
      <c r="A356" t="n">
        <v>509505</v>
      </c>
      <c r="B356" s="6" t="n">
        <v>45937</v>
      </c>
      <c r="C356" t="n">
        <v>15805</v>
      </c>
      <c r="D356" t="inlineStr">
        <is>
          <t>Mumbai</t>
        </is>
      </c>
      <c r="E356" t="inlineStr">
        <is>
          <t>West</t>
        </is>
      </c>
      <c r="F356" t="inlineStr">
        <is>
          <t>Paid Search</t>
        </is>
      </c>
      <c r="G356" t="inlineStr">
        <is>
          <t>Mobile Web</t>
        </is>
      </c>
      <c r="H356" t="inlineStr">
        <is>
          <t>UPI</t>
        </is>
      </c>
      <c r="I356" t="inlineStr">
        <is>
          <t>Delivered</t>
        </is>
      </c>
      <c r="J356" t="n">
        <v>119</v>
      </c>
      <c r="K356" t="n">
        <v>1</v>
      </c>
      <c r="L356" t="n">
        <v>2309</v>
      </c>
      <c r="M356" t="n">
        <v>230.9</v>
      </c>
      <c r="N356">
        <f>VLOOKUP(J356,Products!$A$2:$C$49,3,FALSE)</f>
        <v/>
      </c>
      <c r="O356">
        <f>K356*L356-M356</f>
        <v/>
      </c>
      <c r="P356">
        <f>TEXT(B356,"yyyy-mm")</f>
        <v/>
      </c>
      <c r="Q356">
        <f>IF(O356&gt;=3000,"Large","Small")</f>
        <v/>
      </c>
      <c r="R356">
        <f>INDEX(Products!$F$2:$F$49,MATCH(J356,Products!$A$2:$A$49,0))</f>
        <v/>
      </c>
      <c r="S356">
        <f>WEEKDAY(B356,2)</f>
        <v/>
      </c>
    </row>
    <row r="357">
      <c r="A357" t="n">
        <v>509505</v>
      </c>
      <c r="B357" s="6" t="n">
        <v>45937</v>
      </c>
      <c r="C357" t="n">
        <v>15805</v>
      </c>
      <c r="D357" t="inlineStr">
        <is>
          <t>Mumbai</t>
        </is>
      </c>
      <c r="E357" t="inlineStr">
        <is>
          <t>West</t>
        </is>
      </c>
      <c r="F357" t="inlineStr">
        <is>
          <t>Paid Search</t>
        </is>
      </c>
      <c r="G357" t="inlineStr">
        <is>
          <t>Mobile Web</t>
        </is>
      </c>
      <c r="H357" t="inlineStr">
        <is>
          <t>UPI</t>
        </is>
      </c>
      <c r="I357" t="inlineStr">
        <is>
          <t>Delivered</t>
        </is>
      </c>
      <c r="J357" t="n">
        <v>117</v>
      </c>
      <c r="K357" t="n">
        <v>1</v>
      </c>
      <c r="L357" t="n">
        <v>3149</v>
      </c>
      <c r="M357" t="n">
        <v>314.9</v>
      </c>
      <c r="N357">
        <f>VLOOKUP(J357,Products!$A$2:$C$49,3,FALSE)</f>
        <v/>
      </c>
      <c r="O357">
        <f>K357*L357-M357</f>
        <v/>
      </c>
      <c r="P357">
        <f>TEXT(B357,"yyyy-mm")</f>
        <v/>
      </c>
      <c r="Q357">
        <f>IF(O357&gt;=3000,"Large","Small")</f>
        <v/>
      </c>
      <c r="R357">
        <f>INDEX(Products!$F$2:$F$49,MATCH(J357,Products!$A$2:$A$49,0))</f>
        <v/>
      </c>
      <c r="S357">
        <f>WEEKDAY(B357,2)</f>
        <v/>
      </c>
    </row>
    <row r="358">
      <c r="A358" t="n">
        <v>509506</v>
      </c>
      <c r="B358" s="6" t="n">
        <v>45937</v>
      </c>
      <c r="C358" t="n">
        <v>16445</v>
      </c>
      <c r="D358" t="inlineStr">
        <is>
          <t>Kolkata</t>
        </is>
      </c>
      <c r="E358" t="inlineStr">
        <is>
          <t>East</t>
        </is>
      </c>
      <c r="F358" t="inlineStr">
        <is>
          <t>Organic Search</t>
        </is>
      </c>
      <c r="G358" t="inlineStr">
        <is>
          <t>Mobile App</t>
        </is>
      </c>
      <c r="H358" t="inlineStr">
        <is>
          <t>UPI</t>
        </is>
      </c>
      <c r="I358" t="inlineStr">
        <is>
          <t>Delivered</t>
        </is>
      </c>
      <c r="J358" t="n">
        <v>120</v>
      </c>
      <c r="K358" t="n">
        <v>1</v>
      </c>
      <c r="L358" t="n">
        <v>734</v>
      </c>
      <c r="M358" t="n">
        <v>0</v>
      </c>
      <c r="N358">
        <f>VLOOKUP(J358,Products!$A$2:$C$49,3,FALSE)</f>
        <v/>
      </c>
      <c r="O358">
        <f>K358*L358-M358</f>
        <v/>
      </c>
      <c r="P358">
        <f>TEXT(B358,"yyyy-mm")</f>
        <v/>
      </c>
      <c r="Q358">
        <f>IF(O358&gt;=3000,"Large","Small")</f>
        <v/>
      </c>
      <c r="R358">
        <f>INDEX(Products!$F$2:$F$49,MATCH(J358,Products!$A$2:$A$49,0))</f>
        <v/>
      </c>
      <c r="S358">
        <f>WEEKDAY(B358,2)</f>
        <v/>
      </c>
    </row>
    <row r="359">
      <c r="A359" t="n">
        <v>509506</v>
      </c>
      <c r="B359" s="6" t="n">
        <v>45937</v>
      </c>
      <c r="C359" t="n">
        <v>16445</v>
      </c>
      <c r="D359" t="inlineStr">
        <is>
          <t>Kolkata</t>
        </is>
      </c>
      <c r="E359" t="inlineStr">
        <is>
          <t>East</t>
        </is>
      </c>
      <c r="F359" t="inlineStr">
        <is>
          <t>Organic Search</t>
        </is>
      </c>
      <c r="G359" t="inlineStr">
        <is>
          <t>Mobile App</t>
        </is>
      </c>
      <c r="H359" t="inlineStr">
        <is>
          <t>UPI</t>
        </is>
      </c>
      <c r="I359" t="inlineStr">
        <is>
          <t>Delivered</t>
        </is>
      </c>
      <c r="J359" t="n">
        <v>141</v>
      </c>
      <c r="K359" t="n">
        <v>1</v>
      </c>
      <c r="L359" t="n">
        <v>261</v>
      </c>
      <c r="M359" t="n">
        <v>0</v>
      </c>
      <c r="N359">
        <f>VLOOKUP(J359,Products!$A$2:$C$49,3,FALSE)</f>
        <v/>
      </c>
      <c r="O359">
        <f>K359*L359-M359</f>
        <v/>
      </c>
      <c r="P359">
        <f>TEXT(B359,"yyyy-mm")</f>
        <v/>
      </c>
      <c r="Q359">
        <f>IF(O359&gt;=3000,"Large","Small")</f>
        <v/>
      </c>
      <c r="R359">
        <f>INDEX(Products!$F$2:$F$49,MATCH(J359,Products!$A$2:$A$49,0))</f>
        <v/>
      </c>
      <c r="S359">
        <f>WEEKDAY(B359,2)</f>
        <v/>
      </c>
    </row>
    <row r="360">
      <c r="A360" t="n">
        <v>509507</v>
      </c>
      <c r="B360" s="6" t="n">
        <v>45937</v>
      </c>
      <c r="C360" t="n">
        <v>11589</v>
      </c>
      <c r="D360" t="inlineStr">
        <is>
          <t>Delhi</t>
        </is>
      </c>
      <c r="E360" t="inlineStr">
        <is>
          <t>North</t>
        </is>
      </c>
      <c r="F360" t="inlineStr">
        <is>
          <t>Organic Search</t>
        </is>
      </c>
      <c r="G360" t="inlineStr">
        <is>
          <t>Mobile App</t>
        </is>
      </c>
      <c r="H360" t="inlineStr">
        <is>
          <t>UPI</t>
        </is>
      </c>
      <c r="I360" t="inlineStr">
        <is>
          <t>Delivered</t>
        </is>
      </c>
      <c r="J360" t="n">
        <v>122</v>
      </c>
      <c r="K360" t="n">
        <v>1</v>
      </c>
      <c r="L360" t="n">
        <v>1994</v>
      </c>
      <c r="M360" t="n">
        <v>0</v>
      </c>
      <c r="N360">
        <f>VLOOKUP(J360,Products!$A$2:$C$49,3,FALSE)</f>
        <v/>
      </c>
      <c r="O360">
        <f>K360*L360-M360</f>
        <v/>
      </c>
      <c r="P360">
        <f>TEXT(B360,"yyyy-mm")</f>
        <v/>
      </c>
      <c r="Q360">
        <f>IF(O360&gt;=3000,"Large","Small")</f>
        <v/>
      </c>
      <c r="R360">
        <f>INDEX(Products!$F$2:$F$49,MATCH(J360,Products!$A$2:$A$49,0))</f>
        <v/>
      </c>
      <c r="S360">
        <f>WEEKDAY(B360,2)</f>
        <v/>
      </c>
    </row>
    <row r="361">
      <c r="A361" t="n">
        <v>509508</v>
      </c>
      <c r="B361" s="6" t="n">
        <v>45937</v>
      </c>
      <c r="C361" t="n">
        <v>16159</v>
      </c>
      <c r="D361" t="inlineStr">
        <is>
          <t>Pune</t>
        </is>
      </c>
      <c r="E361" t="inlineStr">
        <is>
          <t>West</t>
        </is>
      </c>
      <c r="F361" t="inlineStr">
        <is>
          <t>Organic Search</t>
        </is>
      </c>
      <c r="G361" t="inlineStr">
        <is>
          <t>Mobile App</t>
        </is>
      </c>
      <c r="H361" t="inlineStr">
        <is>
          <t>UPI</t>
        </is>
      </c>
      <c r="I361" t="inlineStr">
        <is>
          <t>Delivered</t>
        </is>
      </c>
      <c r="J361" t="n">
        <v>111</v>
      </c>
      <c r="K361" t="n">
        <v>1</v>
      </c>
      <c r="L361" t="n">
        <v>524</v>
      </c>
      <c r="M361" t="n">
        <v>52.4</v>
      </c>
      <c r="N361">
        <f>VLOOKUP(J361,Products!$A$2:$C$49,3,FALSE)</f>
        <v/>
      </c>
      <c r="O361">
        <f>K361*L361-M361</f>
        <v/>
      </c>
      <c r="P361">
        <f>TEXT(B361,"yyyy-mm")</f>
        <v/>
      </c>
      <c r="Q361">
        <f>IF(O361&gt;=3000,"Large","Small")</f>
        <v/>
      </c>
      <c r="R361">
        <f>INDEX(Products!$F$2:$F$49,MATCH(J361,Products!$A$2:$A$49,0))</f>
        <v/>
      </c>
      <c r="S361">
        <f>WEEKDAY(B361,2)</f>
        <v/>
      </c>
    </row>
    <row r="362">
      <c r="A362" t="n">
        <v>509508</v>
      </c>
      <c r="B362" s="6" t="n">
        <v>45937</v>
      </c>
      <c r="C362" t="n">
        <v>16159</v>
      </c>
      <c r="D362" t="inlineStr">
        <is>
          <t>Pune</t>
        </is>
      </c>
      <c r="E362" t="inlineStr">
        <is>
          <t>West</t>
        </is>
      </c>
      <c r="F362" t="inlineStr">
        <is>
          <t>Organic Search</t>
        </is>
      </c>
      <c r="G362" t="inlineStr">
        <is>
          <t>Mobile App</t>
        </is>
      </c>
      <c r="H362" t="inlineStr">
        <is>
          <t>UPI</t>
        </is>
      </c>
      <c r="I362" t="inlineStr">
        <is>
          <t>Delivered</t>
        </is>
      </c>
      <c r="J362" t="n">
        <v>126</v>
      </c>
      <c r="K362" t="n">
        <v>1</v>
      </c>
      <c r="L362" t="n">
        <v>471</v>
      </c>
      <c r="M362" t="n">
        <v>47.1</v>
      </c>
      <c r="N362">
        <f>VLOOKUP(J362,Products!$A$2:$C$49,3,FALSE)</f>
        <v/>
      </c>
      <c r="O362">
        <f>K362*L362-M362</f>
        <v/>
      </c>
      <c r="P362">
        <f>TEXT(B362,"yyyy-mm")</f>
        <v/>
      </c>
      <c r="Q362">
        <f>IF(O362&gt;=3000,"Large","Small")</f>
        <v/>
      </c>
      <c r="R362">
        <f>INDEX(Products!$F$2:$F$49,MATCH(J362,Products!$A$2:$A$49,0))</f>
        <v/>
      </c>
      <c r="S362">
        <f>WEEKDAY(B362,2)</f>
        <v/>
      </c>
    </row>
    <row r="363">
      <c r="A363" t="n">
        <v>509508</v>
      </c>
      <c r="B363" s="6" t="n">
        <v>45937</v>
      </c>
      <c r="C363" t="n">
        <v>16159</v>
      </c>
      <c r="D363" t="inlineStr">
        <is>
          <t>Pune</t>
        </is>
      </c>
      <c r="E363" t="inlineStr">
        <is>
          <t>West</t>
        </is>
      </c>
      <c r="F363" t="inlineStr">
        <is>
          <t>Organic Search</t>
        </is>
      </c>
      <c r="G363" t="inlineStr">
        <is>
          <t>Mobile App</t>
        </is>
      </c>
      <c r="H363" t="inlineStr">
        <is>
          <t>UPI</t>
        </is>
      </c>
      <c r="I363" t="inlineStr">
        <is>
          <t>Delivered</t>
        </is>
      </c>
      <c r="J363" t="n">
        <v>108</v>
      </c>
      <c r="K363" t="n">
        <v>1</v>
      </c>
      <c r="L363" t="n">
        <v>419</v>
      </c>
      <c r="M363" t="n">
        <v>41.9</v>
      </c>
      <c r="N363">
        <f>VLOOKUP(J363,Products!$A$2:$C$49,3,FALSE)</f>
        <v/>
      </c>
      <c r="O363">
        <f>K363*L363-M363</f>
        <v/>
      </c>
      <c r="P363">
        <f>TEXT(B363,"yyyy-mm")</f>
        <v/>
      </c>
      <c r="Q363">
        <f>IF(O363&gt;=3000,"Large","Small")</f>
        <v/>
      </c>
      <c r="R363">
        <f>INDEX(Products!$F$2:$F$49,MATCH(J363,Products!$A$2:$A$49,0))</f>
        <v/>
      </c>
      <c r="S363">
        <f>WEEKDAY(B363,2)</f>
        <v/>
      </c>
    </row>
    <row r="364">
      <c r="A364" t="n">
        <v>509508</v>
      </c>
      <c r="B364" s="6" t="n">
        <v>45937</v>
      </c>
      <c r="C364" t="n">
        <v>16159</v>
      </c>
      <c r="D364" t="inlineStr">
        <is>
          <t>Pune</t>
        </is>
      </c>
      <c r="E364" t="inlineStr">
        <is>
          <t>West</t>
        </is>
      </c>
      <c r="F364" t="inlineStr">
        <is>
          <t>Organic Search</t>
        </is>
      </c>
      <c r="G364" t="inlineStr">
        <is>
          <t>Mobile App</t>
        </is>
      </c>
      <c r="H364" t="inlineStr">
        <is>
          <t>UPI</t>
        </is>
      </c>
      <c r="I364" t="inlineStr">
        <is>
          <t>Delivered</t>
        </is>
      </c>
      <c r="J364" t="n">
        <v>129</v>
      </c>
      <c r="K364" t="n">
        <v>2</v>
      </c>
      <c r="L364" t="n">
        <v>576</v>
      </c>
      <c r="M364" t="n">
        <v>115.2</v>
      </c>
      <c r="N364">
        <f>VLOOKUP(J364,Products!$A$2:$C$49,3,FALSE)</f>
        <v/>
      </c>
      <c r="O364">
        <f>K364*L364-M364</f>
        <v/>
      </c>
      <c r="P364">
        <f>TEXT(B364,"yyyy-mm")</f>
        <v/>
      </c>
      <c r="Q364">
        <f>IF(O364&gt;=3000,"Large","Small")</f>
        <v/>
      </c>
      <c r="R364">
        <f>INDEX(Products!$F$2:$F$49,MATCH(J364,Products!$A$2:$A$49,0))</f>
        <v/>
      </c>
      <c r="S364">
        <f>WEEKDAY(B364,2)</f>
        <v/>
      </c>
    </row>
    <row r="365">
      <c r="A365" t="n">
        <v>509509</v>
      </c>
      <c r="B365" s="6" t="n">
        <v>45937</v>
      </c>
      <c r="C365" t="n">
        <v>14511</v>
      </c>
      <c r="D365" t="inlineStr">
        <is>
          <t>Kolkata</t>
        </is>
      </c>
      <c r="E365" t="inlineStr">
        <is>
          <t>East</t>
        </is>
      </c>
      <c r="F365" t="inlineStr">
        <is>
          <t>Referral</t>
        </is>
      </c>
      <c r="G365" t="inlineStr">
        <is>
          <t>Mobile Web</t>
        </is>
      </c>
      <c r="H365" t="inlineStr">
        <is>
          <t>Cash on Delivery</t>
        </is>
      </c>
      <c r="I365" t="inlineStr">
        <is>
          <t>Returned</t>
        </is>
      </c>
      <c r="J365" t="n">
        <v>111</v>
      </c>
      <c r="K365" t="n">
        <v>1</v>
      </c>
      <c r="L365" t="n">
        <v>524</v>
      </c>
      <c r="M365" t="n">
        <v>0</v>
      </c>
      <c r="N365">
        <f>VLOOKUP(J365,Products!$A$2:$C$49,3,FALSE)</f>
        <v/>
      </c>
      <c r="O365">
        <f>K365*L365-M365</f>
        <v/>
      </c>
      <c r="P365">
        <f>TEXT(B365,"yyyy-mm")</f>
        <v/>
      </c>
      <c r="Q365">
        <f>IF(O365&gt;=3000,"Large","Small")</f>
        <v/>
      </c>
      <c r="R365">
        <f>INDEX(Products!$F$2:$F$49,MATCH(J365,Products!$A$2:$A$49,0))</f>
        <v/>
      </c>
      <c r="S365">
        <f>WEEKDAY(B365,2)</f>
        <v/>
      </c>
    </row>
    <row r="366">
      <c r="A366" t="n">
        <v>509509</v>
      </c>
      <c r="B366" s="6" t="n">
        <v>45937</v>
      </c>
      <c r="C366" t="n">
        <v>14511</v>
      </c>
      <c r="D366" t="inlineStr">
        <is>
          <t>Kolkata</t>
        </is>
      </c>
      <c r="E366" t="inlineStr">
        <is>
          <t>East</t>
        </is>
      </c>
      <c r="F366" t="inlineStr">
        <is>
          <t>Referral</t>
        </is>
      </c>
      <c r="G366" t="inlineStr">
        <is>
          <t>Mobile Web</t>
        </is>
      </c>
      <c r="H366" t="inlineStr">
        <is>
          <t>Cash on Delivery</t>
        </is>
      </c>
      <c r="I366" t="inlineStr">
        <is>
          <t>Returned</t>
        </is>
      </c>
      <c r="J366" t="n">
        <v>112</v>
      </c>
      <c r="K366" t="n">
        <v>1</v>
      </c>
      <c r="L366" t="n">
        <v>1574</v>
      </c>
      <c r="M366" t="n">
        <v>0</v>
      </c>
      <c r="N366">
        <f>VLOOKUP(J366,Products!$A$2:$C$49,3,FALSE)</f>
        <v/>
      </c>
      <c r="O366">
        <f>K366*L366-M366</f>
        <v/>
      </c>
      <c r="P366">
        <f>TEXT(B366,"yyyy-mm")</f>
        <v/>
      </c>
      <c r="Q366">
        <f>IF(O366&gt;=3000,"Large","Small")</f>
        <v/>
      </c>
      <c r="R366">
        <f>INDEX(Products!$F$2:$F$49,MATCH(J366,Products!$A$2:$A$49,0))</f>
        <v/>
      </c>
      <c r="S366">
        <f>WEEKDAY(B366,2)</f>
        <v/>
      </c>
    </row>
    <row r="367">
      <c r="A367" t="n">
        <v>509510</v>
      </c>
      <c r="B367" s="6" t="n">
        <v>45937</v>
      </c>
      <c r="C367" t="n">
        <v>16630</v>
      </c>
      <c r="D367" t="inlineStr">
        <is>
          <t>Kolkata</t>
        </is>
      </c>
      <c r="E367" t="inlineStr">
        <is>
          <t>East</t>
        </is>
      </c>
      <c r="F367" t="inlineStr">
        <is>
          <t>Paid Social</t>
        </is>
      </c>
      <c r="G367" t="inlineStr">
        <is>
          <t>Mobile Web</t>
        </is>
      </c>
      <c r="H367" t="inlineStr">
        <is>
          <t>UPI</t>
        </is>
      </c>
      <c r="I367" t="inlineStr">
        <is>
          <t>Delivered</t>
        </is>
      </c>
      <c r="J367" t="n">
        <v>140</v>
      </c>
      <c r="K367" t="n">
        <v>1</v>
      </c>
      <c r="L367" t="n">
        <v>629</v>
      </c>
      <c r="M367" t="n">
        <v>62.9</v>
      </c>
      <c r="N367">
        <f>VLOOKUP(J367,Products!$A$2:$C$49,3,FALSE)</f>
        <v/>
      </c>
      <c r="O367">
        <f>K367*L367-M367</f>
        <v/>
      </c>
      <c r="P367">
        <f>TEXT(B367,"yyyy-mm")</f>
        <v/>
      </c>
      <c r="Q367">
        <f>IF(O367&gt;=3000,"Large","Small")</f>
        <v/>
      </c>
      <c r="R367">
        <f>INDEX(Products!$F$2:$F$49,MATCH(J367,Products!$A$2:$A$49,0))</f>
        <v/>
      </c>
      <c r="S367">
        <f>WEEKDAY(B367,2)</f>
        <v/>
      </c>
    </row>
    <row r="368">
      <c r="A368" t="n">
        <v>509511</v>
      </c>
      <c r="B368" s="6" t="n">
        <v>45937</v>
      </c>
      <c r="C368" t="n">
        <v>10083</v>
      </c>
      <c r="D368" t="inlineStr">
        <is>
          <t>Mumbai</t>
        </is>
      </c>
      <c r="E368" t="inlineStr">
        <is>
          <t>West</t>
        </is>
      </c>
      <c r="F368" t="inlineStr">
        <is>
          <t>Paid Social</t>
        </is>
      </c>
      <c r="G368" t="inlineStr">
        <is>
          <t>Mobile App</t>
        </is>
      </c>
      <c r="H368" t="inlineStr">
        <is>
          <t>UPI</t>
        </is>
      </c>
      <c r="I368" t="inlineStr">
        <is>
          <t>Delivered</t>
        </is>
      </c>
      <c r="J368" t="n">
        <v>132</v>
      </c>
      <c r="K368" t="n">
        <v>1</v>
      </c>
      <c r="L368" t="n">
        <v>471</v>
      </c>
      <c r="M368" t="n">
        <v>0</v>
      </c>
      <c r="N368">
        <f>VLOOKUP(J368,Products!$A$2:$C$49,3,FALSE)</f>
        <v/>
      </c>
      <c r="O368">
        <f>K368*L368-M368</f>
        <v/>
      </c>
      <c r="P368">
        <f>TEXT(B368,"yyyy-mm")</f>
        <v/>
      </c>
      <c r="Q368">
        <f>IF(O368&gt;=3000,"Large","Small")</f>
        <v/>
      </c>
      <c r="R368">
        <f>INDEX(Products!$F$2:$F$49,MATCH(J368,Products!$A$2:$A$49,0))</f>
        <v/>
      </c>
      <c r="S368">
        <f>WEEKDAY(B368,2)</f>
        <v/>
      </c>
    </row>
    <row r="369">
      <c r="A369" t="n">
        <v>509512</v>
      </c>
      <c r="B369" s="6" t="n">
        <v>45937</v>
      </c>
      <c r="C369" t="n">
        <v>13268</v>
      </c>
      <c r="D369" t="inlineStr">
        <is>
          <t>Bengaluru</t>
        </is>
      </c>
      <c r="E369" t="inlineStr">
        <is>
          <t>South</t>
        </is>
      </c>
      <c r="F369" t="inlineStr">
        <is>
          <t>Affiliate</t>
        </is>
      </c>
      <c r="G369" t="inlineStr">
        <is>
          <t>Mobile App</t>
        </is>
      </c>
      <c r="H369" t="inlineStr">
        <is>
          <t>Cash on Delivery</t>
        </is>
      </c>
      <c r="I369" t="inlineStr">
        <is>
          <t>Delivered</t>
        </is>
      </c>
      <c r="J369" t="n">
        <v>119</v>
      </c>
      <c r="K369" t="n">
        <v>1</v>
      </c>
      <c r="L369" t="n">
        <v>2309</v>
      </c>
      <c r="M369" t="n">
        <v>0</v>
      </c>
      <c r="N369">
        <f>VLOOKUP(J369,Products!$A$2:$C$49,3,FALSE)</f>
        <v/>
      </c>
      <c r="O369">
        <f>K369*L369-M369</f>
        <v/>
      </c>
      <c r="P369">
        <f>TEXT(B369,"yyyy-mm")</f>
        <v/>
      </c>
      <c r="Q369">
        <f>IF(O369&gt;=3000,"Large","Small")</f>
        <v/>
      </c>
      <c r="R369">
        <f>INDEX(Products!$F$2:$F$49,MATCH(J369,Products!$A$2:$A$49,0))</f>
        <v/>
      </c>
      <c r="S369">
        <f>WEEKDAY(B369,2)</f>
        <v/>
      </c>
    </row>
    <row r="370">
      <c r="A370" t="n">
        <v>509513</v>
      </c>
      <c r="B370" s="6" t="n">
        <v>45937</v>
      </c>
      <c r="C370" t="n">
        <v>16629</v>
      </c>
      <c r="D370" t="inlineStr">
        <is>
          <t>Kolkata</t>
        </is>
      </c>
      <c r="E370" t="inlineStr">
        <is>
          <t>East</t>
        </is>
      </c>
      <c r="F370" t="inlineStr">
        <is>
          <t>Paid Search</t>
        </is>
      </c>
      <c r="G370" t="inlineStr">
        <is>
          <t>Mobile App</t>
        </is>
      </c>
      <c r="H370" t="inlineStr">
        <is>
          <t>Debit Card</t>
        </is>
      </c>
      <c r="I370" t="inlineStr">
        <is>
          <t>Delivered</t>
        </is>
      </c>
      <c r="J370" t="n">
        <v>104</v>
      </c>
      <c r="K370" t="n">
        <v>1</v>
      </c>
      <c r="L370" t="n">
        <v>5249</v>
      </c>
      <c r="M370" t="n">
        <v>0</v>
      </c>
      <c r="N370">
        <f>VLOOKUP(J370,Products!$A$2:$C$49,3,FALSE)</f>
        <v/>
      </c>
      <c r="O370">
        <f>K370*L370-M370</f>
        <v/>
      </c>
      <c r="P370">
        <f>TEXT(B370,"yyyy-mm")</f>
        <v/>
      </c>
      <c r="Q370">
        <f>IF(O370&gt;=3000,"Large","Small")</f>
        <v/>
      </c>
      <c r="R370">
        <f>INDEX(Products!$F$2:$F$49,MATCH(J370,Products!$A$2:$A$49,0))</f>
        <v/>
      </c>
      <c r="S370">
        <f>WEEKDAY(B370,2)</f>
        <v/>
      </c>
    </row>
    <row r="371">
      <c r="A371" t="n">
        <v>509513</v>
      </c>
      <c r="B371" s="6" t="n">
        <v>45937</v>
      </c>
      <c r="C371" t="n">
        <v>16629</v>
      </c>
      <c r="D371" t="inlineStr">
        <is>
          <t>Kolkata</t>
        </is>
      </c>
      <c r="E371" t="inlineStr">
        <is>
          <t>East</t>
        </is>
      </c>
      <c r="F371" t="inlineStr">
        <is>
          <t>Paid Search</t>
        </is>
      </c>
      <c r="G371" t="inlineStr">
        <is>
          <t>Mobile App</t>
        </is>
      </c>
      <c r="H371" t="inlineStr">
        <is>
          <t>Debit Card</t>
        </is>
      </c>
      <c r="I371" t="inlineStr">
        <is>
          <t>Delivered</t>
        </is>
      </c>
      <c r="J371" t="n">
        <v>130</v>
      </c>
      <c r="K371" t="n">
        <v>1</v>
      </c>
      <c r="L371" t="n">
        <v>734</v>
      </c>
      <c r="M371" t="n">
        <v>0</v>
      </c>
      <c r="N371">
        <f>VLOOKUP(J371,Products!$A$2:$C$49,3,FALSE)</f>
        <v/>
      </c>
      <c r="O371">
        <f>K371*L371-M371</f>
        <v/>
      </c>
      <c r="P371">
        <f>TEXT(B371,"yyyy-mm")</f>
        <v/>
      </c>
      <c r="Q371">
        <f>IF(O371&gt;=3000,"Large","Small")</f>
        <v/>
      </c>
      <c r="R371">
        <f>INDEX(Products!$F$2:$F$49,MATCH(J371,Products!$A$2:$A$49,0))</f>
        <v/>
      </c>
      <c r="S371">
        <f>WEEKDAY(B371,2)</f>
        <v/>
      </c>
    </row>
    <row r="372">
      <c r="A372" t="n">
        <v>509514</v>
      </c>
      <c r="B372" s="6" t="n">
        <v>45937</v>
      </c>
      <c r="C372" t="n">
        <v>16097</v>
      </c>
      <c r="D372" t="inlineStr">
        <is>
          <t>Delhi</t>
        </is>
      </c>
      <c r="E372" t="inlineStr">
        <is>
          <t>North</t>
        </is>
      </c>
      <c r="F372" t="inlineStr">
        <is>
          <t>Paid Search</t>
        </is>
      </c>
      <c r="G372" t="inlineStr">
        <is>
          <t>Mobile App</t>
        </is>
      </c>
      <c r="H372" t="inlineStr">
        <is>
          <t>UPI</t>
        </is>
      </c>
      <c r="I372" t="inlineStr">
        <is>
          <t>Delivered</t>
        </is>
      </c>
      <c r="J372" t="n">
        <v>119</v>
      </c>
      <c r="K372" t="n">
        <v>1</v>
      </c>
      <c r="L372" t="n">
        <v>2309</v>
      </c>
      <c r="M372" t="n">
        <v>230.9</v>
      </c>
      <c r="N372">
        <f>VLOOKUP(J372,Products!$A$2:$C$49,3,FALSE)</f>
        <v/>
      </c>
      <c r="O372">
        <f>K372*L372-M372</f>
        <v/>
      </c>
      <c r="P372">
        <f>TEXT(B372,"yyyy-mm")</f>
        <v/>
      </c>
      <c r="Q372">
        <f>IF(O372&gt;=3000,"Large","Small")</f>
        <v/>
      </c>
      <c r="R372">
        <f>INDEX(Products!$F$2:$F$49,MATCH(J372,Products!$A$2:$A$49,0))</f>
        <v/>
      </c>
      <c r="S372">
        <f>WEEKDAY(B372,2)</f>
        <v/>
      </c>
    </row>
    <row r="373">
      <c r="A373" t="n">
        <v>509514</v>
      </c>
      <c r="B373" s="6" t="n">
        <v>45937</v>
      </c>
      <c r="C373" t="n">
        <v>16097</v>
      </c>
      <c r="D373" t="inlineStr">
        <is>
          <t>Delhi</t>
        </is>
      </c>
      <c r="E373" t="inlineStr">
        <is>
          <t>North</t>
        </is>
      </c>
      <c r="F373" t="inlineStr">
        <is>
          <t>Paid Search</t>
        </is>
      </c>
      <c r="G373" t="inlineStr">
        <is>
          <t>Mobile App</t>
        </is>
      </c>
      <c r="H373" t="inlineStr">
        <is>
          <t>UPI</t>
        </is>
      </c>
      <c r="I373" t="inlineStr">
        <is>
          <t>Delivered</t>
        </is>
      </c>
      <c r="J373" t="n">
        <v>129</v>
      </c>
      <c r="K373" t="n">
        <v>1</v>
      </c>
      <c r="L373" t="n">
        <v>576</v>
      </c>
      <c r="M373" t="n">
        <v>57.6</v>
      </c>
      <c r="N373">
        <f>VLOOKUP(J373,Products!$A$2:$C$49,3,FALSE)</f>
        <v/>
      </c>
      <c r="O373">
        <f>K373*L373-M373</f>
        <v/>
      </c>
      <c r="P373">
        <f>TEXT(B373,"yyyy-mm")</f>
        <v/>
      </c>
      <c r="Q373">
        <f>IF(O373&gt;=3000,"Large","Small")</f>
        <v/>
      </c>
      <c r="R373">
        <f>INDEX(Products!$F$2:$F$49,MATCH(J373,Products!$A$2:$A$49,0))</f>
        <v/>
      </c>
      <c r="S373">
        <f>WEEKDAY(B373,2)</f>
        <v/>
      </c>
    </row>
    <row r="374">
      <c r="A374" t="n">
        <v>509515</v>
      </c>
      <c r="B374" s="6" t="n">
        <v>45937</v>
      </c>
      <c r="C374" t="n">
        <v>14286</v>
      </c>
      <c r="D374" t="inlineStr">
        <is>
          <t>Pune</t>
        </is>
      </c>
      <c r="E374" t="inlineStr">
        <is>
          <t>West</t>
        </is>
      </c>
      <c r="F374" t="inlineStr">
        <is>
          <t>Organic Search</t>
        </is>
      </c>
      <c r="G374" t="inlineStr">
        <is>
          <t>Mobile App</t>
        </is>
      </c>
      <c r="H374" t="inlineStr">
        <is>
          <t>Debit Card</t>
        </is>
      </c>
      <c r="I374" t="inlineStr">
        <is>
          <t>Delivered</t>
        </is>
      </c>
      <c r="J374" t="n">
        <v>102</v>
      </c>
      <c r="K374" t="n">
        <v>1</v>
      </c>
      <c r="L374" t="n">
        <v>3674</v>
      </c>
      <c r="M374" t="n">
        <v>0</v>
      </c>
      <c r="N374">
        <f>VLOOKUP(J374,Products!$A$2:$C$49,3,FALSE)</f>
        <v/>
      </c>
      <c r="O374">
        <f>K374*L374-M374</f>
        <v/>
      </c>
      <c r="P374">
        <f>TEXT(B374,"yyyy-mm")</f>
        <v/>
      </c>
      <c r="Q374">
        <f>IF(O374&gt;=3000,"Large","Small")</f>
        <v/>
      </c>
      <c r="R374">
        <f>INDEX(Products!$F$2:$F$49,MATCH(J374,Products!$A$2:$A$49,0))</f>
        <v/>
      </c>
      <c r="S374">
        <f>WEEKDAY(B374,2)</f>
        <v/>
      </c>
    </row>
    <row r="375">
      <c r="A375" t="n">
        <v>509515</v>
      </c>
      <c r="B375" s="6" t="n">
        <v>45937</v>
      </c>
      <c r="C375" t="n">
        <v>14286</v>
      </c>
      <c r="D375" t="inlineStr">
        <is>
          <t>Pune</t>
        </is>
      </c>
      <c r="E375" t="inlineStr">
        <is>
          <t>West</t>
        </is>
      </c>
      <c r="F375" t="inlineStr">
        <is>
          <t>Organic Search</t>
        </is>
      </c>
      <c r="G375" t="inlineStr">
        <is>
          <t>Mobile App</t>
        </is>
      </c>
      <c r="H375" t="inlineStr">
        <is>
          <t>Debit Card</t>
        </is>
      </c>
      <c r="I375" t="inlineStr">
        <is>
          <t>Delivered</t>
        </is>
      </c>
      <c r="J375" t="n">
        <v>101</v>
      </c>
      <c r="K375" t="n">
        <v>1</v>
      </c>
      <c r="L375" t="n">
        <v>2099</v>
      </c>
      <c r="M375" t="n">
        <v>0</v>
      </c>
      <c r="N375">
        <f>VLOOKUP(J375,Products!$A$2:$C$49,3,FALSE)</f>
        <v/>
      </c>
      <c r="O375">
        <f>K375*L375-M375</f>
        <v/>
      </c>
      <c r="P375">
        <f>TEXT(B375,"yyyy-mm")</f>
        <v/>
      </c>
      <c r="Q375">
        <f>IF(O375&gt;=3000,"Large","Small")</f>
        <v/>
      </c>
      <c r="R375">
        <f>INDEX(Products!$F$2:$F$49,MATCH(J375,Products!$A$2:$A$49,0))</f>
        <v/>
      </c>
      <c r="S375">
        <f>WEEKDAY(B375,2)</f>
        <v/>
      </c>
    </row>
    <row r="376">
      <c r="A376" t="n">
        <v>509515</v>
      </c>
      <c r="B376" s="6" t="n">
        <v>45937</v>
      </c>
      <c r="C376" t="n">
        <v>14286</v>
      </c>
      <c r="D376" t="inlineStr">
        <is>
          <t>Pune</t>
        </is>
      </c>
      <c r="E376" t="inlineStr">
        <is>
          <t>West</t>
        </is>
      </c>
      <c r="F376" t="inlineStr">
        <is>
          <t>Organic Search</t>
        </is>
      </c>
      <c r="G376" t="inlineStr">
        <is>
          <t>Mobile App</t>
        </is>
      </c>
      <c r="H376" t="inlineStr">
        <is>
          <t>Debit Card</t>
        </is>
      </c>
      <c r="I376" t="inlineStr">
        <is>
          <t>Delivered</t>
        </is>
      </c>
      <c r="J376" t="n">
        <v>136</v>
      </c>
      <c r="K376" t="n">
        <v>1</v>
      </c>
      <c r="L376" t="n">
        <v>944</v>
      </c>
      <c r="M376" t="n">
        <v>0</v>
      </c>
      <c r="N376">
        <f>VLOOKUP(J376,Products!$A$2:$C$49,3,FALSE)</f>
        <v/>
      </c>
      <c r="O376">
        <f>K376*L376-M376</f>
        <v/>
      </c>
      <c r="P376">
        <f>TEXT(B376,"yyyy-mm")</f>
        <v/>
      </c>
      <c r="Q376">
        <f>IF(O376&gt;=3000,"Large","Small")</f>
        <v/>
      </c>
      <c r="R376">
        <f>INDEX(Products!$F$2:$F$49,MATCH(J376,Products!$A$2:$A$49,0))</f>
        <v/>
      </c>
      <c r="S376">
        <f>WEEKDAY(B376,2)</f>
        <v/>
      </c>
    </row>
    <row r="377">
      <c r="A377" t="n">
        <v>509516</v>
      </c>
      <c r="B377" s="6" t="n">
        <v>45937</v>
      </c>
      <c r="C377" t="n">
        <v>16596</v>
      </c>
      <c r="D377" t="inlineStr">
        <is>
          <t>Pune</t>
        </is>
      </c>
      <c r="E377" t="inlineStr">
        <is>
          <t>West</t>
        </is>
      </c>
      <c r="F377" t="inlineStr">
        <is>
          <t>Paid Search</t>
        </is>
      </c>
      <c r="G377" t="inlineStr">
        <is>
          <t>Mobile Web</t>
        </is>
      </c>
      <c r="H377" t="inlineStr">
        <is>
          <t>Credit Card</t>
        </is>
      </c>
      <c r="I377" t="inlineStr">
        <is>
          <t>Returned</t>
        </is>
      </c>
      <c r="J377" t="n">
        <v>114</v>
      </c>
      <c r="K377" t="n">
        <v>1</v>
      </c>
      <c r="L377" t="n">
        <v>1259</v>
      </c>
      <c r="M377" t="n">
        <v>188.85</v>
      </c>
      <c r="N377">
        <f>VLOOKUP(J377,Products!$A$2:$C$49,3,FALSE)</f>
        <v/>
      </c>
      <c r="O377">
        <f>K377*L377-M377</f>
        <v/>
      </c>
      <c r="P377">
        <f>TEXT(B377,"yyyy-mm")</f>
        <v/>
      </c>
      <c r="Q377">
        <f>IF(O377&gt;=3000,"Large","Small")</f>
        <v/>
      </c>
      <c r="R377">
        <f>INDEX(Products!$F$2:$F$49,MATCH(J377,Products!$A$2:$A$49,0))</f>
        <v/>
      </c>
      <c r="S377">
        <f>WEEKDAY(B377,2)</f>
        <v/>
      </c>
    </row>
    <row r="378">
      <c r="A378" t="n">
        <v>509517</v>
      </c>
      <c r="B378" s="6" t="n">
        <v>45937</v>
      </c>
      <c r="C378" t="n">
        <v>13091</v>
      </c>
      <c r="D378" t="inlineStr">
        <is>
          <t>Kolkata</t>
        </is>
      </c>
      <c r="E378" t="inlineStr">
        <is>
          <t>East</t>
        </is>
      </c>
      <c r="F378" t="inlineStr">
        <is>
          <t>Affiliate</t>
        </is>
      </c>
      <c r="G378" t="inlineStr">
        <is>
          <t>Desktop</t>
        </is>
      </c>
      <c r="H378" t="inlineStr">
        <is>
          <t>Credit Card</t>
        </is>
      </c>
      <c r="I378" t="inlineStr">
        <is>
          <t>Delivered</t>
        </is>
      </c>
      <c r="J378" t="n">
        <v>138</v>
      </c>
      <c r="K378" t="n">
        <v>1</v>
      </c>
      <c r="L378" t="n">
        <v>419</v>
      </c>
      <c r="M378" t="n">
        <v>0</v>
      </c>
      <c r="N378">
        <f>VLOOKUP(J378,Products!$A$2:$C$49,3,FALSE)</f>
        <v/>
      </c>
      <c r="O378">
        <f>K378*L378-M378</f>
        <v/>
      </c>
      <c r="P378">
        <f>TEXT(B378,"yyyy-mm")</f>
        <v/>
      </c>
      <c r="Q378">
        <f>IF(O378&gt;=3000,"Large","Small")</f>
        <v/>
      </c>
      <c r="R378">
        <f>INDEX(Products!$F$2:$F$49,MATCH(J378,Products!$A$2:$A$49,0))</f>
        <v/>
      </c>
      <c r="S378">
        <f>WEEKDAY(B378,2)</f>
        <v/>
      </c>
    </row>
    <row r="379">
      <c r="A379" t="n">
        <v>509517</v>
      </c>
      <c r="B379" s="6" t="n">
        <v>45937</v>
      </c>
      <c r="C379" t="n">
        <v>13091</v>
      </c>
      <c r="D379" t="inlineStr">
        <is>
          <t>Kolkata</t>
        </is>
      </c>
      <c r="E379" t="inlineStr">
        <is>
          <t>East</t>
        </is>
      </c>
      <c r="F379" t="inlineStr">
        <is>
          <t>Affiliate</t>
        </is>
      </c>
      <c r="G379" t="inlineStr">
        <is>
          <t>Desktop</t>
        </is>
      </c>
      <c r="H379" t="inlineStr">
        <is>
          <t>Credit Card</t>
        </is>
      </c>
      <c r="I379" t="inlineStr">
        <is>
          <t>Delivered</t>
        </is>
      </c>
      <c r="J379" t="n">
        <v>103</v>
      </c>
      <c r="K379" t="n">
        <v>1</v>
      </c>
      <c r="L379" t="n">
        <v>2624</v>
      </c>
      <c r="M379" t="n">
        <v>0</v>
      </c>
      <c r="N379">
        <f>VLOOKUP(J379,Products!$A$2:$C$49,3,FALSE)</f>
        <v/>
      </c>
      <c r="O379">
        <f>K379*L379-M379</f>
        <v/>
      </c>
      <c r="P379">
        <f>TEXT(B379,"yyyy-mm")</f>
        <v/>
      </c>
      <c r="Q379">
        <f>IF(O379&gt;=3000,"Large","Small")</f>
        <v/>
      </c>
      <c r="R379">
        <f>INDEX(Products!$F$2:$F$49,MATCH(J379,Products!$A$2:$A$49,0))</f>
        <v/>
      </c>
      <c r="S379">
        <f>WEEKDAY(B379,2)</f>
        <v/>
      </c>
    </row>
    <row r="380">
      <c r="A380" t="n">
        <v>509517</v>
      </c>
      <c r="B380" s="6" t="n">
        <v>45937</v>
      </c>
      <c r="C380" t="n">
        <v>13091</v>
      </c>
      <c r="D380" t="inlineStr">
        <is>
          <t>Kolkata</t>
        </is>
      </c>
      <c r="E380" t="inlineStr">
        <is>
          <t>East</t>
        </is>
      </c>
      <c r="F380" t="inlineStr">
        <is>
          <t>Affiliate</t>
        </is>
      </c>
      <c r="G380" t="inlineStr">
        <is>
          <t>Desktop</t>
        </is>
      </c>
      <c r="H380" t="inlineStr">
        <is>
          <t>Credit Card</t>
        </is>
      </c>
      <c r="I380" t="inlineStr">
        <is>
          <t>Delivered</t>
        </is>
      </c>
      <c r="J380" t="n">
        <v>116</v>
      </c>
      <c r="K380" t="n">
        <v>2</v>
      </c>
      <c r="L380" t="n">
        <v>2624</v>
      </c>
      <c r="M380" t="n">
        <v>0</v>
      </c>
      <c r="N380">
        <f>VLOOKUP(J380,Products!$A$2:$C$49,3,FALSE)</f>
        <v/>
      </c>
      <c r="O380">
        <f>K380*L380-M380</f>
        <v/>
      </c>
      <c r="P380">
        <f>TEXT(B380,"yyyy-mm")</f>
        <v/>
      </c>
      <c r="Q380">
        <f>IF(O380&gt;=3000,"Large","Small")</f>
        <v/>
      </c>
      <c r="R380">
        <f>INDEX(Products!$F$2:$F$49,MATCH(J380,Products!$A$2:$A$49,0))</f>
        <v/>
      </c>
      <c r="S380">
        <f>WEEKDAY(B380,2)</f>
        <v/>
      </c>
    </row>
    <row r="381">
      <c r="A381" t="n">
        <v>509517</v>
      </c>
      <c r="B381" s="6" t="n">
        <v>45937</v>
      </c>
      <c r="C381" t="n">
        <v>13091</v>
      </c>
      <c r="D381" t="inlineStr">
        <is>
          <t>Kolkata</t>
        </is>
      </c>
      <c r="E381" t="inlineStr">
        <is>
          <t>East</t>
        </is>
      </c>
      <c r="F381" t="inlineStr">
        <is>
          <t>Affiliate</t>
        </is>
      </c>
      <c r="G381" t="inlineStr">
        <is>
          <t>Desktop</t>
        </is>
      </c>
      <c r="H381" t="inlineStr">
        <is>
          <t>Credit Card</t>
        </is>
      </c>
      <c r="I381" t="inlineStr">
        <is>
          <t>Delivered</t>
        </is>
      </c>
      <c r="J381" t="n">
        <v>137</v>
      </c>
      <c r="K381" t="n">
        <v>3</v>
      </c>
      <c r="L381" t="n">
        <v>261</v>
      </c>
      <c r="M381" t="n">
        <v>0</v>
      </c>
      <c r="N381">
        <f>VLOOKUP(J381,Products!$A$2:$C$49,3,FALSE)</f>
        <v/>
      </c>
      <c r="O381">
        <f>K381*L381-M381</f>
        <v/>
      </c>
      <c r="P381">
        <f>TEXT(B381,"yyyy-mm")</f>
        <v/>
      </c>
      <c r="Q381">
        <f>IF(O381&gt;=3000,"Large","Small")</f>
        <v/>
      </c>
      <c r="R381">
        <f>INDEX(Products!$F$2:$F$49,MATCH(J381,Products!$A$2:$A$49,0))</f>
        <v/>
      </c>
      <c r="S381">
        <f>WEEKDAY(B381,2)</f>
        <v/>
      </c>
    </row>
    <row r="382">
      <c r="A382" t="n">
        <v>509518</v>
      </c>
      <c r="B382" s="6" t="n">
        <v>45937</v>
      </c>
      <c r="C382" t="n">
        <v>16385</v>
      </c>
      <c r="D382" t="inlineStr">
        <is>
          <t>Mumbai</t>
        </is>
      </c>
      <c r="E382" t="inlineStr">
        <is>
          <t>West</t>
        </is>
      </c>
      <c r="F382" t="inlineStr">
        <is>
          <t>Paid Social</t>
        </is>
      </c>
      <c r="G382" t="inlineStr">
        <is>
          <t>Desktop</t>
        </is>
      </c>
      <c r="H382" t="inlineStr">
        <is>
          <t>UPI</t>
        </is>
      </c>
      <c r="I382" t="inlineStr">
        <is>
          <t>Delivered</t>
        </is>
      </c>
      <c r="J382" t="n">
        <v>116</v>
      </c>
      <c r="K382" t="n">
        <v>1</v>
      </c>
      <c r="L382" t="n">
        <v>2624</v>
      </c>
      <c r="M382" t="n">
        <v>0</v>
      </c>
      <c r="N382">
        <f>VLOOKUP(J382,Products!$A$2:$C$49,3,FALSE)</f>
        <v/>
      </c>
      <c r="O382">
        <f>K382*L382-M382</f>
        <v/>
      </c>
      <c r="P382">
        <f>TEXT(B382,"yyyy-mm")</f>
        <v/>
      </c>
      <c r="Q382">
        <f>IF(O382&gt;=3000,"Large","Small")</f>
        <v/>
      </c>
      <c r="R382">
        <f>INDEX(Products!$F$2:$F$49,MATCH(J382,Products!$A$2:$A$49,0))</f>
        <v/>
      </c>
      <c r="S382">
        <f>WEEKDAY(B382,2)</f>
        <v/>
      </c>
    </row>
    <row r="383">
      <c r="A383" t="n">
        <v>509518</v>
      </c>
      <c r="B383" s="6" t="n">
        <v>45937</v>
      </c>
      <c r="C383" t="n">
        <v>16385</v>
      </c>
      <c r="D383" t="inlineStr">
        <is>
          <t>Mumbai</t>
        </is>
      </c>
      <c r="E383" t="inlineStr">
        <is>
          <t>West</t>
        </is>
      </c>
      <c r="F383" t="inlineStr">
        <is>
          <t>Paid Social</t>
        </is>
      </c>
      <c r="G383" t="inlineStr">
        <is>
          <t>Desktop</t>
        </is>
      </c>
      <c r="H383" t="inlineStr">
        <is>
          <t>UPI</t>
        </is>
      </c>
      <c r="I383" t="inlineStr">
        <is>
          <t>Delivered</t>
        </is>
      </c>
      <c r="J383" t="n">
        <v>129</v>
      </c>
      <c r="K383" t="n">
        <v>2</v>
      </c>
      <c r="L383" t="n">
        <v>576</v>
      </c>
      <c r="M383" t="n">
        <v>0</v>
      </c>
      <c r="N383">
        <f>VLOOKUP(J383,Products!$A$2:$C$49,3,FALSE)</f>
        <v/>
      </c>
      <c r="O383">
        <f>K383*L383-M383</f>
        <v/>
      </c>
      <c r="P383">
        <f>TEXT(B383,"yyyy-mm")</f>
        <v/>
      </c>
      <c r="Q383">
        <f>IF(O383&gt;=3000,"Large","Small")</f>
        <v/>
      </c>
      <c r="R383">
        <f>INDEX(Products!$F$2:$F$49,MATCH(J383,Products!$A$2:$A$49,0))</f>
        <v/>
      </c>
      <c r="S383">
        <f>WEEKDAY(B383,2)</f>
        <v/>
      </c>
    </row>
    <row r="384">
      <c r="A384" t="n">
        <v>509519</v>
      </c>
      <c r="B384" s="6" t="n">
        <v>45937</v>
      </c>
      <c r="C384" t="n">
        <v>13557</v>
      </c>
      <c r="D384" t="inlineStr">
        <is>
          <t>Delhi</t>
        </is>
      </c>
      <c r="E384" t="inlineStr">
        <is>
          <t>North</t>
        </is>
      </c>
      <c r="F384" t="inlineStr">
        <is>
          <t>Referral</t>
        </is>
      </c>
      <c r="G384" t="inlineStr">
        <is>
          <t>Mobile App</t>
        </is>
      </c>
      <c r="H384" t="inlineStr">
        <is>
          <t>UPI</t>
        </is>
      </c>
      <c r="I384" t="inlineStr">
        <is>
          <t>Delivered</t>
        </is>
      </c>
      <c r="J384" t="n">
        <v>112</v>
      </c>
      <c r="K384" t="n">
        <v>3</v>
      </c>
      <c r="L384" t="n">
        <v>1574</v>
      </c>
      <c r="M384" t="n">
        <v>0</v>
      </c>
      <c r="N384">
        <f>VLOOKUP(J384,Products!$A$2:$C$49,3,FALSE)</f>
        <v/>
      </c>
      <c r="O384">
        <f>K384*L384-M384</f>
        <v/>
      </c>
      <c r="P384">
        <f>TEXT(B384,"yyyy-mm")</f>
        <v/>
      </c>
      <c r="Q384">
        <f>IF(O384&gt;=3000,"Large","Small")</f>
        <v/>
      </c>
      <c r="R384">
        <f>INDEX(Products!$F$2:$F$49,MATCH(J384,Products!$A$2:$A$49,0))</f>
        <v/>
      </c>
      <c r="S384">
        <f>WEEKDAY(B384,2)</f>
        <v/>
      </c>
    </row>
    <row r="385">
      <c r="A385" t="n">
        <v>509519</v>
      </c>
      <c r="B385" s="6" t="n">
        <v>45937</v>
      </c>
      <c r="C385" t="n">
        <v>13557</v>
      </c>
      <c r="D385" t="inlineStr">
        <is>
          <t>Delhi</t>
        </is>
      </c>
      <c r="E385" t="inlineStr">
        <is>
          <t>North</t>
        </is>
      </c>
      <c r="F385" t="inlineStr">
        <is>
          <t>Referral</t>
        </is>
      </c>
      <c r="G385" t="inlineStr">
        <is>
          <t>Mobile App</t>
        </is>
      </c>
      <c r="H385" t="inlineStr">
        <is>
          <t>UPI</t>
        </is>
      </c>
      <c r="I385" t="inlineStr">
        <is>
          <t>Delivered</t>
        </is>
      </c>
      <c r="J385" t="n">
        <v>102</v>
      </c>
      <c r="K385" t="n">
        <v>2</v>
      </c>
      <c r="L385" t="n">
        <v>3674</v>
      </c>
      <c r="M385" t="n">
        <v>0</v>
      </c>
      <c r="N385">
        <f>VLOOKUP(J385,Products!$A$2:$C$49,3,FALSE)</f>
        <v/>
      </c>
      <c r="O385">
        <f>K385*L385-M385</f>
        <v/>
      </c>
      <c r="P385">
        <f>TEXT(B385,"yyyy-mm")</f>
        <v/>
      </c>
      <c r="Q385">
        <f>IF(O385&gt;=3000,"Large","Small")</f>
        <v/>
      </c>
      <c r="R385">
        <f>INDEX(Products!$F$2:$F$49,MATCH(J385,Products!$A$2:$A$49,0))</f>
        <v/>
      </c>
      <c r="S385">
        <f>WEEKDAY(B385,2)</f>
        <v/>
      </c>
    </row>
    <row r="386">
      <c r="A386" t="n">
        <v>509520</v>
      </c>
      <c r="B386" s="6" t="n">
        <v>45937</v>
      </c>
      <c r="C386" t="n">
        <v>16551</v>
      </c>
      <c r="D386" t="inlineStr">
        <is>
          <t>Chandigarh</t>
        </is>
      </c>
      <c r="E386" t="inlineStr">
        <is>
          <t>North</t>
        </is>
      </c>
      <c r="F386" t="inlineStr">
        <is>
          <t>Paid Social</t>
        </is>
      </c>
      <c r="G386" t="inlineStr">
        <is>
          <t>Mobile App</t>
        </is>
      </c>
      <c r="H386" t="inlineStr">
        <is>
          <t>UPI</t>
        </is>
      </c>
      <c r="I386" t="inlineStr">
        <is>
          <t>Cancelled</t>
        </is>
      </c>
      <c r="J386" t="n">
        <v>109</v>
      </c>
      <c r="K386" t="n">
        <v>2</v>
      </c>
      <c r="L386" t="n">
        <v>4199</v>
      </c>
      <c r="M386" t="n">
        <v>0</v>
      </c>
      <c r="N386">
        <f>VLOOKUP(J386,Products!$A$2:$C$49,3,FALSE)</f>
        <v/>
      </c>
      <c r="O386">
        <f>K386*L386-M386</f>
        <v/>
      </c>
      <c r="P386">
        <f>TEXT(B386,"yyyy-mm")</f>
        <v/>
      </c>
      <c r="Q386">
        <f>IF(O386&gt;=3000,"Large","Small")</f>
        <v/>
      </c>
      <c r="R386">
        <f>INDEX(Products!$F$2:$F$49,MATCH(J386,Products!$A$2:$A$49,0))</f>
        <v/>
      </c>
      <c r="S386">
        <f>WEEKDAY(B386,2)</f>
        <v/>
      </c>
    </row>
    <row r="387">
      <c r="A387" t="n">
        <v>509521</v>
      </c>
      <c r="B387" s="6" t="n">
        <v>45937</v>
      </c>
      <c r="C387" t="n">
        <v>12002</v>
      </c>
      <c r="D387" t="inlineStr">
        <is>
          <t>Delhi</t>
        </is>
      </c>
      <c r="E387" t="inlineStr">
        <is>
          <t>North</t>
        </is>
      </c>
      <c r="F387" t="inlineStr">
        <is>
          <t>Affiliate</t>
        </is>
      </c>
      <c r="G387" t="inlineStr">
        <is>
          <t>Desktop</t>
        </is>
      </c>
      <c r="H387" t="inlineStr">
        <is>
          <t>Credit Card</t>
        </is>
      </c>
      <c r="I387" t="inlineStr">
        <is>
          <t>Delivered</t>
        </is>
      </c>
      <c r="J387" t="n">
        <v>109</v>
      </c>
      <c r="K387" t="n">
        <v>1</v>
      </c>
      <c r="L387" t="n">
        <v>4199</v>
      </c>
      <c r="M387" t="n">
        <v>0</v>
      </c>
      <c r="N387">
        <f>VLOOKUP(J387,Products!$A$2:$C$49,3,FALSE)</f>
        <v/>
      </c>
      <c r="O387">
        <f>K387*L387-M387</f>
        <v/>
      </c>
      <c r="P387">
        <f>TEXT(B387,"yyyy-mm")</f>
        <v/>
      </c>
      <c r="Q387">
        <f>IF(O387&gt;=3000,"Large","Small")</f>
        <v/>
      </c>
      <c r="R387">
        <f>INDEX(Products!$F$2:$F$49,MATCH(J387,Products!$A$2:$A$49,0))</f>
        <v/>
      </c>
      <c r="S387">
        <f>WEEKDAY(B387,2)</f>
        <v/>
      </c>
    </row>
    <row r="388">
      <c r="A388" t="n">
        <v>509522</v>
      </c>
      <c r="B388" s="6" t="n">
        <v>45937</v>
      </c>
      <c r="C388" t="n">
        <v>15574</v>
      </c>
      <c r="D388" t="inlineStr">
        <is>
          <t>Chennai</t>
        </is>
      </c>
      <c r="E388" t="inlineStr">
        <is>
          <t>South</t>
        </is>
      </c>
      <c r="F388" t="inlineStr">
        <is>
          <t>Referral</t>
        </is>
      </c>
      <c r="G388" t="inlineStr">
        <is>
          <t>Mobile Web</t>
        </is>
      </c>
      <c r="H388" t="inlineStr">
        <is>
          <t>Debit Card</t>
        </is>
      </c>
      <c r="I388" t="inlineStr">
        <is>
          <t>Delivered</t>
        </is>
      </c>
      <c r="J388" t="n">
        <v>132</v>
      </c>
      <c r="K388" t="n">
        <v>1</v>
      </c>
      <c r="L388" t="n">
        <v>471</v>
      </c>
      <c r="M388" t="n">
        <v>47.1</v>
      </c>
      <c r="N388">
        <f>VLOOKUP(J388,Products!$A$2:$C$49,3,FALSE)</f>
        <v/>
      </c>
      <c r="O388">
        <f>K388*L388-M388</f>
        <v/>
      </c>
      <c r="P388">
        <f>TEXT(B388,"yyyy-mm")</f>
        <v/>
      </c>
      <c r="Q388">
        <f>IF(O388&gt;=3000,"Large","Small")</f>
        <v/>
      </c>
      <c r="R388">
        <f>INDEX(Products!$F$2:$F$49,MATCH(J388,Products!$A$2:$A$49,0))</f>
        <v/>
      </c>
      <c r="S388">
        <f>WEEKDAY(B388,2)</f>
        <v/>
      </c>
    </row>
    <row r="389">
      <c r="A389" t="n">
        <v>509522</v>
      </c>
      <c r="B389" s="6" t="n">
        <v>45937</v>
      </c>
      <c r="C389" t="n">
        <v>15574</v>
      </c>
      <c r="D389" t="inlineStr">
        <is>
          <t>Chennai</t>
        </is>
      </c>
      <c r="E389" t="inlineStr">
        <is>
          <t>South</t>
        </is>
      </c>
      <c r="F389" t="inlineStr">
        <is>
          <t>Referral</t>
        </is>
      </c>
      <c r="G389" t="inlineStr">
        <is>
          <t>Mobile Web</t>
        </is>
      </c>
      <c r="H389" t="inlineStr">
        <is>
          <t>Debit Card</t>
        </is>
      </c>
      <c r="I389" t="inlineStr">
        <is>
          <t>Delivered</t>
        </is>
      </c>
      <c r="J389" t="n">
        <v>129</v>
      </c>
      <c r="K389" t="n">
        <v>1</v>
      </c>
      <c r="L389" t="n">
        <v>576</v>
      </c>
      <c r="M389" t="n">
        <v>57.6</v>
      </c>
      <c r="N389">
        <f>VLOOKUP(J389,Products!$A$2:$C$49,3,FALSE)</f>
        <v/>
      </c>
      <c r="O389">
        <f>K389*L389-M389</f>
        <v/>
      </c>
      <c r="P389">
        <f>TEXT(B389,"yyyy-mm")</f>
        <v/>
      </c>
      <c r="Q389">
        <f>IF(O389&gt;=3000,"Large","Small")</f>
        <v/>
      </c>
      <c r="R389">
        <f>INDEX(Products!$F$2:$F$49,MATCH(J389,Products!$A$2:$A$49,0))</f>
        <v/>
      </c>
      <c r="S389">
        <f>WEEKDAY(B389,2)</f>
        <v/>
      </c>
    </row>
    <row r="390">
      <c r="A390" t="n">
        <v>509523</v>
      </c>
      <c r="B390" s="6" t="n">
        <v>45937</v>
      </c>
      <c r="C390" t="n">
        <v>15158</v>
      </c>
      <c r="D390" t="inlineStr">
        <is>
          <t>Delhi</t>
        </is>
      </c>
      <c r="E390" t="inlineStr">
        <is>
          <t>North</t>
        </is>
      </c>
      <c r="F390" t="inlineStr">
        <is>
          <t>Organic Search</t>
        </is>
      </c>
      <c r="G390" t="inlineStr">
        <is>
          <t>Mobile Web</t>
        </is>
      </c>
      <c r="H390" t="inlineStr">
        <is>
          <t>Debit Card</t>
        </is>
      </c>
      <c r="I390" t="inlineStr">
        <is>
          <t>Delivered</t>
        </is>
      </c>
      <c r="J390" t="n">
        <v>144</v>
      </c>
      <c r="K390" t="n">
        <v>1</v>
      </c>
      <c r="L390" t="n">
        <v>3149</v>
      </c>
      <c r="M390" t="n">
        <v>0</v>
      </c>
      <c r="N390">
        <f>VLOOKUP(J390,Products!$A$2:$C$49,3,FALSE)</f>
        <v/>
      </c>
      <c r="O390">
        <f>K390*L390-M390</f>
        <v/>
      </c>
      <c r="P390">
        <f>TEXT(B390,"yyyy-mm")</f>
        <v/>
      </c>
      <c r="Q390">
        <f>IF(O390&gt;=3000,"Large","Small")</f>
        <v/>
      </c>
      <c r="R390">
        <f>INDEX(Products!$F$2:$F$49,MATCH(J390,Products!$A$2:$A$49,0))</f>
        <v/>
      </c>
      <c r="S390">
        <f>WEEKDAY(B390,2)</f>
        <v/>
      </c>
    </row>
    <row r="391">
      <c r="A391" t="n">
        <v>509524</v>
      </c>
      <c r="B391" s="6" t="n">
        <v>45937</v>
      </c>
      <c r="C391" t="n">
        <v>16685</v>
      </c>
      <c r="D391" t="inlineStr">
        <is>
          <t>Chandigarh</t>
        </is>
      </c>
      <c r="E391" t="inlineStr">
        <is>
          <t>North</t>
        </is>
      </c>
      <c r="F391" t="inlineStr">
        <is>
          <t>Email</t>
        </is>
      </c>
      <c r="G391" t="inlineStr">
        <is>
          <t>Mobile App</t>
        </is>
      </c>
      <c r="H391" t="inlineStr">
        <is>
          <t>Cash on Delivery</t>
        </is>
      </c>
      <c r="I391" t="inlineStr">
        <is>
          <t>Delivered</t>
        </is>
      </c>
      <c r="J391" t="n">
        <v>108</v>
      </c>
      <c r="K391" t="n">
        <v>1</v>
      </c>
      <c r="L391" t="n">
        <v>419</v>
      </c>
      <c r="M391" t="n">
        <v>0</v>
      </c>
      <c r="N391">
        <f>VLOOKUP(J391,Products!$A$2:$C$49,3,FALSE)</f>
        <v/>
      </c>
      <c r="O391">
        <f>K391*L391-M391</f>
        <v/>
      </c>
      <c r="P391">
        <f>TEXT(B391,"yyyy-mm")</f>
        <v/>
      </c>
      <c r="Q391">
        <f>IF(O391&gt;=3000,"Large","Small")</f>
        <v/>
      </c>
      <c r="R391">
        <f>INDEX(Products!$F$2:$F$49,MATCH(J391,Products!$A$2:$A$49,0))</f>
        <v/>
      </c>
      <c r="S391">
        <f>WEEKDAY(B391,2)</f>
        <v/>
      </c>
    </row>
    <row r="392">
      <c r="A392" t="n">
        <v>509525</v>
      </c>
      <c r="B392" s="6" t="n">
        <v>45937</v>
      </c>
      <c r="C392" t="n">
        <v>14135</v>
      </c>
      <c r="D392" t="inlineStr">
        <is>
          <t>Noida</t>
        </is>
      </c>
      <c r="E392" t="inlineStr">
        <is>
          <t>North</t>
        </is>
      </c>
      <c r="F392" t="inlineStr">
        <is>
          <t>Paid Social</t>
        </is>
      </c>
      <c r="G392" t="inlineStr">
        <is>
          <t>Desktop</t>
        </is>
      </c>
      <c r="H392" t="inlineStr">
        <is>
          <t>UPI</t>
        </is>
      </c>
      <c r="I392" t="inlineStr">
        <is>
          <t>Cancelled</t>
        </is>
      </c>
      <c r="J392" t="n">
        <v>124</v>
      </c>
      <c r="K392" t="n">
        <v>1</v>
      </c>
      <c r="L392" t="n">
        <v>1154</v>
      </c>
      <c r="M392" t="n">
        <v>115.4</v>
      </c>
      <c r="N392">
        <f>VLOOKUP(J392,Products!$A$2:$C$49,3,FALSE)</f>
        <v/>
      </c>
      <c r="O392">
        <f>K392*L392-M392</f>
        <v/>
      </c>
      <c r="P392">
        <f>TEXT(B392,"yyyy-mm")</f>
        <v/>
      </c>
      <c r="Q392">
        <f>IF(O392&gt;=3000,"Large","Small")</f>
        <v/>
      </c>
      <c r="R392">
        <f>INDEX(Products!$F$2:$F$49,MATCH(J392,Products!$A$2:$A$49,0))</f>
        <v/>
      </c>
      <c r="S392">
        <f>WEEKDAY(B392,2)</f>
        <v/>
      </c>
    </row>
    <row r="393">
      <c r="A393" t="n">
        <v>509525</v>
      </c>
      <c r="B393" s="6" t="n">
        <v>45937</v>
      </c>
      <c r="C393" t="n">
        <v>14135</v>
      </c>
      <c r="D393" t="inlineStr">
        <is>
          <t>Noida</t>
        </is>
      </c>
      <c r="E393" t="inlineStr">
        <is>
          <t>North</t>
        </is>
      </c>
      <c r="F393" t="inlineStr">
        <is>
          <t>Paid Social</t>
        </is>
      </c>
      <c r="G393" t="inlineStr">
        <is>
          <t>Desktop</t>
        </is>
      </c>
      <c r="H393" t="inlineStr">
        <is>
          <t>UPI</t>
        </is>
      </c>
      <c r="I393" t="inlineStr">
        <is>
          <t>Cancelled</t>
        </is>
      </c>
      <c r="J393" t="n">
        <v>130</v>
      </c>
      <c r="K393" t="n">
        <v>1</v>
      </c>
      <c r="L393" t="n">
        <v>734</v>
      </c>
      <c r="M393" t="n">
        <v>73.40000000000001</v>
      </c>
      <c r="N393">
        <f>VLOOKUP(J393,Products!$A$2:$C$49,3,FALSE)</f>
        <v/>
      </c>
      <c r="O393">
        <f>K393*L393-M393</f>
        <v/>
      </c>
      <c r="P393">
        <f>TEXT(B393,"yyyy-mm")</f>
        <v/>
      </c>
      <c r="Q393">
        <f>IF(O393&gt;=3000,"Large","Small")</f>
        <v/>
      </c>
      <c r="R393">
        <f>INDEX(Products!$F$2:$F$49,MATCH(J393,Products!$A$2:$A$49,0))</f>
        <v/>
      </c>
      <c r="S393">
        <f>WEEKDAY(B393,2)</f>
        <v/>
      </c>
    </row>
    <row r="394">
      <c r="A394" t="n">
        <v>509526</v>
      </c>
      <c r="B394" s="6" t="n">
        <v>45937</v>
      </c>
      <c r="C394" t="n">
        <v>10831</v>
      </c>
      <c r="D394" t="inlineStr">
        <is>
          <t>Ahmedabad</t>
        </is>
      </c>
      <c r="E394" t="inlineStr">
        <is>
          <t>West</t>
        </is>
      </c>
      <c r="F394" t="inlineStr">
        <is>
          <t>Email</t>
        </is>
      </c>
      <c r="G394" t="inlineStr">
        <is>
          <t>Desktop</t>
        </is>
      </c>
      <c r="H394" t="inlineStr">
        <is>
          <t>Cash on Delivery</t>
        </is>
      </c>
      <c r="I394" t="inlineStr">
        <is>
          <t>Delivered</t>
        </is>
      </c>
      <c r="J394" t="n">
        <v>120</v>
      </c>
      <c r="K394" t="n">
        <v>1</v>
      </c>
      <c r="L394" t="n">
        <v>734</v>
      </c>
      <c r="M394" t="n">
        <v>73.40000000000001</v>
      </c>
      <c r="N394">
        <f>VLOOKUP(J394,Products!$A$2:$C$49,3,FALSE)</f>
        <v/>
      </c>
      <c r="O394">
        <f>K394*L394-M394</f>
        <v/>
      </c>
      <c r="P394">
        <f>TEXT(B394,"yyyy-mm")</f>
        <v/>
      </c>
      <c r="Q394">
        <f>IF(O394&gt;=3000,"Large","Small")</f>
        <v/>
      </c>
      <c r="R394">
        <f>INDEX(Products!$F$2:$F$49,MATCH(J394,Products!$A$2:$A$49,0))</f>
        <v/>
      </c>
      <c r="S394">
        <f>WEEKDAY(B394,2)</f>
        <v/>
      </c>
    </row>
    <row r="395">
      <c r="A395" t="n">
        <v>509526</v>
      </c>
      <c r="B395" s="6" t="n">
        <v>45937</v>
      </c>
      <c r="C395" t="n">
        <v>10831</v>
      </c>
      <c r="D395" t="inlineStr">
        <is>
          <t>Ahmedabad</t>
        </is>
      </c>
      <c r="E395" t="inlineStr">
        <is>
          <t>West</t>
        </is>
      </c>
      <c r="F395" t="inlineStr">
        <is>
          <t>Email</t>
        </is>
      </c>
      <c r="G395" t="inlineStr">
        <is>
          <t>Desktop</t>
        </is>
      </c>
      <c r="H395" t="inlineStr">
        <is>
          <t>Cash on Delivery</t>
        </is>
      </c>
      <c r="I395" t="inlineStr">
        <is>
          <t>Delivered</t>
        </is>
      </c>
      <c r="J395" t="n">
        <v>137</v>
      </c>
      <c r="K395" t="n">
        <v>3</v>
      </c>
      <c r="L395" t="n">
        <v>261</v>
      </c>
      <c r="M395" t="n">
        <v>78.3</v>
      </c>
      <c r="N395">
        <f>VLOOKUP(J395,Products!$A$2:$C$49,3,FALSE)</f>
        <v/>
      </c>
      <c r="O395">
        <f>K395*L395-M395</f>
        <v/>
      </c>
      <c r="P395">
        <f>TEXT(B395,"yyyy-mm")</f>
        <v/>
      </c>
      <c r="Q395">
        <f>IF(O395&gt;=3000,"Large","Small")</f>
        <v/>
      </c>
      <c r="R395">
        <f>INDEX(Products!$F$2:$F$49,MATCH(J395,Products!$A$2:$A$49,0))</f>
        <v/>
      </c>
      <c r="S395">
        <f>WEEKDAY(B395,2)</f>
        <v/>
      </c>
    </row>
    <row r="396">
      <c r="A396" t="n">
        <v>509527</v>
      </c>
      <c r="B396" s="6" t="n">
        <v>45937</v>
      </c>
      <c r="C396" t="n">
        <v>16405</v>
      </c>
      <c r="D396" t="inlineStr">
        <is>
          <t>Hyderabad</t>
        </is>
      </c>
      <c r="E396" t="inlineStr">
        <is>
          <t>South</t>
        </is>
      </c>
      <c r="F396" t="inlineStr">
        <is>
          <t>Organic Search</t>
        </is>
      </c>
      <c r="G396" t="inlineStr">
        <is>
          <t>Mobile App</t>
        </is>
      </c>
      <c r="H396" t="inlineStr">
        <is>
          <t>UPI</t>
        </is>
      </c>
      <c r="I396" t="inlineStr">
        <is>
          <t>Delivered</t>
        </is>
      </c>
      <c r="J396" t="n">
        <v>102</v>
      </c>
      <c r="K396" t="n">
        <v>1</v>
      </c>
      <c r="L396" t="n">
        <v>3674</v>
      </c>
      <c r="M396" t="n">
        <v>0</v>
      </c>
      <c r="N396">
        <f>VLOOKUP(J396,Products!$A$2:$C$49,3,FALSE)</f>
        <v/>
      </c>
      <c r="O396">
        <f>K396*L396-M396</f>
        <v/>
      </c>
      <c r="P396">
        <f>TEXT(B396,"yyyy-mm")</f>
        <v/>
      </c>
      <c r="Q396">
        <f>IF(O396&gt;=3000,"Large","Small")</f>
        <v/>
      </c>
      <c r="R396">
        <f>INDEX(Products!$F$2:$F$49,MATCH(J396,Products!$A$2:$A$49,0))</f>
        <v/>
      </c>
      <c r="S396">
        <f>WEEKDAY(B396,2)</f>
        <v/>
      </c>
    </row>
    <row r="397">
      <c r="A397" t="n">
        <v>509528</v>
      </c>
      <c r="B397" s="6" t="n">
        <v>45937</v>
      </c>
      <c r="C397" t="n">
        <v>16497</v>
      </c>
      <c r="D397" t="inlineStr">
        <is>
          <t>Lucknow</t>
        </is>
      </c>
      <c r="E397" t="inlineStr">
        <is>
          <t>North</t>
        </is>
      </c>
      <c r="F397" t="inlineStr">
        <is>
          <t>Organic Search</t>
        </is>
      </c>
      <c r="G397" t="inlineStr">
        <is>
          <t>Mobile App</t>
        </is>
      </c>
      <c r="H397" t="inlineStr">
        <is>
          <t>UPI</t>
        </is>
      </c>
      <c r="I397" t="inlineStr">
        <is>
          <t>Delivered</t>
        </is>
      </c>
      <c r="J397" t="n">
        <v>124</v>
      </c>
      <c r="K397" t="n">
        <v>1</v>
      </c>
      <c r="L397" t="n">
        <v>1154</v>
      </c>
      <c r="M397" t="n">
        <v>173.1</v>
      </c>
      <c r="N397">
        <f>VLOOKUP(J397,Products!$A$2:$C$49,3,FALSE)</f>
        <v/>
      </c>
      <c r="O397">
        <f>K397*L397-M397</f>
        <v/>
      </c>
      <c r="P397">
        <f>TEXT(B397,"yyyy-mm")</f>
        <v/>
      </c>
      <c r="Q397">
        <f>IF(O397&gt;=3000,"Large","Small")</f>
        <v/>
      </c>
      <c r="R397">
        <f>INDEX(Products!$F$2:$F$49,MATCH(J397,Products!$A$2:$A$49,0))</f>
        <v/>
      </c>
      <c r="S397">
        <f>WEEKDAY(B397,2)</f>
        <v/>
      </c>
    </row>
    <row r="398">
      <c r="A398" t="n">
        <v>509529</v>
      </c>
      <c r="B398" s="6" t="n">
        <v>45937</v>
      </c>
      <c r="C398" t="n">
        <v>16669</v>
      </c>
      <c r="D398" t="inlineStr">
        <is>
          <t>Kochi</t>
        </is>
      </c>
      <c r="E398" t="inlineStr">
        <is>
          <t>South</t>
        </is>
      </c>
      <c r="F398" t="inlineStr">
        <is>
          <t>Paid Social</t>
        </is>
      </c>
      <c r="G398" t="inlineStr">
        <is>
          <t>Mobile App</t>
        </is>
      </c>
      <c r="H398" t="inlineStr">
        <is>
          <t>UPI</t>
        </is>
      </c>
      <c r="I398" t="inlineStr">
        <is>
          <t>Delivered</t>
        </is>
      </c>
      <c r="J398" t="n">
        <v>124</v>
      </c>
      <c r="K398" t="n">
        <v>1</v>
      </c>
      <c r="L398" t="n">
        <v>1154</v>
      </c>
      <c r="M398" t="n">
        <v>173.1</v>
      </c>
      <c r="N398">
        <f>VLOOKUP(J398,Products!$A$2:$C$49,3,FALSE)</f>
        <v/>
      </c>
      <c r="O398">
        <f>K398*L398-M398</f>
        <v/>
      </c>
      <c r="P398">
        <f>TEXT(B398,"yyyy-mm")</f>
        <v/>
      </c>
      <c r="Q398">
        <f>IF(O398&gt;=3000,"Large","Small")</f>
        <v/>
      </c>
      <c r="R398">
        <f>INDEX(Products!$F$2:$F$49,MATCH(J398,Products!$A$2:$A$49,0))</f>
        <v/>
      </c>
      <c r="S398">
        <f>WEEKDAY(B398,2)</f>
        <v/>
      </c>
    </row>
    <row r="399">
      <c r="A399" t="n">
        <v>509530</v>
      </c>
      <c r="B399" s="6" t="n">
        <v>45937</v>
      </c>
      <c r="C399" t="n">
        <v>10195</v>
      </c>
      <c r="D399" t="inlineStr">
        <is>
          <t>Delhi</t>
        </is>
      </c>
      <c r="E399" t="inlineStr">
        <is>
          <t>North</t>
        </is>
      </c>
      <c r="F399" t="inlineStr">
        <is>
          <t>Referral</t>
        </is>
      </c>
      <c r="G399" t="inlineStr">
        <is>
          <t>Desktop</t>
        </is>
      </c>
      <c r="H399" t="inlineStr">
        <is>
          <t>UPI</t>
        </is>
      </c>
      <c r="I399" t="inlineStr">
        <is>
          <t>Delivered</t>
        </is>
      </c>
      <c r="J399" t="n">
        <v>119</v>
      </c>
      <c r="K399" t="n">
        <v>1</v>
      </c>
      <c r="L399" t="n">
        <v>2309</v>
      </c>
      <c r="M399" t="n">
        <v>230.9</v>
      </c>
      <c r="N399">
        <f>VLOOKUP(J399,Products!$A$2:$C$49,3,FALSE)</f>
        <v/>
      </c>
      <c r="O399">
        <f>K399*L399-M399</f>
        <v/>
      </c>
      <c r="P399">
        <f>TEXT(B399,"yyyy-mm")</f>
        <v/>
      </c>
      <c r="Q399">
        <f>IF(O399&gt;=3000,"Large","Small")</f>
        <v/>
      </c>
      <c r="R399">
        <f>INDEX(Products!$F$2:$F$49,MATCH(J399,Products!$A$2:$A$49,0))</f>
        <v/>
      </c>
      <c r="S399">
        <f>WEEKDAY(B399,2)</f>
        <v/>
      </c>
    </row>
    <row r="400">
      <c r="A400" t="n">
        <v>509531</v>
      </c>
      <c r="B400" s="6" t="n">
        <v>45937</v>
      </c>
      <c r="C400" t="n">
        <v>16597</v>
      </c>
      <c r="D400" t="inlineStr">
        <is>
          <t>Delhi</t>
        </is>
      </c>
      <c r="E400" t="inlineStr">
        <is>
          <t>North</t>
        </is>
      </c>
      <c r="F400" t="inlineStr">
        <is>
          <t>Affiliate</t>
        </is>
      </c>
      <c r="G400" t="inlineStr">
        <is>
          <t>Mobile Web</t>
        </is>
      </c>
      <c r="H400" t="inlineStr">
        <is>
          <t>Cash on Delivery</t>
        </is>
      </c>
      <c r="I400" t="inlineStr">
        <is>
          <t>Delivered</t>
        </is>
      </c>
      <c r="J400" t="n">
        <v>108</v>
      </c>
      <c r="K400" t="n">
        <v>1</v>
      </c>
      <c r="L400" t="n">
        <v>419</v>
      </c>
      <c r="M400" t="n">
        <v>62.85</v>
      </c>
      <c r="N400">
        <f>VLOOKUP(J400,Products!$A$2:$C$49,3,FALSE)</f>
        <v/>
      </c>
      <c r="O400">
        <f>K400*L400-M400</f>
        <v/>
      </c>
      <c r="P400">
        <f>TEXT(B400,"yyyy-mm")</f>
        <v/>
      </c>
      <c r="Q400">
        <f>IF(O400&gt;=3000,"Large","Small")</f>
        <v/>
      </c>
      <c r="R400">
        <f>INDEX(Products!$F$2:$F$49,MATCH(J400,Products!$A$2:$A$49,0))</f>
        <v/>
      </c>
      <c r="S400">
        <f>WEEKDAY(B400,2)</f>
        <v/>
      </c>
    </row>
    <row r="401">
      <c r="A401" t="n">
        <v>509531</v>
      </c>
      <c r="B401" s="6" t="n">
        <v>45937</v>
      </c>
      <c r="C401" t="n">
        <v>16597</v>
      </c>
      <c r="D401" t="inlineStr">
        <is>
          <t>Delhi</t>
        </is>
      </c>
      <c r="E401" t="inlineStr">
        <is>
          <t>North</t>
        </is>
      </c>
      <c r="F401" t="inlineStr">
        <is>
          <t>Affiliate</t>
        </is>
      </c>
      <c r="G401" t="inlineStr">
        <is>
          <t>Mobile Web</t>
        </is>
      </c>
      <c r="H401" t="inlineStr">
        <is>
          <t>Cash on Delivery</t>
        </is>
      </c>
      <c r="I401" t="inlineStr">
        <is>
          <t>Delivered</t>
        </is>
      </c>
      <c r="J401" t="n">
        <v>119</v>
      </c>
      <c r="K401" t="n">
        <v>1</v>
      </c>
      <c r="L401" t="n">
        <v>2309</v>
      </c>
      <c r="M401" t="n">
        <v>346.35</v>
      </c>
      <c r="N401">
        <f>VLOOKUP(J401,Products!$A$2:$C$49,3,FALSE)</f>
        <v/>
      </c>
      <c r="O401">
        <f>K401*L401-M401</f>
        <v/>
      </c>
      <c r="P401">
        <f>TEXT(B401,"yyyy-mm")</f>
        <v/>
      </c>
      <c r="Q401">
        <f>IF(O401&gt;=3000,"Large","Small")</f>
        <v/>
      </c>
      <c r="R401">
        <f>INDEX(Products!$F$2:$F$49,MATCH(J401,Products!$A$2:$A$49,0))</f>
        <v/>
      </c>
      <c r="S401">
        <f>WEEKDAY(B401,2)</f>
        <v/>
      </c>
    </row>
    <row r="402">
      <c r="A402" t="n">
        <v>509531</v>
      </c>
      <c r="B402" s="6" t="n">
        <v>45937</v>
      </c>
      <c r="C402" t="n">
        <v>16597</v>
      </c>
      <c r="D402" t="inlineStr">
        <is>
          <t>Delhi</t>
        </is>
      </c>
      <c r="E402" t="inlineStr">
        <is>
          <t>North</t>
        </is>
      </c>
      <c r="F402" t="inlineStr">
        <is>
          <t>Affiliate</t>
        </is>
      </c>
      <c r="G402" t="inlineStr">
        <is>
          <t>Mobile Web</t>
        </is>
      </c>
      <c r="H402" t="inlineStr">
        <is>
          <t>Cash on Delivery</t>
        </is>
      </c>
      <c r="I402" t="inlineStr">
        <is>
          <t>Delivered</t>
        </is>
      </c>
      <c r="J402" t="n">
        <v>138</v>
      </c>
      <c r="K402" t="n">
        <v>1</v>
      </c>
      <c r="L402" t="n">
        <v>419</v>
      </c>
      <c r="M402" t="n">
        <v>62.85</v>
      </c>
      <c r="N402">
        <f>VLOOKUP(J402,Products!$A$2:$C$49,3,FALSE)</f>
        <v/>
      </c>
      <c r="O402">
        <f>K402*L402-M402</f>
        <v/>
      </c>
      <c r="P402">
        <f>TEXT(B402,"yyyy-mm")</f>
        <v/>
      </c>
      <c r="Q402">
        <f>IF(O402&gt;=3000,"Large","Small")</f>
        <v/>
      </c>
      <c r="R402">
        <f>INDEX(Products!$F$2:$F$49,MATCH(J402,Products!$A$2:$A$49,0))</f>
        <v/>
      </c>
      <c r="S402">
        <f>WEEKDAY(B402,2)</f>
        <v/>
      </c>
    </row>
    <row r="403">
      <c r="A403" t="n">
        <v>509531</v>
      </c>
      <c r="B403" s="6" t="n">
        <v>45937</v>
      </c>
      <c r="C403" t="n">
        <v>16597</v>
      </c>
      <c r="D403" t="inlineStr">
        <is>
          <t>Delhi</t>
        </is>
      </c>
      <c r="E403" t="inlineStr">
        <is>
          <t>North</t>
        </is>
      </c>
      <c r="F403" t="inlineStr">
        <is>
          <t>Affiliate</t>
        </is>
      </c>
      <c r="G403" t="inlineStr">
        <is>
          <t>Mobile Web</t>
        </is>
      </c>
      <c r="H403" t="inlineStr">
        <is>
          <t>Cash on Delivery</t>
        </is>
      </c>
      <c r="I403" t="inlineStr">
        <is>
          <t>Delivered</t>
        </is>
      </c>
      <c r="J403" t="n">
        <v>129</v>
      </c>
      <c r="K403" t="n">
        <v>1</v>
      </c>
      <c r="L403" t="n">
        <v>576</v>
      </c>
      <c r="M403" t="n">
        <v>86.40000000000001</v>
      </c>
      <c r="N403">
        <f>VLOOKUP(J403,Products!$A$2:$C$49,3,FALSE)</f>
        <v/>
      </c>
      <c r="O403">
        <f>K403*L403-M403</f>
        <v/>
      </c>
      <c r="P403">
        <f>TEXT(B403,"yyyy-mm")</f>
        <v/>
      </c>
      <c r="Q403">
        <f>IF(O403&gt;=3000,"Large","Small")</f>
        <v/>
      </c>
      <c r="R403">
        <f>INDEX(Products!$F$2:$F$49,MATCH(J403,Products!$A$2:$A$49,0))</f>
        <v/>
      </c>
      <c r="S403">
        <f>WEEKDAY(B403,2)</f>
        <v/>
      </c>
    </row>
    <row r="404">
      <c r="A404" t="n">
        <v>509532</v>
      </c>
      <c r="B404" s="6" t="n">
        <v>45937</v>
      </c>
      <c r="C404" t="n">
        <v>12652</v>
      </c>
      <c r="D404" t="inlineStr">
        <is>
          <t>Bengaluru</t>
        </is>
      </c>
      <c r="E404" t="inlineStr">
        <is>
          <t>South</t>
        </is>
      </c>
      <c r="F404" t="inlineStr">
        <is>
          <t>Referral</t>
        </is>
      </c>
      <c r="G404" t="inlineStr">
        <is>
          <t>Desktop</t>
        </is>
      </c>
      <c r="H404" t="inlineStr">
        <is>
          <t>Debit Card</t>
        </is>
      </c>
      <c r="I404" t="inlineStr">
        <is>
          <t>Delivered</t>
        </is>
      </c>
      <c r="J404" t="n">
        <v>130</v>
      </c>
      <c r="K404" t="n">
        <v>1</v>
      </c>
      <c r="L404" t="n">
        <v>734</v>
      </c>
      <c r="M404" t="n">
        <v>73.40000000000001</v>
      </c>
      <c r="N404">
        <f>VLOOKUP(J404,Products!$A$2:$C$49,3,FALSE)</f>
        <v/>
      </c>
      <c r="O404">
        <f>K404*L404-M404</f>
        <v/>
      </c>
      <c r="P404">
        <f>TEXT(B404,"yyyy-mm")</f>
        <v/>
      </c>
      <c r="Q404">
        <f>IF(O404&gt;=3000,"Large","Small")</f>
        <v/>
      </c>
      <c r="R404">
        <f>INDEX(Products!$F$2:$F$49,MATCH(J404,Products!$A$2:$A$49,0))</f>
        <v/>
      </c>
      <c r="S404">
        <f>WEEKDAY(B404,2)</f>
        <v/>
      </c>
    </row>
    <row r="405">
      <c r="A405" t="n">
        <v>509532</v>
      </c>
      <c r="B405" s="6" t="n">
        <v>45937</v>
      </c>
      <c r="C405" t="n">
        <v>12652</v>
      </c>
      <c r="D405" t="inlineStr">
        <is>
          <t>Bengaluru</t>
        </is>
      </c>
      <c r="E405" t="inlineStr">
        <is>
          <t>South</t>
        </is>
      </c>
      <c r="F405" t="inlineStr">
        <is>
          <t>Referral</t>
        </is>
      </c>
      <c r="G405" t="inlineStr">
        <is>
          <t>Desktop</t>
        </is>
      </c>
      <c r="H405" t="inlineStr">
        <is>
          <t>Debit Card</t>
        </is>
      </c>
      <c r="I405" t="inlineStr">
        <is>
          <t>Delivered</t>
        </is>
      </c>
      <c r="J405" t="n">
        <v>109</v>
      </c>
      <c r="K405" t="n">
        <v>1</v>
      </c>
      <c r="L405" t="n">
        <v>4199</v>
      </c>
      <c r="M405" t="n">
        <v>419.9</v>
      </c>
      <c r="N405">
        <f>VLOOKUP(J405,Products!$A$2:$C$49,3,FALSE)</f>
        <v/>
      </c>
      <c r="O405">
        <f>K405*L405-M405</f>
        <v/>
      </c>
      <c r="P405">
        <f>TEXT(B405,"yyyy-mm")</f>
        <v/>
      </c>
      <c r="Q405">
        <f>IF(O405&gt;=3000,"Large","Small")</f>
        <v/>
      </c>
      <c r="R405">
        <f>INDEX(Products!$F$2:$F$49,MATCH(J405,Products!$A$2:$A$49,0))</f>
        <v/>
      </c>
      <c r="S405">
        <f>WEEKDAY(B405,2)</f>
        <v/>
      </c>
    </row>
    <row r="406">
      <c r="A406" t="n">
        <v>509533</v>
      </c>
      <c r="B406" s="6" t="n">
        <v>45937</v>
      </c>
      <c r="C406" t="n">
        <v>16661</v>
      </c>
      <c r="D406" t="inlineStr">
        <is>
          <t>Mumbai</t>
        </is>
      </c>
      <c r="E406" t="inlineStr">
        <is>
          <t>West</t>
        </is>
      </c>
      <c r="F406" t="inlineStr">
        <is>
          <t>Paid Search</t>
        </is>
      </c>
      <c r="G406" t="inlineStr">
        <is>
          <t>Mobile App</t>
        </is>
      </c>
      <c r="H406" t="inlineStr">
        <is>
          <t>UPI</t>
        </is>
      </c>
      <c r="I406" t="inlineStr">
        <is>
          <t>Delivered</t>
        </is>
      </c>
      <c r="J406" t="n">
        <v>119</v>
      </c>
      <c r="K406" t="n">
        <v>1</v>
      </c>
      <c r="L406" t="n">
        <v>2309</v>
      </c>
      <c r="M406" t="n">
        <v>230.9</v>
      </c>
      <c r="N406">
        <f>VLOOKUP(J406,Products!$A$2:$C$49,3,FALSE)</f>
        <v/>
      </c>
      <c r="O406">
        <f>K406*L406-M406</f>
        <v/>
      </c>
      <c r="P406">
        <f>TEXT(B406,"yyyy-mm")</f>
        <v/>
      </c>
      <c r="Q406">
        <f>IF(O406&gt;=3000,"Large","Small")</f>
        <v/>
      </c>
      <c r="R406">
        <f>INDEX(Products!$F$2:$F$49,MATCH(J406,Products!$A$2:$A$49,0))</f>
        <v/>
      </c>
      <c r="S406">
        <f>WEEKDAY(B406,2)</f>
        <v/>
      </c>
    </row>
    <row r="407">
      <c r="A407" t="n">
        <v>509533</v>
      </c>
      <c r="B407" s="6" t="n">
        <v>45937</v>
      </c>
      <c r="C407" t="n">
        <v>16661</v>
      </c>
      <c r="D407" t="inlineStr">
        <is>
          <t>Mumbai</t>
        </is>
      </c>
      <c r="E407" t="inlineStr">
        <is>
          <t>West</t>
        </is>
      </c>
      <c r="F407" t="inlineStr">
        <is>
          <t>Paid Search</t>
        </is>
      </c>
      <c r="G407" t="inlineStr">
        <is>
          <t>Mobile App</t>
        </is>
      </c>
      <c r="H407" t="inlineStr">
        <is>
          <t>UPI</t>
        </is>
      </c>
      <c r="I407" t="inlineStr">
        <is>
          <t>Delivered</t>
        </is>
      </c>
      <c r="J407" t="n">
        <v>135</v>
      </c>
      <c r="K407" t="n">
        <v>1</v>
      </c>
      <c r="L407" t="n">
        <v>1574</v>
      </c>
      <c r="M407" t="n">
        <v>157.4</v>
      </c>
      <c r="N407">
        <f>VLOOKUP(J407,Products!$A$2:$C$49,3,FALSE)</f>
        <v/>
      </c>
      <c r="O407">
        <f>K407*L407-M407</f>
        <v/>
      </c>
      <c r="P407">
        <f>TEXT(B407,"yyyy-mm")</f>
        <v/>
      </c>
      <c r="Q407">
        <f>IF(O407&gt;=3000,"Large","Small")</f>
        <v/>
      </c>
      <c r="R407">
        <f>INDEX(Products!$F$2:$F$49,MATCH(J407,Products!$A$2:$A$49,0))</f>
        <v/>
      </c>
      <c r="S407">
        <f>WEEKDAY(B407,2)</f>
        <v/>
      </c>
    </row>
    <row r="408">
      <c r="A408" t="n">
        <v>509534</v>
      </c>
      <c r="B408" s="6" t="n">
        <v>45937</v>
      </c>
      <c r="C408" t="n">
        <v>16165</v>
      </c>
      <c r="D408" t="inlineStr">
        <is>
          <t>Bengaluru</t>
        </is>
      </c>
      <c r="E408" t="inlineStr">
        <is>
          <t>South</t>
        </is>
      </c>
      <c r="F408" t="inlineStr">
        <is>
          <t>Referral</t>
        </is>
      </c>
      <c r="G408" t="inlineStr">
        <is>
          <t>Mobile App</t>
        </is>
      </c>
      <c r="H408" t="inlineStr">
        <is>
          <t>Cash on Delivery</t>
        </is>
      </c>
      <c r="I408" t="inlineStr">
        <is>
          <t>Cancelled</t>
        </is>
      </c>
      <c r="J408" t="n">
        <v>130</v>
      </c>
      <c r="K408" t="n">
        <v>2</v>
      </c>
      <c r="L408" t="n">
        <v>734</v>
      </c>
      <c r="M408" t="n">
        <v>146.8</v>
      </c>
      <c r="N408">
        <f>VLOOKUP(J408,Products!$A$2:$C$49,3,FALSE)</f>
        <v/>
      </c>
      <c r="O408">
        <f>K408*L408-M408</f>
        <v/>
      </c>
      <c r="P408">
        <f>TEXT(B408,"yyyy-mm")</f>
        <v/>
      </c>
      <c r="Q408">
        <f>IF(O408&gt;=3000,"Large","Small")</f>
        <v/>
      </c>
      <c r="R408">
        <f>INDEX(Products!$F$2:$F$49,MATCH(J408,Products!$A$2:$A$49,0))</f>
        <v/>
      </c>
      <c r="S408">
        <f>WEEKDAY(B408,2)</f>
        <v/>
      </c>
    </row>
    <row r="409">
      <c r="A409" t="n">
        <v>509535</v>
      </c>
      <c r="B409" s="6" t="n">
        <v>45937</v>
      </c>
      <c r="C409" t="n">
        <v>11468</v>
      </c>
      <c r="D409" t="inlineStr">
        <is>
          <t>Chandigarh</t>
        </is>
      </c>
      <c r="E409" t="inlineStr">
        <is>
          <t>North</t>
        </is>
      </c>
      <c r="F409" t="inlineStr">
        <is>
          <t>Paid Search</t>
        </is>
      </c>
      <c r="G409" t="inlineStr">
        <is>
          <t>Mobile Web</t>
        </is>
      </c>
      <c r="H409" t="inlineStr">
        <is>
          <t>UPI</t>
        </is>
      </c>
      <c r="I409" t="inlineStr">
        <is>
          <t>Delivered</t>
        </is>
      </c>
      <c r="J409" t="n">
        <v>106</v>
      </c>
      <c r="K409" t="n">
        <v>2</v>
      </c>
      <c r="L409" t="n">
        <v>1574</v>
      </c>
      <c r="M409" t="n">
        <v>157.4</v>
      </c>
      <c r="N409">
        <f>VLOOKUP(J409,Products!$A$2:$C$49,3,FALSE)</f>
        <v/>
      </c>
      <c r="O409">
        <f>K409*L409-M409</f>
        <v/>
      </c>
      <c r="P409">
        <f>TEXT(B409,"yyyy-mm")</f>
        <v/>
      </c>
      <c r="Q409">
        <f>IF(O409&gt;=3000,"Large","Small")</f>
        <v/>
      </c>
      <c r="R409">
        <f>INDEX(Products!$F$2:$F$49,MATCH(J409,Products!$A$2:$A$49,0))</f>
        <v/>
      </c>
      <c r="S409">
        <f>WEEKDAY(B409,2)</f>
        <v/>
      </c>
    </row>
    <row r="410">
      <c r="A410" t="n">
        <v>509536</v>
      </c>
      <c r="B410" s="6" t="n">
        <v>45937</v>
      </c>
      <c r="C410" t="n">
        <v>14614</v>
      </c>
      <c r="D410" t="inlineStr">
        <is>
          <t>Bengaluru</t>
        </is>
      </c>
      <c r="E410" t="inlineStr">
        <is>
          <t>South</t>
        </is>
      </c>
      <c r="F410" t="inlineStr">
        <is>
          <t>Paid Search</t>
        </is>
      </c>
      <c r="G410" t="inlineStr">
        <is>
          <t>Mobile App</t>
        </is>
      </c>
      <c r="H410" t="inlineStr">
        <is>
          <t>Debit Card</t>
        </is>
      </c>
      <c r="I410" t="inlineStr">
        <is>
          <t>Delivered</t>
        </is>
      </c>
      <c r="J410" t="n">
        <v>116</v>
      </c>
      <c r="K410" t="n">
        <v>1</v>
      </c>
      <c r="L410" t="n">
        <v>2624</v>
      </c>
      <c r="M410" t="n">
        <v>262.4</v>
      </c>
      <c r="N410">
        <f>VLOOKUP(J410,Products!$A$2:$C$49,3,FALSE)</f>
        <v/>
      </c>
      <c r="O410">
        <f>K410*L410-M410</f>
        <v/>
      </c>
      <c r="P410">
        <f>TEXT(B410,"yyyy-mm")</f>
        <v/>
      </c>
      <c r="Q410">
        <f>IF(O410&gt;=3000,"Large","Small")</f>
        <v/>
      </c>
      <c r="R410">
        <f>INDEX(Products!$F$2:$F$49,MATCH(J410,Products!$A$2:$A$49,0))</f>
        <v/>
      </c>
      <c r="S410">
        <f>WEEKDAY(B410,2)</f>
        <v/>
      </c>
    </row>
    <row r="411">
      <c r="A411" t="n">
        <v>509536</v>
      </c>
      <c r="B411" s="6" t="n">
        <v>45937</v>
      </c>
      <c r="C411" t="n">
        <v>14614</v>
      </c>
      <c r="D411" t="inlineStr">
        <is>
          <t>Bengaluru</t>
        </is>
      </c>
      <c r="E411" t="inlineStr">
        <is>
          <t>South</t>
        </is>
      </c>
      <c r="F411" t="inlineStr">
        <is>
          <t>Paid Search</t>
        </is>
      </c>
      <c r="G411" t="inlineStr">
        <is>
          <t>Mobile App</t>
        </is>
      </c>
      <c r="H411" t="inlineStr">
        <is>
          <t>Debit Card</t>
        </is>
      </c>
      <c r="I411" t="inlineStr">
        <is>
          <t>Delivered</t>
        </is>
      </c>
      <c r="J411" t="n">
        <v>107</v>
      </c>
      <c r="K411" t="n">
        <v>1</v>
      </c>
      <c r="L411" t="n">
        <v>1259</v>
      </c>
      <c r="M411" t="n">
        <v>125.9</v>
      </c>
      <c r="N411">
        <f>VLOOKUP(J411,Products!$A$2:$C$49,3,FALSE)</f>
        <v/>
      </c>
      <c r="O411">
        <f>K411*L411-M411</f>
        <v/>
      </c>
      <c r="P411">
        <f>TEXT(B411,"yyyy-mm")</f>
        <v/>
      </c>
      <c r="Q411">
        <f>IF(O411&gt;=3000,"Large","Small")</f>
        <v/>
      </c>
      <c r="R411">
        <f>INDEX(Products!$F$2:$F$49,MATCH(J411,Products!$A$2:$A$49,0))</f>
        <v/>
      </c>
      <c r="S411">
        <f>WEEKDAY(B411,2)</f>
        <v/>
      </c>
    </row>
    <row r="412">
      <c r="A412" t="n">
        <v>509536</v>
      </c>
      <c r="B412" s="6" t="n">
        <v>45937</v>
      </c>
      <c r="C412" t="n">
        <v>14614</v>
      </c>
      <c r="D412" t="inlineStr">
        <is>
          <t>Bengaluru</t>
        </is>
      </c>
      <c r="E412" t="inlineStr">
        <is>
          <t>South</t>
        </is>
      </c>
      <c r="F412" t="inlineStr">
        <is>
          <t>Paid Search</t>
        </is>
      </c>
      <c r="G412" t="inlineStr">
        <is>
          <t>Mobile App</t>
        </is>
      </c>
      <c r="H412" t="inlineStr">
        <is>
          <t>Debit Card</t>
        </is>
      </c>
      <c r="I412" t="inlineStr">
        <is>
          <t>Delivered</t>
        </is>
      </c>
      <c r="J412" t="n">
        <v>117</v>
      </c>
      <c r="K412" t="n">
        <v>3</v>
      </c>
      <c r="L412" t="n">
        <v>3149</v>
      </c>
      <c r="M412" t="n">
        <v>944.7</v>
      </c>
      <c r="N412">
        <f>VLOOKUP(J412,Products!$A$2:$C$49,3,FALSE)</f>
        <v/>
      </c>
      <c r="O412">
        <f>K412*L412-M412</f>
        <v/>
      </c>
      <c r="P412">
        <f>TEXT(B412,"yyyy-mm")</f>
        <v/>
      </c>
      <c r="Q412">
        <f>IF(O412&gt;=3000,"Large","Small")</f>
        <v/>
      </c>
      <c r="R412">
        <f>INDEX(Products!$F$2:$F$49,MATCH(J412,Products!$A$2:$A$49,0))</f>
        <v/>
      </c>
      <c r="S412">
        <f>WEEKDAY(B412,2)</f>
        <v/>
      </c>
    </row>
    <row r="413">
      <c r="A413" t="n">
        <v>509536</v>
      </c>
      <c r="B413" s="6" t="n">
        <v>45937</v>
      </c>
      <c r="C413" t="n">
        <v>14614</v>
      </c>
      <c r="D413" t="inlineStr">
        <is>
          <t>Bengaluru</t>
        </is>
      </c>
      <c r="E413" t="inlineStr">
        <is>
          <t>South</t>
        </is>
      </c>
      <c r="F413" t="inlineStr">
        <is>
          <t>Paid Search</t>
        </is>
      </c>
      <c r="G413" t="inlineStr">
        <is>
          <t>Mobile App</t>
        </is>
      </c>
      <c r="H413" t="inlineStr">
        <is>
          <t>Debit Card</t>
        </is>
      </c>
      <c r="I413" t="inlineStr">
        <is>
          <t>Delivered</t>
        </is>
      </c>
      <c r="J413" t="n">
        <v>140</v>
      </c>
      <c r="K413" t="n">
        <v>1</v>
      </c>
      <c r="L413" t="n">
        <v>629</v>
      </c>
      <c r="M413" t="n">
        <v>62.9</v>
      </c>
      <c r="N413">
        <f>VLOOKUP(J413,Products!$A$2:$C$49,3,FALSE)</f>
        <v/>
      </c>
      <c r="O413">
        <f>K413*L413-M413</f>
        <v/>
      </c>
      <c r="P413">
        <f>TEXT(B413,"yyyy-mm")</f>
        <v/>
      </c>
      <c r="Q413">
        <f>IF(O413&gt;=3000,"Large","Small")</f>
        <v/>
      </c>
      <c r="R413">
        <f>INDEX(Products!$F$2:$F$49,MATCH(J413,Products!$A$2:$A$49,0))</f>
        <v/>
      </c>
      <c r="S413">
        <f>WEEKDAY(B413,2)</f>
        <v/>
      </c>
    </row>
    <row r="414">
      <c r="A414" t="n">
        <v>509537</v>
      </c>
      <c r="B414" s="6" t="n">
        <v>45937</v>
      </c>
      <c r="C414" t="n">
        <v>16651</v>
      </c>
      <c r="D414" t="inlineStr">
        <is>
          <t>Chandigarh</t>
        </is>
      </c>
      <c r="E414" t="inlineStr">
        <is>
          <t>North</t>
        </is>
      </c>
      <c r="F414" t="inlineStr">
        <is>
          <t>Paid Search</t>
        </is>
      </c>
      <c r="G414" t="inlineStr">
        <is>
          <t>Mobile App</t>
        </is>
      </c>
      <c r="H414" t="inlineStr">
        <is>
          <t>UPI</t>
        </is>
      </c>
      <c r="I414" t="inlineStr">
        <is>
          <t>Delivered</t>
        </is>
      </c>
      <c r="J414" t="n">
        <v>116</v>
      </c>
      <c r="K414" t="n">
        <v>2</v>
      </c>
      <c r="L414" t="n">
        <v>2624</v>
      </c>
      <c r="M414" t="n">
        <v>524.8</v>
      </c>
      <c r="N414">
        <f>VLOOKUP(J414,Products!$A$2:$C$49,3,FALSE)</f>
        <v/>
      </c>
      <c r="O414">
        <f>K414*L414-M414</f>
        <v/>
      </c>
      <c r="P414">
        <f>TEXT(B414,"yyyy-mm")</f>
        <v/>
      </c>
      <c r="Q414">
        <f>IF(O414&gt;=3000,"Large","Small")</f>
        <v/>
      </c>
      <c r="R414">
        <f>INDEX(Products!$F$2:$F$49,MATCH(J414,Products!$A$2:$A$49,0))</f>
        <v/>
      </c>
      <c r="S414">
        <f>WEEKDAY(B414,2)</f>
        <v/>
      </c>
    </row>
    <row r="415">
      <c r="A415" t="n">
        <v>509537</v>
      </c>
      <c r="B415" s="6" t="n">
        <v>45937</v>
      </c>
      <c r="C415" t="n">
        <v>16651</v>
      </c>
      <c r="D415" t="inlineStr">
        <is>
          <t>Chandigarh</t>
        </is>
      </c>
      <c r="E415" t="inlineStr">
        <is>
          <t>North</t>
        </is>
      </c>
      <c r="F415" t="inlineStr">
        <is>
          <t>Paid Search</t>
        </is>
      </c>
      <c r="G415" t="inlineStr">
        <is>
          <t>Mobile App</t>
        </is>
      </c>
      <c r="H415" t="inlineStr">
        <is>
          <t>UPI</t>
        </is>
      </c>
      <c r="I415" t="inlineStr">
        <is>
          <t>Delivered</t>
        </is>
      </c>
      <c r="J415" t="n">
        <v>102</v>
      </c>
      <c r="K415" t="n">
        <v>1</v>
      </c>
      <c r="L415" t="n">
        <v>3674</v>
      </c>
      <c r="M415" t="n">
        <v>367.4</v>
      </c>
      <c r="N415">
        <f>VLOOKUP(J415,Products!$A$2:$C$49,3,FALSE)</f>
        <v/>
      </c>
      <c r="O415">
        <f>K415*L415-M415</f>
        <v/>
      </c>
      <c r="P415">
        <f>TEXT(B415,"yyyy-mm")</f>
        <v/>
      </c>
      <c r="Q415">
        <f>IF(O415&gt;=3000,"Large","Small")</f>
        <v/>
      </c>
      <c r="R415">
        <f>INDEX(Products!$F$2:$F$49,MATCH(J415,Products!$A$2:$A$49,0))</f>
        <v/>
      </c>
      <c r="S415">
        <f>WEEKDAY(B415,2)</f>
        <v/>
      </c>
    </row>
    <row r="416">
      <c r="A416" t="n">
        <v>509537</v>
      </c>
      <c r="B416" s="6" t="n">
        <v>45937</v>
      </c>
      <c r="C416" t="n">
        <v>16651</v>
      </c>
      <c r="D416" t="inlineStr">
        <is>
          <t>Chandigarh</t>
        </is>
      </c>
      <c r="E416" t="inlineStr">
        <is>
          <t>North</t>
        </is>
      </c>
      <c r="F416" t="inlineStr">
        <is>
          <t>Paid Search</t>
        </is>
      </c>
      <c r="G416" t="inlineStr">
        <is>
          <t>Mobile App</t>
        </is>
      </c>
      <c r="H416" t="inlineStr">
        <is>
          <t>UPI</t>
        </is>
      </c>
      <c r="I416" t="inlineStr">
        <is>
          <t>Delivered</t>
        </is>
      </c>
      <c r="J416" t="n">
        <v>129</v>
      </c>
      <c r="K416" t="n">
        <v>2</v>
      </c>
      <c r="L416" t="n">
        <v>576</v>
      </c>
      <c r="M416" t="n">
        <v>115.2</v>
      </c>
      <c r="N416">
        <f>VLOOKUP(J416,Products!$A$2:$C$49,3,FALSE)</f>
        <v/>
      </c>
      <c r="O416">
        <f>K416*L416-M416</f>
        <v/>
      </c>
      <c r="P416">
        <f>TEXT(B416,"yyyy-mm")</f>
        <v/>
      </c>
      <c r="Q416">
        <f>IF(O416&gt;=3000,"Large","Small")</f>
        <v/>
      </c>
      <c r="R416">
        <f>INDEX(Products!$F$2:$F$49,MATCH(J416,Products!$A$2:$A$49,0))</f>
        <v/>
      </c>
      <c r="S416">
        <f>WEEKDAY(B416,2)</f>
        <v/>
      </c>
    </row>
    <row r="417">
      <c r="A417" t="n">
        <v>509538</v>
      </c>
      <c r="B417" s="6" t="n">
        <v>45937</v>
      </c>
      <c r="C417" t="n">
        <v>16680</v>
      </c>
      <c r="D417" t="inlineStr">
        <is>
          <t>Chennai</t>
        </is>
      </c>
      <c r="E417" t="inlineStr">
        <is>
          <t>South</t>
        </is>
      </c>
      <c r="F417" t="inlineStr">
        <is>
          <t>Paid Search</t>
        </is>
      </c>
      <c r="G417" t="inlineStr">
        <is>
          <t>Desktop</t>
        </is>
      </c>
      <c r="H417" t="inlineStr">
        <is>
          <t>Credit Card</t>
        </is>
      </c>
      <c r="I417" t="inlineStr">
        <is>
          <t>Delivered</t>
        </is>
      </c>
      <c r="J417" t="n">
        <v>134</v>
      </c>
      <c r="K417" t="n">
        <v>1</v>
      </c>
      <c r="L417" t="n">
        <v>209</v>
      </c>
      <c r="M417" t="n">
        <v>20.9</v>
      </c>
      <c r="N417">
        <f>VLOOKUP(J417,Products!$A$2:$C$49,3,FALSE)</f>
        <v/>
      </c>
      <c r="O417">
        <f>K417*L417-M417</f>
        <v/>
      </c>
      <c r="P417">
        <f>TEXT(B417,"yyyy-mm")</f>
        <v/>
      </c>
      <c r="Q417">
        <f>IF(O417&gt;=3000,"Large","Small")</f>
        <v/>
      </c>
      <c r="R417">
        <f>INDEX(Products!$F$2:$F$49,MATCH(J417,Products!$A$2:$A$49,0))</f>
        <v/>
      </c>
      <c r="S417">
        <f>WEEKDAY(B417,2)</f>
        <v/>
      </c>
    </row>
    <row r="418">
      <c r="A418" t="n">
        <v>509539</v>
      </c>
      <c r="B418" s="6" t="n">
        <v>45937</v>
      </c>
      <c r="C418" t="n">
        <v>12623</v>
      </c>
      <c r="D418" t="inlineStr">
        <is>
          <t>Jaipur</t>
        </is>
      </c>
      <c r="E418" t="inlineStr">
        <is>
          <t>North</t>
        </is>
      </c>
      <c r="F418" t="inlineStr">
        <is>
          <t>Referral</t>
        </is>
      </c>
      <c r="G418" t="inlineStr">
        <is>
          <t>Mobile App</t>
        </is>
      </c>
      <c r="H418" t="inlineStr">
        <is>
          <t>Credit Card</t>
        </is>
      </c>
      <c r="I418" t="inlineStr">
        <is>
          <t>Delivered</t>
        </is>
      </c>
      <c r="J418" t="n">
        <v>123</v>
      </c>
      <c r="K418" t="n">
        <v>1</v>
      </c>
      <c r="L418" t="n">
        <v>3464</v>
      </c>
      <c r="M418" t="n">
        <v>346.4</v>
      </c>
      <c r="N418">
        <f>VLOOKUP(J418,Products!$A$2:$C$49,3,FALSE)</f>
        <v/>
      </c>
      <c r="O418">
        <f>K418*L418-M418</f>
        <v/>
      </c>
      <c r="P418">
        <f>TEXT(B418,"yyyy-mm")</f>
        <v/>
      </c>
      <c r="Q418">
        <f>IF(O418&gt;=3000,"Large","Small")</f>
        <v/>
      </c>
      <c r="R418">
        <f>INDEX(Products!$F$2:$F$49,MATCH(J418,Products!$A$2:$A$49,0))</f>
        <v/>
      </c>
      <c r="S418">
        <f>WEEKDAY(B418,2)</f>
        <v/>
      </c>
    </row>
    <row r="419">
      <c r="A419" t="n">
        <v>509539</v>
      </c>
      <c r="B419" s="6" t="n">
        <v>45937</v>
      </c>
      <c r="C419" t="n">
        <v>12623</v>
      </c>
      <c r="D419" t="inlineStr">
        <is>
          <t>Jaipur</t>
        </is>
      </c>
      <c r="E419" t="inlineStr">
        <is>
          <t>North</t>
        </is>
      </c>
      <c r="F419" t="inlineStr">
        <is>
          <t>Referral</t>
        </is>
      </c>
      <c r="G419" t="inlineStr">
        <is>
          <t>Mobile App</t>
        </is>
      </c>
      <c r="H419" t="inlineStr">
        <is>
          <t>Credit Card</t>
        </is>
      </c>
      <c r="I419" t="inlineStr">
        <is>
          <t>Delivered</t>
        </is>
      </c>
      <c r="J419" t="n">
        <v>129</v>
      </c>
      <c r="K419" t="n">
        <v>2</v>
      </c>
      <c r="L419" t="n">
        <v>576</v>
      </c>
      <c r="M419" t="n">
        <v>115.2</v>
      </c>
      <c r="N419">
        <f>VLOOKUP(J419,Products!$A$2:$C$49,3,FALSE)</f>
        <v/>
      </c>
      <c r="O419">
        <f>K419*L419-M419</f>
        <v/>
      </c>
      <c r="P419">
        <f>TEXT(B419,"yyyy-mm")</f>
        <v/>
      </c>
      <c r="Q419">
        <f>IF(O419&gt;=3000,"Large","Small")</f>
        <v/>
      </c>
      <c r="R419">
        <f>INDEX(Products!$F$2:$F$49,MATCH(J419,Products!$A$2:$A$49,0))</f>
        <v/>
      </c>
      <c r="S419">
        <f>WEEKDAY(B419,2)</f>
        <v/>
      </c>
    </row>
    <row r="420">
      <c r="A420" t="n">
        <v>509540</v>
      </c>
      <c r="B420" s="6" t="n">
        <v>45937</v>
      </c>
      <c r="C420" t="n">
        <v>12660</v>
      </c>
      <c r="D420" t="inlineStr">
        <is>
          <t>Mumbai</t>
        </is>
      </c>
      <c r="E420" t="inlineStr">
        <is>
          <t>West</t>
        </is>
      </c>
      <c r="F420" t="inlineStr">
        <is>
          <t>Organic Search</t>
        </is>
      </c>
      <c r="G420" t="inlineStr">
        <is>
          <t>Mobile App</t>
        </is>
      </c>
      <c r="H420" t="inlineStr">
        <is>
          <t>UPI</t>
        </is>
      </c>
      <c r="I420" t="inlineStr">
        <is>
          <t>Delivered</t>
        </is>
      </c>
      <c r="J420" t="n">
        <v>103</v>
      </c>
      <c r="K420" t="n">
        <v>1</v>
      </c>
      <c r="L420" t="n">
        <v>2624</v>
      </c>
      <c r="M420" t="n">
        <v>262.4</v>
      </c>
      <c r="N420">
        <f>VLOOKUP(J420,Products!$A$2:$C$49,3,FALSE)</f>
        <v/>
      </c>
      <c r="O420">
        <f>K420*L420-M420</f>
        <v/>
      </c>
      <c r="P420">
        <f>TEXT(B420,"yyyy-mm")</f>
        <v/>
      </c>
      <c r="Q420">
        <f>IF(O420&gt;=3000,"Large","Small")</f>
        <v/>
      </c>
      <c r="R420">
        <f>INDEX(Products!$F$2:$F$49,MATCH(J420,Products!$A$2:$A$49,0))</f>
        <v/>
      </c>
      <c r="S420">
        <f>WEEKDAY(B420,2)</f>
        <v/>
      </c>
    </row>
    <row r="421">
      <c r="A421" t="n">
        <v>509540</v>
      </c>
      <c r="B421" s="6" t="n">
        <v>45937</v>
      </c>
      <c r="C421" t="n">
        <v>12660</v>
      </c>
      <c r="D421" t="inlineStr">
        <is>
          <t>Mumbai</t>
        </is>
      </c>
      <c r="E421" t="inlineStr">
        <is>
          <t>West</t>
        </is>
      </c>
      <c r="F421" t="inlineStr">
        <is>
          <t>Organic Search</t>
        </is>
      </c>
      <c r="G421" t="inlineStr">
        <is>
          <t>Mobile App</t>
        </is>
      </c>
      <c r="H421" t="inlineStr">
        <is>
          <t>UPI</t>
        </is>
      </c>
      <c r="I421" t="inlineStr">
        <is>
          <t>Delivered</t>
        </is>
      </c>
      <c r="J421" t="n">
        <v>140</v>
      </c>
      <c r="K421" t="n">
        <v>1</v>
      </c>
      <c r="L421" t="n">
        <v>629</v>
      </c>
      <c r="M421" t="n">
        <v>62.9</v>
      </c>
      <c r="N421">
        <f>VLOOKUP(J421,Products!$A$2:$C$49,3,FALSE)</f>
        <v/>
      </c>
      <c r="O421">
        <f>K421*L421-M421</f>
        <v/>
      </c>
      <c r="P421">
        <f>TEXT(B421,"yyyy-mm")</f>
        <v/>
      </c>
      <c r="Q421">
        <f>IF(O421&gt;=3000,"Large","Small")</f>
        <v/>
      </c>
      <c r="R421">
        <f>INDEX(Products!$F$2:$F$49,MATCH(J421,Products!$A$2:$A$49,0))</f>
        <v/>
      </c>
      <c r="S421">
        <f>WEEKDAY(B421,2)</f>
        <v/>
      </c>
    </row>
    <row r="422">
      <c r="A422" t="n">
        <v>509541</v>
      </c>
      <c r="B422" s="6" t="n">
        <v>45937</v>
      </c>
      <c r="C422" t="n">
        <v>16595</v>
      </c>
      <c r="D422" t="inlineStr">
        <is>
          <t>Delhi</t>
        </is>
      </c>
      <c r="E422" t="inlineStr">
        <is>
          <t>North</t>
        </is>
      </c>
      <c r="F422" t="inlineStr">
        <is>
          <t>Paid Search</t>
        </is>
      </c>
      <c r="G422" t="inlineStr">
        <is>
          <t>Mobile App</t>
        </is>
      </c>
      <c r="H422" t="inlineStr">
        <is>
          <t>UPI</t>
        </is>
      </c>
      <c r="I422" t="inlineStr">
        <is>
          <t>Delivered</t>
        </is>
      </c>
      <c r="J422" t="n">
        <v>104</v>
      </c>
      <c r="K422" t="n">
        <v>2</v>
      </c>
      <c r="L422" t="n">
        <v>5249</v>
      </c>
      <c r="M422" t="n">
        <v>1049.8</v>
      </c>
      <c r="N422">
        <f>VLOOKUP(J422,Products!$A$2:$C$49,3,FALSE)</f>
        <v/>
      </c>
      <c r="O422">
        <f>K422*L422-M422</f>
        <v/>
      </c>
      <c r="P422">
        <f>TEXT(B422,"yyyy-mm")</f>
        <v/>
      </c>
      <c r="Q422">
        <f>IF(O422&gt;=3000,"Large","Small")</f>
        <v/>
      </c>
      <c r="R422">
        <f>INDEX(Products!$F$2:$F$49,MATCH(J422,Products!$A$2:$A$49,0))</f>
        <v/>
      </c>
      <c r="S422">
        <f>WEEKDAY(B422,2)</f>
        <v/>
      </c>
    </row>
    <row r="423">
      <c r="A423" t="n">
        <v>509541</v>
      </c>
      <c r="B423" s="6" t="n">
        <v>45937</v>
      </c>
      <c r="C423" t="n">
        <v>16595</v>
      </c>
      <c r="D423" t="inlineStr">
        <is>
          <t>Delhi</t>
        </is>
      </c>
      <c r="E423" t="inlineStr">
        <is>
          <t>North</t>
        </is>
      </c>
      <c r="F423" t="inlineStr">
        <is>
          <t>Paid Search</t>
        </is>
      </c>
      <c r="G423" t="inlineStr">
        <is>
          <t>Mobile App</t>
        </is>
      </c>
      <c r="H423" t="inlineStr">
        <is>
          <t>UPI</t>
        </is>
      </c>
      <c r="I423" t="inlineStr">
        <is>
          <t>Delivered</t>
        </is>
      </c>
      <c r="J423" t="n">
        <v>129</v>
      </c>
      <c r="K423" t="n">
        <v>1</v>
      </c>
      <c r="L423" t="n">
        <v>576</v>
      </c>
      <c r="M423" t="n">
        <v>57.6</v>
      </c>
      <c r="N423">
        <f>VLOOKUP(J423,Products!$A$2:$C$49,3,FALSE)</f>
        <v/>
      </c>
      <c r="O423">
        <f>K423*L423-M423</f>
        <v/>
      </c>
      <c r="P423">
        <f>TEXT(B423,"yyyy-mm")</f>
        <v/>
      </c>
      <c r="Q423">
        <f>IF(O423&gt;=3000,"Large","Small")</f>
        <v/>
      </c>
      <c r="R423">
        <f>INDEX(Products!$F$2:$F$49,MATCH(J423,Products!$A$2:$A$49,0))</f>
        <v/>
      </c>
      <c r="S423">
        <f>WEEKDAY(B423,2)</f>
        <v/>
      </c>
    </row>
    <row r="424">
      <c r="A424" t="n">
        <v>509542</v>
      </c>
      <c r="B424" s="6" t="n">
        <v>45937</v>
      </c>
      <c r="C424" t="n">
        <v>16641</v>
      </c>
      <c r="D424" t="inlineStr">
        <is>
          <t>Mumbai</t>
        </is>
      </c>
      <c r="E424" t="inlineStr">
        <is>
          <t>West</t>
        </is>
      </c>
      <c r="F424" t="inlineStr">
        <is>
          <t>Paid Search</t>
        </is>
      </c>
      <c r="G424" t="inlineStr">
        <is>
          <t>Desktop</t>
        </is>
      </c>
      <c r="H424" t="inlineStr">
        <is>
          <t>Credit Card</t>
        </is>
      </c>
      <c r="I424" t="inlineStr">
        <is>
          <t>Delivered</t>
        </is>
      </c>
      <c r="J424" t="n">
        <v>112</v>
      </c>
      <c r="K424" t="n">
        <v>1</v>
      </c>
      <c r="L424" t="n">
        <v>1574</v>
      </c>
      <c r="M424" t="n">
        <v>0</v>
      </c>
      <c r="N424">
        <f>VLOOKUP(J424,Products!$A$2:$C$49,3,FALSE)</f>
        <v/>
      </c>
      <c r="O424">
        <f>K424*L424-M424</f>
        <v/>
      </c>
      <c r="P424">
        <f>TEXT(B424,"yyyy-mm")</f>
        <v/>
      </c>
      <c r="Q424">
        <f>IF(O424&gt;=3000,"Large","Small")</f>
        <v/>
      </c>
      <c r="R424">
        <f>INDEX(Products!$F$2:$F$49,MATCH(J424,Products!$A$2:$A$49,0))</f>
        <v/>
      </c>
      <c r="S424">
        <f>WEEKDAY(B424,2)</f>
        <v/>
      </c>
    </row>
    <row r="425">
      <c r="A425" t="n">
        <v>509543</v>
      </c>
      <c r="B425" s="6" t="n">
        <v>45937</v>
      </c>
      <c r="C425" t="n">
        <v>14753</v>
      </c>
      <c r="D425" t="inlineStr">
        <is>
          <t>Lucknow</t>
        </is>
      </c>
      <c r="E425" t="inlineStr">
        <is>
          <t>North</t>
        </is>
      </c>
      <c r="F425" t="inlineStr">
        <is>
          <t>Paid Search</t>
        </is>
      </c>
      <c r="G425" t="inlineStr">
        <is>
          <t>Mobile App</t>
        </is>
      </c>
      <c r="H425" t="inlineStr">
        <is>
          <t>UPI</t>
        </is>
      </c>
      <c r="I425" t="inlineStr">
        <is>
          <t>Delivered</t>
        </is>
      </c>
      <c r="J425" t="n">
        <v>138</v>
      </c>
      <c r="K425" t="n">
        <v>1</v>
      </c>
      <c r="L425" t="n">
        <v>419</v>
      </c>
      <c r="M425" t="n">
        <v>41.9</v>
      </c>
      <c r="N425">
        <f>VLOOKUP(J425,Products!$A$2:$C$49,3,FALSE)</f>
        <v/>
      </c>
      <c r="O425">
        <f>K425*L425-M425</f>
        <v/>
      </c>
      <c r="P425">
        <f>TEXT(B425,"yyyy-mm")</f>
        <v/>
      </c>
      <c r="Q425">
        <f>IF(O425&gt;=3000,"Large","Small")</f>
        <v/>
      </c>
      <c r="R425">
        <f>INDEX(Products!$F$2:$F$49,MATCH(J425,Products!$A$2:$A$49,0))</f>
        <v/>
      </c>
      <c r="S425">
        <f>WEEKDAY(B425,2)</f>
        <v/>
      </c>
    </row>
    <row r="426">
      <c r="A426" t="n">
        <v>509543</v>
      </c>
      <c r="B426" s="6" t="n">
        <v>45937</v>
      </c>
      <c r="C426" t="n">
        <v>14753</v>
      </c>
      <c r="D426" t="inlineStr">
        <is>
          <t>Lucknow</t>
        </is>
      </c>
      <c r="E426" t="inlineStr">
        <is>
          <t>North</t>
        </is>
      </c>
      <c r="F426" t="inlineStr">
        <is>
          <t>Paid Search</t>
        </is>
      </c>
      <c r="G426" t="inlineStr">
        <is>
          <t>Mobile App</t>
        </is>
      </c>
      <c r="H426" t="inlineStr">
        <is>
          <t>UPI</t>
        </is>
      </c>
      <c r="I426" t="inlineStr">
        <is>
          <t>Delivered</t>
        </is>
      </c>
      <c r="J426" t="n">
        <v>129</v>
      </c>
      <c r="K426" t="n">
        <v>1</v>
      </c>
      <c r="L426" t="n">
        <v>576</v>
      </c>
      <c r="M426" t="n">
        <v>57.6</v>
      </c>
      <c r="N426">
        <f>VLOOKUP(J426,Products!$A$2:$C$49,3,FALSE)</f>
        <v/>
      </c>
      <c r="O426">
        <f>K426*L426-M426</f>
        <v/>
      </c>
      <c r="P426">
        <f>TEXT(B426,"yyyy-mm")</f>
        <v/>
      </c>
      <c r="Q426">
        <f>IF(O426&gt;=3000,"Large","Small")</f>
        <v/>
      </c>
      <c r="R426">
        <f>INDEX(Products!$F$2:$F$49,MATCH(J426,Products!$A$2:$A$49,0))</f>
        <v/>
      </c>
      <c r="S426">
        <f>WEEKDAY(B426,2)</f>
        <v/>
      </c>
    </row>
    <row r="427">
      <c r="A427" t="n">
        <v>509544</v>
      </c>
      <c r="B427" s="6" t="n">
        <v>45937</v>
      </c>
      <c r="C427" t="n">
        <v>16601</v>
      </c>
      <c r="D427" t="inlineStr">
        <is>
          <t>Mumbai</t>
        </is>
      </c>
      <c r="E427" t="inlineStr">
        <is>
          <t>West</t>
        </is>
      </c>
      <c r="F427" t="inlineStr">
        <is>
          <t>Email</t>
        </is>
      </c>
      <c r="G427" t="inlineStr">
        <is>
          <t>Mobile App</t>
        </is>
      </c>
      <c r="H427" t="inlineStr">
        <is>
          <t>UPI</t>
        </is>
      </c>
      <c r="I427" t="inlineStr">
        <is>
          <t>Delivered</t>
        </is>
      </c>
      <c r="J427" t="n">
        <v>111</v>
      </c>
      <c r="K427" t="n">
        <v>1</v>
      </c>
      <c r="L427" t="n">
        <v>524</v>
      </c>
      <c r="M427" t="n">
        <v>52.4</v>
      </c>
      <c r="N427">
        <f>VLOOKUP(J427,Products!$A$2:$C$49,3,FALSE)</f>
        <v/>
      </c>
      <c r="O427">
        <f>K427*L427-M427</f>
        <v/>
      </c>
      <c r="P427">
        <f>TEXT(B427,"yyyy-mm")</f>
        <v/>
      </c>
      <c r="Q427">
        <f>IF(O427&gt;=3000,"Large","Small")</f>
        <v/>
      </c>
      <c r="R427">
        <f>INDEX(Products!$F$2:$F$49,MATCH(J427,Products!$A$2:$A$49,0))</f>
        <v/>
      </c>
      <c r="S427">
        <f>WEEKDAY(B427,2)</f>
        <v/>
      </c>
    </row>
    <row r="428">
      <c r="A428" t="n">
        <v>509544</v>
      </c>
      <c r="B428" s="6" t="n">
        <v>45937</v>
      </c>
      <c r="C428" t="n">
        <v>16601</v>
      </c>
      <c r="D428" t="inlineStr">
        <is>
          <t>Mumbai</t>
        </is>
      </c>
      <c r="E428" t="inlineStr">
        <is>
          <t>West</t>
        </is>
      </c>
      <c r="F428" t="inlineStr">
        <is>
          <t>Email</t>
        </is>
      </c>
      <c r="G428" t="inlineStr">
        <is>
          <t>Mobile App</t>
        </is>
      </c>
      <c r="H428" t="inlineStr">
        <is>
          <t>UPI</t>
        </is>
      </c>
      <c r="I428" t="inlineStr">
        <is>
          <t>Delivered</t>
        </is>
      </c>
      <c r="J428" t="n">
        <v>135</v>
      </c>
      <c r="K428" t="n">
        <v>2</v>
      </c>
      <c r="L428" t="n">
        <v>1574</v>
      </c>
      <c r="M428" t="n">
        <v>314.8</v>
      </c>
      <c r="N428">
        <f>VLOOKUP(J428,Products!$A$2:$C$49,3,FALSE)</f>
        <v/>
      </c>
      <c r="O428">
        <f>K428*L428-M428</f>
        <v/>
      </c>
      <c r="P428">
        <f>TEXT(B428,"yyyy-mm")</f>
        <v/>
      </c>
      <c r="Q428">
        <f>IF(O428&gt;=3000,"Large","Small")</f>
        <v/>
      </c>
      <c r="R428">
        <f>INDEX(Products!$F$2:$F$49,MATCH(J428,Products!$A$2:$A$49,0))</f>
        <v/>
      </c>
      <c r="S428">
        <f>WEEKDAY(B428,2)</f>
        <v/>
      </c>
    </row>
    <row r="429">
      <c r="A429" t="n">
        <v>509545</v>
      </c>
      <c r="B429" s="6" t="n">
        <v>45937</v>
      </c>
      <c r="C429" t="n">
        <v>14244</v>
      </c>
      <c r="D429" t="inlineStr">
        <is>
          <t>Bengaluru</t>
        </is>
      </c>
      <c r="E429" t="inlineStr">
        <is>
          <t>South</t>
        </is>
      </c>
      <c r="F429" t="inlineStr">
        <is>
          <t>Paid Social</t>
        </is>
      </c>
      <c r="G429" t="inlineStr">
        <is>
          <t>Mobile App</t>
        </is>
      </c>
      <c r="H429" t="inlineStr">
        <is>
          <t>Cash on Delivery</t>
        </is>
      </c>
      <c r="I429" t="inlineStr">
        <is>
          <t>Delivered</t>
        </is>
      </c>
      <c r="J429" t="n">
        <v>118</v>
      </c>
      <c r="K429" t="n">
        <v>1</v>
      </c>
      <c r="L429" t="n">
        <v>944</v>
      </c>
      <c r="M429" t="n">
        <v>94.40000000000001</v>
      </c>
      <c r="N429">
        <f>VLOOKUP(J429,Products!$A$2:$C$49,3,FALSE)</f>
        <v/>
      </c>
      <c r="O429">
        <f>K429*L429-M429</f>
        <v/>
      </c>
      <c r="P429">
        <f>TEXT(B429,"yyyy-mm")</f>
        <v/>
      </c>
      <c r="Q429">
        <f>IF(O429&gt;=3000,"Large","Small")</f>
        <v/>
      </c>
      <c r="R429">
        <f>INDEX(Products!$F$2:$F$49,MATCH(J429,Products!$A$2:$A$49,0))</f>
        <v/>
      </c>
      <c r="S429">
        <f>WEEKDAY(B429,2)</f>
        <v/>
      </c>
    </row>
    <row r="430">
      <c r="A430" t="n">
        <v>509545</v>
      </c>
      <c r="B430" s="6" t="n">
        <v>45937</v>
      </c>
      <c r="C430" t="n">
        <v>14244</v>
      </c>
      <c r="D430" t="inlineStr">
        <is>
          <t>Bengaluru</t>
        </is>
      </c>
      <c r="E430" t="inlineStr">
        <is>
          <t>South</t>
        </is>
      </c>
      <c r="F430" t="inlineStr">
        <is>
          <t>Paid Social</t>
        </is>
      </c>
      <c r="G430" t="inlineStr">
        <is>
          <t>Mobile App</t>
        </is>
      </c>
      <c r="H430" t="inlineStr">
        <is>
          <t>Cash on Delivery</t>
        </is>
      </c>
      <c r="I430" t="inlineStr">
        <is>
          <t>Delivered</t>
        </is>
      </c>
      <c r="J430" t="n">
        <v>129</v>
      </c>
      <c r="K430" t="n">
        <v>1</v>
      </c>
      <c r="L430" t="n">
        <v>576</v>
      </c>
      <c r="M430" t="n">
        <v>57.6</v>
      </c>
      <c r="N430">
        <f>VLOOKUP(J430,Products!$A$2:$C$49,3,FALSE)</f>
        <v/>
      </c>
      <c r="O430">
        <f>K430*L430-M430</f>
        <v/>
      </c>
      <c r="P430">
        <f>TEXT(B430,"yyyy-mm")</f>
        <v/>
      </c>
      <c r="Q430">
        <f>IF(O430&gt;=3000,"Large","Small")</f>
        <v/>
      </c>
      <c r="R430">
        <f>INDEX(Products!$F$2:$F$49,MATCH(J430,Products!$A$2:$A$49,0))</f>
        <v/>
      </c>
      <c r="S430">
        <f>WEEKDAY(B430,2)</f>
        <v/>
      </c>
    </row>
    <row r="431">
      <c r="A431" t="n">
        <v>509546</v>
      </c>
      <c r="B431" s="6" t="n">
        <v>45937</v>
      </c>
      <c r="C431" t="n">
        <v>14910</v>
      </c>
      <c r="D431" t="inlineStr">
        <is>
          <t>Lucknow</t>
        </is>
      </c>
      <c r="E431" t="inlineStr">
        <is>
          <t>North</t>
        </is>
      </c>
      <c r="F431" t="inlineStr">
        <is>
          <t>Paid Social</t>
        </is>
      </c>
      <c r="G431" t="inlineStr">
        <is>
          <t>Mobile App</t>
        </is>
      </c>
      <c r="H431" t="inlineStr">
        <is>
          <t>UPI</t>
        </is>
      </c>
      <c r="I431" t="inlineStr">
        <is>
          <t>Delivered</t>
        </is>
      </c>
      <c r="J431" t="n">
        <v>137</v>
      </c>
      <c r="K431" t="n">
        <v>1</v>
      </c>
      <c r="L431" t="n">
        <v>261</v>
      </c>
      <c r="M431" t="n">
        <v>13.05</v>
      </c>
      <c r="N431">
        <f>VLOOKUP(J431,Products!$A$2:$C$49,3,FALSE)</f>
        <v/>
      </c>
      <c r="O431">
        <f>K431*L431-M431</f>
        <v/>
      </c>
      <c r="P431">
        <f>TEXT(B431,"yyyy-mm")</f>
        <v/>
      </c>
      <c r="Q431">
        <f>IF(O431&gt;=3000,"Large","Small")</f>
        <v/>
      </c>
      <c r="R431">
        <f>INDEX(Products!$F$2:$F$49,MATCH(J431,Products!$A$2:$A$49,0))</f>
        <v/>
      </c>
      <c r="S431">
        <f>WEEKDAY(B431,2)</f>
        <v/>
      </c>
    </row>
    <row r="432">
      <c r="A432" t="n">
        <v>509547</v>
      </c>
      <c r="B432" s="6" t="n">
        <v>45937</v>
      </c>
      <c r="C432" t="n">
        <v>12133</v>
      </c>
      <c r="D432" t="inlineStr">
        <is>
          <t>Mumbai</t>
        </is>
      </c>
      <c r="E432" t="inlineStr">
        <is>
          <t>West</t>
        </is>
      </c>
      <c r="F432" t="inlineStr">
        <is>
          <t>Paid Social</t>
        </is>
      </c>
      <c r="G432" t="inlineStr">
        <is>
          <t>Mobile App</t>
        </is>
      </c>
      <c r="H432" t="inlineStr">
        <is>
          <t>Cash on Delivery</t>
        </is>
      </c>
      <c r="I432" t="inlineStr">
        <is>
          <t>Delivered</t>
        </is>
      </c>
      <c r="J432" t="n">
        <v>143</v>
      </c>
      <c r="K432" t="n">
        <v>1</v>
      </c>
      <c r="L432" t="n">
        <v>839</v>
      </c>
      <c r="M432" t="n">
        <v>0</v>
      </c>
      <c r="N432">
        <f>VLOOKUP(J432,Products!$A$2:$C$49,3,FALSE)</f>
        <v/>
      </c>
      <c r="O432">
        <f>K432*L432-M432</f>
        <v/>
      </c>
      <c r="P432">
        <f>TEXT(B432,"yyyy-mm")</f>
        <v/>
      </c>
      <c r="Q432">
        <f>IF(O432&gt;=3000,"Large","Small")</f>
        <v/>
      </c>
      <c r="R432">
        <f>INDEX(Products!$F$2:$F$49,MATCH(J432,Products!$A$2:$A$49,0))</f>
        <v/>
      </c>
      <c r="S432">
        <f>WEEKDAY(B432,2)</f>
        <v/>
      </c>
    </row>
    <row r="433">
      <c r="A433" t="n">
        <v>509547</v>
      </c>
      <c r="B433" s="6" t="n">
        <v>45937</v>
      </c>
      <c r="C433" t="n">
        <v>12133</v>
      </c>
      <c r="D433" t="inlineStr">
        <is>
          <t>Mumbai</t>
        </is>
      </c>
      <c r="E433" t="inlineStr">
        <is>
          <t>West</t>
        </is>
      </c>
      <c r="F433" t="inlineStr">
        <is>
          <t>Paid Social</t>
        </is>
      </c>
      <c r="G433" t="inlineStr">
        <is>
          <t>Mobile App</t>
        </is>
      </c>
      <c r="H433" t="inlineStr">
        <is>
          <t>Cash on Delivery</t>
        </is>
      </c>
      <c r="I433" t="inlineStr">
        <is>
          <t>Delivered</t>
        </is>
      </c>
      <c r="J433" t="n">
        <v>104</v>
      </c>
      <c r="K433" t="n">
        <v>1</v>
      </c>
      <c r="L433" t="n">
        <v>5249</v>
      </c>
      <c r="M433" t="n">
        <v>0</v>
      </c>
      <c r="N433">
        <f>VLOOKUP(J433,Products!$A$2:$C$49,3,FALSE)</f>
        <v/>
      </c>
      <c r="O433">
        <f>K433*L433-M433</f>
        <v/>
      </c>
      <c r="P433">
        <f>TEXT(B433,"yyyy-mm")</f>
        <v/>
      </c>
      <c r="Q433">
        <f>IF(O433&gt;=3000,"Large","Small")</f>
        <v/>
      </c>
      <c r="R433">
        <f>INDEX(Products!$F$2:$F$49,MATCH(J433,Products!$A$2:$A$49,0))</f>
        <v/>
      </c>
      <c r="S433">
        <f>WEEKDAY(B433,2)</f>
        <v/>
      </c>
    </row>
    <row r="434">
      <c r="A434" t="n">
        <v>509547</v>
      </c>
      <c r="B434" s="6" t="n">
        <v>45937</v>
      </c>
      <c r="C434" t="n">
        <v>12133</v>
      </c>
      <c r="D434" t="inlineStr">
        <is>
          <t>Mumbai</t>
        </is>
      </c>
      <c r="E434" t="inlineStr">
        <is>
          <t>West</t>
        </is>
      </c>
      <c r="F434" t="inlineStr">
        <is>
          <t>Paid Social</t>
        </is>
      </c>
      <c r="G434" t="inlineStr">
        <is>
          <t>Mobile App</t>
        </is>
      </c>
      <c r="H434" t="inlineStr">
        <is>
          <t>Cash on Delivery</t>
        </is>
      </c>
      <c r="I434" t="inlineStr">
        <is>
          <t>Delivered</t>
        </is>
      </c>
      <c r="J434" t="n">
        <v>138</v>
      </c>
      <c r="K434" t="n">
        <v>1</v>
      </c>
      <c r="L434" t="n">
        <v>419</v>
      </c>
      <c r="M434" t="n">
        <v>0</v>
      </c>
      <c r="N434">
        <f>VLOOKUP(J434,Products!$A$2:$C$49,3,FALSE)</f>
        <v/>
      </c>
      <c r="O434">
        <f>K434*L434-M434</f>
        <v/>
      </c>
      <c r="P434">
        <f>TEXT(B434,"yyyy-mm")</f>
        <v/>
      </c>
      <c r="Q434">
        <f>IF(O434&gt;=3000,"Large","Small")</f>
        <v/>
      </c>
      <c r="R434">
        <f>INDEX(Products!$F$2:$F$49,MATCH(J434,Products!$A$2:$A$49,0))</f>
        <v/>
      </c>
      <c r="S434">
        <f>WEEKDAY(B434,2)</f>
        <v/>
      </c>
    </row>
    <row r="435">
      <c r="A435" t="n">
        <v>509547</v>
      </c>
      <c r="B435" s="6" t="n">
        <v>45937</v>
      </c>
      <c r="C435" t="n">
        <v>12133</v>
      </c>
      <c r="D435" t="inlineStr">
        <is>
          <t>Mumbai</t>
        </is>
      </c>
      <c r="E435" t="inlineStr">
        <is>
          <t>West</t>
        </is>
      </c>
      <c r="F435" t="inlineStr">
        <is>
          <t>Paid Social</t>
        </is>
      </c>
      <c r="G435" t="inlineStr">
        <is>
          <t>Mobile App</t>
        </is>
      </c>
      <c r="H435" t="inlineStr">
        <is>
          <t>Cash on Delivery</t>
        </is>
      </c>
      <c r="I435" t="inlineStr">
        <is>
          <t>Delivered</t>
        </is>
      </c>
      <c r="J435" t="n">
        <v>129</v>
      </c>
      <c r="K435" t="n">
        <v>1</v>
      </c>
      <c r="L435" t="n">
        <v>576</v>
      </c>
      <c r="M435" t="n">
        <v>0</v>
      </c>
      <c r="N435">
        <f>VLOOKUP(J435,Products!$A$2:$C$49,3,FALSE)</f>
        <v/>
      </c>
      <c r="O435">
        <f>K435*L435-M435</f>
        <v/>
      </c>
      <c r="P435">
        <f>TEXT(B435,"yyyy-mm")</f>
        <v/>
      </c>
      <c r="Q435">
        <f>IF(O435&gt;=3000,"Large","Small")</f>
        <v/>
      </c>
      <c r="R435">
        <f>INDEX(Products!$F$2:$F$49,MATCH(J435,Products!$A$2:$A$49,0))</f>
        <v/>
      </c>
      <c r="S435">
        <f>WEEKDAY(B435,2)</f>
        <v/>
      </c>
    </row>
    <row r="436">
      <c r="A436" t="n">
        <v>509548</v>
      </c>
      <c r="B436" s="6" t="n">
        <v>45937</v>
      </c>
      <c r="C436" t="n">
        <v>15091</v>
      </c>
      <c r="D436" t="inlineStr">
        <is>
          <t>Mumbai</t>
        </is>
      </c>
      <c r="E436" t="inlineStr">
        <is>
          <t>West</t>
        </is>
      </c>
      <c r="F436" t="inlineStr">
        <is>
          <t>Paid Search</t>
        </is>
      </c>
      <c r="G436" t="inlineStr">
        <is>
          <t>Mobile Web</t>
        </is>
      </c>
      <c r="H436" t="inlineStr">
        <is>
          <t>Cash on Delivery</t>
        </is>
      </c>
      <c r="I436" t="inlineStr">
        <is>
          <t>Delivered</t>
        </is>
      </c>
      <c r="J436" t="n">
        <v>113</v>
      </c>
      <c r="K436" t="n">
        <v>1</v>
      </c>
      <c r="L436" t="n">
        <v>1364</v>
      </c>
      <c r="M436" t="n">
        <v>136.4</v>
      </c>
      <c r="N436">
        <f>VLOOKUP(J436,Products!$A$2:$C$49,3,FALSE)</f>
        <v/>
      </c>
      <c r="O436">
        <f>K436*L436-M436</f>
        <v/>
      </c>
      <c r="P436">
        <f>TEXT(B436,"yyyy-mm")</f>
        <v/>
      </c>
      <c r="Q436">
        <f>IF(O436&gt;=3000,"Large","Small")</f>
        <v/>
      </c>
      <c r="R436">
        <f>INDEX(Products!$F$2:$F$49,MATCH(J436,Products!$A$2:$A$49,0))</f>
        <v/>
      </c>
      <c r="S436">
        <f>WEEKDAY(B436,2)</f>
        <v/>
      </c>
    </row>
    <row r="437">
      <c r="A437" t="n">
        <v>509548</v>
      </c>
      <c r="B437" s="6" t="n">
        <v>45937</v>
      </c>
      <c r="C437" t="n">
        <v>15091</v>
      </c>
      <c r="D437" t="inlineStr">
        <is>
          <t>Mumbai</t>
        </is>
      </c>
      <c r="E437" t="inlineStr">
        <is>
          <t>West</t>
        </is>
      </c>
      <c r="F437" t="inlineStr">
        <is>
          <t>Paid Search</t>
        </is>
      </c>
      <c r="G437" t="inlineStr">
        <is>
          <t>Mobile Web</t>
        </is>
      </c>
      <c r="H437" t="inlineStr">
        <is>
          <t>Cash on Delivery</t>
        </is>
      </c>
      <c r="I437" t="inlineStr">
        <is>
          <t>Delivered</t>
        </is>
      </c>
      <c r="J437" t="n">
        <v>129</v>
      </c>
      <c r="K437" t="n">
        <v>2</v>
      </c>
      <c r="L437" t="n">
        <v>576</v>
      </c>
      <c r="M437" t="n">
        <v>115.2</v>
      </c>
      <c r="N437">
        <f>VLOOKUP(J437,Products!$A$2:$C$49,3,FALSE)</f>
        <v/>
      </c>
      <c r="O437">
        <f>K437*L437-M437</f>
        <v/>
      </c>
      <c r="P437">
        <f>TEXT(B437,"yyyy-mm")</f>
        <v/>
      </c>
      <c r="Q437">
        <f>IF(O437&gt;=3000,"Large","Small")</f>
        <v/>
      </c>
      <c r="R437">
        <f>INDEX(Products!$F$2:$F$49,MATCH(J437,Products!$A$2:$A$49,0))</f>
        <v/>
      </c>
      <c r="S437">
        <f>WEEKDAY(B437,2)</f>
        <v/>
      </c>
    </row>
    <row r="438">
      <c r="A438" t="n">
        <v>509549</v>
      </c>
      <c r="B438" s="6" t="n">
        <v>45938</v>
      </c>
      <c r="C438" t="n">
        <v>10415</v>
      </c>
      <c r="D438" t="inlineStr">
        <is>
          <t>Chandigarh</t>
        </is>
      </c>
      <c r="E438" t="inlineStr">
        <is>
          <t>North</t>
        </is>
      </c>
      <c r="F438" t="inlineStr">
        <is>
          <t>Organic Search</t>
        </is>
      </c>
      <c r="G438" t="inlineStr">
        <is>
          <t>Mobile App</t>
        </is>
      </c>
      <c r="H438" t="inlineStr">
        <is>
          <t>UPI</t>
        </is>
      </c>
      <c r="I438" t="inlineStr">
        <is>
          <t>Delivered</t>
        </is>
      </c>
      <c r="J438" t="n">
        <v>112</v>
      </c>
      <c r="K438" t="n">
        <v>1</v>
      </c>
      <c r="L438" t="n">
        <v>1574</v>
      </c>
      <c r="M438" t="n">
        <v>0</v>
      </c>
      <c r="N438">
        <f>VLOOKUP(J438,Products!$A$2:$C$49,3,FALSE)</f>
        <v/>
      </c>
      <c r="O438">
        <f>K438*L438-M438</f>
        <v/>
      </c>
      <c r="P438">
        <f>TEXT(B438,"yyyy-mm")</f>
        <v/>
      </c>
      <c r="Q438">
        <f>IF(O438&gt;=3000,"Large","Small")</f>
        <v/>
      </c>
      <c r="R438">
        <f>INDEX(Products!$F$2:$F$49,MATCH(J438,Products!$A$2:$A$49,0))</f>
        <v/>
      </c>
      <c r="S438">
        <f>WEEKDAY(B438,2)</f>
        <v/>
      </c>
    </row>
    <row r="439">
      <c r="A439" t="n">
        <v>509549</v>
      </c>
      <c r="B439" s="6" t="n">
        <v>45938</v>
      </c>
      <c r="C439" t="n">
        <v>10415</v>
      </c>
      <c r="D439" t="inlineStr">
        <is>
          <t>Chandigarh</t>
        </is>
      </c>
      <c r="E439" t="inlineStr">
        <is>
          <t>North</t>
        </is>
      </c>
      <c r="F439" t="inlineStr">
        <is>
          <t>Organic Search</t>
        </is>
      </c>
      <c r="G439" t="inlineStr">
        <is>
          <t>Mobile App</t>
        </is>
      </c>
      <c r="H439" t="inlineStr">
        <is>
          <t>UPI</t>
        </is>
      </c>
      <c r="I439" t="inlineStr">
        <is>
          <t>Delivered</t>
        </is>
      </c>
      <c r="J439" t="n">
        <v>101</v>
      </c>
      <c r="K439" t="n">
        <v>3</v>
      </c>
      <c r="L439" t="n">
        <v>2099</v>
      </c>
      <c r="M439" t="n">
        <v>0</v>
      </c>
      <c r="N439">
        <f>VLOOKUP(J439,Products!$A$2:$C$49,3,FALSE)</f>
        <v/>
      </c>
      <c r="O439">
        <f>K439*L439-M439</f>
        <v/>
      </c>
      <c r="P439">
        <f>TEXT(B439,"yyyy-mm")</f>
        <v/>
      </c>
      <c r="Q439">
        <f>IF(O439&gt;=3000,"Large","Small")</f>
        <v/>
      </c>
      <c r="R439">
        <f>INDEX(Products!$F$2:$F$49,MATCH(J439,Products!$A$2:$A$49,0))</f>
        <v/>
      </c>
      <c r="S439">
        <f>WEEKDAY(B439,2)</f>
        <v/>
      </c>
    </row>
    <row r="440">
      <c r="A440" t="n">
        <v>509549</v>
      </c>
      <c r="B440" s="6" t="n">
        <v>45938</v>
      </c>
      <c r="C440" t="n">
        <v>10415</v>
      </c>
      <c r="D440" t="inlineStr">
        <is>
          <t>Chandigarh</t>
        </is>
      </c>
      <c r="E440" t="inlineStr">
        <is>
          <t>North</t>
        </is>
      </c>
      <c r="F440" t="inlineStr">
        <is>
          <t>Organic Search</t>
        </is>
      </c>
      <c r="G440" t="inlineStr">
        <is>
          <t>Mobile App</t>
        </is>
      </c>
      <c r="H440" t="inlineStr">
        <is>
          <t>UPI</t>
        </is>
      </c>
      <c r="I440" t="inlineStr">
        <is>
          <t>Delivered</t>
        </is>
      </c>
      <c r="J440" t="n">
        <v>131</v>
      </c>
      <c r="K440" t="n">
        <v>1</v>
      </c>
      <c r="L440" t="n">
        <v>314</v>
      </c>
      <c r="M440" t="n">
        <v>0</v>
      </c>
      <c r="N440">
        <f>VLOOKUP(J440,Products!$A$2:$C$49,3,FALSE)</f>
        <v/>
      </c>
      <c r="O440">
        <f>K440*L440-M440</f>
        <v/>
      </c>
      <c r="P440">
        <f>TEXT(B440,"yyyy-mm")</f>
        <v/>
      </c>
      <c r="Q440">
        <f>IF(O440&gt;=3000,"Large","Small")</f>
        <v/>
      </c>
      <c r="R440">
        <f>INDEX(Products!$F$2:$F$49,MATCH(J440,Products!$A$2:$A$49,0))</f>
        <v/>
      </c>
      <c r="S440">
        <f>WEEKDAY(B440,2)</f>
        <v/>
      </c>
    </row>
    <row r="441">
      <c r="A441" t="n">
        <v>509549</v>
      </c>
      <c r="B441" s="6" t="n">
        <v>45938</v>
      </c>
      <c r="C441" t="n">
        <v>10415</v>
      </c>
      <c r="D441" t="inlineStr">
        <is>
          <t>Chandigarh</t>
        </is>
      </c>
      <c r="E441" t="inlineStr">
        <is>
          <t>North</t>
        </is>
      </c>
      <c r="F441" t="inlineStr">
        <is>
          <t>Organic Search</t>
        </is>
      </c>
      <c r="G441" t="inlineStr">
        <is>
          <t>Mobile App</t>
        </is>
      </c>
      <c r="H441" t="inlineStr">
        <is>
          <t>UPI</t>
        </is>
      </c>
      <c r="I441" t="inlineStr">
        <is>
          <t>Delivered</t>
        </is>
      </c>
      <c r="J441" t="n">
        <v>119</v>
      </c>
      <c r="K441" t="n">
        <v>1</v>
      </c>
      <c r="L441" t="n">
        <v>2309</v>
      </c>
      <c r="M441" t="n">
        <v>0</v>
      </c>
      <c r="N441">
        <f>VLOOKUP(J441,Products!$A$2:$C$49,3,FALSE)</f>
        <v/>
      </c>
      <c r="O441">
        <f>K441*L441-M441</f>
        <v/>
      </c>
      <c r="P441">
        <f>TEXT(B441,"yyyy-mm")</f>
        <v/>
      </c>
      <c r="Q441">
        <f>IF(O441&gt;=3000,"Large","Small")</f>
        <v/>
      </c>
      <c r="R441">
        <f>INDEX(Products!$F$2:$F$49,MATCH(J441,Products!$A$2:$A$49,0))</f>
        <v/>
      </c>
      <c r="S441">
        <f>WEEKDAY(B441,2)</f>
        <v/>
      </c>
    </row>
    <row r="442">
      <c r="A442" t="n">
        <v>509550</v>
      </c>
      <c r="B442" s="6" t="n">
        <v>45938</v>
      </c>
      <c r="C442" t="n">
        <v>16610</v>
      </c>
      <c r="D442" t="inlineStr">
        <is>
          <t>Mumbai</t>
        </is>
      </c>
      <c r="E442" t="inlineStr">
        <is>
          <t>West</t>
        </is>
      </c>
      <c r="F442" t="inlineStr">
        <is>
          <t>Organic Search</t>
        </is>
      </c>
      <c r="G442" t="inlineStr">
        <is>
          <t>Mobile Web</t>
        </is>
      </c>
      <c r="H442" t="inlineStr">
        <is>
          <t>UPI</t>
        </is>
      </c>
      <c r="I442" t="inlineStr">
        <is>
          <t>Delivered</t>
        </is>
      </c>
      <c r="J442" t="n">
        <v>131</v>
      </c>
      <c r="K442" t="n">
        <v>1</v>
      </c>
      <c r="L442" t="n">
        <v>314</v>
      </c>
      <c r="M442" t="n">
        <v>31.4</v>
      </c>
      <c r="N442">
        <f>VLOOKUP(J442,Products!$A$2:$C$49,3,FALSE)</f>
        <v/>
      </c>
      <c r="O442">
        <f>K442*L442-M442</f>
        <v/>
      </c>
      <c r="P442">
        <f>TEXT(B442,"yyyy-mm")</f>
        <v/>
      </c>
      <c r="Q442">
        <f>IF(O442&gt;=3000,"Large","Small")</f>
        <v/>
      </c>
      <c r="R442">
        <f>INDEX(Products!$F$2:$F$49,MATCH(J442,Products!$A$2:$A$49,0))</f>
        <v/>
      </c>
      <c r="S442">
        <f>WEEKDAY(B442,2)</f>
        <v/>
      </c>
    </row>
    <row r="443">
      <c r="A443" t="n">
        <v>509550</v>
      </c>
      <c r="B443" s="6" t="n">
        <v>45938</v>
      </c>
      <c r="C443" t="n">
        <v>16610</v>
      </c>
      <c r="D443" t="inlineStr">
        <is>
          <t>Mumbai</t>
        </is>
      </c>
      <c r="E443" t="inlineStr">
        <is>
          <t>West</t>
        </is>
      </c>
      <c r="F443" t="inlineStr">
        <is>
          <t>Organic Search</t>
        </is>
      </c>
      <c r="G443" t="inlineStr">
        <is>
          <t>Mobile Web</t>
        </is>
      </c>
      <c r="H443" t="inlineStr">
        <is>
          <t>UPI</t>
        </is>
      </c>
      <c r="I443" t="inlineStr">
        <is>
          <t>Delivered</t>
        </is>
      </c>
      <c r="J443" t="n">
        <v>125</v>
      </c>
      <c r="K443" t="n">
        <v>1</v>
      </c>
      <c r="L443" t="n">
        <v>1364</v>
      </c>
      <c r="M443" t="n">
        <v>136.4</v>
      </c>
      <c r="N443">
        <f>VLOOKUP(J443,Products!$A$2:$C$49,3,FALSE)</f>
        <v/>
      </c>
      <c r="O443">
        <f>K443*L443-M443</f>
        <v/>
      </c>
      <c r="P443">
        <f>TEXT(B443,"yyyy-mm")</f>
        <v/>
      </c>
      <c r="Q443">
        <f>IF(O443&gt;=3000,"Large","Small")</f>
        <v/>
      </c>
      <c r="R443">
        <f>INDEX(Products!$F$2:$F$49,MATCH(J443,Products!$A$2:$A$49,0))</f>
        <v/>
      </c>
      <c r="S443">
        <f>WEEKDAY(B443,2)</f>
        <v/>
      </c>
    </row>
    <row r="444">
      <c r="A444" t="n">
        <v>509551</v>
      </c>
      <c r="B444" s="6" t="n">
        <v>45938</v>
      </c>
      <c r="C444" t="n">
        <v>16705</v>
      </c>
      <c r="D444" t="inlineStr">
        <is>
          <t>Indore</t>
        </is>
      </c>
      <c r="E444" t="inlineStr">
        <is>
          <t>West</t>
        </is>
      </c>
      <c r="F444" t="inlineStr">
        <is>
          <t>Organic Search</t>
        </is>
      </c>
      <c r="G444" t="inlineStr">
        <is>
          <t>Mobile Web</t>
        </is>
      </c>
      <c r="H444" t="inlineStr">
        <is>
          <t>Cash on Delivery</t>
        </is>
      </c>
      <c r="I444" t="inlineStr">
        <is>
          <t>Delivered</t>
        </is>
      </c>
      <c r="J444" t="n">
        <v>120</v>
      </c>
      <c r="K444" t="n">
        <v>1</v>
      </c>
      <c r="L444" t="n">
        <v>734</v>
      </c>
      <c r="M444" t="n">
        <v>110.1</v>
      </c>
      <c r="N444">
        <f>VLOOKUP(J444,Products!$A$2:$C$49,3,FALSE)</f>
        <v/>
      </c>
      <c r="O444">
        <f>K444*L444-M444</f>
        <v/>
      </c>
      <c r="P444">
        <f>TEXT(B444,"yyyy-mm")</f>
        <v/>
      </c>
      <c r="Q444">
        <f>IF(O444&gt;=3000,"Large","Small")</f>
        <v/>
      </c>
      <c r="R444">
        <f>INDEX(Products!$F$2:$F$49,MATCH(J444,Products!$A$2:$A$49,0))</f>
        <v/>
      </c>
      <c r="S444">
        <f>WEEKDAY(B444,2)</f>
        <v/>
      </c>
    </row>
    <row r="445">
      <c r="A445" t="n">
        <v>509552</v>
      </c>
      <c r="B445" s="6" t="n">
        <v>45938</v>
      </c>
      <c r="C445" t="n">
        <v>16554</v>
      </c>
      <c r="D445" t="inlineStr">
        <is>
          <t>Mumbai</t>
        </is>
      </c>
      <c r="E445" t="inlineStr">
        <is>
          <t>West</t>
        </is>
      </c>
      <c r="F445" t="inlineStr">
        <is>
          <t>Paid Social</t>
        </is>
      </c>
      <c r="G445" t="inlineStr">
        <is>
          <t>Desktop</t>
        </is>
      </c>
      <c r="H445" t="inlineStr">
        <is>
          <t>UPI</t>
        </is>
      </c>
      <c r="I445" t="inlineStr">
        <is>
          <t>Delivered</t>
        </is>
      </c>
      <c r="J445" t="n">
        <v>109</v>
      </c>
      <c r="K445" t="n">
        <v>1</v>
      </c>
      <c r="L445" t="n">
        <v>4199</v>
      </c>
      <c r="M445" t="n">
        <v>419.9</v>
      </c>
      <c r="N445">
        <f>VLOOKUP(J445,Products!$A$2:$C$49,3,FALSE)</f>
        <v/>
      </c>
      <c r="O445">
        <f>K445*L445-M445</f>
        <v/>
      </c>
      <c r="P445">
        <f>TEXT(B445,"yyyy-mm")</f>
        <v/>
      </c>
      <c r="Q445">
        <f>IF(O445&gt;=3000,"Large","Small")</f>
        <v/>
      </c>
      <c r="R445">
        <f>INDEX(Products!$F$2:$F$49,MATCH(J445,Products!$A$2:$A$49,0))</f>
        <v/>
      </c>
      <c r="S445">
        <f>WEEKDAY(B445,2)</f>
        <v/>
      </c>
    </row>
    <row r="446">
      <c r="A446" t="n">
        <v>509552</v>
      </c>
      <c r="B446" s="6" t="n">
        <v>45938</v>
      </c>
      <c r="C446" t="n">
        <v>16554</v>
      </c>
      <c r="D446" t="inlineStr">
        <is>
          <t>Mumbai</t>
        </is>
      </c>
      <c r="E446" t="inlineStr">
        <is>
          <t>West</t>
        </is>
      </c>
      <c r="F446" t="inlineStr">
        <is>
          <t>Paid Social</t>
        </is>
      </c>
      <c r="G446" t="inlineStr">
        <is>
          <t>Desktop</t>
        </is>
      </c>
      <c r="H446" t="inlineStr">
        <is>
          <t>UPI</t>
        </is>
      </c>
      <c r="I446" t="inlineStr">
        <is>
          <t>Delivered</t>
        </is>
      </c>
      <c r="J446" t="n">
        <v>129</v>
      </c>
      <c r="K446" t="n">
        <v>1</v>
      </c>
      <c r="L446" t="n">
        <v>576</v>
      </c>
      <c r="M446" t="n">
        <v>57.6</v>
      </c>
      <c r="N446">
        <f>VLOOKUP(J446,Products!$A$2:$C$49,3,FALSE)</f>
        <v/>
      </c>
      <c r="O446">
        <f>K446*L446-M446</f>
        <v/>
      </c>
      <c r="P446">
        <f>TEXT(B446,"yyyy-mm")</f>
        <v/>
      </c>
      <c r="Q446">
        <f>IF(O446&gt;=3000,"Large","Small")</f>
        <v/>
      </c>
      <c r="R446">
        <f>INDEX(Products!$F$2:$F$49,MATCH(J446,Products!$A$2:$A$49,0))</f>
        <v/>
      </c>
      <c r="S446">
        <f>WEEKDAY(B446,2)</f>
        <v/>
      </c>
    </row>
    <row r="447">
      <c r="A447" t="n">
        <v>509553</v>
      </c>
      <c r="B447" s="6" t="n">
        <v>45938</v>
      </c>
      <c r="C447" t="n">
        <v>11861</v>
      </c>
      <c r="D447" t="inlineStr">
        <is>
          <t>Hyderabad</t>
        </is>
      </c>
      <c r="E447" t="inlineStr">
        <is>
          <t>South</t>
        </is>
      </c>
      <c r="F447" t="inlineStr">
        <is>
          <t>Organic Search</t>
        </is>
      </c>
      <c r="G447" t="inlineStr">
        <is>
          <t>Mobile Web</t>
        </is>
      </c>
      <c r="H447" t="inlineStr">
        <is>
          <t>Cash on Delivery</t>
        </is>
      </c>
      <c r="I447" t="inlineStr">
        <is>
          <t>Cancelled</t>
        </is>
      </c>
      <c r="J447" t="n">
        <v>103</v>
      </c>
      <c r="K447" t="n">
        <v>1</v>
      </c>
      <c r="L447" t="n">
        <v>2624</v>
      </c>
      <c r="M447" t="n">
        <v>262.4</v>
      </c>
      <c r="N447">
        <f>VLOOKUP(J447,Products!$A$2:$C$49,3,FALSE)</f>
        <v/>
      </c>
      <c r="O447">
        <f>K447*L447-M447</f>
        <v/>
      </c>
      <c r="P447">
        <f>TEXT(B447,"yyyy-mm")</f>
        <v/>
      </c>
      <c r="Q447">
        <f>IF(O447&gt;=3000,"Large","Small")</f>
        <v/>
      </c>
      <c r="R447">
        <f>INDEX(Products!$F$2:$F$49,MATCH(J447,Products!$A$2:$A$49,0))</f>
        <v/>
      </c>
      <c r="S447">
        <f>WEEKDAY(B447,2)</f>
        <v/>
      </c>
    </row>
    <row r="448">
      <c r="A448" t="n">
        <v>509553</v>
      </c>
      <c r="B448" s="6" t="n">
        <v>45938</v>
      </c>
      <c r="C448" t="n">
        <v>11861</v>
      </c>
      <c r="D448" t="inlineStr">
        <is>
          <t>Hyderabad</t>
        </is>
      </c>
      <c r="E448" t="inlineStr">
        <is>
          <t>South</t>
        </is>
      </c>
      <c r="F448" t="inlineStr">
        <is>
          <t>Organic Search</t>
        </is>
      </c>
      <c r="G448" t="inlineStr">
        <is>
          <t>Mobile Web</t>
        </is>
      </c>
      <c r="H448" t="inlineStr">
        <is>
          <t>Cash on Delivery</t>
        </is>
      </c>
      <c r="I448" t="inlineStr">
        <is>
          <t>Cancelled</t>
        </is>
      </c>
      <c r="J448" t="n">
        <v>140</v>
      </c>
      <c r="K448" t="n">
        <v>1</v>
      </c>
      <c r="L448" t="n">
        <v>629</v>
      </c>
      <c r="M448" t="n">
        <v>62.9</v>
      </c>
      <c r="N448">
        <f>VLOOKUP(J448,Products!$A$2:$C$49,3,FALSE)</f>
        <v/>
      </c>
      <c r="O448">
        <f>K448*L448-M448</f>
        <v/>
      </c>
      <c r="P448">
        <f>TEXT(B448,"yyyy-mm")</f>
        <v/>
      </c>
      <c r="Q448">
        <f>IF(O448&gt;=3000,"Large","Small")</f>
        <v/>
      </c>
      <c r="R448">
        <f>INDEX(Products!$F$2:$F$49,MATCH(J448,Products!$A$2:$A$49,0))</f>
        <v/>
      </c>
      <c r="S448">
        <f>WEEKDAY(B448,2)</f>
        <v/>
      </c>
    </row>
    <row r="449">
      <c r="A449" t="n">
        <v>509553</v>
      </c>
      <c r="B449" s="6" t="n">
        <v>45938</v>
      </c>
      <c r="C449" t="n">
        <v>11861</v>
      </c>
      <c r="D449" t="inlineStr">
        <is>
          <t>Hyderabad</t>
        </is>
      </c>
      <c r="E449" t="inlineStr">
        <is>
          <t>South</t>
        </is>
      </c>
      <c r="F449" t="inlineStr">
        <is>
          <t>Organic Search</t>
        </is>
      </c>
      <c r="G449" t="inlineStr">
        <is>
          <t>Mobile Web</t>
        </is>
      </c>
      <c r="H449" t="inlineStr">
        <is>
          <t>Cash on Delivery</t>
        </is>
      </c>
      <c r="I449" t="inlineStr">
        <is>
          <t>Cancelled</t>
        </is>
      </c>
      <c r="J449" t="n">
        <v>123</v>
      </c>
      <c r="K449" t="n">
        <v>2</v>
      </c>
      <c r="L449" t="n">
        <v>3464</v>
      </c>
      <c r="M449" t="n">
        <v>692.8</v>
      </c>
      <c r="N449">
        <f>VLOOKUP(J449,Products!$A$2:$C$49,3,FALSE)</f>
        <v/>
      </c>
      <c r="O449">
        <f>K449*L449-M449</f>
        <v/>
      </c>
      <c r="P449">
        <f>TEXT(B449,"yyyy-mm")</f>
        <v/>
      </c>
      <c r="Q449">
        <f>IF(O449&gt;=3000,"Large","Small")</f>
        <v/>
      </c>
      <c r="R449">
        <f>INDEX(Products!$F$2:$F$49,MATCH(J449,Products!$A$2:$A$49,0))</f>
        <v/>
      </c>
      <c r="S449">
        <f>WEEKDAY(B449,2)</f>
        <v/>
      </c>
    </row>
    <row r="450">
      <c r="A450" t="n">
        <v>509553</v>
      </c>
      <c r="B450" s="6" t="n">
        <v>45938</v>
      </c>
      <c r="C450" t="n">
        <v>11861</v>
      </c>
      <c r="D450" t="inlineStr">
        <is>
          <t>Hyderabad</t>
        </is>
      </c>
      <c r="E450" t="inlineStr">
        <is>
          <t>South</t>
        </is>
      </c>
      <c r="F450" t="inlineStr">
        <is>
          <t>Organic Search</t>
        </is>
      </c>
      <c r="G450" t="inlineStr">
        <is>
          <t>Mobile Web</t>
        </is>
      </c>
      <c r="H450" t="inlineStr">
        <is>
          <t>Cash on Delivery</t>
        </is>
      </c>
      <c r="I450" t="inlineStr">
        <is>
          <t>Cancelled</t>
        </is>
      </c>
      <c r="J450" t="n">
        <v>129</v>
      </c>
      <c r="K450" t="n">
        <v>3</v>
      </c>
      <c r="L450" t="n">
        <v>576</v>
      </c>
      <c r="M450" t="n">
        <v>172.8</v>
      </c>
      <c r="N450">
        <f>VLOOKUP(J450,Products!$A$2:$C$49,3,FALSE)</f>
        <v/>
      </c>
      <c r="O450">
        <f>K450*L450-M450</f>
        <v/>
      </c>
      <c r="P450">
        <f>TEXT(B450,"yyyy-mm")</f>
        <v/>
      </c>
      <c r="Q450">
        <f>IF(O450&gt;=3000,"Large","Small")</f>
        <v/>
      </c>
      <c r="R450">
        <f>INDEX(Products!$F$2:$F$49,MATCH(J450,Products!$A$2:$A$49,0))</f>
        <v/>
      </c>
      <c r="S450">
        <f>WEEKDAY(B450,2)</f>
        <v/>
      </c>
    </row>
    <row r="451">
      <c r="A451" t="n">
        <v>509554</v>
      </c>
      <c r="B451" s="6" t="n">
        <v>45938</v>
      </c>
      <c r="C451" t="n">
        <v>10902</v>
      </c>
      <c r="D451" t="inlineStr">
        <is>
          <t>Gurugram</t>
        </is>
      </c>
      <c r="E451" t="inlineStr">
        <is>
          <t>North</t>
        </is>
      </c>
      <c r="F451" t="inlineStr">
        <is>
          <t>Email</t>
        </is>
      </c>
      <c r="G451" t="inlineStr">
        <is>
          <t>Mobile App</t>
        </is>
      </c>
      <c r="H451" t="inlineStr">
        <is>
          <t>UPI</t>
        </is>
      </c>
      <c r="I451" t="inlineStr">
        <is>
          <t>Delivered</t>
        </is>
      </c>
      <c r="J451" t="n">
        <v>112</v>
      </c>
      <c r="K451" t="n">
        <v>1</v>
      </c>
      <c r="L451" t="n">
        <v>1574</v>
      </c>
      <c r="M451" t="n">
        <v>157.4</v>
      </c>
      <c r="N451">
        <f>VLOOKUP(J451,Products!$A$2:$C$49,3,FALSE)</f>
        <v/>
      </c>
      <c r="O451">
        <f>K451*L451-M451</f>
        <v/>
      </c>
      <c r="P451">
        <f>TEXT(B451,"yyyy-mm")</f>
        <v/>
      </c>
      <c r="Q451">
        <f>IF(O451&gt;=3000,"Large","Small")</f>
        <v/>
      </c>
      <c r="R451">
        <f>INDEX(Products!$F$2:$F$49,MATCH(J451,Products!$A$2:$A$49,0))</f>
        <v/>
      </c>
      <c r="S451">
        <f>WEEKDAY(B451,2)</f>
        <v/>
      </c>
    </row>
    <row r="452">
      <c r="A452" t="n">
        <v>509554</v>
      </c>
      <c r="B452" s="6" t="n">
        <v>45938</v>
      </c>
      <c r="C452" t="n">
        <v>10902</v>
      </c>
      <c r="D452" t="inlineStr">
        <is>
          <t>Gurugram</t>
        </is>
      </c>
      <c r="E452" t="inlineStr">
        <is>
          <t>North</t>
        </is>
      </c>
      <c r="F452" t="inlineStr">
        <is>
          <t>Email</t>
        </is>
      </c>
      <c r="G452" t="inlineStr">
        <is>
          <t>Mobile App</t>
        </is>
      </c>
      <c r="H452" t="inlineStr">
        <is>
          <t>UPI</t>
        </is>
      </c>
      <c r="I452" t="inlineStr">
        <is>
          <t>Delivered</t>
        </is>
      </c>
      <c r="J452" t="n">
        <v>120</v>
      </c>
      <c r="K452" t="n">
        <v>1</v>
      </c>
      <c r="L452" t="n">
        <v>734</v>
      </c>
      <c r="M452" t="n">
        <v>73.40000000000001</v>
      </c>
      <c r="N452">
        <f>VLOOKUP(J452,Products!$A$2:$C$49,3,FALSE)</f>
        <v/>
      </c>
      <c r="O452">
        <f>K452*L452-M452</f>
        <v/>
      </c>
      <c r="P452">
        <f>TEXT(B452,"yyyy-mm")</f>
        <v/>
      </c>
      <c r="Q452">
        <f>IF(O452&gt;=3000,"Large","Small")</f>
        <v/>
      </c>
      <c r="R452">
        <f>INDEX(Products!$F$2:$F$49,MATCH(J452,Products!$A$2:$A$49,0))</f>
        <v/>
      </c>
      <c r="S452">
        <f>WEEKDAY(B452,2)</f>
        <v/>
      </c>
    </row>
    <row r="453">
      <c r="A453" t="n">
        <v>509555</v>
      </c>
      <c r="B453" s="6" t="n">
        <v>45938</v>
      </c>
      <c r="C453" t="n">
        <v>16690</v>
      </c>
      <c r="D453" t="inlineStr">
        <is>
          <t>Bengaluru</t>
        </is>
      </c>
      <c r="E453" t="inlineStr">
        <is>
          <t>South</t>
        </is>
      </c>
      <c r="F453" t="inlineStr">
        <is>
          <t>Paid Search</t>
        </is>
      </c>
      <c r="G453" t="inlineStr">
        <is>
          <t>Mobile App</t>
        </is>
      </c>
      <c r="H453" t="inlineStr">
        <is>
          <t>UPI</t>
        </is>
      </c>
      <c r="I453" t="inlineStr">
        <is>
          <t>Delivered</t>
        </is>
      </c>
      <c r="J453" t="n">
        <v>148</v>
      </c>
      <c r="K453" t="n">
        <v>1</v>
      </c>
      <c r="L453" t="n">
        <v>734</v>
      </c>
      <c r="M453" t="n">
        <v>73.40000000000001</v>
      </c>
      <c r="N453">
        <f>VLOOKUP(J453,Products!$A$2:$C$49,3,FALSE)</f>
        <v/>
      </c>
      <c r="O453">
        <f>K453*L453-M453</f>
        <v/>
      </c>
      <c r="P453">
        <f>TEXT(B453,"yyyy-mm")</f>
        <v/>
      </c>
      <c r="Q453">
        <f>IF(O453&gt;=3000,"Large","Small")</f>
        <v/>
      </c>
      <c r="R453">
        <f>INDEX(Products!$F$2:$F$49,MATCH(J453,Products!$A$2:$A$49,0))</f>
        <v/>
      </c>
      <c r="S453">
        <f>WEEKDAY(B453,2)</f>
        <v/>
      </c>
    </row>
    <row r="454">
      <c r="A454" t="n">
        <v>509555</v>
      </c>
      <c r="B454" s="6" t="n">
        <v>45938</v>
      </c>
      <c r="C454" t="n">
        <v>16690</v>
      </c>
      <c r="D454" t="inlineStr">
        <is>
          <t>Bengaluru</t>
        </is>
      </c>
      <c r="E454" t="inlineStr">
        <is>
          <t>South</t>
        </is>
      </c>
      <c r="F454" t="inlineStr">
        <is>
          <t>Paid Search</t>
        </is>
      </c>
      <c r="G454" t="inlineStr">
        <is>
          <t>Mobile App</t>
        </is>
      </c>
      <c r="H454" t="inlineStr">
        <is>
          <t>UPI</t>
        </is>
      </c>
      <c r="I454" t="inlineStr">
        <is>
          <t>Delivered</t>
        </is>
      </c>
      <c r="J454" t="n">
        <v>120</v>
      </c>
      <c r="K454" t="n">
        <v>1</v>
      </c>
      <c r="L454" t="n">
        <v>734</v>
      </c>
      <c r="M454" t="n">
        <v>73.40000000000001</v>
      </c>
      <c r="N454">
        <f>VLOOKUP(J454,Products!$A$2:$C$49,3,FALSE)</f>
        <v/>
      </c>
      <c r="O454">
        <f>K454*L454-M454</f>
        <v/>
      </c>
      <c r="P454">
        <f>TEXT(B454,"yyyy-mm")</f>
        <v/>
      </c>
      <c r="Q454">
        <f>IF(O454&gt;=3000,"Large","Small")</f>
        <v/>
      </c>
      <c r="R454">
        <f>INDEX(Products!$F$2:$F$49,MATCH(J454,Products!$A$2:$A$49,0))</f>
        <v/>
      </c>
      <c r="S454">
        <f>WEEKDAY(B454,2)</f>
        <v/>
      </c>
    </row>
    <row r="455">
      <c r="A455" t="n">
        <v>509555</v>
      </c>
      <c r="B455" s="6" t="n">
        <v>45938</v>
      </c>
      <c r="C455" t="n">
        <v>16690</v>
      </c>
      <c r="D455" t="inlineStr">
        <is>
          <t>Bengaluru</t>
        </is>
      </c>
      <c r="E455" t="inlineStr">
        <is>
          <t>South</t>
        </is>
      </c>
      <c r="F455" t="inlineStr">
        <is>
          <t>Paid Search</t>
        </is>
      </c>
      <c r="G455" t="inlineStr">
        <is>
          <t>Mobile App</t>
        </is>
      </c>
      <c r="H455" t="inlineStr">
        <is>
          <t>UPI</t>
        </is>
      </c>
      <c r="I455" t="inlineStr">
        <is>
          <t>Delivered</t>
        </is>
      </c>
      <c r="J455" t="n">
        <v>114</v>
      </c>
      <c r="K455" t="n">
        <v>1</v>
      </c>
      <c r="L455" t="n">
        <v>1259</v>
      </c>
      <c r="M455" t="n">
        <v>125.9</v>
      </c>
      <c r="N455">
        <f>VLOOKUP(J455,Products!$A$2:$C$49,3,FALSE)</f>
        <v/>
      </c>
      <c r="O455">
        <f>K455*L455-M455</f>
        <v/>
      </c>
      <c r="P455">
        <f>TEXT(B455,"yyyy-mm")</f>
        <v/>
      </c>
      <c r="Q455">
        <f>IF(O455&gt;=3000,"Large","Small")</f>
        <v/>
      </c>
      <c r="R455">
        <f>INDEX(Products!$F$2:$F$49,MATCH(J455,Products!$A$2:$A$49,0))</f>
        <v/>
      </c>
      <c r="S455">
        <f>WEEKDAY(B455,2)</f>
        <v/>
      </c>
    </row>
    <row r="456">
      <c r="A456" t="n">
        <v>509555</v>
      </c>
      <c r="B456" s="6" t="n">
        <v>45938</v>
      </c>
      <c r="C456" t="n">
        <v>16690</v>
      </c>
      <c r="D456" t="inlineStr">
        <is>
          <t>Bengaluru</t>
        </is>
      </c>
      <c r="E456" t="inlineStr">
        <is>
          <t>South</t>
        </is>
      </c>
      <c r="F456" t="inlineStr">
        <is>
          <t>Paid Search</t>
        </is>
      </c>
      <c r="G456" t="inlineStr">
        <is>
          <t>Mobile App</t>
        </is>
      </c>
      <c r="H456" t="inlineStr">
        <is>
          <t>UPI</t>
        </is>
      </c>
      <c r="I456" t="inlineStr">
        <is>
          <t>Delivered</t>
        </is>
      </c>
      <c r="J456" t="n">
        <v>107</v>
      </c>
      <c r="K456" t="n">
        <v>1</v>
      </c>
      <c r="L456" t="n">
        <v>1259</v>
      </c>
      <c r="M456" t="n">
        <v>125.9</v>
      </c>
      <c r="N456">
        <f>VLOOKUP(J456,Products!$A$2:$C$49,3,FALSE)</f>
        <v/>
      </c>
      <c r="O456">
        <f>K456*L456-M456</f>
        <v/>
      </c>
      <c r="P456">
        <f>TEXT(B456,"yyyy-mm")</f>
        <v/>
      </c>
      <c r="Q456">
        <f>IF(O456&gt;=3000,"Large","Small")</f>
        <v/>
      </c>
      <c r="R456">
        <f>INDEX(Products!$F$2:$F$49,MATCH(J456,Products!$A$2:$A$49,0))</f>
        <v/>
      </c>
      <c r="S456">
        <f>WEEKDAY(B456,2)</f>
        <v/>
      </c>
    </row>
    <row r="457">
      <c r="A457" t="n">
        <v>509556</v>
      </c>
      <c r="B457" s="6" t="n">
        <v>45938</v>
      </c>
      <c r="C457" t="n">
        <v>16639</v>
      </c>
      <c r="D457" t="inlineStr">
        <is>
          <t>Hyderabad</t>
        </is>
      </c>
      <c r="E457" t="inlineStr">
        <is>
          <t>South</t>
        </is>
      </c>
      <c r="F457" t="inlineStr">
        <is>
          <t>Paid Search</t>
        </is>
      </c>
      <c r="G457" t="inlineStr">
        <is>
          <t>Desktop</t>
        </is>
      </c>
      <c r="H457" t="inlineStr">
        <is>
          <t>UPI</t>
        </is>
      </c>
      <c r="I457" t="inlineStr">
        <is>
          <t>Delivered</t>
        </is>
      </c>
      <c r="J457" t="n">
        <v>117</v>
      </c>
      <c r="K457" t="n">
        <v>1</v>
      </c>
      <c r="L457" t="n">
        <v>3149</v>
      </c>
      <c r="M457" t="n">
        <v>314.9</v>
      </c>
      <c r="N457">
        <f>VLOOKUP(J457,Products!$A$2:$C$49,3,FALSE)</f>
        <v/>
      </c>
      <c r="O457">
        <f>K457*L457-M457</f>
        <v/>
      </c>
      <c r="P457">
        <f>TEXT(B457,"yyyy-mm")</f>
        <v/>
      </c>
      <c r="Q457">
        <f>IF(O457&gt;=3000,"Large","Small")</f>
        <v/>
      </c>
      <c r="R457">
        <f>INDEX(Products!$F$2:$F$49,MATCH(J457,Products!$A$2:$A$49,0))</f>
        <v/>
      </c>
      <c r="S457">
        <f>WEEKDAY(B457,2)</f>
        <v/>
      </c>
    </row>
    <row r="458">
      <c r="A458" t="n">
        <v>509556</v>
      </c>
      <c r="B458" s="6" t="n">
        <v>45938</v>
      </c>
      <c r="C458" t="n">
        <v>16639</v>
      </c>
      <c r="D458" t="inlineStr">
        <is>
          <t>Hyderabad</t>
        </is>
      </c>
      <c r="E458" t="inlineStr">
        <is>
          <t>South</t>
        </is>
      </c>
      <c r="F458" t="inlineStr">
        <is>
          <t>Paid Search</t>
        </is>
      </c>
      <c r="G458" t="inlineStr">
        <is>
          <t>Desktop</t>
        </is>
      </c>
      <c r="H458" t="inlineStr">
        <is>
          <t>UPI</t>
        </is>
      </c>
      <c r="I458" t="inlineStr">
        <is>
          <t>Delivered</t>
        </is>
      </c>
      <c r="J458" t="n">
        <v>111</v>
      </c>
      <c r="K458" t="n">
        <v>1</v>
      </c>
      <c r="L458" t="n">
        <v>524</v>
      </c>
      <c r="M458" t="n">
        <v>52.4</v>
      </c>
      <c r="N458">
        <f>VLOOKUP(J458,Products!$A$2:$C$49,3,FALSE)</f>
        <v/>
      </c>
      <c r="O458">
        <f>K458*L458-M458</f>
        <v/>
      </c>
      <c r="P458">
        <f>TEXT(B458,"yyyy-mm")</f>
        <v/>
      </c>
      <c r="Q458">
        <f>IF(O458&gt;=3000,"Large","Small")</f>
        <v/>
      </c>
      <c r="R458">
        <f>INDEX(Products!$F$2:$F$49,MATCH(J458,Products!$A$2:$A$49,0))</f>
        <v/>
      </c>
      <c r="S458">
        <f>WEEKDAY(B458,2)</f>
        <v/>
      </c>
    </row>
    <row r="459">
      <c r="A459" t="n">
        <v>509556</v>
      </c>
      <c r="B459" s="6" t="n">
        <v>45938</v>
      </c>
      <c r="C459" t="n">
        <v>16639</v>
      </c>
      <c r="D459" t="inlineStr">
        <is>
          <t>Hyderabad</t>
        </is>
      </c>
      <c r="E459" t="inlineStr">
        <is>
          <t>South</t>
        </is>
      </c>
      <c r="F459" t="inlineStr">
        <is>
          <t>Paid Search</t>
        </is>
      </c>
      <c r="G459" t="inlineStr">
        <is>
          <t>Desktop</t>
        </is>
      </c>
      <c r="H459" t="inlineStr">
        <is>
          <t>UPI</t>
        </is>
      </c>
      <c r="I459" t="inlineStr">
        <is>
          <t>Delivered</t>
        </is>
      </c>
      <c r="J459" t="n">
        <v>129</v>
      </c>
      <c r="K459" t="n">
        <v>1</v>
      </c>
      <c r="L459" t="n">
        <v>576</v>
      </c>
      <c r="M459" t="n">
        <v>57.6</v>
      </c>
      <c r="N459">
        <f>VLOOKUP(J459,Products!$A$2:$C$49,3,FALSE)</f>
        <v/>
      </c>
      <c r="O459">
        <f>K459*L459-M459</f>
        <v/>
      </c>
      <c r="P459">
        <f>TEXT(B459,"yyyy-mm")</f>
        <v/>
      </c>
      <c r="Q459">
        <f>IF(O459&gt;=3000,"Large","Small")</f>
        <v/>
      </c>
      <c r="R459">
        <f>INDEX(Products!$F$2:$F$49,MATCH(J459,Products!$A$2:$A$49,0))</f>
        <v/>
      </c>
      <c r="S459">
        <f>WEEKDAY(B459,2)</f>
        <v/>
      </c>
    </row>
    <row r="460">
      <c r="A460" t="n">
        <v>509557</v>
      </c>
      <c r="B460" s="6" t="n">
        <v>45938</v>
      </c>
      <c r="C460" t="n">
        <v>16598</v>
      </c>
      <c r="D460" t="inlineStr">
        <is>
          <t>Ahmedabad</t>
        </is>
      </c>
      <c r="E460" t="inlineStr">
        <is>
          <t>West</t>
        </is>
      </c>
      <c r="F460" t="inlineStr">
        <is>
          <t>Affiliate</t>
        </is>
      </c>
      <c r="G460" t="inlineStr">
        <is>
          <t>Mobile App</t>
        </is>
      </c>
      <c r="H460" t="inlineStr">
        <is>
          <t>UPI</t>
        </is>
      </c>
      <c r="I460" t="inlineStr">
        <is>
          <t>Delivered</t>
        </is>
      </c>
      <c r="J460" t="n">
        <v>146</v>
      </c>
      <c r="K460" t="n">
        <v>1</v>
      </c>
      <c r="L460" t="n">
        <v>4724</v>
      </c>
      <c r="M460" t="n">
        <v>708.6</v>
      </c>
      <c r="N460">
        <f>VLOOKUP(J460,Products!$A$2:$C$49,3,FALSE)</f>
        <v/>
      </c>
      <c r="O460">
        <f>K460*L460-M460</f>
        <v/>
      </c>
      <c r="P460">
        <f>TEXT(B460,"yyyy-mm")</f>
        <v/>
      </c>
      <c r="Q460">
        <f>IF(O460&gt;=3000,"Large","Small")</f>
        <v/>
      </c>
      <c r="R460">
        <f>INDEX(Products!$F$2:$F$49,MATCH(J460,Products!$A$2:$A$49,0))</f>
        <v/>
      </c>
      <c r="S460">
        <f>WEEKDAY(B460,2)</f>
        <v/>
      </c>
    </row>
    <row r="461">
      <c r="A461" t="n">
        <v>509558</v>
      </c>
      <c r="B461" s="6" t="n">
        <v>45938</v>
      </c>
      <c r="C461" t="n">
        <v>16491</v>
      </c>
      <c r="D461" t="inlineStr">
        <is>
          <t>Bengaluru</t>
        </is>
      </c>
      <c r="E461" t="inlineStr">
        <is>
          <t>South</t>
        </is>
      </c>
      <c r="F461" t="inlineStr">
        <is>
          <t>Paid Social</t>
        </is>
      </c>
      <c r="G461" t="inlineStr">
        <is>
          <t>Mobile App</t>
        </is>
      </c>
      <c r="H461" t="inlineStr">
        <is>
          <t>Debit Card</t>
        </is>
      </c>
      <c r="I461" t="inlineStr">
        <is>
          <t>Delivered</t>
        </is>
      </c>
      <c r="J461" t="n">
        <v>148</v>
      </c>
      <c r="K461" t="n">
        <v>1</v>
      </c>
      <c r="L461" t="n">
        <v>734</v>
      </c>
      <c r="M461" t="n">
        <v>0</v>
      </c>
      <c r="N461">
        <f>VLOOKUP(J461,Products!$A$2:$C$49,3,FALSE)</f>
        <v/>
      </c>
      <c r="O461">
        <f>K461*L461-M461</f>
        <v/>
      </c>
      <c r="P461">
        <f>TEXT(B461,"yyyy-mm")</f>
        <v/>
      </c>
      <c r="Q461">
        <f>IF(O461&gt;=3000,"Large","Small")</f>
        <v/>
      </c>
      <c r="R461">
        <f>INDEX(Products!$F$2:$F$49,MATCH(J461,Products!$A$2:$A$49,0))</f>
        <v/>
      </c>
      <c r="S461">
        <f>WEEKDAY(B461,2)</f>
        <v/>
      </c>
    </row>
    <row r="462">
      <c r="A462" t="n">
        <v>509558</v>
      </c>
      <c r="B462" s="6" t="n">
        <v>45938</v>
      </c>
      <c r="C462" t="n">
        <v>16491</v>
      </c>
      <c r="D462" t="inlineStr">
        <is>
          <t>Bengaluru</t>
        </is>
      </c>
      <c r="E462" t="inlineStr">
        <is>
          <t>South</t>
        </is>
      </c>
      <c r="F462" t="inlineStr">
        <is>
          <t>Paid Social</t>
        </is>
      </c>
      <c r="G462" t="inlineStr">
        <is>
          <t>Mobile App</t>
        </is>
      </c>
      <c r="H462" t="inlineStr">
        <is>
          <t>Debit Card</t>
        </is>
      </c>
      <c r="I462" t="inlineStr">
        <is>
          <t>Delivered</t>
        </is>
      </c>
      <c r="J462" t="n">
        <v>129</v>
      </c>
      <c r="K462" t="n">
        <v>2</v>
      </c>
      <c r="L462" t="n">
        <v>576</v>
      </c>
      <c r="M462" t="n">
        <v>0</v>
      </c>
      <c r="N462">
        <f>VLOOKUP(J462,Products!$A$2:$C$49,3,FALSE)</f>
        <v/>
      </c>
      <c r="O462">
        <f>K462*L462-M462</f>
        <v/>
      </c>
      <c r="P462">
        <f>TEXT(B462,"yyyy-mm")</f>
        <v/>
      </c>
      <c r="Q462">
        <f>IF(O462&gt;=3000,"Large","Small")</f>
        <v/>
      </c>
      <c r="R462">
        <f>INDEX(Products!$F$2:$F$49,MATCH(J462,Products!$A$2:$A$49,0))</f>
        <v/>
      </c>
      <c r="S462">
        <f>WEEKDAY(B462,2)</f>
        <v/>
      </c>
    </row>
    <row r="463">
      <c r="A463" t="n">
        <v>509559</v>
      </c>
      <c r="B463" s="6" t="n">
        <v>45938</v>
      </c>
      <c r="C463" t="n">
        <v>16531</v>
      </c>
      <c r="D463" t="inlineStr">
        <is>
          <t>Gurugram</t>
        </is>
      </c>
      <c r="E463" t="inlineStr">
        <is>
          <t>North</t>
        </is>
      </c>
      <c r="F463" t="inlineStr">
        <is>
          <t>Organic Search</t>
        </is>
      </c>
      <c r="G463" t="inlineStr">
        <is>
          <t>Desktop</t>
        </is>
      </c>
      <c r="H463" t="inlineStr">
        <is>
          <t>UPI</t>
        </is>
      </c>
      <c r="I463" t="inlineStr">
        <is>
          <t>Delivered</t>
        </is>
      </c>
      <c r="J463" t="n">
        <v>126</v>
      </c>
      <c r="K463" t="n">
        <v>1</v>
      </c>
      <c r="L463" t="n">
        <v>471</v>
      </c>
      <c r="M463" t="n">
        <v>47.1</v>
      </c>
      <c r="N463">
        <f>VLOOKUP(J463,Products!$A$2:$C$49,3,FALSE)</f>
        <v/>
      </c>
      <c r="O463">
        <f>K463*L463-M463</f>
        <v/>
      </c>
      <c r="P463">
        <f>TEXT(B463,"yyyy-mm")</f>
        <v/>
      </c>
      <c r="Q463">
        <f>IF(O463&gt;=3000,"Large","Small")</f>
        <v/>
      </c>
      <c r="R463">
        <f>INDEX(Products!$F$2:$F$49,MATCH(J463,Products!$A$2:$A$49,0))</f>
        <v/>
      </c>
      <c r="S463">
        <f>WEEKDAY(B463,2)</f>
        <v/>
      </c>
    </row>
    <row r="464">
      <c r="A464" t="n">
        <v>509560</v>
      </c>
      <c r="B464" s="6" t="n">
        <v>45938</v>
      </c>
      <c r="C464" t="n">
        <v>15377</v>
      </c>
      <c r="D464" t="inlineStr">
        <is>
          <t>Delhi</t>
        </is>
      </c>
      <c r="E464" t="inlineStr">
        <is>
          <t>North</t>
        </is>
      </c>
      <c r="F464" t="inlineStr">
        <is>
          <t>Paid Social</t>
        </is>
      </c>
      <c r="G464" t="inlineStr">
        <is>
          <t>Mobile App</t>
        </is>
      </c>
      <c r="H464" t="inlineStr">
        <is>
          <t>UPI</t>
        </is>
      </c>
      <c r="I464" t="inlineStr">
        <is>
          <t>Delivered</t>
        </is>
      </c>
      <c r="J464" t="n">
        <v>107</v>
      </c>
      <c r="K464" t="n">
        <v>3</v>
      </c>
      <c r="L464" t="n">
        <v>1259</v>
      </c>
      <c r="M464" t="n">
        <v>377.7</v>
      </c>
      <c r="N464">
        <f>VLOOKUP(J464,Products!$A$2:$C$49,3,FALSE)</f>
        <v/>
      </c>
      <c r="O464">
        <f>K464*L464-M464</f>
        <v/>
      </c>
      <c r="P464">
        <f>TEXT(B464,"yyyy-mm")</f>
        <v/>
      </c>
      <c r="Q464">
        <f>IF(O464&gt;=3000,"Large","Small")</f>
        <v/>
      </c>
      <c r="R464">
        <f>INDEX(Products!$F$2:$F$49,MATCH(J464,Products!$A$2:$A$49,0))</f>
        <v/>
      </c>
      <c r="S464">
        <f>WEEKDAY(B464,2)</f>
        <v/>
      </c>
    </row>
    <row r="465">
      <c r="A465" t="n">
        <v>509560</v>
      </c>
      <c r="B465" s="6" t="n">
        <v>45938</v>
      </c>
      <c r="C465" t="n">
        <v>15377</v>
      </c>
      <c r="D465" t="inlineStr">
        <is>
          <t>Delhi</t>
        </is>
      </c>
      <c r="E465" t="inlineStr">
        <is>
          <t>North</t>
        </is>
      </c>
      <c r="F465" t="inlineStr">
        <is>
          <t>Paid Social</t>
        </is>
      </c>
      <c r="G465" t="inlineStr">
        <is>
          <t>Mobile App</t>
        </is>
      </c>
      <c r="H465" t="inlineStr">
        <is>
          <t>UPI</t>
        </is>
      </c>
      <c r="I465" t="inlineStr">
        <is>
          <t>Delivered</t>
        </is>
      </c>
      <c r="J465" t="n">
        <v>129</v>
      </c>
      <c r="K465" t="n">
        <v>1</v>
      </c>
      <c r="L465" t="n">
        <v>576</v>
      </c>
      <c r="M465" t="n">
        <v>57.6</v>
      </c>
      <c r="N465">
        <f>VLOOKUP(J465,Products!$A$2:$C$49,3,FALSE)</f>
        <v/>
      </c>
      <c r="O465">
        <f>K465*L465-M465</f>
        <v/>
      </c>
      <c r="P465">
        <f>TEXT(B465,"yyyy-mm")</f>
        <v/>
      </c>
      <c r="Q465">
        <f>IF(O465&gt;=3000,"Large","Small")</f>
        <v/>
      </c>
      <c r="R465">
        <f>INDEX(Products!$F$2:$F$49,MATCH(J465,Products!$A$2:$A$49,0))</f>
        <v/>
      </c>
      <c r="S465">
        <f>WEEKDAY(B465,2)</f>
        <v/>
      </c>
    </row>
    <row r="466">
      <c r="A466" t="n">
        <v>509561</v>
      </c>
      <c r="B466" s="6" t="n">
        <v>45938</v>
      </c>
      <c r="C466" t="n">
        <v>14839</v>
      </c>
      <c r="D466" t="inlineStr">
        <is>
          <t>Indore</t>
        </is>
      </c>
      <c r="E466" t="inlineStr">
        <is>
          <t>West</t>
        </is>
      </c>
      <c r="F466" t="inlineStr">
        <is>
          <t>Organic Search</t>
        </is>
      </c>
      <c r="G466" t="inlineStr">
        <is>
          <t>Desktop</t>
        </is>
      </c>
      <c r="H466" t="inlineStr">
        <is>
          <t>UPI</t>
        </is>
      </c>
      <c r="I466" t="inlineStr">
        <is>
          <t>Delivered</t>
        </is>
      </c>
      <c r="J466" t="n">
        <v>119</v>
      </c>
      <c r="K466" t="n">
        <v>2</v>
      </c>
      <c r="L466" t="n">
        <v>2309</v>
      </c>
      <c r="M466" t="n">
        <v>461.8</v>
      </c>
      <c r="N466">
        <f>VLOOKUP(J466,Products!$A$2:$C$49,3,FALSE)</f>
        <v/>
      </c>
      <c r="O466">
        <f>K466*L466-M466</f>
        <v/>
      </c>
      <c r="P466">
        <f>TEXT(B466,"yyyy-mm")</f>
        <v/>
      </c>
      <c r="Q466">
        <f>IF(O466&gt;=3000,"Large","Small")</f>
        <v/>
      </c>
      <c r="R466">
        <f>INDEX(Products!$F$2:$F$49,MATCH(J466,Products!$A$2:$A$49,0))</f>
        <v/>
      </c>
      <c r="S466">
        <f>WEEKDAY(B466,2)</f>
        <v/>
      </c>
    </row>
    <row r="467">
      <c r="A467" t="n">
        <v>509561</v>
      </c>
      <c r="B467" s="6" t="n">
        <v>45938</v>
      </c>
      <c r="C467" t="n">
        <v>14839</v>
      </c>
      <c r="D467" t="inlineStr">
        <is>
          <t>Indore</t>
        </is>
      </c>
      <c r="E467" t="inlineStr">
        <is>
          <t>West</t>
        </is>
      </c>
      <c r="F467" t="inlineStr">
        <is>
          <t>Organic Search</t>
        </is>
      </c>
      <c r="G467" t="inlineStr">
        <is>
          <t>Desktop</t>
        </is>
      </c>
      <c r="H467" t="inlineStr">
        <is>
          <t>UPI</t>
        </is>
      </c>
      <c r="I467" t="inlineStr">
        <is>
          <t>Delivered</t>
        </is>
      </c>
      <c r="J467" t="n">
        <v>129</v>
      </c>
      <c r="K467" t="n">
        <v>1</v>
      </c>
      <c r="L467" t="n">
        <v>576</v>
      </c>
      <c r="M467" t="n">
        <v>57.6</v>
      </c>
      <c r="N467">
        <f>VLOOKUP(J467,Products!$A$2:$C$49,3,FALSE)</f>
        <v/>
      </c>
      <c r="O467">
        <f>K467*L467-M467</f>
        <v/>
      </c>
      <c r="P467">
        <f>TEXT(B467,"yyyy-mm")</f>
        <v/>
      </c>
      <c r="Q467">
        <f>IF(O467&gt;=3000,"Large","Small")</f>
        <v/>
      </c>
      <c r="R467">
        <f>INDEX(Products!$F$2:$F$49,MATCH(J467,Products!$A$2:$A$49,0))</f>
        <v/>
      </c>
      <c r="S467">
        <f>WEEKDAY(B467,2)</f>
        <v/>
      </c>
    </row>
    <row r="468">
      <c r="A468" t="n">
        <v>509562</v>
      </c>
      <c r="B468" s="6" t="n">
        <v>45938</v>
      </c>
      <c r="C468" t="n">
        <v>16016</v>
      </c>
      <c r="D468" t="inlineStr">
        <is>
          <t>Kochi</t>
        </is>
      </c>
      <c r="E468" t="inlineStr">
        <is>
          <t>South</t>
        </is>
      </c>
      <c r="F468" t="inlineStr">
        <is>
          <t>Affiliate</t>
        </is>
      </c>
      <c r="G468" t="inlineStr">
        <is>
          <t>Desktop</t>
        </is>
      </c>
      <c r="H468" t="inlineStr">
        <is>
          <t>Cash on Delivery</t>
        </is>
      </c>
      <c r="I468" t="inlineStr">
        <is>
          <t>Delivered</t>
        </is>
      </c>
      <c r="J468" t="n">
        <v>112</v>
      </c>
      <c r="K468" t="n">
        <v>1</v>
      </c>
      <c r="L468" t="n">
        <v>1574</v>
      </c>
      <c r="M468" t="n">
        <v>157.4</v>
      </c>
      <c r="N468">
        <f>VLOOKUP(J468,Products!$A$2:$C$49,3,FALSE)</f>
        <v/>
      </c>
      <c r="O468">
        <f>K468*L468-M468</f>
        <v/>
      </c>
      <c r="P468">
        <f>TEXT(B468,"yyyy-mm")</f>
        <v/>
      </c>
      <c r="Q468">
        <f>IF(O468&gt;=3000,"Large","Small")</f>
        <v/>
      </c>
      <c r="R468">
        <f>INDEX(Products!$F$2:$F$49,MATCH(J468,Products!$A$2:$A$49,0))</f>
        <v/>
      </c>
      <c r="S468">
        <f>WEEKDAY(B468,2)</f>
        <v/>
      </c>
    </row>
    <row r="469">
      <c r="A469" t="n">
        <v>509563</v>
      </c>
      <c r="B469" s="6" t="n">
        <v>45938</v>
      </c>
      <c r="C469" t="n">
        <v>15793</v>
      </c>
      <c r="D469" t="inlineStr">
        <is>
          <t>Indore</t>
        </is>
      </c>
      <c r="E469" t="inlineStr">
        <is>
          <t>West</t>
        </is>
      </c>
      <c r="F469" t="inlineStr">
        <is>
          <t>Organic Search</t>
        </is>
      </c>
      <c r="G469" t="inlineStr">
        <is>
          <t>Mobile Web</t>
        </is>
      </c>
      <c r="H469" t="inlineStr">
        <is>
          <t>Cash on Delivery</t>
        </is>
      </c>
      <c r="I469" t="inlineStr">
        <is>
          <t>Delivered</t>
        </is>
      </c>
      <c r="J469" t="n">
        <v>107</v>
      </c>
      <c r="K469" t="n">
        <v>1</v>
      </c>
      <c r="L469" t="n">
        <v>1259</v>
      </c>
      <c r="M469" t="n">
        <v>125.9</v>
      </c>
      <c r="N469">
        <f>VLOOKUP(J469,Products!$A$2:$C$49,3,FALSE)</f>
        <v/>
      </c>
      <c r="O469">
        <f>K469*L469-M469</f>
        <v/>
      </c>
      <c r="P469">
        <f>TEXT(B469,"yyyy-mm")</f>
        <v/>
      </c>
      <c r="Q469">
        <f>IF(O469&gt;=3000,"Large","Small")</f>
        <v/>
      </c>
      <c r="R469">
        <f>INDEX(Products!$F$2:$F$49,MATCH(J469,Products!$A$2:$A$49,0))</f>
        <v/>
      </c>
      <c r="S469">
        <f>WEEKDAY(B469,2)</f>
        <v/>
      </c>
    </row>
    <row r="470">
      <c r="A470" t="n">
        <v>509564</v>
      </c>
      <c r="B470" s="6" t="n">
        <v>45938</v>
      </c>
      <c r="C470" t="n">
        <v>16626</v>
      </c>
      <c r="D470" t="inlineStr">
        <is>
          <t>Hyderabad</t>
        </is>
      </c>
      <c r="E470" t="inlineStr">
        <is>
          <t>South</t>
        </is>
      </c>
      <c r="F470" t="inlineStr">
        <is>
          <t>Referral</t>
        </is>
      </c>
      <c r="G470" t="inlineStr">
        <is>
          <t>Mobile Web</t>
        </is>
      </c>
      <c r="H470" t="inlineStr">
        <is>
          <t>UPI</t>
        </is>
      </c>
      <c r="I470" t="inlineStr">
        <is>
          <t>Delivered</t>
        </is>
      </c>
      <c r="J470" t="n">
        <v>141</v>
      </c>
      <c r="K470" t="n">
        <v>1</v>
      </c>
      <c r="L470" t="n">
        <v>261</v>
      </c>
      <c r="M470" t="n">
        <v>39.15</v>
      </c>
      <c r="N470">
        <f>VLOOKUP(J470,Products!$A$2:$C$49,3,FALSE)</f>
        <v/>
      </c>
      <c r="O470">
        <f>K470*L470-M470</f>
        <v/>
      </c>
      <c r="P470">
        <f>TEXT(B470,"yyyy-mm")</f>
        <v/>
      </c>
      <c r="Q470">
        <f>IF(O470&gt;=3000,"Large","Small")</f>
        <v/>
      </c>
      <c r="R470">
        <f>INDEX(Products!$F$2:$F$49,MATCH(J470,Products!$A$2:$A$49,0))</f>
        <v/>
      </c>
      <c r="S470">
        <f>WEEKDAY(B470,2)</f>
        <v/>
      </c>
    </row>
    <row r="471">
      <c r="A471" t="n">
        <v>509564</v>
      </c>
      <c r="B471" s="6" t="n">
        <v>45938</v>
      </c>
      <c r="C471" t="n">
        <v>16626</v>
      </c>
      <c r="D471" t="inlineStr">
        <is>
          <t>Hyderabad</t>
        </is>
      </c>
      <c r="E471" t="inlineStr">
        <is>
          <t>South</t>
        </is>
      </c>
      <c r="F471" t="inlineStr">
        <is>
          <t>Referral</t>
        </is>
      </c>
      <c r="G471" t="inlineStr">
        <is>
          <t>Mobile Web</t>
        </is>
      </c>
      <c r="H471" t="inlineStr">
        <is>
          <t>UPI</t>
        </is>
      </c>
      <c r="I471" t="inlineStr">
        <is>
          <t>Delivered</t>
        </is>
      </c>
      <c r="J471" t="n">
        <v>129</v>
      </c>
      <c r="K471" t="n">
        <v>1</v>
      </c>
      <c r="L471" t="n">
        <v>576</v>
      </c>
      <c r="M471" t="n">
        <v>86.40000000000001</v>
      </c>
      <c r="N471">
        <f>VLOOKUP(J471,Products!$A$2:$C$49,3,FALSE)</f>
        <v/>
      </c>
      <c r="O471">
        <f>K471*L471-M471</f>
        <v/>
      </c>
      <c r="P471">
        <f>TEXT(B471,"yyyy-mm")</f>
        <v/>
      </c>
      <c r="Q471">
        <f>IF(O471&gt;=3000,"Large","Small")</f>
        <v/>
      </c>
      <c r="R471">
        <f>INDEX(Products!$F$2:$F$49,MATCH(J471,Products!$A$2:$A$49,0))</f>
        <v/>
      </c>
      <c r="S471">
        <f>WEEKDAY(B471,2)</f>
        <v/>
      </c>
    </row>
    <row r="472">
      <c r="A472" t="n">
        <v>509565</v>
      </c>
      <c r="B472" s="6" t="n">
        <v>45938</v>
      </c>
      <c r="C472" t="n">
        <v>13937</v>
      </c>
      <c r="D472" t="inlineStr">
        <is>
          <t>Delhi</t>
        </is>
      </c>
      <c r="E472" t="inlineStr">
        <is>
          <t>North</t>
        </is>
      </c>
      <c r="F472" t="inlineStr">
        <is>
          <t>Paid Social</t>
        </is>
      </c>
      <c r="G472" t="inlineStr">
        <is>
          <t>Mobile Web</t>
        </is>
      </c>
      <c r="H472" t="inlineStr">
        <is>
          <t>Credit Card</t>
        </is>
      </c>
      <c r="I472" t="inlineStr">
        <is>
          <t>Delivered</t>
        </is>
      </c>
      <c r="J472" t="n">
        <v>130</v>
      </c>
      <c r="K472" t="n">
        <v>2</v>
      </c>
      <c r="L472" t="n">
        <v>734</v>
      </c>
      <c r="M472" t="n">
        <v>0</v>
      </c>
      <c r="N472">
        <f>VLOOKUP(J472,Products!$A$2:$C$49,3,FALSE)</f>
        <v/>
      </c>
      <c r="O472">
        <f>K472*L472-M472</f>
        <v/>
      </c>
      <c r="P472">
        <f>TEXT(B472,"yyyy-mm")</f>
        <v/>
      </c>
      <c r="Q472">
        <f>IF(O472&gt;=3000,"Large","Small")</f>
        <v/>
      </c>
      <c r="R472">
        <f>INDEX(Products!$F$2:$F$49,MATCH(J472,Products!$A$2:$A$49,0))</f>
        <v/>
      </c>
      <c r="S472">
        <f>WEEKDAY(B472,2)</f>
        <v/>
      </c>
    </row>
    <row r="473">
      <c r="A473" t="n">
        <v>509565</v>
      </c>
      <c r="B473" s="6" t="n">
        <v>45938</v>
      </c>
      <c r="C473" t="n">
        <v>13937</v>
      </c>
      <c r="D473" t="inlineStr">
        <is>
          <t>Delhi</t>
        </is>
      </c>
      <c r="E473" t="inlineStr">
        <is>
          <t>North</t>
        </is>
      </c>
      <c r="F473" t="inlineStr">
        <is>
          <t>Paid Social</t>
        </is>
      </c>
      <c r="G473" t="inlineStr">
        <is>
          <t>Mobile Web</t>
        </is>
      </c>
      <c r="H473" t="inlineStr">
        <is>
          <t>Credit Card</t>
        </is>
      </c>
      <c r="I473" t="inlineStr">
        <is>
          <t>Delivered</t>
        </is>
      </c>
      <c r="J473" t="n">
        <v>137</v>
      </c>
      <c r="K473" t="n">
        <v>2</v>
      </c>
      <c r="L473" t="n">
        <v>261</v>
      </c>
      <c r="M473" t="n">
        <v>0</v>
      </c>
      <c r="N473">
        <f>VLOOKUP(J473,Products!$A$2:$C$49,3,FALSE)</f>
        <v/>
      </c>
      <c r="O473">
        <f>K473*L473-M473</f>
        <v/>
      </c>
      <c r="P473">
        <f>TEXT(B473,"yyyy-mm")</f>
        <v/>
      </c>
      <c r="Q473">
        <f>IF(O473&gt;=3000,"Large","Small")</f>
        <v/>
      </c>
      <c r="R473">
        <f>INDEX(Products!$F$2:$F$49,MATCH(J473,Products!$A$2:$A$49,0))</f>
        <v/>
      </c>
      <c r="S473">
        <f>WEEKDAY(B473,2)</f>
        <v/>
      </c>
    </row>
    <row r="474">
      <c r="A474" t="n">
        <v>509566</v>
      </c>
      <c r="B474" s="6" t="n">
        <v>45938</v>
      </c>
      <c r="C474" t="n">
        <v>12559</v>
      </c>
      <c r="D474" t="inlineStr">
        <is>
          <t>Hyderabad</t>
        </is>
      </c>
      <c r="E474" t="inlineStr">
        <is>
          <t>South</t>
        </is>
      </c>
      <c r="F474" t="inlineStr">
        <is>
          <t>Organic Search</t>
        </is>
      </c>
      <c r="G474" t="inlineStr">
        <is>
          <t>Mobile App</t>
        </is>
      </c>
      <c r="H474" t="inlineStr">
        <is>
          <t>Credit Card</t>
        </is>
      </c>
      <c r="I474" t="inlineStr">
        <is>
          <t>Delivered</t>
        </is>
      </c>
      <c r="J474" t="n">
        <v>116</v>
      </c>
      <c r="K474" t="n">
        <v>1</v>
      </c>
      <c r="L474" t="n">
        <v>2624</v>
      </c>
      <c r="M474" t="n">
        <v>131.2</v>
      </c>
      <c r="N474">
        <f>VLOOKUP(J474,Products!$A$2:$C$49,3,FALSE)</f>
        <v/>
      </c>
      <c r="O474">
        <f>K474*L474-M474</f>
        <v/>
      </c>
      <c r="P474">
        <f>TEXT(B474,"yyyy-mm")</f>
        <v/>
      </c>
      <c r="Q474">
        <f>IF(O474&gt;=3000,"Large","Small")</f>
        <v/>
      </c>
      <c r="R474">
        <f>INDEX(Products!$F$2:$F$49,MATCH(J474,Products!$A$2:$A$49,0))</f>
        <v/>
      </c>
      <c r="S474">
        <f>WEEKDAY(B474,2)</f>
        <v/>
      </c>
    </row>
    <row r="475">
      <c r="A475" t="n">
        <v>509566</v>
      </c>
      <c r="B475" s="6" t="n">
        <v>45938</v>
      </c>
      <c r="C475" t="n">
        <v>12559</v>
      </c>
      <c r="D475" t="inlineStr">
        <is>
          <t>Hyderabad</t>
        </is>
      </c>
      <c r="E475" t="inlineStr">
        <is>
          <t>South</t>
        </is>
      </c>
      <c r="F475" t="inlineStr">
        <is>
          <t>Organic Search</t>
        </is>
      </c>
      <c r="G475" t="inlineStr">
        <is>
          <t>Mobile App</t>
        </is>
      </c>
      <c r="H475" t="inlineStr">
        <is>
          <t>Credit Card</t>
        </is>
      </c>
      <c r="I475" t="inlineStr">
        <is>
          <t>Delivered</t>
        </is>
      </c>
      <c r="J475" t="n">
        <v>129</v>
      </c>
      <c r="K475" t="n">
        <v>1</v>
      </c>
      <c r="L475" t="n">
        <v>576</v>
      </c>
      <c r="M475" t="n">
        <v>28.8</v>
      </c>
      <c r="N475">
        <f>VLOOKUP(J475,Products!$A$2:$C$49,3,FALSE)</f>
        <v/>
      </c>
      <c r="O475">
        <f>K475*L475-M475</f>
        <v/>
      </c>
      <c r="P475">
        <f>TEXT(B475,"yyyy-mm")</f>
        <v/>
      </c>
      <c r="Q475">
        <f>IF(O475&gt;=3000,"Large","Small")</f>
        <v/>
      </c>
      <c r="R475">
        <f>INDEX(Products!$F$2:$F$49,MATCH(J475,Products!$A$2:$A$49,0))</f>
        <v/>
      </c>
      <c r="S475">
        <f>WEEKDAY(B475,2)</f>
        <v/>
      </c>
    </row>
    <row r="476">
      <c r="A476" t="n">
        <v>509567</v>
      </c>
      <c r="B476" s="6" t="n">
        <v>45938</v>
      </c>
      <c r="C476" t="n">
        <v>11789</v>
      </c>
      <c r="D476" t="inlineStr">
        <is>
          <t>Delhi</t>
        </is>
      </c>
      <c r="E476" t="inlineStr">
        <is>
          <t>North</t>
        </is>
      </c>
      <c r="F476" t="inlineStr">
        <is>
          <t>Paid Social</t>
        </is>
      </c>
      <c r="G476" t="inlineStr">
        <is>
          <t>Mobile App</t>
        </is>
      </c>
      <c r="H476" t="inlineStr">
        <is>
          <t>Credit Card</t>
        </is>
      </c>
      <c r="I476" t="inlineStr">
        <is>
          <t>Delivered</t>
        </is>
      </c>
      <c r="J476" t="n">
        <v>104</v>
      </c>
      <c r="K476" t="n">
        <v>1</v>
      </c>
      <c r="L476" t="n">
        <v>5249</v>
      </c>
      <c r="M476" t="n">
        <v>0</v>
      </c>
      <c r="N476">
        <f>VLOOKUP(J476,Products!$A$2:$C$49,3,FALSE)</f>
        <v/>
      </c>
      <c r="O476">
        <f>K476*L476-M476</f>
        <v/>
      </c>
      <c r="P476">
        <f>TEXT(B476,"yyyy-mm")</f>
        <v/>
      </c>
      <c r="Q476">
        <f>IF(O476&gt;=3000,"Large","Small")</f>
        <v/>
      </c>
      <c r="R476">
        <f>INDEX(Products!$F$2:$F$49,MATCH(J476,Products!$A$2:$A$49,0))</f>
        <v/>
      </c>
      <c r="S476">
        <f>WEEKDAY(B476,2)</f>
        <v/>
      </c>
    </row>
    <row r="477">
      <c r="A477" t="n">
        <v>509567</v>
      </c>
      <c r="B477" s="6" t="n">
        <v>45938</v>
      </c>
      <c r="C477" t="n">
        <v>11789</v>
      </c>
      <c r="D477" t="inlineStr">
        <is>
          <t>Delhi</t>
        </is>
      </c>
      <c r="E477" t="inlineStr">
        <is>
          <t>North</t>
        </is>
      </c>
      <c r="F477" t="inlineStr">
        <is>
          <t>Paid Social</t>
        </is>
      </c>
      <c r="G477" t="inlineStr">
        <is>
          <t>Mobile App</t>
        </is>
      </c>
      <c r="H477" t="inlineStr">
        <is>
          <t>Credit Card</t>
        </is>
      </c>
      <c r="I477" t="inlineStr">
        <is>
          <t>Delivered</t>
        </is>
      </c>
      <c r="J477" t="n">
        <v>131</v>
      </c>
      <c r="K477" t="n">
        <v>1</v>
      </c>
      <c r="L477" t="n">
        <v>314</v>
      </c>
      <c r="M477" t="n">
        <v>0</v>
      </c>
      <c r="N477">
        <f>VLOOKUP(J477,Products!$A$2:$C$49,3,FALSE)</f>
        <v/>
      </c>
      <c r="O477">
        <f>K477*L477-M477</f>
        <v/>
      </c>
      <c r="P477">
        <f>TEXT(B477,"yyyy-mm")</f>
        <v/>
      </c>
      <c r="Q477">
        <f>IF(O477&gt;=3000,"Large","Small")</f>
        <v/>
      </c>
      <c r="R477">
        <f>INDEX(Products!$F$2:$F$49,MATCH(J477,Products!$A$2:$A$49,0))</f>
        <v/>
      </c>
      <c r="S477">
        <f>WEEKDAY(B477,2)</f>
        <v/>
      </c>
    </row>
    <row r="478">
      <c r="A478" t="n">
        <v>509567</v>
      </c>
      <c r="B478" s="6" t="n">
        <v>45938</v>
      </c>
      <c r="C478" t="n">
        <v>11789</v>
      </c>
      <c r="D478" t="inlineStr">
        <is>
          <t>Delhi</t>
        </is>
      </c>
      <c r="E478" t="inlineStr">
        <is>
          <t>North</t>
        </is>
      </c>
      <c r="F478" t="inlineStr">
        <is>
          <t>Paid Social</t>
        </is>
      </c>
      <c r="G478" t="inlineStr">
        <is>
          <t>Mobile App</t>
        </is>
      </c>
      <c r="H478" t="inlineStr">
        <is>
          <t>Credit Card</t>
        </is>
      </c>
      <c r="I478" t="inlineStr">
        <is>
          <t>Delivered</t>
        </is>
      </c>
      <c r="J478" t="n">
        <v>118</v>
      </c>
      <c r="K478" t="n">
        <v>1</v>
      </c>
      <c r="L478" t="n">
        <v>944</v>
      </c>
      <c r="M478" t="n">
        <v>0</v>
      </c>
      <c r="N478">
        <f>VLOOKUP(J478,Products!$A$2:$C$49,3,FALSE)</f>
        <v/>
      </c>
      <c r="O478">
        <f>K478*L478-M478</f>
        <v/>
      </c>
      <c r="P478">
        <f>TEXT(B478,"yyyy-mm")</f>
        <v/>
      </c>
      <c r="Q478">
        <f>IF(O478&gt;=3000,"Large","Small")</f>
        <v/>
      </c>
      <c r="R478">
        <f>INDEX(Products!$F$2:$F$49,MATCH(J478,Products!$A$2:$A$49,0))</f>
        <v/>
      </c>
      <c r="S478">
        <f>WEEKDAY(B478,2)</f>
        <v/>
      </c>
    </row>
    <row r="479">
      <c r="A479" t="n">
        <v>509568</v>
      </c>
      <c r="B479" s="6" t="n">
        <v>45938</v>
      </c>
      <c r="C479" t="n">
        <v>15975</v>
      </c>
      <c r="D479" t="inlineStr">
        <is>
          <t>Delhi</t>
        </is>
      </c>
      <c r="E479" t="inlineStr">
        <is>
          <t>North</t>
        </is>
      </c>
      <c r="F479" t="inlineStr">
        <is>
          <t>Organic Search</t>
        </is>
      </c>
      <c r="G479" t="inlineStr">
        <is>
          <t>Mobile App</t>
        </is>
      </c>
      <c r="H479" t="inlineStr">
        <is>
          <t>UPI</t>
        </is>
      </c>
      <c r="I479" t="inlineStr">
        <is>
          <t>Delivered</t>
        </is>
      </c>
      <c r="J479" t="n">
        <v>112</v>
      </c>
      <c r="K479" t="n">
        <v>1</v>
      </c>
      <c r="L479" t="n">
        <v>1574</v>
      </c>
      <c r="M479" t="n">
        <v>157.4</v>
      </c>
      <c r="N479">
        <f>VLOOKUP(J479,Products!$A$2:$C$49,3,FALSE)</f>
        <v/>
      </c>
      <c r="O479">
        <f>K479*L479-M479</f>
        <v/>
      </c>
      <c r="P479">
        <f>TEXT(B479,"yyyy-mm")</f>
        <v/>
      </c>
      <c r="Q479">
        <f>IF(O479&gt;=3000,"Large","Small")</f>
        <v/>
      </c>
      <c r="R479">
        <f>INDEX(Products!$F$2:$F$49,MATCH(J479,Products!$A$2:$A$49,0))</f>
        <v/>
      </c>
      <c r="S479">
        <f>WEEKDAY(B479,2)</f>
        <v/>
      </c>
    </row>
    <row r="480">
      <c r="A480" t="n">
        <v>509568</v>
      </c>
      <c r="B480" s="6" t="n">
        <v>45938</v>
      </c>
      <c r="C480" t="n">
        <v>15975</v>
      </c>
      <c r="D480" t="inlineStr">
        <is>
          <t>Delhi</t>
        </is>
      </c>
      <c r="E480" t="inlineStr">
        <is>
          <t>North</t>
        </is>
      </c>
      <c r="F480" t="inlineStr">
        <is>
          <t>Organic Search</t>
        </is>
      </c>
      <c r="G480" t="inlineStr">
        <is>
          <t>Mobile App</t>
        </is>
      </c>
      <c r="H480" t="inlineStr">
        <is>
          <t>UPI</t>
        </is>
      </c>
      <c r="I480" t="inlineStr">
        <is>
          <t>Delivered</t>
        </is>
      </c>
      <c r="J480" t="n">
        <v>147</v>
      </c>
      <c r="K480" t="n">
        <v>2</v>
      </c>
      <c r="L480" t="n">
        <v>1364</v>
      </c>
      <c r="M480" t="n">
        <v>272.8</v>
      </c>
      <c r="N480">
        <f>VLOOKUP(J480,Products!$A$2:$C$49,3,FALSE)</f>
        <v/>
      </c>
      <c r="O480">
        <f>K480*L480-M480</f>
        <v/>
      </c>
      <c r="P480">
        <f>TEXT(B480,"yyyy-mm")</f>
        <v/>
      </c>
      <c r="Q480">
        <f>IF(O480&gt;=3000,"Large","Small")</f>
        <v/>
      </c>
      <c r="R480">
        <f>INDEX(Products!$F$2:$F$49,MATCH(J480,Products!$A$2:$A$49,0))</f>
        <v/>
      </c>
      <c r="S480">
        <f>WEEKDAY(B480,2)</f>
        <v/>
      </c>
    </row>
    <row r="481">
      <c r="A481" t="n">
        <v>509568</v>
      </c>
      <c r="B481" s="6" t="n">
        <v>45938</v>
      </c>
      <c r="C481" t="n">
        <v>15975</v>
      </c>
      <c r="D481" t="inlineStr">
        <is>
          <t>Delhi</t>
        </is>
      </c>
      <c r="E481" t="inlineStr">
        <is>
          <t>North</t>
        </is>
      </c>
      <c r="F481" t="inlineStr">
        <is>
          <t>Organic Search</t>
        </is>
      </c>
      <c r="G481" t="inlineStr">
        <is>
          <t>Mobile App</t>
        </is>
      </c>
      <c r="H481" t="inlineStr">
        <is>
          <t>UPI</t>
        </is>
      </c>
      <c r="I481" t="inlineStr">
        <is>
          <t>Delivered</t>
        </is>
      </c>
      <c r="J481" t="n">
        <v>129</v>
      </c>
      <c r="K481" t="n">
        <v>1</v>
      </c>
      <c r="L481" t="n">
        <v>576</v>
      </c>
      <c r="M481" t="n">
        <v>57.6</v>
      </c>
      <c r="N481">
        <f>VLOOKUP(J481,Products!$A$2:$C$49,3,FALSE)</f>
        <v/>
      </c>
      <c r="O481">
        <f>K481*L481-M481</f>
        <v/>
      </c>
      <c r="P481">
        <f>TEXT(B481,"yyyy-mm")</f>
        <v/>
      </c>
      <c r="Q481">
        <f>IF(O481&gt;=3000,"Large","Small")</f>
        <v/>
      </c>
      <c r="R481">
        <f>INDEX(Products!$F$2:$F$49,MATCH(J481,Products!$A$2:$A$49,0))</f>
        <v/>
      </c>
      <c r="S481">
        <f>WEEKDAY(B481,2)</f>
        <v/>
      </c>
    </row>
    <row r="482">
      <c r="A482" t="n">
        <v>509569</v>
      </c>
      <c r="B482" s="6" t="n">
        <v>45938</v>
      </c>
      <c r="C482" t="n">
        <v>14611</v>
      </c>
      <c r="D482" t="inlineStr">
        <is>
          <t>Lucknow</t>
        </is>
      </c>
      <c r="E482" t="inlineStr">
        <is>
          <t>North</t>
        </is>
      </c>
      <c r="F482" t="inlineStr">
        <is>
          <t>Affiliate</t>
        </is>
      </c>
      <c r="G482" t="inlineStr">
        <is>
          <t>Mobile Web</t>
        </is>
      </c>
      <c r="H482" t="inlineStr">
        <is>
          <t>Cash on Delivery</t>
        </is>
      </c>
      <c r="I482" t="inlineStr">
        <is>
          <t>Delivered</t>
        </is>
      </c>
      <c r="J482" t="n">
        <v>116</v>
      </c>
      <c r="K482" t="n">
        <v>1</v>
      </c>
      <c r="L482" t="n">
        <v>2624</v>
      </c>
      <c r="M482" t="n">
        <v>262.4</v>
      </c>
      <c r="N482">
        <f>VLOOKUP(J482,Products!$A$2:$C$49,3,FALSE)</f>
        <v/>
      </c>
      <c r="O482">
        <f>K482*L482-M482</f>
        <v/>
      </c>
      <c r="P482">
        <f>TEXT(B482,"yyyy-mm")</f>
        <v/>
      </c>
      <c r="Q482">
        <f>IF(O482&gt;=3000,"Large","Small")</f>
        <v/>
      </c>
      <c r="R482">
        <f>INDEX(Products!$F$2:$F$49,MATCH(J482,Products!$A$2:$A$49,0))</f>
        <v/>
      </c>
      <c r="S482">
        <f>WEEKDAY(B482,2)</f>
        <v/>
      </c>
    </row>
    <row r="483">
      <c r="A483" t="n">
        <v>509570</v>
      </c>
      <c r="B483" s="6" t="n">
        <v>45938</v>
      </c>
      <c r="C483" t="n">
        <v>16664</v>
      </c>
      <c r="D483" t="inlineStr">
        <is>
          <t>Pune</t>
        </is>
      </c>
      <c r="E483" t="inlineStr">
        <is>
          <t>West</t>
        </is>
      </c>
      <c r="F483" t="inlineStr">
        <is>
          <t>Email</t>
        </is>
      </c>
      <c r="G483" t="inlineStr">
        <is>
          <t>Mobile Web</t>
        </is>
      </c>
      <c r="H483" t="inlineStr">
        <is>
          <t>UPI</t>
        </is>
      </c>
      <c r="I483" t="inlineStr">
        <is>
          <t>Delivered</t>
        </is>
      </c>
      <c r="J483" t="n">
        <v>143</v>
      </c>
      <c r="K483" t="n">
        <v>3</v>
      </c>
      <c r="L483" t="n">
        <v>839</v>
      </c>
      <c r="M483" t="n">
        <v>377.55</v>
      </c>
      <c r="N483">
        <f>VLOOKUP(J483,Products!$A$2:$C$49,3,FALSE)</f>
        <v/>
      </c>
      <c r="O483">
        <f>K483*L483-M483</f>
        <v/>
      </c>
      <c r="P483">
        <f>TEXT(B483,"yyyy-mm")</f>
        <v/>
      </c>
      <c r="Q483">
        <f>IF(O483&gt;=3000,"Large","Small")</f>
        <v/>
      </c>
      <c r="R483">
        <f>INDEX(Products!$F$2:$F$49,MATCH(J483,Products!$A$2:$A$49,0))</f>
        <v/>
      </c>
      <c r="S483">
        <f>WEEKDAY(B483,2)</f>
        <v/>
      </c>
    </row>
    <row r="484">
      <c r="A484" t="n">
        <v>509571</v>
      </c>
      <c r="B484" s="6" t="n">
        <v>45938</v>
      </c>
      <c r="C484" t="n">
        <v>16710</v>
      </c>
      <c r="D484" t="inlineStr">
        <is>
          <t>Kolkata</t>
        </is>
      </c>
      <c r="E484" t="inlineStr">
        <is>
          <t>East</t>
        </is>
      </c>
      <c r="F484" t="inlineStr">
        <is>
          <t>Email</t>
        </is>
      </c>
      <c r="G484" t="inlineStr">
        <is>
          <t>Mobile App</t>
        </is>
      </c>
      <c r="H484" t="inlineStr">
        <is>
          <t>UPI</t>
        </is>
      </c>
      <c r="I484" t="inlineStr">
        <is>
          <t>Delivered</t>
        </is>
      </c>
      <c r="J484" t="n">
        <v>146</v>
      </c>
      <c r="K484" t="n">
        <v>1</v>
      </c>
      <c r="L484" t="n">
        <v>4724</v>
      </c>
      <c r="M484" t="n">
        <v>0</v>
      </c>
      <c r="N484">
        <f>VLOOKUP(J484,Products!$A$2:$C$49,3,FALSE)</f>
        <v/>
      </c>
      <c r="O484">
        <f>K484*L484-M484</f>
        <v/>
      </c>
      <c r="P484">
        <f>TEXT(B484,"yyyy-mm")</f>
        <v/>
      </c>
      <c r="Q484">
        <f>IF(O484&gt;=3000,"Large","Small")</f>
        <v/>
      </c>
      <c r="R484">
        <f>INDEX(Products!$F$2:$F$49,MATCH(J484,Products!$A$2:$A$49,0))</f>
        <v/>
      </c>
      <c r="S484">
        <f>WEEKDAY(B484,2)</f>
        <v/>
      </c>
    </row>
    <row r="485">
      <c r="A485" t="n">
        <v>509571</v>
      </c>
      <c r="B485" s="6" t="n">
        <v>45938</v>
      </c>
      <c r="C485" t="n">
        <v>16710</v>
      </c>
      <c r="D485" t="inlineStr">
        <is>
          <t>Kolkata</t>
        </is>
      </c>
      <c r="E485" t="inlineStr">
        <is>
          <t>East</t>
        </is>
      </c>
      <c r="F485" t="inlineStr">
        <is>
          <t>Email</t>
        </is>
      </c>
      <c r="G485" t="inlineStr">
        <is>
          <t>Mobile App</t>
        </is>
      </c>
      <c r="H485" t="inlineStr">
        <is>
          <t>UPI</t>
        </is>
      </c>
      <c r="I485" t="inlineStr">
        <is>
          <t>Delivered</t>
        </is>
      </c>
      <c r="J485" t="n">
        <v>129</v>
      </c>
      <c r="K485" t="n">
        <v>1</v>
      </c>
      <c r="L485" t="n">
        <v>576</v>
      </c>
      <c r="M485" t="n">
        <v>0</v>
      </c>
      <c r="N485">
        <f>VLOOKUP(J485,Products!$A$2:$C$49,3,FALSE)</f>
        <v/>
      </c>
      <c r="O485">
        <f>K485*L485-M485</f>
        <v/>
      </c>
      <c r="P485">
        <f>TEXT(B485,"yyyy-mm")</f>
        <v/>
      </c>
      <c r="Q485">
        <f>IF(O485&gt;=3000,"Large","Small")</f>
        <v/>
      </c>
      <c r="R485">
        <f>INDEX(Products!$F$2:$F$49,MATCH(J485,Products!$A$2:$A$49,0))</f>
        <v/>
      </c>
      <c r="S485">
        <f>WEEKDAY(B485,2)</f>
        <v/>
      </c>
    </row>
    <row r="486">
      <c r="A486" t="n">
        <v>509572</v>
      </c>
      <c r="B486" s="6" t="n">
        <v>45938</v>
      </c>
      <c r="C486" t="n">
        <v>16520</v>
      </c>
      <c r="D486" t="inlineStr">
        <is>
          <t>Kochi</t>
        </is>
      </c>
      <c r="E486" t="inlineStr">
        <is>
          <t>South</t>
        </is>
      </c>
      <c r="F486" t="inlineStr">
        <is>
          <t>Organic Search</t>
        </is>
      </c>
      <c r="G486" t="inlineStr">
        <is>
          <t>Mobile App</t>
        </is>
      </c>
      <c r="H486" t="inlineStr">
        <is>
          <t>UPI</t>
        </is>
      </c>
      <c r="I486" t="inlineStr">
        <is>
          <t>Delivered</t>
        </is>
      </c>
      <c r="J486" t="n">
        <v>108</v>
      </c>
      <c r="K486" t="n">
        <v>1</v>
      </c>
      <c r="L486" t="n">
        <v>419</v>
      </c>
      <c r="M486" t="n">
        <v>0</v>
      </c>
      <c r="N486">
        <f>VLOOKUP(J486,Products!$A$2:$C$49,3,FALSE)</f>
        <v/>
      </c>
      <c r="O486">
        <f>K486*L486-M486</f>
        <v/>
      </c>
      <c r="P486">
        <f>TEXT(B486,"yyyy-mm")</f>
        <v/>
      </c>
      <c r="Q486">
        <f>IF(O486&gt;=3000,"Large","Small")</f>
        <v/>
      </c>
      <c r="R486">
        <f>INDEX(Products!$F$2:$F$49,MATCH(J486,Products!$A$2:$A$49,0))</f>
        <v/>
      </c>
      <c r="S486">
        <f>WEEKDAY(B486,2)</f>
        <v/>
      </c>
    </row>
    <row r="487">
      <c r="A487" t="n">
        <v>509572</v>
      </c>
      <c r="B487" s="6" t="n">
        <v>45938</v>
      </c>
      <c r="C487" t="n">
        <v>16520</v>
      </c>
      <c r="D487" t="inlineStr">
        <is>
          <t>Kochi</t>
        </is>
      </c>
      <c r="E487" t="inlineStr">
        <is>
          <t>South</t>
        </is>
      </c>
      <c r="F487" t="inlineStr">
        <is>
          <t>Organic Search</t>
        </is>
      </c>
      <c r="G487" t="inlineStr">
        <is>
          <t>Mobile App</t>
        </is>
      </c>
      <c r="H487" t="inlineStr">
        <is>
          <t>UPI</t>
        </is>
      </c>
      <c r="I487" t="inlineStr">
        <is>
          <t>Delivered</t>
        </is>
      </c>
      <c r="J487" t="n">
        <v>105</v>
      </c>
      <c r="K487" t="n">
        <v>3</v>
      </c>
      <c r="L487" t="n">
        <v>2414</v>
      </c>
      <c r="M487" t="n">
        <v>0</v>
      </c>
      <c r="N487">
        <f>VLOOKUP(J487,Products!$A$2:$C$49,3,FALSE)</f>
        <v/>
      </c>
      <c r="O487">
        <f>K487*L487-M487</f>
        <v/>
      </c>
      <c r="P487">
        <f>TEXT(B487,"yyyy-mm")</f>
        <v/>
      </c>
      <c r="Q487">
        <f>IF(O487&gt;=3000,"Large","Small")</f>
        <v/>
      </c>
      <c r="R487">
        <f>INDEX(Products!$F$2:$F$49,MATCH(J487,Products!$A$2:$A$49,0))</f>
        <v/>
      </c>
      <c r="S487">
        <f>WEEKDAY(B487,2)</f>
        <v/>
      </c>
    </row>
    <row r="488">
      <c r="A488" t="n">
        <v>509572</v>
      </c>
      <c r="B488" s="6" t="n">
        <v>45938</v>
      </c>
      <c r="C488" t="n">
        <v>16520</v>
      </c>
      <c r="D488" t="inlineStr">
        <is>
          <t>Kochi</t>
        </is>
      </c>
      <c r="E488" t="inlineStr">
        <is>
          <t>South</t>
        </is>
      </c>
      <c r="F488" t="inlineStr">
        <is>
          <t>Organic Search</t>
        </is>
      </c>
      <c r="G488" t="inlineStr">
        <is>
          <t>Mobile App</t>
        </is>
      </c>
      <c r="H488" t="inlineStr">
        <is>
          <t>UPI</t>
        </is>
      </c>
      <c r="I488" t="inlineStr">
        <is>
          <t>Delivered</t>
        </is>
      </c>
      <c r="J488" t="n">
        <v>129</v>
      </c>
      <c r="K488" t="n">
        <v>1</v>
      </c>
      <c r="L488" t="n">
        <v>576</v>
      </c>
      <c r="M488" t="n">
        <v>0</v>
      </c>
      <c r="N488">
        <f>VLOOKUP(J488,Products!$A$2:$C$49,3,FALSE)</f>
        <v/>
      </c>
      <c r="O488">
        <f>K488*L488-M488</f>
        <v/>
      </c>
      <c r="P488">
        <f>TEXT(B488,"yyyy-mm")</f>
        <v/>
      </c>
      <c r="Q488">
        <f>IF(O488&gt;=3000,"Large","Small")</f>
        <v/>
      </c>
      <c r="R488">
        <f>INDEX(Products!$F$2:$F$49,MATCH(J488,Products!$A$2:$A$49,0))</f>
        <v/>
      </c>
      <c r="S488">
        <f>WEEKDAY(B488,2)</f>
        <v/>
      </c>
    </row>
    <row r="489">
      <c r="A489" t="n">
        <v>509573</v>
      </c>
      <c r="B489" s="6" t="n">
        <v>45938</v>
      </c>
      <c r="C489" t="n">
        <v>15121</v>
      </c>
      <c r="D489" t="inlineStr">
        <is>
          <t>Noida</t>
        </is>
      </c>
      <c r="E489" t="inlineStr">
        <is>
          <t>North</t>
        </is>
      </c>
      <c r="F489" t="inlineStr">
        <is>
          <t>Paid Search</t>
        </is>
      </c>
      <c r="G489" t="inlineStr">
        <is>
          <t>Mobile App</t>
        </is>
      </c>
      <c r="H489" t="inlineStr">
        <is>
          <t>Net Banking</t>
        </is>
      </c>
      <c r="I489" t="inlineStr">
        <is>
          <t>Delivered</t>
        </is>
      </c>
      <c r="J489" t="n">
        <v>123</v>
      </c>
      <c r="K489" t="n">
        <v>1</v>
      </c>
      <c r="L489" t="n">
        <v>3464</v>
      </c>
      <c r="M489" t="n">
        <v>0</v>
      </c>
      <c r="N489">
        <f>VLOOKUP(J489,Products!$A$2:$C$49,3,FALSE)</f>
        <v/>
      </c>
      <c r="O489">
        <f>K489*L489-M489</f>
        <v/>
      </c>
      <c r="P489">
        <f>TEXT(B489,"yyyy-mm")</f>
        <v/>
      </c>
      <c r="Q489">
        <f>IF(O489&gt;=3000,"Large","Small")</f>
        <v/>
      </c>
      <c r="R489">
        <f>INDEX(Products!$F$2:$F$49,MATCH(J489,Products!$A$2:$A$49,0))</f>
        <v/>
      </c>
      <c r="S489">
        <f>WEEKDAY(B489,2)</f>
        <v/>
      </c>
    </row>
    <row r="490">
      <c r="A490" t="n">
        <v>509573</v>
      </c>
      <c r="B490" s="6" t="n">
        <v>45938</v>
      </c>
      <c r="C490" t="n">
        <v>15121</v>
      </c>
      <c r="D490" t="inlineStr">
        <is>
          <t>Noida</t>
        </is>
      </c>
      <c r="E490" t="inlineStr">
        <is>
          <t>North</t>
        </is>
      </c>
      <c r="F490" t="inlineStr">
        <is>
          <t>Paid Search</t>
        </is>
      </c>
      <c r="G490" t="inlineStr">
        <is>
          <t>Mobile App</t>
        </is>
      </c>
      <c r="H490" t="inlineStr">
        <is>
          <t>Net Banking</t>
        </is>
      </c>
      <c r="I490" t="inlineStr">
        <is>
          <t>Delivered</t>
        </is>
      </c>
      <c r="J490" t="n">
        <v>102</v>
      </c>
      <c r="K490" t="n">
        <v>1</v>
      </c>
      <c r="L490" t="n">
        <v>3674</v>
      </c>
      <c r="M490" t="n">
        <v>0</v>
      </c>
      <c r="N490">
        <f>VLOOKUP(J490,Products!$A$2:$C$49,3,FALSE)</f>
        <v/>
      </c>
      <c r="O490">
        <f>K490*L490-M490</f>
        <v/>
      </c>
      <c r="P490">
        <f>TEXT(B490,"yyyy-mm")</f>
        <v/>
      </c>
      <c r="Q490">
        <f>IF(O490&gt;=3000,"Large","Small")</f>
        <v/>
      </c>
      <c r="R490">
        <f>INDEX(Products!$F$2:$F$49,MATCH(J490,Products!$A$2:$A$49,0))</f>
        <v/>
      </c>
      <c r="S490">
        <f>WEEKDAY(B490,2)</f>
        <v/>
      </c>
    </row>
    <row r="491">
      <c r="A491" t="n">
        <v>509573</v>
      </c>
      <c r="B491" s="6" t="n">
        <v>45938</v>
      </c>
      <c r="C491" t="n">
        <v>15121</v>
      </c>
      <c r="D491" t="inlineStr">
        <is>
          <t>Noida</t>
        </is>
      </c>
      <c r="E491" t="inlineStr">
        <is>
          <t>North</t>
        </is>
      </c>
      <c r="F491" t="inlineStr">
        <is>
          <t>Paid Search</t>
        </is>
      </c>
      <c r="G491" t="inlineStr">
        <is>
          <t>Mobile App</t>
        </is>
      </c>
      <c r="H491" t="inlineStr">
        <is>
          <t>Net Banking</t>
        </is>
      </c>
      <c r="I491" t="inlineStr">
        <is>
          <t>Delivered</t>
        </is>
      </c>
      <c r="J491" t="n">
        <v>129</v>
      </c>
      <c r="K491" t="n">
        <v>1</v>
      </c>
      <c r="L491" t="n">
        <v>576</v>
      </c>
      <c r="M491" t="n">
        <v>0</v>
      </c>
      <c r="N491">
        <f>VLOOKUP(J491,Products!$A$2:$C$49,3,FALSE)</f>
        <v/>
      </c>
      <c r="O491">
        <f>K491*L491-M491</f>
        <v/>
      </c>
      <c r="P491">
        <f>TEXT(B491,"yyyy-mm")</f>
        <v/>
      </c>
      <c r="Q491">
        <f>IF(O491&gt;=3000,"Large","Small")</f>
        <v/>
      </c>
      <c r="R491">
        <f>INDEX(Products!$F$2:$F$49,MATCH(J491,Products!$A$2:$A$49,0))</f>
        <v/>
      </c>
      <c r="S491">
        <f>WEEKDAY(B491,2)</f>
        <v/>
      </c>
    </row>
    <row r="492">
      <c r="A492" t="n">
        <v>509574</v>
      </c>
      <c r="B492" s="6" t="n">
        <v>45938</v>
      </c>
      <c r="C492" t="n">
        <v>16496</v>
      </c>
      <c r="D492" t="inlineStr">
        <is>
          <t>Mumbai</t>
        </is>
      </c>
      <c r="E492" t="inlineStr">
        <is>
          <t>West</t>
        </is>
      </c>
      <c r="F492" t="inlineStr">
        <is>
          <t>Paid Social</t>
        </is>
      </c>
      <c r="G492" t="inlineStr">
        <is>
          <t>Mobile App</t>
        </is>
      </c>
      <c r="H492" t="inlineStr">
        <is>
          <t>Credit Card</t>
        </is>
      </c>
      <c r="I492" t="inlineStr">
        <is>
          <t>Delivered</t>
        </is>
      </c>
      <c r="J492" t="n">
        <v>113</v>
      </c>
      <c r="K492" t="n">
        <v>2</v>
      </c>
      <c r="L492" t="n">
        <v>1364</v>
      </c>
      <c r="M492" t="n">
        <v>272.8</v>
      </c>
      <c r="N492">
        <f>VLOOKUP(J492,Products!$A$2:$C$49,3,FALSE)</f>
        <v/>
      </c>
      <c r="O492">
        <f>K492*L492-M492</f>
        <v/>
      </c>
      <c r="P492">
        <f>TEXT(B492,"yyyy-mm")</f>
        <v/>
      </c>
      <c r="Q492">
        <f>IF(O492&gt;=3000,"Large","Small")</f>
        <v/>
      </c>
      <c r="R492">
        <f>INDEX(Products!$F$2:$F$49,MATCH(J492,Products!$A$2:$A$49,0))</f>
        <v/>
      </c>
      <c r="S492">
        <f>WEEKDAY(B492,2)</f>
        <v/>
      </c>
    </row>
    <row r="493">
      <c r="A493" t="n">
        <v>509574</v>
      </c>
      <c r="B493" s="6" t="n">
        <v>45938</v>
      </c>
      <c r="C493" t="n">
        <v>16496</v>
      </c>
      <c r="D493" t="inlineStr">
        <is>
          <t>Mumbai</t>
        </is>
      </c>
      <c r="E493" t="inlineStr">
        <is>
          <t>West</t>
        </is>
      </c>
      <c r="F493" t="inlineStr">
        <is>
          <t>Paid Social</t>
        </is>
      </c>
      <c r="G493" t="inlineStr">
        <is>
          <t>Mobile App</t>
        </is>
      </c>
      <c r="H493" t="inlineStr">
        <is>
          <t>Credit Card</t>
        </is>
      </c>
      <c r="I493" t="inlineStr">
        <is>
          <t>Delivered</t>
        </is>
      </c>
      <c r="J493" t="n">
        <v>129</v>
      </c>
      <c r="K493" t="n">
        <v>1</v>
      </c>
      <c r="L493" t="n">
        <v>576</v>
      </c>
      <c r="M493" t="n">
        <v>57.6</v>
      </c>
      <c r="N493">
        <f>VLOOKUP(J493,Products!$A$2:$C$49,3,FALSE)</f>
        <v/>
      </c>
      <c r="O493">
        <f>K493*L493-M493</f>
        <v/>
      </c>
      <c r="P493">
        <f>TEXT(B493,"yyyy-mm")</f>
        <v/>
      </c>
      <c r="Q493">
        <f>IF(O493&gt;=3000,"Large","Small")</f>
        <v/>
      </c>
      <c r="R493">
        <f>INDEX(Products!$F$2:$F$49,MATCH(J493,Products!$A$2:$A$49,0))</f>
        <v/>
      </c>
      <c r="S493">
        <f>WEEKDAY(B493,2)</f>
        <v/>
      </c>
    </row>
    <row r="494">
      <c r="A494" t="n">
        <v>509575</v>
      </c>
      <c r="B494" s="6" t="n">
        <v>45938</v>
      </c>
      <c r="C494" t="n">
        <v>16619</v>
      </c>
      <c r="D494" t="inlineStr">
        <is>
          <t>Bengaluru</t>
        </is>
      </c>
      <c r="E494" t="inlineStr">
        <is>
          <t>South</t>
        </is>
      </c>
      <c r="F494" t="inlineStr">
        <is>
          <t>Paid Social</t>
        </is>
      </c>
      <c r="G494" t="inlineStr">
        <is>
          <t>Mobile App</t>
        </is>
      </c>
      <c r="H494" t="inlineStr">
        <is>
          <t>Cash on Delivery</t>
        </is>
      </c>
      <c r="I494" t="inlineStr">
        <is>
          <t>Delivered</t>
        </is>
      </c>
      <c r="J494" t="n">
        <v>143</v>
      </c>
      <c r="K494" t="n">
        <v>1</v>
      </c>
      <c r="L494" t="n">
        <v>839</v>
      </c>
      <c r="M494" t="n">
        <v>125.85</v>
      </c>
      <c r="N494">
        <f>VLOOKUP(J494,Products!$A$2:$C$49,3,FALSE)</f>
        <v/>
      </c>
      <c r="O494">
        <f>K494*L494-M494</f>
        <v/>
      </c>
      <c r="P494">
        <f>TEXT(B494,"yyyy-mm")</f>
        <v/>
      </c>
      <c r="Q494">
        <f>IF(O494&gt;=3000,"Large","Small")</f>
        <v/>
      </c>
      <c r="R494">
        <f>INDEX(Products!$F$2:$F$49,MATCH(J494,Products!$A$2:$A$49,0))</f>
        <v/>
      </c>
      <c r="S494">
        <f>WEEKDAY(B494,2)</f>
        <v/>
      </c>
    </row>
    <row r="495">
      <c r="A495" t="n">
        <v>509575</v>
      </c>
      <c r="B495" s="6" t="n">
        <v>45938</v>
      </c>
      <c r="C495" t="n">
        <v>16619</v>
      </c>
      <c r="D495" t="inlineStr">
        <is>
          <t>Bengaluru</t>
        </is>
      </c>
      <c r="E495" t="inlineStr">
        <is>
          <t>South</t>
        </is>
      </c>
      <c r="F495" t="inlineStr">
        <is>
          <t>Paid Social</t>
        </is>
      </c>
      <c r="G495" t="inlineStr">
        <is>
          <t>Mobile App</t>
        </is>
      </c>
      <c r="H495" t="inlineStr">
        <is>
          <t>Cash on Delivery</t>
        </is>
      </c>
      <c r="I495" t="inlineStr">
        <is>
          <t>Delivered</t>
        </is>
      </c>
      <c r="J495" t="n">
        <v>130</v>
      </c>
      <c r="K495" t="n">
        <v>1</v>
      </c>
      <c r="L495" t="n">
        <v>734</v>
      </c>
      <c r="M495" t="n">
        <v>110.1</v>
      </c>
      <c r="N495">
        <f>VLOOKUP(J495,Products!$A$2:$C$49,3,FALSE)</f>
        <v/>
      </c>
      <c r="O495">
        <f>K495*L495-M495</f>
        <v/>
      </c>
      <c r="P495">
        <f>TEXT(B495,"yyyy-mm")</f>
        <v/>
      </c>
      <c r="Q495">
        <f>IF(O495&gt;=3000,"Large","Small")</f>
        <v/>
      </c>
      <c r="R495">
        <f>INDEX(Products!$F$2:$F$49,MATCH(J495,Products!$A$2:$A$49,0))</f>
        <v/>
      </c>
      <c r="S495">
        <f>WEEKDAY(B495,2)</f>
        <v/>
      </c>
    </row>
    <row r="496">
      <c r="A496" t="n">
        <v>509576</v>
      </c>
      <c r="B496" s="6" t="n">
        <v>45938</v>
      </c>
      <c r="C496" t="n">
        <v>11331</v>
      </c>
      <c r="D496" t="inlineStr">
        <is>
          <t>Bengaluru</t>
        </is>
      </c>
      <c r="E496" t="inlineStr">
        <is>
          <t>South</t>
        </is>
      </c>
      <c r="F496" t="inlineStr">
        <is>
          <t>Paid Search</t>
        </is>
      </c>
      <c r="G496" t="inlineStr">
        <is>
          <t>Mobile App</t>
        </is>
      </c>
      <c r="H496" t="inlineStr">
        <is>
          <t>UPI</t>
        </is>
      </c>
      <c r="I496" t="inlineStr">
        <is>
          <t>Delivered</t>
        </is>
      </c>
      <c r="J496" t="n">
        <v>103</v>
      </c>
      <c r="K496" t="n">
        <v>1</v>
      </c>
      <c r="L496" t="n">
        <v>2624</v>
      </c>
      <c r="M496" t="n">
        <v>0</v>
      </c>
      <c r="N496">
        <f>VLOOKUP(J496,Products!$A$2:$C$49,3,FALSE)</f>
        <v/>
      </c>
      <c r="O496">
        <f>K496*L496-M496</f>
        <v/>
      </c>
      <c r="P496">
        <f>TEXT(B496,"yyyy-mm")</f>
        <v/>
      </c>
      <c r="Q496">
        <f>IF(O496&gt;=3000,"Large","Small")</f>
        <v/>
      </c>
      <c r="R496">
        <f>INDEX(Products!$F$2:$F$49,MATCH(J496,Products!$A$2:$A$49,0))</f>
        <v/>
      </c>
      <c r="S496">
        <f>WEEKDAY(B496,2)</f>
        <v/>
      </c>
    </row>
    <row r="497">
      <c r="A497" t="n">
        <v>509576</v>
      </c>
      <c r="B497" s="6" t="n">
        <v>45938</v>
      </c>
      <c r="C497" t="n">
        <v>11331</v>
      </c>
      <c r="D497" t="inlineStr">
        <is>
          <t>Bengaluru</t>
        </is>
      </c>
      <c r="E497" t="inlineStr">
        <is>
          <t>South</t>
        </is>
      </c>
      <c r="F497" t="inlineStr">
        <is>
          <t>Paid Search</t>
        </is>
      </c>
      <c r="G497" t="inlineStr">
        <is>
          <t>Mobile App</t>
        </is>
      </c>
      <c r="H497" t="inlineStr">
        <is>
          <t>UPI</t>
        </is>
      </c>
      <c r="I497" t="inlineStr">
        <is>
          <t>Delivered</t>
        </is>
      </c>
      <c r="J497" t="n">
        <v>134</v>
      </c>
      <c r="K497" t="n">
        <v>1</v>
      </c>
      <c r="L497" t="n">
        <v>209</v>
      </c>
      <c r="M497" t="n">
        <v>0</v>
      </c>
      <c r="N497">
        <f>VLOOKUP(J497,Products!$A$2:$C$49,3,FALSE)</f>
        <v/>
      </c>
      <c r="O497">
        <f>K497*L497-M497</f>
        <v/>
      </c>
      <c r="P497">
        <f>TEXT(B497,"yyyy-mm")</f>
        <v/>
      </c>
      <c r="Q497">
        <f>IF(O497&gt;=3000,"Large","Small")</f>
        <v/>
      </c>
      <c r="R497">
        <f>INDEX(Products!$F$2:$F$49,MATCH(J497,Products!$A$2:$A$49,0))</f>
        <v/>
      </c>
      <c r="S497">
        <f>WEEKDAY(B497,2)</f>
        <v/>
      </c>
    </row>
    <row r="498">
      <c r="A498" t="n">
        <v>509576</v>
      </c>
      <c r="B498" s="6" t="n">
        <v>45938</v>
      </c>
      <c r="C498" t="n">
        <v>11331</v>
      </c>
      <c r="D498" t="inlineStr">
        <is>
          <t>Bengaluru</t>
        </is>
      </c>
      <c r="E498" t="inlineStr">
        <is>
          <t>South</t>
        </is>
      </c>
      <c r="F498" t="inlineStr">
        <is>
          <t>Paid Search</t>
        </is>
      </c>
      <c r="G498" t="inlineStr">
        <is>
          <t>Mobile App</t>
        </is>
      </c>
      <c r="H498" t="inlineStr">
        <is>
          <t>UPI</t>
        </is>
      </c>
      <c r="I498" t="inlineStr">
        <is>
          <t>Delivered</t>
        </is>
      </c>
      <c r="J498" t="n">
        <v>129</v>
      </c>
      <c r="K498" t="n">
        <v>1</v>
      </c>
      <c r="L498" t="n">
        <v>576</v>
      </c>
      <c r="M498" t="n">
        <v>0</v>
      </c>
      <c r="N498">
        <f>VLOOKUP(J498,Products!$A$2:$C$49,3,FALSE)</f>
        <v/>
      </c>
      <c r="O498">
        <f>K498*L498-M498</f>
        <v/>
      </c>
      <c r="P498">
        <f>TEXT(B498,"yyyy-mm")</f>
        <v/>
      </c>
      <c r="Q498">
        <f>IF(O498&gt;=3000,"Large","Small")</f>
        <v/>
      </c>
      <c r="R498">
        <f>INDEX(Products!$F$2:$F$49,MATCH(J498,Products!$A$2:$A$49,0))</f>
        <v/>
      </c>
      <c r="S498">
        <f>WEEKDAY(B498,2)</f>
        <v/>
      </c>
    </row>
    <row r="499">
      <c r="A499" t="n">
        <v>509577</v>
      </c>
      <c r="B499" s="6" t="n">
        <v>45938</v>
      </c>
      <c r="C499" t="n">
        <v>11926</v>
      </c>
      <c r="D499" t="inlineStr">
        <is>
          <t>Indore</t>
        </is>
      </c>
      <c r="E499" t="inlineStr">
        <is>
          <t>West</t>
        </is>
      </c>
      <c r="F499" t="inlineStr">
        <is>
          <t>Paid Social</t>
        </is>
      </c>
      <c r="G499" t="inlineStr">
        <is>
          <t>Mobile Web</t>
        </is>
      </c>
      <c r="H499" t="inlineStr">
        <is>
          <t>Cash on Delivery</t>
        </is>
      </c>
      <c r="I499" t="inlineStr">
        <is>
          <t>Delivered</t>
        </is>
      </c>
      <c r="J499" t="n">
        <v>107</v>
      </c>
      <c r="K499" t="n">
        <v>1</v>
      </c>
      <c r="L499" t="n">
        <v>1259</v>
      </c>
      <c r="M499" t="n">
        <v>0</v>
      </c>
      <c r="N499">
        <f>VLOOKUP(J499,Products!$A$2:$C$49,3,FALSE)</f>
        <v/>
      </c>
      <c r="O499">
        <f>K499*L499-M499</f>
        <v/>
      </c>
      <c r="P499">
        <f>TEXT(B499,"yyyy-mm")</f>
        <v/>
      </c>
      <c r="Q499">
        <f>IF(O499&gt;=3000,"Large","Small")</f>
        <v/>
      </c>
      <c r="R499">
        <f>INDEX(Products!$F$2:$F$49,MATCH(J499,Products!$A$2:$A$49,0))</f>
        <v/>
      </c>
      <c r="S499">
        <f>WEEKDAY(B499,2)</f>
        <v/>
      </c>
    </row>
    <row r="500">
      <c r="A500" t="n">
        <v>509578</v>
      </c>
      <c r="B500" s="6" t="n">
        <v>45938</v>
      </c>
      <c r="C500" t="n">
        <v>16687</v>
      </c>
      <c r="D500" t="inlineStr">
        <is>
          <t>Delhi</t>
        </is>
      </c>
      <c r="E500" t="inlineStr">
        <is>
          <t>North</t>
        </is>
      </c>
      <c r="F500" t="inlineStr">
        <is>
          <t>Email</t>
        </is>
      </c>
      <c r="G500" t="inlineStr">
        <is>
          <t>Mobile App</t>
        </is>
      </c>
      <c r="H500" t="inlineStr">
        <is>
          <t>UPI</t>
        </is>
      </c>
      <c r="I500" t="inlineStr">
        <is>
          <t>Delivered</t>
        </is>
      </c>
      <c r="J500" t="n">
        <v>139</v>
      </c>
      <c r="K500" t="n">
        <v>1</v>
      </c>
      <c r="L500" t="n">
        <v>366</v>
      </c>
      <c r="M500" t="n">
        <v>36.6</v>
      </c>
      <c r="N500">
        <f>VLOOKUP(J500,Products!$A$2:$C$49,3,FALSE)</f>
        <v/>
      </c>
      <c r="O500">
        <f>K500*L500-M500</f>
        <v/>
      </c>
      <c r="P500">
        <f>TEXT(B500,"yyyy-mm")</f>
        <v/>
      </c>
      <c r="Q500">
        <f>IF(O500&gt;=3000,"Large","Small")</f>
        <v/>
      </c>
      <c r="R500">
        <f>INDEX(Products!$F$2:$F$49,MATCH(J500,Products!$A$2:$A$49,0))</f>
        <v/>
      </c>
      <c r="S500">
        <f>WEEKDAY(B500,2)</f>
        <v/>
      </c>
    </row>
    <row r="501">
      <c r="A501" t="n">
        <v>509578</v>
      </c>
      <c r="B501" s="6" t="n">
        <v>45938</v>
      </c>
      <c r="C501" t="n">
        <v>16687</v>
      </c>
      <c r="D501" t="inlineStr">
        <is>
          <t>Delhi</t>
        </is>
      </c>
      <c r="E501" t="inlineStr">
        <is>
          <t>North</t>
        </is>
      </c>
      <c r="F501" t="inlineStr">
        <is>
          <t>Email</t>
        </is>
      </c>
      <c r="G501" t="inlineStr">
        <is>
          <t>Mobile App</t>
        </is>
      </c>
      <c r="H501" t="inlineStr">
        <is>
          <t>UPI</t>
        </is>
      </c>
      <c r="I501" t="inlineStr">
        <is>
          <t>Delivered</t>
        </is>
      </c>
      <c r="J501" t="n">
        <v>131</v>
      </c>
      <c r="K501" t="n">
        <v>1</v>
      </c>
      <c r="L501" t="n">
        <v>314</v>
      </c>
      <c r="M501" t="n">
        <v>31.4</v>
      </c>
      <c r="N501">
        <f>VLOOKUP(J501,Products!$A$2:$C$49,3,FALSE)</f>
        <v/>
      </c>
      <c r="O501">
        <f>K501*L501-M501</f>
        <v/>
      </c>
      <c r="P501">
        <f>TEXT(B501,"yyyy-mm")</f>
        <v/>
      </c>
      <c r="Q501">
        <f>IF(O501&gt;=3000,"Large","Small")</f>
        <v/>
      </c>
      <c r="R501">
        <f>INDEX(Products!$F$2:$F$49,MATCH(J501,Products!$A$2:$A$49,0))</f>
        <v/>
      </c>
      <c r="S501">
        <f>WEEKDAY(B501,2)</f>
        <v/>
      </c>
    </row>
    <row r="502">
      <c r="A502" t="n">
        <v>509579</v>
      </c>
      <c r="B502" s="6" t="n">
        <v>45938</v>
      </c>
      <c r="C502" t="n">
        <v>15709</v>
      </c>
      <c r="D502" t="inlineStr">
        <is>
          <t>Delhi</t>
        </is>
      </c>
      <c r="E502" t="inlineStr">
        <is>
          <t>North</t>
        </is>
      </c>
      <c r="F502" t="inlineStr">
        <is>
          <t>Organic Search</t>
        </is>
      </c>
      <c r="G502" t="inlineStr">
        <is>
          <t>Mobile App</t>
        </is>
      </c>
      <c r="H502" t="inlineStr">
        <is>
          <t>UPI</t>
        </is>
      </c>
      <c r="I502" t="inlineStr">
        <is>
          <t>Returned</t>
        </is>
      </c>
      <c r="J502" t="n">
        <v>103</v>
      </c>
      <c r="K502" t="n">
        <v>1</v>
      </c>
      <c r="L502" t="n">
        <v>2624</v>
      </c>
      <c r="M502" t="n">
        <v>0</v>
      </c>
      <c r="N502">
        <f>VLOOKUP(J502,Products!$A$2:$C$49,3,FALSE)</f>
        <v/>
      </c>
      <c r="O502">
        <f>K502*L502-M502</f>
        <v/>
      </c>
      <c r="P502">
        <f>TEXT(B502,"yyyy-mm")</f>
        <v/>
      </c>
      <c r="Q502">
        <f>IF(O502&gt;=3000,"Large","Small")</f>
        <v/>
      </c>
      <c r="R502">
        <f>INDEX(Products!$F$2:$F$49,MATCH(J502,Products!$A$2:$A$49,0))</f>
        <v/>
      </c>
      <c r="S502">
        <f>WEEKDAY(B502,2)</f>
        <v/>
      </c>
    </row>
    <row r="503">
      <c r="A503" t="n">
        <v>509579</v>
      </c>
      <c r="B503" s="6" t="n">
        <v>45938</v>
      </c>
      <c r="C503" t="n">
        <v>15709</v>
      </c>
      <c r="D503" t="inlineStr">
        <is>
          <t>Delhi</t>
        </is>
      </c>
      <c r="E503" t="inlineStr">
        <is>
          <t>North</t>
        </is>
      </c>
      <c r="F503" t="inlineStr">
        <is>
          <t>Organic Search</t>
        </is>
      </c>
      <c r="G503" t="inlineStr">
        <is>
          <t>Mobile App</t>
        </is>
      </c>
      <c r="H503" t="inlineStr">
        <is>
          <t>UPI</t>
        </is>
      </c>
      <c r="I503" t="inlineStr">
        <is>
          <t>Returned</t>
        </is>
      </c>
      <c r="J503" t="n">
        <v>112</v>
      </c>
      <c r="K503" t="n">
        <v>1</v>
      </c>
      <c r="L503" t="n">
        <v>1574</v>
      </c>
      <c r="M503" t="n">
        <v>0</v>
      </c>
      <c r="N503">
        <f>VLOOKUP(J503,Products!$A$2:$C$49,3,FALSE)</f>
        <v/>
      </c>
      <c r="O503">
        <f>K503*L503-M503</f>
        <v/>
      </c>
      <c r="P503">
        <f>TEXT(B503,"yyyy-mm")</f>
        <v/>
      </c>
      <c r="Q503">
        <f>IF(O503&gt;=3000,"Large","Small")</f>
        <v/>
      </c>
      <c r="R503">
        <f>INDEX(Products!$F$2:$F$49,MATCH(J503,Products!$A$2:$A$49,0))</f>
        <v/>
      </c>
      <c r="S503">
        <f>WEEKDAY(B503,2)</f>
        <v/>
      </c>
    </row>
    <row r="504">
      <c r="A504" t="n">
        <v>509580</v>
      </c>
      <c r="B504" s="6" t="n">
        <v>45938</v>
      </c>
      <c r="C504" t="n">
        <v>15755</v>
      </c>
      <c r="D504" t="inlineStr">
        <is>
          <t>Bengaluru</t>
        </is>
      </c>
      <c r="E504" t="inlineStr">
        <is>
          <t>South</t>
        </is>
      </c>
      <c r="F504" t="inlineStr">
        <is>
          <t>Paid Social</t>
        </is>
      </c>
      <c r="G504" t="inlineStr">
        <is>
          <t>Mobile App</t>
        </is>
      </c>
      <c r="H504" t="inlineStr">
        <is>
          <t>Credit Card</t>
        </is>
      </c>
      <c r="I504" t="inlineStr">
        <is>
          <t>Returned</t>
        </is>
      </c>
      <c r="J504" t="n">
        <v>128</v>
      </c>
      <c r="K504" t="n">
        <v>1</v>
      </c>
      <c r="L504" t="n">
        <v>1049</v>
      </c>
      <c r="M504" t="n">
        <v>104.9</v>
      </c>
      <c r="N504">
        <f>VLOOKUP(J504,Products!$A$2:$C$49,3,FALSE)</f>
        <v/>
      </c>
      <c r="O504">
        <f>K504*L504-M504</f>
        <v/>
      </c>
      <c r="P504">
        <f>TEXT(B504,"yyyy-mm")</f>
        <v/>
      </c>
      <c r="Q504">
        <f>IF(O504&gt;=3000,"Large","Small")</f>
        <v/>
      </c>
      <c r="R504">
        <f>INDEX(Products!$F$2:$F$49,MATCH(J504,Products!$A$2:$A$49,0))</f>
        <v/>
      </c>
      <c r="S504">
        <f>WEEKDAY(B504,2)</f>
        <v/>
      </c>
    </row>
    <row r="505">
      <c r="A505" t="n">
        <v>509581</v>
      </c>
      <c r="B505" s="6" t="n">
        <v>45938</v>
      </c>
      <c r="C505" t="n">
        <v>13248</v>
      </c>
      <c r="D505" t="inlineStr">
        <is>
          <t>Delhi</t>
        </is>
      </c>
      <c r="E505" t="inlineStr">
        <is>
          <t>North</t>
        </is>
      </c>
      <c r="F505" t="inlineStr">
        <is>
          <t>Paid Search</t>
        </is>
      </c>
      <c r="G505" t="inlineStr">
        <is>
          <t>Desktop</t>
        </is>
      </c>
      <c r="H505" t="inlineStr">
        <is>
          <t>UPI</t>
        </is>
      </c>
      <c r="I505" t="inlineStr">
        <is>
          <t>Delivered</t>
        </is>
      </c>
      <c r="J505" t="n">
        <v>139</v>
      </c>
      <c r="K505" t="n">
        <v>1</v>
      </c>
      <c r="L505" t="n">
        <v>366</v>
      </c>
      <c r="M505" t="n">
        <v>0</v>
      </c>
      <c r="N505">
        <f>VLOOKUP(J505,Products!$A$2:$C$49,3,FALSE)</f>
        <v/>
      </c>
      <c r="O505">
        <f>K505*L505-M505</f>
        <v/>
      </c>
      <c r="P505">
        <f>TEXT(B505,"yyyy-mm")</f>
        <v/>
      </c>
      <c r="Q505">
        <f>IF(O505&gt;=3000,"Large","Small")</f>
        <v/>
      </c>
      <c r="R505">
        <f>INDEX(Products!$F$2:$F$49,MATCH(J505,Products!$A$2:$A$49,0))</f>
        <v/>
      </c>
      <c r="S505">
        <f>WEEKDAY(B505,2)</f>
        <v/>
      </c>
    </row>
    <row r="506">
      <c r="A506" t="n">
        <v>509581</v>
      </c>
      <c r="B506" s="6" t="n">
        <v>45938</v>
      </c>
      <c r="C506" t="n">
        <v>13248</v>
      </c>
      <c r="D506" t="inlineStr">
        <is>
          <t>Delhi</t>
        </is>
      </c>
      <c r="E506" t="inlineStr">
        <is>
          <t>North</t>
        </is>
      </c>
      <c r="F506" t="inlineStr">
        <is>
          <t>Paid Search</t>
        </is>
      </c>
      <c r="G506" t="inlineStr">
        <is>
          <t>Desktop</t>
        </is>
      </c>
      <c r="H506" t="inlineStr">
        <is>
          <t>UPI</t>
        </is>
      </c>
      <c r="I506" t="inlineStr">
        <is>
          <t>Delivered</t>
        </is>
      </c>
      <c r="J506" t="n">
        <v>106</v>
      </c>
      <c r="K506" t="n">
        <v>1</v>
      </c>
      <c r="L506" t="n">
        <v>1574</v>
      </c>
      <c r="M506" t="n">
        <v>0</v>
      </c>
      <c r="N506">
        <f>VLOOKUP(J506,Products!$A$2:$C$49,3,FALSE)</f>
        <v/>
      </c>
      <c r="O506">
        <f>K506*L506-M506</f>
        <v/>
      </c>
      <c r="P506">
        <f>TEXT(B506,"yyyy-mm")</f>
        <v/>
      </c>
      <c r="Q506">
        <f>IF(O506&gt;=3000,"Large","Small")</f>
        <v/>
      </c>
      <c r="R506">
        <f>INDEX(Products!$F$2:$F$49,MATCH(J506,Products!$A$2:$A$49,0))</f>
        <v/>
      </c>
      <c r="S506">
        <f>WEEKDAY(B506,2)</f>
        <v/>
      </c>
    </row>
    <row r="507">
      <c r="A507" t="n">
        <v>509581</v>
      </c>
      <c r="B507" s="6" t="n">
        <v>45938</v>
      </c>
      <c r="C507" t="n">
        <v>13248</v>
      </c>
      <c r="D507" t="inlineStr">
        <is>
          <t>Delhi</t>
        </is>
      </c>
      <c r="E507" t="inlineStr">
        <is>
          <t>North</t>
        </is>
      </c>
      <c r="F507" t="inlineStr">
        <is>
          <t>Paid Search</t>
        </is>
      </c>
      <c r="G507" t="inlineStr">
        <is>
          <t>Desktop</t>
        </is>
      </c>
      <c r="H507" t="inlineStr">
        <is>
          <t>UPI</t>
        </is>
      </c>
      <c r="I507" t="inlineStr">
        <is>
          <t>Delivered</t>
        </is>
      </c>
      <c r="J507" t="n">
        <v>129</v>
      </c>
      <c r="K507" t="n">
        <v>1</v>
      </c>
      <c r="L507" t="n">
        <v>576</v>
      </c>
      <c r="M507" t="n">
        <v>0</v>
      </c>
      <c r="N507">
        <f>VLOOKUP(J507,Products!$A$2:$C$49,3,FALSE)</f>
        <v/>
      </c>
      <c r="O507">
        <f>K507*L507-M507</f>
        <v/>
      </c>
      <c r="P507">
        <f>TEXT(B507,"yyyy-mm")</f>
        <v/>
      </c>
      <c r="Q507">
        <f>IF(O507&gt;=3000,"Large","Small")</f>
        <v/>
      </c>
      <c r="R507">
        <f>INDEX(Products!$F$2:$F$49,MATCH(J507,Products!$A$2:$A$49,0))</f>
        <v/>
      </c>
      <c r="S507">
        <f>WEEKDAY(B507,2)</f>
        <v/>
      </c>
    </row>
    <row r="508">
      <c r="A508" t="n">
        <v>509582</v>
      </c>
      <c r="B508" s="6" t="n">
        <v>45938</v>
      </c>
      <c r="C508" t="n">
        <v>15928</v>
      </c>
      <c r="D508" t="inlineStr">
        <is>
          <t>Delhi</t>
        </is>
      </c>
      <c r="E508" t="inlineStr">
        <is>
          <t>North</t>
        </is>
      </c>
      <c r="F508" t="inlineStr">
        <is>
          <t>Paid Search</t>
        </is>
      </c>
      <c r="G508" t="inlineStr">
        <is>
          <t>Mobile App</t>
        </is>
      </c>
      <c r="H508" t="inlineStr">
        <is>
          <t>Cash on Delivery</t>
        </is>
      </c>
      <c r="I508" t="inlineStr">
        <is>
          <t>Delivered</t>
        </is>
      </c>
      <c r="J508" t="n">
        <v>116</v>
      </c>
      <c r="K508" t="n">
        <v>2</v>
      </c>
      <c r="L508" t="n">
        <v>2624</v>
      </c>
      <c r="M508" t="n">
        <v>524.8</v>
      </c>
      <c r="N508">
        <f>VLOOKUP(J508,Products!$A$2:$C$49,3,FALSE)</f>
        <v/>
      </c>
      <c r="O508">
        <f>K508*L508-M508</f>
        <v/>
      </c>
      <c r="P508">
        <f>TEXT(B508,"yyyy-mm")</f>
        <v/>
      </c>
      <c r="Q508">
        <f>IF(O508&gt;=3000,"Large","Small")</f>
        <v/>
      </c>
      <c r="R508">
        <f>INDEX(Products!$F$2:$F$49,MATCH(J508,Products!$A$2:$A$49,0))</f>
        <v/>
      </c>
      <c r="S508">
        <f>WEEKDAY(B508,2)</f>
        <v/>
      </c>
    </row>
    <row r="509">
      <c r="A509" t="n">
        <v>509582</v>
      </c>
      <c r="B509" s="6" t="n">
        <v>45938</v>
      </c>
      <c r="C509" t="n">
        <v>15928</v>
      </c>
      <c r="D509" t="inlineStr">
        <is>
          <t>Delhi</t>
        </is>
      </c>
      <c r="E509" t="inlineStr">
        <is>
          <t>North</t>
        </is>
      </c>
      <c r="F509" t="inlineStr">
        <is>
          <t>Paid Search</t>
        </is>
      </c>
      <c r="G509" t="inlineStr">
        <is>
          <t>Mobile App</t>
        </is>
      </c>
      <c r="H509" t="inlineStr">
        <is>
          <t>Cash on Delivery</t>
        </is>
      </c>
      <c r="I509" t="inlineStr">
        <is>
          <t>Delivered</t>
        </is>
      </c>
      <c r="J509" t="n">
        <v>120</v>
      </c>
      <c r="K509" t="n">
        <v>1</v>
      </c>
      <c r="L509" t="n">
        <v>734</v>
      </c>
      <c r="M509" t="n">
        <v>73.40000000000001</v>
      </c>
      <c r="N509">
        <f>VLOOKUP(J509,Products!$A$2:$C$49,3,FALSE)</f>
        <v/>
      </c>
      <c r="O509">
        <f>K509*L509-M509</f>
        <v/>
      </c>
      <c r="P509">
        <f>TEXT(B509,"yyyy-mm")</f>
        <v/>
      </c>
      <c r="Q509">
        <f>IF(O509&gt;=3000,"Large","Small")</f>
        <v/>
      </c>
      <c r="R509">
        <f>INDEX(Products!$F$2:$F$49,MATCH(J509,Products!$A$2:$A$49,0))</f>
        <v/>
      </c>
      <c r="S509">
        <f>WEEKDAY(B509,2)</f>
        <v/>
      </c>
    </row>
    <row r="510">
      <c r="A510" t="n">
        <v>509583</v>
      </c>
      <c r="B510" s="6" t="n">
        <v>45938</v>
      </c>
      <c r="C510" t="n">
        <v>16701</v>
      </c>
      <c r="D510" t="inlineStr">
        <is>
          <t>Mumbai</t>
        </is>
      </c>
      <c r="E510" t="inlineStr">
        <is>
          <t>West</t>
        </is>
      </c>
      <c r="F510" t="inlineStr">
        <is>
          <t>Organic Search</t>
        </is>
      </c>
      <c r="G510" t="inlineStr">
        <is>
          <t>Mobile App</t>
        </is>
      </c>
      <c r="H510" t="inlineStr">
        <is>
          <t>UPI</t>
        </is>
      </c>
      <c r="I510" t="inlineStr">
        <is>
          <t>Delivered</t>
        </is>
      </c>
      <c r="J510" t="n">
        <v>101</v>
      </c>
      <c r="K510" t="n">
        <v>2</v>
      </c>
      <c r="L510" t="n">
        <v>2099</v>
      </c>
      <c r="M510" t="n">
        <v>0</v>
      </c>
      <c r="N510">
        <f>VLOOKUP(J510,Products!$A$2:$C$49,3,FALSE)</f>
        <v/>
      </c>
      <c r="O510">
        <f>K510*L510-M510</f>
        <v/>
      </c>
      <c r="P510">
        <f>TEXT(B510,"yyyy-mm")</f>
        <v/>
      </c>
      <c r="Q510">
        <f>IF(O510&gt;=3000,"Large","Small")</f>
        <v/>
      </c>
      <c r="R510">
        <f>INDEX(Products!$F$2:$F$49,MATCH(J510,Products!$A$2:$A$49,0))</f>
        <v/>
      </c>
      <c r="S510">
        <f>WEEKDAY(B510,2)</f>
        <v/>
      </c>
    </row>
    <row r="511">
      <c r="A511" t="n">
        <v>509584</v>
      </c>
      <c r="B511" s="6" t="n">
        <v>45938</v>
      </c>
      <c r="C511" t="n">
        <v>10460</v>
      </c>
      <c r="D511" t="inlineStr">
        <is>
          <t>Pune</t>
        </is>
      </c>
      <c r="E511" t="inlineStr">
        <is>
          <t>West</t>
        </is>
      </c>
      <c r="F511" t="inlineStr">
        <is>
          <t>Paid Social</t>
        </is>
      </c>
      <c r="G511" t="inlineStr">
        <is>
          <t>Desktop</t>
        </is>
      </c>
      <c r="H511" t="inlineStr">
        <is>
          <t>UPI</t>
        </is>
      </c>
      <c r="I511" t="inlineStr">
        <is>
          <t>Delivered</t>
        </is>
      </c>
      <c r="J511" t="n">
        <v>110</v>
      </c>
      <c r="K511" t="n">
        <v>1</v>
      </c>
      <c r="L511" t="n">
        <v>839</v>
      </c>
      <c r="M511" t="n">
        <v>0</v>
      </c>
      <c r="N511">
        <f>VLOOKUP(J511,Products!$A$2:$C$49,3,FALSE)</f>
        <v/>
      </c>
      <c r="O511">
        <f>K511*L511-M511</f>
        <v/>
      </c>
      <c r="P511">
        <f>TEXT(B511,"yyyy-mm")</f>
        <v/>
      </c>
      <c r="Q511">
        <f>IF(O511&gt;=3000,"Large","Small")</f>
        <v/>
      </c>
      <c r="R511">
        <f>INDEX(Products!$F$2:$F$49,MATCH(J511,Products!$A$2:$A$49,0))</f>
        <v/>
      </c>
      <c r="S511">
        <f>WEEKDAY(B511,2)</f>
        <v/>
      </c>
    </row>
    <row r="512">
      <c r="A512" t="n">
        <v>509584</v>
      </c>
      <c r="B512" s="6" t="n">
        <v>45938</v>
      </c>
      <c r="C512" t="n">
        <v>10460</v>
      </c>
      <c r="D512" t="inlineStr">
        <is>
          <t>Pune</t>
        </is>
      </c>
      <c r="E512" t="inlineStr">
        <is>
          <t>West</t>
        </is>
      </c>
      <c r="F512" t="inlineStr">
        <is>
          <t>Paid Social</t>
        </is>
      </c>
      <c r="G512" t="inlineStr">
        <is>
          <t>Desktop</t>
        </is>
      </c>
      <c r="H512" t="inlineStr">
        <is>
          <t>UPI</t>
        </is>
      </c>
      <c r="I512" t="inlineStr">
        <is>
          <t>Delivered</t>
        </is>
      </c>
      <c r="J512" t="n">
        <v>129</v>
      </c>
      <c r="K512" t="n">
        <v>1</v>
      </c>
      <c r="L512" t="n">
        <v>576</v>
      </c>
      <c r="M512" t="n">
        <v>0</v>
      </c>
      <c r="N512">
        <f>VLOOKUP(J512,Products!$A$2:$C$49,3,FALSE)</f>
        <v/>
      </c>
      <c r="O512">
        <f>K512*L512-M512</f>
        <v/>
      </c>
      <c r="P512">
        <f>TEXT(B512,"yyyy-mm")</f>
        <v/>
      </c>
      <c r="Q512">
        <f>IF(O512&gt;=3000,"Large","Small")</f>
        <v/>
      </c>
      <c r="R512">
        <f>INDEX(Products!$F$2:$F$49,MATCH(J512,Products!$A$2:$A$49,0))</f>
        <v/>
      </c>
      <c r="S512">
        <f>WEEKDAY(B512,2)</f>
        <v/>
      </c>
    </row>
    <row r="513">
      <c r="A513" t="n">
        <v>509585</v>
      </c>
      <c r="B513" s="6" t="n">
        <v>45938</v>
      </c>
      <c r="C513" t="n">
        <v>10271</v>
      </c>
      <c r="D513" t="inlineStr">
        <is>
          <t>Mumbai</t>
        </is>
      </c>
      <c r="E513" t="inlineStr">
        <is>
          <t>West</t>
        </is>
      </c>
      <c r="F513" t="inlineStr">
        <is>
          <t>Paid Social</t>
        </is>
      </c>
      <c r="G513" t="inlineStr">
        <is>
          <t>Mobile App</t>
        </is>
      </c>
      <c r="H513" t="inlineStr">
        <is>
          <t>Cash on Delivery</t>
        </is>
      </c>
      <c r="I513" t="inlineStr">
        <is>
          <t>Delivered</t>
        </is>
      </c>
      <c r="J513" t="n">
        <v>142</v>
      </c>
      <c r="K513" t="n">
        <v>1</v>
      </c>
      <c r="L513" t="n">
        <v>839</v>
      </c>
      <c r="M513" t="n">
        <v>83.90000000000001</v>
      </c>
      <c r="N513">
        <f>VLOOKUP(J513,Products!$A$2:$C$49,3,FALSE)</f>
        <v/>
      </c>
      <c r="O513">
        <f>K513*L513-M513</f>
        <v/>
      </c>
      <c r="P513">
        <f>TEXT(B513,"yyyy-mm")</f>
        <v/>
      </c>
      <c r="Q513">
        <f>IF(O513&gt;=3000,"Large","Small")</f>
        <v/>
      </c>
      <c r="R513">
        <f>INDEX(Products!$F$2:$F$49,MATCH(J513,Products!$A$2:$A$49,0))</f>
        <v/>
      </c>
      <c r="S513">
        <f>WEEKDAY(B513,2)</f>
        <v/>
      </c>
    </row>
    <row r="514">
      <c r="A514" t="n">
        <v>509585</v>
      </c>
      <c r="B514" s="6" t="n">
        <v>45938</v>
      </c>
      <c r="C514" t="n">
        <v>10271</v>
      </c>
      <c r="D514" t="inlineStr">
        <is>
          <t>Mumbai</t>
        </is>
      </c>
      <c r="E514" t="inlineStr">
        <is>
          <t>West</t>
        </is>
      </c>
      <c r="F514" t="inlineStr">
        <is>
          <t>Paid Social</t>
        </is>
      </c>
      <c r="G514" t="inlineStr">
        <is>
          <t>Mobile App</t>
        </is>
      </c>
      <c r="H514" t="inlineStr">
        <is>
          <t>Cash on Delivery</t>
        </is>
      </c>
      <c r="I514" t="inlineStr">
        <is>
          <t>Delivered</t>
        </is>
      </c>
      <c r="J514" t="n">
        <v>129</v>
      </c>
      <c r="K514" t="n">
        <v>1</v>
      </c>
      <c r="L514" t="n">
        <v>576</v>
      </c>
      <c r="M514" t="n">
        <v>57.6</v>
      </c>
      <c r="N514">
        <f>VLOOKUP(J514,Products!$A$2:$C$49,3,FALSE)</f>
        <v/>
      </c>
      <c r="O514">
        <f>K514*L514-M514</f>
        <v/>
      </c>
      <c r="P514">
        <f>TEXT(B514,"yyyy-mm")</f>
        <v/>
      </c>
      <c r="Q514">
        <f>IF(O514&gt;=3000,"Large","Small")</f>
        <v/>
      </c>
      <c r="R514">
        <f>INDEX(Products!$F$2:$F$49,MATCH(J514,Products!$A$2:$A$49,0))</f>
        <v/>
      </c>
      <c r="S514">
        <f>WEEKDAY(B514,2)</f>
        <v/>
      </c>
    </row>
    <row r="515">
      <c r="A515" t="n">
        <v>509586</v>
      </c>
      <c r="B515" s="6" t="n">
        <v>45938</v>
      </c>
      <c r="C515" t="n">
        <v>12025</v>
      </c>
      <c r="D515" t="inlineStr">
        <is>
          <t>Mumbai</t>
        </is>
      </c>
      <c r="E515" t="inlineStr">
        <is>
          <t>West</t>
        </is>
      </c>
      <c r="F515" t="inlineStr">
        <is>
          <t>Paid Search</t>
        </is>
      </c>
      <c r="G515" t="inlineStr">
        <is>
          <t>Mobile App</t>
        </is>
      </c>
      <c r="H515" t="inlineStr">
        <is>
          <t>Debit Card</t>
        </is>
      </c>
      <c r="I515" t="inlineStr">
        <is>
          <t>Delivered</t>
        </is>
      </c>
      <c r="J515" t="n">
        <v>107</v>
      </c>
      <c r="K515" t="n">
        <v>1</v>
      </c>
      <c r="L515" t="n">
        <v>1259</v>
      </c>
      <c r="M515" t="n">
        <v>125.9</v>
      </c>
      <c r="N515">
        <f>VLOOKUP(J515,Products!$A$2:$C$49,3,FALSE)</f>
        <v/>
      </c>
      <c r="O515">
        <f>K515*L515-M515</f>
        <v/>
      </c>
      <c r="P515">
        <f>TEXT(B515,"yyyy-mm")</f>
        <v/>
      </c>
      <c r="Q515">
        <f>IF(O515&gt;=3000,"Large","Small")</f>
        <v/>
      </c>
      <c r="R515">
        <f>INDEX(Products!$F$2:$F$49,MATCH(J515,Products!$A$2:$A$49,0))</f>
        <v/>
      </c>
      <c r="S515">
        <f>WEEKDAY(B515,2)</f>
        <v/>
      </c>
    </row>
    <row r="516">
      <c r="A516" t="n">
        <v>509586</v>
      </c>
      <c r="B516" s="6" t="n">
        <v>45938</v>
      </c>
      <c r="C516" t="n">
        <v>12025</v>
      </c>
      <c r="D516" t="inlineStr">
        <is>
          <t>Mumbai</t>
        </is>
      </c>
      <c r="E516" t="inlineStr">
        <is>
          <t>West</t>
        </is>
      </c>
      <c r="F516" t="inlineStr">
        <is>
          <t>Paid Search</t>
        </is>
      </c>
      <c r="G516" t="inlineStr">
        <is>
          <t>Mobile App</t>
        </is>
      </c>
      <c r="H516" t="inlineStr">
        <is>
          <t>Debit Card</t>
        </is>
      </c>
      <c r="I516" t="inlineStr">
        <is>
          <t>Delivered</t>
        </is>
      </c>
      <c r="J516" t="n">
        <v>129</v>
      </c>
      <c r="K516" t="n">
        <v>1</v>
      </c>
      <c r="L516" t="n">
        <v>576</v>
      </c>
      <c r="M516" t="n">
        <v>57.6</v>
      </c>
      <c r="N516">
        <f>VLOOKUP(J516,Products!$A$2:$C$49,3,FALSE)</f>
        <v/>
      </c>
      <c r="O516">
        <f>K516*L516-M516</f>
        <v/>
      </c>
      <c r="P516">
        <f>TEXT(B516,"yyyy-mm")</f>
        <v/>
      </c>
      <c r="Q516">
        <f>IF(O516&gt;=3000,"Large","Small")</f>
        <v/>
      </c>
      <c r="R516">
        <f>INDEX(Products!$F$2:$F$49,MATCH(J516,Products!$A$2:$A$49,0))</f>
        <v/>
      </c>
      <c r="S516">
        <f>WEEKDAY(B516,2)</f>
        <v/>
      </c>
    </row>
    <row r="517">
      <c r="A517" t="n">
        <v>509587</v>
      </c>
      <c r="B517" s="6" t="n">
        <v>45938</v>
      </c>
      <c r="C517" t="n">
        <v>16166</v>
      </c>
      <c r="D517" t="inlineStr">
        <is>
          <t>Jaipur</t>
        </is>
      </c>
      <c r="E517" t="inlineStr">
        <is>
          <t>North</t>
        </is>
      </c>
      <c r="F517" t="inlineStr">
        <is>
          <t>Email</t>
        </is>
      </c>
      <c r="G517" t="inlineStr">
        <is>
          <t>Mobile App</t>
        </is>
      </c>
      <c r="H517" t="inlineStr">
        <is>
          <t>Cash on Delivery</t>
        </is>
      </c>
      <c r="I517" t="inlineStr">
        <is>
          <t>Delivered</t>
        </is>
      </c>
      <c r="J517" t="n">
        <v>106</v>
      </c>
      <c r="K517" t="n">
        <v>1</v>
      </c>
      <c r="L517" t="n">
        <v>1574</v>
      </c>
      <c r="M517" t="n">
        <v>0</v>
      </c>
      <c r="N517">
        <f>VLOOKUP(J517,Products!$A$2:$C$49,3,FALSE)</f>
        <v/>
      </c>
      <c r="O517">
        <f>K517*L517-M517</f>
        <v/>
      </c>
      <c r="P517">
        <f>TEXT(B517,"yyyy-mm")</f>
        <v/>
      </c>
      <c r="Q517">
        <f>IF(O517&gt;=3000,"Large","Small")</f>
        <v/>
      </c>
      <c r="R517">
        <f>INDEX(Products!$F$2:$F$49,MATCH(J517,Products!$A$2:$A$49,0))</f>
        <v/>
      </c>
      <c r="S517">
        <f>WEEKDAY(B517,2)</f>
        <v/>
      </c>
    </row>
    <row r="518">
      <c r="A518" t="n">
        <v>509588</v>
      </c>
      <c r="B518" s="6" t="n">
        <v>45938</v>
      </c>
      <c r="C518" t="n">
        <v>15254</v>
      </c>
      <c r="D518" t="inlineStr">
        <is>
          <t>Delhi</t>
        </is>
      </c>
      <c r="E518" t="inlineStr">
        <is>
          <t>North</t>
        </is>
      </c>
      <c r="F518" t="inlineStr">
        <is>
          <t>Organic Search</t>
        </is>
      </c>
      <c r="G518" t="inlineStr">
        <is>
          <t>Mobile App</t>
        </is>
      </c>
      <c r="H518" t="inlineStr">
        <is>
          <t>UPI</t>
        </is>
      </c>
      <c r="I518" t="inlineStr">
        <is>
          <t>Delivered</t>
        </is>
      </c>
      <c r="J518" t="n">
        <v>130</v>
      </c>
      <c r="K518" t="n">
        <v>1</v>
      </c>
      <c r="L518" t="n">
        <v>734</v>
      </c>
      <c r="M518" t="n">
        <v>73.40000000000001</v>
      </c>
      <c r="N518">
        <f>VLOOKUP(J518,Products!$A$2:$C$49,3,FALSE)</f>
        <v/>
      </c>
      <c r="O518">
        <f>K518*L518-M518</f>
        <v/>
      </c>
      <c r="P518">
        <f>TEXT(B518,"yyyy-mm")</f>
        <v/>
      </c>
      <c r="Q518">
        <f>IF(O518&gt;=3000,"Large","Small")</f>
        <v/>
      </c>
      <c r="R518">
        <f>INDEX(Products!$F$2:$F$49,MATCH(J518,Products!$A$2:$A$49,0))</f>
        <v/>
      </c>
      <c r="S518">
        <f>WEEKDAY(B518,2)</f>
        <v/>
      </c>
    </row>
    <row r="519">
      <c r="A519" t="n">
        <v>509588</v>
      </c>
      <c r="B519" s="6" t="n">
        <v>45938</v>
      </c>
      <c r="C519" t="n">
        <v>15254</v>
      </c>
      <c r="D519" t="inlineStr">
        <is>
          <t>Delhi</t>
        </is>
      </c>
      <c r="E519" t="inlineStr">
        <is>
          <t>North</t>
        </is>
      </c>
      <c r="F519" t="inlineStr">
        <is>
          <t>Organic Search</t>
        </is>
      </c>
      <c r="G519" t="inlineStr">
        <is>
          <t>Mobile App</t>
        </is>
      </c>
      <c r="H519" t="inlineStr">
        <is>
          <t>UPI</t>
        </is>
      </c>
      <c r="I519" t="inlineStr">
        <is>
          <t>Delivered</t>
        </is>
      </c>
      <c r="J519" t="n">
        <v>141</v>
      </c>
      <c r="K519" t="n">
        <v>1</v>
      </c>
      <c r="L519" t="n">
        <v>261</v>
      </c>
      <c r="M519" t="n">
        <v>26.1</v>
      </c>
      <c r="N519">
        <f>VLOOKUP(J519,Products!$A$2:$C$49,3,FALSE)</f>
        <v/>
      </c>
      <c r="O519">
        <f>K519*L519-M519</f>
        <v/>
      </c>
      <c r="P519">
        <f>TEXT(B519,"yyyy-mm")</f>
        <v/>
      </c>
      <c r="Q519">
        <f>IF(O519&gt;=3000,"Large","Small")</f>
        <v/>
      </c>
      <c r="R519">
        <f>INDEX(Products!$F$2:$F$49,MATCH(J519,Products!$A$2:$A$49,0))</f>
        <v/>
      </c>
      <c r="S519">
        <f>WEEKDAY(B519,2)</f>
        <v/>
      </c>
    </row>
    <row r="520">
      <c r="A520" t="n">
        <v>509588</v>
      </c>
      <c r="B520" s="6" t="n">
        <v>45938</v>
      </c>
      <c r="C520" t="n">
        <v>15254</v>
      </c>
      <c r="D520" t="inlineStr">
        <is>
          <t>Delhi</t>
        </is>
      </c>
      <c r="E520" t="inlineStr">
        <is>
          <t>North</t>
        </is>
      </c>
      <c r="F520" t="inlineStr">
        <is>
          <t>Organic Search</t>
        </is>
      </c>
      <c r="G520" t="inlineStr">
        <is>
          <t>Mobile App</t>
        </is>
      </c>
      <c r="H520" t="inlineStr">
        <is>
          <t>UPI</t>
        </is>
      </c>
      <c r="I520" t="inlineStr">
        <is>
          <t>Delivered</t>
        </is>
      </c>
      <c r="J520" t="n">
        <v>137</v>
      </c>
      <c r="K520" t="n">
        <v>1</v>
      </c>
      <c r="L520" t="n">
        <v>261</v>
      </c>
      <c r="M520" t="n">
        <v>26.1</v>
      </c>
      <c r="N520">
        <f>VLOOKUP(J520,Products!$A$2:$C$49,3,FALSE)</f>
        <v/>
      </c>
      <c r="O520">
        <f>K520*L520-M520</f>
        <v/>
      </c>
      <c r="P520">
        <f>TEXT(B520,"yyyy-mm")</f>
        <v/>
      </c>
      <c r="Q520">
        <f>IF(O520&gt;=3000,"Large","Small")</f>
        <v/>
      </c>
      <c r="R520">
        <f>INDEX(Products!$F$2:$F$49,MATCH(J520,Products!$A$2:$A$49,0))</f>
        <v/>
      </c>
      <c r="S520">
        <f>WEEKDAY(B520,2)</f>
        <v/>
      </c>
    </row>
    <row r="521">
      <c r="A521" t="n">
        <v>509589</v>
      </c>
      <c r="B521" s="6" t="n">
        <v>45938</v>
      </c>
      <c r="C521" t="n">
        <v>10730</v>
      </c>
      <c r="D521" t="inlineStr">
        <is>
          <t>Noida</t>
        </is>
      </c>
      <c r="E521" t="inlineStr">
        <is>
          <t>North</t>
        </is>
      </c>
      <c r="F521" t="inlineStr">
        <is>
          <t>Organic Search</t>
        </is>
      </c>
      <c r="G521" t="inlineStr">
        <is>
          <t>Mobile App</t>
        </is>
      </c>
      <c r="H521" t="inlineStr">
        <is>
          <t>UPI</t>
        </is>
      </c>
      <c r="I521" t="inlineStr">
        <is>
          <t>Delivered</t>
        </is>
      </c>
      <c r="J521" t="n">
        <v>123</v>
      </c>
      <c r="K521" t="n">
        <v>1</v>
      </c>
      <c r="L521" t="n">
        <v>3464</v>
      </c>
      <c r="M521" t="n">
        <v>346.4</v>
      </c>
      <c r="N521">
        <f>VLOOKUP(J521,Products!$A$2:$C$49,3,FALSE)</f>
        <v/>
      </c>
      <c r="O521">
        <f>K521*L521-M521</f>
        <v/>
      </c>
      <c r="P521">
        <f>TEXT(B521,"yyyy-mm")</f>
        <v/>
      </c>
      <c r="Q521">
        <f>IF(O521&gt;=3000,"Large","Small")</f>
        <v/>
      </c>
      <c r="R521">
        <f>INDEX(Products!$F$2:$F$49,MATCH(J521,Products!$A$2:$A$49,0))</f>
        <v/>
      </c>
      <c r="S521">
        <f>WEEKDAY(B521,2)</f>
        <v/>
      </c>
    </row>
    <row r="522">
      <c r="A522" t="n">
        <v>509589</v>
      </c>
      <c r="B522" s="6" t="n">
        <v>45938</v>
      </c>
      <c r="C522" t="n">
        <v>10730</v>
      </c>
      <c r="D522" t="inlineStr">
        <is>
          <t>Noida</t>
        </is>
      </c>
      <c r="E522" t="inlineStr">
        <is>
          <t>North</t>
        </is>
      </c>
      <c r="F522" t="inlineStr">
        <is>
          <t>Organic Search</t>
        </is>
      </c>
      <c r="G522" t="inlineStr">
        <is>
          <t>Mobile App</t>
        </is>
      </c>
      <c r="H522" t="inlineStr">
        <is>
          <t>UPI</t>
        </is>
      </c>
      <c r="I522" t="inlineStr">
        <is>
          <t>Delivered</t>
        </is>
      </c>
      <c r="J522" t="n">
        <v>137</v>
      </c>
      <c r="K522" t="n">
        <v>2</v>
      </c>
      <c r="L522" t="n">
        <v>261</v>
      </c>
      <c r="M522" t="n">
        <v>52.2</v>
      </c>
      <c r="N522">
        <f>VLOOKUP(J522,Products!$A$2:$C$49,3,FALSE)</f>
        <v/>
      </c>
      <c r="O522">
        <f>K522*L522-M522</f>
        <v/>
      </c>
      <c r="P522">
        <f>TEXT(B522,"yyyy-mm")</f>
        <v/>
      </c>
      <c r="Q522">
        <f>IF(O522&gt;=3000,"Large","Small")</f>
        <v/>
      </c>
      <c r="R522">
        <f>INDEX(Products!$F$2:$F$49,MATCH(J522,Products!$A$2:$A$49,0))</f>
        <v/>
      </c>
      <c r="S522">
        <f>WEEKDAY(B522,2)</f>
        <v/>
      </c>
    </row>
    <row r="523">
      <c r="A523" t="n">
        <v>509589</v>
      </c>
      <c r="B523" s="6" t="n">
        <v>45938</v>
      </c>
      <c r="C523" t="n">
        <v>10730</v>
      </c>
      <c r="D523" t="inlineStr">
        <is>
          <t>Noida</t>
        </is>
      </c>
      <c r="E523" t="inlineStr">
        <is>
          <t>North</t>
        </is>
      </c>
      <c r="F523" t="inlineStr">
        <is>
          <t>Organic Search</t>
        </is>
      </c>
      <c r="G523" t="inlineStr">
        <is>
          <t>Mobile App</t>
        </is>
      </c>
      <c r="H523" t="inlineStr">
        <is>
          <t>UPI</t>
        </is>
      </c>
      <c r="I523" t="inlineStr">
        <is>
          <t>Delivered</t>
        </is>
      </c>
      <c r="J523" t="n">
        <v>129</v>
      </c>
      <c r="K523" t="n">
        <v>2</v>
      </c>
      <c r="L523" t="n">
        <v>576</v>
      </c>
      <c r="M523" t="n">
        <v>115.2</v>
      </c>
      <c r="N523">
        <f>VLOOKUP(J523,Products!$A$2:$C$49,3,FALSE)</f>
        <v/>
      </c>
      <c r="O523">
        <f>K523*L523-M523</f>
        <v/>
      </c>
      <c r="P523">
        <f>TEXT(B523,"yyyy-mm")</f>
        <v/>
      </c>
      <c r="Q523">
        <f>IF(O523&gt;=3000,"Large","Small")</f>
        <v/>
      </c>
      <c r="R523">
        <f>INDEX(Products!$F$2:$F$49,MATCH(J523,Products!$A$2:$A$49,0))</f>
        <v/>
      </c>
      <c r="S523">
        <f>WEEKDAY(B523,2)</f>
        <v/>
      </c>
    </row>
    <row r="524">
      <c r="A524" t="n">
        <v>509590</v>
      </c>
      <c r="B524" s="6" t="n">
        <v>45938</v>
      </c>
      <c r="C524" t="n">
        <v>14983</v>
      </c>
      <c r="D524" t="inlineStr">
        <is>
          <t>Bengaluru</t>
        </is>
      </c>
      <c r="E524" t="inlineStr">
        <is>
          <t>South</t>
        </is>
      </c>
      <c r="F524" t="inlineStr">
        <is>
          <t>Paid Search</t>
        </is>
      </c>
      <c r="G524" t="inlineStr">
        <is>
          <t>Mobile App</t>
        </is>
      </c>
      <c r="H524" t="inlineStr">
        <is>
          <t>Cash on Delivery</t>
        </is>
      </c>
      <c r="I524" t="inlineStr">
        <is>
          <t>Delivered</t>
        </is>
      </c>
      <c r="J524" t="n">
        <v>127</v>
      </c>
      <c r="K524" t="n">
        <v>1</v>
      </c>
      <c r="L524" t="n">
        <v>681</v>
      </c>
      <c r="M524" t="n">
        <v>0</v>
      </c>
      <c r="N524">
        <f>VLOOKUP(J524,Products!$A$2:$C$49,3,FALSE)</f>
        <v/>
      </c>
      <c r="O524">
        <f>K524*L524-M524</f>
        <v/>
      </c>
      <c r="P524">
        <f>TEXT(B524,"yyyy-mm")</f>
        <v/>
      </c>
      <c r="Q524">
        <f>IF(O524&gt;=3000,"Large","Small")</f>
        <v/>
      </c>
      <c r="R524">
        <f>INDEX(Products!$F$2:$F$49,MATCH(J524,Products!$A$2:$A$49,0))</f>
        <v/>
      </c>
      <c r="S524">
        <f>WEEKDAY(B524,2)</f>
        <v/>
      </c>
    </row>
    <row r="525">
      <c r="A525" t="n">
        <v>509591</v>
      </c>
      <c r="B525" s="6" t="n">
        <v>45938</v>
      </c>
      <c r="C525" t="n">
        <v>16340</v>
      </c>
      <c r="D525" t="inlineStr">
        <is>
          <t>Indore</t>
        </is>
      </c>
      <c r="E525" t="inlineStr">
        <is>
          <t>West</t>
        </is>
      </c>
      <c r="F525" t="inlineStr">
        <is>
          <t>Referral</t>
        </is>
      </c>
      <c r="G525" t="inlineStr">
        <is>
          <t>Mobile App</t>
        </is>
      </c>
      <c r="H525" t="inlineStr">
        <is>
          <t>UPI</t>
        </is>
      </c>
      <c r="I525" t="inlineStr">
        <is>
          <t>Delivered</t>
        </is>
      </c>
      <c r="J525" t="n">
        <v>110</v>
      </c>
      <c r="K525" t="n">
        <v>1</v>
      </c>
      <c r="L525" t="n">
        <v>839</v>
      </c>
      <c r="M525" t="n">
        <v>83.90000000000001</v>
      </c>
      <c r="N525">
        <f>VLOOKUP(J525,Products!$A$2:$C$49,3,FALSE)</f>
        <v/>
      </c>
      <c r="O525">
        <f>K525*L525-M525</f>
        <v/>
      </c>
      <c r="P525">
        <f>TEXT(B525,"yyyy-mm")</f>
        <v/>
      </c>
      <c r="Q525">
        <f>IF(O525&gt;=3000,"Large","Small")</f>
        <v/>
      </c>
      <c r="R525">
        <f>INDEX(Products!$F$2:$F$49,MATCH(J525,Products!$A$2:$A$49,0))</f>
        <v/>
      </c>
      <c r="S525">
        <f>WEEKDAY(B525,2)</f>
        <v/>
      </c>
    </row>
    <row r="526">
      <c r="A526" t="n">
        <v>509592</v>
      </c>
      <c r="B526" s="6" t="n">
        <v>45938</v>
      </c>
      <c r="C526" t="n">
        <v>11484</v>
      </c>
      <c r="D526" t="inlineStr">
        <is>
          <t>Jaipur</t>
        </is>
      </c>
      <c r="E526" t="inlineStr">
        <is>
          <t>North</t>
        </is>
      </c>
      <c r="F526" t="inlineStr">
        <is>
          <t>Paid Search</t>
        </is>
      </c>
      <c r="G526" t="inlineStr">
        <is>
          <t>Mobile App</t>
        </is>
      </c>
      <c r="H526" t="inlineStr">
        <is>
          <t>UPI</t>
        </is>
      </c>
      <c r="I526" t="inlineStr">
        <is>
          <t>Returned</t>
        </is>
      </c>
      <c r="J526" t="n">
        <v>102</v>
      </c>
      <c r="K526" t="n">
        <v>2</v>
      </c>
      <c r="L526" t="n">
        <v>3674</v>
      </c>
      <c r="M526" t="n">
        <v>734.8</v>
      </c>
      <c r="N526">
        <f>VLOOKUP(J526,Products!$A$2:$C$49,3,FALSE)</f>
        <v/>
      </c>
      <c r="O526">
        <f>K526*L526-M526</f>
        <v/>
      </c>
      <c r="P526">
        <f>TEXT(B526,"yyyy-mm")</f>
        <v/>
      </c>
      <c r="Q526">
        <f>IF(O526&gt;=3000,"Large","Small")</f>
        <v/>
      </c>
      <c r="R526">
        <f>INDEX(Products!$F$2:$F$49,MATCH(J526,Products!$A$2:$A$49,0))</f>
        <v/>
      </c>
      <c r="S526">
        <f>WEEKDAY(B526,2)</f>
        <v/>
      </c>
    </row>
    <row r="527">
      <c r="A527" t="n">
        <v>509592</v>
      </c>
      <c r="B527" s="6" t="n">
        <v>45938</v>
      </c>
      <c r="C527" t="n">
        <v>11484</v>
      </c>
      <c r="D527" t="inlineStr">
        <is>
          <t>Jaipur</t>
        </is>
      </c>
      <c r="E527" t="inlineStr">
        <is>
          <t>North</t>
        </is>
      </c>
      <c r="F527" t="inlineStr">
        <is>
          <t>Paid Search</t>
        </is>
      </c>
      <c r="G527" t="inlineStr">
        <is>
          <t>Mobile App</t>
        </is>
      </c>
      <c r="H527" t="inlineStr">
        <is>
          <t>UPI</t>
        </is>
      </c>
      <c r="I527" t="inlineStr">
        <is>
          <t>Returned</t>
        </is>
      </c>
      <c r="J527" t="n">
        <v>105</v>
      </c>
      <c r="K527" t="n">
        <v>1</v>
      </c>
      <c r="L527" t="n">
        <v>2414</v>
      </c>
      <c r="M527" t="n">
        <v>241.4</v>
      </c>
      <c r="N527">
        <f>VLOOKUP(J527,Products!$A$2:$C$49,3,FALSE)</f>
        <v/>
      </c>
      <c r="O527">
        <f>K527*L527-M527</f>
        <v/>
      </c>
      <c r="P527">
        <f>TEXT(B527,"yyyy-mm")</f>
        <v/>
      </c>
      <c r="Q527">
        <f>IF(O527&gt;=3000,"Large","Small")</f>
        <v/>
      </c>
      <c r="R527">
        <f>INDEX(Products!$F$2:$F$49,MATCH(J527,Products!$A$2:$A$49,0))</f>
        <v/>
      </c>
      <c r="S527">
        <f>WEEKDAY(B527,2)</f>
        <v/>
      </c>
    </row>
    <row r="528">
      <c r="A528" t="n">
        <v>509592</v>
      </c>
      <c r="B528" s="6" t="n">
        <v>45938</v>
      </c>
      <c r="C528" t="n">
        <v>11484</v>
      </c>
      <c r="D528" t="inlineStr">
        <is>
          <t>Jaipur</t>
        </is>
      </c>
      <c r="E528" t="inlineStr">
        <is>
          <t>North</t>
        </is>
      </c>
      <c r="F528" t="inlineStr">
        <is>
          <t>Paid Search</t>
        </is>
      </c>
      <c r="G528" t="inlineStr">
        <is>
          <t>Mobile App</t>
        </is>
      </c>
      <c r="H528" t="inlineStr">
        <is>
          <t>UPI</t>
        </is>
      </c>
      <c r="I528" t="inlineStr">
        <is>
          <t>Returned</t>
        </is>
      </c>
      <c r="J528" t="n">
        <v>111</v>
      </c>
      <c r="K528" t="n">
        <v>1</v>
      </c>
      <c r="L528" t="n">
        <v>524</v>
      </c>
      <c r="M528" t="n">
        <v>52.4</v>
      </c>
      <c r="N528">
        <f>VLOOKUP(J528,Products!$A$2:$C$49,3,FALSE)</f>
        <v/>
      </c>
      <c r="O528">
        <f>K528*L528-M528</f>
        <v/>
      </c>
      <c r="P528">
        <f>TEXT(B528,"yyyy-mm")</f>
        <v/>
      </c>
      <c r="Q528">
        <f>IF(O528&gt;=3000,"Large","Small")</f>
        <v/>
      </c>
      <c r="R528">
        <f>INDEX(Products!$F$2:$F$49,MATCH(J528,Products!$A$2:$A$49,0))</f>
        <v/>
      </c>
      <c r="S528">
        <f>WEEKDAY(B528,2)</f>
        <v/>
      </c>
    </row>
    <row r="529">
      <c r="A529" t="n">
        <v>509592</v>
      </c>
      <c r="B529" s="6" t="n">
        <v>45938</v>
      </c>
      <c r="C529" t="n">
        <v>11484</v>
      </c>
      <c r="D529" t="inlineStr">
        <is>
          <t>Jaipur</t>
        </is>
      </c>
      <c r="E529" t="inlineStr">
        <is>
          <t>North</t>
        </is>
      </c>
      <c r="F529" t="inlineStr">
        <is>
          <t>Paid Search</t>
        </is>
      </c>
      <c r="G529" t="inlineStr">
        <is>
          <t>Mobile App</t>
        </is>
      </c>
      <c r="H529" t="inlineStr">
        <is>
          <t>UPI</t>
        </is>
      </c>
      <c r="I529" t="inlineStr">
        <is>
          <t>Returned</t>
        </is>
      </c>
      <c r="J529" t="n">
        <v>140</v>
      </c>
      <c r="K529" t="n">
        <v>1</v>
      </c>
      <c r="L529" t="n">
        <v>629</v>
      </c>
      <c r="M529" t="n">
        <v>62.9</v>
      </c>
      <c r="N529">
        <f>VLOOKUP(J529,Products!$A$2:$C$49,3,FALSE)</f>
        <v/>
      </c>
      <c r="O529">
        <f>K529*L529-M529</f>
        <v/>
      </c>
      <c r="P529">
        <f>TEXT(B529,"yyyy-mm")</f>
        <v/>
      </c>
      <c r="Q529">
        <f>IF(O529&gt;=3000,"Large","Small")</f>
        <v/>
      </c>
      <c r="R529">
        <f>INDEX(Products!$F$2:$F$49,MATCH(J529,Products!$A$2:$A$49,0))</f>
        <v/>
      </c>
      <c r="S529">
        <f>WEEKDAY(B529,2)</f>
        <v/>
      </c>
    </row>
    <row r="530">
      <c r="A530" t="n">
        <v>509593</v>
      </c>
      <c r="B530" s="6" t="n">
        <v>45938</v>
      </c>
      <c r="C530" t="n">
        <v>14906</v>
      </c>
      <c r="D530" t="inlineStr">
        <is>
          <t>Delhi</t>
        </is>
      </c>
      <c r="E530" t="inlineStr">
        <is>
          <t>North</t>
        </is>
      </c>
      <c r="F530" t="inlineStr">
        <is>
          <t>Email</t>
        </is>
      </c>
      <c r="G530" t="inlineStr">
        <is>
          <t>Mobile Web</t>
        </is>
      </c>
      <c r="H530" t="inlineStr">
        <is>
          <t>Credit Card</t>
        </is>
      </c>
      <c r="I530" t="inlineStr">
        <is>
          <t>Delivered</t>
        </is>
      </c>
      <c r="J530" t="n">
        <v>110</v>
      </c>
      <c r="K530" t="n">
        <v>1</v>
      </c>
      <c r="L530" t="n">
        <v>839</v>
      </c>
      <c r="M530" t="n">
        <v>0</v>
      </c>
      <c r="N530">
        <f>VLOOKUP(J530,Products!$A$2:$C$49,3,FALSE)</f>
        <v/>
      </c>
      <c r="O530">
        <f>K530*L530-M530</f>
        <v/>
      </c>
      <c r="P530">
        <f>TEXT(B530,"yyyy-mm")</f>
        <v/>
      </c>
      <c r="Q530">
        <f>IF(O530&gt;=3000,"Large","Small")</f>
        <v/>
      </c>
      <c r="R530">
        <f>INDEX(Products!$F$2:$F$49,MATCH(J530,Products!$A$2:$A$49,0))</f>
        <v/>
      </c>
      <c r="S530">
        <f>WEEKDAY(B530,2)</f>
        <v/>
      </c>
    </row>
    <row r="531">
      <c r="A531" t="n">
        <v>509593</v>
      </c>
      <c r="B531" s="6" t="n">
        <v>45938</v>
      </c>
      <c r="C531" t="n">
        <v>14906</v>
      </c>
      <c r="D531" t="inlineStr">
        <is>
          <t>Delhi</t>
        </is>
      </c>
      <c r="E531" t="inlineStr">
        <is>
          <t>North</t>
        </is>
      </c>
      <c r="F531" t="inlineStr">
        <is>
          <t>Email</t>
        </is>
      </c>
      <c r="G531" t="inlineStr">
        <is>
          <t>Mobile Web</t>
        </is>
      </c>
      <c r="H531" t="inlineStr">
        <is>
          <t>Credit Card</t>
        </is>
      </c>
      <c r="I531" t="inlineStr">
        <is>
          <t>Delivered</t>
        </is>
      </c>
      <c r="J531" t="n">
        <v>140</v>
      </c>
      <c r="K531" t="n">
        <v>1</v>
      </c>
      <c r="L531" t="n">
        <v>629</v>
      </c>
      <c r="M531" t="n">
        <v>0</v>
      </c>
      <c r="N531">
        <f>VLOOKUP(J531,Products!$A$2:$C$49,3,FALSE)</f>
        <v/>
      </c>
      <c r="O531">
        <f>K531*L531-M531</f>
        <v/>
      </c>
      <c r="P531">
        <f>TEXT(B531,"yyyy-mm")</f>
        <v/>
      </c>
      <c r="Q531">
        <f>IF(O531&gt;=3000,"Large","Small")</f>
        <v/>
      </c>
      <c r="R531">
        <f>INDEX(Products!$F$2:$F$49,MATCH(J531,Products!$A$2:$A$49,0))</f>
        <v/>
      </c>
      <c r="S531">
        <f>WEEKDAY(B531,2)</f>
        <v/>
      </c>
    </row>
    <row r="532">
      <c r="A532" t="n">
        <v>509593</v>
      </c>
      <c r="B532" s="6" t="n">
        <v>45938</v>
      </c>
      <c r="C532" t="n">
        <v>14906</v>
      </c>
      <c r="D532" t="inlineStr">
        <is>
          <t>Delhi</t>
        </is>
      </c>
      <c r="E532" t="inlineStr">
        <is>
          <t>North</t>
        </is>
      </c>
      <c r="F532" t="inlineStr">
        <is>
          <t>Email</t>
        </is>
      </c>
      <c r="G532" t="inlineStr">
        <is>
          <t>Mobile Web</t>
        </is>
      </c>
      <c r="H532" t="inlineStr">
        <is>
          <t>Credit Card</t>
        </is>
      </c>
      <c r="I532" t="inlineStr">
        <is>
          <t>Delivered</t>
        </is>
      </c>
      <c r="J532" t="n">
        <v>129</v>
      </c>
      <c r="K532" t="n">
        <v>1</v>
      </c>
      <c r="L532" t="n">
        <v>576</v>
      </c>
      <c r="M532" t="n">
        <v>0</v>
      </c>
      <c r="N532">
        <f>VLOOKUP(J532,Products!$A$2:$C$49,3,FALSE)</f>
        <v/>
      </c>
      <c r="O532">
        <f>K532*L532-M532</f>
        <v/>
      </c>
      <c r="P532">
        <f>TEXT(B532,"yyyy-mm")</f>
        <v/>
      </c>
      <c r="Q532">
        <f>IF(O532&gt;=3000,"Large","Small")</f>
        <v/>
      </c>
      <c r="R532">
        <f>INDEX(Products!$F$2:$F$49,MATCH(J532,Products!$A$2:$A$49,0))</f>
        <v/>
      </c>
      <c r="S532">
        <f>WEEKDAY(B532,2)</f>
        <v/>
      </c>
    </row>
    <row r="533">
      <c r="A533" t="n">
        <v>509594</v>
      </c>
      <c r="B533" s="6" t="n">
        <v>45938</v>
      </c>
      <c r="C533" t="n">
        <v>11141</v>
      </c>
      <c r="D533" t="inlineStr">
        <is>
          <t>Chandigarh</t>
        </is>
      </c>
      <c r="E533" t="inlineStr">
        <is>
          <t>North</t>
        </is>
      </c>
      <c r="F533" t="inlineStr">
        <is>
          <t>Paid Social</t>
        </is>
      </c>
      <c r="G533" t="inlineStr">
        <is>
          <t>Mobile App</t>
        </is>
      </c>
      <c r="H533" t="inlineStr">
        <is>
          <t>UPI</t>
        </is>
      </c>
      <c r="I533" t="inlineStr">
        <is>
          <t>Delivered</t>
        </is>
      </c>
      <c r="J533" t="n">
        <v>111</v>
      </c>
      <c r="K533" t="n">
        <v>1</v>
      </c>
      <c r="L533" t="n">
        <v>524</v>
      </c>
      <c r="M533" t="n">
        <v>0</v>
      </c>
      <c r="N533">
        <f>VLOOKUP(J533,Products!$A$2:$C$49,3,FALSE)</f>
        <v/>
      </c>
      <c r="O533">
        <f>K533*L533-M533</f>
        <v/>
      </c>
      <c r="P533">
        <f>TEXT(B533,"yyyy-mm")</f>
        <v/>
      </c>
      <c r="Q533">
        <f>IF(O533&gt;=3000,"Large","Small")</f>
        <v/>
      </c>
      <c r="R533">
        <f>INDEX(Products!$F$2:$F$49,MATCH(J533,Products!$A$2:$A$49,0))</f>
        <v/>
      </c>
      <c r="S533">
        <f>WEEKDAY(B533,2)</f>
        <v/>
      </c>
    </row>
    <row r="534">
      <c r="A534" t="n">
        <v>509595</v>
      </c>
      <c r="B534" s="6" t="n">
        <v>45938</v>
      </c>
      <c r="C534" t="n">
        <v>16525</v>
      </c>
      <c r="D534" t="inlineStr">
        <is>
          <t>Bengaluru</t>
        </is>
      </c>
      <c r="E534" t="inlineStr">
        <is>
          <t>South</t>
        </is>
      </c>
      <c r="F534" t="inlineStr">
        <is>
          <t>Paid Search</t>
        </is>
      </c>
      <c r="G534" t="inlineStr">
        <is>
          <t>Mobile Web</t>
        </is>
      </c>
      <c r="H534" t="inlineStr">
        <is>
          <t>Cash on Delivery</t>
        </is>
      </c>
      <c r="I534" t="inlineStr">
        <is>
          <t>Delivered</t>
        </is>
      </c>
      <c r="J534" t="n">
        <v>123</v>
      </c>
      <c r="K534" t="n">
        <v>1</v>
      </c>
      <c r="L534" t="n">
        <v>3464</v>
      </c>
      <c r="M534" t="n">
        <v>346.4</v>
      </c>
      <c r="N534">
        <f>VLOOKUP(J534,Products!$A$2:$C$49,3,FALSE)</f>
        <v/>
      </c>
      <c r="O534">
        <f>K534*L534-M534</f>
        <v/>
      </c>
      <c r="P534">
        <f>TEXT(B534,"yyyy-mm")</f>
        <v/>
      </c>
      <c r="Q534">
        <f>IF(O534&gt;=3000,"Large","Small")</f>
        <v/>
      </c>
      <c r="R534">
        <f>INDEX(Products!$F$2:$F$49,MATCH(J534,Products!$A$2:$A$49,0))</f>
        <v/>
      </c>
      <c r="S534">
        <f>WEEKDAY(B534,2)</f>
        <v/>
      </c>
    </row>
    <row r="535">
      <c r="A535" t="n">
        <v>509595</v>
      </c>
      <c r="B535" s="6" t="n">
        <v>45938</v>
      </c>
      <c r="C535" t="n">
        <v>16525</v>
      </c>
      <c r="D535" t="inlineStr">
        <is>
          <t>Bengaluru</t>
        </is>
      </c>
      <c r="E535" t="inlineStr">
        <is>
          <t>South</t>
        </is>
      </c>
      <c r="F535" t="inlineStr">
        <is>
          <t>Paid Search</t>
        </is>
      </c>
      <c r="G535" t="inlineStr">
        <is>
          <t>Mobile Web</t>
        </is>
      </c>
      <c r="H535" t="inlineStr">
        <is>
          <t>Cash on Delivery</t>
        </is>
      </c>
      <c r="I535" t="inlineStr">
        <is>
          <t>Delivered</t>
        </is>
      </c>
      <c r="J535" t="n">
        <v>129</v>
      </c>
      <c r="K535" t="n">
        <v>1</v>
      </c>
      <c r="L535" t="n">
        <v>576</v>
      </c>
      <c r="M535" t="n">
        <v>57.6</v>
      </c>
      <c r="N535">
        <f>VLOOKUP(J535,Products!$A$2:$C$49,3,FALSE)</f>
        <v/>
      </c>
      <c r="O535">
        <f>K535*L535-M535</f>
        <v/>
      </c>
      <c r="P535">
        <f>TEXT(B535,"yyyy-mm")</f>
        <v/>
      </c>
      <c r="Q535">
        <f>IF(O535&gt;=3000,"Large","Small")</f>
        <v/>
      </c>
      <c r="R535">
        <f>INDEX(Products!$F$2:$F$49,MATCH(J535,Products!$A$2:$A$49,0))</f>
        <v/>
      </c>
      <c r="S535">
        <f>WEEKDAY(B535,2)</f>
        <v/>
      </c>
    </row>
    <row r="536">
      <c r="A536" t="n">
        <v>509596</v>
      </c>
      <c r="B536" s="6" t="n">
        <v>45938</v>
      </c>
      <c r="C536" t="n">
        <v>15384</v>
      </c>
      <c r="D536" t="inlineStr">
        <is>
          <t>Pune</t>
        </is>
      </c>
      <c r="E536" t="inlineStr">
        <is>
          <t>West</t>
        </is>
      </c>
      <c r="F536" t="inlineStr">
        <is>
          <t>Paid Search</t>
        </is>
      </c>
      <c r="G536" t="inlineStr">
        <is>
          <t>Mobile App</t>
        </is>
      </c>
      <c r="H536" t="inlineStr">
        <is>
          <t>Cash on Delivery</t>
        </is>
      </c>
      <c r="I536" t="inlineStr">
        <is>
          <t>Cancelled</t>
        </is>
      </c>
      <c r="J536" t="n">
        <v>114</v>
      </c>
      <c r="K536" t="n">
        <v>2</v>
      </c>
      <c r="L536" t="n">
        <v>1259</v>
      </c>
      <c r="M536" t="n">
        <v>251.8</v>
      </c>
      <c r="N536">
        <f>VLOOKUP(J536,Products!$A$2:$C$49,3,FALSE)</f>
        <v/>
      </c>
      <c r="O536">
        <f>K536*L536-M536</f>
        <v/>
      </c>
      <c r="P536">
        <f>TEXT(B536,"yyyy-mm")</f>
        <v/>
      </c>
      <c r="Q536">
        <f>IF(O536&gt;=3000,"Large","Small")</f>
        <v/>
      </c>
      <c r="R536">
        <f>INDEX(Products!$F$2:$F$49,MATCH(J536,Products!$A$2:$A$49,0))</f>
        <v/>
      </c>
      <c r="S536">
        <f>WEEKDAY(B536,2)</f>
        <v/>
      </c>
    </row>
    <row r="537">
      <c r="A537" t="n">
        <v>509597</v>
      </c>
      <c r="B537" s="6" t="n">
        <v>45938</v>
      </c>
      <c r="C537" t="n">
        <v>16370</v>
      </c>
      <c r="D537" t="inlineStr">
        <is>
          <t>Kochi</t>
        </is>
      </c>
      <c r="E537" t="inlineStr">
        <is>
          <t>South</t>
        </is>
      </c>
      <c r="F537" t="inlineStr">
        <is>
          <t>Organic Search</t>
        </is>
      </c>
      <c r="G537" t="inlineStr">
        <is>
          <t>Desktop</t>
        </is>
      </c>
      <c r="H537" t="inlineStr">
        <is>
          <t>UPI</t>
        </is>
      </c>
      <c r="I537" t="inlineStr">
        <is>
          <t>Delivered</t>
        </is>
      </c>
      <c r="J537" t="n">
        <v>137</v>
      </c>
      <c r="K537" t="n">
        <v>1</v>
      </c>
      <c r="L537" t="n">
        <v>261</v>
      </c>
      <c r="M537" t="n">
        <v>26.1</v>
      </c>
      <c r="N537">
        <f>VLOOKUP(J537,Products!$A$2:$C$49,3,FALSE)</f>
        <v/>
      </c>
      <c r="O537">
        <f>K537*L537-M537</f>
        <v/>
      </c>
      <c r="P537">
        <f>TEXT(B537,"yyyy-mm")</f>
        <v/>
      </c>
      <c r="Q537">
        <f>IF(O537&gt;=3000,"Large","Small")</f>
        <v/>
      </c>
      <c r="R537">
        <f>INDEX(Products!$F$2:$F$49,MATCH(J537,Products!$A$2:$A$49,0))</f>
        <v/>
      </c>
      <c r="S537">
        <f>WEEKDAY(B537,2)</f>
        <v/>
      </c>
    </row>
    <row r="538">
      <c r="A538" t="n">
        <v>509597</v>
      </c>
      <c r="B538" s="6" t="n">
        <v>45938</v>
      </c>
      <c r="C538" t="n">
        <v>16370</v>
      </c>
      <c r="D538" t="inlineStr">
        <is>
          <t>Kochi</t>
        </is>
      </c>
      <c r="E538" t="inlineStr">
        <is>
          <t>South</t>
        </is>
      </c>
      <c r="F538" t="inlineStr">
        <is>
          <t>Organic Search</t>
        </is>
      </c>
      <c r="G538" t="inlineStr">
        <is>
          <t>Desktop</t>
        </is>
      </c>
      <c r="H538" t="inlineStr">
        <is>
          <t>UPI</t>
        </is>
      </c>
      <c r="I538" t="inlineStr">
        <is>
          <t>Delivered</t>
        </is>
      </c>
      <c r="J538" t="n">
        <v>129</v>
      </c>
      <c r="K538" t="n">
        <v>1</v>
      </c>
      <c r="L538" t="n">
        <v>576</v>
      </c>
      <c r="M538" t="n">
        <v>57.6</v>
      </c>
      <c r="N538">
        <f>VLOOKUP(J538,Products!$A$2:$C$49,3,FALSE)</f>
        <v/>
      </c>
      <c r="O538">
        <f>K538*L538-M538</f>
        <v/>
      </c>
      <c r="P538">
        <f>TEXT(B538,"yyyy-mm")</f>
        <v/>
      </c>
      <c r="Q538">
        <f>IF(O538&gt;=3000,"Large","Small")</f>
        <v/>
      </c>
      <c r="R538">
        <f>INDEX(Products!$F$2:$F$49,MATCH(J538,Products!$A$2:$A$49,0))</f>
        <v/>
      </c>
      <c r="S538">
        <f>WEEKDAY(B538,2)</f>
        <v/>
      </c>
    </row>
    <row r="539">
      <c r="A539" t="n">
        <v>509598</v>
      </c>
      <c r="B539" s="6" t="n">
        <v>45938</v>
      </c>
      <c r="C539" t="n">
        <v>12750</v>
      </c>
      <c r="D539" t="inlineStr">
        <is>
          <t>Kolkata</t>
        </is>
      </c>
      <c r="E539" t="inlineStr">
        <is>
          <t>East</t>
        </is>
      </c>
      <c r="F539" t="inlineStr">
        <is>
          <t>Organic Search</t>
        </is>
      </c>
      <c r="G539" t="inlineStr">
        <is>
          <t>Desktop</t>
        </is>
      </c>
      <c r="H539" t="inlineStr">
        <is>
          <t>UPI</t>
        </is>
      </c>
      <c r="I539" t="inlineStr">
        <is>
          <t>Delivered</t>
        </is>
      </c>
      <c r="J539" t="n">
        <v>120</v>
      </c>
      <c r="K539" t="n">
        <v>2</v>
      </c>
      <c r="L539" t="n">
        <v>734</v>
      </c>
      <c r="M539" t="n">
        <v>146.8</v>
      </c>
      <c r="N539">
        <f>VLOOKUP(J539,Products!$A$2:$C$49,3,FALSE)</f>
        <v/>
      </c>
      <c r="O539">
        <f>K539*L539-M539</f>
        <v/>
      </c>
      <c r="P539">
        <f>TEXT(B539,"yyyy-mm")</f>
        <v/>
      </c>
      <c r="Q539">
        <f>IF(O539&gt;=3000,"Large","Small")</f>
        <v/>
      </c>
      <c r="R539">
        <f>INDEX(Products!$F$2:$F$49,MATCH(J539,Products!$A$2:$A$49,0))</f>
        <v/>
      </c>
      <c r="S539">
        <f>WEEKDAY(B539,2)</f>
        <v/>
      </c>
    </row>
    <row r="540">
      <c r="A540" t="n">
        <v>509598</v>
      </c>
      <c r="B540" s="6" t="n">
        <v>45938</v>
      </c>
      <c r="C540" t="n">
        <v>12750</v>
      </c>
      <c r="D540" t="inlineStr">
        <is>
          <t>Kolkata</t>
        </is>
      </c>
      <c r="E540" t="inlineStr">
        <is>
          <t>East</t>
        </is>
      </c>
      <c r="F540" t="inlineStr">
        <is>
          <t>Organic Search</t>
        </is>
      </c>
      <c r="G540" t="inlineStr">
        <is>
          <t>Desktop</t>
        </is>
      </c>
      <c r="H540" t="inlineStr">
        <is>
          <t>UPI</t>
        </is>
      </c>
      <c r="I540" t="inlineStr">
        <is>
          <t>Delivered</t>
        </is>
      </c>
      <c r="J540" t="n">
        <v>129</v>
      </c>
      <c r="K540" t="n">
        <v>1</v>
      </c>
      <c r="L540" t="n">
        <v>576</v>
      </c>
      <c r="M540" t="n">
        <v>57.6</v>
      </c>
      <c r="N540">
        <f>VLOOKUP(J540,Products!$A$2:$C$49,3,FALSE)</f>
        <v/>
      </c>
      <c r="O540">
        <f>K540*L540-M540</f>
        <v/>
      </c>
      <c r="P540">
        <f>TEXT(B540,"yyyy-mm")</f>
        <v/>
      </c>
      <c r="Q540">
        <f>IF(O540&gt;=3000,"Large","Small")</f>
        <v/>
      </c>
      <c r="R540">
        <f>INDEX(Products!$F$2:$F$49,MATCH(J540,Products!$A$2:$A$49,0))</f>
        <v/>
      </c>
      <c r="S540">
        <f>WEEKDAY(B540,2)</f>
        <v/>
      </c>
    </row>
    <row r="541">
      <c r="A541" t="n">
        <v>509599</v>
      </c>
      <c r="B541" s="6" t="n">
        <v>45938</v>
      </c>
      <c r="C541" t="n">
        <v>10069</v>
      </c>
      <c r="D541" t="inlineStr">
        <is>
          <t>Delhi</t>
        </is>
      </c>
      <c r="E541" t="inlineStr">
        <is>
          <t>North</t>
        </is>
      </c>
      <c r="F541" t="inlineStr">
        <is>
          <t>Paid Social</t>
        </is>
      </c>
      <c r="G541" t="inlineStr">
        <is>
          <t>Mobile Web</t>
        </is>
      </c>
      <c r="H541" t="inlineStr">
        <is>
          <t>Cash on Delivery</t>
        </is>
      </c>
      <c r="I541" t="inlineStr">
        <is>
          <t>Delivered</t>
        </is>
      </c>
      <c r="J541" t="n">
        <v>109</v>
      </c>
      <c r="K541" t="n">
        <v>1</v>
      </c>
      <c r="L541" t="n">
        <v>4199</v>
      </c>
      <c r="M541" t="n">
        <v>419.9</v>
      </c>
      <c r="N541">
        <f>VLOOKUP(J541,Products!$A$2:$C$49,3,FALSE)</f>
        <v/>
      </c>
      <c r="O541">
        <f>K541*L541-M541</f>
        <v/>
      </c>
      <c r="P541">
        <f>TEXT(B541,"yyyy-mm")</f>
        <v/>
      </c>
      <c r="Q541">
        <f>IF(O541&gt;=3000,"Large","Small")</f>
        <v/>
      </c>
      <c r="R541">
        <f>INDEX(Products!$F$2:$F$49,MATCH(J541,Products!$A$2:$A$49,0))</f>
        <v/>
      </c>
      <c r="S541">
        <f>WEEKDAY(B541,2)</f>
        <v/>
      </c>
    </row>
    <row r="542">
      <c r="A542" t="n">
        <v>509600</v>
      </c>
      <c r="B542" s="6" t="n">
        <v>45938</v>
      </c>
      <c r="C542" t="n">
        <v>15487</v>
      </c>
      <c r="D542" t="inlineStr">
        <is>
          <t>Mumbai</t>
        </is>
      </c>
      <c r="E542" t="inlineStr">
        <is>
          <t>West</t>
        </is>
      </c>
      <c r="F542" t="inlineStr">
        <is>
          <t>Organic Search</t>
        </is>
      </c>
      <c r="G542" t="inlineStr">
        <is>
          <t>Mobile App</t>
        </is>
      </c>
      <c r="H542" t="inlineStr">
        <is>
          <t>Cash on Delivery</t>
        </is>
      </c>
      <c r="I542" t="inlineStr">
        <is>
          <t>Cancelled</t>
        </is>
      </c>
      <c r="J542" t="n">
        <v>134</v>
      </c>
      <c r="K542" t="n">
        <v>1</v>
      </c>
      <c r="L542" t="n">
        <v>209</v>
      </c>
      <c r="M542" t="n">
        <v>0</v>
      </c>
      <c r="N542">
        <f>VLOOKUP(J542,Products!$A$2:$C$49,3,FALSE)</f>
        <v/>
      </c>
      <c r="O542">
        <f>K542*L542-M542</f>
        <v/>
      </c>
      <c r="P542">
        <f>TEXT(B542,"yyyy-mm")</f>
        <v/>
      </c>
      <c r="Q542">
        <f>IF(O542&gt;=3000,"Large","Small")</f>
        <v/>
      </c>
      <c r="R542">
        <f>INDEX(Products!$F$2:$F$49,MATCH(J542,Products!$A$2:$A$49,0))</f>
        <v/>
      </c>
      <c r="S542">
        <f>WEEKDAY(B542,2)</f>
        <v/>
      </c>
    </row>
    <row r="543">
      <c r="A543" t="n">
        <v>509601</v>
      </c>
      <c r="B543" s="6" t="n">
        <v>45938</v>
      </c>
      <c r="C543" t="n">
        <v>15039</v>
      </c>
      <c r="D543" t="inlineStr">
        <is>
          <t>Kolkata</t>
        </is>
      </c>
      <c r="E543" t="inlineStr">
        <is>
          <t>East</t>
        </is>
      </c>
      <c r="F543" t="inlineStr">
        <is>
          <t>Paid Social</t>
        </is>
      </c>
      <c r="G543" t="inlineStr">
        <is>
          <t>Mobile App</t>
        </is>
      </c>
      <c r="H543" t="inlineStr">
        <is>
          <t>Cash on Delivery</t>
        </is>
      </c>
      <c r="I543" t="inlineStr">
        <is>
          <t>Delivered</t>
        </is>
      </c>
      <c r="J543" t="n">
        <v>106</v>
      </c>
      <c r="K543" t="n">
        <v>1</v>
      </c>
      <c r="L543" t="n">
        <v>1574</v>
      </c>
      <c r="M543" t="n">
        <v>157.4</v>
      </c>
      <c r="N543">
        <f>VLOOKUP(J543,Products!$A$2:$C$49,3,FALSE)</f>
        <v/>
      </c>
      <c r="O543">
        <f>K543*L543-M543</f>
        <v/>
      </c>
      <c r="P543">
        <f>TEXT(B543,"yyyy-mm")</f>
        <v/>
      </c>
      <c r="Q543">
        <f>IF(O543&gt;=3000,"Large","Small")</f>
        <v/>
      </c>
      <c r="R543">
        <f>INDEX(Products!$F$2:$F$49,MATCH(J543,Products!$A$2:$A$49,0))</f>
        <v/>
      </c>
      <c r="S543">
        <f>WEEKDAY(B543,2)</f>
        <v/>
      </c>
    </row>
    <row r="544">
      <c r="A544" t="n">
        <v>509602</v>
      </c>
      <c r="B544" s="6" t="n">
        <v>45939</v>
      </c>
      <c r="C544" t="n">
        <v>14079</v>
      </c>
      <c r="D544" t="inlineStr">
        <is>
          <t>Bengaluru</t>
        </is>
      </c>
      <c r="E544" t="inlineStr">
        <is>
          <t>South</t>
        </is>
      </c>
      <c r="F544" t="inlineStr">
        <is>
          <t>Organic Search</t>
        </is>
      </c>
      <c r="G544" t="inlineStr">
        <is>
          <t>Mobile Web</t>
        </is>
      </c>
      <c r="H544" t="inlineStr">
        <is>
          <t>UPI</t>
        </is>
      </c>
      <c r="I544" t="inlineStr">
        <is>
          <t>Delivered</t>
        </is>
      </c>
      <c r="J544" t="n">
        <v>125</v>
      </c>
      <c r="K544" t="n">
        <v>1</v>
      </c>
      <c r="L544" t="n">
        <v>1364</v>
      </c>
      <c r="M544" t="n">
        <v>136.4</v>
      </c>
      <c r="N544">
        <f>VLOOKUP(J544,Products!$A$2:$C$49,3,FALSE)</f>
        <v/>
      </c>
      <c r="O544">
        <f>K544*L544-M544</f>
        <v/>
      </c>
      <c r="P544">
        <f>TEXT(B544,"yyyy-mm")</f>
        <v/>
      </c>
      <c r="Q544">
        <f>IF(O544&gt;=3000,"Large","Small")</f>
        <v/>
      </c>
      <c r="R544">
        <f>INDEX(Products!$F$2:$F$49,MATCH(J544,Products!$A$2:$A$49,0))</f>
        <v/>
      </c>
      <c r="S544">
        <f>WEEKDAY(B544,2)</f>
        <v/>
      </c>
    </row>
    <row r="545">
      <c r="A545" t="n">
        <v>509602</v>
      </c>
      <c r="B545" s="6" t="n">
        <v>45939</v>
      </c>
      <c r="C545" t="n">
        <v>14079</v>
      </c>
      <c r="D545" t="inlineStr">
        <is>
          <t>Bengaluru</t>
        </is>
      </c>
      <c r="E545" t="inlineStr">
        <is>
          <t>South</t>
        </is>
      </c>
      <c r="F545" t="inlineStr">
        <is>
          <t>Organic Search</t>
        </is>
      </c>
      <c r="G545" t="inlineStr">
        <is>
          <t>Mobile Web</t>
        </is>
      </c>
      <c r="H545" t="inlineStr">
        <is>
          <t>UPI</t>
        </is>
      </c>
      <c r="I545" t="inlineStr">
        <is>
          <t>Delivered</t>
        </is>
      </c>
      <c r="J545" t="n">
        <v>130</v>
      </c>
      <c r="K545" t="n">
        <v>2</v>
      </c>
      <c r="L545" t="n">
        <v>734</v>
      </c>
      <c r="M545" t="n">
        <v>146.8</v>
      </c>
      <c r="N545">
        <f>VLOOKUP(J545,Products!$A$2:$C$49,3,FALSE)</f>
        <v/>
      </c>
      <c r="O545">
        <f>K545*L545-M545</f>
        <v/>
      </c>
      <c r="P545">
        <f>TEXT(B545,"yyyy-mm")</f>
        <v/>
      </c>
      <c r="Q545">
        <f>IF(O545&gt;=3000,"Large","Small")</f>
        <v/>
      </c>
      <c r="R545">
        <f>INDEX(Products!$F$2:$F$49,MATCH(J545,Products!$A$2:$A$49,0))</f>
        <v/>
      </c>
      <c r="S545">
        <f>WEEKDAY(B545,2)</f>
        <v/>
      </c>
    </row>
    <row r="546">
      <c r="A546" t="n">
        <v>509603</v>
      </c>
      <c r="B546" s="6" t="n">
        <v>45939</v>
      </c>
      <c r="C546" t="n">
        <v>16652</v>
      </c>
      <c r="D546" t="inlineStr">
        <is>
          <t>Chandigarh</t>
        </is>
      </c>
      <c r="E546" t="inlineStr">
        <is>
          <t>North</t>
        </is>
      </c>
      <c r="F546" t="inlineStr">
        <is>
          <t>Paid Social</t>
        </is>
      </c>
      <c r="G546" t="inlineStr">
        <is>
          <t>Mobile App</t>
        </is>
      </c>
      <c r="H546" t="inlineStr">
        <is>
          <t>Cash on Delivery</t>
        </is>
      </c>
      <c r="I546" t="inlineStr">
        <is>
          <t>Cancelled</t>
        </is>
      </c>
      <c r="J546" t="n">
        <v>120</v>
      </c>
      <c r="K546" t="n">
        <v>2</v>
      </c>
      <c r="L546" t="n">
        <v>734</v>
      </c>
      <c r="M546" t="n">
        <v>73.40000000000001</v>
      </c>
      <c r="N546">
        <f>VLOOKUP(J546,Products!$A$2:$C$49,3,FALSE)</f>
        <v/>
      </c>
      <c r="O546">
        <f>K546*L546-M546</f>
        <v/>
      </c>
      <c r="P546">
        <f>TEXT(B546,"yyyy-mm")</f>
        <v/>
      </c>
      <c r="Q546">
        <f>IF(O546&gt;=3000,"Large","Small")</f>
        <v/>
      </c>
      <c r="R546">
        <f>INDEX(Products!$F$2:$F$49,MATCH(J546,Products!$A$2:$A$49,0))</f>
        <v/>
      </c>
      <c r="S546">
        <f>WEEKDAY(B546,2)</f>
        <v/>
      </c>
    </row>
    <row r="547">
      <c r="A547" t="n">
        <v>509603</v>
      </c>
      <c r="B547" s="6" t="n">
        <v>45939</v>
      </c>
      <c r="C547" t="n">
        <v>16652</v>
      </c>
      <c r="D547" t="inlineStr">
        <is>
          <t>Chandigarh</t>
        </is>
      </c>
      <c r="E547" t="inlineStr">
        <is>
          <t>North</t>
        </is>
      </c>
      <c r="F547" t="inlineStr">
        <is>
          <t>Paid Social</t>
        </is>
      </c>
      <c r="G547" t="inlineStr">
        <is>
          <t>Mobile App</t>
        </is>
      </c>
      <c r="H547" t="inlineStr">
        <is>
          <t>Cash on Delivery</t>
        </is>
      </c>
      <c r="I547" t="inlineStr">
        <is>
          <t>Cancelled</t>
        </is>
      </c>
      <c r="J547" t="n">
        <v>129</v>
      </c>
      <c r="K547" t="n">
        <v>1</v>
      </c>
      <c r="L547" t="n">
        <v>576</v>
      </c>
      <c r="M547" t="n">
        <v>28.8</v>
      </c>
      <c r="N547">
        <f>VLOOKUP(J547,Products!$A$2:$C$49,3,FALSE)</f>
        <v/>
      </c>
      <c r="O547">
        <f>K547*L547-M547</f>
        <v/>
      </c>
      <c r="P547">
        <f>TEXT(B547,"yyyy-mm")</f>
        <v/>
      </c>
      <c r="Q547">
        <f>IF(O547&gt;=3000,"Large","Small")</f>
        <v/>
      </c>
      <c r="R547">
        <f>INDEX(Products!$F$2:$F$49,MATCH(J547,Products!$A$2:$A$49,0))</f>
        <v/>
      </c>
      <c r="S547">
        <f>WEEKDAY(B547,2)</f>
        <v/>
      </c>
    </row>
    <row r="548">
      <c r="A548" t="n">
        <v>509604</v>
      </c>
      <c r="B548" s="6" t="n">
        <v>45939</v>
      </c>
      <c r="C548" t="n">
        <v>13515</v>
      </c>
      <c r="D548" t="inlineStr">
        <is>
          <t>Kolkata</t>
        </is>
      </c>
      <c r="E548" t="inlineStr">
        <is>
          <t>East</t>
        </is>
      </c>
      <c r="F548" t="inlineStr">
        <is>
          <t>Referral</t>
        </is>
      </c>
      <c r="G548" t="inlineStr">
        <is>
          <t>Mobile App</t>
        </is>
      </c>
      <c r="H548" t="inlineStr">
        <is>
          <t>UPI</t>
        </is>
      </c>
      <c r="I548" t="inlineStr">
        <is>
          <t>Delivered</t>
        </is>
      </c>
      <c r="J548" t="n">
        <v>112</v>
      </c>
      <c r="K548" t="n">
        <v>1</v>
      </c>
      <c r="L548" t="n">
        <v>1574</v>
      </c>
      <c r="M548" t="n">
        <v>157.4</v>
      </c>
      <c r="N548">
        <f>VLOOKUP(J548,Products!$A$2:$C$49,3,FALSE)</f>
        <v/>
      </c>
      <c r="O548">
        <f>K548*L548-M548</f>
        <v/>
      </c>
      <c r="P548">
        <f>TEXT(B548,"yyyy-mm")</f>
        <v/>
      </c>
      <c r="Q548">
        <f>IF(O548&gt;=3000,"Large","Small")</f>
        <v/>
      </c>
      <c r="R548">
        <f>INDEX(Products!$F$2:$F$49,MATCH(J548,Products!$A$2:$A$49,0))</f>
        <v/>
      </c>
      <c r="S548">
        <f>WEEKDAY(B548,2)</f>
        <v/>
      </c>
    </row>
    <row r="549">
      <c r="A549" t="n">
        <v>509604</v>
      </c>
      <c r="B549" s="6" t="n">
        <v>45939</v>
      </c>
      <c r="C549" t="n">
        <v>13515</v>
      </c>
      <c r="D549" t="inlineStr">
        <is>
          <t>Kolkata</t>
        </is>
      </c>
      <c r="E549" t="inlineStr">
        <is>
          <t>East</t>
        </is>
      </c>
      <c r="F549" t="inlineStr">
        <is>
          <t>Referral</t>
        </is>
      </c>
      <c r="G549" t="inlineStr">
        <is>
          <t>Mobile App</t>
        </is>
      </c>
      <c r="H549" t="inlineStr">
        <is>
          <t>UPI</t>
        </is>
      </c>
      <c r="I549" t="inlineStr">
        <is>
          <t>Delivered</t>
        </is>
      </c>
      <c r="J549" t="n">
        <v>116</v>
      </c>
      <c r="K549" t="n">
        <v>3</v>
      </c>
      <c r="L549" t="n">
        <v>2624</v>
      </c>
      <c r="M549" t="n">
        <v>787.2</v>
      </c>
      <c r="N549">
        <f>VLOOKUP(J549,Products!$A$2:$C$49,3,FALSE)</f>
        <v/>
      </c>
      <c r="O549">
        <f>K549*L549-M549</f>
        <v/>
      </c>
      <c r="P549">
        <f>TEXT(B549,"yyyy-mm")</f>
        <v/>
      </c>
      <c r="Q549">
        <f>IF(O549&gt;=3000,"Large","Small")</f>
        <v/>
      </c>
      <c r="R549">
        <f>INDEX(Products!$F$2:$F$49,MATCH(J549,Products!$A$2:$A$49,0))</f>
        <v/>
      </c>
      <c r="S549">
        <f>WEEKDAY(B549,2)</f>
        <v/>
      </c>
    </row>
    <row r="550">
      <c r="A550" t="n">
        <v>509604</v>
      </c>
      <c r="B550" s="6" t="n">
        <v>45939</v>
      </c>
      <c r="C550" t="n">
        <v>13515</v>
      </c>
      <c r="D550" t="inlineStr">
        <is>
          <t>Kolkata</t>
        </is>
      </c>
      <c r="E550" t="inlineStr">
        <is>
          <t>East</t>
        </is>
      </c>
      <c r="F550" t="inlineStr">
        <is>
          <t>Referral</t>
        </is>
      </c>
      <c r="G550" t="inlineStr">
        <is>
          <t>Mobile App</t>
        </is>
      </c>
      <c r="H550" t="inlineStr">
        <is>
          <t>UPI</t>
        </is>
      </c>
      <c r="I550" t="inlineStr">
        <is>
          <t>Delivered</t>
        </is>
      </c>
      <c r="J550" t="n">
        <v>129</v>
      </c>
      <c r="K550" t="n">
        <v>1</v>
      </c>
      <c r="L550" t="n">
        <v>576</v>
      </c>
      <c r="M550" t="n">
        <v>57.6</v>
      </c>
      <c r="N550">
        <f>VLOOKUP(J550,Products!$A$2:$C$49,3,FALSE)</f>
        <v/>
      </c>
      <c r="O550">
        <f>K550*L550-M550</f>
        <v/>
      </c>
      <c r="P550">
        <f>TEXT(B550,"yyyy-mm")</f>
        <v/>
      </c>
      <c r="Q550">
        <f>IF(O550&gt;=3000,"Large","Small")</f>
        <v/>
      </c>
      <c r="R550">
        <f>INDEX(Products!$F$2:$F$49,MATCH(J550,Products!$A$2:$A$49,0))</f>
        <v/>
      </c>
      <c r="S550">
        <f>WEEKDAY(B550,2)</f>
        <v/>
      </c>
    </row>
    <row r="551">
      <c r="A551" t="n">
        <v>509605</v>
      </c>
      <c r="B551" s="6" t="n">
        <v>45939</v>
      </c>
      <c r="C551" t="n">
        <v>16614</v>
      </c>
      <c r="D551" t="inlineStr">
        <is>
          <t>Delhi</t>
        </is>
      </c>
      <c r="E551" t="inlineStr">
        <is>
          <t>North</t>
        </is>
      </c>
      <c r="F551" t="inlineStr">
        <is>
          <t>Organic Search</t>
        </is>
      </c>
      <c r="G551" t="inlineStr">
        <is>
          <t>Desktop</t>
        </is>
      </c>
      <c r="H551" t="inlineStr">
        <is>
          <t>Net Banking</t>
        </is>
      </c>
      <c r="I551" t="inlineStr">
        <is>
          <t>Delivered</t>
        </is>
      </c>
      <c r="J551" t="n">
        <v>129</v>
      </c>
      <c r="K551" t="n">
        <v>1</v>
      </c>
      <c r="L551" t="n">
        <v>576</v>
      </c>
      <c r="M551" t="n">
        <v>86.40000000000001</v>
      </c>
      <c r="N551">
        <f>VLOOKUP(J551,Products!$A$2:$C$49,3,FALSE)</f>
        <v/>
      </c>
      <c r="O551">
        <f>K551*L551-M551</f>
        <v/>
      </c>
      <c r="P551">
        <f>TEXT(B551,"yyyy-mm")</f>
        <v/>
      </c>
      <c r="Q551">
        <f>IF(O551&gt;=3000,"Large","Small")</f>
        <v/>
      </c>
      <c r="R551">
        <f>INDEX(Products!$F$2:$F$49,MATCH(J551,Products!$A$2:$A$49,0))</f>
        <v/>
      </c>
      <c r="S551">
        <f>WEEKDAY(B551,2)</f>
        <v/>
      </c>
    </row>
    <row r="552">
      <c r="A552" t="n">
        <v>509605</v>
      </c>
      <c r="B552" s="6" t="n">
        <v>45939</v>
      </c>
      <c r="C552" t="n">
        <v>16614</v>
      </c>
      <c r="D552" t="inlineStr">
        <is>
          <t>Delhi</t>
        </is>
      </c>
      <c r="E552" t="inlineStr">
        <is>
          <t>North</t>
        </is>
      </c>
      <c r="F552" t="inlineStr">
        <is>
          <t>Organic Search</t>
        </is>
      </c>
      <c r="G552" t="inlineStr">
        <is>
          <t>Desktop</t>
        </is>
      </c>
      <c r="H552" t="inlineStr">
        <is>
          <t>Net Banking</t>
        </is>
      </c>
      <c r="I552" t="inlineStr">
        <is>
          <t>Delivered</t>
        </is>
      </c>
      <c r="J552" t="n">
        <v>122</v>
      </c>
      <c r="K552" t="n">
        <v>1</v>
      </c>
      <c r="L552" t="n">
        <v>1994</v>
      </c>
      <c r="M552" t="n">
        <v>299.1</v>
      </c>
      <c r="N552">
        <f>VLOOKUP(J552,Products!$A$2:$C$49,3,FALSE)</f>
        <v/>
      </c>
      <c r="O552">
        <f>K552*L552-M552</f>
        <v/>
      </c>
      <c r="P552">
        <f>TEXT(B552,"yyyy-mm")</f>
        <v/>
      </c>
      <c r="Q552">
        <f>IF(O552&gt;=3000,"Large","Small")</f>
        <v/>
      </c>
      <c r="R552">
        <f>INDEX(Products!$F$2:$F$49,MATCH(J552,Products!$A$2:$A$49,0))</f>
        <v/>
      </c>
      <c r="S552">
        <f>WEEKDAY(B552,2)</f>
        <v/>
      </c>
    </row>
    <row r="553">
      <c r="A553" t="n">
        <v>509605</v>
      </c>
      <c r="B553" s="6" t="n">
        <v>45939</v>
      </c>
      <c r="C553" t="n">
        <v>16614</v>
      </c>
      <c r="D553" t="inlineStr">
        <is>
          <t>Delhi</t>
        </is>
      </c>
      <c r="E553" t="inlineStr">
        <is>
          <t>North</t>
        </is>
      </c>
      <c r="F553" t="inlineStr">
        <is>
          <t>Organic Search</t>
        </is>
      </c>
      <c r="G553" t="inlineStr">
        <is>
          <t>Desktop</t>
        </is>
      </c>
      <c r="H553" t="inlineStr">
        <is>
          <t>Net Banking</t>
        </is>
      </c>
      <c r="I553" t="inlineStr">
        <is>
          <t>Delivered</t>
        </is>
      </c>
      <c r="J553" t="n">
        <v>102</v>
      </c>
      <c r="K553" t="n">
        <v>1</v>
      </c>
      <c r="L553" t="n">
        <v>3674</v>
      </c>
      <c r="M553" t="n">
        <v>551.1</v>
      </c>
      <c r="N553">
        <f>VLOOKUP(J553,Products!$A$2:$C$49,3,FALSE)</f>
        <v/>
      </c>
      <c r="O553">
        <f>K553*L553-M553</f>
        <v/>
      </c>
      <c r="P553">
        <f>TEXT(B553,"yyyy-mm")</f>
        <v/>
      </c>
      <c r="Q553">
        <f>IF(O553&gt;=3000,"Large","Small")</f>
        <v/>
      </c>
      <c r="R553">
        <f>INDEX(Products!$F$2:$F$49,MATCH(J553,Products!$A$2:$A$49,0))</f>
        <v/>
      </c>
      <c r="S553">
        <f>WEEKDAY(B553,2)</f>
        <v/>
      </c>
    </row>
    <row r="554">
      <c r="A554" t="n">
        <v>509606</v>
      </c>
      <c r="B554" s="6" t="n">
        <v>45939</v>
      </c>
      <c r="C554" t="n">
        <v>16718</v>
      </c>
      <c r="D554" t="inlineStr">
        <is>
          <t>Ahmedabad</t>
        </is>
      </c>
      <c r="E554" t="inlineStr">
        <is>
          <t>West</t>
        </is>
      </c>
      <c r="F554" t="inlineStr">
        <is>
          <t>Paid Social</t>
        </is>
      </c>
      <c r="G554" t="inlineStr">
        <is>
          <t>Desktop</t>
        </is>
      </c>
      <c r="H554" t="inlineStr">
        <is>
          <t>Cash on Delivery</t>
        </is>
      </c>
      <c r="I554" t="inlineStr">
        <is>
          <t>Delivered</t>
        </is>
      </c>
      <c r="J554" t="n">
        <v>137</v>
      </c>
      <c r="K554" t="n">
        <v>1</v>
      </c>
      <c r="L554" t="n">
        <v>261</v>
      </c>
      <c r="M554" t="n">
        <v>39.15</v>
      </c>
      <c r="N554">
        <f>VLOOKUP(J554,Products!$A$2:$C$49,3,FALSE)</f>
        <v/>
      </c>
      <c r="O554">
        <f>K554*L554-M554</f>
        <v/>
      </c>
      <c r="P554">
        <f>TEXT(B554,"yyyy-mm")</f>
        <v/>
      </c>
      <c r="Q554">
        <f>IF(O554&gt;=3000,"Large","Small")</f>
        <v/>
      </c>
      <c r="R554">
        <f>INDEX(Products!$F$2:$F$49,MATCH(J554,Products!$A$2:$A$49,0))</f>
        <v/>
      </c>
      <c r="S554">
        <f>WEEKDAY(B554,2)</f>
        <v/>
      </c>
    </row>
    <row r="555">
      <c r="A555" t="n">
        <v>509607</v>
      </c>
      <c r="B555" s="6" t="n">
        <v>45939</v>
      </c>
      <c r="C555" t="n">
        <v>13522</v>
      </c>
      <c r="D555" t="inlineStr">
        <is>
          <t>Chennai</t>
        </is>
      </c>
      <c r="E555" t="inlineStr">
        <is>
          <t>South</t>
        </is>
      </c>
      <c r="F555" t="inlineStr">
        <is>
          <t>Email</t>
        </is>
      </c>
      <c r="G555" t="inlineStr">
        <is>
          <t>Mobile Web</t>
        </is>
      </c>
      <c r="H555" t="inlineStr">
        <is>
          <t>UPI</t>
        </is>
      </c>
      <c r="I555" t="inlineStr">
        <is>
          <t>Delivered</t>
        </is>
      </c>
      <c r="J555" t="n">
        <v>104</v>
      </c>
      <c r="K555" t="n">
        <v>1</v>
      </c>
      <c r="L555" t="n">
        <v>5249</v>
      </c>
      <c r="M555" t="n">
        <v>524.9</v>
      </c>
      <c r="N555">
        <f>VLOOKUP(J555,Products!$A$2:$C$49,3,FALSE)</f>
        <v/>
      </c>
      <c r="O555">
        <f>K555*L555-M555</f>
        <v/>
      </c>
      <c r="P555">
        <f>TEXT(B555,"yyyy-mm")</f>
        <v/>
      </c>
      <c r="Q555">
        <f>IF(O555&gt;=3000,"Large","Small")</f>
        <v/>
      </c>
      <c r="R555">
        <f>INDEX(Products!$F$2:$F$49,MATCH(J555,Products!$A$2:$A$49,0))</f>
        <v/>
      </c>
      <c r="S555">
        <f>WEEKDAY(B555,2)</f>
        <v/>
      </c>
    </row>
    <row r="556">
      <c r="A556" t="n">
        <v>509608</v>
      </c>
      <c r="B556" s="6" t="n">
        <v>45939</v>
      </c>
      <c r="C556" t="n">
        <v>15514</v>
      </c>
      <c r="D556" t="inlineStr">
        <is>
          <t>Noida</t>
        </is>
      </c>
      <c r="E556" t="inlineStr">
        <is>
          <t>North</t>
        </is>
      </c>
      <c r="F556" t="inlineStr">
        <is>
          <t>Paid Social</t>
        </is>
      </c>
      <c r="G556" t="inlineStr">
        <is>
          <t>Mobile App</t>
        </is>
      </c>
      <c r="H556" t="inlineStr">
        <is>
          <t>UPI</t>
        </is>
      </c>
      <c r="I556" t="inlineStr">
        <is>
          <t>Delivered</t>
        </is>
      </c>
      <c r="J556" t="n">
        <v>102</v>
      </c>
      <c r="K556" t="n">
        <v>1</v>
      </c>
      <c r="L556" t="n">
        <v>3674</v>
      </c>
      <c r="M556" t="n">
        <v>0</v>
      </c>
      <c r="N556">
        <f>VLOOKUP(J556,Products!$A$2:$C$49,3,FALSE)</f>
        <v/>
      </c>
      <c r="O556">
        <f>K556*L556-M556</f>
        <v/>
      </c>
      <c r="P556">
        <f>TEXT(B556,"yyyy-mm")</f>
        <v/>
      </c>
      <c r="Q556">
        <f>IF(O556&gt;=3000,"Large","Small")</f>
        <v/>
      </c>
      <c r="R556">
        <f>INDEX(Products!$F$2:$F$49,MATCH(J556,Products!$A$2:$A$49,0))</f>
        <v/>
      </c>
      <c r="S556">
        <f>WEEKDAY(B556,2)</f>
        <v/>
      </c>
    </row>
    <row r="557">
      <c r="A557" t="n">
        <v>509608</v>
      </c>
      <c r="B557" s="6" t="n">
        <v>45939</v>
      </c>
      <c r="C557" t="n">
        <v>15514</v>
      </c>
      <c r="D557" t="inlineStr">
        <is>
          <t>Noida</t>
        </is>
      </c>
      <c r="E557" t="inlineStr">
        <is>
          <t>North</t>
        </is>
      </c>
      <c r="F557" t="inlineStr">
        <is>
          <t>Paid Social</t>
        </is>
      </c>
      <c r="G557" t="inlineStr">
        <is>
          <t>Mobile App</t>
        </is>
      </c>
      <c r="H557" t="inlineStr">
        <is>
          <t>UPI</t>
        </is>
      </c>
      <c r="I557" t="inlineStr">
        <is>
          <t>Delivered</t>
        </is>
      </c>
      <c r="J557" t="n">
        <v>123</v>
      </c>
      <c r="K557" t="n">
        <v>1</v>
      </c>
      <c r="L557" t="n">
        <v>3464</v>
      </c>
      <c r="M557" t="n">
        <v>0</v>
      </c>
      <c r="N557">
        <f>VLOOKUP(J557,Products!$A$2:$C$49,3,FALSE)</f>
        <v/>
      </c>
      <c r="O557">
        <f>K557*L557-M557</f>
        <v/>
      </c>
      <c r="P557">
        <f>TEXT(B557,"yyyy-mm")</f>
        <v/>
      </c>
      <c r="Q557">
        <f>IF(O557&gt;=3000,"Large","Small")</f>
        <v/>
      </c>
      <c r="R557">
        <f>INDEX(Products!$F$2:$F$49,MATCH(J557,Products!$A$2:$A$49,0))</f>
        <v/>
      </c>
      <c r="S557">
        <f>WEEKDAY(B557,2)</f>
        <v/>
      </c>
    </row>
    <row r="558">
      <c r="A558" t="n">
        <v>509608</v>
      </c>
      <c r="B558" s="6" t="n">
        <v>45939</v>
      </c>
      <c r="C558" t="n">
        <v>15514</v>
      </c>
      <c r="D558" t="inlineStr">
        <is>
          <t>Noida</t>
        </is>
      </c>
      <c r="E558" t="inlineStr">
        <is>
          <t>North</t>
        </is>
      </c>
      <c r="F558" t="inlineStr">
        <is>
          <t>Paid Social</t>
        </is>
      </c>
      <c r="G558" t="inlineStr">
        <is>
          <t>Mobile App</t>
        </is>
      </c>
      <c r="H558" t="inlineStr">
        <is>
          <t>UPI</t>
        </is>
      </c>
      <c r="I558" t="inlineStr">
        <is>
          <t>Delivered</t>
        </is>
      </c>
      <c r="J558" t="n">
        <v>129</v>
      </c>
      <c r="K558" t="n">
        <v>1</v>
      </c>
      <c r="L558" t="n">
        <v>576</v>
      </c>
      <c r="M558" t="n">
        <v>0</v>
      </c>
      <c r="N558">
        <f>VLOOKUP(J558,Products!$A$2:$C$49,3,FALSE)</f>
        <v/>
      </c>
      <c r="O558">
        <f>K558*L558-M558</f>
        <v/>
      </c>
      <c r="P558">
        <f>TEXT(B558,"yyyy-mm")</f>
        <v/>
      </c>
      <c r="Q558">
        <f>IF(O558&gt;=3000,"Large","Small")</f>
        <v/>
      </c>
      <c r="R558">
        <f>INDEX(Products!$F$2:$F$49,MATCH(J558,Products!$A$2:$A$49,0))</f>
        <v/>
      </c>
      <c r="S558">
        <f>WEEKDAY(B558,2)</f>
        <v/>
      </c>
    </row>
    <row r="559">
      <c r="A559" t="n">
        <v>509609</v>
      </c>
      <c r="B559" s="6" t="n">
        <v>45939</v>
      </c>
      <c r="C559" t="n">
        <v>10761</v>
      </c>
      <c r="D559" t="inlineStr">
        <is>
          <t>Delhi</t>
        </is>
      </c>
      <c r="E559" t="inlineStr">
        <is>
          <t>North</t>
        </is>
      </c>
      <c r="F559" t="inlineStr">
        <is>
          <t>Affiliate</t>
        </is>
      </c>
      <c r="G559" t="inlineStr">
        <is>
          <t>Mobile App</t>
        </is>
      </c>
      <c r="H559" t="inlineStr">
        <is>
          <t>Debit Card</t>
        </is>
      </c>
      <c r="I559" t="inlineStr">
        <is>
          <t>Delivered</t>
        </is>
      </c>
      <c r="J559" t="n">
        <v>140</v>
      </c>
      <c r="K559" t="n">
        <v>2</v>
      </c>
      <c r="L559" t="n">
        <v>629</v>
      </c>
      <c r="M559" t="n">
        <v>125.8</v>
      </c>
      <c r="N559">
        <f>VLOOKUP(J559,Products!$A$2:$C$49,3,FALSE)</f>
        <v/>
      </c>
      <c r="O559">
        <f>K559*L559-M559</f>
        <v/>
      </c>
      <c r="P559">
        <f>TEXT(B559,"yyyy-mm")</f>
        <v/>
      </c>
      <c r="Q559">
        <f>IF(O559&gt;=3000,"Large","Small")</f>
        <v/>
      </c>
      <c r="R559">
        <f>INDEX(Products!$F$2:$F$49,MATCH(J559,Products!$A$2:$A$49,0))</f>
        <v/>
      </c>
      <c r="S559">
        <f>WEEKDAY(B559,2)</f>
        <v/>
      </c>
    </row>
    <row r="560">
      <c r="A560" t="n">
        <v>509609</v>
      </c>
      <c r="B560" s="6" t="n">
        <v>45939</v>
      </c>
      <c r="C560" t="n">
        <v>10761</v>
      </c>
      <c r="D560" t="inlineStr">
        <is>
          <t>Delhi</t>
        </is>
      </c>
      <c r="E560" t="inlineStr">
        <is>
          <t>North</t>
        </is>
      </c>
      <c r="F560" t="inlineStr">
        <is>
          <t>Affiliate</t>
        </is>
      </c>
      <c r="G560" t="inlineStr">
        <is>
          <t>Mobile App</t>
        </is>
      </c>
      <c r="H560" t="inlineStr">
        <is>
          <t>Debit Card</t>
        </is>
      </c>
      <c r="I560" t="inlineStr">
        <is>
          <t>Delivered</t>
        </is>
      </c>
      <c r="J560" t="n">
        <v>131</v>
      </c>
      <c r="K560" t="n">
        <v>1</v>
      </c>
      <c r="L560" t="n">
        <v>314</v>
      </c>
      <c r="M560" t="n">
        <v>31.4</v>
      </c>
      <c r="N560">
        <f>VLOOKUP(J560,Products!$A$2:$C$49,3,FALSE)</f>
        <v/>
      </c>
      <c r="O560">
        <f>K560*L560-M560</f>
        <v/>
      </c>
      <c r="P560">
        <f>TEXT(B560,"yyyy-mm")</f>
        <v/>
      </c>
      <c r="Q560">
        <f>IF(O560&gt;=3000,"Large","Small")</f>
        <v/>
      </c>
      <c r="R560">
        <f>INDEX(Products!$F$2:$F$49,MATCH(J560,Products!$A$2:$A$49,0))</f>
        <v/>
      </c>
      <c r="S560">
        <f>WEEKDAY(B560,2)</f>
        <v/>
      </c>
    </row>
    <row r="561">
      <c r="A561" t="n">
        <v>509610</v>
      </c>
      <c r="B561" s="6" t="n">
        <v>45939</v>
      </c>
      <c r="C561" t="n">
        <v>12781</v>
      </c>
      <c r="D561" t="inlineStr">
        <is>
          <t>Chennai</t>
        </is>
      </c>
      <c r="E561" t="inlineStr">
        <is>
          <t>South</t>
        </is>
      </c>
      <c r="F561" t="inlineStr">
        <is>
          <t>Organic Search</t>
        </is>
      </c>
      <c r="G561" t="inlineStr">
        <is>
          <t>Desktop</t>
        </is>
      </c>
      <c r="H561" t="inlineStr">
        <is>
          <t>Cash on Delivery</t>
        </is>
      </c>
      <c r="I561" t="inlineStr">
        <is>
          <t>Delivered</t>
        </is>
      </c>
      <c r="J561" t="n">
        <v>120</v>
      </c>
      <c r="K561" t="n">
        <v>1</v>
      </c>
      <c r="L561" t="n">
        <v>734</v>
      </c>
      <c r="M561" t="n">
        <v>0</v>
      </c>
      <c r="N561">
        <f>VLOOKUP(J561,Products!$A$2:$C$49,3,FALSE)</f>
        <v/>
      </c>
      <c r="O561">
        <f>K561*L561-M561</f>
        <v/>
      </c>
      <c r="P561">
        <f>TEXT(B561,"yyyy-mm")</f>
        <v/>
      </c>
      <c r="Q561">
        <f>IF(O561&gt;=3000,"Large","Small")</f>
        <v/>
      </c>
      <c r="R561">
        <f>INDEX(Products!$F$2:$F$49,MATCH(J561,Products!$A$2:$A$49,0))</f>
        <v/>
      </c>
      <c r="S561">
        <f>WEEKDAY(B561,2)</f>
        <v/>
      </c>
    </row>
    <row r="562">
      <c r="A562" t="n">
        <v>509611</v>
      </c>
      <c r="B562" s="6" t="n">
        <v>45939</v>
      </c>
      <c r="C562" t="n">
        <v>16668</v>
      </c>
      <c r="D562" t="inlineStr">
        <is>
          <t>Jaipur</t>
        </is>
      </c>
      <c r="E562" t="inlineStr">
        <is>
          <t>North</t>
        </is>
      </c>
      <c r="F562" t="inlineStr">
        <is>
          <t>Organic Search</t>
        </is>
      </c>
      <c r="G562" t="inlineStr">
        <is>
          <t>Mobile App</t>
        </is>
      </c>
      <c r="H562" t="inlineStr">
        <is>
          <t>Cash on Delivery</t>
        </is>
      </c>
      <c r="I562" t="inlineStr">
        <is>
          <t>Delivered</t>
        </is>
      </c>
      <c r="J562" t="n">
        <v>112</v>
      </c>
      <c r="K562" t="n">
        <v>1</v>
      </c>
      <c r="L562" t="n">
        <v>1574</v>
      </c>
      <c r="M562" t="n">
        <v>157.4</v>
      </c>
      <c r="N562">
        <f>VLOOKUP(J562,Products!$A$2:$C$49,3,FALSE)</f>
        <v/>
      </c>
      <c r="O562">
        <f>K562*L562-M562</f>
        <v/>
      </c>
      <c r="P562">
        <f>TEXT(B562,"yyyy-mm")</f>
        <v/>
      </c>
      <c r="Q562">
        <f>IF(O562&gt;=3000,"Large","Small")</f>
        <v/>
      </c>
      <c r="R562">
        <f>INDEX(Products!$F$2:$F$49,MATCH(J562,Products!$A$2:$A$49,0))</f>
        <v/>
      </c>
      <c r="S562">
        <f>WEEKDAY(B562,2)</f>
        <v/>
      </c>
    </row>
    <row r="563">
      <c r="A563" t="n">
        <v>509611</v>
      </c>
      <c r="B563" s="6" t="n">
        <v>45939</v>
      </c>
      <c r="C563" t="n">
        <v>16668</v>
      </c>
      <c r="D563" t="inlineStr">
        <is>
          <t>Jaipur</t>
        </is>
      </c>
      <c r="E563" t="inlineStr">
        <is>
          <t>North</t>
        </is>
      </c>
      <c r="F563" t="inlineStr">
        <is>
          <t>Organic Search</t>
        </is>
      </c>
      <c r="G563" t="inlineStr">
        <is>
          <t>Mobile App</t>
        </is>
      </c>
      <c r="H563" t="inlineStr">
        <is>
          <t>Cash on Delivery</t>
        </is>
      </c>
      <c r="I563" t="inlineStr">
        <is>
          <t>Delivered</t>
        </is>
      </c>
      <c r="J563" t="n">
        <v>114</v>
      </c>
      <c r="K563" t="n">
        <v>1</v>
      </c>
      <c r="L563" t="n">
        <v>1259</v>
      </c>
      <c r="M563" t="n">
        <v>125.9</v>
      </c>
      <c r="N563">
        <f>VLOOKUP(J563,Products!$A$2:$C$49,3,FALSE)</f>
        <v/>
      </c>
      <c r="O563">
        <f>K563*L563-M563</f>
        <v/>
      </c>
      <c r="P563">
        <f>TEXT(B563,"yyyy-mm")</f>
        <v/>
      </c>
      <c r="Q563">
        <f>IF(O563&gt;=3000,"Large","Small")</f>
        <v/>
      </c>
      <c r="R563">
        <f>INDEX(Products!$F$2:$F$49,MATCH(J563,Products!$A$2:$A$49,0))</f>
        <v/>
      </c>
      <c r="S563">
        <f>WEEKDAY(B563,2)</f>
        <v/>
      </c>
    </row>
    <row r="564">
      <c r="A564" t="n">
        <v>509611</v>
      </c>
      <c r="B564" s="6" t="n">
        <v>45939</v>
      </c>
      <c r="C564" t="n">
        <v>16668</v>
      </c>
      <c r="D564" t="inlineStr">
        <is>
          <t>Jaipur</t>
        </is>
      </c>
      <c r="E564" t="inlineStr">
        <is>
          <t>North</t>
        </is>
      </c>
      <c r="F564" t="inlineStr">
        <is>
          <t>Organic Search</t>
        </is>
      </c>
      <c r="G564" t="inlineStr">
        <is>
          <t>Mobile App</t>
        </is>
      </c>
      <c r="H564" t="inlineStr">
        <is>
          <t>Cash on Delivery</t>
        </is>
      </c>
      <c r="I564" t="inlineStr">
        <is>
          <t>Delivered</t>
        </is>
      </c>
      <c r="J564" t="n">
        <v>129</v>
      </c>
      <c r="K564" t="n">
        <v>1</v>
      </c>
      <c r="L564" t="n">
        <v>576</v>
      </c>
      <c r="M564" t="n">
        <v>57.6</v>
      </c>
      <c r="N564">
        <f>VLOOKUP(J564,Products!$A$2:$C$49,3,FALSE)</f>
        <v/>
      </c>
      <c r="O564">
        <f>K564*L564-M564</f>
        <v/>
      </c>
      <c r="P564">
        <f>TEXT(B564,"yyyy-mm")</f>
        <v/>
      </c>
      <c r="Q564">
        <f>IF(O564&gt;=3000,"Large","Small")</f>
        <v/>
      </c>
      <c r="R564">
        <f>INDEX(Products!$F$2:$F$49,MATCH(J564,Products!$A$2:$A$49,0))</f>
        <v/>
      </c>
      <c r="S564">
        <f>WEEKDAY(B564,2)</f>
        <v/>
      </c>
    </row>
    <row r="565">
      <c r="A565" t="n">
        <v>509612</v>
      </c>
      <c r="B565" s="6" t="n">
        <v>45939</v>
      </c>
      <c r="C565" t="n">
        <v>13833</v>
      </c>
      <c r="D565" t="inlineStr">
        <is>
          <t>Ahmedabad</t>
        </is>
      </c>
      <c r="E565" t="inlineStr">
        <is>
          <t>West</t>
        </is>
      </c>
      <c r="F565" t="inlineStr">
        <is>
          <t>Organic Search</t>
        </is>
      </c>
      <c r="G565" t="inlineStr">
        <is>
          <t>Mobile Web</t>
        </is>
      </c>
      <c r="H565" t="inlineStr">
        <is>
          <t>UPI</t>
        </is>
      </c>
      <c r="I565" t="inlineStr">
        <is>
          <t>Delivered</t>
        </is>
      </c>
      <c r="J565" t="n">
        <v>141</v>
      </c>
      <c r="K565" t="n">
        <v>3</v>
      </c>
      <c r="L565" t="n">
        <v>261</v>
      </c>
      <c r="M565" t="n">
        <v>0</v>
      </c>
      <c r="N565">
        <f>VLOOKUP(J565,Products!$A$2:$C$49,3,FALSE)</f>
        <v/>
      </c>
      <c r="O565">
        <f>K565*L565-M565</f>
        <v/>
      </c>
      <c r="P565">
        <f>TEXT(B565,"yyyy-mm")</f>
        <v/>
      </c>
      <c r="Q565">
        <f>IF(O565&gt;=3000,"Large","Small")</f>
        <v/>
      </c>
      <c r="R565">
        <f>INDEX(Products!$F$2:$F$49,MATCH(J565,Products!$A$2:$A$49,0))</f>
        <v/>
      </c>
      <c r="S565">
        <f>WEEKDAY(B565,2)</f>
        <v/>
      </c>
    </row>
    <row r="566">
      <c r="A566" t="n">
        <v>509612</v>
      </c>
      <c r="B566" s="6" t="n">
        <v>45939</v>
      </c>
      <c r="C566" t="n">
        <v>13833</v>
      </c>
      <c r="D566" t="inlineStr">
        <is>
          <t>Ahmedabad</t>
        </is>
      </c>
      <c r="E566" t="inlineStr">
        <is>
          <t>West</t>
        </is>
      </c>
      <c r="F566" t="inlineStr">
        <is>
          <t>Organic Search</t>
        </is>
      </c>
      <c r="G566" t="inlineStr">
        <is>
          <t>Mobile Web</t>
        </is>
      </c>
      <c r="H566" t="inlineStr">
        <is>
          <t>UPI</t>
        </is>
      </c>
      <c r="I566" t="inlineStr">
        <is>
          <t>Delivered</t>
        </is>
      </c>
      <c r="J566" t="n">
        <v>112</v>
      </c>
      <c r="K566" t="n">
        <v>1</v>
      </c>
      <c r="L566" t="n">
        <v>1574</v>
      </c>
      <c r="M566" t="n">
        <v>0</v>
      </c>
      <c r="N566">
        <f>VLOOKUP(J566,Products!$A$2:$C$49,3,FALSE)</f>
        <v/>
      </c>
      <c r="O566">
        <f>K566*L566-M566</f>
        <v/>
      </c>
      <c r="P566">
        <f>TEXT(B566,"yyyy-mm")</f>
        <v/>
      </c>
      <c r="Q566">
        <f>IF(O566&gt;=3000,"Large","Small")</f>
        <v/>
      </c>
      <c r="R566">
        <f>INDEX(Products!$F$2:$F$49,MATCH(J566,Products!$A$2:$A$49,0))</f>
        <v/>
      </c>
      <c r="S566">
        <f>WEEKDAY(B566,2)</f>
        <v/>
      </c>
    </row>
    <row r="567">
      <c r="A567" t="n">
        <v>509612</v>
      </c>
      <c r="B567" s="6" t="n">
        <v>45939</v>
      </c>
      <c r="C567" t="n">
        <v>13833</v>
      </c>
      <c r="D567" t="inlineStr">
        <is>
          <t>Ahmedabad</t>
        </is>
      </c>
      <c r="E567" t="inlineStr">
        <is>
          <t>West</t>
        </is>
      </c>
      <c r="F567" t="inlineStr">
        <is>
          <t>Organic Search</t>
        </is>
      </c>
      <c r="G567" t="inlineStr">
        <is>
          <t>Mobile Web</t>
        </is>
      </c>
      <c r="H567" t="inlineStr">
        <is>
          <t>UPI</t>
        </is>
      </c>
      <c r="I567" t="inlineStr">
        <is>
          <t>Delivered</t>
        </is>
      </c>
      <c r="J567" t="n">
        <v>115</v>
      </c>
      <c r="K567" t="n">
        <v>2</v>
      </c>
      <c r="L567" t="n">
        <v>4199</v>
      </c>
      <c r="M567" t="n">
        <v>0</v>
      </c>
      <c r="N567">
        <f>VLOOKUP(J567,Products!$A$2:$C$49,3,FALSE)</f>
        <v/>
      </c>
      <c r="O567">
        <f>K567*L567-M567</f>
        <v/>
      </c>
      <c r="P567">
        <f>TEXT(B567,"yyyy-mm")</f>
        <v/>
      </c>
      <c r="Q567">
        <f>IF(O567&gt;=3000,"Large","Small")</f>
        <v/>
      </c>
      <c r="R567">
        <f>INDEX(Products!$F$2:$F$49,MATCH(J567,Products!$A$2:$A$49,0))</f>
        <v/>
      </c>
      <c r="S567">
        <f>WEEKDAY(B567,2)</f>
        <v/>
      </c>
    </row>
    <row r="568">
      <c r="A568" t="n">
        <v>509612</v>
      </c>
      <c r="B568" s="6" t="n">
        <v>45939</v>
      </c>
      <c r="C568" t="n">
        <v>13833</v>
      </c>
      <c r="D568" t="inlineStr">
        <is>
          <t>Ahmedabad</t>
        </is>
      </c>
      <c r="E568" t="inlineStr">
        <is>
          <t>West</t>
        </is>
      </c>
      <c r="F568" t="inlineStr">
        <is>
          <t>Organic Search</t>
        </is>
      </c>
      <c r="G568" t="inlineStr">
        <is>
          <t>Mobile Web</t>
        </is>
      </c>
      <c r="H568" t="inlineStr">
        <is>
          <t>UPI</t>
        </is>
      </c>
      <c r="I568" t="inlineStr">
        <is>
          <t>Delivered</t>
        </is>
      </c>
      <c r="J568" t="n">
        <v>111</v>
      </c>
      <c r="K568" t="n">
        <v>1</v>
      </c>
      <c r="L568" t="n">
        <v>524</v>
      </c>
      <c r="M568" t="n">
        <v>0</v>
      </c>
      <c r="N568">
        <f>VLOOKUP(J568,Products!$A$2:$C$49,3,FALSE)</f>
        <v/>
      </c>
      <c r="O568">
        <f>K568*L568-M568</f>
        <v/>
      </c>
      <c r="P568">
        <f>TEXT(B568,"yyyy-mm")</f>
        <v/>
      </c>
      <c r="Q568">
        <f>IF(O568&gt;=3000,"Large","Small")</f>
        <v/>
      </c>
      <c r="R568">
        <f>INDEX(Products!$F$2:$F$49,MATCH(J568,Products!$A$2:$A$49,0))</f>
        <v/>
      </c>
      <c r="S568">
        <f>WEEKDAY(B568,2)</f>
        <v/>
      </c>
    </row>
    <row r="569">
      <c r="A569" t="n">
        <v>509613</v>
      </c>
      <c r="B569" s="6" t="n">
        <v>45939</v>
      </c>
      <c r="C569" t="n">
        <v>15633</v>
      </c>
      <c r="D569" t="inlineStr">
        <is>
          <t>Bengaluru</t>
        </is>
      </c>
      <c r="E569" t="inlineStr">
        <is>
          <t>South</t>
        </is>
      </c>
      <c r="F569" t="inlineStr">
        <is>
          <t>Organic Search</t>
        </is>
      </c>
      <c r="G569" t="inlineStr">
        <is>
          <t>Mobile App</t>
        </is>
      </c>
      <c r="H569" t="inlineStr">
        <is>
          <t>UPI</t>
        </is>
      </c>
      <c r="I569" t="inlineStr">
        <is>
          <t>Delivered</t>
        </is>
      </c>
      <c r="J569" t="n">
        <v>126</v>
      </c>
      <c r="K569" t="n">
        <v>2</v>
      </c>
      <c r="L569" t="n">
        <v>471</v>
      </c>
      <c r="M569" t="n">
        <v>94.2</v>
      </c>
      <c r="N569">
        <f>VLOOKUP(J569,Products!$A$2:$C$49,3,FALSE)</f>
        <v/>
      </c>
      <c r="O569">
        <f>K569*L569-M569</f>
        <v/>
      </c>
      <c r="P569">
        <f>TEXT(B569,"yyyy-mm")</f>
        <v/>
      </c>
      <c r="Q569">
        <f>IF(O569&gt;=3000,"Large","Small")</f>
        <v/>
      </c>
      <c r="R569">
        <f>INDEX(Products!$F$2:$F$49,MATCH(J569,Products!$A$2:$A$49,0))</f>
        <v/>
      </c>
      <c r="S569">
        <f>WEEKDAY(B569,2)</f>
        <v/>
      </c>
    </row>
    <row r="570">
      <c r="A570" t="n">
        <v>509614</v>
      </c>
      <c r="B570" s="6" t="n">
        <v>45939</v>
      </c>
      <c r="C570" t="n">
        <v>11402</v>
      </c>
      <c r="D570" t="inlineStr">
        <is>
          <t>Hyderabad</t>
        </is>
      </c>
      <c r="E570" t="inlineStr">
        <is>
          <t>South</t>
        </is>
      </c>
      <c r="F570" t="inlineStr">
        <is>
          <t>Paid Search</t>
        </is>
      </c>
      <c r="G570" t="inlineStr">
        <is>
          <t>Mobile App</t>
        </is>
      </c>
      <c r="H570" t="inlineStr">
        <is>
          <t>UPI</t>
        </is>
      </c>
      <c r="I570" t="inlineStr">
        <is>
          <t>Delivered</t>
        </is>
      </c>
      <c r="J570" t="n">
        <v>107</v>
      </c>
      <c r="K570" t="n">
        <v>1</v>
      </c>
      <c r="L570" t="n">
        <v>1259</v>
      </c>
      <c r="M570" t="n">
        <v>0</v>
      </c>
      <c r="N570">
        <f>VLOOKUP(J570,Products!$A$2:$C$49,3,FALSE)</f>
        <v/>
      </c>
      <c r="O570">
        <f>K570*L570-M570</f>
        <v/>
      </c>
      <c r="P570">
        <f>TEXT(B570,"yyyy-mm")</f>
        <v/>
      </c>
      <c r="Q570">
        <f>IF(O570&gt;=3000,"Large","Small")</f>
        <v/>
      </c>
      <c r="R570">
        <f>INDEX(Products!$F$2:$F$49,MATCH(J570,Products!$A$2:$A$49,0))</f>
        <v/>
      </c>
      <c r="S570">
        <f>WEEKDAY(B570,2)</f>
        <v/>
      </c>
    </row>
    <row r="571">
      <c r="A571" t="n">
        <v>509614</v>
      </c>
      <c r="B571" s="6" t="n">
        <v>45939</v>
      </c>
      <c r="C571" t="n">
        <v>11402</v>
      </c>
      <c r="D571" t="inlineStr">
        <is>
          <t>Hyderabad</t>
        </is>
      </c>
      <c r="E571" t="inlineStr">
        <is>
          <t>South</t>
        </is>
      </c>
      <c r="F571" t="inlineStr">
        <is>
          <t>Paid Search</t>
        </is>
      </c>
      <c r="G571" t="inlineStr">
        <is>
          <t>Mobile App</t>
        </is>
      </c>
      <c r="H571" t="inlineStr">
        <is>
          <t>UPI</t>
        </is>
      </c>
      <c r="I571" t="inlineStr">
        <is>
          <t>Delivered</t>
        </is>
      </c>
      <c r="J571" t="n">
        <v>129</v>
      </c>
      <c r="K571" t="n">
        <v>1</v>
      </c>
      <c r="L571" t="n">
        <v>576</v>
      </c>
      <c r="M571" t="n">
        <v>0</v>
      </c>
      <c r="N571">
        <f>VLOOKUP(J571,Products!$A$2:$C$49,3,FALSE)</f>
        <v/>
      </c>
      <c r="O571">
        <f>K571*L571-M571</f>
        <v/>
      </c>
      <c r="P571">
        <f>TEXT(B571,"yyyy-mm")</f>
        <v/>
      </c>
      <c r="Q571">
        <f>IF(O571&gt;=3000,"Large","Small")</f>
        <v/>
      </c>
      <c r="R571">
        <f>INDEX(Products!$F$2:$F$49,MATCH(J571,Products!$A$2:$A$49,0))</f>
        <v/>
      </c>
      <c r="S571">
        <f>WEEKDAY(B571,2)</f>
        <v/>
      </c>
    </row>
    <row r="572">
      <c r="A572" t="n">
        <v>509615</v>
      </c>
      <c r="B572" s="6" t="n">
        <v>45939</v>
      </c>
      <c r="C572" t="n">
        <v>14205</v>
      </c>
      <c r="D572" t="inlineStr">
        <is>
          <t>Pune</t>
        </is>
      </c>
      <c r="E572" t="inlineStr">
        <is>
          <t>West</t>
        </is>
      </c>
      <c r="F572" t="inlineStr">
        <is>
          <t>Affiliate</t>
        </is>
      </c>
      <c r="G572" t="inlineStr">
        <is>
          <t>Mobile App</t>
        </is>
      </c>
      <c r="H572" t="inlineStr">
        <is>
          <t>UPI</t>
        </is>
      </c>
      <c r="I572" t="inlineStr">
        <is>
          <t>Delivered</t>
        </is>
      </c>
      <c r="J572" t="n">
        <v>112</v>
      </c>
      <c r="K572" t="n">
        <v>1</v>
      </c>
      <c r="L572" t="n">
        <v>1574</v>
      </c>
      <c r="M572" t="n">
        <v>0</v>
      </c>
      <c r="N572">
        <f>VLOOKUP(J572,Products!$A$2:$C$49,3,FALSE)</f>
        <v/>
      </c>
      <c r="O572">
        <f>K572*L572-M572</f>
        <v/>
      </c>
      <c r="P572">
        <f>TEXT(B572,"yyyy-mm")</f>
        <v/>
      </c>
      <c r="Q572">
        <f>IF(O572&gt;=3000,"Large","Small")</f>
        <v/>
      </c>
      <c r="R572">
        <f>INDEX(Products!$F$2:$F$49,MATCH(J572,Products!$A$2:$A$49,0))</f>
        <v/>
      </c>
      <c r="S572">
        <f>WEEKDAY(B572,2)</f>
        <v/>
      </c>
    </row>
    <row r="573">
      <c r="A573" t="n">
        <v>509615</v>
      </c>
      <c r="B573" s="6" t="n">
        <v>45939</v>
      </c>
      <c r="C573" t="n">
        <v>14205</v>
      </c>
      <c r="D573" t="inlineStr">
        <is>
          <t>Pune</t>
        </is>
      </c>
      <c r="E573" t="inlineStr">
        <is>
          <t>West</t>
        </is>
      </c>
      <c r="F573" t="inlineStr">
        <is>
          <t>Affiliate</t>
        </is>
      </c>
      <c r="G573" t="inlineStr">
        <is>
          <t>Mobile App</t>
        </is>
      </c>
      <c r="H573" t="inlineStr">
        <is>
          <t>UPI</t>
        </is>
      </c>
      <c r="I573" t="inlineStr">
        <is>
          <t>Delivered</t>
        </is>
      </c>
      <c r="J573" t="n">
        <v>129</v>
      </c>
      <c r="K573" t="n">
        <v>1</v>
      </c>
      <c r="L573" t="n">
        <v>576</v>
      </c>
      <c r="M573" t="n">
        <v>0</v>
      </c>
      <c r="N573">
        <f>VLOOKUP(J573,Products!$A$2:$C$49,3,FALSE)</f>
        <v/>
      </c>
      <c r="O573">
        <f>K573*L573-M573</f>
        <v/>
      </c>
      <c r="P573">
        <f>TEXT(B573,"yyyy-mm")</f>
        <v/>
      </c>
      <c r="Q573">
        <f>IF(O573&gt;=3000,"Large","Small")</f>
        <v/>
      </c>
      <c r="R573">
        <f>INDEX(Products!$F$2:$F$49,MATCH(J573,Products!$A$2:$A$49,0))</f>
        <v/>
      </c>
      <c r="S573">
        <f>WEEKDAY(B573,2)</f>
        <v/>
      </c>
    </row>
    <row r="574">
      <c r="A574" t="n">
        <v>509616</v>
      </c>
      <c r="B574" s="6" t="n">
        <v>45939</v>
      </c>
      <c r="C574" t="n">
        <v>11181</v>
      </c>
      <c r="D574" t="inlineStr">
        <is>
          <t>Bengaluru</t>
        </is>
      </c>
      <c r="E574" t="inlineStr">
        <is>
          <t>South</t>
        </is>
      </c>
      <c r="F574" t="inlineStr">
        <is>
          <t>Organic Search</t>
        </is>
      </c>
      <c r="G574" t="inlineStr">
        <is>
          <t>Desktop</t>
        </is>
      </c>
      <c r="H574" t="inlineStr">
        <is>
          <t>UPI</t>
        </is>
      </c>
      <c r="I574" t="inlineStr">
        <is>
          <t>Delivered</t>
        </is>
      </c>
      <c r="J574" t="n">
        <v>114</v>
      </c>
      <c r="K574" t="n">
        <v>1</v>
      </c>
      <c r="L574" t="n">
        <v>1259</v>
      </c>
      <c r="M574" t="n">
        <v>0</v>
      </c>
      <c r="N574">
        <f>VLOOKUP(J574,Products!$A$2:$C$49,3,FALSE)</f>
        <v/>
      </c>
      <c r="O574">
        <f>K574*L574-M574</f>
        <v/>
      </c>
      <c r="P574">
        <f>TEXT(B574,"yyyy-mm")</f>
        <v/>
      </c>
      <c r="Q574">
        <f>IF(O574&gt;=3000,"Large","Small")</f>
        <v/>
      </c>
      <c r="R574">
        <f>INDEX(Products!$F$2:$F$49,MATCH(J574,Products!$A$2:$A$49,0))</f>
        <v/>
      </c>
      <c r="S574">
        <f>WEEKDAY(B574,2)</f>
        <v/>
      </c>
    </row>
    <row r="575">
      <c r="A575" t="n">
        <v>509617</v>
      </c>
      <c r="B575" s="6" t="n">
        <v>45939</v>
      </c>
      <c r="C575" t="n">
        <v>11030</v>
      </c>
      <c r="D575" t="inlineStr">
        <is>
          <t>Gurugram</t>
        </is>
      </c>
      <c r="E575" t="inlineStr">
        <is>
          <t>North</t>
        </is>
      </c>
      <c r="F575" t="inlineStr">
        <is>
          <t>Referral</t>
        </is>
      </c>
      <c r="G575" t="inlineStr">
        <is>
          <t>Desktop</t>
        </is>
      </c>
      <c r="H575" t="inlineStr">
        <is>
          <t>Credit Card</t>
        </is>
      </c>
      <c r="I575" t="inlineStr">
        <is>
          <t>Delivered</t>
        </is>
      </c>
      <c r="J575" t="n">
        <v>138</v>
      </c>
      <c r="K575" t="n">
        <v>1</v>
      </c>
      <c r="L575" t="n">
        <v>419</v>
      </c>
      <c r="M575" t="n">
        <v>41.9</v>
      </c>
      <c r="N575">
        <f>VLOOKUP(J575,Products!$A$2:$C$49,3,FALSE)</f>
        <v/>
      </c>
      <c r="O575">
        <f>K575*L575-M575</f>
        <v/>
      </c>
      <c r="P575">
        <f>TEXT(B575,"yyyy-mm")</f>
        <v/>
      </c>
      <c r="Q575">
        <f>IF(O575&gt;=3000,"Large","Small")</f>
        <v/>
      </c>
      <c r="R575">
        <f>INDEX(Products!$F$2:$F$49,MATCH(J575,Products!$A$2:$A$49,0))</f>
        <v/>
      </c>
      <c r="S575">
        <f>WEEKDAY(B575,2)</f>
        <v/>
      </c>
    </row>
    <row r="576">
      <c r="A576" t="n">
        <v>509618</v>
      </c>
      <c r="B576" s="6" t="n">
        <v>45939</v>
      </c>
      <c r="C576" t="n">
        <v>15976</v>
      </c>
      <c r="D576" t="inlineStr">
        <is>
          <t>Indore</t>
        </is>
      </c>
      <c r="E576" t="inlineStr">
        <is>
          <t>West</t>
        </is>
      </c>
      <c r="F576" t="inlineStr">
        <is>
          <t>Paid Social</t>
        </is>
      </c>
      <c r="G576" t="inlineStr">
        <is>
          <t>Mobile App</t>
        </is>
      </c>
      <c r="H576" t="inlineStr">
        <is>
          <t>UPI</t>
        </is>
      </c>
      <c r="I576" t="inlineStr">
        <is>
          <t>Delivered</t>
        </is>
      </c>
      <c r="J576" t="n">
        <v>102</v>
      </c>
      <c r="K576" t="n">
        <v>1</v>
      </c>
      <c r="L576" t="n">
        <v>3674</v>
      </c>
      <c r="M576" t="n">
        <v>0</v>
      </c>
      <c r="N576">
        <f>VLOOKUP(J576,Products!$A$2:$C$49,3,FALSE)</f>
        <v/>
      </c>
      <c r="O576">
        <f>K576*L576-M576</f>
        <v/>
      </c>
      <c r="P576">
        <f>TEXT(B576,"yyyy-mm")</f>
        <v/>
      </c>
      <c r="Q576">
        <f>IF(O576&gt;=3000,"Large","Small")</f>
        <v/>
      </c>
      <c r="R576">
        <f>INDEX(Products!$F$2:$F$49,MATCH(J576,Products!$A$2:$A$49,0))</f>
        <v/>
      </c>
      <c r="S576">
        <f>WEEKDAY(B576,2)</f>
        <v/>
      </c>
    </row>
    <row r="577">
      <c r="A577" t="n">
        <v>509618</v>
      </c>
      <c r="B577" s="6" t="n">
        <v>45939</v>
      </c>
      <c r="C577" t="n">
        <v>15976</v>
      </c>
      <c r="D577" t="inlineStr">
        <is>
          <t>Indore</t>
        </is>
      </c>
      <c r="E577" t="inlineStr">
        <is>
          <t>West</t>
        </is>
      </c>
      <c r="F577" t="inlineStr">
        <is>
          <t>Paid Social</t>
        </is>
      </c>
      <c r="G577" t="inlineStr">
        <is>
          <t>Mobile App</t>
        </is>
      </c>
      <c r="H577" t="inlineStr">
        <is>
          <t>UPI</t>
        </is>
      </c>
      <c r="I577" t="inlineStr">
        <is>
          <t>Delivered</t>
        </is>
      </c>
      <c r="J577" t="n">
        <v>129</v>
      </c>
      <c r="K577" t="n">
        <v>1</v>
      </c>
      <c r="L577" t="n">
        <v>576</v>
      </c>
      <c r="M577" t="n">
        <v>0</v>
      </c>
      <c r="N577">
        <f>VLOOKUP(J577,Products!$A$2:$C$49,3,FALSE)</f>
        <v/>
      </c>
      <c r="O577">
        <f>K577*L577-M577</f>
        <v/>
      </c>
      <c r="P577">
        <f>TEXT(B577,"yyyy-mm")</f>
        <v/>
      </c>
      <c r="Q577">
        <f>IF(O577&gt;=3000,"Large","Small")</f>
        <v/>
      </c>
      <c r="R577">
        <f>INDEX(Products!$F$2:$F$49,MATCH(J577,Products!$A$2:$A$49,0))</f>
        <v/>
      </c>
      <c r="S577">
        <f>WEEKDAY(B577,2)</f>
        <v/>
      </c>
    </row>
    <row r="578">
      <c r="A578" t="n">
        <v>509619</v>
      </c>
      <c r="B578" s="6" t="n">
        <v>45939</v>
      </c>
      <c r="C578" t="n">
        <v>16743</v>
      </c>
      <c r="D578" t="inlineStr">
        <is>
          <t>Hyderabad</t>
        </is>
      </c>
      <c r="E578" t="inlineStr">
        <is>
          <t>South</t>
        </is>
      </c>
      <c r="F578" t="inlineStr">
        <is>
          <t>Referral</t>
        </is>
      </c>
      <c r="G578" t="inlineStr">
        <is>
          <t>Mobile Web</t>
        </is>
      </c>
      <c r="H578" t="inlineStr">
        <is>
          <t>Cash on Delivery</t>
        </is>
      </c>
      <c r="I578" t="inlineStr">
        <is>
          <t>Delivered</t>
        </is>
      </c>
      <c r="J578" t="n">
        <v>120</v>
      </c>
      <c r="K578" t="n">
        <v>1</v>
      </c>
      <c r="L578" t="n">
        <v>734</v>
      </c>
      <c r="M578" t="n">
        <v>110.1</v>
      </c>
      <c r="N578">
        <f>VLOOKUP(J578,Products!$A$2:$C$49,3,FALSE)</f>
        <v/>
      </c>
      <c r="O578">
        <f>K578*L578-M578</f>
        <v/>
      </c>
      <c r="P578">
        <f>TEXT(B578,"yyyy-mm")</f>
        <v/>
      </c>
      <c r="Q578">
        <f>IF(O578&gt;=3000,"Large","Small")</f>
        <v/>
      </c>
      <c r="R578">
        <f>INDEX(Products!$F$2:$F$49,MATCH(J578,Products!$A$2:$A$49,0))</f>
        <v/>
      </c>
      <c r="S578">
        <f>WEEKDAY(B578,2)</f>
        <v/>
      </c>
    </row>
    <row r="579">
      <c r="A579" t="n">
        <v>509619</v>
      </c>
      <c r="B579" s="6" t="n">
        <v>45939</v>
      </c>
      <c r="C579" t="n">
        <v>16743</v>
      </c>
      <c r="D579" t="inlineStr">
        <is>
          <t>Hyderabad</t>
        </is>
      </c>
      <c r="E579" t="inlineStr">
        <is>
          <t>South</t>
        </is>
      </c>
      <c r="F579" t="inlineStr">
        <is>
          <t>Referral</t>
        </is>
      </c>
      <c r="G579" t="inlineStr">
        <is>
          <t>Mobile Web</t>
        </is>
      </c>
      <c r="H579" t="inlineStr">
        <is>
          <t>Cash on Delivery</t>
        </is>
      </c>
      <c r="I579" t="inlineStr">
        <is>
          <t>Delivered</t>
        </is>
      </c>
      <c r="J579" t="n">
        <v>129</v>
      </c>
      <c r="K579" t="n">
        <v>1</v>
      </c>
      <c r="L579" t="n">
        <v>576</v>
      </c>
      <c r="M579" t="n">
        <v>86.40000000000001</v>
      </c>
      <c r="N579">
        <f>VLOOKUP(J579,Products!$A$2:$C$49,3,FALSE)</f>
        <v/>
      </c>
      <c r="O579">
        <f>K579*L579-M579</f>
        <v/>
      </c>
      <c r="P579">
        <f>TEXT(B579,"yyyy-mm")</f>
        <v/>
      </c>
      <c r="Q579">
        <f>IF(O579&gt;=3000,"Large","Small")</f>
        <v/>
      </c>
      <c r="R579">
        <f>INDEX(Products!$F$2:$F$49,MATCH(J579,Products!$A$2:$A$49,0))</f>
        <v/>
      </c>
      <c r="S579">
        <f>WEEKDAY(B579,2)</f>
        <v/>
      </c>
    </row>
    <row r="580">
      <c r="A580" t="n">
        <v>509620</v>
      </c>
      <c r="B580" s="6" t="n">
        <v>45939</v>
      </c>
      <c r="C580" t="n">
        <v>12255</v>
      </c>
      <c r="D580" t="inlineStr">
        <is>
          <t>Bengaluru</t>
        </is>
      </c>
      <c r="E580" t="inlineStr">
        <is>
          <t>South</t>
        </is>
      </c>
      <c r="F580" t="inlineStr">
        <is>
          <t>Paid Social</t>
        </is>
      </c>
      <c r="G580" t="inlineStr">
        <is>
          <t>Mobile Web</t>
        </is>
      </c>
      <c r="H580" t="inlineStr">
        <is>
          <t>Cash on Delivery</t>
        </is>
      </c>
      <c r="I580" t="inlineStr">
        <is>
          <t>Returned</t>
        </is>
      </c>
      <c r="J580" t="n">
        <v>125</v>
      </c>
      <c r="K580" t="n">
        <v>1</v>
      </c>
      <c r="L580" t="n">
        <v>1364</v>
      </c>
      <c r="M580" t="n">
        <v>0</v>
      </c>
      <c r="N580">
        <f>VLOOKUP(J580,Products!$A$2:$C$49,3,FALSE)</f>
        <v/>
      </c>
      <c r="O580">
        <f>K580*L580-M580</f>
        <v/>
      </c>
      <c r="P580">
        <f>TEXT(B580,"yyyy-mm")</f>
        <v/>
      </c>
      <c r="Q580">
        <f>IF(O580&gt;=3000,"Large","Small")</f>
        <v/>
      </c>
      <c r="R580">
        <f>INDEX(Products!$F$2:$F$49,MATCH(J580,Products!$A$2:$A$49,0))</f>
        <v/>
      </c>
      <c r="S580">
        <f>WEEKDAY(B580,2)</f>
        <v/>
      </c>
    </row>
    <row r="581">
      <c r="A581" t="n">
        <v>509620</v>
      </c>
      <c r="B581" s="6" t="n">
        <v>45939</v>
      </c>
      <c r="C581" t="n">
        <v>12255</v>
      </c>
      <c r="D581" t="inlineStr">
        <is>
          <t>Bengaluru</t>
        </is>
      </c>
      <c r="E581" t="inlineStr">
        <is>
          <t>South</t>
        </is>
      </c>
      <c r="F581" t="inlineStr">
        <is>
          <t>Paid Social</t>
        </is>
      </c>
      <c r="G581" t="inlineStr">
        <is>
          <t>Mobile Web</t>
        </is>
      </c>
      <c r="H581" t="inlineStr">
        <is>
          <t>Cash on Delivery</t>
        </is>
      </c>
      <c r="I581" t="inlineStr">
        <is>
          <t>Returned</t>
        </is>
      </c>
      <c r="J581" t="n">
        <v>106</v>
      </c>
      <c r="K581" t="n">
        <v>1</v>
      </c>
      <c r="L581" t="n">
        <v>1574</v>
      </c>
      <c r="M581" t="n">
        <v>0</v>
      </c>
      <c r="N581">
        <f>VLOOKUP(J581,Products!$A$2:$C$49,3,FALSE)</f>
        <v/>
      </c>
      <c r="O581">
        <f>K581*L581-M581</f>
        <v/>
      </c>
      <c r="P581">
        <f>TEXT(B581,"yyyy-mm")</f>
        <v/>
      </c>
      <c r="Q581">
        <f>IF(O581&gt;=3000,"Large","Small")</f>
        <v/>
      </c>
      <c r="R581">
        <f>INDEX(Products!$F$2:$F$49,MATCH(J581,Products!$A$2:$A$49,0))</f>
        <v/>
      </c>
      <c r="S581">
        <f>WEEKDAY(B581,2)</f>
        <v/>
      </c>
    </row>
    <row r="582">
      <c r="A582" t="n">
        <v>509620</v>
      </c>
      <c r="B582" s="6" t="n">
        <v>45939</v>
      </c>
      <c r="C582" t="n">
        <v>12255</v>
      </c>
      <c r="D582" t="inlineStr">
        <is>
          <t>Bengaluru</t>
        </is>
      </c>
      <c r="E582" t="inlineStr">
        <is>
          <t>South</t>
        </is>
      </c>
      <c r="F582" t="inlineStr">
        <is>
          <t>Paid Social</t>
        </is>
      </c>
      <c r="G582" t="inlineStr">
        <is>
          <t>Mobile Web</t>
        </is>
      </c>
      <c r="H582" t="inlineStr">
        <is>
          <t>Cash on Delivery</t>
        </is>
      </c>
      <c r="I582" t="inlineStr">
        <is>
          <t>Returned</t>
        </is>
      </c>
      <c r="J582" t="n">
        <v>107</v>
      </c>
      <c r="K582" t="n">
        <v>1</v>
      </c>
      <c r="L582" t="n">
        <v>1259</v>
      </c>
      <c r="M582" t="n">
        <v>0</v>
      </c>
      <c r="N582">
        <f>VLOOKUP(J582,Products!$A$2:$C$49,3,FALSE)</f>
        <v/>
      </c>
      <c r="O582">
        <f>K582*L582-M582</f>
        <v/>
      </c>
      <c r="P582">
        <f>TEXT(B582,"yyyy-mm")</f>
        <v/>
      </c>
      <c r="Q582">
        <f>IF(O582&gt;=3000,"Large","Small")</f>
        <v/>
      </c>
      <c r="R582">
        <f>INDEX(Products!$F$2:$F$49,MATCH(J582,Products!$A$2:$A$49,0))</f>
        <v/>
      </c>
      <c r="S582">
        <f>WEEKDAY(B582,2)</f>
        <v/>
      </c>
    </row>
    <row r="583">
      <c r="A583" t="n">
        <v>509621</v>
      </c>
      <c r="B583" s="6" t="n">
        <v>45939</v>
      </c>
      <c r="C583" t="n">
        <v>14370</v>
      </c>
      <c r="D583" t="inlineStr">
        <is>
          <t>Hyderabad</t>
        </is>
      </c>
      <c r="E583" t="inlineStr">
        <is>
          <t>South</t>
        </is>
      </c>
      <c r="F583" t="inlineStr">
        <is>
          <t>Paid Search</t>
        </is>
      </c>
      <c r="G583" t="inlineStr">
        <is>
          <t>Mobile Web</t>
        </is>
      </c>
      <c r="H583" t="inlineStr">
        <is>
          <t>Credit Card</t>
        </is>
      </c>
      <c r="I583" t="inlineStr">
        <is>
          <t>Returned</t>
        </is>
      </c>
      <c r="J583" t="n">
        <v>103</v>
      </c>
      <c r="K583" t="n">
        <v>1</v>
      </c>
      <c r="L583" t="n">
        <v>2624</v>
      </c>
      <c r="M583" t="n">
        <v>262.4</v>
      </c>
      <c r="N583">
        <f>VLOOKUP(J583,Products!$A$2:$C$49,3,FALSE)</f>
        <v/>
      </c>
      <c r="O583">
        <f>K583*L583-M583</f>
        <v/>
      </c>
      <c r="P583">
        <f>TEXT(B583,"yyyy-mm")</f>
        <v/>
      </c>
      <c r="Q583">
        <f>IF(O583&gt;=3000,"Large","Small")</f>
        <v/>
      </c>
      <c r="R583">
        <f>INDEX(Products!$F$2:$F$49,MATCH(J583,Products!$A$2:$A$49,0))</f>
        <v/>
      </c>
      <c r="S583">
        <f>WEEKDAY(B583,2)</f>
        <v/>
      </c>
    </row>
    <row r="584">
      <c r="A584" t="n">
        <v>509621</v>
      </c>
      <c r="B584" s="6" t="n">
        <v>45939</v>
      </c>
      <c r="C584" t="n">
        <v>14370</v>
      </c>
      <c r="D584" t="inlineStr">
        <is>
          <t>Hyderabad</t>
        </is>
      </c>
      <c r="E584" t="inlineStr">
        <is>
          <t>South</t>
        </is>
      </c>
      <c r="F584" t="inlineStr">
        <is>
          <t>Paid Search</t>
        </is>
      </c>
      <c r="G584" t="inlineStr">
        <is>
          <t>Mobile Web</t>
        </is>
      </c>
      <c r="H584" t="inlineStr">
        <is>
          <t>Credit Card</t>
        </is>
      </c>
      <c r="I584" t="inlineStr">
        <is>
          <t>Returned</t>
        </is>
      </c>
      <c r="J584" t="n">
        <v>136</v>
      </c>
      <c r="K584" t="n">
        <v>1</v>
      </c>
      <c r="L584" t="n">
        <v>944</v>
      </c>
      <c r="M584" t="n">
        <v>94.40000000000001</v>
      </c>
      <c r="N584">
        <f>VLOOKUP(J584,Products!$A$2:$C$49,3,FALSE)</f>
        <v/>
      </c>
      <c r="O584">
        <f>K584*L584-M584</f>
        <v/>
      </c>
      <c r="P584">
        <f>TEXT(B584,"yyyy-mm")</f>
        <v/>
      </c>
      <c r="Q584">
        <f>IF(O584&gt;=3000,"Large","Small")</f>
        <v/>
      </c>
      <c r="R584">
        <f>INDEX(Products!$F$2:$F$49,MATCH(J584,Products!$A$2:$A$49,0))</f>
        <v/>
      </c>
      <c r="S584">
        <f>WEEKDAY(B584,2)</f>
        <v/>
      </c>
    </row>
    <row r="585">
      <c r="A585" t="n">
        <v>509621</v>
      </c>
      <c r="B585" s="6" t="n">
        <v>45939</v>
      </c>
      <c r="C585" t="n">
        <v>14370</v>
      </c>
      <c r="D585" t="inlineStr">
        <is>
          <t>Hyderabad</t>
        </is>
      </c>
      <c r="E585" t="inlineStr">
        <is>
          <t>South</t>
        </is>
      </c>
      <c r="F585" t="inlineStr">
        <is>
          <t>Paid Search</t>
        </is>
      </c>
      <c r="G585" t="inlineStr">
        <is>
          <t>Mobile Web</t>
        </is>
      </c>
      <c r="H585" t="inlineStr">
        <is>
          <t>Credit Card</t>
        </is>
      </c>
      <c r="I585" t="inlineStr">
        <is>
          <t>Returned</t>
        </is>
      </c>
      <c r="J585" t="n">
        <v>142</v>
      </c>
      <c r="K585" t="n">
        <v>2</v>
      </c>
      <c r="L585" t="n">
        <v>839</v>
      </c>
      <c r="M585" t="n">
        <v>167.8</v>
      </c>
      <c r="N585">
        <f>VLOOKUP(J585,Products!$A$2:$C$49,3,FALSE)</f>
        <v/>
      </c>
      <c r="O585">
        <f>K585*L585-M585</f>
        <v/>
      </c>
      <c r="P585">
        <f>TEXT(B585,"yyyy-mm")</f>
        <v/>
      </c>
      <c r="Q585">
        <f>IF(O585&gt;=3000,"Large","Small")</f>
        <v/>
      </c>
      <c r="R585">
        <f>INDEX(Products!$F$2:$F$49,MATCH(J585,Products!$A$2:$A$49,0))</f>
        <v/>
      </c>
      <c r="S585">
        <f>WEEKDAY(B585,2)</f>
        <v/>
      </c>
    </row>
    <row r="586">
      <c r="A586" t="n">
        <v>509621</v>
      </c>
      <c r="B586" s="6" t="n">
        <v>45939</v>
      </c>
      <c r="C586" t="n">
        <v>14370</v>
      </c>
      <c r="D586" t="inlineStr">
        <is>
          <t>Hyderabad</t>
        </is>
      </c>
      <c r="E586" t="inlineStr">
        <is>
          <t>South</t>
        </is>
      </c>
      <c r="F586" t="inlineStr">
        <is>
          <t>Paid Search</t>
        </is>
      </c>
      <c r="G586" t="inlineStr">
        <is>
          <t>Mobile Web</t>
        </is>
      </c>
      <c r="H586" t="inlineStr">
        <is>
          <t>Credit Card</t>
        </is>
      </c>
      <c r="I586" t="inlineStr">
        <is>
          <t>Returned</t>
        </is>
      </c>
      <c r="J586" t="n">
        <v>124</v>
      </c>
      <c r="K586" t="n">
        <v>1</v>
      </c>
      <c r="L586" t="n">
        <v>1154</v>
      </c>
      <c r="M586" t="n">
        <v>115.4</v>
      </c>
      <c r="N586">
        <f>VLOOKUP(J586,Products!$A$2:$C$49,3,FALSE)</f>
        <v/>
      </c>
      <c r="O586">
        <f>K586*L586-M586</f>
        <v/>
      </c>
      <c r="P586">
        <f>TEXT(B586,"yyyy-mm")</f>
        <v/>
      </c>
      <c r="Q586">
        <f>IF(O586&gt;=3000,"Large","Small")</f>
        <v/>
      </c>
      <c r="R586">
        <f>INDEX(Products!$F$2:$F$49,MATCH(J586,Products!$A$2:$A$49,0))</f>
        <v/>
      </c>
      <c r="S586">
        <f>WEEKDAY(B586,2)</f>
        <v/>
      </c>
    </row>
    <row r="587">
      <c r="A587" t="n">
        <v>509622</v>
      </c>
      <c r="B587" s="6" t="n">
        <v>45939</v>
      </c>
      <c r="C587" t="n">
        <v>16737</v>
      </c>
      <c r="D587" t="inlineStr">
        <is>
          <t>Pune</t>
        </is>
      </c>
      <c r="E587" t="inlineStr">
        <is>
          <t>West</t>
        </is>
      </c>
      <c r="F587" t="inlineStr">
        <is>
          <t>Paid Social</t>
        </is>
      </c>
      <c r="G587" t="inlineStr">
        <is>
          <t>Desktop</t>
        </is>
      </c>
      <c r="H587" t="inlineStr">
        <is>
          <t>Credit Card</t>
        </is>
      </c>
      <c r="I587" t="inlineStr">
        <is>
          <t>Delivered</t>
        </is>
      </c>
      <c r="J587" t="n">
        <v>127</v>
      </c>
      <c r="K587" t="n">
        <v>1</v>
      </c>
      <c r="L587" t="n">
        <v>681</v>
      </c>
      <c r="M587" t="n">
        <v>102.15</v>
      </c>
      <c r="N587">
        <f>VLOOKUP(J587,Products!$A$2:$C$49,3,FALSE)</f>
        <v/>
      </c>
      <c r="O587">
        <f>K587*L587-M587</f>
        <v/>
      </c>
      <c r="P587">
        <f>TEXT(B587,"yyyy-mm")</f>
        <v/>
      </c>
      <c r="Q587">
        <f>IF(O587&gt;=3000,"Large","Small")</f>
        <v/>
      </c>
      <c r="R587">
        <f>INDEX(Products!$F$2:$F$49,MATCH(J587,Products!$A$2:$A$49,0))</f>
        <v/>
      </c>
      <c r="S587">
        <f>WEEKDAY(B587,2)</f>
        <v/>
      </c>
    </row>
    <row r="588">
      <c r="A588" t="n">
        <v>509622</v>
      </c>
      <c r="B588" s="6" t="n">
        <v>45939</v>
      </c>
      <c r="C588" t="n">
        <v>16737</v>
      </c>
      <c r="D588" t="inlineStr">
        <is>
          <t>Pune</t>
        </is>
      </c>
      <c r="E588" t="inlineStr">
        <is>
          <t>West</t>
        </is>
      </c>
      <c r="F588" t="inlineStr">
        <is>
          <t>Paid Social</t>
        </is>
      </c>
      <c r="G588" t="inlineStr">
        <is>
          <t>Desktop</t>
        </is>
      </c>
      <c r="H588" t="inlineStr">
        <is>
          <t>Credit Card</t>
        </is>
      </c>
      <c r="I588" t="inlineStr">
        <is>
          <t>Delivered</t>
        </is>
      </c>
      <c r="J588" t="n">
        <v>114</v>
      </c>
      <c r="K588" t="n">
        <v>1</v>
      </c>
      <c r="L588" t="n">
        <v>1259</v>
      </c>
      <c r="M588" t="n">
        <v>188.85</v>
      </c>
      <c r="N588">
        <f>VLOOKUP(J588,Products!$A$2:$C$49,3,FALSE)</f>
        <v/>
      </c>
      <c r="O588">
        <f>K588*L588-M588</f>
        <v/>
      </c>
      <c r="P588">
        <f>TEXT(B588,"yyyy-mm")</f>
        <v/>
      </c>
      <c r="Q588">
        <f>IF(O588&gt;=3000,"Large","Small")</f>
        <v/>
      </c>
      <c r="R588">
        <f>INDEX(Products!$F$2:$F$49,MATCH(J588,Products!$A$2:$A$49,0))</f>
        <v/>
      </c>
      <c r="S588">
        <f>WEEKDAY(B588,2)</f>
        <v/>
      </c>
    </row>
    <row r="589">
      <c r="A589" t="n">
        <v>509622</v>
      </c>
      <c r="B589" s="6" t="n">
        <v>45939</v>
      </c>
      <c r="C589" t="n">
        <v>16737</v>
      </c>
      <c r="D589" t="inlineStr">
        <is>
          <t>Pune</t>
        </is>
      </c>
      <c r="E589" t="inlineStr">
        <is>
          <t>West</t>
        </is>
      </c>
      <c r="F589" t="inlineStr">
        <is>
          <t>Paid Social</t>
        </is>
      </c>
      <c r="G589" t="inlineStr">
        <is>
          <t>Desktop</t>
        </is>
      </c>
      <c r="H589" t="inlineStr">
        <is>
          <t>Credit Card</t>
        </is>
      </c>
      <c r="I589" t="inlineStr">
        <is>
          <t>Delivered</t>
        </is>
      </c>
      <c r="J589" t="n">
        <v>104</v>
      </c>
      <c r="K589" t="n">
        <v>1</v>
      </c>
      <c r="L589" t="n">
        <v>5249</v>
      </c>
      <c r="M589" t="n">
        <v>787.35</v>
      </c>
      <c r="N589">
        <f>VLOOKUP(J589,Products!$A$2:$C$49,3,FALSE)</f>
        <v/>
      </c>
      <c r="O589">
        <f>K589*L589-M589</f>
        <v/>
      </c>
      <c r="P589">
        <f>TEXT(B589,"yyyy-mm")</f>
        <v/>
      </c>
      <c r="Q589">
        <f>IF(O589&gt;=3000,"Large","Small")</f>
        <v/>
      </c>
      <c r="R589">
        <f>INDEX(Products!$F$2:$F$49,MATCH(J589,Products!$A$2:$A$49,0))</f>
        <v/>
      </c>
      <c r="S589">
        <f>WEEKDAY(B589,2)</f>
        <v/>
      </c>
    </row>
    <row r="590">
      <c r="A590" t="n">
        <v>509623</v>
      </c>
      <c r="B590" s="6" t="n">
        <v>45939</v>
      </c>
      <c r="C590" t="n">
        <v>16673</v>
      </c>
      <c r="D590" t="inlineStr">
        <is>
          <t>Hyderabad</t>
        </is>
      </c>
      <c r="E590" t="inlineStr">
        <is>
          <t>South</t>
        </is>
      </c>
      <c r="F590" t="inlineStr">
        <is>
          <t>Affiliate</t>
        </is>
      </c>
      <c r="G590" t="inlineStr">
        <is>
          <t>Mobile Web</t>
        </is>
      </c>
      <c r="H590" t="inlineStr">
        <is>
          <t>UPI</t>
        </is>
      </c>
      <c r="I590" t="inlineStr">
        <is>
          <t>Delivered</t>
        </is>
      </c>
      <c r="J590" t="n">
        <v>112</v>
      </c>
      <c r="K590" t="n">
        <v>1</v>
      </c>
      <c r="L590" t="n">
        <v>1574</v>
      </c>
      <c r="M590" t="n">
        <v>236.1</v>
      </c>
      <c r="N590">
        <f>VLOOKUP(J590,Products!$A$2:$C$49,3,FALSE)</f>
        <v/>
      </c>
      <c r="O590">
        <f>K590*L590-M590</f>
        <v/>
      </c>
      <c r="P590">
        <f>TEXT(B590,"yyyy-mm")</f>
        <v/>
      </c>
      <c r="Q590">
        <f>IF(O590&gt;=3000,"Large","Small")</f>
        <v/>
      </c>
      <c r="R590">
        <f>INDEX(Products!$F$2:$F$49,MATCH(J590,Products!$A$2:$A$49,0))</f>
        <v/>
      </c>
      <c r="S590">
        <f>WEEKDAY(B590,2)</f>
        <v/>
      </c>
    </row>
    <row r="591">
      <c r="A591" t="n">
        <v>509624</v>
      </c>
      <c r="B591" s="6" t="n">
        <v>45939</v>
      </c>
      <c r="C591" t="n">
        <v>15225</v>
      </c>
      <c r="D591" t="inlineStr">
        <is>
          <t>Delhi</t>
        </is>
      </c>
      <c r="E591" t="inlineStr">
        <is>
          <t>North</t>
        </is>
      </c>
      <c r="F591" t="inlineStr">
        <is>
          <t>Affiliate</t>
        </is>
      </c>
      <c r="G591" t="inlineStr">
        <is>
          <t>Mobile Web</t>
        </is>
      </c>
      <c r="H591" t="inlineStr">
        <is>
          <t>UPI</t>
        </is>
      </c>
      <c r="I591" t="inlineStr">
        <is>
          <t>Delivered</t>
        </is>
      </c>
      <c r="J591" t="n">
        <v>108</v>
      </c>
      <c r="K591" t="n">
        <v>1</v>
      </c>
      <c r="L591" t="n">
        <v>419</v>
      </c>
      <c r="M591" t="n">
        <v>0</v>
      </c>
      <c r="N591">
        <f>VLOOKUP(J591,Products!$A$2:$C$49,3,FALSE)</f>
        <v/>
      </c>
      <c r="O591">
        <f>K591*L591-M591</f>
        <v/>
      </c>
      <c r="P591">
        <f>TEXT(B591,"yyyy-mm")</f>
        <v/>
      </c>
      <c r="Q591">
        <f>IF(O591&gt;=3000,"Large","Small")</f>
        <v/>
      </c>
      <c r="R591">
        <f>INDEX(Products!$F$2:$F$49,MATCH(J591,Products!$A$2:$A$49,0))</f>
        <v/>
      </c>
      <c r="S591">
        <f>WEEKDAY(B591,2)</f>
        <v/>
      </c>
    </row>
    <row r="592">
      <c r="A592" t="n">
        <v>509625</v>
      </c>
      <c r="B592" s="6" t="n">
        <v>45939</v>
      </c>
      <c r="C592" t="n">
        <v>13952</v>
      </c>
      <c r="D592" t="inlineStr">
        <is>
          <t>Hyderabad</t>
        </is>
      </c>
      <c r="E592" t="inlineStr">
        <is>
          <t>South</t>
        </is>
      </c>
      <c r="F592" t="inlineStr">
        <is>
          <t>Organic Search</t>
        </is>
      </c>
      <c r="G592" t="inlineStr">
        <is>
          <t>Mobile App</t>
        </is>
      </c>
      <c r="H592" t="inlineStr">
        <is>
          <t>UPI</t>
        </is>
      </c>
      <c r="I592" t="inlineStr">
        <is>
          <t>Delivered</t>
        </is>
      </c>
      <c r="J592" t="n">
        <v>114</v>
      </c>
      <c r="K592" t="n">
        <v>1</v>
      </c>
      <c r="L592" t="n">
        <v>1259</v>
      </c>
      <c r="M592" t="n">
        <v>0</v>
      </c>
      <c r="N592">
        <f>VLOOKUP(J592,Products!$A$2:$C$49,3,FALSE)</f>
        <v/>
      </c>
      <c r="O592">
        <f>K592*L592-M592</f>
        <v/>
      </c>
      <c r="P592">
        <f>TEXT(B592,"yyyy-mm")</f>
        <v/>
      </c>
      <c r="Q592">
        <f>IF(O592&gt;=3000,"Large","Small")</f>
        <v/>
      </c>
      <c r="R592">
        <f>INDEX(Products!$F$2:$F$49,MATCH(J592,Products!$A$2:$A$49,0))</f>
        <v/>
      </c>
      <c r="S592">
        <f>WEEKDAY(B592,2)</f>
        <v/>
      </c>
    </row>
    <row r="593">
      <c r="A593" t="n">
        <v>509625</v>
      </c>
      <c r="B593" s="6" t="n">
        <v>45939</v>
      </c>
      <c r="C593" t="n">
        <v>13952</v>
      </c>
      <c r="D593" t="inlineStr">
        <is>
          <t>Hyderabad</t>
        </is>
      </c>
      <c r="E593" t="inlineStr">
        <is>
          <t>South</t>
        </is>
      </c>
      <c r="F593" t="inlineStr">
        <is>
          <t>Organic Search</t>
        </is>
      </c>
      <c r="G593" t="inlineStr">
        <is>
          <t>Mobile App</t>
        </is>
      </c>
      <c r="H593" t="inlineStr">
        <is>
          <t>UPI</t>
        </is>
      </c>
      <c r="I593" t="inlineStr">
        <is>
          <t>Delivered</t>
        </is>
      </c>
      <c r="J593" t="n">
        <v>134</v>
      </c>
      <c r="K593" t="n">
        <v>1</v>
      </c>
      <c r="L593" t="n">
        <v>209</v>
      </c>
      <c r="M593" t="n">
        <v>0</v>
      </c>
      <c r="N593">
        <f>VLOOKUP(J593,Products!$A$2:$C$49,3,FALSE)</f>
        <v/>
      </c>
      <c r="O593">
        <f>K593*L593-M593</f>
        <v/>
      </c>
      <c r="P593">
        <f>TEXT(B593,"yyyy-mm")</f>
        <v/>
      </c>
      <c r="Q593">
        <f>IF(O593&gt;=3000,"Large","Small")</f>
        <v/>
      </c>
      <c r="R593">
        <f>INDEX(Products!$F$2:$F$49,MATCH(J593,Products!$A$2:$A$49,0))</f>
        <v/>
      </c>
      <c r="S593">
        <f>WEEKDAY(B593,2)</f>
        <v/>
      </c>
    </row>
    <row r="594">
      <c r="A594" t="n">
        <v>509625</v>
      </c>
      <c r="B594" s="6" t="n">
        <v>45939</v>
      </c>
      <c r="C594" t="n">
        <v>13952</v>
      </c>
      <c r="D594" t="inlineStr">
        <is>
          <t>Hyderabad</t>
        </is>
      </c>
      <c r="E594" t="inlineStr">
        <is>
          <t>South</t>
        </is>
      </c>
      <c r="F594" t="inlineStr">
        <is>
          <t>Organic Search</t>
        </is>
      </c>
      <c r="G594" t="inlineStr">
        <is>
          <t>Mobile App</t>
        </is>
      </c>
      <c r="H594" t="inlineStr">
        <is>
          <t>UPI</t>
        </is>
      </c>
      <c r="I594" t="inlineStr">
        <is>
          <t>Delivered</t>
        </is>
      </c>
      <c r="J594" t="n">
        <v>113</v>
      </c>
      <c r="K594" t="n">
        <v>1</v>
      </c>
      <c r="L594" t="n">
        <v>1364</v>
      </c>
      <c r="M594" t="n">
        <v>0</v>
      </c>
      <c r="N594">
        <f>VLOOKUP(J594,Products!$A$2:$C$49,3,FALSE)</f>
        <v/>
      </c>
      <c r="O594">
        <f>K594*L594-M594</f>
        <v/>
      </c>
      <c r="P594">
        <f>TEXT(B594,"yyyy-mm")</f>
        <v/>
      </c>
      <c r="Q594">
        <f>IF(O594&gt;=3000,"Large","Small")</f>
        <v/>
      </c>
      <c r="R594">
        <f>INDEX(Products!$F$2:$F$49,MATCH(J594,Products!$A$2:$A$49,0))</f>
        <v/>
      </c>
      <c r="S594">
        <f>WEEKDAY(B594,2)</f>
        <v/>
      </c>
    </row>
    <row r="595">
      <c r="A595" t="n">
        <v>509625</v>
      </c>
      <c r="B595" s="6" t="n">
        <v>45939</v>
      </c>
      <c r="C595" t="n">
        <v>13952</v>
      </c>
      <c r="D595" t="inlineStr">
        <is>
          <t>Hyderabad</t>
        </is>
      </c>
      <c r="E595" t="inlineStr">
        <is>
          <t>South</t>
        </is>
      </c>
      <c r="F595" t="inlineStr">
        <is>
          <t>Organic Search</t>
        </is>
      </c>
      <c r="G595" t="inlineStr">
        <is>
          <t>Mobile App</t>
        </is>
      </c>
      <c r="H595" t="inlineStr">
        <is>
          <t>UPI</t>
        </is>
      </c>
      <c r="I595" t="inlineStr">
        <is>
          <t>Delivered</t>
        </is>
      </c>
      <c r="J595" t="n">
        <v>129</v>
      </c>
      <c r="K595" t="n">
        <v>1</v>
      </c>
      <c r="L595" t="n">
        <v>576</v>
      </c>
      <c r="M595" t="n">
        <v>0</v>
      </c>
      <c r="N595">
        <f>VLOOKUP(J595,Products!$A$2:$C$49,3,FALSE)</f>
        <v/>
      </c>
      <c r="O595">
        <f>K595*L595-M595</f>
        <v/>
      </c>
      <c r="P595">
        <f>TEXT(B595,"yyyy-mm")</f>
        <v/>
      </c>
      <c r="Q595">
        <f>IF(O595&gt;=3000,"Large","Small")</f>
        <v/>
      </c>
      <c r="R595">
        <f>INDEX(Products!$F$2:$F$49,MATCH(J595,Products!$A$2:$A$49,0))</f>
        <v/>
      </c>
      <c r="S595">
        <f>WEEKDAY(B595,2)</f>
        <v/>
      </c>
    </row>
    <row r="596">
      <c r="A596" t="n">
        <v>509626</v>
      </c>
      <c r="B596" s="6" t="n">
        <v>45939</v>
      </c>
      <c r="C596" t="n">
        <v>16628</v>
      </c>
      <c r="D596" t="inlineStr">
        <is>
          <t>Delhi</t>
        </is>
      </c>
      <c r="E596" t="inlineStr">
        <is>
          <t>North</t>
        </is>
      </c>
      <c r="F596" t="inlineStr">
        <is>
          <t>Referral</t>
        </is>
      </c>
      <c r="G596" t="inlineStr">
        <is>
          <t>Mobile App</t>
        </is>
      </c>
      <c r="H596" t="inlineStr">
        <is>
          <t>UPI</t>
        </is>
      </c>
      <c r="I596" t="inlineStr">
        <is>
          <t>Delivered</t>
        </is>
      </c>
      <c r="J596" t="n">
        <v>137</v>
      </c>
      <c r="K596" t="n">
        <v>1</v>
      </c>
      <c r="L596" t="n">
        <v>261</v>
      </c>
      <c r="M596" t="n">
        <v>0</v>
      </c>
      <c r="N596">
        <f>VLOOKUP(J596,Products!$A$2:$C$49,3,FALSE)</f>
        <v/>
      </c>
      <c r="O596">
        <f>K596*L596-M596</f>
        <v/>
      </c>
      <c r="P596">
        <f>TEXT(B596,"yyyy-mm")</f>
        <v/>
      </c>
      <c r="Q596">
        <f>IF(O596&gt;=3000,"Large","Small")</f>
        <v/>
      </c>
      <c r="R596">
        <f>INDEX(Products!$F$2:$F$49,MATCH(J596,Products!$A$2:$A$49,0))</f>
        <v/>
      </c>
      <c r="S596">
        <f>WEEKDAY(B596,2)</f>
        <v/>
      </c>
    </row>
    <row r="597">
      <c r="A597" t="n">
        <v>509626</v>
      </c>
      <c r="B597" s="6" t="n">
        <v>45939</v>
      </c>
      <c r="C597" t="n">
        <v>16628</v>
      </c>
      <c r="D597" t="inlineStr">
        <is>
          <t>Delhi</t>
        </is>
      </c>
      <c r="E597" t="inlineStr">
        <is>
          <t>North</t>
        </is>
      </c>
      <c r="F597" t="inlineStr">
        <is>
          <t>Referral</t>
        </is>
      </c>
      <c r="G597" t="inlineStr">
        <is>
          <t>Mobile App</t>
        </is>
      </c>
      <c r="H597" t="inlineStr">
        <is>
          <t>UPI</t>
        </is>
      </c>
      <c r="I597" t="inlineStr">
        <is>
          <t>Delivered</t>
        </is>
      </c>
      <c r="J597" t="n">
        <v>129</v>
      </c>
      <c r="K597" t="n">
        <v>1</v>
      </c>
      <c r="L597" t="n">
        <v>576</v>
      </c>
      <c r="M597" t="n">
        <v>0</v>
      </c>
      <c r="N597">
        <f>VLOOKUP(J597,Products!$A$2:$C$49,3,FALSE)</f>
        <v/>
      </c>
      <c r="O597">
        <f>K597*L597-M597</f>
        <v/>
      </c>
      <c r="P597">
        <f>TEXT(B597,"yyyy-mm")</f>
        <v/>
      </c>
      <c r="Q597">
        <f>IF(O597&gt;=3000,"Large","Small")</f>
        <v/>
      </c>
      <c r="R597">
        <f>INDEX(Products!$F$2:$F$49,MATCH(J597,Products!$A$2:$A$49,0))</f>
        <v/>
      </c>
      <c r="S597">
        <f>WEEKDAY(B597,2)</f>
        <v/>
      </c>
    </row>
    <row r="598">
      <c r="A598" t="n">
        <v>509627</v>
      </c>
      <c r="B598" s="6" t="n">
        <v>45939</v>
      </c>
      <c r="C598" t="n">
        <v>15899</v>
      </c>
      <c r="D598" t="inlineStr">
        <is>
          <t>Pune</t>
        </is>
      </c>
      <c r="E598" t="inlineStr">
        <is>
          <t>West</t>
        </is>
      </c>
      <c r="F598" t="inlineStr">
        <is>
          <t>Organic Search</t>
        </is>
      </c>
      <c r="G598" t="inlineStr">
        <is>
          <t>Desktop</t>
        </is>
      </c>
      <c r="H598" t="inlineStr">
        <is>
          <t>Credit Card</t>
        </is>
      </c>
      <c r="I598" t="inlineStr">
        <is>
          <t>Delivered</t>
        </is>
      </c>
      <c r="J598" t="n">
        <v>134</v>
      </c>
      <c r="K598" t="n">
        <v>1</v>
      </c>
      <c r="L598" t="n">
        <v>209</v>
      </c>
      <c r="M598" t="n">
        <v>10.45</v>
      </c>
      <c r="N598">
        <f>VLOOKUP(J598,Products!$A$2:$C$49,3,FALSE)</f>
        <v/>
      </c>
      <c r="O598">
        <f>K598*L598-M598</f>
        <v/>
      </c>
      <c r="P598">
        <f>TEXT(B598,"yyyy-mm")</f>
        <v/>
      </c>
      <c r="Q598">
        <f>IF(O598&gt;=3000,"Large","Small")</f>
        <v/>
      </c>
      <c r="R598">
        <f>INDEX(Products!$F$2:$F$49,MATCH(J598,Products!$A$2:$A$49,0))</f>
        <v/>
      </c>
      <c r="S598">
        <f>WEEKDAY(B598,2)</f>
        <v/>
      </c>
    </row>
    <row r="599">
      <c r="A599" t="n">
        <v>509627</v>
      </c>
      <c r="B599" s="6" t="n">
        <v>45939</v>
      </c>
      <c r="C599" t="n">
        <v>15899</v>
      </c>
      <c r="D599" t="inlineStr">
        <is>
          <t>Pune</t>
        </is>
      </c>
      <c r="E599" t="inlineStr">
        <is>
          <t>West</t>
        </is>
      </c>
      <c r="F599" t="inlineStr">
        <is>
          <t>Organic Search</t>
        </is>
      </c>
      <c r="G599" t="inlineStr">
        <is>
          <t>Desktop</t>
        </is>
      </c>
      <c r="H599" t="inlineStr">
        <is>
          <t>Credit Card</t>
        </is>
      </c>
      <c r="I599" t="inlineStr">
        <is>
          <t>Delivered</t>
        </is>
      </c>
      <c r="J599" t="n">
        <v>143</v>
      </c>
      <c r="K599" t="n">
        <v>1</v>
      </c>
      <c r="L599" t="n">
        <v>839</v>
      </c>
      <c r="M599" t="n">
        <v>41.95</v>
      </c>
      <c r="N599">
        <f>VLOOKUP(J599,Products!$A$2:$C$49,3,FALSE)</f>
        <v/>
      </c>
      <c r="O599">
        <f>K599*L599-M599</f>
        <v/>
      </c>
      <c r="P599">
        <f>TEXT(B599,"yyyy-mm")</f>
        <v/>
      </c>
      <c r="Q599">
        <f>IF(O599&gt;=3000,"Large","Small")</f>
        <v/>
      </c>
      <c r="R599">
        <f>INDEX(Products!$F$2:$F$49,MATCH(J599,Products!$A$2:$A$49,0))</f>
        <v/>
      </c>
      <c r="S599">
        <f>WEEKDAY(B599,2)</f>
        <v/>
      </c>
    </row>
    <row r="600">
      <c r="A600" t="n">
        <v>509628</v>
      </c>
      <c r="B600" s="6" t="n">
        <v>45939</v>
      </c>
      <c r="C600" t="n">
        <v>13988</v>
      </c>
      <c r="D600" t="inlineStr">
        <is>
          <t>Mumbai</t>
        </is>
      </c>
      <c r="E600" t="inlineStr">
        <is>
          <t>West</t>
        </is>
      </c>
      <c r="F600" t="inlineStr">
        <is>
          <t>Organic Search</t>
        </is>
      </c>
      <c r="G600" t="inlineStr">
        <is>
          <t>Mobile App</t>
        </is>
      </c>
      <c r="H600" t="inlineStr">
        <is>
          <t>UPI</t>
        </is>
      </c>
      <c r="I600" t="inlineStr">
        <is>
          <t>Delivered</t>
        </is>
      </c>
      <c r="J600" t="n">
        <v>122</v>
      </c>
      <c r="K600" t="n">
        <v>1</v>
      </c>
      <c r="L600" t="n">
        <v>1994</v>
      </c>
      <c r="M600" t="n">
        <v>0</v>
      </c>
      <c r="N600">
        <f>VLOOKUP(J600,Products!$A$2:$C$49,3,FALSE)</f>
        <v/>
      </c>
      <c r="O600">
        <f>K600*L600-M600</f>
        <v/>
      </c>
      <c r="P600">
        <f>TEXT(B600,"yyyy-mm")</f>
        <v/>
      </c>
      <c r="Q600">
        <f>IF(O600&gt;=3000,"Large","Small")</f>
        <v/>
      </c>
      <c r="R600">
        <f>INDEX(Products!$F$2:$F$49,MATCH(J600,Products!$A$2:$A$49,0))</f>
        <v/>
      </c>
      <c r="S600">
        <f>WEEKDAY(B600,2)</f>
        <v/>
      </c>
    </row>
    <row r="601">
      <c r="A601" t="n">
        <v>509628</v>
      </c>
      <c r="B601" s="6" t="n">
        <v>45939</v>
      </c>
      <c r="C601" t="n">
        <v>13988</v>
      </c>
      <c r="D601" t="inlineStr">
        <is>
          <t>Mumbai</t>
        </is>
      </c>
      <c r="E601" t="inlineStr">
        <is>
          <t>West</t>
        </is>
      </c>
      <c r="F601" t="inlineStr">
        <is>
          <t>Organic Search</t>
        </is>
      </c>
      <c r="G601" t="inlineStr">
        <is>
          <t>Mobile App</t>
        </is>
      </c>
      <c r="H601" t="inlineStr">
        <is>
          <t>UPI</t>
        </is>
      </c>
      <c r="I601" t="inlineStr">
        <is>
          <t>Delivered</t>
        </is>
      </c>
      <c r="J601" t="n">
        <v>102</v>
      </c>
      <c r="K601" t="n">
        <v>1</v>
      </c>
      <c r="L601" t="n">
        <v>3674</v>
      </c>
      <c r="M601" t="n">
        <v>0</v>
      </c>
      <c r="N601">
        <f>VLOOKUP(J601,Products!$A$2:$C$49,3,FALSE)</f>
        <v/>
      </c>
      <c r="O601">
        <f>K601*L601-M601</f>
        <v/>
      </c>
      <c r="P601">
        <f>TEXT(B601,"yyyy-mm")</f>
        <v/>
      </c>
      <c r="Q601">
        <f>IF(O601&gt;=3000,"Large","Small")</f>
        <v/>
      </c>
      <c r="R601">
        <f>INDEX(Products!$F$2:$F$49,MATCH(J601,Products!$A$2:$A$49,0))</f>
        <v/>
      </c>
      <c r="S601">
        <f>WEEKDAY(B601,2)</f>
        <v/>
      </c>
    </row>
    <row r="602">
      <c r="A602" t="n">
        <v>509628</v>
      </c>
      <c r="B602" s="6" t="n">
        <v>45939</v>
      </c>
      <c r="C602" t="n">
        <v>13988</v>
      </c>
      <c r="D602" t="inlineStr">
        <is>
          <t>Mumbai</t>
        </is>
      </c>
      <c r="E602" t="inlineStr">
        <is>
          <t>West</t>
        </is>
      </c>
      <c r="F602" t="inlineStr">
        <is>
          <t>Organic Search</t>
        </is>
      </c>
      <c r="G602" t="inlineStr">
        <is>
          <t>Mobile App</t>
        </is>
      </c>
      <c r="H602" t="inlineStr">
        <is>
          <t>UPI</t>
        </is>
      </c>
      <c r="I602" t="inlineStr">
        <is>
          <t>Delivered</t>
        </is>
      </c>
      <c r="J602" t="n">
        <v>120</v>
      </c>
      <c r="K602" t="n">
        <v>3</v>
      </c>
      <c r="L602" t="n">
        <v>734</v>
      </c>
      <c r="M602" t="n">
        <v>0</v>
      </c>
      <c r="N602">
        <f>VLOOKUP(J602,Products!$A$2:$C$49,3,FALSE)</f>
        <v/>
      </c>
      <c r="O602">
        <f>K602*L602-M602</f>
        <v/>
      </c>
      <c r="P602">
        <f>TEXT(B602,"yyyy-mm")</f>
        <v/>
      </c>
      <c r="Q602">
        <f>IF(O602&gt;=3000,"Large","Small")</f>
        <v/>
      </c>
      <c r="R602">
        <f>INDEX(Products!$F$2:$F$49,MATCH(J602,Products!$A$2:$A$49,0))</f>
        <v/>
      </c>
      <c r="S602">
        <f>WEEKDAY(B602,2)</f>
        <v/>
      </c>
    </row>
    <row r="603">
      <c r="A603" t="n">
        <v>509629</v>
      </c>
      <c r="B603" s="6" t="n">
        <v>45939</v>
      </c>
      <c r="C603" t="n">
        <v>14545</v>
      </c>
      <c r="D603" t="inlineStr">
        <is>
          <t>Mumbai</t>
        </is>
      </c>
      <c r="E603" t="inlineStr">
        <is>
          <t>West</t>
        </is>
      </c>
      <c r="F603" t="inlineStr">
        <is>
          <t>Email</t>
        </is>
      </c>
      <c r="G603" t="inlineStr">
        <is>
          <t>Mobile App</t>
        </is>
      </c>
      <c r="H603" t="inlineStr">
        <is>
          <t>Debit Card</t>
        </is>
      </c>
      <c r="I603" t="inlineStr">
        <is>
          <t>Delivered</t>
        </is>
      </c>
      <c r="J603" t="n">
        <v>135</v>
      </c>
      <c r="K603" t="n">
        <v>1</v>
      </c>
      <c r="L603" t="n">
        <v>1574</v>
      </c>
      <c r="M603" t="n">
        <v>157.4</v>
      </c>
      <c r="N603">
        <f>VLOOKUP(J603,Products!$A$2:$C$49,3,FALSE)</f>
        <v/>
      </c>
      <c r="O603">
        <f>K603*L603-M603</f>
        <v/>
      </c>
      <c r="P603">
        <f>TEXT(B603,"yyyy-mm")</f>
        <v/>
      </c>
      <c r="Q603">
        <f>IF(O603&gt;=3000,"Large","Small")</f>
        <v/>
      </c>
      <c r="R603">
        <f>INDEX(Products!$F$2:$F$49,MATCH(J603,Products!$A$2:$A$49,0))</f>
        <v/>
      </c>
      <c r="S603">
        <f>WEEKDAY(B603,2)</f>
        <v/>
      </c>
    </row>
    <row r="604">
      <c r="A604" t="n">
        <v>509629</v>
      </c>
      <c r="B604" s="6" t="n">
        <v>45939</v>
      </c>
      <c r="C604" t="n">
        <v>14545</v>
      </c>
      <c r="D604" t="inlineStr">
        <is>
          <t>Mumbai</t>
        </is>
      </c>
      <c r="E604" t="inlineStr">
        <is>
          <t>West</t>
        </is>
      </c>
      <c r="F604" t="inlineStr">
        <is>
          <t>Email</t>
        </is>
      </c>
      <c r="G604" t="inlineStr">
        <is>
          <t>Mobile App</t>
        </is>
      </c>
      <c r="H604" t="inlineStr">
        <is>
          <t>Debit Card</t>
        </is>
      </c>
      <c r="I604" t="inlineStr">
        <is>
          <t>Delivered</t>
        </is>
      </c>
      <c r="J604" t="n">
        <v>106</v>
      </c>
      <c r="K604" t="n">
        <v>1</v>
      </c>
      <c r="L604" t="n">
        <v>1574</v>
      </c>
      <c r="M604" t="n">
        <v>157.4</v>
      </c>
      <c r="N604">
        <f>VLOOKUP(J604,Products!$A$2:$C$49,3,FALSE)</f>
        <v/>
      </c>
      <c r="O604">
        <f>K604*L604-M604</f>
        <v/>
      </c>
      <c r="P604">
        <f>TEXT(B604,"yyyy-mm")</f>
        <v/>
      </c>
      <c r="Q604">
        <f>IF(O604&gt;=3000,"Large","Small")</f>
        <v/>
      </c>
      <c r="R604">
        <f>INDEX(Products!$F$2:$F$49,MATCH(J604,Products!$A$2:$A$49,0))</f>
        <v/>
      </c>
      <c r="S604">
        <f>WEEKDAY(B604,2)</f>
        <v/>
      </c>
    </row>
    <row r="605">
      <c r="A605" t="n">
        <v>509629</v>
      </c>
      <c r="B605" s="6" t="n">
        <v>45939</v>
      </c>
      <c r="C605" t="n">
        <v>14545</v>
      </c>
      <c r="D605" t="inlineStr">
        <is>
          <t>Mumbai</t>
        </is>
      </c>
      <c r="E605" t="inlineStr">
        <is>
          <t>West</t>
        </is>
      </c>
      <c r="F605" t="inlineStr">
        <is>
          <t>Email</t>
        </is>
      </c>
      <c r="G605" t="inlineStr">
        <is>
          <t>Mobile App</t>
        </is>
      </c>
      <c r="H605" t="inlineStr">
        <is>
          <t>Debit Card</t>
        </is>
      </c>
      <c r="I605" t="inlineStr">
        <is>
          <t>Delivered</t>
        </is>
      </c>
      <c r="J605" t="n">
        <v>111</v>
      </c>
      <c r="K605" t="n">
        <v>2</v>
      </c>
      <c r="L605" t="n">
        <v>524</v>
      </c>
      <c r="M605" t="n">
        <v>104.8</v>
      </c>
      <c r="N605">
        <f>VLOOKUP(J605,Products!$A$2:$C$49,3,FALSE)</f>
        <v/>
      </c>
      <c r="O605">
        <f>K605*L605-M605</f>
        <v/>
      </c>
      <c r="P605">
        <f>TEXT(B605,"yyyy-mm")</f>
        <v/>
      </c>
      <c r="Q605">
        <f>IF(O605&gt;=3000,"Large","Small")</f>
        <v/>
      </c>
      <c r="R605">
        <f>INDEX(Products!$F$2:$F$49,MATCH(J605,Products!$A$2:$A$49,0))</f>
        <v/>
      </c>
      <c r="S605">
        <f>WEEKDAY(B605,2)</f>
        <v/>
      </c>
    </row>
    <row r="606">
      <c r="A606" t="n">
        <v>509630</v>
      </c>
      <c r="B606" s="6" t="n">
        <v>45939</v>
      </c>
      <c r="C606" t="n">
        <v>10289</v>
      </c>
      <c r="D606" t="inlineStr">
        <is>
          <t>Jaipur</t>
        </is>
      </c>
      <c r="E606" t="inlineStr">
        <is>
          <t>North</t>
        </is>
      </c>
      <c r="F606" t="inlineStr">
        <is>
          <t>Referral</t>
        </is>
      </c>
      <c r="G606" t="inlineStr">
        <is>
          <t>Desktop</t>
        </is>
      </c>
      <c r="H606" t="inlineStr">
        <is>
          <t>UPI</t>
        </is>
      </c>
      <c r="I606" t="inlineStr">
        <is>
          <t>Delivered</t>
        </is>
      </c>
      <c r="J606" t="n">
        <v>111</v>
      </c>
      <c r="K606" t="n">
        <v>1</v>
      </c>
      <c r="L606" t="n">
        <v>524</v>
      </c>
      <c r="M606" t="n">
        <v>0</v>
      </c>
      <c r="N606">
        <f>VLOOKUP(J606,Products!$A$2:$C$49,3,FALSE)</f>
        <v/>
      </c>
      <c r="O606">
        <f>K606*L606-M606</f>
        <v/>
      </c>
      <c r="P606">
        <f>TEXT(B606,"yyyy-mm")</f>
        <v/>
      </c>
      <c r="Q606">
        <f>IF(O606&gt;=3000,"Large","Small")</f>
        <v/>
      </c>
      <c r="R606">
        <f>INDEX(Products!$F$2:$F$49,MATCH(J606,Products!$A$2:$A$49,0))</f>
        <v/>
      </c>
      <c r="S606">
        <f>WEEKDAY(B606,2)</f>
        <v/>
      </c>
    </row>
    <row r="607">
      <c r="A607" t="n">
        <v>509631</v>
      </c>
      <c r="B607" s="6" t="n">
        <v>45939</v>
      </c>
      <c r="C607" t="n">
        <v>12928</v>
      </c>
      <c r="D607" t="inlineStr">
        <is>
          <t>Hyderabad</t>
        </is>
      </c>
      <c r="E607" t="inlineStr">
        <is>
          <t>South</t>
        </is>
      </c>
      <c r="F607" t="inlineStr">
        <is>
          <t>Organic Search</t>
        </is>
      </c>
      <c r="G607" t="inlineStr">
        <is>
          <t>Mobile App</t>
        </is>
      </c>
      <c r="H607" t="inlineStr">
        <is>
          <t>Cash on Delivery</t>
        </is>
      </c>
      <c r="I607" t="inlineStr">
        <is>
          <t>Delivered</t>
        </is>
      </c>
      <c r="J607" t="n">
        <v>111</v>
      </c>
      <c r="K607" t="n">
        <v>1</v>
      </c>
      <c r="L607" t="n">
        <v>524</v>
      </c>
      <c r="M607" t="n">
        <v>52.4</v>
      </c>
      <c r="N607">
        <f>VLOOKUP(J607,Products!$A$2:$C$49,3,FALSE)</f>
        <v/>
      </c>
      <c r="O607">
        <f>K607*L607-M607</f>
        <v/>
      </c>
      <c r="P607">
        <f>TEXT(B607,"yyyy-mm")</f>
        <v/>
      </c>
      <c r="Q607">
        <f>IF(O607&gt;=3000,"Large","Small")</f>
        <v/>
      </c>
      <c r="R607">
        <f>INDEX(Products!$F$2:$F$49,MATCH(J607,Products!$A$2:$A$49,0))</f>
        <v/>
      </c>
      <c r="S607">
        <f>WEEKDAY(B607,2)</f>
        <v/>
      </c>
    </row>
    <row r="608">
      <c r="A608" t="n">
        <v>509632</v>
      </c>
      <c r="B608" s="6" t="n">
        <v>45939</v>
      </c>
      <c r="C608" t="n">
        <v>15950</v>
      </c>
      <c r="D608" t="inlineStr">
        <is>
          <t>Chennai</t>
        </is>
      </c>
      <c r="E608" t="inlineStr">
        <is>
          <t>South</t>
        </is>
      </c>
      <c r="F608" t="inlineStr">
        <is>
          <t>Organic Search</t>
        </is>
      </c>
      <c r="G608" t="inlineStr">
        <is>
          <t>Desktop</t>
        </is>
      </c>
      <c r="H608" t="inlineStr">
        <is>
          <t>Debit Card</t>
        </is>
      </c>
      <c r="I608" t="inlineStr">
        <is>
          <t>Delivered</t>
        </is>
      </c>
      <c r="J608" t="n">
        <v>131</v>
      </c>
      <c r="K608" t="n">
        <v>1</v>
      </c>
      <c r="L608" t="n">
        <v>314</v>
      </c>
      <c r="M608" t="n">
        <v>0</v>
      </c>
      <c r="N608">
        <f>VLOOKUP(J608,Products!$A$2:$C$49,3,FALSE)</f>
        <v/>
      </c>
      <c r="O608">
        <f>K608*L608-M608</f>
        <v/>
      </c>
      <c r="P608">
        <f>TEXT(B608,"yyyy-mm")</f>
        <v/>
      </c>
      <c r="Q608">
        <f>IF(O608&gt;=3000,"Large","Small")</f>
        <v/>
      </c>
      <c r="R608">
        <f>INDEX(Products!$F$2:$F$49,MATCH(J608,Products!$A$2:$A$49,0))</f>
        <v/>
      </c>
      <c r="S608">
        <f>WEEKDAY(B608,2)</f>
        <v/>
      </c>
    </row>
    <row r="609">
      <c r="A609" t="n">
        <v>509632</v>
      </c>
      <c r="B609" s="6" t="n">
        <v>45939</v>
      </c>
      <c r="C609" t="n">
        <v>15950</v>
      </c>
      <c r="D609" t="inlineStr">
        <is>
          <t>Chennai</t>
        </is>
      </c>
      <c r="E609" t="inlineStr">
        <is>
          <t>South</t>
        </is>
      </c>
      <c r="F609" t="inlineStr">
        <is>
          <t>Organic Search</t>
        </is>
      </c>
      <c r="G609" t="inlineStr">
        <is>
          <t>Desktop</t>
        </is>
      </c>
      <c r="H609" t="inlineStr">
        <is>
          <t>Debit Card</t>
        </is>
      </c>
      <c r="I609" t="inlineStr">
        <is>
          <t>Delivered</t>
        </is>
      </c>
      <c r="J609" t="n">
        <v>113</v>
      </c>
      <c r="K609" t="n">
        <v>1</v>
      </c>
      <c r="L609" t="n">
        <v>1364</v>
      </c>
      <c r="M609" t="n">
        <v>0</v>
      </c>
      <c r="N609">
        <f>VLOOKUP(J609,Products!$A$2:$C$49,3,FALSE)</f>
        <v/>
      </c>
      <c r="O609">
        <f>K609*L609-M609</f>
        <v/>
      </c>
      <c r="P609">
        <f>TEXT(B609,"yyyy-mm")</f>
        <v/>
      </c>
      <c r="Q609">
        <f>IF(O609&gt;=3000,"Large","Small")</f>
        <v/>
      </c>
      <c r="R609">
        <f>INDEX(Products!$F$2:$F$49,MATCH(J609,Products!$A$2:$A$49,0))</f>
        <v/>
      </c>
      <c r="S609">
        <f>WEEKDAY(B609,2)</f>
        <v/>
      </c>
    </row>
    <row r="610">
      <c r="A610" t="n">
        <v>509632</v>
      </c>
      <c r="B610" s="6" t="n">
        <v>45939</v>
      </c>
      <c r="C610" t="n">
        <v>15950</v>
      </c>
      <c r="D610" t="inlineStr">
        <is>
          <t>Chennai</t>
        </is>
      </c>
      <c r="E610" t="inlineStr">
        <is>
          <t>South</t>
        </is>
      </c>
      <c r="F610" t="inlineStr">
        <is>
          <t>Organic Search</t>
        </is>
      </c>
      <c r="G610" t="inlineStr">
        <is>
          <t>Desktop</t>
        </is>
      </c>
      <c r="H610" t="inlineStr">
        <is>
          <t>Debit Card</t>
        </is>
      </c>
      <c r="I610" t="inlineStr">
        <is>
          <t>Delivered</t>
        </is>
      </c>
      <c r="J610" t="n">
        <v>102</v>
      </c>
      <c r="K610" t="n">
        <v>2</v>
      </c>
      <c r="L610" t="n">
        <v>3674</v>
      </c>
      <c r="M610" t="n">
        <v>0</v>
      </c>
      <c r="N610">
        <f>VLOOKUP(J610,Products!$A$2:$C$49,3,FALSE)</f>
        <v/>
      </c>
      <c r="O610">
        <f>K610*L610-M610</f>
        <v/>
      </c>
      <c r="P610">
        <f>TEXT(B610,"yyyy-mm")</f>
        <v/>
      </c>
      <c r="Q610">
        <f>IF(O610&gt;=3000,"Large","Small")</f>
        <v/>
      </c>
      <c r="R610">
        <f>INDEX(Products!$F$2:$F$49,MATCH(J610,Products!$A$2:$A$49,0))</f>
        <v/>
      </c>
      <c r="S610">
        <f>WEEKDAY(B610,2)</f>
        <v/>
      </c>
    </row>
    <row r="611">
      <c r="A611" t="n">
        <v>509633</v>
      </c>
      <c r="B611" s="6" t="n">
        <v>45939</v>
      </c>
      <c r="C611" t="n">
        <v>16689</v>
      </c>
      <c r="D611" t="inlineStr">
        <is>
          <t>Hyderabad</t>
        </is>
      </c>
      <c r="E611" t="inlineStr">
        <is>
          <t>South</t>
        </is>
      </c>
      <c r="F611" t="inlineStr">
        <is>
          <t>Affiliate</t>
        </is>
      </c>
      <c r="G611" t="inlineStr">
        <is>
          <t>Mobile App</t>
        </is>
      </c>
      <c r="H611" t="inlineStr">
        <is>
          <t>UPI</t>
        </is>
      </c>
      <c r="I611" t="inlineStr">
        <is>
          <t>Delivered</t>
        </is>
      </c>
      <c r="J611" t="n">
        <v>124</v>
      </c>
      <c r="K611" t="n">
        <v>1</v>
      </c>
      <c r="L611" t="n">
        <v>1154</v>
      </c>
      <c r="M611" t="n">
        <v>173.1</v>
      </c>
      <c r="N611">
        <f>VLOOKUP(J611,Products!$A$2:$C$49,3,FALSE)</f>
        <v/>
      </c>
      <c r="O611">
        <f>K611*L611-M611</f>
        <v/>
      </c>
      <c r="P611">
        <f>TEXT(B611,"yyyy-mm")</f>
        <v/>
      </c>
      <c r="Q611">
        <f>IF(O611&gt;=3000,"Large","Small")</f>
        <v/>
      </c>
      <c r="R611">
        <f>INDEX(Products!$F$2:$F$49,MATCH(J611,Products!$A$2:$A$49,0))</f>
        <v/>
      </c>
      <c r="S611">
        <f>WEEKDAY(B611,2)</f>
        <v/>
      </c>
    </row>
    <row r="612">
      <c r="A612" t="n">
        <v>509634</v>
      </c>
      <c r="B612" s="6" t="n">
        <v>45939</v>
      </c>
      <c r="C612" t="n">
        <v>16663</v>
      </c>
      <c r="D612" t="inlineStr">
        <is>
          <t>Chennai</t>
        </is>
      </c>
      <c r="E612" t="inlineStr">
        <is>
          <t>South</t>
        </is>
      </c>
      <c r="F612" t="inlineStr">
        <is>
          <t>Paid Social</t>
        </is>
      </c>
      <c r="G612" t="inlineStr">
        <is>
          <t>Mobile App</t>
        </is>
      </c>
      <c r="H612" t="inlineStr">
        <is>
          <t>Cash on Delivery</t>
        </is>
      </c>
      <c r="I612" t="inlineStr">
        <is>
          <t>Delivered</t>
        </is>
      </c>
      <c r="J612" t="n">
        <v>138</v>
      </c>
      <c r="K612" t="n">
        <v>2</v>
      </c>
      <c r="L612" t="n">
        <v>419</v>
      </c>
      <c r="M612" t="n">
        <v>125.7</v>
      </c>
      <c r="N612">
        <f>VLOOKUP(J612,Products!$A$2:$C$49,3,FALSE)</f>
        <v/>
      </c>
      <c r="O612">
        <f>K612*L612-M612</f>
        <v/>
      </c>
      <c r="P612">
        <f>TEXT(B612,"yyyy-mm")</f>
        <v/>
      </c>
      <c r="Q612">
        <f>IF(O612&gt;=3000,"Large","Small")</f>
        <v/>
      </c>
      <c r="R612">
        <f>INDEX(Products!$F$2:$F$49,MATCH(J612,Products!$A$2:$A$49,0))</f>
        <v/>
      </c>
      <c r="S612">
        <f>WEEKDAY(B612,2)</f>
        <v/>
      </c>
    </row>
    <row r="613">
      <c r="A613" t="n">
        <v>509634</v>
      </c>
      <c r="B613" s="6" t="n">
        <v>45939</v>
      </c>
      <c r="C613" t="n">
        <v>16663</v>
      </c>
      <c r="D613" t="inlineStr">
        <is>
          <t>Chennai</t>
        </is>
      </c>
      <c r="E613" t="inlineStr">
        <is>
          <t>South</t>
        </is>
      </c>
      <c r="F613" t="inlineStr">
        <is>
          <t>Paid Social</t>
        </is>
      </c>
      <c r="G613" t="inlineStr">
        <is>
          <t>Mobile App</t>
        </is>
      </c>
      <c r="H613" t="inlineStr">
        <is>
          <t>Cash on Delivery</t>
        </is>
      </c>
      <c r="I613" t="inlineStr">
        <is>
          <t>Delivered</t>
        </is>
      </c>
      <c r="J613" t="n">
        <v>123</v>
      </c>
      <c r="K613" t="n">
        <v>2</v>
      </c>
      <c r="L613" t="n">
        <v>3464</v>
      </c>
      <c r="M613" t="n">
        <v>1039.2</v>
      </c>
      <c r="N613">
        <f>VLOOKUP(J613,Products!$A$2:$C$49,3,FALSE)</f>
        <v/>
      </c>
      <c r="O613">
        <f>K613*L613-M613</f>
        <v/>
      </c>
      <c r="P613">
        <f>TEXT(B613,"yyyy-mm")</f>
        <v/>
      </c>
      <c r="Q613">
        <f>IF(O613&gt;=3000,"Large","Small")</f>
        <v/>
      </c>
      <c r="R613">
        <f>INDEX(Products!$F$2:$F$49,MATCH(J613,Products!$A$2:$A$49,0))</f>
        <v/>
      </c>
      <c r="S613">
        <f>WEEKDAY(B613,2)</f>
        <v/>
      </c>
    </row>
    <row r="614">
      <c r="A614" t="n">
        <v>509635</v>
      </c>
      <c r="B614" s="6" t="n">
        <v>45939</v>
      </c>
      <c r="C614" t="n">
        <v>16653</v>
      </c>
      <c r="D614" t="inlineStr">
        <is>
          <t>Chennai</t>
        </is>
      </c>
      <c r="E614" t="inlineStr">
        <is>
          <t>South</t>
        </is>
      </c>
      <c r="F614" t="inlineStr">
        <is>
          <t>Paid Search</t>
        </is>
      </c>
      <c r="G614" t="inlineStr">
        <is>
          <t>Mobile Web</t>
        </is>
      </c>
      <c r="H614" t="inlineStr">
        <is>
          <t>UPI</t>
        </is>
      </c>
      <c r="I614" t="inlineStr">
        <is>
          <t>Returned</t>
        </is>
      </c>
      <c r="J614" t="n">
        <v>133</v>
      </c>
      <c r="K614" t="n">
        <v>1</v>
      </c>
      <c r="L614" t="n">
        <v>419</v>
      </c>
      <c r="M614" t="n">
        <v>41.9</v>
      </c>
      <c r="N614">
        <f>VLOOKUP(J614,Products!$A$2:$C$49,3,FALSE)</f>
        <v/>
      </c>
      <c r="O614">
        <f>K614*L614-M614</f>
        <v/>
      </c>
      <c r="P614">
        <f>TEXT(B614,"yyyy-mm")</f>
        <v/>
      </c>
      <c r="Q614">
        <f>IF(O614&gt;=3000,"Large","Small")</f>
        <v/>
      </c>
      <c r="R614">
        <f>INDEX(Products!$F$2:$F$49,MATCH(J614,Products!$A$2:$A$49,0))</f>
        <v/>
      </c>
      <c r="S614">
        <f>WEEKDAY(B614,2)</f>
        <v/>
      </c>
    </row>
    <row r="615">
      <c r="A615" t="n">
        <v>509635</v>
      </c>
      <c r="B615" s="6" t="n">
        <v>45939</v>
      </c>
      <c r="C615" t="n">
        <v>16653</v>
      </c>
      <c r="D615" t="inlineStr">
        <is>
          <t>Chennai</t>
        </is>
      </c>
      <c r="E615" t="inlineStr">
        <is>
          <t>South</t>
        </is>
      </c>
      <c r="F615" t="inlineStr">
        <is>
          <t>Paid Search</t>
        </is>
      </c>
      <c r="G615" t="inlineStr">
        <is>
          <t>Mobile Web</t>
        </is>
      </c>
      <c r="H615" t="inlineStr">
        <is>
          <t>UPI</t>
        </is>
      </c>
      <c r="I615" t="inlineStr">
        <is>
          <t>Returned</t>
        </is>
      </c>
      <c r="J615" t="n">
        <v>129</v>
      </c>
      <c r="K615" t="n">
        <v>1</v>
      </c>
      <c r="L615" t="n">
        <v>576</v>
      </c>
      <c r="M615" t="n">
        <v>57.6</v>
      </c>
      <c r="N615">
        <f>VLOOKUP(J615,Products!$A$2:$C$49,3,FALSE)</f>
        <v/>
      </c>
      <c r="O615">
        <f>K615*L615-M615</f>
        <v/>
      </c>
      <c r="P615">
        <f>TEXT(B615,"yyyy-mm")</f>
        <v/>
      </c>
      <c r="Q615">
        <f>IF(O615&gt;=3000,"Large","Small")</f>
        <v/>
      </c>
      <c r="R615">
        <f>INDEX(Products!$F$2:$F$49,MATCH(J615,Products!$A$2:$A$49,0))</f>
        <v/>
      </c>
      <c r="S615">
        <f>WEEKDAY(B615,2)</f>
        <v/>
      </c>
    </row>
    <row r="616">
      <c r="A616" t="n">
        <v>509636</v>
      </c>
      <c r="B616" s="6" t="n">
        <v>45939</v>
      </c>
      <c r="C616" t="n">
        <v>16723</v>
      </c>
      <c r="D616" t="inlineStr">
        <is>
          <t>Lucknow</t>
        </is>
      </c>
      <c r="E616" t="inlineStr">
        <is>
          <t>North</t>
        </is>
      </c>
      <c r="F616" t="inlineStr">
        <is>
          <t>Paid Search</t>
        </is>
      </c>
      <c r="G616" t="inlineStr">
        <is>
          <t>Mobile App</t>
        </is>
      </c>
      <c r="H616" t="inlineStr">
        <is>
          <t>Credit Card</t>
        </is>
      </c>
      <c r="I616" t="inlineStr">
        <is>
          <t>Delivered</t>
        </is>
      </c>
      <c r="J616" t="n">
        <v>141</v>
      </c>
      <c r="K616" t="n">
        <v>1</v>
      </c>
      <c r="L616" t="n">
        <v>261</v>
      </c>
      <c r="M616" t="n">
        <v>0</v>
      </c>
      <c r="N616">
        <f>VLOOKUP(J616,Products!$A$2:$C$49,3,FALSE)</f>
        <v/>
      </c>
      <c r="O616">
        <f>K616*L616-M616</f>
        <v/>
      </c>
      <c r="P616">
        <f>TEXT(B616,"yyyy-mm")</f>
        <v/>
      </c>
      <c r="Q616">
        <f>IF(O616&gt;=3000,"Large","Small")</f>
        <v/>
      </c>
      <c r="R616">
        <f>INDEX(Products!$F$2:$F$49,MATCH(J616,Products!$A$2:$A$49,0))</f>
        <v/>
      </c>
      <c r="S616">
        <f>WEEKDAY(B616,2)</f>
        <v/>
      </c>
    </row>
    <row r="617">
      <c r="A617" t="n">
        <v>509637</v>
      </c>
      <c r="B617" s="6" t="n">
        <v>45939</v>
      </c>
      <c r="C617" t="n">
        <v>16617</v>
      </c>
      <c r="D617" t="inlineStr">
        <is>
          <t>Lucknow</t>
        </is>
      </c>
      <c r="E617" t="inlineStr">
        <is>
          <t>North</t>
        </is>
      </c>
      <c r="F617" t="inlineStr">
        <is>
          <t>Paid Search</t>
        </is>
      </c>
      <c r="G617" t="inlineStr">
        <is>
          <t>Mobile Web</t>
        </is>
      </c>
      <c r="H617" t="inlineStr">
        <is>
          <t>UPI</t>
        </is>
      </c>
      <c r="I617" t="inlineStr">
        <is>
          <t>Delivered</t>
        </is>
      </c>
      <c r="J617" t="n">
        <v>135</v>
      </c>
      <c r="K617" t="n">
        <v>1</v>
      </c>
      <c r="L617" t="n">
        <v>1574</v>
      </c>
      <c r="M617" t="n">
        <v>236.1</v>
      </c>
      <c r="N617">
        <f>VLOOKUP(J617,Products!$A$2:$C$49,3,FALSE)</f>
        <v/>
      </c>
      <c r="O617">
        <f>K617*L617-M617</f>
        <v/>
      </c>
      <c r="P617">
        <f>TEXT(B617,"yyyy-mm")</f>
        <v/>
      </c>
      <c r="Q617">
        <f>IF(O617&gt;=3000,"Large","Small")</f>
        <v/>
      </c>
      <c r="R617">
        <f>INDEX(Products!$F$2:$F$49,MATCH(J617,Products!$A$2:$A$49,0))</f>
        <v/>
      </c>
      <c r="S617">
        <f>WEEKDAY(B617,2)</f>
        <v/>
      </c>
    </row>
    <row r="618">
      <c r="A618" t="n">
        <v>509637</v>
      </c>
      <c r="B618" s="6" t="n">
        <v>45939</v>
      </c>
      <c r="C618" t="n">
        <v>16617</v>
      </c>
      <c r="D618" t="inlineStr">
        <is>
          <t>Lucknow</t>
        </is>
      </c>
      <c r="E618" t="inlineStr">
        <is>
          <t>North</t>
        </is>
      </c>
      <c r="F618" t="inlineStr">
        <is>
          <t>Paid Search</t>
        </is>
      </c>
      <c r="G618" t="inlineStr">
        <is>
          <t>Mobile Web</t>
        </is>
      </c>
      <c r="H618" t="inlineStr">
        <is>
          <t>UPI</t>
        </is>
      </c>
      <c r="I618" t="inlineStr">
        <is>
          <t>Delivered</t>
        </is>
      </c>
      <c r="J618" t="n">
        <v>132</v>
      </c>
      <c r="K618" t="n">
        <v>2</v>
      </c>
      <c r="L618" t="n">
        <v>471</v>
      </c>
      <c r="M618" t="n">
        <v>141.3</v>
      </c>
      <c r="N618">
        <f>VLOOKUP(J618,Products!$A$2:$C$49,3,FALSE)</f>
        <v/>
      </c>
      <c r="O618">
        <f>K618*L618-M618</f>
        <v/>
      </c>
      <c r="P618">
        <f>TEXT(B618,"yyyy-mm")</f>
        <v/>
      </c>
      <c r="Q618">
        <f>IF(O618&gt;=3000,"Large","Small")</f>
        <v/>
      </c>
      <c r="R618">
        <f>INDEX(Products!$F$2:$F$49,MATCH(J618,Products!$A$2:$A$49,0))</f>
        <v/>
      </c>
      <c r="S618">
        <f>WEEKDAY(B618,2)</f>
        <v/>
      </c>
    </row>
    <row r="619">
      <c r="A619" t="n">
        <v>509638</v>
      </c>
      <c r="B619" s="6" t="n">
        <v>45939</v>
      </c>
      <c r="C619" t="n">
        <v>16343</v>
      </c>
      <c r="D619" t="inlineStr">
        <is>
          <t>Kolkata</t>
        </is>
      </c>
      <c r="E619" t="inlineStr">
        <is>
          <t>East</t>
        </is>
      </c>
      <c r="F619" t="inlineStr">
        <is>
          <t>Referral</t>
        </is>
      </c>
      <c r="G619" t="inlineStr">
        <is>
          <t>Mobile Web</t>
        </is>
      </c>
      <c r="H619" t="inlineStr">
        <is>
          <t>Cash on Delivery</t>
        </is>
      </c>
      <c r="I619" t="inlineStr">
        <is>
          <t>Delivered</t>
        </is>
      </c>
      <c r="J619" t="n">
        <v>108</v>
      </c>
      <c r="K619" t="n">
        <v>1</v>
      </c>
      <c r="L619" t="n">
        <v>419</v>
      </c>
      <c r="M619" t="n">
        <v>41.9</v>
      </c>
      <c r="N619">
        <f>VLOOKUP(J619,Products!$A$2:$C$49,3,FALSE)</f>
        <v/>
      </c>
      <c r="O619">
        <f>K619*L619-M619</f>
        <v/>
      </c>
      <c r="P619">
        <f>TEXT(B619,"yyyy-mm")</f>
        <v/>
      </c>
      <c r="Q619">
        <f>IF(O619&gt;=3000,"Large","Small")</f>
        <v/>
      </c>
      <c r="R619">
        <f>INDEX(Products!$F$2:$F$49,MATCH(J619,Products!$A$2:$A$49,0))</f>
        <v/>
      </c>
      <c r="S619">
        <f>WEEKDAY(B619,2)</f>
        <v/>
      </c>
    </row>
    <row r="620">
      <c r="A620" t="n">
        <v>509638</v>
      </c>
      <c r="B620" s="6" t="n">
        <v>45939</v>
      </c>
      <c r="C620" t="n">
        <v>16343</v>
      </c>
      <c r="D620" t="inlineStr">
        <is>
          <t>Kolkata</t>
        </is>
      </c>
      <c r="E620" t="inlineStr">
        <is>
          <t>East</t>
        </is>
      </c>
      <c r="F620" t="inlineStr">
        <is>
          <t>Referral</t>
        </is>
      </c>
      <c r="G620" t="inlineStr">
        <is>
          <t>Mobile Web</t>
        </is>
      </c>
      <c r="H620" t="inlineStr">
        <is>
          <t>Cash on Delivery</t>
        </is>
      </c>
      <c r="I620" t="inlineStr">
        <is>
          <t>Delivered</t>
        </is>
      </c>
      <c r="J620" t="n">
        <v>129</v>
      </c>
      <c r="K620" t="n">
        <v>1</v>
      </c>
      <c r="L620" t="n">
        <v>576</v>
      </c>
      <c r="M620" t="n">
        <v>57.6</v>
      </c>
      <c r="N620">
        <f>VLOOKUP(J620,Products!$A$2:$C$49,3,FALSE)</f>
        <v/>
      </c>
      <c r="O620">
        <f>K620*L620-M620</f>
        <v/>
      </c>
      <c r="P620">
        <f>TEXT(B620,"yyyy-mm")</f>
        <v/>
      </c>
      <c r="Q620">
        <f>IF(O620&gt;=3000,"Large","Small")</f>
        <v/>
      </c>
      <c r="R620">
        <f>INDEX(Products!$F$2:$F$49,MATCH(J620,Products!$A$2:$A$49,0))</f>
        <v/>
      </c>
      <c r="S620">
        <f>WEEKDAY(B620,2)</f>
        <v/>
      </c>
    </row>
    <row r="621">
      <c r="A621" t="n">
        <v>509639</v>
      </c>
      <c r="B621" s="6" t="n">
        <v>45939</v>
      </c>
      <c r="C621" t="n">
        <v>15810</v>
      </c>
      <c r="D621" t="inlineStr">
        <is>
          <t>Bengaluru</t>
        </is>
      </c>
      <c r="E621" t="inlineStr">
        <is>
          <t>South</t>
        </is>
      </c>
      <c r="F621" t="inlineStr">
        <is>
          <t>Referral</t>
        </is>
      </c>
      <c r="G621" t="inlineStr">
        <is>
          <t>Mobile Web</t>
        </is>
      </c>
      <c r="H621" t="inlineStr">
        <is>
          <t>UPI</t>
        </is>
      </c>
      <c r="I621" t="inlineStr">
        <is>
          <t>Cancelled</t>
        </is>
      </c>
      <c r="J621" t="n">
        <v>122</v>
      </c>
      <c r="K621" t="n">
        <v>1</v>
      </c>
      <c r="L621" t="n">
        <v>1994</v>
      </c>
      <c r="M621" t="n">
        <v>0</v>
      </c>
      <c r="N621">
        <f>VLOOKUP(J621,Products!$A$2:$C$49,3,FALSE)</f>
        <v/>
      </c>
      <c r="O621">
        <f>K621*L621-M621</f>
        <v/>
      </c>
      <c r="P621">
        <f>TEXT(B621,"yyyy-mm")</f>
        <v/>
      </c>
      <c r="Q621">
        <f>IF(O621&gt;=3000,"Large","Small")</f>
        <v/>
      </c>
      <c r="R621">
        <f>INDEX(Products!$F$2:$F$49,MATCH(J621,Products!$A$2:$A$49,0))</f>
        <v/>
      </c>
      <c r="S621">
        <f>WEEKDAY(B621,2)</f>
        <v/>
      </c>
    </row>
    <row r="622">
      <c r="A622" t="n">
        <v>509639</v>
      </c>
      <c r="B622" s="6" t="n">
        <v>45939</v>
      </c>
      <c r="C622" t="n">
        <v>15810</v>
      </c>
      <c r="D622" t="inlineStr">
        <is>
          <t>Bengaluru</t>
        </is>
      </c>
      <c r="E622" t="inlineStr">
        <is>
          <t>South</t>
        </is>
      </c>
      <c r="F622" t="inlineStr">
        <is>
          <t>Referral</t>
        </is>
      </c>
      <c r="G622" t="inlineStr">
        <is>
          <t>Mobile Web</t>
        </is>
      </c>
      <c r="H622" t="inlineStr">
        <is>
          <t>UPI</t>
        </is>
      </c>
      <c r="I622" t="inlineStr">
        <is>
          <t>Cancelled</t>
        </is>
      </c>
      <c r="J622" t="n">
        <v>129</v>
      </c>
      <c r="K622" t="n">
        <v>1</v>
      </c>
      <c r="L622" t="n">
        <v>576</v>
      </c>
      <c r="M622" t="n">
        <v>0</v>
      </c>
      <c r="N622">
        <f>VLOOKUP(J622,Products!$A$2:$C$49,3,FALSE)</f>
        <v/>
      </c>
      <c r="O622">
        <f>K622*L622-M622</f>
        <v/>
      </c>
      <c r="P622">
        <f>TEXT(B622,"yyyy-mm")</f>
        <v/>
      </c>
      <c r="Q622">
        <f>IF(O622&gt;=3000,"Large","Small")</f>
        <v/>
      </c>
      <c r="R622">
        <f>INDEX(Products!$F$2:$F$49,MATCH(J622,Products!$A$2:$A$49,0))</f>
        <v/>
      </c>
      <c r="S622">
        <f>WEEKDAY(B622,2)</f>
        <v/>
      </c>
    </row>
    <row r="623">
      <c r="A623" t="n">
        <v>509640</v>
      </c>
      <c r="B623" s="6" t="n">
        <v>45939</v>
      </c>
      <c r="C623" t="n">
        <v>15562</v>
      </c>
      <c r="D623" t="inlineStr">
        <is>
          <t>Mumbai</t>
        </is>
      </c>
      <c r="E623" t="inlineStr">
        <is>
          <t>West</t>
        </is>
      </c>
      <c r="F623" t="inlineStr">
        <is>
          <t>Paid Search</t>
        </is>
      </c>
      <c r="G623" t="inlineStr">
        <is>
          <t>Mobile Web</t>
        </is>
      </c>
      <c r="H623" t="inlineStr">
        <is>
          <t>Credit Card</t>
        </is>
      </c>
      <c r="I623" t="inlineStr">
        <is>
          <t>Delivered</t>
        </is>
      </c>
      <c r="J623" t="n">
        <v>139</v>
      </c>
      <c r="K623" t="n">
        <v>2</v>
      </c>
      <c r="L623" t="n">
        <v>366</v>
      </c>
      <c r="M623" t="n">
        <v>73.2</v>
      </c>
      <c r="N623">
        <f>VLOOKUP(J623,Products!$A$2:$C$49,3,FALSE)</f>
        <v/>
      </c>
      <c r="O623">
        <f>K623*L623-M623</f>
        <v/>
      </c>
      <c r="P623">
        <f>TEXT(B623,"yyyy-mm")</f>
        <v/>
      </c>
      <c r="Q623">
        <f>IF(O623&gt;=3000,"Large","Small")</f>
        <v/>
      </c>
      <c r="R623">
        <f>INDEX(Products!$F$2:$F$49,MATCH(J623,Products!$A$2:$A$49,0))</f>
        <v/>
      </c>
      <c r="S623">
        <f>WEEKDAY(B623,2)</f>
        <v/>
      </c>
    </row>
    <row r="624">
      <c r="A624" t="n">
        <v>509641</v>
      </c>
      <c r="B624" s="6" t="n">
        <v>45939</v>
      </c>
      <c r="C624" t="n">
        <v>14242</v>
      </c>
      <c r="D624" t="inlineStr">
        <is>
          <t>Ahmedabad</t>
        </is>
      </c>
      <c r="E624" t="inlineStr">
        <is>
          <t>West</t>
        </is>
      </c>
      <c r="F624" t="inlineStr">
        <is>
          <t>Paid Social</t>
        </is>
      </c>
      <c r="G624" t="inlineStr">
        <is>
          <t>Mobile Web</t>
        </is>
      </c>
      <c r="H624" t="inlineStr">
        <is>
          <t>UPI</t>
        </is>
      </c>
      <c r="I624" t="inlineStr">
        <is>
          <t>Delivered</t>
        </is>
      </c>
      <c r="J624" t="n">
        <v>103</v>
      </c>
      <c r="K624" t="n">
        <v>1</v>
      </c>
      <c r="L624" t="n">
        <v>2624</v>
      </c>
      <c r="M624" t="n">
        <v>0</v>
      </c>
      <c r="N624">
        <f>VLOOKUP(J624,Products!$A$2:$C$49,3,FALSE)</f>
        <v/>
      </c>
      <c r="O624">
        <f>K624*L624-M624</f>
        <v/>
      </c>
      <c r="P624">
        <f>TEXT(B624,"yyyy-mm")</f>
        <v/>
      </c>
      <c r="Q624">
        <f>IF(O624&gt;=3000,"Large","Small")</f>
        <v/>
      </c>
      <c r="R624">
        <f>INDEX(Products!$F$2:$F$49,MATCH(J624,Products!$A$2:$A$49,0))</f>
        <v/>
      </c>
      <c r="S624">
        <f>WEEKDAY(B624,2)</f>
        <v/>
      </c>
    </row>
    <row r="625">
      <c r="A625" t="n">
        <v>509641</v>
      </c>
      <c r="B625" s="6" t="n">
        <v>45939</v>
      </c>
      <c r="C625" t="n">
        <v>14242</v>
      </c>
      <c r="D625" t="inlineStr">
        <is>
          <t>Ahmedabad</t>
        </is>
      </c>
      <c r="E625" t="inlineStr">
        <is>
          <t>West</t>
        </is>
      </c>
      <c r="F625" t="inlineStr">
        <is>
          <t>Paid Social</t>
        </is>
      </c>
      <c r="G625" t="inlineStr">
        <is>
          <t>Mobile Web</t>
        </is>
      </c>
      <c r="H625" t="inlineStr">
        <is>
          <t>UPI</t>
        </is>
      </c>
      <c r="I625" t="inlineStr">
        <is>
          <t>Delivered</t>
        </is>
      </c>
      <c r="J625" t="n">
        <v>105</v>
      </c>
      <c r="K625" t="n">
        <v>1</v>
      </c>
      <c r="L625" t="n">
        <v>2414</v>
      </c>
      <c r="M625" t="n">
        <v>0</v>
      </c>
      <c r="N625">
        <f>VLOOKUP(J625,Products!$A$2:$C$49,3,FALSE)</f>
        <v/>
      </c>
      <c r="O625">
        <f>K625*L625-M625</f>
        <v/>
      </c>
      <c r="P625">
        <f>TEXT(B625,"yyyy-mm")</f>
        <v/>
      </c>
      <c r="Q625">
        <f>IF(O625&gt;=3000,"Large","Small")</f>
        <v/>
      </c>
      <c r="R625">
        <f>INDEX(Products!$F$2:$F$49,MATCH(J625,Products!$A$2:$A$49,0))</f>
        <v/>
      </c>
      <c r="S625">
        <f>WEEKDAY(B625,2)</f>
        <v/>
      </c>
    </row>
    <row r="626">
      <c r="A626" t="n">
        <v>509641</v>
      </c>
      <c r="B626" s="6" t="n">
        <v>45939</v>
      </c>
      <c r="C626" t="n">
        <v>14242</v>
      </c>
      <c r="D626" t="inlineStr">
        <is>
          <t>Ahmedabad</t>
        </is>
      </c>
      <c r="E626" t="inlineStr">
        <is>
          <t>West</t>
        </is>
      </c>
      <c r="F626" t="inlineStr">
        <is>
          <t>Paid Social</t>
        </is>
      </c>
      <c r="G626" t="inlineStr">
        <is>
          <t>Mobile Web</t>
        </is>
      </c>
      <c r="H626" t="inlineStr">
        <is>
          <t>UPI</t>
        </is>
      </c>
      <c r="I626" t="inlineStr">
        <is>
          <t>Delivered</t>
        </is>
      </c>
      <c r="J626" t="n">
        <v>111</v>
      </c>
      <c r="K626" t="n">
        <v>1</v>
      </c>
      <c r="L626" t="n">
        <v>524</v>
      </c>
      <c r="M626" t="n">
        <v>0</v>
      </c>
      <c r="N626">
        <f>VLOOKUP(J626,Products!$A$2:$C$49,3,FALSE)</f>
        <v/>
      </c>
      <c r="O626">
        <f>K626*L626-M626</f>
        <v/>
      </c>
      <c r="P626">
        <f>TEXT(B626,"yyyy-mm")</f>
        <v/>
      </c>
      <c r="Q626">
        <f>IF(O626&gt;=3000,"Large","Small")</f>
        <v/>
      </c>
      <c r="R626">
        <f>INDEX(Products!$F$2:$F$49,MATCH(J626,Products!$A$2:$A$49,0))</f>
        <v/>
      </c>
      <c r="S626">
        <f>WEEKDAY(B626,2)</f>
        <v/>
      </c>
    </row>
    <row r="627">
      <c r="A627" t="n">
        <v>509641</v>
      </c>
      <c r="B627" s="6" t="n">
        <v>45939</v>
      </c>
      <c r="C627" t="n">
        <v>14242</v>
      </c>
      <c r="D627" t="inlineStr">
        <is>
          <t>Ahmedabad</t>
        </is>
      </c>
      <c r="E627" t="inlineStr">
        <is>
          <t>West</t>
        </is>
      </c>
      <c r="F627" t="inlineStr">
        <is>
          <t>Paid Social</t>
        </is>
      </c>
      <c r="G627" t="inlineStr">
        <is>
          <t>Mobile Web</t>
        </is>
      </c>
      <c r="H627" t="inlineStr">
        <is>
          <t>UPI</t>
        </is>
      </c>
      <c r="I627" t="inlineStr">
        <is>
          <t>Delivered</t>
        </is>
      </c>
      <c r="J627" t="n">
        <v>129</v>
      </c>
      <c r="K627" t="n">
        <v>1</v>
      </c>
      <c r="L627" t="n">
        <v>576</v>
      </c>
      <c r="M627" t="n">
        <v>0</v>
      </c>
      <c r="N627">
        <f>VLOOKUP(J627,Products!$A$2:$C$49,3,FALSE)</f>
        <v/>
      </c>
      <c r="O627">
        <f>K627*L627-M627</f>
        <v/>
      </c>
      <c r="P627">
        <f>TEXT(B627,"yyyy-mm")</f>
        <v/>
      </c>
      <c r="Q627">
        <f>IF(O627&gt;=3000,"Large","Small")</f>
        <v/>
      </c>
      <c r="R627">
        <f>INDEX(Products!$F$2:$F$49,MATCH(J627,Products!$A$2:$A$49,0))</f>
        <v/>
      </c>
      <c r="S627">
        <f>WEEKDAY(B627,2)</f>
        <v/>
      </c>
    </row>
    <row r="628">
      <c r="A628" t="n">
        <v>509642</v>
      </c>
      <c r="B628" s="6" t="n">
        <v>45939</v>
      </c>
      <c r="C628" t="n">
        <v>15221</v>
      </c>
      <c r="D628" t="inlineStr">
        <is>
          <t>Mumbai</t>
        </is>
      </c>
      <c r="E628" t="inlineStr">
        <is>
          <t>West</t>
        </is>
      </c>
      <c r="F628" t="inlineStr">
        <is>
          <t>Organic Search</t>
        </is>
      </c>
      <c r="G628" t="inlineStr">
        <is>
          <t>Mobile App</t>
        </is>
      </c>
      <c r="H628" t="inlineStr">
        <is>
          <t>Credit Card</t>
        </is>
      </c>
      <c r="I628" t="inlineStr">
        <is>
          <t>Returned</t>
        </is>
      </c>
      <c r="J628" t="n">
        <v>104</v>
      </c>
      <c r="K628" t="n">
        <v>1</v>
      </c>
      <c r="L628" t="n">
        <v>5249</v>
      </c>
      <c r="M628" t="n">
        <v>524.9</v>
      </c>
      <c r="N628">
        <f>VLOOKUP(J628,Products!$A$2:$C$49,3,FALSE)</f>
        <v/>
      </c>
      <c r="O628">
        <f>K628*L628-M628</f>
        <v/>
      </c>
      <c r="P628">
        <f>TEXT(B628,"yyyy-mm")</f>
        <v/>
      </c>
      <c r="Q628">
        <f>IF(O628&gt;=3000,"Large","Small")</f>
        <v/>
      </c>
      <c r="R628">
        <f>INDEX(Products!$F$2:$F$49,MATCH(J628,Products!$A$2:$A$49,0))</f>
        <v/>
      </c>
      <c r="S628">
        <f>WEEKDAY(B628,2)</f>
        <v/>
      </c>
    </row>
    <row r="629">
      <c r="A629" t="n">
        <v>509642</v>
      </c>
      <c r="B629" s="6" t="n">
        <v>45939</v>
      </c>
      <c r="C629" t="n">
        <v>15221</v>
      </c>
      <c r="D629" t="inlineStr">
        <is>
          <t>Mumbai</t>
        </is>
      </c>
      <c r="E629" t="inlineStr">
        <is>
          <t>West</t>
        </is>
      </c>
      <c r="F629" t="inlineStr">
        <is>
          <t>Organic Search</t>
        </is>
      </c>
      <c r="G629" t="inlineStr">
        <is>
          <t>Mobile App</t>
        </is>
      </c>
      <c r="H629" t="inlineStr">
        <is>
          <t>Credit Card</t>
        </is>
      </c>
      <c r="I629" t="inlineStr">
        <is>
          <t>Returned</t>
        </is>
      </c>
      <c r="J629" t="n">
        <v>111</v>
      </c>
      <c r="K629" t="n">
        <v>1</v>
      </c>
      <c r="L629" t="n">
        <v>524</v>
      </c>
      <c r="M629" t="n">
        <v>52.4</v>
      </c>
      <c r="N629">
        <f>VLOOKUP(J629,Products!$A$2:$C$49,3,FALSE)</f>
        <v/>
      </c>
      <c r="O629">
        <f>K629*L629-M629</f>
        <v/>
      </c>
      <c r="P629">
        <f>TEXT(B629,"yyyy-mm")</f>
        <v/>
      </c>
      <c r="Q629">
        <f>IF(O629&gt;=3000,"Large","Small")</f>
        <v/>
      </c>
      <c r="R629">
        <f>INDEX(Products!$F$2:$F$49,MATCH(J629,Products!$A$2:$A$49,0))</f>
        <v/>
      </c>
      <c r="S629">
        <f>WEEKDAY(B629,2)</f>
        <v/>
      </c>
    </row>
    <row r="630">
      <c r="A630" t="n">
        <v>509643</v>
      </c>
      <c r="B630" s="6" t="n">
        <v>45939</v>
      </c>
      <c r="C630" t="n">
        <v>15186</v>
      </c>
      <c r="D630" t="inlineStr">
        <is>
          <t>Delhi</t>
        </is>
      </c>
      <c r="E630" t="inlineStr">
        <is>
          <t>North</t>
        </is>
      </c>
      <c r="F630" t="inlineStr">
        <is>
          <t>Referral</t>
        </is>
      </c>
      <c r="G630" t="inlineStr">
        <is>
          <t>Mobile Web</t>
        </is>
      </c>
      <c r="H630" t="inlineStr">
        <is>
          <t>Cash on Delivery</t>
        </is>
      </c>
      <c r="I630" t="inlineStr">
        <is>
          <t>Delivered</t>
        </is>
      </c>
      <c r="J630" t="n">
        <v>110</v>
      </c>
      <c r="K630" t="n">
        <v>1</v>
      </c>
      <c r="L630" t="n">
        <v>839</v>
      </c>
      <c r="M630" t="n">
        <v>0</v>
      </c>
      <c r="N630">
        <f>VLOOKUP(J630,Products!$A$2:$C$49,3,FALSE)</f>
        <v/>
      </c>
      <c r="O630">
        <f>K630*L630-M630</f>
        <v/>
      </c>
      <c r="P630">
        <f>TEXT(B630,"yyyy-mm")</f>
        <v/>
      </c>
      <c r="Q630">
        <f>IF(O630&gt;=3000,"Large","Small")</f>
        <v/>
      </c>
      <c r="R630">
        <f>INDEX(Products!$F$2:$F$49,MATCH(J630,Products!$A$2:$A$49,0))</f>
        <v/>
      </c>
      <c r="S630">
        <f>WEEKDAY(B630,2)</f>
        <v/>
      </c>
    </row>
    <row r="631">
      <c r="A631" t="n">
        <v>509643</v>
      </c>
      <c r="B631" s="6" t="n">
        <v>45939</v>
      </c>
      <c r="C631" t="n">
        <v>15186</v>
      </c>
      <c r="D631" t="inlineStr">
        <is>
          <t>Delhi</t>
        </is>
      </c>
      <c r="E631" t="inlineStr">
        <is>
          <t>North</t>
        </is>
      </c>
      <c r="F631" t="inlineStr">
        <is>
          <t>Referral</t>
        </is>
      </c>
      <c r="G631" t="inlineStr">
        <is>
          <t>Mobile Web</t>
        </is>
      </c>
      <c r="H631" t="inlineStr">
        <is>
          <t>Cash on Delivery</t>
        </is>
      </c>
      <c r="I631" t="inlineStr">
        <is>
          <t>Delivered</t>
        </is>
      </c>
      <c r="J631" t="n">
        <v>129</v>
      </c>
      <c r="K631" t="n">
        <v>2</v>
      </c>
      <c r="L631" t="n">
        <v>576</v>
      </c>
      <c r="M631" t="n">
        <v>0</v>
      </c>
      <c r="N631">
        <f>VLOOKUP(J631,Products!$A$2:$C$49,3,FALSE)</f>
        <v/>
      </c>
      <c r="O631">
        <f>K631*L631-M631</f>
        <v/>
      </c>
      <c r="P631">
        <f>TEXT(B631,"yyyy-mm")</f>
        <v/>
      </c>
      <c r="Q631">
        <f>IF(O631&gt;=3000,"Large","Small")</f>
        <v/>
      </c>
      <c r="R631">
        <f>INDEX(Products!$F$2:$F$49,MATCH(J631,Products!$A$2:$A$49,0))</f>
        <v/>
      </c>
      <c r="S631">
        <f>WEEKDAY(B631,2)</f>
        <v/>
      </c>
    </row>
    <row r="632">
      <c r="A632" t="n">
        <v>509644</v>
      </c>
      <c r="B632" s="6" t="n">
        <v>45939</v>
      </c>
      <c r="C632" t="n">
        <v>16635</v>
      </c>
      <c r="D632" t="inlineStr">
        <is>
          <t>Delhi</t>
        </is>
      </c>
      <c r="E632" t="inlineStr">
        <is>
          <t>North</t>
        </is>
      </c>
      <c r="F632" t="inlineStr">
        <is>
          <t>Paid Social</t>
        </is>
      </c>
      <c r="G632" t="inlineStr">
        <is>
          <t>Mobile Web</t>
        </is>
      </c>
      <c r="H632" t="inlineStr">
        <is>
          <t>Debit Card</t>
        </is>
      </c>
      <c r="I632" t="inlineStr">
        <is>
          <t>Delivered</t>
        </is>
      </c>
      <c r="J632" t="n">
        <v>118</v>
      </c>
      <c r="K632" t="n">
        <v>1</v>
      </c>
      <c r="L632" t="n">
        <v>944</v>
      </c>
      <c r="M632" t="n">
        <v>94.40000000000001</v>
      </c>
      <c r="N632">
        <f>VLOOKUP(J632,Products!$A$2:$C$49,3,FALSE)</f>
        <v/>
      </c>
      <c r="O632">
        <f>K632*L632-M632</f>
        <v/>
      </c>
      <c r="P632">
        <f>TEXT(B632,"yyyy-mm")</f>
        <v/>
      </c>
      <c r="Q632">
        <f>IF(O632&gt;=3000,"Large","Small")</f>
        <v/>
      </c>
      <c r="R632">
        <f>INDEX(Products!$F$2:$F$49,MATCH(J632,Products!$A$2:$A$49,0))</f>
        <v/>
      </c>
      <c r="S632">
        <f>WEEKDAY(B632,2)</f>
        <v/>
      </c>
    </row>
    <row r="633">
      <c r="A633" t="n">
        <v>509644</v>
      </c>
      <c r="B633" s="6" t="n">
        <v>45939</v>
      </c>
      <c r="C633" t="n">
        <v>16635</v>
      </c>
      <c r="D633" t="inlineStr">
        <is>
          <t>Delhi</t>
        </is>
      </c>
      <c r="E633" t="inlineStr">
        <is>
          <t>North</t>
        </is>
      </c>
      <c r="F633" t="inlineStr">
        <is>
          <t>Paid Social</t>
        </is>
      </c>
      <c r="G633" t="inlineStr">
        <is>
          <t>Mobile Web</t>
        </is>
      </c>
      <c r="H633" t="inlineStr">
        <is>
          <t>Debit Card</t>
        </is>
      </c>
      <c r="I633" t="inlineStr">
        <is>
          <t>Delivered</t>
        </is>
      </c>
      <c r="J633" t="n">
        <v>123</v>
      </c>
      <c r="K633" t="n">
        <v>1</v>
      </c>
      <c r="L633" t="n">
        <v>3464</v>
      </c>
      <c r="M633" t="n">
        <v>346.4</v>
      </c>
      <c r="N633">
        <f>VLOOKUP(J633,Products!$A$2:$C$49,3,FALSE)</f>
        <v/>
      </c>
      <c r="O633">
        <f>K633*L633-M633</f>
        <v/>
      </c>
      <c r="P633">
        <f>TEXT(B633,"yyyy-mm")</f>
        <v/>
      </c>
      <c r="Q633">
        <f>IF(O633&gt;=3000,"Large","Small")</f>
        <v/>
      </c>
      <c r="R633">
        <f>INDEX(Products!$F$2:$F$49,MATCH(J633,Products!$A$2:$A$49,0))</f>
        <v/>
      </c>
      <c r="S633">
        <f>WEEKDAY(B633,2)</f>
        <v/>
      </c>
    </row>
    <row r="634">
      <c r="A634" t="n">
        <v>509644</v>
      </c>
      <c r="B634" s="6" t="n">
        <v>45939</v>
      </c>
      <c r="C634" t="n">
        <v>16635</v>
      </c>
      <c r="D634" t="inlineStr">
        <is>
          <t>Delhi</t>
        </is>
      </c>
      <c r="E634" t="inlineStr">
        <is>
          <t>North</t>
        </is>
      </c>
      <c r="F634" t="inlineStr">
        <is>
          <t>Paid Social</t>
        </is>
      </c>
      <c r="G634" t="inlineStr">
        <is>
          <t>Mobile Web</t>
        </is>
      </c>
      <c r="H634" t="inlineStr">
        <is>
          <t>Debit Card</t>
        </is>
      </c>
      <c r="I634" t="inlineStr">
        <is>
          <t>Delivered</t>
        </is>
      </c>
      <c r="J634" t="n">
        <v>129</v>
      </c>
      <c r="K634" t="n">
        <v>1</v>
      </c>
      <c r="L634" t="n">
        <v>576</v>
      </c>
      <c r="M634" t="n">
        <v>57.6</v>
      </c>
      <c r="N634">
        <f>VLOOKUP(J634,Products!$A$2:$C$49,3,FALSE)</f>
        <v/>
      </c>
      <c r="O634">
        <f>K634*L634-M634</f>
        <v/>
      </c>
      <c r="P634">
        <f>TEXT(B634,"yyyy-mm")</f>
        <v/>
      </c>
      <c r="Q634">
        <f>IF(O634&gt;=3000,"Large","Small")</f>
        <v/>
      </c>
      <c r="R634">
        <f>INDEX(Products!$F$2:$F$49,MATCH(J634,Products!$A$2:$A$49,0))</f>
        <v/>
      </c>
      <c r="S634">
        <f>WEEKDAY(B634,2)</f>
        <v/>
      </c>
    </row>
    <row r="635">
      <c r="A635" t="n">
        <v>509645</v>
      </c>
      <c r="B635" s="6" t="n">
        <v>45939</v>
      </c>
      <c r="C635" t="n">
        <v>15044</v>
      </c>
      <c r="D635" t="inlineStr">
        <is>
          <t>Ahmedabad</t>
        </is>
      </c>
      <c r="E635" t="inlineStr">
        <is>
          <t>West</t>
        </is>
      </c>
      <c r="F635" t="inlineStr">
        <is>
          <t>Organic Search</t>
        </is>
      </c>
      <c r="G635" t="inlineStr">
        <is>
          <t>Mobile App</t>
        </is>
      </c>
      <c r="H635" t="inlineStr">
        <is>
          <t>Cash on Delivery</t>
        </is>
      </c>
      <c r="I635" t="inlineStr">
        <is>
          <t>Delivered</t>
        </is>
      </c>
      <c r="J635" t="n">
        <v>134</v>
      </c>
      <c r="K635" t="n">
        <v>1</v>
      </c>
      <c r="L635" t="n">
        <v>209</v>
      </c>
      <c r="M635" t="n">
        <v>20.9</v>
      </c>
      <c r="N635">
        <f>VLOOKUP(J635,Products!$A$2:$C$49,3,FALSE)</f>
        <v/>
      </c>
      <c r="O635">
        <f>K635*L635-M635</f>
        <v/>
      </c>
      <c r="P635">
        <f>TEXT(B635,"yyyy-mm")</f>
        <v/>
      </c>
      <c r="Q635">
        <f>IF(O635&gt;=3000,"Large","Small")</f>
        <v/>
      </c>
      <c r="R635">
        <f>INDEX(Products!$F$2:$F$49,MATCH(J635,Products!$A$2:$A$49,0))</f>
        <v/>
      </c>
      <c r="S635">
        <f>WEEKDAY(B635,2)</f>
        <v/>
      </c>
    </row>
    <row r="636">
      <c r="A636" t="n">
        <v>509645</v>
      </c>
      <c r="B636" s="6" t="n">
        <v>45939</v>
      </c>
      <c r="C636" t="n">
        <v>15044</v>
      </c>
      <c r="D636" t="inlineStr">
        <is>
          <t>Ahmedabad</t>
        </is>
      </c>
      <c r="E636" t="inlineStr">
        <is>
          <t>West</t>
        </is>
      </c>
      <c r="F636" t="inlineStr">
        <is>
          <t>Organic Search</t>
        </is>
      </c>
      <c r="G636" t="inlineStr">
        <is>
          <t>Mobile App</t>
        </is>
      </c>
      <c r="H636" t="inlineStr">
        <is>
          <t>Cash on Delivery</t>
        </is>
      </c>
      <c r="I636" t="inlineStr">
        <is>
          <t>Delivered</t>
        </is>
      </c>
      <c r="J636" t="n">
        <v>114</v>
      </c>
      <c r="K636" t="n">
        <v>2</v>
      </c>
      <c r="L636" t="n">
        <v>1259</v>
      </c>
      <c r="M636" t="n">
        <v>251.8</v>
      </c>
      <c r="N636">
        <f>VLOOKUP(J636,Products!$A$2:$C$49,3,FALSE)</f>
        <v/>
      </c>
      <c r="O636">
        <f>K636*L636-M636</f>
        <v/>
      </c>
      <c r="P636">
        <f>TEXT(B636,"yyyy-mm")</f>
        <v/>
      </c>
      <c r="Q636">
        <f>IF(O636&gt;=3000,"Large","Small")</f>
        <v/>
      </c>
      <c r="R636">
        <f>INDEX(Products!$F$2:$F$49,MATCH(J636,Products!$A$2:$A$49,0))</f>
        <v/>
      </c>
      <c r="S636">
        <f>WEEKDAY(B636,2)</f>
        <v/>
      </c>
    </row>
    <row r="637">
      <c r="A637" t="n">
        <v>509645</v>
      </c>
      <c r="B637" s="6" t="n">
        <v>45939</v>
      </c>
      <c r="C637" t="n">
        <v>15044</v>
      </c>
      <c r="D637" t="inlineStr">
        <is>
          <t>Ahmedabad</t>
        </is>
      </c>
      <c r="E637" t="inlineStr">
        <is>
          <t>West</t>
        </is>
      </c>
      <c r="F637" t="inlineStr">
        <is>
          <t>Organic Search</t>
        </is>
      </c>
      <c r="G637" t="inlineStr">
        <is>
          <t>Mobile App</t>
        </is>
      </c>
      <c r="H637" t="inlineStr">
        <is>
          <t>Cash on Delivery</t>
        </is>
      </c>
      <c r="I637" t="inlineStr">
        <is>
          <t>Delivered</t>
        </is>
      </c>
      <c r="J637" t="n">
        <v>129</v>
      </c>
      <c r="K637" t="n">
        <v>1</v>
      </c>
      <c r="L637" t="n">
        <v>576</v>
      </c>
      <c r="M637" t="n">
        <v>57.6</v>
      </c>
      <c r="N637">
        <f>VLOOKUP(J637,Products!$A$2:$C$49,3,FALSE)</f>
        <v/>
      </c>
      <c r="O637">
        <f>K637*L637-M637</f>
        <v/>
      </c>
      <c r="P637">
        <f>TEXT(B637,"yyyy-mm")</f>
        <v/>
      </c>
      <c r="Q637">
        <f>IF(O637&gt;=3000,"Large","Small")</f>
        <v/>
      </c>
      <c r="R637">
        <f>INDEX(Products!$F$2:$F$49,MATCH(J637,Products!$A$2:$A$49,0))</f>
        <v/>
      </c>
      <c r="S637">
        <f>WEEKDAY(B637,2)</f>
        <v/>
      </c>
    </row>
    <row r="638">
      <c r="A638" t="n">
        <v>509646</v>
      </c>
      <c r="B638" s="6" t="n">
        <v>45939</v>
      </c>
      <c r="C638" t="n">
        <v>12187</v>
      </c>
      <c r="D638" t="inlineStr">
        <is>
          <t>Ahmedabad</t>
        </is>
      </c>
      <c r="E638" t="inlineStr">
        <is>
          <t>West</t>
        </is>
      </c>
      <c r="F638" t="inlineStr">
        <is>
          <t>Paid Search</t>
        </is>
      </c>
      <c r="G638" t="inlineStr">
        <is>
          <t>Desktop</t>
        </is>
      </c>
      <c r="H638" t="inlineStr">
        <is>
          <t>Credit Card</t>
        </is>
      </c>
      <c r="I638" t="inlineStr">
        <is>
          <t>Delivered</t>
        </is>
      </c>
      <c r="J638" t="n">
        <v>102</v>
      </c>
      <c r="K638" t="n">
        <v>1</v>
      </c>
      <c r="L638" t="n">
        <v>3674</v>
      </c>
      <c r="M638" t="n">
        <v>367.4</v>
      </c>
      <c r="N638">
        <f>VLOOKUP(J638,Products!$A$2:$C$49,3,FALSE)</f>
        <v/>
      </c>
      <c r="O638">
        <f>K638*L638-M638</f>
        <v/>
      </c>
      <c r="P638">
        <f>TEXT(B638,"yyyy-mm")</f>
        <v/>
      </c>
      <c r="Q638">
        <f>IF(O638&gt;=3000,"Large","Small")</f>
        <v/>
      </c>
      <c r="R638">
        <f>INDEX(Products!$F$2:$F$49,MATCH(J638,Products!$A$2:$A$49,0))</f>
        <v/>
      </c>
      <c r="S638">
        <f>WEEKDAY(B638,2)</f>
        <v/>
      </c>
    </row>
    <row r="639">
      <c r="A639" t="n">
        <v>509647</v>
      </c>
      <c r="B639" s="6" t="n">
        <v>45939</v>
      </c>
      <c r="C639" t="n">
        <v>15587</v>
      </c>
      <c r="D639" t="inlineStr">
        <is>
          <t>Bengaluru</t>
        </is>
      </c>
      <c r="E639" t="inlineStr">
        <is>
          <t>South</t>
        </is>
      </c>
      <c r="F639" t="inlineStr">
        <is>
          <t>Organic Search</t>
        </is>
      </c>
      <c r="G639" t="inlineStr">
        <is>
          <t>Mobile App</t>
        </is>
      </c>
      <c r="H639" t="inlineStr">
        <is>
          <t>Credit Card</t>
        </is>
      </c>
      <c r="I639" t="inlineStr">
        <is>
          <t>Delivered</t>
        </is>
      </c>
      <c r="J639" t="n">
        <v>123</v>
      </c>
      <c r="K639" t="n">
        <v>1</v>
      </c>
      <c r="L639" t="n">
        <v>3464</v>
      </c>
      <c r="M639" t="n">
        <v>346.4</v>
      </c>
      <c r="N639">
        <f>VLOOKUP(J639,Products!$A$2:$C$49,3,FALSE)</f>
        <v/>
      </c>
      <c r="O639">
        <f>K639*L639-M639</f>
        <v/>
      </c>
      <c r="P639">
        <f>TEXT(B639,"yyyy-mm")</f>
        <v/>
      </c>
      <c r="Q639">
        <f>IF(O639&gt;=3000,"Large","Small")</f>
        <v/>
      </c>
      <c r="R639">
        <f>INDEX(Products!$F$2:$F$49,MATCH(J639,Products!$A$2:$A$49,0))</f>
        <v/>
      </c>
      <c r="S639">
        <f>WEEKDAY(B639,2)</f>
        <v/>
      </c>
    </row>
    <row r="640">
      <c r="A640" t="n">
        <v>509647</v>
      </c>
      <c r="B640" s="6" t="n">
        <v>45939</v>
      </c>
      <c r="C640" t="n">
        <v>15587</v>
      </c>
      <c r="D640" t="inlineStr">
        <is>
          <t>Bengaluru</t>
        </is>
      </c>
      <c r="E640" t="inlineStr">
        <is>
          <t>South</t>
        </is>
      </c>
      <c r="F640" t="inlineStr">
        <is>
          <t>Organic Search</t>
        </is>
      </c>
      <c r="G640" t="inlineStr">
        <is>
          <t>Mobile App</t>
        </is>
      </c>
      <c r="H640" t="inlineStr">
        <is>
          <t>Credit Card</t>
        </is>
      </c>
      <c r="I640" t="inlineStr">
        <is>
          <t>Delivered</t>
        </is>
      </c>
      <c r="J640" t="n">
        <v>115</v>
      </c>
      <c r="K640" t="n">
        <v>1</v>
      </c>
      <c r="L640" t="n">
        <v>4199</v>
      </c>
      <c r="M640" t="n">
        <v>419.9</v>
      </c>
      <c r="N640">
        <f>VLOOKUP(J640,Products!$A$2:$C$49,3,FALSE)</f>
        <v/>
      </c>
      <c r="O640">
        <f>K640*L640-M640</f>
        <v/>
      </c>
      <c r="P640">
        <f>TEXT(B640,"yyyy-mm")</f>
        <v/>
      </c>
      <c r="Q640">
        <f>IF(O640&gt;=3000,"Large","Small")</f>
        <v/>
      </c>
      <c r="R640">
        <f>INDEX(Products!$F$2:$F$49,MATCH(J640,Products!$A$2:$A$49,0))</f>
        <v/>
      </c>
      <c r="S640">
        <f>WEEKDAY(B640,2)</f>
        <v/>
      </c>
    </row>
    <row r="641">
      <c r="A641" t="n">
        <v>509648</v>
      </c>
      <c r="B641" s="6" t="n">
        <v>45939</v>
      </c>
      <c r="C641" t="n">
        <v>10070</v>
      </c>
      <c r="D641" t="inlineStr">
        <is>
          <t>Chandigarh</t>
        </is>
      </c>
      <c r="E641" t="inlineStr">
        <is>
          <t>North</t>
        </is>
      </c>
      <c r="F641" t="inlineStr">
        <is>
          <t>Email</t>
        </is>
      </c>
      <c r="G641" t="inlineStr">
        <is>
          <t>Desktop</t>
        </is>
      </c>
      <c r="H641" t="inlineStr">
        <is>
          <t>UPI</t>
        </is>
      </c>
      <c r="I641" t="inlineStr">
        <is>
          <t>Delivered</t>
        </is>
      </c>
      <c r="J641" t="n">
        <v>110</v>
      </c>
      <c r="K641" t="n">
        <v>1</v>
      </c>
      <c r="L641" t="n">
        <v>839</v>
      </c>
      <c r="M641" t="n">
        <v>83.90000000000001</v>
      </c>
      <c r="N641">
        <f>VLOOKUP(J641,Products!$A$2:$C$49,3,FALSE)</f>
        <v/>
      </c>
      <c r="O641">
        <f>K641*L641-M641</f>
        <v/>
      </c>
      <c r="P641">
        <f>TEXT(B641,"yyyy-mm")</f>
        <v/>
      </c>
      <c r="Q641">
        <f>IF(O641&gt;=3000,"Large","Small")</f>
        <v/>
      </c>
      <c r="R641">
        <f>INDEX(Products!$F$2:$F$49,MATCH(J641,Products!$A$2:$A$49,0))</f>
        <v/>
      </c>
      <c r="S641">
        <f>WEEKDAY(B641,2)</f>
        <v/>
      </c>
    </row>
    <row r="642">
      <c r="A642" t="n">
        <v>509648</v>
      </c>
      <c r="B642" s="6" t="n">
        <v>45939</v>
      </c>
      <c r="C642" t="n">
        <v>10070</v>
      </c>
      <c r="D642" t="inlineStr">
        <is>
          <t>Chandigarh</t>
        </is>
      </c>
      <c r="E642" t="inlineStr">
        <is>
          <t>North</t>
        </is>
      </c>
      <c r="F642" t="inlineStr">
        <is>
          <t>Email</t>
        </is>
      </c>
      <c r="G642" t="inlineStr">
        <is>
          <t>Desktop</t>
        </is>
      </c>
      <c r="H642" t="inlineStr">
        <is>
          <t>UPI</t>
        </is>
      </c>
      <c r="I642" t="inlineStr">
        <is>
          <t>Delivered</t>
        </is>
      </c>
      <c r="J642" t="n">
        <v>129</v>
      </c>
      <c r="K642" t="n">
        <v>1</v>
      </c>
      <c r="L642" t="n">
        <v>576</v>
      </c>
      <c r="M642" t="n">
        <v>57.6</v>
      </c>
      <c r="N642">
        <f>VLOOKUP(J642,Products!$A$2:$C$49,3,FALSE)</f>
        <v/>
      </c>
      <c r="O642">
        <f>K642*L642-M642</f>
        <v/>
      </c>
      <c r="P642">
        <f>TEXT(B642,"yyyy-mm")</f>
        <v/>
      </c>
      <c r="Q642">
        <f>IF(O642&gt;=3000,"Large","Small")</f>
        <v/>
      </c>
      <c r="R642">
        <f>INDEX(Products!$F$2:$F$49,MATCH(J642,Products!$A$2:$A$49,0))</f>
        <v/>
      </c>
      <c r="S642">
        <f>WEEKDAY(B642,2)</f>
        <v/>
      </c>
    </row>
    <row r="643">
      <c r="A643" t="n">
        <v>509649</v>
      </c>
      <c r="B643" s="6" t="n">
        <v>45939</v>
      </c>
      <c r="C643" t="n">
        <v>15232</v>
      </c>
      <c r="D643" t="inlineStr">
        <is>
          <t>Kolkata</t>
        </is>
      </c>
      <c r="E643" t="inlineStr">
        <is>
          <t>East</t>
        </is>
      </c>
      <c r="F643" t="inlineStr">
        <is>
          <t>Email</t>
        </is>
      </c>
      <c r="G643" t="inlineStr">
        <is>
          <t>Desktop</t>
        </is>
      </c>
      <c r="H643" t="inlineStr">
        <is>
          <t>UPI</t>
        </is>
      </c>
      <c r="I643" t="inlineStr">
        <is>
          <t>Delivered</t>
        </is>
      </c>
      <c r="J643" t="n">
        <v>117</v>
      </c>
      <c r="K643" t="n">
        <v>2</v>
      </c>
      <c r="L643" t="n">
        <v>3149</v>
      </c>
      <c r="M643" t="n">
        <v>629.8</v>
      </c>
      <c r="N643">
        <f>VLOOKUP(J643,Products!$A$2:$C$49,3,FALSE)</f>
        <v/>
      </c>
      <c r="O643">
        <f>K643*L643-M643</f>
        <v/>
      </c>
      <c r="P643">
        <f>TEXT(B643,"yyyy-mm")</f>
        <v/>
      </c>
      <c r="Q643">
        <f>IF(O643&gt;=3000,"Large","Small")</f>
        <v/>
      </c>
      <c r="R643">
        <f>INDEX(Products!$F$2:$F$49,MATCH(J643,Products!$A$2:$A$49,0))</f>
        <v/>
      </c>
      <c r="S643">
        <f>WEEKDAY(B643,2)</f>
        <v/>
      </c>
    </row>
    <row r="644">
      <c r="A644" t="n">
        <v>509649</v>
      </c>
      <c r="B644" s="6" t="n">
        <v>45939</v>
      </c>
      <c r="C644" t="n">
        <v>15232</v>
      </c>
      <c r="D644" t="inlineStr">
        <is>
          <t>Kolkata</t>
        </is>
      </c>
      <c r="E644" t="inlineStr">
        <is>
          <t>East</t>
        </is>
      </c>
      <c r="F644" t="inlineStr">
        <is>
          <t>Email</t>
        </is>
      </c>
      <c r="G644" t="inlineStr">
        <is>
          <t>Desktop</t>
        </is>
      </c>
      <c r="H644" t="inlineStr">
        <is>
          <t>UPI</t>
        </is>
      </c>
      <c r="I644" t="inlineStr">
        <is>
          <t>Delivered</t>
        </is>
      </c>
      <c r="J644" t="n">
        <v>124</v>
      </c>
      <c r="K644" t="n">
        <v>1</v>
      </c>
      <c r="L644" t="n">
        <v>1154</v>
      </c>
      <c r="M644" t="n">
        <v>115.4</v>
      </c>
      <c r="N644">
        <f>VLOOKUP(J644,Products!$A$2:$C$49,3,FALSE)</f>
        <v/>
      </c>
      <c r="O644">
        <f>K644*L644-M644</f>
        <v/>
      </c>
      <c r="P644">
        <f>TEXT(B644,"yyyy-mm")</f>
        <v/>
      </c>
      <c r="Q644">
        <f>IF(O644&gt;=3000,"Large","Small")</f>
        <v/>
      </c>
      <c r="R644">
        <f>INDEX(Products!$F$2:$F$49,MATCH(J644,Products!$A$2:$A$49,0))</f>
        <v/>
      </c>
      <c r="S644">
        <f>WEEKDAY(B644,2)</f>
        <v/>
      </c>
    </row>
    <row r="645">
      <c r="A645" t="n">
        <v>509650</v>
      </c>
      <c r="B645" s="6" t="n">
        <v>45939</v>
      </c>
      <c r="C645" t="n">
        <v>16704</v>
      </c>
      <c r="D645" t="inlineStr">
        <is>
          <t>Kolkata</t>
        </is>
      </c>
      <c r="E645" t="inlineStr">
        <is>
          <t>East</t>
        </is>
      </c>
      <c r="F645" t="inlineStr">
        <is>
          <t>Paid Search</t>
        </is>
      </c>
      <c r="G645" t="inlineStr">
        <is>
          <t>Mobile App</t>
        </is>
      </c>
      <c r="H645" t="inlineStr">
        <is>
          <t>UPI</t>
        </is>
      </c>
      <c r="I645" t="inlineStr">
        <is>
          <t>Delivered</t>
        </is>
      </c>
      <c r="J645" t="n">
        <v>130</v>
      </c>
      <c r="K645" t="n">
        <v>1</v>
      </c>
      <c r="L645" t="n">
        <v>734</v>
      </c>
      <c r="M645" t="n">
        <v>0</v>
      </c>
      <c r="N645">
        <f>VLOOKUP(J645,Products!$A$2:$C$49,3,FALSE)</f>
        <v/>
      </c>
      <c r="O645">
        <f>K645*L645-M645</f>
        <v/>
      </c>
      <c r="P645">
        <f>TEXT(B645,"yyyy-mm")</f>
        <v/>
      </c>
      <c r="Q645">
        <f>IF(O645&gt;=3000,"Large","Small")</f>
        <v/>
      </c>
      <c r="R645">
        <f>INDEX(Products!$F$2:$F$49,MATCH(J645,Products!$A$2:$A$49,0))</f>
        <v/>
      </c>
      <c r="S645">
        <f>WEEKDAY(B645,2)</f>
        <v/>
      </c>
    </row>
    <row r="646">
      <c r="A646" t="n">
        <v>509650</v>
      </c>
      <c r="B646" s="6" t="n">
        <v>45939</v>
      </c>
      <c r="C646" t="n">
        <v>16704</v>
      </c>
      <c r="D646" t="inlineStr">
        <is>
          <t>Kolkata</t>
        </is>
      </c>
      <c r="E646" t="inlineStr">
        <is>
          <t>East</t>
        </is>
      </c>
      <c r="F646" t="inlineStr">
        <is>
          <t>Paid Search</t>
        </is>
      </c>
      <c r="G646" t="inlineStr">
        <is>
          <t>Mobile App</t>
        </is>
      </c>
      <c r="H646" t="inlineStr">
        <is>
          <t>UPI</t>
        </is>
      </c>
      <c r="I646" t="inlineStr">
        <is>
          <t>Delivered</t>
        </is>
      </c>
      <c r="J646" t="n">
        <v>123</v>
      </c>
      <c r="K646" t="n">
        <v>1</v>
      </c>
      <c r="L646" t="n">
        <v>3464</v>
      </c>
      <c r="M646" t="n">
        <v>0</v>
      </c>
      <c r="N646">
        <f>VLOOKUP(J646,Products!$A$2:$C$49,3,FALSE)</f>
        <v/>
      </c>
      <c r="O646">
        <f>K646*L646-M646</f>
        <v/>
      </c>
      <c r="P646">
        <f>TEXT(B646,"yyyy-mm")</f>
        <v/>
      </c>
      <c r="Q646">
        <f>IF(O646&gt;=3000,"Large","Small")</f>
        <v/>
      </c>
      <c r="R646">
        <f>INDEX(Products!$F$2:$F$49,MATCH(J646,Products!$A$2:$A$49,0))</f>
        <v/>
      </c>
      <c r="S646">
        <f>WEEKDAY(B646,2)</f>
        <v/>
      </c>
    </row>
    <row r="647">
      <c r="A647" t="n">
        <v>509651</v>
      </c>
      <c r="B647" s="6" t="n">
        <v>45939</v>
      </c>
      <c r="C647" t="n">
        <v>15290</v>
      </c>
      <c r="D647" t="inlineStr">
        <is>
          <t>Pune</t>
        </is>
      </c>
      <c r="E647" t="inlineStr">
        <is>
          <t>West</t>
        </is>
      </c>
      <c r="F647" t="inlineStr">
        <is>
          <t>Paid Social</t>
        </is>
      </c>
      <c r="G647" t="inlineStr">
        <is>
          <t>Mobile App</t>
        </is>
      </c>
      <c r="H647" t="inlineStr">
        <is>
          <t>UPI</t>
        </is>
      </c>
      <c r="I647" t="inlineStr">
        <is>
          <t>Delivered</t>
        </is>
      </c>
      <c r="J647" t="n">
        <v>118</v>
      </c>
      <c r="K647" t="n">
        <v>1</v>
      </c>
      <c r="L647" t="n">
        <v>944</v>
      </c>
      <c r="M647" t="n">
        <v>0</v>
      </c>
      <c r="N647">
        <f>VLOOKUP(J647,Products!$A$2:$C$49,3,FALSE)</f>
        <v/>
      </c>
      <c r="O647">
        <f>K647*L647-M647</f>
        <v/>
      </c>
      <c r="P647">
        <f>TEXT(B647,"yyyy-mm")</f>
        <v/>
      </c>
      <c r="Q647">
        <f>IF(O647&gt;=3000,"Large","Small")</f>
        <v/>
      </c>
      <c r="R647">
        <f>INDEX(Products!$F$2:$F$49,MATCH(J647,Products!$A$2:$A$49,0))</f>
        <v/>
      </c>
      <c r="S647">
        <f>WEEKDAY(B647,2)</f>
        <v/>
      </c>
    </row>
    <row r="648">
      <c r="A648" t="n">
        <v>509652</v>
      </c>
      <c r="B648" s="6" t="n">
        <v>45939</v>
      </c>
      <c r="C648" t="n">
        <v>14651</v>
      </c>
      <c r="D648" t="inlineStr">
        <is>
          <t>Bengaluru</t>
        </is>
      </c>
      <c r="E648" t="inlineStr">
        <is>
          <t>South</t>
        </is>
      </c>
      <c r="F648" t="inlineStr">
        <is>
          <t>Paid Search</t>
        </is>
      </c>
      <c r="G648" t="inlineStr">
        <is>
          <t>Mobile Web</t>
        </is>
      </c>
      <c r="H648" t="inlineStr">
        <is>
          <t>Cash on Delivery</t>
        </is>
      </c>
      <c r="I648" t="inlineStr">
        <is>
          <t>Delivered</t>
        </is>
      </c>
      <c r="J648" t="n">
        <v>112</v>
      </c>
      <c r="K648" t="n">
        <v>1</v>
      </c>
      <c r="L648" t="n">
        <v>1574</v>
      </c>
      <c r="M648" t="n">
        <v>157.4</v>
      </c>
      <c r="N648">
        <f>VLOOKUP(J648,Products!$A$2:$C$49,3,FALSE)</f>
        <v/>
      </c>
      <c r="O648">
        <f>K648*L648-M648</f>
        <v/>
      </c>
      <c r="P648">
        <f>TEXT(B648,"yyyy-mm")</f>
        <v/>
      </c>
      <c r="Q648">
        <f>IF(O648&gt;=3000,"Large","Small")</f>
        <v/>
      </c>
      <c r="R648">
        <f>INDEX(Products!$F$2:$F$49,MATCH(J648,Products!$A$2:$A$49,0))</f>
        <v/>
      </c>
      <c r="S648">
        <f>WEEKDAY(B648,2)</f>
        <v/>
      </c>
    </row>
    <row r="649">
      <c r="A649" t="n">
        <v>509653</v>
      </c>
      <c r="B649" s="6" t="n">
        <v>45940</v>
      </c>
      <c r="C649" t="n">
        <v>14238</v>
      </c>
      <c r="D649" t="inlineStr">
        <is>
          <t>Bengaluru</t>
        </is>
      </c>
      <c r="E649" t="inlineStr">
        <is>
          <t>South</t>
        </is>
      </c>
      <c r="F649" t="inlineStr">
        <is>
          <t>Referral</t>
        </is>
      </c>
      <c r="G649" t="inlineStr">
        <is>
          <t>Mobile App</t>
        </is>
      </c>
      <c r="H649" t="inlineStr">
        <is>
          <t>Credit Card</t>
        </is>
      </c>
      <c r="I649" t="inlineStr">
        <is>
          <t>Cancelled</t>
        </is>
      </c>
      <c r="J649" t="n">
        <v>128</v>
      </c>
      <c r="K649" t="n">
        <v>1</v>
      </c>
      <c r="L649" t="n">
        <v>1049</v>
      </c>
      <c r="M649" t="n">
        <v>0</v>
      </c>
      <c r="N649">
        <f>VLOOKUP(J649,Products!$A$2:$C$49,3,FALSE)</f>
        <v/>
      </c>
      <c r="O649">
        <f>K649*L649-M649</f>
        <v/>
      </c>
      <c r="P649">
        <f>TEXT(B649,"yyyy-mm")</f>
        <v/>
      </c>
      <c r="Q649">
        <f>IF(O649&gt;=3000,"Large","Small")</f>
        <v/>
      </c>
      <c r="R649">
        <f>INDEX(Products!$F$2:$F$49,MATCH(J649,Products!$A$2:$A$49,0))</f>
        <v/>
      </c>
      <c r="S649">
        <f>WEEKDAY(B649,2)</f>
        <v/>
      </c>
    </row>
    <row r="650">
      <c r="A650" t="n">
        <v>509654</v>
      </c>
      <c r="B650" s="6" t="n">
        <v>45940</v>
      </c>
      <c r="C650" t="n">
        <v>14860</v>
      </c>
      <c r="D650" t="inlineStr">
        <is>
          <t>Chennai</t>
        </is>
      </c>
      <c r="E650" t="inlineStr">
        <is>
          <t>South</t>
        </is>
      </c>
      <c r="F650" t="inlineStr">
        <is>
          <t>Email</t>
        </is>
      </c>
      <c r="G650" t="inlineStr">
        <is>
          <t>Mobile App</t>
        </is>
      </c>
      <c r="H650" t="inlineStr">
        <is>
          <t>Cash on Delivery</t>
        </is>
      </c>
      <c r="I650" t="inlineStr">
        <is>
          <t>Returned</t>
        </is>
      </c>
      <c r="J650" t="n">
        <v>107</v>
      </c>
      <c r="K650" t="n">
        <v>1</v>
      </c>
      <c r="L650" t="n">
        <v>1259</v>
      </c>
      <c r="M650" t="n">
        <v>0</v>
      </c>
      <c r="N650">
        <f>VLOOKUP(J650,Products!$A$2:$C$49,3,FALSE)</f>
        <v/>
      </c>
      <c r="O650">
        <f>K650*L650-M650</f>
        <v/>
      </c>
      <c r="P650">
        <f>TEXT(B650,"yyyy-mm")</f>
        <v/>
      </c>
      <c r="Q650">
        <f>IF(O650&gt;=3000,"Large","Small")</f>
        <v/>
      </c>
      <c r="R650">
        <f>INDEX(Products!$F$2:$F$49,MATCH(J650,Products!$A$2:$A$49,0))</f>
        <v/>
      </c>
      <c r="S650">
        <f>WEEKDAY(B650,2)</f>
        <v/>
      </c>
    </row>
    <row r="651">
      <c r="A651" t="n">
        <v>509655</v>
      </c>
      <c r="B651" s="6" t="n">
        <v>45940</v>
      </c>
      <c r="C651" t="n">
        <v>16709</v>
      </c>
      <c r="D651" t="inlineStr">
        <is>
          <t>Bengaluru</t>
        </is>
      </c>
      <c r="E651" t="inlineStr">
        <is>
          <t>South</t>
        </is>
      </c>
      <c r="F651" t="inlineStr">
        <is>
          <t>Email</t>
        </is>
      </c>
      <c r="G651" t="inlineStr">
        <is>
          <t>Desktop</t>
        </is>
      </c>
      <c r="H651" t="inlineStr">
        <is>
          <t>Cash on Delivery</t>
        </is>
      </c>
      <c r="I651" t="inlineStr">
        <is>
          <t>Delivered</t>
        </is>
      </c>
      <c r="J651" t="n">
        <v>108</v>
      </c>
      <c r="K651" t="n">
        <v>1</v>
      </c>
      <c r="L651" t="n">
        <v>419</v>
      </c>
      <c r="M651" t="n">
        <v>0</v>
      </c>
      <c r="N651">
        <f>VLOOKUP(J651,Products!$A$2:$C$49,3,FALSE)</f>
        <v/>
      </c>
      <c r="O651">
        <f>K651*L651-M651</f>
        <v/>
      </c>
      <c r="P651">
        <f>TEXT(B651,"yyyy-mm")</f>
        <v/>
      </c>
      <c r="Q651">
        <f>IF(O651&gt;=3000,"Large","Small")</f>
        <v/>
      </c>
      <c r="R651">
        <f>INDEX(Products!$F$2:$F$49,MATCH(J651,Products!$A$2:$A$49,0))</f>
        <v/>
      </c>
      <c r="S651">
        <f>WEEKDAY(B651,2)</f>
        <v/>
      </c>
    </row>
    <row r="652">
      <c r="A652" t="n">
        <v>509656</v>
      </c>
      <c r="B652" s="6" t="n">
        <v>45940</v>
      </c>
      <c r="C652" t="n">
        <v>16649</v>
      </c>
      <c r="D652" t="inlineStr">
        <is>
          <t>Gurugram</t>
        </is>
      </c>
      <c r="E652" t="inlineStr">
        <is>
          <t>North</t>
        </is>
      </c>
      <c r="F652" t="inlineStr">
        <is>
          <t>Paid Social</t>
        </is>
      </c>
      <c r="G652" t="inlineStr">
        <is>
          <t>Mobile App</t>
        </is>
      </c>
      <c r="H652" t="inlineStr">
        <is>
          <t>Cash on Delivery</t>
        </is>
      </c>
      <c r="I652" t="inlineStr">
        <is>
          <t>Delivered</t>
        </is>
      </c>
      <c r="J652" t="n">
        <v>112</v>
      </c>
      <c r="K652" t="n">
        <v>1</v>
      </c>
      <c r="L652" t="n">
        <v>1574</v>
      </c>
      <c r="M652" t="n">
        <v>0</v>
      </c>
      <c r="N652">
        <f>VLOOKUP(J652,Products!$A$2:$C$49,3,FALSE)</f>
        <v/>
      </c>
      <c r="O652">
        <f>K652*L652-M652</f>
        <v/>
      </c>
      <c r="P652">
        <f>TEXT(B652,"yyyy-mm")</f>
        <v/>
      </c>
      <c r="Q652">
        <f>IF(O652&gt;=3000,"Large","Small")</f>
        <v/>
      </c>
      <c r="R652">
        <f>INDEX(Products!$F$2:$F$49,MATCH(J652,Products!$A$2:$A$49,0))</f>
        <v/>
      </c>
      <c r="S652">
        <f>WEEKDAY(B652,2)</f>
        <v/>
      </c>
    </row>
    <row r="653">
      <c r="A653" t="n">
        <v>509656</v>
      </c>
      <c r="B653" s="6" t="n">
        <v>45940</v>
      </c>
      <c r="C653" t="n">
        <v>16649</v>
      </c>
      <c r="D653" t="inlineStr">
        <is>
          <t>Gurugram</t>
        </is>
      </c>
      <c r="E653" t="inlineStr">
        <is>
          <t>North</t>
        </is>
      </c>
      <c r="F653" t="inlineStr">
        <is>
          <t>Paid Social</t>
        </is>
      </c>
      <c r="G653" t="inlineStr">
        <is>
          <t>Mobile App</t>
        </is>
      </c>
      <c r="H653" t="inlineStr">
        <is>
          <t>Cash on Delivery</t>
        </is>
      </c>
      <c r="I653" t="inlineStr">
        <is>
          <t>Delivered</t>
        </is>
      </c>
      <c r="J653" t="n">
        <v>138</v>
      </c>
      <c r="K653" t="n">
        <v>1</v>
      </c>
      <c r="L653" t="n">
        <v>419</v>
      </c>
      <c r="M653" t="n">
        <v>0</v>
      </c>
      <c r="N653">
        <f>VLOOKUP(J653,Products!$A$2:$C$49,3,FALSE)</f>
        <v/>
      </c>
      <c r="O653">
        <f>K653*L653-M653</f>
        <v/>
      </c>
      <c r="P653">
        <f>TEXT(B653,"yyyy-mm")</f>
        <v/>
      </c>
      <c r="Q653">
        <f>IF(O653&gt;=3000,"Large","Small")</f>
        <v/>
      </c>
      <c r="R653">
        <f>INDEX(Products!$F$2:$F$49,MATCH(J653,Products!$A$2:$A$49,0))</f>
        <v/>
      </c>
      <c r="S653">
        <f>WEEKDAY(B653,2)</f>
        <v/>
      </c>
    </row>
    <row r="654">
      <c r="A654" t="n">
        <v>509656</v>
      </c>
      <c r="B654" s="6" t="n">
        <v>45940</v>
      </c>
      <c r="C654" t="n">
        <v>16649</v>
      </c>
      <c r="D654" t="inlineStr">
        <is>
          <t>Gurugram</t>
        </is>
      </c>
      <c r="E654" t="inlineStr">
        <is>
          <t>North</t>
        </is>
      </c>
      <c r="F654" t="inlineStr">
        <is>
          <t>Paid Social</t>
        </is>
      </c>
      <c r="G654" t="inlineStr">
        <is>
          <t>Mobile App</t>
        </is>
      </c>
      <c r="H654" t="inlineStr">
        <is>
          <t>Cash on Delivery</t>
        </is>
      </c>
      <c r="I654" t="inlineStr">
        <is>
          <t>Delivered</t>
        </is>
      </c>
      <c r="J654" t="n">
        <v>129</v>
      </c>
      <c r="K654" t="n">
        <v>1</v>
      </c>
      <c r="L654" t="n">
        <v>576</v>
      </c>
      <c r="M654" t="n">
        <v>0</v>
      </c>
      <c r="N654">
        <f>VLOOKUP(J654,Products!$A$2:$C$49,3,FALSE)</f>
        <v/>
      </c>
      <c r="O654">
        <f>K654*L654-M654</f>
        <v/>
      </c>
      <c r="P654">
        <f>TEXT(B654,"yyyy-mm")</f>
        <v/>
      </c>
      <c r="Q654">
        <f>IF(O654&gt;=3000,"Large","Small")</f>
        <v/>
      </c>
      <c r="R654">
        <f>INDEX(Products!$F$2:$F$49,MATCH(J654,Products!$A$2:$A$49,0))</f>
        <v/>
      </c>
      <c r="S654">
        <f>WEEKDAY(B654,2)</f>
        <v/>
      </c>
    </row>
    <row r="655">
      <c r="A655" t="n">
        <v>509657</v>
      </c>
      <c r="B655" s="6" t="n">
        <v>45940</v>
      </c>
      <c r="C655" t="n">
        <v>15484</v>
      </c>
      <c r="D655" t="inlineStr">
        <is>
          <t>Pune</t>
        </is>
      </c>
      <c r="E655" t="inlineStr">
        <is>
          <t>West</t>
        </is>
      </c>
      <c r="F655" t="inlineStr">
        <is>
          <t>Email</t>
        </is>
      </c>
      <c r="G655" t="inlineStr">
        <is>
          <t>Desktop</t>
        </is>
      </c>
      <c r="H655" t="inlineStr">
        <is>
          <t>Credit Card</t>
        </is>
      </c>
      <c r="I655" t="inlineStr">
        <is>
          <t>Returned</t>
        </is>
      </c>
      <c r="J655" t="n">
        <v>116</v>
      </c>
      <c r="K655" t="n">
        <v>1</v>
      </c>
      <c r="L655" t="n">
        <v>2624</v>
      </c>
      <c r="M655" t="n">
        <v>262.4</v>
      </c>
      <c r="N655">
        <f>VLOOKUP(J655,Products!$A$2:$C$49,3,FALSE)</f>
        <v/>
      </c>
      <c r="O655">
        <f>K655*L655-M655</f>
        <v/>
      </c>
      <c r="P655">
        <f>TEXT(B655,"yyyy-mm")</f>
        <v/>
      </c>
      <c r="Q655">
        <f>IF(O655&gt;=3000,"Large","Small")</f>
        <v/>
      </c>
      <c r="R655">
        <f>INDEX(Products!$F$2:$F$49,MATCH(J655,Products!$A$2:$A$49,0))</f>
        <v/>
      </c>
      <c r="S655">
        <f>WEEKDAY(B655,2)</f>
        <v/>
      </c>
    </row>
    <row r="656">
      <c r="A656" t="n">
        <v>509657</v>
      </c>
      <c r="B656" s="6" t="n">
        <v>45940</v>
      </c>
      <c r="C656" t="n">
        <v>15484</v>
      </c>
      <c r="D656" t="inlineStr">
        <is>
          <t>Pune</t>
        </is>
      </c>
      <c r="E656" t="inlineStr">
        <is>
          <t>West</t>
        </is>
      </c>
      <c r="F656" t="inlineStr">
        <is>
          <t>Email</t>
        </is>
      </c>
      <c r="G656" t="inlineStr">
        <is>
          <t>Desktop</t>
        </is>
      </c>
      <c r="H656" t="inlineStr">
        <is>
          <t>Credit Card</t>
        </is>
      </c>
      <c r="I656" t="inlineStr">
        <is>
          <t>Returned</t>
        </is>
      </c>
      <c r="J656" t="n">
        <v>129</v>
      </c>
      <c r="K656" t="n">
        <v>1</v>
      </c>
      <c r="L656" t="n">
        <v>576</v>
      </c>
      <c r="M656" t="n">
        <v>57.6</v>
      </c>
      <c r="N656">
        <f>VLOOKUP(J656,Products!$A$2:$C$49,3,FALSE)</f>
        <v/>
      </c>
      <c r="O656">
        <f>K656*L656-M656</f>
        <v/>
      </c>
      <c r="P656">
        <f>TEXT(B656,"yyyy-mm")</f>
        <v/>
      </c>
      <c r="Q656">
        <f>IF(O656&gt;=3000,"Large","Small")</f>
        <v/>
      </c>
      <c r="R656">
        <f>INDEX(Products!$F$2:$F$49,MATCH(J656,Products!$A$2:$A$49,0))</f>
        <v/>
      </c>
      <c r="S656">
        <f>WEEKDAY(B656,2)</f>
        <v/>
      </c>
    </row>
    <row r="657">
      <c r="A657" t="n">
        <v>509658</v>
      </c>
      <c r="B657" s="6" t="n">
        <v>45940</v>
      </c>
      <c r="C657" t="n">
        <v>14493</v>
      </c>
      <c r="D657" t="inlineStr">
        <is>
          <t>Kolkata</t>
        </is>
      </c>
      <c r="E657" t="inlineStr">
        <is>
          <t>East</t>
        </is>
      </c>
      <c r="F657" t="inlineStr">
        <is>
          <t>Paid Search</t>
        </is>
      </c>
      <c r="G657" t="inlineStr">
        <is>
          <t>Desktop</t>
        </is>
      </c>
      <c r="H657" t="inlineStr">
        <is>
          <t>Debit Card</t>
        </is>
      </c>
      <c r="I657" t="inlineStr">
        <is>
          <t>Cancelled</t>
        </is>
      </c>
      <c r="J657" t="n">
        <v>104</v>
      </c>
      <c r="K657" t="n">
        <v>1</v>
      </c>
      <c r="L657" t="n">
        <v>5249</v>
      </c>
      <c r="M657" t="n">
        <v>0</v>
      </c>
      <c r="N657">
        <f>VLOOKUP(J657,Products!$A$2:$C$49,3,FALSE)</f>
        <v/>
      </c>
      <c r="O657">
        <f>K657*L657-M657</f>
        <v/>
      </c>
      <c r="P657">
        <f>TEXT(B657,"yyyy-mm")</f>
        <v/>
      </c>
      <c r="Q657">
        <f>IF(O657&gt;=3000,"Large","Small")</f>
        <v/>
      </c>
      <c r="R657">
        <f>INDEX(Products!$F$2:$F$49,MATCH(J657,Products!$A$2:$A$49,0))</f>
        <v/>
      </c>
      <c r="S657">
        <f>WEEKDAY(B657,2)</f>
        <v/>
      </c>
    </row>
    <row r="658">
      <c r="A658" t="n">
        <v>509658</v>
      </c>
      <c r="B658" s="6" t="n">
        <v>45940</v>
      </c>
      <c r="C658" t="n">
        <v>14493</v>
      </c>
      <c r="D658" t="inlineStr">
        <is>
          <t>Kolkata</t>
        </is>
      </c>
      <c r="E658" t="inlineStr">
        <is>
          <t>East</t>
        </is>
      </c>
      <c r="F658" t="inlineStr">
        <is>
          <t>Paid Search</t>
        </is>
      </c>
      <c r="G658" t="inlineStr">
        <is>
          <t>Desktop</t>
        </is>
      </c>
      <c r="H658" t="inlineStr">
        <is>
          <t>Debit Card</t>
        </is>
      </c>
      <c r="I658" t="inlineStr">
        <is>
          <t>Cancelled</t>
        </is>
      </c>
      <c r="J658" t="n">
        <v>129</v>
      </c>
      <c r="K658" t="n">
        <v>1</v>
      </c>
      <c r="L658" t="n">
        <v>576</v>
      </c>
      <c r="M658" t="n">
        <v>0</v>
      </c>
      <c r="N658">
        <f>VLOOKUP(J658,Products!$A$2:$C$49,3,FALSE)</f>
        <v/>
      </c>
      <c r="O658">
        <f>K658*L658-M658</f>
        <v/>
      </c>
      <c r="P658">
        <f>TEXT(B658,"yyyy-mm")</f>
        <v/>
      </c>
      <c r="Q658">
        <f>IF(O658&gt;=3000,"Large","Small")</f>
        <v/>
      </c>
      <c r="R658">
        <f>INDEX(Products!$F$2:$F$49,MATCH(J658,Products!$A$2:$A$49,0))</f>
        <v/>
      </c>
      <c r="S658">
        <f>WEEKDAY(B658,2)</f>
        <v/>
      </c>
    </row>
    <row r="659">
      <c r="A659" t="n">
        <v>509659</v>
      </c>
      <c r="B659" s="6" t="n">
        <v>45940</v>
      </c>
      <c r="C659" t="n">
        <v>16659</v>
      </c>
      <c r="D659" t="inlineStr">
        <is>
          <t>Gurugram</t>
        </is>
      </c>
      <c r="E659" t="inlineStr">
        <is>
          <t>North</t>
        </is>
      </c>
      <c r="F659" t="inlineStr">
        <is>
          <t>Referral</t>
        </is>
      </c>
      <c r="G659" t="inlineStr">
        <is>
          <t>Mobile Web</t>
        </is>
      </c>
      <c r="H659" t="inlineStr">
        <is>
          <t>Credit Card</t>
        </is>
      </c>
      <c r="I659" t="inlineStr">
        <is>
          <t>Delivered</t>
        </is>
      </c>
      <c r="J659" t="n">
        <v>104</v>
      </c>
      <c r="K659" t="n">
        <v>1</v>
      </c>
      <c r="L659" t="n">
        <v>5249</v>
      </c>
      <c r="M659" t="n">
        <v>787.35</v>
      </c>
      <c r="N659">
        <f>VLOOKUP(J659,Products!$A$2:$C$49,3,FALSE)</f>
        <v/>
      </c>
      <c r="O659">
        <f>K659*L659-M659</f>
        <v/>
      </c>
      <c r="P659">
        <f>TEXT(B659,"yyyy-mm")</f>
        <v/>
      </c>
      <c r="Q659">
        <f>IF(O659&gt;=3000,"Large","Small")</f>
        <v/>
      </c>
      <c r="R659">
        <f>INDEX(Products!$F$2:$F$49,MATCH(J659,Products!$A$2:$A$49,0))</f>
        <v/>
      </c>
      <c r="S659">
        <f>WEEKDAY(B659,2)</f>
        <v/>
      </c>
    </row>
    <row r="660">
      <c r="A660" t="n">
        <v>509660</v>
      </c>
      <c r="B660" s="6" t="n">
        <v>45940</v>
      </c>
      <c r="C660" t="n">
        <v>10754</v>
      </c>
      <c r="D660" t="inlineStr">
        <is>
          <t>Indore</t>
        </is>
      </c>
      <c r="E660" t="inlineStr">
        <is>
          <t>West</t>
        </is>
      </c>
      <c r="F660" t="inlineStr">
        <is>
          <t>Email</t>
        </is>
      </c>
      <c r="G660" t="inlineStr">
        <is>
          <t>Mobile Web</t>
        </is>
      </c>
      <c r="H660" t="inlineStr">
        <is>
          <t>UPI</t>
        </is>
      </c>
      <c r="I660" t="inlineStr">
        <is>
          <t>Delivered</t>
        </is>
      </c>
      <c r="J660" t="n">
        <v>147</v>
      </c>
      <c r="K660" t="n">
        <v>1</v>
      </c>
      <c r="L660" t="n">
        <v>1364</v>
      </c>
      <c r="M660" t="n">
        <v>136.4</v>
      </c>
      <c r="N660">
        <f>VLOOKUP(J660,Products!$A$2:$C$49,3,FALSE)</f>
        <v/>
      </c>
      <c r="O660">
        <f>K660*L660-M660</f>
        <v/>
      </c>
      <c r="P660">
        <f>TEXT(B660,"yyyy-mm")</f>
        <v/>
      </c>
      <c r="Q660">
        <f>IF(O660&gt;=3000,"Large","Small")</f>
        <v/>
      </c>
      <c r="R660">
        <f>INDEX(Products!$F$2:$F$49,MATCH(J660,Products!$A$2:$A$49,0))</f>
        <v/>
      </c>
      <c r="S660">
        <f>WEEKDAY(B660,2)</f>
        <v/>
      </c>
    </row>
    <row r="661">
      <c r="A661" t="n">
        <v>509660</v>
      </c>
      <c r="B661" s="6" t="n">
        <v>45940</v>
      </c>
      <c r="C661" t="n">
        <v>10754</v>
      </c>
      <c r="D661" t="inlineStr">
        <is>
          <t>Indore</t>
        </is>
      </c>
      <c r="E661" t="inlineStr">
        <is>
          <t>West</t>
        </is>
      </c>
      <c r="F661" t="inlineStr">
        <is>
          <t>Email</t>
        </is>
      </c>
      <c r="G661" t="inlineStr">
        <is>
          <t>Mobile Web</t>
        </is>
      </c>
      <c r="H661" t="inlineStr">
        <is>
          <t>UPI</t>
        </is>
      </c>
      <c r="I661" t="inlineStr">
        <is>
          <t>Delivered</t>
        </is>
      </c>
      <c r="J661" t="n">
        <v>126</v>
      </c>
      <c r="K661" t="n">
        <v>1</v>
      </c>
      <c r="L661" t="n">
        <v>471</v>
      </c>
      <c r="M661" t="n">
        <v>47.1</v>
      </c>
      <c r="N661">
        <f>VLOOKUP(J661,Products!$A$2:$C$49,3,FALSE)</f>
        <v/>
      </c>
      <c r="O661">
        <f>K661*L661-M661</f>
        <v/>
      </c>
      <c r="P661">
        <f>TEXT(B661,"yyyy-mm")</f>
        <v/>
      </c>
      <c r="Q661">
        <f>IF(O661&gt;=3000,"Large","Small")</f>
        <v/>
      </c>
      <c r="R661">
        <f>INDEX(Products!$F$2:$F$49,MATCH(J661,Products!$A$2:$A$49,0))</f>
        <v/>
      </c>
      <c r="S661">
        <f>WEEKDAY(B661,2)</f>
        <v/>
      </c>
    </row>
    <row r="662">
      <c r="A662" t="n">
        <v>509661</v>
      </c>
      <c r="B662" s="6" t="n">
        <v>45940</v>
      </c>
      <c r="C662" t="n">
        <v>14879</v>
      </c>
      <c r="D662" t="inlineStr">
        <is>
          <t>Gurugram</t>
        </is>
      </c>
      <c r="E662" t="inlineStr">
        <is>
          <t>North</t>
        </is>
      </c>
      <c r="F662" t="inlineStr">
        <is>
          <t>Paid Search</t>
        </is>
      </c>
      <c r="G662" t="inlineStr">
        <is>
          <t>Mobile App</t>
        </is>
      </c>
      <c r="H662" t="inlineStr">
        <is>
          <t>Debit Card</t>
        </is>
      </c>
      <c r="I662" t="inlineStr">
        <is>
          <t>Delivered</t>
        </is>
      </c>
      <c r="J662" t="n">
        <v>135</v>
      </c>
      <c r="K662" t="n">
        <v>2</v>
      </c>
      <c r="L662" t="n">
        <v>1574</v>
      </c>
      <c r="M662" t="n">
        <v>314.8</v>
      </c>
      <c r="N662">
        <f>VLOOKUP(J662,Products!$A$2:$C$49,3,FALSE)</f>
        <v/>
      </c>
      <c r="O662">
        <f>K662*L662-M662</f>
        <v/>
      </c>
      <c r="P662">
        <f>TEXT(B662,"yyyy-mm")</f>
        <v/>
      </c>
      <c r="Q662">
        <f>IF(O662&gt;=3000,"Large","Small")</f>
        <v/>
      </c>
      <c r="R662">
        <f>INDEX(Products!$F$2:$F$49,MATCH(J662,Products!$A$2:$A$49,0))</f>
        <v/>
      </c>
      <c r="S662">
        <f>WEEKDAY(B662,2)</f>
        <v/>
      </c>
    </row>
    <row r="663">
      <c r="A663" t="n">
        <v>509661</v>
      </c>
      <c r="B663" s="6" t="n">
        <v>45940</v>
      </c>
      <c r="C663" t="n">
        <v>14879</v>
      </c>
      <c r="D663" t="inlineStr">
        <is>
          <t>Gurugram</t>
        </is>
      </c>
      <c r="E663" t="inlineStr">
        <is>
          <t>North</t>
        </is>
      </c>
      <c r="F663" t="inlineStr">
        <is>
          <t>Paid Search</t>
        </is>
      </c>
      <c r="G663" t="inlineStr">
        <is>
          <t>Mobile App</t>
        </is>
      </c>
      <c r="H663" t="inlineStr">
        <is>
          <t>Debit Card</t>
        </is>
      </c>
      <c r="I663" t="inlineStr">
        <is>
          <t>Delivered</t>
        </is>
      </c>
      <c r="J663" t="n">
        <v>145</v>
      </c>
      <c r="K663" t="n">
        <v>2</v>
      </c>
      <c r="L663" t="n">
        <v>629</v>
      </c>
      <c r="M663" t="n">
        <v>125.8</v>
      </c>
      <c r="N663">
        <f>VLOOKUP(J663,Products!$A$2:$C$49,3,FALSE)</f>
        <v/>
      </c>
      <c r="O663">
        <f>K663*L663-M663</f>
        <v/>
      </c>
      <c r="P663">
        <f>TEXT(B663,"yyyy-mm")</f>
        <v/>
      </c>
      <c r="Q663">
        <f>IF(O663&gt;=3000,"Large","Small")</f>
        <v/>
      </c>
      <c r="R663">
        <f>INDEX(Products!$F$2:$F$49,MATCH(J663,Products!$A$2:$A$49,0))</f>
        <v/>
      </c>
      <c r="S663">
        <f>WEEKDAY(B663,2)</f>
        <v/>
      </c>
    </row>
    <row r="664">
      <c r="A664" t="n">
        <v>509662</v>
      </c>
      <c r="B664" s="6" t="n">
        <v>45940</v>
      </c>
      <c r="C664" t="n">
        <v>16634</v>
      </c>
      <c r="D664" t="inlineStr">
        <is>
          <t>Pune</t>
        </is>
      </c>
      <c r="E664" t="inlineStr">
        <is>
          <t>West</t>
        </is>
      </c>
      <c r="F664" t="inlineStr">
        <is>
          <t>Paid Search</t>
        </is>
      </c>
      <c r="G664" t="inlineStr">
        <is>
          <t>Mobile App</t>
        </is>
      </c>
      <c r="H664" t="inlineStr">
        <is>
          <t>Credit Card</t>
        </is>
      </c>
      <c r="I664" t="inlineStr">
        <is>
          <t>Delivered</t>
        </is>
      </c>
      <c r="J664" t="n">
        <v>134</v>
      </c>
      <c r="K664" t="n">
        <v>1</v>
      </c>
      <c r="L664" t="n">
        <v>209</v>
      </c>
      <c r="M664" t="n">
        <v>0</v>
      </c>
      <c r="N664">
        <f>VLOOKUP(J664,Products!$A$2:$C$49,3,FALSE)</f>
        <v/>
      </c>
      <c r="O664">
        <f>K664*L664-M664</f>
        <v/>
      </c>
      <c r="P664">
        <f>TEXT(B664,"yyyy-mm")</f>
        <v/>
      </c>
      <c r="Q664">
        <f>IF(O664&gt;=3000,"Large","Small")</f>
        <v/>
      </c>
      <c r="R664">
        <f>INDEX(Products!$F$2:$F$49,MATCH(J664,Products!$A$2:$A$49,0))</f>
        <v/>
      </c>
      <c r="S664">
        <f>WEEKDAY(B664,2)</f>
        <v/>
      </c>
    </row>
    <row r="665">
      <c r="A665" t="n">
        <v>509662</v>
      </c>
      <c r="B665" s="6" t="n">
        <v>45940</v>
      </c>
      <c r="C665" t="n">
        <v>16634</v>
      </c>
      <c r="D665" t="inlineStr">
        <is>
          <t>Pune</t>
        </is>
      </c>
      <c r="E665" t="inlineStr">
        <is>
          <t>West</t>
        </is>
      </c>
      <c r="F665" t="inlineStr">
        <is>
          <t>Paid Search</t>
        </is>
      </c>
      <c r="G665" t="inlineStr">
        <is>
          <t>Mobile App</t>
        </is>
      </c>
      <c r="H665" t="inlineStr">
        <is>
          <t>Credit Card</t>
        </is>
      </c>
      <c r="I665" t="inlineStr">
        <is>
          <t>Delivered</t>
        </is>
      </c>
      <c r="J665" t="n">
        <v>126</v>
      </c>
      <c r="K665" t="n">
        <v>1</v>
      </c>
      <c r="L665" t="n">
        <v>471</v>
      </c>
      <c r="M665" t="n">
        <v>0</v>
      </c>
      <c r="N665">
        <f>VLOOKUP(J665,Products!$A$2:$C$49,3,FALSE)</f>
        <v/>
      </c>
      <c r="O665">
        <f>K665*L665-M665</f>
        <v/>
      </c>
      <c r="P665">
        <f>TEXT(B665,"yyyy-mm")</f>
        <v/>
      </c>
      <c r="Q665">
        <f>IF(O665&gt;=3000,"Large","Small")</f>
        <v/>
      </c>
      <c r="R665">
        <f>INDEX(Products!$F$2:$F$49,MATCH(J665,Products!$A$2:$A$49,0))</f>
        <v/>
      </c>
      <c r="S665">
        <f>WEEKDAY(B665,2)</f>
        <v/>
      </c>
    </row>
    <row r="666">
      <c r="A666" t="n">
        <v>509663</v>
      </c>
      <c r="B666" s="6" t="n">
        <v>45940</v>
      </c>
      <c r="C666" t="n">
        <v>16588</v>
      </c>
      <c r="D666" t="inlineStr">
        <is>
          <t>Indore</t>
        </is>
      </c>
      <c r="E666" t="inlineStr">
        <is>
          <t>West</t>
        </is>
      </c>
      <c r="F666" t="inlineStr">
        <is>
          <t>Affiliate</t>
        </is>
      </c>
      <c r="G666" t="inlineStr">
        <is>
          <t>Mobile Web</t>
        </is>
      </c>
      <c r="H666" t="inlineStr">
        <is>
          <t>UPI</t>
        </is>
      </c>
      <c r="I666" t="inlineStr">
        <is>
          <t>Cancelled</t>
        </is>
      </c>
      <c r="J666" t="n">
        <v>144</v>
      </c>
      <c r="K666" t="n">
        <v>1</v>
      </c>
      <c r="L666" t="n">
        <v>3149</v>
      </c>
      <c r="M666" t="n">
        <v>314.9</v>
      </c>
      <c r="N666">
        <f>VLOOKUP(J666,Products!$A$2:$C$49,3,FALSE)</f>
        <v/>
      </c>
      <c r="O666">
        <f>K666*L666-M666</f>
        <v/>
      </c>
      <c r="P666">
        <f>TEXT(B666,"yyyy-mm")</f>
        <v/>
      </c>
      <c r="Q666">
        <f>IF(O666&gt;=3000,"Large","Small")</f>
        <v/>
      </c>
      <c r="R666">
        <f>INDEX(Products!$F$2:$F$49,MATCH(J666,Products!$A$2:$A$49,0))</f>
        <v/>
      </c>
      <c r="S666">
        <f>WEEKDAY(B666,2)</f>
        <v/>
      </c>
    </row>
    <row r="667">
      <c r="A667" t="n">
        <v>509663</v>
      </c>
      <c r="B667" s="6" t="n">
        <v>45940</v>
      </c>
      <c r="C667" t="n">
        <v>16588</v>
      </c>
      <c r="D667" t="inlineStr">
        <is>
          <t>Indore</t>
        </is>
      </c>
      <c r="E667" t="inlineStr">
        <is>
          <t>West</t>
        </is>
      </c>
      <c r="F667" t="inlineStr">
        <is>
          <t>Affiliate</t>
        </is>
      </c>
      <c r="G667" t="inlineStr">
        <is>
          <t>Mobile Web</t>
        </is>
      </c>
      <c r="H667" t="inlineStr">
        <is>
          <t>UPI</t>
        </is>
      </c>
      <c r="I667" t="inlineStr">
        <is>
          <t>Cancelled</t>
        </is>
      </c>
      <c r="J667" t="n">
        <v>129</v>
      </c>
      <c r="K667" t="n">
        <v>1</v>
      </c>
      <c r="L667" t="n">
        <v>576</v>
      </c>
      <c r="M667" t="n">
        <v>57.6</v>
      </c>
      <c r="N667">
        <f>VLOOKUP(J667,Products!$A$2:$C$49,3,FALSE)</f>
        <v/>
      </c>
      <c r="O667">
        <f>K667*L667-M667</f>
        <v/>
      </c>
      <c r="P667">
        <f>TEXT(B667,"yyyy-mm")</f>
        <v/>
      </c>
      <c r="Q667">
        <f>IF(O667&gt;=3000,"Large","Small")</f>
        <v/>
      </c>
      <c r="R667">
        <f>INDEX(Products!$F$2:$F$49,MATCH(J667,Products!$A$2:$A$49,0))</f>
        <v/>
      </c>
      <c r="S667">
        <f>WEEKDAY(B667,2)</f>
        <v/>
      </c>
    </row>
    <row r="668">
      <c r="A668" t="n">
        <v>509664</v>
      </c>
      <c r="B668" s="6" t="n">
        <v>45940</v>
      </c>
      <c r="C668" t="n">
        <v>15159</v>
      </c>
      <c r="D668" t="inlineStr">
        <is>
          <t>Gurugram</t>
        </is>
      </c>
      <c r="E668" t="inlineStr">
        <is>
          <t>North</t>
        </is>
      </c>
      <c r="F668" t="inlineStr">
        <is>
          <t>Paid Social</t>
        </is>
      </c>
      <c r="G668" t="inlineStr">
        <is>
          <t>Mobile App</t>
        </is>
      </c>
      <c r="H668" t="inlineStr">
        <is>
          <t>UPI</t>
        </is>
      </c>
      <c r="I668" t="inlineStr">
        <is>
          <t>Delivered</t>
        </is>
      </c>
      <c r="J668" t="n">
        <v>131</v>
      </c>
      <c r="K668" t="n">
        <v>2</v>
      </c>
      <c r="L668" t="n">
        <v>314</v>
      </c>
      <c r="M668" t="n">
        <v>62.8</v>
      </c>
      <c r="N668">
        <f>VLOOKUP(J668,Products!$A$2:$C$49,3,FALSE)</f>
        <v/>
      </c>
      <c r="O668">
        <f>K668*L668-M668</f>
        <v/>
      </c>
      <c r="P668">
        <f>TEXT(B668,"yyyy-mm")</f>
        <v/>
      </c>
      <c r="Q668">
        <f>IF(O668&gt;=3000,"Large","Small")</f>
        <v/>
      </c>
      <c r="R668">
        <f>INDEX(Products!$F$2:$F$49,MATCH(J668,Products!$A$2:$A$49,0))</f>
        <v/>
      </c>
      <c r="S668">
        <f>WEEKDAY(B668,2)</f>
        <v/>
      </c>
    </row>
    <row r="669">
      <c r="A669" t="n">
        <v>509664</v>
      </c>
      <c r="B669" s="6" t="n">
        <v>45940</v>
      </c>
      <c r="C669" t="n">
        <v>15159</v>
      </c>
      <c r="D669" t="inlineStr">
        <is>
          <t>Gurugram</t>
        </is>
      </c>
      <c r="E669" t="inlineStr">
        <is>
          <t>North</t>
        </is>
      </c>
      <c r="F669" t="inlineStr">
        <is>
          <t>Paid Social</t>
        </is>
      </c>
      <c r="G669" t="inlineStr">
        <is>
          <t>Mobile App</t>
        </is>
      </c>
      <c r="H669" t="inlineStr">
        <is>
          <t>UPI</t>
        </is>
      </c>
      <c r="I669" t="inlineStr">
        <is>
          <t>Delivered</t>
        </is>
      </c>
      <c r="J669" t="n">
        <v>137</v>
      </c>
      <c r="K669" t="n">
        <v>2</v>
      </c>
      <c r="L669" t="n">
        <v>261</v>
      </c>
      <c r="M669" t="n">
        <v>52.2</v>
      </c>
      <c r="N669">
        <f>VLOOKUP(J669,Products!$A$2:$C$49,3,FALSE)</f>
        <v/>
      </c>
      <c r="O669">
        <f>K669*L669-M669</f>
        <v/>
      </c>
      <c r="P669">
        <f>TEXT(B669,"yyyy-mm")</f>
        <v/>
      </c>
      <c r="Q669">
        <f>IF(O669&gt;=3000,"Large","Small")</f>
        <v/>
      </c>
      <c r="R669">
        <f>INDEX(Products!$F$2:$F$49,MATCH(J669,Products!$A$2:$A$49,0))</f>
        <v/>
      </c>
      <c r="S669">
        <f>WEEKDAY(B669,2)</f>
        <v/>
      </c>
    </row>
    <row r="670">
      <c r="A670" t="n">
        <v>509664</v>
      </c>
      <c r="B670" s="6" t="n">
        <v>45940</v>
      </c>
      <c r="C670" t="n">
        <v>15159</v>
      </c>
      <c r="D670" t="inlineStr">
        <is>
          <t>Gurugram</t>
        </is>
      </c>
      <c r="E670" t="inlineStr">
        <is>
          <t>North</t>
        </is>
      </c>
      <c r="F670" t="inlineStr">
        <is>
          <t>Paid Social</t>
        </is>
      </c>
      <c r="G670" t="inlineStr">
        <is>
          <t>Mobile App</t>
        </is>
      </c>
      <c r="H670" t="inlineStr">
        <is>
          <t>UPI</t>
        </is>
      </c>
      <c r="I670" t="inlineStr">
        <is>
          <t>Delivered</t>
        </is>
      </c>
      <c r="J670" t="n">
        <v>129</v>
      </c>
      <c r="K670" t="n">
        <v>2</v>
      </c>
      <c r="L670" t="n">
        <v>576</v>
      </c>
      <c r="M670" t="n">
        <v>115.2</v>
      </c>
      <c r="N670">
        <f>VLOOKUP(J670,Products!$A$2:$C$49,3,FALSE)</f>
        <v/>
      </c>
      <c r="O670">
        <f>K670*L670-M670</f>
        <v/>
      </c>
      <c r="P670">
        <f>TEXT(B670,"yyyy-mm")</f>
        <v/>
      </c>
      <c r="Q670">
        <f>IF(O670&gt;=3000,"Large","Small")</f>
        <v/>
      </c>
      <c r="R670">
        <f>INDEX(Products!$F$2:$F$49,MATCH(J670,Products!$A$2:$A$49,0))</f>
        <v/>
      </c>
      <c r="S670">
        <f>WEEKDAY(B670,2)</f>
        <v/>
      </c>
    </row>
    <row r="671">
      <c r="A671" t="n">
        <v>509665</v>
      </c>
      <c r="B671" s="6" t="n">
        <v>45940</v>
      </c>
      <c r="C671" t="n">
        <v>16749</v>
      </c>
      <c r="D671" t="inlineStr">
        <is>
          <t>Delhi</t>
        </is>
      </c>
      <c r="E671" t="inlineStr">
        <is>
          <t>North</t>
        </is>
      </c>
      <c r="F671" t="inlineStr">
        <is>
          <t>Organic Search</t>
        </is>
      </c>
      <c r="G671" t="inlineStr">
        <is>
          <t>Mobile App</t>
        </is>
      </c>
      <c r="H671" t="inlineStr">
        <is>
          <t>UPI</t>
        </is>
      </c>
      <c r="I671" t="inlineStr">
        <is>
          <t>Delivered</t>
        </is>
      </c>
      <c r="J671" t="n">
        <v>130</v>
      </c>
      <c r="K671" t="n">
        <v>1</v>
      </c>
      <c r="L671" t="n">
        <v>734</v>
      </c>
      <c r="M671" t="n">
        <v>73.40000000000001</v>
      </c>
      <c r="N671">
        <f>VLOOKUP(J671,Products!$A$2:$C$49,3,FALSE)</f>
        <v/>
      </c>
      <c r="O671">
        <f>K671*L671-M671</f>
        <v/>
      </c>
      <c r="P671">
        <f>TEXT(B671,"yyyy-mm")</f>
        <v/>
      </c>
      <c r="Q671">
        <f>IF(O671&gt;=3000,"Large","Small")</f>
        <v/>
      </c>
      <c r="R671">
        <f>INDEX(Products!$F$2:$F$49,MATCH(J671,Products!$A$2:$A$49,0))</f>
        <v/>
      </c>
      <c r="S671">
        <f>WEEKDAY(B671,2)</f>
        <v/>
      </c>
    </row>
    <row r="672">
      <c r="A672" t="n">
        <v>509665</v>
      </c>
      <c r="B672" s="6" t="n">
        <v>45940</v>
      </c>
      <c r="C672" t="n">
        <v>16749</v>
      </c>
      <c r="D672" t="inlineStr">
        <is>
          <t>Delhi</t>
        </is>
      </c>
      <c r="E672" t="inlineStr">
        <is>
          <t>North</t>
        </is>
      </c>
      <c r="F672" t="inlineStr">
        <is>
          <t>Organic Search</t>
        </is>
      </c>
      <c r="G672" t="inlineStr">
        <is>
          <t>Mobile App</t>
        </is>
      </c>
      <c r="H672" t="inlineStr">
        <is>
          <t>UPI</t>
        </is>
      </c>
      <c r="I672" t="inlineStr">
        <is>
          <t>Delivered</t>
        </is>
      </c>
      <c r="J672" t="n">
        <v>132</v>
      </c>
      <c r="K672" t="n">
        <v>1</v>
      </c>
      <c r="L672" t="n">
        <v>471</v>
      </c>
      <c r="M672" t="n">
        <v>47.1</v>
      </c>
      <c r="N672">
        <f>VLOOKUP(J672,Products!$A$2:$C$49,3,FALSE)</f>
        <v/>
      </c>
      <c r="O672">
        <f>K672*L672-M672</f>
        <v/>
      </c>
      <c r="P672">
        <f>TEXT(B672,"yyyy-mm")</f>
        <v/>
      </c>
      <c r="Q672">
        <f>IF(O672&gt;=3000,"Large","Small")</f>
        <v/>
      </c>
      <c r="R672">
        <f>INDEX(Products!$F$2:$F$49,MATCH(J672,Products!$A$2:$A$49,0))</f>
        <v/>
      </c>
      <c r="S672">
        <f>WEEKDAY(B672,2)</f>
        <v/>
      </c>
    </row>
    <row r="673">
      <c r="A673" t="n">
        <v>509666</v>
      </c>
      <c r="B673" s="6" t="n">
        <v>45940</v>
      </c>
      <c r="C673" t="n">
        <v>16736</v>
      </c>
      <c r="D673" t="inlineStr">
        <is>
          <t>Pune</t>
        </is>
      </c>
      <c r="E673" t="inlineStr">
        <is>
          <t>West</t>
        </is>
      </c>
      <c r="F673" t="inlineStr">
        <is>
          <t>Email</t>
        </is>
      </c>
      <c r="G673" t="inlineStr">
        <is>
          <t>Mobile App</t>
        </is>
      </c>
      <c r="H673" t="inlineStr">
        <is>
          <t>Cash on Delivery</t>
        </is>
      </c>
      <c r="I673" t="inlineStr">
        <is>
          <t>Delivered</t>
        </is>
      </c>
      <c r="J673" t="n">
        <v>129</v>
      </c>
      <c r="K673" t="n">
        <v>1</v>
      </c>
      <c r="L673" t="n">
        <v>576</v>
      </c>
      <c r="M673" t="n">
        <v>57.6</v>
      </c>
      <c r="N673">
        <f>VLOOKUP(J673,Products!$A$2:$C$49,3,FALSE)</f>
        <v/>
      </c>
      <c r="O673">
        <f>K673*L673-M673</f>
        <v/>
      </c>
      <c r="P673">
        <f>TEXT(B673,"yyyy-mm")</f>
        <v/>
      </c>
      <c r="Q673">
        <f>IF(O673&gt;=3000,"Large","Small")</f>
        <v/>
      </c>
      <c r="R673">
        <f>INDEX(Products!$F$2:$F$49,MATCH(J673,Products!$A$2:$A$49,0))</f>
        <v/>
      </c>
      <c r="S673">
        <f>WEEKDAY(B673,2)</f>
        <v/>
      </c>
    </row>
    <row r="674">
      <c r="A674" t="n">
        <v>509667</v>
      </c>
      <c r="B674" s="6" t="n">
        <v>45940</v>
      </c>
      <c r="C674" t="n">
        <v>16584</v>
      </c>
      <c r="D674" t="inlineStr">
        <is>
          <t>Delhi</t>
        </is>
      </c>
      <c r="E674" t="inlineStr">
        <is>
          <t>North</t>
        </is>
      </c>
      <c r="F674" t="inlineStr">
        <is>
          <t>Paid Social</t>
        </is>
      </c>
      <c r="G674" t="inlineStr">
        <is>
          <t>Desktop</t>
        </is>
      </c>
      <c r="H674" t="inlineStr">
        <is>
          <t>UPI</t>
        </is>
      </c>
      <c r="I674" t="inlineStr">
        <is>
          <t>Delivered</t>
        </is>
      </c>
      <c r="J674" t="n">
        <v>117</v>
      </c>
      <c r="K674" t="n">
        <v>1</v>
      </c>
      <c r="L674" t="n">
        <v>3149</v>
      </c>
      <c r="M674" t="n">
        <v>472.35</v>
      </c>
      <c r="N674">
        <f>VLOOKUP(J674,Products!$A$2:$C$49,3,FALSE)</f>
        <v/>
      </c>
      <c r="O674">
        <f>K674*L674-M674</f>
        <v/>
      </c>
      <c r="P674">
        <f>TEXT(B674,"yyyy-mm")</f>
        <v/>
      </c>
      <c r="Q674">
        <f>IF(O674&gt;=3000,"Large","Small")</f>
        <v/>
      </c>
      <c r="R674">
        <f>INDEX(Products!$F$2:$F$49,MATCH(J674,Products!$A$2:$A$49,0))</f>
        <v/>
      </c>
      <c r="S674">
        <f>WEEKDAY(B674,2)</f>
        <v/>
      </c>
    </row>
    <row r="675">
      <c r="A675" t="n">
        <v>509667</v>
      </c>
      <c r="B675" s="6" t="n">
        <v>45940</v>
      </c>
      <c r="C675" t="n">
        <v>16584</v>
      </c>
      <c r="D675" t="inlineStr">
        <is>
          <t>Delhi</t>
        </is>
      </c>
      <c r="E675" t="inlineStr">
        <is>
          <t>North</t>
        </is>
      </c>
      <c r="F675" t="inlineStr">
        <is>
          <t>Paid Social</t>
        </is>
      </c>
      <c r="G675" t="inlineStr">
        <is>
          <t>Desktop</t>
        </is>
      </c>
      <c r="H675" t="inlineStr">
        <is>
          <t>UPI</t>
        </is>
      </c>
      <c r="I675" t="inlineStr">
        <is>
          <t>Delivered</t>
        </is>
      </c>
      <c r="J675" t="n">
        <v>141</v>
      </c>
      <c r="K675" t="n">
        <v>1</v>
      </c>
      <c r="L675" t="n">
        <v>261</v>
      </c>
      <c r="M675" t="n">
        <v>39.15</v>
      </c>
      <c r="N675">
        <f>VLOOKUP(J675,Products!$A$2:$C$49,3,FALSE)</f>
        <v/>
      </c>
      <c r="O675">
        <f>K675*L675-M675</f>
        <v/>
      </c>
      <c r="P675">
        <f>TEXT(B675,"yyyy-mm")</f>
        <v/>
      </c>
      <c r="Q675">
        <f>IF(O675&gt;=3000,"Large","Small")</f>
        <v/>
      </c>
      <c r="R675">
        <f>INDEX(Products!$F$2:$F$49,MATCH(J675,Products!$A$2:$A$49,0))</f>
        <v/>
      </c>
      <c r="S675">
        <f>WEEKDAY(B675,2)</f>
        <v/>
      </c>
    </row>
    <row r="676">
      <c r="A676" t="n">
        <v>509668</v>
      </c>
      <c r="B676" s="6" t="n">
        <v>45940</v>
      </c>
      <c r="C676" t="n">
        <v>14847</v>
      </c>
      <c r="D676" t="inlineStr">
        <is>
          <t>Hyderabad</t>
        </is>
      </c>
      <c r="E676" t="inlineStr">
        <is>
          <t>South</t>
        </is>
      </c>
      <c r="F676" t="inlineStr">
        <is>
          <t>Organic Search</t>
        </is>
      </c>
      <c r="G676" t="inlineStr">
        <is>
          <t>Mobile Web</t>
        </is>
      </c>
      <c r="H676" t="inlineStr">
        <is>
          <t>UPI</t>
        </is>
      </c>
      <c r="I676" t="inlineStr">
        <is>
          <t>Delivered</t>
        </is>
      </c>
      <c r="J676" t="n">
        <v>128</v>
      </c>
      <c r="K676" t="n">
        <v>1</v>
      </c>
      <c r="L676" t="n">
        <v>1049</v>
      </c>
      <c r="M676" t="n">
        <v>0</v>
      </c>
      <c r="N676">
        <f>VLOOKUP(J676,Products!$A$2:$C$49,3,FALSE)</f>
        <v/>
      </c>
      <c r="O676">
        <f>K676*L676-M676</f>
        <v/>
      </c>
      <c r="P676">
        <f>TEXT(B676,"yyyy-mm")</f>
        <v/>
      </c>
      <c r="Q676">
        <f>IF(O676&gt;=3000,"Large","Small")</f>
        <v/>
      </c>
      <c r="R676">
        <f>INDEX(Products!$F$2:$F$49,MATCH(J676,Products!$A$2:$A$49,0))</f>
        <v/>
      </c>
      <c r="S676">
        <f>WEEKDAY(B676,2)</f>
        <v/>
      </c>
    </row>
    <row r="677">
      <c r="A677" t="n">
        <v>509668</v>
      </c>
      <c r="B677" s="6" t="n">
        <v>45940</v>
      </c>
      <c r="C677" t="n">
        <v>14847</v>
      </c>
      <c r="D677" t="inlineStr">
        <is>
          <t>Hyderabad</t>
        </is>
      </c>
      <c r="E677" t="inlineStr">
        <is>
          <t>South</t>
        </is>
      </c>
      <c r="F677" t="inlineStr">
        <is>
          <t>Organic Search</t>
        </is>
      </c>
      <c r="G677" t="inlineStr">
        <is>
          <t>Mobile Web</t>
        </is>
      </c>
      <c r="H677" t="inlineStr">
        <is>
          <t>UPI</t>
        </is>
      </c>
      <c r="I677" t="inlineStr">
        <is>
          <t>Delivered</t>
        </is>
      </c>
      <c r="J677" t="n">
        <v>137</v>
      </c>
      <c r="K677" t="n">
        <v>1</v>
      </c>
      <c r="L677" t="n">
        <v>261</v>
      </c>
      <c r="M677" t="n">
        <v>0</v>
      </c>
      <c r="N677">
        <f>VLOOKUP(J677,Products!$A$2:$C$49,3,FALSE)</f>
        <v/>
      </c>
      <c r="O677">
        <f>K677*L677-M677</f>
        <v/>
      </c>
      <c r="P677">
        <f>TEXT(B677,"yyyy-mm")</f>
        <v/>
      </c>
      <c r="Q677">
        <f>IF(O677&gt;=3000,"Large","Small")</f>
        <v/>
      </c>
      <c r="R677">
        <f>INDEX(Products!$F$2:$F$49,MATCH(J677,Products!$A$2:$A$49,0))</f>
        <v/>
      </c>
      <c r="S677">
        <f>WEEKDAY(B677,2)</f>
        <v/>
      </c>
    </row>
    <row r="678">
      <c r="A678" t="n">
        <v>509669</v>
      </c>
      <c r="B678" s="6" t="n">
        <v>45940</v>
      </c>
      <c r="C678" t="n">
        <v>15066</v>
      </c>
      <c r="D678" t="inlineStr">
        <is>
          <t>Pune</t>
        </is>
      </c>
      <c r="E678" t="inlineStr">
        <is>
          <t>West</t>
        </is>
      </c>
      <c r="F678" t="inlineStr">
        <is>
          <t>Paid Social</t>
        </is>
      </c>
      <c r="G678" t="inlineStr">
        <is>
          <t>Desktop</t>
        </is>
      </c>
      <c r="H678" t="inlineStr">
        <is>
          <t>UPI</t>
        </is>
      </c>
      <c r="I678" t="inlineStr">
        <is>
          <t>Delivered</t>
        </is>
      </c>
      <c r="J678" t="n">
        <v>127</v>
      </c>
      <c r="K678" t="n">
        <v>1</v>
      </c>
      <c r="L678" t="n">
        <v>681</v>
      </c>
      <c r="M678" t="n">
        <v>68.09999999999999</v>
      </c>
      <c r="N678">
        <f>VLOOKUP(J678,Products!$A$2:$C$49,3,FALSE)</f>
        <v/>
      </c>
      <c r="O678">
        <f>K678*L678-M678</f>
        <v/>
      </c>
      <c r="P678">
        <f>TEXT(B678,"yyyy-mm")</f>
        <v/>
      </c>
      <c r="Q678">
        <f>IF(O678&gt;=3000,"Large","Small")</f>
        <v/>
      </c>
      <c r="R678">
        <f>INDEX(Products!$F$2:$F$49,MATCH(J678,Products!$A$2:$A$49,0))</f>
        <v/>
      </c>
      <c r="S678">
        <f>WEEKDAY(B678,2)</f>
        <v/>
      </c>
    </row>
    <row r="679">
      <c r="A679" t="n">
        <v>509669</v>
      </c>
      <c r="B679" s="6" t="n">
        <v>45940</v>
      </c>
      <c r="C679" t="n">
        <v>15066</v>
      </c>
      <c r="D679" t="inlineStr">
        <is>
          <t>Pune</t>
        </is>
      </c>
      <c r="E679" t="inlineStr">
        <is>
          <t>West</t>
        </is>
      </c>
      <c r="F679" t="inlineStr">
        <is>
          <t>Paid Social</t>
        </is>
      </c>
      <c r="G679" t="inlineStr">
        <is>
          <t>Desktop</t>
        </is>
      </c>
      <c r="H679" t="inlineStr">
        <is>
          <t>UPI</t>
        </is>
      </c>
      <c r="I679" t="inlineStr">
        <is>
          <t>Delivered</t>
        </is>
      </c>
      <c r="J679" t="n">
        <v>129</v>
      </c>
      <c r="K679" t="n">
        <v>1</v>
      </c>
      <c r="L679" t="n">
        <v>576</v>
      </c>
      <c r="M679" t="n">
        <v>57.6</v>
      </c>
      <c r="N679">
        <f>VLOOKUP(J679,Products!$A$2:$C$49,3,FALSE)</f>
        <v/>
      </c>
      <c r="O679">
        <f>K679*L679-M679</f>
        <v/>
      </c>
      <c r="P679">
        <f>TEXT(B679,"yyyy-mm")</f>
        <v/>
      </c>
      <c r="Q679">
        <f>IF(O679&gt;=3000,"Large","Small")</f>
        <v/>
      </c>
      <c r="R679">
        <f>INDEX(Products!$F$2:$F$49,MATCH(J679,Products!$A$2:$A$49,0))</f>
        <v/>
      </c>
      <c r="S679">
        <f>WEEKDAY(B679,2)</f>
        <v/>
      </c>
    </row>
    <row r="680">
      <c r="A680" t="n">
        <v>509670</v>
      </c>
      <c r="B680" s="6" t="n">
        <v>45940</v>
      </c>
      <c r="C680" t="n">
        <v>11850</v>
      </c>
      <c r="D680" t="inlineStr">
        <is>
          <t>Bengaluru</t>
        </is>
      </c>
      <c r="E680" t="inlineStr">
        <is>
          <t>South</t>
        </is>
      </c>
      <c r="F680" t="inlineStr">
        <is>
          <t>Paid Social</t>
        </is>
      </c>
      <c r="G680" t="inlineStr">
        <is>
          <t>Desktop</t>
        </is>
      </c>
      <c r="H680" t="inlineStr">
        <is>
          <t>Cash on Delivery</t>
        </is>
      </c>
      <c r="I680" t="inlineStr">
        <is>
          <t>Cancelled</t>
        </is>
      </c>
      <c r="J680" t="n">
        <v>136</v>
      </c>
      <c r="K680" t="n">
        <v>2</v>
      </c>
      <c r="L680" t="n">
        <v>944</v>
      </c>
      <c r="M680" t="n">
        <v>0</v>
      </c>
      <c r="N680">
        <f>VLOOKUP(J680,Products!$A$2:$C$49,3,FALSE)</f>
        <v/>
      </c>
      <c r="O680">
        <f>K680*L680-M680</f>
        <v/>
      </c>
      <c r="P680">
        <f>TEXT(B680,"yyyy-mm")</f>
        <v/>
      </c>
      <c r="Q680">
        <f>IF(O680&gt;=3000,"Large","Small")</f>
        <v/>
      </c>
      <c r="R680">
        <f>INDEX(Products!$F$2:$F$49,MATCH(J680,Products!$A$2:$A$49,0))</f>
        <v/>
      </c>
      <c r="S680">
        <f>WEEKDAY(B680,2)</f>
        <v/>
      </c>
    </row>
    <row r="681">
      <c r="A681" t="n">
        <v>509671</v>
      </c>
      <c r="B681" s="6" t="n">
        <v>45940</v>
      </c>
      <c r="C681" t="n">
        <v>16695</v>
      </c>
      <c r="D681" t="inlineStr">
        <is>
          <t>Mumbai</t>
        </is>
      </c>
      <c r="E681" t="inlineStr">
        <is>
          <t>West</t>
        </is>
      </c>
      <c r="F681" t="inlineStr">
        <is>
          <t>Referral</t>
        </is>
      </c>
      <c r="G681" t="inlineStr">
        <is>
          <t>Mobile Web</t>
        </is>
      </c>
      <c r="H681" t="inlineStr">
        <is>
          <t>Credit Card</t>
        </is>
      </c>
      <c r="I681" t="inlineStr">
        <is>
          <t>Delivered</t>
        </is>
      </c>
      <c r="J681" t="n">
        <v>111</v>
      </c>
      <c r="K681" t="n">
        <v>1</v>
      </c>
      <c r="L681" t="n">
        <v>524</v>
      </c>
      <c r="M681" t="n">
        <v>0</v>
      </c>
      <c r="N681">
        <f>VLOOKUP(J681,Products!$A$2:$C$49,3,FALSE)</f>
        <v/>
      </c>
      <c r="O681">
        <f>K681*L681-M681</f>
        <v/>
      </c>
      <c r="P681">
        <f>TEXT(B681,"yyyy-mm")</f>
        <v/>
      </c>
      <c r="Q681">
        <f>IF(O681&gt;=3000,"Large","Small")</f>
        <v/>
      </c>
      <c r="R681">
        <f>INDEX(Products!$F$2:$F$49,MATCH(J681,Products!$A$2:$A$49,0))</f>
        <v/>
      </c>
      <c r="S681">
        <f>WEEKDAY(B681,2)</f>
        <v/>
      </c>
    </row>
    <row r="682">
      <c r="A682" t="n">
        <v>509671</v>
      </c>
      <c r="B682" s="6" t="n">
        <v>45940</v>
      </c>
      <c r="C682" t="n">
        <v>16695</v>
      </c>
      <c r="D682" t="inlineStr">
        <is>
          <t>Mumbai</t>
        </is>
      </c>
      <c r="E682" t="inlineStr">
        <is>
          <t>West</t>
        </is>
      </c>
      <c r="F682" t="inlineStr">
        <is>
          <t>Referral</t>
        </is>
      </c>
      <c r="G682" t="inlineStr">
        <is>
          <t>Mobile Web</t>
        </is>
      </c>
      <c r="H682" t="inlineStr">
        <is>
          <t>Credit Card</t>
        </is>
      </c>
      <c r="I682" t="inlineStr">
        <is>
          <t>Delivered</t>
        </is>
      </c>
      <c r="J682" t="n">
        <v>141</v>
      </c>
      <c r="K682" t="n">
        <v>1</v>
      </c>
      <c r="L682" t="n">
        <v>261</v>
      </c>
      <c r="M682" t="n">
        <v>0</v>
      </c>
      <c r="N682">
        <f>VLOOKUP(J682,Products!$A$2:$C$49,3,FALSE)</f>
        <v/>
      </c>
      <c r="O682">
        <f>K682*L682-M682</f>
        <v/>
      </c>
      <c r="P682">
        <f>TEXT(B682,"yyyy-mm")</f>
        <v/>
      </c>
      <c r="Q682">
        <f>IF(O682&gt;=3000,"Large","Small")</f>
        <v/>
      </c>
      <c r="R682">
        <f>INDEX(Products!$F$2:$F$49,MATCH(J682,Products!$A$2:$A$49,0))</f>
        <v/>
      </c>
      <c r="S682">
        <f>WEEKDAY(B682,2)</f>
        <v/>
      </c>
    </row>
    <row r="683">
      <c r="A683" t="n">
        <v>509671</v>
      </c>
      <c r="B683" s="6" t="n">
        <v>45940</v>
      </c>
      <c r="C683" t="n">
        <v>16695</v>
      </c>
      <c r="D683" t="inlineStr">
        <is>
          <t>Mumbai</t>
        </is>
      </c>
      <c r="E683" t="inlineStr">
        <is>
          <t>West</t>
        </is>
      </c>
      <c r="F683" t="inlineStr">
        <is>
          <t>Referral</t>
        </is>
      </c>
      <c r="G683" t="inlineStr">
        <is>
          <t>Mobile Web</t>
        </is>
      </c>
      <c r="H683" t="inlineStr">
        <is>
          <t>Credit Card</t>
        </is>
      </c>
      <c r="I683" t="inlineStr">
        <is>
          <t>Delivered</t>
        </is>
      </c>
      <c r="J683" t="n">
        <v>137</v>
      </c>
      <c r="K683" t="n">
        <v>1</v>
      </c>
      <c r="L683" t="n">
        <v>261</v>
      </c>
      <c r="M683" t="n">
        <v>0</v>
      </c>
      <c r="N683">
        <f>VLOOKUP(J683,Products!$A$2:$C$49,3,FALSE)</f>
        <v/>
      </c>
      <c r="O683">
        <f>K683*L683-M683</f>
        <v/>
      </c>
      <c r="P683">
        <f>TEXT(B683,"yyyy-mm")</f>
        <v/>
      </c>
      <c r="Q683">
        <f>IF(O683&gt;=3000,"Large","Small")</f>
        <v/>
      </c>
      <c r="R683">
        <f>INDEX(Products!$F$2:$F$49,MATCH(J683,Products!$A$2:$A$49,0))</f>
        <v/>
      </c>
      <c r="S683">
        <f>WEEKDAY(B683,2)</f>
        <v/>
      </c>
    </row>
    <row r="684">
      <c r="A684" t="n">
        <v>509671</v>
      </c>
      <c r="B684" s="6" t="n">
        <v>45940</v>
      </c>
      <c r="C684" t="n">
        <v>16695</v>
      </c>
      <c r="D684" t="inlineStr">
        <is>
          <t>Mumbai</t>
        </is>
      </c>
      <c r="E684" t="inlineStr">
        <is>
          <t>West</t>
        </is>
      </c>
      <c r="F684" t="inlineStr">
        <is>
          <t>Referral</t>
        </is>
      </c>
      <c r="G684" t="inlineStr">
        <is>
          <t>Mobile Web</t>
        </is>
      </c>
      <c r="H684" t="inlineStr">
        <is>
          <t>Credit Card</t>
        </is>
      </c>
      <c r="I684" t="inlineStr">
        <is>
          <t>Delivered</t>
        </is>
      </c>
      <c r="J684" t="n">
        <v>140</v>
      </c>
      <c r="K684" t="n">
        <v>1</v>
      </c>
      <c r="L684" t="n">
        <v>629</v>
      </c>
      <c r="M684" t="n">
        <v>0</v>
      </c>
      <c r="N684">
        <f>VLOOKUP(J684,Products!$A$2:$C$49,3,FALSE)</f>
        <v/>
      </c>
      <c r="O684">
        <f>K684*L684-M684</f>
        <v/>
      </c>
      <c r="P684">
        <f>TEXT(B684,"yyyy-mm")</f>
        <v/>
      </c>
      <c r="Q684">
        <f>IF(O684&gt;=3000,"Large","Small")</f>
        <v/>
      </c>
      <c r="R684">
        <f>INDEX(Products!$F$2:$F$49,MATCH(J684,Products!$A$2:$A$49,0))</f>
        <v/>
      </c>
      <c r="S684">
        <f>WEEKDAY(B684,2)</f>
        <v/>
      </c>
    </row>
    <row r="685">
      <c r="A685" t="n">
        <v>509672</v>
      </c>
      <c r="B685" s="6" t="n">
        <v>45940</v>
      </c>
      <c r="C685" t="n">
        <v>16389</v>
      </c>
      <c r="D685" t="inlineStr">
        <is>
          <t>Bengaluru</t>
        </is>
      </c>
      <c r="E685" t="inlineStr">
        <is>
          <t>South</t>
        </is>
      </c>
      <c r="F685" t="inlineStr">
        <is>
          <t>Organic Search</t>
        </is>
      </c>
      <c r="G685" t="inlineStr">
        <is>
          <t>Mobile App</t>
        </is>
      </c>
      <c r="H685" t="inlineStr">
        <is>
          <t>Credit Card</t>
        </is>
      </c>
      <c r="I685" t="inlineStr">
        <is>
          <t>Delivered</t>
        </is>
      </c>
      <c r="J685" t="n">
        <v>139</v>
      </c>
      <c r="K685" t="n">
        <v>1</v>
      </c>
      <c r="L685" t="n">
        <v>366</v>
      </c>
      <c r="M685" t="n">
        <v>0</v>
      </c>
      <c r="N685">
        <f>VLOOKUP(J685,Products!$A$2:$C$49,3,FALSE)</f>
        <v/>
      </c>
      <c r="O685">
        <f>K685*L685-M685</f>
        <v/>
      </c>
      <c r="P685">
        <f>TEXT(B685,"yyyy-mm")</f>
        <v/>
      </c>
      <c r="Q685">
        <f>IF(O685&gt;=3000,"Large","Small")</f>
        <v/>
      </c>
      <c r="R685">
        <f>INDEX(Products!$F$2:$F$49,MATCH(J685,Products!$A$2:$A$49,0))</f>
        <v/>
      </c>
      <c r="S685">
        <f>WEEKDAY(B685,2)</f>
        <v/>
      </c>
    </row>
    <row r="686">
      <c r="A686" t="n">
        <v>509672</v>
      </c>
      <c r="B686" s="6" t="n">
        <v>45940</v>
      </c>
      <c r="C686" t="n">
        <v>16389</v>
      </c>
      <c r="D686" t="inlineStr">
        <is>
          <t>Bengaluru</t>
        </is>
      </c>
      <c r="E686" t="inlineStr">
        <is>
          <t>South</t>
        </is>
      </c>
      <c r="F686" t="inlineStr">
        <is>
          <t>Organic Search</t>
        </is>
      </c>
      <c r="G686" t="inlineStr">
        <is>
          <t>Mobile App</t>
        </is>
      </c>
      <c r="H686" t="inlineStr">
        <is>
          <t>Credit Card</t>
        </is>
      </c>
      <c r="I686" t="inlineStr">
        <is>
          <t>Delivered</t>
        </is>
      </c>
      <c r="J686" t="n">
        <v>129</v>
      </c>
      <c r="K686" t="n">
        <v>1</v>
      </c>
      <c r="L686" t="n">
        <v>576</v>
      </c>
      <c r="M686" t="n">
        <v>0</v>
      </c>
      <c r="N686">
        <f>VLOOKUP(J686,Products!$A$2:$C$49,3,FALSE)</f>
        <v/>
      </c>
      <c r="O686">
        <f>K686*L686-M686</f>
        <v/>
      </c>
      <c r="P686">
        <f>TEXT(B686,"yyyy-mm")</f>
        <v/>
      </c>
      <c r="Q686">
        <f>IF(O686&gt;=3000,"Large","Small")</f>
        <v/>
      </c>
      <c r="R686">
        <f>INDEX(Products!$F$2:$F$49,MATCH(J686,Products!$A$2:$A$49,0))</f>
        <v/>
      </c>
      <c r="S686">
        <f>WEEKDAY(B686,2)</f>
        <v/>
      </c>
    </row>
    <row r="687">
      <c r="A687" t="n">
        <v>509673</v>
      </c>
      <c r="B687" s="6" t="n">
        <v>45940</v>
      </c>
      <c r="C687" t="n">
        <v>14666</v>
      </c>
      <c r="D687" t="inlineStr">
        <is>
          <t>Mumbai</t>
        </is>
      </c>
      <c r="E687" t="inlineStr">
        <is>
          <t>West</t>
        </is>
      </c>
      <c r="F687" t="inlineStr">
        <is>
          <t>Email</t>
        </is>
      </c>
      <c r="G687" t="inlineStr">
        <is>
          <t>Mobile Web</t>
        </is>
      </c>
      <c r="H687" t="inlineStr">
        <is>
          <t>Net Banking</t>
        </is>
      </c>
      <c r="I687" t="inlineStr">
        <is>
          <t>Delivered</t>
        </is>
      </c>
      <c r="J687" t="n">
        <v>118</v>
      </c>
      <c r="K687" t="n">
        <v>1</v>
      </c>
      <c r="L687" t="n">
        <v>944</v>
      </c>
      <c r="M687" t="n">
        <v>0</v>
      </c>
      <c r="N687">
        <f>VLOOKUP(J687,Products!$A$2:$C$49,3,FALSE)</f>
        <v/>
      </c>
      <c r="O687">
        <f>K687*L687-M687</f>
        <v/>
      </c>
      <c r="P687">
        <f>TEXT(B687,"yyyy-mm")</f>
        <v/>
      </c>
      <c r="Q687">
        <f>IF(O687&gt;=3000,"Large","Small")</f>
        <v/>
      </c>
      <c r="R687">
        <f>INDEX(Products!$F$2:$F$49,MATCH(J687,Products!$A$2:$A$49,0))</f>
        <v/>
      </c>
      <c r="S687">
        <f>WEEKDAY(B687,2)</f>
        <v/>
      </c>
    </row>
    <row r="688">
      <c r="A688" t="n">
        <v>509673</v>
      </c>
      <c r="B688" s="6" t="n">
        <v>45940</v>
      </c>
      <c r="C688" t="n">
        <v>14666</v>
      </c>
      <c r="D688" t="inlineStr">
        <is>
          <t>Mumbai</t>
        </is>
      </c>
      <c r="E688" t="inlineStr">
        <is>
          <t>West</t>
        </is>
      </c>
      <c r="F688" t="inlineStr">
        <is>
          <t>Email</t>
        </is>
      </c>
      <c r="G688" t="inlineStr">
        <is>
          <t>Mobile Web</t>
        </is>
      </c>
      <c r="H688" t="inlineStr">
        <is>
          <t>Net Banking</t>
        </is>
      </c>
      <c r="I688" t="inlineStr">
        <is>
          <t>Delivered</t>
        </is>
      </c>
      <c r="J688" t="n">
        <v>143</v>
      </c>
      <c r="K688" t="n">
        <v>1</v>
      </c>
      <c r="L688" t="n">
        <v>839</v>
      </c>
      <c r="M688" t="n">
        <v>0</v>
      </c>
      <c r="N688">
        <f>VLOOKUP(J688,Products!$A$2:$C$49,3,FALSE)</f>
        <v/>
      </c>
      <c r="O688">
        <f>K688*L688-M688</f>
        <v/>
      </c>
      <c r="P688">
        <f>TEXT(B688,"yyyy-mm")</f>
        <v/>
      </c>
      <c r="Q688">
        <f>IF(O688&gt;=3000,"Large","Small")</f>
        <v/>
      </c>
      <c r="R688">
        <f>INDEX(Products!$F$2:$F$49,MATCH(J688,Products!$A$2:$A$49,0))</f>
        <v/>
      </c>
      <c r="S688">
        <f>WEEKDAY(B688,2)</f>
        <v/>
      </c>
    </row>
    <row r="689">
      <c r="A689" t="n">
        <v>509673</v>
      </c>
      <c r="B689" s="6" t="n">
        <v>45940</v>
      </c>
      <c r="C689" t="n">
        <v>14666</v>
      </c>
      <c r="D689" t="inlineStr">
        <is>
          <t>Mumbai</t>
        </is>
      </c>
      <c r="E689" t="inlineStr">
        <is>
          <t>West</t>
        </is>
      </c>
      <c r="F689" t="inlineStr">
        <is>
          <t>Email</t>
        </is>
      </c>
      <c r="G689" t="inlineStr">
        <is>
          <t>Mobile Web</t>
        </is>
      </c>
      <c r="H689" t="inlineStr">
        <is>
          <t>Net Banking</t>
        </is>
      </c>
      <c r="I689" t="inlineStr">
        <is>
          <t>Delivered</t>
        </is>
      </c>
      <c r="J689" t="n">
        <v>146</v>
      </c>
      <c r="K689" t="n">
        <v>1</v>
      </c>
      <c r="L689" t="n">
        <v>4724</v>
      </c>
      <c r="M689" t="n">
        <v>0</v>
      </c>
      <c r="N689">
        <f>VLOOKUP(J689,Products!$A$2:$C$49,3,FALSE)</f>
        <v/>
      </c>
      <c r="O689">
        <f>K689*L689-M689</f>
        <v/>
      </c>
      <c r="P689">
        <f>TEXT(B689,"yyyy-mm")</f>
        <v/>
      </c>
      <c r="Q689">
        <f>IF(O689&gt;=3000,"Large","Small")</f>
        <v/>
      </c>
      <c r="R689">
        <f>INDEX(Products!$F$2:$F$49,MATCH(J689,Products!$A$2:$A$49,0))</f>
        <v/>
      </c>
      <c r="S689">
        <f>WEEKDAY(B689,2)</f>
        <v/>
      </c>
    </row>
    <row r="690">
      <c r="A690" t="n">
        <v>509674</v>
      </c>
      <c r="B690" s="6" t="n">
        <v>45940</v>
      </c>
      <c r="C690" t="n">
        <v>16655</v>
      </c>
      <c r="D690" t="inlineStr">
        <is>
          <t>Mumbai</t>
        </is>
      </c>
      <c r="E690" t="inlineStr">
        <is>
          <t>West</t>
        </is>
      </c>
      <c r="F690" t="inlineStr">
        <is>
          <t>Affiliate</t>
        </is>
      </c>
      <c r="G690" t="inlineStr">
        <is>
          <t>Mobile App</t>
        </is>
      </c>
      <c r="H690" t="inlineStr">
        <is>
          <t>Cash on Delivery</t>
        </is>
      </c>
      <c r="I690" t="inlineStr">
        <is>
          <t>Delivered</t>
        </is>
      </c>
      <c r="J690" t="n">
        <v>135</v>
      </c>
      <c r="K690" t="n">
        <v>1</v>
      </c>
      <c r="L690" t="n">
        <v>1574</v>
      </c>
      <c r="M690" t="n">
        <v>157.4</v>
      </c>
      <c r="N690">
        <f>VLOOKUP(J690,Products!$A$2:$C$49,3,FALSE)</f>
        <v/>
      </c>
      <c r="O690">
        <f>K690*L690-M690</f>
        <v/>
      </c>
      <c r="P690">
        <f>TEXT(B690,"yyyy-mm")</f>
        <v/>
      </c>
      <c r="Q690">
        <f>IF(O690&gt;=3000,"Large","Small")</f>
        <v/>
      </c>
      <c r="R690">
        <f>INDEX(Products!$F$2:$F$49,MATCH(J690,Products!$A$2:$A$49,0))</f>
        <v/>
      </c>
      <c r="S690">
        <f>WEEKDAY(B690,2)</f>
        <v/>
      </c>
    </row>
    <row r="691">
      <c r="A691" t="n">
        <v>509674</v>
      </c>
      <c r="B691" s="6" t="n">
        <v>45940</v>
      </c>
      <c r="C691" t="n">
        <v>16655</v>
      </c>
      <c r="D691" t="inlineStr">
        <is>
          <t>Mumbai</t>
        </is>
      </c>
      <c r="E691" t="inlineStr">
        <is>
          <t>West</t>
        </is>
      </c>
      <c r="F691" t="inlineStr">
        <is>
          <t>Affiliate</t>
        </is>
      </c>
      <c r="G691" t="inlineStr">
        <is>
          <t>Mobile App</t>
        </is>
      </c>
      <c r="H691" t="inlineStr">
        <is>
          <t>Cash on Delivery</t>
        </is>
      </c>
      <c r="I691" t="inlineStr">
        <is>
          <t>Delivered</t>
        </is>
      </c>
      <c r="J691" t="n">
        <v>117</v>
      </c>
      <c r="K691" t="n">
        <v>1</v>
      </c>
      <c r="L691" t="n">
        <v>3149</v>
      </c>
      <c r="M691" t="n">
        <v>314.9</v>
      </c>
      <c r="N691">
        <f>VLOOKUP(J691,Products!$A$2:$C$49,3,FALSE)</f>
        <v/>
      </c>
      <c r="O691">
        <f>K691*L691-M691</f>
        <v/>
      </c>
      <c r="P691">
        <f>TEXT(B691,"yyyy-mm")</f>
        <v/>
      </c>
      <c r="Q691">
        <f>IF(O691&gt;=3000,"Large","Small")</f>
        <v/>
      </c>
      <c r="R691">
        <f>INDEX(Products!$F$2:$F$49,MATCH(J691,Products!$A$2:$A$49,0))</f>
        <v/>
      </c>
      <c r="S691">
        <f>WEEKDAY(B691,2)</f>
        <v/>
      </c>
    </row>
    <row r="692">
      <c r="A692" t="n">
        <v>509675</v>
      </c>
      <c r="B692" s="6" t="n">
        <v>45940</v>
      </c>
      <c r="C692" t="n">
        <v>16756</v>
      </c>
      <c r="D692" t="inlineStr">
        <is>
          <t>Ahmedabad</t>
        </is>
      </c>
      <c r="E692" t="inlineStr">
        <is>
          <t>West</t>
        </is>
      </c>
      <c r="F692" t="inlineStr">
        <is>
          <t>Paid Social</t>
        </is>
      </c>
      <c r="G692" t="inlineStr">
        <is>
          <t>Mobile App</t>
        </is>
      </c>
      <c r="H692" t="inlineStr">
        <is>
          <t>UPI</t>
        </is>
      </c>
      <c r="I692" t="inlineStr">
        <is>
          <t>Delivered</t>
        </is>
      </c>
      <c r="J692" t="n">
        <v>113</v>
      </c>
      <c r="K692" t="n">
        <v>1</v>
      </c>
      <c r="L692" t="n">
        <v>1364</v>
      </c>
      <c r="M692" t="n">
        <v>0</v>
      </c>
      <c r="N692">
        <f>VLOOKUP(J692,Products!$A$2:$C$49,3,FALSE)</f>
        <v/>
      </c>
      <c r="O692">
        <f>K692*L692-M692</f>
        <v/>
      </c>
      <c r="P692">
        <f>TEXT(B692,"yyyy-mm")</f>
        <v/>
      </c>
      <c r="Q692">
        <f>IF(O692&gt;=3000,"Large","Small")</f>
        <v/>
      </c>
      <c r="R692">
        <f>INDEX(Products!$F$2:$F$49,MATCH(J692,Products!$A$2:$A$49,0))</f>
        <v/>
      </c>
      <c r="S692">
        <f>WEEKDAY(B692,2)</f>
        <v/>
      </c>
    </row>
    <row r="693">
      <c r="A693" t="n">
        <v>509675</v>
      </c>
      <c r="B693" s="6" t="n">
        <v>45940</v>
      </c>
      <c r="C693" t="n">
        <v>16756</v>
      </c>
      <c r="D693" t="inlineStr">
        <is>
          <t>Ahmedabad</t>
        </is>
      </c>
      <c r="E693" t="inlineStr">
        <is>
          <t>West</t>
        </is>
      </c>
      <c r="F693" t="inlineStr">
        <is>
          <t>Paid Social</t>
        </is>
      </c>
      <c r="G693" t="inlineStr">
        <is>
          <t>Mobile App</t>
        </is>
      </c>
      <c r="H693" t="inlineStr">
        <is>
          <t>UPI</t>
        </is>
      </c>
      <c r="I693" t="inlineStr">
        <is>
          <t>Delivered</t>
        </is>
      </c>
      <c r="J693" t="n">
        <v>145</v>
      </c>
      <c r="K693" t="n">
        <v>1</v>
      </c>
      <c r="L693" t="n">
        <v>629</v>
      </c>
      <c r="M693" t="n">
        <v>0</v>
      </c>
      <c r="N693">
        <f>VLOOKUP(J693,Products!$A$2:$C$49,3,FALSE)</f>
        <v/>
      </c>
      <c r="O693">
        <f>K693*L693-M693</f>
        <v/>
      </c>
      <c r="P693">
        <f>TEXT(B693,"yyyy-mm")</f>
        <v/>
      </c>
      <c r="Q693">
        <f>IF(O693&gt;=3000,"Large","Small")</f>
        <v/>
      </c>
      <c r="R693">
        <f>INDEX(Products!$F$2:$F$49,MATCH(J693,Products!$A$2:$A$49,0))</f>
        <v/>
      </c>
      <c r="S693">
        <f>WEEKDAY(B693,2)</f>
        <v/>
      </c>
    </row>
    <row r="694">
      <c r="A694" t="n">
        <v>509676</v>
      </c>
      <c r="B694" s="6" t="n">
        <v>45940</v>
      </c>
      <c r="C694" t="n">
        <v>16585</v>
      </c>
      <c r="D694" t="inlineStr">
        <is>
          <t>Mumbai</t>
        </is>
      </c>
      <c r="E694" t="inlineStr">
        <is>
          <t>West</t>
        </is>
      </c>
      <c r="F694" t="inlineStr">
        <is>
          <t>Paid Social</t>
        </is>
      </c>
      <c r="G694" t="inlineStr">
        <is>
          <t>Mobile App</t>
        </is>
      </c>
      <c r="H694" t="inlineStr">
        <is>
          <t>UPI</t>
        </is>
      </c>
      <c r="I694" t="inlineStr">
        <is>
          <t>Delivered</t>
        </is>
      </c>
      <c r="J694" t="n">
        <v>118</v>
      </c>
      <c r="K694" t="n">
        <v>1</v>
      </c>
      <c r="L694" t="n">
        <v>944</v>
      </c>
      <c r="M694" t="n">
        <v>94.40000000000001</v>
      </c>
      <c r="N694">
        <f>VLOOKUP(J694,Products!$A$2:$C$49,3,FALSE)</f>
        <v/>
      </c>
      <c r="O694">
        <f>K694*L694-M694</f>
        <v/>
      </c>
      <c r="P694">
        <f>TEXT(B694,"yyyy-mm")</f>
        <v/>
      </c>
      <c r="Q694">
        <f>IF(O694&gt;=3000,"Large","Small")</f>
        <v/>
      </c>
      <c r="R694">
        <f>INDEX(Products!$F$2:$F$49,MATCH(J694,Products!$A$2:$A$49,0))</f>
        <v/>
      </c>
      <c r="S694">
        <f>WEEKDAY(B694,2)</f>
        <v/>
      </c>
    </row>
    <row r="695">
      <c r="A695" t="n">
        <v>509676</v>
      </c>
      <c r="B695" s="6" t="n">
        <v>45940</v>
      </c>
      <c r="C695" t="n">
        <v>16585</v>
      </c>
      <c r="D695" t="inlineStr">
        <is>
          <t>Mumbai</t>
        </is>
      </c>
      <c r="E695" t="inlineStr">
        <is>
          <t>West</t>
        </is>
      </c>
      <c r="F695" t="inlineStr">
        <is>
          <t>Paid Social</t>
        </is>
      </c>
      <c r="G695" t="inlineStr">
        <is>
          <t>Mobile App</t>
        </is>
      </c>
      <c r="H695" t="inlineStr">
        <is>
          <t>UPI</t>
        </is>
      </c>
      <c r="I695" t="inlineStr">
        <is>
          <t>Delivered</t>
        </is>
      </c>
      <c r="J695" t="n">
        <v>108</v>
      </c>
      <c r="K695" t="n">
        <v>1</v>
      </c>
      <c r="L695" t="n">
        <v>419</v>
      </c>
      <c r="M695" t="n">
        <v>41.9</v>
      </c>
      <c r="N695">
        <f>VLOOKUP(J695,Products!$A$2:$C$49,3,FALSE)</f>
        <v/>
      </c>
      <c r="O695">
        <f>K695*L695-M695</f>
        <v/>
      </c>
      <c r="P695">
        <f>TEXT(B695,"yyyy-mm")</f>
        <v/>
      </c>
      <c r="Q695">
        <f>IF(O695&gt;=3000,"Large","Small")</f>
        <v/>
      </c>
      <c r="R695">
        <f>INDEX(Products!$F$2:$F$49,MATCH(J695,Products!$A$2:$A$49,0))</f>
        <v/>
      </c>
      <c r="S695">
        <f>WEEKDAY(B695,2)</f>
        <v/>
      </c>
    </row>
    <row r="696">
      <c r="A696" t="n">
        <v>509676</v>
      </c>
      <c r="B696" s="6" t="n">
        <v>45940</v>
      </c>
      <c r="C696" t="n">
        <v>16585</v>
      </c>
      <c r="D696" t="inlineStr">
        <is>
          <t>Mumbai</t>
        </is>
      </c>
      <c r="E696" t="inlineStr">
        <is>
          <t>West</t>
        </is>
      </c>
      <c r="F696" t="inlineStr">
        <is>
          <t>Paid Social</t>
        </is>
      </c>
      <c r="G696" t="inlineStr">
        <is>
          <t>Mobile App</t>
        </is>
      </c>
      <c r="H696" t="inlineStr">
        <is>
          <t>UPI</t>
        </is>
      </c>
      <c r="I696" t="inlineStr">
        <is>
          <t>Delivered</t>
        </is>
      </c>
      <c r="J696" t="n">
        <v>129</v>
      </c>
      <c r="K696" t="n">
        <v>1</v>
      </c>
      <c r="L696" t="n">
        <v>576</v>
      </c>
      <c r="M696" t="n">
        <v>57.6</v>
      </c>
      <c r="N696">
        <f>VLOOKUP(J696,Products!$A$2:$C$49,3,FALSE)</f>
        <v/>
      </c>
      <c r="O696">
        <f>K696*L696-M696</f>
        <v/>
      </c>
      <c r="P696">
        <f>TEXT(B696,"yyyy-mm")</f>
        <v/>
      </c>
      <c r="Q696">
        <f>IF(O696&gt;=3000,"Large","Small")</f>
        <v/>
      </c>
      <c r="R696">
        <f>INDEX(Products!$F$2:$F$49,MATCH(J696,Products!$A$2:$A$49,0))</f>
        <v/>
      </c>
      <c r="S696">
        <f>WEEKDAY(B696,2)</f>
        <v/>
      </c>
    </row>
    <row r="697">
      <c r="A697" t="n">
        <v>509677</v>
      </c>
      <c r="B697" s="6" t="n">
        <v>45940</v>
      </c>
      <c r="C697" t="n">
        <v>16714</v>
      </c>
      <c r="D697" t="inlineStr">
        <is>
          <t>Bengaluru</t>
        </is>
      </c>
      <c r="E697" t="inlineStr">
        <is>
          <t>South</t>
        </is>
      </c>
      <c r="F697" t="inlineStr">
        <is>
          <t>Paid Social</t>
        </is>
      </c>
      <c r="G697" t="inlineStr">
        <is>
          <t>Mobile App</t>
        </is>
      </c>
      <c r="H697" t="inlineStr">
        <is>
          <t>UPI</t>
        </is>
      </c>
      <c r="I697" t="inlineStr">
        <is>
          <t>Delivered</t>
        </is>
      </c>
      <c r="J697" t="n">
        <v>106</v>
      </c>
      <c r="K697" t="n">
        <v>1</v>
      </c>
      <c r="L697" t="n">
        <v>1574</v>
      </c>
      <c r="M697" t="n">
        <v>157.4</v>
      </c>
      <c r="N697">
        <f>VLOOKUP(J697,Products!$A$2:$C$49,3,FALSE)</f>
        <v/>
      </c>
      <c r="O697">
        <f>K697*L697-M697</f>
        <v/>
      </c>
      <c r="P697">
        <f>TEXT(B697,"yyyy-mm")</f>
        <v/>
      </c>
      <c r="Q697">
        <f>IF(O697&gt;=3000,"Large","Small")</f>
        <v/>
      </c>
      <c r="R697">
        <f>INDEX(Products!$F$2:$F$49,MATCH(J697,Products!$A$2:$A$49,0))</f>
        <v/>
      </c>
      <c r="S697">
        <f>WEEKDAY(B697,2)</f>
        <v/>
      </c>
    </row>
    <row r="698">
      <c r="A698" t="n">
        <v>509677</v>
      </c>
      <c r="B698" s="6" t="n">
        <v>45940</v>
      </c>
      <c r="C698" t="n">
        <v>16714</v>
      </c>
      <c r="D698" t="inlineStr">
        <is>
          <t>Bengaluru</t>
        </is>
      </c>
      <c r="E698" t="inlineStr">
        <is>
          <t>South</t>
        </is>
      </c>
      <c r="F698" t="inlineStr">
        <is>
          <t>Paid Social</t>
        </is>
      </c>
      <c r="G698" t="inlineStr">
        <is>
          <t>Mobile App</t>
        </is>
      </c>
      <c r="H698" t="inlineStr">
        <is>
          <t>UPI</t>
        </is>
      </c>
      <c r="I698" t="inlineStr">
        <is>
          <t>Delivered</t>
        </is>
      </c>
      <c r="J698" t="n">
        <v>129</v>
      </c>
      <c r="K698" t="n">
        <v>1</v>
      </c>
      <c r="L698" t="n">
        <v>576</v>
      </c>
      <c r="M698" t="n">
        <v>57.6</v>
      </c>
      <c r="N698">
        <f>VLOOKUP(J698,Products!$A$2:$C$49,3,FALSE)</f>
        <v/>
      </c>
      <c r="O698">
        <f>K698*L698-M698</f>
        <v/>
      </c>
      <c r="P698">
        <f>TEXT(B698,"yyyy-mm")</f>
        <v/>
      </c>
      <c r="Q698">
        <f>IF(O698&gt;=3000,"Large","Small")</f>
        <v/>
      </c>
      <c r="R698">
        <f>INDEX(Products!$F$2:$F$49,MATCH(J698,Products!$A$2:$A$49,0))</f>
        <v/>
      </c>
      <c r="S698">
        <f>WEEKDAY(B698,2)</f>
        <v/>
      </c>
    </row>
    <row r="699">
      <c r="A699" t="n">
        <v>509678</v>
      </c>
      <c r="B699" s="6" t="n">
        <v>45940</v>
      </c>
      <c r="C699" t="n">
        <v>12319</v>
      </c>
      <c r="D699" t="inlineStr">
        <is>
          <t>Noida</t>
        </is>
      </c>
      <c r="E699" t="inlineStr">
        <is>
          <t>North</t>
        </is>
      </c>
      <c r="F699" t="inlineStr">
        <is>
          <t>Referral</t>
        </is>
      </c>
      <c r="G699" t="inlineStr">
        <is>
          <t>Desktop</t>
        </is>
      </c>
      <c r="H699" t="inlineStr">
        <is>
          <t>UPI</t>
        </is>
      </c>
      <c r="I699" t="inlineStr">
        <is>
          <t>Cancelled</t>
        </is>
      </c>
      <c r="J699" t="n">
        <v>131</v>
      </c>
      <c r="K699" t="n">
        <v>1</v>
      </c>
      <c r="L699" t="n">
        <v>314</v>
      </c>
      <c r="M699" t="n">
        <v>31.4</v>
      </c>
      <c r="N699">
        <f>VLOOKUP(J699,Products!$A$2:$C$49,3,FALSE)</f>
        <v/>
      </c>
      <c r="O699">
        <f>K699*L699-M699</f>
        <v/>
      </c>
      <c r="P699">
        <f>TEXT(B699,"yyyy-mm")</f>
        <v/>
      </c>
      <c r="Q699">
        <f>IF(O699&gt;=3000,"Large","Small")</f>
        <v/>
      </c>
      <c r="R699">
        <f>INDEX(Products!$F$2:$F$49,MATCH(J699,Products!$A$2:$A$49,0))</f>
        <v/>
      </c>
      <c r="S699">
        <f>WEEKDAY(B699,2)</f>
        <v/>
      </c>
    </row>
    <row r="700">
      <c r="A700" t="n">
        <v>509678</v>
      </c>
      <c r="B700" s="6" t="n">
        <v>45940</v>
      </c>
      <c r="C700" t="n">
        <v>12319</v>
      </c>
      <c r="D700" t="inlineStr">
        <is>
          <t>Noida</t>
        </is>
      </c>
      <c r="E700" t="inlineStr">
        <is>
          <t>North</t>
        </is>
      </c>
      <c r="F700" t="inlineStr">
        <is>
          <t>Referral</t>
        </is>
      </c>
      <c r="G700" t="inlineStr">
        <is>
          <t>Desktop</t>
        </is>
      </c>
      <c r="H700" t="inlineStr">
        <is>
          <t>UPI</t>
        </is>
      </c>
      <c r="I700" t="inlineStr">
        <is>
          <t>Cancelled</t>
        </is>
      </c>
      <c r="J700" t="n">
        <v>112</v>
      </c>
      <c r="K700" t="n">
        <v>1</v>
      </c>
      <c r="L700" t="n">
        <v>1574</v>
      </c>
      <c r="M700" t="n">
        <v>157.4</v>
      </c>
      <c r="N700">
        <f>VLOOKUP(J700,Products!$A$2:$C$49,3,FALSE)</f>
        <v/>
      </c>
      <c r="O700">
        <f>K700*L700-M700</f>
        <v/>
      </c>
      <c r="P700">
        <f>TEXT(B700,"yyyy-mm")</f>
        <v/>
      </c>
      <c r="Q700">
        <f>IF(O700&gt;=3000,"Large","Small")</f>
        <v/>
      </c>
      <c r="R700">
        <f>INDEX(Products!$F$2:$F$49,MATCH(J700,Products!$A$2:$A$49,0))</f>
        <v/>
      </c>
      <c r="S700">
        <f>WEEKDAY(B700,2)</f>
        <v/>
      </c>
    </row>
    <row r="701">
      <c r="A701" t="n">
        <v>509678</v>
      </c>
      <c r="B701" s="6" t="n">
        <v>45940</v>
      </c>
      <c r="C701" t="n">
        <v>12319</v>
      </c>
      <c r="D701" t="inlineStr">
        <is>
          <t>Noida</t>
        </is>
      </c>
      <c r="E701" t="inlineStr">
        <is>
          <t>North</t>
        </is>
      </c>
      <c r="F701" t="inlineStr">
        <is>
          <t>Referral</t>
        </is>
      </c>
      <c r="G701" t="inlineStr">
        <is>
          <t>Desktop</t>
        </is>
      </c>
      <c r="H701" t="inlineStr">
        <is>
          <t>UPI</t>
        </is>
      </c>
      <c r="I701" t="inlineStr">
        <is>
          <t>Cancelled</t>
        </is>
      </c>
      <c r="J701" t="n">
        <v>134</v>
      </c>
      <c r="K701" t="n">
        <v>1</v>
      </c>
      <c r="L701" t="n">
        <v>209</v>
      </c>
      <c r="M701" t="n">
        <v>20.9</v>
      </c>
      <c r="N701">
        <f>VLOOKUP(J701,Products!$A$2:$C$49,3,FALSE)</f>
        <v/>
      </c>
      <c r="O701">
        <f>K701*L701-M701</f>
        <v/>
      </c>
      <c r="P701">
        <f>TEXT(B701,"yyyy-mm")</f>
        <v/>
      </c>
      <c r="Q701">
        <f>IF(O701&gt;=3000,"Large","Small")</f>
        <v/>
      </c>
      <c r="R701">
        <f>INDEX(Products!$F$2:$F$49,MATCH(J701,Products!$A$2:$A$49,0))</f>
        <v/>
      </c>
      <c r="S701">
        <f>WEEKDAY(B701,2)</f>
        <v/>
      </c>
    </row>
    <row r="702">
      <c r="A702" t="n">
        <v>509678</v>
      </c>
      <c r="B702" s="6" t="n">
        <v>45940</v>
      </c>
      <c r="C702" t="n">
        <v>12319</v>
      </c>
      <c r="D702" t="inlineStr">
        <is>
          <t>Noida</t>
        </is>
      </c>
      <c r="E702" t="inlineStr">
        <is>
          <t>North</t>
        </is>
      </c>
      <c r="F702" t="inlineStr">
        <is>
          <t>Referral</t>
        </is>
      </c>
      <c r="G702" t="inlineStr">
        <is>
          <t>Desktop</t>
        </is>
      </c>
      <c r="H702" t="inlineStr">
        <is>
          <t>UPI</t>
        </is>
      </c>
      <c r="I702" t="inlineStr">
        <is>
          <t>Cancelled</t>
        </is>
      </c>
      <c r="J702" t="n">
        <v>129</v>
      </c>
      <c r="K702" t="n">
        <v>1</v>
      </c>
      <c r="L702" t="n">
        <v>576</v>
      </c>
      <c r="M702" t="n">
        <v>57.6</v>
      </c>
      <c r="N702">
        <f>VLOOKUP(J702,Products!$A$2:$C$49,3,FALSE)</f>
        <v/>
      </c>
      <c r="O702">
        <f>K702*L702-M702</f>
        <v/>
      </c>
      <c r="P702">
        <f>TEXT(B702,"yyyy-mm")</f>
        <v/>
      </c>
      <c r="Q702">
        <f>IF(O702&gt;=3000,"Large","Small")</f>
        <v/>
      </c>
      <c r="R702">
        <f>INDEX(Products!$F$2:$F$49,MATCH(J702,Products!$A$2:$A$49,0))</f>
        <v/>
      </c>
      <c r="S702">
        <f>WEEKDAY(B702,2)</f>
        <v/>
      </c>
    </row>
    <row r="703">
      <c r="A703" t="n">
        <v>509679</v>
      </c>
      <c r="B703" s="6" t="n">
        <v>45940</v>
      </c>
      <c r="C703" t="n">
        <v>16712</v>
      </c>
      <c r="D703" t="inlineStr">
        <is>
          <t>Chennai</t>
        </is>
      </c>
      <c r="E703" t="inlineStr">
        <is>
          <t>South</t>
        </is>
      </c>
      <c r="F703" t="inlineStr">
        <is>
          <t>Paid Search</t>
        </is>
      </c>
      <c r="G703" t="inlineStr">
        <is>
          <t>Mobile Web</t>
        </is>
      </c>
      <c r="H703" t="inlineStr">
        <is>
          <t>Cash on Delivery</t>
        </is>
      </c>
      <c r="I703" t="inlineStr">
        <is>
          <t>Returned</t>
        </is>
      </c>
      <c r="J703" t="n">
        <v>102</v>
      </c>
      <c r="K703" t="n">
        <v>2</v>
      </c>
      <c r="L703" t="n">
        <v>3674</v>
      </c>
      <c r="M703" t="n">
        <v>734.8</v>
      </c>
      <c r="N703">
        <f>VLOOKUP(J703,Products!$A$2:$C$49,3,FALSE)</f>
        <v/>
      </c>
      <c r="O703">
        <f>K703*L703-M703</f>
        <v/>
      </c>
      <c r="P703">
        <f>TEXT(B703,"yyyy-mm")</f>
        <v/>
      </c>
      <c r="Q703">
        <f>IF(O703&gt;=3000,"Large","Small")</f>
        <v/>
      </c>
      <c r="R703">
        <f>INDEX(Products!$F$2:$F$49,MATCH(J703,Products!$A$2:$A$49,0))</f>
        <v/>
      </c>
      <c r="S703">
        <f>WEEKDAY(B703,2)</f>
        <v/>
      </c>
    </row>
    <row r="704">
      <c r="A704" t="n">
        <v>509680</v>
      </c>
      <c r="B704" s="6" t="n">
        <v>45940</v>
      </c>
      <c r="C704" t="n">
        <v>16637</v>
      </c>
      <c r="D704" t="inlineStr">
        <is>
          <t>Ahmedabad</t>
        </is>
      </c>
      <c r="E704" t="inlineStr">
        <is>
          <t>West</t>
        </is>
      </c>
      <c r="F704" t="inlineStr">
        <is>
          <t>Referral</t>
        </is>
      </c>
      <c r="G704" t="inlineStr">
        <is>
          <t>Mobile Web</t>
        </is>
      </c>
      <c r="H704" t="inlineStr">
        <is>
          <t>UPI</t>
        </is>
      </c>
      <c r="I704" t="inlineStr">
        <is>
          <t>Delivered</t>
        </is>
      </c>
      <c r="J704" t="n">
        <v>143</v>
      </c>
      <c r="K704" t="n">
        <v>1</v>
      </c>
      <c r="L704" t="n">
        <v>839</v>
      </c>
      <c r="M704" t="n">
        <v>0</v>
      </c>
      <c r="N704">
        <f>VLOOKUP(J704,Products!$A$2:$C$49,3,FALSE)</f>
        <v/>
      </c>
      <c r="O704">
        <f>K704*L704-M704</f>
        <v/>
      </c>
      <c r="P704">
        <f>TEXT(B704,"yyyy-mm")</f>
        <v/>
      </c>
      <c r="Q704">
        <f>IF(O704&gt;=3000,"Large","Small")</f>
        <v/>
      </c>
      <c r="R704">
        <f>INDEX(Products!$F$2:$F$49,MATCH(J704,Products!$A$2:$A$49,0))</f>
        <v/>
      </c>
      <c r="S704">
        <f>WEEKDAY(B704,2)</f>
        <v/>
      </c>
    </row>
    <row r="705">
      <c r="A705" t="n">
        <v>509681</v>
      </c>
      <c r="B705" s="6" t="n">
        <v>45940</v>
      </c>
      <c r="C705" t="n">
        <v>16685</v>
      </c>
      <c r="D705" t="inlineStr">
        <is>
          <t>Chandigarh</t>
        </is>
      </c>
      <c r="E705" t="inlineStr">
        <is>
          <t>North</t>
        </is>
      </c>
      <c r="F705" t="inlineStr">
        <is>
          <t>Email</t>
        </is>
      </c>
      <c r="G705" t="inlineStr">
        <is>
          <t>Mobile Web</t>
        </is>
      </c>
      <c r="H705" t="inlineStr">
        <is>
          <t>Net Banking</t>
        </is>
      </c>
      <c r="I705" t="inlineStr">
        <is>
          <t>Delivered</t>
        </is>
      </c>
      <c r="J705" t="n">
        <v>147</v>
      </c>
      <c r="K705" t="n">
        <v>1</v>
      </c>
      <c r="L705" t="n">
        <v>1364</v>
      </c>
      <c r="M705" t="n">
        <v>0</v>
      </c>
      <c r="N705">
        <f>VLOOKUP(J705,Products!$A$2:$C$49,3,FALSE)</f>
        <v/>
      </c>
      <c r="O705">
        <f>K705*L705-M705</f>
        <v/>
      </c>
      <c r="P705">
        <f>TEXT(B705,"yyyy-mm")</f>
        <v/>
      </c>
      <c r="Q705">
        <f>IF(O705&gt;=3000,"Large","Small")</f>
        <v/>
      </c>
      <c r="R705">
        <f>INDEX(Products!$F$2:$F$49,MATCH(J705,Products!$A$2:$A$49,0))</f>
        <v/>
      </c>
      <c r="S705">
        <f>WEEKDAY(B705,2)</f>
        <v/>
      </c>
    </row>
    <row r="706">
      <c r="A706" t="n">
        <v>509682</v>
      </c>
      <c r="B706" s="6" t="n">
        <v>45940</v>
      </c>
      <c r="C706" t="n">
        <v>11139</v>
      </c>
      <c r="D706" t="inlineStr">
        <is>
          <t>Delhi</t>
        </is>
      </c>
      <c r="E706" t="inlineStr">
        <is>
          <t>North</t>
        </is>
      </c>
      <c r="F706" t="inlineStr">
        <is>
          <t>Affiliate</t>
        </is>
      </c>
      <c r="G706" t="inlineStr">
        <is>
          <t>Mobile App</t>
        </is>
      </c>
      <c r="H706" t="inlineStr">
        <is>
          <t>Cash on Delivery</t>
        </is>
      </c>
      <c r="I706" t="inlineStr">
        <is>
          <t>Delivered</t>
        </is>
      </c>
      <c r="J706" t="n">
        <v>137</v>
      </c>
      <c r="K706" t="n">
        <v>2</v>
      </c>
      <c r="L706" t="n">
        <v>261</v>
      </c>
      <c r="M706" t="n">
        <v>0</v>
      </c>
      <c r="N706">
        <f>VLOOKUP(J706,Products!$A$2:$C$49,3,FALSE)</f>
        <v/>
      </c>
      <c r="O706">
        <f>K706*L706-M706</f>
        <v/>
      </c>
      <c r="P706">
        <f>TEXT(B706,"yyyy-mm")</f>
        <v/>
      </c>
      <c r="Q706">
        <f>IF(O706&gt;=3000,"Large","Small")</f>
        <v/>
      </c>
      <c r="R706">
        <f>INDEX(Products!$F$2:$F$49,MATCH(J706,Products!$A$2:$A$49,0))</f>
        <v/>
      </c>
      <c r="S706">
        <f>WEEKDAY(B706,2)</f>
        <v/>
      </c>
    </row>
    <row r="707">
      <c r="A707" t="n">
        <v>509683</v>
      </c>
      <c r="B707" s="6" t="n">
        <v>45940</v>
      </c>
      <c r="C707" t="n">
        <v>13194</v>
      </c>
      <c r="D707" t="inlineStr">
        <is>
          <t>Hyderabad</t>
        </is>
      </c>
      <c r="E707" t="inlineStr">
        <is>
          <t>South</t>
        </is>
      </c>
      <c r="F707" t="inlineStr">
        <is>
          <t>Referral</t>
        </is>
      </c>
      <c r="G707" t="inlineStr">
        <is>
          <t>Mobile Web</t>
        </is>
      </c>
      <c r="H707" t="inlineStr">
        <is>
          <t>UPI</t>
        </is>
      </c>
      <c r="I707" t="inlineStr">
        <is>
          <t>Delivered</t>
        </is>
      </c>
      <c r="J707" t="n">
        <v>108</v>
      </c>
      <c r="K707" t="n">
        <v>1</v>
      </c>
      <c r="L707" t="n">
        <v>419</v>
      </c>
      <c r="M707" t="n">
        <v>0</v>
      </c>
      <c r="N707">
        <f>VLOOKUP(J707,Products!$A$2:$C$49,3,FALSE)</f>
        <v/>
      </c>
      <c r="O707">
        <f>K707*L707-M707</f>
        <v/>
      </c>
      <c r="P707">
        <f>TEXT(B707,"yyyy-mm")</f>
        <v/>
      </c>
      <c r="Q707">
        <f>IF(O707&gt;=3000,"Large","Small")</f>
        <v/>
      </c>
      <c r="R707">
        <f>INDEX(Products!$F$2:$F$49,MATCH(J707,Products!$A$2:$A$49,0))</f>
        <v/>
      </c>
      <c r="S707">
        <f>WEEKDAY(B707,2)</f>
        <v/>
      </c>
    </row>
    <row r="708">
      <c r="A708" t="n">
        <v>509683</v>
      </c>
      <c r="B708" s="6" t="n">
        <v>45940</v>
      </c>
      <c r="C708" t="n">
        <v>13194</v>
      </c>
      <c r="D708" t="inlineStr">
        <is>
          <t>Hyderabad</t>
        </is>
      </c>
      <c r="E708" t="inlineStr">
        <is>
          <t>South</t>
        </is>
      </c>
      <c r="F708" t="inlineStr">
        <is>
          <t>Referral</t>
        </is>
      </c>
      <c r="G708" t="inlineStr">
        <is>
          <t>Mobile Web</t>
        </is>
      </c>
      <c r="H708" t="inlineStr">
        <is>
          <t>UPI</t>
        </is>
      </c>
      <c r="I708" t="inlineStr">
        <is>
          <t>Delivered</t>
        </is>
      </c>
      <c r="J708" t="n">
        <v>102</v>
      </c>
      <c r="K708" t="n">
        <v>1</v>
      </c>
      <c r="L708" t="n">
        <v>3674</v>
      </c>
      <c r="M708" t="n">
        <v>0</v>
      </c>
      <c r="N708">
        <f>VLOOKUP(J708,Products!$A$2:$C$49,3,FALSE)</f>
        <v/>
      </c>
      <c r="O708">
        <f>K708*L708-M708</f>
        <v/>
      </c>
      <c r="P708">
        <f>TEXT(B708,"yyyy-mm")</f>
        <v/>
      </c>
      <c r="Q708">
        <f>IF(O708&gt;=3000,"Large","Small")</f>
        <v/>
      </c>
      <c r="R708">
        <f>INDEX(Products!$F$2:$F$49,MATCH(J708,Products!$A$2:$A$49,0))</f>
        <v/>
      </c>
      <c r="S708">
        <f>WEEKDAY(B708,2)</f>
        <v/>
      </c>
    </row>
    <row r="709">
      <c r="A709" t="n">
        <v>509683</v>
      </c>
      <c r="B709" s="6" t="n">
        <v>45940</v>
      </c>
      <c r="C709" t="n">
        <v>13194</v>
      </c>
      <c r="D709" t="inlineStr">
        <is>
          <t>Hyderabad</t>
        </is>
      </c>
      <c r="E709" t="inlineStr">
        <is>
          <t>South</t>
        </is>
      </c>
      <c r="F709" t="inlineStr">
        <is>
          <t>Referral</t>
        </is>
      </c>
      <c r="G709" t="inlineStr">
        <is>
          <t>Mobile Web</t>
        </is>
      </c>
      <c r="H709" t="inlineStr">
        <is>
          <t>UPI</t>
        </is>
      </c>
      <c r="I709" t="inlineStr">
        <is>
          <t>Delivered</t>
        </is>
      </c>
      <c r="J709" t="n">
        <v>129</v>
      </c>
      <c r="K709" t="n">
        <v>1</v>
      </c>
      <c r="L709" t="n">
        <v>576</v>
      </c>
      <c r="M709" t="n">
        <v>0</v>
      </c>
      <c r="N709">
        <f>VLOOKUP(J709,Products!$A$2:$C$49,3,FALSE)</f>
        <v/>
      </c>
      <c r="O709">
        <f>K709*L709-M709</f>
        <v/>
      </c>
      <c r="P709">
        <f>TEXT(B709,"yyyy-mm")</f>
        <v/>
      </c>
      <c r="Q709">
        <f>IF(O709&gt;=3000,"Large","Small")</f>
        <v/>
      </c>
      <c r="R709">
        <f>INDEX(Products!$F$2:$F$49,MATCH(J709,Products!$A$2:$A$49,0))</f>
        <v/>
      </c>
      <c r="S709">
        <f>WEEKDAY(B709,2)</f>
        <v/>
      </c>
    </row>
    <row r="710">
      <c r="A710" t="n">
        <v>509684</v>
      </c>
      <c r="B710" s="6" t="n">
        <v>45940</v>
      </c>
      <c r="C710" t="n">
        <v>16337</v>
      </c>
      <c r="D710" t="inlineStr">
        <is>
          <t>Chennai</t>
        </is>
      </c>
      <c r="E710" t="inlineStr">
        <is>
          <t>South</t>
        </is>
      </c>
      <c r="F710" t="inlineStr">
        <is>
          <t>Email</t>
        </is>
      </c>
      <c r="G710" t="inlineStr">
        <is>
          <t>Desktop</t>
        </is>
      </c>
      <c r="H710" t="inlineStr">
        <is>
          <t>Credit Card</t>
        </is>
      </c>
      <c r="I710" t="inlineStr">
        <is>
          <t>Delivered</t>
        </is>
      </c>
      <c r="J710" t="n">
        <v>124</v>
      </c>
      <c r="K710" t="n">
        <v>1</v>
      </c>
      <c r="L710" t="n">
        <v>1154</v>
      </c>
      <c r="M710" t="n">
        <v>115.4</v>
      </c>
      <c r="N710">
        <f>VLOOKUP(J710,Products!$A$2:$C$49,3,FALSE)</f>
        <v/>
      </c>
      <c r="O710">
        <f>K710*L710-M710</f>
        <v/>
      </c>
      <c r="P710">
        <f>TEXT(B710,"yyyy-mm")</f>
        <v/>
      </c>
      <c r="Q710">
        <f>IF(O710&gt;=3000,"Large","Small")</f>
        <v/>
      </c>
      <c r="R710">
        <f>INDEX(Products!$F$2:$F$49,MATCH(J710,Products!$A$2:$A$49,0))</f>
        <v/>
      </c>
      <c r="S710">
        <f>WEEKDAY(B710,2)</f>
        <v/>
      </c>
    </row>
    <row r="711">
      <c r="A711" t="n">
        <v>509684</v>
      </c>
      <c r="B711" s="6" t="n">
        <v>45940</v>
      </c>
      <c r="C711" t="n">
        <v>16337</v>
      </c>
      <c r="D711" t="inlineStr">
        <is>
          <t>Chennai</t>
        </is>
      </c>
      <c r="E711" t="inlineStr">
        <is>
          <t>South</t>
        </is>
      </c>
      <c r="F711" t="inlineStr">
        <is>
          <t>Email</t>
        </is>
      </c>
      <c r="G711" t="inlineStr">
        <is>
          <t>Desktop</t>
        </is>
      </c>
      <c r="H711" t="inlineStr">
        <is>
          <t>Credit Card</t>
        </is>
      </c>
      <c r="I711" t="inlineStr">
        <is>
          <t>Delivered</t>
        </is>
      </c>
      <c r="J711" t="n">
        <v>129</v>
      </c>
      <c r="K711" t="n">
        <v>1</v>
      </c>
      <c r="L711" t="n">
        <v>576</v>
      </c>
      <c r="M711" t="n">
        <v>57.6</v>
      </c>
      <c r="N711">
        <f>VLOOKUP(J711,Products!$A$2:$C$49,3,FALSE)</f>
        <v/>
      </c>
      <c r="O711">
        <f>K711*L711-M711</f>
        <v/>
      </c>
      <c r="P711">
        <f>TEXT(B711,"yyyy-mm")</f>
        <v/>
      </c>
      <c r="Q711">
        <f>IF(O711&gt;=3000,"Large","Small")</f>
        <v/>
      </c>
      <c r="R711">
        <f>INDEX(Products!$F$2:$F$49,MATCH(J711,Products!$A$2:$A$49,0))</f>
        <v/>
      </c>
      <c r="S711">
        <f>WEEKDAY(B711,2)</f>
        <v/>
      </c>
    </row>
    <row r="712">
      <c r="A712" t="n">
        <v>509685</v>
      </c>
      <c r="B712" s="6" t="n">
        <v>45940</v>
      </c>
      <c r="C712" t="n">
        <v>16662</v>
      </c>
      <c r="D712" t="inlineStr">
        <is>
          <t>Pune</t>
        </is>
      </c>
      <c r="E712" t="inlineStr">
        <is>
          <t>West</t>
        </is>
      </c>
      <c r="F712" t="inlineStr">
        <is>
          <t>Referral</t>
        </is>
      </c>
      <c r="G712" t="inlineStr">
        <is>
          <t>Mobile App</t>
        </is>
      </c>
      <c r="H712" t="inlineStr">
        <is>
          <t>UPI</t>
        </is>
      </c>
      <c r="I712" t="inlineStr">
        <is>
          <t>Cancelled</t>
        </is>
      </c>
      <c r="J712" t="n">
        <v>112</v>
      </c>
      <c r="K712" t="n">
        <v>1</v>
      </c>
      <c r="L712" t="n">
        <v>1574</v>
      </c>
      <c r="M712" t="n">
        <v>236.1</v>
      </c>
      <c r="N712">
        <f>VLOOKUP(J712,Products!$A$2:$C$49,3,FALSE)</f>
        <v/>
      </c>
      <c r="O712">
        <f>K712*L712-M712</f>
        <v/>
      </c>
      <c r="P712">
        <f>TEXT(B712,"yyyy-mm")</f>
        <v/>
      </c>
      <c r="Q712">
        <f>IF(O712&gt;=3000,"Large","Small")</f>
        <v/>
      </c>
      <c r="R712">
        <f>INDEX(Products!$F$2:$F$49,MATCH(J712,Products!$A$2:$A$49,0))</f>
        <v/>
      </c>
      <c r="S712">
        <f>WEEKDAY(B712,2)</f>
        <v/>
      </c>
    </row>
    <row r="713">
      <c r="A713" t="n">
        <v>509685</v>
      </c>
      <c r="B713" s="6" t="n">
        <v>45940</v>
      </c>
      <c r="C713" t="n">
        <v>16662</v>
      </c>
      <c r="D713" t="inlineStr">
        <is>
          <t>Pune</t>
        </is>
      </c>
      <c r="E713" t="inlineStr">
        <is>
          <t>West</t>
        </is>
      </c>
      <c r="F713" t="inlineStr">
        <is>
          <t>Referral</t>
        </is>
      </c>
      <c r="G713" t="inlineStr">
        <is>
          <t>Mobile App</t>
        </is>
      </c>
      <c r="H713" t="inlineStr">
        <is>
          <t>UPI</t>
        </is>
      </c>
      <c r="I713" t="inlineStr">
        <is>
          <t>Cancelled</t>
        </is>
      </c>
      <c r="J713" t="n">
        <v>129</v>
      </c>
      <c r="K713" t="n">
        <v>1</v>
      </c>
      <c r="L713" t="n">
        <v>576</v>
      </c>
      <c r="M713" t="n">
        <v>86.40000000000001</v>
      </c>
      <c r="N713">
        <f>VLOOKUP(J713,Products!$A$2:$C$49,3,FALSE)</f>
        <v/>
      </c>
      <c r="O713">
        <f>K713*L713-M713</f>
        <v/>
      </c>
      <c r="P713">
        <f>TEXT(B713,"yyyy-mm")</f>
        <v/>
      </c>
      <c r="Q713">
        <f>IF(O713&gt;=3000,"Large","Small")</f>
        <v/>
      </c>
      <c r="R713">
        <f>INDEX(Products!$F$2:$F$49,MATCH(J713,Products!$A$2:$A$49,0))</f>
        <v/>
      </c>
      <c r="S713">
        <f>WEEKDAY(B713,2)</f>
        <v/>
      </c>
    </row>
    <row r="714">
      <c r="A714" t="n">
        <v>509686</v>
      </c>
      <c r="B714" s="6" t="n">
        <v>45940</v>
      </c>
      <c r="C714" t="n">
        <v>16682</v>
      </c>
      <c r="D714" t="inlineStr">
        <is>
          <t>Chandigarh</t>
        </is>
      </c>
      <c r="E714" t="inlineStr">
        <is>
          <t>North</t>
        </is>
      </c>
      <c r="F714" t="inlineStr">
        <is>
          <t>Email</t>
        </is>
      </c>
      <c r="G714" t="inlineStr">
        <is>
          <t>Mobile App</t>
        </is>
      </c>
      <c r="H714" t="inlineStr">
        <is>
          <t>Cash on Delivery</t>
        </is>
      </c>
      <c r="I714" t="inlineStr">
        <is>
          <t>Delivered</t>
        </is>
      </c>
      <c r="J714" t="n">
        <v>136</v>
      </c>
      <c r="K714" t="n">
        <v>1</v>
      </c>
      <c r="L714" t="n">
        <v>944</v>
      </c>
      <c r="M714" t="n">
        <v>0</v>
      </c>
      <c r="N714">
        <f>VLOOKUP(J714,Products!$A$2:$C$49,3,FALSE)</f>
        <v/>
      </c>
      <c r="O714">
        <f>K714*L714-M714</f>
        <v/>
      </c>
      <c r="P714">
        <f>TEXT(B714,"yyyy-mm")</f>
        <v/>
      </c>
      <c r="Q714">
        <f>IF(O714&gt;=3000,"Large","Small")</f>
        <v/>
      </c>
      <c r="R714">
        <f>INDEX(Products!$F$2:$F$49,MATCH(J714,Products!$A$2:$A$49,0))</f>
        <v/>
      </c>
      <c r="S714">
        <f>WEEKDAY(B714,2)</f>
        <v/>
      </c>
    </row>
    <row r="715">
      <c r="A715" t="n">
        <v>509686</v>
      </c>
      <c r="B715" s="6" t="n">
        <v>45940</v>
      </c>
      <c r="C715" t="n">
        <v>16682</v>
      </c>
      <c r="D715" t="inlineStr">
        <is>
          <t>Chandigarh</t>
        </is>
      </c>
      <c r="E715" t="inlineStr">
        <is>
          <t>North</t>
        </is>
      </c>
      <c r="F715" t="inlineStr">
        <is>
          <t>Email</t>
        </is>
      </c>
      <c r="G715" t="inlineStr">
        <is>
          <t>Mobile App</t>
        </is>
      </c>
      <c r="H715" t="inlineStr">
        <is>
          <t>Cash on Delivery</t>
        </is>
      </c>
      <c r="I715" t="inlineStr">
        <is>
          <t>Delivered</t>
        </is>
      </c>
      <c r="J715" t="n">
        <v>116</v>
      </c>
      <c r="K715" t="n">
        <v>1</v>
      </c>
      <c r="L715" t="n">
        <v>2624</v>
      </c>
      <c r="M715" t="n">
        <v>0</v>
      </c>
      <c r="N715">
        <f>VLOOKUP(J715,Products!$A$2:$C$49,3,FALSE)</f>
        <v/>
      </c>
      <c r="O715">
        <f>K715*L715-M715</f>
        <v/>
      </c>
      <c r="P715">
        <f>TEXT(B715,"yyyy-mm")</f>
        <v/>
      </c>
      <c r="Q715">
        <f>IF(O715&gt;=3000,"Large","Small")</f>
        <v/>
      </c>
      <c r="R715">
        <f>INDEX(Products!$F$2:$F$49,MATCH(J715,Products!$A$2:$A$49,0))</f>
        <v/>
      </c>
      <c r="S715">
        <f>WEEKDAY(B715,2)</f>
        <v/>
      </c>
    </row>
    <row r="716">
      <c r="A716" t="n">
        <v>509687</v>
      </c>
      <c r="B716" s="6" t="n">
        <v>45940</v>
      </c>
      <c r="C716" t="n">
        <v>16657</v>
      </c>
      <c r="D716" t="inlineStr">
        <is>
          <t>Delhi</t>
        </is>
      </c>
      <c r="E716" t="inlineStr">
        <is>
          <t>North</t>
        </is>
      </c>
      <c r="F716" t="inlineStr">
        <is>
          <t>Paid Search</t>
        </is>
      </c>
      <c r="G716" t="inlineStr">
        <is>
          <t>Mobile App</t>
        </is>
      </c>
      <c r="H716" t="inlineStr">
        <is>
          <t>UPI</t>
        </is>
      </c>
      <c r="I716" t="inlineStr">
        <is>
          <t>Delivered</t>
        </is>
      </c>
      <c r="J716" t="n">
        <v>124</v>
      </c>
      <c r="K716" t="n">
        <v>1</v>
      </c>
      <c r="L716" t="n">
        <v>1154</v>
      </c>
      <c r="M716" t="n">
        <v>115.4</v>
      </c>
      <c r="N716">
        <f>VLOOKUP(J716,Products!$A$2:$C$49,3,FALSE)</f>
        <v/>
      </c>
      <c r="O716">
        <f>K716*L716-M716</f>
        <v/>
      </c>
      <c r="P716">
        <f>TEXT(B716,"yyyy-mm")</f>
        <v/>
      </c>
      <c r="Q716">
        <f>IF(O716&gt;=3000,"Large","Small")</f>
        <v/>
      </c>
      <c r="R716">
        <f>INDEX(Products!$F$2:$F$49,MATCH(J716,Products!$A$2:$A$49,0))</f>
        <v/>
      </c>
      <c r="S716">
        <f>WEEKDAY(B716,2)</f>
        <v/>
      </c>
    </row>
    <row r="717">
      <c r="A717" t="n">
        <v>509687</v>
      </c>
      <c r="B717" s="6" t="n">
        <v>45940</v>
      </c>
      <c r="C717" t="n">
        <v>16657</v>
      </c>
      <c r="D717" t="inlineStr">
        <is>
          <t>Delhi</t>
        </is>
      </c>
      <c r="E717" t="inlineStr">
        <is>
          <t>North</t>
        </is>
      </c>
      <c r="F717" t="inlineStr">
        <is>
          <t>Paid Search</t>
        </is>
      </c>
      <c r="G717" t="inlineStr">
        <is>
          <t>Mobile App</t>
        </is>
      </c>
      <c r="H717" t="inlineStr">
        <is>
          <t>UPI</t>
        </is>
      </c>
      <c r="I717" t="inlineStr">
        <is>
          <t>Delivered</t>
        </is>
      </c>
      <c r="J717" t="n">
        <v>116</v>
      </c>
      <c r="K717" t="n">
        <v>1</v>
      </c>
      <c r="L717" t="n">
        <v>2624</v>
      </c>
      <c r="M717" t="n">
        <v>262.4</v>
      </c>
      <c r="N717">
        <f>VLOOKUP(J717,Products!$A$2:$C$49,3,FALSE)</f>
        <v/>
      </c>
      <c r="O717">
        <f>K717*L717-M717</f>
        <v/>
      </c>
      <c r="P717">
        <f>TEXT(B717,"yyyy-mm")</f>
        <v/>
      </c>
      <c r="Q717">
        <f>IF(O717&gt;=3000,"Large","Small")</f>
        <v/>
      </c>
      <c r="R717">
        <f>INDEX(Products!$F$2:$F$49,MATCH(J717,Products!$A$2:$A$49,0))</f>
        <v/>
      </c>
      <c r="S717">
        <f>WEEKDAY(B717,2)</f>
        <v/>
      </c>
    </row>
    <row r="718">
      <c r="A718" t="n">
        <v>509688</v>
      </c>
      <c r="B718" s="6" t="n">
        <v>45940</v>
      </c>
      <c r="C718" t="n">
        <v>11053</v>
      </c>
      <c r="D718" t="inlineStr">
        <is>
          <t>Mumbai</t>
        </is>
      </c>
      <c r="E718" t="inlineStr">
        <is>
          <t>West</t>
        </is>
      </c>
      <c r="F718" t="inlineStr">
        <is>
          <t>Paid Social</t>
        </is>
      </c>
      <c r="G718" t="inlineStr">
        <is>
          <t>Mobile App</t>
        </is>
      </c>
      <c r="H718" t="inlineStr">
        <is>
          <t>Net Banking</t>
        </is>
      </c>
      <c r="I718" t="inlineStr">
        <is>
          <t>Returned</t>
        </is>
      </c>
      <c r="J718" t="n">
        <v>111</v>
      </c>
      <c r="K718" t="n">
        <v>1</v>
      </c>
      <c r="L718" t="n">
        <v>524</v>
      </c>
      <c r="M718" t="n">
        <v>52.4</v>
      </c>
      <c r="N718">
        <f>VLOOKUP(J718,Products!$A$2:$C$49,3,FALSE)</f>
        <v/>
      </c>
      <c r="O718">
        <f>K718*L718-M718</f>
        <v/>
      </c>
      <c r="P718">
        <f>TEXT(B718,"yyyy-mm")</f>
        <v/>
      </c>
      <c r="Q718">
        <f>IF(O718&gt;=3000,"Large","Small")</f>
        <v/>
      </c>
      <c r="R718">
        <f>INDEX(Products!$F$2:$F$49,MATCH(J718,Products!$A$2:$A$49,0))</f>
        <v/>
      </c>
      <c r="S718">
        <f>WEEKDAY(B718,2)</f>
        <v/>
      </c>
    </row>
    <row r="719">
      <c r="A719" t="n">
        <v>509688</v>
      </c>
      <c r="B719" s="6" t="n">
        <v>45940</v>
      </c>
      <c r="C719" t="n">
        <v>11053</v>
      </c>
      <c r="D719" t="inlineStr">
        <is>
          <t>Mumbai</t>
        </is>
      </c>
      <c r="E719" t="inlineStr">
        <is>
          <t>West</t>
        </is>
      </c>
      <c r="F719" t="inlineStr">
        <is>
          <t>Paid Social</t>
        </is>
      </c>
      <c r="G719" t="inlineStr">
        <is>
          <t>Mobile App</t>
        </is>
      </c>
      <c r="H719" t="inlineStr">
        <is>
          <t>Net Banking</t>
        </is>
      </c>
      <c r="I719" t="inlineStr">
        <is>
          <t>Returned</t>
        </is>
      </c>
      <c r="J719" t="n">
        <v>129</v>
      </c>
      <c r="K719" t="n">
        <v>1</v>
      </c>
      <c r="L719" t="n">
        <v>576</v>
      </c>
      <c r="M719" t="n">
        <v>57.6</v>
      </c>
      <c r="N719">
        <f>VLOOKUP(J719,Products!$A$2:$C$49,3,FALSE)</f>
        <v/>
      </c>
      <c r="O719">
        <f>K719*L719-M719</f>
        <v/>
      </c>
      <c r="P719">
        <f>TEXT(B719,"yyyy-mm")</f>
        <v/>
      </c>
      <c r="Q719">
        <f>IF(O719&gt;=3000,"Large","Small")</f>
        <v/>
      </c>
      <c r="R719">
        <f>INDEX(Products!$F$2:$F$49,MATCH(J719,Products!$A$2:$A$49,0))</f>
        <v/>
      </c>
      <c r="S719">
        <f>WEEKDAY(B719,2)</f>
        <v/>
      </c>
    </row>
    <row r="720">
      <c r="A720" t="n">
        <v>509689</v>
      </c>
      <c r="B720" s="6" t="n">
        <v>45940</v>
      </c>
      <c r="C720" t="n">
        <v>16729</v>
      </c>
      <c r="D720" t="inlineStr">
        <is>
          <t>Chennai</t>
        </is>
      </c>
      <c r="E720" t="inlineStr">
        <is>
          <t>South</t>
        </is>
      </c>
      <c r="F720" t="inlineStr">
        <is>
          <t>Organic Search</t>
        </is>
      </c>
      <c r="G720" t="inlineStr">
        <is>
          <t>Desktop</t>
        </is>
      </c>
      <c r="H720" t="inlineStr">
        <is>
          <t>Credit Card</t>
        </is>
      </c>
      <c r="I720" t="inlineStr">
        <is>
          <t>Delivered</t>
        </is>
      </c>
      <c r="J720" t="n">
        <v>143</v>
      </c>
      <c r="K720" t="n">
        <v>1</v>
      </c>
      <c r="L720" t="n">
        <v>839</v>
      </c>
      <c r="M720" t="n">
        <v>83.90000000000001</v>
      </c>
      <c r="N720">
        <f>VLOOKUP(J720,Products!$A$2:$C$49,3,FALSE)</f>
        <v/>
      </c>
      <c r="O720">
        <f>K720*L720-M720</f>
        <v/>
      </c>
      <c r="P720">
        <f>TEXT(B720,"yyyy-mm")</f>
        <v/>
      </c>
      <c r="Q720">
        <f>IF(O720&gt;=3000,"Large","Small")</f>
        <v/>
      </c>
      <c r="R720">
        <f>INDEX(Products!$F$2:$F$49,MATCH(J720,Products!$A$2:$A$49,0))</f>
        <v/>
      </c>
      <c r="S720">
        <f>WEEKDAY(B720,2)</f>
        <v/>
      </c>
    </row>
    <row r="721">
      <c r="A721" t="n">
        <v>509689</v>
      </c>
      <c r="B721" s="6" t="n">
        <v>45940</v>
      </c>
      <c r="C721" t="n">
        <v>16729</v>
      </c>
      <c r="D721" t="inlineStr">
        <is>
          <t>Chennai</t>
        </is>
      </c>
      <c r="E721" t="inlineStr">
        <is>
          <t>South</t>
        </is>
      </c>
      <c r="F721" t="inlineStr">
        <is>
          <t>Organic Search</t>
        </is>
      </c>
      <c r="G721" t="inlineStr">
        <is>
          <t>Desktop</t>
        </is>
      </c>
      <c r="H721" t="inlineStr">
        <is>
          <t>Credit Card</t>
        </is>
      </c>
      <c r="I721" t="inlineStr">
        <is>
          <t>Delivered</t>
        </is>
      </c>
      <c r="J721" t="n">
        <v>129</v>
      </c>
      <c r="K721" t="n">
        <v>1</v>
      </c>
      <c r="L721" t="n">
        <v>576</v>
      </c>
      <c r="M721" t="n">
        <v>57.6</v>
      </c>
      <c r="N721">
        <f>VLOOKUP(J721,Products!$A$2:$C$49,3,FALSE)</f>
        <v/>
      </c>
      <c r="O721">
        <f>K721*L721-M721</f>
        <v/>
      </c>
      <c r="P721">
        <f>TEXT(B721,"yyyy-mm")</f>
        <v/>
      </c>
      <c r="Q721">
        <f>IF(O721&gt;=3000,"Large","Small")</f>
        <v/>
      </c>
      <c r="R721">
        <f>INDEX(Products!$F$2:$F$49,MATCH(J721,Products!$A$2:$A$49,0))</f>
        <v/>
      </c>
      <c r="S721">
        <f>WEEKDAY(B721,2)</f>
        <v/>
      </c>
    </row>
    <row r="722">
      <c r="A722" t="n">
        <v>509690</v>
      </c>
      <c r="B722" s="6" t="n">
        <v>45940</v>
      </c>
      <c r="C722" t="n">
        <v>16608</v>
      </c>
      <c r="D722" t="inlineStr">
        <is>
          <t>Indore</t>
        </is>
      </c>
      <c r="E722" t="inlineStr">
        <is>
          <t>West</t>
        </is>
      </c>
      <c r="F722" t="inlineStr">
        <is>
          <t>Referral</t>
        </is>
      </c>
      <c r="G722" t="inlineStr">
        <is>
          <t>Mobile Web</t>
        </is>
      </c>
      <c r="H722" t="inlineStr">
        <is>
          <t>Credit Card</t>
        </is>
      </c>
      <c r="I722" t="inlineStr">
        <is>
          <t>Delivered</t>
        </is>
      </c>
      <c r="J722" t="n">
        <v>140</v>
      </c>
      <c r="K722" t="n">
        <v>1</v>
      </c>
      <c r="L722" t="n">
        <v>629</v>
      </c>
      <c r="M722" t="n">
        <v>94.34999999999999</v>
      </c>
      <c r="N722">
        <f>VLOOKUP(J722,Products!$A$2:$C$49,3,FALSE)</f>
        <v/>
      </c>
      <c r="O722">
        <f>K722*L722-M722</f>
        <v/>
      </c>
      <c r="P722">
        <f>TEXT(B722,"yyyy-mm")</f>
        <v/>
      </c>
      <c r="Q722">
        <f>IF(O722&gt;=3000,"Large","Small")</f>
        <v/>
      </c>
      <c r="R722">
        <f>INDEX(Products!$F$2:$F$49,MATCH(J722,Products!$A$2:$A$49,0))</f>
        <v/>
      </c>
      <c r="S722">
        <f>WEEKDAY(B722,2)</f>
        <v/>
      </c>
    </row>
    <row r="723">
      <c r="A723" t="n">
        <v>509690</v>
      </c>
      <c r="B723" s="6" t="n">
        <v>45940</v>
      </c>
      <c r="C723" t="n">
        <v>16608</v>
      </c>
      <c r="D723" t="inlineStr">
        <is>
          <t>Indore</t>
        </is>
      </c>
      <c r="E723" t="inlineStr">
        <is>
          <t>West</t>
        </is>
      </c>
      <c r="F723" t="inlineStr">
        <is>
          <t>Referral</t>
        </is>
      </c>
      <c r="G723" t="inlineStr">
        <is>
          <t>Mobile Web</t>
        </is>
      </c>
      <c r="H723" t="inlineStr">
        <is>
          <t>Credit Card</t>
        </is>
      </c>
      <c r="I723" t="inlineStr">
        <is>
          <t>Delivered</t>
        </is>
      </c>
      <c r="J723" t="n">
        <v>125</v>
      </c>
      <c r="K723" t="n">
        <v>1</v>
      </c>
      <c r="L723" t="n">
        <v>1364</v>
      </c>
      <c r="M723" t="n">
        <v>204.6</v>
      </c>
      <c r="N723">
        <f>VLOOKUP(J723,Products!$A$2:$C$49,3,FALSE)</f>
        <v/>
      </c>
      <c r="O723">
        <f>K723*L723-M723</f>
        <v/>
      </c>
      <c r="P723">
        <f>TEXT(B723,"yyyy-mm")</f>
        <v/>
      </c>
      <c r="Q723">
        <f>IF(O723&gt;=3000,"Large","Small")</f>
        <v/>
      </c>
      <c r="R723">
        <f>INDEX(Products!$F$2:$F$49,MATCH(J723,Products!$A$2:$A$49,0))</f>
        <v/>
      </c>
      <c r="S723">
        <f>WEEKDAY(B723,2)</f>
        <v/>
      </c>
    </row>
    <row r="724">
      <c r="A724" t="n">
        <v>509690</v>
      </c>
      <c r="B724" s="6" t="n">
        <v>45940</v>
      </c>
      <c r="C724" t="n">
        <v>16608</v>
      </c>
      <c r="D724" t="inlineStr">
        <is>
          <t>Indore</t>
        </is>
      </c>
      <c r="E724" t="inlineStr">
        <is>
          <t>West</t>
        </is>
      </c>
      <c r="F724" t="inlineStr">
        <is>
          <t>Referral</t>
        </is>
      </c>
      <c r="G724" t="inlineStr">
        <is>
          <t>Mobile Web</t>
        </is>
      </c>
      <c r="H724" t="inlineStr">
        <is>
          <t>Credit Card</t>
        </is>
      </c>
      <c r="I724" t="inlineStr">
        <is>
          <t>Delivered</t>
        </is>
      </c>
      <c r="J724" t="n">
        <v>111</v>
      </c>
      <c r="K724" t="n">
        <v>1</v>
      </c>
      <c r="L724" t="n">
        <v>524</v>
      </c>
      <c r="M724" t="n">
        <v>78.59999999999999</v>
      </c>
      <c r="N724">
        <f>VLOOKUP(J724,Products!$A$2:$C$49,3,FALSE)</f>
        <v/>
      </c>
      <c r="O724">
        <f>K724*L724-M724</f>
        <v/>
      </c>
      <c r="P724">
        <f>TEXT(B724,"yyyy-mm")</f>
        <v/>
      </c>
      <c r="Q724">
        <f>IF(O724&gt;=3000,"Large","Small")</f>
        <v/>
      </c>
      <c r="R724">
        <f>INDEX(Products!$F$2:$F$49,MATCH(J724,Products!$A$2:$A$49,0))</f>
        <v/>
      </c>
      <c r="S724">
        <f>WEEKDAY(B724,2)</f>
        <v/>
      </c>
    </row>
    <row r="725">
      <c r="A725" t="n">
        <v>509691</v>
      </c>
      <c r="B725" s="6" t="n">
        <v>45940</v>
      </c>
      <c r="C725" t="n">
        <v>16692</v>
      </c>
      <c r="D725" t="inlineStr">
        <is>
          <t>Pune</t>
        </is>
      </c>
      <c r="E725" t="inlineStr">
        <is>
          <t>West</t>
        </is>
      </c>
      <c r="F725" t="inlineStr">
        <is>
          <t>Referral</t>
        </is>
      </c>
      <c r="G725" t="inlineStr">
        <is>
          <t>Mobile Web</t>
        </is>
      </c>
      <c r="H725" t="inlineStr">
        <is>
          <t>UPI</t>
        </is>
      </c>
      <c r="I725" t="inlineStr">
        <is>
          <t>Delivered</t>
        </is>
      </c>
      <c r="J725" t="n">
        <v>106</v>
      </c>
      <c r="K725" t="n">
        <v>1</v>
      </c>
      <c r="L725" t="n">
        <v>1574</v>
      </c>
      <c r="M725" t="n">
        <v>157.4</v>
      </c>
      <c r="N725">
        <f>VLOOKUP(J725,Products!$A$2:$C$49,3,FALSE)</f>
        <v/>
      </c>
      <c r="O725">
        <f>K725*L725-M725</f>
        <v/>
      </c>
      <c r="P725">
        <f>TEXT(B725,"yyyy-mm")</f>
        <v/>
      </c>
      <c r="Q725">
        <f>IF(O725&gt;=3000,"Large","Small")</f>
        <v/>
      </c>
      <c r="R725">
        <f>INDEX(Products!$F$2:$F$49,MATCH(J725,Products!$A$2:$A$49,0))</f>
        <v/>
      </c>
      <c r="S725">
        <f>WEEKDAY(B725,2)</f>
        <v/>
      </c>
    </row>
    <row r="726">
      <c r="A726" t="n">
        <v>509691</v>
      </c>
      <c r="B726" s="6" t="n">
        <v>45940</v>
      </c>
      <c r="C726" t="n">
        <v>16692</v>
      </c>
      <c r="D726" t="inlineStr">
        <is>
          <t>Pune</t>
        </is>
      </c>
      <c r="E726" t="inlineStr">
        <is>
          <t>West</t>
        </is>
      </c>
      <c r="F726" t="inlineStr">
        <is>
          <t>Referral</t>
        </is>
      </c>
      <c r="G726" t="inlineStr">
        <is>
          <t>Mobile Web</t>
        </is>
      </c>
      <c r="H726" t="inlineStr">
        <is>
          <t>UPI</t>
        </is>
      </c>
      <c r="I726" t="inlineStr">
        <is>
          <t>Delivered</t>
        </is>
      </c>
      <c r="J726" t="n">
        <v>111</v>
      </c>
      <c r="K726" t="n">
        <v>3</v>
      </c>
      <c r="L726" t="n">
        <v>524</v>
      </c>
      <c r="M726" t="n">
        <v>157.2</v>
      </c>
      <c r="N726">
        <f>VLOOKUP(J726,Products!$A$2:$C$49,3,FALSE)</f>
        <v/>
      </c>
      <c r="O726">
        <f>K726*L726-M726</f>
        <v/>
      </c>
      <c r="P726">
        <f>TEXT(B726,"yyyy-mm")</f>
        <v/>
      </c>
      <c r="Q726">
        <f>IF(O726&gt;=3000,"Large","Small")</f>
        <v/>
      </c>
      <c r="R726">
        <f>INDEX(Products!$F$2:$F$49,MATCH(J726,Products!$A$2:$A$49,0))</f>
        <v/>
      </c>
      <c r="S726">
        <f>WEEKDAY(B726,2)</f>
        <v/>
      </c>
    </row>
    <row r="727">
      <c r="A727" t="n">
        <v>509691</v>
      </c>
      <c r="B727" s="6" t="n">
        <v>45940</v>
      </c>
      <c r="C727" t="n">
        <v>16692</v>
      </c>
      <c r="D727" t="inlineStr">
        <is>
          <t>Pune</t>
        </is>
      </c>
      <c r="E727" t="inlineStr">
        <is>
          <t>West</t>
        </is>
      </c>
      <c r="F727" t="inlineStr">
        <is>
          <t>Referral</t>
        </is>
      </c>
      <c r="G727" t="inlineStr">
        <is>
          <t>Mobile Web</t>
        </is>
      </c>
      <c r="H727" t="inlineStr">
        <is>
          <t>UPI</t>
        </is>
      </c>
      <c r="I727" t="inlineStr">
        <is>
          <t>Delivered</t>
        </is>
      </c>
      <c r="J727" t="n">
        <v>120</v>
      </c>
      <c r="K727" t="n">
        <v>1</v>
      </c>
      <c r="L727" t="n">
        <v>734</v>
      </c>
      <c r="M727" t="n">
        <v>73.40000000000001</v>
      </c>
      <c r="N727">
        <f>VLOOKUP(J727,Products!$A$2:$C$49,3,FALSE)</f>
        <v/>
      </c>
      <c r="O727">
        <f>K727*L727-M727</f>
        <v/>
      </c>
      <c r="P727">
        <f>TEXT(B727,"yyyy-mm")</f>
        <v/>
      </c>
      <c r="Q727">
        <f>IF(O727&gt;=3000,"Large","Small")</f>
        <v/>
      </c>
      <c r="R727">
        <f>INDEX(Products!$F$2:$F$49,MATCH(J727,Products!$A$2:$A$49,0))</f>
        <v/>
      </c>
      <c r="S727">
        <f>WEEKDAY(B727,2)</f>
        <v/>
      </c>
    </row>
    <row r="728">
      <c r="A728" t="n">
        <v>509691</v>
      </c>
      <c r="B728" s="6" t="n">
        <v>45940</v>
      </c>
      <c r="C728" t="n">
        <v>16692</v>
      </c>
      <c r="D728" t="inlineStr">
        <is>
          <t>Pune</t>
        </is>
      </c>
      <c r="E728" t="inlineStr">
        <is>
          <t>West</t>
        </is>
      </c>
      <c r="F728" t="inlineStr">
        <is>
          <t>Referral</t>
        </is>
      </c>
      <c r="G728" t="inlineStr">
        <is>
          <t>Mobile Web</t>
        </is>
      </c>
      <c r="H728" t="inlineStr">
        <is>
          <t>UPI</t>
        </is>
      </c>
      <c r="I728" t="inlineStr">
        <is>
          <t>Delivered</t>
        </is>
      </c>
      <c r="J728" t="n">
        <v>129</v>
      </c>
      <c r="K728" t="n">
        <v>1</v>
      </c>
      <c r="L728" t="n">
        <v>576</v>
      </c>
      <c r="M728" t="n">
        <v>57.6</v>
      </c>
      <c r="N728">
        <f>VLOOKUP(J728,Products!$A$2:$C$49,3,FALSE)</f>
        <v/>
      </c>
      <c r="O728">
        <f>K728*L728-M728</f>
        <v/>
      </c>
      <c r="P728">
        <f>TEXT(B728,"yyyy-mm")</f>
        <v/>
      </c>
      <c r="Q728">
        <f>IF(O728&gt;=3000,"Large","Small")</f>
        <v/>
      </c>
      <c r="R728">
        <f>INDEX(Products!$F$2:$F$49,MATCH(J728,Products!$A$2:$A$49,0))</f>
        <v/>
      </c>
      <c r="S728">
        <f>WEEKDAY(B728,2)</f>
        <v/>
      </c>
    </row>
    <row r="729">
      <c r="A729" t="n">
        <v>509692</v>
      </c>
      <c r="B729" s="6" t="n">
        <v>45940</v>
      </c>
      <c r="C729" t="n">
        <v>12469</v>
      </c>
      <c r="D729" t="inlineStr">
        <is>
          <t>Bengaluru</t>
        </is>
      </c>
      <c r="E729" t="inlineStr">
        <is>
          <t>South</t>
        </is>
      </c>
      <c r="F729" t="inlineStr">
        <is>
          <t>Email</t>
        </is>
      </c>
      <c r="G729" t="inlineStr">
        <is>
          <t>Desktop</t>
        </is>
      </c>
      <c r="H729" t="inlineStr">
        <is>
          <t>UPI</t>
        </is>
      </c>
      <c r="I729" t="inlineStr">
        <is>
          <t>Delivered</t>
        </is>
      </c>
      <c r="J729" t="n">
        <v>130</v>
      </c>
      <c r="K729" t="n">
        <v>3</v>
      </c>
      <c r="L729" t="n">
        <v>734</v>
      </c>
      <c r="M729" t="n">
        <v>0</v>
      </c>
      <c r="N729">
        <f>VLOOKUP(J729,Products!$A$2:$C$49,3,FALSE)</f>
        <v/>
      </c>
      <c r="O729">
        <f>K729*L729-M729</f>
        <v/>
      </c>
      <c r="P729">
        <f>TEXT(B729,"yyyy-mm")</f>
        <v/>
      </c>
      <c r="Q729">
        <f>IF(O729&gt;=3000,"Large","Small")</f>
        <v/>
      </c>
      <c r="R729">
        <f>INDEX(Products!$F$2:$F$49,MATCH(J729,Products!$A$2:$A$49,0))</f>
        <v/>
      </c>
      <c r="S729">
        <f>WEEKDAY(B729,2)</f>
        <v/>
      </c>
    </row>
    <row r="730">
      <c r="A730" t="n">
        <v>509693</v>
      </c>
      <c r="B730" s="6" t="n">
        <v>45940</v>
      </c>
      <c r="C730" t="n">
        <v>16700</v>
      </c>
      <c r="D730" t="inlineStr">
        <is>
          <t>Indore</t>
        </is>
      </c>
      <c r="E730" t="inlineStr">
        <is>
          <t>West</t>
        </is>
      </c>
      <c r="F730" t="inlineStr">
        <is>
          <t>Organic Search</t>
        </is>
      </c>
      <c r="G730" t="inlineStr">
        <is>
          <t>Desktop</t>
        </is>
      </c>
      <c r="H730" t="inlineStr">
        <is>
          <t>UPI</t>
        </is>
      </c>
      <c r="I730" t="inlineStr">
        <is>
          <t>Delivered</t>
        </is>
      </c>
      <c r="J730" t="n">
        <v>127</v>
      </c>
      <c r="K730" t="n">
        <v>2</v>
      </c>
      <c r="L730" t="n">
        <v>681</v>
      </c>
      <c r="M730" t="n">
        <v>0</v>
      </c>
      <c r="N730">
        <f>VLOOKUP(J730,Products!$A$2:$C$49,3,FALSE)</f>
        <v/>
      </c>
      <c r="O730">
        <f>K730*L730-M730</f>
        <v/>
      </c>
      <c r="P730">
        <f>TEXT(B730,"yyyy-mm")</f>
        <v/>
      </c>
      <c r="Q730">
        <f>IF(O730&gt;=3000,"Large","Small")</f>
        <v/>
      </c>
      <c r="R730">
        <f>INDEX(Products!$F$2:$F$49,MATCH(J730,Products!$A$2:$A$49,0))</f>
        <v/>
      </c>
      <c r="S730">
        <f>WEEKDAY(B730,2)</f>
        <v/>
      </c>
    </row>
    <row r="731">
      <c r="A731" t="n">
        <v>509693</v>
      </c>
      <c r="B731" s="6" t="n">
        <v>45940</v>
      </c>
      <c r="C731" t="n">
        <v>16700</v>
      </c>
      <c r="D731" t="inlineStr">
        <is>
          <t>Indore</t>
        </is>
      </c>
      <c r="E731" t="inlineStr">
        <is>
          <t>West</t>
        </is>
      </c>
      <c r="F731" t="inlineStr">
        <is>
          <t>Organic Search</t>
        </is>
      </c>
      <c r="G731" t="inlineStr">
        <is>
          <t>Desktop</t>
        </is>
      </c>
      <c r="H731" t="inlineStr">
        <is>
          <t>UPI</t>
        </is>
      </c>
      <c r="I731" t="inlineStr">
        <is>
          <t>Delivered</t>
        </is>
      </c>
      <c r="J731" t="n">
        <v>129</v>
      </c>
      <c r="K731" t="n">
        <v>1</v>
      </c>
      <c r="L731" t="n">
        <v>576</v>
      </c>
      <c r="M731" t="n">
        <v>0</v>
      </c>
      <c r="N731">
        <f>VLOOKUP(J731,Products!$A$2:$C$49,3,FALSE)</f>
        <v/>
      </c>
      <c r="O731">
        <f>K731*L731-M731</f>
        <v/>
      </c>
      <c r="P731">
        <f>TEXT(B731,"yyyy-mm")</f>
        <v/>
      </c>
      <c r="Q731">
        <f>IF(O731&gt;=3000,"Large","Small")</f>
        <v/>
      </c>
      <c r="R731">
        <f>INDEX(Products!$F$2:$F$49,MATCH(J731,Products!$A$2:$A$49,0))</f>
        <v/>
      </c>
      <c r="S731">
        <f>WEEKDAY(B731,2)</f>
        <v/>
      </c>
    </row>
    <row r="732">
      <c r="A732" t="n">
        <v>509694</v>
      </c>
      <c r="B732" s="6" t="n">
        <v>45940</v>
      </c>
      <c r="C732" t="n">
        <v>12185</v>
      </c>
      <c r="D732" t="inlineStr">
        <is>
          <t>Kolkata</t>
        </is>
      </c>
      <c r="E732" t="inlineStr">
        <is>
          <t>East</t>
        </is>
      </c>
      <c r="F732" t="inlineStr">
        <is>
          <t>Organic Search</t>
        </is>
      </c>
      <c r="G732" t="inlineStr">
        <is>
          <t>Mobile App</t>
        </is>
      </c>
      <c r="H732" t="inlineStr">
        <is>
          <t>UPI</t>
        </is>
      </c>
      <c r="I732" t="inlineStr">
        <is>
          <t>Delivered</t>
        </is>
      </c>
      <c r="J732" t="n">
        <v>140</v>
      </c>
      <c r="K732" t="n">
        <v>1</v>
      </c>
      <c r="L732" t="n">
        <v>629</v>
      </c>
      <c r="M732" t="n">
        <v>62.9</v>
      </c>
      <c r="N732">
        <f>VLOOKUP(J732,Products!$A$2:$C$49,3,FALSE)</f>
        <v/>
      </c>
      <c r="O732">
        <f>K732*L732-M732</f>
        <v/>
      </c>
      <c r="P732">
        <f>TEXT(B732,"yyyy-mm")</f>
        <v/>
      </c>
      <c r="Q732">
        <f>IF(O732&gt;=3000,"Large","Small")</f>
        <v/>
      </c>
      <c r="R732">
        <f>INDEX(Products!$F$2:$F$49,MATCH(J732,Products!$A$2:$A$49,0))</f>
        <v/>
      </c>
      <c r="S732">
        <f>WEEKDAY(B732,2)</f>
        <v/>
      </c>
    </row>
    <row r="733">
      <c r="A733" t="n">
        <v>509694</v>
      </c>
      <c r="B733" s="6" t="n">
        <v>45940</v>
      </c>
      <c r="C733" t="n">
        <v>12185</v>
      </c>
      <c r="D733" t="inlineStr">
        <is>
          <t>Kolkata</t>
        </is>
      </c>
      <c r="E733" t="inlineStr">
        <is>
          <t>East</t>
        </is>
      </c>
      <c r="F733" t="inlineStr">
        <is>
          <t>Organic Search</t>
        </is>
      </c>
      <c r="G733" t="inlineStr">
        <is>
          <t>Mobile App</t>
        </is>
      </c>
      <c r="H733" t="inlineStr">
        <is>
          <t>UPI</t>
        </is>
      </c>
      <c r="I733" t="inlineStr">
        <is>
          <t>Delivered</t>
        </is>
      </c>
      <c r="J733" t="n">
        <v>129</v>
      </c>
      <c r="K733" t="n">
        <v>1</v>
      </c>
      <c r="L733" t="n">
        <v>576</v>
      </c>
      <c r="M733" t="n">
        <v>57.6</v>
      </c>
      <c r="N733">
        <f>VLOOKUP(J733,Products!$A$2:$C$49,3,FALSE)</f>
        <v/>
      </c>
      <c r="O733">
        <f>K733*L733-M733</f>
        <v/>
      </c>
      <c r="P733">
        <f>TEXT(B733,"yyyy-mm")</f>
        <v/>
      </c>
      <c r="Q733">
        <f>IF(O733&gt;=3000,"Large","Small")</f>
        <v/>
      </c>
      <c r="R733">
        <f>INDEX(Products!$F$2:$F$49,MATCH(J733,Products!$A$2:$A$49,0))</f>
        <v/>
      </c>
      <c r="S733">
        <f>WEEKDAY(B733,2)</f>
        <v/>
      </c>
    </row>
    <row r="734">
      <c r="A734" t="n">
        <v>509695</v>
      </c>
      <c r="B734" s="6" t="n">
        <v>45940</v>
      </c>
      <c r="C734" t="n">
        <v>16650</v>
      </c>
      <c r="D734" t="inlineStr">
        <is>
          <t>Bengaluru</t>
        </is>
      </c>
      <c r="E734" t="inlineStr">
        <is>
          <t>South</t>
        </is>
      </c>
      <c r="F734" t="inlineStr">
        <is>
          <t>Organic Search</t>
        </is>
      </c>
      <c r="G734" t="inlineStr">
        <is>
          <t>Mobile App</t>
        </is>
      </c>
      <c r="H734" t="inlineStr">
        <is>
          <t>Cash on Delivery</t>
        </is>
      </c>
      <c r="I734" t="inlineStr">
        <is>
          <t>Delivered</t>
        </is>
      </c>
      <c r="J734" t="n">
        <v>113</v>
      </c>
      <c r="K734" t="n">
        <v>1</v>
      </c>
      <c r="L734" t="n">
        <v>1364</v>
      </c>
      <c r="M734" t="n">
        <v>204.6</v>
      </c>
      <c r="N734">
        <f>VLOOKUP(J734,Products!$A$2:$C$49,3,FALSE)</f>
        <v/>
      </c>
      <c r="O734">
        <f>K734*L734-M734</f>
        <v/>
      </c>
      <c r="P734">
        <f>TEXT(B734,"yyyy-mm")</f>
        <v/>
      </c>
      <c r="Q734">
        <f>IF(O734&gt;=3000,"Large","Small")</f>
        <v/>
      </c>
      <c r="R734">
        <f>INDEX(Products!$F$2:$F$49,MATCH(J734,Products!$A$2:$A$49,0))</f>
        <v/>
      </c>
      <c r="S734">
        <f>WEEKDAY(B734,2)</f>
        <v/>
      </c>
    </row>
    <row r="735">
      <c r="A735" t="n">
        <v>509696</v>
      </c>
      <c r="B735" s="6" t="n">
        <v>45940</v>
      </c>
      <c r="C735" t="n">
        <v>16688</v>
      </c>
      <c r="D735" t="inlineStr">
        <is>
          <t>Pune</t>
        </is>
      </c>
      <c r="E735" t="inlineStr">
        <is>
          <t>West</t>
        </is>
      </c>
      <c r="F735" t="inlineStr">
        <is>
          <t>Paid Search</t>
        </is>
      </c>
      <c r="G735" t="inlineStr">
        <is>
          <t>Desktop</t>
        </is>
      </c>
      <c r="H735" t="inlineStr">
        <is>
          <t>UPI</t>
        </is>
      </c>
      <c r="I735" t="inlineStr">
        <is>
          <t>Delivered</t>
        </is>
      </c>
      <c r="J735" t="n">
        <v>118</v>
      </c>
      <c r="K735" t="n">
        <v>1</v>
      </c>
      <c r="L735" t="n">
        <v>944</v>
      </c>
      <c r="M735" t="n">
        <v>94.40000000000001</v>
      </c>
      <c r="N735">
        <f>VLOOKUP(J735,Products!$A$2:$C$49,3,FALSE)</f>
        <v/>
      </c>
      <c r="O735">
        <f>K735*L735-M735</f>
        <v/>
      </c>
      <c r="P735">
        <f>TEXT(B735,"yyyy-mm")</f>
        <v/>
      </c>
      <c r="Q735">
        <f>IF(O735&gt;=3000,"Large","Small")</f>
        <v/>
      </c>
      <c r="R735">
        <f>INDEX(Products!$F$2:$F$49,MATCH(J735,Products!$A$2:$A$49,0))</f>
        <v/>
      </c>
      <c r="S735">
        <f>WEEKDAY(B735,2)</f>
        <v/>
      </c>
    </row>
    <row r="736">
      <c r="A736" t="n">
        <v>509696</v>
      </c>
      <c r="B736" s="6" t="n">
        <v>45940</v>
      </c>
      <c r="C736" t="n">
        <v>16688</v>
      </c>
      <c r="D736" t="inlineStr">
        <is>
          <t>Pune</t>
        </is>
      </c>
      <c r="E736" t="inlineStr">
        <is>
          <t>West</t>
        </is>
      </c>
      <c r="F736" t="inlineStr">
        <is>
          <t>Paid Search</t>
        </is>
      </c>
      <c r="G736" t="inlineStr">
        <is>
          <t>Desktop</t>
        </is>
      </c>
      <c r="H736" t="inlineStr">
        <is>
          <t>UPI</t>
        </is>
      </c>
      <c r="I736" t="inlineStr">
        <is>
          <t>Delivered</t>
        </is>
      </c>
      <c r="J736" t="n">
        <v>129</v>
      </c>
      <c r="K736" t="n">
        <v>1</v>
      </c>
      <c r="L736" t="n">
        <v>576</v>
      </c>
      <c r="M736" t="n">
        <v>57.6</v>
      </c>
      <c r="N736">
        <f>VLOOKUP(J736,Products!$A$2:$C$49,3,FALSE)</f>
        <v/>
      </c>
      <c r="O736">
        <f>K736*L736-M736</f>
        <v/>
      </c>
      <c r="P736">
        <f>TEXT(B736,"yyyy-mm")</f>
        <v/>
      </c>
      <c r="Q736">
        <f>IF(O736&gt;=3000,"Large","Small")</f>
        <v/>
      </c>
      <c r="R736">
        <f>INDEX(Products!$F$2:$F$49,MATCH(J736,Products!$A$2:$A$49,0))</f>
        <v/>
      </c>
      <c r="S736">
        <f>WEEKDAY(B736,2)</f>
        <v/>
      </c>
    </row>
    <row r="737">
      <c r="A737" t="n">
        <v>509697</v>
      </c>
      <c r="B737" s="6" t="n">
        <v>45940</v>
      </c>
      <c r="C737" t="n">
        <v>16764</v>
      </c>
      <c r="D737" t="inlineStr">
        <is>
          <t>Ahmedabad</t>
        </is>
      </c>
      <c r="E737" t="inlineStr">
        <is>
          <t>West</t>
        </is>
      </c>
      <c r="F737" t="inlineStr">
        <is>
          <t>Paid Social</t>
        </is>
      </c>
      <c r="G737" t="inlineStr">
        <is>
          <t>Mobile App</t>
        </is>
      </c>
      <c r="H737" t="inlineStr">
        <is>
          <t>Cash on Delivery</t>
        </is>
      </c>
      <c r="I737" t="inlineStr">
        <is>
          <t>Cancelled</t>
        </is>
      </c>
      <c r="J737" t="n">
        <v>103</v>
      </c>
      <c r="K737" t="n">
        <v>3</v>
      </c>
      <c r="L737" t="n">
        <v>2624</v>
      </c>
      <c r="M737" t="n">
        <v>0</v>
      </c>
      <c r="N737">
        <f>VLOOKUP(J737,Products!$A$2:$C$49,3,FALSE)</f>
        <v/>
      </c>
      <c r="O737">
        <f>K737*L737-M737</f>
        <v/>
      </c>
      <c r="P737">
        <f>TEXT(B737,"yyyy-mm")</f>
        <v/>
      </c>
      <c r="Q737">
        <f>IF(O737&gt;=3000,"Large","Small")</f>
        <v/>
      </c>
      <c r="R737">
        <f>INDEX(Products!$F$2:$F$49,MATCH(J737,Products!$A$2:$A$49,0))</f>
        <v/>
      </c>
      <c r="S737">
        <f>WEEKDAY(B737,2)</f>
        <v/>
      </c>
    </row>
    <row r="738">
      <c r="A738" t="n">
        <v>509697</v>
      </c>
      <c r="B738" s="6" t="n">
        <v>45940</v>
      </c>
      <c r="C738" t="n">
        <v>16764</v>
      </c>
      <c r="D738" t="inlineStr">
        <is>
          <t>Ahmedabad</t>
        </is>
      </c>
      <c r="E738" t="inlineStr">
        <is>
          <t>West</t>
        </is>
      </c>
      <c r="F738" t="inlineStr">
        <is>
          <t>Paid Social</t>
        </is>
      </c>
      <c r="G738" t="inlineStr">
        <is>
          <t>Mobile App</t>
        </is>
      </c>
      <c r="H738" t="inlineStr">
        <is>
          <t>Cash on Delivery</t>
        </is>
      </c>
      <c r="I738" t="inlineStr">
        <is>
          <t>Cancelled</t>
        </is>
      </c>
      <c r="J738" t="n">
        <v>129</v>
      </c>
      <c r="K738" t="n">
        <v>3</v>
      </c>
      <c r="L738" t="n">
        <v>576</v>
      </c>
      <c r="M738" t="n">
        <v>0</v>
      </c>
      <c r="N738">
        <f>VLOOKUP(J738,Products!$A$2:$C$49,3,FALSE)</f>
        <v/>
      </c>
      <c r="O738">
        <f>K738*L738-M738</f>
        <v/>
      </c>
      <c r="P738">
        <f>TEXT(B738,"yyyy-mm")</f>
        <v/>
      </c>
      <c r="Q738">
        <f>IF(O738&gt;=3000,"Large","Small")</f>
        <v/>
      </c>
      <c r="R738">
        <f>INDEX(Products!$F$2:$F$49,MATCH(J738,Products!$A$2:$A$49,0))</f>
        <v/>
      </c>
      <c r="S738">
        <f>WEEKDAY(B738,2)</f>
        <v/>
      </c>
    </row>
    <row r="739">
      <c r="A739" t="n">
        <v>509698</v>
      </c>
      <c r="B739" s="6" t="n">
        <v>45940</v>
      </c>
      <c r="C739" t="n">
        <v>16762</v>
      </c>
      <c r="D739" t="inlineStr">
        <is>
          <t>Delhi</t>
        </is>
      </c>
      <c r="E739" t="inlineStr">
        <is>
          <t>North</t>
        </is>
      </c>
      <c r="F739" t="inlineStr">
        <is>
          <t>Referral</t>
        </is>
      </c>
      <c r="G739" t="inlineStr">
        <is>
          <t>Mobile App</t>
        </is>
      </c>
      <c r="H739" t="inlineStr">
        <is>
          <t>UPI</t>
        </is>
      </c>
      <c r="I739" t="inlineStr">
        <is>
          <t>Delivered</t>
        </is>
      </c>
      <c r="J739" t="n">
        <v>127</v>
      </c>
      <c r="K739" t="n">
        <v>3</v>
      </c>
      <c r="L739" t="n">
        <v>681</v>
      </c>
      <c r="M739" t="n">
        <v>306.45</v>
      </c>
      <c r="N739">
        <f>VLOOKUP(J739,Products!$A$2:$C$49,3,FALSE)</f>
        <v/>
      </c>
      <c r="O739">
        <f>K739*L739-M739</f>
        <v/>
      </c>
      <c r="P739">
        <f>TEXT(B739,"yyyy-mm")</f>
        <v/>
      </c>
      <c r="Q739">
        <f>IF(O739&gt;=3000,"Large","Small")</f>
        <v/>
      </c>
      <c r="R739">
        <f>INDEX(Products!$F$2:$F$49,MATCH(J739,Products!$A$2:$A$49,0))</f>
        <v/>
      </c>
      <c r="S739">
        <f>WEEKDAY(B739,2)</f>
        <v/>
      </c>
    </row>
    <row r="740">
      <c r="A740" t="n">
        <v>509698</v>
      </c>
      <c r="B740" s="6" t="n">
        <v>45940</v>
      </c>
      <c r="C740" t="n">
        <v>16762</v>
      </c>
      <c r="D740" t="inlineStr">
        <is>
          <t>Delhi</t>
        </is>
      </c>
      <c r="E740" t="inlineStr">
        <is>
          <t>North</t>
        </is>
      </c>
      <c r="F740" t="inlineStr">
        <is>
          <t>Referral</t>
        </is>
      </c>
      <c r="G740" t="inlineStr">
        <is>
          <t>Mobile App</t>
        </is>
      </c>
      <c r="H740" t="inlineStr">
        <is>
          <t>UPI</t>
        </is>
      </c>
      <c r="I740" t="inlineStr">
        <is>
          <t>Delivered</t>
        </is>
      </c>
      <c r="J740" t="n">
        <v>129</v>
      </c>
      <c r="K740" t="n">
        <v>1</v>
      </c>
      <c r="L740" t="n">
        <v>576</v>
      </c>
      <c r="M740" t="n">
        <v>86.40000000000001</v>
      </c>
      <c r="N740">
        <f>VLOOKUP(J740,Products!$A$2:$C$49,3,FALSE)</f>
        <v/>
      </c>
      <c r="O740">
        <f>K740*L740-M740</f>
        <v/>
      </c>
      <c r="P740">
        <f>TEXT(B740,"yyyy-mm")</f>
        <v/>
      </c>
      <c r="Q740">
        <f>IF(O740&gt;=3000,"Large","Small")</f>
        <v/>
      </c>
      <c r="R740">
        <f>INDEX(Products!$F$2:$F$49,MATCH(J740,Products!$A$2:$A$49,0))</f>
        <v/>
      </c>
      <c r="S740">
        <f>WEEKDAY(B740,2)</f>
        <v/>
      </c>
    </row>
    <row r="741">
      <c r="A741" t="n">
        <v>509699</v>
      </c>
      <c r="B741" s="6" t="n">
        <v>45940</v>
      </c>
      <c r="C741" t="n">
        <v>16056</v>
      </c>
      <c r="D741" t="inlineStr">
        <is>
          <t>Ahmedabad</t>
        </is>
      </c>
      <c r="E741" t="inlineStr">
        <is>
          <t>West</t>
        </is>
      </c>
      <c r="F741" t="inlineStr">
        <is>
          <t>Referral</t>
        </is>
      </c>
      <c r="G741" t="inlineStr">
        <is>
          <t>Mobile App</t>
        </is>
      </c>
      <c r="H741" t="inlineStr">
        <is>
          <t>UPI</t>
        </is>
      </c>
      <c r="I741" t="inlineStr">
        <is>
          <t>Delivered</t>
        </is>
      </c>
      <c r="J741" t="n">
        <v>114</v>
      </c>
      <c r="K741" t="n">
        <v>1</v>
      </c>
      <c r="L741" t="n">
        <v>1259</v>
      </c>
      <c r="M741" t="n">
        <v>0</v>
      </c>
      <c r="N741">
        <f>VLOOKUP(J741,Products!$A$2:$C$49,3,FALSE)</f>
        <v/>
      </c>
      <c r="O741">
        <f>K741*L741-M741</f>
        <v/>
      </c>
      <c r="P741">
        <f>TEXT(B741,"yyyy-mm")</f>
        <v/>
      </c>
      <c r="Q741">
        <f>IF(O741&gt;=3000,"Large","Small")</f>
        <v/>
      </c>
      <c r="R741">
        <f>INDEX(Products!$F$2:$F$49,MATCH(J741,Products!$A$2:$A$49,0))</f>
        <v/>
      </c>
      <c r="S741">
        <f>WEEKDAY(B741,2)</f>
        <v/>
      </c>
    </row>
    <row r="742">
      <c r="A742" t="n">
        <v>509700</v>
      </c>
      <c r="B742" s="6" t="n">
        <v>45940</v>
      </c>
      <c r="C742" t="n">
        <v>12665</v>
      </c>
      <c r="D742" t="inlineStr">
        <is>
          <t>Mumbai</t>
        </is>
      </c>
      <c r="E742" t="inlineStr">
        <is>
          <t>West</t>
        </is>
      </c>
      <c r="F742" t="inlineStr">
        <is>
          <t>Organic Search</t>
        </is>
      </c>
      <c r="G742" t="inlineStr">
        <is>
          <t>Mobile App</t>
        </is>
      </c>
      <c r="H742" t="inlineStr">
        <is>
          <t>Debit Card</t>
        </is>
      </c>
      <c r="I742" t="inlineStr">
        <is>
          <t>Returned</t>
        </is>
      </c>
      <c r="J742" t="n">
        <v>106</v>
      </c>
      <c r="K742" t="n">
        <v>1</v>
      </c>
      <c r="L742" t="n">
        <v>1574</v>
      </c>
      <c r="M742" t="n">
        <v>0</v>
      </c>
      <c r="N742">
        <f>VLOOKUP(J742,Products!$A$2:$C$49,3,FALSE)</f>
        <v/>
      </c>
      <c r="O742">
        <f>K742*L742-M742</f>
        <v/>
      </c>
      <c r="P742">
        <f>TEXT(B742,"yyyy-mm")</f>
        <v/>
      </c>
      <c r="Q742">
        <f>IF(O742&gt;=3000,"Large","Small")</f>
        <v/>
      </c>
      <c r="R742">
        <f>INDEX(Products!$F$2:$F$49,MATCH(J742,Products!$A$2:$A$49,0))</f>
        <v/>
      </c>
      <c r="S742">
        <f>WEEKDAY(B742,2)</f>
        <v/>
      </c>
    </row>
    <row r="743">
      <c r="A743" t="n">
        <v>509700</v>
      </c>
      <c r="B743" s="6" t="n">
        <v>45940</v>
      </c>
      <c r="C743" t="n">
        <v>12665</v>
      </c>
      <c r="D743" t="inlineStr">
        <is>
          <t>Mumbai</t>
        </is>
      </c>
      <c r="E743" t="inlineStr">
        <is>
          <t>West</t>
        </is>
      </c>
      <c r="F743" t="inlineStr">
        <is>
          <t>Organic Search</t>
        </is>
      </c>
      <c r="G743" t="inlineStr">
        <is>
          <t>Mobile App</t>
        </is>
      </c>
      <c r="H743" t="inlineStr">
        <is>
          <t>Debit Card</t>
        </is>
      </c>
      <c r="I743" t="inlineStr">
        <is>
          <t>Returned</t>
        </is>
      </c>
      <c r="J743" t="n">
        <v>111</v>
      </c>
      <c r="K743" t="n">
        <v>1</v>
      </c>
      <c r="L743" t="n">
        <v>524</v>
      </c>
      <c r="M743" t="n">
        <v>0</v>
      </c>
      <c r="N743">
        <f>VLOOKUP(J743,Products!$A$2:$C$49,3,FALSE)</f>
        <v/>
      </c>
      <c r="O743">
        <f>K743*L743-M743</f>
        <v/>
      </c>
      <c r="P743">
        <f>TEXT(B743,"yyyy-mm")</f>
        <v/>
      </c>
      <c r="Q743">
        <f>IF(O743&gt;=3000,"Large","Small")</f>
        <v/>
      </c>
      <c r="R743">
        <f>INDEX(Products!$F$2:$F$49,MATCH(J743,Products!$A$2:$A$49,0))</f>
        <v/>
      </c>
      <c r="S743">
        <f>WEEKDAY(B743,2)</f>
        <v/>
      </c>
    </row>
    <row r="744">
      <c r="A744" t="n">
        <v>509701</v>
      </c>
      <c r="B744" s="6" t="n">
        <v>45940</v>
      </c>
      <c r="C744" t="n">
        <v>16732</v>
      </c>
      <c r="D744" t="inlineStr">
        <is>
          <t>Chennai</t>
        </is>
      </c>
      <c r="E744" t="inlineStr">
        <is>
          <t>South</t>
        </is>
      </c>
      <c r="F744" t="inlineStr">
        <is>
          <t>Organic Search</t>
        </is>
      </c>
      <c r="G744" t="inlineStr">
        <is>
          <t>Mobile App</t>
        </is>
      </c>
      <c r="H744" t="inlineStr">
        <is>
          <t>Net Banking</t>
        </is>
      </c>
      <c r="I744" t="inlineStr">
        <is>
          <t>Delivered</t>
        </is>
      </c>
      <c r="J744" t="n">
        <v>108</v>
      </c>
      <c r="K744" t="n">
        <v>1</v>
      </c>
      <c r="L744" t="n">
        <v>419</v>
      </c>
      <c r="M744" t="n">
        <v>62.85</v>
      </c>
      <c r="N744">
        <f>VLOOKUP(J744,Products!$A$2:$C$49,3,FALSE)</f>
        <v/>
      </c>
      <c r="O744">
        <f>K744*L744-M744</f>
        <v/>
      </c>
      <c r="P744">
        <f>TEXT(B744,"yyyy-mm")</f>
        <v/>
      </c>
      <c r="Q744">
        <f>IF(O744&gt;=3000,"Large","Small")</f>
        <v/>
      </c>
      <c r="R744">
        <f>INDEX(Products!$F$2:$F$49,MATCH(J744,Products!$A$2:$A$49,0))</f>
        <v/>
      </c>
      <c r="S744">
        <f>WEEKDAY(B744,2)</f>
        <v/>
      </c>
    </row>
    <row r="745">
      <c r="A745" t="n">
        <v>509702</v>
      </c>
      <c r="B745" s="6" t="n">
        <v>45940</v>
      </c>
      <c r="C745" t="n">
        <v>16679</v>
      </c>
      <c r="D745" t="inlineStr">
        <is>
          <t>Kolkata</t>
        </is>
      </c>
      <c r="E745" t="inlineStr">
        <is>
          <t>East</t>
        </is>
      </c>
      <c r="F745" t="inlineStr">
        <is>
          <t>Referral</t>
        </is>
      </c>
      <c r="G745" t="inlineStr">
        <is>
          <t>Desktop</t>
        </is>
      </c>
      <c r="H745" t="inlineStr">
        <is>
          <t>Credit Card</t>
        </is>
      </c>
      <c r="I745" t="inlineStr">
        <is>
          <t>Delivered</t>
        </is>
      </c>
      <c r="J745" t="n">
        <v>141</v>
      </c>
      <c r="K745" t="n">
        <v>1</v>
      </c>
      <c r="L745" t="n">
        <v>261</v>
      </c>
      <c r="M745" t="n">
        <v>26.1</v>
      </c>
      <c r="N745">
        <f>VLOOKUP(J745,Products!$A$2:$C$49,3,FALSE)</f>
        <v/>
      </c>
      <c r="O745">
        <f>K745*L745-M745</f>
        <v/>
      </c>
      <c r="P745">
        <f>TEXT(B745,"yyyy-mm")</f>
        <v/>
      </c>
      <c r="Q745">
        <f>IF(O745&gt;=3000,"Large","Small")</f>
        <v/>
      </c>
      <c r="R745">
        <f>INDEX(Products!$F$2:$F$49,MATCH(J745,Products!$A$2:$A$49,0))</f>
        <v/>
      </c>
      <c r="S745">
        <f>WEEKDAY(B745,2)</f>
        <v/>
      </c>
    </row>
    <row r="746">
      <c r="A746" t="n">
        <v>509703</v>
      </c>
      <c r="B746" s="6" t="n">
        <v>45940</v>
      </c>
      <c r="C746" t="n">
        <v>14351</v>
      </c>
      <c r="D746" t="inlineStr">
        <is>
          <t>Hyderabad</t>
        </is>
      </c>
      <c r="E746" t="inlineStr">
        <is>
          <t>South</t>
        </is>
      </c>
      <c r="F746" t="inlineStr">
        <is>
          <t>Paid Search</t>
        </is>
      </c>
      <c r="G746" t="inlineStr">
        <is>
          <t>Desktop</t>
        </is>
      </c>
      <c r="H746" t="inlineStr">
        <is>
          <t>UPI</t>
        </is>
      </c>
      <c r="I746" t="inlineStr">
        <is>
          <t>Delivered</t>
        </is>
      </c>
      <c r="J746" t="n">
        <v>129</v>
      </c>
      <c r="K746" t="n">
        <v>1</v>
      </c>
      <c r="L746" t="n">
        <v>576</v>
      </c>
      <c r="M746" t="n">
        <v>0</v>
      </c>
      <c r="N746">
        <f>VLOOKUP(J746,Products!$A$2:$C$49,3,FALSE)</f>
        <v/>
      </c>
      <c r="O746">
        <f>K746*L746-M746</f>
        <v/>
      </c>
      <c r="P746">
        <f>TEXT(B746,"yyyy-mm")</f>
        <v/>
      </c>
      <c r="Q746">
        <f>IF(O746&gt;=3000,"Large","Small")</f>
        <v/>
      </c>
      <c r="R746">
        <f>INDEX(Products!$F$2:$F$49,MATCH(J746,Products!$A$2:$A$49,0))</f>
        <v/>
      </c>
      <c r="S746">
        <f>WEEKDAY(B746,2)</f>
        <v/>
      </c>
    </row>
    <row r="747">
      <c r="A747" t="n">
        <v>509703</v>
      </c>
      <c r="B747" s="6" t="n">
        <v>45940</v>
      </c>
      <c r="C747" t="n">
        <v>14351</v>
      </c>
      <c r="D747" t="inlineStr">
        <is>
          <t>Hyderabad</t>
        </is>
      </c>
      <c r="E747" t="inlineStr">
        <is>
          <t>South</t>
        </is>
      </c>
      <c r="F747" t="inlineStr">
        <is>
          <t>Paid Search</t>
        </is>
      </c>
      <c r="G747" t="inlineStr">
        <is>
          <t>Desktop</t>
        </is>
      </c>
      <c r="H747" t="inlineStr">
        <is>
          <t>UPI</t>
        </is>
      </c>
      <c r="I747" t="inlineStr">
        <is>
          <t>Delivered</t>
        </is>
      </c>
      <c r="J747" t="n">
        <v>120</v>
      </c>
      <c r="K747" t="n">
        <v>1</v>
      </c>
      <c r="L747" t="n">
        <v>734</v>
      </c>
      <c r="M747" t="n">
        <v>0</v>
      </c>
      <c r="N747">
        <f>VLOOKUP(J747,Products!$A$2:$C$49,3,FALSE)</f>
        <v/>
      </c>
      <c r="O747">
        <f>K747*L747-M747</f>
        <v/>
      </c>
      <c r="P747">
        <f>TEXT(B747,"yyyy-mm")</f>
        <v/>
      </c>
      <c r="Q747">
        <f>IF(O747&gt;=3000,"Large","Small")</f>
        <v/>
      </c>
      <c r="R747">
        <f>INDEX(Products!$F$2:$F$49,MATCH(J747,Products!$A$2:$A$49,0))</f>
        <v/>
      </c>
      <c r="S747">
        <f>WEEKDAY(B747,2)</f>
        <v/>
      </c>
    </row>
    <row r="748">
      <c r="A748" t="n">
        <v>509704</v>
      </c>
      <c r="B748" s="6" t="n">
        <v>45940</v>
      </c>
      <c r="C748" t="n">
        <v>14058</v>
      </c>
      <c r="D748" t="inlineStr">
        <is>
          <t>Mumbai</t>
        </is>
      </c>
      <c r="E748" t="inlineStr">
        <is>
          <t>West</t>
        </is>
      </c>
      <c r="F748" t="inlineStr">
        <is>
          <t>Paid Search</t>
        </is>
      </c>
      <c r="G748" t="inlineStr">
        <is>
          <t>Mobile App</t>
        </is>
      </c>
      <c r="H748" t="inlineStr">
        <is>
          <t>UPI</t>
        </is>
      </c>
      <c r="I748" t="inlineStr">
        <is>
          <t>Delivered</t>
        </is>
      </c>
      <c r="J748" t="n">
        <v>113</v>
      </c>
      <c r="K748" t="n">
        <v>2</v>
      </c>
      <c r="L748" t="n">
        <v>1364</v>
      </c>
      <c r="M748" t="n">
        <v>272.8</v>
      </c>
      <c r="N748">
        <f>VLOOKUP(J748,Products!$A$2:$C$49,3,FALSE)</f>
        <v/>
      </c>
      <c r="O748">
        <f>K748*L748-M748</f>
        <v/>
      </c>
      <c r="P748">
        <f>TEXT(B748,"yyyy-mm")</f>
        <v/>
      </c>
      <c r="Q748">
        <f>IF(O748&gt;=3000,"Large","Small")</f>
        <v/>
      </c>
      <c r="R748">
        <f>INDEX(Products!$F$2:$F$49,MATCH(J748,Products!$A$2:$A$49,0))</f>
        <v/>
      </c>
      <c r="S748">
        <f>WEEKDAY(B748,2)</f>
        <v/>
      </c>
    </row>
    <row r="749">
      <c r="A749" t="n">
        <v>509705</v>
      </c>
      <c r="B749" s="6" t="n">
        <v>45940</v>
      </c>
      <c r="C749" t="n">
        <v>13306</v>
      </c>
      <c r="D749" t="inlineStr">
        <is>
          <t>Bengaluru</t>
        </is>
      </c>
      <c r="E749" t="inlineStr">
        <is>
          <t>South</t>
        </is>
      </c>
      <c r="F749" t="inlineStr">
        <is>
          <t>Email</t>
        </is>
      </c>
      <c r="G749" t="inlineStr">
        <is>
          <t>Mobile Web</t>
        </is>
      </c>
      <c r="H749" t="inlineStr">
        <is>
          <t>Credit Card</t>
        </is>
      </c>
      <c r="I749" t="inlineStr">
        <is>
          <t>Delivered</t>
        </is>
      </c>
      <c r="J749" t="n">
        <v>138</v>
      </c>
      <c r="K749" t="n">
        <v>1</v>
      </c>
      <c r="L749" t="n">
        <v>419</v>
      </c>
      <c r="M749" t="n">
        <v>0</v>
      </c>
      <c r="N749">
        <f>VLOOKUP(J749,Products!$A$2:$C$49,3,FALSE)</f>
        <v/>
      </c>
      <c r="O749">
        <f>K749*L749-M749</f>
        <v/>
      </c>
      <c r="P749">
        <f>TEXT(B749,"yyyy-mm")</f>
        <v/>
      </c>
      <c r="Q749">
        <f>IF(O749&gt;=3000,"Large","Small")</f>
        <v/>
      </c>
      <c r="R749">
        <f>INDEX(Products!$F$2:$F$49,MATCH(J749,Products!$A$2:$A$49,0))</f>
        <v/>
      </c>
      <c r="S749">
        <f>WEEKDAY(B749,2)</f>
        <v/>
      </c>
    </row>
    <row r="750">
      <c r="A750" t="n">
        <v>509705</v>
      </c>
      <c r="B750" s="6" t="n">
        <v>45940</v>
      </c>
      <c r="C750" t="n">
        <v>13306</v>
      </c>
      <c r="D750" t="inlineStr">
        <is>
          <t>Bengaluru</t>
        </is>
      </c>
      <c r="E750" t="inlineStr">
        <is>
          <t>South</t>
        </is>
      </c>
      <c r="F750" t="inlineStr">
        <is>
          <t>Email</t>
        </is>
      </c>
      <c r="G750" t="inlineStr">
        <is>
          <t>Mobile Web</t>
        </is>
      </c>
      <c r="H750" t="inlineStr">
        <is>
          <t>Credit Card</t>
        </is>
      </c>
      <c r="I750" t="inlineStr">
        <is>
          <t>Delivered</t>
        </is>
      </c>
      <c r="J750" t="n">
        <v>129</v>
      </c>
      <c r="K750" t="n">
        <v>1</v>
      </c>
      <c r="L750" t="n">
        <v>576</v>
      </c>
      <c r="M750" t="n">
        <v>0</v>
      </c>
      <c r="N750">
        <f>VLOOKUP(J750,Products!$A$2:$C$49,3,FALSE)</f>
        <v/>
      </c>
      <c r="O750">
        <f>K750*L750-M750</f>
        <v/>
      </c>
      <c r="P750">
        <f>TEXT(B750,"yyyy-mm")</f>
        <v/>
      </c>
      <c r="Q750">
        <f>IF(O750&gt;=3000,"Large","Small")</f>
        <v/>
      </c>
      <c r="R750">
        <f>INDEX(Products!$F$2:$F$49,MATCH(J750,Products!$A$2:$A$49,0))</f>
        <v/>
      </c>
      <c r="S750">
        <f>WEEKDAY(B750,2)</f>
        <v/>
      </c>
    </row>
    <row r="751">
      <c r="A751" t="n">
        <v>509706</v>
      </c>
      <c r="B751" s="6" t="n">
        <v>45940</v>
      </c>
      <c r="C751" t="n">
        <v>16418</v>
      </c>
      <c r="D751" t="inlineStr">
        <is>
          <t>Chandigarh</t>
        </is>
      </c>
      <c r="E751" t="inlineStr">
        <is>
          <t>North</t>
        </is>
      </c>
      <c r="F751" t="inlineStr">
        <is>
          <t>Paid Search</t>
        </is>
      </c>
      <c r="G751" t="inlineStr">
        <is>
          <t>Mobile App</t>
        </is>
      </c>
      <c r="H751" t="inlineStr">
        <is>
          <t>Credit Card</t>
        </is>
      </c>
      <c r="I751" t="inlineStr">
        <is>
          <t>Returned</t>
        </is>
      </c>
      <c r="J751" t="n">
        <v>135</v>
      </c>
      <c r="K751" t="n">
        <v>1</v>
      </c>
      <c r="L751" t="n">
        <v>1574</v>
      </c>
      <c r="M751" t="n">
        <v>157.4</v>
      </c>
      <c r="N751">
        <f>VLOOKUP(J751,Products!$A$2:$C$49,3,FALSE)</f>
        <v/>
      </c>
      <c r="O751">
        <f>K751*L751-M751</f>
        <v/>
      </c>
      <c r="P751">
        <f>TEXT(B751,"yyyy-mm")</f>
        <v/>
      </c>
      <c r="Q751">
        <f>IF(O751&gt;=3000,"Large","Small")</f>
        <v/>
      </c>
      <c r="R751">
        <f>INDEX(Products!$F$2:$F$49,MATCH(J751,Products!$A$2:$A$49,0))</f>
        <v/>
      </c>
      <c r="S751">
        <f>WEEKDAY(B751,2)</f>
        <v/>
      </c>
    </row>
    <row r="752">
      <c r="A752" t="n">
        <v>509706</v>
      </c>
      <c r="B752" s="6" t="n">
        <v>45940</v>
      </c>
      <c r="C752" t="n">
        <v>16418</v>
      </c>
      <c r="D752" t="inlineStr">
        <is>
          <t>Chandigarh</t>
        </is>
      </c>
      <c r="E752" t="inlineStr">
        <is>
          <t>North</t>
        </is>
      </c>
      <c r="F752" t="inlineStr">
        <is>
          <t>Paid Search</t>
        </is>
      </c>
      <c r="G752" t="inlineStr">
        <is>
          <t>Mobile App</t>
        </is>
      </c>
      <c r="H752" t="inlineStr">
        <is>
          <t>Credit Card</t>
        </is>
      </c>
      <c r="I752" t="inlineStr">
        <is>
          <t>Returned</t>
        </is>
      </c>
      <c r="J752" t="n">
        <v>129</v>
      </c>
      <c r="K752" t="n">
        <v>1</v>
      </c>
      <c r="L752" t="n">
        <v>576</v>
      </c>
      <c r="M752" t="n">
        <v>57.6</v>
      </c>
      <c r="N752">
        <f>VLOOKUP(J752,Products!$A$2:$C$49,3,FALSE)</f>
        <v/>
      </c>
      <c r="O752">
        <f>K752*L752-M752</f>
        <v/>
      </c>
      <c r="P752">
        <f>TEXT(B752,"yyyy-mm")</f>
        <v/>
      </c>
      <c r="Q752">
        <f>IF(O752&gt;=3000,"Large","Small")</f>
        <v/>
      </c>
      <c r="R752">
        <f>INDEX(Products!$F$2:$F$49,MATCH(J752,Products!$A$2:$A$49,0))</f>
        <v/>
      </c>
      <c r="S752">
        <f>WEEKDAY(B752,2)</f>
        <v/>
      </c>
    </row>
    <row r="753">
      <c r="A753" t="n">
        <v>509707</v>
      </c>
      <c r="B753" s="6" t="n">
        <v>45940</v>
      </c>
      <c r="C753" t="n">
        <v>13649</v>
      </c>
      <c r="D753" t="inlineStr">
        <is>
          <t>Delhi</t>
        </is>
      </c>
      <c r="E753" t="inlineStr">
        <is>
          <t>North</t>
        </is>
      </c>
      <c r="F753" t="inlineStr">
        <is>
          <t>Paid Social</t>
        </is>
      </c>
      <c r="G753" t="inlineStr">
        <is>
          <t>Mobile App</t>
        </is>
      </c>
      <c r="H753" t="inlineStr">
        <is>
          <t>Credit Card</t>
        </is>
      </c>
      <c r="I753" t="inlineStr">
        <is>
          <t>Returned</t>
        </is>
      </c>
      <c r="J753" t="n">
        <v>116</v>
      </c>
      <c r="K753" t="n">
        <v>1</v>
      </c>
      <c r="L753" t="n">
        <v>2624</v>
      </c>
      <c r="M753" t="n">
        <v>262.4</v>
      </c>
      <c r="N753">
        <f>VLOOKUP(J753,Products!$A$2:$C$49,3,FALSE)</f>
        <v/>
      </c>
      <c r="O753">
        <f>K753*L753-M753</f>
        <v/>
      </c>
      <c r="P753">
        <f>TEXT(B753,"yyyy-mm")</f>
        <v/>
      </c>
      <c r="Q753">
        <f>IF(O753&gt;=3000,"Large","Small")</f>
        <v/>
      </c>
      <c r="R753">
        <f>INDEX(Products!$F$2:$F$49,MATCH(J753,Products!$A$2:$A$49,0))</f>
        <v/>
      </c>
      <c r="S753">
        <f>WEEKDAY(B753,2)</f>
        <v/>
      </c>
    </row>
    <row r="754">
      <c r="A754" t="n">
        <v>509708</v>
      </c>
      <c r="B754" s="6" t="n">
        <v>45940</v>
      </c>
      <c r="C754" t="n">
        <v>16698</v>
      </c>
      <c r="D754" t="inlineStr">
        <is>
          <t>Bengaluru</t>
        </is>
      </c>
      <c r="E754" t="inlineStr">
        <is>
          <t>South</t>
        </is>
      </c>
      <c r="F754" t="inlineStr">
        <is>
          <t>Email</t>
        </is>
      </c>
      <c r="G754" t="inlineStr">
        <is>
          <t>Desktop</t>
        </is>
      </c>
      <c r="H754" t="inlineStr">
        <is>
          <t>UPI</t>
        </is>
      </c>
      <c r="I754" t="inlineStr">
        <is>
          <t>Delivered</t>
        </is>
      </c>
      <c r="J754" t="n">
        <v>148</v>
      </c>
      <c r="K754" t="n">
        <v>1</v>
      </c>
      <c r="L754" t="n">
        <v>734</v>
      </c>
      <c r="M754" t="n">
        <v>110.1</v>
      </c>
      <c r="N754">
        <f>VLOOKUP(J754,Products!$A$2:$C$49,3,FALSE)</f>
        <v/>
      </c>
      <c r="O754">
        <f>K754*L754-M754</f>
        <v/>
      </c>
      <c r="P754">
        <f>TEXT(B754,"yyyy-mm")</f>
        <v/>
      </c>
      <c r="Q754">
        <f>IF(O754&gt;=3000,"Large","Small")</f>
        <v/>
      </c>
      <c r="R754">
        <f>INDEX(Products!$F$2:$F$49,MATCH(J754,Products!$A$2:$A$49,0))</f>
        <v/>
      </c>
      <c r="S754">
        <f>WEEKDAY(B754,2)</f>
        <v/>
      </c>
    </row>
    <row r="755">
      <c r="A755" t="n">
        <v>509708</v>
      </c>
      <c r="B755" s="6" t="n">
        <v>45940</v>
      </c>
      <c r="C755" t="n">
        <v>16698</v>
      </c>
      <c r="D755" t="inlineStr">
        <is>
          <t>Bengaluru</t>
        </is>
      </c>
      <c r="E755" t="inlineStr">
        <is>
          <t>South</t>
        </is>
      </c>
      <c r="F755" t="inlineStr">
        <is>
          <t>Email</t>
        </is>
      </c>
      <c r="G755" t="inlineStr">
        <is>
          <t>Desktop</t>
        </is>
      </c>
      <c r="H755" t="inlineStr">
        <is>
          <t>UPI</t>
        </is>
      </c>
      <c r="I755" t="inlineStr">
        <is>
          <t>Delivered</t>
        </is>
      </c>
      <c r="J755" t="n">
        <v>133</v>
      </c>
      <c r="K755" t="n">
        <v>2</v>
      </c>
      <c r="L755" t="n">
        <v>419</v>
      </c>
      <c r="M755" t="n">
        <v>125.7</v>
      </c>
      <c r="N755">
        <f>VLOOKUP(J755,Products!$A$2:$C$49,3,FALSE)</f>
        <v/>
      </c>
      <c r="O755">
        <f>K755*L755-M755</f>
        <v/>
      </c>
      <c r="P755">
        <f>TEXT(B755,"yyyy-mm")</f>
        <v/>
      </c>
      <c r="Q755">
        <f>IF(O755&gt;=3000,"Large","Small")</f>
        <v/>
      </c>
      <c r="R755">
        <f>INDEX(Products!$F$2:$F$49,MATCH(J755,Products!$A$2:$A$49,0))</f>
        <v/>
      </c>
      <c r="S755">
        <f>WEEKDAY(B755,2)</f>
        <v/>
      </c>
    </row>
    <row r="756">
      <c r="A756" t="n">
        <v>509708</v>
      </c>
      <c r="B756" s="6" t="n">
        <v>45940</v>
      </c>
      <c r="C756" t="n">
        <v>16698</v>
      </c>
      <c r="D756" t="inlineStr">
        <is>
          <t>Bengaluru</t>
        </is>
      </c>
      <c r="E756" t="inlineStr">
        <is>
          <t>South</t>
        </is>
      </c>
      <c r="F756" t="inlineStr">
        <is>
          <t>Email</t>
        </is>
      </c>
      <c r="G756" t="inlineStr">
        <is>
          <t>Desktop</t>
        </is>
      </c>
      <c r="H756" t="inlineStr">
        <is>
          <t>UPI</t>
        </is>
      </c>
      <c r="I756" t="inlineStr">
        <is>
          <t>Delivered</t>
        </is>
      </c>
      <c r="J756" t="n">
        <v>130</v>
      </c>
      <c r="K756" t="n">
        <v>1</v>
      </c>
      <c r="L756" t="n">
        <v>734</v>
      </c>
      <c r="M756" t="n">
        <v>110.1</v>
      </c>
      <c r="N756">
        <f>VLOOKUP(J756,Products!$A$2:$C$49,3,FALSE)</f>
        <v/>
      </c>
      <c r="O756">
        <f>K756*L756-M756</f>
        <v/>
      </c>
      <c r="P756">
        <f>TEXT(B756,"yyyy-mm")</f>
        <v/>
      </c>
      <c r="Q756">
        <f>IF(O756&gt;=3000,"Large","Small")</f>
        <v/>
      </c>
      <c r="R756">
        <f>INDEX(Products!$F$2:$F$49,MATCH(J756,Products!$A$2:$A$49,0))</f>
        <v/>
      </c>
      <c r="S756">
        <f>WEEKDAY(B756,2)</f>
        <v/>
      </c>
    </row>
    <row r="757">
      <c r="A757" t="n">
        <v>509709</v>
      </c>
      <c r="B757" s="6" t="n">
        <v>45940</v>
      </c>
      <c r="C757" t="n">
        <v>16706</v>
      </c>
      <c r="D757" t="inlineStr">
        <is>
          <t>Bengaluru</t>
        </is>
      </c>
      <c r="E757" t="inlineStr">
        <is>
          <t>South</t>
        </is>
      </c>
      <c r="F757" t="inlineStr">
        <is>
          <t>Organic Search</t>
        </is>
      </c>
      <c r="G757" t="inlineStr">
        <is>
          <t>Mobile App</t>
        </is>
      </c>
      <c r="H757" t="inlineStr">
        <is>
          <t>UPI</t>
        </is>
      </c>
      <c r="I757" t="inlineStr">
        <is>
          <t>Delivered</t>
        </is>
      </c>
      <c r="J757" t="n">
        <v>131</v>
      </c>
      <c r="K757" t="n">
        <v>1</v>
      </c>
      <c r="L757" t="n">
        <v>314</v>
      </c>
      <c r="M757" t="n">
        <v>31.4</v>
      </c>
      <c r="N757">
        <f>VLOOKUP(J757,Products!$A$2:$C$49,3,FALSE)</f>
        <v/>
      </c>
      <c r="O757">
        <f>K757*L757-M757</f>
        <v/>
      </c>
      <c r="P757">
        <f>TEXT(B757,"yyyy-mm")</f>
        <v/>
      </c>
      <c r="Q757">
        <f>IF(O757&gt;=3000,"Large","Small")</f>
        <v/>
      </c>
      <c r="R757">
        <f>INDEX(Products!$F$2:$F$49,MATCH(J757,Products!$A$2:$A$49,0))</f>
        <v/>
      </c>
      <c r="S757">
        <f>WEEKDAY(B757,2)</f>
        <v/>
      </c>
    </row>
    <row r="758">
      <c r="A758" t="n">
        <v>509710</v>
      </c>
      <c r="B758" s="6" t="n">
        <v>45940</v>
      </c>
      <c r="C758" t="n">
        <v>14691</v>
      </c>
      <c r="D758" t="inlineStr">
        <is>
          <t>Mumbai</t>
        </is>
      </c>
      <c r="E758" t="inlineStr">
        <is>
          <t>West</t>
        </is>
      </c>
      <c r="F758" t="inlineStr">
        <is>
          <t>Organic Search</t>
        </is>
      </c>
      <c r="G758" t="inlineStr">
        <is>
          <t>Desktop</t>
        </is>
      </c>
      <c r="H758" t="inlineStr">
        <is>
          <t>UPI</t>
        </is>
      </c>
      <c r="I758" t="inlineStr">
        <is>
          <t>Delivered</t>
        </is>
      </c>
      <c r="J758" t="n">
        <v>117</v>
      </c>
      <c r="K758" t="n">
        <v>1</v>
      </c>
      <c r="L758" t="n">
        <v>3149</v>
      </c>
      <c r="M758" t="n">
        <v>0</v>
      </c>
      <c r="N758">
        <f>VLOOKUP(J758,Products!$A$2:$C$49,3,FALSE)</f>
        <v/>
      </c>
      <c r="O758">
        <f>K758*L758-M758</f>
        <v/>
      </c>
      <c r="P758">
        <f>TEXT(B758,"yyyy-mm")</f>
        <v/>
      </c>
      <c r="Q758">
        <f>IF(O758&gt;=3000,"Large","Small")</f>
        <v/>
      </c>
      <c r="R758">
        <f>INDEX(Products!$F$2:$F$49,MATCH(J758,Products!$A$2:$A$49,0))</f>
        <v/>
      </c>
      <c r="S758">
        <f>WEEKDAY(B758,2)</f>
        <v/>
      </c>
    </row>
    <row r="759">
      <c r="A759" t="n">
        <v>509710</v>
      </c>
      <c r="B759" s="6" t="n">
        <v>45940</v>
      </c>
      <c r="C759" t="n">
        <v>14691</v>
      </c>
      <c r="D759" t="inlineStr">
        <is>
          <t>Mumbai</t>
        </is>
      </c>
      <c r="E759" t="inlineStr">
        <is>
          <t>West</t>
        </is>
      </c>
      <c r="F759" t="inlineStr">
        <is>
          <t>Organic Search</t>
        </is>
      </c>
      <c r="G759" t="inlineStr">
        <is>
          <t>Desktop</t>
        </is>
      </c>
      <c r="H759" t="inlineStr">
        <is>
          <t>UPI</t>
        </is>
      </c>
      <c r="I759" t="inlineStr">
        <is>
          <t>Delivered</t>
        </is>
      </c>
      <c r="J759" t="n">
        <v>134</v>
      </c>
      <c r="K759" t="n">
        <v>1</v>
      </c>
      <c r="L759" t="n">
        <v>209</v>
      </c>
      <c r="M759" t="n">
        <v>0</v>
      </c>
      <c r="N759">
        <f>VLOOKUP(J759,Products!$A$2:$C$49,3,FALSE)</f>
        <v/>
      </c>
      <c r="O759">
        <f>K759*L759-M759</f>
        <v/>
      </c>
      <c r="P759">
        <f>TEXT(B759,"yyyy-mm")</f>
        <v/>
      </c>
      <c r="Q759">
        <f>IF(O759&gt;=3000,"Large","Small")</f>
        <v/>
      </c>
      <c r="R759">
        <f>INDEX(Products!$F$2:$F$49,MATCH(J759,Products!$A$2:$A$49,0))</f>
        <v/>
      </c>
      <c r="S759">
        <f>WEEKDAY(B759,2)</f>
        <v/>
      </c>
    </row>
    <row r="760">
      <c r="A760" t="n">
        <v>509710</v>
      </c>
      <c r="B760" s="6" t="n">
        <v>45940</v>
      </c>
      <c r="C760" t="n">
        <v>14691</v>
      </c>
      <c r="D760" t="inlineStr">
        <is>
          <t>Mumbai</t>
        </is>
      </c>
      <c r="E760" t="inlineStr">
        <is>
          <t>West</t>
        </is>
      </c>
      <c r="F760" t="inlineStr">
        <is>
          <t>Organic Search</t>
        </is>
      </c>
      <c r="G760" t="inlineStr">
        <is>
          <t>Desktop</t>
        </is>
      </c>
      <c r="H760" t="inlineStr">
        <is>
          <t>UPI</t>
        </is>
      </c>
      <c r="I760" t="inlineStr">
        <is>
          <t>Delivered</t>
        </is>
      </c>
      <c r="J760" t="n">
        <v>112</v>
      </c>
      <c r="K760" t="n">
        <v>1</v>
      </c>
      <c r="L760" t="n">
        <v>1574</v>
      </c>
      <c r="M760" t="n">
        <v>0</v>
      </c>
      <c r="N760">
        <f>VLOOKUP(J760,Products!$A$2:$C$49,3,FALSE)</f>
        <v/>
      </c>
      <c r="O760">
        <f>K760*L760-M760</f>
        <v/>
      </c>
      <c r="P760">
        <f>TEXT(B760,"yyyy-mm")</f>
        <v/>
      </c>
      <c r="Q760">
        <f>IF(O760&gt;=3000,"Large","Small")</f>
        <v/>
      </c>
      <c r="R760">
        <f>INDEX(Products!$F$2:$F$49,MATCH(J760,Products!$A$2:$A$49,0))</f>
        <v/>
      </c>
      <c r="S760">
        <f>WEEKDAY(B760,2)</f>
        <v/>
      </c>
    </row>
    <row r="761">
      <c r="A761" t="n">
        <v>509711</v>
      </c>
      <c r="B761" s="6" t="n">
        <v>45941</v>
      </c>
      <c r="C761" t="n">
        <v>16484</v>
      </c>
      <c r="D761" t="inlineStr">
        <is>
          <t>Delhi</t>
        </is>
      </c>
      <c r="E761" t="inlineStr">
        <is>
          <t>North</t>
        </is>
      </c>
      <c r="F761" t="inlineStr">
        <is>
          <t>Referral</t>
        </is>
      </c>
      <c r="G761" t="inlineStr">
        <is>
          <t>Mobile App</t>
        </is>
      </c>
      <c r="H761" t="inlineStr">
        <is>
          <t>UPI</t>
        </is>
      </c>
      <c r="I761" t="inlineStr">
        <is>
          <t>Delivered</t>
        </is>
      </c>
      <c r="J761" t="n">
        <v>115</v>
      </c>
      <c r="K761" t="n">
        <v>1</v>
      </c>
      <c r="L761" t="n">
        <v>4199</v>
      </c>
      <c r="M761" t="n">
        <v>0</v>
      </c>
      <c r="N761">
        <f>VLOOKUP(J761,Products!$A$2:$C$49,3,FALSE)</f>
        <v/>
      </c>
      <c r="O761">
        <f>K761*L761-M761</f>
        <v/>
      </c>
      <c r="P761">
        <f>TEXT(B761,"yyyy-mm")</f>
        <v/>
      </c>
      <c r="Q761">
        <f>IF(O761&gt;=3000,"Large","Small")</f>
        <v/>
      </c>
      <c r="R761">
        <f>INDEX(Products!$F$2:$F$49,MATCH(J761,Products!$A$2:$A$49,0))</f>
        <v/>
      </c>
      <c r="S761">
        <f>WEEKDAY(B761,2)</f>
        <v/>
      </c>
    </row>
    <row r="762">
      <c r="A762" t="n">
        <v>509712</v>
      </c>
      <c r="B762" s="6" t="n">
        <v>45941</v>
      </c>
      <c r="C762" t="n">
        <v>10084</v>
      </c>
      <c r="D762" t="inlineStr">
        <is>
          <t>Chennai</t>
        </is>
      </c>
      <c r="E762" t="inlineStr">
        <is>
          <t>South</t>
        </is>
      </c>
      <c r="F762" t="inlineStr">
        <is>
          <t>Organic Search</t>
        </is>
      </c>
      <c r="G762" t="inlineStr">
        <is>
          <t>Mobile App</t>
        </is>
      </c>
      <c r="H762" t="inlineStr">
        <is>
          <t>Net Banking</t>
        </is>
      </c>
      <c r="I762" t="inlineStr">
        <is>
          <t>Delivered</t>
        </is>
      </c>
      <c r="J762" t="n">
        <v>140</v>
      </c>
      <c r="K762" t="n">
        <v>3</v>
      </c>
      <c r="L762" t="n">
        <v>629</v>
      </c>
      <c r="M762" t="n">
        <v>0</v>
      </c>
      <c r="N762">
        <f>VLOOKUP(J762,Products!$A$2:$C$49,3,FALSE)</f>
        <v/>
      </c>
      <c r="O762">
        <f>K762*L762-M762</f>
        <v/>
      </c>
      <c r="P762">
        <f>TEXT(B762,"yyyy-mm")</f>
        <v/>
      </c>
      <c r="Q762">
        <f>IF(O762&gt;=3000,"Large","Small")</f>
        <v/>
      </c>
      <c r="R762">
        <f>INDEX(Products!$F$2:$F$49,MATCH(J762,Products!$A$2:$A$49,0))</f>
        <v/>
      </c>
      <c r="S762">
        <f>WEEKDAY(B762,2)</f>
        <v/>
      </c>
    </row>
    <row r="763">
      <c r="A763" t="n">
        <v>509712</v>
      </c>
      <c r="B763" s="6" t="n">
        <v>45941</v>
      </c>
      <c r="C763" t="n">
        <v>10084</v>
      </c>
      <c r="D763" t="inlineStr">
        <is>
          <t>Chennai</t>
        </is>
      </c>
      <c r="E763" t="inlineStr">
        <is>
          <t>South</t>
        </is>
      </c>
      <c r="F763" t="inlineStr">
        <is>
          <t>Organic Search</t>
        </is>
      </c>
      <c r="G763" t="inlineStr">
        <is>
          <t>Mobile App</t>
        </is>
      </c>
      <c r="H763" t="inlineStr">
        <is>
          <t>Net Banking</t>
        </is>
      </c>
      <c r="I763" t="inlineStr">
        <is>
          <t>Delivered</t>
        </is>
      </c>
      <c r="J763" t="n">
        <v>123</v>
      </c>
      <c r="K763" t="n">
        <v>2</v>
      </c>
      <c r="L763" t="n">
        <v>3464</v>
      </c>
      <c r="M763" t="n">
        <v>0</v>
      </c>
      <c r="N763">
        <f>VLOOKUP(J763,Products!$A$2:$C$49,3,FALSE)</f>
        <v/>
      </c>
      <c r="O763">
        <f>K763*L763-M763</f>
        <v/>
      </c>
      <c r="P763">
        <f>TEXT(B763,"yyyy-mm")</f>
        <v/>
      </c>
      <c r="Q763">
        <f>IF(O763&gt;=3000,"Large","Small")</f>
        <v/>
      </c>
      <c r="R763">
        <f>INDEX(Products!$F$2:$F$49,MATCH(J763,Products!$A$2:$A$49,0))</f>
        <v/>
      </c>
      <c r="S763">
        <f>WEEKDAY(B763,2)</f>
        <v/>
      </c>
    </row>
    <row r="764">
      <c r="A764" t="n">
        <v>509712</v>
      </c>
      <c r="B764" s="6" t="n">
        <v>45941</v>
      </c>
      <c r="C764" t="n">
        <v>10084</v>
      </c>
      <c r="D764" t="inlineStr">
        <is>
          <t>Chennai</t>
        </is>
      </c>
      <c r="E764" t="inlineStr">
        <is>
          <t>South</t>
        </is>
      </c>
      <c r="F764" t="inlineStr">
        <is>
          <t>Organic Search</t>
        </is>
      </c>
      <c r="G764" t="inlineStr">
        <is>
          <t>Mobile App</t>
        </is>
      </c>
      <c r="H764" t="inlineStr">
        <is>
          <t>Net Banking</t>
        </is>
      </c>
      <c r="I764" t="inlineStr">
        <is>
          <t>Delivered</t>
        </is>
      </c>
      <c r="J764" t="n">
        <v>129</v>
      </c>
      <c r="K764" t="n">
        <v>1</v>
      </c>
      <c r="L764" t="n">
        <v>576</v>
      </c>
      <c r="M764" t="n">
        <v>0</v>
      </c>
      <c r="N764">
        <f>VLOOKUP(J764,Products!$A$2:$C$49,3,FALSE)</f>
        <v/>
      </c>
      <c r="O764">
        <f>K764*L764-M764</f>
        <v/>
      </c>
      <c r="P764">
        <f>TEXT(B764,"yyyy-mm")</f>
        <v/>
      </c>
      <c r="Q764">
        <f>IF(O764&gt;=3000,"Large","Small")</f>
        <v/>
      </c>
      <c r="R764">
        <f>INDEX(Products!$F$2:$F$49,MATCH(J764,Products!$A$2:$A$49,0))</f>
        <v/>
      </c>
      <c r="S764">
        <f>WEEKDAY(B764,2)</f>
        <v/>
      </c>
    </row>
    <row r="765">
      <c r="A765" t="n">
        <v>509713</v>
      </c>
      <c r="B765" s="6" t="n">
        <v>45941</v>
      </c>
      <c r="C765" t="n">
        <v>16746</v>
      </c>
      <c r="D765" t="inlineStr">
        <is>
          <t>Bengaluru</t>
        </is>
      </c>
      <c r="E765" t="inlineStr">
        <is>
          <t>South</t>
        </is>
      </c>
      <c r="F765" t="inlineStr">
        <is>
          <t>Organic Search</t>
        </is>
      </c>
      <c r="G765" t="inlineStr">
        <is>
          <t>Mobile Web</t>
        </is>
      </c>
      <c r="H765" t="inlineStr">
        <is>
          <t>Credit Card</t>
        </is>
      </c>
      <c r="I765" t="inlineStr">
        <is>
          <t>Delivered</t>
        </is>
      </c>
      <c r="J765" t="n">
        <v>130</v>
      </c>
      <c r="K765" t="n">
        <v>2</v>
      </c>
      <c r="L765" t="n">
        <v>734</v>
      </c>
      <c r="M765" t="n">
        <v>146.8</v>
      </c>
      <c r="N765">
        <f>VLOOKUP(J765,Products!$A$2:$C$49,3,FALSE)</f>
        <v/>
      </c>
      <c r="O765">
        <f>K765*L765-M765</f>
        <v/>
      </c>
      <c r="P765">
        <f>TEXT(B765,"yyyy-mm")</f>
        <v/>
      </c>
      <c r="Q765">
        <f>IF(O765&gt;=3000,"Large","Small")</f>
        <v/>
      </c>
      <c r="R765">
        <f>INDEX(Products!$F$2:$F$49,MATCH(J765,Products!$A$2:$A$49,0))</f>
        <v/>
      </c>
      <c r="S765">
        <f>WEEKDAY(B765,2)</f>
        <v/>
      </c>
    </row>
    <row r="766">
      <c r="A766" t="n">
        <v>509713</v>
      </c>
      <c r="B766" s="6" t="n">
        <v>45941</v>
      </c>
      <c r="C766" t="n">
        <v>16746</v>
      </c>
      <c r="D766" t="inlineStr">
        <is>
          <t>Bengaluru</t>
        </is>
      </c>
      <c r="E766" t="inlineStr">
        <is>
          <t>South</t>
        </is>
      </c>
      <c r="F766" t="inlineStr">
        <is>
          <t>Organic Search</t>
        </is>
      </c>
      <c r="G766" t="inlineStr">
        <is>
          <t>Mobile Web</t>
        </is>
      </c>
      <c r="H766" t="inlineStr">
        <is>
          <t>Credit Card</t>
        </is>
      </c>
      <c r="I766" t="inlineStr">
        <is>
          <t>Delivered</t>
        </is>
      </c>
      <c r="J766" t="n">
        <v>129</v>
      </c>
      <c r="K766" t="n">
        <v>1</v>
      </c>
      <c r="L766" t="n">
        <v>576</v>
      </c>
      <c r="M766" t="n">
        <v>57.6</v>
      </c>
      <c r="N766">
        <f>VLOOKUP(J766,Products!$A$2:$C$49,3,FALSE)</f>
        <v/>
      </c>
      <c r="O766">
        <f>K766*L766-M766</f>
        <v/>
      </c>
      <c r="P766">
        <f>TEXT(B766,"yyyy-mm")</f>
        <v/>
      </c>
      <c r="Q766">
        <f>IF(O766&gt;=3000,"Large","Small")</f>
        <v/>
      </c>
      <c r="R766">
        <f>INDEX(Products!$F$2:$F$49,MATCH(J766,Products!$A$2:$A$49,0))</f>
        <v/>
      </c>
      <c r="S766">
        <f>WEEKDAY(B766,2)</f>
        <v/>
      </c>
    </row>
    <row r="767">
      <c r="A767" t="n">
        <v>509714</v>
      </c>
      <c r="B767" s="6" t="n">
        <v>45941</v>
      </c>
      <c r="C767" t="n">
        <v>16237</v>
      </c>
      <c r="D767" t="inlineStr">
        <is>
          <t>Chennai</t>
        </is>
      </c>
      <c r="E767" t="inlineStr">
        <is>
          <t>South</t>
        </is>
      </c>
      <c r="F767" t="inlineStr">
        <is>
          <t>Paid Search</t>
        </is>
      </c>
      <c r="G767" t="inlineStr">
        <is>
          <t>Mobile Web</t>
        </is>
      </c>
      <c r="H767" t="inlineStr">
        <is>
          <t>Net Banking</t>
        </is>
      </c>
      <c r="I767" t="inlineStr">
        <is>
          <t>Delivered</t>
        </is>
      </c>
      <c r="J767" t="n">
        <v>129</v>
      </c>
      <c r="K767" t="n">
        <v>1</v>
      </c>
      <c r="L767" t="n">
        <v>576</v>
      </c>
      <c r="M767" t="n">
        <v>57.6</v>
      </c>
      <c r="N767">
        <f>VLOOKUP(J767,Products!$A$2:$C$49,3,FALSE)</f>
        <v/>
      </c>
      <c r="O767">
        <f>K767*L767-M767</f>
        <v/>
      </c>
      <c r="P767">
        <f>TEXT(B767,"yyyy-mm")</f>
        <v/>
      </c>
      <c r="Q767">
        <f>IF(O767&gt;=3000,"Large","Small")</f>
        <v/>
      </c>
      <c r="R767">
        <f>INDEX(Products!$F$2:$F$49,MATCH(J767,Products!$A$2:$A$49,0))</f>
        <v/>
      </c>
      <c r="S767">
        <f>WEEKDAY(B767,2)</f>
        <v/>
      </c>
    </row>
    <row r="768">
      <c r="A768" t="n">
        <v>509715</v>
      </c>
      <c r="B768" s="6" t="n">
        <v>45941</v>
      </c>
      <c r="C768" t="n">
        <v>16578</v>
      </c>
      <c r="D768" t="inlineStr">
        <is>
          <t>Jaipur</t>
        </is>
      </c>
      <c r="E768" t="inlineStr">
        <is>
          <t>North</t>
        </is>
      </c>
      <c r="F768" t="inlineStr">
        <is>
          <t>Organic Search</t>
        </is>
      </c>
      <c r="G768" t="inlineStr">
        <is>
          <t>Mobile Web</t>
        </is>
      </c>
      <c r="H768" t="inlineStr">
        <is>
          <t>Credit Card</t>
        </is>
      </c>
      <c r="I768" t="inlineStr">
        <is>
          <t>Delivered</t>
        </is>
      </c>
      <c r="J768" t="n">
        <v>121</v>
      </c>
      <c r="K768" t="n">
        <v>1</v>
      </c>
      <c r="L768" t="n">
        <v>2939</v>
      </c>
      <c r="M768" t="n">
        <v>440.85</v>
      </c>
      <c r="N768">
        <f>VLOOKUP(J768,Products!$A$2:$C$49,3,FALSE)</f>
        <v/>
      </c>
      <c r="O768">
        <f>K768*L768-M768</f>
        <v/>
      </c>
      <c r="P768">
        <f>TEXT(B768,"yyyy-mm")</f>
        <v/>
      </c>
      <c r="Q768">
        <f>IF(O768&gt;=3000,"Large","Small")</f>
        <v/>
      </c>
      <c r="R768">
        <f>INDEX(Products!$F$2:$F$49,MATCH(J768,Products!$A$2:$A$49,0))</f>
        <v/>
      </c>
      <c r="S768">
        <f>WEEKDAY(B768,2)</f>
        <v/>
      </c>
    </row>
    <row r="769">
      <c r="A769" t="n">
        <v>509715</v>
      </c>
      <c r="B769" s="6" t="n">
        <v>45941</v>
      </c>
      <c r="C769" t="n">
        <v>16578</v>
      </c>
      <c r="D769" t="inlineStr">
        <is>
          <t>Jaipur</t>
        </is>
      </c>
      <c r="E769" t="inlineStr">
        <is>
          <t>North</t>
        </is>
      </c>
      <c r="F769" t="inlineStr">
        <is>
          <t>Organic Search</t>
        </is>
      </c>
      <c r="G769" t="inlineStr">
        <is>
          <t>Mobile Web</t>
        </is>
      </c>
      <c r="H769" t="inlineStr">
        <is>
          <t>Credit Card</t>
        </is>
      </c>
      <c r="I769" t="inlineStr">
        <is>
          <t>Delivered</t>
        </is>
      </c>
      <c r="J769" t="n">
        <v>101</v>
      </c>
      <c r="K769" t="n">
        <v>2</v>
      </c>
      <c r="L769" t="n">
        <v>2099</v>
      </c>
      <c r="M769" t="n">
        <v>629.7</v>
      </c>
      <c r="N769">
        <f>VLOOKUP(J769,Products!$A$2:$C$49,3,FALSE)</f>
        <v/>
      </c>
      <c r="O769">
        <f>K769*L769-M769</f>
        <v/>
      </c>
      <c r="P769">
        <f>TEXT(B769,"yyyy-mm")</f>
        <v/>
      </c>
      <c r="Q769">
        <f>IF(O769&gt;=3000,"Large","Small")</f>
        <v/>
      </c>
      <c r="R769">
        <f>INDEX(Products!$F$2:$F$49,MATCH(J769,Products!$A$2:$A$49,0))</f>
        <v/>
      </c>
      <c r="S769">
        <f>WEEKDAY(B769,2)</f>
        <v/>
      </c>
    </row>
    <row r="770">
      <c r="A770" t="n">
        <v>509715</v>
      </c>
      <c r="B770" s="6" t="n">
        <v>45941</v>
      </c>
      <c r="C770" t="n">
        <v>16578</v>
      </c>
      <c r="D770" t="inlineStr">
        <is>
          <t>Jaipur</t>
        </is>
      </c>
      <c r="E770" t="inlineStr">
        <is>
          <t>North</t>
        </is>
      </c>
      <c r="F770" t="inlineStr">
        <is>
          <t>Organic Search</t>
        </is>
      </c>
      <c r="G770" t="inlineStr">
        <is>
          <t>Mobile Web</t>
        </is>
      </c>
      <c r="H770" t="inlineStr">
        <is>
          <t>Credit Card</t>
        </is>
      </c>
      <c r="I770" t="inlineStr">
        <is>
          <t>Delivered</t>
        </is>
      </c>
      <c r="J770" t="n">
        <v>130</v>
      </c>
      <c r="K770" t="n">
        <v>1</v>
      </c>
      <c r="L770" t="n">
        <v>734</v>
      </c>
      <c r="M770" t="n">
        <v>110.1</v>
      </c>
      <c r="N770">
        <f>VLOOKUP(J770,Products!$A$2:$C$49,3,FALSE)</f>
        <v/>
      </c>
      <c r="O770">
        <f>K770*L770-M770</f>
        <v/>
      </c>
      <c r="P770">
        <f>TEXT(B770,"yyyy-mm")</f>
        <v/>
      </c>
      <c r="Q770">
        <f>IF(O770&gt;=3000,"Large","Small")</f>
        <v/>
      </c>
      <c r="R770">
        <f>INDEX(Products!$F$2:$F$49,MATCH(J770,Products!$A$2:$A$49,0))</f>
        <v/>
      </c>
      <c r="S770">
        <f>WEEKDAY(B770,2)</f>
        <v/>
      </c>
    </row>
    <row r="771">
      <c r="A771" t="n">
        <v>509715</v>
      </c>
      <c r="B771" s="6" t="n">
        <v>45941</v>
      </c>
      <c r="C771" t="n">
        <v>16578</v>
      </c>
      <c r="D771" t="inlineStr">
        <is>
          <t>Jaipur</t>
        </is>
      </c>
      <c r="E771" t="inlineStr">
        <is>
          <t>North</t>
        </is>
      </c>
      <c r="F771" t="inlineStr">
        <is>
          <t>Organic Search</t>
        </is>
      </c>
      <c r="G771" t="inlineStr">
        <is>
          <t>Mobile Web</t>
        </is>
      </c>
      <c r="H771" t="inlineStr">
        <is>
          <t>Credit Card</t>
        </is>
      </c>
      <c r="I771" t="inlineStr">
        <is>
          <t>Delivered</t>
        </is>
      </c>
      <c r="J771" t="n">
        <v>102</v>
      </c>
      <c r="K771" t="n">
        <v>1</v>
      </c>
      <c r="L771" t="n">
        <v>3674</v>
      </c>
      <c r="M771" t="n">
        <v>551.1</v>
      </c>
      <c r="N771">
        <f>VLOOKUP(J771,Products!$A$2:$C$49,3,FALSE)</f>
        <v/>
      </c>
      <c r="O771">
        <f>K771*L771-M771</f>
        <v/>
      </c>
      <c r="P771">
        <f>TEXT(B771,"yyyy-mm")</f>
        <v/>
      </c>
      <c r="Q771">
        <f>IF(O771&gt;=3000,"Large","Small")</f>
        <v/>
      </c>
      <c r="R771">
        <f>INDEX(Products!$F$2:$F$49,MATCH(J771,Products!$A$2:$A$49,0))</f>
        <v/>
      </c>
      <c r="S771">
        <f>WEEKDAY(B771,2)</f>
        <v/>
      </c>
    </row>
    <row r="772">
      <c r="A772" t="n">
        <v>509716</v>
      </c>
      <c r="B772" s="6" t="n">
        <v>45941</v>
      </c>
      <c r="C772" t="n">
        <v>15953</v>
      </c>
      <c r="D772" t="inlineStr">
        <is>
          <t>Delhi</t>
        </is>
      </c>
      <c r="E772" t="inlineStr">
        <is>
          <t>North</t>
        </is>
      </c>
      <c r="F772" t="inlineStr">
        <is>
          <t>Organic Search</t>
        </is>
      </c>
      <c r="G772" t="inlineStr">
        <is>
          <t>Mobile App</t>
        </is>
      </c>
      <c r="H772" t="inlineStr">
        <is>
          <t>UPI</t>
        </is>
      </c>
      <c r="I772" t="inlineStr">
        <is>
          <t>Delivered</t>
        </is>
      </c>
      <c r="J772" t="n">
        <v>123</v>
      </c>
      <c r="K772" t="n">
        <v>1</v>
      </c>
      <c r="L772" t="n">
        <v>3464</v>
      </c>
      <c r="M772" t="n">
        <v>0</v>
      </c>
      <c r="N772">
        <f>VLOOKUP(J772,Products!$A$2:$C$49,3,FALSE)</f>
        <v/>
      </c>
      <c r="O772">
        <f>K772*L772-M772</f>
        <v/>
      </c>
      <c r="P772">
        <f>TEXT(B772,"yyyy-mm")</f>
        <v/>
      </c>
      <c r="Q772">
        <f>IF(O772&gt;=3000,"Large","Small")</f>
        <v/>
      </c>
      <c r="R772">
        <f>INDEX(Products!$F$2:$F$49,MATCH(J772,Products!$A$2:$A$49,0))</f>
        <v/>
      </c>
      <c r="S772">
        <f>WEEKDAY(B772,2)</f>
        <v/>
      </c>
    </row>
    <row r="773">
      <c r="A773" t="n">
        <v>509716</v>
      </c>
      <c r="B773" s="6" t="n">
        <v>45941</v>
      </c>
      <c r="C773" t="n">
        <v>15953</v>
      </c>
      <c r="D773" t="inlineStr">
        <is>
          <t>Delhi</t>
        </is>
      </c>
      <c r="E773" t="inlineStr">
        <is>
          <t>North</t>
        </is>
      </c>
      <c r="F773" t="inlineStr">
        <is>
          <t>Organic Search</t>
        </is>
      </c>
      <c r="G773" t="inlineStr">
        <is>
          <t>Mobile App</t>
        </is>
      </c>
      <c r="H773" t="inlineStr">
        <is>
          <t>UPI</t>
        </is>
      </c>
      <c r="I773" t="inlineStr">
        <is>
          <t>Delivered</t>
        </is>
      </c>
      <c r="J773" t="n">
        <v>117</v>
      </c>
      <c r="K773" t="n">
        <v>2</v>
      </c>
      <c r="L773" t="n">
        <v>3149</v>
      </c>
      <c r="M773" t="n">
        <v>0</v>
      </c>
      <c r="N773">
        <f>VLOOKUP(J773,Products!$A$2:$C$49,3,FALSE)</f>
        <v/>
      </c>
      <c r="O773">
        <f>K773*L773-M773</f>
        <v/>
      </c>
      <c r="P773">
        <f>TEXT(B773,"yyyy-mm")</f>
        <v/>
      </c>
      <c r="Q773">
        <f>IF(O773&gt;=3000,"Large","Small")</f>
        <v/>
      </c>
      <c r="R773">
        <f>INDEX(Products!$F$2:$F$49,MATCH(J773,Products!$A$2:$A$49,0))</f>
        <v/>
      </c>
      <c r="S773">
        <f>WEEKDAY(B773,2)</f>
        <v/>
      </c>
    </row>
    <row r="774">
      <c r="A774" t="n">
        <v>509716</v>
      </c>
      <c r="B774" s="6" t="n">
        <v>45941</v>
      </c>
      <c r="C774" t="n">
        <v>15953</v>
      </c>
      <c r="D774" t="inlineStr">
        <is>
          <t>Delhi</t>
        </is>
      </c>
      <c r="E774" t="inlineStr">
        <is>
          <t>North</t>
        </is>
      </c>
      <c r="F774" t="inlineStr">
        <is>
          <t>Organic Search</t>
        </is>
      </c>
      <c r="G774" t="inlineStr">
        <is>
          <t>Mobile App</t>
        </is>
      </c>
      <c r="H774" t="inlineStr">
        <is>
          <t>UPI</t>
        </is>
      </c>
      <c r="I774" t="inlineStr">
        <is>
          <t>Delivered</t>
        </is>
      </c>
      <c r="J774" t="n">
        <v>122</v>
      </c>
      <c r="K774" t="n">
        <v>1</v>
      </c>
      <c r="L774" t="n">
        <v>1994</v>
      </c>
      <c r="M774" t="n">
        <v>0</v>
      </c>
      <c r="N774">
        <f>VLOOKUP(J774,Products!$A$2:$C$49,3,FALSE)</f>
        <v/>
      </c>
      <c r="O774">
        <f>K774*L774-M774</f>
        <v/>
      </c>
      <c r="P774">
        <f>TEXT(B774,"yyyy-mm")</f>
        <v/>
      </c>
      <c r="Q774">
        <f>IF(O774&gt;=3000,"Large","Small")</f>
        <v/>
      </c>
      <c r="R774">
        <f>INDEX(Products!$F$2:$F$49,MATCH(J774,Products!$A$2:$A$49,0))</f>
        <v/>
      </c>
      <c r="S774">
        <f>WEEKDAY(B774,2)</f>
        <v/>
      </c>
    </row>
    <row r="775">
      <c r="A775" t="n">
        <v>509717</v>
      </c>
      <c r="B775" s="6" t="n">
        <v>45941</v>
      </c>
      <c r="C775" t="n">
        <v>16722</v>
      </c>
      <c r="D775" t="inlineStr">
        <is>
          <t>Bengaluru</t>
        </is>
      </c>
      <c r="E775" t="inlineStr">
        <is>
          <t>South</t>
        </is>
      </c>
      <c r="F775" t="inlineStr">
        <is>
          <t>Organic Search</t>
        </is>
      </c>
      <c r="G775" t="inlineStr">
        <is>
          <t>Mobile Web</t>
        </is>
      </c>
      <c r="H775" t="inlineStr">
        <is>
          <t>Cash on Delivery</t>
        </is>
      </c>
      <c r="I775" t="inlineStr">
        <is>
          <t>Delivered</t>
        </is>
      </c>
      <c r="J775" t="n">
        <v>106</v>
      </c>
      <c r="K775" t="n">
        <v>2</v>
      </c>
      <c r="L775" t="n">
        <v>1574</v>
      </c>
      <c r="M775" t="n">
        <v>314.8</v>
      </c>
      <c r="N775">
        <f>VLOOKUP(J775,Products!$A$2:$C$49,3,FALSE)</f>
        <v/>
      </c>
      <c r="O775">
        <f>K775*L775-M775</f>
        <v/>
      </c>
      <c r="P775">
        <f>TEXT(B775,"yyyy-mm")</f>
        <v/>
      </c>
      <c r="Q775">
        <f>IF(O775&gt;=3000,"Large","Small")</f>
        <v/>
      </c>
      <c r="R775">
        <f>INDEX(Products!$F$2:$F$49,MATCH(J775,Products!$A$2:$A$49,0))</f>
        <v/>
      </c>
      <c r="S775">
        <f>WEEKDAY(B775,2)</f>
        <v/>
      </c>
    </row>
    <row r="776">
      <c r="A776" t="n">
        <v>509717</v>
      </c>
      <c r="B776" s="6" t="n">
        <v>45941</v>
      </c>
      <c r="C776" t="n">
        <v>16722</v>
      </c>
      <c r="D776" t="inlineStr">
        <is>
          <t>Bengaluru</t>
        </is>
      </c>
      <c r="E776" t="inlineStr">
        <is>
          <t>South</t>
        </is>
      </c>
      <c r="F776" t="inlineStr">
        <is>
          <t>Organic Search</t>
        </is>
      </c>
      <c r="G776" t="inlineStr">
        <is>
          <t>Mobile Web</t>
        </is>
      </c>
      <c r="H776" t="inlineStr">
        <is>
          <t>Cash on Delivery</t>
        </is>
      </c>
      <c r="I776" t="inlineStr">
        <is>
          <t>Delivered</t>
        </is>
      </c>
      <c r="J776" t="n">
        <v>129</v>
      </c>
      <c r="K776" t="n">
        <v>2</v>
      </c>
      <c r="L776" t="n">
        <v>576</v>
      </c>
      <c r="M776" t="n">
        <v>115.2</v>
      </c>
      <c r="N776">
        <f>VLOOKUP(J776,Products!$A$2:$C$49,3,FALSE)</f>
        <v/>
      </c>
      <c r="O776">
        <f>K776*L776-M776</f>
        <v/>
      </c>
      <c r="P776">
        <f>TEXT(B776,"yyyy-mm")</f>
        <v/>
      </c>
      <c r="Q776">
        <f>IF(O776&gt;=3000,"Large","Small")</f>
        <v/>
      </c>
      <c r="R776">
        <f>INDEX(Products!$F$2:$F$49,MATCH(J776,Products!$A$2:$A$49,0))</f>
        <v/>
      </c>
      <c r="S776">
        <f>WEEKDAY(B776,2)</f>
        <v/>
      </c>
    </row>
    <row r="777">
      <c r="A777" t="n">
        <v>509718</v>
      </c>
      <c r="B777" s="6" t="n">
        <v>45941</v>
      </c>
      <c r="C777" t="n">
        <v>16042</v>
      </c>
      <c r="D777" t="inlineStr">
        <is>
          <t>Bengaluru</t>
        </is>
      </c>
      <c r="E777" t="inlineStr">
        <is>
          <t>South</t>
        </is>
      </c>
      <c r="F777" t="inlineStr">
        <is>
          <t>Organic Search</t>
        </is>
      </c>
      <c r="G777" t="inlineStr">
        <is>
          <t>Mobile Web</t>
        </is>
      </c>
      <c r="H777" t="inlineStr">
        <is>
          <t>Cash on Delivery</t>
        </is>
      </c>
      <c r="I777" t="inlineStr">
        <is>
          <t>Delivered</t>
        </is>
      </c>
      <c r="J777" t="n">
        <v>108</v>
      </c>
      <c r="K777" t="n">
        <v>2</v>
      </c>
      <c r="L777" t="n">
        <v>419</v>
      </c>
      <c r="M777" t="n">
        <v>0</v>
      </c>
      <c r="N777">
        <f>VLOOKUP(J777,Products!$A$2:$C$49,3,FALSE)</f>
        <v/>
      </c>
      <c r="O777">
        <f>K777*L777-M777</f>
        <v/>
      </c>
      <c r="P777">
        <f>TEXT(B777,"yyyy-mm")</f>
        <v/>
      </c>
      <c r="Q777">
        <f>IF(O777&gt;=3000,"Large","Small")</f>
        <v/>
      </c>
      <c r="R777">
        <f>INDEX(Products!$F$2:$F$49,MATCH(J777,Products!$A$2:$A$49,0))</f>
        <v/>
      </c>
      <c r="S777">
        <f>WEEKDAY(B777,2)</f>
        <v/>
      </c>
    </row>
    <row r="778">
      <c r="A778" t="n">
        <v>509718</v>
      </c>
      <c r="B778" s="6" t="n">
        <v>45941</v>
      </c>
      <c r="C778" t="n">
        <v>16042</v>
      </c>
      <c r="D778" t="inlineStr">
        <is>
          <t>Bengaluru</t>
        </is>
      </c>
      <c r="E778" t="inlineStr">
        <is>
          <t>South</t>
        </is>
      </c>
      <c r="F778" t="inlineStr">
        <is>
          <t>Organic Search</t>
        </is>
      </c>
      <c r="G778" t="inlineStr">
        <is>
          <t>Mobile Web</t>
        </is>
      </c>
      <c r="H778" t="inlineStr">
        <is>
          <t>Cash on Delivery</t>
        </is>
      </c>
      <c r="I778" t="inlineStr">
        <is>
          <t>Delivered</t>
        </is>
      </c>
      <c r="J778" t="n">
        <v>122</v>
      </c>
      <c r="K778" t="n">
        <v>3</v>
      </c>
      <c r="L778" t="n">
        <v>1994</v>
      </c>
      <c r="M778" t="n">
        <v>0</v>
      </c>
      <c r="N778">
        <f>VLOOKUP(J778,Products!$A$2:$C$49,3,FALSE)</f>
        <v/>
      </c>
      <c r="O778">
        <f>K778*L778-M778</f>
        <v/>
      </c>
      <c r="P778">
        <f>TEXT(B778,"yyyy-mm")</f>
        <v/>
      </c>
      <c r="Q778">
        <f>IF(O778&gt;=3000,"Large","Small")</f>
        <v/>
      </c>
      <c r="R778">
        <f>INDEX(Products!$F$2:$F$49,MATCH(J778,Products!$A$2:$A$49,0))</f>
        <v/>
      </c>
      <c r="S778">
        <f>WEEKDAY(B778,2)</f>
        <v/>
      </c>
    </row>
    <row r="779">
      <c r="A779" t="n">
        <v>509719</v>
      </c>
      <c r="B779" s="6" t="n">
        <v>45941</v>
      </c>
      <c r="C779" t="n">
        <v>16742</v>
      </c>
      <c r="D779" t="inlineStr">
        <is>
          <t>Jaipur</t>
        </is>
      </c>
      <c r="E779" t="inlineStr">
        <is>
          <t>North</t>
        </is>
      </c>
      <c r="F779" t="inlineStr">
        <is>
          <t>Email</t>
        </is>
      </c>
      <c r="G779" t="inlineStr">
        <is>
          <t>Mobile Web</t>
        </is>
      </c>
      <c r="H779" t="inlineStr">
        <is>
          <t>Cash on Delivery</t>
        </is>
      </c>
      <c r="I779" t="inlineStr">
        <is>
          <t>Cancelled</t>
        </is>
      </c>
      <c r="J779" t="n">
        <v>118</v>
      </c>
      <c r="K779" t="n">
        <v>1</v>
      </c>
      <c r="L779" t="n">
        <v>944</v>
      </c>
      <c r="M779" t="n">
        <v>94.40000000000001</v>
      </c>
      <c r="N779">
        <f>VLOOKUP(J779,Products!$A$2:$C$49,3,FALSE)</f>
        <v/>
      </c>
      <c r="O779">
        <f>K779*L779-M779</f>
        <v/>
      </c>
      <c r="P779">
        <f>TEXT(B779,"yyyy-mm")</f>
        <v/>
      </c>
      <c r="Q779">
        <f>IF(O779&gt;=3000,"Large","Small")</f>
        <v/>
      </c>
      <c r="R779">
        <f>INDEX(Products!$F$2:$F$49,MATCH(J779,Products!$A$2:$A$49,0))</f>
        <v/>
      </c>
      <c r="S779">
        <f>WEEKDAY(B779,2)</f>
        <v/>
      </c>
    </row>
    <row r="780">
      <c r="A780" t="n">
        <v>509719</v>
      </c>
      <c r="B780" s="6" t="n">
        <v>45941</v>
      </c>
      <c r="C780" t="n">
        <v>16742</v>
      </c>
      <c r="D780" t="inlineStr">
        <is>
          <t>Jaipur</t>
        </is>
      </c>
      <c r="E780" t="inlineStr">
        <is>
          <t>North</t>
        </is>
      </c>
      <c r="F780" t="inlineStr">
        <is>
          <t>Email</t>
        </is>
      </c>
      <c r="G780" t="inlineStr">
        <is>
          <t>Mobile Web</t>
        </is>
      </c>
      <c r="H780" t="inlineStr">
        <is>
          <t>Cash on Delivery</t>
        </is>
      </c>
      <c r="I780" t="inlineStr">
        <is>
          <t>Cancelled</t>
        </is>
      </c>
      <c r="J780" t="n">
        <v>140</v>
      </c>
      <c r="K780" t="n">
        <v>2</v>
      </c>
      <c r="L780" t="n">
        <v>629</v>
      </c>
      <c r="M780" t="n">
        <v>125.8</v>
      </c>
      <c r="N780">
        <f>VLOOKUP(J780,Products!$A$2:$C$49,3,FALSE)</f>
        <v/>
      </c>
      <c r="O780">
        <f>K780*L780-M780</f>
        <v/>
      </c>
      <c r="P780">
        <f>TEXT(B780,"yyyy-mm")</f>
        <v/>
      </c>
      <c r="Q780">
        <f>IF(O780&gt;=3000,"Large","Small")</f>
        <v/>
      </c>
      <c r="R780">
        <f>INDEX(Products!$F$2:$F$49,MATCH(J780,Products!$A$2:$A$49,0))</f>
        <v/>
      </c>
      <c r="S780">
        <f>WEEKDAY(B780,2)</f>
        <v/>
      </c>
    </row>
    <row r="781">
      <c r="A781" t="n">
        <v>509720</v>
      </c>
      <c r="B781" s="6" t="n">
        <v>45941</v>
      </c>
      <c r="C781" t="n">
        <v>15584</v>
      </c>
      <c r="D781" t="inlineStr">
        <is>
          <t>Gurugram</t>
        </is>
      </c>
      <c r="E781" t="inlineStr">
        <is>
          <t>North</t>
        </is>
      </c>
      <c r="F781" t="inlineStr">
        <is>
          <t>Referral</t>
        </is>
      </c>
      <c r="G781" t="inlineStr">
        <is>
          <t>Mobile App</t>
        </is>
      </c>
      <c r="H781" t="inlineStr">
        <is>
          <t>UPI</t>
        </is>
      </c>
      <c r="I781" t="inlineStr">
        <is>
          <t>Delivered</t>
        </is>
      </c>
      <c r="J781" t="n">
        <v>128</v>
      </c>
      <c r="K781" t="n">
        <v>1</v>
      </c>
      <c r="L781" t="n">
        <v>1049</v>
      </c>
      <c r="M781" t="n">
        <v>0</v>
      </c>
      <c r="N781">
        <f>VLOOKUP(J781,Products!$A$2:$C$49,3,FALSE)</f>
        <v/>
      </c>
      <c r="O781">
        <f>K781*L781-M781</f>
        <v/>
      </c>
      <c r="P781">
        <f>TEXT(B781,"yyyy-mm")</f>
        <v/>
      </c>
      <c r="Q781">
        <f>IF(O781&gt;=3000,"Large","Small")</f>
        <v/>
      </c>
      <c r="R781">
        <f>INDEX(Products!$F$2:$F$49,MATCH(J781,Products!$A$2:$A$49,0))</f>
        <v/>
      </c>
      <c r="S781">
        <f>WEEKDAY(B781,2)</f>
        <v/>
      </c>
    </row>
    <row r="782">
      <c r="A782" t="n">
        <v>509721</v>
      </c>
      <c r="B782" s="6" t="n">
        <v>45941</v>
      </c>
      <c r="C782" t="n">
        <v>16020</v>
      </c>
      <c r="D782" t="inlineStr">
        <is>
          <t>Bengaluru</t>
        </is>
      </c>
      <c r="E782" t="inlineStr">
        <is>
          <t>South</t>
        </is>
      </c>
      <c r="F782" t="inlineStr">
        <is>
          <t>Organic Search</t>
        </is>
      </c>
      <c r="G782" t="inlineStr">
        <is>
          <t>Mobile Web</t>
        </is>
      </c>
      <c r="H782" t="inlineStr">
        <is>
          <t>UPI</t>
        </is>
      </c>
      <c r="I782" t="inlineStr">
        <is>
          <t>Delivered</t>
        </is>
      </c>
      <c r="J782" t="n">
        <v>118</v>
      </c>
      <c r="K782" t="n">
        <v>1</v>
      </c>
      <c r="L782" t="n">
        <v>944</v>
      </c>
      <c r="M782" t="n">
        <v>94.40000000000001</v>
      </c>
      <c r="N782">
        <f>VLOOKUP(J782,Products!$A$2:$C$49,3,FALSE)</f>
        <v/>
      </c>
      <c r="O782">
        <f>K782*L782-M782</f>
        <v/>
      </c>
      <c r="P782">
        <f>TEXT(B782,"yyyy-mm")</f>
        <v/>
      </c>
      <c r="Q782">
        <f>IF(O782&gt;=3000,"Large","Small")</f>
        <v/>
      </c>
      <c r="R782">
        <f>INDEX(Products!$F$2:$F$49,MATCH(J782,Products!$A$2:$A$49,0))</f>
        <v/>
      </c>
      <c r="S782">
        <f>WEEKDAY(B782,2)</f>
        <v/>
      </c>
    </row>
    <row r="783">
      <c r="A783" t="n">
        <v>509721</v>
      </c>
      <c r="B783" s="6" t="n">
        <v>45941</v>
      </c>
      <c r="C783" t="n">
        <v>16020</v>
      </c>
      <c r="D783" t="inlineStr">
        <is>
          <t>Bengaluru</t>
        </is>
      </c>
      <c r="E783" t="inlineStr">
        <is>
          <t>South</t>
        </is>
      </c>
      <c r="F783" t="inlineStr">
        <is>
          <t>Organic Search</t>
        </is>
      </c>
      <c r="G783" t="inlineStr">
        <is>
          <t>Mobile Web</t>
        </is>
      </c>
      <c r="H783" t="inlineStr">
        <is>
          <t>UPI</t>
        </is>
      </c>
      <c r="I783" t="inlineStr">
        <is>
          <t>Delivered</t>
        </is>
      </c>
      <c r="J783" t="n">
        <v>125</v>
      </c>
      <c r="K783" t="n">
        <v>1</v>
      </c>
      <c r="L783" t="n">
        <v>1364</v>
      </c>
      <c r="M783" t="n">
        <v>136.4</v>
      </c>
      <c r="N783">
        <f>VLOOKUP(J783,Products!$A$2:$C$49,3,FALSE)</f>
        <v/>
      </c>
      <c r="O783">
        <f>K783*L783-M783</f>
        <v/>
      </c>
      <c r="P783">
        <f>TEXT(B783,"yyyy-mm")</f>
        <v/>
      </c>
      <c r="Q783">
        <f>IF(O783&gt;=3000,"Large","Small")</f>
        <v/>
      </c>
      <c r="R783">
        <f>INDEX(Products!$F$2:$F$49,MATCH(J783,Products!$A$2:$A$49,0))</f>
        <v/>
      </c>
      <c r="S783">
        <f>WEEKDAY(B783,2)</f>
        <v/>
      </c>
    </row>
    <row r="784">
      <c r="A784" t="n">
        <v>509721</v>
      </c>
      <c r="B784" s="6" t="n">
        <v>45941</v>
      </c>
      <c r="C784" t="n">
        <v>16020</v>
      </c>
      <c r="D784" t="inlineStr">
        <is>
          <t>Bengaluru</t>
        </is>
      </c>
      <c r="E784" t="inlineStr">
        <is>
          <t>South</t>
        </is>
      </c>
      <c r="F784" t="inlineStr">
        <is>
          <t>Organic Search</t>
        </is>
      </c>
      <c r="G784" t="inlineStr">
        <is>
          <t>Mobile Web</t>
        </is>
      </c>
      <c r="H784" t="inlineStr">
        <is>
          <t>UPI</t>
        </is>
      </c>
      <c r="I784" t="inlineStr">
        <is>
          <t>Delivered</t>
        </is>
      </c>
      <c r="J784" t="n">
        <v>117</v>
      </c>
      <c r="K784" t="n">
        <v>1</v>
      </c>
      <c r="L784" t="n">
        <v>3149</v>
      </c>
      <c r="M784" t="n">
        <v>314.9</v>
      </c>
      <c r="N784">
        <f>VLOOKUP(J784,Products!$A$2:$C$49,3,FALSE)</f>
        <v/>
      </c>
      <c r="O784">
        <f>K784*L784-M784</f>
        <v/>
      </c>
      <c r="P784">
        <f>TEXT(B784,"yyyy-mm")</f>
        <v/>
      </c>
      <c r="Q784">
        <f>IF(O784&gt;=3000,"Large","Small")</f>
        <v/>
      </c>
      <c r="R784">
        <f>INDEX(Products!$F$2:$F$49,MATCH(J784,Products!$A$2:$A$49,0))</f>
        <v/>
      </c>
      <c r="S784">
        <f>WEEKDAY(B784,2)</f>
        <v/>
      </c>
    </row>
    <row r="785">
      <c r="A785" t="n">
        <v>509721</v>
      </c>
      <c r="B785" s="6" t="n">
        <v>45941</v>
      </c>
      <c r="C785" t="n">
        <v>16020</v>
      </c>
      <c r="D785" t="inlineStr">
        <is>
          <t>Bengaluru</t>
        </is>
      </c>
      <c r="E785" t="inlineStr">
        <is>
          <t>South</t>
        </is>
      </c>
      <c r="F785" t="inlineStr">
        <is>
          <t>Organic Search</t>
        </is>
      </c>
      <c r="G785" t="inlineStr">
        <is>
          <t>Mobile Web</t>
        </is>
      </c>
      <c r="H785" t="inlineStr">
        <is>
          <t>UPI</t>
        </is>
      </c>
      <c r="I785" t="inlineStr">
        <is>
          <t>Delivered</t>
        </is>
      </c>
      <c r="J785" t="n">
        <v>107</v>
      </c>
      <c r="K785" t="n">
        <v>1</v>
      </c>
      <c r="L785" t="n">
        <v>1259</v>
      </c>
      <c r="M785" t="n">
        <v>125.9</v>
      </c>
      <c r="N785">
        <f>VLOOKUP(J785,Products!$A$2:$C$49,3,FALSE)</f>
        <v/>
      </c>
      <c r="O785">
        <f>K785*L785-M785</f>
        <v/>
      </c>
      <c r="P785">
        <f>TEXT(B785,"yyyy-mm")</f>
        <v/>
      </c>
      <c r="Q785">
        <f>IF(O785&gt;=3000,"Large","Small")</f>
        <v/>
      </c>
      <c r="R785">
        <f>INDEX(Products!$F$2:$F$49,MATCH(J785,Products!$A$2:$A$49,0))</f>
        <v/>
      </c>
      <c r="S785">
        <f>WEEKDAY(B785,2)</f>
        <v/>
      </c>
    </row>
    <row r="786">
      <c r="A786" t="n">
        <v>509722</v>
      </c>
      <c r="B786" s="6" t="n">
        <v>45941</v>
      </c>
      <c r="C786" t="n">
        <v>12393</v>
      </c>
      <c r="D786" t="inlineStr">
        <is>
          <t>Pune</t>
        </is>
      </c>
      <c r="E786" t="inlineStr">
        <is>
          <t>West</t>
        </is>
      </c>
      <c r="F786" t="inlineStr">
        <is>
          <t>Paid Search</t>
        </is>
      </c>
      <c r="G786" t="inlineStr">
        <is>
          <t>Mobile Web</t>
        </is>
      </c>
      <c r="H786" t="inlineStr">
        <is>
          <t>Cash on Delivery</t>
        </is>
      </c>
      <c r="I786" t="inlineStr">
        <is>
          <t>Delivered</t>
        </is>
      </c>
      <c r="J786" t="n">
        <v>122</v>
      </c>
      <c r="K786" t="n">
        <v>1</v>
      </c>
      <c r="L786" t="n">
        <v>1994</v>
      </c>
      <c r="M786" t="n">
        <v>0</v>
      </c>
      <c r="N786">
        <f>VLOOKUP(J786,Products!$A$2:$C$49,3,FALSE)</f>
        <v/>
      </c>
      <c r="O786">
        <f>K786*L786-M786</f>
        <v/>
      </c>
      <c r="P786">
        <f>TEXT(B786,"yyyy-mm")</f>
        <v/>
      </c>
      <c r="Q786">
        <f>IF(O786&gt;=3000,"Large","Small")</f>
        <v/>
      </c>
      <c r="R786">
        <f>INDEX(Products!$F$2:$F$49,MATCH(J786,Products!$A$2:$A$49,0))</f>
        <v/>
      </c>
      <c r="S786">
        <f>WEEKDAY(B786,2)</f>
        <v/>
      </c>
    </row>
    <row r="787">
      <c r="A787" t="n">
        <v>509722</v>
      </c>
      <c r="B787" s="6" t="n">
        <v>45941</v>
      </c>
      <c r="C787" t="n">
        <v>12393</v>
      </c>
      <c r="D787" t="inlineStr">
        <is>
          <t>Pune</t>
        </is>
      </c>
      <c r="E787" t="inlineStr">
        <is>
          <t>West</t>
        </is>
      </c>
      <c r="F787" t="inlineStr">
        <is>
          <t>Paid Search</t>
        </is>
      </c>
      <c r="G787" t="inlineStr">
        <is>
          <t>Mobile Web</t>
        </is>
      </c>
      <c r="H787" t="inlineStr">
        <is>
          <t>Cash on Delivery</t>
        </is>
      </c>
      <c r="I787" t="inlineStr">
        <is>
          <t>Delivered</t>
        </is>
      </c>
      <c r="J787" t="n">
        <v>138</v>
      </c>
      <c r="K787" t="n">
        <v>1</v>
      </c>
      <c r="L787" t="n">
        <v>419</v>
      </c>
      <c r="M787" t="n">
        <v>0</v>
      </c>
      <c r="N787">
        <f>VLOOKUP(J787,Products!$A$2:$C$49,3,FALSE)</f>
        <v/>
      </c>
      <c r="O787">
        <f>K787*L787-M787</f>
        <v/>
      </c>
      <c r="P787">
        <f>TEXT(B787,"yyyy-mm")</f>
        <v/>
      </c>
      <c r="Q787">
        <f>IF(O787&gt;=3000,"Large","Small")</f>
        <v/>
      </c>
      <c r="R787">
        <f>INDEX(Products!$F$2:$F$49,MATCH(J787,Products!$A$2:$A$49,0))</f>
        <v/>
      </c>
      <c r="S787">
        <f>WEEKDAY(B787,2)</f>
        <v/>
      </c>
    </row>
    <row r="788">
      <c r="A788" t="n">
        <v>509723</v>
      </c>
      <c r="B788" s="6" t="n">
        <v>45941</v>
      </c>
      <c r="C788" t="n">
        <v>16632</v>
      </c>
      <c r="D788" t="inlineStr">
        <is>
          <t>Chandigarh</t>
        </is>
      </c>
      <c r="E788" t="inlineStr">
        <is>
          <t>North</t>
        </is>
      </c>
      <c r="F788" t="inlineStr">
        <is>
          <t>Paid Search</t>
        </is>
      </c>
      <c r="G788" t="inlineStr">
        <is>
          <t>Desktop</t>
        </is>
      </c>
      <c r="H788" t="inlineStr">
        <is>
          <t>UPI</t>
        </is>
      </c>
      <c r="I788" t="inlineStr">
        <is>
          <t>Delivered</t>
        </is>
      </c>
      <c r="J788" t="n">
        <v>118</v>
      </c>
      <c r="K788" t="n">
        <v>2</v>
      </c>
      <c r="L788" t="n">
        <v>944</v>
      </c>
      <c r="M788" t="n">
        <v>283.2</v>
      </c>
      <c r="N788">
        <f>VLOOKUP(J788,Products!$A$2:$C$49,3,FALSE)</f>
        <v/>
      </c>
      <c r="O788">
        <f>K788*L788-M788</f>
        <v/>
      </c>
      <c r="P788">
        <f>TEXT(B788,"yyyy-mm")</f>
        <v/>
      </c>
      <c r="Q788">
        <f>IF(O788&gt;=3000,"Large","Small")</f>
        <v/>
      </c>
      <c r="R788">
        <f>INDEX(Products!$F$2:$F$49,MATCH(J788,Products!$A$2:$A$49,0))</f>
        <v/>
      </c>
      <c r="S788">
        <f>WEEKDAY(B788,2)</f>
        <v/>
      </c>
    </row>
    <row r="789">
      <c r="A789" t="n">
        <v>509724</v>
      </c>
      <c r="B789" s="6" t="n">
        <v>45941</v>
      </c>
      <c r="C789" t="n">
        <v>16379</v>
      </c>
      <c r="D789" t="inlineStr">
        <is>
          <t>Jaipur</t>
        </is>
      </c>
      <c r="E789" t="inlineStr">
        <is>
          <t>North</t>
        </is>
      </c>
      <c r="F789" t="inlineStr">
        <is>
          <t>Paid Social</t>
        </is>
      </c>
      <c r="G789" t="inlineStr">
        <is>
          <t>Mobile Web</t>
        </is>
      </c>
      <c r="H789" t="inlineStr">
        <is>
          <t>UPI</t>
        </is>
      </c>
      <c r="I789" t="inlineStr">
        <is>
          <t>Delivered</t>
        </is>
      </c>
      <c r="J789" t="n">
        <v>133</v>
      </c>
      <c r="K789" t="n">
        <v>1</v>
      </c>
      <c r="L789" t="n">
        <v>419</v>
      </c>
      <c r="M789" t="n">
        <v>0</v>
      </c>
      <c r="N789">
        <f>VLOOKUP(J789,Products!$A$2:$C$49,3,FALSE)</f>
        <v/>
      </c>
      <c r="O789">
        <f>K789*L789-M789</f>
        <v/>
      </c>
      <c r="P789">
        <f>TEXT(B789,"yyyy-mm")</f>
        <v/>
      </c>
      <c r="Q789">
        <f>IF(O789&gt;=3000,"Large","Small")</f>
        <v/>
      </c>
      <c r="R789">
        <f>INDEX(Products!$F$2:$F$49,MATCH(J789,Products!$A$2:$A$49,0))</f>
        <v/>
      </c>
      <c r="S789">
        <f>WEEKDAY(B789,2)</f>
        <v/>
      </c>
    </row>
    <row r="790">
      <c r="A790" t="n">
        <v>509724</v>
      </c>
      <c r="B790" s="6" t="n">
        <v>45941</v>
      </c>
      <c r="C790" t="n">
        <v>16379</v>
      </c>
      <c r="D790" t="inlineStr">
        <is>
          <t>Jaipur</t>
        </is>
      </c>
      <c r="E790" t="inlineStr">
        <is>
          <t>North</t>
        </is>
      </c>
      <c r="F790" t="inlineStr">
        <is>
          <t>Paid Social</t>
        </is>
      </c>
      <c r="G790" t="inlineStr">
        <is>
          <t>Mobile Web</t>
        </is>
      </c>
      <c r="H790" t="inlineStr">
        <is>
          <t>UPI</t>
        </is>
      </c>
      <c r="I790" t="inlineStr">
        <is>
          <t>Delivered</t>
        </is>
      </c>
      <c r="J790" t="n">
        <v>129</v>
      </c>
      <c r="K790" t="n">
        <v>1</v>
      </c>
      <c r="L790" t="n">
        <v>576</v>
      </c>
      <c r="M790" t="n">
        <v>0</v>
      </c>
      <c r="N790">
        <f>VLOOKUP(J790,Products!$A$2:$C$49,3,FALSE)</f>
        <v/>
      </c>
      <c r="O790">
        <f>K790*L790-M790</f>
        <v/>
      </c>
      <c r="P790">
        <f>TEXT(B790,"yyyy-mm")</f>
        <v/>
      </c>
      <c r="Q790">
        <f>IF(O790&gt;=3000,"Large","Small")</f>
        <v/>
      </c>
      <c r="R790">
        <f>INDEX(Products!$F$2:$F$49,MATCH(J790,Products!$A$2:$A$49,0))</f>
        <v/>
      </c>
      <c r="S790">
        <f>WEEKDAY(B790,2)</f>
        <v/>
      </c>
    </row>
    <row r="791">
      <c r="A791" t="n">
        <v>509725</v>
      </c>
      <c r="B791" s="6" t="n">
        <v>45941</v>
      </c>
      <c r="C791" t="n">
        <v>16109</v>
      </c>
      <c r="D791" t="inlineStr">
        <is>
          <t>Pune</t>
        </is>
      </c>
      <c r="E791" t="inlineStr">
        <is>
          <t>West</t>
        </is>
      </c>
      <c r="F791" t="inlineStr">
        <is>
          <t>Organic Search</t>
        </is>
      </c>
      <c r="G791" t="inlineStr">
        <is>
          <t>Desktop</t>
        </is>
      </c>
      <c r="H791" t="inlineStr">
        <is>
          <t>UPI</t>
        </is>
      </c>
      <c r="I791" t="inlineStr">
        <is>
          <t>Returned</t>
        </is>
      </c>
      <c r="J791" t="n">
        <v>115</v>
      </c>
      <c r="K791" t="n">
        <v>2</v>
      </c>
      <c r="L791" t="n">
        <v>4199</v>
      </c>
      <c r="M791" t="n">
        <v>0</v>
      </c>
      <c r="N791">
        <f>VLOOKUP(J791,Products!$A$2:$C$49,3,FALSE)</f>
        <v/>
      </c>
      <c r="O791">
        <f>K791*L791-M791</f>
        <v/>
      </c>
      <c r="P791">
        <f>TEXT(B791,"yyyy-mm")</f>
        <v/>
      </c>
      <c r="Q791">
        <f>IF(O791&gt;=3000,"Large","Small")</f>
        <v/>
      </c>
      <c r="R791">
        <f>INDEX(Products!$F$2:$F$49,MATCH(J791,Products!$A$2:$A$49,0))</f>
        <v/>
      </c>
      <c r="S791">
        <f>WEEKDAY(B791,2)</f>
        <v/>
      </c>
    </row>
    <row r="792">
      <c r="A792" t="n">
        <v>509725</v>
      </c>
      <c r="B792" s="6" t="n">
        <v>45941</v>
      </c>
      <c r="C792" t="n">
        <v>16109</v>
      </c>
      <c r="D792" t="inlineStr">
        <is>
          <t>Pune</t>
        </is>
      </c>
      <c r="E792" t="inlineStr">
        <is>
          <t>West</t>
        </is>
      </c>
      <c r="F792" t="inlineStr">
        <is>
          <t>Organic Search</t>
        </is>
      </c>
      <c r="G792" t="inlineStr">
        <is>
          <t>Desktop</t>
        </is>
      </c>
      <c r="H792" t="inlineStr">
        <is>
          <t>UPI</t>
        </is>
      </c>
      <c r="I792" t="inlineStr">
        <is>
          <t>Returned</t>
        </is>
      </c>
      <c r="J792" t="n">
        <v>129</v>
      </c>
      <c r="K792" t="n">
        <v>3</v>
      </c>
      <c r="L792" t="n">
        <v>576</v>
      </c>
      <c r="M792" t="n">
        <v>0</v>
      </c>
      <c r="N792">
        <f>VLOOKUP(J792,Products!$A$2:$C$49,3,FALSE)</f>
        <v/>
      </c>
      <c r="O792">
        <f>K792*L792-M792</f>
        <v/>
      </c>
      <c r="P792">
        <f>TEXT(B792,"yyyy-mm")</f>
        <v/>
      </c>
      <c r="Q792">
        <f>IF(O792&gt;=3000,"Large","Small")</f>
        <v/>
      </c>
      <c r="R792">
        <f>INDEX(Products!$F$2:$F$49,MATCH(J792,Products!$A$2:$A$49,0))</f>
        <v/>
      </c>
      <c r="S792">
        <f>WEEKDAY(B792,2)</f>
        <v/>
      </c>
    </row>
    <row r="793">
      <c r="A793" t="n">
        <v>509726</v>
      </c>
      <c r="B793" s="6" t="n">
        <v>45941</v>
      </c>
      <c r="C793" t="n">
        <v>11552</v>
      </c>
      <c r="D793" t="inlineStr">
        <is>
          <t>Bengaluru</t>
        </is>
      </c>
      <c r="E793" t="inlineStr">
        <is>
          <t>South</t>
        </is>
      </c>
      <c r="F793" t="inlineStr">
        <is>
          <t>Paid Search</t>
        </is>
      </c>
      <c r="G793" t="inlineStr">
        <is>
          <t>Mobile App</t>
        </is>
      </c>
      <c r="H793" t="inlineStr">
        <is>
          <t>Credit Card</t>
        </is>
      </c>
      <c r="I793" t="inlineStr">
        <is>
          <t>Delivered</t>
        </is>
      </c>
      <c r="J793" t="n">
        <v>116</v>
      </c>
      <c r="K793" t="n">
        <v>1</v>
      </c>
      <c r="L793" t="n">
        <v>2624</v>
      </c>
      <c r="M793" t="n">
        <v>0</v>
      </c>
      <c r="N793">
        <f>VLOOKUP(J793,Products!$A$2:$C$49,3,FALSE)</f>
        <v/>
      </c>
      <c r="O793">
        <f>K793*L793-M793</f>
        <v/>
      </c>
      <c r="P793">
        <f>TEXT(B793,"yyyy-mm")</f>
        <v/>
      </c>
      <c r="Q793">
        <f>IF(O793&gt;=3000,"Large","Small")</f>
        <v/>
      </c>
      <c r="R793">
        <f>INDEX(Products!$F$2:$F$49,MATCH(J793,Products!$A$2:$A$49,0))</f>
        <v/>
      </c>
      <c r="S793">
        <f>WEEKDAY(B793,2)</f>
        <v/>
      </c>
    </row>
    <row r="794">
      <c r="A794" t="n">
        <v>509727</v>
      </c>
      <c r="B794" s="6" t="n">
        <v>45941</v>
      </c>
      <c r="C794" t="n">
        <v>16223</v>
      </c>
      <c r="D794" t="inlineStr">
        <is>
          <t>Kolkata</t>
        </is>
      </c>
      <c r="E794" t="inlineStr">
        <is>
          <t>East</t>
        </is>
      </c>
      <c r="F794" t="inlineStr">
        <is>
          <t>Organic Search</t>
        </is>
      </c>
      <c r="G794" t="inlineStr">
        <is>
          <t>Mobile Web</t>
        </is>
      </c>
      <c r="H794" t="inlineStr">
        <is>
          <t>UPI</t>
        </is>
      </c>
      <c r="I794" t="inlineStr">
        <is>
          <t>Delivered</t>
        </is>
      </c>
      <c r="J794" t="n">
        <v>114</v>
      </c>
      <c r="K794" t="n">
        <v>1</v>
      </c>
      <c r="L794" t="n">
        <v>1259</v>
      </c>
      <c r="M794" t="n">
        <v>125.9</v>
      </c>
      <c r="N794">
        <f>VLOOKUP(J794,Products!$A$2:$C$49,3,FALSE)</f>
        <v/>
      </c>
      <c r="O794">
        <f>K794*L794-M794</f>
        <v/>
      </c>
      <c r="P794">
        <f>TEXT(B794,"yyyy-mm")</f>
        <v/>
      </c>
      <c r="Q794">
        <f>IF(O794&gt;=3000,"Large","Small")</f>
        <v/>
      </c>
      <c r="R794">
        <f>INDEX(Products!$F$2:$F$49,MATCH(J794,Products!$A$2:$A$49,0))</f>
        <v/>
      </c>
      <c r="S794">
        <f>WEEKDAY(B794,2)</f>
        <v/>
      </c>
    </row>
    <row r="795">
      <c r="A795" t="n">
        <v>509728</v>
      </c>
      <c r="B795" s="6" t="n">
        <v>45941</v>
      </c>
      <c r="C795" t="n">
        <v>16469</v>
      </c>
      <c r="D795" t="inlineStr">
        <is>
          <t>Delhi</t>
        </is>
      </c>
      <c r="E795" t="inlineStr">
        <is>
          <t>North</t>
        </is>
      </c>
      <c r="F795" t="inlineStr">
        <is>
          <t>Email</t>
        </is>
      </c>
      <c r="G795" t="inlineStr">
        <is>
          <t>Desktop</t>
        </is>
      </c>
      <c r="H795" t="inlineStr">
        <is>
          <t>UPI</t>
        </is>
      </c>
      <c r="I795" t="inlineStr">
        <is>
          <t>Delivered</t>
        </is>
      </c>
      <c r="J795" t="n">
        <v>132</v>
      </c>
      <c r="K795" t="n">
        <v>2</v>
      </c>
      <c r="L795" t="n">
        <v>471</v>
      </c>
      <c r="M795" t="n">
        <v>0</v>
      </c>
      <c r="N795">
        <f>VLOOKUP(J795,Products!$A$2:$C$49,3,FALSE)</f>
        <v/>
      </c>
      <c r="O795">
        <f>K795*L795-M795</f>
        <v/>
      </c>
      <c r="P795">
        <f>TEXT(B795,"yyyy-mm")</f>
        <v/>
      </c>
      <c r="Q795">
        <f>IF(O795&gt;=3000,"Large","Small")</f>
        <v/>
      </c>
      <c r="R795">
        <f>INDEX(Products!$F$2:$F$49,MATCH(J795,Products!$A$2:$A$49,0))</f>
        <v/>
      </c>
      <c r="S795">
        <f>WEEKDAY(B795,2)</f>
        <v/>
      </c>
    </row>
    <row r="796">
      <c r="A796" t="n">
        <v>509729</v>
      </c>
      <c r="B796" s="6" t="n">
        <v>45941</v>
      </c>
      <c r="C796" t="n">
        <v>15704</v>
      </c>
      <c r="D796" t="inlineStr">
        <is>
          <t>Lucknow</t>
        </is>
      </c>
      <c r="E796" t="inlineStr">
        <is>
          <t>North</t>
        </is>
      </c>
      <c r="F796" t="inlineStr">
        <is>
          <t>Referral</t>
        </is>
      </c>
      <c r="G796" t="inlineStr">
        <is>
          <t>Mobile App</t>
        </is>
      </c>
      <c r="H796" t="inlineStr">
        <is>
          <t>Cash on Delivery</t>
        </is>
      </c>
      <c r="I796" t="inlineStr">
        <is>
          <t>Delivered</t>
        </is>
      </c>
      <c r="J796" t="n">
        <v>127</v>
      </c>
      <c r="K796" t="n">
        <v>1</v>
      </c>
      <c r="L796" t="n">
        <v>681</v>
      </c>
      <c r="M796" t="n">
        <v>68.09999999999999</v>
      </c>
      <c r="N796">
        <f>VLOOKUP(J796,Products!$A$2:$C$49,3,FALSE)</f>
        <v/>
      </c>
      <c r="O796">
        <f>K796*L796-M796</f>
        <v/>
      </c>
      <c r="P796">
        <f>TEXT(B796,"yyyy-mm")</f>
        <v/>
      </c>
      <c r="Q796">
        <f>IF(O796&gt;=3000,"Large","Small")</f>
        <v/>
      </c>
      <c r="R796">
        <f>INDEX(Products!$F$2:$F$49,MATCH(J796,Products!$A$2:$A$49,0))</f>
        <v/>
      </c>
      <c r="S796">
        <f>WEEKDAY(B796,2)</f>
        <v/>
      </c>
    </row>
    <row r="797">
      <c r="A797" t="n">
        <v>509730</v>
      </c>
      <c r="B797" s="6" t="n">
        <v>45941</v>
      </c>
      <c r="C797" t="n">
        <v>14245</v>
      </c>
      <c r="D797" t="inlineStr">
        <is>
          <t>Lucknow</t>
        </is>
      </c>
      <c r="E797" t="inlineStr">
        <is>
          <t>North</t>
        </is>
      </c>
      <c r="F797" t="inlineStr">
        <is>
          <t>Organic Search</t>
        </is>
      </c>
      <c r="G797" t="inlineStr">
        <is>
          <t>Mobile App</t>
        </is>
      </c>
      <c r="H797" t="inlineStr">
        <is>
          <t>Cash on Delivery</t>
        </is>
      </c>
      <c r="I797" t="inlineStr">
        <is>
          <t>Delivered</t>
        </is>
      </c>
      <c r="J797" t="n">
        <v>104</v>
      </c>
      <c r="K797" t="n">
        <v>1</v>
      </c>
      <c r="L797" t="n">
        <v>5249</v>
      </c>
      <c r="M797" t="n">
        <v>0</v>
      </c>
      <c r="N797">
        <f>VLOOKUP(J797,Products!$A$2:$C$49,3,FALSE)</f>
        <v/>
      </c>
      <c r="O797">
        <f>K797*L797-M797</f>
        <v/>
      </c>
      <c r="P797">
        <f>TEXT(B797,"yyyy-mm")</f>
        <v/>
      </c>
      <c r="Q797">
        <f>IF(O797&gt;=3000,"Large","Small")</f>
        <v/>
      </c>
      <c r="R797">
        <f>INDEX(Products!$F$2:$F$49,MATCH(J797,Products!$A$2:$A$49,0))</f>
        <v/>
      </c>
      <c r="S797">
        <f>WEEKDAY(B797,2)</f>
        <v/>
      </c>
    </row>
    <row r="798">
      <c r="A798" t="n">
        <v>509731</v>
      </c>
      <c r="B798" s="6" t="n">
        <v>45941</v>
      </c>
      <c r="C798" t="n">
        <v>15334</v>
      </c>
      <c r="D798" t="inlineStr">
        <is>
          <t>Bengaluru</t>
        </is>
      </c>
      <c r="E798" t="inlineStr">
        <is>
          <t>South</t>
        </is>
      </c>
      <c r="F798" t="inlineStr">
        <is>
          <t>Organic Search</t>
        </is>
      </c>
      <c r="G798" t="inlineStr">
        <is>
          <t>Mobile App</t>
        </is>
      </c>
      <c r="H798" t="inlineStr">
        <is>
          <t>UPI</t>
        </is>
      </c>
      <c r="I798" t="inlineStr">
        <is>
          <t>Delivered</t>
        </is>
      </c>
      <c r="J798" t="n">
        <v>137</v>
      </c>
      <c r="K798" t="n">
        <v>1</v>
      </c>
      <c r="L798" t="n">
        <v>261</v>
      </c>
      <c r="M798" t="n">
        <v>26.1</v>
      </c>
      <c r="N798">
        <f>VLOOKUP(J798,Products!$A$2:$C$49,3,FALSE)</f>
        <v/>
      </c>
      <c r="O798">
        <f>K798*L798-M798</f>
        <v/>
      </c>
      <c r="P798">
        <f>TEXT(B798,"yyyy-mm")</f>
        <v/>
      </c>
      <c r="Q798">
        <f>IF(O798&gt;=3000,"Large","Small")</f>
        <v/>
      </c>
      <c r="R798">
        <f>INDEX(Products!$F$2:$F$49,MATCH(J798,Products!$A$2:$A$49,0))</f>
        <v/>
      </c>
      <c r="S798">
        <f>WEEKDAY(B798,2)</f>
        <v/>
      </c>
    </row>
    <row r="799">
      <c r="A799" t="n">
        <v>509731</v>
      </c>
      <c r="B799" s="6" t="n">
        <v>45941</v>
      </c>
      <c r="C799" t="n">
        <v>15334</v>
      </c>
      <c r="D799" t="inlineStr">
        <is>
          <t>Bengaluru</t>
        </is>
      </c>
      <c r="E799" t="inlineStr">
        <is>
          <t>South</t>
        </is>
      </c>
      <c r="F799" t="inlineStr">
        <is>
          <t>Organic Search</t>
        </is>
      </c>
      <c r="G799" t="inlineStr">
        <is>
          <t>Mobile App</t>
        </is>
      </c>
      <c r="H799" t="inlineStr">
        <is>
          <t>UPI</t>
        </is>
      </c>
      <c r="I799" t="inlineStr">
        <is>
          <t>Delivered</t>
        </is>
      </c>
      <c r="J799" t="n">
        <v>122</v>
      </c>
      <c r="K799" t="n">
        <v>1</v>
      </c>
      <c r="L799" t="n">
        <v>1994</v>
      </c>
      <c r="M799" t="n">
        <v>199.4</v>
      </c>
      <c r="N799">
        <f>VLOOKUP(J799,Products!$A$2:$C$49,3,FALSE)</f>
        <v/>
      </c>
      <c r="O799">
        <f>K799*L799-M799</f>
        <v/>
      </c>
      <c r="P799">
        <f>TEXT(B799,"yyyy-mm")</f>
        <v/>
      </c>
      <c r="Q799">
        <f>IF(O799&gt;=3000,"Large","Small")</f>
        <v/>
      </c>
      <c r="R799">
        <f>INDEX(Products!$F$2:$F$49,MATCH(J799,Products!$A$2:$A$49,0))</f>
        <v/>
      </c>
      <c r="S799">
        <f>WEEKDAY(B799,2)</f>
        <v/>
      </c>
    </row>
    <row r="800">
      <c r="A800" t="n">
        <v>509731</v>
      </c>
      <c r="B800" s="6" t="n">
        <v>45941</v>
      </c>
      <c r="C800" t="n">
        <v>15334</v>
      </c>
      <c r="D800" t="inlineStr">
        <is>
          <t>Bengaluru</t>
        </is>
      </c>
      <c r="E800" t="inlineStr">
        <is>
          <t>South</t>
        </is>
      </c>
      <c r="F800" t="inlineStr">
        <is>
          <t>Organic Search</t>
        </is>
      </c>
      <c r="G800" t="inlineStr">
        <is>
          <t>Mobile App</t>
        </is>
      </c>
      <c r="H800" t="inlineStr">
        <is>
          <t>UPI</t>
        </is>
      </c>
      <c r="I800" t="inlineStr">
        <is>
          <t>Delivered</t>
        </is>
      </c>
      <c r="J800" t="n">
        <v>117</v>
      </c>
      <c r="K800" t="n">
        <v>1</v>
      </c>
      <c r="L800" t="n">
        <v>3149</v>
      </c>
      <c r="M800" t="n">
        <v>314.9</v>
      </c>
      <c r="N800">
        <f>VLOOKUP(J800,Products!$A$2:$C$49,3,FALSE)</f>
        <v/>
      </c>
      <c r="O800">
        <f>K800*L800-M800</f>
        <v/>
      </c>
      <c r="P800">
        <f>TEXT(B800,"yyyy-mm")</f>
        <v/>
      </c>
      <c r="Q800">
        <f>IF(O800&gt;=3000,"Large","Small")</f>
        <v/>
      </c>
      <c r="R800">
        <f>INDEX(Products!$F$2:$F$49,MATCH(J800,Products!$A$2:$A$49,0))</f>
        <v/>
      </c>
      <c r="S800">
        <f>WEEKDAY(B800,2)</f>
        <v/>
      </c>
    </row>
    <row r="801">
      <c r="A801" t="n">
        <v>509732</v>
      </c>
      <c r="B801" s="6" t="n">
        <v>45941</v>
      </c>
      <c r="C801" t="n">
        <v>14735</v>
      </c>
      <c r="D801" t="inlineStr">
        <is>
          <t>Kochi</t>
        </is>
      </c>
      <c r="E801" t="inlineStr">
        <is>
          <t>South</t>
        </is>
      </c>
      <c r="F801" t="inlineStr">
        <is>
          <t>Paid Search</t>
        </is>
      </c>
      <c r="G801" t="inlineStr">
        <is>
          <t>Mobile App</t>
        </is>
      </c>
      <c r="H801" t="inlineStr">
        <is>
          <t>Credit Card</t>
        </is>
      </c>
      <c r="I801" t="inlineStr">
        <is>
          <t>Delivered</t>
        </is>
      </c>
      <c r="J801" t="n">
        <v>147</v>
      </c>
      <c r="K801" t="n">
        <v>1</v>
      </c>
      <c r="L801" t="n">
        <v>1364</v>
      </c>
      <c r="M801" t="n">
        <v>0</v>
      </c>
      <c r="N801">
        <f>VLOOKUP(J801,Products!$A$2:$C$49,3,FALSE)</f>
        <v/>
      </c>
      <c r="O801">
        <f>K801*L801-M801</f>
        <v/>
      </c>
      <c r="P801">
        <f>TEXT(B801,"yyyy-mm")</f>
        <v/>
      </c>
      <c r="Q801">
        <f>IF(O801&gt;=3000,"Large","Small")</f>
        <v/>
      </c>
      <c r="R801">
        <f>INDEX(Products!$F$2:$F$49,MATCH(J801,Products!$A$2:$A$49,0))</f>
        <v/>
      </c>
      <c r="S801">
        <f>WEEKDAY(B801,2)</f>
        <v/>
      </c>
    </row>
    <row r="802">
      <c r="A802" t="n">
        <v>509732</v>
      </c>
      <c r="B802" s="6" t="n">
        <v>45941</v>
      </c>
      <c r="C802" t="n">
        <v>14735</v>
      </c>
      <c r="D802" t="inlineStr">
        <is>
          <t>Kochi</t>
        </is>
      </c>
      <c r="E802" t="inlineStr">
        <is>
          <t>South</t>
        </is>
      </c>
      <c r="F802" t="inlineStr">
        <is>
          <t>Paid Search</t>
        </is>
      </c>
      <c r="G802" t="inlineStr">
        <is>
          <t>Mobile App</t>
        </is>
      </c>
      <c r="H802" t="inlineStr">
        <is>
          <t>Credit Card</t>
        </is>
      </c>
      <c r="I802" t="inlineStr">
        <is>
          <t>Delivered</t>
        </is>
      </c>
      <c r="J802" t="n">
        <v>129</v>
      </c>
      <c r="K802" t="n">
        <v>2</v>
      </c>
      <c r="L802" t="n">
        <v>576</v>
      </c>
      <c r="M802" t="n">
        <v>0</v>
      </c>
      <c r="N802">
        <f>VLOOKUP(J802,Products!$A$2:$C$49,3,FALSE)</f>
        <v/>
      </c>
      <c r="O802">
        <f>K802*L802-M802</f>
        <v/>
      </c>
      <c r="P802">
        <f>TEXT(B802,"yyyy-mm")</f>
        <v/>
      </c>
      <c r="Q802">
        <f>IF(O802&gt;=3000,"Large","Small")</f>
        <v/>
      </c>
      <c r="R802">
        <f>INDEX(Products!$F$2:$F$49,MATCH(J802,Products!$A$2:$A$49,0))</f>
        <v/>
      </c>
      <c r="S802">
        <f>WEEKDAY(B802,2)</f>
        <v/>
      </c>
    </row>
    <row r="803">
      <c r="A803" t="n">
        <v>509733</v>
      </c>
      <c r="B803" s="6" t="n">
        <v>45941</v>
      </c>
      <c r="C803" t="n">
        <v>15693</v>
      </c>
      <c r="D803" t="inlineStr">
        <is>
          <t>Hyderabad</t>
        </is>
      </c>
      <c r="E803" t="inlineStr">
        <is>
          <t>South</t>
        </is>
      </c>
      <c r="F803" t="inlineStr">
        <is>
          <t>Affiliate</t>
        </is>
      </c>
      <c r="G803" t="inlineStr">
        <is>
          <t>Mobile App</t>
        </is>
      </c>
      <c r="H803" t="inlineStr">
        <is>
          <t>Credit Card</t>
        </is>
      </c>
      <c r="I803" t="inlineStr">
        <is>
          <t>Delivered</t>
        </is>
      </c>
      <c r="J803" t="n">
        <v>124</v>
      </c>
      <c r="K803" t="n">
        <v>1</v>
      </c>
      <c r="L803" t="n">
        <v>1154</v>
      </c>
      <c r="M803" t="n">
        <v>115.4</v>
      </c>
      <c r="N803">
        <f>VLOOKUP(J803,Products!$A$2:$C$49,3,FALSE)</f>
        <v/>
      </c>
      <c r="O803">
        <f>K803*L803-M803</f>
        <v/>
      </c>
      <c r="P803">
        <f>TEXT(B803,"yyyy-mm")</f>
        <v/>
      </c>
      <c r="Q803">
        <f>IF(O803&gt;=3000,"Large","Small")</f>
        <v/>
      </c>
      <c r="R803">
        <f>INDEX(Products!$F$2:$F$49,MATCH(J803,Products!$A$2:$A$49,0))</f>
        <v/>
      </c>
      <c r="S803">
        <f>WEEKDAY(B803,2)</f>
        <v/>
      </c>
    </row>
    <row r="804">
      <c r="A804" t="n">
        <v>509733</v>
      </c>
      <c r="B804" s="6" t="n">
        <v>45941</v>
      </c>
      <c r="C804" t="n">
        <v>15693</v>
      </c>
      <c r="D804" t="inlineStr">
        <is>
          <t>Hyderabad</t>
        </is>
      </c>
      <c r="E804" t="inlineStr">
        <is>
          <t>South</t>
        </is>
      </c>
      <c r="F804" t="inlineStr">
        <is>
          <t>Affiliate</t>
        </is>
      </c>
      <c r="G804" t="inlineStr">
        <is>
          <t>Mobile App</t>
        </is>
      </c>
      <c r="H804" t="inlineStr">
        <is>
          <t>Credit Card</t>
        </is>
      </c>
      <c r="I804" t="inlineStr">
        <is>
          <t>Delivered</t>
        </is>
      </c>
      <c r="J804" t="n">
        <v>129</v>
      </c>
      <c r="K804" t="n">
        <v>1</v>
      </c>
      <c r="L804" t="n">
        <v>576</v>
      </c>
      <c r="M804" t="n">
        <v>57.6</v>
      </c>
      <c r="N804">
        <f>VLOOKUP(J804,Products!$A$2:$C$49,3,FALSE)</f>
        <v/>
      </c>
      <c r="O804">
        <f>K804*L804-M804</f>
        <v/>
      </c>
      <c r="P804">
        <f>TEXT(B804,"yyyy-mm")</f>
        <v/>
      </c>
      <c r="Q804">
        <f>IF(O804&gt;=3000,"Large","Small")</f>
        <v/>
      </c>
      <c r="R804">
        <f>INDEX(Products!$F$2:$F$49,MATCH(J804,Products!$A$2:$A$49,0))</f>
        <v/>
      </c>
      <c r="S804">
        <f>WEEKDAY(B804,2)</f>
        <v/>
      </c>
    </row>
    <row r="805">
      <c r="A805" t="n">
        <v>509734</v>
      </c>
      <c r="B805" s="6" t="n">
        <v>45941</v>
      </c>
      <c r="C805" t="n">
        <v>16755</v>
      </c>
      <c r="D805" t="inlineStr">
        <is>
          <t>Jaipur</t>
        </is>
      </c>
      <c r="E805" t="inlineStr">
        <is>
          <t>North</t>
        </is>
      </c>
      <c r="F805" t="inlineStr">
        <is>
          <t>Paid Social</t>
        </is>
      </c>
      <c r="G805" t="inlineStr">
        <is>
          <t>Mobile Web</t>
        </is>
      </c>
      <c r="H805" t="inlineStr">
        <is>
          <t>Net Banking</t>
        </is>
      </c>
      <c r="I805" t="inlineStr">
        <is>
          <t>Delivered</t>
        </is>
      </c>
      <c r="J805" t="n">
        <v>143</v>
      </c>
      <c r="K805" t="n">
        <v>1</v>
      </c>
      <c r="L805" t="n">
        <v>839</v>
      </c>
      <c r="M805" t="n">
        <v>83.90000000000001</v>
      </c>
      <c r="N805">
        <f>VLOOKUP(J805,Products!$A$2:$C$49,3,FALSE)</f>
        <v/>
      </c>
      <c r="O805">
        <f>K805*L805-M805</f>
        <v/>
      </c>
      <c r="P805">
        <f>TEXT(B805,"yyyy-mm")</f>
        <v/>
      </c>
      <c r="Q805">
        <f>IF(O805&gt;=3000,"Large","Small")</f>
        <v/>
      </c>
      <c r="R805">
        <f>INDEX(Products!$F$2:$F$49,MATCH(J805,Products!$A$2:$A$49,0))</f>
        <v/>
      </c>
      <c r="S805">
        <f>WEEKDAY(B805,2)</f>
        <v/>
      </c>
    </row>
    <row r="806">
      <c r="A806" t="n">
        <v>509735</v>
      </c>
      <c r="B806" s="6" t="n">
        <v>45941</v>
      </c>
      <c r="C806" t="n">
        <v>16761</v>
      </c>
      <c r="D806" t="inlineStr">
        <is>
          <t>Delhi</t>
        </is>
      </c>
      <c r="E806" t="inlineStr">
        <is>
          <t>North</t>
        </is>
      </c>
      <c r="F806" t="inlineStr">
        <is>
          <t>Affiliate</t>
        </is>
      </c>
      <c r="G806" t="inlineStr">
        <is>
          <t>Desktop</t>
        </is>
      </c>
      <c r="H806" t="inlineStr">
        <is>
          <t>Debit Card</t>
        </is>
      </c>
      <c r="I806" t="inlineStr">
        <is>
          <t>Delivered</t>
        </is>
      </c>
      <c r="J806" t="n">
        <v>130</v>
      </c>
      <c r="K806" t="n">
        <v>1</v>
      </c>
      <c r="L806" t="n">
        <v>734</v>
      </c>
      <c r="M806" t="n">
        <v>73.40000000000001</v>
      </c>
      <c r="N806">
        <f>VLOOKUP(J806,Products!$A$2:$C$49,3,FALSE)</f>
        <v/>
      </c>
      <c r="O806">
        <f>K806*L806-M806</f>
        <v/>
      </c>
      <c r="P806">
        <f>TEXT(B806,"yyyy-mm")</f>
        <v/>
      </c>
      <c r="Q806">
        <f>IF(O806&gt;=3000,"Large","Small")</f>
        <v/>
      </c>
      <c r="R806">
        <f>INDEX(Products!$F$2:$F$49,MATCH(J806,Products!$A$2:$A$49,0))</f>
        <v/>
      </c>
      <c r="S806">
        <f>WEEKDAY(B806,2)</f>
        <v/>
      </c>
    </row>
    <row r="807">
      <c r="A807" t="n">
        <v>509735</v>
      </c>
      <c r="B807" s="6" t="n">
        <v>45941</v>
      </c>
      <c r="C807" t="n">
        <v>16761</v>
      </c>
      <c r="D807" t="inlineStr">
        <is>
          <t>Delhi</t>
        </is>
      </c>
      <c r="E807" t="inlineStr">
        <is>
          <t>North</t>
        </is>
      </c>
      <c r="F807" t="inlineStr">
        <is>
          <t>Affiliate</t>
        </is>
      </c>
      <c r="G807" t="inlineStr">
        <is>
          <t>Desktop</t>
        </is>
      </c>
      <c r="H807" t="inlineStr">
        <is>
          <t>Debit Card</t>
        </is>
      </c>
      <c r="I807" t="inlineStr">
        <is>
          <t>Delivered</t>
        </is>
      </c>
      <c r="J807" t="n">
        <v>102</v>
      </c>
      <c r="K807" t="n">
        <v>1</v>
      </c>
      <c r="L807" t="n">
        <v>3674</v>
      </c>
      <c r="M807" t="n">
        <v>367.4</v>
      </c>
      <c r="N807">
        <f>VLOOKUP(J807,Products!$A$2:$C$49,3,FALSE)</f>
        <v/>
      </c>
      <c r="O807">
        <f>K807*L807-M807</f>
        <v/>
      </c>
      <c r="P807">
        <f>TEXT(B807,"yyyy-mm")</f>
        <v/>
      </c>
      <c r="Q807">
        <f>IF(O807&gt;=3000,"Large","Small")</f>
        <v/>
      </c>
      <c r="R807">
        <f>INDEX(Products!$F$2:$F$49,MATCH(J807,Products!$A$2:$A$49,0))</f>
        <v/>
      </c>
      <c r="S807">
        <f>WEEKDAY(B807,2)</f>
        <v/>
      </c>
    </row>
    <row r="808">
      <c r="A808" t="n">
        <v>509735</v>
      </c>
      <c r="B808" s="6" t="n">
        <v>45941</v>
      </c>
      <c r="C808" t="n">
        <v>16761</v>
      </c>
      <c r="D808" t="inlineStr">
        <is>
          <t>Delhi</t>
        </is>
      </c>
      <c r="E808" t="inlineStr">
        <is>
          <t>North</t>
        </is>
      </c>
      <c r="F808" t="inlineStr">
        <is>
          <t>Affiliate</t>
        </is>
      </c>
      <c r="G808" t="inlineStr">
        <is>
          <t>Desktop</t>
        </is>
      </c>
      <c r="H808" t="inlineStr">
        <is>
          <t>Debit Card</t>
        </is>
      </c>
      <c r="I808" t="inlineStr">
        <is>
          <t>Delivered</t>
        </is>
      </c>
      <c r="J808" t="n">
        <v>111</v>
      </c>
      <c r="K808" t="n">
        <v>3</v>
      </c>
      <c r="L808" t="n">
        <v>524</v>
      </c>
      <c r="M808" t="n">
        <v>157.2</v>
      </c>
      <c r="N808">
        <f>VLOOKUP(J808,Products!$A$2:$C$49,3,FALSE)</f>
        <v/>
      </c>
      <c r="O808">
        <f>K808*L808-M808</f>
        <v/>
      </c>
      <c r="P808">
        <f>TEXT(B808,"yyyy-mm")</f>
        <v/>
      </c>
      <c r="Q808">
        <f>IF(O808&gt;=3000,"Large","Small")</f>
        <v/>
      </c>
      <c r="R808">
        <f>INDEX(Products!$F$2:$F$49,MATCH(J808,Products!$A$2:$A$49,0))</f>
        <v/>
      </c>
      <c r="S808">
        <f>WEEKDAY(B808,2)</f>
        <v/>
      </c>
    </row>
    <row r="809">
      <c r="A809" t="n">
        <v>509735</v>
      </c>
      <c r="B809" s="6" t="n">
        <v>45941</v>
      </c>
      <c r="C809" t="n">
        <v>16761</v>
      </c>
      <c r="D809" t="inlineStr">
        <is>
          <t>Delhi</t>
        </is>
      </c>
      <c r="E809" t="inlineStr">
        <is>
          <t>North</t>
        </is>
      </c>
      <c r="F809" t="inlineStr">
        <is>
          <t>Affiliate</t>
        </is>
      </c>
      <c r="G809" t="inlineStr">
        <is>
          <t>Desktop</t>
        </is>
      </c>
      <c r="H809" t="inlineStr">
        <is>
          <t>Debit Card</t>
        </is>
      </c>
      <c r="I809" t="inlineStr">
        <is>
          <t>Delivered</t>
        </is>
      </c>
      <c r="J809" t="n">
        <v>129</v>
      </c>
      <c r="K809" t="n">
        <v>3</v>
      </c>
      <c r="L809" t="n">
        <v>576</v>
      </c>
      <c r="M809" t="n">
        <v>172.8</v>
      </c>
      <c r="N809">
        <f>VLOOKUP(J809,Products!$A$2:$C$49,3,FALSE)</f>
        <v/>
      </c>
      <c r="O809">
        <f>K809*L809-M809</f>
        <v/>
      </c>
      <c r="P809">
        <f>TEXT(B809,"yyyy-mm")</f>
        <v/>
      </c>
      <c r="Q809">
        <f>IF(O809&gt;=3000,"Large","Small")</f>
        <v/>
      </c>
      <c r="R809">
        <f>INDEX(Products!$F$2:$F$49,MATCH(J809,Products!$A$2:$A$49,0))</f>
        <v/>
      </c>
      <c r="S809">
        <f>WEEKDAY(B809,2)</f>
        <v/>
      </c>
    </row>
    <row r="810">
      <c r="A810" t="n">
        <v>509736</v>
      </c>
      <c r="B810" s="6" t="n">
        <v>45941</v>
      </c>
      <c r="C810" t="n">
        <v>10211</v>
      </c>
      <c r="D810" t="inlineStr">
        <is>
          <t>Noida</t>
        </is>
      </c>
      <c r="E810" t="inlineStr">
        <is>
          <t>North</t>
        </is>
      </c>
      <c r="F810" t="inlineStr">
        <is>
          <t>Organic Search</t>
        </is>
      </c>
      <c r="G810" t="inlineStr">
        <is>
          <t>Mobile Web</t>
        </is>
      </c>
      <c r="H810" t="inlineStr">
        <is>
          <t>Cash on Delivery</t>
        </is>
      </c>
      <c r="I810" t="inlineStr">
        <is>
          <t>Delivered</t>
        </is>
      </c>
      <c r="J810" t="n">
        <v>130</v>
      </c>
      <c r="K810" t="n">
        <v>2</v>
      </c>
      <c r="L810" t="n">
        <v>734</v>
      </c>
      <c r="M810" t="n">
        <v>146.8</v>
      </c>
      <c r="N810">
        <f>VLOOKUP(J810,Products!$A$2:$C$49,3,FALSE)</f>
        <v/>
      </c>
      <c r="O810">
        <f>K810*L810-M810</f>
        <v/>
      </c>
      <c r="P810">
        <f>TEXT(B810,"yyyy-mm")</f>
        <v/>
      </c>
      <c r="Q810">
        <f>IF(O810&gt;=3000,"Large","Small")</f>
        <v/>
      </c>
      <c r="R810">
        <f>INDEX(Products!$F$2:$F$49,MATCH(J810,Products!$A$2:$A$49,0))</f>
        <v/>
      </c>
      <c r="S810">
        <f>WEEKDAY(B810,2)</f>
        <v/>
      </c>
    </row>
    <row r="811">
      <c r="A811" t="n">
        <v>509737</v>
      </c>
      <c r="B811" s="6" t="n">
        <v>45941</v>
      </c>
      <c r="C811" t="n">
        <v>15184</v>
      </c>
      <c r="D811" t="inlineStr">
        <is>
          <t>Kolkata</t>
        </is>
      </c>
      <c r="E811" t="inlineStr">
        <is>
          <t>East</t>
        </is>
      </c>
      <c r="F811" t="inlineStr">
        <is>
          <t>Email</t>
        </is>
      </c>
      <c r="G811" t="inlineStr">
        <is>
          <t>Mobile Web</t>
        </is>
      </c>
      <c r="H811" t="inlineStr">
        <is>
          <t>UPI</t>
        </is>
      </c>
      <c r="I811" t="inlineStr">
        <is>
          <t>Delivered</t>
        </is>
      </c>
      <c r="J811" t="n">
        <v>118</v>
      </c>
      <c r="K811" t="n">
        <v>3</v>
      </c>
      <c r="L811" t="n">
        <v>944</v>
      </c>
      <c r="M811" t="n">
        <v>0</v>
      </c>
      <c r="N811">
        <f>VLOOKUP(J811,Products!$A$2:$C$49,3,FALSE)</f>
        <v/>
      </c>
      <c r="O811">
        <f>K811*L811-M811</f>
        <v/>
      </c>
      <c r="P811">
        <f>TEXT(B811,"yyyy-mm")</f>
        <v/>
      </c>
      <c r="Q811">
        <f>IF(O811&gt;=3000,"Large","Small")</f>
        <v/>
      </c>
      <c r="R811">
        <f>INDEX(Products!$F$2:$F$49,MATCH(J811,Products!$A$2:$A$49,0))</f>
        <v/>
      </c>
      <c r="S811">
        <f>WEEKDAY(B811,2)</f>
        <v/>
      </c>
    </row>
    <row r="812">
      <c r="A812" t="n">
        <v>509737</v>
      </c>
      <c r="B812" s="6" t="n">
        <v>45941</v>
      </c>
      <c r="C812" t="n">
        <v>15184</v>
      </c>
      <c r="D812" t="inlineStr">
        <is>
          <t>Kolkata</t>
        </is>
      </c>
      <c r="E812" t="inlineStr">
        <is>
          <t>East</t>
        </is>
      </c>
      <c r="F812" t="inlineStr">
        <is>
          <t>Email</t>
        </is>
      </c>
      <c r="G812" t="inlineStr">
        <is>
          <t>Mobile Web</t>
        </is>
      </c>
      <c r="H812" t="inlineStr">
        <is>
          <t>UPI</t>
        </is>
      </c>
      <c r="I812" t="inlineStr">
        <is>
          <t>Delivered</t>
        </is>
      </c>
      <c r="J812" t="n">
        <v>124</v>
      </c>
      <c r="K812" t="n">
        <v>1</v>
      </c>
      <c r="L812" t="n">
        <v>1154</v>
      </c>
      <c r="M812" t="n">
        <v>0</v>
      </c>
      <c r="N812">
        <f>VLOOKUP(J812,Products!$A$2:$C$49,3,FALSE)</f>
        <v/>
      </c>
      <c r="O812">
        <f>K812*L812-M812</f>
        <v/>
      </c>
      <c r="P812">
        <f>TEXT(B812,"yyyy-mm")</f>
        <v/>
      </c>
      <c r="Q812">
        <f>IF(O812&gt;=3000,"Large","Small")</f>
        <v/>
      </c>
      <c r="R812">
        <f>INDEX(Products!$F$2:$F$49,MATCH(J812,Products!$A$2:$A$49,0))</f>
        <v/>
      </c>
      <c r="S812">
        <f>WEEKDAY(B812,2)</f>
        <v/>
      </c>
    </row>
    <row r="813">
      <c r="A813" t="n">
        <v>509738</v>
      </c>
      <c r="B813" s="6" t="n">
        <v>45941</v>
      </c>
      <c r="C813" t="n">
        <v>14858</v>
      </c>
      <c r="D813" t="inlineStr">
        <is>
          <t>Lucknow</t>
        </is>
      </c>
      <c r="E813" t="inlineStr">
        <is>
          <t>North</t>
        </is>
      </c>
      <c r="F813" t="inlineStr">
        <is>
          <t>Referral</t>
        </is>
      </c>
      <c r="G813" t="inlineStr">
        <is>
          <t>Mobile App</t>
        </is>
      </c>
      <c r="H813" t="inlineStr">
        <is>
          <t>UPI</t>
        </is>
      </c>
      <c r="I813" t="inlineStr">
        <is>
          <t>Delivered</t>
        </is>
      </c>
      <c r="J813" t="n">
        <v>123</v>
      </c>
      <c r="K813" t="n">
        <v>2</v>
      </c>
      <c r="L813" t="n">
        <v>3464</v>
      </c>
      <c r="M813" t="n">
        <v>692.8</v>
      </c>
      <c r="N813">
        <f>VLOOKUP(J813,Products!$A$2:$C$49,3,FALSE)</f>
        <v/>
      </c>
      <c r="O813">
        <f>K813*L813-M813</f>
        <v/>
      </c>
      <c r="P813">
        <f>TEXT(B813,"yyyy-mm")</f>
        <v/>
      </c>
      <c r="Q813">
        <f>IF(O813&gt;=3000,"Large","Small")</f>
        <v/>
      </c>
      <c r="R813">
        <f>INDEX(Products!$F$2:$F$49,MATCH(J813,Products!$A$2:$A$49,0))</f>
        <v/>
      </c>
      <c r="S813">
        <f>WEEKDAY(B813,2)</f>
        <v/>
      </c>
    </row>
    <row r="814">
      <c r="A814" t="n">
        <v>509738</v>
      </c>
      <c r="B814" s="6" t="n">
        <v>45941</v>
      </c>
      <c r="C814" t="n">
        <v>14858</v>
      </c>
      <c r="D814" t="inlineStr">
        <is>
          <t>Lucknow</t>
        </is>
      </c>
      <c r="E814" t="inlineStr">
        <is>
          <t>North</t>
        </is>
      </c>
      <c r="F814" t="inlineStr">
        <is>
          <t>Referral</t>
        </is>
      </c>
      <c r="G814" t="inlineStr">
        <is>
          <t>Mobile App</t>
        </is>
      </c>
      <c r="H814" t="inlineStr">
        <is>
          <t>UPI</t>
        </is>
      </c>
      <c r="I814" t="inlineStr">
        <is>
          <t>Delivered</t>
        </is>
      </c>
      <c r="J814" t="n">
        <v>129</v>
      </c>
      <c r="K814" t="n">
        <v>1</v>
      </c>
      <c r="L814" t="n">
        <v>576</v>
      </c>
      <c r="M814" t="n">
        <v>57.6</v>
      </c>
      <c r="N814">
        <f>VLOOKUP(J814,Products!$A$2:$C$49,3,FALSE)</f>
        <v/>
      </c>
      <c r="O814">
        <f>K814*L814-M814</f>
        <v/>
      </c>
      <c r="P814">
        <f>TEXT(B814,"yyyy-mm")</f>
        <v/>
      </c>
      <c r="Q814">
        <f>IF(O814&gt;=3000,"Large","Small")</f>
        <v/>
      </c>
      <c r="R814">
        <f>INDEX(Products!$F$2:$F$49,MATCH(J814,Products!$A$2:$A$49,0))</f>
        <v/>
      </c>
      <c r="S814">
        <f>WEEKDAY(B814,2)</f>
        <v/>
      </c>
    </row>
    <row r="815">
      <c r="A815" t="n">
        <v>509739</v>
      </c>
      <c r="B815" s="6" t="n">
        <v>45941</v>
      </c>
      <c r="C815" t="n">
        <v>10107</v>
      </c>
      <c r="D815" t="inlineStr">
        <is>
          <t>Gurugram</t>
        </is>
      </c>
      <c r="E815" t="inlineStr">
        <is>
          <t>North</t>
        </is>
      </c>
      <c r="F815" t="inlineStr">
        <is>
          <t>Organic Search</t>
        </is>
      </c>
      <c r="G815" t="inlineStr">
        <is>
          <t>Desktop</t>
        </is>
      </c>
      <c r="H815" t="inlineStr">
        <is>
          <t>UPI</t>
        </is>
      </c>
      <c r="I815" t="inlineStr">
        <is>
          <t>Delivered</t>
        </is>
      </c>
      <c r="J815" t="n">
        <v>128</v>
      </c>
      <c r="K815" t="n">
        <v>2</v>
      </c>
      <c r="L815" t="n">
        <v>1049</v>
      </c>
      <c r="M815" t="n">
        <v>0</v>
      </c>
      <c r="N815">
        <f>VLOOKUP(J815,Products!$A$2:$C$49,3,FALSE)</f>
        <v/>
      </c>
      <c r="O815">
        <f>K815*L815-M815</f>
        <v/>
      </c>
      <c r="P815">
        <f>TEXT(B815,"yyyy-mm")</f>
        <v/>
      </c>
      <c r="Q815">
        <f>IF(O815&gt;=3000,"Large","Small")</f>
        <v/>
      </c>
      <c r="R815">
        <f>INDEX(Products!$F$2:$F$49,MATCH(J815,Products!$A$2:$A$49,0))</f>
        <v/>
      </c>
      <c r="S815">
        <f>WEEKDAY(B815,2)</f>
        <v/>
      </c>
    </row>
    <row r="816">
      <c r="A816" t="n">
        <v>509739</v>
      </c>
      <c r="B816" s="6" t="n">
        <v>45941</v>
      </c>
      <c r="C816" t="n">
        <v>10107</v>
      </c>
      <c r="D816" t="inlineStr">
        <is>
          <t>Gurugram</t>
        </is>
      </c>
      <c r="E816" t="inlineStr">
        <is>
          <t>North</t>
        </is>
      </c>
      <c r="F816" t="inlineStr">
        <is>
          <t>Organic Search</t>
        </is>
      </c>
      <c r="G816" t="inlineStr">
        <is>
          <t>Desktop</t>
        </is>
      </c>
      <c r="H816" t="inlineStr">
        <is>
          <t>UPI</t>
        </is>
      </c>
      <c r="I816" t="inlineStr">
        <is>
          <t>Delivered</t>
        </is>
      </c>
      <c r="J816" t="n">
        <v>146</v>
      </c>
      <c r="K816" t="n">
        <v>1</v>
      </c>
      <c r="L816" t="n">
        <v>4724</v>
      </c>
      <c r="M816" t="n">
        <v>0</v>
      </c>
      <c r="N816">
        <f>VLOOKUP(J816,Products!$A$2:$C$49,3,FALSE)</f>
        <v/>
      </c>
      <c r="O816">
        <f>K816*L816-M816</f>
        <v/>
      </c>
      <c r="P816">
        <f>TEXT(B816,"yyyy-mm")</f>
        <v/>
      </c>
      <c r="Q816">
        <f>IF(O816&gt;=3000,"Large","Small")</f>
        <v/>
      </c>
      <c r="R816">
        <f>INDEX(Products!$F$2:$F$49,MATCH(J816,Products!$A$2:$A$49,0))</f>
        <v/>
      </c>
      <c r="S816">
        <f>WEEKDAY(B816,2)</f>
        <v/>
      </c>
    </row>
    <row r="817">
      <c r="A817" t="n">
        <v>509739</v>
      </c>
      <c r="B817" s="6" t="n">
        <v>45941</v>
      </c>
      <c r="C817" t="n">
        <v>10107</v>
      </c>
      <c r="D817" t="inlineStr">
        <is>
          <t>Gurugram</t>
        </is>
      </c>
      <c r="E817" t="inlineStr">
        <is>
          <t>North</t>
        </is>
      </c>
      <c r="F817" t="inlineStr">
        <is>
          <t>Organic Search</t>
        </is>
      </c>
      <c r="G817" t="inlineStr">
        <is>
          <t>Desktop</t>
        </is>
      </c>
      <c r="H817" t="inlineStr">
        <is>
          <t>UPI</t>
        </is>
      </c>
      <c r="I817" t="inlineStr">
        <is>
          <t>Delivered</t>
        </is>
      </c>
      <c r="J817" t="n">
        <v>129</v>
      </c>
      <c r="K817" t="n">
        <v>1</v>
      </c>
      <c r="L817" t="n">
        <v>576</v>
      </c>
      <c r="M817" t="n">
        <v>0</v>
      </c>
      <c r="N817">
        <f>VLOOKUP(J817,Products!$A$2:$C$49,3,FALSE)</f>
        <v/>
      </c>
      <c r="O817">
        <f>K817*L817-M817</f>
        <v/>
      </c>
      <c r="P817">
        <f>TEXT(B817,"yyyy-mm")</f>
        <v/>
      </c>
      <c r="Q817">
        <f>IF(O817&gt;=3000,"Large","Small")</f>
        <v/>
      </c>
      <c r="R817">
        <f>INDEX(Products!$F$2:$F$49,MATCH(J817,Products!$A$2:$A$49,0))</f>
        <v/>
      </c>
      <c r="S817">
        <f>WEEKDAY(B817,2)</f>
        <v/>
      </c>
    </row>
    <row r="818">
      <c r="A818" t="n">
        <v>509740</v>
      </c>
      <c r="B818" s="6" t="n">
        <v>45941</v>
      </c>
      <c r="C818" t="n">
        <v>16681</v>
      </c>
      <c r="D818" t="inlineStr">
        <is>
          <t>Delhi</t>
        </is>
      </c>
      <c r="E818" t="inlineStr">
        <is>
          <t>North</t>
        </is>
      </c>
      <c r="F818" t="inlineStr">
        <is>
          <t>Paid Search</t>
        </is>
      </c>
      <c r="G818" t="inlineStr">
        <is>
          <t>Mobile App</t>
        </is>
      </c>
      <c r="H818" t="inlineStr">
        <is>
          <t>UPI</t>
        </is>
      </c>
      <c r="I818" t="inlineStr">
        <is>
          <t>Delivered</t>
        </is>
      </c>
      <c r="J818" t="n">
        <v>129</v>
      </c>
      <c r="K818" t="n">
        <v>3</v>
      </c>
      <c r="L818" t="n">
        <v>576</v>
      </c>
      <c r="M818" t="n">
        <v>259.2</v>
      </c>
      <c r="N818">
        <f>VLOOKUP(J818,Products!$A$2:$C$49,3,FALSE)</f>
        <v/>
      </c>
      <c r="O818">
        <f>K818*L818-M818</f>
        <v/>
      </c>
      <c r="P818">
        <f>TEXT(B818,"yyyy-mm")</f>
        <v/>
      </c>
      <c r="Q818">
        <f>IF(O818&gt;=3000,"Large","Small")</f>
        <v/>
      </c>
      <c r="R818">
        <f>INDEX(Products!$F$2:$F$49,MATCH(J818,Products!$A$2:$A$49,0))</f>
        <v/>
      </c>
      <c r="S818">
        <f>WEEKDAY(B818,2)</f>
        <v/>
      </c>
    </row>
    <row r="819">
      <c r="A819" t="n">
        <v>509740</v>
      </c>
      <c r="B819" s="6" t="n">
        <v>45941</v>
      </c>
      <c r="C819" t="n">
        <v>16681</v>
      </c>
      <c r="D819" t="inlineStr">
        <is>
          <t>Delhi</t>
        </is>
      </c>
      <c r="E819" t="inlineStr">
        <is>
          <t>North</t>
        </is>
      </c>
      <c r="F819" t="inlineStr">
        <is>
          <t>Paid Search</t>
        </is>
      </c>
      <c r="G819" t="inlineStr">
        <is>
          <t>Mobile App</t>
        </is>
      </c>
      <c r="H819" t="inlineStr">
        <is>
          <t>UPI</t>
        </is>
      </c>
      <c r="I819" t="inlineStr">
        <is>
          <t>Delivered</t>
        </is>
      </c>
      <c r="J819" t="n">
        <v>113</v>
      </c>
      <c r="K819" t="n">
        <v>1</v>
      </c>
      <c r="L819" t="n">
        <v>1364</v>
      </c>
      <c r="M819" t="n">
        <v>204.6</v>
      </c>
      <c r="N819">
        <f>VLOOKUP(J819,Products!$A$2:$C$49,3,FALSE)</f>
        <v/>
      </c>
      <c r="O819">
        <f>K819*L819-M819</f>
        <v/>
      </c>
      <c r="P819">
        <f>TEXT(B819,"yyyy-mm")</f>
        <v/>
      </c>
      <c r="Q819">
        <f>IF(O819&gt;=3000,"Large","Small")</f>
        <v/>
      </c>
      <c r="R819">
        <f>INDEX(Products!$F$2:$F$49,MATCH(J819,Products!$A$2:$A$49,0))</f>
        <v/>
      </c>
      <c r="S819">
        <f>WEEKDAY(B819,2)</f>
        <v/>
      </c>
    </row>
    <row r="820">
      <c r="A820" t="n">
        <v>509741</v>
      </c>
      <c r="B820" s="6" t="n">
        <v>45941</v>
      </c>
      <c r="C820" t="n">
        <v>16644</v>
      </c>
      <c r="D820" t="inlineStr">
        <is>
          <t>Pune</t>
        </is>
      </c>
      <c r="E820" t="inlineStr">
        <is>
          <t>West</t>
        </is>
      </c>
      <c r="F820" t="inlineStr">
        <is>
          <t>Organic Search</t>
        </is>
      </c>
      <c r="G820" t="inlineStr">
        <is>
          <t>Desktop</t>
        </is>
      </c>
      <c r="H820" t="inlineStr">
        <is>
          <t>UPI</t>
        </is>
      </c>
      <c r="I820" t="inlineStr">
        <is>
          <t>Delivered</t>
        </is>
      </c>
      <c r="J820" t="n">
        <v>114</v>
      </c>
      <c r="K820" t="n">
        <v>2</v>
      </c>
      <c r="L820" t="n">
        <v>1259</v>
      </c>
      <c r="M820" t="n">
        <v>0</v>
      </c>
      <c r="N820">
        <f>VLOOKUP(J820,Products!$A$2:$C$49,3,FALSE)</f>
        <v/>
      </c>
      <c r="O820">
        <f>K820*L820-M820</f>
        <v/>
      </c>
      <c r="P820">
        <f>TEXT(B820,"yyyy-mm")</f>
        <v/>
      </c>
      <c r="Q820">
        <f>IF(O820&gt;=3000,"Large","Small")</f>
        <v/>
      </c>
      <c r="R820">
        <f>INDEX(Products!$F$2:$F$49,MATCH(J820,Products!$A$2:$A$49,0))</f>
        <v/>
      </c>
      <c r="S820">
        <f>WEEKDAY(B820,2)</f>
        <v/>
      </c>
    </row>
    <row r="821">
      <c r="A821" t="n">
        <v>509741</v>
      </c>
      <c r="B821" s="6" t="n">
        <v>45941</v>
      </c>
      <c r="C821" t="n">
        <v>16644</v>
      </c>
      <c r="D821" t="inlineStr">
        <is>
          <t>Pune</t>
        </is>
      </c>
      <c r="E821" t="inlineStr">
        <is>
          <t>West</t>
        </is>
      </c>
      <c r="F821" t="inlineStr">
        <is>
          <t>Organic Search</t>
        </is>
      </c>
      <c r="G821" t="inlineStr">
        <is>
          <t>Desktop</t>
        </is>
      </c>
      <c r="H821" t="inlineStr">
        <is>
          <t>UPI</t>
        </is>
      </c>
      <c r="I821" t="inlineStr">
        <is>
          <t>Delivered</t>
        </is>
      </c>
      <c r="J821" t="n">
        <v>124</v>
      </c>
      <c r="K821" t="n">
        <v>1</v>
      </c>
      <c r="L821" t="n">
        <v>1154</v>
      </c>
      <c r="M821" t="n">
        <v>0</v>
      </c>
      <c r="N821">
        <f>VLOOKUP(J821,Products!$A$2:$C$49,3,FALSE)</f>
        <v/>
      </c>
      <c r="O821">
        <f>K821*L821-M821</f>
        <v/>
      </c>
      <c r="P821">
        <f>TEXT(B821,"yyyy-mm")</f>
        <v/>
      </c>
      <c r="Q821">
        <f>IF(O821&gt;=3000,"Large","Small")</f>
        <v/>
      </c>
      <c r="R821">
        <f>INDEX(Products!$F$2:$F$49,MATCH(J821,Products!$A$2:$A$49,0))</f>
        <v/>
      </c>
      <c r="S821">
        <f>WEEKDAY(B821,2)</f>
        <v/>
      </c>
    </row>
    <row r="822">
      <c r="A822" t="n">
        <v>509742</v>
      </c>
      <c r="B822" s="6" t="n">
        <v>45941</v>
      </c>
      <c r="C822" t="n">
        <v>16084</v>
      </c>
      <c r="D822" t="inlineStr">
        <is>
          <t>Hyderabad</t>
        </is>
      </c>
      <c r="E822" t="inlineStr">
        <is>
          <t>South</t>
        </is>
      </c>
      <c r="F822" t="inlineStr">
        <is>
          <t>Referral</t>
        </is>
      </c>
      <c r="G822" t="inlineStr">
        <is>
          <t>Mobile App</t>
        </is>
      </c>
      <c r="H822" t="inlineStr">
        <is>
          <t>UPI</t>
        </is>
      </c>
      <c r="I822" t="inlineStr">
        <is>
          <t>Returned</t>
        </is>
      </c>
      <c r="J822" t="n">
        <v>112</v>
      </c>
      <c r="K822" t="n">
        <v>1</v>
      </c>
      <c r="L822" t="n">
        <v>1574</v>
      </c>
      <c r="M822" t="n">
        <v>157.4</v>
      </c>
      <c r="N822">
        <f>VLOOKUP(J822,Products!$A$2:$C$49,3,FALSE)</f>
        <v/>
      </c>
      <c r="O822">
        <f>K822*L822-M822</f>
        <v/>
      </c>
      <c r="P822">
        <f>TEXT(B822,"yyyy-mm")</f>
        <v/>
      </c>
      <c r="Q822">
        <f>IF(O822&gt;=3000,"Large","Small")</f>
        <v/>
      </c>
      <c r="R822">
        <f>INDEX(Products!$F$2:$F$49,MATCH(J822,Products!$A$2:$A$49,0))</f>
        <v/>
      </c>
      <c r="S822">
        <f>WEEKDAY(B822,2)</f>
        <v/>
      </c>
    </row>
    <row r="823">
      <c r="A823" t="n">
        <v>509742</v>
      </c>
      <c r="B823" s="6" t="n">
        <v>45941</v>
      </c>
      <c r="C823" t="n">
        <v>16084</v>
      </c>
      <c r="D823" t="inlineStr">
        <is>
          <t>Hyderabad</t>
        </is>
      </c>
      <c r="E823" t="inlineStr">
        <is>
          <t>South</t>
        </is>
      </c>
      <c r="F823" t="inlineStr">
        <is>
          <t>Referral</t>
        </is>
      </c>
      <c r="G823" t="inlineStr">
        <is>
          <t>Mobile App</t>
        </is>
      </c>
      <c r="H823" t="inlineStr">
        <is>
          <t>UPI</t>
        </is>
      </c>
      <c r="I823" t="inlineStr">
        <is>
          <t>Returned</t>
        </is>
      </c>
      <c r="J823" t="n">
        <v>129</v>
      </c>
      <c r="K823" t="n">
        <v>1</v>
      </c>
      <c r="L823" t="n">
        <v>576</v>
      </c>
      <c r="M823" t="n">
        <v>57.6</v>
      </c>
      <c r="N823">
        <f>VLOOKUP(J823,Products!$A$2:$C$49,3,FALSE)</f>
        <v/>
      </c>
      <c r="O823">
        <f>K823*L823-M823</f>
        <v/>
      </c>
      <c r="P823">
        <f>TEXT(B823,"yyyy-mm")</f>
        <v/>
      </c>
      <c r="Q823">
        <f>IF(O823&gt;=3000,"Large","Small")</f>
        <v/>
      </c>
      <c r="R823">
        <f>INDEX(Products!$F$2:$F$49,MATCH(J823,Products!$A$2:$A$49,0))</f>
        <v/>
      </c>
      <c r="S823">
        <f>WEEKDAY(B823,2)</f>
        <v/>
      </c>
    </row>
    <row r="824">
      <c r="A824" t="n">
        <v>509743</v>
      </c>
      <c r="B824" s="6" t="n">
        <v>45941</v>
      </c>
      <c r="C824" t="n">
        <v>12850</v>
      </c>
      <c r="D824" t="inlineStr">
        <is>
          <t>Delhi</t>
        </is>
      </c>
      <c r="E824" t="inlineStr">
        <is>
          <t>North</t>
        </is>
      </c>
      <c r="F824" t="inlineStr">
        <is>
          <t>Organic Search</t>
        </is>
      </c>
      <c r="G824" t="inlineStr">
        <is>
          <t>Mobile App</t>
        </is>
      </c>
      <c r="H824" t="inlineStr">
        <is>
          <t>Debit Card</t>
        </is>
      </c>
      <c r="I824" t="inlineStr">
        <is>
          <t>Delivered</t>
        </is>
      </c>
      <c r="J824" t="n">
        <v>133</v>
      </c>
      <c r="K824" t="n">
        <v>1</v>
      </c>
      <c r="L824" t="n">
        <v>419</v>
      </c>
      <c r="M824" t="n">
        <v>41.9</v>
      </c>
      <c r="N824">
        <f>VLOOKUP(J824,Products!$A$2:$C$49,3,FALSE)</f>
        <v/>
      </c>
      <c r="O824">
        <f>K824*L824-M824</f>
        <v/>
      </c>
      <c r="P824">
        <f>TEXT(B824,"yyyy-mm")</f>
        <v/>
      </c>
      <c r="Q824">
        <f>IF(O824&gt;=3000,"Large","Small")</f>
        <v/>
      </c>
      <c r="R824">
        <f>INDEX(Products!$F$2:$F$49,MATCH(J824,Products!$A$2:$A$49,0))</f>
        <v/>
      </c>
      <c r="S824">
        <f>WEEKDAY(B824,2)</f>
        <v/>
      </c>
    </row>
    <row r="825">
      <c r="A825" t="n">
        <v>509744</v>
      </c>
      <c r="B825" s="6" t="n">
        <v>45941</v>
      </c>
      <c r="C825" t="n">
        <v>15991</v>
      </c>
      <c r="D825" t="inlineStr">
        <is>
          <t>Kolkata</t>
        </is>
      </c>
      <c r="E825" t="inlineStr">
        <is>
          <t>East</t>
        </is>
      </c>
      <c r="F825" t="inlineStr">
        <is>
          <t>Referral</t>
        </is>
      </c>
      <c r="G825" t="inlineStr">
        <is>
          <t>Mobile App</t>
        </is>
      </c>
      <c r="H825" t="inlineStr">
        <is>
          <t>Credit Card</t>
        </is>
      </c>
      <c r="I825" t="inlineStr">
        <is>
          <t>Delivered</t>
        </is>
      </c>
      <c r="J825" t="n">
        <v>113</v>
      </c>
      <c r="K825" t="n">
        <v>1</v>
      </c>
      <c r="L825" t="n">
        <v>1364</v>
      </c>
      <c r="M825" t="n">
        <v>136.4</v>
      </c>
      <c r="N825">
        <f>VLOOKUP(J825,Products!$A$2:$C$49,3,FALSE)</f>
        <v/>
      </c>
      <c r="O825">
        <f>K825*L825-M825</f>
        <v/>
      </c>
      <c r="P825">
        <f>TEXT(B825,"yyyy-mm")</f>
        <v/>
      </c>
      <c r="Q825">
        <f>IF(O825&gt;=3000,"Large","Small")</f>
        <v/>
      </c>
      <c r="R825">
        <f>INDEX(Products!$F$2:$F$49,MATCH(J825,Products!$A$2:$A$49,0))</f>
        <v/>
      </c>
      <c r="S825">
        <f>WEEKDAY(B825,2)</f>
        <v/>
      </c>
    </row>
    <row r="826">
      <c r="A826" t="n">
        <v>509744</v>
      </c>
      <c r="B826" s="6" t="n">
        <v>45941</v>
      </c>
      <c r="C826" t="n">
        <v>15991</v>
      </c>
      <c r="D826" t="inlineStr">
        <is>
          <t>Kolkata</t>
        </is>
      </c>
      <c r="E826" t="inlineStr">
        <is>
          <t>East</t>
        </is>
      </c>
      <c r="F826" t="inlineStr">
        <is>
          <t>Referral</t>
        </is>
      </c>
      <c r="G826" t="inlineStr">
        <is>
          <t>Mobile App</t>
        </is>
      </c>
      <c r="H826" t="inlineStr">
        <is>
          <t>Credit Card</t>
        </is>
      </c>
      <c r="I826" t="inlineStr">
        <is>
          <t>Delivered</t>
        </is>
      </c>
      <c r="J826" t="n">
        <v>106</v>
      </c>
      <c r="K826" t="n">
        <v>2</v>
      </c>
      <c r="L826" t="n">
        <v>1574</v>
      </c>
      <c r="M826" t="n">
        <v>314.8</v>
      </c>
      <c r="N826">
        <f>VLOOKUP(J826,Products!$A$2:$C$49,3,FALSE)</f>
        <v/>
      </c>
      <c r="O826">
        <f>K826*L826-M826</f>
        <v/>
      </c>
      <c r="P826">
        <f>TEXT(B826,"yyyy-mm")</f>
        <v/>
      </c>
      <c r="Q826">
        <f>IF(O826&gt;=3000,"Large","Small")</f>
        <v/>
      </c>
      <c r="R826">
        <f>INDEX(Products!$F$2:$F$49,MATCH(J826,Products!$A$2:$A$49,0))</f>
        <v/>
      </c>
      <c r="S826">
        <f>WEEKDAY(B826,2)</f>
        <v/>
      </c>
    </row>
    <row r="827">
      <c r="A827" t="n">
        <v>509745</v>
      </c>
      <c r="B827" s="6" t="n">
        <v>45941</v>
      </c>
      <c r="C827" t="n">
        <v>16569</v>
      </c>
      <c r="D827" t="inlineStr">
        <is>
          <t>Pune</t>
        </is>
      </c>
      <c r="E827" t="inlineStr">
        <is>
          <t>West</t>
        </is>
      </c>
      <c r="F827" t="inlineStr">
        <is>
          <t>Email</t>
        </is>
      </c>
      <c r="G827" t="inlineStr">
        <is>
          <t>Mobile Web</t>
        </is>
      </c>
      <c r="H827" t="inlineStr">
        <is>
          <t>UPI</t>
        </is>
      </c>
      <c r="I827" t="inlineStr">
        <is>
          <t>Delivered</t>
        </is>
      </c>
      <c r="J827" t="n">
        <v>102</v>
      </c>
      <c r="K827" t="n">
        <v>3</v>
      </c>
      <c r="L827" t="n">
        <v>3674</v>
      </c>
      <c r="M827" t="n">
        <v>1102.2</v>
      </c>
      <c r="N827">
        <f>VLOOKUP(J827,Products!$A$2:$C$49,3,FALSE)</f>
        <v/>
      </c>
      <c r="O827">
        <f>K827*L827-M827</f>
        <v/>
      </c>
      <c r="P827">
        <f>TEXT(B827,"yyyy-mm")</f>
        <v/>
      </c>
      <c r="Q827">
        <f>IF(O827&gt;=3000,"Large","Small")</f>
        <v/>
      </c>
      <c r="R827">
        <f>INDEX(Products!$F$2:$F$49,MATCH(J827,Products!$A$2:$A$49,0))</f>
        <v/>
      </c>
      <c r="S827">
        <f>WEEKDAY(B827,2)</f>
        <v/>
      </c>
    </row>
    <row r="828">
      <c r="A828" t="n">
        <v>509745</v>
      </c>
      <c r="B828" s="6" t="n">
        <v>45941</v>
      </c>
      <c r="C828" t="n">
        <v>16569</v>
      </c>
      <c r="D828" t="inlineStr">
        <is>
          <t>Pune</t>
        </is>
      </c>
      <c r="E828" t="inlineStr">
        <is>
          <t>West</t>
        </is>
      </c>
      <c r="F828" t="inlineStr">
        <is>
          <t>Email</t>
        </is>
      </c>
      <c r="G828" t="inlineStr">
        <is>
          <t>Mobile Web</t>
        </is>
      </c>
      <c r="H828" t="inlineStr">
        <is>
          <t>UPI</t>
        </is>
      </c>
      <c r="I828" t="inlineStr">
        <is>
          <t>Delivered</t>
        </is>
      </c>
      <c r="J828" t="n">
        <v>129</v>
      </c>
      <c r="K828" t="n">
        <v>1</v>
      </c>
      <c r="L828" t="n">
        <v>576</v>
      </c>
      <c r="M828" t="n">
        <v>57.6</v>
      </c>
      <c r="N828">
        <f>VLOOKUP(J828,Products!$A$2:$C$49,3,FALSE)</f>
        <v/>
      </c>
      <c r="O828">
        <f>K828*L828-M828</f>
        <v/>
      </c>
      <c r="P828">
        <f>TEXT(B828,"yyyy-mm")</f>
        <v/>
      </c>
      <c r="Q828">
        <f>IF(O828&gt;=3000,"Large","Small")</f>
        <v/>
      </c>
      <c r="R828">
        <f>INDEX(Products!$F$2:$F$49,MATCH(J828,Products!$A$2:$A$49,0))</f>
        <v/>
      </c>
      <c r="S828">
        <f>WEEKDAY(B828,2)</f>
        <v/>
      </c>
    </row>
    <row r="829">
      <c r="A829" t="n">
        <v>509746</v>
      </c>
      <c r="B829" s="6" t="n">
        <v>45941</v>
      </c>
      <c r="C829" t="n">
        <v>16422</v>
      </c>
      <c r="D829" t="inlineStr">
        <is>
          <t>Gurugram</t>
        </is>
      </c>
      <c r="E829" t="inlineStr">
        <is>
          <t>North</t>
        </is>
      </c>
      <c r="F829" t="inlineStr">
        <is>
          <t>Paid Social</t>
        </is>
      </c>
      <c r="G829" t="inlineStr">
        <is>
          <t>Mobile App</t>
        </is>
      </c>
      <c r="H829" t="inlineStr">
        <is>
          <t>UPI</t>
        </is>
      </c>
      <c r="I829" t="inlineStr">
        <is>
          <t>Delivered</t>
        </is>
      </c>
      <c r="J829" t="n">
        <v>111</v>
      </c>
      <c r="K829" t="n">
        <v>1</v>
      </c>
      <c r="L829" t="n">
        <v>524</v>
      </c>
      <c r="M829" t="n">
        <v>52.4</v>
      </c>
      <c r="N829">
        <f>VLOOKUP(J829,Products!$A$2:$C$49,3,FALSE)</f>
        <v/>
      </c>
      <c r="O829">
        <f>K829*L829-M829</f>
        <v/>
      </c>
      <c r="P829">
        <f>TEXT(B829,"yyyy-mm")</f>
        <v/>
      </c>
      <c r="Q829">
        <f>IF(O829&gt;=3000,"Large","Small")</f>
        <v/>
      </c>
      <c r="R829">
        <f>INDEX(Products!$F$2:$F$49,MATCH(J829,Products!$A$2:$A$49,0))</f>
        <v/>
      </c>
      <c r="S829">
        <f>WEEKDAY(B829,2)</f>
        <v/>
      </c>
    </row>
    <row r="830">
      <c r="A830" t="n">
        <v>509746</v>
      </c>
      <c r="B830" s="6" t="n">
        <v>45941</v>
      </c>
      <c r="C830" t="n">
        <v>16422</v>
      </c>
      <c r="D830" t="inlineStr">
        <is>
          <t>Gurugram</t>
        </is>
      </c>
      <c r="E830" t="inlineStr">
        <is>
          <t>North</t>
        </is>
      </c>
      <c r="F830" t="inlineStr">
        <is>
          <t>Paid Social</t>
        </is>
      </c>
      <c r="G830" t="inlineStr">
        <is>
          <t>Mobile App</t>
        </is>
      </c>
      <c r="H830" t="inlineStr">
        <is>
          <t>UPI</t>
        </is>
      </c>
      <c r="I830" t="inlineStr">
        <is>
          <t>Delivered</t>
        </is>
      </c>
      <c r="J830" t="n">
        <v>129</v>
      </c>
      <c r="K830" t="n">
        <v>1</v>
      </c>
      <c r="L830" t="n">
        <v>576</v>
      </c>
      <c r="M830" t="n">
        <v>57.6</v>
      </c>
      <c r="N830">
        <f>VLOOKUP(J830,Products!$A$2:$C$49,3,FALSE)</f>
        <v/>
      </c>
      <c r="O830">
        <f>K830*L830-M830</f>
        <v/>
      </c>
      <c r="P830">
        <f>TEXT(B830,"yyyy-mm")</f>
        <v/>
      </c>
      <c r="Q830">
        <f>IF(O830&gt;=3000,"Large","Small")</f>
        <v/>
      </c>
      <c r="R830">
        <f>INDEX(Products!$F$2:$F$49,MATCH(J830,Products!$A$2:$A$49,0))</f>
        <v/>
      </c>
      <c r="S830">
        <f>WEEKDAY(B830,2)</f>
        <v/>
      </c>
    </row>
    <row r="831">
      <c r="A831" t="n">
        <v>509747</v>
      </c>
      <c r="B831" s="6" t="n">
        <v>45941</v>
      </c>
      <c r="C831" t="n">
        <v>16485</v>
      </c>
      <c r="D831" t="inlineStr">
        <is>
          <t>Chennai</t>
        </is>
      </c>
      <c r="E831" t="inlineStr">
        <is>
          <t>South</t>
        </is>
      </c>
      <c r="F831" t="inlineStr">
        <is>
          <t>Organic Search</t>
        </is>
      </c>
      <c r="G831" t="inlineStr">
        <is>
          <t>Mobile App</t>
        </is>
      </c>
      <c r="H831" t="inlineStr">
        <is>
          <t>Net Banking</t>
        </is>
      </c>
      <c r="I831" t="inlineStr">
        <is>
          <t>Delivered</t>
        </is>
      </c>
      <c r="J831" t="n">
        <v>103</v>
      </c>
      <c r="K831" t="n">
        <v>1</v>
      </c>
      <c r="L831" t="n">
        <v>2624</v>
      </c>
      <c r="M831" t="n">
        <v>262.4</v>
      </c>
      <c r="N831">
        <f>VLOOKUP(J831,Products!$A$2:$C$49,3,FALSE)</f>
        <v/>
      </c>
      <c r="O831">
        <f>K831*L831-M831</f>
        <v/>
      </c>
      <c r="P831">
        <f>TEXT(B831,"yyyy-mm")</f>
        <v/>
      </c>
      <c r="Q831">
        <f>IF(O831&gt;=3000,"Large","Small")</f>
        <v/>
      </c>
      <c r="R831">
        <f>INDEX(Products!$F$2:$F$49,MATCH(J831,Products!$A$2:$A$49,0))</f>
        <v/>
      </c>
      <c r="S831">
        <f>WEEKDAY(B831,2)</f>
        <v/>
      </c>
    </row>
    <row r="832">
      <c r="A832" t="n">
        <v>509748</v>
      </c>
      <c r="B832" s="6" t="n">
        <v>45941</v>
      </c>
      <c r="C832" t="n">
        <v>15538</v>
      </c>
      <c r="D832" t="inlineStr">
        <is>
          <t>Delhi</t>
        </is>
      </c>
      <c r="E832" t="inlineStr">
        <is>
          <t>North</t>
        </is>
      </c>
      <c r="F832" t="inlineStr">
        <is>
          <t>Referral</t>
        </is>
      </c>
      <c r="G832" t="inlineStr">
        <is>
          <t>Mobile App</t>
        </is>
      </c>
      <c r="H832" t="inlineStr">
        <is>
          <t>Credit Card</t>
        </is>
      </c>
      <c r="I832" t="inlineStr">
        <is>
          <t>Delivered</t>
        </is>
      </c>
      <c r="J832" t="n">
        <v>107</v>
      </c>
      <c r="K832" t="n">
        <v>1</v>
      </c>
      <c r="L832" t="n">
        <v>1259</v>
      </c>
      <c r="M832" t="n">
        <v>0</v>
      </c>
      <c r="N832">
        <f>VLOOKUP(J832,Products!$A$2:$C$49,3,FALSE)</f>
        <v/>
      </c>
      <c r="O832">
        <f>K832*L832-M832</f>
        <v/>
      </c>
      <c r="P832">
        <f>TEXT(B832,"yyyy-mm")</f>
        <v/>
      </c>
      <c r="Q832">
        <f>IF(O832&gt;=3000,"Large","Small")</f>
        <v/>
      </c>
      <c r="R832">
        <f>INDEX(Products!$F$2:$F$49,MATCH(J832,Products!$A$2:$A$49,0))</f>
        <v/>
      </c>
      <c r="S832">
        <f>WEEKDAY(B832,2)</f>
        <v/>
      </c>
    </row>
    <row r="833">
      <c r="A833" t="n">
        <v>509748</v>
      </c>
      <c r="B833" s="6" t="n">
        <v>45941</v>
      </c>
      <c r="C833" t="n">
        <v>15538</v>
      </c>
      <c r="D833" t="inlineStr">
        <is>
          <t>Delhi</t>
        </is>
      </c>
      <c r="E833" t="inlineStr">
        <is>
          <t>North</t>
        </is>
      </c>
      <c r="F833" t="inlineStr">
        <is>
          <t>Referral</t>
        </is>
      </c>
      <c r="G833" t="inlineStr">
        <is>
          <t>Mobile App</t>
        </is>
      </c>
      <c r="H833" t="inlineStr">
        <is>
          <t>Credit Card</t>
        </is>
      </c>
      <c r="I833" t="inlineStr">
        <is>
          <t>Delivered</t>
        </is>
      </c>
      <c r="J833" t="n">
        <v>129</v>
      </c>
      <c r="K833" t="n">
        <v>1</v>
      </c>
      <c r="L833" t="n">
        <v>576</v>
      </c>
      <c r="M833" t="n">
        <v>0</v>
      </c>
      <c r="N833">
        <f>VLOOKUP(J833,Products!$A$2:$C$49,3,FALSE)</f>
        <v/>
      </c>
      <c r="O833">
        <f>K833*L833-M833</f>
        <v/>
      </c>
      <c r="P833">
        <f>TEXT(B833,"yyyy-mm")</f>
        <v/>
      </c>
      <c r="Q833">
        <f>IF(O833&gt;=3000,"Large","Small")</f>
        <v/>
      </c>
      <c r="R833">
        <f>INDEX(Products!$F$2:$F$49,MATCH(J833,Products!$A$2:$A$49,0))</f>
        <v/>
      </c>
      <c r="S833">
        <f>WEEKDAY(B833,2)</f>
        <v/>
      </c>
    </row>
    <row r="834">
      <c r="A834" t="n">
        <v>509749</v>
      </c>
      <c r="B834" s="6" t="n">
        <v>45941</v>
      </c>
      <c r="C834" t="n">
        <v>16530</v>
      </c>
      <c r="D834" t="inlineStr">
        <is>
          <t>Kolkata</t>
        </is>
      </c>
      <c r="E834" t="inlineStr">
        <is>
          <t>East</t>
        </is>
      </c>
      <c r="F834" t="inlineStr">
        <is>
          <t>Paid Social</t>
        </is>
      </c>
      <c r="G834" t="inlineStr">
        <is>
          <t>Desktop</t>
        </is>
      </c>
      <c r="H834" t="inlineStr">
        <is>
          <t>Cash on Delivery</t>
        </is>
      </c>
      <c r="I834" t="inlineStr">
        <is>
          <t>Delivered</t>
        </is>
      </c>
      <c r="J834" t="n">
        <v>114</v>
      </c>
      <c r="K834" t="n">
        <v>1</v>
      </c>
      <c r="L834" t="n">
        <v>1259</v>
      </c>
      <c r="M834" t="n">
        <v>125.9</v>
      </c>
      <c r="N834">
        <f>VLOOKUP(J834,Products!$A$2:$C$49,3,FALSE)</f>
        <v/>
      </c>
      <c r="O834">
        <f>K834*L834-M834</f>
        <v/>
      </c>
      <c r="P834">
        <f>TEXT(B834,"yyyy-mm")</f>
        <v/>
      </c>
      <c r="Q834">
        <f>IF(O834&gt;=3000,"Large","Small")</f>
        <v/>
      </c>
      <c r="R834">
        <f>INDEX(Products!$F$2:$F$49,MATCH(J834,Products!$A$2:$A$49,0))</f>
        <v/>
      </c>
      <c r="S834">
        <f>WEEKDAY(B834,2)</f>
        <v/>
      </c>
    </row>
    <row r="835">
      <c r="A835" t="n">
        <v>509750</v>
      </c>
      <c r="B835" s="6" t="n">
        <v>45941</v>
      </c>
      <c r="C835" t="n">
        <v>16439</v>
      </c>
      <c r="D835" t="inlineStr">
        <is>
          <t>Kolkata</t>
        </is>
      </c>
      <c r="E835" t="inlineStr">
        <is>
          <t>East</t>
        </is>
      </c>
      <c r="F835" t="inlineStr">
        <is>
          <t>Organic Search</t>
        </is>
      </c>
      <c r="G835" t="inlineStr">
        <is>
          <t>Mobile Web</t>
        </is>
      </c>
      <c r="H835" t="inlineStr">
        <is>
          <t>UPI</t>
        </is>
      </c>
      <c r="I835" t="inlineStr">
        <is>
          <t>Delivered</t>
        </is>
      </c>
      <c r="J835" t="n">
        <v>120</v>
      </c>
      <c r="K835" t="n">
        <v>1</v>
      </c>
      <c r="L835" t="n">
        <v>734</v>
      </c>
      <c r="M835" t="n">
        <v>0</v>
      </c>
      <c r="N835">
        <f>VLOOKUP(J835,Products!$A$2:$C$49,3,FALSE)</f>
        <v/>
      </c>
      <c r="O835">
        <f>K835*L835-M835</f>
        <v/>
      </c>
      <c r="P835">
        <f>TEXT(B835,"yyyy-mm")</f>
        <v/>
      </c>
      <c r="Q835">
        <f>IF(O835&gt;=3000,"Large","Small")</f>
        <v/>
      </c>
      <c r="R835">
        <f>INDEX(Products!$F$2:$F$49,MATCH(J835,Products!$A$2:$A$49,0))</f>
        <v/>
      </c>
      <c r="S835">
        <f>WEEKDAY(B835,2)</f>
        <v/>
      </c>
    </row>
    <row r="836">
      <c r="A836" t="n">
        <v>509751</v>
      </c>
      <c r="B836" s="6" t="n">
        <v>45941</v>
      </c>
      <c r="C836" t="n">
        <v>16696</v>
      </c>
      <c r="D836" t="inlineStr">
        <is>
          <t>Kolkata</t>
        </is>
      </c>
      <c r="E836" t="inlineStr">
        <is>
          <t>East</t>
        </is>
      </c>
      <c r="F836" t="inlineStr">
        <is>
          <t>Affiliate</t>
        </is>
      </c>
      <c r="G836" t="inlineStr">
        <is>
          <t>Mobile Web</t>
        </is>
      </c>
      <c r="H836" t="inlineStr">
        <is>
          <t>UPI</t>
        </is>
      </c>
      <c r="I836" t="inlineStr">
        <is>
          <t>Delivered</t>
        </is>
      </c>
      <c r="J836" t="n">
        <v>125</v>
      </c>
      <c r="K836" t="n">
        <v>1</v>
      </c>
      <c r="L836" t="n">
        <v>1364</v>
      </c>
      <c r="M836" t="n">
        <v>136.4</v>
      </c>
      <c r="N836">
        <f>VLOOKUP(J836,Products!$A$2:$C$49,3,FALSE)</f>
        <v/>
      </c>
      <c r="O836">
        <f>K836*L836-M836</f>
        <v/>
      </c>
      <c r="P836">
        <f>TEXT(B836,"yyyy-mm")</f>
        <v/>
      </c>
      <c r="Q836">
        <f>IF(O836&gt;=3000,"Large","Small")</f>
        <v/>
      </c>
      <c r="R836">
        <f>INDEX(Products!$F$2:$F$49,MATCH(J836,Products!$A$2:$A$49,0))</f>
        <v/>
      </c>
      <c r="S836">
        <f>WEEKDAY(B836,2)</f>
        <v/>
      </c>
    </row>
    <row r="837">
      <c r="A837" t="n">
        <v>509751</v>
      </c>
      <c r="B837" s="6" t="n">
        <v>45941</v>
      </c>
      <c r="C837" t="n">
        <v>16696</v>
      </c>
      <c r="D837" t="inlineStr">
        <is>
          <t>Kolkata</t>
        </is>
      </c>
      <c r="E837" t="inlineStr">
        <is>
          <t>East</t>
        </is>
      </c>
      <c r="F837" t="inlineStr">
        <is>
          <t>Affiliate</t>
        </is>
      </c>
      <c r="G837" t="inlineStr">
        <is>
          <t>Mobile Web</t>
        </is>
      </c>
      <c r="H837" t="inlineStr">
        <is>
          <t>UPI</t>
        </is>
      </c>
      <c r="I837" t="inlineStr">
        <is>
          <t>Delivered</t>
        </is>
      </c>
      <c r="J837" t="n">
        <v>129</v>
      </c>
      <c r="K837" t="n">
        <v>2</v>
      </c>
      <c r="L837" t="n">
        <v>576</v>
      </c>
      <c r="M837" t="n">
        <v>115.2</v>
      </c>
      <c r="N837">
        <f>VLOOKUP(J837,Products!$A$2:$C$49,3,FALSE)</f>
        <v/>
      </c>
      <c r="O837">
        <f>K837*L837-M837</f>
        <v/>
      </c>
      <c r="P837">
        <f>TEXT(B837,"yyyy-mm")</f>
        <v/>
      </c>
      <c r="Q837">
        <f>IF(O837&gt;=3000,"Large","Small")</f>
        <v/>
      </c>
      <c r="R837">
        <f>INDEX(Products!$F$2:$F$49,MATCH(J837,Products!$A$2:$A$49,0))</f>
        <v/>
      </c>
      <c r="S837">
        <f>WEEKDAY(B837,2)</f>
        <v/>
      </c>
    </row>
    <row r="838">
      <c r="A838" t="n">
        <v>509752</v>
      </c>
      <c r="B838" s="6" t="n">
        <v>45941</v>
      </c>
      <c r="C838" t="n">
        <v>16740</v>
      </c>
      <c r="D838" t="inlineStr">
        <is>
          <t>Bengaluru</t>
        </is>
      </c>
      <c r="E838" t="inlineStr">
        <is>
          <t>South</t>
        </is>
      </c>
      <c r="F838" t="inlineStr">
        <is>
          <t>Paid Search</t>
        </is>
      </c>
      <c r="G838" t="inlineStr">
        <is>
          <t>Mobile App</t>
        </is>
      </c>
      <c r="H838" t="inlineStr">
        <is>
          <t>Credit Card</t>
        </is>
      </c>
      <c r="I838" t="inlineStr">
        <is>
          <t>Delivered</t>
        </is>
      </c>
      <c r="J838" t="n">
        <v>102</v>
      </c>
      <c r="K838" t="n">
        <v>1</v>
      </c>
      <c r="L838" t="n">
        <v>3674</v>
      </c>
      <c r="M838" t="n">
        <v>0</v>
      </c>
      <c r="N838">
        <f>VLOOKUP(J838,Products!$A$2:$C$49,3,FALSE)</f>
        <v/>
      </c>
      <c r="O838">
        <f>K838*L838-M838</f>
        <v/>
      </c>
      <c r="P838">
        <f>TEXT(B838,"yyyy-mm")</f>
        <v/>
      </c>
      <c r="Q838">
        <f>IF(O838&gt;=3000,"Large","Small")</f>
        <v/>
      </c>
      <c r="R838">
        <f>INDEX(Products!$F$2:$F$49,MATCH(J838,Products!$A$2:$A$49,0))</f>
        <v/>
      </c>
      <c r="S838">
        <f>WEEKDAY(B838,2)</f>
        <v/>
      </c>
    </row>
    <row r="839">
      <c r="A839" t="n">
        <v>509753</v>
      </c>
      <c r="B839" s="6" t="n">
        <v>45941</v>
      </c>
      <c r="C839" t="n">
        <v>15110</v>
      </c>
      <c r="D839" t="inlineStr">
        <is>
          <t>Gurugram</t>
        </is>
      </c>
      <c r="E839" t="inlineStr">
        <is>
          <t>North</t>
        </is>
      </c>
      <c r="F839" t="inlineStr">
        <is>
          <t>Organic Search</t>
        </is>
      </c>
      <c r="G839" t="inlineStr">
        <is>
          <t>Desktop</t>
        </is>
      </c>
      <c r="H839" t="inlineStr">
        <is>
          <t>Credit Card</t>
        </is>
      </c>
      <c r="I839" t="inlineStr">
        <is>
          <t>Cancelled</t>
        </is>
      </c>
      <c r="J839" t="n">
        <v>131</v>
      </c>
      <c r="K839" t="n">
        <v>1</v>
      </c>
      <c r="L839" t="n">
        <v>314</v>
      </c>
      <c r="M839" t="n">
        <v>31.4</v>
      </c>
      <c r="N839">
        <f>VLOOKUP(J839,Products!$A$2:$C$49,3,FALSE)</f>
        <v/>
      </c>
      <c r="O839">
        <f>K839*L839-M839</f>
        <v/>
      </c>
      <c r="P839">
        <f>TEXT(B839,"yyyy-mm")</f>
        <v/>
      </c>
      <c r="Q839">
        <f>IF(O839&gt;=3000,"Large","Small")</f>
        <v/>
      </c>
      <c r="R839">
        <f>INDEX(Products!$F$2:$F$49,MATCH(J839,Products!$A$2:$A$49,0))</f>
        <v/>
      </c>
      <c r="S839">
        <f>WEEKDAY(B839,2)</f>
        <v/>
      </c>
    </row>
    <row r="840">
      <c r="A840" t="n">
        <v>509753</v>
      </c>
      <c r="B840" s="6" t="n">
        <v>45941</v>
      </c>
      <c r="C840" t="n">
        <v>15110</v>
      </c>
      <c r="D840" t="inlineStr">
        <is>
          <t>Gurugram</t>
        </is>
      </c>
      <c r="E840" t="inlineStr">
        <is>
          <t>North</t>
        </is>
      </c>
      <c r="F840" t="inlineStr">
        <is>
          <t>Organic Search</t>
        </is>
      </c>
      <c r="G840" t="inlineStr">
        <is>
          <t>Desktop</t>
        </is>
      </c>
      <c r="H840" t="inlineStr">
        <is>
          <t>Credit Card</t>
        </is>
      </c>
      <c r="I840" t="inlineStr">
        <is>
          <t>Cancelled</t>
        </is>
      </c>
      <c r="J840" t="n">
        <v>130</v>
      </c>
      <c r="K840" t="n">
        <v>1</v>
      </c>
      <c r="L840" t="n">
        <v>734</v>
      </c>
      <c r="M840" t="n">
        <v>73.40000000000001</v>
      </c>
      <c r="N840">
        <f>VLOOKUP(J840,Products!$A$2:$C$49,3,FALSE)</f>
        <v/>
      </c>
      <c r="O840">
        <f>K840*L840-M840</f>
        <v/>
      </c>
      <c r="P840">
        <f>TEXT(B840,"yyyy-mm")</f>
        <v/>
      </c>
      <c r="Q840">
        <f>IF(O840&gt;=3000,"Large","Small")</f>
        <v/>
      </c>
      <c r="R840">
        <f>INDEX(Products!$F$2:$F$49,MATCH(J840,Products!$A$2:$A$49,0))</f>
        <v/>
      </c>
      <c r="S840">
        <f>WEEKDAY(B840,2)</f>
        <v/>
      </c>
    </row>
    <row r="841">
      <c r="A841" t="n">
        <v>509753</v>
      </c>
      <c r="B841" s="6" t="n">
        <v>45941</v>
      </c>
      <c r="C841" t="n">
        <v>15110</v>
      </c>
      <c r="D841" t="inlineStr">
        <is>
          <t>Gurugram</t>
        </is>
      </c>
      <c r="E841" t="inlineStr">
        <is>
          <t>North</t>
        </is>
      </c>
      <c r="F841" t="inlineStr">
        <is>
          <t>Organic Search</t>
        </is>
      </c>
      <c r="G841" t="inlineStr">
        <is>
          <t>Desktop</t>
        </is>
      </c>
      <c r="H841" t="inlineStr">
        <is>
          <t>Credit Card</t>
        </is>
      </c>
      <c r="I841" t="inlineStr">
        <is>
          <t>Cancelled</t>
        </is>
      </c>
      <c r="J841" t="n">
        <v>103</v>
      </c>
      <c r="K841" t="n">
        <v>1</v>
      </c>
      <c r="L841" t="n">
        <v>2624</v>
      </c>
      <c r="M841" t="n">
        <v>262.4</v>
      </c>
      <c r="N841">
        <f>VLOOKUP(J841,Products!$A$2:$C$49,3,FALSE)</f>
        <v/>
      </c>
      <c r="O841">
        <f>K841*L841-M841</f>
        <v/>
      </c>
      <c r="P841">
        <f>TEXT(B841,"yyyy-mm")</f>
        <v/>
      </c>
      <c r="Q841">
        <f>IF(O841&gt;=3000,"Large","Small")</f>
        <v/>
      </c>
      <c r="R841">
        <f>INDEX(Products!$F$2:$F$49,MATCH(J841,Products!$A$2:$A$49,0))</f>
        <v/>
      </c>
      <c r="S841">
        <f>WEEKDAY(B841,2)</f>
        <v/>
      </c>
    </row>
    <row r="842">
      <c r="A842" t="n">
        <v>509753</v>
      </c>
      <c r="B842" s="6" t="n">
        <v>45941</v>
      </c>
      <c r="C842" t="n">
        <v>15110</v>
      </c>
      <c r="D842" t="inlineStr">
        <is>
          <t>Gurugram</t>
        </is>
      </c>
      <c r="E842" t="inlineStr">
        <is>
          <t>North</t>
        </is>
      </c>
      <c r="F842" t="inlineStr">
        <is>
          <t>Organic Search</t>
        </is>
      </c>
      <c r="G842" t="inlineStr">
        <is>
          <t>Desktop</t>
        </is>
      </c>
      <c r="H842" t="inlineStr">
        <is>
          <t>Credit Card</t>
        </is>
      </c>
      <c r="I842" t="inlineStr">
        <is>
          <t>Cancelled</t>
        </is>
      </c>
      <c r="J842" t="n">
        <v>129</v>
      </c>
      <c r="K842" t="n">
        <v>1</v>
      </c>
      <c r="L842" t="n">
        <v>576</v>
      </c>
      <c r="M842" t="n">
        <v>57.6</v>
      </c>
      <c r="N842">
        <f>VLOOKUP(J842,Products!$A$2:$C$49,3,FALSE)</f>
        <v/>
      </c>
      <c r="O842">
        <f>K842*L842-M842</f>
        <v/>
      </c>
      <c r="P842">
        <f>TEXT(B842,"yyyy-mm")</f>
        <v/>
      </c>
      <c r="Q842">
        <f>IF(O842&gt;=3000,"Large","Small")</f>
        <v/>
      </c>
      <c r="R842">
        <f>INDEX(Products!$F$2:$F$49,MATCH(J842,Products!$A$2:$A$49,0))</f>
        <v/>
      </c>
      <c r="S842">
        <f>WEEKDAY(B842,2)</f>
        <v/>
      </c>
    </row>
    <row r="843">
      <c r="A843" t="n">
        <v>509754</v>
      </c>
      <c r="B843" s="6" t="n">
        <v>45941</v>
      </c>
      <c r="C843" t="n">
        <v>15481</v>
      </c>
      <c r="D843" t="inlineStr">
        <is>
          <t>Hyderabad</t>
        </is>
      </c>
      <c r="E843" t="inlineStr">
        <is>
          <t>South</t>
        </is>
      </c>
      <c r="F843" t="inlineStr">
        <is>
          <t>Referral</t>
        </is>
      </c>
      <c r="G843" t="inlineStr">
        <is>
          <t>Mobile Web</t>
        </is>
      </c>
      <c r="H843" t="inlineStr">
        <is>
          <t>UPI</t>
        </is>
      </c>
      <c r="I843" t="inlineStr">
        <is>
          <t>Delivered</t>
        </is>
      </c>
      <c r="J843" t="n">
        <v>107</v>
      </c>
      <c r="K843" t="n">
        <v>2</v>
      </c>
      <c r="L843" t="n">
        <v>1259</v>
      </c>
      <c r="M843" t="n">
        <v>251.8</v>
      </c>
      <c r="N843">
        <f>VLOOKUP(J843,Products!$A$2:$C$49,3,FALSE)</f>
        <v/>
      </c>
      <c r="O843">
        <f>K843*L843-M843</f>
        <v/>
      </c>
      <c r="P843">
        <f>TEXT(B843,"yyyy-mm")</f>
        <v/>
      </c>
      <c r="Q843">
        <f>IF(O843&gt;=3000,"Large","Small")</f>
        <v/>
      </c>
      <c r="R843">
        <f>INDEX(Products!$F$2:$F$49,MATCH(J843,Products!$A$2:$A$49,0))</f>
        <v/>
      </c>
      <c r="S843">
        <f>WEEKDAY(B843,2)</f>
        <v/>
      </c>
    </row>
    <row r="844">
      <c r="A844" t="n">
        <v>509755</v>
      </c>
      <c r="B844" s="6" t="n">
        <v>45941</v>
      </c>
      <c r="C844" t="n">
        <v>16752</v>
      </c>
      <c r="D844" t="inlineStr">
        <is>
          <t>Indore</t>
        </is>
      </c>
      <c r="E844" t="inlineStr">
        <is>
          <t>West</t>
        </is>
      </c>
      <c r="F844" t="inlineStr">
        <is>
          <t>Organic Search</t>
        </is>
      </c>
      <c r="G844" t="inlineStr">
        <is>
          <t>Mobile App</t>
        </is>
      </c>
      <c r="H844" t="inlineStr">
        <is>
          <t>Cash on Delivery</t>
        </is>
      </c>
      <c r="I844" t="inlineStr">
        <is>
          <t>Cancelled</t>
        </is>
      </c>
      <c r="J844" t="n">
        <v>108</v>
      </c>
      <c r="K844" t="n">
        <v>3</v>
      </c>
      <c r="L844" t="n">
        <v>419</v>
      </c>
      <c r="M844" t="n">
        <v>188.55</v>
      </c>
      <c r="N844">
        <f>VLOOKUP(J844,Products!$A$2:$C$49,3,FALSE)</f>
        <v/>
      </c>
      <c r="O844">
        <f>K844*L844-M844</f>
        <v/>
      </c>
      <c r="P844">
        <f>TEXT(B844,"yyyy-mm")</f>
        <v/>
      </c>
      <c r="Q844">
        <f>IF(O844&gt;=3000,"Large","Small")</f>
        <v/>
      </c>
      <c r="R844">
        <f>INDEX(Products!$F$2:$F$49,MATCH(J844,Products!$A$2:$A$49,0))</f>
        <v/>
      </c>
      <c r="S844">
        <f>WEEKDAY(B844,2)</f>
        <v/>
      </c>
    </row>
    <row r="845">
      <c r="A845" t="n">
        <v>509756</v>
      </c>
      <c r="B845" s="6" t="n">
        <v>45941</v>
      </c>
      <c r="C845" t="n">
        <v>16640</v>
      </c>
      <c r="D845" t="inlineStr">
        <is>
          <t>Kolkata</t>
        </is>
      </c>
      <c r="E845" t="inlineStr">
        <is>
          <t>East</t>
        </is>
      </c>
      <c r="F845" t="inlineStr">
        <is>
          <t>Paid Social</t>
        </is>
      </c>
      <c r="G845" t="inlineStr">
        <is>
          <t>Mobile App</t>
        </is>
      </c>
      <c r="H845" t="inlineStr">
        <is>
          <t>Credit Card</t>
        </is>
      </c>
      <c r="I845" t="inlineStr">
        <is>
          <t>Delivered</t>
        </is>
      </c>
      <c r="J845" t="n">
        <v>115</v>
      </c>
      <c r="K845" t="n">
        <v>1</v>
      </c>
      <c r="L845" t="n">
        <v>4199</v>
      </c>
      <c r="M845" t="n">
        <v>629.85</v>
      </c>
      <c r="N845">
        <f>VLOOKUP(J845,Products!$A$2:$C$49,3,FALSE)</f>
        <v/>
      </c>
      <c r="O845">
        <f>K845*L845-M845</f>
        <v/>
      </c>
      <c r="P845">
        <f>TEXT(B845,"yyyy-mm")</f>
        <v/>
      </c>
      <c r="Q845">
        <f>IF(O845&gt;=3000,"Large","Small")</f>
        <v/>
      </c>
      <c r="R845">
        <f>INDEX(Products!$F$2:$F$49,MATCH(J845,Products!$A$2:$A$49,0))</f>
        <v/>
      </c>
      <c r="S845">
        <f>WEEKDAY(B845,2)</f>
        <v/>
      </c>
    </row>
    <row r="846">
      <c r="A846" t="n">
        <v>509757</v>
      </c>
      <c r="B846" s="6" t="n">
        <v>45941</v>
      </c>
      <c r="C846" t="n">
        <v>15260</v>
      </c>
      <c r="D846" t="inlineStr">
        <is>
          <t>Bengaluru</t>
        </is>
      </c>
      <c r="E846" t="inlineStr">
        <is>
          <t>South</t>
        </is>
      </c>
      <c r="F846" t="inlineStr">
        <is>
          <t>Organic Search</t>
        </is>
      </c>
      <c r="G846" t="inlineStr">
        <is>
          <t>Mobile App</t>
        </is>
      </c>
      <c r="H846" t="inlineStr">
        <is>
          <t>Cash on Delivery</t>
        </is>
      </c>
      <c r="I846" t="inlineStr">
        <is>
          <t>Delivered</t>
        </is>
      </c>
      <c r="J846" t="n">
        <v>137</v>
      </c>
      <c r="K846" t="n">
        <v>1</v>
      </c>
      <c r="L846" t="n">
        <v>261</v>
      </c>
      <c r="M846" t="n">
        <v>26.1</v>
      </c>
      <c r="N846">
        <f>VLOOKUP(J846,Products!$A$2:$C$49,3,FALSE)</f>
        <v/>
      </c>
      <c r="O846">
        <f>K846*L846-M846</f>
        <v/>
      </c>
      <c r="P846">
        <f>TEXT(B846,"yyyy-mm")</f>
        <v/>
      </c>
      <c r="Q846">
        <f>IF(O846&gt;=3000,"Large","Small")</f>
        <v/>
      </c>
      <c r="R846">
        <f>INDEX(Products!$F$2:$F$49,MATCH(J846,Products!$A$2:$A$49,0))</f>
        <v/>
      </c>
      <c r="S846">
        <f>WEEKDAY(B846,2)</f>
        <v/>
      </c>
    </row>
    <row r="847">
      <c r="A847" t="n">
        <v>509758</v>
      </c>
      <c r="B847" s="6" t="n">
        <v>45941</v>
      </c>
      <c r="C847" t="n">
        <v>16643</v>
      </c>
      <c r="D847" t="inlineStr">
        <is>
          <t>Delhi</t>
        </is>
      </c>
      <c r="E847" t="inlineStr">
        <is>
          <t>North</t>
        </is>
      </c>
      <c r="F847" t="inlineStr">
        <is>
          <t>Referral</t>
        </is>
      </c>
      <c r="G847" t="inlineStr">
        <is>
          <t>Mobile App</t>
        </is>
      </c>
      <c r="H847" t="inlineStr">
        <is>
          <t>Credit Card</t>
        </is>
      </c>
      <c r="I847" t="inlineStr">
        <is>
          <t>Delivered</t>
        </is>
      </c>
      <c r="J847" t="n">
        <v>131</v>
      </c>
      <c r="K847" t="n">
        <v>1</v>
      </c>
      <c r="L847" t="n">
        <v>314</v>
      </c>
      <c r="M847" t="n">
        <v>47.1</v>
      </c>
      <c r="N847">
        <f>VLOOKUP(J847,Products!$A$2:$C$49,3,FALSE)</f>
        <v/>
      </c>
      <c r="O847">
        <f>K847*L847-M847</f>
        <v/>
      </c>
      <c r="P847">
        <f>TEXT(B847,"yyyy-mm")</f>
        <v/>
      </c>
      <c r="Q847">
        <f>IF(O847&gt;=3000,"Large","Small")</f>
        <v/>
      </c>
      <c r="R847">
        <f>INDEX(Products!$F$2:$F$49,MATCH(J847,Products!$A$2:$A$49,0))</f>
        <v/>
      </c>
      <c r="S847">
        <f>WEEKDAY(B847,2)</f>
        <v/>
      </c>
    </row>
    <row r="848">
      <c r="A848" t="n">
        <v>509758</v>
      </c>
      <c r="B848" s="6" t="n">
        <v>45941</v>
      </c>
      <c r="C848" t="n">
        <v>16643</v>
      </c>
      <c r="D848" t="inlineStr">
        <is>
          <t>Delhi</t>
        </is>
      </c>
      <c r="E848" t="inlineStr">
        <is>
          <t>North</t>
        </is>
      </c>
      <c r="F848" t="inlineStr">
        <is>
          <t>Referral</t>
        </is>
      </c>
      <c r="G848" t="inlineStr">
        <is>
          <t>Mobile App</t>
        </is>
      </c>
      <c r="H848" t="inlineStr">
        <is>
          <t>Credit Card</t>
        </is>
      </c>
      <c r="I848" t="inlineStr">
        <is>
          <t>Delivered</t>
        </is>
      </c>
      <c r="J848" t="n">
        <v>129</v>
      </c>
      <c r="K848" t="n">
        <v>1</v>
      </c>
      <c r="L848" t="n">
        <v>576</v>
      </c>
      <c r="M848" t="n">
        <v>86.40000000000001</v>
      </c>
      <c r="N848">
        <f>VLOOKUP(J848,Products!$A$2:$C$49,3,FALSE)</f>
        <v/>
      </c>
      <c r="O848">
        <f>K848*L848-M848</f>
        <v/>
      </c>
      <c r="P848">
        <f>TEXT(B848,"yyyy-mm")</f>
        <v/>
      </c>
      <c r="Q848">
        <f>IF(O848&gt;=3000,"Large","Small")</f>
        <v/>
      </c>
      <c r="R848">
        <f>INDEX(Products!$F$2:$F$49,MATCH(J848,Products!$A$2:$A$49,0))</f>
        <v/>
      </c>
      <c r="S848">
        <f>WEEKDAY(B848,2)</f>
        <v/>
      </c>
    </row>
    <row r="849">
      <c r="A849" t="n">
        <v>509759</v>
      </c>
      <c r="B849" s="6" t="n">
        <v>45941</v>
      </c>
      <c r="C849" t="n">
        <v>12282</v>
      </c>
      <c r="D849" t="inlineStr">
        <is>
          <t>Chandigarh</t>
        </is>
      </c>
      <c r="E849" t="inlineStr">
        <is>
          <t>North</t>
        </is>
      </c>
      <c r="F849" t="inlineStr">
        <is>
          <t>Email</t>
        </is>
      </c>
      <c r="G849" t="inlineStr">
        <is>
          <t>Desktop</t>
        </is>
      </c>
      <c r="H849" t="inlineStr">
        <is>
          <t>UPI</t>
        </is>
      </c>
      <c r="I849" t="inlineStr">
        <is>
          <t>Delivered</t>
        </is>
      </c>
      <c r="J849" t="n">
        <v>105</v>
      </c>
      <c r="K849" t="n">
        <v>2</v>
      </c>
      <c r="L849" t="n">
        <v>2414</v>
      </c>
      <c r="M849" t="n">
        <v>482.8</v>
      </c>
      <c r="N849">
        <f>VLOOKUP(J849,Products!$A$2:$C$49,3,FALSE)</f>
        <v/>
      </c>
      <c r="O849">
        <f>K849*L849-M849</f>
        <v/>
      </c>
      <c r="P849">
        <f>TEXT(B849,"yyyy-mm")</f>
        <v/>
      </c>
      <c r="Q849">
        <f>IF(O849&gt;=3000,"Large","Small")</f>
        <v/>
      </c>
      <c r="R849">
        <f>INDEX(Products!$F$2:$F$49,MATCH(J849,Products!$A$2:$A$49,0))</f>
        <v/>
      </c>
      <c r="S849">
        <f>WEEKDAY(B849,2)</f>
        <v/>
      </c>
    </row>
    <row r="850">
      <c r="A850" t="n">
        <v>509759</v>
      </c>
      <c r="B850" s="6" t="n">
        <v>45941</v>
      </c>
      <c r="C850" t="n">
        <v>12282</v>
      </c>
      <c r="D850" t="inlineStr">
        <is>
          <t>Chandigarh</t>
        </is>
      </c>
      <c r="E850" t="inlineStr">
        <is>
          <t>North</t>
        </is>
      </c>
      <c r="F850" t="inlineStr">
        <is>
          <t>Email</t>
        </is>
      </c>
      <c r="G850" t="inlineStr">
        <is>
          <t>Desktop</t>
        </is>
      </c>
      <c r="H850" t="inlineStr">
        <is>
          <t>UPI</t>
        </is>
      </c>
      <c r="I850" t="inlineStr">
        <is>
          <t>Delivered</t>
        </is>
      </c>
      <c r="J850" t="n">
        <v>129</v>
      </c>
      <c r="K850" t="n">
        <v>1</v>
      </c>
      <c r="L850" t="n">
        <v>576</v>
      </c>
      <c r="M850" t="n">
        <v>57.6</v>
      </c>
      <c r="N850">
        <f>VLOOKUP(J850,Products!$A$2:$C$49,3,FALSE)</f>
        <v/>
      </c>
      <c r="O850">
        <f>K850*L850-M850</f>
        <v/>
      </c>
      <c r="P850">
        <f>TEXT(B850,"yyyy-mm")</f>
        <v/>
      </c>
      <c r="Q850">
        <f>IF(O850&gt;=3000,"Large","Small")</f>
        <v/>
      </c>
      <c r="R850">
        <f>INDEX(Products!$F$2:$F$49,MATCH(J850,Products!$A$2:$A$49,0))</f>
        <v/>
      </c>
      <c r="S850">
        <f>WEEKDAY(B850,2)</f>
        <v/>
      </c>
    </row>
    <row r="851">
      <c r="A851" t="n">
        <v>509760</v>
      </c>
      <c r="B851" s="6" t="n">
        <v>45941</v>
      </c>
      <c r="C851" t="n">
        <v>16515</v>
      </c>
      <c r="D851" t="inlineStr">
        <is>
          <t>Bengaluru</t>
        </is>
      </c>
      <c r="E851" t="inlineStr">
        <is>
          <t>South</t>
        </is>
      </c>
      <c r="F851" t="inlineStr">
        <is>
          <t>Paid Search</t>
        </is>
      </c>
      <c r="G851" t="inlineStr">
        <is>
          <t>Desktop</t>
        </is>
      </c>
      <c r="H851" t="inlineStr">
        <is>
          <t>UPI</t>
        </is>
      </c>
      <c r="I851" t="inlineStr">
        <is>
          <t>Delivered</t>
        </is>
      </c>
      <c r="J851" t="n">
        <v>101</v>
      </c>
      <c r="K851" t="n">
        <v>2</v>
      </c>
      <c r="L851" t="n">
        <v>2099</v>
      </c>
      <c r="M851" t="n">
        <v>0</v>
      </c>
      <c r="N851">
        <f>VLOOKUP(J851,Products!$A$2:$C$49,3,FALSE)</f>
        <v/>
      </c>
      <c r="O851">
        <f>K851*L851-M851</f>
        <v/>
      </c>
      <c r="P851">
        <f>TEXT(B851,"yyyy-mm")</f>
        <v/>
      </c>
      <c r="Q851">
        <f>IF(O851&gt;=3000,"Large","Small")</f>
        <v/>
      </c>
      <c r="R851">
        <f>INDEX(Products!$F$2:$F$49,MATCH(J851,Products!$A$2:$A$49,0))</f>
        <v/>
      </c>
      <c r="S851">
        <f>WEEKDAY(B851,2)</f>
        <v/>
      </c>
    </row>
    <row r="852">
      <c r="A852" t="n">
        <v>509761</v>
      </c>
      <c r="B852" s="6" t="n">
        <v>45942</v>
      </c>
      <c r="C852" t="n">
        <v>14072</v>
      </c>
      <c r="D852" t="inlineStr">
        <is>
          <t>Ahmedabad</t>
        </is>
      </c>
      <c r="E852" t="inlineStr">
        <is>
          <t>West</t>
        </is>
      </c>
      <c r="F852" t="inlineStr">
        <is>
          <t>Paid Social</t>
        </is>
      </c>
      <c r="G852" t="inlineStr">
        <is>
          <t>Desktop</t>
        </is>
      </c>
      <c r="H852" t="inlineStr">
        <is>
          <t>Credit Card</t>
        </is>
      </c>
      <c r="I852" t="inlineStr">
        <is>
          <t>Delivered</t>
        </is>
      </c>
      <c r="J852" t="n">
        <v>113</v>
      </c>
      <c r="K852" t="n">
        <v>1</v>
      </c>
      <c r="L852" t="n">
        <v>1364</v>
      </c>
      <c r="M852" t="n">
        <v>0</v>
      </c>
      <c r="N852">
        <f>VLOOKUP(J852,Products!$A$2:$C$49,3,FALSE)</f>
        <v/>
      </c>
      <c r="O852">
        <f>K852*L852-M852</f>
        <v/>
      </c>
      <c r="P852">
        <f>TEXT(B852,"yyyy-mm")</f>
        <v/>
      </c>
      <c r="Q852">
        <f>IF(O852&gt;=3000,"Large","Small")</f>
        <v/>
      </c>
      <c r="R852">
        <f>INDEX(Products!$F$2:$F$49,MATCH(J852,Products!$A$2:$A$49,0))</f>
        <v/>
      </c>
      <c r="S852">
        <f>WEEKDAY(B852,2)</f>
        <v/>
      </c>
    </row>
    <row r="853">
      <c r="A853" t="n">
        <v>509762</v>
      </c>
      <c r="B853" s="6" t="n">
        <v>45942</v>
      </c>
      <c r="C853" t="n">
        <v>16521</v>
      </c>
      <c r="D853" t="inlineStr">
        <is>
          <t>Indore</t>
        </is>
      </c>
      <c r="E853" t="inlineStr">
        <is>
          <t>West</t>
        </is>
      </c>
      <c r="F853" t="inlineStr">
        <is>
          <t>Paid Search</t>
        </is>
      </c>
      <c r="G853" t="inlineStr">
        <is>
          <t>Desktop</t>
        </is>
      </c>
      <c r="H853" t="inlineStr">
        <is>
          <t>Debit Card</t>
        </is>
      </c>
      <c r="I853" t="inlineStr">
        <is>
          <t>Delivered</t>
        </is>
      </c>
      <c r="J853" t="n">
        <v>119</v>
      </c>
      <c r="K853" t="n">
        <v>2</v>
      </c>
      <c r="L853" t="n">
        <v>2309</v>
      </c>
      <c r="M853" t="n">
        <v>461.8</v>
      </c>
      <c r="N853">
        <f>VLOOKUP(J853,Products!$A$2:$C$49,3,FALSE)</f>
        <v/>
      </c>
      <c r="O853">
        <f>K853*L853-M853</f>
        <v/>
      </c>
      <c r="P853">
        <f>TEXT(B853,"yyyy-mm")</f>
        <v/>
      </c>
      <c r="Q853">
        <f>IF(O853&gt;=3000,"Large","Small")</f>
        <v/>
      </c>
      <c r="R853">
        <f>INDEX(Products!$F$2:$F$49,MATCH(J853,Products!$A$2:$A$49,0))</f>
        <v/>
      </c>
      <c r="S853">
        <f>WEEKDAY(B853,2)</f>
        <v/>
      </c>
    </row>
    <row r="854">
      <c r="A854" t="n">
        <v>509762</v>
      </c>
      <c r="B854" s="6" t="n">
        <v>45942</v>
      </c>
      <c r="C854" t="n">
        <v>16521</v>
      </c>
      <c r="D854" t="inlineStr">
        <is>
          <t>Indore</t>
        </is>
      </c>
      <c r="E854" t="inlineStr">
        <is>
          <t>West</t>
        </is>
      </c>
      <c r="F854" t="inlineStr">
        <is>
          <t>Paid Search</t>
        </is>
      </c>
      <c r="G854" t="inlineStr">
        <is>
          <t>Desktop</t>
        </is>
      </c>
      <c r="H854" t="inlineStr">
        <is>
          <t>Debit Card</t>
        </is>
      </c>
      <c r="I854" t="inlineStr">
        <is>
          <t>Delivered</t>
        </is>
      </c>
      <c r="J854" t="n">
        <v>103</v>
      </c>
      <c r="K854" t="n">
        <v>1</v>
      </c>
      <c r="L854" t="n">
        <v>2624</v>
      </c>
      <c r="M854" t="n">
        <v>262.4</v>
      </c>
      <c r="N854">
        <f>VLOOKUP(J854,Products!$A$2:$C$49,3,FALSE)</f>
        <v/>
      </c>
      <c r="O854">
        <f>K854*L854-M854</f>
        <v/>
      </c>
      <c r="P854">
        <f>TEXT(B854,"yyyy-mm")</f>
        <v/>
      </c>
      <c r="Q854">
        <f>IF(O854&gt;=3000,"Large","Small")</f>
        <v/>
      </c>
      <c r="R854">
        <f>INDEX(Products!$F$2:$F$49,MATCH(J854,Products!$A$2:$A$49,0))</f>
        <v/>
      </c>
      <c r="S854">
        <f>WEEKDAY(B854,2)</f>
        <v/>
      </c>
    </row>
    <row r="855">
      <c r="A855" t="n">
        <v>509763</v>
      </c>
      <c r="B855" s="6" t="n">
        <v>45942</v>
      </c>
      <c r="C855" t="n">
        <v>13967</v>
      </c>
      <c r="D855" t="inlineStr">
        <is>
          <t>Bengaluru</t>
        </is>
      </c>
      <c r="E855" t="inlineStr">
        <is>
          <t>South</t>
        </is>
      </c>
      <c r="F855" t="inlineStr">
        <is>
          <t>Paid Search</t>
        </is>
      </c>
      <c r="G855" t="inlineStr">
        <is>
          <t>Mobile App</t>
        </is>
      </c>
      <c r="H855" t="inlineStr">
        <is>
          <t>Net Banking</t>
        </is>
      </c>
      <c r="I855" t="inlineStr">
        <is>
          <t>Delivered</t>
        </is>
      </c>
      <c r="J855" t="n">
        <v>137</v>
      </c>
      <c r="K855" t="n">
        <v>1</v>
      </c>
      <c r="L855" t="n">
        <v>261</v>
      </c>
      <c r="M855" t="n">
        <v>26.1</v>
      </c>
      <c r="N855">
        <f>VLOOKUP(J855,Products!$A$2:$C$49,3,FALSE)</f>
        <v/>
      </c>
      <c r="O855">
        <f>K855*L855-M855</f>
        <v/>
      </c>
      <c r="P855">
        <f>TEXT(B855,"yyyy-mm")</f>
        <v/>
      </c>
      <c r="Q855">
        <f>IF(O855&gt;=3000,"Large","Small")</f>
        <v/>
      </c>
      <c r="R855">
        <f>INDEX(Products!$F$2:$F$49,MATCH(J855,Products!$A$2:$A$49,0))</f>
        <v/>
      </c>
      <c r="S855">
        <f>WEEKDAY(B855,2)</f>
        <v/>
      </c>
    </row>
    <row r="856">
      <c r="A856" t="n">
        <v>509763</v>
      </c>
      <c r="B856" s="6" t="n">
        <v>45942</v>
      </c>
      <c r="C856" t="n">
        <v>13967</v>
      </c>
      <c r="D856" t="inlineStr">
        <is>
          <t>Bengaluru</t>
        </is>
      </c>
      <c r="E856" t="inlineStr">
        <is>
          <t>South</t>
        </is>
      </c>
      <c r="F856" t="inlineStr">
        <is>
          <t>Paid Search</t>
        </is>
      </c>
      <c r="G856" t="inlineStr">
        <is>
          <t>Mobile App</t>
        </is>
      </c>
      <c r="H856" t="inlineStr">
        <is>
          <t>Net Banking</t>
        </is>
      </c>
      <c r="I856" t="inlineStr">
        <is>
          <t>Delivered</t>
        </is>
      </c>
      <c r="J856" t="n">
        <v>111</v>
      </c>
      <c r="K856" t="n">
        <v>1</v>
      </c>
      <c r="L856" t="n">
        <v>524</v>
      </c>
      <c r="M856" t="n">
        <v>52.4</v>
      </c>
      <c r="N856">
        <f>VLOOKUP(J856,Products!$A$2:$C$49,3,FALSE)</f>
        <v/>
      </c>
      <c r="O856">
        <f>K856*L856-M856</f>
        <v/>
      </c>
      <c r="P856">
        <f>TEXT(B856,"yyyy-mm")</f>
        <v/>
      </c>
      <c r="Q856">
        <f>IF(O856&gt;=3000,"Large","Small")</f>
        <v/>
      </c>
      <c r="R856">
        <f>INDEX(Products!$F$2:$F$49,MATCH(J856,Products!$A$2:$A$49,0))</f>
        <v/>
      </c>
      <c r="S856">
        <f>WEEKDAY(B856,2)</f>
        <v/>
      </c>
    </row>
    <row r="857">
      <c r="A857" t="n">
        <v>509763</v>
      </c>
      <c r="B857" s="6" t="n">
        <v>45942</v>
      </c>
      <c r="C857" t="n">
        <v>13967</v>
      </c>
      <c r="D857" t="inlineStr">
        <is>
          <t>Bengaluru</t>
        </is>
      </c>
      <c r="E857" t="inlineStr">
        <is>
          <t>South</t>
        </is>
      </c>
      <c r="F857" t="inlineStr">
        <is>
          <t>Paid Search</t>
        </is>
      </c>
      <c r="G857" t="inlineStr">
        <is>
          <t>Mobile App</t>
        </is>
      </c>
      <c r="H857" t="inlineStr">
        <is>
          <t>Net Banking</t>
        </is>
      </c>
      <c r="I857" t="inlineStr">
        <is>
          <t>Delivered</t>
        </is>
      </c>
      <c r="J857" t="n">
        <v>129</v>
      </c>
      <c r="K857" t="n">
        <v>1</v>
      </c>
      <c r="L857" t="n">
        <v>576</v>
      </c>
      <c r="M857" t="n">
        <v>57.6</v>
      </c>
      <c r="N857">
        <f>VLOOKUP(J857,Products!$A$2:$C$49,3,FALSE)</f>
        <v/>
      </c>
      <c r="O857">
        <f>K857*L857-M857</f>
        <v/>
      </c>
      <c r="P857">
        <f>TEXT(B857,"yyyy-mm")</f>
        <v/>
      </c>
      <c r="Q857">
        <f>IF(O857&gt;=3000,"Large","Small")</f>
        <v/>
      </c>
      <c r="R857">
        <f>INDEX(Products!$F$2:$F$49,MATCH(J857,Products!$A$2:$A$49,0))</f>
        <v/>
      </c>
      <c r="S857">
        <f>WEEKDAY(B857,2)</f>
        <v/>
      </c>
    </row>
    <row r="858">
      <c r="A858" t="n">
        <v>509764</v>
      </c>
      <c r="B858" s="6" t="n">
        <v>45942</v>
      </c>
      <c r="C858" t="n">
        <v>16774</v>
      </c>
      <c r="D858" t="inlineStr">
        <is>
          <t>Hyderabad</t>
        </is>
      </c>
      <c r="E858" t="inlineStr">
        <is>
          <t>South</t>
        </is>
      </c>
      <c r="F858" t="inlineStr">
        <is>
          <t>Paid Search</t>
        </is>
      </c>
      <c r="G858" t="inlineStr">
        <is>
          <t>Mobile App</t>
        </is>
      </c>
      <c r="H858" t="inlineStr">
        <is>
          <t>Net Banking</t>
        </is>
      </c>
      <c r="I858" t="inlineStr">
        <is>
          <t>Delivered</t>
        </is>
      </c>
      <c r="J858" t="n">
        <v>131</v>
      </c>
      <c r="K858" t="n">
        <v>1</v>
      </c>
      <c r="L858" t="n">
        <v>314</v>
      </c>
      <c r="M858" t="n">
        <v>47.1</v>
      </c>
      <c r="N858">
        <f>VLOOKUP(J858,Products!$A$2:$C$49,3,FALSE)</f>
        <v/>
      </c>
      <c r="O858">
        <f>K858*L858-M858</f>
        <v/>
      </c>
      <c r="P858">
        <f>TEXT(B858,"yyyy-mm")</f>
        <v/>
      </c>
      <c r="Q858">
        <f>IF(O858&gt;=3000,"Large","Small")</f>
        <v/>
      </c>
      <c r="R858">
        <f>INDEX(Products!$F$2:$F$49,MATCH(J858,Products!$A$2:$A$49,0))</f>
        <v/>
      </c>
      <c r="S858">
        <f>WEEKDAY(B858,2)</f>
        <v/>
      </c>
    </row>
    <row r="859">
      <c r="A859" t="n">
        <v>509764</v>
      </c>
      <c r="B859" s="6" t="n">
        <v>45942</v>
      </c>
      <c r="C859" t="n">
        <v>16774</v>
      </c>
      <c r="D859" t="inlineStr">
        <is>
          <t>Hyderabad</t>
        </is>
      </c>
      <c r="E859" t="inlineStr">
        <is>
          <t>South</t>
        </is>
      </c>
      <c r="F859" t="inlineStr">
        <is>
          <t>Paid Search</t>
        </is>
      </c>
      <c r="G859" t="inlineStr">
        <is>
          <t>Mobile App</t>
        </is>
      </c>
      <c r="H859" t="inlineStr">
        <is>
          <t>Net Banking</t>
        </is>
      </c>
      <c r="I859" t="inlineStr">
        <is>
          <t>Delivered</t>
        </is>
      </c>
      <c r="J859" t="n">
        <v>102</v>
      </c>
      <c r="K859" t="n">
        <v>1</v>
      </c>
      <c r="L859" t="n">
        <v>3674</v>
      </c>
      <c r="M859" t="n">
        <v>551.1</v>
      </c>
      <c r="N859">
        <f>VLOOKUP(J859,Products!$A$2:$C$49,3,FALSE)</f>
        <v/>
      </c>
      <c r="O859">
        <f>K859*L859-M859</f>
        <v/>
      </c>
      <c r="P859">
        <f>TEXT(B859,"yyyy-mm")</f>
        <v/>
      </c>
      <c r="Q859">
        <f>IF(O859&gt;=3000,"Large","Small")</f>
        <v/>
      </c>
      <c r="R859">
        <f>INDEX(Products!$F$2:$F$49,MATCH(J859,Products!$A$2:$A$49,0))</f>
        <v/>
      </c>
      <c r="S859">
        <f>WEEKDAY(B859,2)</f>
        <v/>
      </c>
    </row>
    <row r="860">
      <c r="A860" t="n">
        <v>509764</v>
      </c>
      <c r="B860" s="6" t="n">
        <v>45942</v>
      </c>
      <c r="C860" t="n">
        <v>16774</v>
      </c>
      <c r="D860" t="inlineStr">
        <is>
          <t>Hyderabad</t>
        </is>
      </c>
      <c r="E860" t="inlineStr">
        <is>
          <t>South</t>
        </is>
      </c>
      <c r="F860" t="inlineStr">
        <is>
          <t>Paid Search</t>
        </is>
      </c>
      <c r="G860" t="inlineStr">
        <is>
          <t>Mobile App</t>
        </is>
      </c>
      <c r="H860" t="inlineStr">
        <is>
          <t>Net Banking</t>
        </is>
      </c>
      <c r="I860" t="inlineStr">
        <is>
          <t>Delivered</t>
        </is>
      </c>
      <c r="J860" t="n">
        <v>129</v>
      </c>
      <c r="K860" t="n">
        <v>1</v>
      </c>
      <c r="L860" t="n">
        <v>576</v>
      </c>
      <c r="M860" t="n">
        <v>86.40000000000001</v>
      </c>
      <c r="N860">
        <f>VLOOKUP(J860,Products!$A$2:$C$49,3,FALSE)</f>
        <v/>
      </c>
      <c r="O860">
        <f>K860*L860-M860</f>
        <v/>
      </c>
      <c r="P860">
        <f>TEXT(B860,"yyyy-mm")</f>
        <v/>
      </c>
      <c r="Q860">
        <f>IF(O860&gt;=3000,"Large","Small")</f>
        <v/>
      </c>
      <c r="R860">
        <f>INDEX(Products!$F$2:$F$49,MATCH(J860,Products!$A$2:$A$49,0))</f>
        <v/>
      </c>
      <c r="S860">
        <f>WEEKDAY(B860,2)</f>
        <v/>
      </c>
    </row>
    <row r="861">
      <c r="A861" t="n">
        <v>509765</v>
      </c>
      <c r="B861" s="6" t="n">
        <v>45942</v>
      </c>
      <c r="C861" t="n">
        <v>16589</v>
      </c>
      <c r="D861" t="inlineStr">
        <is>
          <t>Mumbai</t>
        </is>
      </c>
      <c r="E861" t="inlineStr">
        <is>
          <t>West</t>
        </is>
      </c>
      <c r="F861" t="inlineStr">
        <is>
          <t>Paid Search</t>
        </is>
      </c>
      <c r="G861" t="inlineStr">
        <is>
          <t>Mobile App</t>
        </is>
      </c>
      <c r="H861" t="inlineStr">
        <is>
          <t>UPI</t>
        </is>
      </c>
      <c r="I861" t="inlineStr">
        <is>
          <t>Delivered</t>
        </is>
      </c>
      <c r="J861" t="n">
        <v>128</v>
      </c>
      <c r="K861" t="n">
        <v>1</v>
      </c>
      <c r="L861" t="n">
        <v>1049</v>
      </c>
      <c r="M861" t="n">
        <v>104.9</v>
      </c>
      <c r="N861">
        <f>VLOOKUP(J861,Products!$A$2:$C$49,3,FALSE)</f>
        <v/>
      </c>
      <c r="O861">
        <f>K861*L861-M861</f>
        <v/>
      </c>
      <c r="P861">
        <f>TEXT(B861,"yyyy-mm")</f>
        <v/>
      </c>
      <c r="Q861">
        <f>IF(O861&gt;=3000,"Large","Small")</f>
        <v/>
      </c>
      <c r="R861">
        <f>INDEX(Products!$F$2:$F$49,MATCH(J861,Products!$A$2:$A$49,0))</f>
        <v/>
      </c>
      <c r="S861">
        <f>WEEKDAY(B861,2)</f>
        <v/>
      </c>
    </row>
    <row r="862">
      <c r="A862" t="n">
        <v>509765</v>
      </c>
      <c r="B862" s="6" t="n">
        <v>45942</v>
      </c>
      <c r="C862" t="n">
        <v>16589</v>
      </c>
      <c r="D862" t="inlineStr">
        <is>
          <t>Mumbai</t>
        </is>
      </c>
      <c r="E862" t="inlineStr">
        <is>
          <t>West</t>
        </is>
      </c>
      <c r="F862" t="inlineStr">
        <is>
          <t>Paid Search</t>
        </is>
      </c>
      <c r="G862" t="inlineStr">
        <is>
          <t>Mobile App</t>
        </is>
      </c>
      <c r="H862" t="inlineStr">
        <is>
          <t>UPI</t>
        </is>
      </c>
      <c r="I862" t="inlineStr">
        <is>
          <t>Delivered</t>
        </is>
      </c>
      <c r="J862" t="n">
        <v>127</v>
      </c>
      <c r="K862" t="n">
        <v>1</v>
      </c>
      <c r="L862" t="n">
        <v>681</v>
      </c>
      <c r="M862" t="n">
        <v>68.09999999999999</v>
      </c>
      <c r="N862">
        <f>VLOOKUP(J862,Products!$A$2:$C$49,3,FALSE)</f>
        <v/>
      </c>
      <c r="O862">
        <f>K862*L862-M862</f>
        <v/>
      </c>
      <c r="P862">
        <f>TEXT(B862,"yyyy-mm")</f>
        <v/>
      </c>
      <c r="Q862">
        <f>IF(O862&gt;=3000,"Large","Small")</f>
        <v/>
      </c>
      <c r="R862">
        <f>INDEX(Products!$F$2:$F$49,MATCH(J862,Products!$A$2:$A$49,0))</f>
        <v/>
      </c>
      <c r="S862">
        <f>WEEKDAY(B862,2)</f>
        <v/>
      </c>
    </row>
    <row r="863">
      <c r="A863" t="n">
        <v>509765</v>
      </c>
      <c r="B863" s="6" t="n">
        <v>45942</v>
      </c>
      <c r="C863" t="n">
        <v>16589</v>
      </c>
      <c r="D863" t="inlineStr">
        <is>
          <t>Mumbai</t>
        </is>
      </c>
      <c r="E863" t="inlineStr">
        <is>
          <t>West</t>
        </is>
      </c>
      <c r="F863" t="inlineStr">
        <is>
          <t>Paid Search</t>
        </is>
      </c>
      <c r="G863" t="inlineStr">
        <is>
          <t>Mobile App</t>
        </is>
      </c>
      <c r="H863" t="inlineStr">
        <is>
          <t>UPI</t>
        </is>
      </c>
      <c r="I863" t="inlineStr">
        <is>
          <t>Delivered</t>
        </is>
      </c>
      <c r="J863" t="n">
        <v>143</v>
      </c>
      <c r="K863" t="n">
        <v>1</v>
      </c>
      <c r="L863" t="n">
        <v>839</v>
      </c>
      <c r="M863" t="n">
        <v>83.90000000000001</v>
      </c>
      <c r="N863">
        <f>VLOOKUP(J863,Products!$A$2:$C$49,3,FALSE)</f>
        <v/>
      </c>
      <c r="O863">
        <f>K863*L863-M863</f>
        <v/>
      </c>
      <c r="P863">
        <f>TEXT(B863,"yyyy-mm")</f>
        <v/>
      </c>
      <c r="Q863">
        <f>IF(O863&gt;=3000,"Large","Small")</f>
        <v/>
      </c>
      <c r="R863">
        <f>INDEX(Products!$F$2:$F$49,MATCH(J863,Products!$A$2:$A$49,0))</f>
        <v/>
      </c>
      <c r="S863">
        <f>WEEKDAY(B863,2)</f>
        <v/>
      </c>
    </row>
    <row r="864">
      <c r="A864" t="n">
        <v>509766</v>
      </c>
      <c r="B864" s="6" t="n">
        <v>45942</v>
      </c>
      <c r="C864" t="n">
        <v>14738</v>
      </c>
      <c r="D864" t="inlineStr">
        <is>
          <t>Bengaluru</t>
        </is>
      </c>
      <c r="E864" t="inlineStr">
        <is>
          <t>South</t>
        </is>
      </c>
      <c r="F864" t="inlineStr">
        <is>
          <t>Paid Social</t>
        </is>
      </c>
      <c r="G864" t="inlineStr">
        <is>
          <t>Mobile App</t>
        </is>
      </c>
      <c r="H864" t="inlineStr">
        <is>
          <t>UPI</t>
        </is>
      </c>
      <c r="I864" t="inlineStr">
        <is>
          <t>Delivered</t>
        </is>
      </c>
      <c r="J864" t="n">
        <v>110</v>
      </c>
      <c r="K864" t="n">
        <v>1</v>
      </c>
      <c r="L864" t="n">
        <v>839</v>
      </c>
      <c r="M864" t="n">
        <v>0</v>
      </c>
      <c r="N864">
        <f>VLOOKUP(J864,Products!$A$2:$C$49,3,FALSE)</f>
        <v/>
      </c>
      <c r="O864">
        <f>K864*L864-M864</f>
        <v/>
      </c>
      <c r="P864">
        <f>TEXT(B864,"yyyy-mm")</f>
        <v/>
      </c>
      <c r="Q864">
        <f>IF(O864&gt;=3000,"Large","Small")</f>
        <v/>
      </c>
      <c r="R864">
        <f>INDEX(Products!$F$2:$F$49,MATCH(J864,Products!$A$2:$A$49,0))</f>
        <v/>
      </c>
      <c r="S864">
        <f>WEEKDAY(B864,2)</f>
        <v/>
      </c>
    </row>
    <row r="865">
      <c r="A865" t="n">
        <v>509766</v>
      </c>
      <c r="B865" s="6" t="n">
        <v>45942</v>
      </c>
      <c r="C865" t="n">
        <v>14738</v>
      </c>
      <c r="D865" t="inlineStr">
        <is>
          <t>Bengaluru</t>
        </is>
      </c>
      <c r="E865" t="inlineStr">
        <is>
          <t>South</t>
        </is>
      </c>
      <c r="F865" t="inlineStr">
        <is>
          <t>Paid Social</t>
        </is>
      </c>
      <c r="G865" t="inlineStr">
        <is>
          <t>Mobile App</t>
        </is>
      </c>
      <c r="H865" t="inlineStr">
        <is>
          <t>UPI</t>
        </is>
      </c>
      <c r="I865" t="inlineStr">
        <is>
          <t>Delivered</t>
        </is>
      </c>
      <c r="J865" t="n">
        <v>118</v>
      </c>
      <c r="K865" t="n">
        <v>1</v>
      </c>
      <c r="L865" t="n">
        <v>944</v>
      </c>
      <c r="M865" t="n">
        <v>0</v>
      </c>
      <c r="N865">
        <f>VLOOKUP(J865,Products!$A$2:$C$49,3,FALSE)</f>
        <v/>
      </c>
      <c r="O865">
        <f>K865*L865-M865</f>
        <v/>
      </c>
      <c r="P865">
        <f>TEXT(B865,"yyyy-mm")</f>
        <v/>
      </c>
      <c r="Q865">
        <f>IF(O865&gt;=3000,"Large","Small")</f>
        <v/>
      </c>
      <c r="R865">
        <f>INDEX(Products!$F$2:$F$49,MATCH(J865,Products!$A$2:$A$49,0))</f>
        <v/>
      </c>
      <c r="S865">
        <f>WEEKDAY(B865,2)</f>
        <v/>
      </c>
    </row>
    <row r="866">
      <c r="A866" t="n">
        <v>509766</v>
      </c>
      <c r="B866" s="6" t="n">
        <v>45942</v>
      </c>
      <c r="C866" t="n">
        <v>14738</v>
      </c>
      <c r="D866" t="inlineStr">
        <is>
          <t>Bengaluru</t>
        </is>
      </c>
      <c r="E866" t="inlineStr">
        <is>
          <t>South</t>
        </is>
      </c>
      <c r="F866" t="inlineStr">
        <is>
          <t>Paid Social</t>
        </is>
      </c>
      <c r="G866" t="inlineStr">
        <is>
          <t>Mobile App</t>
        </is>
      </c>
      <c r="H866" t="inlineStr">
        <is>
          <t>UPI</t>
        </is>
      </c>
      <c r="I866" t="inlineStr">
        <is>
          <t>Delivered</t>
        </is>
      </c>
      <c r="J866" t="n">
        <v>129</v>
      </c>
      <c r="K866" t="n">
        <v>1</v>
      </c>
      <c r="L866" t="n">
        <v>576</v>
      </c>
      <c r="M866" t="n">
        <v>0</v>
      </c>
      <c r="N866">
        <f>VLOOKUP(J866,Products!$A$2:$C$49,3,FALSE)</f>
        <v/>
      </c>
      <c r="O866">
        <f>K866*L866-M866</f>
        <v/>
      </c>
      <c r="P866">
        <f>TEXT(B866,"yyyy-mm")</f>
        <v/>
      </c>
      <c r="Q866">
        <f>IF(O866&gt;=3000,"Large","Small")</f>
        <v/>
      </c>
      <c r="R866">
        <f>INDEX(Products!$F$2:$F$49,MATCH(J866,Products!$A$2:$A$49,0))</f>
        <v/>
      </c>
      <c r="S866">
        <f>WEEKDAY(B866,2)</f>
        <v/>
      </c>
    </row>
    <row r="867">
      <c r="A867" t="n">
        <v>509767</v>
      </c>
      <c r="B867" s="6" t="n">
        <v>45942</v>
      </c>
      <c r="C867" t="n">
        <v>16765</v>
      </c>
      <c r="D867" t="inlineStr">
        <is>
          <t>Bengaluru</t>
        </is>
      </c>
      <c r="E867" t="inlineStr">
        <is>
          <t>South</t>
        </is>
      </c>
      <c r="F867" t="inlineStr">
        <is>
          <t>Organic Search</t>
        </is>
      </c>
      <c r="G867" t="inlineStr">
        <is>
          <t>Mobile App</t>
        </is>
      </c>
      <c r="H867" t="inlineStr">
        <is>
          <t>UPI</t>
        </is>
      </c>
      <c r="I867" t="inlineStr">
        <is>
          <t>Delivered</t>
        </is>
      </c>
      <c r="J867" t="n">
        <v>123</v>
      </c>
      <c r="K867" t="n">
        <v>1</v>
      </c>
      <c r="L867" t="n">
        <v>3464</v>
      </c>
      <c r="M867" t="n">
        <v>519.6</v>
      </c>
      <c r="N867">
        <f>VLOOKUP(J867,Products!$A$2:$C$49,3,FALSE)</f>
        <v/>
      </c>
      <c r="O867">
        <f>K867*L867-M867</f>
        <v/>
      </c>
      <c r="P867">
        <f>TEXT(B867,"yyyy-mm")</f>
        <v/>
      </c>
      <c r="Q867">
        <f>IF(O867&gt;=3000,"Large","Small")</f>
        <v/>
      </c>
      <c r="R867">
        <f>INDEX(Products!$F$2:$F$49,MATCH(J867,Products!$A$2:$A$49,0))</f>
        <v/>
      </c>
      <c r="S867">
        <f>WEEKDAY(B867,2)</f>
        <v/>
      </c>
    </row>
    <row r="868">
      <c r="A868" t="n">
        <v>509767</v>
      </c>
      <c r="B868" s="6" t="n">
        <v>45942</v>
      </c>
      <c r="C868" t="n">
        <v>16765</v>
      </c>
      <c r="D868" t="inlineStr">
        <is>
          <t>Bengaluru</t>
        </is>
      </c>
      <c r="E868" t="inlineStr">
        <is>
          <t>South</t>
        </is>
      </c>
      <c r="F868" t="inlineStr">
        <is>
          <t>Organic Search</t>
        </is>
      </c>
      <c r="G868" t="inlineStr">
        <is>
          <t>Mobile App</t>
        </is>
      </c>
      <c r="H868" t="inlineStr">
        <is>
          <t>UPI</t>
        </is>
      </c>
      <c r="I868" t="inlineStr">
        <is>
          <t>Delivered</t>
        </is>
      </c>
      <c r="J868" t="n">
        <v>137</v>
      </c>
      <c r="K868" t="n">
        <v>1</v>
      </c>
      <c r="L868" t="n">
        <v>261</v>
      </c>
      <c r="M868" t="n">
        <v>39.15</v>
      </c>
      <c r="N868">
        <f>VLOOKUP(J868,Products!$A$2:$C$49,3,FALSE)</f>
        <v/>
      </c>
      <c r="O868">
        <f>K868*L868-M868</f>
        <v/>
      </c>
      <c r="P868">
        <f>TEXT(B868,"yyyy-mm")</f>
        <v/>
      </c>
      <c r="Q868">
        <f>IF(O868&gt;=3000,"Large","Small")</f>
        <v/>
      </c>
      <c r="R868">
        <f>INDEX(Products!$F$2:$F$49,MATCH(J868,Products!$A$2:$A$49,0))</f>
        <v/>
      </c>
      <c r="S868">
        <f>WEEKDAY(B868,2)</f>
        <v/>
      </c>
    </row>
    <row r="869">
      <c r="A869" t="n">
        <v>509767</v>
      </c>
      <c r="B869" s="6" t="n">
        <v>45942</v>
      </c>
      <c r="C869" t="n">
        <v>16765</v>
      </c>
      <c r="D869" t="inlineStr">
        <is>
          <t>Bengaluru</t>
        </is>
      </c>
      <c r="E869" t="inlineStr">
        <is>
          <t>South</t>
        </is>
      </c>
      <c r="F869" t="inlineStr">
        <is>
          <t>Organic Search</t>
        </is>
      </c>
      <c r="G869" t="inlineStr">
        <is>
          <t>Mobile App</t>
        </is>
      </c>
      <c r="H869" t="inlineStr">
        <is>
          <t>UPI</t>
        </is>
      </c>
      <c r="I869" t="inlineStr">
        <is>
          <t>Delivered</t>
        </is>
      </c>
      <c r="J869" t="n">
        <v>129</v>
      </c>
      <c r="K869" t="n">
        <v>1</v>
      </c>
      <c r="L869" t="n">
        <v>576</v>
      </c>
      <c r="M869" t="n">
        <v>86.40000000000001</v>
      </c>
      <c r="N869">
        <f>VLOOKUP(J869,Products!$A$2:$C$49,3,FALSE)</f>
        <v/>
      </c>
      <c r="O869">
        <f>K869*L869-M869</f>
        <v/>
      </c>
      <c r="P869">
        <f>TEXT(B869,"yyyy-mm")</f>
        <v/>
      </c>
      <c r="Q869">
        <f>IF(O869&gt;=3000,"Large","Small")</f>
        <v/>
      </c>
      <c r="R869">
        <f>INDEX(Products!$F$2:$F$49,MATCH(J869,Products!$A$2:$A$49,0))</f>
        <v/>
      </c>
      <c r="S869">
        <f>WEEKDAY(B869,2)</f>
        <v/>
      </c>
    </row>
    <row r="870">
      <c r="A870" t="n">
        <v>509768</v>
      </c>
      <c r="B870" s="6" t="n">
        <v>45942</v>
      </c>
      <c r="C870" t="n">
        <v>10901</v>
      </c>
      <c r="D870" t="inlineStr">
        <is>
          <t>Bengaluru</t>
        </is>
      </c>
      <c r="E870" t="inlineStr">
        <is>
          <t>South</t>
        </is>
      </c>
      <c r="F870" t="inlineStr">
        <is>
          <t>Paid Social</t>
        </is>
      </c>
      <c r="G870" t="inlineStr">
        <is>
          <t>Mobile App</t>
        </is>
      </c>
      <c r="H870" t="inlineStr">
        <is>
          <t>Cash on Delivery</t>
        </is>
      </c>
      <c r="I870" t="inlineStr">
        <is>
          <t>Delivered</t>
        </is>
      </c>
      <c r="J870" t="n">
        <v>147</v>
      </c>
      <c r="K870" t="n">
        <v>1</v>
      </c>
      <c r="L870" t="n">
        <v>1364</v>
      </c>
      <c r="M870" t="n">
        <v>0</v>
      </c>
      <c r="N870">
        <f>VLOOKUP(J870,Products!$A$2:$C$49,3,FALSE)</f>
        <v/>
      </c>
      <c r="O870">
        <f>K870*L870-M870</f>
        <v/>
      </c>
      <c r="P870">
        <f>TEXT(B870,"yyyy-mm")</f>
        <v/>
      </c>
      <c r="Q870">
        <f>IF(O870&gt;=3000,"Large","Small")</f>
        <v/>
      </c>
      <c r="R870">
        <f>INDEX(Products!$F$2:$F$49,MATCH(J870,Products!$A$2:$A$49,0))</f>
        <v/>
      </c>
      <c r="S870">
        <f>WEEKDAY(B870,2)</f>
        <v/>
      </c>
    </row>
    <row r="871">
      <c r="A871" t="n">
        <v>509769</v>
      </c>
      <c r="B871" s="6" t="n">
        <v>45942</v>
      </c>
      <c r="C871" t="n">
        <v>16708</v>
      </c>
      <c r="D871" t="inlineStr">
        <is>
          <t>Delhi</t>
        </is>
      </c>
      <c r="E871" t="inlineStr">
        <is>
          <t>North</t>
        </is>
      </c>
      <c r="F871" t="inlineStr">
        <is>
          <t>Organic Search</t>
        </is>
      </c>
      <c r="G871" t="inlineStr">
        <is>
          <t>Mobile Web</t>
        </is>
      </c>
      <c r="H871" t="inlineStr">
        <is>
          <t>Cash on Delivery</t>
        </is>
      </c>
      <c r="I871" t="inlineStr">
        <is>
          <t>Delivered</t>
        </is>
      </c>
      <c r="J871" t="n">
        <v>103</v>
      </c>
      <c r="K871" t="n">
        <v>1</v>
      </c>
      <c r="L871" t="n">
        <v>2624</v>
      </c>
      <c r="M871" t="n">
        <v>262.4</v>
      </c>
      <c r="N871">
        <f>VLOOKUP(J871,Products!$A$2:$C$49,3,FALSE)</f>
        <v/>
      </c>
      <c r="O871">
        <f>K871*L871-M871</f>
        <v/>
      </c>
      <c r="P871">
        <f>TEXT(B871,"yyyy-mm")</f>
        <v/>
      </c>
      <c r="Q871">
        <f>IF(O871&gt;=3000,"Large","Small")</f>
        <v/>
      </c>
      <c r="R871">
        <f>INDEX(Products!$F$2:$F$49,MATCH(J871,Products!$A$2:$A$49,0))</f>
        <v/>
      </c>
      <c r="S871">
        <f>WEEKDAY(B871,2)</f>
        <v/>
      </c>
    </row>
    <row r="872">
      <c r="A872" t="n">
        <v>509769</v>
      </c>
      <c r="B872" s="6" t="n">
        <v>45942</v>
      </c>
      <c r="C872" t="n">
        <v>16708</v>
      </c>
      <c r="D872" t="inlineStr">
        <is>
          <t>Delhi</t>
        </is>
      </c>
      <c r="E872" t="inlineStr">
        <is>
          <t>North</t>
        </is>
      </c>
      <c r="F872" t="inlineStr">
        <is>
          <t>Organic Search</t>
        </is>
      </c>
      <c r="G872" t="inlineStr">
        <is>
          <t>Mobile Web</t>
        </is>
      </c>
      <c r="H872" t="inlineStr">
        <is>
          <t>Cash on Delivery</t>
        </is>
      </c>
      <c r="I872" t="inlineStr">
        <is>
          <t>Delivered</t>
        </is>
      </c>
      <c r="J872" t="n">
        <v>137</v>
      </c>
      <c r="K872" t="n">
        <v>1</v>
      </c>
      <c r="L872" t="n">
        <v>261</v>
      </c>
      <c r="M872" t="n">
        <v>26.1</v>
      </c>
      <c r="N872">
        <f>VLOOKUP(J872,Products!$A$2:$C$49,3,FALSE)</f>
        <v/>
      </c>
      <c r="O872">
        <f>K872*L872-M872</f>
        <v/>
      </c>
      <c r="P872">
        <f>TEXT(B872,"yyyy-mm")</f>
        <v/>
      </c>
      <c r="Q872">
        <f>IF(O872&gt;=3000,"Large","Small")</f>
        <v/>
      </c>
      <c r="R872">
        <f>INDEX(Products!$F$2:$F$49,MATCH(J872,Products!$A$2:$A$49,0))</f>
        <v/>
      </c>
      <c r="S872">
        <f>WEEKDAY(B872,2)</f>
        <v/>
      </c>
    </row>
    <row r="873">
      <c r="A873" t="n">
        <v>509769</v>
      </c>
      <c r="B873" s="6" t="n">
        <v>45942</v>
      </c>
      <c r="C873" t="n">
        <v>16708</v>
      </c>
      <c r="D873" t="inlineStr">
        <is>
          <t>Delhi</t>
        </is>
      </c>
      <c r="E873" t="inlineStr">
        <is>
          <t>North</t>
        </is>
      </c>
      <c r="F873" t="inlineStr">
        <is>
          <t>Organic Search</t>
        </is>
      </c>
      <c r="G873" t="inlineStr">
        <is>
          <t>Mobile Web</t>
        </is>
      </c>
      <c r="H873" t="inlineStr">
        <is>
          <t>Cash on Delivery</t>
        </is>
      </c>
      <c r="I873" t="inlineStr">
        <is>
          <t>Delivered</t>
        </is>
      </c>
      <c r="J873" t="n">
        <v>112</v>
      </c>
      <c r="K873" t="n">
        <v>1</v>
      </c>
      <c r="L873" t="n">
        <v>1574</v>
      </c>
      <c r="M873" t="n">
        <v>157.4</v>
      </c>
      <c r="N873">
        <f>VLOOKUP(J873,Products!$A$2:$C$49,3,FALSE)</f>
        <v/>
      </c>
      <c r="O873">
        <f>K873*L873-M873</f>
        <v/>
      </c>
      <c r="P873">
        <f>TEXT(B873,"yyyy-mm")</f>
        <v/>
      </c>
      <c r="Q873">
        <f>IF(O873&gt;=3000,"Large","Small")</f>
        <v/>
      </c>
      <c r="R873">
        <f>INDEX(Products!$F$2:$F$49,MATCH(J873,Products!$A$2:$A$49,0))</f>
        <v/>
      </c>
      <c r="S873">
        <f>WEEKDAY(B873,2)</f>
        <v/>
      </c>
    </row>
    <row r="874">
      <c r="A874" t="n">
        <v>509770</v>
      </c>
      <c r="B874" s="6" t="n">
        <v>45942</v>
      </c>
      <c r="C874" t="n">
        <v>12279</v>
      </c>
      <c r="D874" t="inlineStr">
        <is>
          <t>Gurugram</t>
        </is>
      </c>
      <c r="E874" t="inlineStr">
        <is>
          <t>North</t>
        </is>
      </c>
      <c r="F874" t="inlineStr">
        <is>
          <t>Paid Social</t>
        </is>
      </c>
      <c r="G874" t="inlineStr">
        <is>
          <t>Mobile App</t>
        </is>
      </c>
      <c r="H874" t="inlineStr">
        <is>
          <t>Cash on Delivery</t>
        </is>
      </c>
      <c r="I874" t="inlineStr">
        <is>
          <t>Delivered</t>
        </is>
      </c>
      <c r="J874" t="n">
        <v>107</v>
      </c>
      <c r="K874" t="n">
        <v>3</v>
      </c>
      <c r="L874" t="n">
        <v>1259</v>
      </c>
      <c r="M874" t="n">
        <v>0</v>
      </c>
      <c r="N874">
        <f>VLOOKUP(J874,Products!$A$2:$C$49,3,FALSE)</f>
        <v/>
      </c>
      <c r="O874">
        <f>K874*L874-M874</f>
        <v/>
      </c>
      <c r="P874">
        <f>TEXT(B874,"yyyy-mm")</f>
        <v/>
      </c>
      <c r="Q874">
        <f>IF(O874&gt;=3000,"Large","Small")</f>
        <v/>
      </c>
      <c r="R874">
        <f>INDEX(Products!$F$2:$F$49,MATCH(J874,Products!$A$2:$A$49,0))</f>
        <v/>
      </c>
      <c r="S874">
        <f>WEEKDAY(B874,2)</f>
        <v/>
      </c>
    </row>
    <row r="875">
      <c r="A875" t="n">
        <v>509770</v>
      </c>
      <c r="B875" s="6" t="n">
        <v>45942</v>
      </c>
      <c r="C875" t="n">
        <v>12279</v>
      </c>
      <c r="D875" t="inlineStr">
        <is>
          <t>Gurugram</t>
        </is>
      </c>
      <c r="E875" t="inlineStr">
        <is>
          <t>North</t>
        </is>
      </c>
      <c r="F875" t="inlineStr">
        <is>
          <t>Paid Social</t>
        </is>
      </c>
      <c r="G875" t="inlineStr">
        <is>
          <t>Mobile App</t>
        </is>
      </c>
      <c r="H875" t="inlineStr">
        <is>
          <t>Cash on Delivery</t>
        </is>
      </c>
      <c r="I875" t="inlineStr">
        <is>
          <t>Delivered</t>
        </is>
      </c>
      <c r="J875" t="n">
        <v>141</v>
      </c>
      <c r="K875" t="n">
        <v>3</v>
      </c>
      <c r="L875" t="n">
        <v>261</v>
      </c>
      <c r="M875" t="n">
        <v>0</v>
      </c>
      <c r="N875">
        <f>VLOOKUP(J875,Products!$A$2:$C$49,3,FALSE)</f>
        <v/>
      </c>
      <c r="O875">
        <f>K875*L875-M875</f>
        <v/>
      </c>
      <c r="P875">
        <f>TEXT(B875,"yyyy-mm")</f>
        <v/>
      </c>
      <c r="Q875">
        <f>IF(O875&gt;=3000,"Large","Small")</f>
        <v/>
      </c>
      <c r="R875">
        <f>INDEX(Products!$F$2:$F$49,MATCH(J875,Products!$A$2:$A$49,0))</f>
        <v/>
      </c>
      <c r="S875">
        <f>WEEKDAY(B875,2)</f>
        <v/>
      </c>
    </row>
    <row r="876">
      <c r="A876" t="n">
        <v>509770</v>
      </c>
      <c r="B876" s="6" t="n">
        <v>45942</v>
      </c>
      <c r="C876" t="n">
        <v>12279</v>
      </c>
      <c r="D876" t="inlineStr">
        <is>
          <t>Gurugram</t>
        </is>
      </c>
      <c r="E876" t="inlineStr">
        <is>
          <t>North</t>
        </is>
      </c>
      <c r="F876" t="inlineStr">
        <is>
          <t>Paid Social</t>
        </is>
      </c>
      <c r="G876" t="inlineStr">
        <is>
          <t>Mobile App</t>
        </is>
      </c>
      <c r="H876" t="inlineStr">
        <is>
          <t>Cash on Delivery</t>
        </is>
      </c>
      <c r="I876" t="inlineStr">
        <is>
          <t>Delivered</t>
        </is>
      </c>
      <c r="J876" t="n">
        <v>137</v>
      </c>
      <c r="K876" t="n">
        <v>1</v>
      </c>
      <c r="L876" t="n">
        <v>261</v>
      </c>
      <c r="M876" t="n">
        <v>0</v>
      </c>
      <c r="N876">
        <f>VLOOKUP(J876,Products!$A$2:$C$49,3,FALSE)</f>
        <v/>
      </c>
      <c r="O876">
        <f>K876*L876-M876</f>
        <v/>
      </c>
      <c r="P876">
        <f>TEXT(B876,"yyyy-mm")</f>
        <v/>
      </c>
      <c r="Q876">
        <f>IF(O876&gt;=3000,"Large","Small")</f>
        <v/>
      </c>
      <c r="R876">
        <f>INDEX(Products!$F$2:$F$49,MATCH(J876,Products!$A$2:$A$49,0))</f>
        <v/>
      </c>
      <c r="S876">
        <f>WEEKDAY(B876,2)</f>
        <v/>
      </c>
    </row>
    <row r="877">
      <c r="A877" t="n">
        <v>509771</v>
      </c>
      <c r="B877" s="6" t="n">
        <v>45942</v>
      </c>
      <c r="C877" t="n">
        <v>16771</v>
      </c>
      <c r="D877" t="inlineStr">
        <is>
          <t>Bengaluru</t>
        </is>
      </c>
      <c r="E877" t="inlineStr">
        <is>
          <t>South</t>
        </is>
      </c>
      <c r="F877" t="inlineStr">
        <is>
          <t>Paid Social</t>
        </is>
      </c>
      <c r="G877" t="inlineStr">
        <is>
          <t>Desktop</t>
        </is>
      </c>
      <c r="H877" t="inlineStr">
        <is>
          <t>UPI</t>
        </is>
      </c>
      <c r="I877" t="inlineStr">
        <is>
          <t>Delivered</t>
        </is>
      </c>
      <c r="J877" t="n">
        <v>137</v>
      </c>
      <c r="K877" t="n">
        <v>1</v>
      </c>
      <c r="L877" t="n">
        <v>261</v>
      </c>
      <c r="M877" t="n">
        <v>39.15</v>
      </c>
      <c r="N877">
        <f>VLOOKUP(J877,Products!$A$2:$C$49,3,FALSE)</f>
        <v/>
      </c>
      <c r="O877">
        <f>K877*L877-M877</f>
        <v/>
      </c>
      <c r="P877">
        <f>TEXT(B877,"yyyy-mm")</f>
        <v/>
      </c>
      <c r="Q877">
        <f>IF(O877&gt;=3000,"Large","Small")</f>
        <v/>
      </c>
      <c r="R877">
        <f>INDEX(Products!$F$2:$F$49,MATCH(J877,Products!$A$2:$A$49,0))</f>
        <v/>
      </c>
      <c r="S877">
        <f>WEEKDAY(B877,2)</f>
        <v/>
      </c>
    </row>
    <row r="878">
      <c r="A878" t="n">
        <v>509771</v>
      </c>
      <c r="B878" s="6" t="n">
        <v>45942</v>
      </c>
      <c r="C878" t="n">
        <v>16771</v>
      </c>
      <c r="D878" t="inlineStr">
        <is>
          <t>Bengaluru</t>
        </is>
      </c>
      <c r="E878" t="inlineStr">
        <is>
          <t>South</t>
        </is>
      </c>
      <c r="F878" t="inlineStr">
        <is>
          <t>Paid Social</t>
        </is>
      </c>
      <c r="G878" t="inlineStr">
        <is>
          <t>Desktop</t>
        </is>
      </c>
      <c r="H878" t="inlineStr">
        <is>
          <t>UPI</t>
        </is>
      </c>
      <c r="I878" t="inlineStr">
        <is>
          <t>Delivered</t>
        </is>
      </c>
      <c r="J878" t="n">
        <v>114</v>
      </c>
      <c r="K878" t="n">
        <v>1</v>
      </c>
      <c r="L878" t="n">
        <v>1259</v>
      </c>
      <c r="M878" t="n">
        <v>188.85</v>
      </c>
      <c r="N878">
        <f>VLOOKUP(J878,Products!$A$2:$C$49,3,FALSE)</f>
        <v/>
      </c>
      <c r="O878">
        <f>K878*L878-M878</f>
        <v/>
      </c>
      <c r="P878">
        <f>TEXT(B878,"yyyy-mm")</f>
        <v/>
      </c>
      <c r="Q878">
        <f>IF(O878&gt;=3000,"Large","Small")</f>
        <v/>
      </c>
      <c r="R878">
        <f>INDEX(Products!$F$2:$F$49,MATCH(J878,Products!$A$2:$A$49,0))</f>
        <v/>
      </c>
      <c r="S878">
        <f>WEEKDAY(B878,2)</f>
        <v/>
      </c>
    </row>
    <row r="879">
      <c r="A879" t="n">
        <v>509772</v>
      </c>
      <c r="B879" s="6" t="n">
        <v>45942</v>
      </c>
      <c r="C879" t="n">
        <v>16591</v>
      </c>
      <c r="D879" t="inlineStr">
        <is>
          <t>Pune</t>
        </is>
      </c>
      <c r="E879" t="inlineStr">
        <is>
          <t>West</t>
        </is>
      </c>
      <c r="F879" t="inlineStr">
        <is>
          <t>Paid Social</t>
        </is>
      </c>
      <c r="G879" t="inlineStr">
        <is>
          <t>Mobile Web</t>
        </is>
      </c>
      <c r="H879" t="inlineStr">
        <is>
          <t>Cash on Delivery</t>
        </is>
      </c>
      <c r="I879" t="inlineStr">
        <is>
          <t>Delivered</t>
        </is>
      </c>
      <c r="J879" t="n">
        <v>115</v>
      </c>
      <c r="K879" t="n">
        <v>1</v>
      </c>
      <c r="L879" t="n">
        <v>4199</v>
      </c>
      <c r="M879" t="n">
        <v>629.85</v>
      </c>
      <c r="N879">
        <f>VLOOKUP(J879,Products!$A$2:$C$49,3,FALSE)</f>
        <v/>
      </c>
      <c r="O879">
        <f>K879*L879-M879</f>
        <v/>
      </c>
      <c r="P879">
        <f>TEXT(B879,"yyyy-mm")</f>
        <v/>
      </c>
      <c r="Q879">
        <f>IF(O879&gt;=3000,"Large","Small")</f>
        <v/>
      </c>
      <c r="R879">
        <f>INDEX(Products!$F$2:$F$49,MATCH(J879,Products!$A$2:$A$49,0))</f>
        <v/>
      </c>
      <c r="S879">
        <f>WEEKDAY(B879,2)</f>
        <v/>
      </c>
    </row>
    <row r="880">
      <c r="A880" t="n">
        <v>509773</v>
      </c>
      <c r="B880" s="6" t="n">
        <v>45942</v>
      </c>
      <c r="C880" t="n">
        <v>12597</v>
      </c>
      <c r="D880" t="inlineStr">
        <is>
          <t>Delhi</t>
        </is>
      </c>
      <c r="E880" t="inlineStr">
        <is>
          <t>North</t>
        </is>
      </c>
      <c r="F880" t="inlineStr">
        <is>
          <t>Paid Social</t>
        </is>
      </c>
      <c r="G880" t="inlineStr">
        <is>
          <t>Desktop</t>
        </is>
      </c>
      <c r="H880" t="inlineStr">
        <is>
          <t>Cash on Delivery</t>
        </is>
      </c>
      <c r="I880" t="inlineStr">
        <is>
          <t>Delivered</t>
        </is>
      </c>
      <c r="J880" t="n">
        <v>142</v>
      </c>
      <c r="K880" t="n">
        <v>1</v>
      </c>
      <c r="L880" t="n">
        <v>839</v>
      </c>
      <c r="M880" t="n">
        <v>83.90000000000001</v>
      </c>
      <c r="N880">
        <f>VLOOKUP(J880,Products!$A$2:$C$49,3,FALSE)</f>
        <v/>
      </c>
      <c r="O880">
        <f>K880*L880-M880</f>
        <v/>
      </c>
      <c r="P880">
        <f>TEXT(B880,"yyyy-mm")</f>
        <v/>
      </c>
      <c r="Q880">
        <f>IF(O880&gt;=3000,"Large","Small")</f>
        <v/>
      </c>
      <c r="R880">
        <f>INDEX(Products!$F$2:$F$49,MATCH(J880,Products!$A$2:$A$49,0))</f>
        <v/>
      </c>
      <c r="S880">
        <f>WEEKDAY(B880,2)</f>
        <v/>
      </c>
    </row>
    <row r="881">
      <c r="A881" t="n">
        <v>509773</v>
      </c>
      <c r="B881" s="6" t="n">
        <v>45942</v>
      </c>
      <c r="C881" t="n">
        <v>12597</v>
      </c>
      <c r="D881" t="inlineStr">
        <is>
          <t>Delhi</t>
        </is>
      </c>
      <c r="E881" t="inlineStr">
        <is>
          <t>North</t>
        </is>
      </c>
      <c r="F881" t="inlineStr">
        <is>
          <t>Paid Social</t>
        </is>
      </c>
      <c r="G881" t="inlineStr">
        <is>
          <t>Desktop</t>
        </is>
      </c>
      <c r="H881" t="inlineStr">
        <is>
          <t>Cash on Delivery</t>
        </is>
      </c>
      <c r="I881" t="inlineStr">
        <is>
          <t>Delivered</t>
        </is>
      </c>
      <c r="J881" t="n">
        <v>117</v>
      </c>
      <c r="K881" t="n">
        <v>1</v>
      </c>
      <c r="L881" t="n">
        <v>3149</v>
      </c>
      <c r="M881" t="n">
        <v>314.9</v>
      </c>
      <c r="N881">
        <f>VLOOKUP(J881,Products!$A$2:$C$49,3,FALSE)</f>
        <v/>
      </c>
      <c r="O881">
        <f>K881*L881-M881</f>
        <v/>
      </c>
      <c r="P881">
        <f>TEXT(B881,"yyyy-mm")</f>
        <v/>
      </c>
      <c r="Q881">
        <f>IF(O881&gt;=3000,"Large","Small")</f>
        <v/>
      </c>
      <c r="R881">
        <f>INDEX(Products!$F$2:$F$49,MATCH(J881,Products!$A$2:$A$49,0))</f>
        <v/>
      </c>
      <c r="S881">
        <f>WEEKDAY(B881,2)</f>
        <v/>
      </c>
    </row>
    <row r="882">
      <c r="A882" t="n">
        <v>509773</v>
      </c>
      <c r="B882" s="6" t="n">
        <v>45942</v>
      </c>
      <c r="C882" t="n">
        <v>12597</v>
      </c>
      <c r="D882" t="inlineStr">
        <is>
          <t>Delhi</t>
        </is>
      </c>
      <c r="E882" t="inlineStr">
        <is>
          <t>North</t>
        </is>
      </c>
      <c r="F882" t="inlineStr">
        <is>
          <t>Paid Social</t>
        </is>
      </c>
      <c r="G882" t="inlineStr">
        <is>
          <t>Desktop</t>
        </is>
      </c>
      <c r="H882" t="inlineStr">
        <is>
          <t>Cash on Delivery</t>
        </is>
      </c>
      <c r="I882" t="inlineStr">
        <is>
          <t>Delivered</t>
        </is>
      </c>
      <c r="J882" t="n">
        <v>103</v>
      </c>
      <c r="K882" t="n">
        <v>1</v>
      </c>
      <c r="L882" t="n">
        <v>2624</v>
      </c>
      <c r="M882" t="n">
        <v>262.4</v>
      </c>
      <c r="N882">
        <f>VLOOKUP(J882,Products!$A$2:$C$49,3,FALSE)</f>
        <v/>
      </c>
      <c r="O882">
        <f>K882*L882-M882</f>
        <v/>
      </c>
      <c r="P882">
        <f>TEXT(B882,"yyyy-mm")</f>
        <v/>
      </c>
      <c r="Q882">
        <f>IF(O882&gt;=3000,"Large","Small")</f>
        <v/>
      </c>
      <c r="R882">
        <f>INDEX(Products!$F$2:$F$49,MATCH(J882,Products!$A$2:$A$49,0))</f>
        <v/>
      </c>
      <c r="S882">
        <f>WEEKDAY(B882,2)</f>
        <v/>
      </c>
    </row>
    <row r="883">
      <c r="A883" t="n">
        <v>509774</v>
      </c>
      <c r="B883" s="6" t="n">
        <v>45942</v>
      </c>
      <c r="C883" t="n">
        <v>14193</v>
      </c>
      <c r="D883" t="inlineStr">
        <is>
          <t>Noida</t>
        </is>
      </c>
      <c r="E883" t="inlineStr">
        <is>
          <t>North</t>
        </is>
      </c>
      <c r="F883" t="inlineStr">
        <is>
          <t>Email</t>
        </is>
      </c>
      <c r="G883" t="inlineStr">
        <is>
          <t>Mobile App</t>
        </is>
      </c>
      <c r="H883" t="inlineStr">
        <is>
          <t>Cash on Delivery</t>
        </is>
      </c>
      <c r="I883" t="inlineStr">
        <is>
          <t>Delivered</t>
        </is>
      </c>
      <c r="J883" t="n">
        <v>110</v>
      </c>
      <c r="K883" t="n">
        <v>1</v>
      </c>
      <c r="L883" t="n">
        <v>839</v>
      </c>
      <c r="M883" t="n">
        <v>0</v>
      </c>
      <c r="N883">
        <f>VLOOKUP(J883,Products!$A$2:$C$49,3,FALSE)</f>
        <v/>
      </c>
      <c r="O883">
        <f>K883*L883-M883</f>
        <v/>
      </c>
      <c r="P883">
        <f>TEXT(B883,"yyyy-mm")</f>
        <v/>
      </c>
      <c r="Q883">
        <f>IF(O883&gt;=3000,"Large","Small")</f>
        <v/>
      </c>
      <c r="R883">
        <f>INDEX(Products!$F$2:$F$49,MATCH(J883,Products!$A$2:$A$49,0))</f>
        <v/>
      </c>
      <c r="S883">
        <f>WEEKDAY(B883,2)</f>
        <v/>
      </c>
    </row>
    <row r="884">
      <c r="A884" t="n">
        <v>509775</v>
      </c>
      <c r="B884" s="6" t="n">
        <v>45942</v>
      </c>
      <c r="C884" t="n">
        <v>13055</v>
      </c>
      <c r="D884" t="inlineStr">
        <is>
          <t>Lucknow</t>
        </is>
      </c>
      <c r="E884" t="inlineStr">
        <is>
          <t>North</t>
        </is>
      </c>
      <c r="F884" t="inlineStr">
        <is>
          <t>Paid Search</t>
        </is>
      </c>
      <c r="G884" t="inlineStr">
        <is>
          <t>Mobile App</t>
        </is>
      </c>
      <c r="H884" t="inlineStr">
        <is>
          <t>UPI</t>
        </is>
      </c>
      <c r="I884" t="inlineStr">
        <is>
          <t>Delivered</t>
        </is>
      </c>
      <c r="J884" t="n">
        <v>106</v>
      </c>
      <c r="K884" t="n">
        <v>1</v>
      </c>
      <c r="L884" t="n">
        <v>1574</v>
      </c>
      <c r="M884" t="n">
        <v>157.4</v>
      </c>
      <c r="N884">
        <f>VLOOKUP(J884,Products!$A$2:$C$49,3,FALSE)</f>
        <v/>
      </c>
      <c r="O884">
        <f>K884*L884-M884</f>
        <v/>
      </c>
      <c r="P884">
        <f>TEXT(B884,"yyyy-mm")</f>
        <v/>
      </c>
      <c r="Q884">
        <f>IF(O884&gt;=3000,"Large","Small")</f>
        <v/>
      </c>
      <c r="R884">
        <f>INDEX(Products!$F$2:$F$49,MATCH(J884,Products!$A$2:$A$49,0))</f>
        <v/>
      </c>
      <c r="S884">
        <f>WEEKDAY(B884,2)</f>
        <v/>
      </c>
    </row>
    <row r="885">
      <c r="A885" t="n">
        <v>509775</v>
      </c>
      <c r="B885" s="6" t="n">
        <v>45942</v>
      </c>
      <c r="C885" t="n">
        <v>13055</v>
      </c>
      <c r="D885" t="inlineStr">
        <is>
          <t>Lucknow</t>
        </is>
      </c>
      <c r="E885" t="inlineStr">
        <is>
          <t>North</t>
        </is>
      </c>
      <c r="F885" t="inlineStr">
        <is>
          <t>Paid Search</t>
        </is>
      </c>
      <c r="G885" t="inlineStr">
        <is>
          <t>Mobile App</t>
        </is>
      </c>
      <c r="H885" t="inlineStr">
        <is>
          <t>UPI</t>
        </is>
      </c>
      <c r="I885" t="inlineStr">
        <is>
          <t>Delivered</t>
        </is>
      </c>
      <c r="J885" t="n">
        <v>129</v>
      </c>
      <c r="K885" t="n">
        <v>2</v>
      </c>
      <c r="L885" t="n">
        <v>576</v>
      </c>
      <c r="M885" t="n">
        <v>115.2</v>
      </c>
      <c r="N885">
        <f>VLOOKUP(J885,Products!$A$2:$C$49,3,FALSE)</f>
        <v/>
      </c>
      <c r="O885">
        <f>K885*L885-M885</f>
        <v/>
      </c>
      <c r="P885">
        <f>TEXT(B885,"yyyy-mm")</f>
        <v/>
      </c>
      <c r="Q885">
        <f>IF(O885&gt;=3000,"Large","Small")</f>
        <v/>
      </c>
      <c r="R885">
        <f>INDEX(Products!$F$2:$F$49,MATCH(J885,Products!$A$2:$A$49,0))</f>
        <v/>
      </c>
      <c r="S885">
        <f>WEEKDAY(B885,2)</f>
        <v/>
      </c>
    </row>
    <row r="886">
      <c r="A886" t="n">
        <v>509776</v>
      </c>
      <c r="B886" s="6" t="n">
        <v>45942</v>
      </c>
      <c r="C886" t="n">
        <v>16613</v>
      </c>
      <c r="D886" t="inlineStr">
        <is>
          <t>Chennai</t>
        </is>
      </c>
      <c r="E886" t="inlineStr">
        <is>
          <t>South</t>
        </is>
      </c>
      <c r="F886" t="inlineStr">
        <is>
          <t>Organic Search</t>
        </is>
      </c>
      <c r="G886" t="inlineStr">
        <is>
          <t>Desktop</t>
        </is>
      </c>
      <c r="H886" t="inlineStr">
        <is>
          <t>UPI</t>
        </is>
      </c>
      <c r="I886" t="inlineStr">
        <is>
          <t>Cancelled</t>
        </is>
      </c>
      <c r="J886" t="n">
        <v>130</v>
      </c>
      <c r="K886" t="n">
        <v>1</v>
      </c>
      <c r="L886" t="n">
        <v>734</v>
      </c>
      <c r="M886" t="n">
        <v>110.1</v>
      </c>
      <c r="N886">
        <f>VLOOKUP(J886,Products!$A$2:$C$49,3,FALSE)</f>
        <v/>
      </c>
      <c r="O886">
        <f>K886*L886-M886</f>
        <v/>
      </c>
      <c r="P886">
        <f>TEXT(B886,"yyyy-mm")</f>
        <v/>
      </c>
      <c r="Q886">
        <f>IF(O886&gt;=3000,"Large","Small")</f>
        <v/>
      </c>
      <c r="R886">
        <f>INDEX(Products!$F$2:$F$49,MATCH(J886,Products!$A$2:$A$49,0))</f>
        <v/>
      </c>
      <c r="S886">
        <f>WEEKDAY(B886,2)</f>
        <v/>
      </c>
    </row>
    <row r="887">
      <c r="A887" t="n">
        <v>509777</v>
      </c>
      <c r="B887" s="6" t="n">
        <v>45942</v>
      </c>
      <c r="C887" t="n">
        <v>16758</v>
      </c>
      <c r="D887" t="inlineStr">
        <is>
          <t>Delhi</t>
        </is>
      </c>
      <c r="E887" t="inlineStr">
        <is>
          <t>North</t>
        </is>
      </c>
      <c r="F887" t="inlineStr">
        <is>
          <t>Paid Social</t>
        </is>
      </c>
      <c r="G887" t="inlineStr">
        <is>
          <t>Mobile App</t>
        </is>
      </c>
      <c r="H887" t="inlineStr">
        <is>
          <t>UPI</t>
        </is>
      </c>
      <c r="I887" t="inlineStr">
        <is>
          <t>Delivered</t>
        </is>
      </c>
      <c r="J887" t="n">
        <v>113</v>
      </c>
      <c r="K887" t="n">
        <v>1</v>
      </c>
      <c r="L887" t="n">
        <v>1364</v>
      </c>
      <c r="M887" t="n">
        <v>204.6</v>
      </c>
      <c r="N887">
        <f>VLOOKUP(J887,Products!$A$2:$C$49,3,FALSE)</f>
        <v/>
      </c>
      <c r="O887">
        <f>K887*L887-M887</f>
        <v/>
      </c>
      <c r="P887">
        <f>TEXT(B887,"yyyy-mm")</f>
        <v/>
      </c>
      <c r="Q887">
        <f>IF(O887&gt;=3000,"Large","Small")</f>
        <v/>
      </c>
      <c r="R887">
        <f>INDEX(Products!$F$2:$F$49,MATCH(J887,Products!$A$2:$A$49,0))</f>
        <v/>
      </c>
      <c r="S887">
        <f>WEEKDAY(B887,2)</f>
        <v/>
      </c>
    </row>
    <row r="888">
      <c r="A888" t="n">
        <v>509777</v>
      </c>
      <c r="B888" s="6" t="n">
        <v>45942</v>
      </c>
      <c r="C888" t="n">
        <v>16758</v>
      </c>
      <c r="D888" t="inlineStr">
        <is>
          <t>Delhi</t>
        </is>
      </c>
      <c r="E888" t="inlineStr">
        <is>
          <t>North</t>
        </is>
      </c>
      <c r="F888" t="inlineStr">
        <is>
          <t>Paid Social</t>
        </is>
      </c>
      <c r="G888" t="inlineStr">
        <is>
          <t>Mobile App</t>
        </is>
      </c>
      <c r="H888" t="inlineStr">
        <is>
          <t>UPI</t>
        </is>
      </c>
      <c r="I888" t="inlineStr">
        <is>
          <t>Delivered</t>
        </is>
      </c>
      <c r="J888" t="n">
        <v>136</v>
      </c>
      <c r="K888" t="n">
        <v>3</v>
      </c>
      <c r="L888" t="n">
        <v>944</v>
      </c>
      <c r="M888" t="n">
        <v>424.8</v>
      </c>
      <c r="N888">
        <f>VLOOKUP(J888,Products!$A$2:$C$49,3,FALSE)</f>
        <v/>
      </c>
      <c r="O888">
        <f>K888*L888-M888</f>
        <v/>
      </c>
      <c r="P888">
        <f>TEXT(B888,"yyyy-mm")</f>
        <v/>
      </c>
      <c r="Q888">
        <f>IF(O888&gt;=3000,"Large","Small")</f>
        <v/>
      </c>
      <c r="R888">
        <f>INDEX(Products!$F$2:$F$49,MATCH(J888,Products!$A$2:$A$49,0))</f>
        <v/>
      </c>
      <c r="S888">
        <f>WEEKDAY(B888,2)</f>
        <v/>
      </c>
    </row>
    <row r="889">
      <c r="A889" t="n">
        <v>509777</v>
      </c>
      <c r="B889" s="6" t="n">
        <v>45942</v>
      </c>
      <c r="C889" t="n">
        <v>16758</v>
      </c>
      <c r="D889" t="inlineStr">
        <is>
          <t>Delhi</t>
        </is>
      </c>
      <c r="E889" t="inlineStr">
        <is>
          <t>North</t>
        </is>
      </c>
      <c r="F889" t="inlineStr">
        <is>
          <t>Paid Social</t>
        </is>
      </c>
      <c r="G889" t="inlineStr">
        <is>
          <t>Mobile App</t>
        </is>
      </c>
      <c r="H889" t="inlineStr">
        <is>
          <t>UPI</t>
        </is>
      </c>
      <c r="I889" t="inlineStr">
        <is>
          <t>Delivered</t>
        </is>
      </c>
      <c r="J889" t="n">
        <v>119</v>
      </c>
      <c r="K889" t="n">
        <v>1</v>
      </c>
      <c r="L889" t="n">
        <v>2309</v>
      </c>
      <c r="M889" t="n">
        <v>346.35</v>
      </c>
      <c r="N889">
        <f>VLOOKUP(J889,Products!$A$2:$C$49,3,FALSE)</f>
        <v/>
      </c>
      <c r="O889">
        <f>K889*L889-M889</f>
        <v/>
      </c>
      <c r="P889">
        <f>TEXT(B889,"yyyy-mm")</f>
        <v/>
      </c>
      <c r="Q889">
        <f>IF(O889&gt;=3000,"Large","Small")</f>
        <v/>
      </c>
      <c r="R889">
        <f>INDEX(Products!$F$2:$F$49,MATCH(J889,Products!$A$2:$A$49,0))</f>
        <v/>
      </c>
      <c r="S889">
        <f>WEEKDAY(B889,2)</f>
        <v/>
      </c>
    </row>
    <row r="890">
      <c r="A890" t="n">
        <v>509778</v>
      </c>
      <c r="B890" s="6" t="n">
        <v>45942</v>
      </c>
      <c r="C890" t="n">
        <v>16560</v>
      </c>
      <c r="D890" t="inlineStr">
        <is>
          <t>Noida</t>
        </is>
      </c>
      <c r="E890" t="inlineStr">
        <is>
          <t>North</t>
        </is>
      </c>
      <c r="F890" t="inlineStr">
        <is>
          <t>Organic Search</t>
        </is>
      </c>
      <c r="G890" t="inlineStr">
        <is>
          <t>Desktop</t>
        </is>
      </c>
      <c r="H890" t="inlineStr">
        <is>
          <t>Cash on Delivery</t>
        </is>
      </c>
      <c r="I890" t="inlineStr">
        <is>
          <t>Returned</t>
        </is>
      </c>
      <c r="J890" t="n">
        <v>103</v>
      </c>
      <c r="K890" t="n">
        <v>1</v>
      </c>
      <c r="L890" t="n">
        <v>2624</v>
      </c>
      <c r="M890" t="n">
        <v>393.6</v>
      </c>
      <c r="N890">
        <f>VLOOKUP(J890,Products!$A$2:$C$49,3,FALSE)</f>
        <v/>
      </c>
      <c r="O890">
        <f>K890*L890-M890</f>
        <v/>
      </c>
      <c r="P890">
        <f>TEXT(B890,"yyyy-mm")</f>
        <v/>
      </c>
      <c r="Q890">
        <f>IF(O890&gt;=3000,"Large","Small")</f>
        <v/>
      </c>
      <c r="R890">
        <f>INDEX(Products!$F$2:$F$49,MATCH(J890,Products!$A$2:$A$49,0))</f>
        <v/>
      </c>
      <c r="S890">
        <f>WEEKDAY(B890,2)</f>
        <v/>
      </c>
    </row>
    <row r="891">
      <c r="A891" t="n">
        <v>509778</v>
      </c>
      <c r="B891" s="6" t="n">
        <v>45942</v>
      </c>
      <c r="C891" t="n">
        <v>16560</v>
      </c>
      <c r="D891" t="inlineStr">
        <is>
          <t>Noida</t>
        </is>
      </c>
      <c r="E891" t="inlineStr">
        <is>
          <t>North</t>
        </is>
      </c>
      <c r="F891" t="inlineStr">
        <is>
          <t>Organic Search</t>
        </is>
      </c>
      <c r="G891" t="inlineStr">
        <is>
          <t>Desktop</t>
        </is>
      </c>
      <c r="H891" t="inlineStr">
        <is>
          <t>Cash on Delivery</t>
        </is>
      </c>
      <c r="I891" t="inlineStr">
        <is>
          <t>Returned</t>
        </is>
      </c>
      <c r="J891" t="n">
        <v>129</v>
      </c>
      <c r="K891" t="n">
        <v>2</v>
      </c>
      <c r="L891" t="n">
        <v>576</v>
      </c>
      <c r="M891" t="n">
        <v>172.8</v>
      </c>
      <c r="N891">
        <f>VLOOKUP(J891,Products!$A$2:$C$49,3,FALSE)</f>
        <v/>
      </c>
      <c r="O891">
        <f>K891*L891-M891</f>
        <v/>
      </c>
      <c r="P891">
        <f>TEXT(B891,"yyyy-mm")</f>
        <v/>
      </c>
      <c r="Q891">
        <f>IF(O891&gt;=3000,"Large","Small")</f>
        <v/>
      </c>
      <c r="R891">
        <f>INDEX(Products!$F$2:$F$49,MATCH(J891,Products!$A$2:$A$49,0))</f>
        <v/>
      </c>
      <c r="S891">
        <f>WEEKDAY(B891,2)</f>
        <v/>
      </c>
    </row>
    <row r="892">
      <c r="A892" t="n">
        <v>509779</v>
      </c>
      <c r="B892" s="6" t="n">
        <v>45942</v>
      </c>
      <c r="C892" t="n">
        <v>16094</v>
      </c>
      <c r="D892" t="inlineStr">
        <is>
          <t>Mumbai</t>
        </is>
      </c>
      <c r="E892" t="inlineStr">
        <is>
          <t>West</t>
        </is>
      </c>
      <c r="F892" t="inlineStr">
        <is>
          <t>Referral</t>
        </is>
      </c>
      <c r="G892" t="inlineStr">
        <is>
          <t>Mobile App</t>
        </is>
      </c>
      <c r="H892" t="inlineStr">
        <is>
          <t>UPI</t>
        </is>
      </c>
      <c r="I892" t="inlineStr">
        <is>
          <t>Delivered</t>
        </is>
      </c>
      <c r="J892" t="n">
        <v>120</v>
      </c>
      <c r="K892" t="n">
        <v>1</v>
      </c>
      <c r="L892" t="n">
        <v>734</v>
      </c>
      <c r="M892" t="n">
        <v>73.40000000000001</v>
      </c>
      <c r="N892">
        <f>VLOOKUP(J892,Products!$A$2:$C$49,3,FALSE)</f>
        <v/>
      </c>
      <c r="O892">
        <f>K892*L892-M892</f>
        <v/>
      </c>
      <c r="P892">
        <f>TEXT(B892,"yyyy-mm")</f>
        <v/>
      </c>
      <c r="Q892">
        <f>IF(O892&gt;=3000,"Large","Small")</f>
        <v/>
      </c>
      <c r="R892">
        <f>INDEX(Products!$F$2:$F$49,MATCH(J892,Products!$A$2:$A$49,0))</f>
        <v/>
      </c>
      <c r="S892">
        <f>WEEKDAY(B892,2)</f>
        <v/>
      </c>
    </row>
    <row r="893">
      <c r="A893" t="n">
        <v>509779</v>
      </c>
      <c r="B893" s="6" t="n">
        <v>45942</v>
      </c>
      <c r="C893" t="n">
        <v>16094</v>
      </c>
      <c r="D893" t="inlineStr">
        <is>
          <t>Mumbai</t>
        </is>
      </c>
      <c r="E893" t="inlineStr">
        <is>
          <t>West</t>
        </is>
      </c>
      <c r="F893" t="inlineStr">
        <is>
          <t>Referral</t>
        </is>
      </c>
      <c r="G893" t="inlineStr">
        <is>
          <t>Mobile App</t>
        </is>
      </c>
      <c r="H893" t="inlineStr">
        <is>
          <t>UPI</t>
        </is>
      </c>
      <c r="I893" t="inlineStr">
        <is>
          <t>Delivered</t>
        </is>
      </c>
      <c r="J893" t="n">
        <v>105</v>
      </c>
      <c r="K893" t="n">
        <v>1</v>
      </c>
      <c r="L893" t="n">
        <v>2414</v>
      </c>
      <c r="M893" t="n">
        <v>241.4</v>
      </c>
      <c r="N893">
        <f>VLOOKUP(J893,Products!$A$2:$C$49,3,FALSE)</f>
        <v/>
      </c>
      <c r="O893">
        <f>K893*L893-M893</f>
        <v/>
      </c>
      <c r="P893">
        <f>TEXT(B893,"yyyy-mm")</f>
        <v/>
      </c>
      <c r="Q893">
        <f>IF(O893&gt;=3000,"Large","Small")</f>
        <v/>
      </c>
      <c r="R893">
        <f>INDEX(Products!$F$2:$F$49,MATCH(J893,Products!$A$2:$A$49,0))</f>
        <v/>
      </c>
      <c r="S893">
        <f>WEEKDAY(B893,2)</f>
        <v/>
      </c>
    </row>
    <row r="894">
      <c r="A894" t="n">
        <v>509779</v>
      </c>
      <c r="B894" s="6" t="n">
        <v>45942</v>
      </c>
      <c r="C894" t="n">
        <v>16094</v>
      </c>
      <c r="D894" t="inlineStr">
        <is>
          <t>Mumbai</t>
        </is>
      </c>
      <c r="E894" t="inlineStr">
        <is>
          <t>West</t>
        </is>
      </c>
      <c r="F894" t="inlineStr">
        <is>
          <t>Referral</t>
        </is>
      </c>
      <c r="G894" t="inlineStr">
        <is>
          <t>Mobile App</t>
        </is>
      </c>
      <c r="H894" t="inlineStr">
        <is>
          <t>UPI</t>
        </is>
      </c>
      <c r="I894" t="inlineStr">
        <is>
          <t>Delivered</t>
        </is>
      </c>
      <c r="J894" t="n">
        <v>129</v>
      </c>
      <c r="K894" t="n">
        <v>1</v>
      </c>
      <c r="L894" t="n">
        <v>576</v>
      </c>
      <c r="M894" t="n">
        <v>57.6</v>
      </c>
      <c r="N894">
        <f>VLOOKUP(J894,Products!$A$2:$C$49,3,FALSE)</f>
        <v/>
      </c>
      <c r="O894">
        <f>K894*L894-M894</f>
        <v/>
      </c>
      <c r="P894">
        <f>TEXT(B894,"yyyy-mm")</f>
        <v/>
      </c>
      <c r="Q894">
        <f>IF(O894&gt;=3000,"Large","Small")</f>
        <v/>
      </c>
      <c r="R894">
        <f>INDEX(Products!$F$2:$F$49,MATCH(J894,Products!$A$2:$A$49,0))</f>
        <v/>
      </c>
      <c r="S894">
        <f>WEEKDAY(B894,2)</f>
        <v/>
      </c>
    </row>
    <row r="895">
      <c r="A895" t="n">
        <v>509780</v>
      </c>
      <c r="B895" s="6" t="n">
        <v>45942</v>
      </c>
      <c r="C895" t="n">
        <v>11986</v>
      </c>
      <c r="D895" t="inlineStr">
        <is>
          <t>Bengaluru</t>
        </is>
      </c>
      <c r="E895" t="inlineStr">
        <is>
          <t>South</t>
        </is>
      </c>
      <c r="F895" t="inlineStr">
        <is>
          <t>Organic Search</t>
        </is>
      </c>
      <c r="G895" t="inlineStr">
        <is>
          <t>Desktop</t>
        </is>
      </c>
      <c r="H895" t="inlineStr">
        <is>
          <t>UPI</t>
        </is>
      </c>
      <c r="I895" t="inlineStr">
        <is>
          <t>Delivered</t>
        </is>
      </c>
      <c r="J895" t="n">
        <v>146</v>
      </c>
      <c r="K895" t="n">
        <v>1</v>
      </c>
      <c r="L895" t="n">
        <v>4724</v>
      </c>
      <c r="M895" t="n">
        <v>472.4</v>
      </c>
      <c r="N895">
        <f>VLOOKUP(J895,Products!$A$2:$C$49,3,FALSE)</f>
        <v/>
      </c>
      <c r="O895">
        <f>K895*L895-M895</f>
        <v/>
      </c>
      <c r="P895">
        <f>TEXT(B895,"yyyy-mm")</f>
        <v/>
      </c>
      <c r="Q895">
        <f>IF(O895&gt;=3000,"Large","Small")</f>
        <v/>
      </c>
      <c r="R895">
        <f>INDEX(Products!$F$2:$F$49,MATCH(J895,Products!$A$2:$A$49,0))</f>
        <v/>
      </c>
      <c r="S895">
        <f>WEEKDAY(B895,2)</f>
        <v/>
      </c>
    </row>
    <row r="896">
      <c r="A896" t="n">
        <v>509781</v>
      </c>
      <c r="B896" s="6" t="n">
        <v>45942</v>
      </c>
      <c r="C896" t="n">
        <v>11569</v>
      </c>
      <c r="D896" t="inlineStr">
        <is>
          <t>Chandigarh</t>
        </is>
      </c>
      <c r="E896" t="inlineStr">
        <is>
          <t>North</t>
        </is>
      </c>
      <c r="F896" t="inlineStr">
        <is>
          <t>Email</t>
        </is>
      </c>
      <c r="G896" t="inlineStr">
        <is>
          <t>Mobile Web</t>
        </is>
      </c>
      <c r="H896" t="inlineStr">
        <is>
          <t>UPI</t>
        </is>
      </c>
      <c r="I896" t="inlineStr">
        <is>
          <t>Delivered</t>
        </is>
      </c>
      <c r="J896" t="n">
        <v>145</v>
      </c>
      <c r="K896" t="n">
        <v>1</v>
      </c>
      <c r="L896" t="n">
        <v>629</v>
      </c>
      <c r="M896" t="n">
        <v>62.9</v>
      </c>
      <c r="N896">
        <f>VLOOKUP(J896,Products!$A$2:$C$49,3,FALSE)</f>
        <v/>
      </c>
      <c r="O896">
        <f>K896*L896-M896</f>
        <v/>
      </c>
      <c r="P896">
        <f>TEXT(B896,"yyyy-mm")</f>
        <v/>
      </c>
      <c r="Q896">
        <f>IF(O896&gt;=3000,"Large","Small")</f>
        <v/>
      </c>
      <c r="R896">
        <f>INDEX(Products!$F$2:$F$49,MATCH(J896,Products!$A$2:$A$49,0))</f>
        <v/>
      </c>
      <c r="S896">
        <f>WEEKDAY(B896,2)</f>
        <v/>
      </c>
    </row>
    <row r="897">
      <c r="A897" t="n">
        <v>509781</v>
      </c>
      <c r="B897" s="6" t="n">
        <v>45942</v>
      </c>
      <c r="C897" t="n">
        <v>11569</v>
      </c>
      <c r="D897" t="inlineStr">
        <is>
          <t>Chandigarh</t>
        </is>
      </c>
      <c r="E897" t="inlineStr">
        <is>
          <t>North</t>
        </is>
      </c>
      <c r="F897" t="inlineStr">
        <is>
          <t>Email</t>
        </is>
      </c>
      <c r="G897" t="inlineStr">
        <is>
          <t>Mobile Web</t>
        </is>
      </c>
      <c r="H897" t="inlineStr">
        <is>
          <t>UPI</t>
        </is>
      </c>
      <c r="I897" t="inlineStr">
        <is>
          <t>Delivered</t>
        </is>
      </c>
      <c r="J897" t="n">
        <v>111</v>
      </c>
      <c r="K897" t="n">
        <v>1</v>
      </c>
      <c r="L897" t="n">
        <v>524</v>
      </c>
      <c r="M897" t="n">
        <v>52.4</v>
      </c>
      <c r="N897">
        <f>VLOOKUP(J897,Products!$A$2:$C$49,3,FALSE)</f>
        <v/>
      </c>
      <c r="O897">
        <f>K897*L897-M897</f>
        <v/>
      </c>
      <c r="P897">
        <f>TEXT(B897,"yyyy-mm")</f>
        <v/>
      </c>
      <c r="Q897">
        <f>IF(O897&gt;=3000,"Large","Small")</f>
        <v/>
      </c>
      <c r="R897">
        <f>INDEX(Products!$F$2:$F$49,MATCH(J897,Products!$A$2:$A$49,0))</f>
        <v/>
      </c>
      <c r="S897">
        <f>WEEKDAY(B897,2)</f>
        <v/>
      </c>
    </row>
    <row r="898">
      <c r="A898" t="n">
        <v>509781</v>
      </c>
      <c r="B898" s="6" t="n">
        <v>45942</v>
      </c>
      <c r="C898" t="n">
        <v>11569</v>
      </c>
      <c r="D898" t="inlineStr">
        <is>
          <t>Chandigarh</t>
        </is>
      </c>
      <c r="E898" t="inlineStr">
        <is>
          <t>North</t>
        </is>
      </c>
      <c r="F898" t="inlineStr">
        <is>
          <t>Email</t>
        </is>
      </c>
      <c r="G898" t="inlineStr">
        <is>
          <t>Mobile Web</t>
        </is>
      </c>
      <c r="H898" t="inlineStr">
        <is>
          <t>UPI</t>
        </is>
      </c>
      <c r="I898" t="inlineStr">
        <is>
          <t>Delivered</t>
        </is>
      </c>
      <c r="J898" t="n">
        <v>106</v>
      </c>
      <c r="K898" t="n">
        <v>1</v>
      </c>
      <c r="L898" t="n">
        <v>1574</v>
      </c>
      <c r="M898" t="n">
        <v>157.4</v>
      </c>
      <c r="N898">
        <f>VLOOKUP(J898,Products!$A$2:$C$49,3,FALSE)</f>
        <v/>
      </c>
      <c r="O898">
        <f>K898*L898-M898</f>
        <v/>
      </c>
      <c r="P898">
        <f>TEXT(B898,"yyyy-mm")</f>
        <v/>
      </c>
      <c r="Q898">
        <f>IF(O898&gt;=3000,"Large","Small")</f>
        <v/>
      </c>
      <c r="R898">
        <f>INDEX(Products!$F$2:$F$49,MATCH(J898,Products!$A$2:$A$49,0))</f>
        <v/>
      </c>
      <c r="S898">
        <f>WEEKDAY(B898,2)</f>
        <v/>
      </c>
    </row>
    <row r="899">
      <c r="A899" t="n">
        <v>509781</v>
      </c>
      <c r="B899" s="6" t="n">
        <v>45942</v>
      </c>
      <c r="C899" t="n">
        <v>11569</v>
      </c>
      <c r="D899" t="inlineStr">
        <is>
          <t>Chandigarh</t>
        </is>
      </c>
      <c r="E899" t="inlineStr">
        <is>
          <t>North</t>
        </is>
      </c>
      <c r="F899" t="inlineStr">
        <is>
          <t>Email</t>
        </is>
      </c>
      <c r="G899" t="inlineStr">
        <is>
          <t>Mobile Web</t>
        </is>
      </c>
      <c r="H899" t="inlineStr">
        <is>
          <t>UPI</t>
        </is>
      </c>
      <c r="I899" t="inlineStr">
        <is>
          <t>Delivered</t>
        </is>
      </c>
      <c r="J899" t="n">
        <v>137</v>
      </c>
      <c r="K899" t="n">
        <v>1</v>
      </c>
      <c r="L899" t="n">
        <v>261</v>
      </c>
      <c r="M899" t="n">
        <v>26.1</v>
      </c>
      <c r="N899">
        <f>VLOOKUP(J899,Products!$A$2:$C$49,3,FALSE)</f>
        <v/>
      </c>
      <c r="O899">
        <f>K899*L899-M899</f>
        <v/>
      </c>
      <c r="P899">
        <f>TEXT(B899,"yyyy-mm")</f>
        <v/>
      </c>
      <c r="Q899">
        <f>IF(O899&gt;=3000,"Large","Small")</f>
        <v/>
      </c>
      <c r="R899">
        <f>INDEX(Products!$F$2:$F$49,MATCH(J899,Products!$A$2:$A$49,0))</f>
        <v/>
      </c>
      <c r="S899">
        <f>WEEKDAY(B899,2)</f>
        <v/>
      </c>
    </row>
    <row r="900">
      <c r="A900" t="n">
        <v>509782</v>
      </c>
      <c r="B900" s="6" t="n">
        <v>45942</v>
      </c>
      <c r="C900" t="n">
        <v>13617</v>
      </c>
      <c r="D900" t="inlineStr">
        <is>
          <t>Bengaluru</t>
        </is>
      </c>
      <c r="E900" t="inlineStr">
        <is>
          <t>South</t>
        </is>
      </c>
      <c r="F900" t="inlineStr">
        <is>
          <t>Paid Social</t>
        </is>
      </c>
      <c r="G900" t="inlineStr">
        <is>
          <t>Mobile App</t>
        </is>
      </c>
      <c r="H900" t="inlineStr">
        <is>
          <t>UPI</t>
        </is>
      </c>
      <c r="I900" t="inlineStr">
        <is>
          <t>Delivered</t>
        </is>
      </c>
      <c r="J900" t="n">
        <v>129</v>
      </c>
      <c r="K900" t="n">
        <v>1</v>
      </c>
      <c r="L900" t="n">
        <v>576</v>
      </c>
      <c r="M900" t="n">
        <v>57.6</v>
      </c>
      <c r="N900">
        <f>VLOOKUP(J900,Products!$A$2:$C$49,3,FALSE)</f>
        <v/>
      </c>
      <c r="O900">
        <f>K900*L900-M900</f>
        <v/>
      </c>
      <c r="P900">
        <f>TEXT(B900,"yyyy-mm")</f>
        <v/>
      </c>
      <c r="Q900">
        <f>IF(O900&gt;=3000,"Large","Small")</f>
        <v/>
      </c>
      <c r="R900">
        <f>INDEX(Products!$F$2:$F$49,MATCH(J900,Products!$A$2:$A$49,0))</f>
        <v/>
      </c>
      <c r="S900">
        <f>WEEKDAY(B900,2)</f>
        <v/>
      </c>
    </row>
    <row r="901">
      <c r="A901" t="n">
        <v>509783</v>
      </c>
      <c r="B901" s="6" t="n">
        <v>45942</v>
      </c>
      <c r="C901" t="n">
        <v>16737</v>
      </c>
      <c r="D901" t="inlineStr">
        <is>
          <t>Pune</t>
        </is>
      </c>
      <c r="E901" t="inlineStr">
        <is>
          <t>West</t>
        </is>
      </c>
      <c r="F901" t="inlineStr">
        <is>
          <t>Paid Social</t>
        </is>
      </c>
      <c r="G901" t="inlineStr">
        <is>
          <t>Mobile App</t>
        </is>
      </c>
      <c r="H901" t="inlineStr">
        <is>
          <t>UPI</t>
        </is>
      </c>
      <c r="I901" t="inlineStr">
        <is>
          <t>Delivered</t>
        </is>
      </c>
      <c r="J901" t="n">
        <v>101</v>
      </c>
      <c r="K901" t="n">
        <v>2</v>
      </c>
      <c r="L901" t="n">
        <v>2099</v>
      </c>
      <c r="M901" t="n">
        <v>419.8</v>
      </c>
      <c r="N901">
        <f>VLOOKUP(J901,Products!$A$2:$C$49,3,FALSE)</f>
        <v/>
      </c>
      <c r="O901">
        <f>K901*L901-M901</f>
        <v/>
      </c>
      <c r="P901">
        <f>TEXT(B901,"yyyy-mm")</f>
        <v/>
      </c>
      <c r="Q901">
        <f>IF(O901&gt;=3000,"Large","Small")</f>
        <v/>
      </c>
      <c r="R901">
        <f>INDEX(Products!$F$2:$F$49,MATCH(J901,Products!$A$2:$A$49,0))</f>
        <v/>
      </c>
      <c r="S901">
        <f>WEEKDAY(B901,2)</f>
        <v/>
      </c>
    </row>
    <row r="902">
      <c r="A902" t="n">
        <v>509784</v>
      </c>
      <c r="B902" s="6" t="n">
        <v>45942</v>
      </c>
      <c r="C902" t="n">
        <v>10264</v>
      </c>
      <c r="D902" t="inlineStr">
        <is>
          <t>Pune</t>
        </is>
      </c>
      <c r="E902" t="inlineStr">
        <is>
          <t>West</t>
        </is>
      </c>
      <c r="F902" t="inlineStr">
        <is>
          <t>Organic Search</t>
        </is>
      </c>
      <c r="G902" t="inlineStr">
        <is>
          <t>Mobile App</t>
        </is>
      </c>
      <c r="H902" t="inlineStr">
        <is>
          <t>UPI</t>
        </is>
      </c>
      <c r="I902" t="inlineStr">
        <is>
          <t>Delivered</t>
        </is>
      </c>
      <c r="J902" t="n">
        <v>116</v>
      </c>
      <c r="K902" t="n">
        <v>1</v>
      </c>
      <c r="L902" t="n">
        <v>2624</v>
      </c>
      <c r="M902" t="n">
        <v>0</v>
      </c>
      <c r="N902">
        <f>VLOOKUP(J902,Products!$A$2:$C$49,3,FALSE)</f>
        <v/>
      </c>
      <c r="O902">
        <f>K902*L902-M902</f>
        <v/>
      </c>
      <c r="P902">
        <f>TEXT(B902,"yyyy-mm")</f>
        <v/>
      </c>
      <c r="Q902">
        <f>IF(O902&gt;=3000,"Large","Small")</f>
        <v/>
      </c>
      <c r="R902">
        <f>INDEX(Products!$F$2:$F$49,MATCH(J902,Products!$A$2:$A$49,0))</f>
        <v/>
      </c>
      <c r="S902">
        <f>WEEKDAY(B902,2)</f>
        <v/>
      </c>
    </row>
    <row r="903">
      <c r="A903" t="n">
        <v>509784</v>
      </c>
      <c r="B903" s="6" t="n">
        <v>45942</v>
      </c>
      <c r="C903" t="n">
        <v>10264</v>
      </c>
      <c r="D903" t="inlineStr">
        <is>
          <t>Pune</t>
        </is>
      </c>
      <c r="E903" t="inlineStr">
        <is>
          <t>West</t>
        </is>
      </c>
      <c r="F903" t="inlineStr">
        <is>
          <t>Organic Search</t>
        </is>
      </c>
      <c r="G903" t="inlineStr">
        <is>
          <t>Mobile App</t>
        </is>
      </c>
      <c r="H903" t="inlineStr">
        <is>
          <t>UPI</t>
        </is>
      </c>
      <c r="I903" t="inlineStr">
        <is>
          <t>Delivered</t>
        </is>
      </c>
      <c r="J903" t="n">
        <v>102</v>
      </c>
      <c r="K903" t="n">
        <v>1</v>
      </c>
      <c r="L903" t="n">
        <v>3674</v>
      </c>
      <c r="M903" t="n">
        <v>0</v>
      </c>
      <c r="N903">
        <f>VLOOKUP(J903,Products!$A$2:$C$49,3,FALSE)</f>
        <v/>
      </c>
      <c r="O903">
        <f>K903*L903-M903</f>
        <v/>
      </c>
      <c r="P903">
        <f>TEXT(B903,"yyyy-mm")</f>
        <v/>
      </c>
      <c r="Q903">
        <f>IF(O903&gt;=3000,"Large","Small")</f>
        <v/>
      </c>
      <c r="R903">
        <f>INDEX(Products!$F$2:$F$49,MATCH(J903,Products!$A$2:$A$49,0))</f>
        <v/>
      </c>
      <c r="S903">
        <f>WEEKDAY(B903,2)</f>
        <v/>
      </c>
    </row>
    <row r="904">
      <c r="A904" t="n">
        <v>509784</v>
      </c>
      <c r="B904" s="6" t="n">
        <v>45942</v>
      </c>
      <c r="C904" t="n">
        <v>10264</v>
      </c>
      <c r="D904" t="inlineStr">
        <is>
          <t>Pune</t>
        </is>
      </c>
      <c r="E904" t="inlineStr">
        <is>
          <t>West</t>
        </is>
      </c>
      <c r="F904" t="inlineStr">
        <is>
          <t>Organic Search</t>
        </is>
      </c>
      <c r="G904" t="inlineStr">
        <is>
          <t>Mobile App</t>
        </is>
      </c>
      <c r="H904" t="inlineStr">
        <is>
          <t>UPI</t>
        </is>
      </c>
      <c r="I904" t="inlineStr">
        <is>
          <t>Delivered</t>
        </is>
      </c>
      <c r="J904" t="n">
        <v>129</v>
      </c>
      <c r="K904" t="n">
        <v>1</v>
      </c>
      <c r="L904" t="n">
        <v>576</v>
      </c>
      <c r="M904" t="n">
        <v>0</v>
      </c>
      <c r="N904">
        <f>VLOOKUP(J904,Products!$A$2:$C$49,3,FALSE)</f>
        <v/>
      </c>
      <c r="O904">
        <f>K904*L904-M904</f>
        <v/>
      </c>
      <c r="P904">
        <f>TEXT(B904,"yyyy-mm")</f>
        <v/>
      </c>
      <c r="Q904">
        <f>IF(O904&gt;=3000,"Large","Small")</f>
        <v/>
      </c>
      <c r="R904">
        <f>INDEX(Products!$F$2:$F$49,MATCH(J904,Products!$A$2:$A$49,0))</f>
        <v/>
      </c>
      <c r="S904">
        <f>WEEKDAY(B904,2)</f>
        <v/>
      </c>
    </row>
    <row r="905">
      <c r="A905" t="n">
        <v>509785</v>
      </c>
      <c r="B905" s="6" t="n">
        <v>45942</v>
      </c>
      <c r="C905" t="n">
        <v>15905</v>
      </c>
      <c r="D905" t="inlineStr">
        <is>
          <t>Bengaluru</t>
        </is>
      </c>
      <c r="E905" t="inlineStr">
        <is>
          <t>South</t>
        </is>
      </c>
      <c r="F905" t="inlineStr">
        <is>
          <t>Referral</t>
        </is>
      </c>
      <c r="G905" t="inlineStr">
        <is>
          <t>Mobile App</t>
        </is>
      </c>
      <c r="H905" t="inlineStr">
        <is>
          <t>UPI</t>
        </is>
      </c>
      <c r="I905" t="inlineStr">
        <is>
          <t>Cancelled</t>
        </is>
      </c>
      <c r="J905" t="n">
        <v>101</v>
      </c>
      <c r="K905" t="n">
        <v>1</v>
      </c>
      <c r="L905" t="n">
        <v>2099</v>
      </c>
      <c r="M905" t="n">
        <v>209.9</v>
      </c>
      <c r="N905">
        <f>VLOOKUP(J905,Products!$A$2:$C$49,3,FALSE)</f>
        <v/>
      </c>
      <c r="O905">
        <f>K905*L905-M905</f>
        <v/>
      </c>
      <c r="P905">
        <f>TEXT(B905,"yyyy-mm")</f>
        <v/>
      </c>
      <c r="Q905">
        <f>IF(O905&gt;=3000,"Large","Small")</f>
        <v/>
      </c>
      <c r="R905">
        <f>INDEX(Products!$F$2:$F$49,MATCH(J905,Products!$A$2:$A$49,0))</f>
        <v/>
      </c>
      <c r="S905">
        <f>WEEKDAY(B905,2)</f>
        <v/>
      </c>
    </row>
    <row r="906">
      <c r="A906" t="n">
        <v>509785</v>
      </c>
      <c r="B906" s="6" t="n">
        <v>45942</v>
      </c>
      <c r="C906" t="n">
        <v>15905</v>
      </c>
      <c r="D906" t="inlineStr">
        <is>
          <t>Bengaluru</t>
        </is>
      </c>
      <c r="E906" t="inlineStr">
        <is>
          <t>South</t>
        </is>
      </c>
      <c r="F906" t="inlineStr">
        <is>
          <t>Referral</t>
        </is>
      </c>
      <c r="G906" t="inlineStr">
        <is>
          <t>Mobile App</t>
        </is>
      </c>
      <c r="H906" t="inlineStr">
        <is>
          <t>UPI</t>
        </is>
      </c>
      <c r="I906" t="inlineStr">
        <is>
          <t>Cancelled</t>
        </is>
      </c>
      <c r="J906" t="n">
        <v>129</v>
      </c>
      <c r="K906" t="n">
        <v>1</v>
      </c>
      <c r="L906" t="n">
        <v>576</v>
      </c>
      <c r="M906" t="n">
        <v>57.6</v>
      </c>
      <c r="N906">
        <f>VLOOKUP(J906,Products!$A$2:$C$49,3,FALSE)</f>
        <v/>
      </c>
      <c r="O906">
        <f>K906*L906-M906</f>
        <v/>
      </c>
      <c r="P906">
        <f>TEXT(B906,"yyyy-mm")</f>
        <v/>
      </c>
      <c r="Q906">
        <f>IF(O906&gt;=3000,"Large","Small")</f>
        <v/>
      </c>
      <c r="R906">
        <f>INDEX(Products!$F$2:$F$49,MATCH(J906,Products!$A$2:$A$49,0))</f>
        <v/>
      </c>
      <c r="S906">
        <f>WEEKDAY(B906,2)</f>
        <v/>
      </c>
    </row>
    <row r="907">
      <c r="A907" t="n">
        <v>509786</v>
      </c>
      <c r="B907" s="6" t="n">
        <v>45942</v>
      </c>
      <c r="C907" t="n">
        <v>16684</v>
      </c>
      <c r="D907" t="inlineStr">
        <is>
          <t>Jaipur</t>
        </is>
      </c>
      <c r="E907" t="inlineStr">
        <is>
          <t>North</t>
        </is>
      </c>
      <c r="F907" t="inlineStr">
        <is>
          <t>Referral</t>
        </is>
      </c>
      <c r="G907" t="inlineStr">
        <is>
          <t>Desktop</t>
        </is>
      </c>
      <c r="H907" t="inlineStr">
        <is>
          <t>UPI</t>
        </is>
      </c>
      <c r="I907" t="inlineStr">
        <is>
          <t>Delivered</t>
        </is>
      </c>
      <c r="J907" t="n">
        <v>148</v>
      </c>
      <c r="K907" t="n">
        <v>1</v>
      </c>
      <c r="L907" t="n">
        <v>734</v>
      </c>
      <c r="M907" t="n">
        <v>110.1</v>
      </c>
      <c r="N907">
        <f>VLOOKUP(J907,Products!$A$2:$C$49,3,FALSE)</f>
        <v/>
      </c>
      <c r="O907">
        <f>K907*L907-M907</f>
        <v/>
      </c>
      <c r="P907">
        <f>TEXT(B907,"yyyy-mm")</f>
        <v/>
      </c>
      <c r="Q907">
        <f>IF(O907&gt;=3000,"Large","Small")</f>
        <v/>
      </c>
      <c r="R907">
        <f>INDEX(Products!$F$2:$F$49,MATCH(J907,Products!$A$2:$A$49,0))</f>
        <v/>
      </c>
      <c r="S907">
        <f>WEEKDAY(B907,2)</f>
        <v/>
      </c>
    </row>
    <row r="908">
      <c r="A908" t="n">
        <v>509787</v>
      </c>
      <c r="B908" s="6" t="n">
        <v>45942</v>
      </c>
      <c r="C908" t="n">
        <v>16734</v>
      </c>
      <c r="D908" t="inlineStr">
        <is>
          <t>Kolkata</t>
        </is>
      </c>
      <c r="E908" t="inlineStr">
        <is>
          <t>East</t>
        </is>
      </c>
      <c r="F908" t="inlineStr">
        <is>
          <t>Paid Social</t>
        </is>
      </c>
      <c r="G908" t="inlineStr">
        <is>
          <t>Desktop</t>
        </is>
      </c>
      <c r="H908" t="inlineStr">
        <is>
          <t>Cash on Delivery</t>
        </is>
      </c>
      <c r="I908" t="inlineStr">
        <is>
          <t>Delivered</t>
        </is>
      </c>
      <c r="J908" t="n">
        <v>123</v>
      </c>
      <c r="K908" t="n">
        <v>1</v>
      </c>
      <c r="L908" t="n">
        <v>3464</v>
      </c>
      <c r="M908" t="n">
        <v>0</v>
      </c>
      <c r="N908">
        <f>VLOOKUP(J908,Products!$A$2:$C$49,3,FALSE)</f>
        <v/>
      </c>
      <c r="O908">
        <f>K908*L908-M908</f>
        <v/>
      </c>
      <c r="P908">
        <f>TEXT(B908,"yyyy-mm")</f>
        <v/>
      </c>
      <c r="Q908">
        <f>IF(O908&gt;=3000,"Large","Small")</f>
        <v/>
      </c>
      <c r="R908">
        <f>INDEX(Products!$F$2:$F$49,MATCH(J908,Products!$A$2:$A$49,0))</f>
        <v/>
      </c>
      <c r="S908">
        <f>WEEKDAY(B908,2)</f>
        <v/>
      </c>
    </row>
    <row r="909">
      <c r="A909" t="n">
        <v>509787</v>
      </c>
      <c r="B909" s="6" t="n">
        <v>45942</v>
      </c>
      <c r="C909" t="n">
        <v>16734</v>
      </c>
      <c r="D909" t="inlineStr">
        <is>
          <t>Kolkata</t>
        </is>
      </c>
      <c r="E909" t="inlineStr">
        <is>
          <t>East</t>
        </is>
      </c>
      <c r="F909" t="inlineStr">
        <is>
          <t>Paid Social</t>
        </is>
      </c>
      <c r="G909" t="inlineStr">
        <is>
          <t>Desktop</t>
        </is>
      </c>
      <c r="H909" t="inlineStr">
        <is>
          <t>Cash on Delivery</t>
        </is>
      </c>
      <c r="I909" t="inlineStr">
        <is>
          <t>Delivered</t>
        </is>
      </c>
      <c r="J909" t="n">
        <v>135</v>
      </c>
      <c r="K909" t="n">
        <v>1</v>
      </c>
      <c r="L909" t="n">
        <v>1574</v>
      </c>
      <c r="M909" t="n">
        <v>0</v>
      </c>
      <c r="N909">
        <f>VLOOKUP(J909,Products!$A$2:$C$49,3,FALSE)</f>
        <v/>
      </c>
      <c r="O909">
        <f>K909*L909-M909</f>
        <v/>
      </c>
      <c r="P909">
        <f>TEXT(B909,"yyyy-mm")</f>
        <v/>
      </c>
      <c r="Q909">
        <f>IF(O909&gt;=3000,"Large","Small")</f>
        <v/>
      </c>
      <c r="R909">
        <f>INDEX(Products!$F$2:$F$49,MATCH(J909,Products!$A$2:$A$49,0))</f>
        <v/>
      </c>
      <c r="S909">
        <f>WEEKDAY(B909,2)</f>
        <v/>
      </c>
    </row>
    <row r="910">
      <c r="A910" t="n">
        <v>509787</v>
      </c>
      <c r="B910" s="6" t="n">
        <v>45942</v>
      </c>
      <c r="C910" t="n">
        <v>16734</v>
      </c>
      <c r="D910" t="inlineStr">
        <is>
          <t>Kolkata</t>
        </is>
      </c>
      <c r="E910" t="inlineStr">
        <is>
          <t>East</t>
        </is>
      </c>
      <c r="F910" t="inlineStr">
        <is>
          <t>Paid Social</t>
        </is>
      </c>
      <c r="G910" t="inlineStr">
        <is>
          <t>Desktop</t>
        </is>
      </c>
      <c r="H910" t="inlineStr">
        <is>
          <t>Cash on Delivery</t>
        </is>
      </c>
      <c r="I910" t="inlineStr">
        <is>
          <t>Delivered</t>
        </is>
      </c>
      <c r="J910" t="n">
        <v>130</v>
      </c>
      <c r="K910" t="n">
        <v>1</v>
      </c>
      <c r="L910" t="n">
        <v>734</v>
      </c>
      <c r="M910" t="n">
        <v>0</v>
      </c>
      <c r="N910">
        <f>VLOOKUP(J910,Products!$A$2:$C$49,3,FALSE)</f>
        <v/>
      </c>
      <c r="O910">
        <f>K910*L910-M910</f>
        <v/>
      </c>
      <c r="P910">
        <f>TEXT(B910,"yyyy-mm")</f>
        <v/>
      </c>
      <c r="Q910">
        <f>IF(O910&gt;=3000,"Large","Small")</f>
        <v/>
      </c>
      <c r="R910">
        <f>INDEX(Products!$F$2:$F$49,MATCH(J910,Products!$A$2:$A$49,0))</f>
        <v/>
      </c>
      <c r="S910">
        <f>WEEKDAY(B910,2)</f>
        <v/>
      </c>
    </row>
    <row r="911">
      <c r="A911" t="n">
        <v>509788</v>
      </c>
      <c r="B911" s="6" t="n">
        <v>45942</v>
      </c>
      <c r="C911" t="n">
        <v>16674</v>
      </c>
      <c r="D911" t="inlineStr">
        <is>
          <t>Pune</t>
        </is>
      </c>
      <c r="E911" t="inlineStr">
        <is>
          <t>West</t>
        </is>
      </c>
      <c r="F911" t="inlineStr">
        <is>
          <t>Paid Search</t>
        </is>
      </c>
      <c r="G911" t="inlineStr">
        <is>
          <t>Mobile Web</t>
        </is>
      </c>
      <c r="H911" t="inlineStr">
        <is>
          <t>Cash on Delivery</t>
        </is>
      </c>
      <c r="I911" t="inlineStr">
        <is>
          <t>Returned</t>
        </is>
      </c>
      <c r="J911" t="n">
        <v>112</v>
      </c>
      <c r="K911" t="n">
        <v>1</v>
      </c>
      <c r="L911" t="n">
        <v>1574</v>
      </c>
      <c r="M911" t="n">
        <v>157.4</v>
      </c>
      <c r="N911">
        <f>VLOOKUP(J911,Products!$A$2:$C$49,3,FALSE)</f>
        <v/>
      </c>
      <c r="O911">
        <f>K911*L911-M911</f>
        <v/>
      </c>
      <c r="P911">
        <f>TEXT(B911,"yyyy-mm")</f>
        <v/>
      </c>
      <c r="Q911">
        <f>IF(O911&gt;=3000,"Large","Small")</f>
        <v/>
      </c>
      <c r="R911">
        <f>INDEX(Products!$F$2:$F$49,MATCH(J911,Products!$A$2:$A$49,0))</f>
        <v/>
      </c>
      <c r="S911">
        <f>WEEKDAY(B911,2)</f>
        <v/>
      </c>
    </row>
    <row r="912">
      <c r="A912" t="n">
        <v>509789</v>
      </c>
      <c r="B912" s="6" t="n">
        <v>45942</v>
      </c>
      <c r="C912" t="n">
        <v>12399</v>
      </c>
      <c r="D912" t="inlineStr">
        <is>
          <t>Gurugram</t>
        </is>
      </c>
      <c r="E912" t="inlineStr">
        <is>
          <t>North</t>
        </is>
      </c>
      <c r="F912" t="inlineStr">
        <is>
          <t>Paid Social</t>
        </is>
      </c>
      <c r="G912" t="inlineStr">
        <is>
          <t>Mobile App</t>
        </is>
      </c>
      <c r="H912" t="inlineStr">
        <is>
          <t>Cash on Delivery</t>
        </is>
      </c>
      <c r="I912" t="inlineStr">
        <is>
          <t>Delivered</t>
        </is>
      </c>
      <c r="J912" t="n">
        <v>107</v>
      </c>
      <c r="K912" t="n">
        <v>1</v>
      </c>
      <c r="L912" t="n">
        <v>1259</v>
      </c>
      <c r="M912" t="n">
        <v>125.9</v>
      </c>
      <c r="N912">
        <f>VLOOKUP(J912,Products!$A$2:$C$49,3,FALSE)</f>
        <v/>
      </c>
      <c r="O912">
        <f>K912*L912-M912</f>
        <v/>
      </c>
      <c r="P912">
        <f>TEXT(B912,"yyyy-mm")</f>
        <v/>
      </c>
      <c r="Q912">
        <f>IF(O912&gt;=3000,"Large","Small")</f>
        <v/>
      </c>
      <c r="R912">
        <f>INDEX(Products!$F$2:$F$49,MATCH(J912,Products!$A$2:$A$49,0))</f>
        <v/>
      </c>
      <c r="S912">
        <f>WEEKDAY(B912,2)</f>
        <v/>
      </c>
    </row>
    <row r="913">
      <c r="A913" t="n">
        <v>509790</v>
      </c>
      <c r="B913" s="6" t="n">
        <v>45942</v>
      </c>
      <c r="C913" t="n">
        <v>16790</v>
      </c>
      <c r="D913" t="inlineStr">
        <is>
          <t>Kochi</t>
        </is>
      </c>
      <c r="E913" t="inlineStr">
        <is>
          <t>South</t>
        </is>
      </c>
      <c r="F913" t="inlineStr">
        <is>
          <t>Organic Search</t>
        </is>
      </c>
      <c r="G913" t="inlineStr">
        <is>
          <t>Mobile Web</t>
        </is>
      </c>
      <c r="H913" t="inlineStr">
        <is>
          <t>Cash on Delivery</t>
        </is>
      </c>
      <c r="I913" t="inlineStr">
        <is>
          <t>Cancelled</t>
        </is>
      </c>
      <c r="J913" t="n">
        <v>125</v>
      </c>
      <c r="K913" t="n">
        <v>1</v>
      </c>
      <c r="L913" t="n">
        <v>1364</v>
      </c>
      <c r="M913" t="n">
        <v>136.4</v>
      </c>
      <c r="N913">
        <f>VLOOKUP(J913,Products!$A$2:$C$49,3,FALSE)</f>
        <v/>
      </c>
      <c r="O913">
        <f>K913*L913-M913</f>
        <v/>
      </c>
      <c r="P913">
        <f>TEXT(B913,"yyyy-mm")</f>
        <v/>
      </c>
      <c r="Q913">
        <f>IF(O913&gt;=3000,"Large","Small")</f>
        <v/>
      </c>
      <c r="R913">
        <f>INDEX(Products!$F$2:$F$49,MATCH(J913,Products!$A$2:$A$49,0))</f>
        <v/>
      </c>
      <c r="S913">
        <f>WEEKDAY(B913,2)</f>
        <v/>
      </c>
    </row>
    <row r="914">
      <c r="A914" t="n">
        <v>509790</v>
      </c>
      <c r="B914" s="6" t="n">
        <v>45942</v>
      </c>
      <c r="C914" t="n">
        <v>16790</v>
      </c>
      <c r="D914" t="inlineStr">
        <is>
          <t>Kochi</t>
        </is>
      </c>
      <c r="E914" t="inlineStr">
        <is>
          <t>South</t>
        </is>
      </c>
      <c r="F914" t="inlineStr">
        <is>
          <t>Organic Search</t>
        </is>
      </c>
      <c r="G914" t="inlineStr">
        <is>
          <t>Mobile Web</t>
        </is>
      </c>
      <c r="H914" t="inlineStr">
        <is>
          <t>Cash on Delivery</t>
        </is>
      </c>
      <c r="I914" t="inlineStr">
        <is>
          <t>Cancelled</t>
        </is>
      </c>
      <c r="J914" t="n">
        <v>108</v>
      </c>
      <c r="K914" t="n">
        <v>1</v>
      </c>
      <c r="L914" t="n">
        <v>419</v>
      </c>
      <c r="M914" t="n">
        <v>41.9</v>
      </c>
      <c r="N914">
        <f>VLOOKUP(J914,Products!$A$2:$C$49,3,FALSE)</f>
        <v/>
      </c>
      <c r="O914">
        <f>K914*L914-M914</f>
        <v/>
      </c>
      <c r="P914">
        <f>TEXT(B914,"yyyy-mm")</f>
        <v/>
      </c>
      <c r="Q914">
        <f>IF(O914&gt;=3000,"Large","Small")</f>
        <v/>
      </c>
      <c r="R914">
        <f>INDEX(Products!$F$2:$F$49,MATCH(J914,Products!$A$2:$A$49,0))</f>
        <v/>
      </c>
      <c r="S914">
        <f>WEEKDAY(B914,2)</f>
        <v/>
      </c>
    </row>
    <row r="915">
      <c r="A915" t="n">
        <v>509790</v>
      </c>
      <c r="B915" s="6" t="n">
        <v>45942</v>
      </c>
      <c r="C915" t="n">
        <v>16790</v>
      </c>
      <c r="D915" t="inlineStr">
        <is>
          <t>Kochi</t>
        </is>
      </c>
      <c r="E915" t="inlineStr">
        <is>
          <t>South</t>
        </is>
      </c>
      <c r="F915" t="inlineStr">
        <is>
          <t>Organic Search</t>
        </is>
      </c>
      <c r="G915" t="inlineStr">
        <is>
          <t>Mobile Web</t>
        </is>
      </c>
      <c r="H915" t="inlineStr">
        <is>
          <t>Cash on Delivery</t>
        </is>
      </c>
      <c r="I915" t="inlineStr">
        <is>
          <t>Cancelled</t>
        </is>
      </c>
      <c r="J915" t="n">
        <v>104</v>
      </c>
      <c r="K915" t="n">
        <v>1</v>
      </c>
      <c r="L915" t="n">
        <v>5249</v>
      </c>
      <c r="M915" t="n">
        <v>524.9</v>
      </c>
      <c r="N915">
        <f>VLOOKUP(J915,Products!$A$2:$C$49,3,FALSE)</f>
        <v/>
      </c>
      <c r="O915">
        <f>K915*L915-M915</f>
        <v/>
      </c>
      <c r="P915">
        <f>TEXT(B915,"yyyy-mm")</f>
        <v/>
      </c>
      <c r="Q915">
        <f>IF(O915&gt;=3000,"Large","Small")</f>
        <v/>
      </c>
      <c r="R915">
        <f>INDEX(Products!$F$2:$F$49,MATCH(J915,Products!$A$2:$A$49,0))</f>
        <v/>
      </c>
      <c r="S915">
        <f>WEEKDAY(B915,2)</f>
        <v/>
      </c>
    </row>
    <row r="916">
      <c r="A916" t="n">
        <v>509790</v>
      </c>
      <c r="B916" s="6" t="n">
        <v>45942</v>
      </c>
      <c r="C916" t="n">
        <v>16790</v>
      </c>
      <c r="D916" t="inlineStr">
        <is>
          <t>Kochi</t>
        </is>
      </c>
      <c r="E916" t="inlineStr">
        <is>
          <t>South</t>
        </is>
      </c>
      <c r="F916" t="inlineStr">
        <is>
          <t>Organic Search</t>
        </is>
      </c>
      <c r="G916" t="inlineStr">
        <is>
          <t>Mobile Web</t>
        </is>
      </c>
      <c r="H916" t="inlineStr">
        <is>
          <t>Cash on Delivery</t>
        </is>
      </c>
      <c r="I916" t="inlineStr">
        <is>
          <t>Cancelled</t>
        </is>
      </c>
      <c r="J916" t="n">
        <v>129</v>
      </c>
      <c r="K916" t="n">
        <v>1</v>
      </c>
      <c r="L916" t="n">
        <v>576</v>
      </c>
      <c r="M916" t="n">
        <v>57.6</v>
      </c>
      <c r="N916">
        <f>VLOOKUP(J916,Products!$A$2:$C$49,3,FALSE)</f>
        <v/>
      </c>
      <c r="O916">
        <f>K916*L916-M916</f>
        <v/>
      </c>
      <c r="P916">
        <f>TEXT(B916,"yyyy-mm")</f>
        <v/>
      </c>
      <c r="Q916">
        <f>IF(O916&gt;=3000,"Large","Small")</f>
        <v/>
      </c>
      <c r="R916">
        <f>INDEX(Products!$F$2:$F$49,MATCH(J916,Products!$A$2:$A$49,0))</f>
        <v/>
      </c>
      <c r="S916">
        <f>WEEKDAY(B916,2)</f>
        <v/>
      </c>
    </row>
    <row r="917">
      <c r="A917" t="n">
        <v>509791</v>
      </c>
      <c r="B917" s="6" t="n">
        <v>45942</v>
      </c>
      <c r="C917" t="n">
        <v>16728</v>
      </c>
      <c r="D917" t="inlineStr">
        <is>
          <t>Pune</t>
        </is>
      </c>
      <c r="E917" t="inlineStr">
        <is>
          <t>West</t>
        </is>
      </c>
      <c r="F917" t="inlineStr">
        <is>
          <t>Paid Search</t>
        </is>
      </c>
      <c r="G917" t="inlineStr">
        <is>
          <t>Desktop</t>
        </is>
      </c>
      <c r="H917" t="inlineStr">
        <is>
          <t>Debit Card</t>
        </is>
      </c>
      <c r="I917" t="inlineStr">
        <is>
          <t>Returned</t>
        </is>
      </c>
      <c r="J917" t="n">
        <v>120</v>
      </c>
      <c r="K917" t="n">
        <v>2</v>
      </c>
      <c r="L917" t="n">
        <v>734</v>
      </c>
      <c r="M917" t="n">
        <v>220.2</v>
      </c>
      <c r="N917">
        <f>VLOOKUP(J917,Products!$A$2:$C$49,3,FALSE)</f>
        <v/>
      </c>
      <c r="O917">
        <f>K917*L917-M917</f>
        <v/>
      </c>
      <c r="P917">
        <f>TEXT(B917,"yyyy-mm")</f>
        <v/>
      </c>
      <c r="Q917">
        <f>IF(O917&gt;=3000,"Large","Small")</f>
        <v/>
      </c>
      <c r="R917">
        <f>INDEX(Products!$F$2:$F$49,MATCH(J917,Products!$A$2:$A$49,0))</f>
        <v/>
      </c>
      <c r="S917">
        <f>WEEKDAY(B917,2)</f>
        <v/>
      </c>
    </row>
    <row r="918">
      <c r="A918" t="n">
        <v>509792</v>
      </c>
      <c r="B918" s="6" t="n">
        <v>45942</v>
      </c>
      <c r="C918" t="n">
        <v>10283</v>
      </c>
      <c r="D918" t="inlineStr">
        <is>
          <t>Gurugram</t>
        </is>
      </c>
      <c r="E918" t="inlineStr">
        <is>
          <t>North</t>
        </is>
      </c>
      <c r="F918" t="inlineStr">
        <is>
          <t>Organic Search</t>
        </is>
      </c>
      <c r="G918" t="inlineStr">
        <is>
          <t>Mobile Web</t>
        </is>
      </c>
      <c r="H918" t="inlineStr">
        <is>
          <t>Net Banking</t>
        </is>
      </c>
      <c r="I918" t="inlineStr">
        <is>
          <t>Delivered</t>
        </is>
      </c>
      <c r="J918" t="n">
        <v>126</v>
      </c>
      <c r="K918" t="n">
        <v>1</v>
      </c>
      <c r="L918" t="n">
        <v>471</v>
      </c>
      <c r="M918" t="n">
        <v>47.1</v>
      </c>
      <c r="N918">
        <f>VLOOKUP(J918,Products!$A$2:$C$49,3,FALSE)</f>
        <v/>
      </c>
      <c r="O918">
        <f>K918*L918-M918</f>
        <v/>
      </c>
      <c r="P918">
        <f>TEXT(B918,"yyyy-mm")</f>
        <v/>
      </c>
      <c r="Q918">
        <f>IF(O918&gt;=3000,"Large","Small")</f>
        <v/>
      </c>
      <c r="R918">
        <f>INDEX(Products!$F$2:$F$49,MATCH(J918,Products!$A$2:$A$49,0))</f>
        <v/>
      </c>
      <c r="S918">
        <f>WEEKDAY(B918,2)</f>
        <v/>
      </c>
    </row>
    <row r="919">
      <c r="A919" t="n">
        <v>509793</v>
      </c>
      <c r="B919" s="6" t="n">
        <v>45942</v>
      </c>
      <c r="C919" t="n">
        <v>10097</v>
      </c>
      <c r="D919" t="inlineStr">
        <is>
          <t>Lucknow</t>
        </is>
      </c>
      <c r="E919" t="inlineStr">
        <is>
          <t>North</t>
        </is>
      </c>
      <c r="F919" t="inlineStr">
        <is>
          <t>Organic Search</t>
        </is>
      </c>
      <c r="G919" t="inlineStr">
        <is>
          <t>Desktop</t>
        </is>
      </c>
      <c r="H919" t="inlineStr">
        <is>
          <t>Debit Card</t>
        </is>
      </c>
      <c r="I919" t="inlineStr">
        <is>
          <t>Delivered</t>
        </is>
      </c>
      <c r="J919" t="n">
        <v>118</v>
      </c>
      <c r="K919" t="n">
        <v>1</v>
      </c>
      <c r="L919" t="n">
        <v>944</v>
      </c>
      <c r="M919" t="n">
        <v>0</v>
      </c>
      <c r="N919">
        <f>VLOOKUP(J919,Products!$A$2:$C$49,3,FALSE)</f>
        <v/>
      </c>
      <c r="O919">
        <f>K919*L919-M919</f>
        <v/>
      </c>
      <c r="P919">
        <f>TEXT(B919,"yyyy-mm")</f>
        <v/>
      </c>
      <c r="Q919">
        <f>IF(O919&gt;=3000,"Large","Small")</f>
        <v/>
      </c>
      <c r="R919">
        <f>INDEX(Products!$F$2:$F$49,MATCH(J919,Products!$A$2:$A$49,0))</f>
        <v/>
      </c>
      <c r="S919">
        <f>WEEKDAY(B919,2)</f>
        <v/>
      </c>
    </row>
    <row r="920">
      <c r="A920" t="n">
        <v>509794</v>
      </c>
      <c r="B920" s="6" t="n">
        <v>45942</v>
      </c>
      <c r="C920" t="n">
        <v>16781</v>
      </c>
      <c r="D920" t="inlineStr">
        <is>
          <t>Indore</t>
        </is>
      </c>
      <c r="E920" t="inlineStr">
        <is>
          <t>West</t>
        </is>
      </c>
      <c r="F920" t="inlineStr">
        <is>
          <t>Organic Search</t>
        </is>
      </c>
      <c r="G920" t="inlineStr">
        <is>
          <t>Desktop</t>
        </is>
      </c>
      <c r="H920" t="inlineStr">
        <is>
          <t>UPI</t>
        </is>
      </c>
      <c r="I920" t="inlineStr">
        <is>
          <t>Returned</t>
        </is>
      </c>
      <c r="J920" t="n">
        <v>143</v>
      </c>
      <c r="K920" t="n">
        <v>1</v>
      </c>
      <c r="L920" t="n">
        <v>839</v>
      </c>
      <c r="M920" t="n">
        <v>125.85</v>
      </c>
      <c r="N920">
        <f>VLOOKUP(J920,Products!$A$2:$C$49,3,FALSE)</f>
        <v/>
      </c>
      <c r="O920">
        <f>K920*L920-M920</f>
        <v/>
      </c>
      <c r="P920">
        <f>TEXT(B920,"yyyy-mm")</f>
        <v/>
      </c>
      <c r="Q920">
        <f>IF(O920&gt;=3000,"Large","Small")</f>
        <v/>
      </c>
      <c r="R920">
        <f>INDEX(Products!$F$2:$F$49,MATCH(J920,Products!$A$2:$A$49,0))</f>
        <v/>
      </c>
      <c r="S920">
        <f>WEEKDAY(B920,2)</f>
        <v/>
      </c>
    </row>
    <row r="921">
      <c r="A921" t="n">
        <v>509794</v>
      </c>
      <c r="B921" s="6" t="n">
        <v>45942</v>
      </c>
      <c r="C921" t="n">
        <v>16781</v>
      </c>
      <c r="D921" t="inlineStr">
        <is>
          <t>Indore</t>
        </is>
      </c>
      <c r="E921" t="inlineStr">
        <is>
          <t>West</t>
        </is>
      </c>
      <c r="F921" t="inlineStr">
        <is>
          <t>Organic Search</t>
        </is>
      </c>
      <c r="G921" t="inlineStr">
        <is>
          <t>Desktop</t>
        </is>
      </c>
      <c r="H921" t="inlineStr">
        <is>
          <t>UPI</t>
        </is>
      </c>
      <c r="I921" t="inlineStr">
        <is>
          <t>Returned</t>
        </is>
      </c>
      <c r="J921" t="n">
        <v>102</v>
      </c>
      <c r="K921" t="n">
        <v>1</v>
      </c>
      <c r="L921" t="n">
        <v>3674</v>
      </c>
      <c r="M921" t="n">
        <v>551.1</v>
      </c>
      <c r="N921">
        <f>VLOOKUP(J921,Products!$A$2:$C$49,3,FALSE)</f>
        <v/>
      </c>
      <c r="O921">
        <f>K921*L921-M921</f>
        <v/>
      </c>
      <c r="P921">
        <f>TEXT(B921,"yyyy-mm")</f>
        <v/>
      </c>
      <c r="Q921">
        <f>IF(O921&gt;=3000,"Large","Small")</f>
        <v/>
      </c>
      <c r="R921">
        <f>INDEX(Products!$F$2:$F$49,MATCH(J921,Products!$A$2:$A$49,0))</f>
        <v/>
      </c>
      <c r="S921">
        <f>WEEKDAY(B921,2)</f>
        <v/>
      </c>
    </row>
    <row r="922">
      <c r="A922" t="n">
        <v>509794</v>
      </c>
      <c r="B922" s="6" t="n">
        <v>45942</v>
      </c>
      <c r="C922" t="n">
        <v>16781</v>
      </c>
      <c r="D922" t="inlineStr">
        <is>
          <t>Indore</t>
        </is>
      </c>
      <c r="E922" t="inlineStr">
        <is>
          <t>West</t>
        </is>
      </c>
      <c r="F922" t="inlineStr">
        <is>
          <t>Organic Search</t>
        </is>
      </c>
      <c r="G922" t="inlineStr">
        <is>
          <t>Desktop</t>
        </is>
      </c>
      <c r="H922" t="inlineStr">
        <is>
          <t>UPI</t>
        </is>
      </c>
      <c r="I922" t="inlineStr">
        <is>
          <t>Returned</t>
        </is>
      </c>
      <c r="J922" t="n">
        <v>107</v>
      </c>
      <c r="K922" t="n">
        <v>1</v>
      </c>
      <c r="L922" t="n">
        <v>1259</v>
      </c>
      <c r="M922" t="n">
        <v>188.85</v>
      </c>
      <c r="N922">
        <f>VLOOKUP(J922,Products!$A$2:$C$49,3,FALSE)</f>
        <v/>
      </c>
      <c r="O922">
        <f>K922*L922-M922</f>
        <v/>
      </c>
      <c r="P922">
        <f>TEXT(B922,"yyyy-mm")</f>
        <v/>
      </c>
      <c r="Q922">
        <f>IF(O922&gt;=3000,"Large","Small")</f>
        <v/>
      </c>
      <c r="R922">
        <f>INDEX(Products!$F$2:$F$49,MATCH(J922,Products!$A$2:$A$49,0))</f>
        <v/>
      </c>
      <c r="S922">
        <f>WEEKDAY(B922,2)</f>
        <v/>
      </c>
    </row>
    <row r="923">
      <c r="A923" t="n">
        <v>509794</v>
      </c>
      <c r="B923" s="6" t="n">
        <v>45942</v>
      </c>
      <c r="C923" t="n">
        <v>16781</v>
      </c>
      <c r="D923" t="inlineStr">
        <is>
          <t>Indore</t>
        </is>
      </c>
      <c r="E923" t="inlineStr">
        <is>
          <t>West</t>
        </is>
      </c>
      <c r="F923" t="inlineStr">
        <is>
          <t>Organic Search</t>
        </is>
      </c>
      <c r="G923" t="inlineStr">
        <is>
          <t>Desktop</t>
        </is>
      </c>
      <c r="H923" t="inlineStr">
        <is>
          <t>UPI</t>
        </is>
      </c>
      <c r="I923" t="inlineStr">
        <is>
          <t>Returned</t>
        </is>
      </c>
      <c r="J923" t="n">
        <v>118</v>
      </c>
      <c r="K923" t="n">
        <v>3</v>
      </c>
      <c r="L923" t="n">
        <v>944</v>
      </c>
      <c r="M923" t="n">
        <v>424.8</v>
      </c>
      <c r="N923">
        <f>VLOOKUP(J923,Products!$A$2:$C$49,3,FALSE)</f>
        <v/>
      </c>
      <c r="O923">
        <f>K923*L923-M923</f>
        <v/>
      </c>
      <c r="P923">
        <f>TEXT(B923,"yyyy-mm")</f>
        <v/>
      </c>
      <c r="Q923">
        <f>IF(O923&gt;=3000,"Large","Small")</f>
        <v/>
      </c>
      <c r="R923">
        <f>INDEX(Products!$F$2:$F$49,MATCH(J923,Products!$A$2:$A$49,0))</f>
        <v/>
      </c>
      <c r="S923">
        <f>WEEKDAY(B923,2)</f>
        <v/>
      </c>
    </row>
    <row r="924">
      <c r="A924" t="n">
        <v>509795</v>
      </c>
      <c r="B924" s="6" t="n">
        <v>45942</v>
      </c>
      <c r="C924" t="n">
        <v>12747</v>
      </c>
      <c r="D924" t="inlineStr">
        <is>
          <t>Pune</t>
        </is>
      </c>
      <c r="E924" t="inlineStr">
        <is>
          <t>West</t>
        </is>
      </c>
      <c r="F924" t="inlineStr">
        <is>
          <t>Affiliate</t>
        </is>
      </c>
      <c r="G924" t="inlineStr">
        <is>
          <t>Mobile App</t>
        </is>
      </c>
      <c r="H924" t="inlineStr">
        <is>
          <t>UPI</t>
        </is>
      </c>
      <c r="I924" t="inlineStr">
        <is>
          <t>Delivered</t>
        </is>
      </c>
      <c r="J924" t="n">
        <v>136</v>
      </c>
      <c r="K924" t="n">
        <v>1</v>
      </c>
      <c r="L924" t="n">
        <v>944</v>
      </c>
      <c r="M924" t="n">
        <v>0</v>
      </c>
      <c r="N924">
        <f>VLOOKUP(J924,Products!$A$2:$C$49,3,FALSE)</f>
        <v/>
      </c>
      <c r="O924">
        <f>K924*L924-M924</f>
        <v/>
      </c>
      <c r="P924">
        <f>TEXT(B924,"yyyy-mm")</f>
        <v/>
      </c>
      <c r="Q924">
        <f>IF(O924&gt;=3000,"Large","Small")</f>
        <v/>
      </c>
      <c r="R924">
        <f>INDEX(Products!$F$2:$F$49,MATCH(J924,Products!$A$2:$A$49,0))</f>
        <v/>
      </c>
      <c r="S924">
        <f>WEEKDAY(B924,2)</f>
        <v/>
      </c>
    </row>
    <row r="925">
      <c r="A925" t="n">
        <v>509796</v>
      </c>
      <c r="B925" s="6" t="n">
        <v>45942</v>
      </c>
      <c r="C925" t="n">
        <v>16748</v>
      </c>
      <c r="D925" t="inlineStr">
        <is>
          <t>Pune</t>
        </is>
      </c>
      <c r="E925" t="inlineStr">
        <is>
          <t>West</t>
        </is>
      </c>
      <c r="F925" t="inlineStr">
        <is>
          <t>Paid Social</t>
        </is>
      </c>
      <c r="G925" t="inlineStr">
        <is>
          <t>Mobile Web</t>
        </is>
      </c>
      <c r="H925" t="inlineStr">
        <is>
          <t>UPI</t>
        </is>
      </c>
      <c r="I925" t="inlineStr">
        <is>
          <t>Delivered</t>
        </is>
      </c>
      <c r="J925" t="n">
        <v>140</v>
      </c>
      <c r="K925" t="n">
        <v>1</v>
      </c>
      <c r="L925" t="n">
        <v>629</v>
      </c>
      <c r="M925" t="n">
        <v>94.34999999999999</v>
      </c>
      <c r="N925">
        <f>VLOOKUP(J925,Products!$A$2:$C$49,3,FALSE)</f>
        <v/>
      </c>
      <c r="O925">
        <f>K925*L925-M925</f>
        <v/>
      </c>
      <c r="P925">
        <f>TEXT(B925,"yyyy-mm")</f>
        <v/>
      </c>
      <c r="Q925">
        <f>IF(O925&gt;=3000,"Large","Small")</f>
        <v/>
      </c>
      <c r="R925">
        <f>INDEX(Products!$F$2:$F$49,MATCH(J925,Products!$A$2:$A$49,0))</f>
        <v/>
      </c>
      <c r="S925">
        <f>WEEKDAY(B925,2)</f>
        <v/>
      </c>
    </row>
    <row r="926">
      <c r="A926" t="n">
        <v>509797</v>
      </c>
      <c r="B926" s="6" t="n">
        <v>45942</v>
      </c>
      <c r="C926" t="n">
        <v>16654</v>
      </c>
      <c r="D926" t="inlineStr">
        <is>
          <t>Delhi</t>
        </is>
      </c>
      <c r="E926" t="inlineStr">
        <is>
          <t>North</t>
        </is>
      </c>
      <c r="F926" t="inlineStr">
        <is>
          <t>Paid Social</t>
        </is>
      </c>
      <c r="G926" t="inlineStr">
        <is>
          <t>Mobile Web</t>
        </is>
      </c>
      <c r="H926" t="inlineStr">
        <is>
          <t>Credit Card</t>
        </is>
      </c>
      <c r="I926" t="inlineStr">
        <is>
          <t>Returned</t>
        </is>
      </c>
      <c r="J926" t="n">
        <v>130</v>
      </c>
      <c r="K926" t="n">
        <v>1</v>
      </c>
      <c r="L926" t="n">
        <v>734</v>
      </c>
      <c r="M926" t="n">
        <v>0</v>
      </c>
      <c r="N926">
        <f>VLOOKUP(J926,Products!$A$2:$C$49,3,FALSE)</f>
        <v/>
      </c>
      <c r="O926">
        <f>K926*L926-M926</f>
        <v/>
      </c>
      <c r="P926">
        <f>TEXT(B926,"yyyy-mm")</f>
        <v/>
      </c>
      <c r="Q926">
        <f>IF(O926&gt;=3000,"Large","Small")</f>
        <v/>
      </c>
      <c r="R926">
        <f>INDEX(Products!$F$2:$F$49,MATCH(J926,Products!$A$2:$A$49,0))</f>
        <v/>
      </c>
      <c r="S926">
        <f>WEEKDAY(B926,2)</f>
        <v/>
      </c>
    </row>
    <row r="927">
      <c r="A927" t="n">
        <v>509797</v>
      </c>
      <c r="B927" s="6" t="n">
        <v>45942</v>
      </c>
      <c r="C927" t="n">
        <v>16654</v>
      </c>
      <c r="D927" t="inlineStr">
        <is>
          <t>Delhi</t>
        </is>
      </c>
      <c r="E927" t="inlineStr">
        <is>
          <t>North</t>
        </is>
      </c>
      <c r="F927" t="inlineStr">
        <is>
          <t>Paid Social</t>
        </is>
      </c>
      <c r="G927" t="inlineStr">
        <is>
          <t>Mobile Web</t>
        </is>
      </c>
      <c r="H927" t="inlineStr">
        <is>
          <t>Credit Card</t>
        </is>
      </c>
      <c r="I927" t="inlineStr">
        <is>
          <t>Returned</t>
        </is>
      </c>
      <c r="J927" t="n">
        <v>111</v>
      </c>
      <c r="K927" t="n">
        <v>1</v>
      </c>
      <c r="L927" t="n">
        <v>524</v>
      </c>
      <c r="M927" t="n">
        <v>0</v>
      </c>
      <c r="N927">
        <f>VLOOKUP(J927,Products!$A$2:$C$49,3,FALSE)</f>
        <v/>
      </c>
      <c r="O927">
        <f>K927*L927-M927</f>
        <v/>
      </c>
      <c r="P927">
        <f>TEXT(B927,"yyyy-mm")</f>
        <v/>
      </c>
      <c r="Q927">
        <f>IF(O927&gt;=3000,"Large","Small")</f>
        <v/>
      </c>
      <c r="R927">
        <f>INDEX(Products!$F$2:$F$49,MATCH(J927,Products!$A$2:$A$49,0))</f>
        <v/>
      </c>
      <c r="S927">
        <f>WEEKDAY(B927,2)</f>
        <v/>
      </c>
    </row>
    <row r="928">
      <c r="A928" t="n">
        <v>509797</v>
      </c>
      <c r="B928" s="6" t="n">
        <v>45942</v>
      </c>
      <c r="C928" t="n">
        <v>16654</v>
      </c>
      <c r="D928" t="inlineStr">
        <is>
          <t>Delhi</t>
        </is>
      </c>
      <c r="E928" t="inlineStr">
        <is>
          <t>North</t>
        </is>
      </c>
      <c r="F928" t="inlineStr">
        <is>
          <t>Paid Social</t>
        </is>
      </c>
      <c r="G928" t="inlineStr">
        <is>
          <t>Mobile Web</t>
        </is>
      </c>
      <c r="H928" t="inlineStr">
        <is>
          <t>Credit Card</t>
        </is>
      </c>
      <c r="I928" t="inlineStr">
        <is>
          <t>Returned</t>
        </is>
      </c>
      <c r="J928" t="n">
        <v>129</v>
      </c>
      <c r="K928" t="n">
        <v>1</v>
      </c>
      <c r="L928" t="n">
        <v>576</v>
      </c>
      <c r="M928" t="n">
        <v>0</v>
      </c>
      <c r="N928">
        <f>VLOOKUP(J928,Products!$A$2:$C$49,3,FALSE)</f>
        <v/>
      </c>
      <c r="O928">
        <f>K928*L928-M928</f>
        <v/>
      </c>
      <c r="P928">
        <f>TEXT(B928,"yyyy-mm")</f>
        <v/>
      </c>
      <c r="Q928">
        <f>IF(O928&gt;=3000,"Large","Small")</f>
        <v/>
      </c>
      <c r="R928">
        <f>INDEX(Products!$F$2:$F$49,MATCH(J928,Products!$A$2:$A$49,0))</f>
        <v/>
      </c>
      <c r="S928">
        <f>WEEKDAY(B928,2)</f>
        <v/>
      </c>
    </row>
    <row r="929">
      <c r="A929" t="n">
        <v>509798</v>
      </c>
      <c r="B929" s="6" t="n">
        <v>45942</v>
      </c>
      <c r="C929" t="n">
        <v>12770</v>
      </c>
      <c r="D929" t="inlineStr">
        <is>
          <t>Delhi</t>
        </is>
      </c>
      <c r="E929" t="inlineStr">
        <is>
          <t>North</t>
        </is>
      </c>
      <c r="F929" t="inlineStr">
        <is>
          <t>Paid Social</t>
        </is>
      </c>
      <c r="G929" t="inlineStr">
        <is>
          <t>Mobile App</t>
        </is>
      </c>
      <c r="H929" t="inlineStr">
        <is>
          <t>Cash on Delivery</t>
        </is>
      </c>
      <c r="I929" t="inlineStr">
        <is>
          <t>Delivered</t>
        </is>
      </c>
      <c r="J929" t="n">
        <v>113</v>
      </c>
      <c r="K929" t="n">
        <v>1</v>
      </c>
      <c r="L929" t="n">
        <v>1364</v>
      </c>
      <c r="M929" t="n">
        <v>136.4</v>
      </c>
      <c r="N929">
        <f>VLOOKUP(J929,Products!$A$2:$C$49,3,FALSE)</f>
        <v/>
      </c>
      <c r="O929">
        <f>K929*L929-M929</f>
        <v/>
      </c>
      <c r="P929">
        <f>TEXT(B929,"yyyy-mm")</f>
        <v/>
      </c>
      <c r="Q929">
        <f>IF(O929&gt;=3000,"Large","Small")</f>
        <v/>
      </c>
      <c r="R929">
        <f>INDEX(Products!$F$2:$F$49,MATCH(J929,Products!$A$2:$A$49,0))</f>
        <v/>
      </c>
      <c r="S929">
        <f>WEEKDAY(B929,2)</f>
        <v/>
      </c>
    </row>
    <row r="930">
      <c r="A930" t="n">
        <v>509799</v>
      </c>
      <c r="B930" s="6" t="n">
        <v>45942</v>
      </c>
      <c r="C930" t="n">
        <v>10364</v>
      </c>
      <c r="D930" t="inlineStr">
        <is>
          <t>Ahmedabad</t>
        </is>
      </c>
      <c r="E930" t="inlineStr">
        <is>
          <t>West</t>
        </is>
      </c>
      <c r="F930" t="inlineStr">
        <is>
          <t>Organic Search</t>
        </is>
      </c>
      <c r="G930" t="inlineStr">
        <is>
          <t>Mobile App</t>
        </is>
      </c>
      <c r="H930" t="inlineStr">
        <is>
          <t>Credit Card</t>
        </is>
      </c>
      <c r="I930" t="inlineStr">
        <is>
          <t>Delivered</t>
        </is>
      </c>
      <c r="J930" t="n">
        <v>129</v>
      </c>
      <c r="K930" t="n">
        <v>1</v>
      </c>
      <c r="L930" t="n">
        <v>576</v>
      </c>
      <c r="M930" t="n">
        <v>0</v>
      </c>
      <c r="N930">
        <f>VLOOKUP(J930,Products!$A$2:$C$49,3,FALSE)</f>
        <v/>
      </c>
      <c r="O930">
        <f>K930*L930-M930</f>
        <v/>
      </c>
      <c r="P930">
        <f>TEXT(B930,"yyyy-mm")</f>
        <v/>
      </c>
      <c r="Q930">
        <f>IF(O930&gt;=3000,"Large","Small")</f>
        <v/>
      </c>
      <c r="R930">
        <f>INDEX(Products!$F$2:$F$49,MATCH(J930,Products!$A$2:$A$49,0))</f>
        <v/>
      </c>
      <c r="S930">
        <f>WEEKDAY(B930,2)</f>
        <v/>
      </c>
    </row>
    <row r="931">
      <c r="A931" t="n">
        <v>509800</v>
      </c>
      <c r="B931" s="6" t="n">
        <v>45942</v>
      </c>
      <c r="C931" t="n">
        <v>16793</v>
      </c>
      <c r="D931" t="inlineStr">
        <is>
          <t>Mumbai</t>
        </is>
      </c>
      <c r="E931" t="inlineStr">
        <is>
          <t>West</t>
        </is>
      </c>
      <c r="F931" t="inlineStr">
        <is>
          <t>Organic Search</t>
        </is>
      </c>
      <c r="G931" t="inlineStr">
        <is>
          <t>Mobile Web</t>
        </is>
      </c>
      <c r="H931" t="inlineStr">
        <is>
          <t>Net Banking</t>
        </is>
      </c>
      <c r="I931" t="inlineStr">
        <is>
          <t>Delivered</t>
        </is>
      </c>
      <c r="J931" t="n">
        <v>108</v>
      </c>
      <c r="K931" t="n">
        <v>1</v>
      </c>
      <c r="L931" t="n">
        <v>419</v>
      </c>
      <c r="M931" t="n">
        <v>41.9</v>
      </c>
      <c r="N931">
        <f>VLOOKUP(J931,Products!$A$2:$C$49,3,FALSE)</f>
        <v/>
      </c>
      <c r="O931">
        <f>K931*L931-M931</f>
        <v/>
      </c>
      <c r="P931">
        <f>TEXT(B931,"yyyy-mm")</f>
        <v/>
      </c>
      <c r="Q931">
        <f>IF(O931&gt;=3000,"Large","Small")</f>
        <v/>
      </c>
      <c r="R931">
        <f>INDEX(Products!$F$2:$F$49,MATCH(J931,Products!$A$2:$A$49,0))</f>
        <v/>
      </c>
      <c r="S931">
        <f>WEEKDAY(B931,2)</f>
        <v/>
      </c>
    </row>
    <row r="932">
      <c r="A932" t="n">
        <v>509801</v>
      </c>
      <c r="B932" s="6" t="n">
        <v>45942</v>
      </c>
      <c r="C932" t="n">
        <v>16779</v>
      </c>
      <c r="D932" t="inlineStr">
        <is>
          <t>Delhi</t>
        </is>
      </c>
      <c r="E932" t="inlineStr">
        <is>
          <t>North</t>
        </is>
      </c>
      <c r="F932" t="inlineStr">
        <is>
          <t>Paid Social</t>
        </is>
      </c>
      <c r="G932" t="inlineStr">
        <is>
          <t>Mobile Web</t>
        </is>
      </c>
      <c r="H932" t="inlineStr">
        <is>
          <t>Cash on Delivery</t>
        </is>
      </c>
      <c r="I932" t="inlineStr">
        <is>
          <t>Delivered</t>
        </is>
      </c>
      <c r="J932" t="n">
        <v>125</v>
      </c>
      <c r="K932" t="n">
        <v>1</v>
      </c>
      <c r="L932" t="n">
        <v>1364</v>
      </c>
      <c r="M932" t="n">
        <v>136.4</v>
      </c>
      <c r="N932">
        <f>VLOOKUP(J932,Products!$A$2:$C$49,3,FALSE)</f>
        <v/>
      </c>
      <c r="O932">
        <f>K932*L932-M932</f>
        <v/>
      </c>
      <c r="P932">
        <f>TEXT(B932,"yyyy-mm")</f>
        <v/>
      </c>
      <c r="Q932">
        <f>IF(O932&gt;=3000,"Large","Small")</f>
        <v/>
      </c>
      <c r="R932">
        <f>INDEX(Products!$F$2:$F$49,MATCH(J932,Products!$A$2:$A$49,0))</f>
        <v/>
      </c>
      <c r="S932">
        <f>WEEKDAY(B932,2)</f>
        <v/>
      </c>
    </row>
    <row r="933">
      <c r="A933" t="n">
        <v>509801</v>
      </c>
      <c r="B933" s="6" t="n">
        <v>45942</v>
      </c>
      <c r="C933" t="n">
        <v>16779</v>
      </c>
      <c r="D933" t="inlineStr">
        <is>
          <t>Delhi</t>
        </is>
      </c>
      <c r="E933" t="inlineStr">
        <is>
          <t>North</t>
        </is>
      </c>
      <c r="F933" t="inlineStr">
        <is>
          <t>Paid Social</t>
        </is>
      </c>
      <c r="G933" t="inlineStr">
        <is>
          <t>Mobile Web</t>
        </is>
      </c>
      <c r="H933" t="inlineStr">
        <is>
          <t>Cash on Delivery</t>
        </is>
      </c>
      <c r="I933" t="inlineStr">
        <is>
          <t>Delivered</t>
        </is>
      </c>
      <c r="J933" t="n">
        <v>112</v>
      </c>
      <c r="K933" t="n">
        <v>1</v>
      </c>
      <c r="L933" t="n">
        <v>1574</v>
      </c>
      <c r="M933" t="n">
        <v>157.4</v>
      </c>
      <c r="N933">
        <f>VLOOKUP(J933,Products!$A$2:$C$49,3,FALSE)</f>
        <v/>
      </c>
      <c r="O933">
        <f>K933*L933-M933</f>
        <v/>
      </c>
      <c r="P933">
        <f>TEXT(B933,"yyyy-mm")</f>
        <v/>
      </c>
      <c r="Q933">
        <f>IF(O933&gt;=3000,"Large","Small")</f>
        <v/>
      </c>
      <c r="R933">
        <f>INDEX(Products!$F$2:$F$49,MATCH(J933,Products!$A$2:$A$49,0))</f>
        <v/>
      </c>
      <c r="S933">
        <f>WEEKDAY(B933,2)</f>
        <v/>
      </c>
    </row>
    <row r="934">
      <c r="A934" t="n">
        <v>509801</v>
      </c>
      <c r="B934" s="6" t="n">
        <v>45942</v>
      </c>
      <c r="C934" t="n">
        <v>16779</v>
      </c>
      <c r="D934" t="inlineStr">
        <is>
          <t>Delhi</t>
        </is>
      </c>
      <c r="E934" t="inlineStr">
        <is>
          <t>North</t>
        </is>
      </c>
      <c r="F934" t="inlineStr">
        <is>
          <t>Paid Social</t>
        </is>
      </c>
      <c r="G934" t="inlineStr">
        <is>
          <t>Mobile Web</t>
        </is>
      </c>
      <c r="H934" t="inlineStr">
        <is>
          <t>Cash on Delivery</t>
        </is>
      </c>
      <c r="I934" t="inlineStr">
        <is>
          <t>Delivered</t>
        </is>
      </c>
      <c r="J934" t="n">
        <v>142</v>
      </c>
      <c r="K934" t="n">
        <v>1</v>
      </c>
      <c r="L934" t="n">
        <v>839</v>
      </c>
      <c r="M934" t="n">
        <v>83.90000000000001</v>
      </c>
      <c r="N934">
        <f>VLOOKUP(J934,Products!$A$2:$C$49,3,FALSE)</f>
        <v/>
      </c>
      <c r="O934">
        <f>K934*L934-M934</f>
        <v/>
      </c>
      <c r="P934">
        <f>TEXT(B934,"yyyy-mm")</f>
        <v/>
      </c>
      <c r="Q934">
        <f>IF(O934&gt;=3000,"Large","Small")</f>
        <v/>
      </c>
      <c r="R934">
        <f>INDEX(Products!$F$2:$F$49,MATCH(J934,Products!$A$2:$A$49,0))</f>
        <v/>
      </c>
      <c r="S934">
        <f>WEEKDAY(B934,2)</f>
        <v/>
      </c>
    </row>
    <row r="935">
      <c r="A935" t="n">
        <v>509801</v>
      </c>
      <c r="B935" s="6" t="n">
        <v>45942</v>
      </c>
      <c r="C935" t="n">
        <v>16779</v>
      </c>
      <c r="D935" t="inlineStr">
        <is>
          <t>Delhi</t>
        </is>
      </c>
      <c r="E935" t="inlineStr">
        <is>
          <t>North</t>
        </is>
      </c>
      <c r="F935" t="inlineStr">
        <is>
          <t>Paid Social</t>
        </is>
      </c>
      <c r="G935" t="inlineStr">
        <is>
          <t>Mobile Web</t>
        </is>
      </c>
      <c r="H935" t="inlineStr">
        <is>
          <t>Cash on Delivery</t>
        </is>
      </c>
      <c r="I935" t="inlineStr">
        <is>
          <t>Delivered</t>
        </is>
      </c>
      <c r="J935" t="n">
        <v>108</v>
      </c>
      <c r="K935" t="n">
        <v>1</v>
      </c>
      <c r="L935" t="n">
        <v>419</v>
      </c>
      <c r="M935" t="n">
        <v>41.9</v>
      </c>
      <c r="N935">
        <f>VLOOKUP(J935,Products!$A$2:$C$49,3,FALSE)</f>
        <v/>
      </c>
      <c r="O935">
        <f>K935*L935-M935</f>
        <v/>
      </c>
      <c r="P935">
        <f>TEXT(B935,"yyyy-mm")</f>
        <v/>
      </c>
      <c r="Q935">
        <f>IF(O935&gt;=3000,"Large","Small")</f>
        <v/>
      </c>
      <c r="R935">
        <f>INDEX(Products!$F$2:$F$49,MATCH(J935,Products!$A$2:$A$49,0))</f>
        <v/>
      </c>
      <c r="S935">
        <f>WEEKDAY(B935,2)</f>
        <v/>
      </c>
    </row>
    <row r="936">
      <c r="A936" t="n">
        <v>509801</v>
      </c>
      <c r="B936" s="6" t="n">
        <v>45942</v>
      </c>
      <c r="C936" t="n">
        <v>16779</v>
      </c>
      <c r="D936" t="inlineStr">
        <is>
          <t>Delhi</t>
        </is>
      </c>
      <c r="E936" t="inlineStr">
        <is>
          <t>North</t>
        </is>
      </c>
      <c r="F936" t="inlineStr">
        <is>
          <t>Paid Social</t>
        </is>
      </c>
      <c r="G936" t="inlineStr">
        <is>
          <t>Mobile Web</t>
        </is>
      </c>
      <c r="H936" t="inlineStr">
        <is>
          <t>Cash on Delivery</t>
        </is>
      </c>
      <c r="I936" t="inlineStr">
        <is>
          <t>Delivered</t>
        </is>
      </c>
      <c r="J936" t="n">
        <v>129</v>
      </c>
      <c r="K936" t="n">
        <v>1</v>
      </c>
      <c r="L936" t="n">
        <v>576</v>
      </c>
      <c r="M936" t="n">
        <v>57.6</v>
      </c>
      <c r="N936">
        <f>VLOOKUP(J936,Products!$A$2:$C$49,3,FALSE)</f>
        <v/>
      </c>
      <c r="O936">
        <f>K936*L936-M936</f>
        <v/>
      </c>
      <c r="P936">
        <f>TEXT(B936,"yyyy-mm")</f>
        <v/>
      </c>
      <c r="Q936">
        <f>IF(O936&gt;=3000,"Large","Small")</f>
        <v/>
      </c>
      <c r="R936">
        <f>INDEX(Products!$F$2:$F$49,MATCH(J936,Products!$A$2:$A$49,0))</f>
        <v/>
      </c>
      <c r="S936">
        <f>WEEKDAY(B936,2)</f>
        <v/>
      </c>
    </row>
    <row r="937">
      <c r="A937" t="n">
        <v>509802</v>
      </c>
      <c r="B937" s="6" t="n">
        <v>45942</v>
      </c>
      <c r="C937" t="n">
        <v>16314</v>
      </c>
      <c r="D937" t="inlineStr">
        <is>
          <t>Chennai</t>
        </is>
      </c>
      <c r="E937" t="inlineStr">
        <is>
          <t>South</t>
        </is>
      </c>
      <c r="F937" t="inlineStr">
        <is>
          <t>Organic Search</t>
        </is>
      </c>
      <c r="G937" t="inlineStr">
        <is>
          <t>Mobile App</t>
        </is>
      </c>
      <c r="H937" t="inlineStr">
        <is>
          <t>Cash on Delivery</t>
        </is>
      </c>
      <c r="I937" t="inlineStr">
        <is>
          <t>Delivered</t>
        </is>
      </c>
      <c r="J937" t="n">
        <v>115</v>
      </c>
      <c r="K937" t="n">
        <v>1</v>
      </c>
      <c r="L937" t="n">
        <v>4199</v>
      </c>
      <c r="M937" t="n">
        <v>0</v>
      </c>
      <c r="N937">
        <f>VLOOKUP(J937,Products!$A$2:$C$49,3,FALSE)</f>
        <v/>
      </c>
      <c r="O937">
        <f>K937*L937-M937</f>
        <v/>
      </c>
      <c r="P937">
        <f>TEXT(B937,"yyyy-mm")</f>
        <v/>
      </c>
      <c r="Q937">
        <f>IF(O937&gt;=3000,"Large","Small")</f>
        <v/>
      </c>
      <c r="R937">
        <f>INDEX(Products!$F$2:$F$49,MATCH(J937,Products!$A$2:$A$49,0))</f>
        <v/>
      </c>
      <c r="S937">
        <f>WEEKDAY(B937,2)</f>
        <v/>
      </c>
    </row>
    <row r="938">
      <c r="A938" t="n">
        <v>509802</v>
      </c>
      <c r="B938" s="6" t="n">
        <v>45942</v>
      </c>
      <c r="C938" t="n">
        <v>16314</v>
      </c>
      <c r="D938" t="inlineStr">
        <is>
          <t>Chennai</t>
        </is>
      </c>
      <c r="E938" t="inlineStr">
        <is>
          <t>South</t>
        </is>
      </c>
      <c r="F938" t="inlineStr">
        <is>
          <t>Organic Search</t>
        </is>
      </c>
      <c r="G938" t="inlineStr">
        <is>
          <t>Mobile App</t>
        </is>
      </c>
      <c r="H938" t="inlineStr">
        <is>
          <t>Cash on Delivery</t>
        </is>
      </c>
      <c r="I938" t="inlineStr">
        <is>
          <t>Delivered</t>
        </is>
      </c>
      <c r="J938" t="n">
        <v>101</v>
      </c>
      <c r="K938" t="n">
        <v>1</v>
      </c>
      <c r="L938" t="n">
        <v>2099</v>
      </c>
      <c r="M938" t="n">
        <v>0</v>
      </c>
      <c r="N938">
        <f>VLOOKUP(J938,Products!$A$2:$C$49,3,FALSE)</f>
        <v/>
      </c>
      <c r="O938">
        <f>K938*L938-M938</f>
        <v/>
      </c>
      <c r="P938">
        <f>TEXT(B938,"yyyy-mm")</f>
        <v/>
      </c>
      <c r="Q938">
        <f>IF(O938&gt;=3000,"Large","Small")</f>
        <v/>
      </c>
      <c r="R938">
        <f>INDEX(Products!$F$2:$F$49,MATCH(J938,Products!$A$2:$A$49,0))</f>
        <v/>
      </c>
      <c r="S938">
        <f>WEEKDAY(B938,2)</f>
        <v/>
      </c>
    </row>
    <row r="939">
      <c r="A939" t="n">
        <v>509802</v>
      </c>
      <c r="B939" s="6" t="n">
        <v>45942</v>
      </c>
      <c r="C939" t="n">
        <v>16314</v>
      </c>
      <c r="D939" t="inlineStr">
        <is>
          <t>Chennai</t>
        </is>
      </c>
      <c r="E939" t="inlineStr">
        <is>
          <t>South</t>
        </is>
      </c>
      <c r="F939" t="inlineStr">
        <is>
          <t>Organic Search</t>
        </is>
      </c>
      <c r="G939" t="inlineStr">
        <is>
          <t>Mobile App</t>
        </is>
      </c>
      <c r="H939" t="inlineStr">
        <is>
          <t>Cash on Delivery</t>
        </is>
      </c>
      <c r="I939" t="inlineStr">
        <is>
          <t>Delivered</t>
        </is>
      </c>
      <c r="J939" t="n">
        <v>118</v>
      </c>
      <c r="K939" t="n">
        <v>1</v>
      </c>
      <c r="L939" t="n">
        <v>944</v>
      </c>
      <c r="M939" t="n">
        <v>0</v>
      </c>
      <c r="N939">
        <f>VLOOKUP(J939,Products!$A$2:$C$49,3,FALSE)</f>
        <v/>
      </c>
      <c r="O939">
        <f>K939*L939-M939</f>
        <v/>
      </c>
      <c r="P939">
        <f>TEXT(B939,"yyyy-mm")</f>
        <v/>
      </c>
      <c r="Q939">
        <f>IF(O939&gt;=3000,"Large","Small")</f>
        <v/>
      </c>
      <c r="R939">
        <f>INDEX(Products!$F$2:$F$49,MATCH(J939,Products!$A$2:$A$49,0))</f>
        <v/>
      </c>
      <c r="S939">
        <f>WEEKDAY(B939,2)</f>
        <v/>
      </c>
    </row>
    <row r="940">
      <c r="A940" t="n">
        <v>509802</v>
      </c>
      <c r="B940" s="6" t="n">
        <v>45942</v>
      </c>
      <c r="C940" t="n">
        <v>16314</v>
      </c>
      <c r="D940" t="inlineStr">
        <is>
          <t>Chennai</t>
        </is>
      </c>
      <c r="E940" t="inlineStr">
        <is>
          <t>South</t>
        </is>
      </c>
      <c r="F940" t="inlineStr">
        <is>
          <t>Organic Search</t>
        </is>
      </c>
      <c r="G940" t="inlineStr">
        <is>
          <t>Mobile App</t>
        </is>
      </c>
      <c r="H940" t="inlineStr">
        <is>
          <t>Cash on Delivery</t>
        </is>
      </c>
      <c r="I940" t="inlineStr">
        <is>
          <t>Delivered</t>
        </is>
      </c>
      <c r="J940" t="n">
        <v>102</v>
      </c>
      <c r="K940" t="n">
        <v>2</v>
      </c>
      <c r="L940" t="n">
        <v>3674</v>
      </c>
      <c r="M940" t="n">
        <v>0</v>
      </c>
      <c r="N940">
        <f>VLOOKUP(J940,Products!$A$2:$C$49,3,FALSE)</f>
        <v/>
      </c>
      <c r="O940">
        <f>K940*L940-M940</f>
        <v/>
      </c>
      <c r="P940">
        <f>TEXT(B940,"yyyy-mm")</f>
        <v/>
      </c>
      <c r="Q940">
        <f>IF(O940&gt;=3000,"Large","Small")</f>
        <v/>
      </c>
      <c r="R940">
        <f>INDEX(Products!$F$2:$F$49,MATCH(J940,Products!$A$2:$A$49,0))</f>
        <v/>
      </c>
      <c r="S940">
        <f>WEEKDAY(B940,2)</f>
        <v/>
      </c>
    </row>
    <row r="941">
      <c r="A941" t="n">
        <v>509803</v>
      </c>
      <c r="B941" s="6" t="n">
        <v>45942</v>
      </c>
      <c r="C941" t="n">
        <v>16775</v>
      </c>
      <c r="D941" t="inlineStr">
        <is>
          <t>Chennai</t>
        </is>
      </c>
      <c r="E941" t="inlineStr">
        <is>
          <t>South</t>
        </is>
      </c>
      <c r="F941" t="inlineStr">
        <is>
          <t>Email</t>
        </is>
      </c>
      <c r="G941" t="inlineStr">
        <is>
          <t>Mobile Web</t>
        </is>
      </c>
      <c r="H941" t="inlineStr">
        <is>
          <t>UPI</t>
        </is>
      </c>
      <c r="I941" t="inlineStr">
        <is>
          <t>Delivered</t>
        </is>
      </c>
      <c r="J941" t="n">
        <v>112</v>
      </c>
      <c r="K941" t="n">
        <v>1</v>
      </c>
      <c r="L941" t="n">
        <v>1574</v>
      </c>
      <c r="M941" t="n">
        <v>236.1</v>
      </c>
      <c r="N941">
        <f>VLOOKUP(J941,Products!$A$2:$C$49,3,FALSE)</f>
        <v/>
      </c>
      <c r="O941">
        <f>K941*L941-M941</f>
        <v/>
      </c>
      <c r="P941">
        <f>TEXT(B941,"yyyy-mm")</f>
        <v/>
      </c>
      <c r="Q941">
        <f>IF(O941&gt;=3000,"Large","Small")</f>
        <v/>
      </c>
      <c r="R941">
        <f>INDEX(Products!$F$2:$F$49,MATCH(J941,Products!$A$2:$A$49,0))</f>
        <v/>
      </c>
      <c r="S941">
        <f>WEEKDAY(B941,2)</f>
        <v/>
      </c>
    </row>
    <row r="942">
      <c r="A942" t="n">
        <v>509804</v>
      </c>
      <c r="B942" s="6" t="n">
        <v>45942</v>
      </c>
      <c r="C942" t="n">
        <v>12960</v>
      </c>
      <c r="D942" t="inlineStr">
        <is>
          <t>Hyderabad</t>
        </is>
      </c>
      <c r="E942" t="inlineStr">
        <is>
          <t>South</t>
        </is>
      </c>
      <c r="F942" t="inlineStr">
        <is>
          <t>Organic Search</t>
        </is>
      </c>
      <c r="G942" t="inlineStr">
        <is>
          <t>Mobile App</t>
        </is>
      </c>
      <c r="H942" t="inlineStr">
        <is>
          <t>UPI</t>
        </is>
      </c>
      <c r="I942" t="inlineStr">
        <is>
          <t>Delivered</t>
        </is>
      </c>
      <c r="J942" t="n">
        <v>118</v>
      </c>
      <c r="K942" t="n">
        <v>1</v>
      </c>
      <c r="L942" t="n">
        <v>944</v>
      </c>
      <c r="M942" t="n">
        <v>0</v>
      </c>
      <c r="N942">
        <f>VLOOKUP(J942,Products!$A$2:$C$49,3,FALSE)</f>
        <v/>
      </c>
      <c r="O942">
        <f>K942*L942-M942</f>
        <v/>
      </c>
      <c r="P942">
        <f>TEXT(B942,"yyyy-mm")</f>
        <v/>
      </c>
      <c r="Q942">
        <f>IF(O942&gt;=3000,"Large","Small")</f>
        <v/>
      </c>
      <c r="R942">
        <f>INDEX(Products!$F$2:$F$49,MATCH(J942,Products!$A$2:$A$49,0))</f>
        <v/>
      </c>
      <c r="S942">
        <f>WEEKDAY(B942,2)</f>
        <v/>
      </c>
    </row>
    <row r="943">
      <c r="A943" t="n">
        <v>509804</v>
      </c>
      <c r="B943" s="6" t="n">
        <v>45942</v>
      </c>
      <c r="C943" t="n">
        <v>12960</v>
      </c>
      <c r="D943" t="inlineStr">
        <is>
          <t>Hyderabad</t>
        </is>
      </c>
      <c r="E943" t="inlineStr">
        <is>
          <t>South</t>
        </is>
      </c>
      <c r="F943" t="inlineStr">
        <is>
          <t>Organic Search</t>
        </is>
      </c>
      <c r="G943" t="inlineStr">
        <is>
          <t>Mobile App</t>
        </is>
      </c>
      <c r="H943" t="inlineStr">
        <is>
          <t>UPI</t>
        </is>
      </c>
      <c r="I943" t="inlineStr">
        <is>
          <t>Delivered</t>
        </is>
      </c>
      <c r="J943" t="n">
        <v>129</v>
      </c>
      <c r="K943" t="n">
        <v>1</v>
      </c>
      <c r="L943" t="n">
        <v>576</v>
      </c>
      <c r="M943" t="n">
        <v>0</v>
      </c>
      <c r="N943">
        <f>VLOOKUP(J943,Products!$A$2:$C$49,3,FALSE)</f>
        <v/>
      </c>
      <c r="O943">
        <f>K943*L943-M943</f>
        <v/>
      </c>
      <c r="P943">
        <f>TEXT(B943,"yyyy-mm")</f>
        <v/>
      </c>
      <c r="Q943">
        <f>IF(O943&gt;=3000,"Large","Small")</f>
        <v/>
      </c>
      <c r="R943">
        <f>INDEX(Products!$F$2:$F$49,MATCH(J943,Products!$A$2:$A$49,0))</f>
        <v/>
      </c>
      <c r="S943">
        <f>WEEKDAY(B943,2)</f>
        <v/>
      </c>
    </row>
    <row r="944">
      <c r="A944" t="n">
        <v>509805</v>
      </c>
      <c r="B944" s="6" t="n">
        <v>45942</v>
      </c>
      <c r="C944" t="n">
        <v>11939</v>
      </c>
      <c r="D944" t="inlineStr">
        <is>
          <t>Bengaluru</t>
        </is>
      </c>
      <c r="E944" t="inlineStr">
        <is>
          <t>South</t>
        </is>
      </c>
      <c r="F944" t="inlineStr">
        <is>
          <t>Email</t>
        </is>
      </c>
      <c r="G944" t="inlineStr">
        <is>
          <t>Mobile Web</t>
        </is>
      </c>
      <c r="H944" t="inlineStr">
        <is>
          <t>UPI</t>
        </is>
      </c>
      <c r="I944" t="inlineStr">
        <is>
          <t>Delivered</t>
        </is>
      </c>
      <c r="J944" t="n">
        <v>121</v>
      </c>
      <c r="K944" t="n">
        <v>1</v>
      </c>
      <c r="L944" t="n">
        <v>2939</v>
      </c>
      <c r="M944" t="n">
        <v>0</v>
      </c>
      <c r="N944">
        <f>VLOOKUP(J944,Products!$A$2:$C$49,3,FALSE)</f>
        <v/>
      </c>
      <c r="O944">
        <f>K944*L944-M944</f>
        <v/>
      </c>
      <c r="P944">
        <f>TEXT(B944,"yyyy-mm")</f>
        <v/>
      </c>
      <c r="Q944">
        <f>IF(O944&gt;=3000,"Large","Small")</f>
        <v/>
      </c>
      <c r="R944">
        <f>INDEX(Products!$F$2:$F$49,MATCH(J944,Products!$A$2:$A$49,0))</f>
        <v/>
      </c>
      <c r="S944">
        <f>WEEKDAY(B944,2)</f>
        <v/>
      </c>
    </row>
    <row r="945">
      <c r="A945" t="n">
        <v>509805</v>
      </c>
      <c r="B945" s="6" t="n">
        <v>45942</v>
      </c>
      <c r="C945" t="n">
        <v>11939</v>
      </c>
      <c r="D945" t="inlineStr">
        <is>
          <t>Bengaluru</t>
        </is>
      </c>
      <c r="E945" t="inlineStr">
        <is>
          <t>South</t>
        </is>
      </c>
      <c r="F945" t="inlineStr">
        <is>
          <t>Email</t>
        </is>
      </c>
      <c r="G945" t="inlineStr">
        <is>
          <t>Mobile Web</t>
        </is>
      </c>
      <c r="H945" t="inlineStr">
        <is>
          <t>UPI</t>
        </is>
      </c>
      <c r="I945" t="inlineStr">
        <is>
          <t>Delivered</t>
        </is>
      </c>
      <c r="J945" t="n">
        <v>133</v>
      </c>
      <c r="K945" t="n">
        <v>1</v>
      </c>
      <c r="L945" t="n">
        <v>419</v>
      </c>
      <c r="M945" t="n">
        <v>0</v>
      </c>
      <c r="N945">
        <f>VLOOKUP(J945,Products!$A$2:$C$49,3,FALSE)</f>
        <v/>
      </c>
      <c r="O945">
        <f>K945*L945-M945</f>
        <v/>
      </c>
      <c r="P945">
        <f>TEXT(B945,"yyyy-mm")</f>
        <v/>
      </c>
      <c r="Q945">
        <f>IF(O945&gt;=3000,"Large","Small")</f>
        <v/>
      </c>
      <c r="R945">
        <f>INDEX(Products!$F$2:$F$49,MATCH(J945,Products!$A$2:$A$49,0))</f>
        <v/>
      </c>
      <c r="S945">
        <f>WEEKDAY(B945,2)</f>
        <v/>
      </c>
    </row>
    <row r="946">
      <c r="A946" t="n">
        <v>509806</v>
      </c>
      <c r="B946" s="6" t="n">
        <v>45942</v>
      </c>
      <c r="C946" t="n">
        <v>16356</v>
      </c>
      <c r="D946" t="inlineStr">
        <is>
          <t>Ahmedabad</t>
        </is>
      </c>
      <c r="E946" t="inlineStr">
        <is>
          <t>West</t>
        </is>
      </c>
      <c r="F946" t="inlineStr">
        <is>
          <t>Organic Search</t>
        </is>
      </c>
      <c r="G946" t="inlineStr">
        <is>
          <t>Mobile App</t>
        </is>
      </c>
      <c r="H946" t="inlineStr">
        <is>
          <t>Cash on Delivery</t>
        </is>
      </c>
      <c r="I946" t="inlineStr">
        <is>
          <t>Delivered</t>
        </is>
      </c>
      <c r="J946" t="n">
        <v>148</v>
      </c>
      <c r="K946" t="n">
        <v>1</v>
      </c>
      <c r="L946" t="n">
        <v>734</v>
      </c>
      <c r="M946" t="n">
        <v>0</v>
      </c>
      <c r="N946">
        <f>VLOOKUP(J946,Products!$A$2:$C$49,3,FALSE)</f>
        <v/>
      </c>
      <c r="O946">
        <f>K946*L946-M946</f>
        <v/>
      </c>
      <c r="P946">
        <f>TEXT(B946,"yyyy-mm")</f>
        <v/>
      </c>
      <c r="Q946">
        <f>IF(O946&gt;=3000,"Large","Small")</f>
        <v/>
      </c>
      <c r="R946">
        <f>INDEX(Products!$F$2:$F$49,MATCH(J946,Products!$A$2:$A$49,0))</f>
        <v/>
      </c>
      <c r="S946">
        <f>WEEKDAY(B946,2)</f>
        <v/>
      </c>
    </row>
    <row r="947">
      <c r="A947" t="n">
        <v>509806</v>
      </c>
      <c r="B947" s="6" t="n">
        <v>45942</v>
      </c>
      <c r="C947" t="n">
        <v>16356</v>
      </c>
      <c r="D947" t="inlineStr">
        <is>
          <t>Ahmedabad</t>
        </is>
      </c>
      <c r="E947" t="inlineStr">
        <is>
          <t>West</t>
        </is>
      </c>
      <c r="F947" t="inlineStr">
        <is>
          <t>Organic Search</t>
        </is>
      </c>
      <c r="G947" t="inlineStr">
        <is>
          <t>Mobile App</t>
        </is>
      </c>
      <c r="H947" t="inlineStr">
        <is>
          <t>Cash on Delivery</t>
        </is>
      </c>
      <c r="I947" t="inlineStr">
        <is>
          <t>Delivered</t>
        </is>
      </c>
      <c r="J947" t="n">
        <v>128</v>
      </c>
      <c r="K947" t="n">
        <v>1</v>
      </c>
      <c r="L947" t="n">
        <v>1049</v>
      </c>
      <c r="M947" t="n">
        <v>0</v>
      </c>
      <c r="N947">
        <f>VLOOKUP(J947,Products!$A$2:$C$49,3,FALSE)</f>
        <v/>
      </c>
      <c r="O947">
        <f>K947*L947-M947</f>
        <v/>
      </c>
      <c r="P947">
        <f>TEXT(B947,"yyyy-mm")</f>
        <v/>
      </c>
      <c r="Q947">
        <f>IF(O947&gt;=3000,"Large","Small")</f>
        <v/>
      </c>
      <c r="R947">
        <f>INDEX(Products!$F$2:$F$49,MATCH(J947,Products!$A$2:$A$49,0))</f>
        <v/>
      </c>
      <c r="S947">
        <f>WEEKDAY(B947,2)</f>
        <v/>
      </c>
    </row>
    <row r="948">
      <c r="A948" t="n">
        <v>509807</v>
      </c>
      <c r="B948" s="6" t="n">
        <v>45942</v>
      </c>
      <c r="C948" t="n">
        <v>16786</v>
      </c>
      <c r="D948" t="inlineStr">
        <is>
          <t>Noida</t>
        </is>
      </c>
      <c r="E948" t="inlineStr">
        <is>
          <t>North</t>
        </is>
      </c>
      <c r="F948" t="inlineStr">
        <is>
          <t>Organic Search</t>
        </is>
      </c>
      <c r="G948" t="inlineStr">
        <is>
          <t>Mobile Web</t>
        </is>
      </c>
      <c r="H948" t="inlineStr">
        <is>
          <t>Cash on Delivery</t>
        </is>
      </c>
      <c r="I948" t="inlineStr">
        <is>
          <t>Delivered</t>
        </is>
      </c>
      <c r="J948" t="n">
        <v>111</v>
      </c>
      <c r="K948" t="n">
        <v>1</v>
      </c>
      <c r="L948" t="n">
        <v>524</v>
      </c>
      <c r="M948" t="n">
        <v>78.59999999999999</v>
      </c>
      <c r="N948">
        <f>VLOOKUP(J948,Products!$A$2:$C$49,3,FALSE)</f>
        <v/>
      </c>
      <c r="O948">
        <f>K948*L948-M948</f>
        <v/>
      </c>
      <c r="P948">
        <f>TEXT(B948,"yyyy-mm")</f>
        <v/>
      </c>
      <c r="Q948">
        <f>IF(O948&gt;=3000,"Large","Small")</f>
        <v/>
      </c>
      <c r="R948">
        <f>INDEX(Products!$F$2:$F$49,MATCH(J948,Products!$A$2:$A$49,0))</f>
        <v/>
      </c>
      <c r="S948">
        <f>WEEKDAY(B948,2)</f>
        <v/>
      </c>
    </row>
    <row r="949">
      <c r="A949" t="n">
        <v>509808</v>
      </c>
      <c r="B949" s="6" t="n">
        <v>45943</v>
      </c>
      <c r="C949" t="n">
        <v>10068</v>
      </c>
      <c r="D949" t="inlineStr">
        <is>
          <t>Hyderabad</t>
        </is>
      </c>
      <c r="E949" t="inlineStr">
        <is>
          <t>South</t>
        </is>
      </c>
      <c r="F949" t="inlineStr">
        <is>
          <t>Organic Search</t>
        </is>
      </c>
      <c r="G949" t="inlineStr">
        <is>
          <t>Mobile App</t>
        </is>
      </c>
      <c r="H949" t="inlineStr">
        <is>
          <t>UPI</t>
        </is>
      </c>
      <c r="I949" t="inlineStr">
        <is>
          <t>Delivered</t>
        </is>
      </c>
      <c r="J949" t="n">
        <v>118</v>
      </c>
      <c r="K949" t="n">
        <v>1</v>
      </c>
      <c r="L949" t="n">
        <v>944</v>
      </c>
      <c r="M949" t="n">
        <v>94.40000000000001</v>
      </c>
      <c r="N949">
        <f>VLOOKUP(J949,Products!$A$2:$C$49,3,FALSE)</f>
        <v/>
      </c>
      <c r="O949">
        <f>K949*L949-M949</f>
        <v/>
      </c>
      <c r="P949">
        <f>TEXT(B949,"yyyy-mm")</f>
        <v/>
      </c>
      <c r="Q949">
        <f>IF(O949&gt;=3000,"Large","Small")</f>
        <v/>
      </c>
      <c r="R949">
        <f>INDEX(Products!$F$2:$F$49,MATCH(J949,Products!$A$2:$A$49,0))</f>
        <v/>
      </c>
      <c r="S949">
        <f>WEEKDAY(B949,2)</f>
        <v/>
      </c>
    </row>
    <row r="950">
      <c r="A950" t="n">
        <v>509809</v>
      </c>
      <c r="B950" s="6" t="n">
        <v>45943</v>
      </c>
      <c r="C950" t="n">
        <v>15942</v>
      </c>
      <c r="D950" t="inlineStr">
        <is>
          <t>Delhi</t>
        </is>
      </c>
      <c r="E950" t="inlineStr">
        <is>
          <t>North</t>
        </is>
      </c>
      <c r="F950" t="inlineStr">
        <is>
          <t>Paid Social</t>
        </is>
      </c>
      <c r="G950" t="inlineStr">
        <is>
          <t>Mobile Web</t>
        </is>
      </c>
      <c r="H950" t="inlineStr">
        <is>
          <t>UPI</t>
        </is>
      </c>
      <c r="I950" t="inlineStr">
        <is>
          <t>Delivered</t>
        </is>
      </c>
      <c r="J950" t="n">
        <v>115</v>
      </c>
      <c r="K950" t="n">
        <v>1</v>
      </c>
      <c r="L950" t="n">
        <v>4199</v>
      </c>
      <c r="M950" t="n">
        <v>0</v>
      </c>
      <c r="N950">
        <f>VLOOKUP(J950,Products!$A$2:$C$49,3,FALSE)</f>
        <v/>
      </c>
      <c r="O950">
        <f>K950*L950-M950</f>
        <v/>
      </c>
      <c r="P950">
        <f>TEXT(B950,"yyyy-mm")</f>
        <v/>
      </c>
      <c r="Q950">
        <f>IF(O950&gt;=3000,"Large","Small")</f>
        <v/>
      </c>
      <c r="R950">
        <f>INDEX(Products!$F$2:$F$49,MATCH(J950,Products!$A$2:$A$49,0))</f>
        <v/>
      </c>
      <c r="S950">
        <f>WEEKDAY(B950,2)</f>
        <v/>
      </c>
    </row>
    <row r="951">
      <c r="A951" t="n">
        <v>509810</v>
      </c>
      <c r="B951" s="6" t="n">
        <v>45943</v>
      </c>
      <c r="C951" t="n">
        <v>16203</v>
      </c>
      <c r="D951" t="inlineStr">
        <is>
          <t>Chandigarh</t>
        </is>
      </c>
      <c r="E951" t="inlineStr">
        <is>
          <t>North</t>
        </is>
      </c>
      <c r="F951" t="inlineStr">
        <is>
          <t>Paid Social</t>
        </is>
      </c>
      <c r="G951" t="inlineStr">
        <is>
          <t>Desktop</t>
        </is>
      </c>
      <c r="H951" t="inlineStr">
        <is>
          <t>UPI</t>
        </is>
      </c>
      <c r="I951" t="inlineStr">
        <is>
          <t>Returned</t>
        </is>
      </c>
      <c r="J951" t="n">
        <v>115</v>
      </c>
      <c r="K951" t="n">
        <v>2</v>
      </c>
      <c r="L951" t="n">
        <v>4199</v>
      </c>
      <c r="M951" t="n">
        <v>839.8</v>
      </c>
      <c r="N951">
        <f>VLOOKUP(J951,Products!$A$2:$C$49,3,FALSE)</f>
        <v/>
      </c>
      <c r="O951">
        <f>K951*L951-M951</f>
        <v/>
      </c>
      <c r="P951">
        <f>TEXT(B951,"yyyy-mm")</f>
        <v/>
      </c>
      <c r="Q951">
        <f>IF(O951&gt;=3000,"Large","Small")</f>
        <v/>
      </c>
      <c r="R951">
        <f>INDEX(Products!$F$2:$F$49,MATCH(J951,Products!$A$2:$A$49,0))</f>
        <v/>
      </c>
      <c r="S951">
        <f>WEEKDAY(B951,2)</f>
        <v/>
      </c>
    </row>
    <row r="952">
      <c r="A952" t="n">
        <v>509810</v>
      </c>
      <c r="B952" s="6" t="n">
        <v>45943</v>
      </c>
      <c r="C952" t="n">
        <v>16203</v>
      </c>
      <c r="D952" t="inlineStr">
        <is>
          <t>Chandigarh</t>
        </is>
      </c>
      <c r="E952" t="inlineStr">
        <is>
          <t>North</t>
        </is>
      </c>
      <c r="F952" t="inlineStr">
        <is>
          <t>Paid Social</t>
        </is>
      </c>
      <c r="G952" t="inlineStr">
        <is>
          <t>Desktop</t>
        </is>
      </c>
      <c r="H952" t="inlineStr">
        <is>
          <t>UPI</t>
        </is>
      </c>
      <c r="I952" t="inlineStr">
        <is>
          <t>Returned</t>
        </is>
      </c>
      <c r="J952" t="n">
        <v>129</v>
      </c>
      <c r="K952" t="n">
        <v>1</v>
      </c>
      <c r="L952" t="n">
        <v>576</v>
      </c>
      <c r="M952" t="n">
        <v>57.6</v>
      </c>
      <c r="N952">
        <f>VLOOKUP(J952,Products!$A$2:$C$49,3,FALSE)</f>
        <v/>
      </c>
      <c r="O952">
        <f>K952*L952-M952</f>
        <v/>
      </c>
      <c r="P952">
        <f>TEXT(B952,"yyyy-mm")</f>
        <v/>
      </c>
      <c r="Q952">
        <f>IF(O952&gt;=3000,"Large","Small")</f>
        <v/>
      </c>
      <c r="R952">
        <f>INDEX(Products!$F$2:$F$49,MATCH(J952,Products!$A$2:$A$49,0))</f>
        <v/>
      </c>
      <c r="S952">
        <f>WEEKDAY(B952,2)</f>
        <v/>
      </c>
    </row>
    <row r="953">
      <c r="A953" t="n">
        <v>509811</v>
      </c>
      <c r="B953" s="6" t="n">
        <v>45943</v>
      </c>
      <c r="C953" t="n">
        <v>15697</v>
      </c>
      <c r="D953" t="inlineStr">
        <is>
          <t>Noida</t>
        </is>
      </c>
      <c r="E953" t="inlineStr">
        <is>
          <t>North</t>
        </is>
      </c>
      <c r="F953" t="inlineStr">
        <is>
          <t>Paid Search</t>
        </is>
      </c>
      <c r="G953" t="inlineStr">
        <is>
          <t>Desktop</t>
        </is>
      </c>
      <c r="H953" t="inlineStr">
        <is>
          <t>Credit Card</t>
        </is>
      </c>
      <c r="I953" t="inlineStr">
        <is>
          <t>Delivered</t>
        </is>
      </c>
      <c r="J953" t="n">
        <v>113</v>
      </c>
      <c r="K953" t="n">
        <v>2</v>
      </c>
      <c r="L953" t="n">
        <v>1364</v>
      </c>
      <c r="M953" t="n">
        <v>0</v>
      </c>
      <c r="N953">
        <f>VLOOKUP(J953,Products!$A$2:$C$49,3,FALSE)</f>
        <v/>
      </c>
      <c r="O953">
        <f>K953*L953-M953</f>
        <v/>
      </c>
      <c r="P953">
        <f>TEXT(B953,"yyyy-mm")</f>
        <v/>
      </c>
      <c r="Q953">
        <f>IF(O953&gt;=3000,"Large","Small")</f>
        <v/>
      </c>
      <c r="R953">
        <f>INDEX(Products!$F$2:$F$49,MATCH(J953,Products!$A$2:$A$49,0))</f>
        <v/>
      </c>
      <c r="S953">
        <f>WEEKDAY(B953,2)</f>
        <v/>
      </c>
    </row>
    <row r="954">
      <c r="A954" t="n">
        <v>509811</v>
      </c>
      <c r="B954" s="6" t="n">
        <v>45943</v>
      </c>
      <c r="C954" t="n">
        <v>15697</v>
      </c>
      <c r="D954" t="inlineStr">
        <is>
          <t>Noida</t>
        </is>
      </c>
      <c r="E954" t="inlineStr">
        <is>
          <t>North</t>
        </is>
      </c>
      <c r="F954" t="inlineStr">
        <is>
          <t>Paid Search</t>
        </is>
      </c>
      <c r="G954" t="inlineStr">
        <is>
          <t>Desktop</t>
        </is>
      </c>
      <c r="H954" t="inlineStr">
        <is>
          <t>Credit Card</t>
        </is>
      </c>
      <c r="I954" t="inlineStr">
        <is>
          <t>Delivered</t>
        </is>
      </c>
      <c r="J954" t="n">
        <v>128</v>
      </c>
      <c r="K954" t="n">
        <v>1</v>
      </c>
      <c r="L954" t="n">
        <v>1049</v>
      </c>
      <c r="M954" t="n">
        <v>0</v>
      </c>
      <c r="N954">
        <f>VLOOKUP(J954,Products!$A$2:$C$49,3,FALSE)</f>
        <v/>
      </c>
      <c r="O954">
        <f>K954*L954-M954</f>
        <v/>
      </c>
      <c r="P954">
        <f>TEXT(B954,"yyyy-mm")</f>
        <v/>
      </c>
      <c r="Q954">
        <f>IF(O954&gt;=3000,"Large","Small")</f>
        <v/>
      </c>
      <c r="R954">
        <f>INDEX(Products!$F$2:$F$49,MATCH(J954,Products!$A$2:$A$49,0))</f>
        <v/>
      </c>
      <c r="S954">
        <f>WEEKDAY(B954,2)</f>
        <v/>
      </c>
    </row>
    <row r="955">
      <c r="A955" t="n">
        <v>509812</v>
      </c>
      <c r="B955" s="6" t="n">
        <v>45943</v>
      </c>
      <c r="C955" t="n">
        <v>16024</v>
      </c>
      <c r="D955" t="inlineStr">
        <is>
          <t>Delhi</t>
        </is>
      </c>
      <c r="E955" t="inlineStr">
        <is>
          <t>North</t>
        </is>
      </c>
      <c r="F955" t="inlineStr">
        <is>
          <t>Organic Search</t>
        </is>
      </c>
      <c r="G955" t="inlineStr">
        <is>
          <t>Mobile App</t>
        </is>
      </c>
      <c r="H955" t="inlineStr">
        <is>
          <t>Cash on Delivery</t>
        </is>
      </c>
      <c r="I955" t="inlineStr">
        <is>
          <t>Delivered</t>
        </is>
      </c>
      <c r="J955" t="n">
        <v>118</v>
      </c>
      <c r="K955" t="n">
        <v>1</v>
      </c>
      <c r="L955" t="n">
        <v>944</v>
      </c>
      <c r="M955" t="n">
        <v>94.40000000000001</v>
      </c>
      <c r="N955">
        <f>VLOOKUP(J955,Products!$A$2:$C$49,3,FALSE)</f>
        <v/>
      </c>
      <c r="O955">
        <f>K955*L955-M955</f>
        <v/>
      </c>
      <c r="P955">
        <f>TEXT(B955,"yyyy-mm")</f>
        <v/>
      </c>
      <c r="Q955">
        <f>IF(O955&gt;=3000,"Large","Small")</f>
        <v/>
      </c>
      <c r="R955">
        <f>INDEX(Products!$F$2:$F$49,MATCH(J955,Products!$A$2:$A$49,0))</f>
        <v/>
      </c>
      <c r="S955">
        <f>WEEKDAY(B955,2)</f>
        <v/>
      </c>
    </row>
    <row r="956">
      <c r="A956" t="n">
        <v>509812</v>
      </c>
      <c r="B956" s="6" t="n">
        <v>45943</v>
      </c>
      <c r="C956" t="n">
        <v>16024</v>
      </c>
      <c r="D956" t="inlineStr">
        <is>
          <t>Delhi</t>
        </is>
      </c>
      <c r="E956" t="inlineStr">
        <is>
          <t>North</t>
        </is>
      </c>
      <c r="F956" t="inlineStr">
        <is>
          <t>Organic Search</t>
        </is>
      </c>
      <c r="G956" t="inlineStr">
        <is>
          <t>Mobile App</t>
        </is>
      </c>
      <c r="H956" t="inlineStr">
        <is>
          <t>Cash on Delivery</t>
        </is>
      </c>
      <c r="I956" t="inlineStr">
        <is>
          <t>Delivered</t>
        </is>
      </c>
      <c r="J956" t="n">
        <v>129</v>
      </c>
      <c r="K956" t="n">
        <v>2</v>
      </c>
      <c r="L956" t="n">
        <v>576</v>
      </c>
      <c r="M956" t="n">
        <v>115.2</v>
      </c>
      <c r="N956">
        <f>VLOOKUP(J956,Products!$A$2:$C$49,3,FALSE)</f>
        <v/>
      </c>
      <c r="O956">
        <f>K956*L956-M956</f>
        <v/>
      </c>
      <c r="P956">
        <f>TEXT(B956,"yyyy-mm")</f>
        <v/>
      </c>
      <c r="Q956">
        <f>IF(O956&gt;=3000,"Large","Small")</f>
        <v/>
      </c>
      <c r="R956">
        <f>INDEX(Products!$F$2:$F$49,MATCH(J956,Products!$A$2:$A$49,0))</f>
        <v/>
      </c>
      <c r="S956">
        <f>WEEKDAY(B956,2)</f>
        <v/>
      </c>
    </row>
    <row r="957">
      <c r="A957" t="n">
        <v>509813</v>
      </c>
      <c r="B957" s="6" t="n">
        <v>45943</v>
      </c>
      <c r="C957" t="n">
        <v>15611</v>
      </c>
      <c r="D957" t="inlineStr">
        <is>
          <t>Ahmedabad</t>
        </is>
      </c>
      <c r="E957" t="inlineStr">
        <is>
          <t>West</t>
        </is>
      </c>
      <c r="F957" t="inlineStr">
        <is>
          <t>Paid Social</t>
        </is>
      </c>
      <c r="G957" t="inlineStr">
        <is>
          <t>Mobile Web</t>
        </is>
      </c>
      <c r="H957" t="inlineStr">
        <is>
          <t>Credit Card</t>
        </is>
      </c>
      <c r="I957" t="inlineStr">
        <is>
          <t>Delivered</t>
        </is>
      </c>
      <c r="J957" t="n">
        <v>123</v>
      </c>
      <c r="K957" t="n">
        <v>3</v>
      </c>
      <c r="L957" t="n">
        <v>3464</v>
      </c>
      <c r="M957" t="n">
        <v>1039.2</v>
      </c>
      <c r="N957">
        <f>VLOOKUP(J957,Products!$A$2:$C$49,3,FALSE)</f>
        <v/>
      </c>
      <c r="O957">
        <f>K957*L957-M957</f>
        <v/>
      </c>
      <c r="P957">
        <f>TEXT(B957,"yyyy-mm")</f>
        <v/>
      </c>
      <c r="Q957">
        <f>IF(O957&gt;=3000,"Large","Small")</f>
        <v/>
      </c>
      <c r="R957">
        <f>INDEX(Products!$F$2:$F$49,MATCH(J957,Products!$A$2:$A$49,0))</f>
        <v/>
      </c>
      <c r="S957">
        <f>WEEKDAY(B957,2)</f>
        <v/>
      </c>
    </row>
    <row r="958">
      <c r="A958" t="n">
        <v>509813</v>
      </c>
      <c r="B958" s="6" t="n">
        <v>45943</v>
      </c>
      <c r="C958" t="n">
        <v>15611</v>
      </c>
      <c r="D958" t="inlineStr">
        <is>
          <t>Ahmedabad</t>
        </is>
      </c>
      <c r="E958" t="inlineStr">
        <is>
          <t>West</t>
        </is>
      </c>
      <c r="F958" t="inlineStr">
        <is>
          <t>Paid Social</t>
        </is>
      </c>
      <c r="G958" t="inlineStr">
        <is>
          <t>Mobile Web</t>
        </is>
      </c>
      <c r="H958" t="inlineStr">
        <is>
          <t>Credit Card</t>
        </is>
      </c>
      <c r="I958" t="inlineStr">
        <is>
          <t>Delivered</t>
        </is>
      </c>
      <c r="J958" t="n">
        <v>118</v>
      </c>
      <c r="K958" t="n">
        <v>1</v>
      </c>
      <c r="L958" t="n">
        <v>944</v>
      </c>
      <c r="M958" t="n">
        <v>94.40000000000001</v>
      </c>
      <c r="N958">
        <f>VLOOKUP(J958,Products!$A$2:$C$49,3,FALSE)</f>
        <v/>
      </c>
      <c r="O958">
        <f>K958*L958-M958</f>
        <v/>
      </c>
      <c r="P958">
        <f>TEXT(B958,"yyyy-mm")</f>
        <v/>
      </c>
      <c r="Q958">
        <f>IF(O958&gt;=3000,"Large","Small")</f>
        <v/>
      </c>
      <c r="R958">
        <f>INDEX(Products!$F$2:$F$49,MATCH(J958,Products!$A$2:$A$49,0))</f>
        <v/>
      </c>
      <c r="S958">
        <f>WEEKDAY(B958,2)</f>
        <v/>
      </c>
    </row>
    <row r="959">
      <c r="A959" t="n">
        <v>509813</v>
      </c>
      <c r="B959" s="6" t="n">
        <v>45943</v>
      </c>
      <c r="C959" t="n">
        <v>15611</v>
      </c>
      <c r="D959" t="inlineStr">
        <is>
          <t>Ahmedabad</t>
        </is>
      </c>
      <c r="E959" t="inlineStr">
        <is>
          <t>West</t>
        </is>
      </c>
      <c r="F959" t="inlineStr">
        <is>
          <t>Paid Social</t>
        </is>
      </c>
      <c r="G959" t="inlineStr">
        <is>
          <t>Mobile Web</t>
        </is>
      </c>
      <c r="H959" t="inlineStr">
        <is>
          <t>Credit Card</t>
        </is>
      </c>
      <c r="I959" t="inlineStr">
        <is>
          <t>Delivered</t>
        </is>
      </c>
      <c r="J959" t="n">
        <v>112</v>
      </c>
      <c r="K959" t="n">
        <v>2</v>
      </c>
      <c r="L959" t="n">
        <v>1574</v>
      </c>
      <c r="M959" t="n">
        <v>314.8</v>
      </c>
      <c r="N959">
        <f>VLOOKUP(J959,Products!$A$2:$C$49,3,FALSE)</f>
        <v/>
      </c>
      <c r="O959">
        <f>K959*L959-M959</f>
        <v/>
      </c>
      <c r="P959">
        <f>TEXT(B959,"yyyy-mm")</f>
        <v/>
      </c>
      <c r="Q959">
        <f>IF(O959&gt;=3000,"Large","Small")</f>
        <v/>
      </c>
      <c r="R959">
        <f>INDEX(Products!$F$2:$F$49,MATCH(J959,Products!$A$2:$A$49,0))</f>
        <v/>
      </c>
      <c r="S959">
        <f>WEEKDAY(B959,2)</f>
        <v/>
      </c>
    </row>
    <row r="960">
      <c r="A960" t="n">
        <v>509813</v>
      </c>
      <c r="B960" s="6" t="n">
        <v>45943</v>
      </c>
      <c r="C960" t="n">
        <v>15611</v>
      </c>
      <c r="D960" t="inlineStr">
        <is>
          <t>Ahmedabad</t>
        </is>
      </c>
      <c r="E960" t="inlineStr">
        <is>
          <t>West</t>
        </is>
      </c>
      <c r="F960" t="inlineStr">
        <is>
          <t>Paid Social</t>
        </is>
      </c>
      <c r="G960" t="inlineStr">
        <is>
          <t>Mobile Web</t>
        </is>
      </c>
      <c r="H960" t="inlineStr">
        <is>
          <t>Credit Card</t>
        </is>
      </c>
      <c r="I960" t="inlineStr">
        <is>
          <t>Delivered</t>
        </is>
      </c>
      <c r="J960" t="n">
        <v>117</v>
      </c>
      <c r="K960" t="n">
        <v>1</v>
      </c>
      <c r="L960" t="n">
        <v>3149</v>
      </c>
      <c r="M960" t="n">
        <v>314.9</v>
      </c>
      <c r="N960">
        <f>VLOOKUP(J960,Products!$A$2:$C$49,3,FALSE)</f>
        <v/>
      </c>
      <c r="O960">
        <f>K960*L960-M960</f>
        <v/>
      </c>
      <c r="P960">
        <f>TEXT(B960,"yyyy-mm")</f>
        <v/>
      </c>
      <c r="Q960">
        <f>IF(O960&gt;=3000,"Large","Small")</f>
        <v/>
      </c>
      <c r="R960">
        <f>INDEX(Products!$F$2:$F$49,MATCH(J960,Products!$A$2:$A$49,0))</f>
        <v/>
      </c>
      <c r="S960">
        <f>WEEKDAY(B960,2)</f>
        <v/>
      </c>
    </row>
    <row r="961">
      <c r="A961" t="n">
        <v>509814</v>
      </c>
      <c r="B961" s="6" t="n">
        <v>45943</v>
      </c>
      <c r="C961" t="n">
        <v>15327</v>
      </c>
      <c r="D961" t="inlineStr">
        <is>
          <t>Delhi</t>
        </is>
      </c>
      <c r="E961" t="inlineStr">
        <is>
          <t>North</t>
        </is>
      </c>
      <c r="F961" t="inlineStr">
        <is>
          <t>Paid Search</t>
        </is>
      </c>
      <c r="G961" t="inlineStr">
        <is>
          <t>Mobile Web</t>
        </is>
      </c>
      <c r="H961" t="inlineStr">
        <is>
          <t>Credit Card</t>
        </is>
      </c>
      <c r="I961" t="inlineStr">
        <is>
          <t>Delivered</t>
        </is>
      </c>
      <c r="J961" t="n">
        <v>115</v>
      </c>
      <c r="K961" t="n">
        <v>1</v>
      </c>
      <c r="L961" t="n">
        <v>4199</v>
      </c>
      <c r="M961" t="n">
        <v>0</v>
      </c>
      <c r="N961">
        <f>VLOOKUP(J961,Products!$A$2:$C$49,3,FALSE)</f>
        <v/>
      </c>
      <c r="O961">
        <f>K961*L961-M961</f>
        <v/>
      </c>
      <c r="P961">
        <f>TEXT(B961,"yyyy-mm")</f>
        <v/>
      </c>
      <c r="Q961">
        <f>IF(O961&gt;=3000,"Large","Small")</f>
        <v/>
      </c>
      <c r="R961">
        <f>INDEX(Products!$F$2:$F$49,MATCH(J961,Products!$A$2:$A$49,0))</f>
        <v/>
      </c>
      <c r="S961">
        <f>WEEKDAY(B961,2)</f>
        <v/>
      </c>
    </row>
    <row r="962">
      <c r="A962" t="n">
        <v>509814</v>
      </c>
      <c r="B962" s="6" t="n">
        <v>45943</v>
      </c>
      <c r="C962" t="n">
        <v>15327</v>
      </c>
      <c r="D962" t="inlineStr">
        <is>
          <t>Delhi</t>
        </is>
      </c>
      <c r="E962" t="inlineStr">
        <is>
          <t>North</t>
        </is>
      </c>
      <c r="F962" t="inlineStr">
        <is>
          <t>Paid Search</t>
        </is>
      </c>
      <c r="G962" t="inlineStr">
        <is>
          <t>Mobile Web</t>
        </is>
      </c>
      <c r="H962" t="inlineStr">
        <is>
          <t>Credit Card</t>
        </is>
      </c>
      <c r="I962" t="inlineStr">
        <is>
          <t>Delivered</t>
        </is>
      </c>
      <c r="J962" t="n">
        <v>122</v>
      </c>
      <c r="K962" t="n">
        <v>1</v>
      </c>
      <c r="L962" t="n">
        <v>1994</v>
      </c>
      <c r="M962" t="n">
        <v>0</v>
      </c>
      <c r="N962">
        <f>VLOOKUP(J962,Products!$A$2:$C$49,3,FALSE)</f>
        <v/>
      </c>
      <c r="O962">
        <f>K962*L962-M962</f>
        <v/>
      </c>
      <c r="P962">
        <f>TEXT(B962,"yyyy-mm")</f>
        <v/>
      </c>
      <c r="Q962">
        <f>IF(O962&gt;=3000,"Large","Small")</f>
        <v/>
      </c>
      <c r="R962">
        <f>INDEX(Products!$F$2:$F$49,MATCH(J962,Products!$A$2:$A$49,0))</f>
        <v/>
      </c>
      <c r="S962">
        <f>WEEKDAY(B962,2)</f>
        <v/>
      </c>
    </row>
    <row r="963">
      <c r="A963" t="n">
        <v>509815</v>
      </c>
      <c r="B963" s="6" t="n">
        <v>45943</v>
      </c>
      <c r="C963" t="n">
        <v>16767</v>
      </c>
      <c r="D963" t="inlineStr">
        <is>
          <t>Delhi</t>
        </is>
      </c>
      <c r="E963" t="inlineStr">
        <is>
          <t>North</t>
        </is>
      </c>
      <c r="F963" t="inlineStr">
        <is>
          <t>Paid Search</t>
        </is>
      </c>
      <c r="G963" t="inlineStr">
        <is>
          <t>Mobile Web</t>
        </is>
      </c>
      <c r="H963" t="inlineStr">
        <is>
          <t>UPI</t>
        </is>
      </c>
      <c r="I963" t="inlineStr">
        <is>
          <t>Delivered</t>
        </is>
      </c>
      <c r="J963" t="n">
        <v>104</v>
      </c>
      <c r="K963" t="n">
        <v>1</v>
      </c>
      <c r="L963" t="n">
        <v>5249</v>
      </c>
      <c r="M963" t="n">
        <v>0</v>
      </c>
      <c r="N963">
        <f>VLOOKUP(J963,Products!$A$2:$C$49,3,FALSE)</f>
        <v/>
      </c>
      <c r="O963">
        <f>K963*L963-M963</f>
        <v/>
      </c>
      <c r="P963">
        <f>TEXT(B963,"yyyy-mm")</f>
        <v/>
      </c>
      <c r="Q963">
        <f>IF(O963&gt;=3000,"Large","Small")</f>
        <v/>
      </c>
      <c r="R963">
        <f>INDEX(Products!$F$2:$F$49,MATCH(J963,Products!$A$2:$A$49,0))</f>
        <v/>
      </c>
      <c r="S963">
        <f>WEEKDAY(B963,2)</f>
        <v/>
      </c>
    </row>
    <row r="964">
      <c r="A964" t="n">
        <v>509815</v>
      </c>
      <c r="B964" s="6" t="n">
        <v>45943</v>
      </c>
      <c r="C964" t="n">
        <v>16767</v>
      </c>
      <c r="D964" t="inlineStr">
        <is>
          <t>Delhi</t>
        </is>
      </c>
      <c r="E964" t="inlineStr">
        <is>
          <t>North</t>
        </is>
      </c>
      <c r="F964" t="inlineStr">
        <is>
          <t>Paid Search</t>
        </is>
      </c>
      <c r="G964" t="inlineStr">
        <is>
          <t>Mobile Web</t>
        </is>
      </c>
      <c r="H964" t="inlineStr">
        <is>
          <t>UPI</t>
        </is>
      </c>
      <c r="I964" t="inlineStr">
        <is>
          <t>Delivered</t>
        </is>
      </c>
      <c r="J964" t="n">
        <v>107</v>
      </c>
      <c r="K964" t="n">
        <v>1</v>
      </c>
      <c r="L964" t="n">
        <v>1259</v>
      </c>
      <c r="M964" t="n">
        <v>0</v>
      </c>
      <c r="N964">
        <f>VLOOKUP(J964,Products!$A$2:$C$49,3,FALSE)</f>
        <v/>
      </c>
      <c r="O964">
        <f>K964*L964-M964</f>
        <v/>
      </c>
      <c r="P964">
        <f>TEXT(B964,"yyyy-mm")</f>
        <v/>
      </c>
      <c r="Q964">
        <f>IF(O964&gt;=3000,"Large","Small")</f>
        <v/>
      </c>
      <c r="R964">
        <f>INDEX(Products!$F$2:$F$49,MATCH(J964,Products!$A$2:$A$49,0))</f>
        <v/>
      </c>
      <c r="S964">
        <f>WEEKDAY(B964,2)</f>
        <v/>
      </c>
    </row>
    <row r="965">
      <c r="A965" t="n">
        <v>509816</v>
      </c>
      <c r="B965" s="6" t="n">
        <v>45943</v>
      </c>
      <c r="C965" t="n">
        <v>16799</v>
      </c>
      <c r="D965" t="inlineStr">
        <is>
          <t>Chennai</t>
        </is>
      </c>
      <c r="E965" t="inlineStr">
        <is>
          <t>South</t>
        </is>
      </c>
      <c r="F965" t="inlineStr">
        <is>
          <t>Paid Social</t>
        </is>
      </c>
      <c r="G965" t="inlineStr">
        <is>
          <t>Desktop</t>
        </is>
      </c>
      <c r="H965" t="inlineStr">
        <is>
          <t>Cash on Delivery</t>
        </is>
      </c>
      <c r="I965" t="inlineStr">
        <is>
          <t>Delivered</t>
        </is>
      </c>
      <c r="J965" t="n">
        <v>111</v>
      </c>
      <c r="K965" t="n">
        <v>2</v>
      </c>
      <c r="L965" t="n">
        <v>524</v>
      </c>
      <c r="M965" t="n">
        <v>0</v>
      </c>
      <c r="N965">
        <f>VLOOKUP(J965,Products!$A$2:$C$49,3,FALSE)</f>
        <v/>
      </c>
      <c r="O965">
        <f>K965*L965-M965</f>
        <v/>
      </c>
      <c r="P965">
        <f>TEXT(B965,"yyyy-mm")</f>
        <v/>
      </c>
      <c r="Q965">
        <f>IF(O965&gt;=3000,"Large","Small")</f>
        <v/>
      </c>
      <c r="R965">
        <f>INDEX(Products!$F$2:$F$49,MATCH(J965,Products!$A$2:$A$49,0))</f>
        <v/>
      </c>
      <c r="S965">
        <f>WEEKDAY(B965,2)</f>
        <v/>
      </c>
    </row>
    <row r="966">
      <c r="A966" t="n">
        <v>509817</v>
      </c>
      <c r="B966" s="6" t="n">
        <v>45943</v>
      </c>
      <c r="C966" t="n">
        <v>10713</v>
      </c>
      <c r="D966" t="inlineStr">
        <is>
          <t>Chandigarh</t>
        </is>
      </c>
      <c r="E966" t="inlineStr">
        <is>
          <t>North</t>
        </is>
      </c>
      <c r="F966" t="inlineStr">
        <is>
          <t>Email</t>
        </is>
      </c>
      <c r="G966" t="inlineStr">
        <is>
          <t>Mobile App</t>
        </is>
      </c>
      <c r="H966" t="inlineStr">
        <is>
          <t>UPI</t>
        </is>
      </c>
      <c r="I966" t="inlineStr">
        <is>
          <t>Delivered</t>
        </is>
      </c>
      <c r="J966" t="n">
        <v>116</v>
      </c>
      <c r="K966" t="n">
        <v>1</v>
      </c>
      <c r="L966" t="n">
        <v>2624</v>
      </c>
      <c r="M966" t="n">
        <v>262.4</v>
      </c>
      <c r="N966">
        <f>VLOOKUP(J966,Products!$A$2:$C$49,3,FALSE)</f>
        <v/>
      </c>
      <c r="O966">
        <f>K966*L966-M966</f>
        <v/>
      </c>
      <c r="P966">
        <f>TEXT(B966,"yyyy-mm")</f>
        <v/>
      </c>
      <c r="Q966">
        <f>IF(O966&gt;=3000,"Large","Small")</f>
        <v/>
      </c>
      <c r="R966">
        <f>INDEX(Products!$F$2:$F$49,MATCH(J966,Products!$A$2:$A$49,0))</f>
        <v/>
      </c>
      <c r="S966">
        <f>WEEKDAY(B966,2)</f>
        <v/>
      </c>
    </row>
    <row r="967">
      <c r="A967" t="n">
        <v>509818</v>
      </c>
      <c r="B967" s="6" t="n">
        <v>45943</v>
      </c>
      <c r="C967" t="n">
        <v>10971</v>
      </c>
      <c r="D967" t="inlineStr">
        <is>
          <t>Indore</t>
        </is>
      </c>
      <c r="E967" t="inlineStr">
        <is>
          <t>West</t>
        </is>
      </c>
      <c r="F967" t="inlineStr">
        <is>
          <t>Paid Social</t>
        </is>
      </c>
      <c r="G967" t="inlineStr">
        <is>
          <t>Mobile App</t>
        </is>
      </c>
      <c r="H967" t="inlineStr">
        <is>
          <t>UPI</t>
        </is>
      </c>
      <c r="I967" t="inlineStr">
        <is>
          <t>Returned</t>
        </is>
      </c>
      <c r="J967" t="n">
        <v>106</v>
      </c>
      <c r="K967" t="n">
        <v>1</v>
      </c>
      <c r="L967" t="n">
        <v>1574</v>
      </c>
      <c r="M967" t="n">
        <v>0</v>
      </c>
      <c r="N967">
        <f>VLOOKUP(J967,Products!$A$2:$C$49,3,FALSE)</f>
        <v/>
      </c>
      <c r="O967">
        <f>K967*L967-M967</f>
        <v/>
      </c>
      <c r="P967">
        <f>TEXT(B967,"yyyy-mm")</f>
        <v/>
      </c>
      <c r="Q967">
        <f>IF(O967&gt;=3000,"Large","Small")</f>
        <v/>
      </c>
      <c r="R967">
        <f>INDEX(Products!$F$2:$F$49,MATCH(J967,Products!$A$2:$A$49,0))</f>
        <v/>
      </c>
      <c r="S967">
        <f>WEEKDAY(B967,2)</f>
        <v/>
      </c>
    </row>
    <row r="968">
      <c r="A968" t="n">
        <v>509818</v>
      </c>
      <c r="B968" s="6" t="n">
        <v>45943</v>
      </c>
      <c r="C968" t="n">
        <v>10971</v>
      </c>
      <c r="D968" t="inlineStr">
        <is>
          <t>Indore</t>
        </is>
      </c>
      <c r="E968" t="inlineStr">
        <is>
          <t>West</t>
        </is>
      </c>
      <c r="F968" t="inlineStr">
        <is>
          <t>Paid Social</t>
        </is>
      </c>
      <c r="G968" t="inlineStr">
        <is>
          <t>Mobile App</t>
        </is>
      </c>
      <c r="H968" t="inlineStr">
        <is>
          <t>UPI</t>
        </is>
      </c>
      <c r="I968" t="inlineStr">
        <is>
          <t>Returned</t>
        </is>
      </c>
      <c r="J968" t="n">
        <v>102</v>
      </c>
      <c r="K968" t="n">
        <v>1</v>
      </c>
      <c r="L968" t="n">
        <v>3674</v>
      </c>
      <c r="M968" t="n">
        <v>0</v>
      </c>
      <c r="N968">
        <f>VLOOKUP(J968,Products!$A$2:$C$49,3,FALSE)</f>
        <v/>
      </c>
      <c r="O968">
        <f>K968*L968-M968</f>
        <v/>
      </c>
      <c r="P968">
        <f>TEXT(B968,"yyyy-mm")</f>
        <v/>
      </c>
      <c r="Q968">
        <f>IF(O968&gt;=3000,"Large","Small")</f>
        <v/>
      </c>
      <c r="R968">
        <f>INDEX(Products!$F$2:$F$49,MATCH(J968,Products!$A$2:$A$49,0))</f>
        <v/>
      </c>
      <c r="S968">
        <f>WEEKDAY(B968,2)</f>
        <v/>
      </c>
    </row>
    <row r="969">
      <c r="A969" t="n">
        <v>509819</v>
      </c>
      <c r="B969" s="6" t="n">
        <v>45943</v>
      </c>
      <c r="C969" t="n">
        <v>16788</v>
      </c>
      <c r="D969" t="inlineStr">
        <is>
          <t>Delhi</t>
        </is>
      </c>
      <c r="E969" t="inlineStr">
        <is>
          <t>North</t>
        </is>
      </c>
      <c r="F969" t="inlineStr">
        <is>
          <t>Organic Search</t>
        </is>
      </c>
      <c r="G969" t="inlineStr">
        <is>
          <t>Mobile App</t>
        </is>
      </c>
      <c r="H969" t="inlineStr">
        <is>
          <t>UPI</t>
        </is>
      </c>
      <c r="I969" t="inlineStr">
        <is>
          <t>Delivered</t>
        </is>
      </c>
      <c r="J969" t="n">
        <v>109</v>
      </c>
      <c r="K969" t="n">
        <v>1</v>
      </c>
      <c r="L969" t="n">
        <v>4199</v>
      </c>
      <c r="M969" t="n">
        <v>629.85</v>
      </c>
      <c r="N969">
        <f>VLOOKUP(J969,Products!$A$2:$C$49,3,FALSE)</f>
        <v/>
      </c>
      <c r="O969">
        <f>K969*L969-M969</f>
        <v/>
      </c>
      <c r="P969">
        <f>TEXT(B969,"yyyy-mm")</f>
        <v/>
      </c>
      <c r="Q969">
        <f>IF(O969&gt;=3000,"Large","Small")</f>
        <v/>
      </c>
      <c r="R969">
        <f>INDEX(Products!$F$2:$F$49,MATCH(J969,Products!$A$2:$A$49,0))</f>
        <v/>
      </c>
      <c r="S969">
        <f>WEEKDAY(B969,2)</f>
        <v/>
      </c>
    </row>
    <row r="970">
      <c r="A970" t="n">
        <v>509819</v>
      </c>
      <c r="B970" s="6" t="n">
        <v>45943</v>
      </c>
      <c r="C970" t="n">
        <v>16788</v>
      </c>
      <c r="D970" t="inlineStr">
        <is>
          <t>Delhi</t>
        </is>
      </c>
      <c r="E970" t="inlineStr">
        <is>
          <t>North</t>
        </is>
      </c>
      <c r="F970" t="inlineStr">
        <is>
          <t>Organic Search</t>
        </is>
      </c>
      <c r="G970" t="inlineStr">
        <is>
          <t>Mobile App</t>
        </is>
      </c>
      <c r="H970" t="inlineStr">
        <is>
          <t>UPI</t>
        </is>
      </c>
      <c r="I970" t="inlineStr">
        <is>
          <t>Delivered</t>
        </is>
      </c>
      <c r="J970" t="n">
        <v>112</v>
      </c>
      <c r="K970" t="n">
        <v>1</v>
      </c>
      <c r="L970" t="n">
        <v>1574</v>
      </c>
      <c r="M970" t="n">
        <v>236.1</v>
      </c>
      <c r="N970">
        <f>VLOOKUP(J970,Products!$A$2:$C$49,3,FALSE)</f>
        <v/>
      </c>
      <c r="O970">
        <f>K970*L970-M970</f>
        <v/>
      </c>
      <c r="P970">
        <f>TEXT(B970,"yyyy-mm")</f>
        <v/>
      </c>
      <c r="Q970">
        <f>IF(O970&gt;=3000,"Large","Small")</f>
        <v/>
      </c>
      <c r="R970">
        <f>INDEX(Products!$F$2:$F$49,MATCH(J970,Products!$A$2:$A$49,0))</f>
        <v/>
      </c>
      <c r="S970">
        <f>WEEKDAY(B970,2)</f>
        <v/>
      </c>
    </row>
    <row r="971">
      <c r="A971" t="n">
        <v>509819</v>
      </c>
      <c r="B971" s="6" t="n">
        <v>45943</v>
      </c>
      <c r="C971" t="n">
        <v>16788</v>
      </c>
      <c r="D971" t="inlineStr">
        <is>
          <t>Delhi</t>
        </is>
      </c>
      <c r="E971" t="inlineStr">
        <is>
          <t>North</t>
        </is>
      </c>
      <c r="F971" t="inlineStr">
        <is>
          <t>Organic Search</t>
        </is>
      </c>
      <c r="G971" t="inlineStr">
        <is>
          <t>Mobile App</t>
        </is>
      </c>
      <c r="H971" t="inlineStr">
        <is>
          <t>UPI</t>
        </is>
      </c>
      <c r="I971" t="inlineStr">
        <is>
          <t>Delivered</t>
        </is>
      </c>
      <c r="J971" t="n">
        <v>129</v>
      </c>
      <c r="K971" t="n">
        <v>1</v>
      </c>
      <c r="L971" t="n">
        <v>576</v>
      </c>
      <c r="M971" t="n">
        <v>86.40000000000001</v>
      </c>
      <c r="N971">
        <f>VLOOKUP(J971,Products!$A$2:$C$49,3,FALSE)</f>
        <v/>
      </c>
      <c r="O971">
        <f>K971*L971-M971</f>
        <v/>
      </c>
      <c r="P971">
        <f>TEXT(B971,"yyyy-mm")</f>
        <v/>
      </c>
      <c r="Q971">
        <f>IF(O971&gt;=3000,"Large","Small")</f>
        <v/>
      </c>
      <c r="R971">
        <f>INDEX(Products!$F$2:$F$49,MATCH(J971,Products!$A$2:$A$49,0))</f>
        <v/>
      </c>
      <c r="S971">
        <f>WEEKDAY(B971,2)</f>
        <v/>
      </c>
    </row>
    <row r="972">
      <c r="A972" t="n">
        <v>509820</v>
      </c>
      <c r="B972" s="6" t="n">
        <v>45943</v>
      </c>
      <c r="C972" t="n">
        <v>13773</v>
      </c>
      <c r="D972" t="inlineStr">
        <is>
          <t>Jaipur</t>
        </is>
      </c>
      <c r="E972" t="inlineStr">
        <is>
          <t>North</t>
        </is>
      </c>
      <c r="F972" t="inlineStr">
        <is>
          <t>Organic Search</t>
        </is>
      </c>
      <c r="G972" t="inlineStr">
        <is>
          <t>Mobile Web</t>
        </is>
      </c>
      <c r="H972" t="inlineStr">
        <is>
          <t>UPI</t>
        </is>
      </c>
      <c r="I972" t="inlineStr">
        <is>
          <t>Delivered</t>
        </is>
      </c>
      <c r="J972" t="n">
        <v>113</v>
      </c>
      <c r="K972" t="n">
        <v>1</v>
      </c>
      <c r="L972" t="n">
        <v>1364</v>
      </c>
      <c r="M972" t="n">
        <v>136.4</v>
      </c>
      <c r="N972">
        <f>VLOOKUP(J972,Products!$A$2:$C$49,3,FALSE)</f>
        <v/>
      </c>
      <c r="O972">
        <f>K972*L972-M972</f>
        <v/>
      </c>
      <c r="P972">
        <f>TEXT(B972,"yyyy-mm")</f>
        <v/>
      </c>
      <c r="Q972">
        <f>IF(O972&gt;=3000,"Large","Small")</f>
        <v/>
      </c>
      <c r="R972">
        <f>INDEX(Products!$F$2:$F$49,MATCH(J972,Products!$A$2:$A$49,0))</f>
        <v/>
      </c>
      <c r="S972">
        <f>WEEKDAY(B972,2)</f>
        <v/>
      </c>
    </row>
    <row r="973">
      <c r="A973" t="n">
        <v>509820</v>
      </c>
      <c r="B973" s="6" t="n">
        <v>45943</v>
      </c>
      <c r="C973" t="n">
        <v>13773</v>
      </c>
      <c r="D973" t="inlineStr">
        <is>
          <t>Jaipur</t>
        </is>
      </c>
      <c r="E973" t="inlineStr">
        <is>
          <t>North</t>
        </is>
      </c>
      <c r="F973" t="inlineStr">
        <is>
          <t>Organic Search</t>
        </is>
      </c>
      <c r="G973" t="inlineStr">
        <is>
          <t>Mobile Web</t>
        </is>
      </c>
      <c r="H973" t="inlineStr">
        <is>
          <t>UPI</t>
        </is>
      </c>
      <c r="I973" t="inlineStr">
        <is>
          <t>Delivered</t>
        </is>
      </c>
      <c r="J973" t="n">
        <v>119</v>
      </c>
      <c r="K973" t="n">
        <v>1</v>
      </c>
      <c r="L973" t="n">
        <v>2309</v>
      </c>
      <c r="M973" t="n">
        <v>230.9</v>
      </c>
      <c r="N973">
        <f>VLOOKUP(J973,Products!$A$2:$C$49,3,FALSE)</f>
        <v/>
      </c>
      <c r="O973">
        <f>K973*L973-M973</f>
        <v/>
      </c>
      <c r="P973">
        <f>TEXT(B973,"yyyy-mm")</f>
        <v/>
      </c>
      <c r="Q973">
        <f>IF(O973&gt;=3000,"Large","Small")</f>
        <v/>
      </c>
      <c r="R973">
        <f>INDEX(Products!$F$2:$F$49,MATCH(J973,Products!$A$2:$A$49,0))</f>
        <v/>
      </c>
      <c r="S973">
        <f>WEEKDAY(B973,2)</f>
        <v/>
      </c>
    </row>
    <row r="974">
      <c r="A974" t="n">
        <v>509820</v>
      </c>
      <c r="B974" s="6" t="n">
        <v>45943</v>
      </c>
      <c r="C974" t="n">
        <v>13773</v>
      </c>
      <c r="D974" t="inlineStr">
        <is>
          <t>Jaipur</t>
        </is>
      </c>
      <c r="E974" t="inlineStr">
        <is>
          <t>North</t>
        </is>
      </c>
      <c r="F974" t="inlineStr">
        <is>
          <t>Organic Search</t>
        </is>
      </c>
      <c r="G974" t="inlineStr">
        <is>
          <t>Mobile Web</t>
        </is>
      </c>
      <c r="H974" t="inlineStr">
        <is>
          <t>UPI</t>
        </is>
      </c>
      <c r="I974" t="inlineStr">
        <is>
          <t>Delivered</t>
        </is>
      </c>
      <c r="J974" t="n">
        <v>123</v>
      </c>
      <c r="K974" t="n">
        <v>1</v>
      </c>
      <c r="L974" t="n">
        <v>3464</v>
      </c>
      <c r="M974" t="n">
        <v>346.4</v>
      </c>
      <c r="N974">
        <f>VLOOKUP(J974,Products!$A$2:$C$49,3,FALSE)</f>
        <v/>
      </c>
      <c r="O974">
        <f>K974*L974-M974</f>
        <v/>
      </c>
      <c r="P974">
        <f>TEXT(B974,"yyyy-mm")</f>
        <v/>
      </c>
      <c r="Q974">
        <f>IF(O974&gt;=3000,"Large","Small")</f>
        <v/>
      </c>
      <c r="R974">
        <f>INDEX(Products!$F$2:$F$49,MATCH(J974,Products!$A$2:$A$49,0))</f>
        <v/>
      </c>
      <c r="S974">
        <f>WEEKDAY(B974,2)</f>
        <v/>
      </c>
    </row>
    <row r="975">
      <c r="A975" t="n">
        <v>509820</v>
      </c>
      <c r="B975" s="6" t="n">
        <v>45943</v>
      </c>
      <c r="C975" t="n">
        <v>13773</v>
      </c>
      <c r="D975" t="inlineStr">
        <is>
          <t>Jaipur</t>
        </is>
      </c>
      <c r="E975" t="inlineStr">
        <is>
          <t>North</t>
        </is>
      </c>
      <c r="F975" t="inlineStr">
        <is>
          <t>Organic Search</t>
        </is>
      </c>
      <c r="G975" t="inlineStr">
        <is>
          <t>Mobile Web</t>
        </is>
      </c>
      <c r="H975" t="inlineStr">
        <is>
          <t>UPI</t>
        </is>
      </c>
      <c r="I975" t="inlineStr">
        <is>
          <t>Delivered</t>
        </is>
      </c>
      <c r="J975" t="n">
        <v>129</v>
      </c>
      <c r="K975" t="n">
        <v>3</v>
      </c>
      <c r="L975" t="n">
        <v>576</v>
      </c>
      <c r="M975" t="n">
        <v>172.8</v>
      </c>
      <c r="N975">
        <f>VLOOKUP(J975,Products!$A$2:$C$49,3,FALSE)</f>
        <v/>
      </c>
      <c r="O975">
        <f>K975*L975-M975</f>
        <v/>
      </c>
      <c r="P975">
        <f>TEXT(B975,"yyyy-mm")</f>
        <v/>
      </c>
      <c r="Q975">
        <f>IF(O975&gt;=3000,"Large","Small")</f>
        <v/>
      </c>
      <c r="R975">
        <f>INDEX(Products!$F$2:$F$49,MATCH(J975,Products!$A$2:$A$49,0))</f>
        <v/>
      </c>
      <c r="S975">
        <f>WEEKDAY(B975,2)</f>
        <v/>
      </c>
    </row>
    <row r="976">
      <c r="A976" t="n">
        <v>509821</v>
      </c>
      <c r="B976" s="6" t="n">
        <v>45943</v>
      </c>
      <c r="C976" t="n">
        <v>16794</v>
      </c>
      <c r="D976" t="inlineStr">
        <is>
          <t>Delhi</t>
        </is>
      </c>
      <c r="E976" t="inlineStr">
        <is>
          <t>North</t>
        </is>
      </c>
      <c r="F976" t="inlineStr">
        <is>
          <t>Email</t>
        </is>
      </c>
      <c r="G976" t="inlineStr">
        <is>
          <t>Mobile Web</t>
        </is>
      </c>
      <c r="H976" t="inlineStr">
        <is>
          <t>Debit Card</t>
        </is>
      </c>
      <c r="I976" t="inlineStr">
        <is>
          <t>Delivered</t>
        </is>
      </c>
      <c r="J976" t="n">
        <v>112</v>
      </c>
      <c r="K976" t="n">
        <v>2</v>
      </c>
      <c r="L976" t="n">
        <v>1574</v>
      </c>
      <c r="M976" t="n">
        <v>314.8</v>
      </c>
      <c r="N976">
        <f>VLOOKUP(J976,Products!$A$2:$C$49,3,FALSE)</f>
        <v/>
      </c>
      <c r="O976">
        <f>K976*L976-M976</f>
        <v/>
      </c>
      <c r="P976">
        <f>TEXT(B976,"yyyy-mm")</f>
        <v/>
      </c>
      <c r="Q976">
        <f>IF(O976&gt;=3000,"Large","Small")</f>
        <v/>
      </c>
      <c r="R976">
        <f>INDEX(Products!$F$2:$F$49,MATCH(J976,Products!$A$2:$A$49,0))</f>
        <v/>
      </c>
      <c r="S976">
        <f>WEEKDAY(B976,2)</f>
        <v/>
      </c>
    </row>
    <row r="977">
      <c r="A977" t="n">
        <v>509821</v>
      </c>
      <c r="B977" s="6" t="n">
        <v>45943</v>
      </c>
      <c r="C977" t="n">
        <v>16794</v>
      </c>
      <c r="D977" t="inlineStr">
        <is>
          <t>Delhi</t>
        </is>
      </c>
      <c r="E977" t="inlineStr">
        <is>
          <t>North</t>
        </is>
      </c>
      <c r="F977" t="inlineStr">
        <is>
          <t>Email</t>
        </is>
      </c>
      <c r="G977" t="inlineStr">
        <is>
          <t>Mobile Web</t>
        </is>
      </c>
      <c r="H977" t="inlineStr">
        <is>
          <t>Debit Card</t>
        </is>
      </c>
      <c r="I977" t="inlineStr">
        <is>
          <t>Delivered</t>
        </is>
      </c>
      <c r="J977" t="n">
        <v>122</v>
      </c>
      <c r="K977" t="n">
        <v>1</v>
      </c>
      <c r="L977" t="n">
        <v>1994</v>
      </c>
      <c r="M977" t="n">
        <v>199.4</v>
      </c>
      <c r="N977">
        <f>VLOOKUP(J977,Products!$A$2:$C$49,3,FALSE)</f>
        <v/>
      </c>
      <c r="O977">
        <f>K977*L977-M977</f>
        <v/>
      </c>
      <c r="P977">
        <f>TEXT(B977,"yyyy-mm")</f>
        <v/>
      </c>
      <c r="Q977">
        <f>IF(O977&gt;=3000,"Large","Small")</f>
        <v/>
      </c>
      <c r="R977">
        <f>INDEX(Products!$F$2:$F$49,MATCH(J977,Products!$A$2:$A$49,0))</f>
        <v/>
      </c>
      <c r="S977">
        <f>WEEKDAY(B977,2)</f>
        <v/>
      </c>
    </row>
    <row r="978">
      <c r="A978" t="n">
        <v>509822</v>
      </c>
      <c r="B978" s="6" t="n">
        <v>45943</v>
      </c>
      <c r="C978" t="n">
        <v>14566</v>
      </c>
      <c r="D978" t="inlineStr">
        <is>
          <t>Ahmedabad</t>
        </is>
      </c>
      <c r="E978" t="inlineStr">
        <is>
          <t>West</t>
        </is>
      </c>
      <c r="F978" t="inlineStr">
        <is>
          <t>Organic Search</t>
        </is>
      </c>
      <c r="G978" t="inlineStr">
        <is>
          <t>Mobile App</t>
        </is>
      </c>
      <c r="H978" t="inlineStr">
        <is>
          <t>Net Banking</t>
        </is>
      </c>
      <c r="I978" t="inlineStr">
        <is>
          <t>Delivered</t>
        </is>
      </c>
      <c r="J978" t="n">
        <v>109</v>
      </c>
      <c r="K978" t="n">
        <v>1</v>
      </c>
      <c r="L978" t="n">
        <v>4199</v>
      </c>
      <c r="M978" t="n">
        <v>419.9</v>
      </c>
      <c r="N978">
        <f>VLOOKUP(J978,Products!$A$2:$C$49,3,FALSE)</f>
        <v/>
      </c>
      <c r="O978">
        <f>K978*L978-M978</f>
        <v/>
      </c>
      <c r="P978">
        <f>TEXT(B978,"yyyy-mm")</f>
        <v/>
      </c>
      <c r="Q978">
        <f>IF(O978&gt;=3000,"Large","Small")</f>
        <v/>
      </c>
      <c r="R978">
        <f>INDEX(Products!$F$2:$F$49,MATCH(J978,Products!$A$2:$A$49,0))</f>
        <v/>
      </c>
      <c r="S978">
        <f>WEEKDAY(B978,2)</f>
        <v/>
      </c>
    </row>
    <row r="979">
      <c r="A979" t="n">
        <v>509822</v>
      </c>
      <c r="B979" s="6" t="n">
        <v>45943</v>
      </c>
      <c r="C979" t="n">
        <v>14566</v>
      </c>
      <c r="D979" t="inlineStr">
        <is>
          <t>Ahmedabad</t>
        </is>
      </c>
      <c r="E979" t="inlineStr">
        <is>
          <t>West</t>
        </is>
      </c>
      <c r="F979" t="inlineStr">
        <is>
          <t>Organic Search</t>
        </is>
      </c>
      <c r="G979" t="inlineStr">
        <is>
          <t>Mobile App</t>
        </is>
      </c>
      <c r="H979" t="inlineStr">
        <is>
          <t>Net Banking</t>
        </is>
      </c>
      <c r="I979" t="inlineStr">
        <is>
          <t>Delivered</t>
        </is>
      </c>
      <c r="J979" t="n">
        <v>118</v>
      </c>
      <c r="K979" t="n">
        <v>1</v>
      </c>
      <c r="L979" t="n">
        <v>944</v>
      </c>
      <c r="M979" t="n">
        <v>94.40000000000001</v>
      </c>
      <c r="N979">
        <f>VLOOKUP(J979,Products!$A$2:$C$49,3,FALSE)</f>
        <v/>
      </c>
      <c r="O979">
        <f>K979*L979-M979</f>
        <v/>
      </c>
      <c r="P979">
        <f>TEXT(B979,"yyyy-mm")</f>
        <v/>
      </c>
      <c r="Q979">
        <f>IF(O979&gt;=3000,"Large","Small")</f>
        <v/>
      </c>
      <c r="R979">
        <f>INDEX(Products!$F$2:$F$49,MATCH(J979,Products!$A$2:$A$49,0))</f>
        <v/>
      </c>
      <c r="S979">
        <f>WEEKDAY(B979,2)</f>
        <v/>
      </c>
    </row>
    <row r="980">
      <c r="A980" t="n">
        <v>509823</v>
      </c>
      <c r="B980" s="6" t="n">
        <v>45943</v>
      </c>
      <c r="C980" t="n">
        <v>13903</v>
      </c>
      <c r="D980" t="inlineStr">
        <is>
          <t>Gurugram</t>
        </is>
      </c>
      <c r="E980" t="inlineStr">
        <is>
          <t>North</t>
        </is>
      </c>
      <c r="F980" t="inlineStr">
        <is>
          <t>Email</t>
        </is>
      </c>
      <c r="G980" t="inlineStr">
        <is>
          <t>Mobile App</t>
        </is>
      </c>
      <c r="H980" t="inlineStr">
        <is>
          <t>UPI</t>
        </is>
      </c>
      <c r="I980" t="inlineStr">
        <is>
          <t>Delivered</t>
        </is>
      </c>
      <c r="J980" t="n">
        <v>115</v>
      </c>
      <c r="K980" t="n">
        <v>1</v>
      </c>
      <c r="L980" t="n">
        <v>4199</v>
      </c>
      <c r="M980" t="n">
        <v>419.9</v>
      </c>
      <c r="N980">
        <f>VLOOKUP(J980,Products!$A$2:$C$49,3,FALSE)</f>
        <v/>
      </c>
      <c r="O980">
        <f>K980*L980-M980</f>
        <v/>
      </c>
      <c r="P980">
        <f>TEXT(B980,"yyyy-mm")</f>
        <v/>
      </c>
      <c r="Q980">
        <f>IF(O980&gt;=3000,"Large","Small")</f>
        <v/>
      </c>
      <c r="R980">
        <f>INDEX(Products!$F$2:$F$49,MATCH(J980,Products!$A$2:$A$49,0))</f>
        <v/>
      </c>
      <c r="S980">
        <f>WEEKDAY(B980,2)</f>
        <v/>
      </c>
    </row>
    <row r="981">
      <c r="A981" t="n">
        <v>509823</v>
      </c>
      <c r="B981" s="6" t="n">
        <v>45943</v>
      </c>
      <c r="C981" t="n">
        <v>13903</v>
      </c>
      <c r="D981" t="inlineStr">
        <is>
          <t>Gurugram</t>
        </is>
      </c>
      <c r="E981" t="inlineStr">
        <is>
          <t>North</t>
        </is>
      </c>
      <c r="F981" t="inlineStr">
        <is>
          <t>Email</t>
        </is>
      </c>
      <c r="G981" t="inlineStr">
        <is>
          <t>Mobile App</t>
        </is>
      </c>
      <c r="H981" t="inlineStr">
        <is>
          <t>UPI</t>
        </is>
      </c>
      <c r="I981" t="inlineStr">
        <is>
          <t>Delivered</t>
        </is>
      </c>
      <c r="J981" t="n">
        <v>107</v>
      </c>
      <c r="K981" t="n">
        <v>1</v>
      </c>
      <c r="L981" t="n">
        <v>1259</v>
      </c>
      <c r="M981" t="n">
        <v>125.9</v>
      </c>
      <c r="N981">
        <f>VLOOKUP(J981,Products!$A$2:$C$49,3,FALSE)</f>
        <v/>
      </c>
      <c r="O981">
        <f>K981*L981-M981</f>
        <v/>
      </c>
      <c r="P981">
        <f>TEXT(B981,"yyyy-mm")</f>
        <v/>
      </c>
      <c r="Q981">
        <f>IF(O981&gt;=3000,"Large","Small")</f>
        <v/>
      </c>
      <c r="R981">
        <f>INDEX(Products!$F$2:$F$49,MATCH(J981,Products!$A$2:$A$49,0))</f>
        <v/>
      </c>
      <c r="S981">
        <f>WEEKDAY(B981,2)</f>
        <v/>
      </c>
    </row>
    <row r="982">
      <c r="A982" t="n">
        <v>509823</v>
      </c>
      <c r="B982" s="6" t="n">
        <v>45943</v>
      </c>
      <c r="C982" t="n">
        <v>13903</v>
      </c>
      <c r="D982" t="inlineStr">
        <is>
          <t>Gurugram</t>
        </is>
      </c>
      <c r="E982" t="inlineStr">
        <is>
          <t>North</t>
        </is>
      </c>
      <c r="F982" t="inlineStr">
        <is>
          <t>Email</t>
        </is>
      </c>
      <c r="G982" t="inlineStr">
        <is>
          <t>Mobile App</t>
        </is>
      </c>
      <c r="H982" t="inlineStr">
        <is>
          <t>UPI</t>
        </is>
      </c>
      <c r="I982" t="inlineStr">
        <is>
          <t>Delivered</t>
        </is>
      </c>
      <c r="J982" t="n">
        <v>110</v>
      </c>
      <c r="K982" t="n">
        <v>1</v>
      </c>
      <c r="L982" t="n">
        <v>839</v>
      </c>
      <c r="M982" t="n">
        <v>83.90000000000001</v>
      </c>
      <c r="N982">
        <f>VLOOKUP(J982,Products!$A$2:$C$49,3,FALSE)</f>
        <v/>
      </c>
      <c r="O982">
        <f>K982*L982-M982</f>
        <v/>
      </c>
      <c r="P982">
        <f>TEXT(B982,"yyyy-mm")</f>
        <v/>
      </c>
      <c r="Q982">
        <f>IF(O982&gt;=3000,"Large","Small")</f>
        <v/>
      </c>
      <c r="R982">
        <f>INDEX(Products!$F$2:$F$49,MATCH(J982,Products!$A$2:$A$49,0))</f>
        <v/>
      </c>
      <c r="S982">
        <f>WEEKDAY(B982,2)</f>
        <v/>
      </c>
    </row>
    <row r="983">
      <c r="A983" t="n">
        <v>509824</v>
      </c>
      <c r="B983" s="6" t="n">
        <v>45943</v>
      </c>
      <c r="C983" t="n">
        <v>16741</v>
      </c>
      <c r="D983" t="inlineStr">
        <is>
          <t>Jaipur</t>
        </is>
      </c>
      <c r="E983" t="inlineStr">
        <is>
          <t>North</t>
        </is>
      </c>
      <c r="F983" t="inlineStr">
        <is>
          <t>Paid Social</t>
        </is>
      </c>
      <c r="G983" t="inlineStr">
        <is>
          <t>Desktop</t>
        </is>
      </c>
      <c r="H983" t="inlineStr">
        <is>
          <t>UPI</t>
        </is>
      </c>
      <c r="I983" t="inlineStr">
        <is>
          <t>Delivered</t>
        </is>
      </c>
      <c r="J983" t="n">
        <v>125</v>
      </c>
      <c r="K983" t="n">
        <v>1</v>
      </c>
      <c r="L983" t="n">
        <v>1364</v>
      </c>
      <c r="M983" t="n">
        <v>204.6</v>
      </c>
      <c r="N983">
        <f>VLOOKUP(J983,Products!$A$2:$C$49,3,FALSE)</f>
        <v/>
      </c>
      <c r="O983">
        <f>K983*L983-M983</f>
        <v/>
      </c>
      <c r="P983">
        <f>TEXT(B983,"yyyy-mm")</f>
        <v/>
      </c>
      <c r="Q983">
        <f>IF(O983&gt;=3000,"Large","Small")</f>
        <v/>
      </c>
      <c r="R983">
        <f>INDEX(Products!$F$2:$F$49,MATCH(J983,Products!$A$2:$A$49,0))</f>
        <v/>
      </c>
      <c r="S983">
        <f>WEEKDAY(B983,2)</f>
        <v/>
      </c>
    </row>
    <row r="984">
      <c r="A984" t="n">
        <v>509824</v>
      </c>
      <c r="B984" s="6" t="n">
        <v>45943</v>
      </c>
      <c r="C984" t="n">
        <v>16741</v>
      </c>
      <c r="D984" t="inlineStr">
        <is>
          <t>Jaipur</t>
        </is>
      </c>
      <c r="E984" t="inlineStr">
        <is>
          <t>North</t>
        </is>
      </c>
      <c r="F984" t="inlineStr">
        <is>
          <t>Paid Social</t>
        </is>
      </c>
      <c r="G984" t="inlineStr">
        <is>
          <t>Desktop</t>
        </is>
      </c>
      <c r="H984" t="inlineStr">
        <is>
          <t>UPI</t>
        </is>
      </c>
      <c r="I984" t="inlineStr">
        <is>
          <t>Delivered</t>
        </is>
      </c>
      <c r="J984" t="n">
        <v>127</v>
      </c>
      <c r="K984" t="n">
        <v>1</v>
      </c>
      <c r="L984" t="n">
        <v>681</v>
      </c>
      <c r="M984" t="n">
        <v>102.15</v>
      </c>
      <c r="N984">
        <f>VLOOKUP(J984,Products!$A$2:$C$49,3,FALSE)</f>
        <v/>
      </c>
      <c r="O984">
        <f>K984*L984-M984</f>
        <v/>
      </c>
      <c r="P984">
        <f>TEXT(B984,"yyyy-mm")</f>
        <v/>
      </c>
      <c r="Q984">
        <f>IF(O984&gt;=3000,"Large","Small")</f>
        <v/>
      </c>
      <c r="R984">
        <f>INDEX(Products!$F$2:$F$49,MATCH(J984,Products!$A$2:$A$49,0))</f>
        <v/>
      </c>
      <c r="S984">
        <f>WEEKDAY(B984,2)</f>
        <v/>
      </c>
    </row>
    <row r="985">
      <c r="A985" t="n">
        <v>509824</v>
      </c>
      <c r="B985" s="6" t="n">
        <v>45943</v>
      </c>
      <c r="C985" t="n">
        <v>16741</v>
      </c>
      <c r="D985" t="inlineStr">
        <is>
          <t>Jaipur</t>
        </is>
      </c>
      <c r="E985" t="inlineStr">
        <is>
          <t>North</t>
        </is>
      </c>
      <c r="F985" t="inlineStr">
        <is>
          <t>Paid Social</t>
        </is>
      </c>
      <c r="G985" t="inlineStr">
        <is>
          <t>Desktop</t>
        </is>
      </c>
      <c r="H985" t="inlineStr">
        <is>
          <t>UPI</t>
        </is>
      </c>
      <c r="I985" t="inlineStr">
        <is>
          <t>Delivered</t>
        </is>
      </c>
      <c r="J985" t="n">
        <v>129</v>
      </c>
      <c r="K985" t="n">
        <v>1</v>
      </c>
      <c r="L985" t="n">
        <v>576</v>
      </c>
      <c r="M985" t="n">
        <v>86.40000000000001</v>
      </c>
      <c r="N985">
        <f>VLOOKUP(J985,Products!$A$2:$C$49,3,FALSE)</f>
        <v/>
      </c>
      <c r="O985">
        <f>K985*L985-M985</f>
        <v/>
      </c>
      <c r="P985">
        <f>TEXT(B985,"yyyy-mm")</f>
        <v/>
      </c>
      <c r="Q985">
        <f>IF(O985&gt;=3000,"Large","Small")</f>
        <v/>
      </c>
      <c r="R985">
        <f>INDEX(Products!$F$2:$F$49,MATCH(J985,Products!$A$2:$A$49,0))</f>
        <v/>
      </c>
      <c r="S985">
        <f>WEEKDAY(B985,2)</f>
        <v/>
      </c>
    </row>
    <row r="986">
      <c r="A986" t="n">
        <v>509825</v>
      </c>
      <c r="B986" s="6" t="n">
        <v>45943</v>
      </c>
      <c r="C986" t="n">
        <v>16623</v>
      </c>
      <c r="D986" t="inlineStr">
        <is>
          <t>Mumbai</t>
        </is>
      </c>
      <c r="E986" t="inlineStr">
        <is>
          <t>West</t>
        </is>
      </c>
      <c r="F986" t="inlineStr">
        <is>
          <t>Organic Search</t>
        </is>
      </c>
      <c r="G986" t="inlineStr">
        <is>
          <t>Mobile App</t>
        </is>
      </c>
      <c r="H986" t="inlineStr">
        <is>
          <t>Cash on Delivery</t>
        </is>
      </c>
      <c r="I986" t="inlineStr">
        <is>
          <t>Cancelled</t>
        </is>
      </c>
      <c r="J986" t="n">
        <v>137</v>
      </c>
      <c r="K986" t="n">
        <v>1</v>
      </c>
      <c r="L986" t="n">
        <v>261</v>
      </c>
      <c r="M986" t="n">
        <v>39.15</v>
      </c>
      <c r="N986">
        <f>VLOOKUP(J986,Products!$A$2:$C$49,3,FALSE)</f>
        <v/>
      </c>
      <c r="O986">
        <f>K986*L986-M986</f>
        <v/>
      </c>
      <c r="P986">
        <f>TEXT(B986,"yyyy-mm")</f>
        <v/>
      </c>
      <c r="Q986">
        <f>IF(O986&gt;=3000,"Large","Small")</f>
        <v/>
      </c>
      <c r="R986">
        <f>INDEX(Products!$F$2:$F$49,MATCH(J986,Products!$A$2:$A$49,0))</f>
        <v/>
      </c>
      <c r="S986">
        <f>WEEKDAY(B986,2)</f>
        <v/>
      </c>
    </row>
    <row r="987">
      <c r="A987" t="n">
        <v>509826</v>
      </c>
      <c r="B987" s="6" t="n">
        <v>45943</v>
      </c>
      <c r="C987" t="n">
        <v>13465</v>
      </c>
      <c r="D987" t="inlineStr">
        <is>
          <t>Kochi</t>
        </is>
      </c>
      <c r="E987" t="inlineStr">
        <is>
          <t>South</t>
        </is>
      </c>
      <c r="F987" t="inlineStr">
        <is>
          <t>Referral</t>
        </is>
      </c>
      <c r="G987" t="inlineStr">
        <is>
          <t>Mobile Web</t>
        </is>
      </c>
      <c r="H987" t="inlineStr">
        <is>
          <t>UPI</t>
        </is>
      </c>
      <c r="I987" t="inlineStr">
        <is>
          <t>Delivered</t>
        </is>
      </c>
      <c r="J987" t="n">
        <v>105</v>
      </c>
      <c r="K987" t="n">
        <v>1</v>
      </c>
      <c r="L987" t="n">
        <v>2414</v>
      </c>
      <c r="M987" t="n">
        <v>241.4</v>
      </c>
      <c r="N987">
        <f>VLOOKUP(J987,Products!$A$2:$C$49,3,FALSE)</f>
        <v/>
      </c>
      <c r="O987">
        <f>K987*L987-M987</f>
        <v/>
      </c>
      <c r="P987">
        <f>TEXT(B987,"yyyy-mm")</f>
        <v/>
      </c>
      <c r="Q987">
        <f>IF(O987&gt;=3000,"Large","Small")</f>
        <v/>
      </c>
      <c r="R987">
        <f>INDEX(Products!$F$2:$F$49,MATCH(J987,Products!$A$2:$A$49,0))</f>
        <v/>
      </c>
      <c r="S987">
        <f>WEEKDAY(B987,2)</f>
        <v/>
      </c>
    </row>
    <row r="988">
      <c r="A988" t="n">
        <v>509826</v>
      </c>
      <c r="B988" s="6" t="n">
        <v>45943</v>
      </c>
      <c r="C988" t="n">
        <v>13465</v>
      </c>
      <c r="D988" t="inlineStr">
        <is>
          <t>Kochi</t>
        </is>
      </c>
      <c r="E988" t="inlineStr">
        <is>
          <t>South</t>
        </is>
      </c>
      <c r="F988" t="inlineStr">
        <is>
          <t>Referral</t>
        </is>
      </c>
      <c r="G988" t="inlineStr">
        <is>
          <t>Mobile Web</t>
        </is>
      </c>
      <c r="H988" t="inlineStr">
        <is>
          <t>UPI</t>
        </is>
      </c>
      <c r="I988" t="inlineStr">
        <is>
          <t>Delivered</t>
        </is>
      </c>
      <c r="J988" t="n">
        <v>108</v>
      </c>
      <c r="K988" t="n">
        <v>2</v>
      </c>
      <c r="L988" t="n">
        <v>419</v>
      </c>
      <c r="M988" t="n">
        <v>83.8</v>
      </c>
      <c r="N988">
        <f>VLOOKUP(J988,Products!$A$2:$C$49,3,FALSE)</f>
        <v/>
      </c>
      <c r="O988">
        <f>K988*L988-M988</f>
        <v/>
      </c>
      <c r="P988">
        <f>TEXT(B988,"yyyy-mm")</f>
        <v/>
      </c>
      <c r="Q988">
        <f>IF(O988&gt;=3000,"Large","Small")</f>
        <v/>
      </c>
      <c r="R988">
        <f>INDEX(Products!$F$2:$F$49,MATCH(J988,Products!$A$2:$A$49,0))</f>
        <v/>
      </c>
      <c r="S988">
        <f>WEEKDAY(B988,2)</f>
        <v/>
      </c>
    </row>
    <row r="989">
      <c r="A989" t="n">
        <v>509826</v>
      </c>
      <c r="B989" s="6" t="n">
        <v>45943</v>
      </c>
      <c r="C989" t="n">
        <v>13465</v>
      </c>
      <c r="D989" t="inlineStr">
        <is>
          <t>Kochi</t>
        </is>
      </c>
      <c r="E989" t="inlineStr">
        <is>
          <t>South</t>
        </is>
      </c>
      <c r="F989" t="inlineStr">
        <is>
          <t>Referral</t>
        </is>
      </c>
      <c r="G989" t="inlineStr">
        <is>
          <t>Mobile Web</t>
        </is>
      </c>
      <c r="H989" t="inlineStr">
        <is>
          <t>UPI</t>
        </is>
      </c>
      <c r="I989" t="inlineStr">
        <is>
          <t>Delivered</t>
        </is>
      </c>
      <c r="J989" t="n">
        <v>144</v>
      </c>
      <c r="K989" t="n">
        <v>1</v>
      </c>
      <c r="L989" t="n">
        <v>3149</v>
      </c>
      <c r="M989" t="n">
        <v>314.9</v>
      </c>
      <c r="N989">
        <f>VLOOKUP(J989,Products!$A$2:$C$49,3,FALSE)</f>
        <v/>
      </c>
      <c r="O989">
        <f>K989*L989-M989</f>
        <v/>
      </c>
      <c r="P989">
        <f>TEXT(B989,"yyyy-mm")</f>
        <v/>
      </c>
      <c r="Q989">
        <f>IF(O989&gt;=3000,"Large","Small")</f>
        <v/>
      </c>
      <c r="R989">
        <f>INDEX(Products!$F$2:$F$49,MATCH(J989,Products!$A$2:$A$49,0))</f>
        <v/>
      </c>
      <c r="S989">
        <f>WEEKDAY(B989,2)</f>
        <v/>
      </c>
    </row>
    <row r="990">
      <c r="A990" t="n">
        <v>509826</v>
      </c>
      <c r="B990" s="6" t="n">
        <v>45943</v>
      </c>
      <c r="C990" t="n">
        <v>13465</v>
      </c>
      <c r="D990" t="inlineStr">
        <is>
          <t>Kochi</t>
        </is>
      </c>
      <c r="E990" t="inlineStr">
        <is>
          <t>South</t>
        </is>
      </c>
      <c r="F990" t="inlineStr">
        <is>
          <t>Referral</t>
        </is>
      </c>
      <c r="G990" t="inlineStr">
        <is>
          <t>Mobile Web</t>
        </is>
      </c>
      <c r="H990" t="inlineStr">
        <is>
          <t>UPI</t>
        </is>
      </c>
      <c r="I990" t="inlineStr">
        <is>
          <t>Delivered</t>
        </is>
      </c>
      <c r="J990" t="n">
        <v>129</v>
      </c>
      <c r="K990" t="n">
        <v>1</v>
      </c>
      <c r="L990" t="n">
        <v>576</v>
      </c>
      <c r="M990" t="n">
        <v>57.6</v>
      </c>
      <c r="N990">
        <f>VLOOKUP(J990,Products!$A$2:$C$49,3,FALSE)</f>
        <v/>
      </c>
      <c r="O990">
        <f>K990*L990-M990</f>
        <v/>
      </c>
      <c r="P990">
        <f>TEXT(B990,"yyyy-mm")</f>
        <v/>
      </c>
      <c r="Q990">
        <f>IF(O990&gt;=3000,"Large","Small")</f>
        <v/>
      </c>
      <c r="R990">
        <f>INDEX(Products!$F$2:$F$49,MATCH(J990,Products!$A$2:$A$49,0))</f>
        <v/>
      </c>
      <c r="S990">
        <f>WEEKDAY(B990,2)</f>
        <v/>
      </c>
    </row>
    <row r="991">
      <c r="A991" t="n">
        <v>509827</v>
      </c>
      <c r="B991" s="6" t="n">
        <v>45943</v>
      </c>
      <c r="C991" t="n">
        <v>16726</v>
      </c>
      <c r="D991" t="inlineStr">
        <is>
          <t>Bengaluru</t>
        </is>
      </c>
      <c r="E991" t="inlineStr">
        <is>
          <t>South</t>
        </is>
      </c>
      <c r="F991" t="inlineStr">
        <is>
          <t>Organic Search</t>
        </is>
      </c>
      <c r="G991" t="inlineStr">
        <is>
          <t>Mobile Web</t>
        </is>
      </c>
      <c r="H991" t="inlineStr">
        <is>
          <t>Credit Card</t>
        </is>
      </c>
      <c r="I991" t="inlineStr">
        <is>
          <t>Delivered</t>
        </is>
      </c>
      <c r="J991" t="n">
        <v>139</v>
      </c>
      <c r="K991" t="n">
        <v>1</v>
      </c>
      <c r="L991" t="n">
        <v>366</v>
      </c>
      <c r="M991" t="n">
        <v>0</v>
      </c>
      <c r="N991">
        <f>VLOOKUP(J991,Products!$A$2:$C$49,3,FALSE)</f>
        <v/>
      </c>
      <c r="O991">
        <f>K991*L991-M991</f>
        <v/>
      </c>
      <c r="P991">
        <f>TEXT(B991,"yyyy-mm")</f>
        <v/>
      </c>
      <c r="Q991">
        <f>IF(O991&gt;=3000,"Large","Small")</f>
        <v/>
      </c>
      <c r="R991">
        <f>INDEX(Products!$F$2:$F$49,MATCH(J991,Products!$A$2:$A$49,0))</f>
        <v/>
      </c>
      <c r="S991">
        <f>WEEKDAY(B991,2)</f>
        <v/>
      </c>
    </row>
    <row r="992">
      <c r="A992" t="n">
        <v>509827</v>
      </c>
      <c r="B992" s="6" t="n">
        <v>45943</v>
      </c>
      <c r="C992" t="n">
        <v>16726</v>
      </c>
      <c r="D992" t="inlineStr">
        <is>
          <t>Bengaluru</t>
        </is>
      </c>
      <c r="E992" t="inlineStr">
        <is>
          <t>South</t>
        </is>
      </c>
      <c r="F992" t="inlineStr">
        <is>
          <t>Organic Search</t>
        </is>
      </c>
      <c r="G992" t="inlineStr">
        <is>
          <t>Mobile Web</t>
        </is>
      </c>
      <c r="H992" t="inlineStr">
        <is>
          <t>Credit Card</t>
        </is>
      </c>
      <c r="I992" t="inlineStr">
        <is>
          <t>Delivered</t>
        </is>
      </c>
      <c r="J992" t="n">
        <v>123</v>
      </c>
      <c r="K992" t="n">
        <v>1</v>
      </c>
      <c r="L992" t="n">
        <v>3464</v>
      </c>
      <c r="M992" t="n">
        <v>0</v>
      </c>
      <c r="N992">
        <f>VLOOKUP(J992,Products!$A$2:$C$49,3,FALSE)</f>
        <v/>
      </c>
      <c r="O992">
        <f>K992*L992-M992</f>
        <v/>
      </c>
      <c r="P992">
        <f>TEXT(B992,"yyyy-mm")</f>
        <v/>
      </c>
      <c r="Q992">
        <f>IF(O992&gt;=3000,"Large","Small")</f>
        <v/>
      </c>
      <c r="R992">
        <f>INDEX(Products!$F$2:$F$49,MATCH(J992,Products!$A$2:$A$49,0))</f>
        <v/>
      </c>
      <c r="S992">
        <f>WEEKDAY(B992,2)</f>
        <v/>
      </c>
    </row>
    <row r="993">
      <c r="A993" t="n">
        <v>509827</v>
      </c>
      <c r="B993" s="6" t="n">
        <v>45943</v>
      </c>
      <c r="C993" t="n">
        <v>16726</v>
      </c>
      <c r="D993" t="inlineStr">
        <is>
          <t>Bengaluru</t>
        </is>
      </c>
      <c r="E993" t="inlineStr">
        <is>
          <t>South</t>
        </is>
      </c>
      <c r="F993" t="inlineStr">
        <is>
          <t>Organic Search</t>
        </is>
      </c>
      <c r="G993" t="inlineStr">
        <is>
          <t>Mobile Web</t>
        </is>
      </c>
      <c r="H993" t="inlineStr">
        <is>
          <t>Credit Card</t>
        </is>
      </c>
      <c r="I993" t="inlineStr">
        <is>
          <t>Delivered</t>
        </is>
      </c>
      <c r="J993" t="n">
        <v>129</v>
      </c>
      <c r="K993" t="n">
        <v>1</v>
      </c>
      <c r="L993" t="n">
        <v>576</v>
      </c>
      <c r="M993" t="n">
        <v>0</v>
      </c>
      <c r="N993">
        <f>VLOOKUP(J993,Products!$A$2:$C$49,3,FALSE)</f>
        <v/>
      </c>
      <c r="O993">
        <f>K993*L993-M993</f>
        <v/>
      </c>
      <c r="P993">
        <f>TEXT(B993,"yyyy-mm")</f>
        <v/>
      </c>
      <c r="Q993">
        <f>IF(O993&gt;=3000,"Large","Small")</f>
        <v/>
      </c>
      <c r="R993">
        <f>INDEX(Products!$F$2:$F$49,MATCH(J993,Products!$A$2:$A$49,0))</f>
        <v/>
      </c>
      <c r="S993">
        <f>WEEKDAY(B993,2)</f>
        <v/>
      </c>
    </row>
    <row r="994">
      <c r="A994" t="n">
        <v>509828</v>
      </c>
      <c r="B994" s="6" t="n">
        <v>45943</v>
      </c>
      <c r="C994" t="n">
        <v>13923</v>
      </c>
      <c r="D994" t="inlineStr">
        <is>
          <t>Noida</t>
        </is>
      </c>
      <c r="E994" t="inlineStr">
        <is>
          <t>North</t>
        </is>
      </c>
      <c r="F994" t="inlineStr">
        <is>
          <t>Organic Search</t>
        </is>
      </c>
      <c r="G994" t="inlineStr">
        <is>
          <t>Mobile App</t>
        </is>
      </c>
      <c r="H994" t="inlineStr">
        <is>
          <t>Cash on Delivery</t>
        </is>
      </c>
      <c r="I994" t="inlineStr">
        <is>
          <t>Delivered</t>
        </is>
      </c>
      <c r="J994" t="n">
        <v>107</v>
      </c>
      <c r="K994" t="n">
        <v>1</v>
      </c>
      <c r="L994" t="n">
        <v>1259</v>
      </c>
      <c r="M994" t="n">
        <v>0</v>
      </c>
      <c r="N994">
        <f>VLOOKUP(J994,Products!$A$2:$C$49,3,FALSE)</f>
        <v/>
      </c>
      <c r="O994">
        <f>K994*L994-M994</f>
        <v/>
      </c>
      <c r="P994">
        <f>TEXT(B994,"yyyy-mm")</f>
        <v/>
      </c>
      <c r="Q994">
        <f>IF(O994&gt;=3000,"Large","Small")</f>
        <v/>
      </c>
      <c r="R994">
        <f>INDEX(Products!$F$2:$F$49,MATCH(J994,Products!$A$2:$A$49,0))</f>
        <v/>
      </c>
      <c r="S994">
        <f>WEEKDAY(B994,2)</f>
        <v/>
      </c>
    </row>
    <row r="995">
      <c r="A995" t="n">
        <v>509828</v>
      </c>
      <c r="B995" s="6" t="n">
        <v>45943</v>
      </c>
      <c r="C995" t="n">
        <v>13923</v>
      </c>
      <c r="D995" t="inlineStr">
        <is>
          <t>Noida</t>
        </is>
      </c>
      <c r="E995" t="inlineStr">
        <is>
          <t>North</t>
        </is>
      </c>
      <c r="F995" t="inlineStr">
        <is>
          <t>Organic Search</t>
        </is>
      </c>
      <c r="G995" t="inlineStr">
        <is>
          <t>Mobile App</t>
        </is>
      </c>
      <c r="H995" t="inlineStr">
        <is>
          <t>Cash on Delivery</t>
        </is>
      </c>
      <c r="I995" t="inlineStr">
        <is>
          <t>Delivered</t>
        </is>
      </c>
      <c r="J995" t="n">
        <v>137</v>
      </c>
      <c r="K995" t="n">
        <v>1</v>
      </c>
      <c r="L995" t="n">
        <v>261</v>
      </c>
      <c r="M995" t="n">
        <v>0</v>
      </c>
      <c r="N995">
        <f>VLOOKUP(J995,Products!$A$2:$C$49,3,FALSE)</f>
        <v/>
      </c>
      <c r="O995">
        <f>K995*L995-M995</f>
        <v/>
      </c>
      <c r="P995">
        <f>TEXT(B995,"yyyy-mm")</f>
        <v/>
      </c>
      <c r="Q995">
        <f>IF(O995&gt;=3000,"Large","Small")</f>
        <v/>
      </c>
      <c r="R995">
        <f>INDEX(Products!$F$2:$F$49,MATCH(J995,Products!$A$2:$A$49,0))</f>
        <v/>
      </c>
      <c r="S995">
        <f>WEEKDAY(B995,2)</f>
        <v/>
      </c>
    </row>
    <row r="996">
      <c r="A996" t="n">
        <v>509828</v>
      </c>
      <c r="B996" s="6" t="n">
        <v>45943</v>
      </c>
      <c r="C996" t="n">
        <v>13923</v>
      </c>
      <c r="D996" t="inlineStr">
        <is>
          <t>Noida</t>
        </is>
      </c>
      <c r="E996" t="inlineStr">
        <is>
          <t>North</t>
        </is>
      </c>
      <c r="F996" t="inlineStr">
        <is>
          <t>Organic Search</t>
        </is>
      </c>
      <c r="G996" t="inlineStr">
        <is>
          <t>Mobile App</t>
        </is>
      </c>
      <c r="H996" t="inlineStr">
        <is>
          <t>Cash on Delivery</t>
        </is>
      </c>
      <c r="I996" t="inlineStr">
        <is>
          <t>Delivered</t>
        </is>
      </c>
      <c r="J996" t="n">
        <v>129</v>
      </c>
      <c r="K996" t="n">
        <v>1</v>
      </c>
      <c r="L996" t="n">
        <v>576</v>
      </c>
      <c r="M996" t="n">
        <v>0</v>
      </c>
      <c r="N996">
        <f>VLOOKUP(J996,Products!$A$2:$C$49,3,FALSE)</f>
        <v/>
      </c>
      <c r="O996">
        <f>K996*L996-M996</f>
        <v/>
      </c>
      <c r="P996">
        <f>TEXT(B996,"yyyy-mm")</f>
        <v/>
      </c>
      <c r="Q996">
        <f>IF(O996&gt;=3000,"Large","Small")</f>
        <v/>
      </c>
      <c r="R996">
        <f>INDEX(Products!$F$2:$F$49,MATCH(J996,Products!$A$2:$A$49,0))</f>
        <v/>
      </c>
      <c r="S996">
        <f>WEEKDAY(B996,2)</f>
        <v/>
      </c>
    </row>
    <row r="997">
      <c r="A997" t="n">
        <v>509829</v>
      </c>
      <c r="B997" s="6" t="n">
        <v>45943</v>
      </c>
      <c r="C997" t="n">
        <v>12802</v>
      </c>
      <c r="D997" t="inlineStr">
        <is>
          <t>Mumbai</t>
        </is>
      </c>
      <c r="E997" t="inlineStr">
        <is>
          <t>West</t>
        </is>
      </c>
      <c r="F997" t="inlineStr">
        <is>
          <t>Paid Social</t>
        </is>
      </c>
      <c r="G997" t="inlineStr">
        <is>
          <t>Mobile App</t>
        </is>
      </c>
      <c r="H997" t="inlineStr">
        <is>
          <t>UPI</t>
        </is>
      </c>
      <c r="I997" t="inlineStr">
        <is>
          <t>Delivered</t>
        </is>
      </c>
      <c r="J997" t="n">
        <v>127</v>
      </c>
      <c r="K997" t="n">
        <v>1</v>
      </c>
      <c r="L997" t="n">
        <v>681</v>
      </c>
      <c r="M997" t="n">
        <v>0</v>
      </c>
      <c r="N997">
        <f>VLOOKUP(J997,Products!$A$2:$C$49,3,FALSE)</f>
        <v/>
      </c>
      <c r="O997">
        <f>K997*L997-M997</f>
        <v/>
      </c>
      <c r="P997">
        <f>TEXT(B997,"yyyy-mm")</f>
        <v/>
      </c>
      <c r="Q997">
        <f>IF(O997&gt;=3000,"Large","Small")</f>
        <v/>
      </c>
      <c r="R997">
        <f>INDEX(Products!$F$2:$F$49,MATCH(J997,Products!$A$2:$A$49,0))</f>
        <v/>
      </c>
      <c r="S997">
        <f>WEEKDAY(B997,2)</f>
        <v/>
      </c>
    </row>
    <row r="998">
      <c r="A998" t="n">
        <v>509830</v>
      </c>
      <c r="B998" s="6" t="n">
        <v>45943</v>
      </c>
      <c r="C998" t="n">
        <v>16796</v>
      </c>
      <c r="D998" t="inlineStr">
        <is>
          <t>Chennai</t>
        </is>
      </c>
      <c r="E998" t="inlineStr">
        <is>
          <t>South</t>
        </is>
      </c>
      <c r="F998" t="inlineStr">
        <is>
          <t>Referral</t>
        </is>
      </c>
      <c r="G998" t="inlineStr">
        <is>
          <t>Mobile App</t>
        </is>
      </c>
      <c r="H998" t="inlineStr">
        <is>
          <t>Debit Card</t>
        </is>
      </c>
      <c r="I998" t="inlineStr">
        <is>
          <t>Delivered</t>
        </is>
      </c>
      <c r="J998" t="n">
        <v>118</v>
      </c>
      <c r="K998" t="n">
        <v>1</v>
      </c>
      <c r="L998" t="n">
        <v>944</v>
      </c>
      <c r="M998" t="n">
        <v>141.6</v>
      </c>
      <c r="N998">
        <f>VLOOKUP(J998,Products!$A$2:$C$49,3,FALSE)</f>
        <v/>
      </c>
      <c r="O998">
        <f>K998*L998-M998</f>
        <v/>
      </c>
      <c r="P998">
        <f>TEXT(B998,"yyyy-mm")</f>
        <v/>
      </c>
      <c r="Q998">
        <f>IF(O998&gt;=3000,"Large","Small")</f>
        <v/>
      </c>
      <c r="R998">
        <f>INDEX(Products!$F$2:$F$49,MATCH(J998,Products!$A$2:$A$49,0))</f>
        <v/>
      </c>
      <c r="S998">
        <f>WEEKDAY(B998,2)</f>
        <v/>
      </c>
    </row>
    <row r="999">
      <c r="A999" t="n">
        <v>509830</v>
      </c>
      <c r="B999" s="6" t="n">
        <v>45943</v>
      </c>
      <c r="C999" t="n">
        <v>16796</v>
      </c>
      <c r="D999" t="inlineStr">
        <is>
          <t>Chennai</t>
        </is>
      </c>
      <c r="E999" t="inlineStr">
        <is>
          <t>South</t>
        </is>
      </c>
      <c r="F999" t="inlineStr">
        <is>
          <t>Referral</t>
        </is>
      </c>
      <c r="G999" t="inlineStr">
        <is>
          <t>Mobile App</t>
        </is>
      </c>
      <c r="H999" t="inlineStr">
        <is>
          <t>Debit Card</t>
        </is>
      </c>
      <c r="I999" t="inlineStr">
        <is>
          <t>Delivered</t>
        </is>
      </c>
      <c r="J999" t="n">
        <v>129</v>
      </c>
      <c r="K999" t="n">
        <v>1</v>
      </c>
      <c r="L999" t="n">
        <v>576</v>
      </c>
      <c r="M999" t="n">
        <v>86.40000000000001</v>
      </c>
      <c r="N999">
        <f>VLOOKUP(J999,Products!$A$2:$C$49,3,FALSE)</f>
        <v/>
      </c>
      <c r="O999">
        <f>K999*L999-M999</f>
        <v/>
      </c>
      <c r="P999">
        <f>TEXT(B999,"yyyy-mm")</f>
        <v/>
      </c>
      <c r="Q999">
        <f>IF(O999&gt;=3000,"Large","Small")</f>
        <v/>
      </c>
      <c r="R999">
        <f>INDEX(Products!$F$2:$F$49,MATCH(J999,Products!$A$2:$A$49,0))</f>
        <v/>
      </c>
      <c r="S999">
        <f>WEEKDAY(B999,2)</f>
        <v/>
      </c>
    </row>
    <row r="1000">
      <c r="A1000" t="n">
        <v>509831</v>
      </c>
      <c r="B1000" s="6" t="n">
        <v>45943</v>
      </c>
      <c r="C1000" t="n">
        <v>13179</v>
      </c>
      <c r="D1000" t="inlineStr">
        <is>
          <t>Noida</t>
        </is>
      </c>
      <c r="E1000" t="inlineStr">
        <is>
          <t>North</t>
        </is>
      </c>
      <c r="F1000" t="inlineStr">
        <is>
          <t>Paid Social</t>
        </is>
      </c>
      <c r="G1000" t="inlineStr">
        <is>
          <t>Mobile App</t>
        </is>
      </c>
      <c r="H1000" t="inlineStr">
        <is>
          <t>UPI</t>
        </is>
      </c>
      <c r="I1000" t="inlineStr">
        <is>
          <t>Returned</t>
        </is>
      </c>
      <c r="J1000" t="n">
        <v>114</v>
      </c>
      <c r="K1000" t="n">
        <v>1</v>
      </c>
      <c r="L1000" t="n">
        <v>1259</v>
      </c>
      <c r="M1000" t="n">
        <v>0</v>
      </c>
      <c r="N1000">
        <f>VLOOKUP(J1000,Products!$A$2:$C$49,3,FALSE)</f>
        <v/>
      </c>
      <c r="O1000">
        <f>K1000*L1000-M1000</f>
        <v/>
      </c>
      <c r="P1000">
        <f>TEXT(B1000,"yyyy-mm")</f>
        <v/>
      </c>
      <c r="Q1000">
        <f>IF(O1000&gt;=3000,"Large","Small")</f>
        <v/>
      </c>
      <c r="R1000">
        <f>INDEX(Products!$F$2:$F$49,MATCH(J1000,Products!$A$2:$A$49,0))</f>
        <v/>
      </c>
      <c r="S1000">
        <f>WEEKDAY(B1000,2)</f>
        <v/>
      </c>
    </row>
    <row r="1001">
      <c r="A1001" t="n">
        <v>509831</v>
      </c>
      <c r="B1001" s="6" t="n">
        <v>45943</v>
      </c>
      <c r="C1001" t="n">
        <v>13179</v>
      </c>
      <c r="D1001" t="inlineStr">
        <is>
          <t>Noida</t>
        </is>
      </c>
      <c r="E1001" t="inlineStr">
        <is>
          <t>North</t>
        </is>
      </c>
      <c r="F1001" t="inlineStr">
        <is>
          <t>Paid Social</t>
        </is>
      </c>
      <c r="G1001" t="inlineStr">
        <is>
          <t>Mobile App</t>
        </is>
      </c>
      <c r="H1001" t="inlineStr">
        <is>
          <t>UPI</t>
        </is>
      </c>
      <c r="I1001" t="inlineStr">
        <is>
          <t>Returned</t>
        </is>
      </c>
      <c r="J1001" t="n">
        <v>129</v>
      </c>
      <c r="K1001" t="n">
        <v>1</v>
      </c>
      <c r="L1001" t="n">
        <v>576</v>
      </c>
      <c r="M1001" t="n">
        <v>0</v>
      </c>
      <c r="N1001">
        <f>VLOOKUP(J1001,Products!$A$2:$C$49,3,FALSE)</f>
        <v/>
      </c>
      <c r="O1001">
        <f>K1001*L1001-M1001</f>
        <v/>
      </c>
      <c r="P1001">
        <f>TEXT(B1001,"yyyy-mm")</f>
        <v/>
      </c>
      <c r="Q1001">
        <f>IF(O1001&gt;=3000,"Large","Small")</f>
        <v/>
      </c>
      <c r="R1001">
        <f>INDEX(Products!$F$2:$F$49,MATCH(J1001,Products!$A$2:$A$49,0))</f>
        <v/>
      </c>
      <c r="S1001">
        <f>WEEKDAY(B1001,2)</f>
        <v/>
      </c>
    </row>
    <row r="1002">
      <c r="A1002" t="n">
        <v>509832</v>
      </c>
      <c r="B1002" s="6" t="n">
        <v>45943</v>
      </c>
      <c r="C1002" t="n">
        <v>12133</v>
      </c>
      <c r="D1002" t="inlineStr">
        <is>
          <t>Mumbai</t>
        </is>
      </c>
      <c r="E1002" t="inlineStr">
        <is>
          <t>West</t>
        </is>
      </c>
      <c r="F1002" t="inlineStr">
        <is>
          <t>Paid Social</t>
        </is>
      </c>
      <c r="G1002" t="inlineStr">
        <is>
          <t>Mobile Web</t>
        </is>
      </c>
      <c r="H1002" t="inlineStr">
        <is>
          <t>Cash on Delivery</t>
        </is>
      </c>
      <c r="I1002" t="inlineStr">
        <is>
          <t>Delivered</t>
        </is>
      </c>
      <c r="J1002" t="n">
        <v>136</v>
      </c>
      <c r="K1002" t="n">
        <v>1</v>
      </c>
      <c r="L1002" t="n">
        <v>944</v>
      </c>
      <c r="M1002" t="n">
        <v>94.40000000000001</v>
      </c>
      <c r="N1002">
        <f>VLOOKUP(J1002,Products!$A$2:$C$49,3,FALSE)</f>
        <v/>
      </c>
      <c r="O1002">
        <f>K1002*L1002-M1002</f>
        <v/>
      </c>
      <c r="P1002">
        <f>TEXT(B1002,"yyyy-mm")</f>
        <v/>
      </c>
      <c r="Q1002">
        <f>IF(O1002&gt;=3000,"Large","Small")</f>
        <v/>
      </c>
      <c r="R1002">
        <f>INDEX(Products!$F$2:$F$49,MATCH(J1002,Products!$A$2:$A$49,0))</f>
        <v/>
      </c>
      <c r="S1002">
        <f>WEEKDAY(B1002,2)</f>
        <v/>
      </c>
    </row>
    <row r="1003">
      <c r="A1003" t="n">
        <v>509832</v>
      </c>
      <c r="B1003" s="6" t="n">
        <v>45943</v>
      </c>
      <c r="C1003" t="n">
        <v>12133</v>
      </c>
      <c r="D1003" t="inlineStr">
        <is>
          <t>Mumbai</t>
        </is>
      </c>
      <c r="E1003" t="inlineStr">
        <is>
          <t>West</t>
        </is>
      </c>
      <c r="F1003" t="inlineStr">
        <is>
          <t>Paid Social</t>
        </is>
      </c>
      <c r="G1003" t="inlineStr">
        <is>
          <t>Mobile Web</t>
        </is>
      </c>
      <c r="H1003" t="inlineStr">
        <is>
          <t>Cash on Delivery</t>
        </is>
      </c>
      <c r="I1003" t="inlineStr">
        <is>
          <t>Delivered</t>
        </is>
      </c>
      <c r="J1003" t="n">
        <v>108</v>
      </c>
      <c r="K1003" t="n">
        <v>3</v>
      </c>
      <c r="L1003" t="n">
        <v>419</v>
      </c>
      <c r="M1003" t="n">
        <v>125.7</v>
      </c>
      <c r="N1003">
        <f>VLOOKUP(J1003,Products!$A$2:$C$49,3,FALSE)</f>
        <v/>
      </c>
      <c r="O1003">
        <f>K1003*L1003-M1003</f>
        <v/>
      </c>
      <c r="P1003">
        <f>TEXT(B1003,"yyyy-mm")</f>
        <v/>
      </c>
      <c r="Q1003">
        <f>IF(O1003&gt;=3000,"Large","Small")</f>
        <v/>
      </c>
      <c r="R1003">
        <f>INDEX(Products!$F$2:$F$49,MATCH(J1003,Products!$A$2:$A$49,0))</f>
        <v/>
      </c>
      <c r="S1003">
        <f>WEEKDAY(B1003,2)</f>
        <v/>
      </c>
    </row>
    <row r="1004">
      <c r="A1004" t="n">
        <v>509832</v>
      </c>
      <c r="B1004" s="6" t="n">
        <v>45943</v>
      </c>
      <c r="C1004" t="n">
        <v>12133</v>
      </c>
      <c r="D1004" t="inlineStr">
        <is>
          <t>Mumbai</t>
        </is>
      </c>
      <c r="E1004" t="inlineStr">
        <is>
          <t>West</t>
        </is>
      </c>
      <c r="F1004" t="inlineStr">
        <is>
          <t>Paid Social</t>
        </is>
      </c>
      <c r="G1004" t="inlineStr">
        <is>
          <t>Mobile Web</t>
        </is>
      </c>
      <c r="H1004" t="inlineStr">
        <is>
          <t>Cash on Delivery</t>
        </is>
      </c>
      <c r="I1004" t="inlineStr">
        <is>
          <t>Delivered</t>
        </is>
      </c>
      <c r="J1004" t="n">
        <v>107</v>
      </c>
      <c r="K1004" t="n">
        <v>1</v>
      </c>
      <c r="L1004" t="n">
        <v>1259</v>
      </c>
      <c r="M1004" t="n">
        <v>125.9</v>
      </c>
      <c r="N1004">
        <f>VLOOKUP(J1004,Products!$A$2:$C$49,3,FALSE)</f>
        <v/>
      </c>
      <c r="O1004">
        <f>K1004*L1004-M1004</f>
        <v/>
      </c>
      <c r="P1004">
        <f>TEXT(B1004,"yyyy-mm")</f>
        <v/>
      </c>
      <c r="Q1004">
        <f>IF(O1004&gt;=3000,"Large","Small")</f>
        <v/>
      </c>
      <c r="R1004">
        <f>INDEX(Products!$F$2:$F$49,MATCH(J1004,Products!$A$2:$A$49,0))</f>
        <v/>
      </c>
      <c r="S1004">
        <f>WEEKDAY(B1004,2)</f>
        <v/>
      </c>
    </row>
    <row r="1005">
      <c r="A1005" t="n">
        <v>509833</v>
      </c>
      <c r="B1005" s="6" t="n">
        <v>45943</v>
      </c>
      <c r="C1005" t="n">
        <v>13919</v>
      </c>
      <c r="D1005" t="inlineStr">
        <is>
          <t>Chennai</t>
        </is>
      </c>
      <c r="E1005" t="inlineStr">
        <is>
          <t>South</t>
        </is>
      </c>
      <c r="F1005" t="inlineStr">
        <is>
          <t>Email</t>
        </is>
      </c>
      <c r="G1005" t="inlineStr">
        <is>
          <t>Desktop</t>
        </is>
      </c>
      <c r="H1005" t="inlineStr">
        <is>
          <t>Cash on Delivery</t>
        </is>
      </c>
      <c r="I1005" t="inlineStr">
        <is>
          <t>Delivered</t>
        </is>
      </c>
      <c r="J1005" t="n">
        <v>128</v>
      </c>
      <c r="K1005" t="n">
        <v>1</v>
      </c>
      <c r="L1005" t="n">
        <v>1049</v>
      </c>
      <c r="M1005" t="n">
        <v>0</v>
      </c>
      <c r="N1005">
        <f>VLOOKUP(J1005,Products!$A$2:$C$49,3,FALSE)</f>
        <v/>
      </c>
      <c r="O1005">
        <f>K1005*L1005-M1005</f>
        <v/>
      </c>
      <c r="P1005">
        <f>TEXT(B1005,"yyyy-mm")</f>
        <v/>
      </c>
      <c r="Q1005">
        <f>IF(O1005&gt;=3000,"Large","Small")</f>
        <v/>
      </c>
      <c r="R1005">
        <f>INDEX(Products!$F$2:$F$49,MATCH(J1005,Products!$A$2:$A$49,0))</f>
        <v/>
      </c>
      <c r="S1005">
        <f>WEEKDAY(B1005,2)</f>
        <v/>
      </c>
    </row>
    <row r="1006">
      <c r="A1006" t="n">
        <v>509834</v>
      </c>
      <c r="B1006" s="6" t="n">
        <v>45943</v>
      </c>
      <c r="C1006" t="n">
        <v>16506</v>
      </c>
      <c r="D1006" t="inlineStr">
        <is>
          <t>Chandigarh</t>
        </is>
      </c>
      <c r="E1006" t="inlineStr">
        <is>
          <t>North</t>
        </is>
      </c>
      <c r="F1006" t="inlineStr">
        <is>
          <t>Paid Social</t>
        </is>
      </c>
      <c r="G1006" t="inlineStr">
        <is>
          <t>Desktop</t>
        </is>
      </c>
      <c r="H1006" t="inlineStr">
        <is>
          <t>Credit Card</t>
        </is>
      </c>
      <c r="I1006" t="inlineStr">
        <is>
          <t>Delivered</t>
        </is>
      </c>
      <c r="J1006" t="n">
        <v>140</v>
      </c>
      <c r="K1006" t="n">
        <v>2</v>
      </c>
      <c r="L1006" t="n">
        <v>629</v>
      </c>
      <c r="M1006" t="n">
        <v>125.8</v>
      </c>
      <c r="N1006">
        <f>VLOOKUP(J1006,Products!$A$2:$C$49,3,FALSE)</f>
        <v/>
      </c>
      <c r="O1006">
        <f>K1006*L1006-M1006</f>
        <v/>
      </c>
      <c r="P1006">
        <f>TEXT(B1006,"yyyy-mm")</f>
        <v/>
      </c>
      <c r="Q1006">
        <f>IF(O1006&gt;=3000,"Large","Small")</f>
        <v/>
      </c>
      <c r="R1006">
        <f>INDEX(Products!$F$2:$F$49,MATCH(J1006,Products!$A$2:$A$49,0))</f>
        <v/>
      </c>
      <c r="S1006">
        <f>WEEKDAY(B1006,2)</f>
        <v/>
      </c>
    </row>
    <row r="1007">
      <c r="A1007" t="n">
        <v>509835</v>
      </c>
      <c r="B1007" s="6" t="n">
        <v>45943</v>
      </c>
      <c r="C1007" t="n">
        <v>16772</v>
      </c>
      <c r="D1007" t="inlineStr">
        <is>
          <t>Mumbai</t>
        </is>
      </c>
      <c r="E1007" t="inlineStr">
        <is>
          <t>West</t>
        </is>
      </c>
      <c r="F1007" t="inlineStr">
        <is>
          <t>Paid Social</t>
        </is>
      </c>
      <c r="G1007" t="inlineStr">
        <is>
          <t>Mobile App</t>
        </is>
      </c>
      <c r="H1007" t="inlineStr">
        <is>
          <t>Credit Card</t>
        </is>
      </c>
      <c r="I1007" t="inlineStr">
        <is>
          <t>Delivered</t>
        </is>
      </c>
      <c r="J1007" t="n">
        <v>123</v>
      </c>
      <c r="K1007" t="n">
        <v>1</v>
      </c>
      <c r="L1007" t="n">
        <v>3464</v>
      </c>
      <c r="M1007" t="n">
        <v>346.4</v>
      </c>
      <c r="N1007">
        <f>VLOOKUP(J1007,Products!$A$2:$C$49,3,FALSE)</f>
        <v/>
      </c>
      <c r="O1007">
        <f>K1007*L1007-M1007</f>
        <v/>
      </c>
      <c r="P1007">
        <f>TEXT(B1007,"yyyy-mm")</f>
        <v/>
      </c>
      <c r="Q1007">
        <f>IF(O1007&gt;=3000,"Large","Small")</f>
        <v/>
      </c>
      <c r="R1007">
        <f>INDEX(Products!$F$2:$F$49,MATCH(J1007,Products!$A$2:$A$49,0))</f>
        <v/>
      </c>
      <c r="S1007">
        <f>WEEKDAY(B1007,2)</f>
        <v/>
      </c>
    </row>
    <row r="1008">
      <c r="A1008" t="n">
        <v>509835</v>
      </c>
      <c r="B1008" s="6" t="n">
        <v>45943</v>
      </c>
      <c r="C1008" t="n">
        <v>16772</v>
      </c>
      <c r="D1008" t="inlineStr">
        <is>
          <t>Mumbai</t>
        </is>
      </c>
      <c r="E1008" t="inlineStr">
        <is>
          <t>West</t>
        </is>
      </c>
      <c r="F1008" t="inlineStr">
        <is>
          <t>Paid Social</t>
        </is>
      </c>
      <c r="G1008" t="inlineStr">
        <is>
          <t>Mobile App</t>
        </is>
      </c>
      <c r="H1008" t="inlineStr">
        <is>
          <t>Credit Card</t>
        </is>
      </c>
      <c r="I1008" t="inlineStr">
        <is>
          <t>Delivered</t>
        </is>
      </c>
      <c r="J1008" t="n">
        <v>107</v>
      </c>
      <c r="K1008" t="n">
        <v>1</v>
      </c>
      <c r="L1008" t="n">
        <v>1259</v>
      </c>
      <c r="M1008" t="n">
        <v>125.9</v>
      </c>
      <c r="N1008">
        <f>VLOOKUP(J1008,Products!$A$2:$C$49,3,FALSE)</f>
        <v/>
      </c>
      <c r="O1008">
        <f>K1008*L1008-M1008</f>
        <v/>
      </c>
      <c r="P1008">
        <f>TEXT(B1008,"yyyy-mm")</f>
        <v/>
      </c>
      <c r="Q1008">
        <f>IF(O1008&gt;=3000,"Large","Small")</f>
        <v/>
      </c>
      <c r="R1008">
        <f>INDEX(Products!$F$2:$F$49,MATCH(J1008,Products!$A$2:$A$49,0))</f>
        <v/>
      </c>
      <c r="S1008">
        <f>WEEKDAY(B1008,2)</f>
        <v/>
      </c>
    </row>
    <row r="1009">
      <c r="A1009" t="n">
        <v>509835</v>
      </c>
      <c r="B1009" s="6" t="n">
        <v>45943</v>
      </c>
      <c r="C1009" t="n">
        <v>16772</v>
      </c>
      <c r="D1009" t="inlineStr">
        <is>
          <t>Mumbai</t>
        </is>
      </c>
      <c r="E1009" t="inlineStr">
        <is>
          <t>West</t>
        </is>
      </c>
      <c r="F1009" t="inlineStr">
        <is>
          <t>Paid Social</t>
        </is>
      </c>
      <c r="G1009" t="inlineStr">
        <is>
          <t>Mobile App</t>
        </is>
      </c>
      <c r="H1009" t="inlineStr">
        <is>
          <t>Credit Card</t>
        </is>
      </c>
      <c r="I1009" t="inlineStr">
        <is>
          <t>Delivered</t>
        </is>
      </c>
      <c r="J1009" t="n">
        <v>134</v>
      </c>
      <c r="K1009" t="n">
        <v>1</v>
      </c>
      <c r="L1009" t="n">
        <v>209</v>
      </c>
      <c r="M1009" t="n">
        <v>20.9</v>
      </c>
      <c r="N1009">
        <f>VLOOKUP(J1009,Products!$A$2:$C$49,3,FALSE)</f>
        <v/>
      </c>
      <c r="O1009">
        <f>K1009*L1009-M1009</f>
        <v/>
      </c>
      <c r="P1009">
        <f>TEXT(B1009,"yyyy-mm")</f>
        <v/>
      </c>
      <c r="Q1009">
        <f>IF(O1009&gt;=3000,"Large","Small")</f>
        <v/>
      </c>
      <c r="R1009">
        <f>INDEX(Products!$F$2:$F$49,MATCH(J1009,Products!$A$2:$A$49,0))</f>
        <v/>
      </c>
      <c r="S1009">
        <f>WEEKDAY(B1009,2)</f>
        <v/>
      </c>
    </row>
    <row r="1010">
      <c r="A1010" t="n">
        <v>509835</v>
      </c>
      <c r="B1010" s="6" t="n">
        <v>45943</v>
      </c>
      <c r="C1010" t="n">
        <v>16772</v>
      </c>
      <c r="D1010" t="inlineStr">
        <is>
          <t>Mumbai</t>
        </is>
      </c>
      <c r="E1010" t="inlineStr">
        <is>
          <t>West</t>
        </is>
      </c>
      <c r="F1010" t="inlineStr">
        <is>
          <t>Paid Social</t>
        </is>
      </c>
      <c r="G1010" t="inlineStr">
        <is>
          <t>Mobile App</t>
        </is>
      </c>
      <c r="H1010" t="inlineStr">
        <is>
          <t>Credit Card</t>
        </is>
      </c>
      <c r="I1010" t="inlineStr">
        <is>
          <t>Delivered</t>
        </is>
      </c>
      <c r="J1010" t="n">
        <v>108</v>
      </c>
      <c r="K1010" t="n">
        <v>1</v>
      </c>
      <c r="L1010" t="n">
        <v>419</v>
      </c>
      <c r="M1010" t="n">
        <v>41.9</v>
      </c>
      <c r="N1010">
        <f>VLOOKUP(J1010,Products!$A$2:$C$49,3,FALSE)</f>
        <v/>
      </c>
      <c r="O1010">
        <f>K1010*L1010-M1010</f>
        <v/>
      </c>
      <c r="P1010">
        <f>TEXT(B1010,"yyyy-mm")</f>
        <v/>
      </c>
      <c r="Q1010">
        <f>IF(O1010&gt;=3000,"Large","Small")</f>
        <v/>
      </c>
      <c r="R1010">
        <f>INDEX(Products!$F$2:$F$49,MATCH(J1010,Products!$A$2:$A$49,0))</f>
        <v/>
      </c>
      <c r="S1010">
        <f>WEEKDAY(B1010,2)</f>
        <v/>
      </c>
    </row>
    <row r="1011">
      <c r="A1011" t="n">
        <v>509836</v>
      </c>
      <c r="B1011" s="6" t="n">
        <v>45943</v>
      </c>
      <c r="C1011" t="n">
        <v>13650</v>
      </c>
      <c r="D1011" t="inlineStr">
        <is>
          <t>Mumbai</t>
        </is>
      </c>
      <c r="E1011" t="inlineStr">
        <is>
          <t>West</t>
        </is>
      </c>
      <c r="F1011" t="inlineStr">
        <is>
          <t>Referral</t>
        </is>
      </c>
      <c r="G1011" t="inlineStr">
        <is>
          <t>Desktop</t>
        </is>
      </c>
      <c r="H1011" t="inlineStr">
        <is>
          <t>UPI</t>
        </is>
      </c>
      <c r="I1011" t="inlineStr">
        <is>
          <t>Delivered</t>
        </is>
      </c>
      <c r="J1011" t="n">
        <v>112</v>
      </c>
      <c r="K1011" t="n">
        <v>3</v>
      </c>
      <c r="L1011" t="n">
        <v>1574</v>
      </c>
      <c r="M1011" t="n">
        <v>472.2</v>
      </c>
      <c r="N1011">
        <f>VLOOKUP(J1011,Products!$A$2:$C$49,3,FALSE)</f>
        <v/>
      </c>
      <c r="O1011">
        <f>K1011*L1011-M1011</f>
        <v/>
      </c>
      <c r="P1011">
        <f>TEXT(B1011,"yyyy-mm")</f>
        <v/>
      </c>
      <c r="Q1011">
        <f>IF(O1011&gt;=3000,"Large","Small")</f>
        <v/>
      </c>
      <c r="R1011">
        <f>INDEX(Products!$F$2:$F$49,MATCH(J1011,Products!$A$2:$A$49,0))</f>
        <v/>
      </c>
      <c r="S1011">
        <f>WEEKDAY(B1011,2)</f>
        <v/>
      </c>
    </row>
    <row r="1012">
      <c r="A1012" t="n">
        <v>509836</v>
      </c>
      <c r="B1012" s="6" t="n">
        <v>45943</v>
      </c>
      <c r="C1012" t="n">
        <v>13650</v>
      </c>
      <c r="D1012" t="inlineStr">
        <is>
          <t>Mumbai</t>
        </is>
      </c>
      <c r="E1012" t="inlineStr">
        <is>
          <t>West</t>
        </is>
      </c>
      <c r="F1012" t="inlineStr">
        <is>
          <t>Referral</t>
        </is>
      </c>
      <c r="G1012" t="inlineStr">
        <is>
          <t>Desktop</t>
        </is>
      </c>
      <c r="H1012" t="inlineStr">
        <is>
          <t>UPI</t>
        </is>
      </c>
      <c r="I1012" t="inlineStr">
        <is>
          <t>Delivered</t>
        </is>
      </c>
      <c r="J1012" t="n">
        <v>129</v>
      </c>
      <c r="K1012" t="n">
        <v>1</v>
      </c>
      <c r="L1012" t="n">
        <v>576</v>
      </c>
      <c r="M1012" t="n">
        <v>57.6</v>
      </c>
      <c r="N1012">
        <f>VLOOKUP(J1012,Products!$A$2:$C$49,3,FALSE)</f>
        <v/>
      </c>
      <c r="O1012">
        <f>K1012*L1012-M1012</f>
        <v/>
      </c>
      <c r="P1012">
        <f>TEXT(B1012,"yyyy-mm")</f>
        <v/>
      </c>
      <c r="Q1012">
        <f>IF(O1012&gt;=3000,"Large","Small")</f>
        <v/>
      </c>
      <c r="R1012">
        <f>INDEX(Products!$F$2:$F$49,MATCH(J1012,Products!$A$2:$A$49,0))</f>
        <v/>
      </c>
      <c r="S1012">
        <f>WEEKDAY(B1012,2)</f>
        <v/>
      </c>
    </row>
    <row r="1013">
      <c r="A1013" t="n">
        <v>509837</v>
      </c>
      <c r="B1013" s="6" t="n">
        <v>45943</v>
      </c>
      <c r="C1013" t="n">
        <v>11311</v>
      </c>
      <c r="D1013" t="inlineStr">
        <is>
          <t>Bengaluru</t>
        </is>
      </c>
      <c r="E1013" t="inlineStr">
        <is>
          <t>South</t>
        </is>
      </c>
      <c r="F1013" t="inlineStr">
        <is>
          <t>Paid Search</t>
        </is>
      </c>
      <c r="G1013" t="inlineStr">
        <is>
          <t>Mobile App</t>
        </is>
      </c>
      <c r="H1013" t="inlineStr">
        <is>
          <t>Net Banking</t>
        </is>
      </c>
      <c r="I1013" t="inlineStr">
        <is>
          <t>Delivered</t>
        </is>
      </c>
      <c r="J1013" t="n">
        <v>117</v>
      </c>
      <c r="K1013" t="n">
        <v>2</v>
      </c>
      <c r="L1013" t="n">
        <v>3149</v>
      </c>
      <c r="M1013" t="n">
        <v>629.8</v>
      </c>
      <c r="N1013">
        <f>VLOOKUP(J1013,Products!$A$2:$C$49,3,FALSE)</f>
        <v/>
      </c>
      <c r="O1013">
        <f>K1013*L1013-M1013</f>
        <v/>
      </c>
      <c r="P1013">
        <f>TEXT(B1013,"yyyy-mm")</f>
        <v/>
      </c>
      <c r="Q1013">
        <f>IF(O1013&gt;=3000,"Large","Small")</f>
        <v/>
      </c>
      <c r="R1013">
        <f>INDEX(Products!$F$2:$F$49,MATCH(J1013,Products!$A$2:$A$49,0))</f>
        <v/>
      </c>
      <c r="S1013">
        <f>WEEKDAY(B1013,2)</f>
        <v/>
      </c>
    </row>
    <row r="1014">
      <c r="A1014" t="n">
        <v>509837</v>
      </c>
      <c r="B1014" s="6" t="n">
        <v>45943</v>
      </c>
      <c r="C1014" t="n">
        <v>11311</v>
      </c>
      <c r="D1014" t="inlineStr">
        <is>
          <t>Bengaluru</t>
        </is>
      </c>
      <c r="E1014" t="inlineStr">
        <is>
          <t>South</t>
        </is>
      </c>
      <c r="F1014" t="inlineStr">
        <is>
          <t>Paid Search</t>
        </is>
      </c>
      <c r="G1014" t="inlineStr">
        <is>
          <t>Mobile App</t>
        </is>
      </c>
      <c r="H1014" t="inlineStr">
        <is>
          <t>Net Banking</t>
        </is>
      </c>
      <c r="I1014" t="inlineStr">
        <is>
          <t>Delivered</t>
        </is>
      </c>
      <c r="J1014" t="n">
        <v>138</v>
      </c>
      <c r="K1014" t="n">
        <v>1</v>
      </c>
      <c r="L1014" t="n">
        <v>419</v>
      </c>
      <c r="M1014" t="n">
        <v>41.9</v>
      </c>
      <c r="N1014">
        <f>VLOOKUP(J1014,Products!$A$2:$C$49,3,FALSE)</f>
        <v/>
      </c>
      <c r="O1014">
        <f>K1014*L1014-M1014</f>
        <v/>
      </c>
      <c r="P1014">
        <f>TEXT(B1014,"yyyy-mm")</f>
        <v/>
      </c>
      <c r="Q1014">
        <f>IF(O1014&gt;=3000,"Large","Small")</f>
        <v/>
      </c>
      <c r="R1014">
        <f>INDEX(Products!$F$2:$F$49,MATCH(J1014,Products!$A$2:$A$49,0))</f>
        <v/>
      </c>
      <c r="S1014">
        <f>WEEKDAY(B1014,2)</f>
        <v/>
      </c>
    </row>
    <row r="1015">
      <c r="A1015" t="n">
        <v>509837</v>
      </c>
      <c r="B1015" s="6" t="n">
        <v>45943</v>
      </c>
      <c r="C1015" t="n">
        <v>11311</v>
      </c>
      <c r="D1015" t="inlineStr">
        <is>
          <t>Bengaluru</t>
        </is>
      </c>
      <c r="E1015" t="inlineStr">
        <is>
          <t>South</t>
        </is>
      </c>
      <c r="F1015" t="inlineStr">
        <is>
          <t>Paid Search</t>
        </is>
      </c>
      <c r="G1015" t="inlineStr">
        <is>
          <t>Mobile App</t>
        </is>
      </c>
      <c r="H1015" t="inlineStr">
        <is>
          <t>Net Banking</t>
        </is>
      </c>
      <c r="I1015" t="inlineStr">
        <is>
          <t>Delivered</t>
        </is>
      </c>
      <c r="J1015" t="n">
        <v>129</v>
      </c>
      <c r="K1015" t="n">
        <v>1</v>
      </c>
      <c r="L1015" t="n">
        <v>576</v>
      </c>
      <c r="M1015" t="n">
        <v>57.6</v>
      </c>
      <c r="N1015">
        <f>VLOOKUP(J1015,Products!$A$2:$C$49,3,FALSE)</f>
        <v/>
      </c>
      <c r="O1015">
        <f>K1015*L1015-M1015</f>
        <v/>
      </c>
      <c r="P1015">
        <f>TEXT(B1015,"yyyy-mm")</f>
        <v/>
      </c>
      <c r="Q1015">
        <f>IF(O1015&gt;=3000,"Large","Small")</f>
        <v/>
      </c>
      <c r="R1015">
        <f>INDEX(Products!$F$2:$F$49,MATCH(J1015,Products!$A$2:$A$49,0))</f>
        <v/>
      </c>
      <c r="S1015">
        <f>WEEKDAY(B1015,2)</f>
        <v/>
      </c>
    </row>
    <row r="1016">
      <c r="A1016" t="n">
        <v>509838</v>
      </c>
      <c r="B1016" s="6" t="n">
        <v>45943</v>
      </c>
      <c r="C1016" t="n">
        <v>15821</v>
      </c>
      <c r="D1016" t="inlineStr">
        <is>
          <t>Hyderabad</t>
        </is>
      </c>
      <c r="E1016" t="inlineStr">
        <is>
          <t>South</t>
        </is>
      </c>
      <c r="F1016" t="inlineStr">
        <is>
          <t>Paid Search</t>
        </is>
      </c>
      <c r="G1016" t="inlineStr">
        <is>
          <t>Desktop</t>
        </is>
      </c>
      <c r="H1016" t="inlineStr">
        <is>
          <t>UPI</t>
        </is>
      </c>
      <c r="I1016" t="inlineStr">
        <is>
          <t>Cancelled</t>
        </is>
      </c>
      <c r="J1016" t="n">
        <v>114</v>
      </c>
      <c r="K1016" t="n">
        <v>1</v>
      </c>
      <c r="L1016" t="n">
        <v>1259</v>
      </c>
      <c r="M1016" t="n">
        <v>0</v>
      </c>
      <c r="N1016">
        <f>VLOOKUP(J1016,Products!$A$2:$C$49,3,FALSE)</f>
        <v/>
      </c>
      <c r="O1016">
        <f>K1016*L1016-M1016</f>
        <v/>
      </c>
      <c r="P1016">
        <f>TEXT(B1016,"yyyy-mm")</f>
        <v/>
      </c>
      <c r="Q1016">
        <f>IF(O1016&gt;=3000,"Large","Small")</f>
        <v/>
      </c>
      <c r="R1016">
        <f>INDEX(Products!$F$2:$F$49,MATCH(J1016,Products!$A$2:$A$49,0))</f>
        <v/>
      </c>
      <c r="S1016">
        <f>WEEKDAY(B1016,2)</f>
        <v/>
      </c>
    </row>
    <row r="1017">
      <c r="A1017" t="n">
        <v>509839</v>
      </c>
      <c r="B1017" s="6" t="n">
        <v>45943</v>
      </c>
      <c r="C1017" t="n">
        <v>14590</v>
      </c>
      <c r="D1017" t="inlineStr">
        <is>
          <t>Noida</t>
        </is>
      </c>
      <c r="E1017" t="inlineStr">
        <is>
          <t>North</t>
        </is>
      </c>
      <c r="F1017" t="inlineStr">
        <is>
          <t>Organic Search</t>
        </is>
      </c>
      <c r="G1017" t="inlineStr">
        <is>
          <t>Mobile Web</t>
        </is>
      </c>
      <c r="H1017" t="inlineStr">
        <is>
          <t>UPI</t>
        </is>
      </c>
      <c r="I1017" t="inlineStr">
        <is>
          <t>Delivered</t>
        </is>
      </c>
      <c r="J1017" t="n">
        <v>119</v>
      </c>
      <c r="K1017" t="n">
        <v>1</v>
      </c>
      <c r="L1017" t="n">
        <v>2309</v>
      </c>
      <c r="M1017" t="n">
        <v>230.9</v>
      </c>
      <c r="N1017">
        <f>VLOOKUP(J1017,Products!$A$2:$C$49,3,FALSE)</f>
        <v/>
      </c>
      <c r="O1017">
        <f>K1017*L1017-M1017</f>
        <v/>
      </c>
      <c r="P1017">
        <f>TEXT(B1017,"yyyy-mm")</f>
        <v/>
      </c>
      <c r="Q1017">
        <f>IF(O1017&gt;=3000,"Large","Small")</f>
        <v/>
      </c>
      <c r="R1017">
        <f>INDEX(Products!$F$2:$F$49,MATCH(J1017,Products!$A$2:$A$49,0))</f>
        <v/>
      </c>
      <c r="S1017">
        <f>WEEKDAY(B1017,2)</f>
        <v/>
      </c>
    </row>
    <row r="1018">
      <c r="A1018" t="n">
        <v>509840</v>
      </c>
      <c r="B1018" s="6" t="n">
        <v>45943</v>
      </c>
      <c r="C1018" t="n">
        <v>13604</v>
      </c>
      <c r="D1018" t="inlineStr">
        <is>
          <t>Bengaluru</t>
        </is>
      </c>
      <c r="E1018" t="inlineStr">
        <is>
          <t>South</t>
        </is>
      </c>
      <c r="F1018" t="inlineStr">
        <is>
          <t>Paid Search</t>
        </is>
      </c>
      <c r="G1018" t="inlineStr">
        <is>
          <t>Desktop</t>
        </is>
      </c>
      <c r="H1018" t="inlineStr">
        <is>
          <t>Debit Card</t>
        </is>
      </c>
      <c r="I1018" t="inlineStr">
        <is>
          <t>Delivered</t>
        </is>
      </c>
      <c r="J1018" t="n">
        <v>145</v>
      </c>
      <c r="K1018" t="n">
        <v>1</v>
      </c>
      <c r="L1018" t="n">
        <v>629</v>
      </c>
      <c r="M1018" t="n">
        <v>62.9</v>
      </c>
      <c r="N1018">
        <f>VLOOKUP(J1018,Products!$A$2:$C$49,3,FALSE)</f>
        <v/>
      </c>
      <c r="O1018">
        <f>K1018*L1018-M1018</f>
        <v/>
      </c>
      <c r="P1018">
        <f>TEXT(B1018,"yyyy-mm")</f>
        <v/>
      </c>
      <c r="Q1018">
        <f>IF(O1018&gt;=3000,"Large","Small")</f>
        <v/>
      </c>
      <c r="R1018">
        <f>INDEX(Products!$F$2:$F$49,MATCH(J1018,Products!$A$2:$A$49,0))</f>
        <v/>
      </c>
      <c r="S1018">
        <f>WEEKDAY(B1018,2)</f>
        <v/>
      </c>
    </row>
    <row r="1019">
      <c r="A1019" t="n">
        <v>509841</v>
      </c>
      <c r="B1019" s="6" t="n">
        <v>45943</v>
      </c>
      <c r="C1019" t="n">
        <v>14663</v>
      </c>
      <c r="D1019" t="inlineStr">
        <is>
          <t>Mumbai</t>
        </is>
      </c>
      <c r="E1019" t="inlineStr">
        <is>
          <t>West</t>
        </is>
      </c>
      <c r="F1019" t="inlineStr">
        <is>
          <t>Paid Social</t>
        </is>
      </c>
      <c r="G1019" t="inlineStr">
        <is>
          <t>Mobile App</t>
        </is>
      </c>
      <c r="H1019" t="inlineStr">
        <is>
          <t>UPI</t>
        </is>
      </c>
      <c r="I1019" t="inlineStr">
        <is>
          <t>Delivered</t>
        </is>
      </c>
      <c r="J1019" t="n">
        <v>135</v>
      </c>
      <c r="K1019" t="n">
        <v>1</v>
      </c>
      <c r="L1019" t="n">
        <v>1574</v>
      </c>
      <c r="M1019" t="n">
        <v>157.4</v>
      </c>
      <c r="N1019">
        <f>VLOOKUP(J1019,Products!$A$2:$C$49,3,FALSE)</f>
        <v/>
      </c>
      <c r="O1019">
        <f>K1019*L1019-M1019</f>
        <v/>
      </c>
      <c r="P1019">
        <f>TEXT(B1019,"yyyy-mm")</f>
        <v/>
      </c>
      <c r="Q1019">
        <f>IF(O1019&gt;=3000,"Large","Small")</f>
        <v/>
      </c>
      <c r="R1019">
        <f>INDEX(Products!$F$2:$F$49,MATCH(J1019,Products!$A$2:$A$49,0))</f>
        <v/>
      </c>
      <c r="S1019">
        <f>WEEKDAY(B1019,2)</f>
        <v/>
      </c>
    </row>
    <row r="1020">
      <c r="A1020" t="n">
        <v>509841</v>
      </c>
      <c r="B1020" s="6" t="n">
        <v>45943</v>
      </c>
      <c r="C1020" t="n">
        <v>14663</v>
      </c>
      <c r="D1020" t="inlineStr">
        <is>
          <t>Mumbai</t>
        </is>
      </c>
      <c r="E1020" t="inlineStr">
        <is>
          <t>West</t>
        </is>
      </c>
      <c r="F1020" t="inlineStr">
        <is>
          <t>Paid Social</t>
        </is>
      </c>
      <c r="G1020" t="inlineStr">
        <is>
          <t>Mobile App</t>
        </is>
      </c>
      <c r="H1020" t="inlineStr">
        <is>
          <t>UPI</t>
        </is>
      </c>
      <c r="I1020" t="inlineStr">
        <is>
          <t>Delivered</t>
        </is>
      </c>
      <c r="J1020" t="n">
        <v>130</v>
      </c>
      <c r="K1020" t="n">
        <v>1</v>
      </c>
      <c r="L1020" t="n">
        <v>734</v>
      </c>
      <c r="M1020" t="n">
        <v>73.40000000000001</v>
      </c>
      <c r="N1020">
        <f>VLOOKUP(J1020,Products!$A$2:$C$49,3,FALSE)</f>
        <v/>
      </c>
      <c r="O1020">
        <f>K1020*L1020-M1020</f>
        <v/>
      </c>
      <c r="P1020">
        <f>TEXT(B1020,"yyyy-mm")</f>
        <v/>
      </c>
      <c r="Q1020">
        <f>IF(O1020&gt;=3000,"Large","Small")</f>
        <v/>
      </c>
      <c r="R1020">
        <f>INDEX(Products!$F$2:$F$49,MATCH(J1020,Products!$A$2:$A$49,0))</f>
        <v/>
      </c>
      <c r="S1020">
        <f>WEEKDAY(B1020,2)</f>
        <v/>
      </c>
    </row>
    <row r="1021">
      <c r="A1021" t="n">
        <v>509841</v>
      </c>
      <c r="B1021" s="6" t="n">
        <v>45943</v>
      </c>
      <c r="C1021" t="n">
        <v>14663</v>
      </c>
      <c r="D1021" t="inlineStr">
        <is>
          <t>Mumbai</t>
        </is>
      </c>
      <c r="E1021" t="inlineStr">
        <is>
          <t>West</t>
        </is>
      </c>
      <c r="F1021" t="inlineStr">
        <is>
          <t>Paid Social</t>
        </is>
      </c>
      <c r="G1021" t="inlineStr">
        <is>
          <t>Mobile App</t>
        </is>
      </c>
      <c r="H1021" t="inlineStr">
        <is>
          <t>UPI</t>
        </is>
      </c>
      <c r="I1021" t="inlineStr">
        <is>
          <t>Delivered</t>
        </is>
      </c>
      <c r="J1021" t="n">
        <v>140</v>
      </c>
      <c r="K1021" t="n">
        <v>1</v>
      </c>
      <c r="L1021" t="n">
        <v>629</v>
      </c>
      <c r="M1021" t="n">
        <v>62.9</v>
      </c>
      <c r="N1021">
        <f>VLOOKUP(J1021,Products!$A$2:$C$49,3,FALSE)</f>
        <v/>
      </c>
      <c r="O1021">
        <f>K1021*L1021-M1021</f>
        <v/>
      </c>
      <c r="P1021">
        <f>TEXT(B1021,"yyyy-mm")</f>
        <v/>
      </c>
      <c r="Q1021">
        <f>IF(O1021&gt;=3000,"Large","Small")</f>
        <v/>
      </c>
      <c r="R1021">
        <f>INDEX(Products!$F$2:$F$49,MATCH(J1021,Products!$A$2:$A$49,0))</f>
        <v/>
      </c>
      <c r="S1021">
        <f>WEEKDAY(B1021,2)</f>
        <v/>
      </c>
    </row>
    <row r="1022">
      <c r="A1022" t="n">
        <v>509841</v>
      </c>
      <c r="B1022" s="6" t="n">
        <v>45943</v>
      </c>
      <c r="C1022" t="n">
        <v>14663</v>
      </c>
      <c r="D1022" t="inlineStr">
        <is>
          <t>Mumbai</t>
        </is>
      </c>
      <c r="E1022" t="inlineStr">
        <is>
          <t>West</t>
        </is>
      </c>
      <c r="F1022" t="inlineStr">
        <is>
          <t>Paid Social</t>
        </is>
      </c>
      <c r="G1022" t="inlineStr">
        <is>
          <t>Mobile App</t>
        </is>
      </c>
      <c r="H1022" t="inlineStr">
        <is>
          <t>UPI</t>
        </is>
      </c>
      <c r="I1022" t="inlineStr">
        <is>
          <t>Delivered</t>
        </is>
      </c>
      <c r="J1022" t="n">
        <v>129</v>
      </c>
      <c r="K1022" t="n">
        <v>1</v>
      </c>
      <c r="L1022" t="n">
        <v>576</v>
      </c>
      <c r="M1022" t="n">
        <v>57.6</v>
      </c>
      <c r="N1022">
        <f>VLOOKUP(J1022,Products!$A$2:$C$49,3,FALSE)</f>
        <v/>
      </c>
      <c r="O1022">
        <f>K1022*L1022-M1022</f>
        <v/>
      </c>
      <c r="P1022">
        <f>TEXT(B1022,"yyyy-mm")</f>
        <v/>
      </c>
      <c r="Q1022">
        <f>IF(O1022&gt;=3000,"Large","Small")</f>
        <v/>
      </c>
      <c r="R1022">
        <f>INDEX(Products!$F$2:$F$49,MATCH(J1022,Products!$A$2:$A$49,0))</f>
        <v/>
      </c>
      <c r="S1022">
        <f>WEEKDAY(B1022,2)</f>
        <v/>
      </c>
    </row>
    <row r="1023">
      <c r="A1023" t="n">
        <v>509842</v>
      </c>
      <c r="B1023" s="6" t="n">
        <v>45943</v>
      </c>
      <c r="C1023" t="n">
        <v>15544</v>
      </c>
      <c r="D1023" t="inlineStr">
        <is>
          <t>Bengaluru</t>
        </is>
      </c>
      <c r="E1023" t="inlineStr">
        <is>
          <t>South</t>
        </is>
      </c>
      <c r="F1023" t="inlineStr">
        <is>
          <t>Paid Search</t>
        </is>
      </c>
      <c r="G1023" t="inlineStr">
        <is>
          <t>Mobile App</t>
        </is>
      </c>
      <c r="H1023" t="inlineStr">
        <is>
          <t>Credit Card</t>
        </is>
      </c>
      <c r="I1023" t="inlineStr">
        <is>
          <t>Returned</t>
        </is>
      </c>
      <c r="J1023" t="n">
        <v>117</v>
      </c>
      <c r="K1023" t="n">
        <v>1</v>
      </c>
      <c r="L1023" t="n">
        <v>3149</v>
      </c>
      <c r="M1023" t="n">
        <v>314.9</v>
      </c>
      <c r="N1023">
        <f>VLOOKUP(J1023,Products!$A$2:$C$49,3,FALSE)</f>
        <v/>
      </c>
      <c r="O1023">
        <f>K1023*L1023-M1023</f>
        <v/>
      </c>
      <c r="P1023">
        <f>TEXT(B1023,"yyyy-mm")</f>
        <v/>
      </c>
      <c r="Q1023">
        <f>IF(O1023&gt;=3000,"Large","Small")</f>
        <v/>
      </c>
      <c r="R1023">
        <f>INDEX(Products!$F$2:$F$49,MATCH(J1023,Products!$A$2:$A$49,0))</f>
        <v/>
      </c>
      <c r="S1023">
        <f>WEEKDAY(B1023,2)</f>
        <v/>
      </c>
    </row>
    <row r="1024">
      <c r="A1024" t="n">
        <v>509842</v>
      </c>
      <c r="B1024" s="6" t="n">
        <v>45943</v>
      </c>
      <c r="C1024" t="n">
        <v>15544</v>
      </c>
      <c r="D1024" t="inlineStr">
        <is>
          <t>Bengaluru</t>
        </is>
      </c>
      <c r="E1024" t="inlineStr">
        <is>
          <t>South</t>
        </is>
      </c>
      <c r="F1024" t="inlineStr">
        <is>
          <t>Paid Search</t>
        </is>
      </c>
      <c r="G1024" t="inlineStr">
        <is>
          <t>Mobile App</t>
        </is>
      </c>
      <c r="H1024" t="inlineStr">
        <is>
          <t>Credit Card</t>
        </is>
      </c>
      <c r="I1024" t="inlineStr">
        <is>
          <t>Returned</t>
        </is>
      </c>
      <c r="J1024" t="n">
        <v>124</v>
      </c>
      <c r="K1024" t="n">
        <v>1</v>
      </c>
      <c r="L1024" t="n">
        <v>1154</v>
      </c>
      <c r="M1024" t="n">
        <v>115.4</v>
      </c>
      <c r="N1024">
        <f>VLOOKUP(J1024,Products!$A$2:$C$49,3,FALSE)</f>
        <v/>
      </c>
      <c r="O1024">
        <f>K1024*L1024-M1024</f>
        <v/>
      </c>
      <c r="P1024">
        <f>TEXT(B1024,"yyyy-mm")</f>
        <v/>
      </c>
      <c r="Q1024">
        <f>IF(O1024&gt;=3000,"Large","Small")</f>
        <v/>
      </c>
      <c r="R1024">
        <f>INDEX(Products!$F$2:$F$49,MATCH(J1024,Products!$A$2:$A$49,0))</f>
        <v/>
      </c>
      <c r="S1024">
        <f>WEEKDAY(B1024,2)</f>
        <v/>
      </c>
    </row>
    <row r="1025">
      <c r="A1025" t="n">
        <v>509842</v>
      </c>
      <c r="B1025" s="6" t="n">
        <v>45943</v>
      </c>
      <c r="C1025" t="n">
        <v>15544</v>
      </c>
      <c r="D1025" t="inlineStr">
        <is>
          <t>Bengaluru</t>
        </is>
      </c>
      <c r="E1025" t="inlineStr">
        <is>
          <t>South</t>
        </is>
      </c>
      <c r="F1025" t="inlineStr">
        <is>
          <t>Paid Search</t>
        </is>
      </c>
      <c r="G1025" t="inlineStr">
        <is>
          <t>Mobile App</t>
        </is>
      </c>
      <c r="H1025" t="inlineStr">
        <is>
          <t>Credit Card</t>
        </is>
      </c>
      <c r="I1025" t="inlineStr">
        <is>
          <t>Returned</t>
        </is>
      </c>
      <c r="J1025" t="n">
        <v>129</v>
      </c>
      <c r="K1025" t="n">
        <v>1</v>
      </c>
      <c r="L1025" t="n">
        <v>576</v>
      </c>
      <c r="M1025" t="n">
        <v>57.6</v>
      </c>
      <c r="N1025">
        <f>VLOOKUP(J1025,Products!$A$2:$C$49,3,FALSE)</f>
        <v/>
      </c>
      <c r="O1025">
        <f>K1025*L1025-M1025</f>
        <v/>
      </c>
      <c r="P1025">
        <f>TEXT(B1025,"yyyy-mm")</f>
        <v/>
      </c>
      <c r="Q1025">
        <f>IF(O1025&gt;=3000,"Large","Small")</f>
        <v/>
      </c>
      <c r="R1025">
        <f>INDEX(Products!$F$2:$F$49,MATCH(J1025,Products!$A$2:$A$49,0))</f>
        <v/>
      </c>
      <c r="S1025">
        <f>WEEKDAY(B1025,2)</f>
        <v/>
      </c>
    </row>
    <row r="1026">
      <c r="A1026" t="n">
        <v>509843</v>
      </c>
      <c r="B1026" s="6" t="n">
        <v>45943</v>
      </c>
      <c r="C1026" t="n">
        <v>16804</v>
      </c>
      <c r="D1026" t="inlineStr">
        <is>
          <t>Lucknow</t>
        </is>
      </c>
      <c r="E1026" t="inlineStr">
        <is>
          <t>North</t>
        </is>
      </c>
      <c r="F1026" t="inlineStr">
        <is>
          <t>Affiliate</t>
        </is>
      </c>
      <c r="G1026" t="inlineStr">
        <is>
          <t>Mobile Web</t>
        </is>
      </c>
      <c r="H1026" t="inlineStr">
        <is>
          <t>Net Banking</t>
        </is>
      </c>
      <c r="I1026" t="inlineStr">
        <is>
          <t>Delivered</t>
        </is>
      </c>
      <c r="J1026" t="n">
        <v>119</v>
      </c>
      <c r="K1026" t="n">
        <v>1</v>
      </c>
      <c r="L1026" t="n">
        <v>2309</v>
      </c>
      <c r="M1026" t="n">
        <v>346.35</v>
      </c>
      <c r="N1026">
        <f>VLOOKUP(J1026,Products!$A$2:$C$49,3,FALSE)</f>
        <v/>
      </c>
      <c r="O1026">
        <f>K1026*L1026-M1026</f>
        <v/>
      </c>
      <c r="P1026">
        <f>TEXT(B1026,"yyyy-mm")</f>
        <v/>
      </c>
      <c r="Q1026">
        <f>IF(O1026&gt;=3000,"Large","Small")</f>
        <v/>
      </c>
      <c r="R1026">
        <f>INDEX(Products!$F$2:$F$49,MATCH(J1026,Products!$A$2:$A$49,0))</f>
        <v/>
      </c>
      <c r="S1026">
        <f>WEEKDAY(B1026,2)</f>
        <v/>
      </c>
    </row>
    <row r="1027">
      <c r="A1027" t="n">
        <v>509844</v>
      </c>
      <c r="B1027" s="6" t="n">
        <v>45943</v>
      </c>
      <c r="C1027" t="n">
        <v>13000</v>
      </c>
      <c r="D1027" t="inlineStr">
        <is>
          <t>Bengaluru</t>
        </is>
      </c>
      <c r="E1027" t="inlineStr">
        <is>
          <t>South</t>
        </is>
      </c>
      <c r="F1027" t="inlineStr">
        <is>
          <t>Paid Search</t>
        </is>
      </c>
      <c r="G1027" t="inlineStr">
        <is>
          <t>Mobile App</t>
        </is>
      </c>
      <c r="H1027" t="inlineStr">
        <is>
          <t>UPI</t>
        </is>
      </c>
      <c r="I1027" t="inlineStr">
        <is>
          <t>Delivered</t>
        </is>
      </c>
      <c r="J1027" t="n">
        <v>128</v>
      </c>
      <c r="K1027" t="n">
        <v>1</v>
      </c>
      <c r="L1027" t="n">
        <v>1049</v>
      </c>
      <c r="M1027" t="n">
        <v>0</v>
      </c>
      <c r="N1027">
        <f>VLOOKUP(J1027,Products!$A$2:$C$49,3,FALSE)</f>
        <v/>
      </c>
      <c r="O1027">
        <f>K1027*L1027-M1027</f>
        <v/>
      </c>
      <c r="P1027">
        <f>TEXT(B1027,"yyyy-mm")</f>
        <v/>
      </c>
      <c r="Q1027">
        <f>IF(O1027&gt;=3000,"Large","Small")</f>
        <v/>
      </c>
      <c r="R1027">
        <f>INDEX(Products!$F$2:$F$49,MATCH(J1027,Products!$A$2:$A$49,0))</f>
        <v/>
      </c>
      <c r="S1027">
        <f>WEEKDAY(B1027,2)</f>
        <v/>
      </c>
    </row>
    <row r="1028">
      <c r="A1028" t="n">
        <v>509844</v>
      </c>
      <c r="B1028" s="6" t="n">
        <v>45943</v>
      </c>
      <c r="C1028" t="n">
        <v>13000</v>
      </c>
      <c r="D1028" t="inlineStr">
        <is>
          <t>Bengaluru</t>
        </is>
      </c>
      <c r="E1028" t="inlineStr">
        <is>
          <t>South</t>
        </is>
      </c>
      <c r="F1028" t="inlineStr">
        <is>
          <t>Paid Search</t>
        </is>
      </c>
      <c r="G1028" t="inlineStr">
        <is>
          <t>Mobile App</t>
        </is>
      </c>
      <c r="H1028" t="inlineStr">
        <is>
          <t>UPI</t>
        </is>
      </c>
      <c r="I1028" t="inlineStr">
        <is>
          <t>Delivered</t>
        </is>
      </c>
      <c r="J1028" t="n">
        <v>134</v>
      </c>
      <c r="K1028" t="n">
        <v>1</v>
      </c>
      <c r="L1028" t="n">
        <v>209</v>
      </c>
      <c r="M1028" t="n">
        <v>0</v>
      </c>
      <c r="N1028">
        <f>VLOOKUP(J1028,Products!$A$2:$C$49,3,FALSE)</f>
        <v/>
      </c>
      <c r="O1028">
        <f>K1028*L1028-M1028</f>
        <v/>
      </c>
      <c r="P1028">
        <f>TEXT(B1028,"yyyy-mm")</f>
        <v/>
      </c>
      <c r="Q1028">
        <f>IF(O1028&gt;=3000,"Large","Small")</f>
        <v/>
      </c>
      <c r="R1028">
        <f>INDEX(Products!$F$2:$F$49,MATCH(J1028,Products!$A$2:$A$49,0))</f>
        <v/>
      </c>
      <c r="S1028">
        <f>WEEKDAY(B1028,2)</f>
        <v/>
      </c>
    </row>
    <row r="1029">
      <c r="A1029" t="n">
        <v>509845</v>
      </c>
      <c r="B1029" s="6" t="n">
        <v>45943</v>
      </c>
      <c r="C1029" t="n">
        <v>16783</v>
      </c>
      <c r="D1029" t="inlineStr">
        <is>
          <t>Chennai</t>
        </is>
      </c>
      <c r="E1029" t="inlineStr">
        <is>
          <t>South</t>
        </is>
      </c>
      <c r="F1029" t="inlineStr">
        <is>
          <t>Affiliate</t>
        </is>
      </c>
      <c r="G1029" t="inlineStr">
        <is>
          <t>Mobile App</t>
        </is>
      </c>
      <c r="H1029" t="inlineStr">
        <is>
          <t>Credit Card</t>
        </is>
      </c>
      <c r="I1029" t="inlineStr">
        <is>
          <t>Cancelled</t>
        </is>
      </c>
      <c r="J1029" t="n">
        <v>147</v>
      </c>
      <c r="K1029" t="n">
        <v>1</v>
      </c>
      <c r="L1029" t="n">
        <v>1364</v>
      </c>
      <c r="M1029" t="n">
        <v>204.6</v>
      </c>
      <c r="N1029">
        <f>VLOOKUP(J1029,Products!$A$2:$C$49,3,FALSE)</f>
        <v/>
      </c>
      <c r="O1029">
        <f>K1029*L1029-M1029</f>
        <v/>
      </c>
      <c r="P1029">
        <f>TEXT(B1029,"yyyy-mm")</f>
        <v/>
      </c>
      <c r="Q1029">
        <f>IF(O1029&gt;=3000,"Large","Small")</f>
        <v/>
      </c>
      <c r="R1029">
        <f>INDEX(Products!$F$2:$F$49,MATCH(J1029,Products!$A$2:$A$49,0))</f>
        <v/>
      </c>
      <c r="S1029">
        <f>WEEKDAY(B1029,2)</f>
        <v/>
      </c>
    </row>
    <row r="1030">
      <c r="A1030" t="n">
        <v>509845</v>
      </c>
      <c r="B1030" s="6" t="n">
        <v>45943</v>
      </c>
      <c r="C1030" t="n">
        <v>16783</v>
      </c>
      <c r="D1030" t="inlineStr">
        <is>
          <t>Chennai</t>
        </is>
      </c>
      <c r="E1030" t="inlineStr">
        <is>
          <t>South</t>
        </is>
      </c>
      <c r="F1030" t="inlineStr">
        <is>
          <t>Affiliate</t>
        </is>
      </c>
      <c r="G1030" t="inlineStr">
        <is>
          <t>Mobile App</t>
        </is>
      </c>
      <c r="H1030" t="inlineStr">
        <is>
          <t>Credit Card</t>
        </is>
      </c>
      <c r="I1030" t="inlineStr">
        <is>
          <t>Cancelled</t>
        </is>
      </c>
      <c r="J1030" t="n">
        <v>129</v>
      </c>
      <c r="K1030" t="n">
        <v>1</v>
      </c>
      <c r="L1030" t="n">
        <v>576</v>
      </c>
      <c r="M1030" t="n">
        <v>86.40000000000001</v>
      </c>
      <c r="N1030">
        <f>VLOOKUP(J1030,Products!$A$2:$C$49,3,FALSE)</f>
        <v/>
      </c>
      <c r="O1030">
        <f>K1030*L1030-M1030</f>
        <v/>
      </c>
      <c r="P1030">
        <f>TEXT(B1030,"yyyy-mm")</f>
        <v/>
      </c>
      <c r="Q1030">
        <f>IF(O1030&gt;=3000,"Large","Small")</f>
        <v/>
      </c>
      <c r="R1030">
        <f>INDEX(Products!$F$2:$F$49,MATCH(J1030,Products!$A$2:$A$49,0))</f>
        <v/>
      </c>
      <c r="S1030">
        <f>WEEKDAY(B1030,2)</f>
        <v/>
      </c>
    </row>
    <row r="1031">
      <c r="A1031" t="n">
        <v>509846</v>
      </c>
      <c r="B1031" s="6" t="n">
        <v>45943</v>
      </c>
      <c r="C1031" t="n">
        <v>16333</v>
      </c>
      <c r="D1031" t="inlineStr">
        <is>
          <t>Hyderabad</t>
        </is>
      </c>
      <c r="E1031" t="inlineStr">
        <is>
          <t>South</t>
        </is>
      </c>
      <c r="F1031" t="inlineStr">
        <is>
          <t>Email</t>
        </is>
      </c>
      <c r="G1031" t="inlineStr">
        <is>
          <t>Mobile App</t>
        </is>
      </c>
      <c r="H1031" t="inlineStr">
        <is>
          <t>UPI</t>
        </is>
      </c>
      <c r="I1031" t="inlineStr">
        <is>
          <t>Delivered</t>
        </is>
      </c>
      <c r="J1031" t="n">
        <v>113</v>
      </c>
      <c r="K1031" t="n">
        <v>1</v>
      </c>
      <c r="L1031" t="n">
        <v>1364</v>
      </c>
      <c r="M1031" t="n">
        <v>136.4</v>
      </c>
      <c r="N1031">
        <f>VLOOKUP(J1031,Products!$A$2:$C$49,3,FALSE)</f>
        <v/>
      </c>
      <c r="O1031">
        <f>K1031*L1031-M1031</f>
        <v/>
      </c>
      <c r="P1031">
        <f>TEXT(B1031,"yyyy-mm")</f>
        <v/>
      </c>
      <c r="Q1031">
        <f>IF(O1031&gt;=3000,"Large","Small")</f>
        <v/>
      </c>
      <c r="R1031">
        <f>INDEX(Products!$F$2:$F$49,MATCH(J1031,Products!$A$2:$A$49,0))</f>
        <v/>
      </c>
      <c r="S1031">
        <f>WEEKDAY(B1031,2)</f>
        <v/>
      </c>
    </row>
    <row r="1032">
      <c r="A1032" t="n">
        <v>509847</v>
      </c>
      <c r="B1032" s="6" t="n">
        <v>45943</v>
      </c>
      <c r="C1032" t="n">
        <v>11844</v>
      </c>
      <c r="D1032" t="inlineStr">
        <is>
          <t>Mumbai</t>
        </is>
      </c>
      <c r="E1032" t="inlineStr">
        <is>
          <t>West</t>
        </is>
      </c>
      <c r="F1032" t="inlineStr">
        <is>
          <t>Referral</t>
        </is>
      </c>
      <c r="G1032" t="inlineStr">
        <is>
          <t>Mobile Web</t>
        </is>
      </c>
      <c r="H1032" t="inlineStr">
        <is>
          <t>UPI</t>
        </is>
      </c>
      <c r="I1032" t="inlineStr">
        <is>
          <t>Delivered</t>
        </is>
      </c>
      <c r="J1032" t="n">
        <v>142</v>
      </c>
      <c r="K1032" t="n">
        <v>1</v>
      </c>
      <c r="L1032" t="n">
        <v>839</v>
      </c>
      <c r="M1032" t="n">
        <v>0</v>
      </c>
      <c r="N1032">
        <f>VLOOKUP(J1032,Products!$A$2:$C$49,3,FALSE)</f>
        <v/>
      </c>
      <c r="O1032">
        <f>K1032*L1032-M1032</f>
        <v/>
      </c>
      <c r="P1032">
        <f>TEXT(B1032,"yyyy-mm")</f>
        <v/>
      </c>
      <c r="Q1032">
        <f>IF(O1032&gt;=3000,"Large","Small")</f>
        <v/>
      </c>
      <c r="R1032">
        <f>INDEX(Products!$F$2:$F$49,MATCH(J1032,Products!$A$2:$A$49,0))</f>
        <v/>
      </c>
      <c r="S1032">
        <f>WEEKDAY(B1032,2)</f>
        <v/>
      </c>
    </row>
    <row r="1033">
      <c r="A1033" t="n">
        <v>509847</v>
      </c>
      <c r="B1033" s="6" t="n">
        <v>45943</v>
      </c>
      <c r="C1033" t="n">
        <v>11844</v>
      </c>
      <c r="D1033" t="inlineStr">
        <is>
          <t>Mumbai</t>
        </is>
      </c>
      <c r="E1033" t="inlineStr">
        <is>
          <t>West</t>
        </is>
      </c>
      <c r="F1033" t="inlineStr">
        <is>
          <t>Referral</t>
        </is>
      </c>
      <c r="G1033" t="inlineStr">
        <is>
          <t>Mobile Web</t>
        </is>
      </c>
      <c r="H1033" t="inlineStr">
        <is>
          <t>UPI</t>
        </is>
      </c>
      <c r="I1033" t="inlineStr">
        <is>
          <t>Delivered</t>
        </is>
      </c>
      <c r="J1033" t="n">
        <v>117</v>
      </c>
      <c r="K1033" t="n">
        <v>1</v>
      </c>
      <c r="L1033" t="n">
        <v>3149</v>
      </c>
      <c r="M1033" t="n">
        <v>0</v>
      </c>
      <c r="N1033">
        <f>VLOOKUP(J1033,Products!$A$2:$C$49,3,FALSE)</f>
        <v/>
      </c>
      <c r="O1033">
        <f>K1033*L1033-M1033</f>
        <v/>
      </c>
      <c r="P1033">
        <f>TEXT(B1033,"yyyy-mm")</f>
        <v/>
      </c>
      <c r="Q1033">
        <f>IF(O1033&gt;=3000,"Large","Small")</f>
        <v/>
      </c>
      <c r="R1033">
        <f>INDEX(Products!$F$2:$F$49,MATCH(J1033,Products!$A$2:$A$49,0))</f>
        <v/>
      </c>
      <c r="S1033">
        <f>WEEKDAY(B1033,2)</f>
        <v/>
      </c>
    </row>
    <row r="1034">
      <c r="A1034" t="n">
        <v>509848</v>
      </c>
      <c r="B1034" s="6" t="n">
        <v>45943</v>
      </c>
      <c r="C1034" t="n">
        <v>10011</v>
      </c>
      <c r="D1034" t="inlineStr">
        <is>
          <t>Hyderabad</t>
        </is>
      </c>
      <c r="E1034" t="inlineStr">
        <is>
          <t>South</t>
        </is>
      </c>
      <c r="F1034" t="inlineStr">
        <is>
          <t>Paid Social</t>
        </is>
      </c>
      <c r="G1034" t="inlineStr">
        <is>
          <t>Mobile App</t>
        </is>
      </c>
      <c r="H1034" t="inlineStr">
        <is>
          <t>Credit Card</t>
        </is>
      </c>
      <c r="I1034" t="inlineStr">
        <is>
          <t>Delivered</t>
        </is>
      </c>
      <c r="J1034" t="n">
        <v>111</v>
      </c>
      <c r="K1034" t="n">
        <v>1</v>
      </c>
      <c r="L1034" t="n">
        <v>524</v>
      </c>
      <c r="M1034" t="n">
        <v>52.4</v>
      </c>
      <c r="N1034">
        <f>VLOOKUP(J1034,Products!$A$2:$C$49,3,FALSE)</f>
        <v/>
      </c>
      <c r="O1034">
        <f>K1034*L1034-M1034</f>
        <v/>
      </c>
      <c r="P1034">
        <f>TEXT(B1034,"yyyy-mm")</f>
        <v/>
      </c>
      <c r="Q1034">
        <f>IF(O1034&gt;=3000,"Large","Small")</f>
        <v/>
      </c>
      <c r="R1034">
        <f>INDEX(Products!$F$2:$F$49,MATCH(J1034,Products!$A$2:$A$49,0))</f>
        <v/>
      </c>
      <c r="S1034">
        <f>WEEKDAY(B1034,2)</f>
        <v/>
      </c>
    </row>
    <row r="1035">
      <c r="A1035" t="n">
        <v>509848</v>
      </c>
      <c r="B1035" s="6" t="n">
        <v>45943</v>
      </c>
      <c r="C1035" t="n">
        <v>10011</v>
      </c>
      <c r="D1035" t="inlineStr">
        <is>
          <t>Hyderabad</t>
        </is>
      </c>
      <c r="E1035" t="inlineStr">
        <is>
          <t>South</t>
        </is>
      </c>
      <c r="F1035" t="inlineStr">
        <is>
          <t>Paid Social</t>
        </is>
      </c>
      <c r="G1035" t="inlineStr">
        <is>
          <t>Mobile App</t>
        </is>
      </c>
      <c r="H1035" t="inlineStr">
        <is>
          <t>Credit Card</t>
        </is>
      </c>
      <c r="I1035" t="inlineStr">
        <is>
          <t>Delivered</t>
        </is>
      </c>
      <c r="J1035" t="n">
        <v>129</v>
      </c>
      <c r="K1035" t="n">
        <v>3</v>
      </c>
      <c r="L1035" t="n">
        <v>576</v>
      </c>
      <c r="M1035" t="n">
        <v>172.8</v>
      </c>
      <c r="N1035">
        <f>VLOOKUP(J1035,Products!$A$2:$C$49,3,FALSE)</f>
        <v/>
      </c>
      <c r="O1035">
        <f>K1035*L1035-M1035</f>
        <v/>
      </c>
      <c r="P1035">
        <f>TEXT(B1035,"yyyy-mm")</f>
        <v/>
      </c>
      <c r="Q1035">
        <f>IF(O1035&gt;=3000,"Large","Small")</f>
        <v/>
      </c>
      <c r="R1035">
        <f>INDEX(Products!$F$2:$F$49,MATCH(J1035,Products!$A$2:$A$49,0))</f>
        <v/>
      </c>
      <c r="S1035">
        <f>WEEKDAY(B1035,2)</f>
        <v/>
      </c>
    </row>
    <row r="1036">
      <c r="A1036" t="n">
        <v>509849</v>
      </c>
      <c r="B1036" s="6" t="n">
        <v>45943</v>
      </c>
      <c r="C1036" t="n">
        <v>16766</v>
      </c>
      <c r="D1036" t="inlineStr">
        <is>
          <t>Jaipur</t>
        </is>
      </c>
      <c r="E1036" t="inlineStr">
        <is>
          <t>North</t>
        </is>
      </c>
      <c r="F1036" t="inlineStr">
        <is>
          <t>Paid Search</t>
        </is>
      </c>
      <c r="G1036" t="inlineStr">
        <is>
          <t>Mobile App</t>
        </is>
      </c>
      <c r="H1036" t="inlineStr">
        <is>
          <t>Cash on Delivery</t>
        </is>
      </c>
      <c r="I1036" t="inlineStr">
        <is>
          <t>Delivered</t>
        </is>
      </c>
      <c r="J1036" t="n">
        <v>128</v>
      </c>
      <c r="K1036" t="n">
        <v>1</v>
      </c>
      <c r="L1036" t="n">
        <v>1049</v>
      </c>
      <c r="M1036" t="n">
        <v>157.35</v>
      </c>
      <c r="N1036">
        <f>VLOOKUP(J1036,Products!$A$2:$C$49,3,FALSE)</f>
        <v/>
      </c>
      <c r="O1036">
        <f>K1036*L1036-M1036</f>
        <v/>
      </c>
      <c r="P1036">
        <f>TEXT(B1036,"yyyy-mm")</f>
        <v/>
      </c>
      <c r="Q1036">
        <f>IF(O1036&gt;=3000,"Large","Small")</f>
        <v/>
      </c>
      <c r="R1036">
        <f>INDEX(Products!$F$2:$F$49,MATCH(J1036,Products!$A$2:$A$49,0))</f>
        <v/>
      </c>
      <c r="S1036">
        <f>WEEKDAY(B1036,2)</f>
        <v/>
      </c>
    </row>
    <row r="1037">
      <c r="A1037" t="n">
        <v>509850</v>
      </c>
      <c r="B1037" s="6" t="n">
        <v>45943</v>
      </c>
      <c r="C1037" t="n">
        <v>12666</v>
      </c>
      <c r="D1037" t="inlineStr">
        <is>
          <t>Bengaluru</t>
        </is>
      </c>
      <c r="E1037" t="inlineStr">
        <is>
          <t>South</t>
        </is>
      </c>
      <c r="F1037" t="inlineStr">
        <is>
          <t>Paid Social</t>
        </is>
      </c>
      <c r="G1037" t="inlineStr">
        <is>
          <t>Mobile Web</t>
        </is>
      </c>
      <c r="H1037" t="inlineStr">
        <is>
          <t>Cash on Delivery</t>
        </is>
      </c>
      <c r="I1037" t="inlineStr">
        <is>
          <t>Delivered</t>
        </is>
      </c>
      <c r="J1037" t="n">
        <v>120</v>
      </c>
      <c r="K1037" t="n">
        <v>1</v>
      </c>
      <c r="L1037" t="n">
        <v>734</v>
      </c>
      <c r="M1037" t="n">
        <v>73.40000000000001</v>
      </c>
      <c r="N1037">
        <f>VLOOKUP(J1037,Products!$A$2:$C$49,3,FALSE)</f>
        <v/>
      </c>
      <c r="O1037">
        <f>K1037*L1037-M1037</f>
        <v/>
      </c>
      <c r="P1037">
        <f>TEXT(B1037,"yyyy-mm")</f>
        <v/>
      </c>
      <c r="Q1037">
        <f>IF(O1037&gt;=3000,"Large","Small")</f>
        <v/>
      </c>
      <c r="R1037">
        <f>INDEX(Products!$F$2:$F$49,MATCH(J1037,Products!$A$2:$A$49,0))</f>
        <v/>
      </c>
      <c r="S1037">
        <f>WEEKDAY(B1037,2)</f>
        <v/>
      </c>
    </row>
    <row r="1038">
      <c r="A1038" t="n">
        <v>509850</v>
      </c>
      <c r="B1038" s="6" t="n">
        <v>45943</v>
      </c>
      <c r="C1038" t="n">
        <v>12666</v>
      </c>
      <c r="D1038" t="inlineStr">
        <is>
          <t>Bengaluru</t>
        </is>
      </c>
      <c r="E1038" t="inlineStr">
        <is>
          <t>South</t>
        </is>
      </c>
      <c r="F1038" t="inlineStr">
        <is>
          <t>Paid Social</t>
        </is>
      </c>
      <c r="G1038" t="inlineStr">
        <is>
          <t>Mobile Web</t>
        </is>
      </c>
      <c r="H1038" t="inlineStr">
        <is>
          <t>Cash on Delivery</t>
        </is>
      </c>
      <c r="I1038" t="inlineStr">
        <is>
          <t>Delivered</t>
        </is>
      </c>
      <c r="J1038" t="n">
        <v>129</v>
      </c>
      <c r="K1038" t="n">
        <v>1</v>
      </c>
      <c r="L1038" t="n">
        <v>576</v>
      </c>
      <c r="M1038" t="n">
        <v>57.6</v>
      </c>
      <c r="N1038">
        <f>VLOOKUP(J1038,Products!$A$2:$C$49,3,FALSE)</f>
        <v/>
      </c>
      <c r="O1038">
        <f>K1038*L1038-M1038</f>
        <v/>
      </c>
      <c r="P1038">
        <f>TEXT(B1038,"yyyy-mm")</f>
        <v/>
      </c>
      <c r="Q1038">
        <f>IF(O1038&gt;=3000,"Large","Small")</f>
        <v/>
      </c>
      <c r="R1038">
        <f>INDEX(Products!$F$2:$F$49,MATCH(J1038,Products!$A$2:$A$49,0))</f>
        <v/>
      </c>
      <c r="S1038">
        <f>WEEKDAY(B1038,2)</f>
        <v/>
      </c>
    </row>
    <row r="1039">
      <c r="A1039" t="n">
        <v>509851</v>
      </c>
      <c r="B1039" s="6" t="n">
        <v>45943</v>
      </c>
      <c r="C1039" t="n">
        <v>15469</v>
      </c>
      <c r="D1039" t="inlineStr">
        <is>
          <t>Kolkata</t>
        </is>
      </c>
      <c r="E1039" t="inlineStr">
        <is>
          <t>East</t>
        </is>
      </c>
      <c r="F1039" t="inlineStr">
        <is>
          <t>Organic Search</t>
        </is>
      </c>
      <c r="G1039" t="inlineStr">
        <is>
          <t>Desktop</t>
        </is>
      </c>
      <c r="H1039" t="inlineStr">
        <is>
          <t>Credit Card</t>
        </is>
      </c>
      <c r="I1039" t="inlineStr">
        <is>
          <t>Delivered</t>
        </is>
      </c>
      <c r="J1039" t="n">
        <v>113</v>
      </c>
      <c r="K1039" t="n">
        <v>2</v>
      </c>
      <c r="L1039" t="n">
        <v>1364</v>
      </c>
      <c r="M1039" t="n">
        <v>272.8</v>
      </c>
      <c r="N1039">
        <f>VLOOKUP(J1039,Products!$A$2:$C$49,3,FALSE)</f>
        <v/>
      </c>
      <c r="O1039">
        <f>K1039*L1039-M1039</f>
        <v/>
      </c>
      <c r="P1039">
        <f>TEXT(B1039,"yyyy-mm")</f>
        <v/>
      </c>
      <c r="Q1039">
        <f>IF(O1039&gt;=3000,"Large","Small")</f>
        <v/>
      </c>
      <c r="R1039">
        <f>INDEX(Products!$F$2:$F$49,MATCH(J1039,Products!$A$2:$A$49,0))</f>
        <v/>
      </c>
      <c r="S1039">
        <f>WEEKDAY(B1039,2)</f>
        <v/>
      </c>
    </row>
    <row r="1040">
      <c r="A1040" t="n">
        <v>509852</v>
      </c>
      <c r="B1040" s="6" t="n">
        <v>45943</v>
      </c>
      <c r="C1040" t="n">
        <v>15646</v>
      </c>
      <c r="D1040" t="inlineStr">
        <is>
          <t>Chennai</t>
        </is>
      </c>
      <c r="E1040" t="inlineStr">
        <is>
          <t>South</t>
        </is>
      </c>
      <c r="F1040" t="inlineStr">
        <is>
          <t>Organic Search</t>
        </is>
      </c>
      <c r="G1040" t="inlineStr">
        <is>
          <t>Mobile App</t>
        </is>
      </c>
      <c r="H1040" t="inlineStr">
        <is>
          <t>Credit Card</t>
        </is>
      </c>
      <c r="I1040" t="inlineStr">
        <is>
          <t>Delivered</t>
        </is>
      </c>
      <c r="J1040" t="n">
        <v>134</v>
      </c>
      <c r="K1040" t="n">
        <v>1</v>
      </c>
      <c r="L1040" t="n">
        <v>209</v>
      </c>
      <c r="M1040" t="n">
        <v>20.9</v>
      </c>
      <c r="N1040">
        <f>VLOOKUP(J1040,Products!$A$2:$C$49,3,FALSE)</f>
        <v/>
      </c>
      <c r="O1040">
        <f>K1040*L1040-M1040</f>
        <v/>
      </c>
      <c r="P1040">
        <f>TEXT(B1040,"yyyy-mm")</f>
        <v/>
      </c>
      <c r="Q1040">
        <f>IF(O1040&gt;=3000,"Large","Small")</f>
        <v/>
      </c>
      <c r="R1040">
        <f>INDEX(Products!$F$2:$F$49,MATCH(J1040,Products!$A$2:$A$49,0))</f>
        <v/>
      </c>
      <c r="S1040">
        <f>WEEKDAY(B1040,2)</f>
        <v/>
      </c>
    </row>
    <row r="1041">
      <c r="A1041" t="n">
        <v>509852</v>
      </c>
      <c r="B1041" s="6" t="n">
        <v>45943</v>
      </c>
      <c r="C1041" t="n">
        <v>15646</v>
      </c>
      <c r="D1041" t="inlineStr">
        <is>
          <t>Chennai</t>
        </is>
      </c>
      <c r="E1041" t="inlineStr">
        <is>
          <t>South</t>
        </is>
      </c>
      <c r="F1041" t="inlineStr">
        <is>
          <t>Organic Search</t>
        </is>
      </c>
      <c r="G1041" t="inlineStr">
        <is>
          <t>Mobile App</t>
        </is>
      </c>
      <c r="H1041" t="inlineStr">
        <is>
          <t>Credit Card</t>
        </is>
      </c>
      <c r="I1041" t="inlineStr">
        <is>
          <t>Delivered</t>
        </is>
      </c>
      <c r="J1041" t="n">
        <v>104</v>
      </c>
      <c r="K1041" t="n">
        <v>1</v>
      </c>
      <c r="L1041" t="n">
        <v>5249</v>
      </c>
      <c r="M1041" t="n">
        <v>524.9</v>
      </c>
      <c r="N1041">
        <f>VLOOKUP(J1041,Products!$A$2:$C$49,3,FALSE)</f>
        <v/>
      </c>
      <c r="O1041">
        <f>K1041*L1041-M1041</f>
        <v/>
      </c>
      <c r="P1041">
        <f>TEXT(B1041,"yyyy-mm")</f>
        <v/>
      </c>
      <c r="Q1041">
        <f>IF(O1041&gt;=3000,"Large","Small")</f>
        <v/>
      </c>
      <c r="R1041">
        <f>INDEX(Products!$F$2:$F$49,MATCH(J1041,Products!$A$2:$A$49,0))</f>
        <v/>
      </c>
      <c r="S1041">
        <f>WEEKDAY(B1041,2)</f>
        <v/>
      </c>
    </row>
    <row r="1042">
      <c r="A1042" t="n">
        <v>509853</v>
      </c>
      <c r="B1042" s="6" t="n">
        <v>45944</v>
      </c>
      <c r="C1042" t="n">
        <v>16747</v>
      </c>
      <c r="D1042" t="inlineStr">
        <is>
          <t>Delhi</t>
        </is>
      </c>
      <c r="E1042" t="inlineStr">
        <is>
          <t>North</t>
        </is>
      </c>
      <c r="F1042" t="inlineStr">
        <is>
          <t>Referral</t>
        </is>
      </c>
      <c r="G1042" t="inlineStr">
        <is>
          <t>Mobile App</t>
        </is>
      </c>
      <c r="H1042" t="inlineStr">
        <is>
          <t>UPI</t>
        </is>
      </c>
      <c r="I1042" t="inlineStr">
        <is>
          <t>Delivered</t>
        </is>
      </c>
      <c r="J1042" t="n">
        <v>132</v>
      </c>
      <c r="K1042" t="n">
        <v>2</v>
      </c>
      <c r="L1042" t="n">
        <v>471</v>
      </c>
      <c r="M1042" t="n">
        <v>94.2</v>
      </c>
      <c r="N1042">
        <f>VLOOKUP(J1042,Products!$A$2:$C$49,3,FALSE)</f>
        <v/>
      </c>
      <c r="O1042">
        <f>K1042*L1042-M1042</f>
        <v/>
      </c>
      <c r="P1042">
        <f>TEXT(B1042,"yyyy-mm")</f>
        <v/>
      </c>
      <c r="Q1042">
        <f>IF(O1042&gt;=3000,"Large","Small")</f>
        <v/>
      </c>
      <c r="R1042">
        <f>INDEX(Products!$F$2:$F$49,MATCH(J1042,Products!$A$2:$A$49,0))</f>
        <v/>
      </c>
      <c r="S1042">
        <f>WEEKDAY(B1042,2)</f>
        <v/>
      </c>
    </row>
    <row r="1043">
      <c r="A1043" t="n">
        <v>509853</v>
      </c>
      <c r="B1043" s="6" t="n">
        <v>45944</v>
      </c>
      <c r="C1043" t="n">
        <v>16747</v>
      </c>
      <c r="D1043" t="inlineStr">
        <is>
          <t>Delhi</t>
        </is>
      </c>
      <c r="E1043" t="inlineStr">
        <is>
          <t>North</t>
        </is>
      </c>
      <c r="F1043" t="inlineStr">
        <is>
          <t>Referral</t>
        </is>
      </c>
      <c r="G1043" t="inlineStr">
        <is>
          <t>Mobile App</t>
        </is>
      </c>
      <c r="H1043" t="inlineStr">
        <is>
          <t>UPI</t>
        </is>
      </c>
      <c r="I1043" t="inlineStr">
        <is>
          <t>Delivered</t>
        </is>
      </c>
      <c r="J1043" t="n">
        <v>109</v>
      </c>
      <c r="K1043" t="n">
        <v>2</v>
      </c>
      <c r="L1043" t="n">
        <v>4199</v>
      </c>
      <c r="M1043" t="n">
        <v>839.8</v>
      </c>
      <c r="N1043">
        <f>VLOOKUP(J1043,Products!$A$2:$C$49,3,FALSE)</f>
        <v/>
      </c>
      <c r="O1043">
        <f>K1043*L1043-M1043</f>
        <v/>
      </c>
      <c r="P1043">
        <f>TEXT(B1043,"yyyy-mm")</f>
        <v/>
      </c>
      <c r="Q1043">
        <f>IF(O1043&gt;=3000,"Large","Small")</f>
        <v/>
      </c>
      <c r="R1043">
        <f>INDEX(Products!$F$2:$F$49,MATCH(J1043,Products!$A$2:$A$49,0))</f>
        <v/>
      </c>
      <c r="S1043">
        <f>WEEKDAY(B1043,2)</f>
        <v/>
      </c>
    </row>
    <row r="1044">
      <c r="A1044" t="n">
        <v>509854</v>
      </c>
      <c r="B1044" s="6" t="n">
        <v>45944</v>
      </c>
      <c r="C1044" t="n">
        <v>16263</v>
      </c>
      <c r="D1044" t="inlineStr">
        <is>
          <t>Jaipur</t>
        </is>
      </c>
      <c r="E1044" t="inlineStr">
        <is>
          <t>North</t>
        </is>
      </c>
      <c r="F1044" t="inlineStr">
        <is>
          <t>Organic Search</t>
        </is>
      </c>
      <c r="G1044" t="inlineStr">
        <is>
          <t>Mobile App</t>
        </is>
      </c>
      <c r="H1044" t="inlineStr">
        <is>
          <t>Cash on Delivery</t>
        </is>
      </c>
      <c r="I1044" t="inlineStr">
        <is>
          <t>Delivered</t>
        </is>
      </c>
      <c r="J1044" t="n">
        <v>131</v>
      </c>
      <c r="K1044" t="n">
        <v>1</v>
      </c>
      <c r="L1044" t="n">
        <v>314</v>
      </c>
      <c r="M1044" t="n">
        <v>31.4</v>
      </c>
      <c r="N1044">
        <f>VLOOKUP(J1044,Products!$A$2:$C$49,3,FALSE)</f>
        <v/>
      </c>
      <c r="O1044">
        <f>K1044*L1044-M1044</f>
        <v/>
      </c>
      <c r="P1044">
        <f>TEXT(B1044,"yyyy-mm")</f>
        <v/>
      </c>
      <c r="Q1044">
        <f>IF(O1044&gt;=3000,"Large","Small")</f>
        <v/>
      </c>
      <c r="R1044">
        <f>INDEX(Products!$F$2:$F$49,MATCH(J1044,Products!$A$2:$A$49,0))</f>
        <v/>
      </c>
      <c r="S1044">
        <f>WEEKDAY(B1044,2)</f>
        <v/>
      </c>
    </row>
    <row r="1045">
      <c r="A1045" t="n">
        <v>509854</v>
      </c>
      <c r="B1045" s="6" t="n">
        <v>45944</v>
      </c>
      <c r="C1045" t="n">
        <v>16263</v>
      </c>
      <c r="D1045" t="inlineStr">
        <is>
          <t>Jaipur</t>
        </is>
      </c>
      <c r="E1045" t="inlineStr">
        <is>
          <t>North</t>
        </is>
      </c>
      <c r="F1045" t="inlineStr">
        <is>
          <t>Organic Search</t>
        </is>
      </c>
      <c r="G1045" t="inlineStr">
        <is>
          <t>Mobile App</t>
        </is>
      </c>
      <c r="H1045" t="inlineStr">
        <is>
          <t>Cash on Delivery</t>
        </is>
      </c>
      <c r="I1045" t="inlineStr">
        <is>
          <t>Delivered</t>
        </is>
      </c>
      <c r="J1045" t="n">
        <v>114</v>
      </c>
      <c r="K1045" t="n">
        <v>1</v>
      </c>
      <c r="L1045" t="n">
        <v>1259</v>
      </c>
      <c r="M1045" t="n">
        <v>125.9</v>
      </c>
      <c r="N1045">
        <f>VLOOKUP(J1045,Products!$A$2:$C$49,3,FALSE)</f>
        <v/>
      </c>
      <c r="O1045">
        <f>K1045*L1045-M1045</f>
        <v/>
      </c>
      <c r="P1045">
        <f>TEXT(B1045,"yyyy-mm")</f>
        <v/>
      </c>
      <c r="Q1045">
        <f>IF(O1045&gt;=3000,"Large","Small")</f>
        <v/>
      </c>
      <c r="R1045">
        <f>INDEX(Products!$F$2:$F$49,MATCH(J1045,Products!$A$2:$A$49,0))</f>
        <v/>
      </c>
      <c r="S1045">
        <f>WEEKDAY(B1045,2)</f>
        <v/>
      </c>
    </row>
    <row r="1046">
      <c r="A1046" t="n">
        <v>509854</v>
      </c>
      <c r="B1046" s="6" t="n">
        <v>45944</v>
      </c>
      <c r="C1046" t="n">
        <v>16263</v>
      </c>
      <c r="D1046" t="inlineStr">
        <is>
          <t>Jaipur</t>
        </is>
      </c>
      <c r="E1046" t="inlineStr">
        <is>
          <t>North</t>
        </is>
      </c>
      <c r="F1046" t="inlineStr">
        <is>
          <t>Organic Search</t>
        </is>
      </c>
      <c r="G1046" t="inlineStr">
        <is>
          <t>Mobile App</t>
        </is>
      </c>
      <c r="H1046" t="inlineStr">
        <is>
          <t>Cash on Delivery</t>
        </is>
      </c>
      <c r="I1046" t="inlineStr">
        <is>
          <t>Delivered</t>
        </is>
      </c>
      <c r="J1046" t="n">
        <v>129</v>
      </c>
      <c r="K1046" t="n">
        <v>1</v>
      </c>
      <c r="L1046" t="n">
        <v>576</v>
      </c>
      <c r="M1046" t="n">
        <v>57.6</v>
      </c>
      <c r="N1046">
        <f>VLOOKUP(J1046,Products!$A$2:$C$49,3,FALSE)</f>
        <v/>
      </c>
      <c r="O1046">
        <f>K1046*L1046-M1046</f>
        <v/>
      </c>
      <c r="P1046">
        <f>TEXT(B1046,"yyyy-mm")</f>
        <v/>
      </c>
      <c r="Q1046">
        <f>IF(O1046&gt;=3000,"Large","Small")</f>
        <v/>
      </c>
      <c r="R1046">
        <f>INDEX(Products!$F$2:$F$49,MATCH(J1046,Products!$A$2:$A$49,0))</f>
        <v/>
      </c>
      <c r="S1046">
        <f>WEEKDAY(B1046,2)</f>
        <v/>
      </c>
    </row>
    <row r="1047">
      <c r="A1047" t="n">
        <v>509855</v>
      </c>
      <c r="B1047" s="6" t="n">
        <v>45944</v>
      </c>
      <c r="C1047" t="n">
        <v>16754</v>
      </c>
      <c r="D1047" t="inlineStr">
        <is>
          <t>Bengaluru</t>
        </is>
      </c>
      <c r="E1047" t="inlineStr">
        <is>
          <t>South</t>
        </is>
      </c>
      <c r="F1047" t="inlineStr">
        <is>
          <t>Organic Search</t>
        </is>
      </c>
      <c r="G1047" t="inlineStr">
        <is>
          <t>Mobile App</t>
        </is>
      </c>
      <c r="H1047" t="inlineStr">
        <is>
          <t>Debit Card</t>
        </is>
      </c>
      <c r="I1047" t="inlineStr">
        <is>
          <t>Delivered</t>
        </is>
      </c>
      <c r="J1047" t="n">
        <v>122</v>
      </c>
      <c r="K1047" t="n">
        <v>1</v>
      </c>
      <c r="L1047" t="n">
        <v>1994</v>
      </c>
      <c r="M1047" t="n">
        <v>0</v>
      </c>
      <c r="N1047">
        <f>VLOOKUP(J1047,Products!$A$2:$C$49,3,FALSE)</f>
        <v/>
      </c>
      <c r="O1047">
        <f>K1047*L1047-M1047</f>
        <v/>
      </c>
      <c r="P1047">
        <f>TEXT(B1047,"yyyy-mm")</f>
        <v/>
      </c>
      <c r="Q1047">
        <f>IF(O1047&gt;=3000,"Large","Small")</f>
        <v/>
      </c>
      <c r="R1047">
        <f>INDEX(Products!$F$2:$F$49,MATCH(J1047,Products!$A$2:$A$49,0))</f>
        <v/>
      </c>
      <c r="S1047">
        <f>WEEKDAY(B1047,2)</f>
        <v/>
      </c>
    </row>
    <row r="1048">
      <c r="A1048" t="n">
        <v>509855</v>
      </c>
      <c r="B1048" s="6" t="n">
        <v>45944</v>
      </c>
      <c r="C1048" t="n">
        <v>16754</v>
      </c>
      <c r="D1048" t="inlineStr">
        <is>
          <t>Bengaluru</t>
        </is>
      </c>
      <c r="E1048" t="inlineStr">
        <is>
          <t>South</t>
        </is>
      </c>
      <c r="F1048" t="inlineStr">
        <is>
          <t>Organic Search</t>
        </is>
      </c>
      <c r="G1048" t="inlineStr">
        <is>
          <t>Mobile App</t>
        </is>
      </c>
      <c r="H1048" t="inlineStr">
        <is>
          <t>Debit Card</t>
        </is>
      </c>
      <c r="I1048" t="inlineStr">
        <is>
          <t>Delivered</t>
        </is>
      </c>
      <c r="J1048" t="n">
        <v>116</v>
      </c>
      <c r="K1048" t="n">
        <v>1</v>
      </c>
      <c r="L1048" t="n">
        <v>2624</v>
      </c>
      <c r="M1048" t="n">
        <v>0</v>
      </c>
      <c r="N1048">
        <f>VLOOKUP(J1048,Products!$A$2:$C$49,3,FALSE)</f>
        <v/>
      </c>
      <c r="O1048">
        <f>K1048*L1048-M1048</f>
        <v/>
      </c>
      <c r="P1048">
        <f>TEXT(B1048,"yyyy-mm")</f>
        <v/>
      </c>
      <c r="Q1048">
        <f>IF(O1048&gt;=3000,"Large","Small")</f>
        <v/>
      </c>
      <c r="R1048">
        <f>INDEX(Products!$F$2:$F$49,MATCH(J1048,Products!$A$2:$A$49,0))</f>
        <v/>
      </c>
      <c r="S1048">
        <f>WEEKDAY(B1048,2)</f>
        <v/>
      </c>
    </row>
    <row r="1049">
      <c r="A1049" t="n">
        <v>509855</v>
      </c>
      <c r="B1049" s="6" t="n">
        <v>45944</v>
      </c>
      <c r="C1049" t="n">
        <v>16754</v>
      </c>
      <c r="D1049" t="inlineStr">
        <is>
          <t>Bengaluru</t>
        </is>
      </c>
      <c r="E1049" t="inlineStr">
        <is>
          <t>South</t>
        </is>
      </c>
      <c r="F1049" t="inlineStr">
        <is>
          <t>Organic Search</t>
        </is>
      </c>
      <c r="G1049" t="inlineStr">
        <is>
          <t>Mobile App</t>
        </is>
      </c>
      <c r="H1049" t="inlineStr">
        <is>
          <t>Debit Card</t>
        </is>
      </c>
      <c r="I1049" t="inlineStr">
        <is>
          <t>Delivered</t>
        </is>
      </c>
      <c r="J1049" t="n">
        <v>129</v>
      </c>
      <c r="K1049" t="n">
        <v>1</v>
      </c>
      <c r="L1049" t="n">
        <v>576</v>
      </c>
      <c r="M1049" t="n">
        <v>0</v>
      </c>
      <c r="N1049">
        <f>VLOOKUP(J1049,Products!$A$2:$C$49,3,FALSE)</f>
        <v/>
      </c>
      <c r="O1049">
        <f>K1049*L1049-M1049</f>
        <v/>
      </c>
      <c r="P1049">
        <f>TEXT(B1049,"yyyy-mm")</f>
        <v/>
      </c>
      <c r="Q1049">
        <f>IF(O1049&gt;=3000,"Large","Small")</f>
        <v/>
      </c>
      <c r="R1049">
        <f>INDEX(Products!$F$2:$F$49,MATCH(J1049,Products!$A$2:$A$49,0))</f>
        <v/>
      </c>
      <c r="S1049">
        <f>WEEKDAY(B1049,2)</f>
        <v/>
      </c>
    </row>
    <row r="1050">
      <c r="A1050" t="n">
        <v>509856</v>
      </c>
      <c r="B1050" s="6" t="n">
        <v>45944</v>
      </c>
      <c r="C1050" t="n">
        <v>14051</v>
      </c>
      <c r="D1050" t="inlineStr">
        <is>
          <t>Hyderabad</t>
        </is>
      </c>
      <c r="E1050" t="inlineStr">
        <is>
          <t>South</t>
        </is>
      </c>
      <c r="F1050" t="inlineStr">
        <is>
          <t>Referral</t>
        </is>
      </c>
      <c r="G1050" t="inlineStr">
        <is>
          <t>Mobile App</t>
        </is>
      </c>
      <c r="H1050" t="inlineStr">
        <is>
          <t>UPI</t>
        </is>
      </c>
      <c r="I1050" t="inlineStr">
        <is>
          <t>Delivered</t>
        </is>
      </c>
      <c r="J1050" t="n">
        <v>141</v>
      </c>
      <c r="K1050" t="n">
        <v>1</v>
      </c>
      <c r="L1050" t="n">
        <v>261</v>
      </c>
      <c r="M1050" t="n">
        <v>0</v>
      </c>
      <c r="N1050">
        <f>VLOOKUP(J1050,Products!$A$2:$C$49,3,FALSE)</f>
        <v/>
      </c>
      <c r="O1050">
        <f>K1050*L1050-M1050</f>
        <v/>
      </c>
      <c r="P1050">
        <f>TEXT(B1050,"yyyy-mm")</f>
        <v/>
      </c>
      <c r="Q1050">
        <f>IF(O1050&gt;=3000,"Large","Small")</f>
        <v/>
      </c>
      <c r="R1050">
        <f>INDEX(Products!$F$2:$F$49,MATCH(J1050,Products!$A$2:$A$49,0))</f>
        <v/>
      </c>
      <c r="S1050">
        <f>WEEKDAY(B1050,2)</f>
        <v/>
      </c>
    </row>
    <row r="1051">
      <c r="A1051" t="n">
        <v>509857</v>
      </c>
      <c r="B1051" s="6" t="n">
        <v>45944</v>
      </c>
      <c r="C1051" t="n">
        <v>16809</v>
      </c>
      <c r="D1051" t="inlineStr">
        <is>
          <t>Bengaluru</t>
        </is>
      </c>
      <c r="E1051" t="inlineStr">
        <is>
          <t>South</t>
        </is>
      </c>
      <c r="F1051" t="inlineStr">
        <is>
          <t>Organic Search</t>
        </is>
      </c>
      <c r="G1051" t="inlineStr">
        <is>
          <t>Desktop</t>
        </is>
      </c>
      <c r="H1051" t="inlineStr">
        <is>
          <t>Cash on Delivery</t>
        </is>
      </c>
      <c r="I1051" t="inlineStr">
        <is>
          <t>Delivered</t>
        </is>
      </c>
      <c r="J1051" t="n">
        <v>112</v>
      </c>
      <c r="K1051" t="n">
        <v>1</v>
      </c>
      <c r="L1051" t="n">
        <v>1574</v>
      </c>
      <c r="M1051" t="n">
        <v>236.1</v>
      </c>
      <c r="N1051">
        <f>VLOOKUP(J1051,Products!$A$2:$C$49,3,FALSE)</f>
        <v/>
      </c>
      <c r="O1051">
        <f>K1051*L1051-M1051</f>
        <v/>
      </c>
      <c r="P1051">
        <f>TEXT(B1051,"yyyy-mm")</f>
        <v/>
      </c>
      <c r="Q1051">
        <f>IF(O1051&gt;=3000,"Large","Small")</f>
        <v/>
      </c>
      <c r="R1051">
        <f>INDEX(Products!$F$2:$F$49,MATCH(J1051,Products!$A$2:$A$49,0))</f>
        <v/>
      </c>
      <c r="S1051">
        <f>WEEKDAY(B1051,2)</f>
        <v/>
      </c>
    </row>
    <row r="1052">
      <c r="A1052" t="n">
        <v>509858</v>
      </c>
      <c r="B1052" s="6" t="n">
        <v>45944</v>
      </c>
      <c r="C1052" t="n">
        <v>14822</v>
      </c>
      <c r="D1052" t="inlineStr">
        <is>
          <t>Chennai</t>
        </is>
      </c>
      <c r="E1052" t="inlineStr">
        <is>
          <t>South</t>
        </is>
      </c>
      <c r="F1052" t="inlineStr">
        <is>
          <t>Affiliate</t>
        </is>
      </c>
      <c r="G1052" t="inlineStr">
        <is>
          <t>Mobile App</t>
        </is>
      </c>
      <c r="H1052" t="inlineStr">
        <is>
          <t>UPI</t>
        </is>
      </c>
      <c r="I1052" t="inlineStr">
        <is>
          <t>Delivered</t>
        </is>
      </c>
      <c r="J1052" t="n">
        <v>128</v>
      </c>
      <c r="K1052" t="n">
        <v>1</v>
      </c>
      <c r="L1052" t="n">
        <v>1049</v>
      </c>
      <c r="M1052" t="n">
        <v>104.9</v>
      </c>
      <c r="N1052">
        <f>VLOOKUP(J1052,Products!$A$2:$C$49,3,FALSE)</f>
        <v/>
      </c>
      <c r="O1052">
        <f>K1052*L1052-M1052</f>
        <v/>
      </c>
      <c r="P1052">
        <f>TEXT(B1052,"yyyy-mm")</f>
        <v/>
      </c>
      <c r="Q1052">
        <f>IF(O1052&gt;=3000,"Large","Small")</f>
        <v/>
      </c>
      <c r="R1052">
        <f>INDEX(Products!$F$2:$F$49,MATCH(J1052,Products!$A$2:$A$49,0))</f>
        <v/>
      </c>
      <c r="S1052">
        <f>WEEKDAY(B1052,2)</f>
        <v/>
      </c>
    </row>
    <row r="1053">
      <c r="A1053" t="n">
        <v>509858</v>
      </c>
      <c r="B1053" s="6" t="n">
        <v>45944</v>
      </c>
      <c r="C1053" t="n">
        <v>14822</v>
      </c>
      <c r="D1053" t="inlineStr">
        <is>
          <t>Chennai</t>
        </is>
      </c>
      <c r="E1053" t="inlineStr">
        <is>
          <t>South</t>
        </is>
      </c>
      <c r="F1053" t="inlineStr">
        <is>
          <t>Affiliate</t>
        </is>
      </c>
      <c r="G1053" t="inlineStr">
        <is>
          <t>Mobile App</t>
        </is>
      </c>
      <c r="H1053" t="inlineStr">
        <is>
          <t>UPI</t>
        </is>
      </c>
      <c r="I1053" t="inlineStr">
        <is>
          <t>Delivered</t>
        </is>
      </c>
      <c r="J1053" t="n">
        <v>129</v>
      </c>
      <c r="K1053" t="n">
        <v>1</v>
      </c>
      <c r="L1053" t="n">
        <v>576</v>
      </c>
      <c r="M1053" t="n">
        <v>57.6</v>
      </c>
      <c r="N1053">
        <f>VLOOKUP(J1053,Products!$A$2:$C$49,3,FALSE)</f>
        <v/>
      </c>
      <c r="O1053">
        <f>K1053*L1053-M1053</f>
        <v/>
      </c>
      <c r="P1053">
        <f>TEXT(B1053,"yyyy-mm")</f>
        <v/>
      </c>
      <c r="Q1053">
        <f>IF(O1053&gt;=3000,"Large","Small")</f>
        <v/>
      </c>
      <c r="R1053">
        <f>INDEX(Products!$F$2:$F$49,MATCH(J1053,Products!$A$2:$A$49,0))</f>
        <v/>
      </c>
      <c r="S1053">
        <f>WEEKDAY(B1053,2)</f>
        <v/>
      </c>
    </row>
    <row r="1054">
      <c r="A1054" t="n">
        <v>509859</v>
      </c>
      <c r="B1054" s="6" t="n">
        <v>45944</v>
      </c>
      <c r="C1054" t="n">
        <v>11488</v>
      </c>
      <c r="D1054" t="inlineStr">
        <is>
          <t>Kolkata</t>
        </is>
      </c>
      <c r="E1054" t="inlineStr">
        <is>
          <t>East</t>
        </is>
      </c>
      <c r="F1054" t="inlineStr">
        <is>
          <t>Organic Search</t>
        </is>
      </c>
      <c r="G1054" t="inlineStr">
        <is>
          <t>Desktop</t>
        </is>
      </c>
      <c r="H1054" t="inlineStr">
        <is>
          <t>Cash on Delivery</t>
        </is>
      </c>
      <c r="I1054" t="inlineStr">
        <is>
          <t>Delivered</t>
        </is>
      </c>
      <c r="J1054" t="n">
        <v>138</v>
      </c>
      <c r="K1054" t="n">
        <v>1</v>
      </c>
      <c r="L1054" t="n">
        <v>419</v>
      </c>
      <c r="M1054" t="n">
        <v>41.9</v>
      </c>
      <c r="N1054">
        <f>VLOOKUP(J1054,Products!$A$2:$C$49,3,FALSE)</f>
        <v/>
      </c>
      <c r="O1054">
        <f>K1054*L1054-M1054</f>
        <v/>
      </c>
      <c r="P1054">
        <f>TEXT(B1054,"yyyy-mm")</f>
        <v/>
      </c>
      <c r="Q1054">
        <f>IF(O1054&gt;=3000,"Large","Small")</f>
        <v/>
      </c>
      <c r="R1054">
        <f>INDEX(Products!$F$2:$F$49,MATCH(J1054,Products!$A$2:$A$49,0))</f>
        <v/>
      </c>
      <c r="S1054">
        <f>WEEKDAY(B1054,2)</f>
        <v/>
      </c>
    </row>
    <row r="1055">
      <c r="A1055" t="n">
        <v>509859</v>
      </c>
      <c r="B1055" s="6" t="n">
        <v>45944</v>
      </c>
      <c r="C1055" t="n">
        <v>11488</v>
      </c>
      <c r="D1055" t="inlineStr">
        <is>
          <t>Kolkata</t>
        </is>
      </c>
      <c r="E1055" t="inlineStr">
        <is>
          <t>East</t>
        </is>
      </c>
      <c r="F1055" t="inlineStr">
        <is>
          <t>Organic Search</t>
        </is>
      </c>
      <c r="G1055" t="inlineStr">
        <is>
          <t>Desktop</t>
        </is>
      </c>
      <c r="H1055" t="inlineStr">
        <is>
          <t>Cash on Delivery</t>
        </is>
      </c>
      <c r="I1055" t="inlineStr">
        <is>
          <t>Delivered</t>
        </is>
      </c>
      <c r="J1055" t="n">
        <v>129</v>
      </c>
      <c r="K1055" t="n">
        <v>1</v>
      </c>
      <c r="L1055" t="n">
        <v>576</v>
      </c>
      <c r="M1055" t="n">
        <v>57.6</v>
      </c>
      <c r="N1055">
        <f>VLOOKUP(J1055,Products!$A$2:$C$49,3,FALSE)</f>
        <v/>
      </c>
      <c r="O1055">
        <f>K1055*L1055-M1055</f>
        <v/>
      </c>
      <c r="P1055">
        <f>TEXT(B1055,"yyyy-mm")</f>
        <v/>
      </c>
      <c r="Q1055">
        <f>IF(O1055&gt;=3000,"Large","Small")</f>
        <v/>
      </c>
      <c r="R1055">
        <f>INDEX(Products!$F$2:$F$49,MATCH(J1055,Products!$A$2:$A$49,0))</f>
        <v/>
      </c>
      <c r="S1055">
        <f>WEEKDAY(B1055,2)</f>
        <v/>
      </c>
    </row>
    <row r="1056">
      <c r="A1056" t="n">
        <v>509860</v>
      </c>
      <c r="B1056" s="6" t="n">
        <v>45944</v>
      </c>
      <c r="C1056" t="n">
        <v>14343</v>
      </c>
      <c r="D1056" t="inlineStr">
        <is>
          <t>Kolkata</t>
        </is>
      </c>
      <c r="E1056" t="inlineStr">
        <is>
          <t>East</t>
        </is>
      </c>
      <c r="F1056" t="inlineStr">
        <is>
          <t>Paid Search</t>
        </is>
      </c>
      <c r="G1056" t="inlineStr">
        <is>
          <t>Mobile Web</t>
        </is>
      </c>
      <c r="H1056" t="inlineStr">
        <is>
          <t>UPI</t>
        </is>
      </c>
      <c r="I1056" t="inlineStr">
        <is>
          <t>Cancelled</t>
        </is>
      </c>
      <c r="J1056" t="n">
        <v>140</v>
      </c>
      <c r="K1056" t="n">
        <v>1</v>
      </c>
      <c r="L1056" t="n">
        <v>629</v>
      </c>
      <c r="M1056" t="n">
        <v>0</v>
      </c>
      <c r="N1056">
        <f>VLOOKUP(J1056,Products!$A$2:$C$49,3,FALSE)</f>
        <v/>
      </c>
      <c r="O1056">
        <f>K1056*L1056-M1056</f>
        <v/>
      </c>
      <c r="P1056">
        <f>TEXT(B1056,"yyyy-mm")</f>
        <v/>
      </c>
      <c r="Q1056">
        <f>IF(O1056&gt;=3000,"Large","Small")</f>
        <v/>
      </c>
      <c r="R1056">
        <f>INDEX(Products!$F$2:$F$49,MATCH(J1056,Products!$A$2:$A$49,0))</f>
        <v/>
      </c>
      <c r="S1056">
        <f>WEEKDAY(B1056,2)</f>
        <v/>
      </c>
    </row>
    <row r="1057">
      <c r="A1057" t="n">
        <v>509861</v>
      </c>
      <c r="B1057" s="6" t="n">
        <v>45944</v>
      </c>
      <c r="C1057" t="n">
        <v>10781</v>
      </c>
      <c r="D1057" t="inlineStr">
        <is>
          <t>Delhi</t>
        </is>
      </c>
      <c r="E1057" t="inlineStr">
        <is>
          <t>North</t>
        </is>
      </c>
      <c r="F1057" t="inlineStr">
        <is>
          <t>Referral</t>
        </is>
      </c>
      <c r="G1057" t="inlineStr">
        <is>
          <t>Mobile App</t>
        </is>
      </c>
      <c r="H1057" t="inlineStr">
        <is>
          <t>Cash on Delivery</t>
        </is>
      </c>
      <c r="I1057" t="inlineStr">
        <is>
          <t>Delivered</t>
        </is>
      </c>
      <c r="J1057" t="n">
        <v>107</v>
      </c>
      <c r="K1057" t="n">
        <v>1</v>
      </c>
      <c r="L1057" t="n">
        <v>1259</v>
      </c>
      <c r="M1057" t="n">
        <v>125.9</v>
      </c>
      <c r="N1057">
        <f>VLOOKUP(J1057,Products!$A$2:$C$49,3,FALSE)</f>
        <v/>
      </c>
      <c r="O1057">
        <f>K1057*L1057-M1057</f>
        <v/>
      </c>
      <c r="P1057">
        <f>TEXT(B1057,"yyyy-mm")</f>
        <v/>
      </c>
      <c r="Q1057">
        <f>IF(O1057&gt;=3000,"Large","Small")</f>
        <v/>
      </c>
      <c r="R1057">
        <f>INDEX(Products!$F$2:$F$49,MATCH(J1057,Products!$A$2:$A$49,0))</f>
        <v/>
      </c>
      <c r="S1057">
        <f>WEEKDAY(B1057,2)</f>
        <v/>
      </c>
    </row>
    <row r="1058">
      <c r="A1058" t="n">
        <v>509862</v>
      </c>
      <c r="B1058" s="6" t="n">
        <v>45944</v>
      </c>
      <c r="C1058" t="n">
        <v>11134</v>
      </c>
      <c r="D1058" t="inlineStr">
        <is>
          <t>Gurugram</t>
        </is>
      </c>
      <c r="E1058" t="inlineStr">
        <is>
          <t>North</t>
        </is>
      </c>
      <c r="F1058" t="inlineStr">
        <is>
          <t>Organic Search</t>
        </is>
      </c>
      <c r="G1058" t="inlineStr">
        <is>
          <t>Mobile Web</t>
        </is>
      </c>
      <c r="H1058" t="inlineStr">
        <is>
          <t>Cash on Delivery</t>
        </is>
      </c>
      <c r="I1058" t="inlineStr">
        <is>
          <t>Delivered</t>
        </is>
      </c>
      <c r="J1058" t="n">
        <v>110</v>
      </c>
      <c r="K1058" t="n">
        <v>1</v>
      </c>
      <c r="L1058" t="n">
        <v>839</v>
      </c>
      <c r="M1058" t="n">
        <v>0</v>
      </c>
      <c r="N1058">
        <f>VLOOKUP(J1058,Products!$A$2:$C$49,3,FALSE)</f>
        <v/>
      </c>
      <c r="O1058">
        <f>K1058*L1058-M1058</f>
        <v/>
      </c>
      <c r="P1058">
        <f>TEXT(B1058,"yyyy-mm")</f>
        <v/>
      </c>
      <c r="Q1058">
        <f>IF(O1058&gt;=3000,"Large","Small")</f>
        <v/>
      </c>
      <c r="R1058">
        <f>INDEX(Products!$F$2:$F$49,MATCH(J1058,Products!$A$2:$A$49,0))</f>
        <v/>
      </c>
      <c r="S1058">
        <f>WEEKDAY(B1058,2)</f>
        <v/>
      </c>
    </row>
    <row r="1059">
      <c r="A1059" t="n">
        <v>509863</v>
      </c>
      <c r="B1059" s="6" t="n">
        <v>45944</v>
      </c>
      <c r="C1059" t="n">
        <v>16327</v>
      </c>
      <c r="D1059" t="inlineStr">
        <is>
          <t>Bengaluru</t>
        </is>
      </c>
      <c r="E1059" t="inlineStr">
        <is>
          <t>South</t>
        </is>
      </c>
      <c r="F1059" t="inlineStr">
        <is>
          <t>Referral</t>
        </is>
      </c>
      <c r="G1059" t="inlineStr">
        <is>
          <t>Mobile App</t>
        </is>
      </c>
      <c r="H1059" t="inlineStr">
        <is>
          <t>UPI</t>
        </is>
      </c>
      <c r="I1059" t="inlineStr">
        <is>
          <t>Delivered</t>
        </is>
      </c>
      <c r="J1059" t="n">
        <v>143</v>
      </c>
      <c r="K1059" t="n">
        <v>1</v>
      </c>
      <c r="L1059" t="n">
        <v>839</v>
      </c>
      <c r="M1059" t="n">
        <v>83.90000000000001</v>
      </c>
      <c r="N1059">
        <f>VLOOKUP(J1059,Products!$A$2:$C$49,3,FALSE)</f>
        <v/>
      </c>
      <c r="O1059">
        <f>K1059*L1059-M1059</f>
        <v/>
      </c>
      <c r="P1059">
        <f>TEXT(B1059,"yyyy-mm")</f>
        <v/>
      </c>
      <c r="Q1059">
        <f>IF(O1059&gt;=3000,"Large","Small")</f>
        <v/>
      </c>
      <c r="R1059">
        <f>INDEX(Products!$F$2:$F$49,MATCH(J1059,Products!$A$2:$A$49,0))</f>
        <v/>
      </c>
      <c r="S1059">
        <f>WEEKDAY(B1059,2)</f>
        <v/>
      </c>
    </row>
    <row r="1060">
      <c r="A1060" t="n">
        <v>509864</v>
      </c>
      <c r="B1060" s="6" t="n">
        <v>45944</v>
      </c>
      <c r="C1060" t="n">
        <v>14810</v>
      </c>
      <c r="D1060" t="inlineStr">
        <is>
          <t>Chandigarh</t>
        </is>
      </c>
      <c r="E1060" t="inlineStr">
        <is>
          <t>North</t>
        </is>
      </c>
      <c r="F1060" t="inlineStr">
        <is>
          <t>Paid Search</t>
        </is>
      </c>
      <c r="G1060" t="inlineStr">
        <is>
          <t>Mobile App</t>
        </is>
      </c>
      <c r="H1060" t="inlineStr">
        <is>
          <t>UPI</t>
        </is>
      </c>
      <c r="I1060" t="inlineStr">
        <is>
          <t>Delivered</t>
        </is>
      </c>
      <c r="J1060" t="n">
        <v>109</v>
      </c>
      <c r="K1060" t="n">
        <v>1</v>
      </c>
      <c r="L1060" t="n">
        <v>4199</v>
      </c>
      <c r="M1060" t="n">
        <v>419.9</v>
      </c>
      <c r="N1060">
        <f>VLOOKUP(J1060,Products!$A$2:$C$49,3,FALSE)</f>
        <v/>
      </c>
      <c r="O1060">
        <f>K1060*L1060-M1060</f>
        <v/>
      </c>
      <c r="P1060">
        <f>TEXT(B1060,"yyyy-mm")</f>
        <v/>
      </c>
      <c r="Q1060">
        <f>IF(O1060&gt;=3000,"Large","Small")</f>
        <v/>
      </c>
      <c r="R1060">
        <f>INDEX(Products!$F$2:$F$49,MATCH(J1060,Products!$A$2:$A$49,0))</f>
        <v/>
      </c>
      <c r="S1060">
        <f>WEEKDAY(B1060,2)</f>
        <v/>
      </c>
    </row>
    <row r="1061">
      <c r="A1061" t="n">
        <v>509865</v>
      </c>
      <c r="B1061" s="6" t="n">
        <v>45944</v>
      </c>
      <c r="C1061" t="n">
        <v>16785</v>
      </c>
      <c r="D1061" t="inlineStr">
        <is>
          <t>Delhi</t>
        </is>
      </c>
      <c r="E1061" t="inlineStr">
        <is>
          <t>North</t>
        </is>
      </c>
      <c r="F1061" t="inlineStr">
        <is>
          <t>Organic Search</t>
        </is>
      </c>
      <c r="G1061" t="inlineStr">
        <is>
          <t>Mobile App</t>
        </is>
      </c>
      <c r="H1061" t="inlineStr">
        <is>
          <t>Credit Card</t>
        </is>
      </c>
      <c r="I1061" t="inlineStr">
        <is>
          <t>Delivered</t>
        </is>
      </c>
      <c r="J1061" t="n">
        <v>106</v>
      </c>
      <c r="K1061" t="n">
        <v>1</v>
      </c>
      <c r="L1061" t="n">
        <v>1574</v>
      </c>
      <c r="M1061" t="n">
        <v>157.4</v>
      </c>
      <c r="N1061">
        <f>VLOOKUP(J1061,Products!$A$2:$C$49,3,FALSE)</f>
        <v/>
      </c>
      <c r="O1061">
        <f>K1061*L1061-M1061</f>
        <v/>
      </c>
      <c r="P1061">
        <f>TEXT(B1061,"yyyy-mm")</f>
        <v/>
      </c>
      <c r="Q1061">
        <f>IF(O1061&gt;=3000,"Large","Small")</f>
        <v/>
      </c>
      <c r="R1061">
        <f>INDEX(Products!$F$2:$F$49,MATCH(J1061,Products!$A$2:$A$49,0))</f>
        <v/>
      </c>
      <c r="S1061">
        <f>WEEKDAY(B1061,2)</f>
        <v/>
      </c>
    </row>
    <row r="1062">
      <c r="A1062" t="n">
        <v>509866</v>
      </c>
      <c r="B1062" s="6" t="n">
        <v>45944</v>
      </c>
      <c r="C1062" t="n">
        <v>12536</v>
      </c>
      <c r="D1062" t="inlineStr">
        <is>
          <t>Bengaluru</t>
        </is>
      </c>
      <c r="E1062" t="inlineStr">
        <is>
          <t>South</t>
        </is>
      </c>
      <c r="F1062" t="inlineStr">
        <is>
          <t>Organic Search</t>
        </is>
      </c>
      <c r="G1062" t="inlineStr">
        <is>
          <t>Desktop</t>
        </is>
      </c>
      <c r="H1062" t="inlineStr">
        <is>
          <t>UPI</t>
        </is>
      </c>
      <c r="I1062" t="inlineStr">
        <is>
          <t>Delivered</t>
        </is>
      </c>
      <c r="J1062" t="n">
        <v>119</v>
      </c>
      <c r="K1062" t="n">
        <v>1</v>
      </c>
      <c r="L1062" t="n">
        <v>2309</v>
      </c>
      <c r="M1062" t="n">
        <v>0</v>
      </c>
      <c r="N1062">
        <f>VLOOKUP(J1062,Products!$A$2:$C$49,3,FALSE)</f>
        <v/>
      </c>
      <c r="O1062">
        <f>K1062*L1062-M1062</f>
        <v/>
      </c>
      <c r="P1062">
        <f>TEXT(B1062,"yyyy-mm")</f>
        <v/>
      </c>
      <c r="Q1062">
        <f>IF(O1062&gt;=3000,"Large","Small")</f>
        <v/>
      </c>
      <c r="R1062">
        <f>INDEX(Products!$F$2:$F$49,MATCH(J1062,Products!$A$2:$A$49,0))</f>
        <v/>
      </c>
      <c r="S1062">
        <f>WEEKDAY(B1062,2)</f>
        <v/>
      </c>
    </row>
    <row r="1063">
      <c r="A1063" t="n">
        <v>509866</v>
      </c>
      <c r="B1063" s="6" t="n">
        <v>45944</v>
      </c>
      <c r="C1063" t="n">
        <v>12536</v>
      </c>
      <c r="D1063" t="inlineStr">
        <is>
          <t>Bengaluru</t>
        </is>
      </c>
      <c r="E1063" t="inlineStr">
        <is>
          <t>South</t>
        </is>
      </c>
      <c r="F1063" t="inlineStr">
        <is>
          <t>Organic Search</t>
        </is>
      </c>
      <c r="G1063" t="inlineStr">
        <is>
          <t>Desktop</t>
        </is>
      </c>
      <c r="H1063" t="inlineStr">
        <is>
          <t>UPI</t>
        </is>
      </c>
      <c r="I1063" t="inlineStr">
        <is>
          <t>Delivered</t>
        </is>
      </c>
      <c r="J1063" t="n">
        <v>129</v>
      </c>
      <c r="K1063" t="n">
        <v>1</v>
      </c>
      <c r="L1063" t="n">
        <v>576</v>
      </c>
      <c r="M1063" t="n">
        <v>0</v>
      </c>
      <c r="N1063">
        <f>VLOOKUP(J1063,Products!$A$2:$C$49,3,FALSE)</f>
        <v/>
      </c>
      <c r="O1063">
        <f>K1063*L1063-M1063</f>
        <v/>
      </c>
      <c r="P1063">
        <f>TEXT(B1063,"yyyy-mm")</f>
        <v/>
      </c>
      <c r="Q1063">
        <f>IF(O1063&gt;=3000,"Large","Small")</f>
        <v/>
      </c>
      <c r="R1063">
        <f>INDEX(Products!$F$2:$F$49,MATCH(J1063,Products!$A$2:$A$49,0))</f>
        <v/>
      </c>
      <c r="S1063">
        <f>WEEKDAY(B1063,2)</f>
        <v/>
      </c>
    </row>
    <row r="1064">
      <c r="A1064" t="n">
        <v>509867</v>
      </c>
      <c r="B1064" s="6" t="n">
        <v>45944</v>
      </c>
      <c r="C1064" t="n">
        <v>15516</v>
      </c>
      <c r="D1064" t="inlineStr">
        <is>
          <t>Pune</t>
        </is>
      </c>
      <c r="E1064" t="inlineStr">
        <is>
          <t>West</t>
        </is>
      </c>
      <c r="F1064" t="inlineStr">
        <is>
          <t>Paid Search</t>
        </is>
      </c>
      <c r="G1064" t="inlineStr">
        <is>
          <t>Mobile App</t>
        </is>
      </c>
      <c r="H1064" t="inlineStr">
        <is>
          <t>UPI</t>
        </is>
      </c>
      <c r="I1064" t="inlineStr">
        <is>
          <t>Delivered</t>
        </is>
      </c>
      <c r="J1064" t="n">
        <v>136</v>
      </c>
      <c r="K1064" t="n">
        <v>2</v>
      </c>
      <c r="L1064" t="n">
        <v>944</v>
      </c>
      <c r="M1064" t="n">
        <v>0</v>
      </c>
      <c r="N1064">
        <f>VLOOKUP(J1064,Products!$A$2:$C$49,3,FALSE)</f>
        <v/>
      </c>
      <c r="O1064">
        <f>K1064*L1064-M1064</f>
        <v/>
      </c>
      <c r="P1064">
        <f>TEXT(B1064,"yyyy-mm")</f>
        <v/>
      </c>
      <c r="Q1064">
        <f>IF(O1064&gt;=3000,"Large","Small")</f>
        <v/>
      </c>
      <c r="R1064">
        <f>INDEX(Products!$F$2:$F$49,MATCH(J1064,Products!$A$2:$A$49,0))</f>
        <v/>
      </c>
      <c r="S1064">
        <f>WEEKDAY(B1064,2)</f>
        <v/>
      </c>
    </row>
    <row r="1065">
      <c r="A1065" t="n">
        <v>509868</v>
      </c>
      <c r="B1065" s="6" t="n">
        <v>45944</v>
      </c>
      <c r="C1065" t="n">
        <v>13953</v>
      </c>
      <c r="D1065" t="inlineStr">
        <is>
          <t>Mumbai</t>
        </is>
      </c>
      <c r="E1065" t="inlineStr">
        <is>
          <t>West</t>
        </is>
      </c>
      <c r="F1065" t="inlineStr">
        <is>
          <t>Paid Search</t>
        </is>
      </c>
      <c r="G1065" t="inlineStr">
        <is>
          <t>Mobile App</t>
        </is>
      </c>
      <c r="H1065" t="inlineStr">
        <is>
          <t>UPI</t>
        </is>
      </c>
      <c r="I1065" t="inlineStr">
        <is>
          <t>Returned</t>
        </is>
      </c>
      <c r="J1065" t="n">
        <v>116</v>
      </c>
      <c r="K1065" t="n">
        <v>1</v>
      </c>
      <c r="L1065" t="n">
        <v>2624</v>
      </c>
      <c r="M1065" t="n">
        <v>131.2</v>
      </c>
      <c r="N1065">
        <f>VLOOKUP(J1065,Products!$A$2:$C$49,3,FALSE)</f>
        <v/>
      </c>
      <c r="O1065">
        <f>K1065*L1065-M1065</f>
        <v/>
      </c>
      <c r="P1065">
        <f>TEXT(B1065,"yyyy-mm")</f>
        <v/>
      </c>
      <c r="Q1065">
        <f>IF(O1065&gt;=3000,"Large","Small")</f>
        <v/>
      </c>
      <c r="R1065">
        <f>INDEX(Products!$F$2:$F$49,MATCH(J1065,Products!$A$2:$A$49,0))</f>
        <v/>
      </c>
      <c r="S1065">
        <f>WEEKDAY(B1065,2)</f>
        <v/>
      </c>
    </row>
    <row r="1066">
      <c r="A1066" t="n">
        <v>509869</v>
      </c>
      <c r="B1066" s="6" t="n">
        <v>45944</v>
      </c>
      <c r="C1066" t="n">
        <v>11594</v>
      </c>
      <c r="D1066" t="inlineStr">
        <is>
          <t>Hyderabad</t>
        </is>
      </c>
      <c r="E1066" t="inlineStr">
        <is>
          <t>South</t>
        </is>
      </c>
      <c r="F1066" t="inlineStr">
        <is>
          <t>Organic Search</t>
        </is>
      </c>
      <c r="G1066" t="inlineStr">
        <is>
          <t>Mobile App</t>
        </is>
      </c>
      <c r="H1066" t="inlineStr">
        <is>
          <t>UPI</t>
        </is>
      </c>
      <c r="I1066" t="inlineStr">
        <is>
          <t>Delivered</t>
        </is>
      </c>
      <c r="J1066" t="n">
        <v>135</v>
      </c>
      <c r="K1066" t="n">
        <v>1</v>
      </c>
      <c r="L1066" t="n">
        <v>1574</v>
      </c>
      <c r="M1066" t="n">
        <v>0</v>
      </c>
      <c r="N1066">
        <f>VLOOKUP(J1066,Products!$A$2:$C$49,3,FALSE)</f>
        <v/>
      </c>
      <c r="O1066">
        <f>K1066*L1066-M1066</f>
        <v/>
      </c>
      <c r="P1066">
        <f>TEXT(B1066,"yyyy-mm")</f>
        <v/>
      </c>
      <c r="Q1066">
        <f>IF(O1066&gt;=3000,"Large","Small")</f>
        <v/>
      </c>
      <c r="R1066">
        <f>INDEX(Products!$F$2:$F$49,MATCH(J1066,Products!$A$2:$A$49,0))</f>
        <v/>
      </c>
      <c r="S1066">
        <f>WEEKDAY(B1066,2)</f>
        <v/>
      </c>
    </row>
    <row r="1067">
      <c r="A1067" t="n">
        <v>509869</v>
      </c>
      <c r="B1067" s="6" t="n">
        <v>45944</v>
      </c>
      <c r="C1067" t="n">
        <v>11594</v>
      </c>
      <c r="D1067" t="inlineStr">
        <is>
          <t>Hyderabad</t>
        </is>
      </c>
      <c r="E1067" t="inlineStr">
        <is>
          <t>South</t>
        </is>
      </c>
      <c r="F1067" t="inlineStr">
        <is>
          <t>Organic Search</t>
        </is>
      </c>
      <c r="G1067" t="inlineStr">
        <is>
          <t>Mobile App</t>
        </is>
      </c>
      <c r="H1067" t="inlineStr">
        <is>
          <t>UPI</t>
        </is>
      </c>
      <c r="I1067" t="inlineStr">
        <is>
          <t>Delivered</t>
        </is>
      </c>
      <c r="J1067" t="n">
        <v>108</v>
      </c>
      <c r="K1067" t="n">
        <v>1</v>
      </c>
      <c r="L1067" t="n">
        <v>419</v>
      </c>
      <c r="M1067" t="n">
        <v>0</v>
      </c>
      <c r="N1067">
        <f>VLOOKUP(J1067,Products!$A$2:$C$49,3,FALSE)</f>
        <v/>
      </c>
      <c r="O1067">
        <f>K1067*L1067-M1067</f>
        <v/>
      </c>
      <c r="P1067">
        <f>TEXT(B1067,"yyyy-mm")</f>
        <v/>
      </c>
      <c r="Q1067">
        <f>IF(O1067&gt;=3000,"Large","Small")</f>
        <v/>
      </c>
      <c r="R1067">
        <f>INDEX(Products!$F$2:$F$49,MATCH(J1067,Products!$A$2:$A$49,0))</f>
        <v/>
      </c>
      <c r="S1067">
        <f>WEEKDAY(B1067,2)</f>
        <v/>
      </c>
    </row>
    <row r="1068">
      <c r="A1068" t="n">
        <v>509869</v>
      </c>
      <c r="B1068" s="6" t="n">
        <v>45944</v>
      </c>
      <c r="C1068" t="n">
        <v>11594</v>
      </c>
      <c r="D1068" t="inlineStr">
        <is>
          <t>Hyderabad</t>
        </is>
      </c>
      <c r="E1068" t="inlineStr">
        <is>
          <t>South</t>
        </is>
      </c>
      <c r="F1068" t="inlineStr">
        <is>
          <t>Organic Search</t>
        </is>
      </c>
      <c r="G1068" t="inlineStr">
        <is>
          <t>Mobile App</t>
        </is>
      </c>
      <c r="H1068" t="inlineStr">
        <is>
          <t>UPI</t>
        </is>
      </c>
      <c r="I1068" t="inlineStr">
        <is>
          <t>Delivered</t>
        </is>
      </c>
      <c r="J1068" t="n">
        <v>146</v>
      </c>
      <c r="K1068" t="n">
        <v>1</v>
      </c>
      <c r="L1068" t="n">
        <v>4724</v>
      </c>
      <c r="M1068" t="n">
        <v>0</v>
      </c>
      <c r="N1068">
        <f>VLOOKUP(J1068,Products!$A$2:$C$49,3,FALSE)</f>
        <v/>
      </c>
      <c r="O1068">
        <f>K1068*L1068-M1068</f>
        <v/>
      </c>
      <c r="P1068">
        <f>TEXT(B1068,"yyyy-mm")</f>
        <v/>
      </c>
      <c r="Q1068">
        <f>IF(O1068&gt;=3000,"Large","Small")</f>
        <v/>
      </c>
      <c r="R1068">
        <f>INDEX(Products!$F$2:$F$49,MATCH(J1068,Products!$A$2:$A$49,0))</f>
        <v/>
      </c>
      <c r="S1068">
        <f>WEEKDAY(B1068,2)</f>
        <v/>
      </c>
    </row>
    <row r="1069">
      <c r="A1069" t="n">
        <v>509870</v>
      </c>
      <c r="B1069" s="6" t="n">
        <v>45944</v>
      </c>
      <c r="C1069" t="n">
        <v>16812</v>
      </c>
      <c r="D1069" t="inlineStr">
        <is>
          <t>Gurugram</t>
        </is>
      </c>
      <c r="E1069" t="inlineStr">
        <is>
          <t>North</t>
        </is>
      </c>
      <c r="F1069" t="inlineStr">
        <is>
          <t>Paid Social</t>
        </is>
      </c>
      <c r="G1069" t="inlineStr">
        <is>
          <t>Mobile Web</t>
        </is>
      </c>
      <c r="H1069" t="inlineStr">
        <is>
          <t>UPI</t>
        </is>
      </c>
      <c r="I1069" t="inlineStr">
        <is>
          <t>Delivered</t>
        </is>
      </c>
      <c r="J1069" t="n">
        <v>104</v>
      </c>
      <c r="K1069" t="n">
        <v>1</v>
      </c>
      <c r="L1069" t="n">
        <v>5249</v>
      </c>
      <c r="M1069" t="n">
        <v>0</v>
      </c>
      <c r="N1069">
        <f>VLOOKUP(J1069,Products!$A$2:$C$49,3,FALSE)</f>
        <v/>
      </c>
      <c r="O1069">
        <f>K1069*L1069-M1069</f>
        <v/>
      </c>
      <c r="P1069">
        <f>TEXT(B1069,"yyyy-mm")</f>
        <v/>
      </c>
      <c r="Q1069">
        <f>IF(O1069&gt;=3000,"Large","Small")</f>
        <v/>
      </c>
      <c r="R1069">
        <f>INDEX(Products!$F$2:$F$49,MATCH(J1069,Products!$A$2:$A$49,0))</f>
        <v/>
      </c>
      <c r="S1069">
        <f>WEEKDAY(B1069,2)</f>
        <v/>
      </c>
    </row>
    <row r="1070">
      <c r="A1070" t="n">
        <v>509870</v>
      </c>
      <c r="B1070" s="6" t="n">
        <v>45944</v>
      </c>
      <c r="C1070" t="n">
        <v>16812</v>
      </c>
      <c r="D1070" t="inlineStr">
        <is>
          <t>Gurugram</t>
        </is>
      </c>
      <c r="E1070" t="inlineStr">
        <is>
          <t>North</t>
        </is>
      </c>
      <c r="F1070" t="inlineStr">
        <is>
          <t>Paid Social</t>
        </is>
      </c>
      <c r="G1070" t="inlineStr">
        <is>
          <t>Mobile Web</t>
        </is>
      </c>
      <c r="H1070" t="inlineStr">
        <is>
          <t>UPI</t>
        </is>
      </c>
      <c r="I1070" t="inlineStr">
        <is>
          <t>Delivered</t>
        </is>
      </c>
      <c r="J1070" t="n">
        <v>129</v>
      </c>
      <c r="K1070" t="n">
        <v>1</v>
      </c>
      <c r="L1070" t="n">
        <v>576</v>
      </c>
      <c r="M1070" t="n">
        <v>0</v>
      </c>
      <c r="N1070">
        <f>VLOOKUP(J1070,Products!$A$2:$C$49,3,FALSE)</f>
        <v/>
      </c>
      <c r="O1070">
        <f>K1070*L1070-M1070</f>
        <v/>
      </c>
      <c r="P1070">
        <f>TEXT(B1070,"yyyy-mm")</f>
        <v/>
      </c>
      <c r="Q1070">
        <f>IF(O1070&gt;=3000,"Large","Small")</f>
        <v/>
      </c>
      <c r="R1070">
        <f>INDEX(Products!$F$2:$F$49,MATCH(J1070,Products!$A$2:$A$49,0))</f>
        <v/>
      </c>
      <c r="S1070">
        <f>WEEKDAY(B1070,2)</f>
        <v/>
      </c>
    </row>
    <row r="1071">
      <c r="A1071" t="n">
        <v>509871</v>
      </c>
      <c r="B1071" s="6" t="n">
        <v>45944</v>
      </c>
      <c r="C1071" t="n">
        <v>16426</v>
      </c>
      <c r="D1071" t="inlineStr">
        <is>
          <t>Delhi</t>
        </is>
      </c>
      <c r="E1071" t="inlineStr">
        <is>
          <t>North</t>
        </is>
      </c>
      <c r="F1071" t="inlineStr">
        <is>
          <t>Organic Search</t>
        </is>
      </c>
      <c r="G1071" t="inlineStr">
        <is>
          <t>Mobile Web</t>
        </is>
      </c>
      <c r="H1071" t="inlineStr">
        <is>
          <t>UPI</t>
        </is>
      </c>
      <c r="I1071" t="inlineStr">
        <is>
          <t>Delivered</t>
        </is>
      </c>
      <c r="J1071" t="n">
        <v>116</v>
      </c>
      <c r="K1071" t="n">
        <v>1</v>
      </c>
      <c r="L1071" t="n">
        <v>2624</v>
      </c>
      <c r="M1071" t="n">
        <v>0</v>
      </c>
      <c r="N1071">
        <f>VLOOKUP(J1071,Products!$A$2:$C$49,3,FALSE)</f>
        <v/>
      </c>
      <c r="O1071">
        <f>K1071*L1071-M1071</f>
        <v/>
      </c>
      <c r="P1071">
        <f>TEXT(B1071,"yyyy-mm")</f>
        <v/>
      </c>
      <c r="Q1071">
        <f>IF(O1071&gt;=3000,"Large","Small")</f>
        <v/>
      </c>
      <c r="R1071">
        <f>INDEX(Products!$F$2:$F$49,MATCH(J1071,Products!$A$2:$A$49,0))</f>
        <v/>
      </c>
      <c r="S1071">
        <f>WEEKDAY(B1071,2)</f>
        <v/>
      </c>
    </row>
    <row r="1072">
      <c r="A1072" t="n">
        <v>509871</v>
      </c>
      <c r="B1072" s="6" t="n">
        <v>45944</v>
      </c>
      <c r="C1072" t="n">
        <v>16426</v>
      </c>
      <c r="D1072" t="inlineStr">
        <is>
          <t>Delhi</t>
        </is>
      </c>
      <c r="E1072" t="inlineStr">
        <is>
          <t>North</t>
        </is>
      </c>
      <c r="F1072" t="inlineStr">
        <is>
          <t>Organic Search</t>
        </is>
      </c>
      <c r="G1072" t="inlineStr">
        <is>
          <t>Mobile Web</t>
        </is>
      </c>
      <c r="H1072" t="inlineStr">
        <is>
          <t>UPI</t>
        </is>
      </c>
      <c r="I1072" t="inlineStr">
        <is>
          <t>Delivered</t>
        </is>
      </c>
      <c r="J1072" t="n">
        <v>106</v>
      </c>
      <c r="K1072" t="n">
        <v>1</v>
      </c>
      <c r="L1072" t="n">
        <v>1574</v>
      </c>
      <c r="M1072" t="n">
        <v>0</v>
      </c>
      <c r="N1072">
        <f>VLOOKUP(J1072,Products!$A$2:$C$49,3,FALSE)</f>
        <v/>
      </c>
      <c r="O1072">
        <f>K1072*L1072-M1072</f>
        <v/>
      </c>
      <c r="P1072">
        <f>TEXT(B1072,"yyyy-mm")</f>
        <v/>
      </c>
      <c r="Q1072">
        <f>IF(O1072&gt;=3000,"Large","Small")</f>
        <v/>
      </c>
      <c r="R1072">
        <f>INDEX(Products!$F$2:$F$49,MATCH(J1072,Products!$A$2:$A$49,0))</f>
        <v/>
      </c>
      <c r="S1072">
        <f>WEEKDAY(B1072,2)</f>
        <v/>
      </c>
    </row>
    <row r="1073">
      <c r="A1073" t="n">
        <v>509871</v>
      </c>
      <c r="B1073" s="6" t="n">
        <v>45944</v>
      </c>
      <c r="C1073" t="n">
        <v>16426</v>
      </c>
      <c r="D1073" t="inlineStr">
        <is>
          <t>Delhi</t>
        </is>
      </c>
      <c r="E1073" t="inlineStr">
        <is>
          <t>North</t>
        </is>
      </c>
      <c r="F1073" t="inlineStr">
        <is>
          <t>Organic Search</t>
        </is>
      </c>
      <c r="G1073" t="inlineStr">
        <is>
          <t>Mobile Web</t>
        </is>
      </c>
      <c r="H1073" t="inlineStr">
        <is>
          <t>UPI</t>
        </is>
      </c>
      <c r="I1073" t="inlineStr">
        <is>
          <t>Delivered</t>
        </is>
      </c>
      <c r="J1073" t="n">
        <v>126</v>
      </c>
      <c r="K1073" t="n">
        <v>1</v>
      </c>
      <c r="L1073" t="n">
        <v>471</v>
      </c>
      <c r="M1073" t="n">
        <v>0</v>
      </c>
      <c r="N1073">
        <f>VLOOKUP(J1073,Products!$A$2:$C$49,3,FALSE)</f>
        <v/>
      </c>
      <c r="O1073">
        <f>K1073*L1073-M1073</f>
        <v/>
      </c>
      <c r="P1073">
        <f>TEXT(B1073,"yyyy-mm")</f>
        <v/>
      </c>
      <c r="Q1073">
        <f>IF(O1073&gt;=3000,"Large","Small")</f>
        <v/>
      </c>
      <c r="R1073">
        <f>INDEX(Products!$F$2:$F$49,MATCH(J1073,Products!$A$2:$A$49,0))</f>
        <v/>
      </c>
      <c r="S1073">
        <f>WEEKDAY(B1073,2)</f>
        <v/>
      </c>
    </row>
    <row r="1074">
      <c r="A1074" t="n">
        <v>509872</v>
      </c>
      <c r="B1074" s="6" t="n">
        <v>45944</v>
      </c>
      <c r="C1074" t="n">
        <v>13748</v>
      </c>
      <c r="D1074" t="inlineStr">
        <is>
          <t>Mumbai</t>
        </is>
      </c>
      <c r="E1074" t="inlineStr">
        <is>
          <t>West</t>
        </is>
      </c>
      <c r="F1074" t="inlineStr">
        <is>
          <t>Paid Social</t>
        </is>
      </c>
      <c r="G1074" t="inlineStr">
        <is>
          <t>Mobile App</t>
        </is>
      </c>
      <c r="H1074" t="inlineStr">
        <is>
          <t>Debit Card</t>
        </is>
      </c>
      <c r="I1074" t="inlineStr">
        <is>
          <t>Returned</t>
        </is>
      </c>
      <c r="J1074" t="n">
        <v>134</v>
      </c>
      <c r="K1074" t="n">
        <v>1</v>
      </c>
      <c r="L1074" t="n">
        <v>209</v>
      </c>
      <c r="M1074" t="n">
        <v>20.9</v>
      </c>
      <c r="N1074">
        <f>VLOOKUP(J1074,Products!$A$2:$C$49,3,FALSE)</f>
        <v/>
      </c>
      <c r="O1074">
        <f>K1074*L1074-M1074</f>
        <v/>
      </c>
      <c r="P1074">
        <f>TEXT(B1074,"yyyy-mm")</f>
        <v/>
      </c>
      <c r="Q1074">
        <f>IF(O1074&gt;=3000,"Large","Small")</f>
        <v/>
      </c>
      <c r="R1074">
        <f>INDEX(Products!$F$2:$F$49,MATCH(J1074,Products!$A$2:$A$49,0))</f>
        <v/>
      </c>
      <c r="S1074">
        <f>WEEKDAY(B1074,2)</f>
        <v/>
      </c>
    </row>
    <row r="1075">
      <c r="A1075" t="n">
        <v>509873</v>
      </c>
      <c r="B1075" s="6" t="n">
        <v>45944</v>
      </c>
      <c r="C1075" t="n">
        <v>16198</v>
      </c>
      <c r="D1075" t="inlineStr">
        <is>
          <t>Kolkata</t>
        </is>
      </c>
      <c r="E1075" t="inlineStr">
        <is>
          <t>East</t>
        </is>
      </c>
      <c r="F1075" t="inlineStr">
        <is>
          <t>Organic Search</t>
        </is>
      </c>
      <c r="G1075" t="inlineStr">
        <is>
          <t>Mobile App</t>
        </is>
      </c>
      <c r="H1075" t="inlineStr">
        <is>
          <t>UPI</t>
        </is>
      </c>
      <c r="I1075" t="inlineStr">
        <is>
          <t>Delivered</t>
        </is>
      </c>
      <c r="J1075" t="n">
        <v>117</v>
      </c>
      <c r="K1075" t="n">
        <v>1</v>
      </c>
      <c r="L1075" t="n">
        <v>3149</v>
      </c>
      <c r="M1075" t="n">
        <v>0</v>
      </c>
      <c r="N1075">
        <f>VLOOKUP(J1075,Products!$A$2:$C$49,3,FALSE)</f>
        <v/>
      </c>
      <c r="O1075">
        <f>K1075*L1075-M1075</f>
        <v/>
      </c>
      <c r="P1075">
        <f>TEXT(B1075,"yyyy-mm")</f>
        <v/>
      </c>
      <c r="Q1075">
        <f>IF(O1075&gt;=3000,"Large","Small")</f>
        <v/>
      </c>
      <c r="R1075">
        <f>INDEX(Products!$F$2:$F$49,MATCH(J1075,Products!$A$2:$A$49,0))</f>
        <v/>
      </c>
      <c r="S1075">
        <f>WEEKDAY(B1075,2)</f>
        <v/>
      </c>
    </row>
    <row r="1076">
      <c r="A1076" t="n">
        <v>509874</v>
      </c>
      <c r="B1076" s="6" t="n">
        <v>45944</v>
      </c>
      <c r="C1076" t="n">
        <v>14992</v>
      </c>
      <c r="D1076" t="inlineStr">
        <is>
          <t>Ahmedabad</t>
        </is>
      </c>
      <c r="E1076" t="inlineStr">
        <is>
          <t>West</t>
        </is>
      </c>
      <c r="F1076" t="inlineStr">
        <is>
          <t>Organic Search</t>
        </is>
      </c>
      <c r="G1076" t="inlineStr">
        <is>
          <t>Mobile App</t>
        </is>
      </c>
      <c r="H1076" t="inlineStr">
        <is>
          <t>Credit Card</t>
        </is>
      </c>
      <c r="I1076" t="inlineStr">
        <is>
          <t>Delivered</t>
        </is>
      </c>
      <c r="J1076" t="n">
        <v>101</v>
      </c>
      <c r="K1076" t="n">
        <v>1</v>
      </c>
      <c r="L1076" t="n">
        <v>2099</v>
      </c>
      <c r="M1076" t="n">
        <v>209.9</v>
      </c>
      <c r="N1076">
        <f>VLOOKUP(J1076,Products!$A$2:$C$49,3,FALSE)</f>
        <v/>
      </c>
      <c r="O1076">
        <f>K1076*L1076-M1076</f>
        <v/>
      </c>
      <c r="P1076">
        <f>TEXT(B1076,"yyyy-mm")</f>
        <v/>
      </c>
      <c r="Q1076">
        <f>IF(O1076&gt;=3000,"Large","Small")</f>
        <v/>
      </c>
      <c r="R1076">
        <f>INDEX(Products!$F$2:$F$49,MATCH(J1076,Products!$A$2:$A$49,0))</f>
        <v/>
      </c>
      <c r="S1076">
        <f>WEEKDAY(B1076,2)</f>
        <v/>
      </c>
    </row>
    <row r="1077">
      <c r="A1077" t="n">
        <v>509875</v>
      </c>
      <c r="B1077" s="6" t="n">
        <v>45944</v>
      </c>
      <c r="C1077" t="n">
        <v>16676</v>
      </c>
      <c r="D1077" t="inlineStr">
        <is>
          <t>Mumbai</t>
        </is>
      </c>
      <c r="E1077" t="inlineStr">
        <is>
          <t>West</t>
        </is>
      </c>
      <c r="F1077" t="inlineStr">
        <is>
          <t>Email</t>
        </is>
      </c>
      <c r="G1077" t="inlineStr">
        <is>
          <t>Mobile Web</t>
        </is>
      </c>
      <c r="H1077" t="inlineStr">
        <is>
          <t>Net Banking</t>
        </is>
      </c>
      <c r="I1077" t="inlineStr">
        <is>
          <t>Delivered</t>
        </is>
      </c>
      <c r="J1077" t="n">
        <v>103</v>
      </c>
      <c r="K1077" t="n">
        <v>1</v>
      </c>
      <c r="L1077" t="n">
        <v>2624</v>
      </c>
      <c r="M1077" t="n">
        <v>262.4</v>
      </c>
      <c r="N1077">
        <f>VLOOKUP(J1077,Products!$A$2:$C$49,3,FALSE)</f>
        <v/>
      </c>
      <c r="O1077">
        <f>K1077*L1077-M1077</f>
        <v/>
      </c>
      <c r="P1077">
        <f>TEXT(B1077,"yyyy-mm")</f>
        <v/>
      </c>
      <c r="Q1077">
        <f>IF(O1077&gt;=3000,"Large","Small")</f>
        <v/>
      </c>
      <c r="R1077">
        <f>INDEX(Products!$F$2:$F$49,MATCH(J1077,Products!$A$2:$A$49,0))</f>
        <v/>
      </c>
      <c r="S1077">
        <f>WEEKDAY(B1077,2)</f>
        <v/>
      </c>
    </row>
    <row r="1078">
      <c r="A1078" t="n">
        <v>509875</v>
      </c>
      <c r="B1078" s="6" t="n">
        <v>45944</v>
      </c>
      <c r="C1078" t="n">
        <v>16676</v>
      </c>
      <c r="D1078" t="inlineStr">
        <is>
          <t>Mumbai</t>
        </is>
      </c>
      <c r="E1078" t="inlineStr">
        <is>
          <t>West</t>
        </is>
      </c>
      <c r="F1078" t="inlineStr">
        <is>
          <t>Email</t>
        </is>
      </c>
      <c r="G1078" t="inlineStr">
        <is>
          <t>Mobile Web</t>
        </is>
      </c>
      <c r="H1078" t="inlineStr">
        <is>
          <t>Net Banking</t>
        </is>
      </c>
      <c r="I1078" t="inlineStr">
        <is>
          <t>Delivered</t>
        </is>
      </c>
      <c r="J1078" t="n">
        <v>129</v>
      </c>
      <c r="K1078" t="n">
        <v>2</v>
      </c>
      <c r="L1078" t="n">
        <v>576</v>
      </c>
      <c r="M1078" t="n">
        <v>115.2</v>
      </c>
      <c r="N1078">
        <f>VLOOKUP(J1078,Products!$A$2:$C$49,3,FALSE)</f>
        <v/>
      </c>
      <c r="O1078">
        <f>K1078*L1078-M1078</f>
        <v/>
      </c>
      <c r="P1078">
        <f>TEXT(B1078,"yyyy-mm")</f>
        <v/>
      </c>
      <c r="Q1078">
        <f>IF(O1078&gt;=3000,"Large","Small")</f>
        <v/>
      </c>
      <c r="R1078">
        <f>INDEX(Products!$F$2:$F$49,MATCH(J1078,Products!$A$2:$A$49,0))</f>
        <v/>
      </c>
      <c r="S1078">
        <f>WEEKDAY(B1078,2)</f>
        <v/>
      </c>
    </row>
    <row r="1079">
      <c r="A1079" t="n">
        <v>509876</v>
      </c>
      <c r="B1079" s="6" t="n">
        <v>45944</v>
      </c>
      <c r="C1079" t="n">
        <v>14863</v>
      </c>
      <c r="D1079" t="inlineStr">
        <is>
          <t>Bengaluru</t>
        </is>
      </c>
      <c r="E1079" t="inlineStr">
        <is>
          <t>South</t>
        </is>
      </c>
      <c r="F1079" t="inlineStr">
        <is>
          <t>Referral</t>
        </is>
      </c>
      <c r="G1079" t="inlineStr">
        <is>
          <t>Mobile App</t>
        </is>
      </c>
      <c r="H1079" t="inlineStr">
        <is>
          <t>UPI</t>
        </is>
      </c>
      <c r="I1079" t="inlineStr">
        <is>
          <t>Delivered</t>
        </is>
      </c>
      <c r="J1079" t="n">
        <v>121</v>
      </c>
      <c r="K1079" t="n">
        <v>1</v>
      </c>
      <c r="L1079" t="n">
        <v>2939</v>
      </c>
      <c r="M1079" t="n">
        <v>293.9</v>
      </c>
      <c r="N1079">
        <f>VLOOKUP(J1079,Products!$A$2:$C$49,3,FALSE)</f>
        <v/>
      </c>
      <c r="O1079">
        <f>K1079*L1079-M1079</f>
        <v/>
      </c>
      <c r="P1079">
        <f>TEXT(B1079,"yyyy-mm")</f>
        <v/>
      </c>
      <c r="Q1079">
        <f>IF(O1079&gt;=3000,"Large","Small")</f>
        <v/>
      </c>
      <c r="R1079">
        <f>INDEX(Products!$F$2:$F$49,MATCH(J1079,Products!$A$2:$A$49,0))</f>
        <v/>
      </c>
      <c r="S1079">
        <f>WEEKDAY(B1079,2)</f>
        <v/>
      </c>
    </row>
    <row r="1080">
      <c r="A1080" t="n">
        <v>509877</v>
      </c>
      <c r="B1080" s="6" t="n">
        <v>45944</v>
      </c>
      <c r="C1080" t="n">
        <v>16806</v>
      </c>
      <c r="D1080" t="inlineStr">
        <is>
          <t>Bengaluru</t>
        </is>
      </c>
      <c r="E1080" t="inlineStr">
        <is>
          <t>South</t>
        </is>
      </c>
      <c r="F1080" t="inlineStr">
        <is>
          <t>Organic Search</t>
        </is>
      </c>
      <c r="G1080" t="inlineStr">
        <is>
          <t>Desktop</t>
        </is>
      </c>
      <c r="H1080" t="inlineStr">
        <is>
          <t>UPI</t>
        </is>
      </c>
      <c r="I1080" t="inlineStr">
        <is>
          <t>Cancelled</t>
        </is>
      </c>
      <c r="J1080" t="n">
        <v>131</v>
      </c>
      <c r="K1080" t="n">
        <v>1</v>
      </c>
      <c r="L1080" t="n">
        <v>314</v>
      </c>
      <c r="M1080" t="n">
        <v>0</v>
      </c>
      <c r="N1080">
        <f>VLOOKUP(J1080,Products!$A$2:$C$49,3,FALSE)</f>
        <v/>
      </c>
      <c r="O1080">
        <f>K1080*L1080-M1080</f>
        <v/>
      </c>
      <c r="P1080">
        <f>TEXT(B1080,"yyyy-mm")</f>
        <v/>
      </c>
      <c r="Q1080">
        <f>IF(O1080&gt;=3000,"Large","Small")</f>
        <v/>
      </c>
      <c r="R1080">
        <f>INDEX(Products!$F$2:$F$49,MATCH(J1080,Products!$A$2:$A$49,0))</f>
        <v/>
      </c>
      <c r="S1080">
        <f>WEEKDAY(B1080,2)</f>
        <v/>
      </c>
    </row>
    <row r="1081">
      <c r="A1081" t="n">
        <v>509878</v>
      </c>
      <c r="B1081" s="6" t="n">
        <v>45944</v>
      </c>
      <c r="C1081" t="n">
        <v>10440</v>
      </c>
      <c r="D1081" t="inlineStr">
        <is>
          <t>Gurugram</t>
        </is>
      </c>
      <c r="E1081" t="inlineStr">
        <is>
          <t>North</t>
        </is>
      </c>
      <c r="F1081" t="inlineStr">
        <is>
          <t>Paid Search</t>
        </is>
      </c>
      <c r="G1081" t="inlineStr">
        <is>
          <t>Mobile App</t>
        </is>
      </c>
      <c r="H1081" t="inlineStr">
        <is>
          <t>UPI</t>
        </is>
      </c>
      <c r="I1081" t="inlineStr">
        <is>
          <t>Delivered</t>
        </is>
      </c>
      <c r="J1081" t="n">
        <v>102</v>
      </c>
      <c r="K1081" t="n">
        <v>2</v>
      </c>
      <c r="L1081" t="n">
        <v>3674</v>
      </c>
      <c r="M1081" t="n">
        <v>734.8</v>
      </c>
      <c r="N1081">
        <f>VLOOKUP(J1081,Products!$A$2:$C$49,3,FALSE)</f>
        <v/>
      </c>
      <c r="O1081">
        <f>K1081*L1081-M1081</f>
        <v/>
      </c>
      <c r="P1081">
        <f>TEXT(B1081,"yyyy-mm")</f>
        <v/>
      </c>
      <c r="Q1081">
        <f>IF(O1081&gt;=3000,"Large","Small")</f>
        <v/>
      </c>
      <c r="R1081">
        <f>INDEX(Products!$F$2:$F$49,MATCH(J1081,Products!$A$2:$A$49,0))</f>
        <v/>
      </c>
      <c r="S1081">
        <f>WEEKDAY(B1081,2)</f>
        <v/>
      </c>
    </row>
    <row r="1082">
      <c r="A1082" t="n">
        <v>509878</v>
      </c>
      <c r="B1082" s="6" t="n">
        <v>45944</v>
      </c>
      <c r="C1082" t="n">
        <v>10440</v>
      </c>
      <c r="D1082" t="inlineStr">
        <is>
          <t>Gurugram</t>
        </is>
      </c>
      <c r="E1082" t="inlineStr">
        <is>
          <t>North</t>
        </is>
      </c>
      <c r="F1082" t="inlineStr">
        <is>
          <t>Paid Search</t>
        </is>
      </c>
      <c r="G1082" t="inlineStr">
        <is>
          <t>Mobile App</t>
        </is>
      </c>
      <c r="H1082" t="inlineStr">
        <is>
          <t>UPI</t>
        </is>
      </c>
      <c r="I1082" t="inlineStr">
        <is>
          <t>Delivered</t>
        </is>
      </c>
      <c r="J1082" t="n">
        <v>129</v>
      </c>
      <c r="K1082" t="n">
        <v>1</v>
      </c>
      <c r="L1082" t="n">
        <v>576</v>
      </c>
      <c r="M1082" t="n">
        <v>57.6</v>
      </c>
      <c r="N1082">
        <f>VLOOKUP(J1082,Products!$A$2:$C$49,3,FALSE)</f>
        <v/>
      </c>
      <c r="O1082">
        <f>K1082*L1082-M1082</f>
        <v/>
      </c>
      <c r="P1082">
        <f>TEXT(B1082,"yyyy-mm")</f>
        <v/>
      </c>
      <c r="Q1082">
        <f>IF(O1082&gt;=3000,"Large","Small")</f>
        <v/>
      </c>
      <c r="R1082">
        <f>INDEX(Products!$F$2:$F$49,MATCH(J1082,Products!$A$2:$A$49,0))</f>
        <v/>
      </c>
      <c r="S1082">
        <f>WEEKDAY(B1082,2)</f>
        <v/>
      </c>
    </row>
    <row r="1083">
      <c r="A1083" t="n">
        <v>509879</v>
      </c>
      <c r="B1083" s="6" t="n">
        <v>45944</v>
      </c>
      <c r="C1083" t="n">
        <v>16577</v>
      </c>
      <c r="D1083" t="inlineStr">
        <is>
          <t>Chennai</t>
        </is>
      </c>
      <c r="E1083" t="inlineStr">
        <is>
          <t>South</t>
        </is>
      </c>
      <c r="F1083" t="inlineStr">
        <is>
          <t>Referral</t>
        </is>
      </c>
      <c r="G1083" t="inlineStr">
        <is>
          <t>Desktop</t>
        </is>
      </c>
      <c r="H1083" t="inlineStr">
        <is>
          <t>Credit Card</t>
        </is>
      </c>
      <c r="I1083" t="inlineStr">
        <is>
          <t>Delivered</t>
        </is>
      </c>
      <c r="J1083" t="n">
        <v>116</v>
      </c>
      <c r="K1083" t="n">
        <v>1</v>
      </c>
      <c r="L1083" t="n">
        <v>2624</v>
      </c>
      <c r="M1083" t="n">
        <v>262.4</v>
      </c>
      <c r="N1083">
        <f>VLOOKUP(J1083,Products!$A$2:$C$49,3,FALSE)</f>
        <v/>
      </c>
      <c r="O1083">
        <f>K1083*L1083-M1083</f>
        <v/>
      </c>
      <c r="P1083">
        <f>TEXT(B1083,"yyyy-mm")</f>
        <v/>
      </c>
      <c r="Q1083">
        <f>IF(O1083&gt;=3000,"Large","Small")</f>
        <v/>
      </c>
      <c r="R1083">
        <f>INDEX(Products!$F$2:$F$49,MATCH(J1083,Products!$A$2:$A$49,0))</f>
        <v/>
      </c>
      <c r="S1083">
        <f>WEEKDAY(B1083,2)</f>
        <v/>
      </c>
    </row>
    <row r="1084">
      <c r="A1084" t="n">
        <v>509879</v>
      </c>
      <c r="B1084" s="6" t="n">
        <v>45944</v>
      </c>
      <c r="C1084" t="n">
        <v>16577</v>
      </c>
      <c r="D1084" t="inlineStr">
        <is>
          <t>Chennai</t>
        </is>
      </c>
      <c r="E1084" t="inlineStr">
        <is>
          <t>South</t>
        </is>
      </c>
      <c r="F1084" t="inlineStr">
        <is>
          <t>Referral</t>
        </is>
      </c>
      <c r="G1084" t="inlineStr">
        <is>
          <t>Desktop</t>
        </is>
      </c>
      <c r="H1084" t="inlineStr">
        <is>
          <t>Credit Card</t>
        </is>
      </c>
      <c r="I1084" t="inlineStr">
        <is>
          <t>Delivered</t>
        </is>
      </c>
      <c r="J1084" t="n">
        <v>129</v>
      </c>
      <c r="K1084" t="n">
        <v>1</v>
      </c>
      <c r="L1084" t="n">
        <v>576</v>
      </c>
      <c r="M1084" t="n">
        <v>57.6</v>
      </c>
      <c r="N1084">
        <f>VLOOKUP(J1084,Products!$A$2:$C$49,3,FALSE)</f>
        <v/>
      </c>
      <c r="O1084">
        <f>K1084*L1084-M1084</f>
        <v/>
      </c>
      <c r="P1084">
        <f>TEXT(B1084,"yyyy-mm")</f>
        <v/>
      </c>
      <c r="Q1084">
        <f>IF(O1084&gt;=3000,"Large","Small")</f>
        <v/>
      </c>
      <c r="R1084">
        <f>INDEX(Products!$F$2:$F$49,MATCH(J1084,Products!$A$2:$A$49,0))</f>
        <v/>
      </c>
      <c r="S1084">
        <f>WEEKDAY(B1084,2)</f>
        <v/>
      </c>
    </row>
    <row r="1085">
      <c r="A1085" t="n">
        <v>509880</v>
      </c>
      <c r="B1085" s="6" t="n">
        <v>45944</v>
      </c>
      <c r="C1085" t="n">
        <v>16738</v>
      </c>
      <c r="D1085" t="inlineStr">
        <is>
          <t>Delhi</t>
        </is>
      </c>
      <c r="E1085" t="inlineStr">
        <is>
          <t>North</t>
        </is>
      </c>
      <c r="F1085" t="inlineStr">
        <is>
          <t>Affiliate</t>
        </is>
      </c>
      <c r="G1085" t="inlineStr">
        <is>
          <t>Mobile App</t>
        </is>
      </c>
      <c r="H1085" t="inlineStr">
        <is>
          <t>UPI</t>
        </is>
      </c>
      <c r="I1085" t="inlineStr">
        <is>
          <t>Delivered</t>
        </is>
      </c>
      <c r="J1085" t="n">
        <v>141</v>
      </c>
      <c r="K1085" t="n">
        <v>1</v>
      </c>
      <c r="L1085" t="n">
        <v>261</v>
      </c>
      <c r="M1085" t="n">
        <v>39.15</v>
      </c>
      <c r="N1085">
        <f>VLOOKUP(J1085,Products!$A$2:$C$49,3,FALSE)</f>
        <v/>
      </c>
      <c r="O1085">
        <f>K1085*L1085-M1085</f>
        <v/>
      </c>
      <c r="P1085">
        <f>TEXT(B1085,"yyyy-mm")</f>
        <v/>
      </c>
      <c r="Q1085">
        <f>IF(O1085&gt;=3000,"Large","Small")</f>
        <v/>
      </c>
      <c r="R1085">
        <f>INDEX(Products!$F$2:$F$49,MATCH(J1085,Products!$A$2:$A$49,0))</f>
        <v/>
      </c>
      <c r="S1085">
        <f>WEEKDAY(B1085,2)</f>
        <v/>
      </c>
    </row>
    <row r="1086">
      <c r="A1086" t="n">
        <v>509880</v>
      </c>
      <c r="B1086" s="6" t="n">
        <v>45944</v>
      </c>
      <c r="C1086" t="n">
        <v>16738</v>
      </c>
      <c r="D1086" t="inlineStr">
        <is>
          <t>Delhi</t>
        </is>
      </c>
      <c r="E1086" t="inlineStr">
        <is>
          <t>North</t>
        </is>
      </c>
      <c r="F1086" t="inlineStr">
        <is>
          <t>Affiliate</t>
        </is>
      </c>
      <c r="G1086" t="inlineStr">
        <is>
          <t>Mobile App</t>
        </is>
      </c>
      <c r="H1086" t="inlineStr">
        <is>
          <t>UPI</t>
        </is>
      </c>
      <c r="I1086" t="inlineStr">
        <is>
          <t>Delivered</t>
        </is>
      </c>
      <c r="J1086" t="n">
        <v>147</v>
      </c>
      <c r="K1086" t="n">
        <v>1</v>
      </c>
      <c r="L1086" t="n">
        <v>1364</v>
      </c>
      <c r="M1086" t="n">
        <v>204.6</v>
      </c>
      <c r="N1086">
        <f>VLOOKUP(J1086,Products!$A$2:$C$49,3,FALSE)</f>
        <v/>
      </c>
      <c r="O1086">
        <f>K1086*L1086-M1086</f>
        <v/>
      </c>
      <c r="P1086">
        <f>TEXT(B1086,"yyyy-mm")</f>
        <v/>
      </c>
      <c r="Q1086">
        <f>IF(O1086&gt;=3000,"Large","Small")</f>
        <v/>
      </c>
      <c r="R1086">
        <f>INDEX(Products!$F$2:$F$49,MATCH(J1086,Products!$A$2:$A$49,0))</f>
        <v/>
      </c>
      <c r="S1086">
        <f>WEEKDAY(B1086,2)</f>
        <v/>
      </c>
    </row>
    <row r="1087">
      <c r="A1087" t="n">
        <v>509881</v>
      </c>
      <c r="B1087" s="6" t="n">
        <v>45944</v>
      </c>
      <c r="C1087" t="n">
        <v>16571</v>
      </c>
      <c r="D1087" t="inlineStr">
        <is>
          <t>Delhi</t>
        </is>
      </c>
      <c r="E1087" t="inlineStr">
        <is>
          <t>North</t>
        </is>
      </c>
      <c r="F1087" t="inlineStr">
        <is>
          <t>Organic Search</t>
        </is>
      </c>
      <c r="G1087" t="inlineStr">
        <is>
          <t>Mobile App</t>
        </is>
      </c>
      <c r="H1087" t="inlineStr">
        <is>
          <t>Cash on Delivery</t>
        </is>
      </c>
      <c r="I1087" t="inlineStr">
        <is>
          <t>Delivered</t>
        </is>
      </c>
      <c r="J1087" t="n">
        <v>132</v>
      </c>
      <c r="K1087" t="n">
        <v>1</v>
      </c>
      <c r="L1087" t="n">
        <v>471</v>
      </c>
      <c r="M1087" t="n">
        <v>0</v>
      </c>
      <c r="N1087">
        <f>VLOOKUP(J1087,Products!$A$2:$C$49,3,FALSE)</f>
        <v/>
      </c>
      <c r="O1087">
        <f>K1087*L1087-M1087</f>
        <v/>
      </c>
      <c r="P1087">
        <f>TEXT(B1087,"yyyy-mm")</f>
        <v/>
      </c>
      <c r="Q1087">
        <f>IF(O1087&gt;=3000,"Large","Small")</f>
        <v/>
      </c>
      <c r="R1087">
        <f>INDEX(Products!$F$2:$F$49,MATCH(J1087,Products!$A$2:$A$49,0))</f>
        <v/>
      </c>
      <c r="S1087">
        <f>WEEKDAY(B1087,2)</f>
        <v/>
      </c>
    </row>
    <row r="1088">
      <c r="A1088" t="n">
        <v>509882</v>
      </c>
      <c r="B1088" s="6" t="n">
        <v>45944</v>
      </c>
      <c r="C1088" t="n">
        <v>15738</v>
      </c>
      <c r="D1088" t="inlineStr">
        <is>
          <t>Delhi</t>
        </is>
      </c>
      <c r="E1088" t="inlineStr">
        <is>
          <t>North</t>
        </is>
      </c>
      <c r="F1088" t="inlineStr">
        <is>
          <t>Organic Search</t>
        </is>
      </c>
      <c r="G1088" t="inlineStr">
        <is>
          <t>Mobile Web</t>
        </is>
      </c>
      <c r="H1088" t="inlineStr">
        <is>
          <t>UPI</t>
        </is>
      </c>
      <c r="I1088" t="inlineStr">
        <is>
          <t>Delivered</t>
        </is>
      </c>
      <c r="J1088" t="n">
        <v>104</v>
      </c>
      <c r="K1088" t="n">
        <v>1</v>
      </c>
      <c r="L1088" t="n">
        <v>5249</v>
      </c>
      <c r="M1088" t="n">
        <v>0</v>
      </c>
      <c r="N1088">
        <f>VLOOKUP(J1088,Products!$A$2:$C$49,3,FALSE)</f>
        <v/>
      </c>
      <c r="O1088">
        <f>K1088*L1088-M1088</f>
        <v/>
      </c>
      <c r="P1088">
        <f>TEXT(B1088,"yyyy-mm")</f>
        <v/>
      </c>
      <c r="Q1088">
        <f>IF(O1088&gt;=3000,"Large","Small")</f>
        <v/>
      </c>
      <c r="R1088">
        <f>INDEX(Products!$F$2:$F$49,MATCH(J1088,Products!$A$2:$A$49,0))</f>
        <v/>
      </c>
      <c r="S1088">
        <f>WEEKDAY(B1088,2)</f>
        <v/>
      </c>
    </row>
    <row r="1089">
      <c r="A1089" t="n">
        <v>509882</v>
      </c>
      <c r="B1089" s="6" t="n">
        <v>45944</v>
      </c>
      <c r="C1089" t="n">
        <v>15738</v>
      </c>
      <c r="D1089" t="inlineStr">
        <is>
          <t>Delhi</t>
        </is>
      </c>
      <c r="E1089" t="inlineStr">
        <is>
          <t>North</t>
        </is>
      </c>
      <c r="F1089" t="inlineStr">
        <is>
          <t>Organic Search</t>
        </is>
      </c>
      <c r="G1089" t="inlineStr">
        <is>
          <t>Mobile Web</t>
        </is>
      </c>
      <c r="H1089" t="inlineStr">
        <is>
          <t>UPI</t>
        </is>
      </c>
      <c r="I1089" t="inlineStr">
        <is>
          <t>Delivered</t>
        </is>
      </c>
      <c r="J1089" t="n">
        <v>118</v>
      </c>
      <c r="K1089" t="n">
        <v>2</v>
      </c>
      <c r="L1089" t="n">
        <v>944</v>
      </c>
      <c r="M1089" t="n">
        <v>0</v>
      </c>
      <c r="N1089">
        <f>VLOOKUP(J1089,Products!$A$2:$C$49,3,FALSE)</f>
        <v/>
      </c>
      <c r="O1089">
        <f>K1089*L1089-M1089</f>
        <v/>
      </c>
      <c r="P1089">
        <f>TEXT(B1089,"yyyy-mm")</f>
        <v/>
      </c>
      <c r="Q1089">
        <f>IF(O1089&gt;=3000,"Large","Small")</f>
        <v/>
      </c>
      <c r="R1089">
        <f>INDEX(Products!$F$2:$F$49,MATCH(J1089,Products!$A$2:$A$49,0))</f>
        <v/>
      </c>
      <c r="S1089">
        <f>WEEKDAY(B1089,2)</f>
        <v/>
      </c>
    </row>
    <row r="1090">
      <c r="A1090" t="n">
        <v>509882</v>
      </c>
      <c r="B1090" s="6" t="n">
        <v>45944</v>
      </c>
      <c r="C1090" t="n">
        <v>15738</v>
      </c>
      <c r="D1090" t="inlineStr">
        <is>
          <t>Delhi</t>
        </is>
      </c>
      <c r="E1090" t="inlineStr">
        <is>
          <t>North</t>
        </is>
      </c>
      <c r="F1090" t="inlineStr">
        <is>
          <t>Organic Search</t>
        </is>
      </c>
      <c r="G1090" t="inlineStr">
        <is>
          <t>Mobile Web</t>
        </is>
      </c>
      <c r="H1090" t="inlineStr">
        <is>
          <t>UPI</t>
        </is>
      </c>
      <c r="I1090" t="inlineStr">
        <is>
          <t>Delivered</t>
        </is>
      </c>
      <c r="J1090" t="n">
        <v>129</v>
      </c>
      <c r="K1090" t="n">
        <v>1</v>
      </c>
      <c r="L1090" t="n">
        <v>576</v>
      </c>
      <c r="M1090" t="n">
        <v>0</v>
      </c>
      <c r="N1090">
        <f>VLOOKUP(J1090,Products!$A$2:$C$49,3,FALSE)</f>
        <v/>
      </c>
      <c r="O1090">
        <f>K1090*L1090-M1090</f>
        <v/>
      </c>
      <c r="P1090">
        <f>TEXT(B1090,"yyyy-mm")</f>
        <v/>
      </c>
      <c r="Q1090">
        <f>IF(O1090&gt;=3000,"Large","Small")</f>
        <v/>
      </c>
      <c r="R1090">
        <f>INDEX(Products!$F$2:$F$49,MATCH(J1090,Products!$A$2:$A$49,0))</f>
        <v/>
      </c>
      <c r="S1090">
        <f>WEEKDAY(B1090,2)</f>
        <v/>
      </c>
    </row>
    <row r="1091">
      <c r="A1091" t="n">
        <v>509883</v>
      </c>
      <c r="B1091" s="6" t="n">
        <v>45944</v>
      </c>
      <c r="C1091" t="n">
        <v>13326</v>
      </c>
      <c r="D1091" t="inlineStr">
        <is>
          <t>Gurugram</t>
        </is>
      </c>
      <c r="E1091" t="inlineStr">
        <is>
          <t>North</t>
        </is>
      </c>
      <c r="F1091" t="inlineStr">
        <is>
          <t>Email</t>
        </is>
      </c>
      <c r="G1091" t="inlineStr">
        <is>
          <t>Mobile App</t>
        </is>
      </c>
      <c r="H1091" t="inlineStr">
        <is>
          <t>Credit Card</t>
        </is>
      </c>
      <c r="I1091" t="inlineStr">
        <is>
          <t>Delivered</t>
        </is>
      </c>
      <c r="J1091" t="n">
        <v>114</v>
      </c>
      <c r="K1091" t="n">
        <v>2</v>
      </c>
      <c r="L1091" t="n">
        <v>1259</v>
      </c>
      <c r="M1091" t="n">
        <v>251.8</v>
      </c>
      <c r="N1091">
        <f>VLOOKUP(J1091,Products!$A$2:$C$49,3,FALSE)</f>
        <v/>
      </c>
      <c r="O1091">
        <f>K1091*L1091-M1091</f>
        <v/>
      </c>
      <c r="P1091">
        <f>TEXT(B1091,"yyyy-mm")</f>
        <v/>
      </c>
      <c r="Q1091">
        <f>IF(O1091&gt;=3000,"Large","Small")</f>
        <v/>
      </c>
      <c r="R1091">
        <f>INDEX(Products!$F$2:$F$49,MATCH(J1091,Products!$A$2:$A$49,0))</f>
        <v/>
      </c>
      <c r="S1091">
        <f>WEEKDAY(B1091,2)</f>
        <v/>
      </c>
    </row>
    <row r="1092">
      <c r="A1092" t="n">
        <v>509883</v>
      </c>
      <c r="B1092" s="6" t="n">
        <v>45944</v>
      </c>
      <c r="C1092" t="n">
        <v>13326</v>
      </c>
      <c r="D1092" t="inlineStr">
        <is>
          <t>Gurugram</t>
        </is>
      </c>
      <c r="E1092" t="inlineStr">
        <is>
          <t>North</t>
        </is>
      </c>
      <c r="F1092" t="inlineStr">
        <is>
          <t>Email</t>
        </is>
      </c>
      <c r="G1092" t="inlineStr">
        <is>
          <t>Mobile App</t>
        </is>
      </c>
      <c r="H1092" t="inlineStr">
        <is>
          <t>Credit Card</t>
        </is>
      </c>
      <c r="I1092" t="inlineStr">
        <is>
          <t>Delivered</t>
        </is>
      </c>
      <c r="J1092" t="n">
        <v>102</v>
      </c>
      <c r="K1092" t="n">
        <v>1</v>
      </c>
      <c r="L1092" t="n">
        <v>3674</v>
      </c>
      <c r="M1092" t="n">
        <v>367.4</v>
      </c>
      <c r="N1092">
        <f>VLOOKUP(J1092,Products!$A$2:$C$49,3,FALSE)</f>
        <v/>
      </c>
      <c r="O1092">
        <f>K1092*L1092-M1092</f>
        <v/>
      </c>
      <c r="P1092">
        <f>TEXT(B1092,"yyyy-mm")</f>
        <v/>
      </c>
      <c r="Q1092">
        <f>IF(O1092&gt;=3000,"Large","Small")</f>
        <v/>
      </c>
      <c r="R1092">
        <f>INDEX(Products!$F$2:$F$49,MATCH(J1092,Products!$A$2:$A$49,0))</f>
        <v/>
      </c>
      <c r="S1092">
        <f>WEEKDAY(B1092,2)</f>
        <v/>
      </c>
    </row>
    <row r="1093">
      <c r="A1093" t="n">
        <v>509883</v>
      </c>
      <c r="B1093" s="6" t="n">
        <v>45944</v>
      </c>
      <c r="C1093" t="n">
        <v>13326</v>
      </c>
      <c r="D1093" t="inlineStr">
        <is>
          <t>Gurugram</t>
        </is>
      </c>
      <c r="E1093" t="inlineStr">
        <is>
          <t>North</t>
        </is>
      </c>
      <c r="F1093" t="inlineStr">
        <is>
          <t>Email</t>
        </is>
      </c>
      <c r="G1093" t="inlineStr">
        <is>
          <t>Mobile App</t>
        </is>
      </c>
      <c r="H1093" t="inlineStr">
        <is>
          <t>Credit Card</t>
        </is>
      </c>
      <c r="I1093" t="inlineStr">
        <is>
          <t>Delivered</t>
        </is>
      </c>
      <c r="J1093" t="n">
        <v>123</v>
      </c>
      <c r="K1093" t="n">
        <v>1</v>
      </c>
      <c r="L1093" t="n">
        <v>3464</v>
      </c>
      <c r="M1093" t="n">
        <v>346.4</v>
      </c>
      <c r="N1093">
        <f>VLOOKUP(J1093,Products!$A$2:$C$49,3,FALSE)</f>
        <v/>
      </c>
      <c r="O1093">
        <f>K1093*L1093-M1093</f>
        <v/>
      </c>
      <c r="P1093">
        <f>TEXT(B1093,"yyyy-mm")</f>
        <v/>
      </c>
      <c r="Q1093">
        <f>IF(O1093&gt;=3000,"Large","Small")</f>
        <v/>
      </c>
      <c r="R1093">
        <f>INDEX(Products!$F$2:$F$49,MATCH(J1093,Products!$A$2:$A$49,0))</f>
        <v/>
      </c>
      <c r="S1093">
        <f>WEEKDAY(B1093,2)</f>
        <v/>
      </c>
    </row>
    <row r="1094">
      <c r="A1094" t="n">
        <v>509883</v>
      </c>
      <c r="B1094" s="6" t="n">
        <v>45944</v>
      </c>
      <c r="C1094" t="n">
        <v>13326</v>
      </c>
      <c r="D1094" t="inlineStr">
        <is>
          <t>Gurugram</t>
        </is>
      </c>
      <c r="E1094" t="inlineStr">
        <is>
          <t>North</t>
        </is>
      </c>
      <c r="F1094" t="inlineStr">
        <is>
          <t>Email</t>
        </is>
      </c>
      <c r="G1094" t="inlineStr">
        <is>
          <t>Mobile App</t>
        </is>
      </c>
      <c r="H1094" t="inlineStr">
        <is>
          <t>Credit Card</t>
        </is>
      </c>
      <c r="I1094" t="inlineStr">
        <is>
          <t>Delivered</t>
        </is>
      </c>
      <c r="J1094" t="n">
        <v>112</v>
      </c>
      <c r="K1094" t="n">
        <v>2</v>
      </c>
      <c r="L1094" t="n">
        <v>1574</v>
      </c>
      <c r="M1094" t="n">
        <v>314.8</v>
      </c>
      <c r="N1094">
        <f>VLOOKUP(J1094,Products!$A$2:$C$49,3,FALSE)</f>
        <v/>
      </c>
      <c r="O1094">
        <f>K1094*L1094-M1094</f>
        <v/>
      </c>
      <c r="P1094">
        <f>TEXT(B1094,"yyyy-mm")</f>
        <v/>
      </c>
      <c r="Q1094">
        <f>IF(O1094&gt;=3000,"Large","Small")</f>
        <v/>
      </c>
      <c r="R1094">
        <f>INDEX(Products!$F$2:$F$49,MATCH(J1094,Products!$A$2:$A$49,0))</f>
        <v/>
      </c>
      <c r="S1094">
        <f>WEEKDAY(B1094,2)</f>
        <v/>
      </c>
    </row>
    <row r="1095">
      <c r="A1095" t="n">
        <v>509884</v>
      </c>
      <c r="B1095" s="6" t="n">
        <v>45944</v>
      </c>
      <c r="C1095" t="n">
        <v>12367</v>
      </c>
      <c r="D1095" t="inlineStr">
        <is>
          <t>Bengaluru</t>
        </is>
      </c>
      <c r="E1095" t="inlineStr">
        <is>
          <t>South</t>
        </is>
      </c>
      <c r="F1095" t="inlineStr">
        <is>
          <t>Paid Social</t>
        </is>
      </c>
      <c r="G1095" t="inlineStr">
        <is>
          <t>Mobile App</t>
        </is>
      </c>
      <c r="H1095" t="inlineStr">
        <is>
          <t>Credit Card</t>
        </is>
      </c>
      <c r="I1095" t="inlineStr">
        <is>
          <t>Delivered</t>
        </is>
      </c>
      <c r="J1095" t="n">
        <v>130</v>
      </c>
      <c r="K1095" t="n">
        <v>1</v>
      </c>
      <c r="L1095" t="n">
        <v>734</v>
      </c>
      <c r="M1095" t="n">
        <v>73.40000000000001</v>
      </c>
      <c r="N1095">
        <f>VLOOKUP(J1095,Products!$A$2:$C$49,3,FALSE)</f>
        <v/>
      </c>
      <c r="O1095">
        <f>K1095*L1095-M1095</f>
        <v/>
      </c>
      <c r="P1095">
        <f>TEXT(B1095,"yyyy-mm")</f>
        <v/>
      </c>
      <c r="Q1095">
        <f>IF(O1095&gt;=3000,"Large","Small")</f>
        <v/>
      </c>
      <c r="R1095">
        <f>INDEX(Products!$F$2:$F$49,MATCH(J1095,Products!$A$2:$A$49,0))</f>
        <v/>
      </c>
      <c r="S1095">
        <f>WEEKDAY(B1095,2)</f>
        <v/>
      </c>
    </row>
    <row r="1096">
      <c r="A1096" t="n">
        <v>509885</v>
      </c>
      <c r="B1096" s="6" t="n">
        <v>45944</v>
      </c>
      <c r="C1096" t="n">
        <v>13926</v>
      </c>
      <c r="D1096" t="inlineStr">
        <is>
          <t>Kolkata</t>
        </is>
      </c>
      <c r="E1096" t="inlineStr">
        <is>
          <t>East</t>
        </is>
      </c>
      <c r="F1096" t="inlineStr">
        <is>
          <t>Referral</t>
        </is>
      </c>
      <c r="G1096" t="inlineStr">
        <is>
          <t>Mobile App</t>
        </is>
      </c>
      <c r="H1096" t="inlineStr">
        <is>
          <t>UPI</t>
        </is>
      </c>
      <c r="I1096" t="inlineStr">
        <is>
          <t>Returned</t>
        </is>
      </c>
      <c r="J1096" t="n">
        <v>126</v>
      </c>
      <c r="K1096" t="n">
        <v>1</v>
      </c>
      <c r="L1096" t="n">
        <v>471</v>
      </c>
      <c r="M1096" t="n">
        <v>47.1</v>
      </c>
      <c r="N1096">
        <f>VLOOKUP(J1096,Products!$A$2:$C$49,3,FALSE)</f>
        <v/>
      </c>
      <c r="O1096">
        <f>K1096*L1096-M1096</f>
        <v/>
      </c>
      <c r="P1096">
        <f>TEXT(B1096,"yyyy-mm")</f>
        <v/>
      </c>
      <c r="Q1096">
        <f>IF(O1096&gt;=3000,"Large","Small")</f>
        <v/>
      </c>
      <c r="R1096">
        <f>INDEX(Products!$F$2:$F$49,MATCH(J1096,Products!$A$2:$A$49,0))</f>
        <v/>
      </c>
      <c r="S1096">
        <f>WEEKDAY(B1096,2)</f>
        <v/>
      </c>
    </row>
    <row r="1097">
      <c r="A1097" t="n">
        <v>509885</v>
      </c>
      <c r="B1097" s="6" t="n">
        <v>45944</v>
      </c>
      <c r="C1097" t="n">
        <v>13926</v>
      </c>
      <c r="D1097" t="inlineStr">
        <is>
          <t>Kolkata</t>
        </is>
      </c>
      <c r="E1097" t="inlineStr">
        <is>
          <t>East</t>
        </is>
      </c>
      <c r="F1097" t="inlineStr">
        <is>
          <t>Referral</t>
        </is>
      </c>
      <c r="G1097" t="inlineStr">
        <is>
          <t>Mobile App</t>
        </is>
      </c>
      <c r="H1097" t="inlineStr">
        <is>
          <t>UPI</t>
        </is>
      </c>
      <c r="I1097" t="inlineStr">
        <is>
          <t>Returned</t>
        </is>
      </c>
      <c r="J1097" t="n">
        <v>111</v>
      </c>
      <c r="K1097" t="n">
        <v>1</v>
      </c>
      <c r="L1097" t="n">
        <v>524</v>
      </c>
      <c r="M1097" t="n">
        <v>52.4</v>
      </c>
      <c r="N1097">
        <f>VLOOKUP(J1097,Products!$A$2:$C$49,3,FALSE)</f>
        <v/>
      </c>
      <c r="O1097">
        <f>K1097*L1097-M1097</f>
        <v/>
      </c>
      <c r="P1097">
        <f>TEXT(B1097,"yyyy-mm")</f>
        <v/>
      </c>
      <c r="Q1097">
        <f>IF(O1097&gt;=3000,"Large","Small")</f>
        <v/>
      </c>
      <c r="R1097">
        <f>INDEX(Products!$F$2:$F$49,MATCH(J1097,Products!$A$2:$A$49,0))</f>
        <v/>
      </c>
      <c r="S1097">
        <f>WEEKDAY(B1097,2)</f>
        <v/>
      </c>
    </row>
    <row r="1098">
      <c r="A1098" t="n">
        <v>509885</v>
      </c>
      <c r="B1098" s="6" t="n">
        <v>45944</v>
      </c>
      <c r="C1098" t="n">
        <v>13926</v>
      </c>
      <c r="D1098" t="inlineStr">
        <is>
          <t>Kolkata</t>
        </is>
      </c>
      <c r="E1098" t="inlineStr">
        <is>
          <t>East</t>
        </is>
      </c>
      <c r="F1098" t="inlineStr">
        <is>
          <t>Referral</t>
        </is>
      </c>
      <c r="G1098" t="inlineStr">
        <is>
          <t>Mobile App</t>
        </is>
      </c>
      <c r="H1098" t="inlineStr">
        <is>
          <t>UPI</t>
        </is>
      </c>
      <c r="I1098" t="inlineStr">
        <is>
          <t>Returned</t>
        </is>
      </c>
      <c r="J1098" t="n">
        <v>129</v>
      </c>
      <c r="K1098" t="n">
        <v>1</v>
      </c>
      <c r="L1098" t="n">
        <v>576</v>
      </c>
      <c r="M1098" t="n">
        <v>57.6</v>
      </c>
      <c r="N1098">
        <f>VLOOKUP(J1098,Products!$A$2:$C$49,3,FALSE)</f>
        <v/>
      </c>
      <c r="O1098">
        <f>K1098*L1098-M1098</f>
        <v/>
      </c>
      <c r="P1098">
        <f>TEXT(B1098,"yyyy-mm")</f>
        <v/>
      </c>
      <c r="Q1098">
        <f>IF(O1098&gt;=3000,"Large","Small")</f>
        <v/>
      </c>
      <c r="R1098">
        <f>INDEX(Products!$F$2:$F$49,MATCH(J1098,Products!$A$2:$A$49,0))</f>
        <v/>
      </c>
      <c r="S1098">
        <f>WEEKDAY(B1098,2)</f>
        <v/>
      </c>
    </row>
    <row r="1099">
      <c r="A1099" t="n">
        <v>509886</v>
      </c>
      <c r="B1099" s="6" t="n">
        <v>45944</v>
      </c>
      <c r="C1099" t="n">
        <v>16677</v>
      </c>
      <c r="D1099" t="inlineStr">
        <is>
          <t>Hyderabad</t>
        </is>
      </c>
      <c r="E1099" t="inlineStr">
        <is>
          <t>South</t>
        </is>
      </c>
      <c r="F1099" t="inlineStr">
        <is>
          <t>Paid Social</t>
        </is>
      </c>
      <c r="G1099" t="inlineStr">
        <is>
          <t>Desktop</t>
        </is>
      </c>
      <c r="H1099" t="inlineStr">
        <is>
          <t>Credit Card</t>
        </is>
      </c>
      <c r="I1099" t="inlineStr">
        <is>
          <t>Delivered</t>
        </is>
      </c>
      <c r="J1099" t="n">
        <v>107</v>
      </c>
      <c r="K1099" t="n">
        <v>2</v>
      </c>
      <c r="L1099" t="n">
        <v>1259</v>
      </c>
      <c r="M1099" t="n">
        <v>0</v>
      </c>
      <c r="N1099">
        <f>VLOOKUP(J1099,Products!$A$2:$C$49,3,FALSE)</f>
        <v/>
      </c>
      <c r="O1099">
        <f>K1099*L1099-M1099</f>
        <v/>
      </c>
      <c r="P1099">
        <f>TEXT(B1099,"yyyy-mm")</f>
        <v/>
      </c>
      <c r="Q1099">
        <f>IF(O1099&gt;=3000,"Large","Small")</f>
        <v/>
      </c>
      <c r="R1099">
        <f>INDEX(Products!$F$2:$F$49,MATCH(J1099,Products!$A$2:$A$49,0))</f>
        <v/>
      </c>
      <c r="S1099">
        <f>WEEKDAY(B1099,2)</f>
        <v/>
      </c>
    </row>
    <row r="1100">
      <c r="A1100" t="n">
        <v>509886</v>
      </c>
      <c r="B1100" s="6" t="n">
        <v>45944</v>
      </c>
      <c r="C1100" t="n">
        <v>16677</v>
      </c>
      <c r="D1100" t="inlineStr">
        <is>
          <t>Hyderabad</t>
        </is>
      </c>
      <c r="E1100" t="inlineStr">
        <is>
          <t>South</t>
        </is>
      </c>
      <c r="F1100" t="inlineStr">
        <is>
          <t>Paid Social</t>
        </is>
      </c>
      <c r="G1100" t="inlineStr">
        <is>
          <t>Desktop</t>
        </is>
      </c>
      <c r="H1100" t="inlineStr">
        <is>
          <t>Credit Card</t>
        </is>
      </c>
      <c r="I1100" t="inlineStr">
        <is>
          <t>Delivered</t>
        </is>
      </c>
      <c r="J1100" t="n">
        <v>129</v>
      </c>
      <c r="K1100" t="n">
        <v>1</v>
      </c>
      <c r="L1100" t="n">
        <v>576</v>
      </c>
      <c r="M1100" t="n">
        <v>0</v>
      </c>
      <c r="N1100">
        <f>VLOOKUP(J1100,Products!$A$2:$C$49,3,FALSE)</f>
        <v/>
      </c>
      <c r="O1100">
        <f>K1100*L1100-M1100</f>
        <v/>
      </c>
      <c r="P1100">
        <f>TEXT(B1100,"yyyy-mm")</f>
        <v/>
      </c>
      <c r="Q1100">
        <f>IF(O1100&gt;=3000,"Large","Small")</f>
        <v/>
      </c>
      <c r="R1100">
        <f>INDEX(Products!$F$2:$F$49,MATCH(J1100,Products!$A$2:$A$49,0))</f>
        <v/>
      </c>
      <c r="S1100">
        <f>WEEKDAY(B1100,2)</f>
        <v/>
      </c>
    </row>
    <row r="1101">
      <c r="A1101" t="n">
        <v>509887</v>
      </c>
      <c r="B1101" s="6" t="n">
        <v>45944</v>
      </c>
      <c r="C1101" t="n">
        <v>15362</v>
      </c>
      <c r="D1101" t="inlineStr">
        <is>
          <t>Mumbai</t>
        </is>
      </c>
      <c r="E1101" t="inlineStr">
        <is>
          <t>West</t>
        </is>
      </c>
      <c r="F1101" t="inlineStr">
        <is>
          <t>Paid Search</t>
        </is>
      </c>
      <c r="G1101" t="inlineStr">
        <is>
          <t>Mobile App</t>
        </is>
      </c>
      <c r="H1101" t="inlineStr">
        <is>
          <t>Cash on Delivery</t>
        </is>
      </c>
      <c r="I1101" t="inlineStr">
        <is>
          <t>Delivered</t>
        </is>
      </c>
      <c r="J1101" t="n">
        <v>123</v>
      </c>
      <c r="K1101" t="n">
        <v>1</v>
      </c>
      <c r="L1101" t="n">
        <v>3464</v>
      </c>
      <c r="M1101" t="n">
        <v>0</v>
      </c>
      <c r="N1101">
        <f>VLOOKUP(J1101,Products!$A$2:$C$49,3,FALSE)</f>
        <v/>
      </c>
      <c r="O1101">
        <f>K1101*L1101-M1101</f>
        <v/>
      </c>
      <c r="P1101">
        <f>TEXT(B1101,"yyyy-mm")</f>
        <v/>
      </c>
      <c r="Q1101">
        <f>IF(O1101&gt;=3000,"Large","Small")</f>
        <v/>
      </c>
      <c r="R1101">
        <f>INDEX(Products!$F$2:$F$49,MATCH(J1101,Products!$A$2:$A$49,0))</f>
        <v/>
      </c>
      <c r="S1101">
        <f>WEEKDAY(B1101,2)</f>
        <v/>
      </c>
    </row>
    <row r="1102">
      <c r="A1102" t="n">
        <v>509888</v>
      </c>
      <c r="B1102" s="6" t="n">
        <v>45944</v>
      </c>
      <c r="C1102" t="n">
        <v>16777</v>
      </c>
      <c r="D1102" t="inlineStr">
        <is>
          <t>Noida</t>
        </is>
      </c>
      <c r="E1102" t="inlineStr">
        <is>
          <t>North</t>
        </is>
      </c>
      <c r="F1102" t="inlineStr">
        <is>
          <t>Referral</t>
        </is>
      </c>
      <c r="G1102" t="inlineStr">
        <is>
          <t>Mobile App</t>
        </is>
      </c>
      <c r="H1102" t="inlineStr">
        <is>
          <t>UPI</t>
        </is>
      </c>
      <c r="I1102" t="inlineStr">
        <is>
          <t>Delivered</t>
        </is>
      </c>
      <c r="J1102" t="n">
        <v>118</v>
      </c>
      <c r="K1102" t="n">
        <v>3</v>
      </c>
      <c r="L1102" t="n">
        <v>944</v>
      </c>
      <c r="M1102" t="n">
        <v>283.2</v>
      </c>
      <c r="N1102">
        <f>VLOOKUP(J1102,Products!$A$2:$C$49,3,FALSE)</f>
        <v/>
      </c>
      <c r="O1102">
        <f>K1102*L1102-M1102</f>
        <v/>
      </c>
      <c r="P1102">
        <f>TEXT(B1102,"yyyy-mm")</f>
        <v/>
      </c>
      <c r="Q1102">
        <f>IF(O1102&gt;=3000,"Large","Small")</f>
        <v/>
      </c>
      <c r="R1102">
        <f>INDEX(Products!$F$2:$F$49,MATCH(J1102,Products!$A$2:$A$49,0))</f>
        <v/>
      </c>
      <c r="S1102">
        <f>WEEKDAY(B1102,2)</f>
        <v/>
      </c>
    </row>
    <row r="1103">
      <c r="A1103" t="n">
        <v>509889</v>
      </c>
      <c r="B1103" s="6" t="n">
        <v>45944</v>
      </c>
      <c r="C1103" t="n">
        <v>15441</v>
      </c>
      <c r="D1103" t="inlineStr">
        <is>
          <t>Chandigarh</t>
        </is>
      </c>
      <c r="E1103" t="inlineStr">
        <is>
          <t>North</t>
        </is>
      </c>
      <c r="F1103" t="inlineStr">
        <is>
          <t>Referral</t>
        </is>
      </c>
      <c r="G1103" t="inlineStr">
        <is>
          <t>Mobile Web</t>
        </is>
      </c>
      <c r="H1103" t="inlineStr">
        <is>
          <t>Debit Card</t>
        </is>
      </c>
      <c r="I1103" t="inlineStr">
        <is>
          <t>Delivered</t>
        </is>
      </c>
      <c r="J1103" t="n">
        <v>109</v>
      </c>
      <c r="K1103" t="n">
        <v>1</v>
      </c>
      <c r="L1103" t="n">
        <v>4199</v>
      </c>
      <c r="M1103" t="n">
        <v>419.9</v>
      </c>
      <c r="N1103">
        <f>VLOOKUP(J1103,Products!$A$2:$C$49,3,FALSE)</f>
        <v/>
      </c>
      <c r="O1103">
        <f>K1103*L1103-M1103</f>
        <v/>
      </c>
      <c r="P1103">
        <f>TEXT(B1103,"yyyy-mm")</f>
        <v/>
      </c>
      <c r="Q1103">
        <f>IF(O1103&gt;=3000,"Large","Small")</f>
        <v/>
      </c>
      <c r="R1103">
        <f>INDEX(Products!$F$2:$F$49,MATCH(J1103,Products!$A$2:$A$49,0))</f>
        <v/>
      </c>
      <c r="S1103">
        <f>WEEKDAY(B1103,2)</f>
        <v/>
      </c>
    </row>
    <row r="1104">
      <c r="A1104" t="n">
        <v>509890</v>
      </c>
      <c r="B1104" s="6" t="n">
        <v>45944</v>
      </c>
      <c r="C1104" t="n">
        <v>10007</v>
      </c>
      <c r="D1104" t="inlineStr">
        <is>
          <t>Chennai</t>
        </is>
      </c>
      <c r="E1104" t="inlineStr">
        <is>
          <t>South</t>
        </is>
      </c>
      <c r="F1104" t="inlineStr">
        <is>
          <t>Organic Search</t>
        </is>
      </c>
      <c r="G1104" t="inlineStr">
        <is>
          <t>Desktop</t>
        </is>
      </c>
      <c r="H1104" t="inlineStr">
        <is>
          <t>Credit Card</t>
        </is>
      </c>
      <c r="I1104" t="inlineStr">
        <is>
          <t>Delivered</t>
        </is>
      </c>
      <c r="J1104" t="n">
        <v>111</v>
      </c>
      <c r="K1104" t="n">
        <v>1</v>
      </c>
      <c r="L1104" t="n">
        <v>524</v>
      </c>
      <c r="M1104" t="n">
        <v>0</v>
      </c>
      <c r="N1104">
        <f>VLOOKUP(J1104,Products!$A$2:$C$49,3,FALSE)</f>
        <v/>
      </c>
      <c r="O1104">
        <f>K1104*L1104-M1104</f>
        <v/>
      </c>
      <c r="P1104">
        <f>TEXT(B1104,"yyyy-mm")</f>
        <v/>
      </c>
      <c r="Q1104">
        <f>IF(O1104&gt;=3000,"Large","Small")</f>
        <v/>
      </c>
      <c r="R1104">
        <f>INDEX(Products!$F$2:$F$49,MATCH(J1104,Products!$A$2:$A$49,0))</f>
        <v/>
      </c>
      <c r="S1104">
        <f>WEEKDAY(B1104,2)</f>
        <v/>
      </c>
    </row>
    <row r="1105">
      <c r="A1105" t="n">
        <v>509891</v>
      </c>
      <c r="B1105" s="6" t="n">
        <v>45944</v>
      </c>
      <c r="C1105" t="n">
        <v>11604</v>
      </c>
      <c r="D1105" t="inlineStr">
        <is>
          <t>Pune</t>
        </is>
      </c>
      <c r="E1105" t="inlineStr">
        <is>
          <t>West</t>
        </is>
      </c>
      <c r="F1105" t="inlineStr">
        <is>
          <t>Paid Social</t>
        </is>
      </c>
      <c r="G1105" t="inlineStr">
        <is>
          <t>Mobile App</t>
        </is>
      </c>
      <c r="H1105" t="inlineStr">
        <is>
          <t>UPI</t>
        </is>
      </c>
      <c r="I1105" t="inlineStr">
        <is>
          <t>Delivered</t>
        </is>
      </c>
      <c r="J1105" t="n">
        <v>113</v>
      </c>
      <c r="K1105" t="n">
        <v>1</v>
      </c>
      <c r="L1105" t="n">
        <v>1364</v>
      </c>
      <c r="M1105" t="n">
        <v>136.4</v>
      </c>
      <c r="N1105">
        <f>VLOOKUP(J1105,Products!$A$2:$C$49,3,FALSE)</f>
        <v/>
      </c>
      <c r="O1105">
        <f>K1105*L1105-M1105</f>
        <v/>
      </c>
      <c r="P1105">
        <f>TEXT(B1105,"yyyy-mm")</f>
        <v/>
      </c>
      <c r="Q1105">
        <f>IF(O1105&gt;=3000,"Large","Small")</f>
        <v/>
      </c>
      <c r="R1105">
        <f>INDEX(Products!$F$2:$F$49,MATCH(J1105,Products!$A$2:$A$49,0))</f>
        <v/>
      </c>
      <c r="S1105">
        <f>WEEKDAY(B1105,2)</f>
        <v/>
      </c>
    </row>
    <row r="1106">
      <c r="A1106" t="n">
        <v>509891</v>
      </c>
      <c r="B1106" s="6" t="n">
        <v>45944</v>
      </c>
      <c r="C1106" t="n">
        <v>11604</v>
      </c>
      <c r="D1106" t="inlineStr">
        <is>
          <t>Pune</t>
        </is>
      </c>
      <c r="E1106" t="inlineStr">
        <is>
          <t>West</t>
        </is>
      </c>
      <c r="F1106" t="inlineStr">
        <is>
          <t>Paid Social</t>
        </is>
      </c>
      <c r="G1106" t="inlineStr">
        <is>
          <t>Mobile App</t>
        </is>
      </c>
      <c r="H1106" t="inlineStr">
        <is>
          <t>UPI</t>
        </is>
      </c>
      <c r="I1106" t="inlineStr">
        <is>
          <t>Delivered</t>
        </is>
      </c>
      <c r="J1106" t="n">
        <v>129</v>
      </c>
      <c r="K1106" t="n">
        <v>1</v>
      </c>
      <c r="L1106" t="n">
        <v>576</v>
      </c>
      <c r="M1106" t="n">
        <v>57.6</v>
      </c>
      <c r="N1106">
        <f>VLOOKUP(J1106,Products!$A$2:$C$49,3,FALSE)</f>
        <v/>
      </c>
      <c r="O1106">
        <f>K1106*L1106-M1106</f>
        <v/>
      </c>
      <c r="P1106">
        <f>TEXT(B1106,"yyyy-mm")</f>
        <v/>
      </c>
      <c r="Q1106">
        <f>IF(O1106&gt;=3000,"Large","Small")</f>
        <v/>
      </c>
      <c r="R1106">
        <f>INDEX(Products!$F$2:$F$49,MATCH(J1106,Products!$A$2:$A$49,0))</f>
        <v/>
      </c>
      <c r="S1106">
        <f>WEEKDAY(B1106,2)</f>
        <v/>
      </c>
    </row>
    <row r="1107">
      <c r="A1107" t="n">
        <v>509892</v>
      </c>
      <c r="B1107" s="6" t="n">
        <v>45944</v>
      </c>
      <c r="C1107" t="n">
        <v>12286</v>
      </c>
      <c r="D1107" t="inlineStr">
        <is>
          <t>Delhi</t>
        </is>
      </c>
      <c r="E1107" t="inlineStr">
        <is>
          <t>North</t>
        </is>
      </c>
      <c r="F1107" t="inlineStr">
        <is>
          <t>Affiliate</t>
        </is>
      </c>
      <c r="G1107" t="inlineStr">
        <is>
          <t>Desktop</t>
        </is>
      </c>
      <c r="H1107" t="inlineStr">
        <is>
          <t>UPI</t>
        </is>
      </c>
      <c r="I1107" t="inlineStr">
        <is>
          <t>Delivered</t>
        </is>
      </c>
      <c r="J1107" t="n">
        <v>129</v>
      </c>
      <c r="K1107" t="n">
        <v>1</v>
      </c>
      <c r="L1107" t="n">
        <v>576</v>
      </c>
      <c r="M1107" t="n">
        <v>57.6</v>
      </c>
      <c r="N1107">
        <f>VLOOKUP(J1107,Products!$A$2:$C$49,3,FALSE)</f>
        <v/>
      </c>
      <c r="O1107">
        <f>K1107*L1107-M1107</f>
        <v/>
      </c>
      <c r="P1107">
        <f>TEXT(B1107,"yyyy-mm")</f>
        <v/>
      </c>
      <c r="Q1107">
        <f>IF(O1107&gt;=3000,"Large","Small")</f>
        <v/>
      </c>
      <c r="R1107">
        <f>INDEX(Products!$F$2:$F$49,MATCH(J1107,Products!$A$2:$A$49,0))</f>
        <v/>
      </c>
      <c r="S1107">
        <f>WEEKDAY(B1107,2)</f>
        <v/>
      </c>
    </row>
    <row r="1108">
      <c r="A1108" t="n">
        <v>509892</v>
      </c>
      <c r="B1108" s="6" t="n">
        <v>45944</v>
      </c>
      <c r="C1108" t="n">
        <v>12286</v>
      </c>
      <c r="D1108" t="inlineStr">
        <is>
          <t>Delhi</t>
        </is>
      </c>
      <c r="E1108" t="inlineStr">
        <is>
          <t>North</t>
        </is>
      </c>
      <c r="F1108" t="inlineStr">
        <is>
          <t>Affiliate</t>
        </is>
      </c>
      <c r="G1108" t="inlineStr">
        <is>
          <t>Desktop</t>
        </is>
      </c>
      <c r="H1108" t="inlineStr">
        <is>
          <t>UPI</t>
        </is>
      </c>
      <c r="I1108" t="inlineStr">
        <is>
          <t>Delivered</t>
        </is>
      </c>
      <c r="J1108" t="n">
        <v>137</v>
      </c>
      <c r="K1108" t="n">
        <v>1</v>
      </c>
      <c r="L1108" t="n">
        <v>261</v>
      </c>
      <c r="M1108" t="n">
        <v>26.1</v>
      </c>
      <c r="N1108">
        <f>VLOOKUP(J1108,Products!$A$2:$C$49,3,FALSE)</f>
        <v/>
      </c>
      <c r="O1108">
        <f>K1108*L1108-M1108</f>
        <v/>
      </c>
      <c r="P1108">
        <f>TEXT(B1108,"yyyy-mm")</f>
        <v/>
      </c>
      <c r="Q1108">
        <f>IF(O1108&gt;=3000,"Large","Small")</f>
        <v/>
      </c>
      <c r="R1108">
        <f>INDEX(Products!$F$2:$F$49,MATCH(J1108,Products!$A$2:$A$49,0))</f>
        <v/>
      </c>
      <c r="S1108">
        <f>WEEKDAY(B1108,2)</f>
        <v/>
      </c>
    </row>
    <row r="1109">
      <c r="A1109" t="n">
        <v>509893</v>
      </c>
      <c r="B1109" s="6" t="n">
        <v>45944</v>
      </c>
      <c r="C1109" t="n">
        <v>14577</v>
      </c>
      <c r="D1109" t="inlineStr">
        <is>
          <t>Mumbai</t>
        </is>
      </c>
      <c r="E1109" t="inlineStr">
        <is>
          <t>West</t>
        </is>
      </c>
      <c r="F1109" t="inlineStr">
        <is>
          <t>Paid Search</t>
        </is>
      </c>
      <c r="G1109" t="inlineStr">
        <is>
          <t>Mobile Web</t>
        </is>
      </c>
      <c r="H1109" t="inlineStr">
        <is>
          <t>UPI</t>
        </is>
      </c>
      <c r="I1109" t="inlineStr">
        <is>
          <t>Delivered</t>
        </is>
      </c>
      <c r="J1109" t="n">
        <v>135</v>
      </c>
      <c r="K1109" t="n">
        <v>1</v>
      </c>
      <c r="L1109" t="n">
        <v>1574</v>
      </c>
      <c r="M1109" t="n">
        <v>0</v>
      </c>
      <c r="N1109">
        <f>VLOOKUP(J1109,Products!$A$2:$C$49,3,FALSE)</f>
        <v/>
      </c>
      <c r="O1109">
        <f>K1109*L1109-M1109</f>
        <v/>
      </c>
      <c r="P1109">
        <f>TEXT(B1109,"yyyy-mm")</f>
        <v/>
      </c>
      <c r="Q1109">
        <f>IF(O1109&gt;=3000,"Large","Small")</f>
        <v/>
      </c>
      <c r="R1109">
        <f>INDEX(Products!$F$2:$F$49,MATCH(J1109,Products!$A$2:$A$49,0))</f>
        <v/>
      </c>
      <c r="S1109">
        <f>WEEKDAY(B1109,2)</f>
        <v/>
      </c>
    </row>
    <row r="1110">
      <c r="A1110" t="n">
        <v>509894</v>
      </c>
      <c r="B1110" s="6" t="n">
        <v>45944</v>
      </c>
      <c r="C1110" t="n">
        <v>14712</v>
      </c>
      <c r="D1110" t="inlineStr">
        <is>
          <t>Chennai</t>
        </is>
      </c>
      <c r="E1110" t="inlineStr">
        <is>
          <t>South</t>
        </is>
      </c>
      <c r="F1110" t="inlineStr">
        <is>
          <t>Affiliate</t>
        </is>
      </c>
      <c r="G1110" t="inlineStr">
        <is>
          <t>Mobile Web</t>
        </is>
      </c>
      <c r="H1110" t="inlineStr">
        <is>
          <t>Credit Card</t>
        </is>
      </c>
      <c r="I1110" t="inlineStr">
        <is>
          <t>Delivered</t>
        </is>
      </c>
      <c r="J1110" t="n">
        <v>118</v>
      </c>
      <c r="K1110" t="n">
        <v>2</v>
      </c>
      <c r="L1110" t="n">
        <v>944</v>
      </c>
      <c r="M1110" t="n">
        <v>188.8</v>
      </c>
      <c r="N1110">
        <f>VLOOKUP(J1110,Products!$A$2:$C$49,3,FALSE)</f>
        <v/>
      </c>
      <c r="O1110">
        <f>K1110*L1110-M1110</f>
        <v/>
      </c>
      <c r="P1110">
        <f>TEXT(B1110,"yyyy-mm")</f>
        <v/>
      </c>
      <c r="Q1110">
        <f>IF(O1110&gt;=3000,"Large","Small")</f>
        <v/>
      </c>
      <c r="R1110">
        <f>INDEX(Products!$F$2:$F$49,MATCH(J1110,Products!$A$2:$A$49,0))</f>
        <v/>
      </c>
      <c r="S1110">
        <f>WEEKDAY(B1110,2)</f>
        <v/>
      </c>
    </row>
    <row r="1111">
      <c r="A1111" t="n">
        <v>509895</v>
      </c>
      <c r="B1111" s="6" t="n">
        <v>45944</v>
      </c>
      <c r="C1111" t="n">
        <v>11967</v>
      </c>
      <c r="D1111" t="inlineStr">
        <is>
          <t>Mumbai</t>
        </is>
      </c>
      <c r="E1111" t="inlineStr">
        <is>
          <t>West</t>
        </is>
      </c>
      <c r="F1111" t="inlineStr">
        <is>
          <t>Organic Search</t>
        </is>
      </c>
      <c r="G1111" t="inlineStr">
        <is>
          <t>Mobile Web</t>
        </is>
      </c>
      <c r="H1111" t="inlineStr">
        <is>
          <t>UPI</t>
        </is>
      </c>
      <c r="I1111" t="inlineStr">
        <is>
          <t>Delivered</t>
        </is>
      </c>
      <c r="J1111" t="n">
        <v>119</v>
      </c>
      <c r="K1111" t="n">
        <v>1</v>
      </c>
      <c r="L1111" t="n">
        <v>2309</v>
      </c>
      <c r="M1111" t="n">
        <v>0</v>
      </c>
      <c r="N1111">
        <f>VLOOKUP(J1111,Products!$A$2:$C$49,3,FALSE)</f>
        <v/>
      </c>
      <c r="O1111">
        <f>K1111*L1111-M1111</f>
        <v/>
      </c>
      <c r="P1111">
        <f>TEXT(B1111,"yyyy-mm")</f>
        <v/>
      </c>
      <c r="Q1111">
        <f>IF(O1111&gt;=3000,"Large","Small")</f>
        <v/>
      </c>
      <c r="R1111">
        <f>INDEX(Products!$F$2:$F$49,MATCH(J1111,Products!$A$2:$A$49,0))</f>
        <v/>
      </c>
      <c r="S1111">
        <f>WEEKDAY(B1111,2)</f>
        <v/>
      </c>
    </row>
    <row r="1112">
      <c r="A1112" t="n">
        <v>509895</v>
      </c>
      <c r="B1112" s="6" t="n">
        <v>45944</v>
      </c>
      <c r="C1112" t="n">
        <v>11967</v>
      </c>
      <c r="D1112" t="inlineStr">
        <is>
          <t>Mumbai</t>
        </is>
      </c>
      <c r="E1112" t="inlineStr">
        <is>
          <t>West</t>
        </is>
      </c>
      <c r="F1112" t="inlineStr">
        <is>
          <t>Organic Search</t>
        </is>
      </c>
      <c r="G1112" t="inlineStr">
        <is>
          <t>Mobile Web</t>
        </is>
      </c>
      <c r="H1112" t="inlineStr">
        <is>
          <t>UPI</t>
        </is>
      </c>
      <c r="I1112" t="inlineStr">
        <is>
          <t>Delivered</t>
        </is>
      </c>
      <c r="J1112" t="n">
        <v>103</v>
      </c>
      <c r="K1112" t="n">
        <v>1</v>
      </c>
      <c r="L1112" t="n">
        <v>2624</v>
      </c>
      <c r="M1112" t="n">
        <v>0</v>
      </c>
      <c r="N1112">
        <f>VLOOKUP(J1112,Products!$A$2:$C$49,3,FALSE)</f>
        <v/>
      </c>
      <c r="O1112">
        <f>K1112*L1112-M1112</f>
        <v/>
      </c>
      <c r="P1112">
        <f>TEXT(B1112,"yyyy-mm")</f>
        <v/>
      </c>
      <c r="Q1112">
        <f>IF(O1112&gt;=3000,"Large","Small")</f>
        <v/>
      </c>
      <c r="R1112">
        <f>INDEX(Products!$F$2:$F$49,MATCH(J1112,Products!$A$2:$A$49,0))</f>
        <v/>
      </c>
      <c r="S1112">
        <f>WEEKDAY(B1112,2)</f>
        <v/>
      </c>
    </row>
    <row r="1113">
      <c r="A1113" t="n">
        <v>509896</v>
      </c>
      <c r="B1113" s="6" t="n">
        <v>45944</v>
      </c>
      <c r="C1113" t="n">
        <v>16805</v>
      </c>
      <c r="D1113" t="inlineStr">
        <is>
          <t>Mumbai</t>
        </is>
      </c>
      <c r="E1113" t="inlineStr">
        <is>
          <t>West</t>
        </is>
      </c>
      <c r="F1113" t="inlineStr">
        <is>
          <t>Referral</t>
        </is>
      </c>
      <c r="G1113" t="inlineStr">
        <is>
          <t>Mobile App</t>
        </is>
      </c>
      <c r="H1113" t="inlineStr">
        <is>
          <t>Cash on Delivery</t>
        </is>
      </c>
      <c r="I1113" t="inlineStr">
        <is>
          <t>Returned</t>
        </is>
      </c>
      <c r="J1113" t="n">
        <v>134</v>
      </c>
      <c r="K1113" t="n">
        <v>1</v>
      </c>
      <c r="L1113" t="n">
        <v>209</v>
      </c>
      <c r="M1113" t="n">
        <v>20.9</v>
      </c>
      <c r="N1113">
        <f>VLOOKUP(J1113,Products!$A$2:$C$49,3,FALSE)</f>
        <v/>
      </c>
      <c r="O1113">
        <f>K1113*L1113-M1113</f>
        <v/>
      </c>
      <c r="P1113">
        <f>TEXT(B1113,"yyyy-mm")</f>
        <v/>
      </c>
      <c r="Q1113">
        <f>IF(O1113&gt;=3000,"Large","Small")</f>
        <v/>
      </c>
      <c r="R1113">
        <f>INDEX(Products!$F$2:$F$49,MATCH(J1113,Products!$A$2:$A$49,0))</f>
        <v/>
      </c>
      <c r="S1113">
        <f>WEEKDAY(B1113,2)</f>
        <v/>
      </c>
    </row>
    <row r="1114">
      <c r="A1114" t="n">
        <v>509896</v>
      </c>
      <c r="B1114" s="6" t="n">
        <v>45944</v>
      </c>
      <c r="C1114" t="n">
        <v>16805</v>
      </c>
      <c r="D1114" t="inlineStr">
        <is>
          <t>Mumbai</t>
        </is>
      </c>
      <c r="E1114" t="inlineStr">
        <is>
          <t>West</t>
        </is>
      </c>
      <c r="F1114" t="inlineStr">
        <is>
          <t>Referral</t>
        </is>
      </c>
      <c r="G1114" t="inlineStr">
        <is>
          <t>Mobile App</t>
        </is>
      </c>
      <c r="H1114" t="inlineStr">
        <is>
          <t>Cash on Delivery</t>
        </is>
      </c>
      <c r="I1114" t="inlineStr">
        <is>
          <t>Returned</t>
        </is>
      </c>
      <c r="J1114" t="n">
        <v>123</v>
      </c>
      <c r="K1114" t="n">
        <v>1</v>
      </c>
      <c r="L1114" t="n">
        <v>3464</v>
      </c>
      <c r="M1114" t="n">
        <v>346.4</v>
      </c>
      <c r="N1114">
        <f>VLOOKUP(J1114,Products!$A$2:$C$49,3,FALSE)</f>
        <v/>
      </c>
      <c r="O1114">
        <f>K1114*L1114-M1114</f>
        <v/>
      </c>
      <c r="P1114">
        <f>TEXT(B1114,"yyyy-mm")</f>
        <v/>
      </c>
      <c r="Q1114">
        <f>IF(O1114&gt;=3000,"Large","Small")</f>
        <v/>
      </c>
      <c r="R1114">
        <f>INDEX(Products!$F$2:$F$49,MATCH(J1114,Products!$A$2:$A$49,0))</f>
        <v/>
      </c>
      <c r="S1114">
        <f>WEEKDAY(B1114,2)</f>
        <v/>
      </c>
    </row>
    <row r="1115">
      <c r="A1115" t="n">
        <v>509896</v>
      </c>
      <c r="B1115" s="6" t="n">
        <v>45944</v>
      </c>
      <c r="C1115" t="n">
        <v>16805</v>
      </c>
      <c r="D1115" t="inlineStr">
        <is>
          <t>Mumbai</t>
        </is>
      </c>
      <c r="E1115" t="inlineStr">
        <is>
          <t>West</t>
        </is>
      </c>
      <c r="F1115" t="inlineStr">
        <is>
          <t>Referral</t>
        </is>
      </c>
      <c r="G1115" t="inlineStr">
        <is>
          <t>Mobile App</t>
        </is>
      </c>
      <c r="H1115" t="inlineStr">
        <is>
          <t>Cash on Delivery</t>
        </is>
      </c>
      <c r="I1115" t="inlineStr">
        <is>
          <t>Returned</t>
        </is>
      </c>
      <c r="J1115" t="n">
        <v>129</v>
      </c>
      <c r="K1115" t="n">
        <v>1</v>
      </c>
      <c r="L1115" t="n">
        <v>576</v>
      </c>
      <c r="M1115" t="n">
        <v>57.6</v>
      </c>
      <c r="N1115">
        <f>VLOOKUP(J1115,Products!$A$2:$C$49,3,FALSE)</f>
        <v/>
      </c>
      <c r="O1115">
        <f>K1115*L1115-M1115</f>
        <v/>
      </c>
      <c r="P1115">
        <f>TEXT(B1115,"yyyy-mm")</f>
        <v/>
      </c>
      <c r="Q1115">
        <f>IF(O1115&gt;=3000,"Large","Small")</f>
        <v/>
      </c>
      <c r="R1115">
        <f>INDEX(Products!$F$2:$F$49,MATCH(J1115,Products!$A$2:$A$49,0))</f>
        <v/>
      </c>
      <c r="S1115">
        <f>WEEKDAY(B1115,2)</f>
        <v/>
      </c>
    </row>
    <row r="1116">
      <c r="A1116" t="n">
        <v>509897</v>
      </c>
      <c r="B1116" s="6" t="n">
        <v>45944</v>
      </c>
      <c r="C1116" t="n">
        <v>16814</v>
      </c>
      <c r="D1116" t="inlineStr">
        <is>
          <t>Hyderabad</t>
        </is>
      </c>
      <c r="E1116" t="inlineStr">
        <is>
          <t>South</t>
        </is>
      </c>
      <c r="F1116" t="inlineStr">
        <is>
          <t>Organic Search</t>
        </is>
      </c>
      <c r="G1116" t="inlineStr">
        <is>
          <t>Mobile App</t>
        </is>
      </c>
      <c r="H1116" t="inlineStr">
        <is>
          <t>UPI</t>
        </is>
      </c>
      <c r="I1116" t="inlineStr">
        <is>
          <t>Delivered</t>
        </is>
      </c>
      <c r="J1116" t="n">
        <v>113</v>
      </c>
      <c r="K1116" t="n">
        <v>1</v>
      </c>
      <c r="L1116" t="n">
        <v>1364</v>
      </c>
      <c r="M1116" t="n">
        <v>136.4</v>
      </c>
      <c r="N1116">
        <f>VLOOKUP(J1116,Products!$A$2:$C$49,3,FALSE)</f>
        <v/>
      </c>
      <c r="O1116">
        <f>K1116*L1116-M1116</f>
        <v/>
      </c>
      <c r="P1116">
        <f>TEXT(B1116,"yyyy-mm")</f>
        <v/>
      </c>
      <c r="Q1116">
        <f>IF(O1116&gt;=3000,"Large","Small")</f>
        <v/>
      </c>
      <c r="R1116">
        <f>INDEX(Products!$F$2:$F$49,MATCH(J1116,Products!$A$2:$A$49,0))</f>
        <v/>
      </c>
      <c r="S1116">
        <f>WEEKDAY(B1116,2)</f>
        <v/>
      </c>
    </row>
    <row r="1117">
      <c r="A1117" t="n">
        <v>509897</v>
      </c>
      <c r="B1117" s="6" t="n">
        <v>45944</v>
      </c>
      <c r="C1117" t="n">
        <v>16814</v>
      </c>
      <c r="D1117" t="inlineStr">
        <is>
          <t>Hyderabad</t>
        </is>
      </c>
      <c r="E1117" t="inlineStr">
        <is>
          <t>South</t>
        </is>
      </c>
      <c r="F1117" t="inlineStr">
        <is>
          <t>Organic Search</t>
        </is>
      </c>
      <c r="G1117" t="inlineStr">
        <is>
          <t>Mobile App</t>
        </is>
      </c>
      <c r="H1117" t="inlineStr">
        <is>
          <t>UPI</t>
        </is>
      </c>
      <c r="I1117" t="inlineStr">
        <is>
          <t>Delivered</t>
        </is>
      </c>
      <c r="J1117" t="n">
        <v>108</v>
      </c>
      <c r="K1117" t="n">
        <v>1</v>
      </c>
      <c r="L1117" t="n">
        <v>419</v>
      </c>
      <c r="M1117" t="n">
        <v>41.9</v>
      </c>
      <c r="N1117">
        <f>VLOOKUP(J1117,Products!$A$2:$C$49,3,FALSE)</f>
        <v/>
      </c>
      <c r="O1117">
        <f>K1117*L1117-M1117</f>
        <v/>
      </c>
      <c r="P1117">
        <f>TEXT(B1117,"yyyy-mm")</f>
        <v/>
      </c>
      <c r="Q1117">
        <f>IF(O1117&gt;=3000,"Large","Small")</f>
        <v/>
      </c>
      <c r="R1117">
        <f>INDEX(Products!$F$2:$F$49,MATCH(J1117,Products!$A$2:$A$49,0))</f>
        <v/>
      </c>
      <c r="S1117">
        <f>WEEKDAY(B1117,2)</f>
        <v/>
      </c>
    </row>
    <row r="1118">
      <c r="A1118" t="n">
        <v>509898</v>
      </c>
      <c r="B1118" s="6" t="n">
        <v>45944</v>
      </c>
      <c r="C1118" t="n">
        <v>15919</v>
      </c>
      <c r="D1118" t="inlineStr">
        <is>
          <t>Ahmedabad</t>
        </is>
      </c>
      <c r="E1118" t="inlineStr">
        <is>
          <t>West</t>
        </is>
      </c>
      <c r="F1118" t="inlineStr">
        <is>
          <t>Organic Search</t>
        </is>
      </c>
      <c r="G1118" t="inlineStr">
        <is>
          <t>Mobile Web</t>
        </is>
      </c>
      <c r="H1118" t="inlineStr">
        <is>
          <t>UPI</t>
        </is>
      </c>
      <c r="I1118" t="inlineStr">
        <is>
          <t>Delivered</t>
        </is>
      </c>
      <c r="J1118" t="n">
        <v>128</v>
      </c>
      <c r="K1118" t="n">
        <v>1</v>
      </c>
      <c r="L1118" t="n">
        <v>1049</v>
      </c>
      <c r="M1118" t="n">
        <v>104.9</v>
      </c>
      <c r="N1118">
        <f>VLOOKUP(J1118,Products!$A$2:$C$49,3,FALSE)</f>
        <v/>
      </c>
      <c r="O1118">
        <f>K1118*L1118-M1118</f>
        <v/>
      </c>
      <c r="P1118">
        <f>TEXT(B1118,"yyyy-mm")</f>
        <v/>
      </c>
      <c r="Q1118">
        <f>IF(O1118&gt;=3000,"Large","Small")</f>
        <v/>
      </c>
      <c r="R1118">
        <f>INDEX(Products!$F$2:$F$49,MATCH(J1118,Products!$A$2:$A$49,0))</f>
        <v/>
      </c>
      <c r="S1118">
        <f>WEEKDAY(B1118,2)</f>
        <v/>
      </c>
    </row>
    <row r="1119">
      <c r="A1119" t="n">
        <v>509898</v>
      </c>
      <c r="B1119" s="6" t="n">
        <v>45944</v>
      </c>
      <c r="C1119" t="n">
        <v>15919</v>
      </c>
      <c r="D1119" t="inlineStr">
        <is>
          <t>Ahmedabad</t>
        </is>
      </c>
      <c r="E1119" t="inlineStr">
        <is>
          <t>West</t>
        </is>
      </c>
      <c r="F1119" t="inlineStr">
        <is>
          <t>Organic Search</t>
        </is>
      </c>
      <c r="G1119" t="inlineStr">
        <is>
          <t>Mobile Web</t>
        </is>
      </c>
      <c r="H1119" t="inlineStr">
        <is>
          <t>UPI</t>
        </is>
      </c>
      <c r="I1119" t="inlineStr">
        <is>
          <t>Delivered</t>
        </is>
      </c>
      <c r="J1119" t="n">
        <v>112</v>
      </c>
      <c r="K1119" t="n">
        <v>1</v>
      </c>
      <c r="L1119" t="n">
        <v>1574</v>
      </c>
      <c r="M1119" t="n">
        <v>157.4</v>
      </c>
      <c r="N1119">
        <f>VLOOKUP(J1119,Products!$A$2:$C$49,3,FALSE)</f>
        <v/>
      </c>
      <c r="O1119">
        <f>K1119*L1119-M1119</f>
        <v/>
      </c>
      <c r="P1119">
        <f>TEXT(B1119,"yyyy-mm")</f>
        <v/>
      </c>
      <c r="Q1119">
        <f>IF(O1119&gt;=3000,"Large","Small")</f>
        <v/>
      </c>
      <c r="R1119">
        <f>INDEX(Products!$F$2:$F$49,MATCH(J1119,Products!$A$2:$A$49,0))</f>
        <v/>
      </c>
      <c r="S1119">
        <f>WEEKDAY(B1119,2)</f>
        <v/>
      </c>
    </row>
    <row r="1120">
      <c r="A1120" t="n">
        <v>509899</v>
      </c>
      <c r="B1120" s="6" t="n">
        <v>45944</v>
      </c>
      <c r="C1120" t="n">
        <v>16757</v>
      </c>
      <c r="D1120" t="inlineStr">
        <is>
          <t>Delhi</t>
        </is>
      </c>
      <c r="E1120" t="inlineStr">
        <is>
          <t>North</t>
        </is>
      </c>
      <c r="F1120" t="inlineStr">
        <is>
          <t>Organic Search</t>
        </is>
      </c>
      <c r="G1120" t="inlineStr">
        <is>
          <t>Mobile App</t>
        </is>
      </c>
      <c r="H1120" t="inlineStr">
        <is>
          <t>UPI</t>
        </is>
      </c>
      <c r="I1120" t="inlineStr">
        <is>
          <t>Delivered</t>
        </is>
      </c>
      <c r="J1120" t="n">
        <v>137</v>
      </c>
      <c r="K1120" t="n">
        <v>1</v>
      </c>
      <c r="L1120" t="n">
        <v>261</v>
      </c>
      <c r="M1120" t="n">
        <v>39.15</v>
      </c>
      <c r="N1120">
        <f>VLOOKUP(J1120,Products!$A$2:$C$49,3,FALSE)</f>
        <v/>
      </c>
      <c r="O1120">
        <f>K1120*L1120-M1120</f>
        <v/>
      </c>
      <c r="P1120">
        <f>TEXT(B1120,"yyyy-mm")</f>
        <v/>
      </c>
      <c r="Q1120">
        <f>IF(O1120&gt;=3000,"Large","Small")</f>
        <v/>
      </c>
      <c r="R1120">
        <f>INDEX(Products!$F$2:$F$49,MATCH(J1120,Products!$A$2:$A$49,0))</f>
        <v/>
      </c>
      <c r="S1120">
        <f>WEEKDAY(B1120,2)</f>
        <v/>
      </c>
    </row>
    <row r="1121">
      <c r="A1121" t="n">
        <v>509899</v>
      </c>
      <c r="B1121" s="6" t="n">
        <v>45944</v>
      </c>
      <c r="C1121" t="n">
        <v>16757</v>
      </c>
      <c r="D1121" t="inlineStr">
        <is>
          <t>Delhi</t>
        </is>
      </c>
      <c r="E1121" t="inlineStr">
        <is>
          <t>North</t>
        </is>
      </c>
      <c r="F1121" t="inlineStr">
        <is>
          <t>Organic Search</t>
        </is>
      </c>
      <c r="G1121" t="inlineStr">
        <is>
          <t>Mobile App</t>
        </is>
      </c>
      <c r="H1121" t="inlineStr">
        <is>
          <t>UPI</t>
        </is>
      </c>
      <c r="I1121" t="inlineStr">
        <is>
          <t>Delivered</t>
        </is>
      </c>
      <c r="J1121" t="n">
        <v>129</v>
      </c>
      <c r="K1121" t="n">
        <v>2</v>
      </c>
      <c r="L1121" t="n">
        <v>576</v>
      </c>
      <c r="M1121" t="n">
        <v>172.8</v>
      </c>
      <c r="N1121">
        <f>VLOOKUP(J1121,Products!$A$2:$C$49,3,FALSE)</f>
        <v/>
      </c>
      <c r="O1121">
        <f>K1121*L1121-M1121</f>
        <v/>
      </c>
      <c r="P1121">
        <f>TEXT(B1121,"yyyy-mm")</f>
        <v/>
      </c>
      <c r="Q1121">
        <f>IF(O1121&gt;=3000,"Large","Small")</f>
        <v/>
      </c>
      <c r="R1121">
        <f>INDEX(Products!$F$2:$F$49,MATCH(J1121,Products!$A$2:$A$49,0))</f>
        <v/>
      </c>
      <c r="S1121">
        <f>WEEKDAY(B1121,2)</f>
        <v/>
      </c>
    </row>
    <row r="1122">
      <c r="A1122" t="n">
        <v>509900</v>
      </c>
      <c r="B1122" s="6" t="n">
        <v>45944</v>
      </c>
      <c r="C1122" t="n">
        <v>16697</v>
      </c>
      <c r="D1122" t="inlineStr">
        <is>
          <t>Hyderabad</t>
        </is>
      </c>
      <c r="E1122" t="inlineStr">
        <is>
          <t>South</t>
        </is>
      </c>
      <c r="F1122" t="inlineStr">
        <is>
          <t>Paid Social</t>
        </is>
      </c>
      <c r="G1122" t="inlineStr">
        <is>
          <t>Mobile App</t>
        </is>
      </c>
      <c r="H1122" t="inlineStr">
        <is>
          <t>Credit Card</t>
        </is>
      </c>
      <c r="I1122" t="inlineStr">
        <is>
          <t>Delivered</t>
        </is>
      </c>
      <c r="J1122" t="n">
        <v>148</v>
      </c>
      <c r="K1122" t="n">
        <v>1</v>
      </c>
      <c r="L1122" t="n">
        <v>734</v>
      </c>
      <c r="M1122" t="n">
        <v>0</v>
      </c>
      <c r="N1122">
        <f>VLOOKUP(J1122,Products!$A$2:$C$49,3,FALSE)</f>
        <v/>
      </c>
      <c r="O1122">
        <f>K1122*L1122-M1122</f>
        <v/>
      </c>
      <c r="P1122">
        <f>TEXT(B1122,"yyyy-mm")</f>
        <v/>
      </c>
      <c r="Q1122">
        <f>IF(O1122&gt;=3000,"Large","Small")</f>
        <v/>
      </c>
      <c r="R1122">
        <f>INDEX(Products!$F$2:$F$49,MATCH(J1122,Products!$A$2:$A$49,0))</f>
        <v/>
      </c>
      <c r="S1122">
        <f>WEEKDAY(B1122,2)</f>
        <v/>
      </c>
    </row>
    <row r="1123">
      <c r="A1123" t="n">
        <v>509900</v>
      </c>
      <c r="B1123" s="6" t="n">
        <v>45944</v>
      </c>
      <c r="C1123" t="n">
        <v>16697</v>
      </c>
      <c r="D1123" t="inlineStr">
        <is>
          <t>Hyderabad</t>
        </is>
      </c>
      <c r="E1123" t="inlineStr">
        <is>
          <t>South</t>
        </is>
      </c>
      <c r="F1123" t="inlineStr">
        <is>
          <t>Paid Social</t>
        </is>
      </c>
      <c r="G1123" t="inlineStr">
        <is>
          <t>Mobile App</t>
        </is>
      </c>
      <c r="H1123" t="inlineStr">
        <is>
          <t>Credit Card</t>
        </is>
      </c>
      <c r="I1123" t="inlineStr">
        <is>
          <t>Delivered</t>
        </is>
      </c>
      <c r="J1123" t="n">
        <v>131</v>
      </c>
      <c r="K1123" t="n">
        <v>1</v>
      </c>
      <c r="L1123" t="n">
        <v>314</v>
      </c>
      <c r="M1123" t="n">
        <v>0</v>
      </c>
      <c r="N1123">
        <f>VLOOKUP(J1123,Products!$A$2:$C$49,3,FALSE)</f>
        <v/>
      </c>
      <c r="O1123">
        <f>K1123*L1123-M1123</f>
        <v/>
      </c>
      <c r="P1123">
        <f>TEXT(B1123,"yyyy-mm")</f>
        <v/>
      </c>
      <c r="Q1123">
        <f>IF(O1123&gt;=3000,"Large","Small")</f>
        <v/>
      </c>
      <c r="R1123">
        <f>INDEX(Products!$F$2:$F$49,MATCH(J1123,Products!$A$2:$A$49,0))</f>
        <v/>
      </c>
      <c r="S1123">
        <f>WEEKDAY(B1123,2)</f>
        <v/>
      </c>
    </row>
    <row r="1124">
      <c r="A1124" t="n">
        <v>509900</v>
      </c>
      <c r="B1124" s="6" t="n">
        <v>45944</v>
      </c>
      <c r="C1124" t="n">
        <v>16697</v>
      </c>
      <c r="D1124" t="inlineStr">
        <is>
          <t>Hyderabad</t>
        </is>
      </c>
      <c r="E1124" t="inlineStr">
        <is>
          <t>South</t>
        </is>
      </c>
      <c r="F1124" t="inlineStr">
        <is>
          <t>Paid Social</t>
        </is>
      </c>
      <c r="G1124" t="inlineStr">
        <is>
          <t>Mobile App</t>
        </is>
      </c>
      <c r="H1124" t="inlineStr">
        <is>
          <t>Credit Card</t>
        </is>
      </c>
      <c r="I1124" t="inlineStr">
        <is>
          <t>Delivered</t>
        </is>
      </c>
      <c r="J1124" t="n">
        <v>111</v>
      </c>
      <c r="K1124" t="n">
        <v>1</v>
      </c>
      <c r="L1124" t="n">
        <v>524</v>
      </c>
      <c r="M1124" t="n">
        <v>0</v>
      </c>
      <c r="N1124">
        <f>VLOOKUP(J1124,Products!$A$2:$C$49,3,FALSE)</f>
        <v/>
      </c>
      <c r="O1124">
        <f>K1124*L1124-M1124</f>
        <v/>
      </c>
      <c r="P1124">
        <f>TEXT(B1124,"yyyy-mm")</f>
        <v/>
      </c>
      <c r="Q1124">
        <f>IF(O1124&gt;=3000,"Large","Small")</f>
        <v/>
      </c>
      <c r="R1124">
        <f>INDEX(Products!$F$2:$F$49,MATCH(J1124,Products!$A$2:$A$49,0))</f>
        <v/>
      </c>
      <c r="S1124">
        <f>WEEKDAY(B1124,2)</f>
        <v/>
      </c>
    </row>
    <row r="1125">
      <c r="A1125" t="n">
        <v>509901</v>
      </c>
      <c r="B1125" s="6" t="n">
        <v>45944</v>
      </c>
      <c r="C1125" t="n">
        <v>16703</v>
      </c>
      <c r="D1125" t="inlineStr">
        <is>
          <t>Kochi</t>
        </is>
      </c>
      <c r="E1125" t="inlineStr">
        <is>
          <t>South</t>
        </is>
      </c>
      <c r="F1125" t="inlineStr">
        <is>
          <t>Organic Search</t>
        </is>
      </c>
      <c r="G1125" t="inlineStr">
        <is>
          <t>Desktop</t>
        </is>
      </c>
      <c r="H1125" t="inlineStr">
        <is>
          <t>UPI</t>
        </is>
      </c>
      <c r="I1125" t="inlineStr">
        <is>
          <t>Delivered</t>
        </is>
      </c>
      <c r="J1125" t="n">
        <v>114</v>
      </c>
      <c r="K1125" t="n">
        <v>1</v>
      </c>
      <c r="L1125" t="n">
        <v>1259</v>
      </c>
      <c r="M1125" t="n">
        <v>0</v>
      </c>
      <c r="N1125">
        <f>VLOOKUP(J1125,Products!$A$2:$C$49,3,FALSE)</f>
        <v/>
      </c>
      <c r="O1125">
        <f>K1125*L1125-M1125</f>
        <v/>
      </c>
      <c r="P1125">
        <f>TEXT(B1125,"yyyy-mm")</f>
        <v/>
      </c>
      <c r="Q1125">
        <f>IF(O1125&gt;=3000,"Large","Small")</f>
        <v/>
      </c>
      <c r="R1125">
        <f>INDEX(Products!$F$2:$F$49,MATCH(J1125,Products!$A$2:$A$49,0))</f>
        <v/>
      </c>
      <c r="S1125">
        <f>WEEKDAY(B1125,2)</f>
        <v/>
      </c>
    </row>
    <row r="1126">
      <c r="A1126" t="n">
        <v>509901</v>
      </c>
      <c r="B1126" s="6" t="n">
        <v>45944</v>
      </c>
      <c r="C1126" t="n">
        <v>16703</v>
      </c>
      <c r="D1126" t="inlineStr">
        <is>
          <t>Kochi</t>
        </is>
      </c>
      <c r="E1126" t="inlineStr">
        <is>
          <t>South</t>
        </is>
      </c>
      <c r="F1126" t="inlineStr">
        <is>
          <t>Organic Search</t>
        </is>
      </c>
      <c r="G1126" t="inlineStr">
        <is>
          <t>Desktop</t>
        </is>
      </c>
      <c r="H1126" t="inlineStr">
        <is>
          <t>UPI</t>
        </is>
      </c>
      <c r="I1126" t="inlineStr">
        <is>
          <t>Delivered</t>
        </is>
      </c>
      <c r="J1126" t="n">
        <v>143</v>
      </c>
      <c r="K1126" t="n">
        <v>1</v>
      </c>
      <c r="L1126" t="n">
        <v>839</v>
      </c>
      <c r="M1126" t="n">
        <v>0</v>
      </c>
      <c r="N1126">
        <f>VLOOKUP(J1126,Products!$A$2:$C$49,3,FALSE)</f>
        <v/>
      </c>
      <c r="O1126">
        <f>K1126*L1126-M1126</f>
        <v/>
      </c>
      <c r="P1126">
        <f>TEXT(B1126,"yyyy-mm")</f>
        <v/>
      </c>
      <c r="Q1126">
        <f>IF(O1126&gt;=3000,"Large","Small")</f>
        <v/>
      </c>
      <c r="R1126">
        <f>INDEX(Products!$F$2:$F$49,MATCH(J1126,Products!$A$2:$A$49,0))</f>
        <v/>
      </c>
      <c r="S1126">
        <f>WEEKDAY(B1126,2)</f>
        <v/>
      </c>
    </row>
    <row r="1127">
      <c r="A1127" t="n">
        <v>509902</v>
      </c>
      <c r="B1127" s="6" t="n">
        <v>45945</v>
      </c>
      <c r="C1127" t="n">
        <v>11707</v>
      </c>
      <c r="D1127" t="inlineStr">
        <is>
          <t>Mumbai</t>
        </is>
      </c>
      <c r="E1127" t="inlineStr">
        <is>
          <t>West</t>
        </is>
      </c>
      <c r="F1127" t="inlineStr">
        <is>
          <t>Affiliate</t>
        </is>
      </c>
      <c r="G1127" t="inlineStr">
        <is>
          <t>Mobile App</t>
        </is>
      </c>
      <c r="H1127" t="inlineStr">
        <is>
          <t>Credit Card</t>
        </is>
      </c>
      <c r="I1127" t="inlineStr">
        <is>
          <t>Cancelled</t>
        </is>
      </c>
      <c r="J1127" t="n">
        <v>147</v>
      </c>
      <c r="K1127" t="n">
        <v>1</v>
      </c>
      <c r="L1127" t="n">
        <v>1364</v>
      </c>
      <c r="M1127" t="n">
        <v>136.4</v>
      </c>
      <c r="N1127">
        <f>VLOOKUP(J1127,Products!$A$2:$C$49,3,FALSE)</f>
        <v/>
      </c>
      <c r="O1127">
        <f>K1127*L1127-M1127</f>
        <v/>
      </c>
      <c r="P1127">
        <f>TEXT(B1127,"yyyy-mm")</f>
        <v/>
      </c>
      <c r="Q1127">
        <f>IF(O1127&gt;=3000,"Large","Small")</f>
        <v/>
      </c>
      <c r="R1127">
        <f>INDEX(Products!$F$2:$F$49,MATCH(J1127,Products!$A$2:$A$49,0))</f>
        <v/>
      </c>
      <c r="S1127">
        <f>WEEKDAY(B1127,2)</f>
        <v/>
      </c>
    </row>
    <row r="1128">
      <c r="A1128" t="n">
        <v>509902</v>
      </c>
      <c r="B1128" s="6" t="n">
        <v>45945</v>
      </c>
      <c r="C1128" t="n">
        <v>11707</v>
      </c>
      <c r="D1128" t="inlineStr">
        <is>
          <t>Mumbai</t>
        </is>
      </c>
      <c r="E1128" t="inlineStr">
        <is>
          <t>West</t>
        </is>
      </c>
      <c r="F1128" t="inlineStr">
        <is>
          <t>Affiliate</t>
        </is>
      </c>
      <c r="G1128" t="inlineStr">
        <is>
          <t>Mobile App</t>
        </is>
      </c>
      <c r="H1128" t="inlineStr">
        <is>
          <t>Credit Card</t>
        </is>
      </c>
      <c r="I1128" t="inlineStr">
        <is>
          <t>Cancelled</t>
        </is>
      </c>
      <c r="J1128" t="n">
        <v>129</v>
      </c>
      <c r="K1128" t="n">
        <v>1</v>
      </c>
      <c r="L1128" t="n">
        <v>576</v>
      </c>
      <c r="M1128" t="n">
        <v>57.6</v>
      </c>
      <c r="N1128">
        <f>VLOOKUP(J1128,Products!$A$2:$C$49,3,FALSE)</f>
        <v/>
      </c>
      <c r="O1128">
        <f>K1128*L1128-M1128</f>
        <v/>
      </c>
      <c r="P1128">
        <f>TEXT(B1128,"yyyy-mm")</f>
        <v/>
      </c>
      <c r="Q1128">
        <f>IF(O1128&gt;=3000,"Large","Small")</f>
        <v/>
      </c>
      <c r="R1128">
        <f>INDEX(Products!$F$2:$F$49,MATCH(J1128,Products!$A$2:$A$49,0))</f>
        <v/>
      </c>
      <c r="S1128">
        <f>WEEKDAY(B1128,2)</f>
        <v/>
      </c>
    </row>
    <row r="1129">
      <c r="A1129" t="n">
        <v>509903</v>
      </c>
      <c r="B1129" s="6" t="n">
        <v>45945</v>
      </c>
      <c r="C1129" t="n">
        <v>14697</v>
      </c>
      <c r="D1129" t="inlineStr">
        <is>
          <t>Kolkata</t>
        </is>
      </c>
      <c r="E1129" t="inlineStr">
        <is>
          <t>East</t>
        </is>
      </c>
      <c r="F1129" t="inlineStr">
        <is>
          <t>Email</t>
        </is>
      </c>
      <c r="G1129" t="inlineStr">
        <is>
          <t>Mobile Web</t>
        </is>
      </c>
      <c r="H1129" t="inlineStr">
        <is>
          <t>Debit Card</t>
        </is>
      </c>
      <c r="I1129" t="inlineStr">
        <is>
          <t>Delivered</t>
        </is>
      </c>
      <c r="J1129" t="n">
        <v>111</v>
      </c>
      <c r="K1129" t="n">
        <v>1</v>
      </c>
      <c r="L1129" t="n">
        <v>524</v>
      </c>
      <c r="M1129" t="n">
        <v>52.4</v>
      </c>
      <c r="N1129">
        <f>VLOOKUP(J1129,Products!$A$2:$C$49,3,FALSE)</f>
        <v/>
      </c>
      <c r="O1129">
        <f>K1129*L1129-M1129</f>
        <v/>
      </c>
      <c r="P1129">
        <f>TEXT(B1129,"yyyy-mm")</f>
        <v/>
      </c>
      <c r="Q1129">
        <f>IF(O1129&gt;=3000,"Large","Small")</f>
        <v/>
      </c>
      <c r="R1129">
        <f>INDEX(Products!$F$2:$F$49,MATCH(J1129,Products!$A$2:$A$49,0))</f>
        <v/>
      </c>
      <c r="S1129">
        <f>WEEKDAY(B1129,2)</f>
        <v/>
      </c>
    </row>
    <row r="1130">
      <c r="A1130" t="n">
        <v>509903</v>
      </c>
      <c r="B1130" s="6" t="n">
        <v>45945</v>
      </c>
      <c r="C1130" t="n">
        <v>14697</v>
      </c>
      <c r="D1130" t="inlineStr">
        <is>
          <t>Kolkata</t>
        </is>
      </c>
      <c r="E1130" t="inlineStr">
        <is>
          <t>East</t>
        </is>
      </c>
      <c r="F1130" t="inlineStr">
        <is>
          <t>Email</t>
        </is>
      </c>
      <c r="G1130" t="inlineStr">
        <is>
          <t>Mobile Web</t>
        </is>
      </c>
      <c r="H1130" t="inlineStr">
        <is>
          <t>Debit Card</t>
        </is>
      </c>
      <c r="I1130" t="inlineStr">
        <is>
          <t>Delivered</t>
        </is>
      </c>
      <c r="J1130" t="n">
        <v>136</v>
      </c>
      <c r="K1130" t="n">
        <v>3</v>
      </c>
      <c r="L1130" t="n">
        <v>944</v>
      </c>
      <c r="M1130" t="n">
        <v>283.2</v>
      </c>
      <c r="N1130">
        <f>VLOOKUP(J1130,Products!$A$2:$C$49,3,FALSE)</f>
        <v/>
      </c>
      <c r="O1130">
        <f>K1130*L1130-M1130</f>
        <v/>
      </c>
      <c r="P1130">
        <f>TEXT(B1130,"yyyy-mm")</f>
        <v/>
      </c>
      <c r="Q1130">
        <f>IF(O1130&gt;=3000,"Large","Small")</f>
        <v/>
      </c>
      <c r="R1130">
        <f>INDEX(Products!$F$2:$F$49,MATCH(J1130,Products!$A$2:$A$49,0))</f>
        <v/>
      </c>
      <c r="S1130">
        <f>WEEKDAY(B1130,2)</f>
        <v/>
      </c>
    </row>
    <row r="1131">
      <c r="A1131" t="n">
        <v>509904</v>
      </c>
      <c r="B1131" s="6" t="n">
        <v>45945</v>
      </c>
      <c r="C1131" t="n">
        <v>14471</v>
      </c>
      <c r="D1131" t="inlineStr">
        <is>
          <t>Noida</t>
        </is>
      </c>
      <c r="E1131" t="inlineStr">
        <is>
          <t>North</t>
        </is>
      </c>
      <c r="F1131" t="inlineStr">
        <is>
          <t>Paid Social</t>
        </is>
      </c>
      <c r="G1131" t="inlineStr">
        <is>
          <t>Mobile App</t>
        </is>
      </c>
      <c r="H1131" t="inlineStr">
        <is>
          <t>Debit Card</t>
        </is>
      </c>
      <c r="I1131" t="inlineStr">
        <is>
          <t>Delivered</t>
        </is>
      </c>
      <c r="J1131" t="n">
        <v>143</v>
      </c>
      <c r="K1131" t="n">
        <v>1</v>
      </c>
      <c r="L1131" t="n">
        <v>839</v>
      </c>
      <c r="M1131" t="n">
        <v>0</v>
      </c>
      <c r="N1131">
        <f>VLOOKUP(J1131,Products!$A$2:$C$49,3,FALSE)</f>
        <v/>
      </c>
      <c r="O1131">
        <f>K1131*L1131-M1131</f>
        <v/>
      </c>
      <c r="P1131">
        <f>TEXT(B1131,"yyyy-mm")</f>
        <v/>
      </c>
      <c r="Q1131">
        <f>IF(O1131&gt;=3000,"Large","Small")</f>
        <v/>
      </c>
      <c r="R1131">
        <f>INDEX(Products!$F$2:$F$49,MATCH(J1131,Products!$A$2:$A$49,0))</f>
        <v/>
      </c>
      <c r="S1131">
        <f>WEEKDAY(B1131,2)</f>
        <v/>
      </c>
    </row>
    <row r="1132">
      <c r="A1132" t="n">
        <v>509904</v>
      </c>
      <c r="B1132" s="6" t="n">
        <v>45945</v>
      </c>
      <c r="C1132" t="n">
        <v>14471</v>
      </c>
      <c r="D1132" t="inlineStr">
        <is>
          <t>Noida</t>
        </is>
      </c>
      <c r="E1132" t="inlineStr">
        <is>
          <t>North</t>
        </is>
      </c>
      <c r="F1132" t="inlineStr">
        <is>
          <t>Paid Social</t>
        </is>
      </c>
      <c r="G1132" t="inlineStr">
        <is>
          <t>Mobile App</t>
        </is>
      </c>
      <c r="H1132" t="inlineStr">
        <is>
          <t>Debit Card</t>
        </is>
      </c>
      <c r="I1132" t="inlineStr">
        <is>
          <t>Delivered</t>
        </is>
      </c>
      <c r="J1132" t="n">
        <v>129</v>
      </c>
      <c r="K1132" t="n">
        <v>1</v>
      </c>
      <c r="L1132" t="n">
        <v>576</v>
      </c>
      <c r="M1132" t="n">
        <v>0</v>
      </c>
      <c r="N1132">
        <f>VLOOKUP(J1132,Products!$A$2:$C$49,3,FALSE)</f>
        <v/>
      </c>
      <c r="O1132">
        <f>K1132*L1132-M1132</f>
        <v/>
      </c>
      <c r="P1132">
        <f>TEXT(B1132,"yyyy-mm")</f>
        <v/>
      </c>
      <c r="Q1132">
        <f>IF(O1132&gt;=3000,"Large","Small")</f>
        <v/>
      </c>
      <c r="R1132">
        <f>INDEX(Products!$F$2:$F$49,MATCH(J1132,Products!$A$2:$A$49,0))</f>
        <v/>
      </c>
      <c r="S1132">
        <f>WEEKDAY(B1132,2)</f>
        <v/>
      </c>
    </row>
    <row r="1133">
      <c r="A1133" t="n">
        <v>509905</v>
      </c>
      <c r="B1133" s="6" t="n">
        <v>45945</v>
      </c>
      <c r="C1133" t="n">
        <v>13443</v>
      </c>
      <c r="D1133" t="inlineStr">
        <is>
          <t>Chandigarh</t>
        </is>
      </c>
      <c r="E1133" t="inlineStr">
        <is>
          <t>North</t>
        </is>
      </c>
      <c r="F1133" t="inlineStr">
        <is>
          <t>Organic Search</t>
        </is>
      </c>
      <c r="G1133" t="inlineStr">
        <is>
          <t>Mobile Web</t>
        </is>
      </c>
      <c r="H1133" t="inlineStr">
        <is>
          <t>Credit Card</t>
        </is>
      </c>
      <c r="I1133" t="inlineStr">
        <is>
          <t>Delivered</t>
        </is>
      </c>
      <c r="J1133" t="n">
        <v>116</v>
      </c>
      <c r="K1133" t="n">
        <v>2</v>
      </c>
      <c r="L1133" t="n">
        <v>2624</v>
      </c>
      <c r="M1133" t="n">
        <v>0</v>
      </c>
      <c r="N1133">
        <f>VLOOKUP(J1133,Products!$A$2:$C$49,3,FALSE)</f>
        <v/>
      </c>
      <c r="O1133">
        <f>K1133*L1133-M1133</f>
        <v/>
      </c>
      <c r="P1133">
        <f>TEXT(B1133,"yyyy-mm")</f>
        <v/>
      </c>
      <c r="Q1133">
        <f>IF(O1133&gt;=3000,"Large","Small")</f>
        <v/>
      </c>
      <c r="R1133">
        <f>INDEX(Products!$F$2:$F$49,MATCH(J1133,Products!$A$2:$A$49,0))</f>
        <v/>
      </c>
      <c r="S1133">
        <f>WEEKDAY(B1133,2)</f>
        <v/>
      </c>
    </row>
    <row r="1134">
      <c r="A1134" t="n">
        <v>509905</v>
      </c>
      <c r="B1134" s="6" t="n">
        <v>45945</v>
      </c>
      <c r="C1134" t="n">
        <v>13443</v>
      </c>
      <c r="D1134" t="inlineStr">
        <is>
          <t>Chandigarh</t>
        </is>
      </c>
      <c r="E1134" t="inlineStr">
        <is>
          <t>North</t>
        </is>
      </c>
      <c r="F1134" t="inlineStr">
        <is>
          <t>Organic Search</t>
        </is>
      </c>
      <c r="G1134" t="inlineStr">
        <is>
          <t>Mobile Web</t>
        </is>
      </c>
      <c r="H1134" t="inlineStr">
        <is>
          <t>Credit Card</t>
        </is>
      </c>
      <c r="I1134" t="inlineStr">
        <is>
          <t>Delivered</t>
        </is>
      </c>
      <c r="J1134" t="n">
        <v>132</v>
      </c>
      <c r="K1134" t="n">
        <v>1</v>
      </c>
      <c r="L1134" t="n">
        <v>471</v>
      </c>
      <c r="M1134" t="n">
        <v>0</v>
      </c>
      <c r="N1134">
        <f>VLOOKUP(J1134,Products!$A$2:$C$49,3,FALSE)</f>
        <v/>
      </c>
      <c r="O1134">
        <f>K1134*L1134-M1134</f>
        <v/>
      </c>
      <c r="P1134">
        <f>TEXT(B1134,"yyyy-mm")</f>
        <v/>
      </c>
      <c r="Q1134">
        <f>IF(O1134&gt;=3000,"Large","Small")</f>
        <v/>
      </c>
      <c r="R1134">
        <f>INDEX(Products!$F$2:$F$49,MATCH(J1134,Products!$A$2:$A$49,0))</f>
        <v/>
      </c>
      <c r="S1134">
        <f>WEEKDAY(B1134,2)</f>
        <v/>
      </c>
    </row>
    <row r="1135">
      <c r="A1135" t="n">
        <v>509905</v>
      </c>
      <c r="B1135" s="6" t="n">
        <v>45945</v>
      </c>
      <c r="C1135" t="n">
        <v>13443</v>
      </c>
      <c r="D1135" t="inlineStr">
        <is>
          <t>Chandigarh</t>
        </is>
      </c>
      <c r="E1135" t="inlineStr">
        <is>
          <t>North</t>
        </is>
      </c>
      <c r="F1135" t="inlineStr">
        <is>
          <t>Organic Search</t>
        </is>
      </c>
      <c r="G1135" t="inlineStr">
        <is>
          <t>Mobile Web</t>
        </is>
      </c>
      <c r="H1135" t="inlineStr">
        <is>
          <t>Credit Card</t>
        </is>
      </c>
      <c r="I1135" t="inlineStr">
        <is>
          <t>Delivered</t>
        </is>
      </c>
      <c r="J1135" t="n">
        <v>136</v>
      </c>
      <c r="K1135" t="n">
        <v>1</v>
      </c>
      <c r="L1135" t="n">
        <v>944</v>
      </c>
      <c r="M1135" t="n">
        <v>0</v>
      </c>
      <c r="N1135">
        <f>VLOOKUP(J1135,Products!$A$2:$C$49,3,FALSE)</f>
        <v/>
      </c>
      <c r="O1135">
        <f>K1135*L1135-M1135</f>
        <v/>
      </c>
      <c r="P1135">
        <f>TEXT(B1135,"yyyy-mm")</f>
        <v/>
      </c>
      <c r="Q1135">
        <f>IF(O1135&gt;=3000,"Large","Small")</f>
        <v/>
      </c>
      <c r="R1135">
        <f>INDEX(Products!$F$2:$F$49,MATCH(J1135,Products!$A$2:$A$49,0))</f>
        <v/>
      </c>
      <c r="S1135">
        <f>WEEKDAY(B1135,2)</f>
        <v/>
      </c>
    </row>
    <row r="1136">
      <c r="A1136" t="n">
        <v>509905</v>
      </c>
      <c r="B1136" s="6" t="n">
        <v>45945</v>
      </c>
      <c r="C1136" t="n">
        <v>13443</v>
      </c>
      <c r="D1136" t="inlineStr">
        <is>
          <t>Chandigarh</t>
        </is>
      </c>
      <c r="E1136" t="inlineStr">
        <is>
          <t>North</t>
        </is>
      </c>
      <c r="F1136" t="inlineStr">
        <is>
          <t>Organic Search</t>
        </is>
      </c>
      <c r="G1136" t="inlineStr">
        <is>
          <t>Mobile Web</t>
        </is>
      </c>
      <c r="H1136" t="inlineStr">
        <is>
          <t>Credit Card</t>
        </is>
      </c>
      <c r="I1136" t="inlineStr">
        <is>
          <t>Delivered</t>
        </is>
      </c>
      <c r="J1136" t="n">
        <v>129</v>
      </c>
      <c r="K1136" t="n">
        <v>3</v>
      </c>
      <c r="L1136" t="n">
        <v>576</v>
      </c>
      <c r="M1136" t="n">
        <v>0</v>
      </c>
      <c r="N1136">
        <f>VLOOKUP(J1136,Products!$A$2:$C$49,3,FALSE)</f>
        <v/>
      </c>
      <c r="O1136">
        <f>K1136*L1136-M1136</f>
        <v/>
      </c>
      <c r="P1136">
        <f>TEXT(B1136,"yyyy-mm")</f>
        <v/>
      </c>
      <c r="Q1136">
        <f>IF(O1136&gt;=3000,"Large","Small")</f>
        <v/>
      </c>
      <c r="R1136">
        <f>INDEX(Products!$F$2:$F$49,MATCH(J1136,Products!$A$2:$A$49,0))</f>
        <v/>
      </c>
      <c r="S1136">
        <f>WEEKDAY(B1136,2)</f>
        <v/>
      </c>
    </row>
    <row r="1137">
      <c r="A1137" t="n">
        <v>509906</v>
      </c>
      <c r="B1137" s="6" t="n">
        <v>45945</v>
      </c>
      <c r="C1137" t="n">
        <v>16567</v>
      </c>
      <c r="D1137" t="inlineStr">
        <is>
          <t>Kolkata</t>
        </is>
      </c>
      <c r="E1137" t="inlineStr">
        <is>
          <t>East</t>
        </is>
      </c>
      <c r="F1137" t="inlineStr">
        <is>
          <t>Paid Social</t>
        </is>
      </c>
      <c r="G1137" t="inlineStr">
        <is>
          <t>Mobile App</t>
        </is>
      </c>
      <c r="H1137" t="inlineStr">
        <is>
          <t>Credit Card</t>
        </is>
      </c>
      <c r="I1137" t="inlineStr">
        <is>
          <t>Delivered</t>
        </is>
      </c>
      <c r="J1137" t="n">
        <v>106</v>
      </c>
      <c r="K1137" t="n">
        <v>2</v>
      </c>
      <c r="L1137" t="n">
        <v>1574</v>
      </c>
      <c r="M1137" t="n">
        <v>0</v>
      </c>
      <c r="N1137">
        <f>VLOOKUP(J1137,Products!$A$2:$C$49,3,FALSE)</f>
        <v/>
      </c>
      <c r="O1137">
        <f>K1137*L1137-M1137</f>
        <v/>
      </c>
      <c r="P1137">
        <f>TEXT(B1137,"yyyy-mm")</f>
        <v/>
      </c>
      <c r="Q1137">
        <f>IF(O1137&gt;=3000,"Large","Small")</f>
        <v/>
      </c>
      <c r="R1137">
        <f>INDEX(Products!$F$2:$F$49,MATCH(J1137,Products!$A$2:$A$49,0))</f>
        <v/>
      </c>
      <c r="S1137">
        <f>WEEKDAY(B1137,2)</f>
        <v/>
      </c>
    </row>
    <row r="1138">
      <c r="A1138" t="n">
        <v>509906</v>
      </c>
      <c r="B1138" s="6" t="n">
        <v>45945</v>
      </c>
      <c r="C1138" t="n">
        <v>16567</v>
      </c>
      <c r="D1138" t="inlineStr">
        <is>
          <t>Kolkata</t>
        </is>
      </c>
      <c r="E1138" t="inlineStr">
        <is>
          <t>East</t>
        </is>
      </c>
      <c r="F1138" t="inlineStr">
        <is>
          <t>Paid Social</t>
        </is>
      </c>
      <c r="G1138" t="inlineStr">
        <is>
          <t>Mobile App</t>
        </is>
      </c>
      <c r="H1138" t="inlineStr">
        <is>
          <t>Credit Card</t>
        </is>
      </c>
      <c r="I1138" t="inlineStr">
        <is>
          <t>Delivered</t>
        </is>
      </c>
      <c r="J1138" t="n">
        <v>129</v>
      </c>
      <c r="K1138" t="n">
        <v>1</v>
      </c>
      <c r="L1138" t="n">
        <v>576</v>
      </c>
      <c r="M1138" t="n">
        <v>0</v>
      </c>
      <c r="N1138">
        <f>VLOOKUP(J1138,Products!$A$2:$C$49,3,FALSE)</f>
        <v/>
      </c>
      <c r="O1138">
        <f>K1138*L1138-M1138</f>
        <v/>
      </c>
      <c r="P1138">
        <f>TEXT(B1138,"yyyy-mm")</f>
        <v/>
      </c>
      <c r="Q1138">
        <f>IF(O1138&gt;=3000,"Large","Small")</f>
        <v/>
      </c>
      <c r="R1138">
        <f>INDEX(Products!$F$2:$F$49,MATCH(J1138,Products!$A$2:$A$49,0))</f>
        <v/>
      </c>
      <c r="S1138">
        <f>WEEKDAY(B1138,2)</f>
        <v/>
      </c>
    </row>
    <row r="1139">
      <c r="A1139" t="n">
        <v>509907</v>
      </c>
      <c r="B1139" s="6" t="n">
        <v>45945</v>
      </c>
      <c r="C1139" t="n">
        <v>15401</v>
      </c>
      <c r="D1139" t="inlineStr">
        <is>
          <t>Mumbai</t>
        </is>
      </c>
      <c r="E1139" t="inlineStr">
        <is>
          <t>West</t>
        </is>
      </c>
      <c r="F1139" t="inlineStr">
        <is>
          <t>Paid Search</t>
        </is>
      </c>
      <c r="G1139" t="inlineStr">
        <is>
          <t>Mobile Web</t>
        </is>
      </c>
      <c r="H1139" t="inlineStr">
        <is>
          <t>Cash on Delivery</t>
        </is>
      </c>
      <c r="I1139" t="inlineStr">
        <is>
          <t>Delivered</t>
        </is>
      </c>
      <c r="J1139" t="n">
        <v>130</v>
      </c>
      <c r="K1139" t="n">
        <v>1</v>
      </c>
      <c r="L1139" t="n">
        <v>734</v>
      </c>
      <c r="M1139" t="n">
        <v>73.40000000000001</v>
      </c>
      <c r="N1139">
        <f>VLOOKUP(J1139,Products!$A$2:$C$49,3,FALSE)</f>
        <v/>
      </c>
      <c r="O1139">
        <f>K1139*L1139-M1139</f>
        <v/>
      </c>
      <c r="P1139">
        <f>TEXT(B1139,"yyyy-mm")</f>
        <v/>
      </c>
      <c r="Q1139">
        <f>IF(O1139&gt;=3000,"Large","Small")</f>
        <v/>
      </c>
      <c r="R1139">
        <f>INDEX(Products!$F$2:$F$49,MATCH(J1139,Products!$A$2:$A$49,0))</f>
        <v/>
      </c>
      <c r="S1139">
        <f>WEEKDAY(B1139,2)</f>
        <v/>
      </c>
    </row>
    <row r="1140">
      <c r="A1140" t="n">
        <v>509908</v>
      </c>
      <c r="B1140" s="6" t="n">
        <v>45945</v>
      </c>
      <c r="C1140" t="n">
        <v>12946</v>
      </c>
      <c r="D1140" t="inlineStr">
        <is>
          <t>Mumbai</t>
        </is>
      </c>
      <c r="E1140" t="inlineStr">
        <is>
          <t>West</t>
        </is>
      </c>
      <c r="F1140" t="inlineStr">
        <is>
          <t>Organic Search</t>
        </is>
      </c>
      <c r="G1140" t="inlineStr">
        <is>
          <t>Mobile App</t>
        </is>
      </c>
      <c r="H1140" t="inlineStr">
        <is>
          <t>Credit Card</t>
        </is>
      </c>
      <c r="I1140" t="inlineStr">
        <is>
          <t>Delivered</t>
        </is>
      </c>
      <c r="J1140" t="n">
        <v>137</v>
      </c>
      <c r="K1140" t="n">
        <v>1</v>
      </c>
      <c r="L1140" t="n">
        <v>261</v>
      </c>
      <c r="M1140" t="n">
        <v>0</v>
      </c>
      <c r="N1140">
        <f>VLOOKUP(J1140,Products!$A$2:$C$49,3,FALSE)</f>
        <v/>
      </c>
      <c r="O1140">
        <f>K1140*L1140-M1140</f>
        <v/>
      </c>
      <c r="P1140">
        <f>TEXT(B1140,"yyyy-mm")</f>
        <v/>
      </c>
      <c r="Q1140">
        <f>IF(O1140&gt;=3000,"Large","Small")</f>
        <v/>
      </c>
      <c r="R1140">
        <f>INDEX(Products!$F$2:$F$49,MATCH(J1140,Products!$A$2:$A$49,0))</f>
        <v/>
      </c>
      <c r="S1140">
        <f>WEEKDAY(B1140,2)</f>
        <v/>
      </c>
    </row>
    <row r="1141">
      <c r="A1141" t="n">
        <v>509909</v>
      </c>
      <c r="B1141" s="6" t="n">
        <v>45945</v>
      </c>
      <c r="C1141" t="n">
        <v>16504</v>
      </c>
      <c r="D1141" t="inlineStr">
        <is>
          <t>Bengaluru</t>
        </is>
      </c>
      <c r="E1141" t="inlineStr">
        <is>
          <t>South</t>
        </is>
      </c>
      <c r="F1141" t="inlineStr">
        <is>
          <t>Referral</t>
        </is>
      </c>
      <c r="G1141" t="inlineStr">
        <is>
          <t>Mobile Web</t>
        </is>
      </c>
      <c r="H1141" t="inlineStr">
        <is>
          <t>UPI</t>
        </is>
      </c>
      <c r="I1141" t="inlineStr">
        <is>
          <t>Delivered</t>
        </is>
      </c>
      <c r="J1141" t="n">
        <v>109</v>
      </c>
      <c r="K1141" t="n">
        <v>1</v>
      </c>
      <c r="L1141" t="n">
        <v>4199</v>
      </c>
      <c r="M1141" t="n">
        <v>0</v>
      </c>
      <c r="N1141">
        <f>VLOOKUP(J1141,Products!$A$2:$C$49,3,FALSE)</f>
        <v/>
      </c>
      <c r="O1141">
        <f>K1141*L1141-M1141</f>
        <v/>
      </c>
      <c r="P1141">
        <f>TEXT(B1141,"yyyy-mm")</f>
        <v/>
      </c>
      <c r="Q1141">
        <f>IF(O1141&gt;=3000,"Large","Small")</f>
        <v/>
      </c>
      <c r="R1141">
        <f>INDEX(Products!$F$2:$F$49,MATCH(J1141,Products!$A$2:$A$49,0))</f>
        <v/>
      </c>
      <c r="S1141">
        <f>WEEKDAY(B1141,2)</f>
        <v/>
      </c>
    </row>
    <row r="1142">
      <c r="A1142" t="n">
        <v>509909</v>
      </c>
      <c r="B1142" s="6" t="n">
        <v>45945</v>
      </c>
      <c r="C1142" t="n">
        <v>16504</v>
      </c>
      <c r="D1142" t="inlineStr">
        <is>
          <t>Bengaluru</t>
        </is>
      </c>
      <c r="E1142" t="inlineStr">
        <is>
          <t>South</t>
        </is>
      </c>
      <c r="F1142" t="inlineStr">
        <is>
          <t>Referral</t>
        </is>
      </c>
      <c r="G1142" t="inlineStr">
        <is>
          <t>Mobile Web</t>
        </is>
      </c>
      <c r="H1142" t="inlineStr">
        <is>
          <t>UPI</t>
        </is>
      </c>
      <c r="I1142" t="inlineStr">
        <is>
          <t>Delivered</t>
        </is>
      </c>
      <c r="J1142" t="n">
        <v>141</v>
      </c>
      <c r="K1142" t="n">
        <v>1</v>
      </c>
      <c r="L1142" t="n">
        <v>261</v>
      </c>
      <c r="M1142" t="n">
        <v>0</v>
      </c>
      <c r="N1142">
        <f>VLOOKUP(J1142,Products!$A$2:$C$49,3,FALSE)</f>
        <v/>
      </c>
      <c r="O1142">
        <f>K1142*L1142-M1142</f>
        <v/>
      </c>
      <c r="P1142">
        <f>TEXT(B1142,"yyyy-mm")</f>
        <v/>
      </c>
      <c r="Q1142">
        <f>IF(O1142&gt;=3000,"Large","Small")</f>
        <v/>
      </c>
      <c r="R1142">
        <f>INDEX(Products!$F$2:$F$49,MATCH(J1142,Products!$A$2:$A$49,0))</f>
        <v/>
      </c>
      <c r="S1142">
        <f>WEEKDAY(B1142,2)</f>
        <v/>
      </c>
    </row>
    <row r="1143">
      <c r="A1143" t="n">
        <v>509909</v>
      </c>
      <c r="B1143" s="6" t="n">
        <v>45945</v>
      </c>
      <c r="C1143" t="n">
        <v>16504</v>
      </c>
      <c r="D1143" t="inlineStr">
        <is>
          <t>Bengaluru</t>
        </is>
      </c>
      <c r="E1143" t="inlineStr">
        <is>
          <t>South</t>
        </is>
      </c>
      <c r="F1143" t="inlineStr">
        <is>
          <t>Referral</t>
        </is>
      </c>
      <c r="G1143" t="inlineStr">
        <is>
          <t>Mobile Web</t>
        </is>
      </c>
      <c r="H1143" t="inlineStr">
        <is>
          <t>UPI</t>
        </is>
      </c>
      <c r="I1143" t="inlineStr">
        <is>
          <t>Delivered</t>
        </is>
      </c>
      <c r="J1143" t="n">
        <v>108</v>
      </c>
      <c r="K1143" t="n">
        <v>1</v>
      </c>
      <c r="L1143" t="n">
        <v>419</v>
      </c>
      <c r="M1143" t="n">
        <v>0</v>
      </c>
      <c r="N1143">
        <f>VLOOKUP(J1143,Products!$A$2:$C$49,3,FALSE)</f>
        <v/>
      </c>
      <c r="O1143">
        <f>K1143*L1143-M1143</f>
        <v/>
      </c>
      <c r="P1143">
        <f>TEXT(B1143,"yyyy-mm")</f>
        <v/>
      </c>
      <c r="Q1143">
        <f>IF(O1143&gt;=3000,"Large","Small")</f>
        <v/>
      </c>
      <c r="R1143">
        <f>INDEX(Products!$F$2:$F$49,MATCH(J1143,Products!$A$2:$A$49,0))</f>
        <v/>
      </c>
      <c r="S1143">
        <f>WEEKDAY(B1143,2)</f>
        <v/>
      </c>
    </row>
    <row r="1144">
      <c r="A1144" t="n">
        <v>509910</v>
      </c>
      <c r="B1144" s="6" t="n">
        <v>45945</v>
      </c>
      <c r="C1144" t="n">
        <v>16134</v>
      </c>
      <c r="D1144" t="inlineStr">
        <is>
          <t>Mumbai</t>
        </is>
      </c>
      <c r="E1144" t="inlineStr">
        <is>
          <t>West</t>
        </is>
      </c>
      <c r="F1144" t="inlineStr">
        <is>
          <t>Referral</t>
        </is>
      </c>
      <c r="G1144" t="inlineStr">
        <is>
          <t>Mobile Web</t>
        </is>
      </c>
      <c r="H1144" t="inlineStr">
        <is>
          <t>Cash on Delivery</t>
        </is>
      </c>
      <c r="I1144" t="inlineStr">
        <is>
          <t>Delivered</t>
        </is>
      </c>
      <c r="J1144" t="n">
        <v>115</v>
      </c>
      <c r="K1144" t="n">
        <v>1</v>
      </c>
      <c r="L1144" t="n">
        <v>4199</v>
      </c>
      <c r="M1144" t="n">
        <v>419.9</v>
      </c>
      <c r="N1144">
        <f>VLOOKUP(J1144,Products!$A$2:$C$49,3,FALSE)</f>
        <v/>
      </c>
      <c r="O1144">
        <f>K1144*L1144-M1144</f>
        <v/>
      </c>
      <c r="P1144">
        <f>TEXT(B1144,"yyyy-mm")</f>
        <v/>
      </c>
      <c r="Q1144">
        <f>IF(O1144&gt;=3000,"Large","Small")</f>
        <v/>
      </c>
      <c r="R1144">
        <f>INDEX(Products!$F$2:$F$49,MATCH(J1144,Products!$A$2:$A$49,0))</f>
        <v/>
      </c>
      <c r="S1144">
        <f>WEEKDAY(B1144,2)</f>
        <v/>
      </c>
    </row>
    <row r="1145">
      <c r="A1145" t="n">
        <v>509910</v>
      </c>
      <c r="B1145" s="6" t="n">
        <v>45945</v>
      </c>
      <c r="C1145" t="n">
        <v>16134</v>
      </c>
      <c r="D1145" t="inlineStr">
        <is>
          <t>Mumbai</t>
        </is>
      </c>
      <c r="E1145" t="inlineStr">
        <is>
          <t>West</t>
        </is>
      </c>
      <c r="F1145" t="inlineStr">
        <is>
          <t>Referral</t>
        </is>
      </c>
      <c r="G1145" t="inlineStr">
        <is>
          <t>Mobile Web</t>
        </is>
      </c>
      <c r="H1145" t="inlineStr">
        <is>
          <t>Cash on Delivery</t>
        </is>
      </c>
      <c r="I1145" t="inlineStr">
        <is>
          <t>Delivered</t>
        </is>
      </c>
      <c r="J1145" t="n">
        <v>147</v>
      </c>
      <c r="K1145" t="n">
        <v>2</v>
      </c>
      <c r="L1145" t="n">
        <v>1364</v>
      </c>
      <c r="M1145" t="n">
        <v>272.8</v>
      </c>
      <c r="N1145">
        <f>VLOOKUP(J1145,Products!$A$2:$C$49,3,FALSE)</f>
        <v/>
      </c>
      <c r="O1145">
        <f>K1145*L1145-M1145</f>
        <v/>
      </c>
      <c r="P1145">
        <f>TEXT(B1145,"yyyy-mm")</f>
        <v/>
      </c>
      <c r="Q1145">
        <f>IF(O1145&gt;=3000,"Large","Small")</f>
        <v/>
      </c>
      <c r="R1145">
        <f>INDEX(Products!$F$2:$F$49,MATCH(J1145,Products!$A$2:$A$49,0))</f>
        <v/>
      </c>
      <c r="S1145">
        <f>WEEKDAY(B1145,2)</f>
        <v/>
      </c>
    </row>
    <row r="1146">
      <c r="A1146" t="n">
        <v>509910</v>
      </c>
      <c r="B1146" s="6" t="n">
        <v>45945</v>
      </c>
      <c r="C1146" t="n">
        <v>16134</v>
      </c>
      <c r="D1146" t="inlineStr">
        <is>
          <t>Mumbai</t>
        </is>
      </c>
      <c r="E1146" t="inlineStr">
        <is>
          <t>West</t>
        </is>
      </c>
      <c r="F1146" t="inlineStr">
        <is>
          <t>Referral</t>
        </is>
      </c>
      <c r="G1146" t="inlineStr">
        <is>
          <t>Mobile Web</t>
        </is>
      </c>
      <c r="H1146" t="inlineStr">
        <is>
          <t>Cash on Delivery</t>
        </is>
      </c>
      <c r="I1146" t="inlineStr">
        <is>
          <t>Delivered</t>
        </is>
      </c>
      <c r="J1146" t="n">
        <v>122</v>
      </c>
      <c r="K1146" t="n">
        <v>1</v>
      </c>
      <c r="L1146" t="n">
        <v>1994</v>
      </c>
      <c r="M1146" t="n">
        <v>199.4</v>
      </c>
      <c r="N1146">
        <f>VLOOKUP(J1146,Products!$A$2:$C$49,3,FALSE)</f>
        <v/>
      </c>
      <c r="O1146">
        <f>K1146*L1146-M1146</f>
        <v/>
      </c>
      <c r="P1146">
        <f>TEXT(B1146,"yyyy-mm")</f>
        <v/>
      </c>
      <c r="Q1146">
        <f>IF(O1146&gt;=3000,"Large","Small")</f>
        <v/>
      </c>
      <c r="R1146">
        <f>INDEX(Products!$F$2:$F$49,MATCH(J1146,Products!$A$2:$A$49,0))</f>
        <v/>
      </c>
      <c r="S1146">
        <f>WEEKDAY(B1146,2)</f>
        <v/>
      </c>
    </row>
    <row r="1147">
      <c r="A1147" t="n">
        <v>509910</v>
      </c>
      <c r="B1147" s="6" t="n">
        <v>45945</v>
      </c>
      <c r="C1147" t="n">
        <v>16134</v>
      </c>
      <c r="D1147" t="inlineStr">
        <is>
          <t>Mumbai</t>
        </is>
      </c>
      <c r="E1147" t="inlineStr">
        <is>
          <t>West</t>
        </is>
      </c>
      <c r="F1147" t="inlineStr">
        <is>
          <t>Referral</t>
        </is>
      </c>
      <c r="G1147" t="inlineStr">
        <is>
          <t>Mobile Web</t>
        </is>
      </c>
      <c r="H1147" t="inlineStr">
        <is>
          <t>Cash on Delivery</t>
        </is>
      </c>
      <c r="I1147" t="inlineStr">
        <is>
          <t>Delivered</t>
        </is>
      </c>
      <c r="J1147" t="n">
        <v>129</v>
      </c>
      <c r="K1147" t="n">
        <v>1</v>
      </c>
      <c r="L1147" t="n">
        <v>576</v>
      </c>
      <c r="M1147" t="n">
        <v>57.6</v>
      </c>
      <c r="N1147">
        <f>VLOOKUP(J1147,Products!$A$2:$C$49,3,FALSE)</f>
        <v/>
      </c>
      <c r="O1147">
        <f>K1147*L1147-M1147</f>
        <v/>
      </c>
      <c r="P1147">
        <f>TEXT(B1147,"yyyy-mm")</f>
        <v/>
      </c>
      <c r="Q1147">
        <f>IF(O1147&gt;=3000,"Large","Small")</f>
        <v/>
      </c>
      <c r="R1147">
        <f>INDEX(Products!$F$2:$F$49,MATCH(J1147,Products!$A$2:$A$49,0))</f>
        <v/>
      </c>
      <c r="S1147">
        <f>WEEKDAY(B1147,2)</f>
        <v/>
      </c>
    </row>
    <row r="1148">
      <c r="A1148" t="n">
        <v>509911</v>
      </c>
      <c r="B1148" s="6" t="n">
        <v>45945</v>
      </c>
      <c r="C1148" t="n">
        <v>16776</v>
      </c>
      <c r="D1148" t="inlineStr">
        <is>
          <t>Ahmedabad</t>
        </is>
      </c>
      <c r="E1148" t="inlineStr">
        <is>
          <t>West</t>
        </is>
      </c>
      <c r="F1148" t="inlineStr">
        <is>
          <t>Paid Social</t>
        </is>
      </c>
      <c r="G1148" t="inlineStr">
        <is>
          <t>Desktop</t>
        </is>
      </c>
      <c r="H1148" t="inlineStr">
        <is>
          <t>UPI</t>
        </is>
      </c>
      <c r="I1148" t="inlineStr">
        <is>
          <t>Delivered</t>
        </is>
      </c>
      <c r="J1148" t="n">
        <v>125</v>
      </c>
      <c r="K1148" t="n">
        <v>1</v>
      </c>
      <c r="L1148" t="n">
        <v>1364</v>
      </c>
      <c r="M1148" t="n">
        <v>136.4</v>
      </c>
      <c r="N1148">
        <f>VLOOKUP(J1148,Products!$A$2:$C$49,3,FALSE)</f>
        <v/>
      </c>
      <c r="O1148">
        <f>K1148*L1148-M1148</f>
        <v/>
      </c>
      <c r="P1148">
        <f>TEXT(B1148,"yyyy-mm")</f>
        <v/>
      </c>
      <c r="Q1148">
        <f>IF(O1148&gt;=3000,"Large","Small")</f>
        <v/>
      </c>
      <c r="R1148">
        <f>INDEX(Products!$F$2:$F$49,MATCH(J1148,Products!$A$2:$A$49,0))</f>
        <v/>
      </c>
      <c r="S1148">
        <f>WEEKDAY(B1148,2)</f>
        <v/>
      </c>
    </row>
    <row r="1149">
      <c r="A1149" t="n">
        <v>509911</v>
      </c>
      <c r="B1149" s="6" t="n">
        <v>45945</v>
      </c>
      <c r="C1149" t="n">
        <v>16776</v>
      </c>
      <c r="D1149" t="inlineStr">
        <is>
          <t>Ahmedabad</t>
        </is>
      </c>
      <c r="E1149" t="inlineStr">
        <is>
          <t>West</t>
        </is>
      </c>
      <c r="F1149" t="inlineStr">
        <is>
          <t>Paid Social</t>
        </is>
      </c>
      <c r="G1149" t="inlineStr">
        <is>
          <t>Desktop</t>
        </is>
      </c>
      <c r="H1149" t="inlineStr">
        <is>
          <t>UPI</t>
        </is>
      </c>
      <c r="I1149" t="inlineStr">
        <is>
          <t>Delivered</t>
        </is>
      </c>
      <c r="J1149" t="n">
        <v>110</v>
      </c>
      <c r="K1149" t="n">
        <v>1</v>
      </c>
      <c r="L1149" t="n">
        <v>839</v>
      </c>
      <c r="M1149" t="n">
        <v>83.90000000000001</v>
      </c>
      <c r="N1149">
        <f>VLOOKUP(J1149,Products!$A$2:$C$49,3,FALSE)</f>
        <v/>
      </c>
      <c r="O1149">
        <f>K1149*L1149-M1149</f>
        <v/>
      </c>
      <c r="P1149">
        <f>TEXT(B1149,"yyyy-mm")</f>
        <v/>
      </c>
      <c r="Q1149">
        <f>IF(O1149&gt;=3000,"Large","Small")</f>
        <v/>
      </c>
      <c r="R1149">
        <f>INDEX(Products!$F$2:$F$49,MATCH(J1149,Products!$A$2:$A$49,0))</f>
        <v/>
      </c>
      <c r="S1149">
        <f>WEEKDAY(B1149,2)</f>
        <v/>
      </c>
    </row>
    <row r="1150">
      <c r="A1150" t="n">
        <v>509911</v>
      </c>
      <c r="B1150" s="6" t="n">
        <v>45945</v>
      </c>
      <c r="C1150" t="n">
        <v>16776</v>
      </c>
      <c r="D1150" t="inlineStr">
        <is>
          <t>Ahmedabad</t>
        </is>
      </c>
      <c r="E1150" t="inlineStr">
        <is>
          <t>West</t>
        </is>
      </c>
      <c r="F1150" t="inlineStr">
        <is>
          <t>Paid Social</t>
        </is>
      </c>
      <c r="G1150" t="inlineStr">
        <is>
          <t>Desktop</t>
        </is>
      </c>
      <c r="H1150" t="inlineStr">
        <is>
          <t>UPI</t>
        </is>
      </c>
      <c r="I1150" t="inlineStr">
        <is>
          <t>Delivered</t>
        </is>
      </c>
      <c r="J1150" t="n">
        <v>133</v>
      </c>
      <c r="K1150" t="n">
        <v>2</v>
      </c>
      <c r="L1150" t="n">
        <v>419</v>
      </c>
      <c r="M1150" t="n">
        <v>83.8</v>
      </c>
      <c r="N1150">
        <f>VLOOKUP(J1150,Products!$A$2:$C$49,3,FALSE)</f>
        <v/>
      </c>
      <c r="O1150">
        <f>K1150*L1150-M1150</f>
        <v/>
      </c>
      <c r="P1150">
        <f>TEXT(B1150,"yyyy-mm")</f>
        <v/>
      </c>
      <c r="Q1150">
        <f>IF(O1150&gt;=3000,"Large","Small")</f>
        <v/>
      </c>
      <c r="R1150">
        <f>INDEX(Products!$F$2:$F$49,MATCH(J1150,Products!$A$2:$A$49,0))</f>
        <v/>
      </c>
      <c r="S1150">
        <f>WEEKDAY(B1150,2)</f>
        <v/>
      </c>
    </row>
    <row r="1151">
      <c r="A1151" t="n">
        <v>509912</v>
      </c>
      <c r="B1151" s="6" t="n">
        <v>45945</v>
      </c>
      <c r="C1151" t="n">
        <v>16841</v>
      </c>
      <c r="D1151" t="inlineStr">
        <is>
          <t>Mumbai</t>
        </is>
      </c>
      <c r="E1151" t="inlineStr">
        <is>
          <t>West</t>
        </is>
      </c>
      <c r="F1151" t="inlineStr">
        <is>
          <t>Organic Search</t>
        </is>
      </c>
      <c r="G1151" t="inlineStr">
        <is>
          <t>Mobile App</t>
        </is>
      </c>
      <c r="H1151" t="inlineStr">
        <is>
          <t>Cash on Delivery</t>
        </is>
      </c>
      <c r="I1151" t="inlineStr">
        <is>
          <t>Delivered</t>
        </is>
      </c>
      <c r="J1151" t="n">
        <v>121</v>
      </c>
      <c r="K1151" t="n">
        <v>1</v>
      </c>
      <c r="L1151" t="n">
        <v>2939</v>
      </c>
      <c r="M1151" t="n">
        <v>0</v>
      </c>
      <c r="N1151">
        <f>VLOOKUP(J1151,Products!$A$2:$C$49,3,FALSE)</f>
        <v/>
      </c>
      <c r="O1151">
        <f>K1151*L1151-M1151</f>
        <v/>
      </c>
      <c r="P1151">
        <f>TEXT(B1151,"yyyy-mm")</f>
        <v/>
      </c>
      <c r="Q1151">
        <f>IF(O1151&gt;=3000,"Large","Small")</f>
        <v/>
      </c>
      <c r="R1151">
        <f>INDEX(Products!$F$2:$F$49,MATCH(J1151,Products!$A$2:$A$49,0))</f>
        <v/>
      </c>
      <c r="S1151">
        <f>WEEKDAY(B1151,2)</f>
        <v/>
      </c>
    </row>
    <row r="1152">
      <c r="A1152" t="n">
        <v>509912</v>
      </c>
      <c r="B1152" s="6" t="n">
        <v>45945</v>
      </c>
      <c r="C1152" t="n">
        <v>16841</v>
      </c>
      <c r="D1152" t="inlineStr">
        <is>
          <t>Mumbai</t>
        </is>
      </c>
      <c r="E1152" t="inlineStr">
        <is>
          <t>West</t>
        </is>
      </c>
      <c r="F1152" t="inlineStr">
        <is>
          <t>Organic Search</t>
        </is>
      </c>
      <c r="G1152" t="inlineStr">
        <is>
          <t>Mobile App</t>
        </is>
      </c>
      <c r="H1152" t="inlineStr">
        <is>
          <t>Cash on Delivery</t>
        </is>
      </c>
      <c r="I1152" t="inlineStr">
        <is>
          <t>Delivered</t>
        </is>
      </c>
      <c r="J1152" t="n">
        <v>111</v>
      </c>
      <c r="K1152" t="n">
        <v>1</v>
      </c>
      <c r="L1152" t="n">
        <v>524</v>
      </c>
      <c r="M1152" t="n">
        <v>0</v>
      </c>
      <c r="N1152">
        <f>VLOOKUP(J1152,Products!$A$2:$C$49,3,FALSE)</f>
        <v/>
      </c>
      <c r="O1152">
        <f>K1152*L1152-M1152</f>
        <v/>
      </c>
      <c r="P1152">
        <f>TEXT(B1152,"yyyy-mm")</f>
        <v/>
      </c>
      <c r="Q1152">
        <f>IF(O1152&gt;=3000,"Large","Small")</f>
        <v/>
      </c>
      <c r="R1152">
        <f>INDEX(Products!$F$2:$F$49,MATCH(J1152,Products!$A$2:$A$49,0))</f>
        <v/>
      </c>
      <c r="S1152">
        <f>WEEKDAY(B1152,2)</f>
        <v/>
      </c>
    </row>
    <row r="1153">
      <c r="A1153" t="n">
        <v>509913</v>
      </c>
      <c r="B1153" s="6" t="n">
        <v>45945</v>
      </c>
      <c r="C1153" t="n">
        <v>12484</v>
      </c>
      <c r="D1153" t="inlineStr">
        <is>
          <t>Indore</t>
        </is>
      </c>
      <c r="E1153" t="inlineStr">
        <is>
          <t>West</t>
        </is>
      </c>
      <c r="F1153" t="inlineStr">
        <is>
          <t>Paid Search</t>
        </is>
      </c>
      <c r="G1153" t="inlineStr">
        <is>
          <t>Mobile App</t>
        </is>
      </c>
      <c r="H1153" t="inlineStr">
        <is>
          <t>Cash on Delivery</t>
        </is>
      </c>
      <c r="I1153" t="inlineStr">
        <is>
          <t>Delivered</t>
        </is>
      </c>
      <c r="J1153" t="n">
        <v>111</v>
      </c>
      <c r="K1153" t="n">
        <v>1</v>
      </c>
      <c r="L1153" t="n">
        <v>524</v>
      </c>
      <c r="M1153" t="n">
        <v>0</v>
      </c>
      <c r="N1153">
        <f>VLOOKUP(J1153,Products!$A$2:$C$49,3,FALSE)</f>
        <v/>
      </c>
      <c r="O1153">
        <f>K1153*L1153-M1153</f>
        <v/>
      </c>
      <c r="P1153">
        <f>TEXT(B1153,"yyyy-mm")</f>
        <v/>
      </c>
      <c r="Q1153">
        <f>IF(O1153&gt;=3000,"Large","Small")</f>
        <v/>
      </c>
      <c r="R1153">
        <f>INDEX(Products!$F$2:$F$49,MATCH(J1153,Products!$A$2:$A$49,0))</f>
        <v/>
      </c>
      <c r="S1153">
        <f>WEEKDAY(B1153,2)</f>
        <v/>
      </c>
    </row>
    <row r="1154">
      <c r="A1154" t="n">
        <v>509913</v>
      </c>
      <c r="B1154" s="6" t="n">
        <v>45945</v>
      </c>
      <c r="C1154" t="n">
        <v>12484</v>
      </c>
      <c r="D1154" t="inlineStr">
        <is>
          <t>Indore</t>
        </is>
      </c>
      <c r="E1154" t="inlineStr">
        <is>
          <t>West</t>
        </is>
      </c>
      <c r="F1154" t="inlineStr">
        <is>
          <t>Paid Search</t>
        </is>
      </c>
      <c r="G1154" t="inlineStr">
        <is>
          <t>Mobile App</t>
        </is>
      </c>
      <c r="H1154" t="inlineStr">
        <is>
          <t>Cash on Delivery</t>
        </is>
      </c>
      <c r="I1154" t="inlineStr">
        <is>
          <t>Delivered</t>
        </is>
      </c>
      <c r="J1154" t="n">
        <v>104</v>
      </c>
      <c r="K1154" t="n">
        <v>1</v>
      </c>
      <c r="L1154" t="n">
        <v>5249</v>
      </c>
      <c r="M1154" t="n">
        <v>0</v>
      </c>
      <c r="N1154">
        <f>VLOOKUP(J1154,Products!$A$2:$C$49,3,FALSE)</f>
        <v/>
      </c>
      <c r="O1154">
        <f>K1154*L1154-M1154</f>
        <v/>
      </c>
      <c r="P1154">
        <f>TEXT(B1154,"yyyy-mm")</f>
        <v/>
      </c>
      <c r="Q1154">
        <f>IF(O1154&gt;=3000,"Large","Small")</f>
        <v/>
      </c>
      <c r="R1154">
        <f>INDEX(Products!$F$2:$F$49,MATCH(J1154,Products!$A$2:$A$49,0))</f>
        <v/>
      </c>
      <c r="S1154">
        <f>WEEKDAY(B1154,2)</f>
        <v/>
      </c>
    </row>
    <row r="1155">
      <c r="A1155" t="n">
        <v>509914</v>
      </c>
      <c r="B1155" s="6" t="n">
        <v>45945</v>
      </c>
      <c r="C1155" t="n">
        <v>12495</v>
      </c>
      <c r="D1155" t="inlineStr">
        <is>
          <t>Chennai</t>
        </is>
      </c>
      <c r="E1155" t="inlineStr">
        <is>
          <t>South</t>
        </is>
      </c>
      <c r="F1155" t="inlineStr">
        <is>
          <t>Organic Search</t>
        </is>
      </c>
      <c r="G1155" t="inlineStr">
        <is>
          <t>Desktop</t>
        </is>
      </c>
      <c r="H1155" t="inlineStr">
        <is>
          <t>Cash on Delivery</t>
        </is>
      </c>
      <c r="I1155" t="inlineStr">
        <is>
          <t>Delivered</t>
        </is>
      </c>
      <c r="J1155" t="n">
        <v>104</v>
      </c>
      <c r="K1155" t="n">
        <v>2</v>
      </c>
      <c r="L1155" t="n">
        <v>5249</v>
      </c>
      <c r="M1155" t="n">
        <v>1049.8</v>
      </c>
      <c r="N1155">
        <f>VLOOKUP(J1155,Products!$A$2:$C$49,3,FALSE)</f>
        <v/>
      </c>
      <c r="O1155">
        <f>K1155*L1155-M1155</f>
        <v/>
      </c>
      <c r="P1155">
        <f>TEXT(B1155,"yyyy-mm")</f>
        <v/>
      </c>
      <c r="Q1155">
        <f>IF(O1155&gt;=3000,"Large","Small")</f>
        <v/>
      </c>
      <c r="R1155">
        <f>INDEX(Products!$F$2:$F$49,MATCH(J1155,Products!$A$2:$A$49,0))</f>
        <v/>
      </c>
      <c r="S1155">
        <f>WEEKDAY(B1155,2)</f>
        <v/>
      </c>
    </row>
    <row r="1156">
      <c r="A1156" t="n">
        <v>509914</v>
      </c>
      <c r="B1156" s="6" t="n">
        <v>45945</v>
      </c>
      <c r="C1156" t="n">
        <v>12495</v>
      </c>
      <c r="D1156" t="inlineStr">
        <is>
          <t>Chennai</t>
        </is>
      </c>
      <c r="E1156" t="inlineStr">
        <is>
          <t>South</t>
        </is>
      </c>
      <c r="F1156" t="inlineStr">
        <is>
          <t>Organic Search</t>
        </is>
      </c>
      <c r="G1156" t="inlineStr">
        <is>
          <t>Desktop</t>
        </is>
      </c>
      <c r="H1156" t="inlineStr">
        <is>
          <t>Cash on Delivery</t>
        </is>
      </c>
      <c r="I1156" t="inlineStr">
        <is>
          <t>Delivered</t>
        </is>
      </c>
      <c r="J1156" t="n">
        <v>132</v>
      </c>
      <c r="K1156" t="n">
        <v>1</v>
      </c>
      <c r="L1156" t="n">
        <v>471</v>
      </c>
      <c r="M1156" t="n">
        <v>47.1</v>
      </c>
      <c r="N1156">
        <f>VLOOKUP(J1156,Products!$A$2:$C$49,3,FALSE)</f>
        <v/>
      </c>
      <c r="O1156">
        <f>K1156*L1156-M1156</f>
        <v/>
      </c>
      <c r="P1156">
        <f>TEXT(B1156,"yyyy-mm")</f>
        <v/>
      </c>
      <c r="Q1156">
        <f>IF(O1156&gt;=3000,"Large","Small")</f>
        <v/>
      </c>
      <c r="R1156">
        <f>INDEX(Products!$F$2:$F$49,MATCH(J1156,Products!$A$2:$A$49,0))</f>
        <v/>
      </c>
      <c r="S1156">
        <f>WEEKDAY(B1156,2)</f>
        <v/>
      </c>
    </row>
    <row r="1157">
      <c r="A1157" t="n">
        <v>509914</v>
      </c>
      <c r="B1157" s="6" t="n">
        <v>45945</v>
      </c>
      <c r="C1157" t="n">
        <v>12495</v>
      </c>
      <c r="D1157" t="inlineStr">
        <is>
          <t>Chennai</t>
        </is>
      </c>
      <c r="E1157" t="inlineStr">
        <is>
          <t>South</t>
        </is>
      </c>
      <c r="F1157" t="inlineStr">
        <is>
          <t>Organic Search</t>
        </is>
      </c>
      <c r="G1157" t="inlineStr">
        <is>
          <t>Desktop</t>
        </is>
      </c>
      <c r="H1157" t="inlineStr">
        <is>
          <t>Cash on Delivery</t>
        </is>
      </c>
      <c r="I1157" t="inlineStr">
        <is>
          <t>Delivered</t>
        </is>
      </c>
      <c r="J1157" t="n">
        <v>106</v>
      </c>
      <c r="K1157" t="n">
        <v>1</v>
      </c>
      <c r="L1157" t="n">
        <v>1574</v>
      </c>
      <c r="M1157" t="n">
        <v>157.4</v>
      </c>
      <c r="N1157">
        <f>VLOOKUP(J1157,Products!$A$2:$C$49,3,FALSE)</f>
        <v/>
      </c>
      <c r="O1157">
        <f>K1157*L1157-M1157</f>
        <v/>
      </c>
      <c r="P1157">
        <f>TEXT(B1157,"yyyy-mm")</f>
        <v/>
      </c>
      <c r="Q1157">
        <f>IF(O1157&gt;=3000,"Large","Small")</f>
        <v/>
      </c>
      <c r="R1157">
        <f>INDEX(Products!$F$2:$F$49,MATCH(J1157,Products!$A$2:$A$49,0))</f>
        <v/>
      </c>
      <c r="S1157">
        <f>WEEKDAY(B1157,2)</f>
        <v/>
      </c>
    </row>
    <row r="1158">
      <c r="A1158" t="n">
        <v>509914</v>
      </c>
      <c r="B1158" s="6" t="n">
        <v>45945</v>
      </c>
      <c r="C1158" t="n">
        <v>12495</v>
      </c>
      <c r="D1158" t="inlineStr">
        <is>
          <t>Chennai</t>
        </is>
      </c>
      <c r="E1158" t="inlineStr">
        <is>
          <t>South</t>
        </is>
      </c>
      <c r="F1158" t="inlineStr">
        <is>
          <t>Organic Search</t>
        </is>
      </c>
      <c r="G1158" t="inlineStr">
        <is>
          <t>Desktop</t>
        </is>
      </c>
      <c r="H1158" t="inlineStr">
        <is>
          <t>Cash on Delivery</t>
        </is>
      </c>
      <c r="I1158" t="inlineStr">
        <is>
          <t>Delivered</t>
        </is>
      </c>
      <c r="J1158" t="n">
        <v>129</v>
      </c>
      <c r="K1158" t="n">
        <v>1</v>
      </c>
      <c r="L1158" t="n">
        <v>576</v>
      </c>
      <c r="M1158" t="n">
        <v>57.6</v>
      </c>
      <c r="N1158">
        <f>VLOOKUP(J1158,Products!$A$2:$C$49,3,FALSE)</f>
        <v/>
      </c>
      <c r="O1158">
        <f>K1158*L1158-M1158</f>
        <v/>
      </c>
      <c r="P1158">
        <f>TEXT(B1158,"yyyy-mm")</f>
        <v/>
      </c>
      <c r="Q1158">
        <f>IF(O1158&gt;=3000,"Large","Small")</f>
        <v/>
      </c>
      <c r="R1158">
        <f>INDEX(Products!$F$2:$F$49,MATCH(J1158,Products!$A$2:$A$49,0))</f>
        <v/>
      </c>
      <c r="S1158">
        <f>WEEKDAY(B1158,2)</f>
        <v/>
      </c>
    </row>
    <row r="1159">
      <c r="A1159" t="n">
        <v>509915</v>
      </c>
      <c r="B1159" s="6" t="n">
        <v>45945</v>
      </c>
      <c r="C1159" t="n">
        <v>15549</v>
      </c>
      <c r="D1159" t="inlineStr">
        <is>
          <t>Delhi</t>
        </is>
      </c>
      <c r="E1159" t="inlineStr">
        <is>
          <t>North</t>
        </is>
      </c>
      <c r="F1159" t="inlineStr">
        <is>
          <t>Organic Search</t>
        </is>
      </c>
      <c r="G1159" t="inlineStr">
        <is>
          <t>Mobile Web</t>
        </is>
      </c>
      <c r="H1159" t="inlineStr">
        <is>
          <t>UPI</t>
        </is>
      </c>
      <c r="I1159" t="inlineStr">
        <is>
          <t>Delivered</t>
        </is>
      </c>
      <c r="J1159" t="n">
        <v>129</v>
      </c>
      <c r="K1159" t="n">
        <v>1</v>
      </c>
      <c r="L1159" t="n">
        <v>576</v>
      </c>
      <c r="M1159" t="n">
        <v>0</v>
      </c>
      <c r="N1159">
        <f>VLOOKUP(J1159,Products!$A$2:$C$49,3,FALSE)</f>
        <v/>
      </c>
      <c r="O1159">
        <f>K1159*L1159-M1159</f>
        <v/>
      </c>
      <c r="P1159">
        <f>TEXT(B1159,"yyyy-mm")</f>
        <v/>
      </c>
      <c r="Q1159">
        <f>IF(O1159&gt;=3000,"Large","Small")</f>
        <v/>
      </c>
      <c r="R1159">
        <f>INDEX(Products!$F$2:$F$49,MATCH(J1159,Products!$A$2:$A$49,0))</f>
        <v/>
      </c>
      <c r="S1159">
        <f>WEEKDAY(B1159,2)</f>
        <v/>
      </c>
    </row>
    <row r="1160">
      <c r="A1160" t="n">
        <v>509915</v>
      </c>
      <c r="B1160" s="6" t="n">
        <v>45945</v>
      </c>
      <c r="C1160" t="n">
        <v>15549</v>
      </c>
      <c r="D1160" t="inlineStr">
        <is>
          <t>Delhi</t>
        </is>
      </c>
      <c r="E1160" t="inlineStr">
        <is>
          <t>North</t>
        </is>
      </c>
      <c r="F1160" t="inlineStr">
        <is>
          <t>Organic Search</t>
        </is>
      </c>
      <c r="G1160" t="inlineStr">
        <is>
          <t>Mobile Web</t>
        </is>
      </c>
      <c r="H1160" t="inlineStr">
        <is>
          <t>UPI</t>
        </is>
      </c>
      <c r="I1160" t="inlineStr">
        <is>
          <t>Delivered</t>
        </is>
      </c>
      <c r="J1160" t="n">
        <v>112</v>
      </c>
      <c r="K1160" t="n">
        <v>1</v>
      </c>
      <c r="L1160" t="n">
        <v>1574</v>
      </c>
      <c r="M1160" t="n">
        <v>0</v>
      </c>
      <c r="N1160">
        <f>VLOOKUP(J1160,Products!$A$2:$C$49,3,FALSE)</f>
        <v/>
      </c>
      <c r="O1160">
        <f>K1160*L1160-M1160</f>
        <v/>
      </c>
      <c r="P1160">
        <f>TEXT(B1160,"yyyy-mm")</f>
        <v/>
      </c>
      <c r="Q1160">
        <f>IF(O1160&gt;=3000,"Large","Small")</f>
        <v/>
      </c>
      <c r="R1160">
        <f>INDEX(Products!$F$2:$F$49,MATCH(J1160,Products!$A$2:$A$49,0))</f>
        <v/>
      </c>
      <c r="S1160">
        <f>WEEKDAY(B1160,2)</f>
        <v/>
      </c>
    </row>
    <row r="1161">
      <c r="A1161" t="n">
        <v>509915</v>
      </c>
      <c r="B1161" s="6" t="n">
        <v>45945</v>
      </c>
      <c r="C1161" t="n">
        <v>15549</v>
      </c>
      <c r="D1161" t="inlineStr">
        <is>
          <t>Delhi</t>
        </is>
      </c>
      <c r="E1161" t="inlineStr">
        <is>
          <t>North</t>
        </is>
      </c>
      <c r="F1161" t="inlineStr">
        <is>
          <t>Organic Search</t>
        </is>
      </c>
      <c r="G1161" t="inlineStr">
        <is>
          <t>Mobile Web</t>
        </is>
      </c>
      <c r="H1161" t="inlineStr">
        <is>
          <t>UPI</t>
        </is>
      </c>
      <c r="I1161" t="inlineStr">
        <is>
          <t>Delivered</t>
        </is>
      </c>
      <c r="J1161" t="n">
        <v>117</v>
      </c>
      <c r="K1161" t="n">
        <v>1</v>
      </c>
      <c r="L1161" t="n">
        <v>3149</v>
      </c>
      <c r="M1161" t="n">
        <v>0</v>
      </c>
      <c r="N1161">
        <f>VLOOKUP(J1161,Products!$A$2:$C$49,3,FALSE)</f>
        <v/>
      </c>
      <c r="O1161">
        <f>K1161*L1161-M1161</f>
        <v/>
      </c>
      <c r="P1161">
        <f>TEXT(B1161,"yyyy-mm")</f>
        <v/>
      </c>
      <c r="Q1161">
        <f>IF(O1161&gt;=3000,"Large","Small")</f>
        <v/>
      </c>
      <c r="R1161">
        <f>INDEX(Products!$F$2:$F$49,MATCH(J1161,Products!$A$2:$A$49,0))</f>
        <v/>
      </c>
      <c r="S1161">
        <f>WEEKDAY(B1161,2)</f>
        <v/>
      </c>
    </row>
    <row r="1162">
      <c r="A1162" t="n">
        <v>509916</v>
      </c>
      <c r="B1162" s="6" t="n">
        <v>45945</v>
      </c>
      <c r="C1162" t="n">
        <v>16643</v>
      </c>
      <c r="D1162" t="inlineStr">
        <is>
          <t>Delhi</t>
        </is>
      </c>
      <c r="E1162" t="inlineStr">
        <is>
          <t>North</t>
        </is>
      </c>
      <c r="F1162" t="inlineStr">
        <is>
          <t>Referral</t>
        </is>
      </c>
      <c r="G1162" t="inlineStr">
        <is>
          <t>Mobile App</t>
        </is>
      </c>
      <c r="H1162" t="inlineStr">
        <is>
          <t>UPI</t>
        </is>
      </c>
      <c r="I1162" t="inlineStr">
        <is>
          <t>Delivered</t>
        </is>
      </c>
      <c r="J1162" t="n">
        <v>105</v>
      </c>
      <c r="K1162" t="n">
        <v>1</v>
      </c>
      <c r="L1162" t="n">
        <v>2414</v>
      </c>
      <c r="M1162" t="n">
        <v>0</v>
      </c>
      <c r="N1162">
        <f>VLOOKUP(J1162,Products!$A$2:$C$49,3,FALSE)</f>
        <v/>
      </c>
      <c r="O1162">
        <f>K1162*L1162-M1162</f>
        <v/>
      </c>
      <c r="P1162">
        <f>TEXT(B1162,"yyyy-mm")</f>
        <v/>
      </c>
      <c r="Q1162">
        <f>IF(O1162&gt;=3000,"Large","Small")</f>
        <v/>
      </c>
      <c r="R1162">
        <f>INDEX(Products!$F$2:$F$49,MATCH(J1162,Products!$A$2:$A$49,0))</f>
        <v/>
      </c>
      <c r="S1162">
        <f>WEEKDAY(B1162,2)</f>
        <v/>
      </c>
    </row>
    <row r="1163">
      <c r="A1163" t="n">
        <v>509917</v>
      </c>
      <c r="B1163" s="6" t="n">
        <v>45945</v>
      </c>
      <c r="C1163" t="n">
        <v>12491</v>
      </c>
      <c r="D1163" t="inlineStr">
        <is>
          <t>Bengaluru</t>
        </is>
      </c>
      <c r="E1163" t="inlineStr">
        <is>
          <t>South</t>
        </is>
      </c>
      <c r="F1163" t="inlineStr">
        <is>
          <t>Organic Search</t>
        </is>
      </c>
      <c r="G1163" t="inlineStr">
        <is>
          <t>Desktop</t>
        </is>
      </c>
      <c r="H1163" t="inlineStr">
        <is>
          <t>UPI</t>
        </is>
      </c>
      <c r="I1163" t="inlineStr">
        <is>
          <t>Delivered</t>
        </is>
      </c>
      <c r="J1163" t="n">
        <v>117</v>
      </c>
      <c r="K1163" t="n">
        <v>1</v>
      </c>
      <c r="L1163" t="n">
        <v>3149</v>
      </c>
      <c r="M1163" t="n">
        <v>0</v>
      </c>
      <c r="N1163">
        <f>VLOOKUP(J1163,Products!$A$2:$C$49,3,FALSE)</f>
        <v/>
      </c>
      <c r="O1163">
        <f>K1163*L1163-M1163</f>
        <v/>
      </c>
      <c r="P1163">
        <f>TEXT(B1163,"yyyy-mm")</f>
        <v/>
      </c>
      <c r="Q1163">
        <f>IF(O1163&gt;=3000,"Large","Small")</f>
        <v/>
      </c>
      <c r="R1163">
        <f>INDEX(Products!$F$2:$F$49,MATCH(J1163,Products!$A$2:$A$49,0))</f>
        <v/>
      </c>
      <c r="S1163">
        <f>WEEKDAY(B1163,2)</f>
        <v/>
      </c>
    </row>
    <row r="1164">
      <c r="A1164" t="n">
        <v>509917</v>
      </c>
      <c r="B1164" s="6" t="n">
        <v>45945</v>
      </c>
      <c r="C1164" t="n">
        <v>12491</v>
      </c>
      <c r="D1164" t="inlineStr">
        <is>
          <t>Bengaluru</t>
        </is>
      </c>
      <c r="E1164" t="inlineStr">
        <is>
          <t>South</t>
        </is>
      </c>
      <c r="F1164" t="inlineStr">
        <is>
          <t>Organic Search</t>
        </is>
      </c>
      <c r="G1164" t="inlineStr">
        <is>
          <t>Desktop</t>
        </is>
      </c>
      <c r="H1164" t="inlineStr">
        <is>
          <t>UPI</t>
        </is>
      </c>
      <c r="I1164" t="inlineStr">
        <is>
          <t>Delivered</t>
        </is>
      </c>
      <c r="J1164" t="n">
        <v>106</v>
      </c>
      <c r="K1164" t="n">
        <v>1</v>
      </c>
      <c r="L1164" t="n">
        <v>1574</v>
      </c>
      <c r="M1164" t="n">
        <v>0</v>
      </c>
      <c r="N1164">
        <f>VLOOKUP(J1164,Products!$A$2:$C$49,3,FALSE)</f>
        <v/>
      </c>
      <c r="O1164">
        <f>K1164*L1164-M1164</f>
        <v/>
      </c>
      <c r="P1164">
        <f>TEXT(B1164,"yyyy-mm")</f>
        <v/>
      </c>
      <c r="Q1164">
        <f>IF(O1164&gt;=3000,"Large","Small")</f>
        <v/>
      </c>
      <c r="R1164">
        <f>INDEX(Products!$F$2:$F$49,MATCH(J1164,Products!$A$2:$A$49,0))</f>
        <v/>
      </c>
      <c r="S1164">
        <f>WEEKDAY(B1164,2)</f>
        <v/>
      </c>
    </row>
    <row r="1165">
      <c r="A1165" t="n">
        <v>509917</v>
      </c>
      <c r="B1165" s="6" t="n">
        <v>45945</v>
      </c>
      <c r="C1165" t="n">
        <v>12491</v>
      </c>
      <c r="D1165" t="inlineStr">
        <is>
          <t>Bengaluru</t>
        </is>
      </c>
      <c r="E1165" t="inlineStr">
        <is>
          <t>South</t>
        </is>
      </c>
      <c r="F1165" t="inlineStr">
        <is>
          <t>Organic Search</t>
        </is>
      </c>
      <c r="G1165" t="inlineStr">
        <is>
          <t>Desktop</t>
        </is>
      </c>
      <c r="H1165" t="inlineStr">
        <is>
          <t>UPI</t>
        </is>
      </c>
      <c r="I1165" t="inlineStr">
        <is>
          <t>Delivered</t>
        </is>
      </c>
      <c r="J1165" t="n">
        <v>129</v>
      </c>
      <c r="K1165" t="n">
        <v>1</v>
      </c>
      <c r="L1165" t="n">
        <v>576</v>
      </c>
      <c r="M1165" t="n">
        <v>0</v>
      </c>
      <c r="N1165">
        <f>VLOOKUP(J1165,Products!$A$2:$C$49,3,FALSE)</f>
        <v/>
      </c>
      <c r="O1165">
        <f>K1165*L1165-M1165</f>
        <v/>
      </c>
      <c r="P1165">
        <f>TEXT(B1165,"yyyy-mm")</f>
        <v/>
      </c>
      <c r="Q1165">
        <f>IF(O1165&gt;=3000,"Large","Small")</f>
        <v/>
      </c>
      <c r="R1165">
        <f>INDEX(Products!$F$2:$F$49,MATCH(J1165,Products!$A$2:$A$49,0))</f>
        <v/>
      </c>
      <c r="S1165">
        <f>WEEKDAY(B1165,2)</f>
        <v/>
      </c>
    </row>
    <row r="1166">
      <c r="A1166" t="n">
        <v>509918</v>
      </c>
      <c r="B1166" s="6" t="n">
        <v>45945</v>
      </c>
      <c r="C1166" t="n">
        <v>16844</v>
      </c>
      <c r="D1166" t="inlineStr">
        <is>
          <t>Mumbai</t>
        </is>
      </c>
      <c r="E1166" t="inlineStr">
        <is>
          <t>West</t>
        </is>
      </c>
      <c r="F1166" t="inlineStr">
        <is>
          <t>Referral</t>
        </is>
      </c>
      <c r="G1166" t="inlineStr">
        <is>
          <t>Mobile App</t>
        </is>
      </c>
      <c r="H1166" t="inlineStr">
        <is>
          <t>UPI</t>
        </is>
      </c>
      <c r="I1166" t="inlineStr">
        <is>
          <t>Delivered</t>
        </is>
      </c>
      <c r="J1166" t="n">
        <v>137</v>
      </c>
      <c r="K1166" t="n">
        <v>1</v>
      </c>
      <c r="L1166" t="n">
        <v>261</v>
      </c>
      <c r="M1166" t="n">
        <v>26.1</v>
      </c>
      <c r="N1166">
        <f>VLOOKUP(J1166,Products!$A$2:$C$49,3,FALSE)</f>
        <v/>
      </c>
      <c r="O1166">
        <f>K1166*L1166-M1166</f>
        <v/>
      </c>
      <c r="P1166">
        <f>TEXT(B1166,"yyyy-mm")</f>
        <v/>
      </c>
      <c r="Q1166">
        <f>IF(O1166&gt;=3000,"Large","Small")</f>
        <v/>
      </c>
      <c r="R1166">
        <f>INDEX(Products!$F$2:$F$49,MATCH(J1166,Products!$A$2:$A$49,0))</f>
        <v/>
      </c>
      <c r="S1166">
        <f>WEEKDAY(B1166,2)</f>
        <v/>
      </c>
    </row>
    <row r="1167">
      <c r="A1167" t="n">
        <v>509918</v>
      </c>
      <c r="B1167" s="6" t="n">
        <v>45945</v>
      </c>
      <c r="C1167" t="n">
        <v>16844</v>
      </c>
      <c r="D1167" t="inlineStr">
        <is>
          <t>Mumbai</t>
        </is>
      </c>
      <c r="E1167" t="inlineStr">
        <is>
          <t>West</t>
        </is>
      </c>
      <c r="F1167" t="inlineStr">
        <is>
          <t>Referral</t>
        </is>
      </c>
      <c r="G1167" t="inlineStr">
        <is>
          <t>Mobile App</t>
        </is>
      </c>
      <c r="H1167" t="inlineStr">
        <is>
          <t>UPI</t>
        </is>
      </c>
      <c r="I1167" t="inlineStr">
        <is>
          <t>Delivered</t>
        </is>
      </c>
      <c r="J1167" t="n">
        <v>101</v>
      </c>
      <c r="K1167" t="n">
        <v>1</v>
      </c>
      <c r="L1167" t="n">
        <v>2099</v>
      </c>
      <c r="M1167" t="n">
        <v>209.9</v>
      </c>
      <c r="N1167">
        <f>VLOOKUP(J1167,Products!$A$2:$C$49,3,FALSE)</f>
        <v/>
      </c>
      <c r="O1167">
        <f>K1167*L1167-M1167</f>
        <v/>
      </c>
      <c r="P1167">
        <f>TEXT(B1167,"yyyy-mm")</f>
        <v/>
      </c>
      <c r="Q1167">
        <f>IF(O1167&gt;=3000,"Large","Small")</f>
        <v/>
      </c>
      <c r="R1167">
        <f>INDEX(Products!$F$2:$F$49,MATCH(J1167,Products!$A$2:$A$49,0))</f>
        <v/>
      </c>
      <c r="S1167">
        <f>WEEKDAY(B1167,2)</f>
        <v/>
      </c>
    </row>
    <row r="1168">
      <c r="A1168" t="n">
        <v>509919</v>
      </c>
      <c r="B1168" s="6" t="n">
        <v>45945</v>
      </c>
      <c r="C1168" t="n">
        <v>11512</v>
      </c>
      <c r="D1168" t="inlineStr">
        <is>
          <t>Chennai</t>
        </is>
      </c>
      <c r="E1168" t="inlineStr">
        <is>
          <t>South</t>
        </is>
      </c>
      <c r="F1168" t="inlineStr">
        <is>
          <t>Organic Search</t>
        </is>
      </c>
      <c r="G1168" t="inlineStr">
        <is>
          <t>Mobile App</t>
        </is>
      </c>
      <c r="H1168" t="inlineStr">
        <is>
          <t>UPI</t>
        </is>
      </c>
      <c r="I1168" t="inlineStr">
        <is>
          <t>Delivered</t>
        </is>
      </c>
      <c r="J1168" t="n">
        <v>113</v>
      </c>
      <c r="K1168" t="n">
        <v>1</v>
      </c>
      <c r="L1168" t="n">
        <v>1364</v>
      </c>
      <c r="M1168" t="n">
        <v>0</v>
      </c>
      <c r="N1168">
        <f>VLOOKUP(J1168,Products!$A$2:$C$49,3,FALSE)</f>
        <v/>
      </c>
      <c r="O1168">
        <f>K1168*L1168-M1168</f>
        <v/>
      </c>
      <c r="P1168">
        <f>TEXT(B1168,"yyyy-mm")</f>
        <v/>
      </c>
      <c r="Q1168">
        <f>IF(O1168&gt;=3000,"Large","Small")</f>
        <v/>
      </c>
      <c r="R1168">
        <f>INDEX(Products!$F$2:$F$49,MATCH(J1168,Products!$A$2:$A$49,0))</f>
        <v/>
      </c>
      <c r="S1168">
        <f>WEEKDAY(B1168,2)</f>
        <v/>
      </c>
    </row>
    <row r="1169">
      <c r="A1169" t="n">
        <v>509920</v>
      </c>
      <c r="B1169" s="6" t="n">
        <v>45945</v>
      </c>
      <c r="C1169" t="n">
        <v>11957</v>
      </c>
      <c r="D1169" t="inlineStr">
        <is>
          <t>Chandigarh</t>
        </is>
      </c>
      <c r="E1169" t="inlineStr">
        <is>
          <t>North</t>
        </is>
      </c>
      <c r="F1169" t="inlineStr">
        <is>
          <t>Paid Social</t>
        </is>
      </c>
      <c r="G1169" t="inlineStr">
        <is>
          <t>Mobile App</t>
        </is>
      </c>
      <c r="H1169" t="inlineStr">
        <is>
          <t>Cash on Delivery</t>
        </is>
      </c>
      <c r="I1169" t="inlineStr">
        <is>
          <t>Delivered</t>
        </is>
      </c>
      <c r="J1169" t="n">
        <v>110</v>
      </c>
      <c r="K1169" t="n">
        <v>1</v>
      </c>
      <c r="L1169" t="n">
        <v>839</v>
      </c>
      <c r="M1169" t="n">
        <v>83.90000000000001</v>
      </c>
      <c r="N1169">
        <f>VLOOKUP(J1169,Products!$A$2:$C$49,3,FALSE)</f>
        <v/>
      </c>
      <c r="O1169">
        <f>K1169*L1169-M1169</f>
        <v/>
      </c>
      <c r="P1169">
        <f>TEXT(B1169,"yyyy-mm")</f>
        <v/>
      </c>
      <c r="Q1169">
        <f>IF(O1169&gt;=3000,"Large","Small")</f>
        <v/>
      </c>
      <c r="R1169">
        <f>INDEX(Products!$F$2:$F$49,MATCH(J1169,Products!$A$2:$A$49,0))</f>
        <v/>
      </c>
      <c r="S1169">
        <f>WEEKDAY(B1169,2)</f>
        <v/>
      </c>
    </row>
    <row r="1170">
      <c r="A1170" t="n">
        <v>509920</v>
      </c>
      <c r="B1170" s="6" t="n">
        <v>45945</v>
      </c>
      <c r="C1170" t="n">
        <v>11957</v>
      </c>
      <c r="D1170" t="inlineStr">
        <is>
          <t>Chandigarh</t>
        </is>
      </c>
      <c r="E1170" t="inlineStr">
        <is>
          <t>North</t>
        </is>
      </c>
      <c r="F1170" t="inlineStr">
        <is>
          <t>Paid Social</t>
        </is>
      </c>
      <c r="G1170" t="inlineStr">
        <is>
          <t>Mobile App</t>
        </is>
      </c>
      <c r="H1170" t="inlineStr">
        <is>
          <t>Cash on Delivery</t>
        </is>
      </c>
      <c r="I1170" t="inlineStr">
        <is>
          <t>Delivered</t>
        </is>
      </c>
      <c r="J1170" t="n">
        <v>129</v>
      </c>
      <c r="K1170" t="n">
        <v>1</v>
      </c>
      <c r="L1170" t="n">
        <v>576</v>
      </c>
      <c r="M1170" t="n">
        <v>57.6</v>
      </c>
      <c r="N1170">
        <f>VLOOKUP(J1170,Products!$A$2:$C$49,3,FALSE)</f>
        <v/>
      </c>
      <c r="O1170">
        <f>K1170*L1170-M1170</f>
        <v/>
      </c>
      <c r="P1170">
        <f>TEXT(B1170,"yyyy-mm")</f>
        <v/>
      </c>
      <c r="Q1170">
        <f>IF(O1170&gt;=3000,"Large","Small")</f>
        <v/>
      </c>
      <c r="R1170">
        <f>INDEX(Products!$F$2:$F$49,MATCH(J1170,Products!$A$2:$A$49,0))</f>
        <v/>
      </c>
      <c r="S1170">
        <f>WEEKDAY(B1170,2)</f>
        <v/>
      </c>
    </row>
    <row r="1171">
      <c r="A1171" t="n">
        <v>509921</v>
      </c>
      <c r="B1171" s="6" t="n">
        <v>45945</v>
      </c>
      <c r="C1171" t="n">
        <v>16800</v>
      </c>
      <c r="D1171" t="inlineStr">
        <is>
          <t>Bengaluru</t>
        </is>
      </c>
      <c r="E1171" t="inlineStr">
        <is>
          <t>South</t>
        </is>
      </c>
      <c r="F1171" t="inlineStr">
        <is>
          <t>Referral</t>
        </is>
      </c>
      <c r="G1171" t="inlineStr">
        <is>
          <t>Mobile App</t>
        </is>
      </c>
      <c r="H1171" t="inlineStr">
        <is>
          <t>Credit Card</t>
        </is>
      </c>
      <c r="I1171" t="inlineStr">
        <is>
          <t>Delivered</t>
        </is>
      </c>
      <c r="J1171" t="n">
        <v>120</v>
      </c>
      <c r="K1171" t="n">
        <v>2</v>
      </c>
      <c r="L1171" t="n">
        <v>734</v>
      </c>
      <c r="M1171" t="n">
        <v>220.2</v>
      </c>
      <c r="N1171">
        <f>VLOOKUP(J1171,Products!$A$2:$C$49,3,FALSE)</f>
        <v/>
      </c>
      <c r="O1171">
        <f>K1171*L1171-M1171</f>
        <v/>
      </c>
      <c r="P1171">
        <f>TEXT(B1171,"yyyy-mm")</f>
        <v/>
      </c>
      <c r="Q1171">
        <f>IF(O1171&gt;=3000,"Large","Small")</f>
        <v/>
      </c>
      <c r="R1171">
        <f>INDEX(Products!$F$2:$F$49,MATCH(J1171,Products!$A$2:$A$49,0))</f>
        <v/>
      </c>
      <c r="S1171">
        <f>WEEKDAY(B1171,2)</f>
        <v/>
      </c>
    </row>
    <row r="1172">
      <c r="A1172" t="n">
        <v>509922</v>
      </c>
      <c r="B1172" s="6" t="n">
        <v>45945</v>
      </c>
      <c r="C1172" t="n">
        <v>15809</v>
      </c>
      <c r="D1172" t="inlineStr">
        <is>
          <t>Pune</t>
        </is>
      </c>
      <c r="E1172" t="inlineStr">
        <is>
          <t>West</t>
        </is>
      </c>
      <c r="F1172" t="inlineStr">
        <is>
          <t>Affiliate</t>
        </is>
      </c>
      <c r="G1172" t="inlineStr">
        <is>
          <t>Desktop</t>
        </is>
      </c>
      <c r="H1172" t="inlineStr">
        <is>
          <t>UPI</t>
        </is>
      </c>
      <c r="I1172" t="inlineStr">
        <is>
          <t>Delivered</t>
        </is>
      </c>
      <c r="J1172" t="n">
        <v>132</v>
      </c>
      <c r="K1172" t="n">
        <v>1</v>
      </c>
      <c r="L1172" t="n">
        <v>471</v>
      </c>
      <c r="M1172" t="n">
        <v>47.1</v>
      </c>
      <c r="N1172">
        <f>VLOOKUP(J1172,Products!$A$2:$C$49,3,FALSE)</f>
        <v/>
      </c>
      <c r="O1172">
        <f>K1172*L1172-M1172</f>
        <v/>
      </c>
      <c r="P1172">
        <f>TEXT(B1172,"yyyy-mm")</f>
        <v/>
      </c>
      <c r="Q1172">
        <f>IF(O1172&gt;=3000,"Large","Small")</f>
        <v/>
      </c>
      <c r="R1172">
        <f>INDEX(Products!$F$2:$F$49,MATCH(J1172,Products!$A$2:$A$49,0))</f>
        <v/>
      </c>
      <c r="S1172">
        <f>WEEKDAY(B1172,2)</f>
        <v/>
      </c>
    </row>
    <row r="1173">
      <c r="A1173" t="n">
        <v>509922</v>
      </c>
      <c r="B1173" s="6" t="n">
        <v>45945</v>
      </c>
      <c r="C1173" t="n">
        <v>15809</v>
      </c>
      <c r="D1173" t="inlineStr">
        <is>
          <t>Pune</t>
        </is>
      </c>
      <c r="E1173" t="inlineStr">
        <is>
          <t>West</t>
        </is>
      </c>
      <c r="F1173" t="inlineStr">
        <is>
          <t>Affiliate</t>
        </is>
      </c>
      <c r="G1173" t="inlineStr">
        <is>
          <t>Desktop</t>
        </is>
      </c>
      <c r="H1173" t="inlineStr">
        <is>
          <t>UPI</t>
        </is>
      </c>
      <c r="I1173" t="inlineStr">
        <is>
          <t>Delivered</t>
        </is>
      </c>
      <c r="J1173" t="n">
        <v>124</v>
      </c>
      <c r="K1173" t="n">
        <v>1</v>
      </c>
      <c r="L1173" t="n">
        <v>1154</v>
      </c>
      <c r="M1173" t="n">
        <v>115.4</v>
      </c>
      <c r="N1173">
        <f>VLOOKUP(J1173,Products!$A$2:$C$49,3,FALSE)</f>
        <v/>
      </c>
      <c r="O1173">
        <f>K1173*L1173-M1173</f>
        <v/>
      </c>
      <c r="P1173">
        <f>TEXT(B1173,"yyyy-mm")</f>
        <v/>
      </c>
      <c r="Q1173">
        <f>IF(O1173&gt;=3000,"Large","Small")</f>
        <v/>
      </c>
      <c r="R1173">
        <f>INDEX(Products!$F$2:$F$49,MATCH(J1173,Products!$A$2:$A$49,0))</f>
        <v/>
      </c>
      <c r="S1173">
        <f>WEEKDAY(B1173,2)</f>
        <v/>
      </c>
    </row>
    <row r="1174">
      <c r="A1174" t="n">
        <v>509922</v>
      </c>
      <c r="B1174" s="6" t="n">
        <v>45945</v>
      </c>
      <c r="C1174" t="n">
        <v>15809</v>
      </c>
      <c r="D1174" t="inlineStr">
        <is>
          <t>Pune</t>
        </is>
      </c>
      <c r="E1174" t="inlineStr">
        <is>
          <t>West</t>
        </is>
      </c>
      <c r="F1174" t="inlineStr">
        <is>
          <t>Affiliate</t>
        </is>
      </c>
      <c r="G1174" t="inlineStr">
        <is>
          <t>Desktop</t>
        </is>
      </c>
      <c r="H1174" t="inlineStr">
        <is>
          <t>UPI</t>
        </is>
      </c>
      <c r="I1174" t="inlineStr">
        <is>
          <t>Delivered</t>
        </is>
      </c>
      <c r="J1174" t="n">
        <v>123</v>
      </c>
      <c r="K1174" t="n">
        <v>1</v>
      </c>
      <c r="L1174" t="n">
        <v>3464</v>
      </c>
      <c r="M1174" t="n">
        <v>346.4</v>
      </c>
      <c r="N1174">
        <f>VLOOKUP(J1174,Products!$A$2:$C$49,3,FALSE)</f>
        <v/>
      </c>
      <c r="O1174">
        <f>K1174*L1174-M1174</f>
        <v/>
      </c>
      <c r="P1174">
        <f>TEXT(B1174,"yyyy-mm")</f>
        <v/>
      </c>
      <c r="Q1174">
        <f>IF(O1174&gt;=3000,"Large","Small")</f>
        <v/>
      </c>
      <c r="R1174">
        <f>INDEX(Products!$F$2:$F$49,MATCH(J1174,Products!$A$2:$A$49,0))</f>
        <v/>
      </c>
      <c r="S1174">
        <f>WEEKDAY(B1174,2)</f>
        <v/>
      </c>
    </row>
    <row r="1175">
      <c r="A1175" t="n">
        <v>509923</v>
      </c>
      <c r="B1175" s="6" t="n">
        <v>45945</v>
      </c>
      <c r="C1175" t="n">
        <v>16705</v>
      </c>
      <c r="D1175" t="inlineStr">
        <is>
          <t>Indore</t>
        </is>
      </c>
      <c r="E1175" t="inlineStr">
        <is>
          <t>West</t>
        </is>
      </c>
      <c r="F1175" t="inlineStr">
        <is>
          <t>Organic Search</t>
        </is>
      </c>
      <c r="G1175" t="inlineStr">
        <is>
          <t>Mobile App</t>
        </is>
      </c>
      <c r="H1175" t="inlineStr">
        <is>
          <t>UPI</t>
        </is>
      </c>
      <c r="I1175" t="inlineStr">
        <is>
          <t>Delivered</t>
        </is>
      </c>
      <c r="J1175" t="n">
        <v>143</v>
      </c>
      <c r="K1175" t="n">
        <v>1</v>
      </c>
      <c r="L1175" t="n">
        <v>839</v>
      </c>
      <c r="M1175" t="n">
        <v>0</v>
      </c>
      <c r="N1175">
        <f>VLOOKUP(J1175,Products!$A$2:$C$49,3,FALSE)</f>
        <v/>
      </c>
      <c r="O1175">
        <f>K1175*L1175-M1175</f>
        <v/>
      </c>
      <c r="P1175">
        <f>TEXT(B1175,"yyyy-mm")</f>
        <v/>
      </c>
      <c r="Q1175">
        <f>IF(O1175&gt;=3000,"Large","Small")</f>
        <v/>
      </c>
      <c r="R1175">
        <f>INDEX(Products!$F$2:$F$49,MATCH(J1175,Products!$A$2:$A$49,0))</f>
        <v/>
      </c>
      <c r="S1175">
        <f>WEEKDAY(B1175,2)</f>
        <v/>
      </c>
    </row>
    <row r="1176">
      <c r="A1176" t="n">
        <v>509923</v>
      </c>
      <c r="B1176" s="6" t="n">
        <v>45945</v>
      </c>
      <c r="C1176" t="n">
        <v>16705</v>
      </c>
      <c r="D1176" t="inlineStr">
        <is>
          <t>Indore</t>
        </is>
      </c>
      <c r="E1176" t="inlineStr">
        <is>
          <t>West</t>
        </is>
      </c>
      <c r="F1176" t="inlineStr">
        <is>
          <t>Organic Search</t>
        </is>
      </c>
      <c r="G1176" t="inlineStr">
        <is>
          <t>Mobile App</t>
        </is>
      </c>
      <c r="H1176" t="inlineStr">
        <is>
          <t>UPI</t>
        </is>
      </c>
      <c r="I1176" t="inlineStr">
        <is>
          <t>Delivered</t>
        </is>
      </c>
      <c r="J1176" t="n">
        <v>129</v>
      </c>
      <c r="K1176" t="n">
        <v>1</v>
      </c>
      <c r="L1176" t="n">
        <v>576</v>
      </c>
      <c r="M1176" t="n">
        <v>0</v>
      </c>
      <c r="N1176">
        <f>VLOOKUP(J1176,Products!$A$2:$C$49,3,FALSE)</f>
        <v/>
      </c>
      <c r="O1176">
        <f>K1176*L1176-M1176</f>
        <v/>
      </c>
      <c r="P1176">
        <f>TEXT(B1176,"yyyy-mm")</f>
        <v/>
      </c>
      <c r="Q1176">
        <f>IF(O1176&gt;=3000,"Large","Small")</f>
        <v/>
      </c>
      <c r="R1176">
        <f>INDEX(Products!$F$2:$F$49,MATCH(J1176,Products!$A$2:$A$49,0))</f>
        <v/>
      </c>
      <c r="S1176">
        <f>WEEKDAY(B1176,2)</f>
        <v/>
      </c>
    </row>
    <row r="1177">
      <c r="A1177" t="n">
        <v>509924</v>
      </c>
      <c r="B1177" s="6" t="n">
        <v>45945</v>
      </c>
      <c r="C1177" t="n">
        <v>16828</v>
      </c>
      <c r="D1177" t="inlineStr">
        <is>
          <t>Mumbai</t>
        </is>
      </c>
      <c r="E1177" t="inlineStr">
        <is>
          <t>West</t>
        </is>
      </c>
      <c r="F1177" t="inlineStr">
        <is>
          <t>Organic Search</t>
        </is>
      </c>
      <c r="G1177" t="inlineStr">
        <is>
          <t>Mobile Web</t>
        </is>
      </c>
      <c r="H1177" t="inlineStr">
        <is>
          <t>Debit Card</t>
        </is>
      </c>
      <c r="I1177" t="inlineStr">
        <is>
          <t>Delivered</t>
        </is>
      </c>
      <c r="J1177" t="n">
        <v>138</v>
      </c>
      <c r="K1177" t="n">
        <v>1</v>
      </c>
      <c r="L1177" t="n">
        <v>419</v>
      </c>
      <c r="M1177" t="n">
        <v>62.85</v>
      </c>
      <c r="N1177">
        <f>VLOOKUP(J1177,Products!$A$2:$C$49,3,FALSE)</f>
        <v/>
      </c>
      <c r="O1177">
        <f>K1177*L1177-M1177</f>
        <v/>
      </c>
      <c r="P1177">
        <f>TEXT(B1177,"yyyy-mm")</f>
        <v/>
      </c>
      <c r="Q1177">
        <f>IF(O1177&gt;=3000,"Large","Small")</f>
        <v/>
      </c>
      <c r="R1177">
        <f>INDEX(Products!$F$2:$F$49,MATCH(J1177,Products!$A$2:$A$49,0))</f>
        <v/>
      </c>
      <c r="S1177">
        <f>WEEKDAY(B1177,2)</f>
        <v/>
      </c>
    </row>
    <row r="1178">
      <c r="A1178" t="n">
        <v>509925</v>
      </c>
      <c r="B1178" s="6" t="n">
        <v>45945</v>
      </c>
      <c r="C1178" t="n">
        <v>12920</v>
      </c>
      <c r="D1178" t="inlineStr">
        <is>
          <t>Noida</t>
        </is>
      </c>
      <c r="E1178" t="inlineStr">
        <is>
          <t>North</t>
        </is>
      </c>
      <c r="F1178" t="inlineStr">
        <is>
          <t>Paid Search</t>
        </is>
      </c>
      <c r="G1178" t="inlineStr">
        <is>
          <t>Mobile App</t>
        </is>
      </c>
      <c r="H1178" t="inlineStr">
        <is>
          <t>UPI</t>
        </is>
      </c>
      <c r="I1178" t="inlineStr">
        <is>
          <t>Returned</t>
        </is>
      </c>
      <c r="J1178" t="n">
        <v>142</v>
      </c>
      <c r="K1178" t="n">
        <v>2</v>
      </c>
      <c r="L1178" t="n">
        <v>839</v>
      </c>
      <c r="M1178" t="n">
        <v>0</v>
      </c>
      <c r="N1178">
        <f>VLOOKUP(J1178,Products!$A$2:$C$49,3,FALSE)</f>
        <v/>
      </c>
      <c r="O1178">
        <f>K1178*L1178-M1178</f>
        <v/>
      </c>
      <c r="P1178">
        <f>TEXT(B1178,"yyyy-mm")</f>
        <v/>
      </c>
      <c r="Q1178">
        <f>IF(O1178&gt;=3000,"Large","Small")</f>
        <v/>
      </c>
      <c r="R1178">
        <f>INDEX(Products!$F$2:$F$49,MATCH(J1178,Products!$A$2:$A$49,0))</f>
        <v/>
      </c>
      <c r="S1178">
        <f>WEEKDAY(B1178,2)</f>
        <v/>
      </c>
    </row>
    <row r="1179">
      <c r="A1179" t="n">
        <v>509925</v>
      </c>
      <c r="B1179" s="6" t="n">
        <v>45945</v>
      </c>
      <c r="C1179" t="n">
        <v>12920</v>
      </c>
      <c r="D1179" t="inlineStr">
        <is>
          <t>Noida</t>
        </is>
      </c>
      <c r="E1179" t="inlineStr">
        <is>
          <t>North</t>
        </is>
      </c>
      <c r="F1179" t="inlineStr">
        <is>
          <t>Paid Search</t>
        </is>
      </c>
      <c r="G1179" t="inlineStr">
        <is>
          <t>Mobile App</t>
        </is>
      </c>
      <c r="H1179" t="inlineStr">
        <is>
          <t>UPI</t>
        </is>
      </c>
      <c r="I1179" t="inlineStr">
        <is>
          <t>Returned</t>
        </is>
      </c>
      <c r="J1179" t="n">
        <v>119</v>
      </c>
      <c r="K1179" t="n">
        <v>1</v>
      </c>
      <c r="L1179" t="n">
        <v>2309</v>
      </c>
      <c r="M1179" t="n">
        <v>0</v>
      </c>
      <c r="N1179">
        <f>VLOOKUP(J1179,Products!$A$2:$C$49,3,FALSE)</f>
        <v/>
      </c>
      <c r="O1179">
        <f>K1179*L1179-M1179</f>
        <v/>
      </c>
      <c r="P1179">
        <f>TEXT(B1179,"yyyy-mm")</f>
        <v/>
      </c>
      <c r="Q1179">
        <f>IF(O1179&gt;=3000,"Large","Small")</f>
        <v/>
      </c>
      <c r="R1179">
        <f>INDEX(Products!$F$2:$F$49,MATCH(J1179,Products!$A$2:$A$49,0))</f>
        <v/>
      </c>
      <c r="S1179">
        <f>WEEKDAY(B1179,2)</f>
        <v/>
      </c>
    </row>
    <row r="1180">
      <c r="A1180" t="n">
        <v>509925</v>
      </c>
      <c r="B1180" s="6" t="n">
        <v>45945</v>
      </c>
      <c r="C1180" t="n">
        <v>12920</v>
      </c>
      <c r="D1180" t="inlineStr">
        <is>
          <t>Noida</t>
        </is>
      </c>
      <c r="E1180" t="inlineStr">
        <is>
          <t>North</t>
        </is>
      </c>
      <c r="F1180" t="inlineStr">
        <is>
          <t>Paid Search</t>
        </is>
      </c>
      <c r="G1180" t="inlineStr">
        <is>
          <t>Mobile App</t>
        </is>
      </c>
      <c r="H1180" t="inlineStr">
        <is>
          <t>UPI</t>
        </is>
      </c>
      <c r="I1180" t="inlineStr">
        <is>
          <t>Returned</t>
        </is>
      </c>
      <c r="J1180" t="n">
        <v>103</v>
      </c>
      <c r="K1180" t="n">
        <v>1</v>
      </c>
      <c r="L1180" t="n">
        <v>2624</v>
      </c>
      <c r="M1180" t="n">
        <v>0</v>
      </c>
      <c r="N1180">
        <f>VLOOKUP(J1180,Products!$A$2:$C$49,3,FALSE)</f>
        <v/>
      </c>
      <c r="O1180">
        <f>K1180*L1180-M1180</f>
        <v/>
      </c>
      <c r="P1180">
        <f>TEXT(B1180,"yyyy-mm")</f>
        <v/>
      </c>
      <c r="Q1180">
        <f>IF(O1180&gt;=3000,"Large","Small")</f>
        <v/>
      </c>
      <c r="R1180">
        <f>INDEX(Products!$F$2:$F$49,MATCH(J1180,Products!$A$2:$A$49,0))</f>
        <v/>
      </c>
      <c r="S1180">
        <f>WEEKDAY(B1180,2)</f>
        <v/>
      </c>
    </row>
    <row r="1181">
      <c r="A1181" t="n">
        <v>509926</v>
      </c>
      <c r="B1181" s="6" t="n">
        <v>45945</v>
      </c>
      <c r="C1181" t="n">
        <v>15691</v>
      </c>
      <c r="D1181" t="inlineStr">
        <is>
          <t>Mumbai</t>
        </is>
      </c>
      <c r="E1181" t="inlineStr">
        <is>
          <t>West</t>
        </is>
      </c>
      <c r="F1181" t="inlineStr">
        <is>
          <t>Referral</t>
        </is>
      </c>
      <c r="G1181" t="inlineStr">
        <is>
          <t>Mobile Web</t>
        </is>
      </c>
      <c r="H1181" t="inlineStr">
        <is>
          <t>Debit Card</t>
        </is>
      </c>
      <c r="I1181" t="inlineStr">
        <is>
          <t>Returned</t>
        </is>
      </c>
      <c r="J1181" t="n">
        <v>120</v>
      </c>
      <c r="K1181" t="n">
        <v>2</v>
      </c>
      <c r="L1181" t="n">
        <v>734</v>
      </c>
      <c r="M1181" t="n">
        <v>146.8</v>
      </c>
      <c r="N1181">
        <f>VLOOKUP(J1181,Products!$A$2:$C$49,3,FALSE)</f>
        <v/>
      </c>
      <c r="O1181">
        <f>K1181*L1181-M1181</f>
        <v/>
      </c>
      <c r="P1181">
        <f>TEXT(B1181,"yyyy-mm")</f>
        <v/>
      </c>
      <c r="Q1181">
        <f>IF(O1181&gt;=3000,"Large","Small")</f>
        <v/>
      </c>
      <c r="R1181">
        <f>INDEX(Products!$F$2:$F$49,MATCH(J1181,Products!$A$2:$A$49,0))</f>
        <v/>
      </c>
      <c r="S1181">
        <f>WEEKDAY(B1181,2)</f>
        <v/>
      </c>
    </row>
    <row r="1182">
      <c r="A1182" t="n">
        <v>509927</v>
      </c>
      <c r="B1182" s="6" t="n">
        <v>45945</v>
      </c>
      <c r="C1182" t="n">
        <v>14291</v>
      </c>
      <c r="D1182" t="inlineStr">
        <is>
          <t>Ahmedabad</t>
        </is>
      </c>
      <c r="E1182" t="inlineStr">
        <is>
          <t>West</t>
        </is>
      </c>
      <c r="F1182" t="inlineStr">
        <is>
          <t>Paid Social</t>
        </is>
      </c>
      <c r="G1182" t="inlineStr">
        <is>
          <t>Desktop</t>
        </is>
      </c>
      <c r="H1182" t="inlineStr">
        <is>
          <t>Cash on Delivery</t>
        </is>
      </c>
      <c r="I1182" t="inlineStr">
        <is>
          <t>Delivered</t>
        </is>
      </c>
      <c r="J1182" t="n">
        <v>137</v>
      </c>
      <c r="K1182" t="n">
        <v>1</v>
      </c>
      <c r="L1182" t="n">
        <v>261</v>
      </c>
      <c r="M1182" t="n">
        <v>26.1</v>
      </c>
      <c r="N1182">
        <f>VLOOKUP(J1182,Products!$A$2:$C$49,3,FALSE)</f>
        <v/>
      </c>
      <c r="O1182">
        <f>K1182*L1182-M1182</f>
        <v/>
      </c>
      <c r="P1182">
        <f>TEXT(B1182,"yyyy-mm")</f>
        <v/>
      </c>
      <c r="Q1182">
        <f>IF(O1182&gt;=3000,"Large","Small")</f>
        <v/>
      </c>
      <c r="R1182">
        <f>INDEX(Products!$F$2:$F$49,MATCH(J1182,Products!$A$2:$A$49,0))</f>
        <v/>
      </c>
      <c r="S1182">
        <f>WEEKDAY(B1182,2)</f>
        <v/>
      </c>
    </row>
    <row r="1183">
      <c r="A1183" t="n">
        <v>509927</v>
      </c>
      <c r="B1183" s="6" t="n">
        <v>45945</v>
      </c>
      <c r="C1183" t="n">
        <v>14291</v>
      </c>
      <c r="D1183" t="inlineStr">
        <is>
          <t>Ahmedabad</t>
        </is>
      </c>
      <c r="E1183" t="inlineStr">
        <is>
          <t>West</t>
        </is>
      </c>
      <c r="F1183" t="inlineStr">
        <is>
          <t>Paid Social</t>
        </is>
      </c>
      <c r="G1183" t="inlineStr">
        <is>
          <t>Desktop</t>
        </is>
      </c>
      <c r="H1183" t="inlineStr">
        <is>
          <t>Cash on Delivery</t>
        </is>
      </c>
      <c r="I1183" t="inlineStr">
        <is>
          <t>Delivered</t>
        </is>
      </c>
      <c r="J1183" t="n">
        <v>133</v>
      </c>
      <c r="K1183" t="n">
        <v>1</v>
      </c>
      <c r="L1183" t="n">
        <v>419</v>
      </c>
      <c r="M1183" t="n">
        <v>41.9</v>
      </c>
      <c r="N1183">
        <f>VLOOKUP(J1183,Products!$A$2:$C$49,3,FALSE)</f>
        <v/>
      </c>
      <c r="O1183">
        <f>K1183*L1183-M1183</f>
        <v/>
      </c>
      <c r="P1183">
        <f>TEXT(B1183,"yyyy-mm")</f>
        <v/>
      </c>
      <c r="Q1183">
        <f>IF(O1183&gt;=3000,"Large","Small")</f>
        <v/>
      </c>
      <c r="R1183">
        <f>INDEX(Products!$F$2:$F$49,MATCH(J1183,Products!$A$2:$A$49,0))</f>
        <v/>
      </c>
      <c r="S1183">
        <f>WEEKDAY(B1183,2)</f>
        <v/>
      </c>
    </row>
    <row r="1184">
      <c r="A1184" t="n">
        <v>509927</v>
      </c>
      <c r="B1184" s="6" t="n">
        <v>45945</v>
      </c>
      <c r="C1184" t="n">
        <v>14291</v>
      </c>
      <c r="D1184" t="inlineStr">
        <is>
          <t>Ahmedabad</t>
        </is>
      </c>
      <c r="E1184" t="inlineStr">
        <is>
          <t>West</t>
        </is>
      </c>
      <c r="F1184" t="inlineStr">
        <is>
          <t>Paid Social</t>
        </is>
      </c>
      <c r="G1184" t="inlineStr">
        <is>
          <t>Desktop</t>
        </is>
      </c>
      <c r="H1184" t="inlineStr">
        <is>
          <t>Cash on Delivery</t>
        </is>
      </c>
      <c r="I1184" t="inlineStr">
        <is>
          <t>Delivered</t>
        </is>
      </c>
      <c r="J1184" t="n">
        <v>101</v>
      </c>
      <c r="K1184" t="n">
        <v>1</v>
      </c>
      <c r="L1184" t="n">
        <v>2099</v>
      </c>
      <c r="M1184" t="n">
        <v>209.9</v>
      </c>
      <c r="N1184">
        <f>VLOOKUP(J1184,Products!$A$2:$C$49,3,FALSE)</f>
        <v/>
      </c>
      <c r="O1184">
        <f>K1184*L1184-M1184</f>
        <v/>
      </c>
      <c r="P1184">
        <f>TEXT(B1184,"yyyy-mm")</f>
        <v/>
      </c>
      <c r="Q1184">
        <f>IF(O1184&gt;=3000,"Large","Small")</f>
        <v/>
      </c>
      <c r="R1184">
        <f>INDEX(Products!$F$2:$F$49,MATCH(J1184,Products!$A$2:$A$49,0))</f>
        <v/>
      </c>
      <c r="S1184">
        <f>WEEKDAY(B1184,2)</f>
        <v/>
      </c>
    </row>
    <row r="1185">
      <c r="A1185" t="n">
        <v>509927</v>
      </c>
      <c r="B1185" s="6" t="n">
        <v>45945</v>
      </c>
      <c r="C1185" t="n">
        <v>14291</v>
      </c>
      <c r="D1185" t="inlineStr">
        <is>
          <t>Ahmedabad</t>
        </is>
      </c>
      <c r="E1185" t="inlineStr">
        <is>
          <t>West</t>
        </is>
      </c>
      <c r="F1185" t="inlineStr">
        <is>
          <t>Paid Social</t>
        </is>
      </c>
      <c r="G1185" t="inlineStr">
        <is>
          <t>Desktop</t>
        </is>
      </c>
      <c r="H1185" t="inlineStr">
        <is>
          <t>Cash on Delivery</t>
        </is>
      </c>
      <c r="I1185" t="inlineStr">
        <is>
          <t>Delivered</t>
        </is>
      </c>
      <c r="J1185" t="n">
        <v>129</v>
      </c>
      <c r="K1185" t="n">
        <v>1</v>
      </c>
      <c r="L1185" t="n">
        <v>576</v>
      </c>
      <c r="M1185" t="n">
        <v>57.6</v>
      </c>
      <c r="N1185">
        <f>VLOOKUP(J1185,Products!$A$2:$C$49,3,FALSE)</f>
        <v/>
      </c>
      <c r="O1185">
        <f>K1185*L1185-M1185</f>
        <v/>
      </c>
      <c r="P1185">
        <f>TEXT(B1185,"yyyy-mm")</f>
        <v/>
      </c>
      <c r="Q1185">
        <f>IF(O1185&gt;=3000,"Large","Small")</f>
        <v/>
      </c>
      <c r="R1185">
        <f>INDEX(Products!$F$2:$F$49,MATCH(J1185,Products!$A$2:$A$49,0))</f>
        <v/>
      </c>
      <c r="S1185">
        <f>WEEKDAY(B1185,2)</f>
        <v/>
      </c>
    </row>
    <row r="1186">
      <c r="A1186" t="n">
        <v>509928</v>
      </c>
      <c r="B1186" s="6" t="n">
        <v>45945</v>
      </c>
      <c r="C1186" t="n">
        <v>16394</v>
      </c>
      <c r="D1186" t="inlineStr">
        <is>
          <t>Lucknow</t>
        </is>
      </c>
      <c r="E1186" t="inlineStr">
        <is>
          <t>North</t>
        </is>
      </c>
      <c r="F1186" t="inlineStr">
        <is>
          <t>Email</t>
        </is>
      </c>
      <c r="G1186" t="inlineStr">
        <is>
          <t>Mobile Web</t>
        </is>
      </c>
      <c r="H1186" t="inlineStr">
        <is>
          <t>Net Banking</t>
        </is>
      </c>
      <c r="I1186" t="inlineStr">
        <is>
          <t>Returned</t>
        </is>
      </c>
      <c r="J1186" t="n">
        <v>137</v>
      </c>
      <c r="K1186" t="n">
        <v>1</v>
      </c>
      <c r="L1186" t="n">
        <v>261</v>
      </c>
      <c r="M1186" t="n">
        <v>26.1</v>
      </c>
      <c r="N1186">
        <f>VLOOKUP(J1186,Products!$A$2:$C$49,3,FALSE)</f>
        <v/>
      </c>
      <c r="O1186">
        <f>K1186*L1186-M1186</f>
        <v/>
      </c>
      <c r="P1186">
        <f>TEXT(B1186,"yyyy-mm")</f>
        <v/>
      </c>
      <c r="Q1186">
        <f>IF(O1186&gt;=3000,"Large","Small")</f>
        <v/>
      </c>
      <c r="R1186">
        <f>INDEX(Products!$F$2:$F$49,MATCH(J1186,Products!$A$2:$A$49,0))</f>
        <v/>
      </c>
      <c r="S1186">
        <f>WEEKDAY(B1186,2)</f>
        <v/>
      </c>
    </row>
    <row r="1187">
      <c r="A1187" t="n">
        <v>509928</v>
      </c>
      <c r="B1187" s="6" t="n">
        <v>45945</v>
      </c>
      <c r="C1187" t="n">
        <v>16394</v>
      </c>
      <c r="D1187" t="inlineStr">
        <is>
          <t>Lucknow</t>
        </is>
      </c>
      <c r="E1187" t="inlineStr">
        <is>
          <t>North</t>
        </is>
      </c>
      <c r="F1187" t="inlineStr">
        <is>
          <t>Email</t>
        </is>
      </c>
      <c r="G1187" t="inlineStr">
        <is>
          <t>Mobile Web</t>
        </is>
      </c>
      <c r="H1187" t="inlineStr">
        <is>
          <t>Net Banking</t>
        </is>
      </c>
      <c r="I1187" t="inlineStr">
        <is>
          <t>Returned</t>
        </is>
      </c>
      <c r="J1187" t="n">
        <v>103</v>
      </c>
      <c r="K1187" t="n">
        <v>1</v>
      </c>
      <c r="L1187" t="n">
        <v>2624</v>
      </c>
      <c r="M1187" t="n">
        <v>262.4</v>
      </c>
      <c r="N1187">
        <f>VLOOKUP(J1187,Products!$A$2:$C$49,3,FALSE)</f>
        <v/>
      </c>
      <c r="O1187">
        <f>K1187*L1187-M1187</f>
        <v/>
      </c>
      <c r="P1187">
        <f>TEXT(B1187,"yyyy-mm")</f>
        <v/>
      </c>
      <c r="Q1187">
        <f>IF(O1187&gt;=3000,"Large","Small")</f>
        <v/>
      </c>
      <c r="R1187">
        <f>INDEX(Products!$F$2:$F$49,MATCH(J1187,Products!$A$2:$A$49,0))</f>
        <v/>
      </c>
      <c r="S1187">
        <f>WEEKDAY(B1187,2)</f>
        <v/>
      </c>
    </row>
    <row r="1188">
      <c r="A1188" t="n">
        <v>509928</v>
      </c>
      <c r="B1188" s="6" t="n">
        <v>45945</v>
      </c>
      <c r="C1188" t="n">
        <v>16394</v>
      </c>
      <c r="D1188" t="inlineStr">
        <is>
          <t>Lucknow</t>
        </is>
      </c>
      <c r="E1188" t="inlineStr">
        <is>
          <t>North</t>
        </is>
      </c>
      <c r="F1188" t="inlineStr">
        <is>
          <t>Email</t>
        </is>
      </c>
      <c r="G1188" t="inlineStr">
        <is>
          <t>Mobile Web</t>
        </is>
      </c>
      <c r="H1188" t="inlineStr">
        <is>
          <t>Net Banking</t>
        </is>
      </c>
      <c r="I1188" t="inlineStr">
        <is>
          <t>Returned</t>
        </is>
      </c>
      <c r="J1188" t="n">
        <v>117</v>
      </c>
      <c r="K1188" t="n">
        <v>2</v>
      </c>
      <c r="L1188" t="n">
        <v>3149</v>
      </c>
      <c r="M1188" t="n">
        <v>629.8</v>
      </c>
      <c r="N1188">
        <f>VLOOKUP(J1188,Products!$A$2:$C$49,3,FALSE)</f>
        <v/>
      </c>
      <c r="O1188">
        <f>K1188*L1188-M1188</f>
        <v/>
      </c>
      <c r="P1188">
        <f>TEXT(B1188,"yyyy-mm")</f>
        <v/>
      </c>
      <c r="Q1188">
        <f>IF(O1188&gt;=3000,"Large","Small")</f>
        <v/>
      </c>
      <c r="R1188">
        <f>INDEX(Products!$F$2:$F$49,MATCH(J1188,Products!$A$2:$A$49,0))</f>
        <v/>
      </c>
      <c r="S1188">
        <f>WEEKDAY(B1188,2)</f>
        <v/>
      </c>
    </row>
    <row r="1189">
      <c r="A1189" t="n">
        <v>509929</v>
      </c>
      <c r="B1189" s="6" t="n">
        <v>45945</v>
      </c>
      <c r="C1189" t="n">
        <v>12663</v>
      </c>
      <c r="D1189" t="inlineStr">
        <is>
          <t>Delhi</t>
        </is>
      </c>
      <c r="E1189" t="inlineStr">
        <is>
          <t>North</t>
        </is>
      </c>
      <c r="F1189" t="inlineStr">
        <is>
          <t>Organic Search</t>
        </is>
      </c>
      <c r="G1189" t="inlineStr">
        <is>
          <t>Mobile App</t>
        </is>
      </c>
      <c r="H1189" t="inlineStr">
        <is>
          <t>UPI</t>
        </is>
      </c>
      <c r="I1189" t="inlineStr">
        <is>
          <t>Delivered</t>
        </is>
      </c>
      <c r="J1189" t="n">
        <v>126</v>
      </c>
      <c r="K1189" t="n">
        <v>1</v>
      </c>
      <c r="L1189" t="n">
        <v>471</v>
      </c>
      <c r="M1189" t="n">
        <v>47.1</v>
      </c>
      <c r="N1189">
        <f>VLOOKUP(J1189,Products!$A$2:$C$49,3,FALSE)</f>
        <v/>
      </c>
      <c r="O1189">
        <f>K1189*L1189-M1189</f>
        <v/>
      </c>
      <c r="P1189">
        <f>TEXT(B1189,"yyyy-mm")</f>
        <v/>
      </c>
      <c r="Q1189">
        <f>IF(O1189&gt;=3000,"Large","Small")</f>
        <v/>
      </c>
      <c r="R1189">
        <f>INDEX(Products!$F$2:$F$49,MATCH(J1189,Products!$A$2:$A$49,0))</f>
        <v/>
      </c>
      <c r="S1189">
        <f>WEEKDAY(B1189,2)</f>
        <v/>
      </c>
    </row>
    <row r="1190">
      <c r="A1190" t="n">
        <v>509930</v>
      </c>
      <c r="B1190" s="6" t="n">
        <v>45945</v>
      </c>
      <c r="C1190" t="n">
        <v>12601</v>
      </c>
      <c r="D1190" t="inlineStr">
        <is>
          <t>Hyderabad</t>
        </is>
      </c>
      <c r="E1190" t="inlineStr">
        <is>
          <t>South</t>
        </is>
      </c>
      <c r="F1190" t="inlineStr">
        <is>
          <t>Email</t>
        </is>
      </c>
      <c r="G1190" t="inlineStr">
        <is>
          <t>Mobile App</t>
        </is>
      </c>
      <c r="H1190" t="inlineStr">
        <is>
          <t>Credit Card</t>
        </is>
      </c>
      <c r="I1190" t="inlineStr">
        <is>
          <t>Delivered</t>
        </is>
      </c>
      <c r="J1190" t="n">
        <v>112</v>
      </c>
      <c r="K1190" t="n">
        <v>2</v>
      </c>
      <c r="L1190" t="n">
        <v>1574</v>
      </c>
      <c r="M1190" t="n">
        <v>0</v>
      </c>
      <c r="N1190">
        <f>VLOOKUP(J1190,Products!$A$2:$C$49,3,FALSE)</f>
        <v/>
      </c>
      <c r="O1190">
        <f>K1190*L1190-M1190</f>
        <v/>
      </c>
      <c r="P1190">
        <f>TEXT(B1190,"yyyy-mm")</f>
        <v/>
      </c>
      <c r="Q1190">
        <f>IF(O1190&gt;=3000,"Large","Small")</f>
        <v/>
      </c>
      <c r="R1190">
        <f>INDEX(Products!$F$2:$F$49,MATCH(J1190,Products!$A$2:$A$49,0))</f>
        <v/>
      </c>
      <c r="S1190">
        <f>WEEKDAY(B1190,2)</f>
        <v/>
      </c>
    </row>
    <row r="1191">
      <c r="A1191" t="n">
        <v>509931</v>
      </c>
      <c r="B1191" s="6" t="n">
        <v>45945</v>
      </c>
      <c r="C1191" t="n">
        <v>16821</v>
      </c>
      <c r="D1191" t="inlineStr">
        <is>
          <t>Mumbai</t>
        </is>
      </c>
      <c r="E1191" t="inlineStr">
        <is>
          <t>West</t>
        </is>
      </c>
      <c r="F1191" t="inlineStr">
        <is>
          <t>Organic Search</t>
        </is>
      </c>
      <c r="G1191" t="inlineStr">
        <is>
          <t>Mobile Web</t>
        </is>
      </c>
      <c r="H1191" t="inlineStr">
        <is>
          <t>Debit Card</t>
        </is>
      </c>
      <c r="I1191" t="inlineStr">
        <is>
          <t>Returned</t>
        </is>
      </c>
      <c r="J1191" t="n">
        <v>112</v>
      </c>
      <c r="K1191" t="n">
        <v>1</v>
      </c>
      <c r="L1191" t="n">
        <v>1574</v>
      </c>
      <c r="M1191" t="n">
        <v>157.4</v>
      </c>
      <c r="N1191">
        <f>VLOOKUP(J1191,Products!$A$2:$C$49,3,FALSE)</f>
        <v/>
      </c>
      <c r="O1191">
        <f>K1191*L1191-M1191</f>
        <v/>
      </c>
      <c r="P1191">
        <f>TEXT(B1191,"yyyy-mm")</f>
        <v/>
      </c>
      <c r="Q1191">
        <f>IF(O1191&gt;=3000,"Large","Small")</f>
        <v/>
      </c>
      <c r="R1191">
        <f>INDEX(Products!$F$2:$F$49,MATCH(J1191,Products!$A$2:$A$49,0))</f>
        <v/>
      </c>
      <c r="S1191">
        <f>WEEKDAY(B1191,2)</f>
        <v/>
      </c>
    </row>
    <row r="1192">
      <c r="A1192" t="n">
        <v>509932</v>
      </c>
      <c r="B1192" s="6" t="n">
        <v>45945</v>
      </c>
      <c r="C1192" t="n">
        <v>16840</v>
      </c>
      <c r="D1192" t="inlineStr">
        <is>
          <t>Lucknow</t>
        </is>
      </c>
      <c r="E1192" t="inlineStr">
        <is>
          <t>North</t>
        </is>
      </c>
      <c r="F1192" t="inlineStr">
        <is>
          <t>Affiliate</t>
        </is>
      </c>
      <c r="G1192" t="inlineStr">
        <is>
          <t>Mobile Web</t>
        </is>
      </c>
      <c r="H1192" t="inlineStr">
        <is>
          <t>UPI</t>
        </is>
      </c>
      <c r="I1192" t="inlineStr">
        <is>
          <t>Delivered</t>
        </is>
      </c>
      <c r="J1192" t="n">
        <v>108</v>
      </c>
      <c r="K1192" t="n">
        <v>1</v>
      </c>
      <c r="L1192" t="n">
        <v>419</v>
      </c>
      <c r="M1192" t="n">
        <v>0</v>
      </c>
      <c r="N1192">
        <f>VLOOKUP(J1192,Products!$A$2:$C$49,3,FALSE)</f>
        <v/>
      </c>
      <c r="O1192">
        <f>K1192*L1192-M1192</f>
        <v/>
      </c>
      <c r="P1192">
        <f>TEXT(B1192,"yyyy-mm")</f>
        <v/>
      </c>
      <c r="Q1192">
        <f>IF(O1192&gt;=3000,"Large","Small")</f>
        <v/>
      </c>
      <c r="R1192">
        <f>INDEX(Products!$F$2:$F$49,MATCH(J1192,Products!$A$2:$A$49,0))</f>
        <v/>
      </c>
      <c r="S1192">
        <f>WEEKDAY(B1192,2)</f>
        <v/>
      </c>
    </row>
    <row r="1193">
      <c r="A1193" t="n">
        <v>509932</v>
      </c>
      <c r="B1193" s="6" t="n">
        <v>45945</v>
      </c>
      <c r="C1193" t="n">
        <v>16840</v>
      </c>
      <c r="D1193" t="inlineStr">
        <is>
          <t>Lucknow</t>
        </is>
      </c>
      <c r="E1193" t="inlineStr">
        <is>
          <t>North</t>
        </is>
      </c>
      <c r="F1193" t="inlineStr">
        <is>
          <t>Affiliate</t>
        </is>
      </c>
      <c r="G1193" t="inlineStr">
        <is>
          <t>Mobile Web</t>
        </is>
      </c>
      <c r="H1193" t="inlineStr">
        <is>
          <t>UPI</t>
        </is>
      </c>
      <c r="I1193" t="inlineStr">
        <is>
          <t>Delivered</t>
        </is>
      </c>
      <c r="J1193" t="n">
        <v>120</v>
      </c>
      <c r="K1193" t="n">
        <v>2</v>
      </c>
      <c r="L1193" t="n">
        <v>734</v>
      </c>
      <c r="M1193" t="n">
        <v>0</v>
      </c>
      <c r="N1193">
        <f>VLOOKUP(J1193,Products!$A$2:$C$49,3,FALSE)</f>
        <v/>
      </c>
      <c r="O1193">
        <f>K1193*L1193-M1193</f>
        <v/>
      </c>
      <c r="P1193">
        <f>TEXT(B1193,"yyyy-mm")</f>
        <v/>
      </c>
      <c r="Q1193">
        <f>IF(O1193&gt;=3000,"Large","Small")</f>
        <v/>
      </c>
      <c r="R1193">
        <f>INDEX(Products!$F$2:$F$49,MATCH(J1193,Products!$A$2:$A$49,0))</f>
        <v/>
      </c>
      <c r="S1193">
        <f>WEEKDAY(B1193,2)</f>
        <v/>
      </c>
    </row>
    <row r="1194">
      <c r="A1194" t="n">
        <v>509932</v>
      </c>
      <c r="B1194" s="6" t="n">
        <v>45945</v>
      </c>
      <c r="C1194" t="n">
        <v>16840</v>
      </c>
      <c r="D1194" t="inlineStr">
        <is>
          <t>Lucknow</t>
        </is>
      </c>
      <c r="E1194" t="inlineStr">
        <is>
          <t>North</t>
        </is>
      </c>
      <c r="F1194" t="inlineStr">
        <is>
          <t>Affiliate</t>
        </is>
      </c>
      <c r="G1194" t="inlineStr">
        <is>
          <t>Mobile Web</t>
        </is>
      </c>
      <c r="H1194" t="inlineStr">
        <is>
          <t>UPI</t>
        </is>
      </c>
      <c r="I1194" t="inlineStr">
        <is>
          <t>Delivered</t>
        </is>
      </c>
      <c r="J1194" t="n">
        <v>129</v>
      </c>
      <c r="K1194" t="n">
        <v>1</v>
      </c>
      <c r="L1194" t="n">
        <v>576</v>
      </c>
      <c r="M1194" t="n">
        <v>0</v>
      </c>
      <c r="N1194">
        <f>VLOOKUP(J1194,Products!$A$2:$C$49,3,FALSE)</f>
        <v/>
      </c>
      <c r="O1194">
        <f>K1194*L1194-M1194</f>
        <v/>
      </c>
      <c r="P1194">
        <f>TEXT(B1194,"yyyy-mm")</f>
        <v/>
      </c>
      <c r="Q1194">
        <f>IF(O1194&gt;=3000,"Large","Small")</f>
        <v/>
      </c>
      <c r="R1194">
        <f>INDEX(Products!$F$2:$F$49,MATCH(J1194,Products!$A$2:$A$49,0))</f>
        <v/>
      </c>
      <c r="S1194">
        <f>WEEKDAY(B1194,2)</f>
        <v/>
      </c>
    </row>
    <row r="1195">
      <c r="A1195" t="n">
        <v>509933</v>
      </c>
      <c r="B1195" s="6" t="n">
        <v>45945</v>
      </c>
      <c r="C1195" t="n">
        <v>16328</v>
      </c>
      <c r="D1195" t="inlineStr">
        <is>
          <t>Ahmedabad</t>
        </is>
      </c>
      <c r="E1195" t="inlineStr">
        <is>
          <t>West</t>
        </is>
      </c>
      <c r="F1195" t="inlineStr">
        <is>
          <t>Paid Social</t>
        </is>
      </c>
      <c r="G1195" t="inlineStr">
        <is>
          <t>Mobile Web</t>
        </is>
      </c>
      <c r="H1195" t="inlineStr">
        <is>
          <t>Debit Card</t>
        </is>
      </c>
      <c r="I1195" t="inlineStr">
        <is>
          <t>Delivered</t>
        </is>
      </c>
      <c r="J1195" t="n">
        <v>142</v>
      </c>
      <c r="K1195" t="n">
        <v>1</v>
      </c>
      <c r="L1195" t="n">
        <v>839</v>
      </c>
      <c r="M1195" t="n">
        <v>0</v>
      </c>
      <c r="N1195">
        <f>VLOOKUP(J1195,Products!$A$2:$C$49,3,FALSE)</f>
        <v/>
      </c>
      <c r="O1195">
        <f>K1195*L1195-M1195</f>
        <v/>
      </c>
      <c r="P1195">
        <f>TEXT(B1195,"yyyy-mm")</f>
        <v/>
      </c>
      <c r="Q1195">
        <f>IF(O1195&gt;=3000,"Large","Small")</f>
        <v/>
      </c>
      <c r="R1195">
        <f>INDEX(Products!$F$2:$F$49,MATCH(J1195,Products!$A$2:$A$49,0))</f>
        <v/>
      </c>
      <c r="S1195">
        <f>WEEKDAY(B1195,2)</f>
        <v/>
      </c>
    </row>
    <row r="1196">
      <c r="A1196" t="n">
        <v>509933</v>
      </c>
      <c r="B1196" s="6" t="n">
        <v>45945</v>
      </c>
      <c r="C1196" t="n">
        <v>16328</v>
      </c>
      <c r="D1196" t="inlineStr">
        <is>
          <t>Ahmedabad</t>
        </is>
      </c>
      <c r="E1196" t="inlineStr">
        <is>
          <t>West</t>
        </is>
      </c>
      <c r="F1196" t="inlineStr">
        <is>
          <t>Paid Social</t>
        </is>
      </c>
      <c r="G1196" t="inlineStr">
        <is>
          <t>Mobile Web</t>
        </is>
      </c>
      <c r="H1196" t="inlineStr">
        <is>
          <t>Debit Card</t>
        </is>
      </c>
      <c r="I1196" t="inlineStr">
        <is>
          <t>Delivered</t>
        </is>
      </c>
      <c r="J1196" t="n">
        <v>129</v>
      </c>
      <c r="K1196" t="n">
        <v>1</v>
      </c>
      <c r="L1196" t="n">
        <v>576</v>
      </c>
      <c r="M1196" t="n">
        <v>0</v>
      </c>
      <c r="N1196">
        <f>VLOOKUP(J1196,Products!$A$2:$C$49,3,FALSE)</f>
        <v/>
      </c>
      <c r="O1196">
        <f>K1196*L1196-M1196</f>
        <v/>
      </c>
      <c r="P1196">
        <f>TEXT(B1196,"yyyy-mm")</f>
        <v/>
      </c>
      <c r="Q1196">
        <f>IF(O1196&gt;=3000,"Large","Small")</f>
        <v/>
      </c>
      <c r="R1196">
        <f>INDEX(Products!$F$2:$F$49,MATCH(J1196,Products!$A$2:$A$49,0))</f>
        <v/>
      </c>
      <c r="S1196">
        <f>WEEKDAY(B1196,2)</f>
        <v/>
      </c>
    </row>
    <row r="1197">
      <c r="A1197" t="n">
        <v>509934</v>
      </c>
      <c r="B1197" s="6" t="n">
        <v>45945</v>
      </c>
      <c r="C1197" t="n">
        <v>16824</v>
      </c>
      <c r="D1197" t="inlineStr">
        <is>
          <t>Bengaluru</t>
        </is>
      </c>
      <c r="E1197" t="inlineStr">
        <is>
          <t>South</t>
        </is>
      </c>
      <c r="F1197" t="inlineStr">
        <is>
          <t>Paid Search</t>
        </is>
      </c>
      <c r="G1197" t="inlineStr">
        <is>
          <t>Desktop</t>
        </is>
      </c>
      <c r="H1197" t="inlineStr">
        <is>
          <t>Credit Card</t>
        </is>
      </c>
      <c r="I1197" t="inlineStr">
        <is>
          <t>Delivered</t>
        </is>
      </c>
      <c r="J1197" t="n">
        <v>117</v>
      </c>
      <c r="K1197" t="n">
        <v>1</v>
      </c>
      <c r="L1197" t="n">
        <v>3149</v>
      </c>
      <c r="M1197" t="n">
        <v>472.35</v>
      </c>
      <c r="N1197">
        <f>VLOOKUP(J1197,Products!$A$2:$C$49,3,FALSE)</f>
        <v/>
      </c>
      <c r="O1197">
        <f>K1197*L1197-M1197</f>
        <v/>
      </c>
      <c r="P1197">
        <f>TEXT(B1197,"yyyy-mm")</f>
        <v/>
      </c>
      <c r="Q1197">
        <f>IF(O1197&gt;=3000,"Large","Small")</f>
        <v/>
      </c>
      <c r="R1197">
        <f>INDEX(Products!$F$2:$F$49,MATCH(J1197,Products!$A$2:$A$49,0))</f>
        <v/>
      </c>
      <c r="S1197">
        <f>WEEKDAY(B1197,2)</f>
        <v/>
      </c>
    </row>
    <row r="1198">
      <c r="A1198" t="n">
        <v>509935</v>
      </c>
      <c r="B1198" s="6" t="n">
        <v>45945</v>
      </c>
      <c r="C1198" t="n">
        <v>12543</v>
      </c>
      <c r="D1198" t="inlineStr">
        <is>
          <t>Lucknow</t>
        </is>
      </c>
      <c r="E1198" t="inlineStr">
        <is>
          <t>North</t>
        </is>
      </c>
      <c r="F1198" t="inlineStr">
        <is>
          <t>Affiliate</t>
        </is>
      </c>
      <c r="G1198" t="inlineStr">
        <is>
          <t>Mobile App</t>
        </is>
      </c>
      <c r="H1198" t="inlineStr">
        <is>
          <t>UPI</t>
        </is>
      </c>
      <c r="I1198" t="inlineStr">
        <is>
          <t>Returned</t>
        </is>
      </c>
      <c r="J1198" t="n">
        <v>107</v>
      </c>
      <c r="K1198" t="n">
        <v>1</v>
      </c>
      <c r="L1198" t="n">
        <v>1259</v>
      </c>
      <c r="M1198" t="n">
        <v>125.9</v>
      </c>
      <c r="N1198">
        <f>VLOOKUP(J1198,Products!$A$2:$C$49,3,FALSE)</f>
        <v/>
      </c>
      <c r="O1198">
        <f>K1198*L1198-M1198</f>
        <v/>
      </c>
      <c r="P1198">
        <f>TEXT(B1198,"yyyy-mm")</f>
        <v/>
      </c>
      <c r="Q1198">
        <f>IF(O1198&gt;=3000,"Large","Small")</f>
        <v/>
      </c>
      <c r="R1198">
        <f>INDEX(Products!$F$2:$F$49,MATCH(J1198,Products!$A$2:$A$49,0))</f>
        <v/>
      </c>
      <c r="S1198">
        <f>WEEKDAY(B1198,2)</f>
        <v/>
      </c>
    </row>
    <row r="1199">
      <c r="A1199" t="n">
        <v>509935</v>
      </c>
      <c r="B1199" s="6" t="n">
        <v>45945</v>
      </c>
      <c r="C1199" t="n">
        <v>12543</v>
      </c>
      <c r="D1199" t="inlineStr">
        <is>
          <t>Lucknow</t>
        </is>
      </c>
      <c r="E1199" t="inlineStr">
        <is>
          <t>North</t>
        </is>
      </c>
      <c r="F1199" t="inlineStr">
        <is>
          <t>Affiliate</t>
        </is>
      </c>
      <c r="G1199" t="inlineStr">
        <is>
          <t>Mobile App</t>
        </is>
      </c>
      <c r="H1199" t="inlineStr">
        <is>
          <t>UPI</t>
        </is>
      </c>
      <c r="I1199" t="inlineStr">
        <is>
          <t>Returned</t>
        </is>
      </c>
      <c r="J1199" t="n">
        <v>127</v>
      </c>
      <c r="K1199" t="n">
        <v>3</v>
      </c>
      <c r="L1199" t="n">
        <v>681</v>
      </c>
      <c r="M1199" t="n">
        <v>204.3</v>
      </c>
      <c r="N1199">
        <f>VLOOKUP(J1199,Products!$A$2:$C$49,3,FALSE)</f>
        <v/>
      </c>
      <c r="O1199">
        <f>K1199*L1199-M1199</f>
        <v/>
      </c>
      <c r="P1199">
        <f>TEXT(B1199,"yyyy-mm")</f>
        <v/>
      </c>
      <c r="Q1199">
        <f>IF(O1199&gt;=3000,"Large","Small")</f>
        <v/>
      </c>
      <c r="R1199">
        <f>INDEX(Products!$F$2:$F$49,MATCH(J1199,Products!$A$2:$A$49,0))</f>
        <v/>
      </c>
      <c r="S1199">
        <f>WEEKDAY(B1199,2)</f>
        <v/>
      </c>
    </row>
    <row r="1200">
      <c r="A1200" t="n">
        <v>509935</v>
      </c>
      <c r="B1200" s="6" t="n">
        <v>45945</v>
      </c>
      <c r="C1200" t="n">
        <v>12543</v>
      </c>
      <c r="D1200" t="inlineStr">
        <is>
          <t>Lucknow</t>
        </is>
      </c>
      <c r="E1200" t="inlineStr">
        <is>
          <t>North</t>
        </is>
      </c>
      <c r="F1200" t="inlineStr">
        <is>
          <t>Affiliate</t>
        </is>
      </c>
      <c r="G1200" t="inlineStr">
        <is>
          <t>Mobile App</t>
        </is>
      </c>
      <c r="H1200" t="inlineStr">
        <is>
          <t>UPI</t>
        </is>
      </c>
      <c r="I1200" t="inlineStr">
        <is>
          <t>Returned</t>
        </is>
      </c>
      <c r="J1200" t="n">
        <v>129</v>
      </c>
      <c r="K1200" t="n">
        <v>2</v>
      </c>
      <c r="L1200" t="n">
        <v>576</v>
      </c>
      <c r="M1200" t="n">
        <v>115.2</v>
      </c>
      <c r="N1200">
        <f>VLOOKUP(J1200,Products!$A$2:$C$49,3,FALSE)</f>
        <v/>
      </c>
      <c r="O1200">
        <f>K1200*L1200-M1200</f>
        <v/>
      </c>
      <c r="P1200">
        <f>TEXT(B1200,"yyyy-mm")</f>
        <v/>
      </c>
      <c r="Q1200">
        <f>IF(O1200&gt;=3000,"Large","Small")</f>
        <v/>
      </c>
      <c r="R1200">
        <f>INDEX(Products!$F$2:$F$49,MATCH(J1200,Products!$A$2:$A$49,0))</f>
        <v/>
      </c>
      <c r="S1200">
        <f>WEEKDAY(B1200,2)</f>
        <v/>
      </c>
    </row>
    <row r="1201">
      <c r="A1201" t="n">
        <v>509936</v>
      </c>
      <c r="B1201" s="6" t="n">
        <v>45945</v>
      </c>
      <c r="C1201" t="n">
        <v>16837</v>
      </c>
      <c r="D1201" t="inlineStr">
        <is>
          <t>Mumbai</t>
        </is>
      </c>
      <c r="E1201" t="inlineStr">
        <is>
          <t>West</t>
        </is>
      </c>
      <c r="F1201" t="inlineStr">
        <is>
          <t>Organic Search</t>
        </is>
      </c>
      <c r="G1201" t="inlineStr">
        <is>
          <t>Mobile Web</t>
        </is>
      </c>
      <c r="H1201" t="inlineStr">
        <is>
          <t>Cash on Delivery</t>
        </is>
      </c>
      <c r="I1201" t="inlineStr">
        <is>
          <t>Delivered</t>
        </is>
      </c>
      <c r="J1201" t="n">
        <v>134</v>
      </c>
      <c r="K1201" t="n">
        <v>1</v>
      </c>
      <c r="L1201" t="n">
        <v>209</v>
      </c>
      <c r="M1201" t="n">
        <v>31.35</v>
      </c>
      <c r="N1201">
        <f>VLOOKUP(J1201,Products!$A$2:$C$49,3,FALSE)</f>
        <v/>
      </c>
      <c r="O1201">
        <f>K1201*L1201-M1201</f>
        <v/>
      </c>
      <c r="P1201">
        <f>TEXT(B1201,"yyyy-mm")</f>
        <v/>
      </c>
      <c r="Q1201">
        <f>IF(O1201&gt;=3000,"Large","Small")</f>
        <v/>
      </c>
      <c r="R1201">
        <f>INDEX(Products!$F$2:$F$49,MATCH(J1201,Products!$A$2:$A$49,0))</f>
        <v/>
      </c>
      <c r="S1201">
        <f>WEEKDAY(B1201,2)</f>
        <v/>
      </c>
    </row>
    <row r="1202">
      <c r="A1202" t="n">
        <v>509936</v>
      </c>
      <c r="B1202" s="6" t="n">
        <v>45945</v>
      </c>
      <c r="C1202" t="n">
        <v>16837</v>
      </c>
      <c r="D1202" t="inlineStr">
        <is>
          <t>Mumbai</t>
        </is>
      </c>
      <c r="E1202" t="inlineStr">
        <is>
          <t>West</t>
        </is>
      </c>
      <c r="F1202" t="inlineStr">
        <is>
          <t>Organic Search</t>
        </is>
      </c>
      <c r="G1202" t="inlineStr">
        <is>
          <t>Mobile Web</t>
        </is>
      </c>
      <c r="H1202" t="inlineStr">
        <is>
          <t>Cash on Delivery</t>
        </is>
      </c>
      <c r="I1202" t="inlineStr">
        <is>
          <t>Delivered</t>
        </is>
      </c>
      <c r="J1202" t="n">
        <v>105</v>
      </c>
      <c r="K1202" t="n">
        <v>2</v>
      </c>
      <c r="L1202" t="n">
        <v>2414</v>
      </c>
      <c r="M1202" t="n">
        <v>724.2</v>
      </c>
      <c r="N1202">
        <f>VLOOKUP(J1202,Products!$A$2:$C$49,3,FALSE)</f>
        <v/>
      </c>
      <c r="O1202">
        <f>K1202*L1202-M1202</f>
        <v/>
      </c>
      <c r="P1202">
        <f>TEXT(B1202,"yyyy-mm")</f>
        <v/>
      </c>
      <c r="Q1202">
        <f>IF(O1202&gt;=3000,"Large","Small")</f>
        <v/>
      </c>
      <c r="R1202">
        <f>INDEX(Products!$F$2:$F$49,MATCH(J1202,Products!$A$2:$A$49,0))</f>
        <v/>
      </c>
      <c r="S1202">
        <f>WEEKDAY(B1202,2)</f>
        <v/>
      </c>
    </row>
    <row r="1203">
      <c r="A1203" t="n">
        <v>509936</v>
      </c>
      <c r="B1203" s="6" t="n">
        <v>45945</v>
      </c>
      <c r="C1203" t="n">
        <v>16837</v>
      </c>
      <c r="D1203" t="inlineStr">
        <is>
          <t>Mumbai</t>
        </is>
      </c>
      <c r="E1203" t="inlineStr">
        <is>
          <t>West</t>
        </is>
      </c>
      <c r="F1203" t="inlineStr">
        <is>
          <t>Organic Search</t>
        </is>
      </c>
      <c r="G1203" t="inlineStr">
        <is>
          <t>Mobile Web</t>
        </is>
      </c>
      <c r="H1203" t="inlineStr">
        <is>
          <t>Cash on Delivery</t>
        </is>
      </c>
      <c r="I1203" t="inlineStr">
        <is>
          <t>Delivered</t>
        </is>
      </c>
      <c r="J1203" t="n">
        <v>114</v>
      </c>
      <c r="K1203" t="n">
        <v>3</v>
      </c>
      <c r="L1203" t="n">
        <v>1259</v>
      </c>
      <c r="M1203" t="n">
        <v>566.55</v>
      </c>
      <c r="N1203">
        <f>VLOOKUP(J1203,Products!$A$2:$C$49,3,FALSE)</f>
        <v/>
      </c>
      <c r="O1203">
        <f>K1203*L1203-M1203</f>
        <v/>
      </c>
      <c r="P1203">
        <f>TEXT(B1203,"yyyy-mm")</f>
        <v/>
      </c>
      <c r="Q1203">
        <f>IF(O1203&gt;=3000,"Large","Small")</f>
        <v/>
      </c>
      <c r="R1203">
        <f>INDEX(Products!$F$2:$F$49,MATCH(J1203,Products!$A$2:$A$49,0))</f>
        <v/>
      </c>
      <c r="S1203">
        <f>WEEKDAY(B1203,2)</f>
        <v/>
      </c>
    </row>
    <row r="1204">
      <c r="A1204" t="n">
        <v>509937</v>
      </c>
      <c r="B1204" s="6" t="n">
        <v>45945</v>
      </c>
      <c r="C1204" t="n">
        <v>11881</v>
      </c>
      <c r="D1204" t="inlineStr">
        <is>
          <t>Delhi</t>
        </is>
      </c>
      <c r="E1204" t="inlineStr">
        <is>
          <t>North</t>
        </is>
      </c>
      <c r="F1204" t="inlineStr">
        <is>
          <t>Affiliate</t>
        </is>
      </c>
      <c r="G1204" t="inlineStr">
        <is>
          <t>Mobile App</t>
        </is>
      </c>
      <c r="H1204" t="inlineStr">
        <is>
          <t>UPI</t>
        </is>
      </c>
      <c r="I1204" t="inlineStr">
        <is>
          <t>Delivered</t>
        </is>
      </c>
      <c r="J1204" t="n">
        <v>108</v>
      </c>
      <c r="K1204" t="n">
        <v>1</v>
      </c>
      <c r="L1204" t="n">
        <v>419</v>
      </c>
      <c r="M1204" t="n">
        <v>20.95</v>
      </c>
      <c r="N1204">
        <f>VLOOKUP(J1204,Products!$A$2:$C$49,3,FALSE)</f>
        <v/>
      </c>
      <c r="O1204">
        <f>K1204*L1204-M1204</f>
        <v/>
      </c>
      <c r="P1204">
        <f>TEXT(B1204,"yyyy-mm")</f>
        <v/>
      </c>
      <c r="Q1204">
        <f>IF(O1204&gt;=3000,"Large","Small")</f>
        <v/>
      </c>
      <c r="R1204">
        <f>INDEX(Products!$F$2:$F$49,MATCH(J1204,Products!$A$2:$A$49,0))</f>
        <v/>
      </c>
      <c r="S1204">
        <f>WEEKDAY(B1204,2)</f>
        <v/>
      </c>
    </row>
    <row r="1205">
      <c r="A1205" t="n">
        <v>509938</v>
      </c>
      <c r="B1205" s="6" t="n">
        <v>45945</v>
      </c>
      <c r="C1205" t="n">
        <v>12493</v>
      </c>
      <c r="D1205" t="inlineStr">
        <is>
          <t>Pune</t>
        </is>
      </c>
      <c r="E1205" t="inlineStr">
        <is>
          <t>West</t>
        </is>
      </c>
      <c r="F1205" t="inlineStr">
        <is>
          <t>Organic Search</t>
        </is>
      </c>
      <c r="G1205" t="inlineStr">
        <is>
          <t>Mobile Web</t>
        </is>
      </c>
      <c r="H1205" t="inlineStr">
        <is>
          <t>Debit Card</t>
        </is>
      </c>
      <c r="I1205" t="inlineStr">
        <is>
          <t>Delivered</t>
        </is>
      </c>
      <c r="J1205" t="n">
        <v>135</v>
      </c>
      <c r="K1205" t="n">
        <v>1</v>
      </c>
      <c r="L1205" t="n">
        <v>1574</v>
      </c>
      <c r="M1205" t="n">
        <v>0</v>
      </c>
      <c r="N1205">
        <f>VLOOKUP(J1205,Products!$A$2:$C$49,3,FALSE)</f>
        <v/>
      </c>
      <c r="O1205">
        <f>K1205*L1205-M1205</f>
        <v/>
      </c>
      <c r="P1205">
        <f>TEXT(B1205,"yyyy-mm")</f>
        <v/>
      </c>
      <c r="Q1205">
        <f>IF(O1205&gt;=3000,"Large","Small")</f>
        <v/>
      </c>
      <c r="R1205">
        <f>INDEX(Products!$F$2:$F$49,MATCH(J1205,Products!$A$2:$A$49,0))</f>
        <v/>
      </c>
      <c r="S1205">
        <f>WEEKDAY(B1205,2)</f>
        <v/>
      </c>
    </row>
    <row r="1206">
      <c r="A1206" t="n">
        <v>509938</v>
      </c>
      <c r="B1206" s="6" t="n">
        <v>45945</v>
      </c>
      <c r="C1206" t="n">
        <v>12493</v>
      </c>
      <c r="D1206" t="inlineStr">
        <is>
          <t>Pune</t>
        </is>
      </c>
      <c r="E1206" t="inlineStr">
        <is>
          <t>West</t>
        </is>
      </c>
      <c r="F1206" t="inlineStr">
        <is>
          <t>Organic Search</t>
        </is>
      </c>
      <c r="G1206" t="inlineStr">
        <is>
          <t>Mobile Web</t>
        </is>
      </c>
      <c r="H1206" t="inlineStr">
        <is>
          <t>Debit Card</t>
        </is>
      </c>
      <c r="I1206" t="inlineStr">
        <is>
          <t>Delivered</t>
        </is>
      </c>
      <c r="J1206" t="n">
        <v>141</v>
      </c>
      <c r="K1206" t="n">
        <v>1</v>
      </c>
      <c r="L1206" t="n">
        <v>261</v>
      </c>
      <c r="M1206" t="n">
        <v>0</v>
      </c>
      <c r="N1206">
        <f>VLOOKUP(J1206,Products!$A$2:$C$49,3,FALSE)</f>
        <v/>
      </c>
      <c r="O1206">
        <f>K1206*L1206-M1206</f>
        <v/>
      </c>
      <c r="P1206">
        <f>TEXT(B1206,"yyyy-mm")</f>
        <v/>
      </c>
      <c r="Q1206">
        <f>IF(O1206&gt;=3000,"Large","Small")</f>
        <v/>
      </c>
      <c r="R1206">
        <f>INDEX(Products!$F$2:$F$49,MATCH(J1206,Products!$A$2:$A$49,0))</f>
        <v/>
      </c>
      <c r="S1206">
        <f>WEEKDAY(B1206,2)</f>
        <v/>
      </c>
    </row>
    <row r="1207">
      <c r="A1207" t="n">
        <v>509939</v>
      </c>
      <c r="B1207" s="6" t="n">
        <v>45945</v>
      </c>
      <c r="C1207" t="n">
        <v>16780</v>
      </c>
      <c r="D1207" t="inlineStr">
        <is>
          <t>Mumbai</t>
        </is>
      </c>
      <c r="E1207" t="inlineStr">
        <is>
          <t>West</t>
        </is>
      </c>
      <c r="F1207" t="inlineStr">
        <is>
          <t>Paid Search</t>
        </is>
      </c>
      <c r="G1207" t="inlineStr">
        <is>
          <t>Mobile App</t>
        </is>
      </c>
      <c r="H1207" t="inlineStr">
        <is>
          <t>UPI</t>
        </is>
      </c>
      <c r="I1207" t="inlineStr">
        <is>
          <t>Delivered</t>
        </is>
      </c>
      <c r="J1207" t="n">
        <v>117</v>
      </c>
      <c r="K1207" t="n">
        <v>1</v>
      </c>
      <c r="L1207" t="n">
        <v>3149</v>
      </c>
      <c r="M1207" t="n">
        <v>314.9</v>
      </c>
      <c r="N1207">
        <f>VLOOKUP(J1207,Products!$A$2:$C$49,3,FALSE)</f>
        <v/>
      </c>
      <c r="O1207">
        <f>K1207*L1207-M1207</f>
        <v/>
      </c>
      <c r="P1207">
        <f>TEXT(B1207,"yyyy-mm")</f>
        <v/>
      </c>
      <c r="Q1207">
        <f>IF(O1207&gt;=3000,"Large","Small")</f>
        <v/>
      </c>
      <c r="R1207">
        <f>INDEX(Products!$F$2:$F$49,MATCH(J1207,Products!$A$2:$A$49,0))</f>
        <v/>
      </c>
      <c r="S1207">
        <f>WEEKDAY(B1207,2)</f>
        <v/>
      </c>
    </row>
    <row r="1208">
      <c r="A1208" t="n">
        <v>509940</v>
      </c>
      <c r="B1208" s="6" t="n">
        <v>45945</v>
      </c>
      <c r="C1208" t="n">
        <v>13854</v>
      </c>
      <c r="D1208" t="inlineStr">
        <is>
          <t>Lucknow</t>
        </is>
      </c>
      <c r="E1208" t="inlineStr">
        <is>
          <t>North</t>
        </is>
      </c>
      <c r="F1208" t="inlineStr">
        <is>
          <t>Referral</t>
        </is>
      </c>
      <c r="G1208" t="inlineStr">
        <is>
          <t>Mobile App</t>
        </is>
      </c>
      <c r="H1208" t="inlineStr">
        <is>
          <t>Cash on Delivery</t>
        </is>
      </c>
      <c r="I1208" t="inlineStr">
        <is>
          <t>Delivered</t>
        </is>
      </c>
      <c r="J1208" t="n">
        <v>112</v>
      </c>
      <c r="K1208" t="n">
        <v>1</v>
      </c>
      <c r="L1208" t="n">
        <v>1574</v>
      </c>
      <c r="M1208" t="n">
        <v>157.4</v>
      </c>
      <c r="N1208">
        <f>VLOOKUP(J1208,Products!$A$2:$C$49,3,FALSE)</f>
        <v/>
      </c>
      <c r="O1208">
        <f>K1208*L1208-M1208</f>
        <v/>
      </c>
      <c r="P1208">
        <f>TEXT(B1208,"yyyy-mm")</f>
        <v/>
      </c>
      <c r="Q1208">
        <f>IF(O1208&gt;=3000,"Large","Small")</f>
        <v/>
      </c>
      <c r="R1208">
        <f>INDEX(Products!$F$2:$F$49,MATCH(J1208,Products!$A$2:$A$49,0))</f>
        <v/>
      </c>
      <c r="S1208">
        <f>WEEKDAY(B1208,2)</f>
        <v/>
      </c>
    </row>
    <row r="1209">
      <c r="A1209" t="n">
        <v>509941</v>
      </c>
      <c r="B1209" s="6" t="n">
        <v>45945</v>
      </c>
      <c r="C1209" t="n">
        <v>15992</v>
      </c>
      <c r="D1209" t="inlineStr">
        <is>
          <t>Delhi</t>
        </is>
      </c>
      <c r="E1209" t="inlineStr">
        <is>
          <t>North</t>
        </is>
      </c>
      <c r="F1209" t="inlineStr">
        <is>
          <t>Paid Social</t>
        </is>
      </c>
      <c r="G1209" t="inlineStr">
        <is>
          <t>Mobile App</t>
        </is>
      </c>
      <c r="H1209" t="inlineStr">
        <is>
          <t>Cash on Delivery</t>
        </is>
      </c>
      <c r="I1209" t="inlineStr">
        <is>
          <t>Returned</t>
        </is>
      </c>
      <c r="J1209" t="n">
        <v>122</v>
      </c>
      <c r="K1209" t="n">
        <v>1</v>
      </c>
      <c r="L1209" t="n">
        <v>1994</v>
      </c>
      <c r="M1209" t="n">
        <v>0</v>
      </c>
      <c r="N1209">
        <f>VLOOKUP(J1209,Products!$A$2:$C$49,3,FALSE)</f>
        <v/>
      </c>
      <c r="O1209">
        <f>K1209*L1209-M1209</f>
        <v/>
      </c>
      <c r="P1209">
        <f>TEXT(B1209,"yyyy-mm")</f>
        <v/>
      </c>
      <c r="Q1209">
        <f>IF(O1209&gt;=3000,"Large","Small")</f>
        <v/>
      </c>
      <c r="R1209">
        <f>INDEX(Products!$F$2:$F$49,MATCH(J1209,Products!$A$2:$A$49,0))</f>
        <v/>
      </c>
      <c r="S1209">
        <f>WEEKDAY(B1209,2)</f>
        <v/>
      </c>
    </row>
    <row r="1210">
      <c r="A1210" t="n">
        <v>509941</v>
      </c>
      <c r="B1210" s="6" t="n">
        <v>45945</v>
      </c>
      <c r="C1210" t="n">
        <v>15992</v>
      </c>
      <c r="D1210" t="inlineStr">
        <is>
          <t>Delhi</t>
        </is>
      </c>
      <c r="E1210" t="inlineStr">
        <is>
          <t>North</t>
        </is>
      </c>
      <c r="F1210" t="inlineStr">
        <is>
          <t>Paid Social</t>
        </is>
      </c>
      <c r="G1210" t="inlineStr">
        <is>
          <t>Mobile App</t>
        </is>
      </c>
      <c r="H1210" t="inlineStr">
        <is>
          <t>Cash on Delivery</t>
        </is>
      </c>
      <c r="I1210" t="inlineStr">
        <is>
          <t>Returned</t>
        </is>
      </c>
      <c r="J1210" t="n">
        <v>123</v>
      </c>
      <c r="K1210" t="n">
        <v>2</v>
      </c>
      <c r="L1210" t="n">
        <v>3464</v>
      </c>
      <c r="M1210" t="n">
        <v>0</v>
      </c>
      <c r="N1210">
        <f>VLOOKUP(J1210,Products!$A$2:$C$49,3,FALSE)</f>
        <v/>
      </c>
      <c r="O1210">
        <f>K1210*L1210-M1210</f>
        <v/>
      </c>
      <c r="P1210">
        <f>TEXT(B1210,"yyyy-mm")</f>
        <v/>
      </c>
      <c r="Q1210">
        <f>IF(O1210&gt;=3000,"Large","Small")</f>
        <v/>
      </c>
      <c r="R1210">
        <f>INDEX(Products!$F$2:$F$49,MATCH(J1210,Products!$A$2:$A$49,0))</f>
        <v/>
      </c>
      <c r="S1210">
        <f>WEEKDAY(B1210,2)</f>
        <v/>
      </c>
    </row>
    <row r="1211">
      <c r="A1211" t="n">
        <v>509941</v>
      </c>
      <c r="B1211" s="6" t="n">
        <v>45945</v>
      </c>
      <c r="C1211" t="n">
        <v>15992</v>
      </c>
      <c r="D1211" t="inlineStr">
        <is>
          <t>Delhi</t>
        </is>
      </c>
      <c r="E1211" t="inlineStr">
        <is>
          <t>North</t>
        </is>
      </c>
      <c r="F1211" t="inlineStr">
        <is>
          <t>Paid Social</t>
        </is>
      </c>
      <c r="G1211" t="inlineStr">
        <is>
          <t>Mobile App</t>
        </is>
      </c>
      <c r="H1211" t="inlineStr">
        <is>
          <t>Cash on Delivery</t>
        </is>
      </c>
      <c r="I1211" t="inlineStr">
        <is>
          <t>Returned</t>
        </is>
      </c>
      <c r="J1211" t="n">
        <v>145</v>
      </c>
      <c r="K1211" t="n">
        <v>1</v>
      </c>
      <c r="L1211" t="n">
        <v>629</v>
      </c>
      <c r="M1211" t="n">
        <v>0</v>
      </c>
      <c r="N1211">
        <f>VLOOKUP(J1211,Products!$A$2:$C$49,3,FALSE)</f>
        <v/>
      </c>
      <c r="O1211">
        <f>K1211*L1211-M1211</f>
        <v/>
      </c>
      <c r="P1211">
        <f>TEXT(B1211,"yyyy-mm")</f>
        <v/>
      </c>
      <c r="Q1211">
        <f>IF(O1211&gt;=3000,"Large","Small")</f>
        <v/>
      </c>
      <c r="R1211">
        <f>INDEX(Products!$F$2:$F$49,MATCH(J1211,Products!$A$2:$A$49,0))</f>
        <v/>
      </c>
      <c r="S1211">
        <f>WEEKDAY(B1211,2)</f>
        <v/>
      </c>
    </row>
    <row r="1212">
      <c r="A1212" t="n">
        <v>509942</v>
      </c>
      <c r="B1212" s="6" t="n">
        <v>45945</v>
      </c>
      <c r="C1212" t="n">
        <v>16784</v>
      </c>
      <c r="D1212" t="inlineStr">
        <is>
          <t>Kolkata</t>
        </is>
      </c>
      <c r="E1212" t="inlineStr">
        <is>
          <t>East</t>
        </is>
      </c>
      <c r="F1212" t="inlineStr">
        <is>
          <t>Referral</t>
        </is>
      </c>
      <c r="G1212" t="inlineStr">
        <is>
          <t>Mobile App</t>
        </is>
      </c>
      <c r="H1212" t="inlineStr">
        <is>
          <t>UPI</t>
        </is>
      </c>
      <c r="I1212" t="inlineStr">
        <is>
          <t>Delivered</t>
        </is>
      </c>
      <c r="J1212" t="n">
        <v>104</v>
      </c>
      <c r="K1212" t="n">
        <v>1</v>
      </c>
      <c r="L1212" t="n">
        <v>5249</v>
      </c>
      <c r="M1212" t="n">
        <v>787.35</v>
      </c>
      <c r="N1212">
        <f>VLOOKUP(J1212,Products!$A$2:$C$49,3,FALSE)</f>
        <v/>
      </c>
      <c r="O1212">
        <f>K1212*L1212-M1212</f>
        <v/>
      </c>
      <c r="P1212">
        <f>TEXT(B1212,"yyyy-mm")</f>
        <v/>
      </c>
      <c r="Q1212">
        <f>IF(O1212&gt;=3000,"Large","Small")</f>
        <v/>
      </c>
      <c r="R1212">
        <f>INDEX(Products!$F$2:$F$49,MATCH(J1212,Products!$A$2:$A$49,0))</f>
        <v/>
      </c>
      <c r="S1212">
        <f>WEEKDAY(B1212,2)</f>
        <v/>
      </c>
    </row>
    <row r="1213">
      <c r="A1213" t="n">
        <v>509943</v>
      </c>
      <c r="B1213" s="6" t="n">
        <v>45945</v>
      </c>
      <c r="C1213" t="n">
        <v>15477</v>
      </c>
      <c r="D1213" t="inlineStr">
        <is>
          <t>Noida</t>
        </is>
      </c>
      <c r="E1213" t="inlineStr">
        <is>
          <t>North</t>
        </is>
      </c>
      <c r="F1213" t="inlineStr">
        <is>
          <t>Organic Search</t>
        </is>
      </c>
      <c r="G1213" t="inlineStr">
        <is>
          <t>Mobile App</t>
        </is>
      </c>
      <c r="H1213" t="inlineStr">
        <is>
          <t>Credit Card</t>
        </is>
      </c>
      <c r="I1213" t="inlineStr">
        <is>
          <t>Delivered</t>
        </is>
      </c>
      <c r="J1213" t="n">
        <v>112</v>
      </c>
      <c r="K1213" t="n">
        <v>2</v>
      </c>
      <c r="L1213" t="n">
        <v>1574</v>
      </c>
      <c r="M1213" t="n">
        <v>0</v>
      </c>
      <c r="N1213">
        <f>VLOOKUP(J1213,Products!$A$2:$C$49,3,FALSE)</f>
        <v/>
      </c>
      <c r="O1213">
        <f>K1213*L1213-M1213</f>
        <v/>
      </c>
      <c r="P1213">
        <f>TEXT(B1213,"yyyy-mm")</f>
        <v/>
      </c>
      <c r="Q1213">
        <f>IF(O1213&gt;=3000,"Large","Small")</f>
        <v/>
      </c>
      <c r="R1213">
        <f>INDEX(Products!$F$2:$F$49,MATCH(J1213,Products!$A$2:$A$49,0))</f>
        <v/>
      </c>
      <c r="S1213">
        <f>WEEKDAY(B1213,2)</f>
        <v/>
      </c>
    </row>
    <row r="1214">
      <c r="A1214" t="n">
        <v>509943</v>
      </c>
      <c r="B1214" s="6" t="n">
        <v>45945</v>
      </c>
      <c r="C1214" t="n">
        <v>15477</v>
      </c>
      <c r="D1214" t="inlineStr">
        <is>
          <t>Noida</t>
        </is>
      </c>
      <c r="E1214" t="inlineStr">
        <is>
          <t>North</t>
        </is>
      </c>
      <c r="F1214" t="inlineStr">
        <is>
          <t>Organic Search</t>
        </is>
      </c>
      <c r="G1214" t="inlineStr">
        <is>
          <t>Mobile App</t>
        </is>
      </c>
      <c r="H1214" t="inlineStr">
        <is>
          <t>Credit Card</t>
        </is>
      </c>
      <c r="I1214" t="inlineStr">
        <is>
          <t>Delivered</t>
        </is>
      </c>
      <c r="J1214" t="n">
        <v>116</v>
      </c>
      <c r="K1214" t="n">
        <v>2</v>
      </c>
      <c r="L1214" t="n">
        <v>2624</v>
      </c>
      <c r="M1214" t="n">
        <v>0</v>
      </c>
      <c r="N1214">
        <f>VLOOKUP(J1214,Products!$A$2:$C$49,3,FALSE)</f>
        <v/>
      </c>
      <c r="O1214">
        <f>K1214*L1214-M1214</f>
        <v/>
      </c>
      <c r="P1214">
        <f>TEXT(B1214,"yyyy-mm")</f>
        <v/>
      </c>
      <c r="Q1214">
        <f>IF(O1214&gt;=3000,"Large","Small")</f>
        <v/>
      </c>
      <c r="R1214">
        <f>INDEX(Products!$F$2:$F$49,MATCH(J1214,Products!$A$2:$A$49,0))</f>
        <v/>
      </c>
      <c r="S1214">
        <f>WEEKDAY(B1214,2)</f>
        <v/>
      </c>
    </row>
    <row r="1215">
      <c r="A1215" t="n">
        <v>509944</v>
      </c>
      <c r="B1215" s="6" t="n">
        <v>45945</v>
      </c>
      <c r="C1215" t="n">
        <v>15525</v>
      </c>
      <c r="D1215" t="inlineStr">
        <is>
          <t>Chennai</t>
        </is>
      </c>
      <c r="E1215" t="inlineStr">
        <is>
          <t>South</t>
        </is>
      </c>
      <c r="F1215" t="inlineStr">
        <is>
          <t>Referral</t>
        </is>
      </c>
      <c r="G1215" t="inlineStr">
        <is>
          <t>Mobile App</t>
        </is>
      </c>
      <c r="H1215" t="inlineStr">
        <is>
          <t>Credit Card</t>
        </is>
      </c>
      <c r="I1215" t="inlineStr">
        <is>
          <t>Delivered</t>
        </is>
      </c>
      <c r="J1215" t="n">
        <v>114</v>
      </c>
      <c r="K1215" t="n">
        <v>1</v>
      </c>
      <c r="L1215" t="n">
        <v>1259</v>
      </c>
      <c r="M1215" t="n">
        <v>62.95</v>
      </c>
      <c r="N1215">
        <f>VLOOKUP(J1215,Products!$A$2:$C$49,3,FALSE)</f>
        <v/>
      </c>
      <c r="O1215">
        <f>K1215*L1215-M1215</f>
        <v/>
      </c>
      <c r="P1215">
        <f>TEXT(B1215,"yyyy-mm")</f>
        <v/>
      </c>
      <c r="Q1215">
        <f>IF(O1215&gt;=3000,"Large","Small")</f>
        <v/>
      </c>
      <c r="R1215">
        <f>INDEX(Products!$F$2:$F$49,MATCH(J1215,Products!$A$2:$A$49,0))</f>
        <v/>
      </c>
      <c r="S1215">
        <f>WEEKDAY(B1215,2)</f>
        <v/>
      </c>
    </row>
    <row r="1216">
      <c r="A1216" t="n">
        <v>509944</v>
      </c>
      <c r="B1216" s="6" t="n">
        <v>45945</v>
      </c>
      <c r="C1216" t="n">
        <v>15525</v>
      </c>
      <c r="D1216" t="inlineStr">
        <is>
          <t>Chennai</t>
        </is>
      </c>
      <c r="E1216" t="inlineStr">
        <is>
          <t>South</t>
        </is>
      </c>
      <c r="F1216" t="inlineStr">
        <is>
          <t>Referral</t>
        </is>
      </c>
      <c r="G1216" t="inlineStr">
        <is>
          <t>Mobile App</t>
        </is>
      </c>
      <c r="H1216" t="inlineStr">
        <is>
          <t>Credit Card</t>
        </is>
      </c>
      <c r="I1216" t="inlineStr">
        <is>
          <t>Delivered</t>
        </is>
      </c>
      <c r="J1216" t="n">
        <v>111</v>
      </c>
      <c r="K1216" t="n">
        <v>1</v>
      </c>
      <c r="L1216" t="n">
        <v>524</v>
      </c>
      <c r="M1216" t="n">
        <v>26.2</v>
      </c>
      <c r="N1216">
        <f>VLOOKUP(J1216,Products!$A$2:$C$49,3,FALSE)</f>
        <v/>
      </c>
      <c r="O1216">
        <f>K1216*L1216-M1216</f>
        <v/>
      </c>
      <c r="P1216">
        <f>TEXT(B1216,"yyyy-mm")</f>
        <v/>
      </c>
      <c r="Q1216">
        <f>IF(O1216&gt;=3000,"Large","Small")</f>
        <v/>
      </c>
      <c r="R1216">
        <f>INDEX(Products!$F$2:$F$49,MATCH(J1216,Products!$A$2:$A$49,0))</f>
        <v/>
      </c>
      <c r="S1216">
        <f>WEEKDAY(B1216,2)</f>
        <v/>
      </c>
    </row>
    <row r="1217">
      <c r="A1217" t="n">
        <v>509944</v>
      </c>
      <c r="B1217" s="6" t="n">
        <v>45945</v>
      </c>
      <c r="C1217" t="n">
        <v>15525</v>
      </c>
      <c r="D1217" t="inlineStr">
        <is>
          <t>Chennai</t>
        </is>
      </c>
      <c r="E1217" t="inlineStr">
        <is>
          <t>South</t>
        </is>
      </c>
      <c r="F1217" t="inlineStr">
        <is>
          <t>Referral</t>
        </is>
      </c>
      <c r="G1217" t="inlineStr">
        <is>
          <t>Mobile App</t>
        </is>
      </c>
      <c r="H1217" t="inlineStr">
        <is>
          <t>Credit Card</t>
        </is>
      </c>
      <c r="I1217" t="inlineStr">
        <is>
          <t>Delivered</t>
        </is>
      </c>
      <c r="J1217" t="n">
        <v>126</v>
      </c>
      <c r="K1217" t="n">
        <v>1</v>
      </c>
      <c r="L1217" t="n">
        <v>471</v>
      </c>
      <c r="M1217" t="n">
        <v>23.55</v>
      </c>
      <c r="N1217">
        <f>VLOOKUP(J1217,Products!$A$2:$C$49,3,FALSE)</f>
        <v/>
      </c>
      <c r="O1217">
        <f>K1217*L1217-M1217</f>
        <v/>
      </c>
      <c r="P1217">
        <f>TEXT(B1217,"yyyy-mm")</f>
        <v/>
      </c>
      <c r="Q1217">
        <f>IF(O1217&gt;=3000,"Large","Small")</f>
        <v/>
      </c>
      <c r="R1217">
        <f>INDEX(Products!$F$2:$F$49,MATCH(J1217,Products!$A$2:$A$49,0))</f>
        <v/>
      </c>
      <c r="S1217">
        <f>WEEKDAY(B1217,2)</f>
        <v/>
      </c>
    </row>
    <row r="1218">
      <c r="A1218" t="n">
        <v>509945</v>
      </c>
      <c r="B1218" s="6" t="n">
        <v>45945</v>
      </c>
      <c r="C1218" t="n">
        <v>16633</v>
      </c>
      <c r="D1218" t="inlineStr">
        <is>
          <t>Hyderabad</t>
        </is>
      </c>
      <c r="E1218" t="inlineStr">
        <is>
          <t>South</t>
        </is>
      </c>
      <c r="F1218" t="inlineStr">
        <is>
          <t>Affiliate</t>
        </is>
      </c>
      <c r="G1218" t="inlineStr">
        <is>
          <t>Mobile App</t>
        </is>
      </c>
      <c r="H1218" t="inlineStr">
        <is>
          <t>UPI</t>
        </is>
      </c>
      <c r="I1218" t="inlineStr">
        <is>
          <t>Delivered</t>
        </is>
      </c>
      <c r="J1218" t="n">
        <v>111</v>
      </c>
      <c r="K1218" t="n">
        <v>2</v>
      </c>
      <c r="L1218" t="n">
        <v>524</v>
      </c>
      <c r="M1218" t="n">
        <v>157.2</v>
      </c>
      <c r="N1218">
        <f>VLOOKUP(J1218,Products!$A$2:$C$49,3,FALSE)</f>
        <v/>
      </c>
      <c r="O1218">
        <f>K1218*L1218-M1218</f>
        <v/>
      </c>
      <c r="P1218">
        <f>TEXT(B1218,"yyyy-mm")</f>
        <v/>
      </c>
      <c r="Q1218">
        <f>IF(O1218&gt;=3000,"Large","Small")</f>
        <v/>
      </c>
      <c r="R1218">
        <f>INDEX(Products!$F$2:$F$49,MATCH(J1218,Products!$A$2:$A$49,0))</f>
        <v/>
      </c>
      <c r="S1218">
        <f>WEEKDAY(B1218,2)</f>
        <v/>
      </c>
    </row>
    <row r="1219">
      <c r="A1219" t="n">
        <v>509946</v>
      </c>
      <c r="B1219" s="6" t="n">
        <v>45945</v>
      </c>
      <c r="C1219" t="n">
        <v>16753</v>
      </c>
      <c r="D1219" t="inlineStr">
        <is>
          <t>Noida</t>
        </is>
      </c>
      <c r="E1219" t="inlineStr">
        <is>
          <t>North</t>
        </is>
      </c>
      <c r="F1219" t="inlineStr">
        <is>
          <t>Organic Search</t>
        </is>
      </c>
      <c r="G1219" t="inlineStr">
        <is>
          <t>Mobile App</t>
        </is>
      </c>
      <c r="H1219" t="inlineStr">
        <is>
          <t>UPI</t>
        </is>
      </c>
      <c r="I1219" t="inlineStr">
        <is>
          <t>Delivered</t>
        </is>
      </c>
      <c r="J1219" t="n">
        <v>118</v>
      </c>
      <c r="K1219" t="n">
        <v>1</v>
      </c>
      <c r="L1219" t="n">
        <v>944</v>
      </c>
      <c r="M1219" t="n">
        <v>0</v>
      </c>
      <c r="N1219">
        <f>VLOOKUP(J1219,Products!$A$2:$C$49,3,FALSE)</f>
        <v/>
      </c>
      <c r="O1219">
        <f>K1219*L1219-M1219</f>
        <v/>
      </c>
      <c r="P1219">
        <f>TEXT(B1219,"yyyy-mm")</f>
        <v/>
      </c>
      <c r="Q1219">
        <f>IF(O1219&gt;=3000,"Large","Small")</f>
        <v/>
      </c>
      <c r="R1219">
        <f>INDEX(Products!$F$2:$F$49,MATCH(J1219,Products!$A$2:$A$49,0))</f>
        <v/>
      </c>
      <c r="S1219">
        <f>WEEKDAY(B1219,2)</f>
        <v/>
      </c>
    </row>
    <row r="1220">
      <c r="A1220" t="n">
        <v>509947</v>
      </c>
      <c r="B1220" s="6" t="n">
        <v>45945</v>
      </c>
      <c r="C1220" t="n">
        <v>16787</v>
      </c>
      <c r="D1220" t="inlineStr">
        <is>
          <t>Pune</t>
        </is>
      </c>
      <c r="E1220" t="inlineStr">
        <is>
          <t>West</t>
        </is>
      </c>
      <c r="F1220" t="inlineStr">
        <is>
          <t>Paid Search</t>
        </is>
      </c>
      <c r="G1220" t="inlineStr">
        <is>
          <t>Mobile App</t>
        </is>
      </c>
      <c r="H1220" t="inlineStr">
        <is>
          <t>Cash on Delivery</t>
        </is>
      </c>
      <c r="I1220" t="inlineStr">
        <is>
          <t>Returned</t>
        </is>
      </c>
      <c r="J1220" t="n">
        <v>143</v>
      </c>
      <c r="K1220" t="n">
        <v>1</v>
      </c>
      <c r="L1220" t="n">
        <v>839</v>
      </c>
      <c r="M1220" t="n">
        <v>0</v>
      </c>
      <c r="N1220">
        <f>VLOOKUP(J1220,Products!$A$2:$C$49,3,FALSE)</f>
        <v/>
      </c>
      <c r="O1220">
        <f>K1220*L1220-M1220</f>
        <v/>
      </c>
      <c r="P1220">
        <f>TEXT(B1220,"yyyy-mm")</f>
        <v/>
      </c>
      <c r="Q1220">
        <f>IF(O1220&gt;=3000,"Large","Small")</f>
        <v/>
      </c>
      <c r="R1220">
        <f>INDEX(Products!$F$2:$F$49,MATCH(J1220,Products!$A$2:$A$49,0))</f>
        <v/>
      </c>
      <c r="S1220">
        <f>WEEKDAY(B1220,2)</f>
        <v/>
      </c>
    </row>
    <row r="1221">
      <c r="A1221" t="n">
        <v>509947</v>
      </c>
      <c r="B1221" s="6" t="n">
        <v>45945</v>
      </c>
      <c r="C1221" t="n">
        <v>16787</v>
      </c>
      <c r="D1221" t="inlineStr">
        <is>
          <t>Pune</t>
        </is>
      </c>
      <c r="E1221" t="inlineStr">
        <is>
          <t>West</t>
        </is>
      </c>
      <c r="F1221" t="inlineStr">
        <is>
          <t>Paid Search</t>
        </is>
      </c>
      <c r="G1221" t="inlineStr">
        <is>
          <t>Mobile App</t>
        </is>
      </c>
      <c r="H1221" t="inlineStr">
        <is>
          <t>Cash on Delivery</t>
        </is>
      </c>
      <c r="I1221" t="inlineStr">
        <is>
          <t>Returned</t>
        </is>
      </c>
      <c r="J1221" t="n">
        <v>129</v>
      </c>
      <c r="K1221" t="n">
        <v>1</v>
      </c>
      <c r="L1221" t="n">
        <v>576</v>
      </c>
      <c r="M1221" t="n">
        <v>0</v>
      </c>
      <c r="N1221">
        <f>VLOOKUP(J1221,Products!$A$2:$C$49,3,FALSE)</f>
        <v/>
      </c>
      <c r="O1221">
        <f>K1221*L1221-M1221</f>
        <v/>
      </c>
      <c r="P1221">
        <f>TEXT(B1221,"yyyy-mm")</f>
        <v/>
      </c>
      <c r="Q1221">
        <f>IF(O1221&gt;=3000,"Large","Small")</f>
        <v/>
      </c>
      <c r="R1221">
        <f>INDEX(Products!$F$2:$F$49,MATCH(J1221,Products!$A$2:$A$49,0))</f>
        <v/>
      </c>
      <c r="S1221">
        <f>WEEKDAY(B1221,2)</f>
        <v/>
      </c>
    </row>
    <row r="1222">
      <c r="A1222" t="n">
        <v>509948</v>
      </c>
      <c r="B1222" s="6" t="n">
        <v>45945</v>
      </c>
      <c r="C1222" t="n">
        <v>15329</v>
      </c>
      <c r="D1222" t="inlineStr">
        <is>
          <t>Delhi</t>
        </is>
      </c>
      <c r="E1222" t="inlineStr">
        <is>
          <t>North</t>
        </is>
      </c>
      <c r="F1222" t="inlineStr">
        <is>
          <t>Paid Social</t>
        </is>
      </c>
      <c r="G1222" t="inlineStr">
        <is>
          <t>Mobile App</t>
        </is>
      </c>
      <c r="H1222" t="inlineStr">
        <is>
          <t>UPI</t>
        </is>
      </c>
      <c r="I1222" t="inlineStr">
        <is>
          <t>Delivered</t>
        </is>
      </c>
      <c r="J1222" t="n">
        <v>112</v>
      </c>
      <c r="K1222" t="n">
        <v>1</v>
      </c>
      <c r="L1222" t="n">
        <v>1574</v>
      </c>
      <c r="M1222" t="n">
        <v>157.4</v>
      </c>
      <c r="N1222">
        <f>VLOOKUP(J1222,Products!$A$2:$C$49,3,FALSE)</f>
        <v/>
      </c>
      <c r="O1222">
        <f>K1222*L1222-M1222</f>
        <v/>
      </c>
      <c r="P1222">
        <f>TEXT(B1222,"yyyy-mm")</f>
        <v/>
      </c>
      <c r="Q1222">
        <f>IF(O1222&gt;=3000,"Large","Small")</f>
        <v/>
      </c>
      <c r="R1222">
        <f>INDEX(Products!$F$2:$F$49,MATCH(J1222,Products!$A$2:$A$49,0))</f>
        <v/>
      </c>
      <c r="S1222">
        <f>WEEKDAY(B1222,2)</f>
        <v/>
      </c>
    </row>
    <row r="1223">
      <c r="A1223" t="n">
        <v>509948</v>
      </c>
      <c r="B1223" s="6" t="n">
        <v>45945</v>
      </c>
      <c r="C1223" t="n">
        <v>15329</v>
      </c>
      <c r="D1223" t="inlineStr">
        <is>
          <t>Delhi</t>
        </is>
      </c>
      <c r="E1223" t="inlineStr">
        <is>
          <t>North</t>
        </is>
      </c>
      <c r="F1223" t="inlineStr">
        <is>
          <t>Paid Social</t>
        </is>
      </c>
      <c r="G1223" t="inlineStr">
        <is>
          <t>Mobile App</t>
        </is>
      </c>
      <c r="H1223" t="inlineStr">
        <is>
          <t>UPI</t>
        </is>
      </c>
      <c r="I1223" t="inlineStr">
        <is>
          <t>Delivered</t>
        </is>
      </c>
      <c r="J1223" t="n">
        <v>125</v>
      </c>
      <c r="K1223" t="n">
        <v>3</v>
      </c>
      <c r="L1223" t="n">
        <v>1364</v>
      </c>
      <c r="M1223" t="n">
        <v>409.2</v>
      </c>
      <c r="N1223">
        <f>VLOOKUP(J1223,Products!$A$2:$C$49,3,FALSE)</f>
        <v/>
      </c>
      <c r="O1223">
        <f>K1223*L1223-M1223</f>
        <v/>
      </c>
      <c r="P1223">
        <f>TEXT(B1223,"yyyy-mm")</f>
        <v/>
      </c>
      <c r="Q1223">
        <f>IF(O1223&gt;=3000,"Large","Small")</f>
        <v/>
      </c>
      <c r="R1223">
        <f>INDEX(Products!$F$2:$F$49,MATCH(J1223,Products!$A$2:$A$49,0))</f>
        <v/>
      </c>
      <c r="S1223">
        <f>WEEKDAY(B1223,2)</f>
        <v/>
      </c>
    </row>
    <row r="1224">
      <c r="A1224" t="n">
        <v>509948</v>
      </c>
      <c r="B1224" s="6" t="n">
        <v>45945</v>
      </c>
      <c r="C1224" t="n">
        <v>15329</v>
      </c>
      <c r="D1224" t="inlineStr">
        <is>
          <t>Delhi</t>
        </is>
      </c>
      <c r="E1224" t="inlineStr">
        <is>
          <t>North</t>
        </is>
      </c>
      <c r="F1224" t="inlineStr">
        <is>
          <t>Paid Social</t>
        </is>
      </c>
      <c r="G1224" t="inlineStr">
        <is>
          <t>Mobile App</t>
        </is>
      </c>
      <c r="H1224" t="inlineStr">
        <is>
          <t>UPI</t>
        </is>
      </c>
      <c r="I1224" t="inlineStr">
        <is>
          <t>Delivered</t>
        </is>
      </c>
      <c r="J1224" t="n">
        <v>124</v>
      </c>
      <c r="K1224" t="n">
        <v>2</v>
      </c>
      <c r="L1224" t="n">
        <v>1154</v>
      </c>
      <c r="M1224" t="n">
        <v>230.8</v>
      </c>
      <c r="N1224">
        <f>VLOOKUP(J1224,Products!$A$2:$C$49,3,FALSE)</f>
        <v/>
      </c>
      <c r="O1224">
        <f>K1224*L1224-M1224</f>
        <v/>
      </c>
      <c r="P1224">
        <f>TEXT(B1224,"yyyy-mm")</f>
        <v/>
      </c>
      <c r="Q1224">
        <f>IF(O1224&gt;=3000,"Large","Small")</f>
        <v/>
      </c>
      <c r="R1224">
        <f>INDEX(Products!$F$2:$F$49,MATCH(J1224,Products!$A$2:$A$49,0))</f>
        <v/>
      </c>
      <c r="S1224">
        <f>WEEKDAY(B1224,2)</f>
        <v/>
      </c>
    </row>
    <row r="1225">
      <c r="A1225" t="n">
        <v>509948</v>
      </c>
      <c r="B1225" s="6" t="n">
        <v>45945</v>
      </c>
      <c r="C1225" t="n">
        <v>15329</v>
      </c>
      <c r="D1225" t="inlineStr">
        <is>
          <t>Delhi</t>
        </is>
      </c>
      <c r="E1225" t="inlineStr">
        <is>
          <t>North</t>
        </is>
      </c>
      <c r="F1225" t="inlineStr">
        <is>
          <t>Paid Social</t>
        </is>
      </c>
      <c r="G1225" t="inlineStr">
        <is>
          <t>Mobile App</t>
        </is>
      </c>
      <c r="H1225" t="inlineStr">
        <is>
          <t>UPI</t>
        </is>
      </c>
      <c r="I1225" t="inlineStr">
        <is>
          <t>Delivered</t>
        </is>
      </c>
      <c r="J1225" t="n">
        <v>129</v>
      </c>
      <c r="K1225" t="n">
        <v>1</v>
      </c>
      <c r="L1225" t="n">
        <v>576</v>
      </c>
      <c r="M1225" t="n">
        <v>57.6</v>
      </c>
      <c r="N1225">
        <f>VLOOKUP(J1225,Products!$A$2:$C$49,3,FALSE)</f>
        <v/>
      </c>
      <c r="O1225">
        <f>K1225*L1225-M1225</f>
        <v/>
      </c>
      <c r="P1225">
        <f>TEXT(B1225,"yyyy-mm")</f>
        <v/>
      </c>
      <c r="Q1225">
        <f>IF(O1225&gt;=3000,"Large","Small")</f>
        <v/>
      </c>
      <c r="R1225">
        <f>INDEX(Products!$F$2:$F$49,MATCH(J1225,Products!$A$2:$A$49,0))</f>
        <v/>
      </c>
      <c r="S1225">
        <f>WEEKDAY(B1225,2)</f>
        <v/>
      </c>
    </row>
    <row r="1226">
      <c r="A1226" t="n">
        <v>509949</v>
      </c>
      <c r="B1226" s="6" t="n">
        <v>45946</v>
      </c>
      <c r="C1226" t="n">
        <v>16768</v>
      </c>
      <c r="D1226" t="inlineStr">
        <is>
          <t>Kolkata</t>
        </is>
      </c>
      <c r="E1226" t="inlineStr">
        <is>
          <t>East</t>
        </is>
      </c>
      <c r="F1226" t="inlineStr">
        <is>
          <t>Paid Search</t>
        </is>
      </c>
      <c r="G1226" t="inlineStr">
        <is>
          <t>Mobile App</t>
        </is>
      </c>
      <c r="H1226" t="inlineStr">
        <is>
          <t>Net Banking</t>
        </is>
      </c>
      <c r="I1226" t="inlineStr">
        <is>
          <t>Returned</t>
        </is>
      </c>
      <c r="J1226" t="n">
        <v>112</v>
      </c>
      <c r="K1226" t="n">
        <v>1</v>
      </c>
      <c r="L1226" t="n">
        <v>1574</v>
      </c>
      <c r="M1226" t="n">
        <v>0</v>
      </c>
      <c r="N1226">
        <f>VLOOKUP(J1226,Products!$A$2:$C$49,3,FALSE)</f>
        <v/>
      </c>
      <c r="O1226">
        <f>K1226*L1226-M1226</f>
        <v/>
      </c>
      <c r="P1226">
        <f>TEXT(B1226,"yyyy-mm")</f>
        <v/>
      </c>
      <c r="Q1226">
        <f>IF(O1226&gt;=3000,"Large","Small")</f>
        <v/>
      </c>
      <c r="R1226">
        <f>INDEX(Products!$F$2:$F$49,MATCH(J1226,Products!$A$2:$A$49,0))</f>
        <v/>
      </c>
      <c r="S1226">
        <f>WEEKDAY(B1226,2)</f>
        <v/>
      </c>
    </row>
    <row r="1227">
      <c r="A1227" t="n">
        <v>509950</v>
      </c>
      <c r="B1227" s="6" t="n">
        <v>45946</v>
      </c>
      <c r="C1227" t="n">
        <v>13545</v>
      </c>
      <c r="D1227" t="inlineStr">
        <is>
          <t>Delhi</t>
        </is>
      </c>
      <c r="E1227" t="inlineStr">
        <is>
          <t>North</t>
        </is>
      </c>
      <c r="F1227" t="inlineStr">
        <is>
          <t>Referral</t>
        </is>
      </c>
      <c r="G1227" t="inlineStr">
        <is>
          <t>Mobile App</t>
        </is>
      </c>
      <c r="H1227" t="inlineStr">
        <is>
          <t>Cash on Delivery</t>
        </is>
      </c>
      <c r="I1227" t="inlineStr">
        <is>
          <t>Delivered</t>
        </is>
      </c>
      <c r="J1227" t="n">
        <v>101</v>
      </c>
      <c r="K1227" t="n">
        <v>1</v>
      </c>
      <c r="L1227" t="n">
        <v>2099</v>
      </c>
      <c r="M1227" t="n">
        <v>0</v>
      </c>
      <c r="N1227">
        <f>VLOOKUP(J1227,Products!$A$2:$C$49,3,FALSE)</f>
        <v/>
      </c>
      <c r="O1227">
        <f>K1227*L1227-M1227</f>
        <v/>
      </c>
      <c r="P1227">
        <f>TEXT(B1227,"yyyy-mm")</f>
        <v/>
      </c>
      <c r="Q1227">
        <f>IF(O1227&gt;=3000,"Large","Small")</f>
        <v/>
      </c>
      <c r="R1227">
        <f>INDEX(Products!$F$2:$F$49,MATCH(J1227,Products!$A$2:$A$49,0))</f>
        <v/>
      </c>
      <c r="S1227">
        <f>WEEKDAY(B1227,2)</f>
        <v/>
      </c>
    </row>
    <row r="1228">
      <c r="A1228" t="n">
        <v>509950</v>
      </c>
      <c r="B1228" s="6" t="n">
        <v>45946</v>
      </c>
      <c r="C1228" t="n">
        <v>13545</v>
      </c>
      <c r="D1228" t="inlineStr">
        <is>
          <t>Delhi</t>
        </is>
      </c>
      <c r="E1228" t="inlineStr">
        <is>
          <t>North</t>
        </is>
      </c>
      <c r="F1228" t="inlineStr">
        <is>
          <t>Referral</t>
        </is>
      </c>
      <c r="G1228" t="inlineStr">
        <is>
          <t>Mobile App</t>
        </is>
      </c>
      <c r="H1228" t="inlineStr">
        <is>
          <t>Cash on Delivery</t>
        </is>
      </c>
      <c r="I1228" t="inlineStr">
        <is>
          <t>Delivered</t>
        </is>
      </c>
      <c r="J1228" t="n">
        <v>107</v>
      </c>
      <c r="K1228" t="n">
        <v>1</v>
      </c>
      <c r="L1228" t="n">
        <v>1259</v>
      </c>
      <c r="M1228" t="n">
        <v>0</v>
      </c>
      <c r="N1228">
        <f>VLOOKUP(J1228,Products!$A$2:$C$49,3,FALSE)</f>
        <v/>
      </c>
      <c r="O1228">
        <f>K1228*L1228-M1228</f>
        <v/>
      </c>
      <c r="P1228">
        <f>TEXT(B1228,"yyyy-mm")</f>
        <v/>
      </c>
      <c r="Q1228">
        <f>IF(O1228&gt;=3000,"Large","Small")</f>
        <v/>
      </c>
      <c r="R1228">
        <f>INDEX(Products!$F$2:$F$49,MATCH(J1228,Products!$A$2:$A$49,0))</f>
        <v/>
      </c>
      <c r="S1228">
        <f>WEEKDAY(B1228,2)</f>
        <v/>
      </c>
    </row>
    <row r="1229">
      <c r="A1229" t="n">
        <v>509950</v>
      </c>
      <c r="B1229" s="6" t="n">
        <v>45946</v>
      </c>
      <c r="C1229" t="n">
        <v>13545</v>
      </c>
      <c r="D1229" t="inlineStr">
        <is>
          <t>Delhi</t>
        </is>
      </c>
      <c r="E1229" t="inlineStr">
        <is>
          <t>North</t>
        </is>
      </c>
      <c r="F1229" t="inlineStr">
        <is>
          <t>Referral</t>
        </is>
      </c>
      <c r="G1229" t="inlineStr">
        <is>
          <t>Mobile App</t>
        </is>
      </c>
      <c r="H1229" t="inlineStr">
        <is>
          <t>Cash on Delivery</t>
        </is>
      </c>
      <c r="I1229" t="inlineStr">
        <is>
          <t>Delivered</t>
        </is>
      </c>
      <c r="J1229" t="n">
        <v>131</v>
      </c>
      <c r="K1229" t="n">
        <v>1</v>
      </c>
      <c r="L1229" t="n">
        <v>314</v>
      </c>
      <c r="M1229" t="n">
        <v>0</v>
      </c>
      <c r="N1229">
        <f>VLOOKUP(J1229,Products!$A$2:$C$49,3,FALSE)</f>
        <v/>
      </c>
      <c r="O1229">
        <f>K1229*L1229-M1229</f>
        <v/>
      </c>
      <c r="P1229">
        <f>TEXT(B1229,"yyyy-mm")</f>
        <v/>
      </c>
      <c r="Q1229">
        <f>IF(O1229&gt;=3000,"Large","Small")</f>
        <v/>
      </c>
      <c r="R1229">
        <f>INDEX(Products!$F$2:$F$49,MATCH(J1229,Products!$A$2:$A$49,0))</f>
        <v/>
      </c>
      <c r="S1229">
        <f>WEEKDAY(B1229,2)</f>
        <v/>
      </c>
    </row>
    <row r="1230">
      <c r="A1230" t="n">
        <v>509951</v>
      </c>
      <c r="B1230" s="6" t="n">
        <v>45946</v>
      </c>
      <c r="C1230" t="n">
        <v>15744</v>
      </c>
      <c r="D1230" t="inlineStr">
        <is>
          <t>Bengaluru</t>
        </is>
      </c>
      <c r="E1230" t="inlineStr">
        <is>
          <t>South</t>
        </is>
      </c>
      <c r="F1230" t="inlineStr">
        <is>
          <t>Paid Social</t>
        </is>
      </c>
      <c r="G1230" t="inlineStr">
        <is>
          <t>Mobile App</t>
        </is>
      </c>
      <c r="H1230" t="inlineStr">
        <is>
          <t>UPI</t>
        </is>
      </c>
      <c r="I1230" t="inlineStr">
        <is>
          <t>Delivered</t>
        </is>
      </c>
      <c r="J1230" t="n">
        <v>143</v>
      </c>
      <c r="K1230" t="n">
        <v>3</v>
      </c>
      <c r="L1230" t="n">
        <v>839</v>
      </c>
      <c r="M1230" t="n">
        <v>251.7</v>
      </c>
      <c r="N1230">
        <f>VLOOKUP(J1230,Products!$A$2:$C$49,3,FALSE)</f>
        <v/>
      </c>
      <c r="O1230">
        <f>K1230*L1230-M1230</f>
        <v/>
      </c>
      <c r="P1230">
        <f>TEXT(B1230,"yyyy-mm")</f>
        <v/>
      </c>
      <c r="Q1230">
        <f>IF(O1230&gt;=3000,"Large","Small")</f>
        <v/>
      </c>
      <c r="R1230">
        <f>INDEX(Products!$F$2:$F$49,MATCH(J1230,Products!$A$2:$A$49,0))</f>
        <v/>
      </c>
      <c r="S1230">
        <f>WEEKDAY(B1230,2)</f>
        <v/>
      </c>
    </row>
    <row r="1231">
      <c r="A1231" t="n">
        <v>509952</v>
      </c>
      <c r="B1231" s="6" t="n">
        <v>45946</v>
      </c>
      <c r="C1231" t="n">
        <v>15498</v>
      </c>
      <c r="D1231" t="inlineStr">
        <is>
          <t>Bengaluru</t>
        </is>
      </c>
      <c r="E1231" t="inlineStr">
        <is>
          <t>South</t>
        </is>
      </c>
      <c r="F1231" t="inlineStr">
        <is>
          <t>Referral</t>
        </is>
      </c>
      <c r="G1231" t="inlineStr">
        <is>
          <t>Mobile Web</t>
        </is>
      </c>
      <c r="H1231" t="inlineStr">
        <is>
          <t>Credit Card</t>
        </is>
      </c>
      <c r="I1231" t="inlineStr">
        <is>
          <t>Delivered</t>
        </is>
      </c>
      <c r="J1231" t="n">
        <v>122</v>
      </c>
      <c r="K1231" t="n">
        <v>1</v>
      </c>
      <c r="L1231" t="n">
        <v>1994</v>
      </c>
      <c r="M1231" t="n">
        <v>199.4</v>
      </c>
      <c r="N1231">
        <f>VLOOKUP(J1231,Products!$A$2:$C$49,3,FALSE)</f>
        <v/>
      </c>
      <c r="O1231">
        <f>K1231*L1231-M1231</f>
        <v/>
      </c>
      <c r="P1231">
        <f>TEXT(B1231,"yyyy-mm")</f>
        <v/>
      </c>
      <c r="Q1231">
        <f>IF(O1231&gt;=3000,"Large","Small")</f>
        <v/>
      </c>
      <c r="R1231">
        <f>INDEX(Products!$F$2:$F$49,MATCH(J1231,Products!$A$2:$A$49,0))</f>
        <v/>
      </c>
      <c r="S1231">
        <f>WEEKDAY(B1231,2)</f>
        <v/>
      </c>
    </row>
    <row r="1232">
      <c r="A1232" t="n">
        <v>509952</v>
      </c>
      <c r="B1232" s="6" t="n">
        <v>45946</v>
      </c>
      <c r="C1232" t="n">
        <v>15498</v>
      </c>
      <c r="D1232" t="inlineStr">
        <is>
          <t>Bengaluru</t>
        </is>
      </c>
      <c r="E1232" t="inlineStr">
        <is>
          <t>South</t>
        </is>
      </c>
      <c r="F1232" t="inlineStr">
        <is>
          <t>Referral</t>
        </is>
      </c>
      <c r="G1232" t="inlineStr">
        <is>
          <t>Mobile Web</t>
        </is>
      </c>
      <c r="H1232" t="inlineStr">
        <is>
          <t>Credit Card</t>
        </is>
      </c>
      <c r="I1232" t="inlineStr">
        <is>
          <t>Delivered</t>
        </is>
      </c>
      <c r="J1232" t="n">
        <v>101</v>
      </c>
      <c r="K1232" t="n">
        <v>1</v>
      </c>
      <c r="L1232" t="n">
        <v>2099</v>
      </c>
      <c r="M1232" t="n">
        <v>209.9</v>
      </c>
      <c r="N1232">
        <f>VLOOKUP(J1232,Products!$A$2:$C$49,3,FALSE)</f>
        <v/>
      </c>
      <c r="O1232">
        <f>K1232*L1232-M1232</f>
        <v/>
      </c>
      <c r="P1232">
        <f>TEXT(B1232,"yyyy-mm")</f>
        <v/>
      </c>
      <c r="Q1232">
        <f>IF(O1232&gt;=3000,"Large","Small")</f>
        <v/>
      </c>
      <c r="R1232">
        <f>INDEX(Products!$F$2:$F$49,MATCH(J1232,Products!$A$2:$A$49,0))</f>
        <v/>
      </c>
      <c r="S1232">
        <f>WEEKDAY(B1232,2)</f>
        <v/>
      </c>
    </row>
    <row r="1233">
      <c r="A1233" t="n">
        <v>509953</v>
      </c>
      <c r="B1233" s="6" t="n">
        <v>45946</v>
      </c>
      <c r="C1233" t="n">
        <v>16724</v>
      </c>
      <c r="D1233" t="inlineStr">
        <is>
          <t>Mumbai</t>
        </is>
      </c>
      <c r="E1233" t="inlineStr">
        <is>
          <t>West</t>
        </is>
      </c>
      <c r="F1233" t="inlineStr">
        <is>
          <t>Referral</t>
        </is>
      </c>
      <c r="G1233" t="inlineStr">
        <is>
          <t>Mobile App</t>
        </is>
      </c>
      <c r="H1233" t="inlineStr">
        <is>
          <t>Debit Card</t>
        </is>
      </c>
      <c r="I1233" t="inlineStr">
        <is>
          <t>Delivered</t>
        </is>
      </c>
      <c r="J1233" t="n">
        <v>122</v>
      </c>
      <c r="K1233" t="n">
        <v>1</v>
      </c>
      <c r="L1233" t="n">
        <v>1994</v>
      </c>
      <c r="M1233" t="n">
        <v>199.4</v>
      </c>
      <c r="N1233">
        <f>VLOOKUP(J1233,Products!$A$2:$C$49,3,FALSE)</f>
        <v/>
      </c>
      <c r="O1233">
        <f>K1233*L1233-M1233</f>
        <v/>
      </c>
      <c r="P1233">
        <f>TEXT(B1233,"yyyy-mm")</f>
        <v/>
      </c>
      <c r="Q1233">
        <f>IF(O1233&gt;=3000,"Large","Small")</f>
        <v/>
      </c>
      <c r="R1233">
        <f>INDEX(Products!$F$2:$F$49,MATCH(J1233,Products!$A$2:$A$49,0))</f>
        <v/>
      </c>
      <c r="S1233">
        <f>WEEKDAY(B1233,2)</f>
        <v/>
      </c>
    </row>
    <row r="1234">
      <c r="A1234" t="n">
        <v>509953</v>
      </c>
      <c r="B1234" s="6" t="n">
        <v>45946</v>
      </c>
      <c r="C1234" t="n">
        <v>16724</v>
      </c>
      <c r="D1234" t="inlineStr">
        <is>
          <t>Mumbai</t>
        </is>
      </c>
      <c r="E1234" t="inlineStr">
        <is>
          <t>West</t>
        </is>
      </c>
      <c r="F1234" t="inlineStr">
        <is>
          <t>Referral</t>
        </is>
      </c>
      <c r="G1234" t="inlineStr">
        <is>
          <t>Mobile App</t>
        </is>
      </c>
      <c r="H1234" t="inlineStr">
        <is>
          <t>Debit Card</t>
        </is>
      </c>
      <c r="I1234" t="inlineStr">
        <is>
          <t>Delivered</t>
        </is>
      </c>
      <c r="J1234" t="n">
        <v>101</v>
      </c>
      <c r="K1234" t="n">
        <v>3</v>
      </c>
      <c r="L1234" t="n">
        <v>2099</v>
      </c>
      <c r="M1234" t="n">
        <v>629.7</v>
      </c>
      <c r="N1234">
        <f>VLOOKUP(J1234,Products!$A$2:$C$49,3,FALSE)</f>
        <v/>
      </c>
      <c r="O1234">
        <f>K1234*L1234-M1234</f>
        <v/>
      </c>
      <c r="P1234">
        <f>TEXT(B1234,"yyyy-mm")</f>
        <v/>
      </c>
      <c r="Q1234">
        <f>IF(O1234&gt;=3000,"Large","Small")</f>
        <v/>
      </c>
      <c r="R1234">
        <f>INDEX(Products!$F$2:$F$49,MATCH(J1234,Products!$A$2:$A$49,0))</f>
        <v/>
      </c>
      <c r="S1234">
        <f>WEEKDAY(B1234,2)</f>
        <v/>
      </c>
    </row>
    <row r="1235">
      <c r="A1235" t="n">
        <v>509954</v>
      </c>
      <c r="B1235" s="6" t="n">
        <v>45946</v>
      </c>
      <c r="C1235" t="n">
        <v>12285</v>
      </c>
      <c r="D1235" t="inlineStr">
        <is>
          <t>Jaipur</t>
        </is>
      </c>
      <c r="E1235" t="inlineStr">
        <is>
          <t>North</t>
        </is>
      </c>
      <c r="F1235" t="inlineStr">
        <is>
          <t>Organic Search</t>
        </is>
      </c>
      <c r="G1235" t="inlineStr">
        <is>
          <t>Mobile App</t>
        </is>
      </c>
      <c r="H1235" t="inlineStr">
        <is>
          <t>Credit Card</t>
        </is>
      </c>
      <c r="I1235" t="inlineStr">
        <is>
          <t>Cancelled</t>
        </is>
      </c>
      <c r="J1235" t="n">
        <v>102</v>
      </c>
      <c r="K1235" t="n">
        <v>1</v>
      </c>
      <c r="L1235" t="n">
        <v>3674</v>
      </c>
      <c r="M1235" t="n">
        <v>0</v>
      </c>
      <c r="N1235">
        <f>VLOOKUP(J1235,Products!$A$2:$C$49,3,FALSE)</f>
        <v/>
      </c>
      <c r="O1235">
        <f>K1235*L1235-M1235</f>
        <v/>
      </c>
      <c r="P1235">
        <f>TEXT(B1235,"yyyy-mm")</f>
        <v/>
      </c>
      <c r="Q1235">
        <f>IF(O1235&gt;=3000,"Large","Small")</f>
        <v/>
      </c>
      <c r="R1235">
        <f>INDEX(Products!$F$2:$F$49,MATCH(J1235,Products!$A$2:$A$49,0))</f>
        <v/>
      </c>
      <c r="S1235">
        <f>WEEKDAY(B1235,2)</f>
        <v/>
      </c>
    </row>
    <row r="1236">
      <c r="A1236" t="n">
        <v>509954</v>
      </c>
      <c r="B1236" s="6" t="n">
        <v>45946</v>
      </c>
      <c r="C1236" t="n">
        <v>12285</v>
      </c>
      <c r="D1236" t="inlineStr">
        <is>
          <t>Jaipur</t>
        </is>
      </c>
      <c r="E1236" t="inlineStr">
        <is>
          <t>North</t>
        </is>
      </c>
      <c r="F1236" t="inlineStr">
        <is>
          <t>Organic Search</t>
        </is>
      </c>
      <c r="G1236" t="inlineStr">
        <is>
          <t>Mobile App</t>
        </is>
      </c>
      <c r="H1236" t="inlineStr">
        <is>
          <t>Credit Card</t>
        </is>
      </c>
      <c r="I1236" t="inlineStr">
        <is>
          <t>Cancelled</t>
        </is>
      </c>
      <c r="J1236" t="n">
        <v>120</v>
      </c>
      <c r="K1236" t="n">
        <v>1</v>
      </c>
      <c r="L1236" t="n">
        <v>734</v>
      </c>
      <c r="M1236" t="n">
        <v>0</v>
      </c>
      <c r="N1236">
        <f>VLOOKUP(J1236,Products!$A$2:$C$49,3,FALSE)</f>
        <v/>
      </c>
      <c r="O1236">
        <f>K1236*L1236-M1236</f>
        <v/>
      </c>
      <c r="P1236">
        <f>TEXT(B1236,"yyyy-mm")</f>
        <v/>
      </c>
      <c r="Q1236">
        <f>IF(O1236&gt;=3000,"Large","Small")</f>
        <v/>
      </c>
      <c r="R1236">
        <f>INDEX(Products!$F$2:$F$49,MATCH(J1236,Products!$A$2:$A$49,0))</f>
        <v/>
      </c>
      <c r="S1236">
        <f>WEEKDAY(B1236,2)</f>
        <v/>
      </c>
    </row>
    <row r="1237">
      <c r="A1237" t="n">
        <v>509955</v>
      </c>
      <c r="B1237" s="6" t="n">
        <v>45946</v>
      </c>
      <c r="C1237" t="n">
        <v>16791</v>
      </c>
      <c r="D1237" t="inlineStr">
        <is>
          <t>Delhi</t>
        </is>
      </c>
      <c r="E1237" t="inlineStr">
        <is>
          <t>North</t>
        </is>
      </c>
      <c r="F1237" t="inlineStr">
        <is>
          <t>Paid Search</t>
        </is>
      </c>
      <c r="G1237" t="inlineStr">
        <is>
          <t>Mobile Web</t>
        </is>
      </c>
      <c r="H1237" t="inlineStr">
        <is>
          <t>Debit Card</t>
        </is>
      </c>
      <c r="I1237" t="inlineStr">
        <is>
          <t>Delivered</t>
        </is>
      </c>
      <c r="J1237" t="n">
        <v>126</v>
      </c>
      <c r="K1237" t="n">
        <v>2</v>
      </c>
      <c r="L1237" t="n">
        <v>471</v>
      </c>
      <c r="M1237" t="n">
        <v>141.3</v>
      </c>
      <c r="N1237">
        <f>VLOOKUP(J1237,Products!$A$2:$C$49,3,FALSE)</f>
        <v/>
      </c>
      <c r="O1237">
        <f>K1237*L1237-M1237</f>
        <v/>
      </c>
      <c r="P1237">
        <f>TEXT(B1237,"yyyy-mm")</f>
        <v/>
      </c>
      <c r="Q1237">
        <f>IF(O1237&gt;=3000,"Large","Small")</f>
        <v/>
      </c>
      <c r="R1237">
        <f>INDEX(Products!$F$2:$F$49,MATCH(J1237,Products!$A$2:$A$49,0))</f>
        <v/>
      </c>
      <c r="S1237">
        <f>WEEKDAY(B1237,2)</f>
        <v/>
      </c>
    </row>
    <row r="1238">
      <c r="A1238" t="n">
        <v>509956</v>
      </c>
      <c r="B1238" s="6" t="n">
        <v>45946</v>
      </c>
      <c r="C1238" t="n">
        <v>15763</v>
      </c>
      <c r="D1238" t="inlineStr">
        <is>
          <t>Delhi</t>
        </is>
      </c>
      <c r="E1238" t="inlineStr">
        <is>
          <t>North</t>
        </is>
      </c>
      <c r="F1238" t="inlineStr">
        <is>
          <t>Organic Search</t>
        </is>
      </c>
      <c r="G1238" t="inlineStr">
        <is>
          <t>Mobile App</t>
        </is>
      </c>
      <c r="H1238" t="inlineStr">
        <is>
          <t>UPI</t>
        </is>
      </c>
      <c r="I1238" t="inlineStr">
        <is>
          <t>Delivered</t>
        </is>
      </c>
      <c r="J1238" t="n">
        <v>119</v>
      </c>
      <c r="K1238" t="n">
        <v>2</v>
      </c>
      <c r="L1238" t="n">
        <v>2309</v>
      </c>
      <c r="M1238" t="n">
        <v>461.8</v>
      </c>
      <c r="N1238">
        <f>VLOOKUP(J1238,Products!$A$2:$C$49,3,FALSE)</f>
        <v/>
      </c>
      <c r="O1238">
        <f>K1238*L1238-M1238</f>
        <v/>
      </c>
      <c r="P1238">
        <f>TEXT(B1238,"yyyy-mm")</f>
        <v/>
      </c>
      <c r="Q1238">
        <f>IF(O1238&gt;=3000,"Large","Small")</f>
        <v/>
      </c>
      <c r="R1238">
        <f>INDEX(Products!$F$2:$F$49,MATCH(J1238,Products!$A$2:$A$49,0))</f>
        <v/>
      </c>
      <c r="S1238">
        <f>WEEKDAY(B1238,2)</f>
        <v/>
      </c>
    </row>
    <row r="1239">
      <c r="A1239" t="n">
        <v>509957</v>
      </c>
      <c r="B1239" s="6" t="n">
        <v>45946</v>
      </c>
      <c r="C1239" t="n">
        <v>11652</v>
      </c>
      <c r="D1239" t="inlineStr">
        <is>
          <t>Mumbai</t>
        </is>
      </c>
      <c r="E1239" t="inlineStr">
        <is>
          <t>West</t>
        </is>
      </c>
      <c r="F1239" t="inlineStr">
        <is>
          <t>Paid Search</t>
        </is>
      </c>
      <c r="G1239" t="inlineStr">
        <is>
          <t>Mobile App</t>
        </is>
      </c>
      <c r="H1239" t="inlineStr">
        <is>
          <t>Debit Card</t>
        </is>
      </c>
      <c r="I1239" t="inlineStr">
        <is>
          <t>Delivered</t>
        </is>
      </c>
      <c r="J1239" t="n">
        <v>108</v>
      </c>
      <c r="K1239" t="n">
        <v>1</v>
      </c>
      <c r="L1239" t="n">
        <v>419</v>
      </c>
      <c r="M1239" t="n">
        <v>0</v>
      </c>
      <c r="N1239">
        <f>VLOOKUP(J1239,Products!$A$2:$C$49,3,FALSE)</f>
        <v/>
      </c>
      <c r="O1239">
        <f>K1239*L1239-M1239</f>
        <v/>
      </c>
      <c r="P1239">
        <f>TEXT(B1239,"yyyy-mm")</f>
        <v/>
      </c>
      <c r="Q1239">
        <f>IF(O1239&gt;=3000,"Large","Small")</f>
        <v/>
      </c>
      <c r="R1239">
        <f>INDEX(Products!$F$2:$F$49,MATCH(J1239,Products!$A$2:$A$49,0))</f>
        <v/>
      </c>
      <c r="S1239">
        <f>WEEKDAY(B1239,2)</f>
        <v/>
      </c>
    </row>
    <row r="1240">
      <c r="A1240" t="n">
        <v>509957</v>
      </c>
      <c r="B1240" s="6" t="n">
        <v>45946</v>
      </c>
      <c r="C1240" t="n">
        <v>11652</v>
      </c>
      <c r="D1240" t="inlineStr">
        <is>
          <t>Mumbai</t>
        </is>
      </c>
      <c r="E1240" t="inlineStr">
        <is>
          <t>West</t>
        </is>
      </c>
      <c r="F1240" t="inlineStr">
        <is>
          <t>Paid Search</t>
        </is>
      </c>
      <c r="G1240" t="inlineStr">
        <is>
          <t>Mobile App</t>
        </is>
      </c>
      <c r="H1240" t="inlineStr">
        <is>
          <t>Debit Card</t>
        </is>
      </c>
      <c r="I1240" t="inlineStr">
        <is>
          <t>Delivered</t>
        </is>
      </c>
      <c r="J1240" t="n">
        <v>129</v>
      </c>
      <c r="K1240" t="n">
        <v>2</v>
      </c>
      <c r="L1240" t="n">
        <v>576</v>
      </c>
      <c r="M1240" t="n">
        <v>0</v>
      </c>
      <c r="N1240">
        <f>VLOOKUP(J1240,Products!$A$2:$C$49,3,FALSE)</f>
        <v/>
      </c>
      <c r="O1240">
        <f>K1240*L1240-M1240</f>
        <v/>
      </c>
      <c r="P1240">
        <f>TEXT(B1240,"yyyy-mm")</f>
        <v/>
      </c>
      <c r="Q1240">
        <f>IF(O1240&gt;=3000,"Large","Small")</f>
        <v/>
      </c>
      <c r="R1240">
        <f>INDEX(Products!$F$2:$F$49,MATCH(J1240,Products!$A$2:$A$49,0))</f>
        <v/>
      </c>
      <c r="S1240">
        <f>WEEKDAY(B1240,2)</f>
        <v/>
      </c>
    </row>
    <row r="1241">
      <c r="A1241" t="n">
        <v>509958</v>
      </c>
      <c r="B1241" s="6" t="n">
        <v>45946</v>
      </c>
      <c r="C1241" t="n">
        <v>16825</v>
      </c>
      <c r="D1241" t="inlineStr">
        <is>
          <t>Ahmedabad</t>
        </is>
      </c>
      <c r="E1241" t="inlineStr">
        <is>
          <t>West</t>
        </is>
      </c>
      <c r="F1241" t="inlineStr">
        <is>
          <t>Paid Social</t>
        </is>
      </c>
      <c r="G1241" t="inlineStr">
        <is>
          <t>Mobile App</t>
        </is>
      </c>
      <c r="H1241" t="inlineStr">
        <is>
          <t>UPI</t>
        </is>
      </c>
      <c r="I1241" t="inlineStr">
        <is>
          <t>Delivered</t>
        </is>
      </c>
      <c r="J1241" t="n">
        <v>132</v>
      </c>
      <c r="K1241" t="n">
        <v>1</v>
      </c>
      <c r="L1241" t="n">
        <v>471</v>
      </c>
      <c r="M1241" t="n">
        <v>70.65000000000001</v>
      </c>
      <c r="N1241">
        <f>VLOOKUP(J1241,Products!$A$2:$C$49,3,FALSE)</f>
        <v/>
      </c>
      <c r="O1241">
        <f>K1241*L1241-M1241</f>
        <v/>
      </c>
      <c r="P1241">
        <f>TEXT(B1241,"yyyy-mm")</f>
        <v/>
      </c>
      <c r="Q1241">
        <f>IF(O1241&gt;=3000,"Large","Small")</f>
        <v/>
      </c>
      <c r="R1241">
        <f>INDEX(Products!$F$2:$F$49,MATCH(J1241,Products!$A$2:$A$49,0))</f>
        <v/>
      </c>
      <c r="S1241">
        <f>WEEKDAY(B1241,2)</f>
        <v/>
      </c>
    </row>
    <row r="1242">
      <c r="A1242" t="n">
        <v>509958</v>
      </c>
      <c r="B1242" s="6" t="n">
        <v>45946</v>
      </c>
      <c r="C1242" t="n">
        <v>16825</v>
      </c>
      <c r="D1242" t="inlineStr">
        <is>
          <t>Ahmedabad</t>
        </is>
      </c>
      <c r="E1242" t="inlineStr">
        <is>
          <t>West</t>
        </is>
      </c>
      <c r="F1242" t="inlineStr">
        <is>
          <t>Paid Social</t>
        </is>
      </c>
      <c r="G1242" t="inlineStr">
        <is>
          <t>Mobile App</t>
        </is>
      </c>
      <c r="H1242" t="inlineStr">
        <is>
          <t>UPI</t>
        </is>
      </c>
      <c r="I1242" t="inlineStr">
        <is>
          <t>Delivered</t>
        </is>
      </c>
      <c r="J1242" t="n">
        <v>121</v>
      </c>
      <c r="K1242" t="n">
        <v>1</v>
      </c>
      <c r="L1242" t="n">
        <v>2939</v>
      </c>
      <c r="M1242" t="n">
        <v>440.85</v>
      </c>
      <c r="N1242">
        <f>VLOOKUP(J1242,Products!$A$2:$C$49,3,FALSE)</f>
        <v/>
      </c>
      <c r="O1242">
        <f>K1242*L1242-M1242</f>
        <v/>
      </c>
      <c r="P1242">
        <f>TEXT(B1242,"yyyy-mm")</f>
        <v/>
      </c>
      <c r="Q1242">
        <f>IF(O1242&gt;=3000,"Large","Small")</f>
        <v/>
      </c>
      <c r="R1242">
        <f>INDEX(Products!$F$2:$F$49,MATCH(J1242,Products!$A$2:$A$49,0))</f>
        <v/>
      </c>
      <c r="S1242">
        <f>WEEKDAY(B1242,2)</f>
        <v/>
      </c>
    </row>
    <row r="1243">
      <c r="A1243" t="n">
        <v>509959</v>
      </c>
      <c r="B1243" s="6" t="n">
        <v>45946</v>
      </c>
      <c r="C1243" t="n">
        <v>16422</v>
      </c>
      <c r="D1243" t="inlineStr">
        <is>
          <t>Gurugram</t>
        </is>
      </c>
      <c r="E1243" t="inlineStr">
        <is>
          <t>North</t>
        </is>
      </c>
      <c r="F1243" t="inlineStr">
        <is>
          <t>Paid Social</t>
        </is>
      </c>
      <c r="G1243" t="inlineStr">
        <is>
          <t>Desktop</t>
        </is>
      </c>
      <c r="H1243" t="inlineStr">
        <is>
          <t>Cash on Delivery</t>
        </is>
      </c>
      <c r="I1243" t="inlineStr">
        <is>
          <t>Returned</t>
        </is>
      </c>
      <c r="J1243" t="n">
        <v>108</v>
      </c>
      <c r="K1243" t="n">
        <v>1</v>
      </c>
      <c r="L1243" t="n">
        <v>419</v>
      </c>
      <c r="M1243" t="n">
        <v>0</v>
      </c>
      <c r="N1243">
        <f>VLOOKUP(J1243,Products!$A$2:$C$49,3,FALSE)</f>
        <v/>
      </c>
      <c r="O1243">
        <f>K1243*L1243-M1243</f>
        <v/>
      </c>
      <c r="P1243">
        <f>TEXT(B1243,"yyyy-mm")</f>
        <v/>
      </c>
      <c r="Q1243">
        <f>IF(O1243&gt;=3000,"Large","Small")</f>
        <v/>
      </c>
      <c r="R1243">
        <f>INDEX(Products!$F$2:$F$49,MATCH(J1243,Products!$A$2:$A$49,0))</f>
        <v/>
      </c>
      <c r="S1243">
        <f>WEEKDAY(B1243,2)</f>
        <v/>
      </c>
    </row>
    <row r="1244">
      <c r="A1244" t="n">
        <v>509959</v>
      </c>
      <c r="B1244" s="6" t="n">
        <v>45946</v>
      </c>
      <c r="C1244" t="n">
        <v>16422</v>
      </c>
      <c r="D1244" t="inlineStr">
        <is>
          <t>Gurugram</t>
        </is>
      </c>
      <c r="E1244" t="inlineStr">
        <is>
          <t>North</t>
        </is>
      </c>
      <c r="F1244" t="inlineStr">
        <is>
          <t>Paid Social</t>
        </is>
      </c>
      <c r="G1244" t="inlineStr">
        <is>
          <t>Desktop</t>
        </is>
      </c>
      <c r="H1244" t="inlineStr">
        <is>
          <t>Cash on Delivery</t>
        </is>
      </c>
      <c r="I1244" t="inlineStr">
        <is>
          <t>Returned</t>
        </is>
      </c>
      <c r="J1244" t="n">
        <v>129</v>
      </c>
      <c r="K1244" t="n">
        <v>2</v>
      </c>
      <c r="L1244" t="n">
        <v>576</v>
      </c>
      <c r="M1244" t="n">
        <v>0</v>
      </c>
      <c r="N1244">
        <f>VLOOKUP(J1244,Products!$A$2:$C$49,3,FALSE)</f>
        <v/>
      </c>
      <c r="O1244">
        <f>K1244*L1244-M1244</f>
        <v/>
      </c>
      <c r="P1244">
        <f>TEXT(B1244,"yyyy-mm")</f>
        <v/>
      </c>
      <c r="Q1244">
        <f>IF(O1244&gt;=3000,"Large","Small")</f>
        <v/>
      </c>
      <c r="R1244">
        <f>INDEX(Products!$F$2:$F$49,MATCH(J1244,Products!$A$2:$A$49,0))</f>
        <v/>
      </c>
      <c r="S1244">
        <f>WEEKDAY(B1244,2)</f>
        <v/>
      </c>
    </row>
    <row r="1245">
      <c r="A1245" t="n">
        <v>509960</v>
      </c>
      <c r="B1245" s="6" t="n">
        <v>45946</v>
      </c>
      <c r="C1245" t="n">
        <v>15602</v>
      </c>
      <c r="D1245" t="inlineStr">
        <is>
          <t>Kolkata</t>
        </is>
      </c>
      <c r="E1245" t="inlineStr">
        <is>
          <t>East</t>
        </is>
      </c>
      <c r="F1245" t="inlineStr">
        <is>
          <t>Referral</t>
        </is>
      </c>
      <c r="G1245" t="inlineStr">
        <is>
          <t>Mobile Web</t>
        </is>
      </c>
      <c r="H1245" t="inlineStr">
        <is>
          <t>Net Banking</t>
        </is>
      </c>
      <c r="I1245" t="inlineStr">
        <is>
          <t>Delivered</t>
        </is>
      </c>
      <c r="J1245" t="n">
        <v>111</v>
      </c>
      <c r="K1245" t="n">
        <v>1</v>
      </c>
      <c r="L1245" t="n">
        <v>524</v>
      </c>
      <c r="M1245" t="n">
        <v>26.2</v>
      </c>
      <c r="N1245">
        <f>VLOOKUP(J1245,Products!$A$2:$C$49,3,FALSE)</f>
        <v/>
      </c>
      <c r="O1245">
        <f>K1245*L1245-M1245</f>
        <v/>
      </c>
      <c r="P1245">
        <f>TEXT(B1245,"yyyy-mm")</f>
        <v/>
      </c>
      <c r="Q1245">
        <f>IF(O1245&gt;=3000,"Large","Small")</f>
        <v/>
      </c>
      <c r="R1245">
        <f>INDEX(Products!$F$2:$F$49,MATCH(J1245,Products!$A$2:$A$49,0))</f>
        <v/>
      </c>
      <c r="S1245">
        <f>WEEKDAY(B1245,2)</f>
        <v/>
      </c>
    </row>
    <row r="1246">
      <c r="A1246" t="n">
        <v>509961</v>
      </c>
      <c r="B1246" s="6" t="n">
        <v>45946</v>
      </c>
      <c r="C1246" t="n">
        <v>12100</v>
      </c>
      <c r="D1246" t="inlineStr">
        <is>
          <t>Kochi</t>
        </is>
      </c>
      <c r="E1246" t="inlineStr">
        <is>
          <t>South</t>
        </is>
      </c>
      <c r="F1246" t="inlineStr">
        <is>
          <t>Organic Search</t>
        </is>
      </c>
      <c r="G1246" t="inlineStr">
        <is>
          <t>Mobile App</t>
        </is>
      </c>
      <c r="H1246" t="inlineStr">
        <is>
          <t>Credit Card</t>
        </is>
      </c>
      <c r="I1246" t="inlineStr">
        <is>
          <t>Delivered</t>
        </is>
      </c>
      <c r="J1246" t="n">
        <v>133</v>
      </c>
      <c r="K1246" t="n">
        <v>1</v>
      </c>
      <c r="L1246" t="n">
        <v>419</v>
      </c>
      <c r="M1246" t="n">
        <v>0</v>
      </c>
      <c r="N1246">
        <f>VLOOKUP(J1246,Products!$A$2:$C$49,3,FALSE)</f>
        <v/>
      </c>
      <c r="O1246">
        <f>K1246*L1246-M1246</f>
        <v/>
      </c>
      <c r="P1246">
        <f>TEXT(B1246,"yyyy-mm")</f>
        <v/>
      </c>
      <c r="Q1246">
        <f>IF(O1246&gt;=3000,"Large","Small")</f>
        <v/>
      </c>
      <c r="R1246">
        <f>INDEX(Products!$F$2:$F$49,MATCH(J1246,Products!$A$2:$A$49,0))</f>
        <v/>
      </c>
      <c r="S1246">
        <f>WEEKDAY(B1246,2)</f>
        <v/>
      </c>
    </row>
    <row r="1247">
      <c r="A1247" t="n">
        <v>509962</v>
      </c>
      <c r="B1247" s="6" t="n">
        <v>45946</v>
      </c>
      <c r="C1247" t="n">
        <v>15970</v>
      </c>
      <c r="D1247" t="inlineStr">
        <is>
          <t>Chennai</t>
        </is>
      </c>
      <c r="E1247" t="inlineStr">
        <is>
          <t>South</t>
        </is>
      </c>
      <c r="F1247" t="inlineStr">
        <is>
          <t>Paid Search</t>
        </is>
      </c>
      <c r="G1247" t="inlineStr">
        <is>
          <t>Desktop</t>
        </is>
      </c>
      <c r="H1247" t="inlineStr">
        <is>
          <t>UPI</t>
        </is>
      </c>
      <c r="I1247" t="inlineStr">
        <is>
          <t>Delivered</t>
        </is>
      </c>
      <c r="J1247" t="n">
        <v>113</v>
      </c>
      <c r="K1247" t="n">
        <v>1</v>
      </c>
      <c r="L1247" t="n">
        <v>1364</v>
      </c>
      <c r="M1247" t="n">
        <v>136.4</v>
      </c>
      <c r="N1247">
        <f>VLOOKUP(J1247,Products!$A$2:$C$49,3,FALSE)</f>
        <v/>
      </c>
      <c r="O1247">
        <f>K1247*L1247-M1247</f>
        <v/>
      </c>
      <c r="P1247">
        <f>TEXT(B1247,"yyyy-mm")</f>
        <v/>
      </c>
      <c r="Q1247">
        <f>IF(O1247&gt;=3000,"Large","Small")</f>
        <v/>
      </c>
      <c r="R1247">
        <f>INDEX(Products!$F$2:$F$49,MATCH(J1247,Products!$A$2:$A$49,0))</f>
        <v/>
      </c>
      <c r="S1247">
        <f>WEEKDAY(B1247,2)</f>
        <v/>
      </c>
    </row>
    <row r="1248">
      <c r="A1248" t="n">
        <v>509963</v>
      </c>
      <c r="B1248" s="6" t="n">
        <v>45946</v>
      </c>
      <c r="C1248" t="n">
        <v>14556</v>
      </c>
      <c r="D1248" t="inlineStr">
        <is>
          <t>Indore</t>
        </is>
      </c>
      <c r="E1248" t="inlineStr">
        <is>
          <t>West</t>
        </is>
      </c>
      <c r="F1248" t="inlineStr">
        <is>
          <t>Organic Search</t>
        </is>
      </c>
      <c r="G1248" t="inlineStr">
        <is>
          <t>Mobile Web</t>
        </is>
      </c>
      <c r="H1248" t="inlineStr">
        <is>
          <t>Cash on Delivery</t>
        </is>
      </c>
      <c r="I1248" t="inlineStr">
        <is>
          <t>Returned</t>
        </is>
      </c>
      <c r="J1248" t="n">
        <v>133</v>
      </c>
      <c r="K1248" t="n">
        <v>1</v>
      </c>
      <c r="L1248" t="n">
        <v>419</v>
      </c>
      <c r="M1248" t="n">
        <v>41.9</v>
      </c>
      <c r="N1248">
        <f>VLOOKUP(J1248,Products!$A$2:$C$49,3,FALSE)</f>
        <v/>
      </c>
      <c r="O1248">
        <f>K1248*L1248-M1248</f>
        <v/>
      </c>
      <c r="P1248">
        <f>TEXT(B1248,"yyyy-mm")</f>
        <v/>
      </c>
      <c r="Q1248">
        <f>IF(O1248&gt;=3000,"Large","Small")</f>
        <v/>
      </c>
      <c r="R1248">
        <f>INDEX(Products!$F$2:$F$49,MATCH(J1248,Products!$A$2:$A$49,0))</f>
        <v/>
      </c>
      <c r="S1248">
        <f>WEEKDAY(B1248,2)</f>
        <v/>
      </c>
    </row>
    <row r="1249">
      <c r="A1249" t="n">
        <v>509963</v>
      </c>
      <c r="B1249" s="6" t="n">
        <v>45946</v>
      </c>
      <c r="C1249" t="n">
        <v>14556</v>
      </c>
      <c r="D1249" t="inlineStr">
        <is>
          <t>Indore</t>
        </is>
      </c>
      <c r="E1249" t="inlineStr">
        <is>
          <t>West</t>
        </is>
      </c>
      <c r="F1249" t="inlineStr">
        <is>
          <t>Organic Search</t>
        </is>
      </c>
      <c r="G1249" t="inlineStr">
        <is>
          <t>Mobile Web</t>
        </is>
      </c>
      <c r="H1249" t="inlineStr">
        <is>
          <t>Cash on Delivery</t>
        </is>
      </c>
      <c r="I1249" t="inlineStr">
        <is>
          <t>Returned</t>
        </is>
      </c>
      <c r="J1249" t="n">
        <v>117</v>
      </c>
      <c r="K1249" t="n">
        <v>1</v>
      </c>
      <c r="L1249" t="n">
        <v>3149</v>
      </c>
      <c r="M1249" t="n">
        <v>314.9</v>
      </c>
      <c r="N1249">
        <f>VLOOKUP(J1249,Products!$A$2:$C$49,3,FALSE)</f>
        <v/>
      </c>
      <c r="O1249">
        <f>K1249*L1249-M1249</f>
        <v/>
      </c>
      <c r="P1249">
        <f>TEXT(B1249,"yyyy-mm")</f>
        <v/>
      </c>
      <c r="Q1249">
        <f>IF(O1249&gt;=3000,"Large","Small")</f>
        <v/>
      </c>
      <c r="R1249">
        <f>INDEX(Products!$F$2:$F$49,MATCH(J1249,Products!$A$2:$A$49,0))</f>
        <v/>
      </c>
      <c r="S1249">
        <f>WEEKDAY(B1249,2)</f>
        <v/>
      </c>
    </row>
    <row r="1250">
      <c r="A1250" t="n">
        <v>509963</v>
      </c>
      <c r="B1250" s="6" t="n">
        <v>45946</v>
      </c>
      <c r="C1250" t="n">
        <v>14556</v>
      </c>
      <c r="D1250" t="inlineStr">
        <is>
          <t>Indore</t>
        </is>
      </c>
      <c r="E1250" t="inlineStr">
        <is>
          <t>West</t>
        </is>
      </c>
      <c r="F1250" t="inlineStr">
        <is>
          <t>Organic Search</t>
        </is>
      </c>
      <c r="G1250" t="inlineStr">
        <is>
          <t>Mobile Web</t>
        </is>
      </c>
      <c r="H1250" t="inlineStr">
        <is>
          <t>Cash on Delivery</t>
        </is>
      </c>
      <c r="I1250" t="inlineStr">
        <is>
          <t>Returned</t>
        </is>
      </c>
      <c r="J1250" t="n">
        <v>129</v>
      </c>
      <c r="K1250" t="n">
        <v>2</v>
      </c>
      <c r="L1250" t="n">
        <v>576</v>
      </c>
      <c r="M1250" t="n">
        <v>115.2</v>
      </c>
      <c r="N1250">
        <f>VLOOKUP(J1250,Products!$A$2:$C$49,3,FALSE)</f>
        <v/>
      </c>
      <c r="O1250">
        <f>K1250*L1250-M1250</f>
        <v/>
      </c>
      <c r="P1250">
        <f>TEXT(B1250,"yyyy-mm")</f>
        <v/>
      </c>
      <c r="Q1250">
        <f>IF(O1250&gt;=3000,"Large","Small")</f>
        <v/>
      </c>
      <c r="R1250">
        <f>INDEX(Products!$F$2:$F$49,MATCH(J1250,Products!$A$2:$A$49,0))</f>
        <v/>
      </c>
      <c r="S1250">
        <f>WEEKDAY(B1250,2)</f>
        <v/>
      </c>
    </row>
    <row r="1251">
      <c r="A1251" t="n">
        <v>509964</v>
      </c>
      <c r="B1251" s="6" t="n">
        <v>45946</v>
      </c>
      <c r="C1251" t="n">
        <v>16798</v>
      </c>
      <c r="D1251" t="inlineStr">
        <is>
          <t>Noida</t>
        </is>
      </c>
      <c r="E1251" t="inlineStr">
        <is>
          <t>North</t>
        </is>
      </c>
      <c r="F1251" t="inlineStr">
        <is>
          <t>Organic Search</t>
        </is>
      </c>
      <c r="G1251" t="inlineStr">
        <is>
          <t>Desktop</t>
        </is>
      </c>
      <c r="H1251" t="inlineStr">
        <is>
          <t>Cash on Delivery</t>
        </is>
      </c>
      <c r="I1251" t="inlineStr">
        <is>
          <t>Delivered</t>
        </is>
      </c>
      <c r="J1251" t="n">
        <v>120</v>
      </c>
      <c r="K1251" t="n">
        <v>1</v>
      </c>
      <c r="L1251" t="n">
        <v>734</v>
      </c>
      <c r="M1251" t="n">
        <v>110.1</v>
      </c>
      <c r="N1251">
        <f>VLOOKUP(J1251,Products!$A$2:$C$49,3,FALSE)</f>
        <v/>
      </c>
      <c r="O1251">
        <f>K1251*L1251-M1251</f>
        <v/>
      </c>
      <c r="P1251">
        <f>TEXT(B1251,"yyyy-mm")</f>
        <v/>
      </c>
      <c r="Q1251">
        <f>IF(O1251&gt;=3000,"Large","Small")</f>
        <v/>
      </c>
      <c r="R1251">
        <f>INDEX(Products!$F$2:$F$49,MATCH(J1251,Products!$A$2:$A$49,0))</f>
        <v/>
      </c>
      <c r="S1251">
        <f>WEEKDAY(B1251,2)</f>
        <v/>
      </c>
    </row>
    <row r="1252">
      <c r="A1252" t="n">
        <v>509965</v>
      </c>
      <c r="B1252" s="6" t="n">
        <v>45946</v>
      </c>
      <c r="C1252" t="n">
        <v>14897</v>
      </c>
      <c r="D1252" t="inlineStr">
        <is>
          <t>Gurugram</t>
        </is>
      </c>
      <c r="E1252" t="inlineStr">
        <is>
          <t>North</t>
        </is>
      </c>
      <c r="F1252" t="inlineStr">
        <is>
          <t>Affiliate</t>
        </is>
      </c>
      <c r="G1252" t="inlineStr">
        <is>
          <t>Mobile App</t>
        </is>
      </c>
      <c r="H1252" t="inlineStr">
        <is>
          <t>UPI</t>
        </is>
      </c>
      <c r="I1252" t="inlineStr">
        <is>
          <t>Delivered</t>
        </is>
      </c>
      <c r="J1252" t="n">
        <v>103</v>
      </c>
      <c r="K1252" t="n">
        <v>1</v>
      </c>
      <c r="L1252" t="n">
        <v>2624</v>
      </c>
      <c r="M1252" t="n">
        <v>262.4</v>
      </c>
      <c r="N1252">
        <f>VLOOKUP(J1252,Products!$A$2:$C$49,3,FALSE)</f>
        <v/>
      </c>
      <c r="O1252">
        <f>K1252*L1252-M1252</f>
        <v/>
      </c>
      <c r="P1252">
        <f>TEXT(B1252,"yyyy-mm")</f>
        <v/>
      </c>
      <c r="Q1252">
        <f>IF(O1252&gt;=3000,"Large","Small")</f>
        <v/>
      </c>
      <c r="R1252">
        <f>INDEX(Products!$F$2:$F$49,MATCH(J1252,Products!$A$2:$A$49,0))</f>
        <v/>
      </c>
      <c r="S1252">
        <f>WEEKDAY(B1252,2)</f>
        <v/>
      </c>
    </row>
    <row r="1253">
      <c r="A1253" t="n">
        <v>509965</v>
      </c>
      <c r="B1253" s="6" t="n">
        <v>45946</v>
      </c>
      <c r="C1253" t="n">
        <v>14897</v>
      </c>
      <c r="D1253" t="inlineStr">
        <is>
          <t>Gurugram</t>
        </is>
      </c>
      <c r="E1253" t="inlineStr">
        <is>
          <t>North</t>
        </is>
      </c>
      <c r="F1253" t="inlineStr">
        <is>
          <t>Affiliate</t>
        </is>
      </c>
      <c r="G1253" t="inlineStr">
        <is>
          <t>Mobile App</t>
        </is>
      </c>
      <c r="H1253" t="inlineStr">
        <is>
          <t>UPI</t>
        </is>
      </c>
      <c r="I1253" t="inlineStr">
        <is>
          <t>Delivered</t>
        </is>
      </c>
      <c r="J1253" t="n">
        <v>129</v>
      </c>
      <c r="K1253" t="n">
        <v>1</v>
      </c>
      <c r="L1253" t="n">
        <v>576</v>
      </c>
      <c r="M1253" t="n">
        <v>57.6</v>
      </c>
      <c r="N1253">
        <f>VLOOKUP(J1253,Products!$A$2:$C$49,3,FALSE)</f>
        <v/>
      </c>
      <c r="O1253">
        <f>K1253*L1253-M1253</f>
        <v/>
      </c>
      <c r="P1253">
        <f>TEXT(B1253,"yyyy-mm")</f>
        <v/>
      </c>
      <c r="Q1253">
        <f>IF(O1253&gt;=3000,"Large","Small")</f>
        <v/>
      </c>
      <c r="R1253">
        <f>INDEX(Products!$F$2:$F$49,MATCH(J1253,Products!$A$2:$A$49,0))</f>
        <v/>
      </c>
      <c r="S1253">
        <f>WEEKDAY(B1253,2)</f>
        <v/>
      </c>
    </row>
    <row r="1254">
      <c r="A1254" t="n">
        <v>509966</v>
      </c>
      <c r="B1254" s="6" t="n">
        <v>45946</v>
      </c>
      <c r="C1254" t="n">
        <v>15355</v>
      </c>
      <c r="D1254" t="inlineStr">
        <is>
          <t>Gurugram</t>
        </is>
      </c>
      <c r="E1254" t="inlineStr">
        <is>
          <t>North</t>
        </is>
      </c>
      <c r="F1254" t="inlineStr">
        <is>
          <t>Paid Search</t>
        </is>
      </c>
      <c r="G1254" t="inlineStr">
        <is>
          <t>Mobile Web</t>
        </is>
      </c>
      <c r="H1254" t="inlineStr">
        <is>
          <t>UPI</t>
        </is>
      </c>
      <c r="I1254" t="inlineStr">
        <is>
          <t>Delivered</t>
        </is>
      </c>
      <c r="J1254" t="n">
        <v>112</v>
      </c>
      <c r="K1254" t="n">
        <v>1</v>
      </c>
      <c r="L1254" t="n">
        <v>1574</v>
      </c>
      <c r="M1254" t="n">
        <v>157.4</v>
      </c>
      <c r="N1254">
        <f>VLOOKUP(J1254,Products!$A$2:$C$49,3,FALSE)</f>
        <v/>
      </c>
      <c r="O1254">
        <f>K1254*L1254-M1254</f>
        <v/>
      </c>
      <c r="P1254">
        <f>TEXT(B1254,"yyyy-mm")</f>
        <v/>
      </c>
      <c r="Q1254">
        <f>IF(O1254&gt;=3000,"Large","Small")</f>
        <v/>
      </c>
      <c r="R1254">
        <f>INDEX(Products!$F$2:$F$49,MATCH(J1254,Products!$A$2:$A$49,0))</f>
        <v/>
      </c>
      <c r="S1254">
        <f>WEEKDAY(B1254,2)</f>
        <v/>
      </c>
    </row>
    <row r="1255">
      <c r="A1255" t="n">
        <v>509967</v>
      </c>
      <c r="B1255" s="6" t="n">
        <v>45946</v>
      </c>
      <c r="C1255" t="n">
        <v>16778</v>
      </c>
      <c r="D1255" t="inlineStr">
        <is>
          <t>Ahmedabad</t>
        </is>
      </c>
      <c r="E1255" t="inlineStr">
        <is>
          <t>West</t>
        </is>
      </c>
      <c r="F1255" t="inlineStr">
        <is>
          <t>Organic Search</t>
        </is>
      </c>
      <c r="G1255" t="inlineStr">
        <is>
          <t>Mobile Web</t>
        </is>
      </c>
      <c r="H1255" t="inlineStr">
        <is>
          <t>UPI</t>
        </is>
      </c>
      <c r="I1255" t="inlineStr">
        <is>
          <t>Delivered</t>
        </is>
      </c>
      <c r="J1255" t="n">
        <v>126</v>
      </c>
      <c r="K1255" t="n">
        <v>1</v>
      </c>
      <c r="L1255" t="n">
        <v>471</v>
      </c>
      <c r="M1255" t="n">
        <v>47.1</v>
      </c>
      <c r="N1255">
        <f>VLOOKUP(J1255,Products!$A$2:$C$49,3,FALSE)</f>
        <v/>
      </c>
      <c r="O1255">
        <f>K1255*L1255-M1255</f>
        <v/>
      </c>
      <c r="P1255">
        <f>TEXT(B1255,"yyyy-mm")</f>
        <v/>
      </c>
      <c r="Q1255">
        <f>IF(O1255&gt;=3000,"Large","Small")</f>
        <v/>
      </c>
      <c r="R1255">
        <f>INDEX(Products!$F$2:$F$49,MATCH(J1255,Products!$A$2:$A$49,0))</f>
        <v/>
      </c>
      <c r="S1255">
        <f>WEEKDAY(B1255,2)</f>
        <v/>
      </c>
    </row>
    <row r="1256">
      <c r="A1256" t="n">
        <v>509967</v>
      </c>
      <c r="B1256" s="6" t="n">
        <v>45946</v>
      </c>
      <c r="C1256" t="n">
        <v>16778</v>
      </c>
      <c r="D1256" t="inlineStr">
        <is>
          <t>Ahmedabad</t>
        </is>
      </c>
      <c r="E1256" t="inlineStr">
        <is>
          <t>West</t>
        </is>
      </c>
      <c r="F1256" t="inlineStr">
        <is>
          <t>Organic Search</t>
        </is>
      </c>
      <c r="G1256" t="inlineStr">
        <is>
          <t>Mobile Web</t>
        </is>
      </c>
      <c r="H1256" t="inlineStr">
        <is>
          <t>UPI</t>
        </is>
      </c>
      <c r="I1256" t="inlineStr">
        <is>
          <t>Delivered</t>
        </is>
      </c>
      <c r="J1256" t="n">
        <v>136</v>
      </c>
      <c r="K1256" t="n">
        <v>2</v>
      </c>
      <c r="L1256" t="n">
        <v>944</v>
      </c>
      <c r="M1256" t="n">
        <v>188.8</v>
      </c>
      <c r="N1256">
        <f>VLOOKUP(J1256,Products!$A$2:$C$49,3,FALSE)</f>
        <v/>
      </c>
      <c r="O1256">
        <f>K1256*L1256-M1256</f>
        <v/>
      </c>
      <c r="P1256">
        <f>TEXT(B1256,"yyyy-mm")</f>
        <v/>
      </c>
      <c r="Q1256">
        <f>IF(O1256&gt;=3000,"Large","Small")</f>
        <v/>
      </c>
      <c r="R1256">
        <f>INDEX(Products!$F$2:$F$49,MATCH(J1256,Products!$A$2:$A$49,0))</f>
        <v/>
      </c>
      <c r="S1256">
        <f>WEEKDAY(B1256,2)</f>
        <v/>
      </c>
    </row>
    <row r="1257">
      <c r="A1257" t="n">
        <v>509967</v>
      </c>
      <c r="B1257" s="6" t="n">
        <v>45946</v>
      </c>
      <c r="C1257" t="n">
        <v>16778</v>
      </c>
      <c r="D1257" t="inlineStr">
        <is>
          <t>Ahmedabad</t>
        </is>
      </c>
      <c r="E1257" t="inlineStr">
        <is>
          <t>West</t>
        </is>
      </c>
      <c r="F1257" t="inlineStr">
        <is>
          <t>Organic Search</t>
        </is>
      </c>
      <c r="G1257" t="inlineStr">
        <is>
          <t>Mobile Web</t>
        </is>
      </c>
      <c r="H1257" t="inlineStr">
        <is>
          <t>UPI</t>
        </is>
      </c>
      <c r="I1257" t="inlineStr">
        <is>
          <t>Delivered</t>
        </is>
      </c>
      <c r="J1257" t="n">
        <v>129</v>
      </c>
      <c r="K1257" t="n">
        <v>1</v>
      </c>
      <c r="L1257" t="n">
        <v>576</v>
      </c>
      <c r="M1257" t="n">
        <v>57.6</v>
      </c>
      <c r="N1257">
        <f>VLOOKUP(J1257,Products!$A$2:$C$49,3,FALSE)</f>
        <v/>
      </c>
      <c r="O1257">
        <f>K1257*L1257-M1257</f>
        <v/>
      </c>
      <c r="P1257">
        <f>TEXT(B1257,"yyyy-mm")</f>
        <v/>
      </c>
      <c r="Q1257">
        <f>IF(O1257&gt;=3000,"Large","Small")</f>
        <v/>
      </c>
      <c r="R1257">
        <f>INDEX(Products!$F$2:$F$49,MATCH(J1257,Products!$A$2:$A$49,0))</f>
        <v/>
      </c>
      <c r="S1257">
        <f>WEEKDAY(B1257,2)</f>
        <v/>
      </c>
    </row>
    <row r="1258">
      <c r="A1258" t="n">
        <v>509968</v>
      </c>
      <c r="B1258" s="6" t="n">
        <v>45946</v>
      </c>
      <c r="C1258" t="n">
        <v>11198</v>
      </c>
      <c r="D1258" t="inlineStr">
        <is>
          <t>Chennai</t>
        </is>
      </c>
      <c r="E1258" t="inlineStr">
        <is>
          <t>South</t>
        </is>
      </c>
      <c r="F1258" t="inlineStr">
        <is>
          <t>Organic Search</t>
        </is>
      </c>
      <c r="G1258" t="inlineStr">
        <is>
          <t>Mobile App</t>
        </is>
      </c>
      <c r="H1258" t="inlineStr">
        <is>
          <t>UPI</t>
        </is>
      </c>
      <c r="I1258" t="inlineStr">
        <is>
          <t>Delivered</t>
        </is>
      </c>
      <c r="J1258" t="n">
        <v>135</v>
      </c>
      <c r="K1258" t="n">
        <v>1</v>
      </c>
      <c r="L1258" t="n">
        <v>1574</v>
      </c>
      <c r="M1258" t="n">
        <v>157.4</v>
      </c>
      <c r="N1258">
        <f>VLOOKUP(J1258,Products!$A$2:$C$49,3,FALSE)</f>
        <v/>
      </c>
      <c r="O1258">
        <f>K1258*L1258-M1258</f>
        <v/>
      </c>
      <c r="P1258">
        <f>TEXT(B1258,"yyyy-mm")</f>
        <v/>
      </c>
      <c r="Q1258">
        <f>IF(O1258&gt;=3000,"Large","Small")</f>
        <v/>
      </c>
      <c r="R1258">
        <f>INDEX(Products!$F$2:$F$49,MATCH(J1258,Products!$A$2:$A$49,0))</f>
        <v/>
      </c>
      <c r="S1258">
        <f>WEEKDAY(B1258,2)</f>
        <v/>
      </c>
    </row>
    <row r="1259">
      <c r="A1259" t="n">
        <v>509968</v>
      </c>
      <c r="B1259" s="6" t="n">
        <v>45946</v>
      </c>
      <c r="C1259" t="n">
        <v>11198</v>
      </c>
      <c r="D1259" t="inlineStr">
        <is>
          <t>Chennai</t>
        </is>
      </c>
      <c r="E1259" t="inlineStr">
        <is>
          <t>South</t>
        </is>
      </c>
      <c r="F1259" t="inlineStr">
        <is>
          <t>Organic Search</t>
        </is>
      </c>
      <c r="G1259" t="inlineStr">
        <is>
          <t>Mobile App</t>
        </is>
      </c>
      <c r="H1259" t="inlineStr">
        <is>
          <t>UPI</t>
        </is>
      </c>
      <c r="I1259" t="inlineStr">
        <is>
          <t>Delivered</t>
        </is>
      </c>
      <c r="J1259" t="n">
        <v>129</v>
      </c>
      <c r="K1259" t="n">
        <v>2</v>
      </c>
      <c r="L1259" t="n">
        <v>576</v>
      </c>
      <c r="M1259" t="n">
        <v>115.2</v>
      </c>
      <c r="N1259">
        <f>VLOOKUP(J1259,Products!$A$2:$C$49,3,FALSE)</f>
        <v/>
      </c>
      <c r="O1259">
        <f>K1259*L1259-M1259</f>
        <v/>
      </c>
      <c r="P1259">
        <f>TEXT(B1259,"yyyy-mm")</f>
        <v/>
      </c>
      <c r="Q1259">
        <f>IF(O1259&gt;=3000,"Large","Small")</f>
        <v/>
      </c>
      <c r="R1259">
        <f>INDEX(Products!$F$2:$F$49,MATCH(J1259,Products!$A$2:$A$49,0))</f>
        <v/>
      </c>
      <c r="S1259">
        <f>WEEKDAY(B1259,2)</f>
        <v/>
      </c>
    </row>
    <row r="1260">
      <c r="A1260" t="n">
        <v>509969</v>
      </c>
      <c r="B1260" s="6" t="n">
        <v>45946</v>
      </c>
      <c r="C1260" t="n">
        <v>11565</v>
      </c>
      <c r="D1260" t="inlineStr">
        <is>
          <t>Mumbai</t>
        </is>
      </c>
      <c r="E1260" t="inlineStr">
        <is>
          <t>West</t>
        </is>
      </c>
      <c r="F1260" t="inlineStr">
        <is>
          <t>Email</t>
        </is>
      </c>
      <c r="G1260" t="inlineStr">
        <is>
          <t>Mobile App</t>
        </is>
      </c>
      <c r="H1260" t="inlineStr">
        <is>
          <t>UPI</t>
        </is>
      </c>
      <c r="I1260" t="inlineStr">
        <is>
          <t>Delivered</t>
        </is>
      </c>
      <c r="J1260" t="n">
        <v>102</v>
      </c>
      <c r="K1260" t="n">
        <v>1</v>
      </c>
      <c r="L1260" t="n">
        <v>3674</v>
      </c>
      <c r="M1260" t="n">
        <v>367.4</v>
      </c>
      <c r="N1260">
        <f>VLOOKUP(J1260,Products!$A$2:$C$49,3,FALSE)</f>
        <v/>
      </c>
      <c r="O1260">
        <f>K1260*L1260-M1260</f>
        <v/>
      </c>
      <c r="P1260">
        <f>TEXT(B1260,"yyyy-mm")</f>
        <v/>
      </c>
      <c r="Q1260">
        <f>IF(O1260&gt;=3000,"Large","Small")</f>
        <v/>
      </c>
      <c r="R1260">
        <f>INDEX(Products!$F$2:$F$49,MATCH(J1260,Products!$A$2:$A$49,0))</f>
        <v/>
      </c>
      <c r="S1260">
        <f>WEEKDAY(B1260,2)</f>
        <v/>
      </c>
    </row>
    <row r="1261">
      <c r="A1261" t="n">
        <v>509970</v>
      </c>
      <c r="B1261" s="6" t="n">
        <v>45946</v>
      </c>
      <c r="C1261" t="n">
        <v>11394</v>
      </c>
      <c r="D1261" t="inlineStr">
        <is>
          <t>Mumbai</t>
        </is>
      </c>
      <c r="E1261" t="inlineStr">
        <is>
          <t>West</t>
        </is>
      </c>
      <c r="F1261" t="inlineStr">
        <is>
          <t>Organic Search</t>
        </is>
      </c>
      <c r="G1261" t="inlineStr">
        <is>
          <t>Mobile App</t>
        </is>
      </c>
      <c r="H1261" t="inlineStr">
        <is>
          <t>Credit Card</t>
        </is>
      </c>
      <c r="I1261" t="inlineStr">
        <is>
          <t>Delivered</t>
        </is>
      </c>
      <c r="J1261" t="n">
        <v>116</v>
      </c>
      <c r="K1261" t="n">
        <v>1</v>
      </c>
      <c r="L1261" t="n">
        <v>2624</v>
      </c>
      <c r="M1261" t="n">
        <v>0</v>
      </c>
      <c r="N1261">
        <f>VLOOKUP(J1261,Products!$A$2:$C$49,3,FALSE)</f>
        <v/>
      </c>
      <c r="O1261">
        <f>K1261*L1261-M1261</f>
        <v/>
      </c>
      <c r="P1261">
        <f>TEXT(B1261,"yyyy-mm")</f>
        <v/>
      </c>
      <c r="Q1261">
        <f>IF(O1261&gt;=3000,"Large","Small")</f>
        <v/>
      </c>
      <c r="R1261">
        <f>INDEX(Products!$F$2:$F$49,MATCH(J1261,Products!$A$2:$A$49,0))</f>
        <v/>
      </c>
      <c r="S1261">
        <f>WEEKDAY(B1261,2)</f>
        <v/>
      </c>
    </row>
    <row r="1262">
      <c r="A1262" t="n">
        <v>509970</v>
      </c>
      <c r="B1262" s="6" t="n">
        <v>45946</v>
      </c>
      <c r="C1262" t="n">
        <v>11394</v>
      </c>
      <c r="D1262" t="inlineStr">
        <is>
          <t>Mumbai</t>
        </is>
      </c>
      <c r="E1262" t="inlineStr">
        <is>
          <t>West</t>
        </is>
      </c>
      <c r="F1262" t="inlineStr">
        <is>
          <t>Organic Search</t>
        </is>
      </c>
      <c r="G1262" t="inlineStr">
        <is>
          <t>Mobile App</t>
        </is>
      </c>
      <c r="H1262" t="inlineStr">
        <is>
          <t>Credit Card</t>
        </is>
      </c>
      <c r="I1262" t="inlineStr">
        <is>
          <t>Delivered</t>
        </is>
      </c>
      <c r="J1262" t="n">
        <v>129</v>
      </c>
      <c r="K1262" t="n">
        <v>1</v>
      </c>
      <c r="L1262" t="n">
        <v>576</v>
      </c>
      <c r="M1262" t="n">
        <v>0</v>
      </c>
      <c r="N1262">
        <f>VLOOKUP(J1262,Products!$A$2:$C$49,3,FALSE)</f>
        <v/>
      </c>
      <c r="O1262">
        <f>K1262*L1262-M1262</f>
        <v/>
      </c>
      <c r="P1262">
        <f>TEXT(B1262,"yyyy-mm")</f>
        <v/>
      </c>
      <c r="Q1262">
        <f>IF(O1262&gt;=3000,"Large","Small")</f>
        <v/>
      </c>
      <c r="R1262">
        <f>INDEX(Products!$F$2:$F$49,MATCH(J1262,Products!$A$2:$A$49,0))</f>
        <v/>
      </c>
      <c r="S1262">
        <f>WEEKDAY(B1262,2)</f>
        <v/>
      </c>
    </row>
    <row r="1263">
      <c r="A1263" t="n">
        <v>509971</v>
      </c>
      <c r="B1263" s="6" t="n">
        <v>45946</v>
      </c>
      <c r="C1263" t="n">
        <v>16666</v>
      </c>
      <c r="D1263" t="inlineStr">
        <is>
          <t>Bengaluru</t>
        </is>
      </c>
      <c r="E1263" t="inlineStr">
        <is>
          <t>South</t>
        </is>
      </c>
      <c r="F1263" t="inlineStr">
        <is>
          <t>Paid Search</t>
        </is>
      </c>
      <c r="G1263" t="inlineStr">
        <is>
          <t>Mobile App</t>
        </is>
      </c>
      <c r="H1263" t="inlineStr">
        <is>
          <t>Cash on Delivery</t>
        </is>
      </c>
      <c r="I1263" t="inlineStr">
        <is>
          <t>Delivered</t>
        </is>
      </c>
      <c r="J1263" t="n">
        <v>142</v>
      </c>
      <c r="K1263" t="n">
        <v>2</v>
      </c>
      <c r="L1263" t="n">
        <v>839</v>
      </c>
      <c r="M1263" t="n">
        <v>251.7</v>
      </c>
      <c r="N1263">
        <f>VLOOKUP(J1263,Products!$A$2:$C$49,3,FALSE)</f>
        <v/>
      </c>
      <c r="O1263">
        <f>K1263*L1263-M1263</f>
        <v/>
      </c>
      <c r="P1263">
        <f>TEXT(B1263,"yyyy-mm")</f>
        <v/>
      </c>
      <c r="Q1263">
        <f>IF(O1263&gt;=3000,"Large","Small")</f>
        <v/>
      </c>
      <c r="R1263">
        <f>INDEX(Products!$F$2:$F$49,MATCH(J1263,Products!$A$2:$A$49,0))</f>
        <v/>
      </c>
      <c r="S1263">
        <f>WEEKDAY(B1263,2)</f>
        <v/>
      </c>
    </row>
    <row r="1264">
      <c r="A1264" t="n">
        <v>509971</v>
      </c>
      <c r="B1264" s="6" t="n">
        <v>45946</v>
      </c>
      <c r="C1264" t="n">
        <v>16666</v>
      </c>
      <c r="D1264" t="inlineStr">
        <is>
          <t>Bengaluru</t>
        </is>
      </c>
      <c r="E1264" t="inlineStr">
        <is>
          <t>South</t>
        </is>
      </c>
      <c r="F1264" t="inlineStr">
        <is>
          <t>Paid Search</t>
        </is>
      </c>
      <c r="G1264" t="inlineStr">
        <is>
          <t>Mobile App</t>
        </is>
      </c>
      <c r="H1264" t="inlineStr">
        <is>
          <t>Cash on Delivery</t>
        </is>
      </c>
      <c r="I1264" t="inlineStr">
        <is>
          <t>Delivered</t>
        </is>
      </c>
      <c r="J1264" t="n">
        <v>102</v>
      </c>
      <c r="K1264" t="n">
        <v>1</v>
      </c>
      <c r="L1264" t="n">
        <v>3674</v>
      </c>
      <c r="M1264" t="n">
        <v>551.1</v>
      </c>
      <c r="N1264">
        <f>VLOOKUP(J1264,Products!$A$2:$C$49,3,FALSE)</f>
        <v/>
      </c>
      <c r="O1264">
        <f>K1264*L1264-M1264</f>
        <v/>
      </c>
      <c r="P1264">
        <f>TEXT(B1264,"yyyy-mm")</f>
        <v/>
      </c>
      <c r="Q1264">
        <f>IF(O1264&gt;=3000,"Large","Small")</f>
        <v/>
      </c>
      <c r="R1264">
        <f>INDEX(Products!$F$2:$F$49,MATCH(J1264,Products!$A$2:$A$49,0))</f>
        <v/>
      </c>
      <c r="S1264">
        <f>WEEKDAY(B1264,2)</f>
        <v/>
      </c>
    </row>
    <row r="1265">
      <c r="A1265" t="n">
        <v>509972</v>
      </c>
      <c r="B1265" s="6" t="n">
        <v>45946</v>
      </c>
      <c r="C1265" t="n">
        <v>12808</v>
      </c>
      <c r="D1265" t="inlineStr">
        <is>
          <t>Noida</t>
        </is>
      </c>
      <c r="E1265" t="inlineStr">
        <is>
          <t>North</t>
        </is>
      </c>
      <c r="F1265" t="inlineStr">
        <is>
          <t>Organic Search</t>
        </is>
      </c>
      <c r="G1265" t="inlineStr">
        <is>
          <t>Mobile Web</t>
        </is>
      </c>
      <c r="H1265" t="inlineStr">
        <is>
          <t>UPI</t>
        </is>
      </c>
      <c r="I1265" t="inlineStr">
        <is>
          <t>Delivered</t>
        </is>
      </c>
      <c r="J1265" t="n">
        <v>123</v>
      </c>
      <c r="K1265" t="n">
        <v>2</v>
      </c>
      <c r="L1265" t="n">
        <v>3464</v>
      </c>
      <c r="M1265" t="n">
        <v>0</v>
      </c>
      <c r="N1265">
        <f>VLOOKUP(J1265,Products!$A$2:$C$49,3,FALSE)</f>
        <v/>
      </c>
      <c r="O1265">
        <f>K1265*L1265-M1265</f>
        <v/>
      </c>
      <c r="P1265">
        <f>TEXT(B1265,"yyyy-mm")</f>
        <v/>
      </c>
      <c r="Q1265">
        <f>IF(O1265&gt;=3000,"Large","Small")</f>
        <v/>
      </c>
      <c r="R1265">
        <f>INDEX(Products!$F$2:$F$49,MATCH(J1265,Products!$A$2:$A$49,0))</f>
        <v/>
      </c>
      <c r="S1265">
        <f>WEEKDAY(B1265,2)</f>
        <v/>
      </c>
    </row>
    <row r="1266">
      <c r="A1266" t="n">
        <v>509972</v>
      </c>
      <c r="B1266" s="6" t="n">
        <v>45946</v>
      </c>
      <c r="C1266" t="n">
        <v>12808</v>
      </c>
      <c r="D1266" t="inlineStr">
        <is>
          <t>Noida</t>
        </is>
      </c>
      <c r="E1266" t="inlineStr">
        <is>
          <t>North</t>
        </is>
      </c>
      <c r="F1266" t="inlineStr">
        <is>
          <t>Organic Search</t>
        </is>
      </c>
      <c r="G1266" t="inlineStr">
        <is>
          <t>Mobile Web</t>
        </is>
      </c>
      <c r="H1266" t="inlineStr">
        <is>
          <t>UPI</t>
        </is>
      </c>
      <c r="I1266" t="inlineStr">
        <is>
          <t>Delivered</t>
        </is>
      </c>
      <c r="J1266" t="n">
        <v>118</v>
      </c>
      <c r="K1266" t="n">
        <v>1</v>
      </c>
      <c r="L1266" t="n">
        <v>944</v>
      </c>
      <c r="M1266" t="n">
        <v>0</v>
      </c>
      <c r="N1266">
        <f>VLOOKUP(J1266,Products!$A$2:$C$49,3,FALSE)</f>
        <v/>
      </c>
      <c r="O1266">
        <f>K1266*L1266-M1266</f>
        <v/>
      </c>
      <c r="P1266">
        <f>TEXT(B1266,"yyyy-mm")</f>
        <v/>
      </c>
      <c r="Q1266">
        <f>IF(O1266&gt;=3000,"Large","Small")</f>
        <v/>
      </c>
      <c r="R1266">
        <f>INDEX(Products!$F$2:$F$49,MATCH(J1266,Products!$A$2:$A$49,0))</f>
        <v/>
      </c>
      <c r="S1266">
        <f>WEEKDAY(B1266,2)</f>
        <v/>
      </c>
    </row>
    <row r="1267">
      <c r="A1267" t="n">
        <v>509973</v>
      </c>
      <c r="B1267" s="6" t="n">
        <v>45946</v>
      </c>
      <c r="C1267" t="n">
        <v>13468</v>
      </c>
      <c r="D1267" t="inlineStr">
        <is>
          <t>Delhi</t>
        </is>
      </c>
      <c r="E1267" t="inlineStr">
        <is>
          <t>North</t>
        </is>
      </c>
      <c r="F1267" t="inlineStr">
        <is>
          <t>Referral</t>
        </is>
      </c>
      <c r="G1267" t="inlineStr">
        <is>
          <t>Mobile Web</t>
        </is>
      </c>
      <c r="H1267" t="inlineStr">
        <is>
          <t>Credit Card</t>
        </is>
      </c>
      <c r="I1267" t="inlineStr">
        <is>
          <t>Delivered</t>
        </is>
      </c>
      <c r="J1267" t="n">
        <v>141</v>
      </c>
      <c r="K1267" t="n">
        <v>1</v>
      </c>
      <c r="L1267" t="n">
        <v>261</v>
      </c>
      <c r="M1267" t="n">
        <v>0</v>
      </c>
      <c r="N1267">
        <f>VLOOKUP(J1267,Products!$A$2:$C$49,3,FALSE)</f>
        <v/>
      </c>
      <c r="O1267">
        <f>K1267*L1267-M1267</f>
        <v/>
      </c>
      <c r="P1267">
        <f>TEXT(B1267,"yyyy-mm")</f>
        <v/>
      </c>
      <c r="Q1267">
        <f>IF(O1267&gt;=3000,"Large","Small")</f>
        <v/>
      </c>
      <c r="R1267">
        <f>INDEX(Products!$F$2:$F$49,MATCH(J1267,Products!$A$2:$A$49,0))</f>
        <v/>
      </c>
      <c r="S1267">
        <f>WEEKDAY(B1267,2)</f>
        <v/>
      </c>
    </row>
    <row r="1268">
      <c r="A1268" t="n">
        <v>509973</v>
      </c>
      <c r="B1268" s="6" t="n">
        <v>45946</v>
      </c>
      <c r="C1268" t="n">
        <v>13468</v>
      </c>
      <c r="D1268" t="inlineStr">
        <is>
          <t>Delhi</t>
        </is>
      </c>
      <c r="E1268" t="inlineStr">
        <is>
          <t>North</t>
        </is>
      </c>
      <c r="F1268" t="inlineStr">
        <is>
          <t>Referral</t>
        </is>
      </c>
      <c r="G1268" t="inlineStr">
        <is>
          <t>Mobile Web</t>
        </is>
      </c>
      <c r="H1268" t="inlineStr">
        <is>
          <t>Credit Card</t>
        </is>
      </c>
      <c r="I1268" t="inlineStr">
        <is>
          <t>Delivered</t>
        </is>
      </c>
      <c r="J1268" t="n">
        <v>129</v>
      </c>
      <c r="K1268" t="n">
        <v>1</v>
      </c>
      <c r="L1268" t="n">
        <v>576</v>
      </c>
      <c r="M1268" t="n">
        <v>0</v>
      </c>
      <c r="N1268">
        <f>VLOOKUP(J1268,Products!$A$2:$C$49,3,FALSE)</f>
        <v/>
      </c>
      <c r="O1268">
        <f>K1268*L1268-M1268</f>
        <v/>
      </c>
      <c r="P1268">
        <f>TEXT(B1268,"yyyy-mm")</f>
        <v/>
      </c>
      <c r="Q1268">
        <f>IF(O1268&gt;=3000,"Large","Small")</f>
        <v/>
      </c>
      <c r="R1268">
        <f>INDEX(Products!$F$2:$F$49,MATCH(J1268,Products!$A$2:$A$49,0))</f>
        <v/>
      </c>
      <c r="S1268">
        <f>WEEKDAY(B1268,2)</f>
        <v/>
      </c>
    </row>
    <row r="1269">
      <c r="A1269" t="n">
        <v>509974</v>
      </c>
      <c r="B1269" s="6" t="n">
        <v>45946</v>
      </c>
      <c r="C1269" t="n">
        <v>12633</v>
      </c>
      <c r="D1269" t="inlineStr">
        <is>
          <t>Delhi</t>
        </is>
      </c>
      <c r="E1269" t="inlineStr">
        <is>
          <t>North</t>
        </is>
      </c>
      <c r="F1269" t="inlineStr">
        <is>
          <t>Email</t>
        </is>
      </c>
      <c r="G1269" t="inlineStr">
        <is>
          <t>Mobile App</t>
        </is>
      </c>
      <c r="H1269" t="inlineStr">
        <is>
          <t>UPI</t>
        </is>
      </c>
      <c r="I1269" t="inlineStr">
        <is>
          <t>Delivered</t>
        </is>
      </c>
      <c r="J1269" t="n">
        <v>109</v>
      </c>
      <c r="K1269" t="n">
        <v>1</v>
      </c>
      <c r="L1269" t="n">
        <v>4199</v>
      </c>
      <c r="M1269" t="n">
        <v>419.9</v>
      </c>
      <c r="N1269">
        <f>VLOOKUP(J1269,Products!$A$2:$C$49,3,FALSE)</f>
        <v/>
      </c>
      <c r="O1269">
        <f>K1269*L1269-M1269</f>
        <v/>
      </c>
      <c r="P1269">
        <f>TEXT(B1269,"yyyy-mm")</f>
        <v/>
      </c>
      <c r="Q1269">
        <f>IF(O1269&gt;=3000,"Large","Small")</f>
        <v/>
      </c>
      <c r="R1269">
        <f>INDEX(Products!$F$2:$F$49,MATCH(J1269,Products!$A$2:$A$49,0))</f>
        <v/>
      </c>
      <c r="S1269">
        <f>WEEKDAY(B1269,2)</f>
        <v/>
      </c>
    </row>
    <row r="1270">
      <c r="A1270" t="n">
        <v>509975</v>
      </c>
      <c r="B1270" s="6" t="n">
        <v>45946</v>
      </c>
      <c r="C1270" t="n">
        <v>16713</v>
      </c>
      <c r="D1270" t="inlineStr">
        <is>
          <t>Mumbai</t>
        </is>
      </c>
      <c r="E1270" t="inlineStr">
        <is>
          <t>West</t>
        </is>
      </c>
      <c r="F1270" t="inlineStr">
        <is>
          <t>Email</t>
        </is>
      </c>
      <c r="G1270" t="inlineStr">
        <is>
          <t>Desktop</t>
        </is>
      </c>
      <c r="H1270" t="inlineStr">
        <is>
          <t>UPI</t>
        </is>
      </c>
      <c r="I1270" t="inlineStr">
        <is>
          <t>Delivered</t>
        </is>
      </c>
      <c r="J1270" t="n">
        <v>105</v>
      </c>
      <c r="K1270" t="n">
        <v>1</v>
      </c>
      <c r="L1270" t="n">
        <v>2414</v>
      </c>
      <c r="M1270" t="n">
        <v>362.1</v>
      </c>
      <c r="N1270">
        <f>VLOOKUP(J1270,Products!$A$2:$C$49,3,FALSE)</f>
        <v/>
      </c>
      <c r="O1270">
        <f>K1270*L1270-M1270</f>
        <v/>
      </c>
      <c r="P1270">
        <f>TEXT(B1270,"yyyy-mm")</f>
        <v/>
      </c>
      <c r="Q1270">
        <f>IF(O1270&gt;=3000,"Large","Small")</f>
        <v/>
      </c>
      <c r="R1270">
        <f>INDEX(Products!$F$2:$F$49,MATCH(J1270,Products!$A$2:$A$49,0))</f>
        <v/>
      </c>
      <c r="S1270">
        <f>WEEKDAY(B1270,2)</f>
        <v/>
      </c>
    </row>
    <row r="1271">
      <c r="A1271" t="n">
        <v>509976</v>
      </c>
      <c r="B1271" s="6" t="n">
        <v>45946</v>
      </c>
      <c r="C1271" t="n">
        <v>14927</v>
      </c>
      <c r="D1271" t="inlineStr">
        <is>
          <t>Delhi</t>
        </is>
      </c>
      <c r="E1271" t="inlineStr">
        <is>
          <t>North</t>
        </is>
      </c>
      <c r="F1271" t="inlineStr">
        <is>
          <t>Referral</t>
        </is>
      </c>
      <c r="G1271" t="inlineStr">
        <is>
          <t>Mobile Web</t>
        </is>
      </c>
      <c r="H1271" t="inlineStr">
        <is>
          <t>Cash on Delivery</t>
        </is>
      </c>
      <c r="I1271" t="inlineStr">
        <is>
          <t>Delivered</t>
        </is>
      </c>
      <c r="J1271" t="n">
        <v>122</v>
      </c>
      <c r="K1271" t="n">
        <v>1</v>
      </c>
      <c r="L1271" t="n">
        <v>1994</v>
      </c>
      <c r="M1271" t="n">
        <v>0</v>
      </c>
      <c r="N1271">
        <f>VLOOKUP(J1271,Products!$A$2:$C$49,3,FALSE)</f>
        <v/>
      </c>
      <c r="O1271">
        <f>K1271*L1271-M1271</f>
        <v/>
      </c>
      <c r="P1271">
        <f>TEXT(B1271,"yyyy-mm")</f>
        <v/>
      </c>
      <c r="Q1271">
        <f>IF(O1271&gt;=3000,"Large","Small")</f>
        <v/>
      </c>
      <c r="R1271">
        <f>INDEX(Products!$F$2:$F$49,MATCH(J1271,Products!$A$2:$A$49,0))</f>
        <v/>
      </c>
      <c r="S1271">
        <f>WEEKDAY(B1271,2)</f>
        <v/>
      </c>
    </row>
    <row r="1272">
      <c r="A1272" t="n">
        <v>509976</v>
      </c>
      <c r="B1272" s="6" t="n">
        <v>45946</v>
      </c>
      <c r="C1272" t="n">
        <v>14927</v>
      </c>
      <c r="D1272" t="inlineStr">
        <is>
          <t>Delhi</t>
        </is>
      </c>
      <c r="E1272" t="inlineStr">
        <is>
          <t>North</t>
        </is>
      </c>
      <c r="F1272" t="inlineStr">
        <is>
          <t>Referral</t>
        </is>
      </c>
      <c r="G1272" t="inlineStr">
        <is>
          <t>Mobile Web</t>
        </is>
      </c>
      <c r="H1272" t="inlineStr">
        <is>
          <t>Cash on Delivery</t>
        </is>
      </c>
      <c r="I1272" t="inlineStr">
        <is>
          <t>Delivered</t>
        </is>
      </c>
      <c r="J1272" t="n">
        <v>130</v>
      </c>
      <c r="K1272" t="n">
        <v>1</v>
      </c>
      <c r="L1272" t="n">
        <v>734</v>
      </c>
      <c r="M1272" t="n">
        <v>0</v>
      </c>
      <c r="N1272">
        <f>VLOOKUP(J1272,Products!$A$2:$C$49,3,FALSE)</f>
        <v/>
      </c>
      <c r="O1272">
        <f>K1272*L1272-M1272</f>
        <v/>
      </c>
      <c r="P1272">
        <f>TEXT(B1272,"yyyy-mm")</f>
        <v/>
      </c>
      <c r="Q1272">
        <f>IF(O1272&gt;=3000,"Large","Small")</f>
        <v/>
      </c>
      <c r="R1272">
        <f>INDEX(Products!$F$2:$F$49,MATCH(J1272,Products!$A$2:$A$49,0))</f>
        <v/>
      </c>
      <c r="S1272">
        <f>WEEKDAY(B1272,2)</f>
        <v/>
      </c>
    </row>
    <row r="1273">
      <c r="A1273" t="n">
        <v>509976</v>
      </c>
      <c r="B1273" s="6" t="n">
        <v>45946</v>
      </c>
      <c r="C1273" t="n">
        <v>14927</v>
      </c>
      <c r="D1273" t="inlineStr">
        <is>
          <t>Delhi</t>
        </is>
      </c>
      <c r="E1273" t="inlineStr">
        <is>
          <t>North</t>
        </is>
      </c>
      <c r="F1273" t="inlineStr">
        <is>
          <t>Referral</t>
        </is>
      </c>
      <c r="G1273" t="inlineStr">
        <is>
          <t>Mobile Web</t>
        </is>
      </c>
      <c r="H1273" t="inlineStr">
        <is>
          <t>Cash on Delivery</t>
        </is>
      </c>
      <c r="I1273" t="inlineStr">
        <is>
          <t>Delivered</t>
        </is>
      </c>
      <c r="J1273" t="n">
        <v>129</v>
      </c>
      <c r="K1273" t="n">
        <v>1</v>
      </c>
      <c r="L1273" t="n">
        <v>576</v>
      </c>
      <c r="M1273" t="n">
        <v>0</v>
      </c>
      <c r="N1273">
        <f>VLOOKUP(J1273,Products!$A$2:$C$49,3,FALSE)</f>
        <v/>
      </c>
      <c r="O1273">
        <f>K1273*L1273-M1273</f>
        <v/>
      </c>
      <c r="P1273">
        <f>TEXT(B1273,"yyyy-mm")</f>
        <v/>
      </c>
      <c r="Q1273">
        <f>IF(O1273&gt;=3000,"Large","Small")</f>
        <v/>
      </c>
      <c r="R1273">
        <f>INDEX(Products!$F$2:$F$49,MATCH(J1273,Products!$A$2:$A$49,0))</f>
        <v/>
      </c>
      <c r="S1273">
        <f>WEEKDAY(B1273,2)</f>
        <v/>
      </c>
    </row>
    <row r="1274">
      <c r="A1274" t="n">
        <v>509977</v>
      </c>
      <c r="B1274" s="6" t="n">
        <v>45946</v>
      </c>
      <c r="C1274" t="n">
        <v>14983</v>
      </c>
      <c r="D1274" t="inlineStr">
        <is>
          <t>Bengaluru</t>
        </is>
      </c>
      <c r="E1274" t="inlineStr">
        <is>
          <t>South</t>
        </is>
      </c>
      <c r="F1274" t="inlineStr">
        <is>
          <t>Paid Search</t>
        </is>
      </c>
      <c r="G1274" t="inlineStr">
        <is>
          <t>Mobile App</t>
        </is>
      </c>
      <c r="H1274" t="inlineStr">
        <is>
          <t>Cash on Delivery</t>
        </is>
      </c>
      <c r="I1274" t="inlineStr">
        <is>
          <t>Delivered</t>
        </is>
      </c>
      <c r="J1274" t="n">
        <v>117</v>
      </c>
      <c r="K1274" t="n">
        <v>1</v>
      </c>
      <c r="L1274" t="n">
        <v>3149</v>
      </c>
      <c r="M1274" t="n">
        <v>0</v>
      </c>
      <c r="N1274">
        <f>VLOOKUP(J1274,Products!$A$2:$C$49,3,FALSE)</f>
        <v/>
      </c>
      <c r="O1274">
        <f>K1274*L1274-M1274</f>
        <v/>
      </c>
      <c r="P1274">
        <f>TEXT(B1274,"yyyy-mm")</f>
        <v/>
      </c>
      <c r="Q1274">
        <f>IF(O1274&gt;=3000,"Large","Small")</f>
        <v/>
      </c>
      <c r="R1274">
        <f>INDEX(Products!$F$2:$F$49,MATCH(J1274,Products!$A$2:$A$49,0))</f>
        <v/>
      </c>
      <c r="S1274">
        <f>WEEKDAY(B1274,2)</f>
        <v/>
      </c>
    </row>
    <row r="1275">
      <c r="A1275" t="n">
        <v>509977</v>
      </c>
      <c r="B1275" s="6" t="n">
        <v>45946</v>
      </c>
      <c r="C1275" t="n">
        <v>14983</v>
      </c>
      <c r="D1275" t="inlineStr">
        <is>
          <t>Bengaluru</t>
        </is>
      </c>
      <c r="E1275" t="inlineStr">
        <is>
          <t>South</t>
        </is>
      </c>
      <c r="F1275" t="inlineStr">
        <is>
          <t>Paid Search</t>
        </is>
      </c>
      <c r="G1275" t="inlineStr">
        <is>
          <t>Mobile App</t>
        </is>
      </c>
      <c r="H1275" t="inlineStr">
        <is>
          <t>Cash on Delivery</t>
        </is>
      </c>
      <c r="I1275" t="inlineStr">
        <is>
          <t>Delivered</t>
        </is>
      </c>
      <c r="J1275" t="n">
        <v>107</v>
      </c>
      <c r="K1275" t="n">
        <v>1</v>
      </c>
      <c r="L1275" t="n">
        <v>1259</v>
      </c>
      <c r="M1275" t="n">
        <v>0</v>
      </c>
      <c r="N1275">
        <f>VLOOKUP(J1275,Products!$A$2:$C$49,3,FALSE)</f>
        <v/>
      </c>
      <c r="O1275">
        <f>K1275*L1275-M1275</f>
        <v/>
      </c>
      <c r="P1275">
        <f>TEXT(B1275,"yyyy-mm")</f>
        <v/>
      </c>
      <c r="Q1275">
        <f>IF(O1275&gt;=3000,"Large","Small")</f>
        <v/>
      </c>
      <c r="R1275">
        <f>INDEX(Products!$F$2:$F$49,MATCH(J1275,Products!$A$2:$A$49,0))</f>
        <v/>
      </c>
      <c r="S1275">
        <f>WEEKDAY(B1275,2)</f>
        <v/>
      </c>
    </row>
    <row r="1276">
      <c r="A1276" t="n">
        <v>509977</v>
      </c>
      <c r="B1276" s="6" t="n">
        <v>45946</v>
      </c>
      <c r="C1276" t="n">
        <v>14983</v>
      </c>
      <c r="D1276" t="inlineStr">
        <is>
          <t>Bengaluru</t>
        </is>
      </c>
      <c r="E1276" t="inlineStr">
        <is>
          <t>South</t>
        </is>
      </c>
      <c r="F1276" t="inlineStr">
        <is>
          <t>Paid Search</t>
        </is>
      </c>
      <c r="G1276" t="inlineStr">
        <is>
          <t>Mobile App</t>
        </is>
      </c>
      <c r="H1276" t="inlineStr">
        <is>
          <t>Cash on Delivery</t>
        </is>
      </c>
      <c r="I1276" t="inlineStr">
        <is>
          <t>Delivered</t>
        </is>
      </c>
      <c r="J1276" t="n">
        <v>102</v>
      </c>
      <c r="K1276" t="n">
        <v>1</v>
      </c>
      <c r="L1276" t="n">
        <v>3674</v>
      </c>
      <c r="M1276" t="n">
        <v>0</v>
      </c>
      <c r="N1276">
        <f>VLOOKUP(J1276,Products!$A$2:$C$49,3,FALSE)</f>
        <v/>
      </c>
      <c r="O1276">
        <f>K1276*L1276-M1276</f>
        <v/>
      </c>
      <c r="P1276">
        <f>TEXT(B1276,"yyyy-mm")</f>
        <v/>
      </c>
      <c r="Q1276">
        <f>IF(O1276&gt;=3000,"Large","Small")</f>
        <v/>
      </c>
      <c r="R1276">
        <f>INDEX(Products!$F$2:$F$49,MATCH(J1276,Products!$A$2:$A$49,0))</f>
        <v/>
      </c>
      <c r="S1276">
        <f>WEEKDAY(B1276,2)</f>
        <v/>
      </c>
    </row>
    <row r="1277">
      <c r="A1277" t="n">
        <v>509977</v>
      </c>
      <c r="B1277" s="6" t="n">
        <v>45946</v>
      </c>
      <c r="C1277" t="n">
        <v>14983</v>
      </c>
      <c r="D1277" t="inlineStr">
        <is>
          <t>Bengaluru</t>
        </is>
      </c>
      <c r="E1277" t="inlineStr">
        <is>
          <t>South</t>
        </is>
      </c>
      <c r="F1277" t="inlineStr">
        <is>
          <t>Paid Search</t>
        </is>
      </c>
      <c r="G1277" t="inlineStr">
        <is>
          <t>Mobile App</t>
        </is>
      </c>
      <c r="H1277" t="inlineStr">
        <is>
          <t>Cash on Delivery</t>
        </is>
      </c>
      <c r="I1277" t="inlineStr">
        <is>
          <t>Delivered</t>
        </is>
      </c>
      <c r="J1277" t="n">
        <v>129</v>
      </c>
      <c r="K1277" t="n">
        <v>1</v>
      </c>
      <c r="L1277" t="n">
        <v>576</v>
      </c>
      <c r="M1277" t="n">
        <v>0</v>
      </c>
      <c r="N1277">
        <f>VLOOKUP(J1277,Products!$A$2:$C$49,3,FALSE)</f>
        <v/>
      </c>
      <c r="O1277">
        <f>K1277*L1277-M1277</f>
        <v/>
      </c>
      <c r="P1277">
        <f>TEXT(B1277,"yyyy-mm")</f>
        <v/>
      </c>
      <c r="Q1277">
        <f>IF(O1277&gt;=3000,"Large","Small")</f>
        <v/>
      </c>
      <c r="R1277">
        <f>INDEX(Products!$F$2:$F$49,MATCH(J1277,Products!$A$2:$A$49,0))</f>
        <v/>
      </c>
      <c r="S1277">
        <f>WEEKDAY(B1277,2)</f>
        <v/>
      </c>
    </row>
    <row r="1278">
      <c r="A1278" t="n">
        <v>509978</v>
      </c>
      <c r="B1278" s="6" t="n">
        <v>45946</v>
      </c>
      <c r="C1278" t="n">
        <v>16505</v>
      </c>
      <c r="D1278" t="inlineStr">
        <is>
          <t>Mumbai</t>
        </is>
      </c>
      <c r="E1278" t="inlineStr">
        <is>
          <t>West</t>
        </is>
      </c>
      <c r="F1278" t="inlineStr">
        <is>
          <t>Paid Search</t>
        </is>
      </c>
      <c r="G1278" t="inlineStr">
        <is>
          <t>Mobile Web</t>
        </is>
      </c>
      <c r="H1278" t="inlineStr">
        <is>
          <t>UPI</t>
        </is>
      </c>
      <c r="I1278" t="inlineStr">
        <is>
          <t>Delivered</t>
        </is>
      </c>
      <c r="J1278" t="n">
        <v>124</v>
      </c>
      <c r="K1278" t="n">
        <v>2</v>
      </c>
      <c r="L1278" t="n">
        <v>1154</v>
      </c>
      <c r="M1278" t="n">
        <v>230.8</v>
      </c>
      <c r="N1278">
        <f>VLOOKUP(J1278,Products!$A$2:$C$49,3,FALSE)</f>
        <v/>
      </c>
      <c r="O1278">
        <f>K1278*L1278-M1278</f>
        <v/>
      </c>
      <c r="P1278">
        <f>TEXT(B1278,"yyyy-mm")</f>
        <v/>
      </c>
      <c r="Q1278">
        <f>IF(O1278&gt;=3000,"Large","Small")</f>
        <v/>
      </c>
      <c r="R1278">
        <f>INDEX(Products!$F$2:$F$49,MATCH(J1278,Products!$A$2:$A$49,0))</f>
        <v/>
      </c>
      <c r="S1278">
        <f>WEEKDAY(B1278,2)</f>
        <v/>
      </c>
    </row>
    <row r="1279">
      <c r="A1279" t="n">
        <v>509979</v>
      </c>
      <c r="B1279" s="6" t="n">
        <v>45946</v>
      </c>
      <c r="C1279" t="n">
        <v>15704</v>
      </c>
      <c r="D1279" t="inlineStr">
        <is>
          <t>Lucknow</t>
        </is>
      </c>
      <c r="E1279" t="inlineStr">
        <is>
          <t>North</t>
        </is>
      </c>
      <c r="F1279" t="inlineStr">
        <is>
          <t>Referral</t>
        </is>
      </c>
      <c r="G1279" t="inlineStr">
        <is>
          <t>Mobile App</t>
        </is>
      </c>
      <c r="H1279" t="inlineStr">
        <is>
          <t>Credit Card</t>
        </is>
      </c>
      <c r="I1279" t="inlineStr">
        <is>
          <t>Delivered</t>
        </is>
      </c>
      <c r="J1279" t="n">
        <v>123</v>
      </c>
      <c r="K1279" t="n">
        <v>1</v>
      </c>
      <c r="L1279" t="n">
        <v>3464</v>
      </c>
      <c r="M1279" t="n">
        <v>346.4</v>
      </c>
      <c r="N1279">
        <f>VLOOKUP(J1279,Products!$A$2:$C$49,3,FALSE)</f>
        <v/>
      </c>
      <c r="O1279">
        <f>K1279*L1279-M1279</f>
        <v/>
      </c>
      <c r="P1279">
        <f>TEXT(B1279,"yyyy-mm")</f>
        <v/>
      </c>
      <c r="Q1279">
        <f>IF(O1279&gt;=3000,"Large","Small")</f>
        <v/>
      </c>
      <c r="R1279">
        <f>INDEX(Products!$F$2:$F$49,MATCH(J1279,Products!$A$2:$A$49,0))</f>
        <v/>
      </c>
      <c r="S1279">
        <f>WEEKDAY(B1279,2)</f>
        <v/>
      </c>
    </row>
    <row r="1280">
      <c r="A1280" t="n">
        <v>509980</v>
      </c>
      <c r="B1280" s="6" t="n">
        <v>45946</v>
      </c>
      <c r="C1280" t="n">
        <v>15729</v>
      </c>
      <c r="D1280" t="inlineStr">
        <is>
          <t>Pune</t>
        </is>
      </c>
      <c r="E1280" t="inlineStr">
        <is>
          <t>West</t>
        </is>
      </c>
      <c r="F1280" t="inlineStr">
        <is>
          <t>Organic Search</t>
        </is>
      </c>
      <c r="G1280" t="inlineStr">
        <is>
          <t>Mobile App</t>
        </is>
      </c>
      <c r="H1280" t="inlineStr">
        <is>
          <t>UPI</t>
        </is>
      </c>
      <c r="I1280" t="inlineStr">
        <is>
          <t>Returned</t>
        </is>
      </c>
      <c r="J1280" t="n">
        <v>111</v>
      </c>
      <c r="K1280" t="n">
        <v>1</v>
      </c>
      <c r="L1280" t="n">
        <v>524</v>
      </c>
      <c r="M1280" t="n">
        <v>26.2</v>
      </c>
      <c r="N1280">
        <f>VLOOKUP(J1280,Products!$A$2:$C$49,3,FALSE)</f>
        <v/>
      </c>
      <c r="O1280">
        <f>K1280*L1280-M1280</f>
        <v/>
      </c>
      <c r="P1280">
        <f>TEXT(B1280,"yyyy-mm")</f>
        <v/>
      </c>
      <c r="Q1280">
        <f>IF(O1280&gt;=3000,"Large","Small")</f>
        <v/>
      </c>
      <c r="R1280">
        <f>INDEX(Products!$F$2:$F$49,MATCH(J1280,Products!$A$2:$A$49,0))</f>
        <v/>
      </c>
      <c r="S1280">
        <f>WEEKDAY(B1280,2)</f>
        <v/>
      </c>
    </row>
    <row r="1281">
      <c r="A1281" t="n">
        <v>509980</v>
      </c>
      <c r="B1281" s="6" t="n">
        <v>45946</v>
      </c>
      <c r="C1281" t="n">
        <v>15729</v>
      </c>
      <c r="D1281" t="inlineStr">
        <is>
          <t>Pune</t>
        </is>
      </c>
      <c r="E1281" t="inlineStr">
        <is>
          <t>West</t>
        </is>
      </c>
      <c r="F1281" t="inlineStr">
        <is>
          <t>Organic Search</t>
        </is>
      </c>
      <c r="G1281" t="inlineStr">
        <is>
          <t>Mobile App</t>
        </is>
      </c>
      <c r="H1281" t="inlineStr">
        <is>
          <t>UPI</t>
        </is>
      </c>
      <c r="I1281" t="inlineStr">
        <is>
          <t>Returned</t>
        </is>
      </c>
      <c r="J1281" t="n">
        <v>129</v>
      </c>
      <c r="K1281" t="n">
        <v>1</v>
      </c>
      <c r="L1281" t="n">
        <v>576</v>
      </c>
      <c r="M1281" t="n">
        <v>28.8</v>
      </c>
      <c r="N1281">
        <f>VLOOKUP(J1281,Products!$A$2:$C$49,3,FALSE)</f>
        <v/>
      </c>
      <c r="O1281">
        <f>K1281*L1281-M1281</f>
        <v/>
      </c>
      <c r="P1281">
        <f>TEXT(B1281,"yyyy-mm")</f>
        <v/>
      </c>
      <c r="Q1281">
        <f>IF(O1281&gt;=3000,"Large","Small")</f>
        <v/>
      </c>
      <c r="R1281">
        <f>INDEX(Products!$F$2:$F$49,MATCH(J1281,Products!$A$2:$A$49,0))</f>
        <v/>
      </c>
      <c r="S1281">
        <f>WEEKDAY(B1281,2)</f>
        <v/>
      </c>
    </row>
    <row r="1282">
      <c r="A1282" t="n">
        <v>509981</v>
      </c>
      <c r="B1282" s="6" t="n">
        <v>45946</v>
      </c>
      <c r="C1282" t="n">
        <v>16428</v>
      </c>
      <c r="D1282" t="inlineStr">
        <is>
          <t>Delhi</t>
        </is>
      </c>
      <c r="E1282" t="inlineStr">
        <is>
          <t>North</t>
        </is>
      </c>
      <c r="F1282" t="inlineStr">
        <is>
          <t>Organic Search</t>
        </is>
      </c>
      <c r="G1282" t="inlineStr">
        <is>
          <t>Mobile App</t>
        </is>
      </c>
      <c r="H1282" t="inlineStr">
        <is>
          <t>Cash on Delivery</t>
        </is>
      </c>
      <c r="I1282" t="inlineStr">
        <is>
          <t>Cancelled</t>
        </is>
      </c>
      <c r="J1282" t="n">
        <v>136</v>
      </c>
      <c r="K1282" t="n">
        <v>2</v>
      </c>
      <c r="L1282" t="n">
        <v>944</v>
      </c>
      <c r="M1282" t="n">
        <v>0</v>
      </c>
      <c r="N1282">
        <f>VLOOKUP(J1282,Products!$A$2:$C$49,3,FALSE)</f>
        <v/>
      </c>
      <c r="O1282">
        <f>K1282*L1282-M1282</f>
        <v/>
      </c>
      <c r="P1282">
        <f>TEXT(B1282,"yyyy-mm")</f>
        <v/>
      </c>
      <c r="Q1282">
        <f>IF(O1282&gt;=3000,"Large","Small")</f>
        <v/>
      </c>
      <c r="R1282">
        <f>INDEX(Products!$F$2:$F$49,MATCH(J1282,Products!$A$2:$A$49,0))</f>
        <v/>
      </c>
      <c r="S1282">
        <f>WEEKDAY(B1282,2)</f>
        <v/>
      </c>
    </row>
    <row r="1283">
      <c r="A1283" t="n">
        <v>509981</v>
      </c>
      <c r="B1283" s="6" t="n">
        <v>45946</v>
      </c>
      <c r="C1283" t="n">
        <v>16428</v>
      </c>
      <c r="D1283" t="inlineStr">
        <is>
          <t>Delhi</t>
        </is>
      </c>
      <c r="E1283" t="inlineStr">
        <is>
          <t>North</t>
        </is>
      </c>
      <c r="F1283" t="inlineStr">
        <is>
          <t>Organic Search</t>
        </is>
      </c>
      <c r="G1283" t="inlineStr">
        <is>
          <t>Mobile App</t>
        </is>
      </c>
      <c r="H1283" t="inlineStr">
        <is>
          <t>Cash on Delivery</t>
        </is>
      </c>
      <c r="I1283" t="inlineStr">
        <is>
          <t>Cancelled</t>
        </is>
      </c>
      <c r="J1283" t="n">
        <v>134</v>
      </c>
      <c r="K1283" t="n">
        <v>1</v>
      </c>
      <c r="L1283" t="n">
        <v>209</v>
      </c>
      <c r="M1283" t="n">
        <v>0</v>
      </c>
      <c r="N1283">
        <f>VLOOKUP(J1283,Products!$A$2:$C$49,3,FALSE)</f>
        <v/>
      </c>
      <c r="O1283">
        <f>K1283*L1283-M1283</f>
        <v/>
      </c>
      <c r="P1283">
        <f>TEXT(B1283,"yyyy-mm")</f>
        <v/>
      </c>
      <c r="Q1283">
        <f>IF(O1283&gt;=3000,"Large","Small")</f>
        <v/>
      </c>
      <c r="R1283">
        <f>INDEX(Products!$F$2:$F$49,MATCH(J1283,Products!$A$2:$A$49,0))</f>
        <v/>
      </c>
      <c r="S1283">
        <f>WEEKDAY(B1283,2)</f>
        <v/>
      </c>
    </row>
    <row r="1284">
      <c r="A1284" t="n">
        <v>509981</v>
      </c>
      <c r="B1284" s="6" t="n">
        <v>45946</v>
      </c>
      <c r="C1284" t="n">
        <v>16428</v>
      </c>
      <c r="D1284" t="inlineStr">
        <is>
          <t>Delhi</t>
        </is>
      </c>
      <c r="E1284" t="inlineStr">
        <is>
          <t>North</t>
        </is>
      </c>
      <c r="F1284" t="inlineStr">
        <is>
          <t>Organic Search</t>
        </is>
      </c>
      <c r="G1284" t="inlineStr">
        <is>
          <t>Mobile App</t>
        </is>
      </c>
      <c r="H1284" t="inlineStr">
        <is>
          <t>Cash on Delivery</t>
        </is>
      </c>
      <c r="I1284" t="inlineStr">
        <is>
          <t>Cancelled</t>
        </is>
      </c>
      <c r="J1284" t="n">
        <v>129</v>
      </c>
      <c r="K1284" t="n">
        <v>2</v>
      </c>
      <c r="L1284" t="n">
        <v>576</v>
      </c>
      <c r="M1284" t="n">
        <v>0</v>
      </c>
      <c r="N1284">
        <f>VLOOKUP(J1284,Products!$A$2:$C$49,3,FALSE)</f>
        <v/>
      </c>
      <c r="O1284">
        <f>K1284*L1284-M1284</f>
        <v/>
      </c>
      <c r="P1284">
        <f>TEXT(B1284,"yyyy-mm")</f>
        <v/>
      </c>
      <c r="Q1284">
        <f>IF(O1284&gt;=3000,"Large","Small")</f>
        <v/>
      </c>
      <c r="R1284">
        <f>INDEX(Products!$F$2:$F$49,MATCH(J1284,Products!$A$2:$A$49,0))</f>
        <v/>
      </c>
      <c r="S1284">
        <f>WEEKDAY(B1284,2)</f>
        <v/>
      </c>
    </row>
    <row r="1285">
      <c r="A1285" t="n">
        <v>509981</v>
      </c>
      <c r="B1285" s="6" t="n">
        <v>45946</v>
      </c>
      <c r="C1285" t="n">
        <v>16428</v>
      </c>
      <c r="D1285" t="inlineStr">
        <is>
          <t>Delhi</t>
        </is>
      </c>
      <c r="E1285" t="inlineStr">
        <is>
          <t>North</t>
        </is>
      </c>
      <c r="F1285" t="inlineStr">
        <is>
          <t>Organic Search</t>
        </is>
      </c>
      <c r="G1285" t="inlineStr">
        <is>
          <t>Mobile App</t>
        </is>
      </c>
      <c r="H1285" t="inlineStr">
        <is>
          <t>Cash on Delivery</t>
        </is>
      </c>
      <c r="I1285" t="inlineStr">
        <is>
          <t>Cancelled</t>
        </is>
      </c>
      <c r="J1285" t="n">
        <v>102</v>
      </c>
      <c r="K1285" t="n">
        <v>1</v>
      </c>
      <c r="L1285" t="n">
        <v>3674</v>
      </c>
      <c r="M1285" t="n">
        <v>0</v>
      </c>
      <c r="N1285">
        <f>VLOOKUP(J1285,Products!$A$2:$C$49,3,FALSE)</f>
        <v/>
      </c>
      <c r="O1285">
        <f>K1285*L1285-M1285</f>
        <v/>
      </c>
      <c r="P1285">
        <f>TEXT(B1285,"yyyy-mm")</f>
        <v/>
      </c>
      <c r="Q1285">
        <f>IF(O1285&gt;=3000,"Large","Small")</f>
        <v/>
      </c>
      <c r="R1285">
        <f>INDEX(Products!$F$2:$F$49,MATCH(J1285,Products!$A$2:$A$49,0))</f>
        <v/>
      </c>
      <c r="S1285">
        <f>WEEKDAY(B1285,2)</f>
        <v/>
      </c>
    </row>
    <row r="1286">
      <c r="A1286" t="n">
        <v>509982</v>
      </c>
      <c r="B1286" s="6" t="n">
        <v>45946</v>
      </c>
      <c r="C1286" t="n">
        <v>15400</v>
      </c>
      <c r="D1286" t="inlineStr">
        <is>
          <t>Indore</t>
        </is>
      </c>
      <c r="E1286" t="inlineStr">
        <is>
          <t>West</t>
        </is>
      </c>
      <c r="F1286" t="inlineStr">
        <is>
          <t>Paid Search</t>
        </is>
      </c>
      <c r="G1286" t="inlineStr">
        <is>
          <t>Mobile App</t>
        </is>
      </c>
      <c r="H1286" t="inlineStr">
        <is>
          <t>Credit Card</t>
        </is>
      </c>
      <c r="I1286" t="inlineStr">
        <is>
          <t>Delivered</t>
        </is>
      </c>
      <c r="J1286" t="n">
        <v>115</v>
      </c>
      <c r="K1286" t="n">
        <v>1</v>
      </c>
      <c r="L1286" t="n">
        <v>4199</v>
      </c>
      <c r="M1286" t="n">
        <v>0</v>
      </c>
      <c r="N1286">
        <f>VLOOKUP(J1286,Products!$A$2:$C$49,3,FALSE)</f>
        <v/>
      </c>
      <c r="O1286">
        <f>K1286*L1286-M1286</f>
        <v/>
      </c>
      <c r="P1286">
        <f>TEXT(B1286,"yyyy-mm")</f>
        <v/>
      </c>
      <c r="Q1286">
        <f>IF(O1286&gt;=3000,"Large","Small")</f>
        <v/>
      </c>
      <c r="R1286">
        <f>INDEX(Products!$F$2:$F$49,MATCH(J1286,Products!$A$2:$A$49,0))</f>
        <v/>
      </c>
      <c r="S1286">
        <f>WEEKDAY(B1286,2)</f>
        <v/>
      </c>
    </row>
    <row r="1287">
      <c r="A1287" t="n">
        <v>509982</v>
      </c>
      <c r="B1287" s="6" t="n">
        <v>45946</v>
      </c>
      <c r="C1287" t="n">
        <v>15400</v>
      </c>
      <c r="D1287" t="inlineStr">
        <is>
          <t>Indore</t>
        </is>
      </c>
      <c r="E1287" t="inlineStr">
        <is>
          <t>West</t>
        </is>
      </c>
      <c r="F1287" t="inlineStr">
        <is>
          <t>Paid Search</t>
        </is>
      </c>
      <c r="G1287" t="inlineStr">
        <is>
          <t>Mobile App</t>
        </is>
      </c>
      <c r="H1287" t="inlineStr">
        <is>
          <t>Credit Card</t>
        </is>
      </c>
      <c r="I1287" t="inlineStr">
        <is>
          <t>Delivered</t>
        </is>
      </c>
      <c r="J1287" t="n">
        <v>136</v>
      </c>
      <c r="K1287" t="n">
        <v>1</v>
      </c>
      <c r="L1287" t="n">
        <v>944</v>
      </c>
      <c r="M1287" t="n">
        <v>0</v>
      </c>
      <c r="N1287">
        <f>VLOOKUP(J1287,Products!$A$2:$C$49,3,FALSE)</f>
        <v/>
      </c>
      <c r="O1287">
        <f>K1287*L1287-M1287</f>
        <v/>
      </c>
      <c r="P1287">
        <f>TEXT(B1287,"yyyy-mm")</f>
        <v/>
      </c>
      <c r="Q1287">
        <f>IF(O1287&gt;=3000,"Large","Small")</f>
        <v/>
      </c>
      <c r="R1287">
        <f>INDEX(Products!$F$2:$F$49,MATCH(J1287,Products!$A$2:$A$49,0))</f>
        <v/>
      </c>
      <c r="S1287">
        <f>WEEKDAY(B1287,2)</f>
        <v/>
      </c>
    </row>
    <row r="1288">
      <c r="A1288" t="n">
        <v>509982</v>
      </c>
      <c r="B1288" s="6" t="n">
        <v>45946</v>
      </c>
      <c r="C1288" t="n">
        <v>15400</v>
      </c>
      <c r="D1288" t="inlineStr">
        <is>
          <t>Indore</t>
        </is>
      </c>
      <c r="E1288" t="inlineStr">
        <is>
          <t>West</t>
        </is>
      </c>
      <c r="F1288" t="inlineStr">
        <is>
          <t>Paid Search</t>
        </is>
      </c>
      <c r="G1288" t="inlineStr">
        <is>
          <t>Mobile App</t>
        </is>
      </c>
      <c r="H1288" t="inlineStr">
        <is>
          <t>Credit Card</t>
        </is>
      </c>
      <c r="I1288" t="inlineStr">
        <is>
          <t>Delivered</t>
        </is>
      </c>
      <c r="J1288" t="n">
        <v>129</v>
      </c>
      <c r="K1288" t="n">
        <v>1</v>
      </c>
      <c r="L1288" t="n">
        <v>576</v>
      </c>
      <c r="M1288" t="n">
        <v>0</v>
      </c>
      <c r="N1288">
        <f>VLOOKUP(J1288,Products!$A$2:$C$49,3,FALSE)</f>
        <v/>
      </c>
      <c r="O1288">
        <f>K1288*L1288-M1288</f>
        <v/>
      </c>
      <c r="P1288">
        <f>TEXT(B1288,"yyyy-mm")</f>
        <v/>
      </c>
      <c r="Q1288">
        <f>IF(O1288&gt;=3000,"Large","Small")</f>
        <v/>
      </c>
      <c r="R1288">
        <f>INDEX(Products!$F$2:$F$49,MATCH(J1288,Products!$A$2:$A$49,0))</f>
        <v/>
      </c>
      <c r="S1288">
        <f>WEEKDAY(B1288,2)</f>
        <v/>
      </c>
    </row>
    <row r="1289">
      <c r="A1289" t="n">
        <v>509983</v>
      </c>
      <c r="B1289" s="6" t="n">
        <v>45946</v>
      </c>
      <c r="C1289" t="n">
        <v>12043</v>
      </c>
      <c r="D1289" t="inlineStr">
        <is>
          <t>Pune</t>
        </is>
      </c>
      <c r="E1289" t="inlineStr">
        <is>
          <t>West</t>
        </is>
      </c>
      <c r="F1289" t="inlineStr">
        <is>
          <t>Organic Search</t>
        </is>
      </c>
      <c r="G1289" t="inlineStr">
        <is>
          <t>Mobile App</t>
        </is>
      </c>
      <c r="H1289" t="inlineStr">
        <is>
          <t>Cash on Delivery</t>
        </is>
      </c>
      <c r="I1289" t="inlineStr">
        <is>
          <t>Delivered</t>
        </is>
      </c>
      <c r="J1289" t="n">
        <v>120</v>
      </c>
      <c r="K1289" t="n">
        <v>1</v>
      </c>
      <c r="L1289" t="n">
        <v>734</v>
      </c>
      <c r="M1289" t="n">
        <v>0</v>
      </c>
      <c r="N1289">
        <f>VLOOKUP(J1289,Products!$A$2:$C$49,3,FALSE)</f>
        <v/>
      </c>
      <c r="O1289">
        <f>K1289*L1289-M1289</f>
        <v/>
      </c>
      <c r="P1289">
        <f>TEXT(B1289,"yyyy-mm")</f>
        <v/>
      </c>
      <c r="Q1289">
        <f>IF(O1289&gt;=3000,"Large","Small")</f>
        <v/>
      </c>
      <c r="R1289">
        <f>INDEX(Products!$F$2:$F$49,MATCH(J1289,Products!$A$2:$A$49,0))</f>
        <v/>
      </c>
      <c r="S1289">
        <f>WEEKDAY(B1289,2)</f>
        <v/>
      </c>
    </row>
    <row r="1290">
      <c r="A1290" t="n">
        <v>509983</v>
      </c>
      <c r="B1290" s="6" t="n">
        <v>45946</v>
      </c>
      <c r="C1290" t="n">
        <v>12043</v>
      </c>
      <c r="D1290" t="inlineStr">
        <is>
          <t>Pune</t>
        </is>
      </c>
      <c r="E1290" t="inlineStr">
        <is>
          <t>West</t>
        </is>
      </c>
      <c r="F1290" t="inlineStr">
        <is>
          <t>Organic Search</t>
        </is>
      </c>
      <c r="G1290" t="inlineStr">
        <is>
          <t>Mobile App</t>
        </is>
      </c>
      <c r="H1290" t="inlineStr">
        <is>
          <t>Cash on Delivery</t>
        </is>
      </c>
      <c r="I1290" t="inlineStr">
        <is>
          <t>Delivered</t>
        </is>
      </c>
      <c r="J1290" t="n">
        <v>129</v>
      </c>
      <c r="K1290" t="n">
        <v>1</v>
      </c>
      <c r="L1290" t="n">
        <v>576</v>
      </c>
      <c r="M1290" t="n">
        <v>0</v>
      </c>
      <c r="N1290">
        <f>VLOOKUP(J1290,Products!$A$2:$C$49,3,FALSE)</f>
        <v/>
      </c>
      <c r="O1290">
        <f>K1290*L1290-M1290</f>
        <v/>
      </c>
      <c r="P1290">
        <f>TEXT(B1290,"yyyy-mm")</f>
        <v/>
      </c>
      <c r="Q1290">
        <f>IF(O1290&gt;=3000,"Large","Small")</f>
        <v/>
      </c>
      <c r="R1290">
        <f>INDEX(Products!$F$2:$F$49,MATCH(J1290,Products!$A$2:$A$49,0))</f>
        <v/>
      </c>
      <c r="S1290">
        <f>WEEKDAY(B1290,2)</f>
        <v/>
      </c>
    </row>
    <row r="1291">
      <c r="A1291" t="n">
        <v>509984</v>
      </c>
      <c r="B1291" s="6" t="n">
        <v>45946</v>
      </c>
      <c r="C1291" t="n">
        <v>13896</v>
      </c>
      <c r="D1291" t="inlineStr">
        <is>
          <t>Indore</t>
        </is>
      </c>
      <c r="E1291" t="inlineStr">
        <is>
          <t>West</t>
        </is>
      </c>
      <c r="F1291" t="inlineStr">
        <is>
          <t>Organic Search</t>
        </is>
      </c>
      <c r="G1291" t="inlineStr">
        <is>
          <t>Mobile App</t>
        </is>
      </c>
      <c r="H1291" t="inlineStr">
        <is>
          <t>UPI</t>
        </is>
      </c>
      <c r="I1291" t="inlineStr">
        <is>
          <t>Delivered</t>
        </is>
      </c>
      <c r="J1291" t="n">
        <v>105</v>
      </c>
      <c r="K1291" t="n">
        <v>2</v>
      </c>
      <c r="L1291" t="n">
        <v>2414</v>
      </c>
      <c r="M1291" t="n">
        <v>482.8</v>
      </c>
      <c r="N1291">
        <f>VLOOKUP(J1291,Products!$A$2:$C$49,3,FALSE)</f>
        <v/>
      </c>
      <c r="O1291">
        <f>K1291*L1291-M1291</f>
        <v/>
      </c>
      <c r="P1291">
        <f>TEXT(B1291,"yyyy-mm")</f>
        <v/>
      </c>
      <c r="Q1291">
        <f>IF(O1291&gt;=3000,"Large","Small")</f>
        <v/>
      </c>
      <c r="R1291">
        <f>INDEX(Products!$F$2:$F$49,MATCH(J1291,Products!$A$2:$A$49,0))</f>
        <v/>
      </c>
      <c r="S1291">
        <f>WEEKDAY(B1291,2)</f>
        <v/>
      </c>
    </row>
    <row r="1292">
      <c r="A1292" t="n">
        <v>509984</v>
      </c>
      <c r="B1292" s="6" t="n">
        <v>45946</v>
      </c>
      <c r="C1292" t="n">
        <v>13896</v>
      </c>
      <c r="D1292" t="inlineStr">
        <is>
          <t>Indore</t>
        </is>
      </c>
      <c r="E1292" t="inlineStr">
        <is>
          <t>West</t>
        </is>
      </c>
      <c r="F1292" t="inlineStr">
        <is>
          <t>Organic Search</t>
        </is>
      </c>
      <c r="G1292" t="inlineStr">
        <is>
          <t>Mobile App</t>
        </is>
      </c>
      <c r="H1292" t="inlineStr">
        <is>
          <t>UPI</t>
        </is>
      </c>
      <c r="I1292" t="inlineStr">
        <is>
          <t>Delivered</t>
        </is>
      </c>
      <c r="J1292" t="n">
        <v>129</v>
      </c>
      <c r="K1292" t="n">
        <v>1</v>
      </c>
      <c r="L1292" t="n">
        <v>576</v>
      </c>
      <c r="M1292" t="n">
        <v>57.6</v>
      </c>
      <c r="N1292">
        <f>VLOOKUP(J1292,Products!$A$2:$C$49,3,FALSE)</f>
        <v/>
      </c>
      <c r="O1292">
        <f>K1292*L1292-M1292</f>
        <v/>
      </c>
      <c r="P1292">
        <f>TEXT(B1292,"yyyy-mm")</f>
        <v/>
      </c>
      <c r="Q1292">
        <f>IF(O1292&gt;=3000,"Large","Small")</f>
        <v/>
      </c>
      <c r="R1292">
        <f>INDEX(Products!$F$2:$F$49,MATCH(J1292,Products!$A$2:$A$49,0))</f>
        <v/>
      </c>
      <c r="S1292">
        <f>WEEKDAY(B1292,2)</f>
        <v/>
      </c>
    </row>
    <row r="1293">
      <c r="A1293" t="n">
        <v>509985</v>
      </c>
      <c r="B1293" s="6" t="n">
        <v>45946</v>
      </c>
      <c r="C1293" t="n">
        <v>14295</v>
      </c>
      <c r="D1293" t="inlineStr">
        <is>
          <t>Hyderabad</t>
        </is>
      </c>
      <c r="E1293" t="inlineStr">
        <is>
          <t>South</t>
        </is>
      </c>
      <c r="F1293" t="inlineStr">
        <is>
          <t>Organic Search</t>
        </is>
      </c>
      <c r="G1293" t="inlineStr">
        <is>
          <t>Mobile App</t>
        </is>
      </c>
      <c r="H1293" t="inlineStr">
        <is>
          <t>UPI</t>
        </is>
      </c>
      <c r="I1293" t="inlineStr">
        <is>
          <t>Delivered</t>
        </is>
      </c>
      <c r="J1293" t="n">
        <v>107</v>
      </c>
      <c r="K1293" t="n">
        <v>1</v>
      </c>
      <c r="L1293" t="n">
        <v>1259</v>
      </c>
      <c r="M1293" t="n">
        <v>0</v>
      </c>
      <c r="N1293">
        <f>VLOOKUP(J1293,Products!$A$2:$C$49,3,FALSE)</f>
        <v/>
      </c>
      <c r="O1293">
        <f>K1293*L1293-M1293</f>
        <v/>
      </c>
      <c r="P1293">
        <f>TEXT(B1293,"yyyy-mm")</f>
        <v/>
      </c>
      <c r="Q1293">
        <f>IF(O1293&gt;=3000,"Large","Small")</f>
        <v/>
      </c>
      <c r="R1293">
        <f>INDEX(Products!$F$2:$F$49,MATCH(J1293,Products!$A$2:$A$49,0))</f>
        <v/>
      </c>
      <c r="S1293">
        <f>WEEKDAY(B1293,2)</f>
        <v/>
      </c>
    </row>
    <row r="1294">
      <c r="A1294" t="n">
        <v>509986</v>
      </c>
      <c r="B1294" s="6" t="n">
        <v>45946</v>
      </c>
      <c r="C1294" t="n">
        <v>10110</v>
      </c>
      <c r="D1294" t="inlineStr">
        <is>
          <t>Gurugram</t>
        </is>
      </c>
      <c r="E1294" t="inlineStr">
        <is>
          <t>North</t>
        </is>
      </c>
      <c r="F1294" t="inlineStr">
        <is>
          <t>Email</t>
        </is>
      </c>
      <c r="G1294" t="inlineStr">
        <is>
          <t>Desktop</t>
        </is>
      </c>
      <c r="H1294" t="inlineStr">
        <is>
          <t>Cash on Delivery</t>
        </is>
      </c>
      <c r="I1294" t="inlineStr">
        <is>
          <t>Delivered</t>
        </is>
      </c>
      <c r="J1294" t="n">
        <v>148</v>
      </c>
      <c r="K1294" t="n">
        <v>2</v>
      </c>
      <c r="L1294" t="n">
        <v>734</v>
      </c>
      <c r="M1294" t="n">
        <v>0</v>
      </c>
      <c r="N1294">
        <f>VLOOKUP(J1294,Products!$A$2:$C$49,3,FALSE)</f>
        <v/>
      </c>
      <c r="O1294">
        <f>K1294*L1294-M1294</f>
        <v/>
      </c>
      <c r="P1294">
        <f>TEXT(B1294,"yyyy-mm")</f>
        <v/>
      </c>
      <c r="Q1294">
        <f>IF(O1294&gt;=3000,"Large","Small")</f>
        <v/>
      </c>
      <c r="R1294">
        <f>INDEX(Products!$F$2:$F$49,MATCH(J1294,Products!$A$2:$A$49,0))</f>
        <v/>
      </c>
      <c r="S1294">
        <f>WEEKDAY(B1294,2)</f>
        <v/>
      </c>
    </row>
    <row r="1295">
      <c r="A1295" t="n">
        <v>509986</v>
      </c>
      <c r="B1295" s="6" t="n">
        <v>45946</v>
      </c>
      <c r="C1295" t="n">
        <v>10110</v>
      </c>
      <c r="D1295" t="inlineStr">
        <is>
          <t>Gurugram</t>
        </is>
      </c>
      <c r="E1295" t="inlineStr">
        <is>
          <t>North</t>
        </is>
      </c>
      <c r="F1295" t="inlineStr">
        <is>
          <t>Email</t>
        </is>
      </c>
      <c r="G1295" t="inlineStr">
        <is>
          <t>Desktop</t>
        </is>
      </c>
      <c r="H1295" t="inlineStr">
        <is>
          <t>Cash on Delivery</t>
        </is>
      </c>
      <c r="I1295" t="inlineStr">
        <is>
          <t>Delivered</t>
        </is>
      </c>
      <c r="J1295" t="n">
        <v>129</v>
      </c>
      <c r="K1295" t="n">
        <v>1</v>
      </c>
      <c r="L1295" t="n">
        <v>576</v>
      </c>
      <c r="M1295" t="n">
        <v>0</v>
      </c>
      <c r="N1295">
        <f>VLOOKUP(J1295,Products!$A$2:$C$49,3,FALSE)</f>
        <v/>
      </c>
      <c r="O1295">
        <f>K1295*L1295-M1295</f>
        <v/>
      </c>
      <c r="P1295">
        <f>TEXT(B1295,"yyyy-mm")</f>
        <v/>
      </c>
      <c r="Q1295">
        <f>IF(O1295&gt;=3000,"Large","Small")</f>
        <v/>
      </c>
      <c r="R1295">
        <f>INDEX(Products!$F$2:$F$49,MATCH(J1295,Products!$A$2:$A$49,0))</f>
        <v/>
      </c>
      <c r="S1295">
        <f>WEEKDAY(B1295,2)</f>
        <v/>
      </c>
    </row>
    <row r="1296">
      <c r="A1296" t="n">
        <v>509987</v>
      </c>
      <c r="B1296" s="6" t="n">
        <v>45946</v>
      </c>
      <c r="C1296" t="n">
        <v>12158</v>
      </c>
      <c r="D1296" t="inlineStr">
        <is>
          <t>Mumbai</t>
        </is>
      </c>
      <c r="E1296" t="inlineStr">
        <is>
          <t>West</t>
        </is>
      </c>
      <c r="F1296" t="inlineStr">
        <is>
          <t>Paid Search</t>
        </is>
      </c>
      <c r="G1296" t="inlineStr">
        <is>
          <t>Desktop</t>
        </is>
      </c>
      <c r="H1296" t="inlineStr">
        <is>
          <t>UPI</t>
        </is>
      </c>
      <c r="I1296" t="inlineStr">
        <is>
          <t>Delivered</t>
        </is>
      </c>
      <c r="J1296" t="n">
        <v>135</v>
      </c>
      <c r="K1296" t="n">
        <v>2</v>
      </c>
      <c r="L1296" t="n">
        <v>1574</v>
      </c>
      <c r="M1296" t="n">
        <v>314.8</v>
      </c>
      <c r="N1296">
        <f>VLOOKUP(J1296,Products!$A$2:$C$49,3,FALSE)</f>
        <v/>
      </c>
      <c r="O1296">
        <f>K1296*L1296-M1296</f>
        <v/>
      </c>
      <c r="P1296">
        <f>TEXT(B1296,"yyyy-mm")</f>
        <v/>
      </c>
      <c r="Q1296">
        <f>IF(O1296&gt;=3000,"Large","Small")</f>
        <v/>
      </c>
      <c r="R1296">
        <f>INDEX(Products!$F$2:$F$49,MATCH(J1296,Products!$A$2:$A$49,0))</f>
        <v/>
      </c>
      <c r="S1296">
        <f>WEEKDAY(B1296,2)</f>
        <v/>
      </c>
    </row>
    <row r="1297">
      <c r="A1297" t="n">
        <v>509988</v>
      </c>
      <c r="B1297" s="6" t="n">
        <v>45946</v>
      </c>
      <c r="C1297" t="n">
        <v>12560</v>
      </c>
      <c r="D1297" t="inlineStr">
        <is>
          <t>Kolkata</t>
        </is>
      </c>
      <c r="E1297" t="inlineStr">
        <is>
          <t>East</t>
        </is>
      </c>
      <c r="F1297" t="inlineStr">
        <is>
          <t>Organic Search</t>
        </is>
      </c>
      <c r="G1297" t="inlineStr">
        <is>
          <t>Mobile Web</t>
        </is>
      </c>
      <c r="H1297" t="inlineStr">
        <is>
          <t>UPI</t>
        </is>
      </c>
      <c r="I1297" t="inlineStr">
        <is>
          <t>Delivered</t>
        </is>
      </c>
      <c r="J1297" t="n">
        <v>124</v>
      </c>
      <c r="K1297" t="n">
        <v>1</v>
      </c>
      <c r="L1297" t="n">
        <v>1154</v>
      </c>
      <c r="M1297" t="n">
        <v>115.4</v>
      </c>
      <c r="N1297">
        <f>VLOOKUP(J1297,Products!$A$2:$C$49,3,FALSE)</f>
        <v/>
      </c>
      <c r="O1297">
        <f>K1297*L1297-M1297</f>
        <v/>
      </c>
      <c r="P1297">
        <f>TEXT(B1297,"yyyy-mm")</f>
        <v/>
      </c>
      <c r="Q1297">
        <f>IF(O1297&gt;=3000,"Large","Small")</f>
        <v/>
      </c>
      <c r="R1297">
        <f>INDEX(Products!$F$2:$F$49,MATCH(J1297,Products!$A$2:$A$49,0))</f>
        <v/>
      </c>
      <c r="S1297">
        <f>WEEKDAY(B1297,2)</f>
        <v/>
      </c>
    </row>
    <row r="1298">
      <c r="A1298" t="n">
        <v>509988</v>
      </c>
      <c r="B1298" s="6" t="n">
        <v>45946</v>
      </c>
      <c r="C1298" t="n">
        <v>12560</v>
      </c>
      <c r="D1298" t="inlineStr">
        <is>
          <t>Kolkata</t>
        </is>
      </c>
      <c r="E1298" t="inlineStr">
        <is>
          <t>East</t>
        </is>
      </c>
      <c r="F1298" t="inlineStr">
        <is>
          <t>Organic Search</t>
        </is>
      </c>
      <c r="G1298" t="inlineStr">
        <is>
          <t>Mobile Web</t>
        </is>
      </c>
      <c r="H1298" t="inlineStr">
        <is>
          <t>UPI</t>
        </is>
      </c>
      <c r="I1298" t="inlineStr">
        <is>
          <t>Delivered</t>
        </is>
      </c>
      <c r="J1298" t="n">
        <v>108</v>
      </c>
      <c r="K1298" t="n">
        <v>2</v>
      </c>
      <c r="L1298" t="n">
        <v>419</v>
      </c>
      <c r="M1298" t="n">
        <v>83.8</v>
      </c>
      <c r="N1298">
        <f>VLOOKUP(J1298,Products!$A$2:$C$49,3,FALSE)</f>
        <v/>
      </c>
      <c r="O1298">
        <f>K1298*L1298-M1298</f>
        <v/>
      </c>
      <c r="P1298">
        <f>TEXT(B1298,"yyyy-mm")</f>
        <v/>
      </c>
      <c r="Q1298">
        <f>IF(O1298&gt;=3000,"Large","Small")</f>
        <v/>
      </c>
      <c r="R1298">
        <f>INDEX(Products!$F$2:$F$49,MATCH(J1298,Products!$A$2:$A$49,0))</f>
        <v/>
      </c>
      <c r="S1298">
        <f>WEEKDAY(B1298,2)</f>
        <v/>
      </c>
    </row>
    <row r="1299">
      <c r="A1299" t="n">
        <v>509989</v>
      </c>
      <c r="B1299" s="6" t="n">
        <v>45946</v>
      </c>
      <c r="C1299" t="n">
        <v>12450</v>
      </c>
      <c r="D1299" t="inlineStr">
        <is>
          <t>Hyderabad</t>
        </is>
      </c>
      <c r="E1299" t="inlineStr">
        <is>
          <t>South</t>
        </is>
      </c>
      <c r="F1299" t="inlineStr">
        <is>
          <t>Affiliate</t>
        </is>
      </c>
      <c r="G1299" t="inlineStr">
        <is>
          <t>Desktop</t>
        </is>
      </c>
      <c r="H1299" t="inlineStr">
        <is>
          <t>UPI</t>
        </is>
      </c>
      <c r="I1299" t="inlineStr">
        <is>
          <t>Delivered</t>
        </is>
      </c>
      <c r="J1299" t="n">
        <v>103</v>
      </c>
      <c r="K1299" t="n">
        <v>2</v>
      </c>
      <c r="L1299" t="n">
        <v>2624</v>
      </c>
      <c r="M1299" t="n">
        <v>524.8</v>
      </c>
      <c r="N1299">
        <f>VLOOKUP(J1299,Products!$A$2:$C$49,3,FALSE)</f>
        <v/>
      </c>
      <c r="O1299">
        <f>K1299*L1299-M1299</f>
        <v/>
      </c>
      <c r="P1299">
        <f>TEXT(B1299,"yyyy-mm")</f>
        <v/>
      </c>
      <c r="Q1299">
        <f>IF(O1299&gt;=3000,"Large","Small")</f>
        <v/>
      </c>
      <c r="R1299">
        <f>INDEX(Products!$F$2:$F$49,MATCH(J1299,Products!$A$2:$A$49,0))</f>
        <v/>
      </c>
      <c r="S1299">
        <f>WEEKDAY(B1299,2)</f>
        <v/>
      </c>
    </row>
    <row r="1300">
      <c r="A1300" t="n">
        <v>509990</v>
      </c>
      <c r="B1300" s="6" t="n">
        <v>45946</v>
      </c>
      <c r="C1300" t="n">
        <v>13717</v>
      </c>
      <c r="D1300" t="inlineStr">
        <is>
          <t>Ahmedabad</t>
        </is>
      </c>
      <c r="E1300" t="inlineStr">
        <is>
          <t>West</t>
        </is>
      </c>
      <c r="F1300" t="inlineStr">
        <is>
          <t>Paid Search</t>
        </is>
      </c>
      <c r="G1300" t="inlineStr">
        <is>
          <t>Mobile App</t>
        </is>
      </c>
      <c r="H1300" t="inlineStr">
        <is>
          <t>UPI</t>
        </is>
      </c>
      <c r="I1300" t="inlineStr">
        <is>
          <t>Delivered</t>
        </is>
      </c>
      <c r="J1300" t="n">
        <v>111</v>
      </c>
      <c r="K1300" t="n">
        <v>1</v>
      </c>
      <c r="L1300" t="n">
        <v>524</v>
      </c>
      <c r="M1300" t="n">
        <v>52.4</v>
      </c>
      <c r="N1300">
        <f>VLOOKUP(J1300,Products!$A$2:$C$49,3,FALSE)</f>
        <v/>
      </c>
      <c r="O1300">
        <f>K1300*L1300-M1300</f>
        <v/>
      </c>
      <c r="P1300">
        <f>TEXT(B1300,"yyyy-mm")</f>
        <v/>
      </c>
      <c r="Q1300">
        <f>IF(O1300&gt;=3000,"Large","Small")</f>
        <v/>
      </c>
      <c r="R1300">
        <f>INDEX(Products!$F$2:$F$49,MATCH(J1300,Products!$A$2:$A$49,0))</f>
        <v/>
      </c>
      <c r="S1300">
        <f>WEEKDAY(B1300,2)</f>
        <v/>
      </c>
    </row>
    <row r="1301">
      <c r="A1301" t="n">
        <v>509991</v>
      </c>
      <c r="B1301" s="6" t="n">
        <v>45947</v>
      </c>
      <c r="C1301" t="n">
        <v>13263</v>
      </c>
      <c r="D1301" t="inlineStr">
        <is>
          <t>Bengaluru</t>
        </is>
      </c>
      <c r="E1301" t="inlineStr">
        <is>
          <t>South</t>
        </is>
      </c>
      <c r="F1301" t="inlineStr">
        <is>
          <t>Organic Search</t>
        </is>
      </c>
      <c r="G1301" t="inlineStr">
        <is>
          <t>Mobile Web</t>
        </is>
      </c>
      <c r="H1301" t="inlineStr">
        <is>
          <t>Credit Card</t>
        </is>
      </c>
      <c r="I1301" t="inlineStr">
        <is>
          <t>Delivered</t>
        </is>
      </c>
      <c r="J1301" t="n">
        <v>114</v>
      </c>
      <c r="K1301" t="n">
        <v>1</v>
      </c>
      <c r="L1301" t="n">
        <v>1259</v>
      </c>
      <c r="M1301" t="n">
        <v>125.9</v>
      </c>
      <c r="N1301">
        <f>VLOOKUP(J1301,Products!$A$2:$C$49,3,FALSE)</f>
        <v/>
      </c>
      <c r="O1301">
        <f>K1301*L1301-M1301</f>
        <v/>
      </c>
      <c r="P1301">
        <f>TEXT(B1301,"yyyy-mm")</f>
        <v/>
      </c>
      <c r="Q1301">
        <f>IF(O1301&gt;=3000,"Large","Small")</f>
        <v/>
      </c>
      <c r="R1301">
        <f>INDEX(Products!$F$2:$F$49,MATCH(J1301,Products!$A$2:$A$49,0))</f>
        <v/>
      </c>
      <c r="S1301">
        <f>WEEKDAY(B1301,2)</f>
        <v/>
      </c>
    </row>
    <row r="1302">
      <c r="A1302" t="n">
        <v>509991</v>
      </c>
      <c r="B1302" s="6" t="n">
        <v>45947</v>
      </c>
      <c r="C1302" t="n">
        <v>13263</v>
      </c>
      <c r="D1302" t="inlineStr">
        <is>
          <t>Bengaluru</t>
        </is>
      </c>
      <c r="E1302" t="inlineStr">
        <is>
          <t>South</t>
        </is>
      </c>
      <c r="F1302" t="inlineStr">
        <is>
          <t>Organic Search</t>
        </is>
      </c>
      <c r="G1302" t="inlineStr">
        <is>
          <t>Mobile Web</t>
        </is>
      </c>
      <c r="H1302" t="inlineStr">
        <is>
          <t>Credit Card</t>
        </is>
      </c>
      <c r="I1302" t="inlineStr">
        <is>
          <t>Delivered</t>
        </is>
      </c>
      <c r="J1302" t="n">
        <v>133</v>
      </c>
      <c r="K1302" t="n">
        <v>1</v>
      </c>
      <c r="L1302" t="n">
        <v>419</v>
      </c>
      <c r="M1302" t="n">
        <v>41.9</v>
      </c>
      <c r="N1302">
        <f>VLOOKUP(J1302,Products!$A$2:$C$49,3,FALSE)</f>
        <v/>
      </c>
      <c r="O1302">
        <f>K1302*L1302-M1302</f>
        <v/>
      </c>
      <c r="P1302">
        <f>TEXT(B1302,"yyyy-mm")</f>
        <v/>
      </c>
      <c r="Q1302">
        <f>IF(O1302&gt;=3000,"Large","Small")</f>
        <v/>
      </c>
      <c r="R1302">
        <f>INDEX(Products!$F$2:$F$49,MATCH(J1302,Products!$A$2:$A$49,0))</f>
        <v/>
      </c>
      <c r="S1302">
        <f>WEEKDAY(B1302,2)</f>
        <v/>
      </c>
    </row>
    <row r="1303">
      <c r="A1303" t="n">
        <v>509992</v>
      </c>
      <c r="B1303" s="6" t="n">
        <v>45947</v>
      </c>
      <c r="C1303" t="n">
        <v>10442</v>
      </c>
      <c r="D1303" t="inlineStr">
        <is>
          <t>Pune</t>
        </is>
      </c>
      <c r="E1303" t="inlineStr">
        <is>
          <t>West</t>
        </is>
      </c>
      <c r="F1303" t="inlineStr">
        <is>
          <t>Paid Search</t>
        </is>
      </c>
      <c r="G1303" t="inlineStr">
        <is>
          <t>Mobile App</t>
        </is>
      </c>
      <c r="H1303" t="inlineStr">
        <is>
          <t>UPI</t>
        </is>
      </c>
      <c r="I1303" t="inlineStr">
        <is>
          <t>Delivered</t>
        </is>
      </c>
      <c r="J1303" t="n">
        <v>134</v>
      </c>
      <c r="K1303" t="n">
        <v>1</v>
      </c>
      <c r="L1303" t="n">
        <v>209</v>
      </c>
      <c r="M1303" t="n">
        <v>0</v>
      </c>
      <c r="N1303">
        <f>VLOOKUP(J1303,Products!$A$2:$C$49,3,FALSE)</f>
        <v/>
      </c>
      <c r="O1303">
        <f>K1303*L1303-M1303</f>
        <v/>
      </c>
      <c r="P1303">
        <f>TEXT(B1303,"yyyy-mm")</f>
        <v/>
      </c>
      <c r="Q1303">
        <f>IF(O1303&gt;=3000,"Large","Small")</f>
        <v/>
      </c>
      <c r="R1303">
        <f>INDEX(Products!$F$2:$F$49,MATCH(J1303,Products!$A$2:$A$49,0))</f>
        <v/>
      </c>
      <c r="S1303">
        <f>WEEKDAY(B1303,2)</f>
        <v/>
      </c>
    </row>
    <row r="1304">
      <c r="A1304" t="n">
        <v>509993</v>
      </c>
      <c r="B1304" s="6" t="n">
        <v>45947</v>
      </c>
      <c r="C1304" t="n">
        <v>16852</v>
      </c>
      <c r="D1304" t="inlineStr">
        <is>
          <t>Mumbai</t>
        </is>
      </c>
      <c r="E1304" t="inlineStr">
        <is>
          <t>West</t>
        </is>
      </c>
      <c r="F1304" t="inlineStr">
        <is>
          <t>Paid Social</t>
        </is>
      </c>
      <c r="G1304" t="inlineStr">
        <is>
          <t>Mobile App</t>
        </is>
      </c>
      <c r="H1304" t="inlineStr">
        <is>
          <t>UPI</t>
        </is>
      </c>
      <c r="I1304" t="inlineStr">
        <is>
          <t>Delivered</t>
        </is>
      </c>
      <c r="J1304" t="n">
        <v>127</v>
      </c>
      <c r="K1304" t="n">
        <v>1</v>
      </c>
      <c r="L1304" t="n">
        <v>681</v>
      </c>
      <c r="M1304" t="n">
        <v>0</v>
      </c>
      <c r="N1304">
        <f>VLOOKUP(J1304,Products!$A$2:$C$49,3,FALSE)</f>
        <v/>
      </c>
      <c r="O1304">
        <f>K1304*L1304-M1304</f>
        <v/>
      </c>
      <c r="P1304">
        <f>TEXT(B1304,"yyyy-mm")</f>
        <v/>
      </c>
      <c r="Q1304">
        <f>IF(O1304&gt;=3000,"Large","Small")</f>
        <v/>
      </c>
      <c r="R1304">
        <f>INDEX(Products!$F$2:$F$49,MATCH(J1304,Products!$A$2:$A$49,0))</f>
        <v/>
      </c>
      <c r="S1304">
        <f>WEEKDAY(B1304,2)</f>
        <v/>
      </c>
    </row>
    <row r="1305">
      <c r="A1305" t="n">
        <v>509993</v>
      </c>
      <c r="B1305" s="6" t="n">
        <v>45947</v>
      </c>
      <c r="C1305" t="n">
        <v>16852</v>
      </c>
      <c r="D1305" t="inlineStr">
        <is>
          <t>Mumbai</t>
        </is>
      </c>
      <c r="E1305" t="inlineStr">
        <is>
          <t>West</t>
        </is>
      </c>
      <c r="F1305" t="inlineStr">
        <is>
          <t>Paid Social</t>
        </is>
      </c>
      <c r="G1305" t="inlineStr">
        <is>
          <t>Mobile App</t>
        </is>
      </c>
      <c r="H1305" t="inlineStr">
        <is>
          <t>UPI</t>
        </is>
      </c>
      <c r="I1305" t="inlineStr">
        <is>
          <t>Delivered</t>
        </is>
      </c>
      <c r="J1305" t="n">
        <v>123</v>
      </c>
      <c r="K1305" t="n">
        <v>2</v>
      </c>
      <c r="L1305" t="n">
        <v>3464</v>
      </c>
      <c r="M1305" t="n">
        <v>0</v>
      </c>
      <c r="N1305">
        <f>VLOOKUP(J1305,Products!$A$2:$C$49,3,FALSE)</f>
        <v/>
      </c>
      <c r="O1305">
        <f>K1305*L1305-M1305</f>
        <v/>
      </c>
      <c r="P1305">
        <f>TEXT(B1305,"yyyy-mm")</f>
        <v/>
      </c>
      <c r="Q1305">
        <f>IF(O1305&gt;=3000,"Large","Small")</f>
        <v/>
      </c>
      <c r="R1305">
        <f>INDEX(Products!$F$2:$F$49,MATCH(J1305,Products!$A$2:$A$49,0))</f>
        <v/>
      </c>
      <c r="S1305">
        <f>WEEKDAY(B1305,2)</f>
        <v/>
      </c>
    </row>
    <row r="1306">
      <c r="A1306" t="n">
        <v>509993</v>
      </c>
      <c r="B1306" s="6" t="n">
        <v>45947</v>
      </c>
      <c r="C1306" t="n">
        <v>16852</v>
      </c>
      <c r="D1306" t="inlineStr">
        <is>
          <t>Mumbai</t>
        </is>
      </c>
      <c r="E1306" t="inlineStr">
        <is>
          <t>West</t>
        </is>
      </c>
      <c r="F1306" t="inlineStr">
        <is>
          <t>Paid Social</t>
        </is>
      </c>
      <c r="G1306" t="inlineStr">
        <is>
          <t>Mobile App</t>
        </is>
      </c>
      <c r="H1306" t="inlineStr">
        <is>
          <t>UPI</t>
        </is>
      </c>
      <c r="I1306" t="inlineStr">
        <is>
          <t>Delivered</t>
        </is>
      </c>
      <c r="J1306" t="n">
        <v>120</v>
      </c>
      <c r="K1306" t="n">
        <v>1</v>
      </c>
      <c r="L1306" t="n">
        <v>734</v>
      </c>
      <c r="M1306" t="n">
        <v>0</v>
      </c>
      <c r="N1306">
        <f>VLOOKUP(J1306,Products!$A$2:$C$49,3,FALSE)</f>
        <v/>
      </c>
      <c r="O1306">
        <f>K1306*L1306-M1306</f>
        <v/>
      </c>
      <c r="P1306">
        <f>TEXT(B1306,"yyyy-mm")</f>
        <v/>
      </c>
      <c r="Q1306">
        <f>IF(O1306&gt;=3000,"Large","Small")</f>
        <v/>
      </c>
      <c r="R1306">
        <f>INDEX(Products!$F$2:$F$49,MATCH(J1306,Products!$A$2:$A$49,0))</f>
        <v/>
      </c>
      <c r="S1306">
        <f>WEEKDAY(B1306,2)</f>
        <v/>
      </c>
    </row>
    <row r="1307">
      <c r="A1307" t="n">
        <v>509993</v>
      </c>
      <c r="B1307" s="6" t="n">
        <v>45947</v>
      </c>
      <c r="C1307" t="n">
        <v>16852</v>
      </c>
      <c r="D1307" t="inlineStr">
        <is>
          <t>Mumbai</t>
        </is>
      </c>
      <c r="E1307" t="inlineStr">
        <is>
          <t>West</t>
        </is>
      </c>
      <c r="F1307" t="inlineStr">
        <is>
          <t>Paid Social</t>
        </is>
      </c>
      <c r="G1307" t="inlineStr">
        <is>
          <t>Mobile App</t>
        </is>
      </c>
      <c r="H1307" t="inlineStr">
        <is>
          <t>UPI</t>
        </is>
      </c>
      <c r="I1307" t="inlineStr">
        <is>
          <t>Delivered</t>
        </is>
      </c>
      <c r="J1307" t="n">
        <v>137</v>
      </c>
      <c r="K1307" t="n">
        <v>2</v>
      </c>
      <c r="L1307" t="n">
        <v>261</v>
      </c>
      <c r="M1307" t="n">
        <v>0</v>
      </c>
      <c r="N1307">
        <f>VLOOKUP(J1307,Products!$A$2:$C$49,3,FALSE)</f>
        <v/>
      </c>
      <c r="O1307">
        <f>K1307*L1307-M1307</f>
        <v/>
      </c>
      <c r="P1307">
        <f>TEXT(B1307,"yyyy-mm")</f>
        <v/>
      </c>
      <c r="Q1307">
        <f>IF(O1307&gt;=3000,"Large","Small")</f>
        <v/>
      </c>
      <c r="R1307">
        <f>INDEX(Products!$F$2:$F$49,MATCH(J1307,Products!$A$2:$A$49,0))</f>
        <v/>
      </c>
      <c r="S1307">
        <f>WEEKDAY(B1307,2)</f>
        <v/>
      </c>
    </row>
    <row r="1308">
      <c r="A1308" t="n">
        <v>509994</v>
      </c>
      <c r="B1308" s="6" t="n">
        <v>45947</v>
      </c>
      <c r="C1308" t="n">
        <v>16846</v>
      </c>
      <c r="D1308" t="inlineStr">
        <is>
          <t>Mumbai</t>
        </is>
      </c>
      <c r="E1308" t="inlineStr">
        <is>
          <t>West</t>
        </is>
      </c>
      <c r="F1308" t="inlineStr">
        <is>
          <t>Organic Search</t>
        </is>
      </c>
      <c r="G1308" t="inlineStr">
        <is>
          <t>Mobile App</t>
        </is>
      </c>
      <c r="H1308" t="inlineStr">
        <is>
          <t>Debit Card</t>
        </is>
      </c>
      <c r="I1308" t="inlineStr">
        <is>
          <t>Delivered</t>
        </is>
      </c>
      <c r="J1308" t="n">
        <v>137</v>
      </c>
      <c r="K1308" t="n">
        <v>1</v>
      </c>
      <c r="L1308" t="n">
        <v>261</v>
      </c>
      <c r="M1308" t="n">
        <v>13.05</v>
      </c>
      <c r="N1308">
        <f>VLOOKUP(J1308,Products!$A$2:$C$49,3,FALSE)</f>
        <v/>
      </c>
      <c r="O1308">
        <f>K1308*L1308-M1308</f>
        <v/>
      </c>
      <c r="P1308">
        <f>TEXT(B1308,"yyyy-mm")</f>
        <v/>
      </c>
      <c r="Q1308">
        <f>IF(O1308&gt;=3000,"Large","Small")</f>
        <v/>
      </c>
      <c r="R1308">
        <f>INDEX(Products!$F$2:$F$49,MATCH(J1308,Products!$A$2:$A$49,0))</f>
        <v/>
      </c>
      <c r="S1308">
        <f>WEEKDAY(B1308,2)</f>
        <v/>
      </c>
    </row>
    <row r="1309">
      <c r="A1309" t="n">
        <v>509994</v>
      </c>
      <c r="B1309" s="6" t="n">
        <v>45947</v>
      </c>
      <c r="C1309" t="n">
        <v>16846</v>
      </c>
      <c r="D1309" t="inlineStr">
        <is>
          <t>Mumbai</t>
        </is>
      </c>
      <c r="E1309" t="inlineStr">
        <is>
          <t>West</t>
        </is>
      </c>
      <c r="F1309" t="inlineStr">
        <is>
          <t>Organic Search</t>
        </is>
      </c>
      <c r="G1309" t="inlineStr">
        <is>
          <t>Mobile App</t>
        </is>
      </c>
      <c r="H1309" t="inlineStr">
        <is>
          <t>Debit Card</t>
        </is>
      </c>
      <c r="I1309" t="inlineStr">
        <is>
          <t>Delivered</t>
        </is>
      </c>
      <c r="J1309" t="n">
        <v>129</v>
      </c>
      <c r="K1309" t="n">
        <v>1</v>
      </c>
      <c r="L1309" t="n">
        <v>576</v>
      </c>
      <c r="M1309" t="n">
        <v>28.8</v>
      </c>
      <c r="N1309">
        <f>VLOOKUP(J1309,Products!$A$2:$C$49,3,FALSE)</f>
        <v/>
      </c>
      <c r="O1309">
        <f>K1309*L1309-M1309</f>
        <v/>
      </c>
      <c r="P1309">
        <f>TEXT(B1309,"yyyy-mm")</f>
        <v/>
      </c>
      <c r="Q1309">
        <f>IF(O1309&gt;=3000,"Large","Small")</f>
        <v/>
      </c>
      <c r="R1309">
        <f>INDEX(Products!$F$2:$F$49,MATCH(J1309,Products!$A$2:$A$49,0))</f>
        <v/>
      </c>
      <c r="S1309">
        <f>WEEKDAY(B1309,2)</f>
        <v/>
      </c>
    </row>
    <row r="1310">
      <c r="A1310" t="n">
        <v>509995</v>
      </c>
      <c r="B1310" s="6" t="n">
        <v>45947</v>
      </c>
      <c r="C1310" t="n">
        <v>16847</v>
      </c>
      <c r="D1310" t="inlineStr">
        <is>
          <t>Ahmedabad</t>
        </is>
      </c>
      <c r="E1310" t="inlineStr">
        <is>
          <t>West</t>
        </is>
      </c>
      <c r="F1310" t="inlineStr">
        <is>
          <t>Paid Search</t>
        </is>
      </c>
      <c r="G1310" t="inlineStr">
        <is>
          <t>Mobile App</t>
        </is>
      </c>
      <c r="H1310" t="inlineStr">
        <is>
          <t>Debit Card</t>
        </is>
      </c>
      <c r="I1310" t="inlineStr">
        <is>
          <t>Delivered</t>
        </is>
      </c>
      <c r="J1310" t="n">
        <v>130</v>
      </c>
      <c r="K1310" t="n">
        <v>1</v>
      </c>
      <c r="L1310" t="n">
        <v>734</v>
      </c>
      <c r="M1310" t="n">
        <v>110.1</v>
      </c>
      <c r="N1310">
        <f>VLOOKUP(J1310,Products!$A$2:$C$49,3,FALSE)</f>
        <v/>
      </c>
      <c r="O1310">
        <f>K1310*L1310-M1310</f>
        <v/>
      </c>
      <c r="P1310">
        <f>TEXT(B1310,"yyyy-mm")</f>
        <v/>
      </c>
      <c r="Q1310">
        <f>IF(O1310&gt;=3000,"Large","Small")</f>
        <v/>
      </c>
      <c r="R1310">
        <f>INDEX(Products!$F$2:$F$49,MATCH(J1310,Products!$A$2:$A$49,0))</f>
        <v/>
      </c>
      <c r="S1310">
        <f>WEEKDAY(B1310,2)</f>
        <v/>
      </c>
    </row>
    <row r="1311">
      <c r="A1311" t="n">
        <v>509995</v>
      </c>
      <c r="B1311" s="6" t="n">
        <v>45947</v>
      </c>
      <c r="C1311" t="n">
        <v>16847</v>
      </c>
      <c r="D1311" t="inlineStr">
        <is>
          <t>Ahmedabad</t>
        </is>
      </c>
      <c r="E1311" t="inlineStr">
        <is>
          <t>West</t>
        </is>
      </c>
      <c r="F1311" t="inlineStr">
        <is>
          <t>Paid Search</t>
        </is>
      </c>
      <c r="G1311" t="inlineStr">
        <is>
          <t>Mobile App</t>
        </is>
      </c>
      <c r="H1311" t="inlineStr">
        <is>
          <t>Debit Card</t>
        </is>
      </c>
      <c r="I1311" t="inlineStr">
        <is>
          <t>Delivered</t>
        </is>
      </c>
      <c r="J1311" t="n">
        <v>129</v>
      </c>
      <c r="K1311" t="n">
        <v>2</v>
      </c>
      <c r="L1311" t="n">
        <v>576</v>
      </c>
      <c r="M1311" t="n">
        <v>172.8</v>
      </c>
      <c r="N1311">
        <f>VLOOKUP(J1311,Products!$A$2:$C$49,3,FALSE)</f>
        <v/>
      </c>
      <c r="O1311">
        <f>K1311*L1311-M1311</f>
        <v/>
      </c>
      <c r="P1311">
        <f>TEXT(B1311,"yyyy-mm")</f>
        <v/>
      </c>
      <c r="Q1311">
        <f>IF(O1311&gt;=3000,"Large","Small")</f>
        <v/>
      </c>
      <c r="R1311">
        <f>INDEX(Products!$F$2:$F$49,MATCH(J1311,Products!$A$2:$A$49,0))</f>
        <v/>
      </c>
      <c r="S1311">
        <f>WEEKDAY(B1311,2)</f>
        <v/>
      </c>
    </row>
    <row r="1312">
      <c r="A1312" t="n">
        <v>509996</v>
      </c>
      <c r="B1312" s="6" t="n">
        <v>45947</v>
      </c>
      <c r="C1312" t="n">
        <v>14473</v>
      </c>
      <c r="D1312" t="inlineStr">
        <is>
          <t>Bengaluru</t>
        </is>
      </c>
      <c r="E1312" t="inlineStr">
        <is>
          <t>South</t>
        </is>
      </c>
      <c r="F1312" t="inlineStr">
        <is>
          <t>Referral</t>
        </is>
      </c>
      <c r="G1312" t="inlineStr">
        <is>
          <t>Mobile Web</t>
        </is>
      </c>
      <c r="H1312" t="inlineStr">
        <is>
          <t>UPI</t>
        </is>
      </c>
      <c r="I1312" t="inlineStr">
        <is>
          <t>Delivered</t>
        </is>
      </c>
      <c r="J1312" t="n">
        <v>102</v>
      </c>
      <c r="K1312" t="n">
        <v>1</v>
      </c>
      <c r="L1312" t="n">
        <v>3674</v>
      </c>
      <c r="M1312" t="n">
        <v>367.4</v>
      </c>
      <c r="N1312">
        <f>VLOOKUP(J1312,Products!$A$2:$C$49,3,FALSE)</f>
        <v/>
      </c>
      <c r="O1312">
        <f>K1312*L1312-M1312</f>
        <v/>
      </c>
      <c r="P1312">
        <f>TEXT(B1312,"yyyy-mm")</f>
        <v/>
      </c>
      <c r="Q1312">
        <f>IF(O1312&gt;=3000,"Large","Small")</f>
        <v/>
      </c>
      <c r="R1312">
        <f>INDEX(Products!$F$2:$F$49,MATCH(J1312,Products!$A$2:$A$49,0))</f>
        <v/>
      </c>
      <c r="S1312">
        <f>WEEKDAY(B1312,2)</f>
        <v/>
      </c>
    </row>
    <row r="1313">
      <c r="A1313" t="n">
        <v>509997</v>
      </c>
      <c r="B1313" s="6" t="n">
        <v>45947</v>
      </c>
      <c r="C1313" t="n">
        <v>14489</v>
      </c>
      <c r="D1313" t="inlineStr">
        <is>
          <t>Noida</t>
        </is>
      </c>
      <c r="E1313" t="inlineStr">
        <is>
          <t>North</t>
        </is>
      </c>
      <c r="F1313" t="inlineStr">
        <is>
          <t>Paid Social</t>
        </is>
      </c>
      <c r="G1313" t="inlineStr">
        <is>
          <t>Desktop</t>
        </is>
      </c>
      <c r="H1313" t="inlineStr">
        <is>
          <t>Credit Card</t>
        </is>
      </c>
      <c r="I1313" t="inlineStr">
        <is>
          <t>Delivered</t>
        </is>
      </c>
      <c r="J1313" t="n">
        <v>141</v>
      </c>
      <c r="K1313" t="n">
        <v>2</v>
      </c>
      <c r="L1313" t="n">
        <v>261</v>
      </c>
      <c r="M1313" t="n">
        <v>52.2</v>
      </c>
      <c r="N1313">
        <f>VLOOKUP(J1313,Products!$A$2:$C$49,3,FALSE)</f>
        <v/>
      </c>
      <c r="O1313">
        <f>K1313*L1313-M1313</f>
        <v/>
      </c>
      <c r="P1313">
        <f>TEXT(B1313,"yyyy-mm")</f>
        <v/>
      </c>
      <c r="Q1313">
        <f>IF(O1313&gt;=3000,"Large","Small")</f>
        <v/>
      </c>
      <c r="R1313">
        <f>INDEX(Products!$F$2:$F$49,MATCH(J1313,Products!$A$2:$A$49,0))</f>
        <v/>
      </c>
      <c r="S1313">
        <f>WEEKDAY(B1313,2)</f>
        <v/>
      </c>
    </row>
    <row r="1314">
      <c r="A1314" t="n">
        <v>509997</v>
      </c>
      <c r="B1314" s="6" t="n">
        <v>45947</v>
      </c>
      <c r="C1314" t="n">
        <v>14489</v>
      </c>
      <c r="D1314" t="inlineStr">
        <is>
          <t>Noida</t>
        </is>
      </c>
      <c r="E1314" t="inlineStr">
        <is>
          <t>North</t>
        </is>
      </c>
      <c r="F1314" t="inlineStr">
        <is>
          <t>Paid Social</t>
        </is>
      </c>
      <c r="G1314" t="inlineStr">
        <is>
          <t>Desktop</t>
        </is>
      </c>
      <c r="H1314" t="inlineStr">
        <is>
          <t>Credit Card</t>
        </is>
      </c>
      <c r="I1314" t="inlineStr">
        <is>
          <t>Delivered</t>
        </is>
      </c>
      <c r="J1314" t="n">
        <v>130</v>
      </c>
      <c r="K1314" t="n">
        <v>1</v>
      </c>
      <c r="L1314" t="n">
        <v>734</v>
      </c>
      <c r="M1314" t="n">
        <v>73.40000000000001</v>
      </c>
      <c r="N1314">
        <f>VLOOKUP(J1314,Products!$A$2:$C$49,3,FALSE)</f>
        <v/>
      </c>
      <c r="O1314">
        <f>K1314*L1314-M1314</f>
        <v/>
      </c>
      <c r="P1314">
        <f>TEXT(B1314,"yyyy-mm")</f>
        <v/>
      </c>
      <c r="Q1314">
        <f>IF(O1314&gt;=3000,"Large","Small")</f>
        <v/>
      </c>
      <c r="R1314">
        <f>INDEX(Products!$F$2:$F$49,MATCH(J1314,Products!$A$2:$A$49,0))</f>
        <v/>
      </c>
      <c r="S1314">
        <f>WEEKDAY(B1314,2)</f>
        <v/>
      </c>
    </row>
    <row r="1315">
      <c r="A1315" t="n">
        <v>509997</v>
      </c>
      <c r="B1315" s="6" t="n">
        <v>45947</v>
      </c>
      <c r="C1315" t="n">
        <v>14489</v>
      </c>
      <c r="D1315" t="inlineStr">
        <is>
          <t>Noida</t>
        </is>
      </c>
      <c r="E1315" t="inlineStr">
        <is>
          <t>North</t>
        </is>
      </c>
      <c r="F1315" t="inlineStr">
        <is>
          <t>Paid Social</t>
        </is>
      </c>
      <c r="G1315" t="inlineStr">
        <is>
          <t>Desktop</t>
        </is>
      </c>
      <c r="H1315" t="inlineStr">
        <is>
          <t>Credit Card</t>
        </is>
      </c>
      <c r="I1315" t="inlineStr">
        <is>
          <t>Delivered</t>
        </is>
      </c>
      <c r="J1315" t="n">
        <v>129</v>
      </c>
      <c r="K1315" t="n">
        <v>1</v>
      </c>
      <c r="L1315" t="n">
        <v>576</v>
      </c>
      <c r="M1315" t="n">
        <v>57.6</v>
      </c>
      <c r="N1315">
        <f>VLOOKUP(J1315,Products!$A$2:$C$49,3,FALSE)</f>
        <v/>
      </c>
      <c r="O1315">
        <f>K1315*L1315-M1315</f>
        <v/>
      </c>
      <c r="P1315">
        <f>TEXT(B1315,"yyyy-mm")</f>
        <v/>
      </c>
      <c r="Q1315">
        <f>IF(O1315&gt;=3000,"Large","Small")</f>
        <v/>
      </c>
      <c r="R1315">
        <f>INDEX(Products!$F$2:$F$49,MATCH(J1315,Products!$A$2:$A$49,0))</f>
        <v/>
      </c>
      <c r="S1315">
        <f>WEEKDAY(B1315,2)</f>
        <v/>
      </c>
    </row>
    <row r="1316">
      <c r="A1316" t="n">
        <v>509998</v>
      </c>
      <c r="B1316" s="6" t="n">
        <v>45947</v>
      </c>
      <c r="C1316" t="n">
        <v>15980</v>
      </c>
      <c r="D1316" t="inlineStr">
        <is>
          <t>Hyderabad</t>
        </is>
      </c>
      <c r="E1316" t="inlineStr">
        <is>
          <t>South</t>
        </is>
      </c>
      <c r="F1316" t="inlineStr">
        <is>
          <t>Affiliate</t>
        </is>
      </c>
      <c r="G1316" t="inlineStr">
        <is>
          <t>Mobile App</t>
        </is>
      </c>
      <c r="H1316" t="inlineStr">
        <is>
          <t>UPI</t>
        </is>
      </c>
      <c r="I1316" t="inlineStr">
        <is>
          <t>Delivered</t>
        </is>
      </c>
      <c r="J1316" t="n">
        <v>105</v>
      </c>
      <c r="K1316" t="n">
        <v>1</v>
      </c>
      <c r="L1316" t="n">
        <v>2414</v>
      </c>
      <c r="M1316" t="n">
        <v>241.4</v>
      </c>
      <c r="N1316">
        <f>VLOOKUP(J1316,Products!$A$2:$C$49,3,FALSE)</f>
        <v/>
      </c>
      <c r="O1316">
        <f>K1316*L1316-M1316</f>
        <v/>
      </c>
      <c r="P1316">
        <f>TEXT(B1316,"yyyy-mm")</f>
        <v/>
      </c>
      <c r="Q1316">
        <f>IF(O1316&gt;=3000,"Large","Small")</f>
        <v/>
      </c>
      <c r="R1316">
        <f>INDEX(Products!$F$2:$F$49,MATCH(J1316,Products!$A$2:$A$49,0))</f>
        <v/>
      </c>
      <c r="S1316">
        <f>WEEKDAY(B1316,2)</f>
        <v/>
      </c>
    </row>
    <row r="1317">
      <c r="A1317" t="n">
        <v>509999</v>
      </c>
      <c r="B1317" s="6" t="n">
        <v>45947</v>
      </c>
      <c r="C1317" t="n">
        <v>16159</v>
      </c>
      <c r="D1317" t="inlineStr">
        <is>
          <t>Pune</t>
        </is>
      </c>
      <c r="E1317" t="inlineStr">
        <is>
          <t>West</t>
        </is>
      </c>
      <c r="F1317" t="inlineStr">
        <is>
          <t>Organic Search</t>
        </is>
      </c>
      <c r="G1317" t="inlineStr">
        <is>
          <t>Mobile App</t>
        </is>
      </c>
      <c r="H1317" t="inlineStr">
        <is>
          <t>Debit Card</t>
        </is>
      </c>
      <c r="I1317" t="inlineStr">
        <is>
          <t>Delivered</t>
        </is>
      </c>
      <c r="J1317" t="n">
        <v>106</v>
      </c>
      <c r="K1317" t="n">
        <v>1</v>
      </c>
      <c r="L1317" t="n">
        <v>1574</v>
      </c>
      <c r="M1317" t="n">
        <v>0</v>
      </c>
      <c r="N1317">
        <f>VLOOKUP(J1317,Products!$A$2:$C$49,3,FALSE)</f>
        <v/>
      </c>
      <c r="O1317">
        <f>K1317*L1317-M1317</f>
        <v/>
      </c>
      <c r="P1317">
        <f>TEXT(B1317,"yyyy-mm")</f>
        <v/>
      </c>
      <c r="Q1317">
        <f>IF(O1317&gt;=3000,"Large","Small")</f>
        <v/>
      </c>
      <c r="R1317">
        <f>INDEX(Products!$F$2:$F$49,MATCH(J1317,Products!$A$2:$A$49,0))</f>
        <v/>
      </c>
      <c r="S1317">
        <f>WEEKDAY(B1317,2)</f>
        <v/>
      </c>
    </row>
    <row r="1318">
      <c r="A1318" t="n">
        <v>509999</v>
      </c>
      <c r="B1318" s="6" t="n">
        <v>45947</v>
      </c>
      <c r="C1318" t="n">
        <v>16159</v>
      </c>
      <c r="D1318" t="inlineStr">
        <is>
          <t>Pune</t>
        </is>
      </c>
      <c r="E1318" t="inlineStr">
        <is>
          <t>West</t>
        </is>
      </c>
      <c r="F1318" t="inlineStr">
        <is>
          <t>Organic Search</t>
        </is>
      </c>
      <c r="G1318" t="inlineStr">
        <is>
          <t>Mobile App</t>
        </is>
      </c>
      <c r="H1318" t="inlineStr">
        <is>
          <t>Debit Card</t>
        </is>
      </c>
      <c r="I1318" t="inlineStr">
        <is>
          <t>Delivered</t>
        </is>
      </c>
      <c r="J1318" t="n">
        <v>131</v>
      </c>
      <c r="K1318" t="n">
        <v>2</v>
      </c>
      <c r="L1318" t="n">
        <v>314</v>
      </c>
      <c r="M1318" t="n">
        <v>0</v>
      </c>
      <c r="N1318">
        <f>VLOOKUP(J1318,Products!$A$2:$C$49,3,FALSE)</f>
        <v/>
      </c>
      <c r="O1318">
        <f>K1318*L1318-M1318</f>
        <v/>
      </c>
      <c r="P1318">
        <f>TEXT(B1318,"yyyy-mm")</f>
        <v/>
      </c>
      <c r="Q1318">
        <f>IF(O1318&gt;=3000,"Large","Small")</f>
        <v/>
      </c>
      <c r="R1318">
        <f>INDEX(Products!$F$2:$F$49,MATCH(J1318,Products!$A$2:$A$49,0))</f>
        <v/>
      </c>
      <c r="S1318">
        <f>WEEKDAY(B1318,2)</f>
        <v/>
      </c>
    </row>
    <row r="1319">
      <c r="A1319" t="n">
        <v>510000</v>
      </c>
      <c r="B1319" s="6" t="n">
        <v>45947</v>
      </c>
      <c r="C1319" t="n">
        <v>14516</v>
      </c>
      <c r="D1319" t="inlineStr">
        <is>
          <t>Chandigarh</t>
        </is>
      </c>
      <c r="E1319" t="inlineStr">
        <is>
          <t>North</t>
        </is>
      </c>
      <c r="F1319" t="inlineStr">
        <is>
          <t>Organic Search</t>
        </is>
      </c>
      <c r="G1319" t="inlineStr">
        <is>
          <t>Mobile App</t>
        </is>
      </c>
      <c r="H1319" t="inlineStr">
        <is>
          <t>Credit Card</t>
        </is>
      </c>
      <c r="I1319" t="inlineStr">
        <is>
          <t>Delivered</t>
        </is>
      </c>
      <c r="J1319" t="n">
        <v>119</v>
      </c>
      <c r="K1319" t="n">
        <v>1</v>
      </c>
      <c r="L1319" t="n">
        <v>2309</v>
      </c>
      <c r="M1319" t="n">
        <v>230.9</v>
      </c>
      <c r="N1319">
        <f>VLOOKUP(J1319,Products!$A$2:$C$49,3,FALSE)</f>
        <v/>
      </c>
      <c r="O1319">
        <f>K1319*L1319-M1319</f>
        <v/>
      </c>
      <c r="P1319">
        <f>TEXT(B1319,"yyyy-mm")</f>
        <v/>
      </c>
      <c r="Q1319">
        <f>IF(O1319&gt;=3000,"Large","Small")</f>
        <v/>
      </c>
      <c r="R1319">
        <f>INDEX(Products!$F$2:$F$49,MATCH(J1319,Products!$A$2:$A$49,0))</f>
        <v/>
      </c>
      <c r="S1319">
        <f>WEEKDAY(B1319,2)</f>
        <v/>
      </c>
    </row>
    <row r="1320">
      <c r="A1320" t="n">
        <v>510000</v>
      </c>
      <c r="B1320" s="6" t="n">
        <v>45947</v>
      </c>
      <c r="C1320" t="n">
        <v>14516</v>
      </c>
      <c r="D1320" t="inlineStr">
        <is>
          <t>Chandigarh</t>
        </is>
      </c>
      <c r="E1320" t="inlineStr">
        <is>
          <t>North</t>
        </is>
      </c>
      <c r="F1320" t="inlineStr">
        <is>
          <t>Organic Search</t>
        </is>
      </c>
      <c r="G1320" t="inlineStr">
        <is>
          <t>Mobile App</t>
        </is>
      </c>
      <c r="H1320" t="inlineStr">
        <is>
          <t>Credit Card</t>
        </is>
      </c>
      <c r="I1320" t="inlineStr">
        <is>
          <t>Delivered</t>
        </is>
      </c>
      <c r="J1320" t="n">
        <v>129</v>
      </c>
      <c r="K1320" t="n">
        <v>2</v>
      </c>
      <c r="L1320" t="n">
        <v>576</v>
      </c>
      <c r="M1320" t="n">
        <v>115.2</v>
      </c>
      <c r="N1320">
        <f>VLOOKUP(J1320,Products!$A$2:$C$49,3,FALSE)</f>
        <v/>
      </c>
      <c r="O1320">
        <f>K1320*L1320-M1320</f>
        <v/>
      </c>
      <c r="P1320">
        <f>TEXT(B1320,"yyyy-mm")</f>
        <v/>
      </c>
      <c r="Q1320">
        <f>IF(O1320&gt;=3000,"Large","Small")</f>
        <v/>
      </c>
      <c r="R1320">
        <f>INDEX(Products!$F$2:$F$49,MATCH(J1320,Products!$A$2:$A$49,0))</f>
        <v/>
      </c>
      <c r="S1320">
        <f>WEEKDAY(B1320,2)</f>
        <v/>
      </c>
    </row>
    <row r="1321">
      <c r="A1321" t="n">
        <v>510001</v>
      </c>
      <c r="B1321" s="6" t="n">
        <v>45947</v>
      </c>
      <c r="C1321" t="n">
        <v>12810</v>
      </c>
      <c r="D1321" t="inlineStr">
        <is>
          <t>Chennai</t>
        </is>
      </c>
      <c r="E1321" t="inlineStr">
        <is>
          <t>South</t>
        </is>
      </c>
      <c r="F1321" t="inlineStr">
        <is>
          <t>Affiliate</t>
        </is>
      </c>
      <c r="G1321" t="inlineStr">
        <is>
          <t>Mobile App</t>
        </is>
      </c>
      <c r="H1321" t="inlineStr">
        <is>
          <t>UPI</t>
        </is>
      </c>
      <c r="I1321" t="inlineStr">
        <is>
          <t>Returned</t>
        </is>
      </c>
      <c r="J1321" t="n">
        <v>118</v>
      </c>
      <c r="K1321" t="n">
        <v>2</v>
      </c>
      <c r="L1321" t="n">
        <v>944</v>
      </c>
      <c r="M1321" t="n">
        <v>188.8</v>
      </c>
      <c r="N1321">
        <f>VLOOKUP(J1321,Products!$A$2:$C$49,3,FALSE)</f>
        <v/>
      </c>
      <c r="O1321">
        <f>K1321*L1321-M1321</f>
        <v/>
      </c>
      <c r="P1321">
        <f>TEXT(B1321,"yyyy-mm")</f>
        <v/>
      </c>
      <c r="Q1321">
        <f>IF(O1321&gt;=3000,"Large","Small")</f>
        <v/>
      </c>
      <c r="R1321">
        <f>INDEX(Products!$F$2:$F$49,MATCH(J1321,Products!$A$2:$A$49,0))</f>
        <v/>
      </c>
      <c r="S1321">
        <f>WEEKDAY(B1321,2)</f>
        <v/>
      </c>
    </row>
    <row r="1322">
      <c r="A1322" t="n">
        <v>510002</v>
      </c>
      <c r="B1322" s="6" t="n">
        <v>45947</v>
      </c>
      <c r="C1322" t="n">
        <v>16070</v>
      </c>
      <c r="D1322" t="inlineStr">
        <is>
          <t>Gurugram</t>
        </is>
      </c>
      <c r="E1322" t="inlineStr">
        <is>
          <t>North</t>
        </is>
      </c>
      <c r="F1322" t="inlineStr">
        <is>
          <t>Email</t>
        </is>
      </c>
      <c r="G1322" t="inlineStr">
        <is>
          <t>Mobile App</t>
        </is>
      </c>
      <c r="H1322" t="inlineStr">
        <is>
          <t>Cash on Delivery</t>
        </is>
      </c>
      <c r="I1322" t="inlineStr">
        <is>
          <t>Delivered</t>
        </is>
      </c>
      <c r="J1322" t="n">
        <v>116</v>
      </c>
      <c r="K1322" t="n">
        <v>2</v>
      </c>
      <c r="L1322" t="n">
        <v>2624</v>
      </c>
      <c r="M1322" t="n">
        <v>524.8</v>
      </c>
      <c r="N1322">
        <f>VLOOKUP(J1322,Products!$A$2:$C$49,3,FALSE)</f>
        <v/>
      </c>
      <c r="O1322">
        <f>K1322*L1322-M1322</f>
        <v/>
      </c>
      <c r="P1322">
        <f>TEXT(B1322,"yyyy-mm")</f>
        <v/>
      </c>
      <c r="Q1322">
        <f>IF(O1322&gt;=3000,"Large","Small")</f>
        <v/>
      </c>
      <c r="R1322">
        <f>INDEX(Products!$F$2:$F$49,MATCH(J1322,Products!$A$2:$A$49,0))</f>
        <v/>
      </c>
      <c r="S1322">
        <f>WEEKDAY(B1322,2)</f>
        <v/>
      </c>
    </row>
    <row r="1323">
      <c r="A1323" t="n">
        <v>510002</v>
      </c>
      <c r="B1323" s="6" t="n">
        <v>45947</v>
      </c>
      <c r="C1323" t="n">
        <v>16070</v>
      </c>
      <c r="D1323" t="inlineStr">
        <is>
          <t>Gurugram</t>
        </is>
      </c>
      <c r="E1323" t="inlineStr">
        <is>
          <t>North</t>
        </is>
      </c>
      <c r="F1323" t="inlineStr">
        <is>
          <t>Email</t>
        </is>
      </c>
      <c r="G1323" t="inlineStr">
        <is>
          <t>Mobile App</t>
        </is>
      </c>
      <c r="H1323" t="inlineStr">
        <is>
          <t>Cash on Delivery</t>
        </is>
      </c>
      <c r="I1323" t="inlineStr">
        <is>
          <t>Delivered</t>
        </is>
      </c>
      <c r="J1323" t="n">
        <v>127</v>
      </c>
      <c r="K1323" t="n">
        <v>2</v>
      </c>
      <c r="L1323" t="n">
        <v>681</v>
      </c>
      <c r="M1323" t="n">
        <v>136.2</v>
      </c>
      <c r="N1323">
        <f>VLOOKUP(J1323,Products!$A$2:$C$49,3,FALSE)</f>
        <v/>
      </c>
      <c r="O1323">
        <f>K1323*L1323-M1323</f>
        <v/>
      </c>
      <c r="P1323">
        <f>TEXT(B1323,"yyyy-mm")</f>
        <v/>
      </c>
      <c r="Q1323">
        <f>IF(O1323&gt;=3000,"Large","Small")</f>
        <v/>
      </c>
      <c r="R1323">
        <f>INDEX(Products!$F$2:$F$49,MATCH(J1323,Products!$A$2:$A$49,0))</f>
        <v/>
      </c>
      <c r="S1323">
        <f>WEEKDAY(B1323,2)</f>
        <v/>
      </c>
    </row>
    <row r="1324">
      <c r="A1324" t="n">
        <v>510002</v>
      </c>
      <c r="B1324" s="6" t="n">
        <v>45947</v>
      </c>
      <c r="C1324" t="n">
        <v>16070</v>
      </c>
      <c r="D1324" t="inlineStr">
        <is>
          <t>Gurugram</t>
        </is>
      </c>
      <c r="E1324" t="inlineStr">
        <is>
          <t>North</t>
        </is>
      </c>
      <c r="F1324" t="inlineStr">
        <is>
          <t>Email</t>
        </is>
      </c>
      <c r="G1324" t="inlineStr">
        <is>
          <t>Mobile App</t>
        </is>
      </c>
      <c r="H1324" t="inlineStr">
        <is>
          <t>Cash on Delivery</t>
        </is>
      </c>
      <c r="I1324" t="inlineStr">
        <is>
          <t>Delivered</t>
        </is>
      </c>
      <c r="J1324" t="n">
        <v>101</v>
      </c>
      <c r="K1324" t="n">
        <v>1</v>
      </c>
      <c r="L1324" t="n">
        <v>2099</v>
      </c>
      <c r="M1324" t="n">
        <v>209.9</v>
      </c>
      <c r="N1324">
        <f>VLOOKUP(J1324,Products!$A$2:$C$49,3,FALSE)</f>
        <v/>
      </c>
      <c r="O1324">
        <f>K1324*L1324-M1324</f>
        <v/>
      </c>
      <c r="P1324">
        <f>TEXT(B1324,"yyyy-mm")</f>
        <v/>
      </c>
      <c r="Q1324">
        <f>IF(O1324&gt;=3000,"Large","Small")</f>
        <v/>
      </c>
      <c r="R1324">
        <f>INDEX(Products!$F$2:$F$49,MATCH(J1324,Products!$A$2:$A$49,0))</f>
        <v/>
      </c>
      <c r="S1324">
        <f>WEEKDAY(B1324,2)</f>
        <v/>
      </c>
    </row>
    <row r="1325">
      <c r="A1325" t="n">
        <v>510003</v>
      </c>
      <c r="B1325" s="6" t="n">
        <v>45947</v>
      </c>
      <c r="C1325" t="n">
        <v>16867</v>
      </c>
      <c r="D1325" t="inlineStr">
        <is>
          <t>Mumbai</t>
        </is>
      </c>
      <c r="E1325" t="inlineStr">
        <is>
          <t>West</t>
        </is>
      </c>
      <c r="F1325" t="inlineStr">
        <is>
          <t>Organic Search</t>
        </is>
      </c>
      <c r="G1325" t="inlineStr">
        <is>
          <t>Mobile App</t>
        </is>
      </c>
      <c r="H1325" t="inlineStr">
        <is>
          <t>Credit Card</t>
        </is>
      </c>
      <c r="I1325" t="inlineStr">
        <is>
          <t>Delivered</t>
        </is>
      </c>
      <c r="J1325" t="n">
        <v>106</v>
      </c>
      <c r="K1325" t="n">
        <v>1</v>
      </c>
      <c r="L1325" t="n">
        <v>1574</v>
      </c>
      <c r="M1325" t="n">
        <v>0</v>
      </c>
      <c r="N1325">
        <f>VLOOKUP(J1325,Products!$A$2:$C$49,3,FALSE)</f>
        <v/>
      </c>
      <c r="O1325">
        <f>K1325*L1325-M1325</f>
        <v/>
      </c>
      <c r="P1325">
        <f>TEXT(B1325,"yyyy-mm")</f>
        <v/>
      </c>
      <c r="Q1325">
        <f>IF(O1325&gt;=3000,"Large","Small")</f>
        <v/>
      </c>
      <c r="R1325">
        <f>INDEX(Products!$F$2:$F$49,MATCH(J1325,Products!$A$2:$A$49,0))</f>
        <v/>
      </c>
      <c r="S1325">
        <f>WEEKDAY(B1325,2)</f>
        <v/>
      </c>
    </row>
    <row r="1326">
      <c r="A1326" t="n">
        <v>510004</v>
      </c>
      <c r="B1326" s="6" t="n">
        <v>45947</v>
      </c>
      <c r="C1326" t="n">
        <v>16194</v>
      </c>
      <c r="D1326" t="inlineStr">
        <is>
          <t>Bengaluru</t>
        </is>
      </c>
      <c r="E1326" t="inlineStr">
        <is>
          <t>South</t>
        </is>
      </c>
      <c r="F1326" t="inlineStr">
        <is>
          <t>Referral</t>
        </is>
      </c>
      <c r="G1326" t="inlineStr">
        <is>
          <t>Mobile Web</t>
        </is>
      </c>
      <c r="H1326" t="inlineStr">
        <is>
          <t>Cash on Delivery</t>
        </is>
      </c>
      <c r="I1326" t="inlineStr">
        <is>
          <t>Delivered</t>
        </is>
      </c>
      <c r="J1326" t="n">
        <v>141</v>
      </c>
      <c r="K1326" t="n">
        <v>2</v>
      </c>
      <c r="L1326" t="n">
        <v>261</v>
      </c>
      <c r="M1326" t="n">
        <v>52.2</v>
      </c>
      <c r="N1326">
        <f>VLOOKUP(J1326,Products!$A$2:$C$49,3,FALSE)</f>
        <v/>
      </c>
      <c r="O1326">
        <f>K1326*L1326-M1326</f>
        <v/>
      </c>
      <c r="P1326">
        <f>TEXT(B1326,"yyyy-mm")</f>
        <v/>
      </c>
      <c r="Q1326">
        <f>IF(O1326&gt;=3000,"Large","Small")</f>
        <v/>
      </c>
      <c r="R1326">
        <f>INDEX(Products!$F$2:$F$49,MATCH(J1326,Products!$A$2:$A$49,0))</f>
        <v/>
      </c>
      <c r="S1326">
        <f>WEEKDAY(B1326,2)</f>
        <v/>
      </c>
    </row>
    <row r="1327">
      <c r="A1327" t="n">
        <v>510005</v>
      </c>
      <c r="B1327" s="6" t="n">
        <v>45947</v>
      </c>
      <c r="C1327" t="n">
        <v>12638</v>
      </c>
      <c r="D1327" t="inlineStr">
        <is>
          <t>Jaipur</t>
        </is>
      </c>
      <c r="E1327" t="inlineStr">
        <is>
          <t>North</t>
        </is>
      </c>
      <c r="F1327" t="inlineStr">
        <is>
          <t>Paid Social</t>
        </is>
      </c>
      <c r="G1327" t="inlineStr">
        <is>
          <t>Mobile Web</t>
        </is>
      </c>
      <c r="H1327" t="inlineStr">
        <is>
          <t>Credit Card</t>
        </is>
      </c>
      <c r="I1327" t="inlineStr">
        <is>
          <t>Delivered</t>
        </is>
      </c>
      <c r="J1327" t="n">
        <v>121</v>
      </c>
      <c r="K1327" t="n">
        <v>2</v>
      </c>
      <c r="L1327" t="n">
        <v>2939</v>
      </c>
      <c r="M1327" t="n">
        <v>587.8</v>
      </c>
      <c r="N1327">
        <f>VLOOKUP(J1327,Products!$A$2:$C$49,3,FALSE)</f>
        <v/>
      </c>
      <c r="O1327">
        <f>K1327*L1327-M1327</f>
        <v/>
      </c>
      <c r="P1327">
        <f>TEXT(B1327,"yyyy-mm")</f>
        <v/>
      </c>
      <c r="Q1327">
        <f>IF(O1327&gt;=3000,"Large","Small")</f>
        <v/>
      </c>
      <c r="R1327">
        <f>INDEX(Products!$F$2:$F$49,MATCH(J1327,Products!$A$2:$A$49,0))</f>
        <v/>
      </c>
      <c r="S1327">
        <f>WEEKDAY(B1327,2)</f>
        <v/>
      </c>
    </row>
    <row r="1328">
      <c r="A1328" t="n">
        <v>510006</v>
      </c>
      <c r="B1328" s="6" t="n">
        <v>45947</v>
      </c>
      <c r="C1328" t="n">
        <v>14547</v>
      </c>
      <c r="D1328" t="inlineStr">
        <is>
          <t>Bengaluru</t>
        </is>
      </c>
      <c r="E1328" t="inlineStr">
        <is>
          <t>South</t>
        </is>
      </c>
      <c r="F1328" t="inlineStr">
        <is>
          <t>Referral</t>
        </is>
      </c>
      <c r="G1328" t="inlineStr">
        <is>
          <t>Mobile App</t>
        </is>
      </c>
      <c r="H1328" t="inlineStr">
        <is>
          <t>Cash on Delivery</t>
        </is>
      </c>
      <c r="I1328" t="inlineStr">
        <is>
          <t>Delivered</t>
        </is>
      </c>
      <c r="J1328" t="n">
        <v>121</v>
      </c>
      <c r="K1328" t="n">
        <v>1</v>
      </c>
      <c r="L1328" t="n">
        <v>2939</v>
      </c>
      <c r="M1328" t="n">
        <v>293.9</v>
      </c>
      <c r="N1328">
        <f>VLOOKUP(J1328,Products!$A$2:$C$49,3,FALSE)</f>
        <v/>
      </c>
      <c r="O1328">
        <f>K1328*L1328-M1328</f>
        <v/>
      </c>
      <c r="P1328">
        <f>TEXT(B1328,"yyyy-mm")</f>
        <v/>
      </c>
      <c r="Q1328">
        <f>IF(O1328&gt;=3000,"Large","Small")</f>
        <v/>
      </c>
      <c r="R1328">
        <f>INDEX(Products!$F$2:$F$49,MATCH(J1328,Products!$A$2:$A$49,0))</f>
        <v/>
      </c>
      <c r="S1328">
        <f>WEEKDAY(B1328,2)</f>
        <v/>
      </c>
    </row>
    <row r="1329">
      <c r="A1329" t="n">
        <v>510006</v>
      </c>
      <c r="B1329" s="6" t="n">
        <v>45947</v>
      </c>
      <c r="C1329" t="n">
        <v>14547</v>
      </c>
      <c r="D1329" t="inlineStr">
        <is>
          <t>Bengaluru</t>
        </is>
      </c>
      <c r="E1329" t="inlineStr">
        <is>
          <t>South</t>
        </is>
      </c>
      <c r="F1329" t="inlineStr">
        <is>
          <t>Referral</t>
        </is>
      </c>
      <c r="G1329" t="inlineStr">
        <is>
          <t>Mobile App</t>
        </is>
      </c>
      <c r="H1329" t="inlineStr">
        <is>
          <t>Cash on Delivery</t>
        </is>
      </c>
      <c r="I1329" t="inlineStr">
        <is>
          <t>Delivered</t>
        </is>
      </c>
      <c r="J1329" t="n">
        <v>138</v>
      </c>
      <c r="K1329" t="n">
        <v>1</v>
      </c>
      <c r="L1329" t="n">
        <v>419</v>
      </c>
      <c r="M1329" t="n">
        <v>41.9</v>
      </c>
      <c r="N1329">
        <f>VLOOKUP(J1329,Products!$A$2:$C$49,3,FALSE)</f>
        <v/>
      </c>
      <c r="O1329">
        <f>K1329*L1329-M1329</f>
        <v/>
      </c>
      <c r="P1329">
        <f>TEXT(B1329,"yyyy-mm")</f>
        <v/>
      </c>
      <c r="Q1329">
        <f>IF(O1329&gt;=3000,"Large","Small")</f>
        <v/>
      </c>
      <c r="R1329">
        <f>INDEX(Products!$F$2:$F$49,MATCH(J1329,Products!$A$2:$A$49,0))</f>
        <v/>
      </c>
      <c r="S1329">
        <f>WEEKDAY(B1329,2)</f>
        <v/>
      </c>
    </row>
    <row r="1330">
      <c r="A1330" t="n">
        <v>510007</v>
      </c>
      <c r="B1330" s="6" t="n">
        <v>45947</v>
      </c>
      <c r="C1330" t="n">
        <v>11588</v>
      </c>
      <c r="D1330" t="inlineStr">
        <is>
          <t>Hyderabad</t>
        </is>
      </c>
      <c r="E1330" t="inlineStr">
        <is>
          <t>South</t>
        </is>
      </c>
      <c r="F1330" t="inlineStr">
        <is>
          <t>Paid Social</t>
        </is>
      </c>
      <c r="G1330" t="inlineStr">
        <is>
          <t>Mobile Web</t>
        </is>
      </c>
      <c r="H1330" t="inlineStr">
        <is>
          <t>UPI</t>
        </is>
      </c>
      <c r="I1330" t="inlineStr">
        <is>
          <t>Cancelled</t>
        </is>
      </c>
      <c r="J1330" t="n">
        <v>140</v>
      </c>
      <c r="K1330" t="n">
        <v>1</v>
      </c>
      <c r="L1330" t="n">
        <v>629</v>
      </c>
      <c r="M1330" t="n">
        <v>0</v>
      </c>
      <c r="N1330">
        <f>VLOOKUP(J1330,Products!$A$2:$C$49,3,FALSE)</f>
        <v/>
      </c>
      <c r="O1330">
        <f>K1330*L1330-M1330</f>
        <v/>
      </c>
      <c r="P1330">
        <f>TEXT(B1330,"yyyy-mm")</f>
        <v/>
      </c>
      <c r="Q1330">
        <f>IF(O1330&gt;=3000,"Large","Small")</f>
        <v/>
      </c>
      <c r="R1330">
        <f>INDEX(Products!$F$2:$F$49,MATCH(J1330,Products!$A$2:$A$49,0))</f>
        <v/>
      </c>
      <c r="S1330">
        <f>WEEKDAY(B1330,2)</f>
        <v/>
      </c>
    </row>
    <row r="1331">
      <c r="A1331" t="n">
        <v>510008</v>
      </c>
      <c r="B1331" s="6" t="n">
        <v>45947</v>
      </c>
      <c r="C1331" t="n">
        <v>10481</v>
      </c>
      <c r="D1331" t="inlineStr">
        <is>
          <t>Hyderabad</t>
        </is>
      </c>
      <c r="E1331" t="inlineStr">
        <is>
          <t>South</t>
        </is>
      </c>
      <c r="F1331" t="inlineStr">
        <is>
          <t>Organic Search</t>
        </is>
      </c>
      <c r="G1331" t="inlineStr">
        <is>
          <t>Mobile App</t>
        </is>
      </c>
      <c r="H1331" t="inlineStr">
        <is>
          <t>Cash on Delivery</t>
        </is>
      </c>
      <c r="I1331" t="inlineStr">
        <is>
          <t>Delivered</t>
        </is>
      </c>
      <c r="J1331" t="n">
        <v>135</v>
      </c>
      <c r="K1331" t="n">
        <v>1</v>
      </c>
      <c r="L1331" t="n">
        <v>1574</v>
      </c>
      <c r="M1331" t="n">
        <v>157.4</v>
      </c>
      <c r="N1331">
        <f>VLOOKUP(J1331,Products!$A$2:$C$49,3,FALSE)</f>
        <v/>
      </c>
      <c r="O1331">
        <f>K1331*L1331-M1331</f>
        <v/>
      </c>
      <c r="P1331">
        <f>TEXT(B1331,"yyyy-mm")</f>
        <v/>
      </c>
      <c r="Q1331">
        <f>IF(O1331&gt;=3000,"Large","Small")</f>
        <v/>
      </c>
      <c r="R1331">
        <f>INDEX(Products!$F$2:$F$49,MATCH(J1331,Products!$A$2:$A$49,0))</f>
        <v/>
      </c>
      <c r="S1331">
        <f>WEEKDAY(B1331,2)</f>
        <v/>
      </c>
    </row>
    <row r="1332">
      <c r="A1332" t="n">
        <v>510008</v>
      </c>
      <c r="B1332" s="6" t="n">
        <v>45947</v>
      </c>
      <c r="C1332" t="n">
        <v>10481</v>
      </c>
      <c r="D1332" t="inlineStr">
        <is>
          <t>Hyderabad</t>
        </is>
      </c>
      <c r="E1332" t="inlineStr">
        <is>
          <t>South</t>
        </is>
      </c>
      <c r="F1332" t="inlineStr">
        <is>
          <t>Organic Search</t>
        </is>
      </c>
      <c r="G1332" t="inlineStr">
        <is>
          <t>Mobile App</t>
        </is>
      </c>
      <c r="H1332" t="inlineStr">
        <is>
          <t>Cash on Delivery</t>
        </is>
      </c>
      <c r="I1332" t="inlineStr">
        <is>
          <t>Delivered</t>
        </is>
      </c>
      <c r="J1332" t="n">
        <v>122</v>
      </c>
      <c r="K1332" t="n">
        <v>2</v>
      </c>
      <c r="L1332" t="n">
        <v>1994</v>
      </c>
      <c r="M1332" t="n">
        <v>398.8</v>
      </c>
      <c r="N1332">
        <f>VLOOKUP(J1332,Products!$A$2:$C$49,3,FALSE)</f>
        <v/>
      </c>
      <c r="O1332">
        <f>K1332*L1332-M1332</f>
        <v/>
      </c>
      <c r="P1332">
        <f>TEXT(B1332,"yyyy-mm")</f>
        <v/>
      </c>
      <c r="Q1332">
        <f>IF(O1332&gt;=3000,"Large","Small")</f>
        <v/>
      </c>
      <c r="R1332">
        <f>INDEX(Products!$F$2:$F$49,MATCH(J1332,Products!$A$2:$A$49,0))</f>
        <v/>
      </c>
      <c r="S1332">
        <f>WEEKDAY(B1332,2)</f>
        <v/>
      </c>
    </row>
    <row r="1333">
      <c r="A1333" t="n">
        <v>510009</v>
      </c>
      <c r="B1333" s="6" t="n">
        <v>45947</v>
      </c>
      <c r="C1333" t="n">
        <v>10788</v>
      </c>
      <c r="D1333" t="inlineStr">
        <is>
          <t>Ahmedabad</t>
        </is>
      </c>
      <c r="E1333" t="inlineStr">
        <is>
          <t>West</t>
        </is>
      </c>
      <c r="F1333" t="inlineStr">
        <is>
          <t>Referral</t>
        </is>
      </c>
      <c r="G1333" t="inlineStr">
        <is>
          <t>Mobile App</t>
        </is>
      </c>
      <c r="H1333" t="inlineStr">
        <is>
          <t>UPI</t>
        </is>
      </c>
      <c r="I1333" t="inlineStr">
        <is>
          <t>Delivered</t>
        </is>
      </c>
      <c r="J1333" t="n">
        <v>106</v>
      </c>
      <c r="K1333" t="n">
        <v>1</v>
      </c>
      <c r="L1333" t="n">
        <v>1574</v>
      </c>
      <c r="M1333" t="n">
        <v>0</v>
      </c>
      <c r="N1333">
        <f>VLOOKUP(J1333,Products!$A$2:$C$49,3,FALSE)</f>
        <v/>
      </c>
      <c r="O1333">
        <f>K1333*L1333-M1333</f>
        <v/>
      </c>
      <c r="P1333">
        <f>TEXT(B1333,"yyyy-mm")</f>
        <v/>
      </c>
      <c r="Q1333">
        <f>IF(O1333&gt;=3000,"Large","Small")</f>
        <v/>
      </c>
      <c r="R1333">
        <f>INDEX(Products!$F$2:$F$49,MATCH(J1333,Products!$A$2:$A$49,0))</f>
        <v/>
      </c>
      <c r="S1333">
        <f>WEEKDAY(B1333,2)</f>
        <v/>
      </c>
    </row>
    <row r="1334">
      <c r="A1334" t="n">
        <v>510009</v>
      </c>
      <c r="B1334" s="6" t="n">
        <v>45947</v>
      </c>
      <c r="C1334" t="n">
        <v>10788</v>
      </c>
      <c r="D1334" t="inlineStr">
        <is>
          <t>Ahmedabad</t>
        </is>
      </c>
      <c r="E1334" t="inlineStr">
        <is>
          <t>West</t>
        </is>
      </c>
      <c r="F1334" t="inlineStr">
        <is>
          <t>Referral</t>
        </is>
      </c>
      <c r="G1334" t="inlineStr">
        <is>
          <t>Mobile App</t>
        </is>
      </c>
      <c r="H1334" t="inlineStr">
        <is>
          <t>UPI</t>
        </is>
      </c>
      <c r="I1334" t="inlineStr">
        <is>
          <t>Delivered</t>
        </is>
      </c>
      <c r="J1334" t="n">
        <v>143</v>
      </c>
      <c r="K1334" t="n">
        <v>1</v>
      </c>
      <c r="L1334" t="n">
        <v>839</v>
      </c>
      <c r="M1334" t="n">
        <v>0</v>
      </c>
      <c r="N1334">
        <f>VLOOKUP(J1334,Products!$A$2:$C$49,3,FALSE)</f>
        <v/>
      </c>
      <c r="O1334">
        <f>K1334*L1334-M1334</f>
        <v/>
      </c>
      <c r="P1334">
        <f>TEXT(B1334,"yyyy-mm")</f>
        <v/>
      </c>
      <c r="Q1334">
        <f>IF(O1334&gt;=3000,"Large","Small")</f>
        <v/>
      </c>
      <c r="R1334">
        <f>INDEX(Products!$F$2:$F$49,MATCH(J1334,Products!$A$2:$A$49,0))</f>
        <v/>
      </c>
      <c r="S1334">
        <f>WEEKDAY(B1334,2)</f>
        <v/>
      </c>
    </row>
    <row r="1335">
      <c r="A1335" t="n">
        <v>510010</v>
      </c>
      <c r="B1335" s="6" t="n">
        <v>45947</v>
      </c>
      <c r="C1335" t="n">
        <v>16874</v>
      </c>
      <c r="D1335" t="inlineStr">
        <is>
          <t>Bengaluru</t>
        </is>
      </c>
      <c r="E1335" t="inlineStr">
        <is>
          <t>South</t>
        </is>
      </c>
      <c r="F1335" t="inlineStr">
        <is>
          <t>Organic Search</t>
        </is>
      </c>
      <c r="G1335" t="inlineStr">
        <is>
          <t>Mobile App</t>
        </is>
      </c>
      <c r="H1335" t="inlineStr">
        <is>
          <t>UPI</t>
        </is>
      </c>
      <c r="I1335" t="inlineStr">
        <is>
          <t>Delivered</t>
        </is>
      </c>
      <c r="J1335" t="n">
        <v>144</v>
      </c>
      <c r="K1335" t="n">
        <v>1</v>
      </c>
      <c r="L1335" t="n">
        <v>3149</v>
      </c>
      <c r="M1335" t="n">
        <v>472.35</v>
      </c>
      <c r="N1335">
        <f>VLOOKUP(J1335,Products!$A$2:$C$49,3,FALSE)</f>
        <v/>
      </c>
      <c r="O1335">
        <f>K1335*L1335-M1335</f>
        <v/>
      </c>
      <c r="P1335">
        <f>TEXT(B1335,"yyyy-mm")</f>
        <v/>
      </c>
      <c r="Q1335">
        <f>IF(O1335&gt;=3000,"Large","Small")</f>
        <v/>
      </c>
      <c r="R1335">
        <f>INDEX(Products!$F$2:$F$49,MATCH(J1335,Products!$A$2:$A$49,0))</f>
        <v/>
      </c>
      <c r="S1335">
        <f>WEEKDAY(B1335,2)</f>
        <v/>
      </c>
    </row>
    <row r="1336">
      <c r="A1336" t="n">
        <v>510010</v>
      </c>
      <c r="B1336" s="6" t="n">
        <v>45947</v>
      </c>
      <c r="C1336" t="n">
        <v>16874</v>
      </c>
      <c r="D1336" t="inlineStr">
        <is>
          <t>Bengaluru</t>
        </is>
      </c>
      <c r="E1336" t="inlineStr">
        <is>
          <t>South</t>
        </is>
      </c>
      <c r="F1336" t="inlineStr">
        <is>
          <t>Organic Search</t>
        </is>
      </c>
      <c r="G1336" t="inlineStr">
        <is>
          <t>Mobile App</t>
        </is>
      </c>
      <c r="H1336" t="inlineStr">
        <is>
          <t>UPI</t>
        </is>
      </c>
      <c r="I1336" t="inlineStr">
        <is>
          <t>Delivered</t>
        </is>
      </c>
      <c r="J1336" t="n">
        <v>104</v>
      </c>
      <c r="K1336" t="n">
        <v>2</v>
      </c>
      <c r="L1336" t="n">
        <v>5249</v>
      </c>
      <c r="M1336" t="n">
        <v>1574.7</v>
      </c>
      <c r="N1336">
        <f>VLOOKUP(J1336,Products!$A$2:$C$49,3,FALSE)</f>
        <v/>
      </c>
      <c r="O1336">
        <f>K1336*L1336-M1336</f>
        <v/>
      </c>
      <c r="P1336">
        <f>TEXT(B1336,"yyyy-mm")</f>
        <v/>
      </c>
      <c r="Q1336">
        <f>IF(O1336&gt;=3000,"Large","Small")</f>
        <v/>
      </c>
      <c r="R1336">
        <f>INDEX(Products!$F$2:$F$49,MATCH(J1336,Products!$A$2:$A$49,0))</f>
        <v/>
      </c>
      <c r="S1336">
        <f>WEEKDAY(B1336,2)</f>
        <v/>
      </c>
    </row>
    <row r="1337">
      <c r="A1337" t="n">
        <v>510010</v>
      </c>
      <c r="B1337" s="6" t="n">
        <v>45947</v>
      </c>
      <c r="C1337" t="n">
        <v>16874</v>
      </c>
      <c r="D1337" t="inlineStr">
        <is>
          <t>Bengaluru</t>
        </is>
      </c>
      <c r="E1337" t="inlineStr">
        <is>
          <t>South</t>
        </is>
      </c>
      <c r="F1337" t="inlineStr">
        <is>
          <t>Organic Search</t>
        </is>
      </c>
      <c r="G1337" t="inlineStr">
        <is>
          <t>Mobile App</t>
        </is>
      </c>
      <c r="H1337" t="inlineStr">
        <is>
          <t>UPI</t>
        </is>
      </c>
      <c r="I1337" t="inlineStr">
        <is>
          <t>Delivered</t>
        </is>
      </c>
      <c r="J1337" t="n">
        <v>123</v>
      </c>
      <c r="K1337" t="n">
        <v>1</v>
      </c>
      <c r="L1337" t="n">
        <v>3464</v>
      </c>
      <c r="M1337" t="n">
        <v>519.6</v>
      </c>
      <c r="N1337">
        <f>VLOOKUP(J1337,Products!$A$2:$C$49,3,FALSE)</f>
        <v/>
      </c>
      <c r="O1337">
        <f>K1337*L1337-M1337</f>
        <v/>
      </c>
      <c r="P1337">
        <f>TEXT(B1337,"yyyy-mm")</f>
        <v/>
      </c>
      <c r="Q1337">
        <f>IF(O1337&gt;=3000,"Large","Small")</f>
        <v/>
      </c>
      <c r="R1337">
        <f>INDEX(Products!$F$2:$F$49,MATCH(J1337,Products!$A$2:$A$49,0))</f>
        <v/>
      </c>
      <c r="S1337">
        <f>WEEKDAY(B1337,2)</f>
        <v/>
      </c>
    </row>
    <row r="1338">
      <c r="A1338" t="n">
        <v>510011</v>
      </c>
      <c r="B1338" s="6" t="n">
        <v>45947</v>
      </c>
      <c r="C1338" t="n">
        <v>14796</v>
      </c>
      <c r="D1338" t="inlineStr">
        <is>
          <t>Delhi</t>
        </is>
      </c>
      <c r="E1338" t="inlineStr">
        <is>
          <t>North</t>
        </is>
      </c>
      <c r="F1338" t="inlineStr">
        <is>
          <t>Email</t>
        </is>
      </c>
      <c r="G1338" t="inlineStr">
        <is>
          <t>Mobile Web</t>
        </is>
      </c>
      <c r="H1338" t="inlineStr">
        <is>
          <t>UPI</t>
        </is>
      </c>
      <c r="I1338" t="inlineStr">
        <is>
          <t>Delivered</t>
        </is>
      </c>
      <c r="J1338" t="n">
        <v>112</v>
      </c>
      <c r="K1338" t="n">
        <v>1</v>
      </c>
      <c r="L1338" t="n">
        <v>1574</v>
      </c>
      <c r="M1338" t="n">
        <v>157.4</v>
      </c>
      <c r="N1338">
        <f>VLOOKUP(J1338,Products!$A$2:$C$49,3,FALSE)</f>
        <v/>
      </c>
      <c r="O1338">
        <f>K1338*L1338-M1338</f>
        <v/>
      </c>
      <c r="P1338">
        <f>TEXT(B1338,"yyyy-mm")</f>
        <v/>
      </c>
      <c r="Q1338">
        <f>IF(O1338&gt;=3000,"Large","Small")</f>
        <v/>
      </c>
      <c r="R1338">
        <f>INDEX(Products!$F$2:$F$49,MATCH(J1338,Products!$A$2:$A$49,0))</f>
        <v/>
      </c>
      <c r="S1338">
        <f>WEEKDAY(B1338,2)</f>
        <v/>
      </c>
    </row>
    <row r="1339">
      <c r="A1339" t="n">
        <v>510011</v>
      </c>
      <c r="B1339" s="6" t="n">
        <v>45947</v>
      </c>
      <c r="C1339" t="n">
        <v>14796</v>
      </c>
      <c r="D1339" t="inlineStr">
        <is>
          <t>Delhi</t>
        </is>
      </c>
      <c r="E1339" t="inlineStr">
        <is>
          <t>North</t>
        </is>
      </c>
      <c r="F1339" t="inlineStr">
        <is>
          <t>Email</t>
        </is>
      </c>
      <c r="G1339" t="inlineStr">
        <is>
          <t>Mobile Web</t>
        </is>
      </c>
      <c r="H1339" t="inlineStr">
        <is>
          <t>UPI</t>
        </is>
      </c>
      <c r="I1339" t="inlineStr">
        <is>
          <t>Delivered</t>
        </is>
      </c>
      <c r="J1339" t="n">
        <v>123</v>
      </c>
      <c r="K1339" t="n">
        <v>1</v>
      </c>
      <c r="L1339" t="n">
        <v>3464</v>
      </c>
      <c r="M1339" t="n">
        <v>346.4</v>
      </c>
      <c r="N1339">
        <f>VLOOKUP(J1339,Products!$A$2:$C$49,3,FALSE)</f>
        <v/>
      </c>
      <c r="O1339">
        <f>K1339*L1339-M1339</f>
        <v/>
      </c>
      <c r="P1339">
        <f>TEXT(B1339,"yyyy-mm")</f>
        <v/>
      </c>
      <c r="Q1339">
        <f>IF(O1339&gt;=3000,"Large","Small")</f>
        <v/>
      </c>
      <c r="R1339">
        <f>INDEX(Products!$F$2:$F$49,MATCH(J1339,Products!$A$2:$A$49,0))</f>
        <v/>
      </c>
      <c r="S1339">
        <f>WEEKDAY(B1339,2)</f>
        <v/>
      </c>
    </row>
    <row r="1340">
      <c r="A1340" t="n">
        <v>510012</v>
      </c>
      <c r="B1340" s="6" t="n">
        <v>45947</v>
      </c>
      <c r="C1340" t="n">
        <v>10146</v>
      </c>
      <c r="D1340" t="inlineStr">
        <is>
          <t>Mumbai</t>
        </is>
      </c>
      <c r="E1340" t="inlineStr">
        <is>
          <t>West</t>
        </is>
      </c>
      <c r="F1340" t="inlineStr">
        <is>
          <t>Paid Social</t>
        </is>
      </c>
      <c r="G1340" t="inlineStr">
        <is>
          <t>Mobile App</t>
        </is>
      </c>
      <c r="H1340" t="inlineStr">
        <is>
          <t>Debit Card</t>
        </is>
      </c>
      <c r="I1340" t="inlineStr">
        <is>
          <t>Delivered</t>
        </is>
      </c>
      <c r="J1340" t="n">
        <v>103</v>
      </c>
      <c r="K1340" t="n">
        <v>1</v>
      </c>
      <c r="L1340" t="n">
        <v>2624</v>
      </c>
      <c r="M1340" t="n">
        <v>0</v>
      </c>
      <c r="N1340">
        <f>VLOOKUP(J1340,Products!$A$2:$C$49,3,FALSE)</f>
        <v/>
      </c>
      <c r="O1340">
        <f>K1340*L1340-M1340</f>
        <v/>
      </c>
      <c r="P1340">
        <f>TEXT(B1340,"yyyy-mm")</f>
        <v/>
      </c>
      <c r="Q1340">
        <f>IF(O1340&gt;=3000,"Large","Small")</f>
        <v/>
      </c>
      <c r="R1340">
        <f>INDEX(Products!$F$2:$F$49,MATCH(J1340,Products!$A$2:$A$49,0))</f>
        <v/>
      </c>
      <c r="S1340">
        <f>WEEKDAY(B1340,2)</f>
        <v/>
      </c>
    </row>
    <row r="1341">
      <c r="A1341" t="n">
        <v>510012</v>
      </c>
      <c r="B1341" s="6" t="n">
        <v>45947</v>
      </c>
      <c r="C1341" t="n">
        <v>10146</v>
      </c>
      <c r="D1341" t="inlineStr">
        <is>
          <t>Mumbai</t>
        </is>
      </c>
      <c r="E1341" t="inlineStr">
        <is>
          <t>West</t>
        </is>
      </c>
      <c r="F1341" t="inlineStr">
        <is>
          <t>Paid Social</t>
        </is>
      </c>
      <c r="G1341" t="inlineStr">
        <is>
          <t>Mobile App</t>
        </is>
      </c>
      <c r="H1341" t="inlineStr">
        <is>
          <t>Debit Card</t>
        </is>
      </c>
      <c r="I1341" t="inlineStr">
        <is>
          <t>Delivered</t>
        </is>
      </c>
      <c r="J1341" t="n">
        <v>129</v>
      </c>
      <c r="K1341" t="n">
        <v>1</v>
      </c>
      <c r="L1341" t="n">
        <v>576</v>
      </c>
      <c r="M1341" t="n">
        <v>0</v>
      </c>
      <c r="N1341">
        <f>VLOOKUP(J1341,Products!$A$2:$C$49,3,FALSE)</f>
        <v/>
      </c>
      <c r="O1341">
        <f>K1341*L1341-M1341</f>
        <v/>
      </c>
      <c r="P1341">
        <f>TEXT(B1341,"yyyy-mm")</f>
        <v/>
      </c>
      <c r="Q1341">
        <f>IF(O1341&gt;=3000,"Large","Small")</f>
        <v/>
      </c>
      <c r="R1341">
        <f>INDEX(Products!$F$2:$F$49,MATCH(J1341,Products!$A$2:$A$49,0))</f>
        <v/>
      </c>
      <c r="S1341">
        <f>WEEKDAY(B1341,2)</f>
        <v/>
      </c>
    </row>
    <row r="1342">
      <c r="A1342" t="n">
        <v>510013</v>
      </c>
      <c r="B1342" s="6" t="n">
        <v>45947</v>
      </c>
      <c r="C1342" t="n">
        <v>16569</v>
      </c>
      <c r="D1342" t="inlineStr">
        <is>
          <t>Pune</t>
        </is>
      </c>
      <c r="E1342" t="inlineStr">
        <is>
          <t>West</t>
        </is>
      </c>
      <c r="F1342" t="inlineStr">
        <is>
          <t>Email</t>
        </is>
      </c>
      <c r="G1342" t="inlineStr">
        <is>
          <t>Mobile Web</t>
        </is>
      </c>
      <c r="H1342" t="inlineStr">
        <is>
          <t>UPI</t>
        </is>
      </c>
      <c r="I1342" t="inlineStr">
        <is>
          <t>Delivered</t>
        </is>
      </c>
      <c r="J1342" t="n">
        <v>147</v>
      </c>
      <c r="K1342" t="n">
        <v>1</v>
      </c>
      <c r="L1342" t="n">
        <v>1364</v>
      </c>
      <c r="M1342" t="n">
        <v>0</v>
      </c>
      <c r="N1342">
        <f>VLOOKUP(J1342,Products!$A$2:$C$49,3,FALSE)</f>
        <v/>
      </c>
      <c r="O1342">
        <f>K1342*L1342-M1342</f>
        <v/>
      </c>
      <c r="P1342">
        <f>TEXT(B1342,"yyyy-mm")</f>
        <v/>
      </c>
      <c r="Q1342">
        <f>IF(O1342&gt;=3000,"Large","Small")</f>
        <v/>
      </c>
      <c r="R1342">
        <f>INDEX(Products!$F$2:$F$49,MATCH(J1342,Products!$A$2:$A$49,0))</f>
        <v/>
      </c>
      <c r="S1342">
        <f>WEEKDAY(B1342,2)</f>
        <v/>
      </c>
    </row>
    <row r="1343">
      <c r="A1343" t="n">
        <v>510013</v>
      </c>
      <c r="B1343" s="6" t="n">
        <v>45947</v>
      </c>
      <c r="C1343" t="n">
        <v>16569</v>
      </c>
      <c r="D1343" t="inlineStr">
        <is>
          <t>Pune</t>
        </is>
      </c>
      <c r="E1343" t="inlineStr">
        <is>
          <t>West</t>
        </is>
      </c>
      <c r="F1343" t="inlineStr">
        <is>
          <t>Email</t>
        </is>
      </c>
      <c r="G1343" t="inlineStr">
        <is>
          <t>Mobile Web</t>
        </is>
      </c>
      <c r="H1343" t="inlineStr">
        <is>
          <t>UPI</t>
        </is>
      </c>
      <c r="I1343" t="inlineStr">
        <is>
          <t>Delivered</t>
        </is>
      </c>
      <c r="J1343" t="n">
        <v>107</v>
      </c>
      <c r="K1343" t="n">
        <v>1</v>
      </c>
      <c r="L1343" t="n">
        <v>1259</v>
      </c>
      <c r="M1343" t="n">
        <v>0</v>
      </c>
      <c r="N1343">
        <f>VLOOKUP(J1343,Products!$A$2:$C$49,3,FALSE)</f>
        <v/>
      </c>
      <c r="O1343">
        <f>K1343*L1343-M1343</f>
        <v/>
      </c>
      <c r="P1343">
        <f>TEXT(B1343,"yyyy-mm")</f>
        <v/>
      </c>
      <c r="Q1343">
        <f>IF(O1343&gt;=3000,"Large","Small")</f>
        <v/>
      </c>
      <c r="R1343">
        <f>INDEX(Products!$F$2:$F$49,MATCH(J1343,Products!$A$2:$A$49,0))</f>
        <v/>
      </c>
      <c r="S1343">
        <f>WEEKDAY(B1343,2)</f>
        <v/>
      </c>
    </row>
    <row r="1344">
      <c r="A1344" t="n">
        <v>510013</v>
      </c>
      <c r="B1344" s="6" t="n">
        <v>45947</v>
      </c>
      <c r="C1344" t="n">
        <v>16569</v>
      </c>
      <c r="D1344" t="inlineStr">
        <is>
          <t>Pune</t>
        </is>
      </c>
      <c r="E1344" t="inlineStr">
        <is>
          <t>West</t>
        </is>
      </c>
      <c r="F1344" t="inlineStr">
        <is>
          <t>Email</t>
        </is>
      </c>
      <c r="G1344" t="inlineStr">
        <is>
          <t>Mobile Web</t>
        </is>
      </c>
      <c r="H1344" t="inlineStr">
        <is>
          <t>UPI</t>
        </is>
      </c>
      <c r="I1344" t="inlineStr">
        <is>
          <t>Delivered</t>
        </is>
      </c>
      <c r="J1344" t="n">
        <v>129</v>
      </c>
      <c r="K1344" t="n">
        <v>1</v>
      </c>
      <c r="L1344" t="n">
        <v>576</v>
      </c>
      <c r="M1344" t="n">
        <v>0</v>
      </c>
      <c r="N1344">
        <f>VLOOKUP(J1344,Products!$A$2:$C$49,3,FALSE)</f>
        <v/>
      </c>
      <c r="O1344">
        <f>K1344*L1344-M1344</f>
        <v/>
      </c>
      <c r="P1344">
        <f>TEXT(B1344,"yyyy-mm")</f>
        <v/>
      </c>
      <c r="Q1344">
        <f>IF(O1344&gt;=3000,"Large","Small")</f>
        <v/>
      </c>
      <c r="R1344">
        <f>INDEX(Products!$F$2:$F$49,MATCH(J1344,Products!$A$2:$A$49,0))</f>
        <v/>
      </c>
      <c r="S1344">
        <f>WEEKDAY(B1344,2)</f>
        <v/>
      </c>
    </row>
    <row r="1345">
      <c r="A1345" t="n">
        <v>510014</v>
      </c>
      <c r="B1345" s="6" t="n">
        <v>45947</v>
      </c>
      <c r="C1345" t="n">
        <v>15481</v>
      </c>
      <c r="D1345" t="inlineStr">
        <is>
          <t>Hyderabad</t>
        </is>
      </c>
      <c r="E1345" t="inlineStr">
        <is>
          <t>South</t>
        </is>
      </c>
      <c r="F1345" t="inlineStr">
        <is>
          <t>Referral</t>
        </is>
      </c>
      <c r="G1345" t="inlineStr">
        <is>
          <t>Mobile Web</t>
        </is>
      </c>
      <c r="H1345" t="inlineStr">
        <is>
          <t>UPI</t>
        </is>
      </c>
      <c r="I1345" t="inlineStr">
        <is>
          <t>Cancelled</t>
        </is>
      </c>
      <c r="J1345" t="n">
        <v>135</v>
      </c>
      <c r="K1345" t="n">
        <v>1</v>
      </c>
      <c r="L1345" t="n">
        <v>1574</v>
      </c>
      <c r="M1345" t="n">
        <v>157.4</v>
      </c>
      <c r="N1345">
        <f>VLOOKUP(J1345,Products!$A$2:$C$49,3,FALSE)</f>
        <v/>
      </c>
      <c r="O1345">
        <f>K1345*L1345-M1345</f>
        <v/>
      </c>
      <c r="P1345">
        <f>TEXT(B1345,"yyyy-mm")</f>
        <v/>
      </c>
      <c r="Q1345">
        <f>IF(O1345&gt;=3000,"Large","Small")</f>
        <v/>
      </c>
      <c r="R1345">
        <f>INDEX(Products!$F$2:$F$49,MATCH(J1345,Products!$A$2:$A$49,0))</f>
        <v/>
      </c>
      <c r="S1345">
        <f>WEEKDAY(B1345,2)</f>
        <v/>
      </c>
    </row>
    <row r="1346">
      <c r="A1346" t="n">
        <v>510014</v>
      </c>
      <c r="B1346" s="6" t="n">
        <v>45947</v>
      </c>
      <c r="C1346" t="n">
        <v>15481</v>
      </c>
      <c r="D1346" t="inlineStr">
        <is>
          <t>Hyderabad</t>
        </is>
      </c>
      <c r="E1346" t="inlineStr">
        <is>
          <t>South</t>
        </is>
      </c>
      <c r="F1346" t="inlineStr">
        <is>
          <t>Referral</t>
        </is>
      </c>
      <c r="G1346" t="inlineStr">
        <is>
          <t>Mobile Web</t>
        </is>
      </c>
      <c r="H1346" t="inlineStr">
        <is>
          <t>UPI</t>
        </is>
      </c>
      <c r="I1346" t="inlineStr">
        <is>
          <t>Cancelled</t>
        </is>
      </c>
      <c r="J1346" t="n">
        <v>113</v>
      </c>
      <c r="K1346" t="n">
        <v>1</v>
      </c>
      <c r="L1346" t="n">
        <v>1364</v>
      </c>
      <c r="M1346" t="n">
        <v>136.4</v>
      </c>
      <c r="N1346">
        <f>VLOOKUP(J1346,Products!$A$2:$C$49,3,FALSE)</f>
        <v/>
      </c>
      <c r="O1346">
        <f>K1346*L1346-M1346</f>
        <v/>
      </c>
      <c r="P1346">
        <f>TEXT(B1346,"yyyy-mm")</f>
        <v/>
      </c>
      <c r="Q1346">
        <f>IF(O1346&gt;=3000,"Large","Small")</f>
        <v/>
      </c>
      <c r="R1346">
        <f>INDEX(Products!$F$2:$F$49,MATCH(J1346,Products!$A$2:$A$49,0))</f>
        <v/>
      </c>
      <c r="S1346">
        <f>WEEKDAY(B1346,2)</f>
        <v/>
      </c>
    </row>
    <row r="1347">
      <c r="A1347" t="n">
        <v>510015</v>
      </c>
      <c r="B1347" s="6" t="n">
        <v>45947</v>
      </c>
      <c r="C1347" t="n">
        <v>15817</v>
      </c>
      <c r="D1347" t="inlineStr">
        <is>
          <t>Bengaluru</t>
        </is>
      </c>
      <c r="E1347" t="inlineStr">
        <is>
          <t>South</t>
        </is>
      </c>
      <c r="F1347" t="inlineStr">
        <is>
          <t>Organic Search</t>
        </is>
      </c>
      <c r="G1347" t="inlineStr">
        <is>
          <t>Mobile Web</t>
        </is>
      </c>
      <c r="H1347" t="inlineStr">
        <is>
          <t>Credit Card</t>
        </is>
      </c>
      <c r="I1347" t="inlineStr">
        <is>
          <t>Delivered</t>
        </is>
      </c>
      <c r="J1347" t="n">
        <v>112</v>
      </c>
      <c r="K1347" t="n">
        <v>1</v>
      </c>
      <c r="L1347" t="n">
        <v>1574</v>
      </c>
      <c r="M1347" t="n">
        <v>157.4</v>
      </c>
      <c r="N1347">
        <f>VLOOKUP(J1347,Products!$A$2:$C$49,3,FALSE)</f>
        <v/>
      </c>
      <c r="O1347">
        <f>K1347*L1347-M1347</f>
        <v/>
      </c>
      <c r="P1347">
        <f>TEXT(B1347,"yyyy-mm")</f>
        <v/>
      </c>
      <c r="Q1347">
        <f>IF(O1347&gt;=3000,"Large","Small")</f>
        <v/>
      </c>
      <c r="R1347">
        <f>INDEX(Products!$F$2:$F$49,MATCH(J1347,Products!$A$2:$A$49,0))</f>
        <v/>
      </c>
      <c r="S1347">
        <f>WEEKDAY(B1347,2)</f>
        <v/>
      </c>
    </row>
    <row r="1348">
      <c r="A1348" t="n">
        <v>510016</v>
      </c>
      <c r="B1348" s="6" t="n">
        <v>45947</v>
      </c>
      <c r="C1348" t="n">
        <v>10791</v>
      </c>
      <c r="D1348" t="inlineStr">
        <is>
          <t>Mumbai</t>
        </is>
      </c>
      <c r="E1348" t="inlineStr">
        <is>
          <t>West</t>
        </is>
      </c>
      <c r="F1348" t="inlineStr">
        <is>
          <t>Paid Social</t>
        </is>
      </c>
      <c r="G1348" t="inlineStr">
        <is>
          <t>Mobile App</t>
        </is>
      </c>
      <c r="H1348" t="inlineStr">
        <is>
          <t>Cash on Delivery</t>
        </is>
      </c>
      <c r="I1348" t="inlineStr">
        <is>
          <t>Delivered</t>
        </is>
      </c>
      <c r="J1348" t="n">
        <v>148</v>
      </c>
      <c r="K1348" t="n">
        <v>1</v>
      </c>
      <c r="L1348" t="n">
        <v>734</v>
      </c>
      <c r="M1348" t="n">
        <v>73.40000000000001</v>
      </c>
      <c r="N1348">
        <f>VLOOKUP(J1348,Products!$A$2:$C$49,3,FALSE)</f>
        <v/>
      </c>
      <c r="O1348">
        <f>K1348*L1348-M1348</f>
        <v/>
      </c>
      <c r="P1348">
        <f>TEXT(B1348,"yyyy-mm")</f>
        <v/>
      </c>
      <c r="Q1348">
        <f>IF(O1348&gt;=3000,"Large","Small")</f>
        <v/>
      </c>
      <c r="R1348">
        <f>INDEX(Products!$F$2:$F$49,MATCH(J1348,Products!$A$2:$A$49,0))</f>
        <v/>
      </c>
      <c r="S1348">
        <f>WEEKDAY(B1348,2)</f>
        <v/>
      </c>
    </row>
    <row r="1349">
      <c r="A1349" t="n">
        <v>510016</v>
      </c>
      <c r="B1349" s="6" t="n">
        <v>45947</v>
      </c>
      <c r="C1349" t="n">
        <v>10791</v>
      </c>
      <c r="D1349" t="inlineStr">
        <is>
          <t>Mumbai</t>
        </is>
      </c>
      <c r="E1349" t="inlineStr">
        <is>
          <t>West</t>
        </is>
      </c>
      <c r="F1349" t="inlineStr">
        <is>
          <t>Paid Social</t>
        </is>
      </c>
      <c r="G1349" t="inlineStr">
        <is>
          <t>Mobile App</t>
        </is>
      </c>
      <c r="H1349" t="inlineStr">
        <is>
          <t>Cash on Delivery</t>
        </is>
      </c>
      <c r="I1349" t="inlineStr">
        <is>
          <t>Delivered</t>
        </is>
      </c>
      <c r="J1349" t="n">
        <v>112</v>
      </c>
      <c r="K1349" t="n">
        <v>1</v>
      </c>
      <c r="L1349" t="n">
        <v>1574</v>
      </c>
      <c r="M1349" t="n">
        <v>157.4</v>
      </c>
      <c r="N1349">
        <f>VLOOKUP(J1349,Products!$A$2:$C$49,3,FALSE)</f>
        <v/>
      </c>
      <c r="O1349">
        <f>K1349*L1349-M1349</f>
        <v/>
      </c>
      <c r="P1349">
        <f>TEXT(B1349,"yyyy-mm")</f>
        <v/>
      </c>
      <c r="Q1349">
        <f>IF(O1349&gt;=3000,"Large","Small")</f>
        <v/>
      </c>
      <c r="R1349">
        <f>INDEX(Products!$F$2:$F$49,MATCH(J1349,Products!$A$2:$A$49,0))</f>
        <v/>
      </c>
      <c r="S1349">
        <f>WEEKDAY(B1349,2)</f>
        <v/>
      </c>
    </row>
    <row r="1350">
      <c r="A1350" t="n">
        <v>510017</v>
      </c>
      <c r="B1350" s="6" t="n">
        <v>45947</v>
      </c>
      <c r="C1350" t="n">
        <v>12057</v>
      </c>
      <c r="D1350" t="inlineStr">
        <is>
          <t>Pune</t>
        </is>
      </c>
      <c r="E1350" t="inlineStr">
        <is>
          <t>West</t>
        </is>
      </c>
      <c r="F1350" t="inlineStr">
        <is>
          <t>Organic Search</t>
        </is>
      </c>
      <c r="G1350" t="inlineStr">
        <is>
          <t>Mobile App</t>
        </is>
      </c>
      <c r="H1350" t="inlineStr">
        <is>
          <t>Credit Card</t>
        </is>
      </c>
      <c r="I1350" t="inlineStr">
        <is>
          <t>Delivered</t>
        </is>
      </c>
      <c r="J1350" t="n">
        <v>144</v>
      </c>
      <c r="K1350" t="n">
        <v>1</v>
      </c>
      <c r="L1350" t="n">
        <v>3149</v>
      </c>
      <c r="M1350" t="n">
        <v>0</v>
      </c>
      <c r="N1350">
        <f>VLOOKUP(J1350,Products!$A$2:$C$49,3,FALSE)</f>
        <v/>
      </c>
      <c r="O1350">
        <f>K1350*L1350-M1350</f>
        <v/>
      </c>
      <c r="P1350">
        <f>TEXT(B1350,"yyyy-mm")</f>
        <v/>
      </c>
      <c r="Q1350">
        <f>IF(O1350&gt;=3000,"Large","Small")</f>
        <v/>
      </c>
      <c r="R1350">
        <f>INDEX(Products!$F$2:$F$49,MATCH(J1350,Products!$A$2:$A$49,0))</f>
        <v/>
      </c>
      <c r="S1350">
        <f>WEEKDAY(B1350,2)</f>
        <v/>
      </c>
    </row>
    <row r="1351">
      <c r="A1351" t="n">
        <v>510017</v>
      </c>
      <c r="B1351" s="6" t="n">
        <v>45947</v>
      </c>
      <c r="C1351" t="n">
        <v>12057</v>
      </c>
      <c r="D1351" t="inlineStr">
        <is>
          <t>Pune</t>
        </is>
      </c>
      <c r="E1351" t="inlineStr">
        <is>
          <t>West</t>
        </is>
      </c>
      <c r="F1351" t="inlineStr">
        <is>
          <t>Organic Search</t>
        </is>
      </c>
      <c r="G1351" t="inlineStr">
        <is>
          <t>Mobile App</t>
        </is>
      </c>
      <c r="H1351" t="inlineStr">
        <is>
          <t>Credit Card</t>
        </is>
      </c>
      <c r="I1351" t="inlineStr">
        <is>
          <t>Delivered</t>
        </is>
      </c>
      <c r="J1351" t="n">
        <v>135</v>
      </c>
      <c r="K1351" t="n">
        <v>1</v>
      </c>
      <c r="L1351" t="n">
        <v>1574</v>
      </c>
      <c r="M1351" t="n">
        <v>0</v>
      </c>
      <c r="N1351">
        <f>VLOOKUP(J1351,Products!$A$2:$C$49,3,FALSE)</f>
        <v/>
      </c>
      <c r="O1351">
        <f>K1351*L1351-M1351</f>
        <v/>
      </c>
      <c r="P1351">
        <f>TEXT(B1351,"yyyy-mm")</f>
        <v/>
      </c>
      <c r="Q1351">
        <f>IF(O1351&gt;=3000,"Large","Small")</f>
        <v/>
      </c>
      <c r="R1351">
        <f>INDEX(Products!$F$2:$F$49,MATCH(J1351,Products!$A$2:$A$49,0))</f>
        <v/>
      </c>
      <c r="S1351">
        <f>WEEKDAY(B1351,2)</f>
        <v/>
      </c>
    </row>
    <row r="1352">
      <c r="A1352" t="n">
        <v>510017</v>
      </c>
      <c r="B1352" s="6" t="n">
        <v>45947</v>
      </c>
      <c r="C1352" t="n">
        <v>12057</v>
      </c>
      <c r="D1352" t="inlineStr">
        <is>
          <t>Pune</t>
        </is>
      </c>
      <c r="E1352" t="inlineStr">
        <is>
          <t>West</t>
        </is>
      </c>
      <c r="F1352" t="inlineStr">
        <is>
          <t>Organic Search</t>
        </is>
      </c>
      <c r="G1352" t="inlineStr">
        <is>
          <t>Mobile App</t>
        </is>
      </c>
      <c r="H1352" t="inlineStr">
        <is>
          <t>Credit Card</t>
        </is>
      </c>
      <c r="I1352" t="inlineStr">
        <is>
          <t>Delivered</t>
        </is>
      </c>
      <c r="J1352" t="n">
        <v>129</v>
      </c>
      <c r="K1352" t="n">
        <v>1</v>
      </c>
      <c r="L1352" t="n">
        <v>576</v>
      </c>
      <c r="M1352" t="n">
        <v>0</v>
      </c>
      <c r="N1352">
        <f>VLOOKUP(J1352,Products!$A$2:$C$49,3,FALSE)</f>
        <v/>
      </c>
      <c r="O1352">
        <f>K1352*L1352-M1352</f>
        <v/>
      </c>
      <c r="P1352">
        <f>TEXT(B1352,"yyyy-mm")</f>
        <v/>
      </c>
      <c r="Q1352">
        <f>IF(O1352&gt;=3000,"Large","Small")</f>
        <v/>
      </c>
      <c r="R1352">
        <f>INDEX(Products!$F$2:$F$49,MATCH(J1352,Products!$A$2:$A$49,0))</f>
        <v/>
      </c>
      <c r="S1352">
        <f>WEEKDAY(B1352,2)</f>
        <v/>
      </c>
    </row>
    <row r="1353">
      <c r="A1353" t="n">
        <v>510018</v>
      </c>
      <c r="B1353" s="6" t="n">
        <v>45947</v>
      </c>
      <c r="C1353" t="n">
        <v>13873</v>
      </c>
      <c r="D1353" t="inlineStr">
        <is>
          <t>Mumbai</t>
        </is>
      </c>
      <c r="E1353" t="inlineStr">
        <is>
          <t>West</t>
        </is>
      </c>
      <c r="F1353" t="inlineStr">
        <is>
          <t>Organic Search</t>
        </is>
      </c>
      <c r="G1353" t="inlineStr">
        <is>
          <t>Desktop</t>
        </is>
      </c>
      <c r="H1353" t="inlineStr">
        <is>
          <t>Cash on Delivery</t>
        </is>
      </c>
      <c r="I1353" t="inlineStr">
        <is>
          <t>Delivered</t>
        </is>
      </c>
      <c r="J1353" t="n">
        <v>118</v>
      </c>
      <c r="K1353" t="n">
        <v>1</v>
      </c>
      <c r="L1353" t="n">
        <v>944</v>
      </c>
      <c r="M1353" t="n">
        <v>94.40000000000001</v>
      </c>
      <c r="N1353">
        <f>VLOOKUP(J1353,Products!$A$2:$C$49,3,FALSE)</f>
        <v/>
      </c>
      <c r="O1353">
        <f>K1353*L1353-M1353</f>
        <v/>
      </c>
      <c r="P1353">
        <f>TEXT(B1353,"yyyy-mm")</f>
        <v/>
      </c>
      <c r="Q1353">
        <f>IF(O1353&gt;=3000,"Large","Small")</f>
        <v/>
      </c>
      <c r="R1353">
        <f>INDEX(Products!$F$2:$F$49,MATCH(J1353,Products!$A$2:$A$49,0))</f>
        <v/>
      </c>
      <c r="S1353">
        <f>WEEKDAY(B1353,2)</f>
        <v/>
      </c>
    </row>
    <row r="1354">
      <c r="A1354" t="n">
        <v>510018</v>
      </c>
      <c r="B1354" s="6" t="n">
        <v>45947</v>
      </c>
      <c r="C1354" t="n">
        <v>13873</v>
      </c>
      <c r="D1354" t="inlineStr">
        <is>
          <t>Mumbai</t>
        </is>
      </c>
      <c r="E1354" t="inlineStr">
        <is>
          <t>West</t>
        </is>
      </c>
      <c r="F1354" t="inlineStr">
        <is>
          <t>Organic Search</t>
        </is>
      </c>
      <c r="G1354" t="inlineStr">
        <is>
          <t>Desktop</t>
        </is>
      </c>
      <c r="H1354" t="inlineStr">
        <is>
          <t>Cash on Delivery</t>
        </is>
      </c>
      <c r="I1354" t="inlineStr">
        <is>
          <t>Delivered</t>
        </is>
      </c>
      <c r="J1354" t="n">
        <v>129</v>
      </c>
      <c r="K1354" t="n">
        <v>1</v>
      </c>
      <c r="L1354" t="n">
        <v>576</v>
      </c>
      <c r="M1354" t="n">
        <v>57.6</v>
      </c>
      <c r="N1354">
        <f>VLOOKUP(J1354,Products!$A$2:$C$49,3,FALSE)</f>
        <v/>
      </c>
      <c r="O1354">
        <f>K1354*L1354-M1354</f>
        <v/>
      </c>
      <c r="P1354">
        <f>TEXT(B1354,"yyyy-mm")</f>
        <v/>
      </c>
      <c r="Q1354">
        <f>IF(O1354&gt;=3000,"Large","Small")</f>
        <v/>
      </c>
      <c r="R1354">
        <f>INDEX(Products!$F$2:$F$49,MATCH(J1354,Products!$A$2:$A$49,0))</f>
        <v/>
      </c>
      <c r="S1354">
        <f>WEEKDAY(B1354,2)</f>
        <v/>
      </c>
    </row>
    <row r="1355">
      <c r="A1355" t="n">
        <v>510019</v>
      </c>
      <c r="B1355" s="6" t="n">
        <v>45947</v>
      </c>
      <c r="C1355" t="n">
        <v>11852</v>
      </c>
      <c r="D1355" t="inlineStr">
        <is>
          <t>Kochi</t>
        </is>
      </c>
      <c r="E1355" t="inlineStr">
        <is>
          <t>South</t>
        </is>
      </c>
      <c r="F1355" t="inlineStr">
        <is>
          <t>Organic Search</t>
        </is>
      </c>
      <c r="G1355" t="inlineStr">
        <is>
          <t>Mobile Web</t>
        </is>
      </c>
      <c r="H1355" t="inlineStr">
        <is>
          <t>UPI</t>
        </is>
      </c>
      <c r="I1355" t="inlineStr">
        <is>
          <t>Delivered</t>
        </is>
      </c>
      <c r="J1355" t="n">
        <v>129</v>
      </c>
      <c r="K1355" t="n">
        <v>1</v>
      </c>
      <c r="L1355" t="n">
        <v>576</v>
      </c>
      <c r="M1355" t="n">
        <v>0</v>
      </c>
      <c r="N1355">
        <f>VLOOKUP(J1355,Products!$A$2:$C$49,3,FALSE)</f>
        <v/>
      </c>
      <c r="O1355">
        <f>K1355*L1355-M1355</f>
        <v/>
      </c>
      <c r="P1355">
        <f>TEXT(B1355,"yyyy-mm")</f>
        <v/>
      </c>
      <c r="Q1355">
        <f>IF(O1355&gt;=3000,"Large","Small")</f>
        <v/>
      </c>
      <c r="R1355">
        <f>INDEX(Products!$F$2:$F$49,MATCH(J1355,Products!$A$2:$A$49,0))</f>
        <v/>
      </c>
      <c r="S1355">
        <f>WEEKDAY(B1355,2)</f>
        <v/>
      </c>
    </row>
    <row r="1356">
      <c r="A1356" t="n">
        <v>510019</v>
      </c>
      <c r="B1356" s="6" t="n">
        <v>45947</v>
      </c>
      <c r="C1356" t="n">
        <v>11852</v>
      </c>
      <c r="D1356" t="inlineStr">
        <is>
          <t>Kochi</t>
        </is>
      </c>
      <c r="E1356" t="inlineStr">
        <is>
          <t>South</t>
        </is>
      </c>
      <c r="F1356" t="inlineStr">
        <is>
          <t>Organic Search</t>
        </is>
      </c>
      <c r="G1356" t="inlineStr">
        <is>
          <t>Mobile Web</t>
        </is>
      </c>
      <c r="H1356" t="inlineStr">
        <is>
          <t>UPI</t>
        </is>
      </c>
      <c r="I1356" t="inlineStr">
        <is>
          <t>Delivered</t>
        </is>
      </c>
      <c r="J1356" t="n">
        <v>146</v>
      </c>
      <c r="K1356" t="n">
        <v>1</v>
      </c>
      <c r="L1356" t="n">
        <v>4724</v>
      </c>
      <c r="M1356" t="n">
        <v>0</v>
      </c>
      <c r="N1356">
        <f>VLOOKUP(J1356,Products!$A$2:$C$49,3,FALSE)</f>
        <v/>
      </c>
      <c r="O1356">
        <f>K1356*L1356-M1356</f>
        <v/>
      </c>
      <c r="P1356">
        <f>TEXT(B1356,"yyyy-mm")</f>
        <v/>
      </c>
      <c r="Q1356">
        <f>IF(O1356&gt;=3000,"Large","Small")</f>
        <v/>
      </c>
      <c r="R1356">
        <f>INDEX(Products!$F$2:$F$49,MATCH(J1356,Products!$A$2:$A$49,0))</f>
        <v/>
      </c>
      <c r="S1356">
        <f>WEEKDAY(B1356,2)</f>
        <v/>
      </c>
    </row>
    <row r="1357">
      <c r="A1357" t="n">
        <v>510020</v>
      </c>
      <c r="B1357" s="6" t="n">
        <v>45947</v>
      </c>
      <c r="C1357" t="n">
        <v>14491</v>
      </c>
      <c r="D1357" t="inlineStr">
        <is>
          <t>Chennai</t>
        </is>
      </c>
      <c r="E1357" t="inlineStr">
        <is>
          <t>South</t>
        </is>
      </c>
      <c r="F1357" t="inlineStr">
        <is>
          <t>Organic Search</t>
        </is>
      </c>
      <c r="G1357" t="inlineStr">
        <is>
          <t>Desktop</t>
        </is>
      </c>
      <c r="H1357" t="inlineStr">
        <is>
          <t>UPI</t>
        </is>
      </c>
      <c r="I1357" t="inlineStr">
        <is>
          <t>Delivered</t>
        </is>
      </c>
      <c r="J1357" t="n">
        <v>101</v>
      </c>
      <c r="K1357" t="n">
        <v>1</v>
      </c>
      <c r="L1357" t="n">
        <v>2099</v>
      </c>
      <c r="M1357" t="n">
        <v>209.9</v>
      </c>
      <c r="N1357">
        <f>VLOOKUP(J1357,Products!$A$2:$C$49,3,FALSE)</f>
        <v/>
      </c>
      <c r="O1357">
        <f>K1357*L1357-M1357</f>
        <v/>
      </c>
      <c r="P1357">
        <f>TEXT(B1357,"yyyy-mm")</f>
        <v/>
      </c>
      <c r="Q1357">
        <f>IF(O1357&gt;=3000,"Large","Small")</f>
        <v/>
      </c>
      <c r="R1357">
        <f>INDEX(Products!$F$2:$F$49,MATCH(J1357,Products!$A$2:$A$49,0))</f>
        <v/>
      </c>
      <c r="S1357">
        <f>WEEKDAY(B1357,2)</f>
        <v/>
      </c>
    </row>
    <row r="1358">
      <c r="A1358" t="n">
        <v>510020</v>
      </c>
      <c r="B1358" s="6" t="n">
        <v>45947</v>
      </c>
      <c r="C1358" t="n">
        <v>14491</v>
      </c>
      <c r="D1358" t="inlineStr">
        <is>
          <t>Chennai</t>
        </is>
      </c>
      <c r="E1358" t="inlineStr">
        <is>
          <t>South</t>
        </is>
      </c>
      <c r="F1358" t="inlineStr">
        <is>
          <t>Organic Search</t>
        </is>
      </c>
      <c r="G1358" t="inlineStr">
        <is>
          <t>Desktop</t>
        </is>
      </c>
      <c r="H1358" t="inlineStr">
        <is>
          <t>UPI</t>
        </is>
      </c>
      <c r="I1358" t="inlineStr">
        <is>
          <t>Delivered</t>
        </is>
      </c>
      <c r="J1358" t="n">
        <v>108</v>
      </c>
      <c r="K1358" t="n">
        <v>1</v>
      </c>
      <c r="L1358" t="n">
        <v>419</v>
      </c>
      <c r="M1358" t="n">
        <v>41.9</v>
      </c>
      <c r="N1358">
        <f>VLOOKUP(J1358,Products!$A$2:$C$49,3,FALSE)</f>
        <v/>
      </c>
      <c r="O1358">
        <f>K1358*L1358-M1358</f>
        <v/>
      </c>
      <c r="P1358">
        <f>TEXT(B1358,"yyyy-mm")</f>
        <v/>
      </c>
      <c r="Q1358">
        <f>IF(O1358&gt;=3000,"Large","Small")</f>
        <v/>
      </c>
      <c r="R1358">
        <f>INDEX(Products!$F$2:$F$49,MATCH(J1358,Products!$A$2:$A$49,0))</f>
        <v/>
      </c>
      <c r="S1358">
        <f>WEEKDAY(B1358,2)</f>
        <v/>
      </c>
    </row>
    <row r="1359">
      <c r="A1359" t="n">
        <v>510021</v>
      </c>
      <c r="B1359" s="6" t="n">
        <v>45947</v>
      </c>
      <c r="C1359" t="n">
        <v>16822</v>
      </c>
      <c r="D1359" t="inlineStr">
        <is>
          <t>Jaipur</t>
        </is>
      </c>
      <c r="E1359" t="inlineStr">
        <is>
          <t>North</t>
        </is>
      </c>
      <c r="F1359" t="inlineStr">
        <is>
          <t>Email</t>
        </is>
      </c>
      <c r="G1359" t="inlineStr">
        <is>
          <t>Mobile App</t>
        </is>
      </c>
      <c r="H1359" t="inlineStr">
        <is>
          <t>UPI</t>
        </is>
      </c>
      <c r="I1359" t="inlineStr">
        <is>
          <t>Delivered</t>
        </is>
      </c>
      <c r="J1359" t="n">
        <v>109</v>
      </c>
      <c r="K1359" t="n">
        <v>2</v>
      </c>
      <c r="L1359" t="n">
        <v>4199</v>
      </c>
      <c r="M1359" t="n">
        <v>0</v>
      </c>
      <c r="N1359">
        <f>VLOOKUP(J1359,Products!$A$2:$C$49,3,FALSE)</f>
        <v/>
      </c>
      <c r="O1359">
        <f>K1359*L1359-M1359</f>
        <v/>
      </c>
      <c r="P1359">
        <f>TEXT(B1359,"yyyy-mm")</f>
        <v/>
      </c>
      <c r="Q1359">
        <f>IF(O1359&gt;=3000,"Large","Small")</f>
        <v/>
      </c>
      <c r="R1359">
        <f>INDEX(Products!$F$2:$F$49,MATCH(J1359,Products!$A$2:$A$49,0))</f>
        <v/>
      </c>
      <c r="S1359">
        <f>WEEKDAY(B1359,2)</f>
        <v/>
      </c>
    </row>
    <row r="1360">
      <c r="A1360" t="n">
        <v>510021</v>
      </c>
      <c r="B1360" s="6" t="n">
        <v>45947</v>
      </c>
      <c r="C1360" t="n">
        <v>16822</v>
      </c>
      <c r="D1360" t="inlineStr">
        <is>
          <t>Jaipur</t>
        </is>
      </c>
      <c r="E1360" t="inlineStr">
        <is>
          <t>North</t>
        </is>
      </c>
      <c r="F1360" t="inlineStr">
        <is>
          <t>Email</t>
        </is>
      </c>
      <c r="G1360" t="inlineStr">
        <is>
          <t>Mobile App</t>
        </is>
      </c>
      <c r="H1360" t="inlineStr">
        <is>
          <t>UPI</t>
        </is>
      </c>
      <c r="I1360" t="inlineStr">
        <is>
          <t>Delivered</t>
        </is>
      </c>
      <c r="J1360" t="n">
        <v>146</v>
      </c>
      <c r="K1360" t="n">
        <v>1</v>
      </c>
      <c r="L1360" t="n">
        <v>4724</v>
      </c>
      <c r="M1360" t="n">
        <v>0</v>
      </c>
      <c r="N1360">
        <f>VLOOKUP(J1360,Products!$A$2:$C$49,3,FALSE)</f>
        <v/>
      </c>
      <c r="O1360">
        <f>K1360*L1360-M1360</f>
        <v/>
      </c>
      <c r="P1360">
        <f>TEXT(B1360,"yyyy-mm")</f>
        <v/>
      </c>
      <c r="Q1360">
        <f>IF(O1360&gt;=3000,"Large","Small")</f>
        <v/>
      </c>
      <c r="R1360">
        <f>INDEX(Products!$F$2:$F$49,MATCH(J1360,Products!$A$2:$A$49,0))</f>
        <v/>
      </c>
      <c r="S1360">
        <f>WEEKDAY(B1360,2)</f>
        <v/>
      </c>
    </row>
    <row r="1361">
      <c r="A1361" t="n">
        <v>510022</v>
      </c>
      <c r="B1361" s="6" t="n">
        <v>45947</v>
      </c>
      <c r="C1361" t="n">
        <v>16009</v>
      </c>
      <c r="D1361" t="inlineStr">
        <is>
          <t>Delhi</t>
        </is>
      </c>
      <c r="E1361" t="inlineStr">
        <is>
          <t>North</t>
        </is>
      </c>
      <c r="F1361" t="inlineStr">
        <is>
          <t>Referral</t>
        </is>
      </c>
      <c r="G1361" t="inlineStr">
        <is>
          <t>Mobile App</t>
        </is>
      </c>
      <c r="H1361" t="inlineStr">
        <is>
          <t>UPI</t>
        </is>
      </c>
      <c r="I1361" t="inlineStr">
        <is>
          <t>Delivered</t>
        </is>
      </c>
      <c r="J1361" t="n">
        <v>135</v>
      </c>
      <c r="K1361" t="n">
        <v>1</v>
      </c>
      <c r="L1361" t="n">
        <v>1574</v>
      </c>
      <c r="M1361" t="n">
        <v>0</v>
      </c>
      <c r="N1361">
        <f>VLOOKUP(J1361,Products!$A$2:$C$49,3,FALSE)</f>
        <v/>
      </c>
      <c r="O1361">
        <f>K1361*L1361-M1361</f>
        <v/>
      </c>
      <c r="P1361">
        <f>TEXT(B1361,"yyyy-mm")</f>
        <v/>
      </c>
      <c r="Q1361">
        <f>IF(O1361&gt;=3000,"Large","Small")</f>
        <v/>
      </c>
      <c r="R1361">
        <f>INDEX(Products!$F$2:$F$49,MATCH(J1361,Products!$A$2:$A$49,0))</f>
        <v/>
      </c>
      <c r="S1361">
        <f>WEEKDAY(B1361,2)</f>
        <v/>
      </c>
    </row>
    <row r="1362">
      <c r="A1362" t="n">
        <v>510022</v>
      </c>
      <c r="B1362" s="6" t="n">
        <v>45947</v>
      </c>
      <c r="C1362" t="n">
        <v>16009</v>
      </c>
      <c r="D1362" t="inlineStr">
        <is>
          <t>Delhi</t>
        </is>
      </c>
      <c r="E1362" t="inlineStr">
        <is>
          <t>North</t>
        </is>
      </c>
      <c r="F1362" t="inlineStr">
        <is>
          <t>Referral</t>
        </is>
      </c>
      <c r="G1362" t="inlineStr">
        <is>
          <t>Mobile App</t>
        </is>
      </c>
      <c r="H1362" t="inlineStr">
        <is>
          <t>UPI</t>
        </is>
      </c>
      <c r="I1362" t="inlineStr">
        <is>
          <t>Delivered</t>
        </is>
      </c>
      <c r="J1362" t="n">
        <v>114</v>
      </c>
      <c r="K1362" t="n">
        <v>1</v>
      </c>
      <c r="L1362" t="n">
        <v>1259</v>
      </c>
      <c r="M1362" t="n">
        <v>0</v>
      </c>
      <c r="N1362">
        <f>VLOOKUP(J1362,Products!$A$2:$C$49,3,FALSE)</f>
        <v/>
      </c>
      <c r="O1362">
        <f>K1362*L1362-M1362</f>
        <v/>
      </c>
      <c r="P1362">
        <f>TEXT(B1362,"yyyy-mm")</f>
        <v/>
      </c>
      <c r="Q1362">
        <f>IF(O1362&gt;=3000,"Large","Small")</f>
        <v/>
      </c>
      <c r="R1362">
        <f>INDEX(Products!$F$2:$F$49,MATCH(J1362,Products!$A$2:$A$49,0))</f>
        <v/>
      </c>
      <c r="S1362">
        <f>WEEKDAY(B1362,2)</f>
        <v/>
      </c>
    </row>
    <row r="1363">
      <c r="A1363" t="n">
        <v>510023</v>
      </c>
      <c r="B1363" s="6" t="n">
        <v>45947</v>
      </c>
      <c r="C1363" t="n">
        <v>14680</v>
      </c>
      <c r="D1363" t="inlineStr">
        <is>
          <t>Chennai</t>
        </is>
      </c>
      <c r="E1363" t="inlineStr">
        <is>
          <t>South</t>
        </is>
      </c>
      <c r="F1363" t="inlineStr">
        <is>
          <t>Referral</t>
        </is>
      </c>
      <c r="G1363" t="inlineStr">
        <is>
          <t>Mobile App</t>
        </is>
      </c>
      <c r="H1363" t="inlineStr">
        <is>
          <t>UPI</t>
        </is>
      </c>
      <c r="I1363" t="inlineStr">
        <is>
          <t>Delivered</t>
        </is>
      </c>
      <c r="J1363" t="n">
        <v>143</v>
      </c>
      <c r="K1363" t="n">
        <v>1</v>
      </c>
      <c r="L1363" t="n">
        <v>839</v>
      </c>
      <c r="M1363" t="n">
        <v>0</v>
      </c>
      <c r="N1363">
        <f>VLOOKUP(J1363,Products!$A$2:$C$49,3,FALSE)</f>
        <v/>
      </c>
      <c r="O1363">
        <f>K1363*L1363-M1363</f>
        <v/>
      </c>
      <c r="P1363">
        <f>TEXT(B1363,"yyyy-mm")</f>
        <v/>
      </c>
      <c r="Q1363">
        <f>IF(O1363&gt;=3000,"Large","Small")</f>
        <v/>
      </c>
      <c r="R1363">
        <f>INDEX(Products!$F$2:$F$49,MATCH(J1363,Products!$A$2:$A$49,0))</f>
        <v/>
      </c>
      <c r="S1363">
        <f>WEEKDAY(B1363,2)</f>
        <v/>
      </c>
    </row>
    <row r="1364">
      <c r="A1364" t="n">
        <v>510024</v>
      </c>
      <c r="B1364" s="6" t="n">
        <v>45947</v>
      </c>
      <c r="C1364" t="n">
        <v>14737</v>
      </c>
      <c r="D1364" t="inlineStr">
        <is>
          <t>Noida</t>
        </is>
      </c>
      <c r="E1364" t="inlineStr">
        <is>
          <t>North</t>
        </is>
      </c>
      <c r="F1364" t="inlineStr">
        <is>
          <t>Referral</t>
        </is>
      </c>
      <c r="G1364" t="inlineStr">
        <is>
          <t>Mobile App</t>
        </is>
      </c>
      <c r="H1364" t="inlineStr">
        <is>
          <t>UPI</t>
        </is>
      </c>
      <c r="I1364" t="inlineStr">
        <is>
          <t>Delivered</t>
        </is>
      </c>
      <c r="J1364" t="n">
        <v>114</v>
      </c>
      <c r="K1364" t="n">
        <v>1</v>
      </c>
      <c r="L1364" t="n">
        <v>1259</v>
      </c>
      <c r="M1364" t="n">
        <v>125.9</v>
      </c>
      <c r="N1364">
        <f>VLOOKUP(J1364,Products!$A$2:$C$49,3,FALSE)</f>
        <v/>
      </c>
      <c r="O1364">
        <f>K1364*L1364-M1364</f>
        <v/>
      </c>
      <c r="P1364">
        <f>TEXT(B1364,"yyyy-mm")</f>
        <v/>
      </c>
      <c r="Q1364">
        <f>IF(O1364&gt;=3000,"Large","Small")</f>
        <v/>
      </c>
      <c r="R1364">
        <f>INDEX(Products!$F$2:$F$49,MATCH(J1364,Products!$A$2:$A$49,0))</f>
        <v/>
      </c>
      <c r="S1364">
        <f>WEEKDAY(B1364,2)</f>
        <v/>
      </c>
    </row>
    <row r="1365">
      <c r="A1365" t="n">
        <v>510025</v>
      </c>
      <c r="B1365" s="6" t="n">
        <v>45947</v>
      </c>
      <c r="C1365" t="n">
        <v>12146</v>
      </c>
      <c r="D1365" t="inlineStr">
        <is>
          <t>Delhi</t>
        </is>
      </c>
      <c r="E1365" t="inlineStr">
        <is>
          <t>North</t>
        </is>
      </c>
      <c r="F1365" t="inlineStr">
        <is>
          <t>Organic Search</t>
        </is>
      </c>
      <c r="G1365" t="inlineStr">
        <is>
          <t>Mobile App</t>
        </is>
      </c>
      <c r="H1365" t="inlineStr">
        <is>
          <t>UPI</t>
        </is>
      </c>
      <c r="I1365" t="inlineStr">
        <is>
          <t>Delivered</t>
        </is>
      </c>
      <c r="J1365" t="n">
        <v>118</v>
      </c>
      <c r="K1365" t="n">
        <v>1</v>
      </c>
      <c r="L1365" t="n">
        <v>944</v>
      </c>
      <c r="M1365" t="n">
        <v>0</v>
      </c>
      <c r="N1365">
        <f>VLOOKUP(J1365,Products!$A$2:$C$49,3,FALSE)</f>
        <v/>
      </c>
      <c r="O1365">
        <f>K1365*L1365-M1365</f>
        <v/>
      </c>
      <c r="P1365">
        <f>TEXT(B1365,"yyyy-mm")</f>
        <v/>
      </c>
      <c r="Q1365">
        <f>IF(O1365&gt;=3000,"Large","Small")</f>
        <v/>
      </c>
      <c r="R1365">
        <f>INDEX(Products!$F$2:$F$49,MATCH(J1365,Products!$A$2:$A$49,0))</f>
        <v/>
      </c>
      <c r="S1365">
        <f>WEEKDAY(B1365,2)</f>
        <v/>
      </c>
    </row>
    <row r="1366">
      <c r="A1366" t="n">
        <v>510025</v>
      </c>
      <c r="B1366" s="6" t="n">
        <v>45947</v>
      </c>
      <c r="C1366" t="n">
        <v>12146</v>
      </c>
      <c r="D1366" t="inlineStr">
        <is>
          <t>Delhi</t>
        </is>
      </c>
      <c r="E1366" t="inlineStr">
        <is>
          <t>North</t>
        </is>
      </c>
      <c r="F1366" t="inlineStr">
        <is>
          <t>Organic Search</t>
        </is>
      </c>
      <c r="G1366" t="inlineStr">
        <is>
          <t>Mobile App</t>
        </is>
      </c>
      <c r="H1366" t="inlineStr">
        <is>
          <t>UPI</t>
        </is>
      </c>
      <c r="I1366" t="inlineStr">
        <is>
          <t>Delivered</t>
        </is>
      </c>
      <c r="J1366" t="n">
        <v>135</v>
      </c>
      <c r="K1366" t="n">
        <v>1</v>
      </c>
      <c r="L1366" t="n">
        <v>1574</v>
      </c>
      <c r="M1366" t="n">
        <v>0</v>
      </c>
      <c r="N1366">
        <f>VLOOKUP(J1366,Products!$A$2:$C$49,3,FALSE)</f>
        <v/>
      </c>
      <c r="O1366">
        <f>K1366*L1366-M1366</f>
        <v/>
      </c>
      <c r="P1366">
        <f>TEXT(B1366,"yyyy-mm")</f>
        <v/>
      </c>
      <c r="Q1366">
        <f>IF(O1366&gt;=3000,"Large","Small")</f>
        <v/>
      </c>
      <c r="R1366">
        <f>INDEX(Products!$F$2:$F$49,MATCH(J1366,Products!$A$2:$A$49,0))</f>
        <v/>
      </c>
      <c r="S1366">
        <f>WEEKDAY(B1366,2)</f>
        <v/>
      </c>
    </row>
    <row r="1367">
      <c r="A1367" t="n">
        <v>510026</v>
      </c>
      <c r="B1367" s="6" t="n">
        <v>45947</v>
      </c>
      <c r="C1367" t="n">
        <v>14968</v>
      </c>
      <c r="D1367" t="inlineStr">
        <is>
          <t>Mumbai</t>
        </is>
      </c>
      <c r="E1367" t="inlineStr">
        <is>
          <t>West</t>
        </is>
      </c>
      <c r="F1367" t="inlineStr">
        <is>
          <t>Organic Search</t>
        </is>
      </c>
      <c r="G1367" t="inlineStr">
        <is>
          <t>Desktop</t>
        </is>
      </c>
      <c r="H1367" t="inlineStr">
        <is>
          <t>UPI</t>
        </is>
      </c>
      <c r="I1367" t="inlineStr">
        <is>
          <t>Delivered</t>
        </is>
      </c>
      <c r="J1367" t="n">
        <v>123</v>
      </c>
      <c r="K1367" t="n">
        <v>1</v>
      </c>
      <c r="L1367" t="n">
        <v>3464</v>
      </c>
      <c r="M1367" t="n">
        <v>346.4</v>
      </c>
      <c r="N1367">
        <f>VLOOKUP(J1367,Products!$A$2:$C$49,3,FALSE)</f>
        <v/>
      </c>
      <c r="O1367">
        <f>K1367*L1367-M1367</f>
        <v/>
      </c>
      <c r="P1367">
        <f>TEXT(B1367,"yyyy-mm")</f>
        <v/>
      </c>
      <c r="Q1367">
        <f>IF(O1367&gt;=3000,"Large","Small")</f>
        <v/>
      </c>
      <c r="R1367">
        <f>INDEX(Products!$F$2:$F$49,MATCH(J1367,Products!$A$2:$A$49,0))</f>
        <v/>
      </c>
      <c r="S1367">
        <f>WEEKDAY(B1367,2)</f>
        <v/>
      </c>
    </row>
    <row r="1368">
      <c r="A1368" t="n">
        <v>510027</v>
      </c>
      <c r="B1368" s="6" t="n">
        <v>45947</v>
      </c>
      <c r="C1368" t="n">
        <v>16451</v>
      </c>
      <c r="D1368" t="inlineStr">
        <is>
          <t>Gurugram</t>
        </is>
      </c>
      <c r="E1368" t="inlineStr">
        <is>
          <t>North</t>
        </is>
      </c>
      <c r="F1368" t="inlineStr">
        <is>
          <t>Affiliate</t>
        </is>
      </c>
      <c r="G1368" t="inlineStr">
        <is>
          <t>Mobile Web</t>
        </is>
      </c>
      <c r="H1368" t="inlineStr">
        <is>
          <t>UPI</t>
        </is>
      </c>
      <c r="I1368" t="inlineStr">
        <is>
          <t>Delivered</t>
        </is>
      </c>
      <c r="J1368" t="n">
        <v>120</v>
      </c>
      <c r="K1368" t="n">
        <v>1</v>
      </c>
      <c r="L1368" t="n">
        <v>734</v>
      </c>
      <c r="M1368" t="n">
        <v>0</v>
      </c>
      <c r="N1368">
        <f>VLOOKUP(J1368,Products!$A$2:$C$49,3,FALSE)</f>
        <v/>
      </c>
      <c r="O1368">
        <f>K1368*L1368-M1368</f>
        <v/>
      </c>
      <c r="P1368">
        <f>TEXT(B1368,"yyyy-mm")</f>
        <v/>
      </c>
      <c r="Q1368">
        <f>IF(O1368&gt;=3000,"Large","Small")</f>
        <v/>
      </c>
      <c r="R1368">
        <f>INDEX(Products!$F$2:$F$49,MATCH(J1368,Products!$A$2:$A$49,0))</f>
        <v/>
      </c>
      <c r="S1368">
        <f>WEEKDAY(B1368,2)</f>
        <v/>
      </c>
    </row>
    <row r="1369">
      <c r="A1369" t="n">
        <v>510027</v>
      </c>
      <c r="B1369" s="6" t="n">
        <v>45947</v>
      </c>
      <c r="C1369" t="n">
        <v>16451</v>
      </c>
      <c r="D1369" t="inlineStr">
        <is>
          <t>Gurugram</t>
        </is>
      </c>
      <c r="E1369" t="inlineStr">
        <is>
          <t>North</t>
        </is>
      </c>
      <c r="F1369" t="inlineStr">
        <is>
          <t>Affiliate</t>
        </is>
      </c>
      <c r="G1369" t="inlineStr">
        <is>
          <t>Mobile Web</t>
        </is>
      </c>
      <c r="H1369" t="inlineStr">
        <is>
          <t>UPI</t>
        </is>
      </c>
      <c r="I1369" t="inlineStr">
        <is>
          <t>Delivered</t>
        </is>
      </c>
      <c r="J1369" t="n">
        <v>118</v>
      </c>
      <c r="K1369" t="n">
        <v>1</v>
      </c>
      <c r="L1369" t="n">
        <v>944</v>
      </c>
      <c r="M1369" t="n">
        <v>0</v>
      </c>
      <c r="N1369">
        <f>VLOOKUP(J1369,Products!$A$2:$C$49,3,FALSE)</f>
        <v/>
      </c>
      <c r="O1369">
        <f>K1369*L1369-M1369</f>
        <v/>
      </c>
      <c r="P1369">
        <f>TEXT(B1369,"yyyy-mm")</f>
        <v/>
      </c>
      <c r="Q1369">
        <f>IF(O1369&gt;=3000,"Large","Small")</f>
        <v/>
      </c>
      <c r="R1369">
        <f>INDEX(Products!$F$2:$F$49,MATCH(J1369,Products!$A$2:$A$49,0))</f>
        <v/>
      </c>
      <c r="S1369">
        <f>WEEKDAY(B1369,2)</f>
        <v/>
      </c>
    </row>
    <row r="1370">
      <c r="A1370" t="n">
        <v>510027</v>
      </c>
      <c r="B1370" s="6" t="n">
        <v>45947</v>
      </c>
      <c r="C1370" t="n">
        <v>16451</v>
      </c>
      <c r="D1370" t="inlineStr">
        <is>
          <t>Gurugram</t>
        </is>
      </c>
      <c r="E1370" t="inlineStr">
        <is>
          <t>North</t>
        </is>
      </c>
      <c r="F1370" t="inlineStr">
        <is>
          <t>Affiliate</t>
        </is>
      </c>
      <c r="G1370" t="inlineStr">
        <is>
          <t>Mobile Web</t>
        </is>
      </c>
      <c r="H1370" t="inlineStr">
        <is>
          <t>UPI</t>
        </is>
      </c>
      <c r="I1370" t="inlineStr">
        <is>
          <t>Delivered</t>
        </is>
      </c>
      <c r="J1370" t="n">
        <v>105</v>
      </c>
      <c r="K1370" t="n">
        <v>2</v>
      </c>
      <c r="L1370" t="n">
        <v>2414</v>
      </c>
      <c r="M1370" t="n">
        <v>0</v>
      </c>
      <c r="N1370">
        <f>VLOOKUP(J1370,Products!$A$2:$C$49,3,FALSE)</f>
        <v/>
      </c>
      <c r="O1370">
        <f>K1370*L1370-M1370</f>
        <v/>
      </c>
      <c r="P1370">
        <f>TEXT(B1370,"yyyy-mm")</f>
        <v/>
      </c>
      <c r="Q1370">
        <f>IF(O1370&gt;=3000,"Large","Small")</f>
        <v/>
      </c>
      <c r="R1370">
        <f>INDEX(Products!$F$2:$F$49,MATCH(J1370,Products!$A$2:$A$49,0))</f>
        <v/>
      </c>
      <c r="S1370">
        <f>WEEKDAY(B1370,2)</f>
        <v/>
      </c>
    </row>
    <row r="1371">
      <c r="A1371" t="n">
        <v>510027</v>
      </c>
      <c r="B1371" s="6" t="n">
        <v>45947</v>
      </c>
      <c r="C1371" t="n">
        <v>16451</v>
      </c>
      <c r="D1371" t="inlineStr">
        <is>
          <t>Gurugram</t>
        </is>
      </c>
      <c r="E1371" t="inlineStr">
        <is>
          <t>North</t>
        </is>
      </c>
      <c r="F1371" t="inlineStr">
        <is>
          <t>Affiliate</t>
        </is>
      </c>
      <c r="G1371" t="inlineStr">
        <is>
          <t>Mobile Web</t>
        </is>
      </c>
      <c r="H1371" t="inlineStr">
        <is>
          <t>UPI</t>
        </is>
      </c>
      <c r="I1371" t="inlineStr">
        <is>
          <t>Delivered</t>
        </is>
      </c>
      <c r="J1371" t="n">
        <v>129</v>
      </c>
      <c r="K1371" t="n">
        <v>1</v>
      </c>
      <c r="L1371" t="n">
        <v>576</v>
      </c>
      <c r="M1371" t="n">
        <v>0</v>
      </c>
      <c r="N1371">
        <f>VLOOKUP(J1371,Products!$A$2:$C$49,3,FALSE)</f>
        <v/>
      </c>
      <c r="O1371">
        <f>K1371*L1371-M1371</f>
        <v/>
      </c>
      <c r="P1371">
        <f>TEXT(B1371,"yyyy-mm")</f>
        <v/>
      </c>
      <c r="Q1371">
        <f>IF(O1371&gt;=3000,"Large","Small")</f>
        <v/>
      </c>
      <c r="R1371">
        <f>INDEX(Products!$F$2:$F$49,MATCH(J1371,Products!$A$2:$A$49,0))</f>
        <v/>
      </c>
      <c r="S1371">
        <f>WEEKDAY(B1371,2)</f>
        <v/>
      </c>
    </row>
    <row r="1372">
      <c r="A1372" t="n">
        <v>510028</v>
      </c>
      <c r="B1372" s="6" t="n">
        <v>45947</v>
      </c>
      <c r="C1372" t="n">
        <v>16792</v>
      </c>
      <c r="D1372" t="inlineStr">
        <is>
          <t>Lucknow</t>
        </is>
      </c>
      <c r="E1372" t="inlineStr">
        <is>
          <t>North</t>
        </is>
      </c>
      <c r="F1372" t="inlineStr">
        <is>
          <t>Organic Search</t>
        </is>
      </c>
      <c r="G1372" t="inlineStr">
        <is>
          <t>Mobile App</t>
        </is>
      </c>
      <c r="H1372" t="inlineStr">
        <is>
          <t>Cash on Delivery</t>
        </is>
      </c>
      <c r="I1372" t="inlineStr">
        <is>
          <t>Delivered</t>
        </is>
      </c>
      <c r="J1372" t="n">
        <v>124</v>
      </c>
      <c r="K1372" t="n">
        <v>1</v>
      </c>
      <c r="L1372" t="n">
        <v>1154</v>
      </c>
      <c r="M1372" t="n">
        <v>0</v>
      </c>
      <c r="N1372">
        <f>VLOOKUP(J1372,Products!$A$2:$C$49,3,FALSE)</f>
        <v/>
      </c>
      <c r="O1372">
        <f>K1372*L1372-M1372</f>
        <v/>
      </c>
      <c r="P1372">
        <f>TEXT(B1372,"yyyy-mm")</f>
        <v/>
      </c>
      <c r="Q1372">
        <f>IF(O1372&gt;=3000,"Large","Small")</f>
        <v/>
      </c>
      <c r="R1372">
        <f>INDEX(Products!$F$2:$F$49,MATCH(J1372,Products!$A$2:$A$49,0))</f>
        <v/>
      </c>
      <c r="S1372">
        <f>WEEKDAY(B1372,2)</f>
        <v/>
      </c>
    </row>
    <row r="1373">
      <c r="A1373" t="n">
        <v>510029</v>
      </c>
      <c r="B1373" s="6" t="n">
        <v>45947</v>
      </c>
      <c r="C1373" t="n">
        <v>16834</v>
      </c>
      <c r="D1373" t="inlineStr">
        <is>
          <t>Hyderabad</t>
        </is>
      </c>
      <c r="E1373" t="inlineStr">
        <is>
          <t>South</t>
        </is>
      </c>
      <c r="F1373" t="inlineStr">
        <is>
          <t>Organic Search</t>
        </is>
      </c>
      <c r="G1373" t="inlineStr">
        <is>
          <t>Mobile App</t>
        </is>
      </c>
      <c r="H1373" t="inlineStr">
        <is>
          <t>Cash on Delivery</t>
        </is>
      </c>
      <c r="I1373" t="inlineStr">
        <is>
          <t>Delivered</t>
        </is>
      </c>
      <c r="J1373" t="n">
        <v>143</v>
      </c>
      <c r="K1373" t="n">
        <v>1</v>
      </c>
      <c r="L1373" t="n">
        <v>839</v>
      </c>
      <c r="M1373" t="n">
        <v>125.85</v>
      </c>
      <c r="N1373">
        <f>VLOOKUP(J1373,Products!$A$2:$C$49,3,FALSE)</f>
        <v/>
      </c>
      <c r="O1373">
        <f>K1373*L1373-M1373</f>
        <v/>
      </c>
      <c r="P1373">
        <f>TEXT(B1373,"yyyy-mm")</f>
        <v/>
      </c>
      <c r="Q1373">
        <f>IF(O1373&gt;=3000,"Large","Small")</f>
        <v/>
      </c>
      <c r="R1373">
        <f>INDEX(Products!$F$2:$F$49,MATCH(J1373,Products!$A$2:$A$49,0))</f>
        <v/>
      </c>
      <c r="S1373">
        <f>WEEKDAY(B1373,2)</f>
        <v/>
      </c>
    </row>
    <row r="1374">
      <c r="A1374" t="n">
        <v>510029</v>
      </c>
      <c r="B1374" s="6" t="n">
        <v>45947</v>
      </c>
      <c r="C1374" t="n">
        <v>16834</v>
      </c>
      <c r="D1374" t="inlineStr">
        <is>
          <t>Hyderabad</t>
        </is>
      </c>
      <c r="E1374" t="inlineStr">
        <is>
          <t>South</t>
        </is>
      </c>
      <c r="F1374" t="inlineStr">
        <is>
          <t>Organic Search</t>
        </is>
      </c>
      <c r="G1374" t="inlineStr">
        <is>
          <t>Mobile App</t>
        </is>
      </c>
      <c r="H1374" t="inlineStr">
        <is>
          <t>Cash on Delivery</t>
        </is>
      </c>
      <c r="I1374" t="inlineStr">
        <is>
          <t>Delivered</t>
        </is>
      </c>
      <c r="J1374" t="n">
        <v>122</v>
      </c>
      <c r="K1374" t="n">
        <v>1</v>
      </c>
      <c r="L1374" t="n">
        <v>1994</v>
      </c>
      <c r="M1374" t="n">
        <v>299.1</v>
      </c>
      <c r="N1374">
        <f>VLOOKUP(J1374,Products!$A$2:$C$49,3,FALSE)</f>
        <v/>
      </c>
      <c r="O1374">
        <f>K1374*L1374-M1374</f>
        <v/>
      </c>
      <c r="P1374">
        <f>TEXT(B1374,"yyyy-mm")</f>
        <v/>
      </c>
      <c r="Q1374">
        <f>IF(O1374&gt;=3000,"Large","Small")</f>
        <v/>
      </c>
      <c r="R1374">
        <f>INDEX(Products!$F$2:$F$49,MATCH(J1374,Products!$A$2:$A$49,0))</f>
        <v/>
      </c>
      <c r="S1374">
        <f>WEEKDAY(B1374,2)</f>
        <v/>
      </c>
    </row>
    <row r="1375">
      <c r="A1375" t="n">
        <v>510029</v>
      </c>
      <c r="B1375" s="6" t="n">
        <v>45947</v>
      </c>
      <c r="C1375" t="n">
        <v>16834</v>
      </c>
      <c r="D1375" t="inlineStr">
        <is>
          <t>Hyderabad</t>
        </is>
      </c>
      <c r="E1375" t="inlineStr">
        <is>
          <t>South</t>
        </is>
      </c>
      <c r="F1375" t="inlineStr">
        <is>
          <t>Organic Search</t>
        </is>
      </c>
      <c r="G1375" t="inlineStr">
        <is>
          <t>Mobile App</t>
        </is>
      </c>
      <c r="H1375" t="inlineStr">
        <is>
          <t>Cash on Delivery</t>
        </is>
      </c>
      <c r="I1375" t="inlineStr">
        <is>
          <t>Delivered</t>
        </is>
      </c>
      <c r="J1375" t="n">
        <v>138</v>
      </c>
      <c r="K1375" t="n">
        <v>1</v>
      </c>
      <c r="L1375" t="n">
        <v>419</v>
      </c>
      <c r="M1375" t="n">
        <v>62.85</v>
      </c>
      <c r="N1375">
        <f>VLOOKUP(J1375,Products!$A$2:$C$49,3,FALSE)</f>
        <v/>
      </c>
      <c r="O1375">
        <f>K1375*L1375-M1375</f>
        <v/>
      </c>
      <c r="P1375">
        <f>TEXT(B1375,"yyyy-mm")</f>
        <v/>
      </c>
      <c r="Q1375">
        <f>IF(O1375&gt;=3000,"Large","Small")</f>
        <v/>
      </c>
      <c r="R1375">
        <f>INDEX(Products!$F$2:$F$49,MATCH(J1375,Products!$A$2:$A$49,0))</f>
        <v/>
      </c>
      <c r="S1375">
        <f>WEEKDAY(B1375,2)</f>
        <v/>
      </c>
    </row>
    <row r="1376">
      <c r="A1376" t="n">
        <v>510030</v>
      </c>
      <c r="B1376" s="6" t="n">
        <v>45947</v>
      </c>
      <c r="C1376" t="n">
        <v>13315</v>
      </c>
      <c r="D1376" t="inlineStr">
        <is>
          <t>Hyderabad</t>
        </is>
      </c>
      <c r="E1376" t="inlineStr">
        <is>
          <t>South</t>
        </is>
      </c>
      <c r="F1376" t="inlineStr">
        <is>
          <t>Organic Search</t>
        </is>
      </c>
      <c r="G1376" t="inlineStr">
        <is>
          <t>Mobile App</t>
        </is>
      </c>
      <c r="H1376" t="inlineStr">
        <is>
          <t>Credit Card</t>
        </is>
      </c>
      <c r="I1376" t="inlineStr">
        <is>
          <t>Delivered</t>
        </is>
      </c>
      <c r="J1376" t="n">
        <v>112</v>
      </c>
      <c r="K1376" t="n">
        <v>1</v>
      </c>
      <c r="L1376" t="n">
        <v>1574</v>
      </c>
      <c r="M1376" t="n">
        <v>157.4</v>
      </c>
      <c r="N1376">
        <f>VLOOKUP(J1376,Products!$A$2:$C$49,3,FALSE)</f>
        <v/>
      </c>
      <c r="O1376">
        <f>K1376*L1376-M1376</f>
        <v/>
      </c>
      <c r="P1376">
        <f>TEXT(B1376,"yyyy-mm")</f>
        <v/>
      </c>
      <c r="Q1376">
        <f>IF(O1376&gt;=3000,"Large","Small")</f>
        <v/>
      </c>
      <c r="R1376">
        <f>INDEX(Products!$F$2:$F$49,MATCH(J1376,Products!$A$2:$A$49,0))</f>
        <v/>
      </c>
      <c r="S1376">
        <f>WEEKDAY(B1376,2)</f>
        <v/>
      </c>
    </row>
    <row r="1377">
      <c r="A1377" t="n">
        <v>510030</v>
      </c>
      <c r="B1377" s="6" t="n">
        <v>45947</v>
      </c>
      <c r="C1377" t="n">
        <v>13315</v>
      </c>
      <c r="D1377" t="inlineStr">
        <is>
          <t>Hyderabad</t>
        </is>
      </c>
      <c r="E1377" t="inlineStr">
        <is>
          <t>South</t>
        </is>
      </c>
      <c r="F1377" t="inlineStr">
        <is>
          <t>Organic Search</t>
        </is>
      </c>
      <c r="G1377" t="inlineStr">
        <is>
          <t>Mobile App</t>
        </is>
      </c>
      <c r="H1377" t="inlineStr">
        <is>
          <t>Credit Card</t>
        </is>
      </c>
      <c r="I1377" t="inlineStr">
        <is>
          <t>Delivered</t>
        </is>
      </c>
      <c r="J1377" t="n">
        <v>128</v>
      </c>
      <c r="K1377" t="n">
        <v>1</v>
      </c>
      <c r="L1377" t="n">
        <v>1049</v>
      </c>
      <c r="M1377" t="n">
        <v>104.9</v>
      </c>
      <c r="N1377">
        <f>VLOOKUP(J1377,Products!$A$2:$C$49,3,FALSE)</f>
        <v/>
      </c>
      <c r="O1377">
        <f>K1377*L1377-M1377</f>
        <v/>
      </c>
      <c r="P1377">
        <f>TEXT(B1377,"yyyy-mm")</f>
        <v/>
      </c>
      <c r="Q1377">
        <f>IF(O1377&gt;=3000,"Large","Small")</f>
        <v/>
      </c>
      <c r="R1377">
        <f>INDEX(Products!$F$2:$F$49,MATCH(J1377,Products!$A$2:$A$49,0))</f>
        <v/>
      </c>
      <c r="S1377">
        <f>WEEKDAY(B1377,2)</f>
        <v/>
      </c>
    </row>
    <row r="1378">
      <c r="A1378" t="n">
        <v>510030</v>
      </c>
      <c r="B1378" s="6" t="n">
        <v>45947</v>
      </c>
      <c r="C1378" t="n">
        <v>13315</v>
      </c>
      <c r="D1378" t="inlineStr">
        <is>
          <t>Hyderabad</t>
        </is>
      </c>
      <c r="E1378" t="inlineStr">
        <is>
          <t>South</t>
        </is>
      </c>
      <c r="F1378" t="inlineStr">
        <is>
          <t>Organic Search</t>
        </is>
      </c>
      <c r="G1378" t="inlineStr">
        <is>
          <t>Mobile App</t>
        </is>
      </c>
      <c r="H1378" t="inlineStr">
        <is>
          <t>Credit Card</t>
        </is>
      </c>
      <c r="I1378" t="inlineStr">
        <is>
          <t>Delivered</t>
        </is>
      </c>
      <c r="J1378" t="n">
        <v>126</v>
      </c>
      <c r="K1378" t="n">
        <v>1</v>
      </c>
      <c r="L1378" t="n">
        <v>471</v>
      </c>
      <c r="M1378" t="n">
        <v>47.1</v>
      </c>
      <c r="N1378">
        <f>VLOOKUP(J1378,Products!$A$2:$C$49,3,FALSE)</f>
        <v/>
      </c>
      <c r="O1378">
        <f>K1378*L1378-M1378</f>
        <v/>
      </c>
      <c r="P1378">
        <f>TEXT(B1378,"yyyy-mm")</f>
        <v/>
      </c>
      <c r="Q1378">
        <f>IF(O1378&gt;=3000,"Large","Small")</f>
        <v/>
      </c>
      <c r="R1378">
        <f>INDEX(Products!$F$2:$F$49,MATCH(J1378,Products!$A$2:$A$49,0))</f>
        <v/>
      </c>
      <c r="S1378">
        <f>WEEKDAY(B1378,2)</f>
        <v/>
      </c>
    </row>
    <row r="1379">
      <c r="A1379" t="n">
        <v>510031</v>
      </c>
      <c r="B1379" s="6" t="n">
        <v>45947</v>
      </c>
      <c r="C1379" t="n">
        <v>14189</v>
      </c>
      <c r="D1379" t="inlineStr">
        <is>
          <t>Pune</t>
        </is>
      </c>
      <c r="E1379" t="inlineStr">
        <is>
          <t>West</t>
        </is>
      </c>
      <c r="F1379" t="inlineStr">
        <is>
          <t>Referral</t>
        </is>
      </c>
      <c r="G1379" t="inlineStr">
        <is>
          <t>Desktop</t>
        </is>
      </c>
      <c r="H1379" t="inlineStr">
        <is>
          <t>UPI</t>
        </is>
      </c>
      <c r="I1379" t="inlineStr">
        <is>
          <t>Delivered</t>
        </is>
      </c>
      <c r="J1379" t="n">
        <v>127</v>
      </c>
      <c r="K1379" t="n">
        <v>2</v>
      </c>
      <c r="L1379" t="n">
        <v>681</v>
      </c>
      <c r="M1379" t="n">
        <v>136.2</v>
      </c>
      <c r="N1379">
        <f>VLOOKUP(J1379,Products!$A$2:$C$49,3,FALSE)</f>
        <v/>
      </c>
      <c r="O1379">
        <f>K1379*L1379-M1379</f>
        <v/>
      </c>
      <c r="P1379">
        <f>TEXT(B1379,"yyyy-mm")</f>
        <v/>
      </c>
      <c r="Q1379">
        <f>IF(O1379&gt;=3000,"Large","Small")</f>
        <v/>
      </c>
      <c r="R1379">
        <f>INDEX(Products!$F$2:$F$49,MATCH(J1379,Products!$A$2:$A$49,0))</f>
        <v/>
      </c>
      <c r="S1379">
        <f>WEEKDAY(B1379,2)</f>
        <v/>
      </c>
    </row>
    <row r="1380">
      <c r="A1380" t="n">
        <v>510031</v>
      </c>
      <c r="B1380" s="6" t="n">
        <v>45947</v>
      </c>
      <c r="C1380" t="n">
        <v>14189</v>
      </c>
      <c r="D1380" t="inlineStr">
        <is>
          <t>Pune</t>
        </is>
      </c>
      <c r="E1380" t="inlineStr">
        <is>
          <t>West</t>
        </is>
      </c>
      <c r="F1380" t="inlineStr">
        <is>
          <t>Referral</t>
        </is>
      </c>
      <c r="G1380" t="inlineStr">
        <is>
          <t>Desktop</t>
        </is>
      </c>
      <c r="H1380" t="inlineStr">
        <is>
          <t>UPI</t>
        </is>
      </c>
      <c r="I1380" t="inlineStr">
        <is>
          <t>Delivered</t>
        </is>
      </c>
      <c r="J1380" t="n">
        <v>118</v>
      </c>
      <c r="K1380" t="n">
        <v>1</v>
      </c>
      <c r="L1380" t="n">
        <v>944</v>
      </c>
      <c r="M1380" t="n">
        <v>94.40000000000001</v>
      </c>
      <c r="N1380">
        <f>VLOOKUP(J1380,Products!$A$2:$C$49,3,FALSE)</f>
        <v/>
      </c>
      <c r="O1380">
        <f>K1380*L1380-M1380</f>
        <v/>
      </c>
      <c r="P1380">
        <f>TEXT(B1380,"yyyy-mm")</f>
        <v/>
      </c>
      <c r="Q1380">
        <f>IF(O1380&gt;=3000,"Large","Small")</f>
        <v/>
      </c>
      <c r="R1380">
        <f>INDEX(Products!$F$2:$F$49,MATCH(J1380,Products!$A$2:$A$49,0))</f>
        <v/>
      </c>
      <c r="S1380">
        <f>WEEKDAY(B1380,2)</f>
        <v/>
      </c>
    </row>
    <row r="1381">
      <c r="A1381" t="n">
        <v>510032</v>
      </c>
      <c r="B1381" s="6" t="n">
        <v>45947</v>
      </c>
      <c r="C1381" t="n">
        <v>13075</v>
      </c>
      <c r="D1381" t="inlineStr">
        <is>
          <t>Hyderabad</t>
        </is>
      </c>
      <c r="E1381" t="inlineStr">
        <is>
          <t>South</t>
        </is>
      </c>
      <c r="F1381" t="inlineStr">
        <is>
          <t>Organic Search</t>
        </is>
      </c>
      <c r="G1381" t="inlineStr">
        <is>
          <t>Desktop</t>
        </is>
      </c>
      <c r="H1381" t="inlineStr">
        <is>
          <t>Cash on Delivery</t>
        </is>
      </c>
      <c r="I1381" t="inlineStr">
        <is>
          <t>Delivered</t>
        </is>
      </c>
      <c r="J1381" t="n">
        <v>131</v>
      </c>
      <c r="K1381" t="n">
        <v>1</v>
      </c>
      <c r="L1381" t="n">
        <v>314</v>
      </c>
      <c r="M1381" t="n">
        <v>0</v>
      </c>
      <c r="N1381">
        <f>VLOOKUP(J1381,Products!$A$2:$C$49,3,FALSE)</f>
        <v/>
      </c>
      <c r="O1381">
        <f>K1381*L1381-M1381</f>
        <v/>
      </c>
      <c r="P1381">
        <f>TEXT(B1381,"yyyy-mm")</f>
        <v/>
      </c>
      <c r="Q1381">
        <f>IF(O1381&gt;=3000,"Large","Small")</f>
        <v/>
      </c>
      <c r="R1381">
        <f>INDEX(Products!$F$2:$F$49,MATCH(J1381,Products!$A$2:$A$49,0))</f>
        <v/>
      </c>
      <c r="S1381">
        <f>WEEKDAY(B1381,2)</f>
        <v/>
      </c>
    </row>
    <row r="1382">
      <c r="A1382" t="n">
        <v>510032</v>
      </c>
      <c r="B1382" s="6" t="n">
        <v>45947</v>
      </c>
      <c r="C1382" t="n">
        <v>13075</v>
      </c>
      <c r="D1382" t="inlineStr">
        <is>
          <t>Hyderabad</t>
        </is>
      </c>
      <c r="E1382" t="inlineStr">
        <is>
          <t>South</t>
        </is>
      </c>
      <c r="F1382" t="inlineStr">
        <is>
          <t>Organic Search</t>
        </is>
      </c>
      <c r="G1382" t="inlineStr">
        <is>
          <t>Desktop</t>
        </is>
      </c>
      <c r="H1382" t="inlineStr">
        <is>
          <t>Cash on Delivery</t>
        </is>
      </c>
      <c r="I1382" t="inlineStr">
        <is>
          <t>Delivered</t>
        </is>
      </c>
      <c r="J1382" t="n">
        <v>139</v>
      </c>
      <c r="K1382" t="n">
        <v>1</v>
      </c>
      <c r="L1382" t="n">
        <v>366</v>
      </c>
      <c r="M1382" t="n">
        <v>0</v>
      </c>
      <c r="N1382">
        <f>VLOOKUP(J1382,Products!$A$2:$C$49,3,FALSE)</f>
        <v/>
      </c>
      <c r="O1382">
        <f>K1382*L1382-M1382</f>
        <v/>
      </c>
      <c r="P1382">
        <f>TEXT(B1382,"yyyy-mm")</f>
        <v/>
      </c>
      <c r="Q1382">
        <f>IF(O1382&gt;=3000,"Large","Small")</f>
        <v/>
      </c>
      <c r="R1382">
        <f>INDEX(Products!$F$2:$F$49,MATCH(J1382,Products!$A$2:$A$49,0))</f>
        <v/>
      </c>
      <c r="S1382">
        <f>WEEKDAY(B1382,2)</f>
        <v/>
      </c>
    </row>
    <row r="1383">
      <c r="A1383" t="n">
        <v>510032</v>
      </c>
      <c r="B1383" s="6" t="n">
        <v>45947</v>
      </c>
      <c r="C1383" t="n">
        <v>13075</v>
      </c>
      <c r="D1383" t="inlineStr">
        <is>
          <t>Hyderabad</t>
        </is>
      </c>
      <c r="E1383" t="inlineStr">
        <is>
          <t>South</t>
        </is>
      </c>
      <c r="F1383" t="inlineStr">
        <is>
          <t>Organic Search</t>
        </is>
      </c>
      <c r="G1383" t="inlineStr">
        <is>
          <t>Desktop</t>
        </is>
      </c>
      <c r="H1383" t="inlineStr">
        <is>
          <t>Cash on Delivery</t>
        </is>
      </c>
      <c r="I1383" t="inlineStr">
        <is>
          <t>Delivered</t>
        </is>
      </c>
      <c r="J1383" t="n">
        <v>129</v>
      </c>
      <c r="K1383" t="n">
        <v>3</v>
      </c>
      <c r="L1383" t="n">
        <v>576</v>
      </c>
      <c r="M1383" t="n">
        <v>0</v>
      </c>
      <c r="N1383">
        <f>VLOOKUP(J1383,Products!$A$2:$C$49,3,FALSE)</f>
        <v/>
      </c>
      <c r="O1383">
        <f>K1383*L1383-M1383</f>
        <v/>
      </c>
      <c r="P1383">
        <f>TEXT(B1383,"yyyy-mm")</f>
        <v/>
      </c>
      <c r="Q1383">
        <f>IF(O1383&gt;=3000,"Large","Small")</f>
        <v/>
      </c>
      <c r="R1383">
        <f>INDEX(Products!$F$2:$F$49,MATCH(J1383,Products!$A$2:$A$49,0))</f>
        <v/>
      </c>
      <c r="S1383">
        <f>WEEKDAY(B1383,2)</f>
        <v/>
      </c>
    </row>
    <row r="1384">
      <c r="A1384" t="n">
        <v>510033</v>
      </c>
      <c r="B1384" s="6" t="n">
        <v>45947</v>
      </c>
      <c r="C1384" t="n">
        <v>16873</v>
      </c>
      <c r="D1384" t="inlineStr">
        <is>
          <t>Kolkata</t>
        </is>
      </c>
      <c r="E1384" t="inlineStr">
        <is>
          <t>East</t>
        </is>
      </c>
      <c r="F1384" t="inlineStr">
        <is>
          <t>Organic Search</t>
        </is>
      </c>
      <c r="G1384" t="inlineStr">
        <is>
          <t>Mobile App</t>
        </is>
      </c>
      <c r="H1384" t="inlineStr">
        <is>
          <t>Cash on Delivery</t>
        </is>
      </c>
      <c r="I1384" t="inlineStr">
        <is>
          <t>Delivered</t>
        </is>
      </c>
      <c r="J1384" t="n">
        <v>131</v>
      </c>
      <c r="K1384" t="n">
        <v>1</v>
      </c>
      <c r="L1384" t="n">
        <v>314</v>
      </c>
      <c r="M1384" t="n">
        <v>0</v>
      </c>
      <c r="N1384">
        <f>VLOOKUP(J1384,Products!$A$2:$C$49,3,FALSE)</f>
        <v/>
      </c>
      <c r="O1384">
        <f>K1384*L1384-M1384</f>
        <v/>
      </c>
      <c r="P1384">
        <f>TEXT(B1384,"yyyy-mm")</f>
        <v/>
      </c>
      <c r="Q1384">
        <f>IF(O1384&gt;=3000,"Large","Small")</f>
        <v/>
      </c>
      <c r="R1384">
        <f>INDEX(Products!$F$2:$F$49,MATCH(J1384,Products!$A$2:$A$49,0))</f>
        <v/>
      </c>
      <c r="S1384">
        <f>WEEKDAY(B1384,2)</f>
        <v/>
      </c>
    </row>
    <row r="1385">
      <c r="A1385" t="n">
        <v>510033</v>
      </c>
      <c r="B1385" s="6" t="n">
        <v>45947</v>
      </c>
      <c r="C1385" t="n">
        <v>16873</v>
      </c>
      <c r="D1385" t="inlineStr">
        <is>
          <t>Kolkata</t>
        </is>
      </c>
      <c r="E1385" t="inlineStr">
        <is>
          <t>East</t>
        </is>
      </c>
      <c r="F1385" t="inlineStr">
        <is>
          <t>Organic Search</t>
        </is>
      </c>
      <c r="G1385" t="inlineStr">
        <is>
          <t>Mobile App</t>
        </is>
      </c>
      <c r="H1385" t="inlineStr">
        <is>
          <t>Cash on Delivery</t>
        </is>
      </c>
      <c r="I1385" t="inlineStr">
        <is>
          <t>Delivered</t>
        </is>
      </c>
      <c r="J1385" t="n">
        <v>129</v>
      </c>
      <c r="K1385" t="n">
        <v>1</v>
      </c>
      <c r="L1385" t="n">
        <v>576</v>
      </c>
      <c r="M1385" t="n">
        <v>0</v>
      </c>
      <c r="N1385">
        <f>VLOOKUP(J1385,Products!$A$2:$C$49,3,FALSE)</f>
        <v/>
      </c>
      <c r="O1385">
        <f>K1385*L1385-M1385</f>
        <v/>
      </c>
      <c r="P1385">
        <f>TEXT(B1385,"yyyy-mm")</f>
        <v/>
      </c>
      <c r="Q1385">
        <f>IF(O1385&gt;=3000,"Large","Small")</f>
        <v/>
      </c>
      <c r="R1385">
        <f>INDEX(Products!$F$2:$F$49,MATCH(J1385,Products!$A$2:$A$49,0))</f>
        <v/>
      </c>
      <c r="S1385">
        <f>WEEKDAY(B1385,2)</f>
        <v/>
      </c>
    </row>
    <row r="1386">
      <c r="A1386" t="n">
        <v>510034</v>
      </c>
      <c r="B1386" s="6" t="n">
        <v>45947</v>
      </c>
      <c r="C1386" t="n">
        <v>15560</v>
      </c>
      <c r="D1386" t="inlineStr">
        <is>
          <t>Delhi</t>
        </is>
      </c>
      <c r="E1386" t="inlineStr">
        <is>
          <t>North</t>
        </is>
      </c>
      <c r="F1386" t="inlineStr">
        <is>
          <t>Paid Search</t>
        </is>
      </c>
      <c r="G1386" t="inlineStr">
        <is>
          <t>Mobile App</t>
        </is>
      </c>
      <c r="H1386" t="inlineStr">
        <is>
          <t>UPI</t>
        </is>
      </c>
      <c r="I1386" t="inlineStr">
        <is>
          <t>Delivered</t>
        </is>
      </c>
      <c r="J1386" t="n">
        <v>123</v>
      </c>
      <c r="K1386" t="n">
        <v>1</v>
      </c>
      <c r="L1386" t="n">
        <v>3464</v>
      </c>
      <c r="M1386" t="n">
        <v>346.4</v>
      </c>
      <c r="N1386">
        <f>VLOOKUP(J1386,Products!$A$2:$C$49,3,FALSE)</f>
        <v/>
      </c>
      <c r="O1386">
        <f>K1386*L1386-M1386</f>
        <v/>
      </c>
      <c r="P1386">
        <f>TEXT(B1386,"yyyy-mm")</f>
        <v/>
      </c>
      <c r="Q1386">
        <f>IF(O1386&gt;=3000,"Large","Small")</f>
        <v/>
      </c>
      <c r="R1386">
        <f>INDEX(Products!$F$2:$F$49,MATCH(J1386,Products!$A$2:$A$49,0))</f>
        <v/>
      </c>
      <c r="S1386">
        <f>WEEKDAY(B1386,2)</f>
        <v/>
      </c>
    </row>
    <row r="1387">
      <c r="A1387" t="n">
        <v>510035</v>
      </c>
      <c r="B1387" s="6" t="n">
        <v>45947</v>
      </c>
      <c r="C1387" t="n">
        <v>15567</v>
      </c>
      <c r="D1387" t="inlineStr">
        <is>
          <t>Gurugram</t>
        </is>
      </c>
      <c r="E1387" t="inlineStr">
        <is>
          <t>North</t>
        </is>
      </c>
      <c r="F1387" t="inlineStr">
        <is>
          <t>Email</t>
        </is>
      </c>
      <c r="G1387" t="inlineStr">
        <is>
          <t>Mobile App</t>
        </is>
      </c>
      <c r="H1387" t="inlineStr">
        <is>
          <t>UPI</t>
        </is>
      </c>
      <c r="I1387" t="inlineStr">
        <is>
          <t>Delivered</t>
        </is>
      </c>
      <c r="J1387" t="n">
        <v>118</v>
      </c>
      <c r="K1387" t="n">
        <v>1</v>
      </c>
      <c r="L1387" t="n">
        <v>944</v>
      </c>
      <c r="M1387" t="n">
        <v>94.40000000000001</v>
      </c>
      <c r="N1387">
        <f>VLOOKUP(J1387,Products!$A$2:$C$49,3,FALSE)</f>
        <v/>
      </c>
      <c r="O1387">
        <f>K1387*L1387-M1387</f>
        <v/>
      </c>
      <c r="P1387">
        <f>TEXT(B1387,"yyyy-mm")</f>
        <v/>
      </c>
      <c r="Q1387">
        <f>IF(O1387&gt;=3000,"Large","Small")</f>
        <v/>
      </c>
      <c r="R1387">
        <f>INDEX(Products!$F$2:$F$49,MATCH(J1387,Products!$A$2:$A$49,0))</f>
        <v/>
      </c>
      <c r="S1387">
        <f>WEEKDAY(B1387,2)</f>
        <v/>
      </c>
    </row>
    <row r="1388">
      <c r="A1388" t="n">
        <v>510035</v>
      </c>
      <c r="B1388" s="6" t="n">
        <v>45947</v>
      </c>
      <c r="C1388" t="n">
        <v>15567</v>
      </c>
      <c r="D1388" t="inlineStr">
        <is>
          <t>Gurugram</t>
        </is>
      </c>
      <c r="E1388" t="inlineStr">
        <is>
          <t>North</t>
        </is>
      </c>
      <c r="F1388" t="inlineStr">
        <is>
          <t>Email</t>
        </is>
      </c>
      <c r="G1388" t="inlineStr">
        <is>
          <t>Mobile App</t>
        </is>
      </c>
      <c r="H1388" t="inlineStr">
        <is>
          <t>UPI</t>
        </is>
      </c>
      <c r="I1388" t="inlineStr">
        <is>
          <t>Delivered</t>
        </is>
      </c>
      <c r="J1388" t="n">
        <v>129</v>
      </c>
      <c r="K1388" t="n">
        <v>2</v>
      </c>
      <c r="L1388" t="n">
        <v>576</v>
      </c>
      <c r="M1388" t="n">
        <v>115.2</v>
      </c>
      <c r="N1388">
        <f>VLOOKUP(J1388,Products!$A$2:$C$49,3,FALSE)</f>
        <v/>
      </c>
      <c r="O1388">
        <f>K1388*L1388-M1388</f>
        <v/>
      </c>
      <c r="P1388">
        <f>TEXT(B1388,"yyyy-mm")</f>
        <v/>
      </c>
      <c r="Q1388">
        <f>IF(O1388&gt;=3000,"Large","Small")</f>
        <v/>
      </c>
      <c r="R1388">
        <f>INDEX(Products!$F$2:$F$49,MATCH(J1388,Products!$A$2:$A$49,0))</f>
        <v/>
      </c>
      <c r="S1388">
        <f>WEEKDAY(B1388,2)</f>
        <v/>
      </c>
    </row>
    <row r="1389">
      <c r="A1389" t="n">
        <v>510036</v>
      </c>
      <c r="B1389" s="6" t="n">
        <v>45947</v>
      </c>
      <c r="C1389" t="n">
        <v>16853</v>
      </c>
      <c r="D1389" t="inlineStr">
        <is>
          <t>Bengaluru</t>
        </is>
      </c>
      <c r="E1389" t="inlineStr">
        <is>
          <t>South</t>
        </is>
      </c>
      <c r="F1389" t="inlineStr">
        <is>
          <t>Paid Social</t>
        </is>
      </c>
      <c r="G1389" t="inlineStr">
        <is>
          <t>Desktop</t>
        </is>
      </c>
      <c r="H1389" t="inlineStr">
        <is>
          <t>UPI</t>
        </is>
      </c>
      <c r="I1389" t="inlineStr">
        <is>
          <t>Delivered</t>
        </is>
      </c>
      <c r="J1389" t="n">
        <v>107</v>
      </c>
      <c r="K1389" t="n">
        <v>1</v>
      </c>
      <c r="L1389" t="n">
        <v>1259</v>
      </c>
      <c r="M1389" t="n">
        <v>125.9</v>
      </c>
      <c r="N1389">
        <f>VLOOKUP(J1389,Products!$A$2:$C$49,3,FALSE)</f>
        <v/>
      </c>
      <c r="O1389">
        <f>K1389*L1389-M1389</f>
        <v/>
      </c>
      <c r="P1389">
        <f>TEXT(B1389,"yyyy-mm")</f>
        <v/>
      </c>
      <c r="Q1389">
        <f>IF(O1389&gt;=3000,"Large","Small")</f>
        <v/>
      </c>
      <c r="R1389">
        <f>INDEX(Products!$F$2:$F$49,MATCH(J1389,Products!$A$2:$A$49,0))</f>
        <v/>
      </c>
      <c r="S1389">
        <f>WEEKDAY(B1389,2)</f>
        <v/>
      </c>
    </row>
    <row r="1390">
      <c r="A1390" t="n">
        <v>510036</v>
      </c>
      <c r="B1390" s="6" t="n">
        <v>45947</v>
      </c>
      <c r="C1390" t="n">
        <v>16853</v>
      </c>
      <c r="D1390" t="inlineStr">
        <is>
          <t>Bengaluru</t>
        </is>
      </c>
      <c r="E1390" t="inlineStr">
        <is>
          <t>South</t>
        </is>
      </c>
      <c r="F1390" t="inlineStr">
        <is>
          <t>Paid Social</t>
        </is>
      </c>
      <c r="G1390" t="inlineStr">
        <is>
          <t>Desktop</t>
        </is>
      </c>
      <c r="H1390" t="inlineStr">
        <is>
          <t>UPI</t>
        </is>
      </c>
      <c r="I1390" t="inlineStr">
        <is>
          <t>Delivered</t>
        </is>
      </c>
      <c r="J1390" t="n">
        <v>116</v>
      </c>
      <c r="K1390" t="n">
        <v>1</v>
      </c>
      <c r="L1390" t="n">
        <v>2624</v>
      </c>
      <c r="M1390" t="n">
        <v>262.4</v>
      </c>
      <c r="N1390">
        <f>VLOOKUP(J1390,Products!$A$2:$C$49,3,FALSE)</f>
        <v/>
      </c>
      <c r="O1390">
        <f>K1390*L1390-M1390</f>
        <v/>
      </c>
      <c r="P1390">
        <f>TEXT(B1390,"yyyy-mm")</f>
        <v/>
      </c>
      <c r="Q1390">
        <f>IF(O1390&gt;=3000,"Large","Small")</f>
        <v/>
      </c>
      <c r="R1390">
        <f>INDEX(Products!$F$2:$F$49,MATCH(J1390,Products!$A$2:$A$49,0))</f>
        <v/>
      </c>
      <c r="S1390">
        <f>WEEKDAY(B1390,2)</f>
        <v/>
      </c>
    </row>
    <row r="1391">
      <c r="A1391" t="n">
        <v>510036</v>
      </c>
      <c r="B1391" s="6" t="n">
        <v>45947</v>
      </c>
      <c r="C1391" t="n">
        <v>16853</v>
      </c>
      <c r="D1391" t="inlineStr">
        <is>
          <t>Bengaluru</t>
        </is>
      </c>
      <c r="E1391" t="inlineStr">
        <is>
          <t>South</t>
        </is>
      </c>
      <c r="F1391" t="inlineStr">
        <is>
          <t>Paid Social</t>
        </is>
      </c>
      <c r="G1391" t="inlineStr">
        <is>
          <t>Desktop</t>
        </is>
      </c>
      <c r="H1391" t="inlineStr">
        <is>
          <t>UPI</t>
        </is>
      </c>
      <c r="I1391" t="inlineStr">
        <is>
          <t>Delivered</t>
        </is>
      </c>
      <c r="J1391" t="n">
        <v>129</v>
      </c>
      <c r="K1391" t="n">
        <v>1</v>
      </c>
      <c r="L1391" t="n">
        <v>576</v>
      </c>
      <c r="M1391" t="n">
        <v>57.6</v>
      </c>
      <c r="N1391">
        <f>VLOOKUP(J1391,Products!$A$2:$C$49,3,FALSE)</f>
        <v/>
      </c>
      <c r="O1391">
        <f>K1391*L1391-M1391</f>
        <v/>
      </c>
      <c r="P1391">
        <f>TEXT(B1391,"yyyy-mm")</f>
        <v/>
      </c>
      <c r="Q1391">
        <f>IF(O1391&gt;=3000,"Large","Small")</f>
        <v/>
      </c>
      <c r="R1391">
        <f>INDEX(Products!$F$2:$F$49,MATCH(J1391,Products!$A$2:$A$49,0))</f>
        <v/>
      </c>
      <c r="S1391">
        <f>WEEKDAY(B1391,2)</f>
        <v/>
      </c>
    </row>
    <row r="1392">
      <c r="A1392" t="n">
        <v>510037</v>
      </c>
      <c r="B1392" s="6" t="n">
        <v>45947</v>
      </c>
      <c r="C1392" t="n">
        <v>12915</v>
      </c>
      <c r="D1392" t="inlineStr">
        <is>
          <t>Pune</t>
        </is>
      </c>
      <c r="E1392" t="inlineStr">
        <is>
          <t>West</t>
        </is>
      </c>
      <c r="F1392" t="inlineStr">
        <is>
          <t>Affiliate</t>
        </is>
      </c>
      <c r="G1392" t="inlineStr">
        <is>
          <t>Mobile App</t>
        </is>
      </c>
      <c r="H1392" t="inlineStr">
        <is>
          <t>Credit Card</t>
        </is>
      </c>
      <c r="I1392" t="inlineStr">
        <is>
          <t>Delivered</t>
        </is>
      </c>
      <c r="J1392" t="n">
        <v>120</v>
      </c>
      <c r="K1392" t="n">
        <v>1</v>
      </c>
      <c r="L1392" t="n">
        <v>734</v>
      </c>
      <c r="M1392" t="n">
        <v>0</v>
      </c>
      <c r="N1392">
        <f>VLOOKUP(J1392,Products!$A$2:$C$49,3,FALSE)</f>
        <v/>
      </c>
      <c r="O1392">
        <f>K1392*L1392-M1392</f>
        <v/>
      </c>
      <c r="P1392">
        <f>TEXT(B1392,"yyyy-mm")</f>
        <v/>
      </c>
      <c r="Q1392">
        <f>IF(O1392&gt;=3000,"Large","Small")</f>
        <v/>
      </c>
      <c r="R1392">
        <f>INDEX(Products!$F$2:$F$49,MATCH(J1392,Products!$A$2:$A$49,0))</f>
        <v/>
      </c>
      <c r="S1392">
        <f>WEEKDAY(B1392,2)</f>
        <v/>
      </c>
    </row>
    <row r="1393">
      <c r="A1393" t="n">
        <v>510038</v>
      </c>
      <c r="B1393" s="6" t="n">
        <v>45947</v>
      </c>
      <c r="C1393" t="n">
        <v>14448</v>
      </c>
      <c r="D1393" t="inlineStr">
        <is>
          <t>Kolkata</t>
        </is>
      </c>
      <c r="E1393" t="inlineStr">
        <is>
          <t>East</t>
        </is>
      </c>
      <c r="F1393" t="inlineStr">
        <is>
          <t>Paid Search</t>
        </is>
      </c>
      <c r="G1393" t="inlineStr">
        <is>
          <t>Desktop</t>
        </is>
      </c>
      <c r="H1393" t="inlineStr">
        <is>
          <t>Cash on Delivery</t>
        </is>
      </c>
      <c r="I1393" t="inlineStr">
        <is>
          <t>Cancelled</t>
        </is>
      </c>
      <c r="J1393" t="n">
        <v>118</v>
      </c>
      <c r="K1393" t="n">
        <v>1</v>
      </c>
      <c r="L1393" t="n">
        <v>944</v>
      </c>
      <c r="M1393" t="n">
        <v>0</v>
      </c>
      <c r="N1393">
        <f>VLOOKUP(J1393,Products!$A$2:$C$49,3,FALSE)</f>
        <v/>
      </c>
      <c r="O1393">
        <f>K1393*L1393-M1393</f>
        <v/>
      </c>
      <c r="P1393">
        <f>TEXT(B1393,"yyyy-mm")</f>
        <v/>
      </c>
      <c r="Q1393">
        <f>IF(O1393&gt;=3000,"Large","Small")</f>
        <v/>
      </c>
      <c r="R1393">
        <f>INDEX(Products!$F$2:$F$49,MATCH(J1393,Products!$A$2:$A$49,0))</f>
        <v/>
      </c>
      <c r="S1393">
        <f>WEEKDAY(B1393,2)</f>
        <v/>
      </c>
    </row>
    <row r="1394">
      <c r="A1394" t="n">
        <v>510039</v>
      </c>
      <c r="B1394" s="6" t="n">
        <v>45947</v>
      </c>
      <c r="C1394" t="n">
        <v>16678</v>
      </c>
      <c r="D1394" t="inlineStr">
        <is>
          <t>Chandigarh</t>
        </is>
      </c>
      <c r="E1394" t="inlineStr">
        <is>
          <t>North</t>
        </is>
      </c>
      <c r="F1394" t="inlineStr">
        <is>
          <t>Paid Social</t>
        </is>
      </c>
      <c r="G1394" t="inlineStr">
        <is>
          <t>Desktop</t>
        </is>
      </c>
      <c r="H1394" t="inlineStr">
        <is>
          <t>Credit Card</t>
        </is>
      </c>
      <c r="I1394" t="inlineStr">
        <is>
          <t>Delivered</t>
        </is>
      </c>
      <c r="J1394" t="n">
        <v>134</v>
      </c>
      <c r="K1394" t="n">
        <v>1</v>
      </c>
      <c r="L1394" t="n">
        <v>209</v>
      </c>
      <c r="M1394" t="n">
        <v>31.35</v>
      </c>
      <c r="N1394">
        <f>VLOOKUP(J1394,Products!$A$2:$C$49,3,FALSE)</f>
        <v/>
      </c>
      <c r="O1394">
        <f>K1394*L1394-M1394</f>
        <v/>
      </c>
      <c r="P1394">
        <f>TEXT(B1394,"yyyy-mm")</f>
        <v/>
      </c>
      <c r="Q1394">
        <f>IF(O1394&gt;=3000,"Large","Small")</f>
        <v/>
      </c>
      <c r="R1394">
        <f>INDEX(Products!$F$2:$F$49,MATCH(J1394,Products!$A$2:$A$49,0))</f>
        <v/>
      </c>
      <c r="S1394">
        <f>WEEKDAY(B1394,2)</f>
        <v/>
      </c>
    </row>
    <row r="1395">
      <c r="A1395" t="n">
        <v>510039</v>
      </c>
      <c r="B1395" s="6" t="n">
        <v>45947</v>
      </c>
      <c r="C1395" t="n">
        <v>16678</v>
      </c>
      <c r="D1395" t="inlineStr">
        <is>
          <t>Chandigarh</t>
        </is>
      </c>
      <c r="E1395" t="inlineStr">
        <is>
          <t>North</t>
        </is>
      </c>
      <c r="F1395" t="inlineStr">
        <is>
          <t>Paid Social</t>
        </is>
      </c>
      <c r="G1395" t="inlineStr">
        <is>
          <t>Desktop</t>
        </is>
      </c>
      <c r="H1395" t="inlineStr">
        <is>
          <t>Credit Card</t>
        </is>
      </c>
      <c r="I1395" t="inlineStr">
        <is>
          <t>Delivered</t>
        </is>
      </c>
      <c r="J1395" t="n">
        <v>124</v>
      </c>
      <c r="K1395" t="n">
        <v>2</v>
      </c>
      <c r="L1395" t="n">
        <v>1154</v>
      </c>
      <c r="M1395" t="n">
        <v>346.2</v>
      </c>
      <c r="N1395">
        <f>VLOOKUP(J1395,Products!$A$2:$C$49,3,FALSE)</f>
        <v/>
      </c>
      <c r="O1395">
        <f>K1395*L1395-M1395</f>
        <v/>
      </c>
      <c r="P1395">
        <f>TEXT(B1395,"yyyy-mm")</f>
        <v/>
      </c>
      <c r="Q1395">
        <f>IF(O1395&gt;=3000,"Large","Small")</f>
        <v/>
      </c>
      <c r="R1395">
        <f>INDEX(Products!$F$2:$F$49,MATCH(J1395,Products!$A$2:$A$49,0))</f>
        <v/>
      </c>
      <c r="S1395">
        <f>WEEKDAY(B1395,2)</f>
        <v/>
      </c>
    </row>
    <row r="1396">
      <c r="A1396" t="n">
        <v>510039</v>
      </c>
      <c r="B1396" s="6" t="n">
        <v>45947</v>
      </c>
      <c r="C1396" t="n">
        <v>16678</v>
      </c>
      <c r="D1396" t="inlineStr">
        <is>
          <t>Chandigarh</t>
        </is>
      </c>
      <c r="E1396" t="inlineStr">
        <is>
          <t>North</t>
        </is>
      </c>
      <c r="F1396" t="inlineStr">
        <is>
          <t>Paid Social</t>
        </is>
      </c>
      <c r="G1396" t="inlineStr">
        <is>
          <t>Desktop</t>
        </is>
      </c>
      <c r="H1396" t="inlineStr">
        <is>
          <t>Credit Card</t>
        </is>
      </c>
      <c r="I1396" t="inlineStr">
        <is>
          <t>Delivered</t>
        </is>
      </c>
      <c r="J1396" t="n">
        <v>116</v>
      </c>
      <c r="K1396" t="n">
        <v>1</v>
      </c>
      <c r="L1396" t="n">
        <v>2624</v>
      </c>
      <c r="M1396" t="n">
        <v>393.6</v>
      </c>
      <c r="N1396">
        <f>VLOOKUP(J1396,Products!$A$2:$C$49,3,FALSE)</f>
        <v/>
      </c>
      <c r="O1396">
        <f>K1396*L1396-M1396</f>
        <v/>
      </c>
      <c r="P1396">
        <f>TEXT(B1396,"yyyy-mm")</f>
        <v/>
      </c>
      <c r="Q1396">
        <f>IF(O1396&gt;=3000,"Large","Small")</f>
        <v/>
      </c>
      <c r="R1396">
        <f>INDEX(Products!$F$2:$F$49,MATCH(J1396,Products!$A$2:$A$49,0))</f>
        <v/>
      </c>
      <c r="S1396">
        <f>WEEKDAY(B1396,2)</f>
        <v/>
      </c>
    </row>
    <row r="1397">
      <c r="A1397" t="n">
        <v>510040</v>
      </c>
      <c r="B1397" s="6" t="n">
        <v>45947</v>
      </c>
      <c r="C1397" t="n">
        <v>16716</v>
      </c>
      <c r="D1397" t="inlineStr">
        <is>
          <t>Ahmedabad</t>
        </is>
      </c>
      <c r="E1397" t="inlineStr">
        <is>
          <t>West</t>
        </is>
      </c>
      <c r="F1397" t="inlineStr">
        <is>
          <t>Paid Search</t>
        </is>
      </c>
      <c r="G1397" t="inlineStr">
        <is>
          <t>Mobile App</t>
        </is>
      </c>
      <c r="H1397" t="inlineStr">
        <is>
          <t>Debit Card</t>
        </is>
      </c>
      <c r="I1397" t="inlineStr">
        <is>
          <t>Delivered</t>
        </is>
      </c>
      <c r="J1397" t="n">
        <v>130</v>
      </c>
      <c r="K1397" t="n">
        <v>1</v>
      </c>
      <c r="L1397" t="n">
        <v>734</v>
      </c>
      <c r="M1397" t="n">
        <v>0</v>
      </c>
      <c r="N1397">
        <f>VLOOKUP(J1397,Products!$A$2:$C$49,3,FALSE)</f>
        <v/>
      </c>
      <c r="O1397">
        <f>K1397*L1397-M1397</f>
        <v/>
      </c>
      <c r="P1397">
        <f>TEXT(B1397,"yyyy-mm")</f>
        <v/>
      </c>
      <c r="Q1397">
        <f>IF(O1397&gt;=3000,"Large","Small")</f>
        <v/>
      </c>
      <c r="R1397">
        <f>INDEX(Products!$F$2:$F$49,MATCH(J1397,Products!$A$2:$A$49,0))</f>
        <v/>
      </c>
      <c r="S1397">
        <f>WEEKDAY(B1397,2)</f>
        <v/>
      </c>
    </row>
    <row r="1398">
      <c r="A1398" t="n">
        <v>510041</v>
      </c>
      <c r="B1398" s="6" t="n">
        <v>45947</v>
      </c>
      <c r="C1398" t="n">
        <v>11670</v>
      </c>
      <c r="D1398" t="inlineStr">
        <is>
          <t>Indore</t>
        </is>
      </c>
      <c r="E1398" t="inlineStr">
        <is>
          <t>West</t>
        </is>
      </c>
      <c r="F1398" t="inlineStr">
        <is>
          <t>Organic Search</t>
        </is>
      </c>
      <c r="G1398" t="inlineStr">
        <is>
          <t>Mobile App</t>
        </is>
      </c>
      <c r="H1398" t="inlineStr">
        <is>
          <t>UPI</t>
        </is>
      </c>
      <c r="I1398" t="inlineStr">
        <is>
          <t>Delivered</t>
        </is>
      </c>
      <c r="J1398" t="n">
        <v>110</v>
      </c>
      <c r="K1398" t="n">
        <v>1</v>
      </c>
      <c r="L1398" t="n">
        <v>839</v>
      </c>
      <c r="M1398" t="n">
        <v>0</v>
      </c>
      <c r="N1398">
        <f>VLOOKUP(J1398,Products!$A$2:$C$49,3,FALSE)</f>
        <v/>
      </c>
      <c r="O1398">
        <f>K1398*L1398-M1398</f>
        <v/>
      </c>
      <c r="P1398">
        <f>TEXT(B1398,"yyyy-mm")</f>
        <v/>
      </c>
      <c r="Q1398">
        <f>IF(O1398&gt;=3000,"Large","Small")</f>
        <v/>
      </c>
      <c r="R1398">
        <f>INDEX(Products!$F$2:$F$49,MATCH(J1398,Products!$A$2:$A$49,0))</f>
        <v/>
      </c>
      <c r="S1398">
        <f>WEEKDAY(B1398,2)</f>
        <v/>
      </c>
    </row>
    <row r="1399">
      <c r="A1399" t="n">
        <v>510041</v>
      </c>
      <c r="B1399" s="6" t="n">
        <v>45947</v>
      </c>
      <c r="C1399" t="n">
        <v>11670</v>
      </c>
      <c r="D1399" t="inlineStr">
        <is>
          <t>Indore</t>
        </is>
      </c>
      <c r="E1399" t="inlineStr">
        <is>
          <t>West</t>
        </is>
      </c>
      <c r="F1399" t="inlineStr">
        <is>
          <t>Organic Search</t>
        </is>
      </c>
      <c r="G1399" t="inlineStr">
        <is>
          <t>Mobile App</t>
        </is>
      </c>
      <c r="H1399" t="inlineStr">
        <is>
          <t>UPI</t>
        </is>
      </c>
      <c r="I1399" t="inlineStr">
        <is>
          <t>Delivered</t>
        </is>
      </c>
      <c r="J1399" t="n">
        <v>129</v>
      </c>
      <c r="K1399" t="n">
        <v>1</v>
      </c>
      <c r="L1399" t="n">
        <v>576</v>
      </c>
      <c r="M1399" t="n">
        <v>0</v>
      </c>
      <c r="N1399">
        <f>VLOOKUP(J1399,Products!$A$2:$C$49,3,FALSE)</f>
        <v/>
      </c>
      <c r="O1399">
        <f>K1399*L1399-M1399</f>
        <v/>
      </c>
      <c r="P1399">
        <f>TEXT(B1399,"yyyy-mm")</f>
        <v/>
      </c>
      <c r="Q1399">
        <f>IF(O1399&gt;=3000,"Large","Small")</f>
        <v/>
      </c>
      <c r="R1399">
        <f>INDEX(Products!$F$2:$F$49,MATCH(J1399,Products!$A$2:$A$49,0))</f>
        <v/>
      </c>
      <c r="S1399">
        <f>WEEKDAY(B1399,2)</f>
        <v/>
      </c>
    </row>
    <row r="1400">
      <c r="A1400" t="n">
        <v>510042</v>
      </c>
      <c r="B1400" s="6" t="n">
        <v>45947</v>
      </c>
      <c r="C1400" t="n">
        <v>16882</v>
      </c>
      <c r="D1400" t="inlineStr">
        <is>
          <t>Gurugram</t>
        </is>
      </c>
      <c r="E1400" t="inlineStr">
        <is>
          <t>North</t>
        </is>
      </c>
      <c r="F1400" t="inlineStr">
        <is>
          <t>Referral</t>
        </is>
      </c>
      <c r="G1400" t="inlineStr">
        <is>
          <t>Mobile App</t>
        </is>
      </c>
      <c r="H1400" t="inlineStr">
        <is>
          <t>UPI</t>
        </is>
      </c>
      <c r="I1400" t="inlineStr">
        <is>
          <t>Delivered</t>
        </is>
      </c>
      <c r="J1400" t="n">
        <v>117</v>
      </c>
      <c r="K1400" t="n">
        <v>1</v>
      </c>
      <c r="L1400" t="n">
        <v>3149</v>
      </c>
      <c r="M1400" t="n">
        <v>0</v>
      </c>
      <c r="N1400">
        <f>VLOOKUP(J1400,Products!$A$2:$C$49,3,FALSE)</f>
        <v/>
      </c>
      <c r="O1400">
        <f>K1400*L1400-M1400</f>
        <v/>
      </c>
      <c r="P1400">
        <f>TEXT(B1400,"yyyy-mm")</f>
        <v/>
      </c>
      <c r="Q1400">
        <f>IF(O1400&gt;=3000,"Large","Small")</f>
        <v/>
      </c>
      <c r="R1400">
        <f>INDEX(Products!$F$2:$F$49,MATCH(J1400,Products!$A$2:$A$49,0))</f>
        <v/>
      </c>
      <c r="S1400">
        <f>WEEKDAY(B1400,2)</f>
        <v/>
      </c>
    </row>
    <row r="1401">
      <c r="A1401" t="n">
        <v>510042</v>
      </c>
      <c r="B1401" s="6" t="n">
        <v>45947</v>
      </c>
      <c r="C1401" t="n">
        <v>16882</v>
      </c>
      <c r="D1401" t="inlineStr">
        <is>
          <t>Gurugram</t>
        </is>
      </c>
      <c r="E1401" t="inlineStr">
        <is>
          <t>North</t>
        </is>
      </c>
      <c r="F1401" t="inlineStr">
        <is>
          <t>Referral</t>
        </is>
      </c>
      <c r="G1401" t="inlineStr">
        <is>
          <t>Mobile App</t>
        </is>
      </c>
      <c r="H1401" t="inlineStr">
        <is>
          <t>UPI</t>
        </is>
      </c>
      <c r="I1401" t="inlineStr">
        <is>
          <t>Delivered</t>
        </is>
      </c>
      <c r="J1401" t="n">
        <v>129</v>
      </c>
      <c r="K1401" t="n">
        <v>2</v>
      </c>
      <c r="L1401" t="n">
        <v>576</v>
      </c>
      <c r="M1401" t="n">
        <v>0</v>
      </c>
      <c r="N1401">
        <f>VLOOKUP(J1401,Products!$A$2:$C$49,3,FALSE)</f>
        <v/>
      </c>
      <c r="O1401">
        <f>K1401*L1401-M1401</f>
        <v/>
      </c>
      <c r="P1401">
        <f>TEXT(B1401,"yyyy-mm")</f>
        <v/>
      </c>
      <c r="Q1401">
        <f>IF(O1401&gt;=3000,"Large","Small")</f>
        <v/>
      </c>
      <c r="R1401">
        <f>INDEX(Products!$F$2:$F$49,MATCH(J1401,Products!$A$2:$A$49,0))</f>
        <v/>
      </c>
      <c r="S1401">
        <f>WEEKDAY(B1401,2)</f>
        <v/>
      </c>
    </row>
    <row r="1402">
      <c r="A1402" t="n">
        <v>510043</v>
      </c>
      <c r="B1402" s="6" t="n">
        <v>45947</v>
      </c>
      <c r="C1402" t="n">
        <v>13736</v>
      </c>
      <c r="D1402" t="inlineStr">
        <is>
          <t>Hyderabad</t>
        </is>
      </c>
      <c r="E1402" t="inlineStr">
        <is>
          <t>South</t>
        </is>
      </c>
      <c r="F1402" t="inlineStr">
        <is>
          <t>Referral</t>
        </is>
      </c>
      <c r="G1402" t="inlineStr">
        <is>
          <t>Mobile App</t>
        </is>
      </c>
      <c r="H1402" t="inlineStr">
        <is>
          <t>Credit Card</t>
        </is>
      </c>
      <c r="I1402" t="inlineStr">
        <is>
          <t>Delivered</t>
        </is>
      </c>
      <c r="J1402" t="n">
        <v>107</v>
      </c>
      <c r="K1402" t="n">
        <v>1</v>
      </c>
      <c r="L1402" t="n">
        <v>1259</v>
      </c>
      <c r="M1402" t="n">
        <v>125.9</v>
      </c>
      <c r="N1402">
        <f>VLOOKUP(J1402,Products!$A$2:$C$49,3,FALSE)</f>
        <v/>
      </c>
      <c r="O1402">
        <f>K1402*L1402-M1402</f>
        <v/>
      </c>
      <c r="P1402">
        <f>TEXT(B1402,"yyyy-mm")</f>
        <v/>
      </c>
      <c r="Q1402">
        <f>IF(O1402&gt;=3000,"Large","Small")</f>
        <v/>
      </c>
      <c r="R1402">
        <f>INDEX(Products!$F$2:$F$49,MATCH(J1402,Products!$A$2:$A$49,0))</f>
        <v/>
      </c>
      <c r="S1402">
        <f>WEEKDAY(B1402,2)</f>
        <v/>
      </c>
    </row>
    <row r="1403">
      <c r="A1403" t="n">
        <v>510043</v>
      </c>
      <c r="B1403" s="6" t="n">
        <v>45947</v>
      </c>
      <c r="C1403" t="n">
        <v>13736</v>
      </c>
      <c r="D1403" t="inlineStr">
        <is>
          <t>Hyderabad</t>
        </is>
      </c>
      <c r="E1403" t="inlineStr">
        <is>
          <t>South</t>
        </is>
      </c>
      <c r="F1403" t="inlineStr">
        <is>
          <t>Referral</t>
        </is>
      </c>
      <c r="G1403" t="inlineStr">
        <is>
          <t>Mobile App</t>
        </is>
      </c>
      <c r="H1403" t="inlineStr">
        <is>
          <t>Credit Card</t>
        </is>
      </c>
      <c r="I1403" t="inlineStr">
        <is>
          <t>Delivered</t>
        </is>
      </c>
      <c r="J1403" t="n">
        <v>118</v>
      </c>
      <c r="K1403" t="n">
        <v>1</v>
      </c>
      <c r="L1403" t="n">
        <v>944</v>
      </c>
      <c r="M1403" t="n">
        <v>94.40000000000001</v>
      </c>
      <c r="N1403">
        <f>VLOOKUP(J1403,Products!$A$2:$C$49,3,FALSE)</f>
        <v/>
      </c>
      <c r="O1403">
        <f>K1403*L1403-M1403</f>
        <v/>
      </c>
      <c r="P1403">
        <f>TEXT(B1403,"yyyy-mm")</f>
        <v/>
      </c>
      <c r="Q1403">
        <f>IF(O1403&gt;=3000,"Large","Small")</f>
        <v/>
      </c>
      <c r="R1403">
        <f>INDEX(Products!$F$2:$F$49,MATCH(J1403,Products!$A$2:$A$49,0))</f>
        <v/>
      </c>
      <c r="S1403">
        <f>WEEKDAY(B1403,2)</f>
        <v/>
      </c>
    </row>
    <row r="1404">
      <c r="A1404" t="n">
        <v>510043</v>
      </c>
      <c r="B1404" s="6" t="n">
        <v>45947</v>
      </c>
      <c r="C1404" t="n">
        <v>13736</v>
      </c>
      <c r="D1404" t="inlineStr">
        <is>
          <t>Hyderabad</t>
        </is>
      </c>
      <c r="E1404" t="inlineStr">
        <is>
          <t>South</t>
        </is>
      </c>
      <c r="F1404" t="inlineStr">
        <is>
          <t>Referral</t>
        </is>
      </c>
      <c r="G1404" t="inlineStr">
        <is>
          <t>Mobile App</t>
        </is>
      </c>
      <c r="H1404" t="inlineStr">
        <is>
          <t>Credit Card</t>
        </is>
      </c>
      <c r="I1404" t="inlineStr">
        <is>
          <t>Delivered</t>
        </is>
      </c>
      <c r="J1404" t="n">
        <v>129</v>
      </c>
      <c r="K1404" t="n">
        <v>1</v>
      </c>
      <c r="L1404" t="n">
        <v>576</v>
      </c>
      <c r="M1404" t="n">
        <v>57.6</v>
      </c>
      <c r="N1404">
        <f>VLOOKUP(J1404,Products!$A$2:$C$49,3,FALSE)</f>
        <v/>
      </c>
      <c r="O1404">
        <f>K1404*L1404-M1404</f>
        <v/>
      </c>
      <c r="P1404">
        <f>TEXT(B1404,"yyyy-mm")</f>
        <v/>
      </c>
      <c r="Q1404">
        <f>IF(O1404&gt;=3000,"Large","Small")</f>
        <v/>
      </c>
      <c r="R1404">
        <f>INDEX(Products!$F$2:$F$49,MATCH(J1404,Products!$A$2:$A$49,0))</f>
        <v/>
      </c>
      <c r="S1404">
        <f>WEEKDAY(B1404,2)</f>
        <v/>
      </c>
    </row>
    <row r="1405">
      <c r="A1405" t="n">
        <v>510044</v>
      </c>
      <c r="B1405" s="6" t="n">
        <v>45947</v>
      </c>
      <c r="C1405" t="n">
        <v>12465</v>
      </c>
      <c r="D1405" t="inlineStr">
        <is>
          <t>Lucknow</t>
        </is>
      </c>
      <c r="E1405" t="inlineStr">
        <is>
          <t>North</t>
        </is>
      </c>
      <c r="F1405" t="inlineStr">
        <is>
          <t>Paid Search</t>
        </is>
      </c>
      <c r="G1405" t="inlineStr">
        <is>
          <t>Mobile App</t>
        </is>
      </c>
      <c r="H1405" t="inlineStr">
        <is>
          <t>UPI</t>
        </is>
      </c>
      <c r="I1405" t="inlineStr">
        <is>
          <t>Delivered</t>
        </is>
      </c>
      <c r="J1405" t="n">
        <v>134</v>
      </c>
      <c r="K1405" t="n">
        <v>1</v>
      </c>
      <c r="L1405" t="n">
        <v>209</v>
      </c>
      <c r="M1405" t="n">
        <v>0</v>
      </c>
      <c r="N1405">
        <f>VLOOKUP(J1405,Products!$A$2:$C$49,3,FALSE)</f>
        <v/>
      </c>
      <c r="O1405">
        <f>K1405*L1405-M1405</f>
        <v/>
      </c>
      <c r="P1405">
        <f>TEXT(B1405,"yyyy-mm")</f>
        <v/>
      </c>
      <c r="Q1405">
        <f>IF(O1405&gt;=3000,"Large","Small")</f>
        <v/>
      </c>
      <c r="R1405">
        <f>INDEX(Products!$F$2:$F$49,MATCH(J1405,Products!$A$2:$A$49,0))</f>
        <v/>
      </c>
      <c r="S1405">
        <f>WEEKDAY(B1405,2)</f>
        <v/>
      </c>
    </row>
    <row r="1406">
      <c r="A1406" t="n">
        <v>510044</v>
      </c>
      <c r="B1406" s="6" t="n">
        <v>45947</v>
      </c>
      <c r="C1406" t="n">
        <v>12465</v>
      </c>
      <c r="D1406" t="inlineStr">
        <is>
          <t>Lucknow</t>
        </is>
      </c>
      <c r="E1406" t="inlineStr">
        <is>
          <t>North</t>
        </is>
      </c>
      <c r="F1406" t="inlineStr">
        <is>
          <t>Paid Search</t>
        </is>
      </c>
      <c r="G1406" t="inlineStr">
        <is>
          <t>Mobile App</t>
        </is>
      </c>
      <c r="H1406" t="inlineStr">
        <is>
          <t>UPI</t>
        </is>
      </c>
      <c r="I1406" t="inlineStr">
        <is>
          <t>Delivered</t>
        </is>
      </c>
      <c r="J1406" t="n">
        <v>140</v>
      </c>
      <c r="K1406" t="n">
        <v>1</v>
      </c>
      <c r="L1406" t="n">
        <v>629</v>
      </c>
      <c r="M1406" t="n">
        <v>0</v>
      </c>
      <c r="N1406">
        <f>VLOOKUP(J1406,Products!$A$2:$C$49,3,FALSE)</f>
        <v/>
      </c>
      <c r="O1406">
        <f>K1406*L1406-M1406</f>
        <v/>
      </c>
      <c r="P1406">
        <f>TEXT(B1406,"yyyy-mm")</f>
        <v/>
      </c>
      <c r="Q1406">
        <f>IF(O1406&gt;=3000,"Large","Small")</f>
        <v/>
      </c>
      <c r="R1406">
        <f>INDEX(Products!$F$2:$F$49,MATCH(J1406,Products!$A$2:$A$49,0))</f>
        <v/>
      </c>
      <c r="S1406">
        <f>WEEKDAY(B1406,2)</f>
        <v/>
      </c>
    </row>
    <row r="1407">
      <c r="A1407" t="n">
        <v>510044</v>
      </c>
      <c r="B1407" s="6" t="n">
        <v>45947</v>
      </c>
      <c r="C1407" t="n">
        <v>12465</v>
      </c>
      <c r="D1407" t="inlineStr">
        <is>
          <t>Lucknow</t>
        </is>
      </c>
      <c r="E1407" t="inlineStr">
        <is>
          <t>North</t>
        </is>
      </c>
      <c r="F1407" t="inlineStr">
        <is>
          <t>Paid Search</t>
        </is>
      </c>
      <c r="G1407" t="inlineStr">
        <is>
          <t>Mobile App</t>
        </is>
      </c>
      <c r="H1407" t="inlineStr">
        <is>
          <t>UPI</t>
        </is>
      </c>
      <c r="I1407" t="inlineStr">
        <is>
          <t>Delivered</t>
        </is>
      </c>
      <c r="J1407" t="n">
        <v>113</v>
      </c>
      <c r="K1407" t="n">
        <v>1</v>
      </c>
      <c r="L1407" t="n">
        <v>1364</v>
      </c>
      <c r="M1407" t="n">
        <v>0</v>
      </c>
      <c r="N1407">
        <f>VLOOKUP(J1407,Products!$A$2:$C$49,3,FALSE)</f>
        <v/>
      </c>
      <c r="O1407">
        <f>K1407*L1407-M1407</f>
        <v/>
      </c>
      <c r="P1407">
        <f>TEXT(B1407,"yyyy-mm")</f>
        <v/>
      </c>
      <c r="Q1407">
        <f>IF(O1407&gt;=3000,"Large","Small")</f>
        <v/>
      </c>
      <c r="R1407">
        <f>INDEX(Products!$F$2:$F$49,MATCH(J1407,Products!$A$2:$A$49,0))</f>
        <v/>
      </c>
      <c r="S1407">
        <f>WEEKDAY(B1407,2)</f>
        <v/>
      </c>
    </row>
    <row r="1408">
      <c r="A1408" t="n">
        <v>510044</v>
      </c>
      <c r="B1408" s="6" t="n">
        <v>45947</v>
      </c>
      <c r="C1408" t="n">
        <v>12465</v>
      </c>
      <c r="D1408" t="inlineStr">
        <is>
          <t>Lucknow</t>
        </is>
      </c>
      <c r="E1408" t="inlineStr">
        <is>
          <t>North</t>
        </is>
      </c>
      <c r="F1408" t="inlineStr">
        <is>
          <t>Paid Search</t>
        </is>
      </c>
      <c r="G1408" t="inlineStr">
        <is>
          <t>Mobile App</t>
        </is>
      </c>
      <c r="H1408" t="inlineStr">
        <is>
          <t>UPI</t>
        </is>
      </c>
      <c r="I1408" t="inlineStr">
        <is>
          <t>Delivered</t>
        </is>
      </c>
      <c r="J1408" t="n">
        <v>129</v>
      </c>
      <c r="K1408" t="n">
        <v>1</v>
      </c>
      <c r="L1408" t="n">
        <v>576</v>
      </c>
      <c r="M1408" t="n">
        <v>0</v>
      </c>
      <c r="N1408">
        <f>VLOOKUP(J1408,Products!$A$2:$C$49,3,FALSE)</f>
        <v/>
      </c>
      <c r="O1408">
        <f>K1408*L1408-M1408</f>
        <v/>
      </c>
      <c r="P1408">
        <f>TEXT(B1408,"yyyy-mm")</f>
        <v/>
      </c>
      <c r="Q1408">
        <f>IF(O1408&gt;=3000,"Large","Small")</f>
        <v/>
      </c>
      <c r="R1408">
        <f>INDEX(Products!$F$2:$F$49,MATCH(J1408,Products!$A$2:$A$49,0))</f>
        <v/>
      </c>
      <c r="S1408">
        <f>WEEKDAY(B1408,2)</f>
        <v/>
      </c>
    </row>
    <row r="1409">
      <c r="A1409" t="n">
        <v>510045</v>
      </c>
      <c r="B1409" s="6" t="n">
        <v>45947</v>
      </c>
      <c r="C1409" t="n">
        <v>16849</v>
      </c>
      <c r="D1409" t="inlineStr">
        <is>
          <t>Delhi</t>
        </is>
      </c>
      <c r="E1409" t="inlineStr">
        <is>
          <t>North</t>
        </is>
      </c>
      <c r="F1409" t="inlineStr">
        <is>
          <t>Paid Search</t>
        </is>
      </c>
      <c r="G1409" t="inlineStr">
        <is>
          <t>Mobile App</t>
        </is>
      </c>
      <c r="H1409" t="inlineStr">
        <is>
          <t>UPI</t>
        </is>
      </c>
      <c r="I1409" t="inlineStr">
        <is>
          <t>Delivered</t>
        </is>
      </c>
      <c r="J1409" t="n">
        <v>114</v>
      </c>
      <c r="K1409" t="n">
        <v>3</v>
      </c>
      <c r="L1409" t="n">
        <v>1259</v>
      </c>
      <c r="M1409" t="n">
        <v>0</v>
      </c>
      <c r="N1409">
        <f>VLOOKUP(J1409,Products!$A$2:$C$49,3,FALSE)</f>
        <v/>
      </c>
      <c r="O1409">
        <f>K1409*L1409-M1409</f>
        <v/>
      </c>
      <c r="P1409">
        <f>TEXT(B1409,"yyyy-mm")</f>
        <v/>
      </c>
      <c r="Q1409">
        <f>IF(O1409&gt;=3000,"Large","Small")</f>
        <v/>
      </c>
      <c r="R1409">
        <f>INDEX(Products!$F$2:$F$49,MATCH(J1409,Products!$A$2:$A$49,0))</f>
        <v/>
      </c>
      <c r="S1409">
        <f>WEEKDAY(B1409,2)</f>
        <v/>
      </c>
    </row>
    <row r="1410">
      <c r="A1410" t="n">
        <v>510045</v>
      </c>
      <c r="B1410" s="6" t="n">
        <v>45947</v>
      </c>
      <c r="C1410" t="n">
        <v>16849</v>
      </c>
      <c r="D1410" t="inlineStr">
        <is>
          <t>Delhi</t>
        </is>
      </c>
      <c r="E1410" t="inlineStr">
        <is>
          <t>North</t>
        </is>
      </c>
      <c r="F1410" t="inlineStr">
        <is>
          <t>Paid Search</t>
        </is>
      </c>
      <c r="G1410" t="inlineStr">
        <is>
          <t>Mobile App</t>
        </is>
      </c>
      <c r="H1410" t="inlineStr">
        <is>
          <t>UPI</t>
        </is>
      </c>
      <c r="I1410" t="inlineStr">
        <is>
          <t>Delivered</t>
        </is>
      </c>
      <c r="J1410" t="n">
        <v>101</v>
      </c>
      <c r="K1410" t="n">
        <v>2</v>
      </c>
      <c r="L1410" t="n">
        <v>2099</v>
      </c>
      <c r="M1410" t="n">
        <v>0</v>
      </c>
      <c r="N1410">
        <f>VLOOKUP(J1410,Products!$A$2:$C$49,3,FALSE)</f>
        <v/>
      </c>
      <c r="O1410">
        <f>K1410*L1410-M1410</f>
        <v/>
      </c>
      <c r="P1410">
        <f>TEXT(B1410,"yyyy-mm")</f>
        <v/>
      </c>
      <c r="Q1410">
        <f>IF(O1410&gt;=3000,"Large","Small")</f>
        <v/>
      </c>
      <c r="R1410">
        <f>INDEX(Products!$F$2:$F$49,MATCH(J1410,Products!$A$2:$A$49,0))</f>
        <v/>
      </c>
      <c r="S1410">
        <f>WEEKDAY(B1410,2)</f>
        <v/>
      </c>
    </row>
    <row r="1411">
      <c r="A1411" t="n">
        <v>510045</v>
      </c>
      <c r="B1411" s="6" t="n">
        <v>45947</v>
      </c>
      <c r="C1411" t="n">
        <v>16849</v>
      </c>
      <c r="D1411" t="inlineStr">
        <is>
          <t>Delhi</t>
        </is>
      </c>
      <c r="E1411" t="inlineStr">
        <is>
          <t>North</t>
        </is>
      </c>
      <c r="F1411" t="inlineStr">
        <is>
          <t>Paid Search</t>
        </is>
      </c>
      <c r="G1411" t="inlineStr">
        <is>
          <t>Mobile App</t>
        </is>
      </c>
      <c r="H1411" t="inlineStr">
        <is>
          <t>UPI</t>
        </is>
      </c>
      <c r="I1411" t="inlineStr">
        <is>
          <t>Delivered</t>
        </is>
      </c>
      <c r="J1411" t="n">
        <v>129</v>
      </c>
      <c r="K1411" t="n">
        <v>1</v>
      </c>
      <c r="L1411" t="n">
        <v>576</v>
      </c>
      <c r="M1411" t="n">
        <v>0</v>
      </c>
      <c r="N1411">
        <f>VLOOKUP(J1411,Products!$A$2:$C$49,3,FALSE)</f>
        <v/>
      </c>
      <c r="O1411">
        <f>K1411*L1411-M1411</f>
        <v/>
      </c>
      <c r="P1411">
        <f>TEXT(B1411,"yyyy-mm")</f>
        <v/>
      </c>
      <c r="Q1411">
        <f>IF(O1411&gt;=3000,"Large","Small")</f>
        <v/>
      </c>
      <c r="R1411">
        <f>INDEX(Products!$F$2:$F$49,MATCH(J1411,Products!$A$2:$A$49,0))</f>
        <v/>
      </c>
      <c r="S1411">
        <f>WEEKDAY(B1411,2)</f>
        <v/>
      </c>
    </row>
    <row r="1412">
      <c r="A1412" t="n">
        <v>510046</v>
      </c>
      <c r="B1412" s="6" t="n">
        <v>45947</v>
      </c>
      <c r="C1412" t="n">
        <v>11639</v>
      </c>
      <c r="D1412" t="inlineStr">
        <is>
          <t>Bengaluru</t>
        </is>
      </c>
      <c r="E1412" t="inlineStr">
        <is>
          <t>South</t>
        </is>
      </c>
      <c r="F1412" t="inlineStr">
        <is>
          <t>Email</t>
        </is>
      </c>
      <c r="G1412" t="inlineStr">
        <is>
          <t>Mobile Web</t>
        </is>
      </c>
      <c r="H1412" t="inlineStr">
        <is>
          <t>Cash on Delivery</t>
        </is>
      </c>
      <c r="I1412" t="inlineStr">
        <is>
          <t>Delivered</t>
        </is>
      </c>
      <c r="J1412" t="n">
        <v>109</v>
      </c>
      <c r="K1412" t="n">
        <v>1</v>
      </c>
      <c r="L1412" t="n">
        <v>4199</v>
      </c>
      <c r="M1412" t="n">
        <v>0</v>
      </c>
      <c r="N1412">
        <f>VLOOKUP(J1412,Products!$A$2:$C$49,3,FALSE)</f>
        <v/>
      </c>
      <c r="O1412">
        <f>K1412*L1412-M1412</f>
        <v/>
      </c>
      <c r="P1412">
        <f>TEXT(B1412,"yyyy-mm")</f>
        <v/>
      </c>
      <c r="Q1412">
        <f>IF(O1412&gt;=3000,"Large","Small")</f>
        <v/>
      </c>
      <c r="R1412">
        <f>INDEX(Products!$F$2:$F$49,MATCH(J1412,Products!$A$2:$A$49,0))</f>
        <v/>
      </c>
      <c r="S1412">
        <f>WEEKDAY(B1412,2)</f>
        <v/>
      </c>
    </row>
    <row r="1413">
      <c r="A1413" t="n">
        <v>510047</v>
      </c>
      <c r="B1413" s="6" t="n">
        <v>45947</v>
      </c>
      <c r="C1413" t="n">
        <v>16612</v>
      </c>
      <c r="D1413" t="inlineStr">
        <is>
          <t>Mumbai</t>
        </is>
      </c>
      <c r="E1413" t="inlineStr">
        <is>
          <t>West</t>
        </is>
      </c>
      <c r="F1413" t="inlineStr">
        <is>
          <t>Referral</t>
        </is>
      </c>
      <c r="G1413" t="inlineStr">
        <is>
          <t>Mobile App</t>
        </is>
      </c>
      <c r="H1413" t="inlineStr">
        <is>
          <t>Cash on Delivery</t>
        </is>
      </c>
      <c r="I1413" t="inlineStr">
        <is>
          <t>Delivered</t>
        </is>
      </c>
      <c r="J1413" t="n">
        <v>108</v>
      </c>
      <c r="K1413" t="n">
        <v>2</v>
      </c>
      <c r="L1413" t="n">
        <v>419</v>
      </c>
      <c r="M1413" t="n">
        <v>83.8</v>
      </c>
      <c r="N1413">
        <f>VLOOKUP(J1413,Products!$A$2:$C$49,3,FALSE)</f>
        <v/>
      </c>
      <c r="O1413">
        <f>K1413*L1413-M1413</f>
        <v/>
      </c>
      <c r="P1413">
        <f>TEXT(B1413,"yyyy-mm")</f>
        <v/>
      </c>
      <c r="Q1413">
        <f>IF(O1413&gt;=3000,"Large","Small")</f>
        <v/>
      </c>
      <c r="R1413">
        <f>INDEX(Products!$F$2:$F$49,MATCH(J1413,Products!$A$2:$A$49,0))</f>
        <v/>
      </c>
      <c r="S1413">
        <f>WEEKDAY(B1413,2)</f>
        <v/>
      </c>
    </row>
    <row r="1414">
      <c r="A1414" t="n">
        <v>510047</v>
      </c>
      <c r="B1414" s="6" t="n">
        <v>45947</v>
      </c>
      <c r="C1414" t="n">
        <v>16612</v>
      </c>
      <c r="D1414" t="inlineStr">
        <is>
          <t>Mumbai</t>
        </is>
      </c>
      <c r="E1414" t="inlineStr">
        <is>
          <t>West</t>
        </is>
      </c>
      <c r="F1414" t="inlineStr">
        <is>
          <t>Referral</t>
        </is>
      </c>
      <c r="G1414" t="inlineStr">
        <is>
          <t>Mobile App</t>
        </is>
      </c>
      <c r="H1414" t="inlineStr">
        <is>
          <t>Cash on Delivery</t>
        </is>
      </c>
      <c r="I1414" t="inlineStr">
        <is>
          <t>Delivered</t>
        </is>
      </c>
      <c r="J1414" t="n">
        <v>118</v>
      </c>
      <c r="K1414" t="n">
        <v>1</v>
      </c>
      <c r="L1414" t="n">
        <v>944</v>
      </c>
      <c r="M1414" t="n">
        <v>94.40000000000001</v>
      </c>
      <c r="N1414">
        <f>VLOOKUP(J1414,Products!$A$2:$C$49,3,FALSE)</f>
        <v/>
      </c>
      <c r="O1414">
        <f>K1414*L1414-M1414</f>
        <v/>
      </c>
      <c r="P1414">
        <f>TEXT(B1414,"yyyy-mm")</f>
        <v/>
      </c>
      <c r="Q1414">
        <f>IF(O1414&gt;=3000,"Large","Small")</f>
        <v/>
      </c>
      <c r="R1414">
        <f>INDEX(Products!$F$2:$F$49,MATCH(J1414,Products!$A$2:$A$49,0))</f>
        <v/>
      </c>
      <c r="S1414">
        <f>WEEKDAY(B1414,2)</f>
        <v/>
      </c>
    </row>
    <row r="1415">
      <c r="A1415" t="n">
        <v>510047</v>
      </c>
      <c r="B1415" s="6" t="n">
        <v>45947</v>
      </c>
      <c r="C1415" t="n">
        <v>16612</v>
      </c>
      <c r="D1415" t="inlineStr">
        <is>
          <t>Mumbai</t>
        </is>
      </c>
      <c r="E1415" t="inlineStr">
        <is>
          <t>West</t>
        </is>
      </c>
      <c r="F1415" t="inlineStr">
        <is>
          <t>Referral</t>
        </is>
      </c>
      <c r="G1415" t="inlineStr">
        <is>
          <t>Mobile App</t>
        </is>
      </c>
      <c r="H1415" t="inlineStr">
        <is>
          <t>Cash on Delivery</t>
        </is>
      </c>
      <c r="I1415" t="inlineStr">
        <is>
          <t>Delivered</t>
        </is>
      </c>
      <c r="J1415" t="n">
        <v>115</v>
      </c>
      <c r="K1415" t="n">
        <v>1</v>
      </c>
      <c r="L1415" t="n">
        <v>4199</v>
      </c>
      <c r="M1415" t="n">
        <v>419.9</v>
      </c>
      <c r="N1415">
        <f>VLOOKUP(J1415,Products!$A$2:$C$49,3,FALSE)</f>
        <v/>
      </c>
      <c r="O1415">
        <f>K1415*L1415-M1415</f>
        <v/>
      </c>
      <c r="P1415">
        <f>TEXT(B1415,"yyyy-mm")</f>
        <v/>
      </c>
      <c r="Q1415">
        <f>IF(O1415&gt;=3000,"Large","Small")</f>
        <v/>
      </c>
      <c r="R1415">
        <f>INDEX(Products!$F$2:$F$49,MATCH(J1415,Products!$A$2:$A$49,0))</f>
        <v/>
      </c>
      <c r="S1415">
        <f>WEEKDAY(B1415,2)</f>
        <v/>
      </c>
    </row>
    <row r="1416">
      <c r="A1416" t="n">
        <v>510048</v>
      </c>
      <c r="B1416" s="6" t="n">
        <v>45947</v>
      </c>
      <c r="C1416" t="n">
        <v>16886</v>
      </c>
      <c r="D1416" t="inlineStr">
        <is>
          <t>Gurugram</t>
        </is>
      </c>
      <c r="E1416" t="inlineStr">
        <is>
          <t>North</t>
        </is>
      </c>
      <c r="F1416" t="inlineStr">
        <is>
          <t>Paid Search</t>
        </is>
      </c>
      <c r="G1416" t="inlineStr">
        <is>
          <t>Mobile Web</t>
        </is>
      </c>
      <c r="H1416" t="inlineStr">
        <is>
          <t>UPI</t>
        </is>
      </c>
      <c r="I1416" t="inlineStr">
        <is>
          <t>Delivered</t>
        </is>
      </c>
      <c r="J1416" t="n">
        <v>147</v>
      </c>
      <c r="K1416" t="n">
        <v>1</v>
      </c>
      <c r="L1416" t="n">
        <v>1364</v>
      </c>
      <c r="M1416" t="n">
        <v>204.6</v>
      </c>
      <c r="N1416">
        <f>VLOOKUP(J1416,Products!$A$2:$C$49,3,FALSE)</f>
        <v/>
      </c>
      <c r="O1416">
        <f>K1416*L1416-M1416</f>
        <v/>
      </c>
      <c r="P1416">
        <f>TEXT(B1416,"yyyy-mm")</f>
        <v/>
      </c>
      <c r="Q1416">
        <f>IF(O1416&gt;=3000,"Large","Small")</f>
        <v/>
      </c>
      <c r="R1416">
        <f>INDEX(Products!$F$2:$F$49,MATCH(J1416,Products!$A$2:$A$49,0))</f>
        <v/>
      </c>
      <c r="S1416">
        <f>WEEKDAY(B1416,2)</f>
        <v/>
      </c>
    </row>
    <row r="1417">
      <c r="A1417" t="n">
        <v>510048</v>
      </c>
      <c r="B1417" s="6" t="n">
        <v>45947</v>
      </c>
      <c r="C1417" t="n">
        <v>16886</v>
      </c>
      <c r="D1417" t="inlineStr">
        <is>
          <t>Gurugram</t>
        </is>
      </c>
      <c r="E1417" t="inlineStr">
        <is>
          <t>North</t>
        </is>
      </c>
      <c r="F1417" t="inlineStr">
        <is>
          <t>Paid Search</t>
        </is>
      </c>
      <c r="G1417" t="inlineStr">
        <is>
          <t>Mobile Web</t>
        </is>
      </c>
      <c r="H1417" t="inlineStr">
        <is>
          <t>UPI</t>
        </is>
      </c>
      <c r="I1417" t="inlineStr">
        <is>
          <t>Delivered</t>
        </is>
      </c>
      <c r="J1417" t="n">
        <v>120</v>
      </c>
      <c r="K1417" t="n">
        <v>1</v>
      </c>
      <c r="L1417" t="n">
        <v>734</v>
      </c>
      <c r="M1417" t="n">
        <v>110.1</v>
      </c>
      <c r="N1417">
        <f>VLOOKUP(J1417,Products!$A$2:$C$49,3,FALSE)</f>
        <v/>
      </c>
      <c r="O1417">
        <f>K1417*L1417-M1417</f>
        <v/>
      </c>
      <c r="P1417">
        <f>TEXT(B1417,"yyyy-mm")</f>
        <v/>
      </c>
      <c r="Q1417">
        <f>IF(O1417&gt;=3000,"Large","Small")</f>
        <v/>
      </c>
      <c r="R1417">
        <f>INDEX(Products!$F$2:$F$49,MATCH(J1417,Products!$A$2:$A$49,0))</f>
        <v/>
      </c>
      <c r="S1417">
        <f>WEEKDAY(B1417,2)</f>
        <v/>
      </c>
    </row>
    <row r="1418">
      <c r="A1418" t="n">
        <v>510048</v>
      </c>
      <c r="B1418" s="6" t="n">
        <v>45947</v>
      </c>
      <c r="C1418" t="n">
        <v>16886</v>
      </c>
      <c r="D1418" t="inlineStr">
        <is>
          <t>Gurugram</t>
        </is>
      </c>
      <c r="E1418" t="inlineStr">
        <is>
          <t>North</t>
        </is>
      </c>
      <c r="F1418" t="inlineStr">
        <is>
          <t>Paid Search</t>
        </is>
      </c>
      <c r="G1418" t="inlineStr">
        <is>
          <t>Mobile Web</t>
        </is>
      </c>
      <c r="H1418" t="inlineStr">
        <is>
          <t>UPI</t>
        </is>
      </c>
      <c r="I1418" t="inlineStr">
        <is>
          <t>Delivered</t>
        </is>
      </c>
      <c r="J1418" t="n">
        <v>129</v>
      </c>
      <c r="K1418" t="n">
        <v>1</v>
      </c>
      <c r="L1418" t="n">
        <v>576</v>
      </c>
      <c r="M1418" t="n">
        <v>86.40000000000001</v>
      </c>
      <c r="N1418">
        <f>VLOOKUP(J1418,Products!$A$2:$C$49,3,FALSE)</f>
        <v/>
      </c>
      <c r="O1418">
        <f>K1418*L1418-M1418</f>
        <v/>
      </c>
      <c r="P1418">
        <f>TEXT(B1418,"yyyy-mm")</f>
        <v/>
      </c>
      <c r="Q1418">
        <f>IF(O1418&gt;=3000,"Large","Small")</f>
        <v/>
      </c>
      <c r="R1418">
        <f>INDEX(Products!$F$2:$F$49,MATCH(J1418,Products!$A$2:$A$49,0))</f>
        <v/>
      </c>
      <c r="S1418">
        <f>WEEKDAY(B1418,2)</f>
        <v/>
      </c>
    </row>
    <row r="1419">
      <c r="A1419" t="n">
        <v>510049</v>
      </c>
      <c r="B1419" s="6" t="n">
        <v>45947</v>
      </c>
      <c r="C1419" t="n">
        <v>16507</v>
      </c>
      <c r="D1419" t="inlineStr">
        <is>
          <t>Jaipur</t>
        </is>
      </c>
      <c r="E1419" t="inlineStr">
        <is>
          <t>North</t>
        </is>
      </c>
      <c r="F1419" t="inlineStr">
        <is>
          <t>Paid Social</t>
        </is>
      </c>
      <c r="G1419" t="inlineStr">
        <is>
          <t>Mobile App</t>
        </is>
      </c>
      <c r="H1419" t="inlineStr">
        <is>
          <t>UPI</t>
        </is>
      </c>
      <c r="I1419" t="inlineStr">
        <is>
          <t>Delivered</t>
        </is>
      </c>
      <c r="J1419" t="n">
        <v>116</v>
      </c>
      <c r="K1419" t="n">
        <v>1</v>
      </c>
      <c r="L1419" t="n">
        <v>2624</v>
      </c>
      <c r="M1419" t="n">
        <v>262.4</v>
      </c>
      <c r="N1419">
        <f>VLOOKUP(J1419,Products!$A$2:$C$49,3,FALSE)</f>
        <v/>
      </c>
      <c r="O1419">
        <f>K1419*L1419-M1419</f>
        <v/>
      </c>
      <c r="P1419">
        <f>TEXT(B1419,"yyyy-mm")</f>
        <v/>
      </c>
      <c r="Q1419">
        <f>IF(O1419&gt;=3000,"Large","Small")</f>
        <v/>
      </c>
      <c r="R1419">
        <f>INDEX(Products!$F$2:$F$49,MATCH(J1419,Products!$A$2:$A$49,0))</f>
        <v/>
      </c>
      <c r="S1419">
        <f>WEEKDAY(B1419,2)</f>
        <v/>
      </c>
    </row>
    <row r="1420">
      <c r="A1420" t="n">
        <v>510049</v>
      </c>
      <c r="B1420" s="6" t="n">
        <v>45947</v>
      </c>
      <c r="C1420" t="n">
        <v>16507</v>
      </c>
      <c r="D1420" t="inlineStr">
        <is>
          <t>Jaipur</t>
        </is>
      </c>
      <c r="E1420" t="inlineStr">
        <is>
          <t>North</t>
        </is>
      </c>
      <c r="F1420" t="inlineStr">
        <is>
          <t>Paid Social</t>
        </is>
      </c>
      <c r="G1420" t="inlineStr">
        <is>
          <t>Mobile App</t>
        </is>
      </c>
      <c r="H1420" t="inlineStr">
        <is>
          <t>UPI</t>
        </is>
      </c>
      <c r="I1420" t="inlineStr">
        <is>
          <t>Delivered</t>
        </is>
      </c>
      <c r="J1420" t="n">
        <v>120</v>
      </c>
      <c r="K1420" t="n">
        <v>1</v>
      </c>
      <c r="L1420" t="n">
        <v>734</v>
      </c>
      <c r="M1420" t="n">
        <v>73.40000000000001</v>
      </c>
      <c r="N1420">
        <f>VLOOKUP(J1420,Products!$A$2:$C$49,3,FALSE)</f>
        <v/>
      </c>
      <c r="O1420">
        <f>K1420*L1420-M1420</f>
        <v/>
      </c>
      <c r="P1420">
        <f>TEXT(B1420,"yyyy-mm")</f>
        <v/>
      </c>
      <c r="Q1420">
        <f>IF(O1420&gt;=3000,"Large","Small")</f>
        <v/>
      </c>
      <c r="R1420">
        <f>INDEX(Products!$F$2:$F$49,MATCH(J1420,Products!$A$2:$A$49,0))</f>
        <v/>
      </c>
      <c r="S1420">
        <f>WEEKDAY(B1420,2)</f>
        <v/>
      </c>
    </row>
    <row r="1421">
      <c r="A1421" t="n">
        <v>510050</v>
      </c>
      <c r="B1421" s="6" t="n">
        <v>45947</v>
      </c>
      <c r="C1421" t="n">
        <v>16035</v>
      </c>
      <c r="D1421" t="inlineStr">
        <is>
          <t>Delhi</t>
        </is>
      </c>
      <c r="E1421" t="inlineStr">
        <is>
          <t>North</t>
        </is>
      </c>
      <c r="F1421" t="inlineStr">
        <is>
          <t>Email</t>
        </is>
      </c>
      <c r="G1421" t="inlineStr">
        <is>
          <t>Desktop</t>
        </is>
      </c>
      <c r="H1421" t="inlineStr">
        <is>
          <t>UPI</t>
        </is>
      </c>
      <c r="I1421" t="inlineStr">
        <is>
          <t>Delivered</t>
        </is>
      </c>
      <c r="J1421" t="n">
        <v>109</v>
      </c>
      <c r="K1421" t="n">
        <v>1</v>
      </c>
      <c r="L1421" t="n">
        <v>4199</v>
      </c>
      <c r="M1421" t="n">
        <v>419.9</v>
      </c>
      <c r="N1421">
        <f>VLOOKUP(J1421,Products!$A$2:$C$49,3,FALSE)</f>
        <v/>
      </c>
      <c r="O1421">
        <f>K1421*L1421-M1421</f>
        <v/>
      </c>
      <c r="P1421">
        <f>TEXT(B1421,"yyyy-mm")</f>
        <v/>
      </c>
      <c r="Q1421">
        <f>IF(O1421&gt;=3000,"Large","Small")</f>
        <v/>
      </c>
      <c r="R1421">
        <f>INDEX(Products!$F$2:$F$49,MATCH(J1421,Products!$A$2:$A$49,0))</f>
        <v/>
      </c>
      <c r="S1421">
        <f>WEEKDAY(B1421,2)</f>
        <v/>
      </c>
    </row>
    <row r="1422">
      <c r="A1422" t="n">
        <v>510051</v>
      </c>
      <c r="B1422" s="6" t="n">
        <v>45947</v>
      </c>
      <c r="C1422" t="n">
        <v>10063</v>
      </c>
      <c r="D1422" t="inlineStr">
        <is>
          <t>Chennai</t>
        </is>
      </c>
      <c r="E1422" t="inlineStr">
        <is>
          <t>South</t>
        </is>
      </c>
      <c r="F1422" t="inlineStr">
        <is>
          <t>Paid Search</t>
        </is>
      </c>
      <c r="G1422" t="inlineStr">
        <is>
          <t>Mobile Web</t>
        </is>
      </c>
      <c r="H1422" t="inlineStr">
        <is>
          <t>UPI</t>
        </is>
      </c>
      <c r="I1422" t="inlineStr">
        <is>
          <t>Delivered</t>
        </is>
      </c>
      <c r="J1422" t="n">
        <v>136</v>
      </c>
      <c r="K1422" t="n">
        <v>2</v>
      </c>
      <c r="L1422" t="n">
        <v>944</v>
      </c>
      <c r="M1422" t="n">
        <v>188.8</v>
      </c>
      <c r="N1422">
        <f>VLOOKUP(J1422,Products!$A$2:$C$49,3,FALSE)</f>
        <v/>
      </c>
      <c r="O1422">
        <f>K1422*L1422-M1422</f>
        <v/>
      </c>
      <c r="P1422">
        <f>TEXT(B1422,"yyyy-mm")</f>
        <v/>
      </c>
      <c r="Q1422">
        <f>IF(O1422&gt;=3000,"Large","Small")</f>
        <v/>
      </c>
      <c r="R1422">
        <f>INDEX(Products!$F$2:$F$49,MATCH(J1422,Products!$A$2:$A$49,0))</f>
        <v/>
      </c>
      <c r="S1422">
        <f>WEEKDAY(B1422,2)</f>
        <v/>
      </c>
    </row>
    <row r="1423">
      <c r="A1423" t="n">
        <v>510051</v>
      </c>
      <c r="B1423" s="6" t="n">
        <v>45947</v>
      </c>
      <c r="C1423" t="n">
        <v>10063</v>
      </c>
      <c r="D1423" t="inlineStr">
        <is>
          <t>Chennai</t>
        </is>
      </c>
      <c r="E1423" t="inlineStr">
        <is>
          <t>South</t>
        </is>
      </c>
      <c r="F1423" t="inlineStr">
        <is>
          <t>Paid Search</t>
        </is>
      </c>
      <c r="G1423" t="inlineStr">
        <is>
          <t>Mobile Web</t>
        </is>
      </c>
      <c r="H1423" t="inlineStr">
        <is>
          <t>UPI</t>
        </is>
      </c>
      <c r="I1423" t="inlineStr">
        <is>
          <t>Delivered</t>
        </is>
      </c>
      <c r="J1423" t="n">
        <v>133</v>
      </c>
      <c r="K1423" t="n">
        <v>2</v>
      </c>
      <c r="L1423" t="n">
        <v>419</v>
      </c>
      <c r="M1423" t="n">
        <v>83.8</v>
      </c>
      <c r="N1423">
        <f>VLOOKUP(J1423,Products!$A$2:$C$49,3,FALSE)</f>
        <v/>
      </c>
      <c r="O1423">
        <f>K1423*L1423-M1423</f>
        <v/>
      </c>
      <c r="P1423">
        <f>TEXT(B1423,"yyyy-mm")</f>
        <v/>
      </c>
      <c r="Q1423">
        <f>IF(O1423&gt;=3000,"Large","Small")</f>
        <v/>
      </c>
      <c r="R1423">
        <f>INDEX(Products!$F$2:$F$49,MATCH(J1423,Products!$A$2:$A$49,0))</f>
        <v/>
      </c>
      <c r="S1423">
        <f>WEEKDAY(B1423,2)</f>
        <v/>
      </c>
    </row>
    <row r="1424">
      <c r="A1424" t="n">
        <v>510052</v>
      </c>
      <c r="B1424" s="6" t="n">
        <v>45947</v>
      </c>
      <c r="C1424" t="n">
        <v>14922</v>
      </c>
      <c r="D1424" t="inlineStr">
        <is>
          <t>Chennai</t>
        </is>
      </c>
      <c r="E1424" t="inlineStr">
        <is>
          <t>South</t>
        </is>
      </c>
      <c r="F1424" t="inlineStr">
        <is>
          <t>Organic Search</t>
        </is>
      </c>
      <c r="G1424" t="inlineStr">
        <is>
          <t>Mobile App</t>
        </is>
      </c>
      <c r="H1424" t="inlineStr">
        <is>
          <t>UPI</t>
        </is>
      </c>
      <c r="I1424" t="inlineStr">
        <is>
          <t>Delivered</t>
        </is>
      </c>
      <c r="J1424" t="n">
        <v>145</v>
      </c>
      <c r="K1424" t="n">
        <v>1</v>
      </c>
      <c r="L1424" t="n">
        <v>629</v>
      </c>
      <c r="M1424" t="n">
        <v>0</v>
      </c>
      <c r="N1424">
        <f>VLOOKUP(J1424,Products!$A$2:$C$49,3,FALSE)</f>
        <v/>
      </c>
      <c r="O1424">
        <f>K1424*L1424-M1424</f>
        <v/>
      </c>
      <c r="P1424">
        <f>TEXT(B1424,"yyyy-mm")</f>
        <v/>
      </c>
      <c r="Q1424">
        <f>IF(O1424&gt;=3000,"Large","Small")</f>
        <v/>
      </c>
      <c r="R1424">
        <f>INDEX(Products!$F$2:$F$49,MATCH(J1424,Products!$A$2:$A$49,0))</f>
        <v/>
      </c>
      <c r="S1424">
        <f>WEEKDAY(B1424,2)</f>
        <v/>
      </c>
    </row>
    <row r="1425">
      <c r="A1425" t="n">
        <v>510053</v>
      </c>
      <c r="B1425" s="6" t="n">
        <v>45947</v>
      </c>
      <c r="C1425" t="n">
        <v>10946</v>
      </c>
      <c r="D1425" t="inlineStr">
        <is>
          <t>Kochi</t>
        </is>
      </c>
      <c r="E1425" t="inlineStr">
        <is>
          <t>South</t>
        </is>
      </c>
      <c r="F1425" t="inlineStr">
        <is>
          <t>Affiliate</t>
        </is>
      </c>
      <c r="G1425" t="inlineStr">
        <is>
          <t>Mobile App</t>
        </is>
      </c>
      <c r="H1425" t="inlineStr">
        <is>
          <t>UPI</t>
        </is>
      </c>
      <c r="I1425" t="inlineStr">
        <is>
          <t>Delivered</t>
        </is>
      </c>
      <c r="J1425" t="n">
        <v>108</v>
      </c>
      <c r="K1425" t="n">
        <v>2</v>
      </c>
      <c r="L1425" t="n">
        <v>419</v>
      </c>
      <c r="M1425" t="n">
        <v>83.8</v>
      </c>
      <c r="N1425">
        <f>VLOOKUP(J1425,Products!$A$2:$C$49,3,FALSE)</f>
        <v/>
      </c>
      <c r="O1425">
        <f>K1425*L1425-M1425</f>
        <v/>
      </c>
      <c r="P1425">
        <f>TEXT(B1425,"yyyy-mm")</f>
        <v/>
      </c>
      <c r="Q1425">
        <f>IF(O1425&gt;=3000,"Large","Small")</f>
        <v/>
      </c>
      <c r="R1425">
        <f>INDEX(Products!$F$2:$F$49,MATCH(J1425,Products!$A$2:$A$49,0))</f>
        <v/>
      </c>
      <c r="S1425">
        <f>WEEKDAY(B1425,2)</f>
        <v/>
      </c>
    </row>
    <row r="1426">
      <c r="A1426" t="n">
        <v>510053</v>
      </c>
      <c r="B1426" s="6" t="n">
        <v>45947</v>
      </c>
      <c r="C1426" t="n">
        <v>10946</v>
      </c>
      <c r="D1426" t="inlineStr">
        <is>
          <t>Kochi</t>
        </is>
      </c>
      <c r="E1426" t="inlineStr">
        <is>
          <t>South</t>
        </is>
      </c>
      <c r="F1426" t="inlineStr">
        <is>
          <t>Affiliate</t>
        </is>
      </c>
      <c r="G1426" t="inlineStr">
        <is>
          <t>Mobile App</t>
        </is>
      </c>
      <c r="H1426" t="inlineStr">
        <is>
          <t>UPI</t>
        </is>
      </c>
      <c r="I1426" t="inlineStr">
        <is>
          <t>Delivered</t>
        </is>
      </c>
      <c r="J1426" t="n">
        <v>129</v>
      </c>
      <c r="K1426" t="n">
        <v>1</v>
      </c>
      <c r="L1426" t="n">
        <v>576</v>
      </c>
      <c r="M1426" t="n">
        <v>57.6</v>
      </c>
      <c r="N1426">
        <f>VLOOKUP(J1426,Products!$A$2:$C$49,3,FALSE)</f>
        <v/>
      </c>
      <c r="O1426">
        <f>K1426*L1426-M1426</f>
        <v/>
      </c>
      <c r="P1426">
        <f>TEXT(B1426,"yyyy-mm")</f>
        <v/>
      </c>
      <c r="Q1426">
        <f>IF(O1426&gt;=3000,"Large","Small")</f>
        <v/>
      </c>
      <c r="R1426">
        <f>INDEX(Products!$F$2:$F$49,MATCH(J1426,Products!$A$2:$A$49,0))</f>
        <v/>
      </c>
      <c r="S1426">
        <f>WEEKDAY(B1426,2)</f>
        <v/>
      </c>
    </row>
    <row r="1427">
      <c r="A1427" t="n">
        <v>510054</v>
      </c>
      <c r="B1427" s="6" t="n">
        <v>45947</v>
      </c>
      <c r="C1427" t="n">
        <v>16883</v>
      </c>
      <c r="D1427" t="inlineStr">
        <is>
          <t>Noida</t>
        </is>
      </c>
      <c r="E1427" t="inlineStr">
        <is>
          <t>North</t>
        </is>
      </c>
      <c r="F1427" t="inlineStr">
        <is>
          <t>Organic Search</t>
        </is>
      </c>
      <c r="G1427" t="inlineStr">
        <is>
          <t>Mobile Web</t>
        </is>
      </c>
      <c r="H1427" t="inlineStr">
        <is>
          <t>UPI</t>
        </is>
      </c>
      <c r="I1427" t="inlineStr">
        <is>
          <t>Delivered</t>
        </is>
      </c>
      <c r="J1427" t="n">
        <v>110</v>
      </c>
      <c r="K1427" t="n">
        <v>1</v>
      </c>
      <c r="L1427" t="n">
        <v>839</v>
      </c>
      <c r="M1427" t="n">
        <v>0</v>
      </c>
      <c r="N1427">
        <f>VLOOKUP(J1427,Products!$A$2:$C$49,3,FALSE)</f>
        <v/>
      </c>
      <c r="O1427">
        <f>K1427*L1427-M1427</f>
        <v/>
      </c>
      <c r="P1427">
        <f>TEXT(B1427,"yyyy-mm")</f>
        <v/>
      </c>
      <c r="Q1427">
        <f>IF(O1427&gt;=3000,"Large","Small")</f>
        <v/>
      </c>
      <c r="R1427">
        <f>INDEX(Products!$F$2:$F$49,MATCH(J1427,Products!$A$2:$A$49,0))</f>
        <v/>
      </c>
      <c r="S1427">
        <f>WEEKDAY(B1427,2)</f>
        <v/>
      </c>
    </row>
    <row r="1428">
      <c r="A1428" t="n">
        <v>510054</v>
      </c>
      <c r="B1428" s="6" t="n">
        <v>45947</v>
      </c>
      <c r="C1428" t="n">
        <v>16883</v>
      </c>
      <c r="D1428" t="inlineStr">
        <is>
          <t>Noida</t>
        </is>
      </c>
      <c r="E1428" t="inlineStr">
        <is>
          <t>North</t>
        </is>
      </c>
      <c r="F1428" t="inlineStr">
        <is>
          <t>Organic Search</t>
        </is>
      </c>
      <c r="G1428" t="inlineStr">
        <is>
          <t>Mobile Web</t>
        </is>
      </c>
      <c r="H1428" t="inlineStr">
        <is>
          <t>UPI</t>
        </is>
      </c>
      <c r="I1428" t="inlineStr">
        <is>
          <t>Delivered</t>
        </is>
      </c>
      <c r="J1428" t="n">
        <v>129</v>
      </c>
      <c r="K1428" t="n">
        <v>1</v>
      </c>
      <c r="L1428" t="n">
        <v>576</v>
      </c>
      <c r="M1428" t="n">
        <v>0</v>
      </c>
      <c r="N1428">
        <f>VLOOKUP(J1428,Products!$A$2:$C$49,3,FALSE)</f>
        <v/>
      </c>
      <c r="O1428">
        <f>K1428*L1428-M1428</f>
        <v/>
      </c>
      <c r="P1428">
        <f>TEXT(B1428,"yyyy-mm")</f>
        <v/>
      </c>
      <c r="Q1428">
        <f>IF(O1428&gt;=3000,"Large","Small")</f>
        <v/>
      </c>
      <c r="R1428">
        <f>INDEX(Products!$F$2:$F$49,MATCH(J1428,Products!$A$2:$A$49,0))</f>
        <v/>
      </c>
      <c r="S1428">
        <f>WEEKDAY(B1428,2)</f>
        <v/>
      </c>
    </row>
    <row r="1429">
      <c r="A1429" t="n">
        <v>510055</v>
      </c>
      <c r="B1429" s="6" t="n">
        <v>45947</v>
      </c>
      <c r="C1429" t="n">
        <v>11826</v>
      </c>
      <c r="D1429" t="inlineStr">
        <is>
          <t>Hyderabad</t>
        </is>
      </c>
      <c r="E1429" t="inlineStr">
        <is>
          <t>South</t>
        </is>
      </c>
      <c r="F1429" t="inlineStr">
        <is>
          <t>Paid Search</t>
        </is>
      </c>
      <c r="G1429" t="inlineStr">
        <is>
          <t>Mobile Web</t>
        </is>
      </c>
      <c r="H1429" t="inlineStr">
        <is>
          <t>UPI</t>
        </is>
      </c>
      <c r="I1429" t="inlineStr">
        <is>
          <t>Delivered</t>
        </is>
      </c>
      <c r="J1429" t="n">
        <v>111</v>
      </c>
      <c r="K1429" t="n">
        <v>1</v>
      </c>
      <c r="L1429" t="n">
        <v>524</v>
      </c>
      <c r="M1429" t="n">
        <v>26.2</v>
      </c>
      <c r="N1429">
        <f>VLOOKUP(J1429,Products!$A$2:$C$49,3,FALSE)</f>
        <v/>
      </c>
      <c r="O1429">
        <f>K1429*L1429-M1429</f>
        <v/>
      </c>
      <c r="P1429">
        <f>TEXT(B1429,"yyyy-mm")</f>
        <v/>
      </c>
      <c r="Q1429">
        <f>IF(O1429&gt;=3000,"Large","Small")</f>
        <v/>
      </c>
      <c r="R1429">
        <f>INDEX(Products!$F$2:$F$49,MATCH(J1429,Products!$A$2:$A$49,0))</f>
        <v/>
      </c>
      <c r="S1429">
        <f>WEEKDAY(B1429,2)</f>
        <v/>
      </c>
    </row>
    <row r="1430">
      <c r="A1430" t="n">
        <v>510055</v>
      </c>
      <c r="B1430" s="6" t="n">
        <v>45947</v>
      </c>
      <c r="C1430" t="n">
        <v>11826</v>
      </c>
      <c r="D1430" t="inlineStr">
        <is>
          <t>Hyderabad</t>
        </is>
      </c>
      <c r="E1430" t="inlineStr">
        <is>
          <t>South</t>
        </is>
      </c>
      <c r="F1430" t="inlineStr">
        <is>
          <t>Paid Search</t>
        </is>
      </c>
      <c r="G1430" t="inlineStr">
        <is>
          <t>Mobile Web</t>
        </is>
      </c>
      <c r="H1430" t="inlineStr">
        <is>
          <t>UPI</t>
        </is>
      </c>
      <c r="I1430" t="inlineStr">
        <is>
          <t>Delivered</t>
        </is>
      </c>
      <c r="J1430" t="n">
        <v>129</v>
      </c>
      <c r="K1430" t="n">
        <v>1</v>
      </c>
      <c r="L1430" t="n">
        <v>576</v>
      </c>
      <c r="M1430" t="n">
        <v>28.8</v>
      </c>
      <c r="N1430">
        <f>VLOOKUP(J1430,Products!$A$2:$C$49,3,FALSE)</f>
        <v/>
      </c>
      <c r="O1430">
        <f>K1430*L1430-M1430</f>
        <v/>
      </c>
      <c r="P1430">
        <f>TEXT(B1430,"yyyy-mm")</f>
        <v/>
      </c>
      <c r="Q1430">
        <f>IF(O1430&gt;=3000,"Large","Small")</f>
        <v/>
      </c>
      <c r="R1430">
        <f>INDEX(Products!$F$2:$F$49,MATCH(J1430,Products!$A$2:$A$49,0))</f>
        <v/>
      </c>
      <c r="S1430">
        <f>WEEKDAY(B1430,2)</f>
        <v/>
      </c>
    </row>
    <row r="1431">
      <c r="A1431" t="n">
        <v>510056</v>
      </c>
      <c r="B1431" s="6" t="n">
        <v>45947</v>
      </c>
      <c r="C1431" t="n">
        <v>14395</v>
      </c>
      <c r="D1431" t="inlineStr">
        <is>
          <t>Bengaluru</t>
        </is>
      </c>
      <c r="E1431" t="inlineStr">
        <is>
          <t>South</t>
        </is>
      </c>
      <c r="F1431" t="inlineStr">
        <is>
          <t>Organic Search</t>
        </is>
      </c>
      <c r="G1431" t="inlineStr">
        <is>
          <t>Mobile Web</t>
        </is>
      </c>
      <c r="H1431" t="inlineStr">
        <is>
          <t>Credit Card</t>
        </is>
      </c>
      <c r="I1431" t="inlineStr">
        <is>
          <t>Delivered</t>
        </is>
      </c>
      <c r="J1431" t="n">
        <v>116</v>
      </c>
      <c r="K1431" t="n">
        <v>1</v>
      </c>
      <c r="L1431" t="n">
        <v>2624</v>
      </c>
      <c r="M1431" t="n">
        <v>0</v>
      </c>
      <c r="N1431">
        <f>VLOOKUP(J1431,Products!$A$2:$C$49,3,FALSE)</f>
        <v/>
      </c>
      <c r="O1431">
        <f>K1431*L1431-M1431</f>
        <v/>
      </c>
      <c r="P1431">
        <f>TEXT(B1431,"yyyy-mm")</f>
        <v/>
      </c>
      <c r="Q1431">
        <f>IF(O1431&gt;=3000,"Large","Small")</f>
        <v/>
      </c>
      <c r="R1431">
        <f>INDEX(Products!$F$2:$F$49,MATCH(J1431,Products!$A$2:$A$49,0))</f>
        <v/>
      </c>
      <c r="S1431">
        <f>WEEKDAY(B1431,2)</f>
        <v/>
      </c>
    </row>
    <row r="1432">
      <c r="A1432" t="n">
        <v>510056</v>
      </c>
      <c r="B1432" s="6" t="n">
        <v>45947</v>
      </c>
      <c r="C1432" t="n">
        <v>14395</v>
      </c>
      <c r="D1432" t="inlineStr">
        <is>
          <t>Bengaluru</t>
        </is>
      </c>
      <c r="E1432" t="inlineStr">
        <is>
          <t>South</t>
        </is>
      </c>
      <c r="F1432" t="inlineStr">
        <is>
          <t>Organic Search</t>
        </is>
      </c>
      <c r="G1432" t="inlineStr">
        <is>
          <t>Mobile Web</t>
        </is>
      </c>
      <c r="H1432" t="inlineStr">
        <is>
          <t>Credit Card</t>
        </is>
      </c>
      <c r="I1432" t="inlineStr">
        <is>
          <t>Delivered</t>
        </is>
      </c>
      <c r="J1432" t="n">
        <v>111</v>
      </c>
      <c r="K1432" t="n">
        <v>1</v>
      </c>
      <c r="L1432" t="n">
        <v>524</v>
      </c>
      <c r="M1432" t="n">
        <v>0</v>
      </c>
      <c r="N1432">
        <f>VLOOKUP(J1432,Products!$A$2:$C$49,3,FALSE)</f>
        <v/>
      </c>
      <c r="O1432">
        <f>K1432*L1432-M1432</f>
        <v/>
      </c>
      <c r="P1432">
        <f>TEXT(B1432,"yyyy-mm")</f>
        <v/>
      </c>
      <c r="Q1432">
        <f>IF(O1432&gt;=3000,"Large","Small")</f>
        <v/>
      </c>
      <c r="R1432">
        <f>INDEX(Products!$F$2:$F$49,MATCH(J1432,Products!$A$2:$A$49,0))</f>
        <v/>
      </c>
      <c r="S1432">
        <f>WEEKDAY(B1432,2)</f>
        <v/>
      </c>
    </row>
    <row r="1433">
      <c r="A1433" t="n">
        <v>510056</v>
      </c>
      <c r="B1433" s="6" t="n">
        <v>45947</v>
      </c>
      <c r="C1433" t="n">
        <v>14395</v>
      </c>
      <c r="D1433" t="inlineStr">
        <is>
          <t>Bengaluru</t>
        </is>
      </c>
      <c r="E1433" t="inlineStr">
        <is>
          <t>South</t>
        </is>
      </c>
      <c r="F1433" t="inlineStr">
        <is>
          <t>Organic Search</t>
        </is>
      </c>
      <c r="G1433" t="inlineStr">
        <is>
          <t>Mobile Web</t>
        </is>
      </c>
      <c r="H1433" t="inlineStr">
        <is>
          <t>Credit Card</t>
        </is>
      </c>
      <c r="I1433" t="inlineStr">
        <is>
          <t>Delivered</t>
        </is>
      </c>
      <c r="J1433" t="n">
        <v>112</v>
      </c>
      <c r="K1433" t="n">
        <v>2</v>
      </c>
      <c r="L1433" t="n">
        <v>1574</v>
      </c>
      <c r="M1433" t="n">
        <v>0</v>
      </c>
      <c r="N1433">
        <f>VLOOKUP(J1433,Products!$A$2:$C$49,3,FALSE)</f>
        <v/>
      </c>
      <c r="O1433">
        <f>K1433*L1433-M1433</f>
        <v/>
      </c>
      <c r="P1433">
        <f>TEXT(B1433,"yyyy-mm")</f>
        <v/>
      </c>
      <c r="Q1433">
        <f>IF(O1433&gt;=3000,"Large","Small")</f>
        <v/>
      </c>
      <c r="R1433">
        <f>INDEX(Products!$F$2:$F$49,MATCH(J1433,Products!$A$2:$A$49,0))</f>
        <v/>
      </c>
      <c r="S1433">
        <f>WEEKDAY(B1433,2)</f>
        <v/>
      </c>
    </row>
    <row r="1434">
      <c r="A1434" t="n">
        <v>510057</v>
      </c>
      <c r="B1434" s="6" t="n">
        <v>45947</v>
      </c>
      <c r="C1434" t="n">
        <v>16865</v>
      </c>
      <c r="D1434" t="inlineStr">
        <is>
          <t>Kolkata</t>
        </is>
      </c>
      <c r="E1434" t="inlineStr">
        <is>
          <t>East</t>
        </is>
      </c>
      <c r="F1434" t="inlineStr">
        <is>
          <t>Organic Search</t>
        </is>
      </c>
      <c r="G1434" t="inlineStr">
        <is>
          <t>Mobile App</t>
        </is>
      </c>
      <c r="H1434" t="inlineStr">
        <is>
          <t>Cash on Delivery</t>
        </is>
      </c>
      <c r="I1434" t="inlineStr">
        <is>
          <t>Delivered</t>
        </is>
      </c>
      <c r="J1434" t="n">
        <v>124</v>
      </c>
      <c r="K1434" t="n">
        <v>1</v>
      </c>
      <c r="L1434" t="n">
        <v>1154</v>
      </c>
      <c r="M1434" t="n">
        <v>0</v>
      </c>
      <c r="N1434">
        <f>VLOOKUP(J1434,Products!$A$2:$C$49,3,FALSE)</f>
        <v/>
      </c>
      <c r="O1434">
        <f>K1434*L1434-M1434</f>
        <v/>
      </c>
      <c r="P1434">
        <f>TEXT(B1434,"yyyy-mm")</f>
        <v/>
      </c>
      <c r="Q1434">
        <f>IF(O1434&gt;=3000,"Large","Small")</f>
        <v/>
      </c>
      <c r="R1434">
        <f>INDEX(Products!$F$2:$F$49,MATCH(J1434,Products!$A$2:$A$49,0))</f>
        <v/>
      </c>
      <c r="S1434">
        <f>WEEKDAY(B1434,2)</f>
        <v/>
      </c>
    </row>
    <row r="1435">
      <c r="A1435" t="n">
        <v>510057</v>
      </c>
      <c r="B1435" s="6" t="n">
        <v>45947</v>
      </c>
      <c r="C1435" t="n">
        <v>16865</v>
      </c>
      <c r="D1435" t="inlineStr">
        <is>
          <t>Kolkata</t>
        </is>
      </c>
      <c r="E1435" t="inlineStr">
        <is>
          <t>East</t>
        </is>
      </c>
      <c r="F1435" t="inlineStr">
        <is>
          <t>Organic Search</t>
        </is>
      </c>
      <c r="G1435" t="inlineStr">
        <is>
          <t>Mobile App</t>
        </is>
      </c>
      <c r="H1435" t="inlineStr">
        <is>
          <t>Cash on Delivery</t>
        </is>
      </c>
      <c r="I1435" t="inlineStr">
        <is>
          <t>Delivered</t>
        </is>
      </c>
      <c r="J1435" t="n">
        <v>130</v>
      </c>
      <c r="K1435" t="n">
        <v>1</v>
      </c>
      <c r="L1435" t="n">
        <v>734</v>
      </c>
      <c r="M1435" t="n">
        <v>0</v>
      </c>
      <c r="N1435">
        <f>VLOOKUP(J1435,Products!$A$2:$C$49,3,FALSE)</f>
        <v/>
      </c>
      <c r="O1435">
        <f>K1435*L1435-M1435</f>
        <v/>
      </c>
      <c r="P1435">
        <f>TEXT(B1435,"yyyy-mm")</f>
        <v/>
      </c>
      <c r="Q1435">
        <f>IF(O1435&gt;=3000,"Large","Small")</f>
        <v/>
      </c>
      <c r="R1435">
        <f>INDEX(Products!$F$2:$F$49,MATCH(J1435,Products!$A$2:$A$49,0))</f>
        <v/>
      </c>
      <c r="S1435">
        <f>WEEKDAY(B1435,2)</f>
        <v/>
      </c>
    </row>
    <row r="1436">
      <c r="A1436" t="n">
        <v>510057</v>
      </c>
      <c r="B1436" s="6" t="n">
        <v>45947</v>
      </c>
      <c r="C1436" t="n">
        <v>16865</v>
      </c>
      <c r="D1436" t="inlineStr">
        <is>
          <t>Kolkata</t>
        </is>
      </c>
      <c r="E1436" t="inlineStr">
        <is>
          <t>East</t>
        </is>
      </c>
      <c r="F1436" t="inlineStr">
        <is>
          <t>Organic Search</t>
        </is>
      </c>
      <c r="G1436" t="inlineStr">
        <is>
          <t>Mobile App</t>
        </is>
      </c>
      <c r="H1436" t="inlineStr">
        <is>
          <t>Cash on Delivery</t>
        </is>
      </c>
      <c r="I1436" t="inlineStr">
        <is>
          <t>Delivered</t>
        </is>
      </c>
      <c r="J1436" t="n">
        <v>129</v>
      </c>
      <c r="K1436" t="n">
        <v>1</v>
      </c>
      <c r="L1436" t="n">
        <v>576</v>
      </c>
      <c r="M1436" t="n">
        <v>0</v>
      </c>
      <c r="N1436">
        <f>VLOOKUP(J1436,Products!$A$2:$C$49,3,FALSE)</f>
        <v/>
      </c>
      <c r="O1436">
        <f>K1436*L1436-M1436</f>
        <v/>
      </c>
      <c r="P1436">
        <f>TEXT(B1436,"yyyy-mm")</f>
        <v/>
      </c>
      <c r="Q1436">
        <f>IF(O1436&gt;=3000,"Large","Small")</f>
        <v/>
      </c>
      <c r="R1436">
        <f>INDEX(Products!$F$2:$F$49,MATCH(J1436,Products!$A$2:$A$49,0))</f>
        <v/>
      </c>
      <c r="S1436">
        <f>WEEKDAY(B1436,2)</f>
        <v/>
      </c>
    </row>
    <row r="1437">
      <c r="A1437" t="n">
        <v>510058</v>
      </c>
      <c r="B1437" s="6" t="n">
        <v>45947</v>
      </c>
      <c r="C1437" t="n">
        <v>12668</v>
      </c>
      <c r="D1437" t="inlineStr">
        <is>
          <t>Mumbai</t>
        </is>
      </c>
      <c r="E1437" t="inlineStr">
        <is>
          <t>West</t>
        </is>
      </c>
      <c r="F1437" t="inlineStr">
        <is>
          <t>Email</t>
        </is>
      </c>
      <c r="G1437" t="inlineStr">
        <is>
          <t>Mobile App</t>
        </is>
      </c>
      <c r="H1437" t="inlineStr">
        <is>
          <t>UPI</t>
        </is>
      </c>
      <c r="I1437" t="inlineStr">
        <is>
          <t>Delivered</t>
        </is>
      </c>
      <c r="J1437" t="n">
        <v>102</v>
      </c>
      <c r="K1437" t="n">
        <v>2</v>
      </c>
      <c r="L1437" t="n">
        <v>3674</v>
      </c>
      <c r="M1437" t="n">
        <v>0</v>
      </c>
      <c r="N1437">
        <f>VLOOKUP(J1437,Products!$A$2:$C$49,3,FALSE)</f>
        <v/>
      </c>
      <c r="O1437">
        <f>K1437*L1437-M1437</f>
        <v/>
      </c>
      <c r="P1437">
        <f>TEXT(B1437,"yyyy-mm")</f>
        <v/>
      </c>
      <c r="Q1437">
        <f>IF(O1437&gt;=3000,"Large","Small")</f>
        <v/>
      </c>
      <c r="R1437">
        <f>INDEX(Products!$F$2:$F$49,MATCH(J1437,Products!$A$2:$A$49,0))</f>
        <v/>
      </c>
      <c r="S1437">
        <f>WEEKDAY(B1437,2)</f>
        <v/>
      </c>
    </row>
    <row r="1438">
      <c r="A1438" t="n">
        <v>510059</v>
      </c>
      <c r="B1438" s="6" t="n">
        <v>45947</v>
      </c>
      <c r="C1438" t="n">
        <v>16745</v>
      </c>
      <c r="D1438" t="inlineStr">
        <is>
          <t>Jaipur</t>
        </is>
      </c>
      <c r="E1438" t="inlineStr">
        <is>
          <t>North</t>
        </is>
      </c>
      <c r="F1438" t="inlineStr">
        <is>
          <t>Referral</t>
        </is>
      </c>
      <c r="G1438" t="inlineStr">
        <is>
          <t>Desktop</t>
        </is>
      </c>
      <c r="H1438" t="inlineStr">
        <is>
          <t>UPI</t>
        </is>
      </c>
      <c r="I1438" t="inlineStr">
        <is>
          <t>Delivered</t>
        </is>
      </c>
      <c r="J1438" t="n">
        <v>114</v>
      </c>
      <c r="K1438" t="n">
        <v>1</v>
      </c>
      <c r="L1438" t="n">
        <v>1259</v>
      </c>
      <c r="M1438" t="n">
        <v>188.85</v>
      </c>
      <c r="N1438">
        <f>VLOOKUP(J1438,Products!$A$2:$C$49,3,FALSE)</f>
        <v/>
      </c>
      <c r="O1438">
        <f>K1438*L1438-M1438</f>
        <v/>
      </c>
      <c r="P1438">
        <f>TEXT(B1438,"yyyy-mm")</f>
        <v/>
      </c>
      <c r="Q1438">
        <f>IF(O1438&gt;=3000,"Large","Small")</f>
        <v/>
      </c>
      <c r="R1438">
        <f>INDEX(Products!$F$2:$F$49,MATCH(J1438,Products!$A$2:$A$49,0))</f>
        <v/>
      </c>
      <c r="S1438">
        <f>WEEKDAY(B1438,2)</f>
        <v/>
      </c>
    </row>
    <row r="1439">
      <c r="A1439" t="n">
        <v>510060</v>
      </c>
      <c r="B1439" s="6" t="n">
        <v>45948</v>
      </c>
      <c r="C1439" t="n">
        <v>13619</v>
      </c>
      <c r="D1439" t="inlineStr">
        <is>
          <t>Jaipur</t>
        </is>
      </c>
      <c r="E1439" t="inlineStr">
        <is>
          <t>North</t>
        </is>
      </c>
      <c r="F1439" t="inlineStr">
        <is>
          <t>Affiliate</t>
        </is>
      </c>
      <c r="G1439" t="inlineStr">
        <is>
          <t>Desktop</t>
        </is>
      </c>
      <c r="H1439" t="inlineStr">
        <is>
          <t>Credit Card</t>
        </is>
      </c>
      <c r="I1439" t="inlineStr">
        <is>
          <t>Delivered</t>
        </is>
      </c>
      <c r="J1439" t="n">
        <v>120</v>
      </c>
      <c r="K1439" t="n">
        <v>1</v>
      </c>
      <c r="L1439" t="n">
        <v>734</v>
      </c>
      <c r="M1439" t="n">
        <v>0</v>
      </c>
      <c r="N1439">
        <f>VLOOKUP(J1439,Products!$A$2:$C$49,3,FALSE)</f>
        <v/>
      </c>
      <c r="O1439">
        <f>K1439*L1439-M1439</f>
        <v/>
      </c>
      <c r="P1439">
        <f>TEXT(B1439,"yyyy-mm")</f>
        <v/>
      </c>
      <c r="Q1439">
        <f>IF(O1439&gt;=3000,"Large","Small")</f>
        <v/>
      </c>
      <c r="R1439">
        <f>INDEX(Products!$F$2:$F$49,MATCH(J1439,Products!$A$2:$A$49,0))</f>
        <v/>
      </c>
      <c r="S1439">
        <f>WEEKDAY(B1439,2)</f>
        <v/>
      </c>
    </row>
    <row r="1440">
      <c r="A1440" t="n">
        <v>510061</v>
      </c>
      <c r="B1440" s="6" t="n">
        <v>45948</v>
      </c>
      <c r="C1440" t="n">
        <v>10742</v>
      </c>
      <c r="D1440" t="inlineStr">
        <is>
          <t>Gurugram</t>
        </is>
      </c>
      <c r="E1440" t="inlineStr">
        <is>
          <t>North</t>
        </is>
      </c>
      <c r="F1440" t="inlineStr">
        <is>
          <t>Organic Search</t>
        </is>
      </c>
      <c r="G1440" t="inlineStr">
        <is>
          <t>Mobile App</t>
        </is>
      </c>
      <c r="H1440" t="inlineStr">
        <is>
          <t>Credit Card</t>
        </is>
      </c>
      <c r="I1440" t="inlineStr">
        <is>
          <t>Delivered</t>
        </is>
      </c>
      <c r="J1440" t="n">
        <v>108</v>
      </c>
      <c r="K1440" t="n">
        <v>1</v>
      </c>
      <c r="L1440" t="n">
        <v>419</v>
      </c>
      <c r="M1440" t="n">
        <v>0</v>
      </c>
      <c r="N1440">
        <f>VLOOKUP(J1440,Products!$A$2:$C$49,3,FALSE)</f>
        <v/>
      </c>
      <c r="O1440">
        <f>K1440*L1440-M1440</f>
        <v/>
      </c>
      <c r="P1440">
        <f>TEXT(B1440,"yyyy-mm")</f>
        <v/>
      </c>
      <c r="Q1440">
        <f>IF(O1440&gt;=3000,"Large","Small")</f>
        <v/>
      </c>
      <c r="R1440">
        <f>INDEX(Products!$F$2:$F$49,MATCH(J1440,Products!$A$2:$A$49,0))</f>
        <v/>
      </c>
      <c r="S1440">
        <f>WEEKDAY(B1440,2)</f>
        <v/>
      </c>
    </row>
    <row r="1441">
      <c r="A1441" t="n">
        <v>510061</v>
      </c>
      <c r="B1441" s="6" t="n">
        <v>45948</v>
      </c>
      <c r="C1441" t="n">
        <v>10742</v>
      </c>
      <c r="D1441" t="inlineStr">
        <is>
          <t>Gurugram</t>
        </is>
      </c>
      <c r="E1441" t="inlineStr">
        <is>
          <t>North</t>
        </is>
      </c>
      <c r="F1441" t="inlineStr">
        <is>
          <t>Organic Search</t>
        </is>
      </c>
      <c r="G1441" t="inlineStr">
        <is>
          <t>Mobile App</t>
        </is>
      </c>
      <c r="H1441" t="inlineStr">
        <is>
          <t>Credit Card</t>
        </is>
      </c>
      <c r="I1441" t="inlineStr">
        <is>
          <t>Delivered</t>
        </is>
      </c>
      <c r="J1441" t="n">
        <v>147</v>
      </c>
      <c r="K1441" t="n">
        <v>1</v>
      </c>
      <c r="L1441" t="n">
        <v>1364</v>
      </c>
      <c r="M1441" t="n">
        <v>0</v>
      </c>
      <c r="N1441">
        <f>VLOOKUP(J1441,Products!$A$2:$C$49,3,FALSE)</f>
        <v/>
      </c>
      <c r="O1441">
        <f>K1441*L1441-M1441</f>
        <v/>
      </c>
      <c r="P1441">
        <f>TEXT(B1441,"yyyy-mm")</f>
        <v/>
      </c>
      <c r="Q1441">
        <f>IF(O1441&gt;=3000,"Large","Small")</f>
        <v/>
      </c>
      <c r="R1441">
        <f>INDEX(Products!$F$2:$F$49,MATCH(J1441,Products!$A$2:$A$49,0))</f>
        <v/>
      </c>
      <c r="S1441">
        <f>WEEKDAY(B1441,2)</f>
        <v/>
      </c>
    </row>
    <row r="1442">
      <c r="A1442" t="n">
        <v>510062</v>
      </c>
      <c r="B1442" s="6" t="n">
        <v>45948</v>
      </c>
      <c r="C1442" t="n">
        <v>15484</v>
      </c>
      <c r="D1442" t="inlineStr">
        <is>
          <t>Pune</t>
        </is>
      </c>
      <c r="E1442" t="inlineStr">
        <is>
          <t>West</t>
        </is>
      </c>
      <c r="F1442" t="inlineStr">
        <is>
          <t>Email</t>
        </is>
      </c>
      <c r="G1442" t="inlineStr">
        <is>
          <t>Mobile App</t>
        </is>
      </c>
      <c r="H1442" t="inlineStr">
        <is>
          <t>Credit Card</t>
        </is>
      </c>
      <c r="I1442" t="inlineStr">
        <is>
          <t>Delivered</t>
        </is>
      </c>
      <c r="J1442" t="n">
        <v>104</v>
      </c>
      <c r="K1442" t="n">
        <v>1</v>
      </c>
      <c r="L1442" t="n">
        <v>5249</v>
      </c>
      <c r="M1442" t="n">
        <v>0</v>
      </c>
      <c r="N1442">
        <f>VLOOKUP(J1442,Products!$A$2:$C$49,3,FALSE)</f>
        <v/>
      </c>
      <c r="O1442">
        <f>K1442*L1442-M1442</f>
        <v/>
      </c>
      <c r="P1442">
        <f>TEXT(B1442,"yyyy-mm")</f>
        <v/>
      </c>
      <c r="Q1442">
        <f>IF(O1442&gt;=3000,"Large","Small")</f>
        <v/>
      </c>
      <c r="R1442">
        <f>INDEX(Products!$F$2:$F$49,MATCH(J1442,Products!$A$2:$A$49,0))</f>
        <v/>
      </c>
      <c r="S1442">
        <f>WEEKDAY(B1442,2)</f>
        <v/>
      </c>
    </row>
    <row r="1443">
      <c r="A1443" t="n">
        <v>510063</v>
      </c>
      <c r="B1443" s="6" t="n">
        <v>45948</v>
      </c>
      <c r="C1443" t="n">
        <v>16429</v>
      </c>
      <c r="D1443" t="inlineStr">
        <is>
          <t>Bengaluru</t>
        </is>
      </c>
      <c r="E1443" t="inlineStr">
        <is>
          <t>South</t>
        </is>
      </c>
      <c r="F1443" t="inlineStr">
        <is>
          <t>Organic Search</t>
        </is>
      </c>
      <c r="G1443" t="inlineStr">
        <is>
          <t>Desktop</t>
        </is>
      </c>
      <c r="H1443" t="inlineStr">
        <is>
          <t>UPI</t>
        </is>
      </c>
      <c r="I1443" t="inlineStr">
        <is>
          <t>Delivered</t>
        </is>
      </c>
      <c r="J1443" t="n">
        <v>111</v>
      </c>
      <c r="K1443" t="n">
        <v>1</v>
      </c>
      <c r="L1443" t="n">
        <v>524</v>
      </c>
      <c r="M1443" t="n">
        <v>0</v>
      </c>
      <c r="N1443">
        <f>VLOOKUP(J1443,Products!$A$2:$C$49,3,FALSE)</f>
        <v/>
      </c>
      <c r="O1443">
        <f>K1443*L1443-M1443</f>
        <v/>
      </c>
      <c r="P1443">
        <f>TEXT(B1443,"yyyy-mm")</f>
        <v/>
      </c>
      <c r="Q1443">
        <f>IF(O1443&gt;=3000,"Large","Small")</f>
        <v/>
      </c>
      <c r="R1443">
        <f>INDEX(Products!$F$2:$F$49,MATCH(J1443,Products!$A$2:$A$49,0))</f>
        <v/>
      </c>
      <c r="S1443">
        <f>WEEKDAY(B1443,2)</f>
        <v/>
      </c>
    </row>
    <row r="1444">
      <c r="A1444" t="n">
        <v>510063</v>
      </c>
      <c r="B1444" s="6" t="n">
        <v>45948</v>
      </c>
      <c r="C1444" t="n">
        <v>16429</v>
      </c>
      <c r="D1444" t="inlineStr">
        <is>
          <t>Bengaluru</t>
        </is>
      </c>
      <c r="E1444" t="inlineStr">
        <is>
          <t>South</t>
        </is>
      </c>
      <c r="F1444" t="inlineStr">
        <is>
          <t>Organic Search</t>
        </is>
      </c>
      <c r="G1444" t="inlineStr">
        <is>
          <t>Desktop</t>
        </is>
      </c>
      <c r="H1444" t="inlineStr">
        <is>
          <t>UPI</t>
        </is>
      </c>
      <c r="I1444" t="inlineStr">
        <is>
          <t>Delivered</t>
        </is>
      </c>
      <c r="J1444" t="n">
        <v>113</v>
      </c>
      <c r="K1444" t="n">
        <v>1</v>
      </c>
      <c r="L1444" t="n">
        <v>1364</v>
      </c>
      <c r="M1444" t="n">
        <v>0</v>
      </c>
      <c r="N1444">
        <f>VLOOKUP(J1444,Products!$A$2:$C$49,3,FALSE)</f>
        <v/>
      </c>
      <c r="O1444">
        <f>K1444*L1444-M1444</f>
        <v/>
      </c>
      <c r="P1444">
        <f>TEXT(B1444,"yyyy-mm")</f>
        <v/>
      </c>
      <c r="Q1444">
        <f>IF(O1444&gt;=3000,"Large","Small")</f>
        <v/>
      </c>
      <c r="R1444">
        <f>INDEX(Products!$F$2:$F$49,MATCH(J1444,Products!$A$2:$A$49,0))</f>
        <v/>
      </c>
      <c r="S1444">
        <f>WEEKDAY(B1444,2)</f>
        <v/>
      </c>
    </row>
    <row r="1445">
      <c r="A1445" t="n">
        <v>510063</v>
      </c>
      <c r="B1445" s="6" t="n">
        <v>45948</v>
      </c>
      <c r="C1445" t="n">
        <v>16429</v>
      </c>
      <c r="D1445" t="inlineStr">
        <is>
          <t>Bengaluru</t>
        </is>
      </c>
      <c r="E1445" t="inlineStr">
        <is>
          <t>South</t>
        </is>
      </c>
      <c r="F1445" t="inlineStr">
        <is>
          <t>Organic Search</t>
        </is>
      </c>
      <c r="G1445" t="inlineStr">
        <is>
          <t>Desktop</t>
        </is>
      </c>
      <c r="H1445" t="inlineStr">
        <is>
          <t>UPI</t>
        </is>
      </c>
      <c r="I1445" t="inlineStr">
        <is>
          <t>Delivered</t>
        </is>
      </c>
      <c r="J1445" t="n">
        <v>133</v>
      </c>
      <c r="K1445" t="n">
        <v>1</v>
      </c>
      <c r="L1445" t="n">
        <v>419</v>
      </c>
      <c r="M1445" t="n">
        <v>0</v>
      </c>
      <c r="N1445">
        <f>VLOOKUP(J1445,Products!$A$2:$C$49,3,FALSE)</f>
        <v/>
      </c>
      <c r="O1445">
        <f>K1445*L1445-M1445</f>
        <v/>
      </c>
      <c r="P1445">
        <f>TEXT(B1445,"yyyy-mm")</f>
        <v/>
      </c>
      <c r="Q1445">
        <f>IF(O1445&gt;=3000,"Large","Small")</f>
        <v/>
      </c>
      <c r="R1445">
        <f>INDEX(Products!$F$2:$F$49,MATCH(J1445,Products!$A$2:$A$49,0))</f>
        <v/>
      </c>
      <c r="S1445">
        <f>WEEKDAY(B1445,2)</f>
        <v/>
      </c>
    </row>
    <row r="1446">
      <c r="A1446" t="n">
        <v>510064</v>
      </c>
      <c r="B1446" s="6" t="n">
        <v>45948</v>
      </c>
      <c r="C1446" t="n">
        <v>16808</v>
      </c>
      <c r="D1446" t="inlineStr">
        <is>
          <t>Bengaluru</t>
        </is>
      </c>
      <c r="E1446" t="inlineStr">
        <is>
          <t>South</t>
        </is>
      </c>
      <c r="F1446" t="inlineStr">
        <is>
          <t>Paid Social</t>
        </is>
      </c>
      <c r="G1446" t="inlineStr">
        <is>
          <t>Desktop</t>
        </is>
      </c>
      <c r="H1446" t="inlineStr">
        <is>
          <t>UPI</t>
        </is>
      </c>
      <c r="I1446" t="inlineStr">
        <is>
          <t>Delivered</t>
        </is>
      </c>
      <c r="J1446" t="n">
        <v>111</v>
      </c>
      <c r="K1446" t="n">
        <v>3</v>
      </c>
      <c r="L1446" t="n">
        <v>524</v>
      </c>
      <c r="M1446" t="n">
        <v>0</v>
      </c>
      <c r="N1446">
        <f>VLOOKUP(J1446,Products!$A$2:$C$49,3,FALSE)</f>
        <v/>
      </c>
      <c r="O1446">
        <f>K1446*L1446-M1446</f>
        <v/>
      </c>
      <c r="P1446">
        <f>TEXT(B1446,"yyyy-mm")</f>
        <v/>
      </c>
      <c r="Q1446">
        <f>IF(O1446&gt;=3000,"Large","Small")</f>
        <v/>
      </c>
      <c r="R1446">
        <f>INDEX(Products!$F$2:$F$49,MATCH(J1446,Products!$A$2:$A$49,0))</f>
        <v/>
      </c>
      <c r="S1446">
        <f>WEEKDAY(B1446,2)</f>
        <v/>
      </c>
    </row>
    <row r="1447">
      <c r="A1447" t="n">
        <v>510064</v>
      </c>
      <c r="B1447" s="6" t="n">
        <v>45948</v>
      </c>
      <c r="C1447" t="n">
        <v>16808</v>
      </c>
      <c r="D1447" t="inlineStr">
        <is>
          <t>Bengaluru</t>
        </is>
      </c>
      <c r="E1447" t="inlineStr">
        <is>
          <t>South</t>
        </is>
      </c>
      <c r="F1447" t="inlineStr">
        <is>
          <t>Paid Social</t>
        </is>
      </c>
      <c r="G1447" t="inlineStr">
        <is>
          <t>Desktop</t>
        </is>
      </c>
      <c r="H1447" t="inlineStr">
        <is>
          <t>UPI</t>
        </is>
      </c>
      <c r="I1447" t="inlineStr">
        <is>
          <t>Delivered</t>
        </is>
      </c>
      <c r="J1447" t="n">
        <v>124</v>
      </c>
      <c r="K1447" t="n">
        <v>1</v>
      </c>
      <c r="L1447" t="n">
        <v>1154</v>
      </c>
      <c r="M1447" t="n">
        <v>0</v>
      </c>
      <c r="N1447">
        <f>VLOOKUP(J1447,Products!$A$2:$C$49,3,FALSE)</f>
        <v/>
      </c>
      <c r="O1447">
        <f>K1447*L1447-M1447</f>
        <v/>
      </c>
      <c r="P1447">
        <f>TEXT(B1447,"yyyy-mm")</f>
        <v/>
      </c>
      <c r="Q1447">
        <f>IF(O1447&gt;=3000,"Large","Small")</f>
        <v/>
      </c>
      <c r="R1447">
        <f>INDEX(Products!$F$2:$F$49,MATCH(J1447,Products!$A$2:$A$49,0))</f>
        <v/>
      </c>
      <c r="S1447">
        <f>WEEKDAY(B1447,2)</f>
        <v/>
      </c>
    </row>
    <row r="1448">
      <c r="A1448" t="n">
        <v>510065</v>
      </c>
      <c r="B1448" s="6" t="n">
        <v>45948</v>
      </c>
      <c r="C1448" t="n">
        <v>16836</v>
      </c>
      <c r="D1448" t="inlineStr">
        <is>
          <t>Hyderabad</t>
        </is>
      </c>
      <c r="E1448" t="inlineStr">
        <is>
          <t>South</t>
        </is>
      </c>
      <c r="F1448" t="inlineStr">
        <is>
          <t>Affiliate</t>
        </is>
      </c>
      <c r="G1448" t="inlineStr">
        <is>
          <t>Mobile Web</t>
        </is>
      </c>
      <c r="H1448" t="inlineStr">
        <is>
          <t>UPI</t>
        </is>
      </c>
      <c r="I1448" t="inlineStr">
        <is>
          <t>Delivered</t>
        </is>
      </c>
      <c r="J1448" t="n">
        <v>134</v>
      </c>
      <c r="K1448" t="n">
        <v>1</v>
      </c>
      <c r="L1448" t="n">
        <v>209</v>
      </c>
      <c r="M1448" t="n">
        <v>20.9</v>
      </c>
      <c r="N1448">
        <f>VLOOKUP(J1448,Products!$A$2:$C$49,3,FALSE)</f>
        <v/>
      </c>
      <c r="O1448">
        <f>K1448*L1448-M1448</f>
        <v/>
      </c>
      <c r="P1448">
        <f>TEXT(B1448,"yyyy-mm")</f>
        <v/>
      </c>
      <c r="Q1448">
        <f>IF(O1448&gt;=3000,"Large","Small")</f>
        <v/>
      </c>
      <c r="R1448">
        <f>INDEX(Products!$F$2:$F$49,MATCH(J1448,Products!$A$2:$A$49,0))</f>
        <v/>
      </c>
      <c r="S1448">
        <f>WEEKDAY(B1448,2)</f>
        <v/>
      </c>
    </row>
    <row r="1449">
      <c r="A1449" t="n">
        <v>510065</v>
      </c>
      <c r="B1449" s="6" t="n">
        <v>45948</v>
      </c>
      <c r="C1449" t="n">
        <v>16836</v>
      </c>
      <c r="D1449" t="inlineStr">
        <is>
          <t>Hyderabad</t>
        </is>
      </c>
      <c r="E1449" t="inlineStr">
        <is>
          <t>South</t>
        </is>
      </c>
      <c r="F1449" t="inlineStr">
        <is>
          <t>Affiliate</t>
        </is>
      </c>
      <c r="G1449" t="inlineStr">
        <is>
          <t>Mobile Web</t>
        </is>
      </c>
      <c r="H1449" t="inlineStr">
        <is>
          <t>UPI</t>
        </is>
      </c>
      <c r="I1449" t="inlineStr">
        <is>
          <t>Delivered</t>
        </is>
      </c>
      <c r="J1449" t="n">
        <v>128</v>
      </c>
      <c r="K1449" t="n">
        <v>1</v>
      </c>
      <c r="L1449" t="n">
        <v>1049</v>
      </c>
      <c r="M1449" t="n">
        <v>104.9</v>
      </c>
      <c r="N1449">
        <f>VLOOKUP(J1449,Products!$A$2:$C$49,3,FALSE)</f>
        <v/>
      </c>
      <c r="O1449">
        <f>K1449*L1449-M1449</f>
        <v/>
      </c>
      <c r="P1449">
        <f>TEXT(B1449,"yyyy-mm")</f>
        <v/>
      </c>
      <c r="Q1449">
        <f>IF(O1449&gt;=3000,"Large","Small")</f>
        <v/>
      </c>
      <c r="R1449">
        <f>INDEX(Products!$F$2:$F$49,MATCH(J1449,Products!$A$2:$A$49,0))</f>
        <v/>
      </c>
      <c r="S1449">
        <f>WEEKDAY(B1449,2)</f>
        <v/>
      </c>
    </row>
    <row r="1450">
      <c r="A1450" t="n">
        <v>510066</v>
      </c>
      <c r="B1450" s="6" t="n">
        <v>45948</v>
      </c>
      <c r="C1450" t="n">
        <v>16067</v>
      </c>
      <c r="D1450" t="inlineStr">
        <is>
          <t>Pune</t>
        </is>
      </c>
      <c r="E1450" t="inlineStr">
        <is>
          <t>West</t>
        </is>
      </c>
      <c r="F1450" t="inlineStr">
        <is>
          <t>Referral</t>
        </is>
      </c>
      <c r="G1450" t="inlineStr">
        <is>
          <t>Mobile Web</t>
        </is>
      </c>
      <c r="H1450" t="inlineStr">
        <is>
          <t>Cash on Delivery</t>
        </is>
      </c>
      <c r="I1450" t="inlineStr">
        <is>
          <t>Delivered</t>
        </is>
      </c>
      <c r="J1450" t="n">
        <v>140</v>
      </c>
      <c r="K1450" t="n">
        <v>2</v>
      </c>
      <c r="L1450" t="n">
        <v>629</v>
      </c>
      <c r="M1450" t="n">
        <v>0</v>
      </c>
      <c r="N1450">
        <f>VLOOKUP(J1450,Products!$A$2:$C$49,3,FALSE)</f>
        <v/>
      </c>
      <c r="O1450">
        <f>K1450*L1450-M1450</f>
        <v/>
      </c>
      <c r="P1450">
        <f>TEXT(B1450,"yyyy-mm")</f>
        <v/>
      </c>
      <c r="Q1450">
        <f>IF(O1450&gt;=3000,"Large","Small")</f>
        <v/>
      </c>
      <c r="R1450">
        <f>INDEX(Products!$F$2:$F$49,MATCH(J1450,Products!$A$2:$A$49,0))</f>
        <v/>
      </c>
      <c r="S1450">
        <f>WEEKDAY(B1450,2)</f>
        <v/>
      </c>
    </row>
    <row r="1451">
      <c r="A1451" t="n">
        <v>510066</v>
      </c>
      <c r="B1451" s="6" t="n">
        <v>45948</v>
      </c>
      <c r="C1451" t="n">
        <v>16067</v>
      </c>
      <c r="D1451" t="inlineStr">
        <is>
          <t>Pune</t>
        </is>
      </c>
      <c r="E1451" t="inlineStr">
        <is>
          <t>West</t>
        </is>
      </c>
      <c r="F1451" t="inlineStr">
        <is>
          <t>Referral</t>
        </is>
      </c>
      <c r="G1451" t="inlineStr">
        <is>
          <t>Mobile Web</t>
        </is>
      </c>
      <c r="H1451" t="inlineStr">
        <is>
          <t>Cash on Delivery</t>
        </is>
      </c>
      <c r="I1451" t="inlineStr">
        <is>
          <t>Delivered</t>
        </is>
      </c>
      <c r="J1451" t="n">
        <v>141</v>
      </c>
      <c r="K1451" t="n">
        <v>1</v>
      </c>
      <c r="L1451" t="n">
        <v>261</v>
      </c>
      <c r="M1451" t="n">
        <v>0</v>
      </c>
      <c r="N1451">
        <f>VLOOKUP(J1451,Products!$A$2:$C$49,3,FALSE)</f>
        <v/>
      </c>
      <c r="O1451">
        <f>K1451*L1451-M1451</f>
        <v/>
      </c>
      <c r="P1451">
        <f>TEXT(B1451,"yyyy-mm")</f>
        <v/>
      </c>
      <c r="Q1451">
        <f>IF(O1451&gt;=3000,"Large","Small")</f>
        <v/>
      </c>
      <c r="R1451">
        <f>INDEX(Products!$F$2:$F$49,MATCH(J1451,Products!$A$2:$A$49,0))</f>
        <v/>
      </c>
      <c r="S1451">
        <f>WEEKDAY(B1451,2)</f>
        <v/>
      </c>
    </row>
    <row r="1452">
      <c r="A1452" t="n">
        <v>510067</v>
      </c>
      <c r="B1452" s="6" t="n">
        <v>45948</v>
      </c>
      <c r="C1452" t="n">
        <v>16214</v>
      </c>
      <c r="D1452" t="inlineStr">
        <is>
          <t>Kochi</t>
        </is>
      </c>
      <c r="E1452" t="inlineStr">
        <is>
          <t>South</t>
        </is>
      </c>
      <c r="F1452" t="inlineStr">
        <is>
          <t>Referral</t>
        </is>
      </c>
      <c r="G1452" t="inlineStr">
        <is>
          <t>Desktop</t>
        </is>
      </c>
      <c r="H1452" t="inlineStr">
        <is>
          <t>UPI</t>
        </is>
      </c>
      <c r="I1452" t="inlineStr">
        <is>
          <t>Delivered</t>
        </is>
      </c>
      <c r="J1452" t="n">
        <v>113</v>
      </c>
      <c r="K1452" t="n">
        <v>1</v>
      </c>
      <c r="L1452" t="n">
        <v>1364</v>
      </c>
      <c r="M1452" t="n">
        <v>136.4</v>
      </c>
      <c r="N1452">
        <f>VLOOKUP(J1452,Products!$A$2:$C$49,3,FALSE)</f>
        <v/>
      </c>
      <c r="O1452">
        <f>K1452*L1452-M1452</f>
        <v/>
      </c>
      <c r="P1452">
        <f>TEXT(B1452,"yyyy-mm")</f>
        <v/>
      </c>
      <c r="Q1452">
        <f>IF(O1452&gt;=3000,"Large","Small")</f>
        <v/>
      </c>
      <c r="R1452">
        <f>INDEX(Products!$F$2:$F$49,MATCH(J1452,Products!$A$2:$A$49,0))</f>
        <v/>
      </c>
      <c r="S1452">
        <f>WEEKDAY(B1452,2)</f>
        <v/>
      </c>
    </row>
    <row r="1453">
      <c r="A1453" t="n">
        <v>510068</v>
      </c>
      <c r="B1453" s="6" t="n">
        <v>45948</v>
      </c>
      <c r="C1453" t="n">
        <v>15268</v>
      </c>
      <c r="D1453" t="inlineStr">
        <is>
          <t>Kolkata</t>
        </is>
      </c>
      <c r="E1453" t="inlineStr">
        <is>
          <t>East</t>
        </is>
      </c>
      <c r="F1453" t="inlineStr">
        <is>
          <t>Affiliate</t>
        </is>
      </c>
      <c r="G1453" t="inlineStr">
        <is>
          <t>Mobile App</t>
        </is>
      </c>
      <c r="H1453" t="inlineStr">
        <is>
          <t>UPI</t>
        </is>
      </c>
      <c r="I1453" t="inlineStr">
        <is>
          <t>Delivered</t>
        </is>
      </c>
      <c r="J1453" t="n">
        <v>126</v>
      </c>
      <c r="K1453" t="n">
        <v>1</v>
      </c>
      <c r="L1453" t="n">
        <v>471</v>
      </c>
      <c r="M1453" t="n">
        <v>0</v>
      </c>
      <c r="N1453">
        <f>VLOOKUP(J1453,Products!$A$2:$C$49,3,FALSE)</f>
        <v/>
      </c>
      <c r="O1453">
        <f>K1453*L1453-M1453</f>
        <v/>
      </c>
      <c r="P1453">
        <f>TEXT(B1453,"yyyy-mm")</f>
        <v/>
      </c>
      <c r="Q1453">
        <f>IF(O1453&gt;=3000,"Large","Small")</f>
        <v/>
      </c>
      <c r="R1453">
        <f>INDEX(Products!$F$2:$F$49,MATCH(J1453,Products!$A$2:$A$49,0))</f>
        <v/>
      </c>
      <c r="S1453">
        <f>WEEKDAY(B1453,2)</f>
        <v/>
      </c>
    </row>
    <row r="1454">
      <c r="A1454" t="n">
        <v>510068</v>
      </c>
      <c r="B1454" s="6" t="n">
        <v>45948</v>
      </c>
      <c r="C1454" t="n">
        <v>15268</v>
      </c>
      <c r="D1454" t="inlineStr">
        <is>
          <t>Kolkata</t>
        </is>
      </c>
      <c r="E1454" t="inlineStr">
        <is>
          <t>East</t>
        </is>
      </c>
      <c r="F1454" t="inlineStr">
        <is>
          <t>Affiliate</t>
        </is>
      </c>
      <c r="G1454" t="inlineStr">
        <is>
          <t>Mobile App</t>
        </is>
      </c>
      <c r="H1454" t="inlineStr">
        <is>
          <t>UPI</t>
        </is>
      </c>
      <c r="I1454" t="inlineStr">
        <is>
          <t>Delivered</t>
        </is>
      </c>
      <c r="J1454" t="n">
        <v>102</v>
      </c>
      <c r="K1454" t="n">
        <v>1</v>
      </c>
      <c r="L1454" t="n">
        <v>3674</v>
      </c>
      <c r="M1454" t="n">
        <v>0</v>
      </c>
      <c r="N1454">
        <f>VLOOKUP(J1454,Products!$A$2:$C$49,3,FALSE)</f>
        <v/>
      </c>
      <c r="O1454">
        <f>K1454*L1454-M1454</f>
        <v/>
      </c>
      <c r="P1454">
        <f>TEXT(B1454,"yyyy-mm")</f>
        <v/>
      </c>
      <c r="Q1454">
        <f>IF(O1454&gt;=3000,"Large","Small")</f>
        <v/>
      </c>
      <c r="R1454">
        <f>INDEX(Products!$F$2:$F$49,MATCH(J1454,Products!$A$2:$A$49,0))</f>
        <v/>
      </c>
      <c r="S1454">
        <f>WEEKDAY(B1454,2)</f>
        <v/>
      </c>
    </row>
    <row r="1455">
      <c r="A1455" t="n">
        <v>510068</v>
      </c>
      <c r="B1455" s="6" t="n">
        <v>45948</v>
      </c>
      <c r="C1455" t="n">
        <v>15268</v>
      </c>
      <c r="D1455" t="inlineStr">
        <is>
          <t>Kolkata</t>
        </is>
      </c>
      <c r="E1455" t="inlineStr">
        <is>
          <t>East</t>
        </is>
      </c>
      <c r="F1455" t="inlineStr">
        <is>
          <t>Affiliate</t>
        </is>
      </c>
      <c r="G1455" t="inlineStr">
        <is>
          <t>Mobile App</t>
        </is>
      </c>
      <c r="H1455" t="inlineStr">
        <is>
          <t>UPI</t>
        </is>
      </c>
      <c r="I1455" t="inlineStr">
        <is>
          <t>Delivered</t>
        </is>
      </c>
      <c r="J1455" t="n">
        <v>108</v>
      </c>
      <c r="K1455" t="n">
        <v>2</v>
      </c>
      <c r="L1455" t="n">
        <v>419</v>
      </c>
      <c r="M1455" t="n">
        <v>0</v>
      </c>
      <c r="N1455">
        <f>VLOOKUP(J1455,Products!$A$2:$C$49,3,FALSE)</f>
        <v/>
      </c>
      <c r="O1455">
        <f>K1455*L1455-M1455</f>
        <v/>
      </c>
      <c r="P1455">
        <f>TEXT(B1455,"yyyy-mm")</f>
        <v/>
      </c>
      <c r="Q1455">
        <f>IF(O1455&gt;=3000,"Large","Small")</f>
        <v/>
      </c>
      <c r="R1455">
        <f>INDEX(Products!$F$2:$F$49,MATCH(J1455,Products!$A$2:$A$49,0))</f>
        <v/>
      </c>
      <c r="S1455">
        <f>WEEKDAY(B1455,2)</f>
        <v/>
      </c>
    </row>
    <row r="1456">
      <c r="A1456" t="n">
        <v>510069</v>
      </c>
      <c r="B1456" s="6" t="n">
        <v>45948</v>
      </c>
      <c r="C1456" t="n">
        <v>14600</v>
      </c>
      <c r="D1456" t="inlineStr">
        <is>
          <t>Chandigarh</t>
        </is>
      </c>
      <c r="E1456" t="inlineStr">
        <is>
          <t>North</t>
        </is>
      </c>
      <c r="F1456" t="inlineStr">
        <is>
          <t>Paid Social</t>
        </is>
      </c>
      <c r="G1456" t="inlineStr">
        <is>
          <t>Mobile App</t>
        </is>
      </c>
      <c r="H1456" t="inlineStr">
        <is>
          <t>UPI</t>
        </is>
      </c>
      <c r="I1456" t="inlineStr">
        <is>
          <t>Delivered</t>
        </is>
      </c>
      <c r="J1456" t="n">
        <v>102</v>
      </c>
      <c r="K1456" t="n">
        <v>1</v>
      </c>
      <c r="L1456" t="n">
        <v>3674</v>
      </c>
      <c r="M1456" t="n">
        <v>367.4</v>
      </c>
      <c r="N1456">
        <f>VLOOKUP(J1456,Products!$A$2:$C$49,3,FALSE)</f>
        <v/>
      </c>
      <c r="O1456">
        <f>K1456*L1456-M1456</f>
        <v/>
      </c>
      <c r="P1456">
        <f>TEXT(B1456,"yyyy-mm")</f>
        <v/>
      </c>
      <c r="Q1456">
        <f>IF(O1456&gt;=3000,"Large","Small")</f>
        <v/>
      </c>
      <c r="R1456">
        <f>INDEX(Products!$F$2:$F$49,MATCH(J1456,Products!$A$2:$A$49,0))</f>
        <v/>
      </c>
      <c r="S1456">
        <f>WEEKDAY(B1456,2)</f>
        <v/>
      </c>
    </row>
    <row r="1457">
      <c r="A1457" t="n">
        <v>510069</v>
      </c>
      <c r="B1457" s="6" t="n">
        <v>45948</v>
      </c>
      <c r="C1457" t="n">
        <v>14600</v>
      </c>
      <c r="D1457" t="inlineStr">
        <is>
          <t>Chandigarh</t>
        </is>
      </c>
      <c r="E1457" t="inlineStr">
        <is>
          <t>North</t>
        </is>
      </c>
      <c r="F1457" t="inlineStr">
        <is>
          <t>Paid Social</t>
        </is>
      </c>
      <c r="G1457" t="inlineStr">
        <is>
          <t>Mobile App</t>
        </is>
      </c>
      <c r="H1457" t="inlineStr">
        <is>
          <t>UPI</t>
        </is>
      </c>
      <c r="I1457" t="inlineStr">
        <is>
          <t>Delivered</t>
        </is>
      </c>
      <c r="J1457" t="n">
        <v>115</v>
      </c>
      <c r="K1457" t="n">
        <v>1</v>
      </c>
      <c r="L1457" t="n">
        <v>4199</v>
      </c>
      <c r="M1457" t="n">
        <v>419.9</v>
      </c>
      <c r="N1457">
        <f>VLOOKUP(J1457,Products!$A$2:$C$49,3,FALSE)</f>
        <v/>
      </c>
      <c r="O1457">
        <f>K1457*L1457-M1457</f>
        <v/>
      </c>
      <c r="P1457">
        <f>TEXT(B1457,"yyyy-mm")</f>
        <v/>
      </c>
      <c r="Q1457">
        <f>IF(O1457&gt;=3000,"Large","Small")</f>
        <v/>
      </c>
      <c r="R1457">
        <f>INDEX(Products!$F$2:$F$49,MATCH(J1457,Products!$A$2:$A$49,0))</f>
        <v/>
      </c>
      <c r="S1457">
        <f>WEEKDAY(B1457,2)</f>
        <v/>
      </c>
    </row>
    <row r="1458">
      <c r="A1458" t="n">
        <v>510069</v>
      </c>
      <c r="B1458" s="6" t="n">
        <v>45948</v>
      </c>
      <c r="C1458" t="n">
        <v>14600</v>
      </c>
      <c r="D1458" t="inlineStr">
        <is>
          <t>Chandigarh</t>
        </is>
      </c>
      <c r="E1458" t="inlineStr">
        <is>
          <t>North</t>
        </is>
      </c>
      <c r="F1458" t="inlineStr">
        <is>
          <t>Paid Social</t>
        </is>
      </c>
      <c r="G1458" t="inlineStr">
        <is>
          <t>Mobile App</t>
        </is>
      </c>
      <c r="H1458" t="inlineStr">
        <is>
          <t>UPI</t>
        </is>
      </c>
      <c r="I1458" t="inlineStr">
        <is>
          <t>Delivered</t>
        </is>
      </c>
      <c r="J1458" t="n">
        <v>109</v>
      </c>
      <c r="K1458" t="n">
        <v>1</v>
      </c>
      <c r="L1458" t="n">
        <v>4199</v>
      </c>
      <c r="M1458" t="n">
        <v>419.9</v>
      </c>
      <c r="N1458">
        <f>VLOOKUP(J1458,Products!$A$2:$C$49,3,FALSE)</f>
        <v/>
      </c>
      <c r="O1458">
        <f>K1458*L1458-M1458</f>
        <v/>
      </c>
      <c r="P1458">
        <f>TEXT(B1458,"yyyy-mm")</f>
        <v/>
      </c>
      <c r="Q1458">
        <f>IF(O1458&gt;=3000,"Large","Small")</f>
        <v/>
      </c>
      <c r="R1458">
        <f>INDEX(Products!$F$2:$F$49,MATCH(J1458,Products!$A$2:$A$49,0))</f>
        <v/>
      </c>
      <c r="S1458">
        <f>WEEKDAY(B1458,2)</f>
        <v/>
      </c>
    </row>
    <row r="1459">
      <c r="A1459" t="n">
        <v>510070</v>
      </c>
      <c r="B1459" s="6" t="n">
        <v>45948</v>
      </c>
      <c r="C1459" t="n">
        <v>16888</v>
      </c>
      <c r="D1459" t="inlineStr">
        <is>
          <t>Mumbai</t>
        </is>
      </c>
      <c r="E1459" t="inlineStr">
        <is>
          <t>West</t>
        </is>
      </c>
      <c r="F1459" t="inlineStr">
        <is>
          <t>Paid Social</t>
        </is>
      </c>
      <c r="G1459" t="inlineStr">
        <is>
          <t>Mobile App</t>
        </is>
      </c>
      <c r="H1459" t="inlineStr">
        <is>
          <t>Cash on Delivery</t>
        </is>
      </c>
      <c r="I1459" t="inlineStr">
        <is>
          <t>Returned</t>
        </is>
      </c>
      <c r="J1459" t="n">
        <v>128</v>
      </c>
      <c r="K1459" t="n">
        <v>1</v>
      </c>
      <c r="L1459" t="n">
        <v>1049</v>
      </c>
      <c r="M1459" t="n">
        <v>104.9</v>
      </c>
      <c r="N1459">
        <f>VLOOKUP(J1459,Products!$A$2:$C$49,3,FALSE)</f>
        <v/>
      </c>
      <c r="O1459">
        <f>K1459*L1459-M1459</f>
        <v/>
      </c>
      <c r="P1459">
        <f>TEXT(B1459,"yyyy-mm")</f>
        <v/>
      </c>
      <c r="Q1459">
        <f>IF(O1459&gt;=3000,"Large","Small")</f>
        <v/>
      </c>
      <c r="R1459">
        <f>INDEX(Products!$F$2:$F$49,MATCH(J1459,Products!$A$2:$A$49,0))</f>
        <v/>
      </c>
      <c r="S1459">
        <f>WEEKDAY(B1459,2)</f>
        <v/>
      </c>
    </row>
    <row r="1460">
      <c r="A1460" t="n">
        <v>510070</v>
      </c>
      <c r="B1460" s="6" t="n">
        <v>45948</v>
      </c>
      <c r="C1460" t="n">
        <v>16888</v>
      </c>
      <c r="D1460" t="inlineStr">
        <is>
          <t>Mumbai</t>
        </is>
      </c>
      <c r="E1460" t="inlineStr">
        <is>
          <t>West</t>
        </is>
      </c>
      <c r="F1460" t="inlineStr">
        <is>
          <t>Paid Social</t>
        </is>
      </c>
      <c r="G1460" t="inlineStr">
        <is>
          <t>Mobile App</t>
        </is>
      </c>
      <c r="H1460" t="inlineStr">
        <is>
          <t>Cash on Delivery</t>
        </is>
      </c>
      <c r="I1460" t="inlineStr">
        <is>
          <t>Returned</t>
        </is>
      </c>
      <c r="J1460" t="n">
        <v>113</v>
      </c>
      <c r="K1460" t="n">
        <v>1</v>
      </c>
      <c r="L1460" t="n">
        <v>1364</v>
      </c>
      <c r="M1460" t="n">
        <v>136.4</v>
      </c>
      <c r="N1460">
        <f>VLOOKUP(J1460,Products!$A$2:$C$49,3,FALSE)</f>
        <v/>
      </c>
      <c r="O1460">
        <f>K1460*L1460-M1460</f>
        <v/>
      </c>
      <c r="P1460">
        <f>TEXT(B1460,"yyyy-mm")</f>
        <v/>
      </c>
      <c r="Q1460">
        <f>IF(O1460&gt;=3000,"Large","Small")</f>
        <v/>
      </c>
      <c r="R1460">
        <f>INDEX(Products!$F$2:$F$49,MATCH(J1460,Products!$A$2:$A$49,0))</f>
        <v/>
      </c>
      <c r="S1460">
        <f>WEEKDAY(B1460,2)</f>
        <v/>
      </c>
    </row>
    <row r="1461">
      <c r="A1461" t="n">
        <v>510070</v>
      </c>
      <c r="B1461" s="6" t="n">
        <v>45948</v>
      </c>
      <c r="C1461" t="n">
        <v>16888</v>
      </c>
      <c r="D1461" t="inlineStr">
        <is>
          <t>Mumbai</t>
        </is>
      </c>
      <c r="E1461" t="inlineStr">
        <is>
          <t>West</t>
        </is>
      </c>
      <c r="F1461" t="inlineStr">
        <is>
          <t>Paid Social</t>
        </is>
      </c>
      <c r="G1461" t="inlineStr">
        <is>
          <t>Mobile App</t>
        </is>
      </c>
      <c r="H1461" t="inlineStr">
        <is>
          <t>Cash on Delivery</t>
        </is>
      </c>
      <c r="I1461" t="inlineStr">
        <is>
          <t>Returned</t>
        </is>
      </c>
      <c r="J1461" t="n">
        <v>112</v>
      </c>
      <c r="K1461" t="n">
        <v>1</v>
      </c>
      <c r="L1461" t="n">
        <v>1574</v>
      </c>
      <c r="M1461" t="n">
        <v>157.4</v>
      </c>
      <c r="N1461">
        <f>VLOOKUP(J1461,Products!$A$2:$C$49,3,FALSE)</f>
        <v/>
      </c>
      <c r="O1461">
        <f>K1461*L1461-M1461</f>
        <v/>
      </c>
      <c r="P1461">
        <f>TEXT(B1461,"yyyy-mm")</f>
        <v/>
      </c>
      <c r="Q1461">
        <f>IF(O1461&gt;=3000,"Large","Small")</f>
        <v/>
      </c>
      <c r="R1461">
        <f>INDEX(Products!$F$2:$F$49,MATCH(J1461,Products!$A$2:$A$49,0))</f>
        <v/>
      </c>
      <c r="S1461">
        <f>WEEKDAY(B1461,2)</f>
        <v/>
      </c>
    </row>
    <row r="1462">
      <c r="A1462" t="n">
        <v>510070</v>
      </c>
      <c r="B1462" s="6" t="n">
        <v>45948</v>
      </c>
      <c r="C1462" t="n">
        <v>16888</v>
      </c>
      <c r="D1462" t="inlineStr">
        <is>
          <t>Mumbai</t>
        </is>
      </c>
      <c r="E1462" t="inlineStr">
        <is>
          <t>West</t>
        </is>
      </c>
      <c r="F1462" t="inlineStr">
        <is>
          <t>Paid Social</t>
        </is>
      </c>
      <c r="G1462" t="inlineStr">
        <is>
          <t>Mobile App</t>
        </is>
      </c>
      <c r="H1462" t="inlineStr">
        <is>
          <t>Cash on Delivery</t>
        </is>
      </c>
      <c r="I1462" t="inlineStr">
        <is>
          <t>Returned</t>
        </is>
      </c>
      <c r="J1462" t="n">
        <v>123</v>
      </c>
      <c r="K1462" t="n">
        <v>1</v>
      </c>
      <c r="L1462" t="n">
        <v>3464</v>
      </c>
      <c r="M1462" t="n">
        <v>346.4</v>
      </c>
      <c r="N1462">
        <f>VLOOKUP(J1462,Products!$A$2:$C$49,3,FALSE)</f>
        <v/>
      </c>
      <c r="O1462">
        <f>K1462*L1462-M1462</f>
        <v/>
      </c>
      <c r="P1462">
        <f>TEXT(B1462,"yyyy-mm")</f>
        <v/>
      </c>
      <c r="Q1462">
        <f>IF(O1462&gt;=3000,"Large","Small")</f>
        <v/>
      </c>
      <c r="R1462">
        <f>INDEX(Products!$F$2:$F$49,MATCH(J1462,Products!$A$2:$A$49,0))</f>
        <v/>
      </c>
      <c r="S1462">
        <f>WEEKDAY(B1462,2)</f>
        <v/>
      </c>
    </row>
    <row r="1463">
      <c r="A1463" t="n">
        <v>510071</v>
      </c>
      <c r="B1463" s="6" t="n">
        <v>45948</v>
      </c>
      <c r="C1463" t="n">
        <v>11781</v>
      </c>
      <c r="D1463" t="inlineStr">
        <is>
          <t>Jaipur</t>
        </is>
      </c>
      <c r="E1463" t="inlineStr">
        <is>
          <t>North</t>
        </is>
      </c>
      <c r="F1463" t="inlineStr">
        <is>
          <t>Paid Search</t>
        </is>
      </c>
      <c r="G1463" t="inlineStr">
        <is>
          <t>Mobile App</t>
        </is>
      </c>
      <c r="H1463" t="inlineStr">
        <is>
          <t>UPI</t>
        </is>
      </c>
      <c r="I1463" t="inlineStr">
        <is>
          <t>Delivered</t>
        </is>
      </c>
      <c r="J1463" t="n">
        <v>108</v>
      </c>
      <c r="K1463" t="n">
        <v>1</v>
      </c>
      <c r="L1463" t="n">
        <v>419</v>
      </c>
      <c r="M1463" t="n">
        <v>41.9</v>
      </c>
      <c r="N1463">
        <f>VLOOKUP(J1463,Products!$A$2:$C$49,3,FALSE)</f>
        <v/>
      </c>
      <c r="O1463">
        <f>K1463*L1463-M1463</f>
        <v/>
      </c>
      <c r="P1463">
        <f>TEXT(B1463,"yyyy-mm")</f>
        <v/>
      </c>
      <c r="Q1463">
        <f>IF(O1463&gt;=3000,"Large","Small")</f>
        <v/>
      </c>
      <c r="R1463">
        <f>INDEX(Products!$F$2:$F$49,MATCH(J1463,Products!$A$2:$A$49,0))</f>
        <v/>
      </c>
      <c r="S1463">
        <f>WEEKDAY(B1463,2)</f>
        <v/>
      </c>
    </row>
    <row r="1464">
      <c r="A1464" t="n">
        <v>510072</v>
      </c>
      <c r="B1464" s="6" t="n">
        <v>45948</v>
      </c>
      <c r="C1464" t="n">
        <v>16854</v>
      </c>
      <c r="D1464" t="inlineStr">
        <is>
          <t>Delhi</t>
        </is>
      </c>
      <c r="E1464" t="inlineStr">
        <is>
          <t>North</t>
        </is>
      </c>
      <c r="F1464" t="inlineStr">
        <is>
          <t>Organic Search</t>
        </is>
      </c>
      <c r="G1464" t="inlineStr">
        <is>
          <t>Mobile App</t>
        </is>
      </c>
      <c r="H1464" t="inlineStr">
        <is>
          <t>UPI</t>
        </is>
      </c>
      <c r="I1464" t="inlineStr">
        <is>
          <t>Delivered</t>
        </is>
      </c>
      <c r="J1464" t="n">
        <v>132</v>
      </c>
      <c r="K1464" t="n">
        <v>1</v>
      </c>
      <c r="L1464" t="n">
        <v>471</v>
      </c>
      <c r="M1464" t="n">
        <v>70.65000000000001</v>
      </c>
      <c r="N1464">
        <f>VLOOKUP(J1464,Products!$A$2:$C$49,3,FALSE)</f>
        <v/>
      </c>
      <c r="O1464">
        <f>K1464*L1464-M1464</f>
        <v/>
      </c>
      <c r="P1464">
        <f>TEXT(B1464,"yyyy-mm")</f>
        <v/>
      </c>
      <c r="Q1464">
        <f>IF(O1464&gt;=3000,"Large","Small")</f>
        <v/>
      </c>
      <c r="R1464">
        <f>INDEX(Products!$F$2:$F$49,MATCH(J1464,Products!$A$2:$A$49,0))</f>
        <v/>
      </c>
      <c r="S1464">
        <f>WEEKDAY(B1464,2)</f>
        <v/>
      </c>
    </row>
    <row r="1465">
      <c r="A1465" t="n">
        <v>510072</v>
      </c>
      <c r="B1465" s="6" t="n">
        <v>45948</v>
      </c>
      <c r="C1465" t="n">
        <v>16854</v>
      </c>
      <c r="D1465" t="inlineStr">
        <is>
          <t>Delhi</t>
        </is>
      </c>
      <c r="E1465" t="inlineStr">
        <is>
          <t>North</t>
        </is>
      </c>
      <c r="F1465" t="inlineStr">
        <is>
          <t>Organic Search</t>
        </is>
      </c>
      <c r="G1465" t="inlineStr">
        <is>
          <t>Mobile App</t>
        </is>
      </c>
      <c r="H1465" t="inlineStr">
        <is>
          <t>UPI</t>
        </is>
      </c>
      <c r="I1465" t="inlineStr">
        <is>
          <t>Delivered</t>
        </is>
      </c>
      <c r="J1465" t="n">
        <v>137</v>
      </c>
      <c r="K1465" t="n">
        <v>1</v>
      </c>
      <c r="L1465" t="n">
        <v>261</v>
      </c>
      <c r="M1465" t="n">
        <v>39.15</v>
      </c>
      <c r="N1465">
        <f>VLOOKUP(J1465,Products!$A$2:$C$49,3,FALSE)</f>
        <v/>
      </c>
      <c r="O1465">
        <f>K1465*L1465-M1465</f>
        <v/>
      </c>
      <c r="P1465">
        <f>TEXT(B1465,"yyyy-mm")</f>
        <v/>
      </c>
      <c r="Q1465">
        <f>IF(O1465&gt;=3000,"Large","Small")</f>
        <v/>
      </c>
      <c r="R1465">
        <f>INDEX(Products!$F$2:$F$49,MATCH(J1465,Products!$A$2:$A$49,0))</f>
        <v/>
      </c>
      <c r="S1465">
        <f>WEEKDAY(B1465,2)</f>
        <v/>
      </c>
    </row>
    <row r="1466">
      <c r="A1466" t="n">
        <v>510073</v>
      </c>
      <c r="B1466" s="6" t="n">
        <v>45948</v>
      </c>
      <c r="C1466" t="n">
        <v>11647</v>
      </c>
      <c r="D1466" t="inlineStr">
        <is>
          <t>Jaipur</t>
        </is>
      </c>
      <c r="E1466" t="inlineStr">
        <is>
          <t>North</t>
        </is>
      </c>
      <c r="F1466" t="inlineStr">
        <is>
          <t>Paid Social</t>
        </is>
      </c>
      <c r="G1466" t="inlineStr">
        <is>
          <t>Mobile Web</t>
        </is>
      </c>
      <c r="H1466" t="inlineStr">
        <is>
          <t>UPI</t>
        </is>
      </c>
      <c r="I1466" t="inlineStr">
        <is>
          <t>Delivered</t>
        </is>
      </c>
      <c r="J1466" t="n">
        <v>110</v>
      </c>
      <c r="K1466" t="n">
        <v>1</v>
      </c>
      <c r="L1466" t="n">
        <v>839</v>
      </c>
      <c r="M1466" t="n">
        <v>83.90000000000001</v>
      </c>
      <c r="N1466">
        <f>VLOOKUP(J1466,Products!$A$2:$C$49,3,FALSE)</f>
        <v/>
      </c>
      <c r="O1466">
        <f>K1466*L1466-M1466</f>
        <v/>
      </c>
      <c r="P1466">
        <f>TEXT(B1466,"yyyy-mm")</f>
        <v/>
      </c>
      <c r="Q1466">
        <f>IF(O1466&gt;=3000,"Large","Small")</f>
        <v/>
      </c>
      <c r="R1466">
        <f>INDEX(Products!$F$2:$F$49,MATCH(J1466,Products!$A$2:$A$49,0))</f>
        <v/>
      </c>
      <c r="S1466">
        <f>WEEKDAY(B1466,2)</f>
        <v/>
      </c>
    </row>
    <row r="1467">
      <c r="A1467" t="n">
        <v>510074</v>
      </c>
      <c r="B1467" s="6" t="n">
        <v>45948</v>
      </c>
      <c r="C1467" t="n">
        <v>10928</v>
      </c>
      <c r="D1467" t="inlineStr">
        <is>
          <t>Hyderabad</t>
        </is>
      </c>
      <c r="E1467" t="inlineStr">
        <is>
          <t>South</t>
        </is>
      </c>
      <c r="F1467" t="inlineStr">
        <is>
          <t>Organic Search</t>
        </is>
      </c>
      <c r="G1467" t="inlineStr">
        <is>
          <t>Mobile Web</t>
        </is>
      </c>
      <c r="H1467" t="inlineStr">
        <is>
          <t>Cash on Delivery</t>
        </is>
      </c>
      <c r="I1467" t="inlineStr">
        <is>
          <t>Delivered</t>
        </is>
      </c>
      <c r="J1467" t="n">
        <v>133</v>
      </c>
      <c r="K1467" t="n">
        <v>1</v>
      </c>
      <c r="L1467" t="n">
        <v>419</v>
      </c>
      <c r="M1467" t="n">
        <v>20.95</v>
      </c>
      <c r="N1467">
        <f>VLOOKUP(J1467,Products!$A$2:$C$49,3,FALSE)</f>
        <v/>
      </c>
      <c r="O1467">
        <f>K1467*L1467-M1467</f>
        <v/>
      </c>
      <c r="P1467">
        <f>TEXT(B1467,"yyyy-mm")</f>
        <v/>
      </c>
      <c r="Q1467">
        <f>IF(O1467&gt;=3000,"Large","Small")</f>
        <v/>
      </c>
      <c r="R1467">
        <f>INDEX(Products!$F$2:$F$49,MATCH(J1467,Products!$A$2:$A$49,0))</f>
        <v/>
      </c>
      <c r="S1467">
        <f>WEEKDAY(B1467,2)</f>
        <v/>
      </c>
    </row>
    <row r="1468">
      <c r="A1468" t="n">
        <v>510075</v>
      </c>
      <c r="B1468" s="6" t="n">
        <v>45948</v>
      </c>
      <c r="C1468" t="n">
        <v>11034</v>
      </c>
      <c r="D1468" t="inlineStr">
        <is>
          <t>Bengaluru</t>
        </is>
      </c>
      <c r="E1468" t="inlineStr">
        <is>
          <t>South</t>
        </is>
      </c>
      <c r="F1468" t="inlineStr">
        <is>
          <t>Organic Search</t>
        </is>
      </c>
      <c r="G1468" t="inlineStr">
        <is>
          <t>Mobile App</t>
        </is>
      </c>
      <c r="H1468" t="inlineStr">
        <is>
          <t>UPI</t>
        </is>
      </c>
      <c r="I1468" t="inlineStr">
        <is>
          <t>Delivered</t>
        </is>
      </c>
      <c r="J1468" t="n">
        <v>113</v>
      </c>
      <c r="K1468" t="n">
        <v>2</v>
      </c>
      <c r="L1468" t="n">
        <v>1364</v>
      </c>
      <c r="M1468" t="n">
        <v>0</v>
      </c>
      <c r="N1468">
        <f>VLOOKUP(J1468,Products!$A$2:$C$49,3,FALSE)</f>
        <v/>
      </c>
      <c r="O1468">
        <f>K1468*L1468-M1468</f>
        <v/>
      </c>
      <c r="P1468">
        <f>TEXT(B1468,"yyyy-mm")</f>
        <v/>
      </c>
      <c r="Q1468">
        <f>IF(O1468&gt;=3000,"Large","Small")</f>
        <v/>
      </c>
      <c r="R1468">
        <f>INDEX(Products!$F$2:$F$49,MATCH(J1468,Products!$A$2:$A$49,0))</f>
        <v/>
      </c>
      <c r="S1468">
        <f>WEEKDAY(B1468,2)</f>
        <v/>
      </c>
    </row>
    <row r="1469">
      <c r="A1469" t="n">
        <v>510076</v>
      </c>
      <c r="B1469" s="6" t="n">
        <v>45948</v>
      </c>
      <c r="C1469" t="n">
        <v>13659</v>
      </c>
      <c r="D1469" t="inlineStr">
        <is>
          <t>Indore</t>
        </is>
      </c>
      <c r="E1469" t="inlineStr">
        <is>
          <t>West</t>
        </is>
      </c>
      <c r="F1469" t="inlineStr">
        <is>
          <t>Email</t>
        </is>
      </c>
      <c r="G1469" t="inlineStr">
        <is>
          <t>Mobile App</t>
        </is>
      </c>
      <c r="H1469" t="inlineStr">
        <is>
          <t>Net Banking</t>
        </is>
      </c>
      <c r="I1469" t="inlineStr">
        <is>
          <t>Delivered</t>
        </is>
      </c>
      <c r="J1469" t="n">
        <v>144</v>
      </c>
      <c r="K1469" t="n">
        <v>1</v>
      </c>
      <c r="L1469" t="n">
        <v>3149</v>
      </c>
      <c r="M1469" t="n">
        <v>0</v>
      </c>
      <c r="N1469">
        <f>VLOOKUP(J1469,Products!$A$2:$C$49,3,FALSE)</f>
        <v/>
      </c>
      <c r="O1469">
        <f>K1469*L1469-M1469</f>
        <v/>
      </c>
      <c r="P1469">
        <f>TEXT(B1469,"yyyy-mm")</f>
        <v/>
      </c>
      <c r="Q1469">
        <f>IF(O1469&gt;=3000,"Large","Small")</f>
        <v/>
      </c>
      <c r="R1469">
        <f>INDEX(Products!$F$2:$F$49,MATCH(J1469,Products!$A$2:$A$49,0))</f>
        <v/>
      </c>
      <c r="S1469">
        <f>WEEKDAY(B1469,2)</f>
        <v/>
      </c>
    </row>
    <row r="1470">
      <c r="A1470" t="n">
        <v>510077</v>
      </c>
      <c r="B1470" s="6" t="n">
        <v>45948</v>
      </c>
      <c r="C1470" t="n">
        <v>16895</v>
      </c>
      <c r="D1470" t="inlineStr">
        <is>
          <t>Kochi</t>
        </is>
      </c>
      <c r="E1470" t="inlineStr">
        <is>
          <t>South</t>
        </is>
      </c>
      <c r="F1470" t="inlineStr">
        <is>
          <t>Organic Search</t>
        </is>
      </c>
      <c r="G1470" t="inlineStr">
        <is>
          <t>Mobile App</t>
        </is>
      </c>
      <c r="H1470" t="inlineStr">
        <is>
          <t>Credit Card</t>
        </is>
      </c>
      <c r="I1470" t="inlineStr">
        <is>
          <t>Delivered</t>
        </is>
      </c>
      <c r="J1470" t="n">
        <v>122</v>
      </c>
      <c r="K1470" t="n">
        <v>1</v>
      </c>
      <c r="L1470" t="n">
        <v>1994</v>
      </c>
      <c r="M1470" t="n">
        <v>299.1</v>
      </c>
      <c r="N1470">
        <f>VLOOKUP(J1470,Products!$A$2:$C$49,3,FALSE)</f>
        <v/>
      </c>
      <c r="O1470">
        <f>K1470*L1470-M1470</f>
        <v/>
      </c>
      <c r="P1470">
        <f>TEXT(B1470,"yyyy-mm")</f>
        <v/>
      </c>
      <c r="Q1470">
        <f>IF(O1470&gt;=3000,"Large","Small")</f>
        <v/>
      </c>
      <c r="R1470">
        <f>INDEX(Products!$F$2:$F$49,MATCH(J1470,Products!$A$2:$A$49,0))</f>
        <v/>
      </c>
      <c r="S1470">
        <f>WEEKDAY(B1470,2)</f>
        <v/>
      </c>
    </row>
    <row r="1471">
      <c r="A1471" t="n">
        <v>510078</v>
      </c>
      <c r="B1471" s="6" t="n">
        <v>45948</v>
      </c>
      <c r="C1471" t="n">
        <v>16485</v>
      </c>
      <c r="D1471" t="inlineStr">
        <is>
          <t>Chennai</t>
        </is>
      </c>
      <c r="E1471" t="inlineStr">
        <is>
          <t>South</t>
        </is>
      </c>
      <c r="F1471" t="inlineStr">
        <is>
          <t>Organic Search</t>
        </is>
      </c>
      <c r="G1471" t="inlineStr">
        <is>
          <t>Mobile App</t>
        </is>
      </c>
      <c r="H1471" t="inlineStr">
        <is>
          <t>Credit Card</t>
        </is>
      </c>
      <c r="I1471" t="inlineStr">
        <is>
          <t>Cancelled</t>
        </is>
      </c>
      <c r="J1471" t="n">
        <v>107</v>
      </c>
      <c r="K1471" t="n">
        <v>1</v>
      </c>
      <c r="L1471" t="n">
        <v>1259</v>
      </c>
      <c r="M1471" t="n">
        <v>0</v>
      </c>
      <c r="N1471">
        <f>VLOOKUP(J1471,Products!$A$2:$C$49,3,FALSE)</f>
        <v/>
      </c>
      <c r="O1471">
        <f>K1471*L1471-M1471</f>
        <v/>
      </c>
      <c r="P1471">
        <f>TEXT(B1471,"yyyy-mm")</f>
        <v/>
      </c>
      <c r="Q1471">
        <f>IF(O1471&gt;=3000,"Large","Small")</f>
        <v/>
      </c>
      <c r="R1471">
        <f>INDEX(Products!$F$2:$F$49,MATCH(J1471,Products!$A$2:$A$49,0))</f>
        <v/>
      </c>
      <c r="S1471">
        <f>WEEKDAY(B1471,2)</f>
        <v/>
      </c>
    </row>
    <row r="1472">
      <c r="A1472" t="n">
        <v>510078</v>
      </c>
      <c r="B1472" s="6" t="n">
        <v>45948</v>
      </c>
      <c r="C1472" t="n">
        <v>16485</v>
      </c>
      <c r="D1472" t="inlineStr">
        <is>
          <t>Chennai</t>
        </is>
      </c>
      <c r="E1472" t="inlineStr">
        <is>
          <t>South</t>
        </is>
      </c>
      <c r="F1472" t="inlineStr">
        <is>
          <t>Organic Search</t>
        </is>
      </c>
      <c r="G1472" t="inlineStr">
        <is>
          <t>Mobile App</t>
        </is>
      </c>
      <c r="H1472" t="inlineStr">
        <is>
          <t>Credit Card</t>
        </is>
      </c>
      <c r="I1472" t="inlineStr">
        <is>
          <t>Cancelled</t>
        </is>
      </c>
      <c r="J1472" t="n">
        <v>114</v>
      </c>
      <c r="K1472" t="n">
        <v>1</v>
      </c>
      <c r="L1472" t="n">
        <v>1259</v>
      </c>
      <c r="M1472" t="n">
        <v>0</v>
      </c>
      <c r="N1472">
        <f>VLOOKUP(J1472,Products!$A$2:$C$49,3,FALSE)</f>
        <v/>
      </c>
      <c r="O1472">
        <f>K1472*L1472-M1472</f>
        <v/>
      </c>
      <c r="P1472">
        <f>TEXT(B1472,"yyyy-mm")</f>
        <v/>
      </c>
      <c r="Q1472">
        <f>IF(O1472&gt;=3000,"Large","Small")</f>
        <v/>
      </c>
      <c r="R1472">
        <f>INDEX(Products!$F$2:$F$49,MATCH(J1472,Products!$A$2:$A$49,0))</f>
        <v/>
      </c>
      <c r="S1472">
        <f>WEEKDAY(B1472,2)</f>
        <v/>
      </c>
    </row>
    <row r="1473">
      <c r="A1473" t="n">
        <v>510078</v>
      </c>
      <c r="B1473" s="6" t="n">
        <v>45948</v>
      </c>
      <c r="C1473" t="n">
        <v>16485</v>
      </c>
      <c r="D1473" t="inlineStr">
        <is>
          <t>Chennai</t>
        </is>
      </c>
      <c r="E1473" t="inlineStr">
        <is>
          <t>South</t>
        </is>
      </c>
      <c r="F1473" t="inlineStr">
        <is>
          <t>Organic Search</t>
        </is>
      </c>
      <c r="G1473" t="inlineStr">
        <is>
          <t>Mobile App</t>
        </is>
      </c>
      <c r="H1473" t="inlineStr">
        <is>
          <t>Credit Card</t>
        </is>
      </c>
      <c r="I1473" t="inlineStr">
        <is>
          <t>Cancelled</t>
        </is>
      </c>
      <c r="J1473" t="n">
        <v>129</v>
      </c>
      <c r="K1473" t="n">
        <v>1</v>
      </c>
      <c r="L1473" t="n">
        <v>576</v>
      </c>
      <c r="M1473" t="n">
        <v>0</v>
      </c>
      <c r="N1473">
        <f>VLOOKUP(J1473,Products!$A$2:$C$49,3,FALSE)</f>
        <v/>
      </c>
      <c r="O1473">
        <f>K1473*L1473-M1473</f>
        <v/>
      </c>
      <c r="P1473">
        <f>TEXT(B1473,"yyyy-mm")</f>
        <v/>
      </c>
      <c r="Q1473">
        <f>IF(O1473&gt;=3000,"Large","Small")</f>
        <v/>
      </c>
      <c r="R1473">
        <f>INDEX(Products!$F$2:$F$49,MATCH(J1473,Products!$A$2:$A$49,0))</f>
        <v/>
      </c>
      <c r="S1473">
        <f>WEEKDAY(B1473,2)</f>
        <v/>
      </c>
    </row>
    <row r="1474">
      <c r="A1474" t="n">
        <v>510079</v>
      </c>
      <c r="B1474" s="6" t="n">
        <v>45948</v>
      </c>
      <c r="C1474" t="n">
        <v>16871</v>
      </c>
      <c r="D1474" t="inlineStr">
        <is>
          <t>Ahmedabad</t>
        </is>
      </c>
      <c r="E1474" t="inlineStr">
        <is>
          <t>West</t>
        </is>
      </c>
      <c r="F1474" t="inlineStr">
        <is>
          <t>Paid Search</t>
        </is>
      </c>
      <c r="G1474" t="inlineStr">
        <is>
          <t>Mobile Web</t>
        </is>
      </c>
      <c r="H1474" t="inlineStr">
        <is>
          <t>Debit Card</t>
        </is>
      </c>
      <c r="I1474" t="inlineStr">
        <is>
          <t>Delivered</t>
        </is>
      </c>
      <c r="J1474" t="n">
        <v>122</v>
      </c>
      <c r="K1474" t="n">
        <v>1</v>
      </c>
      <c r="L1474" t="n">
        <v>1994</v>
      </c>
      <c r="M1474" t="n">
        <v>199.4</v>
      </c>
      <c r="N1474">
        <f>VLOOKUP(J1474,Products!$A$2:$C$49,3,FALSE)</f>
        <v/>
      </c>
      <c r="O1474">
        <f>K1474*L1474-M1474</f>
        <v/>
      </c>
      <c r="P1474">
        <f>TEXT(B1474,"yyyy-mm")</f>
        <v/>
      </c>
      <c r="Q1474">
        <f>IF(O1474&gt;=3000,"Large","Small")</f>
        <v/>
      </c>
      <c r="R1474">
        <f>INDEX(Products!$F$2:$F$49,MATCH(J1474,Products!$A$2:$A$49,0))</f>
        <v/>
      </c>
      <c r="S1474">
        <f>WEEKDAY(B1474,2)</f>
        <v/>
      </c>
    </row>
    <row r="1475">
      <c r="A1475" t="n">
        <v>510080</v>
      </c>
      <c r="B1475" s="6" t="n">
        <v>45948</v>
      </c>
      <c r="C1475" t="n">
        <v>10657</v>
      </c>
      <c r="D1475" t="inlineStr">
        <is>
          <t>Hyderabad</t>
        </is>
      </c>
      <c r="E1475" t="inlineStr">
        <is>
          <t>South</t>
        </is>
      </c>
      <c r="F1475" t="inlineStr">
        <is>
          <t>Organic Search</t>
        </is>
      </c>
      <c r="G1475" t="inlineStr">
        <is>
          <t>Mobile App</t>
        </is>
      </c>
      <c r="H1475" t="inlineStr">
        <is>
          <t>UPI</t>
        </is>
      </c>
      <c r="I1475" t="inlineStr">
        <is>
          <t>Delivered</t>
        </is>
      </c>
      <c r="J1475" t="n">
        <v>140</v>
      </c>
      <c r="K1475" t="n">
        <v>1</v>
      </c>
      <c r="L1475" t="n">
        <v>629</v>
      </c>
      <c r="M1475" t="n">
        <v>62.9</v>
      </c>
      <c r="N1475">
        <f>VLOOKUP(J1475,Products!$A$2:$C$49,3,FALSE)</f>
        <v/>
      </c>
      <c r="O1475">
        <f>K1475*L1475-M1475</f>
        <v/>
      </c>
      <c r="P1475">
        <f>TEXT(B1475,"yyyy-mm")</f>
        <v/>
      </c>
      <c r="Q1475">
        <f>IF(O1475&gt;=3000,"Large","Small")</f>
        <v/>
      </c>
      <c r="R1475">
        <f>INDEX(Products!$F$2:$F$49,MATCH(J1475,Products!$A$2:$A$49,0))</f>
        <v/>
      </c>
      <c r="S1475">
        <f>WEEKDAY(B1475,2)</f>
        <v/>
      </c>
    </row>
    <row r="1476">
      <c r="A1476" t="n">
        <v>510081</v>
      </c>
      <c r="B1476" s="6" t="n">
        <v>45948</v>
      </c>
      <c r="C1476" t="n">
        <v>16829</v>
      </c>
      <c r="D1476" t="inlineStr">
        <is>
          <t>Mumbai</t>
        </is>
      </c>
      <c r="E1476" t="inlineStr">
        <is>
          <t>West</t>
        </is>
      </c>
      <c r="F1476" t="inlineStr">
        <is>
          <t>Paid Social</t>
        </is>
      </c>
      <c r="G1476" t="inlineStr">
        <is>
          <t>Mobile App</t>
        </is>
      </c>
      <c r="H1476" t="inlineStr">
        <is>
          <t>Debit Card</t>
        </is>
      </c>
      <c r="I1476" t="inlineStr">
        <is>
          <t>Delivered</t>
        </is>
      </c>
      <c r="J1476" t="n">
        <v>104</v>
      </c>
      <c r="K1476" t="n">
        <v>1</v>
      </c>
      <c r="L1476" t="n">
        <v>5249</v>
      </c>
      <c r="M1476" t="n">
        <v>787.35</v>
      </c>
      <c r="N1476">
        <f>VLOOKUP(J1476,Products!$A$2:$C$49,3,FALSE)</f>
        <v/>
      </c>
      <c r="O1476">
        <f>K1476*L1476-M1476</f>
        <v/>
      </c>
      <c r="P1476">
        <f>TEXT(B1476,"yyyy-mm")</f>
        <v/>
      </c>
      <c r="Q1476">
        <f>IF(O1476&gt;=3000,"Large","Small")</f>
        <v/>
      </c>
      <c r="R1476">
        <f>INDEX(Products!$F$2:$F$49,MATCH(J1476,Products!$A$2:$A$49,0))</f>
        <v/>
      </c>
      <c r="S1476">
        <f>WEEKDAY(B1476,2)</f>
        <v/>
      </c>
    </row>
    <row r="1477">
      <c r="A1477" t="n">
        <v>510082</v>
      </c>
      <c r="B1477" s="6" t="n">
        <v>45948</v>
      </c>
      <c r="C1477" t="n">
        <v>16837</v>
      </c>
      <c r="D1477" t="inlineStr">
        <is>
          <t>Mumbai</t>
        </is>
      </c>
      <c r="E1477" t="inlineStr">
        <is>
          <t>West</t>
        </is>
      </c>
      <c r="F1477" t="inlineStr">
        <is>
          <t>Organic Search</t>
        </is>
      </c>
      <c r="G1477" t="inlineStr">
        <is>
          <t>Mobile Web</t>
        </is>
      </c>
      <c r="H1477" t="inlineStr">
        <is>
          <t>Cash on Delivery</t>
        </is>
      </c>
      <c r="I1477" t="inlineStr">
        <is>
          <t>Delivered</t>
        </is>
      </c>
      <c r="J1477" t="n">
        <v>118</v>
      </c>
      <c r="K1477" t="n">
        <v>1</v>
      </c>
      <c r="L1477" t="n">
        <v>944</v>
      </c>
      <c r="M1477" t="n">
        <v>0</v>
      </c>
      <c r="N1477">
        <f>VLOOKUP(J1477,Products!$A$2:$C$49,3,FALSE)</f>
        <v/>
      </c>
      <c r="O1477">
        <f>K1477*L1477-M1477</f>
        <v/>
      </c>
      <c r="P1477">
        <f>TEXT(B1477,"yyyy-mm")</f>
        <v/>
      </c>
      <c r="Q1477">
        <f>IF(O1477&gt;=3000,"Large","Small")</f>
        <v/>
      </c>
      <c r="R1477">
        <f>INDEX(Products!$F$2:$F$49,MATCH(J1477,Products!$A$2:$A$49,0))</f>
        <v/>
      </c>
      <c r="S1477">
        <f>WEEKDAY(B1477,2)</f>
        <v/>
      </c>
    </row>
    <row r="1478">
      <c r="A1478" t="n">
        <v>510082</v>
      </c>
      <c r="B1478" s="6" t="n">
        <v>45948</v>
      </c>
      <c r="C1478" t="n">
        <v>16837</v>
      </c>
      <c r="D1478" t="inlineStr">
        <is>
          <t>Mumbai</t>
        </is>
      </c>
      <c r="E1478" t="inlineStr">
        <is>
          <t>West</t>
        </is>
      </c>
      <c r="F1478" t="inlineStr">
        <is>
          <t>Organic Search</t>
        </is>
      </c>
      <c r="G1478" t="inlineStr">
        <is>
          <t>Mobile Web</t>
        </is>
      </c>
      <c r="H1478" t="inlineStr">
        <is>
          <t>Cash on Delivery</t>
        </is>
      </c>
      <c r="I1478" t="inlineStr">
        <is>
          <t>Delivered</t>
        </is>
      </c>
      <c r="J1478" t="n">
        <v>141</v>
      </c>
      <c r="K1478" t="n">
        <v>2</v>
      </c>
      <c r="L1478" t="n">
        <v>261</v>
      </c>
      <c r="M1478" t="n">
        <v>0</v>
      </c>
      <c r="N1478">
        <f>VLOOKUP(J1478,Products!$A$2:$C$49,3,FALSE)</f>
        <v/>
      </c>
      <c r="O1478">
        <f>K1478*L1478-M1478</f>
        <v/>
      </c>
      <c r="P1478">
        <f>TEXT(B1478,"yyyy-mm")</f>
        <v/>
      </c>
      <c r="Q1478">
        <f>IF(O1478&gt;=3000,"Large","Small")</f>
        <v/>
      </c>
      <c r="R1478">
        <f>INDEX(Products!$F$2:$F$49,MATCH(J1478,Products!$A$2:$A$49,0))</f>
        <v/>
      </c>
      <c r="S1478">
        <f>WEEKDAY(B1478,2)</f>
        <v/>
      </c>
    </row>
    <row r="1479">
      <c r="A1479" t="n">
        <v>510082</v>
      </c>
      <c r="B1479" s="6" t="n">
        <v>45948</v>
      </c>
      <c r="C1479" t="n">
        <v>16837</v>
      </c>
      <c r="D1479" t="inlineStr">
        <is>
          <t>Mumbai</t>
        </is>
      </c>
      <c r="E1479" t="inlineStr">
        <is>
          <t>West</t>
        </is>
      </c>
      <c r="F1479" t="inlineStr">
        <is>
          <t>Organic Search</t>
        </is>
      </c>
      <c r="G1479" t="inlineStr">
        <is>
          <t>Mobile Web</t>
        </is>
      </c>
      <c r="H1479" t="inlineStr">
        <is>
          <t>Cash on Delivery</t>
        </is>
      </c>
      <c r="I1479" t="inlineStr">
        <is>
          <t>Delivered</t>
        </is>
      </c>
      <c r="J1479" t="n">
        <v>129</v>
      </c>
      <c r="K1479" t="n">
        <v>1</v>
      </c>
      <c r="L1479" t="n">
        <v>576</v>
      </c>
      <c r="M1479" t="n">
        <v>0</v>
      </c>
      <c r="N1479">
        <f>VLOOKUP(J1479,Products!$A$2:$C$49,3,FALSE)</f>
        <v/>
      </c>
      <c r="O1479">
        <f>K1479*L1479-M1479</f>
        <v/>
      </c>
      <c r="P1479">
        <f>TEXT(B1479,"yyyy-mm")</f>
        <v/>
      </c>
      <c r="Q1479">
        <f>IF(O1479&gt;=3000,"Large","Small")</f>
        <v/>
      </c>
      <c r="R1479">
        <f>INDEX(Products!$F$2:$F$49,MATCH(J1479,Products!$A$2:$A$49,0))</f>
        <v/>
      </c>
      <c r="S1479">
        <f>WEEKDAY(B1479,2)</f>
        <v/>
      </c>
    </row>
    <row r="1480">
      <c r="A1480" t="n">
        <v>510083</v>
      </c>
      <c r="B1480" s="6" t="n">
        <v>45948</v>
      </c>
      <c r="C1480" t="n">
        <v>16842</v>
      </c>
      <c r="D1480" t="inlineStr">
        <is>
          <t>Hyderabad</t>
        </is>
      </c>
      <c r="E1480" t="inlineStr">
        <is>
          <t>South</t>
        </is>
      </c>
      <c r="F1480" t="inlineStr">
        <is>
          <t>Referral</t>
        </is>
      </c>
      <c r="G1480" t="inlineStr">
        <is>
          <t>Mobile App</t>
        </is>
      </c>
      <c r="H1480" t="inlineStr">
        <is>
          <t>UPI</t>
        </is>
      </c>
      <c r="I1480" t="inlineStr">
        <is>
          <t>Delivered</t>
        </is>
      </c>
      <c r="J1480" t="n">
        <v>118</v>
      </c>
      <c r="K1480" t="n">
        <v>2</v>
      </c>
      <c r="L1480" t="n">
        <v>944</v>
      </c>
      <c r="M1480" t="n">
        <v>283.2</v>
      </c>
      <c r="N1480">
        <f>VLOOKUP(J1480,Products!$A$2:$C$49,3,FALSE)</f>
        <v/>
      </c>
      <c r="O1480">
        <f>K1480*L1480-M1480</f>
        <v/>
      </c>
      <c r="P1480">
        <f>TEXT(B1480,"yyyy-mm")</f>
        <v/>
      </c>
      <c r="Q1480">
        <f>IF(O1480&gt;=3000,"Large","Small")</f>
        <v/>
      </c>
      <c r="R1480">
        <f>INDEX(Products!$F$2:$F$49,MATCH(J1480,Products!$A$2:$A$49,0))</f>
        <v/>
      </c>
      <c r="S1480">
        <f>WEEKDAY(B1480,2)</f>
        <v/>
      </c>
    </row>
    <row r="1481">
      <c r="A1481" t="n">
        <v>510084</v>
      </c>
      <c r="B1481" s="6" t="n">
        <v>45948</v>
      </c>
      <c r="C1481" t="n">
        <v>11145</v>
      </c>
      <c r="D1481" t="inlineStr">
        <is>
          <t>Chennai</t>
        </is>
      </c>
      <c r="E1481" t="inlineStr">
        <is>
          <t>South</t>
        </is>
      </c>
      <c r="F1481" t="inlineStr">
        <is>
          <t>Referral</t>
        </is>
      </c>
      <c r="G1481" t="inlineStr">
        <is>
          <t>Mobile App</t>
        </is>
      </c>
      <c r="H1481" t="inlineStr">
        <is>
          <t>UPI</t>
        </is>
      </c>
      <c r="I1481" t="inlineStr">
        <is>
          <t>Delivered</t>
        </is>
      </c>
      <c r="J1481" t="n">
        <v>101</v>
      </c>
      <c r="K1481" t="n">
        <v>2</v>
      </c>
      <c r="L1481" t="n">
        <v>2099</v>
      </c>
      <c r="M1481" t="n">
        <v>0</v>
      </c>
      <c r="N1481">
        <f>VLOOKUP(J1481,Products!$A$2:$C$49,3,FALSE)</f>
        <v/>
      </c>
      <c r="O1481">
        <f>K1481*L1481-M1481</f>
        <v/>
      </c>
      <c r="P1481">
        <f>TEXT(B1481,"yyyy-mm")</f>
        <v/>
      </c>
      <c r="Q1481">
        <f>IF(O1481&gt;=3000,"Large","Small")</f>
        <v/>
      </c>
      <c r="R1481">
        <f>INDEX(Products!$F$2:$F$49,MATCH(J1481,Products!$A$2:$A$49,0))</f>
        <v/>
      </c>
      <c r="S1481">
        <f>WEEKDAY(B1481,2)</f>
        <v/>
      </c>
    </row>
    <row r="1482">
      <c r="A1482" t="n">
        <v>510085</v>
      </c>
      <c r="B1482" s="6" t="n">
        <v>45948</v>
      </c>
      <c r="C1482" t="n">
        <v>15392</v>
      </c>
      <c r="D1482" t="inlineStr">
        <is>
          <t>Lucknow</t>
        </is>
      </c>
      <c r="E1482" t="inlineStr">
        <is>
          <t>North</t>
        </is>
      </c>
      <c r="F1482" t="inlineStr">
        <is>
          <t>Referral</t>
        </is>
      </c>
      <c r="G1482" t="inlineStr">
        <is>
          <t>Desktop</t>
        </is>
      </c>
      <c r="H1482" t="inlineStr">
        <is>
          <t>Credit Card</t>
        </is>
      </c>
      <c r="I1482" t="inlineStr">
        <is>
          <t>Delivered</t>
        </is>
      </c>
      <c r="J1482" t="n">
        <v>113</v>
      </c>
      <c r="K1482" t="n">
        <v>1</v>
      </c>
      <c r="L1482" t="n">
        <v>1364</v>
      </c>
      <c r="M1482" t="n">
        <v>136.4</v>
      </c>
      <c r="N1482">
        <f>VLOOKUP(J1482,Products!$A$2:$C$49,3,FALSE)</f>
        <v/>
      </c>
      <c r="O1482">
        <f>K1482*L1482-M1482</f>
        <v/>
      </c>
      <c r="P1482">
        <f>TEXT(B1482,"yyyy-mm")</f>
        <v/>
      </c>
      <c r="Q1482">
        <f>IF(O1482&gt;=3000,"Large","Small")</f>
        <v/>
      </c>
      <c r="R1482">
        <f>INDEX(Products!$F$2:$F$49,MATCH(J1482,Products!$A$2:$A$49,0))</f>
        <v/>
      </c>
      <c r="S1482">
        <f>WEEKDAY(B1482,2)</f>
        <v/>
      </c>
    </row>
    <row r="1483">
      <c r="A1483" t="n">
        <v>510086</v>
      </c>
      <c r="B1483" s="6" t="n">
        <v>45948</v>
      </c>
      <c r="C1483" t="n">
        <v>16342</v>
      </c>
      <c r="D1483" t="inlineStr">
        <is>
          <t>Chennai</t>
        </is>
      </c>
      <c r="E1483" t="inlineStr">
        <is>
          <t>South</t>
        </is>
      </c>
      <c r="F1483" t="inlineStr">
        <is>
          <t>Organic Search</t>
        </is>
      </c>
      <c r="G1483" t="inlineStr">
        <is>
          <t>Mobile Web</t>
        </is>
      </c>
      <c r="H1483" t="inlineStr">
        <is>
          <t>Cash on Delivery</t>
        </is>
      </c>
      <c r="I1483" t="inlineStr">
        <is>
          <t>Returned</t>
        </is>
      </c>
      <c r="J1483" t="n">
        <v>124</v>
      </c>
      <c r="K1483" t="n">
        <v>2</v>
      </c>
      <c r="L1483" t="n">
        <v>1154</v>
      </c>
      <c r="M1483" t="n">
        <v>230.8</v>
      </c>
      <c r="N1483">
        <f>VLOOKUP(J1483,Products!$A$2:$C$49,3,FALSE)</f>
        <v/>
      </c>
      <c r="O1483">
        <f>K1483*L1483-M1483</f>
        <v/>
      </c>
      <c r="P1483">
        <f>TEXT(B1483,"yyyy-mm")</f>
        <v/>
      </c>
      <c r="Q1483">
        <f>IF(O1483&gt;=3000,"Large","Small")</f>
        <v/>
      </c>
      <c r="R1483">
        <f>INDEX(Products!$F$2:$F$49,MATCH(J1483,Products!$A$2:$A$49,0))</f>
        <v/>
      </c>
      <c r="S1483">
        <f>WEEKDAY(B1483,2)</f>
        <v/>
      </c>
    </row>
    <row r="1484">
      <c r="A1484" t="n">
        <v>510086</v>
      </c>
      <c r="B1484" s="6" t="n">
        <v>45948</v>
      </c>
      <c r="C1484" t="n">
        <v>16342</v>
      </c>
      <c r="D1484" t="inlineStr">
        <is>
          <t>Chennai</t>
        </is>
      </c>
      <c r="E1484" t="inlineStr">
        <is>
          <t>South</t>
        </is>
      </c>
      <c r="F1484" t="inlineStr">
        <is>
          <t>Organic Search</t>
        </is>
      </c>
      <c r="G1484" t="inlineStr">
        <is>
          <t>Mobile Web</t>
        </is>
      </c>
      <c r="H1484" t="inlineStr">
        <is>
          <t>Cash on Delivery</t>
        </is>
      </c>
      <c r="I1484" t="inlineStr">
        <is>
          <t>Returned</t>
        </is>
      </c>
      <c r="J1484" t="n">
        <v>111</v>
      </c>
      <c r="K1484" t="n">
        <v>2</v>
      </c>
      <c r="L1484" t="n">
        <v>524</v>
      </c>
      <c r="M1484" t="n">
        <v>104.8</v>
      </c>
      <c r="N1484">
        <f>VLOOKUP(J1484,Products!$A$2:$C$49,3,FALSE)</f>
        <v/>
      </c>
      <c r="O1484">
        <f>K1484*L1484-M1484</f>
        <v/>
      </c>
      <c r="P1484">
        <f>TEXT(B1484,"yyyy-mm")</f>
        <v/>
      </c>
      <c r="Q1484">
        <f>IF(O1484&gt;=3000,"Large","Small")</f>
        <v/>
      </c>
      <c r="R1484">
        <f>INDEX(Products!$F$2:$F$49,MATCH(J1484,Products!$A$2:$A$49,0))</f>
        <v/>
      </c>
      <c r="S1484">
        <f>WEEKDAY(B1484,2)</f>
        <v/>
      </c>
    </row>
    <row r="1485">
      <c r="A1485" t="n">
        <v>510087</v>
      </c>
      <c r="B1485" s="6" t="n">
        <v>45948</v>
      </c>
      <c r="C1485" t="n">
        <v>16876</v>
      </c>
      <c r="D1485" t="inlineStr">
        <is>
          <t>Lucknow</t>
        </is>
      </c>
      <c r="E1485" t="inlineStr">
        <is>
          <t>North</t>
        </is>
      </c>
      <c r="F1485" t="inlineStr">
        <is>
          <t>Paid Social</t>
        </is>
      </c>
      <c r="G1485" t="inlineStr">
        <is>
          <t>Desktop</t>
        </is>
      </c>
      <c r="H1485" t="inlineStr">
        <is>
          <t>Cash on Delivery</t>
        </is>
      </c>
      <c r="I1485" t="inlineStr">
        <is>
          <t>Cancelled</t>
        </is>
      </c>
      <c r="J1485" t="n">
        <v>117</v>
      </c>
      <c r="K1485" t="n">
        <v>1</v>
      </c>
      <c r="L1485" t="n">
        <v>3149</v>
      </c>
      <c r="M1485" t="n">
        <v>472.35</v>
      </c>
      <c r="N1485">
        <f>VLOOKUP(J1485,Products!$A$2:$C$49,3,FALSE)</f>
        <v/>
      </c>
      <c r="O1485">
        <f>K1485*L1485-M1485</f>
        <v/>
      </c>
      <c r="P1485">
        <f>TEXT(B1485,"yyyy-mm")</f>
        <v/>
      </c>
      <c r="Q1485">
        <f>IF(O1485&gt;=3000,"Large","Small")</f>
        <v/>
      </c>
      <c r="R1485">
        <f>INDEX(Products!$F$2:$F$49,MATCH(J1485,Products!$A$2:$A$49,0))</f>
        <v/>
      </c>
      <c r="S1485">
        <f>WEEKDAY(B1485,2)</f>
        <v/>
      </c>
    </row>
    <row r="1486">
      <c r="A1486" t="n">
        <v>510088</v>
      </c>
      <c r="B1486" s="6" t="n">
        <v>45948</v>
      </c>
      <c r="C1486" t="n">
        <v>15379</v>
      </c>
      <c r="D1486" t="inlineStr">
        <is>
          <t>Hyderabad</t>
        </is>
      </c>
      <c r="E1486" t="inlineStr">
        <is>
          <t>South</t>
        </is>
      </c>
      <c r="F1486" t="inlineStr">
        <is>
          <t>Organic Search</t>
        </is>
      </c>
      <c r="G1486" t="inlineStr">
        <is>
          <t>Mobile App</t>
        </is>
      </c>
      <c r="H1486" t="inlineStr">
        <is>
          <t>Cash on Delivery</t>
        </is>
      </c>
      <c r="I1486" t="inlineStr">
        <is>
          <t>Delivered</t>
        </is>
      </c>
      <c r="J1486" t="n">
        <v>101</v>
      </c>
      <c r="K1486" t="n">
        <v>1</v>
      </c>
      <c r="L1486" t="n">
        <v>2099</v>
      </c>
      <c r="M1486" t="n">
        <v>0</v>
      </c>
      <c r="N1486">
        <f>VLOOKUP(J1486,Products!$A$2:$C$49,3,FALSE)</f>
        <v/>
      </c>
      <c r="O1486">
        <f>K1486*L1486-M1486</f>
        <v/>
      </c>
      <c r="P1486">
        <f>TEXT(B1486,"yyyy-mm")</f>
        <v/>
      </c>
      <c r="Q1486">
        <f>IF(O1486&gt;=3000,"Large","Small")</f>
        <v/>
      </c>
      <c r="R1486">
        <f>INDEX(Products!$F$2:$F$49,MATCH(J1486,Products!$A$2:$A$49,0))</f>
        <v/>
      </c>
      <c r="S1486">
        <f>WEEKDAY(B1486,2)</f>
        <v/>
      </c>
    </row>
    <row r="1487">
      <c r="A1487" t="n">
        <v>510088</v>
      </c>
      <c r="B1487" s="6" t="n">
        <v>45948</v>
      </c>
      <c r="C1487" t="n">
        <v>15379</v>
      </c>
      <c r="D1487" t="inlineStr">
        <is>
          <t>Hyderabad</t>
        </is>
      </c>
      <c r="E1487" t="inlineStr">
        <is>
          <t>South</t>
        </is>
      </c>
      <c r="F1487" t="inlineStr">
        <is>
          <t>Organic Search</t>
        </is>
      </c>
      <c r="G1487" t="inlineStr">
        <is>
          <t>Mobile App</t>
        </is>
      </c>
      <c r="H1487" t="inlineStr">
        <is>
          <t>Cash on Delivery</t>
        </is>
      </c>
      <c r="I1487" t="inlineStr">
        <is>
          <t>Delivered</t>
        </is>
      </c>
      <c r="J1487" t="n">
        <v>129</v>
      </c>
      <c r="K1487" t="n">
        <v>1</v>
      </c>
      <c r="L1487" t="n">
        <v>576</v>
      </c>
      <c r="M1487" t="n">
        <v>0</v>
      </c>
      <c r="N1487">
        <f>VLOOKUP(J1487,Products!$A$2:$C$49,3,FALSE)</f>
        <v/>
      </c>
      <c r="O1487">
        <f>K1487*L1487-M1487</f>
        <v/>
      </c>
      <c r="P1487">
        <f>TEXT(B1487,"yyyy-mm")</f>
        <v/>
      </c>
      <c r="Q1487">
        <f>IF(O1487&gt;=3000,"Large","Small")</f>
        <v/>
      </c>
      <c r="R1487">
        <f>INDEX(Products!$F$2:$F$49,MATCH(J1487,Products!$A$2:$A$49,0))</f>
        <v/>
      </c>
      <c r="S1487">
        <f>WEEKDAY(B1487,2)</f>
        <v/>
      </c>
    </row>
    <row r="1488">
      <c r="A1488" t="n">
        <v>510089</v>
      </c>
      <c r="B1488" s="6" t="n">
        <v>45948</v>
      </c>
      <c r="C1488" t="n">
        <v>16816</v>
      </c>
      <c r="D1488" t="inlineStr">
        <is>
          <t>Chennai</t>
        </is>
      </c>
      <c r="E1488" t="inlineStr">
        <is>
          <t>South</t>
        </is>
      </c>
      <c r="F1488" t="inlineStr">
        <is>
          <t>Paid Search</t>
        </is>
      </c>
      <c r="G1488" t="inlineStr">
        <is>
          <t>Desktop</t>
        </is>
      </c>
      <c r="H1488" t="inlineStr">
        <is>
          <t>UPI</t>
        </is>
      </c>
      <c r="I1488" t="inlineStr">
        <is>
          <t>Delivered</t>
        </is>
      </c>
      <c r="J1488" t="n">
        <v>112</v>
      </c>
      <c r="K1488" t="n">
        <v>3</v>
      </c>
      <c r="L1488" t="n">
        <v>1574</v>
      </c>
      <c r="M1488" t="n">
        <v>0</v>
      </c>
      <c r="N1488">
        <f>VLOOKUP(J1488,Products!$A$2:$C$49,3,FALSE)</f>
        <v/>
      </c>
      <c r="O1488">
        <f>K1488*L1488-M1488</f>
        <v/>
      </c>
      <c r="P1488">
        <f>TEXT(B1488,"yyyy-mm")</f>
        <v/>
      </c>
      <c r="Q1488">
        <f>IF(O1488&gt;=3000,"Large","Small")</f>
        <v/>
      </c>
      <c r="R1488">
        <f>INDEX(Products!$F$2:$F$49,MATCH(J1488,Products!$A$2:$A$49,0))</f>
        <v/>
      </c>
      <c r="S1488">
        <f>WEEKDAY(B1488,2)</f>
        <v/>
      </c>
    </row>
    <row r="1489">
      <c r="A1489" t="n">
        <v>510089</v>
      </c>
      <c r="B1489" s="6" t="n">
        <v>45948</v>
      </c>
      <c r="C1489" t="n">
        <v>16816</v>
      </c>
      <c r="D1489" t="inlineStr">
        <is>
          <t>Chennai</t>
        </is>
      </c>
      <c r="E1489" t="inlineStr">
        <is>
          <t>South</t>
        </is>
      </c>
      <c r="F1489" t="inlineStr">
        <is>
          <t>Paid Search</t>
        </is>
      </c>
      <c r="G1489" t="inlineStr">
        <is>
          <t>Desktop</t>
        </is>
      </c>
      <c r="H1489" t="inlineStr">
        <is>
          <t>UPI</t>
        </is>
      </c>
      <c r="I1489" t="inlineStr">
        <is>
          <t>Delivered</t>
        </is>
      </c>
      <c r="J1489" t="n">
        <v>118</v>
      </c>
      <c r="K1489" t="n">
        <v>1</v>
      </c>
      <c r="L1489" t="n">
        <v>944</v>
      </c>
      <c r="M1489" t="n">
        <v>0</v>
      </c>
      <c r="N1489">
        <f>VLOOKUP(J1489,Products!$A$2:$C$49,3,FALSE)</f>
        <v/>
      </c>
      <c r="O1489">
        <f>K1489*L1489-M1489</f>
        <v/>
      </c>
      <c r="P1489">
        <f>TEXT(B1489,"yyyy-mm")</f>
        <v/>
      </c>
      <c r="Q1489">
        <f>IF(O1489&gt;=3000,"Large","Small")</f>
        <v/>
      </c>
      <c r="R1489">
        <f>INDEX(Products!$F$2:$F$49,MATCH(J1489,Products!$A$2:$A$49,0))</f>
        <v/>
      </c>
      <c r="S1489">
        <f>WEEKDAY(B1489,2)</f>
        <v/>
      </c>
    </row>
    <row r="1490">
      <c r="A1490" t="n">
        <v>510089</v>
      </c>
      <c r="B1490" s="6" t="n">
        <v>45948</v>
      </c>
      <c r="C1490" t="n">
        <v>16816</v>
      </c>
      <c r="D1490" t="inlineStr">
        <is>
          <t>Chennai</t>
        </is>
      </c>
      <c r="E1490" t="inlineStr">
        <is>
          <t>South</t>
        </is>
      </c>
      <c r="F1490" t="inlineStr">
        <is>
          <t>Paid Search</t>
        </is>
      </c>
      <c r="G1490" t="inlineStr">
        <is>
          <t>Desktop</t>
        </is>
      </c>
      <c r="H1490" t="inlineStr">
        <is>
          <t>UPI</t>
        </is>
      </c>
      <c r="I1490" t="inlineStr">
        <is>
          <t>Delivered</t>
        </is>
      </c>
      <c r="J1490" t="n">
        <v>129</v>
      </c>
      <c r="K1490" t="n">
        <v>1</v>
      </c>
      <c r="L1490" t="n">
        <v>576</v>
      </c>
      <c r="M1490" t="n">
        <v>0</v>
      </c>
      <c r="N1490">
        <f>VLOOKUP(J1490,Products!$A$2:$C$49,3,FALSE)</f>
        <v/>
      </c>
      <c r="O1490">
        <f>K1490*L1490-M1490</f>
        <v/>
      </c>
      <c r="P1490">
        <f>TEXT(B1490,"yyyy-mm")</f>
        <v/>
      </c>
      <c r="Q1490">
        <f>IF(O1490&gt;=3000,"Large","Small")</f>
        <v/>
      </c>
      <c r="R1490">
        <f>INDEX(Products!$F$2:$F$49,MATCH(J1490,Products!$A$2:$A$49,0))</f>
        <v/>
      </c>
      <c r="S1490">
        <f>WEEKDAY(B1490,2)</f>
        <v/>
      </c>
    </row>
    <row r="1491">
      <c r="A1491" t="n">
        <v>510090</v>
      </c>
      <c r="B1491" s="6" t="n">
        <v>45948</v>
      </c>
      <c r="C1491" t="n">
        <v>14167</v>
      </c>
      <c r="D1491" t="inlineStr">
        <is>
          <t>Delhi</t>
        </is>
      </c>
      <c r="E1491" t="inlineStr">
        <is>
          <t>North</t>
        </is>
      </c>
      <c r="F1491" t="inlineStr">
        <is>
          <t>Referral</t>
        </is>
      </c>
      <c r="G1491" t="inlineStr">
        <is>
          <t>Mobile App</t>
        </is>
      </c>
      <c r="H1491" t="inlineStr">
        <is>
          <t>UPI</t>
        </is>
      </c>
      <c r="I1491" t="inlineStr">
        <is>
          <t>Delivered</t>
        </is>
      </c>
      <c r="J1491" t="n">
        <v>104</v>
      </c>
      <c r="K1491" t="n">
        <v>1</v>
      </c>
      <c r="L1491" t="n">
        <v>5249</v>
      </c>
      <c r="M1491" t="n">
        <v>524.9</v>
      </c>
      <c r="N1491">
        <f>VLOOKUP(J1491,Products!$A$2:$C$49,3,FALSE)</f>
        <v/>
      </c>
      <c r="O1491">
        <f>K1491*L1491-M1491</f>
        <v/>
      </c>
      <c r="P1491">
        <f>TEXT(B1491,"yyyy-mm")</f>
        <v/>
      </c>
      <c r="Q1491">
        <f>IF(O1491&gt;=3000,"Large","Small")</f>
        <v/>
      </c>
      <c r="R1491">
        <f>INDEX(Products!$F$2:$F$49,MATCH(J1491,Products!$A$2:$A$49,0))</f>
        <v/>
      </c>
      <c r="S1491">
        <f>WEEKDAY(B1491,2)</f>
        <v/>
      </c>
    </row>
    <row r="1492">
      <c r="A1492" t="n">
        <v>510090</v>
      </c>
      <c r="B1492" s="6" t="n">
        <v>45948</v>
      </c>
      <c r="C1492" t="n">
        <v>14167</v>
      </c>
      <c r="D1492" t="inlineStr">
        <is>
          <t>Delhi</t>
        </is>
      </c>
      <c r="E1492" t="inlineStr">
        <is>
          <t>North</t>
        </is>
      </c>
      <c r="F1492" t="inlineStr">
        <is>
          <t>Referral</t>
        </is>
      </c>
      <c r="G1492" t="inlineStr">
        <is>
          <t>Mobile App</t>
        </is>
      </c>
      <c r="H1492" t="inlineStr">
        <is>
          <t>UPI</t>
        </is>
      </c>
      <c r="I1492" t="inlineStr">
        <is>
          <t>Delivered</t>
        </is>
      </c>
      <c r="J1492" t="n">
        <v>119</v>
      </c>
      <c r="K1492" t="n">
        <v>1</v>
      </c>
      <c r="L1492" t="n">
        <v>2309</v>
      </c>
      <c r="M1492" t="n">
        <v>230.9</v>
      </c>
      <c r="N1492">
        <f>VLOOKUP(J1492,Products!$A$2:$C$49,3,FALSE)</f>
        <v/>
      </c>
      <c r="O1492">
        <f>K1492*L1492-M1492</f>
        <v/>
      </c>
      <c r="P1492">
        <f>TEXT(B1492,"yyyy-mm")</f>
        <v/>
      </c>
      <c r="Q1492">
        <f>IF(O1492&gt;=3000,"Large","Small")</f>
        <v/>
      </c>
      <c r="R1492">
        <f>INDEX(Products!$F$2:$F$49,MATCH(J1492,Products!$A$2:$A$49,0))</f>
        <v/>
      </c>
      <c r="S1492">
        <f>WEEKDAY(B1492,2)</f>
        <v/>
      </c>
    </row>
    <row r="1493">
      <c r="A1493" t="n">
        <v>510091</v>
      </c>
      <c r="B1493" s="6" t="n">
        <v>45948</v>
      </c>
      <c r="C1493" t="n">
        <v>16201</v>
      </c>
      <c r="D1493" t="inlineStr">
        <is>
          <t>Kolkata</t>
        </is>
      </c>
      <c r="E1493" t="inlineStr">
        <is>
          <t>East</t>
        </is>
      </c>
      <c r="F1493" t="inlineStr">
        <is>
          <t>Paid Search</t>
        </is>
      </c>
      <c r="G1493" t="inlineStr">
        <is>
          <t>Mobile Web</t>
        </is>
      </c>
      <c r="H1493" t="inlineStr">
        <is>
          <t>UPI</t>
        </is>
      </c>
      <c r="I1493" t="inlineStr">
        <is>
          <t>Returned</t>
        </is>
      </c>
      <c r="J1493" t="n">
        <v>112</v>
      </c>
      <c r="K1493" t="n">
        <v>1</v>
      </c>
      <c r="L1493" t="n">
        <v>1574</v>
      </c>
      <c r="M1493" t="n">
        <v>157.4</v>
      </c>
      <c r="N1493">
        <f>VLOOKUP(J1493,Products!$A$2:$C$49,3,FALSE)</f>
        <v/>
      </c>
      <c r="O1493">
        <f>K1493*L1493-M1493</f>
        <v/>
      </c>
      <c r="P1493">
        <f>TEXT(B1493,"yyyy-mm")</f>
        <v/>
      </c>
      <c r="Q1493">
        <f>IF(O1493&gt;=3000,"Large","Small")</f>
        <v/>
      </c>
      <c r="R1493">
        <f>INDEX(Products!$F$2:$F$49,MATCH(J1493,Products!$A$2:$A$49,0))</f>
        <v/>
      </c>
      <c r="S1493">
        <f>WEEKDAY(B1493,2)</f>
        <v/>
      </c>
    </row>
    <row r="1494">
      <c r="A1494" t="n">
        <v>510091</v>
      </c>
      <c r="B1494" s="6" t="n">
        <v>45948</v>
      </c>
      <c r="C1494" t="n">
        <v>16201</v>
      </c>
      <c r="D1494" t="inlineStr">
        <is>
          <t>Kolkata</t>
        </is>
      </c>
      <c r="E1494" t="inlineStr">
        <is>
          <t>East</t>
        </is>
      </c>
      <c r="F1494" t="inlineStr">
        <is>
          <t>Paid Search</t>
        </is>
      </c>
      <c r="G1494" t="inlineStr">
        <is>
          <t>Mobile Web</t>
        </is>
      </c>
      <c r="H1494" t="inlineStr">
        <is>
          <t>UPI</t>
        </is>
      </c>
      <c r="I1494" t="inlineStr">
        <is>
          <t>Returned</t>
        </is>
      </c>
      <c r="J1494" t="n">
        <v>129</v>
      </c>
      <c r="K1494" t="n">
        <v>1</v>
      </c>
      <c r="L1494" t="n">
        <v>576</v>
      </c>
      <c r="M1494" t="n">
        <v>57.6</v>
      </c>
      <c r="N1494">
        <f>VLOOKUP(J1494,Products!$A$2:$C$49,3,FALSE)</f>
        <v/>
      </c>
      <c r="O1494">
        <f>K1494*L1494-M1494</f>
        <v/>
      </c>
      <c r="P1494">
        <f>TEXT(B1494,"yyyy-mm")</f>
        <v/>
      </c>
      <c r="Q1494">
        <f>IF(O1494&gt;=3000,"Large","Small")</f>
        <v/>
      </c>
      <c r="R1494">
        <f>INDEX(Products!$F$2:$F$49,MATCH(J1494,Products!$A$2:$A$49,0))</f>
        <v/>
      </c>
      <c r="S1494">
        <f>WEEKDAY(B1494,2)</f>
        <v/>
      </c>
    </row>
    <row r="1495">
      <c r="A1495" t="n">
        <v>510092</v>
      </c>
      <c r="B1495" s="6" t="n">
        <v>45948</v>
      </c>
      <c r="C1495" t="n">
        <v>12341</v>
      </c>
      <c r="D1495" t="inlineStr">
        <is>
          <t>Delhi</t>
        </is>
      </c>
      <c r="E1495" t="inlineStr">
        <is>
          <t>North</t>
        </is>
      </c>
      <c r="F1495" t="inlineStr">
        <is>
          <t>Paid Search</t>
        </is>
      </c>
      <c r="G1495" t="inlineStr">
        <is>
          <t>Mobile App</t>
        </is>
      </c>
      <c r="H1495" t="inlineStr">
        <is>
          <t>Debit Card</t>
        </is>
      </c>
      <c r="I1495" t="inlineStr">
        <is>
          <t>Cancelled</t>
        </is>
      </c>
      <c r="J1495" t="n">
        <v>103</v>
      </c>
      <c r="K1495" t="n">
        <v>2</v>
      </c>
      <c r="L1495" t="n">
        <v>2624</v>
      </c>
      <c r="M1495" t="n">
        <v>524.8</v>
      </c>
      <c r="N1495">
        <f>VLOOKUP(J1495,Products!$A$2:$C$49,3,FALSE)</f>
        <v/>
      </c>
      <c r="O1495">
        <f>K1495*L1495-M1495</f>
        <v/>
      </c>
      <c r="P1495">
        <f>TEXT(B1495,"yyyy-mm")</f>
        <v/>
      </c>
      <c r="Q1495">
        <f>IF(O1495&gt;=3000,"Large","Small")</f>
        <v/>
      </c>
      <c r="R1495">
        <f>INDEX(Products!$F$2:$F$49,MATCH(J1495,Products!$A$2:$A$49,0))</f>
        <v/>
      </c>
      <c r="S1495">
        <f>WEEKDAY(B1495,2)</f>
        <v/>
      </c>
    </row>
    <row r="1496">
      <c r="A1496" t="n">
        <v>510093</v>
      </c>
      <c r="B1496" s="6" t="n">
        <v>45948</v>
      </c>
      <c r="C1496" t="n">
        <v>15561</v>
      </c>
      <c r="D1496" t="inlineStr">
        <is>
          <t>Bengaluru</t>
        </is>
      </c>
      <c r="E1496" t="inlineStr">
        <is>
          <t>South</t>
        </is>
      </c>
      <c r="F1496" t="inlineStr">
        <is>
          <t>Paid Social</t>
        </is>
      </c>
      <c r="G1496" t="inlineStr">
        <is>
          <t>Mobile App</t>
        </is>
      </c>
      <c r="H1496" t="inlineStr">
        <is>
          <t>Cash on Delivery</t>
        </is>
      </c>
      <c r="I1496" t="inlineStr">
        <is>
          <t>Delivered</t>
        </is>
      </c>
      <c r="J1496" t="n">
        <v>142</v>
      </c>
      <c r="K1496" t="n">
        <v>1</v>
      </c>
      <c r="L1496" t="n">
        <v>839</v>
      </c>
      <c r="M1496" t="n">
        <v>83.90000000000001</v>
      </c>
      <c r="N1496">
        <f>VLOOKUP(J1496,Products!$A$2:$C$49,3,FALSE)</f>
        <v/>
      </c>
      <c r="O1496">
        <f>K1496*L1496-M1496</f>
        <v/>
      </c>
      <c r="P1496">
        <f>TEXT(B1496,"yyyy-mm")</f>
        <v/>
      </c>
      <c r="Q1496">
        <f>IF(O1496&gt;=3000,"Large","Small")</f>
        <v/>
      </c>
      <c r="R1496">
        <f>INDEX(Products!$F$2:$F$49,MATCH(J1496,Products!$A$2:$A$49,0))</f>
        <v/>
      </c>
      <c r="S1496">
        <f>WEEKDAY(B1496,2)</f>
        <v/>
      </c>
    </row>
    <row r="1497">
      <c r="A1497" t="n">
        <v>510094</v>
      </c>
      <c r="B1497" s="6" t="n">
        <v>45949</v>
      </c>
      <c r="C1497" t="n">
        <v>16432</v>
      </c>
      <c r="D1497" t="inlineStr">
        <is>
          <t>Jaipur</t>
        </is>
      </c>
      <c r="E1497" t="inlineStr">
        <is>
          <t>North</t>
        </is>
      </c>
      <c r="F1497" t="inlineStr">
        <is>
          <t>Organic Search</t>
        </is>
      </c>
      <c r="G1497" t="inlineStr">
        <is>
          <t>Mobile Web</t>
        </is>
      </c>
      <c r="H1497" t="inlineStr">
        <is>
          <t>Credit Card</t>
        </is>
      </c>
      <c r="I1497" t="inlineStr">
        <is>
          <t>Delivered</t>
        </is>
      </c>
      <c r="J1497" t="n">
        <v>117</v>
      </c>
      <c r="K1497" t="n">
        <v>1</v>
      </c>
      <c r="L1497" t="n">
        <v>3149</v>
      </c>
      <c r="M1497" t="n">
        <v>0</v>
      </c>
      <c r="N1497">
        <f>VLOOKUP(J1497,Products!$A$2:$C$49,3,FALSE)</f>
        <v/>
      </c>
      <c r="O1497">
        <f>K1497*L1497-M1497</f>
        <v/>
      </c>
      <c r="P1497">
        <f>TEXT(B1497,"yyyy-mm")</f>
        <v/>
      </c>
      <c r="Q1497">
        <f>IF(O1497&gt;=3000,"Large","Small")</f>
        <v/>
      </c>
      <c r="R1497">
        <f>INDEX(Products!$F$2:$F$49,MATCH(J1497,Products!$A$2:$A$49,0))</f>
        <v/>
      </c>
      <c r="S1497">
        <f>WEEKDAY(B1497,2)</f>
        <v/>
      </c>
    </row>
    <row r="1498">
      <c r="A1498" t="n">
        <v>510095</v>
      </c>
      <c r="B1498" s="6" t="n">
        <v>45949</v>
      </c>
      <c r="C1498" t="n">
        <v>11719</v>
      </c>
      <c r="D1498" t="inlineStr">
        <is>
          <t>Mumbai</t>
        </is>
      </c>
      <c r="E1498" t="inlineStr">
        <is>
          <t>West</t>
        </is>
      </c>
      <c r="F1498" t="inlineStr">
        <is>
          <t>Paid Search</t>
        </is>
      </c>
      <c r="G1498" t="inlineStr">
        <is>
          <t>Mobile App</t>
        </is>
      </c>
      <c r="H1498" t="inlineStr">
        <is>
          <t>Credit Card</t>
        </is>
      </c>
      <c r="I1498" t="inlineStr">
        <is>
          <t>Delivered</t>
        </is>
      </c>
      <c r="J1498" t="n">
        <v>118</v>
      </c>
      <c r="K1498" t="n">
        <v>2</v>
      </c>
      <c r="L1498" t="n">
        <v>944</v>
      </c>
      <c r="M1498" t="n">
        <v>0</v>
      </c>
      <c r="N1498">
        <f>VLOOKUP(J1498,Products!$A$2:$C$49,3,FALSE)</f>
        <v/>
      </c>
      <c r="O1498">
        <f>K1498*L1498-M1498</f>
        <v/>
      </c>
      <c r="P1498">
        <f>TEXT(B1498,"yyyy-mm")</f>
        <v/>
      </c>
      <c r="Q1498">
        <f>IF(O1498&gt;=3000,"Large","Small")</f>
        <v/>
      </c>
      <c r="R1498">
        <f>INDEX(Products!$F$2:$F$49,MATCH(J1498,Products!$A$2:$A$49,0))</f>
        <v/>
      </c>
      <c r="S1498">
        <f>WEEKDAY(B1498,2)</f>
        <v/>
      </c>
    </row>
    <row r="1499">
      <c r="A1499" t="n">
        <v>510095</v>
      </c>
      <c r="B1499" s="6" t="n">
        <v>45949</v>
      </c>
      <c r="C1499" t="n">
        <v>11719</v>
      </c>
      <c r="D1499" t="inlineStr">
        <is>
          <t>Mumbai</t>
        </is>
      </c>
      <c r="E1499" t="inlineStr">
        <is>
          <t>West</t>
        </is>
      </c>
      <c r="F1499" t="inlineStr">
        <is>
          <t>Paid Search</t>
        </is>
      </c>
      <c r="G1499" t="inlineStr">
        <is>
          <t>Mobile App</t>
        </is>
      </c>
      <c r="H1499" t="inlineStr">
        <is>
          <t>Credit Card</t>
        </is>
      </c>
      <c r="I1499" t="inlineStr">
        <is>
          <t>Delivered</t>
        </is>
      </c>
      <c r="J1499" t="n">
        <v>126</v>
      </c>
      <c r="K1499" t="n">
        <v>2</v>
      </c>
      <c r="L1499" t="n">
        <v>471</v>
      </c>
      <c r="M1499" t="n">
        <v>0</v>
      </c>
      <c r="N1499">
        <f>VLOOKUP(J1499,Products!$A$2:$C$49,3,FALSE)</f>
        <v/>
      </c>
      <c r="O1499">
        <f>K1499*L1499-M1499</f>
        <v/>
      </c>
      <c r="P1499">
        <f>TEXT(B1499,"yyyy-mm")</f>
        <v/>
      </c>
      <c r="Q1499">
        <f>IF(O1499&gt;=3000,"Large","Small")</f>
        <v/>
      </c>
      <c r="R1499">
        <f>INDEX(Products!$F$2:$F$49,MATCH(J1499,Products!$A$2:$A$49,0))</f>
        <v/>
      </c>
      <c r="S1499">
        <f>WEEKDAY(B1499,2)</f>
        <v/>
      </c>
    </row>
    <row r="1500">
      <c r="A1500" t="n">
        <v>510096</v>
      </c>
      <c r="B1500" s="6" t="n">
        <v>45949</v>
      </c>
      <c r="C1500" t="n">
        <v>15950</v>
      </c>
      <c r="D1500" t="inlineStr">
        <is>
          <t>Chennai</t>
        </is>
      </c>
      <c r="E1500" t="inlineStr">
        <is>
          <t>South</t>
        </is>
      </c>
      <c r="F1500" t="inlineStr">
        <is>
          <t>Organic Search</t>
        </is>
      </c>
      <c r="G1500" t="inlineStr">
        <is>
          <t>Mobile App</t>
        </is>
      </c>
      <c r="H1500" t="inlineStr">
        <is>
          <t>UPI</t>
        </is>
      </c>
      <c r="I1500" t="inlineStr">
        <is>
          <t>Delivered</t>
        </is>
      </c>
      <c r="J1500" t="n">
        <v>108</v>
      </c>
      <c r="K1500" t="n">
        <v>1</v>
      </c>
      <c r="L1500" t="n">
        <v>419</v>
      </c>
      <c r="M1500" t="n">
        <v>0</v>
      </c>
      <c r="N1500">
        <f>VLOOKUP(J1500,Products!$A$2:$C$49,3,FALSE)</f>
        <v/>
      </c>
      <c r="O1500">
        <f>K1500*L1500-M1500</f>
        <v/>
      </c>
      <c r="P1500">
        <f>TEXT(B1500,"yyyy-mm")</f>
        <v/>
      </c>
      <c r="Q1500">
        <f>IF(O1500&gt;=3000,"Large","Small")</f>
        <v/>
      </c>
      <c r="R1500">
        <f>INDEX(Products!$F$2:$F$49,MATCH(J1500,Products!$A$2:$A$49,0))</f>
        <v/>
      </c>
      <c r="S1500">
        <f>WEEKDAY(B1500,2)</f>
        <v/>
      </c>
    </row>
    <row r="1501">
      <c r="A1501" t="n">
        <v>510096</v>
      </c>
      <c r="B1501" s="6" t="n">
        <v>45949</v>
      </c>
      <c r="C1501" t="n">
        <v>15950</v>
      </c>
      <c r="D1501" t="inlineStr">
        <is>
          <t>Chennai</t>
        </is>
      </c>
      <c r="E1501" t="inlineStr">
        <is>
          <t>South</t>
        </is>
      </c>
      <c r="F1501" t="inlineStr">
        <is>
          <t>Organic Search</t>
        </is>
      </c>
      <c r="G1501" t="inlineStr">
        <is>
          <t>Mobile App</t>
        </is>
      </c>
      <c r="H1501" t="inlineStr">
        <is>
          <t>UPI</t>
        </is>
      </c>
      <c r="I1501" t="inlineStr">
        <is>
          <t>Delivered</t>
        </is>
      </c>
      <c r="J1501" t="n">
        <v>129</v>
      </c>
      <c r="K1501" t="n">
        <v>1</v>
      </c>
      <c r="L1501" t="n">
        <v>576</v>
      </c>
      <c r="M1501" t="n">
        <v>0</v>
      </c>
      <c r="N1501">
        <f>VLOOKUP(J1501,Products!$A$2:$C$49,3,FALSE)</f>
        <v/>
      </c>
      <c r="O1501">
        <f>K1501*L1501-M1501</f>
        <v/>
      </c>
      <c r="P1501">
        <f>TEXT(B1501,"yyyy-mm")</f>
        <v/>
      </c>
      <c r="Q1501">
        <f>IF(O1501&gt;=3000,"Large","Small")</f>
        <v/>
      </c>
      <c r="R1501">
        <f>INDEX(Products!$F$2:$F$49,MATCH(J1501,Products!$A$2:$A$49,0))</f>
        <v/>
      </c>
      <c r="S1501">
        <f>WEEKDAY(B1501,2)</f>
        <v/>
      </c>
    </row>
    <row r="1502">
      <c r="A1502" t="n">
        <v>510097</v>
      </c>
      <c r="B1502" s="6" t="n">
        <v>45949</v>
      </c>
      <c r="C1502" t="n">
        <v>11683</v>
      </c>
      <c r="D1502" t="inlineStr">
        <is>
          <t>Chandigarh</t>
        </is>
      </c>
      <c r="E1502" t="inlineStr">
        <is>
          <t>North</t>
        </is>
      </c>
      <c r="F1502" t="inlineStr">
        <is>
          <t>Organic Search</t>
        </is>
      </c>
      <c r="G1502" t="inlineStr">
        <is>
          <t>Mobile Web</t>
        </is>
      </c>
      <c r="H1502" t="inlineStr">
        <is>
          <t>UPI</t>
        </is>
      </c>
      <c r="I1502" t="inlineStr">
        <is>
          <t>Cancelled</t>
        </is>
      </c>
      <c r="J1502" t="n">
        <v>109</v>
      </c>
      <c r="K1502" t="n">
        <v>1</v>
      </c>
      <c r="L1502" t="n">
        <v>4199</v>
      </c>
      <c r="M1502" t="n">
        <v>419.9</v>
      </c>
      <c r="N1502">
        <f>VLOOKUP(J1502,Products!$A$2:$C$49,3,FALSE)</f>
        <v/>
      </c>
      <c r="O1502">
        <f>K1502*L1502-M1502</f>
        <v/>
      </c>
      <c r="P1502">
        <f>TEXT(B1502,"yyyy-mm")</f>
        <v/>
      </c>
      <c r="Q1502">
        <f>IF(O1502&gt;=3000,"Large","Small")</f>
        <v/>
      </c>
      <c r="R1502">
        <f>INDEX(Products!$F$2:$F$49,MATCH(J1502,Products!$A$2:$A$49,0))</f>
        <v/>
      </c>
      <c r="S1502">
        <f>WEEKDAY(B1502,2)</f>
        <v/>
      </c>
    </row>
    <row r="1503">
      <c r="A1503" t="n">
        <v>510097</v>
      </c>
      <c r="B1503" s="6" t="n">
        <v>45949</v>
      </c>
      <c r="C1503" t="n">
        <v>11683</v>
      </c>
      <c r="D1503" t="inlineStr">
        <is>
          <t>Chandigarh</t>
        </is>
      </c>
      <c r="E1503" t="inlineStr">
        <is>
          <t>North</t>
        </is>
      </c>
      <c r="F1503" t="inlineStr">
        <is>
          <t>Organic Search</t>
        </is>
      </c>
      <c r="G1503" t="inlineStr">
        <is>
          <t>Mobile Web</t>
        </is>
      </c>
      <c r="H1503" t="inlineStr">
        <is>
          <t>UPI</t>
        </is>
      </c>
      <c r="I1503" t="inlineStr">
        <is>
          <t>Cancelled</t>
        </is>
      </c>
      <c r="J1503" t="n">
        <v>116</v>
      </c>
      <c r="K1503" t="n">
        <v>1</v>
      </c>
      <c r="L1503" t="n">
        <v>2624</v>
      </c>
      <c r="M1503" t="n">
        <v>262.4</v>
      </c>
      <c r="N1503">
        <f>VLOOKUP(J1503,Products!$A$2:$C$49,3,FALSE)</f>
        <v/>
      </c>
      <c r="O1503">
        <f>K1503*L1503-M1503</f>
        <v/>
      </c>
      <c r="P1503">
        <f>TEXT(B1503,"yyyy-mm")</f>
        <v/>
      </c>
      <c r="Q1503">
        <f>IF(O1503&gt;=3000,"Large","Small")</f>
        <v/>
      </c>
      <c r="R1503">
        <f>INDEX(Products!$F$2:$F$49,MATCH(J1503,Products!$A$2:$A$49,0))</f>
        <v/>
      </c>
      <c r="S1503">
        <f>WEEKDAY(B1503,2)</f>
        <v/>
      </c>
    </row>
    <row r="1504">
      <c r="A1504" t="n">
        <v>510097</v>
      </c>
      <c r="B1504" s="6" t="n">
        <v>45949</v>
      </c>
      <c r="C1504" t="n">
        <v>11683</v>
      </c>
      <c r="D1504" t="inlineStr">
        <is>
          <t>Chandigarh</t>
        </is>
      </c>
      <c r="E1504" t="inlineStr">
        <is>
          <t>North</t>
        </is>
      </c>
      <c r="F1504" t="inlineStr">
        <is>
          <t>Organic Search</t>
        </is>
      </c>
      <c r="G1504" t="inlineStr">
        <is>
          <t>Mobile Web</t>
        </is>
      </c>
      <c r="H1504" t="inlineStr">
        <is>
          <t>UPI</t>
        </is>
      </c>
      <c r="I1504" t="inlineStr">
        <is>
          <t>Cancelled</t>
        </is>
      </c>
      <c r="J1504" t="n">
        <v>129</v>
      </c>
      <c r="K1504" t="n">
        <v>2</v>
      </c>
      <c r="L1504" t="n">
        <v>576</v>
      </c>
      <c r="M1504" t="n">
        <v>115.2</v>
      </c>
      <c r="N1504">
        <f>VLOOKUP(J1504,Products!$A$2:$C$49,3,FALSE)</f>
        <v/>
      </c>
      <c r="O1504">
        <f>K1504*L1504-M1504</f>
        <v/>
      </c>
      <c r="P1504">
        <f>TEXT(B1504,"yyyy-mm")</f>
        <v/>
      </c>
      <c r="Q1504">
        <f>IF(O1504&gt;=3000,"Large","Small")</f>
        <v/>
      </c>
      <c r="R1504">
        <f>INDEX(Products!$F$2:$F$49,MATCH(J1504,Products!$A$2:$A$49,0))</f>
        <v/>
      </c>
      <c r="S1504">
        <f>WEEKDAY(B1504,2)</f>
        <v/>
      </c>
    </row>
    <row r="1505">
      <c r="A1505" t="n">
        <v>510098</v>
      </c>
      <c r="B1505" s="6" t="n">
        <v>45949</v>
      </c>
      <c r="C1505" t="n">
        <v>16919</v>
      </c>
      <c r="D1505" t="inlineStr">
        <is>
          <t>Bengaluru</t>
        </is>
      </c>
      <c r="E1505" t="inlineStr">
        <is>
          <t>South</t>
        </is>
      </c>
      <c r="F1505" t="inlineStr">
        <is>
          <t>Organic Search</t>
        </is>
      </c>
      <c r="G1505" t="inlineStr">
        <is>
          <t>Desktop</t>
        </is>
      </c>
      <c r="H1505" t="inlineStr">
        <is>
          <t>Cash on Delivery</t>
        </is>
      </c>
      <c r="I1505" t="inlineStr">
        <is>
          <t>Delivered</t>
        </is>
      </c>
      <c r="J1505" t="n">
        <v>113</v>
      </c>
      <c r="K1505" t="n">
        <v>3</v>
      </c>
      <c r="L1505" t="n">
        <v>1364</v>
      </c>
      <c r="M1505" t="n">
        <v>613.8</v>
      </c>
      <c r="N1505">
        <f>VLOOKUP(J1505,Products!$A$2:$C$49,3,FALSE)</f>
        <v/>
      </c>
      <c r="O1505">
        <f>K1505*L1505-M1505</f>
        <v/>
      </c>
      <c r="P1505">
        <f>TEXT(B1505,"yyyy-mm")</f>
        <v/>
      </c>
      <c r="Q1505">
        <f>IF(O1505&gt;=3000,"Large","Small")</f>
        <v/>
      </c>
      <c r="R1505">
        <f>INDEX(Products!$F$2:$F$49,MATCH(J1505,Products!$A$2:$A$49,0))</f>
        <v/>
      </c>
      <c r="S1505">
        <f>WEEKDAY(B1505,2)</f>
        <v/>
      </c>
    </row>
    <row r="1506">
      <c r="A1506" t="n">
        <v>510098</v>
      </c>
      <c r="B1506" s="6" t="n">
        <v>45949</v>
      </c>
      <c r="C1506" t="n">
        <v>16919</v>
      </c>
      <c r="D1506" t="inlineStr">
        <is>
          <t>Bengaluru</t>
        </is>
      </c>
      <c r="E1506" t="inlineStr">
        <is>
          <t>South</t>
        </is>
      </c>
      <c r="F1506" t="inlineStr">
        <is>
          <t>Organic Search</t>
        </is>
      </c>
      <c r="G1506" t="inlineStr">
        <is>
          <t>Desktop</t>
        </is>
      </c>
      <c r="H1506" t="inlineStr">
        <is>
          <t>Cash on Delivery</t>
        </is>
      </c>
      <c r="I1506" t="inlineStr">
        <is>
          <t>Delivered</t>
        </is>
      </c>
      <c r="J1506" t="n">
        <v>129</v>
      </c>
      <c r="K1506" t="n">
        <v>1</v>
      </c>
      <c r="L1506" t="n">
        <v>576</v>
      </c>
      <c r="M1506" t="n">
        <v>86.40000000000001</v>
      </c>
      <c r="N1506">
        <f>VLOOKUP(J1506,Products!$A$2:$C$49,3,FALSE)</f>
        <v/>
      </c>
      <c r="O1506">
        <f>K1506*L1506-M1506</f>
        <v/>
      </c>
      <c r="P1506">
        <f>TEXT(B1506,"yyyy-mm")</f>
        <v/>
      </c>
      <c r="Q1506">
        <f>IF(O1506&gt;=3000,"Large","Small")</f>
        <v/>
      </c>
      <c r="R1506">
        <f>INDEX(Products!$F$2:$F$49,MATCH(J1506,Products!$A$2:$A$49,0))</f>
        <v/>
      </c>
      <c r="S1506">
        <f>WEEKDAY(B1506,2)</f>
        <v/>
      </c>
    </row>
    <row r="1507">
      <c r="A1507" t="n">
        <v>510099</v>
      </c>
      <c r="B1507" s="6" t="n">
        <v>45949</v>
      </c>
      <c r="C1507" t="n">
        <v>16911</v>
      </c>
      <c r="D1507" t="inlineStr">
        <is>
          <t>Kolkata</t>
        </is>
      </c>
      <c r="E1507" t="inlineStr">
        <is>
          <t>East</t>
        </is>
      </c>
      <c r="F1507" t="inlineStr">
        <is>
          <t>Paid Social</t>
        </is>
      </c>
      <c r="G1507" t="inlineStr">
        <is>
          <t>Mobile App</t>
        </is>
      </c>
      <c r="H1507" t="inlineStr">
        <is>
          <t>Debit Card</t>
        </is>
      </c>
      <c r="I1507" t="inlineStr">
        <is>
          <t>Delivered</t>
        </is>
      </c>
      <c r="J1507" t="n">
        <v>117</v>
      </c>
      <c r="K1507" t="n">
        <v>1</v>
      </c>
      <c r="L1507" t="n">
        <v>3149</v>
      </c>
      <c r="M1507" t="n">
        <v>314.9</v>
      </c>
      <c r="N1507">
        <f>VLOOKUP(J1507,Products!$A$2:$C$49,3,FALSE)</f>
        <v/>
      </c>
      <c r="O1507">
        <f>K1507*L1507-M1507</f>
        <v/>
      </c>
      <c r="P1507">
        <f>TEXT(B1507,"yyyy-mm")</f>
        <v/>
      </c>
      <c r="Q1507">
        <f>IF(O1507&gt;=3000,"Large","Small")</f>
        <v/>
      </c>
      <c r="R1507">
        <f>INDEX(Products!$F$2:$F$49,MATCH(J1507,Products!$A$2:$A$49,0))</f>
        <v/>
      </c>
      <c r="S1507">
        <f>WEEKDAY(B1507,2)</f>
        <v/>
      </c>
    </row>
    <row r="1508">
      <c r="A1508" t="n">
        <v>510100</v>
      </c>
      <c r="B1508" s="6" t="n">
        <v>45949</v>
      </c>
      <c r="C1508" t="n">
        <v>13366</v>
      </c>
      <c r="D1508" t="inlineStr">
        <is>
          <t>Chandigarh</t>
        </is>
      </c>
      <c r="E1508" t="inlineStr">
        <is>
          <t>North</t>
        </is>
      </c>
      <c r="F1508" t="inlineStr">
        <is>
          <t>Paid Social</t>
        </is>
      </c>
      <c r="G1508" t="inlineStr">
        <is>
          <t>Mobile App</t>
        </is>
      </c>
      <c r="H1508" t="inlineStr">
        <is>
          <t>UPI</t>
        </is>
      </c>
      <c r="I1508" t="inlineStr">
        <is>
          <t>Delivered</t>
        </is>
      </c>
      <c r="J1508" t="n">
        <v>123</v>
      </c>
      <c r="K1508" t="n">
        <v>1</v>
      </c>
      <c r="L1508" t="n">
        <v>3464</v>
      </c>
      <c r="M1508" t="n">
        <v>346.4</v>
      </c>
      <c r="N1508">
        <f>VLOOKUP(J1508,Products!$A$2:$C$49,3,FALSE)</f>
        <v/>
      </c>
      <c r="O1508">
        <f>K1508*L1508-M1508</f>
        <v/>
      </c>
      <c r="P1508">
        <f>TEXT(B1508,"yyyy-mm")</f>
        <v/>
      </c>
      <c r="Q1508">
        <f>IF(O1508&gt;=3000,"Large","Small")</f>
        <v/>
      </c>
      <c r="R1508">
        <f>INDEX(Products!$F$2:$F$49,MATCH(J1508,Products!$A$2:$A$49,0))</f>
        <v/>
      </c>
      <c r="S1508">
        <f>WEEKDAY(B1508,2)</f>
        <v/>
      </c>
    </row>
    <row r="1509">
      <c r="A1509" t="n">
        <v>510101</v>
      </c>
      <c r="B1509" s="6" t="n">
        <v>45949</v>
      </c>
      <c r="C1509" t="n">
        <v>14418</v>
      </c>
      <c r="D1509" t="inlineStr">
        <is>
          <t>Lucknow</t>
        </is>
      </c>
      <c r="E1509" t="inlineStr">
        <is>
          <t>North</t>
        </is>
      </c>
      <c r="F1509" t="inlineStr">
        <is>
          <t>Organic Search</t>
        </is>
      </c>
      <c r="G1509" t="inlineStr">
        <is>
          <t>Desktop</t>
        </is>
      </c>
      <c r="H1509" t="inlineStr">
        <is>
          <t>UPI</t>
        </is>
      </c>
      <c r="I1509" t="inlineStr">
        <is>
          <t>Delivered</t>
        </is>
      </c>
      <c r="J1509" t="n">
        <v>120</v>
      </c>
      <c r="K1509" t="n">
        <v>1</v>
      </c>
      <c r="L1509" t="n">
        <v>734</v>
      </c>
      <c r="M1509" t="n">
        <v>73.40000000000001</v>
      </c>
      <c r="N1509">
        <f>VLOOKUP(J1509,Products!$A$2:$C$49,3,FALSE)</f>
        <v/>
      </c>
      <c r="O1509">
        <f>K1509*L1509-M1509</f>
        <v/>
      </c>
      <c r="P1509">
        <f>TEXT(B1509,"yyyy-mm")</f>
        <v/>
      </c>
      <c r="Q1509">
        <f>IF(O1509&gt;=3000,"Large","Small")</f>
        <v/>
      </c>
      <c r="R1509">
        <f>INDEX(Products!$F$2:$F$49,MATCH(J1509,Products!$A$2:$A$49,0))</f>
        <v/>
      </c>
      <c r="S1509">
        <f>WEEKDAY(B1509,2)</f>
        <v/>
      </c>
    </row>
    <row r="1510">
      <c r="A1510" t="n">
        <v>510101</v>
      </c>
      <c r="B1510" s="6" t="n">
        <v>45949</v>
      </c>
      <c r="C1510" t="n">
        <v>14418</v>
      </c>
      <c r="D1510" t="inlineStr">
        <is>
          <t>Lucknow</t>
        </is>
      </c>
      <c r="E1510" t="inlineStr">
        <is>
          <t>North</t>
        </is>
      </c>
      <c r="F1510" t="inlineStr">
        <is>
          <t>Organic Search</t>
        </is>
      </c>
      <c r="G1510" t="inlineStr">
        <is>
          <t>Desktop</t>
        </is>
      </c>
      <c r="H1510" t="inlineStr">
        <is>
          <t>UPI</t>
        </is>
      </c>
      <c r="I1510" t="inlineStr">
        <is>
          <t>Delivered</t>
        </is>
      </c>
      <c r="J1510" t="n">
        <v>118</v>
      </c>
      <c r="K1510" t="n">
        <v>1</v>
      </c>
      <c r="L1510" t="n">
        <v>944</v>
      </c>
      <c r="M1510" t="n">
        <v>94.40000000000001</v>
      </c>
      <c r="N1510">
        <f>VLOOKUP(J1510,Products!$A$2:$C$49,3,FALSE)</f>
        <v/>
      </c>
      <c r="O1510">
        <f>K1510*L1510-M1510</f>
        <v/>
      </c>
      <c r="P1510">
        <f>TEXT(B1510,"yyyy-mm")</f>
        <v/>
      </c>
      <c r="Q1510">
        <f>IF(O1510&gt;=3000,"Large","Small")</f>
        <v/>
      </c>
      <c r="R1510">
        <f>INDEX(Products!$F$2:$F$49,MATCH(J1510,Products!$A$2:$A$49,0))</f>
        <v/>
      </c>
      <c r="S1510">
        <f>WEEKDAY(B1510,2)</f>
        <v/>
      </c>
    </row>
    <row r="1511">
      <c r="A1511" t="n">
        <v>510101</v>
      </c>
      <c r="B1511" s="6" t="n">
        <v>45949</v>
      </c>
      <c r="C1511" t="n">
        <v>14418</v>
      </c>
      <c r="D1511" t="inlineStr">
        <is>
          <t>Lucknow</t>
        </is>
      </c>
      <c r="E1511" t="inlineStr">
        <is>
          <t>North</t>
        </is>
      </c>
      <c r="F1511" t="inlineStr">
        <is>
          <t>Organic Search</t>
        </is>
      </c>
      <c r="G1511" t="inlineStr">
        <is>
          <t>Desktop</t>
        </is>
      </c>
      <c r="H1511" t="inlineStr">
        <is>
          <t>UPI</t>
        </is>
      </c>
      <c r="I1511" t="inlineStr">
        <is>
          <t>Delivered</t>
        </is>
      </c>
      <c r="J1511" t="n">
        <v>121</v>
      </c>
      <c r="K1511" t="n">
        <v>1</v>
      </c>
      <c r="L1511" t="n">
        <v>2939</v>
      </c>
      <c r="M1511" t="n">
        <v>293.9</v>
      </c>
      <c r="N1511">
        <f>VLOOKUP(J1511,Products!$A$2:$C$49,3,FALSE)</f>
        <v/>
      </c>
      <c r="O1511">
        <f>K1511*L1511-M1511</f>
        <v/>
      </c>
      <c r="P1511">
        <f>TEXT(B1511,"yyyy-mm")</f>
        <v/>
      </c>
      <c r="Q1511">
        <f>IF(O1511&gt;=3000,"Large","Small")</f>
        <v/>
      </c>
      <c r="R1511">
        <f>INDEX(Products!$F$2:$F$49,MATCH(J1511,Products!$A$2:$A$49,0))</f>
        <v/>
      </c>
      <c r="S1511">
        <f>WEEKDAY(B1511,2)</f>
        <v/>
      </c>
    </row>
    <row r="1512">
      <c r="A1512" t="n">
        <v>510101</v>
      </c>
      <c r="B1512" s="6" t="n">
        <v>45949</v>
      </c>
      <c r="C1512" t="n">
        <v>14418</v>
      </c>
      <c r="D1512" t="inlineStr">
        <is>
          <t>Lucknow</t>
        </is>
      </c>
      <c r="E1512" t="inlineStr">
        <is>
          <t>North</t>
        </is>
      </c>
      <c r="F1512" t="inlineStr">
        <is>
          <t>Organic Search</t>
        </is>
      </c>
      <c r="G1512" t="inlineStr">
        <is>
          <t>Desktop</t>
        </is>
      </c>
      <c r="H1512" t="inlineStr">
        <is>
          <t>UPI</t>
        </is>
      </c>
      <c r="I1512" t="inlineStr">
        <is>
          <t>Delivered</t>
        </is>
      </c>
      <c r="J1512" t="n">
        <v>136</v>
      </c>
      <c r="K1512" t="n">
        <v>1</v>
      </c>
      <c r="L1512" t="n">
        <v>944</v>
      </c>
      <c r="M1512" t="n">
        <v>94.40000000000001</v>
      </c>
      <c r="N1512">
        <f>VLOOKUP(J1512,Products!$A$2:$C$49,3,FALSE)</f>
        <v/>
      </c>
      <c r="O1512">
        <f>K1512*L1512-M1512</f>
        <v/>
      </c>
      <c r="P1512">
        <f>TEXT(B1512,"yyyy-mm")</f>
        <v/>
      </c>
      <c r="Q1512">
        <f>IF(O1512&gt;=3000,"Large","Small")</f>
        <v/>
      </c>
      <c r="R1512">
        <f>INDEX(Products!$F$2:$F$49,MATCH(J1512,Products!$A$2:$A$49,0))</f>
        <v/>
      </c>
      <c r="S1512">
        <f>WEEKDAY(B1512,2)</f>
        <v/>
      </c>
    </row>
    <row r="1513">
      <c r="A1513" t="n">
        <v>510101</v>
      </c>
      <c r="B1513" s="6" t="n">
        <v>45949</v>
      </c>
      <c r="C1513" t="n">
        <v>14418</v>
      </c>
      <c r="D1513" t="inlineStr">
        <is>
          <t>Lucknow</t>
        </is>
      </c>
      <c r="E1513" t="inlineStr">
        <is>
          <t>North</t>
        </is>
      </c>
      <c r="F1513" t="inlineStr">
        <is>
          <t>Organic Search</t>
        </is>
      </c>
      <c r="G1513" t="inlineStr">
        <is>
          <t>Desktop</t>
        </is>
      </c>
      <c r="H1513" t="inlineStr">
        <is>
          <t>UPI</t>
        </is>
      </c>
      <c r="I1513" t="inlineStr">
        <is>
          <t>Delivered</t>
        </is>
      </c>
      <c r="J1513" t="n">
        <v>129</v>
      </c>
      <c r="K1513" t="n">
        <v>1</v>
      </c>
      <c r="L1513" t="n">
        <v>576</v>
      </c>
      <c r="M1513" t="n">
        <v>57.6</v>
      </c>
      <c r="N1513">
        <f>VLOOKUP(J1513,Products!$A$2:$C$49,3,FALSE)</f>
        <v/>
      </c>
      <c r="O1513">
        <f>K1513*L1513-M1513</f>
        <v/>
      </c>
      <c r="P1513">
        <f>TEXT(B1513,"yyyy-mm")</f>
        <v/>
      </c>
      <c r="Q1513">
        <f>IF(O1513&gt;=3000,"Large","Small")</f>
        <v/>
      </c>
      <c r="R1513">
        <f>INDEX(Products!$F$2:$F$49,MATCH(J1513,Products!$A$2:$A$49,0))</f>
        <v/>
      </c>
      <c r="S1513">
        <f>WEEKDAY(B1513,2)</f>
        <v/>
      </c>
    </row>
    <row r="1514">
      <c r="A1514" t="n">
        <v>510102</v>
      </c>
      <c r="B1514" s="6" t="n">
        <v>45949</v>
      </c>
      <c r="C1514" t="n">
        <v>16660</v>
      </c>
      <c r="D1514" t="inlineStr">
        <is>
          <t>Pune</t>
        </is>
      </c>
      <c r="E1514" t="inlineStr">
        <is>
          <t>West</t>
        </is>
      </c>
      <c r="F1514" t="inlineStr">
        <is>
          <t>Paid Search</t>
        </is>
      </c>
      <c r="G1514" t="inlineStr">
        <is>
          <t>Mobile App</t>
        </is>
      </c>
      <c r="H1514" t="inlineStr">
        <is>
          <t>Net Banking</t>
        </is>
      </c>
      <c r="I1514" t="inlineStr">
        <is>
          <t>Delivered</t>
        </is>
      </c>
      <c r="J1514" t="n">
        <v>141</v>
      </c>
      <c r="K1514" t="n">
        <v>1</v>
      </c>
      <c r="L1514" t="n">
        <v>261</v>
      </c>
      <c r="M1514" t="n">
        <v>0</v>
      </c>
      <c r="N1514">
        <f>VLOOKUP(J1514,Products!$A$2:$C$49,3,FALSE)</f>
        <v/>
      </c>
      <c r="O1514">
        <f>K1514*L1514-M1514</f>
        <v/>
      </c>
      <c r="P1514">
        <f>TEXT(B1514,"yyyy-mm")</f>
        <v/>
      </c>
      <c r="Q1514">
        <f>IF(O1514&gt;=3000,"Large","Small")</f>
        <v/>
      </c>
      <c r="R1514">
        <f>INDEX(Products!$F$2:$F$49,MATCH(J1514,Products!$A$2:$A$49,0))</f>
        <v/>
      </c>
      <c r="S1514">
        <f>WEEKDAY(B1514,2)</f>
        <v/>
      </c>
    </row>
    <row r="1515">
      <c r="A1515" t="n">
        <v>510102</v>
      </c>
      <c r="B1515" s="6" t="n">
        <v>45949</v>
      </c>
      <c r="C1515" t="n">
        <v>16660</v>
      </c>
      <c r="D1515" t="inlineStr">
        <is>
          <t>Pune</t>
        </is>
      </c>
      <c r="E1515" t="inlineStr">
        <is>
          <t>West</t>
        </is>
      </c>
      <c r="F1515" t="inlineStr">
        <is>
          <t>Paid Search</t>
        </is>
      </c>
      <c r="G1515" t="inlineStr">
        <is>
          <t>Mobile App</t>
        </is>
      </c>
      <c r="H1515" t="inlineStr">
        <is>
          <t>Net Banking</t>
        </is>
      </c>
      <c r="I1515" t="inlineStr">
        <is>
          <t>Delivered</t>
        </is>
      </c>
      <c r="J1515" t="n">
        <v>129</v>
      </c>
      <c r="K1515" t="n">
        <v>2</v>
      </c>
      <c r="L1515" t="n">
        <v>576</v>
      </c>
      <c r="M1515" t="n">
        <v>0</v>
      </c>
      <c r="N1515">
        <f>VLOOKUP(J1515,Products!$A$2:$C$49,3,FALSE)</f>
        <v/>
      </c>
      <c r="O1515">
        <f>K1515*L1515-M1515</f>
        <v/>
      </c>
      <c r="P1515">
        <f>TEXT(B1515,"yyyy-mm")</f>
        <v/>
      </c>
      <c r="Q1515">
        <f>IF(O1515&gt;=3000,"Large","Small")</f>
        <v/>
      </c>
      <c r="R1515">
        <f>INDEX(Products!$F$2:$F$49,MATCH(J1515,Products!$A$2:$A$49,0))</f>
        <v/>
      </c>
      <c r="S1515">
        <f>WEEKDAY(B1515,2)</f>
        <v/>
      </c>
    </row>
    <row r="1516">
      <c r="A1516" t="n">
        <v>510103</v>
      </c>
      <c r="B1516" s="6" t="n">
        <v>45949</v>
      </c>
      <c r="C1516" t="n">
        <v>15765</v>
      </c>
      <c r="D1516" t="inlineStr">
        <is>
          <t>Delhi</t>
        </is>
      </c>
      <c r="E1516" t="inlineStr">
        <is>
          <t>North</t>
        </is>
      </c>
      <c r="F1516" t="inlineStr">
        <is>
          <t>Referral</t>
        </is>
      </c>
      <c r="G1516" t="inlineStr">
        <is>
          <t>Desktop</t>
        </is>
      </c>
      <c r="H1516" t="inlineStr">
        <is>
          <t>UPI</t>
        </is>
      </c>
      <c r="I1516" t="inlineStr">
        <is>
          <t>Returned</t>
        </is>
      </c>
      <c r="J1516" t="n">
        <v>118</v>
      </c>
      <c r="K1516" t="n">
        <v>3</v>
      </c>
      <c r="L1516" t="n">
        <v>944</v>
      </c>
      <c r="M1516" t="n">
        <v>283.2</v>
      </c>
      <c r="N1516">
        <f>VLOOKUP(J1516,Products!$A$2:$C$49,3,FALSE)</f>
        <v/>
      </c>
      <c r="O1516">
        <f>K1516*L1516-M1516</f>
        <v/>
      </c>
      <c r="P1516">
        <f>TEXT(B1516,"yyyy-mm")</f>
        <v/>
      </c>
      <c r="Q1516">
        <f>IF(O1516&gt;=3000,"Large","Small")</f>
        <v/>
      </c>
      <c r="R1516">
        <f>INDEX(Products!$F$2:$F$49,MATCH(J1516,Products!$A$2:$A$49,0))</f>
        <v/>
      </c>
      <c r="S1516">
        <f>WEEKDAY(B1516,2)</f>
        <v/>
      </c>
    </row>
    <row r="1517">
      <c r="A1517" t="n">
        <v>510103</v>
      </c>
      <c r="B1517" s="6" t="n">
        <v>45949</v>
      </c>
      <c r="C1517" t="n">
        <v>15765</v>
      </c>
      <c r="D1517" t="inlineStr">
        <is>
          <t>Delhi</t>
        </is>
      </c>
      <c r="E1517" t="inlineStr">
        <is>
          <t>North</t>
        </is>
      </c>
      <c r="F1517" t="inlineStr">
        <is>
          <t>Referral</t>
        </is>
      </c>
      <c r="G1517" t="inlineStr">
        <is>
          <t>Desktop</t>
        </is>
      </c>
      <c r="H1517" t="inlineStr">
        <is>
          <t>UPI</t>
        </is>
      </c>
      <c r="I1517" t="inlineStr">
        <is>
          <t>Returned</t>
        </is>
      </c>
      <c r="J1517" t="n">
        <v>137</v>
      </c>
      <c r="K1517" t="n">
        <v>3</v>
      </c>
      <c r="L1517" t="n">
        <v>261</v>
      </c>
      <c r="M1517" t="n">
        <v>78.3</v>
      </c>
      <c r="N1517">
        <f>VLOOKUP(J1517,Products!$A$2:$C$49,3,FALSE)</f>
        <v/>
      </c>
      <c r="O1517">
        <f>K1517*L1517-M1517</f>
        <v/>
      </c>
      <c r="P1517">
        <f>TEXT(B1517,"yyyy-mm")</f>
        <v/>
      </c>
      <c r="Q1517">
        <f>IF(O1517&gt;=3000,"Large","Small")</f>
        <v/>
      </c>
      <c r="R1517">
        <f>INDEX(Products!$F$2:$F$49,MATCH(J1517,Products!$A$2:$A$49,0))</f>
        <v/>
      </c>
      <c r="S1517">
        <f>WEEKDAY(B1517,2)</f>
        <v/>
      </c>
    </row>
    <row r="1518">
      <c r="A1518" t="n">
        <v>510104</v>
      </c>
      <c r="B1518" s="6" t="n">
        <v>45949</v>
      </c>
      <c r="C1518" t="n">
        <v>16892</v>
      </c>
      <c r="D1518" t="inlineStr">
        <is>
          <t>Gurugram</t>
        </is>
      </c>
      <c r="E1518" t="inlineStr">
        <is>
          <t>North</t>
        </is>
      </c>
      <c r="F1518" t="inlineStr">
        <is>
          <t>Referral</t>
        </is>
      </c>
      <c r="G1518" t="inlineStr">
        <is>
          <t>Mobile Web</t>
        </is>
      </c>
      <c r="H1518" t="inlineStr">
        <is>
          <t>UPI</t>
        </is>
      </c>
      <c r="I1518" t="inlineStr">
        <is>
          <t>Delivered</t>
        </is>
      </c>
      <c r="J1518" t="n">
        <v>106</v>
      </c>
      <c r="K1518" t="n">
        <v>1</v>
      </c>
      <c r="L1518" t="n">
        <v>1574</v>
      </c>
      <c r="M1518" t="n">
        <v>236.1</v>
      </c>
      <c r="N1518">
        <f>VLOOKUP(J1518,Products!$A$2:$C$49,3,FALSE)</f>
        <v/>
      </c>
      <c r="O1518">
        <f>K1518*L1518-M1518</f>
        <v/>
      </c>
      <c r="P1518">
        <f>TEXT(B1518,"yyyy-mm")</f>
        <v/>
      </c>
      <c r="Q1518">
        <f>IF(O1518&gt;=3000,"Large","Small")</f>
        <v/>
      </c>
      <c r="R1518">
        <f>INDEX(Products!$F$2:$F$49,MATCH(J1518,Products!$A$2:$A$49,0))</f>
        <v/>
      </c>
      <c r="S1518">
        <f>WEEKDAY(B1518,2)</f>
        <v/>
      </c>
    </row>
    <row r="1519">
      <c r="A1519" t="n">
        <v>510105</v>
      </c>
      <c r="B1519" s="6" t="n">
        <v>45949</v>
      </c>
      <c r="C1519" t="n">
        <v>16872</v>
      </c>
      <c r="D1519" t="inlineStr">
        <is>
          <t>Bengaluru</t>
        </is>
      </c>
      <c r="E1519" t="inlineStr">
        <is>
          <t>South</t>
        </is>
      </c>
      <c r="F1519" t="inlineStr">
        <is>
          <t>Affiliate</t>
        </is>
      </c>
      <c r="G1519" t="inlineStr">
        <is>
          <t>Mobile App</t>
        </is>
      </c>
      <c r="H1519" t="inlineStr">
        <is>
          <t>Credit Card</t>
        </is>
      </c>
      <c r="I1519" t="inlineStr">
        <is>
          <t>Delivered</t>
        </is>
      </c>
      <c r="J1519" t="n">
        <v>137</v>
      </c>
      <c r="K1519" t="n">
        <v>1</v>
      </c>
      <c r="L1519" t="n">
        <v>261</v>
      </c>
      <c r="M1519" t="n">
        <v>26.1</v>
      </c>
      <c r="N1519">
        <f>VLOOKUP(J1519,Products!$A$2:$C$49,3,FALSE)</f>
        <v/>
      </c>
      <c r="O1519">
        <f>K1519*L1519-M1519</f>
        <v/>
      </c>
      <c r="P1519">
        <f>TEXT(B1519,"yyyy-mm")</f>
        <v/>
      </c>
      <c r="Q1519">
        <f>IF(O1519&gt;=3000,"Large","Small")</f>
        <v/>
      </c>
      <c r="R1519">
        <f>INDEX(Products!$F$2:$F$49,MATCH(J1519,Products!$A$2:$A$49,0))</f>
        <v/>
      </c>
      <c r="S1519">
        <f>WEEKDAY(B1519,2)</f>
        <v/>
      </c>
    </row>
    <row r="1520">
      <c r="A1520" t="n">
        <v>510105</v>
      </c>
      <c r="B1520" s="6" t="n">
        <v>45949</v>
      </c>
      <c r="C1520" t="n">
        <v>16872</v>
      </c>
      <c r="D1520" t="inlineStr">
        <is>
          <t>Bengaluru</t>
        </is>
      </c>
      <c r="E1520" t="inlineStr">
        <is>
          <t>South</t>
        </is>
      </c>
      <c r="F1520" t="inlineStr">
        <is>
          <t>Affiliate</t>
        </is>
      </c>
      <c r="G1520" t="inlineStr">
        <is>
          <t>Mobile App</t>
        </is>
      </c>
      <c r="H1520" t="inlineStr">
        <is>
          <t>Credit Card</t>
        </is>
      </c>
      <c r="I1520" t="inlineStr">
        <is>
          <t>Delivered</t>
        </is>
      </c>
      <c r="J1520" t="n">
        <v>131</v>
      </c>
      <c r="K1520" t="n">
        <v>1</v>
      </c>
      <c r="L1520" t="n">
        <v>314</v>
      </c>
      <c r="M1520" t="n">
        <v>31.4</v>
      </c>
      <c r="N1520">
        <f>VLOOKUP(J1520,Products!$A$2:$C$49,3,FALSE)</f>
        <v/>
      </c>
      <c r="O1520">
        <f>K1520*L1520-M1520</f>
        <v/>
      </c>
      <c r="P1520">
        <f>TEXT(B1520,"yyyy-mm")</f>
        <v/>
      </c>
      <c r="Q1520">
        <f>IF(O1520&gt;=3000,"Large","Small")</f>
        <v/>
      </c>
      <c r="R1520">
        <f>INDEX(Products!$F$2:$F$49,MATCH(J1520,Products!$A$2:$A$49,0))</f>
        <v/>
      </c>
      <c r="S1520">
        <f>WEEKDAY(B1520,2)</f>
        <v/>
      </c>
    </row>
    <row r="1521">
      <c r="A1521" t="n">
        <v>510105</v>
      </c>
      <c r="B1521" s="6" t="n">
        <v>45949</v>
      </c>
      <c r="C1521" t="n">
        <v>16872</v>
      </c>
      <c r="D1521" t="inlineStr">
        <is>
          <t>Bengaluru</t>
        </is>
      </c>
      <c r="E1521" t="inlineStr">
        <is>
          <t>South</t>
        </is>
      </c>
      <c r="F1521" t="inlineStr">
        <is>
          <t>Affiliate</t>
        </is>
      </c>
      <c r="G1521" t="inlineStr">
        <is>
          <t>Mobile App</t>
        </is>
      </c>
      <c r="H1521" t="inlineStr">
        <is>
          <t>Credit Card</t>
        </is>
      </c>
      <c r="I1521" t="inlineStr">
        <is>
          <t>Delivered</t>
        </is>
      </c>
      <c r="J1521" t="n">
        <v>108</v>
      </c>
      <c r="K1521" t="n">
        <v>1</v>
      </c>
      <c r="L1521" t="n">
        <v>419</v>
      </c>
      <c r="M1521" t="n">
        <v>41.9</v>
      </c>
      <c r="N1521">
        <f>VLOOKUP(J1521,Products!$A$2:$C$49,3,FALSE)</f>
        <v/>
      </c>
      <c r="O1521">
        <f>K1521*L1521-M1521</f>
        <v/>
      </c>
      <c r="P1521">
        <f>TEXT(B1521,"yyyy-mm")</f>
        <v/>
      </c>
      <c r="Q1521">
        <f>IF(O1521&gt;=3000,"Large","Small")</f>
        <v/>
      </c>
      <c r="R1521">
        <f>INDEX(Products!$F$2:$F$49,MATCH(J1521,Products!$A$2:$A$49,0))</f>
        <v/>
      </c>
      <c r="S1521">
        <f>WEEKDAY(B1521,2)</f>
        <v/>
      </c>
    </row>
    <row r="1522">
      <c r="A1522" t="n">
        <v>510106</v>
      </c>
      <c r="B1522" s="6" t="n">
        <v>45949</v>
      </c>
      <c r="C1522" t="n">
        <v>14940</v>
      </c>
      <c r="D1522" t="inlineStr">
        <is>
          <t>Mumbai</t>
        </is>
      </c>
      <c r="E1522" t="inlineStr">
        <is>
          <t>West</t>
        </is>
      </c>
      <c r="F1522" t="inlineStr">
        <is>
          <t>Organic Search</t>
        </is>
      </c>
      <c r="G1522" t="inlineStr">
        <is>
          <t>Mobile App</t>
        </is>
      </c>
      <c r="H1522" t="inlineStr">
        <is>
          <t>Cash on Delivery</t>
        </is>
      </c>
      <c r="I1522" t="inlineStr">
        <is>
          <t>Delivered</t>
        </is>
      </c>
      <c r="J1522" t="n">
        <v>136</v>
      </c>
      <c r="K1522" t="n">
        <v>1</v>
      </c>
      <c r="L1522" t="n">
        <v>944</v>
      </c>
      <c r="M1522" t="n">
        <v>0</v>
      </c>
      <c r="N1522">
        <f>VLOOKUP(J1522,Products!$A$2:$C$49,3,FALSE)</f>
        <v/>
      </c>
      <c r="O1522">
        <f>K1522*L1522-M1522</f>
        <v/>
      </c>
      <c r="P1522">
        <f>TEXT(B1522,"yyyy-mm")</f>
        <v/>
      </c>
      <c r="Q1522">
        <f>IF(O1522&gt;=3000,"Large","Small")</f>
        <v/>
      </c>
      <c r="R1522">
        <f>INDEX(Products!$F$2:$F$49,MATCH(J1522,Products!$A$2:$A$49,0))</f>
        <v/>
      </c>
      <c r="S1522">
        <f>WEEKDAY(B1522,2)</f>
        <v/>
      </c>
    </row>
    <row r="1523">
      <c r="A1523" t="n">
        <v>510106</v>
      </c>
      <c r="B1523" s="6" t="n">
        <v>45949</v>
      </c>
      <c r="C1523" t="n">
        <v>14940</v>
      </c>
      <c r="D1523" t="inlineStr">
        <is>
          <t>Mumbai</t>
        </is>
      </c>
      <c r="E1523" t="inlineStr">
        <is>
          <t>West</t>
        </is>
      </c>
      <c r="F1523" t="inlineStr">
        <is>
          <t>Organic Search</t>
        </is>
      </c>
      <c r="G1523" t="inlineStr">
        <is>
          <t>Mobile App</t>
        </is>
      </c>
      <c r="H1523" t="inlineStr">
        <is>
          <t>Cash on Delivery</t>
        </is>
      </c>
      <c r="I1523" t="inlineStr">
        <is>
          <t>Delivered</t>
        </is>
      </c>
      <c r="J1523" t="n">
        <v>141</v>
      </c>
      <c r="K1523" t="n">
        <v>2</v>
      </c>
      <c r="L1523" t="n">
        <v>261</v>
      </c>
      <c r="M1523" t="n">
        <v>0</v>
      </c>
      <c r="N1523">
        <f>VLOOKUP(J1523,Products!$A$2:$C$49,3,FALSE)</f>
        <v/>
      </c>
      <c r="O1523">
        <f>K1523*L1523-M1523</f>
        <v/>
      </c>
      <c r="P1523">
        <f>TEXT(B1523,"yyyy-mm")</f>
        <v/>
      </c>
      <c r="Q1523">
        <f>IF(O1523&gt;=3000,"Large","Small")</f>
        <v/>
      </c>
      <c r="R1523">
        <f>INDEX(Products!$F$2:$F$49,MATCH(J1523,Products!$A$2:$A$49,0))</f>
        <v/>
      </c>
      <c r="S1523">
        <f>WEEKDAY(B1523,2)</f>
        <v/>
      </c>
    </row>
    <row r="1524">
      <c r="A1524" t="n">
        <v>510107</v>
      </c>
      <c r="B1524" s="6" t="n">
        <v>45949</v>
      </c>
      <c r="C1524" t="n">
        <v>13000</v>
      </c>
      <c r="D1524" t="inlineStr">
        <is>
          <t>Bengaluru</t>
        </is>
      </c>
      <c r="E1524" t="inlineStr">
        <is>
          <t>South</t>
        </is>
      </c>
      <c r="F1524" t="inlineStr">
        <is>
          <t>Paid Search</t>
        </is>
      </c>
      <c r="G1524" t="inlineStr">
        <is>
          <t>Mobile Web</t>
        </is>
      </c>
      <c r="H1524" t="inlineStr">
        <is>
          <t>Credit Card</t>
        </is>
      </c>
      <c r="I1524" t="inlineStr">
        <is>
          <t>Delivered</t>
        </is>
      </c>
      <c r="J1524" t="n">
        <v>117</v>
      </c>
      <c r="K1524" t="n">
        <v>1</v>
      </c>
      <c r="L1524" t="n">
        <v>3149</v>
      </c>
      <c r="M1524" t="n">
        <v>314.9</v>
      </c>
      <c r="N1524">
        <f>VLOOKUP(J1524,Products!$A$2:$C$49,3,FALSE)</f>
        <v/>
      </c>
      <c r="O1524">
        <f>K1524*L1524-M1524</f>
        <v/>
      </c>
      <c r="P1524">
        <f>TEXT(B1524,"yyyy-mm")</f>
        <v/>
      </c>
      <c r="Q1524">
        <f>IF(O1524&gt;=3000,"Large","Small")</f>
        <v/>
      </c>
      <c r="R1524">
        <f>INDEX(Products!$F$2:$F$49,MATCH(J1524,Products!$A$2:$A$49,0))</f>
        <v/>
      </c>
      <c r="S1524">
        <f>WEEKDAY(B1524,2)</f>
        <v/>
      </c>
    </row>
    <row r="1525">
      <c r="A1525" t="n">
        <v>510107</v>
      </c>
      <c r="B1525" s="6" t="n">
        <v>45949</v>
      </c>
      <c r="C1525" t="n">
        <v>13000</v>
      </c>
      <c r="D1525" t="inlineStr">
        <is>
          <t>Bengaluru</t>
        </is>
      </c>
      <c r="E1525" t="inlineStr">
        <is>
          <t>South</t>
        </is>
      </c>
      <c r="F1525" t="inlineStr">
        <is>
          <t>Paid Search</t>
        </is>
      </c>
      <c r="G1525" t="inlineStr">
        <is>
          <t>Mobile Web</t>
        </is>
      </c>
      <c r="H1525" t="inlineStr">
        <is>
          <t>Credit Card</t>
        </is>
      </c>
      <c r="I1525" t="inlineStr">
        <is>
          <t>Delivered</t>
        </is>
      </c>
      <c r="J1525" t="n">
        <v>129</v>
      </c>
      <c r="K1525" t="n">
        <v>1</v>
      </c>
      <c r="L1525" t="n">
        <v>576</v>
      </c>
      <c r="M1525" t="n">
        <v>57.6</v>
      </c>
      <c r="N1525">
        <f>VLOOKUP(J1525,Products!$A$2:$C$49,3,FALSE)</f>
        <v/>
      </c>
      <c r="O1525">
        <f>K1525*L1525-M1525</f>
        <v/>
      </c>
      <c r="P1525">
        <f>TEXT(B1525,"yyyy-mm")</f>
        <v/>
      </c>
      <c r="Q1525">
        <f>IF(O1525&gt;=3000,"Large","Small")</f>
        <v/>
      </c>
      <c r="R1525">
        <f>INDEX(Products!$F$2:$F$49,MATCH(J1525,Products!$A$2:$A$49,0))</f>
        <v/>
      </c>
      <c r="S1525">
        <f>WEEKDAY(B1525,2)</f>
        <v/>
      </c>
    </row>
    <row r="1526">
      <c r="A1526" t="n">
        <v>510108</v>
      </c>
      <c r="B1526" s="6" t="n">
        <v>45949</v>
      </c>
      <c r="C1526" t="n">
        <v>16861</v>
      </c>
      <c r="D1526" t="inlineStr">
        <is>
          <t>Delhi</t>
        </is>
      </c>
      <c r="E1526" t="inlineStr">
        <is>
          <t>North</t>
        </is>
      </c>
      <c r="F1526" t="inlineStr">
        <is>
          <t>Paid Search</t>
        </is>
      </c>
      <c r="G1526" t="inlineStr">
        <is>
          <t>Mobile App</t>
        </is>
      </c>
      <c r="H1526" t="inlineStr">
        <is>
          <t>Debit Card</t>
        </is>
      </c>
      <c r="I1526" t="inlineStr">
        <is>
          <t>Delivered</t>
        </is>
      </c>
      <c r="J1526" t="n">
        <v>104</v>
      </c>
      <c r="K1526" t="n">
        <v>1</v>
      </c>
      <c r="L1526" t="n">
        <v>5249</v>
      </c>
      <c r="M1526" t="n">
        <v>787.35</v>
      </c>
      <c r="N1526">
        <f>VLOOKUP(J1526,Products!$A$2:$C$49,3,FALSE)</f>
        <v/>
      </c>
      <c r="O1526">
        <f>K1526*L1526-M1526</f>
        <v/>
      </c>
      <c r="P1526">
        <f>TEXT(B1526,"yyyy-mm")</f>
        <v/>
      </c>
      <c r="Q1526">
        <f>IF(O1526&gt;=3000,"Large","Small")</f>
        <v/>
      </c>
      <c r="R1526">
        <f>INDEX(Products!$F$2:$F$49,MATCH(J1526,Products!$A$2:$A$49,0))</f>
        <v/>
      </c>
      <c r="S1526">
        <f>WEEKDAY(B1526,2)</f>
        <v/>
      </c>
    </row>
    <row r="1527">
      <c r="A1527" t="n">
        <v>510108</v>
      </c>
      <c r="B1527" s="6" t="n">
        <v>45949</v>
      </c>
      <c r="C1527" t="n">
        <v>16861</v>
      </c>
      <c r="D1527" t="inlineStr">
        <is>
          <t>Delhi</t>
        </is>
      </c>
      <c r="E1527" t="inlineStr">
        <is>
          <t>North</t>
        </is>
      </c>
      <c r="F1527" t="inlineStr">
        <is>
          <t>Paid Search</t>
        </is>
      </c>
      <c r="G1527" t="inlineStr">
        <is>
          <t>Mobile App</t>
        </is>
      </c>
      <c r="H1527" t="inlineStr">
        <is>
          <t>Debit Card</t>
        </is>
      </c>
      <c r="I1527" t="inlineStr">
        <is>
          <t>Delivered</t>
        </is>
      </c>
      <c r="J1527" t="n">
        <v>129</v>
      </c>
      <c r="K1527" t="n">
        <v>1</v>
      </c>
      <c r="L1527" t="n">
        <v>576</v>
      </c>
      <c r="M1527" t="n">
        <v>86.40000000000001</v>
      </c>
      <c r="N1527">
        <f>VLOOKUP(J1527,Products!$A$2:$C$49,3,FALSE)</f>
        <v/>
      </c>
      <c r="O1527">
        <f>K1527*L1527-M1527</f>
        <v/>
      </c>
      <c r="P1527">
        <f>TEXT(B1527,"yyyy-mm")</f>
        <v/>
      </c>
      <c r="Q1527">
        <f>IF(O1527&gt;=3000,"Large","Small")</f>
        <v/>
      </c>
      <c r="R1527">
        <f>INDEX(Products!$F$2:$F$49,MATCH(J1527,Products!$A$2:$A$49,0))</f>
        <v/>
      </c>
      <c r="S1527">
        <f>WEEKDAY(B1527,2)</f>
        <v/>
      </c>
    </row>
    <row r="1528">
      <c r="A1528" t="n">
        <v>510109</v>
      </c>
      <c r="B1528" s="6" t="n">
        <v>45949</v>
      </c>
      <c r="C1528" t="n">
        <v>12008</v>
      </c>
      <c r="D1528" t="inlineStr">
        <is>
          <t>Gurugram</t>
        </is>
      </c>
      <c r="E1528" t="inlineStr">
        <is>
          <t>North</t>
        </is>
      </c>
      <c r="F1528" t="inlineStr">
        <is>
          <t>Referral</t>
        </is>
      </c>
      <c r="G1528" t="inlineStr">
        <is>
          <t>Mobile App</t>
        </is>
      </c>
      <c r="H1528" t="inlineStr">
        <is>
          <t>Credit Card</t>
        </is>
      </c>
      <c r="I1528" t="inlineStr">
        <is>
          <t>Delivered</t>
        </is>
      </c>
      <c r="J1528" t="n">
        <v>120</v>
      </c>
      <c r="K1528" t="n">
        <v>1</v>
      </c>
      <c r="L1528" t="n">
        <v>734</v>
      </c>
      <c r="M1528" t="n">
        <v>73.40000000000001</v>
      </c>
      <c r="N1528">
        <f>VLOOKUP(J1528,Products!$A$2:$C$49,3,FALSE)</f>
        <v/>
      </c>
      <c r="O1528">
        <f>K1528*L1528-M1528</f>
        <v/>
      </c>
      <c r="P1528">
        <f>TEXT(B1528,"yyyy-mm")</f>
        <v/>
      </c>
      <c r="Q1528">
        <f>IF(O1528&gt;=3000,"Large","Small")</f>
        <v/>
      </c>
      <c r="R1528">
        <f>INDEX(Products!$F$2:$F$49,MATCH(J1528,Products!$A$2:$A$49,0))</f>
        <v/>
      </c>
      <c r="S1528">
        <f>WEEKDAY(B1528,2)</f>
        <v/>
      </c>
    </row>
    <row r="1529">
      <c r="A1529" t="n">
        <v>510109</v>
      </c>
      <c r="B1529" s="6" t="n">
        <v>45949</v>
      </c>
      <c r="C1529" t="n">
        <v>12008</v>
      </c>
      <c r="D1529" t="inlineStr">
        <is>
          <t>Gurugram</t>
        </is>
      </c>
      <c r="E1529" t="inlineStr">
        <is>
          <t>North</t>
        </is>
      </c>
      <c r="F1529" t="inlineStr">
        <is>
          <t>Referral</t>
        </is>
      </c>
      <c r="G1529" t="inlineStr">
        <is>
          <t>Mobile App</t>
        </is>
      </c>
      <c r="H1529" t="inlineStr">
        <is>
          <t>Credit Card</t>
        </is>
      </c>
      <c r="I1529" t="inlineStr">
        <is>
          <t>Delivered</t>
        </is>
      </c>
      <c r="J1529" t="n">
        <v>140</v>
      </c>
      <c r="K1529" t="n">
        <v>1</v>
      </c>
      <c r="L1529" t="n">
        <v>629</v>
      </c>
      <c r="M1529" t="n">
        <v>62.9</v>
      </c>
      <c r="N1529">
        <f>VLOOKUP(J1529,Products!$A$2:$C$49,3,FALSE)</f>
        <v/>
      </c>
      <c r="O1529">
        <f>K1529*L1529-M1529</f>
        <v/>
      </c>
      <c r="P1529">
        <f>TEXT(B1529,"yyyy-mm")</f>
        <v/>
      </c>
      <c r="Q1529">
        <f>IF(O1529&gt;=3000,"Large","Small")</f>
        <v/>
      </c>
      <c r="R1529">
        <f>INDEX(Products!$F$2:$F$49,MATCH(J1529,Products!$A$2:$A$49,0))</f>
        <v/>
      </c>
      <c r="S1529">
        <f>WEEKDAY(B1529,2)</f>
        <v/>
      </c>
    </row>
    <row r="1530">
      <c r="A1530" t="n">
        <v>510109</v>
      </c>
      <c r="B1530" s="6" t="n">
        <v>45949</v>
      </c>
      <c r="C1530" t="n">
        <v>12008</v>
      </c>
      <c r="D1530" t="inlineStr">
        <is>
          <t>Gurugram</t>
        </is>
      </c>
      <c r="E1530" t="inlineStr">
        <is>
          <t>North</t>
        </is>
      </c>
      <c r="F1530" t="inlineStr">
        <is>
          <t>Referral</t>
        </is>
      </c>
      <c r="G1530" t="inlineStr">
        <is>
          <t>Mobile App</t>
        </is>
      </c>
      <c r="H1530" t="inlineStr">
        <is>
          <t>Credit Card</t>
        </is>
      </c>
      <c r="I1530" t="inlineStr">
        <is>
          <t>Delivered</t>
        </is>
      </c>
      <c r="J1530" t="n">
        <v>121</v>
      </c>
      <c r="K1530" t="n">
        <v>1</v>
      </c>
      <c r="L1530" t="n">
        <v>2939</v>
      </c>
      <c r="M1530" t="n">
        <v>293.9</v>
      </c>
      <c r="N1530">
        <f>VLOOKUP(J1530,Products!$A$2:$C$49,3,FALSE)</f>
        <v/>
      </c>
      <c r="O1530">
        <f>K1530*L1530-M1530</f>
        <v/>
      </c>
      <c r="P1530">
        <f>TEXT(B1530,"yyyy-mm")</f>
        <v/>
      </c>
      <c r="Q1530">
        <f>IF(O1530&gt;=3000,"Large","Small")</f>
        <v/>
      </c>
      <c r="R1530">
        <f>INDEX(Products!$F$2:$F$49,MATCH(J1530,Products!$A$2:$A$49,0))</f>
        <v/>
      </c>
      <c r="S1530">
        <f>WEEKDAY(B1530,2)</f>
        <v/>
      </c>
    </row>
    <row r="1531">
      <c r="A1531" t="n">
        <v>510110</v>
      </c>
      <c r="B1531" s="6" t="n">
        <v>45949</v>
      </c>
      <c r="C1531" t="n">
        <v>13281</v>
      </c>
      <c r="D1531" t="inlineStr">
        <is>
          <t>Jaipur</t>
        </is>
      </c>
      <c r="E1531" t="inlineStr">
        <is>
          <t>North</t>
        </is>
      </c>
      <c r="F1531" t="inlineStr">
        <is>
          <t>Organic Search</t>
        </is>
      </c>
      <c r="G1531" t="inlineStr">
        <is>
          <t>Desktop</t>
        </is>
      </c>
      <c r="H1531" t="inlineStr">
        <is>
          <t>Cash on Delivery</t>
        </is>
      </c>
      <c r="I1531" t="inlineStr">
        <is>
          <t>Cancelled</t>
        </is>
      </c>
      <c r="J1531" t="n">
        <v>112</v>
      </c>
      <c r="K1531" t="n">
        <v>1</v>
      </c>
      <c r="L1531" t="n">
        <v>1574</v>
      </c>
      <c r="M1531" t="n">
        <v>78.7</v>
      </c>
      <c r="N1531">
        <f>VLOOKUP(J1531,Products!$A$2:$C$49,3,FALSE)</f>
        <v/>
      </c>
      <c r="O1531">
        <f>K1531*L1531-M1531</f>
        <v/>
      </c>
      <c r="P1531">
        <f>TEXT(B1531,"yyyy-mm")</f>
        <v/>
      </c>
      <c r="Q1531">
        <f>IF(O1531&gt;=3000,"Large","Small")</f>
        <v/>
      </c>
      <c r="R1531">
        <f>INDEX(Products!$F$2:$F$49,MATCH(J1531,Products!$A$2:$A$49,0))</f>
        <v/>
      </c>
      <c r="S1531">
        <f>WEEKDAY(B1531,2)</f>
        <v/>
      </c>
    </row>
    <row r="1532">
      <c r="A1532" t="n">
        <v>510110</v>
      </c>
      <c r="B1532" s="6" t="n">
        <v>45949</v>
      </c>
      <c r="C1532" t="n">
        <v>13281</v>
      </c>
      <c r="D1532" t="inlineStr">
        <is>
          <t>Jaipur</t>
        </is>
      </c>
      <c r="E1532" t="inlineStr">
        <is>
          <t>North</t>
        </is>
      </c>
      <c r="F1532" t="inlineStr">
        <is>
          <t>Organic Search</t>
        </is>
      </c>
      <c r="G1532" t="inlineStr">
        <is>
          <t>Desktop</t>
        </is>
      </c>
      <c r="H1532" t="inlineStr">
        <is>
          <t>Cash on Delivery</t>
        </is>
      </c>
      <c r="I1532" t="inlineStr">
        <is>
          <t>Cancelled</t>
        </is>
      </c>
      <c r="J1532" t="n">
        <v>115</v>
      </c>
      <c r="K1532" t="n">
        <v>1</v>
      </c>
      <c r="L1532" t="n">
        <v>4199</v>
      </c>
      <c r="M1532" t="n">
        <v>209.95</v>
      </c>
      <c r="N1532">
        <f>VLOOKUP(J1532,Products!$A$2:$C$49,3,FALSE)</f>
        <v/>
      </c>
      <c r="O1532">
        <f>K1532*L1532-M1532</f>
        <v/>
      </c>
      <c r="P1532">
        <f>TEXT(B1532,"yyyy-mm")</f>
        <v/>
      </c>
      <c r="Q1532">
        <f>IF(O1532&gt;=3000,"Large","Small")</f>
        <v/>
      </c>
      <c r="R1532">
        <f>INDEX(Products!$F$2:$F$49,MATCH(J1532,Products!$A$2:$A$49,0))</f>
        <v/>
      </c>
      <c r="S1532">
        <f>WEEKDAY(B1532,2)</f>
        <v/>
      </c>
    </row>
    <row r="1533">
      <c r="A1533" t="n">
        <v>510110</v>
      </c>
      <c r="B1533" s="6" t="n">
        <v>45949</v>
      </c>
      <c r="C1533" t="n">
        <v>13281</v>
      </c>
      <c r="D1533" t="inlineStr">
        <is>
          <t>Jaipur</t>
        </is>
      </c>
      <c r="E1533" t="inlineStr">
        <is>
          <t>North</t>
        </is>
      </c>
      <c r="F1533" t="inlineStr">
        <is>
          <t>Organic Search</t>
        </is>
      </c>
      <c r="G1533" t="inlineStr">
        <is>
          <t>Desktop</t>
        </is>
      </c>
      <c r="H1533" t="inlineStr">
        <is>
          <t>Cash on Delivery</t>
        </is>
      </c>
      <c r="I1533" t="inlineStr">
        <is>
          <t>Cancelled</t>
        </is>
      </c>
      <c r="J1533" t="n">
        <v>129</v>
      </c>
      <c r="K1533" t="n">
        <v>1</v>
      </c>
      <c r="L1533" t="n">
        <v>576</v>
      </c>
      <c r="M1533" t="n">
        <v>28.8</v>
      </c>
      <c r="N1533">
        <f>VLOOKUP(J1533,Products!$A$2:$C$49,3,FALSE)</f>
        <v/>
      </c>
      <c r="O1533">
        <f>K1533*L1533-M1533</f>
        <v/>
      </c>
      <c r="P1533">
        <f>TEXT(B1533,"yyyy-mm")</f>
        <v/>
      </c>
      <c r="Q1533">
        <f>IF(O1533&gt;=3000,"Large","Small")</f>
        <v/>
      </c>
      <c r="R1533">
        <f>INDEX(Products!$F$2:$F$49,MATCH(J1533,Products!$A$2:$A$49,0))</f>
        <v/>
      </c>
      <c r="S1533">
        <f>WEEKDAY(B1533,2)</f>
        <v/>
      </c>
    </row>
    <row r="1534">
      <c r="A1534" t="n">
        <v>510111</v>
      </c>
      <c r="B1534" s="6" t="n">
        <v>45949</v>
      </c>
      <c r="C1534" t="n">
        <v>15760</v>
      </c>
      <c r="D1534" t="inlineStr">
        <is>
          <t>Chandigarh</t>
        </is>
      </c>
      <c r="E1534" t="inlineStr">
        <is>
          <t>North</t>
        </is>
      </c>
      <c r="F1534" t="inlineStr">
        <is>
          <t>Paid Search</t>
        </is>
      </c>
      <c r="G1534" t="inlineStr">
        <is>
          <t>Desktop</t>
        </is>
      </c>
      <c r="H1534" t="inlineStr">
        <is>
          <t>UPI</t>
        </is>
      </c>
      <c r="I1534" t="inlineStr">
        <is>
          <t>Delivered</t>
        </is>
      </c>
      <c r="J1534" t="n">
        <v>120</v>
      </c>
      <c r="K1534" t="n">
        <v>1</v>
      </c>
      <c r="L1534" t="n">
        <v>734</v>
      </c>
      <c r="M1534" t="n">
        <v>0</v>
      </c>
      <c r="N1534">
        <f>VLOOKUP(J1534,Products!$A$2:$C$49,3,FALSE)</f>
        <v/>
      </c>
      <c r="O1534">
        <f>K1534*L1534-M1534</f>
        <v/>
      </c>
      <c r="P1534">
        <f>TEXT(B1534,"yyyy-mm")</f>
        <v/>
      </c>
      <c r="Q1534">
        <f>IF(O1534&gt;=3000,"Large","Small")</f>
        <v/>
      </c>
      <c r="R1534">
        <f>INDEX(Products!$F$2:$F$49,MATCH(J1534,Products!$A$2:$A$49,0))</f>
        <v/>
      </c>
      <c r="S1534">
        <f>WEEKDAY(B1534,2)</f>
        <v/>
      </c>
    </row>
    <row r="1535">
      <c r="A1535" t="n">
        <v>510112</v>
      </c>
      <c r="B1535" s="6" t="n">
        <v>45949</v>
      </c>
      <c r="C1535" t="n">
        <v>16832</v>
      </c>
      <c r="D1535" t="inlineStr">
        <is>
          <t>Mumbai</t>
        </is>
      </c>
      <c r="E1535" t="inlineStr">
        <is>
          <t>West</t>
        </is>
      </c>
      <c r="F1535" t="inlineStr">
        <is>
          <t>Organic Search</t>
        </is>
      </c>
      <c r="G1535" t="inlineStr">
        <is>
          <t>Desktop</t>
        </is>
      </c>
      <c r="H1535" t="inlineStr">
        <is>
          <t>UPI</t>
        </is>
      </c>
      <c r="I1535" t="inlineStr">
        <is>
          <t>Delivered</t>
        </is>
      </c>
      <c r="J1535" t="n">
        <v>134</v>
      </c>
      <c r="K1535" t="n">
        <v>2</v>
      </c>
      <c r="L1535" t="n">
        <v>209</v>
      </c>
      <c r="M1535" t="n">
        <v>62.7</v>
      </c>
      <c r="N1535">
        <f>VLOOKUP(J1535,Products!$A$2:$C$49,3,FALSE)</f>
        <v/>
      </c>
      <c r="O1535">
        <f>K1535*L1535-M1535</f>
        <v/>
      </c>
      <c r="P1535">
        <f>TEXT(B1535,"yyyy-mm")</f>
        <v/>
      </c>
      <c r="Q1535">
        <f>IF(O1535&gt;=3000,"Large","Small")</f>
        <v/>
      </c>
      <c r="R1535">
        <f>INDEX(Products!$F$2:$F$49,MATCH(J1535,Products!$A$2:$A$49,0))</f>
        <v/>
      </c>
      <c r="S1535">
        <f>WEEKDAY(B1535,2)</f>
        <v/>
      </c>
    </row>
    <row r="1536">
      <c r="A1536" t="n">
        <v>510112</v>
      </c>
      <c r="B1536" s="6" t="n">
        <v>45949</v>
      </c>
      <c r="C1536" t="n">
        <v>16832</v>
      </c>
      <c r="D1536" t="inlineStr">
        <is>
          <t>Mumbai</t>
        </is>
      </c>
      <c r="E1536" t="inlineStr">
        <is>
          <t>West</t>
        </is>
      </c>
      <c r="F1536" t="inlineStr">
        <is>
          <t>Organic Search</t>
        </is>
      </c>
      <c r="G1536" t="inlineStr">
        <is>
          <t>Desktop</t>
        </is>
      </c>
      <c r="H1536" t="inlineStr">
        <is>
          <t>UPI</t>
        </is>
      </c>
      <c r="I1536" t="inlineStr">
        <is>
          <t>Delivered</t>
        </is>
      </c>
      <c r="J1536" t="n">
        <v>105</v>
      </c>
      <c r="K1536" t="n">
        <v>1</v>
      </c>
      <c r="L1536" t="n">
        <v>2414</v>
      </c>
      <c r="M1536" t="n">
        <v>362.1</v>
      </c>
      <c r="N1536">
        <f>VLOOKUP(J1536,Products!$A$2:$C$49,3,FALSE)</f>
        <v/>
      </c>
      <c r="O1536">
        <f>K1536*L1536-M1536</f>
        <v/>
      </c>
      <c r="P1536">
        <f>TEXT(B1536,"yyyy-mm")</f>
        <v/>
      </c>
      <c r="Q1536">
        <f>IF(O1536&gt;=3000,"Large","Small")</f>
        <v/>
      </c>
      <c r="R1536">
        <f>INDEX(Products!$F$2:$F$49,MATCH(J1536,Products!$A$2:$A$49,0))</f>
        <v/>
      </c>
      <c r="S1536">
        <f>WEEKDAY(B1536,2)</f>
        <v/>
      </c>
    </row>
    <row r="1537">
      <c r="A1537" t="n">
        <v>510112</v>
      </c>
      <c r="B1537" s="6" t="n">
        <v>45949</v>
      </c>
      <c r="C1537" t="n">
        <v>16832</v>
      </c>
      <c r="D1537" t="inlineStr">
        <is>
          <t>Mumbai</t>
        </is>
      </c>
      <c r="E1537" t="inlineStr">
        <is>
          <t>West</t>
        </is>
      </c>
      <c r="F1537" t="inlineStr">
        <is>
          <t>Organic Search</t>
        </is>
      </c>
      <c r="G1537" t="inlineStr">
        <is>
          <t>Desktop</t>
        </is>
      </c>
      <c r="H1537" t="inlineStr">
        <is>
          <t>UPI</t>
        </is>
      </c>
      <c r="I1537" t="inlineStr">
        <is>
          <t>Delivered</t>
        </is>
      </c>
      <c r="J1537" t="n">
        <v>113</v>
      </c>
      <c r="K1537" t="n">
        <v>1</v>
      </c>
      <c r="L1537" t="n">
        <v>1364</v>
      </c>
      <c r="M1537" t="n">
        <v>204.6</v>
      </c>
      <c r="N1537">
        <f>VLOOKUP(J1537,Products!$A$2:$C$49,3,FALSE)</f>
        <v/>
      </c>
      <c r="O1537">
        <f>K1537*L1537-M1537</f>
        <v/>
      </c>
      <c r="P1537">
        <f>TEXT(B1537,"yyyy-mm")</f>
        <v/>
      </c>
      <c r="Q1537">
        <f>IF(O1537&gt;=3000,"Large","Small")</f>
        <v/>
      </c>
      <c r="R1537">
        <f>INDEX(Products!$F$2:$F$49,MATCH(J1537,Products!$A$2:$A$49,0))</f>
        <v/>
      </c>
      <c r="S1537">
        <f>WEEKDAY(B1537,2)</f>
        <v/>
      </c>
    </row>
    <row r="1538">
      <c r="A1538" t="n">
        <v>510112</v>
      </c>
      <c r="B1538" s="6" t="n">
        <v>45949</v>
      </c>
      <c r="C1538" t="n">
        <v>16832</v>
      </c>
      <c r="D1538" t="inlineStr">
        <is>
          <t>Mumbai</t>
        </is>
      </c>
      <c r="E1538" t="inlineStr">
        <is>
          <t>West</t>
        </is>
      </c>
      <c r="F1538" t="inlineStr">
        <is>
          <t>Organic Search</t>
        </is>
      </c>
      <c r="G1538" t="inlineStr">
        <is>
          <t>Desktop</t>
        </is>
      </c>
      <c r="H1538" t="inlineStr">
        <is>
          <t>UPI</t>
        </is>
      </c>
      <c r="I1538" t="inlineStr">
        <is>
          <t>Delivered</t>
        </is>
      </c>
      <c r="J1538" t="n">
        <v>129</v>
      </c>
      <c r="K1538" t="n">
        <v>1</v>
      </c>
      <c r="L1538" t="n">
        <v>576</v>
      </c>
      <c r="M1538" t="n">
        <v>86.40000000000001</v>
      </c>
      <c r="N1538">
        <f>VLOOKUP(J1538,Products!$A$2:$C$49,3,FALSE)</f>
        <v/>
      </c>
      <c r="O1538">
        <f>K1538*L1538-M1538</f>
        <v/>
      </c>
      <c r="P1538">
        <f>TEXT(B1538,"yyyy-mm")</f>
        <v/>
      </c>
      <c r="Q1538">
        <f>IF(O1538&gt;=3000,"Large","Small")</f>
        <v/>
      </c>
      <c r="R1538">
        <f>INDEX(Products!$F$2:$F$49,MATCH(J1538,Products!$A$2:$A$49,0))</f>
        <v/>
      </c>
      <c r="S1538">
        <f>WEEKDAY(B1538,2)</f>
        <v/>
      </c>
    </row>
    <row r="1539">
      <c r="A1539" t="n">
        <v>510113</v>
      </c>
      <c r="B1539" s="6" t="n">
        <v>45949</v>
      </c>
      <c r="C1539" t="n">
        <v>10262</v>
      </c>
      <c r="D1539" t="inlineStr">
        <is>
          <t>Chennai</t>
        </is>
      </c>
      <c r="E1539" t="inlineStr">
        <is>
          <t>South</t>
        </is>
      </c>
      <c r="F1539" t="inlineStr">
        <is>
          <t>Organic Search</t>
        </is>
      </c>
      <c r="G1539" t="inlineStr">
        <is>
          <t>Mobile App</t>
        </is>
      </c>
      <c r="H1539" t="inlineStr">
        <is>
          <t>Debit Card</t>
        </is>
      </c>
      <c r="I1539" t="inlineStr">
        <is>
          <t>Delivered</t>
        </is>
      </c>
      <c r="J1539" t="n">
        <v>121</v>
      </c>
      <c r="K1539" t="n">
        <v>1</v>
      </c>
      <c r="L1539" t="n">
        <v>2939</v>
      </c>
      <c r="M1539" t="n">
        <v>293.9</v>
      </c>
      <c r="N1539">
        <f>VLOOKUP(J1539,Products!$A$2:$C$49,3,FALSE)</f>
        <v/>
      </c>
      <c r="O1539">
        <f>K1539*L1539-M1539</f>
        <v/>
      </c>
      <c r="P1539">
        <f>TEXT(B1539,"yyyy-mm")</f>
        <v/>
      </c>
      <c r="Q1539">
        <f>IF(O1539&gt;=3000,"Large","Small")</f>
        <v/>
      </c>
      <c r="R1539">
        <f>INDEX(Products!$F$2:$F$49,MATCH(J1539,Products!$A$2:$A$49,0))</f>
        <v/>
      </c>
      <c r="S1539">
        <f>WEEKDAY(B1539,2)</f>
        <v/>
      </c>
    </row>
    <row r="1540">
      <c r="A1540" t="n">
        <v>510113</v>
      </c>
      <c r="B1540" s="6" t="n">
        <v>45949</v>
      </c>
      <c r="C1540" t="n">
        <v>10262</v>
      </c>
      <c r="D1540" t="inlineStr">
        <is>
          <t>Chennai</t>
        </is>
      </c>
      <c r="E1540" t="inlineStr">
        <is>
          <t>South</t>
        </is>
      </c>
      <c r="F1540" t="inlineStr">
        <is>
          <t>Organic Search</t>
        </is>
      </c>
      <c r="G1540" t="inlineStr">
        <is>
          <t>Mobile App</t>
        </is>
      </c>
      <c r="H1540" t="inlineStr">
        <is>
          <t>Debit Card</t>
        </is>
      </c>
      <c r="I1540" t="inlineStr">
        <is>
          <t>Delivered</t>
        </is>
      </c>
      <c r="J1540" t="n">
        <v>120</v>
      </c>
      <c r="K1540" t="n">
        <v>1</v>
      </c>
      <c r="L1540" t="n">
        <v>734</v>
      </c>
      <c r="M1540" t="n">
        <v>73.40000000000001</v>
      </c>
      <c r="N1540">
        <f>VLOOKUP(J1540,Products!$A$2:$C$49,3,FALSE)</f>
        <v/>
      </c>
      <c r="O1540">
        <f>K1540*L1540-M1540</f>
        <v/>
      </c>
      <c r="P1540">
        <f>TEXT(B1540,"yyyy-mm")</f>
        <v/>
      </c>
      <c r="Q1540">
        <f>IF(O1540&gt;=3000,"Large","Small")</f>
        <v/>
      </c>
      <c r="R1540">
        <f>INDEX(Products!$F$2:$F$49,MATCH(J1540,Products!$A$2:$A$49,0))</f>
        <v/>
      </c>
      <c r="S1540">
        <f>WEEKDAY(B1540,2)</f>
        <v/>
      </c>
    </row>
    <row r="1541">
      <c r="A1541" t="n">
        <v>510114</v>
      </c>
      <c r="B1541" s="6" t="n">
        <v>45949</v>
      </c>
      <c r="C1541" t="n">
        <v>16773</v>
      </c>
      <c r="D1541" t="inlineStr">
        <is>
          <t>Bengaluru</t>
        </is>
      </c>
      <c r="E1541" t="inlineStr">
        <is>
          <t>South</t>
        </is>
      </c>
      <c r="F1541" t="inlineStr">
        <is>
          <t>Referral</t>
        </is>
      </c>
      <c r="G1541" t="inlineStr">
        <is>
          <t>Mobile Web</t>
        </is>
      </c>
      <c r="H1541" t="inlineStr">
        <is>
          <t>Credit Card</t>
        </is>
      </c>
      <c r="I1541" t="inlineStr">
        <is>
          <t>Delivered</t>
        </is>
      </c>
      <c r="J1541" t="n">
        <v>130</v>
      </c>
      <c r="K1541" t="n">
        <v>1</v>
      </c>
      <c r="L1541" t="n">
        <v>734</v>
      </c>
      <c r="M1541" t="n">
        <v>110.1</v>
      </c>
      <c r="N1541">
        <f>VLOOKUP(J1541,Products!$A$2:$C$49,3,FALSE)</f>
        <v/>
      </c>
      <c r="O1541">
        <f>K1541*L1541-M1541</f>
        <v/>
      </c>
      <c r="P1541">
        <f>TEXT(B1541,"yyyy-mm")</f>
        <v/>
      </c>
      <c r="Q1541">
        <f>IF(O1541&gt;=3000,"Large","Small")</f>
        <v/>
      </c>
      <c r="R1541">
        <f>INDEX(Products!$F$2:$F$49,MATCH(J1541,Products!$A$2:$A$49,0))</f>
        <v/>
      </c>
      <c r="S1541">
        <f>WEEKDAY(B1541,2)</f>
        <v/>
      </c>
    </row>
    <row r="1542">
      <c r="A1542" t="n">
        <v>510114</v>
      </c>
      <c r="B1542" s="6" t="n">
        <v>45949</v>
      </c>
      <c r="C1542" t="n">
        <v>16773</v>
      </c>
      <c r="D1542" t="inlineStr">
        <is>
          <t>Bengaluru</t>
        </is>
      </c>
      <c r="E1542" t="inlineStr">
        <is>
          <t>South</t>
        </is>
      </c>
      <c r="F1542" t="inlineStr">
        <is>
          <t>Referral</t>
        </is>
      </c>
      <c r="G1542" t="inlineStr">
        <is>
          <t>Mobile Web</t>
        </is>
      </c>
      <c r="H1542" t="inlineStr">
        <is>
          <t>Credit Card</t>
        </is>
      </c>
      <c r="I1542" t="inlineStr">
        <is>
          <t>Delivered</t>
        </is>
      </c>
      <c r="J1542" t="n">
        <v>129</v>
      </c>
      <c r="K1542" t="n">
        <v>1</v>
      </c>
      <c r="L1542" t="n">
        <v>576</v>
      </c>
      <c r="M1542" t="n">
        <v>86.40000000000001</v>
      </c>
      <c r="N1542">
        <f>VLOOKUP(J1542,Products!$A$2:$C$49,3,FALSE)</f>
        <v/>
      </c>
      <c r="O1542">
        <f>K1542*L1542-M1542</f>
        <v/>
      </c>
      <c r="P1542">
        <f>TEXT(B1542,"yyyy-mm")</f>
        <v/>
      </c>
      <c r="Q1542">
        <f>IF(O1542&gt;=3000,"Large","Small")</f>
        <v/>
      </c>
      <c r="R1542">
        <f>INDEX(Products!$F$2:$F$49,MATCH(J1542,Products!$A$2:$A$49,0))</f>
        <v/>
      </c>
      <c r="S1542">
        <f>WEEKDAY(B1542,2)</f>
        <v/>
      </c>
    </row>
    <row r="1543">
      <c r="A1543" t="n">
        <v>510115</v>
      </c>
      <c r="B1543" s="6" t="n">
        <v>45949</v>
      </c>
      <c r="C1543" t="n">
        <v>16862</v>
      </c>
      <c r="D1543" t="inlineStr">
        <is>
          <t>Bengaluru</t>
        </is>
      </c>
      <c r="E1543" t="inlineStr">
        <is>
          <t>South</t>
        </is>
      </c>
      <c r="F1543" t="inlineStr">
        <is>
          <t>Paid Search</t>
        </is>
      </c>
      <c r="G1543" t="inlineStr">
        <is>
          <t>Mobile Web</t>
        </is>
      </c>
      <c r="H1543" t="inlineStr">
        <is>
          <t>Debit Card</t>
        </is>
      </c>
      <c r="I1543" t="inlineStr">
        <is>
          <t>Delivered</t>
        </is>
      </c>
      <c r="J1543" t="n">
        <v>137</v>
      </c>
      <c r="K1543" t="n">
        <v>1</v>
      </c>
      <c r="L1543" t="n">
        <v>261</v>
      </c>
      <c r="M1543" t="n">
        <v>0</v>
      </c>
      <c r="N1543">
        <f>VLOOKUP(J1543,Products!$A$2:$C$49,3,FALSE)</f>
        <v/>
      </c>
      <c r="O1543">
        <f>K1543*L1543-M1543</f>
        <v/>
      </c>
      <c r="P1543">
        <f>TEXT(B1543,"yyyy-mm")</f>
        <v/>
      </c>
      <c r="Q1543">
        <f>IF(O1543&gt;=3000,"Large","Small")</f>
        <v/>
      </c>
      <c r="R1543">
        <f>INDEX(Products!$F$2:$F$49,MATCH(J1543,Products!$A$2:$A$49,0))</f>
        <v/>
      </c>
      <c r="S1543">
        <f>WEEKDAY(B1543,2)</f>
        <v/>
      </c>
    </row>
    <row r="1544">
      <c r="A1544" t="n">
        <v>510115</v>
      </c>
      <c r="B1544" s="6" t="n">
        <v>45949</v>
      </c>
      <c r="C1544" t="n">
        <v>16862</v>
      </c>
      <c r="D1544" t="inlineStr">
        <is>
          <t>Bengaluru</t>
        </is>
      </c>
      <c r="E1544" t="inlineStr">
        <is>
          <t>South</t>
        </is>
      </c>
      <c r="F1544" t="inlineStr">
        <is>
          <t>Paid Search</t>
        </is>
      </c>
      <c r="G1544" t="inlineStr">
        <is>
          <t>Mobile Web</t>
        </is>
      </c>
      <c r="H1544" t="inlineStr">
        <is>
          <t>Debit Card</t>
        </is>
      </c>
      <c r="I1544" t="inlineStr">
        <is>
          <t>Delivered</t>
        </is>
      </c>
      <c r="J1544" t="n">
        <v>102</v>
      </c>
      <c r="K1544" t="n">
        <v>1</v>
      </c>
      <c r="L1544" t="n">
        <v>3674</v>
      </c>
      <c r="M1544" t="n">
        <v>0</v>
      </c>
      <c r="N1544">
        <f>VLOOKUP(J1544,Products!$A$2:$C$49,3,FALSE)</f>
        <v/>
      </c>
      <c r="O1544">
        <f>K1544*L1544-M1544</f>
        <v/>
      </c>
      <c r="P1544">
        <f>TEXT(B1544,"yyyy-mm")</f>
        <v/>
      </c>
      <c r="Q1544">
        <f>IF(O1544&gt;=3000,"Large","Small")</f>
        <v/>
      </c>
      <c r="R1544">
        <f>INDEX(Products!$F$2:$F$49,MATCH(J1544,Products!$A$2:$A$49,0))</f>
        <v/>
      </c>
      <c r="S1544">
        <f>WEEKDAY(B1544,2)</f>
        <v/>
      </c>
    </row>
    <row r="1545">
      <c r="A1545" t="n">
        <v>510115</v>
      </c>
      <c r="B1545" s="6" t="n">
        <v>45949</v>
      </c>
      <c r="C1545" t="n">
        <v>16862</v>
      </c>
      <c r="D1545" t="inlineStr">
        <is>
          <t>Bengaluru</t>
        </is>
      </c>
      <c r="E1545" t="inlineStr">
        <is>
          <t>South</t>
        </is>
      </c>
      <c r="F1545" t="inlineStr">
        <is>
          <t>Paid Search</t>
        </is>
      </c>
      <c r="G1545" t="inlineStr">
        <is>
          <t>Mobile Web</t>
        </is>
      </c>
      <c r="H1545" t="inlineStr">
        <is>
          <t>Debit Card</t>
        </is>
      </c>
      <c r="I1545" t="inlineStr">
        <is>
          <t>Delivered</t>
        </is>
      </c>
      <c r="J1545" t="n">
        <v>129</v>
      </c>
      <c r="K1545" t="n">
        <v>1</v>
      </c>
      <c r="L1545" t="n">
        <v>576</v>
      </c>
      <c r="M1545" t="n">
        <v>0</v>
      </c>
      <c r="N1545">
        <f>VLOOKUP(J1545,Products!$A$2:$C$49,3,FALSE)</f>
        <v/>
      </c>
      <c r="O1545">
        <f>K1545*L1545-M1545</f>
        <v/>
      </c>
      <c r="P1545">
        <f>TEXT(B1545,"yyyy-mm")</f>
        <v/>
      </c>
      <c r="Q1545">
        <f>IF(O1545&gt;=3000,"Large","Small")</f>
        <v/>
      </c>
      <c r="R1545">
        <f>INDEX(Products!$F$2:$F$49,MATCH(J1545,Products!$A$2:$A$49,0))</f>
        <v/>
      </c>
      <c r="S1545">
        <f>WEEKDAY(B1545,2)</f>
        <v/>
      </c>
    </row>
    <row r="1546">
      <c r="A1546" t="n">
        <v>510116</v>
      </c>
      <c r="B1546" s="6" t="n">
        <v>45949</v>
      </c>
      <c r="C1546" t="n">
        <v>12960</v>
      </c>
      <c r="D1546" t="inlineStr">
        <is>
          <t>Hyderabad</t>
        </is>
      </c>
      <c r="E1546" t="inlineStr">
        <is>
          <t>South</t>
        </is>
      </c>
      <c r="F1546" t="inlineStr">
        <is>
          <t>Organic Search</t>
        </is>
      </c>
      <c r="G1546" t="inlineStr">
        <is>
          <t>Mobile App</t>
        </is>
      </c>
      <c r="H1546" t="inlineStr">
        <is>
          <t>UPI</t>
        </is>
      </c>
      <c r="I1546" t="inlineStr">
        <is>
          <t>Delivered</t>
        </is>
      </c>
      <c r="J1546" t="n">
        <v>127</v>
      </c>
      <c r="K1546" t="n">
        <v>1</v>
      </c>
      <c r="L1546" t="n">
        <v>681</v>
      </c>
      <c r="M1546" t="n">
        <v>68.09999999999999</v>
      </c>
      <c r="N1546">
        <f>VLOOKUP(J1546,Products!$A$2:$C$49,3,FALSE)</f>
        <v/>
      </c>
      <c r="O1546">
        <f>K1546*L1546-M1546</f>
        <v/>
      </c>
      <c r="P1546">
        <f>TEXT(B1546,"yyyy-mm")</f>
        <v/>
      </c>
      <c r="Q1546">
        <f>IF(O1546&gt;=3000,"Large","Small")</f>
        <v/>
      </c>
      <c r="R1546">
        <f>INDEX(Products!$F$2:$F$49,MATCH(J1546,Products!$A$2:$A$49,0))</f>
        <v/>
      </c>
      <c r="S1546">
        <f>WEEKDAY(B1546,2)</f>
        <v/>
      </c>
    </row>
    <row r="1547">
      <c r="A1547" t="n">
        <v>510116</v>
      </c>
      <c r="B1547" s="6" t="n">
        <v>45949</v>
      </c>
      <c r="C1547" t="n">
        <v>12960</v>
      </c>
      <c r="D1547" t="inlineStr">
        <is>
          <t>Hyderabad</t>
        </is>
      </c>
      <c r="E1547" t="inlineStr">
        <is>
          <t>South</t>
        </is>
      </c>
      <c r="F1547" t="inlineStr">
        <is>
          <t>Organic Search</t>
        </is>
      </c>
      <c r="G1547" t="inlineStr">
        <is>
          <t>Mobile App</t>
        </is>
      </c>
      <c r="H1547" t="inlineStr">
        <is>
          <t>UPI</t>
        </is>
      </c>
      <c r="I1547" t="inlineStr">
        <is>
          <t>Delivered</t>
        </is>
      </c>
      <c r="J1547" t="n">
        <v>113</v>
      </c>
      <c r="K1547" t="n">
        <v>1</v>
      </c>
      <c r="L1547" t="n">
        <v>1364</v>
      </c>
      <c r="M1547" t="n">
        <v>136.4</v>
      </c>
      <c r="N1547">
        <f>VLOOKUP(J1547,Products!$A$2:$C$49,3,FALSE)</f>
        <v/>
      </c>
      <c r="O1547">
        <f>K1547*L1547-M1547</f>
        <v/>
      </c>
      <c r="P1547">
        <f>TEXT(B1547,"yyyy-mm")</f>
        <v/>
      </c>
      <c r="Q1547">
        <f>IF(O1547&gt;=3000,"Large","Small")</f>
        <v/>
      </c>
      <c r="R1547">
        <f>INDEX(Products!$F$2:$F$49,MATCH(J1547,Products!$A$2:$A$49,0))</f>
        <v/>
      </c>
      <c r="S1547">
        <f>WEEKDAY(B1547,2)</f>
        <v/>
      </c>
    </row>
    <row r="1548">
      <c r="A1548" t="n">
        <v>510117</v>
      </c>
      <c r="B1548" s="6" t="n">
        <v>45949</v>
      </c>
      <c r="C1548" t="n">
        <v>15579</v>
      </c>
      <c r="D1548" t="inlineStr">
        <is>
          <t>Pune</t>
        </is>
      </c>
      <c r="E1548" t="inlineStr">
        <is>
          <t>West</t>
        </is>
      </c>
      <c r="F1548" t="inlineStr">
        <is>
          <t>Paid Search</t>
        </is>
      </c>
      <c r="G1548" t="inlineStr">
        <is>
          <t>Mobile App</t>
        </is>
      </c>
      <c r="H1548" t="inlineStr">
        <is>
          <t>UPI</t>
        </is>
      </c>
      <c r="I1548" t="inlineStr">
        <is>
          <t>Delivered</t>
        </is>
      </c>
      <c r="J1548" t="n">
        <v>108</v>
      </c>
      <c r="K1548" t="n">
        <v>1</v>
      </c>
      <c r="L1548" t="n">
        <v>419</v>
      </c>
      <c r="M1548" t="n">
        <v>41.9</v>
      </c>
      <c r="N1548">
        <f>VLOOKUP(J1548,Products!$A$2:$C$49,3,FALSE)</f>
        <v/>
      </c>
      <c r="O1548">
        <f>K1548*L1548-M1548</f>
        <v/>
      </c>
      <c r="P1548">
        <f>TEXT(B1548,"yyyy-mm")</f>
        <v/>
      </c>
      <c r="Q1548">
        <f>IF(O1548&gt;=3000,"Large","Small")</f>
        <v/>
      </c>
      <c r="R1548">
        <f>INDEX(Products!$F$2:$F$49,MATCH(J1548,Products!$A$2:$A$49,0))</f>
        <v/>
      </c>
      <c r="S1548">
        <f>WEEKDAY(B1548,2)</f>
        <v/>
      </c>
    </row>
    <row r="1549">
      <c r="A1549" t="n">
        <v>510118</v>
      </c>
      <c r="B1549" s="6" t="n">
        <v>45949</v>
      </c>
      <c r="C1549" t="n">
        <v>16827</v>
      </c>
      <c r="D1549" t="inlineStr">
        <is>
          <t>Mumbai</t>
        </is>
      </c>
      <c r="E1549" t="inlineStr">
        <is>
          <t>West</t>
        </is>
      </c>
      <c r="F1549" t="inlineStr">
        <is>
          <t>Paid Social</t>
        </is>
      </c>
      <c r="G1549" t="inlineStr">
        <is>
          <t>Mobile Web</t>
        </is>
      </c>
      <c r="H1549" t="inlineStr">
        <is>
          <t>UPI</t>
        </is>
      </c>
      <c r="I1549" t="inlineStr">
        <is>
          <t>Delivered</t>
        </is>
      </c>
      <c r="J1549" t="n">
        <v>110</v>
      </c>
      <c r="K1549" t="n">
        <v>1</v>
      </c>
      <c r="L1549" t="n">
        <v>839</v>
      </c>
      <c r="M1549" t="n">
        <v>0</v>
      </c>
      <c r="N1549">
        <f>VLOOKUP(J1549,Products!$A$2:$C$49,3,FALSE)</f>
        <v/>
      </c>
      <c r="O1549">
        <f>K1549*L1549-M1549</f>
        <v/>
      </c>
      <c r="P1549">
        <f>TEXT(B1549,"yyyy-mm")</f>
        <v/>
      </c>
      <c r="Q1549">
        <f>IF(O1549&gt;=3000,"Large","Small")</f>
        <v/>
      </c>
      <c r="R1549">
        <f>INDEX(Products!$F$2:$F$49,MATCH(J1549,Products!$A$2:$A$49,0))</f>
        <v/>
      </c>
      <c r="S1549">
        <f>WEEKDAY(B1549,2)</f>
        <v/>
      </c>
    </row>
    <row r="1550">
      <c r="A1550" t="n">
        <v>510118</v>
      </c>
      <c r="B1550" s="6" t="n">
        <v>45949</v>
      </c>
      <c r="C1550" t="n">
        <v>16827</v>
      </c>
      <c r="D1550" t="inlineStr">
        <is>
          <t>Mumbai</t>
        </is>
      </c>
      <c r="E1550" t="inlineStr">
        <is>
          <t>West</t>
        </is>
      </c>
      <c r="F1550" t="inlineStr">
        <is>
          <t>Paid Social</t>
        </is>
      </c>
      <c r="G1550" t="inlineStr">
        <is>
          <t>Mobile Web</t>
        </is>
      </c>
      <c r="H1550" t="inlineStr">
        <is>
          <t>UPI</t>
        </is>
      </c>
      <c r="I1550" t="inlineStr">
        <is>
          <t>Delivered</t>
        </is>
      </c>
      <c r="J1550" t="n">
        <v>127</v>
      </c>
      <c r="K1550" t="n">
        <v>1</v>
      </c>
      <c r="L1550" t="n">
        <v>681</v>
      </c>
      <c r="M1550" t="n">
        <v>0</v>
      </c>
      <c r="N1550">
        <f>VLOOKUP(J1550,Products!$A$2:$C$49,3,FALSE)</f>
        <v/>
      </c>
      <c r="O1550">
        <f>K1550*L1550-M1550</f>
        <v/>
      </c>
      <c r="P1550">
        <f>TEXT(B1550,"yyyy-mm")</f>
        <v/>
      </c>
      <c r="Q1550">
        <f>IF(O1550&gt;=3000,"Large","Small")</f>
        <v/>
      </c>
      <c r="R1550">
        <f>INDEX(Products!$F$2:$F$49,MATCH(J1550,Products!$A$2:$A$49,0))</f>
        <v/>
      </c>
      <c r="S1550">
        <f>WEEKDAY(B1550,2)</f>
        <v/>
      </c>
    </row>
    <row r="1551">
      <c r="A1551" t="n">
        <v>510118</v>
      </c>
      <c r="B1551" s="6" t="n">
        <v>45949</v>
      </c>
      <c r="C1551" t="n">
        <v>16827</v>
      </c>
      <c r="D1551" t="inlineStr">
        <is>
          <t>Mumbai</t>
        </is>
      </c>
      <c r="E1551" t="inlineStr">
        <is>
          <t>West</t>
        </is>
      </c>
      <c r="F1551" t="inlineStr">
        <is>
          <t>Paid Social</t>
        </is>
      </c>
      <c r="G1551" t="inlineStr">
        <is>
          <t>Mobile Web</t>
        </is>
      </c>
      <c r="H1551" t="inlineStr">
        <is>
          <t>UPI</t>
        </is>
      </c>
      <c r="I1551" t="inlineStr">
        <is>
          <t>Delivered</t>
        </is>
      </c>
      <c r="J1551" t="n">
        <v>145</v>
      </c>
      <c r="K1551" t="n">
        <v>1</v>
      </c>
      <c r="L1551" t="n">
        <v>629</v>
      </c>
      <c r="M1551" t="n">
        <v>0</v>
      </c>
      <c r="N1551">
        <f>VLOOKUP(J1551,Products!$A$2:$C$49,3,FALSE)</f>
        <v/>
      </c>
      <c r="O1551">
        <f>K1551*L1551-M1551</f>
        <v/>
      </c>
      <c r="P1551">
        <f>TEXT(B1551,"yyyy-mm")</f>
        <v/>
      </c>
      <c r="Q1551">
        <f>IF(O1551&gt;=3000,"Large","Small")</f>
        <v/>
      </c>
      <c r="R1551">
        <f>INDEX(Products!$F$2:$F$49,MATCH(J1551,Products!$A$2:$A$49,0))</f>
        <v/>
      </c>
      <c r="S1551">
        <f>WEEKDAY(B1551,2)</f>
        <v/>
      </c>
    </row>
    <row r="1552">
      <c r="A1552" t="n">
        <v>510118</v>
      </c>
      <c r="B1552" s="6" t="n">
        <v>45949</v>
      </c>
      <c r="C1552" t="n">
        <v>16827</v>
      </c>
      <c r="D1552" t="inlineStr">
        <is>
          <t>Mumbai</t>
        </is>
      </c>
      <c r="E1552" t="inlineStr">
        <is>
          <t>West</t>
        </is>
      </c>
      <c r="F1552" t="inlineStr">
        <is>
          <t>Paid Social</t>
        </is>
      </c>
      <c r="G1552" t="inlineStr">
        <is>
          <t>Mobile Web</t>
        </is>
      </c>
      <c r="H1552" t="inlineStr">
        <is>
          <t>UPI</t>
        </is>
      </c>
      <c r="I1552" t="inlineStr">
        <is>
          <t>Delivered</t>
        </is>
      </c>
      <c r="J1552" t="n">
        <v>129</v>
      </c>
      <c r="K1552" t="n">
        <v>1</v>
      </c>
      <c r="L1552" t="n">
        <v>576</v>
      </c>
      <c r="M1552" t="n">
        <v>0</v>
      </c>
      <c r="N1552">
        <f>VLOOKUP(J1552,Products!$A$2:$C$49,3,FALSE)</f>
        <v/>
      </c>
      <c r="O1552">
        <f>K1552*L1552-M1552</f>
        <v/>
      </c>
      <c r="P1552">
        <f>TEXT(B1552,"yyyy-mm")</f>
        <v/>
      </c>
      <c r="Q1552">
        <f>IF(O1552&gt;=3000,"Large","Small")</f>
        <v/>
      </c>
      <c r="R1552">
        <f>INDEX(Products!$F$2:$F$49,MATCH(J1552,Products!$A$2:$A$49,0))</f>
        <v/>
      </c>
      <c r="S1552">
        <f>WEEKDAY(B1552,2)</f>
        <v/>
      </c>
    </row>
    <row r="1553">
      <c r="A1553" t="n">
        <v>510119</v>
      </c>
      <c r="B1553" s="6" t="n">
        <v>45949</v>
      </c>
      <c r="C1553" t="n">
        <v>16593</v>
      </c>
      <c r="D1553" t="inlineStr">
        <is>
          <t>Mumbai</t>
        </is>
      </c>
      <c r="E1553" t="inlineStr">
        <is>
          <t>West</t>
        </is>
      </c>
      <c r="F1553" t="inlineStr">
        <is>
          <t>Referral</t>
        </is>
      </c>
      <c r="G1553" t="inlineStr">
        <is>
          <t>Mobile App</t>
        </is>
      </c>
      <c r="H1553" t="inlineStr">
        <is>
          <t>UPI</t>
        </is>
      </c>
      <c r="I1553" t="inlineStr">
        <is>
          <t>Delivered</t>
        </is>
      </c>
      <c r="J1553" t="n">
        <v>120</v>
      </c>
      <c r="K1553" t="n">
        <v>2</v>
      </c>
      <c r="L1553" t="n">
        <v>734</v>
      </c>
      <c r="M1553" t="n">
        <v>146.8</v>
      </c>
      <c r="N1553">
        <f>VLOOKUP(J1553,Products!$A$2:$C$49,3,FALSE)</f>
        <v/>
      </c>
      <c r="O1553">
        <f>K1553*L1553-M1553</f>
        <v/>
      </c>
      <c r="P1553">
        <f>TEXT(B1553,"yyyy-mm")</f>
        <v/>
      </c>
      <c r="Q1553">
        <f>IF(O1553&gt;=3000,"Large","Small")</f>
        <v/>
      </c>
      <c r="R1553">
        <f>INDEX(Products!$F$2:$F$49,MATCH(J1553,Products!$A$2:$A$49,0))</f>
        <v/>
      </c>
      <c r="S1553">
        <f>WEEKDAY(B1553,2)</f>
        <v/>
      </c>
    </row>
    <row r="1554">
      <c r="A1554" t="n">
        <v>510119</v>
      </c>
      <c r="B1554" s="6" t="n">
        <v>45949</v>
      </c>
      <c r="C1554" t="n">
        <v>16593</v>
      </c>
      <c r="D1554" t="inlineStr">
        <is>
          <t>Mumbai</t>
        </is>
      </c>
      <c r="E1554" t="inlineStr">
        <is>
          <t>West</t>
        </is>
      </c>
      <c r="F1554" t="inlineStr">
        <is>
          <t>Referral</t>
        </is>
      </c>
      <c r="G1554" t="inlineStr">
        <is>
          <t>Mobile App</t>
        </is>
      </c>
      <c r="H1554" t="inlineStr">
        <is>
          <t>UPI</t>
        </is>
      </c>
      <c r="I1554" t="inlineStr">
        <is>
          <t>Delivered</t>
        </is>
      </c>
      <c r="J1554" t="n">
        <v>118</v>
      </c>
      <c r="K1554" t="n">
        <v>2</v>
      </c>
      <c r="L1554" t="n">
        <v>944</v>
      </c>
      <c r="M1554" t="n">
        <v>188.8</v>
      </c>
      <c r="N1554">
        <f>VLOOKUP(J1554,Products!$A$2:$C$49,3,FALSE)</f>
        <v/>
      </c>
      <c r="O1554">
        <f>K1554*L1554-M1554</f>
        <v/>
      </c>
      <c r="P1554">
        <f>TEXT(B1554,"yyyy-mm")</f>
        <v/>
      </c>
      <c r="Q1554">
        <f>IF(O1554&gt;=3000,"Large","Small")</f>
        <v/>
      </c>
      <c r="R1554">
        <f>INDEX(Products!$F$2:$F$49,MATCH(J1554,Products!$A$2:$A$49,0))</f>
        <v/>
      </c>
      <c r="S1554">
        <f>WEEKDAY(B1554,2)</f>
        <v/>
      </c>
    </row>
    <row r="1555">
      <c r="A1555" t="n">
        <v>510120</v>
      </c>
      <c r="B1555" s="6" t="n">
        <v>45949</v>
      </c>
      <c r="C1555" t="n">
        <v>16914</v>
      </c>
      <c r="D1555" t="inlineStr">
        <is>
          <t>Bengaluru</t>
        </is>
      </c>
      <c r="E1555" t="inlineStr">
        <is>
          <t>South</t>
        </is>
      </c>
      <c r="F1555" t="inlineStr">
        <is>
          <t>Paid Search</t>
        </is>
      </c>
      <c r="G1555" t="inlineStr">
        <is>
          <t>Desktop</t>
        </is>
      </c>
      <c r="H1555" t="inlineStr">
        <is>
          <t>UPI</t>
        </is>
      </c>
      <c r="I1555" t="inlineStr">
        <is>
          <t>Delivered</t>
        </is>
      </c>
      <c r="J1555" t="n">
        <v>140</v>
      </c>
      <c r="K1555" t="n">
        <v>1</v>
      </c>
      <c r="L1555" t="n">
        <v>629</v>
      </c>
      <c r="M1555" t="n">
        <v>62.9</v>
      </c>
      <c r="N1555">
        <f>VLOOKUP(J1555,Products!$A$2:$C$49,3,FALSE)</f>
        <v/>
      </c>
      <c r="O1555">
        <f>K1555*L1555-M1555</f>
        <v/>
      </c>
      <c r="P1555">
        <f>TEXT(B1555,"yyyy-mm")</f>
        <v/>
      </c>
      <c r="Q1555">
        <f>IF(O1555&gt;=3000,"Large","Small")</f>
        <v/>
      </c>
      <c r="R1555">
        <f>INDEX(Products!$F$2:$F$49,MATCH(J1555,Products!$A$2:$A$49,0))</f>
        <v/>
      </c>
      <c r="S1555">
        <f>WEEKDAY(B1555,2)</f>
        <v/>
      </c>
    </row>
    <row r="1556">
      <c r="A1556" t="n">
        <v>510120</v>
      </c>
      <c r="B1556" s="6" t="n">
        <v>45949</v>
      </c>
      <c r="C1556" t="n">
        <v>16914</v>
      </c>
      <c r="D1556" t="inlineStr">
        <is>
          <t>Bengaluru</t>
        </is>
      </c>
      <c r="E1556" t="inlineStr">
        <is>
          <t>South</t>
        </is>
      </c>
      <c r="F1556" t="inlineStr">
        <is>
          <t>Paid Search</t>
        </is>
      </c>
      <c r="G1556" t="inlineStr">
        <is>
          <t>Desktop</t>
        </is>
      </c>
      <c r="H1556" t="inlineStr">
        <is>
          <t>UPI</t>
        </is>
      </c>
      <c r="I1556" t="inlineStr">
        <is>
          <t>Delivered</t>
        </is>
      </c>
      <c r="J1556" t="n">
        <v>129</v>
      </c>
      <c r="K1556" t="n">
        <v>1</v>
      </c>
      <c r="L1556" t="n">
        <v>576</v>
      </c>
      <c r="M1556" t="n">
        <v>57.6</v>
      </c>
      <c r="N1556">
        <f>VLOOKUP(J1556,Products!$A$2:$C$49,3,FALSE)</f>
        <v/>
      </c>
      <c r="O1556">
        <f>K1556*L1556-M1556</f>
        <v/>
      </c>
      <c r="P1556">
        <f>TEXT(B1556,"yyyy-mm")</f>
        <v/>
      </c>
      <c r="Q1556">
        <f>IF(O1556&gt;=3000,"Large","Small")</f>
        <v/>
      </c>
      <c r="R1556">
        <f>INDEX(Products!$F$2:$F$49,MATCH(J1556,Products!$A$2:$A$49,0))</f>
        <v/>
      </c>
      <c r="S1556">
        <f>WEEKDAY(B1556,2)</f>
        <v/>
      </c>
    </row>
    <row r="1557">
      <c r="A1557" t="n">
        <v>510121</v>
      </c>
      <c r="B1557" s="6" t="n">
        <v>45949</v>
      </c>
      <c r="C1557" t="n">
        <v>15589</v>
      </c>
      <c r="D1557" t="inlineStr">
        <is>
          <t>Chennai</t>
        </is>
      </c>
      <c r="E1557" t="inlineStr">
        <is>
          <t>South</t>
        </is>
      </c>
      <c r="F1557" t="inlineStr">
        <is>
          <t>Paid Search</t>
        </is>
      </c>
      <c r="G1557" t="inlineStr">
        <is>
          <t>Mobile Web</t>
        </is>
      </c>
      <c r="H1557" t="inlineStr">
        <is>
          <t>Net Banking</t>
        </is>
      </c>
      <c r="I1557" t="inlineStr">
        <is>
          <t>Returned</t>
        </is>
      </c>
      <c r="J1557" t="n">
        <v>141</v>
      </c>
      <c r="K1557" t="n">
        <v>1</v>
      </c>
      <c r="L1557" t="n">
        <v>261</v>
      </c>
      <c r="M1557" t="n">
        <v>26.1</v>
      </c>
      <c r="N1557">
        <f>VLOOKUP(J1557,Products!$A$2:$C$49,3,FALSE)</f>
        <v/>
      </c>
      <c r="O1557">
        <f>K1557*L1557-M1557</f>
        <v/>
      </c>
      <c r="P1557">
        <f>TEXT(B1557,"yyyy-mm")</f>
        <v/>
      </c>
      <c r="Q1557">
        <f>IF(O1557&gt;=3000,"Large","Small")</f>
        <v/>
      </c>
      <c r="R1557">
        <f>INDEX(Products!$F$2:$F$49,MATCH(J1557,Products!$A$2:$A$49,0))</f>
        <v/>
      </c>
      <c r="S1557">
        <f>WEEKDAY(B1557,2)</f>
        <v/>
      </c>
    </row>
    <row r="1558">
      <c r="A1558" t="n">
        <v>510122</v>
      </c>
      <c r="B1558" s="6" t="n">
        <v>45949</v>
      </c>
      <c r="C1558" t="n">
        <v>13144</v>
      </c>
      <c r="D1558" t="inlineStr">
        <is>
          <t>Chennai</t>
        </is>
      </c>
      <c r="E1558" t="inlineStr">
        <is>
          <t>South</t>
        </is>
      </c>
      <c r="F1558" t="inlineStr">
        <is>
          <t>Paid Social</t>
        </is>
      </c>
      <c r="G1558" t="inlineStr">
        <is>
          <t>Mobile App</t>
        </is>
      </c>
      <c r="H1558" t="inlineStr">
        <is>
          <t>UPI</t>
        </is>
      </c>
      <c r="I1558" t="inlineStr">
        <is>
          <t>Delivered</t>
        </is>
      </c>
      <c r="J1558" t="n">
        <v>131</v>
      </c>
      <c r="K1558" t="n">
        <v>1</v>
      </c>
      <c r="L1558" t="n">
        <v>314</v>
      </c>
      <c r="M1558" t="n">
        <v>31.4</v>
      </c>
      <c r="N1558">
        <f>VLOOKUP(J1558,Products!$A$2:$C$49,3,FALSE)</f>
        <v/>
      </c>
      <c r="O1558">
        <f>K1558*L1558-M1558</f>
        <v/>
      </c>
      <c r="P1558">
        <f>TEXT(B1558,"yyyy-mm")</f>
        <v/>
      </c>
      <c r="Q1558">
        <f>IF(O1558&gt;=3000,"Large","Small")</f>
        <v/>
      </c>
      <c r="R1558">
        <f>INDEX(Products!$F$2:$F$49,MATCH(J1558,Products!$A$2:$A$49,0))</f>
        <v/>
      </c>
      <c r="S1558">
        <f>WEEKDAY(B1558,2)</f>
        <v/>
      </c>
    </row>
    <row r="1559">
      <c r="A1559" t="n">
        <v>510123</v>
      </c>
      <c r="B1559" s="6" t="n">
        <v>45949</v>
      </c>
      <c r="C1559" t="n">
        <v>14434</v>
      </c>
      <c r="D1559" t="inlineStr">
        <is>
          <t>Hyderabad</t>
        </is>
      </c>
      <c r="E1559" t="inlineStr">
        <is>
          <t>South</t>
        </is>
      </c>
      <c r="F1559" t="inlineStr">
        <is>
          <t>Referral</t>
        </is>
      </c>
      <c r="G1559" t="inlineStr">
        <is>
          <t>Desktop</t>
        </is>
      </c>
      <c r="H1559" t="inlineStr">
        <is>
          <t>UPI</t>
        </is>
      </c>
      <c r="I1559" t="inlineStr">
        <is>
          <t>Delivered</t>
        </is>
      </c>
      <c r="J1559" t="n">
        <v>103</v>
      </c>
      <c r="K1559" t="n">
        <v>1</v>
      </c>
      <c r="L1559" t="n">
        <v>2624</v>
      </c>
      <c r="M1559" t="n">
        <v>262.4</v>
      </c>
      <c r="N1559">
        <f>VLOOKUP(J1559,Products!$A$2:$C$49,3,FALSE)</f>
        <v/>
      </c>
      <c r="O1559">
        <f>K1559*L1559-M1559</f>
        <v/>
      </c>
      <c r="P1559">
        <f>TEXT(B1559,"yyyy-mm")</f>
        <v/>
      </c>
      <c r="Q1559">
        <f>IF(O1559&gt;=3000,"Large","Small")</f>
        <v/>
      </c>
      <c r="R1559">
        <f>INDEX(Products!$F$2:$F$49,MATCH(J1559,Products!$A$2:$A$49,0))</f>
        <v/>
      </c>
      <c r="S1559">
        <f>WEEKDAY(B1559,2)</f>
        <v/>
      </c>
    </row>
    <row r="1560">
      <c r="A1560" t="n">
        <v>510124</v>
      </c>
      <c r="B1560" s="6" t="n">
        <v>45949</v>
      </c>
      <c r="C1560" t="n">
        <v>13186</v>
      </c>
      <c r="D1560" t="inlineStr">
        <is>
          <t>Bengaluru</t>
        </is>
      </c>
      <c r="E1560" t="inlineStr">
        <is>
          <t>South</t>
        </is>
      </c>
      <c r="F1560" t="inlineStr">
        <is>
          <t>Affiliate</t>
        </is>
      </c>
      <c r="G1560" t="inlineStr">
        <is>
          <t>Mobile App</t>
        </is>
      </c>
      <c r="H1560" t="inlineStr">
        <is>
          <t>Credit Card</t>
        </is>
      </c>
      <c r="I1560" t="inlineStr">
        <is>
          <t>Delivered</t>
        </is>
      </c>
      <c r="J1560" t="n">
        <v>123</v>
      </c>
      <c r="K1560" t="n">
        <v>1</v>
      </c>
      <c r="L1560" t="n">
        <v>3464</v>
      </c>
      <c r="M1560" t="n">
        <v>0</v>
      </c>
      <c r="N1560">
        <f>VLOOKUP(J1560,Products!$A$2:$C$49,3,FALSE)</f>
        <v/>
      </c>
      <c r="O1560">
        <f>K1560*L1560-M1560</f>
        <v/>
      </c>
      <c r="P1560">
        <f>TEXT(B1560,"yyyy-mm")</f>
        <v/>
      </c>
      <c r="Q1560">
        <f>IF(O1560&gt;=3000,"Large","Small")</f>
        <v/>
      </c>
      <c r="R1560">
        <f>INDEX(Products!$F$2:$F$49,MATCH(J1560,Products!$A$2:$A$49,0))</f>
        <v/>
      </c>
      <c r="S1560">
        <f>WEEKDAY(B1560,2)</f>
        <v/>
      </c>
    </row>
    <row r="1561">
      <c r="A1561" t="n">
        <v>510124</v>
      </c>
      <c r="B1561" s="6" t="n">
        <v>45949</v>
      </c>
      <c r="C1561" t="n">
        <v>13186</v>
      </c>
      <c r="D1561" t="inlineStr">
        <is>
          <t>Bengaluru</t>
        </is>
      </c>
      <c r="E1561" t="inlineStr">
        <is>
          <t>South</t>
        </is>
      </c>
      <c r="F1561" t="inlineStr">
        <is>
          <t>Affiliate</t>
        </is>
      </c>
      <c r="G1561" t="inlineStr">
        <is>
          <t>Mobile App</t>
        </is>
      </c>
      <c r="H1561" t="inlineStr">
        <is>
          <t>Credit Card</t>
        </is>
      </c>
      <c r="I1561" t="inlineStr">
        <is>
          <t>Delivered</t>
        </is>
      </c>
      <c r="J1561" t="n">
        <v>129</v>
      </c>
      <c r="K1561" t="n">
        <v>1</v>
      </c>
      <c r="L1561" t="n">
        <v>576</v>
      </c>
      <c r="M1561" t="n">
        <v>0</v>
      </c>
      <c r="N1561">
        <f>VLOOKUP(J1561,Products!$A$2:$C$49,3,FALSE)</f>
        <v/>
      </c>
      <c r="O1561">
        <f>K1561*L1561-M1561</f>
        <v/>
      </c>
      <c r="P1561">
        <f>TEXT(B1561,"yyyy-mm")</f>
        <v/>
      </c>
      <c r="Q1561">
        <f>IF(O1561&gt;=3000,"Large","Small")</f>
        <v/>
      </c>
      <c r="R1561">
        <f>INDEX(Products!$F$2:$F$49,MATCH(J1561,Products!$A$2:$A$49,0))</f>
        <v/>
      </c>
      <c r="S1561">
        <f>WEEKDAY(B1561,2)</f>
        <v/>
      </c>
    </row>
    <row r="1562">
      <c r="A1562" t="n">
        <v>510125</v>
      </c>
      <c r="B1562" s="6" t="n">
        <v>45949</v>
      </c>
      <c r="C1562" t="n">
        <v>13134</v>
      </c>
      <c r="D1562" t="inlineStr">
        <is>
          <t>Delhi</t>
        </is>
      </c>
      <c r="E1562" t="inlineStr">
        <is>
          <t>North</t>
        </is>
      </c>
      <c r="F1562" t="inlineStr">
        <is>
          <t>Organic Search</t>
        </is>
      </c>
      <c r="G1562" t="inlineStr">
        <is>
          <t>Mobile Web</t>
        </is>
      </c>
      <c r="H1562" t="inlineStr">
        <is>
          <t>Net Banking</t>
        </is>
      </c>
      <c r="I1562" t="inlineStr">
        <is>
          <t>Delivered</t>
        </is>
      </c>
      <c r="J1562" t="n">
        <v>107</v>
      </c>
      <c r="K1562" t="n">
        <v>1</v>
      </c>
      <c r="L1562" t="n">
        <v>1259</v>
      </c>
      <c r="M1562" t="n">
        <v>0</v>
      </c>
      <c r="N1562">
        <f>VLOOKUP(J1562,Products!$A$2:$C$49,3,FALSE)</f>
        <v/>
      </c>
      <c r="O1562">
        <f>K1562*L1562-M1562</f>
        <v/>
      </c>
      <c r="P1562">
        <f>TEXT(B1562,"yyyy-mm")</f>
        <v/>
      </c>
      <c r="Q1562">
        <f>IF(O1562&gt;=3000,"Large","Small")</f>
        <v/>
      </c>
      <c r="R1562">
        <f>INDEX(Products!$F$2:$F$49,MATCH(J1562,Products!$A$2:$A$49,0))</f>
        <v/>
      </c>
      <c r="S1562">
        <f>WEEKDAY(B1562,2)</f>
        <v/>
      </c>
    </row>
    <row r="1563">
      <c r="A1563" t="n">
        <v>510125</v>
      </c>
      <c r="B1563" s="6" t="n">
        <v>45949</v>
      </c>
      <c r="C1563" t="n">
        <v>13134</v>
      </c>
      <c r="D1563" t="inlineStr">
        <is>
          <t>Delhi</t>
        </is>
      </c>
      <c r="E1563" t="inlineStr">
        <is>
          <t>North</t>
        </is>
      </c>
      <c r="F1563" t="inlineStr">
        <is>
          <t>Organic Search</t>
        </is>
      </c>
      <c r="G1563" t="inlineStr">
        <is>
          <t>Mobile Web</t>
        </is>
      </c>
      <c r="H1563" t="inlineStr">
        <is>
          <t>Net Banking</t>
        </is>
      </c>
      <c r="I1563" t="inlineStr">
        <is>
          <t>Delivered</t>
        </is>
      </c>
      <c r="J1563" t="n">
        <v>113</v>
      </c>
      <c r="K1563" t="n">
        <v>1</v>
      </c>
      <c r="L1563" t="n">
        <v>1364</v>
      </c>
      <c r="M1563" t="n">
        <v>0</v>
      </c>
      <c r="N1563">
        <f>VLOOKUP(J1563,Products!$A$2:$C$49,3,FALSE)</f>
        <v/>
      </c>
      <c r="O1563">
        <f>K1563*L1563-M1563</f>
        <v/>
      </c>
      <c r="P1563">
        <f>TEXT(B1563,"yyyy-mm")</f>
        <v/>
      </c>
      <c r="Q1563">
        <f>IF(O1563&gt;=3000,"Large","Small")</f>
        <v/>
      </c>
      <c r="R1563">
        <f>INDEX(Products!$F$2:$F$49,MATCH(J1563,Products!$A$2:$A$49,0))</f>
        <v/>
      </c>
      <c r="S1563">
        <f>WEEKDAY(B1563,2)</f>
        <v/>
      </c>
    </row>
    <row r="1564">
      <c r="A1564" t="n">
        <v>510125</v>
      </c>
      <c r="B1564" s="6" t="n">
        <v>45949</v>
      </c>
      <c r="C1564" t="n">
        <v>13134</v>
      </c>
      <c r="D1564" t="inlineStr">
        <is>
          <t>Delhi</t>
        </is>
      </c>
      <c r="E1564" t="inlineStr">
        <is>
          <t>North</t>
        </is>
      </c>
      <c r="F1564" t="inlineStr">
        <is>
          <t>Organic Search</t>
        </is>
      </c>
      <c r="G1564" t="inlineStr">
        <is>
          <t>Mobile Web</t>
        </is>
      </c>
      <c r="H1564" t="inlineStr">
        <is>
          <t>Net Banking</t>
        </is>
      </c>
      <c r="I1564" t="inlineStr">
        <is>
          <t>Delivered</t>
        </is>
      </c>
      <c r="J1564" t="n">
        <v>140</v>
      </c>
      <c r="K1564" t="n">
        <v>1</v>
      </c>
      <c r="L1564" t="n">
        <v>629</v>
      </c>
      <c r="M1564" t="n">
        <v>0</v>
      </c>
      <c r="N1564">
        <f>VLOOKUP(J1564,Products!$A$2:$C$49,3,FALSE)</f>
        <v/>
      </c>
      <c r="O1564">
        <f>K1564*L1564-M1564</f>
        <v/>
      </c>
      <c r="P1564">
        <f>TEXT(B1564,"yyyy-mm")</f>
        <v/>
      </c>
      <c r="Q1564">
        <f>IF(O1564&gt;=3000,"Large","Small")</f>
        <v/>
      </c>
      <c r="R1564">
        <f>INDEX(Products!$F$2:$F$49,MATCH(J1564,Products!$A$2:$A$49,0))</f>
        <v/>
      </c>
      <c r="S1564">
        <f>WEEKDAY(B1564,2)</f>
        <v/>
      </c>
    </row>
    <row r="1565">
      <c r="A1565" t="n">
        <v>510126</v>
      </c>
      <c r="B1565" s="6" t="n">
        <v>45949</v>
      </c>
      <c r="C1565" t="n">
        <v>16878</v>
      </c>
      <c r="D1565" t="inlineStr">
        <is>
          <t>Bengaluru</t>
        </is>
      </c>
      <c r="E1565" t="inlineStr">
        <is>
          <t>South</t>
        </is>
      </c>
      <c r="F1565" t="inlineStr">
        <is>
          <t>Email</t>
        </is>
      </c>
      <c r="G1565" t="inlineStr">
        <is>
          <t>Mobile Web</t>
        </is>
      </c>
      <c r="H1565" t="inlineStr">
        <is>
          <t>Credit Card</t>
        </is>
      </c>
      <c r="I1565" t="inlineStr">
        <is>
          <t>Delivered</t>
        </is>
      </c>
      <c r="J1565" t="n">
        <v>107</v>
      </c>
      <c r="K1565" t="n">
        <v>1</v>
      </c>
      <c r="L1565" t="n">
        <v>1259</v>
      </c>
      <c r="M1565" t="n">
        <v>0</v>
      </c>
      <c r="N1565">
        <f>VLOOKUP(J1565,Products!$A$2:$C$49,3,FALSE)</f>
        <v/>
      </c>
      <c r="O1565">
        <f>K1565*L1565-M1565</f>
        <v/>
      </c>
      <c r="P1565">
        <f>TEXT(B1565,"yyyy-mm")</f>
        <v/>
      </c>
      <c r="Q1565">
        <f>IF(O1565&gt;=3000,"Large","Small")</f>
        <v/>
      </c>
      <c r="R1565">
        <f>INDEX(Products!$F$2:$F$49,MATCH(J1565,Products!$A$2:$A$49,0))</f>
        <v/>
      </c>
      <c r="S1565">
        <f>WEEKDAY(B1565,2)</f>
        <v/>
      </c>
    </row>
    <row r="1566">
      <c r="A1566" t="n">
        <v>510127</v>
      </c>
      <c r="B1566" s="6" t="n">
        <v>45949</v>
      </c>
      <c r="C1566" t="n">
        <v>11076</v>
      </c>
      <c r="D1566" t="inlineStr">
        <is>
          <t>Delhi</t>
        </is>
      </c>
      <c r="E1566" t="inlineStr">
        <is>
          <t>North</t>
        </is>
      </c>
      <c r="F1566" t="inlineStr">
        <is>
          <t>Paid Search</t>
        </is>
      </c>
      <c r="G1566" t="inlineStr">
        <is>
          <t>Mobile App</t>
        </is>
      </c>
      <c r="H1566" t="inlineStr">
        <is>
          <t>UPI</t>
        </is>
      </c>
      <c r="I1566" t="inlineStr">
        <is>
          <t>Delivered</t>
        </is>
      </c>
      <c r="J1566" t="n">
        <v>131</v>
      </c>
      <c r="K1566" t="n">
        <v>1</v>
      </c>
      <c r="L1566" t="n">
        <v>314</v>
      </c>
      <c r="M1566" t="n">
        <v>31.4</v>
      </c>
      <c r="N1566">
        <f>VLOOKUP(J1566,Products!$A$2:$C$49,3,FALSE)</f>
        <v/>
      </c>
      <c r="O1566">
        <f>K1566*L1566-M1566</f>
        <v/>
      </c>
      <c r="P1566">
        <f>TEXT(B1566,"yyyy-mm")</f>
        <v/>
      </c>
      <c r="Q1566">
        <f>IF(O1566&gt;=3000,"Large","Small")</f>
        <v/>
      </c>
      <c r="R1566">
        <f>INDEX(Products!$F$2:$F$49,MATCH(J1566,Products!$A$2:$A$49,0))</f>
        <v/>
      </c>
      <c r="S1566">
        <f>WEEKDAY(B1566,2)</f>
        <v/>
      </c>
    </row>
    <row r="1567">
      <c r="A1567" t="n">
        <v>510128</v>
      </c>
      <c r="B1567" s="6" t="n">
        <v>45949</v>
      </c>
      <c r="C1567" t="n">
        <v>16870</v>
      </c>
      <c r="D1567" t="inlineStr">
        <is>
          <t>Gurugram</t>
        </is>
      </c>
      <c r="E1567" t="inlineStr">
        <is>
          <t>North</t>
        </is>
      </c>
      <c r="F1567" t="inlineStr">
        <is>
          <t>Organic Search</t>
        </is>
      </c>
      <c r="G1567" t="inlineStr">
        <is>
          <t>Mobile App</t>
        </is>
      </c>
      <c r="H1567" t="inlineStr">
        <is>
          <t>UPI</t>
        </is>
      </c>
      <c r="I1567" t="inlineStr">
        <is>
          <t>Delivered</t>
        </is>
      </c>
      <c r="J1567" t="n">
        <v>138</v>
      </c>
      <c r="K1567" t="n">
        <v>1</v>
      </c>
      <c r="L1567" t="n">
        <v>419</v>
      </c>
      <c r="M1567" t="n">
        <v>62.85</v>
      </c>
      <c r="N1567">
        <f>VLOOKUP(J1567,Products!$A$2:$C$49,3,FALSE)</f>
        <v/>
      </c>
      <c r="O1567">
        <f>K1567*L1567-M1567</f>
        <v/>
      </c>
      <c r="P1567">
        <f>TEXT(B1567,"yyyy-mm")</f>
        <v/>
      </c>
      <c r="Q1567">
        <f>IF(O1567&gt;=3000,"Large","Small")</f>
        <v/>
      </c>
      <c r="R1567">
        <f>INDEX(Products!$F$2:$F$49,MATCH(J1567,Products!$A$2:$A$49,0))</f>
        <v/>
      </c>
      <c r="S1567">
        <f>WEEKDAY(B1567,2)</f>
        <v/>
      </c>
    </row>
    <row r="1568">
      <c r="A1568" t="n">
        <v>510128</v>
      </c>
      <c r="B1568" s="6" t="n">
        <v>45949</v>
      </c>
      <c r="C1568" t="n">
        <v>16870</v>
      </c>
      <c r="D1568" t="inlineStr">
        <is>
          <t>Gurugram</t>
        </is>
      </c>
      <c r="E1568" t="inlineStr">
        <is>
          <t>North</t>
        </is>
      </c>
      <c r="F1568" t="inlineStr">
        <is>
          <t>Organic Search</t>
        </is>
      </c>
      <c r="G1568" t="inlineStr">
        <is>
          <t>Mobile App</t>
        </is>
      </c>
      <c r="H1568" t="inlineStr">
        <is>
          <t>UPI</t>
        </is>
      </c>
      <c r="I1568" t="inlineStr">
        <is>
          <t>Delivered</t>
        </is>
      </c>
      <c r="J1568" t="n">
        <v>102</v>
      </c>
      <c r="K1568" t="n">
        <v>1</v>
      </c>
      <c r="L1568" t="n">
        <v>3674</v>
      </c>
      <c r="M1568" t="n">
        <v>551.1</v>
      </c>
      <c r="N1568">
        <f>VLOOKUP(J1568,Products!$A$2:$C$49,3,FALSE)</f>
        <v/>
      </c>
      <c r="O1568">
        <f>K1568*L1568-M1568</f>
        <v/>
      </c>
      <c r="P1568">
        <f>TEXT(B1568,"yyyy-mm")</f>
        <v/>
      </c>
      <c r="Q1568">
        <f>IF(O1568&gt;=3000,"Large","Small")</f>
        <v/>
      </c>
      <c r="R1568">
        <f>INDEX(Products!$F$2:$F$49,MATCH(J1568,Products!$A$2:$A$49,0))</f>
        <v/>
      </c>
      <c r="S1568">
        <f>WEEKDAY(B1568,2)</f>
        <v/>
      </c>
    </row>
    <row r="1569">
      <c r="A1569" t="n">
        <v>510128</v>
      </c>
      <c r="B1569" s="6" t="n">
        <v>45949</v>
      </c>
      <c r="C1569" t="n">
        <v>16870</v>
      </c>
      <c r="D1569" t="inlineStr">
        <is>
          <t>Gurugram</t>
        </is>
      </c>
      <c r="E1569" t="inlineStr">
        <is>
          <t>North</t>
        </is>
      </c>
      <c r="F1569" t="inlineStr">
        <is>
          <t>Organic Search</t>
        </is>
      </c>
      <c r="G1569" t="inlineStr">
        <is>
          <t>Mobile App</t>
        </is>
      </c>
      <c r="H1569" t="inlineStr">
        <is>
          <t>UPI</t>
        </is>
      </c>
      <c r="I1569" t="inlineStr">
        <is>
          <t>Delivered</t>
        </is>
      </c>
      <c r="J1569" t="n">
        <v>129</v>
      </c>
      <c r="K1569" t="n">
        <v>1</v>
      </c>
      <c r="L1569" t="n">
        <v>576</v>
      </c>
      <c r="M1569" t="n">
        <v>86.40000000000001</v>
      </c>
      <c r="N1569">
        <f>VLOOKUP(J1569,Products!$A$2:$C$49,3,FALSE)</f>
        <v/>
      </c>
      <c r="O1569">
        <f>K1569*L1569-M1569</f>
        <v/>
      </c>
      <c r="P1569">
        <f>TEXT(B1569,"yyyy-mm")</f>
        <v/>
      </c>
      <c r="Q1569">
        <f>IF(O1569&gt;=3000,"Large","Small")</f>
        <v/>
      </c>
      <c r="R1569">
        <f>INDEX(Products!$F$2:$F$49,MATCH(J1569,Products!$A$2:$A$49,0))</f>
        <v/>
      </c>
      <c r="S1569">
        <f>WEEKDAY(B1569,2)</f>
        <v/>
      </c>
    </row>
    <row r="1570">
      <c r="A1570" t="n">
        <v>510128</v>
      </c>
      <c r="B1570" s="6" t="n">
        <v>45949</v>
      </c>
      <c r="C1570" t="n">
        <v>16870</v>
      </c>
      <c r="D1570" t="inlineStr">
        <is>
          <t>Gurugram</t>
        </is>
      </c>
      <c r="E1570" t="inlineStr">
        <is>
          <t>North</t>
        </is>
      </c>
      <c r="F1570" t="inlineStr">
        <is>
          <t>Organic Search</t>
        </is>
      </c>
      <c r="G1570" t="inlineStr">
        <is>
          <t>Mobile App</t>
        </is>
      </c>
      <c r="H1570" t="inlineStr">
        <is>
          <t>UPI</t>
        </is>
      </c>
      <c r="I1570" t="inlineStr">
        <is>
          <t>Delivered</t>
        </is>
      </c>
      <c r="J1570" t="n">
        <v>120</v>
      </c>
      <c r="K1570" t="n">
        <v>1</v>
      </c>
      <c r="L1570" t="n">
        <v>734</v>
      </c>
      <c r="M1570" t="n">
        <v>110.1</v>
      </c>
      <c r="N1570">
        <f>VLOOKUP(J1570,Products!$A$2:$C$49,3,FALSE)</f>
        <v/>
      </c>
      <c r="O1570">
        <f>K1570*L1570-M1570</f>
        <v/>
      </c>
      <c r="P1570">
        <f>TEXT(B1570,"yyyy-mm")</f>
        <v/>
      </c>
      <c r="Q1570">
        <f>IF(O1570&gt;=3000,"Large","Small")</f>
        <v/>
      </c>
      <c r="R1570">
        <f>INDEX(Products!$F$2:$F$49,MATCH(J1570,Products!$A$2:$A$49,0))</f>
        <v/>
      </c>
      <c r="S1570">
        <f>WEEKDAY(B1570,2)</f>
        <v/>
      </c>
    </row>
    <row r="1571">
      <c r="A1571" t="n">
        <v>510129</v>
      </c>
      <c r="B1571" s="6" t="n">
        <v>45949</v>
      </c>
      <c r="C1571" t="n">
        <v>15266</v>
      </c>
      <c r="D1571" t="inlineStr">
        <is>
          <t>Kochi</t>
        </is>
      </c>
      <c r="E1571" t="inlineStr">
        <is>
          <t>South</t>
        </is>
      </c>
      <c r="F1571" t="inlineStr">
        <is>
          <t>Organic Search</t>
        </is>
      </c>
      <c r="G1571" t="inlineStr">
        <is>
          <t>Desktop</t>
        </is>
      </c>
      <c r="H1571" t="inlineStr">
        <is>
          <t>UPI</t>
        </is>
      </c>
      <c r="I1571" t="inlineStr">
        <is>
          <t>Delivered</t>
        </is>
      </c>
      <c r="J1571" t="n">
        <v>116</v>
      </c>
      <c r="K1571" t="n">
        <v>1</v>
      </c>
      <c r="L1571" t="n">
        <v>2624</v>
      </c>
      <c r="M1571" t="n">
        <v>262.4</v>
      </c>
      <c r="N1571">
        <f>VLOOKUP(J1571,Products!$A$2:$C$49,3,FALSE)</f>
        <v/>
      </c>
      <c r="O1571">
        <f>K1571*L1571-M1571</f>
        <v/>
      </c>
      <c r="P1571">
        <f>TEXT(B1571,"yyyy-mm")</f>
        <v/>
      </c>
      <c r="Q1571">
        <f>IF(O1571&gt;=3000,"Large","Small")</f>
        <v/>
      </c>
      <c r="R1571">
        <f>INDEX(Products!$F$2:$F$49,MATCH(J1571,Products!$A$2:$A$49,0))</f>
        <v/>
      </c>
      <c r="S1571">
        <f>WEEKDAY(B1571,2)</f>
        <v/>
      </c>
    </row>
    <row r="1572">
      <c r="A1572" t="n">
        <v>510129</v>
      </c>
      <c r="B1572" s="6" t="n">
        <v>45949</v>
      </c>
      <c r="C1572" t="n">
        <v>15266</v>
      </c>
      <c r="D1572" t="inlineStr">
        <is>
          <t>Kochi</t>
        </is>
      </c>
      <c r="E1572" t="inlineStr">
        <is>
          <t>South</t>
        </is>
      </c>
      <c r="F1572" t="inlineStr">
        <is>
          <t>Organic Search</t>
        </is>
      </c>
      <c r="G1572" t="inlineStr">
        <is>
          <t>Desktop</t>
        </is>
      </c>
      <c r="H1572" t="inlineStr">
        <is>
          <t>UPI</t>
        </is>
      </c>
      <c r="I1572" t="inlineStr">
        <is>
          <t>Delivered</t>
        </is>
      </c>
      <c r="J1572" t="n">
        <v>101</v>
      </c>
      <c r="K1572" t="n">
        <v>1</v>
      </c>
      <c r="L1572" t="n">
        <v>2099</v>
      </c>
      <c r="M1572" t="n">
        <v>209.9</v>
      </c>
      <c r="N1572">
        <f>VLOOKUP(J1572,Products!$A$2:$C$49,3,FALSE)</f>
        <v/>
      </c>
      <c r="O1572">
        <f>K1572*L1572-M1572</f>
        <v/>
      </c>
      <c r="P1572">
        <f>TEXT(B1572,"yyyy-mm")</f>
        <v/>
      </c>
      <c r="Q1572">
        <f>IF(O1572&gt;=3000,"Large","Small")</f>
        <v/>
      </c>
      <c r="R1572">
        <f>INDEX(Products!$F$2:$F$49,MATCH(J1572,Products!$A$2:$A$49,0))</f>
        <v/>
      </c>
      <c r="S1572">
        <f>WEEKDAY(B1572,2)</f>
        <v/>
      </c>
    </row>
    <row r="1573">
      <c r="A1573" t="n">
        <v>510129</v>
      </c>
      <c r="B1573" s="6" t="n">
        <v>45949</v>
      </c>
      <c r="C1573" t="n">
        <v>15266</v>
      </c>
      <c r="D1573" t="inlineStr">
        <is>
          <t>Kochi</t>
        </is>
      </c>
      <c r="E1573" t="inlineStr">
        <is>
          <t>South</t>
        </is>
      </c>
      <c r="F1573" t="inlineStr">
        <is>
          <t>Organic Search</t>
        </is>
      </c>
      <c r="G1573" t="inlineStr">
        <is>
          <t>Desktop</t>
        </is>
      </c>
      <c r="H1573" t="inlineStr">
        <is>
          <t>UPI</t>
        </is>
      </c>
      <c r="I1573" t="inlineStr">
        <is>
          <t>Delivered</t>
        </is>
      </c>
      <c r="J1573" t="n">
        <v>129</v>
      </c>
      <c r="K1573" t="n">
        <v>2</v>
      </c>
      <c r="L1573" t="n">
        <v>576</v>
      </c>
      <c r="M1573" t="n">
        <v>115.2</v>
      </c>
      <c r="N1573">
        <f>VLOOKUP(J1573,Products!$A$2:$C$49,3,FALSE)</f>
        <v/>
      </c>
      <c r="O1573">
        <f>K1573*L1573-M1573</f>
        <v/>
      </c>
      <c r="P1573">
        <f>TEXT(B1573,"yyyy-mm")</f>
        <v/>
      </c>
      <c r="Q1573">
        <f>IF(O1573&gt;=3000,"Large","Small")</f>
        <v/>
      </c>
      <c r="R1573">
        <f>INDEX(Products!$F$2:$F$49,MATCH(J1573,Products!$A$2:$A$49,0))</f>
        <v/>
      </c>
      <c r="S1573">
        <f>WEEKDAY(B1573,2)</f>
        <v/>
      </c>
    </row>
    <row r="1574">
      <c r="A1574" t="n">
        <v>510130</v>
      </c>
      <c r="B1574" s="6" t="n">
        <v>45949</v>
      </c>
      <c r="C1574" t="n">
        <v>12576</v>
      </c>
      <c r="D1574" t="inlineStr">
        <is>
          <t>Bengaluru</t>
        </is>
      </c>
      <c r="E1574" t="inlineStr">
        <is>
          <t>South</t>
        </is>
      </c>
      <c r="F1574" t="inlineStr">
        <is>
          <t>Paid Search</t>
        </is>
      </c>
      <c r="G1574" t="inlineStr">
        <is>
          <t>Mobile App</t>
        </is>
      </c>
      <c r="H1574" t="inlineStr">
        <is>
          <t>Cash on Delivery</t>
        </is>
      </c>
      <c r="I1574" t="inlineStr">
        <is>
          <t>Delivered</t>
        </is>
      </c>
      <c r="J1574" t="n">
        <v>144</v>
      </c>
      <c r="K1574" t="n">
        <v>1</v>
      </c>
      <c r="L1574" t="n">
        <v>3149</v>
      </c>
      <c r="M1574" t="n">
        <v>0</v>
      </c>
      <c r="N1574">
        <f>VLOOKUP(J1574,Products!$A$2:$C$49,3,FALSE)</f>
        <v/>
      </c>
      <c r="O1574">
        <f>K1574*L1574-M1574</f>
        <v/>
      </c>
      <c r="P1574">
        <f>TEXT(B1574,"yyyy-mm")</f>
        <v/>
      </c>
      <c r="Q1574">
        <f>IF(O1574&gt;=3000,"Large","Small")</f>
        <v/>
      </c>
      <c r="R1574">
        <f>INDEX(Products!$F$2:$F$49,MATCH(J1574,Products!$A$2:$A$49,0))</f>
        <v/>
      </c>
      <c r="S1574">
        <f>WEEKDAY(B1574,2)</f>
        <v/>
      </c>
    </row>
    <row r="1575">
      <c r="A1575" t="n">
        <v>510131</v>
      </c>
      <c r="B1575" s="6" t="n">
        <v>45949</v>
      </c>
      <c r="C1575" t="n">
        <v>16905</v>
      </c>
      <c r="D1575" t="inlineStr">
        <is>
          <t>Pune</t>
        </is>
      </c>
      <c r="E1575" t="inlineStr">
        <is>
          <t>West</t>
        </is>
      </c>
      <c r="F1575" t="inlineStr">
        <is>
          <t>Organic Search</t>
        </is>
      </c>
      <c r="G1575" t="inlineStr">
        <is>
          <t>Mobile App</t>
        </is>
      </c>
      <c r="H1575" t="inlineStr">
        <is>
          <t>Credit Card</t>
        </is>
      </c>
      <c r="I1575" t="inlineStr">
        <is>
          <t>Delivered</t>
        </is>
      </c>
      <c r="J1575" t="n">
        <v>105</v>
      </c>
      <c r="K1575" t="n">
        <v>1</v>
      </c>
      <c r="L1575" t="n">
        <v>2414</v>
      </c>
      <c r="M1575" t="n">
        <v>120.7</v>
      </c>
      <c r="N1575">
        <f>VLOOKUP(J1575,Products!$A$2:$C$49,3,FALSE)</f>
        <v/>
      </c>
      <c r="O1575">
        <f>K1575*L1575-M1575</f>
        <v/>
      </c>
      <c r="P1575">
        <f>TEXT(B1575,"yyyy-mm")</f>
        <v/>
      </c>
      <c r="Q1575">
        <f>IF(O1575&gt;=3000,"Large","Small")</f>
        <v/>
      </c>
      <c r="R1575">
        <f>INDEX(Products!$F$2:$F$49,MATCH(J1575,Products!$A$2:$A$49,0))</f>
        <v/>
      </c>
      <c r="S1575">
        <f>WEEKDAY(B1575,2)</f>
        <v/>
      </c>
    </row>
    <row r="1576">
      <c r="A1576" t="n">
        <v>510131</v>
      </c>
      <c r="B1576" s="6" t="n">
        <v>45949</v>
      </c>
      <c r="C1576" t="n">
        <v>16905</v>
      </c>
      <c r="D1576" t="inlineStr">
        <is>
          <t>Pune</t>
        </is>
      </c>
      <c r="E1576" t="inlineStr">
        <is>
          <t>West</t>
        </is>
      </c>
      <c r="F1576" t="inlineStr">
        <is>
          <t>Organic Search</t>
        </is>
      </c>
      <c r="G1576" t="inlineStr">
        <is>
          <t>Mobile App</t>
        </is>
      </c>
      <c r="H1576" t="inlineStr">
        <is>
          <t>Credit Card</t>
        </is>
      </c>
      <c r="I1576" t="inlineStr">
        <is>
          <t>Delivered</t>
        </is>
      </c>
      <c r="J1576" t="n">
        <v>104</v>
      </c>
      <c r="K1576" t="n">
        <v>1</v>
      </c>
      <c r="L1576" t="n">
        <v>5249</v>
      </c>
      <c r="M1576" t="n">
        <v>262.45</v>
      </c>
      <c r="N1576">
        <f>VLOOKUP(J1576,Products!$A$2:$C$49,3,FALSE)</f>
        <v/>
      </c>
      <c r="O1576">
        <f>K1576*L1576-M1576</f>
        <v/>
      </c>
      <c r="P1576">
        <f>TEXT(B1576,"yyyy-mm")</f>
        <v/>
      </c>
      <c r="Q1576">
        <f>IF(O1576&gt;=3000,"Large","Small")</f>
        <v/>
      </c>
      <c r="R1576">
        <f>INDEX(Products!$F$2:$F$49,MATCH(J1576,Products!$A$2:$A$49,0))</f>
        <v/>
      </c>
      <c r="S1576">
        <f>WEEKDAY(B1576,2)</f>
        <v/>
      </c>
    </row>
    <row r="1577">
      <c r="A1577" t="n">
        <v>510131</v>
      </c>
      <c r="B1577" s="6" t="n">
        <v>45949</v>
      </c>
      <c r="C1577" t="n">
        <v>16905</v>
      </c>
      <c r="D1577" t="inlineStr">
        <is>
          <t>Pune</t>
        </is>
      </c>
      <c r="E1577" t="inlineStr">
        <is>
          <t>West</t>
        </is>
      </c>
      <c r="F1577" t="inlineStr">
        <is>
          <t>Organic Search</t>
        </is>
      </c>
      <c r="G1577" t="inlineStr">
        <is>
          <t>Mobile App</t>
        </is>
      </c>
      <c r="H1577" t="inlineStr">
        <is>
          <t>Credit Card</t>
        </is>
      </c>
      <c r="I1577" t="inlineStr">
        <is>
          <t>Delivered</t>
        </is>
      </c>
      <c r="J1577" t="n">
        <v>135</v>
      </c>
      <c r="K1577" t="n">
        <v>1</v>
      </c>
      <c r="L1577" t="n">
        <v>1574</v>
      </c>
      <c r="M1577" t="n">
        <v>78.7</v>
      </c>
      <c r="N1577">
        <f>VLOOKUP(J1577,Products!$A$2:$C$49,3,FALSE)</f>
        <v/>
      </c>
      <c r="O1577">
        <f>K1577*L1577-M1577</f>
        <v/>
      </c>
      <c r="P1577">
        <f>TEXT(B1577,"yyyy-mm")</f>
        <v/>
      </c>
      <c r="Q1577">
        <f>IF(O1577&gt;=3000,"Large","Small")</f>
        <v/>
      </c>
      <c r="R1577">
        <f>INDEX(Products!$F$2:$F$49,MATCH(J1577,Products!$A$2:$A$49,0))</f>
        <v/>
      </c>
      <c r="S1577">
        <f>WEEKDAY(B1577,2)</f>
        <v/>
      </c>
    </row>
    <row r="1578">
      <c r="A1578" t="n">
        <v>510132</v>
      </c>
      <c r="B1578" s="6" t="n">
        <v>45949</v>
      </c>
      <c r="C1578" t="n">
        <v>12537</v>
      </c>
      <c r="D1578" t="inlineStr">
        <is>
          <t>Jaipur</t>
        </is>
      </c>
      <c r="E1578" t="inlineStr">
        <is>
          <t>North</t>
        </is>
      </c>
      <c r="F1578" t="inlineStr">
        <is>
          <t>Paid Search</t>
        </is>
      </c>
      <c r="G1578" t="inlineStr">
        <is>
          <t>Mobile App</t>
        </is>
      </c>
      <c r="H1578" t="inlineStr">
        <is>
          <t>Net Banking</t>
        </is>
      </c>
      <c r="I1578" t="inlineStr">
        <is>
          <t>Delivered</t>
        </is>
      </c>
      <c r="J1578" t="n">
        <v>136</v>
      </c>
      <c r="K1578" t="n">
        <v>1</v>
      </c>
      <c r="L1578" t="n">
        <v>944</v>
      </c>
      <c r="M1578" t="n">
        <v>0</v>
      </c>
      <c r="N1578">
        <f>VLOOKUP(J1578,Products!$A$2:$C$49,3,FALSE)</f>
        <v/>
      </c>
      <c r="O1578">
        <f>K1578*L1578-M1578</f>
        <v/>
      </c>
      <c r="P1578">
        <f>TEXT(B1578,"yyyy-mm")</f>
        <v/>
      </c>
      <c r="Q1578">
        <f>IF(O1578&gt;=3000,"Large","Small")</f>
        <v/>
      </c>
      <c r="R1578">
        <f>INDEX(Products!$F$2:$F$49,MATCH(J1578,Products!$A$2:$A$49,0))</f>
        <v/>
      </c>
      <c r="S1578">
        <f>WEEKDAY(B1578,2)</f>
        <v/>
      </c>
    </row>
    <row r="1579">
      <c r="A1579" t="n">
        <v>510132</v>
      </c>
      <c r="B1579" s="6" t="n">
        <v>45949</v>
      </c>
      <c r="C1579" t="n">
        <v>12537</v>
      </c>
      <c r="D1579" t="inlineStr">
        <is>
          <t>Jaipur</t>
        </is>
      </c>
      <c r="E1579" t="inlineStr">
        <is>
          <t>North</t>
        </is>
      </c>
      <c r="F1579" t="inlineStr">
        <is>
          <t>Paid Search</t>
        </is>
      </c>
      <c r="G1579" t="inlineStr">
        <is>
          <t>Mobile App</t>
        </is>
      </c>
      <c r="H1579" t="inlineStr">
        <is>
          <t>Net Banking</t>
        </is>
      </c>
      <c r="I1579" t="inlineStr">
        <is>
          <t>Delivered</t>
        </is>
      </c>
      <c r="J1579" t="n">
        <v>118</v>
      </c>
      <c r="K1579" t="n">
        <v>1</v>
      </c>
      <c r="L1579" t="n">
        <v>944</v>
      </c>
      <c r="M1579" t="n">
        <v>0</v>
      </c>
      <c r="N1579">
        <f>VLOOKUP(J1579,Products!$A$2:$C$49,3,FALSE)</f>
        <v/>
      </c>
      <c r="O1579">
        <f>K1579*L1579-M1579</f>
        <v/>
      </c>
      <c r="P1579">
        <f>TEXT(B1579,"yyyy-mm")</f>
        <v/>
      </c>
      <c r="Q1579">
        <f>IF(O1579&gt;=3000,"Large","Small")</f>
        <v/>
      </c>
      <c r="R1579">
        <f>INDEX(Products!$F$2:$F$49,MATCH(J1579,Products!$A$2:$A$49,0))</f>
        <v/>
      </c>
      <c r="S1579">
        <f>WEEKDAY(B1579,2)</f>
        <v/>
      </c>
    </row>
    <row r="1580">
      <c r="A1580" t="n">
        <v>510132</v>
      </c>
      <c r="B1580" s="6" t="n">
        <v>45949</v>
      </c>
      <c r="C1580" t="n">
        <v>12537</v>
      </c>
      <c r="D1580" t="inlineStr">
        <is>
          <t>Jaipur</t>
        </is>
      </c>
      <c r="E1580" t="inlineStr">
        <is>
          <t>North</t>
        </is>
      </c>
      <c r="F1580" t="inlineStr">
        <is>
          <t>Paid Search</t>
        </is>
      </c>
      <c r="G1580" t="inlineStr">
        <is>
          <t>Mobile App</t>
        </is>
      </c>
      <c r="H1580" t="inlineStr">
        <is>
          <t>Net Banking</t>
        </is>
      </c>
      <c r="I1580" t="inlineStr">
        <is>
          <t>Delivered</t>
        </is>
      </c>
      <c r="J1580" t="n">
        <v>120</v>
      </c>
      <c r="K1580" t="n">
        <v>3</v>
      </c>
      <c r="L1580" t="n">
        <v>734</v>
      </c>
      <c r="M1580" t="n">
        <v>0</v>
      </c>
      <c r="N1580">
        <f>VLOOKUP(J1580,Products!$A$2:$C$49,3,FALSE)</f>
        <v/>
      </c>
      <c r="O1580">
        <f>K1580*L1580-M1580</f>
        <v/>
      </c>
      <c r="P1580">
        <f>TEXT(B1580,"yyyy-mm")</f>
        <v/>
      </c>
      <c r="Q1580">
        <f>IF(O1580&gt;=3000,"Large","Small")</f>
        <v/>
      </c>
      <c r="R1580">
        <f>INDEX(Products!$F$2:$F$49,MATCH(J1580,Products!$A$2:$A$49,0))</f>
        <v/>
      </c>
      <c r="S1580">
        <f>WEEKDAY(B1580,2)</f>
        <v/>
      </c>
    </row>
    <row r="1581">
      <c r="A1581" t="n">
        <v>510132</v>
      </c>
      <c r="B1581" s="6" t="n">
        <v>45949</v>
      </c>
      <c r="C1581" t="n">
        <v>12537</v>
      </c>
      <c r="D1581" t="inlineStr">
        <is>
          <t>Jaipur</t>
        </is>
      </c>
      <c r="E1581" t="inlineStr">
        <is>
          <t>North</t>
        </is>
      </c>
      <c r="F1581" t="inlineStr">
        <is>
          <t>Paid Search</t>
        </is>
      </c>
      <c r="G1581" t="inlineStr">
        <is>
          <t>Mobile App</t>
        </is>
      </c>
      <c r="H1581" t="inlineStr">
        <is>
          <t>Net Banking</t>
        </is>
      </c>
      <c r="I1581" t="inlineStr">
        <is>
          <t>Delivered</t>
        </is>
      </c>
      <c r="J1581" t="n">
        <v>143</v>
      </c>
      <c r="K1581" t="n">
        <v>1</v>
      </c>
      <c r="L1581" t="n">
        <v>839</v>
      </c>
      <c r="M1581" t="n">
        <v>0</v>
      </c>
      <c r="N1581">
        <f>VLOOKUP(J1581,Products!$A$2:$C$49,3,FALSE)</f>
        <v/>
      </c>
      <c r="O1581">
        <f>K1581*L1581-M1581</f>
        <v/>
      </c>
      <c r="P1581">
        <f>TEXT(B1581,"yyyy-mm")</f>
        <v/>
      </c>
      <c r="Q1581">
        <f>IF(O1581&gt;=3000,"Large","Small")</f>
        <v/>
      </c>
      <c r="R1581">
        <f>INDEX(Products!$F$2:$F$49,MATCH(J1581,Products!$A$2:$A$49,0))</f>
        <v/>
      </c>
      <c r="S1581">
        <f>WEEKDAY(B1581,2)</f>
        <v/>
      </c>
    </row>
    <row r="1582">
      <c r="A1582" t="n">
        <v>510133</v>
      </c>
      <c r="B1582" s="6" t="n">
        <v>45949</v>
      </c>
      <c r="C1582" t="n">
        <v>16705</v>
      </c>
      <c r="D1582" t="inlineStr">
        <is>
          <t>Indore</t>
        </is>
      </c>
      <c r="E1582" t="inlineStr">
        <is>
          <t>West</t>
        </is>
      </c>
      <c r="F1582" t="inlineStr">
        <is>
          <t>Organic Search</t>
        </is>
      </c>
      <c r="G1582" t="inlineStr">
        <is>
          <t>Mobile App</t>
        </is>
      </c>
      <c r="H1582" t="inlineStr">
        <is>
          <t>UPI</t>
        </is>
      </c>
      <c r="I1582" t="inlineStr">
        <is>
          <t>Delivered</t>
        </is>
      </c>
      <c r="J1582" t="n">
        <v>116</v>
      </c>
      <c r="K1582" t="n">
        <v>1</v>
      </c>
      <c r="L1582" t="n">
        <v>2624</v>
      </c>
      <c r="M1582" t="n">
        <v>262.4</v>
      </c>
      <c r="N1582">
        <f>VLOOKUP(J1582,Products!$A$2:$C$49,3,FALSE)</f>
        <v/>
      </c>
      <c r="O1582">
        <f>K1582*L1582-M1582</f>
        <v/>
      </c>
      <c r="P1582">
        <f>TEXT(B1582,"yyyy-mm")</f>
        <v/>
      </c>
      <c r="Q1582">
        <f>IF(O1582&gt;=3000,"Large","Small")</f>
        <v/>
      </c>
      <c r="R1582">
        <f>INDEX(Products!$F$2:$F$49,MATCH(J1582,Products!$A$2:$A$49,0))</f>
        <v/>
      </c>
      <c r="S1582">
        <f>WEEKDAY(B1582,2)</f>
        <v/>
      </c>
    </row>
    <row r="1583">
      <c r="A1583" t="n">
        <v>510133</v>
      </c>
      <c r="B1583" s="6" t="n">
        <v>45949</v>
      </c>
      <c r="C1583" t="n">
        <v>16705</v>
      </c>
      <c r="D1583" t="inlineStr">
        <is>
          <t>Indore</t>
        </is>
      </c>
      <c r="E1583" t="inlineStr">
        <is>
          <t>West</t>
        </is>
      </c>
      <c r="F1583" t="inlineStr">
        <is>
          <t>Organic Search</t>
        </is>
      </c>
      <c r="G1583" t="inlineStr">
        <is>
          <t>Mobile App</t>
        </is>
      </c>
      <c r="H1583" t="inlineStr">
        <is>
          <t>UPI</t>
        </is>
      </c>
      <c r="I1583" t="inlineStr">
        <is>
          <t>Delivered</t>
        </is>
      </c>
      <c r="J1583" t="n">
        <v>129</v>
      </c>
      <c r="K1583" t="n">
        <v>1</v>
      </c>
      <c r="L1583" t="n">
        <v>576</v>
      </c>
      <c r="M1583" t="n">
        <v>57.6</v>
      </c>
      <c r="N1583">
        <f>VLOOKUP(J1583,Products!$A$2:$C$49,3,FALSE)</f>
        <v/>
      </c>
      <c r="O1583">
        <f>K1583*L1583-M1583</f>
        <v/>
      </c>
      <c r="P1583">
        <f>TEXT(B1583,"yyyy-mm")</f>
        <v/>
      </c>
      <c r="Q1583">
        <f>IF(O1583&gt;=3000,"Large","Small")</f>
        <v/>
      </c>
      <c r="R1583">
        <f>INDEX(Products!$F$2:$F$49,MATCH(J1583,Products!$A$2:$A$49,0))</f>
        <v/>
      </c>
      <c r="S1583">
        <f>WEEKDAY(B1583,2)</f>
        <v/>
      </c>
    </row>
    <row r="1584">
      <c r="A1584" t="n">
        <v>510134</v>
      </c>
      <c r="B1584" s="6" t="n">
        <v>45949</v>
      </c>
      <c r="C1584" t="n">
        <v>16446</v>
      </c>
      <c r="D1584" t="inlineStr">
        <is>
          <t>Bengaluru</t>
        </is>
      </c>
      <c r="E1584" t="inlineStr">
        <is>
          <t>South</t>
        </is>
      </c>
      <c r="F1584" t="inlineStr">
        <is>
          <t>Organic Search</t>
        </is>
      </c>
      <c r="G1584" t="inlineStr">
        <is>
          <t>Mobile Web</t>
        </is>
      </c>
      <c r="H1584" t="inlineStr">
        <is>
          <t>Credit Card</t>
        </is>
      </c>
      <c r="I1584" t="inlineStr">
        <is>
          <t>Delivered</t>
        </is>
      </c>
      <c r="J1584" t="n">
        <v>107</v>
      </c>
      <c r="K1584" t="n">
        <v>1</v>
      </c>
      <c r="L1584" t="n">
        <v>1259</v>
      </c>
      <c r="M1584" t="n">
        <v>125.9</v>
      </c>
      <c r="N1584">
        <f>VLOOKUP(J1584,Products!$A$2:$C$49,3,FALSE)</f>
        <v/>
      </c>
      <c r="O1584">
        <f>K1584*L1584-M1584</f>
        <v/>
      </c>
      <c r="P1584">
        <f>TEXT(B1584,"yyyy-mm")</f>
        <v/>
      </c>
      <c r="Q1584">
        <f>IF(O1584&gt;=3000,"Large","Small")</f>
        <v/>
      </c>
      <c r="R1584">
        <f>INDEX(Products!$F$2:$F$49,MATCH(J1584,Products!$A$2:$A$49,0))</f>
        <v/>
      </c>
      <c r="S1584">
        <f>WEEKDAY(B1584,2)</f>
        <v/>
      </c>
    </row>
    <row r="1585">
      <c r="A1585" t="n">
        <v>510134</v>
      </c>
      <c r="B1585" s="6" t="n">
        <v>45949</v>
      </c>
      <c r="C1585" t="n">
        <v>16446</v>
      </c>
      <c r="D1585" t="inlineStr">
        <is>
          <t>Bengaluru</t>
        </is>
      </c>
      <c r="E1585" t="inlineStr">
        <is>
          <t>South</t>
        </is>
      </c>
      <c r="F1585" t="inlineStr">
        <is>
          <t>Organic Search</t>
        </is>
      </c>
      <c r="G1585" t="inlineStr">
        <is>
          <t>Mobile Web</t>
        </is>
      </c>
      <c r="H1585" t="inlineStr">
        <is>
          <t>Credit Card</t>
        </is>
      </c>
      <c r="I1585" t="inlineStr">
        <is>
          <t>Delivered</t>
        </is>
      </c>
      <c r="J1585" t="n">
        <v>129</v>
      </c>
      <c r="K1585" t="n">
        <v>1</v>
      </c>
      <c r="L1585" t="n">
        <v>576</v>
      </c>
      <c r="M1585" t="n">
        <v>57.6</v>
      </c>
      <c r="N1585">
        <f>VLOOKUP(J1585,Products!$A$2:$C$49,3,FALSE)</f>
        <v/>
      </c>
      <c r="O1585">
        <f>K1585*L1585-M1585</f>
        <v/>
      </c>
      <c r="P1585">
        <f>TEXT(B1585,"yyyy-mm")</f>
        <v/>
      </c>
      <c r="Q1585">
        <f>IF(O1585&gt;=3000,"Large","Small")</f>
        <v/>
      </c>
      <c r="R1585">
        <f>INDEX(Products!$F$2:$F$49,MATCH(J1585,Products!$A$2:$A$49,0))</f>
        <v/>
      </c>
      <c r="S1585">
        <f>WEEKDAY(B1585,2)</f>
        <v/>
      </c>
    </row>
    <row r="1586">
      <c r="A1586" t="n">
        <v>510135</v>
      </c>
      <c r="B1586" s="6" t="n">
        <v>45949</v>
      </c>
      <c r="C1586" t="n">
        <v>11953</v>
      </c>
      <c r="D1586" t="inlineStr">
        <is>
          <t>Delhi</t>
        </is>
      </c>
      <c r="E1586" t="inlineStr">
        <is>
          <t>North</t>
        </is>
      </c>
      <c r="F1586" t="inlineStr">
        <is>
          <t>Paid Social</t>
        </is>
      </c>
      <c r="G1586" t="inlineStr">
        <is>
          <t>Mobile Web</t>
        </is>
      </c>
      <c r="H1586" t="inlineStr">
        <is>
          <t>Cash on Delivery</t>
        </is>
      </c>
      <c r="I1586" t="inlineStr">
        <is>
          <t>Delivered</t>
        </is>
      </c>
      <c r="J1586" t="n">
        <v>117</v>
      </c>
      <c r="K1586" t="n">
        <v>1</v>
      </c>
      <c r="L1586" t="n">
        <v>3149</v>
      </c>
      <c r="M1586" t="n">
        <v>314.9</v>
      </c>
      <c r="N1586">
        <f>VLOOKUP(J1586,Products!$A$2:$C$49,3,FALSE)</f>
        <v/>
      </c>
      <c r="O1586">
        <f>K1586*L1586-M1586</f>
        <v/>
      </c>
      <c r="P1586">
        <f>TEXT(B1586,"yyyy-mm")</f>
        <v/>
      </c>
      <c r="Q1586">
        <f>IF(O1586&gt;=3000,"Large","Small")</f>
        <v/>
      </c>
      <c r="R1586">
        <f>INDEX(Products!$F$2:$F$49,MATCH(J1586,Products!$A$2:$A$49,0))</f>
        <v/>
      </c>
      <c r="S1586">
        <f>WEEKDAY(B1586,2)</f>
        <v/>
      </c>
    </row>
    <row r="1587">
      <c r="A1587" t="n">
        <v>510135</v>
      </c>
      <c r="B1587" s="6" t="n">
        <v>45949</v>
      </c>
      <c r="C1587" t="n">
        <v>11953</v>
      </c>
      <c r="D1587" t="inlineStr">
        <is>
          <t>Delhi</t>
        </is>
      </c>
      <c r="E1587" t="inlineStr">
        <is>
          <t>North</t>
        </is>
      </c>
      <c r="F1587" t="inlineStr">
        <is>
          <t>Paid Social</t>
        </is>
      </c>
      <c r="G1587" t="inlineStr">
        <is>
          <t>Mobile Web</t>
        </is>
      </c>
      <c r="H1587" t="inlineStr">
        <is>
          <t>Cash on Delivery</t>
        </is>
      </c>
      <c r="I1587" t="inlineStr">
        <is>
          <t>Delivered</t>
        </is>
      </c>
      <c r="J1587" t="n">
        <v>140</v>
      </c>
      <c r="K1587" t="n">
        <v>2</v>
      </c>
      <c r="L1587" t="n">
        <v>629</v>
      </c>
      <c r="M1587" t="n">
        <v>125.8</v>
      </c>
      <c r="N1587">
        <f>VLOOKUP(J1587,Products!$A$2:$C$49,3,FALSE)</f>
        <v/>
      </c>
      <c r="O1587">
        <f>K1587*L1587-M1587</f>
        <v/>
      </c>
      <c r="P1587">
        <f>TEXT(B1587,"yyyy-mm")</f>
        <v/>
      </c>
      <c r="Q1587">
        <f>IF(O1587&gt;=3000,"Large","Small")</f>
        <v/>
      </c>
      <c r="R1587">
        <f>INDEX(Products!$F$2:$F$49,MATCH(J1587,Products!$A$2:$A$49,0))</f>
        <v/>
      </c>
      <c r="S1587">
        <f>WEEKDAY(B1587,2)</f>
        <v/>
      </c>
    </row>
    <row r="1588">
      <c r="A1588" t="n">
        <v>510135</v>
      </c>
      <c r="B1588" s="6" t="n">
        <v>45949</v>
      </c>
      <c r="C1588" t="n">
        <v>11953</v>
      </c>
      <c r="D1588" t="inlineStr">
        <is>
          <t>Delhi</t>
        </is>
      </c>
      <c r="E1588" t="inlineStr">
        <is>
          <t>North</t>
        </is>
      </c>
      <c r="F1588" t="inlineStr">
        <is>
          <t>Paid Social</t>
        </is>
      </c>
      <c r="G1588" t="inlineStr">
        <is>
          <t>Mobile Web</t>
        </is>
      </c>
      <c r="H1588" t="inlineStr">
        <is>
          <t>Cash on Delivery</t>
        </is>
      </c>
      <c r="I1588" t="inlineStr">
        <is>
          <t>Delivered</t>
        </is>
      </c>
      <c r="J1588" t="n">
        <v>129</v>
      </c>
      <c r="K1588" t="n">
        <v>1</v>
      </c>
      <c r="L1588" t="n">
        <v>576</v>
      </c>
      <c r="M1588" t="n">
        <v>57.6</v>
      </c>
      <c r="N1588">
        <f>VLOOKUP(J1588,Products!$A$2:$C$49,3,FALSE)</f>
        <v/>
      </c>
      <c r="O1588">
        <f>K1588*L1588-M1588</f>
        <v/>
      </c>
      <c r="P1588">
        <f>TEXT(B1588,"yyyy-mm")</f>
        <v/>
      </c>
      <c r="Q1588">
        <f>IF(O1588&gt;=3000,"Large","Small")</f>
        <v/>
      </c>
      <c r="R1588">
        <f>INDEX(Products!$F$2:$F$49,MATCH(J1588,Products!$A$2:$A$49,0))</f>
        <v/>
      </c>
      <c r="S1588">
        <f>WEEKDAY(B1588,2)</f>
        <v/>
      </c>
    </row>
    <row r="1589">
      <c r="A1589" t="n">
        <v>510136</v>
      </c>
      <c r="B1589" s="6" t="n">
        <v>45949</v>
      </c>
      <c r="C1589" t="n">
        <v>11276</v>
      </c>
      <c r="D1589" t="inlineStr">
        <is>
          <t>Jaipur</t>
        </is>
      </c>
      <c r="E1589" t="inlineStr">
        <is>
          <t>North</t>
        </is>
      </c>
      <c r="F1589" t="inlineStr">
        <is>
          <t>Referral</t>
        </is>
      </c>
      <c r="G1589" t="inlineStr">
        <is>
          <t>Mobile Web</t>
        </is>
      </c>
      <c r="H1589" t="inlineStr">
        <is>
          <t>Cash on Delivery</t>
        </is>
      </c>
      <c r="I1589" t="inlineStr">
        <is>
          <t>Returned</t>
        </is>
      </c>
      <c r="J1589" t="n">
        <v>124</v>
      </c>
      <c r="K1589" t="n">
        <v>1</v>
      </c>
      <c r="L1589" t="n">
        <v>1154</v>
      </c>
      <c r="M1589" t="n">
        <v>115.4</v>
      </c>
      <c r="N1589">
        <f>VLOOKUP(J1589,Products!$A$2:$C$49,3,FALSE)</f>
        <v/>
      </c>
      <c r="O1589">
        <f>K1589*L1589-M1589</f>
        <v/>
      </c>
      <c r="P1589">
        <f>TEXT(B1589,"yyyy-mm")</f>
        <v/>
      </c>
      <c r="Q1589">
        <f>IF(O1589&gt;=3000,"Large","Small")</f>
        <v/>
      </c>
      <c r="R1589">
        <f>INDEX(Products!$F$2:$F$49,MATCH(J1589,Products!$A$2:$A$49,0))</f>
        <v/>
      </c>
      <c r="S1589">
        <f>WEEKDAY(B1589,2)</f>
        <v/>
      </c>
    </row>
    <row r="1590">
      <c r="A1590" t="n">
        <v>510136</v>
      </c>
      <c r="B1590" s="6" t="n">
        <v>45949</v>
      </c>
      <c r="C1590" t="n">
        <v>11276</v>
      </c>
      <c r="D1590" t="inlineStr">
        <is>
          <t>Jaipur</t>
        </is>
      </c>
      <c r="E1590" t="inlineStr">
        <is>
          <t>North</t>
        </is>
      </c>
      <c r="F1590" t="inlineStr">
        <is>
          <t>Referral</t>
        </is>
      </c>
      <c r="G1590" t="inlineStr">
        <is>
          <t>Mobile Web</t>
        </is>
      </c>
      <c r="H1590" t="inlineStr">
        <is>
          <t>Cash on Delivery</t>
        </is>
      </c>
      <c r="I1590" t="inlineStr">
        <is>
          <t>Returned</t>
        </is>
      </c>
      <c r="J1590" t="n">
        <v>111</v>
      </c>
      <c r="K1590" t="n">
        <v>1</v>
      </c>
      <c r="L1590" t="n">
        <v>524</v>
      </c>
      <c r="M1590" t="n">
        <v>52.4</v>
      </c>
      <c r="N1590">
        <f>VLOOKUP(J1590,Products!$A$2:$C$49,3,FALSE)</f>
        <v/>
      </c>
      <c r="O1590">
        <f>K1590*L1590-M1590</f>
        <v/>
      </c>
      <c r="P1590">
        <f>TEXT(B1590,"yyyy-mm")</f>
        <v/>
      </c>
      <c r="Q1590">
        <f>IF(O1590&gt;=3000,"Large","Small")</f>
        <v/>
      </c>
      <c r="R1590">
        <f>INDEX(Products!$F$2:$F$49,MATCH(J1590,Products!$A$2:$A$49,0))</f>
        <v/>
      </c>
      <c r="S1590">
        <f>WEEKDAY(B1590,2)</f>
        <v/>
      </c>
    </row>
    <row r="1591">
      <c r="A1591" t="n">
        <v>510136</v>
      </c>
      <c r="B1591" s="6" t="n">
        <v>45949</v>
      </c>
      <c r="C1591" t="n">
        <v>11276</v>
      </c>
      <c r="D1591" t="inlineStr">
        <is>
          <t>Jaipur</t>
        </is>
      </c>
      <c r="E1591" t="inlineStr">
        <is>
          <t>North</t>
        </is>
      </c>
      <c r="F1591" t="inlineStr">
        <is>
          <t>Referral</t>
        </is>
      </c>
      <c r="G1591" t="inlineStr">
        <is>
          <t>Mobile Web</t>
        </is>
      </c>
      <c r="H1591" t="inlineStr">
        <is>
          <t>Cash on Delivery</t>
        </is>
      </c>
      <c r="I1591" t="inlineStr">
        <is>
          <t>Returned</t>
        </is>
      </c>
      <c r="J1591" t="n">
        <v>104</v>
      </c>
      <c r="K1591" t="n">
        <v>1</v>
      </c>
      <c r="L1591" t="n">
        <v>5249</v>
      </c>
      <c r="M1591" t="n">
        <v>524.9</v>
      </c>
      <c r="N1591">
        <f>VLOOKUP(J1591,Products!$A$2:$C$49,3,FALSE)</f>
        <v/>
      </c>
      <c r="O1591">
        <f>K1591*L1591-M1591</f>
        <v/>
      </c>
      <c r="P1591">
        <f>TEXT(B1591,"yyyy-mm")</f>
        <v/>
      </c>
      <c r="Q1591">
        <f>IF(O1591&gt;=3000,"Large","Small")</f>
        <v/>
      </c>
      <c r="R1591">
        <f>INDEX(Products!$F$2:$F$49,MATCH(J1591,Products!$A$2:$A$49,0))</f>
        <v/>
      </c>
      <c r="S1591">
        <f>WEEKDAY(B1591,2)</f>
        <v/>
      </c>
    </row>
    <row r="1592">
      <c r="A1592" t="n">
        <v>510136</v>
      </c>
      <c r="B1592" s="6" t="n">
        <v>45949</v>
      </c>
      <c r="C1592" t="n">
        <v>11276</v>
      </c>
      <c r="D1592" t="inlineStr">
        <is>
          <t>Jaipur</t>
        </is>
      </c>
      <c r="E1592" t="inlineStr">
        <is>
          <t>North</t>
        </is>
      </c>
      <c r="F1592" t="inlineStr">
        <is>
          <t>Referral</t>
        </is>
      </c>
      <c r="G1592" t="inlineStr">
        <is>
          <t>Mobile Web</t>
        </is>
      </c>
      <c r="H1592" t="inlineStr">
        <is>
          <t>Cash on Delivery</t>
        </is>
      </c>
      <c r="I1592" t="inlineStr">
        <is>
          <t>Returned</t>
        </is>
      </c>
      <c r="J1592" t="n">
        <v>126</v>
      </c>
      <c r="K1592" t="n">
        <v>2</v>
      </c>
      <c r="L1592" t="n">
        <v>471</v>
      </c>
      <c r="M1592" t="n">
        <v>94.2</v>
      </c>
      <c r="N1592">
        <f>VLOOKUP(J1592,Products!$A$2:$C$49,3,FALSE)</f>
        <v/>
      </c>
      <c r="O1592">
        <f>K1592*L1592-M1592</f>
        <v/>
      </c>
      <c r="P1592">
        <f>TEXT(B1592,"yyyy-mm")</f>
        <v/>
      </c>
      <c r="Q1592">
        <f>IF(O1592&gt;=3000,"Large","Small")</f>
        <v/>
      </c>
      <c r="R1592">
        <f>INDEX(Products!$F$2:$F$49,MATCH(J1592,Products!$A$2:$A$49,0))</f>
        <v/>
      </c>
      <c r="S1592">
        <f>WEEKDAY(B1592,2)</f>
        <v/>
      </c>
    </row>
    <row r="1593">
      <c r="A1593" t="n">
        <v>510137</v>
      </c>
      <c r="B1593" s="6" t="n">
        <v>45949</v>
      </c>
      <c r="C1593" t="n">
        <v>15616</v>
      </c>
      <c r="D1593" t="inlineStr">
        <is>
          <t>Bengaluru</t>
        </is>
      </c>
      <c r="E1593" t="inlineStr">
        <is>
          <t>South</t>
        </is>
      </c>
      <c r="F1593" t="inlineStr">
        <is>
          <t>Organic Search</t>
        </is>
      </c>
      <c r="G1593" t="inlineStr">
        <is>
          <t>Mobile Web</t>
        </is>
      </c>
      <c r="H1593" t="inlineStr">
        <is>
          <t>UPI</t>
        </is>
      </c>
      <c r="I1593" t="inlineStr">
        <is>
          <t>Delivered</t>
        </is>
      </c>
      <c r="J1593" t="n">
        <v>117</v>
      </c>
      <c r="K1593" t="n">
        <v>1</v>
      </c>
      <c r="L1593" t="n">
        <v>3149</v>
      </c>
      <c r="M1593" t="n">
        <v>314.9</v>
      </c>
      <c r="N1593">
        <f>VLOOKUP(J1593,Products!$A$2:$C$49,3,FALSE)</f>
        <v/>
      </c>
      <c r="O1593">
        <f>K1593*L1593-M1593</f>
        <v/>
      </c>
      <c r="P1593">
        <f>TEXT(B1593,"yyyy-mm")</f>
        <v/>
      </c>
      <c r="Q1593">
        <f>IF(O1593&gt;=3000,"Large","Small")</f>
        <v/>
      </c>
      <c r="R1593">
        <f>INDEX(Products!$F$2:$F$49,MATCH(J1593,Products!$A$2:$A$49,0))</f>
        <v/>
      </c>
      <c r="S1593">
        <f>WEEKDAY(B1593,2)</f>
        <v/>
      </c>
    </row>
    <row r="1594">
      <c r="A1594" t="n">
        <v>510137</v>
      </c>
      <c r="B1594" s="6" t="n">
        <v>45949</v>
      </c>
      <c r="C1594" t="n">
        <v>15616</v>
      </c>
      <c r="D1594" t="inlineStr">
        <is>
          <t>Bengaluru</t>
        </is>
      </c>
      <c r="E1594" t="inlineStr">
        <is>
          <t>South</t>
        </is>
      </c>
      <c r="F1594" t="inlineStr">
        <is>
          <t>Organic Search</t>
        </is>
      </c>
      <c r="G1594" t="inlineStr">
        <is>
          <t>Mobile Web</t>
        </is>
      </c>
      <c r="H1594" t="inlineStr">
        <is>
          <t>UPI</t>
        </is>
      </c>
      <c r="I1594" t="inlineStr">
        <is>
          <t>Delivered</t>
        </is>
      </c>
      <c r="J1594" t="n">
        <v>111</v>
      </c>
      <c r="K1594" t="n">
        <v>1</v>
      </c>
      <c r="L1594" t="n">
        <v>524</v>
      </c>
      <c r="M1594" t="n">
        <v>52.4</v>
      </c>
      <c r="N1594">
        <f>VLOOKUP(J1594,Products!$A$2:$C$49,3,FALSE)</f>
        <v/>
      </c>
      <c r="O1594">
        <f>K1594*L1594-M1594</f>
        <v/>
      </c>
      <c r="P1594">
        <f>TEXT(B1594,"yyyy-mm")</f>
        <v/>
      </c>
      <c r="Q1594">
        <f>IF(O1594&gt;=3000,"Large","Small")</f>
        <v/>
      </c>
      <c r="R1594">
        <f>INDEX(Products!$F$2:$F$49,MATCH(J1594,Products!$A$2:$A$49,0))</f>
        <v/>
      </c>
      <c r="S1594">
        <f>WEEKDAY(B1594,2)</f>
        <v/>
      </c>
    </row>
    <row r="1595">
      <c r="A1595" t="n">
        <v>510138</v>
      </c>
      <c r="B1595" s="6" t="n">
        <v>45949</v>
      </c>
      <c r="C1595" t="n">
        <v>15405</v>
      </c>
      <c r="D1595" t="inlineStr">
        <is>
          <t>Lucknow</t>
        </is>
      </c>
      <c r="E1595" t="inlineStr">
        <is>
          <t>North</t>
        </is>
      </c>
      <c r="F1595" t="inlineStr">
        <is>
          <t>Organic Search</t>
        </is>
      </c>
      <c r="G1595" t="inlineStr">
        <is>
          <t>Mobile Web</t>
        </is>
      </c>
      <c r="H1595" t="inlineStr">
        <is>
          <t>UPI</t>
        </is>
      </c>
      <c r="I1595" t="inlineStr">
        <is>
          <t>Returned</t>
        </is>
      </c>
      <c r="J1595" t="n">
        <v>118</v>
      </c>
      <c r="K1595" t="n">
        <v>2</v>
      </c>
      <c r="L1595" t="n">
        <v>944</v>
      </c>
      <c r="M1595" t="n">
        <v>188.8</v>
      </c>
      <c r="N1595">
        <f>VLOOKUP(J1595,Products!$A$2:$C$49,3,FALSE)</f>
        <v/>
      </c>
      <c r="O1595">
        <f>K1595*L1595-M1595</f>
        <v/>
      </c>
      <c r="P1595">
        <f>TEXT(B1595,"yyyy-mm")</f>
        <v/>
      </c>
      <c r="Q1595">
        <f>IF(O1595&gt;=3000,"Large","Small")</f>
        <v/>
      </c>
      <c r="R1595">
        <f>INDEX(Products!$F$2:$F$49,MATCH(J1595,Products!$A$2:$A$49,0))</f>
        <v/>
      </c>
      <c r="S1595">
        <f>WEEKDAY(B1595,2)</f>
        <v/>
      </c>
    </row>
    <row r="1596">
      <c r="A1596" t="n">
        <v>510138</v>
      </c>
      <c r="B1596" s="6" t="n">
        <v>45949</v>
      </c>
      <c r="C1596" t="n">
        <v>15405</v>
      </c>
      <c r="D1596" t="inlineStr">
        <is>
          <t>Lucknow</t>
        </is>
      </c>
      <c r="E1596" t="inlineStr">
        <is>
          <t>North</t>
        </is>
      </c>
      <c r="F1596" t="inlineStr">
        <is>
          <t>Organic Search</t>
        </is>
      </c>
      <c r="G1596" t="inlineStr">
        <is>
          <t>Mobile Web</t>
        </is>
      </c>
      <c r="H1596" t="inlineStr">
        <is>
          <t>UPI</t>
        </is>
      </c>
      <c r="I1596" t="inlineStr">
        <is>
          <t>Returned</t>
        </is>
      </c>
      <c r="J1596" t="n">
        <v>117</v>
      </c>
      <c r="K1596" t="n">
        <v>1</v>
      </c>
      <c r="L1596" t="n">
        <v>3149</v>
      </c>
      <c r="M1596" t="n">
        <v>314.9</v>
      </c>
      <c r="N1596">
        <f>VLOOKUP(J1596,Products!$A$2:$C$49,3,FALSE)</f>
        <v/>
      </c>
      <c r="O1596">
        <f>K1596*L1596-M1596</f>
        <v/>
      </c>
      <c r="P1596">
        <f>TEXT(B1596,"yyyy-mm")</f>
        <v/>
      </c>
      <c r="Q1596">
        <f>IF(O1596&gt;=3000,"Large","Small")</f>
        <v/>
      </c>
      <c r="R1596">
        <f>INDEX(Products!$F$2:$F$49,MATCH(J1596,Products!$A$2:$A$49,0))</f>
        <v/>
      </c>
      <c r="S1596">
        <f>WEEKDAY(B1596,2)</f>
        <v/>
      </c>
    </row>
    <row r="1597">
      <c r="A1597" t="n">
        <v>510139</v>
      </c>
      <c r="B1597" s="6" t="n">
        <v>45949</v>
      </c>
      <c r="C1597" t="n">
        <v>14875</v>
      </c>
      <c r="D1597" t="inlineStr">
        <is>
          <t>Kolkata</t>
        </is>
      </c>
      <c r="E1597" t="inlineStr">
        <is>
          <t>East</t>
        </is>
      </c>
      <c r="F1597" t="inlineStr">
        <is>
          <t>Organic Search</t>
        </is>
      </c>
      <c r="G1597" t="inlineStr">
        <is>
          <t>Mobile Web</t>
        </is>
      </c>
      <c r="H1597" t="inlineStr">
        <is>
          <t>Cash on Delivery</t>
        </is>
      </c>
      <c r="I1597" t="inlineStr">
        <is>
          <t>Delivered</t>
        </is>
      </c>
      <c r="J1597" t="n">
        <v>116</v>
      </c>
      <c r="K1597" t="n">
        <v>3</v>
      </c>
      <c r="L1597" t="n">
        <v>2624</v>
      </c>
      <c r="M1597" t="n">
        <v>0</v>
      </c>
      <c r="N1597">
        <f>VLOOKUP(J1597,Products!$A$2:$C$49,3,FALSE)</f>
        <v/>
      </c>
      <c r="O1597">
        <f>K1597*L1597-M1597</f>
        <v/>
      </c>
      <c r="P1597">
        <f>TEXT(B1597,"yyyy-mm")</f>
        <v/>
      </c>
      <c r="Q1597">
        <f>IF(O1597&gt;=3000,"Large","Small")</f>
        <v/>
      </c>
      <c r="R1597">
        <f>INDEX(Products!$F$2:$F$49,MATCH(J1597,Products!$A$2:$A$49,0))</f>
        <v/>
      </c>
      <c r="S1597">
        <f>WEEKDAY(B1597,2)</f>
        <v/>
      </c>
    </row>
    <row r="1598">
      <c r="A1598" t="n">
        <v>510139</v>
      </c>
      <c r="B1598" s="6" t="n">
        <v>45949</v>
      </c>
      <c r="C1598" t="n">
        <v>14875</v>
      </c>
      <c r="D1598" t="inlineStr">
        <is>
          <t>Kolkata</t>
        </is>
      </c>
      <c r="E1598" t="inlineStr">
        <is>
          <t>East</t>
        </is>
      </c>
      <c r="F1598" t="inlineStr">
        <is>
          <t>Organic Search</t>
        </is>
      </c>
      <c r="G1598" t="inlineStr">
        <is>
          <t>Mobile Web</t>
        </is>
      </c>
      <c r="H1598" t="inlineStr">
        <is>
          <t>Cash on Delivery</t>
        </is>
      </c>
      <c r="I1598" t="inlineStr">
        <is>
          <t>Delivered</t>
        </is>
      </c>
      <c r="J1598" t="n">
        <v>102</v>
      </c>
      <c r="K1598" t="n">
        <v>1</v>
      </c>
      <c r="L1598" t="n">
        <v>3674</v>
      </c>
      <c r="M1598" t="n">
        <v>0</v>
      </c>
      <c r="N1598">
        <f>VLOOKUP(J1598,Products!$A$2:$C$49,3,FALSE)</f>
        <v/>
      </c>
      <c r="O1598">
        <f>K1598*L1598-M1598</f>
        <v/>
      </c>
      <c r="P1598">
        <f>TEXT(B1598,"yyyy-mm")</f>
        <v/>
      </c>
      <c r="Q1598">
        <f>IF(O1598&gt;=3000,"Large","Small")</f>
        <v/>
      </c>
      <c r="R1598">
        <f>INDEX(Products!$F$2:$F$49,MATCH(J1598,Products!$A$2:$A$49,0))</f>
        <v/>
      </c>
      <c r="S1598">
        <f>WEEKDAY(B1598,2)</f>
        <v/>
      </c>
    </row>
    <row r="1599">
      <c r="A1599" t="n">
        <v>510139</v>
      </c>
      <c r="B1599" s="6" t="n">
        <v>45949</v>
      </c>
      <c r="C1599" t="n">
        <v>14875</v>
      </c>
      <c r="D1599" t="inlineStr">
        <is>
          <t>Kolkata</t>
        </is>
      </c>
      <c r="E1599" t="inlineStr">
        <is>
          <t>East</t>
        </is>
      </c>
      <c r="F1599" t="inlineStr">
        <is>
          <t>Organic Search</t>
        </is>
      </c>
      <c r="G1599" t="inlineStr">
        <is>
          <t>Mobile Web</t>
        </is>
      </c>
      <c r="H1599" t="inlineStr">
        <is>
          <t>Cash on Delivery</t>
        </is>
      </c>
      <c r="I1599" t="inlineStr">
        <is>
          <t>Delivered</t>
        </is>
      </c>
      <c r="J1599" t="n">
        <v>123</v>
      </c>
      <c r="K1599" t="n">
        <v>1</v>
      </c>
      <c r="L1599" t="n">
        <v>3464</v>
      </c>
      <c r="M1599" t="n">
        <v>0</v>
      </c>
      <c r="N1599">
        <f>VLOOKUP(J1599,Products!$A$2:$C$49,3,FALSE)</f>
        <v/>
      </c>
      <c r="O1599">
        <f>K1599*L1599-M1599</f>
        <v/>
      </c>
      <c r="P1599">
        <f>TEXT(B1599,"yyyy-mm")</f>
        <v/>
      </c>
      <c r="Q1599">
        <f>IF(O1599&gt;=3000,"Large","Small")</f>
        <v/>
      </c>
      <c r="R1599">
        <f>INDEX(Products!$F$2:$F$49,MATCH(J1599,Products!$A$2:$A$49,0))</f>
        <v/>
      </c>
      <c r="S1599">
        <f>WEEKDAY(B1599,2)</f>
        <v/>
      </c>
    </row>
    <row r="1600">
      <c r="A1600" t="n">
        <v>510140</v>
      </c>
      <c r="B1600" s="6" t="n">
        <v>45949</v>
      </c>
      <c r="C1600" t="n">
        <v>13089</v>
      </c>
      <c r="D1600" t="inlineStr">
        <is>
          <t>Pune</t>
        </is>
      </c>
      <c r="E1600" t="inlineStr">
        <is>
          <t>West</t>
        </is>
      </c>
      <c r="F1600" t="inlineStr">
        <is>
          <t>Referral</t>
        </is>
      </c>
      <c r="G1600" t="inlineStr">
        <is>
          <t>Desktop</t>
        </is>
      </c>
      <c r="H1600" t="inlineStr">
        <is>
          <t>UPI</t>
        </is>
      </c>
      <c r="I1600" t="inlineStr">
        <is>
          <t>Delivered</t>
        </is>
      </c>
      <c r="J1600" t="n">
        <v>139</v>
      </c>
      <c r="K1600" t="n">
        <v>1</v>
      </c>
      <c r="L1600" t="n">
        <v>366</v>
      </c>
      <c r="M1600" t="n">
        <v>36.6</v>
      </c>
      <c r="N1600">
        <f>VLOOKUP(J1600,Products!$A$2:$C$49,3,FALSE)</f>
        <v/>
      </c>
      <c r="O1600">
        <f>K1600*L1600-M1600</f>
        <v/>
      </c>
      <c r="P1600">
        <f>TEXT(B1600,"yyyy-mm")</f>
        <v/>
      </c>
      <c r="Q1600">
        <f>IF(O1600&gt;=3000,"Large","Small")</f>
        <v/>
      </c>
      <c r="R1600">
        <f>INDEX(Products!$F$2:$F$49,MATCH(J1600,Products!$A$2:$A$49,0))</f>
        <v/>
      </c>
      <c r="S1600">
        <f>WEEKDAY(B1600,2)</f>
        <v/>
      </c>
    </row>
    <row r="1601">
      <c r="A1601" t="n">
        <v>510140</v>
      </c>
      <c r="B1601" s="6" t="n">
        <v>45949</v>
      </c>
      <c r="C1601" t="n">
        <v>13089</v>
      </c>
      <c r="D1601" t="inlineStr">
        <is>
          <t>Pune</t>
        </is>
      </c>
      <c r="E1601" t="inlineStr">
        <is>
          <t>West</t>
        </is>
      </c>
      <c r="F1601" t="inlineStr">
        <is>
          <t>Referral</t>
        </is>
      </c>
      <c r="G1601" t="inlineStr">
        <is>
          <t>Desktop</t>
        </is>
      </c>
      <c r="H1601" t="inlineStr">
        <is>
          <t>UPI</t>
        </is>
      </c>
      <c r="I1601" t="inlineStr">
        <is>
          <t>Delivered</t>
        </is>
      </c>
      <c r="J1601" t="n">
        <v>133</v>
      </c>
      <c r="K1601" t="n">
        <v>1</v>
      </c>
      <c r="L1601" t="n">
        <v>419</v>
      </c>
      <c r="M1601" t="n">
        <v>41.9</v>
      </c>
      <c r="N1601">
        <f>VLOOKUP(J1601,Products!$A$2:$C$49,3,FALSE)</f>
        <v/>
      </c>
      <c r="O1601">
        <f>K1601*L1601-M1601</f>
        <v/>
      </c>
      <c r="P1601">
        <f>TEXT(B1601,"yyyy-mm")</f>
        <v/>
      </c>
      <c r="Q1601">
        <f>IF(O1601&gt;=3000,"Large","Small")</f>
        <v/>
      </c>
      <c r="R1601">
        <f>INDEX(Products!$F$2:$F$49,MATCH(J1601,Products!$A$2:$A$49,0))</f>
        <v/>
      </c>
      <c r="S1601">
        <f>WEEKDAY(B1601,2)</f>
        <v/>
      </c>
    </row>
    <row r="1602">
      <c r="A1602" t="n">
        <v>510140</v>
      </c>
      <c r="B1602" s="6" t="n">
        <v>45949</v>
      </c>
      <c r="C1602" t="n">
        <v>13089</v>
      </c>
      <c r="D1602" t="inlineStr">
        <is>
          <t>Pune</t>
        </is>
      </c>
      <c r="E1602" t="inlineStr">
        <is>
          <t>West</t>
        </is>
      </c>
      <c r="F1602" t="inlineStr">
        <is>
          <t>Referral</t>
        </is>
      </c>
      <c r="G1602" t="inlineStr">
        <is>
          <t>Desktop</t>
        </is>
      </c>
      <c r="H1602" t="inlineStr">
        <is>
          <t>UPI</t>
        </is>
      </c>
      <c r="I1602" t="inlineStr">
        <is>
          <t>Delivered</t>
        </is>
      </c>
      <c r="J1602" t="n">
        <v>113</v>
      </c>
      <c r="K1602" t="n">
        <v>1</v>
      </c>
      <c r="L1602" t="n">
        <v>1364</v>
      </c>
      <c r="M1602" t="n">
        <v>136.4</v>
      </c>
      <c r="N1602">
        <f>VLOOKUP(J1602,Products!$A$2:$C$49,3,FALSE)</f>
        <v/>
      </c>
      <c r="O1602">
        <f>K1602*L1602-M1602</f>
        <v/>
      </c>
      <c r="P1602">
        <f>TEXT(B1602,"yyyy-mm")</f>
        <v/>
      </c>
      <c r="Q1602">
        <f>IF(O1602&gt;=3000,"Large","Small")</f>
        <v/>
      </c>
      <c r="R1602">
        <f>INDEX(Products!$F$2:$F$49,MATCH(J1602,Products!$A$2:$A$49,0))</f>
        <v/>
      </c>
      <c r="S1602">
        <f>WEEKDAY(B1602,2)</f>
        <v/>
      </c>
    </row>
    <row r="1603">
      <c r="A1603" t="n">
        <v>510141</v>
      </c>
      <c r="B1603" s="6" t="n">
        <v>45949</v>
      </c>
      <c r="C1603" t="n">
        <v>16880</v>
      </c>
      <c r="D1603" t="inlineStr">
        <is>
          <t>Chennai</t>
        </is>
      </c>
      <c r="E1603" t="inlineStr">
        <is>
          <t>South</t>
        </is>
      </c>
      <c r="F1603" t="inlineStr">
        <is>
          <t>Paid Social</t>
        </is>
      </c>
      <c r="G1603" t="inlineStr">
        <is>
          <t>Mobile Web</t>
        </is>
      </c>
      <c r="H1603" t="inlineStr">
        <is>
          <t>Debit Card</t>
        </is>
      </c>
      <c r="I1603" t="inlineStr">
        <is>
          <t>Delivered</t>
        </is>
      </c>
      <c r="J1603" t="n">
        <v>107</v>
      </c>
      <c r="K1603" t="n">
        <v>1</v>
      </c>
      <c r="L1603" t="n">
        <v>1259</v>
      </c>
      <c r="M1603" t="n">
        <v>125.9</v>
      </c>
      <c r="N1603">
        <f>VLOOKUP(J1603,Products!$A$2:$C$49,3,FALSE)</f>
        <v/>
      </c>
      <c r="O1603">
        <f>K1603*L1603-M1603</f>
        <v/>
      </c>
      <c r="P1603">
        <f>TEXT(B1603,"yyyy-mm")</f>
        <v/>
      </c>
      <c r="Q1603">
        <f>IF(O1603&gt;=3000,"Large","Small")</f>
        <v/>
      </c>
      <c r="R1603">
        <f>INDEX(Products!$F$2:$F$49,MATCH(J1603,Products!$A$2:$A$49,0))</f>
        <v/>
      </c>
      <c r="S1603">
        <f>WEEKDAY(B1603,2)</f>
        <v/>
      </c>
    </row>
    <row r="1604">
      <c r="A1604" t="n">
        <v>510142</v>
      </c>
      <c r="B1604" s="6" t="n">
        <v>45949</v>
      </c>
      <c r="C1604" t="n">
        <v>16789</v>
      </c>
      <c r="D1604" t="inlineStr">
        <is>
          <t>Delhi</t>
        </is>
      </c>
      <c r="E1604" t="inlineStr">
        <is>
          <t>North</t>
        </is>
      </c>
      <c r="F1604" t="inlineStr">
        <is>
          <t>Organic Search</t>
        </is>
      </c>
      <c r="G1604" t="inlineStr">
        <is>
          <t>Mobile Web</t>
        </is>
      </c>
      <c r="H1604" t="inlineStr">
        <is>
          <t>Debit Card</t>
        </is>
      </c>
      <c r="I1604" t="inlineStr">
        <is>
          <t>Delivered</t>
        </is>
      </c>
      <c r="J1604" t="n">
        <v>104</v>
      </c>
      <c r="K1604" t="n">
        <v>1</v>
      </c>
      <c r="L1604" t="n">
        <v>5249</v>
      </c>
      <c r="M1604" t="n">
        <v>787.35</v>
      </c>
      <c r="N1604">
        <f>VLOOKUP(J1604,Products!$A$2:$C$49,3,FALSE)</f>
        <v/>
      </c>
      <c r="O1604">
        <f>K1604*L1604-M1604</f>
        <v/>
      </c>
      <c r="P1604">
        <f>TEXT(B1604,"yyyy-mm")</f>
        <v/>
      </c>
      <c r="Q1604">
        <f>IF(O1604&gt;=3000,"Large","Small")</f>
        <v/>
      </c>
      <c r="R1604">
        <f>INDEX(Products!$F$2:$F$49,MATCH(J1604,Products!$A$2:$A$49,0))</f>
        <v/>
      </c>
      <c r="S1604">
        <f>WEEKDAY(B1604,2)</f>
        <v/>
      </c>
    </row>
    <row r="1605">
      <c r="A1605" t="n">
        <v>510142</v>
      </c>
      <c r="B1605" s="6" t="n">
        <v>45949</v>
      </c>
      <c r="C1605" t="n">
        <v>16789</v>
      </c>
      <c r="D1605" t="inlineStr">
        <is>
          <t>Delhi</t>
        </is>
      </c>
      <c r="E1605" t="inlineStr">
        <is>
          <t>North</t>
        </is>
      </c>
      <c r="F1605" t="inlineStr">
        <is>
          <t>Organic Search</t>
        </is>
      </c>
      <c r="G1605" t="inlineStr">
        <is>
          <t>Mobile Web</t>
        </is>
      </c>
      <c r="H1605" t="inlineStr">
        <is>
          <t>Debit Card</t>
        </is>
      </c>
      <c r="I1605" t="inlineStr">
        <is>
          <t>Delivered</t>
        </is>
      </c>
      <c r="J1605" t="n">
        <v>123</v>
      </c>
      <c r="K1605" t="n">
        <v>1</v>
      </c>
      <c r="L1605" t="n">
        <v>3464</v>
      </c>
      <c r="M1605" t="n">
        <v>519.6</v>
      </c>
      <c r="N1605">
        <f>VLOOKUP(J1605,Products!$A$2:$C$49,3,FALSE)</f>
        <v/>
      </c>
      <c r="O1605">
        <f>K1605*L1605-M1605</f>
        <v/>
      </c>
      <c r="P1605">
        <f>TEXT(B1605,"yyyy-mm")</f>
        <v/>
      </c>
      <c r="Q1605">
        <f>IF(O1605&gt;=3000,"Large","Small")</f>
        <v/>
      </c>
      <c r="R1605">
        <f>INDEX(Products!$F$2:$F$49,MATCH(J1605,Products!$A$2:$A$49,0))</f>
        <v/>
      </c>
      <c r="S1605">
        <f>WEEKDAY(B1605,2)</f>
        <v/>
      </c>
    </row>
    <row r="1606">
      <c r="A1606" t="n">
        <v>510143</v>
      </c>
      <c r="B1606" s="6" t="n">
        <v>45949</v>
      </c>
      <c r="C1606" t="n">
        <v>14958</v>
      </c>
      <c r="D1606" t="inlineStr">
        <is>
          <t>Kolkata</t>
        </is>
      </c>
      <c r="E1606" t="inlineStr">
        <is>
          <t>East</t>
        </is>
      </c>
      <c r="F1606" t="inlineStr">
        <is>
          <t>Organic Search</t>
        </is>
      </c>
      <c r="G1606" t="inlineStr">
        <is>
          <t>Desktop</t>
        </is>
      </c>
      <c r="H1606" t="inlineStr">
        <is>
          <t>UPI</t>
        </is>
      </c>
      <c r="I1606" t="inlineStr">
        <is>
          <t>Delivered</t>
        </is>
      </c>
      <c r="J1606" t="n">
        <v>124</v>
      </c>
      <c r="K1606" t="n">
        <v>1</v>
      </c>
      <c r="L1606" t="n">
        <v>1154</v>
      </c>
      <c r="M1606" t="n">
        <v>0</v>
      </c>
      <c r="N1606">
        <f>VLOOKUP(J1606,Products!$A$2:$C$49,3,FALSE)</f>
        <v/>
      </c>
      <c r="O1606">
        <f>K1606*L1606-M1606</f>
        <v/>
      </c>
      <c r="P1606">
        <f>TEXT(B1606,"yyyy-mm")</f>
        <v/>
      </c>
      <c r="Q1606">
        <f>IF(O1606&gt;=3000,"Large","Small")</f>
        <v/>
      </c>
      <c r="R1606">
        <f>INDEX(Products!$F$2:$F$49,MATCH(J1606,Products!$A$2:$A$49,0))</f>
        <v/>
      </c>
      <c r="S1606">
        <f>WEEKDAY(B1606,2)</f>
        <v/>
      </c>
    </row>
    <row r="1607">
      <c r="A1607" t="n">
        <v>510144</v>
      </c>
      <c r="B1607" s="6" t="n">
        <v>45949</v>
      </c>
      <c r="C1607" t="n">
        <v>14062</v>
      </c>
      <c r="D1607" t="inlineStr">
        <is>
          <t>Delhi</t>
        </is>
      </c>
      <c r="E1607" t="inlineStr">
        <is>
          <t>North</t>
        </is>
      </c>
      <c r="F1607" t="inlineStr">
        <is>
          <t>Referral</t>
        </is>
      </c>
      <c r="G1607" t="inlineStr">
        <is>
          <t>Mobile Web</t>
        </is>
      </c>
      <c r="H1607" t="inlineStr">
        <is>
          <t>Cash on Delivery</t>
        </is>
      </c>
      <c r="I1607" t="inlineStr">
        <is>
          <t>Delivered</t>
        </is>
      </c>
      <c r="J1607" t="n">
        <v>137</v>
      </c>
      <c r="K1607" t="n">
        <v>1</v>
      </c>
      <c r="L1607" t="n">
        <v>261</v>
      </c>
      <c r="M1607" t="n">
        <v>0</v>
      </c>
      <c r="N1607">
        <f>VLOOKUP(J1607,Products!$A$2:$C$49,3,FALSE)</f>
        <v/>
      </c>
      <c r="O1607">
        <f>K1607*L1607-M1607</f>
        <v/>
      </c>
      <c r="P1607">
        <f>TEXT(B1607,"yyyy-mm")</f>
        <v/>
      </c>
      <c r="Q1607">
        <f>IF(O1607&gt;=3000,"Large","Small")</f>
        <v/>
      </c>
      <c r="R1607">
        <f>INDEX(Products!$F$2:$F$49,MATCH(J1607,Products!$A$2:$A$49,0))</f>
        <v/>
      </c>
      <c r="S1607">
        <f>WEEKDAY(B1607,2)</f>
        <v/>
      </c>
    </row>
    <row r="1608">
      <c r="A1608" t="n">
        <v>510144</v>
      </c>
      <c r="B1608" s="6" t="n">
        <v>45949</v>
      </c>
      <c r="C1608" t="n">
        <v>14062</v>
      </c>
      <c r="D1608" t="inlineStr">
        <is>
          <t>Delhi</t>
        </is>
      </c>
      <c r="E1608" t="inlineStr">
        <is>
          <t>North</t>
        </is>
      </c>
      <c r="F1608" t="inlineStr">
        <is>
          <t>Referral</t>
        </is>
      </c>
      <c r="G1608" t="inlineStr">
        <is>
          <t>Mobile Web</t>
        </is>
      </c>
      <c r="H1608" t="inlineStr">
        <is>
          <t>Cash on Delivery</t>
        </is>
      </c>
      <c r="I1608" t="inlineStr">
        <is>
          <t>Delivered</t>
        </is>
      </c>
      <c r="J1608" t="n">
        <v>107</v>
      </c>
      <c r="K1608" t="n">
        <v>1</v>
      </c>
      <c r="L1608" t="n">
        <v>1259</v>
      </c>
      <c r="M1608" t="n">
        <v>0</v>
      </c>
      <c r="N1608">
        <f>VLOOKUP(J1608,Products!$A$2:$C$49,3,FALSE)</f>
        <v/>
      </c>
      <c r="O1608">
        <f>K1608*L1608-M1608</f>
        <v/>
      </c>
      <c r="P1608">
        <f>TEXT(B1608,"yyyy-mm")</f>
        <v/>
      </c>
      <c r="Q1608">
        <f>IF(O1608&gt;=3000,"Large","Small")</f>
        <v/>
      </c>
      <c r="R1608">
        <f>INDEX(Products!$F$2:$F$49,MATCH(J1608,Products!$A$2:$A$49,0))</f>
        <v/>
      </c>
      <c r="S1608">
        <f>WEEKDAY(B1608,2)</f>
        <v/>
      </c>
    </row>
    <row r="1609">
      <c r="A1609" t="n">
        <v>510144</v>
      </c>
      <c r="B1609" s="6" t="n">
        <v>45949</v>
      </c>
      <c r="C1609" t="n">
        <v>14062</v>
      </c>
      <c r="D1609" t="inlineStr">
        <is>
          <t>Delhi</t>
        </is>
      </c>
      <c r="E1609" t="inlineStr">
        <is>
          <t>North</t>
        </is>
      </c>
      <c r="F1609" t="inlineStr">
        <is>
          <t>Referral</t>
        </is>
      </c>
      <c r="G1609" t="inlineStr">
        <is>
          <t>Mobile Web</t>
        </is>
      </c>
      <c r="H1609" t="inlineStr">
        <is>
          <t>Cash on Delivery</t>
        </is>
      </c>
      <c r="I1609" t="inlineStr">
        <is>
          <t>Delivered</t>
        </is>
      </c>
      <c r="J1609" t="n">
        <v>111</v>
      </c>
      <c r="K1609" t="n">
        <v>1</v>
      </c>
      <c r="L1609" t="n">
        <v>524</v>
      </c>
      <c r="M1609" t="n">
        <v>0</v>
      </c>
      <c r="N1609">
        <f>VLOOKUP(J1609,Products!$A$2:$C$49,3,FALSE)</f>
        <v/>
      </c>
      <c r="O1609">
        <f>K1609*L1609-M1609</f>
        <v/>
      </c>
      <c r="P1609">
        <f>TEXT(B1609,"yyyy-mm")</f>
        <v/>
      </c>
      <c r="Q1609">
        <f>IF(O1609&gt;=3000,"Large","Small")</f>
        <v/>
      </c>
      <c r="R1609">
        <f>INDEX(Products!$F$2:$F$49,MATCH(J1609,Products!$A$2:$A$49,0))</f>
        <v/>
      </c>
      <c r="S1609">
        <f>WEEKDAY(B1609,2)</f>
        <v/>
      </c>
    </row>
    <row r="1610">
      <c r="A1610" t="n">
        <v>510145</v>
      </c>
      <c r="B1610" s="6" t="n">
        <v>45950</v>
      </c>
      <c r="C1610" t="n">
        <v>13980</v>
      </c>
      <c r="D1610" t="inlineStr">
        <is>
          <t>Gurugram</t>
        </is>
      </c>
      <c r="E1610" t="inlineStr">
        <is>
          <t>North</t>
        </is>
      </c>
      <c r="F1610" t="inlineStr">
        <is>
          <t>Paid Search</t>
        </is>
      </c>
      <c r="G1610" t="inlineStr">
        <is>
          <t>Mobile App</t>
        </is>
      </c>
      <c r="H1610" t="inlineStr">
        <is>
          <t>Cash on Delivery</t>
        </is>
      </c>
      <c r="I1610" t="inlineStr">
        <is>
          <t>Delivered</t>
        </is>
      </c>
      <c r="J1610" t="n">
        <v>122</v>
      </c>
      <c r="K1610" t="n">
        <v>3</v>
      </c>
      <c r="L1610" t="n">
        <v>1994</v>
      </c>
      <c r="M1610" t="n">
        <v>0</v>
      </c>
      <c r="N1610">
        <f>VLOOKUP(J1610,Products!$A$2:$C$49,3,FALSE)</f>
        <v/>
      </c>
      <c r="O1610">
        <f>K1610*L1610-M1610</f>
        <v/>
      </c>
      <c r="P1610">
        <f>TEXT(B1610,"yyyy-mm")</f>
        <v/>
      </c>
      <c r="Q1610">
        <f>IF(O1610&gt;=3000,"Large","Small")</f>
        <v/>
      </c>
      <c r="R1610">
        <f>INDEX(Products!$F$2:$F$49,MATCH(J1610,Products!$A$2:$A$49,0))</f>
        <v/>
      </c>
      <c r="S1610">
        <f>WEEKDAY(B1610,2)</f>
        <v/>
      </c>
    </row>
    <row r="1611">
      <c r="A1611" t="n">
        <v>510146</v>
      </c>
      <c r="B1611" s="6" t="n">
        <v>45950</v>
      </c>
      <c r="C1611" t="n">
        <v>15700</v>
      </c>
      <c r="D1611" t="inlineStr">
        <is>
          <t>Kolkata</t>
        </is>
      </c>
      <c r="E1611" t="inlineStr">
        <is>
          <t>East</t>
        </is>
      </c>
      <c r="F1611" t="inlineStr">
        <is>
          <t>Organic Search</t>
        </is>
      </c>
      <c r="G1611" t="inlineStr">
        <is>
          <t>Mobile App</t>
        </is>
      </c>
      <c r="H1611" t="inlineStr">
        <is>
          <t>UPI</t>
        </is>
      </c>
      <c r="I1611" t="inlineStr">
        <is>
          <t>Cancelled</t>
        </is>
      </c>
      <c r="J1611" t="n">
        <v>104</v>
      </c>
      <c r="K1611" t="n">
        <v>2</v>
      </c>
      <c r="L1611" t="n">
        <v>5249</v>
      </c>
      <c r="M1611" t="n">
        <v>0</v>
      </c>
      <c r="N1611">
        <f>VLOOKUP(J1611,Products!$A$2:$C$49,3,FALSE)</f>
        <v/>
      </c>
      <c r="O1611">
        <f>K1611*L1611-M1611</f>
        <v/>
      </c>
      <c r="P1611">
        <f>TEXT(B1611,"yyyy-mm")</f>
        <v/>
      </c>
      <c r="Q1611">
        <f>IF(O1611&gt;=3000,"Large","Small")</f>
        <v/>
      </c>
      <c r="R1611">
        <f>INDEX(Products!$F$2:$F$49,MATCH(J1611,Products!$A$2:$A$49,0))</f>
        <v/>
      </c>
      <c r="S1611">
        <f>WEEKDAY(B1611,2)</f>
        <v/>
      </c>
    </row>
    <row r="1612">
      <c r="A1612" t="n">
        <v>510146</v>
      </c>
      <c r="B1612" s="6" t="n">
        <v>45950</v>
      </c>
      <c r="C1612" t="n">
        <v>15700</v>
      </c>
      <c r="D1612" t="inlineStr">
        <is>
          <t>Kolkata</t>
        </is>
      </c>
      <c r="E1612" t="inlineStr">
        <is>
          <t>East</t>
        </is>
      </c>
      <c r="F1612" t="inlineStr">
        <is>
          <t>Organic Search</t>
        </is>
      </c>
      <c r="G1612" t="inlineStr">
        <is>
          <t>Mobile App</t>
        </is>
      </c>
      <c r="H1612" t="inlineStr">
        <is>
          <t>UPI</t>
        </is>
      </c>
      <c r="I1612" t="inlineStr">
        <is>
          <t>Cancelled</t>
        </is>
      </c>
      <c r="J1612" t="n">
        <v>139</v>
      </c>
      <c r="K1612" t="n">
        <v>1</v>
      </c>
      <c r="L1612" t="n">
        <v>366</v>
      </c>
      <c r="M1612" t="n">
        <v>0</v>
      </c>
      <c r="N1612">
        <f>VLOOKUP(J1612,Products!$A$2:$C$49,3,FALSE)</f>
        <v/>
      </c>
      <c r="O1612">
        <f>K1612*L1612-M1612</f>
        <v/>
      </c>
      <c r="P1612">
        <f>TEXT(B1612,"yyyy-mm")</f>
        <v/>
      </c>
      <c r="Q1612">
        <f>IF(O1612&gt;=3000,"Large","Small")</f>
        <v/>
      </c>
      <c r="R1612">
        <f>INDEX(Products!$F$2:$F$49,MATCH(J1612,Products!$A$2:$A$49,0))</f>
        <v/>
      </c>
      <c r="S1612">
        <f>WEEKDAY(B1612,2)</f>
        <v/>
      </c>
    </row>
    <row r="1613">
      <c r="A1613" t="n">
        <v>510146</v>
      </c>
      <c r="B1613" s="6" t="n">
        <v>45950</v>
      </c>
      <c r="C1613" t="n">
        <v>15700</v>
      </c>
      <c r="D1613" t="inlineStr">
        <is>
          <t>Kolkata</t>
        </is>
      </c>
      <c r="E1613" t="inlineStr">
        <is>
          <t>East</t>
        </is>
      </c>
      <c r="F1613" t="inlineStr">
        <is>
          <t>Organic Search</t>
        </is>
      </c>
      <c r="G1613" t="inlineStr">
        <is>
          <t>Mobile App</t>
        </is>
      </c>
      <c r="H1613" t="inlineStr">
        <is>
          <t>UPI</t>
        </is>
      </c>
      <c r="I1613" t="inlineStr">
        <is>
          <t>Cancelled</t>
        </is>
      </c>
      <c r="J1613" t="n">
        <v>127</v>
      </c>
      <c r="K1613" t="n">
        <v>1</v>
      </c>
      <c r="L1613" t="n">
        <v>681</v>
      </c>
      <c r="M1613" t="n">
        <v>0</v>
      </c>
      <c r="N1613">
        <f>VLOOKUP(J1613,Products!$A$2:$C$49,3,FALSE)</f>
        <v/>
      </c>
      <c r="O1613">
        <f>K1613*L1613-M1613</f>
        <v/>
      </c>
      <c r="P1613">
        <f>TEXT(B1613,"yyyy-mm")</f>
        <v/>
      </c>
      <c r="Q1613">
        <f>IF(O1613&gt;=3000,"Large","Small")</f>
        <v/>
      </c>
      <c r="R1613">
        <f>INDEX(Products!$F$2:$F$49,MATCH(J1613,Products!$A$2:$A$49,0))</f>
        <v/>
      </c>
      <c r="S1613">
        <f>WEEKDAY(B1613,2)</f>
        <v/>
      </c>
    </row>
    <row r="1614">
      <c r="A1614" t="n">
        <v>510146</v>
      </c>
      <c r="B1614" s="6" t="n">
        <v>45950</v>
      </c>
      <c r="C1614" t="n">
        <v>15700</v>
      </c>
      <c r="D1614" t="inlineStr">
        <is>
          <t>Kolkata</t>
        </is>
      </c>
      <c r="E1614" t="inlineStr">
        <is>
          <t>East</t>
        </is>
      </c>
      <c r="F1614" t="inlineStr">
        <is>
          <t>Organic Search</t>
        </is>
      </c>
      <c r="G1614" t="inlineStr">
        <is>
          <t>Mobile App</t>
        </is>
      </c>
      <c r="H1614" t="inlineStr">
        <is>
          <t>UPI</t>
        </is>
      </c>
      <c r="I1614" t="inlineStr">
        <is>
          <t>Cancelled</t>
        </is>
      </c>
      <c r="J1614" t="n">
        <v>129</v>
      </c>
      <c r="K1614" t="n">
        <v>1</v>
      </c>
      <c r="L1614" t="n">
        <v>576</v>
      </c>
      <c r="M1614" t="n">
        <v>0</v>
      </c>
      <c r="N1614">
        <f>VLOOKUP(J1614,Products!$A$2:$C$49,3,FALSE)</f>
        <v/>
      </c>
      <c r="O1614">
        <f>K1614*L1614-M1614</f>
        <v/>
      </c>
      <c r="P1614">
        <f>TEXT(B1614,"yyyy-mm")</f>
        <v/>
      </c>
      <c r="Q1614">
        <f>IF(O1614&gt;=3000,"Large","Small")</f>
        <v/>
      </c>
      <c r="R1614">
        <f>INDEX(Products!$F$2:$F$49,MATCH(J1614,Products!$A$2:$A$49,0))</f>
        <v/>
      </c>
      <c r="S1614">
        <f>WEEKDAY(B1614,2)</f>
        <v/>
      </c>
    </row>
    <row r="1615">
      <c r="A1615" t="n">
        <v>510147</v>
      </c>
      <c r="B1615" s="6" t="n">
        <v>45950</v>
      </c>
      <c r="C1615" t="n">
        <v>16000</v>
      </c>
      <c r="D1615" t="inlineStr">
        <is>
          <t>Pune</t>
        </is>
      </c>
      <c r="E1615" t="inlineStr">
        <is>
          <t>West</t>
        </is>
      </c>
      <c r="F1615" t="inlineStr">
        <is>
          <t>Paid Search</t>
        </is>
      </c>
      <c r="G1615" t="inlineStr">
        <is>
          <t>Mobile App</t>
        </is>
      </c>
      <c r="H1615" t="inlineStr">
        <is>
          <t>Cash on Delivery</t>
        </is>
      </c>
      <c r="I1615" t="inlineStr">
        <is>
          <t>Delivered</t>
        </is>
      </c>
      <c r="J1615" t="n">
        <v>123</v>
      </c>
      <c r="K1615" t="n">
        <v>1</v>
      </c>
      <c r="L1615" t="n">
        <v>3464</v>
      </c>
      <c r="M1615" t="n">
        <v>346.4</v>
      </c>
      <c r="N1615">
        <f>VLOOKUP(J1615,Products!$A$2:$C$49,3,FALSE)</f>
        <v/>
      </c>
      <c r="O1615">
        <f>K1615*L1615-M1615</f>
        <v/>
      </c>
      <c r="P1615">
        <f>TEXT(B1615,"yyyy-mm")</f>
        <v/>
      </c>
      <c r="Q1615">
        <f>IF(O1615&gt;=3000,"Large","Small")</f>
        <v/>
      </c>
      <c r="R1615">
        <f>INDEX(Products!$F$2:$F$49,MATCH(J1615,Products!$A$2:$A$49,0))</f>
        <v/>
      </c>
      <c r="S1615">
        <f>WEEKDAY(B1615,2)</f>
        <v/>
      </c>
    </row>
    <row r="1616">
      <c r="A1616" t="n">
        <v>510147</v>
      </c>
      <c r="B1616" s="6" t="n">
        <v>45950</v>
      </c>
      <c r="C1616" t="n">
        <v>16000</v>
      </c>
      <c r="D1616" t="inlineStr">
        <is>
          <t>Pune</t>
        </is>
      </c>
      <c r="E1616" t="inlineStr">
        <is>
          <t>West</t>
        </is>
      </c>
      <c r="F1616" t="inlineStr">
        <is>
          <t>Paid Search</t>
        </is>
      </c>
      <c r="G1616" t="inlineStr">
        <is>
          <t>Mobile App</t>
        </is>
      </c>
      <c r="H1616" t="inlineStr">
        <is>
          <t>Cash on Delivery</t>
        </is>
      </c>
      <c r="I1616" t="inlineStr">
        <is>
          <t>Delivered</t>
        </is>
      </c>
      <c r="J1616" t="n">
        <v>129</v>
      </c>
      <c r="K1616" t="n">
        <v>1</v>
      </c>
      <c r="L1616" t="n">
        <v>576</v>
      </c>
      <c r="M1616" t="n">
        <v>57.6</v>
      </c>
      <c r="N1616">
        <f>VLOOKUP(J1616,Products!$A$2:$C$49,3,FALSE)</f>
        <v/>
      </c>
      <c r="O1616">
        <f>K1616*L1616-M1616</f>
        <v/>
      </c>
      <c r="P1616">
        <f>TEXT(B1616,"yyyy-mm")</f>
        <v/>
      </c>
      <c r="Q1616">
        <f>IF(O1616&gt;=3000,"Large","Small")</f>
        <v/>
      </c>
      <c r="R1616">
        <f>INDEX(Products!$F$2:$F$49,MATCH(J1616,Products!$A$2:$A$49,0))</f>
        <v/>
      </c>
      <c r="S1616">
        <f>WEEKDAY(B1616,2)</f>
        <v/>
      </c>
    </row>
    <row r="1617">
      <c r="A1617" t="n">
        <v>510148</v>
      </c>
      <c r="B1617" s="6" t="n">
        <v>45950</v>
      </c>
      <c r="C1617" t="n">
        <v>16891</v>
      </c>
      <c r="D1617" t="inlineStr">
        <is>
          <t>Chennai</t>
        </is>
      </c>
      <c r="E1617" t="inlineStr">
        <is>
          <t>South</t>
        </is>
      </c>
      <c r="F1617" t="inlineStr">
        <is>
          <t>Organic Search</t>
        </is>
      </c>
      <c r="G1617" t="inlineStr">
        <is>
          <t>Mobile App</t>
        </is>
      </c>
      <c r="H1617" t="inlineStr">
        <is>
          <t>Debit Card</t>
        </is>
      </c>
      <c r="I1617" t="inlineStr">
        <is>
          <t>Delivered</t>
        </is>
      </c>
      <c r="J1617" t="n">
        <v>117</v>
      </c>
      <c r="K1617" t="n">
        <v>1</v>
      </c>
      <c r="L1617" t="n">
        <v>3149</v>
      </c>
      <c r="M1617" t="n">
        <v>472.35</v>
      </c>
      <c r="N1617">
        <f>VLOOKUP(J1617,Products!$A$2:$C$49,3,FALSE)</f>
        <v/>
      </c>
      <c r="O1617">
        <f>K1617*L1617-M1617</f>
        <v/>
      </c>
      <c r="P1617">
        <f>TEXT(B1617,"yyyy-mm")</f>
        <v/>
      </c>
      <c r="Q1617">
        <f>IF(O1617&gt;=3000,"Large","Small")</f>
        <v/>
      </c>
      <c r="R1617">
        <f>INDEX(Products!$F$2:$F$49,MATCH(J1617,Products!$A$2:$A$49,0))</f>
        <v/>
      </c>
      <c r="S1617">
        <f>WEEKDAY(B1617,2)</f>
        <v/>
      </c>
    </row>
    <row r="1618">
      <c r="A1618" t="n">
        <v>510148</v>
      </c>
      <c r="B1618" s="6" t="n">
        <v>45950</v>
      </c>
      <c r="C1618" t="n">
        <v>16891</v>
      </c>
      <c r="D1618" t="inlineStr">
        <is>
          <t>Chennai</t>
        </is>
      </c>
      <c r="E1618" t="inlineStr">
        <is>
          <t>South</t>
        </is>
      </c>
      <c r="F1618" t="inlineStr">
        <is>
          <t>Organic Search</t>
        </is>
      </c>
      <c r="G1618" t="inlineStr">
        <is>
          <t>Mobile App</t>
        </is>
      </c>
      <c r="H1618" t="inlineStr">
        <is>
          <t>Debit Card</t>
        </is>
      </c>
      <c r="I1618" t="inlineStr">
        <is>
          <t>Delivered</t>
        </is>
      </c>
      <c r="J1618" t="n">
        <v>115</v>
      </c>
      <c r="K1618" t="n">
        <v>1</v>
      </c>
      <c r="L1618" t="n">
        <v>4199</v>
      </c>
      <c r="M1618" t="n">
        <v>629.85</v>
      </c>
      <c r="N1618">
        <f>VLOOKUP(J1618,Products!$A$2:$C$49,3,FALSE)</f>
        <v/>
      </c>
      <c r="O1618">
        <f>K1618*L1618-M1618</f>
        <v/>
      </c>
      <c r="P1618">
        <f>TEXT(B1618,"yyyy-mm")</f>
        <v/>
      </c>
      <c r="Q1618">
        <f>IF(O1618&gt;=3000,"Large","Small")</f>
        <v/>
      </c>
      <c r="R1618">
        <f>INDEX(Products!$F$2:$F$49,MATCH(J1618,Products!$A$2:$A$49,0))</f>
        <v/>
      </c>
      <c r="S1618">
        <f>WEEKDAY(B1618,2)</f>
        <v/>
      </c>
    </row>
    <row r="1619">
      <c r="A1619" t="n">
        <v>510149</v>
      </c>
      <c r="B1619" s="6" t="n">
        <v>45950</v>
      </c>
      <c r="C1619" t="n">
        <v>15355</v>
      </c>
      <c r="D1619" t="inlineStr">
        <is>
          <t>Gurugram</t>
        </is>
      </c>
      <c r="E1619" t="inlineStr">
        <is>
          <t>North</t>
        </is>
      </c>
      <c r="F1619" t="inlineStr">
        <is>
          <t>Paid Search</t>
        </is>
      </c>
      <c r="G1619" t="inlineStr">
        <is>
          <t>Mobile Web</t>
        </is>
      </c>
      <c r="H1619" t="inlineStr">
        <is>
          <t>Net Banking</t>
        </is>
      </c>
      <c r="I1619" t="inlineStr">
        <is>
          <t>Delivered</t>
        </is>
      </c>
      <c r="J1619" t="n">
        <v>111</v>
      </c>
      <c r="K1619" t="n">
        <v>1</v>
      </c>
      <c r="L1619" t="n">
        <v>524</v>
      </c>
      <c r="M1619" t="n">
        <v>52.4</v>
      </c>
      <c r="N1619">
        <f>VLOOKUP(J1619,Products!$A$2:$C$49,3,FALSE)</f>
        <v/>
      </c>
      <c r="O1619">
        <f>K1619*L1619-M1619</f>
        <v/>
      </c>
      <c r="P1619">
        <f>TEXT(B1619,"yyyy-mm")</f>
        <v/>
      </c>
      <c r="Q1619">
        <f>IF(O1619&gt;=3000,"Large","Small")</f>
        <v/>
      </c>
      <c r="R1619">
        <f>INDEX(Products!$F$2:$F$49,MATCH(J1619,Products!$A$2:$A$49,0))</f>
        <v/>
      </c>
      <c r="S1619">
        <f>WEEKDAY(B1619,2)</f>
        <v/>
      </c>
    </row>
    <row r="1620">
      <c r="A1620" t="n">
        <v>510149</v>
      </c>
      <c r="B1620" s="6" t="n">
        <v>45950</v>
      </c>
      <c r="C1620" t="n">
        <v>15355</v>
      </c>
      <c r="D1620" t="inlineStr">
        <is>
          <t>Gurugram</t>
        </is>
      </c>
      <c r="E1620" t="inlineStr">
        <is>
          <t>North</t>
        </is>
      </c>
      <c r="F1620" t="inlineStr">
        <is>
          <t>Paid Search</t>
        </is>
      </c>
      <c r="G1620" t="inlineStr">
        <is>
          <t>Mobile Web</t>
        </is>
      </c>
      <c r="H1620" t="inlineStr">
        <is>
          <t>Net Banking</t>
        </is>
      </c>
      <c r="I1620" t="inlineStr">
        <is>
          <t>Delivered</t>
        </is>
      </c>
      <c r="J1620" t="n">
        <v>129</v>
      </c>
      <c r="K1620" t="n">
        <v>1</v>
      </c>
      <c r="L1620" t="n">
        <v>576</v>
      </c>
      <c r="M1620" t="n">
        <v>57.6</v>
      </c>
      <c r="N1620">
        <f>VLOOKUP(J1620,Products!$A$2:$C$49,3,FALSE)</f>
        <v/>
      </c>
      <c r="O1620">
        <f>K1620*L1620-M1620</f>
        <v/>
      </c>
      <c r="P1620">
        <f>TEXT(B1620,"yyyy-mm")</f>
        <v/>
      </c>
      <c r="Q1620">
        <f>IF(O1620&gt;=3000,"Large","Small")</f>
        <v/>
      </c>
      <c r="R1620">
        <f>INDEX(Products!$F$2:$F$49,MATCH(J1620,Products!$A$2:$A$49,0))</f>
        <v/>
      </c>
      <c r="S1620">
        <f>WEEKDAY(B1620,2)</f>
        <v/>
      </c>
    </row>
    <row r="1621">
      <c r="A1621" t="n">
        <v>510150</v>
      </c>
      <c r="B1621" s="6" t="n">
        <v>45950</v>
      </c>
      <c r="C1621" t="n">
        <v>15222</v>
      </c>
      <c r="D1621" t="inlineStr">
        <is>
          <t>Jaipur</t>
        </is>
      </c>
      <c r="E1621" t="inlineStr">
        <is>
          <t>North</t>
        </is>
      </c>
      <c r="F1621" t="inlineStr">
        <is>
          <t>Referral</t>
        </is>
      </c>
      <c r="G1621" t="inlineStr">
        <is>
          <t>Mobile Web</t>
        </is>
      </c>
      <c r="H1621" t="inlineStr">
        <is>
          <t>Cash on Delivery</t>
        </is>
      </c>
      <c r="I1621" t="inlineStr">
        <is>
          <t>Delivered</t>
        </is>
      </c>
      <c r="J1621" t="n">
        <v>106</v>
      </c>
      <c r="K1621" t="n">
        <v>1</v>
      </c>
      <c r="L1621" t="n">
        <v>1574</v>
      </c>
      <c r="M1621" t="n">
        <v>157.4</v>
      </c>
      <c r="N1621">
        <f>VLOOKUP(J1621,Products!$A$2:$C$49,3,FALSE)</f>
        <v/>
      </c>
      <c r="O1621">
        <f>K1621*L1621-M1621</f>
        <v/>
      </c>
      <c r="P1621">
        <f>TEXT(B1621,"yyyy-mm")</f>
        <v/>
      </c>
      <c r="Q1621">
        <f>IF(O1621&gt;=3000,"Large","Small")</f>
        <v/>
      </c>
      <c r="R1621">
        <f>INDEX(Products!$F$2:$F$49,MATCH(J1621,Products!$A$2:$A$49,0))</f>
        <v/>
      </c>
      <c r="S1621">
        <f>WEEKDAY(B1621,2)</f>
        <v/>
      </c>
    </row>
    <row r="1622">
      <c r="A1622" t="n">
        <v>510151</v>
      </c>
      <c r="B1622" s="6" t="n">
        <v>45950</v>
      </c>
      <c r="C1622" t="n">
        <v>12632</v>
      </c>
      <c r="D1622" t="inlineStr">
        <is>
          <t>Mumbai</t>
        </is>
      </c>
      <c r="E1622" t="inlineStr">
        <is>
          <t>West</t>
        </is>
      </c>
      <c r="F1622" t="inlineStr">
        <is>
          <t>Email</t>
        </is>
      </c>
      <c r="G1622" t="inlineStr">
        <is>
          <t>Mobile App</t>
        </is>
      </c>
      <c r="H1622" t="inlineStr">
        <is>
          <t>UPI</t>
        </is>
      </c>
      <c r="I1622" t="inlineStr">
        <is>
          <t>Delivered</t>
        </is>
      </c>
      <c r="J1622" t="n">
        <v>120</v>
      </c>
      <c r="K1622" t="n">
        <v>1</v>
      </c>
      <c r="L1622" t="n">
        <v>734</v>
      </c>
      <c r="M1622" t="n">
        <v>0</v>
      </c>
      <c r="N1622">
        <f>VLOOKUP(J1622,Products!$A$2:$C$49,3,FALSE)</f>
        <v/>
      </c>
      <c r="O1622">
        <f>K1622*L1622-M1622</f>
        <v/>
      </c>
      <c r="P1622">
        <f>TEXT(B1622,"yyyy-mm")</f>
        <v/>
      </c>
      <c r="Q1622">
        <f>IF(O1622&gt;=3000,"Large","Small")</f>
        <v/>
      </c>
      <c r="R1622">
        <f>INDEX(Products!$F$2:$F$49,MATCH(J1622,Products!$A$2:$A$49,0))</f>
        <v/>
      </c>
      <c r="S1622">
        <f>WEEKDAY(B1622,2)</f>
        <v/>
      </c>
    </row>
    <row r="1623">
      <c r="A1623" t="n">
        <v>510152</v>
      </c>
      <c r="B1623" s="6" t="n">
        <v>45950</v>
      </c>
      <c r="C1623" t="n">
        <v>16901</v>
      </c>
      <c r="D1623" t="inlineStr">
        <is>
          <t>Pune</t>
        </is>
      </c>
      <c r="E1623" t="inlineStr">
        <is>
          <t>West</t>
        </is>
      </c>
      <c r="F1623" t="inlineStr">
        <is>
          <t>Referral</t>
        </is>
      </c>
      <c r="G1623" t="inlineStr">
        <is>
          <t>Mobile Web</t>
        </is>
      </c>
      <c r="H1623" t="inlineStr">
        <is>
          <t>Credit Card</t>
        </is>
      </c>
      <c r="I1623" t="inlineStr">
        <is>
          <t>Delivered</t>
        </is>
      </c>
      <c r="J1623" t="n">
        <v>130</v>
      </c>
      <c r="K1623" t="n">
        <v>1</v>
      </c>
      <c r="L1623" t="n">
        <v>734</v>
      </c>
      <c r="M1623" t="n">
        <v>0</v>
      </c>
      <c r="N1623">
        <f>VLOOKUP(J1623,Products!$A$2:$C$49,3,FALSE)</f>
        <v/>
      </c>
      <c r="O1623">
        <f>K1623*L1623-M1623</f>
        <v/>
      </c>
      <c r="P1623">
        <f>TEXT(B1623,"yyyy-mm")</f>
        <v/>
      </c>
      <c r="Q1623">
        <f>IF(O1623&gt;=3000,"Large","Small")</f>
        <v/>
      </c>
      <c r="R1623">
        <f>INDEX(Products!$F$2:$F$49,MATCH(J1623,Products!$A$2:$A$49,0))</f>
        <v/>
      </c>
      <c r="S1623">
        <f>WEEKDAY(B1623,2)</f>
        <v/>
      </c>
    </row>
    <row r="1624">
      <c r="A1624" t="n">
        <v>510152</v>
      </c>
      <c r="B1624" s="6" t="n">
        <v>45950</v>
      </c>
      <c r="C1624" t="n">
        <v>16901</v>
      </c>
      <c r="D1624" t="inlineStr">
        <is>
          <t>Pune</t>
        </is>
      </c>
      <c r="E1624" t="inlineStr">
        <is>
          <t>West</t>
        </is>
      </c>
      <c r="F1624" t="inlineStr">
        <is>
          <t>Referral</t>
        </is>
      </c>
      <c r="G1624" t="inlineStr">
        <is>
          <t>Mobile Web</t>
        </is>
      </c>
      <c r="H1624" t="inlineStr">
        <is>
          <t>Credit Card</t>
        </is>
      </c>
      <c r="I1624" t="inlineStr">
        <is>
          <t>Delivered</t>
        </is>
      </c>
      <c r="J1624" t="n">
        <v>129</v>
      </c>
      <c r="K1624" t="n">
        <v>3</v>
      </c>
      <c r="L1624" t="n">
        <v>576</v>
      </c>
      <c r="M1624" t="n">
        <v>0</v>
      </c>
      <c r="N1624">
        <f>VLOOKUP(J1624,Products!$A$2:$C$49,3,FALSE)</f>
        <v/>
      </c>
      <c r="O1624">
        <f>K1624*L1624-M1624</f>
        <v/>
      </c>
      <c r="P1624">
        <f>TEXT(B1624,"yyyy-mm")</f>
        <v/>
      </c>
      <c r="Q1624">
        <f>IF(O1624&gt;=3000,"Large","Small")</f>
        <v/>
      </c>
      <c r="R1624">
        <f>INDEX(Products!$F$2:$F$49,MATCH(J1624,Products!$A$2:$A$49,0))</f>
        <v/>
      </c>
      <c r="S1624">
        <f>WEEKDAY(B1624,2)</f>
        <v/>
      </c>
    </row>
    <row r="1625">
      <c r="A1625" t="n">
        <v>510153</v>
      </c>
      <c r="B1625" s="6" t="n">
        <v>45950</v>
      </c>
      <c r="C1625" t="n">
        <v>12459</v>
      </c>
      <c r="D1625" t="inlineStr">
        <is>
          <t>Kolkata</t>
        </is>
      </c>
      <c r="E1625" t="inlineStr">
        <is>
          <t>East</t>
        </is>
      </c>
      <c r="F1625" t="inlineStr">
        <is>
          <t>Organic Search</t>
        </is>
      </c>
      <c r="G1625" t="inlineStr">
        <is>
          <t>Mobile App</t>
        </is>
      </c>
      <c r="H1625" t="inlineStr">
        <is>
          <t>Cash on Delivery</t>
        </is>
      </c>
      <c r="I1625" t="inlineStr">
        <is>
          <t>Delivered</t>
        </is>
      </c>
      <c r="J1625" t="n">
        <v>119</v>
      </c>
      <c r="K1625" t="n">
        <v>2</v>
      </c>
      <c r="L1625" t="n">
        <v>2309</v>
      </c>
      <c r="M1625" t="n">
        <v>461.8</v>
      </c>
      <c r="N1625">
        <f>VLOOKUP(J1625,Products!$A$2:$C$49,3,FALSE)</f>
        <v/>
      </c>
      <c r="O1625">
        <f>K1625*L1625-M1625</f>
        <v/>
      </c>
      <c r="P1625">
        <f>TEXT(B1625,"yyyy-mm")</f>
        <v/>
      </c>
      <c r="Q1625">
        <f>IF(O1625&gt;=3000,"Large","Small")</f>
        <v/>
      </c>
      <c r="R1625">
        <f>INDEX(Products!$F$2:$F$49,MATCH(J1625,Products!$A$2:$A$49,0))</f>
        <v/>
      </c>
      <c r="S1625">
        <f>WEEKDAY(B1625,2)</f>
        <v/>
      </c>
    </row>
    <row r="1626">
      <c r="A1626" t="n">
        <v>510153</v>
      </c>
      <c r="B1626" s="6" t="n">
        <v>45950</v>
      </c>
      <c r="C1626" t="n">
        <v>12459</v>
      </c>
      <c r="D1626" t="inlineStr">
        <is>
          <t>Kolkata</t>
        </is>
      </c>
      <c r="E1626" t="inlineStr">
        <is>
          <t>East</t>
        </is>
      </c>
      <c r="F1626" t="inlineStr">
        <is>
          <t>Organic Search</t>
        </is>
      </c>
      <c r="G1626" t="inlineStr">
        <is>
          <t>Mobile App</t>
        </is>
      </c>
      <c r="H1626" t="inlineStr">
        <is>
          <t>Cash on Delivery</t>
        </is>
      </c>
      <c r="I1626" t="inlineStr">
        <is>
          <t>Delivered</t>
        </is>
      </c>
      <c r="J1626" t="n">
        <v>116</v>
      </c>
      <c r="K1626" t="n">
        <v>1</v>
      </c>
      <c r="L1626" t="n">
        <v>2624</v>
      </c>
      <c r="M1626" t="n">
        <v>262.4</v>
      </c>
      <c r="N1626">
        <f>VLOOKUP(J1626,Products!$A$2:$C$49,3,FALSE)</f>
        <v/>
      </c>
      <c r="O1626">
        <f>K1626*L1626-M1626</f>
        <v/>
      </c>
      <c r="P1626">
        <f>TEXT(B1626,"yyyy-mm")</f>
        <v/>
      </c>
      <c r="Q1626">
        <f>IF(O1626&gt;=3000,"Large","Small")</f>
        <v/>
      </c>
      <c r="R1626">
        <f>INDEX(Products!$F$2:$F$49,MATCH(J1626,Products!$A$2:$A$49,0))</f>
        <v/>
      </c>
      <c r="S1626">
        <f>WEEKDAY(B1626,2)</f>
        <v/>
      </c>
    </row>
    <row r="1627">
      <c r="A1627" t="n">
        <v>510154</v>
      </c>
      <c r="B1627" s="6" t="n">
        <v>45950</v>
      </c>
      <c r="C1627" t="n">
        <v>15083</v>
      </c>
      <c r="D1627" t="inlineStr">
        <is>
          <t>Delhi</t>
        </is>
      </c>
      <c r="E1627" t="inlineStr">
        <is>
          <t>North</t>
        </is>
      </c>
      <c r="F1627" t="inlineStr">
        <is>
          <t>Organic Search</t>
        </is>
      </c>
      <c r="G1627" t="inlineStr">
        <is>
          <t>Mobile Web</t>
        </is>
      </c>
      <c r="H1627" t="inlineStr">
        <is>
          <t>Credit Card</t>
        </is>
      </c>
      <c r="I1627" t="inlineStr">
        <is>
          <t>Delivered</t>
        </is>
      </c>
      <c r="J1627" t="n">
        <v>124</v>
      </c>
      <c r="K1627" t="n">
        <v>1</v>
      </c>
      <c r="L1627" t="n">
        <v>1154</v>
      </c>
      <c r="M1627" t="n">
        <v>115.4</v>
      </c>
      <c r="N1627">
        <f>VLOOKUP(J1627,Products!$A$2:$C$49,3,FALSE)</f>
        <v/>
      </c>
      <c r="O1627">
        <f>K1627*L1627-M1627</f>
        <v/>
      </c>
      <c r="P1627">
        <f>TEXT(B1627,"yyyy-mm")</f>
        <v/>
      </c>
      <c r="Q1627">
        <f>IF(O1627&gt;=3000,"Large","Small")</f>
        <v/>
      </c>
      <c r="R1627">
        <f>INDEX(Products!$F$2:$F$49,MATCH(J1627,Products!$A$2:$A$49,0))</f>
        <v/>
      </c>
      <c r="S1627">
        <f>WEEKDAY(B1627,2)</f>
        <v/>
      </c>
    </row>
    <row r="1628">
      <c r="A1628" t="n">
        <v>510154</v>
      </c>
      <c r="B1628" s="6" t="n">
        <v>45950</v>
      </c>
      <c r="C1628" t="n">
        <v>15083</v>
      </c>
      <c r="D1628" t="inlineStr">
        <is>
          <t>Delhi</t>
        </is>
      </c>
      <c r="E1628" t="inlineStr">
        <is>
          <t>North</t>
        </is>
      </c>
      <c r="F1628" t="inlineStr">
        <is>
          <t>Organic Search</t>
        </is>
      </c>
      <c r="G1628" t="inlineStr">
        <is>
          <t>Mobile Web</t>
        </is>
      </c>
      <c r="H1628" t="inlineStr">
        <is>
          <t>Credit Card</t>
        </is>
      </c>
      <c r="I1628" t="inlineStr">
        <is>
          <t>Delivered</t>
        </is>
      </c>
      <c r="J1628" t="n">
        <v>125</v>
      </c>
      <c r="K1628" t="n">
        <v>1</v>
      </c>
      <c r="L1628" t="n">
        <v>1364</v>
      </c>
      <c r="M1628" t="n">
        <v>136.4</v>
      </c>
      <c r="N1628">
        <f>VLOOKUP(J1628,Products!$A$2:$C$49,3,FALSE)</f>
        <v/>
      </c>
      <c r="O1628">
        <f>K1628*L1628-M1628</f>
        <v/>
      </c>
      <c r="P1628">
        <f>TEXT(B1628,"yyyy-mm")</f>
        <v/>
      </c>
      <c r="Q1628">
        <f>IF(O1628&gt;=3000,"Large","Small")</f>
        <v/>
      </c>
      <c r="R1628">
        <f>INDEX(Products!$F$2:$F$49,MATCH(J1628,Products!$A$2:$A$49,0))</f>
        <v/>
      </c>
      <c r="S1628">
        <f>WEEKDAY(B1628,2)</f>
        <v/>
      </c>
    </row>
    <row r="1629">
      <c r="A1629" t="n">
        <v>510155</v>
      </c>
      <c r="B1629" s="6" t="n">
        <v>45950</v>
      </c>
      <c r="C1629" t="n">
        <v>16689</v>
      </c>
      <c r="D1629" t="inlineStr">
        <is>
          <t>Hyderabad</t>
        </is>
      </c>
      <c r="E1629" t="inlineStr">
        <is>
          <t>South</t>
        </is>
      </c>
      <c r="F1629" t="inlineStr">
        <is>
          <t>Affiliate</t>
        </is>
      </c>
      <c r="G1629" t="inlineStr">
        <is>
          <t>Desktop</t>
        </is>
      </c>
      <c r="H1629" t="inlineStr">
        <is>
          <t>UPI</t>
        </is>
      </c>
      <c r="I1629" t="inlineStr">
        <is>
          <t>Delivered</t>
        </is>
      </c>
      <c r="J1629" t="n">
        <v>125</v>
      </c>
      <c r="K1629" t="n">
        <v>1</v>
      </c>
      <c r="L1629" t="n">
        <v>1364</v>
      </c>
      <c r="M1629" t="n">
        <v>0</v>
      </c>
      <c r="N1629">
        <f>VLOOKUP(J1629,Products!$A$2:$C$49,3,FALSE)</f>
        <v/>
      </c>
      <c r="O1629">
        <f>K1629*L1629-M1629</f>
        <v/>
      </c>
      <c r="P1629">
        <f>TEXT(B1629,"yyyy-mm")</f>
        <v/>
      </c>
      <c r="Q1629">
        <f>IF(O1629&gt;=3000,"Large","Small")</f>
        <v/>
      </c>
      <c r="R1629">
        <f>INDEX(Products!$F$2:$F$49,MATCH(J1629,Products!$A$2:$A$49,0))</f>
        <v/>
      </c>
      <c r="S1629">
        <f>WEEKDAY(B1629,2)</f>
        <v/>
      </c>
    </row>
    <row r="1630">
      <c r="A1630" t="n">
        <v>510155</v>
      </c>
      <c r="B1630" s="6" t="n">
        <v>45950</v>
      </c>
      <c r="C1630" t="n">
        <v>16689</v>
      </c>
      <c r="D1630" t="inlineStr">
        <is>
          <t>Hyderabad</t>
        </is>
      </c>
      <c r="E1630" t="inlineStr">
        <is>
          <t>South</t>
        </is>
      </c>
      <c r="F1630" t="inlineStr">
        <is>
          <t>Affiliate</t>
        </is>
      </c>
      <c r="G1630" t="inlineStr">
        <is>
          <t>Desktop</t>
        </is>
      </c>
      <c r="H1630" t="inlineStr">
        <is>
          <t>UPI</t>
        </is>
      </c>
      <c r="I1630" t="inlineStr">
        <is>
          <t>Delivered</t>
        </is>
      </c>
      <c r="J1630" t="n">
        <v>108</v>
      </c>
      <c r="K1630" t="n">
        <v>1</v>
      </c>
      <c r="L1630" t="n">
        <v>419</v>
      </c>
      <c r="M1630" t="n">
        <v>0</v>
      </c>
      <c r="N1630">
        <f>VLOOKUP(J1630,Products!$A$2:$C$49,3,FALSE)</f>
        <v/>
      </c>
      <c r="O1630">
        <f>K1630*L1630-M1630</f>
        <v/>
      </c>
      <c r="P1630">
        <f>TEXT(B1630,"yyyy-mm")</f>
        <v/>
      </c>
      <c r="Q1630">
        <f>IF(O1630&gt;=3000,"Large","Small")</f>
        <v/>
      </c>
      <c r="R1630">
        <f>INDEX(Products!$F$2:$F$49,MATCH(J1630,Products!$A$2:$A$49,0))</f>
        <v/>
      </c>
      <c r="S1630">
        <f>WEEKDAY(B1630,2)</f>
        <v/>
      </c>
    </row>
    <row r="1631">
      <c r="A1631" t="n">
        <v>510155</v>
      </c>
      <c r="B1631" s="6" t="n">
        <v>45950</v>
      </c>
      <c r="C1631" t="n">
        <v>16689</v>
      </c>
      <c r="D1631" t="inlineStr">
        <is>
          <t>Hyderabad</t>
        </is>
      </c>
      <c r="E1631" t="inlineStr">
        <is>
          <t>South</t>
        </is>
      </c>
      <c r="F1631" t="inlineStr">
        <is>
          <t>Affiliate</t>
        </is>
      </c>
      <c r="G1631" t="inlineStr">
        <is>
          <t>Desktop</t>
        </is>
      </c>
      <c r="H1631" t="inlineStr">
        <is>
          <t>UPI</t>
        </is>
      </c>
      <c r="I1631" t="inlineStr">
        <is>
          <t>Delivered</t>
        </is>
      </c>
      <c r="J1631" t="n">
        <v>117</v>
      </c>
      <c r="K1631" t="n">
        <v>1</v>
      </c>
      <c r="L1631" t="n">
        <v>3149</v>
      </c>
      <c r="M1631" t="n">
        <v>0</v>
      </c>
      <c r="N1631">
        <f>VLOOKUP(J1631,Products!$A$2:$C$49,3,FALSE)</f>
        <v/>
      </c>
      <c r="O1631">
        <f>K1631*L1631-M1631</f>
        <v/>
      </c>
      <c r="P1631">
        <f>TEXT(B1631,"yyyy-mm")</f>
        <v/>
      </c>
      <c r="Q1631">
        <f>IF(O1631&gt;=3000,"Large","Small")</f>
        <v/>
      </c>
      <c r="R1631">
        <f>INDEX(Products!$F$2:$F$49,MATCH(J1631,Products!$A$2:$A$49,0))</f>
        <v/>
      </c>
      <c r="S1631">
        <f>WEEKDAY(B1631,2)</f>
        <v/>
      </c>
    </row>
    <row r="1632">
      <c r="A1632" t="n">
        <v>510155</v>
      </c>
      <c r="B1632" s="6" t="n">
        <v>45950</v>
      </c>
      <c r="C1632" t="n">
        <v>16689</v>
      </c>
      <c r="D1632" t="inlineStr">
        <is>
          <t>Hyderabad</t>
        </is>
      </c>
      <c r="E1632" t="inlineStr">
        <is>
          <t>South</t>
        </is>
      </c>
      <c r="F1632" t="inlineStr">
        <is>
          <t>Affiliate</t>
        </is>
      </c>
      <c r="G1632" t="inlineStr">
        <is>
          <t>Desktop</t>
        </is>
      </c>
      <c r="H1632" t="inlineStr">
        <is>
          <t>UPI</t>
        </is>
      </c>
      <c r="I1632" t="inlineStr">
        <is>
          <t>Delivered</t>
        </is>
      </c>
      <c r="J1632" t="n">
        <v>129</v>
      </c>
      <c r="K1632" t="n">
        <v>2</v>
      </c>
      <c r="L1632" t="n">
        <v>576</v>
      </c>
      <c r="M1632" t="n">
        <v>0</v>
      </c>
      <c r="N1632">
        <f>VLOOKUP(J1632,Products!$A$2:$C$49,3,FALSE)</f>
        <v/>
      </c>
      <c r="O1632">
        <f>K1632*L1632-M1632</f>
        <v/>
      </c>
      <c r="P1632">
        <f>TEXT(B1632,"yyyy-mm")</f>
        <v/>
      </c>
      <c r="Q1632">
        <f>IF(O1632&gt;=3000,"Large","Small")</f>
        <v/>
      </c>
      <c r="R1632">
        <f>INDEX(Products!$F$2:$F$49,MATCH(J1632,Products!$A$2:$A$49,0))</f>
        <v/>
      </c>
      <c r="S1632">
        <f>WEEKDAY(B1632,2)</f>
        <v/>
      </c>
    </row>
    <row r="1633">
      <c r="A1633" t="n">
        <v>510156</v>
      </c>
      <c r="B1633" s="6" t="n">
        <v>45950</v>
      </c>
      <c r="C1633" t="n">
        <v>10762</v>
      </c>
      <c r="D1633" t="inlineStr">
        <is>
          <t>Delhi</t>
        </is>
      </c>
      <c r="E1633" t="inlineStr">
        <is>
          <t>North</t>
        </is>
      </c>
      <c r="F1633" t="inlineStr">
        <is>
          <t>Organic Search</t>
        </is>
      </c>
      <c r="G1633" t="inlineStr">
        <is>
          <t>Desktop</t>
        </is>
      </c>
      <c r="H1633" t="inlineStr">
        <is>
          <t>Credit Card</t>
        </is>
      </c>
      <c r="I1633" t="inlineStr">
        <is>
          <t>Returned</t>
        </is>
      </c>
      <c r="J1633" t="n">
        <v>112</v>
      </c>
      <c r="K1633" t="n">
        <v>1</v>
      </c>
      <c r="L1633" t="n">
        <v>1574</v>
      </c>
      <c r="M1633" t="n">
        <v>157.4</v>
      </c>
      <c r="N1633">
        <f>VLOOKUP(J1633,Products!$A$2:$C$49,3,FALSE)</f>
        <v/>
      </c>
      <c r="O1633">
        <f>K1633*L1633-M1633</f>
        <v/>
      </c>
      <c r="P1633">
        <f>TEXT(B1633,"yyyy-mm")</f>
        <v/>
      </c>
      <c r="Q1633">
        <f>IF(O1633&gt;=3000,"Large","Small")</f>
        <v/>
      </c>
      <c r="R1633">
        <f>INDEX(Products!$F$2:$F$49,MATCH(J1633,Products!$A$2:$A$49,0))</f>
        <v/>
      </c>
      <c r="S1633">
        <f>WEEKDAY(B1633,2)</f>
        <v/>
      </c>
    </row>
    <row r="1634">
      <c r="A1634" t="n">
        <v>510157</v>
      </c>
      <c r="B1634" s="6" t="n">
        <v>45950</v>
      </c>
      <c r="C1634" t="n">
        <v>16845</v>
      </c>
      <c r="D1634" t="inlineStr">
        <is>
          <t>Delhi</t>
        </is>
      </c>
      <c r="E1634" t="inlineStr">
        <is>
          <t>North</t>
        </is>
      </c>
      <c r="F1634" t="inlineStr">
        <is>
          <t>Paid Search</t>
        </is>
      </c>
      <c r="G1634" t="inlineStr">
        <is>
          <t>Mobile Web</t>
        </is>
      </c>
      <c r="H1634" t="inlineStr">
        <is>
          <t>UPI</t>
        </is>
      </c>
      <c r="I1634" t="inlineStr">
        <is>
          <t>Cancelled</t>
        </is>
      </c>
      <c r="J1634" t="n">
        <v>106</v>
      </c>
      <c r="K1634" t="n">
        <v>1</v>
      </c>
      <c r="L1634" t="n">
        <v>1574</v>
      </c>
      <c r="M1634" t="n">
        <v>157.4</v>
      </c>
      <c r="N1634">
        <f>VLOOKUP(J1634,Products!$A$2:$C$49,3,FALSE)</f>
        <v/>
      </c>
      <c r="O1634">
        <f>K1634*L1634-M1634</f>
        <v/>
      </c>
      <c r="P1634">
        <f>TEXT(B1634,"yyyy-mm")</f>
        <v/>
      </c>
      <c r="Q1634">
        <f>IF(O1634&gt;=3000,"Large","Small")</f>
        <v/>
      </c>
      <c r="R1634">
        <f>INDEX(Products!$F$2:$F$49,MATCH(J1634,Products!$A$2:$A$49,0))</f>
        <v/>
      </c>
      <c r="S1634">
        <f>WEEKDAY(B1634,2)</f>
        <v/>
      </c>
    </row>
    <row r="1635">
      <c r="A1635" t="n">
        <v>510157</v>
      </c>
      <c r="B1635" s="6" t="n">
        <v>45950</v>
      </c>
      <c r="C1635" t="n">
        <v>16845</v>
      </c>
      <c r="D1635" t="inlineStr">
        <is>
          <t>Delhi</t>
        </is>
      </c>
      <c r="E1635" t="inlineStr">
        <is>
          <t>North</t>
        </is>
      </c>
      <c r="F1635" t="inlineStr">
        <is>
          <t>Paid Search</t>
        </is>
      </c>
      <c r="G1635" t="inlineStr">
        <is>
          <t>Mobile Web</t>
        </is>
      </c>
      <c r="H1635" t="inlineStr">
        <is>
          <t>UPI</t>
        </is>
      </c>
      <c r="I1635" t="inlineStr">
        <is>
          <t>Cancelled</t>
        </is>
      </c>
      <c r="J1635" t="n">
        <v>129</v>
      </c>
      <c r="K1635" t="n">
        <v>2</v>
      </c>
      <c r="L1635" t="n">
        <v>576</v>
      </c>
      <c r="M1635" t="n">
        <v>115.2</v>
      </c>
      <c r="N1635">
        <f>VLOOKUP(J1635,Products!$A$2:$C$49,3,FALSE)</f>
        <v/>
      </c>
      <c r="O1635">
        <f>K1635*L1635-M1635</f>
        <v/>
      </c>
      <c r="P1635">
        <f>TEXT(B1635,"yyyy-mm")</f>
        <v/>
      </c>
      <c r="Q1635">
        <f>IF(O1635&gt;=3000,"Large","Small")</f>
        <v/>
      </c>
      <c r="R1635">
        <f>INDEX(Products!$F$2:$F$49,MATCH(J1635,Products!$A$2:$A$49,0))</f>
        <v/>
      </c>
      <c r="S1635">
        <f>WEEKDAY(B1635,2)</f>
        <v/>
      </c>
    </row>
    <row r="1636">
      <c r="A1636" t="n">
        <v>510158</v>
      </c>
      <c r="B1636" s="6" t="n">
        <v>45950</v>
      </c>
      <c r="C1636" t="n">
        <v>16923</v>
      </c>
      <c r="D1636" t="inlineStr">
        <is>
          <t>Pune</t>
        </is>
      </c>
      <c r="E1636" t="inlineStr">
        <is>
          <t>West</t>
        </is>
      </c>
      <c r="F1636" t="inlineStr">
        <is>
          <t>Affiliate</t>
        </is>
      </c>
      <c r="G1636" t="inlineStr">
        <is>
          <t>Desktop</t>
        </is>
      </c>
      <c r="H1636" t="inlineStr">
        <is>
          <t>UPI</t>
        </is>
      </c>
      <c r="I1636" t="inlineStr">
        <is>
          <t>Delivered</t>
        </is>
      </c>
      <c r="J1636" t="n">
        <v>127</v>
      </c>
      <c r="K1636" t="n">
        <v>1</v>
      </c>
      <c r="L1636" t="n">
        <v>681</v>
      </c>
      <c r="M1636" t="n">
        <v>68.09999999999999</v>
      </c>
      <c r="N1636">
        <f>VLOOKUP(J1636,Products!$A$2:$C$49,3,FALSE)</f>
        <v/>
      </c>
      <c r="O1636">
        <f>K1636*L1636-M1636</f>
        <v/>
      </c>
      <c r="P1636">
        <f>TEXT(B1636,"yyyy-mm")</f>
        <v/>
      </c>
      <c r="Q1636">
        <f>IF(O1636&gt;=3000,"Large","Small")</f>
        <v/>
      </c>
      <c r="R1636">
        <f>INDEX(Products!$F$2:$F$49,MATCH(J1636,Products!$A$2:$A$49,0))</f>
        <v/>
      </c>
      <c r="S1636">
        <f>WEEKDAY(B1636,2)</f>
        <v/>
      </c>
    </row>
    <row r="1637">
      <c r="A1637" t="n">
        <v>510158</v>
      </c>
      <c r="B1637" s="6" t="n">
        <v>45950</v>
      </c>
      <c r="C1637" t="n">
        <v>16923</v>
      </c>
      <c r="D1637" t="inlineStr">
        <is>
          <t>Pune</t>
        </is>
      </c>
      <c r="E1637" t="inlineStr">
        <is>
          <t>West</t>
        </is>
      </c>
      <c r="F1637" t="inlineStr">
        <is>
          <t>Affiliate</t>
        </is>
      </c>
      <c r="G1637" t="inlineStr">
        <is>
          <t>Desktop</t>
        </is>
      </c>
      <c r="H1637" t="inlineStr">
        <is>
          <t>UPI</t>
        </is>
      </c>
      <c r="I1637" t="inlineStr">
        <is>
          <t>Delivered</t>
        </is>
      </c>
      <c r="J1637" t="n">
        <v>138</v>
      </c>
      <c r="K1637" t="n">
        <v>1</v>
      </c>
      <c r="L1637" t="n">
        <v>419</v>
      </c>
      <c r="M1637" t="n">
        <v>41.9</v>
      </c>
      <c r="N1637">
        <f>VLOOKUP(J1637,Products!$A$2:$C$49,3,FALSE)</f>
        <v/>
      </c>
      <c r="O1637">
        <f>K1637*L1637-M1637</f>
        <v/>
      </c>
      <c r="P1637">
        <f>TEXT(B1637,"yyyy-mm")</f>
        <v/>
      </c>
      <c r="Q1637">
        <f>IF(O1637&gt;=3000,"Large","Small")</f>
        <v/>
      </c>
      <c r="R1637">
        <f>INDEX(Products!$F$2:$F$49,MATCH(J1637,Products!$A$2:$A$49,0))</f>
        <v/>
      </c>
      <c r="S1637">
        <f>WEEKDAY(B1637,2)</f>
        <v/>
      </c>
    </row>
    <row r="1638">
      <c r="A1638" t="n">
        <v>510158</v>
      </c>
      <c r="B1638" s="6" t="n">
        <v>45950</v>
      </c>
      <c r="C1638" t="n">
        <v>16923</v>
      </c>
      <c r="D1638" t="inlineStr">
        <is>
          <t>Pune</t>
        </is>
      </c>
      <c r="E1638" t="inlineStr">
        <is>
          <t>West</t>
        </is>
      </c>
      <c r="F1638" t="inlineStr">
        <is>
          <t>Affiliate</t>
        </is>
      </c>
      <c r="G1638" t="inlineStr">
        <is>
          <t>Desktop</t>
        </is>
      </c>
      <c r="H1638" t="inlineStr">
        <is>
          <t>UPI</t>
        </is>
      </c>
      <c r="I1638" t="inlineStr">
        <is>
          <t>Delivered</t>
        </is>
      </c>
      <c r="J1638" t="n">
        <v>125</v>
      </c>
      <c r="K1638" t="n">
        <v>2</v>
      </c>
      <c r="L1638" t="n">
        <v>1364</v>
      </c>
      <c r="M1638" t="n">
        <v>272.8</v>
      </c>
      <c r="N1638">
        <f>VLOOKUP(J1638,Products!$A$2:$C$49,3,FALSE)</f>
        <v/>
      </c>
      <c r="O1638">
        <f>K1638*L1638-M1638</f>
        <v/>
      </c>
      <c r="P1638">
        <f>TEXT(B1638,"yyyy-mm")</f>
        <v/>
      </c>
      <c r="Q1638">
        <f>IF(O1638&gt;=3000,"Large","Small")</f>
        <v/>
      </c>
      <c r="R1638">
        <f>INDEX(Products!$F$2:$F$49,MATCH(J1638,Products!$A$2:$A$49,0))</f>
        <v/>
      </c>
      <c r="S1638">
        <f>WEEKDAY(B1638,2)</f>
        <v/>
      </c>
    </row>
    <row r="1639">
      <c r="A1639" t="n">
        <v>510158</v>
      </c>
      <c r="B1639" s="6" t="n">
        <v>45950</v>
      </c>
      <c r="C1639" t="n">
        <v>16923</v>
      </c>
      <c r="D1639" t="inlineStr">
        <is>
          <t>Pune</t>
        </is>
      </c>
      <c r="E1639" t="inlineStr">
        <is>
          <t>West</t>
        </is>
      </c>
      <c r="F1639" t="inlineStr">
        <is>
          <t>Affiliate</t>
        </is>
      </c>
      <c r="G1639" t="inlineStr">
        <is>
          <t>Desktop</t>
        </is>
      </c>
      <c r="H1639" t="inlineStr">
        <is>
          <t>UPI</t>
        </is>
      </c>
      <c r="I1639" t="inlineStr">
        <is>
          <t>Delivered</t>
        </is>
      </c>
      <c r="J1639" t="n">
        <v>118</v>
      </c>
      <c r="K1639" t="n">
        <v>1</v>
      </c>
      <c r="L1639" t="n">
        <v>944</v>
      </c>
      <c r="M1639" t="n">
        <v>94.40000000000001</v>
      </c>
      <c r="N1639">
        <f>VLOOKUP(J1639,Products!$A$2:$C$49,3,FALSE)</f>
        <v/>
      </c>
      <c r="O1639">
        <f>K1639*L1639-M1639</f>
        <v/>
      </c>
      <c r="P1639">
        <f>TEXT(B1639,"yyyy-mm")</f>
        <v/>
      </c>
      <c r="Q1639">
        <f>IF(O1639&gt;=3000,"Large","Small")</f>
        <v/>
      </c>
      <c r="R1639">
        <f>INDEX(Products!$F$2:$F$49,MATCH(J1639,Products!$A$2:$A$49,0))</f>
        <v/>
      </c>
      <c r="S1639">
        <f>WEEKDAY(B1639,2)</f>
        <v/>
      </c>
    </row>
    <row r="1640">
      <c r="A1640" t="n">
        <v>510159</v>
      </c>
      <c r="B1640" s="6" t="n">
        <v>45950</v>
      </c>
      <c r="C1640" t="n">
        <v>11022</v>
      </c>
      <c r="D1640" t="inlineStr">
        <is>
          <t>Gurugram</t>
        </is>
      </c>
      <c r="E1640" t="inlineStr">
        <is>
          <t>North</t>
        </is>
      </c>
      <c r="F1640" t="inlineStr">
        <is>
          <t>Organic Search</t>
        </is>
      </c>
      <c r="G1640" t="inlineStr">
        <is>
          <t>Mobile Web</t>
        </is>
      </c>
      <c r="H1640" t="inlineStr">
        <is>
          <t>Net Banking</t>
        </is>
      </c>
      <c r="I1640" t="inlineStr">
        <is>
          <t>Returned</t>
        </is>
      </c>
      <c r="J1640" t="n">
        <v>109</v>
      </c>
      <c r="K1640" t="n">
        <v>1</v>
      </c>
      <c r="L1640" t="n">
        <v>4199</v>
      </c>
      <c r="M1640" t="n">
        <v>0</v>
      </c>
      <c r="N1640">
        <f>VLOOKUP(J1640,Products!$A$2:$C$49,3,FALSE)</f>
        <v/>
      </c>
      <c r="O1640">
        <f>K1640*L1640-M1640</f>
        <v/>
      </c>
      <c r="P1640">
        <f>TEXT(B1640,"yyyy-mm")</f>
        <v/>
      </c>
      <c r="Q1640">
        <f>IF(O1640&gt;=3000,"Large","Small")</f>
        <v/>
      </c>
      <c r="R1640">
        <f>INDEX(Products!$F$2:$F$49,MATCH(J1640,Products!$A$2:$A$49,0))</f>
        <v/>
      </c>
      <c r="S1640">
        <f>WEEKDAY(B1640,2)</f>
        <v/>
      </c>
    </row>
    <row r="1641">
      <c r="A1641" t="n">
        <v>510159</v>
      </c>
      <c r="B1641" s="6" t="n">
        <v>45950</v>
      </c>
      <c r="C1641" t="n">
        <v>11022</v>
      </c>
      <c r="D1641" t="inlineStr">
        <is>
          <t>Gurugram</t>
        </is>
      </c>
      <c r="E1641" t="inlineStr">
        <is>
          <t>North</t>
        </is>
      </c>
      <c r="F1641" t="inlineStr">
        <is>
          <t>Organic Search</t>
        </is>
      </c>
      <c r="G1641" t="inlineStr">
        <is>
          <t>Mobile Web</t>
        </is>
      </c>
      <c r="H1641" t="inlineStr">
        <is>
          <t>Net Banking</t>
        </is>
      </c>
      <c r="I1641" t="inlineStr">
        <is>
          <t>Returned</t>
        </is>
      </c>
      <c r="J1641" t="n">
        <v>111</v>
      </c>
      <c r="K1641" t="n">
        <v>1</v>
      </c>
      <c r="L1641" t="n">
        <v>524</v>
      </c>
      <c r="M1641" t="n">
        <v>0</v>
      </c>
      <c r="N1641">
        <f>VLOOKUP(J1641,Products!$A$2:$C$49,3,FALSE)</f>
        <v/>
      </c>
      <c r="O1641">
        <f>K1641*L1641-M1641</f>
        <v/>
      </c>
      <c r="P1641">
        <f>TEXT(B1641,"yyyy-mm")</f>
        <v/>
      </c>
      <c r="Q1641">
        <f>IF(O1641&gt;=3000,"Large","Small")</f>
        <v/>
      </c>
      <c r="R1641">
        <f>INDEX(Products!$F$2:$F$49,MATCH(J1641,Products!$A$2:$A$49,0))</f>
        <v/>
      </c>
      <c r="S1641">
        <f>WEEKDAY(B1641,2)</f>
        <v/>
      </c>
    </row>
    <row r="1642">
      <c r="A1642" t="n">
        <v>510159</v>
      </c>
      <c r="B1642" s="6" t="n">
        <v>45950</v>
      </c>
      <c r="C1642" t="n">
        <v>11022</v>
      </c>
      <c r="D1642" t="inlineStr">
        <is>
          <t>Gurugram</t>
        </is>
      </c>
      <c r="E1642" t="inlineStr">
        <is>
          <t>North</t>
        </is>
      </c>
      <c r="F1642" t="inlineStr">
        <is>
          <t>Organic Search</t>
        </is>
      </c>
      <c r="G1642" t="inlineStr">
        <is>
          <t>Mobile Web</t>
        </is>
      </c>
      <c r="H1642" t="inlineStr">
        <is>
          <t>Net Banking</t>
        </is>
      </c>
      <c r="I1642" t="inlineStr">
        <is>
          <t>Returned</t>
        </is>
      </c>
      <c r="J1642" t="n">
        <v>107</v>
      </c>
      <c r="K1642" t="n">
        <v>1</v>
      </c>
      <c r="L1642" t="n">
        <v>1259</v>
      </c>
      <c r="M1642" t="n">
        <v>0</v>
      </c>
      <c r="N1642">
        <f>VLOOKUP(J1642,Products!$A$2:$C$49,3,FALSE)</f>
        <v/>
      </c>
      <c r="O1642">
        <f>K1642*L1642-M1642</f>
        <v/>
      </c>
      <c r="P1642">
        <f>TEXT(B1642,"yyyy-mm")</f>
        <v/>
      </c>
      <c r="Q1642">
        <f>IF(O1642&gt;=3000,"Large","Small")</f>
        <v/>
      </c>
      <c r="R1642">
        <f>INDEX(Products!$F$2:$F$49,MATCH(J1642,Products!$A$2:$A$49,0))</f>
        <v/>
      </c>
      <c r="S1642">
        <f>WEEKDAY(B1642,2)</f>
        <v/>
      </c>
    </row>
    <row r="1643">
      <c r="A1643" t="n">
        <v>510160</v>
      </c>
      <c r="B1643" s="6" t="n">
        <v>45950</v>
      </c>
      <c r="C1643" t="n">
        <v>15681</v>
      </c>
      <c r="D1643" t="inlineStr">
        <is>
          <t>Hyderabad</t>
        </is>
      </c>
      <c r="E1643" t="inlineStr">
        <is>
          <t>South</t>
        </is>
      </c>
      <c r="F1643" t="inlineStr">
        <is>
          <t>Email</t>
        </is>
      </c>
      <c r="G1643" t="inlineStr">
        <is>
          <t>Mobile App</t>
        </is>
      </c>
      <c r="H1643" t="inlineStr">
        <is>
          <t>Cash on Delivery</t>
        </is>
      </c>
      <c r="I1643" t="inlineStr">
        <is>
          <t>Delivered</t>
        </is>
      </c>
      <c r="J1643" t="n">
        <v>115</v>
      </c>
      <c r="K1643" t="n">
        <v>1</v>
      </c>
      <c r="L1643" t="n">
        <v>4199</v>
      </c>
      <c r="M1643" t="n">
        <v>419.9</v>
      </c>
      <c r="N1643">
        <f>VLOOKUP(J1643,Products!$A$2:$C$49,3,FALSE)</f>
        <v/>
      </c>
      <c r="O1643">
        <f>K1643*L1643-M1643</f>
        <v/>
      </c>
      <c r="P1643">
        <f>TEXT(B1643,"yyyy-mm")</f>
        <v/>
      </c>
      <c r="Q1643">
        <f>IF(O1643&gt;=3000,"Large","Small")</f>
        <v/>
      </c>
      <c r="R1643">
        <f>INDEX(Products!$F$2:$F$49,MATCH(J1643,Products!$A$2:$A$49,0))</f>
        <v/>
      </c>
      <c r="S1643">
        <f>WEEKDAY(B1643,2)</f>
        <v/>
      </c>
    </row>
    <row r="1644">
      <c r="A1644" t="n">
        <v>510160</v>
      </c>
      <c r="B1644" s="6" t="n">
        <v>45950</v>
      </c>
      <c r="C1644" t="n">
        <v>15681</v>
      </c>
      <c r="D1644" t="inlineStr">
        <is>
          <t>Hyderabad</t>
        </is>
      </c>
      <c r="E1644" t="inlineStr">
        <is>
          <t>South</t>
        </is>
      </c>
      <c r="F1644" t="inlineStr">
        <is>
          <t>Email</t>
        </is>
      </c>
      <c r="G1644" t="inlineStr">
        <is>
          <t>Mobile App</t>
        </is>
      </c>
      <c r="H1644" t="inlineStr">
        <is>
          <t>Cash on Delivery</t>
        </is>
      </c>
      <c r="I1644" t="inlineStr">
        <is>
          <t>Delivered</t>
        </is>
      </c>
      <c r="J1644" t="n">
        <v>129</v>
      </c>
      <c r="K1644" t="n">
        <v>1</v>
      </c>
      <c r="L1644" t="n">
        <v>576</v>
      </c>
      <c r="M1644" t="n">
        <v>57.6</v>
      </c>
      <c r="N1644">
        <f>VLOOKUP(J1644,Products!$A$2:$C$49,3,FALSE)</f>
        <v/>
      </c>
      <c r="O1644">
        <f>K1644*L1644-M1644</f>
        <v/>
      </c>
      <c r="P1644">
        <f>TEXT(B1644,"yyyy-mm")</f>
        <v/>
      </c>
      <c r="Q1644">
        <f>IF(O1644&gt;=3000,"Large","Small")</f>
        <v/>
      </c>
      <c r="R1644">
        <f>INDEX(Products!$F$2:$F$49,MATCH(J1644,Products!$A$2:$A$49,0))</f>
        <v/>
      </c>
      <c r="S1644">
        <f>WEEKDAY(B1644,2)</f>
        <v/>
      </c>
    </row>
    <row r="1645">
      <c r="A1645" t="n">
        <v>510161</v>
      </c>
      <c r="B1645" s="6" t="n">
        <v>45950</v>
      </c>
      <c r="C1645" t="n">
        <v>13097</v>
      </c>
      <c r="D1645" t="inlineStr">
        <is>
          <t>Chennai</t>
        </is>
      </c>
      <c r="E1645" t="inlineStr">
        <is>
          <t>South</t>
        </is>
      </c>
      <c r="F1645" t="inlineStr">
        <is>
          <t>Organic Search</t>
        </is>
      </c>
      <c r="G1645" t="inlineStr">
        <is>
          <t>Desktop</t>
        </is>
      </c>
      <c r="H1645" t="inlineStr">
        <is>
          <t>UPI</t>
        </is>
      </c>
      <c r="I1645" t="inlineStr">
        <is>
          <t>Delivered</t>
        </is>
      </c>
      <c r="J1645" t="n">
        <v>146</v>
      </c>
      <c r="K1645" t="n">
        <v>1</v>
      </c>
      <c r="L1645" t="n">
        <v>4724</v>
      </c>
      <c r="M1645" t="n">
        <v>0</v>
      </c>
      <c r="N1645">
        <f>VLOOKUP(J1645,Products!$A$2:$C$49,3,FALSE)</f>
        <v/>
      </c>
      <c r="O1645">
        <f>K1645*L1645-M1645</f>
        <v/>
      </c>
      <c r="P1645">
        <f>TEXT(B1645,"yyyy-mm")</f>
        <v/>
      </c>
      <c r="Q1645">
        <f>IF(O1645&gt;=3000,"Large","Small")</f>
        <v/>
      </c>
      <c r="R1645">
        <f>INDEX(Products!$F$2:$F$49,MATCH(J1645,Products!$A$2:$A$49,0))</f>
        <v/>
      </c>
      <c r="S1645">
        <f>WEEKDAY(B1645,2)</f>
        <v/>
      </c>
    </row>
    <row r="1646">
      <c r="A1646" t="n">
        <v>510162</v>
      </c>
      <c r="B1646" s="6" t="n">
        <v>45950</v>
      </c>
      <c r="C1646" t="n">
        <v>16813</v>
      </c>
      <c r="D1646" t="inlineStr">
        <is>
          <t>Bengaluru</t>
        </is>
      </c>
      <c r="E1646" t="inlineStr">
        <is>
          <t>South</t>
        </is>
      </c>
      <c r="F1646" t="inlineStr">
        <is>
          <t>Email</t>
        </is>
      </c>
      <c r="G1646" t="inlineStr">
        <is>
          <t>Mobile App</t>
        </is>
      </c>
      <c r="H1646" t="inlineStr">
        <is>
          <t>UPI</t>
        </is>
      </c>
      <c r="I1646" t="inlineStr">
        <is>
          <t>Delivered</t>
        </is>
      </c>
      <c r="J1646" t="n">
        <v>113</v>
      </c>
      <c r="K1646" t="n">
        <v>2</v>
      </c>
      <c r="L1646" t="n">
        <v>1364</v>
      </c>
      <c r="M1646" t="n">
        <v>0</v>
      </c>
      <c r="N1646">
        <f>VLOOKUP(J1646,Products!$A$2:$C$49,3,FALSE)</f>
        <v/>
      </c>
      <c r="O1646">
        <f>K1646*L1646-M1646</f>
        <v/>
      </c>
      <c r="P1646">
        <f>TEXT(B1646,"yyyy-mm")</f>
        <v/>
      </c>
      <c r="Q1646">
        <f>IF(O1646&gt;=3000,"Large","Small")</f>
        <v/>
      </c>
      <c r="R1646">
        <f>INDEX(Products!$F$2:$F$49,MATCH(J1646,Products!$A$2:$A$49,0))</f>
        <v/>
      </c>
      <c r="S1646">
        <f>WEEKDAY(B1646,2)</f>
        <v/>
      </c>
    </row>
    <row r="1647">
      <c r="A1647" t="n">
        <v>510162</v>
      </c>
      <c r="B1647" s="6" t="n">
        <v>45950</v>
      </c>
      <c r="C1647" t="n">
        <v>16813</v>
      </c>
      <c r="D1647" t="inlineStr">
        <is>
          <t>Bengaluru</t>
        </is>
      </c>
      <c r="E1647" t="inlineStr">
        <is>
          <t>South</t>
        </is>
      </c>
      <c r="F1647" t="inlineStr">
        <is>
          <t>Email</t>
        </is>
      </c>
      <c r="G1647" t="inlineStr">
        <is>
          <t>Mobile App</t>
        </is>
      </c>
      <c r="H1647" t="inlineStr">
        <is>
          <t>UPI</t>
        </is>
      </c>
      <c r="I1647" t="inlineStr">
        <is>
          <t>Delivered</t>
        </is>
      </c>
      <c r="J1647" t="n">
        <v>109</v>
      </c>
      <c r="K1647" t="n">
        <v>3</v>
      </c>
      <c r="L1647" t="n">
        <v>4199</v>
      </c>
      <c r="M1647" t="n">
        <v>0</v>
      </c>
      <c r="N1647">
        <f>VLOOKUP(J1647,Products!$A$2:$C$49,3,FALSE)</f>
        <v/>
      </c>
      <c r="O1647">
        <f>K1647*L1647-M1647</f>
        <v/>
      </c>
      <c r="P1647">
        <f>TEXT(B1647,"yyyy-mm")</f>
        <v/>
      </c>
      <c r="Q1647">
        <f>IF(O1647&gt;=3000,"Large","Small")</f>
        <v/>
      </c>
      <c r="R1647">
        <f>INDEX(Products!$F$2:$F$49,MATCH(J1647,Products!$A$2:$A$49,0))</f>
        <v/>
      </c>
      <c r="S1647">
        <f>WEEKDAY(B1647,2)</f>
        <v/>
      </c>
    </row>
    <row r="1648">
      <c r="A1648" t="n">
        <v>510162</v>
      </c>
      <c r="B1648" s="6" t="n">
        <v>45950</v>
      </c>
      <c r="C1648" t="n">
        <v>16813</v>
      </c>
      <c r="D1648" t="inlineStr">
        <is>
          <t>Bengaluru</t>
        </is>
      </c>
      <c r="E1648" t="inlineStr">
        <is>
          <t>South</t>
        </is>
      </c>
      <c r="F1648" t="inlineStr">
        <is>
          <t>Email</t>
        </is>
      </c>
      <c r="G1648" t="inlineStr">
        <is>
          <t>Mobile App</t>
        </is>
      </c>
      <c r="H1648" t="inlineStr">
        <is>
          <t>UPI</t>
        </is>
      </c>
      <c r="I1648" t="inlineStr">
        <is>
          <t>Delivered</t>
        </is>
      </c>
      <c r="J1648" t="n">
        <v>129</v>
      </c>
      <c r="K1648" t="n">
        <v>1</v>
      </c>
      <c r="L1648" t="n">
        <v>576</v>
      </c>
      <c r="M1648" t="n">
        <v>0</v>
      </c>
      <c r="N1648">
        <f>VLOOKUP(J1648,Products!$A$2:$C$49,3,FALSE)</f>
        <v/>
      </c>
      <c r="O1648">
        <f>K1648*L1648-M1648</f>
        <v/>
      </c>
      <c r="P1648">
        <f>TEXT(B1648,"yyyy-mm")</f>
        <v/>
      </c>
      <c r="Q1648">
        <f>IF(O1648&gt;=3000,"Large","Small")</f>
        <v/>
      </c>
      <c r="R1648">
        <f>INDEX(Products!$F$2:$F$49,MATCH(J1648,Products!$A$2:$A$49,0))</f>
        <v/>
      </c>
      <c r="S1648">
        <f>WEEKDAY(B1648,2)</f>
        <v/>
      </c>
    </row>
    <row r="1649">
      <c r="A1649" t="n">
        <v>510163</v>
      </c>
      <c r="B1649" s="6" t="n">
        <v>45950</v>
      </c>
      <c r="C1649" t="n">
        <v>12042</v>
      </c>
      <c r="D1649" t="inlineStr">
        <is>
          <t>Indore</t>
        </is>
      </c>
      <c r="E1649" t="inlineStr">
        <is>
          <t>West</t>
        </is>
      </c>
      <c r="F1649" t="inlineStr">
        <is>
          <t>Email</t>
        </is>
      </c>
      <c r="G1649" t="inlineStr">
        <is>
          <t>Desktop</t>
        </is>
      </c>
      <c r="H1649" t="inlineStr">
        <is>
          <t>UPI</t>
        </is>
      </c>
      <c r="I1649" t="inlineStr">
        <is>
          <t>Delivered</t>
        </is>
      </c>
      <c r="J1649" t="n">
        <v>111</v>
      </c>
      <c r="K1649" t="n">
        <v>2</v>
      </c>
      <c r="L1649" t="n">
        <v>524</v>
      </c>
      <c r="M1649" t="n">
        <v>104.8</v>
      </c>
      <c r="N1649">
        <f>VLOOKUP(J1649,Products!$A$2:$C$49,3,FALSE)</f>
        <v/>
      </c>
      <c r="O1649">
        <f>K1649*L1649-M1649</f>
        <v/>
      </c>
      <c r="P1649">
        <f>TEXT(B1649,"yyyy-mm")</f>
        <v/>
      </c>
      <c r="Q1649">
        <f>IF(O1649&gt;=3000,"Large","Small")</f>
        <v/>
      </c>
      <c r="R1649">
        <f>INDEX(Products!$F$2:$F$49,MATCH(J1649,Products!$A$2:$A$49,0))</f>
        <v/>
      </c>
      <c r="S1649">
        <f>WEEKDAY(B1649,2)</f>
        <v/>
      </c>
    </row>
    <row r="1650">
      <c r="A1650" t="n">
        <v>510164</v>
      </c>
      <c r="B1650" s="6" t="n">
        <v>45950</v>
      </c>
      <c r="C1650" t="n">
        <v>16864</v>
      </c>
      <c r="D1650" t="inlineStr">
        <is>
          <t>Hyderabad</t>
        </is>
      </c>
      <c r="E1650" t="inlineStr">
        <is>
          <t>South</t>
        </is>
      </c>
      <c r="F1650" t="inlineStr">
        <is>
          <t>Referral</t>
        </is>
      </c>
      <c r="G1650" t="inlineStr">
        <is>
          <t>Mobile Web</t>
        </is>
      </c>
      <c r="H1650" t="inlineStr">
        <is>
          <t>Debit Card</t>
        </is>
      </c>
      <c r="I1650" t="inlineStr">
        <is>
          <t>Delivered</t>
        </is>
      </c>
      <c r="J1650" t="n">
        <v>107</v>
      </c>
      <c r="K1650" t="n">
        <v>1</v>
      </c>
      <c r="L1650" t="n">
        <v>1259</v>
      </c>
      <c r="M1650" t="n">
        <v>0</v>
      </c>
      <c r="N1650">
        <f>VLOOKUP(J1650,Products!$A$2:$C$49,3,FALSE)</f>
        <v/>
      </c>
      <c r="O1650">
        <f>K1650*L1650-M1650</f>
        <v/>
      </c>
      <c r="P1650">
        <f>TEXT(B1650,"yyyy-mm")</f>
        <v/>
      </c>
      <c r="Q1650">
        <f>IF(O1650&gt;=3000,"Large","Small")</f>
        <v/>
      </c>
      <c r="R1650">
        <f>INDEX(Products!$F$2:$F$49,MATCH(J1650,Products!$A$2:$A$49,0))</f>
        <v/>
      </c>
      <c r="S1650">
        <f>WEEKDAY(B1650,2)</f>
        <v/>
      </c>
    </row>
    <row r="1651">
      <c r="A1651" t="n">
        <v>510164</v>
      </c>
      <c r="B1651" s="6" t="n">
        <v>45950</v>
      </c>
      <c r="C1651" t="n">
        <v>16864</v>
      </c>
      <c r="D1651" t="inlineStr">
        <is>
          <t>Hyderabad</t>
        </is>
      </c>
      <c r="E1651" t="inlineStr">
        <is>
          <t>South</t>
        </is>
      </c>
      <c r="F1651" t="inlineStr">
        <is>
          <t>Referral</t>
        </is>
      </c>
      <c r="G1651" t="inlineStr">
        <is>
          <t>Mobile Web</t>
        </is>
      </c>
      <c r="H1651" t="inlineStr">
        <is>
          <t>Debit Card</t>
        </is>
      </c>
      <c r="I1651" t="inlineStr">
        <is>
          <t>Delivered</t>
        </is>
      </c>
      <c r="J1651" t="n">
        <v>112</v>
      </c>
      <c r="K1651" t="n">
        <v>1</v>
      </c>
      <c r="L1651" t="n">
        <v>1574</v>
      </c>
      <c r="M1651" t="n">
        <v>0</v>
      </c>
      <c r="N1651">
        <f>VLOOKUP(J1651,Products!$A$2:$C$49,3,FALSE)</f>
        <v/>
      </c>
      <c r="O1651">
        <f>K1651*L1651-M1651</f>
        <v/>
      </c>
      <c r="P1651">
        <f>TEXT(B1651,"yyyy-mm")</f>
        <v/>
      </c>
      <c r="Q1651">
        <f>IF(O1651&gt;=3000,"Large","Small")</f>
        <v/>
      </c>
      <c r="R1651">
        <f>INDEX(Products!$F$2:$F$49,MATCH(J1651,Products!$A$2:$A$49,0))</f>
        <v/>
      </c>
      <c r="S1651">
        <f>WEEKDAY(B1651,2)</f>
        <v/>
      </c>
    </row>
    <row r="1652">
      <c r="A1652" t="n">
        <v>510164</v>
      </c>
      <c r="B1652" s="6" t="n">
        <v>45950</v>
      </c>
      <c r="C1652" t="n">
        <v>16864</v>
      </c>
      <c r="D1652" t="inlineStr">
        <is>
          <t>Hyderabad</t>
        </is>
      </c>
      <c r="E1652" t="inlineStr">
        <is>
          <t>South</t>
        </is>
      </c>
      <c r="F1652" t="inlineStr">
        <is>
          <t>Referral</t>
        </is>
      </c>
      <c r="G1652" t="inlineStr">
        <is>
          <t>Mobile Web</t>
        </is>
      </c>
      <c r="H1652" t="inlineStr">
        <is>
          <t>Debit Card</t>
        </is>
      </c>
      <c r="I1652" t="inlineStr">
        <is>
          <t>Delivered</t>
        </is>
      </c>
      <c r="J1652" t="n">
        <v>103</v>
      </c>
      <c r="K1652" t="n">
        <v>1</v>
      </c>
      <c r="L1652" t="n">
        <v>2624</v>
      </c>
      <c r="M1652" t="n">
        <v>0</v>
      </c>
      <c r="N1652">
        <f>VLOOKUP(J1652,Products!$A$2:$C$49,3,FALSE)</f>
        <v/>
      </c>
      <c r="O1652">
        <f>K1652*L1652-M1652</f>
        <v/>
      </c>
      <c r="P1652">
        <f>TEXT(B1652,"yyyy-mm")</f>
        <v/>
      </c>
      <c r="Q1652">
        <f>IF(O1652&gt;=3000,"Large","Small")</f>
        <v/>
      </c>
      <c r="R1652">
        <f>INDEX(Products!$F$2:$F$49,MATCH(J1652,Products!$A$2:$A$49,0))</f>
        <v/>
      </c>
      <c r="S1652">
        <f>WEEKDAY(B1652,2)</f>
        <v/>
      </c>
    </row>
    <row r="1653">
      <c r="A1653" t="n">
        <v>510164</v>
      </c>
      <c r="B1653" s="6" t="n">
        <v>45950</v>
      </c>
      <c r="C1653" t="n">
        <v>16864</v>
      </c>
      <c r="D1653" t="inlineStr">
        <is>
          <t>Hyderabad</t>
        </is>
      </c>
      <c r="E1653" t="inlineStr">
        <is>
          <t>South</t>
        </is>
      </c>
      <c r="F1653" t="inlineStr">
        <is>
          <t>Referral</t>
        </is>
      </c>
      <c r="G1653" t="inlineStr">
        <is>
          <t>Mobile Web</t>
        </is>
      </c>
      <c r="H1653" t="inlineStr">
        <is>
          <t>Debit Card</t>
        </is>
      </c>
      <c r="I1653" t="inlineStr">
        <is>
          <t>Delivered</t>
        </is>
      </c>
      <c r="J1653" t="n">
        <v>117</v>
      </c>
      <c r="K1653" t="n">
        <v>1</v>
      </c>
      <c r="L1653" t="n">
        <v>3149</v>
      </c>
      <c r="M1653" t="n">
        <v>0</v>
      </c>
      <c r="N1653">
        <f>VLOOKUP(J1653,Products!$A$2:$C$49,3,FALSE)</f>
        <v/>
      </c>
      <c r="O1653">
        <f>K1653*L1653-M1653</f>
        <v/>
      </c>
      <c r="P1653">
        <f>TEXT(B1653,"yyyy-mm")</f>
        <v/>
      </c>
      <c r="Q1653">
        <f>IF(O1653&gt;=3000,"Large","Small")</f>
        <v/>
      </c>
      <c r="R1653">
        <f>INDEX(Products!$F$2:$F$49,MATCH(J1653,Products!$A$2:$A$49,0))</f>
        <v/>
      </c>
      <c r="S1653">
        <f>WEEKDAY(B1653,2)</f>
        <v/>
      </c>
    </row>
    <row r="1654">
      <c r="A1654" t="n">
        <v>510165</v>
      </c>
      <c r="B1654" s="6" t="n">
        <v>45950</v>
      </c>
      <c r="C1654" t="n">
        <v>16935</v>
      </c>
      <c r="D1654" t="inlineStr">
        <is>
          <t>Kolkata</t>
        </is>
      </c>
      <c r="E1654" t="inlineStr">
        <is>
          <t>East</t>
        </is>
      </c>
      <c r="F1654" t="inlineStr">
        <is>
          <t>Organic Search</t>
        </is>
      </c>
      <c r="G1654" t="inlineStr">
        <is>
          <t>Mobile App</t>
        </is>
      </c>
      <c r="H1654" t="inlineStr">
        <is>
          <t>Credit Card</t>
        </is>
      </c>
      <c r="I1654" t="inlineStr">
        <is>
          <t>Delivered</t>
        </is>
      </c>
      <c r="J1654" t="n">
        <v>140</v>
      </c>
      <c r="K1654" t="n">
        <v>1</v>
      </c>
      <c r="L1654" t="n">
        <v>629</v>
      </c>
      <c r="M1654" t="n">
        <v>0</v>
      </c>
      <c r="N1654">
        <f>VLOOKUP(J1654,Products!$A$2:$C$49,3,FALSE)</f>
        <v/>
      </c>
      <c r="O1654">
        <f>K1654*L1654-M1654</f>
        <v/>
      </c>
      <c r="P1654">
        <f>TEXT(B1654,"yyyy-mm")</f>
        <v/>
      </c>
      <c r="Q1654">
        <f>IF(O1654&gt;=3000,"Large","Small")</f>
        <v/>
      </c>
      <c r="R1654">
        <f>INDEX(Products!$F$2:$F$49,MATCH(J1654,Products!$A$2:$A$49,0))</f>
        <v/>
      </c>
      <c r="S1654">
        <f>WEEKDAY(B1654,2)</f>
        <v/>
      </c>
    </row>
    <row r="1655">
      <c r="A1655" t="n">
        <v>510166</v>
      </c>
      <c r="B1655" s="6" t="n">
        <v>45950</v>
      </c>
      <c r="C1655" t="n">
        <v>15727</v>
      </c>
      <c r="D1655" t="inlineStr">
        <is>
          <t>Delhi</t>
        </is>
      </c>
      <c r="E1655" t="inlineStr">
        <is>
          <t>North</t>
        </is>
      </c>
      <c r="F1655" t="inlineStr">
        <is>
          <t>Paid Search</t>
        </is>
      </c>
      <c r="G1655" t="inlineStr">
        <is>
          <t>Mobile App</t>
        </is>
      </c>
      <c r="H1655" t="inlineStr">
        <is>
          <t>UPI</t>
        </is>
      </c>
      <c r="I1655" t="inlineStr">
        <is>
          <t>Returned</t>
        </is>
      </c>
      <c r="J1655" t="n">
        <v>114</v>
      </c>
      <c r="K1655" t="n">
        <v>2</v>
      </c>
      <c r="L1655" t="n">
        <v>1259</v>
      </c>
      <c r="M1655" t="n">
        <v>251.8</v>
      </c>
      <c r="N1655">
        <f>VLOOKUP(J1655,Products!$A$2:$C$49,3,FALSE)</f>
        <v/>
      </c>
      <c r="O1655">
        <f>K1655*L1655-M1655</f>
        <v/>
      </c>
      <c r="P1655">
        <f>TEXT(B1655,"yyyy-mm")</f>
        <v/>
      </c>
      <c r="Q1655">
        <f>IF(O1655&gt;=3000,"Large","Small")</f>
        <v/>
      </c>
      <c r="R1655">
        <f>INDEX(Products!$F$2:$F$49,MATCH(J1655,Products!$A$2:$A$49,0))</f>
        <v/>
      </c>
      <c r="S1655">
        <f>WEEKDAY(B1655,2)</f>
        <v/>
      </c>
    </row>
    <row r="1656">
      <c r="A1656" t="n">
        <v>510166</v>
      </c>
      <c r="B1656" s="6" t="n">
        <v>45950</v>
      </c>
      <c r="C1656" t="n">
        <v>15727</v>
      </c>
      <c r="D1656" t="inlineStr">
        <is>
          <t>Delhi</t>
        </is>
      </c>
      <c r="E1656" t="inlineStr">
        <is>
          <t>North</t>
        </is>
      </c>
      <c r="F1656" t="inlineStr">
        <is>
          <t>Paid Search</t>
        </is>
      </c>
      <c r="G1656" t="inlineStr">
        <is>
          <t>Mobile App</t>
        </is>
      </c>
      <c r="H1656" t="inlineStr">
        <is>
          <t>UPI</t>
        </is>
      </c>
      <c r="I1656" t="inlineStr">
        <is>
          <t>Returned</t>
        </is>
      </c>
      <c r="J1656" t="n">
        <v>123</v>
      </c>
      <c r="K1656" t="n">
        <v>2</v>
      </c>
      <c r="L1656" t="n">
        <v>3464</v>
      </c>
      <c r="M1656" t="n">
        <v>692.8</v>
      </c>
      <c r="N1656">
        <f>VLOOKUP(J1656,Products!$A$2:$C$49,3,FALSE)</f>
        <v/>
      </c>
      <c r="O1656">
        <f>K1656*L1656-M1656</f>
        <v/>
      </c>
      <c r="P1656">
        <f>TEXT(B1656,"yyyy-mm")</f>
        <v/>
      </c>
      <c r="Q1656">
        <f>IF(O1656&gt;=3000,"Large","Small")</f>
        <v/>
      </c>
      <c r="R1656">
        <f>INDEX(Products!$F$2:$F$49,MATCH(J1656,Products!$A$2:$A$49,0))</f>
        <v/>
      </c>
      <c r="S1656">
        <f>WEEKDAY(B1656,2)</f>
        <v/>
      </c>
    </row>
    <row r="1657">
      <c r="A1657" t="n">
        <v>510167</v>
      </c>
      <c r="B1657" s="6" t="n">
        <v>45950</v>
      </c>
      <c r="C1657" t="n">
        <v>14927</v>
      </c>
      <c r="D1657" t="inlineStr">
        <is>
          <t>Delhi</t>
        </is>
      </c>
      <c r="E1657" t="inlineStr">
        <is>
          <t>North</t>
        </is>
      </c>
      <c r="F1657" t="inlineStr">
        <is>
          <t>Referral</t>
        </is>
      </c>
      <c r="G1657" t="inlineStr">
        <is>
          <t>Mobile Web</t>
        </is>
      </c>
      <c r="H1657" t="inlineStr">
        <is>
          <t>UPI</t>
        </is>
      </c>
      <c r="I1657" t="inlineStr">
        <is>
          <t>Delivered</t>
        </is>
      </c>
      <c r="J1657" t="n">
        <v>144</v>
      </c>
      <c r="K1657" t="n">
        <v>1</v>
      </c>
      <c r="L1657" t="n">
        <v>3149</v>
      </c>
      <c r="M1657" t="n">
        <v>314.9</v>
      </c>
      <c r="N1657">
        <f>VLOOKUP(J1657,Products!$A$2:$C$49,3,FALSE)</f>
        <v/>
      </c>
      <c r="O1657">
        <f>K1657*L1657-M1657</f>
        <v/>
      </c>
      <c r="P1657">
        <f>TEXT(B1657,"yyyy-mm")</f>
        <v/>
      </c>
      <c r="Q1657">
        <f>IF(O1657&gt;=3000,"Large","Small")</f>
        <v/>
      </c>
      <c r="R1657">
        <f>INDEX(Products!$F$2:$F$49,MATCH(J1657,Products!$A$2:$A$49,0))</f>
        <v/>
      </c>
      <c r="S1657">
        <f>WEEKDAY(B1657,2)</f>
        <v/>
      </c>
    </row>
    <row r="1658">
      <c r="A1658" t="n">
        <v>510167</v>
      </c>
      <c r="B1658" s="6" t="n">
        <v>45950</v>
      </c>
      <c r="C1658" t="n">
        <v>14927</v>
      </c>
      <c r="D1658" t="inlineStr">
        <is>
          <t>Delhi</t>
        </is>
      </c>
      <c r="E1658" t="inlineStr">
        <is>
          <t>North</t>
        </is>
      </c>
      <c r="F1658" t="inlineStr">
        <is>
          <t>Referral</t>
        </is>
      </c>
      <c r="G1658" t="inlineStr">
        <is>
          <t>Mobile Web</t>
        </is>
      </c>
      <c r="H1658" t="inlineStr">
        <is>
          <t>UPI</t>
        </is>
      </c>
      <c r="I1658" t="inlineStr">
        <is>
          <t>Delivered</t>
        </is>
      </c>
      <c r="J1658" t="n">
        <v>127</v>
      </c>
      <c r="K1658" t="n">
        <v>1</v>
      </c>
      <c r="L1658" t="n">
        <v>681</v>
      </c>
      <c r="M1658" t="n">
        <v>68.09999999999999</v>
      </c>
      <c r="N1658">
        <f>VLOOKUP(J1658,Products!$A$2:$C$49,3,FALSE)</f>
        <v/>
      </c>
      <c r="O1658">
        <f>K1658*L1658-M1658</f>
        <v/>
      </c>
      <c r="P1658">
        <f>TEXT(B1658,"yyyy-mm")</f>
        <v/>
      </c>
      <c r="Q1658">
        <f>IF(O1658&gt;=3000,"Large","Small")</f>
        <v/>
      </c>
      <c r="R1658">
        <f>INDEX(Products!$F$2:$F$49,MATCH(J1658,Products!$A$2:$A$49,0))</f>
        <v/>
      </c>
      <c r="S1658">
        <f>WEEKDAY(B1658,2)</f>
        <v/>
      </c>
    </row>
    <row r="1659">
      <c r="A1659" t="n">
        <v>510167</v>
      </c>
      <c r="B1659" s="6" t="n">
        <v>45950</v>
      </c>
      <c r="C1659" t="n">
        <v>14927</v>
      </c>
      <c r="D1659" t="inlineStr">
        <is>
          <t>Delhi</t>
        </is>
      </c>
      <c r="E1659" t="inlineStr">
        <is>
          <t>North</t>
        </is>
      </c>
      <c r="F1659" t="inlineStr">
        <is>
          <t>Referral</t>
        </is>
      </c>
      <c r="G1659" t="inlineStr">
        <is>
          <t>Mobile Web</t>
        </is>
      </c>
      <c r="H1659" t="inlineStr">
        <is>
          <t>UPI</t>
        </is>
      </c>
      <c r="I1659" t="inlineStr">
        <is>
          <t>Delivered</t>
        </is>
      </c>
      <c r="J1659" t="n">
        <v>112</v>
      </c>
      <c r="K1659" t="n">
        <v>1</v>
      </c>
      <c r="L1659" t="n">
        <v>1574</v>
      </c>
      <c r="M1659" t="n">
        <v>157.4</v>
      </c>
      <c r="N1659">
        <f>VLOOKUP(J1659,Products!$A$2:$C$49,3,FALSE)</f>
        <v/>
      </c>
      <c r="O1659">
        <f>K1659*L1659-M1659</f>
        <v/>
      </c>
      <c r="P1659">
        <f>TEXT(B1659,"yyyy-mm")</f>
        <v/>
      </c>
      <c r="Q1659">
        <f>IF(O1659&gt;=3000,"Large","Small")</f>
        <v/>
      </c>
      <c r="R1659">
        <f>INDEX(Products!$F$2:$F$49,MATCH(J1659,Products!$A$2:$A$49,0))</f>
        <v/>
      </c>
      <c r="S1659">
        <f>WEEKDAY(B1659,2)</f>
        <v/>
      </c>
    </row>
    <row r="1660">
      <c r="A1660" t="n">
        <v>510168</v>
      </c>
      <c r="B1660" s="6" t="n">
        <v>45950</v>
      </c>
      <c r="C1660" t="n">
        <v>13272</v>
      </c>
      <c r="D1660" t="inlineStr">
        <is>
          <t>Lucknow</t>
        </is>
      </c>
      <c r="E1660" t="inlineStr">
        <is>
          <t>North</t>
        </is>
      </c>
      <c r="F1660" t="inlineStr">
        <is>
          <t>Organic Search</t>
        </is>
      </c>
      <c r="G1660" t="inlineStr">
        <is>
          <t>Mobile App</t>
        </is>
      </c>
      <c r="H1660" t="inlineStr">
        <is>
          <t>Credit Card</t>
        </is>
      </c>
      <c r="I1660" t="inlineStr">
        <is>
          <t>Delivered</t>
        </is>
      </c>
      <c r="J1660" t="n">
        <v>135</v>
      </c>
      <c r="K1660" t="n">
        <v>3</v>
      </c>
      <c r="L1660" t="n">
        <v>1574</v>
      </c>
      <c r="M1660" t="n">
        <v>472.2</v>
      </c>
      <c r="N1660">
        <f>VLOOKUP(J1660,Products!$A$2:$C$49,3,FALSE)</f>
        <v/>
      </c>
      <c r="O1660">
        <f>K1660*L1660-M1660</f>
        <v/>
      </c>
      <c r="P1660">
        <f>TEXT(B1660,"yyyy-mm")</f>
        <v/>
      </c>
      <c r="Q1660">
        <f>IF(O1660&gt;=3000,"Large","Small")</f>
        <v/>
      </c>
      <c r="R1660">
        <f>INDEX(Products!$F$2:$F$49,MATCH(J1660,Products!$A$2:$A$49,0))</f>
        <v/>
      </c>
      <c r="S1660">
        <f>WEEKDAY(B1660,2)</f>
        <v/>
      </c>
    </row>
    <row r="1661">
      <c r="A1661" t="n">
        <v>510169</v>
      </c>
      <c r="B1661" s="6" t="n">
        <v>45950</v>
      </c>
      <c r="C1661" t="n">
        <v>15153</v>
      </c>
      <c r="D1661" t="inlineStr">
        <is>
          <t>Bengaluru</t>
        </is>
      </c>
      <c r="E1661" t="inlineStr">
        <is>
          <t>South</t>
        </is>
      </c>
      <c r="F1661" t="inlineStr">
        <is>
          <t>Organic Search</t>
        </is>
      </c>
      <c r="G1661" t="inlineStr">
        <is>
          <t>Mobile Web</t>
        </is>
      </c>
      <c r="H1661" t="inlineStr">
        <is>
          <t>Debit Card</t>
        </is>
      </c>
      <c r="I1661" t="inlineStr">
        <is>
          <t>Returned</t>
        </is>
      </c>
      <c r="J1661" t="n">
        <v>148</v>
      </c>
      <c r="K1661" t="n">
        <v>1</v>
      </c>
      <c r="L1661" t="n">
        <v>734</v>
      </c>
      <c r="M1661" t="n">
        <v>0</v>
      </c>
      <c r="N1661">
        <f>VLOOKUP(J1661,Products!$A$2:$C$49,3,FALSE)</f>
        <v/>
      </c>
      <c r="O1661">
        <f>K1661*L1661-M1661</f>
        <v/>
      </c>
      <c r="P1661">
        <f>TEXT(B1661,"yyyy-mm")</f>
        <v/>
      </c>
      <c r="Q1661">
        <f>IF(O1661&gt;=3000,"Large","Small")</f>
        <v/>
      </c>
      <c r="R1661">
        <f>INDEX(Products!$F$2:$F$49,MATCH(J1661,Products!$A$2:$A$49,0))</f>
        <v/>
      </c>
      <c r="S1661">
        <f>WEEKDAY(B1661,2)</f>
        <v/>
      </c>
    </row>
    <row r="1662">
      <c r="A1662" t="n">
        <v>510169</v>
      </c>
      <c r="B1662" s="6" t="n">
        <v>45950</v>
      </c>
      <c r="C1662" t="n">
        <v>15153</v>
      </c>
      <c r="D1662" t="inlineStr">
        <is>
          <t>Bengaluru</t>
        </is>
      </c>
      <c r="E1662" t="inlineStr">
        <is>
          <t>South</t>
        </is>
      </c>
      <c r="F1662" t="inlineStr">
        <is>
          <t>Organic Search</t>
        </is>
      </c>
      <c r="G1662" t="inlineStr">
        <is>
          <t>Mobile Web</t>
        </is>
      </c>
      <c r="H1662" t="inlineStr">
        <is>
          <t>Debit Card</t>
        </is>
      </c>
      <c r="I1662" t="inlineStr">
        <is>
          <t>Returned</t>
        </is>
      </c>
      <c r="J1662" t="n">
        <v>112</v>
      </c>
      <c r="K1662" t="n">
        <v>1</v>
      </c>
      <c r="L1662" t="n">
        <v>1574</v>
      </c>
      <c r="M1662" t="n">
        <v>0</v>
      </c>
      <c r="N1662">
        <f>VLOOKUP(J1662,Products!$A$2:$C$49,3,FALSE)</f>
        <v/>
      </c>
      <c r="O1662">
        <f>K1662*L1662-M1662</f>
        <v/>
      </c>
      <c r="P1662">
        <f>TEXT(B1662,"yyyy-mm")</f>
        <v/>
      </c>
      <c r="Q1662">
        <f>IF(O1662&gt;=3000,"Large","Small")</f>
        <v/>
      </c>
      <c r="R1662">
        <f>INDEX(Products!$F$2:$F$49,MATCH(J1662,Products!$A$2:$A$49,0))</f>
        <v/>
      </c>
      <c r="S1662">
        <f>WEEKDAY(B1662,2)</f>
        <v/>
      </c>
    </row>
    <row r="1663">
      <c r="A1663" t="n">
        <v>510169</v>
      </c>
      <c r="B1663" s="6" t="n">
        <v>45950</v>
      </c>
      <c r="C1663" t="n">
        <v>15153</v>
      </c>
      <c r="D1663" t="inlineStr">
        <is>
          <t>Bengaluru</t>
        </is>
      </c>
      <c r="E1663" t="inlineStr">
        <is>
          <t>South</t>
        </is>
      </c>
      <c r="F1663" t="inlineStr">
        <is>
          <t>Organic Search</t>
        </is>
      </c>
      <c r="G1663" t="inlineStr">
        <is>
          <t>Mobile Web</t>
        </is>
      </c>
      <c r="H1663" t="inlineStr">
        <is>
          <t>Debit Card</t>
        </is>
      </c>
      <c r="I1663" t="inlineStr">
        <is>
          <t>Returned</t>
        </is>
      </c>
      <c r="J1663" t="n">
        <v>129</v>
      </c>
      <c r="K1663" t="n">
        <v>1</v>
      </c>
      <c r="L1663" t="n">
        <v>576</v>
      </c>
      <c r="M1663" t="n">
        <v>0</v>
      </c>
      <c r="N1663">
        <f>VLOOKUP(J1663,Products!$A$2:$C$49,3,FALSE)</f>
        <v/>
      </c>
      <c r="O1663">
        <f>K1663*L1663-M1663</f>
        <v/>
      </c>
      <c r="P1663">
        <f>TEXT(B1663,"yyyy-mm")</f>
        <v/>
      </c>
      <c r="Q1663">
        <f>IF(O1663&gt;=3000,"Large","Small")</f>
        <v/>
      </c>
      <c r="R1663">
        <f>INDEX(Products!$F$2:$F$49,MATCH(J1663,Products!$A$2:$A$49,0))</f>
        <v/>
      </c>
      <c r="S1663">
        <f>WEEKDAY(B1663,2)</f>
        <v/>
      </c>
    </row>
    <row r="1664">
      <c r="A1664" t="n">
        <v>510170</v>
      </c>
      <c r="B1664" s="6" t="n">
        <v>45950</v>
      </c>
      <c r="C1664" t="n">
        <v>10219</v>
      </c>
      <c r="D1664" t="inlineStr">
        <is>
          <t>Delhi</t>
        </is>
      </c>
      <c r="E1664" t="inlineStr">
        <is>
          <t>North</t>
        </is>
      </c>
      <c r="F1664" t="inlineStr">
        <is>
          <t>Organic Search</t>
        </is>
      </c>
      <c r="G1664" t="inlineStr">
        <is>
          <t>Mobile Web</t>
        </is>
      </c>
      <c r="H1664" t="inlineStr">
        <is>
          <t>UPI</t>
        </is>
      </c>
      <c r="I1664" t="inlineStr">
        <is>
          <t>Delivered</t>
        </is>
      </c>
      <c r="J1664" t="n">
        <v>145</v>
      </c>
      <c r="K1664" t="n">
        <v>1</v>
      </c>
      <c r="L1664" t="n">
        <v>629</v>
      </c>
      <c r="M1664" t="n">
        <v>0</v>
      </c>
      <c r="N1664">
        <f>VLOOKUP(J1664,Products!$A$2:$C$49,3,FALSE)</f>
        <v/>
      </c>
      <c r="O1664">
        <f>K1664*L1664-M1664</f>
        <v/>
      </c>
      <c r="P1664">
        <f>TEXT(B1664,"yyyy-mm")</f>
        <v/>
      </c>
      <c r="Q1664">
        <f>IF(O1664&gt;=3000,"Large","Small")</f>
        <v/>
      </c>
      <c r="R1664">
        <f>INDEX(Products!$F$2:$F$49,MATCH(J1664,Products!$A$2:$A$49,0))</f>
        <v/>
      </c>
      <c r="S1664">
        <f>WEEKDAY(B1664,2)</f>
        <v/>
      </c>
    </row>
    <row r="1665">
      <c r="A1665" t="n">
        <v>510170</v>
      </c>
      <c r="B1665" s="6" t="n">
        <v>45950</v>
      </c>
      <c r="C1665" t="n">
        <v>10219</v>
      </c>
      <c r="D1665" t="inlineStr">
        <is>
          <t>Delhi</t>
        </is>
      </c>
      <c r="E1665" t="inlineStr">
        <is>
          <t>North</t>
        </is>
      </c>
      <c r="F1665" t="inlineStr">
        <is>
          <t>Organic Search</t>
        </is>
      </c>
      <c r="G1665" t="inlineStr">
        <is>
          <t>Mobile Web</t>
        </is>
      </c>
      <c r="H1665" t="inlineStr">
        <is>
          <t>UPI</t>
        </is>
      </c>
      <c r="I1665" t="inlineStr">
        <is>
          <t>Delivered</t>
        </is>
      </c>
      <c r="J1665" t="n">
        <v>129</v>
      </c>
      <c r="K1665" t="n">
        <v>1</v>
      </c>
      <c r="L1665" t="n">
        <v>576</v>
      </c>
      <c r="M1665" t="n">
        <v>0</v>
      </c>
      <c r="N1665">
        <f>VLOOKUP(J1665,Products!$A$2:$C$49,3,FALSE)</f>
        <v/>
      </c>
      <c r="O1665">
        <f>K1665*L1665-M1665</f>
        <v/>
      </c>
      <c r="P1665">
        <f>TEXT(B1665,"yyyy-mm")</f>
        <v/>
      </c>
      <c r="Q1665">
        <f>IF(O1665&gt;=3000,"Large","Small")</f>
        <v/>
      </c>
      <c r="R1665">
        <f>INDEX(Products!$F$2:$F$49,MATCH(J1665,Products!$A$2:$A$49,0))</f>
        <v/>
      </c>
      <c r="S1665">
        <f>WEEKDAY(B1665,2)</f>
        <v/>
      </c>
    </row>
    <row r="1666">
      <c r="A1666" t="n">
        <v>510171</v>
      </c>
      <c r="B1666" s="6" t="n">
        <v>45950</v>
      </c>
      <c r="C1666" t="n">
        <v>13403</v>
      </c>
      <c r="D1666" t="inlineStr">
        <is>
          <t>Delhi</t>
        </is>
      </c>
      <c r="E1666" t="inlineStr">
        <is>
          <t>North</t>
        </is>
      </c>
      <c r="F1666" t="inlineStr">
        <is>
          <t>Paid Social</t>
        </is>
      </c>
      <c r="G1666" t="inlineStr">
        <is>
          <t>Mobile Web</t>
        </is>
      </c>
      <c r="H1666" t="inlineStr">
        <is>
          <t>Credit Card</t>
        </is>
      </c>
      <c r="I1666" t="inlineStr">
        <is>
          <t>Delivered</t>
        </is>
      </c>
      <c r="J1666" t="n">
        <v>123</v>
      </c>
      <c r="K1666" t="n">
        <v>1</v>
      </c>
      <c r="L1666" t="n">
        <v>3464</v>
      </c>
      <c r="M1666" t="n">
        <v>346.4</v>
      </c>
      <c r="N1666">
        <f>VLOOKUP(J1666,Products!$A$2:$C$49,3,FALSE)</f>
        <v/>
      </c>
      <c r="O1666">
        <f>K1666*L1666-M1666</f>
        <v/>
      </c>
      <c r="P1666">
        <f>TEXT(B1666,"yyyy-mm")</f>
        <v/>
      </c>
      <c r="Q1666">
        <f>IF(O1666&gt;=3000,"Large","Small")</f>
        <v/>
      </c>
      <c r="R1666">
        <f>INDEX(Products!$F$2:$F$49,MATCH(J1666,Products!$A$2:$A$49,0))</f>
        <v/>
      </c>
      <c r="S1666">
        <f>WEEKDAY(B1666,2)</f>
        <v/>
      </c>
    </row>
    <row r="1667">
      <c r="A1667" t="n">
        <v>510172</v>
      </c>
      <c r="B1667" s="6" t="n">
        <v>45950</v>
      </c>
      <c r="C1667" t="n">
        <v>10440</v>
      </c>
      <c r="D1667" t="inlineStr">
        <is>
          <t>Gurugram</t>
        </is>
      </c>
      <c r="E1667" t="inlineStr">
        <is>
          <t>North</t>
        </is>
      </c>
      <c r="F1667" t="inlineStr">
        <is>
          <t>Paid Search</t>
        </is>
      </c>
      <c r="G1667" t="inlineStr">
        <is>
          <t>Mobile App</t>
        </is>
      </c>
      <c r="H1667" t="inlineStr">
        <is>
          <t>Debit Card</t>
        </is>
      </c>
      <c r="I1667" t="inlineStr">
        <is>
          <t>Delivered</t>
        </is>
      </c>
      <c r="J1667" t="n">
        <v>106</v>
      </c>
      <c r="K1667" t="n">
        <v>1</v>
      </c>
      <c r="L1667" t="n">
        <v>1574</v>
      </c>
      <c r="M1667" t="n">
        <v>157.4</v>
      </c>
      <c r="N1667">
        <f>VLOOKUP(J1667,Products!$A$2:$C$49,3,FALSE)</f>
        <v/>
      </c>
      <c r="O1667">
        <f>K1667*L1667-M1667</f>
        <v/>
      </c>
      <c r="P1667">
        <f>TEXT(B1667,"yyyy-mm")</f>
        <v/>
      </c>
      <c r="Q1667">
        <f>IF(O1667&gt;=3000,"Large","Small")</f>
        <v/>
      </c>
      <c r="R1667">
        <f>INDEX(Products!$F$2:$F$49,MATCH(J1667,Products!$A$2:$A$49,0))</f>
        <v/>
      </c>
      <c r="S1667">
        <f>WEEKDAY(B1667,2)</f>
        <v/>
      </c>
    </row>
    <row r="1668">
      <c r="A1668" t="n">
        <v>510173</v>
      </c>
      <c r="B1668" s="6" t="n">
        <v>45950</v>
      </c>
      <c r="C1668" t="n">
        <v>12898</v>
      </c>
      <c r="D1668" t="inlineStr">
        <is>
          <t>Mumbai</t>
        </is>
      </c>
      <c r="E1668" t="inlineStr">
        <is>
          <t>West</t>
        </is>
      </c>
      <c r="F1668" t="inlineStr">
        <is>
          <t>Paid Social</t>
        </is>
      </c>
      <c r="G1668" t="inlineStr">
        <is>
          <t>Mobile App</t>
        </is>
      </c>
      <c r="H1668" t="inlineStr">
        <is>
          <t>Debit Card</t>
        </is>
      </c>
      <c r="I1668" t="inlineStr">
        <is>
          <t>Delivered</t>
        </is>
      </c>
      <c r="J1668" t="n">
        <v>123</v>
      </c>
      <c r="K1668" t="n">
        <v>2</v>
      </c>
      <c r="L1668" t="n">
        <v>3464</v>
      </c>
      <c r="M1668" t="n">
        <v>0</v>
      </c>
      <c r="N1668">
        <f>VLOOKUP(J1668,Products!$A$2:$C$49,3,FALSE)</f>
        <v/>
      </c>
      <c r="O1668">
        <f>K1668*L1668-M1668</f>
        <v/>
      </c>
      <c r="P1668">
        <f>TEXT(B1668,"yyyy-mm")</f>
        <v/>
      </c>
      <c r="Q1668">
        <f>IF(O1668&gt;=3000,"Large","Small")</f>
        <v/>
      </c>
      <c r="R1668">
        <f>INDEX(Products!$F$2:$F$49,MATCH(J1668,Products!$A$2:$A$49,0))</f>
        <v/>
      </c>
      <c r="S1668">
        <f>WEEKDAY(B1668,2)</f>
        <v/>
      </c>
    </row>
    <row r="1669">
      <c r="A1669" t="n">
        <v>510174</v>
      </c>
      <c r="B1669" s="6" t="n">
        <v>45950</v>
      </c>
      <c r="C1669" t="n">
        <v>16072</v>
      </c>
      <c r="D1669" t="inlineStr">
        <is>
          <t>Indore</t>
        </is>
      </c>
      <c r="E1669" t="inlineStr">
        <is>
          <t>West</t>
        </is>
      </c>
      <c r="F1669" t="inlineStr">
        <is>
          <t>Paid Social</t>
        </is>
      </c>
      <c r="G1669" t="inlineStr">
        <is>
          <t>Mobile App</t>
        </is>
      </c>
      <c r="H1669" t="inlineStr">
        <is>
          <t>Cash on Delivery</t>
        </is>
      </c>
      <c r="I1669" t="inlineStr">
        <is>
          <t>Returned</t>
        </is>
      </c>
      <c r="J1669" t="n">
        <v>116</v>
      </c>
      <c r="K1669" t="n">
        <v>1</v>
      </c>
      <c r="L1669" t="n">
        <v>2624</v>
      </c>
      <c r="M1669" t="n">
        <v>262.4</v>
      </c>
      <c r="N1669">
        <f>VLOOKUP(J1669,Products!$A$2:$C$49,3,FALSE)</f>
        <v/>
      </c>
      <c r="O1669">
        <f>K1669*L1669-M1669</f>
        <v/>
      </c>
      <c r="P1669">
        <f>TEXT(B1669,"yyyy-mm")</f>
        <v/>
      </c>
      <c r="Q1669">
        <f>IF(O1669&gt;=3000,"Large","Small")</f>
        <v/>
      </c>
      <c r="R1669">
        <f>INDEX(Products!$F$2:$F$49,MATCH(J1669,Products!$A$2:$A$49,0))</f>
        <v/>
      </c>
      <c r="S1669">
        <f>WEEKDAY(B1669,2)</f>
        <v/>
      </c>
    </row>
    <row r="1670">
      <c r="A1670" t="n">
        <v>510174</v>
      </c>
      <c r="B1670" s="6" t="n">
        <v>45950</v>
      </c>
      <c r="C1670" t="n">
        <v>16072</v>
      </c>
      <c r="D1670" t="inlineStr">
        <is>
          <t>Indore</t>
        </is>
      </c>
      <c r="E1670" t="inlineStr">
        <is>
          <t>West</t>
        </is>
      </c>
      <c r="F1670" t="inlineStr">
        <is>
          <t>Paid Social</t>
        </is>
      </c>
      <c r="G1670" t="inlineStr">
        <is>
          <t>Mobile App</t>
        </is>
      </c>
      <c r="H1670" t="inlineStr">
        <is>
          <t>Cash on Delivery</t>
        </is>
      </c>
      <c r="I1670" t="inlineStr">
        <is>
          <t>Returned</t>
        </is>
      </c>
      <c r="J1670" t="n">
        <v>120</v>
      </c>
      <c r="K1670" t="n">
        <v>1</v>
      </c>
      <c r="L1670" t="n">
        <v>734</v>
      </c>
      <c r="M1670" t="n">
        <v>73.40000000000001</v>
      </c>
      <c r="N1670">
        <f>VLOOKUP(J1670,Products!$A$2:$C$49,3,FALSE)</f>
        <v/>
      </c>
      <c r="O1670">
        <f>K1670*L1670-M1670</f>
        <v/>
      </c>
      <c r="P1670">
        <f>TEXT(B1670,"yyyy-mm")</f>
        <v/>
      </c>
      <c r="Q1670">
        <f>IF(O1670&gt;=3000,"Large","Small")</f>
        <v/>
      </c>
      <c r="R1670">
        <f>INDEX(Products!$F$2:$F$49,MATCH(J1670,Products!$A$2:$A$49,0))</f>
        <v/>
      </c>
      <c r="S1670">
        <f>WEEKDAY(B1670,2)</f>
        <v/>
      </c>
    </row>
    <row r="1671">
      <c r="A1671" t="n">
        <v>510174</v>
      </c>
      <c r="B1671" s="6" t="n">
        <v>45950</v>
      </c>
      <c r="C1671" t="n">
        <v>16072</v>
      </c>
      <c r="D1671" t="inlineStr">
        <is>
          <t>Indore</t>
        </is>
      </c>
      <c r="E1671" t="inlineStr">
        <is>
          <t>West</t>
        </is>
      </c>
      <c r="F1671" t="inlineStr">
        <is>
          <t>Paid Social</t>
        </is>
      </c>
      <c r="G1671" t="inlineStr">
        <is>
          <t>Mobile App</t>
        </is>
      </c>
      <c r="H1671" t="inlineStr">
        <is>
          <t>Cash on Delivery</t>
        </is>
      </c>
      <c r="I1671" t="inlineStr">
        <is>
          <t>Returned</t>
        </is>
      </c>
      <c r="J1671" t="n">
        <v>113</v>
      </c>
      <c r="K1671" t="n">
        <v>1</v>
      </c>
      <c r="L1671" t="n">
        <v>1364</v>
      </c>
      <c r="M1671" t="n">
        <v>136.4</v>
      </c>
      <c r="N1671">
        <f>VLOOKUP(J1671,Products!$A$2:$C$49,3,FALSE)</f>
        <v/>
      </c>
      <c r="O1671">
        <f>K1671*L1671-M1671</f>
        <v/>
      </c>
      <c r="P1671">
        <f>TEXT(B1671,"yyyy-mm")</f>
        <v/>
      </c>
      <c r="Q1671">
        <f>IF(O1671&gt;=3000,"Large","Small")</f>
        <v/>
      </c>
      <c r="R1671">
        <f>INDEX(Products!$F$2:$F$49,MATCH(J1671,Products!$A$2:$A$49,0))</f>
        <v/>
      </c>
      <c r="S1671">
        <f>WEEKDAY(B1671,2)</f>
        <v/>
      </c>
    </row>
    <row r="1672">
      <c r="A1672" t="n">
        <v>510175</v>
      </c>
      <c r="B1672" s="6" t="n">
        <v>45950</v>
      </c>
      <c r="C1672" t="n">
        <v>12786</v>
      </c>
      <c r="D1672" t="inlineStr">
        <is>
          <t>Indore</t>
        </is>
      </c>
      <c r="E1672" t="inlineStr">
        <is>
          <t>West</t>
        </is>
      </c>
      <c r="F1672" t="inlineStr">
        <is>
          <t>Organic Search</t>
        </is>
      </c>
      <c r="G1672" t="inlineStr">
        <is>
          <t>Desktop</t>
        </is>
      </c>
      <c r="H1672" t="inlineStr">
        <is>
          <t>Net Banking</t>
        </is>
      </c>
      <c r="I1672" t="inlineStr">
        <is>
          <t>Delivered</t>
        </is>
      </c>
      <c r="J1672" t="n">
        <v>104</v>
      </c>
      <c r="K1672" t="n">
        <v>1</v>
      </c>
      <c r="L1672" t="n">
        <v>5249</v>
      </c>
      <c r="M1672" t="n">
        <v>524.9</v>
      </c>
      <c r="N1672">
        <f>VLOOKUP(J1672,Products!$A$2:$C$49,3,FALSE)</f>
        <v/>
      </c>
      <c r="O1672">
        <f>K1672*L1672-M1672</f>
        <v/>
      </c>
      <c r="P1672">
        <f>TEXT(B1672,"yyyy-mm")</f>
        <v/>
      </c>
      <c r="Q1672">
        <f>IF(O1672&gt;=3000,"Large","Small")</f>
        <v/>
      </c>
      <c r="R1672">
        <f>INDEX(Products!$F$2:$F$49,MATCH(J1672,Products!$A$2:$A$49,0))</f>
        <v/>
      </c>
      <c r="S1672">
        <f>WEEKDAY(B1672,2)</f>
        <v/>
      </c>
    </row>
    <row r="1673">
      <c r="A1673" t="n">
        <v>510176</v>
      </c>
      <c r="B1673" s="6" t="n">
        <v>45950</v>
      </c>
      <c r="C1673" t="n">
        <v>14071</v>
      </c>
      <c r="D1673" t="inlineStr">
        <is>
          <t>Delhi</t>
        </is>
      </c>
      <c r="E1673" t="inlineStr">
        <is>
          <t>North</t>
        </is>
      </c>
      <c r="F1673" t="inlineStr">
        <is>
          <t>Paid Social</t>
        </is>
      </c>
      <c r="G1673" t="inlineStr">
        <is>
          <t>Mobile App</t>
        </is>
      </c>
      <c r="H1673" t="inlineStr">
        <is>
          <t>UPI</t>
        </is>
      </c>
      <c r="I1673" t="inlineStr">
        <is>
          <t>Delivered</t>
        </is>
      </c>
      <c r="J1673" t="n">
        <v>106</v>
      </c>
      <c r="K1673" t="n">
        <v>2</v>
      </c>
      <c r="L1673" t="n">
        <v>1574</v>
      </c>
      <c r="M1673" t="n">
        <v>157.4</v>
      </c>
      <c r="N1673">
        <f>VLOOKUP(J1673,Products!$A$2:$C$49,3,FALSE)</f>
        <v/>
      </c>
      <c r="O1673">
        <f>K1673*L1673-M1673</f>
        <v/>
      </c>
      <c r="P1673">
        <f>TEXT(B1673,"yyyy-mm")</f>
        <v/>
      </c>
      <c r="Q1673">
        <f>IF(O1673&gt;=3000,"Large","Small")</f>
        <v/>
      </c>
      <c r="R1673">
        <f>INDEX(Products!$F$2:$F$49,MATCH(J1673,Products!$A$2:$A$49,0))</f>
        <v/>
      </c>
      <c r="S1673">
        <f>WEEKDAY(B1673,2)</f>
        <v/>
      </c>
    </row>
    <row r="1674">
      <c r="A1674" t="n">
        <v>510176</v>
      </c>
      <c r="B1674" s="6" t="n">
        <v>45950</v>
      </c>
      <c r="C1674" t="n">
        <v>14071</v>
      </c>
      <c r="D1674" t="inlineStr">
        <is>
          <t>Delhi</t>
        </is>
      </c>
      <c r="E1674" t="inlineStr">
        <is>
          <t>North</t>
        </is>
      </c>
      <c r="F1674" t="inlineStr">
        <is>
          <t>Paid Social</t>
        </is>
      </c>
      <c r="G1674" t="inlineStr">
        <is>
          <t>Mobile App</t>
        </is>
      </c>
      <c r="H1674" t="inlineStr">
        <is>
          <t>UPI</t>
        </is>
      </c>
      <c r="I1674" t="inlineStr">
        <is>
          <t>Delivered</t>
        </is>
      </c>
      <c r="J1674" t="n">
        <v>129</v>
      </c>
      <c r="K1674" t="n">
        <v>1</v>
      </c>
      <c r="L1674" t="n">
        <v>576</v>
      </c>
      <c r="M1674" t="n">
        <v>28.8</v>
      </c>
      <c r="N1674">
        <f>VLOOKUP(J1674,Products!$A$2:$C$49,3,FALSE)</f>
        <v/>
      </c>
      <c r="O1674">
        <f>K1674*L1674-M1674</f>
        <v/>
      </c>
      <c r="P1674">
        <f>TEXT(B1674,"yyyy-mm")</f>
        <v/>
      </c>
      <c r="Q1674">
        <f>IF(O1674&gt;=3000,"Large","Small")</f>
        <v/>
      </c>
      <c r="R1674">
        <f>INDEX(Products!$F$2:$F$49,MATCH(J1674,Products!$A$2:$A$49,0))</f>
        <v/>
      </c>
      <c r="S1674">
        <f>WEEKDAY(B1674,2)</f>
        <v/>
      </c>
    </row>
    <row r="1675">
      <c r="A1675" t="n">
        <v>510177</v>
      </c>
      <c r="B1675" s="6" t="n">
        <v>45950</v>
      </c>
      <c r="C1675" t="n">
        <v>14703</v>
      </c>
      <c r="D1675" t="inlineStr">
        <is>
          <t>Ahmedabad</t>
        </is>
      </c>
      <c r="E1675" t="inlineStr">
        <is>
          <t>West</t>
        </is>
      </c>
      <c r="F1675" t="inlineStr">
        <is>
          <t>Organic Search</t>
        </is>
      </c>
      <c r="G1675" t="inlineStr">
        <is>
          <t>Mobile Web</t>
        </is>
      </c>
      <c r="H1675" t="inlineStr">
        <is>
          <t>Cash on Delivery</t>
        </is>
      </c>
      <c r="I1675" t="inlineStr">
        <is>
          <t>Delivered</t>
        </is>
      </c>
      <c r="J1675" t="n">
        <v>118</v>
      </c>
      <c r="K1675" t="n">
        <v>1</v>
      </c>
      <c r="L1675" t="n">
        <v>944</v>
      </c>
      <c r="M1675" t="n">
        <v>94.40000000000001</v>
      </c>
      <c r="N1675">
        <f>VLOOKUP(J1675,Products!$A$2:$C$49,3,FALSE)</f>
        <v/>
      </c>
      <c r="O1675">
        <f>K1675*L1675-M1675</f>
        <v/>
      </c>
      <c r="P1675">
        <f>TEXT(B1675,"yyyy-mm")</f>
        <v/>
      </c>
      <c r="Q1675">
        <f>IF(O1675&gt;=3000,"Large","Small")</f>
        <v/>
      </c>
      <c r="R1675">
        <f>INDEX(Products!$F$2:$F$49,MATCH(J1675,Products!$A$2:$A$49,0))</f>
        <v/>
      </c>
      <c r="S1675">
        <f>WEEKDAY(B1675,2)</f>
        <v/>
      </c>
    </row>
    <row r="1676">
      <c r="A1676" t="n">
        <v>510178</v>
      </c>
      <c r="B1676" s="6" t="n">
        <v>45950</v>
      </c>
      <c r="C1676" t="n">
        <v>16579</v>
      </c>
      <c r="D1676" t="inlineStr">
        <is>
          <t>Kolkata</t>
        </is>
      </c>
      <c r="E1676" t="inlineStr">
        <is>
          <t>East</t>
        </is>
      </c>
      <c r="F1676" t="inlineStr">
        <is>
          <t>Organic Search</t>
        </is>
      </c>
      <c r="G1676" t="inlineStr">
        <is>
          <t>Desktop</t>
        </is>
      </c>
      <c r="H1676" t="inlineStr">
        <is>
          <t>UPI</t>
        </is>
      </c>
      <c r="I1676" t="inlineStr">
        <is>
          <t>Delivered</t>
        </is>
      </c>
      <c r="J1676" t="n">
        <v>109</v>
      </c>
      <c r="K1676" t="n">
        <v>1</v>
      </c>
      <c r="L1676" t="n">
        <v>4199</v>
      </c>
      <c r="M1676" t="n">
        <v>0</v>
      </c>
      <c r="N1676">
        <f>VLOOKUP(J1676,Products!$A$2:$C$49,3,FALSE)</f>
        <v/>
      </c>
      <c r="O1676">
        <f>K1676*L1676-M1676</f>
        <v/>
      </c>
      <c r="P1676">
        <f>TEXT(B1676,"yyyy-mm")</f>
        <v/>
      </c>
      <c r="Q1676">
        <f>IF(O1676&gt;=3000,"Large","Small")</f>
        <v/>
      </c>
      <c r="R1676">
        <f>INDEX(Products!$F$2:$F$49,MATCH(J1676,Products!$A$2:$A$49,0))</f>
        <v/>
      </c>
      <c r="S1676">
        <f>WEEKDAY(B1676,2)</f>
        <v/>
      </c>
    </row>
    <row r="1677">
      <c r="A1677" t="n">
        <v>510179</v>
      </c>
      <c r="B1677" s="6" t="n">
        <v>45950</v>
      </c>
      <c r="C1677" t="n">
        <v>16454</v>
      </c>
      <c r="D1677" t="inlineStr">
        <is>
          <t>Mumbai</t>
        </is>
      </c>
      <c r="E1677" t="inlineStr">
        <is>
          <t>West</t>
        </is>
      </c>
      <c r="F1677" t="inlineStr">
        <is>
          <t>Email</t>
        </is>
      </c>
      <c r="G1677" t="inlineStr">
        <is>
          <t>Desktop</t>
        </is>
      </c>
      <c r="H1677" t="inlineStr">
        <is>
          <t>Credit Card</t>
        </is>
      </c>
      <c r="I1677" t="inlineStr">
        <is>
          <t>Delivered</t>
        </is>
      </c>
      <c r="J1677" t="n">
        <v>122</v>
      </c>
      <c r="K1677" t="n">
        <v>1</v>
      </c>
      <c r="L1677" t="n">
        <v>1994</v>
      </c>
      <c r="M1677" t="n">
        <v>199.4</v>
      </c>
      <c r="N1677">
        <f>VLOOKUP(J1677,Products!$A$2:$C$49,3,FALSE)</f>
        <v/>
      </c>
      <c r="O1677">
        <f>K1677*L1677-M1677</f>
        <v/>
      </c>
      <c r="P1677">
        <f>TEXT(B1677,"yyyy-mm")</f>
        <v/>
      </c>
      <c r="Q1677">
        <f>IF(O1677&gt;=3000,"Large","Small")</f>
        <v/>
      </c>
      <c r="R1677">
        <f>INDEX(Products!$F$2:$F$49,MATCH(J1677,Products!$A$2:$A$49,0))</f>
        <v/>
      </c>
      <c r="S1677">
        <f>WEEKDAY(B1677,2)</f>
        <v/>
      </c>
    </row>
    <row r="1678">
      <c r="A1678" t="n">
        <v>510179</v>
      </c>
      <c r="B1678" s="6" t="n">
        <v>45950</v>
      </c>
      <c r="C1678" t="n">
        <v>16454</v>
      </c>
      <c r="D1678" t="inlineStr">
        <is>
          <t>Mumbai</t>
        </is>
      </c>
      <c r="E1678" t="inlineStr">
        <is>
          <t>West</t>
        </is>
      </c>
      <c r="F1678" t="inlineStr">
        <is>
          <t>Email</t>
        </is>
      </c>
      <c r="G1678" t="inlineStr">
        <is>
          <t>Desktop</t>
        </is>
      </c>
      <c r="H1678" t="inlineStr">
        <is>
          <t>Credit Card</t>
        </is>
      </c>
      <c r="I1678" t="inlineStr">
        <is>
          <t>Delivered</t>
        </is>
      </c>
      <c r="J1678" t="n">
        <v>112</v>
      </c>
      <c r="K1678" t="n">
        <v>1</v>
      </c>
      <c r="L1678" t="n">
        <v>1574</v>
      </c>
      <c r="M1678" t="n">
        <v>157.4</v>
      </c>
      <c r="N1678">
        <f>VLOOKUP(J1678,Products!$A$2:$C$49,3,FALSE)</f>
        <v/>
      </c>
      <c r="O1678">
        <f>K1678*L1678-M1678</f>
        <v/>
      </c>
      <c r="P1678">
        <f>TEXT(B1678,"yyyy-mm")</f>
        <v/>
      </c>
      <c r="Q1678">
        <f>IF(O1678&gt;=3000,"Large","Small")</f>
        <v/>
      </c>
      <c r="R1678">
        <f>INDEX(Products!$F$2:$F$49,MATCH(J1678,Products!$A$2:$A$49,0))</f>
        <v/>
      </c>
      <c r="S1678">
        <f>WEEKDAY(B1678,2)</f>
        <v/>
      </c>
    </row>
    <row r="1679">
      <c r="A1679" t="n">
        <v>510180</v>
      </c>
      <c r="B1679" s="6" t="n">
        <v>45950</v>
      </c>
      <c r="C1679" t="n">
        <v>15088</v>
      </c>
      <c r="D1679" t="inlineStr">
        <is>
          <t>Delhi</t>
        </is>
      </c>
      <c r="E1679" t="inlineStr">
        <is>
          <t>North</t>
        </is>
      </c>
      <c r="F1679" t="inlineStr">
        <is>
          <t>Organic Search</t>
        </is>
      </c>
      <c r="G1679" t="inlineStr">
        <is>
          <t>Mobile App</t>
        </is>
      </c>
      <c r="H1679" t="inlineStr">
        <is>
          <t>UPI</t>
        </is>
      </c>
      <c r="I1679" t="inlineStr">
        <is>
          <t>Cancelled</t>
        </is>
      </c>
      <c r="J1679" t="n">
        <v>137</v>
      </c>
      <c r="K1679" t="n">
        <v>1</v>
      </c>
      <c r="L1679" t="n">
        <v>261</v>
      </c>
      <c r="M1679" t="n">
        <v>26.1</v>
      </c>
      <c r="N1679">
        <f>VLOOKUP(J1679,Products!$A$2:$C$49,3,FALSE)</f>
        <v/>
      </c>
      <c r="O1679">
        <f>K1679*L1679-M1679</f>
        <v/>
      </c>
      <c r="P1679">
        <f>TEXT(B1679,"yyyy-mm")</f>
        <v/>
      </c>
      <c r="Q1679">
        <f>IF(O1679&gt;=3000,"Large","Small")</f>
        <v/>
      </c>
      <c r="R1679">
        <f>INDEX(Products!$F$2:$F$49,MATCH(J1679,Products!$A$2:$A$49,0))</f>
        <v/>
      </c>
      <c r="S1679">
        <f>WEEKDAY(B1679,2)</f>
        <v/>
      </c>
    </row>
    <row r="1680">
      <c r="A1680" t="n">
        <v>510180</v>
      </c>
      <c r="B1680" s="6" t="n">
        <v>45950</v>
      </c>
      <c r="C1680" t="n">
        <v>15088</v>
      </c>
      <c r="D1680" t="inlineStr">
        <is>
          <t>Delhi</t>
        </is>
      </c>
      <c r="E1680" t="inlineStr">
        <is>
          <t>North</t>
        </is>
      </c>
      <c r="F1680" t="inlineStr">
        <is>
          <t>Organic Search</t>
        </is>
      </c>
      <c r="G1680" t="inlineStr">
        <is>
          <t>Mobile App</t>
        </is>
      </c>
      <c r="H1680" t="inlineStr">
        <is>
          <t>UPI</t>
        </is>
      </c>
      <c r="I1680" t="inlineStr">
        <is>
          <t>Cancelled</t>
        </is>
      </c>
      <c r="J1680" t="n">
        <v>104</v>
      </c>
      <c r="K1680" t="n">
        <v>1</v>
      </c>
      <c r="L1680" t="n">
        <v>5249</v>
      </c>
      <c r="M1680" t="n">
        <v>524.9</v>
      </c>
      <c r="N1680">
        <f>VLOOKUP(J1680,Products!$A$2:$C$49,3,FALSE)</f>
        <v/>
      </c>
      <c r="O1680">
        <f>K1680*L1680-M1680</f>
        <v/>
      </c>
      <c r="P1680">
        <f>TEXT(B1680,"yyyy-mm")</f>
        <v/>
      </c>
      <c r="Q1680">
        <f>IF(O1680&gt;=3000,"Large","Small")</f>
        <v/>
      </c>
      <c r="R1680">
        <f>INDEX(Products!$F$2:$F$49,MATCH(J1680,Products!$A$2:$A$49,0))</f>
        <v/>
      </c>
      <c r="S1680">
        <f>WEEKDAY(B1680,2)</f>
        <v/>
      </c>
    </row>
    <row r="1681">
      <c r="A1681" t="n">
        <v>510180</v>
      </c>
      <c r="B1681" s="6" t="n">
        <v>45950</v>
      </c>
      <c r="C1681" t="n">
        <v>15088</v>
      </c>
      <c r="D1681" t="inlineStr">
        <is>
          <t>Delhi</t>
        </is>
      </c>
      <c r="E1681" t="inlineStr">
        <is>
          <t>North</t>
        </is>
      </c>
      <c r="F1681" t="inlineStr">
        <is>
          <t>Organic Search</t>
        </is>
      </c>
      <c r="G1681" t="inlineStr">
        <is>
          <t>Mobile App</t>
        </is>
      </c>
      <c r="H1681" t="inlineStr">
        <is>
          <t>UPI</t>
        </is>
      </c>
      <c r="I1681" t="inlineStr">
        <is>
          <t>Cancelled</t>
        </is>
      </c>
      <c r="J1681" t="n">
        <v>103</v>
      </c>
      <c r="K1681" t="n">
        <v>1</v>
      </c>
      <c r="L1681" t="n">
        <v>2624</v>
      </c>
      <c r="M1681" t="n">
        <v>262.4</v>
      </c>
      <c r="N1681">
        <f>VLOOKUP(J1681,Products!$A$2:$C$49,3,FALSE)</f>
        <v/>
      </c>
      <c r="O1681">
        <f>K1681*L1681-M1681</f>
        <v/>
      </c>
      <c r="P1681">
        <f>TEXT(B1681,"yyyy-mm")</f>
        <v/>
      </c>
      <c r="Q1681">
        <f>IF(O1681&gt;=3000,"Large","Small")</f>
        <v/>
      </c>
      <c r="R1681">
        <f>INDEX(Products!$F$2:$F$49,MATCH(J1681,Products!$A$2:$A$49,0))</f>
        <v/>
      </c>
      <c r="S1681">
        <f>WEEKDAY(B1681,2)</f>
        <v/>
      </c>
    </row>
    <row r="1682">
      <c r="A1682" t="n">
        <v>510180</v>
      </c>
      <c r="B1682" s="6" t="n">
        <v>45950</v>
      </c>
      <c r="C1682" t="n">
        <v>15088</v>
      </c>
      <c r="D1682" t="inlineStr">
        <is>
          <t>Delhi</t>
        </is>
      </c>
      <c r="E1682" t="inlineStr">
        <is>
          <t>North</t>
        </is>
      </c>
      <c r="F1682" t="inlineStr">
        <is>
          <t>Organic Search</t>
        </is>
      </c>
      <c r="G1682" t="inlineStr">
        <is>
          <t>Mobile App</t>
        </is>
      </c>
      <c r="H1682" t="inlineStr">
        <is>
          <t>UPI</t>
        </is>
      </c>
      <c r="I1682" t="inlineStr">
        <is>
          <t>Cancelled</t>
        </is>
      </c>
      <c r="J1682" t="n">
        <v>129</v>
      </c>
      <c r="K1682" t="n">
        <v>1</v>
      </c>
      <c r="L1682" t="n">
        <v>576</v>
      </c>
      <c r="M1682" t="n">
        <v>57.6</v>
      </c>
      <c r="N1682">
        <f>VLOOKUP(J1682,Products!$A$2:$C$49,3,FALSE)</f>
        <v/>
      </c>
      <c r="O1682">
        <f>K1682*L1682-M1682</f>
        <v/>
      </c>
      <c r="P1682">
        <f>TEXT(B1682,"yyyy-mm")</f>
        <v/>
      </c>
      <c r="Q1682">
        <f>IF(O1682&gt;=3000,"Large","Small")</f>
        <v/>
      </c>
      <c r="R1682">
        <f>INDEX(Products!$F$2:$F$49,MATCH(J1682,Products!$A$2:$A$49,0))</f>
        <v/>
      </c>
      <c r="S1682">
        <f>WEEKDAY(B1682,2)</f>
        <v/>
      </c>
    </row>
    <row r="1683">
      <c r="A1683" t="n">
        <v>510181</v>
      </c>
      <c r="B1683" s="6" t="n">
        <v>45950</v>
      </c>
      <c r="C1683" t="n">
        <v>11727</v>
      </c>
      <c r="D1683" t="inlineStr">
        <is>
          <t>Mumbai</t>
        </is>
      </c>
      <c r="E1683" t="inlineStr">
        <is>
          <t>West</t>
        </is>
      </c>
      <c r="F1683" t="inlineStr">
        <is>
          <t>Paid Social</t>
        </is>
      </c>
      <c r="G1683" t="inlineStr">
        <is>
          <t>Mobile App</t>
        </is>
      </c>
      <c r="H1683" t="inlineStr">
        <is>
          <t>UPI</t>
        </is>
      </c>
      <c r="I1683" t="inlineStr">
        <is>
          <t>Delivered</t>
        </is>
      </c>
      <c r="J1683" t="n">
        <v>118</v>
      </c>
      <c r="K1683" t="n">
        <v>1</v>
      </c>
      <c r="L1683" t="n">
        <v>944</v>
      </c>
      <c r="M1683" t="n">
        <v>0</v>
      </c>
      <c r="N1683">
        <f>VLOOKUP(J1683,Products!$A$2:$C$49,3,FALSE)</f>
        <v/>
      </c>
      <c r="O1683">
        <f>K1683*L1683-M1683</f>
        <v/>
      </c>
      <c r="P1683">
        <f>TEXT(B1683,"yyyy-mm")</f>
        <v/>
      </c>
      <c r="Q1683">
        <f>IF(O1683&gt;=3000,"Large","Small")</f>
        <v/>
      </c>
      <c r="R1683">
        <f>INDEX(Products!$F$2:$F$49,MATCH(J1683,Products!$A$2:$A$49,0))</f>
        <v/>
      </c>
      <c r="S1683">
        <f>WEEKDAY(B1683,2)</f>
        <v/>
      </c>
    </row>
    <row r="1684">
      <c r="A1684" t="n">
        <v>510182</v>
      </c>
      <c r="B1684" s="6" t="n">
        <v>45950</v>
      </c>
      <c r="C1684" t="n">
        <v>16941</v>
      </c>
      <c r="D1684" t="inlineStr">
        <is>
          <t>Delhi</t>
        </is>
      </c>
      <c r="E1684" t="inlineStr">
        <is>
          <t>North</t>
        </is>
      </c>
      <c r="F1684" t="inlineStr">
        <is>
          <t>Referral</t>
        </is>
      </c>
      <c r="G1684" t="inlineStr">
        <is>
          <t>Mobile App</t>
        </is>
      </c>
      <c r="H1684" t="inlineStr">
        <is>
          <t>Debit Card</t>
        </is>
      </c>
      <c r="I1684" t="inlineStr">
        <is>
          <t>Delivered</t>
        </is>
      </c>
      <c r="J1684" t="n">
        <v>139</v>
      </c>
      <c r="K1684" t="n">
        <v>1</v>
      </c>
      <c r="L1684" t="n">
        <v>366</v>
      </c>
      <c r="M1684" t="n">
        <v>0</v>
      </c>
      <c r="N1684">
        <f>VLOOKUP(J1684,Products!$A$2:$C$49,3,FALSE)</f>
        <v/>
      </c>
      <c r="O1684">
        <f>K1684*L1684-M1684</f>
        <v/>
      </c>
      <c r="P1684">
        <f>TEXT(B1684,"yyyy-mm")</f>
        <v/>
      </c>
      <c r="Q1684">
        <f>IF(O1684&gt;=3000,"Large","Small")</f>
        <v/>
      </c>
      <c r="R1684">
        <f>INDEX(Products!$F$2:$F$49,MATCH(J1684,Products!$A$2:$A$49,0))</f>
        <v/>
      </c>
      <c r="S1684">
        <f>WEEKDAY(B1684,2)</f>
        <v/>
      </c>
    </row>
    <row r="1685">
      <c r="A1685" t="n">
        <v>510183</v>
      </c>
      <c r="B1685" s="6" t="n">
        <v>45950</v>
      </c>
      <c r="C1685" t="n">
        <v>16942</v>
      </c>
      <c r="D1685" t="inlineStr">
        <is>
          <t>Bengaluru</t>
        </is>
      </c>
      <c r="E1685" t="inlineStr">
        <is>
          <t>South</t>
        </is>
      </c>
      <c r="F1685" t="inlineStr">
        <is>
          <t>Email</t>
        </is>
      </c>
      <c r="G1685" t="inlineStr">
        <is>
          <t>Mobile App</t>
        </is>
      </c>
      <c r="H1685" t="inlineStr">
        <is>
          <t>Debit Card</t>
        </is>
      </c>
      <c r="I1685" t="inlineStr">
        <is>
          <t>Delivered</t>
        </is>
      </c>
      <c r="J1685" t="n">
        <v>118</v>
      </c>
      <c r="K1685" t="n">
        <v>1</v>
      </c>
      <c r="L1685" t="n">
        <v>944</v>
      </c>
      <c r="M1685" t="n">
        <v>141.6</v>
      </c>
      <c r="N1685">
        <f>VLOOKUP(J1685,Products!$A$2:$C$49,3,FALSE)</f>
        <v/>
      </c>
      <c r="O1685">
        <f>K1685*L1685-M1685</f>
        <v/>
      </c>
      <c r="P1685">
        <f>TEXT(B1685,"yyyy-mm")</f>
        <v/>
      </c>
      <c r="Q1685">
        <f>IF(O1685&gt;=3000,"Large","Small")</f>
        <v/>
      </c>
      <c r="R1685">
        <f>INDEX(Products!$F$2:$F$49,MATCH(J1685,Products!$A$2:$A$49,0))</f>
        <v/>
      </c>
      <c r="S1685">
        <f>WEEKDAY(B1685,2)</f>
        <v/>
      </c>
    </row>
    <row r="1686">
      <c r="A1686" t="n">
        <v>510183</v>
      </c>
      <c r="B1686" s="6" t="n">
        <v>45950</v>
      </c>
      <c r="C1686" t="n">
        <v>16942</v>
      </c>
      <c r="D1686" t="inlineStr">
        <is>
          <t>Bengaluru</t>
        </is>
      </c>
      <c r="E1686" t="inlineStr">
        <is>
          <t>South</t>
        </is>
      </c>
      <c r="F1686" t="inlineStr">
        <is>
          <t>Email</t>
        </is>
      </c>
      <c r="G1686" t="inlineStr">
        <is>
          <t>Mobile App</t>
        </is>
      </c>
      <c r="H1686" t="inlineStr">
        <is>
          <t>Debit Card</t>
        </is>
      </c>
      <c r="I1686" t="inlineStr">
        <is>
          <t>Delivered</t>
        </is>
      </c>
      <c r="J1686" t="n">
        <v>111</v>
      </c>
      <c r="K1686" t="n">
        <v>1</v>
      </c>
      <c r="L1686" t="n">
        <v>524</v>
      </c>
      <c r="M1686" t="n">
        <v>78.59999999999999</v>
      </c>
      <c r="N1686">
        <f>VLOOKUP(J1686,Products!$A$2:$C$49,3,FALSE)</f>
        <v/>
      </c>
      <c r="O1686">
        <f>K1686*L1686-M1686</f>
        <v/>
      </c>
      <c r="P1686">
        <f>TEXT(B1686,"yyyy-mm")</f>
        <v/>
      </c>
      <c r="Q1686">
        <f>IF(O1686&gt;=3000,"Large","Small")</f>
        <v/>
      </c>
      <c r="R1686">
        <f>INDEX(Products!$F$2:$F$49,MATCH(J1686,Products!$A$2:$A$49,0))</f>
        <v/>
      </c>
      <c r="S1686">
        <f>WEEKDAY(B1686,2)</f>
        <v/>
      </c>
    </row>
    <row r="1687">
      <c r="A1687" t="n">
        <v>510183</v>
      </c>
      <c r="B1687" s="6" t="n">
        <v>45950</v>
      </c>
      <c r="C1687" t="n">
        <v>16942</v>
      </c>
      <c r="D1687" t="inlineStr">
        <is>
          <t>Bengaluru</t>
        </is>
      </c>
      <c r="E1687" t="inlineStr">
        <is>
          <t>South</t>
        </is>
      </c>
      <c r="F1687" t="inlineStr">
        <is>
          <t>Email</t>
        </is>
      </c>
      <c r="G1687" t="inlineStr">
        <is>
          <t>Mobile App</t>
        </is>
      </c>
      <c r="H1687" t="inlineStr">
        <is>
          <t>Debit Card</t>
        </is>
      </c>
      <c r="I1687" t="inlineStr">
        <is>
          <t>Delivered</t>
        </is>
      </c>
      <c r="J1687" t="n">
        <v>129</v>
      </c>
      <c r="K1687" t="n">
        <v>1</v>
      </c>
      <c r="L1687" t="n">
        <v>576</v>
      </c>
      <c r="M1687" t="n">
        <v>86.40000000000001</v>
      </c>
      <c r="N1687">
        <f>VLOOKUP(J1687,Products!$A$2:$C$49,3,FALSE)</f>
        <v/>
      </c>
      <c r="O1687">
        <f>K1687*L1687-M1687</f>
        <v/>
      </c>
      <c r="P1687">
        <f>TEXT(B1687,"yyyy-mm")</f>
        <v/>
      </c>
      <c r="Q1687">
        <f>IF(O1687&gt;=3000,"Large","Small")</f>
        <v/>
      </c>
      <c r="R1687">
        <f>INDEX(Products!$F$2:$F$49,MATCH(J1687,Products!$A$2:$A$49,0))</f>
        <v/>
      </c>
      <c r="S1687">
        <f>WEEKDAY(B1687,2)</f>
        <v/>
      </c>
    </row>
    <row r="1688">
      <c r="A1688" t="n">
        <v>510184</v>
      </c>
      <c r="B1688" s="6" t="n">
        <v>45950</v>
      </c>
      <c r="C1688" t="n">
        <v>14498</v>
      </c>
      <c r="D1688" t="inlineStr">
        <is>
          <t>Bengaluru</t>
        </is>
      </c>
      <c r="E1688" t="inlineStr">
        <is>
          <t>South</t>
        </is>
      </c>
      <c r="F1688" t="inlineStr">
        <is>
          <t>Organic Search</t>
        </is>
      </c>
      <c r="G1688" t="inlineStr">
        <is>
          <t>Desktop</t>
        </is>
      </c>
      <c r="H1688" t="inlineStr">
        <is>
          <t>Debit Card</t>
        </is>
      </c>
      <c r="I1688" t="inlineStr">
        <is>
          <t>Delivered</t>
        </is>
      </c>
      <c r="J1688" t="n">
        <v>120</v>
      </c>
      <c r="K1688" t="n">
        <v>1</v>
      </c>
      <c r="L1688" t="n">
        <v>734</v>
      </c>
      <c r="M1688" t="n">
        <v>73.40000000000001</v>
      </c>
      <c r="N1688">
        <f>VLOOKUP(J1688,Products!$A$2:$C$49,3,FALSE)</f>
        <v/>
      </c>
      <c r="O1688">
        <f>K1688*L1688-M1688</f>
        <v/>
      </c>
      <c r="P1688">
        <f>TEXT(B1688,"yyyy-mm")</f>
        <v/>
      </c>
      <c r="Q1688">
        <f>IF(O1688&gt;=3000,"Large","Small")</f>
        <v/>
      </c>
      <c r="R1688">
        <f>INDEX(Products!$F$2:$F$49,MATCH(J1688,Products!$A$2:$A$49,0))</f>
        <v/>
      </c>
      <c r="S1688">
        <f>WEEKDAY(B1688,2)</f>
        <v/>
      </c>
    </row>
    <row r="1689">
      <c r="A1689" t="n">
        <v>510184</v>
      </c>
      <c r="B1689" s="6" t="n">
        <v>45950</v>
      </c>
      <c r="C1689" t="n">
        <v>14498</v>
      </c>
      <c r="D1689" t="inlineStr">
        <is>
          <t>Bengaluru</t>
        </is>
      </c>
      <c r="E1689" t="inlineStr">
        <is>
          <t>South</t>
        </is>
      </c>
      <c r="F1689" t="inlineStr">
        <is>
          <t>Organic Search</t>
        </is>
      </c>
      <c r="G1689" t="inlineStr">
        <is>
          <t>Desktop</t>
        </is>
      </c>
      <c r="H1689" t="inlineStr">
        <is>
          <t>Debit Card</t>
        </is>
      </c>
      <c r="I1689" t="inlineStr">
        <is>
          <t>Delivered</t>
        </is>
      </c>
      <c r="J1689" t="n">
        <v>103</v>
      </c>
      <c r="K1689" t="n">
        <v>1</v>
      </c>
      <c r="L1689" t="n">
        <v>2624</v>
      </c>
      <c r="M1689" t="n">
        <v>262.4</v>
      </c>
      <c r="N1689">
        <f>VLOOKUP(J1689,Products!$A$2:$C$49,3,FALSE)</f>
        <v/>
      </c>
      <c r="O1689">
        <f>K1689*L1689-M1689</f>
        <v/>
      </c>
      <c r="P1689">
        <f>TEXT(B1689,"yyyy-mm")</f>
        <v/>
      </c>
      <c r="Q1689">
        <f>IF(O1689&gt;=3000,"Large","Small")</f>
        <v/>
      </c>
      <c r="R1689">
        <f>INDEX(Products!$F$2:$F$49,MATCH(J1689,Products!$A$2:$A$49,0))</f>
        <v/>
      </c>
      <c r="S1689">
        <f>WEEKDAY(B1689,2)</f>
        <v/>
      </c>
    </row>
    <row r="1690">
      <c r="A1690" t="n">
        <v>510184</v>
      </c>
      <c r="B1690" s="6" t="n">
        <v>45950</v>
      </c>
      <c r="C1690" t="n">
        <v>14498</v>
      </c>
      <c r="D1690" t="inlineStr">
        <is>
          <t>Bengaluru</t>
        </is>
      </c>
      <c r="E1690" t="inlineStr">
        <is>
          <t>South</t>
        </is>
      </c>
      <c r="F1690" t="inlineStr">
        <is>
          <t>Organic Search</t>
        </is>
      </c>
      <c r="G1690" t="inlineStr">
        <is>
          <t>Desktop</t>
        </is>
      </c>
      <c r="H1690" t="inlineStr">
        <is>
          <t>Debit Card</t>
        </is>
      </c>
      <c r="I1690" t="inlineStr">
        <is>
          <t>Delivered</t>
        </is>
      </c>
      <c r="J1690" t="n">
        <v>129</v>
      </c>
      <c r="K1690" t="n">
        <v>1</v>
      </c>
      <c r="L1690" t="n">
        <v>576</v>
      </c>
      <c r="M1690" t="n">
        <v>57.6</v>
      </c>
      <c r="N1690">
        <f>VLOOKUP(J1690,Products!$A$2:$C$49,3,FALSE)</f>
        <v/>
      </c>
      <c r="O1690">
        <f>K1690*L1690-M1690</f>
        <v/>
      </c>
      <c r="P1690">
        <f>TEXT(B1690,"yyyy-mm")</f>
        <v/>
      </c>
      <c r="Q1690">
        <f>IF(O1690&gt;=3000,"Large","Small")</f>
        <v/>
      </c>
      <c r="R1690">
        <f>INDEX(Products!$F$2:$F$49,MATCH(J1690,Products!$A$2:$A$49,0))</f>
        <v/>
      </c>
      <c r="S1690">
        <f>WEEKDAY(B1690,2)</f>
        <v/>
      </c>
    </row>
    <row r="1691">
      <c r="A1691" t="n">
        <v>510185</v>
      </c>
      <c r="B1691" s="6" t="n">
        <v>45950</v>
      </c>
      <c r="C1691" t="n">
        <v>16576</v>
      </c>
      <c r="D1691" t="inlineStr">
        <is>
          <t>Mumbai</t>
        </is>
      </c>
      <c r="E1691" t="inlineStr">
        <is>
          <t>West</t>
        </is>
      </c>
      <c r="F1691" t="inlineStr">
        <is>
          <t>Referral</t>
        </is>
      </c>
      <c r="G1691" t="inlineStr">
        <is>
          <t>Mobile App</t>
        </is>
      </c>
      <c r="H1691" t="inlineStr">
        <is>
          <t>Net Banking</t>
        </is>
      </c>
      <c r="I1691" t="inlineStr">
        <is>
          <t>Delivered</t>
        </is>
      </c>
      <c r="J1691" t="n">
        <v>121</v>
      </c>
      <c r="K1691" t="n">
        <v>1</v>
      </c>
      <c r="L1691" t="n">
        <v>2939</v>
      </c>
      <c r="M1691" t="n">
        <v>0</v>
      </c>
      <c r="N1691">
        <f>VLOOKUP(J1691,Products!$A$2:$C$49,3,FALSE)</f>
        <v/>
      </c>
      <c r="O1691">
        <f>K1691*L1691-M1691</f>
        <v/>
      </c>
      <c r="P1691">
        <f>TEXT(B1691,"yyyy-mm")</f>
        <v/>
      </c>
      <c r="Q1691">
        <f>IF(O1691&gt;=3000,"Large","Small")</f>
        <v/>
      </c>
      <c r="R1691">
        <f>INDEX(Products!$F$2:$F$49,MATCH(J1691,Products!$A$2:$A$49,0))</f>
        <v/>
      </c>
      <c r="S1691">
        <f>WEEKDAY(B1691,2)</f>
        <v/>
      </c>
    </row>
    <row r="1692">
      <c r="A1692" t="n">
        <v>510185</v>
      </c>
      <c r="B1692" s="6" t="n">
        <v>45950</v>
      </c>
      <c r="C1692" t="n">
        <v>16576</v>
      </c>
      <c r="D1692" t="inlineStr">
        <is>
          <t>Mumbai</t>
        </is>
      </c>
      <c r="E1692" t="inlineStr">
        <is>
          <t>West</t>
        </is>
      </c>
      <c r="F1692" t="inlineStr">
        <is>
          <t>Referral</t>
        </is>
      </c>
      <c r="G1692" t="inlineStr">
        <is>
          <t>Mobile App</t>
        </is>
      </c>
      <c r="H1692" t="inlineStr">
        <is>
          <t>Net Banking</t>
        </is>
      </c>
      <c r="I1692" t="inlineStr">
        <is>
          <t>Delivered</t>
        </is>
      </c>
      <c r="J1692" t="n">
        <v>104</v>
      </c>
      <c r="K1692" t="n">
        <v>1</v>
      </c>
      <c r="L1692" t="n">
        <v>5249</v>
      </c>
      <c r="M1692" t="n">
        <v>0</v>
      </c>
      <c r="N1692">
        <f>VLOOKUP(J1692,Products!$A$2:$C$49,3,FALSE)</f>
        <v/>
      </c>
      <c r="O1692">
        <f>K1692*L1692-M1692</f>
        <v/>
      </c>
      <c r="P1692">
        <f>TEXT(B1692,"yyyy-mm")</f>
        <v/>
      </c>
      <c r="Q1692">
        <f>IF(O1692&gt;=3000,"Large","Small")</f>
        <v/>
      </c>
      <c r="R1692">
        <f>INDEX(Products!$F$2:$F$49,MATCH(J1692,Products!$A$2:$A$49,0))</f>
        <v/>
      </c>
      <c r="S1692">
        <f>WEEKDAY(B1692,2)</f>
        <v/>
      </c>
    </row>
    <row r="1693">
      <c r="A1693" t="n">
        <v>510186</v>
      </c>
      <c r="B1693" s="6" t="n">
        <v>45950</v>
      </c>
      <c r="C1693" t="n">
        <v>16692</v>
      </c>
      <c r="D1693" t="inlineStr">
        <is>
          <t>Pune</t>
        </is>
      </c>
      <c r="E1693" t="inlineStr">
        <is>
          <t>West</t>
        </is>
      </c>
      <c r="F1693" t="inlineStr">
        <is>
          <t>Referral</t>
        </is>
      </c>
      <c r="G1693" t="inlineStr">
        <is>
          <t>Mobile App</t>
        </is>
      </c>
      <c r="H1693" t="inlineStr">
        <is>
          <t>Cash on Delivery</t>
        </is>
      </c>
      <c r="I1693" t="inlineStr">
        <is>
          <t>Cancelled</t>
        </is>
      </c>
      <c r="J1693" t="n">
        <v>127</v>
      </c>
      <c r="K1693" t="n">
        <v>1</v>
      </c>
      <c r="L1693" t="n">
        <v>681</v>
      </c>
      <c r="M1693" t="n">
        <v>68.09999999999999</v>
      </c>
      <c r="N1693">
        <f>VLOOKUP(J1693,Products!$A$2:$C$49,3,FALSE)</f>
        <v/>
      </c>
      <c r="O1693">
        <f>K1693*L1693-M1693</f>
        <v/>
      </c>
      <c r="P1693">
        <f>TEXT(B1693,"yyyy-mm")</f>
        <v/>
      </c>
      <c r="Q1693">
        <f>IF(O1693&gt;=3000,"Large","Small")</f>
        <v/>
      </c>
      <c r="R1693">
        <f>INDEX(Products!$F$2:$F$49,MATCH(J1693,Products!$A$2:$A$49,0))</f>
        <v/>
      </c>
      <c r="S1693">
        <f>WEEKDAY(B1693,2)</f>
        <v/>
      </c>
    </row>
    <row r="1694">
      <c r="A1694" t="n">
        <v>510186</v>
      </c>
      <c r="B1694" s="6" t="n">
        <v>45950</v>
      </c>
      <c r="C1694" t="n">
        <v>16692</v>
      </c>
      <c r="D1694" t="inlineStr">
        <is>
          <t>Pune</t>
        </is>
      </c>
      <c r="E1694" t="inlineStr">
        <is>
          <t>West</t>
        </is>
      </c>
      <c r="F1694" t="inlineStr">
        <is>
          <t>Referral</t>
        </is>
      </c>
      <c r="G1694" t="inlineStr">
        <is>
          <t>Mobile App</t>
        </is>
      </c>
      <c r="H1694" t="inlineStr">
        <is>
          <t>Cash on Delivery</t>
        </is>
      </c>
      <c r="I1694" t="inlineStr">
        <is>
          <t>Cancelled</t>
        </is>
      </c>
      <c r="J1694" t="n">
        <v>134</v>
      </c>
      <c r="K1694" t="n">
        <v>1</v>
      </c>
      <c r="L1694" t="n">
        <v>209</v>
      </c>
      <c r="M1694" t="n">
        <v>20.9</v>
      </c>
      <c r="N1694">
        <f>VLOOKUP(J1694,Products!$A$2:$C$49,3,FALSE)</f>
        <v/>
      </c>
      <c r="O1694">
        <f>K1694*L1694-M1694</f>
        <v/>
      </c>
      <c r="P1694">
        <f>TEXT(B1694,"yyyy-mm")</f>
        <v/>
      </c>
      <c r="Q1694">
        <f>IF(O1694&gt;=3000,"Large","Small")</f>
        <v/>
      </c>
      <c r="R1694">
        <f>INDEX(Products!$F$2:$F$49,MATCH(J1694,Products!$A$2:$A$49,0))</f>
        <v/>
      </c>
      <c r="S1694">
        <f>WEEKDAY(B1694,2)</f>
        <v/>
      </c>
    </row>
    <row r="1695">
      <c r="A1695" t="n">
        <v>510187</v>
      </c>
      <c r="B1695" s="6" t="n">
        <v>45950</v>
      </c>
      <c r="C1695" t="n">
        <v>11550</v>
      </c>
      <c r="D1695" t="inlineStr">
        <is>
          <t>Delhi</t>
        </is>
      </c>
      <c r="E1695" t="inlineStr">
        <is>
          <t>North</t>
        </is>
      </c>
      <c r="F1695" t="inlineStr">
        <is>
          <t>Referral</t>
        </is>
      </c>
      <c r="G1695" t="inlineStr">
        <is>
          <t>Mobile App</t>
        </is>
      </c>
      <c r="H1695" t="inlineStr">
        <is>
          <t>Credit Card</t>
        </is>
      </c>
      <c r="I1695" t="inlineStr">
        <is>
          <t>Delivered</t>
        </is>
      </c>
      <c r="J1695" t="n">
        <v>111</v>
      </c>
      <c r="K1695" t="n">
        <v>1</v>
      </c>
      <c r="L1695" t="n">
        <v>524</v>
      </c>
      <c r="M1695" t="n">
        <v>52.4</v>
      </c>
      <c r="N1695">
        <f>VLOOKUP(J1695,Products!$A$2:$C$49,3,FALSE)</f>
        <v/>
      </c>
      <c r="O1695">
        <f>K1695*L1695-M1695</f>
        <v/>
      </c>
      <c r="P1695">
        <f>TEXT(B1695,"yyyy-mm")</f>
        <v/>
      </c>
      <c r="Q1695">
        <f>IF(O1695&gt;=3000,"Large","Small")</f>
        <v/>
      </c>
      <c r="R1695">
        <f>INDEX(Products!$F$2:$F$49,MATCH(J1695,Products!$A$2:$A$49,0))</f>
        <v/>
      </c>
      <c r="S1695">
        <f>WEEKDAY(B1695,2)</f>
        <v/>
      </c>
    </row>
    <row r="1696">
      <c r="A1696" t="n">
        <v>510188</v>
      </c>
      <c r="B1696" s="6" t="n">
        <v>45950</v>
      </c>
      <c r="C1696" t="n">
        <v>10867</v>
      </c>
      <c r="D1696" t="inlineStr">
        <is>
          <t>Gurugram</t>
        </is>
      </c>
      <c r="E1696" t="inlineStr">
        <is>
          <t>North</t>
        </is>
      </c>
      <c r="F1696" t="inlineStr">
        <is>
          <t>Paid Social</t>
        </is>
      </c>
      <c r="G1696" t="inlineStr">
        <is>
          <t>Desktop</t>
        </is>
      </c>
      <c r="H1696" t="inlineStr">
        <is>
          <t>UPI</t>
        </is>
      </c>
      <c r="I1696" t="inlineStr">
        <is>
          <t>Delivered</t>
        </is>
      </c>
      <c r="J1696" t="n">
        <v>127</v>
      </c>
      <c r="K1696" t="n">
        <v>1</v>
      </c>
      <c r="L1696" t="n">
        <v>681</v>
      </c>
      <c r="M1696" t="n">
        <v>0</v>
      </c>
      <c r="N1696">
        <f>VLOOKUP(J1696,Products!$A$2:$C$49,3,FALSE)</f>
        <v/>
      </c>
      <c r="O1696">
        <f>K1696*L1696-M1696</f>
        <v/>
      </c>
      <c r="P1696">
        <f>TEXT(B1696,"yyyy-mm")</f>
        <v/>
      </c>
      <c r="Q1696">
        <f>IF(O1696&gt;=3000,"Large","Small")</f>
        <v/>
      </c>
      <c r="R1696">
        <f>INDEX(Products!$F$2:$F$49,MATCH(J1696,Products!$A$2:$A$49,0))</f>
        <v/>
      </c>
      <c r="S1696">
        <f>WEEKDAY(B1696,2)</f>
        <v/>
      </c>
    </row>
    <row r="1697">
      <c r="A1697" t="n">
        <v>510189</v>
      </c>
      <c r="B1697" s="6" t="n">
        <v>45950</v>
      </c>
      <c r="C1697" t="n">
        <v>13651</v>
      </c>
      <c r="D1697" t="inlineStr">
        <is>
          <t>Kolkata</t>
        </is>
      </c>
      <c r="E1697" t="inlineStr">
        <is>
          <t>East</t>
        </is>
      </c>
      <c r="F1697" t="inlineStr">
        <is>
          <t>Organic Search</t>
        </is>
      </c>
      <c r="G1697" t="inlineStr">
        <is>
          <t>Mobile App</t>
        </is>
      </c>
      <c r="H1697" t="inlineStr">
        <is>
          <t>Debit Card</t>
        </is>
      </c>
      <c r="I1697" t="inlineStr">
        <is>
          <t>Delivered</t>
        </is>
      </c>
      <c r="J1697" t="n">
        <v>118</v>
      </c>
      <c r="K1697" t="n">
        <v>1</v>
      </c>
      <c r="L1697" t="n">
        <v>944</v>
      </c>
      <c r="M1697" t="n">
        <v>0</v>
      </c>
      <c r="N1697">
        <f>VLOOKUP(J1697,Products!$A$2:$C$49,3,FALSE)</f>
        <v/>
      </c>
      <c r="O1697">
        <f>K1697*L1697-M1697</f>
        <v/>
      </c>
      <c r="P1697">
        <f>TEXT(B1697,"yyyy-mm")</f>
        <v/>
      </c>
      <c r="Q1697">
        <f>IF(O1697&gt;=3000,"Large","Small")</f>
        <v/>
      </c>
      <c r="R1697">
        <f>INDEX(Products!$F$2:$F$49,MATCH(J1697,Products!$A$2:$A$49,0))</f>
        <v/>
      </c>
      <c r="S1697">
        <f>WEEKDAY(B1697,2)</f>
        <v/>
      </c>
    </row>
    <row r="1698">
      <c r="A1698" t="n">
        <v>510189</v>
      </c>
      <c r="B1698" s="6" t="n">
        <v>45950</v>
      </c>
      <c r="C1698" t="n">
        <v>13651</v>
      </c>
      <c r="D1698" t="inlineStr">
        <is>
          <t>Kolkata</t>
        </is>
      </c>
      <c r="E1698" t="inlineStr">
        <is>
          <t>East</t>
        </is>
      </c>
      <c r="F1698" t="inlineStr">
        <is>
          <t>Organic Search</t>
        </is>
      </c>
      <c r="G1698" t="inlineStr">
        <is>
          <t>Mobile App</t>
        </is>
      </c>
      <c r="H1698" t="inlineStr">
        <is>
          <t>Debit Card</t>
        </is>
      </c>
      <c r="I1698" t="inlineStr">
        <is>
          <t>Delivered</t>
        </is>
      </c>
      <c r="J1698" t="n">
        <v>117</v>
      </c>
      <c r="K1698" t="n">
        <v>3</v>
      </c>
      <c r="L1698" t="n">
        <v>3149</v>
      </c>
      <c r="M1698" t="n">
        <v>0</v>
      </c>
      <c r="N1698">
        <f>VLOOKUP(J1698,Products!$A$2:$C$49,3,FALSE)</f>
        <v/>
      </c>
      <c r="O1698">
        <f>K1698*L1698-M1698</f>
        <v/>
      </c>
      <c r="P1698">
        <f>TEXT(B1698,"yyyy-mm")</f>
        <v/>
      </c>
      <c r="Q1698">
        <f>IF(O1698&gt;=3000,"Large","Small")</f>
        <v/>
      </c>
      <c r="R1698">
        <f>INDEX(Products!$F$2:$F$49,MATCH(J1698,Products!$A$2:$A$49,0))</f>
        <v/>
      </c>
      <c r="S1698">
        <f>WEEKDAY(B1698,2)</f>
        <v/>
      </c>
    </row>
    <row r="1699">
      <c r="A1699" t="n">
        <v>510189</v>
      </c>
      <c r="B1699" s="6" t="n">
        <v>45950</v>
      </c>
      <c r="C1699" t="n">
        <v>13651</v>
      </c>
      <c r="D1699" t="inlineStr">
        <is>
          <t>Kolkata</t>
        </is>
      </c>
      <c r="E1699" t="inlineStr">
        <is>
          <t>East</t>
        </is>
      </c>
      <c r="F1699" t="inlineStr">
        <is>
          <t>Organic Search</t>
        </is>
      </c>
      <c r="G1699" t="inlineStr">
        <is>
          <t>Mobile App</t>
        </is>
      </c>
      <c r="H1699" t="inlineStr">
        <is>
          <t>Debit Card</t>
        </is>
      </c>
      <c r="I1699" t="inlineStr">
        <is>
          <t>Delivered</t>
        </is>
      </c>
      <c r="J1699" t="n">
        <v>144</v>
      </c>
      <c r="K1699" t="n">
        <v>1</v>
      </c>
      <c r="L1699" t="n">
        <v>3149</v>
      </c>
      <c r="M1699" t="n">
        <v>0</v>
      </c>
      <c r="N1699">
        <f>VLOOKUP(J1699,Products!$A$2:$C$49,3,FALSE)</f>
        <v/>
      </c>
      <c r="O1699">
        <f>K1699*L1699-M1699</f>
        <v/>
      </c>
      <c r="P1699">
        <f>TEXT(B1699,"yyyy-mm")</f>
        <v/>
      </c>
      <c r="Q1699">
        <f>IF(O1699&gt;=3000,"Large","Small")</f>
        <v/>
      </c>
      <c r="R1699">
        <f>INDEX(Products!$F$2:$F$49,MATCH(J1699,Products!$A$2:$A$49,0))</f>
        <v/>
      </c>
      <c r="S1699">
        <f>WEEKDAY(B1699,2)</f>
        <v/>
      </c>
    </row>
    <row r="1700">
      <c r="A1700" t="n">
        <v>510190</v>
      </c>
      <c r="B1700" s="6" t="n">
        <v>45950</v>
      </c>
      <c r="C1700" t="n">
        <v>16916</v>
      </c>
      <c r="D1700" t="inlineStr">
        <is>
          <t>Delhi</t>
        </is>
      </c>
      <c r="E1700" t="inlineStr">
        <is>
          <t>North</t>
        </is>
      </c>
      <c r="F1700" t="inlineStr">
        <is>
          <t>Affiliate</t>
        </is>
      </c>
      <c r="G1700" t="inlineStr">
        <is>
          <t>Mobile Web</t>
        </is>
      </c>
      <c r="H1700" t="inlineStr">
        <is>
          <t>Credit Card</t>
        </is>
      </c>
      <c r="I1700" t="inlineStr">
        <is>
          <t>Delivered</t>
        </is>
      </c>
      <c r="J1700" t="n">
        <v>140</v>
      </c>
      <c r="K1700" t="n">
        <v>1</v>
      </c>
      <c r="L1700" t="n">
        <v>629</v>
      </c>
      <c r="M1700" t="n">
        <v>94.34999999999999</v>
      </c>
      <c r="N1700">
        <f>VLOOKUP(J1700,Products!$A$2:$C$49,3,FALSE)</f>
        <v/>
      </c>
      <c r="O1700">
        <f>K1700*L1700-M1700</f>
        <v/>
      </c>
      <c r="P1700">
        <f>TEXT(B1700,"yyyy-mm")</f>
        <v/>
      </c>
      <c r="Q1700">
        <f>IF(O1700&gt;=3000,"Large","Small")</f>
        <v/>
      </c>
      <c r="R1700">
        <f>INDEX(Products!$F$2:$F$49,MATCH(J1700,Products!$A$2:$A$49,0))</f>
        <v/>
      </c>
      <c r="S1700">
        <f>WEEKDAY(B1700,2)</f>
        <v/>
      </c>
    </row>
    <row r="1701">
      <c r="A1701" t="n">
        <v>510190</v>
      </c>
      <c r="B1701" s="6" t="n">
        <v>45950</v>
      </c>
      <c r="C1701" t="n">
        <v>16916</v>
      </c>
      <c r="D1701" t="inlineStr">
        <is>
          <t>Delhi</t>
        </is>
      </c>
      <c r="E1701" t="inlineStr">
        <is>
          <t>North</t>
        </is>
      </c>
      <c r="F1701" t="inlineStr">
        <is>
          <t>Affiliate</t>
        </is>
      </c>
      <c r="G1701" t="inlineStr">
        <is>
          <t>Mobile Web</t>
        </is>
      </c>
      <c r="H1701" t="inlineStr">
        <is>
          <t>Credit Card</t>
        </is>
      </c>
      <c r="I1701" t="inlineStr">
        <is>
          <t>Delivered</t>
        </is>
      </c>
      <c r="J1701" t="n">
        <v>112</v>
      </c>
      <c r="K1701" t="n">
        <v>1</v>
      </c>
      <c r="L1701" t="n">
        <v>1574</v>
      </c>
      <c r="M1701" t="n">
        <v>236.1</v>
      </c>
      <c r="N1701">
        <f>VLOOKUP(J1701,Products!$A$2:$C$49,3,FALSE)</f>
        <v/>
      </c>
      <c r="O1701">
        <f>K1701*L1701-M1701</f>
        <v/>
      </c>
      <c r="P1701">
        <f>TEXT(B1701,"yyyy-mm")</f>
        <v/>
      </c>
      <c r="Q1701">
        <f>IF(O1701&gt;=3000,"Large","Small")</f>
        <v/>
      </c>
      <c r="R1701">
        <f>INDEX(Products!$F$2:$F$49,MATCH(J1701,Products!$A$2:$A$49,0))</f>
        <v/>
      </c>
      <c r="S1701">
        <f>WEEKDAY(B1701,2)</f>
        <v/>
      </c>
    </row>
    <row r="1702">
      <c r="A1702" t="n">
        <v>510191</v>
      </c>
      <c r="B1702" s="6" t="n">
        <v>45950</v>
      </c>
      <c r="C1702" t="n">
        <v>11228</v>
      </c>
      <c r="D1702" t="inlineStr">
        <is>
          <t>Hyderabad</t>
        </is>
      </c>
      <c r="E1702" t="inlineStr">
        <is>
          <t>South</t>
        </is>
      </c>
      <c r="F1702" t="inlineStr">
        <is>
          <t>Organic Search</t>
        </is>
      </c>
      <c r="G1702" t="inlineStr">
        <is>
          <t>Mobile App</t>
        </is>
      </c>
      <c r="H1702" t="inlineStr">
        <is>
          <t>UPI</t>
        </is>
      </c>
      <c r="I1702" t="inlineStr">
        <is>
          <t>Delivered</t>
        </is>
      </c>
      <c r="J1702" t="n">
        <v>102</v>
      </c>
      <c r="K1702" t="n">
        <v>1</v>
      </c>
      <c r="L1702" t="n">
        <v>3674</v>
      </c>
      <c r="M1702" t="n">
        <v>367.4</v>
      </c>
      <c r="N1702">
        <f>VLOOKUP(J1702,Products!$A$2:$C$49,3,FALSE)</f>
        <v/>
      </c>
      <c r="O1702">
        <f>K1702*L1702-M1702</f>
        <v/>
      </c>
      <c r="P1702">
        <f>TEXT(B1702,"yyyy-mm")</f>
        <v/>
      </c>
      <c r="Q1702">
        <f>IF(O1702&gt;=3000,"Large","Small")</f>
        <v/>
      </c>
      <c r="R1702">
        <f>INDEX(Products!$F$2:$F$49,MATCH(J1702,Products!$A$2:$A$49,0))</f>
        <v/>
      </c>
      <c r="S1702">
        <f>WEEKDAY(B1702,2)</f>
        <v/>
      </c>
    </row>
    <row r="1703">
      <c r="A1703" t="n">
        <v>510191</v>
      </c>
      <c r="B1703" s="6" t="n">
        <v>45950</v>
      </c>
      <c r="C1703" t="n">
        <v>11228</v>
      </c>
      <c r="D1703" t="inlineStr">
        <is>
          <t>Hyderabad</t>
        </is>
      </c>
      <c r="E1703" t="inlineStr">
        <is>
          <t>South</t>
        </is>
      </c>
      <c r="F1703" t="inlineStr">
        <is>
          <t>Organic Search</t>
        </is>
      </c>
      <c r="G1703" t="inlineStr">
        <is>
          <t>Mobile App</t>
        </is>
      </c>
      <c r="H1703" t="inlineStr">
        <is>
          <t>UPI</t>
        </is>
      </c>
      <c r="I1703" t="inlineStr">
        <is>
          <t>Delivered</t>
        </is>
      </c>
      <c r="J1703" t="n">
        <v>107</v>
      </c>
      <c r="K1703" t="n">
        <v>1</v>
      </c>
      <c r="L1703" t="n">
        <v>1259</v>
      </c>
      <c r="M1703" t="n">
        <v>125.9</v>
      </c>
      <c r="N1703">
        <f>VLOOKUP(J1703,Products!$A$2:$C$49,3,FALSE)</f>
        <v/>
      </c>
      <c r="O1703">
        <f>K1703*L1703-M1703</f>
        <v/>
      </c>
      <c r="P1703">
        <f>TEXT(B1703,"yyyy-mm")</f>
        <v/>
      </c>
      <c r="Q1703">
        <f>IF(O1703&gt;=3000,"Large","Small")</f>
        <v/>
      </c>
      <c r="R1703">
        <f>INDEX(Products!$F$2:$F$49,MATCH(J1703,Products!$A$2:$A$49,0))</f>
        <v/>
      </c>
      <c r="S1703">
        <f>WEEKDAY(B1703,2)</f>
        <v/>
      </c>
    </row>
    <row r="1704">
      <c r="A1704" t="n">
        <v>510191</v>
      </c>
      <c r="B1704" s="6" t="n">
        <v>45950</v>
      </c>
      <c r="C1704" t="n">
        <v>11228</v>
      </c>
      <c r="D1704" t="inlineStr">
        <is>
          <t>Hyderabad</t>
        </is>
      </c>
      <c r="E1704" t="inlineStr">
        <is>
          <t>South</t>
        </is>
      </c>
      <c r="F1704" t="inlineStr">
        <is>
          <t>Organic Search</t>
        </is>
      </c>
      <c r="G1704" t="inlineStr">
        <is>
          <t>Mobile App</t>
        </is>
      </c>
      <c r="H1704" t="inlineStr">
        <is>
          <t>UPI</t>
        </is>
      </c>
      <c r="I1704" t="inlineStr">
        <is>
          <t>Delivered</t>
        </is>
      </c>
      <c r="J1704" t="n">
        <v>141</v>
      </c>
      <c r="K1704" t="n">
        <v>1</v>
      </c>
      <c r="L1704" t="n">
        <v>261</v>
      </c>
      <c r="M1704" t="n">
        <v>26.1</v>
      </c>
      <c r="N1704">
        <f>VLOOKUP(J1704,Products!$A$2:$C$49,3,FALSE)</f>
        <v/>
      </c>
      <c r="O1704">
        <f>K1704*L1704-M1704</f>
        <v/>
      </c>
      <c r="P1704">
        <f>TEXT(B1704,"yyyy-mm")</f>
        <v/>
      </c>
      <c r="Q1704">
        <f>IF(O1704&gt;=3000,"Large","Small")</f>
        <v/>
      </c>
      <c r="R1704">
        <f>INDEX(Products!$F$2:$F$49,MATCH(J1704,Products!$A$2:$A$49,0))</f>
        <v/>
      </c>
      <c r="S1704">
        <f>WEEKDAY(B1704,2)</f>
        <v/>
      </c>
    </row>
    <row r="1705">
      <c r="A1705" t="n">
        <v>510191</v>
      </c>
      <c r="B1705" s="6" t="n">
        <v>45950</v>
      </c>
      <c r="C1705" t="n">
        <v>11228</v>
      </c>
      <c r="D1705" t="inlineStr">
        <is>
          <t>Hyderabad</t>
        </is>
      </c>
      <c r="E1705" t="inlineStr">
        <is>
          <t>South</t>
        </is>
      </c>
      <c r="F1705" t="inlineStr">
        <is>
          <t>Organic Search</t>
        </is>
      </c>
      <c r="G1705" t="inlineStr">
        <is>
          <t>Mobile App</t>
        </is>
      </c>
      <c r="H1705" t="inlineStr">
        <is>
          <t>UPI</t>
        </is>
      </c>
      <c r="I1705" t="inlineStr">
        <is>
          <t>Delivered</t>
        </is>
      </c>
      <c r="J1705" t="n">
        <v>129</v>
      </c>
      <c r="K1705" t="n">
        <v>1</v>
      </c>
      <c r="L1705" t="n">
        <v>576</v>
      </c>
      <c r="M1705" t="n">
        <v>57.6</v>
      </c>
      <c r="N1705">
        <f>VLOOKUP(J1705,Products!$A$2:$C$49,3,FALSE)</f>
        <v/>
      </c>
      <c r="O1705">
        <f>K1705*L1705-M1705</f>
        <v/>
      </c>
      <c r="P1705">
        <f>TEXT(B1705,"yyyy-mm")</f>
        <v/>
      </c>
      <c r="Q1705">
        <f>IF(O1705&gt;=3000,"Large","Small")</f>
        <v/>
      </c>
      <c r="R1705">
        <f>INDEX(Products!$F$2:$F$49,MATCH(J1705,Products!$A$2:$A$49,0))</f>
        <v/>
      </c>
      <c r="S1705">
        <f>WEEKDAY(B1705,2)</f>
        <v/>
      </c>
    </row>
    <row r="1706">
      <c r="A1706" t="n">
        <v>510192</v>
      </c>
      <c r="B1706" s="6" t="n">
        <v>45950</v>
      </c>
      <c r="C1706" t="n">
        <v>11850</v>
      </c>
      <c r="D1706" t="inlineStr">
        <is>
          <t>Bengaluru</t>
        </is>
      </c>
      <c r="E1706" t="inlineStr">
        <is>
          <t>South</t>
        </is>
      </c>
      <c r="F1706" t="inlineStr">
        <is>
          <t>Paid Social</t>
        </is>
      </c>
      <c r="G1706" t="inlineStr">
        <is>
          <t>Desktop</t>
        </is>
      </c>
      <c r="H1706" t="inlineStr">
        <is>
          <t>UPI</t>
        </is>
      </c>
      <c r="I1706" t="inlineStr">
        <is>
          <t>Delivered</t>
        </is>
      </c>
      <c r="J1706" t="n">
        <v>113</v>
      </c>
      <c r="K1706" t="n">
        <v>1</v>
      </c>
      <c r="L1706" t="n">
        <v>1364</v>
      </c>
      <c r="M1706" t="n">
        <v>0</v>
      </c>
      <c r="N1706">
        <f>VLOOKUP(J1706,Products!$A$2:$C$49,3,FALSE)</f>
        <v/>
      </c>
      <c r="O1706">
        <f>K1706*L1706-M1706</f>
        <v/>
      </c>
      <c r="P1706">
        <f>TEXT(B1706,"yyyy-mm")</f>
        <v/>
      </c>
      <c r="Q1706">
        <f>IF(O1706&gt;=3000,"Large","Small")</f>
        <v/>
      </c>
      <c r="R1706">
        <f>INDEX(Products!$F$2:$F$49,MATCH(J1706,Products!$A$2:$A$49,0))</f>
        <v/>
      </c>
      <c r="S1706">
        <f>WEEKDAY(B1706,2)</f>
        <v/>
      </c>
    </row>
    <row r="1707">
      <c r="A1707" t="n">
        <v>510192</v>
      </c>
      <c r="B1707" s="6" t="n">
        <v>45950</v>
      </c>
      <c r="C1707" t="n">
        <v>11850</v>
      </c>
      <c r="D1707" t="inlineStr">
        <is>
          <t>Bengaluru</t>
        </is>
      </c>
      <c r="E1707" t="inlineStr">
        <is>
          <t>South</t>
        </is>
      </c>
      <c r="F1707" t="inlineStr">
        <is>
          <t>Paid Social</t>
        </is>
      </c>
      <c r="G1707" t="inlineStr">
        <is>
          <t>Desktop</t>
        </is>
      </c>
      <c r="H1707" t="inlineStr">
        <is>
          <t>UPI</t>
        </is>
      </c>
      <c r="I1707" t="inlineStr">
        <is>
          <t>Delivered</t>
        </is>
      </c>
      <c r="J1707" t="n">
        <v>135</v>
      </c>
      <c r="K1707" t="n">
        <v>1</v>
      </c>
      <c r="L1707" t="n">
        <v>1574</v>
      </c>
      <c r="M1707" t="n">
        <v>0</v>
      </c>
      <c r="N1707">
        <f>VLOOKUP(J1707,Products!$A$2:$C$49,3,FALSE)</f>
        <v/>
      </c>
      <c r="O1707">
        <f>K1707*L1707-M1707</f>
        <v/>
      </c>
      <c r="P1707">
        <f>TEXT(B1707,"yyyy-mm")</f>
        <v/>
      </c>
      <c r="Q1707">
        <f>IF(O1707&gt;=3000,"Large","Small")</f>
        <v/>
      </c>
      <c r="R1707">
        <f>INDEX(Products!$F$2:$F$49,MATCH(J1707,Products!$A$2:$A$49,0))</f>
        <v/>
      </c>
      <c r="S1707">
        <f>WEEKDAY(B1707,2)</f>
        <v/>
      </c>
    </row>
    <row r="1708">
      <c r="A1708" t="n">
        <v>510192</v>
      </c>
      <c r="B1708" s="6" t="n">
        <v>45950</v>
      </c>
      <c r="C1708" t="n">
        <v>11850</v>
      </c>
      <c r="D1708" t="inlineStr">
        <is>
          <t>Bengaluru</t>
        </is>
      </c>
      <c r="E1708" t="inlineStr">
        <is>
          <t>South</t>
        </is>
      </c>
      <c r="F1708" t="inlineStr">
        <is>
          <t>Paid Social</t>
        </is>
      </c>
      <c r="G1708" t="inlineStr">
        <is>
          <t>Desktop</t>
        </is>
      </c>
      <c r="H1708" t="inlineStr">
        <is>
          <t>UPI</t>
        </is>
      </c>
      <c r="I1708" t="inlineStr">
        <is>
          <t>Delivered</t>
        </is>
      </c>
      <c r="J1708" t="n">
        <v>129</v>
      </c>
      <c r="K1708" t="n">
        <v>1</v>
      </c>
      <c r="L1708" t="n">
        <v>576</v>
      </c>
      <c r="M1708" t="n">
        <v>0</v>
      </c>
      <c r="N1708">
        <f>VLOOKUP(J1708,Products!$A$2:$C$49,3,FALSE)</f>
        <v/>
      </c>
      <c r="O1708">
        <f>K1708*L1708-M1708</f>
        <v/>
      </c>
      <c r="P1708">
        <f>TEXT(B1708,"yyyy-mm")</f>
        <v/>
      </c>
      <c r="Q1708">
        <f>IF(O1708&gt;=3000,"Large","Small")</f>
        <v/>
      </c>
      <c r="R1708">
        <f>INDEX(Products!$F$2:$F$49,MATCH(J1708,Products!$A$2:$A$49,0))</f>
        <v/>
      </c>
      <c r="S1708">
        <f>WEEKDAY(B1708,2)</f>
        <v/>
      </c>
    </row>
    <row r="1709">
      <c r="A1709" t="n">
        <v>510193</v>
      </c>
      <c r="B1709" s="6" t="n">
        <v>45950</v>
      </c>
      <c r="C1709" t="n">
        <v>13511</v>
      </c>
      <c r="D1709" t="inlineStr">
        <is>
          <t>Gurugram</t>
        </is>
      </c>
      <c r="E1709" t="inlineStr">
        <is>
          <t>North</t>
        </is>
      </c>
      <c r="F1709" t="inlineStr">
        <is>
          <t>Organic Search</t>
        </is>
      </c>
      <c r="G1709" t="inlineStr">
        <is>
          <t>Mobile Web</t>
        </is>
      </c>
      <c r="H1709" t="inlineStr">
        <is>
          <t>Debit Card</t>
        </is>
      </c>
      <c r="I1709" t="inlineStr">
        <is>
          <t>Delivered</t>
        </is>
      </c>
      <c r="J1709" t="n">
        <v>123</v>
      </c>
      <c r="K1709" t="n">
        <v>1</v>
      </c>
      <c r="L1709" t="n">
        <v>3464</v>
      </c>
      <c r="M1709" t="n">
        <v>346.4</v>
      </c>
      <c r="N1709">
        <f>VLOOKUP(J1709,Products!$A$2:$C$49,3,FALSE)</f>
        <v/>
      </c>
      <c r="O1709">
        <f>K1709*L1709-M1709</f>
        <v/>
      </c>
      <c r="P1709">
        <f>TEXT(B1709,"yyyy-mm")</f>
        <v/>
      </c>
      <c r="Q1709">
        <f>IF(O1709&gt;=3000,"Large","Small")</f>
        <v/>
      </c>
      <c r="R1709">
        <f>INDEX(Products!$F$2:$F$49,MATCH(J1709,Products!$A$2:$A$49,0))</f>
        <v/>
      </c>
      <c r="S1709">
        <f>WEEKDAY(B1709,2)</f>
        <v/>
      </c>
    </row>
    <row r="1710">
      <c r="A1710" t="n">
        <v>510194</v>
      </c>
      <c r="B1710" s="6" t="n">
        <v>45950</v>
      </c>
      <c r="C1710" t="n">
        <v>16762</v>
      </c>
      <c r="D1710" t="inlineStr">
        <is>
          <t>Delhi</t>
        </is>
      </c>
      <c r="E1710" t="inlineStr">
        <is>
          <t>North</t>
        </is>
      </c>
      <c r="F1710" t="inlineStr">
        <is>
          <t>Referral</t>
        </is>
      </c>
      <c r="G1710" t="inlineStr">
        <is>
          <t>Mobile Web</t>
        </is>
      </c>
      <c r="H1710" t="inlineStr">
        <is>
          <t>Credit Card</t>
        </is>
      </c>
      <c r="I1710" t="inlineStr">
        <is>
          <t>Delivered</t>
        </is>
      </c>
      <c r="J1710" t="n">
        <v>117</v>
      </c>
      <c r="K1710" t="n">
        <v>1</v>
      </c>
      <c r="L1710" t="n">
        <v>3149</v>
      </c>
      <c r="M1710" t="n">
        <v>314.9</v>
      </c>
      <c r="N1710">
        <f>VLOOKUP(J1710,Products!$A$2:$C$49,3,FALSE)</f>
        <v/>
      </c>
      <c r="O1710">
        <f>K1710*L1710-M1710</f>
        <v/>
      </c>
      <c r="P1710">
        <f>TEXT(B1710,"yyyy-mm")</f>
        <v/>
      </c>
      <c r="Q1710">
        <f>IF(O1710&gt;=3000,"Large","Small")</f>
        <v/>
      </c>
      <c r="R1710">
        <f>INDEX(Products!$F$2:$F$49,MATCH(J1710,Products!$A$2:$A$49,0))</f>
        <v/>
      </c>
      <c r="S1710">
        <f>WEEKDAY(B1710,2)</f>
        <v/>
      </c>
    </row>
    <row r="1711">
      <c r="A1711" t="n">
        <v>510194</v>
      </c>
      <c r="B1711" s="6" t="n">
        <v>45950</v>
      </c>
      <c r="C1711" t="n">
        <v>16762</v>
      </c>
      <c r="D1711" t="inlineStr">
        <is>
          <t>Delhi</t>
        </is>
      </c>
      <c r="E1711" t="inlineStr">
        <is>
          <t>North</t>
        </is>
      </c>
      <c r="F1711" t="inlineStr">
        <is>
          <t>Referral</t>
        </is>
      </c>
      <c r="G1711" t="inlineStr">
        <is>
          <t>Mobile Web</t>
        </is>
      </c>
      <c r="H1711" t="inlineStr">
        <is>
          <t>Credit Card</t>
        </is>
      </c>
      <c r="I1711" t="inlineStr">
        <is>
          <t>Delivered</t>
        </is>
      </c>
      <c r="J1711" t="n">
        <v>109</v>
      </c>
      <c r="K1711" t="n">
        <v>1</v>
      </c>
      <c r="L1711" t="n">
        <v>4199</v>
      </c>
      <c r="M1711" t="n">
        <v>419.9</v>
      </c>
      <c r="N1711">
        <f>VLOOKUP(J1711,Products!$A$2:$C$49,3,FALSE)</f>
        <v/>
      </c>
      <c r="O1711">
        <f>K1711*L1711-M1711</f>
        <v/>
      </c>
      <c r="P1711">
        <f>TEXT(B1711,"yyyy-mm")</f>
        <v/>
      </c>
      <c r="Q1711">
        <f>IF(O1711&gt;=3000,"Large","Small")</f>
        <v/>
      </c>
      <c r="R1711">
        <f>INDEX(Products!$F$2:$F$49,MATCH(J1711,Products!$A$2:$A$49,0))</f>
        <v/>
      </c>
      <c r="S1711">
        <f>WEEKDAY(B1711,2)</f>
        <v/>
      </c>
    </row>
    <row r="1712">
      <c r="A1712" t="n">
        <v>510195</v>
      </c>
      <c r="B1712" s="6" t="n">
        <v>45950</v>
      </c>
      <c r="C1712" t="n">
        <v>16744</v>
      </c>
      <c r="D1712" t="inlineStr">
        <is>
          <t>Delhi</t>
        </is>
      </c>
      <c r="E1712" t="inlineStr">
        <is>
          <t>North</t>
        </is>
      </c>
      <c r="F1712" t="inlineStr">
        <is>
          <t>Paid Social</t>
        </is>
      </c>
      <c r="G1712" t="inlineStr">
        <is>
          <t>Mobile App</t>
        </is>
      </c>
      <c r="H1712" t="inlineStr">
        <is>
          <t>UPI</t>
        </is>
      </c>
      <c r="I1712" t="inlineStr">
        <is>
          <t>Delivered</t>
        </is>
      </c>
      <c r="J1712" t="n">
        <v>134</v>
      </c>
      <c r="K1712" t="n">
        <v>2</v>
      </c>
      <c r="L1712" t="n">
        <v>209</v>
      </c>
      <c r="M1712" t="n">
        <v>62.7</v>
      </c>
      <c r="N1712">
        <f>VLOOKUP(J1712,Products!$A$2:$C$49,3,FALSE)</f>
        <v/>
      </c>
      <c r="O1712">
        <f>K1712*L1712-M1712</f>
        <v/>
      </c>
      <c r="P1712">
        <f>TEXT(B1712,"yyyy-mm")</f>
        <v/>
      </c>
      <c r="Q1712">
        <f>IF(O1712&gt;=3000,"Large","Small")</f>
        <v/>
      </c>
      <c r="R1712">
        <f>INDEX(Products!$F$2:$F$49,MATCH(J1712,Products!$A$2:$A$49,0))</f>
        <v/>
      </c>
      <c r="S1712">
        <f>WEEKDAY(B1712,2)</f>
        <v/>
      </c>
    </row>
    <row r="1713">
      <c r="A1713" t="n">
        <v>510195</v>
      </c>
      <c r="B1713" s="6" t="n">
        <v>45950</v>
      </c>
      <c r="C1713" t="n">
        <v>16744</v>
      </c>
      <c r="D1713" t="inlineStr">
        <is>
          <t>Delhi</t>
        </is>
      </c>
      <c r="E1713" t="inlineStr">
        <is>
          <t>North</t>
        </is>
      </c>
      <c r="F1713" t="inlineStr">
        <is>
          <t>Paid Social</t>
        </is>
      </c>
      <c r="G1713" t="inlineStr">
        <is>
          <t>Mobile App</t>
        </is>
      </c>
      <c r="H1713" t="inlineStr">
        <is>
          <t>UPI</t>
        </is>
      </c>
      <c r="I1713" t="inlineStr">
        <is>
          <t>Delivered</t>
        </is>
      </c>
      <c r="J1713" t="n">
        <v>111</v>
      </c>
      <c r="K1713" t="n">
        <v>2</v>
      </c>
      <c r="L1713" t="n">
        <v>524</v>
      </c>
      <c r="M1713" t="n">
        <v>157.2</v>
      </c>
      <c r="N1713">
        <f>VLOOKUP(J1713,Products!$A$2:$C$49,3,FALSE)</f>
        <v/>
      </c>
      <c r="O1713">
        <f>K1713*L1713-M1713</f>
        <v/>
      </c>
      <c r="P1713">
        <f>TEXT(B1713,"yyyy-mm")</f>
        <v/>
      </c>
      <c r="Q1713">
        <f>IF(O1713&gt;=3000,"Large","Small")</f>
        <v/>
      </c>
      <c r="R1713">
        <f>INDEX(Products!$F$2:$F$49,MATCH(J1713,Products!$A$2:$A$49,0))</f>
        <v/>
      </c>
      <c r="S1713">
        <f>WEEKDAY(B1713,2)</f>
        <v/>
      </c>
    </row>
    <row r="1714">
      <c r="A1714" t="n">
        <v>510195</v>
      </c>
      <c r="B1714" s="6" t="n">
        <v>45950</v>
      </c>
      <c r="C1714" t="n">
        <v>16744</v>
      </c>
      <c r="D1714" t="inlineStr">
        <is>
          <t>Delhi</t>
        </is>
      </c>
      <c r="E1714" t="inlineStr">
        <is>
          <t>North</t>
        </is>
      </c>
      <c r="F1714" t="inlineStr">
        <is>
          <t>Paid Social</t>
        </is>
      </c>
      <c r="G1714" t="inlineStr">
        <is>
          <t>Mobile App</t>
        </is>
      </c>
      <c r="H1714" t="inlineStr">
        <is>
          <t>UPI</t>
        </is>
      </c>
      <c r="I1714" t="inlineStr">
        <is>
          <t>Delivered</t>
        </is>
      </c>
      <c r="J1714" t="n">
        <v>129</v>
      </c>
      <c r="K1714" t="n">
        <v>1</v>
      </c>
      <c r="L1714" t="n">
        <v>576</v>
      </c>
      <c r="M1714" t="n">
        <v>86.40000000000001</v>
      </c>
      <c r="N1714">
        <f>VLOOKUP(J1714,Products!$A$2:$C$49,3,FALSE)</f>
        <v/>
      </c>
      <c r="O1714">
        <f>K1714*L1714-M1714</f>
        <v/>
      </c>
      <c r="P1714">
        <f>TEXT(B1714,"yyyy-mm")</f>
        <v/>
      </c>
      <c r="Q1714">
        <f>IF(O1714&gt;=3000,"Large","Small")</f>
        <v/>
      </c>
      <c r="R1714">
        <f>INDEX(Products!$F$2:$F$49,MATCH(J1714,Products!$A$2:$A$49,0))</f>
        <v/>
      </c>
      <c r="S1714">
        <f>WEEKDAY(B1714,2)</f>
        <v/>
      </c>
    </row>
    <row r="1715">
      <c r="A1715" t="n">
        <v>510196</v>
      </c>
      <c r="B1715" s="6" t="n">
        <v>45950</v>
      </c>
      <c r="C1715" t="n">
        <v>16484</v>
      </c>
      <c r="D1715" t="inlineStr">
        <is>
          <t>Delhi</t>
        </is>
      </c>
      <c r="E1715" t="inlineStr">
        <is>
          <t>North</t>
        </is>
      </c>
      <c r="F1715" t="inlineStr">
        <is>
          <t>Referral</t>
        </is>
      </c>
      <c r="G1715" t="inlineStr">
        <is>
          <t>Desktop</t>
        </is>
      </c>
      <c r="H1715" t="inlineStr">
        <is>
          <t>Cash on Delivery</t>
        </is>
      </c>
      <c r="I1715" t="inlineStr">
        <is>
          <t>Returned</t>
        </is>
      </c>
      <c r="J1715" t="n">
        <v>117</v>
      </c>
      <c r="K1715" t="n">
        <v>1</v>
      </c>
      <c r="L1715" t="n">
        <v>3149</v>
      </c>
      <c r="M1715" t="n">
        <v>0</v>
      </c>
      <c r="N1715">
        <f>VLOOKUP(J1715,Products!$A$2:$C$49,3,FALSE)</f>
        <v/>
      </c>
      <c r="O1715">
        <f>K1715*L1715-M1715</f>
        <v/>
      </c>
      <c r="P1715">
        <f>TEXT(B1715,"yyyy-mm")</f>
        <v/>
      </c>
      <c r="Q1715">
        <f>IF(O1715&gt;=3000,"Large","Small")</f>
        <v/>
      </c>
      <c r="R1715">
        <f>INDEX(Products!$F$2:$F$49,MATCH(J1715,Products!$A$2:$A$49,0))</f>
        <v/>
      </c>
      <c r="S1715">
        <f>WEEKDAY(B1715,2)</f>
        <v/>
      </c>
    </row>
    <row r="1716">
      <c r="A1716" t="n">
        <v>510196</v>
      </c>
      <c r="B1716" s="6" t="n">
        <v>45950</v>
      </c>
      <c r="C1716" t="n">
        <v>16484</v>
      </c>
      <c r="D1716" t="inlineStr">
        <is>
          <t>Delhi</t>
        </is>
      </c>
      <c r="E1716" t="inlineStr">
        <is>
          <t>North</t>
        </is>
      </c>
      <c r="F1716" t="inlineStr">
        <is>
          <t>Referral</t>
        </is>
      </c>
      <c r="G1716" t="inlineStr">
        <is>
          <t>Desktop</t>
        </is>
      </c>
      <c r="H1716" t="inlineStr">
        <is>
          <t>Cash on Delivery</t>
        </is>
      </c>
      <c r="I1716" t="inlineStr">
        <is>
          <t>Returned</t>
        </is>
      </c>
      <c r="J1716" t="n">
        <v>132</v>
      </c>
      <c r="K1716" t="n">
        <v>1</v>
      </c>
      <c r="L1716" t="n">
        <v>471</v>
      </c>
      <c r="M1716" t="n">
        <v>0</v>
      </c>
      <c r="N1716">
        <f>VLOOKUP(J1716,Products!$A$2:$C$49,3,FALSE)</f>
        <v/>
      </c>
      <c r="O1716">
        <f>K1716*L1716-M1716</f>
        <v/>
      </c>
      <c r="P1716">
        <f>TEXT(B1716,"yyyy-mm")</f>
        <v/>
      </c>
      <c r="Q1716">
        <f>IF(O1716&gt;=3000,"Large","Small")</f>
        <v/>
      </c>
      <c r="R1716">
        <f>INDEX(Products!$F$2:$F$49,MATCH(J1716,Products!$A$2:$A$49,0))</f>
        <v/>
      </c>
      <c r="S1716">
        <f>WEEKDAY(B1716,2)</f>
        <v/>
      </c>
    </row>
    <row r="1717">
      <c r="A1717" t="n">
        <v>510197</v>
      </c>
      <c r="B1717" s="6" t="n">
        <v>45950</v>
      </c>
      <c r="C1717" t="n">
        <v>11945</v>
      </c>
      <c r="D1717" t="inlineStr">
        <is>
          <t>Lucknow</t>
        </is>
      </c>
      <c r="E1717" t="inlineStr">
        <is>
          <t>North</t>
        </is>
      </c>
      <c r="F1717" t="inlineStr">
        <is>
          <t>Organic Search</t>
        </is>
      </c>
      <c r="G1717" t="inlineStr">
        <is>
          <t>Mobile Web</t>
        </is>
      </c>
      <c r="H1717" t="inlineStr">
        <is>
          <t>Cash on Delivery</t>
        </is>
      </c>
      <c r="I1717" t="inlineStr">
        <is>
          <t>Delivered</t>
        </is>
      </c>
      <c r="J1717" t="n">
        <v>101</v>
      </c>
      <c r="K1717" t="n">
        <v>1</v>
      </c>
      <c r="L1717" t="n">
        <v>2099</v>
      </c>
      <c r="M1717" t="n">
        <v>209.9</v>
      </c>
      <c r="N1717">
        <f>VLOOKUP(J1717,Products!$A$2:$C$49,3,FALSE)</f>
        <v/>
      </c>
      <c r="O1717">
        <f>K1717*L1717-M1717</f>
        <v/>
      </c>
      <c r="P1717">
        <f>TEXT(B1717,"yyyy-mm")</f>
        <v/>
      </c>
      <c r="Q1717">
        <f>IF(O1717&gt;=3000,"Large","Small")</f>
        <v/>
      </c>
      <c r="R1717">
        <f>INDEX(Products!$F$2:$F$49,MATCH(J1717,Products!$A$2:$A$49,0))</f>
        <v/>
      </c>
      <c r="S1717">
        <f>WEEKDAY(B1717,2)</f>
        <v/>
      </c>
    </row>
    <row r="1718">
      <c r="A1718" t="n">
        <v>510198</v>
      </c>
      <c r="B1718" s="6" t="n">
        <v>45950</v>
      </c>
      <c r="C1718" t="n">
        <v>16879</v>
      </c>
      <c r="D1718" t="inlineStr">
        <is>
          <t>Bengaluru</t>
        </is>
      </c>
      <c r="E1718" t="inlineStr">
        <is>
          <t>South</t>
        </is>
      </c>
      <c r="F1718" t="inlineStr">
        <is>
          <t>Paid Social</t>
        </is>
      </c>
      <c r="G1718" t="inlineStr">
        <is>
          <t>Mobile App</t>
        </is>
      </c>
      <c r="H1718" t="inlineStr">
        <is>
          <t>UPI</t>
        </is>
      </c>
      <c r="I1718" t="inlineStr">
        <is>
          <t>Delivered</t>
        </is>
      </c>
      <c r="J1718" t="n">
        <v>141</v>
      </c>
      <c r="K1718" t="n">
        <v>1</v>
      </c>
      <c r="L1718" t="n">
        <v>261</v>
      </c>
      <c r="M1718" t="n">
        <v>39.15</v>
      </c>
      <c r="N1718">
        <f>VLOOKUP(J1718,Products!$A$2:$C$49,3,FALSE)</f>
        <v/>
      </c>
      <c r="O1718">
        <f>K1718*L1718-M1718</f>
        <v/>
      </c>
      <c r="P1718">
        <f>TEXT(B1718,"yyyy-mm")</f>
        <v/>
      </c>
      <c r="Q1718">
        <f>IF(O1718&gt;=3000,"Large","Small")</f>
        <v/>
      </c>
      <c r="R1718">
        <f>INDEX(Products!$F$2:$F$49,MATCH(J1718,Products!$A$2:$A$49,0))</f>
        <v/>
      </c>
      <c r="S1718">
        <f>WEEKDAY(B1718,2)</f>
        <v/>
      </c>
    </row>
    <row r="1719">
      <c r="A1719" t="n">
        <v>510198</v>
      </c>
      <c r="B1719" s="6" t="n">
        <v>45950</v>
      </c>
      <c r="C1719" t="n">
        <v>16879</v>
      </c>
      <c r="D1719" t="inlineStr">
        <is>
          <t>Bengaluru</t>
        </is>
      </c>
      <c r="E1719" t="inlineStr">
        <is>
          <t>South</t>
        </is>
      </c>
      <c r="F1719" t="inlineStr">
        <is>
          <t>Paid Social</t>
        </is>
      </c>
      <c r="G1719" t="inlineStr">
        <is>
          <t>Mobile App</t>
        </is>
      </c>
      <c r="H1719" t="inlineStr">
        <is>
          <t>UPI</t>
        </is>
      </c>
      <c r="I1719" t="inlineStr">
        <is>
          <t>Delivered</t>
        </is>
      </c>
      <c r="J1719" t="n">
        <v>108</v>
      </c>
      <c r="K1719" t="n">
        <v>1</v>
      </c>
      <c r="L1719" t="n">
        <v>419</v>
      </c>
      <c r="M1719" t="n">
        <v>62.85</v>
      </c>
      <c r="N1719">
        <f>VLOOKUP(J1719,Products!$A$2:$C$49,3,FALSE)</f>
        <v/>
      </c>
      <c r="O1719">
        <f>K1719*L1719-M1719</f>
        <v/>
      </c>
      <c r="P1719">
        <f>TEXT(B1719,"yyyy-mm")</f>
        <v/>
      </c>
      <c r="Q1719">
        <f>IF(O1719&gt;=3000,"Large","Small")</f>
        <v/>
      </c>
      <c r="R1719">
        <f>INDEX(Products!$F$2:$F$49,MATCH(J1719,Products!$A$2:$A$49,0))</f>
        <v/>
      </c>
      <c r="S1719">
        <f>WEEKDAY(B1719,2)</f>
        <v/>
      </c>
    </row>
    <row r="1720">
      <c r="A1720" t="n">
        <v>510198</v>
      </c>
      <c r="B1720" s="6" t="n">
        <v>45950</v>
      </c>
      <c r="C1720" t="n">
        <v>16879</v>
      </c>
      <c r="D1720" t="inlineStr">
        <is>
          <t>Bengaluru</t>
        </is>
      </c>
      <c r="E1720" t="inlineStr">
        <is>
          <t>South</t>
        </is>
      </c>
      <c r="F1720" t="inlineStr">
        <is>
          <t>Paid Social</t>
        </is>
      </c>
      <c r="G1720" t="inlineStr">
        <is>
          <t>Mobile App</t>
        </is>
      </c>
      <c r="H1720" t="inlineStr">
        <is>
          <t>UPI</t>
        </is>
      </c>
      <c r="I1720" t="inlineStr">
        <is>
          <t>Delivered</t>
        </is>
      </c>
      <c r="J1720" t="n">
        <v>128</v>
      </c>
      <c r="K1720" t="n">
        <v>1</v>
      </c>
      <c r="L1720" t="n">
        <v>1049</v>
      </c>
      <c r="M1720" t="n">
        <v>157.35</v>
      </c>
      <c r="N1720">
        <f>VLOOKUP(J1720,Products!$A$2:$C$49,3,FALSE)</f>
        <v/>
      </c>
      <c r="O1720">
        <f>K1720*L1720-M1720</f>
        <v/>
      </c>
      <c r="P1720">
        <f>TEXT(B1720,"yyyy-mm")</f>
        <v/>
      </c>
      <c r="Q1720">
        <f>IF(O1720&gt;=3000,"Large","Small")</f>
        <v/>
      </c>
      <c r="R1720">
        <f>INDEX(Products!$F$2:$F$49,MATCH(J1720,Products!$A$2:$A$49,0))</f>
        <v/>
      </c>
      <c r="S1720">
        <f>WEEKDAY(B1720,2)</f>
        <v/>
      </c>
    </row>
    <row r="1721">
      <c r="A1721" t="n">
        <v>510198</v>
      </c>
      <c r="B1721" s="6" t="n">
        <v>45950</v>
      </c>
      <c r="C1721" t="n">
        <v>16879</v>
      </c>
      <c r="D1721" t="inlineStr">
        <is>
          <t>Bengaluru</t>
        </is>
      </c>
      <c r="E1721" t="inlineStr">
        <is>
          <t>South</t>
        </is>
      </c>
      <c r="F1721" t="inlineStr">
        <is>
          <t>Paid Social</t>
        </is>
      </c>
      <c r="G1721" t="inlineStr">
        <is>
          <t>Mobile App</t>
        </is>
      </c>
      <c r="H1721" t="inlineStr">
        <is>
          <t>UPI</t>
        </is>
      </c>
      <c r="I1721" t="inlineStr">
        <is>
          <t>Delivered</t>
        </is>
      </c>
      <c r="J1721" t="n">
        <v>147</v>
      </c>
      <c r="K1721" t="n">
        <v>1</v>
      </c>
      <c r="L1721" t="n">
        <v>1364</v>
      </c>
      <c r="M1721" t="n">
        <v>204.6</v>
      </c>
      <c r="N1721">
        <f>VLOOKUP(J1721,Products!$A$2:$C$49,3,FALSE)</f>
        <v/>
      </c>
      <c r="O1721">
        <f>K1721*L1721-M1721</f>
        <v/>
      </c>
      <c r="P1721">
        <f>TEXT(B1721,"yyyy-mm")</f>
        <v/>
      </c>
      <c r="Q1721">
        <f>IF(O1721&gt;=3000,"Large","Small")</f>
        <v/>
      </c>
      <c r="R1721">
        <f>INDEX(Products!$F$2:$F$49,MATCH(J1721,Products!$A$2:$A$49,0))</f>
        <v/>
      </c>
      <c r="S1721">
        <f>WEEKDAY(B1721,2)</f>
        <v/>
      </c>
    </row>
    <row r="1722">
      <c r="A1722" t="n">
        <v>510198</v>
      </c>
      <c r="B1722" s="6" t="n">
        <v>45950</v>
      </c>
      <c r="C1722" t="n">
        <v>16879</v>
      </c>
      <c r="D1722" t="inlineStr">
        <is>
          <t>Bengaluru</t>
        </is>
      </c>
      <c r="E1722" t="inlineStr">
        <is>
          <t>South</t>
        </is>
      </c>
      <c r="F1722" t="inlineStr">
        <is>
          <t>Paid Social</t>
        </is>
      </c>
      <c r="G1722" t="inlineStr">
        <is>
          <t>Mobile App</t>
        </is>
      </c>
      <c r="H1722" t="inlineStr">
        <is>
          <t>UPI</t>
        </is>
      </c>
      <c r="I1722" t="inlineStr">
        <is>
          <t>Delivered</t>
        </is>
      </c>
      <c r="J1722" t="n">
        <v>129</v>
      </c>
      <c r="K1722" t="n">
        <v>2</v>
      </c>
      <c r="L1722" t="n">
        <v>576</v>
      </c>
      <c r="M1722" t="n">
        <v>172.8</v>
      </c>
      <c r="N1722">
        <f>VLOOKUP(J1722,Products!$A$2:$C$49,3,FALSE)</f>
        <v/>
      </c>
      <c r="O1722">
        <f>K1722*L1722-M1722</f>
        <v/>
      </c>
      <c r="P1722">
        <f>TEXT(B1722,"yyyy-mm")</f>
        <v/>
      </c>
      <c r="Q1722">
        <f>IF(O1722&gt;=3000,"Large","Small")</f>
        <v/>
      </c>
      <c r="R1722">
        <f>INDEX(Products!$F$2:$F$49,MATCH(J1722,Products!$A$2:$A$49,0))</f>
        <v/>
      </c>
      <c r="S1722">
        <f>WEEKDAY(B1722,2)</f>
        <v/>
      </c>
    </row>
    <row r="1723">
      <c r="A1723" t="n">
        <v>510199</v>
      </c>
      <c r="B1723" s="6" t="n">
        <v>45951</v>
      </c>
      <c r="C1723" t="n">
        <v>11575</v>
      </c>
      <c r="D1723" t="inlineStr">
        <is>
          <t>Indore</t>
        </is>
      </c>
      <c r="E1723" t="inlineStr">
        <is>
          <t>West</t>
        </is>
      </c>
      <c r="F1723" t="inlineStr">
        <is>
          <t>Paid Social</t>
        </is>
      </c>
      <c r="G1723" t="inlineStr">
        <is>
          <t>Mobile App</t>
        </is>
      </c>
      <c r="H1723" t="inlineStr">
        <is>
          <t>Cash on Delivery</t>
        </is>
      </c>
      <c r="I1723" t="inlineStr">
        <is>
          <t>Delivered</t>
        </is>
      </c>
      <c r="J1723" t="n">
        <v>108</v>
      </c>
      <c r="K1723" t="n">
        <v>2</v>
      </c>
      <c r="L1723" t="n">
        <v>419</v>
      </c>
      <c r="M1723" t="n">
        <v>0</v>
      </c>
      <c r="N1723">
        <f>VLOOKUP(J1723,Products!$A$2:$C$49,3,FALSE)</f>
        <v/>
      </c>
      <c r="O1723">
        <f>K1723*L1723-M1723</f>
        <v/>
      </c>
      <c r="P1723">
        <f>TEXT(B1723,"yyyy-mm")</f>
        <v/>
      </c>
      <c r="Q1723">
        <f>IF(O1723&gt;=3000,"Large","Small")</f>
        <v/>
      </c>
      <c r="R1723">
        <f>INDEX(Products!$F$2:$F$49,MATCH(J1723,Products!$A$2:$A$49,0))</f>
        <v/>
      </c>
      <c r="S1723">
        <f>WEEKDAY(B1723,2)</f>
        <v/>
      </c>
    </row>
    <row r="1724">
      <c r="A1724" t="n">
        <v>510199</v>
      </c>
      <c r="B1724" s="6" t="n">
        <v>45951</v>
      </c>
      <c r="C1724" t="n">
        <v>11575</v>
      </c>
      <c r="D1724" t="inlineStr">
        <is>
          <t>Indore</t>
        </is>
      </c>
      <c r="E1724" t="inlineStr">
        <is>
          <t>West</t>
        </is>
      </c>
      <c r="F1724" t="inlineStr">
        <is>
          <t>Paid Social</t>
        </is>
      </c>
      <c r="G1724" t="inlineStr">
        <is>
          <t>Mobile App</t>
        </is>
      </c>
      <c r="H1724" t="inlineStr">
        <is>
          <t>Cash on Delivery</t>
        </is>
      </c>
      <c r="I1724" t="inlineStr">
        <is>
          <t>Delivered</t>
        </is>
      </c>
      <c r="J1724" t="n">
        <v>131</v>
      </c>
      <c r="K1724" t="n">
        <v>1</v>
      </c>
      <c r="L1724" t="n">
        <v>314</v>
      </c>
      <c r="M1724" t="n">
        <v>0</v>
      </c>
      <c r="N1724">
        <f>VLOOKUP(J1724,Products!$A$2:$C$49,3,FALSE)</f>
        <v/>
      </c>
      <c r="O1724">
        <f>K1724*L1724-M1724</f>
        <v/>
      </c>
      <c r="P1724">
        <f>TEXT(B1724,"yyyy-mm")</f>
        <v/>
      </c>
      <c r="Q1724">
        <f>IF(O1724&gt;=3000,"Large","Small")</f>
        <v/>
      </c>
      <c r="R1724">
        <f>INDEX(Products!$F$2:$F$49,MATCH(J1724,Products!$A$2:$A$49,0))</f>
        <v/>
      </c>
      <c r="S1724">
        <f>WEEKDAY(B1724,2)</f>
        <v/>
      </c>
    </row>
    <row r="1725">
      <c r="A1725" t="n">
        <v>510199</v>
      </c>
      <c r="B1725" s="6" t="n">
        <v>45951</v>
      </c>
      <c r="C1725" t="n">
        <v>11575</v>
      </c>
      <c r="D1725" t="inlineStr">
        <is>
          <t>Indore</t>
        </is>
      </c>
      <c r="E1725" t="inlineStr">
        <is>
          <t>West</t>
        </is>
      </c>
      <c r="F1725" t="inlineStr">
        <is>
          <t>Paid Social</t>
        </is>
      </c>
      <c r="G1725" t="inlineStr">
        <is>
          <t>Mobile App</t>
        </is>
      </c>
      <c r="H1725" t="inlineStr">
        <is>
          <t>Cash on Delivery</t>
        </is>
      </c>
      <c r="I1725" t="inlineStr">
        <is>
          <t>Delivered</t>
        </is>
      </c>
      <c r="J1725" t="n">
        <v>117</v>
      </c>
      <c r="K1725" t="n">
        <v>1</v>
      </c>
      <c r="L1725" t="n">
        <v>3149</v>
      </c>
      <c r="M1725" t="n">
        <v>0</v>
      </c>
      <c r="N1725">
        <f>VLOOKUP(J1725,Products!$A$2:$C$49,3,FALSE)</f>
        <v/>
      </c>
      <c r="O1725">
        <f>K1725*L1725-M1725</f>
        <v/>
      </c>
      <c r="P1725">
        <f>TEXT(B1725,"yyyy-mm")</f>
        <v/>
      </c>
      <c r="Q1725">
        <f>IF(O1725&gt;=3000,"Large","Small")</f>
        <v/>
      </c>
      <c r="R1725">
        <f>INDEX(Products!$F$2:$F$49,MATCH(J1725,Products!$A$2:$A$49,0))</f>
        <v/>
      </c>
      <c r="S1725">
        <f>WEEKDAY(B1725,2)</f>
        <v/>
      </c>
    </row>
    <row r="1726">
      <c r="A1726" t="n">
        <v>510200</v>
      </c>
      <c r="B1726" s="6" t="n">
        <v>45951</v>
      </c>
      <c r="C1726" t="n">
        <v>10378</v>
      </c>
      <c r="D1726" t="inlineStr">
        <is>
          <t>Indore</t>
        </is>
      </c>
      <c r="E1726" t="inlineStr">
        <is>
          <t>West</t>
        </is>
      </c>
      <c r="F1726" t="inlineStr">
        <is>
          <t>Referral</t>
        </is>
      </c>
      <c r="G1726" t="inlineStr">
        <is>
          <t>Desktop</t>
        </is>
      </c>
      <c r="H1726" t="inlineStr">
        <is>
          <t>Debit Card</t>
        </is>
      </c>
      <c r="I1726" t="inlineStr">
        <is>
          <t>Delivered</t>
        </is>
      </c>
      <c r="J1726" t="n">
        <v>118</v>
      </c>
      <c r="K1726" t="n">
        <v>1</v>
      </c>
      <c r="L1726" t="n">
        <v>944</v>
      </c>
      <c r="M1726" t="n">
        <v>94.40000000000001</v>
      </c>
      <c r="N1726">
        <f>VLOOKUP(J1726,Products!$A$2:$C$49,3,FALSE)</f>
        <v/>
      </c>
      <c r="O1726">
        <f>K1726*L1726-M1726</f>
        <v/>
      </c>
      <c r="P1726">
        <f>TEXT(B1726,"yyyy-mm")</f>
        <v/>
      </c>
      <c r="Q1726">
        <f>IF(O1726&gt;=3000,"Large","Small")</f>
        <v/>
      </c>
      <c r="R1726">
        <f>INDEX(Products!$F$2:$F$49,MATCH(J1726,Products!$A$2:$A$49,0))</f>
        <v/>
      </c>
      <c r="S1726">
        <f>WEEKDAY(B1726,2)</f>
        <v/>
      </c>
    </row>
    <row r="1727">
      <c r="A1727" t="n">
        <v>510201</v>
      </c>
      <c r="B1727" s="6" t="n">
        <v>45951</v>
      </c>
      <c r="C1727" t="n">
        <v>11441</v>
      </c>
      <c r="D1727" t="inlineStr">
        <is>
          <t>Jaipur</t>
        </is>
      </c>
      <c r="E1727" t="inlineStr">
        <is>
          <t>North</t>
        </is>
      </c>
      <c r="F1727" t="inlineStr">
        <is>
          <t>Affiliate</t>
        </is>
      </c>
      <c r="G1727" t="inlineStr">
        <is>
          <t>Desktop</t>
        </is>
      </c>
      <c r="H1727" t="inlineStr">
        <is>
          <t>UPI</t>
        </is>
      </c>
      <c r="I1727" t="inlineStr">
        <is>
          <t>Delivered</t>
        </is>
      </c>
      <c r="J1727" t="n">
        <v>126</v>
      </c>
      <c r="K1727" t="n">
        <v>1</v>
      </c>
      <c r="L1727" t="n">
        <v>471</v>
      </c>
      <c r="M1727" t="n">
        <v>47.1</v>
      </c>
      <c r="N1727">
        <f>VLOOKUP(J1727,Products!$A$2:$C$49,3,FALSE)</f>
        <v/>
      </c>
      <c r="O1727">
        <f>K1727*L1727-M1727</f>
        <v/>
      </c>
      <c r="P1727">
        <f>TEXT(B1727,"yyyy-mm")</f>
        <v/>
      </c>
      <c r="Q1727">
        <f>IF(O1727&gt;=3000,"Large","Small")</f>
        <v/>
      </c>
      <c r="R1727">
        <f>INDEX(Products!$F$2:$F$49,MATCH(J1727,Products!$A$2:$A$49,0))</f>
        <v/>
      </c>
      <c r="S1727">
        <f>WEEKDAY(B1727,2)</f>
        <v/>
      </c>
    </row>
    <row r="1728">
      <c r="A1728" t="n">
        <v>510202</v>
      </c>
      <c r="B1728" s="6" t="n">
        <v>45951</v>
      </c>
      <c r="C1728" t="n">
        <v>16809</v>
      </c>
      <c r="D1728" t="inlineStr">
        <is>
          <t>Bengaluru</t>
        </is>
      </c>
      <c r="E1728" t="inlineStr">
        <is>
          <t>South</t>
        </is>
      </c>
      <c r="F1728" t="inlineStr">
        <is>
          <t>Organic Search</t>
        </is>
      </c>
      <c r="G1728" t="inlineStr">
        <is>
          <t>Desktop</t>
        </is>
      </c>
      <c r="H1728" t="inlineStr">
        <is>
          <t>Credit Card</t>
        </is>
      </c>
      <c r="I1728" t="inlineStr">
        <is>
          <t>Delivered</t>
        </is>
      </c>
      <c r="J1728" t="n">
        <v>123</v>
      </c>
      <c r="K1728" t="n">
        <v>1</v>
      </c>
      <c r="L1728" t="n">
        <v>3464</v>
      </c>
      <c r="M1728" t="n">
        <v>346.4</v>
      </c>
      <c r="N1728">
        <f>VLOOKUP(J1728,Products!$A$2:$C$49,3,FALSE)</f>
        <v/>
      </c>
      <c r="O1728">
        <f>K1728*L1728-M1728</f>
        <v/>
      </c>
      <c r="P1728">
        <f>TEXT(B1728,"yyyy-mm")</f>
        <v/>
      </c>
      <c r="Q1728">
        <f>IF(O1728&gt;=3000,"Large","Small")</f>
        <v/>
      </c>
      <c r="R1728">
        <f>INDEX(Products!$F$2:$F$49,MATCH(J1728,Products!$A$2:$A$49,0))</f>
        <v/>
      </c>
      <c r="S1728">
        <f>WEEKDAY(B1728,2)</f>
        <v/>
      </c>
    </row>
    <row r="1729">
      <c r="A1729" t="n">
        <v>510202</v>
      </c>
      <c r="B1729" s="6" t="n">
        <v>45951</v>
      </c>
      <c r="C1729" t="n">
        <v>16809</v>
      </c>
      <c r="D1729" t="inlineStr">
        <is>
          <t>Bengaluru</t>
        </is>
      </c>
      <c r="E1729" t="inlineStr">
        <is>
          <t>South</t>
        </is>
      </c>
      <c r="F1729" t="inlineStr">
        <is>
          <t>Organic Search</t>
        </is>
      </c>
      <c r="G1729" t="inlineStr">
        <is>
          <t>Desktop</t>
        </is>
      </c>
      <c r="H1729" t="inlineStr">
        <is>
          <t>Credit Card</t>
        </is>
      </c>
      <c r="I1729" t="inlineStr">
        <is>
          <t>Delivered</t>
        </is>
      </c>
      <c r="J1729" t="n">
        <v>117</v>
      </c>
      <c r="K1729" t="n">
        <v>1</v>
      </c>
      <c r="L1729" t="n">
        <v>3149</v>
      </c>
      <c r="M1729" t="n">
        <v>314.9</v>
      </c>
      <c r="N1729">
        <f>VLOOKUP(J1729,Products!$A$2:$C$49,3,FALSE)</f>
        <v/>
      </c>
      <c r="O1729">
        <f>K1729*L1729-M1729</f>
        <v/>
      </c>
      <c r="P1729">
        <f>TEXT(B1729,"yyyy-mm")</f>
        <v/>
      </c>
      <c r="Q1729">
        <f>IF(O1729&gt;=3000,"Large","Small")</f>
        <v/>
      </c>
      <c r="R1729">
        <f>INDEX(Products!$F$2:$F$49,MATCH(J1729,Products!$A$2:$A$49,0))</f>
        <v/>
      </c>
      <c r="S1729">
        <f>WEEKDAY(B1729,2)</f>
        <v/>
      </c>
    </row>
    <row r="1730">
      <c r="A1730" t="n">
        <v>510203</v>
      </c>
      <c r="B1730" s="6" t="n">
        <v>45951</v>
      </c>
      <c r="C1730" t="n">
        <v>15132</v>
      </c>
      <c r="D1730" t="inlineStr">
        <is>
          <t>Hyderabad</t>
        </is>
      </c>
      <c r="E1730" t="inlineStr">
        <is>
          <t>South</t>
        </is>
      </c>
      <c r="F1730" t="inlineStr">
        <is>
          <t>Organic Search</t>
        </is>
      </c>
      <c r="G1730" t="inlineStr">
        <is>
          <t>Mobile App</t>
        </is>
      </c>
      <c r="H1730" t="inlineStr">
        <is>
          <t>UPI</t>
        </is>
      </c>
      <c r="I1730" t="inlineStr">
        <is>
          <t>Delivered</t>
        </is>
      </c>
      <c r="J1730" t="n">
        <v>112</v>
      </c>
      <c r="K1730" t="n">
        <v>1</v>
      </c>
      <c r="L1730" t="n">
        <v>1574</v>
      </c>
      <c r="M1730" t="n">
        <v>157.4</v>
      </c>
      <c r="N1730">
        <f>VLOOKUP(J1730,Products!$A$2:$C$49,3,FALSE)</f>
        <v/>
      </c>
      <c r="O1730">
        <f>K1730*L1730-M1730</f>
        <v/>
      </c>
      <c r="P1730">
        <f>TEXT(B1730,"yyyy-mm")</f>
        <v/>
      </c>
      <c r="Q1730">
        <f>IF(O1730&gt;=3000,"Large","Small")</f>
        <v/>
      </c>
      <c r="R1730">
        <f>INDEX(Products!$F$2:$F$49,MATCH(J1730,Products!$A$2:$A$49,0))</f>
        <v/>
      </c>
      <c r="S1730">
        <f>WEEKDAY(B1730,2)</f>
        <v/>
      </c>
    </row>
    <row r="1731">
      <c r="A1731" t="n">
        <v>510203</v>
      </c>
      <c r="B1731" s="6" t="n">
        <v>45951</v>
      </c>
      <c r="C1731" t="n">
        <v>15132</v>
      </c>
      <c r="D1731" t="inlineStr">
        <is>
          <t>Hyderabad</t>
        </is>
      </c>
      <c r="E1731" t="inlineStr">
        <is>
          <t>South</t>
        </is>
      </c>
      <c r="F1731" t="inlineStr">
        <is>
          <t>Organic Search</t>
        </is>
      </c>
      <c r="G1731" t="inlineStr">
        <is>
          <t>Mobile App</t>
        </is>
      </c>
      <c r="H1731" t="inlineStr">
        <is>
          <t>UPI</t>
        </is>
      </c>
      <c r="I1731" t="inlineStr">
        <is>
          <t>Delivered</t>
        </is>
      </c>
      <c r="J1731" t="n">
        <v>129</v>
      </c>
      <c r="K1731" t="n">
        <v>1</v>
      </c>
      <c r="L1731" t="n">
        <v>576</v>
      </c>
      <c r="M1731" t="n">
        <v>57.6</v>
      </c>
      <c r="N1731">
        <f>VLOOKUP(J1731,Products!$A$2:$C$49,3,FALSE)</f>
        <v/>
      </c>
      <c r="O1731">
        <f>K1731*L1731-M1731</f>
        <v/>
      </c>
      <c r="P1731">
        <f>TEXT(B1731,"yyyy-mm")</f>
        <v/>
      </c>
      <c r="Q1731">
        <f>IF(O1731&gt;=3000,"Large","Small")</f>
        <v/>
      </c>
      <c r="R1731">
        <f>INDEX(Products!$F$2:$F$49,MATCH(J1731,Products!$A$2:$A$49,0))</f>
        <v/>
      </c>
      <c r="S1731">
        <f>WEEKDAY(B1731,2)</f>
        <v/>
      </c>
    </row>
    <row r="1732">
      <c r="A1732" t="n">
        <v>510204</v>
      </c>
      <c r="B1732" s="6" t="n">
        <v>45951</v>
      </c>
      <c r="C1732" t="n">
        <v>11994</v>
      </c>
      <c r="D1732" t="inlineStr">
        <is>
          <t>Delhi</t>
        </is>
      </c>
      <c r="E1732" t="inlineStr">
        <is>
          <t>North</t>
        </is>
      </c>
      <c r="F1732" t="inlineStr">
        <is>
          <t>Email</t>
        </is>
      </c>
      <c r="G1732" t="inlineStr">
        <is>
          <t>Mobile App</t>
        </is>
      </c>
      <c r="H1732" t="inlineStr">
        <is>
          <t>UPI</t>
        </is>
      </c>
      <c r="I1732" t="inlineStr">
        <is>
          <t>Delivered</t>
        </is>
      </c>
      <c r="J1732" t="n">
        <v>128</v>
      </c>
      <c r="K1732" t="n">
        <v>2</v>
      </c>
      <c r="L1732" t="n">
        <v>1049</v>
      </c>
      <c r="M1732" t="n">
        <v>0</v>
      </c>
      <c r="N1732">
        <f>VLOOKUP(J1732,Products!$A$2:$C$49,3,FALSE)</f>
        <v/>
      </c>
      <c r="O1732">
        <f>K1732*L1732-M1732</f>
        <v/>
      </c>
      <c r="P1732">
        <f>TEXT(B1732,"yyyy-mm")</f>
        <v/>
      </c>
      <c r="Q1732">
        <f>IF(O1732&gt;=3000,"Large","Small")</f>
        <v/>
      </c>
      <c r="R1732">
        <f>INDEX(Products!$F$2:$F$49,MATCH(J1732,Products!$A$2:$A$49,0))</f>
        <v/>
      </c>
      <c r="S1732">
        <f>WEEKDAY(B1732,2)</f>
        <v/>
      </c>
    </row>
    <row r="1733">
      <c r="A1733" t="n">
        <v>510204</v>
      </c>
      <c r="B1733" s="6" t="n">
        <v>45951</v>
      </c>
      <c r="C1733" t="n">
        <v>11994</v>
      </c>
      <c r="D1733" t="inlineStr">
        <is>
          <t>Delhi</t>
        </is>
      </c>
      <c r="E1733" t="inlineStr">
        <is>
          <t>North</t>
        </is>
      </c>
      <c r="F1733" t="inlineStr">
        <is>
          <t>Email</t>
        </is>
      </c>
      <c r="G1733" t="inlineStr">
        <is>
          <t>Mobile App</t>
        </is>
      </c>
      <c r="H1733" t="inlineStr">
        <is>
          <t>UPI</t>
        </is>
      </c>
      <c r="I1733" t="inlineStr">
        <is>
          <t>Delivered</t>
        </is>
      </c>
      <c r="J1733" t="n">
        <v>104</v>
      </c>
      <c r="K1733" t="n">
        <v>1</v>
      </c>
      <c r="L1733" t="n">
        <v>5249</v>
      </c>
      <c r="M1733" t="n">
        <v>0</v>
      </c>
      <c r="N1733">
        <f>VLOOKUP(J1733,Products!$A$2:$C$49,3,FALSE)</f>
        <v/>
      </c>
      <c r="O1733">
        <f>K1733*L1733-M1733</f>
        <v/>
      </c>
      <c r="P1733">
        <f>TEXT(B1733,"yyyy-mm")</f>
        <v/>
      </c>
      <c r="Q1733">
        <f>IF(O1733&gt;=3000,"Large","Small")</f>
        <v/>
      </c>
      <c r="R1733">
        <f>INDEX(Products!$F$2:$F$49,MATCH(J1733,Products!$A$2:$A$49,0))</f>
        <v/>
      </c>
      <c r="S1733">
        <f>WEEKDAY(B1733,2)</f>
        <v/>
      </c>
    </row>
    <row r="1734">
      <c r="A1734" t="n">
        <v>510205</v>
      </c>
      <c r="B1734" s="6" t="n">
        <v>45951</v>
      </c>
      <c r="C1734" t="n">
        <v>16389</v>
      </c>
      <c r="D1734" t="inlineStr">
        <is>
          <t>Bengaluru</t>
        </is>
      </c>
      <c r="E1734" t="inlineStr">
        <is>
          <t>South</t>
        </is>
      </c>
      <c r="F1734" t="inlineStr">
        <is>
          <t>Organic Search</t>
        </is>
      </c>
      <c r="G1734" t="inlineStr">
        <is>
          <t>Mobile App</t>
        </is>
      </c>
      <c r="H1734" t="inlineStr">
        <is>
          <t>UPI</t>
        </is>
      </c>
      <c r="I1734" t="inlineStr">
        <is>
          <t>Delivered</t>
        </is>
      </c>
      <c r="J1734" t="n">
        <v>113</v>
      </c>
      <c r="K1734" t="n">
        <v>1</v>
      </c>
      <c r="L1734" t="n">
        <v>1364</v>
      </c>
      <c r="M1734" t="n">
        <v>136.4</v>
      </c>
      <c r="N1734">
        <f>VLOOKUP(J1734,Products!$A$2:$C$49,3,FALSE)</f>
        <v/>
      </c>
      <c r="O1734">
        <f>K1734*L1734-M1734</f>
        <v/>
      </c>
      <c r="P1734">
        <f>TEXT(B1734,"yyyy-mm")</f>
        <v/>
      </c>
      <c r="Q1734">
        <f>IF(O1734&gt;=3000,"Large","Small")</f>
        <v/>
      </c>
      <c r="R1734">
        <f>INDEX(Products!$F$2:$F$49,MATCH(J1734,Products!$A$2:$A$49,0))</f>
        <v/>
      </c>
      <c r="S1734">
        <f>WEEKDAY(B1734,2)</f>
        <v/>
      </c>
    </row>
    <row r="1735">
      <c r="A1735" t="n">
        <v>510205</v>
      </c>
      <c r="B1735" s="6" t="n">
        <v>45951</v>
      </c>
      <c r="C1735" t="n">
        <v>16389</v>
      </c>
      <c r="D1735" t="inlineStr">
        <is>
          <t>Bengaluru</t>
        </is>
      </c>
      <c r="E1735" t="inlineStr">
        <is>
          <t>South</t>
        </is>
      </c>
      <c r="F1735" t="inlineStr">
        <is>
          <t>Organic Search</t>
        </is>
      </c>
      <c r="G1735" t="inlineStr">
        <is>
          <t>Mobile App</t>
        </is>
      </c>
      <c r="H1735" t="inlineStr">
        <is>
          <t>UPI</t>
        </is>
      </c>
      <c r="I1735" t="inlineStr">
        <is>
          <t>Delivered</t>
        </is>
      </c>
      <c r="J1735" t="n">
        <v>129</v>
      </c>
      <c r="K1735" t="n">
        <v>1</v>
      </c>
      <c r="L1735" t="n">
        <v>576</v>
      </c>
      <c r="M1735" t="n">
        <v>57.6</v>
      </c>
      <c r="N1735">
        <f>VLOOKUP(J1735,Products!$A$2:$C$49,3,FALSE)</f>
        <v/>
      </c>
      <c r="O1735">
        <f>K1735*L1735-M1735</f>
        <v/>
      </c>
      <c r="P1735">
        <f>TEXT(B1735,"yyyy-mm")</f>
        <v/>
      </c>
      <c r="Q1735">
        <f>IF(O1735&gt;=3000,"Large","Small")</f>
        <v/>
      </c>
      <c r="R1735">
        <f>INDEX(Products!$F$2:$F$49,MATCH(J1735,Products!$A$2:$A$49,0))</f>
        <v/>
      </c>
      <c r="S1735">
        <f>WEEKDAY(B1735,2)</f>
        <v/>
      </c>
    </row>
    <row r="1736">
      <c r="A1736" t="n">
        <v>510206</v>
      </c>
      <c r="B1736" s="6" t="n">
        <v>45951</v>
      </c>
      <c r="C1736" t="n">
        <v>12087</v>
      </c>
      <c r="D1736" t="inlineStr">
        <is>
          <t>Pune</t>
        </is>
      </c>
      <c r="E1736" t="inlineStr">
        <is>
          <t>West</t>
        </is>
      </c>
      <c r="F1736" t="inlineStr">
        <is>
          <t>Paid Social</t>
        </is>
      </c>
      <c r="G1736" t="inlineStr">
        <is>
          <t>Mobile Web</t>
        </is>
      </c>
      <c r="H1736" t="inlineStr">
        <is>
          <t>Debit Card</t>
        </is>
      </c>
      <c r="I1736" t="inlineStr">
        <is>
          <t>Delivered</t>
        </is>
      </c>
      <c r="J1736" t="n">
        <v>143</v>
      </c>
      <c r="K1736" t="n">
        <v>1</v>
      </c>
      <c r="L1736" t="n">
        <v>839</v>
      </c>
      <c r="M1736" t="n">
        <v>83.90000000000001</v>
      </c>
      <c r="N1736">
        <f>VLOOKUP(J1736,Products!$A$2:$C$49,3,FALSE)</f>
        <v/>
      </c>
      <c r="O1736">
        <f>K1736*L1736-M1736</f>
        <v/>
      </c>
      <c r="P1736">
        <f>TEXT(B1736,"yyyy-mm")</f>
        <v/>
      </c>
      <c r="Q1736">
        <f>IF(O1736&gt;=3000,"Large","Small")</f>
        <v/>
      </c>
      <c r="R1736">
        <f>INDEX(Products!$F$2:$F$49,MATCH(J1736,Products!$A$2:$A$49,0))</f>
        <v/>
      </c>
      <c r="S1736">
        <f>WEEKDAY(B1736,2)</f>
        <v/>
      </c>
    </row>
    <row r="1737">
      <c r="A1737" t="n">
        <v>510207</v>
      </c>
      <c r="B1737" s="6" t="n">
        <v>45951</v>
      </c>
      <c r="C1737" t="n">
        <v>16795</v>
      </c>
      <c r="D1737" t="inlineStr">
        <is>
          <t>Hyderabad</t>
        </is>
      </c>
      <c r="E1737" t="inlineStr">
        <is>
          <t>South</t>
        </is>
      </c>
      <c r="F1737" t="inlineStr">
        <is>
          <t>Affiliate</t>
        </is>
      </c>
      <c r="G1737" t="inlineStr">
        <is>
          <t>Mobile App</t>
        </is>
      </c>
      <c r="H1737" t="inlineStr">
        <is>
          <t>UPI</t>
        </is>
      </c>
      <c r="I1737" t="inlineStr">
        <is>
          <t>Delivered</t>
        </is>
      </c>
      <c r="J1737" t="n">
        <v>121</v>
      </c>
      <c r="K1737" t="n">
        <v>1</v>
      </c>
      <c r="L1737" t="n">
        <v>2939</v>
      </c>
      <c r="M1737" t="n">
        <v>0</v>
      </c>
      <c r="N1737">
        <f>VLOOKUP(J1737,Products!$A$2:$C$49,3,FALSE)</f>
        <v/>
      </c>
      <c r="O1737">
        <f>K1737*L1737-M1737</f>
        <v/>
      </c>
      <c r="P1737">
        <f>TEXT(B1737,"yyyy-mm")</f>
        <v/>
      </c>
      <c r="Q1737">
        <f>IF(O1737&gt;=3000,"Large","Small")</f>
        <v/>
      </c>
      <c r="R1737">
        <f>INDEX(Products!$F$2:$F$49,MATCH(J1737,Products!$A$2:$A$49,0))</f>
        <v/>
      </c>
      <c r="S1737">
        <f>WEEKDAY(B1737,2)</f>
        <v/>
      </c>
    </row>
    <row r="1738">
      <c r="A1738" t="n">
        <v>510207</v>
      </c>
      <c r="B1738" s="6" t="n">
        <v>45951</v>
      </c>
      <c r="C1738" t="n">
        <v>16795</v>
      </c>
      <c r="D1738" t="inlineStr">
        <is>
          <t>Hyderabad</t>
        </is>
      </c>
      <c r="E1738" t="inlineStr">
        <is>
          <t>South</t>
        </is>
      </c>
      <c r="F1738" t="inlineStr">
        <is>
          <t>Affiliate</t>
        </is>
      </c>
      <c r="G1738" t="inlineStr">
        <is>
          <t>Mobile App</t>
        </is>
      </c>
      <c r="H1738" t="inlineStr">
        <is>
          <t>UPI</t>
        </is>
      </c>
      <c r="I1738" t="inlineStr">
        <is>
          <t>Delivered</t>
        </is>
      </c>
      <c r="J1738" t="n">
        <v>136</v>
      </c>
      <c r="K1738" t="n">
        <v>1</v>
      </c>
      <c r="L1738" t="n">
        <v>944</v>
      </c>
      <c r="M1738" t="n">
        <v>0</v>
      </c>
      <c r="N1738">
        <f>VLOOKUP(J1738,Products!$A$2:$C$49,3,FALSE)</f>
        <v/>
      </c>
      <c r="O1738">
        <f>K1738*L1738-M1738</f>
        <v/>
      </c>
      <c r="P1738">
        <f>TEXT(B1738,"yyyy-mm")</f>
        <v/>
      </c>
      <c r="Q1738">
        <f>IF(O1738&gt;=3000,"Large","Small")</f>
        <v/>
      </c>
      <c r="R1738">
        <f>INDEX(Products!$F$2:$F$49,MATCH(J1738,Products!$A$2:$A$49,0))</f>
        <v/>
      </c>
      <c r="S1738">
        <f>WEEKDAY(B1738,2)</f>
        <v/>
      </c>
    </row>
    <row r="1739">
      <c r="A1739" t="n">
        <v>510207</v>
      </c>
      <c r="B1739" s="6" t="n">
        <v>45951</v>
      </c>
      <c r="C1739" t="n">
        <v>16795</v>
      </c>
      <c r="D1739" t="inlineStr">
        <is>
          <t>Hyderabad</t>
        </is>
      </c>
      <c r="E1739" t="inlineStr">
        <is>
          <t>South</t>
        </is>
      </c>
      <c r="F1739" t="inlineStr">
        <is>
          <t>Affiliate</t>
        </is>
      </c>
      <c r="G1739" t="inlineStr">
        <is>
          <t>Mobile App</t>
        </is>
      </c>
      <c r="H1739" t="inlineStr">
        <is>
          <t>UPI</t>
        </is>
      </c>
      <c r="I1739" t="inlineStr">
        <is>
          <t>Delivered</t>
        </is>
      </c>
      <c r="J1739" t="n">
        <v>111</v>
      </c>
      <c r="K1739" t="n">
        <v>1</v>
      </c>
      <c r="L1739" t="n">
        <v>524</v>
      </c>
      <c r="M1739" t="n">
        <v>0</v>
      </c>
      <c r="N1739">
        <f>VLOOKUP(J1739,Products!$A$2:$C$49,3,FALSE)</f>
        <v/>
      </c>
      <c r="O1739">
        <f>K1739*L1739-M1739</f>
        <v/>
      </c>
      <c r="P1739">
        <f>TEXT(B1739,"yyyy-mm")</f>
        <v/>
      </c>
      <c r="Q1739">
        <f>IF(O1739&gt;=3000,"Large","Small")</f>
        <v/>
      </c>
      <c r="R1739">
        <f>INDEX(Products!$F$2:$F$49,MATCH(J1739,Products!$A$2:$A$49,0))</f>
        <v/>
      </c>
      <c r="S1739">
        <f>WEEKDAY(B1739,2)</f>
        <v/>
      </c>
    </row>
    <row r="1740">
      <c r="A1740" t="n">
        <v>510207</v>
      </c>
      <c r="B1740" s="6" t="n">
        <v>45951</v>
      </c>
      <c r="C1740" t="n">
        <v>16795</v>
      </c>
      <c r="D1740" t="inlineStr">
        <is>
          <t>Hyderabad</t>
        </is>
      </c>
      <c r="E1740" t="inlineStr">
        <is>
          <t>South</t>
        </is>
      </c>
      <c r="F1740" t="inlineStr">
        <is>
          <t>Affiliate</t>
        </is>
      </c>
      <c r="G1740" t="inlineStr">
        <is>
          <t>Mobile App</t>
        </is>
      </c>
      <c r="H1740" t="inlineStr">
        <is>
          <t>UPI</t>
        </is>
      </c>
      <c r="I1740" t="inlineStr">
        <is>
          <t>Delivered</t>
        </is>
      </c>
      <c r="J1740" t="n">
        <v>105</v>
      </c>
      <c r="K1740" t="n">
        <v>3</v>
      </c>
      <c r="L1740" t="n">
        <v>2414</v>
      </c>
      <c r="M1740" t="n">
        <v>0</v>
      </c>
      <c r="N1740">
        <f>VLOOKUP(J1740,Products!$A$2:$C$49,3,FALSE)</f>
        <v/>
      </c>
      <c r="O1740">
        <f>K1740*L1740-M1740</f>
        <v/>
      </c>
      <c r="P1740">
        <f>TEXT(B1740,"yyyy-mm")</f>
        <v/>
      </c>
      <c r="Q1740">
        <f>IF(O1740&gt;=3000,"Large","Small")</f>
        <v/>
      </c>
      <c r="R1740">
        <f>INDEX(Products!$F$2:$F$49,MATCH(J1740,Products!$A$2:$A$49,0))</f>
        <v/>
      </c>
      <c r="S1740">
        <f>WEEKDAY(B1740,2)</f>
        <v/>
      </c>
    </row>
    <row r="1741">
      <c r="A1741" t="n">
        <v>510208</v>
      </c>
      <c r="B1741" s="6" t="n">
        <v>45951</v>
      </c>
      <c r="C1741" t="n">
        <v>16958</v>
      </c>
      <c r="D1741" t="inlineStr">
        <is>
          <t>Delhi</t>
        </is>
      </c>
      <c r="E1741" t="inlineStr">
        <is>
          <t>North</t>
        </is>
      </c>
      <c r="F1741" t="inlineStr">
        <is>
          <t>Organic Search</t>
        </is>
      </c>
      <c r="G1741" t="inlineStr">
        <is>
          <t>Mobile App</t>
        </is>
      </c>
      <c r="H1741" t="inlineStr">
        <is>
          <t>Net Banking</t>
        </is>
      </c>
      <c r="I1741" t="inlineStr">
        <is>
          <t>Cancelled</t>
        </is>
      </c>
      <c r="J1741" t="n">
        <v>133</v>
      </c>
      <c r="K1741" t="n">
        <v>1</v>
      </c>
      <c r="L1741" t="n">
        <v>419</v>
      </c>
      <c r="M1741" t="n">
        <v>62.85</v>
      </c>
      <c r="N1741">
        <f>VLOOKUP(J1741,Products!$A$2:$C$49,3,FALSE)</f>
        <v/>
      </c>
      <c r="O1741">
        <f>K1741*L1741-M1741</f>
        <v/>
      </c>
      <c r="P1741">
        <f>TEXT(B1741,"yyyy-mm")</f>
        <v/>
      </c>
      <c r="Q1741">
        <f>IF(O1741&gt;=3000,"Large","Small")</f>
        <v/>
      </c>
      <c r="R1741">
        <f>INDEX(Products!$F$2:$F$49,MATCH(J1741,Products!$A$2:$A$49,0))</f>
        <v/>
      </c>
      <c r="S1741">
        <f>WEEKDAY(B1741,2)</f>
        <v/>
      </c>
    </row>
    <row r="1742">
      <c r="A1742" t="n">
        <v>510208</v>
      </c>
      <c r="B1742" s="6" t="n">
        <v>45951</v>
      </c>
      <c r="C1742" t="n">
        <v>16958</v>
      </c>
      <c r="D1742" t="inlineStr">
        <is>
          <t>Delhi</t>
        </is>
      </c>
      <c r="E1742" t="inlineStr">
        <is>
          <t>North</t>
        </is>
      </c>
      <c r="F1742" t="inlineStr">
        <is>
          <t>Organic Search</t>
        </is>
      </c>
      <c r="G1742" t="inlineStr">
        <is>
          <t>Mobile App</t>
        </is>
      </c>
      <c r="H1742" t="inlineStr">
        <is>
          <t>Net Banking</t>
        </is>
      </c>
      <c r="I1742" t="inlineStr">
        <is>
          <t>Cancelled</t>
        </is>
      </c>
      <c r="J1742" t="n">
        <v>138</v>
      </c>
      <c r="K1742" t="n">
        <v>1</v>
      </c>
      <c r="L1742" t="n">
        <v>419</v>
      </c>
      <c r="M1742" t="n">
        <v>62.85</v>
      </c>
      <c r="N1742">
        <f>VLOOKUP(J1742,Products!$A$2:$C$49,3,FALSE)</f>
        <v/>
      </c>
      <c r="O1742">
        <f>K1742*L1742-M1742</f>
        <v/>
      </c>
      <c r="P1742">
        <f>TEXT(B1742,"yyyy-mm")</f>
        <v/>
      </c>
      <c r="Q1742">
        <f>IF(O1742&gt;=3000,"Large","Small")</f>
        <v/>
      </c>
      <c r="R1742">
        <f>INDEX(Products!$F$2:$F$49,MATCH(J1742,Products!$A$2:$A$49,0))</f>
        <v/>
      </c>
      <c r="S1742">
        <f>WEEKDAY(B1742,2)</f>
        <v/>
      </c>
    </row>
    <row r="1743">
      <c r="A1743" t="n">
        <v>510209</v>
      </c>
      <c r="B1743" s="6" t="n">
        <v>45951</v>
      </c>
      <c r="C1743" t="n">
        <v>13586</v>
      </c>
      <c r="D1743" t="inlineStr">
        <is>
          <t>Chennai</t>
        </is>
      </c>
      <c r="E1743" t="inlineStr">
        <is>
          <t>South</t>
        </is>
      </c>
      <c r="F1743" t="inlineStr">
        <is>
          <t>Referral</t>
        </is>
      </c>
      <c r="G1743" t="inlineStr">
        <is>
          <t>Desktop</t>
        </is>
      </c>
      <c r="H1743" t="inlineStr">
        <is>
          <t>Debit Card</t>
        </is>
      </c>
      <c r="I1743" t="inlineStr">
        <is>
          <t>Delivered</t>
        </is>
      </c>
      <c r="J1743" t="n">
        <v>107</v>
      </c>
      <c r="K1743" t="n">
        <v>2</v>
      </c>
      <c r="L1743" t="n">
        <v>1259</v>
      </c>
      <c r="M1743" t="n">
        <v>0</v>
      </c>
      <c r="N1743">
        <f>VLOOKUP(J1743,Products!$A$2:$C$49,3,FALSE)</f>
        <v/>
      </c>
      <c r="O1743">
        <f>K1743*L1743-M1743</f>
        <v/>
      </c>
      <c r="P1743">
        <f>TEXT(B1743,"yyyy-mm")</f>
        <v/>
      </c>
      <c r="Q1743">
        <f>IF(O1743&gt;=3000,"Large","Small")</f>
        <v/>
      </c>
      <c r="R1743">
        <f>INDEX(Products!$F$2:$F$49,MATCH(J1743,Products!$A$2:$A$49,0))</f>
        <v/>
      </c>
      <c r="S1743">
        <f>WEEKDAY(B1743,2)</f>
        <v/>
      </c>
    </row>
    <row r="1744">
      <c r="A1744" t="n">
        <v>510209</v>
      </c>
      <c r="B1744" s="6" t="n">
        <v>45951</v>
      </c>
      <c r="C1744" t="n">
        <v>13586</v>
      </c>
      <c r="D1744" t="inlineStr">
        <is>
          <t>Chennai</t>
        </is>
      </c>
      <c r="E1744" t="inlineStr">
        <is>
          <t>South</t>
        </is>
      </c>
      <c r="F1744" t="inlineStr">
        <is>
          <t>Referral</t>
        </is>
      </c>
      <c r="G1744" t="inlineStr">
        <is>
          <t>Desktop</t>
        </is>
      </c>
      <c r="H1744" t="inlineStr">
        <is>
          <t>Debit Card</t>
        </is>
      </c>
      <c r="I1744" t="inlineStr">
        <is>
          <t>Delivered</t>
        </is>
      </c>
      <c r="J1744" t="n">
        <v>137</v>
      </c>
      <c r="K1744" t="n">
        <v>1</v>
      </c>
      <c r="L1744" t="n">
        <v>261</v>
      </c>
      <c r="M1744" t="n">
        <v>0</v>
      </c>
      <c r="N1744">
        <f>VLOOKUP(J1744,Products!$A$2:$C$49,3,FALSE)</f>
        <v/>
      </c>
      <c r="O1744">
        <f>K1744*L1744-M1744</f>
        <v/>
      </c>
      <c r="P1744">
        <f>TEXT(B1744,"yyyy-mm")</f>
        <v/>
      </c>
      <c r="Q1744">
        <f>IF(O1744&gt;=3000,"Large","Small")</f>
        <v/>
      </c>
      <c r="R1744">
        <f>INDEX(Products!$F$2:$F$49,MATCH(J1744,Products!$A$2:$A$49,0))</f>
        <v/>
      </c>
      <c r="S1744">
        <f>WEEKDAY(B1744,2)</f>
        <v/>
      </c>
    </row>
    <row r="1745">
      <c r="A1745" t="n">
        <v>510210</v>
      </c>
      <c r="B1745" s="6" t="n">
        <v>45951</v>
      </c>
      <c r="C1745" t="n">
        <v>14627</v>
      </c>
      <c r="D1745" t="inlineStr">
        <is>
          <t>Hyderabad</t>
        </is>
      </c>
      <c r="E1745" t="inlineStr">
        <is>
          <t>South</t>
        </is>
      </c>
      <c r="F1745" t="inlineStr">
        <is>
          <t>Referral</t>
        </is>
      </c>
      <c r="G1745" t="inlineStr">
        <is>
          <t>Desktop</t>
        </is>
      </c>
      <c r="H1745" t="inlineStr">
        <is>
          <t>UPI</t>
        </is>
      </c>
      <c r="I1745" t="inlineStr">
        <is>
          <t>Delivered</t>
        </is>
      </c>
      <c r="J1745" t="n">
        <v>137</v>
      </c>
      <c r="K1745" t="n">
        <v>1</v>
      </c>
      <c r="L1745" t="n">
        <v>261</v>
      </c>
      <c r="M1745" t="n">
        <v>13.05</v>
      </c>
      <c r="N1745">
        <f>VLOOKUP(J1745,Products!$A$2:$C$49,3,FALSE)</f>
        <v/>
      </c>
      <c r="O1745">
        <f>K1745*L1745-M1745</f>
        <v/>
      </c>
      <c r="P1745">
        <f>TEXT(B1745,"yyyy-mm")</f>
        <v/>
      </c>
      <c r="Q1745">
        <f>IF(O1745&gt;=3000,"Large","Small")</f>
        <v/>
      </c>
      <c r="R1745">
        <f>INDEX(Products!$F$2:$F$49,MATCH(J1745,Products!$A$2:$A$49,0))</f>
        <v/>
      </c>
      <c r="S1745">
        <f>WEEKDAY(B1745,2)</f>
        <v/>
      </c>
    </row>
    <row r="1746">
      <c r="A1746" t="n">
        <v>510210</v>
      </c>
      <c r="B1746" s="6" t="n">
        <v>45951</v>
      </c>
      <c r="C1746" t="n">
        <v>14627</v>
      </c>
      <c r="D1746" t="inlineStr">
        <is>
          <t>Hyderabad</t>
        </is>
      </c>
      <c r="E1746" t="inlineStr">
        <is>
          <t>South</t>
        </is>
      </c>
      <c r="F1746" t="inlineStr">
        <is>
          <t>Referral</t>
        </is>
      </c>
      <c r="G1746" t="inlineStr">
        <is>
          <t>Desktop</t>
        </is>
      </c>
      <c r="H1746" t="inlineStr">
        <is>
          <t>UPI</t>
        </is>
      </c>
      <c r="I1746" t="inlineStr">
        <is>
          <t>Delivered</t>
        </is>
      </c>
      <c r="J1746" t="n">
        <v>109</v>
      </c>
      <c r="K1746" t="n">
        <v>1</v>
      </c>
      <c r="L1746" t="n">
        <v>4199</v>
      </c>
      <c r="M1746" t="n">
        <v>209.95</v>
      </c>
      <c r="N1746">
        <f>VLOOKUP(J1746,Products!$A$2:$C$49,3,FALSE)</f>
        <v/>
      </c>
      <c r="O1746">
        <f>K1746*L1746-M1746</f>
        <v/>
      </c>
      <c r="P1746">
        <f>TEXT(B1746,"yyyy-mm")</f>
        <v/>
      </c>
      <c r="Q1746">
        <f>IF(O1746&gt;=3000,"Large","Small")</f>
        <v/>
      </c>
      <c r="R1746">
        <f>INDEX(Products!$F$2:$F$49,MATCH(J1746,Products!$A$2:$A$49,0))</f>
        <v/>
      </c>
      <c r="S1746">
        <f>WEEKDAY(B1746,2)</f>
        <v/>
      </c>
    </row>
    <row r="1747">
      <c r="A1747" t="n">
        <v>510210</v>
      </c>
      <c r="B1747" s="6" t="n">
        <v>45951</v>
      </c>
      <c r="C1747" t="n">
        <v>14627</v>
      </c>
      <c r="D1747" t="inlineStr">
        <is>
          <t>Hyderabad</t>
        </is>
      </c>
      <c r="E1747" t="inlineStr">
        <is>
          <t>South</t>
        </is>
      </c>
      <c r="F1747" t="inlineStr">
        <is>
          <t>Referral</t>
        </is>
      </c>
      <c r="G1747" t="inlineStr">
        <is>
          <t>Desktop</t>
        </is>
      </c>
      <c r="H1747" t="inlineStr">
        <is>
          <t>UPI</t>
        </is>
      </c>
      <c r="I1747" t="inlineStr">
        <is>
          <t>Delivered</t>
        </is>
      </c>
      <c r="J1747" t="n">
        <v>120</v>
      </c>
      <c r="K1747" t="n">
        <v>1</v>
      </c>
      <c r="L1747" t="n">
        <v>734</v>
      </c>
      <c r="M1747" t="n">
        <v>36.7</v>
      </c>
      <c r="N1747">
        <f>VLOOKUP(J1747,Products!$A$2:$C$49,3,FALSE)</f>
        <v/>
      </c>
      <c r="O1747">
        <f>K1747*L1747-M1747</f>
        <v/>
      </c>
      <c r="P1747">
        <f>TEXT(B1747,"yyyy-mm")</f>
        <v/>
      </c>
      <c r="Q1747">
        <f>IF(O1747&gt;=3000,"Large","Small")</f>
        <v/>
      </c>
      <c r="R1747">
        <f>INDEX(Products!$F$2:$F$49,MATCH(J1747,Products!$A$2:$A$49,0))</f>
        <v/>
      </c>
      <c r="S1747">
        <f>WEEKDAY(B1747,2)</f>
        <v/>
      </c>
    </row>
    <row r="1748">
      <c r="A1748" t="n">
        <v>510210</v>
      </c>
      <c r="B1748" s="6" t="n">
        <v>45951</v>
      </c>
      <c r="C1748" t="n">
        <v>14627</v>
      </c>
      <c r="D1748" t="inlineStr">
        <is>
          <t>Hyderabad</t>
        </is>
      </c>
      <c r="E1748" t="inlineStr">
        <is>
          <t>South</t>
        </is>
      </c>
      <c r="F1748" t="inlineStr">
        <is>
          <t>Referral</t>
        </is>
      </c>
      <c r="G1748" t="inlineStr">
        <is>
          <t>Desktop</t>
        </is>
      </c>
      <c r="H1748" t="inlineStr">
        <is>
          <t>UPI</t>
        </is>
      </c>
      <c r="I1748" t="inlineStr">
        <is>
          <t>Delivered</t>
        </is>
      </c>
      <c r="J1748" t="n">
        <v>101</v>
      </c>
      <c r="K1748" t="n">
        <v>1</v>
      </c>
      <c r="L1748" t="n">
        <v>2099</v>
      </c>
      <c r="M1748" t="n">
        <v>104.95</v>
      </c>
      <c r="N1748">
        <f>VLOOKUP(J1748,Products!$A$2:$C$49,3,FALSE)</f>
        <v/>
      </c>
      <c r="O1748">
        <f>K1748*L1748-M1748</f>
        <v/>
      </c>
      <c r="P1748">
        <f>TEXT(B1748,"yyyy-mm")</f>
        <v/>
      </c>
      <c r="Q1748">
        <f>IF(O1748&gt;=3000,"Large","Small")</f>
        <v/>
      </c>
      <c r="R1748">
        <f>INDEX(Products!$F$2:$F$49,MATCH(J1748,Products!$A$2:$A$49,0))</f>
        <v/>
      </c>
      <c r="S1748">
        <f>WEEKDAY(B1748,2)</f>
        <v/>
      </c>
    </row>
    <row r="1749">
      <c r="A1749" t="n">
        <v>510210</v>
      </c>
      <c r="B1749" s="6" t="n">
        <v>45951</v>
      </c>
      <c r="C1749" t="n">
        <v>14627</v>
      </c>
      <c r="D1749" t="inlineStr">
        <is>
          <t>Hyderabad</t>
        </is>
      </c>
      <c r="E1749" t="inlineStr">
        <is>
          <t>South</t>
        </is>
      </c>
      <c r="F1749" t="inlineStr">
        <is>
          <t>Referral</t>
        </is>
      </c>
      <c r="G1749" t="inlineStr">
        <is>
          <t>Desktop</t>
        </is>
      </c>
      <c r="H1749" t="inlineStr">
        <is>
          <t>UPI</t>
        </is>
      </c>
      <c r="I1749" t="inlineStr">
        <is>
          <t>Delivered</t>
        </is>
      </c>
      <c r="J1749" t="n">
        <v>129</v>
      </c>
      <c r="K1749" t="n">
        <v>1</v>
      </c>
      <c r="L1749" t="n">
        <v>576</v>
      </c>
      <c r="M1749" t="n">
        <v>28.8</v>
      </c>
      <c r="N1749">
        <f>VLOOKUP(J1749,Products!$A$2:$C$49,3,FALSE)</f>
        <v/>
      </c>
      <c r="O1749">
        <f>K1749*L1749-M1749</f>
        <v/>
      </c>
      <c r="P1749">
        <f>TEXT(B1749,"yyyy-mm")</f>
        <v/>
      </c>
      <c r="Q1749">
        <f>IF(O1749&gt;=3000,"Large","Small")</f>
        <v/>
      </c>
      <c r="R1749">
        <f>INDEX(Products!$F$2:$F$49,MATCH(J1749,Products!$A$2:$A$49,0))</f>
        <v/>
      </c>
      <c r="S1749">
        <f>WEEKDAY(B1749,2)</f>
        <v/>
      </c>
    </row>
    <row r="1750">
      <c r="A1750" t="n">
        <v>510211</v>
      </c>
      <c r="B1750" s="6" t="n">
        <v>45951</v>
      </c>
      <c r="C1750" t="n">
        <v>10351</v>
      </c>
      <c r="D1750" t="inlineStr">
        <is>
          <t>Gurugram</t>
        </is>
      </c>
      <c r="E1750" t="inlineStr">
        <is>
          <t>North</t>
        </is>
      </c>
      <c r="F1750" t="inlineStr">
        <is>
          <t>Organic Search</t>
        </is>
      </c>
      <c r="G1750" t="inlineStr">
        <is>
          <t>Mobile Web</t>
        </is>
      </c>
      <c r="H1750" t="inlineStr">
        <is>
          <t>UPI</t>
        </is>
      </c>
      <c r="I1750" t="inlineStr">
        <is>
          <t>Delivered</t>
        </is>
      </c>
      <c r="J1750" t="n">
        <v>112</v>
      </c>
      <c r="K1750" t="n">
        <v>1</v>
      </c>
      <c r="L1750" t="n">
        <v>1574</v>
      </c>
      <c r="M1750" t="n">
        <v>157.4</v>
      </c>
      <c r="N1750">
        <f>VLOOKUP(J1750,Products!$A$2:$C$49,3,FALSE)</f>
        <v/>
      </c>
      <c r="O1750">
        <f>K1750*L1750-M1750</f>
        <v/>
      </c>
      <c r="P1750">
        <f>TEXT(B1750,"yyyy-mm")</f>
        <v/>
      </c>
      <c r="Q1750">
        <f>IF(O1750&gt;=3000,"Large","Small")</f>
        <v/>
      </c>
      <c r="R1750">
        <f>INDEX(Products!$F$2:$F$49,MATCH(J1750,Products!$A$2:$A$49,0))</f>
        <v/>
      </c>
      <c r="S1750">
        <f>WEEKDAY(B1750,2)</f>
        <v/>
      </c>
    </row>
    <row r="1751">
      <c r="A1751" t="n">
        <v>510212</v>
      </c>
      <c r="B1751" s="6" t="n">
        <v>45951</v>
      </c>
      <c r="C1751" t="n">
        <v>14861</v>
      </c>
      <c r="D1751" t="inlineStr">
        <is>
          <t>Jaipur</t>
        </is>
      </c>
      <c r="E1751" t="inlineStr">
        <is>
          <t>North</t>
        </is>
      </c>
      <c r="F1751" t="inlineStr">
        <is>
          <t>Referral</t>
        </is>
      </c>
      <c r="G1751" t="inlineStr">
        <is>
          <t>Mobile App</t>
        </is>
      </c>
      <c r="H1751" t="inlineStr">
        <is>
          <t>UPI</t>
        </is>
      </c>
      <c r="I1751" t="inlineStr">
        <is>
          <t>Delivered</t>
        </is>
      </c>
      <c r="J1751" t="n">
        <v>130</v>
      </c>
      <c r="K1751" t="n">
        <v>1</v>
      </c>
      <c r="L1751" t="n">
        <v>734</v>
      </c>
      <c r="M1751" t="n">
        <v>73.40000000000001</v>
      </c>
      <c r="N1751">
        <f>VLOOKUP(J1751,Products!$A$2:$C$49,3,FALSE)</f>
        <v/>
      </c>
      <c r="O1751">
        <f>K1751*L1751-M1751</f>
        <v/>
      </c>
      <c r="P1751">
        <f>TEXT(B1751,"yyyy-mm")</f>
        <v/>
      </c>
      <c r="Q1751">
        <f>IF(O1751&gt;=3000,"Large","Small")</f>
        <v/>
      </c>
      <c r="R1751">
        <f>INDEX(Products!$F$2:$F$49,MATCH(J1751,Products!$A$2:$A$49,0))</f>
        <v/>
      </c>
      <c r="S1751">
        <f>WEEKDAY(B1751,2)</f>
        <v/>
      </c>
    </row>
    <row r="1752">
      <c r="A1752" t="n">
        <v>510213</v>
      </c>
      <c r="B1752" s="6" t="n">
        <v>45951</v>
      </c>
      <c r="C1752" t="n">
        <v>14213</v>
      </c>
      <c r="D1752" t="inlineStr">
        <is>
          <t>Jaipur</t>
        </is>
      </c>
      <c r="E1752" t="inlineStr">
        <is>
          <t>North</t>
        </is>
      </c>
      <c r="F1752" t="inlineStr">
        <is>
          <t>Organic Search</t>
        </is>
      </c>
      <c r="G1752" t="inlineStr">
        <is>
          <t>Mobile App</t>
        </is>
      </c>
      <c r="H1752" t="inlineStr">
        <is>
          <t>UPI</t>
        </is>
      </c>
      <c r="I1752" t="inlineStr">
        <is>
          <t>Delivered</t>
        </is>
      </c>
      <c r="J1752" t="n">
        <v>116</v>
      </c>
      <c r="K1752" t="n">
        <v>1</v>
      </c>
      <c r="L1752" t="n">
        <v>2624</v>
      </c>
      <c r="M1752" t="n">
        <v>262.4</v>
      </c>
      <c r="N1752">
        <f>VLOOKUP(J1752,Products!$A$2:$C$49,3,FALSE)</f>
        <v/>
      </c>
      <c r="O1752">
        <f>K1752*L1752-M1752</f>
        <v/>
      </c>
      <c r="P1752">
        <f>TEXT(B1752,"yyyy-mm")</f>
        <v/>
      </c>
      <c r="Q1752">
        <f>IF(O1752&gt;=3000,"Large","Small")</f>
        <v/>
      </c>
      <c r="R1752">
        <f>INDEX(Products!$F$2:$F$49,MATCH(J1752,Products!$A$2:$A$49,0))</f>
        <v/>
      </c>
      <c r="S1752">
        <f>WEEKDAY(B1752,2)</f>
        <v/>
      </c>
    </row>
    <row r="1753">
      <c r="A1753" t="n">
        <v>510214</v>
      </c>
      <c r="B1753" s="6" t="n">
        <v>45951</v>
      </c>
      <c r="C1753" t="n">
        <v>14628</v>
      </c>
      <c r="D1753" t="inlineStr">
        <is>
          <t>Jaipur</t>
        </is>
      </c>
      <c r="E1753" t="inlineStr">
        <is>
          <t>North</t>
        </is>
      </c>
      <c r="F1753" t="inlineStr">
        <is>
          <t>Referral</t>
        </is>
      </c>
      <c r="G1753" t="inlineStr">
        <is>
          <t>Mobile App</t>
        </is>
      </c>
      <c r="H1753" t="inlineStr">
        <is>
          <t>UPI</t>
        </is>
      </c>
      <c r="I1753" t="inlineStr">
        <is>
          <t>Delivered</t>
        </is>
      </c>
      <c r="J1753" t="n">
        <v>148</v>
      </c>
      <c r="K1753" t="n">
        <v>1</v>
      </c>
      <c r="L1753" t="n">
        <v>734</v>
      </c>
      <c r="M1753" t="n">
        <v>0</v>
      </c>
      <c r="N1753">
        <f>VLOOKUP(J1753,Products!$A$2:$C$49,3,FALSE)</f>
        <v/>
      </c>
      <c r="O1753">
        <f>K1753*L1753-M1753</f>
        <v/>
      </c>
      <c r="P1753">
        <f>TEXT(B1753,"yyyy-mm")</f>
        <v/>
      </c>
      <c r="Q1753">
        <f>IF(O1753&gt;=3000,"Large","Small")</f>
        <v/>
      </c>
      <c r="R1753">
        <f>INDEX(Products!$F$2:$F$49,MATCH(J1753,Products!$A$2:$A$49,0))</f>
        <v/>
      </c>
      <c r="S1753">
        <f>WEEKDAY(B1753,2)</f>
        <v/>
      </c>
    </row>
    <row r="1754">
      <c r="A1754" t="n">
        <v>510215</v>
      </c>
      <c r="B1754" s="6" t="n">
        <v>45951</v>
      </c>
      <c r="C1754" t="n">
        <v>14763</v>
      </c>
      <c r="D1754" t="inlineStr">
        <is>
          <t>Mumbai</t>
        </is>
      </c>
      <c r="E1754" t="inlineStr">
        <is>
          <t>West</t>
        </is>
      </c>
      <c r="F1754" t="inlineStr">
        <is>
          <t>Organic Search</t>
        </is>
      </c>
      <c r="G1754" t="inlineStr">
        <is>
          <t>Mobile App</t>
        </is>
      </c>
      <c r="H1754" t="inlineStr">
        <is>
          <t>UPI</t>
        </is>
      </c>
      <c r="I1754" t="inlineStr">
        <is>
          <t>Delivered</t>
        </is>
      </c>
      <c r="J1754" t="n">
        <v>138</v>
      </c>
      <c r="K1754" t="n">
        <v>1</v>
      </c>
      <c r="L1754" t="n">
        <v>419</v>
      </c>
      <c r="M1754" t="n">
        <v>41.9</v>
      </c>
      <c r="N1754">
        <f>VLOOKUP(J1754,Products!$A$2:$C$49,3,FALSE)</f>
        <v/>
      </c>
      <c r="O1754">
        <f>K1754*L1754-M1754</f>
        <v/>
      </c>
      <c r="P1754">
        <f>TEXT(B1754,"yyyy-mm")</f>
        <v/>
      </c>
      <c r="Q1754">
        <f>IF(O1754&gt;=3000,"Large","Small")</f>
        <v/>
      </c>
      <c r="R1754">
        <f>INDEX(Products!$F$2:$F$49,MATCH(J1754,Products!$A$2:$A$49,0))</f>
        <v/>
      </c>
      <c r="S1754">
        <f>WEEKDAY(B1754,2)</f>
        <v/>
      </c>
    </row>
    <row r="1755">
      <c r="A1755" t="n">
        <v>510215</v>
      </c>
      <c r="B1755" s="6" t="n">
        <v>45951</v>
      </c>
      <c r="C1755" t="n">
        <v>14763</v>
      </c>
      <c r="D1755" t="inlineStr">
        <is>
          <t>Mumbai</t>
        </is>
      </c>
      <c r="E1755" t="inlineStr">
        <is>
          <t>West</t>
        </is>
      </c>
      <c r="F1755" t="inlineStr">
        <is>
          <t>Organic Search</t>
        </is>
      </c>
      <c r="G1755" t="inlineStr">
        <is>
          <t>Mobile App</t>
        </is>
      </c>
      <c r="H1755" t="inlineStr">
        <is>
          <t>UPI</t>
        </is>
      </c>
      <c r="I1755" t="inlineStr">
        <is>
          <t>Delivered</t>
        </is>
      </c>
      <c r="J1755" t="n">
        <v>129</v>
      </c>
      <c r="K1755" t="n">
        <v>2</v>
      </c>
      <c r="L1755" t="n">
        <v>576</v>
      </c>
      <c r="M1755" t="n">
        <v>115.2</v>
      </c>
      <c r="N1755">
        <f>VLOOKUP(J1755,Products!$A$2:$C$49,3,FALSE)</f>
        <v/>
      </c>
      <c r="O1755">
        <f>K1755*L1755-M1755</f>
        <v/>
      </c>
      <c r="P1755">
        <f>TEXT(B1755,"yyyy-mm")</f>
        <v/>
      </c>
      <c r="Q1755">
        <f>IF(O1755&gt;=3000,"Large","Small")</f>
        <v/>
      </c>
      <c r="R1755">
        <f>INDEX(Products!$F$2:$F$49,MATCH(J1755,Products!$A$2:$A$49,0))</f>
        <v/>
      </c>
      <c r="S1755">
        <f>WEEKDAY(B1755,2)</f>
        <v/>
      </c>
    </row>
    <row r="1756">
      <c r="A1756" t="n">
        <v>510216</v>
      </c>
      <c r="B1756" s="6" t="n">
        <v>45951</v>
      </c>
      <c r="C1756" t="n">
        <v>14116</v>
      </c>
      <c r="D1756" t="inlineStr">
        <is>
          <t>Bengaluru</t>
        </is>
      </c>
      <c r="E1756" t="inlineStr">
        <is>
          <t>South</t>
        </is>
      </c>
      <c r="F1756" t="inlineStr">
        <is>
          <t>Organic Search</t>
        </is>
      </c>
      <c r="G1756" t="inlineStr">
        <is>
          <t>Mobile App</t>
        </is>
      </c>
      <c r="H1756" t="inlineStr">
        <is>
          <t>UPI</t>
        </is>
      </c>
      <c r="I1756" t="inlineStr">
        <is>
          <t>Returned</t>
        </is>
      </c>
      <c r="J1756" t="n">
        <v>116</v>
      </c>
      <c r="K1756" t="n">
        <v>1</v>
      </c>
      <c r="L1756" t="n">
        <v>2624</v>
      </c>
      <c r="M1756" t="n">
        <v>262.4</v>
      </c>
      <c r="N1756">
        <f>VLOOKUP(J1756,Products!$A$2:$C$49,3,FALSE)</f>
        <v/>
      </c>
      <c r="O1756">
        <f>K1756*L1756-M1756</f>
        <v/>
      </c>
      <c r="P1756">
        <f>TEXT(B1756,"yyyy-mm")</f>
        <v/>
      </c>
      <c r="Q1756">
        <f>IF(O1756&gt;=3000,"Large","Small")</f>
        <v/>
      </c>
      <c r="R1756">
        <f>INDEX(Products!$F$2:$F$49,MATCH(J1756,Products!$A$2:$A$49,0))</f>
        <v/>
      </c>
      <c r="S1756">
        <f>WEEKDAY(B1756,2)</f>
        <v/>
      </c>
    </row>
    <row r="1757">
      <c r="A1757" t="n">
        <v>510217</v>
      </c>
      <c r="B1757" s="6" t="n">
        <v>45951</v>
      </c>
      <c r="C1757" t="n">
        <v>16251</v>
      </c>
      <c r="D1757" t="inlineStr">
        <is>
          <t>Chandigarh</t>
        </is>
      </c>
      <c r="E1757" t="inlineStr">
        <is>
          <t>North</t>
        </is>
      </c>
      <c r="F1757" t="inlineStr">
        <is>
          <t>Email</t>
        </is>
      </c>
      <c r="G1757" t="inlineStr">
        <is>
          <t>Mobile Web</t>
        </is>
      </c>
      <c r="H1757" t="inlineStr">
        <is>
          <t>Credit Card</t>
        </is>
      </c>
      <c r="I1757" t="inlineStr">
        <is>
          <t>Delivered</t>
        </is>
      </c>
      <c r="J1757" t="n">
        <v>134</v>
      </c>
      <c r="K1757" t="n">
        <v>1</v>
      </c>
      <c r="L1757" t="n">
        <v>209</v>
      </c>
      <c r="M1757" t="n">
        <v>20.9</v>
      </c>
      <c r="N1757">
        <f>VLOOKUP(J1757,Products!$A$2:$C$49,3,FALSE)</f>
        <v/>
      </c>
      <c r="O1757">
        <f>K1757*L1757-M1757</f>
        <v/>
      </c>
      <c r="P1757">
        <f>TEXT(B1757,"yyyy-mm")</f>
        <v/>
      </c>
      <c r="Q1757">
        <f>IF(O1757&gt;=3000,"Large","Small")</f>
        <v/>
      </c>
      <c r="R1757">
        <f>INDEX(Products!$F$2:$F$49,MATCH(J1757,Products!$A$2:$A$49,0))</f>
        <v/>
      </c>
      <c r="S1757">
        <f>WEEKDAY(B1757,2)</f>
        <v/>
      </c>
    </row>
    <row r="1758">
      <c r="A1758" t="n">
        <v>510217</v>
      </c>
      <c r="B1758" s="6" t="n">
        <v>45951</v>
      </c>
      <c r="C1758" t="n">
        <v>16251</v>
      </c>
      <c r="D1758" t="inlineStr">
        <is>
          <t>Chandigarh</t>
        </is>
      </c>
      <c r="E1758" t="inlineStr">
        <is>
          <t>North</t>
        </is>
      </c>
      <c r="F1758" t="inlineStr">
        <is>
          <t>Email</t>
        </is>
      </c>
      <c r="G1758" t="inlineStr">
        <is>
          <t>Mobile Web</t>
        </is>
      </c>
      <c r="H1758" t="inlineStr">
        <is>
          <t>Credit Card</t>
        </is>
      </c>
      <c r="I1758" t="inlineStr">
        <is>
          <t>Delivered</t>
        </is>
      </c>
      <c r="J1758" t="n">
        <v>113</v>
      </c>
      <c r="K1758" t="n">
        <v>1</v>
      </c>
      <c r="L1758" t="n">
        <v>1364</v>
      </c>
      <c r="M1758" t="n">
        <v>136.4</v>
      </c>
      <c r="N1758">
        <f>VLOOKUP(J1758,Products!$A$2:$C$49,3,FALSE)</f>
        <v/>
      </c>
      <c r="O1758">
        <f>K1758*L1758-M1758</f>
        <v/>
      </c>
      <c r="P1758">
        <f>TEXT(B1758,"yyyy-mm")</f>
        <v/>
      </c>
      <c r="Q1758">
        <f>IF(O1758&gt;=3000,"Large","Small")</f>
        <v/>
      </c>
      <c r="R1758">
        <f>INDEX(Products!$F$2:$F$49,MATCH(J1758,Products!$A$2:$A$49,0))</f>
        <v/>
      </c>
      <c r="S1758">
        <f>WEEKDAY(B1758,2)</f>
        <v/>
      </c>
    </row>
    <row r="1759">
      <c r="A1759" t="n">
        <v>510218</v>
      </c>
      <c r="B1759" s="6" t="n">
        <v>45951</v>
      </c>
      <c r="C1759" t="n">
        <v>11677</v>
      </c>
      <c r="D1759" t="inlineStr">
        <is>
          <t>Kolkata</t>
        </is>
      </c>
      <c r="E1759" t="inlineStr">
        <is>
          <t>East</t>
        </is>
      </c>
      <c r="F1759" t="inlineStr">
        <is>
          <t>Referral</t>
        </is>
      </c>
      <c r="G1759" t="inlineStr">
        <is>
          <t>Desktop</t>
        </is>
      </c>
      <c r="H1759" t="inlineStr">
        <is>
          <t>Debit Card</t>
        </is>
      </c>
      <c r="I1759" t="inlineStr">
        <is>
          <t>Delivered</t>
        </is>
      </c>
      <c r="J1759" t="n">
        <v>104</v>
      </c>
      <c r="K1759" t="n">
        <v>1</v>
      </c>
      <c r="L1759" t="n">
        <v>5249</v>
      </c>
      <c r="M1759" t="n">
        <v>0</v>
      </c>
      <c r="N1759">
        <f>VLOOKUP(J1759,Products!$A$2:$C$49,3,FALSE)</f>
        <v/>
      </c>
      <c r="O1759">
        <f>K1759*L1759-M1759</f>
        <v/>
      </c>
      <c r="P1759">
        <f>TEXT(B1759,"yyyy-mm")</f>
        <v/>
      </c>
      <c r="Q1759">
        <f>IF(O1759&gt;=3000,"Large","Small")</f>
        <v/>
      </c>
      <c r="R1759">
        <f>INDEX(Products!$F$2:$F$49,MATCH(J1759,Products!$A$2:$A$49,0))</f>
        <v/>
      </c>
      <c r="S1759">
        <f>WEEKDAY(B1759,2)</f>
        <v/>
      </c>
    </row>
    <row r="1760">
      <c r="A1760" t="n">
        <v>510219</v>
      </c>
      <c r="B1760" s="6" t="n">
        <v>45951</v>
      </c>
      <c r="C1760" t="n">
        <v>16860</v>
      </c>
      <c r="D1760" t="inlineStr">
        <is>
          <t>Hyderabad</t>
        </is>
      </c>
      <c r="E1760" t="inlineStr">
        <is>
          <t>South</t>
        </is>
      </c>
      <c r="F1760" t="inlineStr">
        <is>
          <t>Paid Search</t>
        </is>
      </c>
      <c r="G1760" t="inlineStr">
        <is>
          <t>Mobile App</t>
        </is>
      </c>
      <c r="H1760" t="inlineStr">
        <is>
          <t>Cash on Delivery</t>
        </is>
      </c>
      <c r="I1760" t="inlineStr">
        <is>
          <t>Delivered</t>
        </is>
      </c>
      <c r="J1760" t="n">
        <v>119</v>
      </c>
      <c r="K1760" t="n">
        <v>1</v>
      </c>
      <c r="L1760" t="n">
        <v>2309</v>
      </c>
      <c r="M1760" t="n">
        <v>346.35</v>
      </c>
      <c r="N1760">
        <f>VLOOKUP(J1760,Products!$A$2:$C$49,3,FALSE)</f>
        <v/>
      </c>
      <c r="O1760">
        <f>K1760*L1760-M1760</f>
        <v/>
      </c>
      <c r="P1760">
        <f>TEXT(B1760,"yyyy-mm")</f>
        <v/>
      </c>
      <c r="Q1760">
        <f>IF(O1760&gt;=3000,"Large","Small")</f>
        <v/>
      </c>
      <c r="R1760">
        <f>INDEX(Products!$F$2:$F$49,MATCH(J1760,Products!$A$2:$A$49,0))</f>
        <v/>
      </c>
      <c r="S1760">
        <f>WEEKDAY(B1760,2)</f>
        <v/>
      </c>
    </row>
    <row r="1761">
      <c r="A1761" t="n">
        <v>510219</v>
      </c>
      <c r="B1761" s="6" t="n">
        <v>45951</v>
      </c>
      <c r="C1761" t="n">
        <v>16860</v>
      </c>
      <c r="D1761" t="inlineStr">
        <is>
          <t>Hyderabad</t>
        </is>
      </c>
      <c r="E1761" t="inlineStr">
        <is>
          <t>South</t>
        </is>
      </c>
      <c r="F1761" t="inlineStr">
        <is>
          <t>Paid Search</t>
        </is>
      </c>
      <c r="G1761" t="inlineStr">
        <is>
          <t>Mobile App</t>
        </is>
      </c>
      <c r="H1761" t="inlineStr">
        <is>
          <t>Cash on Delivery</t>
        </is>
      </c>
      <c r="I1761" t="inlineStr">
        <is>
          <t>Delivered</t>
        </is>
      </c>
      <c r="J1761" t="n">
        <v>129</v>
      </c>
      <c r="K1761" t="n">
        <v>1</v>
      </c>
      <c r="L1761" t="n">
        <v>576</v>
      </c>
      <c r="M1761" t="n">
        <v>86.40000000000001</v>
      </c>
      <c r="N1761">
        <f>VLOOKUP(J1761,Products!$A$2:$C$49,3,FALSE)</f>
        <v/>
      </c>
      <c r="O1761">
        <f>K1761*L1761-M1761</f>
        <v/>
      </c>
      <c r="P1761">
        <f>TEXT(B1761,"yyyy-mm")</f>
        <v/>
      </c>
      <c r="Q1761">
        <f>IF(O1761&gt;=3000,"Large","Small")</f>
        <v/>
      </c>
      <c r="R1761">
        <f>INDEX(Products!$F$2:$F$49,MATCH(J1761,Products!$A$2:$A$49,0))</f>
        <v/>
      </c>
      <c r="S1761">
        <f>WEEKDAY(B1761,2)</f>
        <v/>
      </c>
    </row>
    <row r="1762">
      <c r="A1762" t="n">
        <v>510220</v>
      </c>
      <c r="B1762" s="6" t="n">
        <v>45951</v>
      </c>
      <c r="C1762" t="n">
        <v>11888</v>
      </c>
      <c r="D1762" t="inlineStr">
        <is>
          <t>Chennai</t>
        </is>
      </c>
      <c r="E1762" t="inlineStr">
        <is>
          <t>South</t>
        </is>
      </c>
      <c r="F1762" t="inlineStr">
        <is>
          <t>Organic Search</t>
        </is>
      </c>
      <c r="G1762" t="inlineStr">
        <is>
          <t>Mobile App</t>
        </is>
      </c>
      <c r="H1762" t="inlineStr">
        <is>
          <t>UPI</t>
        </is>
      </c>
      <c r="I1762" t="inlineStr">
        <is>
          <t>Returned</t>
        </is>
      </c>
      <c r="J1762" t="n">
        <v>118</v>
      </c>
      <c r="K1762" t="n">
        <v>2</v>
      </c>
      <c r="L1762" t="n">
        <v>944</v>
      </c>
      <c r="M1762" t="n">
        <v>0</v>
      </c>
      <c r="N1762">
        <f>VLOOKUP(J1762,Products!$A$2:$C$49,3,FALSE)</f>
        <v/>
      </c>
      <c r="O1762">
        <f>K1762*L1762-M1762</f>
        <v/>
      </c>
      <c r="P1762">
        <f>TEXT(B1762,"yyyy-mm")</f>
        <v/>
      </c>
      <c r="Q1762">
        <f>IF(O1762&gt;=3000,"Large","Small")</f>
        <v/>
      </c>
      <c r="R1762">
        <f>INDEX(Products!$F$2:$F$49,MATCH(J1762,Products!$A$2:$A$49,0))</f>
        <v/>
      </c>
      <c r="S1762">
        <f>WEEKDAY(B1762,2)</f>
        <v/>
      </c>
    </row>
    <row r="1763">
      <c r="A1763" t="n">
        <v>510220</v>
      </c>
      <c r="B1763" s="6" t="n">
        <v>45951</v>
      </c>
      <c r="C1763" t="n">
        <v>11888</v>
      </c>
      <c r="D1763" t="inlineStr">
        <is>
          <t>Chennai</t>
        </is>
      </c>
      <c r="E1763" t="inlineStr">
        <is>
          <t>South</t>
        </is>
      </c>
      <c r="F1763" t="inlineStr">
        <is>
          <t>Organic Search</t>
        </is>
      </c>
      <c r="G1763" t="inlineStr">
        <is>
          <t>Mobile App</t>
        </is>
      </c>
      <c r="H1763" t="inlineStr">
        <is>
          <t>UPI</t>
        </is>
      </c>
      <c r="I1763" t="inlineStr">
        <is>
          <t>Returned</t>
        </is>
      </c>
      <c r="J1763" t="n">
        <v>134</v>
      </c>
      <c r="K1763" t="n">
        <v>1</v>
      </c>
      <c r="L1763" t="n">
        <v>209</v>
      </c>
      <c r="M1763" t="n">
        <v>0</v>
      </c>
      <c r="N1763">
        <f>VLOOKUP(J1763,Products!$A$2:$C$49,3,FALSE)</f>
        <v/>
      </c>
      <c r="O1763">
        <f>K1763*L1763-M1763</f>
        <v/>
      </c>
      <c r="P1763">
        <f>TEXT(B1763,"yyyy-mm")</f>
        <v/>
      </c>
      <c r="Q1763">
        <f>IF(O1763&gt;=3000,"Large","Small")</f>
        <v/>
      </c>
      <c r="R1763">
        <f>INDEX(Products!$F$2:$F$49,MATCH(J1763,Products!$A$2:$A$49,0))</f>
        <v/>
      </c>
      <c r="S1763">
        <f>WEEKDAY(B1763,2)</f>
        <v/>
      </c>
    </row>
    <row r="1764">
      <c r="A1764" t="n">
        <v>510221</v>
      </c>
      <c r="B1764" s="6" t="n">
        <v>45951</v>
      </c>
      <c r="C1764" t="n">
        <v>16959</v>
      </c>
      <c r="D1764" t="inlineStr">
        <is>
          <t>Delhi</t>
        </is>
      </c>
      <c r="E1764" t="inlineStr">
        <is>
          <t>North</t>
        </is>
      </c>
      <c r="F1764" t="inlineStr">
        <is>
          <t>Organic Search</t>
        </is>
      </c>
      <c r="G1764" t="inlineStr">
        <is>
          <t>Mobile App</t>
        </is>
      </c>
      <c r="H1764" t="inlineStr">
        <is>
          <t>UPI</t>
        </is>
      </c>
      <c r="I1764" t="inlineStr">
        <is>
          <t>Delivered</t>
        </is>
      </c>
      <c r="J1764" t="n">
        <v>109</v>
      </c>
      <c r="K1764" t="n">
        <v>1</v>
      </c>
      <c r="L1764" t="n">
        <v>4199</v>
      </c>
      <c r="M1764" t="n">
        <v>419.9</v>
      </c>
      <c r="N1764">
        <f>VLOOKUP(J1764,Products!$A$2:$C$49,3,FALSE)</f>
        <v/>
      </c>
      <c r="O1764">
        <f>K1764*L1764-M1764</f>
        <v/>
      </c>
      <c r="P1764">
        <f>TEXT(B1764,"yyyy-mm")</f>
        <v/>
      </c>
      <c r="Q1764">
        <f>IF(O1764&gt;=3000,"Large","Small")</f>
        <v/>
      </c>
      <c r="R1764">
        <f>INDEX(Products!$F$2:$F$49,MATCH(J1764,Products!$A$2:$A$49,0))</f>
        <v/>
      </c>
      <c r="S1764">
        <f>WEEKDAY(B1764,2)</f>
        <v/>
      </c>
    </row>
    <row r="1765">
      <c r="A1765" t="n">
        <v>510221</v>
      </c>
      <c r="B1765" s="6" t="n">
        <v>45951</v>
      </c>
      <c r="C1765" t="n">
        <v>16959</v>
      </c>
      <c r="D1765" t="inlineStr">
        <is>
          <t>Delhi</t>
        </is>
      </c>
      <c r="E1765" t="inlineStr">
        <is>
          <t>North</t>
        </is>
      </c>
      <c r="F1765" t="inlineStr">
        <is>
          <t>Organic Search</t>
        </is>
      </c>
      <c r="G1765" t="inlineStr">
        <is>
          <t>Mobile App</t>
        </is>
      </c>
      <c r="H1765" t="inlineStr">
        <is>
          <t>UPI</t>
        </is>
      </c>
      <c r="I1765" t="inlineStr">
        <is>
          <t>Delivered</t>
        </is>
      </c>
      <c r="J1765" t="n">
        <v>102</v>
      </c>
      <c r="K1765" t="n">
        <v>1</v>
      </c>
      <c r="L1765" t="n">
        <v>3674</v>
      </c>
      <c r="M1765" t="n">
        <v>367.4</v>
      </c>
      <c r="N1765">
        <f>VLOOKUP(J1765,Products!$A$2:$C$49,3,FALSE)</f>
        <v/>
      </c>
      <c r="O1765">
        <f>K1765*L1765-M1765</f>
        <v/>
      </c>
      <c r="P1765">
        <f>TEXT(B1765,"yyyy-mm")</f>
        <v/>
      </c>
      <c r="Q1765">
        <f>IF(O1765&gt;=3000,"Large","Small")</f>
        <v/>
      </c>
      <c r="R1765">
        <f>INDEX(Products!$F$2:$F$49,MATCH(J1765,Products!$A$2:$A$49,0))</f>
        <v/>
      </c>
      <c r="S1765">
        <f>WEEKDAY(B1765,2)</f>
        <v/>
      </c>
    </row>
    <row r="1766">
      <c r="A1766" t="n">
        <v>510221</v>
      </c>
      <c r="B1766" s="6" t="n">
        <v>45951</v>
      </c>
      <c r="C1766" t="n">
        <v>16959</v>
      </c>
      <c r="D1766" t="inlineStr">
        <is>
          <t>Delhi</t>
        </is>
      </c>
      <c r="E1766" t="inlineStr">
        <is>
          <t>North</t>
        </is>
      </c>
      <c r="F1766" t="inlineStr">
        <is>
          <t>Organic Search</t>
        </is>
      </c>
      <c r="G1766" t="inlineStr">
        <is>
          <t>Mobile App</t>
        </is>
      </c>
      <c r="H1766" t="inlineStr">
        <is>
          <t>UPI</t>
        </is>
      </c>
      <c r="I1766" t="inlineStr">
        <is>
          <t>Delivered</t>
        </is>
      </c>
      <c r="J1766" t="n">
        <v>115</v>
      </c>
      <c r="K1766" t="n">
        <v>2</v>
      </c>
      <c r="L1766" t="n">
        <v>4199</v>
      </c>
      <c r="M1766" t="n">
        <v>839.8</v>
      </c>
      <c r="N1766">
        <f>VLOOKUP(J1766,Products!$A$2:$C$49,3,FALSE)</f>
        <v/>
      </c>
      <c r="O1766">
        <f>K1766*L1766-M1766</f>
        <v/>
      </c>
      <c r="P1766">
        <f>TEXT(B1766,"yyyy-mm")</f>
        <v/>
      </c>
      <c r="Q1766">
        <f>IF(O1766&gt;=3000,"Large","Small")</f>
        <v/>
      </c>
      <c r="R1766">
        <f>INDEX(Products!$F$2:$F$49,MATCH(J1766,Products!$A$2:$A$49,0))</f>
        <v/>
      </c>
      <c r="S1766">
        <f>WEEKDAY(B1766,2)</f>
        <v/>
      </c>
    </row>
    <row r="1767">
      <c r="A1767" t="n">
        <v>510221</v>
      </c>
      <c r="B1767" s="6" t="n">
        <v>45951</v>
      </c>
      <c r="C1767" t="n">
        <v>16959</v>
      </c>
      <c r="D1767" t="inlineStr">
        <is>
          <t>Delhi</t>
        </is>
      </c>
      <c r="E1767" t="inlineStr">
        <is>
          <t>North</t>
        </is>
      </c>
      <c r="F1767" t="inlineStr">
        <is>
          <t>Organic Search</t>
        </is>
      </c>
      <c r="G1767" t="inlineStr">
        <is>
          <t>Mobile App</t>
        </is>
      </c>
      <c r="H1767" t="inlineStr">
        <is>
          <t>UPI</t>
        </is>
      </c>
      <c r="I1767" t="inlineStr">
        <is>
          <t>Delivered</t>
        </is>
      </c>
      <c r="J1767" t="n">
        <v>134</v>
      </c>
      <c r="K1767" t="n">
        <v>1</v>
      </c>
      <c r="L1767" t="n">
        <v>209</v>
      </c>
      <c r="M1767" t="n">
        <v>20.9</v>
      </c>
      <c r="N1767">
        <f>VLOOKUP(J1767,Products!$A$2:$C$49,3,FALSE)</f>
        <v/>
      </c>
      <c r="O1767">
        <f>K1767*L1767-M1767</f>
        <v/>
      </c>
      <c r="P1767">
        <f>TEXT(B1767,"yyyy-mm")</f>
        <v/>
      </c>
      <c r="Q1767">
        <f>IF(O1767&gt;=3000,"Large","Small")</f>
        <v/>
      </c>
      <c r="R1767">
        <f>INDEX(Products!$F$2:$F$49,MATCH(J1767,Products!$A$2:$A$49,0))</f>
        <v/>
      </c>
      <c r="S1767">
        <f>WEEKDAY(B1767,2)</f>
        <v/>
      </c>
    </row>
    <row r="1768">
      <c r="A1768" t="n">
        <v>510221</v>
      </c>
      <c r="B1768" s="6" t="n">
        <v>45951</v>
      </c>
      <c r="C1768" t="n">
        <v>16959</v>
      </c>
      <c r="D1768" t="inlineStr">
        <is>
          <t>Delhi</t>
        </is>
      </c>
      <c r="E1768" t="inlineStr">
        <is>
          <t>North</t>
        </is>
      </c>
      <c r="F1768" t="inlineStr">
        <is>
          <t>Organic Search</t>
        </is>
      </c>
      <c r="G1768" t="inlineStr">
        <is>
          <t>Mobile App</t>
        </is>
      </c>
      <c r="H1768" t="inlineStr">
        <is>
          <t>UPI</t>
        </is>
      </c>
      <c r="I1768" t="inlineStr">
        <is>
          <t>Delivered</t>
        </is>
      </c>
      <c r="J1768" t="n">
        <v>129</v>
      </c>
      <c r="K1768" t="n">
        <v>1</v>
      </c>
      <c r="L1768" t="n">
        <v>576</v>
      </c>
      <c r="M1768" t="n">
        <v>57.6</v>
      </c>
      <c r="N1768">
        <f>VLOOKUP(J1768,Products!$A$2:$C$49,3,FALSE)</f>
        <v/>
      </c>
      <c r="O1768">
        <f>K1768*L1768-M1768</f>
        <v/>
      </c>
      <c r="P1768">
        <f>TEXT(B1768,"yyyy-mm")</f>
        <v/>
      </c>
      <c r="Q1768">
        <f>IF(O1768&gt;=3000,"Large","Small")</f>
        <v/>
      </c>
      <c r="R1768">
        <f>INDEX(Products!$F$2:$F$49,MATCH(J1768,Products!$A$2:$A$49,0))</f>
        <v/>
      </c>
      <c r="S1768">
        <f>WEEKDAY(B1768,2)</f>
        <v/>
      </c>
    </row>
    <row r="1769">
      <c r="A1769" t="n">
        <v>510222</v>
      </c>
      <c r="B1769" s="6" t="n">
        <v>45951</v>
      </c>
      <c r="C1769" t="n">
        <v>16330</v>
      </c>
      <c r="D1769" t="inlineStr">
        <is>
          <t>Jaipur</t>
        </is>
      </c>
      <c r="E1769" t="inlineStr">
        <is>
          <t>North</t>
        </is>
      </c>
      <c r="F1769" t="inlineStr">
        <is>
          <t>Affiliate</t>
        </is>
      </c>
      <c r="G1769" t="inlineStr">
        <is>
          <t>Mobile App</t>
        </is>
      </c>
      <c r="H1769" t="inlineStr">
        <is>
          <t>UPI</t>
        </is>
      </c>
      <c r="I1769" t="inlineStr">
        <is>
          <t>Delivered</t>
        </is>
      </c>
      <c r="J1769" t="n">
        <v>130</v>
      </c>
      <c r="K1769" t="n">
        <v>1</v>
      </c>
      <c r="L1769" t="n">
        <v>734</v>
      </c>
      <c r="M1769" t="n">
        <v>73.40000000000001</v>
      </c>
      <c r="N1769">
        <f>VLOOKUP(J1769,Products!$A$2:$C$49,3,FALSE)</f>
        <v/>
      </c>
      <c r="O1769">
        <f>K1769*L1769-M1769</f>
        <v/>
      </c>
      <c r="P1769">
        <f>TEXT(B1769,"yyyy-mm")</f>
        <v/>
      </c>
      <c r="Q1769">
        <f>IF(O1769&gt;=3000,"Large","Small")</f>
        <v/>
      </c>
      <c r="R1769">
        <f>INDEX(Products!$F$2:$F$49,MATCH(J1769,Products!$A$2:$A$49,0))</f>
        <v/>
      </c>
      <c r="S1769">
        <f>WEEKDAY(B1769,2)</f>
        <v/>
      </c>
    </row>
    <row r="1770">
      <c r="A1770" t="n">
        <v>510222</v>
      </c>
      <c r="B1770" s="6" t="n">
        <v>45951</v>
      </c>
      <c r="C1770" t="n">
        <v>16330</v>
      </c>
      <c r="D1770" t="inlineStr">
        <is>
          <t>Jaipur</t>
        </is>
      </c>
      <c r="E1770" t="inlineStr">
        <is>
          <t>North</t>
        </is>
      </c>
      <c r="F1770" t="inlineStr">
        <is>
          <t>Affiliate</t>
        </is>
      </c>
      <c r="G1770" t="inlineStr">
        <is>
          <t>Mobile App</t>
        </is>
      </c>
      <c r="H1770" t="inlineStr">
        <is>
          <t>UPI</t>
        </is>
      </c>
      <c r="I1770" t="inlineStr">
        <is>
          <t>Delivered</t>
        </is>
      </c>
      <c r="J1770" t="n">
        <v>125</v>
      </c>
      <c r="K1770" t="n">
        <v>1</v>
      </c>
      <c r="L1770" t="n">
        <v>1364</v>
      </c>
      <c r="M1770" t="n">
        <v>136.4</v>
      </c>
      <c r="N1770">
        <f>VLOOKUP(J1770,Products!$A$2:$C$49,3,FALSE)</f>
        <v/>
      </c>
      <c r="O1770">
        <f>K1770*L1770-M1770</f>
        <v/>
      </c>
      <c r="P1770">
        <f>TEXT(B1770,"yyyy-mm")</f>
        <v/>
      </c>
      <c r="Q1770">
        <f>IF(O1770&gt;=3000,"Large","Small")</f>
        <v/>
      </c>
      <c r="R1770">
        <f>INDEX(Products!$F$2:$F$49,MATCH(J1770,Products!$A$2:$A$49,0))</f>
        <v/>
      </c>
      <c r="S1770">
        <f>WEEKDAY(B1770,2)</f>
        <v/>
      </c>
    </row>
    <row r="1771">
      <c r="A1771" t="n">
        <v>510222</v>
      </c>
      <c r="B1771" s="6" t="n">
        <v>45951</v>
      </c>
      <c r="C1771" t="n">
        <v>16330</v>
      </c>
      <c r="D1771" t="inlineStr">
        <is>
          <t>Jaipur</t>
        </is>
      </c>
      <c r="E1771" t="inlineStr">
        <is>
          <t>North</t>
        </is>
      </c>
      <c r="F1771" t="inlineStr">
        <is>
          <t>Affiliate</t>
        </is>
      </c>
      <c r="G1771" t="inlineStr">
        <is>
          <t>Mobile App</t>
        </is>
      </c>
      <c r="H1771" t="inlineStr">
        <is>
          <t>UPI</t>
        </is>
      </c>
      <c r="I1771" t="inlineStr">
        <is>
          <t>Delivered</t>
        </is>
      </c>
      <c r="J1771" t="n">
        <v>136</v>
      </c>
      <c r="K1771" t="n">
        <v>1</v>
      </c>
      <c r="L1771" t="n">
        <v>944</v>
      </c>
      <c r="M1771" t="n">
        <v>94.40000000000001</v>
      </c>
      <c r="N1771">
        <f>VLOOKUP(J1771,Products!$A$2:$C$49,3,FALSE)</f>
        <v/>
      </c>
      <c r="O1771">
        <f>K1771*L1771-M1771</f>
        <v/>
      </c>
      <c r="P1771">
        <f>TEXT(B1771,"yyyy-mm")</f>
        <v/>
      </c>
      <c r="Q1771">
        <f>IF(O1771&gt;=3000,"Large","Small")</f>
        <v/>
      </c>
      <c r="R1771">
        <f>INDEX(Products!$F$2:$F$49,MATCH(J1771,Products!$A$2:$A$49,0))</f>
        <v/>
      </c>
      <c r="S1771">
        <f>WEEKDAY(B1771,2)</f>
        <v/>
      </c>
    </row>
    <row r="1772">
      <c r="A1772" t="n">
        <v>510223</v>
      </c>
      <c r="B1772" s="6" t="n">
        <v>45951</v>
      </c>
      <c r="C1772" t="n">
        <v>16835</v>
      </c>
      <c r="D1772" t="inlineStr">
        <is>
          <t>Pune</t>
        </is>
      </c>
      <c r="E1772" t="inlineStr">
        <is>
          <t>West</t>
        </is>
      </c>
      <c r="F1772" t="inlineStr">
        <is>
          <t>Paid Social</t>
        </is>
      </c>
      <c r="G1772" t="inlineStr">
        <is>
          <t>Mobile Web</t>
        </is>
      </c>
      <c r="H1772" t="inlineStr">
        <is>
          <t>Cash on Delivery</t>
        </is>
      </c>
      <c r="I1772" t="inlineStr">
        <is>
          <t>Returned</t>
        </is>
      </c>
      <c r="J1772" t="n">
        <v>106</v>
      </c>
      <c r="K1772" t="n">
        <v>1</v>
      </c>
      <c r="L1772" t="n">
        <v>1574</v>
      </c>
      <c r="M1772" t="n">
        <v>157.4</v>
      </c>
      <c r="N1772">
        <f>VLOOKUP(J1772,Products!$A$2:$C$49,3,FALSE)</f>
        <v/>
      </c>
      <c r="O1772">
        <f>K1772*L1772-M1772</f>
        <v/>
      </c>
      <c r="P1772">
        <f>TEXT(B1772,"yyyy-mm")</f>
        <v/>
      </c>
      <c r="Q1772">
        <f>IF(O1772&gt;=3000,"Large","Small")</f>
        <v/>
      </c>
      <c r="R1772">
        <f>INDEX(Products!$F$2:$F$49,MATCH(J1772,Products!$A$2:$A$49,0))</f>
        <v/>
      </c>
      <c r="S1772">
        <f>WEEKDAY(B1772,2)</f>
        <v/>
      </c>
    </row>
    <row r="1773">
      <c r="A1773" t="n">
        <v>510223</v>
      </c>
      <c r="B1773" s="6" t="n">
        <v>45951</v>
      </c>
      <c r="C1773" t="n">
        <v>16835</v>
      </c>
      <c r="D1773" t="inlineStr">
        <is>
          <t>Pune</t>
        </is>
      </c>
      <c r="E1773" t="inlineStr">
        <is>
          <t>West</t>
        </is>
      </c>
      <c r="F1773" t="inlineStr">
        <is>
          <t>Paid Social</t>
        </is>
      </c>
      <c r="G1773" t="inlineStr">
        <is>
          <t>Mobile Web</t>
        </is>
      </c>
      <c r="H1773" t="inlineStr">
        <is>
          <t>Cash on Delivery</t>
        </is>
      </c>
      <c r="I1773" t="inlineStr">
        <is>
          <t>Returned</t>
        </is>
      </c>
      <c r="J1773" t="n">
        <v>101</v>
      </c>
      <c r="K1773" t="n">
        <v>2</v>
      </c>
      <c r="L1773" t="n">
        <v>2099</v>
      </c>
      <c r="M1773" t="n">
        <v>419.8</v>
      </c>
      <c r="N1773">
        <f>VLOOKUP(J1773,Products!$A$2:$C$49,3,FALSE)</f>
        <v/>
      </c>
      <c r="O1773">
        <f>K1773*L1773-M1773</f>
        <v/>
      </c>
      <c r="P1773">
        <f>TEXT(B1773,"yyyy-mm")</f>
        <v/>
      </c>
      <c r="Q1773">
        <f>IF(O1773&gt;=3000,"Large","Small")</f>
        <v/>
      </c>
      <c r="R1773">
        <f>INDEX(Products!$F$2:$F$49,MATCH(J1773,Products!$A$2:$A$49,0))</f>
        <v/>
      </c>
      <c r="S1773">
        <f>WEEKDAY(B1773,2)</f>
        <v/>
      </c>
    </row>
    <row r="1774">
      <c r="A1774" t="n">
        <v>510223</v>
      </c>
      <c r="B1774" s="6" t="n">
        <v>45951</v>
      </c>
      <c r="C1774" t="n">
        <v>16835</v>
      </c>
      <c r="D1774" t="inlineStr">
        <is>
          <t>Pune</t>
        </is>
      </c>
      <c r="E1774" t="inlineStr">
        <is>
          <t>West</t>
        </is>
      </c>
      <c r="F1774" t="inlineStr">
        <is>
          <t>Paid Social</t>
        </is>
      </c>
      <c r="G1774" t="inlineStr">
        <is>
          <t>Mobile Web</t>
        </is>
      </c>
      <c r="H1774" t="inlineStr">
        <is>
          <t>Cash on Delivery</t>
        </is>
      </c>
      <c r="I1774" t="inlineStr">
        <is>
          <t>Returned</t>
        </is>
      </c>
      <c r="J1774" t="n">
        <v>129</v>
      </c>
      <c r="K1774" t="n">
        <v>1</v>
      </c>
      <c r="L1774" t="n">
        <v>576</v>
      </c>
      <c r="M1774" t="n">
        <v>57.6</v>
      </c>
      <c r="N1774">
        <f>VLOOKUP(J1774,Products!$A$2:$C$49,3,FALSE)</f>
        <v/>
      </c>
      <c r="O1774">
        <f>K1774*L1774-M1774</f>
        <v/>
      </c>
      <c r="P1774">
        <f>TEXT(B1774,"yyyy-mm")</f>
        <v/>
      </c>
      <c r="Q1774">
        <f>IF(O1774&gt;=3000,"Large","Small")</f>
        <v/>
      </c>
      <c r="R1774">
        <f>INDEX(Products!$F$2:$F$49,MATCH(J1774,Products!$A$2:$A$49,0))</f>
        <v/>
      </c>
      <c r="S1774">
        <f>WEEKDAY(B1774,2)</f>
        <v/>
      </c>
    </row>
    <row r="1775">
      <c r="A1775" t="n">
        <v>510224</v>
      </c>
      <c r="B1775" s="6" t="n">
        <v>45951</v>
      </c>
      <c r="C1775" t="n">
        <v>14646</v>
      </c>
      <c r="D1775" t="inlineStr">
        <is>
          <t>Chennai</t>
        </is>
      </c>
      <c r="E1775" t="inlineStr">
        <is>
          <t>South</t>
        </is>
      </c>
      <c r="F1775" t="inlineStr">
        <is>
          <t>Paid Social</t>
        </is>
      </c>
      <c r="G1775" t="inlineStr">
        <is>
          <t>Mobile Web</t>
        </is>
      </c>
      <c r="H1775" t="inlineStr">
        <is>
          <t>Credit Card</t>
        </is>
      </c>
      <c r="I1775" t="inlineStr">
        <is>
          <t>Delivered</t>
        </is>
      </c>
      <c r="J1775" t="n">
        <v>115</v>
      </c>
      <c r="K1775" t="n">
        <v>1</v>
      </c>
      <c r="L1775" t="n">
        <v>4199</v>
      </c>
      <c r="M1775" t="n">
        <v>419.9</v>
      </c>
      <c r="N1775">
        <f>VLOOKUP(J1775,Products!$A$2:$C$49,3,FALSE)</f>
        <v/>
      </c>
      <c r="O1775">
        <f>K1775*L1775-M1775</f>
        <v/>
      </c>
      <c r="P1775">
        <f>TEXT(B1775,"yyyy-mm")</f>
        <v/>
      </c>
      <c r="Q1775">
        <f>IF(O1775&gt;=3000,"Large","Small")</f>
        <v/>
      </c>
      <c r="R1775">
        <f>INDEX(Products!$F$2:$F$49,MATCH(J1775,Products!$A$2:$A$49,0))</f>
        <v/>
      </c>
      <c r="S1775">
        <f>WEEKDAY(B1775,2)</f>
        <v/>
      </c>
    </row>
    <row r="1776">
      <c r="A1776" t="n">
        <v>510225</v>
      </c>
      <c r="B1776" s="6" t="n">
        <v>45951</v>
      </c>
      <c r="C1776" t="n">
        <v>15530</v>
      </c>
      <c r="D1776" t="inlineStr">
        <is>
          <t>Kolkata</t>
        </is>
      </c>
      <c r="E1776" t="inlineStr">
        <is>
          <t>East</t>
        </is>
      </c>
      <c r="F1776" t="inlineStr">
        <is>
          <t>Organic Search</t>
        </is>
      </c>
      <c r="G1776" t="inlineStr">
        <is>
          <t>Mobile Web</t>
        </is>
      </c>
      <c r="H1776" t="inlineStr">
        <is>
          <t>Credit Card</t>
        </is>
      </c>
      <c r="I1776" t="inlineStr">
        <is>
          <t>Delivered</t>
        </is>
      </c>
      <c r="J1776" t="n">
        <v>113</v>
      </c>
      <c r="K1776" t="n">
        <v>1</v>
      </c>
      <c r="L1776" t="n">
        <v>1364</v>
      </c>
      <c r="M1776" t="n">
        <v>0</v>
      </c>
      <c r="N1776">
        <f>VLOOKUP(J1776,Products!$A$2:$C$49,3,FALSE)</f>
        <v/>
      </c>
      <c r="O1776">
        <f>K1776*L1776-M1776</f>
        <v/>
      </c>
      <c r="P1776">
        <f>TEXT(B1776,"yyyy-mm")</f>
        <v/>
      </c>
      <c r="Q1776">
        <f>IF(O1776&gt;=3000,"Large","Small")</f>
        <v/>
      </c>
      <c r="R1776">
        <f>INDEX(Products!$F$2:$F$49,MATCH(J1776,Products!$A$2:$A$49,0))</f>
        <v/>
      </c>
      <c r="S1776">
        <f>WEEKDAY(B1776,2)</f>
        <v/>
      </c>
    </row>
    <row r="1777">
      <c r="A1777" t="n">
        <v>510225</v>
      </c>
      <c r="B1777" s="6" t="n">
        <v>45951</v>
      </c>
      <c r="C1777" t="n">
        <v>15530</v>
      </c>
      <c r="D1777" t="inlineStr">
        <is>
          <t>Kolkata</t>
        </is>
      </c>
      <c r="E1777" t="inlineStr">
        <is>
          <t>East</t>
        </is>
      </c>
      <c r="F1777" t="inlineStr">
        <is>
          <t>Organic Search</t>
        </is>
      </c>
      <c r="G1777" t="inlineStr">
        <is>
          <t>Mobile Web</t>
        </is>
      </c>
      <c r="H1777" t="inlineStr">
        <is>
          <t>Credit Card</t>
        </is>
      </c>
      <c r="I1777" t="inlineStr">
        <is>
          <t>Delivered</t>
        </is>
      </c>
      <c r="J1777" t="n">
        <v>118</v>
      </c>
      <c r="K1777" t="n">
        <v>1</v>
      </c>
      <c r="L1777" t="n">
        <v>944</v>
      </c>
      <c r="M1777" t="n">
        <v>0</v>
      </c>
      <c r="N1777">
        <f>VLOOKUP(J1777,Products!$A$2:$C$49,3,FALSE)</f>
        <v/>
      </c>
      <c r="O1777">
        <f>K1777*L1777-M1777</f>
        <v/>
      </c>
      <c r="P1777">
        <f>TEXT(B1777,"yyyy-mm")</f>
        <v/>
      </c>
      <c r="Q1777">
        <f>IF(O1777&gt;=3000,"Large","Small")</f>
        <v/>
      </c>
      <c r="R1777">
        <f>INDEX(Products!$F$2:$F$49,MATCH(J1777,Products!$A$2:$A$49,0))</f>
        <v/>
      </c>
      <c r="S1777">
        <f>WEEKDAY(B1777,2)</f>
        <v/>
      </c>
    </row>
    <row r="1778">
      <c r="A1778" t="n">
        <v>510225</v>
      </c>
      <c r="B1778" s="6" t="n">
        <v>45951</v>
      </c>
      <c r="C1778" t="n">
        <v>15530</v>
      </c>
      <c r="D1778" t="inlineStr">
        <is>
          <t>Kolkata</t>
        </is>
      </c>
      <c r="E1778" t="inlineStr">
        <is>
          <t>East</t>
        </is>
      </c>
      <c r="F1778" t="inlineStr">
        <is>
          <t>Organic Search</t>
        </is>
      </c>
      <c r="G1778" t="inlineStr">
        <is>
          <t>Mobile Web</t>
        </is>
      </c>
      <c r="H1778" t="inlineStr">
        <is>
          <t>Credit Card</t>
        </is>
      </c>
      <c r="I1778" t="inlineStr">
        <is>
          <t>Delivered</t>
        </is>
      </c>
      <c r="J1778" t="n">
        <v>116</v>
      </c>
      <c r="K1778" t="n">
        <v>1</v>
      </c>
      <c r="L1778" t="n">
        <v>2624</v>
      </c>
      <c r="M1778" t="n">
        <v>0</v>
      </c>
      <c r="N1778">
        <f>VLOOKUP(J1778,Products!$A$2:$C$49,3,FALSE)</f>
        <v/>
      </c>
      <c r="O1778">
        <f>K1778*L1778-M1778</f>
        <v/>
      </c>
      <c r="P1778">
        <f>TEXT(B1778,"yyyy-mm")</f>
        <v/>
      </c>
      <c r="Q1778">
        <f>IF(O1778&gt;=3000,"Large","Small")</f>
        <v/>
      </c>
      <c r="R1778">
        <f>INDEX(Products!$F$2:$F$49,MATCH(J1778,Products!$A$2:$A$49,0))</f>
        <v/>
      </c>
      <c r="S1778">
        <f>WEEKDAY(B1778,2)</f>
        <v/>
      </c>
    </row>
    <row r="1779">
      <c r="A1779" t="n">
        <v>510226</v>
      </c>
      <c r="B1779" s="6" t="n">
        <v>45951</v>
      </c>
      <c r="C1779" t="n">
        <v>12579</v>
      </c>
      <c r="D1779" t="inlineStr">
        <is>
          <t>Ahmedabad</t>
        </is>
      </c>
      <c r="E1779" t="inlineStr">
        <is>
          <t>West</t>
        </is>
      </c>
      <c r="F1779" t="inlineStr">
        <is>
          <t>Organic Search</t>
        </is>
      </c>
      <c r="G1779" t="inlineStr">
        <is>
          <t>Desktop</t>
        </is>
      </c>
      <c r="H1779" t="inlineStr">
        <is>
          <t>Credit Card</t>
        </is>
      </c>
      <c r="I1779" t="inlineStr">
        <is>
          <t>Delivered</t>
        </is>
      </c>
      <c r="J1779" t="n">
        <v>101</v>
      </c>
      <c r="K1779" t="n">
        <v>1</v>
      </c>
      <c r="L1779" t="n">
        <v>2099</v>
      </c>
      <c r="M1779" t="n">
        <v>0</v>
      </c>
      <c r="N1779">
        <f>VLOOKUP(J1779,Products!$A$2:$C$49,3,FALSE)</f>
        <v/>
      </c>
      <c r="O1779">
        <f>K1779*L1779-M1779</f>
        <v/>
      </c>
      <c r="P1779">
        <f>TEXT(B1779,"yyyy-mm")</f>
        <v/>
      </c>
      <c r="Q1779">
        <f>IF(O1779&gt;=3000,"Large","Small")</f>
        <v/>
      </c>
      <c r="R1779">
        <f>INDEX(Products!$F$2:$F$49,MATCH(J1779,Products!$A$2:$A$49,0))</f>
        <v/>
      </c>
      <c r="S1779">
        <f>WEEKDAY(B1779,2)</f>
        <v/>
      </c>
    </row>
    <row r="1780">
      <c r="A1780" t="n">
        <v>510226</v>
      </c>
      <c r="B1780" s="6" t="n">
        <v>45951</v>
      </c>
      <c r="C1780" t="n">
        <v>12579</v>
      </c>
      <c r="D1780" t="inlineStr">
        <is>
          <t>Ahmedabad</t>
        </is>
      </c>
      <c r="E1780" t="inlineStr">
        <is>
          <t>West</t>
        </is>
      </c>
      <c r="F1780" t="inlineStr">
        <is>
          <t>Organic Search</t>
        </is>
      </c>
      <c r="G1780" t="inlineStr">
        <is>
          <t>Desktop</t>
        </is>
      </c>
      <c r="H1780" t="inlineStr">
        <is>
          <t>Credit Card</t>
        </is>
      </c>
      <c r="I1780" t="inlineStr">
        <is>
          <t>Delivered</t>
        </is>
      </c>
      <c r="J1780" t="n">
        <v>129</v>
      </c>
      <c r="K1780" t="n">
        <v>1</v>
      </c>
      <c r="L1780" t="n">
        <v>576</v>
      </c>
      <c r="M1780" t="n">
        <v>0</v>
      </c>
      <c r="N1780">
        <f>VLOOKUP(J1780,Products!$A$2:$C$49,3,FALSE)</f>
        <v/>
      </c>
      <c r="O1780">
        <f>K1780*L1780-M1780</f>
        <v/>
      </c>
      <c r="P1780">
        <f>TEXT(B1780,"yyyy-mm")</f>
        <v/>
      </c>
      <c r="Q1780">
        <f>IF(O1780&gt;=3000,"Large","Small")</f>
        <v/>
      </c>
      <c r="R1780">
        <f>INDEX(Products!$F$2:$F$49,MATCH(J1780,Products!$A$2:$A$49,0))</f>
        <v/>
      </c>
      <c r="S1780">
        <f>WEEKDAY(B1780,2)</f>
        <v/>
      </c>
    </row>
    <row r="1781">
      <c r="A1781" t="n">
        <v>510227</v>
      </c>
      <c r="B1781" s="6" t="n">
        <v>45951</v>
      </c>
      <c r="C1781" t="n">
        <v>14715</v>
      </c>
      <c r="D1781" t="inlineStr">
        <is>
          <t>Mumbai</t>
        </is>
      </c>
      <c r="E1781" t="inlineStr">
        <is>
          <t>West</t>
        </is>
      </c>
      <c r="F1781" t="inlineStr">
        <is>
          <t>Email</t>
        </is>
      </c>
      <c r="G1781" t="inlineStr">
        <is>
          <t>Desktop</t>
        </is>
      </c>
      <c r="H1781" t="inlineStr">
        <is>
          <t>UPI</t>
        </is>
      </c>
      <c r="I1781" t="inlineStr">
        <is>
          <t>Delivered</t>
        </is>
      </c>
      <c r="J1781" t="n">
        <v>135</v>
      </c>
      <c r="K1781" t="n">
        <v>1</v>
      </c>
      <c r="L1781" t="n">
        <v>1574</v>
      </c>
      <c r="M1781" t="n">
        <v>157.4</v>
      </c>
      <c r="N1781">
        <f>VLOOKUP(J1781,Products!$A$2:$C$49,3,FALSE)</f>
        <v/>
      </c>
      <c r="O1781">
        <f>K1781*L1781-M1781</f>
        <v/>
      </c>
      <c r="P1781">
        <f>TEXT(B1781,"yyyy-mm")</f>
        <v/>
      </c>
      <c r="Q1781">
        <f>IF(O1781&gt;=3000,"Large","Small")</f>
        <v/>
      </c>
      <c r="R1781">
        <f>INDEX(Products!$F$2:$F$49,MATCH(J1781,Products!$A$2:$A$49,0))</f>
        <v/>
      </c>
      <c r="S1781">
        <f>WEEKDAY(B1781,2)</f>
        <v/>
      </c>
    </row>
    <row r="1782">
      <c r="A1782" t="n">
        <v>510228</v>
      </c>
      <c r="B1782" s="6" t="n">
        <v>45951</v>
      </c>
      <c r="C1782" t="n">
        <v>14295</v>
      </c>
      <c r="D1782" t="inlineStr">
        <is>
          <t>Hyderabad</t>
        </is>
      </c>
      <c r="E1782" t="inlineStr">
        <is>
          <t>South</t>
        </is>
      </c>
      <c r="F1782" t="inlineStr">
        <is>
          <t>Organic Search</t>
        </is>
      </c>
      <c r="G1782" t="inlineStr">
        <is>
          <t>Mobile Web</t>
        </is>
      </c>
      <c r="H1782" t="inlineStr">
        <is>
          <t>UPI</t>
        </is>
      </c>
      <c r="I1782" t="inlineStr">
        <is>
          <t>Delivered</t>
        </is>
      </c>
      <c r="J1782" t="n">
        <v>107</v>
      </c>
      <c r="K1782" t="n">
        <v>2</v>
      </c>
      <c r="L1782" t="n">
        <v>1259</v>
      </c>
      <c r="M1782" t="n">
        <v>251.8</v>
      </c>
      <c r="N1782">
        <f>VLOOKUP(J1782,Products!$A$2:$C$49,3,FALSE)</f>
        <v/>
      </c>
      <c r="O1782">
        <f>K1782*L1782-M1782</f>
        <v/>
      </c>
      <c r="P1782">
        <f>TEXT(B1782,"yyyy-mm")</f>
        <v/>
      </c>
      <c r="Q1782">
        <f>IF(O1782&gt;=3000,"Large","Small")</f>
        <v/>
      </c>
      <c r="R1782">
        <f>INDEX(Products!$F$2:$F$49,MATCH(J1782,Products!$A$2:$A$49,0))</f>
        <v/>
      </c>
      <c r="S1782">
        <f>WEEKDAY(B1782,2)</f>
        <v/>
      </c>
    </row>
    <row r="1783">
      <c r="A1783" t="n">
        <v>510229</v>
      </c>
      <c r="B1783" s="6" t="n">
        <v>45951</v>
      </c>
      <c r="C1783" t="n">
        <v>15480</v>
      </c>
      <c r="D1783" t="inlineStr">
        <is>
          <t>Indore</t>
        </is>
      </c>
      <c r="E1783" t="inlineStr">
        <is>
          <t>West</t>
        </is>
      </c>
      <c r="F1783" t="inlineStr">
        <is>
          <t>Email</t>
        </is>
      </c>
      <c r="G1783" t="inlineStr">
        <is>
          <t>Mobile App</t>
        </is>
      </c>
      <c r="H1783" t="inlineStr">
        <is>
          <t>UPI</t>
        </is>
      </c>
      <c r="I1783" t="inlineStr">
        <is>
          <t>Delivered</t>
        </is>
      </c>
      <c r="J1783" t="n">
        <v>112</v>
      </c>
      <c r="K1783" t="n">
        <v>1</v>
      </c>
      <c r="L1783" t="n">
        <v>1574</v>
      </c>
      <c r="M1783" t="n">
        <v>157.4</v>
      </c>
      <c r="N1783">
        <f>VLOOKUP(J1783,Products!$A$2:$C$49,3,FALSE)</f>
        <v/>
      </c>
      <c r="O1783">
        <f>K1783*L1783-M1783</f>
        <v/>
      </c>
      <c r="P1783">
        <f>TEXT(B1783,"yyyy-mm")</f>
        <v/>
      </c>
      <c r="Q1783">
        <f>IF(O1783&gt;=3000,"Large","Small")</f>
        <v/>
      </c>
      <c r="R1783">
        <f>INDEX(Products!$F$2:$F$49,MATCH(J1783,Products!$A$2:$A$49,0))</f>
        <v/>
      </c>
      <c r="S1783">
        <f>WEEKDAY(B1783,2)</f>
        <v/>
      </c>
    </row>
    <row r="1784">
      <c r="A1784" t="n">
        <v>510229</v>
      </c>
      <c r="B1784" s="6" t="n">
        <v>45951</v>
      </c>
      <c r="C1784" t="n">
        <v>15480</v>
      </c>
      <c r="D1784" t="inlineStr">
        <is>
          <t>Indore</t>
        </is>
      </c>
      <c r="E1784" t="inlineStr">
        <is>
          <t>West</t>
        </is>
      </c>
      <c r="F1784" t="inlineStr">
        <is>
          <t>Email</t>
        </is>
      </c>
      <c r="G1784" t="inlineStr">
        <is>
          <t>Mobile App</t>
        </is>
      </c>
      <c r="H1784" t="inlineStr">
        <is>
          <t>UPI</t>
        </is>
      </c>
      <c r="I1784" t="inlineStr">
        <is>
          <t>Delivered</t>
        </is>
      </c>
      <c r="J1784" t="n">
        <v>129</v>
      </c>
      <c r="K1784" t="n">
        <v>1</v>
      </c>
      <c r="L1784" t="n">
        <v>576</v>
      </c>
      <c r="M1784" t="n">
        <v>57.6</v>
      </c>
      <c r="N1784">
        <f>VLOOKUP(J1784,Products!$A$2:$C$49,3,FALSE)</f>
        <v/>
      </c>
      <c r="O1784">
        <f>K1784*L1784-M1784</f>
        <v/>
      </c>
      <c r="P1784">
        <f>TEXT(B1784,"yyyy-mm")</f>
        <v/>
      </c>
      <c r="Q1784">
        <f>IF(O1784&gt;=3000,"Large","Small")</f>
        <v/>
      </c>
      <c r="R1784">
        <f>INDEX(Products!$F$2:$F$49,MATCH(J1784,Products!$A$2:$A$49,0))</f>
        <v/>
      </c>
      <c r="S1784">
        <f>WEEKDAY(B1784,2)</f>
        <v/>
      </c>
    </row>
    <row r="1785">
      <c r="A1785" t="n">
        <v>510230</v>
      </c>
      <c r="B1785" s="6" t="n">
        <v>45951</v>
      </c>
      <c r="C1785" t="n">
        <v>16928</v>
      </c>
      <c r="D1785" t="inlineStr">
        <is>
          <t>Jaipur</t>
        </is>
      </c>
      <c r="E1785" t="inlineStr">
        <is>
          <t>North</t>
        </is>
      </c>
      <c r="F1785" t="inlineStr">
        <is>
          <t>Paid Social</t>
        </is>
      </c>
      <c r="G1785" t="inlineStr">
        <is>
          <t>Mobile App</t>
        </is>
      </c>
      <c r="H1785" t="inlineStr">
        <is>
          <t>Debit Card</t>
        </is>
      </c>
      <c r="I1785" t="inlineStr">
        <is>
          <t>Delivered</t>
        </is>
      </c>
      <c r="J1785" t="n">
        <v>120</v>
      </c>
      <c r="K1785" t="n">
        <v>1</v>
      </c>
      <c r="L1785" t="n">
        <v>734</v>
      </c>
      <c r="M1785" t="n">
        <v>73.40000000000001</v>
      </c>
      <c r="N1785">
        <f>VLOOKUP(J1785,Products!$A$2:$C$49,3,FALSE)</f>
        <v/>
      </c>
      <c r="O1785">
        <f>K1785*L1785-M1785</f>
        <v/>
      </c>
      <c r="P1785">
        <f>TEXT(B1785,"yyyy-mm")</f>
        <v/>
      </c>
      <c r="Q1785">
        <f>IF(O1785&gt;=3000,"Large","Small")</f>
        <v/>
      </c>
      <c r="R1785">
        <f>INDEX(Products!$F$2:$F$49,MATCH(J1785,Products!$A$2:$A$49,0))</f>
        <v/>
      </c>
      <c r="S1785">
        <f>WEEKDAY(B1785,2)</f>
        <v/>
      </c>
    </row>
    <row r="1786">
      <c r="A1786" t="n">
        <v>510230</v>
      </c>
      <c r="B1786" s="6" t="n">
        <v>45951</v>
      </c>
      <c r="C1786" t="n">
        <v>16928</v>
      </c>
      <c r="D1786" t="inlineStr">
        <is>
          <t>Jaipur</t>
        </is>
      </c>
      <c r="E1786" t="inlineStr">
        <is>
          <t>North</t>
        </is>
      </c>
      <c r="F1786" t="inlineStr">
        <is>
          <t>Paid Social</t>
        </is>
      </c>
      <c r="G1786" t="inlineStr">
        <is>
          <t>Mobile App</t>
        </is>
      </c>
      <c r="H1786" t="inlineStr">
        <is>
          <t>Debit Card</t>
        </is>
      </c>
      <c r="I1786" t="inlineStr">
        <is>
          <t>Delivered</t>
        </is>
      </c>
      <c r="J1786" t="n">
        <v>129</v>
      </c>
      <c r="K1786" t="n">
        <v>2</v>
      </c>
      <c r="L1786" t="n">
        <v>576</v>
      </c>
      <c r="M1786" t="n">
        <v>115.2</v>
      </c>
      <c r="N1786">
        <f>VLOOKUP(J1786,Products!$A$2:$C$49,3,FALSE)</f>
        <v/>
      </c>
      <c r="O1786">
        <f>K1786*L1786-M1786</f>
        <v/>
      </c>
      <c r="P1786">
        <f>TEXT(B1786,"yyyy-mm")</f>
        <v/>
      </c>
      <c r="Q1786">
        <f>IF(O1786&gt;=3000,"Large","Small")</f>
        <v/>
      </c>
      <c r="R1786">
        <f>INDEX(Products!$F$2:$F$49,MATCH(J1786,Products!$A$2:$A$49,0))</f>
        <v/>
      </c>
      <c r="S1786">
        <f>WEEKDAY(B1786,2)</f>
        <v/>
      </c>
    </row>
    <row r="1787">
      <c r="A1787" t="n">
        <v>510231</v>
      </c>
      <c r="B1787" s="6" t="n">
        <v>45951</v>
      </c>
      <c r="C1787" t="n">
        <v>16505</v>
      </c>
      <c r="D1787" t="inlineStr">
        <is>
          <t>Mumbai</t>
        </is>
      </c>
      <c r="E1787" t="inlineStr">
        <is>
          <t>West</t>
        </is>
      </c>
      <c r="F1787" t="inlineStr">
        <is>
          <t>Paid Search</t>
        </is>
      </c>
      <c r="G1787" t="inlineStr">
        <is>
          <t>Mobile App</t>
        </is>
      </c>
      <c r="H1787" t="inlineStr">
        <is>
          <t>UPI</t>
        </is>
      </c>
      <c r="I1787" t="inlineStr">
        <is>
          <t>Delivered</t>
        </is>
      </c>
      <c r="J1787" t="n">
        <v>107</v>
      </c>
      <c r="K1787" t="n">
        <v>1</v>
      </c>
      <c r="L1787" t="n">
        <v>1259</v>
      </c>
      <c r="M1787" t="n">
        <v>0</v>
      </c>
      <c r="N1787">
        <f>VLOOKUP(J1787,Products!$A$2:$C$49,3,FALSE)</f>
        <v/>
      </c>
      <c r="O1787">
        <f>K1787*L1787-M1787</f>
        <v/>
      </c>
      <c r="P1787">
        <f>TEXT(B1787,"yyyy-mm")</f>
        <v/>
      </c>
      <c r="Q1787">
        <f>IF(O1787&gt;=3000,"Large","Small")</f>
        <v/>
      </c>
      <c r="R1787">
        <f>INDEX(Products!$F$2:$F$49,MATCH(J1787,Products!$A$2:$A$49,0))</f>
        <v/>
      </c>
      <c r="S1787">
        <f>WEEKDAY(B1787,2)</f>
        <v/>
      </c>
    </row>
    <row r="1788">
      <c r="A1788" t="n">
        <v>510231</v>
      </c>
      <c r="B1788" s="6" t="n">
        <v>45951</v>
      </c>
      <c r="C1788" t="n">
        <v>16505</v>
      </c>
      <c r="D1788" t="inlineStr">
        <is>
          <t>Mumbai</t>
        </is>
      </c>
      <c r="E1788" t="inlineStr">
        <is>
          <t>West</t>
        </is>
      </c>
      <c r="F1788" t="inlineStr">
        <is>
          <t>Paid Search</t>
        </is>
      </c>
      <c r="G1788" t="inlineStr">
        <is>
          <t>Mobile App</t>
        </is>
      </c>
      <c r="H1788" t="inlineStr">
        <is>
          <t>UPI</t>
        </is>
      </c>
      <c r="I1788" t="inlineStr">
        <is>
          <t>Delivered</t>
        </is>
      </c>
      <c r="J1788" t="n">
        <v>104</v>
      </c>
      <c r="K1788" t="n">
        <v>1</v>
      </c>
      <c r="L1788" t="n">
        <v>5249</v>
      </c>
      <c r="M1788" t="n">
        <v>0</v>
      </c>
      <c r="N1788">
        <f>VLOOKUP(J1788,Products!$A$2:$C$49,3,FALSE)</f>
        <v/>
      </c>
      <c r="O1788">
        <f>K1788*L1788-M1788</f>
        <v/>
      </c>
      <c r="P1788">
        <f>TEXT(B1788,"yyyy-mm")</f>
        <v/>
      </c>
      <c r="Q1788">
        <f>IF(O1788&gt;=3000,"Large","Small")</f>
        <v/>
      </c>
      <c r="R1788">
        <f>INDEX(Products!$F$2:$F$49,MATCH(J1788,Products!$A$2:$A$49,0))</f>
        <v/>
      </c>
      <c r="S1788">
        <f>WEEKDAY(B1788,2)</f>
        <v/>
      </c>
    </row>
    <row r="1789">
      <c r="A1789" t="n">
        <v>510232</v>
      </c>
      <c r="B1789" s="6" t="n">
        <v>45952</v>
      </c>
      <c r="C1789" t="n">
        <v>12600</v>
      </c>
      <c r="D1789" t="inlineStr">
        <is>
          <t>Noida</t>
        </is>
      </c>
      <c r="E1789" t="inlineStr">
        <is>
          <t>North</t>
        </is>
      </c>
      <c r="F1789" t="inlineStr">
        <is>
          <t>Affiliate</t>
        </is>
      </c>
      <c r="G1789" t="inlineStr">
        <is>
          <t>Mobile Web</t>
        </is>
      </c>
      <c r="H1789" t="inlineStr">
        <is>
          <t>UPI</t>
        </is>
      </c>
      <c r="I1789" t="inlineStr">
        <is>
          <t>Delivered</t>
        </is>
      </c>
      <c r="J1789" t="n">
        <v>113</v>
      </c>
      <c r="K1789" t="n">
        <v>2</v>
      </c>
      <c r="L1789" t="n">
        <v>1364</v>
      </c>
      <c r="M1789" t="n">
        <v>0</v>
      </c>
      <c r="N1789">
        <f>VLOOKUP(J1789,Products!$A$2:$C$49,3,FALSE)</f>
        <v/>
      </c>
      <c r="O1789">
        <f>K1789*L1789-M1789</f>
        <v/>
      </c>
      <c r="P1789">
        <f>TEXT(B1789,"yyyy-mm")</f>
        <v/>
      </c>
      <c r="Q1789">
        <f>IF(O1789&gt;=3000,"Large","Small")</f>
        <v/>
      </c>
      <c r="R1789">
        <f>INDEX(Products!$F$2:$F$49,MATCH(J1789,Products!$A$2:$A$49,0))</f>
        <v/>
      </c>
      <c r="S1789">
        <f>WEEKDAY(B1789,2)</f>
        <v/>
      </c>
    </row>
    <row r="1790">
      <c r="A1790" t="n">
        <v>510232</v>
      </c>
      <c r="B1790" s="6" t="n">
        <v>45952</v>
      </c>
      <c r="C1790" t="n">
        <v>12600</v>
      </c>
      <c r="D1790" t="inlineStr">
        <is>
          <t>Noida</t>
        </is>
      </c>
      <c r="E1790" t="inlineStr">
        <is>
          <t>North</t>
        </is>
      </c>
      <c r="F1790" t="inlineStr">
        <is>
          <t>Affiliate</t>
        </is>
      </c>
      <c r="G1790" t="inlineStr">
        <is>
          <t>Mobile Web</t>
        </is>
      </c>
      <c r="H1790" t="inlineStr">
        <is>
          <t>UPI</t>
        </is>
      </c>
      <c r="I1790" t="inlineStr">
        <is>
          <t>Delivered</t>
        </is>
      </c>
      <c r="J1790" t="n">
        <v>129</v>
      </c>
      <c r="K1790" t="n">
        <v>1</v>
      </c>
      <c r="L1790" t="n">
        <v>576</v>
      </c>
      <c r="M1790" t="n">
        <v>0</v>
      </c>
      <c r="N1790">
        <f>VLOOKUP(J1790,Products!$A$2:$C$49,3,FALSE)</f>
        <v/>
      </c>
      <c r="O1790">
        <f>K1790*L1790-M1790</f>
        <v/>
      </c>
      <c r="P1790">
        <f>TEXT(B1790,"yyyy-mm")</f>
        <v/>
      </c>
      <c r="Q1790">
        <f>IF(O1790&gt;=3000,"Large","Small")</f>
        <v/>
      </c>
      <c r="R1790">
        <f>INDEX(Products!$F$2:$F$49,MATCH(J1790,Products!$A$2:$A$49,0))</f>
        <v/>
      </c>
      <c r="S1790">
        <f>WEEKDAY(B1790,2)</f>
        <v/>
      </c>
    </row>
    <row r="1791">
      <c r="A1791" t="n">
        <v>510233</v>
      </c>
      <c r="B1791" s="6" t="n">
        <v>45952</v>
      </c>
      <c r="C1791" t="n">
        <v>13928</v>
      </c>
      <c r="D1791" t="inlineStr">
        <is>
          <t>Pune</t>
        </is>
      </c>
      <c r="E1791" t="inlineStr">
        <is>
          <t>West</t>
        </is>
      </c>
      <c r="F1791" t="inlineStr">
        <is>
          <t>Paid Social</t>
        </is>
      </c>
      <c r="G1791" t="inlineStr">
        <is>
          <t>Mobile App</t>
        </is>
      </c>
      <c r="H1791" t="inlineStr">
        <is>
          <t>Debit Card</t>
        </is>
      </c>
      <c r="I1791" t="inlineStr">
        <is>
          <t>Returned</t>
        </is>
      </c>
      <c r="J1791" t="n">
        <v>122</v>
      </c>
      <c r="K1791" t="n">
        <v>1</v>
      </c>
      <c r="L1791" t="n">
        <v>1994</v>
      </c>
      <c r="M1791" t="n">
        <v>199.4</v>
      </c>
      <c r="N1791">
        <f>VLOOKUP(J1791,Products!$A$2:$C$49,3,FALSE)</f>
        <v/>
      </c>
      <c r="O1791">
        <f>K1791*L1791-M1791</f>
        <v/>
      </c>
      <c r="P1791">
        <f>TEXT(B1791,"yyyy-mm")</f>
        <v/>
      </c>
      <c r="Q1791">
        <f>IF(O1791&gt;=3000,"Large","Small")</f>
        <v/>
      </c>
      <c r="R1791">
        <f>INDEX(Products!$F$2:$F$49,MATCH(J1791,Products!$A$2:$A$49,0))</f>
        <v/>
      </c>
      <c r="S1791">
        <f>WEEKDAY(B1791,2)</f>
        <v/>
      </c>
    </row>
    <row r="1792">
      <c r="A1792" t="n">
        <v>510233</v>
      </c>
      <c r="B1792" s="6" t="n">
        <v>45952</v>
      </c>
      <c r="C1792" t="n">
        <v>13928</v>
      </c>
      <c r="D1792" t="inlineStr">
        <is>
          <t>Pune</t>
        </is>
      </c>
      <c r="E1792" t="inlineStr">
        <is>
          <t>West</t>
        </is>
      </c>
      <c r="F1792" t="inlineStr">
        <is>
          <t>Paid Social</t>
        </is>
      </c>
      <c r="G1792" t="inlineStr">
        <is>
          <t>Mobile App</t>
        </is>
      </c>
      <c r="H1792" t="inlineStr">
        <is>
          <t>Debit Card</t>
        </is>
      </c>
      <c r="I1792" t="inlineStr">
        <is>
          <t>Returned</t>
        </is>
      </c>
      <c r="J1792" t="n">
        <v>116</v>
      </c>
      <c r="K1792" t="n">
        <v>1</v>
      </c>
      <c r="L1792" t="n">
        <v>2624</v>
      </c>
      <c r="M1792" t="n">
        <v>262.4</v>
      </c>
      <c r="N1792">
        <f>VLOOKUP(J1792,Products!$A$2:$C$49,3,FALSE)</f>
        <v/>
      </c>
      <c r="O1792">
        <f>K1792*L1792-M1792</f>
        <v/>
      </c>
      <c r="P1792">
        <f>TEXT(B1792,"yyyy-mm")</f>
        <v/>
      </c>
      <c r="Q1792">
        <f>IF(O1792&gt;=3000,"Large","Small")</f>
        <v/>
      </c>
      <c r="R1792">
        <f>INDEX(Products!$F$2:$F$49,MATCH(J1792,Products!$A$2:$A$49,0))</f>
        <v/>
      </c>
      <c r="S1792">
        <f>WEEKDAY(B1792,2)</f>
        <v/>
      </c>
    </row>
    <row r="1793">
      <c r="A1793" t="n">
        <v>510234</v>
      </c>
      <c r="B1793" s="6" t="n">
        <v>45952</v>
      </c>
      <c r="C1793" t="n">
        <v>12499</v>
      </c>
      <c r="D1793" t="inlineStr">
        <is>
          <t>Kochi</t>
        </is>
      </c>
      <c r="E1793" t="inlineStr">
        <is>
          <t>South</t>
        </is>
      </c>
      <c r="F1793" t="inlineStr">
        <is>
          <t>Organic Search</t>
        </is>
      </c>
      <c r="G1793" t="inlineStr">
        <is>
          <t>Desktop</t>
        </is>
      </c>
      <c r="H1793" t="inlineStr">
        <is>
          <t>Debit Card</t>
        </is>
      </c>
      <c r="I1793" t="inlineStr">
        <is>
          <t>Cancelled</t>
        </is>
      </c>
      <c r="J1793" t="n">
        <v>115</v>
      </c>
      <c r="K1793" t="n">
        <v>1</v>
      </c>
      <c r="L1793" t="n">
        <v>4199</v>
      </c>
      <c r="M1793" t="n">
        <v>0</v>
      </c>
      <c r="N1793">
        <f>VLOOKUP(J1793,Products!$A$2:$C$49,3,FALSE)</f>
        <v/>
      </c>
      <c r="O1793">
        <f>K1793*L1793-M1793</f>
        <v/>
      </c>
      <c r="P1793">
        <f>TEXT(B1793,"yyyy-mm")</f>
        <v/>
      </c>
      <c r="Q1793">
        <f>IF(O1793&gt;=3000,"Large","Small")</f>
        <v/>
      </c>
      <c r="R1793">
        <f>INDEX(Products!$F$2:$F$49,MATCH(J1793,Products!$A$2:$A$49,0))</f>
        <v/>
      </c>
      <c r="S1793">
        <f>WEEKDAY(B1793,2)</f>
        <v/>
      </c>
    </row>
    <row r="1794">
      <c r="A1794" t="n">
        <v>510234</v>
      </c>
      <c r="B1794" s="6" t="n">
        <v>45952</v>
      </c>
      <c r="C1794" t="n">
        <v>12499</v>
      </c>
      <c r="D1794" t="inlineStr">
        <is>
          <t>Kochi</t>
        </is>
      </c>
      <c r="E1794" t="inlineStr">
        <is>
          <t>South</t>
        </is>
      </c>
      <c r="F1794" t="inlineStr">
        <is>
          <t>Organic Search</t>
        </is>
      </c>
      <c r="G1794" t="inlineStr">
        <is>
          <t>Desktop</t>
        </is>
      </c>
      <c r="H1794" t="inlineStr">
        <is>
          <t>Debit Card</t>
        </is>
      </c>
      <c r="I1794" t="inlineStr">
        <is>
          <t>Cancelled</t>
        </is>
      </c>
      <c r="J1794" t="n">
        <v>108</v>
      </c>
      <c r="K1794" t="n">
        <v>1</v>
      </c>
      <c r="L1794" t="n">
        <v>419</v>
      </c>
      <c r="M1794" t="n">
        <v>0</v>
      </c>
      <c r="N1794">
        <f>VLOOKUP(J1794,Products!$A$2:$C$49,3,FALSE)</f>
        <v/>
      </c>
      <c r="O1794">
        <f>K1794*L1794-M1794</f>
        <v/>
      </c>
      <c r="P1794">
        <f>TEXT(B1794,"yyyy-mm")</f>
        <v/>
      </c>
      <c r="Q1794">
        <f>IF(O1794&gt;=3000,"Large","Small")</f>
        <v/>
      </c>
      <c r="R1794">
        <f>INDEX(Products!$F$2:$F$49,MATCH(J1794,Products!$A$2:$A$49,0))</f>
        <v/>
      </c>
      <c r="S1794">
        <f>WEEKDAY(B1794,2)</f>
        <v/>
      </c>
    </row>
    <row r="1795">
      <c r="A1795" t="n">
        <v>510235</v>
      </c>
      <c r="B1795" s="6" t="n">
        <v>45952</v>
      </c>
      <c r="C1795" t="n">
        <v>15919</v>
      </c>
      <c r="D1795" t="inlineStr">
        <is>
          <t>Ahmedabad</t>
        </is>
      </c>
      <c r="E1795" t="inlineStr">
        <is>
          <t>West</t>
        </is>
      </c>
      <c r="F1795" t="inlineStr">
        <is>
          <t>Organic Search</t>
        </is>
      </c>
      <c r="G1795" t="inlineStr">
        <is>
          <t>Desktop</t>
        </is>
      </c>
      <c r="H1795" t="inlineStr">
        <is>
          <t>UPI</t>
        </is>
      </c>
      <c r="I1795" t="inlineStr">
        <is>
          <t>Delivered</t>
        </is>
      </c>
      <c r="J1795" t="n">
        <v>126</v>
      </c>
      <c r="K1795" t="n">
        <v>2</v>
      </c>
      <c r="L1795" t="n">
        <v>471</v>
      </c>
      <c r="M1795" t="n">
        <v>94.2</v>
      </c>
      <c r="N1795">
        <f>VLOOKUP(J1795,Products!$A$2:$C$49,3,FALSE)</f>
        <v/>
      </c>
      <c r="O1795">
        <f>K1795*L1795-M1795</f>
        <v/>
      </c>
      <c r="P1795">
        <f>TEXT(B1795,"yyyy-mm")</f>
        <v/>
      </c>
      <c r="Q1795">
        <f>IF(O1795&gt;=3000,"Large","Small")</f>
        <v/>
      </c>
      <c r="R1795">
        <f>INDEX(Products!$F$2:$F$49,MATCH(J1795,Products!$A$2:$A$49,0))</f>
        <v/>
      </c>
      <c r="S1795">
        <f>WEEKDAY(B1795,2)</f>
        <v/>
      </c>
    </row>
    <row r="1796">
      <c r="A1796" t="n">
        <v>510235</v>
      </c>
      <c r="B1796" s="6" t="n">
        <v>45952</v>
      </c>
      <c r="C1796" t="n">
        <v>15919</v>
      </c>
      <c r="D1796" t="inlineStr">
        <is>
          <t>Ahmedabad</t>
        </is>
      </c>
      <c r="E1796" t="inlineStr">
        <is>
          <t>West</t>
        </is>
      </c>
      <c r="F1796" t="inlineStr">
        <is>
          <t>Organic Search</t>
        </is>
      </c>
      <c r="G1796" t="inlineStr">
        <is>
          <t>Desktop</t>
        </is>
      </c>
      <c r="H1796" t="inlineStr">
        <is>
          <t>UPI</t>
        </is>
      </c>
      <c r="I1796" t="inlineStr">
        <is>
          <t>Delivered</t>
        </is>
      </c>
      <c r="J1796" t="n">
        <v>129</v>
      </c>
      <c r="K1796" t="n">
        <v>1</v>
      </c>
      <c r="L1796" t="n">
        <v>576</v>
      </c>
      <c r="M1796" t="n">
        <v>57.6</v>
      </c>
      <c r="N1796">
        <f>VLOOKUP(J1796,Products!$A$2:$C$49,3,FALSE)</f>
        <v/>
      </c>
      <c r="O1796">
        <f>K1796*L1796-M1796</f>
        <v/>
      </c>
      <c r="P1796">
        <f>TEXT(B1796,"yyyy-mm")</f>
        <v/>
      </c>
      <c r="Q1796">
        <f>IF(O1796&gt;=3000,"Large","Small")</f>
        <v/>
      </c>
      <c r="R1796">
        <f>INDEX(Products!$F$2:$F$49,MATCH(J1796,Products!$A$2:$A$49,0))</f>
        <v/>
      </c>
      <c r="S1796">
        <f>WEEKDAY(B1796,2)</f>
        <v/>
      </c>
    </row>
    <row r="1797">
      <c r="A1797" t="n">
        <v>510236</v>
      </c>
      <c r="B1797" s="6" t="n">
        <v>45952</v>
      </c>
      <c r="C1797" t="n">
        <v>16617</v>
      </c>
      <c r="D1797" t="inlineStr">
        <is>
          <t>Lucknow</t>
        </is>
      </c>
      <c r="E1797" t="inlineStr">
        <is>
          <t>North</t>
        </is>
      </c>
      <c r="F1797" t="inlineStr">
        <is>
          <t>Paid Search</t>
        </is>
      </c>
      <c r="G1797" t="inlineStr">
        <is>
          <t>Mobile App</t>
        </is>
      </c>
      <c r="H1797" t="inlineStr">
        <is>
          <t>UPI</t>
        </is>
      </c>
      <c r="I1797" t="inlineStr">
        <is>
          <t>Delivered</t>
        </is>
      </c>
      <c r="J1797" t="n">
        <v>120</v>
      </c>
      <c r="K1797" t="n">
        <v>1</v>
      </c>
      <c r="L1797" t="n">
        <v>734</v>
      </c>
      <c r="M1797" t="n">
        <v>73.40000000000001</v>
      </c>
      <c r="N1797">
        <f>VLOOKUP(J1797,Products!$A$2:$C$49,3,FALSE)</f>
        <v/>
      </c>
      <c r="O1797">
        <f>K1797*L1797-M1797</f>
        <v/>
      </c>
      <c r="P1797">
        <f>TEXT(B1797,"yyyy-mm")</f>
        <v/>
      </c>
      <c r="Q1797">
        <f>IF(O1797&gt;=3000,"Large","Small")</f>
        <v/>
      </c>
      <c r="R1797">
        <f>INDEX(Products!$F$2:$F$49,MATCH(J1797,Products!$A$2:$A$49,0))</f>
        <v/>
      </c>
      <c r="S1797">
        <f>WEEKDAY(B1797,2)</f>
        <v/>
      </c>
    </row>
    <row r="1798">
      <c r="A1798" t="n">
        <v>510236</v>
      </c>
      <c r="B1798" s="6" t="n">
        <v>45952</v>
      </c>
      <c r="C1798" t="n">
        <v>16617</v>
      </c>
      <c r="D1798" t="inlineStr">
        <is>
          <t>Lucknow</t>
        </is>
      </c>
      <c r="E1798" t="inlineStr">
        <is>
          <t>North</t>
        </is>
      </c>
      <c r="F1798" t="inlineStr">
        <is>
          <t>Paid Search</t>
        </is>
      </c>
      <c r="G1798" t="inlineStr">
        <is>
          <t>Mobile App</t>
        </is>
      </c>
      <c r="H1798" t="inlineStr">
        <is>
          <t>UPI</t>
        </is>
      </c>
      <c r="I1798" t="inlineStr">
        <is>
          <t>Delivered</t>
        </is>
      </c>
      <c r="J1798" t="n">
        <v>103</v>
      </c>
      <c r="K1798" t="n">
        <v>1</v>
      </c>
      <c r="L1798" t="n">
        <v>2624</v>
      </c>
      <c r="M1798" t="n">
        <v>262.4</v>
      </c>
      <c r="N1798">
        <f>VLOOKUP(J1798,Products!$A$2:$C$49,3,FALSE)</f>
        <v/>
      </c>
      <c r="O1798">
        <f>K1798*L1798-M1798</f>
        <v/>
      </c>
      <c r="P1798">
        <f>TEXT(B1798,"yyyy-mm")</f>
        <v/>
      </c>
      <c r="Q1798">
        <f>IF(O1798&gt;=3000,"Large","Small")</f>
        <v/>
      </c>
      <c r="R1798">
        <f>INDEX(Products!$F$2:$F$49,MATCH(J1798,Products!$A$2:$A$49,0))</f>
        <v/>
      </c>
      <c r="S1798">
        <f>WEEKDAY(B1798,2)</f>
        <v/>
      </c>
    </row>
    <row r="1799">
      <c r="A1799" t="n">
        <v>510237</v>
      </c>
      <c r="B1799" s="6" t="n">
        <v>45952</v>
      </c>
      <c r="C1799" t="n">
        <v>11480</v>
      </c>
      <c r="D1799" t="inlineStr">
        <is>
          <t>Delhi</t>
        </is>
      </c>
      <c r="E1799" t="inlineStr">
        <is>
          <t>North</t>
        </is>
      </c>
      <c r="F1799" t="inlineStr">
        <is>
          <t>Organic Search</t>
        </is>
      </c>
      <c r="G1799" t="inlineStr">
        <is>
          <t>Mobile Web</t>
        </is>
      </c>
      <c r="H1799" t="inlineStr">
        <is>
          <t>UPI</t>
        </is>
      </c>
      <c r="I1799" t="inlineStr">
        <is>
          <t>Delivered</t>
        </is>
      </c>
      <c r="J1799" t="n">
        <v>121</v>
      </c>
      <c r="K1799" t="n">
        <v>1</v>
      </c>
      <c r="L1799" t="n">
        <v>2939</v>
      </c>
      <c r="M1799" t="n">
        <v>293.9</v>
      </c>
      <c r="N1799">
        <f>VLOOKUP(J1799,Products!$A$2:$C$49,3,FALSE)</f>
        <v/>
      </c>
      <c r="O1799">
        <f>K1799*L1799-M1799</f>
        <v/>
      </c>
      <c r="P1799">
        <f>TEXT(B1799,"yyyy-mm")</f>
        <v/>
      </c>
      <c r="Q1799">
        <f>IF(O1799&gt;=3000,"Large","Small")</f>
        <v/>
      </c>
      <c r="R1799">
        <f>INDEX(Products!$F$2:$F$49,MATCH(J1799,Products!$A$2:$A$49,0))</f>
        <v/>
      </c>
      <c r="S1799">
        <f>WEEKDAY(B1799,2)</f>
        <v/>
      </c>
    </row>
    <row r="1800">
      <c r="A1800" t="n">
        <v>510238</v>
      </c>
      <c r="B1800" s="6" t="n">
        <v>45952</v>
      </c>
      <c r="C1800" t="n">
        <v>13353</v>
      </c>
      <c r="D1800" t="inlineStr">
        <is>
          <t>Hyderabad</t>
        </is>
      </c>
      <c r="E1800" t="inlineStr">
        <is>
          <t>South</t>
        </is>
      </c>
      <c r="F1800" t="inlineStr">
        <is>
          <t>Organic Search</t>
        </is>
      </c>
      <c r="G1800" t="inlineStr">
        <is>
          <t>Mobile App</t>
        </is>
      </c>
      <c r="H1800" t="inlineStr">
        <is>
          <t>Cash on Delivery</t>
        </is>
      </c>
      <c r="I1800" t="inlineStr">
        <is>
          <t>Delivered</t>
        </is>
      </c>
      <c r="J1800" t="n">
        <v>111</v>
      </c>
      <c r="K1800" t="n">
        <v>1</v>
      </c>
      <c r="L1800" t="n">
        <v>524</v>
      </c>
      <c r="M1800" t="n">
        <v>52.4</v>
      </c>
      <c r="N1800">
        <f>VLOOKUP(J1800,Products!$A$2:$C$49,3,FALSE)</f>
        <v/>
      </c>
      <c r="O1800">
        <f>K1800*L1800-M1800</f>
        <v/>
      </c>
      <c r="P1800">
        <f>TEXT(B1800,"yyyy-mm")</f>
        <v/>
      </c>
      <c r="Q1800">
        <f>IF(O1800&gt;=3000,"Large","Small")</f>
        <v/>
      </c>
      <c r="R1800">
        <f>INDEX(Products!$F$2:$F$49,MATCH(J1800,Products!$A$2:$A$49,0))</f>
        <v/>
      </c>
      <c r="S1800">
        <f>WEEKDAY(B1800,2)</f>
        <v/>
      </c>
    </row>
    <row r="1801">
      <c r="A1801" t="n">
        <v>510238</v>
      </c>
      <c r="B1801" s="6" t="n">
        <v>45952</v>
      </c>
      <c r="C1801" t="n">
        <v>13353</v>
      </c>
      <c r="D1801" t="inlineStr">
        <is>
          <t>Hyderabad</t>
        </is>
      </c>
      <c r="E1801" t="inlineStr">
        <is>
          <t>South</t>
        </is>
      </c>
      <c r="F1801" t="inlineStr">
        <is>
          <t>Organic Search</t>
        </is>
      </c>
      <c r="G1801" t="inlineStr">
        <is>
          <t>Mobile App</t>
        </is>
      </c>
      <c r="H1801" t="inlineStr">
        <is>
          <t>Cash on Delivery</t>
        </is>
      </c>
      <c r="I1801" t="inlineStr">
        <is>
          <t>Delivered</t>
        </is>
      </c>
      <c r="J1801" t="n">
        <v>138</v>
      </c>
      <c r="K1801" t="n">
        <v>2</v>
      </c>
      <c r="L1801" t="n">
        <v>419</v>
      </c>
      <c r="M1801" t="n">
        <v>83.8</v>
      </c>
      <c r="N1801">
        <f>VLOOKUP(J1801,Products!$A$2:$C$49,3,FALSE)</f>
        <v/>
      </c>
      <c r="O1801">
        <f>K1801*L1801-M1801</f>
        <v/>
      </c>
      <c r="P1801">
        <f>TEXT(B1801,"yyyy-mm")</f>
        <v/>
      </c>
      <c r="Q1801">
        <f>IF(O1801&gt;=3000,"Large","Small")</f>
        <v/>
      </c>
      <c r="R1801">
        <f>INDEX(Products!$F$2:$F$49,MATCH(J1801,Products!$A$2:$A$49,0))</f>
        <v/>
      </c>
      <c r="S1801">
        <f>WEEKDAY(B1801,2)</f>
        <v/>
      </c>
    </row>
    <row r="1802">
      <c r="A1802" t="n">
        <v>510238</v>
      </c>
      <c r="B1802" s="6" t="n">
        <v>45952</v>
      </c>
      <c r="C1802" t="n">
        <v>13353</v>
      </c>
      <c r="D1802" t="inlineStr">
        <is>
          <t>Hyderabad</t>
        </is>
      </c>
      <c r="E1802" t="inlineStr">
        <is>
          <t>South</t>
        </is>
      </c>
      <c r="F1802" t="inlineStr">
        <is>
          <t>Organic Search</t>
        </is>
      </c>
      <c r="G1802" t="inlineStr">
        <is>
          <t>Mobile App</t>
        </is>
      </c>
      <c r="H1802" t="inlineStr">
        <is>
          <t>Cash on Delivery</t>
        </is>
      </c>
      <c r="I1802" t="inlineStr">
        <is>
          <t>Delivered</t>
        </is>
      </c>
      <c r="J1802" t="n">
        <v>129</v>
      </c>
      <c r="K1802" t="n">
        <v>1</v>
      </c>
      <c r="L1802" t="n">
        <v>576</v>
      </c>
      <c r="M1802" t="n">
        <v>57.6</v>
      </c>
      <c r="N1802">
        <f>VLOOKUP(J1802,Products!$A$2:$C$49,3,FALSE)</f>
        <v/>
      </c>
      <c r="O1802">
        <f>K1802*L1802-M1802</f>
        <v/>
      </c>
      <c r="P1802">
        <f>TEXT(B1802,"yyyy-mm")</f>
        <v/>
      </c>
      <c r="Q1802">
        <f>IF(O1802&gt;=3000,"Large","Small")</f>
        <v/>
      </c>
      <c r="R1802">
        <f>INDEX(Products!$F$2:$F$49,MATCH(J1802,Products!$A$2:$A$49,0))</f>
        <v/>
      </c>
      <c r="S1802">
        <f>WEEKDAY(B1802,2)</f>
        <v/>
      </c>
    </row>
    <row r="1803">
      <c r="A1803" t="n">
        <v>510239</v>
      </c>
      <c r="B1803" s="6" t="n">
        <v>45952</v>
      </c>
      <c r="C1803" t="n">
        <v>11197</v>
      </c>
      <c r="D1803" t="inlineStr">
        <is>
          <t>Chennai</t>
        </is>
      </c>
      <c r="E1803" t="inlineStr">
        <is>
          <t>South</t>
        </is>
      </c>
      <c r="F1803" t="inlineStr">
        <is>
          <t>Email</t>
        </is>
      </c>
      <c r="G1803" t="inlineStr">
        <is>
          <t>Mobile Web</t>
        </is>
      </c>
      <c r="H1803" t="inlineStr">
        <is>
          <t>UPI</t>
        </is>
      </c>
      <c r="I1803" t="inlineStr">
        <is>
          <t>Delivered</t>
        </is>
      </c>
      <c r="J1803" t="n">
        <v>136</v>
      </c>
      <c r="K1803" t="n">
        <v>1</v>
      </c>
      <c r="L1803" t="n">
        <v>944</v>
      </c>
      <c r="M1803" t="n">
        <v>94.40000000000001</v>
      </c>
      <c r="N1803">
        <f>VLOOKUP(J1803,Products!$A$2:$C$49,3,FALSE)</f>
        <v/>
      </c>
      <c r="O1803">
        <f>K1803*L1803-M1803</f>
        <v/>
      </c>
      <c r="P1803">
        <f>TEXT(B1803,"yyyy-mm")</f>
        <v/>
      </c>
      <c r="Q1803">
        <f>IF(O1803&gt;=3000,"Large","Small")</f>
        <v/>
      </c>
      <c r="R1803">
        <f>INDEX(Products!$F$2:$F$49,MATCH(J1803,Products!$A$2:$A$49,0))</f>
        <v/>
      </c>
      <c r="S1803">
        <f>WEEKDAY(B1803,2)</f>
        <v/>
      </c>
    </row>
    <row r="1804">
      <c r="A1804" t="n">
        <v>510239</v>
      </c>
      <c r="B1804" s="6" t="n">
        <v>45952</v>
      </c>
      <c r="C1804" t="n">
        <v>11197</v>
      </c>
      <c r="D1804" t="inlineStr">
        <is>
          <t>Chennai</t>
        </is>
      </c>
      <c r="E1804" t="inlineStr">
        <is>
          <t>South</t>
        </is>
      </c>
      <c r="F1804" t="inlineStr">
        <is>
          <t>Email</t>
        </is>
      </c>
      <c r="G1804" t="inlineStr">
        <is>
          <t>Mobile Web</t>
        </is>
      </c>
      <c r="H1804" t="inlineStr">
        <is>
          <t>UPI</t>
        </is>
      </c>
      <c r="I1804" t="inlineStr">
        <is>
          <t>Delivered</t>
        </is>
      </c>
      <c r="J1804" t="n">
        <v>128</v>
      </c>
      <c r="K1804" t="n">
        <v>1</v>
      </c>
      <c r="L1804" t="n">
        <v>1049</v>
      </c>
      <c r="M1804" t="n">
        <v>104.9</v>
      </c>
      <c r="N1804">
        <f>VLOOKUP(J1804,Products!$A$2:$C$49,3,FALSE)</f>
        <v/>
      </c>
      <c r="O1804">
        <f>K1804*L1804-M1804</f>
        <v/>
      </c>
      <c r="P1804">
        <f>TEXT(B1804,"yyyy-mm")</f>
        <v/>
      </c>
      <c r="Q1804">
        <f>IF(O1804&gt;=3000,"Large","Small")</f>
        <v/>
      </c>
      <c r="R1804">
        <f>INDEX(Products!$F$2:$F$49,MATCH(J1804,Products!$A$2:$A$49,0))</f>
        <v/>
      </c>
      <c r="S1804">
        <f>WEEKDAY(B1804,2)</f>
        <v/>
      </c>
    </row>
    <row r="1805">
      <c r="A1805" t="n">
        <v>510240</v>
      </c>
      <c r="B1805" s="6" t="n">
        <v>45952</v>
      </c>
      <c r="C1805" t="n">
        <v>12478</v>
      </c>
      <c r="D1805" t="inlineStr">
        <is>
          <t>Mumbai</t>
        </is>
      </c>
      <c r="E1805" t="inlineStr">
        <is>
          <t>West</t>
        </is>
      </c>
      <c r="F1805" t="inlineStr">
        <is>
          <t>Organic Search</t>
        </is>
      </c>
      <c r="G1805" t="inlineStr">
        <is>
          <t>Desktop</t>
        </is>
      </c>
      <c r="H1805" t="inlineStr">
        <is>
          <t>Cash on Delivery</t>
        </is>
      </c>
      <c r="I1805" t="inlineStr">
        <is>
          <t>Delivered</t>
        </is>
      </c>
      <c r="J1805" t="n">
        <v>119</v>
      </c>
      <c r="K1805" t="n">
        <v>1</v>
      </c>
      <c r="L1805" t="n">
        <v>2309</v>
      </c>
      <c r="M1805" t="n">
        <v>0</v>
      </c>
      <c r="N1805">
        <f>VLOOKUP(J1805,Products!$A$2:$C$49,3,FALSE)</f>
        <v/>
      </c>
      <c r="O1805">
        <f>K1805*L1805-M1805</f>
        <v/>
      </c>
      <c r="P1805">
        <f>TEXT(B1805,"yyyy-mm")</f>
        <v/>
      </c>
      <c r="Q1805">
        <f>IF(O1805&gt;=3000,"Large","Small")</f>
        <v/>
      </c>
      <c r="R1805">
        <f>INDEX(Products!$F$2:$F$49,MATCH(J1805,Products!$A$2:$A$49,0))</f>
        <v/>
      </c>
      <c r="S1805">
        <f>WEEKDAY(B1805,2)</f>
        <v/>
      </c>
    </row>
    <row r="1806">
      <c r="A1806" t="n">
        <v>510240</v>
      </c>
      <c r="B1806" s="6" t="n">
        <v>45952</v>
      </c>
      <c r="C1806" t="n">
        <v>12478</v>
      </c>
      <c r="D1806" t="inlineStr">
        <is>
          <t>Mumbai</t>
        </is>
      </c>
      <c r="E1806" t="inlineStr">
        <is>
          <t>West</t>
        </is>
      </c>
      <c r="F1806" t="inlineStr">
        <is>
          <t>Organic Search</t>
        </is>
      </c>
      <c r="G1806" t="inlineStr">
        <is>
          <t>Desktop</t>
        </is>
      </c>
      <c r="H1806" t="inlineStr">
        <is>
          <t>Cash on Delivery</t>
        </is>
      </c>
      <c r="I1806" t="inlineStr">
        <is>
          <t>Delivered</t>
        </is>
      </c>
      <c r="J1806" t="n">
        <v>113</v>
      </c>
      <c r="K1806" t="n">
        <v>1</v>
      </c>
      <c r="L1806" t="n">
        <v>1364</v>
      </c>
      <c r="M1806" t="n">
        <v>0</v>
      </c>
      <c r="N1806">
        <f>VLOOKUP(J1806,Products!$A$2:$C$49,3,FALSE)</f>
        <v/>
      </c>
      <c r="O1806">
        <f>K1806*L1806-M1806</f>
        <v/>
      </c>
      <c r="P1806">
        <f>TEXT(B1806,"yyyy-mm")</f>
        <v/>
      </c>
      <c r="Q1806">
        <f>IF(O1806&gt;=3000,"Large","Small")</f>
        <v/>
      </c>
      <c r="R1806">
        <f>INDEX(Products!$F$2:$F$49,MATCH(J1806,Products!$A$2:$A$49,0))</f>
        <v/>
      </c>
      <c r="S1806">
        <f>WEEKDAY(B1806,2)</f>
        <v/>
      </c>
    </row>
    <row r="1807">
      <c r="A1807" t="n">
        <v>510240</v>
      </c>
      <c r="B1807" s="6" t="n">
        <v>45952</v>
      </c>
      <c r="C1807" t="n">
        <v>12478</v>
      </c>
      <c r="D1807" t="inlineStr">
        <is>
          <t>Mumbai</t>
        </is>
      </c>
      <c r="E1807" t="inlineStr">
        <is>
          <t>West</t>
        </is>
      </c>
      <c r="F1807" t="inlineStr">
        <is>
          <t>Organic Search</t>
        </is>
      </c>
      <c r="G1807" t="inlineStr">
        <is>
          <t>Desktop</t>
        </is>
      </c>
      <c r="H1807" t="inlineStr">
        <is>
          <t>Cash on Delivery</t>
        </is>
      </c>
      <c r="I1807" t="inlineStr">
        <is>
          <t>Delivered</t>
        </is>
      </c>
      <c r="J1807" t="n">
        <v>110</v>
      </c>
      <c r="K1807" t="n">
        <v>1</v>
      </c>
      <c r="L1807" t="n">
        <v>839</v>
      </c>
      <c r="M1807" t="n">
        <v>0</v>
      </c>
      <c r="N1807">
        <f>VLOOKUP(J1807,Products!$A$2:$C$49,3,FALSE)</f>
        <v/>
      </c>
      <c r="O1807">
        <f>K1807*L1807-M1807</f>
        <v/>
      </c>
      <c r="P1807">
        <f>TEXT(B1807,"yyyy-mm")</f>
        <v/>
      </c>
      <c r="Q1807">
        <f>IF(O1807&gt;=3000,"Large","Small")</f>
        <v/>
      </c>
      <c r="R1807">
        <f>INDEX(Products!$F$2:$F$49,MATCH(J1807,Products!$A$2:$A$49,0))</f>
        <v/>
      </c>
      <c r="S1807">
        <f>WEEKDAY(B1807,2)</f>
        <v/>
      </c>
    </row>
    <row r="1808">
      <c r="A1808" t="n">
        <v>510240</v>
      </c>
      <c r="B1808" s="6" t="n">
        <v>45952</v>
      </c>
      <c r="C1808" t="n">
        <v>12478</v>
      </c>
      <c r="D1808" t="inlineStr">
        <is>
          <t>Mumbai</t>
        </is>
      </c>
      <c r="E1808" t="inlineStr">
        <is>
          <t>West</t>
        </is>
      </c>
      <c r="F1808" t="inlineStr">
        <is>
          <t>Organic Search</t>
        </is>
      </c>
      <c r="G1808" t="inlineStr">
        <is>
          <t>Desktop</t>
        </is>
      </c>
      <c r="H1808" t="inlineStr">
        <is>
          <t>Cash on Delivery</t>
        </is>
      </c>
      <c r="I1808" t="inlineStr">
        <is>
          <t>Delivered</t>
        </is>
      </c>
      <c r="J1808" t="n">
        <v>129</v>
      </c>
      <c r="K1808" t="n">
        <v>1</v>
      </c>
      <c r="L1808" t="n">
        <v>576</v>
      </c>
      <c r="M1808" t="n">
        <v>0</v>
      </c>
      <c r="N1808">
        <f>VLOOKUP(J1808,Products!$A$2:$C$49,3,FALSE)</f>
        <v/>
      </c>
      <c r="O1808">
        <f>K1808*L1808-M1808</f>
        <v/>
      </c>
      <c r="P1808">
        <f>TEXT(B1808,"yyyy-mm")</f>
        <v/>
      </c>
      <c r="Q1808">
        <f>IF(O1808&gt;=3000,"Large","Small")</f>
        <v/>
      </c>
      <c r="R1808">
        <f>INDEX(Products!$F$2:$F$49,MATCH(J1808,Products!$A$2:$A$49,0))</f>
        <v/>
      </c>
      <c r="S1808">
        <f>WEEKDAY(B1808,2)</f>
        <v/>
      </c>
    </row>
    <row r="1809">
      <c r="A1809" t="n">
        <v>510241</v>
      </c>
      <c r="B1809" s="6" t="n">
        <v>45952</v>
      </c>
      <c r="C1809" t="n">
        <v>15807</v>
      </c>
      <c r="D1809" t="inlineStr">
        <is>
          <t>Delhi</t>
        </is>
      </c>
      <c r="E1809" t="inlineStr">
        <is>
          <t>North</t>
        </is>
      </c>
      <c r="F1809" t="inlineStr">
        <is>
          <t>Organic Search</t>
        </is>
      </c>
      <c r="G1809" t="inlineStr">
        <is>
          <t>Mobile Web</t>
        </is>
      </c>
      <c r="H1809" t="inlineStr">
        <is>
          <t>Net Banking</t>
        </is>
      </c>
      <c r="I1809" t="inlineStr">
        <is>
          <t>Delivered</t>
        </is>
      </c>
      <c r="J1809" t="n">
        <v>125</v>
      </c>
      <c r="K1809" t="n">
        <v>1</v>
      </c>
      <c r="L1809" t="n">
        <v>1364</v>
      </c>
      <c r="M1809" t="n">
        <v>136.4</v>
      </c>
      <c r="N1809">
        <f>VLOOKUP(J1809,Products!$A$2:$C$49,3,FALSE)</f>
        <v/>
      </c>
      <c r="O1809">
        <f>K1809*L1809-M1809</f>
        <v/>
      </c>
      <c r="P1809">
        <f>TEXT(B1809,"yyyy-mm")</f>
        <v/>
      </c>
      <c r="Q1809">
        <f>IF(O1809&gt;=3000,"Large","Small")</f>
        <v/>
      </c>
      <c r="R1809">
        <f>INDEX(Products!$F$2:$F$49,MATCH(J1809,Products!$A$2:$A$49,0))</f>
        <v/>
      </c>
      <c r="S1809">
        <f>WEEKDAY(B1809,2)</f>
        <v/>
      </c>
    </row>
    <row r="1810">
      <c r="A1810" t="n">
        <v>510241</v>
      </c>
      <c r="B1810" s="6" t="n">
        <v>45952</v>
      </c>
      <c r="C1810" t="n">
        <v>15807</v>
      </c>
      <c r="D1810" t="inlineStr">
        <is>
          <t>Delhi</t>
        </is>
      </c>
      <c r="E1810" t="inlineStr">
        <is>
          <t>North</t>
        </is>
      </c>
      <c r="F1810" t="inlineStr">
        <is>
          <t>Organic Search</t>
        </is>
      </c>
      <c r="G1810" t="inlineStr">
        <is>
          <t>Mobile Web</t>
        </is>
      </c>
      <c r="H1810" t="inlineStr">
        <is>
          <t>Net Banking</t>
        </is>
      </c>
      <c r="I1810" t="inlineStr">
        <is>
          <t>Delivered</t>
        </is>
      </c>
      <c r="J1810" t="n">
        <v>101</v>
      </c>
      <c r="K1810" t="n">
        <v>2</v>
      </c>
      <c r="L1810" t="n">
        <v>2099</v>
      </c>
      <c r="M1810" t="n">
        <v>419.8</v>
      </c>
      <c r="N1810">
        <f>VLOOKUP(J1810,Products!$A$2:$C$49,3,FALSE)</f>
        <v/>
      </c>
      <c r="O1810">
        <f>K1810*L1810-M1810</f>
        <v/>
      </c>
      <c r="P1810">
        <f>TEXT(B1810,"yyyy-mm")</f>
        <v/>
      </c>
      <c r="Q1810">
        <f>IF(O1810&gt;=3000,"Large","Small")</f>
        <v/>
      </c>
      <c r="R1810">
        <f>INDEX(Products!$F$2:$F$49,MATCH(J1810,Products!$A$2:$A$49,0))</f>
        <v/>
      </c>
      <c r="S1810">
        <f>WEEKDAY(B1810,2)</f>
        <v/>
      </c>
    </row>
    <row r="1811">
      <c r="A1811" t="n">
        <v>510242</v>
      </c>
      <c r="B1811" s="6" t="n">
        <v>45952</v>
      </c>
      <c r="C1811" t="n">
        <v>15620</v>
      </c>
      <c r="D1811" t="inlineStr">
        <is>
          <t>Mumbai</t>
        </is>
      </c>
      <c r="E1811" t="inlineStr">
        <is>
          <t>West</t>
        </is>
      </c>
      <c r="F1811" t="inlineStr">
        <is>
          <t>Referral</t>
        </is>
      </c>
      <c r="G1811" t="inlineStr">
        <is>
          <t>Mobile Web</t>
        </is>
      </c>
      <c r="H1811" t="inlineStr">
        <is>
          <t>Net Banking</t>
        </is>
      </c>
      <c r="I1811" t="inlineStr">
        <is>
          <t>Delivered</t>
        </is>
      </c>
      <c r="J1811" t="n">
        <v>131</v>
      </c>
      <c r="K1811" t="n">
        <v>2</v>
      </c>
      <c r="L1811" t="n">
        <v>314</v>
      </c>
      <c r="M1811" t="n">
        <v>0</v>
      </c>
      <c r="N1811">
        <f>VLOOKUP(J1811,Products!$A$2:$C$49,3,FALSE)</f>
        <v/>
      </c>
      <c r="O1811">
        <f>K1811*L1811-M1811</f>
        <v/>
      </c>
      <c r="P1811">
        <f>TEXT(B1811,"yyyy-mm")</f>
        <v/>
      </c>
      <c r="Q1811">
        <f>IF(O1811&gt;=3000,"Large","Small")</f>
        <v/>
      </c>
      <c r="R1811">
        <f>INDEX(Products!$F$2:$F$49,MATCH(J1811,Products!$A$2:$A$49,0))</f>
        <v/>
      </c>
      <c r="S1811">
        <f>WEEKDAY(B1811,2)</f>
        <v/>
      </c>
    </row>
    <row r="1812">
      <c r="A1812" t="n">
        <v>510242</v>
      </c>
      <c r="B1812" s="6" t="n">
        <v>45952</v>
      </c>
      <c r="C1812" t="n">
        <v>15620</v>
      </c>
      <c r="D1812" t="inlineStr">
        <is>
          <t>Mumbai</t>
        </is>
      </c>
      <c r="E1812" t="inlineStr">
        <is>
          <t>West</t>
        </is>
      </c>
      <c r="F1812" t="inlineStr">
        <is>
          <t>Referral</t>
        </is>
      </c>
      <c r="G1812" t="inlineStr">
        <is>
          <t>Mobile Web</t>
        </is>
      </c>
      <c r="H1812" t="inlineStr">
        <is>
          <t>Net Banking</t>
        </is>
      </c>
      <c r="I1812" t="inlineStr">
        <is>
          <t>Delivered</t>
        </is>
      </c>
      <c r="J1812" t="n">
        <v>115</v>
      </c>
      <c r="K1812" t="n">
        <v>1</v>
      </c>
      <c r="L1812" t="n">
        <v>4199</v>
      </c>
      <c r="M1812" t="n">
        <v>0</v>
      </c>
      <c r="N1812">
        <f>VLOOKUP(J1812,Products!$A$2:$C$49,3,FALSE)</f>
        <v/>
      </c>
      <c r="O1812">
        <f>K1812*L1812-M1812</f>
        <v/>
      </c>
      <c r="P1812">
        <f>TEXT(B1812,"yyyy-mm")</f>
        <v/>
      </c>
      <c r="Q1812">
        <f>IF(O1812&gt;=3000,"Large","Small")</f>
        <v/>
      </c>
      <c r="R1812">
        <f>INDEX(Products!$F$2:$F$49,MATCH(J1812,Products!$A$2:$A$49,0))</f>
        <v/>
      </c>
      <c r="S1812">
        <f>WEEKDAY(B1812,2)</f>
        <v/>
      </c>
    </row>
    <row r="1813">
      <c r="A1813" t="n">
        <v>510242</v>
      </c>
      <c r="B1813" s="6" t="n">
        <v>45952</v>
      </c>
      <c r="C1813" t="n">
        <v>15620</v>
      </c>
      <c r="D1813" t="inlineStr">
        <is>
          <t>Mumbai</t>
        </is>
      </c>
      <c r="E1813" t="inlineStr">
        <is>
          <t>West</t>
        </is>
      </c>
      <c r="F1813" t="inlineStr">
        <is>
          <t>Referral</t>
        </is>
      </c>
      <c r="G1813" t="inlineStr">
        <is>
          <t>Mobile Web</t>
        </is>
      </c>
      <c r="H1813" t="inlineStr">
        <is>
          <t>Net Banking</t>
        </is>
      </c>
      <c r="I1813" t="inlineStr">
        <is>
          <t>Delivered</t>
        </is>
      </c>
      <c r="J1813" t="n">
        <v>127</v>
      </c>
      <c r="K1813" t="n">
        <v>3</v>
      </c>
      <c r="L1813" t="n">
        <v>681</v>
      </c>
      <c r="M1813" t="n">
        <v>0</v>
      </c>
      <c r="N1813">
        <f>VLOOKUP(J1813,Products!$A$2:$C$49,3,FALSE)</f>
        <v/>
      </c>
      <c r="O1813">
        <f>K1813*L1813-M1813</f>
        <v/>
      </c>
      <c r="P1813">
        <f>TEXT(B1813,"yyyy-mm")</f>
        <v/>
      </c>
      <c r="Q1813">
        <f>IF(O1813&gt;=3000,"Large","Small")</f>
        <v/>
      </c>
      <c r="R1813">
        <f>INDEX(Products!$F$2:$F$49,MATCH(J1813,Products!$A$2:$A$49,0))</f>
        <v/>
      </c>
      <c r="S1813">
        <f>WEEKDAY(B1813,2)</f>
        <v/>
      </c>
    </row>
    <row r="1814">
      <c r="A1814" t="n">
        <v>510242</v>
      </c>
      <c r="B1814" s="6" t="n">
        <v>45952</v>
      </c>
      <c r="C1814" t="n">
        <v>15620</v>
      </c>
      <c r="D1814" t="inlineStr">
        <is>
          <t>Mumbai</t>
        </is>
      </c>
      <c r="E1814" t="inlineStr">
        <is>
          <t>West</t>
        </is>
      </c>
      <c r="F1814" t="inlineStr">
        <is>
          <t>Referral</t>
        </is>
      </c>
      <c r="G1814" t="inlineStr">
        <is>
          <t>Mobile Web</t>
        </is>
      </c>
      <c r="H1814" t="inlineStr">
        <is>
          <t>Net Banking</t>
        </is>
      </c>
      <c r="I1814" t="inlineStr">
        <is>
          <t>Delivered</t>
        </is>
      </c>
      <c r="J1814" t="n">
        <v>107</v>
      </c>
      <c r="K1814" t="n">
        <v>1</v>
      </c>
      <c r="L1814" t="n">
        <v>1259</v>
      </c>
      <c r="M1814" t="n">
        <v>0</v>
      </c>
      <c r="N1814">
        <f>VLOOKUP(J1814,Products!$A$2:$C$49,3,FALSE)</f>
        <v/>
      </c>
      <c r="O1814">
        <f>K1814*L1814-M1814</f>
        <v/>
      </c>
      <c r="P1814">
        <f>TEXT(B1814,"yyyy-mm")</f>
        <v/>
      </c>
      <c r="Q1814">
        <f>IF(O1814&gt;=3000,"Large","Small")</f>
        <v/>
      </c>
      <c r="R1814">
        <f>INDEX(Products!$F$2:$F$49,MATCH(J1814,Products!$A$2:$A$49,0))</f>
        <v/>
      </c>
      <c r="S1814">
        <f>WEEKDAY(B1814,2)</f>
        <v/>
      </c>
    </row>
    <row r="1815">
      <c r="A1815" t="n">
        <v>510243</v>
      </c>
      <c r="B1815" s="6" t="n">
        <v>45952</v>
      </c>
      <c r="C1815" t="n">
        <v>16898</v>
      </c>
      <c r="D1815" t="inlineStr">
        <is>
          <t>Noida</t>
        </is>
      </c>
      <c r="E1815" t="inlineStr">
        <is>
          <t>North</t>
        </is>
      </c>
      <c r="F1815" t="inlineStr">
        <is>
          <t>Organic Search</t>
        </is>
      </c>
      <c r="G1815" t="inlineStr">
        <is>
          <t>Mobile App</t>
        </is>
      </c>
      <c r="H1815" t="inlineStr">
        <is>
          <t>UPI</t>
        </is>
      </c>
      <c r="I1815" t="inlineStr">
        <is>
          <t>Delivered</t>
        </is>
      </c>
      <c r="J1815" t="n">
        <v>128</v>
      </c>
      <c r="K1815" t="n">
        <v>1</v>
      </c>
      <c r="L1815" t="n">
        <v>1049</v>
      </c>
      <c r="M1815" t="n">
        <v>0</v>
      </c>
      <c r="N1815">
        <f>VLOOKUP(J1815,Products!$A$2:$C$49,3,FALSE)</f>
        <v/>
      </c>
      <c r="O1815">
        <f>K1815*L1815-M1815</f>
        <v/>
      </c>
      <c r="P1815">
        <f>TEXT(B1815,"yyyy-mm")</f>
        <v/>
      </c>
      <c r="Q1815">
        <f>IF(O1815&gt;=3000,"Large","Small")</f>
        <v/>
      </c>
      <c r="R1815">
        <f>INDEX(Products!$F$2:$F$49,MATCH(J1815,Products!$A$2:$A$49,0))</f>
        <v/>
      </c>
      <c r="S1815">
        <f>WEEKDAY(B1815,2)</f>
        <v/>
      </c>
    </row>
    <row r="1816">
      <c r="A1816" t="n">
        <v>510243</v>
      </c>
      <c r="B1816" s="6" t="n">
        <v>45952</v>
      </c>
      <c r="C1816" t="n">
        <v>16898</v>
      </c>
      <c r="D1816" t="inlineStr">
        <is>
          <t>Noida</t>
        </is>
      </c>
      <c r="E1816" t="inlineStr">
        <is>
          <t>North</t>
        </is>
      </c>
      <c r="F1816" t="inlineStr">
        <is>
          <t>Organic Search</t>
        </is>
      </c>
      <c r="G1816" t="inlineStr">
        <is>
          <t>Mobile App</t>
        </is>
      </c>
      <c r="H1816" t="inlineStr">
        <is>
          <t>UPI</t>
        </is>
      </c>
      <c r="I1816" t="inlineStr">
        <is>
          <t>Delivered</t>
        </is>
      </c>
      <c r="J1816" t="n">
        <v>129</v>
      </c>
      <c r="K1816" t="n">
        <v>1</v>
      </c>
      <c r="L1816" t="n">
        <v>576</v>
      </c>
      <c r="M1816" t="n">
        <v>0</v>
      </c>
      <c r="N1816">
        <f>VLOOKUP(J1816,Products!$A$2:$C$49,3,FALSE)</f>
        <v/>
      </c>
      <c r="O1816">
        <f>K1816*L1816-M1816</f>
        <v/>
      </c>
      <c r="P1816">
        <f>TEXT(B1816,"yyyy-mm")</f>
        <v/>
      </c>
      <c r="Q1816">
        <f>IF(O1816&gt;=3000,"Large","Small")</f>
        <v/>
      </c>
      <c r="R1816">
        <f>INDEX(Products!$F$2:$F$49,MATCH(J1816,Products!$A$2:$A$49,0))</f>
        <v/>
      </c>
      <c r="S1816">
        <f>WEEKDAY(B1816,2)</f>
        <v/>
      </c>
    </row>
    <row r="1817">
      <c r="A1817" t="n">
        <v>510244</v>
      </c>
      <c r="B1817" s="6" t="n">
        <v>45952</v>
      </c>
      <c r="C1817" t="n">
        <v>15186</v>
      </c>
      <c r="D1817" t="inlineStr">
        <is>
          <t>Delhi</t>
        </is>
      </c>
      <c r="E1817" t="inlineStr">
        <is>
          <t>North</t>
        </is>
      </c>
      <c r="F1817" t="inlineStr">
        <is>
          <t>Referral</t>
        </is>
      </c>
      <c r="G1817" t="inlineStr">
        <is>
          <t>Desktop</t>
        </is>
      </c>
      <c r="H1817" t="inlineStr">
        <is>
          <t>Net Banking</t>
        </is>
      </c>
      <c r="I1817" t="inlineStr">
        <is>
          <t>Delivered</t>
        </is>
      </c>
      <c r="J1817" t="n">
        <v>116</v>
      </c>
      <c r="K1817" t="n">
        <v>1</v>
      </c>
      <c r="L1817" t="n">
        <v>2624</v>
      </c>
      <c r="M1817" t="n">
        <v>262.4</v>
      </c>
      <c r="N1817">
        <f>VLOOKUP(J1817,Products!$A$2:$C$49,3,FALSE)</f>
        <v/>
      </c>
      <c r="O1817">
        <f>K1817*L1817-M1817</f>
        <v/>
      </c>
      <c r="P1817">
        <f>TEXT(B1817,"yyyy-mm")</f>
        <v/>
      </c>
      <c r="Q1817">
        <f>IF(O1817&gt;=3000,"Large","Small")</f>
        <v/>
      </c>
      <c r="R1817">
        <f>INDEX(Products!$F$2:$F$49,MATCH(J1817,Products!$A$2:$A$49,0))</f>
        <v/>
      </c>
      <c r="S1817">
        <f>WEEKDAY(B1817,2)</f>
        <v/>
      </c>
    </row>
    <row r="1818">
      <c r="A1818" t="n">
        <v>510245</v>
      </c>
      <c r="B1818" s="6" t="n">
        <v>45952</v>
      </c>
      <c r="C1818" t="n">
        <v>16927</v>
      </c>
      <c r="D1818" t="inlineStr">
        <is>
          <t>Jaipur</t>
        </is>
      </c>
      <c r="E1818" t="inlineStr">
        <is>
          <t>North</t>
        </is>
      </c>
      <c r="F1818" t="inlineStr">
        <is>
          <t>Referral</t>
        </is>
      </c>
      <c r="G1818" t="inlineStr">
        <is>
          <t>Mobile Web</t>
        </is>
      </c>
      <c r="H1818" t="inlineStr">
        <is>
          <t>Cash on Delivery</t>
        </is>
      </c>
      <c r="I1818" t="inlineStr">
        <is>
          <t>Delivered</t>
        </is>
      </c>
      <c r="J1818" t="n">
        <v>106</v>
      </c>
      <c r="K1818" t="n">
        <v>1</v>
      </c>
      <c r="L1818" t="n">
        <v>1574</v>
      </c>
      <c r="M1818" t="n">
        <v>157.4</v>
      </c>
      <c r="N1818">
        <f>VLOOKUP(J1818,Products!$A$2:$C$49,3,FALSE)</f>
        <v/>
      </c>
      <c r="O1818">
        <f>K1818*L1818-M1818</f>
        <v/>
      </c>
      <c r="P1818">
        <f>TEXT(B1818,"yyyy-mm")</f>
        <v/>
      </c>
      <c r="Q1818">
        <f>IF(O1818&gt;=3000,"Large","Small")</f>
        <v/>
      </c>
      <c r="R1818">
        <f>INDEX(Products!$F$2:$F$49,MATCH(J1818,Products!$A$2:$A$49,0))</f>
        <v/>
      </c>
      <c r="S1818">
        <f>WEEKDAY(B1818,2)</f>
        <v/>
      </c>
    </row>
    <row r="1819">
      <c r="A1819" t="n">
        <v>510245</v>
      </c>
      <c r="B1819" s="6" t="n">
        <v>45952</v>
      </c>
      <c r="C1819" t="n">
        <v>16927</v>
      </c>
      <c r="D1819" t="inlineStr">
        <is>
          <t>Jaipur</t>
        </is>
      </c>
      <c r="E1819" t="inlineStr">
        <is>
          <t>North</t>
        </is>
      </c>
      <c r="F1819" t="inlineStr">
        <is>
          <t>Referral</t>
        </is>
      </c>
      <c r="G1819" t="inlineStr">
        <is>
          <t>Mobile Web</t>
        </is>
      </c>
      <c r="H1819" t="inlineStr">
        <is>
          <t>Cash on Delivery</t>
        </is>
      </c>
      <c r="I1819" t="inlineStr">
        <is>
          <t>Delivered</t>
        </is>
      </c>
      <c r="J1819" t="n">
        <v>143</v>
      </c>
      <c r="K1819" t="n">
        <v>1</v>
      </c>
      <c r="L1819" t="n">
        <v>839</v>
      </c>
      <c r="M1819" t="n">
        <v>83.90000000000001</v>
      </c>
      <c r="N1819">
        <f>VLOOKUP(J1819,Products!$A$2:$C$49,3,FALSE)</f>
        <v/>
      </c>
      <c r="O1819">
        <f>K1819*L1819-M1819</f>
        <v/>
      </c>
      <c r="P1819">
        <f>TEXT(B1819,"yyyy-mm")</f>
        <v/>
      </c>
      <c r="Q1819">
        <f>IF(O1819&gt;=3000,"Large","Small")</f>
        <v/>
      </c>
      <c r="R1819">
        <f>INDEX(Products!$F$2:$F$49,MATCH(J1819,Products!$A$2:$A$49,0))</f>
        <v/>
      </c>
      <c r="S1819">
        <f>WEEKDAY(B1819,2)</f>
        <v/>
      </c>
    </row>
    <row r="1820">
      <c r="A1820" t="n">
        <v>510245</v>
      </c>
      <c r="B1820" s="6" t="n">
        <v>45952</v>
      </c>
      <c r="C1820" t="n">
        <v>16927</v>
      </c>
      <c r="D1820" t="inlineStr">
        <is>
          <t>Jaipur</t>
        </is>
      </c>
      <c r="E1820" t="inlineStr">
        <is>
          <t>North</t>
        </is>
      </c>
      <c r="F1820" t="inlineStr">
        <is>
          <t>Referral</t>
        </is>
      </c>
      <c r="G1820" t="inlineStr">
        <is>
          <t>Mobile Web</t>
        </is>
      </c>
      <c r="H1820" t="inlineStr">
        <is>
          <t>Cash on Delivery</t>
        </is>
      </c>
      <c r="I1820" t="inlineStr">
        <is>
          <t>Delivered</t>
        </is>
      </c>
      <c r="J1820" t="n">
        <v>114</v>
      </c>
      <c r="K1820" t="n">
        <v>1</v>
      </c>
      <c r="L1820" t="n">
        <v>1259</v>
      </c>
      <c r="M1820" t="n">
        <v>125.9</v>
      </c>
      <c r="N1820">
        <f>VLOOKUP(J1820,Products!$A$2:$C$49,3,FALSE)</f>
        <v/>
      </c>
      <c r="O1820">
        <f>K1820*L1820-M1820</f>
        <v/>
      </c>
      <c r="P1820">
        <f>TEXT(B1820,"yyyy-mm")</f>
        <v/>
      </c>
      <c r="Q1820">
        <f>IF(O1820&gt;=3000,"Large","Small")</f>
        <v/>
      </c>
      <c r="R1820">
        <f>INDEX(Products!$F$2:$F$49,MATCH(J1820,Products!$A$2:$A$49,0))</f>
        <v/>
      </c>
      <c r="S1820">
        <f>WEEKDAY(B1820,2)</f>
        <v/>
      </c>
    </row>
    <row r="1821">
      <c r="A1821" t="n">
        <v>510246</v>
      </c>
      <c r="B1821" s="6" t="n">
        <v>45952</v>
      </c>
      <c r="C1821" t="n">
        <v>16770</v>
      </c>
      <c r="D1821" t="inlineStr">
        <is>
          <t>Hyderabad</t>
        </is>
      </c>
      <c r="E1821" t="inlineStr">
        <is>
          <t>South</t>
        </is>
      </c>
      <c r="F1821" t="inlineStr">
        <is>
          <t>Referral</t>
        </is>
      </c>
      <c r="G1821" t="inlineStr">
        <is>
          <t>Mobile Web</t>
        </is>
      </c>
      <c r="H1821" t="inlineStr">
        <is>
          <t>UPI</t>
        </is>
      </c>
      <c r="I1821" t="inlineStr">
        <is>
          <t>Delivered</t>
        </is>
      </c>
      <c r="J1821" t="n">
        <v>112</v>
      </c>
      <c r="K1821" t="n">
        <v>1</v>
      </c>
      <c r="L1821" t="n">
        <v>1574</v>
      </c>
      <c r="M1821" t="n">
        <v>0</v>
      </c>
      <c r="N1821">
        <f>VLOOKUP(J1821,Products!$A$2:$C$49,3,FALSE)</f>
        <v/>
      </c>
      <c r="O1821">
        <f>K1821*L1821-M1821</f>
        <v/>
      </c>
      <c r="P1821">
        <f>TEXT(B1821,"yyyy-mm")</f>
        <v/>
      </c>
      <c r="Q1821">
        <f>IF(O1821&gt;=3000,"Large","Small")</f>
        <v/>
      </c>
      <c r="R1821">
        <f>INDEX(Products!$F$2:$F$49,MATCH(J1821,Products!$A$2:$A$49,0))</f>
        <v/>
      </c>
      <c r="S1821">
        <f>WEEKDAY(B1821,2)</f>
        <v/>
      </c>
    </row>
    <row r="1822">
      <c r="A1822" t="n">
        <v>510246</v>
      </c>
      <c r="B1822" s="6" t="n">
        <v>45952</v>
      </c>
      <c r="C1822" t="n">
        <v>16770</v>
      </c>
      <c r="D1822" t="inlineStr">
        <is>
          <t>Hyderabad</t>
        </is>
      </c>
      <c r="E1822" t="inlineStr">
        <is>
          <t>South</t>
        </is>
      </c>
      <c r="F1822" t="inlineStr">
        <is>
          <t>Referral</t>
        </is>
      </c>
      <c r="G1822" t="inlineStr">
        <is>
          <t>Mobile Web</t>
        </is>
      </c>
      <c r="H1822" t="inlineStr">
        <is>
          <t>UPI</t>
        </is>
      </c>
      <c r="I1822" t="inlineStr">
        <is>
          <t>Delivered</t>
        </is>
      </c>
      <c r="J1822" t="n">
        <v>129</v>
      </c>
      <c r="K1822" t="n">
        <v>1</v>
      </c>
      <c r="L1822" t="n">
        <v>576</v>
      </c>
      <c r="M1822" t="n">
        <v>0</v>
      </c>
      <c r="N1822">
        <f>VLOOKUP(J1822,Products!$A$2:$C$49,3,FALSE)</f>
        <v/>
      </c>
      <c r="O1822">
        <f>K1822*L1822-M1822</f>
        <v/>
      </c>
      <c r="P1822">
        <f>TEXT(B1822,"yyyy-mm")</f>
        <v/>
      </c>
      <c r="Q1822">
        <f>IF(O1822&gt;=3000,"Large","Small")</f>
        <v/>
      </c>
      <c r="R1822">
        <f>INDEX(Products!$F$2:$F$49,MATCH(J1822,Products!$A$2:$A$49,0))</f>
        <v/>
      </c>
      <c r="S1822">
        <f>WEEKDAY(B1822,2)</f>
        <v/>
      </c>
    </row>
    <row r="1823">
      <c r="A1823" t="n">
        <v>510247</v>
      </c>
      <c r="B1823" s="6" t="n">
        <v>45952</v>
      </c>
      <c r="C1823" t="n">
        <v>16850</v>
      </c>
      <c r="D1823" t="inlineStr">
        <is>
          <t>Bengaluru</t>
        </is>
      </c>
      <c r="E1823" t="inlineStr">
        <is>
          <t>South</t>
        </is>
      </c>
      <c r="F1823" t="inlineStr">
        <is>
          <t>Paid Search</t>
        </is>
      </c>
      <c r="G1823" t="inlineStr">
        <is>
          <t>Desktop</t>
        </is>
      </c>
      <c r="H1823" t="inlineStr">
        <is>
          <t>UPI</t>
        </is>
      </c>
      <c r="I1823" t="inlineStr">
        <is>
          <t>Delivered</t>
        </is>
      </c>
      <c r="J1823" t="n">
        <v>113</v>
      </c>
      <c r="K1823" t="n">
        <v>1</v>
      </c>
      <c r="L1823" t="n">
        <v>1364</v>
      </c>
      <c r="M1823" t="n">
        <v>204.6</v>
      </c>
      <c r="N1823">
        <f>VLOOKUP(J1823,Products!$A$2:$C$49,3,FALSE)</f>
        <v/>
      </c>
      <c r="O1823">
        <f>K1823*L1823-M1823</f>
        <v/>
      </c>
      <c r="P1823">
        <f>TEXT(B1823,"yyyy-mm")</f>
        <v/>
      </c>
      <c r="Q1823">
        <f>IF(O1823&gt;=3000,"Large","Small")</f>
        <v/>
      </c>
      <c r="R1823">
        <f>INDEX(Products!$F$2:$F$49,MATCH(J1823,Products!$A$2:$A$49,0))</f>
        <v/>
      </c>
      <c r="S1823">
        <f>WEEKDAY(B1823,2)</f>
        <v/>
      </c>
    </row>
    <row r="1824">
      <c r="A1824" t="n">
        <v>510248</v>
      </c>
      <c r="B1824" s="6" t="n">
        <v>45952</v>
      </c>
      <c r="C1824" t="n">
        <v>16848</v>
      </c>
      <c r="D1824" t="inlineStr">
        <is>
          <t>Delhi</t>
        </is>
      </c>
      <c r="E1824" t="inlineStr">
        <is>
          <t>North</t>
        </is>
      </c>
      <c r="F1824" t="inlineStr">
        <is>
          <t>Organic Search</t>
        </is>
      </c>
      <c r="G1824" t="inlineStr">
        <is>
          <t>Mobile Web</t>
        </is>
      </c>
      <c r="H1824" t="inlineStr">
        <is>
          <t>UPI</t>
        </is>
      </c>
      <c r="I1824" t="inlineStr">
        <is>
          <t>Delivered</t>
        </is>
      </c>
      <c r="J1824" t="n">
        <v>116</v>
      </c>
      <c r="K1824" t="n">
        <v>1</v>
      </c>
      <c r="L1824" t="n">
        <v>2624</v>
      </c>
      <c r="M1824" t="n">
        <v>0</v>
      </c>
      <c r="N1824">
        <f>VLOOKUP(J1824,Products!$A$2:$C$49,3,FALSE)</f>
        <v/>
      </c>
      <c r="O1824">
        <f>K1824*L1824-M1824</f>
        <v/>
      </c>
      <c r="P1824">
        <f>TEXT(B1824,"yyyy-mm")</f>
        <v/>
      </c>
      <c r="Q1824">
        <f>IF(O1824&gt;=3000,"Large","Small")</f>
        <v/>
      </c>
      <c r="R1824">
        <f>INDEX(Products!$F$2:$F$49,MATCH(J1824,Products!$A$2:$A$49,0))</f>
        <v/>
      </c>
      <c r="S1824">
        <f>WEEKDAY(B1824,2)</f>
        <v/>
      </c>
    </row>
    <row r="1825">
      <c r="A1825" t="n">
        <v>510248</v>
      </c>
      <c r="B1825" s="6" t="n">
        <v>45952</v>
      </c>
      <c r="C1825" t="n">
        <v>16848</v>
      </c>
      <c r="D1825" t="inlineStr">
        <is>
          <t>Delhi</t>
        </is>
      </c>
      <c r="E1825" t="inlineStr">
        <is>
          <t>North</t>
        </is>
      </c>
      <c r="F1825" t="inlineStr">
        <is>
          <t>Organic Search</t>
        </is>
      </c>
      <c r="G1825" t="inlineStr">
        <is>
          <t>Mobile Web</t>
        </is>
      </c>
      <c r="H1825" t="inlineStr">
        <is>
          <t>UPI</t>
        </is>
      </c>
      <c r="I1825" t="inlineStr">
        <is>
          <t>Delivered</t>
        </is>
      </c>
      <c r="J1825" t="n">
        <v>129</v>
      </c>
      <c r="K1825" t="n">
        <v>1</v>
      </c>
      <c r="L1825" t="n">
        <v>576</v>
      </c>
      <c r="M1825" t="n">
        <v>0</v>
      </c>
      <c r="N1825">
        <f>VLOOKUP(J1825,Products!$A$2:$C$49,3,FALSE)</f>
        <v/>
      </c>
      <c r="O1825">
        <f>K1825*L1825-M1825</f>
        <v/>
      </c>
      <c r="P1825">
        <f>TEXT(B1825,"yyyy-mm")</f>
        <v/>
      </c>
      <c r="Q1825">
        <f>IF(O1825&gt;=3000,"Large","Small")</f>
        <v/>
      </c>
      <c r="R1825">
        <f>INDEX(Products!$F$2:$F$49,MATCH(J1825,Products!$A$2:$A$49,0))</f>
        <v/>
      </c>
      <c r="S1825">
        <f>WEEKDAY(B1825,2)</f>
        <v/>
      </c>
    </row>
    <row r="1826">
      <c r="A1826" t="n">
        <v>510249</v>
      </c>
      <c r="B1826" s="6" t="n">
        <v>45952</v>
      </c>
      <c r="C1826" t="n">
        <v>16889</v>
      </c>
      <c r="D1826" t="inlineStr">
        <is>
          <t>Chandigarh</t>
        </is>
      </c>
      <c r="E1826" t="inlineStr">
        <is>
          <t>North</t>
        </is>
      </c>
      <c r="F1826" t="inlineStr">
        <is>
          <t>Referral</t>
        </is>
      </c>
      <c r="G1826" t="inlineStr">
        <is>
          <t>Mobile App</t>
        </is>
      </c>
      <c r="H1826" t="inlineStr">
        <is>
          <t>Cash on Delivery</t>
        </is>
      </c>
      <c r="I1826" t="inlineStr">
        <is>
          <t>Delivered</t>
        </is>
      </c>
      <c r="J1826" t="n">
        <v>135</v>
      </c>
      <c r="K1826" t="n">
        <v>1</v>
      </c>
      <c r="L1826" t="n">
        <v>1574</v>
      </c>
      <c r="M1826" t="n">
        <v>157.4</v>
      </c>
      <c r="N1826">
        <f>VLOOKUP(J1826,Products!$A$2:$C$49,3,FALSE)</f>
        <v/>
      </c>
      <c r="O1826">
        <f>K1826*L1826-M1826</f>
        <v/>
      </c>
      <c r="P1826">
        <f>TEXT(B1826,"yyyy-mm")</f>
        <v/>
      </c>
      <c r="Q1826">
        <f>IF(O1826&gt;=3000,"Large","Small")</f>
        <v/>
      </c>
      <c r="R1826">
        <f>INDEX(Products!$F$2:$F$49,MATCH(J1826,Products!$A$2:$A$49,0))</f>
        <v/>
      </c>
      <c r="S1826">
        <f>WEEKDAY(B1826,2)</f>
        <v/>
      </c>
    </row>
    <row r="1827">
      <c r="A1827" t="n">
        <v>510249</v>
      </c>
      <c r="B1827" s="6" t="n">
        <v>45952</v>
      </c>
      <c r="C1827" t="n">
        <v>16889</v>
      </c>
      <c r="D1827" t="inlineStr">
        <is>
          <t>Chandigarh</t>
        </is>
      </c>
      <c r="E1827" t="inlineStr">
        <is>
          <t>North</t>
        </is>
      </c>
      <c r="F1827" t="inlineStr">
        <is>
          <t>Referral</t>
        </is>
      </c>
      <c r="G1827" t="inlineStr">
        <is>
          <t>Mobile App</t>
        </is>
      </c>
      <c r="H1827" t="inlineStr">
        <is>
          <t>Cash on Delivery</t>
        </is>
      </c>
      <c r="I1827" t="inlineStr">
        <is>
          <t>Delivered</t>
        </is>
      </c>
      <c r="J1827" t="n">
        <v>124</v>
      </c>
      <c r="K1827" t="n">
        <v>1</v>
      </c>
      <c r="L1827" t="n">
        <v>1154</v>
      </c>
      <c r="M1827" t="n">
        <v>115.4</v>
      </c>
      <c r="N1827">
        <f>VLOOKUP(J1827,Products!$A$2:$C$49,3,FALSE)</f>
        <v/>
      </c>
      <c r="O1827">
        <f>K1827*L1827-M1827</f>
        <v/>
      </c>
      <c r="P1827">
        <f>TEXT(B1827,"yyyy-mm")</f>
        <v/>
      </c>
      <c r="Q1827">
        <f>IF(O1827&gt;=3000,"Large","Small")</f>
        <v/>
      </c>
      <c r="R1827">
        <f>INDEX(Products!$F$2:$F$49,MATCH(J1827,Products!$A$2:$A$49,0))</f>
        <v/>
      </c>
      <c r="S1827">
        <f>WEEKDAY(B1827,2)</f>
        <v/>
      </c>
    </row>
    <row r="1828">
      <c r="A1828" t="n">
        <v>510250</v>
      </c>
      <c r="B1828" s="6" t="n">
        <v>45952</v>
      </c>
      <c r="C1828" t="n">
        <v>16179</v>
      </c>
      <c r="D1828" t="inlineStr">
        <is>
          <t>Mumbai</t>
        </is>
      </c>
      <c r="E1828" t="inlineStr">
        <is>
          <t>West</t>
        </is>
      </c>
      <c r="F1828" t="inlineStr">
        <is>
          <t>Organic Search</t>
        </is>
      </c>
      <c r="G1828" t="inlineStr">
        <is>
          <t>Mobile Web</t>
        </is>
      </c>
      <c r="H1828" t="inlineStr">
        <is>
          <t>UPI</t>
        </is>
      </c>
      <c r="I1828" t="inlineStr">
        <is>
          <t>Delivered</t>
        </is>
      </c>
      <c r="J1828" t="n">
        <v>104</v>
      </c>
      <c r="K1828" t="n">
        <v>1</v>
      </c>
      <c r="L1828" t="n">
        <v>5249</v>
      </c>
      <c r="M1828" t="n">
        <v>524.9</v>
      </c>
      <c r="N1828">
        <f>VLOOKUP(J1828,Products!$A$2:$C$49,3,FALSE)</f>
        <v/>
      </c>
      <c r="O1828">
        <f>K1828*L1828-M1828</f>
        <v/>
      </c>
      <c r="P1828">
        <f>TEXT(B1828,"yyyy-mm")</f>
        <v/>
      </c>
      <c r="Q1828">
        <f>IF(O1828&gt;=3000,"Large","Small")</f>
        <v/>
      </c>
      <c r="R1828">
        <f>INDEX(Products!$F$2:$F$49,MATCH(J1828,Products!$A$2:$A$49,0))</f>
        <v/>
      </c>
      <c r="S1828">
        <f>WEEKDAY(B1828,2)</f>
        <v/>
      </c>
    </row>
    <row r="1829">
      <c r="A1829" t="n">
        <v>510250</v>
      </c>
      <c r="B1829" s="6" t="n">
        <v>45952</v>
      </c>
      <c r="C1829" t="n">
        <v>16179</v>
      </c>
      <c r="D1829" t="inlineStr">
        <is>
          <t>Mumbai</t>
        </is>
      </c>
      <c r="E1829" t="inlineStr">
        <is>
          <t>West</t>
        </is>
      </c>
      <c r="F1829" t="inlineStr">
        <is>
          <t>Organic Search</t>
        </is>
      </c>
      <c r="G1829" t="inlineStr">
        <is>
          <t>Mobile Web</t>
        </is>
      </c>
      <c r="H1829" t="inlineStr">
        <is>
          <t>UPI</t>
        </is>
      </c>
      <c r="I1829" t="inlineStr">
        <is>
          <t>Delivered</t>
        </is>
      </c>
      <c r="J1829" t="n">
        <v>130</v>
      </c>
      <c r="K1829" t="n">
        <v>1</v>
      </c>
      <c r="L1829" t="n">
        <v>734</v>
      </c>
      <c r="M1829" t="n">
        <v>73.40000000000001</v>
      </c>
      <c r="N1829">
        <f>VLOOKUP(J1829,Products!$A$2:$C$49,3,FALSE)</f>
        <v/>
      </c>
      <c r="O1829">
        <f>K1829*L1829-M1829</f>
        <v/>
      </c>
      <c r="P1829">
        <f>TEXT(B1829,"yyyy-mm")</f>
        <v/>
      </c>
      <c r="Q1829">
        <f>IF(O1829&gt;=3000,"Large","Small")</f>
        <v/>
      </c>
      <c r="R1829">
        <f>INDEX(Products!$F$2:$F$49,MATCH(J1829,Products!$A$2:$A$49,0))</f>
        <v/>
      </c>
      <c r="S1829">
        <f>WEEKDAY(B1829,2)</f>
        <v/>
      </c>
    </row>
    <row r="1830">
      <c r="A1830" t="n">
        <v>510250</v>
      </c>
      <c r="B1830" s="6" t="n">
        <v>45952</v>
      </c>
      <c r="C1830" t="n">
        <v>16179</v>
      </c>
      <c r="D1830" t="inlineStr">
        <is>
          <t>Mumbai</t>
        </is>
      </c>
      <c r="E1830" t="inlineStr">
        <is>
          <t>West</t>
        </is>
      </c>
      <c r="F1830" t="inlineStr">
        <is>
          <t>Organic Search</t>
        </is>
      </c>
      <c r="G1830" t="inlineStr">
        <is>
          <t>Mobile Web</t>
        </is>
      </c>
      <c r="H1830" t="inlineStr">
        <is>
          <t>UPI</t>
        </is>
      </c>
      <c r="I1830" t="inlineStr">
        <is>
          <t>Delivered</t>
        </is>
      </c>
      <c r="J1830" t="n">
        <v>123</v>
      </c>
      <c r="K1830" t="n">
        <v>1</v>
      </c>
      <c r="L1830" t="n">
        <v>3464</v>
      </c>
      <c r="M1830" t="n">
        <v>346.4</v>
      </c>
      <c r="N1830">
        <f>VLOOKUP(J1830,Products!$A$2:$C$49,3,FALSE)</f>
        <v/>
      </c>
      <c r="O1830">
        <f>K1830*L1830-M1830</f>
        <v/>
      </c>
      <c r="P1830">
        <f>TEXT(B1830,"yyyy-mm")</f>
        <v/>
      </c>
      <c r="Q1830">
        <f>IF(O1830&gt;=3000,"Large","Small")</f>
        <v/>
      </c>
      <c r="R1830">
        <f>INDEX(Products!$F$2:$F$49,MATCH(J1830,Products!$A$2:$A$49,0))</f>
        <v/>
      </c>
      <c r="S1830">
        <f>WEEKDAY(B1830,2)</f>
        <v/>
      </c>
    </row>
    <row r="1831">
      <c r="A1831" t="n">
        <v>510251</v>
      </c>
      <c r="B1831" s="6" t="n">
        <v>45952</v>
      </c>
      <c r="C1831" t="n">
        <v>15108</v>
      </c>
      <c r="D1831" t="inlineStr">
        <is>
          <t>Noida</t>
        </is>
      </c>
      <c r="E1831" t="inlineStr">
        <is>
          <t>North</t>
        </is>
      </c>
      <c r="F1831" t="inlineStr">
        <is>
          <t>Organic Search</t>
        </is>
      </c>
      <c r="G1831" t="inlineStr">
        <is>
          <t>Mobile Web</t>
        </is>
      </c>
      <c r="H1831" t="inlineStr">
        <is>
          <t>UPI</t>
        </is>
      </c>
      <c r="I1831" t="inlineStr">
        <is>
          <t>Delivered</t>
        </is>
      </c>
      <c r="J1831" t="n">
        <v>131</v>
      </c>
      <c r="K1831" t="n">
        <v>1</v>
      </c>
      <c r="L1831" t="n">
        <v>314</v>
      </c>
      <c r="M1831" t="n">
        <v>31.4</v>
      </c>
      <c r="N1831">
        <f>VLOOKUP(J1831,Products!$A$2:$C$49,3,FALSE)</f>
        <v/>
      </c>
      <c r="O1831">
        <f>K1831*L1831-M1831</f>
        <v/>
      </c>
      <c r="P1831">
        <f>TEXT(B1831,"yyyy-mm")</f>
        <v/>
      </c>
      <c r="Q1831">
        <f>IF(O1831&gt;=3000,"Large","Small")</f>
        <v/>
      </c>
      <c r="R1831">
        <f>INDEX(Products!$F$2:$F$49,MATCH(J1831,Products!$A$2:$A$49,0))</f>
        <v/>
      </c>
      <c r="S1831">
        <f>WEEKDAY(B1831,2)</f>
        <v/>
      </c>
    </row>
    <row r="1832">
      <c r="A1832" t="n">
        <v>510251</v>
      </c>
      <c r="B1832" s="6" t="n">
        <v>45952</v>
      </c>
      <c r="C1832" t="n">
        <v>15108</v>
      </c>
      <c r="D1832" t="inlineStr">
        <is>
          <t>Noida</t>
        </is>
      </c>
      <c r="E1832" t="inlineStr">
        <is>
          <t>North</t>
        </is>
      </c>
      <c r="F1832" t="inlineStr">
        <is>
          <t>Organic Search</t>
        </is>
      </c>
      <c r="G1832" t="inlineStr">
        <is>
          <t>Mobile Web</t>
        </is>
      </c>
      <c r="H1832" t="inlineStr">
        <is>
          <t>UPI</t>
        </is>
      </c>
      <c r="I1832" t="inlineStr">
        <is>
          <t>Delivered</t>
        </is>
      </c>
      <c r="J1832" t="n">
        <v>129</v>
      </c>
      <c r="K1832" t="n">
        <v>3</v>
      </c>
      <c r="L1832" t="n">
        <v>576</v>
      </c>
      <c r="M1832" t="n">
        <v>172.8</v>
      </c>
      <c r="N1832">
        <f>VLOOKUP(J1832,Products!$A$2:$C$49,3,FALSE)</f>
        <v/>
      </c>
      <c r="O1832">
        <f>K1832*L1832-M1832</f>
        <v/>
      </c>
      <c r="P1832">
        <f>TEXT(B1832,"yyyy-mm")</f>
        <v/>
      </c>
      <c r="Q1832">
        <f>IF(O1832&gt;=3000,"Large","Small")</f>
        <v/>
      </c>
      <c r="R1832">
        <f>INDEX(Products!$F$2:$F$49,MATCH(J1832,Products!$A$2:$A$49,0))</f>
        <v/>
      </c>
      <c r="S1832">
        <f>WEEKDAY(B1832,2)</f>
        <v/>
      </c>
    </row>
    <row r="1833">
      <c r="A1833" t="n">
        <v>510252</v>
      </c>
      <c r="B1833" s="6" t="n">
        <v>45952</v>
      </c>
      <c r="C1833" t="n">
        <v>15773</v>
      </c>
      <c r="D1833" t="inlineStr">
        <is>
          <t>Indore</t>
        </is>
      </c>
      <c r="E1833" t="inlineStr">
        <is>
          <t>West</t>
        </is>
      </c>
      <c r="F1833" t="inlineStr">
        <is>
          <t>Organic Search</t>
        </is>
      </c>
      <c r="G1833" t="inlineStr">
        <is>
          <t>Mobile App</t>
        </is>
      </c>
      <c r="H1833" t="inlineStr">
        <is>
          <t>Credit Card</t>
        </is>
      </c>
      <c r="I1833" t="inlineStr">
        <is>
          <t>Delivered</t>
        </is>
      </c>
      <c r="J1833" t="n">
        <v>116</v>
      </c>
      <c r="K1833" t="n">
        <v>2</v>
      </c>
      <c r="L1833" t="n">
        <v>2624</v>
      </c>
      <c r="M1833" t="n">
        <v>524.8</v>
      </c>
      <c r="N1833">
        <f>VLOOKUP(J1833,Products!$A$2:$C$49,3,FALSE)</f>
        <v/>
      </c>
      <c r="O1833">
        <f>K1833*L1833-M1833</f>
        <v/>
      </c>
      <c r="P1833">
        <f>TEXT(B1833,"yyyy-mm")</f>
        <v/>
      </c>
      <c r="Q1833">
        <f>IF(O1833&gt;=3000,"Large","Small")</f>
        <v/>
      </c>
      <c r="R1833">
        <f>INDEX(Products!$F$2:$F$49,MATCH(J1833,Products!$A$2:$A$49,0))</f>
        <v/>
      </c>
      <c r="S1833">
        <f>WEEKDAY(B1833,2)</f>
        <v/>
      </c>
    </row>
    <row r="1834">
      <c r="A1834" t="n">
        <v>510252</v>
      </c>
      <c r="B1834" s="6" t="n">
        <v>45952</v>
      </c>
      <c r="C1834" t="n">
        <v>15773</v>
      </c>
      <c r="D1834" t="inlineStr">
        <is>
          <t>Indore</t>
        </is>
      </c>
      <c r="E1834" t="inlineStr">
        <is>
          <t>West</t>
        </is>
      </c>
      <c r="F1834" t="inlineStr">
        <is>
          <t>Organic Search</t>
        </is>
      </c>
      <c r="G1834" t="inlineStr">
        <is>
          <t>Mobile App</t>
        </is>
      </c>
      <c r="H1834" t="inlineStr">
        <is>
          <t>Credit Card</t>
        </is>
      </c>
      <c r="I1834" t="inlineStr">
        <is>
          <t>Delivered</t>
        </is>
      </c>
      <c r="J1834" t="n">
        <v>129</v>
      </c>
      <c r="K1834" t="n">
        <v>1</v>
      </c>
      <c r="L1834" t="n">
        <v>576</v>
      </c>
      <c r="M1834" t="n">
        <v>57.6</v>
      </c>
      <c r="N1834">
        <f>VLOOKUP(J1834,Products!$A$2:$C$49,3,FALSE)</f>
        <v/>
      </c>
      <c r="O1834">
        <f>K1834*L1834-M1834</f>
        <v/>
      </c>
      <c r="P1834">
        <f>TEXT(B1834,"yyyy-mm")</f>
        <v/>
      </c>
      <c r="Q1834">
        <f>IF(O1834&gt;=3000,"Large","Small")</f>
        <v/>
      </c>
      <c r="R1834">
        <f>INDEX(Products!$F$2:$F$49,MATCH(J1834,Products!$A$2:$A$49,0))</f>
        <v/>
      </c>
      <c r="S1834">
        <f>WEEKDAY(B1834,2)</f>
        <v/>
      </c>
    </row>
    <row r="1835">
      <c r="A1835" t="n">
        <v>510253</v>
      </c>
      <c r="B1835" s="6" t="n">
        <v>45952</v>
      </c>
      <c r="C1835" t="n">
        <v>16581</v>
      </c>
      <c r="D1835" t="inlineStr">
        <is>
          <t>Delhi</t>
        </is>
      </c>
      <c r="E1835" t="inlineStr">
        <is>
          <t>North</t>
        </is>
      </c>
      <c r="F1835" t="inlineStr">
        <is>
          <t>Paid Social</t>
        </is>
      </c>
      <c r="G1835" t="inlineStr">
        <is>
          <t>Desktop</t>
        </is>
      </c>
      <c r="H1835" t="inlineStr">
        <is>
          <t>Debit Card</t>
        </is>
      </c>
      <c r="I1835" t="inlineStr">
        <is>
          <t>Cancelled</t>
        </is>
      </c>
      <c r="J1835" t="n">
        <v>117</v>
      </c>
      <c r="K1835" t="n">
        <v>1</v>
      </c>
      <c r="L1835" t="n">
        <v>3149</v>
      </c>
      <c r="M1835" t="n">
        <v>314.9</v>
      </c>
      <c r="N1835">
        <f>VLOOKUP(J1835,Products!$A$2:$C$49,3,FALSE)</f>
        <v/>
      </c>
      <c r="O1835">
        <f>K1835*L1835-M1835</f>
        <v/>
      </c>
      <c r="P1835">
        <f>TEXT(B1835,"yyyy-mm")</f>
        <v/>
      </c>
      <c r="Q1835">
        <f>IF(O1835&gt;=3000,"Large","Small")</f>
        <v/>
      </c>
      <c r="R1835">
        <f>INDEX(Products!$F$2:$F$49,MATCH(J1835,Products!$A$2:$A$49,0))</f>
        <v/>
      </c>
      <c r="S1835">
        <f>WEEKDAY(B1835,2)</f>
        <v/>
      </c>
    </row>
    <row r="1836">
      <c r="A1836" t="n">
        <v>510253</v>
      </c>
      <c r="B1836" s="6" t="n">
        <v>45952</v>
      </c>
      <c r="C1836" t="n">
        <v>16581</v>
      </c>
      <c r="D1836" t="inlineStr">
        <is>
          <t>Delhi</t>
        </is>
      </c>
      <c r="E1836" t="inlineStr">
        <is>
          <t>North</t>
        </is>
      </c>
      <c r="F1836" t="inlineStr">
        <is>
          <t>Paid Social</t>
        </is>
      </c>
      <c r="G1836" t="inlineStr">
        <is>
          <t>Desktop</t>
        </is>
      </c>
      <c r="H1836" t="inlineStr">
        <is>
          <t>Debit Card</t>
        </is>
      </c>
      <c r="I1836" t="inlineStr">
        <is>
          <t>Cancelled</t>
        </is>
      </c>
      <c r="J1836" t="n">
        <v>118</v>
      </c>
      <c r="K1836" t="n">
        <v>2</v>
      </c>
      <c r="L1836" t="n">
        <v>944</v>
      </c>
      <c r="M1836" t="n">
        <v>188.8</v>
      </c>
      <c r="N1836">
        <f>VLOOKUP(J1836,Products!$A$2:$C$49,3,FALSE)</f>
        <v/>
      </c>
      <c r="O1836">
        <f>K1836*L1836-M1836</f>
        <v/>
      </c>
      <c r="P1836">
        <f>TEXT(B1836,"yyyy-mm")</f>
        <v/>
      </c>
      <c r="Q1836">
        <f>IF(O1836&gt;=3000,"Large","Small")</f>
        <v/>
      </c>
      <c r="R1836">
        <f>INDEX(Products!$F$2:$F$49,MATCH(J1836,Products!$A$2:$A$49,0))</f>
        <v/>
      </c>
      <c r="S1836">
        <f>WEEKDAY(B1836,2)</f>
        <v/>
      </c>
    </row>
    <row r="1837">
      <c r="A1837" t="n">
        <v>510253</v>
      </c>
      <c r="B1837" s="6" t="n">
        <v>45952</v>
      </c>
      <c r="C1837" t="n">
        <v>16581</v>
      </c>
      <c r="D1837" t="inlineStr">
        <is>
          <t>Delhi</t>
        </is>
      </c>
      <c r="E1837" t="inlineStr">
        <is>
          <t>North</t>
        </is>
      </c>
      <c r="F1837" t="inlineStr">
        <is>
          <t>Paid Social</t>
        </is>
      </c>
      <c r="G1837" t="inlineStr">
        <is>
          <t>Desktop</t>
        </is>
      </c>
      <c r="H1837" t="inlineStr">
        <is>
          <t>Debit Card</t>
        </is>
      </c>
      <c r="I1837" t="inlineStr">
        <is>
          <t>Cancelled</t>
        </is>
      </c>
      <c r="J1837" t="n">
        <v>103</v>
      </c>
      <c r="K1837" t="n">
        <v>1</v>
      </c>
      <c r="L1837" t="n">
        <v>2624</v>
      </c>
      <c r="M1837" t="n">
        <v>262.4</v>
      </c>
      <c r="N1837">
        <f>VLOOKUP(J1837,Products!$A$2:$C$49,3,FALSE)</f>
        <v/>
      </c>
      <c r="O1837">
        <f>K1837*L1837-M1837</f>
        <v/>
      </c>
      <c r="P1837">
        <f>TEXT(B1837,"yyyy-mm")</f>
        <v/>
      </c>
      <c r="Q1837">
        <f>IF(O1837&gt;=3000,"Large","Small")</f>
        <v/>
      </c>
      <c r="R1837">
        <f>INDEX(Products!$F$2:$F$49,MATCH(J1837,Products!$A$2:$A$49,0))</f>
        <v/>
      </c>
      <c r="S1837">
        <f>WEEKDAY(B1837,2)</f>
        <v/>
      </c>
    </row>
    <row r="1838">
      <c r="A1838" t="n">
        <v>510253</v>
      </c>
      <c r="B1838" s="6" t="n">
        <v>45952</v>
      </c>
      <c r="C1838" t="n">
        <v>16581</v>
      </c>
      <c r="D1838" t="inlineStr">
        <is>
          <t>Delhi</t>
        </is>
      </c>
      <c r="E1838" t="inlineStr">
        <is>
          <t>North</t>
        </is>
      </c>
      <c r="F1838" t="inlineStr">
        <is>
          <t>Paid Social</t>
        </is>
      </c>
      <c r="G1838" t="inlineStr">
        <is>
          <t>Desktop</t>
        </is>
      </c>
      <c r="H1838" t="inlineStr">
        <is>
          <t>Debit Card</t>
        </is>
      </c>
      <c r="I1838" t="inlineStr">
        <is>
          <t>Cancelled</t>
        </is>
      </c>
      <c r="J1838" t="n">
        <v>128</v>
      </c>
      <c r="K1838" t="n">
        <v>1</v>
      </c>
      <c r="L1838" t="n">
        <v>1049</v>
      </c>
      <c r="M1838" t="n">
        <v>104.9</v>
      </c>
      <c r="N1838">
        <f>VLOOKUP(J1838,Products!$A$2:$C$49,3,FALSE)</f>
        <v/>
      </c>
      <c r="O1838">
        <f>K1838*L1838-M1838</f>
        <v/>
      </c>
      <c r="P1838">
        <f>TEXT(B1838,"yyyy-mm")</f>
        <v/>
      </c>
      <c r="Q1838">
        <f>IF(O1838&gt;=3000,"Large","Small")</f>
        <v/>
      </c>
      <c r="R1838">
        <f>INDEX(Products!$F$2:$F$49,MATCH(J1838,Products!$A$2:$A$49,0))</f>
        <v/>
      </c>
      <c r="S1838">
        <f>WEEKDAY(B1838,2)</f>
        <v/>
      </c>
    </row>
    <row r="1839">
      <c r="A1839" t="n">
        <v>510254</v>
      </c>
      <c r="B1839" s="6" t="n">
        <v>45952</v>
      </c>
      <c r="C1839" t="n">
        <v>10805</v>
      </c>
      <c r="D1839" t="inlineStr">
        <is>
          <t>Indore</t>
        </is>
      </c>
      <c r="E1839" t="inlineStr">
        <is>
          <t>West</t>
        </is>
      </c>
      <c r="F1839" t="inlineStr">
        <is>
          <t>Paid Social</t>
        </is>
      </c>
      <c r="G1839" t="inlineStr">
        <is>
          <t>Mobile App</t>
        </is>
      </c>
      <c r="H1839" t="inlineStr">
        <is>
          <t>Credit Card</t>
        </is>
      </c>
      <c r="I1839" t="inlineStr">
        <is>
          <t>Delivered</t>
        </is>
      </c>
      <c r="J1839" t="n">
        <v>147</v>
      </c>
      <c r="K1839" t="n">
        <v>2</v>
      </c>
      <c r="L1839" t="n">
        <v>1364</v>
      </c>
      <c r="M1839" t="n">
        <v>272.8</v>
      </c>
      <c r="N1839">
        <f>VLOOKUP(J1839,Products!$A$2:$C$49,3,FALSE)</f>
        <v/>
      </c>
      <c r="O1839">
        <f>K1839*L1839-M1839</f>
        <v/>
      </c>
      <c r="P1839">
        <f>TEXT(B1839,"yyyy-mm")</f>
        <v/>
      </c>
      <c r="Q1839">
        <f>IF(O1839&gt;=3000,"Large","Small")</f>
        <v/>
      </c>
      <c r="R1839">
        <f>INDEX(Products!$F$2:$F$49,MATCH(J1839,Products!$A$2:$A$49,0))</f>
        <v/>
      </c>
      <c r="S1839">
        <f>WEEKDAY(B1839,2)</f>
        <v/>
      </c>
    </row>
    <row r="1840">
      <c r="A1840" t="n">
        <v>510255</v>
      </c>
      <c r="B1840" s="6" t="n">
        <v>45952</v>
      </c>
      <c r="C1840" t="n">
        <v>16818</v>
      </c>
      <c r="D1840" t="inlineStr">
        <is>
          <t>Bengaluru</t>
        </is>
      </c>
      <c r="E1840" t="inlineStr">
        <is>
          <t>South</t>
        </is>
      </c>
      <c r="F1840" t="inlineStr">
        <is>
          <t>Organic Search</t>
        </is>
      </c>
      <c r="G1840" t="inlineStr">
        <is>
          <t>Desktop</t>
        </is>
      </c>
      <c r="H1840" t="inlineStr">
        <is>
          <t>UPI</t>
        </is>
      </c>
      <c r="I1840" t="inlineStr">
        <is>
          <t>Delivered</t>
        </is>
      </c>
      <c r="J1840" t="n">
        <v>119</v>
      </c>
      <c r="K1840" t="n">
        <v>3</v>
      </c>
      <c r="L1840" t="n">
        <v>2309</v>
      </c>
      <c r="M1840" t="n">
        <v>1039.05</v>
      </c>
      <c r="N1840">
        <f>VLOOKUP(J1840,Products!$A$2:$C$49,3,FALSE)</f>
        <v/>
      </c>
      <c r="O1840">
        <f>K1840*L1840-M1840</f>
        <v/>
      </c>
      <c r="P1840">
        <f>TEXT(B1840,"yyyy-mm")</f>
        <v/>
      </c>
      <c r="Q1840">
        <f>IF(O1840&gt;=3000,"Large","Small")</f>
        <v/>
      </c>
      <c r="R1840">
        <f>INDEX(Products!$F$2:$F$49,MATCH(J1840,Products!$A$2:$A$49,0))</f>
        <v/>
      </c>
      <c r="S1840">
        <f>WEEKDAY(B1840,2)</f>
        <v/>
      </c>
    </row>
    <row r="1841">
      <c r="A1841" t="n">
        <v>510255</v>
      </c>
      <c r="B1841" s="6" t="n">
        <v>45952</v>
      </c>
      <c r="C1841" t="n">
        <v>16818</v>
      </c>
      <c r="D1841" t="inlineStr">
        <is>
          <t>Bengaluru</t>
        </is>
      </c>
      <c r="E1841" t="inlineStr">
        <is>
          <t>South</t>
        </is>
      </c>
      <c r="F1841" t="inlineStr">
        <is>
          <t>Organic Search</t>
        </is>
      </c>
      <c r="G1841" t="inlineStr">
        <is>
          <t>Desktop</t>
        </is>
      </c>
      <c r="H1841" t="inlineStr">
        <is>
          <t>UPI</t>
        </is>
      </c>
      <c r="I1841" t="inlineStr">
        <is>
          <t>Delivered</t>
        </is>
      </c>
      <c r="J1841" t="n">
        <v>134</v>
      </c>
      <c r="K1841" t="n">
        <v>1</v>
      </c>
      <c r="L1841" t="n">
        <v>209</v>
      </c>
      <c r="M1841" t="n">
        <v>31.35</v>
      </c>
      <c r="N1841">
        <f>VLOOKUP(J1841,Products!$A$2:$C$49,3,FALSE)</f>
        <v/>
      </c>
      <c r="O1841">
        <f>K1841*L1841-M1841</f>
        <v/>
      </c>
      <c r="P1841">
        <f>TEXT(B1841,"yyyy-mm")</f>
        <v/>
      </c>
      <c r="Q1841">
        <f>IF(O1841&gt;=3000,"Large","Small")</f>
        <v/>
      </c>
      <c r="R1841">
        <f>INDEX(Products!$F$2:$F$49,MATCH(J1841,Products!$A$2:$A$49,0))</f>
        <v/>
      </c>
      <c r="S1841">
        <f>WEEKDAY(B1841,2)</f>
        <v/>
      </c>
    </row>
    <row r="1842">
      <c r="A1842" t="n">
        <v>510255</v>
      </c>
      <c r="B1842" s="6" t="n">
        <v>45952</v>
      </c>
      <c r="C1842" t="n">
        <v>16818</v>
      </c>
      <c r="D1842" t="inlineStr">
        <is>
          <t>Bengaluru</t>
        </is>
      </c>
      <c r="E1842" t="inlineStr">
        <is>
          <t>South</t>
        </is>
      </c>
      <c r="F1842" t="inlineStr">
        <is>
          <t>Organic Search</t>
        </is>
      </c>
      <c r="G1842" t="inlineStr">
        <is>
          <t>Desktop</t>
        </is>
      </c>
      <c r="H1842" t="inlineStr">
        <is>
          <t>UPI</t>
        </is>
      </c>
      <c r="I1842" t="inlineStr">
        <is>
          <t>Delivered</t>
        </is>
      </c>
      <c r="J1842" t="n">
        <v>128</v>
      </c>
      <c r="K1842" t="n">
        <v>1</v>
      </c>
      <c r="L1842" t="n">
        <v>1049</v>
      </c>
      <c r="M1842" t="n">
        <v>157.35</v>
      </c>
      <c r="N1842">
        <f>VLOOKUP(J1842,Products!$A$2:$C$49,3,FALSE)</f>
        <v/>
      </c>
      <c r="O1842">
        <f>K1842*L1842-M1842</f>
        <v/>
      </c>
      <c r="P1842">
        <f>TEXT(B1842,"yyyy-mm")</f>
        <v/>
      </c>
      <c r="Q1842">
        <f>IF(O1842&gt;=3000,"Large","Small")</f>
        <v/>
      </c>
      <c r="R1842">
        <f>INDEX(Products!$F$2:$F$49,MATCH(J1842,Products!$A$2:$A$49,0))</f>
        <v/>
      </c>
      <c r="S1842">
        <f>WEEKDAY(B1842,2)</f>
        <v/>
      </c>
    </row>
    <row r="1843">
      <c r="A1843" t="n">
        <v>510256</v>
      </c>
      <c r="B1843" s="6" t="n">
        <v>45952</v>
      </c>
      <c r="C1843" t="n">
        <v>10333</v>
      </c>
      <c r="D1843" t="inlineStr">
        <is>
          <t>Hyderabad</t>
        </is>
      </c>
      <c r="E1843" t="inlineStr">
        <is>
          <t>South</t>
        </is>
      </c>
      <c r="F1843" t="inlineStr">
        <is>
          <t>Paid Social</t>
        </is>
      </c>
      <c r="G1843" t="inlineStr">
        <is>
          <t>Mobile Web</t>
        </is>
      </c>
      <c r="H1843" t="inlineStr">
        <is>
          <t>UPI</t>
        </is>
      </c>
      <c r="I1843" t="inlineStr">
        <is>
          <t>Delivered</t>
        </is>
      </c>
      <c r="J1843" t="n">
        <v>101</v>
      </c>
      <c r="K1843" t="n">
        <v>3</v>
      </c>
      <c r="L1843" t="n">
        <v>2099</v>
      </c>
      <c r="M1843" t="n">
        <v>629.7</v>
      </c>
      <c r="N1843">
        <f>VLOOKUP(J1843,Products!$A$2:$C$49,3,FALSE)</f>
        <v/>
      </c>
      <c r="O1843">
        <f>K1843*L1843-M1843</f>
        <v/>
      </c>
      <c r="P1843">
        <f>TEXT(B1843,"yyyy-mm")</f>
        <v/>
      </c>
      <c r="Q1843">
        <f>IF(O1843&gt;=3000,"Large","Small")</f>
        <v/>
      </c>
      <c r="R1843">
        <f>INDEX(Products!$F$2:$F$49,MATCH(J1843,Products!$A$2:$A$49,0))</f>
        <v/>
      </c>
      <c r="S1843">
        <f>WEEKDAY(B1843,2)</f>
        <v/>
      </c>
    </row>
    <row r="1844">
      <c r="A1844" t="n">
        <v>510257</v>
      </c>
      <c r="B1844" s="6" t="n">
        <v>45952</v>
      </c>
      <c r="C1844" t="n">
        <v>16134</v>
      </c>
      <c r="D1844" t="inlineStr">
        <is>
          <t>Mumbai</t>
        </is>
      </c>
      <c r="E1844" t="inlineStr">
        <is>
          <t>West</t>
        </is>
      </c>
      <c r="F1844" t="inlineStr">
        <is>
          <t>Referral</t>
        </is>
      </c>
      <c r="G1844" t="inlineStr">
        <is>
          <t>Mobile App</t>
        </is>
      </c>
      <c r="H1844" t="inlineStr">
        <is>
          <t>UPI</t>
        </is>
      </c>
      <c r="I1844" t="inlineStr">
        <is>
          <t>Delivered</t>
        </is>
      </c>
      <c r="J1844" t="n">
        <v>103</v>
      </c>
      <c r="K1844" t="n">
        <v>1</v>
      </c>
      <c r="L1844" t="n">
        <v>2624</v>
      </c>
      <c r="M1844" t="n">
        <v>262.4</v>
      </c>
      <c r="N1844">
        <f>VLOOKUP(J1844,Products!$A$2:$C$49,3,FALSE)</f>
        <v/>
      </c>
      <c r="O1844">
        <f>K1844*L1844-M1844</f>
        <v/>
      </c>
      <c r="P1844">
        <f>TEXT(B1844,"yyyy-mm")</f>
        <v/>
      </c>
      <c r="Q1844">
        <f>IF(O1844&gt;=3000,"Large","Small")</f>
        <v/>
      </c>
      <c r="R1844">
        <f>INDEX(Products!$F$2:$F$49,MATCH(J1844,Products!$A$2:$A$49,0))</f>
        <v/>
      </c>
      <c r="S1844">
        <f>WEEKDAY(B1844,2)</f>
        <v/>
      </c>
    </row>
    <row r="1845">
      <c r="A1845" t="n">
        <v>510257</v>
      </c>
      <c r="B1845" s="6" t="n">
        <v>45952</v>
      </c>
      <c r="C1845" t="n">
        <v>16134</v>
      </c>
      <c r="D1845" t="inlineStr">
        <is>
          <t>Mumbai</t>
        </is>
      </c>
      <c r="E1845" t="inlineStr">
        <is>
          <t>West</t>
        </is>
      </c>
      <c r="F1845" t="inlineStr">
        <is>
          <t>Referral</t>
        </is>
      </c>
      <c r="G1845" t="inlineStr">
        <is>
          <t>Mobile App</t>
        </is>
      </c>
      <c r="H1845" t="inlineStr">
        <is>
          <t>UPI</t>
        </is>
      </c>
      <c r="I1845" t="inlineStr">
        <is>
          <t>Delivered</t>
        </is>
      </c>
      <c r="J1845" t="n">
        <v>129</v>
      </c>
      <c r="K1845" t="n">
        <v>1</v>
      </c>
      <c r="L1845" t="n">
        <v>576</v>
      </c>
      <c r="M1845" t="n">
        <v>57.6</v>
      </c>
      <c r="N1845">
        <f>VLOOKUP(J1845,Products!$A$2:$C$49,3,FALSE)</f>
        <v/>
      </c>
      <c r="O1845">
        <f>K1845*L1845-M1845</f>
        <v/>
      </c>
      <c r="P1845">
        <f>TEXT(B1845,"yyyy-mm")</f>
        <v/>
      </c>
      <c r="Q1845">
        <f>IF(O1845&gt;=3000,"Large","Small")</f>
        <v/>
      </c>
      <c r="R1845">
        <f>INDEX(Products!$F$2:$F$49,MATCH(J1845,Products!$A$2:$A$49,0))</f>
        <v/>
      </c>
      <c r="S1845">
        <f>WEEKDAY(B1845,2)</f>
        <v/>
      </c>
    </row>
    <row r="1846">
      <c r="A1846" t="n">
        <v>510258</v>
      </c>
      <c r="B1846" s="6" t="n">
        <v>45952</v>
      </c>
      <c r="C1846" t="n">
        <v>14232</v>
      </c>
      <c r="D1846" t="inlineStr">
        <is>
          <t>Hyderabad</t>
        </is>
      </c>
      <c r="E1846" t="inlineStr">
        <is>
          <t>South</t>
        </is>
      </c>
      <c r="F1846" t="inlineStr">
        <is>
          <t>Organic Search</t>
        </is>
      </c>
      <c r="G1846" t="inlineStr">
        <is>
          <t>Mobile App</t>
        </is>
      </c>
      <c r="H1846" t="inlineStr">
        <is>
          <t>Debit Card</t>
        </is>
      </c>
      <c r="I1846" t="inlineStr">
        <is>
          <t>Delivered</t>
        </is>
      </c>
      <c r="J1846" t="n">
        <v>116</v>
      </c>
      <c r="K1846" t="n">
        <v>1</v>
      </c>
      <c r="L1846" t="n">
        <v>2624</v>
      </c>
      <c r="M1846" t="n">
        <v>0</v>
      </c>
      <c r="N1846">
        <f>VLOOKUP(J1846,Products!$A$2:$C$49,3,FALSE)</f>
        <v/>
      </c>
      <c r="O1846">
        <f>K1846*L1846-M1846</f>
        <v/>
      </c>
      <c r="P1846">
        <f>TEXT(B1846,"yyyy-mm")</f>
        <v/>
      </c>
      <c r="Q1846">
        <f>IF(O1846&gt;=3000,"Large","Small")</f>
        <v/>
      </c>
      <c r="R1846">
        <f>INDEX(Products!$F$2:$F$49,MATCH(J1846,Products!$A$2:$A$49,0))</f>
        <v/>
      </c>
      <c r="S1846">
        <f>WEEKDAY(B1846,2)</f>
        <v/>
      </c>
    </row>
    <row r="1847">
      <c r="A1847" t="n">
        <v>510259</v>
      </c>
      <c r="B1847" s="6" t="n">
        <v>45952</v>
      </c>
      <c r="C1847" t="n">
        <v>13825</v>
      </c>
      <c r="D1847" t="inlineStr">
        <is>
          <t>Mumbai</t>
        </is>
      </c>
      <c r="E1847" t="inlineStr">
        <is>
          <t>West</t>
        </is>
      </c>
      <c r="F1847" t="inlineStr">
        <is>
          <t>Paid Social</t>
        </is>
      </c>
      <c r="G1847" t="inlineStr">
        <is>
          <t>Mobile Web</t>
        </is>
      </c>
      <c r="H1847" t="inlineStr">
        <is>
          <t>UPI</t>
        </is>
      </c>
      <c r="I1847" t="inlineStr">
        <is>
          <t>Delivered</t>
        </is>
      </c>
      <c r="J1847" t="n">
        <v>111</v>
      </c>
      <c r="K1847" t="n">
        <v>1</v>
      </c>
      <c r="L1847" t="n">
        <v>524</v>
      </c>
      <c r="M1847" t="n">
        <v>0</v>
      </c>
      <c r="N1847">
        <f>VLOOKUP(J1847,Products!$A$2:$C$49,3,FALSE)</f>
        <v/>
      </c>
      <c r="O1847">
        <f>K1847*L1847-M1847</f>
        <v/>
      </c>
      <c r="P1847">
        <f>TEXT(B1847,"yyyy-mm")</f>
        <v/>
      </c>
      <c r="Q1847">
        <f>IF(O1847&gt;=3000,"Large","Small")</f>
        <v/>
      </c>
      <c r="R1847">
        <f>INDEX(Products!$F$2:$F$49,MATCH(J1847,Products!$A$2:$A$49,0))</f>
        <v/>
      </c>
      <c r="S1847">
        <f>WEEKDAY(B1847,2)</f>
        <v/>
      </c>
    </row>
    <row r="1848">
      <c r="A1848" t="n">
        <v>510260</v>
      </c>
      <c r="B1848" s="6" t="n">
        <v>45952</v>
      </c>
      <c r="C1848" t="n">
        <v>15442</v>
      </c>
      <c r="D1848" t="inlineStr">
        <is>
          <t>Lucknow</t>
        </is>
      </c>
      <c r="E1848" t="inlineStr">
        <is>
          <t>North</t>
        </is>
      </c>
      <c r="F1848" t="inlineStr">
        <is>
          <t>Referral</t>
        </is>
      </c>
      <c r="G1848" t="inlineStr">
        <is>
          <t>Mobile App</t>
        </is>
      </c>
      <c r="H1848" t="inlineStr">
        <is>
          <t>UPI</t>
        </is>
      </c>
      <c r="I1848" t="inlineStr">
        <is>
          <t>Delivered</t>
        </is>
      </c>
      <c r="J1848" t="n">
        <v>101</v>
      </c>
      <c r="K1848" t="n">
        <v>1</v>
      </c>
      <c r="L1848" t="n">
        <v>2099</v>
      </c>
      <c r="M1848" t="n">
        <v>0</v>
      </c>
      <c r="N1848">
        <f>VLOOKUP(J1848,Products!$A$2:$C$49,3,FALSE)</f>
        <v/>
      </c>
      <c r="O1848">
        <f>K1848*L1848-M1848</f>
        <v/>
      </c>
      <c r="P1848">
        <f>TEXT(B1848,"yyyy-mm")</f>
        <v/>
      </c>
      <c r="Q1848">
        <f>IF(O1848&gt;=3000,"Large","Small")</f>
        <v/>
      </c>
      <c r="R1848">
        <f>INDEX(Products!$F$2:$F$49,MATCH(J1848,Products!$A$2:$A$49,0))</f>
        <v/>
      </c>
      <c r="S1848">
        <f>WEEKDAY(B1848,2)</f>
        <v/>
      </c>
    </row>
    <row r="1849">
      <c r="A1849" t="n">
        <v>510260</v>
      </c>
      <c r="B1849" s="6" t="n">
        <v>45952</v>
      </c>
      <c r="C1849" t="n">
        <v>15442</v>
      </c>
      <c r="D1849" t="inlineStr">
        <is>
          <t>Lucknow</t>
        </is>
      </c>
      <c r="E1849" t="inlineStr">
        <is>
          <t>North</t>
        </is>
      </c>
      <c r="F1849" t="inlineStr">
        <is>
          <t>Referral</t>
        </is>
      </c>
      <c r="G1849" t="inlineStr">
        <is>
          <t>Mobile App</t>
        </is>
      </c>
      <c r="H1849" t="inlineStr">
        <is>
          <t>UPI</t>
        </is>
      </c>
      <c r="I1849" t="inlineStr">
        <is>
          <t>Delivered</t>
        </is>
      </c>
      <c r="J1849" t="n">
        <v>126</v>
      </c>
      <c r="K1849" t="n">
        <v>3</v>
      </c>
      <c r="L1849" t="n">
        <v>471</v>
      </c>
      <c r="M1849" t="n">
        <v>0</v>
      </c>
      <c r="N1849">
        <f>VLOOKUP(J1849,Products!$A$2:$C$49,3,FALSE)</f>
        <v/>
      </c>
      <c r="O1849">
        <f>K1849*L1849-M1849</f>
        <v/>
      </c>
      <c r="P1849">
        <f>TEXT(B1849,"yyyy-mm")</f>
        <v/>
      </c>
      <c r="Q1849">
        <f>IF(O1849&gt;=3000,"Large","Small")</f>
        <v/>
      </c>
      <c r="R1849">
        <f>INDEX(Products!$F$2:$F$49,MATCH(J1849,Products!$A$2:$A$49,0))</f>
        <v/>
      </c>
      <c r="S1849">
        <f>WEEKDAY(B1849,2)</f>
        <v/>
      </c>
    </row>
    <row r="1850">
      <c r="A1850" t="n">
        <v>510260</v>
      </c>
      <c r="B1850" s="6" t="n">
        <v>45952</v>
      </c>
      <c r="C1850" t="n">
        <v>15442</v>
      </c>
      <c r="D1850" t="inlineStr">
        <is>
          <t>Lucknow</t>
        </is>
      </c>
      <c r="E1850" t="inlineStr">
        <is>
          <t>North</t>
        </is>
      </c>
      <c r="F1850" t="inlineStr">
        <is>
          <t>Referral</t>
        </is>
      </c>
      <c r="G1850" t="inlineStr">
        <is>
          <t>Mobile App</t>
        </is>
      </c>
      <c r="H1850" t="inlineStr">
        <is>
          <t>UPI</t>
        </is>
      </c>
      <c r="I1850" t="inlineStr">
        <is>
          <t>Delivered</t>
        </is>
      </c>
      <c r="J1850" t="n">
        <v>104</v>
      </c>
      <c r="K1850" t="n">
        <v>1</v>
      </c>
      <c r="L1850" t="n">
        <v>5249</v>
      </c>
      <c r="M1850" t="n">
        <v>0</v>
      </c>
      <c r="N1850">
        <f>VLOOKUP(J1850,Products!$A$2:$C$49,3,FALSE)</f>
        <v/>
      </c>
      <c r="O1850">
        <f>K1850*L1850-M1850</f>
        <v/>
      </c>
      <c r="P1850">
        <f>TEXT(B1850,"yyyy-mm")</f>
        <v/>
      </c>
      <c r="Q1850">
        <f>IF(O1850&gt;=3000,"Large","Small")</f>
        <v/>
      </c>
      <c r="R1850">
        <f>INDEX(Products!$F$2:$F$49,MATCH(J1850,Products!$A$2:$A$49,0))</f>
        <v/>
      </c>
      <c r="S1850">
        <f>WEEKDAY(B1850,2)</f>
        <v/>
      </c>
    </row>
    <row r="1851">
      <c r="A1851" t="n">
        <v>510260</v>
      </c>
      <c r="B1851" s="6" t="n">
        <v>45952</v>
      </c>
      <c r="C1851" t="n">
        <v>15442</v>
      </c>
      <c r="D1851" t="inlineStr">
        <is>
          <t>Lucknow</t>
        </is>
      </c>
      <c r="E1851" t="inlineStr">
        <is>
          <t>North</t>
        </is>
      </c>
      <c r="F1851" t="inlineStr">
        <is>
          <t>Referral</t>
        </is>
      </c>
      <c r="G1851" t="inlineStr">
        <is>
          <t>Mobile App</t>
        </is>
      </c>
      <c r="H1851" t="inlineStr">
        <is>
          <t>UPI</t>
        </is>
      </c>
      <c r="I1851" t="inlineStr">
        <is>
          <t>Delivered</t>
        </is>
      </c>
      <c r="J1851" t="n">
        <v>106</v>
      </c>
      <c r="K1851" t="n">
        <v>1</v>
      </c>
      <c r="L1851" t="n">
        <v>1574</v>
      </c>
      <c r="M1851" t="n">
        <v>0</v>
      </c>
      <c r="N1851">
        <f>VLOOKUP(J1851,Products!$A$2:$C$49,3,FALSE)</f>
        <v/>
      </c>
      <c r="O1851">
        <f>K1851*L1851-M1851</f>
        <v/>
      </c>
      <c r="P1851">
        <f>TEXT(B1851,"yyyy-mm")</f>
        <v/>
      </c>
      <c r="Q1851">
        <f>IF(O1851&gt;=3000,"Large","Small")</f>
        <v/>
      </c>
      <c r="R1851">
        <f>INDEX(Products!$F$2:$F$49,MATCH(J1851,Products!$A$2:$A$49,0))</f>
        <v/>
      </c>
      <c r="S1851">
        <f>WEEKDAY(B1851,2)</f>
        <v/>
      </c>
    </row>
    <row r="1852">
      <c r="A1852" t="n">
        <v>510261</v>
      </c>
      <c r="B1852" s="6" t="n">
        <v>45952</v>
      </c>
      <c r="C1852" t="n">
        <v>16021</v>
      </c>
      <c r="D1852" t="inlineStr">
        <is>
          <t>Bengaluru</t>
        </is>
      </c>
      <c r="E1852" t="inlineStr">
        <is>
          <t>South</t>
        </is>
      </c>
      <c r="F1852" t="inlineStr">
        <is>
          <t>Paid Search</t>
        </is>
      </c>
      <c r="G1852" t="inlineStr">
        <is>
          <t>Mobile Web</t>
        </is>
      </c>
      <c r="H1852" t="inlineStr">
        <is>
          <t>Credit Card</t>
        </is>
      </c>
      <c r="I1852" t="inlineStr">
        <is>
          <t>Delivered</t>
        </is>
      </c>
      <c r="J1852" t="n">
        <v>112</v>
      </c>
      <c r="K1852" t="n">
        <v>2</v>
      </c>
      <c r="L1852" t="n">
        <v>1574</v>
      </c>
      <c r="M1852" t="n">
        <v>0</v>
      </c>
      <c r="N1852">
        <f>VLOOKUP(J1852,Products!$A$2:$C$49,3,FALSE)</f>
        <v/>
      </c>
      <c r="O1852">
        <f>K1852*L1852-M1852</f>
        <v/>
      </c>
      <c r="P1852">
        <f>TEXT(B1852,"yyyy-mm")</f>
        <v/>
      </c>
      <c r="Q1852">
        <f>IF(O1852&gt;=3000,"Large","Small")</f>
        <v/>
      </c>
      <c r="R1852">
        <f>INDEX(Products!$F$2:$F$49,MATCH(J1852,Products!$A$2:$A$49,0))</f>
        <v/>
      </c>
      <c r="S1852">
        <f>WEEKDAY(B1852,2)</f>
        <v/>
      </c>
    </row>
    <row r="1853">
      <c r="A1853" t="n">
        <v>510261</v>
      </c>
      <c r="B1853" s="6" t="n">
        <v>45952</v>
      </c>
      <c r="C1853" t="n">
        <v>16021</v>
      </c>
      <c r="D1853" t="inlineStr">
        <is>
          <t>Bengaluru</t>
        </is>
      </c>
      <c r="E1853" t="inlineStr">
        <is>
          <t>South</t>
        </is>
      </c>
      <c r="F1853" t="inlineStr">
        <is>
          <t>Paid Search</t>
        </is>
      </c>
      <c r="G1853" t="inlineStr">
        <is>
          <t>Mobile Web</t>
        </is>
      </c>
      <c r="H1853" t="inlineStr">
        <is>
          <t>Credit Card</t>
        </is>
      </c>
      <c r="I1853" t="inlineStr">
        <is>
          <t>Delivered</t>
        </is>
      </c>
      <c r="J1853" t="n">
        <v>146</v>
      </c>
      <c r="K1853" t="n">
        <v>1</v>
      </c>
      <c r="L1853" t="n">
        <v>4724</v>
      </c>
      <c r="M1853" t="n">
        <v>0</v>
      </c>
      <c r="N1853">
        <f>VLOOKUP(J1853,Products!$A$2:$C$49,3,FALSE)</f>
        <v/>
      </c>
      <c r="O1853">
        <f>K1853*L1853-M1853</f>
        <v/>
      </c>
      <c r="P1853">
        <f>TEXT(B1853,"yyyy-mm")</f>
        <v/>
      </c>
      <c r="Q1853">
        <f>IF(O1853&gt;=3000,"Large","Small")</f>
        <v/>
      </c>
      <c r="R1853">
        <f>INDEX(Products!$F$2:$F$49,MATCH(J1853,Products!$A$2:$A$49,0))</f>
        <v/>
      </c>
      <c r="S1853">
        <f>WEEKDAY(B1853,2)</f>
        <v/>
      </c>
    </row>
    <row r="1854">
      <c r="A1854" t="n">
        <v>510262</v>
      </c>
      <c r="B1854" s="6" t="n">
        <v>45952</v>
      </c>
      <c r="C1854" t="n">
        <v>16971</v>
      </c>
      <c r="D1854" t="inlineStr">
        <is>
          <t>Kolkata</t>
        </is>
      </c>
      <c r="E1854" t="inlineStr">
        <is>
          <t>East</t>
        </is>
      </c>
      <c r="F1854" t="inlineStr">
        <is>
          <t>Referral</t>
        </is>
      </c>
      <c r="G1854" t="inlineStr">
        <is>
          <t>Desktop</t>
        </is>
      </c>
      <c r="H1854" t="inlineStr">
        <is>
          <t>UPI</t>
        </is>
      </c>
      <c r="I1854" t="inlineStr">
        <is>
          <t>Delivered</t>
        </is>
      </c>
      <c r="J1854" t="n">
        <v>103</v>
      </c>
      <c r="K1854" t="n">
        <v>1</v>
      </c>
      <c r="L1854" t="n">
        <v>2624</v>
      </c>
      <c r="M1854" t="n">
        <v>0</v>
      </c>
      <c r="N1854">
        <f>VLOOKUP(J1854,Products!$A$2:$C$49,3,FALSE)</f>
        <v/>
      </c>
      <c r="O1854">
        <f>K1854*L1854-M1854</f>
        <v/>
      </c>
      <c r="P1854">
        <f>TEXT(B1854,"yyyy-mm")</f>
        <v/>
      </c>
      <c r="Q1854">
        <f>IF(O1854&gt;=3000,"Large","Small")</f>
        <v/>
      </c>
      <c r="R1854">
        <f>INDEX(Products!$F$2:$F$49,MATCH(J1854,Products!$A$2:$A$49,0))</f>
        <v/>
      </c>
      <c r="S1854">
        <f>WEEKDAY(B1854,2)</f>
        <v/>
      </c>
    </row>
    <row r="1855">
      <c r="A1855" t="n">
        <v>510263</v>
      </c>
      <c r="B1855" s="6" t="n">
        <v>45952</v>
      </c>
      <c r="C1855" t="n">
        <v>15739</v>
      </c>
      <c r="D1855" t="inlineStr">
        <is>
          <t>Chandigarh</t>
        </is>
      </c>
      <c r="E1855" t="inlineStr">
        <is>
          <t>North</t>
        </is>
      </c>
      <c r="F1855" t="inlineStr">
        <is>
          <t>Organic Search</t>
        </is>
      </c>
      <c r="G1855" t="inlineStr">
        <is>
          <t>Mobile Web</t>
        </is>
      </c>
      <c r="H1855" t="inlineStr">
        <is>
          <t>UPI</t>
        </is>
      </c>
      <c r="I1855" t="inlineStr">
        <is>
          <t>Delivered</t>
        </is>
      </c>
      <c r="J1855" t="n">
        <v>135</v>
      </c>
      <c r="K1855" t="n">
        <v>1</v>
      </c>
      <c r="L1855" t="n">
        <v>1574</v>
      </c>
      <c r="M1855" t="n">
        <v>157.4</v>
      </c>
      <c r="N1855">
        <f>VLOOKUP(J1855,Products!$A$2:$C$49,3,FALSE)</f>
        <v/>
      </c>
      <c r="O1855">
        <f>K1855*L1855-M1855</f>
        <v/>
      </c>
      <c r="P1855">
        <f>TEXT(B1855,"yyyy-mm")</f>
        <v/>
      </c>
      <c r="Q1855">
        <f>IF(O1855&gt;=3000,"Large","Small")</f>
        <v/>
      </c>
      <c r="R1855">
        <f>INDEX(Products!$F$2:$F$49,MATCH(J1855,Products!$A$2:$A$49,0))</f>
        <v/>
      </c>
      <c r="S1855">
        <f>WEEKDAY(B1855,2)</f>
        <v/>
      </c>
    </row>
    <row r="1856">
      <c r="A1856" t="n">
        <v>510263</v>
      </c>
      <c r="B1856" s="6" t="n">
        <v>45952</v>
      </c>
      <c r="C1856" t="n">
        <v>15739</v>
      </c>
      <c r="D1856" t="inlineStr">
        <is>
          <t>Chandigarh</t>
        </is>
      </c>
      <c r="E1856" t="inlineStr">
        <is>
          <t>North</t>
        </is>
      </c>
      <c r="F1856" t="inlineStr">
        <is>
          <t>Organic Search</t>
        </is>
      </c>
      <c r="G1856" t="inlineStr">
        <is>
          <t>Mobile Web</t>
        </is>
      </c>
      <c r="H1856" t="inlineStr">
        <is>
          <t>UPI</t>
        </is>
      </c>
      <c r="I1856" t="inlineStr">
        <is>
          <t>Delivered</t>
        </is>
      </c>
      <c r="J1856" t="n">
        <v>114</v>
      </c>
      <c r="K1856" t="n">
        <v>2</v>
      </c>
      <c r="L1856" t="n">
        <v>1259</v>
      </c>
      <c r="M1856" t="n">
        <v>251.8</v>
      </c>
      <c r="N1856">
        <f>VLOOKUP(J1856,Products!$A$2:$C$49,3,FALSE)</f>
        <v/>
      </c>
      <c r="O1856">
        <f>K1856*L1856-M1856</f>
        <v/>
      </c>
      <c r="P1856">
        <f>TEXT(B1856,"yyyy-mm")</f>
        <v/>
      </c>
      <c r="Q1856">
        <f>IF(O1856&gt;=3000,"Large","Small")</f>
        <v/>
      </c>
      <c r="R1856">
        <f>INDEX(Products!$F$2:$F$49,MATCH(J1856,Products!$A$2:$A$49,0))</f>
        <v/>
      </c>
      <c r="S1856">
        <f>WEEKDAY(B1856,2)</f>
        <v/>
      </c>
    </row>
    <row r="1857">
      <c r="A1857" t="n">
        <v>510263</v>
      </c>
      <c r="B1857" s="6" t="n">
        <v>45952</v>
      </c>
      <c r="C1857" t="n">
        <v>15739</v>
      </c>
      <c r="D1857" t="inlineStr">
        <is>
          <t>Chandigarh</t>
        </is>
      </c>
      <c r="E1857" t="inlineStr">
        <is>
          <t>North</t>
        </is>
      </c>
      <c r="F1857" t="inlineStr">
        <is>
          <t>Organic Search</t>
        </is>
      </c>
      <c r="G1857" t="inlineStr">
        <is>
          <t>Mobile Web</t>
        </is>
      </c>
      <c r="H1857" t="inlineStr">
        <is>
          <t>UPI</t>
        </is>
      </c>
      <c r="I1857" t="inlineStr">
        <is>
          <t>Delivered</t>
        </is>
      </c>
      <c r="J1857" t="n">
        <v>129</v>
      </c>
      <c r="K1857" t="n">
        <v>1</v>
      </c>
      <c r="L1857" t="n">
        <v>576</v>
      </c>
      <c r="M1857" t="n">
        <v>57.6</v>
      </c>
      <c r="N1857">
        <f>VLOOKUP(J1857,Products!$A$2:$C$49,3,FALSE)</f>
        <v/>
      </c>
      <c r="O1857">
        <f>K1857*L1857-M1857</f>
        <v/>
      </c>
      <c r="P1857">
        <f>TEXT(B1857,"yyyy-mm")</f>
        <v/>
      </c>
      <c r="Q1857">
        <f>IF(O1857&gt;=3000,"Large","Small")</f>
        <v/>
      </c>
      <c r="R1857">
        <f>INDEX(Products!$F$2:$F$49,MATCH(J1857,Products!$A$2:$A$49,0))</f>
        <v/>
      </c>
      <c r="S1857">
        <f>WEEKDAY(B1857,2)</f>
        <v/>
      </c>
    </row>
    <row r="1858">
      <c r="A1858" t="n">
        <v>510264</v>
      </c>
      <c r="B1858" s="6" t="n">
        <v>45952</v>
      </c>
      <c r="C1858" t="n">
        <v>16856</v>
      </c>
      <c r="D1858" t="inlineStr">
        <is>
          <t>Hyderabad</t>
        </is>
      </c>
      <c r="E1858" t="inlineStr">
        <is>
          <t>South</t>
        </is>
      </c>
      <c r="F1858" t="inlineStr">
        <is>
          <t>Paid Social</t>
        </is>
      </c>
      <c r="G1858" t="inlineStr">
        <is>
          <t>Mobile Web</t>
        </is>
      </c>
      <c r="H1858" t="inlineStr">
        <is>
          <t>UPI</t>
        </is>
      </c>
      <c r="I1858" t="inlineStr">
        <is>
          <t>Delivered</t>
        </is>
      </c>
      <c r="J1858" t="n">
        <v>118</v>
      </c>
      <c r="K1858" t="n">
        <v>1</v>
      </c>
      <c r="L1858" t="n">
        <v>944</v>
      </c>
      <c r="M1858" t="n">
        <v>0</v>
      </c>
      <c r="N1858">
        <f>VLOOKUP(J1858,Products!$A$2:$C$49,3,FALSE)</f>
        <v/>
      </c>
      <c r="O1858">
        <f>K1858*L1858-M1858</f>
        <v/>
      </c>
      <c r="P1858">
        <f>TEXT(B1858,"yyyy-mm")</f>
        <v/>
      </c>
      <c r="Q1858">
        <f>IF(O1858&gt;=3000,"Large","Small")</f>
        <v/>
      </c>
      <c r="R1858">
        <f>INDEX(Products!$F$2:$F$49,MATCH(J1858,Products!$A$2:$A$49,0))</f>
        <v/>
      </c>
      <c r="S1858">
        <f>WEEKDAY(B1858,2)</f>
        <v/>
      </c>
    </row>
    <row r="1859">
      <c r="A1859" t="n">
        <v>510265</v>
      </c>
      <c r="B1859" s="6" t="n">
        <v>45952</v>
      </c>
      <c r="C1859" t="n">
        <v>16866</v>
      </c>
      <c r="D1859" t="inlineStr">
        <is>
          <t>Jaipur</t>
        </is>
      </c>
      <c r="E1859" t="inlineStr">
        <is>
          <t>North</t>
        </is>
      </c>
      <c r="F1859" t="inlineStr">
        <is>
          <t>Organic Search</t>
        </is>
      </c>
      <c r="G1859" t="inlineStr">
        <is>
          <t>Desktop</t>
        </is>
      </c>
      <c r="H1859" t="inlineStr">
        <is>
          <t>UPI</t>
        </is>
      </c>
      <c r="I1859" t="inlineStr">
        <is>
          <t>Delivered</t>
        </is>
      </c>
      <c r="J1859" t="n">
        <v>111</v>
      </c>
      <c r="K1859" t="n">
        <v>1</v>
      </c>
      <c r="L1859" t="n">
        <v>524</v>
      </c>
      <c r="M1859" t="n">
        <v>52.4</v>
      </c>
      <c r="N1859">
        <f>VLOOKUP(J1859,Products!$A$2:$C$49,3,FALSE)</f>
        <v/>
      </c>
      <c r="O1859">
        <f>K1859*L1859-M1859</f>
        <v/>
      </c>
      <c r="P1859">
        <f>TEXT(B1859,"yyyy-mm")</f>
        <v/>
      </c>
      <c r="Q1859">
        <f>IF(O1859&gt;=3000,"Large","Small")</f>
        <v/>
      </c>
      <c r="R1859">
        <f>INDEX(Products!$F$2:$F$49,MATCH(J1859,Products!$A$2:$A$49,0))</f>
        <v/>
      </c>
      <c r="S1859">
        <f>WEEKDAY(B1859,2)</f>
        <v/>
      </c>
    </row>
    <row r="1860">
      <c r="A1860" t="n">
        <v>510265</v>
      </c>
      <c r="B1860" s="6" t="n">
        <v>45952</v>
      </c>
      <c r="C1860" t="n">
        <v>16866</v>
      </c>
      <c r="D1860" t="inlineStr">
        <is>
          <t>Jaipur</t>
        </is>
      </c>
      <c r="E1860" t="inlineStr">
        <is>
          <t>North</t>
        </is>
      </c>
      <c r="F1860" t="inlineStr">
        <is>
          <t>Organic Search</t>
        </is>
      </c>
      <c r="G1860" t="inlineStr">
        <is>
          <t>Desktop</t>
        </is>
      </c>
      <c r="H1860" t="inlineStr">
        <is>
          <t>UPI</t>
        </is>
      </c>
      <c r="I1860" t="inlineStr">
        <is>
          <t>Delivered</t>
        </is>
      </c>
      <c r="J1860" t="n">
        <v>133</v>
      </c>
      <c r="K1860" t="n">
        <v>2</v>
      </c>
      <c r="L1860" t="n">
        <v>419</v>
      </c>
      <c r="M1860" t="n">
        <v>83.8</v>
      </c>
      <c r="N1860">
        <f>VLOOKUP(J1860,Products!$A$2:$C$49,3,FALSE)</f>
        <v/>
      </c>
      <c r="O1860">
        <f>K1860*L1860-M1860</f>
        <v/>
      </c>
      <c r="P1860">
        <f>TEXT(B1860,"yyyy-mm")</f>
        <v/>
      </c>
      <c r="Q1860">
        <f>IF(O1860&gt;=3000,"Large","Small")</f>
        <v/>
      </c>
      <c r="R1860">
        <f>INDEX(Products!$F$2:$F$49,MATCH(J1860,Products!$A$2:$A$49,0))</f>
        <v/>
      </c>
      <c r="S1860">
        <f>WEEKDAY(B1860,2)</f>
        <v/>
      </c>
    </row>
    <row r="1861">
      <c r="A1861" t="n">
        <v>510266</v>
      </c>
      <c r="B1861" s="6" t="n">
        <v>45952</v>
      </c>
      <c r="C1861" t="n">
        <v>15992</v>
      </c>
      <c r="D1861" t="inlineStr">
        <is>
          <t>Delhi</t>
        </is>
      </c>
      <c r="E1861" t="inlineStr">
        <is>
          <t>North</t>
        </is>
      </c>
      <c r="F1861" t="inlineStr">
        <is>
          <t>Paid Social</t>
        </is>
      </c>
      <c r="G1861" t="inlineStr">
        <is>
          <t>Mobile Web</t>
        </is>
      </c>
      <c r="H1861" t="inlineStr">
        <is>
          <t>UPI</t>
        </is>
      </c>
      <c r="I1861" t="inlineStr">
        <is>
          <t>Returned</t>
        </is>
      </c>
      <c r="J1861" t="n">
        <v>118</v>
      </c>
      <c r="K1861" t="n">
        <v>1</v>
      </c>
      <c r="L1861" t="n">
        <v>944</v>
      </c>
      <c r="M1861" t="n">
        <v>94.40000000000001</v>
      </c>
      <c r="N1861">
        <f>VLOOKUP(J1861,Products!$A$2:$C$49,3,FALSE)</f>
        <v/>
      </c>
      <c r="O1861">
        <f>K1861*L1861-M1861</f>
        <v/>
      </c>
      <c r="P1861">
        <f>TEXT(B1861,"yyyy-mm")</f>
        <v/>
      </c>
      <c r="Q1861">
        <f>IF(O1861&gt;=3000,"Large","Small")</f>
        <v/>
      </c>
      <c r="R1861">
        <f>INDEX(Products!$F$2:$F$49,MATCH(J1861,Products!$A$2:$A$49,0))</f>
        <v/>
      </c>
      <c r="S1861">
        <f>WEEKDAY(B1861,2)</f>
        <v/>
      </c>
    </row>
    <row r="1862">
      <c r="A1862" t="n">
        <v>510267</v>
      </c>
      <c r="B1862" s="6" t="n">
        <v>45952</v>
      </c>
      <c r="C1862" t="n">
        <v>16146</v>
      </c>
      <c r="D1862" t="inlineStr">
        <is>
          <t>Lucknow</t>
        </is>
      </c>
      <c r="E1862" t="inlineStr">
        <is>
          <t>North</t>
        </is>
      </c>
      <c r="F1862" t="inlineStr">
        <is>
          <t>Affiliate</t>
        </is>
      </c>
      <c r="G1862" t="inlineStr">
        <is>
          <t>Mobile App</t>
        </is>
      </c>
      <c r="H1862" t="inlineStr">
        <is>
          <t>Credit Card</t>
        </is>
      </c>
      <c r="I1862" t="inlineStr">
        <is>
          <t>Delivered</t>
        </is>
      </c>
      <c r="J1862" t="n">
        <v>116</v>
      </c>
      <c r="K1862" t="n">
        <v>1</v>
      </c>
      <c r="L1862" t="n">
        <v>2624</v>
      </c>
      <c r="M1862" t="n">
        <v>0</v>
      </c>
      <c r="N1862">
        <f>VLOOKUP(J1862,Products!$A$2:$C$49,3,FALSE)</f>
        <v/>
      </c>
      <c r="O1862">
        <f>K1862*L1862-M1862</f>
        <v/>
      </c>
      <c r="P1862">
        <f>TEXT(B1862,"yyyy-mm")</f>
        <v/>
      </c>
      <c r="Q1862">
        <f>IF(O1862&gt;=3000,"Large","Small")</f>
        <v/>
      </c>
      <c r="R1862">
        <f>INDEX(Products!$F$2:$F$49,MATCH(J1862,Products!$A$2:$A$49,0))</f>
        <v/>
      </c>
      <c r="S1862">
        <f>WEEKDAY(B1862,2)</f>
        <v/>
      </c>
    </row>
    <row r="1863">
      <c r="A1863" t="n">
        <v>510267</v>
      </c>
      <c r="B1863" s="6" t="n">
        <v>45952</v>
      </c>
      <c r="C1863" t="n">
        <v>16146</v>
      </c>
      <c r="D1863" t="inlineStr">
        <is>
          <t>Lucknow</t>
        </is>
      </c>
      <c r="E1863" t="inlineStr">
        <is>
          <t>North</t>
        </is>
      </c>
      <c r="F1863" t="inlineStr">
        <is>
          <t>Affiliate</t>
        </is>
      </c>
      <c r="G1863" t="inlineStr">
        <is>
          <t>Mobile App</t>
        </is>
      </c>
      <c r="H1863" t="inlineStr">
        <is>
          <t>Credit Card</t>
        </is>
      </c>
      <c r="I1863" t="inlineStr">
        <is>
          <t>Delivered</t>
        </is>
      </c>
      <c r="J1863" t="n">
        <v>119</v>
      </c>
      <c r="K1863" t="n">
        <v>1</v>
      </c>
      <c r="L1863" t="n">
        <v>2309</v>
      </c>
      <c r="M1863" t="n">
        <v>0</v>
      </c>
      <c r="N1863">
        <f>VLOOKUP(J1863,Products!$A$2:$C$49,3,FALSE)</f>
        <v/>
      </c>
      <c r="O1863">
        <f>K1863*L1863-M1863</f>
        <v/>
      </c>
      <c r="P1863">
        <f>TEXT(B1863,"yyyy-mm")</f>
        <v/>
      </c>
      <c r="Q1863">
        <f>IF(O1863&gt;=3000,"Large","Small")</f>
        <v/>
      </c>
      <c r="R1863">
        <f>INDEX(Products!$F$2:$F$49,MATCH(J1863,Products!$A$2:$A$49,0))</f>
        <v/>
      </c>
      <c r="S1863">
        <f>WEEKDAY(B1863,2)</f>
        <v/>
      </c>
    </row>
    <row r="1864">
      <c r="A1864" t="n">
        <v>510267</v>
      </c>
      <c r="B1864" s="6" t="n">
        <v>45952</v>
      </c>
      <c r="C1864" t="n">
        <v>16146</v>
      </c>
      <c r="D1864" t="inlineStr">
        <is>
          <t>Lucknow</t>
        </is>
      </c>
      <c r="E1864" t="inlineStr">
        <is>
          <t>North</t>
        </is>
      </c>
      <c r="F1864" t="inlineStr">
        <is>
          <t>Affiliate</t>
        </is>
      </c>
      <c r="G1864" t="inlineStr">
        <is>
          <t>Mobile App</t>
        </is>
      </c>
      <c r="H1864" t="inlineStr">
        <is>
          <t>Credit Card</t>
        </is>
      </c>
      <c r="I1864" t="inlineStr">
        <is>
          <t>Delivered</t>
        </is>
      </c>
      <c r="J1864" t="n">
        <v>114</v>
      </c>
      <c r="K1864" t="n">
        <v>1</v>
      </c>
      <c r="L1864" t="n">
        <v>1259</v>
      </c>
      <c r="M1864" t="n">
        <v>0</v>
      </c>
      <c r="N1864">
        <f>VLOOKUP(J1864,Products!$A$2:$C$49,3,FALSE)</f>
        <v/>
      </c>
      <c r="O1864">
        <f>K1864*L1864-M1864</f>
        <v/>
      </c>
      <c r="P1864">
        <f>TEXT(B1864,"yyyy-mm")</f>
        <v/>
      </c>
      <c r="Q1864">
        <f>IF(O1864&gt;=3000,"Large","Small")</f>
        <v/>
      </c>
      <c r="R1864">
        <f>INDEX(Products!$F$2:$F$49,MATCH(J1864,Products!$A$2:$A$49,0))</f>
        <v/>
      </c>
      <c r="S1864">
        <f>WEEKDAY(B1864,2)</f>
        <v/>
      </c>
    </row>
    <row r="1865">
      <c r="A1865" t="n">
        <v>510267</v>
      </c>
      <c r="B1865" s="6" t="n">
        <v>45952</v>
      </c>
      <c r="C1865" t="n">
        <v>16146</v>
      </c>
      <c r="D1865" t="inlineStr">
        <is>
          <t>Lucknow</t>
        </is>
      </c>
      <c r="E1865" t="inlineStr">
        <is>
          <t>North</t>
        </is>
      </c>
      <c r="F1865" t="inlineStr">
        <is>
          <t>Affiliate</t>
        </is>
      </c>
      <c r="G1865" t="inlineStr">
        <is>
          <t>Mobile App</t>
        </is>
      </c>
      <c r="H1865" t="inlineStr">
        <is>
          <t>Credit Card</t>
        </is>
      </c>
      <c r="I1865" t="inlineStr">
        <is>
          <t>Delivered</t>
        </is>
      </c>
      <c r="J1865" t="n">
        <v>129</v>
      </c>
      <c r="K1865" t="n">
        <v>1</v>
      </c>
      <c r="L1865" t="n">
        <v>576</v>
      </c>
      <c r="M1865" t="n">
        <v>0</v>
      </c>
      <c r="N1865">
        <f>VLOOKUP(J1865,Products!$A$2:$C$49,3,FALSE)</f>
        <v/>
      </c>
      <c r="O1865">
        <f>K1865*L1865-M1865</f>
        <v/>
      </c>
      <c r="P1865">
        <f>TEXT(B1865,"yyyy-mm")</f>
        <v/>
      </c>
      <c r="Q1865">
        <f>IF(O1865&gt;=3000,"Large","Small")</f>
        <v/>
      </c>
      <c r="R1865">
        <f>INDEX(Products!$F$2:$F$49,MATCH(J1865,Products!$A$2:$A$49,0))</f>
        <v/>
      </c>
      <c r="S1865">
        <f>WEEKDAY(B1865,2)</f>
        <v/>
      </c>
    </row>
    <row r="1866">
      <c r="A1866" t="n">
        <v>510268</v>
      </c>
      <c r="B1866" s="6" t="n">
        <v>45953</v>
      </c>
      <c r="C1866" t="n">
        <v>13715</v>
      </c>
      <c r="D1866" t="inlineStr">
        <is>
          <t>Bengaluru</t>
        </is>
      </c>
      <c r="E1866" t="inlineStr">
        <is>
          <t>South</t>
        </is>
      </c>
      <c r="F1866" t="inlineStr">
        <is>
          <t>Paid Search</t>
        </is>
      </c>
      <c r="G1866" t="inlineStr">
        <is>
          <t>Desktop</t>
        </is>
      </c>
      <c r="H1866" t="inlineStr">
        <is>
          <t>Debit Card</t>
        </is>
      </c>
      <c r="I1866" t="inlineStr">
        <is>
          <t>Delivered</t>
        </is>
      </c>
      <c r="J1866" t="n">
        <v>141</v>
      </c>
      <c r="K1866" t="n">
        <v>1</v>
      </c>
      <c r="L1866" t="n">
        <v>261</v>
      </c>
      <c r="M1866" t="n">
        <v>26.1</v>
      </c>
      <c r="N1866">
        <f>VLOOKUP(J1866,Products!$A$2:$C$49,3,FALSE)</f>
        <v/>
      </c>
      <c r="O1866">
        <f>K1866*L1866-M1866</f>
        <v/>
      </c>
      <c r="P1866">
        <f>TEXT(B1866,"yyyy-mm")</f>
        <v/>
      </c>
      <c r="Q1866">
        <f>IF(O1866&gt;=3000,"Large","Small")</f>
        <v/>
      </c>
      <c r="R1866">
        <f>INDEX(Products!$F$2:$F$49,MATCH(J1866,Products!$A$2:$A$49,0))</f>
        <v/>
      </c>
      <c r="S1866">
        <f>WEEKDAY(B1866,2)</f>
        <v/>
      </c>
    </row>
    <row r="1867">
      <c r="A1867" t="n">
        <v>510268</v>
      </c>
      <c r="B1867" s="6" t="n">
        <v>45953</v>
      </c>
      <c r="C1867" t="n">
        <v>13715</v>
      </c>
      <c r="D1867" t="inlineStr">
        <is>
          <t>Bengaluru</t>
        </is>
      </c>
      <c r="E1867" t="inlineStr">
        <is>
          <t>South</t>
        </is>
      </c>
      <c r="F1867" t="inlineStr">
        <is>
          <t>Paid Search</t>
        </is>
      </c>
      <c r="G1867" t="inlineStr">
        <is>
          <t>Desktop</t>
        </is>
      </c>
      <c r="H1867" t="inlineStr">
        <is>
          <t>Debit Card</t>
        </is>
      </c>
      <c r="I1867" t="inlineStr">
        <is>
          <t>Delivered</t>
        </is>
      </c>
      <c r="J1867" t="n">
        <v>137</v>
      </c>
      <c r="K1867" t="n">
        <v>2</v>
      </c>
      <c r="L1867" t="n">
        <v>261</v>
      </c>
      <c r="M1867" t="n">
        <v>52.2</v>
      </c>
      <c r="N1867">
        <f>VLOOKUP(J1867,Products!$A$2:$C$49,3,FALSE)</f>
        <v/>
      </c>
      <c r="O1867">
        <f>K1867*L1867-M1867</f>
        <v/>
      </c>
      <c r="P1867">
        <f>TEXT(B1867,"yyyy-mm")</f>
        <v/>
      </c>
      <c r="Q1867">
        <f>IF(O1867&gt;=3000,"Large","Small")</f>
        <v/>
      </c>
      <c r="R1867">
        <f>INDEX(Products!$F$2:$F$49,MATCH(J1867,Products!$A$2:$A$49,0))</f>
        <v/>
      </c>
      <c r="S1867">
        <f>WEEKDAY(B1867,2)</f>
        <v/>
      </c>
    </row>
    <row r="1868">
      <c r="A1868" t="n">
        <v>510268</v>
      </c>
      <c r="B1868" s="6" t="n">
        <v>45953</v>
      </c>
      <c r="C1868" t="n">
        <v>13715</v>
      </c>
      <c r="D1868" t="inlineStr">
        <is>
          <t>Bengaluru</t>
        </is>
      </c>
      <c r="E1868" t="inlineStr">
        <is>
          <t>South</t>
        </is>
      </c>
      <c r="F1868" t="inlineStr">
        <is>
          <t>Paid Search</t>
        </is>
      </c>
      <c r="G1868" t="inlineStr">
        <is>
          <t>Desktop</t>
        </is>
      </c>
      <c r="H1868" t="inlineStr">
        <is>
          <t>Debit Card</t>
        </is>
      </c>
      <c r="I1868" t="inlineStr">
        <is>
          <t>Delivered</t>
        </is>
      </c>
      <c r="J1868" t="n">
        <v>129</v>
      </c>
      <c r="K1868" t="n">
        <v>1</v>
      </c>
      <c r="L1868" t="n">
        <v>576</v>
      </c>
      <c r="M1868" t="n">
        <v>57.6</v>
      </c>
      <c r="N1868">
        <f>VLOOKUP(J1868,Products!$A$2:$C$49,3,FALSE)</f>
        <v/>
      </c>
      <c r="O1868">
        <f>K1868*L1868-M1868</f>
        <v/>
      </c>
      <c r="P1868">
        <f>TEXT(B1868,"yyyy-mm")</f>
        <v/>
      </c>
      <c r="Q1868">
        <f>IF(O1868&gt;=3000,"Large","Small")</f>
        <v/>
      </c>
      <c r="R1868">
        <f>INDEX(Products!$F$2:$F$49,MATCH(J1868,Products!$A$2:$A$49,0))</f>
        <v/>
      </c>
      <c r="S1868">
        <f>WEEKDAY(B1868,2)</f>
        <v/>
      </c>
    </row>
    <row r="1869">
      <c r="A1869" t="n">
        <v>510269</v>
      </c>
      <c r="B1869" s="6" t="n">
        <v>45953</v>
      </c>
      <c r="C1869" t="n">
        <v>13312</v>
      </c>
      <c r="D1869" t="inlineStr">
        <is>
          <t>Bengaluru</t>
        </is>
      </c>
      <c r="E1869" t="inlineStr">
        <is>
          <t>South</t>
        </is>
      </c>
      <c r="F1869" t="inlineStr">
        <is>
          <t>Organic Search</t>
        </is>
      </c>
      <c r="G1869" t="inlineStr">
        <is>
          <t>Desktop</t>
        </is>
      </c>
      <c r="H1869" t="inlineStr">
        <is>
          <t>UPI</t>
        </is>
      </c>
      <c r="I1869" t="inlineStr">
        <is>
          <t>Delivered</t>
        </is>
      </c>
      <c r="J1869" t="n">
        <v>111</v>
      </c>
      <c r="K1869" t="n">
        <v>1</v>
      </c>
      <c r="L1869" t="n">
        <v>524</v>
      </c>
      <c r="M1869" t="n">
        <v>0</v>
      </c>
      <c r="N1869">
        <f>VLOOKUP(J1869,Products!$A$2:$C$49,3,FALSE)</f>
        <v/>
      </c>
      <c r="O1869">
        <f>K1869*L1869-M1869</f>
        <v/>
      </c>
      <c r="P1869">
        <f>TEXT(B1869,"yyyy-mm")</f>
        <v/>
      </c>
      <c r="Q1869">
        <f>IF(O1869&gt;=3000,"Large","Small")</f>
        <v/>
      </c>
      <c r="R1869">
        <f>INDEX(Products!$F$2:$F$49,MATCH(J1869,Products!$A$2:$A$49,0))</f>
        <v/>
      </c>
      <c r="S1869">
        <f>WEEKDAY(B1869,2)</f>
        <v/>
      </c>
    </row>
    <row r="1870">
      <c r="A1870" t="n">
        <v>510269</v>
      </c>
      <c r="B1870" s="6" t="n">
        <v>45953</v>
      </c>
      <c r="C1870" t="n">
        <v>13312</v>
      </c>
      <c r="D1870" t="inlineStr">
        <is>
          <t>Bengaluru</t>
        </is>
      </c>
      <c r="E1870" t="inlineStr">
        <is>
          <t>South</t>
        </is>
      </c>
      <c r="F1870" t="inlineStr">
        <is>
          <t>Organic Search</t>
        </is>
      </c>
      <c r="G1870" t="inlineStr">
        <is>
          <t>Desktop</t>
        </is>
      </c>
      <c r="H1870" t="inlineStr">
        <is>
          <t>UPI</t>
        </is>
      </c>
      <c r="I1870" t="inlineStr">
        <is>
          <t>Delivered</t>
        </is>
      </c>
      <c r="J1870" t="n">
        <v>117</v>
      </c>
      <c r="K1870" t="n">
        <v>1</v>
      </c>
      <c r="L1870" t="n">
        <v>3149</v>
      </c>
      <c r="M1870" t="n">
        <v>0</v>
      </c>
      <c r="N1870">
        <f>VLOOKUP(J1870,Products!$A$2:$C$49,3,FALSE)</f>
        <v/>
      </c>
      <c r="O1870">
        <f>K1870*L1870-M1870</f>
        <v/>
      </c>
      <c r="P1870">
        <f>TEXT(B1870,"yyyy-mm")</f>
        <v/>
      </c>
      <c r="Q1870">
        <f>IF(O1870&gt;=3000,"Large","Small")</f>
        <v/>
      </c>
      <c r="R1870">
        <f>INDEX(Products!$F$2:$F$49,MATCH(J1870,Products!$A$2:$A$49,0))</f>
        <v/>
      </c>
      <c r="S1870">
        <f>WEEKDAY(B1870,2)</f>
        <v/>
      </c>
    </row>
    <row r="1871">
      <c r="A1871" t="n">
        <v>510270</v>
      </c>
      <c r="B1871" s="6" t="n">
        <v>45953</v>
      </c>
      <c r="C1871" t="n">
        <v>16968</v>
      </c>
      <c r="D1871" t="inlineStr">
        <is>
          <t>Pune</t>
        </is>
      </c>
      <c r="E1871" t="inlineStr">
        <is>
          <t>West</t>
        </is>
      </c>
      <c r="F1871" t="inlineStr">
        <is>
          <t>Email</t>
        </is>
      </c>
      <c r="G1871" t="inlineStr">
        <is>
          <t>Desktop</t>
        </is>
      </c>
      <c r="H1871" t="inlineStr">
        <is>
          <t>UPI</t>
        </is>
      </c>
      <c r="I1871" t="inlineStr">
        <is>
          <t>Delivered</t>
        </is>
      </c>
      <c r="J1871" t="n">
        <v>137</v>
      </c>
      <c r="K1871" t="n">
        <v>1</v>
      </c>
      <c r="L1871" t="n">
        <v>261</v>
      </c>
      <c r="M1871" t="n">
        <v>39.15</v>
      </c>
      <c r="N1871">
        <f>VLOOKUP(J1871,Products!$A$2:$C$49,3,FALSE)</f>
        <v/>
      </c>
      <c r="O1871">
        <f>K1871*L1871-M1871</f>
        <v/>
      </c>
      <c r="P1871">
        <f>TEXT(B1871,"yyyy-mm")</f>
        <v/>
      </c>
      <c r="Q1871">
        <f>IF(O1871&gt;=3000,"Large","Small")</f>
        <v/>
      </c>
      <c r="R1871">
        <f>INDEX(Products!$F$2:$F$49,MATCH(J1871,Products!$A$2:$A$49,0))</f>
        <v/>
      </c>
      <c r="S1871">
        <f>WEEKDAY(B1871,2)</f>
        <v/>
      </c>
    </row>
    <row r="1872">
      <c r="A1872" t="n">
        <v>510270</v>
      </c>
      <c r="B1872" s="6" t="n">
        <v>45953</v>
      </c>
      <c r="C1872" t="n">
        <v>16968</v>
      </c>
      <c r="D1872" t="inlineStr">
        <is>
          <t>Pune</t>
        </is>
      </c>
      <c r="E1872" t="inlineStr">
        <is>
          <t>West</t>
        </is>
      </c>
      <c r="F1872" t="inlineStr">
        <is>
          <t>Email</t>
        </is>
      </c>
      <c r="G1872" t="inlineStr">
        <is>
          <t>Desktop</t>
        </is>
      </c>
      <c r="H1872" t="inlineStr">
        <is>
          <t>UPI</t>
        </is>
      </c>
      <c r="I1872" t="inlineStr">
        <is>
          <t>Delivered</t>
        </is>
      </c>
      <c r="J1872" t="n">
        <v>111</v>
      </c>
      <c r="K1872" t="n">
        <v>3</v>
      </c>
      <c r="L1872" t="n">
        <v>524</v>
      </c>
      <c r="M1872" t="n">
        <v>235.8</v>
      </c>
      <c r="N1872">
        <f>VLOOKUP(J1872,Products!$A$2:$C$49,3,FALSE)</f>
        <v/>
      </c>
      <c r="O1872">
        <f>K1872*L1872-M1872</f>
        <v/>
      </c>
      <c r="P1872">
        <f>TEXT(B1872,"yyyy-mm")</f>
        <v/>
      </c>
      <c r="Q1872">
        <f>IF(O1872&gt;=3000,"Large","Small")</f>
        <v/>
      </c>
      <c r="R1872">
        <f>INDEX(Products!$F$2:$F$49,MATCH(J1872,Products!$A$2:$A$49,0))</f>
        <v/>
      </c>
      <c r="S1872">
        <f>WEEKDAY(B1872,2)</f>
        <v/>
      </c>
    </row>
    <row r="1873">
      <c r="A1873" t="n">
        <v>510270</v>
      </c>
      <c r="B1873" s="6" t="n">
        <v>45953</v>
      </c>
      <c r="C1873" t="n">
        <v>16968</v>
      </c>
      <c r="D1873" t="inlineStr">
        <is>
          <t>Pune</t>
        </is>
      </c>
      <c r="E1873" t="inlineStr">
        <is>
          <t>West</t>
        </is>
      </c>
      <c r="F1873" t="inlineStr">
        <is>
          <t>Email</t>
        </is>
      </c>
      <c r="G1873" t="inlineStr">
        <is>
          <t>Desktop</t>
        </is>
      </c>
      <c r="H1873" t="inlineStr">
        <is>
          <t>UPI</t>
        </is>
      </c>
      <c r="I1873" t="inlineStr">
        <is>
          <t>Delivered</t>
        </is>
      </c>
      <c r="J1873" t="n">
        <v>129</v>
      </c>
      <c r="K1873" t="n">
        <v>1</v>
      </c>
      <c r="L1873" t="n">
        <v>576</v>
      </c>
      <c r="M1873" t="n">
        <v>86.40000000000001</v>
      </c>
      <c r="N1873">
        <f>VLOOKUP(J1873,Products!$A$2:$C$49,3,FALSE)</f>
        <v/>
      </c>
      <c r="O1873">
        <f>K1873*L1873-M1873</f>
        <v/>
      </c>
      <c r="P1873">
        <f>TEXT(B1873,"yyyy-mm")</f>
        <v/>
      </c>
      <c r="Q1873">
        <f>IF(O1873&gt;=3000,"Large","Small")</f>
        <v/>
      </c>
      <c r="R1873">
        <f>INDEX(Products!$F$2:$F$49,MATCH(J1873,Products!$A$2:$A$49,0))</f>
        <v/>
      </c>
      <c r="S1873">
        <f>WEEKDAY(B1873,2)</f>
        <v/>
      </c>
    </row>
    <row r="1874">
      <c r="A1874" t="n">
        <v>510271</v>
      </c>
      <c r="B1874" s="6" t="n">
        <v>45953</v>
      </c>
      <c r="C1874" t="n">
        <v>11339</v>
      </c>
      <c r="D1874" t="inlineStr">
        <is>
          <t>Delhi</t>
        </is>
      </c>
      <c r="E1874" t="inlineStr">
        <is>
          <t>North</t>
        </is>
      </c>
      <c r="F1874" t="inlineStr">
        <is>
          <t>Referral</t>
        </is>
      </c>
      <c r="G1874" t="inlineStr">
        <is>
          <t>Mobile App</t>
        </is>
      </c>
      <c r="H1874" t="inlineStr">
        <is>
          <t>Net Banking</t>
        </is>
      </c>
      <c r="I1874" t="inlineStr">
        <is>
          <t>Delivered</t>
        </is>
      </c>
      <c r="J1874" t="n">
        <v>127</v>
      </c>
      <c r="K1874" t="n">
        <v>1</v>
      </c>
      <c r="L1874" t="n">
        <v>681</v>
      </c>
      <c r="M1874" t="n">
        <v>68.09999999999999</v>
      </c>
      <c r="N1874">
        <f>VLOOKUP(J1874,Products!$A$2:$C$49,3,FALSE)</f>
        <v/>
      </c>
      <c r="O1874">
        <f>K1874*L1874-M1874</f>
        <v/>
      </c>
      <c r="P1874">
        <f>TEXT(B1874,"yyyy-mm")</f>
        <v/>
      </c>
      <c r="Q1874">
        <f>IF(O1874&gt;=3000,"Large","Small")</f>
        <v/>
      </c>
      <c r="R1874">
        <f>INDEX(Products!$F$2:$F$49,MATCH(J1874,Products!$A$2:$A$49,0))</f>
        <v/>
      </c>
      <c r="S1874">
        <f>WEEKDAY(B1874,2)</f>
        <v/>
      </c>
    </row>
    <row r="1875">
      <c r="A1875" t="n">
        <v>510272</v>
      </c>
      <c r="B1875" s="6" t="n">
        <v>45953</v>
      </c>
      <c r="C1875" t="n">
        <v>10281</v>
      </c>
      <c r="D1875" t="inlineStr">
        <is>
          <t>Pune</t>
        </is>
      </c>
      <c r="E1875" t="inlineStr">
        <is>
          <t>West</t>
        </is>
      </c>
      <c r="F1875" t="inlineStr">
        <is>
          <t>Paid Social</t>
        </is>
      </c>
      <c r="G1875" t="inlineStr">
        <is>
          <t>Mobile Web</t>
        </is>
      </c>
      <c r="H1875" t="inlineStr">
        <is>
          <t>Cash on Delivery</t>
        </is>
      </c>
      <c r="I1875" t="inlineStr">
        <is>
          <t>Delivered</t>
        </is>
      </c>
      <c r="J1875" t="n">
        <v>137</v>
      </c>
      <c r="K1875" t="n">
        <v>2</v>
      </c>
      <c r="L1875" t="n">
        <v>261</v>
      </c>
      <c r="M1875" t="n">
        <v>52.2</v>
      </c>
      <c r="N1875">
        <f>VLOOKUP(J1875,Products!$A$2:$C$49,3,FALSE)</f>
        <v/>
      </c>
      <c r="O1875">
        <f>K1875*L1875-M1875</f>
        <v/>
      </c>
      <c r="P1875">
        <f>TEXT(B1875,"yyyy-mm")</f>
        <v/>
      </c>
      <c r="Q1875">
        <f>IF(O1875&gt;=3000,"Large","Small")</f>
        <v/>
      </c>
      <c r="R1875">
        <f>INDEX(Products!$F$2:$F$49,MATCH(J1875,Products!$A$2:$A$49,0))</f>
        <v/>
      </c>
      <c r="S1875">
        <f>WEEKDAY(B1875,2)</f>
        <v/>
      </c>
    </row>
    <row r="1876">
      <c r="A1876" t="n">
        <v>510272</v>
      </c>
      <c r="B1876" s="6" t="n">
        <v>45953</v>
      </c>
      <c r="C1876" t="n">
        <v>10281</v>
      </c>
      <c r="D1876" t="inlineStr">
        <is>
          <t>Pune</t>
        </is>
      </c>
      <c r="E1876" t="inlineStr">
        <is>
          <t>West</t>
        </is>
      </c>
      <c r="F1876" t="inlineStr">
        <is>
          <t>Paid Social</t>
        </is>
      </c>
      <c r="G1876" t="inlineStr">
        <is>
          <t>Mobile Web</t>
        </is>
      </c>
      <c r="H1876" t="inlineStr">
        <is>
          <t>Cash on Delivery</t>
        </is>
      </c>
      <c r="I1876" t="inlineStr">
        <is>
          <t>Delivered</t>
        </is>
      </c>
      <c r="J1876" t="n">
        <v>104</v>
      </c>
      <c r="K1876" t="n">
        <v>1</v>
      </c>
      <c r="L1876" t="n">
        <v>5249</v>
      </c>
      <c r="M1876" t="n">
        <v>524.9</v>
      </c>
      <c r="N1876">
        <f>VLOOKUP(J1876,Products!$A$2:$C$49,3,FALSE)</f>
        <v/>
      </c>
      <c r="O1876">
        <f>K1876*L1876-M1876</f>
        <v/>
      </c>
      <c r="P1876">
        <f>TEXT(B1876,"yyyy-mm")</f>
        <v/>
      </c>
      <c r="Q1876">
        <f>IF(O1876&gt;=3000,"Large","Small")</f>
        <v/>
      </c>
      <c r="R1876">
        <f>INDEX(Products!$F$2:$F$49,MATCH(J1876,Products!$A$2:$A$49,0))</f>
        <v/>
      </c>
      <c r="S1876">
        <f>WEEKDAY(B1876,2)</f>
        <v/>
      </c>
    </row>
    <row r="1877">
      <c r="A1877" t="n">
        <v>510273</v>
      </c>
      <c r="B1877" s="6" t="n">
        <v>45953</v>
      </c>
      <c r="C1877" t="n">
        <v>16128</v>
      </c>
      <c r="D1877" t="inlineStr">
        <is>
          <t>Delhi</t>
        </is>
      </c>
      <c r="E1877" t="inlineStr">
        <is>
          <t>North</t>
        </is>
      </c>
      <c r="F1877" t="inlineStr">
        <is>
          <t>Referral</t>
        </is>
      </c>
      <c r="G1877" t="inlineStr">
        <is>
          <t>Mobile Web</t>
        </is>
      </c>
      <c r="H1877" t="inlineStr">
        <is>
          <t>UPI</t>
        </is>
      </c>
      <c r="I1877" t="inlineStr">
        <is>
          <t>Delivered</t>
        </is>
      </c>
      <c r="J1877" t="n">
        <v>131</v>
      </c>
      <c r="K1877" t="n">
        <v>3</v>
      </c>
      <c r="L1877" t="n">
        <v>314</v>
      </c>
      <c r="M1877" t="n">
        <v>94.2</v>
      </c>
      <c r="N1877">
        <f>VLOOKUP(J1877,Products!$A$2:$C$49,3,FALSE)</f>
        <v/>
      </c>
      <c r="O1877">
        <f>K1877*L1877-M1877</f>
        <v/>
      </c>
      <c r="P1877">
        <f>TEXT(B1877,"yyyy-mm")</f>
        <v/>
      </c>
      <c r="Q1877">
        <f>IF(O1877&gt;=3000,"Large","Small")</f>
        <v/>
      </c>
      <c r="R1877">
        <f>INDEX(Products!$F$2:$F$49,MATCH(J1877,Products!$A$2:$A$49,0))</f>
        <v/>
      </c>
      <c r="S1877">
        <f>WEEKDAY(B1877,2)</f>
        <v/>
      </c>
    </row>
    <row r="1878">
      <c r="A1878" t="n">
        <v>510273</v>
      </c>
      <c r="B1878" s="6" t="n">
        <v>45953</v>
      </c>
      <c r="C1878" t="n">
        <v>16128</v>
      </c>
      <c r="D1878" t="inlineStr">
        <is>
          <t>Delhi</t>
        </is>
      </c>
      <c r="E1878" t="inlineStr">
        <is>
          <t>North</t>
        </is>
      </c>
      <c r="F1878" t="inlineStr">
        <is>
          <t>Referral</t>
        </is>
      </c>
      <c r="G1878" t="inlineStr">
        <is>
          <t>Mobile Web</t>
        </is>
      </c>
      <c r="H1878" t="inlineStr">
        <is>
          <t>UPI</t>
        </is>
      </c>
      <c r="I1878" t="inlineStr">
        <is>
          <t>Delivered</t>
        </is>
      </c>
      <c r="J1878" t="n">
        <v>144</v>
      </c>
      <c r="K1878" t="n">
        <v>1</v>
      </c>
      <c r="L1878" t="n">
        <v>3149</v>
      </c>
      <c r="M1878" t="n">
        <v>314.9</v>
      </c>
      <c r="N1878">
        <f>VLOOKUP(J1878,Products!$A$2:$C$49,3,FALSE)</f>
        <v/>
      </c>
      <c r="O1878">
        <f>K1878*L1878-M1878</f>
        <v/>
      </c>
      <c r="P1878">
        <f>TEXT(B1878,"yyyy-mm")</f>
        <v/>
      </c>
      <c r="Q1878">
        <f>IF(O1878&gt;=3000,"Large","Small")</f>
        <v/>
      </c>
      <c r="R1878">
        <f>INDEX(Products!$F$2:$F$49,MATCH(J1878,Products!$A$2:$A$49,0))</f>
        <v/>
      </c>
      <c r="S1878">
        <f>WEEKDAY(B1878,2)</f>
        <v/>
      </c>
    </row>
    <row r="1879">
      <c r="A1879" t="n">
        <v>510274</v>
      </c>
      <c r="B1879" s="6" t="n">
        <v>45953</v>
      </c>
      <c r="C1879" t="n">
        <v>12738</v>
      </c>
      <c r="D1879" t="inlineStr">
        <is>
          <t>Ahmedabad</t>
        </is>
      </c>
      <c r="E1879" t="inlineStr">
        <is>
          <t>West</t>
        </is>
      </c>
      <c r="F1879" t="inlineStr">
        <is>
          <t>Email</t>
        </is>
      </c>
      <c r="G1879" t="inlineStr">
        <is>
          <t>Mobile Web</t>
        </is>
      </c>
      <c r="H1879" t="inlineStr">
        <is>
          <t>Credit Card</t>
        </is>
      </c>
      <c r="I1879" t="inlineStr">
        <is>
          <t>Delivered</t>
        </is>
      </c>
      <c r="J1879" t="n">
        <v>121</v>
      </c>
      <c r="K1879" t="n">
        <v>1</v>
      </c>
      <c r="L1879" t="n">
        <v>2939</v>
      </c>
      <c r="M1879" t="n">
        <v>293.9</v>
      </c>
      <c r="N1879">
        <f>VLOOKUP(J1879,Products!$A$2:$C$49,3,FALSE)</f>
        <v/>
      </c>
      <c r="O1879">
        <f>K1879*L1879-M1879</f>
        <v/>
      </c>
      <c r="P1879">
        <f>TEXT(B1879,"yyyy-mm")</f>
        <v/>
      </c>
      <c r="Q1879">
        <f>IF(O1879&gt;=3000,"Large","Small")</f>
        <v/>
      </c>
      <c r="R1879">
        <f>INDEX(Products!$F$2:$F$49,MATCH(J1879,Products!$A$2:$A$49,0))</f>
        <v/>
      </c>
      <c r="S1879">
        <f>WEEKDAY(B1879,2)</f>
        <v/>
      </c>
    </row>
    <row r="1880">
      <c r="A1880" t="n">
        <v>510274</v>
      </c>
      <c r="B1880" s="6" t="n">
        <v>45953</v>
      </c>
      <c r="C1880" t="n">
        <v>12738</v>
      </c>
      <c r="D1880" t="inlineStr">
        <is>
          <t>Ahmedabad</t>
        </is>
      </c>
      <c r="E1880" t="inlineStr">
        <is>
          <t>West</t>
        </is>
      </c>
      <c r="F1880" t="inlineStr">
        <is>
          <t>Email</t>
        </is>
      </c>
      <c r="G1880" t="inlineStr">
        <is>
          <t>Mobile Web</t>
        </is>
      </c>
      <c r="H1880" t="inlineStr">
        <is>
          <t>Credit Card</t>
        </is>
      </c>
      <c r="I1880" t="inlineStr">
        <is>
          <t>Delivered</t>
        </is>
      </c>
      <c r="J1880" t="n">
        <v>107</v>
      </c>
      <c r="K1880" t="n">
        <v>1</v>
      </c>
      <c r="L1880" t="n">
        <v>1259</v>
      </c>
      <c r="M1880" t="n">
        <v>125.9</v>
      </c>
      <c r="N1880">
        <f>VLOOKUP(J1880,Products!$A$2:$C$49,3,FALSE)</f>
        <v/>
      </c>
      <c r="O1880">
        <f>K1880*L1880-M1880</f>
        <v/>
      </c>
      <c r="P1880">
        <f>TEXT(B1880,"yyyy-mm")</f>
        <v/>
      </c>
      <c r="Q1880">
        <f>IF(O1880&gt;=3000,"Large","Small")</f>
        <v/>
      </c>
      <c r="R1880">
        <f>INDEX(Products!$F$2:$F$49,MATCH(J1880,Products!$A$2:$A$49,0))</f>
        <v/>
      </c>
      <c r="S1880">
        <f>WEEKDAY(B1880,2)</f>
        <v/>
      </c>
    </row>
    <row r="1881">
      <c r="A1881" t="n">
        <v>510274</v>
      </c>
      <c r="B1881" s="6" t="n">
        <v>45953</v>
      </c>
      <c r="C1881" t="n">
        <v>12738</v>
      </c>
      <c r="D1881" t="inlineStr">
        <is>
          <t>Ahmedabad</t>
        </is>
      </c>
      <c r="E1881" t="inlineStr">
        <is>
          <t>West</t>
        </is>
      </c>
      <c r="F1881" t="inlineStr">
        <is>
          <t>Email</t>
        </is>
      </c>
      <c r="G1881" t="inlineStr">
        <is>
          <t>Mobile Web</t>
        </is>
      </c>
      <c r="H1881" t="inlineStr">
        <is>
          <t>Credit Card</t>
        </is>
      </c>
      <c r="I1881" t="inlineStr">
        <is>
          <t>Delivered</t>
        </is>
      </c>
      <c r="J1881" t="n">
        <v>110</v>
      </c>
      <c r="K1881" t="n">
        <v>1</v>
      </c>
      <c r="L1881" t="n">
        <v>839</v>
      </c>
      <c r="M1881" t="n">
        <v>83.90000000000001</v>
      </c>
      <c r="N1881">
        <f>VLOOKUP(J1881,Products!$A$2:$C$49,3,FALSE)</f>
        <v/>
      </c>
      <c r="O1881">
        <f>K1881*L1881-M1881</f>
        <v/>
      </c>
      <c r="P1881">
        <f>TEXT(B1881,"yyyy-mm")</f>
        <v/>
      </c>
      <c r="Q1881">
        <f>IF(O1881&gt;=3000,"Large","Small")</f>
        <v/>
      </c>
      <c r="R1881">
        <f>INDEX(Products!$F$2:$F$49,MATCH(J1881,Products!$A$2:$A$49,0))</f>
        <v/>
      </c>
      <c r="S1881">
        <f>WEEKDAY(B1881,2)</f>
        <v/>
      </c>
    </row>
    <row r="1882">
      <c r="A1882" t="n">
        <v>510275</v>
      </c>
      <c r="B1882" s="6" t="n">
        <v>45953</v>
      </c>
      <c r="C1882" t="n">
        <v>11331</v>
      </c>
      <c r="D1882" t="inlineStr">
        <is>
          <t>Bengaluru</t>
        </is>
      </c>
      <c r="E1882" t="inlineStr">
        <is>
          <t>South</t>
        </is>
      </c>
      <c r="F1882" t="inlineStr">
        <is>
          <t>Paid Search</t>
        </is>
      </c>
      <c r="G1882" t="inlineStr">
        <is>
          <t>Mobile Web</t>
        </is>
      </c>
      <c r="H1882" t="inlineStr">
        <is>
          <t>UPI</t>
        </is>
      </c>
      <c r="I1882" t="inlineStr">
        <is>
          <t>Delivered</t>
        </is>
      </c>
      <c r="J1882" t="n">
        <v>136</v>
      </c>
      <c r="K1882" t="n">
        <v>1</v>
      </c>
      <c r="L1882" t="n">
        <v>944</v>
      </c>
      <c r="M1882" t="n">
        <v>0</v>
      </c>
      <c r="N1882">
        <f>VLOOKUP(J1882,Products!$A$2:$C$49,3,FALSE)</f>
        <v/>
      </c>
      <c r="O1882">
        <f>K1882*L1882-M1882</f>
        <v/>
      </c>
      <c r="P1882">
        <f>TEXT(B1882,"yyyy-mm")</f>
        <v/>
      </c>
      <c r="Q1882">
        <f>IF(O1882&gt;=3000,"Large","Small")</f>
        <v/>
      </c>
      <c r="R1882">
        <f>INDEX(Products!$F$2:$F$49,MATCH(J1882,Products!$A$2:$A$49,0))</f>
        <v/>
      </c>
      <c r="S1882">
        <f>WEEKDAY(B1882,2)</f>
        <v/>
      </c>
    </row>
    <row r="1883">
      <c r="A1883" t="n">
        <v>510275</v>
      </c>
      <c r="B1883" s="6" t="n">
        <v>45953</v>
      </c>
      <c r="C1883" t="n">
        <v>11331</v>
      </c>
      <c r="D1883" t="inlineStr">
        <is>
          <t>Bengaluru</t>
        </is>
      </c>
      <c r="E1883" t="inlineStr">
        <is>
          <t>South</t>
        </is>
      </c>
      <c r="F1883" t="inlineStr">
        <is>
          <t>Paid Search</t>
        </is>
      </c>
      <c r="G1883" t="inlineStr">
        <is>
          <t>Mobile Web</t>
        </is>
      </c>
      <c r="H1883" t="inlineStr">
        <is>
          <t>UPI</t>
        </is>
      </c>
      <c r="I1883" t="inlineStr">
        <is>
          <t>Delivered</t>
        </is>
      </c>
      <c r="J1883" t="n">
        <v>134</v>
      </c>
      <c r="K1883" t="n">
        <v>1</v>
      </c>
      <c r="L1883" t="n">
        <v>209</v>
      </c>
      <c r="M1883" t="n">
        <v>0</v>
      </c>
      <c r="N1883">
        <f>VLOOKUP(J1883,Products!$A$2:$C$49,3,FALSE)</f>
        <v/>
      </c>
      <c r="O1883">
        <f>K1883*L1883-M1883</f>
        <v/>
      </c>
      <c r="P1883">
        <f>TEXT(B1883,"yyyy-mm")</f>
        <v/>
      </c>
      <c r="Q1883">
        <f>IF(O1883&gt;=3000,"Large","Small")</f>
        <v/>
      </c>
      <c r="R1883">
        <f>INDEX(Products!$F$2:$F$49,MATCH(J1883,Products!$A$2:$A$49,0))</f>
        <v/>
      </c>
      <c r="S1883">
        <f>WEEKDAY(B1883,2)</f>
        <v/>
      </c>
    </row>
    <row r="1884">
      <c r="A1884" t="n">
        <v>510275</v>
      </c>
      <c r="B1884" s="6" t="n">
        <v>45953</v>
      </c>
      <c r="C1884" t="n">
        <v>11331</v>
      </c>
      <c r="D1884" t="inlineStr">
        <is>
          <t>Bengaluru</t>
        </is>
      </c>
      <c r="E1884" t="inlineStr">
        <is>
          <t>South</t>
        </is>
      </c>
      <c r="F1884" t="inlineStr">
        <is>
          <t>Paid Search</t>
        </is>
      </c>
      <c r="G1884" t="inlineStr">
        <is>
          <t>Mobile Web</t>
        </is>
      </c>
      <c r="H1884" t="inlineStr">
        <is>
          <t>UPI</t>
        </is>
      </c>
      <c r="I1884" t="inlineStr">
        <is>
          <t>Delivered</t>
        </is>
      </c>
      <c r="J1884" t="n">
        <v>107</v>
      </c>
      <c r="K1884" t="n">
        <v>2</v>
      </c>
      <c r="L1884" t="n">
        <v>1259</v>
      </c>
      <c r="M1884" t="n">
        <v>0</v>
      </c>
      <c r="N1884">
        <f>VLOOKUP(J1884,Products!$A$2:$C$49,3,FALSE)</f>
        <v/>
      </c>
      <c r="O1884">
        <f>K1884*L1884-M1884</f>
        <v/>
      </c>
      <c r="P1884">
        <f>TEXT(B1884,"yyyy-mm")</f>
        <v/>
      </c>
      <c r="Q1884">
        <f>IF(O1884&gt;=3000,"Large","Small")</f>
        <v/>
      </c>
      <c r="R1884">
        <f>INDEX(Products!$F$2:$F$49,MATCH(J1884,Products!$A$2:$A$49,0))</f>
        <v/>
      </c>
      <c r="S1884">
        <f>WEEKDAY(B1884,2)</f>
        <v/>
      </c>
    </row>
    <row r="1885">
      <c r="A1885" t="n">
        <v>510275</v>
      </c>
      <c r="B1885" s="6" t="n">
        <v>45953</v>
      </c>
      <c r="C1885" t="n">
        <v>11331</v>
      </c>
      <c r="D1885" t="inlineStr">
        <is>
          <t>Bengaluru</t>
        </is>
      </c>
      <c r="E1885" t="inlineStr">
        <is>
          <t>South</t>
        </is>
      </c>
      <c r="F1885" t="inlineStr">
        <is>
          <t>Paid Search</t>
        </is>
      </c>
      <c r="G1885" t="inlineStr">
        <is>
          <t>Mobile Web</t>
        </is>
      </c>
      <c r="H1885" t="inlineStr">
        <is>
          <t>UPI</t>
        </is>
      </c>
      <c r="I1885" t="inlineStr">
        <is>
          <t>Delivered</t>
        </is>
      </c>
      <c r="J1885" t="n">
        <v>102</v>
      </c>
      <c r="K1885" t="n">
        <v>1</v>
      </c>
      <c r="L1885" t="n">
        <v>3674</v>
      </c>
      <c r="M1885" t="n">
        <v>0</v>
      </c>
      <c r="N1885">
        <f>VLOOKUP(J1885,Products!$A$2:$C$49,3,FALSE)</f>
        <v/>
      </c>
      <c r="O1885">
        <f>K1885*L1885-M1885</f>
        <v/>
      </c>
      <c r="P1885">
        <f>TEXT(B1885,"yyyy-mm")</f>
        <v/>
      </c>
      <c r="Q1885">
        <f>IF(O1885&gt;=3000,"Large","Small")</f>
        <v/>
      </c>
      <c r="R1885">
        <f>INDEX(Products!$F$2:$F$49,MATCH(J1885,Products!$A$2:$A$49,0))</f>
        <v/>
      </c>
      <c r="S1885">
        <f>WEEKDAY(B1885,2)</f>
        <v/>
      </c>
    </row>
    <row r="1886">
      <c r="A1886" t="n">
        <v>510276</v>
      </c>
      <c r="B1886" s="6" t="n">
        <v>45953</v>
      </c>
      <c r="C1886" t="n">
        <v>16961</v>
      </c>
      <c r="D1886" t="inlineStr">
        <is>
          <t>Bengaluru</t>
        </is>
      </c>
      <c r="E1886" t="inlineStr">
        <is>
          <t>South</t>
        </is>
      </c>
      <c r="F1886" t="inlineStr">
        <is>
          <t>Affiliate</t>
        </is>
      </c>
      <c r="G1886" t="inlineStr">
        <is>
          <t>Mobile App</t>
        </is>
      </c>
      <c r="H1886" t="inlineStr">
        <is>
          <t>UPI</t>
        </is>
      </c>
      <c r="I1886" t="inlineStr">
        <is>
          <t>Delivered</t>
        </is>
      </c>
      <c r="J1886" t="n">
        <v>111</v>
      </c>
      <c r="K1886" t="n">
        <v>1</v>
      </c>
      <c r="L1886" t="n">
        <v>524</v>
      </c>
      <c r="M1886" t="n">
        <v>52.4</v>
      </c>
      <c r="N1886">
        <f>VLOOKUP(J1886,Products!$A$2:$C$49,3,FALSE)</f>
        <v/>
      </c>
      <c r="O1886">
        <f>K1886*L1886-M1886</f>
        <v/>
      </c>
      <c r="P1886">
        <f>TEXT(B1886,"yyyy-mm")</f>
        <v/>
      </c>
      <c r="Q1886">
        <f>IF(O1886&gt;=3000,"Large","Small")</f>
        <v/>
      </c>
      <c r="R1886">
        <f>INDEX(Products!$F$2:$F$49,MATCH(J1886,Products!$A$2:$A$49,0))</f>
        <v/>
      </c>
      <c r="S1886">
        <f>WEEKDAY(B1886,2)</f>
        <v/>
      </c>
    </row>
    <row r="1887">
      <c r="A1887" t="n">
        <v>510276</v>
      </c>
      <c r="B1887" s="6" t="n">
        <v>45953</v>
      </c>
      <c r="C1887" t="n">
        <v>16961</v>
      </c>
      <c r="D1887" t="inlineStr">
        <is>
          <t>Bengaluru</t>
        </is>
      </c>
      <c r="E1887" t="inlineStr">
        <is>
          <t>South</t>
        </is>
      </c>
      <c r="F1887" t="inlineStr">
        <is>
          <t>Affiliate</t>
        </is>
      </c>
      <c r="G1887" t="inlineStr">
        <is>
          <t>Mobile App</t>
        </is>
      </c>
      <c r="H1887" t="inlineStr">
        <is>
          <t>UPI</t>
        </is>
      </c>
      <c r="I1887" t="inlineStr">
        <is>
          <t>Delivered</t>
        </is>
      </c>
      <c r="J1887" t="n">
        <v>118</v>
      </c>
      <c r="K1887" t="n">
        <v>1</v>
      </c>
      <c r="L1887" t="n">
        <v>944</v>
      </c>
      <c r="M1887" t="n">
        <v>94.40000000000001</v>
      </c>
      <c r="N1887">
        <f>VLOOKUP(J1887,Products!$A$2:$C$49,3,FALSE)</f>
        <v/>
      </c>
      <c r="O1887">
        <f>K1887*L1887-M1887</f>
        <v/>
      </c>
      <c r="P1887">
        <f>TEXT(B1887,"yyyy-mm")</f>
        <v/>
      </c>
      <c r="Q1887">
        <f>IF(O1887&gt;=3000,"Large","Small")</f>
        <v/>
      </c>
      <c r="R1887">
        <f>INDEX(Products!$F$2:$F$49,MATCH(J1887,Products!$A$2:$A$49,0))</f>
        <v/>
      </c>
      <c r="S1887">
        <f>WEEKDAY(B1887,2)</f>
        <v/>
      </c>
    </row>
    <row r="1888">
      <c r="A1888" t="n">
        <v>510277</v>
      </c>
      <c r="B1888" s="6" t="n">
        <v>45953</v>
      </c>
      <c r="C1888" t="n">
        <v>16429</v>
      </c>
      <c r="D1888" t="inlineStr">
        <is>
          <t>Bengaluru</t>
        </is>
      </c>
      <c r="E1888" t="inlineStr">
        <is>
          <t>South</t>
        </is>
      </c>
      <c r="F1888" t="inlineStr">
        <is>
          <t>Organic Search</t>
        </is>
      </c>
      <c r="G1888" t="inlineStr">
        <is>
          <t>Mobile App</t>
        </is>
      </c>
      <c r="H1888" t="inlineStr">
        <is>
          <t>Credit Card</t>
        </is>
      </c>
      <c r="I1888" t="inlineStr">
        <is>
          <t>Delivered</t>
        </is>
      </c>
      <c r="J1888" t="n">
        <v>147</v>
      </c>
      <c r="K1888" t="n">
        <v>2</v>
      </c>
      <c r="L1888" t="n">
        <v>1364</v>
      </c>
      <c r="M1888" t="n">
        <v>272.8</v>
      </c>
      <c r="N1888">
        <f>VLOOKUP(J1888,Products!$A$2:$C$49,3,FALSE)</f>
        <v/>
      </c>
      <c r="O1888">
        <f>K1888*L1888-M1888</f>
        <v/>
      </c>
      <c r="P1888">
        <f>TEXT(B1888,"yyyy-mm")</f>
        <v/>
      </c>
      <c r="Q1888">
        <f>IF(O1888&gt;=3000,"Large","Small")</f>
        <v/>
      </c>
      <c r="R1888">
        <f>INDEX(Products!$F$2:$F$49,MATCH(J1888,Products!$A$2:$A$49,0))</f>
        <v/>
      </c>
      <c r="S1888">
        <f>WEEKDAY(B1888,2)</f>
        <v/>
      </c>
    </row>
    <row r="1889">
      <c r="A1889" t="n">
        <v>510277</v>
      </c>
      <c r="B1889" s="6" t="n">
        <v>45953</v>
      </c>
      <c r="C1889" t="n">
        <v>16429</v>
      </c>
      <c r="D1889" t="inlineStr">
        <is>
          <t>Bengaluru</t>
        </is>
      </c>
      <c r="E1889" t="inlineStr">
        <is>
          <t>South</t>
        </is>
      </c>
      <c r="F1889" t="inlineStr">
        <is>
          <t>Organic Search</t>
        </is>
      </c>
      <c r="G1889" t="inlineStr">
        <is>
          <t>Mobile App</t>
        </is>
      </c>
      <c r="H1889" t="inlineStr">
        <is>
          <t>Credit Card</t>
        </is>
      </c>
      <c r="I1889" t="inlineStr">
        <is>
          <t>Delivered</t>
        </is>
      </c>
      <c r="J1889" t="n">
        <v>129</v>
      </c>
      <c r="K1889" t="n">
        <v>2</v>
      </c>
      <c r="L1889" t="n">
        <v>576</v>
      </c>
      <c r="M1889" t="n">
        <v>115.2</v>
      </c>
      <c r="N1889">
        <f>VLOOKUP(J1889,Products!$A$2:$C$49,3,FALSE)</f>
        <v/>
      </c>
      <c r="O1889">
        <f>K1889*L1889-M1889</f>
        <v/>
      </c>
      <c r="P1889">
        <f>TEXT(B1889,"yyyy-mm")</f>
        <v/>
      </c>
      <c r="Q1889">
        <f>IF(O1889&gt;=3000,"Large","Small")</f>
        <v/>
      </c>
      <c r="R1889">
        <f>INDEX(Products!$F$2:$F$49,MATCH(J1889,Products!$A$2:$A$49,0))</f>
        <v/>
      </c>
      <c r="S1889">
        <f>WEEKDAY(B1889,2)</f>
        <v/>
      </c>
    </row>
    <row r="1890">
      <c r="A1890" t="n">
        <v>510278</v>
      </c>
      <c r="B1890" s="6" t="n">
        <v>45953</v>
      </c>
      <c r="C1890" t="n">
        <v>16705</v>
      </c>
      <c r="D1890" t="inlineStr">
        <is>
          <t>Indore</t>
        </is>
      </c>
      <c r="E1890" t="inlineStr">
        <is>
          <t>West</t>
        </is>
      </c>
      <c r="F1890" t="inlineStr">
        <is>
          <t>Organic Search</t>
        </is>
      </c>
      <c r="G1890" t="inlineStr">
        <is>
          <t>Desktop</t>
        </is>
      </c>
      <c r="H1890" t="inlineStr">
        <is>
          <t>UPI</t>
        </is>
      </c>
      <c r="I1890" t="inlineStr">
        <is>
          <t>Delivered</t>
        </is>
      </c>
      <c r="J1890" t="n">
        <v>146</v>
      </c>
      <c r="K1890" t="n">
        <v>1</v>
      </c>
      <c r="L1890" t="n">
        <v>4724</v>
      </c>
      <c r="M1890" t="n">
        <v>472.4</v>
      </c>
      <c r="N1890">
        <f>VLOOKUP(J1890,Products!$A$2:$C$49,3,FALSE)</f>
        <v/>
      </c>
      <c r="O1890">
        <f>K1890*L1890-M1890</f>
        <v/>
      </c>
      <c r="P1890">
        <f>TEXT(B1890,"yyyy-mm")</f>
        <v/>
      </c>
      <c r="Q1890">
        <f>IF(O1890&gt;=3000,"Large","Small")</f>
        <v/>
      </c>
      <c r="R1890">
        <f>INDEX(Products!$F$2:$F$49,MATCH(J1890,Products!$A$2:$A$49,0))</f>
        <v/>
      </c>
      <c r="S1890">
        <f>WEEKDAY(B1890,2)</f>
        <v/>
      </c>
    </row>
    <row r="1891">
      <c r="A1891" t="n">
        <v>510279</v>
      </c>
      <c r="B1891" s="6" t="n">
        <v>45953</v>
      </c>
      <c r="C1891" t="n">
        <v>10235</v>
      </c>
      <c r="D1891" t="inlineStr">
        <is>
          <t>Kolkata</t>
        </is>
      </c>
      <c r="E1891" t="inlineStr">
        <is>
          <t>East</t>
        </is>
      </c>
      <c r="F1891" t="inlineStr">
        <is>
          <t>Email</t>
        </is>
      </c>
      <c r="G1891" t="inlineStr">
        <is>
          <t>Mobile App</t>
        </is>
      </c>
      <c r="H1891" t="inlineStr">
        <is>
          <t>UPI</t>
        </is>
      </c>
      <c r="I1891" t="inlineStr">
        <is>
          <t>Delivered</t>
        </is>
      </c>
      <c r="J1891" t="n">
        <v>137</v>
      </c>
      <c r="K1891" t="n">
        <v>1</v>
      </c>
      <c r="L1891" t="n">
        <v>261</v>
      </c>
      <c r="M1891" t="n">
        <v>26.1</v>
      </c>
      <c r="N1891">
        <f>VLOOKUP(J1891,Products!$A$2:$C$49,3,FALSE)</f>
        <v/>
      </c>
      <c r="O1891">
        <f>K1891*L1891-M1891</f>
        <v/>
      </c>
      <c r="P1891">
        <f>TEXT(B1891,"yyyy-mm")</f>
        <v/>
      </c>
      <c r="Q1891">
        <f>IF(O1891&gt;=3000,"Large","Small")</f>
        <v/>
      </c>
      <c r="R1891">
        <f>INDEX(Products!$F$2:$F$49,MATCH(J1891,Products!$A$2:$A$49,0))</f>
        <v/>
      </c>
      <c r="S1891">
        <f>WEEKDAY(B1891,2)</f>
        <v/>
      </c>
    </row>
    <row r="1892">
      <c r="A1892" t="n">
        <v>510279</v>
      </c>
      <c r="B1892" s="6" t="n">
        <v>45953</v>
      </c>
      <c r="C1892" t="n">
        <v>10235</v>
      </c>
      <c r="D1892" t="inlineStr">
        <is>
          <t>Kolkata</t>
        </is>
      </c>
      <c r="E1892" t="inlineStr">
        <is>
          <t>East</t>
        </is>
      </c>
      <c r="F1892" t="inlineStr">
        <is>
          <t>Email</t>
        </is>
      </c>
      <c r="G1892" t="inlineStr">
        <is>
          <t>Mobile App</t>
        </is>
      </c>
      <c r="H1892" t="inlineStr">
        <is>
          <t>UPI</t>
        </is>
      </c>
      <c r="I1892" t="inlineStr">
        <is>
          <t>Delivered</t>
        </is>
      </c>
      <c r="J1892" t="n">
        <v>129</v>
      </c>
      <c r="K1892" t="n">
        <v>1</v>
      </c>
      <c r="L1892" t="n">
        <v>576</v>
      </c>
      <c r="M1892" t="n">
        <v>57.6</v>
      </c>
      <c r="N1892">
        <f>VLOOKUP(J1892,Products!$A$2:$C$49,3,FALSE)</f>
        <v/>
      </c>
      <c r="O1892">
        <f>K1892*L1892-M1892</f>
        <v/>
      </c>
      <c r="P1892">
        <f>TEXT(B1892,"yyyy-mm")</f>
        <v/>
      </c>
      <c r="Q1892">
        <f>IF(O1892&gt;=3000,"Large","Small")</f>
        <v/>
      </c>
      <c r="R1892">
        <f>INDEX(Products!$F$2:$F$49,MATCH(J1892,Products!$A$2:$A$49,0))</f>
        <v/>
      </c>
      <c r="S1892">
        <f>WEEKDAY(B1892,2)</f>
        <v/>
      </c>
    </row>
    <row r="1893">
      <c r="A1893" t="n">
        <v>510280</v>
      </c>
      <c r="B1893" s="6" t="n">
        <v>45953</v>
      </c>
      <c r="C1893" t="n">
        <v>14225</v>
      </c>
      <c r="D1893" t="inlineStr">
        <is>
          <t>Pune</t>
        </is>
      </c>
      <c r="E1893" t="inlineStr">
        <is>
          <t>West</t>
        </is>
      </c>
      <c r="F1893" t="inlineStr">
        <is>
          <t>Paid Search</t>
        </is>
      </c>
      <c r="G1893" t="inlineStr">
        <is>
          <t>Mobile Web</t>
        </is>
      </c>
      <c r="H1893" t="inlineStr">
        <is>
          <t>Debit Card</t>
        </is>
      </c>
      <c r="I1893" t="inlineStr">
        <is>
          <t>Delivered</t>
        </is>
      </c>
      <c r="J1893" t="n">
        <v>103</v>
      </c>
      <c r="K1893" t="n">
        <v>1</v>
      </c>
      <c r="L1893" t="n">
        <v>2624</v>
      </c>
      <c r="M1893" t="n">
        <v>262.4</v>
      </c>
      <c r="N1893">
        <f>VLOOKUP(J1893,Products!$A$2:$C$49,3,FALSE)</f>
        <v/>
      </c>
      <c r="O1893">
        <f>K1893*L1893-M1893</f>
        <v/>
      </c>
      <c r="P1893">
        <f>TEXT(B1893,"yyyy-mm")</f>
        <v/>
      </c>
      <c r="Q1893">
        <f>IF(O1893&gt;=3000,"Large","Small")</f>
        <v/>
      </c>
      <c r="R1893">
        <f>INDEX(Products!$F$2:$F$49,MATCH(J1893,Products!$A$2:$A$49,0))</f>
        <v/>
      </c>
      <c r="S1893">
        <f>WEEKDAY(B1893,2)</f>
        <v/>
      </c>
    </row>
    <row r="1894">
      <c r="A1894" t="n">
        <v>510281</v>
      </c>
      <c r="B1894" s="6" t="n">
        <v>45953</v>
      </c>
      <c r="C1894" t="n">
        <v>15997</v>
      </c>
      <c r="D1894" t="inlineStr">
        <is>
          <t>Bengaluru</t>
        </is>
      </c>
      <c r="E1894" t="inlineStr">
        <is>
          <t>South</t>
        </is>
      </c>
      <c r="F1894" t="inlineStr">
        <is>
          <t>Organic Search</t>
        </is>
      </c>
      <c r="G1894" t="inlineStr">
        <is>
          <t>Mobile Web</t>
        </is>
      </c>
      <c r="H1894" t="inlineStr">
        <is>
          <t>UPI</t>
        </is>
      </c>
      <c r="I1894" t="inlineStr">
        <is>
          <t>Delivered</t>
        </is>
      </c>
      <c r="J1894" t="n">
        <v>111</v>
      </c>
      <c r="K1894" t="n">
        <v>2</v>
      </c>
      <c r="L1894" t="n">
        <v>524</v>
      </c>
      <c r="M1894" t="n">
        <v>104.8</v>
      </c>
      <c r="N1894">
        <f>VLOOKUP(J1894,Products!$A$2:$C$49,3,FALSE)</f>
        <v/>
      </c>
      <c r="O1894">
        <f>K1894*L1894-M1894</f>
        <v/>
      </c>
      <c r="P1894">
        <f>TEXT(B1894,"yyyy-mm")</f>
        <v/>
      </c>
      <c r="Q1894">
        <f>IF(O1894&gt;=3000,"Large","Small")</f>
        <v/>
      </c>
      <c r="R1894">
        <f>INDEX(Products!$F$2:$F$49,MATCH(J1894,Products!$A$2:$A$49,0))</f>
        <v/>
      </c>
      <c r="S1894">
        <f>WEEKDAY(B1894,2)</f>
        <v/>
      </c>
    </row>
    <row r="1895">
      <c r="A1895" t="n">
        <v>510281</v>
      </c>
      <c r="B1895" s="6" t="n">
        <v>45953</v>
      </c>
      <c r="C1895" t="n">
        <v>15997</v>
      </c>
      <c r="D1895" t="inlineStr">
        <is>
          <t>Bengaluru</t>
        </is>
      </c>
      <c r="E1895" t="inlineStr">
        <is>
          <t>South</t>
        </is>
      </c>
      <c r="F1895" t="inlineStr">
        <is>
          <t>Organic Search</t>
        </is>
      </c>
      <c r="G1895" t="inlineStr">
        <is>
          <t>Mobile Web</t>
        </is>
      </c>
      <c r="H1895" t="inlineStr">
        <is>
          <t>UPI</t>
        </is>
      </c>
      <c r="I1895" t="inlineStr">
        <is>
          <t>Delivered</t>
        </is>
      </c>
      <c r="J1895" t="n">
        <v>144</v>
      </c>
      <c r="K1895" t="n">
        <v>1</v>
      </c>
      <c r="L1895" t="n">
        <v>3149</v>
      </c>
      <c r="M1895" t="n">
        <v>314.9</v>
      </c>
      <c r="N1895">
        <f>VLOOKUP(J1895,Products!$A$2:$C$49,3,FALSE)</f>
        <v/>
      </c>
      <c r="O1895">
        <f>K1895*L1895-M1895</f>
        <v/>
      </c>
      <c r="P1895">
        <f>TEXT(B1895,"yyyy-mm")</f>
        <v/>
      </c>
      <c r="Q1895">
        <f>IF(O1895&gt;=3000,"Large","Small")</f>
        <v/>
      </c>
      <c r="R1895">
        <f>INDEX(Products!$F$2:$F$49,MATCH(J1895,Products!$A$2:$A$49,0))</f>
        <v/>
      </c>
      <c r="S1895">
        <f>WEEKDAY(B1895,2)</f>
        <v/>
      </c>
    </row>
    <row r="1896">
      <c r="A1896" t="n">
        <v>510282</v>
      </c>
      <c r="B1896" s="6" t="n">
        <v>45953</v>
      </c>
      <c r="C1896" t="n">
        <v>16711</v>
      </c>
      <c r="D1896" t="inlineStr">
        <is>
          <t>Chennai</t>
        </is>
      </c>
      <c r="E1896" t="inlineStr">
        <is>
          <t>South</t>
        </is>
      </c>
      <c r="F1896" t="inlineStr">
        <is>
          <t>Paid Social</t>
        </is>
      </c>
      <c r="G1896" t="inlineStr">
        <is>
          <t>Desktop</t>
        </is>
      </c>
      <c r="H1896" t="inlineStr">
        <is>
          <t>Cash on Delivery</t>
        </is>
      </c>
      <c r="I1896" t="inlineStr">
        <is>
          <t>Delivered</t>
        </is>
      </c>
      <c r="J1896" t="n">
        <v>110</v>
      </c>
      <c r="K1896" t="n">
        <v>1</v>
      </c>
      <c r="L1896" t="n">
        <v>839</v>
      </c>
      <c r="M1896" t="n">
        <v>83.90000000000001</v>
      </c>
      <c r="N1896">
        <f>VLOOKUP(J1896,Products!$A$2:$C$49,3,FALSE)</f>
        <v/>
      </c>
      <c r="O1896">
        <f>K1896*L1896-M1896</f>
        <v/>
      </c>
      <c r="P1896">
        <f>TEXT(B1896,"yyyy-mm")</f>
        <v/>
      </c>
      <c r="Q1896">
        <f>IF(O1896&gt;=3000,"Large","Small")</f>
        <v/>
      </c>
      <c r="R1896">
        <f>INDEX(Products!$F$2:$F$49,MATCH(J1896,Products!$A$2:$A$49,0))</f>
        <v/>
      </c>
      <c r="S1896">
        <f>WEEKDAY(B1896,2)</f>
        <v/>
      </c>
    </row>
    <row r="1897">
      <c r="A1897" t="n">
        <v>510283</v>
      </c>
      <c r="B1897" s="6" t="n">
        <v>45953</v>
      </c>
      <c r="C1897" t="n">
        <v>12357</v>
      </c>
      <c r="D1897" t="inlineStr">
        <is>
          <t>Hyderabad</t>
        </is>
      </c>
      <c r="E1897" t="inlineStr">
        <is>
          <t>South</t>
        </is>
      </c>
      <c r="F1897" t="inlineStr">
        <is>
          <t>Referral</t>
        </is>
      </c>
      <c r="G1897" t="inlineStr">
        <is>
          <t>Desktop</t>
        </is>
      </c>
      <c r="H1897" t="inlineStr">
        <is>
          <t>Net Banking</t>
        </is>
      </c>
      <c r="I1897" t="inlineStr">
        <is>
          <t>Returned</t>
        </is>
      </c>
      <c r="J1897" t="n">
        <v>114</v>
      </c>
      <c r="K1897" t="n">
        <v>1</v>
      </c>
      <c r="L1897" t="n">
        <v>1259</v>
      </c>
      <c r="M1897" t="n">
        <v>125.9</v>
      </c>
      <c r="N1897">
        <f>VLOOKUP(J1897,Products!$A$2:$C$49,3,FALSE)</f>
        <v/>
      </c>
      <c r="O1897">
        <f>K1897*L1897-M1897</f>
        <v/>
      </c>
      <c r="P1897">
        <f>TEXT(B1897,"yyyy-mm")</f>
        <v/>
      </c>
      <c r="Q1897">
        <f>IF(O1897&gt;=3000,"Large","Small")</f>
        <v/>
      </c>
      <c r="R1897">
        <f>INDEX(Products!$F$2:$F$49,MATCH(J1897,Products!$A$2:$A$49,0))</f>
        <v/>
      </c>
      <c r="S1897">
        <f>WEEKDAY(B1897,2)</f>
        <v/>
      </c>
    </row>
    <row r="1898">
      <c r="A1898" t="n">
        <v>510283</v>
      </c>
      <c r="B1898" s="6" t="n">
        <v>45953</v>
      </c>
      <c r="C1898" t="n">
        <v>12357</v>
      </c>
      <c r="D1898" t="inlineStr">
        <is>
          <t>Hyderabad</t>
        </is>
      </c>
      <c r="E1898" t="inlineStr">
        <is>
          <t>South</t>
        </is>
      </c>
      <c r="F1898" t="inlineStr">
        <is>
          <t>Referral</t>
        </is>
      </c>
      <c r="G1898" t="inlineStr">
        <is>
          <t>Desktop</t>
        </is>
      </c>
      <c r="H1898" t="inlineStr">
        <is>
          <t>Net Banking</t>
        </is>
      </c>
      <c r="I1898" t="inlineStr">
        <is>
          <t>Returned</t>
        </is>
      </c>
      <c r="J1898" t="n">
        <v>116</v>
      </c>
      <c r="K1898" t="n">
        <v>1</v>
      </c>
      <c r="L1898" t="n">
        <v>2624</v>
      </c>
      <c r="M1898" t="n">
        <v>262.4</v>
      </c>
      <c r="N1898">
        <f>VLOOKUP(J1898,Products!$A$2:$C$49,3,FALSE)</f>
        <v/>
      </c>
      <c r="O1898">
        <f>K1898*L1898-M1898</f>
        <v/>
      </c>
      <c r="P1898">
        <f>TEXT(B1898,"yyyy-mm")</f>
        <v/>
      </c>
      <c r="Q1898">
        <f>IF(O1898&gt;=3000,"Large","Small")</f>
        <v/>
      </c>
      <c r="R1898">
        <f>INDEX(Products!$F$2:$F$49,MATCH(J1898,Products!$A$2:$A$49,0))</f>
        <v/>
      </c>
      <c r="S1898">
        <f>WEEKDAY(B1898,2)</f>
        <v/>
      </c>
    </row>
    <row r="1899">
      <c r="A1899" t="n">
        <v>510283</v>
      </c>
      <c r="B1899" s="6" t="n">
        <v>45953</v>
      </c>
      <c r="C1899" t="n">
        <v>12357</v>
      </c>
      <c r="D1899" t="inlineStr">
        <is>
          <t>Hyderabad</t>
        </is>
      </c>
      <c r="E1899" t="inlineStr">
        <is>
          <t>South</t>
        </is>
      </c>
      <c r="F1899" t="inlineStr">
        <is>
          <t>Referral</t>
        </is>
      </c>
      <c r="G1899" t="inlineStr">
        <is>
          <t>Desktop</t>
        </is>
      </c>
      <c r="H1899" t="inlineStr">
        <is>
          <t>Net Banking</t>
        </is>
      </c>
      <c r="I1899" t="inlineStr">
        <is>
          <t>Returned</t>
        </is>
      </c>
      <c r="J1899" t="n">
        <v>129</v>
      </c>
      <c r="K1899" t="n">
        <v>1</v>
      </c>
      <c r="L1899" t="n">
        <v>576</v>
      </c>
      <c r="M1899" t="n">
        <v>57.6</v>
      </c>
      <c r="N1899">
        <f>VLOOKUP(J1899,Products!$A$2:$C$49,3,FALSE)</f>
        <v/>
      </c>
      <c r="O1899">
        <f>K1899*L1899-M1899</f>
        <v/>
      </c>
      <c r="P1899">
        <f>TEXT(B1899,"yyyy-mm")</f>
        <v/>
      </c>
      <c r="Q1899">
        <f>IF(O1899&gt;=3000,"Large","Small")</f>
        <v/>
      </c>
      <c r="R1899">
        <f>INDEX(Products!$F$2:$F$49,MATCH(J1899,Products!$A$2:$A$49,0))</f>
        <v/>
      </c>
      <c r="S1899">
        <f>WEEKDAY(B1899,2)</f>
        <v/>
      </c>
    </row>
    <row r="1900">
      <c r="A1900" t="n">
        <v>510284</v>
      </c>
      <c r="B1900" s="6" t="n">
        <v>45953</v>
      </c>
      <c r="C1900" t="n">
        <v>13002</v>
      </c>
      <c r="D1900" t="inlineStr">
        <is>
          <t>Mumbai</t>
        </is>
      </c>
      <c r="E1900" t="inlineStr">
        <is>
          <t>West</t>
        </is>
      </c>
      <c r="F1900" t="inlineStr">
        <is>
          <t>Organic Search</t>
        </is>
      </c>
      <c r="G1900" t="inlineStr">
        <is>
          <t>Mobile App</t>
        </is>
      </c>
      <c r="H1900" t="inlineStr">
        <is>
          <t>Cash on Delivery</t>
        </is>
      </c>
      <c r="I1900" t="inlineStr">
        <is>
          <t>Cancelled</t>
        </is>
      </c>
      <c r="J1900" t="n">
        <v>117</v>
      </c>
      <c r="K1900" t="n">
        <v>1</v>
      </c>
      <c r="L1900" t="n">
        <v>3149</v>
      </c>
      <c r="M1900" t="n">
        <v>314.9</v>
      </c>
      <c r="N1900">
        <f>VLOOKUP(J1900,Products!$A$2:$C$49,3,FALSE)</f>
        <v/>
      </c>
      <c r="O1900">
        <f>K1900*L1900-M1900</f>
        <v/>
      </c>
      <c r="P1900">
        <f>TEXT(B1900,"yyyy-mm")</f>
        <v/>
      </c>
      <c r="Q1900">
        <f>IF(O1900&gt;=3000,"Large","Small")</f>
        <v/>
      </c>
      <c r="R1900">
        <f>INDEX(Products!$F$2:$F$49,MATCH(J1900,Products!$A$2:$A$49,0))</f>
        <v/>
      </c>
      <c r="S1900">
        <f>WEEKDAY(B1900,2)</f>
        <v/>
      </c>
    </row>
    <row r="1901">
      <c r="A1901" t="n">
        <v>510285</v>
      </c>
      <c r="B1901" s="6" t="n">
        <v>45953</v>
      </c>
      <c r="C1901" t="n">
        <v>16937</v>
      </c>
      <c r="D1901" t="inlineStr">
        <is>
          <t>Bengaluru</t>
        </is>
      </c>
      <c r="E1901" t="inlineStr">
        <is>
          <t>South</t>
        </is>
      </c>
      <c r="F1901" t="inlineStr">
        <is>
          <t>Paid Search</t>
        </is>
      </c>
      <c r="G1901" t="inlineStr">
        <is>
          <t>Mobile App</t>
        </is>
      </c>
      <c r="H1901" t="inlineStr">
        <is>
          <t>Debit Card</t>
        </is>
      </c>
      <c r="I1901" t="inlineStr">
        <is>
          <t>Delivered</t>
        </is>
      </c>
      <c r="J1901" t="n">
        <v>118</v>
      </c>
      <c r="K1901" t="n">
        <v>1</v>
      </c>
      <c r="L1901" t="n">
        <v>944</v>
      </c>
      <c r="M1901" t="n">
        <v>94.40000000000001</v>
      </c>
      <c r="N1901">
        <f>VLOOKUP(J1901,Products!$A$2:$C$49,3,FALSE)</f>
        <v/>
      </c>
      <c r="O1901">
        <f>K1901*L1901-M1901</f>
        <v/>
      </c>
      <c r="P1901">
        <f>TEXT(B1901,"yyyy-mm")</f>
        <v/>
      </c>
      <c r="Q1901">
        <f>IF(O1901&gt;=3000,"Large","Small")</f>
        <v/>
      </c>
      <c r="R1901">
        <f>INDEX(Products!$F$2:$F$49,MATCH(J1901,Products!$A$2:$A$49,0))</f>
        <v/>
      </c>
      <c r="S1901">
        <f>WEEKDAY(B1901,2)</f>
        <v/>
      </c>
    </row>
    <row r="1902">
      <c r="A1902" t="n">
        <v>510285</v>
      </c>
      <c r="B1902" s="6" t="n">
        <v>45953</v>
      </c>
      <c r="C1902" t="n">
        <v>16937</v>
      </c>
      <c r="D1902" t="inlineStr">
        <is>
          <t>Bengaluru</t>
        </is>
      </c>
      <c r="E1902" t="inlineStr">
        <is>
          <t>South</t>
        </is>
      </c>
      <c r="F1902" t="inlineStr">
        <is>
          <t>Paid Search</t>
        </is>
      </c>
      <c r="G1902" t="inlineStr">
        <is>
          <t>Mobile App</t>
        </is>
      </c>
      <c r="H1902" t="inlineStr">
        <is>
          <t>Debit Card</t>
        </is>
      </c>
      <c r="I1902" t="inlineStr">
        <is>
          <t>Delivered</t>
        </is>
      </c>
      <c r="J1902" t="n">
        <v>129</v>
      </c>
      <c r="K1902" t="n">
        <v>1</v>
      </c>
      <c r="L1902" t="n">
        <v>576</v>
      </c>
      <c r="M1902" t="n">
        <v>57.6</v>
      </c>
      <c r="N1902">
        <f>VLOOKUP(J1902,Products!$A$2:$C$49,3,FALSE)</f>
        <v/>
      </c>
      <c r="O1902">
        <f>K1902*L1902-M1902</f>
        <v/>
      </c>
      <c r="P1902">
        <f>TEXT(B1902,"yyyy-mm")</f>
        <v/>
      </c>
      <c r="Q1902">
        <f>IF(O1902&gt;=3000,"Large","Small")</f>
        <v/>
      </c>
      <c r="R1902">
        <f>INDEX(Products!$F$2:$F$49,MATCH(J1902,Products!$A$2:$A$49,0))</f>
        <v/>
      </c>
      <c r="S1902">
        <f>WEEKDAY(B1902,2)</f>
        <v/>
      </c>
    </row>
    <row r="1903">
      <c r="A1903" t="n">
        <v>510286</v>
      </c>
      <c r="B1903" s="6" t="n">
        <v>45953</v>
      </c>
      <c r="C1903" t="n">
        <v>16940</v>
      </c>
      <c r="D1903" t="inlineStr">
        <is>
          <t>Jaipur</t>
        </is>
      </c>
      <c r="E1903" t="inlineStr">
        <is>
          <t>North</t>
        </is>
      </c>
      <c r="F1903" t="inlineStr">
        <is>
          <t>Paid Social</t>
        </is>
      </c>
      <c r="G1903" t="inlineStr">
        <is>
          <t>Mobile Web</t>
        </is>
      </c>
      <c r="H1903" t="inlineStr">
        <is>
          <t>Cash on Delivery</t>
        </is>
      </c>
      <c r="I1903" t="inlineStr">
        <is>
          <t>Delivered</t>
        </is>
      </c>
      <c r="J1903" t="n">
        <v>102</v>
      </c>
      <c r="K1903" t="n">
        <v>1</v>
      </c>
      <c r="L1903" t="n">
        <v>3674</v>
      </c>
      <c r="M1903" t="n">
        <v>551.1</v>
      </c>
      <c r="N1903">
        <f>VLOOKUP(J1903,Products!$A$2:$C$49,3,FALSE)</f>
        <v/>
      </c>
      <c r="O1903">
        <f>K1903*L1903-M1903</f>
        <v/>
      </c>
      <c r="P1903">
        <f>TEXT(B1903,"yyyy-mm")</f>
        <v/>
      </c>
      <c r="Q1903">
        <f>IF(O1903&gt;=3000,"Large","Small")</f>
        <v/>
      </c>
      <c r="R1903">
        <f>INDEX(Products!$F$2:$F$49,MATCH(J1903,Products!$A$2:$A$49,0))</f>
        <v/>
      </c>
      <c r="S1903">
        <f>WEEKDAY(B1903,2)</f>
        <v/>
      </c>
    </row>
    <row r="1904">
      <c r="A1904" t="n">
        <v>510287</v>
      </c>
      <c r="B1904" s="6" t="n">
        <v>45953</v>
      </c>
      <c r="C1904" t="n">
        <v>10440</v>
      </c>
      <c r="D1904" t="inlineStr">
        <is>
          <t>Gurugram</t>
        </is>
      </c>
      <c r="E1904" t="inlineStr">
        <is>
          <t>North</t>
        </is>
      </c>
      <c r="F1904" t="inlineStr">
        <is>
          <t>Paid Search</t>
        </is>
      </c>
      <c r="G1904" t="inlineStr">
        <is>
          <t>Desktop</t>
        </is>
      </c>
      <c r="H1904" t="inlineStr">
        <is>
          <t>Cash on Delivery</t>
        </is>
      </c>
      <c r="I1904" t="inlineStr">
        <is>
          <t>Delivered</t>
        </is>
      </c>
      <c r="J1904" t="n">
        <v>132</v>
      </c>
      <c r="K1904" t="n">
        <v>1</v>
      </c>
      <c r="L1904" t="n">
        <v>471</v>
      </c>
      <c r="M1904" t="n">
        <v>47.1</v>
      </c>
      <c r="N1904">
        <f>VLOOKUP(J1904,Products!$A$2:$C$49,3,FALSE)</f>
        <v/>
      </c>
      <c r="O1904">
        <f>K1904*L1904-M1904</f>
        <v/>
      </c>
      <c r="P1904">
        <f>TEXT(B1904,"yyyy-mm")</f>
        <v/>
      </c>
      <c r="Q1904">
        <f>IF(O1904&gt;=3000,"Large","Small")</f>
        <v/>
      </c>
      <c r="R1904">
        <f>INDEX(Products!$F$2:$F$49,MATCH(J1904,Products!$A$2:$A$49,0))</f>
        <v/>
      </c>
      <c r="S1904">
        <f>WEEKDAY(B1904,2)</f>
        <v/>
      </c>
    </row>
    <row r="1905">
      <c r="A1905" t="n">
        <v>510288</v>
      </c>
      <c r="B1905" s="6" t="n">
        <v>45953</v>
      </c>
      <c r="C1905" t="n">
        <v>11198</v>
      </c>
      <c r="D1905" t="inlineStr">
        <is>
          <t>Chennai</t>
        </is>
      </c>
      <c r="E1905" t="inlineStr">
        <is>
          <t>South</t>
        </is>
      </c>
      <c r="F1905" t="inlineStr">
        <is>
          <t>Organic Search</t>
        </is>
      </c>
      <c r="G1905" t="inlineStr">
        <is>
          <t>Mobile Web</t>
        </is>
      </c>
      <c r="H1905" t="inlineStr">
        <is>
          <t>UPI</t>
        </is>
      </c>
      <c r="I1905" t="inlineStr">
        <is>
          <t>Returned</t>
        </is>
      </c>
      <c r="J1905" t="n">
        <v>145</v>
      </c>
      <c r="K1905" t="n">
        <v>2</v>
      </c>
      <c r="L1905" t="n">
        <v>629</v>
      </c>
      <c r="M1905" t="n">
        <v>125.8</v>
      </c>
      <c r="N1905">
        <f>VLOOKUP(J1905,Products!$A$2:$C$49,3,FALSE)</f>
        <v/>
      </c>
      <c r="O1905">
        <f>K1905*L1905-M1905</f>
        <v/>
      </c>
      <c r="P1905">
        <f>TEXT(B1905,"yyyy-mm")</f>
        <v/>
      </c>
      <c r="Q1905">
        <f>IF(O1905&gt;=3000,"Large","Small")</f>
        <v/>
      </c>
      <c r="R1905">
        <f>INDEX(Products!$F$2:$F$49,MATCH(J1905,Products!$A$2:$A$49,0))</f>
        <v/>
      </c>
      <c r="S1905">
        <f>WEEKDAY(B1905,2)</f>
        <v/>
      </c>
    </row>
    <row r="1906">
      <c r="A1906" t="n">
        <v>510288</v>
      </c>
      <c r="B1906" s="6" t="n">
        <v>45953</v>
      </c>
      <c r="C1906" t="n">
        <v>11198</v>
      </c>
      <c r="D1906" t="inlineStr">
        <is>
          <t>Chennai</t>
        </is>
      </c>
      <c r="E1906" t="inlineStr">
        <is>
          <t>South</t>
        </is>
      </c>
      <c r="F1906" t="inlineStr">
        <is>
          <t>Organic Search</t>
        </is>
      </c>
      <c r="G1906" t="inlineStr">
        <is>
          <t>Mobile Web</t>
        </is>
      </c>
      <c r="H1906" t="inlineStr">
        <is>
          <t>UPI</t>
        </is>
      </c>
      <c r="I1906" t="inlineStr">
        <is>
          <t>Returned</t>
        </is>
      </c>
      <c r="J1906" t="n">
        <v>115</v>
      </c>
      <c r="K1906" t="n">
        <v>1</v>
      </c>
      <c r="L1906" t="n">
        <v>4199</v>
      </c>
      <c r="M1906" t="n">
        <v>419.9</v>
      </c>
      <c r="N1906">
        <f>VLOOKUP(J1906,Products!$A$2:$C$49,3,FALSE)</f>
        <v/>
      </c>
      <c r="O1906">
        <f>K1906*L1906-M1906</f>
        <v/>
      </c>
      <c r="P1906">
        <f>TEXT(B1906,"yyyy-mm")</f>
        <v/>
      </c>
      <c r="Q1906">
        <f>IF(O1906&gt;=3000,"Large","Small")</f>
        <v/>
      </c>
      <c r="R1906">
        <f>INDEX(Products!$F$2:$F$49,MATCH(J1906,Products!$A$2:$A$49,0))</f>
        <v/>
      </c>
      <c r="S1906">
        <f>WEEKDAY(B1906,2)</f>
        <v/>
      </c>
    </row>
    <row r="1907">
      <c r="A1907" t="n">
        <v>510288</v>
      </c>
      <c r="B1907" s="6" t="n">
        <v>45953</v>
      </c>
      <c r="C1907" t="n">
        <v>11198</v>
      </c>
      <c r="D1907" t="inlineStr">
        <is>
          <t>Chennai</t>
        </is>
      </c>
      <c r="E1907" t="inlineStr">
        <is>
          <t>South</t>
        </is>
      </c>
      <c r="F1907" t="inlineStr">
        <is>
          <t>Organic Search</t>
        </is>
      </c>
      <c r="G1907" t="inlineStr">
        <is>
          <t>Mobile Web</t>
        </is>
      </c>
      <c r="H1907" t="inlineStr">
        <is>
          <t>UPI</t>
        </is>
      </c>
      <c r="I1907" t="inlineStr">
        <is>
          <t>Returned</t>
        </is>
      </c>
      <c r="J1907" t="n">
        <v>137</v>
      </c>
      <c r="K1907" t="n">
        <v>1</v>
      </c>
      <c r="L1907" t="n">
        <v>261</v>
      </c>
      <c r="M1907" t="n">
        <v>26.1</v>
      </c>
      <c r="N1907">
        <f>VLOOKUP(J1907,Products!$A$2:$C$49,3,FALSE)</f>
        <v/>
      </c>
      <c r="O1907">
        <f>K1907*L1907-M1907</f>
        <v/>
      </c>
      <c r="P1907">
        <f>TEXT(B1907,"yyyy-mm")</f>
        <v/>
      </c>
      <c r="Q1907">
        <f>IF(O1907&gt;=3000,"Large","Small")</f>
        <v/>
      </c>
      <c r="R1907">
        <f>INDEX(Products!$F$2:$F$49,MATCH(J1907,Products!$A$2:$A$49,0))</f>
        <v/>
      </c>
      <c r="S1907">
        <f>WEEKDAY(B1907,2)</f>
        <v/>
      </c>
    </row>
    <row r="1908">
      <c r="A1908" t="n">
        <v>510289</v>
      </c>
      <c r="B1908" s="6" t="n">
        <v>45953</v>
      </c>
      <c r="C1908" t="n">
        <v>15738</v>
      </c>
      <c r="D1908" t="inlineStr">
        <is>
          <t>Delhi</t>
        </is>
      </c>
      <c r="E1908" t="inlineStr">
        <is>
          <t>North</t>
        </is>
      </c>
      <c r="F1908" t="inlineStr">
        <is>
          <t>Organic Search</t>
        </is>
      </c>
      <c r="G1908" t="inlineStr">
        <is>
          <t>Mobile App</t>
        </is>
      </c>
      <c r="H1908" t="inlineStr">
        <is>
          <t>UPI</t>
        </is>
      </c>
      <c r="I1908" t="inlineStr">
        <is>
          <t>Delivered</t>
        </is>
      </c>
      <c r="J1908" t="n">
        <v>118</v>
      </c>
      <c r="K1908" t="n">
        <v>1</v>
      </c>
      <c r="L1908" t="n">
        <v>944</v>
      </c>
      <c r="M1908" t="n">
        <v>94.40000000000001</v>
      </c>
      <c r="N1908">
        <f>VLOOKUP(J1908,Products!$A$2:$C$49,3,FALSE)</f>
        <v/>
      </c>
      <c r="O1908">
        <f>K1908*L1908-M1908</f>
        <v/>
      </c>
      <c r="P1908">
        <f>TEXT(B1908,"yyyy-mm")</f>
        <v/>
      </c>
      <c r="Q1908">
        <f>IF(O1908&gt;=3000,"Large","Small")</f>
        <v/>
      </c>
      <c r="R1908">
        <f>INDEX(Products!$F$2:$F$49,MATCH(J1908,Products!$A$2:$A$49,0))</f>
        <v/>
      </c>
      <c r="S1908">
        <f>WEEKDAY(B1908,2)</f>
        <v/>
      </c>
    </row>
    <row r="1909">
      <c r="A1909" t="n">
        <v>510289</v>
      </c>
      <c r="B1909" s="6" t="n">
        <v>45953</v>
      </c>
      <c r="C1909" t="n">
        <v>15738</v>
      </c>
      <c r="D1909" t="inlineStr">
        <is>
          <t>Delhi</t>
        </is>
      </c>
      <c r="E1909" t="inlineStr">
        <is>
          <t>North</t>
        </is>
      </c>
      <c r="F1909" t="inlineStr">
        <is>
          <t>Organic Search</t>
        </is>
      </c>
      <c r="G1909" t="inlineStr">
        <is>
          <t>Mobile App</t>
        </is>
      </c>
      <c r="H1909" t="inlineStr">
        <is>
          <t>UPI</t>
        </is>
      </c>
      <c r="I1909" t="inlineStr">
        <is>
          <t>Delivered</t>
        </is>
      </c>
      <c r="J1909" t="n">
        <v>129</v>
      </c>
      <c r="K1909" t="n">
        <v>1</v>
      </c>
      <c r="L1909" t="n">
        <v>576</v>
      </c>
      <c r="M1909" t="n">
        <v>57.6</v>
      </c>
      <c r="N1909">
        <f>VLOOKUP(J1909,Products!$A$2:$C$49,3,FALSE)</f>
        <v/>
      </c>
      <c r="O1909">
        <f>K1909*L1909-M1909</f>
        <v/>
      </c>
      <c r="P1909">
        <f>TEXT(B1909,"yyyy-mm")</f>
        <v/>
      </c>
      <c r="Q1909">
        <f>IF(O1909&gt;=3000,"Large","Small")</f>
        <v/>
      </c>
      <c r="R1909">
        <f>INDEX(Products!$F$2:$F$49,MATCH(J1909,Products!$A$2:$A$49,0))</f>
        <v/>
      </c>
      <c r="S1909">
        <f>WEEKDAY(B1909,2)</f>
        <v/>
      </c>
    </row>
    <row r="1910">
      <c r="A1910" t="n">
        <v>510290</v>
      </c>
      <c r="B1910" s="6" t="n">
        <v>45953</v>
      </c>
      <c r="C1910" t="n">
        <v>12536</v>
      </c>
      <c r="D1910" t="inlineStr">
        <is>
          <t>Bengaluru</t>
        </is>
      </c>
      <c r="E1910" t="inlineStr">
        <is>
          <t>South</t>
        </is>
      </c>
      <c r="F1910" t="inlineStr">
        <is>
          <t>Organic Search</t>
        </is>
      </c>
      <c r="G1910" t="inlineStr">
        <is>
          <t>Mobile App</t>
        </is>
      </c>
      <c r="H1910" t="inlineStr">
        <is>
          <t>Credit Card</t>
        </is>
      </c>
      <c r="I1910" t="inlineStr">
        <is>
          <t>Delivered</t>
        </is>
      </c>
      <c r="J1910" t="n">
        <v>145</v>
      </c>
      <c r="K1910" t="n">
        <v>2</v>
      </c>
      <c r="L1910" t="n">
        <v>629</v>
      </c>
      <c r="M1910" t="n">
        <v>0</v>
      </c>
      <c r="N1910">
        <f>VLOOKUP(J1910,Products!$A$2:$C$49,3,FALSE)</f>
        <v/>
      </c>
      <c r="O1910">
        <f>K1910*L1910-M1910</f>
        <v/>
      </c>
      <c r="P1910">
        <f>TEXT(B1910,"yyyy-mm")</f>
        <v/>
      </c>
      <c r="Q1910">
        <f>IF(O1910&gt;=3000,"Large","Small")</f>
        <v/>
      </c>
      <c r="R1910">
        <f>INDEX(Products!$F$2:$F$49,MATCH(J1910,Products!$A$2:$A$49,0))</f>
        <v/>
      </c>
      <c r="S1910">
        <f>WEEKDAY(B1910,2)</f>
        <v/>
      </c>
    </row>
    <row r="1911">
      <c r="A1911" t="n">
        <v>510290</v>
      </c>
      <c r="B1911" s="6" t="n">
        <v>45953</v>
      </c>
      <c r="C1911" t="n">
        <v>12536</v>
      </c>
      <c r="D1911" t="inlineStr">
        <is>
          <t>Bengaluru</t>
        </is>
      </c>
      <c r="E1911" t="inlineStr">
        <is>
          <t>South</t>
        </is>
      </c>
      <c r="F1911" t="inlineStr">
        <is>
          <t>Organic Search</t>
        </is>
      </c>
      <c r="G1911" t="inlineStr">
        <is>
          <t>Mobile App</t>
        </is>
      </c>
      <c r="H1911" t="inlineStr">
        <is>
          <t>Credit Card</t>
        </is>
      </c>
      <c r="I1911" t="inlineStr">
        <is>
          <t>Delivered</t>
        </is>
      </c>
      <c r="J1911" t="n">
        <v>105</v>
      </c>
      <c r="K1911" t="n">
        <v>2</v>
      </c>
      <c r="L1911" t="n">
        <v>2414</v>
      </c>
      <c r="M1911" t="n">
        <v>0</v>
      </c>
      <c r="N1911">
        <f>VLOOKUP(J1911,Products!$A$2:$C$49,3,FALSE)</f>
        <v/>
      </c>
      <c r="O1911">
        <f>K1911*L1911-M1911</f>
        <v/>
      </c>
      <c r="P1911">
        <f>TEXT(B1911,"yyyy-mm")</f>
        <v/>
      </c>
      <c r="Q1911">
        <f>IF(O1911&gt;=3000,"Large","Small")</f>
        <v/>
      </c>
      <c r="R1911">
        <f>INDEX(Products!$F$2:$F$49,MATCH(J1911,Products!$A$2:$A$49,0))</f>
        <v/>
      </c>
      <c r="S1911">
        <f>WEEKDAY(B1911,2)</f>
        <v/>
      </c>
    </row>
    <row r="1912">
      <c r="A1912" t="n">
        <v>510290</v>
      </c>
      <c r="B1912" s="6" t="n">
        <v>45953</v>
      </c>
      <c r="C1912" t="n">
        <v>12536</v>
      </c>
      <c r="D1912" t="inlineStr">
        <is>
          <t>Bengaluru</t>
        </is>
      </c>
      <c r="E1912" t="inlineStr">
        <is>
          <t>South</t>
        </is>
      </c>
      <c r="F1912" t="inlineStr">
        <is>
          <t>Organic Search</t>
        </is>
      </c>
      <c r="G1912" t="inlineStr">
        <is>
          <t>Mobile App</t>
        </is>
      </c>
      <c r="H1912" t="inlineStr">
        <is>
          <t>Credit Card</t>
        </is>
      </c>
      <c r="I1912" t="inlineStr">
        <is>
          <t>Delivered</t>
        </is>
      </c>
      <c r="J1912" t="n">
        <v>108</v>
      </c>
      <c r="K1912" t="n">
        <v>1</v>
      </c>
      <c r="L1912" t="n">
        <v>419</v>
      </c>
      <c r="M1912" t="n">
        <v>0</v>
      </c>
      <c r="N1912">
        <f>VLOOKUP(J1912,Products!$A$2:$C$49,3,FALSE)</f>
        <v/>
      </c>
      <c r="O1912">
        <f>K1912*L1912-M1912</f>
        <v/>
      </c>
      <c r="P1912">
        <f>TEXT(B1912,"yyyy-mm")</f>
        <v/>
      </c>
      <c r="Q1912">
        <f>IF(O1912&gt;=3000,"Large","Small")</f>
        <v/>
      </c>
      <c r="R1912">
        <f>INDEX(Products!$F$2:$F$49,MATCH(J1912,Products!$A$2:$A$49,0))</f>
        <v/>
      </c>
      <c r="S1912">
        <f>WEEKDAY(B1912,2)</f>
        <v/>
      </c>
    </row>
    <row r="1913">
      <c r="A1913" t="n">
        <v>510290</v>
      </c>
      <c r="B1913" s="6" t="n">
        <v>45953</v>
      </c>
      <c r="C1913" t="n">
        <v>12536</v>
      </c>
      <c r="D1913" t="inlineStr">
        <is>
          <t>Bengaluru</t>
        </is>
      </c>
      <c r="E1913" t="inlineStr">
        <is>
          <t>South</t>
        </is>
      </c>
      <c r="F1913" t="inlineStr">
        <is>
          <t>Organic Search</t>
        </is>
      </c>
      <c r="G1913" t="inlineStr">
        <is>
          <t>Mobile App</t>
        </is>
      </c>
      <c r="H1913" t="inlineStr">
        <is>
          <t>Credit Card</t>
        </is>
      </c>
      <c r="I1913" t="inlineStr">
        <is>
          <t>Delivered</t>
        </is>
      </c>
      <c r="J1913" t="n">
        <v>129</v>
      </c>
      <c r="K1913" t="n">
        <v>1</v>
      </c>
      <c r="L1913" t="n">
        <v>576</v>
      </c>
      <c r="M1913" t="n">
        <v>0</v>
      </c>
      <c r="N1913">
        <f>VLOOKUP(J1913,Products!$A$2:$C$49,3,FALSE)</f>
        <v/>
      </c>
      <c r="O1913">
        <f>K1913*L1913-M1913</f>
        <v/>
      </c>
      <c r="P1913">
        <f>TEXT(B1913,"yyyy-mm")</f>
        <v/>
      </c>
      <c r="Q1913">
        <f>IF(O1913&gt;=3000,"Large","Small")</f>
        <v/>
      </c>
      <c r="R1913">
        <f>INDEX(Products!$F$2:$F$49,MATCH(J1913,Products!$A$2:$A$49,0))</f>
        <v/>
      </c>
      <c r="S1913">
        <f>WEEKDAY(B1913,2)</f>
        <v/>
      </c>
    </row>
    <row r="1914">
      <c r="A1914" t="n">
        <v>510291</v>
      </c>
      <c r="B1914" s="6" t="n">
        <v>45953</v>
      </c>
      <c r="C1914" t="n">
        <v>11051</v>
      </c>
      <c r="D1914" t="inlineStr">
        <is>
          <t>Chennai</t>
        </is>
      </c>
      <c r="E1914" t="inlineStr">
        <is>
          <t>South</t>
        </is>
      </c>
      <c r="F1914" t="inlineStr">
        <is>
          <t>Paid Search</t>
        </is>
      </c>
      <c r="G1914" t="inlineStr">
        <is>
          <t>Mobile Web</t>
        </is>
      </c>
      <c r="H1914" t="inlineStr">
        <is>
          <t>UPI</t>
        </is>
      </c>
      <c r="I1914" t="inlineStr">
        <is>
          <t>Cancelled</t>
        </is>
      </c>
      <c r="J1914" t="n">
        <v>135</v>
      </c>
      <c r="K1914" t="n">
        <v>1</v>
      </c>
      <c r="L1914" t="n">
        <v>1574</v>
      </c>
      <c r="M1914" t="n">
        <v>157.4</v>
      </c>
      <c r="N1914">
        <f>VLOOKUP(J1914,Products!$A$2:$C$49,3,FALSE)</f>
        <v/>
      </c>
      <c r="O1914">
        <f>K1914*L1914-M1914</f>
        <v/>
      </c>
      <c r="P1914">
        <f>TEXT(B1914,"yyyy-mm")</f>
        <v/>
      </c>
      <c r="Q1914">
        <f>IF(O1914&gt;=3000,"Large","Small")</f>
        <v/>
      </c>
      <c r="R1914">
        <f>INDEX(Products!$F$2:$F$49,MATCH(J1914,Products!$A$2:$A$49,0))</f>
        <v/>
      </c>
      <c r="S1914">
        <f>WEEKDAY(B1914,2)</f>
        <v/>
      </c>
    </row>
    <row r="1915">
      <c r="A1915" t="n">
        <v>510292</v>
      </c>
      <c r="B1915" s="6" t="n">
        <v>45953</v>
      </c>
      <c r="C1915" t="n">
        <v>16982</v>
      </c>
      <c r="D1915" t="inlineStr">
        <is>
          <t>Mumbai</t>
        </is>
      </c>
      <c r="E1915" t="inlineStr">
        <is>
          <t>West</t>
        </is>
      </c>
      <c r="F1915" t="inlineStr">
        <is>
          <t>Organic Search</t>
        </is>
      </c>
      <c r="G1915" t="inlineStr">
        <is>
          <t>Mobile Web</t>
        </is>
      </c>
      <c r="H1915" t="inlineStr">
        <is>
          <t>UPI</t>
        </is>
      </c>
      <c r="I1915" t="inlineStr">
        <is>
          <t>Delivered</t>
        </is>
      </c>
      <c r="J1915" t="n">
        <v>144</v>
      </c>
      <c r="K1915" t="n">
        <v>1</v>
      </c>
      <c r="L1915" t="n">
        <v>3149</v>
      </c>
      <c r="M1915" t="n">
        <v>314.9</v>
      </c>
      <c r="N1915">
        <f>VLOOKUP(J1915,Products!$A$2:$C$49,3,FALSE)</f>
        <v/>
      </c>
      <c r="O1915">
        <f>K1915*L1915-M1915</f>
        <v/>
      </c>
      <c r="P1915">
        <f>TEXT(B1915,"yyyy-mm")</f>
        <v/>
      </c>
      <c r="Q1915">
        <f>IF(O1915&gt;=3000,"Large","Small")</f>
        <v/>
      </c>
      <c r="R1915">
        <f>INDEX(Products!$F$2:$F$49,MATCH(J1915,Products!$A$2:$A$49,0))</f>
        <v/>
      </c>
      <c r="S1915">
        <f>WEEKDAY(B1915,2)</f>
        <v/>
      </c>
    </row>
    <row r="1916">
      <c r="A1916" t="n">
        <v>510293</v>
      </c>
      <c r="B1916" s="6" t="n">
        <v>45953</v>
      </c>
      <c r="C1916" t="n">
        <v>16969</v>
      </c>
      <c r="D1916" t="inlineStr">
        <is>
          <t>Mumbai</t>
        </is>
      </c>
      <c r="E1916" t="inlineStr">
        <is>
          <t>West</t>
        </is>
      </c>
      <c r="F1916" t="inlineStr">
        <is>
          <t>Paid Social</t>
        </is>
      </c>
      <c r="G1916" t="inlineStr">
        <is>
          <t>Mobile App</t>
        </is>
      </c>
      <c r="H1916" t="inlineStr">
        <is>
          <t>Net Banking</t>
        </is>
      </c>
      <c r="I1916" t="inlineStr">
        <is>
          <t>Delivered</t>
        </is>
      </c>
      <c r="J1916" t="n">
        <v>126</v>
      </c>
      <c r="K1916" t="n">
        <v>1</v>
      </c>
      <c r="L1916" t="n">
        <v>471</v>
      </c>
      <c r="M1916" t="n">
        <v>0</v>
      </c>
      <c r="N1916">
        <f>VLOOKUP(J1916,Products!$A$2:$C$49,3,FALSE)</f>
        <v/>
      </c>
      <c r="O1916">
        <f>K1916*L1916-M1916</f>
        <v/>
      </c>
      <c r="P1916">
        <f>TEXT(B1916,"yyyy-mm")</f>
        <v/>
      </c>
      <c r="Q1916">
        <f>IF(O1916&gt;=3000,"Large","Small")</f>
        <v/>
      </c>
      <c r="R1916">
        <f>INDEX(Products!$F$2:$F$49,MATCH(J1916,Products!$A$2:$A$49,0))</f>
        <v/>
      </c>
      <c r="S1916">
        <f>WEEKDAY(B1916,2)</f>
        <v/>
      </c>
    </row>
    <row r="1917">
      <c r="A1917" t="n">
        <v>510293</v>
      </c>
      <c r="B1917" s="6" t="n">
        <v>45953</v>
      </c>
      <c r="C1917" t="n">
        <v>16969</v>
      </c>
      <c r="D1917" t="inlineStr">
        <is>
          <t>Mumbai</t>
        </is>
      </c>
      <c r="E1917" t="inlineStr">
        <is>
          <t>West</t>
        </is>
      </c>
      <c r="F1917" t="inlineStr">
        <is>
          <t>Paid Social</t>
        </is>
      </c>
      <c r="G1917" t="inlineStr">
        <is>
          <t>Mobile App</t>
        </is>
      </c>
      <c r="H1917" t="inlineStr">
        <is>
          <t>Net Banking</t>
        </is>
      </c>
      <c r="I1917" t="inlineStr">
        <is>
          <t>Delivered</t>
        </is>
      </c>
      <c r="J1917" t="n">
        <v>109</v>
      </c>
      <c r="K1917" t="n">
        <v>1</v>
      </c>
      <c r="L1917" t="n">
        <v>4199</v>
      </c>
      <c r="M1917" t="n">
        <v>0</v>
      </c>
      <c r="N1917">
        <f>VLOOKUP(J1917,Products!$A$2:$C$49,3,FALSE)</f>
        <v/>
      </c>
      <c r="O1917">
        <f>K1917*L1917-M1917</f>
        <v/>
      </c>
      <c r="P1917">
        <f>TEXT(B1917,"yyyy-mm")</f>
        <v/>
      </c>
      <c r="Q1917">
        <f>IF(O1917&gt;=3000,"Large","Small")</f>
        <v/>
      </c>
      <c r="R1917">
        <f>INDEX(Products!$F$2:$F$49,MATCH(J1917,Products!$A$2:$A$49,0))</f>
        <v/>
      </c>
      <c r="S1917">
        <f>WEEKDAY(B1917,2)</f>
        <v/>
      </c>
    </row>
    <row r="1918">
      <c r="A1918" t="n">
        <v>510294</v>
      </c>
      <c r="B1918" s="6" t="n">
        <v>45953</v>
      </c>
      <c r="C1918" t="n">
        <v>16851</v>
      </c>
      <c r="D1918" t="inlineStr">
        <is>
          <t>Mumbai</t>
        </is>
      </c>
      <c r="E1918" t="inlineStr">
        <is>
          <t>West</t>
        </is>
      </c>
      <c r="F1918" t="inlineStr">
        <is>
          <t>Affiliate</t>
        </is>
      </c>
      <c r="G1918" t="inlineStr">
        <is>
          <t>Mobile Web</t>
        </is>
      </c>
      <c r="H1918" t="inlineStr">
        <is>
          <t>Net Banking</t>
        </is>
      </c>
      <c r="I1918" t="inlineStr">
        <is>
          <t>Delivered</t>
        </is>
      </c>
      <c r="J1918" t="n">
        <v>109</v>
      </c>
      <c r="K1918" t="n">
        <v>1</v>
      </c>
      <c r="L1918" t="n">
        <v>4199</v>
      </c>
      <c r="M1918" t="n">
        <v>629.85</v>
      </c>
      <c r="N1918">
        <f>VLOOKUP(J1918,Products!$A$2:$C$49,3,FALSE)</f>
        <v/>
      </c>
      <c r="O1918">
        <f>K1918*L1918-M1918</f>
        <v/>
      </c>
      <c r="P1918">
        <f>TEXT(B1918,"yyyy-mm")</f>
        <v/>
      </c>
      <c r="Q1918">
        <f>IF(O1918&gt;=3000,"Large","Small")</f>
        <v/>
      </c>
      <c r="R1918">
        <f>INDEX(Products!$F$2:$F$49,MATCH(J1918,Products!$A$2:$A$49,0))</f>
        <v/>
      </c>
      <c r="S1918">
        <f>WEEKDAY(B1918,2)</f>
        <v/>
      </c>
    </row>
    <row r="1919">
      <c r="A1919" t="n">
        <v>510294</v>
      </c>
      <c r="B1919" s="6" t="n">
        <v>45953</v>
      </c>
      <c r="C1919" t="n">
        <v>16851</v>
      </c>
      <c r="D1919" t="inlineStr">
        <is>
          <t>Mumbai</t>
        </is>
      </c>
      <c r="E1919" t="inlineStr">
        <is>
          <t>West</t>
        </is>
      </c>
      <c r="F1919" t="inlineStr">
        <is>
          <t>Affiliate</t>
        </is>
      </c>
      <c r="G1919" t="inlineStr">
        <is>
          <t>Mobile Web</t>
        </is>
      </c>
      <c r="H1919" t="inlineStr">
        <is>
          <t>Net Banking</t>
        </is>
      </c>
      <c r="I1919" t="inlineStr">
        <is>
          <t>Delivered</t>
        </is>
      </c>
      <c r="J1919" t="n">
        <v>113</v>
      </c>
      <c r="K1919" t="n">
        <v>1</v>
      </c>
      <c r="L1919" t="n">
        <v>1364</v>
      </c>
      <c r="M1919" t="n">
        <v>204.6</v>
      </c>
      <c r="N1919">
        <f>VLOOKUP(J1919,Products!$A$2:$C$49,3,FALSE)</f>
        <v/>
      </c>
      <c r="O1919">
        <f>K1919*L1919-M1919</f>
        <v/>
      </c>
      <c r="P1919">
        <f>TEXT(B1919,"yyyy-mm")</f>
        <v/>
      </c>
      <c r="Q1919">
        <f>IF(O1919&gt;=3000,"Large","Small")</f>
        <v/>
      </c>
      <c r="R1919">
        <f>INDEX(Products!$F$2:$F$49,MATCH(J1919,Products!$A$2:$A$49,0))</f>
        <v/>
      </c>
      <c r="S1919">
        <f>WEEKDAY(B1919,2)</f>
        <v/>
      </c>
    </row>
    <row r="1920">
      <c r="A1920" t="n">
        <v>510294</v>
      </c>
      <c r="B1920" s="6" t="n">
        <v>45953</v>
      </c>
      <c r="C1920" t="n">
        <v>16851</v>
      </c>
      <c r="D1920" t="inlineStr">
        <is>
          <t>Mumbai</t>
        </is>
      </c>
      <c r="E1920" t="inlineStr">
        <is>
          <t>West</t>
        </is>
      </c>
      <c r="F1920" t="inlineStr">
        <is>
          <t>Affiliate</t>
        </is>
      </c>
      <c r="G1920" t="inlineStr">
        <is>
          <t>Mobile Web</t>
        </is>
      </c>
      <c r="H1920" t="inlineStr">
        <is>
          <t>Net Banking</t>
        </is>
      </c>
      <c r="I1920" t="inlineStr">
        <is>
          <t>Delivered</t>
        </is>
      </c>
      <c r="J1920" t="n">
        <v>129</v>
      </c>
      <c r="K1920" t="n">
        <v>1</v>
      </c>
      <c r="L1920" t="n">
        <v>576</v>
      </c>
      <c r="M1920" t="n">
        <v>86.40000000000001</v>
      </c>
      <c r="N1920">
        <f>VLOOKUP(J1920,Products!$A$2:$C$49,3,FALSE)</f>
        <v/>
      </c>
      <c r="O1920">
        <f>K1920*L1920-M1920</f>
        <v/>
      </c>
      <c r="P1920">
        <f>TEXT(B1920,"yyyy-mm")</f>
        <v/>
      </c>
      <c r="Q1920">
        <f>IF(O1920&gt;=3000,"Large","Small")</f>
        <v/>
      </c>
      <c r="R1920">
        <f>INDEX(Products!$F$2:$F$49,MATCH(J1920,Products!$A$2:$A$49,0))</f>
        <v/>
      </c>
      <c r="S1920">
        <f>WEEKDAY(B1920,2)</f>
        <v/>
      </c>
    </row>
    <row r="1921">
      <c r="A1921" t="n">
        <v>510295</v>
      </c>
      <c r="B1921" s="6" t="n">
        <v>45953</v>
      </c>
      <c r="C1921" t="n">
        <v>16973</v>
      </c>
      <c r="D1921" t="inlineStr">
        <is>
          <t>Pune</t>
        </is>
      </c>
      <c r="E1921" t="inlineStr">
        <is>
          <t>West</t>
        </is>
      </c>
      <c r="F1921" t="inlineStr">
        <is>
          <t>Paid Social</t>
        </is>
      </c>
      <c r="G1921" t="inlineStr">
        <is>
          <t>Mobile App</t>
        </is>
      </c>
      <c r="H1921" t="inlineStr">
        <is>
          <t>UPI</t>
        </is>
      </c>
      <c r="I1921" t="inlineStr">
        <is>
          <t>Delivered</t>
        </is>
      </c>
      <c r="J1921" t="n">
        <v>147</v>
      </c>
      <c r="K1921" t="n">
        <v>1</v>
      </c>
      <c r="L1921" t="n">
        <v>1364</v>
      </c>
      <c r="M1921" t="n">
        <v>136.4</v>
      </c>
      <c r="N1921">
        <f>VLOOKUP(J1921,Products!$A$2:$C$49,3,FALSE)</f>
        <v/>
      </c>
      <c r="O1921">
        <f>K1921*L1921-M1921</f>
        <v/>
      </c>
      <c r="P1921">
        <f>TEXT(B1921,"yyyy-mm")</f>
        <v/>
      </c>
      <c r="Q1921">
        <f>IF(O1921&gt;=3000,"Large","Small")</f>
        <v/>
      </c>
      <c r="R1921">
        <f>INDEX(Products!$F$2:$F$49,MATCH(J1921,Products!$A$2:$A$49,0))</f>
        <v/>
      </c>
      <c r="S1921">
        <f>WEEKDAY(B1921,2)</f>
        <v/>
      </c>
    </row>
    <row r="1922">
      <c r="A1922" t="n">
        <v>510295</v>
      </c>
      <c r="B1922" s="6" t="n">
        <v>45953</v>
      </c>
      <c r="C1922" t="n">
        <v>16973</v>
      </c>
      <c r="D1922" t="inlineStr">
        <is>
          <t>Pune</t>
        </is>
      </c>
      <c r="E1922" t="inlineStr">
        <is>
          <t>West</t>
        </is>
      </c>
      <c r="F1922" t="inlineStr">
        <is>
          <t>Paid Social</t>
        </is>
      </c>
      <c r="G1922" t="inlineStr">
        <is>
          <t>Mobile App</t>
        </is>
      </c>
      <c r="H1922" t="inlineStr">
        <is>
          <t>UPI</t>
        </is>
      </c>
      <c r="I1922" t="inlineStr">
        <is>
          <t>Delivered</t>
        </is>
      </c>
      <c r="J1922" t="n">
        <v>129</v>
      </c>
      <c r="K1922" t="n">
        <v>1</v>
      </c>
      <c r="L1922" t="n">
        <v>576</v>
      </c>
      <c r="M1922" t="n">
        <v>57.6</v>
      </c>
      <c r="N1922">
        <f>VLOOKUP(J1922,Products!$A$2:$C$49,3,FALSE)</f>
        <v/>
      </c>
      <c r="O1922">
        <f>K1922*L1922-M1922</f>
        <v/>
      </c>
      <c r="P1922">
        <f>TEXT(B1922,"yyyy-mm")</f>
        <v/>
      </c>
      <c r="Q1922">
        <f>IF(O1922&gt;=3000,"Large","Small")</f>
        <v/>
      </c>
      <c r="R1922">
        <f>INDEX(Products!$F$2:$F$49,MATCH(J1922,Products!$A$2:$A$49,0))</f>
        <v/>
      </c>
      <c r="S1922">
        <f>WEEKDAY(B1922,2)</f>
        <v/>
      </c>
    </row>
    <row r="1923">
      <c r="A1923" t="n">
        <v>510296</v>
      </c>
      <c r="B1923" s="6" t="n">
        <v>45953</v>
      </c>
      <c r="C1923" t="n">
        <v>16965</v>
      </c>
      <c r="D1923" t="inlineStr">
        <is>
          <t>Mumbai</t>
        </is>
      </c>
      <c r="E1923" t="inlineStr">
        <is>
          <t>West</t>
        </is>
      </c>
      <c r="F1923" t="inlineStr">
        <is>
          <t>Organic Search</t>
        </is>
      </c>
      <c r="G1923" t="inlineStr">
        <is>
          <t>Mobile App</t>
        </is>
      </c>
      <c r="H1923" t="inlineStr">
        <is>
          <t>Cash on Delivery</t>
        </is>
      </c>
      <c r="I1923" t="inlineStr">
        <is>
          <t>Delivered</t>
        </is>
      </c>
      <c r="J1923" t="n">
        <v>108</v>
      </c>
      <c r="K1923" t="n">
        <v>2</v>
      </c>
      <c r="L1923" t="n">
        <v>419</v>
      </c>
      <c r="M1923" t="n">
        <v>0</v>
      </c>
      <c r="N1923">
        <f>VLOOKUP(J1923,Products!$A$2:$C$49,3,FALSE)</f>
        <v/>
      </c>
      <c r="O1923">
        <f>K1923*L1923-M1923</f>
        <v/>
      </c>
      <c r="P1923">
        <f>TEXT(B1923,"yyyy-mm")</f>
        <v/>
      </c>
      <c r="Q1923">
        <f>IF(O1923&gt;=3000,"Large","Small")</f>
        <v/>
      </c>
      <c r="R1923">
        <f>INDEX(Products!$F$2:$F$49,MATCH(J1923,Products!$A$2:$A$49,0))</f>
        <v/>
      </c>
      <c r="S1923">
        <f>WEEKDAY(B1923,2)</f>
        <v/>
      </c>
    </row>
    <row r="1924">
      <c r="A1924" t="n">
        <v>510296</v>
      </c>
      <c r="B1924" s="6" t="n">
        <v>45953</v>
      </c>
      <c r="C1924" t="n">
        <v>16965</v>
      </c>
      <c r="D1924" t="inlineStr">
        <is>
          <t>Mumbai</t>
        </is>
      </c>
      <c r="E1924" t="inlineStr">
        <is>
          <t>West</t>
        </is>
      </c>
      <c r="F1924" t="inlineStr">
        <is>
          <t>Organic Search</t>
        </is>
      </c>
      <c r="G1924" t="inlineStr">
        <is>
          <t>Mobile App</t>
        </is>
      </c>
      <c r="H1924" t="inlineStr">
        <is>
          <t>Cash on Delivery</t>
        </is>
      </c>
      <c r="I1924" t="inlineStr">
        <is>
          <t>Delivered</t>
        </is>
      </c>
      <c r="J1924" t="n">
        <v>148</v>
      </c>
      <c r="K1924" t="n">
        <v>1</v>
      </c>
      <c r="L1924" t="n">
        <v>734</v>
      </c>
      <c r="M1924" t="n">
        <v>0</v>
      </c>
      <c r="N1924">
        <f>VLOOKUP(J1924,Products!$A$2:$C$49,3,FALSE)</f>
        <v/>
      </c>
      <c r="O1924">
        <f>K1924*L1924-M1924</f>
        <v/>
      </c>
      <c r="P1924">
        <f>TEXT(B1924,"yyyy-mm")</f>
        <v/>
      </c>
      <c r="Q1924">
        <f>IF(O1924&gt;=3000,"Large","Small")</f>
        <v/>
      </c>
      <c r="R1924">
        <f>INDEX(Products!$F$2:$F$49,MATCH(J1924,Products!$A$2:$A$49,0))</f>
        <v/>
      </c>
      <c r="S1924">
        <f>WEEKDAY(B1924,2)</f>
        <v/>
      </c>
    </row>
    <row r="1925">
      <c r="A1925" t="n">
        <v>510297</v>
      </c>
      <c r="B1925" s="6" t="n">
        <v>45953</v>
      </c>
      <c r="C1925" t="n">
        <v>16984</v>
      </c>
      <c r="D1925" t="inlineStr">
        <is>
          <t>Mumbai</t>
        </is>
      </c>
      <c r="E1925" t="inlineStr">
        <is>
          <t>West</t>
        </is>
      </c>
      <c r="F1925" t="inlineStr">
        <is>
          <t>Referral</t>
        </is>
      </c>
      <c r="G1925" t="inlineStr">
        <is>
          <t>Desktop</t>
        </is>
      </c>
      <c r="H1925" t="inlineStr">
        <is>
          <t>Debit Card</t>
        </is>
      </c>
      <c r="I1925" t="inlineStr">
        <is>
          <t>Delivered</t>
        </is>
      </c>
      <c r="J1925" t="n">
        <v>112</v>
      </c>
      <c r="K1925" t="n">
        <v>1</v>
      </c>
      <c r="L1925" t="n">
        <v>1574</v>
      </c>
      <c r="M1925" t="n">
        <v>0</v>
      </c>
      <c r="N1925">
        <f>VLOOKUP(J1925,Products!$A$2:$C$49,3,FALSE)</f>
        <v/>
      </c>
      <c r="O1925">
        <f>K1925*L1925-M1925</f>
        <v/>
      </c>
      <c r="P1925">
        <f>TEXT(B1925,"yyyy-mm")</f>
        <v/>
      </c>
      <c r="Q1925">
        <f>IF(O1925&gt;=3000,"Large","Small")</f>
        <v/>
      </c>
      <c r="R1925">
        <f>INDEX(Products!$F$2:$F$49,MATCH(J1925,Products!$A$2:$A$49,0))</f>
        <v/>
      </c>
      <c r="S1925">
        <f>WEEKDAY(B1925,2)</f>
        <v/>
      </c>
    </row>
    <row r="1926">
      <c r="A1926" t="n">
        <v>510298</v>
      </c>
      <c r="B1926" s="6" t="n">
        <v>45953</v>
      </c>
      <c r="C1926" t="n">
        <v>16953</v>
      </c>
      <c r="D1926" t="inlineStr">
        <is>
          <t>Delhi</t>
        </is>
      </c>
      <c r="E1926" t="inlineStr">
        <is>
          <t>North</t>
        </is>
      </c>
      <c r="F1926" t="inlineStr">
        <is>
          <t>Organic Search</t>
        </is>
      </c>
      <c r="G1926" t="inlineStr">
        <is>
          <t>Mobile App</t>
        </is>
      </c>
      <c r="H1926" t="inlineStr">
        <is>
          <t>UPI</t>
        </is>
      </c>
      <c r="I1926" t="inlineStr">
        <is>
          <t>Delivered</t>
        </is>
      </c>
      <c r="J1926" t="n">
        <v>128</v>
      </c>
      <c r="K1926" t="n">
        <v>1</v>
      </c>
      <c r="L1926" t="n">
        <v>1049</v>
      </c>
      <c r="M1926" t="n">
        <v>0</v>
      </c>
      <c r="N1926">
        <f>VLOOKUP(J1926,Products!$A$2:$C$49,3,FALSE)</f>
        <v/>
      </c>
      <c r="O1926">
        <f>K1926*L1926-M1926</f>
        <v/>
      </c>
      <c r="P1926">
        <f>TEXT(B1926,"yyyy-mm")</f>
        <v/>
      </c>
      <c r="Q1926">
        <f>IF(O1926&gt;=3000,"Large","Small")</f>
        <v/>
      </c>
      <c r="R1926">
        <f>INDEX(Products!$F$2:$F$49,MATCH(J1926,Products!$A$2:$A$49,0))</f>
        <v/>
      </c>
      <c r="S1926">
        <f>WEEKDAY(B1926,2)</f>
        <v/>
      </c>
    </row>
    <row r="1927">
      <c r="A1927" t="n">
        <v>510299</v>
      </c>
      <c r="B1927" s="6" t="n">
        <v>45953</v>
      </c>
      <c r="C1927" t="n">
        <v>15660</v>
      </c>
      <c r="D1927" t="inlineStr">
        <is>
          <t>Hyderabad</t>
        </is>
      </c>
      <c r="E1927" t="inlineStr">
        <is>
          <t>South</t>
        </is>
      </c>
      <c r="F1927" t="inlineStr">
        <is>
          <t>Affiliate</t>
        </is>
      </c>
      <c r="G1927" t="inlineStr">
        <is>
          <t>Mobile App</t>
        </is>
      </c>
      <c r="H1927" t="inlineStr">
        <is>
          <t>Credit Card</t>
        </is>
      </c>
      <c r="I1927" t="inlineStr">
        <is>
          <t>Delivered</t>
        </is>
      </c>
      <c r="J1927" t="n">
        <v>127</v>
      </c>
      <c r="K1927" t="n">
        <v>1</v>
      </c>
      <c r="L1927" t="n">
        <v>681</v>
      </c>
      <c r="M1927" t="n">
        <v>68.09999999999999</v>
      </c>
      <c r="N1927">
        <f>VLOOKUP(J1927,Products!$A$2:$C$49,3,FALSE)</f>
        <v/>
      </c>
      <c r="O1927">
        <f>K1927*L1927-M1927</f>
        <v/>
      </c>
      <c r="P1927">
        <f>TEXT(B1927,"yyyy-mm")</f>
        <v/>
      </c>
      <c r="Q1927">
        <f>IF(O1927&gt;=3000,"Large","Small")</f>
        <v/>
      </c>
      <c r="R1927">
        <f>INDEX(Products!$F$2:$F$49,MATCH(J1927,Products!$A$2:$A$49,0))</f>
        <v/>
      </c>
      <c r="S1927">
        <f>WEEKDAY(B1927,2)</f>
        <v/>
      </c>
    </row>
    <row r="1928">
      <c r="A1928" t="n">
        <v>510300</v>
      </c>
      <c r="B1928" s="6" t="n">
        <v>45953</v>
      </c>
      <c r="C1928" t="n">
        <v>15847</v>
      </c>
      <c r="D1928" t="inlineStr">
        <is>
          <t>Hyderabad</t>
        </is>
      </c>
      <c r="E1928" t="inlineStr">
        <is>
          <t>South</t>
        </is>
      </c>
      <c r="F1928" t="inlineStr">
        <is>
          <t>Affiliate</t>
        </is>
      </c>
      <c r="G1928" t="inlineStr">
        <is>
          <t>Mobile Web</t>
        </is>
      </c>
      <c r="H1928" t="inlineStr">
        <is>
          <t>Cash on Delivery</t>
        </is>
      </c>
      <c r="I1928" t="inlineStr">
        <is>
          <t>Delivered</t>
        </is>
      </c>
      <c r="J1928" t="n">
        <v>106</v>
      </c>
      <c r="K1928" t="n">
        <v>1</v>
      </c>
      <c r="L1928" t="n">
        <v>1574</v>
      </c>
      <c r="M1928" t="n">
        <v>157.4</v>
      </c>
      <c r="N1928">
        <f>VLOOKUP(J1928,Products!$A$2:$C$49,3,FALSE)</f>
        <v/>
      </c>
      <c r="O1928">
        <f>K1928*L1928-M1928</f>
        <v/>
      </c>
      <c r="P1928">
        <f>TEXT(B1928,"yyyy-mm")</f>
        <v/>
      </c>
      <c r="Q1928">
        <f>IF(O1928&gt;=3000,"Large","Small")</f>
        <v/>
      </c>
      <c r="R1928">
        <f>INDEX(Products!$F$2:$F$49,MATCH(J1928,Products!$A$2:$A$49,0))</f>
        <v/>
      </c>
      <c r="S1928">
        <f>WEEKDAY(B1928,2)</f>
        <v/>
      </c>
    </row>
    <row r="1929">
      <c r="A1929" t="n">
        <v>510300</v>
      </c>
      <c r="B1929" s="6" t="n">
        <v>45953</v>
      </c>
      <c r="C1929" t="n">
        <v>15847</v>
      </c>
      <c r="D1929" t="inlineStr">
        <is>
          <t>Hyderabad</t>
        </is>
      </c>
      <c r="E1929" t="inlineStr">
        <is>
          <t>South</t>
        </is>
      </c>
      <c r="F1929" t="inlineStr">
        <is>
          <t>Affiliate</t>
        </is>
      </c>
      <c r="G1929" t="inlineStr">
        <is>
          <t>Mobile Web</t>
        </is>
      </c>
      <c r="H1929" t="inlineStr">
        <is>
          <t>Cash on Delivery</t>
        </is>
      </c>
      <c r="I1929" t="inlineStr">
        <is>
          <t>Delivered</t>
        </is>
      </c>
      <c r="J1929" t="n">
        <v>117</v>
      </c>
      <c r="K1929" t="n">
        <v>1</v>
      </c>
      <c r="L1929" t="n">
        <v>3149</v>
      </c>
      <c r="M1929" t="n">
        <v>314.9</v>
      </c>
      <c r="N1929">
        <f>VLOOKUP(J1929,Products!$A$2:$C$49,3,FALSE)</f>
        <v/>
      </c>
      <c r="O1929">
        <f>K1929*L1929-M1929</f>
        <v/>
      </c>
      <c r="P1929">
        <f>TEXT(B1929,"yyyy-mm")</f>
        <v/>
      </c>
      <c r="Q1929">
        <f>IF(O1929&gt;=3000,"Large","Small")</f>
        <v/>
      </c>
      <c r="R1929">
        <f>INDEX(Products!$F$2:$F$49,MATCH(J1929,Products!$A$2:$A$49,0))</f>
        <v/>
      </c>
      <c r="S1929">
        <f>WEEKDAY(B1929,2)</f>
        <v/>
      </c>
    </row>
    <row r="1930">
      <c r="A1930" t="n">
        <v>510300</v>
      </c>
      <c r="B1930" s="6" t="n">
        <v>45953</v>
      </c>
      <c r="C1930" t="n">
        <v>15847</v>
      </c>
      <c r="D1930" t="inlineStr">
        <is>
          <t>Hyderabad</t>
        </is>
      </c>
      <c r="E1930" t="inlineStr">
        <is>
          <t>South</t>
        </is>
      </c>
      <c r="F1930" t="inlineStr">
        <is>
          <t>Affiliate</t>
        </is>
      </c>
      <c r="G1930" t="inlineStr">
        <is>
          <t>Mobile Web</t>
        </is>
      </c>
      <c r="H1930" t="inlineStr">
        <is>
          <t>Cash on Delivery</t>
        </is>
      </c>
      <c r="I1930" t="inlineStr">
        <is>
          <t>Delivered</t>
        </is>
      </c>
      <c r="J1930" t="n">
        <v>129</v>
      </c>
      <c r="K1930" t="n">
        <v>1</v>
      </c>
      <c r="L1930" t="n">
        <v>576</v>
      </c>
      <c r="M1930" t="n">
        <v>57.6</v>
      </c>
      <c r="N1930">
        <f>VLOOKUP(J1930,Products!$A$2:$C$49,3,FALSE)</f>
        <v/>
      </c>
      <c r="O1930">
        <f>K1930*L1930-M1930</f>
        <v/>
      </c>
      <c r="P1930">
        <f>TEXT(B1930,"yyyy-mm")</f>
        <v/>
      </c>
      <c r="Q1930">
        <f>IF(O1930&gt;=3000,"Large","Small")</f>
        <v/>
      </c>
      <c r="R1930">
        <f>INDEX(Products!$F$2:$F$49,MATCH(J1930,Products!$A$2:$A$49,0))</f>
        <v/>
      </c>
      <c r="S1930">
        <f>WEEKDAY(B1930,2)</f>
        <v/>
      </c>
    </row>
    <row r="1931">
      <c r="A1931" t="n">
        <v>510301</v>
      </c>
      <c r="B1931" s="6" t="n">
        <v>45953</v>
      </c>
      <c r="C1931" t="n">
        <v>11812</v>
      </c>
      <c r="D1931" t="inlineStr">
        <is>
          <t>Gurugram</t>
        </is>
      </c>
      <c r="E1931" t="inlineStr">
        <is>
          <t>North</t>
        </is>
      </c>
      <c r="F1931" t="inlineStr">
        <is>
          <t>Organic Search</t>
        </is>
      </c>
      <c r="G1931" t="inlineStr">
        <is>
          <t>Mobile App</t>
        </is>
      </c>
      <c r="H1931" t="inlineStr">
        <is>
          <t>Net Banking</t>
        </is>
      </c>
      <c r="I1931" t="inlineStr">
        <is>
          <t>Delivered</t>
        </is>
      </c>
      <c r="J1931" t="n">
        <v>118</v>
      </c>
      <c r="K1931" t="n">
        <v>1</v>
      </c>
      <c r="L1931" t="n">
        <v>944</v>
      </c>
      <c r="M1931" t="n">
        <v>0</v>
      </c>
      <c r="N1931">
        <f>VLOOKUP(J1931,Products!$A$2:$C$49,3,FALSE)</f>
        <v/>
      </c>
      <c r="O1931">
        <f>K1931*L1931-M1931</f>
        <v/>
      </c>
      <c r="P1931">
        <f>TEXT(B1931,"yyyy-mm")</f>
        <v/>
      </c>
      <c r="Q1931">
        <f>IF(O1931&gt;=3000,"Large","Small")</f>
        <v/>
      </c>
      <c r="R1931">
        <f>INDEX(Products!$F$2:$F$49,MATCH(J1931,Products!$A$2:$A$49,0))</f>
        <v/>
      </c>
      <c r="S1931">
        <f>WEEKDAY(B1931,2)</f>
        <v/>
      </c>
    </row>
    <row r="1932">
      <c r="A1932" t="n">
        <v>510301</v>
      </c>
      <c r="B1932" s="6" t="n">
        <v>45953</v>
      </c>
      <c r="C1932" t="n">
        <v>11812</v>
      </c>
      <c r="D1932" t="inlineStr">
        <is>
          <t>Gurugram</t>
        </is>
      </c>
      <c r="E1932" t="inlineStr">
        <is>
          <t>North</t>
        </is>
      </c>
      <c r="F1932" t="inlineStr">
        <is>
          <t>Organic Search</t>
        </is>
      </c>
      <c r="G1932" t="inlineStr">
        <is>
          <t>Mobile App</t>
        </is>
      </c>
      <c r="H1932" t="inlineStr">
        <is>
          <t>Net Banking</t>
        </is>
      </c>
      <c r="I1932" t="inlineStr">
        <is>
          <t>Delivered</t>
        </is>
      </c>
      <c r="J1932" t="n">
        <v>129</v>
      </c>
      <c r="K1932" t="n">
        <v>1</v>
      </c>
      <c r="L1932" t="n">
        <v>576</v>
      </c>
      <c r="M1932" t="n">
        <v>0</v>
      </c>
      <c r="N1932">
        <f>VLOOKUP(J1932,Products!$A$2:$C$49,3,FALSE)</f>
        <v/>
      </c>
      <c r="O1932">
        <f>K1932*L1932-M1932</f>
        <v/>
      </c>
      <c r="P1932">
        <f>TEXT(B1932,"yyyy-mm")</f>
        <v/>
      </c>
      <c r="Q1932">
        <f>IF(O1932&gt;=3000,"Large","Small")</f>
        <v/>
      </c>
      <c r="R1932">
        <f>INDEX(Products!$F$2:$F$49,MATCH(J1932,Products!$A$2:$A$49,0))</f>
        <v/>
      </c>
      <c r="S1932">
        <f>WEEKDAY(B1932,2)</f>
        <v/>
      </c>
    </row>
    <row r="1933">
      <c r="A1933" t="n">
        <v>510302</v>
      </c>
      <c r="B1933" s="6" t="n">
        <v>45953</v>
      </c>
      <c r="C1933" t="n">
        <v>16735</v>
      </c>
      <c r="D1933" t="inlineStr">
        <is>
          <t>Hyderabad</t>
        </is>
      </c>
      <c r="E1933" t="inlineStr">
        <is>
          <t>South</t>
        </is>
      </c>
      <c r="F1933" t="inlineStr">
        <is>
          <t>Organic Search</t>
        </is>
      </c>
      <c r="G1933" t="inlineStr">
        <is>
          <t>Mobile App</t>
        </is>
      </c>
      <c r="H1933" t="inlineStr">
        <is>
          <t>Credit Card</t>
        </is>
      </c>
      <c r="I1933" t="inlineStr">
        <is>
          <t>Delivered</t>
        </is>
      </c>
      <c r="J1933" t="n">
        <v>131</v>
      </c>
      <c r="K1933" t="n">
        <v>1</v>
      </c>
      <c r="L1933" t="n">
        <v>314</v>
      </c>
      <c r="M1933" t="n">
        <v>47.1</v>
      </c>
      <c r="N1933">
        <f>VLOOKUP(J1933,Products!$A$2:$C$49,3,FALSE)</f>
        <v/>
      </c>
      <c r="O1933">
        <f>K1933*L1933-M1933</f>
        <v/>
      </c>
      <c r="P1933">
        <f>TEXT(B1933,"yyyy-mm")</f>
        <v/>
      </c>
      <c r="Q1933">
        <f>IF(O1933&gt;=3000,"Large","Small")</f>
        <v/>
      </c>
      <c r="R1933">
        <f>INDEX(Products!$F$2:$F$49,MATCH(J1933,Products!$A$2:$A$49,0))</f>
        <v/>
      </c>
      <c r="S1933">
        <f>WEEKDAY(B1933,2)</f>
        <v/>
      </c>
    </row>
    <row r="1934">
      <c r="A1934" t="n">
        <v>510303</v>
      </c>
      <c r="B1934" s="6" t="n">
        <v>45953</v>
      </c>
      <c r="C1934" t="n">
        <v>16031</v>
      </c>
      <c r="D1934" t="inlineStr">
        <is>
          <t>Kochi</t>
        </is>
      </c>
      <c r="E1934" t="inlineStr">
        <is>
          <t>South</t>
        </is>
      </c>
      <c r="F1934" t="inlineStr">
        <is>
          <t>Referral</t>
        </is>
      </c>
      <c r="G1934" t="inlineStr">
        <is>
          <t>Mobile App</t>
        </is>
      </c>
      <c r="H1934" t="inlineStr">
        <is>
          <t>Cash on Delivery</t>
        </is>
      </c>
      <c r="I1934" t="inlineStr">
        <is>
          <t>Cancelled</t>
        </is>
      </c>
      <c r="J1934" t="n">
        <v>137</v>
      </c>
      <c r="K1934" t="n">
        <v>1</v>
      </c>
      <c r="L1934" t="n">
        <v>261</v>
      </c>
      <c r="M1934" t="n">
        <v>26.1</v>
      </c>
      <c r="N1934">
        <f>VLOOKUP(J1934,Products!$A$2:$C$49,3,FALSE)</f>
        <v/>
      </c>
      <c r="O1934">
        <f>K1934*L1934-M1934</f>
        <v/>
      </c>
      <c r="P1934">
        <f>TEXT(B1934,"yyyy-mm")</f>
        <v/>
      </c>
      <c r="Q1934">
        <f>IF(O1934&gt;=3000,"Large","Small")</f>
        <v/>
      </c>
      <c r="R1934">
        <f>INDEX(Products!$F$2:$F$49,MATCH(J1934,Products!$A$2:$A$49,0))</f>
        <v/>
      </c>
      <c r="S1934">
        <f>WEEKDAY(B1934,2)</f>
        <v/>
      </c>
    </row>
    <row r="1935">
      <c r="A1935" t="n">
        <v>510304</v>
      </c>
      <c r="B1935" s="6" t="n">
        <v>45953</v>
      </c>
      <c r="C1935" t="n">
        <v>16989</v>
      </c>
      <c r="D1935" t="inlineStr">
        <is>
          <t>Bengaluru</t>
        </is>
      </c>
      <c r="E1935" t="inlineStr">
        <is>
          <t>South</t>
        </is>
      </c>
      <c r="F1935" t="inlineStr">
        <is>
          <t>Paid Search</t>
        </is>
      </c>
      <c r="G1935" t="inlineStr">
        <is>
          <t>Desktop</t>
        </is>
      </c>
      <c r="H1935" t="inlineStr">
        <is>
          <t>Cash on Delivery</t>
        </is>
      </c>
      <c r="I1935" t="inlineStr">
        <is>
          <t>Delivered</t>
        </is>
      </c>
      <c r="J1935" t="n">
        <v>109</v>
      </c>
      <c r="K1935" t="n">
        <v>1</v>
      </c>
      <c r="L1935" t="n">
        <v>4199</v>
      </c>
      <c r="M1935" t="n">
        <v>419.9</v>
      </c>
      <c r="N1935">
        <f>VLOOKUP(J1935,Products!$A$2:$C$49,3,FALSE)</f>
        <v/>
      </c>
      <c r="O1935">
        <f>K1935*L1935-M1935</f>
        <v/>
      </c>
      <c r="P1935">
        <f>TEXT(B1935,"yyyy-mm")</f>
        <v/>
      </c>
      <c r="Q1935">
        <f>IF(O1935&gt;=3000,"Large","Small")</f>
        <v/>
      </c>
      <c r="R1935">
        <f>INDEX(Products!$F$2:$F$49,MATCH(J1935,Products!$A$2:$A$49,0))</f>
        <v/>
      </c>
      <c r="S1935">
        <f>WEEKDAY(B1935,2)</f>
        <v/>
      </c>
    </row>
    <row r="1936">
      <c r="A1936" t="n">
        <v>510304</v>
      </c>
      <c r="B1936" s="6" t="n">
        <v>45953</v>
      </c>
      <c r="C1936" t="n">
        <v>16989</v>
      </c>
      <c r="D1936" t="inlineStr">
        <is>
          <t>Bengaluru</t>
        </is>
      </c>
      <c r="E1936" t="inlineStr">
        <is>
          <t>South</t>
        </is>
      </c>
      <c r="F1936" t="inlineStr">
        <is>
          <t>Paid Search</t>
        </is>
      </c>
      <c r="G1936" t="inlineStr">
        <is>
          <t>Desktop</t>
        </is>
      </c>
      <c r="H1936" t="inlineStr">
        <is>
          <t>Cash on Delivery</t>
        </is>
      </c>
      <c r="I1936" t="inlineStr">
        <is>
          <t>Delivered</t>
        </is>
      </c>
      <c r="J1936" t="n">
        <v>121</v>
      </c>
      <c r="K1936" t="n">
        <v>3</v>
      </c>
      <c r="L1936" t="n">
        <v>2939</v>
      </c>
      <c r="M1936" t="n">
        <v>881.7</v>
      </c>
      <c r="N1936">
        <f>VLOOKUP(J1936,Products!$A$2:$C$49,3,FALSE)</f>
        <v/>
      </c>
      <c r="O1936">
        <f>K1936*L1936-M1936</f>
        <v/>
      </c>
      <c r="P1936">
        <f>TEXT(B1936,"yyyy-mm")</f>
        <v/>
      </c>
      <c r="Q1936">
        <f>IF(O1936&gt;=3000,"Large","Small")</f>
        <v/>
      </c>
      <c r="R1936">
        <f>INDEX(Products!$F$2:$F$49,MATCH(J1936,Products!$A$2:$A$49,0))</f>
        <v/>
      </c>
      <c r="S1936">
        <f>WEEKDAY(B1936,2)</f>
        <v/>
      </c>
    </row>
    <row r="1937">
      <c r="A1937" t="n">
        <v>510304</v>
      </c>
      <c r="B1937" s="6" t="n">
        <v>45953</v>
      </c>
      <c r="C1937" t="n">
        <v>16989</v>
      </c>
      <c r="D1937" t="inlineStr">
        <is>
          <t>Bengaluru</t>
        </is>
      </c>
      <c r="E1937" t="inlineStr">
        <is>
          <t>South</t>
        </is>
      </c>
      <c r="F1937" t="inlineStr">
        <is>
          <t>Paid Search</t>
        </is>
      </c>
      <c r="G1937" t="inlineStr">
        <is>
          <t>Desktop</t>
        </is>
      </c>
      <c r="H1937" t="inlineStr">
        <is>
          <t>Cash on Delivery</t>
        </is>
      </c>
      <c r="I1937" t="inlineStr">
        <is>
          <t>Delivered</t>
        </is>
      </c>
      <c r="J1937" t="n">
        <v>129</v>
      </c>
      <c r="K1937" t="n">
        <v>1</v>
      </c>
      <c r="L1937" t="n">
        <v>576</v>
      </c>
      <c r="M1937" t="n">
        <v>57.6</v>
      </c>
      <c r="N1937">
        <f>VLOOKUP(J1937,Products!$A$2:$C$49,3,FALSE)</f>
        <v/>
      </c>
      <c r="O1937">
        <f>K1937*L1937-M1937</f>
        <v/>
      </c>
      <c r="P1937">
        <f>TEXT(B1937,"yyyy-mm")</f>
        <v/>
      </c>
      <c r="Q1937">
        <f>IF(O1937&gt;=3000,"Large","Small")</f>
        <v/>
      </c>
      <c r="R1937">
        <f>INDEX(Products!$F$2:$F$49,MATCH(J1937,Products!$A$2:$A$49,0))</f>
        <v/>
      </c>
      <c r="S1937">
        <f>WEEKDAY(B1937,2)</f>
        <v/>
      </c>
    </row>
    <row r="1938">
      <c r="A1938" t="n">
        <v>510305</v>
      </c>
      <c r="B1938" s="6" t="n">
        <v>45953</v>
      </c>
      <c r="C1938" t="n">
        <v>16917</v>
      </c>
      <c r="D1938" t="inlineStr">
        <is>
          <t>Mumbai</t>
        </is>
      </c>
      <c r="E1938" t="inlineStr">
        <is>
          <t>West</t>
        </is>
      </c>
      <c r="F1938" t="inlineStr">
        <is>
          <t>Paid Search</t>
        </is>
      </c>
      <c r="G1938" t="inlineStr">
        <is>
          <t>Mobile App</t>
        </is>
      </c>
      <c r="H1938" t="inlineStr">
        <is>
          <t>UPI</t>
        </is>
      </c>
      <c r="I1938" t="inlineStr">
        <is>
          <t>Delivered</t>
        </is>
      </c>
      <c r="J1938" t="n">
        <v>117</v>
      </c>
      <c r="K1938" t="n">
        <v>1</v>
      </c>
      <c r="L1938" t="n">
        <v>3149</v>
      </c>
      <c r="M1938" t="n">
        <v>0</v>
      </c>
      <c r="N1938">
        <f>VLOOKUP(J1938,Products!$A$2:$C$49,3,FALSE)</f>
        <v/>
      </c>
      <c r="O1938">
        <f>K1938*L1938-M1938</f>
        <v/>
      </c>
      <c r="P1938">
        <f>TEXT(B1938,"yyyy-mm")</f>
        <v/>
      </c>
      <c r="Q1938">
        <f>IF(O1938&gt;=3000,"Large","Small")</f>
        <v/>
      </c>
      <c r="R1938">
        <f>INDEX(Products!$F$2:$F$49,MATCH(J1938,Products!$A$2:$A$49,0))</f>
        <v/>
      </c>
      <c r="S1938">
        <f>WEEKDAY(B1938,2)</f>
        <v/>
      </c>
    </row>
    <row r="1939">
      <c r="A1939" t="n">
        <v>510306</v>
      </c>
      <c r="B1939" s="6" t="n">
        <v>45953</v>
      </c>
      <c r="C1939" t="n">
        <v>15880</v>
      </c>
      <c r="D1939" t="inlineStr">
        <is>
          <t>Pune</t>
        </is>
      </c>
      <c r="E1939" t="inlineStr">
        <is>
          <t>West</t>
        </is>
      </c>
      <c r="F1939" t="inlineStr">
        <is>
          <t>Email</t>
        </is>
      </c>
      <c r="G1939" t="inlineStr">
        <is>
          <t>Mobile App</t>
        </is>
      </c>
      <c r="H1939" t="inlineStr">
        <is>
          <t>UPI</t>
        </is>
      </c>
      <c r="I1939" t="inlineStr">
        <is>
          <t>Delivered</t>
        </is>
      </c>
      <c r="J1939" t="n">
        <v>127</v>
      </c>
      <c r="K1939" t="n">
        <v>1</v>
      </c>
      <c r="L1939" t="n">
        <v>681</v>
      </c>
      <c r="M1939" t="n">
        <v>68.09999999999999</v>
      </c>
      <c r="N1939">
        <f>VLOOKUP(J1939,Products!$A$2:$C$49,3,FALSE)</f>
        <v/>
      </c>
      <c r="O1939">
        <f>K1939*L1939-M1939</f>
        <v/>
      </c>
      <c r="P1939">
        <f>TEXT(B1939,"yyyy-mm")</f>
        <v/>
      </c>
      <c r="Q1939">
        <f>IF(O1939&gt;=3000,"Large","Small")</f>
        <v/>
      </c>
      <c r="R1939">
        <f>INDEX(Products!$F$2:$F$49,MATCH(J1939,Products!$A$2:$A$49,0))</f>
        <v/>
      </c>
      <c r="S1939">
        <f>WEEKDAY(B1939,2)</f>
        <v/>
      </c>
    </row>
    <row r="1940">
      <c r="A1940" t="n">
        <v>510307</v>
      </c>
      <c r="B1940" s="6" t="n">
        <v>45953</v>
      </c>
      <c r="C1940" t="n">
        <v>16988</v>
      </c>
      <c r="D1940" t="inlineStr">
        <is>
          <t>Delhi</t>
        </is>
      </c>
      <c r="E1940" t="inlineStr">
        <is>
          <t>North</t>
        </is>
      </c>
      <c r="F1940" t="inlineStr">
        <is>
          <t>Paid Social</t>
        </is>
      </c>
      <c r="G1940" t="inlineStr">
        <is>
          <t>Mobile App</t>
        </is>
      </c>
      <c r="H1940" t="inlineStr">
        <is>
          <t>UPI</t>
        </is>
      </c>
      <c r="I1940" t="inlineStr">
        <is>
          <t>Delivered</t>
        </is>
      </c>
      <c r="J1940" t="n">
        <v>144</v>
      </c>
      <c r="K1940" t="n">
        <v>1</v>
      </c>
      <c r="L1940" t="n">
        <v>3149</v>
      </c>
      <c r="M1940" t="n">
        <v>314.9</v>
      </c>
      <c r="N1940">
        <f>VLOOKUP(J1940,Products!$A$2:$C$49,3,FALSE)</f>
        <v/>
      </c>
      <c r="O1940">
        <f>K1940*L1940-M1940</f>
        <v/>
      </c>
      <c r="P1940">
        <f>TEXT(B1940,"yyyy-mm")</f>
        <v/>
      </c>
      <c r="Q1940">
        <f>IF(O1940&gt;=3000,"Large","Small")</f>
        <v/>
      </c>
      <c r="R1940">
        <f>INDEX(Products!$F$2:$F$49,MATCH(J1940,Products!$A$2:$A$49,0))</f>
        <v/>
      </c>
      <c r="S1940">
        <f>WEEKDAY(B1940,2)</f>
        <v/>
      </c>
    </row>
    <row r="1941">
      <c r="A1941" t="n">
        <v>510307</v>
      </c>
      <c r="B1941" s="6" t="n">
        <v>45953</v>
      </c>
      <c r="C1941" t="n">
        <v>16988</v>
      </c>
      <c r="D1941" t="inlineStr">
        <is>
          <t>Delhi</t>
        </is>
      </c>
      <c r="E1941" t="inlineStr">
        <is>
          <t>North</t>
        </is>
      </c>
      <c r="F1941" t="inlineStr">
        <is>
          <t>Paid Social</t>
        </is>
      </c>
      <c r="G1941" t="inlineStr">
        <is>
          <t>Mobile App</t>
        </is>
      </c>
      <c r="H1941" t="inlineStr">
        <is>
          <t>UPI</t>
        </is>
      </c>
      <c r="I1941" t="inlineStr">
        <is>
          <t>Delivered</t>
        </is>
      </c>
      <c r="J1941" t="n">
        <v>129</v>
      </c>
      <c r="K1941" t="n">
        <v>1</v>
      </c>
      <c r="L1941" t="n">
        <v>576</v>
      </c>
      <c r="M1941" t="n">
        <v>57.6</v>
      </c>
      <c r="N1941">
        <f>VLOOKUP(J1941,Products!$A$2:$C$49,3,FALSE)</f>
        <v/>
      </c>
      <c r="O1941">
        <f>K1941*L1941-M1941</f>
        <v/>
      </c>
      <c r="P1941">
        <f>TEXT(B1941,"yyyy-mm")</f>
        <v/>
      </c>
      <c r="Q1941">
        <f>IF(O1941&gt;=3000,"Large","Small")</f>
        <v/>
      </c>
      <c r="R1941">
        <f>INDEX(Products!$F$2:$F$49,MATCH(J1941,Products!$A$2:$A$49,0))</f>
        <v/>
      </c>
      <c r="S1941">
        <f>WEEKDAY(B1941,2)</f>
        <v/>
      </c>
    </row>
    <row r="1942">
      <c r="A1942" t="n">
        <v>510308</v>
      </c>
      <c r="B1942" s="6" t="n">
        <v>45953</v>
      </c>
      <c r="C1942" t="n">
        <v>16637</v>
      </c>
      <c r="D1942" t="inlineStr">
        <is>
          <t>Ahmedabad</t>
        </is>
      </c>
      <c r="E1942" t="inlineStr">
        <is>
          <t>West</t>
        </is>
      </c>
      <c r="F1942" t="inlineStr">
        <is>
          <t>Referral</t>
        </is>
      </c>
      <c r="G1942" t="inlineStr">
        <is>
          <t>Mobile App</t>
        </is>
      </c>
      <c r="H1942" t="inlineStr">
        <is>
          <t>Credit Card</t>
        </is>
      </c>
      <c r="I1942" t="inlineStr">
        <is>
          <t>Cancelled</t>
        </is>
      </c>
      <c r="J1942" t="n">
        <v>128</v>
      </c>
      <c r="K1942" t="n">
        <v>1</v>
      </c>
      <c r="L1942" t="n">
        <v>1049</v>
      </c>
      <c r="M1942" t="n">
        <v>104.9</v>
      </c>
      <c r="N1942">
        <f>VLOOKUP(J1942,Products!$A$2:$C$49,3,FALSE)</f>
        <v/>
      </c>
      <c r="O1942">
        <f>K1942*L1942-M1942</f>
        <v/>
      </c>
      <c r="P1942">
        <f>TEXT(B1942,"yyyy-mm")</f>
        <v/>
      </c>
      <c r="Q1942">
        <f>IF(O1942&gt;=3000,"Large","Small")</f>
        <v/>
      </c>
      <c r="R1942">
        <f>INDEX(Products!$F$2:$F$49,MATCH(J1942,Products!$A$2:$A$49,0))</f>
        <v/>
      </c>
      <c r="S1942">
        <f>WEEKDAY(B1942,2)</f>
        <v/>
      </c>
    </row>
    <row r="1943">
      <c r="A1943" t="n">
        <v>510309</v>
      </c>
      <c r="B1943" s="6" t="n">
        <v>45953</v>
      </c>
      <c r="C1943" t="n">
        <v>16910</v>
      </c>
      <c r="D1943" t="inlineStr">
        <is>
          <t>Hyderabad</t>
        </is>
      </c>
      <c r="E1943" t="inlineStr">
        <is>
          <t>South</t>
        </is>
      </c>
      <c r="F1943" t="inlineStr">
        <is>
          <t>Referral</t>
        </is>
      </c>
      <c r="G1943" t="inlineStr">
        <is>
          <t>Desktop</t>
        </is>
      </c>
      <c r="H1943" t="inlineStr">
        <is>
          <t>Net Banking</t>
        </is>
      </c>
      <c r="I1943" t="inlineStr">
        <is>
          <t>Returned</t>
        </is>
      </c>
      <c r="J1943" t="n">
        <v>107</v>
      </c>
      <c r="K1943" t="n">
        <v>2</v>
      </c>
      <c r="L1943" t="n">
        <v>1259</v>
      </c>
      <c r="M1943" t="n">
        <v>377.7</v>
      </c>
      <c r="N1943">
        <f>VLOOKUP(J1943,Products!$A$2:$C$49,3,FALSE)</f>
        <v/>
      </c>
      <c r="O1943">
        <f>K1943*L1943-M1943</f>
        <v/>
      </c>
      <c r="P1943">
        <f>TEXT(B1943,"yyyy-mm")</f>
        <v/>
      </c>
      <c r="Q1943">
        <f>IF(O1943&gt;=3000,"Large","Small")</f>
        <v/>
      </c>
      <c r="R1943">
        <f>INDEX(Products!$F$2:$F$49,MATCH(J1943,Products!$A$2:$A$49,0))</f>
        <v/>
      </c>
      <c r="S1943">
        <f>WEEKDAY(B1943,2)</f>
        <v/>
      </c>
    </row>
    <row r="1944">
      <c r="A1944" t="n">
        <v>510309</v>
      </c>
      <c r="B1944" s="6" t="n">
        <v>45953</v>
      </c>
      <c r="C1944" t="n">
        <v>16910</v>
      </c>
      <c r="D1944" t="inlineStr">
        <is>
          <t>Hyderabad</t>
        </is>
      </c>
      <c r="E1944" t="inlineStr">
        <is>
          <t>South</t>
        </is>
      </c>
      <c r="F1944" t="inlineStr">
        <is>
          <t>Referral</t>
        </is>
      </c>
      <c r="G1944" t="inlineStr">
        <is>
          <t>Desktop</t>
        </is>
      </c>
      <c r="H1944" t="inlineStr">
        <is>
          <t>Net Banking</t>
        </is>
      </c>
      <c r="I1944" t="inlineStr">
        <is>
          <t>Returned</t>
        </is>
      </c>
      <c r="J1944" t="n">
        <v>105</v>
      </c>
      <c r="K1944" t="n">
        <v>1</v>
      </c>
      <c r="L1944" t="n">
        <v>2414</v>
      </c>
      <c r="M1944" t="n">
        <v>362.1</v>
      </c>
      <c r="N1944">
        <f>VLOOKUP(J1944,Products!$A$2:$C$49,3,FALSE)</f>
        <v/>
      </c>
      <c r="O1944">
        <f>K1944*L1944-M1944</f>
        <v/>
      </c>
      <c r="P1944">
        <f>TEXT(B1944,"yyyy-mm")</f>
        <v/>
      </c>
      <c r="Q1944">
        <f>IF(O1944&gt;=3000,"Large","Small")</f>
        <v/>
      </c>
      <c r="R1944">
        <f>INDEX(Products!$F$2:$F$49,MATCH(J1944,Products!$A$2:$A$49,0))</f>
        <v/>
      </c>
      <c r="S1944">
        <f>WEEKDAY(B1944,2)</f>
        <v/>
      </c>
    </row>
    <row r="1945">
      <c r="A1945" t="n">
        <v>510310</v>
      </c>
      <c r="B1945" s="6" t="n">
        <v>45953</v>
      </c>
      <c r="C1945" t="n">
        <v>16944</v>
      </c>
      <c r="D1945" t="inlineStr">
        <is>
          <t>Bengaluru</t>
        </is>
      </c>
      <c r="E1945" t="inlineStr">
        <is>
          <t>South</t>
        </is>
      </c>
      <c r="F1945" t="inlineStr">
        <is>
          <t>Paid Search</t>
        </is>
      </c>
      <c r="G1945" t="inlineStr">
        <is>
          <t>Desktop</t>
        </is>
      </c>
      <c r="H1945" t="inlineStr">
        <is>
          <t>Cash on Delivery</t>
        </is>
      </c>
      <c r="I1945" t="inlineStr">
        <is>
          <t>Delivered</t>
        </is>
      </c>
      <c r="J1945" t="n">
        <v>135</v>
      </c>
      <c r="K1945" t="n">
        <v>2</v>
      </c>
      <c r="L1945" t="n">
        <v>1574</v>
      </c>
      <c r="M1945" t="n">
        <v>314.8</v>
      </c>
      <c r="N1945">
        <f>VLOOKUP(J1945,Products!$A$2:$C$49,3,FALSE)</f>
        <v/>
      </c>
      <c r="O1945">
        <f>K1945*L1945-M1945</f>
        <v/>
      </c>
      <c r="P1945">
        <f>TEXT(B1945,"yyyy-mm")</f>
        <v/>
      </c>
      <c r="Q1945">
        <f>IF(O1945&gt;=3000,"Large","Small")</f>
        <v/>
      </c>
      <c r="R1945">
        <f>INDEX(Products!$F$2:$F$49,MATCH(J1945,Products!$A$2:$A$49,0))</f>
        <v/>
      </c>
      <c r="S1945">
        <f>WEEKDAY(B1945,2)</f>
        <v/>
      </c>
    </row>
    <row r="1946">
      <c r="A1946" t="n">
        <v>510311</v>
      </c>
      <c r="B1946" s="6" t="n">
        <v>45953</v>
      </c>
      <c r="C1946" t="n">
        <v>15680</v>
      </c>
      <c r="D1946" t="inlineStr">
        <is>
          <t>Delhi</t>
        </is>
      </c>
      <c r="E1946" t="inlineStr">
        <is>
          <t>North</t>
        </is>
      </c>
      <c r="F1946" t="inlineStr">
        <is>
          <t>Organic Search</t>
        </is>
      </c>
      <c r="G1946" t="inlineStr">
        <is>
          <t>Mobile Web</t>
        </is>
      </c>
      <c r="H1946" t="inlineStr">
        <is>
          <t>Credit Card</t>
        </is>
      </c>
      <c r="I1946" t="inlineStr">
        <is>
          <t>Returned</t>
        </is>
      </c>
      <c r="J1946" t="n">
        <v>116</v>
      </c>
      <c r="K1946" t="n">
        <v>1</v>
      </c>
      <c r="L1946" t="n">
        <v>2624</v>
      </c>
      <c r="M1946" t="n">
        <v>0</v>
      </c>
      <c r="N1946">
        <f>VLOOKUP(J1946,Products!$A$2:$C$49,3,FALSE)</f>
        <v/>
      </c>
      <c r="O1946">
        <f>K1946*L1946-M1946</f>
        <v/>
      </c>
      <c r="P1946">
        <f>TEXT(B1946,"yyyy-mm")</f>
        <v/>
      </c>
      <c r="Q1946">
        <f>IF(O1946&gt;=3000,"Large","Small")</f>
        <v/>
      </c>
      <c r="R1946">
        <f>INDEX(Products!$F$2:$F$49,MATCH(J1946,Products!$A$2:$A$49,0))</f>
        <v/>
      </c>
      <c r="S1946">
        <f>WEEKDAY(B1946,2)</f>
        <v/>
      </c>
    </row>
    <row r="1947">
      <c r="A1947" t="n">
        <v>510311</v>
      </c>
      <c r="B1947" s="6" t="n">
        <v>45953</v>
      </c>
      <c r="C1947" t="n">
        <v>15680</v>
      </c>
      <c r="D1947" t="inlineStr">
        <is>
          <t>Delhi</t>
        </is>
      </c>
      <c r="E1947" t="inlineStr">
        <is>
          <t>North</t>
        </is>
      </c>
      <c r="F1947" t="inlineStr">
        <is>
          <t>Organic Search</t>
        </is>
      </c>
      <c r="G1947" t="inlineStr">
        <is>
          <t>Mobile Web</t>
        </is>
      </c>
      <c r="H1947" t="inlineStr">
        <is>
          <t>Credit Card</t>
        </is>
      </c>
      <c r="I1947" t="inlineStr">
        <is>
          <t>Returned</t>
        </is>
      </c>
      <c r="J1947" t="n">
        <v>129</v>
      </c>
      <c r="K1947" t="n">
        <v>1</v>
      </c>
      <c r="L1947" t="n">
        <v>576</v>
      </c>
      <c r="M1947" t="n">
        <v>0</v>
      </c>
      <c r="N1947">
        <f>VLOOKUP(J1947,Products!$A$2:$C$49,3,FALSE)</f>
        <v/>
      </c>
      <c r="O1947">
        <f>K1947*L1947-M1947</f>
        <v/>
      </c>
      <c r="P1947">
        <f>TEXT(B1947,"yyyy-mm")</f>
        <v/>
      </c>
      <c r="Q1947">
        <f>IF(O1947&gt;=3000,"Large","Small")</f>
        <v/>
      </c>
      <c r="R1947">
        <f>INDEX(Products!$F$2:$F$49,MATCH(J1947,Products!$A$2:$A$49,0))</f>
        <v/>
      </c>
      <c r="S1947">
        <f>WEEKDAY(B1947,2)</f>
        <v/>
      </c>
    </row>
    <row r="1948">
      <c r="A1948" t="n">
        <v>510312</v>
      </c>
      <c r="B1948" s="6" t="n">
        <v>45953</v>
      </c>
      <c r="C1948" t="n">
        <v>11062</v>
      </c>
      <c r="D1948" t="inlineStr">
        <is>
          <t>Bengaluru</t>
        </is>
      </c>
      <c r="E1948" t="inlineStr">
        <is>
          <t>South</t>
        </is>
      </c>
      <c r="F1948" t="inlineStr">
        <is>
          <t>Paid Social</t>
        </is>
      </c>
      <c r="G1948" t="inlineStr">
        <is>
          <t>Mobile Web</t>
        </is>
      </c>
      <c r="H1948" t="inlineStr">
        <is>
          <t>Credit Card</t>
        </is>
      </c>
      <c r="I1948" t="inlineStr">
        <is>
          <t>Delivered</t>
        </is>
      </c>
      <c r="J1948" t="n">
        <v>123</v>
      </c>
      <c r="K1948" t="n">
        <v>1</v>
      </c>
      <c r="L1948" t="n">
        <v>3464</v>
      </c>
      <c r="M1948" t="n">
        <v>0</v>
      </c>
      <c r="N1948">
        <f>VLOOKUP(J1948,Products!$A$2:$C$49,3,FALSE)</f>
        <v/>
      </c>
      <c r="O1948">
        <f>K1948*L1948-M1948</f>
        <v/>
      </c>
      <c r="P1948">
        <f>TEXT(B1948,"yyyy-mm")</f>
        <v/>
      </c>
      <c r="Q1948">
        <f>IF(O1948&gt;=3000,"Large","Small")</f>
        <v/>
      </c>
      <c r="R1948">
        <f>INDEX(Products!$F$2:$F$49,MATCH(J1948,Products!$A$2:$A$49,0))</f>
        <v/>
      </c>
      <c r="S1948">
        <f>WEEKDAY(B1948,2)</f>
        <v/>
      </c>
    </row>
    <row r="1949">
      <c r="A1949" t="n">
        <v>510313</v>
      </c>
      <c r="B1949" s="6" t="n">
        <v>45954</v>
      </c>
      <c r="C1949" t="n">
        <v>14667</v>
      </c>
      <c r="D1949" t="inlineStr">
        <is>
          <t>Kochi</t>
        </is>
      </c>
      <c r="E1949" t="inlineStr">
        <is>
          <t>South</t>
        </is>
      </c>
      <c r="F1949" t="inlineStr">
        <is>
          <t>Paid Social</t>
        </is>
      </c>
      <c r="G1949" t="inlineStr">
        <is>
          <t>Mobile App</t>
        </is>
      </c>
      <c r="H1949" t="inlineStr">
        <is>
          <t>Debit Card</t>
        </is>
      </c>
      <c r="I1949" t="inlineStr">
        <is>
          <t>Delivered</t>
        </is>
      </c>
      <c r="J1949" t="n">
        <v>106</v>
      </c>
      <c r="K1949" t="n">
        <v>1</v>
      </c>
      <c r="L1949" t="n">
        <v>1574</v>
      </c>
      <c r="M1949" t="n">
        <v>157.4</v>
      </c>
      <c r="N1949">
        <f>VLOOKUP(J1949,Products!$A$2:$C$49,3,FALSE)</f>
        <v/>
      </c>
      <c r="O1949">
        <f>K1949*L1949-M1949</f>
        <v/>
      </c>
      <c r="P1949">
        <f>TEXT(B1949,"yyyy-mm")</f>
        <v/>
      </c>
      <c r="Q1949">
        <f>IF(O1949&gt;=3000,"Large","Small")</f>
        <v/>
      </c>
      <c r="R1949">
        <f>INDEX(Products!$F$2:$F$49,MATCH(J1949,Products!$A$2:$A$49,0))</f>
        <v/>
      </c>
      <c r="S1949">
        <f>WEEKDAY(B1949,2)</f>
        <v/>
      </c>
    </row>
    <row r="1950">
      <c r="A1950" t="n">
        <v>510313</v>
      </c>
      <c r="B1950" s="6" t="n">
        <v>45954</v>
      </c>
      <c r="C1950" t="n">
        <v>14667</v>
      </c>
      <c r="D1950" t="inlineStr">
        <is>
          <t>Kochi</t>
        </is>
      </c>
      <c r="E1950" t="inlineStr">
        <is>
          <t>South</t>
        </is>
      </c>
      <c r="F1950" t="inlineStr">
        <is>
          <t>Paid Social</t>
        </is>
      </c>
      <c r="G1950" t="inlineStr">
        <is>
          <t>Mobile App</t>
        </is>
      </c>
      <c r="H1950" t="inlineStr">
        <is>
          <t>Debit Card</t>
        </is>
      </c>
      <c r="I1950" t="inlineStr">
        <is>
          <t>Delivered</t>
        </is>
      </c>
      <c r="J1950" t="n">
        <v>140</v>
      </c>
      <c r="K1950" t="n">
        <v>1</v>
      </c>
      <c r="L1950" t="n">
        <v>629</v>
      </c>
      <c r="M1950" t="n">
        <v>62.9</v>
      </c>
      <c r="N1950">
        <f>VLOOKUP(J1950,Products!$A$2:$C$49,3,FALSE)</f>
        <v/>
      </c>
      <c r="O1950">
        <f>K1950*L1950-M1950</f>
        <v/>
      </c>
      <c r="P1950">
        <f>TEXT(B1950,"yyyy-mm")</f>
        <v/>
      </c>
      <c r="Q1950">
        <f>IF(O1950&gt;=3000,"Large","Small")</f>
        <v/>
      </c>
      <c r="R1950">
        <f>INDEX(Products!$F$2:$F$49,MATCH(J1950,Products!$A$2:$A$49,0))</f>
        <v/>
      </c>
      <c r="S1950">
        <f>WEEKDAY(B1950,2)</f>
        <v/>
      </c>
    </row>
    <row r="1951">
      <c r="A1951" t="n">
        <v>510313</v>
      </c>
      <c r="B1951" s="6" t="n">
        <v>45954</v>
      </c>
      <c r="C1951" t="n">
        <v>14667</v>
      </c>
      <c r="D1951" t="inlineStr">
        <is>
          <t>Kochi</t>
        </is>
      </c>
      <c r="E1951" t="inlineStr">
        <is>
          <t>South</t>
        </is>
      </c>
      <c r="F1951" t="inlineStr">
        <is>
          <t>Paid Social</t>
        </is>
      </c>
      <c r="G1951" t="inlineStr">
        <is>
          <t>Mobile App</t>
        </is>
      </c>
      <c r="H1951" t="inlineStr">
        <is>
          <t>Debit Card</t>
        </is>
      </c>
      <c r="I1951" t="inlineStr">
        <is>
          <t>Delivered</t>
        </is>
      </c>
      <c r="J1951" t="n">
        <v>138</v>
      </c>
      <c r="K1951" t="n">
        <v>1</v>
      </c>
      <c r="L1951" t="n">
        <v>419</v>
      </c>
      <c r="M1951" t="n">
        <v>41.9</v>
      </c>
      <c r="N1951">
        <f>VLOOKUP(J1951,Products!$A$2:$C$49,3,FALSE)</f>
        <v/>
      </c>
      <c r="O1951">
        <f>K1951*L1951-M1951</f>
        <v/>
      </c>
      <c r="P1951">
        <f>TEXT(B1951,"yyyy-mm")</f>
        <v/>
      </c>
      <c r="Q1951">
        <f>IF(O1951&gt;=3000,"Large","Small")</f>
        <v/>
      </c>
      <c r="R1951">
        <f>INDEX(Products!$F$2:$F$49,MATCH(J1951,Products!$A$2:$A$49,0))</f>
        <v/>
      </c>
      <c r="S1951">
        <f>WEEKDAY(B1951,2)</f>
        <v/>
      </c>
    </row>
    <row r="1952">
      <c r="A1952" t="n">
        <v>510313</v>
      </c>
      <c r="B1952" s="6" t="n">
        <v>45954</v>
      </c>
      <c r="C1952" t="n">
        <v>14667</v>
      </c>
      <c r="D1952" t="inlineStr">
        <is>
          <t>Kochi</t>
        </is>
      </c>
      <c r="E1952" t="inlineStr">
        <is>
          <t>South</t>
        </is>
      </c>
      <c r="F1952" t="inlineStr">
        <is>
          <t>Paid Social</t>
        </is>
      </c>
      <c r="G1952" t="inlineStr">
        <is>
          <t>Mobile App</t>
        </is>
      </c>
      <c r="H1952" t="inlineStr">
        <is>
          <t>Debit Card</t>
        </is>
      </c>
      <c r="I1952" t="inlineStr">
        <is>
          <t>Delivered</t>
        </is>
      </c>
      <c r="J1952" t="n">
        <v>137</v>
      </c>
      <c r="K1952" t="n">
        <v>1</v>
      </c>
      <c r="L1952" t="n">
        <v>261</v>
      </c>
      <c r="M1952" t="n">
        <v>26.1</v>
      </c>
      <c r="N1952">
        <f>VLOOKUP(J1952,Products!$A$2:$C$49,3,FALSE)</f>
        <v/>
      </c>
      <c r="O1952">
        <f>K1952*L1952-M1952</f>
        <v/>
      </c>
      <c r="P1952">
        <f>TEXT(B1952,"yyyy-mm")</f>
        <v/>
      </c>
      <c r="Q1952">
        <f>IF(O1952&gt;=3000,"Large","Small")</f>
        <v/>
      </c>
      <c r="R1952">
        <f>INDEX(Products!$F$2:$F$49,MATCH(J1952,Products!$A$2:$A$49,0))</f>
        <v/>
      </c>
      <c r="S1952">
        <f>WEEKDAY(B1952,2)</f>
        <v/>
      </c>
    </row>
    <row r="1953">
      <c r="A1953" t="n">
        <v>510314</v>
      </c>
      <c r="B1953" s="6" t="n">
        <v>45954</v>
      </c>
      <c r="C1953" t="n">
        <v>16675</v>
      </c>
      <c r="D1953" t="inlineStr">
        <is>
          <t>Mumbai</t>
        </is>
      </c>
      <c r="E1953" t="inlineStr">
        <is>
          <t>West</t>
        </is>
      </c>
      <c r="F1953" t="inlineStr">
        <is>
          <t>Organic Search</t>
        </is>
      </c>
      <c r="G1953" t="inlineStr">
        <is>
          <t>Mobile Web</t>
        </is>
      </c>
      <c r="H1953" t="inlineStr">
        <is>
          <t>UPI</t>
        </is>
      </c>
      <c r="I1953" t="inlineStr">
        <is>
          <t>Delivered</t>
        </is>
      </c>
      <c r="J1953" t="n">
        <v>137</v>
      </c>
      <c r="K1953" t="n">
        <v>1</v>
      </c>
      <c r="L1953" t="n">
        <v>261</v>
      </c>
      <c r="M1953" t="n">
        <v>0</v>
      </c>
      <c r="N1953">
        <f>VLOOKUP(J1953,Products!$A$2:$C$49,3,FALSE)</f>
        <v/>
      </c>
      <c r="O1953">
        <f>K1953*L1953-M1953</f>
        <v/>
      </c>
      <c r="P1953">
        <f>TEXT(B1953,"yyyy-mm")</f>
        <v/>
      </c>
      <c r="Q1953">
        <f>IF(O1953&gt;=3000,"Large","Small")</f>
        <v/>
      </c>
      <c r="R1953">
        <f>INDEX(Products!$F$2:$F$49,MATCH(J1953,Products!$A$2:$A$49,0))</f>
        <v/>
      </c>
      <c r="S1953">
        <f>WEEKDAY(B1953,2)</f>
        <v/>
      </c>
    </row>
    <row r="1954">
      <c r="A1954" t="n">
        <v>510315</v>
      </c>
      <c r="B1954" s="6" t="n">
        <v>45954</v>
      </c>
      <c r="C1954" t="n">
        <v>13587</v>
      </c>
      <c r="D1954" t="inlineStr">
        <is>
          <t>Delhi</t>
        </is>
      </c>
      <c r="E1954" t="inlineStr">
        <is>
          <t>North</t>
        </is>
      </c>
      <c r="F1954" t="inlineStr">
        <is>
          <t>Email</t>
        </is>
      </c>
      <c r="G1954" t="inlineStr">
        <is>
          <t>Mobile App</t>
        </is>
      </c>
      <c r="H1954" t="inlineStr">
        <is>
          <t>UPI</t>
        </is>
      </c>
      <c r="I1954" t="inlineStr">
        <is>
          <t>Delivered</t>
        </is>
      </c>
      <c r="J1954" t="n">
        <v>140</v>
      </c>
      <c r="K1954" t="n">
        <v>1</v>
      </c>
      <c r="L1954" t="n">
        <v>629</v>
      </c>
      <c r="M1954" t="n">
        <v>62.9</v>
      </c>
      <c r="N1954">
        <f>VLOOKUP(J1954,Products!$A$2:$C$49,3,FALSE)</f>
        <v/>
      </c>
      <c r="O1954">
        <f>K1954*L1954-M1954</f>
        <v/>
      </c>
      <c r="P1954">
        <f>TEXT(B1954,"yyyy-mm")</f>
        <v/>
      </c>
      <c r="Q1954">
        <f>IF(O1954&gt;=3000,"Large","Small")</f>
        <v/>
      </c>
      <c r="R1954">
        <f>INDEX(Products!$F$2:$F$49,MATCH(J1954,Products!$A$2:$A$49,0))</f>
        <v/>
      </c>
      <c r="S1954">
        <f>WEEKDAY(B1954,2)</f>
        <v/>
      </c>
    </row>
    <row r="1955">
      <c r="A1955" t="n">
        <v>510315</v>
      </c>
      <c r="B1955" s="6" t="n">
        <v>45954</v>
      </c>
      <c r="C1955" t="n">
        <v>13587</v>
      </c>
      <c r="D1955" t="inlineStr">
        <is>
          <t>Delhi</t>
        </is>
      </c>
      <c r="E1955" t="inlineStr">
        <is>
          <t>North</t>
        </is>
      </c>
      <c r="F1955" t="inlineStr">
        <is>
          <t>Email</t>
        </is>
      </c>
      <c r="G1955" t="inlineStr">
        <is>
          <t>Mobile App</t>
        </is>
      </c>
      <c r="H1955" t="inlineStr">
        <is>
          <t>UPI</t>
        </is>
      </c>
      <c r="I1955" t="inlineStr">
        <is>
          <t>Delivered</t>
        </is>
      </c>
      <c r="J1955" t="n">
        <v>107</v>
      </c>
      <c r="K1955" t="n">
        <v>1</v>
      </c>
      <c r="L1955" t="n">
        <v>1259</v>
      </c>
      <c r="M1955" t="n">
        <v>125.9</v>
      </c>
      <c r="N1955">
        <f>VLOOKUP(J1955,Products!$A$2:$C$49,3,FALSE)</f>
        <v/>
      </c>
      <c r="O1955">
        <f>K1955*L1955-M1955</f>
        <v/>
      </c>
      <c r="P1955">
        <f>TEXT(B1955,"yyyy-mm")</f>
        <v/>
      </c>
      <c r="Q1955">
        <f>IF(O1955&gt;=3000,"Large","Small")</f>
        <v/>
      </c>
      <c r="R1955">
        <f>INDEX(Products!$F$2:$F$49,MATCH(J1955,Products!$A$2:$A$49,0))</f>
        <v/>
      </c>
      <c r="S1955">
        <f>WEEKDAY(B1955,2)</f>
        <v/>
      </c>
    </row>
    <row r="1956">
      <c r="A1956" t="n">
        <v>510315</v>
      </c>
      <c r="B1956" s="6" t="n">
        <v>45954</v>
      </c>
      <c r="C1956" t="n">
        <v>13587</v>
      </c>
      <c r="D1956" t="inlineStr">
        <is>
          <t>Delhi</t>
        </is>
      </c>
      <c r="E1956" t="inlineStr">
        <is>
          <t>North</t>
        </is>
      </c>
      <c r="F1956" t="inlineStr">
        <is>
          <t>Email</t>
        </is>
      </c>
      <c r="G1956" t="inlineStr">
        <is>
          <t>Mobile App</t>
        </is>
      </c>
      <c r="H1956" t="inlineStr">
        <is>
          <t>UPI</t>
        </is>
      </c>
      <c r="I1956" t="inlineStr">
        <is>
          <t>Delivered</t>
        </is>
      </c>
      <c r="J1956" t="n">
        <v>108</v>
      </c>
      <c r="K1956" t="n">
        <v>1</v>
      </c>
      <c r="L1956" t="n">
        <v>419</v>
      </c>
      <c r="M1956" t="n">
        <v>41.9</v>
      </c>
      <c r="N1956">
        <f>VLOOKUP(J1956,Products!$A$2:$C$49,3,FALSE)</f>
        <v/>
      </c>
      <c r="O1956">
        <f>K1956*L1956-M1956</f>
        <v/>
      </c>
      <c r="P1956">
        <f>TEXT(B1956,"yyyy-mm")</f>
        <v/>
      </c>
      <c r="Q1956">
        <f>IF(O1956&gt;=3000,"Large","Small")</f>
        <v/>
      </c>
      <c r="R1956">
        <f>INDEX(Products!$F$2:$F$49,MATCH(J1956,Products!$A$2:$A$49,0))</f>
        <v/>
      </c>
      <c r="S1956">
        <f>WEEKDAY(B1956,2)</f>
        <v/>
      </c>
    </row>
    <row r="1957">
      <c r="A1957" t="n">
        <v>510316</v>
      </c>
      <c r="B1957" s="6" t="n">
        <v>45954</v>
      </c>
      <c r="C1957" t="n">
        <v>15567</v>
      </c>
      <c r="D1957" t="inlineStr">
        <is>
          <t>Gurugram</t>
        </is>
      </c>
      <c r="E1957" t="inlineStr">
        <is>
          <t>North</t>
        </is>
      </c>
      <c r="F1957" t="inlineStr">
        <is>
          <t>Email</t>
        </is>
      </c>
      <c r="G1957" t="inlineStr">
        <is>
          <t>Desktop</t>
        </is>
      </c>
      <c r="H1957" t="inlineStr">
        <is>
          <t>Cash on Delivery</t>
        </is>
      </c>
      <c r="I1957" t="inlineStr">
        <is>
          <t>Returned</t>
        </is>
      </c>
      <c r="J1957" t="n">
        <v>126</v>
      </c>
      <c r="K1957" t="n">
        <v>1</v>
      </c>
      <c r="L1957" t="n">
        <v>471</v>
      </c>
      <c r="M1957" t="n">
        <v>0</v>
      </c>
      <c r="N1957">
        <f>VLOOKUP(J1957,Products!$A$2:$C$49,3,FALSE)</f>
        <v/>
      </c>
      <c r="O1957">
        <f>K1957*L1957-M1957</f>
        <v/>
      </c>
      <c r="P1957">
        <f>TEXT(B1957,"yyyy-mm")</f>
        <v/>
      </c>
      <c r="Q1957">
        <f>IF(O1957&gt;=3000,"Large","Small")</f>
        <v/>
      </c>
      <c r="R1957">
        <f>INDEX(Products!$F$2:$F$49,MATCH(J1957,Products!$A$2:$A$49,0))</f>
        <v/>
      </c>
      <c r="S1957">
        <f>WEEKDAY(B1957,2)</f>
        <v/>
      </c>
    </row>
    <row r="1958">
      <c r="A1958" t="n">
        <v>510317</v>
      </c>
      <c r="B1958" s="6" t="n">
        <v>45954</v>
      </c>
      <c r="C1958" t="n">
        <v>13019</v>
      </c>
      <c r="D1958" t="inlineStr">
        <is>
          <t>Pune</t>
        </is>
      </c>
      <c r="E1958" t="inlineStr">
        <is>
          <t>West</t>
        </is>
      </c>
      <c r="F1958" t="inlineStr">
        <is>
          <t>Paid Social</t>
        </is>
      </c>
      <c r="G1958" t="inlineStr">
        <is>
          <t>Mobile App</t>
        </is>
      </c>
      <c r="H1958" t="inlineStr">
        <is>
          <t>Cash on Delivery</t>
        </is>
      </c>
      <c r="I1958" t="inlineStr">
        <is>
          <t>Delivered</t>
        </is>
      </c>
      <c r="J1958" t="n">
        <v>131</v>
      </c>
      <c r="K1958" t="n">
        <v>1</v>
      </c>
      <c r="L1958" t="n">
        <v>314</v>
      </c>
      <c r="M1958" t="n">
        <v>0</v>
      </c>
      <c r="N1958">
        <f>VLOOKUP(J1958,Products!$A$2:$C$49,3,FALSE)</f>
        <v/>
      </c>
      <c r="O1958">
        <f>K1958*L1958-M1958</f>
        <v/>
      </c>
      <c r="P1958">
        <f>TEXT(B1958,"yyyy-mm")</f>
        <v/>
      </c>
      <c r="Q1958">
        <f>IF(O1958&gt;=3000,"Large","Small")</f>
        <v/>
      </c>
      <c r="R1958">
        <f>INDEX(Products!$F$2:$F$49,MATCH(J1958,Products!$A$2:$A$49,0))</f>
        <v/>
      </c>
      <c r="S1958">
        <f>WEEKDAY(B1958,2)</f>
        <v/>
      </c>
    </row>
    <row r="1959">
      <c r="A1959" t="n">
        <v>510317</v>
      </c>
      <c r="B1959" s="6" t="n">
        <v>45954</v>
      </c>
      <c r="C1959" t="n">
        <v>13019</v>
      </c>
      <c r="D1959" t="inlineStr">
        <is>
          <t>Pune</t>
        </is>
      </c>
      <c r="E1959" t="inlineStr">
        <is>
          <t>West</t>
        </is>
      </c>
      <c r="F1959" t="inlineStr">
        <is>
          <t>Paid Social</t>
        </is>
      </c>
      <c r="G1959" t="inlineStr">
        <is>
          <t>Mobile App</t>
        </is>
      </c>
      <c r="H1959" t="inlineStr">
        <is>
          <t>Cash on Delivery</t>
        </is>
      </c>
      <c r="I1959" t="inlineStr">
        <is>
          <t>Delivered</t>
        </is>
      </c>
      <c r="J1959" t="n">
        <v>129</v>
      </c>
      <c r="K1959" t="n">
        <v>1</v>
      </c>
      <c r="L1959" t="n">
        <v>576</v>
      </c>
      <c r="M1959" t="n">
        <v>0</v>
      </c>
      <c r="N1959">
        <f>VLOOKUP(J1959,Products!$A$2:$C$49,3,FALSE)</f>
        <v/>
      </c>
      <c r="O1959">
        <f>K1959*L1959-M1959</f>
        <v/>
      </c>
      <c r="P1959">
        <f>TEXT(B1959,"yyyy-mm")</f>
        <v/>
      </c>
      <c r="Q1959">
        <f>IF(O1959&gt;=3000,"Large","Small")</f>
        <v/>
      </c>
      <c r="R1959">
        <f>INDEX(Products!$F$2:$F$49,MATCH(J1959,Products!$A$2:$A$49,0))</f>
        <v/>
      </c>
      <c r="S1959">
        <f>WEEKDAY(B1959,2)</f>
        <v/>
      </c>
    </row>
    <row r="1960">
      <c r="A1960" t="n">
        <v>510318</v>
      </c>
      <c r="B1960" s="6" t="n">
        <v>45954</v>
      </c>
      <c r="C1960" t="n">
        <v>17004</v>
      </c>
      <c r="D1960" t="inlineStr">
        <is>
          <t>Bengaluru</t>
        </is>
      </c>
      <c r="E1960" t="inlineStr">
        <is>
          <t>South</t>
        </is>
      </c>
      <c r="F1960" t="inlineStr">
        <is>
          <t>Email</t>
        </is>
      </c>
      <c r="G1960" t="inlineStr">
        <is>
          <t>Desktop</t>
        </is>
      </c>
      <c r="H1960" t="inlineStr">
        <is>
          <t>UPI</t>
        </is>
      </c>
      <c r="I1960" t="inlineStr">
        <is>
          <t>Delivered</t>
        </is>
      </c>
      <c r="J1960" t="n">
        <v>103</v>
      </c>
      <c r="K1960" t="n">
        <v>2</v>
      </c>
      <c r="L1960" t="n">
        <v>2624</v>
      </c>
      <c r="M1960" t="n">
        <v>524.8</v>
      </c>
      <c r="N1960">
        <f>VLOOKUP(J1960,Products!$A$2:$C$49,3,FALSE)</f>
        <v/>
      </c>
      <c r="O1960">
        <f>K1960*L1960-M1960</f>
        <v/>
      </c>
      <c r="P1960">
        <f>TEXT(B1960,"yyyy-mm")</f>
        <v/>
      </c>
      <c r="Q1960">
        <f>IF(O1960&gt;=3000,"Large","Small")</f>
        <v/>
      </c>
      <c r="R1960">
        <f>INDEX(Products!$F$2:$F$49,MATCH(J1960,Products!$A$2:$A$49,0))</f>
        <v/>
      </c>
      <c r="S1960">
        <f>WEEKDAY(B1960,2)</f>
        <v/>
      </c>
    </row>
    <row r="1961">
      <c r="A1961" t="n">
        <v>510318</v>
      </c>
      <c r="B1961" s="6" t="n">
        <v>45954</v>
      </c>
      <c r="C1961" t="n">
        <v>17004</v>
      </c>
      <c r="D1961" t="inlineStr">
        <is>
          <t>Bengaluru</t>
        </is>
      </c>
      <c r="E1961" t="inlineStr">
        <is>
          <t>South</t>
        </is>
      </c>
      <c r="F1961" t="inlineStr">
        <is>
          <t>Email</t>
        </is>
      </c>
      <c r="G1961" t="inlineStr">
        <is>
          <t>Desktop</t>
        </is>
      </c>
      <c r="H1961" t="inlineStr">
        <is>
          <t>UPI</t>
        </is>
      </c>
      <c r="I1961" t="inlineStr">
        <is>
          <t>Delivered</t>
        </is>
      </c>
      <c r="J1961" t="n">
        <v>129</v>
      </c>
      <c r="K1961" t="n">
        <v>1</v>
      </c>
      <c r="L1961" t="n">
        <v>576</v>
      </c>
      <c r="M1961" t="n">
        <v>57.6</v>
      </c>
      <c r="N1961">
        <f>VLOOKUP(J1961,Products!$A$2:$C$49,3,FALSE)</f>
        <v/>
      </c>
      <c r="O1961">
        <f>K1961*L1961-M1961</f>
        <v/>
      </c>
      <c r="P1961">
        <f>TEXT(B1961,"yyyy-mm")</f>
        <v/>
      </c>
      <c r="Q1961">
        <f>IF(O1961&gt;=3000,"Large","Small")</f>
        <v/>
      </c>
      <c r="R1961">
        <f>INDEX(Products!$F$2:$F$49,MATCH(J1961,Products!$A$2:$A$49,0))</f>
        <v/>
      </c>
      <c r="S1961">
        <f>WEEKDAY(B1961,2)</f>
        <v/>
      </c>
    </row>
    <row r="1962">
      <c r="A1962" t="n">
        <v>510319</v>
      </c>
      <c r="B1962" s="6" t="n">
        <v>45954</v>
      </c>
      <c r="C1962" t="n">
        <v>16906</v>
      </c>
      <c r="D1962" t="inlineStr">
        <is>
          <t>Delhi</t>
        </is>
      </c>
      <c r="E1962" t="inlineStr">
        <is>
          <t>North</t>
        </is>
      </c>
      <c r="F1962" t="inlineStr">
        <is>
          <t>Paid Search</t>
        </is>
      </c>
      <c r="G1962" t="inlineStr">
        <is>
          <t>Mobile App</t>
        </is>
      </c>
      <c r="H1962" t="inlineStr">
        <is>
          <t>Debit Card</t>
        </is>
      </c>
      <c r="I1962" t="inlineStr">
        <is>
          <t>Delivered</t>
        </is>
      </c>
      <c r="J1962" t="n">
        <v>127</v>
      </c>
      <c r="K1962" t="n">
        <v>1</v>
      </c>
      <c r="L1962" t="n">
        <v>681</v>
      </c>
      <c r="M1962" t="n">
        <v>68.09999999999999</v>
      </c>
      <c r="N1962">
        <f>VLOOKUP(J1962,Products!$A$2:$C$49,3,FALSE)</f>
        <v/>
      </c>
      <c r="O1962">
        <f>K1962*L1962-M1962</f>
        <v/>
      </c>
      <c r="P1962">
        <f>TEXT(B1962,"yyyy-mm")</f>
        <v/>
      </c>
      <c r="Q1962">
        <f>IF(O1962&gt;=3000,"Large","Small")</f>
        <v/>
      </c>
      <c r="R1962">
        <f>INDEX(Products!$F$2:$F$49,MATCH(J1962,Products!$A$2:$A$49,0))</f>
        <v/>
      </c>
      <c r="S1962">
        <f>WEEKDAY(B1962,2)</f>
        <v/>
      </c>
    </row>
    <row r="1963">
      <c r="A1963" t="n">
        <v>510319</v>
      </c>
      <c r="B1963" s="6" t="n">
        <v>45954</v>
      </c>
      <c r="C1963" t="n">
        <v>16906</v>
      </c>
      <c r="D1963" t="inlineStr">
        <is>
          <t>Delhi</t>
        </is>
      </c>
      <c r="E1963" t="inlineStr">
        <is>
          <t>North</t>
        </is>
      </c>
      <c r="F1963" t="inlineStr">
        <is>
          <t>Paid Search</t>
        </is>
      </c>
      <c r="G1963" t="inlineStr">
        <is>
          <t>Mobile App</t>
        </is>
      </c>
      <c r="H1963" t="inlineStr">
        <is>
          <t>Debit Card</t>
        </is>
      </c>
      <c r="I1963" t="inlineStr">
        <is>
          <t>Delivered</t>
        </is>
      </c>
      <c r="J1963" t="n">
        <v>109</v>
      </c>
      <c r="K1963" t="n">
        <v>2</v>
      </c>
      <c r="L1963" t="n">
        <v>4199</v>
      </c>
      <c r="M1963" t="n">
        <v>839.8</v>
      </c>
      <c r="N1963">
        <f>VLOOKUP(J1963,Products!$A$2:$C$49,3,FALSE)</f>
        <v/>
      </c>
      <c r="O1963">
        <f>K1963*L1963-M1963</f>
        <v/>
      </c>
      <c r="P1963">
        <f>TEXT(B1963,"yyyy-mm")</f>
        <v/>
      </c>
      <c r="Q1963">
        <f>IF(O1963&gt;=3000,"Large","Small")</f>
        <v/>
      </c>
      <c r="R1963">
        <f>INDEX(Products!$F$2:$F$49,MATCH(J1963,Products!$A$2:$A$49,0))</f>
        <v/>
      </c>
      <c r="S1963">
        <f>WEEKDAY(B1963,2)</f>
        <v/>
      </c>
    </row>
    <row r="1964">
      <c r="A1964" t="n">
        <v>510320</v>
      </c>
      <c r="B1964" s="6" t="n">
        <v>45954</v>
      </c>
      <c r="C1964" t="n">
        <v>15137</v>
      </c>
      <c r="D1964" t="inlineStr">
        <is>
          <t>Kolkata</t>
        </is>
      </c>
      <c r="E1964" t="inlineStr">
        <is>
          <t>East</t>
        </is>
      </c>
      <c r="F1964" t="inlineStr">
        <is>
          <t>Organic Search</t>
        </is>
      </c>
      <c r="G1964" t="inlineStr">
        <is>
          <t>Mobile Web</t>
        </is>
      </c>
      <c r="H1964" t="inlineStr">
        <is>
          <t>UPI</t>
        </is>
      </c>
      <c r="I1964" t="inlineStr">
        <is>
          <t>Delivered</t>
        </is>
      </c>
      <c r="J1964" t="n">
        <v>111</v>
      </c>
      <c r="K1964" t="n">
        <v>1</v>
      </c>
      <c r="L1964" t="n">
        <v>524</v>
      </c>
      <c r="M1964" t="n">
        <v>52.4</v>
      </c>
      <c r="N1964">
        <f>VLOOKUP(J1964,Products!$A$2:$C$49,3,FALSE)</f>
        <v/>
      </c>
      <c r="O1964">
        <f>K1964*L1964-M1964</f>
        <v/>
      </c>
      <c r="P1964">
        <f>TEXT(B1964,"yyyy-mm")</f>
        <v/>
      </c>
      <c r="Q1964">
        <f>IF(O1964&gt;=3000,"Large","Small")</f>
        <v/>
      </c>
      <c r="R1964">
        <f>INDEX(Products!$F$2:$F$49,MATCH(J1964,Products!$A$2:$A$49,0))</f>
        <v/>
      </c>
      <c r="S1964">
        <f>WEEKDAY(B1964,2)</f>
        <v/>
      </c>
    </row>
    <row r="1965">
      <c r="A1965" t="n">
        <v>510321</v>
      </c>
      <c r="B1965" s="6" t="n">
        <v>45954</v>
      </c>
      <c r="C1965" t="n">
        <v>15743</v>
      </c>
      <c r="D1965" t="inlineStr">
        <is>
          <t>Kolkata</t>
        </is>
      </c>
      <c r="E1965" t="inlineStr">
        <is>
          <t>East</t>
        </is>
      </c>
      <c r="F1965" t="inlineStr">
        <is>
          <t>Organic Search</t>
        </is>
      </c>
      <c r="G1965" t="inlineStr">
        <is>
          <t>Mobile App</t>
        </is>
      </c>
      <c r="H1965" t="inlineStr">
        <is>
          <t>Debit Card</t>
        </is>
      </c>
      <c r="I1965" t="inlineStr">
        <is>
          <t>Delivered</t>
        </is>
      </c>
      <c r="J1965" t="n">
        <v>103</v>
      </c>
      <c r="K1965" t="n">
        <v>1</v>
      </c>
      <c r="L1965" t="n">
        <v>2624</v>
      </c>
      <c r="M1965" t="n">
        <v>131.2</v>
      </c>
      <c r="N1965">
        <f>VLOOKUP(J1965,Products!$A$2:$C$49,3,FALSE)</f>
        <v/>
      </c>
      <c r="O1965">
        <f>K1965*L1965-M1965</f>
        <v/>
      </c>
      <c r="P1965">
        <f>TEXT(B1965,"yyyy-mm")</f>
        <v/>
      </c>
      <c r="Q1965">
        <f>IF(O1965&gt;=3000,"Large","Small")</f>
        <v/>
      </c>
      <c r="R1965">
        <f>INDEX(Products!$F$2:$F$49,MATCH(J1965,Products!$A$2:$A$49,0))</f>
        <v/>
      </c>
      <c r="S1965">
        <f>WEEKDAY(B1965,2)</f>
        <v/>
      </c>
    </row>
    <row r="1966">
      <c r="A1966" t="n">
        <v>510322</v>
      </c>
      <c r="B1966" s="6" t="n">
        <v>45954</v>
      </c>
      <c r="C1966" t="n">
        <v>10276</v>
      </c>
      <c r="D1966" t="inlineStr">
        <is>
          <t>Chandigarh</t>
        </is>
      </c>
      <c r="E1966" t="inlineStr">
        <is>
          <t>North</t>
        </is>
      </c>
      <c r="F1966" t="inlineStr">
        <is>
          <t>Referral</t>
        </is>
      </c>
      <c r="G1966" t="inlineStr">
        <is>
          <t>Mobile Web</t>
        </is>
      </c>
      <c r="H1966" t="inlineStr">
        <is>
          <t>Net Banking</t>
        </is>
      </c>
      <c r="I1966" t="inlineStr">
        <is>
          <t>Delivered</t>
        </is>
      </c>
      <c r="J1966" t="n">
        <v>123</v>
      </c>
      <c r="K1966" t="n">
        <v>1</v>
      </c>
      <c r="L1966" t="n">
        <v>3464</v>
      </c>
      <c r="M1966" t="n">
        <v>346.4</v>
      </c>
      <c r="N1966">
        <f>VLOOKUP(J1966,Products!$A$2:$C$49,3,FALSE)</f>
        <v/>
      </c>
      <c r="O1966">
        <f>K1966*L1966-M1966</f>
        <v/>
      </c>
      <c r="P1966">
        <f>TEXT(B1966,"yyyy-mm")</f>
        <v/>
      </c>
      <c r="Q1966">
        <f>IF(O1966&gt;=3000,"Large","Small")</f>
        <v/>
      </c>
      <c r="R1966">
        <f>INDEX(Products!$F$2:$F$49,MATCH(J1966,Products!$A$2:$A$49,0))</f>
        <v/>
      </c>
      <c r="S1966">
        <f>WEEKDAY(B1966,2)</f>
        <v/>
      </c>
    </row>
    <row r="1967">
      <c r="A1967" t="n">
        <v>510323</v>
      </c>
      <c r="B1967" s="6" t="n">
        <v>45954</v>
      </c>
      <c r="C1967" t="n">
        <v>15512</v>
      </c>
      <c r="D1967" t="inlineStr">
        <is>
          <t>Delhi</t>
        </is>
      </c>
      <c r="E1967" t="inlineStr">
        <is>
          <t>North</t>
        </is>
      </c>
      <c r="F1967" t="inlineStr">
        <is>
          <t>Email</t>
        </is>
      </c>
      <c r="G1967" t="inlineStr">
        <is>
          <t>Mobile Web</t>
        </is>
      </c>
      <c r="H1967" t="inlineStr">
        <is>
          <t>Credit Card</t>
        </is>
      </c>
      <c r="I1967" t="inlineStr">
        <is>
          <t>Delivered</t>
        </is>
      </c>
      <c r="J1967" t="n">
        <v>107</v>
      </c>
      <c r="K1967" t="n">
        <v>1</v>
      </c>
      <c r="L1967" t="n">
        <v>1259</v>
      </c>
      <c r="M1967" t="n">
        <v>0</v>
      </c>
      <c r="N1967">
        <f>VLOOKUP(J1967,Products!$A$2:$C$49,3,FALSE)</f>
        <v/>
      </c>
      <c r="O1967">
        <f>K1967*L1967-M1967</f>
        <v/>
      </c>
      <c r="P1967">
        <f>TEXT(B1967,"yyyy-mm")</f>
        <v/>
      </c>
      <c r="Q1967">
        <f>IF(O1967&gt;=3000,"Large","Small")</f>
        <v/>
      </c>
      <c r="R1967">
        <f>INDEX(Products!$F$2:$F$49,MATCH(J1967,Products!$A$2:$A$49,0))</f>
        <v/>
      </c>
      <c r="S1967">
        <f>WEEKDAY(B1967,2)</f>
        <v/>
      </c>
    </row>
    <row r="1968">
      <c r="A1968" t="n">
        <v>510323</v>
      </c>
      <c r="B1968" s="6" t="n">
        <v>45954</v>
      </c>
      <c r="C1968" t="n">
        <v>15512</v>
      </c>
      <c r="D1968" t="inlineStr">
        <is>
          <t>Delhi</t>
        </is>
      </c>
      <c r="E1968" t="inlineStr">
        <is>
          <t>North</t>
        </is>
      </c>
      <c r="F1968" t="inlineStr">
        <is>
          <t>Email</t>
        </is>
      </c>
      <c r="G1968" t="inlineStr">
        <is>
          <t>Mobile Web</t>
        </is>
      </c>
      <c r="H1968" t="inlineStr">
        <is>
          <t>Credit Card</t>
        </is>
      </c>
      <c r="I1968" t="inlineStr">
        <is>
          <t>Delivered</t>
        </is>
      </c>
      <c r="J1968" t="n">
        <v>112</v>
      </c>
      <c r="K1968" t="n">
        <v>1</v>
      </c>
      <c r="L1968" t="n">
        <v>1574</v>
      </c>
      <c r="M1968" t="n">
        <v>0</v>
      </c>
      <c r="N1968">
        <f>VLOOKUP(J1968,Products!$A$2:$C$49,3,FALSE)</f>
        <v/>
      </c>
      <c r="O1968">
        <f>K1968*L1968-M1968</f>
        <v/>
      </c>
      <c r="P1968">
        <f>TEXT(B1968,"yyyy-mm")</f>
        <v/>
      </c>
      <c r="Q1968">
        <f>IF(O1968&gt;=3000,"Large","Small")</f>
        <v/>
      </c>
      <c r="R1968">
        <f>INDEX(Products!$F$2:$F$49,MATCH(J1968,Products!$A$2:$A$49,0))</f>
        <v/>
      </c>
      <c r="S1968">
        <f>WEEKDAY(B1968,2)</f>
        <v/>
      </c>
    </row>
    <row r="1969">
      <c r="A1969" t="n">
        <v>510323</v>
      </c>
      <c r="B1969" s="6" t="n">
        <v>45954</v>
      </c>
      <c r="C1969" t="n">
        <v>15512</v>
      </c>
      <c r="D1969" t="inlineStr">
        <is>
          <t>Delhi</t>
        </is>
      </c>
      <c r="E1969" t="inlineStr">
        <is>
          <t>North</t>
        </is>
      </c>
      <c r="F1969" t="inlineStr">
        <is>
          <t>Email</t>
        </is>
      </c>
      <c r="G1969" t="inlineStr">
        <is>
          <t>Mobile Web</t>
        </is>
      </c>
      <c r="H1969" t="inlineStr">
        <is>
          <t>Credit Card</t>
        </is>
      </c>
      <c r="I1969" t="inlineStr">
        <is>
          <t>Delivered</t>
        </is>
      </c>
      <c r="J1969" t="n">
        <v>111</v>
      </c>
      <c r="K1969" t="n">
        <v>1</v>
      </c>
      <c r="L1969" t="n">
        <v>524</v>
      </c>
      <c r="M1969" t="n">
        <v>0</v>
      </c>
      <c r="N1969">
        <f>VLOOKUP(J1969,Products!$A$2:$C$49,3,FALSE)</f>
        <v/>
      </c>
      <c r="O1969">
        <f>K1969*L1969-M1969</f>
        <v/>
      </c>
      <c r="P1969">
        <f>TEXT(B1969,"yyyy-mm")</f>
        <v/>
      </c>
      <c r="Q1969">
        <f>IF(O1969&gt;=3000,"Large","Small")</f>
        <v/>
      </c>
      <c r="R1969">
        <f>INDEX(Products!$F$2:$F$49,MATCH(J1969,Products!$A$2:$A$49,0))</f>
        <v/>
      </c>
      <c r="S1969">
        <f>WEEKDAY(B1969,2)</f>
        <v/>
      </c>
    </row>
    <row r="1970">
      <c r="A1970" t="n">
        <v>510324</v>
      </c>
      <c r="B1970" s="6" t="n">
        <v>45954</v>
      </c>
      <c r="C1970" t="n">
        <v>16963</v>
      </c>
      <c r="D1970" t="inlineStr">
        <is>
          <t>Kochi</t>
        </is>
      </c>
      <c r="E1970" t="inlineStr">
        <is>
          <t>South</t>
        </is>
      </c>
      <c r="F1970" t="inlineStr">
        <is>
          <t>Affiliate</t>
        </is>
      </c>
      <c r="G1970" t="inlineStr">
        <is>
          <t>Desktop</t>
        </is>
      </c>
      <c r="H1970" t="inlineStr">
        <is>
          <t>UPI</t>
        </is>
      </c>
      <c r="I1970" t="inlineStr">
        <is>
          <t>Delivered</t>
        </is>
      </c>
      <c r="J1970" t="n">
        <v>118</v>
      </c>
      <c r="K1970" t="n">
        <v>1</v>
      </c>
      <c r="L1970" t="n">
        <v>944</v>
      </c>
      <c r="M1970" t="n">
        <v>94.40000000000001</v>
      </c>
      <c r="N1970">
        <f>VLOOKUP(J1970,Products!$A$2:$C$49,3,FALSE)</f>
        <v/>
      </c>
      <c r="O1970">
        <f>K1970*L1970-M1970</f>
        <v/>
      </c>
      <c r="P1970">
        <f>TEXT(B1970,"yyyy-mm")</f>
        <v/>
      </c>
      <c r="Q1970">
        <f>IF(O1970&gt;=3000,"Large","Small")</f>
        <v/>
      </c>
      <c r="R1970">
        <f>INDEX(Products!$F$2:$F$49,MATCH(J1970,Products!$A$2:$A$49,0))</f>
        <v/>
      </c>
      <c r="S1970">
        <f>WEEKDAY(B1970,2)</f>
        <v/>
      </c>
    </row>
    <row r="1971">
      <c r="A1971" t="n">
        <v>510324</v>
      </c>
      <c r="B1971" s="6" t="n">
        <v>45954</v>
      </c>
      <c r="C1971" t="n">
        <v>16963</v>
      </c>
      <c r="D1971" t="inlineStr">
        <is>
          <t>Kochi</t>
        </is>
      </c>
      <c r="E1971" t="inlineStr">
        <is>
          <t>South</t>
        </is>
      </c>
      <c r="F1971" t="inlineStr">
        <is>
          <t>Affiliate</t>
        </is>
      </c>
      <c r="G1971" t="inlineStr">
        <is>
          <t>Desktop</t>
        </is>
      </c>
      <c r="H1971" t="inlineStr">
        <is>
          <t>UPI</t>
        </is>
      </c>
      <c r="I1971" t="inlineStr">
        <is>
          <t>Delivered</t>
        </is>
      </c>
      <c r="J1971" t="n">
        <v>142</v>
      </c>
      <c r="K1971" t="n">
        <v>1</v>
      </c>
      <c r="L1971" t="n">
        <v>839</v>
      </c>
      <c r="M1971" t="n">
        <v>83.90000000000001</v>
      </c>
      <c r="N1971">
        <f>VLOOKUP(J1971,Products!$A$2:$C$49,3,FALSE)</f>
        <v/>
      </c>
      <c r="O1971">
        <f>K1971*L1971-M1971</f>
        <v/>
      </c>
      <c r="P1971">
        <f>TEXT(B1971,"yyyy-mm")</f>
        <v/>
      </c>
      <c r="Q1971">
        <f>IF(O1971&gt;=3000,"Large","Small")</f>
        <v/>
      </c>
      <c r="R1971">
        <f>INDEX(Products!$F$2:$F$49,MATCH(J1971,Products!$A$2:$A$49,0))</f>
        <v/>
      </c>
      <c r="S1971">
        <f>WEEKDAY(B1971,2)</f>
        <v/>
      </c>
    </row>
    <row r="1972">
      <c r="A1972" t="n">
        <v>510325</v>
      </c>
      <c r="B1972" s="6" t="n">
        <v>45954</v>
      </c>
      <c r="C1972" t="n">
        <v>16699</v>
      </c>
      <c r="D1972" t="inlineStr">
        <is>
          <t>Pune</t>
        </is>
      </c>
      <c r="E1972" t="inlineStr">
        <is>
          <t>West</t>
        </is>
      </c>
      <c r="F1972" t="inlineStr">
        <is>
          <t>Organic Search</t>
        </is>
      </c>
      <c r="G1972" t="inlineStr">
        <is>
          <t>Mobile App</t>
        </is>
      </c>
      <c r="H1972" t="inlineStr">
        <is>
          <t>Debit Card</t>
        </is>
      </c>
      <c r="I1972" t="inlineStr">
        <is>
          <t>Delivered</t>
        </is>
      </c>
      <c r="J1972" t="n">
        <v>132</v>
      </c>
      <c r="K1972" t="n">
        <v>1</v>
      </c>
      <c r="L1972" t="n">
        <v>471</v>
      </c>
      <c r="M1972" t="n">
        <v>47.1</v>
      </c>
      <c r="N1972">
        <f>VLOOKUP(J1972,Products!$A$2:$C$49,3,FALSE)</f>
        <v/>
      </c>
      <c r="O1972">
        <f>K1972*L1972-M1972</f>
        <v/>
      </c>
      <c r="P1972">
        <f>TEXT(B1972,"yyyy-mm")</f>
        <v/>
      </c>
      <c r="Q1972">
        <f>IF(O1972&gt;=3000,"Large","Small")</f>
        <v/>
      </c>
      <c r="R1972">
        <f>INDEX(Products!$F$2:$F$49,MATCH(J1972,Products!$A$2:$A$49,0))</f>
        <v/>
      </c>
      <c r="S1972">
        <f>WEEKDAY(B1972,2)</f>
        <v/>
      </c>
    </row>
    <row r="1973">
      <c r="A1973" t="n">
        <v>510326</v>
      </c>
      <c r="B1973" s="6" t="n">
        <v>45954</v>
      </c>
      <c r="C1973" t="n">
        <v>16288</v>
      </c>
      <c r="D1973" t="inlineStr">
        <is>
          <t>Lucknow</t>
        </is>
      </c>
      <c r="E1973" t="inlineStr">
        <is>
          <t>North</t>
        </is>
      </c>
      <c r="F1973" t="inlineStr">
        <is>
          <t>Organic Search</t>
        </is>
      </c>
      <c r="G1973" t="inlineStr">
        <is>
          <t>Mobile App</t>
        </is>
      </c>
      <c r="H1973" t="inlineStr">
        <is>
          <t>UPI</t>
        </is>
      </c>
      <c r="I1973" t="inlineStr">
        <is>
          <t>Delivered</t>
        </is>
      </c>
      <c r="J1973" t="n">
        <v>132</v>
      </c>
      <c r="K1973" t="n">
        <v>1</v>
      </c>
      <c r="L1973" t="n">
        <v>471</v>
      </c>
      <c r="M1973" t="n">
        <v>0</v>
      </c>
      <c r="N1973">
        <f>VLOOKUP(J1973,Products!$A$2:$C$49,3,FALSE)</f>
        <v/>
      </c>
      <c r="O1973">
        <f>K1973*L1973-M1973</f>
        <v/>
      </c>
      <c r="P1973">
        <f>TEXT(B1973,"yyyy-mm")</f>
        <v/>
      </c>
      <c r="Q1973">
        <f>IF(O1973&gt;=3000,"Large","Small")</f>
        <v/>
      </c>
      <c r="R1973">
        <f>INDEX(Products!$F$2:$F$49,MATCH(J1973,Products!$A$2:$A$49,0))</f>
        <v/>
      </c>
      <c r="S1973">
        <f>WEEKDAY(B1973,2)</f>
        <v/>
      </c>
    </row>
    <row r="1974">
      <c r="A1974" t="n">
        <v>510326</v>
      </c>
      <c r="B1974" s="6" t="n">
        <v>45954</v>
      </c>
      <c r="C1974" t="n">
        <v>16288</v>
      </c>
      <c r="D1974" t="inlineStr">
        <is>
          <t>Lucknow</t>
        </is>
      </c>
      <c r="E1974" t="inlineStr">
        <is>
          <t>North</t>
        </is>
      </c>
      <c r="F1974" t="inlineStr">
        <is>
          <t>Organic Search</t>
        </is>
      </c>
      <c r="G1974" t="inlineStr">
        <is>
          <t>Mobile App</t>
        </is>
      </c>
      <c r="H1974" t="inlineStr">
        <is>
          <t>UPI</t>
        </is>
      </c>
      <c r="I1974" t="inlineStr">
        <is>
          <t>Delivered</t>
        </is>
      </c>
      <c r="J1974" t="n">
        <v>129</v>
      </c>
      <c r="K1974" t="n">
        <v>1</v>
      </c>
      <c r="L1974" t="n">
        <v>576</v>
      </c>
      <c r="M1974" t="n">
        <v>0</v>
      </c>
      <c r="N1974">
        <f>VLOOKUP(J1974,Products!$A$2:$C$49,3,FALSE)</f>
        <v/>
      </c>
      <c r="O1974">
        <f>K1974*L1974-M1974</f>
        <v/>
      </c>
      <c r="P1974">
        <f>TEXT(B1974,"yyyy-mm")</f>
        <v/>
      </c>
      <c r="Q1974">
        <f>IF(O1974&gt;=3000,"Large","Small")</f>
        <v/>
      </c>
      <c r="R1974">
        <f>INDEX(Products!$F$2:$F$49,MATCH(J1974,Products!$A$2:$A$49,0))</f>
        <v/>
      </c>
      <c r="S1974">
        <f>WEEKDAY(B1974,2)</f>
        <v/>
      </c>
    </row>
    <row r="1975">
      <c r="A1975" t="n">
        <v>510327</v>
      </c>
      <c r="B1975" s="6" t="n">
        <v>45954</v>
      </c>
      <c r="C1975" t="n">
        <v>13707</v>
      </c>
      <c r="D1975" t="inlineStr">
        <is>
          <t>Hyderabad</t>
        </is>
      </c>
      <c r="E1975" t="inlineStr">
        <is>
          <t>South</t>
        </is>
      </c>
      <c r="F1975" t="inlineStr">
        <is>
          <t>Organic Search</t>
        </is>
      </c>
      <c r="G1975" t="inlineStr">
        <is>
          <t>Mobile Web</t>
        </is>
      </c>
      <c r="H1975" t="inlineStr">
        <is>
          <t>Credit Card</t>
        </is>
      </c>
      <c r="I1975" t="inlineStr">
        <is>
          <t>Delivered</t>
        </is>
      </c>
      <c r="J1975" t="n">
        <v>145</v>
      </c>
      <c r="K1975" t="n">
        <v>1</v>
      </c>
      <c r="L1975" t="n">
        <v>629</v>
      </c>
      <c r="M1975" t="n">
        <v>62.9</v>
      </c>
      <c r="N1975">
        <f>VLOOKUP(J1975,Products!$A$2:$C$49,3,FALSE)</f>
        <v/>
      </c>
      <c r="O1975">
        <f>K1975*L1975-M1975</f>
        <v/>
      </c>
      <c r="P1975">
        <f>TEXT(B1975,"yyyy-mm")</f>
        <v/>
      </c>
      <c r="Q1975">
        <f>IF(O1975&gt;=3000,"Large","Small")</f>
        <v/>
      </c>
      <c r="R1975">
        <f>INDEX(Products!$F$2:$F$49,MATCH(J1975,Products!$A$2:$A$49,0))</f>
        <v/>
      </c>
      <c r="S1975">
        <f>WEEKDAY(B1975,2)</f>
        <v/>
      </c>
    </row>
    <row r="1976">
      <c r="A1976" t="n">
        <v>510327</v>
      </c>
      <c r="B1976" s="6" t="n">
        <v>45954</v>
      </c>
      <c r="C1976" t="n">
        <v>13707</v>
      </c>
      <c r="D1976" t="inlineStr">
        <is>
          <t>Hyderabad</t>
        </is>
      </c>
      <c r="E1976" t="inlineStr">
        <is>
          <t>South</t>
        </is>
      </c>
      <c r="F1976" t="inlineStr">
        <is>
          <t>Organic Search</t>
        </is>
      </c>
      <c r="G1976" t="inlineStr">
        <is>
          <t>Mobile Web</t>
        </is>
      </c>
      <c r="H1976" t="inlineStr">
        <is>
          <t>Credit Card</t>
        </is>
      </c>
      <c r="I1976" t="inlineStr">
        <is>
          <t>Delivered</t>
        </is>
      </c>
      <c r="J1976" t="n">
        <v>129</v>
      </c>
      <c r="K1976" t="n">
        <v>3</v>
      </c>
      <c r="L1976" t="n">
        <v>576</v>
      </c>
      <c r="M1976" t="n">
        <v>172.8</v>
      </c>
      <c r="N1976">
        <f>VLOOKUP(J1976,Products!$A$2:$C$49,3,FALSE)</f>
        <v/>
      </c>
      <c r="O1976">
        <f>K1976*L1976-M1976</f>
        <v/>
      </c>
      <c r="P1976">
        <f>TEXT(B1976,"yyyy-mm")</f>
        <v/>
      </c>
      <c r="Q1976">
        <f>IF(O1976&gt;=3000,"Large","Small")</f>
        <v/>
      </c>
      <c r="R1976">
        <f>INDEX(Products!$F$2:$F$49,MATCH(J1976,Products!$A$2:$A$49,0))</f>
        <v/>
      </c>
      <c r="S1976">
        <f>WEEKDAY(B1976,2)</f>
        <v/>
      </c>
    </row>
    <row r="1977">
      <c r="A1977" t="n">
        <v>510328</v>
      </c>
      <c r="B1977" s="6" t="n">
        <v>45954</v>
      </c>
      <c r="C1977" t="n">
        <v>17003</v>
      </c>
      <c r="D1977" t="inlineStr">
        <is>
          <t>Bengaluru</t>
        </is>
      </c>
      <c r="E1977" t="inlineStr">
        <is>
          <t>South</t>
        </is>
      </c>
      <c r="F1977" t="inlineStr">
        <is>
          <t>Organic Search</t>
        </is>
      </c>
      <c r="G1977" t="inlineStr">
        <is>
          <t>Mobile App</t>
        </is>
      </c>
      <c r="H1977" t="inlineStr">
        <is>
          <t>UPI</t>
        </is>
      </c>
      <c r="I1977" t="inlineStr">
        <is>
          <t>Delivered</t>
        </is>
      </c>
      <c r="J1977" t="n">
        <v>119</v>
      </c>
      <c r="K1977" t="n">
        <v>2</v>
      </c>
      <c r="L1977" t="n">
        <v>2309</v>
      </c>
      <c r="M1977" t="n">
        <v>0</v>
      </c>
      <c r="N1977">
        <f>VLOOKUP(J1977,Products!$A$2:$C$49,3,FALSE)</f>
        <v/>
      </c>
      <c r="O1977">
        <f>K1977*L1977-M1977</f>
        <v/>
      </c>
      <c r="P1977">
        <f>TEXT(B1977,"yyyy-mm")</f>
        <v/>
      </c>
      <c r="Q1977">
        <f>IF(O1977&gt;=3000,"Large","Small")</f>
        <v/>
      </c>
      <c r="R1977">
        <f>INDEX(Products!$F$2:$F$49,MATCH(J1977,Products!$A$2:$A$49,0))</f>
        <v/>
      </c>
      <c r="S1977">
        <f>WEEKDAY(B1977,2)</f>
        <v/>
      </c>
    </row>
    <row r="1978">
      <c r="A1978" t="n">
        <v>510328</v>
      </c>
      <c r="B1978" s="6" t="n">
        <v>45954</v>
      </c>
      <c r="C1978" t="n">
        <v>17003</v>
      </c>
      <c r="D1978" t="inlineStr">
        <is>
          <t>Bengaluru</t>
        </is>
      </c>
      <c r="E1978" t="inlineStr">
        <is>
          <t>South</t>
        </is>
      </c>
      <c r="F1978" t="inlineStr">
        <is>
          <t>Organic Search</t>
        </is>
      </c>
      <c r="G1978" t="inlineStr">
        <is>
          <t>Mobile App</t>
        </is>
      </c>
      <c r="H1978" t="inlineStr">
        <is>
          <t>UPI</t>
        </is>
      </c>
      <c r="I1978" t="inlineStr">
        <is>
          <t>Delivered</t>
        </is>
      </c>
      <c r="J1978" t="n">
        <v>132</v>
      </c>
      <c r="K1978" t="n">
        <v>1</v>
      </c>
      <c r="L1978" t="n">
        <v>471</v>
      </c>
      <c r="M1978" t="n">
        <v>0</v>
      </c>
      <c r="N1978">
        <f>VLOOKUP(J1978,Products!$A$2:$C$49,3,FALSE)</f>
        <v/>
      </c>
      <c r="O1978">
        <f>K1978*L1978-M1978</f>
        <v/>
      </c>
      <c r="P1978">
        <f>TEXT(B1978,"yyyy-mm")</f>
        <v/>
      </c>
      <c r="Q1978">
        <f>IF(O1978&gt;=3000,"Large","Small")</f>
        <v/>
      </c>
      <c r="R1978">
        <f>INDEX(Products!$F$2:$F$49,MATCH(J1978,Products!$A$2:$A$49,0))</f>
        <v/>
      </c>
      <c r="S1978">
        <f>WEEKDAY(B1978,2)</f>
        <v/>
      </c>
    </row>
    <row r="1979">
      <c r="A1979" t="n">
        <v>510328</v>
      </c>
      <c r="B1979" s="6" t="n">
        <v>45954</v>
      </c>
      <c r="C1979" t="n">
        <v>17003</v>
      </c>
      <c r="D1979" t="inlineStr">
        <is>
          <t>Bengaluru</t>
        </is>
      </c>
      <c r="E1979" t="inlineStr">
        <is>
          <t>South</t>
        </is>
      </c>
      <c r="F1979" t="inlineStr">
        <is>
          <t>Organic Search</t>
        </is>
      </c>
      <c r="G1979" t="inlineStr">
        <is>
          <t>Mobile App</t>
        </is>
      </c>
      <c r="H1979" t="inlineStr">
        <is>
          <t>UPI</t>
        </is>
      </c>
      <c r="I1979" t="inlineStr">
        <is>
          <t>Delivered</t>
        </is>
      </c>
      <c r="J1979" t="n">
        <v>129</v>
      </c>
      <c r="K1979" t="n">
        <v>1</v>
      </c>
      <c r="L1979" t="n">
        <v>576</v>
      </c>
      <c r="M1979" t="n">
        <v>0</v>
      </c>
      <c r="N1979">
        <f>VLOOKUP(J1979,Products!$A$2:$C$49,3,FALSE)</f>
        <v/>
      </c>
      <c r="O1979">
        <f>K1979*L1979-M1979</f>
        <v/>
      </c>
      <c r="P1979">
        <f>TEXT(B1979,"yyyy-mm")</f>
        <v/>
      </c>
      <c r="Q1979">
        <f>IF(O1979&gt;=3000,"Large","Small")</f>
        <v/>
      </c>
      <c r="R1979">
        <f>INDEX(Products!$F$2:$F$49,MATCH(J1979,Products!$A$2:$A$49,0))</f>
        <v/>
      </c>
      <c r="S1979">
        <f>WEEKDAY(B1979,2)</f>
        <v/>
      </c>
    </row>
    <row r="1980">
      <c r="A1980" t="n">
        <v>510329</v>
      </c>
      <c r="B1980" s="6" t="n">
        <v>45954</v>
      </c>
      <c r="C1980" t="n">
        <v>14486</v>
      </c>
      <c r="D1980" t="inlineStr">
        <is>
          <t>Gurugram</t>
        </is>
      </c>
      <c r="E1980" t="inlineStr">
        <is>
          <t>North</t>
        </is>
      </c>
      <c r="F1980" t="inlineStr">
        <is>
          <t>Referral</t>
        </is>
      </c>
      <c r="G1980" t="inlineStr">
        <is>
          <t>Mobile Web</t>
        </is>
      </c>
      <c r="H1980" t="inlineStr">
        <is>
          <t>UPI</t>
        </is>
      </c>
      <c r="I1980" t="inlineStr">
        <is>
          <t>Delivered</t>
        </is>
      </c>
      <c r="J1980" t="n">
        <v>120</v>
      </c>
      <c r="K1980" t="n">
        <v>1</v>
      </c>
      <c r="L1980" t="n">
        <v>734</v>
      </c>
      <c r="M1980" t="n">
        <v>0</v>
      </c>
      <c r="N1980">
        <f>VLOOKUP(J1980,Products!$A$2:$C$49,3,FALSE)</f>
        <v/>
      </c>
      <c r="O1980">
        <f>K1980*L1980-M1980</f>
        <v/>
      </c>
      <c r="P1980">
        <f>TEXT(B1980,"yyyy-mm")</f>
        <v/>
      </c>
      <c r="Q1980">
        <f>IF(O1980&gt;=3000,"Large","Small")</f>
        <v/>
      </c>
      <c r="R1980">
        <f>INDEX(Products!$F$2:$F$49,MATCH(J1980,Products!$A$2:$A$49,0))</f>
        <v/>
      </c>
      <c r="S1980">
        <f>WEEKDAY(B1980,2)</f>
        <v/>
      </c>
    </row>
    <row r="1981">
      <c r="A1981" t="n">
        <v>510329</v>
      </c>
      <c r="B1981" s="6" t="n">
        <v>45954</v>
      </c>
      <c r="C1981" t="n">
        <v>14486</v>
      </c>
      <c r="D1981" t="inlineStr">
        <is>
          <t>Gurugram</t>
        </is>
      </c>
      <c r="E1981" t="inlineStr">
        <is>
          <t>North</t>
        </is>
      </c>
      <c r="F1981" t="inlineStr">
        <is>
          <t>Referral</t>
        </is>
      </c>
      <c r="G1981" t="inlineStr">
        <is>
          <t>Mobile Web</t>
        </is>
      </c>
      <c r="H1981" t="inlineStr">
        <is>
          <t>UPI</t>
        </is>
      </c>
      <c r="I1981" t="inlineStr">
        <is>
          <t>Delivered</t>
        </is>
      </c>
      <c r="J1981" t="n">
        <v>128</v>
      </c>
      <c r="K1981" t="n">
        <v>1</v>
      </c>
      <c r="L1981" t="n">
        <v>1049</v>
      </c>
      <c r="M1981" t="n">
        <v>0</v>
      </c>
      <c r="N1981">
        <f>VLOOKUP(J1981,Products!$A$2:$C$49,3,FALSE)</f>
        <v/>
      </c>
      <c r="O1981">
        <f>K1981*L1981-M1981</f>
        <v/>
      </c>
      <c r="P1981">
        <f>TEXT(B1981,"yyyy-mm")</f>
        <v/>
      </c>
      <c r="Q1981">
        <f>IF(O1981&gt;=3000,"Large","Small")</f>
        <v/>
      </c>
      <c r="R1981">
        <f>INDEX(Products!$F$2:$F$49,MATCH(J1981,Products!$A$2:$A$49,0))</f>
        <v/>
      </c>
      <c r="S1981">
        <f>WEEKDAY(B1981,2)</f>
        <v/>
      </c>
    </row>
    <row r="1982">
      <c r="A1982" t="n">
        <v>510329</v>
      </c>
      <c r="B1982" s="6" t="n">
        <v>45954</v>
      </c>
      <c r="C1982" t="n">
        <v>14486</v>
      </c>
      <c r="D1982" t="inlineStr">
        <is>
          <t>Gurugram</t>
        </is>
      </c>
      <c r="E1982" t="inlineStr">
        <is>
          <t>North</t>
        </is>
      </c>
      <c r="F1982" t="inlineStr">
        <is>
          <t>Referral</t>
        </is>
      </c>
      <c r="G1982" t="inlineStr">
        <is>
          <t>Mobile Web</t>
        </is>
      </c>
      <c r="H1982" t="inlineStr">
        <is>
          <t>UPI</t>
        </is>
      </c>
      <c r="I1982" t="inlineStr">
        <is>
          <t>Delivered</t>
        </is>
      </c>
      <c r="J1982" t="n">
        <v>129</v>
      </c>
      <c r="K1982" t="n">
        <v>1</v>
      </c>
      <c r="L1982" t="n">
        <v>576</v>
      </c>
      <c r="M1982" t="n">
        <v>0</v>
      </c>
      <c r="N1982">
        <f>VLOOKUP(J1982,Products!$A$2:$C$49,3,FALSE)</f>
        <v/>
      </c>
      <c r="O1982">
        <f>K1982*L1982-M1982</f>
        <v/>
      </c>
      <c r="P1982">
        <f>TEXT(B1982,"yyyy-mm")</f>
        <v/>
      </c>
      <c r="Q1982">
        <f>IF(O1982&gt;=3000,"Large","Small")</f>
        <v/>
      </c>
      <c r="R1982">
        <f>INDEX(Products!$F$2:$F$49,MATCH(J1982,Products!$A$2:$A$49,0))</f>
        <v/>
      </c>
      <c r="S1982">
        <f>WEEKDAY(B1982,2)</f>
        <v/>
      </c>
    </row>
    <row r="1983">
      <c r="A1983" t="n">
        <v>510330</v>
      </c>
      <c r="B1983" s="6" t="n">
        <v>45954</v>
      </c>
      <c r="C1983" t="n">
        <v>12518</v>
      </c>
      <c r="D1983" t="inlineStr">
        <is>
          <t>Chennai</t>
        </is>
      </c>
      <c r="E1983" t="inlineStr">
        <is>
          <t>South</t>
        </is>
      </c>
      <c r="F1983" t="inlineStr">
        <is>
          <t>Referral</t>
        </is>
      </c>
      <c r="G1983" t="inlineStr">
        <is>
          <t>Desktop</t>
        </is>
      </c>
      <c r="H1983" t="inlineStr">
        <is>
          <t>Cash on Delivery</t>
        </is>
      </c>
      <c r="I1983" t="inlineStr">
        <is>
          <t>Delivered</t>
        </is>
      </c>
      <c r="J1983" t="n">
        <v>118</v>
      </c>
      <c r="K1983" t="n">
        <v>1</v>
      </c>
      <c r="L1983" t="n">
        <v>944</v>
      </c>
      <c r="M1983" t="n">
        <v>94.40000000000001</v>
      </c>
      <c r="N1983">
        <f>VLOOKUP(J1983,Products!$A$2:$C$49,3,FALSE)</f>
        <v/>
      </c>
      <c r="O1983">
        <f>K1983*L1983-M1983</f>
        <v/>
      </c>
      <c r="P1983">
        <f>TEXT(B1983,"yyyy-mm")</f>
        <v/>
      </c>
      <c r="Q1983">
        <f>IF(O1983&gt;=3000,"Large","Small")</f>
        <v/>
      </c>
      <c r="R1983">
        <f>INDEX(Products!$F$2:$F$49,MATCH(J1983,Products!$A$2:$A$49,0))</f>
        <v/>
      </c>
      <c r="S1983">
        <f>WEEKDAY(B1983,2)</f>
        <v/>
      </c>
    </row>
    <row r="1984">
      <c r="A1984" t="n">
        <v>510331</v>
      </c>
      <c r="B1984" s="6" t="n">
        <v>45954</v>
      </c>
      <c r="C1984" t="n">
        <v>16986</v>
      </c>
      <c r="D1984" t="inlineStr">
        <is>
          <t>Jaipur</t>
        </is>
      </c>
      <c r="E1984" t="inlineStr">
        <is>
          <t>North</t>
        </is>
      </c>
      <c r="F1984" t="inlineStr">
        <is>
          <t>Paid Search</t>
        </is>
      </c>
      <c r="G1984" t="inlineStr">
        <is>
          <t>Desktop</t>
        </is>
      </c>
      <c r="H1984" t="inlineStr">
        <is>
          <t>Credit Card</t>
        </is>
      </c>
      <c r="I1984" t="inlineStr">
        <is>
          <t>Cancelled</t>
        </is>
      </c>
      <c r="J1984" t="n">
        <v>104</v>
      </c>
      <c r="K1984" t="n">
        <v>1</v>
      </c>
      <c r="L1984" t="n">
        <v>5249</v>
      </c>
      <c r="M1984" t="n">
        <v>0</v>
      </c>
      <c r="N1984">
        <f>VLOOKUP(J1984,Products!$A$2:$C$49,3,FALSE)</f>
        <v/>
      </c>
      <c r="O1984">
        <f>K1984*L1984-M1984</f>
        <v/>
      </c>
      <c r="P1984">
        <f>TEXT(B1984,"yyyy-mm")</f>
        <v/>
      </c>
      <c r="Q1984">
        <f>IF(O1984&gt;=3000,"Large","Small")</f>
        <v/>
      </c>
      <c r="R1984">
        <f>INDEX(Products!$F$2:$F$49,MATCH(J1984,Products!$A$2:$A$49,0))</f>
        <v/>
      </c>
      <c r="S1984">
        <f>WEEKDAY(B1984,2)</f>
        <v/>
      </c>
    </row>
    <row r="1985">
      <c r="A1985" t="n">
        <v>510332</v>
      </c>
      <c r="B1985" s="6" t="n">
        <v>45954</v>
      </c>
      <c r="C1985" t="n">
        <v>13586</v>
      </c>
      <c r="D1985" t="inlineStr">
        <is>
          <t>Chennai</t>
        </is>
      </c>
      <c r="E1985" t="inlineStr">
        <is>
          <t>South</t>
        </is>
      </c>
      <c r="F1985" t="inlineStr">
        <is>
          <t>Referral</t>
        </is>
      </c>
      <c r="G1985" t="inlineStr">
        <is>
          <t>Mobile Web</t>
        </is>
      </c>
      <c r="H1985" t="inlineStr">
        <is>
          <t>UPI</t>
        </is>
      </c>
      <c r="I1985" t="inlineStr">
        <is>
          <t>Delivered</t>
        </is>
      </c>
      <c r="J1985" t="n">
        <v>121</v>
      </c>
      <c r="K1985" t="n">
        <v>1</v>
      </c>
      <c r="L1985" t="n">
        <v>2939</v>
      </c>
      <c r="M1985" t="n">
        <v>293.9</v>
      </c>
      <c r="N1985">
        <f>VLOOKUP(J1985,Products!$A$2:$C$49,3,FALSE)</f>
        <v/>
      </c>
      <c r="O1985">
        <f>K1985*L1985-M1985</f>
        <v/>
      </c>
      <c r="P1985">
        <f>TEXT(B1985,"yyyy-mm")</f>
        <v/>
      </c>
      <c r="Q1985">
        <f>IF(O1985&gt;=3000,"Large","Small")</f>
        <v/>
      </c>
      <c r="R1985">
        <f>INDEX(Products!$F$2:$F$49,MATCH(J1985,Products!$A$2:$A$49,0))</f>
        <v/>
      </c>
      <c r="S1985">
        <f>WEEKDAY(B1985,2)</f>
        <v/>
      </c>
    </row>
    <row r="1986">
      <c r="A1986" t="n">
        <v>510333</v>
      </c>
      <c r="B1986" s="6" t="n">
        <v>45954</v>
      </c>
      <c r="C1986" t="n">
        <v>12978</v>
      </c>
      <c r="D1986" t="inlineStr">
        <is>
          <t>Bengaluru</t>
        </is>
      </c>
      <c r="E1986" t="inlineStr">
        <is>
          <t>South</t>
        </is>
      </c>
      <c r="F1986" t="inlineStr">
        <is>
          <t>Referral</t>
        </is>
      </c>
      <c r="G1986" t="inlineStr">
        <is>
          <t>Desktop</t>
        </is>
      </c>
      <c r="H1986" t="inlineStr">
        <is>
          <t>Credit Card</t>
        </is>
      </c>
      <c r="I1986" t="inlineStr">
        <is>
          <t>Delivered</t>
        </is>
      </c>
      <c r="J1986" t="n">
        <v>147</v>
      </c>
      <c r="K1986" t="n">
        <v>3</v>
      </c>
      <c r="L1986" t="n">
        <v>1364</v>
      </c>
      <c r="M1986" t="n">
        <v>0</v>
      </c>
      <c r="N1986">
        <f>VLOOKUP(J1986,Products!$A$2:$C$49,3,FALSE)</f>
        <v/>
      </c>
      <c r="O1986">
        <f>K1986*L1986-M1986</f>
        <v/>
      </c>
      <c r="P1986">
        <f>TEXT(B1986,"yyyy-mm")</f>
        <v/>
      </c>
      <c r="Q1986">
        <f>IF(O1986&gt;=3000,"Large","Small")</f>
        <v/>
      </c>
      <c r="R1986">
        <f>INDEX(Products!$F$2:$F$49,MATCH(J1986,Products!$A$2:$A$49,0))</f>
        <v/>
      </c>
      <c r="S1986">
        <f>WEEKDAY(B1986,2)</f>
        <v/>
      </c>
    </row>
    <row r="1987">
      <c r="A1987" t="n">
        <v>510333</v>
      </c>
      <c r="B1987" s="6" t="n">
        <v>45954</v>
      </c>
      <c r="C1987" t="n">
        <v>12978</v>
      </c>
      <c r="D1987" t="inlineStr">
        <is>
          <t>Bengaluru</t>
        </is>
      </c>
      <c r="E1987" t="inlineStr">
        <is>
          <t>South</t>
        </is>
      </c>
      <c r="F1987" t="inlineStr">
        <is>
          <t>Referral</t>
        </is>
      </c>
      <c r="G1987" t="inlineStr">
        <is>
          <t>Desktop</t>
        </is>
      </c>
      <c r="H1987" t="inlineStr">
        <is>
          <t>Credit Card</t>
        </is>
      </c>
      <c r="I1987" t="inlineStr">
        <is>
          <t>Delivered</t>
        </is>
      </c>
      <c r="J1987" t="n">
        <v>129</v>
      </c>
      <c r="K1987" t="n">
        <v>1</v>
      </c>
      <c r="L1987" t="n">
        <v>576</v>
      </c>
      <c r="M1987" t="n">
        <v>0</v>
      </c>
      <c r="N1987">
        <f>VLOOKUP(J1987,Products!$A$2:$C$49,3,FALSE)</f>
        <v/>
      </c>
      <c r="O1987">
        <f>K1987*L1987-M1987</f>
        <v/>
      </c>
      <c r="P1987">
        <f>TEXT(B1987,"yyyy-mm")</f>
        <v/>
      </c>
      <c r="Q1987">
        <f>IF(O1987&gt;=3000,"Large","Small")</f>
        <v/>
      </c>
      <c r="R1987">
        <f>INDEX(Products!$F$2:$F$49,MATCH(J1987,Products!$A$2:$A$49,0))</f>
        <v/>
      </c>
      <c r="S1987">
        <f>WEEKDAY(B1987,2)</f>
        <v/>
      </c>
    </row>
    <row r="1988">
      <c r="A1988" t="n">
        <v>510334</v>
      </c>
      <c r="B1988" s="6" t="n">
        <v>45954</v>
      </c>
      <c r="C1988" t="n">
        <v>13626</v>
      </c>
      <c r="D1988" t="inlineStr">
        <is>
          <t>Bengaluru</t>
        </is>
      </c>
      <c r="E1988" t="inlineStr">
        <is>
          <t>South</t>
        </is>
      </c>
      <c r="F1988" t="inlineStr">
        <is>
          <t>Affiliate</t>
        </is>
      </c>
      <c r="G1988" t="inlineStr">
        <is>
          <t>Mobile Web</t>
        </is>
      </c>
      <c r="H1988" t="inlineStr">
        <is>
          <t>Debit Card</t>
        </is>
      </c>
      <c r="I1988" t="inlineStr">
        <is>
          <t>Delivered</t>
        </is>
      </c>
      <c r="J1988" t="n">
        <v>141</v>
      </c>
      <c r="K1988" t="n">
        <v>1</v>
      </c>
      <c r="L1988" t="n">
        <v>261</v>
      </c>
      <c r="M1988" t="n">
        <v>26.1</v>
      </c>
      <c r="N1988">
        <f>VLOOKUP(J1988,Products!$A$2:$C$49,3,FALSE)</f>
        <v/>
      </c>
      <c r="O1988">
        <f>K1988*L1988-M1988</f>
        <v/>
      </c>
      <c r="P1988">
        <f>TEXT(B1988,"yyyy-mm")</f>
        <v/>
      </c>
      <c r="Q1988">
        <f>IF(O1988&gt;=3000,"Large","Small")</f>
        <v/>
      </c>
      <c r="R1988">
        <f>INDEX(Products!$F$2:$F$49,MATCH(J1988,Products!$A$2:$A$49,0))</f>
        <v/>
      </c>
      <c r="S1988">
        <f>WEEKDAY(B1988,2)</f>
        <v/>
      </c>
    </row>
    <row r="1989">
      <c r="A1989" t="n">
        <v>510334</v>
      </c>
      <c r="B1989" s="6" t="n">
        <v>45954</v>
      </c>
      <c r="C1989" t="n">
        <v>13626</v>
      </c>
      <c r="D1989" t="inlineStr">
        <is>
          <t>Bengaluru</t>
        </is>
      </c>
      <c r="E1989" t="inlineStr">
        <is>
          <t>South</t>
        </is>
      </c>
      <c r="F1989" t="inlineStr">
        <is>
          <t>Affiliate</t>
        </is>
      </c>
      <c r="G1989" t="inlineStr">
        <is>
          <t>Mobile Web</t>
        </is>
      </c>
      <c r="H1989" t="inlineStr">
        <is>
          <t>Debit Card</t>
        </is>
      </c>
      <c r="I1989" t="inlineStr">
        <is>
          <t>Delivered</t>
        </is>
      </c>
      <c r="J1989" t="n">
        <v>104</v>
      </c>
      <c r="K1989" t="n">
        <v>1</v>
      </c>
      <c r="L1989" t="n">
        <v>5249</v>
      </c>
      <c r="M1989" t="n">
        <v>524.9</v>
      </c>
      <c r="N1989">
        <f>VLOOKUP(J1989,Products!$A$2:$C$49,3,FALSE)</f>
        <v/>
      </c>
      <c r="O1989">
        <f>K1989*L1989-M1989</f>
        <v/>
      </c>
      <c r="P1989">
        <f>TEXT(B1989,"yyyy-mm")</f>
        <v/>
      </c>
      <c r="Q1989">
        <f>IF(O1989&gt;=3000,"Large","Small")</f>
        <v/>
      </c>
      <c r="R1989">
        <f>INDEX(Products!$F$2:$F$49,MATCH(J1989,Products!$A$2:$A$49,0))</f>
        <v/>
      </c>
      <c r="S1989">
        <f>WEEKDAY(B1989,2)</f>
        <v/>
      </c>
    </row>
    <row r="1990">
      <c r="A1990" t="n">
        <v>510334</v>
      </c>
      <c r="B1990" s="6" t="n">
        <v>45954</v>
      </c>
      <c r="C1990" t="n">
        <v>13626</v>
      </c>
      <c r="D1990" t="inlineStr">
        <is>
          <t>Bengaluru</t>
        </is>
      </c>
      <c r="E1990" t="inlineStr">
        <is>
          <t>South</t>
        </is>
      </c>
      <c r="F1990" t="inlineStr">
        <is>
          <t>Affiliate</t>
        </is>
      </c>
      <c r="G1990" t="inlineStr">
        <is>
          <t>Mobile Web</t>
        </is>
      </c>
      <c r="H1990" t="inlineStr">
        <is>
          <t>Debit Card</t>
        </is>
      </c>
      <c r="I1990" t="inlineStr">
        <is>
          <t>Delivered</t>
        </is>
      </c>
      <c r="J1990" t="n">
        <v>136</v>
      </c>
      <c r="K1990" t="n">
        <v>1</v>
      </c>
      <c r="L1990" t="n">
        <v>944</v>
      </c>
      <c r="M1990" t="n">
        <v>94.40000000000001</v>
      </c>
      <c r="N1990">
        <f>VLOOKUP(J1990,Products!$A$2:$C$49,3,FALSE)</f>
        <v/>
      </c>
      <c r="O1990">
        <f>K1990*L1990-M1990</f>
        <v/>
      </c>
      <c r="P1990">
        <f>TEXT(B1990,"yyyy-mm")</f>
        <v/>
      </c>
      <c r="Q1990">
        <f>IF(O1990&gt;=3000,"Large","Small")</f>
        <v/>
      </c>
      <c r="R1990">
        <f>INDEX(Products!$F$2:$F$49,MATCH(J1990,Products!$A$2:$A$49,0))</f>
        <v/>
      </c>
      <c r="S1990">
        <f>WEEKDAY(B1990,2)</f>
        <v/>
      </c>
    </row>
    <row r="1991">
      <c r="A1991" t="n">
        <v>510335</v>
      </c>
      <c r="B1991" s="6" t="n">
        <v>45954</v>
      </c>
      <c r="C1991" t="n">
        <v>15226</v>
      </c>
      <c r="D1991" t="inlineStr">
        <is>
          <t>Lucknow</t>
        </is>
      </c>
      <c r="E1991" t="inlineStr">
        <is>
          <t>North</t>
        </is>
      </c>
      <c r="F1991" t="inlineStr">
        <is>
          <t>Affiliate</t>
        </is>
      </c>
      <c r="G1991" t="inlineStr">
        <is>
          <t>Desktop</t>
        </is>
      </c>
      <c r="H1991" t="inlineStr">
        <is>
          <t>UPI</t>
        </is>
      </c>
      <c r="I1991" t="inlineStr">
        <is>
          <t>Delivered</t>
        </is>
      </c>
      <c r="J1991" t="n">
        <v>106</v>
      </c>
      <c r="K1991" t="n">
        <v>1</v>
      </c>
      <c r="L1991" t="n">
        <v>1574</v>
      </c>
      <c r="M1991" t="n">
        <v>157.4</v>
      </c>
      <c r="N1991">
        <f>VLOOKUP(J1991,Products!$A$2:$C$49,3,FALSE)</f>
        <v/>
      </c>
      <c r="O1991">
        <f>K1991*L1991-M1991</f>
        <v/>
      </c>
      <c r="P1991">
        <f>TEXT(B1991,"yyyy-mm")</f>
        <v/>
      </c>
      <c r="Q1991">
        <f>IF(O1991&gt;=3000,"Large","Small")</f>
        <v/>
      </c>
      <c r="R1991">
        <f>INDEX(Products!$F$2:$F$49,MATCH(J1991,Products!$A$2:$A$49,0))</f>
        <v/>
      </c>
      <c r="S1991">
        <f>WEEKDAY(B1991,2)</f>
        <v/>
      </c>
    </row>
    <row r="1992">
      <c r="A1992" t="n">
        <v>510335</v>
      </c>
      <c r="B1992" s="6" t="n">
        <v>45954</v>
      </c>
      <c r="C1992" t="n">
        <v>15226</v>
      </c>
      <c r="D1992" t="inlineStr">
        <is>
          <t>Lucknow</t>
        </is>
      </c>
      <c r="E1992" t="inlineStr">
        <is>
          <t>North</t>
        </is>
      </c>
      <c r="F1992" t="inlineStr">
        <is>
          <t>Affiliate</t>
        </is>
      </c>
      <c r="G1992" t="inlineStr">
        <is>
          <t>Desktop</t>
        </is>
      </c>
      <c r="H1992" t="inlineStr">
        <is>
          <t>UPI</t>
        </is>
      </c>
      <c r="I1992" t="inlineStr">
        <is>
          <t>Delivered</t>
        </is>
      </c>
      <c r="J1992" t="n">
        <v>120</v>
      </c>
      <c r="K1992" t="n">
        <v>1</v>
      </c>
      <c r="L1992" t="n">
        <v>734</v>
      </c>
      <c r="M1992" t="n">
        <v>73.40000000000001</v>
      </c>
      <c r="N1992">
        <f>VLOOKUP(J1992,Products!$A$2:$C$49,3,FALSE)</f>
        <v/>
      </c>
      <c r="O1992">
        <f>K1992*L1992-M1992</f>
        <v/>
      </c>
      <c r="P1992">
        <f>TEXT(B1992,"yyyy-mm")</f>
        <v/>
      </c>
      <c r="Q1992">
        <f>IF(O1992&gt;=3000,"Large","Small")</f>
        <v/>
      </c>
      <c r="R1992">
        <f>INDEX(Products!$F$2:$F$49,MATCH(J1992,Products!$A$2:$A$49,0))</f>
        <v/>
      </c>
      <c r="S1992">
        <f>WEEKDAY(B1992,2)</f>
        <v/>
      </c>
    </row>
    <row r="1993">
      <c r="A1993" t="n">
        <v>510335</v>
      </c>
      <c r="B1993" s="6" t="n">
        <v>45954</v>
      </c>
      <c r="C1993" t="n">
        <v>15226</v>
      </c>
      <c r="D1993" t="inlineStr">
        <is>
          <t>Lucknow</t>
        </is>
      </c>
      <c r="E1993" t="inlineStr">
        <is>
          <t>North</t>
        </is>
      </c>
      <c r="F1993" t="inlineStr">
        <is>
          <t>Affiliate</t>
        </is>
      </c>
      <c r="G1993" t="inlineStr">
        <is>
          <t>Desktop</t>
        </is>
      </c>
      <c r="H1993" t="inlineStr">
        <is>
          <t>UPI</t>
        </is>
      </c>
      <c r="I1993" t="inlineStr">
        <is>
          <t>Delivered</t>
        </is>
      </c>
      <c r="J1993" t="n">
        <v>125</v>
      </c>
      <c r="K1993" t="n">
        <v>1</v>
      </c>
      <c r="L1993" t="n">
        <v>1364</v>
      </c>
      <c r="M1993" t="n">
        <v>136.4</v>
      </c>
      <c r="N1993">
        <f>VLOOKUP(J1993,Products!$A$2:$C$49,3,FALSE)</f>
        <v/>
      </c>
      <c r="O1993">
        <f>K1993*L1993-M1993</f>
        <v/>
      </c>
      <c r="P1993">
        <f>TEXT(B1993,"yyyy-mm")</f>
        <v/>
      </c>
      <c r="Q1993">
        <f>IF(O1993&gt;=3000,"Large","Small")</f>
        <v/>
      </c>
      <c r="R1993">
        <f>INDEX(Products!$F$2:$F$49,MATCH(J1993,Products!$A$2:$A$49,0))</f>
        <v/>
      </c>
      <c r="S1993">
        <f>WEEKDAY(B1993,2)</f>
        <v/>
      </c>
    </row>
    <row r="1994">
      <c r="A1994" t="n">
        <v>510335</v>
      </c>
      <c r="B1994" s="6" t="n">
        <v>45954</v>
      </c>
      <c r="C1994" t="n">
        <v>15226</v>
      </c>
      <c r="D1994" t="inlineStr">
        <is>
          <t>Lucknow</t>
        </is>
      </c>
      <c r="E1994" t="inlineStr">
        <is>
          <t>North</t>
        </is>
      </c>
      <c r="F1994" t="inlineStr">
        <is>
          <t>Affiliate</t>
        </is>
      </c>
      <c r="G1994" t="inlineStr">
        <is>
          <t>Desktop</t>
        </is>
      </c>
      <c r="H1994" t="inlineStr">
        <is>
          <t>UPI</t>
        </is>
      </c>
      <c r="I1994" t="inlineStr">
        <is>
          <t>Delivered</t>
        </is>
      </c>
      <c r="J1994" t="n">
        <v>116</v>
      </c>
      <c r="K1994" t="n">
        <v>1</v>
      </c>
      <c r="L1994" t="n">
        <v>2624</v>
      </c>
      <c r="M1994" t="n">
        <v>262.4</v>
      </c>
      <c r="N1994">
        <f>VLOOKUP(J1994,Products!$A$2:$C$49,3,FALSE)</f>
        <v/>
      </c>
      <c r="O1994">
        <f>K1994*L1994-M1994</f>
        <v/>
      </c>
      <c r="P1994">
        <f>TEXT(B1994,"yyyy-mm")</f>
        <v/>
      </c>
      <c r="Q1994">
        <f>IF(O1994&gt;=3000,"Large","Small")</f>
        <v/>
      </c>
      <c r="R1994">
        <f>INDEX(Products!$F$2:$F$49,MATCH(J1994,Products!$A$2:$A$49,0))</f>
        <v/>
      </c>
      <c r="S1994">
        <f>WEEKDAY(B1994,2)</f>
        <v/>
      </c>
    </row>
    <row r="1995">
      <c r="A1995" t="n">
        <v>510335</v>
      </c>
      <c r="B1995" s="6" t="n">
        <v>45954</v>
      </c>
      <c r="C1995" t="n">
        <v>15226</v>
      </c>
      <c r="D1995" t="inlineStr">
        <is>
          <t>Lucknow</t>
        </is>
      </c>
      <c r="E1995" t="inlineStr">
        <is>
          <t>North</t>
        </is>
      </c>
      <c r="F1995" t="inlineStr">
        <is>
          <t>Affiliate</t>
        </is>
      </c>
      <c r="G1995" t="inlineStr">
        <is>
          <t>Desktop</t>
        </is>
      </c>
      <c r="H1995" t="inlineStr">
        <is>
          <t>UPI</t>
        </is>
      </c>
      <c r="I1995" t="inlineStr">
        <is>
          <t>Delivered</t>
        </is>
      </c>
      <c r="J1995" t="n">
        <v>129</v>
      </c>
      <c r="K1995" t="n">
        <v>1</v>
      </c>
      <c r="L1995" t="n">
        <v>576</v>
      </c>
      <c r="M1995" t="n">
        <v>57.6</v>
      </c>
      <c r="N1995">
        <f>VLOOKUP(J1995,Products!$A$2:$C$49,3,FALSE)</f>
        <v/>
      </c>
      <c r="O1995">
        <f>K1995*L1995-M1995</f>
        <v/>
      </c>
      <c r="P1995">
        <f>TEXT(B1995,"yyyy-mm")</f>
        <v/>
      </c>
      <c r="Q1995">
        <f>IF(O1995&gt;=3000,"Large","Small")</f>
        <v/>
      </c>
      <c r="R1995">
        <f>INDEX(Products!$F$2:$F$49,MATCH(J1995,Products!$A$2:$A$49,0))</f>
        <v/>
      </c>
      <c r="S1995">
        <f>WEEKDAY(B1995,2)</f>
        <v/>
      </c>
    </row>
    <row r="1996">
      <c r="A1996" t="n">
        <v>510336</v>
      </c>
      <c r="B1996" s="6" t="n">
        <v>45954</v>
      </c>
      <c r="C1996" t="n">
        <v>15452</v>
      </c>
      <c r="D1996" t="inlineStr">
        <is>
          <t>Hyderabad</t>
        </is>
      </c>
      <c r="E1996" t="inlineStr">
        <is>
          <t>South</t>
        </is>
      </c>
      <c r="F1996" t="inlineStr">
        <is>
          <t>Organic Search</t>
        </is>
      </c>
      <c r="G1996" t="inlineStr">
        <is>
          <t>Desktop</t>
        </is>
      </c>
      <c r="H1996" t="inlineStr">
        <is>
          <t>UPI</t>
        </is>
      </c>
      <c r="I1996" t="inlineStr">
        <is>
          <t>Delivered</t>
        </is>
      </c>
      <c r="J1996" t="n">
        <v>130</v>
      </c>
      <c r="K1996" t="n">
        <v>1</v>
      </c>
      <c r="L1996" t="n">
        <v>734</v>
      </c>
      <c r="M1996" t="n">
        <v>0</v>
      </c>
      <c r="N1996">
        <f>VLOOKUP(J1996,Products!$A$2:$C$49,3,FALSE)</f>
        <v/>
      </c>
      <c r="O1996">
        <f>K1996*L1996-M1996</f>
        <v/>
      </c>
      <c r="P1996">
        <f>TEXT(B1996,"yyyy-mm")</f>
        <v/>
      </c>
      <c r="Q1996">
        <f>IF(O1996&gt;=3000,"Large","Small")</f>
        <v/>
      </c>
      <c r="R1996">
        <f>INDEX(Products!$F$2:$F$49,MATCH(J1996,Products!$A$2:$A$49,0))</f>
        <v/>
      </c>
      <c r="S1996">
        <f>WEEKDAY(B1996,2)</f>
        <v/>
      </c>
    </row>
    <row r="1997">
      <c r="A1997" t="n">
        <v>510337</v>
      </c>
      <c r="B1997" s="6" t="n">
        <v>45954</v>
      </c>
      <c r="C1997" t="n">
        <v>11133</v>
      </c>
      <c r="D1997" t="inlineStr">
        <is>
          <t>Hyderabad</t>
        </is>
      </c>
      <c r="E1997" t="inlineStr">
        <is>
          <t>South</t>
        </is>
      </c>
      <c r="F1997" t="inlineStr">
        <is>
          <t>Organic Search</t>
        </is>
      </c>
      <c r="G1997" t="inlineStr">
        <is>
          <t>Mobile App</t>
        </is>
      </c>
      <c r="H1997" t="inlineStr">
        <is>
          <t>UPI</t>
        </is>
      </c>
      <c r="I1997" t="inlineStr">
        <is>
          <t>Returned</t>
        </is>
      </c>
      <c r="J1997" t="n">
        <v>117</v>
      </c>
      <c r="K1997" t="n">
        <v>3</v>
      </c>
      <c r="L1997" t="n">
        <v>3149</v>
      </c>
      <c r="M1997" t="n">
        <v>944.7</v>
      </c>
      <c r="N1997">
        <f>VLOOKUP(J1997,Products!$A$2:$C$49,3,FALSE)</f>
        <v/>
      </c>
      <c r="O1997">
        <f>K1997*L1997-M1997</f>
        <v/>
      </c>
      <c r="P1997">
        <f>TEXT(B1997,"yyyy-mm")</f>
        <v/>
      </c>
      <c r="Q1997">
        <f>IF(O1997&gt;=3000,"Large","Small")</f>
        <v/>
      </c>
      <c r="R1997">
        <f>INDEX(Products!$F$2:$F$49,MATCH(J1997,Products!$A$2:$A$49,0))</f>
        <v/>
      </c>
      <c r="S1997">
        <f>WEEKDAY(B1997,2)</f>
        <v/>
      </c>
    </row>
    <row r="1998">
      <c r="A1998" t="n">
        <v>510338</v>
      </c>
      <c r="B1998" s="6" t="n">
        <v>45954</v>
      </c>
      <c r="C1998" t="n">
        <v>16555</v>
      </c>
      <c r="D1998" t="inlineStr">
        <is>
          <t>Chennai</t>
        </is>
      </c>
      <c r="E1998" t="inlineStr">
        <is>
          <t>South</t>
        </is>
      </c>
      <c r="F1998" t="inlineStr">
        <is>
          <t>Referral</t>
        </is>
      </c>
      <c r="G1998" t="inlineStr">
        <is>
          <t>Desktop</t>
        </is>
      </c>
      <c r="H1998" t="inlineStr">
        <is>
          <t>Credit Card</t>
        </is>
      </c>
      <c r="I1998" t="inlineStr">
        <is>
          <t>Delivered</t>
        </is>
      </c>
      <c r="J1998" t="n">
        <v>108</v>
      </c>
      <c r="K1998" t="n">
        <v>1</v>
      </c>
      <c r="L1998" t="n">
        <v>419</v>
      </c>
      <c r="M1998" t="n">
        <v>41.9</v>
      </c>
      <c r="N1998">
        <f>VLOOKUP(J1998,Products!$A$2:$C$49,3,FALSE)</f>
        <v/>
      </c>
      <c r="O1998">
        <f>K1998*L1998-M1998</f>
        <v/>
      </c>
      <c r="P1998">
        <f>TEXT(B1998,"yyyy-mm")</f>
        <v/>
      </c>
      <c r="Q1998">
        <f>IF(O1998&gt;=3000,"Large","Small")</f>
        <v/>
      </c>
      <c r="R1998">
        <f>INDEX(Products!$F$2:$F$49,MATCH(J1998,Products!$A$2:$A$49,0))</f>
        <v/>
      </c>
      <c r="S1998">
        <f>WEEKDAY(B1998,2)</f>
        <v/>
      </c>
    </row>
    <row r="1999">
      <c r="A1999" t="n">
        <v>510338</v>
      </c>
      <c r="B1999" s="6" t="n">
        <v>45954</v>
      </c>
      <c r="C1999" t="n">
        <v>16555</v>
      </c>
      <c r="D1999" t="inlineStr">
        <is>
          <t>Chennai</t>
        </is>
      </c>
      <c r="E1999" t="inlineStr">
        <is>
          <t>South</t>
        </is>
      </c>
      <c r="F1999" t="inlineStr">
        <is>
          <t>Referral</t>
        </is>
      </c>
      <c r="G1999" t="inlineStr">
        <is>
          <t>Desktop</t>
        </is>
      </c>
      <c r="H1999" t="inlineStr">
        <is>
          <t>Credit Card</t>
        </is>
      </c>
      <c r="I1999" t="inlineStr">
        <is>
          <t>Delivered</t>
        </is>
      </c>
      <c r="J1999" t="n">
        <v>124</v>
      </c>
      <c r="K1999" t="n">
        <v>1</v>
      </c>
      <c r="L1999" t="n">
        <v>1154</v>
      </c>
      <c r="M1999" t="n">
        <v>115.4</v>
      </c>
      <c r="N1999">
        <f>VLOOKUP(J1999,Products!$A$2:$C$49,3,FALSE)</f>
        <v/>
      </c>
      <c r="O1999">
        <f>K1999*L1999-M1999</f>
        <v/>
      </c>
      <c r="P1999">
        <f>TEXT(B1999,"yyyy-mm")</f>
        <v/>
      </c>
      <c r="Q1999">
        <f>IF(O1999&gt;=3000,"Large","Small")</f>
        <v/>
      </c>
      <c r="R1999">
        <f>INDEX(Products!$F$2:$F$49,MATCH(J1999,Products!$A$2:$A$49,0))</f>
        <v/>
      </c>
      <c r="S1999">
        <f>WEEKDAY(B1999,2)</f>
        <v/>
      </c>
    </row>
    <row r="2000">
      <c r="A2000" t="n">
        <v>510338</v>
      </c>
      <c r="B2000" s="6" t="n">
        <v>45954</v>
      </c>
      <c r="C2000" t="n">
        <v>16555</v>
      </c>
      <c r="D2000" t="inlineStr">
        <is>
          <t>Chennai</t>
        </is>
      </c>
      <c r="E2000" t="inlineStr">
        <is>
          <t>South</t>
        </is>
      </c>
      <c r="F2000" t="inlineStr">
        <is>
          <t>Referral</t>
        </is>
      </c>
      <c r="G2000" t="inlineStr">
        <is>
          <t>Desktop</t>
        </is>
      </c>
      <c r="H2000" t="inlineStr">
        <is>
          <t>Credit Card</t>
        </is>
      </c>
      <c r="I2000" t="inlineStr">
        <is>
          <t>Delivered</t>
        </is>
      </c>
      <c r="J2000" t="n">
        <v>125</v>
      </c>
      <c r="K2000" t="n">
        <v>1</v>
      </c>
      <c r="L2000" t="n">
        <v>1364</v>
      </c>
      <c r="M2000" t="n">
        <v>136.4</v>
      </c>
      <c r="N2000">
        <f>VLOOKUP(J2000,Products!$A$2:$C$49,3,FALSE)</f>
        <v/>
      </c>
      <c r="O2000">
        <f>K2000*L2000-M2000</f>
        <v/>
      </c>
      <c r="P2000">
        <f>TEXT(B2000,"yyyy-mm")</f>
        <v/>
      </c>
      <c r="Q2000">
        <f>IF(O2000&gt;=3000,"Large","Small")</f>
        <v/>
      </c>
      <c r="R2000">
        <f>INDEX(Products!$F$2:$F$49,MATCH(J2000,Products!$A$2:$A$49,0))</f>
        <v/>
      </c>
      <c r="S2000">
        <f>WEEKDAY(B2000,2)</f>
        <v/>
      </c>
    </row>
    <row r="2001">
      <c r="A2001" t="n">
        <v>510338</v>
      </c>
      <c r="B2001" s="6" t="n">
        <v>45954</v>
      </c>
      <c r="C2001" t="n">
        <v>16555</v>
      </c>
      <c r="D2001" t="inlineStr">
        <is>
          <t>Chennai</t>
        </is>
      </c>
      <c r="E2001" t="inlineStr">
        <is>
          <t>South</t>
        </is>
      </c>
      <c r="F2001" t="inlineStr">
        <is>
          <t>Referral</t>
        </is>
      </c>
      <c r="G2001" t="inlineStr">
        <is>
          <t>Desktop</t>
        </is>
      </c>
      <c r="H2001" t="inlineStr">
        <is>
          <t>Credit Card</t>
        </is>
      </c>
      <c r="I2001" t="inlineStr">
        <is>
          <t>Delivered</t>
        </is>
      </c>
      <c r="J2001" t="n">
        <v>116</v>
      </c>
      <c r="K2001" t="n">
        <v>1</v>
      </c>
      <c r="L2001" t="n">
        <v>2624</v>
      </c>
      <c r="M2001" t="n">
        <v>262.4</v>
      </c>
      <c r="N2001">
        <f>VLOOKUP(J2001,Products!$A$2:$C$49,3,FALSE)</f>
        <v/>
      </c>
      <c r="O2001">
        <f>K2001*L2001-M2001</f>
        <v/>
      </c>
      <c r="P2001">
        <f>TEXT(B2001,"yyyy-mm")</f>
        <v/>
      </c>
      <c r="Q2001">
        <f>IF(O2001&gt;=3000,"Large","Small")</f>
        <v/>
      </c>
      <c r="R2001">
        <f>INDEX(Products!$F$2:$F$49,MATCH(J2001,Products!$A$2:$A$49,0))</f>
        <v/>
      </c>
      <c r="S2001">
        <f>WEEKDAY(B2001,2)</f>
        <v/>
      </c>
    </row>
    <row r="2002">
      <c r="A2002" t="n">
        <v>510338</v>
      </c>
      <c r="B2002" s="6" t="n">
        <v>45954</v>
      </c>
      <c r="C2002" t="n">
        <v>16555</v>
      </c>
      <c r="D2002" t="inlineStr">
        <is>
          <t>Chennai</t>
        </is>
      </c>
      <c r="E2002" t="inlineStr">
        <is>
          <t>South</t>
        </is>
      </c>
      <c r="F2002" t="inlineStr">
        <is>
          <t>Referral</t>
        </is>
      </c>
      <c r="G2002" t="inlineStr">
        <is>
          <t>Desktop</t>
        </is>
      </c>
      <c r="H2002" t="inlineStr">
        <is>
          <t>Credit Card</t>
        </is>
      </c>
      <c r="I2002" t="inlineStr">
        <is>
          <t>Delivered</t>
        </is>
      </c>
      <c r="J2002" t="n">
        <v>129</v>
      </c>
      <c r="K2002" t="n">
        <v>1</v>
      </c>
      <c r="L2002" t="n">
        <v>576</v>
      </c>
      <c r="M2002" t="n">
        <v>57.6</v>
      </c>
      <c r="N2002">
        <f>VLOOKUP(J2002,Products!$A$2:$C$49,3,FALSE)</f>
        <v/>
      </c>
      <c r="O2002">
        <f>K2002*L2002-M2002</f>
        <v/>
      </c>
      <c r="P2002">
        <f>TEXT(B2002,"yyyy-mm")</f>
        <v/>
      </c>
      <c r="Q2002">
        <f>IF(O2002&gt;=3000,"Large","Small")</f>
        <v/>
      </c>
      <c r="R2002">
        <f>INDEX(Products!$F$2:$F$49,MATCH(J2002,Products!$A$2:$A$49,0))</f>
        <v/>
      </c>
      <c r="S2002">
        <f>WEEKDAY(B2002,2)</f>
        <v/>
      </c>
    </row>
    <row r="2003">
      <c r="A2003" t="n">
        <v>510339</v>
      </c>
      <c r="B2003" s="6" t="n">
        <v>45954</v>
      </c>
      <c r="C2003" t="n">
        <v>16309</v>
      </c>
      <c r="D2003" t="inlineStr">
        <is>
          <t>Delhi</t>
        </is>
      </c>
      <c r="E2003" t="inlineStr">
        <is>
          <t>North</t>
        </is>
      </c>
      <c r="F2003" t="inlineStr">
        <is>
          <t>Organic Search</t>
        </is>
      </c>
      <c r="G2003" t="inlineStr">
        <is>
          <t>Desktop</t>
        </is>
      </c>
      <c r="H2003" t="inlineStr">
        <is>
          <t>UPI</t>
        </is>
      </c>
      <c r="I2003" t="inlineStr">
        <is>
          <t>Delivered</t>
        </is>
      </c>
      <c r="J2003" t="n">
        <v>116</v>
      </c>
      <c r="K2003" t="n">
        <v>1</v>
      </c>
      <c r="L2003" t="n">
        <v>2624</v>
      </c>
      <c r="M2003" t="n">
        <v>0</v>
      </c>
      <c r="N2003">
        <f>VLOOKUP(J2003,Products!$A$2:$C$49,3,FALSE)</f>
        <v/>
      </c>
      <c r="O2003">
        <f>K2003*L2003-M2003</f>
        <v/>
      </c>
      <c r="P2003">
        <f>TEXT(B2003,"yyyy-mm")</f>
        <v/>
      </c>
      <c r="Q2003">
        <f>IF(O2003&gt;=3000,"Large","Small")</f>
        <v/>
      </c>
      <c r="R2003">
        <f>INDEX(Products!$F$2:$F$49,MATCH(J2003,Products!$A$2:$A$49,0))</f>
        <v/>
      </c>
      <c r="S2003">
        <f>WEEKDAY(B2003,2)</f>
        <v/>
      </c>
    </row>
    <row r="2004">
      <c r="A2004" t="n">
        <v>510339</v>
      </c>
      <c r="B2004" s="6" t="n">
        <v>45954</v>
      </c>
      <c r="C2004" t="n">
        <v>16309</v>
      </c>
      <c r="D2004" t="inlineStr">
        <is>
          <t>Delhi</t>
        </is>
      </c>
      <c r="E2004" t="inlineStr">
        <is>
          <t>North</t>
        </is>
      </c>
      <c r="F2004" t="inlineStr">
        <is>
          <t>Organic Search</t>
        </is>
      </c>
      <c r="G2004" t="inlineStr">
        <is>
          <t>Desktop</t>
        </is>
      </c>
      <c r="H2004" t="inlineStr">
        <is>
          <t>UPI</t>
        </is>
      </c>
      <c r="I2004" t="inlineStr">
        <is>
          <t>Delivered</t>
        </is>
      </c>
      <c r="J2004" t="n">
        <v>111</v>
      </c>
      <c r="K2004" t="n">
        <v>1</v>
      </c>
      <c r="L2004" t="n">
        <v>524</v>
      </c>
      <c r="M2004" t="n">
        <v>0</v>
      </c>
      <c r="N2004">
        <f>VLOOKUP(J2004,Products!$A$2:$C$49,3,FALSE)</f>
        <v/>
      </c>
      <c r="O2004">
        <f>K2004*L2004-M2004</f>
        <v/>
      </c>
      <c r="P2004">
        <f>TEXT(B2004,"yyyy-mm")</f>
        <v/>
      </c>
      <c r="Q2004">
        <f>IF(O2004&gt;=3000,"Large","Small")</f>
        <v/>
      </c>
      <c r="R2004">
        <f>INDEX(Products!$F$2:$F$49,MATCH(J2004,Products!$A$2:$A$49,0))</f>
        <v/>
      </c>
      <c r="S2004">
        <f>WEEKDAY(B2004,2)</f>
        <v/>
      </c>
    </row>
    <row r="2005">
      <c r="A2005" t="n">
        <v>510339</v>
      </c>
      <c r="B2005" s="6" t="n">
        <v>45954</v>
      </c>
      <c r="C2005" t="n">
        <v>16309</v>
      </c>
      <c r="D2005" t="inlineStr">
        <is>
          <t>Delhi</t>
        </is>
      </c>
      <c r="E2005" t="inlineStr">
        <is>
          <t>North</t>
        </is>
      </c>
      <c r="F2005" t="inlineStr">
        <is>
          <t>Organic Search</t>
        </is>
      </c>
      <c r="G2005" t="inlineStr">
        <is>
          <t>Desktop</t>
        </is>
      </c>
      <c r="H2005" t="inlineStr">
        <is>
          <t>UPI</t>
        </is>
      </c>
      <c r="I2005" t="inlineStr">
        <is>
          <t>Delivered</t>
        </is>
      </c>
      <c r="J2005" t="n">
        <v>129</v>
      </c>
      <c r="K2005" t="n">
        <v>1</v>
      </c>
      <c r="L2005" t="n">
        <v>576</v>
      </c>
      <c r="M2005" t="n">
        <v>0</v>
      </c>
      <c r="N2005">
        <f>VLOOKUP(J2005,Products!$A$2:$C$49,3,FALSE)</f>
        <v/>
      </c>
      <c r="O2005">
        <f>K2005*L2005-M2005</f>
        <v/>
      </c>
      <c r="P2005">
        <f>TEXT(B2005,"yyyy-mm")</f>
        <v/>
      </c>
      <c r="Q2005">
        <f>IF(O2005&gt;=3000,"Large","Small")</f>
        <v/>
      </c>
      <c r="R2005">
        <f>INDEX(Products!$F$2:$F$49,MATCH(J2005,Products!$A$2:$A$49,0))</f>
        <v/>
      </c>
      <c r="S2005">
        <f>WEEKDAY(B2005,2)</f>
        <v/>
      </c>
    </row>
    <row r="2006">
      <c r="A2006" t="n">
        <v>510340</v>
      </c>
      <c r="B2006" s="6" t="n">
        <v>45954</v>
      </c>
      <c r="C2006" t="n">
        <v>15899</v>
      </c>
      <c r="D2006" t="inlineStr">
        <is>
          <t>Pune</t>
        </is>
      </c>
      <c r="E2006" t="inlineStr">
        <is>
          <t>West</t>
        </is>
      </c>
      <c r="F2006" t="inlineStr">
        <is>
          <t>Organic Search</t>
        </is>
      </c>
      <c r="G2006" t="inlineStr">
        <is>
          <t>Desktop</t>
        </is>
      </c>
      <c r="H2006" t="inlineStr">
        <is>
          <t>UPI</t>
        </is>
      </c>
      <c r="I2006" t="inlineStr">
        <is>
          <t>Delivered</t>
        </is>
      </c>
      <c r="J2006" t="n">
        <v>118</v>
      </c>
      <c r="K2006" t="n">
        <v>1</v>
      </c>
      <c r="L2006" t="n">
        <v>944</v>
      </c>
      <c r="M2006" t="n">
        <v>0</v>
      </c>
      <c r="N2006">
        <f>VLOOKUP(J2006,Products!$A$2:$C$49,3,FALSE)</f>
        <v/>
      </c>
      <c r="O2006">
        <f>K2006*L2006-M2006</f>
        <v/>
      </c>
      <c r="P2006">
        <f>TEXT(B2006,"yyyy-mm")</f>
        <v/>
      </c>
      <c r="Q2006">
        <f>IF(O2006&gt;=3000,"Large","Small")</f>
        <v/>
      </c>
      <c r="R2006">
        <f>INDEX(Products!$F$2:$F$49,MATCH(J2006,Products!$A$2:$A$49,0))</f>
        <v/>
      </c>
      <c r="S2006">
        <f>WEEKDAY(B2006,2)</f>
        <v/>
      </c>
    </row>
    <row r="2007">
      <c r="A2007" t="n">
        <v>510340</v>
      </c>
      <c r="B2007" s="6" t="n">
        <v>45954</v>
      </c>
      <c r="C2007" t="n">
        <v>15899</v>
      </c>
      <c r="D2007" t="inlineStr">
        <is>
          <t>Pune</t>
        </is>
      </c>
      <c r="E2007" t="inlineStr">
        <is>
          <t>West</t>
        </is>
      </c>
      <c r="F2007" t="inlineStr">
        <is>
          <t>Organic Search</t>
        </is>
      </c>
      <c r="G2007" t="inlineStr">
        <is>
          <t>Desktop</t>
        </is>
      </c>
      <c r="H2007" t="inlineStr">
        <is>
          <t>UPI</t>
        </is>
      </c>
      <c r="I2007" t="inlineStr">
        <is>
          <t>Delivered</t>
        </is>
      </c>
      <c r="J2007" t="n">
        <v>129</v>
      </c>
      <c r="K2007" t="n">
        <v>1</v>
      </c>
      <c r="L2007" t="n">
        <v>576</v>
      </c>
      <c r="M2007" t="n">
        <v>0</v>
      </c>
      <c r="N2007">
        <f>VLOOKUP(J2007,Products!$A$2:$C$49,3,FALSE)</f>
        <v/>
      </c>
      <c r="O2007">
        <f>K2007*L2007-M2007</f>
        <v/>
      </c>
      <c r="P2007">
        <f>TEXT(B2007,"yyyy-mm")</f>
        <v/>
      </c>
      <c r="Q2007">
        <f>IF(O2007&gt;=3000,"Large","Small")</f>
        <v/>
      </c>
      <c r="R2007">
        <f>INDEX(Products!$F$2:$F$49,MATCH(J2007,Products!$A$2:$A$49,0))</f>
        <v/>
      </c>
      <c r="S2007">
        <f>WEEKDAY(B2007,2)</f>
        <v/>
      </c>
    </row>
    <row r="2008">
      <c r="A2008" t="n">
        <v>510341</v>
      </c>
      <c r="B2008" s="6" t="n">
        <v>45954</v>
      </c>
      <c r="C2008" t="n">
        <v>16885</v>
      </c>
      <c r="D2008" t="inlineStr">
        <is>
          <t>Chandigarh</t>
        </is>
      </c>
      <c r="E2008" t="inlineStr">
        <is>
          <t>North</t>
        </is>
      </c>
      <c r="F2008" t="inlineStr">
        <is>
          <t>Organic Search</t>
        </is>
      </c>
      <c r="G2008" t="inlineStr">
        <is>
          <t>Mobile App</t>
        </is>
      </c>
      <c r="H2008" t="inlineStr">
        <is>
          <t>UPI</t>
        </is>
      </c>
      <c r="I2008" t="inlineStr">
        <is>
          <t>Delivered</t>
        </is>
      </c>
      <c r="J2008" t="n">
        <v>106</v>
      </c>
      <c r="K2008" t="n">
        <v>1</v>
      </c>
      <c r="L2008" t="n">
        <v>1574</v>
      </c>
      <c r="M2008" t="n">
        <v>236.1</v>
      </c>
      <c r="N2008">
        <f>VLOOKUP(J2008,Products!$A$2:$C$49,3,FALSE)</f>
        <v/>
      </c>
      <c r="O2008">
        <f>K2008*L2008-M2008</f>
        <v/>
      </c>
      <c r="P2008">
        <f>TEXT(B2008,"yyyy-mm")</f>
        <v/>
      </c>
      <c r="Q2008">
        <f>IF(O2008&gt;=3000,"Large","Small")</f>
        <v/>
      </c>
      <c r="R2008">
        <f>INDEX(Products!$F$2:$F$49,MATCH(J2008,Products!$A$2:$A$49,0))</f>
        <v/>
      </c>
      <c r="S2008">
        <f>WEEKDAY(B2008,2)</f>
        <v/>
      </c>
    </row>
    <row r="2009">
      <c r="A2009" t="n">
        <v>510342</v>
      </c>
      <c r="B2009" s="6" t="n">
        <v>45954</v>
      </c>
      <c r="C2009" t="n">
        <v>14735</v>
      </c>
      <c r="D2009" t="inlineStr">
        <is>
          <t>Kochi</t>
        </is>
      </c>
      <c r="E2009" t="inlineStr">
        <is>
          <t>South</t>
        </is>
      </c>
      <c r="F2009" t="inlineStr">
        <is>
          <t>Paid Search</t>
        </is>
      </c>
      <c r="G2009" t="inlineStr">
        <is>
          <t>Mobile App</t>
        </is>
      </c>
      <c r="H2009" t="inlineStr">
        <is>
          <t>Credit Card</t>
        </is>
      </c>
      <c r="I2009" t="inlineStr">
        <is>
          <t>Delivered</t>
        </is>
      </c>
      <c r="J2009" t="n">
        <v>131</v>
      </c>
      <c r="K2009" t="n">
        <v>1</v>
      </c>
      <c r="L2009" t="n">
        <v>314</v>
      </c>
      <c r="M2009" t="n">
        <v>31.4</v>
      </c>
      <c r="N2009">
        <f>VLOOKUP(J2009,Products!$A$2:$C$49,3,FALSE)</f>
        <v/>
      </c>
      <c r="O2009">
        <f>K2009*L2009-M2009</f>
        <v/>
      </c>
      <c r="P2009">
        <f>TEXT(B2009,"yyyy-mm")</f>
        <v/>
      </c>
      <c r="Q2009">
        <f>IF(O2009&gt;=3000,"Large","Small")</f>
        <v/>
      </c>
      <c r="R2009">
        <f>INDEX(Products!$F$2:$F$49,MATCH(J2009,Products!$A$2:$A$49,0))</f>
        <v/>
      </c>
      <c r="S2009">
        <f>WEEKDAY(B2009,2)</f>
        <v/>
      </c>
    </row>
    <row r="2010">
      <c r="A2010" t="n">
        <v>510342</v>
      </c>
      <c r="B2010" s="6" t="n">
        <v>45954</v>
      </c>
      <c r="C2010" t="n">
        <v>14735</v>
      </c>
      <c r="D2010" t="inlineStr">
        <is>
          <t>Kochi</t>
        </is>
      </c>
      <c r="E2010" t="inlineStr">
        <is>
          <t>South</t>
        </is>
      </c>
      <c r="F2010" t="inlineStr">
        <is>
          <t>Paid Search</t>
        </is>
      </c>
      <c r="G2010" t="inlineStr">
        <is>
          <t>Mobile App</t>
        </is>
      </c>
      <c r="H2010" t="inlineStr">
        <is>
          <t>Credit Card</t>
        </is>
      </c>
      <c r="I2010" t="inlineStr">
        <is>
          <t>Delivered</t>
        </is>
      </c>
      <c r="J2010" t="n">
        <v>129</v>
      </c>
      <c r="K2010" t="n">
        <v>1</v>
      </c>
      <c r="L2010" t="n">
        <v>576</v>
      </c>
      <c r="M2010" t="n">
        <v>57.6</v>
      </c>
      <c r="N2010">
        <f>VLOOKUP(J2010,Products!$A$2:$C$49,3,FALSE)</f>
        <v/>
      </c>
      <c r="O2010">
        <f>K2010*L2010-M2010</f>
        <v/>
      </c>
      <c r="P2010">
        <f>TEXT(B2010,"yyyy-mm")</f>
        <v/>
      </c>
      <c r="Q2010">
        <f>IF(O2010&gt;=3000,"Large","Small")</f>
        <v/>
      </c>
      <c r="R2010">
        <f>INDEX(Products!$F$2:$F$49,MATCH(J2010,Products!$A$2:$A$49,0))</f>
        <v/>
      </c>
      <c r="S2010">
        <f>WEEKDAY(B2010,2)</f>
        <v/>
      </c>
    </row>
    <row r="2011">
      <c r="A2011" t="n">
        <v>510343</v>
      </c>
      <c r="B2011" s="6" t="n">
        <v>45954</v>
      </c>
      <c r="C2011" t="n">
        <v>16967</v>
      </c>
      <c r="D2011" t="inlineStr">
        <is>
          <t>Lucknow</t>
        </is>
      </c>
      <c r="E2011" t="inlineStr">
        <is>
          <t>North</t>
        </is>
      </c>
      <c r="F2011" t="inlineStr">
        <is>
          <t>Paid Social</t>
        </is>
      </c>
      <c r="G2011" t="inlineStr">
        <is>
          <t>Mobile Web</t>
        </is>
      </c>
      <c r="H2011" t="inlineStr">
        <is>
          <t>UPI</t>
        </is>
      </c>
      <c r="I2011" t="inlineStr">
        <is>
          <t>Delivered</t>
        </is>
      </c>
      <c r="J2011" t="n">
        <v>113</v>
      </c>
      <c r="K2011" t="n">
        <v>2</v>
      </c>
      <c r="L2011" t="n">
        <v>1364</v>
      </c>
      <c r="M2011" t="n">
        <v>409.2</v>
      </c>
      <c r="N2011">
        <f>VLOOKUP(J2011,Products!$A$2:$C$49,3,FALSE)</f>
        <v/>
      </c>
      <c r="O2011">
        <f>K2011*L2011-M2011</f>
        <v/>
      </c>
      <c r="P2011">
        <f>TEXT(B2011,"yyyy-mm")</f>
        <v/>
      </c>
      <c r="Q2011">
        <f>IF(O2011&gt;=3000,"Large","Small")</f>
        <v/>
      </c>
      <c r="R2011">
        <f>INDEX(Products!$F$2:$F$49,MATCH(J2011,Products!$A$2:$A$49,0))</f>
        <v/>
      </c>
      <c r="S2011">
        <f>WEEKDAY(B2011,2)</f>
        <v/>
      </c>
    </row>
    <row r="2012">
      <c r="A2012" t="n">
        <v>510343</v>
      </c>
      <c r="B2012" s="6" t="n">
        <v>45954</v>
      </c>
      <c r="C2012" t="n">
        <v>16967</v>
      </c>
      <c r="D2012" t="inlineStr">
        <is>
          <t>Lucknow</t>
        </is>
      </c>
      <c r="E2012" t="inlineStr">
        <is>
          <t>North</t>
        </is>
      </c>
      <c r="F2012" t="inlineStr">
        <is>
          <t>Paid Social</t>
        </is>
      </c>
      <c r="G2012" t="inlineStr">
        <is>
          <t>Mobile Web</t>
        </is>
      </c>
      <c r="H2012" t="inlineStr">
        <is>
          <t>UPI</t>
        </is>
      </c>
      <c r="I2012" t="inlineStr">
        <is>
          <t>Delivered</t>
        </is>
      </c>
      <c r="J2012" t="n">
        <v>109</v>
      </c>
      <c r="K2012" t="n">
        <v>3</v>
      </c>
      <c r="L2012" t="n">
        <v>4199</v>
      </c>
      <c r="M2012" t="n">
        <v>1889.55</v>
      </c>
      <c r="N2012">
        <f>VLOOKUP(J2012,Products!$A$2:$C$49,3,FALSE)</f>
        <v/>
      </c>
      <c r="O2012">
        <f>K2012*L2012-M2012</f>
        <v/>
      </c>
      <c r="P2012">
        <f>TEXT(B2012,"yyyy-mm")</f>
        <v/>
      </c>
      <c r="Q2012">
        <f>IF(O2012&gt;=3000,"Large","Small")</f>
        <v/>
      </c>
      <c r="R2012">
        <f>INDEX(Products!$F$2:$F$49,MATCH(J2012,Products!$A$2:$A$49,0))</f>
        <v/>
      </c>
      <c r="S2012">
        <f>WEEKDAY(B2012,2)</f>
        <v/>
      </c>
    </row>
    <row r="2013">
      <c r="A2013" t="n">
        <v>510343</v>
      </c>
      <c r="B2013" s="6" t="n">
        <v>45954</v>
      </c>
      <c r="C2013" t="n">
        <v>16967</v>
      </c>
      <c r="D2013" t="inlineStr">
        <is>
          <t>Lucknow</t>
        </is>
      </c>
      <c r="E2013" t="inlineStr">
        <is>
          <t>North</t>
        </is>
      </c>
      <c r="F2013" t="inlineStr">
        <is>
          <t>Paid Social</t>
        </is>
      </c>
      <c r="G2013" t="inlineStr">
        <is>
          <t>Mobile Web</t>
        </is>
      </c>
      <c r="H2013" t="inlineStr">
        <is>
          <t>UPI</t>
        </is>
      </c>
      <c r="I2013" t="inlineStr">
        <is>
          <t>Delivered</t>
        </is>
      </c>
      <c r="J2013" t="n">
        <v>114</v>
      </c>
      <c r="K2013" t="n">
        <v>1</v>
      </c>
      <c r="L2013" t="n">
        <v>1259</v>
      </c>
      <c r="M2013" t="n">
        <v>188.85</v>
      </c>
      <c r="N2013">
        <f>VLOOKUP(J2013,Products!$A$2:$C$49,3,FALSE)</f>
        <v/>
      </c>
      <c r="O2013">
        <f>K2013*L2013-M2013</f>
        <v/>
      </c>
      <c r="P2013">
        <f>TEXT(B2013,"yyyy-mm")</f>
        <v/>
      </c>
      <c r="Q2013">
        <f>IF(O2013&gt;=3000,"Large","Small")</f>
        <v/>
      </c>
      <c r="R2013">
        <f>INDEX(Products!$F$2:$F$49,MATCH(J2013,Products!$A$2:$A$49,0))</f>
        <v/>
      </c>
      <c r="S2013">
        <f>WEEKDAY(B2013,2)</f>
        <v/>
      </c>
    </row>
    <row r="2014">
      <c r="A2014" t="n">
        <v>510343</v>
      </c>
      <c r="B2014" s="6" t="n">
        <v>45954</v>
      </c>
      <c r="C2014" t="n">
        <v>16967</v>
      </c>
      <c r="D2014" t="inlineStr">
        <is>
          <t>Lucknow</t>
        </is>
      </c>
      <c r="E2014" t="inlineStr">
        <is>
          <t>North</t>
        </is>
      </c>
      <c r="F2014" t="inlineStr">
        <is>
          <t>Paid Social</t>
        </is>
      </c>
      <c r="G2014" t="inlineStr">
        <is>
          <t>Mobile Web</t>
        </is>
      </c>
      <c r="H2014" t="inlineStr">
        <is>
          <t>UPI</t>
        </is>
      </c>
      <c r="I2014" t="inlineStr">
        <is>
          <t>Delivered</t>
        </is>
      </c>
      <c r="J2014" t="n">
        <v>118</v>
      </c>
      <c r="K2014" t="n">
        <v>1</v>
      </c>
      <c r="L2014" t="n">
        <v>944</v>
      </c>
      <c r="M2014" t="n">
        <v>141.6</v>
      </c>
      <c r="N2014">
        <f>VLOOKUP(J2014,Products!$A$2:$C$49,3,FALSE)</f>
        <v/>
      </c>
      <c r="O2014">
        <f>K2014*L2014-M2014</f>
        <v/>
      </c>
      <c r="P2014">
        <f>TEXT(B2014,"yyyy-mm")</f>
        <v/>
      </c>
      <c r="Q2014">
        <f>IF(O2014&gt;=3000,"Large","Small")</f>
        <v/>
      </c>
      <c r="R2014">
        <f>INDEX(Products!$F$2:$F$49,MATCH(J2014,Products!$A$2:$A$49,0))</f>
        <v/>
      </c>
      <c r="S2014">
        <f>WEEKDAY(B2014,2)</f>
        <v/>
      </c>
    </row>
    <row r="2015">
      <c r="A2015" t="n">
        <v>510343</v>
      </c>
      <c r="B2015" s="6" t="n">
        <v>45954</v>
      </c>
      <c r="C2015" t="n">
        <v>16967</v>
      </c>
      <c r="D2015" t="inlineStr">
        <is>
          <t>Lucknow</t>
        </is>
      </c>
      <c r="E2015" t="inlineStr">
        <is>
          <t>North</t>
        </is>
      </c>
      <c r="F2015" t="inlineStr">
        <is>
          <t>Paid Social</t>
        </is>
      </c>
      <c r="G2015" t="inlineStr">
        <is>
          <t>Mobile Web</t>
        </is>
      </c>
      <c r="H2015" t="inlineStr">
        <is>
          <t>UPI</t>
        </is>
      </c>
      <c r="I2015" t="inlineStr">
        <is>
          <t>Delivered</t>
        </is>
      </c>
      <c r="J2015" t="n">
        <v>129</v>
      </c>
      <c r="K2015" t="n">
        <v>1</v>
      </c>
      <c r="L2015" t="n">
        <v>576</v>
      </c>
      <c r="M2015" t="n">
        <v>86.40000000000001</v>
      </c>
      <c r="N2015">
        <f>VLOOKUP(J2015,Products!$A$2:$C$49,3,FALSE)</f>
        <v/>
      </c>
      <c r="O2015">
        <f>K2015*L2015-M2015</f>
        <v/>
      </c>
      <c r="P2015">
        <f>TEXT(B2015,"yyyy-mm")</f>
        <v/>
      </c>
      <c r="Q2015">
        <f>IF(O2015&gt;=3000,"Large","Small")</f>
        <v/>
      </c>
      <c r="R2015">
        <f>INDEX(Products!$F$2:$F$49,MATCH(J2015,Products!$A$2:$A$49,0))</f>
        <v/>
      </c>
      <c r="S2015">
        <f>WEEKDAY(B2015,2)</f>
        <v/>
      </c>
    </row>
    <row r="2016">
      <c r="A2016" t="n">
        <v>510344</v>
      </c>
      <c r="B2016" s="6" t="n">
        <v>45954</v>
      </c>
      <c r="C2016" t="n">
        <v>11212</v>
      </c>
      <c r="D2016" t="inlineStr">
        <is>
          <t>Bengaluru</t>
        </is>
      </c>
      <c r="E2016" t="inlineStr">
        <is>
          <t>South</t>
        </is>
      </c>
      <c r="F2016" t="inlineStr">
        <is>
          <t>Affiliate</t>
        </is>
      </c>
      <c r="G2016" t="inlineStr">
        <is>
          <t>Desktop</t>
        </is>
      </c>
      <c r="H2016" t="inlineStr">
        <is>
          <t>UPI</t>
        </is>
      </c>
      <c r="I2016" t="inlineStr">
        <is>
          <t>Returned</t>
        </is>
      </c>
      <c r="J2016" t="n">
        <v>104</v>
      </c>
      <c r="K2016" t="n">
        <v>1</v>
      </c>
      <c r="L2016" t="n">
        <v>5249</v>
      </c>
      <c r="M2016" t="n">
        <v>524.9</v>
      </c>
      <c r="N2016">
        <f>VLOOKUP(J2016,Products!$A$2:$C$49,3,FALSE)</f>
        <v/>
      </c>
      <c r="O2016">
        <f>K2016*L2016-M2016</f>
        <v/>
      </c>
      <c r="P2016">
        <f>TEXT(B2016,"yyyy-mm")</f>
        <v/>
      </c>
      <c r="Q2016">
        <f>IF(O2016&gt;=3000,"Large","Small")</f>
        <v/>
      </c>
      <c r="R2016">
        <f>INDEX(Products!$F$2:$F$49,MATCH(J2016,Products!$A$2:$A$49,0))</f>
        <v/>
      </c>
      <c r="S2016">
        <f>WEEKDAY(B2016,2)</f>
        <v/>
      </c>
    </row>
    <row r="2017">
      <c r="A2017" t="n">
        <v>510344</v>
      </c>
      <c r="B2017" s="6" t="n">
        <v>45954</v>
      </c>
      <c r="C2017" t="n">
        <v>11212</v>
      </c>
      <c r="D2017" t="inlineStr">
        <is>
          <t>Bengaluru</t>
        </is>
      </c>
      <c r="E2017" t="inlineStr">
        <is>
          <t>South</t>
        </is>
      </c>
      <c r="F2017" t="inlineStr">
        <is>
          <t>Affiliate</t>
        </is>
      </c>
      <c r="G2017" t="inlineStr">
        <is>
          <t>Desktop</t>
        </is>
      </c>
      <c r="H2017" t="inlineStr">
        <is>
          <t>UPI</t>
        </is>
      </c>
      <c r="I2017" t="inlineStr">
        <is>
          <t>Returned</t>
        </is>
      </c>
      <c r="J2017" t="n">
        <v>129</v>
      </c>
      <c r="K2017" t="n">
        <v>2</v>
      </c>
      <c r="L2017" t="n">
        <v>576</v>
      </c>
      <c r="M2017" t="n">
        <v>115.2</v>
      </c>
      <c r="N2017">
        <f>VLOOKUP(J2017,Products!$A$2:$C$49,3,FALSE)</f>
        <v/>
      </c>
      <c r="O2017">
        <f>K2017*L2017-M2017</f>
        <v/>
      </c>
      <c r="P2017">
        <f>TEXT(B2017,"yyyy-mm")</f>
        <v/>
      </c>
      <c r="Q2017">
        <f>IF(O2017&gt;=3000,"Large","Small")</f>
        <v/>
      </c>
      <c r="R2017">
        <f>INDEX(Products!$F$2:$F$49,MATCH(J2017,Products!$A$2:$A$49,0))</f>
        <v/>
      </c>
      <c r="S2017">
        <f>WEEKDAY(B2017,2)</f>
        <v/>
      </c>
    </row>
    <row r="2018">
      <c r="A2018" t="n">
        <v>510345</v>
      </c>
      <c r="B2018" s="6" t="n">
        <v>45954</v>
      </c>
      <c r="C2018" t="n">
        <v>16983</v>
      </c>
      <c r="D2018" t="inlineStr">
        <is>
          <t>Delhi</t>
        </is>
      </c>
      <c r="E2018" t="inlineStr">
        <is>
          <t>North</t>
        </is>
      </c>
      <c r="F2018" t="inlineStr">
        <is>
          <t>Paid Search</t>
        </is>
      </c>
      <c r="G2018" t="inlineStr">
        <is>
          <t>Mobile Web</t>
        </is>
      </c>
      <c r="H2018" t="inlineStr">
        <is>
          <t>UPI</t>
        </is>
      </c>
      <c r="I2018" t="inlineStr">
        <is>
          <t>Delivered</t>
        </is>
      </c>
      <c r="J2018" t="n">
        <v>111</v>
      </c>
      <c r="K2018" t="n">
        <v>2</v>
      </c>
      <c r="L2018" t="n">
        <v>524</v>
      </c>
      <c r="M2018" t="n">
        <v>0</v>
      </c>
      <c r="N2018">
        <f>VLOOKUP(J2018,Products!$A$2:$C$49,3,FALSE)</f>
        <v/>
      </c>
      <c r="O2018">
        <f>K2018*L2018-M2018</f>
        <v/>
      </c>
      <c r="P2018">
        <f>TEXT(B2018,"yyyy-mm")</f>
        <v/>
      </c>
      <c r="Q2018">
        <f>IF(O2018&gt;=3000,"Large","Small")</f>
        <v/>
      </c>
      <c r="R2018">
        <f>INDEX(Products!$F$2:$F$49,MATCH(J2018,Products!$A$2:$A$49,0))</f>
        <v/>
      </c>
      <c r="S2018">
        <f>WEEKDAY(B2018,2)</f>
        <v/>
      </c>
    </row>
    <row r="2019">
      <c r="A2019" t="n">
        <v>510346</v>
      </c>
      <c r="B2019" s="6" t="n">
        <v>45954</v>
      </c>
      <c r="C2019" t="n">
        <v>10314</v>
      </c>
      <c r="D2019" t="inlineStr">
        <is>
          <t>Ahmedabad</t>
        </is>
      </c>
      <c r="E2019" t="inlineStr">
        <is>
          <t>West</t>
        </is>
      </c>
      <c r="F2019" t="inlineStr">
        <is>
          <t>Paid Social</t>
        </is>
      </c>
      <c r="G2019" t="inlineStr">
        <is>
          <t>Mobile App</t>
        </is>
      </c>
      <c r="H2019" t="inlineStr">
        <is>
          <t>UPI</t>
        </is>
      </c>
      <c r="I2019" t="inlineStr">
        <is>
          <t>Delivered</t>
        </is>
      </c>
      <c r="J2019" t="n">
        <v>112</v>
      </c>
      <c r="K2019" t="n">
        <v>2</v>
      </c>
      <c r="L2019" t="n">
        <v>1574</v>
      </c>
      <c r="M2019" t="n">
        <v>0</v>
      </c>
      <c r="N2019">
        <f>VLOOKUP(J2019,Products!$A$2:$C$49,3,FALSE)</f>
        <v/>
      </c>
      <c r="O2019">
        <f>K2019*L2019-M2019</f>
        <v/>
      </c>
      <c r="P2019">
        <f>TEXT(B2019,"yyyy-mm")</f>
        <v/>
      </c>
      <c r="Q2019">
        <f>IF(O2019&gt;=3000,"Large","Small")</f>
        <v/>
      </c>
      <c r="R2019">
        <f>INDEX(Products!$F$2:$F$49,MATCH(J2019,Products!$A$2:$A$49,0))</f>
        <v/>
      </c>
      <c r="S2019">
        <f>WEEKDAY(B2019,2)</f>
        <v/>
      </c>
    </row>
    <row r="2020">
      <c r="A2020" t="n">
        <v>510346</v>
      </c>
      <c r="B2020" s="6" t="n">
        <v>45954</v>
      </c>
      <c r="C2020" t="n">
        <v>10314</v>
      </c>
      <c r="D2020" t="inlineStr">
        <is>
          <t>Ahmedabad</t>
        </is>
      </c>
      <c r="E2020" t="inlineStr">
        <is>
          <t>West</t>
        </is>
      </c>
      <c r="F2020" t="inlineStr">
        <is>
          <t>Paid Social</t>
        </is>
      </c>
      <c r="G2020" t="inlineStr">
        <is>
          <t>Mobile App</t>
        </is>
      </c>
      <c r="H2020" t="inlineStr">
        <is>
          <t>UPI</t>
        </is>
      </c>
      <c r="I2020" t="inlineStr">
        <is>
          <t>Delivered</t>
        </is>
      </c>
      <c r="J2020" t="n">
        <v>106</v>
      </c>
      <c r="K2020" t="n">
        <v>1</v>
      </c>
      <c r="L2020" t="n">
        <v>1574</v>
      </c>
      <c r="M2020" t="n">
        <v>0</v>
      </c>
      <c r="N2020">
        <f>VLOOKUP(J2020,Products!$A$2:$C$49,3,FALSE)</f>
        <v/>
      </c>
      <c r="O2020">
        <f>K2020*L2020-M2020</f>
        <v/>
      </c>
      <c r="P2020">
        <f>TEXT(B2020,"yyyy-mm")</f>
        <v/>
      </c>
      <c r="Q2020">
        <f>IF(O2020&gt;=3000,"Large","Small")</f>
        <v/>
      </c>
      <c r="R2020">
        <f>INDEX(Products!$F$2:$F$49,MATCH(J2020,Products!$A$2:$A$49,0))</f>
        <v/>
      </c>
      <c r="S2020">
        <f>WEEKDAY(B2020,2)</f>
        <v/>
      </c>
    </row>
    <row r="2021">
      <c r="A2021" t="n">
        <v>510346</v>
      </c>
      <c r="B2021" s="6" t="n">
        <v>45954</v>
      </c>
      <c r="C2021" t="n">
        <v>10314</v>
      </c>
      <c r="D2021" t="inlineStr">
        <is>
          <t>Ahmedabad</t>
        </is>
      </c>
      <c r="E2021" t="inlineStr">
        <is>
          <t>West</t>
        </is>
      </c>
      <c r="F2021" t="inlineStr">
        <is>
          <t>Paid Social</t>
        </is>
      </c>
      <c r="G2021" t="inlineStr">
        <is>
          <t>Mobile App</t>
        </is>
      </c>
      <c r="H2021" t="inlineStr">
        <is>
          <t>UPI</t>
        </is>
      </c>
      <c r="I2021" t="inlineStr">
        <is>
          <t>Delivered</t>
        </is>
      </c>
      <c r="J2021" t="n">
        <v>129</v>
      </c>
      <c r="K2021" t="n">
        <v>1</v>
      </c>
      <c r="L2021" t="n">
        <v>576</v>
      </c>
      <c r="M2021" t="n">
        <v>0</v>
      </c>
      <c r="N2021">
        <f>VLOOKUP(J2021,Products!$A$2:$C$49,3,FALSE)</f>
        <v/>
      </c>
      <c r="O2021">
        <f>K2021*L2021-M2021</f>
        <v/>
      </c>
      <c r="P2021">
        <f>TEXT(B2021,"yyyy-mm")</f>
        <v/>
      </c>
      <c r="Q2021">
        <f>IF(O2021&gt;=3000,"Large","Small")</f>
        <v/>
      </c>
      <c r="R2021">
        <f>INDEX(Products!$F$2:$F$49,MATCH(J2021,Products!$A$2:$A$49,0))</f>
        <v/>
      </c>
      <c r="S2021">
        <f>WEEKDAY(B2021,2)</f>
        <v/>
      </c>
    </row>
    <row r="2022">
      <c r="A2022" t="n">
        <v>510347</v>
      </c>
      <c r="B2022" s="6" t="n">
        <v>45954</v>
      </c>
      <c r="C2022" t="n">
        <v>14814</v>
      </c>
      <c r="D2022" t="inlineStr">
        <is>
          <t>Gurugram</t>
        </is>
      </c>
      <c r="E2022" t="inlineStr">
        <is>
          <t>North</t>
        </is>
      </c>
      <c r="F2022" t="inlineStr">
        <is>
          <t>Referral</t>
        </is>
      </c>
      <c r="G2022" t="inlineStr">
        <is>
          <t>Mobile App</t>
        </is>
      </c>
      <c r="H2022" t="inlineStr">
        <is>
          <t>Credit Card</t>
        </is>
      </c>
      <c r="I2022" t="inlineStr">
        <is>
          <t>Delivered</t>
        </is>
      </c>
      <c r="J2022" t="n">
        <v>117</v>
      </c>
      <c r="K2022" t="n">
        <v>2</v>
      </c>
      <c r="L2022" t="n">
        <v>3149</v>
      </c>
      <c r="M2022" t="n">
        <v>0</v>
      </c>
      <c r="N2022">
        <f>VLOOKUP(J2022,Products!$A$2:$C$49,3,FALSE)</f>
        <v/>
      </c>
      <c r="O2022">
        <f>K2022*L2022-M2022</f>
        <v/>
      </c>
      <c r="P2022">
        <f>TEXT(B2022,"yyyy-mm")</f>
        <v/>
      </c>
      <c r="Q2022">
        <f>IF(O2022&gt;=3000,"Large","Small")</f>
        <v/>
      </c>
      <c r="R2022">
        <f>INDEX(Products!$F$2:$F$49,MATCH(J2022,Products!$A$2:$A$49,0))</f>
        <v/>
      </c>
      <c r="S2022">
        <f>WEEKDAY(B2022,2)</f>
        <v/>
      </c>
    </row>
    <row r="2023">
      <c r="A2023" t="n">
        <v>510347</v>
      </c>
      <c r="B2023" s="6" t="n">
        <v>45954</v>
      </c>
      <c r="C2023" t="n">
        <v>14814</v>
      </c>
      <c r="D2023" t="inlineStr">
        <is>
          <t>Gurugram</t>
        </is>
      </c>
      <c r="E2023" t="inlineStr">
        <is>
          <t>North</t>
        </is>
      </c>
      <c r="F2023" t="inlineStr">
        <is>
          <t>Referral</t>
        </is>
      </c>
      <c r="G2023" t="inlineStr">
        <is>
          <t>Mobile App</t>
        </is>
      </c>
      <c r="H2023" t="inlineStr">
        <is>
          <t>Credit Card</t>
        </is>
      </c>
      <c r="I2023" t="inlineStr">
        <is>
          <t>Delivered</t>
        </is>
      </c>
      <c r="J2023" t="n">
        <v>114</v>
      </c>
      <c r="K2023" t="n">
        <v>1</v>
      </c>
      <c r="L2023" t="n">
        <v>1259</v>
      </c>
      <c r="M2023" t="n">
        <v>0</v>
      </c>
      <c r="N2023">
        <f>VLOOKUP(J2023,Products!$A$2:$C$49,3,FALSE)</f>
        <v/>
      </c>
      <c r="O2023">
        <f>K2023*L2023-M2023</f>
        <v/>
      </c>
      <c r="P2023">
        <f>TEXT(B2023,"yyyy-mm")</f>
        <v/>
      </c>
      <c r="Q2023">
        <f>IF(O2023&gt;=3000,"Large","Small")</f>
        <v/>
      </c>
      <c r="R2023">
        <f>INDEX(Products!$F$2:$F$49,MATCH(J2023,Products!$A$2:$A$49,0))</f>
        <v/>
      </c>
      <c r="S2023">
        <f>WEEKDAY(B2023,2)</f>
        <v/>
      </c>
    </row>
    <row r="2024">
      <c r="A2024" t="n">
        <v>510347</v>
      </c>
      <c r="B2024" s="6" t="n">
        <v>45954</v>
      </c>
      <c r="C2024" t="n">
        <v>14814</v>
      </c>
      <c r="D2024" t="inlineStr">
        <is>
          <t>Gurugram</t>
        </is>
      </c>
      <c r="E2024" t="inlineStr">
        <is>
          <t>North</t>
        </is>
      </c>
      <c r="F2024" t="inlineStr">
        <is>
          <t>Referral</t>
        </is>
      </c>
      <c r="G2024" t="inlineStr">
        <is>
          <t>Mobile App</t>
        </is>
      </c>
      <c r="H2024" t="inlineStr">
        <is>
          <t>Credit Card</t>
        </is>
      </c>
      <c r="I2024" t="inlineStr">
        <is>
          <t>Delivered</t>
        </is>
      </c>
      <c r="J2024" t="n">
        <v>136</v>
      </c>
      <c r="K2024" t="n">
        <v>1</v>
      </c>
      <c r="L2024" t="n">
        <v>944</v>
      </c>
      <c r="M2024" t="n">
        <v>0</v>
      </c>
      <c r="N2024">
        <f>VLOOKUP(J2024,Products!$A$2:$C$49,3,FALSE)</f>
        <v/>
      </c>
      <c r="O2024">
        <f>K2024*L2024-M2024</f>
        <v/>
      </c>
      <c r="P2024">
        <f>TEXT(B2024,"yyyy-mm")</f>
        <v/>
      </c>
      <c r="Q2024">
        <f>IF(O2024&gt;=3000,"Large","Small")</f>
        <v/>
      </c>
      <c r="R2024">
        <f>INDEX(Products!$F$2:$F$49,MATCH(J2024,Products!$A$2:$A$49,0))</f>
        <v/>
      </c>
      <c r="S2024">
        <f>WEEKDAY(B2024,2)</f>
        <v/>
      </c>
    </row>
    <row r="2025">
      <c r="A2025" t="n">
        <v>510347</v>
      </c>
      <c r="B2025" s="6" t="n">
        <v>45954</v>
      </c>
      <c r="C2025" t="n">
        <v>14814</v>
      </c>
      <c r="D2025" t="inlineStr">
        <is>
          <t>Gurugram</t>
        </is>
      </c>
      <c r="E2025" t="inlineStr">
        <is>
          <t>North</t>
        </is>
      </c>
      <c r="F2025" t="inlineStr">
        <is>
          <t>Referral</t>
        </is>
      </c>
      <c r="G2025" t="inlineStr">
        <is>
          <t>Mobile App</t>
        </is>
      </c>
      <c r="H2025" t="inlineStr">
        <is>
          <t>Credit Card</t>
        </is>
      </c>
      <c r="I2025" t="inlineStr">
        <is>
          <t>Delivered</t>
        </is>
      </c>
      <c r="J2025" t="n">
        <v>115</v>
      </c>
      <c r="K2025" t="n">
        <v>1</v>
      </c>
      <c r="L2025" t="n">
        <v>4199</v>
      </c>
      <c r="M2025" t="n">
        <v>0</v>
      </c>
      <c r="N2025">
        <f>VLOOKUP(J2025,Products!$A$2:$C$49,3,FALSE)</f>
        <v/>
      </c>
      <c r="O2025">
        <f>K2025*L2025-M2025</f>
        <v/>
      </c>
      <c r="P2025">
        <f>TEXT(B2025,"yyyy-mm")</f>
        <v/>
      </c>
      <c r="Q2025">
        <f>IF(O2025&gt;=3000,"Large","Small")</f>
        <v/>
      </c>
      <c r="R2025">
        <f>INDEX(Products!$F$2:$F$49,MATCH(J2025,Products!$A$2:$A$49,0))</f>
        <v/>
      </c>
      <c r="S2025">
        <f>WEEKDAY(B2025,2)</f>
        <v/>
      </c>
    </row>
    <row r="2026">
      <c r="A2026" t="n">
        <v>510347</v>
      </c>
      <c r="B2026" s="6" t="n">
        <v>45954</v>
      </c>
      <c r="C2026" t="n">
        <v>14814</v>
      </c>
      <c r="D2026" t="inlineStr">
        <is>
          <t>Gurugram</t>
        </is>
      </c>
      <c r="E2026" t="inlineStr">
        <is>
          <t>North</t>
        </is>
      </c>
      <c r="F2026" t="inlineStr">
        <is>
          <t>Referral</t>
        </is>
      </c>
      <c r="G2026" t="inlineStr">
        <is>
          <t>Mobile App</t>
        </is>
      </c>
      <c r="H2026" t="inlineStr">
        <is>
          <t>Credit Card</t>
        </is>
      </c>
      <c r="I2026" t="inlineStr">
        <is>
          <t>Delivered</t>
        </is>
      </c>
      <c r="J2026" t="n">
        <v>129</v>
      </c>
      <c r="K2026" t="n">
        <v>1</v>
      </c>
      <c r="L2026" t="n">
        <v>576</v>
      </c>
      <c r="M2026" t="n">
        <v>0</v>
      </c>
      <c r="N2026">
        <f>VLOOKUP(J2026,Products!$A$2:$C$49,3,FALSE)</f>
        <v/>
      </c>
      <c r="O2026">
        <f>K2026*L2026-M2026</f>
        <v/>
      </c>
      <c r="P2026">
        <f>TEXT(B2026,"yyyy-mm")</f>
        <v/>
      </c>
      <c r="Q2026">
        <f>IF(O2026&gt;=3000,"Large","Small")</f>
        <v/>
      </c>
      <c r="R2026">
        <f>INDEX(Products!$F$2:$F$49,MATCH(J2026,Products!$A$2:$A$49,0))</f>
        <v/>
      </c>
      <c r="S2026">
        <f>WEEKDAY(B2026,2)</f>
        <v/>
      </c>
    </row>
    <row r="2027">
      <c r="A2027" t="n">
        <v>510348</v>
      </c>
      <c r="B2027" s="6" t="n">
        <v>45954</v>
      </c>
      <c r="C2027" t="n">
        <v>11897</v>
      </c>
      <c r="D2027" t="inlineStr">
        <is>
          <t>Noida</t>
        </is>
      </c>
      <c r="E2027" t="inlineStr">
        <is>
          <t>North</t>
        </is>
      </c>
      <c r="F2027" t="inlineStr">
        <is>
          <t>Organic Search</t>
        </is>
      </c>
      <c r="G2027" t="inlineStr">
        <is>
          <t>Mobile Web</t>
        </is>
      </c>
      <c r="H2027" t="inlineStr">
        <is>
          <t>UPI</t>
        </is>
      </c>
      <c r="I2027" t="inlineStr">
        <is>
          <t>Delivered</t>
        </is>
      </c>
      <c r="J2027" t="n">
        <v>117</v>
      </c>
      <c r="K2027" t="n">
        <v>1</v>
      </c>
      <c r="L2027" t="n">
        <v>3149</v>
      </c>
      <c r="M2027" t="n">
        <v>0</v>
      </c>
      <c r="N2027">
        <f>VLOOKUP(J2027,Products!$A$2:$C$49,3,FALSE)</f>
        <v/>
      </c>
      <c r="O2027">
        <f>K2027*L2027-M2027</f>
        <v/>
      </c>
      <c r="P2027">
        <f>TEXT(B2027,"yyyy-mm")</f>
        <v/>
      </c>
      <c r="Q2027">
        <f>IF(O2027&gt;=3000,"Large","Small")</f>
        <v/>
      </c>
      <c r="R2027">
        <f>INDEX(Products!$F$2:$F$49,MATCH(J2027,Products!$A$2:$A$49,0))</f>
        <v/>
      </c>
      <c r="S2027">
        <f>WEEKDAY(B2027,2)</f>
        <v/>
      </c>
    </row>
    <row r="2028">
      <c r="A2028" t="n">
        <v>510349</v>
      </c>
      <c r="B2028" s="6" t="n">
        <v>45954</v>
      </c>
      <c r="C2028" t="n">
        <v>12571</v>
      </c>
      <c r="D2028" t="inlineStr">
        <is>
          <t>Kolkata</t>
        </is>
      </c>
      <c r="E2028" t="inlineStr">
        <is>
          <t>East</t>
        </is>
      </c>
      <c r="F2028" t="inlineStr">
        <is>
          <t>Paid Search</t>
        </is>
      </c>
      <c r="G2028" t="inlineStr">
        <is>
          <t>Mobile App</t>
        </is>
      </c>
      <c r="H2028" t="inlineStr">
        <is>
          <t>UPI</t>
        </is>
      </c>
      <c r="I2028" t="inlineStr">
        <is>
          <t>Delivered</t>
        </is>
      </c>
      <c r="J2028" t="n">
        <v>124</v>
      </c>
      <c r="K2028" t="n">
        <v>1</v>
      </c>
      <c r="L2028" t="n">
        <v>1154</v>
      </c>
      <c r="M2028" t="n">
        <v>0</v>
      </c>
      <c r="N2028">
        <f>VLOOKUP(J2028,Products!$A$2:$C$49,3,FALSE)</f>
        <v/>
      </c>
      <c r="O2028">
        <f>K2028*L2028-M2028</f>
        <v/>
      </c>
      <c r="P2028">
        <f>TEXT(B2028,"yyyy-mm")</f>
        <v/>
      </c>
      <c r="Q2028">
        <f>IF(O2028&gt;=3000,"Large","Small")</f>
        <v/>
      </c>
      <c r="R2028">
        <f>INDEX(Products!$F$2:$F$49,MATCH(J2028,Products!$A$2:$A$49,0))</f>
        <v/>
      </c>
      <c r="S2028">
        <f>WEEKDAY(B2028,2)</f>
        <v/>
      </c>
    </row>
    <row r="2029">
      <c r="A2029" t="n">
        <v>510349</v>
      </c>
      <c r="B2029" s="6" t="n">
        <v>45954</v>
      </c>
      <c r="C2029" t="n">
        <v>12571</v>
      </c>
      <c r="D2029" t="inlineStr">
        <is>
          <t>Kolkata</t>
        </is>
      </c>
      <c r="E2029" t="inlineStr">
        <is>
          <t>East</t>
        </is>
      </c>
      <c r="F2029" t="inlineStr">
        <is>
          <t>Paid Search</t>
        </is>
      </c>
      <c r="G2029" t="inlineStr">
        <is>
          <t>Mobile App</t>
        </is>
      </c>
      <c r="H2029" t="inlineStr">
        <is>
          <t>UPI</t>
        </is>
      </c>
      <c r="I2029" t="inlineStr">
        <is>
          <t>Delivered</t>
        </is>
      </c>
      <c r="J2029" t="n">
        <v>129</v>
      </c>
      <c r="K2029" t="n">
        <v>1</v>
      </c>
      <c r="L2029" t="n">
        <v>576</v>
      </c>
      <c r="M2029" t="n">
        <v>0</v>
      </c>
      <c r="N2029">
        <f>VLOOKUP(J2029,Products!$A$2:$C$49,3,FALSE)</f>
        <v/>
      </c>
      <c r="O2029">
        <f>K2029*L2029-M2029</f>
        <v/>
      </c>
      <c r="P2029">
        <f>TEXT(B2029,"yyyy-mm")</f>
        <v/>
      </c>
      <c r="Q2029">
        <f>IF(O2029&gt;=3000,"Large","Small")</f>
        <v/>
      </c>
      <c r="R2029">
        <f>INDEX(Products!$F$2:$F$49,MATCH(J2029,Products!$A$2:$A$49,0))</f>
        <v/>
      </c>
      <c r="S2029">
        <f>WEEKDAY(B2029,2)</f>
        <v/>
      </c>
    </row>
    <row r="2030">
      <c r="A2030" t="n">
        <v>510350</v>
      </c>
      <c r="B2030" s="6" t="n">
        <v>45954</v>
      </c>
      <c r="C2030" t="n">
        <v>16890</v>
      </c>
      <c r="D2030" t="inlineStr">
        <is>
          <t>Kolkata</t>
        </is>
      </c>
      <c r="E2030" t="inlineStr">
        <is>
          <t>East</t>
        </is>
      </c>
      <c r="F2030" t="inlineStr">
        <is>
          <t>Paid Social</t>
        </is>
      </c>
      <c r="G2030" t="inlineStr">
        <is>
          <t>Mobile App</t>
        </is>
      </c>
      <c r="H2030" t="inlineStr">
        <is>
          <t>Credit Card</t>
        </is>
      </c>
      <c r="I2030" t="inlineStr">
        <is>
          <t>Delivered</t>
        </is>
      </c>
      <c r="J2030" t="n">
        <v>142</v>
      </c>
      <c r="K2030" t="n">
        <v>1</v>
      </c>
      <c r="L2030" t="n">
        <v>839</v>
      </c>
      <c r="M2030" t="n">
        <v>83.90000000000001</v>
      </c>
      <c r="N2030">
        <f>VLOOKUP(J2030,Products!$A$2:$C$49,3,FALSE)</f>
        <v/>
      </c>
      <c r="O2030">
        <f>K2030*L2030-M2030</f>
        <v/>
      </c>
      <c r="P2030">
        <f>TEXT(B2030,"yyyy-mm")</f>
        <v/>
      </c>
      <c r="Q2030">
        <f>IF(O2030&gt;=3000,"Large","Small")</f>
        <v/>
      </c>
      <c r="R2030">
        <f>INDEX(Products!$F$2:$F$49,MATCH(J2030,Products!$A$2:$A$49,0))</f>
        <v/>
      </c>
      <c r="S2030">
        <f>WEEKDAY(B2030,2)</f>
        <v/>
      </c>
    </row>
    <row r="2031">
      <c r="A2031" t="n">
        <v>510350</v>
      </c>
      <c r="B2031" s="6" t="n">
        <v>45954</v>
      </c>
      <c r="C2031" t="n">
        <v>16890</v>
      </c>
      <c r="D2031" t="inlineStr">
        <is>
          <t>Kolkata</t>
        </is>
      </c>
      <c r="E2031" t="inlineStr">
        <is>
          <t>East</t>
        </is>
      </c>
      <c r="F2031" t="inlineStr">
        <is>
          <t>Paid Social</t>
        </is>
      </c>
      <c r="G2031" t="inlineStr">
        <is>
          <t>Mobile App</t>
        </is>
      </c>
      <c r="H2031" t="inlineStr">
        <is>
          <t>Credit Card</t>
        </is>
      </c>
      <c r="I2031" t="inlineStr">
        <is>
          <t>Delivered</t>
        </is>
      </c>
      <c r="J2031" t="n">
        <v>116</v>
      </c>
      <c r="K2031" t="n">
        <v>3</v>
      </c>
      <c r="L2031" t="n">
        <v>2624</v>
      </c>
      <c r="M2031" t="n">
        <v>787.2</v>
      </c>
      <c r="N2031">
        <f>VLOOKUP(J2031,Products!$A$2:$C$49,3,FALSE)</f>
        <v/>
      </c>
      <c r="O2031">
        <f>K2031*L2031-M2031</f>
        <v/>
      </c>
      <c r="P2031">
        <f>TEXT(B2031,"yyyy-mm")</f>
        <v/>
      </c>
      <c r="Q2031">
        <f>IF(O2031&gt;=3000,"Large","Small")</f>
        <v/>
      </c>
      <c r="R2031">
        <f>INDEX(Products!$F$2:$F$49,MATCH(J2031,Products!$A$2:$A$49,0))</f>
        <v/>
      </c>
      <c r="S2031">
        <f>WEEKDAY(B2031,2)</f>
        <v/>
      </c>
    </row>
    <row r="2032">
      <c r="A2032" t="n">
        <v>510350</v>
      </c>
      <c r="B2032" s="6" t="n">
        <v>45954</v>
      </c>
      <c r="C2032" t="n">
        <v>16890</v>
      </c>
      <c r="D2032" t="inlineStr">
        <is>
          <t>Kolkata</t>
        </is>
      </c>
      <c r="E2032" t="inlineStr">
        <is>
          <t>East</t>
        </is>
      </c>
      <c r="F2032" t="inlineStr">
        <is>
          <t>Paid Social</t>
        </is>
      </c>
      <c r="G2032" t="inlineStr">
        <is>
          <t>Mobile App</t>
        </is>
      </c>
      <c r="H2032" t="inlineStr">
        <is>
          <t>Credit Card</t>
        </is>
      </c>
      <c r="I2032" t="inlineStr">
        <is>
          <t>Delivered</t>
        </is>
      </c>
      <c r="J2032" t="n">
        <v>129</v>
      </c>
      <c r="K2032" t="n">
        <v>2</v>
      </c>
      <c r="L2032" t="n">
        <v>576</v>
      </c>
      <c r="M2032" t="n">
        <v>115.2</v>
      </c>
      <c r="N2032">
        <f>VLOOKUP(J2032,Products!$A$2:$C$49,3,FALSE)</f>
        <v/>
      </c>
      <c r="O2032">
        <f>K2032*L2032-M2032</f>
        <v/>
      </c>
      <c r="P2032">
        <f>TEXT(B2032,"yyyy-mm")</f>
        <v/>
      </c>
      <c r="Q2032">
        <f>IF(O2032&gt;=3000,"Large","Small")</f>
        <v/>
      </c>
      <c r="R2032">
        <f>INDEX(Products!$F$2:$F$49,MATCH(J2032,Products!$A$2:$A$49,0))</f>
        <v/>
      </c>
      <c r="S2032">
        <f>WEEKDAY(B2032,2)</f>
        <v/>
      </c>
    </row>
    <row r="2033">
      <c r="A2033" t="n">
        <v>510351</v>
      </c>
      <c r="B2033" s="6" t="n">
        <v>45954</v>
      </c>
      <c r="C2033" t="n">
        <v>16059</v>
      </c>
      <c r="D2033" t="inlineStr">
        <is>
          <t>Delhi</t>
        </is>
      </c>
      <c r="E2033" t="inlineStr">
        <is>
          <t>North</t>
        </is>
      </c>
      <c r="F2033" t="inlineStr">
        <is>
          <t>Organic Search</t>
        </is>
      </c>
      <c r="G2033" t="inlineStr">
        <is>
          <t>Desktop</t>
        </is>
      </c>
      <c r="H2033" t="inlineStr">
        <is>
          <t>Net Banking</t>
        </is>
      </c>
      <c r="I2033" t="inlineStr">
        <is>
          <t>Delivered</t>
        </is>
      </c>
      <c r="J2033" t="n">
        <v>109</v>
      </c>
      <c r="K2033" t="n">
        <v>3</v>
      </c>
      <c r="L2033" t="n">
        <v>4199</v>
      </c>
      <c r="M2033" t="n">
        <v>0</v>
      </c>
      <c r="N2033">
        <f>VLOOKUP(J2033,Products!$A$2:$C$49,3,FALSE)</f>
        <v/>
      </c>
      <c r="O2033">
        <f>K2033*L2033-M2033</f>
        <v/>
      </c>
      <c r="P2033">
        <f>TEXT(B2033,"yyyy-mm")</f>
        <v/>
      </c>
      <c r="Q2033">
        <f>IF(O2033&gt;=3000,"Large","Small")</f>
        <v/>
      </c>
      <c r="R2033">
        <f>INDEX(Products!$F$2:$F$49,MATCH(J2033,Products!$A$2:$A$49,0))</f>
        <v/>
      </c>
      <c r="S2033">
        <f>WEEKDAY(B2033,2)</f>
        <v/>
      </c>
    </row>
    <row r="2034">
      <c r="A2034" t="n">
        <v>510351</v>
      </c>
      <c r="B2034" s="6" t="n">
        <v>45954</v>
      </c>
      <c r="C2034" t="n">
        <v>16059</v>
      </c>
      <c r="D2034" t="inlineStr">
        <is>
          <t>Delhi</t>
        </is>
      </c>
      <c r="E2034" t="inlineStr">
        <is>
          <t>North</t>
        </is>
      </c>
      <c r="F2034" t="inlineStr">
        <is>
          <t>Organic Search</t>
        </is>
      </c>
      <c r="G2034" t="inlineStr">
        <is>
          <t>Desktop</t>
        </is>
      </c>
      <c r="H2034" t="inlineStr">
        <is>
          <t>Net Banking</t>
        </is>
      </c>
      <c r="I2034" t="inlineStr">
        <is>
          <t>Delivered</t>
        </is>
      </c>
      <c r="J2034" t="n">
        <v>129</v>
      </c>
      <c r="K2034" t="n">
        <v>3</v>
      </c>
      <c r="L2034" t="n">
        <v>576</v>
      </c>
      <c r="M2034" t="n">
        <v>0</v>
      </c>
      <c r="N2034">
        <f>VLOOKUP(J2034,Products!$A$2:$C$49,3,FALSE)</f>
        <v/>
      </c>
      <c r="O2034">
        <f>K2034*L2034-M2034</f>
        <v/>
      </c>
      <c r="P2034">
        <f>TEXT(B2034,"yyyy-mm")</f>
        <v/>
      </c>
      <c r="Q2034">
        <f>IF(O2034&gt;=3000,"Large","Small")</f>
        <v/>
      </c>
      <c r="R2034">
        <f>INDEX(Products!$F$2:$F$49,MATCH(J2034,Products!$A$2:$A$49,0))</f>
        <v/>
      </c>
      <c r="S2034">
        <f>WEEKDAY(B2034,2)</f>
        <v/>
      </c>
    </row>
    <row r="2035">
      <c r="A2035" t="n">
        <v>510352</v>
      </c>
      <c r="B2035" s="6" t="n">
        <v>45954</v>
      </c>
      <c r="C2035" t="n">
        <v>16951</v>
      </c>
      <c r="D2035" t="inlineStr">
        <is>
          <t>Pune</t>
        </is>
      </c>
      <c r="E2035" t="inlineStr">
        <is>
          <t>West</t>
        </is>
      </c>
      <c r="F2035" t="inlineStr">
        <is>
          <t>Referral</t>
        </is>
      </c>
      <c r="G2035" t="inlineStr">
        <is>
          <t>Desktop</t>
        </is>
      </c>
      <c r="H2035" t="inlineStr">
        <is>
          <t>Cash on Delivery</t>
        </is>
      </c>
      <c r="I2035" t="inlineStr">
        <is>
          <t>Delivered</t>
        </is>
      </c>
      <c r="J2035" t="n">
        <v>110</v>
      </c>
      <c r="K2035" t="n">
        <v>2</v>
      </c>
      <c r="L2035" t="n">
        <v>839</v>
      </c>
      <c r="M2035" t="n">
        <v>0</v>
      </c>
      <c r="N2035">
        <f>VLOOKUP(J2035,Products!$A$2:$C$49,3,FALSE)</f>
        <v/>
      </c>
      <c r="O2035">
        <f>K2035*L2035-M2035</f>
        <v/>
      </c>
      <c r="P2035">
        <f>TEXT(B2035,"yyyy-mm")</f>
        <v/>
      </c>
      <c r="Q2035">
        <f>IF(O2035&gt;=3000,"Large","Small")</f>
        <v/>
      </c>
      <c r="R2035">
        <f>INDEX(Products!$F$2:$F$49,MATCH(J2035,Products!$A$2:$A$49,0))</f>
        <v/>
      </c>
      <c r="S2035">
        <f>WEEKDAY(B2035,2)</f>
        <v/>
      </c>
    </row>
    <row r="2036">
      <c r="A2036" t="n">
        <v>510352</v>
      </c>
      <c r="B2036" s="6" t="n">
        <v>45954</v>
      </c>
      <c r="C2036" t="n">
        <v>16951</v>
      </c>
      <c r="D2036" t="inlineStr">
        <is>
          <t>Pune</t>
        </is>
      </c>
      <c r="E2036" t="inlineStr">
        <is>
          <t>West</t>
        </is>
      </c>
      <c r="F2036" t="inlineStr">
        <is>
          <t>Referral</t>
        </is>
      </c>
      <c r="G2036" t="inlineStr">
        <is>
          <t>Desktop</t>
        </is>
      </c>
      <c r="H2036" t="inlineStr">
        <is>
          <t>Cash on Delivery</t>
        </is>
      </c>
      <c r="I2036" t="inlineStr">
        <is>
          <t>Delivered</t>
        </is>
      </c>
      <c r="J2036" t="n">
        <v>115</v>
      </c>
      <c r="K2036" t="n">
        <v>1</v>
      </c>
      <c r="L2036" t="n">
        <v>4199</v>
      </c>
      <c r="M2036" t="n">
        <v>0</v>
      </c>
      <c r="N2036">
        <f>VLOOKUP(J2036,Products!$A$2:$C$49,3,FALSE)</f>
        <v/>
      </c>
      <c r="O2036">
        <f>K2036*L2036-M2036</f>
        <v/>
      </c>
      <c r="P2036">
        <f>TEXT(B2036,"yyyy-mm")</f>
        <v/>
      </c>
      <c r="Q2036">
        <f>IF(O2036&gt;=3000,"Large","Small")</f>
        <v/>
      </c>
      <c r="R2036">
        <f>INDEX(Products!$F$2:$F$49,MATCH(J2036,Products!$A$2:$A$49,0))</f>
        <v/>
      </c>
      <c r="S2036">
        <f>WEEKDAY(B2036,2)</f>
        <v/>
      </c>
    </row>
    <row r="2037">
      <c r="A2037" t="n">
        <v>510352</v>
      </c>
      <c r="B2037" s="6" t="n">
        <v>45954</v>
      </c>
      <c r="C2037" t="n">
        <v>16951</v>
      </c>
      <c r="D2037" t="inlineStr">
        <is>
          <t>Pune</t>
        </is>
      </c>
      <c r="E2037" t="inlineStr">
        <is>
          <t>West</t>
        </is>
      </c>
      <c r="F2037" t="inlineStr">
        <is>
          <t>Referral</t>
        </is>
      </c>
      <c r="G2037" t="inlineStr">
        <is>
          <t>Desktop</t>
        </is>
      </c>
      <c r="H2037" t="inlineStr">
        <is>
          <t>Cash on Delivery</t>
        </is>
      </c>
      <c r="I2037" t="inlineStr">
        <is>
          <t>Delivered</t>
        </is>
      </c>
      <c r="J2037" t="n">
        <v>103</v>
      </c>
      <c r="K2037" t="n">
        <v>1</v>
      </c>
      <c r="L2037" t="n">
        <v>2624</v>
      </c>
      <c r="M2037" t="n">
        <v>0</v>
      </c>
      <c r="N2037">
        <f>VLOOKUP(J2037,Products!$A$2:$C$49,3,FALSE)</f>
        <v/>
      </c>
      <c r="O2037">
        <f>K2037*L2037-M2037</f>
        <v/>
      </c>
      <c r="P2037">
        <f>TEXT(B2037,"yyyy-mm")</f>
        <v/>
      </c>
      <c r="Q2037">
        <f>IF(O2037&gt;=3000,"Large","Small")</f>
        <v/>
      </c>
      <c r="R2037">
        <f>INDEX(Products!$F$2:$F$49,MATCH(J2037,Products!$A$2:$A$49,0))</f>
        <v/>
      </c>
      <c r="S2037">
        <f>WEEKDAY(B2037,2)</f>
        <v/>
      </c>
    </row>
    <row r="2038">
      <c r="A2038" t="n">
        <v>510352</v>
      </c>
      <c r="B2038" s="6" t="n">
        <v>45954</v>
      </c>
      <c r="C2038" t="n">
        <v>16951</v>
      </c>
      <c r="D2038" t="inlineStr">
        <is>
          <t>Pune</t>
        </is>
      </c>
      <c r="E2038" t="inlineStr">
        <is>
          <t>West</t>
        </is>
      </c>
      <c r="F2038" t="inlineStr">
        <is>
          <t>Referral</t>
        </is>
      </c>
      <c r="G2038" t="inlineStr">
        <is>
          <t>Desktop</t>
        </is>
      </c>
      <c r="H2038" t="inlineStr">
        <is>
          <t>Cash on Delivery</t>
        </is>
      </c>
      <c r="I2038" t="inlineStr">
        <is>
          <t>Delivered</t>
        </is>
      </c>
      <c r="J2038" t="n">
        <v>129</v>
      </c>
      <c r="K2038" t="n">
        <v>2</v>
      </c>
      <c r="L2038" t="n">
        <v>576</v>
      </c>
      <c r="M2038" t="n">
        <v>0</v>
      </c>
      <c r="N2038">
        <f>VLOOKUP(J2038,Products!$A$2:$C$49,3,FALSE)</f>
        <v/>
      </c>
      <c r="O2038">
        <f>K2038*L2038-M2038</f>
        <v/>
      </c>
      <c r="P2038">
        <f>TEXT(B2038,"yyyy-mm")</f>
        <v/>
      </c>
      <c r="Q2038">
        <f>IF(O2038&gt;=3000,"Large","Small")</f>
        <v/>
      </c>
      <c r="R2038">
        <f>INDEX(Products!$F$2:$F$49,MATCH(J2038,Products!$A$2:$A$49,0))</f>
        <v/>
      </c>
      <c r="S2038">
        <f>WEEKDAY(B2038,2)</f>
        <v/>
      </c>
    </row>
    <row r="2039">
      <c r="A2039" t="n">
        <v>510353</v>
      </c>
      <c r="B2039" s="6" t="n">
        <v>45954</v>
      </c>
      <c r="C2039" t="n">
        <v>10121</v>
      </c>
      <c r="D2039" t="inlineStr">
        <is>
          <t>Bengaluru</t>
        </is>
      </c>
      <c r="E2039" t="inlineStr">
        <is>
          <t>South</t>
        </is>
      </c>
      <c r="F2039" t="inlineStr">
        <is>
          <t>Paid Search</t>
        </is>
      </c>
      <c r="G2039" t="inlineStr">
        <is>
          <t>Mobile App</t>
        </is>
      </c>
      <c r="H2039" t="inlineStr">
        <is>
          <t>Cash on Delivery</t>
        </is>
      </c>
      <c r="I2039" t="inlineStr">
        <is>
          <t>Delivered</t>
        </is>
      </c>
      <c r="J2039" t="n">
        <v>107</v>
      </c>
      <c r="K2039" t="n">
        <v>1</v>
      </c>
      <c r="L2039" t="n">
        <v>1259</v>
      </c>
      <c r="M2039" t="n">
        <v>0</v>
      </c>
      <c r="N2039">
        <f>VLOOKUP(J2039,Products!$A$2:$C$49,3,FALSE)</f>
        <v/>
      </c>
      <c r="O2039">
        <f>K2039*L2039-M2039</f>
        <v/>
      </c>
      <c r="P2039">
        <f>TEXT(B2039,"yyyy-mm")</f>
        <v/>
      </c>
      <c r="Q2039">
        <f>IF(O2039&gt;=3000,"Large","Small")</f>
        <v/>
      </c>
      <c r="R2039">
        <f>INDEX(Products!$F$2:$F$49,MATCH(J2039,Products!$A$2:$A$49,0))</f>
        <v/>
      </c>
      <c r="S2039">
        <f>WEEKDAY(B2039,2)</f>
        <v/>
      </c>
    </row>
    <row r="2040">
      <c r="A2040" t="n">
        <v>510353</v>
      </c>
      <c r="B2040" s="6" t="n">
        <v>45954</v>
      </c>
      <c r="C2040" t="n">
        <v>10121</v>
      </c>
      <c r="D2040" t="inlineStr">
        <is>
          <t>Bengaluru</t>
        </is>
      </c>
      <c r="E2040" t="inlineStr">
        <is>
          <t>South</t>
        </is>
      </c>
      <c r="F2040" t="inlineStr">
        <is>
          <t>Paid Search</t>
        </is>
      </c>
      <c r="G2040" t="inlineStr">
        <is>
          <t>Mobile App</t>
        </is>
      </c>
      <c r="H2040" t="inlineStr">
        <is>
          <t>Cash on Delivery</t>
        </is>
      </c>
      <c r="I2040" t="inlineStr">
        <is>
          <t>Delivered</t>
        </is>
      </c>
      <c r="J2040" t="n">
        <v>112</v>
      </c>
      <c r="K2040" t="n">
        <v>2</v>
      </c>
      <c r="L2040" t="n">
        <v>1574</v>
      </c>
      <c r="M2040" t="n">
        <v>0</v>
      </c>
      <c r="N2040">
        <f>VLOOKUP(J2040,Products!$A$2:$C$49,3,FALSE)</f>
        <v/>
      </c>
      <c r="O2040">
        <f>K2040*L2040-M2040</f>
        <v/>
      </c>
      <c r="P2040">
        <f>TEXT(B2040,"yyyy-mm")</f>
        <v/>
      </c>
      <c r="Q2040">
        <f>IF(O2040&gt;=3000,"Large","Small")</f>
        <v/>
      </c>
      <c r="R2040">
        <f>INDEX(Products!$F$2:$F$49,MATCH(J2040,Products!$A$2:$A$49,0))</f>
        <v/>
      </c>
      <c r="S2040">
        <f>WEEKDAY(B2040,2)</f>
        <v/>
      </c>
    </row>
    <row r="2041">
      <c r="A2041" t="n">
        <v>510353</v>
      </c>
      <c r="B2041" s="6" t="n">
        <v>45954</v>
      </c>
      <c r="C2041" t="n">
        <v>10121</v>
      </c>
      <c r="D2041" t="inlineStr">
        <is>
          <t>Bengaluru</t>
        </is>
      </c>
      <c r="E2041" t="inlineStr">
        <is>
          <t>South</t>
        </is>
      </c>
      <c r="F2041" t="inlineStr">
        <is>
          <t>Paid Search</t>
        </is>
      </c>
      <c r="G2041" t="inlineStr">
        <is>
          <t>Mobile App</t>
        </is>
      </c>
      <c r="H2041" t="inlineStr">
        <is>
          <t>Cash on Delivery</t>
        </is>
      </c>
      <c r="I2041" t="inlineStr">
        <is>
          <t>Delivered</t>
        </is>
      </c>
      <c r="J2041" t="n">
        <v>129</v>
      </c>
      <c r="K2041" t="n">
        <v>1</v>
      </c>
      <c r="L2041" t="n">
        <v>576</v>
      </c>
      <c r="M2041" t="n">
        <v>0</v>
      </c>
      <c r="N2041">
        <f>VLOOKUP(J2041,Products!$A$2:$C$49,3,FALSE)</f>
        <v/>
      </c>
      <c r="O2041">
        <f>K2041*L2041-M2041</f>
        <v/>
      </c>
      <c r="P2041">
        <f>TEXT(B2041,"yyyy-mm")</f>
        <v/>
      </c>
      <c r="Q2041">
        <f>IF(O2041&gt;=3000,"Large","Small")</f>
        <v/>
      </c>
      <c r="R2041">
        <f>INDEX(Products!$F$2:$F$49,MATCH(J2041,Products!$A$2:$A$49,0))</f>
        <v/>
      </c>
      <c r="S2041">
        <f>WEEKDAY(B2041,2)</f>
        <v/>
      </c>
    </row>
    <row r="2042">
      <c r="A2042" t="n">
        <v>510354</v>
      </c>
      <c r="B2042" s="6" t="n">
        <v>45954</v>
      </c>
      <c r="C2042" t="n">
        <v>16966</v>
      </c>
      <c r="D2042" t="inlineStr">
        <is>
          <t>Hyderabad</t>
        </is>
      </c>
      <c r="E2042" t="inlineStr">
        <is>
          <t>South</t>
        </is>
      </c>
      <c r="F2042" t="inlineStr">
        <is>
          <t>Paid Social</t>
        </is>
      </c>
      <c r="G2042" t="inlineStr">
        <is>
          <t>Mobile App</t>
        </is>
      </c>
      <c r="H2042" t="inlineStr">
        <is>
          <t>UPI</t>
        </is>
      </c>
      <c r="I2042" t="inlineStr">
        <is>
          <t>Cancelled</t>
        </is>
      </c>
      <c r="J2042" t="n">
        <v>140</v>
      </c>
      <c r="K2042" t="n">
        <v>1</v>
      </c>
      <c r="L2042" t="n">
        <v>629</v>
      </c>
      <c r="M2042" t="n">
        <v>0</v>
      </c>
      <c r="N2042">
        <f>VLOOKUP(J2042,Products!$A$2:$C$49,3,FALSE)</f>
        <v/>
      </c>
      <c r="O2042">
        <f>K2042*L2042-M2042</f>
        <v/>
      </c>
      <c r="P2042">
        <f>TEXT(B2042,"yyyy-mm")</f>
        <v/>
      </c>
      <c r="Q2042">
        <f>IF(O2042&gt;=3000,"Large","Small")</f>
        <v/>
      </c>
      <c r="R2042">
        <f>INDEX(Products!$F$2:$F$49,MATCH(J2042,Products!$A$2:$A$49,0))</f>
        <v/>
      </c>
      <c r="S2042">
        <f>WEEKDAY(B2042,2)</f>
        <v/>
      </c>
    </row>
    <row r="2043">
      <c r="A2043" t="n">
        <v>510355</v>
      </c>
      <c r="B2043" s="6" t="n">
        <v>45954</v>
      </c>
      <c r="C2043" t="n">
        <v>13479</v>
      </c>
      <c r="D2043" t="inlineStr">
        <is>
          <t>Hyderabad</t>
        </is>
      </c>
      <c r="E2043" t="inlineStr">
        <is>
          <t>South</t>
        </is>
      </c>
      <c r="F2043" t="inlineStr">
        <is>
          <t>Referral</t>
        </is>
      </c>
      <c r="G2043" t="inlineStr">
        <is>
          <t>Mobile App</t>
        </is>
      </c>
      <c r="H2043" t="inlineStr">
        <is>
          <t>UPI</t>
        </is>
      </c>
      <c r="I2043" t="inlineStr">
        <is>
          <t>Delivered</t>
        </is>
      </c>
      <c r="J2043" t="n">
        <v>145</v>
      </c>
      <c r="K2043" t="n">
        <v>2</v>
      </c>
      <c r="L2043" t="n">
        <v>629</v>
      </c>
      <c r="M2043" t="n">
        <v>125.8</v>
      </c>
      <c r="N2043">
        <f>VLOOKUP(J2043,Products!$A$2:$C$49,3,FALSE)</f>
        <v/>
      </c>
      <c r="O2043">
        <f>K2043*L2043-M2043</f>
        <v/>
      </c>
      <c r="P2043">
        <f>TEXT(B2043,"yyyy-mm")</f>
        <v/>
      </c>
      <c r="Q2043">
        <f>IF(O2043&gt;=3000,"Large","Small")</f>
        <v/>
      </c>
      <c r="R2043">
        <f>INDEX(Products!$F$2:$F$49,MATCH(J2043,Products!$A$2:$A$49,0))</f>
        <v/>
      </c>
      <c r="S2043">
        <f>WEEKDAY(B2043,2)</f>
        <v/>
      </c>
    </row>
    <row r="2044">
      <c r="A2044" t="n">
        <v>510356</v>
      </c>
      <c r="B2044" s="6" t="n">
        <v>45954</v>
      </c>
      <c r="C2044" t="n">
        <v>17009</v>
      </c>
      <c r="D2044" t="inlineStr">
        <is>
          <t>Hyderabad</t>
        </is>
      </c>
      <c r="E2044" t="inlineStr">
        <is>
          <t>South</t>
        </is>
      </c>
      <c r="F2044" t="inlineStr">
        <is>
          <t>Paid Search</t>
        </is>
      </c>
      <c r="G2044" t="inlineStr">
        <is>
          <t>Mobile App</t>
        </is>
      </c>
      <c r="H2044" t="inlineStr">
        <is>
          <t>Credit Card</t>
        </is>
      </c>
      <c r="I2044" t="inlineStr">
        <is>
          <t>Delivered</t>
        </is>
      </c>
      <c r="J2044" t="n">
        <v>106</v>
      </c>
      <c r="K2044" t="n">
        <v>1</v>
      </c>
      <c r="L2044" t="n">
        <v>1574</v>
      </c>
      <c r="M2044" t="n">
        <v>236.1</v>
      </c>
      <c r="N2044">
        <f>VLOOKUP(J2044,Products!$A$2:$C$49,3,FALSE)</f>
        <v/>
      </c>
      <c r="O2044">
        <f>K2044*L2044-M2044</f>
        <v/>
      </c>
      <c r="P2044">
        <f>TEXT(B2044,"yyyy-mm")</f>
        <v/>
      </c>
      <c r="Q2044">
        <f>IF(O2044&gt;=3000,"Large","Small")</f>
        <v/>
      </c>
      <c r="R2044">
        <f>INDEX(Products!$F$2:$F$49,MATCH(J2044,Products!$A$2:$A$49,0))</f>
        <v/>
      </c>
      <c r="S2044">
        <f>WEEKDAY(B2044,2)</f>
        <v/>
      </c>
    </row>
    <row r="2045">
      <c r="A2045" t="n">
        <v>510356</v>
      </c>
      <c r="B2045" s="6" t="n">
        <v>45954</v>
      </c>
      <c r="C2045" t="n">
        <v>17009</v>
      </c>
      <c r="D2045" t="inlineStr">
        <is>
          <t>Hyderabad</t>
        </is>
      </c>
      <c r="E2045" t="inlineStr">
        <is>
          <t>South</t>
        </is>
      </c>
      <c r="F2045" t="inlineStr">
        <is>
          <t>Paid Search</t>
        </is>
      </c>
      <c r="G2045" t="inlineStr">
        <is>
          <t>Mobile App</t>
        </is>
      </c>
      <c r="H2045" t="inlineStr">
        <is>
          <t>Credit Card</t>
        </is>
      </c>
      <c r="I2045" t="inlineStr">
        <is>
          <t>Delivered</t>
        </is>
      </c>
      <c r="J2045" t="n">
        <v>129</v>
      </c>
      <c r="K2045" t="n">
        <v>1</v>
      </c>
      <c r="L2045" t="n">
        <v>576</v>
      </c>
      <c r="M2045" t="n">
        <v>86.40000000000001</v>
      </c>
      <c r="N2045">
        <f>VLOOKUP(J2045,Products!$A$2:$C$49,3,FALSE)</f>
        <v/>
      </c>
      <c r="O2045">
        <f>K2045*L2045-M2045</f>
        <v/>
      </c>
      <c r="P2045">
        <f>TEXT(B2045,"yyyy-mm")</f>
        <v/>
      </c>
      <c r="Q2045">
        <f>IF(O2045&gt;=3000,"Large","Small")</f>
        <v/>
      </c>
      <c r="R2045">
        <f>INDEX(Products!$F$2:$F$49,MATCH(J2045,Products!$A$2:$A$49,0))</f>
        <v/>
      </c>
      <c r="S2045">
        <f>WEEKDAY(B2045,2)</f>
        <v/>
      </c>
    </row>
    <row r="2046">
      <c r="A2046" t="n">
        <v>510357</v>
      </c>
      <c r="B2046" s="6" t="n">
        <v>45954</v>
      </c>
      <c r="C2046" t="n">
        <v>13286</v>
      </c>
      <c r="D2046" t="inlineStr">
        <is>
          <t>Lucknow</t>
        </is>
      </c>
      <c r="E2046" t="inlineStr">
        <is>
          <t>North</t>
        </is>
      </c>
      <c r="F2046" t="inlineStr">
        <is>
          <t>Affiliate</t>
        </is>
      </c>
      <c r="G2046" t="inlineStr">
        <is>
          <t>Mobile App</t>
        </is>
      </c>
      <c r="H2046" t="inlineStr">
        <is>
          <t>UPI</t>
        </is>
      </c>
      <c r="I2046" t="inlineStr">
        <is>
          <t>Delivered</t>
        </is>
      </c>
      <c r="J2046" t="n">
        <v>102</v>
      </c>
      <c r="K2046" t="n">
        <v>1</v>
      </c>
      <c r="L2046" t="n">
        <v>3674</v>
      </c>
      <c r="M2046" t="n">
        <v>367.4</v>
      </c>
      <c r="N2046">
        <f>VLOOKUP(J2046,Products!$A$2:$C$49,3,FALSE)</f>
        <v/>
      </c>
      <c r="O2046">
        <f>K2046*L2046-M2046</f>
        <v/>
      </c>
      <c r="P2046">
        <f>TEXT(B2046,"yyyy-mm")</f>
        <v/>
      </c>
      <c r="Q2046">
        <f>IF(O2046&gt;=3000,"Large","Small")</f>
        <v/>
      </c>
      <c r="R2046">
        <f>INDEX(Products!$F$2:$F$49,MATCH(J2046,Products!$A$2:$A$49,0))</f>
        <v/>
      </c>
      <c r="S2046">
        <f>WEEKDAY(B2046,2)</f>
        <v/>
      </c>
    </row>
    <row r="2047">
      <c r="A2047" t="n">
        <v>510357</v>
      </c>
      <c r="B2047" s="6" t="n">
        <v>45954</v>
      </c>
      <c r="C2047" t="n">
        <v>13286</v>
      </c>
      <c r="D2047" t="inlineStr">
        <is>
          <t>Lucknow</t>
        </is>
      </c>
      <c r="E2047" t="inlineStr">
        <is>
          <t>North</t>
        </is>
      </c>
      <c r="F2047" t="inlineStr">
        <is>
          <t>Affiliate</t>
        </is>
      </c>
      <c r="G2047" t="inlineStr">
        <is>
          <t>Mobile App</t>
        </is>
      </c>
      <c r="H2047" t="inlineStr">
        <is>
          <t>UPI</t>
        </is>
      </c>
      <c r="I2047" t="inlineStr">
        <is>
          <t>Delivered</t>
        </is>
      </c>
      <c r="J2047" t="n">
        <v>128</v>
      </c>
      <c r="K2047" t="n">
        <v>1</v>
      </c>
      <c r="L2047" t="n">
        <v>1049</v>
      </c>
      <c r="M2047" t="n">
        <v>104.9</v>
      </c>
      <c r="N2047">
        <f>VLOOKUP(J2047,Products!$A$2:$C$49,3,FALSE)</f>
        <v/>
      </c>
      <c r="O2047">
        <f>K2047*L2047-M2047</f>
        <v/>
      </c>
      <c r="P2047">
        <f>TEXT(B2047,"yyyy-mm")</f>
        <v/>
      </c>
      <c r="Q2047">
        <f>IF(O2047&gt;=3000,"Large","Small")</f>
        <v/>
      </c>
      <c r="R2047">
        <f>INDEX(Products!$F$2:$F$49,MATCH(J2047,Products!$A$2:$A$49,0))</f>
        <v/>
      </c>
      <c r="S2047">
        <f>WEEKDAY(B2047,2)</f>
        <v/>
      </c>
    </row>
    <row r="2048">
      <c r="A2048" t="n">
        <v>510357</v>
      </c>
      <c r="B2048" s="6" t="n">
        <v>45954</v>
      </c>
      <c r="C2048" t="n">
        <v>13286</v>
      </c>
      <c r="D2048" t="inlineStr">
        <is>
          <t>Lucknow</t>
        </is>
      </c>
      <c r="E2048" t="inlineStr">
        <is>
          <t>North</t>
        </is>
      </c>
      <c r="F2048" t="inlineStr">
        <is>
          <t>Affiliate</t>
        </is>
      </c>
      <c r="G2048" t="inlineStr">
        <is>
          <t>Mobile App</t>
        </is>
      </c>
      <c r="H2048" t="inlineStr">
        <is>
          <t>UPI</t>
        </is>
      </c>
      <c r="I2048" t="inlineStr">
        <is>
          <t>Delivered</t>
        </is>
      </c>
      <c r="J2048" t="n">
        <v>123</v>
      </c>
      <c r="K2048" t="n">
        <v>3</v>
      </c>
      <c r="L2048" t="n">
        <v>3464</v>
      </c>
      <c r="M2048" t="n">
        <v>1039.2</v>
      </c>
      <c r="N2048">
        <f>VLOOKUP(J2048,Products!$A$2:$C$49,3,FALSE)</f>
        <v/>
      </c>
      <c r="O2048">
        <f>K2048*L2048-M2048</f>
        <v/>
      </c>
      <c r="P2048">
        <f>TEXT(B2048,"yyyy-mm")</f>
        <v/>
      </c>
      <c r="Q2048">
        <f>IF(O2048&gt;=3000,"Large","Small")</f>
        <v/>
      </c>
      <c r="R2048">
        <f>INDEX(Products!$F$2:$F$49,MATCH(J2048,Products!$A$2:$A$49,0))</f>
        <v/>
      </c>
      <c r="S2048">
        <f>WEEKDAY(B2048,2)</f>
        <v/>
      </c>
    </row>
    <row r="2049">
      <c r="A2049" t="n">
        <v>510358</v>
      </c>
      <c r="B2049" s="6" t="n">
        <v>45954</v>
      </c>
      <c r="C2049" t="n">
        <v>15071</v>
      </c>
      <c r="D2049" t="inlineStr">
        <is>
          <t>Pune</t>
        </is>
      </c>
      <c r="E2049" t="inlineStr">
        <is>
          <t>West</t>
        </is>
      </c>
      <c r="F2049" t="inlineStr">
        <is>
          <t>Paid Search</t>
        </is>
      </c>
      <c r="G2049" t="inlineStr">
        <is>
          <t>Mobile App</t>
        </is>
      </c>
      <c r="H2049" t="inlineStr">
        <is>
          <t>UPI</t>
        </is>
      </c>
      <c r="I2049" t="inlineStr">
        <is>
          <t>Delivered</t>
        </is>
      </c>
      <c r="J2049" t="n">
        <v>131</v>
      </c>
      <c r="K2049" t="n">
        <v>1</v>
      </c>
      <c r="L2049" t="n">
        <v>314</v>
      </c>
      <c r="M2049" t="n">
        <v>31.4</v>
      </c>
      <c r="N2049">
        <f>VLOOKUP(J2049,Products!$A$2:$C$49,3,FALSE)</f>
        <v/>
      </c>
      <c r="O2049">
        <f>K2049*L2049-M2049</f>
        <v/>
      </c>
      <c r="P2049">
        <f>TEXT(B2049,"yyyy-mm")</f>
        <v/>
      </c>
      <c r="Q2049">
        <f>IF(O2049&gt;=3000,"Large","Small")</f>
        <v/>
      </c>
      <c r="R2049">
        <f>INDEX(Products!$F$2:$F$49,MATCH(J2049,Products!$A$2:$A$49,0))</f>
        <v/>
      </c>
      <c r="S2049">
        <f>WEEKDAY(B2049,2)</f>
        <v/>
      </c>
    </row>
    <row r="2050">
      <c r="A2050" t="n">
        <v>510359</v>
      </c>
      <c r="B2050" s="6" t="n">
        <v>45954</v>
      </c>
      <c r="C2050" t="n">
        <v>16981</v>
      </c>
      <c r="D2050" t="inlineStr">
        <is>
          <t>Delhi</t>
        </is>
      </c>
      <c r="E2050" t="inlineStr">
        <is>
          <t>North</t>
        </is>
      </c>
      <c r="F2050" t="inlineStr">
        <is>
          <t>Paid Search</t>
        </is>
      </c>
      <c r="G2050" t="inlineStr">
        <is>
          <t>Mobile App</t>
        </is>
      </c>
      <c r="H2050" t="inlineStr">
        <is>
          <t>Net Banking</t>
        </is>
      </c>
      <c r="I2050" t="inlineStr">
        <is>
          <t>Returned</t>
        </is>
      </c>
      <c r="J2050" t="n">
        <v>112</v>
      </c>
      <c r="K2050" t="n">
        <v>1</v>
      </c>
      <c r="L2050" t="n">
        <v>1574</v>
      </c>
      <c r="M2050" t="n">
        <v>236.1</v>
      </c>
      <c r="N2050">
        <f>VLOOKUP(J2050,Products!$A$2:$C$49,3,FALSE)</f>
        <v/>
      </c>
      <c r="O2050">
        <f>K2050*L2050-M2050</f>
        <v/>
      </c>
      <c r="P2050">
        <f>TEXT(B2050,"yyyy-mm")</f>
        <v/>
      </c>
      <c r="Q2050">
        <f>IF(O2050&gt;=3000,"Large","Small")</f>
        <v/>
      </c>
      <c r="R2050">
        <f>INDEX(Products!$F$2:$F$49,MATCH(J2050,Products!$A$2:$A$49,0))</f>
        <v/>
      </c>
      <c r="S2050">
        <f>WEEKDAY(B2050,2)</f>
        <v/>
      </c>
    </row>
    <row r="2051">
      <c r="A2051" t="n">
        <v>510359</v>
      </c>
      <c r="B2051" s="6" t="n">
        <v>45954</v>
      </c>
      <c r="C2051" t="n">
        <v>16981</v>
      </c>
      <c r="D2051" t="inlineStr">
        <is>
          <t>Delhi</t>
        </is>
      </c>
      <c r="E2051" t="inlineStr">
        <is>
          <t>North</t>
        </is>
      </c>
      <c r="F2051" t="inlineStr">
        <is>
          <t>Paid Search</t>
        </is>
      </c>
      <c r="G2051" t="inlineStr">
        <is>
          <t>Mobile App</t>
        </is>
      </c>
      <c r="H2051" t="inlineStr">
        <is>
          <t>Net Banking</t>
        </is>
      </c>
      <c r="I2051" t="inlineStr">
        <is>
          <t>Returned</t>
        </is>
      </c>
      <c r="J2051" t="n">
        <v>129</v>
      </c>
      <c r="K2051" t="n">
        <v>2</v>
      </c>
      <c r="L2051" t="n">
        <v>576</v>
      </c>
      <c r="M2051" t="n">
        <v>172.8</v>
      </c>
      <c r="N2051">
        <f>VLOOKUP(J2051,Products!$A$2:$C$49,3,FALSE)</f>
        <v/>
      </c>
      <c r="O2051">
        <f>K2051*L2051-M2051</f>
        <v/>
      </c>
      <c r="P2051">
        <f>TEXT(B2051,"yyyy-mm")</f>
        <v/>
      </c>
      <c r="Q2051">
        <f>IF(O2051&gt;=3000,"Large","Small")</f>
        <v/>
      </c>
      <c r="R2051">
        <f>INDEX(Products!$F$2:$F$49,MATCH(J2051,Products!$A$2:$A$49,0))</f>
        <v/>
      </c>
      <c r="S2051">
        <f>WEEKDAY(B2051,2)</f>
        <v/>
      </c>
    </row>
    <row r="2052">
      <c r="A2052" t="n">
        <v>510360</v>
      </c>
      <c r="B2052" s="6" t="n">
        <v>45955</v>
      </c>
      <c r="C2052" t="n">
        <v>16990</v>
      </c>
      <c r="D2052" t="inlineStr">
        <is>
          <t>Chandigarh</t>
        </is>
      </c>
      <c r="E2052" t="inlineStr">
        <is>
          <t>North</t>
        </is>
      </c>
      <c r="F2052" t="inlineStr">
        <is>
          <t>Referral</t>
        </is>
      </c>
      <c r="G2052" t="inlineStr">
        <is>
          <t>Mobile Web</t>
        </is>
      </c>
      <c r="H2052" t="inlineStr">
        <is>
          <t>UPI</t>
        </is>
      </c>
      <c r="I2052" t="inlineStr">
        <is>
          <t>Cancelled</t>
        </is>
      </c>
      <c r="J2052" t="n">
        <v>102</v>
      </c>
      <c r="K2052" t="n">
        <v>1</v>
      </c>
      <c r="L2052" t="n">
        <v>3674</v>
      </c>
      <c r="M2052" t="n">
        <v>551.1</v>
      </c>
      <c r="N2052">
        <f>VLOOKUP(J2052,Products!$A$2:$C$49,3,FALSE)</f>
        <v/>
      </c>
      <c r="O2052">
        <f>K2052*L2052-M2052</f>
        <v/>
      </c>
      <c r="P2052">
        <f>TEXT(B2052,"yyyy-mm")</f>
        <v/>
      </c>
      <c r="Q2052">
        <f>IF(O2052&gt;=3000,"Large","Small")</f>
        <v/>
      </c>
      <c r="R2052">
        <f>INDEX(Products!$F$2:$F$49,MATCH(J2052,Products!$A$2:$A$49,0))</f>
        <v/>
      </c>
      <c r="S2052">
        <f>WEEKDAY(B2052,2)</f>
        <v/>
      </c>
    </row>
    <row r="2053">
      <c r="A2053" t="n">
        <v>510361</v>
      </c>
      <c r="B2053" s="6" t="n">
        <v>45955</v>
      </c>
      <c r="C2053" t="n">
        <v>16993</v>
      </c>
      <c r="D2053" t="inlineStr">
        <is>
          <t>Hyderabad</t>
        </is>
      </c>
      <c r="E2053" t="inlineStr">
        <is>
          <t>South</t>
        </is>
      </c>
      <c r="F2053" t="inlineStr">
        <is>
          <t>Organic Search</t>
        </is>
      </c>
      <c r="G2053" t="inlineStr">
        <is>
          <t>Desktop</t>
        </is>
      </c>
      <c r="H2053" t="inlineStr">
        <is>
          <t>UPI</t>
        </is>
      </c>
      <c r="I2053" t="inlineStr">
        <is>
          <t>Delivered</t>
        </is>
      </c>
      <c r="J2053" t="n">
        <v>125</v>
      </c>
      <c r="K2053" t="n">
        <v>1</v>
      </c>
      <c r="L2053" t="n">
        <v>1364</v>
      </c>
      <c r="M2053" t="n">
        <v>204.6</v>
      </c>
      <c r="N2053">
        <f>VLOOKUP(J2053,Products!$A$2:$C$49,3,FALSE)</f>
        <v/>
      </c>
      <c r="O2053">
        <f>K2053*L2053-M2053</f>
        <v/>
      </c>
      <c r="P2053">
        <f>TEXT(B2053,"yyyy-mm")</f>
        <v/>
      </c>
      <c r="Q2053">
        <f>IF(O2053&gt;=3000,"Large","Small")</f>
        <v/>
      </c>
      <c r="R2053">
        <f>INDEX(Products!$F$2:$F$49,MATCH(J2053,Products!$A$2:$A$49,0))</f>
        <v/>
      </c>
      <c r="S2053">
        <f>WEEKDAY(B2053,2)</f>
        <v/>
      </c>
    </row>
    <row r="2054">
      <c r="A2054" t="n">
        <v>510362</v>
      </c>
      <c r="B2054" s="6" t="n">
        <v>45955</v>
      </c>
      <c r="C2054" t="n">
        <v>16945</v>
      </c>
      <c r="D2054" t="inlineStr">
        <is>
          <t>Ahmedabad</t>
        </is>
      </c>
      <c r="E2054" t="inlineStr">
        <is>
          <t>West</t>
        </is>
      </c>
      <c r="F2054" t="inlineStr">
        <is>
          <t>Organic Search</t>
        </is>
      </c>
      <c r="G2054" t="inlineStr">
        <is>
          <t>Mobile Web</t>
        </is>
      </c>
      <c r="H2054" t="inlineStr">
        <is>
          <t>Cash on Delivery</t>
        </is>
      </c>
      <c r="I2054" t="inlineStr">
        <is>
          <t>Delivered</t>
        </is>
      </c>
      <c r="J2054" t="n">
        <v>145</v>
      </c>
      <c r="K2054" t="n">
        <v>1</v>
      </c>
      <c r="L2054" t="n">
        <v>629</v>
      </c>
      <c r="M2054" t="n">
        <v>94.34999999999999</v>
      </c>
      <c r="N2054">
        <f>VLOOKUP(J2054,Products!$A$2:$C$49,3,FALSE)</f>
        <v/>
      </c>
      <c r="O2054">
        <f>K2054*L2054-M2054</f>
        <v/>
      </c>
      <c r="P2054">
        <f>TEXT(B2054,"yyyy-mm")</f>
        <v/>
      </c>
      <c r="Q2054">
        <f>IF(O2054&gt;=3000,"Large","Small")</f>
        <v/>
      </c>
      <c r="R2054">
        <f>INDEX(Products!$F$2:$F$49,MATCH(J2054,Products!$A$2:$A$49,0))</f>
        <v/>
      </c>
      <c r="S2054">
        <f>WEEKDAY(B2054,2)</f>
        <v/>
      </c>
    </row>
    <row r="2055">
      <c r="A2055" t="n">
        <v>510363</v>
      </c>
      <c r="B2055" s="6" t="n">
        <v>45955</v>
      </c>
      <c r="C2055" t="n">
        <v>16962</v>
      </c>
      <c r="D2055" t="inlineStr">
        <is>
          <t>Hyderabad</t>
        </is>
      </c>
      <c r="E2055" t="inlineStr">
        <is>
          <t>South</t>
        </is>
      </c>
      <c r="F2055" t="inlineStr">
        <is>
          <t>Referral</t>
        </is>
      </c>
      <c r="G2055" t="inlineStr">
        <is>
          <t>Mobile Web</t>
        </is>
      </c>
      <c r="H2055" t="inlineStr">
        <is>
          <t>UPI</t>
        </is>
      </c>
      <c r="I2055" t="inlineStr">
        <is>
          <t>Delivered</t>
        </is>
      </c>
      <c r="J2055" t="n">
        <v>113</v>
      </c>
      <c r="K2055" t="n">
        <v>1</v>
      </c>
      <c r="L2055" t="n">
        <v>1364</v>
      </c>
      <c r="M2055" t="n">
        <v>68.2</v>
      </c>
      <c r="N2055">
        <f>VLOOKUP(J2055,Products!$A$2:$C$49,3,FALSE)</f>
        <v/>
      </c>
      <c r="O2055">
        <f>K2055*L2055-M2055</f>
        <v/>
      </c>
      <c r="P2055">
        <f>TEXT(B2055,"yyyy-mm")</f>
        <v/>
      </c>
      <c r="Q2055">
        <f>IF(O2055&gt;=3000,"Large","Small")</f>
        <v/>
      </c>
      <c r="R2055">
        <f>INDEX(Products!$F$2:$F$49,MATCH(J2055,Products!$A$2:$A$49,0))</f>
        <v/>
      </c>
      <c r="S2055">
        <f>WEEKDAY(B2055,2)</f>
        <v/>
      </c>
    </row>
    <row r="2056">
      <c r="A2056" t="n">
        <v>510363</v>
      </c>
      <c r="B2056" s="6" t="n">
        <v>45955</v>
      </c>
      <c r="C2056" t="n">
        <v>16962</v>
      </c>
      <c r="D2056" t="inlineStr">
        <is>
          <t>Hyderabad</t>
        </is>
      </c>
      <c r="E2056" t="inlineStr">
        <is>
          <t>South</t>
        </is>
      </c>
      <c r="F2056" t="inlineStr">
        <is>
          <t>Referral</t>
        </is>
      </c>
      <c r="G2056" t="inlineStr">
        <is>
          <t>Mobile Web</t>
        </is>
      </c>
      <c r="H2056" t="inlineStr">
        <is>
          <t>UPI</t>
        </is>
      </c>
      <c r="I2056" t="inlineStr">
        <is>
          <t>Delivered</t>
        </is>
      </c>
      <c r="J2056" t="n">
        <v>111</v>
      </c>
      <c r="K2056" t="n">
        <v>1</v>
      </c>
      <c r="L2056" t="n">
        <v>524</v>
      </c>
      <c r="M2056" t="n">
        <v>26.2</v>
      </c>
      <c r="N2056">
        <f>VLOOKUP(J2056,Products!$A$2:$C$49,3,FALSE)</f>
        <v/>
      </c>
      <c r="O2056">
        <f>K2056*L2056-M2056</f>
        <v/>
      </c>
      <c r="P2056">
        <f>TEXT(B2056,"yyyy-mm")</f>
        <v/>
      </c>
      <c r="Q2056">
        <f>IF(O2056&gt;=3000,"Large","Small")</f>
        <v/>
      </c>
      <c r="R2056">
        <f>INDEX(Products!$F$2:$F$49,MATCH(J2056,Products!$A$2:$A$49,0))</f>
        <v/>
      </c>
      <c r="S2056">
        <f>WEEKDAY(B2056,2)</f>
        <v/>
      </c>
    </row>
    <row r="2057">
      <c r="A2057" t="n">
        <v>510363</v>
      </c>
      <c r="B2057" s="6" t="n">
        <v>45955</v>
      </c>
      <c r="C2057" t="n">
        <v>16962</v>
      </c>
      <c r="D2057" t="inlineStr">
        <is>
          <t>Hyderabad</t>
        </is>
      </c>
      <c r="E2057" t="inlineStr">
        <is>
          <t>South</t>
        </is>
      </c>
      <c r="F2057" t="inlineStr">
        <is>
          <t>Referral</t>
        </is>
      </c>
      <c r="G2057" t="inlineStr">
        <is>
          <t>Mobile Web</t>
        </is>
      </c>
      <c r="H2057" t="inlineStr">
        <is>
          <t>UPI</t>
        </is>
      </c>
      <c r="I2057" t="inlineStr">
        <is>
          <t>Delivered</t>
        </is>
      </c>
      <c r="J2057" t="n">
        <v>129</v>
      </c>
      <c r="K2057" t="n">
        <v>1</v>
      </c>
      <c r="L2057" t="n">
        <v>576</v>
      </c>
      <c r="M2057" t="n">
        <v>28.8</v>
      </c>
      <c r="N2057">
        <f>VLOOKUP(J2057,Products!$A$2:$C$49,3,FALSE)</f>
        <v/>
      </c>
      <c r="O2057">
        <f>K2057*L2057-M2057</f>
        <v/>
      </c>
      <c r="P2057">
        <f>TEXT(B2057,"yyyy-mm")</f>
        <v/>
      </c>
      <c r="Q2057">
        <f>IF(O2057&gt;=3000,"Large","Small")</f>
        <v/>
      </c>
      <c r="R2057">
        <f>INDEX(Products!$F$2:$F$49,MATCH(J2057,Products!$A$2:$A$49,0))</f>
        <v/>
      </c>
      <c r="S2057">
        <f>WEEKDAY(B2057,2)</f>
        <v/>
      </c>
    </row>
    <row r="2058">
      <c r="A2058" t="n">
        <v>510364</v>
      </c>
      <c r="B2058" s="6" t="n">
        <v>45955</v>
      </c>
      <c r="C2058" t="n">
        <v>16545</v>
      </c>
      <c r="D2058" t="inlineStr">
        <is>
          <t>Delhi</t>
        </is>
      </c>
      <c r="E2058" t="inlineStr">
        <is>
          <t>North</t>
        </is>
      </c>
      <c r="F2058" t="inlineStr">
        <is>
          <t>Paid Search</t>
        </is>
      </c>
      <c r="G2058" t="inlineStr">
        <is>
          <t>Mobile Web</t>
        </is>
      </c>
      <c r="H2058" t="inlineStr">
        <is>
          <t>UPI</t>
        </is>
      </c>
      <c r="I2058" t="inlineStr">
        <is>
          <t>Delivered</t>
        </is>
      </c>
      <c r="J2058" t="n">
        <v>107</v>
      </c>
      <c r="K2058" t="n">
        <v>3</v>
      </c>
      <c r="L2058" t="n">
        <v>1259</v>
      </c>
      <c r="M2058" t="n">
        <v>377.7</v>
      </c>
      <c r="N2058">
        <f>VLOOKUP(J2058,Products!$A$2:$C$49,3,FALSE)</f>
        <v/>
      </c>
      <c r="O2058">
        <f>K2058*L2058-M2058</f>
        <v/>
      </c>
      <c r="P2058">
        <f>TEXT(B2058,"yyyy-mm")</f>
        <v/>
      </c>
      <c r="Q2058">
        <f>IF(O2058&gt;=3000,"Large","Small")</f>
        <v/>
      </c>
      <c r="R2058">
        <f>INDEX(Products!$F$2:$F$49,MATCH(J2058,Products!$A$2:$A$49,0))</f>
        <v/>
      </c>
      <c r="S2058">
        <f>WEEKDAY(B2058,2)</f>
        <v/>
      </c>
    </row>
    <row r="2059">
      <c r="A2059" t="n">
        <v>510364</v>
      </c>
      <c r="B2059" s="6" t="n">
        <v>45955</v>
      </c>
      <c r="C2059" t="n">
        <v>16545</v>
      </c>
      <c r="D2059" t="inlineStr">
        <is>
          <t>Delhi</t>
        </is>
      </c>
      <c r="E2059" t="inlineStr">
        <is>
          <t>North</t>
        </is>
      </c>
      <c r="F2059" t="inlineStr">
        <is>
          <t>Paid Search</t>
        </is>
      </c>
      <c r="G2059" t="inlineStr">
        <is>
          <t>Mobile Web</t>
        </is>
      </c>
      <c r="H2059" t="inlineStr">
        <is>
          <t>UPI</t>
        </is>
      </c>
      <c r="I2059" t="inlineStr">
        <is>
          <t>Delivered</t>
        </is>
      </c>
      <c r="J2059" t="n">
        <v>129</v>
      </c>
      <c r="K2059" t="n">
        <v>1</v>
      </c>
      <c r="L2059" t="n">
        <v>576</v>
      </c>
      <c r="M2059" t="n">
        <v>57.6</v>
      </c>
      <c r="N2059">
        <f>VLOOKUP(J2059,Products!$A$2:$C$49,3,FALSE)</f>
        <v/>
      </c>
      <c r="O2059">
        <f>K2059*L2059-M2059</f>
        <v/>
      </c>
      <c r="P2059">
        <f>TEXT(B2059,"yyyy-mm")</f>
        <v/>
      </c>
      <c r="Q2059">
        <f>IF(O2059&gt;=3000,"Large","Small")</f>
        <v/>
      </c>
      <c r="R2059">
        <f>INDEX(Products!$F$2:$F$49,MATCH(J2059,Products!$A$2:$A$49,0))</f>
        <v/>
      </c>
      <c r="S2059">
        <f>WEEKDAY(B2059,2)</f>
        <v/>
      </c>
    </row>
    <row r="2060">
      <c r="A2060" t="n">
        <v>510365</v>
      </c>
      <c r="B2060" s="6" t="n">
        <v>45955</v>
      </c>
      <c r="C2060" t="n">
        <v>16950</v>
      </c>
      <c r="D2060" t="inlineStr">
        <is>
          <t>Mumbai</t>
        </is>
      </c>
      <c r="E2060" t="inlineStr">
        <is>
          <t>West</t>
        </is>
      </c>
      <c r="F2060" t="inlineStr">
        <is>
          <t>Paid Social</t>
        </is>
      </c>
      <c r="G2060" t="inlineStr">
        <is>
          <t>Desktop</t>
        </is>
      </c>
      <c r="H2060" t="inlineStr">
        <is>
          <t>UPI</t>
        </is>
      </c>
      <c r="I2060" t="inlineStr">
        <is>
          <t>Delivered</t>
        </is>
      </c>
      <c r="J2060" t="n">
        <v>117</v>
      </c>
      <c r="K2060" t="n">
        <v>1</v>
      </c>
      <c r="L2060" t="n">
        <v>3149</v>
      </c>
      <c r="M2060" t="n">
        <v>472.35</v>
      </c>
      <c r="N2060">
        <f>VLOOKUP(J2060,Products!$A$2:$C$49,3,FALSE)</f>
        <v/>
      </c>
      <c r="O2060">
        <f>K2060*L2060-M2060</f>
        <v/>
      </c>
      <c r="P2060">
        <f>TEXT(B2060,"yyyy-mm")</f>
        <v/>
      </c>
      <c r="Q2060">
        <f>IF(O2060&gt;=3000,"Large","Small")</f>
        <v/>
      </c>
      <c r="R2060">
        <f>INDEX(Products!$F$2:$F$49,MATCH(J2060,Products!$A$2:$A$49,0))</f>
        <v/>
      </c>
      <c r="S2060">
        <f>WEEKDAY(B2060,2)</f>
        <v/>
      </c>
    </row>
    <row r="2061">
      <c r="A2061" t="n">
        <v>510365</v>
      </c>
      <c r="B2061" s="6" t="n">
        <v>45955</v>
      </c>
      <c r="C2061" t="n">
        <v>16950</v>
      </c>
      <c r="D2061" t="inlineStr">
        <is>
          <t>Mumbai</t>
        </is>
      </c>
      <c r="E2061" t="inlineStr">
        <is>
          <t>West</t>
        </is>
      </c>
      <c r="F2061" t="inlineStr">
        <is>
          <t>Paid Social</t>
        </is>
      </c>
      <c r="G2061" t="inlineStr">
        <is>
          <t>Desktop</t>
        </is>
      </c>
      <c r="H2061" t="inlineStr">
        <is>
          <t>UPI</t>
        </is>
      </c>
      <c r="I2061" t="inlineStr">
        <is>
          <t>Delivered</t>
        </is>
      </c>
      <c r="J2061" t="n">
        <v>129</v>
      </c>
      <c r="K2061" t="n">
        <v>1</v>
      </c>
      <c r="L2061" t="n">
        <v>576</v>
      </c>
      <c r="M2061" t="n">
        <v>86.40000000000001</v>
      </c>
      <c r="N2061">
        <f>VLOOKUP(J2061,Products!$A$2:$C$49,3,FALSE)</f>
        <v/>
      </c>
      <c r="O2061">
        <f>K2061*L2061-M2061</f>
        <v/>
      </c>
      <c r="P2061">
        <f>TEXT(B2061,"yyyy-mm")</f>
        <v/>
      </c>
      <c r="Q2061">
        <f>IF(O2061&gt;=3000,"Large","Small")</f>
        <v/>
      </c>
      <c r="R2061">
        <f>INDEX(Products!$F$2:$F$49,MATCH(J2061,Products!$A$2:$A$49,0))</f>
        <v/>
      </c>
      <c r="S2061">
        <f>WEEKDAY(B2061,2)</f>
        <v/>
      </c>
    </row>
    <row r="2062">
      <c r="A2062" t="n">
        <v>510366</v>
      </c>
      <c r="B2062" s="6" t="n">
        <v>45955</v>
      </c>
      <c r="C2062" t="n">
        <v>16830</v>
      </c>
      <c r="D2062" t="inlineStr">
        <is>
          <t>Pune</t>
        </is>
      </c>
      <c r="E2062" t="inlineStr">
        <is>
          <t>West</t>
        </is>
      </c>
      <c r="F2062" t="inlineStr">
        <is>
          <t>Paid Social</t>
        </is>
      </c>
      <c r="G2062" t="inlineStr">
        <is>
          <t>Desktop</t>
        </is>
      </c>
      <c r="H2062" t="inlineStr">
        <is>
          <t>Debit Card</t>
        </is>
      </c>
      <c r="I2062" t="inlineStr">
        <is>
          <t>Delivered</t>
        </is>
      </c>
      <c r="J2062" t="n">
        <v>143</v>
      </c>
      <c r="K2062" t="n">
        <v>1</v>
      </c>
      <c r="L2062" t="n">
        <v>839</v>
      </c>
      <c r="M2062" t="n">
        <v>83.90000000000001</v>
      </c>
      <c r="N2062">
        <f>VLOOKUP(J2062,Products!$A$2:$C$49,3,FALSE)</f>
        <v/>
      </c>
      <c r="O2062">
        <f>K2062*L2062-M2062</f>
        <v/>
      </c>
      <c r="P2062">
        <f>TEXT(B2062,"yyyy-mm")</f>
        <v/>
      </c>
      <c r="Q2062">
        <f>IF(O2062&gt;=3000,"Large","Small")</f>
        <v/>
      </c>
      <c r="R2062">
        <f>INDEX(Products!$F$2:$F$49,MATCH(J2062,Products!$A$2:$A$49,0))</f>
        <v/>
      </c>
      <c r="S2062">
        <f>WEEKDAY(B2062,2)</f>
        <v/>
      </c>
    </row>
    <row r="2063">
      <c r="A2063" t="n">
        <v>510366</v>
      </c>
      <c r="B2063" s="6" t="n">
        <v>45955</v>
      </c>
      <c r="C2063" t="n">
        <v>16830</v>
      </c>
      <c r="D2063" t="inlineStr">
        <is>
          <t>Pune</t>
        </is>
      </c>
      <c r="E2063" t="inlineStr">
        <is>
          <t>West</t>
        </is>
      </c>
      <c r="F2063" t="inlineStr">
        <is>
          <t>Paid Social</t>
        </is>
      </c>
      <c r="G2063" t="inlineStr">
        <is>
          <t>Desktop</t>
        </is>
      </c>
      <c r="H2063" t="inlineStr">
        <is>
          <t>Debit Card</t>
        </is>
      </c>
      <c r="I2063" t="inlineStr">
        <is>
          <t>Delivered</t>
        </is>
      </c>
      <c r="J2063" t="n">
        <v>118</v>
      </c>
      <c r="K2063" t="n">
        <v>1</v>
      </c>
      <c r="L2063" t="n">
        <v>944</v>
      </c>
      <c r="M2063" t="n">
        <v>94.40000000000001</v>
      </c>
      <c r="N2063">
        <f>VLOOKUP(J2063,Products!$A$2:$C$49,3,FALSE)</f>
        <v/>
      </c>
      <c r="O2063">
        <f>K2063*L2063-M2063</f>
        <v/>
      </c>
      <c r="P2063">
        <f>TEXT(B2063,"yyyy-mm")</f>
        <v/>
      </c>
      <c r="Q2063">
        <f>IF(O2063&gt;=3000,"Large","Small")</f>
        <v/>
      </c>
      <c r="R2063">
        <f>INDEX(Products!$F$2:$F$49,MATCH(J2063,Products!$A$2:$A$49,0))</f>
        <v/>
      </c>
      <c r="S2063">
        <f>WEEKDAY(B2063,2)</f>
        <v/>
      </c>
    </row>
    <row r="2064">
      <c r="A2064" t="n">
        <v>510366</v>
      </c>
      <c r="B2064" s="6" t="n">
        <v>45955</v>
      </c>
      <c r="C2064" t="n">
        <v>16830</v>
      </c>
      <c r="D2064" t="inlineStr">
        <is>
          <t>Pune</t>
        </is>
      </c>
      <c r="E2064" t="inlineStr">
        <is>
          <t>West</t>
        </is>
      </c>
      <c r="F2064" t="inlineStr">
        <is>
          <t>Paid Social</t>
        </is>
      </c>
      <c r="G2064" t="inlineStr">
        <is>
          <t>Desktop</t>
        </is>
      </c>
      <c r="H2064" t="inlineStr">
        <is>
          <t>Debit Card</t>
        </is>
      </c>
      <c r="I2064" t="inlineStr">
        <is>
          <t>Delivered</t>
        </is>
      </c>
      <c r="J2064" t="n">
        <v>129</v>
      </c>
      <c r="K2064" t="n">
        <v>1</v>
      </c>
      <c r="L2064" t="n">
        <v>576</v>
      </c>
      <c r="M2064" t="n">
        <v>57.6</v>
      </c>
      <c r="N2064">
        <f>VLOOKUP(J2064,Products!$A$2:$C$49,3,FALSE)</f>
        <v/>
      </c>
      <c r="O2064">
        <f>K2064*L2064-M2064</f>
        <v/>
      </c>
      <c r="P2064">
        <f>TEXT(B2064,"yyyy-mm")</f>
        <v/>
      </c>
      <c r="Q2064">
        <f>IF(O2064&gt;=3000,"Large","Small")</f>
        <v/>
      </c>
      <c r="R2064">
        <f>INDEX(Products!$F$2:$F$49,MATCH(J2064,Products!$A$2:$A$49,0))</f>
        <v/>
      </c>
      <c r="S2064">
        <f>WEEKDAY(B2064,2)</f>
        <v/>
      </c>
    </row>
    <row r="2065">
      <c r="A2065" t="n">
        <v>510367</v>
      </c>
      <c r="B2065" s="6" t="n">
        <v>45955</v>
      </c>
      <c r="C2065" t="n">
        <v>16858</v>
      </c>
      <c r="D2065" t="inlineStr">
        <is>
          <t>Mumbai</t>
        </is>
      </c>
      <c r="E2065" t="inlineStr">
        <is>
          <t>West</t>
        </is>
      </c>
      <c r="F2065" t="inlineStr">
        <is>
          <t>Paid Social</t>
        </is>
      </c>
      <c r="G2065" t="inlineStr">
        <is>
          <t>Mobile App</t>
        </is>
      </c>
      <c r="H2065" t="inlineStr">
        <is>
          <t>UPI</t>
        </is>
      </c>
      <c r="I2065" t="inlineStr">
        <is>
          <t>Delivered</t>
        </is>
      </c>
      <c r="J2065" t="n">
        <v>107</v>
      </c>
      <c r="K2065" t="n">
        <v>1</v>
      </c>
      <c r="L2065" t="n">
        <v>1259</v>
      </c>
      <c r="M2065" t="n">
        <v>188.85</v>
      </c>
      <c r="N2065">
        <f>VLOOKUP(J2065,Products!$A$2:$C$49,3,FALSE)</f>
        <v/>
      </c>
      <c r="O2065">
        <f>K2065*L2065-M2065</f>
        <v/>
      </c>
      <c r="P2065">
        <f>TEXT(B2065,"yyyy-mm")</f>
        <v/>
      </c>
      <c r="Q2065">
        <f>IF(O2065&gt;=3000,"Large","Small")</f>
        <v/>
      </c>
      <c r="R2065">
        <f>INDEX(Products!$F$2:$F$49,MATCH(J2065,Products!$A$2:$A$49,0))</f>
        <v/>
      </c>
      <c r="S2065">
        <f>WEEKDAY(B2065,2)</f>
        <v/>
      </c>
    </row>
    <row r="2066">
      <c r="A2066" t="n">
        <v>510367</v>
      </c>
      <c r="B2066" s="6" t="n">
        <v>45955</v>
      </c>
      <c r="C2066" t="n">
        <v>16858</v>
      </c>
      <c r="D2066" t="inlineStr">
        <is>
          <t>Mumbai</t>
        </is>
      </c>
      <c r="E2066" t="inlineStr">
        <is>
          <t>West</t>
        </is>
      </c>
      <c r="F2066" t="inlineStr">
        <is>
          <t>Paid Social</t>
        </is>
      </c>
      <c r="G2066" t="inlineStr">
        <is>
          <t>Mobile App</t>
        </is>
      </c>
      <c r="H2066" t="inlineStr">
        <is>
          <t>UPI</t>
        </is>
      </c>
      <c r="I2066" t="inlineStr">
        <is>
          <t>Delivered</t>
        </is>
      </c>
      <c r="J2066" t="n">
        <v>129</v>
      </c>
      <c r="K2066" t="n">
        <v>1</v>
      </c>
      <c r="L2066" t="n">
        <v>576</v>
      </c>
      <c r="M2066" t="n">
        <v>86.40000000000001</v>
      </c>
      <c r="N2066">
        <f>VLOOKUP(J2066,Products!$A$2:$C$49,3,FALSE)</f>
        <v/>
      </c>
      <c r="O2066">
        <f>K2066*L2066-M2066</f>
        <v/>
      </c>
      <c r="P2066">
        <f>TEXT(B2066,"yyyy-mm")</f>
        <v/>
      </c>
      <c r="Q2066">
        <f>IF(O2066&gt;=3000,"Large","Small")</f>
        <v/>
      </c>
      <c r="R2066">
        <f>INDEX(Products!$F$2:$F$49,MATCH(J2066,Products!$A$2:$A$49,0))</f>
        <v/>
      </c>
      <c r="S2066">
        <f>WEEKDAY(B2066,2)</f>
        <v/>
      </c>
    </row>
    <row r="2067">
      <c r="A2067" t="n">
        <v>510368</v>
      </c>
      <c r="B2067" s="6" t="n">
        <v>45955</v>
      </c>
      <c r="C2067" t="n">
        <v>15861</v>
      </c>
      <c r="D2067" t="inlineStr">
        <is>
          <t>Bengaluru</t>
        </is>
      </c>
      <c r="E2067" t="inlineStr">
        <is>
          <t>South</t>
        </is>
      </c>
      <c r="F2067" t="inlineStr">
        <is>
          <t>Organic Search</t>
        </is>
      </c>
      <c r="G2067" t="inlineStr">
        <is>
          <t>Mobile App</t>
        </is>
      </c>
      <c r="H2067" t="inlineStr">
        <is>
          <t>UPI</t>
        </is>
      </c>
      <c r="I2067" t="inlineStr">
        <is>
          <t>Delivered</t>
        </is>
      </c>
      <c r="J2067" t="n">
        <v>103</v>
      </c>
      <c r="K2067" t="n">
        <v>1</v>
      </c>
      <c r="L2067" t="n">
        <v>2624</v>
      </c>
      <c r="M2067" t="n">
        <v>131.2</v>
      </c>
      <c r="N2067">
        <f>VLOOKUP(J2067,Products!$A$2:$C$49,3,FALSE)</f>
        <v/>
      </c>
      <c r="O2067">
        <f>K2067*L2067-M2067</f>
        <v/>
      </c>
      <c r="P2067">
        <f>TEXT(B2067,"yyyy-mm")</f>
        <v/>
      </c>
      <c r="Q2067">
        <f>IF(O2067&gt;=3000,"Large","Small")</f>
        <v/>
      </c>
      <c r="R2067">
        <f>INDEX(Products!$F$2:$F$49,MATCH(J2067,Products!$A$2:$A$49,0))</f>
        <v/>
      </c>
      <c r="S2067">
        <f>WEEKDAY(B2067,2)</f>
        <v/>
      </c>
    </row>
    <row r="2068">
      <c r="A2068" t="n">
        <v>510369</v>
      </c>
      <c r="B2068" s="6" t="n">
        <v>45955</v>
      </c>
      <c r="C2068" t="n">
        <v>16341</v>
      </c>
      <c r="D2068" t="inlineStr">
        <is>
          <t>Hyderabad</t>
        </is>
      </c>
      <c r="E2068" t="inlineStr">
        <is>
          <t>South</t>
        </is>
      </c>
      <c r="F2068" t="inlineStr">
        <is>
          <t>Paid Search</t>
        </is>
      </c>
      <c r="G2068" t="inlineStr">
        <is>
          <t>Mobile Web</t>
        </is>
      </c>
      <c r="H2068" t="inlineStr">
        <is>
          <t>UPI</t>
        </is>
      </c>
      <c r="I2068" t="inlineStr">
        <is>
          <t>Delivered</t>
        </is>
      </c>
      <c r="J2068" t="n">
        <v>134</v>
      </c>
      <c r="K2068" t="n">
        <v>1</v>
      </c>
      <c r="L2068" t="n">
        <v>209</v>
      </c>
      <c r="M2068" t="n">
        <v>20.9</v>
      </c>
      <c r="N2068">
        <f>VLOOKUP(J2068,Products!$A$2:$C$49,3,FALSE)</f>
        <v/>
      </c>
      <c r="O2068">
        <f>K2068*L2068-M2068</f>
        <v/>
      </c>
      <c r="P2068">
        <f>TEXT(B2068,"yyyy-mm")</f>
        <v/>
      </c>
      <c r="Q2068">
        <f>IF(O2068&gt;=3000,"Large","Small")</f>
        <v/>
      </c>
      <c r="R2068">
        <f>INDEX(Products!$F$2:$F$49,MATCH(J2068,Products!$A$2:$A$49,0))</f>
        <v/>
      </c>
      <c r="S2068">
        <f>WEEKDAY(B2068,2)</f>
        <v/>
      </c>
    </row>
    <row r="2069">
      <c r="A2069" t="n">
        <v>510369</v>
      </c>
      <c r="B2069" s="6" t="n">
        <v>45955</v>
      </c>
      <c r="C2069" t="n">
        <v>16341</v>
      </c>
      <c r="D2069" t="inlineStr">
        <is>
          <t>Hyderabad</t>
        </is>
      </c>
      <c r="E2069" t="inlineStr">
        <is>
          <t>South</t>
        </is>
      </c>
      <c r="F2069" t="inlineStr">
        <is>
          <t>Paid Search</t>
        </is>
      </c>
      <c r="G2069" t="inlineStr">
        <is>
          <t>Mobile Web</t>
        </is>
      </c>
      <c r="H2069" t="inlineStr">
        <is>
          <t>UPI</t>
        </is>
      </c>
      <c r="I2069" t="inlineStr">
        <is>
          <t>Delivered</t>
        </is>
      </c>
      <c r="J2069" t="n">
        <v>129</v>
      </c>
      <c r="K2069" t="n">
        <v>1</v>
      </c>
      <c r="L2069" t="n">
        <v>576</v>
      </c>
      <c r="M2069" t="n">
        <v>57.6</v>
      </c>
      <c r="N2069">
        <f>VLOOKUP(J2069,Products!$A$2:$C$49,3,FALSE)</f>
        <v/>
      </c>
      <c r="O2069">
        <f>K2069*L2069-M2069</f>
        <v/>
      </c>
      <c r="P2069">
        <f>TEXT(B2069,"yyyy-mm")</f>
        <v/>
      </c>
      <c r="Q2069">
        <f>IF(O2069&gt;=3000,"Large","Small")</f>
        <v/>
      </c>
      <c r="R2069">
        <f>INDEX(Products!$F$2:$F$49,MATCH(J2069,Products!$A$2:$A$49,0))</f>
        <v/>
      </c>
      <c r="S2069">
        <f>WEEKDAY(B2069,2)</f>
        <v/>
      </c>
    </row>
    <row r="2070">
      <c r="A2070" t="n">
        <v>510370</v>
      </c>
      <c r="B2070" s="6" t="n">
        <v>45955</v>
      </c>
      <c r="C2070" t="n">
        <v>15808</v>
      </c>
      <c r="D2070" t="inlineStr">
        <is>
          <t>Indore</t>
        </is>
      </c>
      <c r="E2070" t="inlineStr">
        <is>
          <t>West</t>
        </is>
      </c>
      <c r="F2070" t="inlineStr">
        <is>
          <t>Referral</t>
        </is>
      </c>
      <c r="G2070" t="inlineStr">
        <is>
          <t>Mobile App</t>
        </is>
      </c>
      <c r="H2070" t="inlineStr">
        <is>
          <t>Cash on Delivery</t>
        </is>
      </c>
      <c r="I2070" t="inlineStr">
        <is>
          <t>Delivered</t>
        </is>
      </c>
      <c r="J2070" t="n">
        <v>135</v>
      </c>
      <c r="K2070" t="n">
        <v>1</v>
      </c>
      <c r="L2070" t="n">
        <v>1574</v>
      </c>
      <c r="M2070" t="n">
        <v>157.4</v>
      </c>
      <c r="N2070">
        <f>VLOOKUP(J2070,Products!$A$2:$C$49,3,FALSE)</f>
        <v/>
      </c>
      <c r="O2070">
        <f>K2070*L2070-M2070</f>
        <v/>
      </c>
      <c r="P2070">
        <f>TEXT(B2070,"yyyy-mm")</f>
        <v/>
      </c>
      <c r="Q2070">
        <f>IF(O2070&gt;=3000,"Large","Small")</f>
        <v/>
      </c>
      <c r="R2070">
        <f>INDEX(Products!$F$2:$F$49,MATCH(J2070,Products!$A$2:$A$49,0))</f>
        <v/>
      </c>
      <c r="S2070">
        <f>WEEKDAY(B2070,2)</f>
        <v/>
      </c>
    </row>
    <row r="2071">
      <c r="A2071" t="n">
        <v>510370</v>
      </c>
      <c r="B2071" s="6" t="n">
        <v>45955</v>
      </c>
      <c r="C2071" t="n">
        <v>15808</v>
      </c>
      <c r="D2071" t="inlineStr">
        <is>
          <t>Indore</t>
        </is>
      </c>
      <c r="E2071" t="inlineStr">
        <is>
          <t>West</t>
        </is>
      </c>
      <c r="F2071" t="inlineStr">
        <is>
          <t>Referral</t>
        </is>
      </c>
      <c r="G2071" t="inlineStr">
        <is>
          <t>Mobile App</t>
        </is>
      </c>
      <c r="H2071" t="inlineStr">
        <is>
          <t>Cash on Delivery</t>
        </is>
      </c>
      <c r="I2071" t="inlineStr">
        <is>
          <t>Delivered</t>
        </is>
      </c>
      <c r="J2071" t="n">
        <v>112</v>
      </c>
      <c r="K2071" t="n">
        <v>1</v>
      </c>
      <c r="L2071" t="n">
        <v>1574</v>
      </c>
      <c r="M2071" t="n">
        <v>157.4</v>
      </c>
      <c r="N2071">
        <f>VLOOKUP(J2071,Products!$A$2:$C$49,3,FALSE)</f>
        <v/>
      </c>
      <c r="O2071">
        <f>K2071*L2071-M2071</f>
        <v/>
      </c>
      <c r="P2071">
        <f>TEXT(B2071,"yyyy-mm")</f>
        <v/>
      </c>
      <c r="Q2071">
        <f>IF(O2071&gt;=3000,"Large","Small")</f>
        <v/>
      </c>
      <c r="R2071">
        <f>INDEX(Products!$F$2:$F$49,MATCH(J2071,Products!$A$2:$A$49,0))</f>
        <v/>
      </c>
      <c r="S2071">
        <f>WEEKDAY(B2071,2)</f>
        <v/>
      </c>
    </row>
    <row r="2072">
      <c r="A2072" t="n">
        <v>510370</v>
      </c>
      <c r="B2072" s="6" t="n">
        <v>45955</v>
      </c>
      <c r="C2072" t="n">
        <v>15808</v>
      </c>
      <c r="D2072" t="inlineStr">
        <is>
          <t>Indore</t>
        </is>
      </c>
      <c r="E2072" t="inlineStr">
        <is>
          <t>West</t>
        </is>
      </c>
      <c r="F2072" t="inlineStr">
        <is>
          <t>Referral</t>
        </is>
      </c>
      <c r="G2072" t="inlineStr">
        <is>
          <t>Mobile App</t>
        </is>
      </c>
      <c r="H2072" t="inlineStr">
        <is>
          <t>Cash on Delivery</t>
        </is>
      </c>
      <c r="I2072" t="inlineStr">
        <is>
          <t>Delivered</t>
        </is>
      </c>
      <c r="J2072" t="n">
        <v>105</v>
      </c>
      <c r="K2072" t="n">
        <v>1</v>
      </c>
      <c r="L2072" t="n">
        <v>2414</v>
      </c>
      <c r="M2072" t="n">
        <v>241.4</v>
      </c>
      <c r="N2072">
        <f>VLOOKUP(J2072,Products!$A$2:$C$49,3,FALSE)</f>
        <v/>
      </c>
      <c r="O2072">
        <f>K2072*L2072-M2072</f>
        <v/>
      </c>
      <c r="P2072">
        <f>TEXT(B2072,"yyyy-mm")</f>
        <v/>
      </c>
      <c r="Q2072">
        <f>IF(O2072&gt;=3000,"Large","Small")</f>
        <v/>
      </c>
      <c r="R2072">
        <f>INDEX(Products!$F$2:$F$49,MATCH(J2072,Products!$A$2:$A$49,0))</f>
        <v/>
      </c>
      <c r="S2072">
        <f>WEEKDAY(B2072,2)</f>
        <v/>
      </c>
    </row>
    <row r="2073">
      <c r="A2073" t="n">
        <v>510371</v>
      </c>
      <c r="B2073" s="6" t="n">
        <v>45955</v>
      </c>
      <c r="C2073" t="n">
        <v>17025</v>
      </c>
      <c r="D2073" t="inlineStr">
        <is>
          <t>Pune</t>
        </is>
      </c>
      <c r="E2073" t="inlineStr">
        <is>
          <t>West</t>
        </is>
      </c>
      <c r="F2073" t="inlineStr">
        <is>
          <t>Organic Search</t>
        </is>
      </c>
      <c r="G2073" t="inlineStr">
        <is>
          <t>Mobile App</t>
        </is>
      </c>
      <c r="H2073" t="inlineStr">
        <is>
          <t>Credit Card</t>
        </is>
      </c>
      <c r="I2073" t="inlineStr">
        <is>
          <t>Returned</t>
        </is>
      </c>
      <c r="J2073" t="n">
        <v>130</v>
      </c>
      <c r="K2073" t="n">
        <v>1</v>
      </c>
      <c r="L2073" t="n">
        <v>734</v>
      </c>
      <c r="M2073" t="n">
        <v>110.1</v>
      </c>
      <c r="N2073">
        <f>VLOOKUP(J2073,Products!$A$2:$C$49,3,FALSE)</f>
        <v/>
      </c>
      <c r="O2073">
        <f>K2073*L2073-M2073</f>
        <v/>
      </c>
      <c r="P2073">
        <f>TEXT(B2073,"yyyy-mm")</f>
        <v/>
      </c>
      <c r="Q2073">
        <f>IF(O2073&gt;=3000,"Large","Small")</f>
        <v/>
      </c>
      <c r="R2073">
        <f>INDEX(Products!$F$2:$F$49,MATCH(J2073,Products!$A$2:$A$49,0))</f>
        <v/>
      </c>
      <c r="S2073">
        <f>WEEKDAY(B2073,2)</f>
        <v/>
      </c>
    </row>
    <row r="2074">
      <c r="A2074" t="n">
        <v>510371</v>
      </c>
      <c r="B2074" s="6" t="n">
        <v>45955</v>
      </c>
      <c r="C2074" t="n">
        <v>17025</v>
      </c>
      <c r="D2074" t="inlineStr">
        <is>
          <t>Pune</t>
        </is>
      </c>
      <c r="E2074" t="inlineStr">
        <is>
          <t>West</t>
        </is>
      </c>
      <c r="F2074" t="inlineStr">
        <is>
          <t>Organic Search</t>
        </is>
      </c>
      <c r="G2074" t="inlineStr">
        <is>
          <t>Mobile App</t>
        </is>
      </c>
      <c r="H2074" t="inlineStr">
        <is>
          <t>Credit Card</t>
        </is>
      </c>
      <c r="I2074" t="inlineStr">
        <is>
          <t>Returned</t>
        </is>
      </c>
      <c r="J2074" t="n">
        <v>120</v>
      </c>
      <c r="K2074" t="n">
        <v>1</v>
      </c>
      <c r="L2074" t="n">
        <v>734</v>
      </c>
      <c r="M2074" t="n">
        <v>110.1</v>
      </c>
      <c r="N2074">
        <f>VLOOKUP(J2074,Products!$A$2:$C$49,3,FALSE)</f>
        <v/>
      </c>
      <c r="O2074">
        <f>K2074*L2074-M2074</f>
        <v/>
      </c>
      <c r="P2074">
        <f>TEXT(B2074,"yyyy-mm")</f>
        <v/>
      </c>
      <c r="Q2074">
        <f>IF(O2074&gt;=3000,"Large","Small")</f>
        <v/>
      </c>
      <c r="R2074">
        <f>INDEX(Products!$F$2:$F$49,MATCH(J2074,Products!$A$2:$A$49,0))</f>
        <v/>
      </c>
      <c r="S2074">
        <f>WEEKDAY(B2074,2)</f>
        <v/>
      </c>
    </row>
    <row r="2075">
      <c r="A2075" t="n">
        <v>510372</v>
      </c>
      <c r="B2075" s="6" t="n">
        <v>45955</v>
      </c>
      <c r="C2075" t="n">
        <v>15560</v>
      </c>
      <c r="D2075" t="inlineStr">
        <is>
          <t>Delhi</t>
        </is>
      </c>
      <c r="E2075" t="inlineStr">
        <is>
          <t>North</t>
        </is>
      </c>
      <c r="F2075" t="inlineStr">
        <is>
          <t>Paid Search</t>
        </is>
      </c>
      <c r="G2075" t="inlineStr">
        <is>
          <t>Mobile App</t>
        </is>
      </c>
      <c r="H2075" t="inlineStr">
        <is>
          <t>Credit Card</t>
        </is>
      </c>
      <c r="I2075" t="inlineStr">
        <is>
          <t>Delivered</t>
        </is>
      </c>
      <c r="J2075" t="n">
        <v>113</v>
      </c>
      <c r="K2075" t="n">
        <v>1</v>
      </c>
      <c r="L2075" t="n">
        <v>1364</v>
      </c>
      <c r="M2075" t="n">
        <v>136.4</v>
      </c>
      <c r="N2075">
        <f>VLOOKUP(J2075,Products!$A$2:$C$49,3,FALSE)</f>
        <v/>
      </c>
      <c r="O2075">
        <f>K2075*L2075-M2075</f>
        <v/>
      </c>
      <c r="P2075">
        <f>TEXT(B2075,"yyyy-mm")</f>
        <v/>
      </c>
      <c r="Q2075">
        <f>IF(O2075&gt;=3000,"Large","Small")</f>
        <v/>
      </c>
      <c r="R2075">
        <f>INDEX(Products!$F$2:$F$49,MATCH(J2075,Products!$A$2:$A$49,0))</f>
        <v/>
      </c>
      <c r="S2075">
        <f>WEEKDAY(B2075,2)</f>
        <v/>
      </c>
    </row>
    <row r="2076">
      <c r="A2076" t="n">
        <v>510373</v>
      </c>
      <c r="B2076" s="6" t="n">
        <v>45955</v>
      </c>
      <c r="C2076" t="n">
        <v>16977</v>
      </c>
      <c r="D2076" t="inlineStr">
        <is>
          <t>Kochi</t>
        </is>
      </c>
      <c r="E2076" t="inlineStr">
        <is>
          <t>South</t>
        </is>
      </c>
      <c r="F2076" t="inlineStr">
        <is>
          <t>Paid Search</t>
        </is>
      </c>
      <c r="G2076" t="inlineStr">
        <is>
          <t>Desktop</t>
        </is>
      </c>
      <c r="H2076" t="inlineStr">
        <is>
          <t>Debit Card</t>
        </is>
      </c>
      <c r="I2076" t="inlineStr">
        <is>
          <t>Delivered</t>
        </is>
      </c>
      <c r="J2076" t="n">
        <v>105</v>
      </c>
      <c r="K2076" t="n">
        <v>1</v>
      </c>
      <c r="L2076" t="n">
        <v>2414</v>
      </c>
      <c r="M2076" t="n">
        <v>241.4</v>
      </c>
      <c r="N2076">
        <f>VLOOKUP(J2076,Products!$A$2:$C$49,3,FALSE)</f>
        <v/>
      </c>
      <c r="O2076">
        <f>K2076*L2076-M2076</f>
        <v/>
      </c>
      <c r="P2076">
        <f>TEXT(B2076,"yyyy-mm")</f>
        <v/>
      </c>
      <c r="Q2076">
        <f>IF(O2076&gt;=3000,"Large","Small")</f>
        <v/>
      </c>
      <c r="R2076">
        <f>INDEX(Products!$F$2:$F$49,MATCH(J2076,Products!$A$2:$A$49,0))</f>
        <v/>
      </c>
      <c r="S2076">
        <f>WEEKDAY(B2076,2)</f>
        <v/>
      </c>
    </row>
    <row r="2077">
      <c r="A2077" t="n">
        <v>510374</v>
      </c>
      <c r="B2077" s="6" t="n">
        <v>45955</v>
      </c>
      <c r="C2077" t="n">
        <v>16994</v>
      </c>
      <c r="D2077" t="inlineStr">
        <is>
          <t>Bengaluru</t>
        </is>
      </c>
      <c r="E2077" t="inlineStr">
        <is>
          <t>South</t>
        </is>
      </c>
      <c r="F2077" t="inlineStr">
        <is>
          <t>Paid Search</t>
        </is>
      </c>
      <c r="G2077" t="inlineStr">
        <is>
          <t>Desktop</t>
        </is>
      </c>
      <c r="H2077" t="inlineStr">
        <is>
          <t>UPI</t>
        </is>
      </c>
      <c r="I2077" t="inlineStr">
        <is>
          <t>Delivered</t>
        </is>
      </c>
      <c r="J2077" t="n">
        <v>124</v>
      </c>
      <c r="K2077" t="n">
        <v>1</v>
      </c>
      <c r="L2077" t="n">
        <v>1154</v>
      </c>
      <c r="M2077" t="n">
        <v>115.4</v>
      </c>
      <c r="N2077">
        <f>VLOOKUP(J2077,Products!$A$2:$C$49,3,FALSE)</f>
        <v/>
      </c>
      <c r="O2077">
        <f>K2077*L2077-M2077</f>
        <v/>
      </c>
      <c r="P2077">
        <f>TEXT(B2077,"yyyy-mm")</f>
        <v/>
      </c>
      <c r="Q2077">
        <f>IF(O2077&gt;=3000,"Large","Small")</f>
        <v/>
      </c>
      <c r="R2077">
        <f>INDEX(Products!$F$2:$F$49,MATCH(J2077,Products!$A$2:$A$49,0))</f>
        <v/>
      </c>
      <c r="S2077">
        <f>WEEKDAY(B2077,2)</f>
        <v/>
      </c>
    </row>
    <row r="2078">
      <c r="A2078" t="n">
        <v>510374</v>
      </c>
      <c r="B2078" s="6" t="n">
        <v>45955</v>
      </c>
      <c r="C2078" t="n">
        <v>16994</v>
      </c>
      <c r="D2078" t="inlineStr">
        <is>
          <t>Bengaluru</t>
        </is>
      </c>
      <c r="E2078" t="inlineStr">
        <is>
          <t>South</t>
        </is>
      </c>
      <c r="F2078" t="inlineStr">
        <is>
          <t>Paid Search</t>
        </is>
      </c>
      <c r="G2078" t="inlineStr">
        <is>
          <t>Desktop</t>
        </is>
      </c>
      <c r="H2078" t="inlineStr">
        <is>
          <t>UPI</t>
        </is>
      </c>
      <c r="I2078" t="inlineStr">
        <is>
          <t>Delivered</t>
        </is>
      </c>
      <c r="J2078" t="n">
        <v>111</v>
      </c>
      <c r="K2078" t="n">
        <v>1</v>
      </c>
      <c r="L2078" t="n">
        <v>524</v>
      </c>
      <c r="M2078" t="n">
        <v>52.4</v>
      </c>
      <c r="N2078">
        <f>VLOOKUP(J2078,Products!$A$2:$C$49,3,FALSE)</f>
        <v/>
      </c>
      <c r="O2078">
        <f>K2078*L2078-M2078</f>
        <v/>
      </c>
      <c r="P2078">
        <f>TEXT(B2078,"yyyy-mm")</f>
        <v/>
      </c>
      <c r="Q2078">
        <f>IF(O2078&gt;=3000,"Large","Small")</f>
        <v/>
      </c>
      <c r="R2078">
        <f>INDEX(Products!$F$2:$F$49,MATCH(J2078,Products!$A$2:$A$49,0))</f>
        <v/>
      </c>
      <c r="S2078">
        <f>WEEKDAY(B2078,2)</f>
        <v/>
      </c>
    </row>
    <row r="2079">
      <c r="A2079" t="n">
        <v>510375</v>
      </c>
      <c r="B2079" s="6" t="n">
        <v>45955</v>
      </c>
      <c r="C2079" t="n">
        <v>16948</v>
      </c>
      <c r="D2079" t="inlineStr">
        <is>
          <t>Chennai</t>
        </is>
      </c>
      <c r="E2079" t="inlineStr">
        <is>
          <t>South</t>
        </is>
      </c>
      <c r="F2079" t="inlineStr">
        <is>
          <t>Paid Search</t>
        </is>
      </c>
      <c r="G2079" t="inlineStr">
        <is>
          <t>Mobile Web</t>
        </is>
      </c>
      <c r="H2079" t="inlineStr">
        <is>
          <t>Net Banking</t>
        </is>
      </c>
      <c r="I2079" t="inlineStr">
        <is>
          <t>Delivered</t>
        </is>
      </c>
      <c r="J2079" t="n">
        <v>103</v>
      </c>
      <c r="K2079" t="n">
        <v>1</v>
      </c>
      <c r="L2079" t="n">
        <v>2624</v>
      </c>
      <c r="M2079" t="n">
        <v>393.6</v>
      </c>
      <c r="N2079">
        <f>VLOOKUP(J2079,Products!$A$2:$C$49,3,FALSE)</f>
        <v/>
      </c>
      <c r="O2079">
        <f>K2079*L2079-M2079</f>
        <v/>
      </c>
      <c r="P2079">
        <f>TEXT(B2079,"yyyy-mm")</f>
        <v/>
      </c>
      <c r="Q2079">
        <f>IF(O2079&gt;=3000,"Large","Small")</f>
        <v/>
      </c>
      <c r="R2079">
        <f>INDEX(Products!$F$2:$F$49,MATCH(J2079,Products!$A$2:$A$49,0))</f>
        <v/>
      </c>
      <c r="S2079">
        <f>WEEKDAY(B2079,2)</f>
        <v/>
      </c>
    </row>
    <row r="2080">
      <c r="A2080" t="n">
        <v>510376</v>
      </c>
      <c r="B2080" s="6" t="n">
        <v>45955</v>
      </c>
      <c r="C2080" t="n">
        <v>15947</v>
      </c>
      <c r="D2080" t="inlineStr">
        <is>
          <t>Bengaluru</t>
        </is>
      </c>
      <c r="E2080" t="inlineStr">
        <is>
          <t>South</t>
        </is>
      </c>
      <c r="F2080" t="inlineStr">
        <is>
          <t>Organic Search</t>
        </is>
      </c>
      <c r="G2080" t="inlineStr">
        <is>
          <t>Mobile App</t>
        </is>
      </c>
      <c r="H2080" t="inlineStr">
        <is>
          <t>Cash on Delivery</t>
        </is>
      </c>
      <c r="I2080" t="inlineStr">
        <is>
          <t>Returned</t>
        </is>
      </c>
      <c r="J2080" t="n">
        <v>118</v>
      </c>
      <c r="K2080" t="n">
        <v>1</v>
      </c>
      <c r="L2080" t="n">
        <v>944</v>
      </c>
      <c r="M2080" t="n">
        <v>94.40000000000001</v>
      </c>
      <c r="N2080">
        <f>VLOOKUP(J2080,Products!$A$2:$C$49,3,FALSE)</f>
        <v/>
      </c>
      <c r="O2080">
        <f>K2080*L2080-M2080</f>
        <v/>
      </c>
      <c r="P2080">
        <f>TEXT(B2080,"yyyy-mm")</f>
        <v/>
      </c>
      <c r="Q2080">
        <f>IF(O2080&gt;=3000,"Large","Small")</f>
        <v/>
      </c>
      <c r="R2080">
        <f>INDEX(Products!$F$2:$F$49,MATCH(J2080,Products!$A$2:$A$49,0))</f>
        <v/>
      </c>
      <c r="S2080">
        <f>WEEKDAY(B2080,2)</f>
        <v/>
      </c>
    </row>
    <row r="2081">
      <c r="A2081" t="n">
        <v>510377</v>
      </c>
      <c r="B2081" s="6" t="n">
        <v>45955</v>
      </c>
      <c r="C2081" t="n">
        <v>16863</v>
      </c>
      <c r="D2081" t="inlineStr">
        <is>
          <t>Jaipur</t>
        </is>
      </c>
      <c r="E2081" t="inlineStr">
        <is>
          <t>North</t>
        </is>
      </c>
      <c r="F2081" t="inlineStr">
        <is>
          <t>Paid Search</t>
        </is>
      </c>
      <c r="G2081" t="inlineStr">
        <is>
          <t>Desktop</t>
        </is>
      </c>
      <c r="H2081" t="inlineStr">
        <is>
          <t>Debit Card</t>
        </is>
      </c>
      <c r="I2081" t="inlineStr">
        <is>
          <t>Delivered</t>
        </is>
      </c>
      <c r="J2081" t="n">
        <v>105</v>
      </c>
      <c r="K2081" t="n">
        <v>1</v>
      </c>
      <c r="L2081" t="n">
        <v>2414</v>
      </c>
      <c r="M2081" t="n">
        <v>241.4</v>
      </c>
      <c r="N2081">
        <f>VLOOKUP(J2081,Products!$A$2:$C$49,3,FALSE)</f>
        <v/>
      </c>
      <c r="O2081">
        <f>K2081*L2081-M2081</f>
        <v/>
      </c>
      <c r="P2081">
        <f>TEXT(B2081,"yyyy-mm")</f>
        <v/>
      </c>
      <c r="Q2081">
        <f>IF(O2081&gt;=3000,"Large","Small")</f>
        <v/>
      </c>
      <c r="R2081">
        <f>INDEX(Products!$F$2:$F$49,MATCH(J2081,Products!$A$2:$A$49,0))</f>
        <v/>
      </c>
      <c r="S2081">
        <f>WEEKDAY(B2081,2)</f>
        <v/>
      </c>
    </row>
    <row r="2082">
      <c r="A2082" t="n">
        <v>510377</v>
      </c>
      <c r="B2082" s="6" t="n">
        <v>45955</v>
      </c>
      <c r="C2082" t="n">
        <v>16863</v>
      </c>
      <c r="D2082" t="inlineStr">
        <is>
          <t>Jaipur</t>
        </is>
      </c>
      <c r="E2082" t="inlineStr">
        <is>
          <t>North</t>
        </is>
      </c>
      <c r="F2082" t="inlineStr">
        <is>
          <t>Paid Search</t>
        </is>
      </c>
      <c r="G2082" t="inlineStr">
        <is>
          <t>Desktop</t>
        </is>
      </c>
      <c r="H2082" t="inlineStr">
        <is>
          <t>Debit Card</t>
        </is>
      </c>
      <c r="I2082" t="inlineStr">
        <is>
          <t>Delivered</t>
        </is>
      </c>
      <c r="J2082" t="n">
        <v>122</v>
      </c>
      <c r="K2082" t="n">
        <v>1</v>
      </c>
      <c r="L2082" t="n">
        <v>1994</v>
      </c>
      <c r="M2082" t="n">
        <v>199.4</v>
      </c>
      <c r="N2082">
        <f>VLOOKUP(J2082,Products!$A$2:$C$49,3,FALSE)</f>
        <v/>
      </c>
      <c r="O2082">
        <f>K2082*L2082-M2082</f>
        <v/>
      </c>
      <c r="P2082">
        <f>TEXT(B2082,"yyyy-mm")</f>
        <v/>
      </c>
      <c r="Q2082">
        <f>IF(O2082&gt;=3000,"Large","Small")</f>
        <v/>
      </c>
      <c r="R2082">
        <f>INDEX(Products!$F$2:$F$49,MATCH(J2082,Products!$A$2:$A$49,0))</f>
        <v/>
      </c>
      <c r="S2082">
        <f>WEEKDAY(B2082,2)</f>
        <v/>
      </c>
    </row>
    <row r="2083">
      <c r="A2083" t="n">
        <v>510378</v>
      </c>
      <c r="B2083" s="6" t="n">
        <v>45955</v>
      </c>
      <c r="C2083" t="n">
        <v>16976</v>
      </c>
      <c r="D2083" t="inlineStr">
        <is>
          <t>Bengaluru</t>
        </is>
      </c>
      <c r="E2083" t="inlineStr">
        <is>
          <t>South</t>
        </is>
      </c>
      <c r="F2083" t="inlineStr">
        <is>
          <t>Referral</t>
        </is>
      </c>
      <c r="G2083" t="inlineStr">
        <is>
          <t>Mobile App</t>
        </is>
      </c>
      <c r="H2083" t="inlineStr">
        <is>
          <t>UPI</t>
        </is>
      </c>
      <c r="I2083" t="inlineStr">
        <is>
          <t>Delivered</t>
        </is>
      </c>
      <c r="J2083" t="n">
        <v>140</v>
      </c>
      <c r="K2083" t="n">
        <v>1</v>
      </c>
      <c r="L2083" t="n">
        <v>629</v>
      </c>
      <c r="M2083" t="n">
        <v>94.34999999999999</v>
      </c>
      <c r="N2083">
        <f>VLOOKUP(J2083,Products!$A$2:$C$49,3,FALSE)</f>
        <v/>
      </c>
      <c r="O2083">
        <f>K2083*L2083-M2083</f>
        <v/>
      </c>
      <c r="P2083">
        <f>TEXT(B2083,"yyyy-mm")</f>
        <v/>
      </c>
      <c r="Q2083">
        <f>IF(O2083&gt;=3000,"Large","Small")</f>
        <v/>
      </c>
      <c r="R2083">
        <f>INDEX(Products!$F$2:$F$49,MATCH(J2083,Products!$A$2:$A$49,0))</f>
        <v/>
      </c>
      <c r="S2083">
        <f>WEEKDAY(B2083,2)</f>
        <v/>
      </c>
    </row>
    <row r="2084">
      <c r="A2084" t="n">
        <v>510379</v>
      </c>
      <c r="B2084" s="6" t="n">
        <v>45955</v>
      </c>
      <c r="C2084" t="n">
        <v>17030</v>
      </c>
      <c r="D2084" t="inlineStr">
        <is>
          <t>Delhi</t>
        </is>
      </c>
      <c r="E2084" t="inlineStr">
        <is>
          <t>North</t>
        </is>
      </c>
      <c r="F2084" t="inlineStr">
        <is>
          <t>Organic Search</t>
        </is>
      </c>
      <c r="G2084" t="inlineStr">
        <is>
          <t>Mobile App</t>
        </is>
      </c>
      <c r="H2084" t="inlineStr">
        <is>
          <t>Cash on Delivery</t>
        </is>
      </c>
      <c r="I2084" t="inlineStr">
        <is>
          <t>Delivered</t>
        </is>
      </c>
      <c r="J2084" t="n">
        <v>124</v>
      </c>
      <c r="K2084" t="n">
        <v>2</v>
      </c>
      <c r="L2084" t="n">
        <v>1154</v>
      </c>
      <c r="M2084" t="n">
        <v>230.8</v>
      </c>
      <c r="N2084">
        <f>VLOOKUP(J2084,Products!$A$2:$C$49,3,FALSE)</f>
        <v/>
      </c>
      <c r="O2084">
        <f>K2084*L2084-M2084</f>
        <v/>
      </c>
      <c r="P2084">
        <f>TEXT(B2084,"yyyy-mm")</f>
        <v/>
      </c>
      <c r="Q2084">
        <f>IF(O2084&gt;=3000,"Large","Small")</f>
        <v/>
      </c>
      <c r="R2084">
        <f>INDEX(Products!$F$2:$F$49,MATCH(J2084,Products!$A$2:$A$49,0))</f>
        <v/>
      </c>
      <c r="S2084">
        <f>WEEKDAY(B2084,2)</f>
        <v/>
      </c>
    </row>
    <row r="2085">
      <c r="A2085" t="n">
        <v>510379</v>
      </c>
      <c r="B2085" s="6" t="n">
        <v>45955</v>
      </c>
      <c r="C2085" t="n">
        <v>17030</v>
      </c>
      <c r="D2085" t="inlineStr">
        <is>
          <t>Delhi</t>
        </is>
      </c>
      <c r="E2085" t="inlineStr">
        <is>
          <t>North</t>
        </is>
      </c>
      <c r="F2085" t="inlineStr">
        <is>
          <t>Organic Search</t>
        </is>
      </c>
      <c r="G2085" t="inlineStr">
        <is>
          <t>Mobile App</t>
        </is>
      </c>
      <c r="H2085" t="inlineStr">
        <is>
          <t>Cash on Delivery</t>
        </is>
      </c>
      <c r="I2085" t="inlineStr">
        <is>
          <t>Delivered</t>
        </is>
      </c>
      <c r="J2085" t="n">
        <v>129</v>
      </c>
      <c r="K2085" t="n">
        <v>1</v>
      </c>
      <c r="L2085" t="n">
        <v>576</v>
      </c>
      <c r="M2085" t="n">
        <v>57.6</v>
      </c>
      <c r="N2085">
        <f>VLOOKUP(J2085,Products!$A$2:$C$49,3,FALSE)</f>
        <v/>
      </c>
      <c r="O2085">
        <f>K2085*L2085-M2085</f>
        <v/>
      </c>
      <c r="P2085">
        <f>TEXT(B2085,"yyyy-mm")</f>
        <v/>
      </c>
      <c r="Q2085">
        <f>IF(O2085&gt;=3000,"Large","Small")</f>
        <v/>
      </c>
      <c r="R2085">
        <f>INDEX(Products!$F$2:$F$49,MATCH(J2085,Products!$A$2:$A$49,0))</f>
        <v/>
      </c>
      <c r="S2085">
        <f>WEEKDAY(B2085,2)</f>
        <v/>
      </c>
    </row>
    <row r="2086">
      <c r="A2086" t="n">
        <v>510380</v>
      </c>
      <c r="B2086" s="6" t="n">
        <v>45955</v>
      </c>
      <c r="C2086" t="n">
        <v>13685</v>
      </c>
      <c r="D2086" t="inlineStr">
        <is>
          <t>Chandigarh</t>
        </is>
      </c>
      <c r="E2086" t="inlineStr">
        <is>
          <t>North</t>
        </is>
      </c>
      <c r="F2086" t="inlineStr">
        <is>
          <t>Organic Search</t>
        </is>
      </c>
      <c r="G2086" t="inlineStr">
        <is>
          <t>Mobile App</t>
        </is>
      </c>
      <c r="H2086" t="inlineStr">
        <is>
          <t>UPI</t>
        </is>
      </c>
      <c r="I2086" t="inlineStr">
        <is>
          <t>Delivered</t>
        </is>
      </c>
      <c r="J2086" t="n">
        <v>120</v>
      </c>
      <c r="K2086" t="n">
        <v>1</v>
      </c>
      <c r="L2086" t="n">
        <v>734</v>
      </c>
      <c r="M2086" t="n">
        <v>73.40000000000001</v>
      </c>
      <c r="N2086">
        <f>VLOOKUP(J2086,Products!$A$2:$C$49,3,FALSE)</f>
        <v/>
      </c>
      <c r="O2086">
        <f>K2086*L2086-M2086</f>
        <v/>
      </c>
      <c r="P2086">
        <f>TEXT(B2086,"yyyy-mm")</f>
        <v/>
      </c>
      <c r="Q2086">
        <f>IF(O2086&gt;=3000,"Large","Small")</f>
        <v/>
      </c>
      <c r="R2086">
        <f>INDEX(Products!$F$2:$F$49,MATCH(J2086,Products!$A$2:$A$49,0))</f>
        <v/>
      </c>
      <c r="S2086">
        <f>WEEKDAY(B2086,2)</f>
        <v/>
      </c>
    </row>
    <row r="2087">
      <c r="A2087" t="n">
        <v>510381</v>
      </c>
      <c r="B2087" s="6" t="n">
        <v>45955</v>
      </c>
      <c r="C2087" t="n">
        <v>13263</v>
      </c>
      <c r="D2087" t="inlineStr">
        <is>
          <t>Bengaluru</t>
        </is>
      </c>
      <c r="E2087" t="inlineStr">
        <is>
          <t>South</t>
        </is>
      </c>
      <c r="F2087" t="inlineStr">
        <is>
          <t>Organic Search</t>
        </is>
      </c>
      <c r="G2087" t="inlineStr">
        <is>
          <t>Mobile App</t>
        </is>
      </c>
      <c r="H2087" t="inlineStr">
        <is>
          <t>UPI</t>
        </is>
      </c>
      <c r="I2087" t="inlineStr">
        <is>
          <t>Delivered</t>
        </is>
      </c>
      <c r="J2087" t="n">
        <v>110</v>
      </c>
      <c r="K2087" t="n">
        <v>1</v>
      </c>
      <c r="L2087" t="n">
        <v>839</v>
      </c>
      <c r="M2087" t="n">
        <v>0</v>
      </c>
      <c r="N2087">
        <f>VLOOKUP(J2087,Products!$A$2:$C$49,3,FALSE)</f>
        <v/>
      </c>
      <c r="O2087">
        <f>K2087*L2087-M2087</f>
        <v/>
      </c>
      <c r="P2087">
        <f>TEXT(B2087,"yyyy-mm")</f>
        <v/>
      </c>
      <c r="Q2087">
        <f>IF(O2087&gt;=3000,"Large","Small")</f>
        <v/>
      </c>
      <c r="R2087">
        <f>INDEX(Products!$F$2:$F$49,MATCH(J2087,Products!$A$2:$A$49,0))</f>
        <v/>
      </c>
      <c r="S2087">
        <f>WEEKDAY(B2087,2)</f>
        <v/>
      </c>
    </row>
    <row r="2088">
      <c r="A2088" t="n">
        <v>510381</v>
      </c>
      <c r="B2088" s="6" t="n">
        <v>45955</v>
      </c>
      <c r="C2088" t="n">
        <v>13263</v>
      </c>
      <c r="D2088" t="inlineStr">
        <is>
          <t>Bengaluru</t>
        </is>
      </c>
      <c r="E2088" t="inlineStr">
        <is>
          <t>South</t>
        </is>
      </c>
      <c r="F2088" t="inlineStr">
        <is>
          <t>Organic Search</t>
        </is>
      </c>
      <c r="G2088" t="inlineStr">
        <is>
          <t>Mobile App</t>
        </is>
      </c>
      <c r="H2088" t="inlineStr">
        <is>
          <t>UPI</t>
        </is>
      </c>
      <c r="I2088" t="inlineStr">
        <is>
          <t>Delivered</t>
        </is>
      </c>
      <c r="J2088" t="n">
        <v>129</v>
      </c>
      <c r="K2088" t="n">
        <v>1</v>
      </c>
      <c r="L2088" t="n">
        <v>576</v>
      </c>
      <c r="M2088" t="n">
        <v>0</v>
      </c>
      <c r="N2088">
        <f>VLOOKUP(J2088,Products!$A$2:$C$49,3,FALSE)</f>
        <v/>
      </c>
      <c r="O2088">
        <f>K2088*L2088-M2088</f>
        <v/>
      </c>
      <c r="P2088">
        <f>TEXT(B2088,"yyyy-mm")</f>
        <v/>
      </c>
      <c r="Q2088">
        <f>IF(O2088&gt;=3000,"Large","Small")</f>
        <v/>
      </c>
      <c r="R2088">
        <f>INDEX(Products!$F$2:$F$49,MATCH(J2088,Products!$A$2:$A$49,0))</f>
        <v/>
      </c>
      <c r="S2088">
        <f>WEEKDAY(B2088,2)</f>
        <v/>
      </c>
    </row>
    <row r="2089">
      <c r="A2089" t="n">
        <v>510382</v>
      </c>
      <c r="B2089" s="6" t="n">
        <v>45955</v>
      </c>
      <c r="C2089" t="n">
        <v>13378</v>
      </c>
      <c r="D2089" t="inlineStr">
        <is>
          <t>Bengaluru</t>
        </is>
      </c>
      <c r="E2089" t="inlineStr">
        <is>
          <t>South</t>
        </is>
      </c>
      <c r="F2089" t="inlineStr">
        <is>
          <t>Referral</t>
        </is>
      </c>
      <c r="G2089" t="inlineStr">
        <is>
          <t>Mobile App</t>
        </is>
      </c>
      <c r="H2089" t="inlineStr">
        <is>
          <t>UPI</t>
        </is>
      </c>
      <c r="I2089" t="inlineStr">
        <is>
          <t>Delivered</t>
        </is>
      </c>
      <c r="J2089" t="n">
        <v>143</v>
      </c>
      <c r="K2089" t="n">
        <v>1</v>
      </c>
      <c r="L2089" t="n">
        <v>839</v>
      </c>
      <c r="M2089" t="n">
        <v>0</v>
      </c>
      <c r="N2089">
        <f>VLOOKUP(J2089,Products!$A$2:$C$49,3,FALSE)</f>
        <v/>
      </c>
      <c r="O2089">
        <f>K2089*L2089-M2089</f>
        <v/>
      </c>
      <c r="P2089">
        <f>TEXT(B2089,"yyyy-mm")</f>
        <v/>
      </c>
      <c r="Q2089">
        <f>IF(O2089&gt;=3000,"Large","Small")</f>
        <v/>
      </c>
      <c r="R2089">
        <f>INDEX(Products!$F$2:$F$49,MATCH(J2089,Products!$A$2:$A$49,0))</f>
        <v/>
      </c>
      <c r="S2089">
        <f>WEEKDAY(B2089,2)</f>
        <v/>
      </c>
    </row>
    <row r="2090">
      <c r="A2090" t="n">
        <v>510382</v>
      </c>
      <c r="B2090" s="6" t="n">
        <v>45955</v>
      </c>
      <c r="C2090" t="n">
        <v>13378</v>
      </c>
      <c r="D2090" t="inlineStr">
        <is>
          <t>Bengaluru</t>
        </is>
      </c>
      <c r="E2090" t="inlineStr">
        <is>
          <t>South</t>
        </is>
      </c>
      <c r="F2090" t="inlineStr">
        <is>
          <t>Referral</t>
        </is>
      </c>
      <c r="G2090" t="inlineStr">
        <is>
          <t>Mobile App</t>
        </is>
      </c>
      <c r="H2090" t="inlineStr">
        <is>
          <t>UPI</t>
        </is>
      </c>
      <c r="I2090" t="inlineStr">
        <is>
          <t>Delivered</t>
        </is>
      </c>
      <c r="J2090" t="n">
        <v>129</v>
      </c>
      <c r="K2090" t="n">
        <v>1</v>
      </c>
      <c r="L2090" t="n">
        <v>576</v>
      </c>
      <c r="M2090" t="n">
        <v>0</v>
      </c>
      <c r="N2090">
        <f>VLOOKUP(J2090,Products!$A$2:$C$49,3,FALSE)</f>
        <v/>
      </c>
      <c r="O2090">
        <f>K2090*L2090-M2090</f>
        <v/>
      </c>
      <c r="P2090">
        <f>TEXT(B2090,"yyyy-mm")</f>
        <v/>
      </c>
      <c r="Q2090">
        <f>IF(O2090&gt;=3000,"Large","Small")</f>
        <v/>
      </c>
      <c r="R2090">
        <f>INDEX(Products!$F$2:$F$49,MATCH(J2090,Products!$A$2:$A$49,0))</f>
        <v/>
      </c>
      <c r="S2090">
        <f>WEEKDAY(B2090,2)</f>
        <v/>
      </c>
    </row>
    <row r="2091">
      <c r="A2091" t="n">
        <v>510383</v>
      </c>
      <c r="B2091" s="6" t="n">
        <v>45955</v>
      </c>
      <c r="C2091" t="n">
        <v>17016</v>
      </c>
      <c r="D2091" t="inlineStr">
        <is>
          <t>Hyderabad</t>
        </is>
      </c>
      <c r="E2091" t="inlineStr">
        <is>
          <t>South</t>
        </is>
      </c>
      <c r="F2091" t="inlineStr">
        <is>
          <t>Referral</t>
        </is>
      </c>
      <c r="G2091" t="inlineStr">
        <is>
          <t>Mobile App</t>
        </is>
      </c>
      <c r="H2091" t="inlineStr">
        <is>
          <t>Net Banking</t>
        </is>
      </c>
      <c r="I2091" t="inlineStr">
        <is>
          <t>Delivered</t>
        </is>
      </c>
      <c r="J2091" t="n">
        <v>144</v>
      </c>
      <c r="K2091" t="n">
        <v>3</v>
      </c>
      <c r="L2091" t="n">
        <v>3149</v>
      </c>
      <c r="M2091" t="n">
        <v>0</v>
      </c>
      <c r="N2091">
        <f>VLOOKUP(J2091,Products!$A$2:$C$49,3,FALSE)</f>
        <v/>
      </c>
      <c r="O2091">
        <f>K2091*L2091-M2091</f>
        <v/>
      </c>
      <c r="P2091">
        <f>TEXT(B2091,"yyyy-mm")</f>
        <v/>
      </c>
      <c r="Q2091">
        <f>IF(O2091&gt;=3000,"Large","Small")</f>
        <v/>
      </c>
      <c r="R2091">
        <f>INDEX(Products!$F$2:$F$49,MATCH(J2091,Products!$A$2:$A$49,0))</f>
        <v/>
      </c>
      <c r="S2091">
        <f>WEEKDAY(B2091,2)</f>
        <v/>
      </c>
    </row>
    <row r="2092">
      <c r="A2092" t="n">
        <v>510384</v>
      </c>
      <c r="B2092" s="6" t="n">
        <v>45955</v>
      </c>
      <c r="C2092" t="n">
        <v>16084</v>
      </c>
      <c r="D2092" t="inlineStr">
        <is>
          <t>Hyderabad</t>
        </is>
      </c>
      <c r="E2092" t="inlineStr">
        <is>
          <t>South</t>
        </is>
      </c>
      <c r="F2092" t="inlineStr">
        <is>
          <t>Referral</t>
        </is>
      </c>
      <c r="G2092" t="inlineStr">
        <is>
          <t>Mobile App</t>
        </is>
      </c>
      <c r="H2092" t="inlineStr">
        <is>
          <t>Debit Card</t>
        </is>
      </c>
      <c r="I2092" t="inlineStr">
        <is>
          <t>Delivered</t>
        </is>
      </c>
      <c r="J2092" t="n">
        <v>144</v>
      </c>
      <c r="K2092" t="n">
        <v>2</v>
      </c>
      <c r="L2092" t="n">
        <v>3149</v>
      </c>
      <c r="M2092" t="n">
        <v>629.8</v>
      </c>
      <c r="N2092">
        <f>VLOOKUP(J2092,Products!$A$2:$C$49,3,FALSE)</f>
        <v/>
      </c>
      <c r="O2092">
        <f>K2092*L2092-M2092</f>
        <v/>
      </c>
      <c r="P2092">
        <f>TEXT(B2092,"yyyy-mm")</f>
        <v/>
      </c>
      <c r="Q2092">
        <f>IF(O2092&gt;=3000,"Large","Small")</f>
        <v/>
      </c>
      <c r="R2092">
        <f>INDEX(Products!$F$2:$F$49,MATCH(J2092,Products!$A$2:$A$49,0))</f>
        <v/>
      </c>
      <c r="S2092">
        <f>WEEKDAY(B2092,2)</f>
        <v/>
      </c>
    </row>
    <row r="2093">
      <c r="A2093" t="n">
        <v>510384</v>
      </c>
      <c r="B2093" s="6" t="n">
        <v>45955</v>
      </c>
      <c r="C2093" t="n">
        <v>16084</v>
      </c>
      <c r="D2093" t="inlineStr">
        <is>
          <t>Hyderabad</t>
        </is>
      </c>
      <c r="E2093" t="inlineStr">
        <is>
          <t>South</t>
        </is>
      </c>
      <c r="F2093" t="inlineStr">
        <is>
          <t>Referral</t>
        </is>
      </c>
      <c r="G2093" t="inlineStr">
        <is>
          <t>Mobile App</t>
        </is>
      </c>
      <c r="H2093" t="inlineStr">
        <is>
          <t>Debit Card</t>
        </is>
      </c>
      <c r="I2093" t="inlineStr">
        <is>
          <t>Delivered</t>
        </is>
      </c>
      <c r="J2093" t="n">
        <v>112</v>
      </c>
      <c r="K2093" t="n">
        <v>1</v>
      </c>
      <c r="L2093" t="n">
        <v>1574</v>
      </c>
      <c r="M2093" t="n">
        <v>157.4</v>
      </c>
      <c r="N2093">
        <f>VLOOKUP(J2093,Products!$A$2:$C$49,3,FALSE)</f>
        <v/>
      </c>
      <c r="O2093">
        <f>K2093*L2093-M2093</f>
        <v/>
      </c>
      <c r="P2093">
        <f>TEXT(B2093,"yyyy-mm")</f>
        <v/>
      </c>
      <c r="Q2093">
        <f>IF(O2093&gt;=3000,"Large","Small")</f>
        <v/>
      </c>
      <c r="R2093">
        <f>INDEX(Products!$F$2:$F$49,MATCH(J2093,Products!$A$2:$A$49,0))</f>
        <v/>
      </c>
      <c r="S2093">
        <f>WEEKDAY(B2093,2)</f>
        <v/>
      </c>
    </row>
    <row r="2094">
      <c r="A2094" t="n">
        <v>510384</v>
      </c>
      <c r="B2094" s="6" t="n">
        <v>45955</v>
      </c>
      <c r="C2094" t="n">
        <v>16084</v>
      </c>
      <c r="D2094" t="inlineStr">
        <is>
          <t>Hyderabad</t>
        </is>
      </c>
      <c r="E2094" t="inlineStr">
        <is>
          <t>South</t>
        </is>
      </c>
      <c r="F2094" t="inlineStr">
        <is>
          <t>Referral</t>
        </is>
      </c>
      <c r="G2094" t="inlineStr">
        <is>
          <t>Mobile App</t>
        </is>
      </c>
      <c r="H2094" t="inlineStr">
        <is>
          <t>Debit Card</t>
        </is>
      </c>
      <c r="I2094" t="inlineStr">
        <is>
          <t>Delivered</t>
        </is>
      </c>
      <c r="J2094" t="n">
        <v>113</v>
      </c>
      <c r="K2094" t="n">
        <v>1</v>
      </c>
      <c r="L2094" t="n">
        <v>1364</v>
      </c>
      <c r="M2094" t="n">
        <v>136.4</v>
      </c>
      <c r="N2094">
        <f>VLOOKUP(J2094,Products!$A$2:$C$49,3,FALSE)</f>
        <v/>
      </c>
      <c r="O2094">
        <f>K2094*L2094-M2094</f>
        <v/>
      </c>
      <c r="P2094">
        <f>TEXT(B2094,"yyyy-mm")</f>
        <v/>
      </c>
      <c r="Q2094">
        <f>IF(O2094&gt;=3000,"Large","Small")</f>
        <v/>
      </c>
      <c r="R2094">
        <f>INDEX(Products!$F$2:$F$49,MATCH(J2094,Products!$A$2:$A$49,0))</f>
        <v/>
      </c>
      <c r="S2094">
        <f>WEEKDAY(B2094,2)</f>
        <v/>
      </c>
    </row>
    <row r="2095">
      <c r="A2095" t="n">
        <v>510384</v>
      </c>
      <c r="B2095" s="6" t="n">
        <v>45955</v>
      </c>
      <c r="C2095" t="n">
        <v>16084</v>
      </c>
      <c r="D2095" t="inlineStr">
        <is>
          <t>Hyderabad</t>
        </is>
      </c>
      <c r="E2095" t="inlineStr">
        <is>
          <t>South</t>
        </is>
      </c>
      <c r="F2095" t="inlineStr">
        <is>
          <t>Referral</t>
        </is>
      </c>
      <c r="G2095" t="inlineStr">
        <is>
          <t>Mobile App</t>
        </is>
      </c>
      <c r="H2095" t="inlineStr">
        <is>
          <t>Debit Card</t>
        </is>
      </c>
      <c r="I2095" t="inlineStr">
        <is>
          <t>Delivered</t>
        </is>
      </c>
      <c r="J2095" t="n">
        <v>120</v>
      </c>
      <c r="K2095" t="n">
        <v>1</v>
      </c>
      <c r="L2095" t="n">
        <v>734</v>
      </c>
      <c r="M2095" t="n">
        <v>73.40000000000001</v>
      </c>
      <c r="N2095">
        <f>VLOOKUP(J2095,Products!$A$2:$C$49,3,FALSE)</f>
        <v/>
      </c>
      <c r="O2095">
        <f>K2095*L2095-M2095</f>
        <v/>
      </c>
      <c r="P2095">
        <f>TEXT(B2095,"yyyy-mm")</f>
        <v/>
      </c>
      <c r="Q2095">
        <f>IF(O2095&gt;=3000,"Large","Small")</f>
        <v/>
      </c>
      <c r="R2095">
        <f>INDEX(Products!$F$2:$F$49,MATCH(J2095,Products!$A$2:$A$49,0))</f>
        <v/>
      </c>
      <c r="S2095">
        <f>WEEKDAY(B2095,2)</f>
        <v/>
      </c>
    </row>
    <row r="2096">
      <c r="A2096" t="n">
        <v>510384</v>
      </c>
      <c r="B2096" s="6" t="n">
        <v>45955</v>
      </c>
      <c r="C2096" t="n">
        <v>16084</v>
      </c>
      <c r="D2096" t="inlineStr">
        <is>
          <t>Hyderabad</t>
        </is>
      </c>
      <c r="E2096" t="inlineStr">
        <is>
          <t>South</t>
        </is>
      </c>
      <c r="F2096" t="inlineStr">
        <is>
          <t>Referral</t>
        </is>
      </c>
      <c r="G2096" t="inlineStr">
        <is>
          <t>Mobile App</t>
        </is>
      </c>
      <c r="H2096" t="inlineStr">
        <is>
          <t>Debit Card</t>
        </is>
      </c>
      <c r="I2096" t="inlineStr">
        <is>
          <t>Delivered</t>
        </is>
      </c>
      <c r="J2096" t="n">
        <v>129</v>
      </c>
      <c r="K2096" t="n">
        <v>1</v>
      </c>
      <c r="L2096" t="n">
        <v>576</v>
      </c>
      <c r="M2096" t="n">
        <v>57.6</v>
      </c>
      <c r="N2096">
        <f>VLOOKUP(J2096,Products!$A$2:$C$49,3,FALSE)</f>
        <v/>
      </c>
      <c r="O2096">
        <f>K2096*L2096-M2096</f>
        <v/>
      </c>
      <c r="P2096">
        <f>TEXT(B2096,"yyyy-mm")</f>
        <v/>
      </c>
      <c r="Q2096">
        <f>IF(O2096&gt;=3000,"Large","Small")</f>
        <v/>
      </c>
      <c r="R2096">
        <f>INDEX(Products!$F$2:$F$49,MATCH(J2096,Products!$A$2:$A$49,0))</f>
        <v/>
      </c>
      <c r="S2096">
        <f>WEEKDAY(B2096,2)</f>
        <v/>
      </c>
    </row>
    <row r="2097">
      <c r="A2097" t="n">
        <v>510385</v>
      </c>
      <c r="B2097" s="6" t="n">
        <v>45956</v>
      </c>
      <c r="C2097" t="n">
        <v>16807</v>
      </c>
      <c r="D2097" t="inlineStr">
        <is>
          <t>Mumbai</t>
        </is>
      </c>
      <c r="E2097" t="inlineStr">
        <is>
          <t>West</t>
        </is>
      </c>
      <c r="F2097" t="inlineStr">
        <is>
          <t>Paid Search</t>
        </is>
      </c>
      <c r="G2097" t="inlineStr">
        <is>
          <t>Mobile Web</t>
        </is>
      </c>
      <c r="H2097" t="inlineStr">
        <is>
          <t>UPI</t>
        </is>
      </c>
      <c r="I2097" t="inlineStr">
        <is>
          <t>Returned</t>
        </is>
      </c>
      <c r="J2097" t="n">
        <v>104</v>
      </c>
      <c r="K2097" t="n">
        <v>1</v>
      </c>
      <c r="L2097" t="n">
        <v>5249</v>
      </c>
      <c r="M2097" t="n">
        <v>0</v>
      </c>
      <c r="N2097">
        <f>VLOOKUP(J2097,Products!$A$2:$C$49,3,FALSE)</f>
        <v/>
      </c>
      <c r="O2097">
        <f>K2097*L2097-M2097</f>
        <v/>
      </c>
      <c r="P2097">
        <f>TEXT(B2097,"yyyy-mm")</f>
        <v/>
      </c>
      <c r="Q2097">
        <f>IF(O2097&gt;=3000,"Large","Small")</f>
        <v/>
      </c>
      <c r="R2097">
        <f>INDEX(Products!$F$2:$F$49,MATCH(J2097,Products!$A$2:$A$49,0))</f>
        <v/>
      </c>
      <c r="S2097">
        <f>WEEKDAY(B2097,2)</f>
        <v/>
      </c>
    </row>
    <row r="2098">
      <c r="A2098" t="n">
        <v>510385</v>
      </c>
      <c r="B2098" s="6" t="n">
        <v>45956</v>
      </c>
      <c r="C2098" t="n">
        <v>16807</v>
      </c>
      <c r="D2098" t="inlineStr">
        <is>
          <t>Mumbai</t>
        </is>
      </c>
      <c r="E2098" t="inlineStr">
        <is>
          <t>West</t>
        </is>
      </c>
      <c r="F2098" t="inlineStr">
        <is>
          <t>Paid Search</t>
        </is>
      </c>
      <c r="G2098" t="inlineStr">
        <is>
          <t>Mobile Web</t>
        </is>
      </c>
      <c r="H2098" t="inlineStr">
        <is>
          <t>UPI</t>
        </is>
      </c>
      <c r="I2098" t="inlineStr">
        <is>
          <t>Returned</t>
        </is>
      </c>
      <c r="J2098" t="n">
        <v>139</v>
      </c>
      <c r="K2098" t="n">
        <v>1</v>
      </c>
      <c r="L2098" t="n">
        <v>366</v>
      </c>
      <c r="M2098" t="n">
        <v>0</v>
      </c>
      <c r="N2098">
        <f>VLOOKUP(J2098,Products!$A$2:$C$49,3,FALSE)</f>
        <v/>
      </c>
      <c r="O2098">
        <f>K2098*L2098-M2098</f>
        <v/>
      </c>
      <c r="P2098">
        <f>TEXT(B2098,"yyyy-mm")</f>
        <v/>
      </c>
      <c r="Q2098">
        <f>IF(O2098&gt;=3000,"Large","Small")</f>
        <v/>
      </c>
      <c r="R2098">
        <f>INDEX(Products!$F$2:$F$49,MATCH(J2098,Products!$A$2:$A$49,0))</f>
        <v/>
      </c>
      <c r="S2098">
        <f>WEEKDAY(B2098,2)</f>
        <v/>
      </c>
    </row>
    <row r="2099">
      <c r="A2099" t="n">
        <v>510385</v>
      </c>
      <c r="B2099" s="6" t="n">
        <v>45956</v>
      </c>
      <c r="C2099" t="n">
        <v>16807</v>
      </c>
      <c r="D2099" t="inlineStr">
        <is>
          <t>Mumbai</t>
        </is>
      </c>
      <c r="E2099" t="inlineStr">
        <is>
          <t>West</t>
        </is>
      </c>
      <c r="F2099" t="inlineStr">
        <is>
          <t>Paid Search</t>
        </is>
      </c>
      <c r="G2099" t="inlineStr">
        <is>
          <t>Mobile Web</t>
        </is>
      </c>
      <c r="H2099" t="inlineStr">
        <is>
          <t>UPI</t>
        </is>
      </c>
      <c r="I2099" t="inlineStr">
        <is>
          <t>Returned</t>
        </is>
      </c>
      <c r="J2099" t="n">
        <v>107</v>
      </c>
      <c r="K2099" t="n">
        <v>1</v>
      </c>
      <c r="L2099" t="n">
        <v>1259</v>
      </c>
      <c r="M2099" t="n">
        <v>0</v>
      </c>
      <c r="N2099">
        <f>VLOOKUP(J2099,Products!$A$2:$C$49,3,FALSE)</f>
        <v/>
      </c>
      <c r="O2099">
        <f>K2099*L2099-M2099</f>
        <v/>
      </c>
      <c r="P2099">
        <f>TEXT(B2099,"yyyy-mm")</f>
        <v/>
      </c>
      <c r="Q2099">
        <f>IF(O2099&gt;=3000,"Large","Small")</f>
        <v/>
      </c>
      <c r="R2099">
        <f>INDEX(Products!$F$2:$F$49,MATCH(J2099,Products!$A$2:$A$49,0))</f>
        <v/>
      </c>
      <c r="S2099">
        <f>WEEKDAY(B2099,2)</f>
        <v/>
      </c>
    </row>
    <row r="2100">
      <c r="A2100" t="n">
        <v>510386</v>
      </c>
      <c r="B2100" s="6" t="n">
        <v>45956</v>
      </c>
      <c r="C2100" t="n">
        <v>17010</v>
      </c>
      <c r="D2100" t="inlineStr">
        <is>
          <t>Chandigarh</t>
        </is>
      </c>
      <c r="E2100" t="inlineStr">
        <is>
          <t>North</t>
        </is>
      </c>
      <c r="F2100" t="inlineStr">
        <is>
          <t>Paid Search</t>
        </is>
      </c>
      <c r="G2100" t="inlineStr">
        <is>
          <t>Mobile Web</t>
        </is>
      </c>
      <c r="H2100" t="inlineStr">
        <is>
          <t>Cash on Delivery</t>
        </is>
      </c>
      <c r="I2100" t="inlineStr">
        <is>
          <t>Delivered</t>
        </is>
      </c>
      <c r="J2100" t="n">
        <v>126</v>
      </c>
      <c r="K2100" t="n">
        <v>2</v>
      </c>
      <c r="L2100" t="n">
        <v>471</v>
      </c>
      <c r="M2100" t="n">
        <v>0</v>
      </c>
      <c r="N2100">
        <f>VLOOKUP(J2100,Products!$A$2:$C$49,3,FALSE)</f>
        <v/>
      </c>
      <c r="O2100">
        <f>K2100*L2100-M2100</f>
        <v/>
      </c>
      <c r="P2100">
        <f>TEXT(B2100,"yyyy-mm")</f>
        <v/>
      </c>
      <c r="Q2100">
        <f>IF(O2100&gt;=3000,"Large","Small")</f>
        <v/>
      </c>
      <c r="R2100">
        <f>INDEX(Products!$F$2:$F$49,MATCH(J2100,Products!$A$2:$A$49,0))</f>
        <v/>
      </c>
      <c r="S2100">
        <f>WEEKDAY(B2100,2)</f>
        <v/>
      </c>
    </row>
    <row r="2101">
      <c r="A2101" t="n">
        <v>510386</v>
      </c>
      <c r="B2101" s="6" t="n">
        <v>45956</v>
      </c>
      <c r="C2101" t="n">
        <v>17010</v>
      </c>
      <c r="D2101" t="inlineStr">
        <is>
          <t>Chandigarh</t>
        </is>
      </c>
      <c r="E2101" t="inlineStr">
        <is>
          <t>North</t>
        </is>
      </c>
      <c r="F2101" t="inlineStr">
        <is>
          <t>Paid Search</t>
        </is>
      </c>
      <c r="G2101" t="inlineStr">
        <is>
          <t>Mobile Web</t>
        </is>
      </c>
      <c r="H2101" t="inlineStr">
        <is>
          <t>Cash on Delivery</t>
        </is>
      </c>
      <c r="I2101" t="inlineStr">
        <is>
          <t>Delivered</t>
        </is>
      </c>
      <c r="J2101" t="n">
        <v>110</v>
      </c>
      <c r="K2101" t="n">
        <v>1</v>
      </c>
      <c r="L2101" t="n">
        <v>839</v>
      </c>
      <c r="M2101" t="n">
        <v>0</v>
      </c>
      <c r="N2101">
        <f>VLOOKUP(J2101,Products!$A$2:$C$49,3,FALSE)</f>
        <v/>
      </c>
      <c r="O2101">
        <f>K2101*L2101-M2101</f>
        <v/>
      </c>
      <c r="P2101">
        <f>TEXT(B2101,"yyyy-mm")</f>
        <v/>
      </c>
      <c r="Q2101">
        <f>IF(O2101&gt;=3000,"Large","Small")</f>
        <v/>
      </c>
      <c r="R2101">
        <f>INDEX(Products!$F$2:$F$49,MATCH(J2101,Products!$A$2:$A$49,0))</f>
        <v/>
      </c>
      <c r="S2101">
        <f>WEEKDAY(B2101,2)</f>
        <v/>
      </c>
    </row>
    <row r="2102">
      <c r="A2102" t="n">
        <v>510387</v>
      </c>
      <c r="B2102" s="6" t="n">
        <v>45956</v>
      </c>
      <c r="C2102" t="n">
        <v>16954</v>
      </c>
      <c r="D2102" t="inlineStr">
        <is>
          <t>Hyderabad</t>
        </is>
      </c>
      <c r="E2102" t="inlineStr">
        <is>
          <t>South</t>
        </is>
      </c>
      <c r="F2102" t="inlineStr">
        <is>
          <t>Affiliate</t>
        </is>
      </c>
      <c r="G2102" t="inlineStr">
        <is>
          <t>Mobile App</t>
        </is>
      </c>
      <c r="H2102" t="inlineStr">
        <is>
          <t>UPI</t>
        </is>
      </c>
      <c r="I2102" t="inlineStr">
        <is>
          <t>Delivered</t>
        </is>
      </c>
      <c r="J2102" t="n">
        <v>142</v>
      </c>
      <c r="K2102" t="n">
        <v>1</v>
      </c>
      <c r="L2102" t="n">
        <v>839</v>
      </c>
      <c r="M2102" t="n">
        <v>125.85</v>
      </c>
      <c r="N2102">
        <f>VLOOKUP(J2102,Products!$A$2:$C$49,3,FALSE)</f>
        <v/>
      </c>
      <c r="O2102">
        <f>K2102*L2102-M2102</f>
        <v/>
      </c>
      <c r="P2102">
        <f>TEXT(B2102,"yyyy-mm")</f>
        <v/>
      </c>
      <c r="Q2102">
        <f>IF(O2102&gt;=3000,"Large","Small")</f>
        <v/>
      </c>
      <c r="R2102">
        <f>INDEX(Products!$F$2:$F$49,MATCH(J2102,Products!$A$2:$A$49,0))</f>
        <v/>
      </c>
      <c r="S2102">
        <f>WEEKDAY(B2102,2)</f>
        <v/>
      </c>
    </row>
    <row r="2103">
      <c r="A2103" t="n">
        <v>510387</v>
      </c>
      <c r="B2103" s="6" t="n">
        <v>45956</v>
      </c>
      <c r="C2103" t="n">
        <v>16954</v>
      </c>
      <c r="D2103" t="inlineStr">
        <is>
          <t>Hyderabad</t>
        </is>
      </c>
      <c r="E2103" t="inlineStr">
        <is>
          <t>South</t>
        </is>
      </c>
      <c r="F2103" t="inlineStr">
        <is>
          <t>Affiliate</t>
        </is>
      </c>
      <c r="G2103" t="inlineStr">
        <is>
          <t>Mobile App</t>
        </is>
      </c>
      <c r="H2103" t="inlineStr">
        <is>
          <t>UPI</t>
        </is>
      </c>
      <c r="I2103" t="inlineStr">
        <is>
          <t>Delivered</t>
        </is>
      </c>
      <c r="J2103" t="n">
        <v>132</v>
      </c>
      <c r="K2103" t="n">
        <v>2</v>
      </c>
      <c r="L2103" t="n">
        <v>471</v>
      </c>
      <c r="M2103" t="n">
        <v>141.3</v>
      </c>
      <c r="N2103">
        <f>VLOOKUP(J2103,Products!$A$2:$C$49,3,FALSE)</f>
        <v/>
      </c>
      <c r="O2103">
        <f>K2103*L2103-M2103</f>
        <v/>
      </c>
      <c r="P2103">
        <f>TEXT(B2103,"yyyy-mm")</f>
        <v/>
      </c>
      <c r="Q2103">
        <f>IF(O2103&gt;=3000,"Large","Small")</f>
        <v/>
      </c>
      <c r="R2103">
        <f>INDEX(Products!$F$2:$F$49,MATCH(J2103,Products!$A$2:$A$49,0))</f>
        <v/>
      </c>
      <c r="S2103">
        <f>WEEKDAY(B2103,2)</f>
        <v/>
      </c>
    </row>
    <row r="2104">
      <c r="A2104" t="n">
        <v>510388</v>
      </c>
      <c r="B2104" s="6" t="n">
        <v>45956</v>
      </c>
      <c r="C2104" t="n">
        <v>17024</v>
      </c>
      <c r="D2104" t="inlineStr">
        <is>
          <t>Delhi</t>
        </is>
      </c>
      <c r="E2104" t="inlineStr">
        <is>
          <t>North</t>
        </is>
      </c>
      <c r="F2104" t="inlineStr">
        <is>
          <t>Organic Search</t>
        </is>
      </c>
      <c r="G2104" t="inlineStr">
        <is>
          <t>Mobile Web</t>
        </is>
      </c>
      <c r="H2104" t="inlineStr">
        <is>
          <t>UPI</t>
        </is>
      </c>
      <c r="I2104" t="inlineStr">
        <is>
          <t>Delivered</t>
        </is>
      </c>
      <c r="J2104" t="n">
        <v>128</v>
      </c>
      <c r="K2104" t="n">
        <v>1</v>
      </c>
      <c r="L2104" t="n">
        <v>1049</v>
      </c>
      <c r="M2104" t="n">
        <v>157.35</v>
      </c>
      <c r="N2104">
        <f>VLOOKUP(J2104,Products!$A$2:$C$49,3,FALSE)</f>
        <v/>
      </c>
      <c r="O2104">
        <f>K2104*L2104-M2104</f>
        <v/>
      </c>
      <c r="P2104">
        <f>TEXT(B2104,"yyyy-mm")</f>
        <v/>
      </c>
      <c r="Q2104">
        <f>IF(O2104&gt;=3000,"Large","Small")</f>
        <v/>
      </c>
      <c r="R2104">
        <f>INDEX(Products!$F$2:$F$49,MATCH(J2104,Products!$A$2:$A$49,0))</f>
        <v/>
      </c>
      <c r="S2104">
        <f>WEEKDAY(B2104,2)</f>
        <v/>
      </c>
    </row>
    <row r="2105">
      <c r="A2105" t="n">
        <v>510389</v>
      </c>
      <c r="B2105" s="6" t="n">
        <v>45956</v>
      </c>
      <c r="C2105" t="n">
        <v>16949</v>
      </c>
      <c r="D2105" t="inlineStr">
        <is>
          <t>Bengaluru</t>
        </is>
      </c>
      <c r="E2105" t="inlineStr">
        <is>
          <t>South</t>
        </is>
      </c>
      <c r="F2105" t="inlineStr">
        <is>
          <t>Organic Search</t>
        </is>
      </c>
      <c r="G2105" t="inlineStr">
        <is>
          <t>Mobile Web</t>
        </is>
      </c>
      <c r="H2105" t="inlineStr">
        <is>
          <t>Net Banking</t>
        </is>
      </c>
      <c r="I2105" t="inlineStr">
        <is>
          <t>Delivered</t>
        </is>
      </c>
      <c r="J2105" t="n">
        <v>111</v>
      </c>
      <c r="K2105" t="n">
        <v>1</v>
      </c>
      <c r="L2105" t="n">
        <v>524</v>
      </c>
      <c r="M2105" t="n">
        <v>0</v>
      </c>
      <c r="N2105">
        <f>VLOOKUP(J2105,Products!$A$2:$C$49,3,FALSE)</f>
        <v/>
      </c>
      <c r="O2105">
        <f>K2105*L2105-M2105</f>
        <v/>
      </c>
      <c r="P2105">
        <f>TEXT(B2105,"yyyy-mm")</f>
        <v/>
      </c>
      <c r="Q2105">
        <f>IF(O2105&gt;=3000,"Large","Small")</f>
        <v/>
      </c>
      <c r="R2105">
        <f>INDEX(Products!$F$2:$F$49,MATCH(J2105,Products!$A$2:$A$49,0))</f>
        <v/>
      </c>
      <c r="S2105">
        <f>WEEKDAY(B2105,2)</f>
        <v/>
      </c>
    </row>
    <row r="2106">
      <c r="A2106" t="n">
        <v>510389</v>
      </c>
      <c r="B2106" s="6" t="n">
        <v>45956</v>
      </c>
      <c r="C2106" t="n">
        <v>16949</v>
      </c>
      <c r="D2106" t="inlineStr">
        <is>
          <t>Bengaluru</t>
        </is>
      </c>
      <c r="E2106" t="inlineStr">
        <is>
          <t>South</t>
        </is>
      </c>
      <c r="F2106" t="inlineStr">
        <is>
          <t>Organic Search</t>
        </is>
      </c>
      <c r="G2106" t="inlineStr">
        <is>
          <t>Mobile Web</t>
        </is>
      </c>
      <c r="H2106" t="inlineStr">
        <is>
          <t>Net Banking</t>
        </is>
      </c>
      <c r="I2106" t="inlineStr">
        <is>
          <t>Delivered</t>
        </is>
      </c>
      <c r="J2106" t="n">
        <v>115</v>
      </c>
      <c r="K2106" t="n">
        <v>1</v>
      </c>
      <c r="L2106" t="n">
        <v>4199</v>
      </c>
      <c r="M2106" t="n">
        <v>0</v>
      </c>
      <c r="N2106">
        <f>VLOOKUP(J2106,Products!$A$2:$C$49,3,FALSE)</f>
        <v/>
      </c>
      <c r="O2106">
        <f>K2106*L2106-M2106</f>
        <v/>
      </c>
      <c r="P2106">
        <f>TEXT(B2106,"yyyy-mm")</f>
        <v/>
      </c>
      <c r="Q2106">
        <f>IF(O2106&gt;=3000,"Large","Small")</f>
        <v/>
      </c>
      <c r="R2106">
        <f>INDEX(Products!$F$2:$F$49,MATCH(J2106,Products!$A$2:$A$49,0))</f>
        <v/>
      </c>
      <c r="S2106">
        <f>WEEKDAY(B2106,2)</f>
        <v/>
      </c>
    </row>
    <row r="2107">
      <c r="A2107" t="n">
        <v>510390</v>
      </c>
      <c r="B2107" s="6" t="n">
        <v>45956</v>
      </c>
      <c r="C2107" t="n">
        <v>16776</v>
      </c>
      <c r="D2107" t="inlineStr">
        <is>
          <t>Ahmedabad</t>
        </is>
      </c>
      <c r="E2107" t="inlineStr">
        <is>
          <t>West</t>
        </is>
      </c>
      <c r="F2107" t="inlineStr">
        <is>
          <t>Paid Social</t>
        </is>
      </c>
      <c r="G2107" t="inlineStr">
        <is>
          <t>Mobile Web</t>
        </is>
      </c>
      <c r="H2107" t="inlineStr">
        <is>
          <t>UPI</t>
        </is>
      </c>
      <c r="I2107" t="inlineStr">
        <is>
          <t>Delivered</t>
        </is>
      </c>
      <c r="J2107" t="n">
        <v>135</v>
      </c>
      <c r="K2107" t="n">
        <v>1</v>
      </c>
      <c r="L2107" t="n">
        <v>1574</v>
      </c>
      <c r="M2107" t="n">
        <v>78.7</v>
      </c>
      <c r="N2107">
        <f>VLOOKUP(J2107,Products!$A$2:$C$49,3,FALSE)</f>
        <v/>
      </c>
      <c r="O2107">
        <f>K2107*L2107-M2107</f>
        <v/>
      </c>
      <c r="P2107">
        <f>TEXT(B2107,"yyyy-mm")</f>
        <v/>
      </c>
      <c r="Q2107">
        <f>IF(O2107&gt;=3000,"Large","Small")</f>
        <v/>
      </c>
      <c r="R2107">
        <f>INDEX(Products!$F$2:$F$49,MATCH(J2107,Products!$A$2:$A$49,0))</f>
        <v/>
      </c>
      <c r="S2107">
        <f>WEEKDAY(B2107,2)</f>
        <v/>
      </c>
    </row>
    <row r="2108">
      <c r="A2108" t="n">
        <v>510391</v>
      </c>
      <c r="B2108" s="6" t="n">
        <v>45956</v>
      </c>
      <c r="C2108" t="n">
        <v>13940</v>
      </c>
      <c r="D2108" t="inlineStr">
        <is>
          <t>Mumbai</t>
        </is>
      </c>
      <c r="E2108" t="inlineStr">
        <is>
          <t>West</t>
        </is>
      </c>
      <c r="F2108" t="inlineStr">
        <is>
          <t>Paid Social</t>
        </is>
      </c>
      <c r="G2108" t="inlineStr">
        <is>
          <t>Mobile App</t>
        </is>
      </c>
      <c r="H2108" t="inlineStr">
        <is>
          <t>Debit Card</t>
        </is>
      </c>
      <c r="I2108" t="inlineStr">
        <is>
          <t>Delivered</t>
        </is>
      </c>
      <c r="J2108" t="n">
        <v>146</v>
      </c>
      <c r="K2108" t="n">
        <v>1</v>
      </c>
      <c r="L2108" t="n">
        <v>4724</v>
      </c>
      <c r="M2108" t="n">
        <v>0</v>
      </c>
      <c r="N2108">
        <f>VLOOKUP(J2108,Products!$A$2:$C$49,3,FALSE)</f>
        <v/>
      </c>
      <c r="O2108">
        <f>K2108*L2108-M2108</f>
        <v/>
      </c>
      <c r="P2108">
        <f>TEXT(B2108,"yyyy-mm")</f>
        <v/>
      </c>
      <c r="Q2108">
        <f>IF(O2108&gt;=3000,"Large","Small")</f>
        <v/>
      </c>
      <c r="R2108">
        <f>INDEX(Products!$F$2:$F$49,MATCH(J2108,Products!$A$2:$A$49,0))</f>
        <v/>
      </c>
      <c r="S2108">
        <f>WEEKDAY(B2108,2)</f>
        <v/>
      </c>
    </row>
    <row r="2109">
      <c r="A2109" t="n">
        <v>510392</v>
      </c>
      <c r="B2109" s="6" t="n">
        <v>45956</v>
      </c>
      <c r="C2109" t="n">
        <v>10696</v>
      </c>
      <c r="D2109" t="inlineStr">
        <is>
          <t>Gurugram</t>
        </is>
      </c>
      <c r="E2109" t="inlineStr">
        <is>
          <t>North</t>
        </is>
      </c>
      <c r="F2109" t="inlineStr">
        <is>
          <t>Referral</t>
        </is>
      </c>
      <c r="G2109" t="inlineStr">
        <is>
          <t>Mobile App</t>
        </is>
      </c>
      <c r="H2109" t="inlineStr">
        <is>
          <t>UPI</t>
        </is>
      </c>
      <c r="I2109" t="inlineStr">
        <is>
          <t>Delivered</t>
        </is>
      </c>
      <c r="J2109" t="n">
        <v>114</v>
      </c>
      <c r="K2109" t="n">
        <v>1</v>
      </c>
      <c r="L2109" t="n">
        <v>1259</v>
      </c>
      <c r="M2109" t="n">
        <v>0</v>
      </c>
      <c r="N2109">
        <f>VLOOKUP(J2109,Products!$A$2:$C$49,3,FALSE)</f>
        <v/>
      </c>
      <c r="O2109">
        <f>K2109*L2109-M2109</f>
        <v/>
      </c>
      <c r="P2109">
        <f>TEXT(B2109,"yyyy-mm")</f>
        <v/>
      </c>
      <c r="Q2109">
        <f>IF(O2109&gt;=3000,"Large","Small")</f>
        <v/>
      </c>
      <c r="R2109">
        <f>INDEX(Products!$F$2:$F$49,MATCH(J2109,Products!$A$2:$A$49,0))</f>
        <v/>
      </c>
      <c r="S2109">
        <f>WEEKDAY(B2109,2)</f>
        <v/>
      </c>
    </row>
    <row r="2110">
      <c r="A2110" t="n">
        <v>510392</v>
      </c>
      <c r="B2110" s="6" t="n">
        <v>45956</v>
      </c>
      <c r="C2110" t="n">
        <v>10696</v>
      </c>
      <c r="D2110" t="inlineStr">
        <is>
          <t>Gurugram</t>
        </is>
      </c>
      <c r="E2110" t="inlineStr">
        <is>
          <t>North</t>
        </is>
      </c>
      <c r="F2110" t="inlineStr">
        <is>
          <t>Referral</t>
        </is>
      </c>
      <c r="G2110" t="inlineStr">
        <is>
          <t>Mobile App</t>
        </is>
      </c>
      <c r="H2110" t="inlineStr">
        <is>
          <t>UPI</t>
        </is>
      </c>
      <c r="I2110" t="inlineStr">
        <is>
          <t>Delivered</t>
        </is>
      </c>
      <c r="J2110" t="n">
        <v>126</v>
      </c>
      <c r="K2110" t="n">
        <v>1</v>
      </c>
      <c r="L2110" t="n">
        <v>471</v>
      </c>
      <c r="M2110" t="n">
        <v>0</v>
      </c>
      <c r="N2110">
        <f>VLOOKUP(J2110,Products!$A$2:$C$49,3,FALSE)</f>
        <v/>
      </c>
      <c r="O2110">
        <f>K2110*L2110-M2110</f>
        <v/>
      </c>
      <c r="P2110">
        <f>TEXT(B2110,"yyyy-mm")</f>
        <v/>
      </c>
      <c r="Q2110">
        <f>IF(O2110&gt;=3000,"Large","Small")</f>
        <v/>
      </c>
      <c r="R2110">
        <f>INDEX(Products!$F$2:$F$49,MATCH(J2110,Products!$A$2:$A$49,0))</f>
        <v/>
      </c>
      <c r="S2110">
        <f>WEEKDAY(B2110,2)</f>
        <v/>
      </c>
    </row>
    <row r="2111">
      <c r="A2111" t="n">
        <v>510393</v>
      </c>
      <c r="B2111" s="6" t="n">
        <v>45956</v>
      </c>
      <c r="C2111" t="n">
        <v>14573</v>
      </c>
      <c r="D2111" t="inlineStr">
        <is>
          <t>Delhi</t>
        </is>
      </c>
      <c r="E2111" t="inlineStr">
        <is>
          <t>North</t>
        </is>
      </c>
      <c r="F2111" t="inlineStr">
        <is>
          <t>Email</t>
        </is>
      </c>
      <c r="G2111" t="inlineStr">
        <is>
          <t>Mobile Web</t>
        </is>
      </c>
      <c r="H2111" t="inlineStr">
        <is>
          <t>UPI</t>
        </is>
      </c>
      <c r="I2111" t="inlineStr">
        <is>
          <t>Delivered</t>
        </is>
      </c>
      <c r="J2111" t="n">
        <v>109</v>
      </c>
      <c r="K2111" t="n">
        <v>1</v>
      </c>
      <c r="L2111" t="n">
        <v>4199</v>
      </c>
      <c r="M2111" t="n">
        <v>0</v>
      </c>
      <c r="N2111">
        <f>VLOOKUP(J2111,Products!$A$2:$C$49,3,FALSE)</f>
        <v/>
      </c>
      <c r="O2111">
        <f>K2111*L2111-M2111</f>
        <v/>
      </c>
      <c r="P2111">
        <f>TEXT(B2111,"yyyy-mm")</f>
        <v/>
      </c>
      <c r="Q2111">
        <f>IF(O2111&gt;=3000,"Large","Small")</f>
        <v/>
      </c>
      <c r="R2111">
        <f>INDEX(Products!$F$2:$F$49,MATCH(J2111,Products!$A$2:$A$49,0))</f>
        <v/>
      </c>
      <c r="S2111">
        <f>WEEKDAY(B2111,2)</f>
        <v/>
      </c>
    </row>
    <row r="2112">
      <c r="A2112" t="n">
        <v>510394</v>
      </c>
      <c r="B2112" s="6" t="n">
        <v>45956</v>
      </c>
      <c r="C2112" t="n">
        <v>16719</v>
      </c>
      <c r="D2112" t="inlineStr">
        <is>
          <t>Jaipur</t>
        </is>
      </c>
      <c r="E2112" t="inlineStr">
        <is>
          <t>North</t>
        </is>
      </c>
      <c r="F2112" t="inlineStr">
        <is>
          <t>Paid Search</t>
        </is>
      </c>
      <c r="G2112" t="inlineStr">
        <is>
          <t>Mobile App</t>
        </is>
      </c>
      <c r="H2112" t="inlineStr">
        <is>
          <t>Debit Card</t>
        </is>
      </c>
      <c r="I2112" t="inlineStr">
        <is>
          <t>Delivered</t>
        </is>
      </c>
      <c r="J2112" t="n">
        <v>106</v>
      </c>
      <c r="K2112" t="n">
        <v>1</v>
      </c>
      <c r="L2112" t="n">
        <v>1574</v>
      </c>
      <c r="M2112" t="n">
        <v>0</v>
      </c>
      <c r="N2112">
        <f>VLOOKUP(J2112,Products!$A$2:$C$49,3,FALSE)</f>
        <v/>
      </c>
      <c r="O2112">
        <f>K2112*L2112-M2112</f>
        <v/>
      </c>
      <c r="P2112">
        <f>TEXT(B2112,"yyyy-mm")</f>
        <v/>
      </c>
      <c r="Q2112">
        <f>IF(O2112&gt;=3000,"Large","Small")</f>
        <v/>
      </c>
      <c r="R2112">
        <f>INDEX(Products!$F$2:$F$49,MATCH(J2112,Products!$A$2:$A$49,0))</f>
        <v/>
      </c>
      <c r="S2112">
        <f>WEEKDAY(B2112,2)</f>
        <v/>
      </c>
    </row>
    <row r="2113">
      <c r="A2113" t="n">
        <v>510394</v>
      </c>
      <c r="B2113" s="6" t="n">
        <v>45956</v>
      </c>
      <c r="C2113" t="n">
        <v>16719</v>
      </c>
      <c r="D2113" t="inlineStr">
        <is>
          <t>Jaipur</t>
        </is>
      </c>
      <c r="E2113" t="inlineStr">
        <is>
          <t>North</t>
        </is>
      </c>
      <c r="F2113" t="inlineStr">
        <is>
          <t>Paid Search</t>
        </is>
      </c>
      <c r="G2113" t="inlineStr">
        <is>
          <t>Mobile App</t>
        </is>
      </c>
      <c r="H2113" t="inlineStr">
        <is>
          <t>Debit Card</t>
        </is>
      </c>
      <c r="I2113" t="inlineStr">
        <is>
          <t>Delivered</t>
        </is>
      </c>
      <c r="J2113" t="n">
        <v>122</v>
      </c>
      <c r="K2113" t="n">
        <v>1</v>
      </c>
      <c r="L2113" t="n">
        <v>1994</v>
      </c>
      <c r="M2113" t="n">
        <v>0</v>
      </c>
      <c r="N2113">
        <f>VLOOKUP(J2113,Products!$A$2:$C$49,3,FALSE)</f>
        <v/>
      </c>
      <c r="O2113">
        <f>K2113*L2113-M2113</f>
        <v/>
      </c>
      <c r="P2113">
        <f>TEXT(B2113,"yyyy-mm")</f>
        <v/>
      </c>
      <c r="Q2113">
        <f>IF(O2113&gt;=3000,"Large","Small")</f>
        <v/>
      </c>
      <c r="R2113">
        <f>INDEX(Products!$F$2:$F$49,MATCH(J2113,Products!$A$2:$A$49,0))</f>
        <v/>
      </c>
      <c r="S2113">
        <f>WEEKDAY(B2113,2)</f>
        <v/>
      </c>
    </row>
    <row r="2114">
      <c r="A2114" t="n">
        <v>510394</v>
      </c>
      <c r="B2114" s="6" t="n">
        <v>45956</v>
      </c>
      <c r="C2114" t="n">
        <v>16719</v>
      </c>
      <c r="D2114" t="inlineStr">
        <is>
          <t>Jaipur</t>
        </is>
      </c>
      <c r="E2114" t="inlineStr">
        <is>
          <t>North</t>
        </is>
      </c>
      <c r="F2114" t="inlineStr">
        <is>
          <t>Paid Search</t>
        </is>
      </c>
      <c r="G2114" t="inlineStr">
        <is>
          <t>Mobile App</t>
        </is>
      </c>
      <c r="H2114" t="inlineStr">
        <is>
          <t>Debit Card</t>
        </is>
      </c>
      <c r="I2114" t="inlineStr">
        <is>
          <t>Delivered</t>
        </is>
      </c>
      <c r="J2114" t="n">
        <v>134</v>
      </c>
      <c r="K2114" t="n">
        <v>1</v>
      </c>
      <c r="L2114" t="n">
        <v>209</v>
      </c>
      <c r="M2114" t="n">
        <v>0</v>
      </c>
      <c r="N2114">
        <f>VLOOKUP(J2114,Products!$A$2:$C$49,3,FALSE)</f>
        <v/>
      </c>
      <c r="O2114">
        <f>K2114*L2114-M2114</f>
        <v/>
      </c>
      <c r="P2114">
        <f>TEXT(B2114,"yyyy-mm")</f>
        <v/>
      </c>
      <c r="Q2114">
        <f>IF(O2114&gt;=3000,"Large","Small")</f>
        <v/>
      </c>
      <c r="R2114">
        <f>INDEX(Products!$F$2:$F$49,MATCH(J2114,Products!$A$2:$A$49,0))</f>
        <v/>
      </c>
      <c r="S2114">
        <f>WEEKDAY(B2114,2)</f>
        <v/>
      </c>
    </row>
    <row r="2115">
      <c r="A2115" t="n">
        <v>510395</v>
      </c>
      <c r="B2115" s="6" t="n">
        <v>45956</v>
      </c>
      <c r="C2115" t="n">
        <v>17014</v>
      </c>
      <c r="D2115" t="inlineStr">
        <is>
          <t>Bengaluru</t>
        </is>
      </c>
      <c r="E2115" t="inlineStr">
        <is>
          <t>South</t>
        </is>
      </c>
      <c r="F2115" t="inlineStr">
        <is>
          <t>Organic Search</t>
        </is>
      </c>
      <c r="G2115" t="inlineStr">
        <is>
          <t>Desktop</t>
        </is>
      </c>
      <c r="H2115" t="inlineStr">
        <is>
          <t>UPI</t>
        </is>
      </c>
      <c r="I2115" t="inlineStr">
        <is>
          <t>Delivered</t>
        </is>
      </c>
      <c r="J2115" t="n">
        <v>116</v>
      </c>
      <c r="K2115" t="n">
        <v>1</v>
      </c>
      <c r="L2115" t="n">
        <v>2624</v>
      </c>
      <c r="M2115" t="n">
        <v>0</v>
      </c>
      <c r="N2115">
        <f>VLOOKUP(J2115,Products!$A$2:$C$49,3,FALSE)</f>
        <v/>
      </c>
      <c r="O2115">
        <f>K2115*L2115-M2115</f>
        <v/>
      </c>
      <c r="P2115">
        <f>TEXT(B2115,"yyyy-mm")</f>
        <v/>
      </c>
      <c r="Q2115">
        <f>IF(O2115&gt;=3000,"Large","Small")</f>
        <v/>
      </c>
      <c r="R2115">
        <f>INDEX(Products!$F$2:$F$49,MATCH(J2115,Products!$A$2:$A$49,0))</f>
        <v/>
      </c>
      <c r="S2115">
        <f>WEEKDAY(B2115,2)</f>
        <v/>
      </c>
    </row>
    <row r="2116">
      <c r="A2116" t="n">
        <v>510396</v>
      </c>
      <c r="B2116" s="6" t="n">
        <v>45956</v>
      </c>
      <c r="C2116" t="n">
        <v>16857</v>
      </c>
      <c r="D2116" t="inlineStr">
        <is>
          <t>Mumbai</t>
        </is>
      </c>
      <c r="E2116" t="inlineStr">
        <is>
          <t>West</t>
        </is>
      </c>
      <c r="F2116" t="inlineStr">
        <is>
          <t>Organic Search</t>
        </is>
      </c>
      <c r="G2116" t="inlineStr">
        <is>
          <t>Mobile App</t>
        </is>
      </c>
      <c r="H2116" t="inlineStr">
        <is>
          <t>Credit Card</t>
        </is>
      </c>
      <c r="I2116" t="inlineStr">
        <is>
          <t>Delivered</t>
        </is>
      </c>
      <c r="J2116" t="n">
        <v>101</v>
      </c>
      <c r="K2116" t="n">
        <v>1</v>
      </c>
      <c r="L2116" t="n">
        <v>2099</v>
      </c>
      <c r="M2116" t="n">
        <v>314.85</v>
      </c>
      <c r="N2116">
        <f>VLOOKUP(J2116,Products!$A$2:$C$49,3,FALSE)</f>
        <v/>
      </c>
      <c r="O2116">
        <f>K2116*L2116-M2116</f>
        <v/>
      </c>
      <c r="P2116">
        <f>TEXT(B2116,"yyyy-mm")</f>
        <v/>
      </c>
      <c r="Q2116">
        <f>IF(O2116&gt;=3000,"Large","Small")</f>
        <v/>
      </c>
      <c r="R2116">
        <f>INDEX(Products!$F$2:$F$49,MATCH(J2116,Products!$A$2:$A$49,0))</f>
        <v/>
      </c>
      <c r="S2116">
        <f>WEEKDAY(B2116,2)</f>
        <v/>
      </c>
    </row>
    <row r="2117">
      <c r="A2117" t="n">
        <v>510397</v>
      </c>
      <c r="B2117" s="6" t="n">
        <v>45956</v>
      </c>
      <c r="C2117" t="n">
        <v>16313</v>
      </c>
      <c r="D2117" t="inlineStr">
        <is>
          <t>Pune</t>
        </is>
      </c>
      <c r="E2117" t="inlineStr">
        <is>
          <t>West</t>
        </is>
      </c>
      <c r="F2117" t="inlineStr">
        <is>
          <t>Organic Search</t>
        </is>
      </c>
      <c r="G2117" t="inlineStr">
        <is>
          <t>Mobile App</t>
        </is>
      </c>
      <c r="H2117" t="inlineStr">
        <is>
          <t>UPI</t>
        </is>
      </c>
      <c r="I2117" t="inlineStr">
        <is>
          <t>Delivered</t>
        </is>
      </c>
      <c r="J2117" t="n">
        <v>111</v>
      </c>
      <c r="K2117" t="n">
        <v>1</v>
      </c>
      <c r="L2117" t="n">
        <v>524</v>
      </c>
      <c r="M2117" t="n">
        <v>0</v>
      </c>
      <c r="N2117">
        <f>VLOOKUP(J2117,Products!$A$2:$C$49,3,FALSE)</f>
        <v/>
      </c>
      <c r="O2117">
        <f>K2117*L2117-M2117</f>
        <v/>
      </c>
      <c r="P2117">
        <f>TEXT(B2117,"yyyy-mm")</f>
        <v/>
      </c>
      <c r="Q2117">
        <f>IF(O2117&gt;=3000,"Large","Small")</f>
        <v/>
      </c>
      <c r="R2117">
        <f>INDEX(Products!$F$2:$F$49,MATCH(J2117,Products!$A$2:$A$49,0))</f>
        <v/>
      </c>
      <c r="S2117">
        <f>WEEKDAY(B2117,2)</f>
        <v/>
      </c>
    </row>
    <row r="2118">
      <c r="A2118" t="n">
        <v>510398</v>
      </c>
      <c r="B2118" s="6" t="n">
        <v>45956</v>
      </c>
      <c r="C2118" t="n">
        <v>16455</v>
      </c>
      <c r="D2118" t="inlineStr">
        <is>
          <t>Chennai</t>
        </is>
      </c>
      <c r="E2118" t="inlineStr">
        <is>
          <t>South</t>
        </is>
      </c>
      <c r="F2118" t="inlineStr">
        <is>
          <t>Organic Search</t>
        </is>
      </c>
      <c r="G2118" t="inlineStr">
        <is>
          <t>Mobile App</t>
        </is>
      </c>
      <c r="H2118" t="inlineStr">
        <is>
          <t>Net Banking</t>
        </is>
      </c>
      <c r="I2118" t="inlineStr">
        <is>
          <t>Delivered</t>
        </is>
      </c>
      <c r="J2118" t="n">
        <v>107</v>
      </c>
      <c r="K2118" t="n">
        <v>1</v>
      </c>
      <c r="L2118" t="n">
        <v>1259</v>
      </c>
      <c r="M2118" t="n">
        <v>0</v>
      </c>
      <c r="N2118">
        <f>VLOOKUP(J2118,Products!$A$2:$C$49,3,FALSE)</f>
        <v/>
      </c>
      <c r="O2118">
        <f>K2118*L2118-M2118</f>
        <v/>
      </c>
      <c r="P2118">
        <f>TEXT(B2118,"yyyy-mm")</f>
        <v/>
      </c>
      <c r="Q2118">
        <f>IF(O2118&gt;=3000,"Large","Small")</f>
        <v/>
      </c>
      <c r="R2118">
        <f>INDEX(Products!$F$2:$F$49,MATCH(J2118,Products!$A$2:$A$49,0))</f>
        <v/>
      </c>
      <c r="S2118">
        <f>WEEKDAY(B2118,2)</f>
        <v/>
      </c>
    </row>
    <row r="2119">
      <c r="A2119" t="n">
        <v>510398</v>
      </c>
      <c r="B2119" s="6" t="n">
        <v>45956</v>
      </c>
      <c r="C2119" t="n">
        <v>16455</v>
      </c>
      <c r="D2119" t="inlineStr">
        <is>
          <t>Chennai</t>
        </is>
      </c>
      <c r="E2119" t="inlineStr">
        <is>
          <t>South</t>
        </is>
      </c>
      <c r="F2119" t="inlineStr">
        <is>
          <t>Organic Search</t>
        </is>
      </c>
      <c r="G2119" t="inlineStr">
        <is>
          <t>Mobile App</t>
        </is>
      </c>
      <c r="H2119" t="inlineStr">
        <is>
          <t>Net Banking</t>
        </is>
      </c>
      <c r="I2119" t="inlineStr">
        <is>
          <t>Delivered</t>
        </is>
      </c>
      <c r="J2119" t="n">
        <v>116</v>
      </c>
      <c r="K2119" t="n">
        <v>1</v>
      </c>
      <c r="L2119" t="n">
        <v>2624</v>
      </c>
      <c r="M2119" t="n">
        <v>0</v>
      </c>
      <c r="N2119">
        <f>VLOOKUP(J2119,Products!$A$2:$C$49,3,FALSE)</f>
        <v/>
      </c>
      <c r="O2119">
        <f>K2119*L2119-M2119</f>
        <v/>
      </c>
      <c r="P2119">
        <f>TEXT(B2119,"yyyy-mm")</f>
        <v/>
      </c>
      <c r="Q2119">
        <f>IF(O2119&gt;=3000,"Large","Small")</f>
        <v/>
      </c>
      <c r="R2119">
        <f>INDEX(Products!$F$2:$F$49,MATCH(J2119,Products!$A$2:$A$49,0))</f>
        <v/>
      </c>
      <c r="S2119">
        <f>WEEKDAY(B2119,2)</f>
        <v/>
      </c>
    </row>
    <row r="2120">
      <c r="A2120" t="n">
        <v>510399</v>
      </c>
      <c r="B2120" s="6" t="n">
        <v>45956</v>
      </c>
      <c r="C2120" t="n">
        <v>17029</v>
      </c>
      <c r="D2120" t="inlineStr">
        <is>
          <t>Chennai</t>
        </is>
      </c>
      <c r="E2120" t="inlineStr">
        <is>
          <t>South</t>
        </is>
      </c>
      <c r="F2120" t="inlineStr">
        <is>
          <t>Paid Search</t>
        </is>
      </c>
      <c r="G2120" t="inlineStr">
        <is>
          <t>Mobile App</t>
        </is>
      </c>
      <c r="H2120" t="inlineStr">
        <is>
          <t>UPI</t>
        </is>
      </c>
      <c r="I2120" t="inlineStr">
        <is>
          <t>Returned</t>
        </is>
      </c>
      <c r="J2120" t="n">
        <v>111</v>
      </c>
      <c r="K2120" t="n">
        <v>1</v>
      </c>
      <c r="L2120" t="n">
        <v>524</v>
      </c>
      <c r="M2120" t="n">
        <v>0</v>
      </c>
      <c r="N2120">
        <f>VLOOKUP(J2120,Products!$A$2:$C$49,3,FALSE)</f>
        <v/>
      </c>
      <c r="O2120">
        <f>K2120*L2120-M2120</f>
        <v/>
      </c>
      <c r="P2120">
        <f>TEXT(B2120,"yyyy-mm")</f>
        <v/>
      </c>
      <c r="Q2120">
        <f>IF(O2120&gt;=3000,"Large","Small")</f>
        <v/>
      </c>
      <c r="R2120">
        <f>INDEX(Products!$F$2:$F$49,MATCH(J2120,Products!$A$2:$A$49,0))</f>
        <v/>
      </c>
      <c r="S2120">
        <f>WEEKDAY(B2120,2)</f>
        <v/>
      </c>
    </row>
    <row r="2121">
      <c r="A2121" t="n">
        <v>510400</v>
      </c>
      <c r="B2121" s="6" t="n">
        <v>45956</v>
      </c>
      <c r="C2121" t="n">
        <v>16918</v>
      </c>
      <c r="D2121" t="inlineStr">
        <is>
          <t>Kolkata</t>
        </is>
      </c>
      <c r="E2121" t="inlineStr">
        <is>
          <t>East</t>
        </is>
      </c>
      <c r="F2121" t="inlineStr">
        <is>
          <t>Paid Social</t>
        </is>
      </c>
      <c r="G2121" t="inlineStr">
        <is>
          <t>Desktop</t>
        </is>
      </c>
      <c r="H2121" t="inlineStr">
        <is>
          <t>UPI</t>
        </is>
      </c>
      <c r="I2121" t="inlineStr">
        <is>
          <t>Delivered</t>
        </is>
      </c>
      <c r="J2121" t="n">
        <v>147</v>
      </c>
      <c r="K2121" t="n">
        <v>1</v>
      </c>
      <c r="L2121" t="n">
        <v>1364</v>
      </c>
      <c r="M2121" t="n">
        <v>0</v>
      </c>
      <c r="N2121">
        <f>VLOOKUP(J2121,Products!$A$2:$C$49,3,FALSE)</f>
        <v/>
      </c>
      <c r="O2121">
        <f>K2121*L2121-M2121</f>
        <v/>
      </c>
      <c r="P2121">
        <f>TEXT(B2121,"yyyy-mm")</f>
        <v/>
      </c>
      <c r="Q2121">
        <f>IF(O2121&gt;=3000,"Large","Small")</f>
        <v/>
      </c>
      <c r="R2121">
        <f>INDEX(Products!$F$2:$F$49,MATCH(J2121,Products!$A$2:$A$49,0))</f>
        <v/>
      </c>
      <c r="S2121">
        <f>WEEKDAY(B2121,2)</f>
        <v/>
      </c>
    </row>
    <row r="2122">
      <c r="A2122" t="n">
        <v>510400</v>
      </c>
      <c r="B2122" s="6" t="n">
        <v>45956</v>
      </c>
      <c r="C2122" t="n">
        <v>16918</v>
      </c>
      <c r="D2122" t="inlineStr">
        <is>
          <t>Kolkata</t>
        </is>
      </c>
      <c r="E2122" t="inlineStr">
        <is>
          <t>East</t>
        </is>
      </c>
      <c r="F2122" t="inlineStr">
        <is>
          <t>Paid Social</t>
        </is>
      </c>
      <c r="G2122" t="inlineStr">
        <is>
          <t>Desktop</t>
        </is>
      </c>
      <c r="H2122" t="inlineStr">
        <is>
          <t>UPI</t>
        </is>
      </c>
      <c r="I2122" t="inlineStr">
        <is>
          <t>Delivered</t>
        </is>
      </c>
      <c r="J2122" t="n">
        <v>111</v>
      </c>
      <c r="K2122" t="n">
        <v>1</v>
      </c>
      <c r="L2122" t="n">
        <v>524</v>
      </c>
      <c r="M2122" t="n">
        <v>0</v>
      </c>
      <c r="N2122">
        <f>VLOOKUP(J2122,Products!$A$2:$C$49,3,FALSE)</f>
        <v/>
      </c>
      <c r="O2122">
        <f>K2122*L2122-M2122</f>
        <v/>
      </c>
      <c r="P2122">
        <f>TEXT(B2122,"yyyy-mm")</f>
        <v/>
      </c>
      <c r="Q2122">
        <f>IF(O2122&gt;=3000,"Large","Small")</f>
        <v/>
      </c>
      <c r="R2122">
        <f>INDEX(Products!$F$2:$F$49,MATCH(J2122,Products!$A$2:$A$49,0))</f>
        <v/>
      </c>
      <c r="S2122">
        <f>WEEKDAY(B2122,2)</f>
        <v/>
      </c>
    </row>
    <row r="2123">
      <c r="A2123" t="n">
        <v>510401</v>
      </c>
      <c r="B2123" s="6" t="n">
        <v>45956</v>
      </c>
      <c r="C2123" t="n">
        <v>11257</v>
      </c>
      <c r="D2123" t="inlineStr">
        <is>
          <t>Chandigarh</t>
        </is>
      </c>
      <c r="E2123" t="inlineStr">
        <is>
          <t>North</t>
        </is>
      </c>
      <c r="F2123" t="inlineStr">
        <is>
          <t>Paid Search</t>
        </is>
      </c>
      <c r="G2123" t="inlineStr">
        <is>
          <t>Mobile App</t>
        </is>
      </c>
      <c r="H2123" t="inlineStr">
        <is>
          <t>Credit Card</t>
        </is>
      </c>
      <c r="I2123" t="inlineStr">
        <is>
          <t>Delivered</t>
        </is>
      </c>
      <c r="J2123" t="n">
        <v>120</v>
      </c>
      <c r="K2123" t="n">
        <v>1</v>
      </c>
      <c r="L2123" t="n">
        <v>734</v>
      </c>
      <c r="M2123" t="n">
        <v>0</v>
      </c>
      <c r="N2123">
        <f>VLOOKUP(J2123,Products!$A$2:$C$49,3,FALSE)</f>
        <v/>
      </c>
      <c r="O2123">
        <f>K2123*L2123-M2123</f>
        <v/>
      </c>
      <c r="P2123">
        <f>TEXT(B2123,"yyyy-mm")</f>
        <v/>
      </c>
      <c r="Q2123">
        <f>IF(O2123&gt;=3000,"Large","Small")</f>
        <v/>
      </c>
      <c r="R2123">
        <f>INDEX(Products!$F$2:$F$49,MATCH(J2123,Products!$A$2:$A$49,0))</f>
        <v/>
      </c>
      <c r="S2123">
        <f>WEEKDAY(B2123,2)</f>
        <v/>
      </c>
    </row>
    <row r="2124">
      <c r="A2124" t="n">
        <v>510402</v>
      </c>
      <c r="B2124" s="6" t="n">
        <v>45956</v>
      </c>
      <c r="C2124" t="n">
        <v>16133</v>
      </c>
      <c r="D2124" t="inlineStr">
        <is>
          <t>Gurugram</t>
        </is>
      </c>
      <c r="E2124" t="inlineStr">
        <is>
          <t>North</t>
        </is>
      </c>
      <c r="F2124" t="inlineStr">
        <is>
          <t>Referral</t>
        </is>
      </c>
      <c r="G2124" t="inlineStr">
        <is>
          <t>Mobile Web</t>
        </is>
      </c>
      <c r="H2124" t="inlineStr">
        <is>
          <t>Credit Card</t>
        </is>
      </c>
      <c r="I2124" t="inlineStr">
        <is>
          <t>Delivered</t>
        </is>
      </c>
      <c r="J2124" t="n">
        <v>120</v>
      </c>
      <c r="K2124" t="n">
        <v>1</v>
      </c>
      <c r="L2124" t="n">
        <v>734</v>
      </c>
      <c r="M2124" t="n">
        <v>0</v>
      </c>
      <c r="N2124">
        <f>VLOOKUP(J2124,Products!$A$2:$C$49,3,FALSE)</f>
        <v/>
      </c>
      <c r="O2124">
        <f>K2124*L2124-M2124</f>
        <v/>
      </c>
      <c r="P2124">
        <f>TEXT(B2124,"yyyy-mm")</f>
        <v/>
      </c>
      <c r="Q2124">
        <f>IF(O2124&gt;=3000,"Large","Small")</f>
        <v/>
      </c>
      <c r="R2124">
        <f>INDEX(Products!$F$2:$F$49,MATCH(J2124,Products!$A$2:$A$49,0))</f>
        <v/>
      </c>
      <c r="S2124">
        <f>WEEKDAY(B2124,2)</f>
        <v/>
      </c>
    </row>
    <row r="2125">
      <c r="A2125" t="n">
        <v>510402</v>
      </c>
      <c r="B2125" s="6" t="n">
        <v>45956</v>
      </c>
      <c r="C2125" t="n">
        <v>16133</v>
      </c>
      <c r="D2125" t="inlineStr">
        <is>
          <t>Gurugram</t>
        </is>
      </c>
      <c r="E2125" t="inlineStr">
        <is>
          <t>North</t>
        </is>
      </c>
      <c r="F2125" t="inlineStr">
        <is>
          <t>Referral</t>
        </is>
      </c>
      <c r="G2125" t="inlineStr">
        <is>
          <t>Mobile Web</t>
        </is>
      </c>
      <c r="H2125" t="inlineStr">
        <is>
          <t>Credit Card</t>
        </is>
      </c>
      <c r="I2125" t="inlineStr">
        <is>
          <t>Delivered</t>
        </is>
      </c>
      <c r="J2125" t="n">
        <v>111</v>
      </c>
      <c r="K2125" t="n">
        <v>1</v>
      </c>
      <c r="L2125" t="n">
        <v>524</v>
      </c>
      <c r="M2125" t="n">
        <v>0</v>
      </c>
      <c r="N2125">
        <f>VLOOKUP(J2125,Products!$A$2:$C$49,3,FALSE)</f>
        <v/>
      </c>
      <c r="O2125">
        <f>K2125*L2125-M2125</f>
        <v/>
      </c>
      <c r="P2125">
        <f>TEXT(B2125,"yyyy-mm")</f>
        <v/>
      </c>
      <c r="Q2125">
        <f>IF(O2125&gt;=3000,"Large","Small")</f>
        <v/>
      </c>
      <c r="R2125">
        <f>INDEX(Products!$F$2:$F$49,MATCH(J2125,Products!$A$2:$A$49,0))</f>
        <v/>
      </c>
      <c r="S2125">
        <f>WEEKDAY(B2125,2)</f>
        <v/>
      </c>
    </row>
    <row r="2126">
      <c r="A2126" t="n">
        <v>510403</v>
      </c>
      <c r="B2126" s="6" t="n">
        <v>45956</v>
      </c>
      <c r="C2126" t="n">
        <v>15888</v>
      </c>
      <c r="D2126" t="inlineStr">
        <is>
          <t>Ahmedabad</t>
        </is>
      </c>
      <c r="E2126" t="inlineStr">
        <is>
          <t>West</t>
        </is>
      </c>
      <c r="F2126" t="inlineStr">
        <is>
          <t>Organic Search</t>
        </is>
      </c>
      <c r="G2126" t="inlineStr">
        <is>
          <t>Mobile App</t>
        </is>
      </c>
      <c r="H2126" t="inlineStr">
        <is>
          <t>UPI</t>
        </is>
      </c>
      <c r="I2126" t="inlineStr">
        <is>
          <t>Delivered</t>
        </is>
      </c>
      <c r="J2126" t="n">
        <v>112</v>
      </c>
      <c r="K2126" t="n">
        <v>1</v>
      </c>
      <c r="L2126" t="n">
        <v>1574</v>
      </c>
      <c r="M2126" t="n">
        <v>0</v>
      </c>
      <c r="N2126">
        <f>VLOOKUP(J2126,Products!$A$2:$C$49,3,FALSE)</f>
        <v/>
      </c>
      <c r="O2126">
        <f>K2126*L2126-M2126</f>
        <v/>
      </c>
      <c r="P2126">
        <f>TEXT(B2126,"yyyy-mm")</f>
        <v/>
      </c>
      <c r="Q2126">
        <f>IF(O2126&gt;=3000,"Large","Small")</f>
        <v/>
      </c>
      <c r="R2126">
        <f>INDEX(Products!$F$2:$F$49,MATCH(J2126,Products!$A$2:$A$49,0))</f>
        <v/>
      </c>
      <c r="S2126">
        <f>WEEKDAY(B2126,2)</f>
        <v/>
      </c>
    </row>
    <row r="2127">
      <c r="A2127" t="n">
        <v>510404</v>
      </c>
      <c r="B2127" s="6" t="n">
        <v>45956</v>
      </c>
      <c r="C2127" t="n">
        <v>13094</v>
      </c>
      <c r="D2127" t="inlineStr">
        <is>
          <t>Hyderabad</t>
        </is>
      </c>
      <c r="E2127" t="inlineStr">
        <is>
          <t>South</t>
        </is>
      </c>
      <c r="F2127" t="inlineStr">
        <is>
          <t>Paid Social</t>
        </is>
      </c>
      <c r="G2127" t="inlineStr">
        <is>
          <t>Mobile App</t>
        </is>
      </c>
      <c r="H2127" t="inlineStr">
        <is>
          <t>UPI</t>
        </is>
      </c>
      <c r="I2127" t="inlineStr">
        <is>
          <t>Delivered</t>
        </is>
      </c>
      <c r="J2127" t="n">
        <v>134</v>
      </c>
      <c r="K2127" t="n">
        <v>1</v>
      </c>
      <c r="L2127" t="n">
        <v>209</v>
      </c>
      <c r="M2127" t="n">
        <v>0</v>
      </c>
      <c r="N2127">
        <f>VLOOKUP(J2127,Products!$A$2:$C$49,3,FALSE)</f>
        <v/>
      </c>
      <c r="O2127">
        <f>K2127*L2127-M2127</f>
        <v/>
      </c>
      <c r="P2127">
        <f>TEXT(B2127,"yyyy-mm")</f>
        <v/>
      </c>
      <c r="Q2127">
        <f>IF(O2127&gt;=3000,"Large","Small")</f>
        <v/>
      </c>
      <c r="R2127">
        <f>INDEX(Products!$F$2:$F$49,MATCH(J2127,Products!$A$2:$A$49,0))</f>
        <v/>
      </c>
      <c r="S2127">
        <f>WEEKDAY(B2127,2)</f>
        <v/>
      </c>
    </row>
    <row r="2128">
      <c r="A2128" t="n">
        <v>510405</v>
      </c>
      <c r="B2128" s="6" t="n">
        <v>45956</v>
      </c>
      <c r="C2128" t="n">
        <v>16907</v>
      </c>
      <c r="D2128" t="inlineStr">
        <is>
          <t>Chandigarh</t>
        </is>
      </c>
      <c r="E2128" t="inlineStr">
        <is>
          <t>North</t>
        </is>
      </c>
      <c r="F2128" t="inlineStr">
        <is>
          <t>Paid Search</t>
        </is>
      </c>
      <c r="G2128" t="inlineStr">
        <is>
          <t>Mobile App</t>
        </is>
      </c>
      <c r="H2128" t="inlineStr">
        <is>
          <t>UPI</t>
        </is>
      </c>
      <c r="I2128" t="inlineStr">
        <is>
          <t>Returned</t>
        </is>
      </c>
      <c r="J2128" t="n">
        <v>111</v>
      </c>
      <c r="K2128" t="n">
        <v>1</v>
      </c>
      <c r="L2128" t="n">
        <v>524</v>
      </c>
      <c r="M2128" t="n">
        <v>78.59999999999999</v>
      </c>
      <c r="N2128">
        <f>VLOOKUP(J2128,Products!$A$2:$C$49,3,FALSE)</f>
        <v/>
      </c>
      <c r="O2128">
        <f>K2128*L2128-M2128</f>
        <v/>
      </c>
      <c r="P2128">
        <f>TEXT(B2128,"yyyy-mm")</f>
        <v/>
      </c>
      <c r="Q2128">
        <f>IF(O2128&gt;=3000,"Large","Small")</f>
        <v/>
      </c>
      <c r="R2128">
        <f>INDEX(Products!$F$2:$F$49,MATCH(J2128,Products!$A$2:$A$49,0))</f>
        <v/>
      </c>
      <c r="S2128">
        <f>WEEKDAY(B2128,2)</f>
        <v/>
      </c>
    </row>
    <row r="2129">
      <c r="A2129" t="n">
        <v>510406</v>
      </c>
      <c r="B2129" s="6" t="n">
        <v>45956</v>
      </c>
      <c r="C2129" t="n">
        <v>17048</v>
      </c>
      <c r="D2129" t="inlineStr">
        <is>
          <t>Delhi</t>
        </is>
      </c>
      <c r="E2129" t="inlineStr">
        <is>
          <t>North</t>
        </is>
      </c>
      <c r="F2129" t="inlineStr">
        <is>
          <t>Organic Search</t>
        </is>
      </c>
      <c r="G2129" t="inlineStr">
        <is>
          <t>Mobile App</t>
        </is>
      </c>
      <c r="H2129" t="inlineStr">
        <is>
          <t>UPI</t>
        </is>
      </c>
      <c r="I2129" t="inlineStr">
        <is>
          <t>Delivered</t>
        </is>
      </c>
      <c r="J2129" t="n">
        <v>140</v>
      </c>
      <c r="K2129" t="n">
        <v>1</v>
      </c>
      <c r="L2129" t="n">
        <v>629</v>
      </c>
      <c r="M2129" t="n">
        <v>94.34999999999999</v>
      </c>
      <c r="N2129">
        <f>VLOOKUP(J2129,Products!$A$2:$C$49,3,FALSE)</f>
        <v/>
      </c>
      <c r="O2129">
        <f>K2129*L2129-M2129</f>
        <v/>
      </c>
      <c r="P2129">
        <f>TEXT(B2129,"yyyy-mm")</f>
        <v/>
      </c>
      <c r="Q2129">
        <f>IF(O2129&gt;=3000,"Large","Small")</f>
        <v/>
      </c>
      <c r="R2129">
        <f>INDEX(Products!$F$2:$F$49,MATCH(J2129,Products!$A$2:$A$49,0))</f>
        <v/>
      </c>
      <c r="S2129">
        <f>WEEKDAY(B2129,2)</f>
        <v/>
      </c>
    </row>
    <row r="2130">
      <c r="A2130" t="n">
        <v>510406</v>
      </c>
      <c r="B2130" s="6" t="n">
        <v>45956</v>
      </c>
      <c r="C2130" t="n">
        <v>17048</v>
      </c>
      <c r="D2130" t="inlineStr">
        <is>
          <t>Delhi</t>
        </is>
      </c>
      <c r="E2130" t="inlineStr">
        <is>
          <t>North</t>
        </is>
      </c>
      <c r="F2130" t="inlineStr">
        <is>
          <t>Organic Search</t>
        </is>
      </c>
      <c r="G2130" t="inlineStr">
        <is>
          <t>Mobile App</t>
        </is>
      </c>
      <c r="H2130" t="inlineStr">
        <is>
          <t>UPI</t>
        </is>
      </c>
      <c r="I2130" t="inlineStr">
        <is>
          <t>Delivered</t>
        </is>
      </c>
      <c r="J2130" t="n">
        <v>108</v>
      </c>
      <c r="K2130" t="n">
        <v>1</v>
      </c>
      <c r="L2130" t="n">
        <v>419</v>
      </c>
      <c r="M2130" t="n">
        <v>62.85</v>
      </c>
      <c r="N2130">
        <f>VLOOKUP(J2130,Products!$A$2:$C$49,3,FALSE)</f>
        <v/>
      </c>
      <c r="O2130">
        <f>K2130*L2130-M2130</f>
        <v/>
      </c>
      <c r="P2130">
        <f>TEXT(B2130,"yyyy-mm")</f>
        <v/>
      </c>
      <c r="Q2130">
        <f>IF(O2130&gt;=3000,"Large","Small")</f>
        <v/>
      </c>
      <c r="R2130">
        <f>INDEX(Products!$F$2:$F$49,MATCH(J2130,Products!$A$2:$A$49,0))</f>
        <v/>
      </c>
      <c r="S2130">
        <f>WEEKDAY(B2130,2)</f>
        <v/>
      </c>
    </row>
    <row r="2131">
      <c r="A2131" t="n">
        <v>510407</v>
      </c>
      <c r="B2131" s="6" t="n">
        <v>45956</v>
      </c>
      <c r="C2131" t="n">
        <v>16912</v>
      </c>
      <c r="D2131" t="inlineStr">
        <is>
          <t>Lucknow</t>
        </is>
      </c>
      <c r="E2131" t="inlineStr">
        <is>
          <t>North</t>
        </is>
      </c>
      <c r="F2131" t="inlineStr">
        <is>
          <t>Organic Search</t>
        </is>
      </c>
      <c r="G2131" t="inlineStr">
        <is>
          <t>Mobile Web</t>
        </is>
      </c>
      <c r="H2131" t="inlineStr">
        <is>
          <t>Net Banking</t>
        </is>
      </c>
      <c r="I2131" t="inlineStr">
        <is>
          <t>Delivered</t>
        </is>
      </c>
      <c r="J2131" t="n">
        <v>127</v>
      </c>
      <c r="K2131" t="n">
        <v>1</v>
      </c>
      <c r="L2131" t="n">
        <v>681</v>
      </c>
      <c r="M2131" t="n">
        <v>102.15</v>
      </c>
      <c r="N2131">
        <f>VLOOKUP(J2131,Products!$A$2:$C$49,3,FALSE)</f>
        <v/>
      </c>
      <c r="O2131">
        <f>K2131*L2131-M2131</f>
        <v/>
      </c>
      <c r="P2131">
        <f>TEXT(B2131,"yyyy-mm")</f>
        <v/>
      </c>
      <c r="Q2131">
        <f>IF(O2131&gt;=3000,"Large","Small")</f>
        <v/>
      </c>
      <c r="R2131">
        <f>INDEX(Products!$F$2:$F$49,MATCH(J2131,Products!$A$2:$A$49,0))</f>
        <v/>
      </c>
      <c r="S2131">
        <f>WEEKDAY(B2131,2)</f>
        <v/>
      </c>
    </row>
    <row r="2132">
      <c r="A2132" t="n">
        <v>510407</v>
      </c>
      <c r="B2132" s="6" t="n">
        <v>45956</v>
      </c>
      <c r="C2132" t="n">
        <v>16912</v>
      </c>
      <c r="D2132" t="inlineStr">
        <is>
          <t>Lucknow</t>
        </is>
      </c>
      <c r="E2132" t="inlineStr">
        <is>
          <t>North</t>
        </is>
      </c>
      <c r="F2132" t="inlineStr">
        <is>
          <t>Organic Search</t>
        </is>
      </c>
      <c r="G2132" t="inlineStr">
        <is>
          <t>Mobile Web</t>
        </is>
      </c>
      <c r="H2132" t="inlineStr">
        <is>
          <t>Net Banking</t>
        </is>
      </c>
      <c r="I2132" t="inlineStr">
        <is>
          <t>Delivered</t>
        </is>
      </c>
      <c r="J2132" t="n">
        <v>136</v>
      </c>
      <c r="K2132" t="n">
        <v>2</v>
      </c>
      <c r="L2132" t="n">
        <v>944</v>
      </c>
      <c r="M2132" t="n">
        <v>283.2</v>
      </c>
      <c r="N2132">
        <f>VLOOKUP(J2132,Products!$A$2:$C$49,3,FALSE)</f>
        <v/>
      </c>
      <c r="O2132">
        <f>K2132*L2132-M2132</f>
        <v/>
      </c>
      <c r="P2132">
        <f>TEXT(B2132,"yyyy-mm")</f>
        <v/>
      </c>
      <c r="Q2132">
        <f>IF(O2132&gt;=3000,"Large","Small")</f>
        <v/>
      </c>
      <c r="R2132">
        <f>INDEX(Products!$F$2:$F$49,MATCH(J2132,Products!$A$2:$A$49,0))</f>
        <v/>
      </c>
      <c r="S2132">
        <f>WEEKDAY(B2132,2)</f>
        <v/>
      </c>
    </row>
    <row r="2133">
      <c r="A2133" t="n">
        <v>510408</v>
      </c>
      <c r="B2133" s="6" t="n">
        <v>45956</v>
      </c>
      <c r="C2133" t="n">
        <v>16435</v>
      </c>
      <c r="D2133" t="inlineStr">
        <is>
          <t>Mumbai</t>
        </is>
      </c>
      <c r="E2133" t="inlineStr">
        <is>
          <t>West</t>
        </is>
      </c>
      <c r="F2133" t="inlineStr">
        <is>
          <t>Referral</t>
        </is>
      </c>
      <c r="G2133" t="inlineStr">
        <is>
          <t>Mobile App</t>
        </is>
      </c>
      <c r="H2133" t="inlineStr">
        <is>
          <t>Cash on Delivery</t>
        </is>
      </c>
      <c r="I2133" t="inlineStr">
        <is>
          <t>Delivered</t>
        </is>
      </c>
      <c r="J2133" t="n">
        <v>109</v>
      </c>
      <c r="K2133" t="n">
        <v>2</v>
      </c>
      <c r="L2133" t="n">
        <v>4199</v>
      </c>
      <c r="M2133" t="n">
        <v>0</v>
      </c>
      <c r="N2133">
        <f>VLOOKUP(J2133,Products!$A$2:$C$49,3,FALSE)</f>
        <v/>
      </c>
      <c r="O2133">
        <f>K2133*L2133-M2133</f>
        <v/>
      </c>
      <c r="P2133">
        <f>TEXT(B2133,"yyyy-mm")</f>
        <v/>
      </c>
      <c r="Q2133">
        <f>IF(O2133&gt;=3000,"Large","Small")</f>
        <v/>
      </c>
      <c r="R2133">
        <f>INDEX(Products!$F$2:$F$49,MATCH(J2133,Products!$A$2:$A$49,0))</f>
        <v/>
      </c>
      <c r="S2133">
        <f>WEEKDAY(B2133,2)</f>
        <v/>
      </c>
    </row>
    <row r="2134">
      <c r="A2134" t="n">
        <v>510409</v>
      </c>
      <c r="B2134" s="6" t="n">
        <v>45956</v>
      </c>
      <c r="C2134" t="n">
        <v>13668</v>
      </c>
      <c r="D2134" t="inlineStr">
        <is>
          <t>Bengaluru</t>
        </is>
      </c>
      <c r="E2134" t="inlineStr">
        <is>
          <t>South</t>
        </is>
      </c>
      <c r="F2134" t="inlineStr">
        <is>
          <t>Referral</t>
        </is>
      </c>
      <c r="G2134" t="inlineStr">
        <is>
          <t>Mobile App</t>
        </is>
      </c>
      <c r="H2134" t="inlineStr">
        <is>
          <t>Net Banking</t>
        </is>
      </c>
      <c r="I2134" t="inlineStr">
        <is>
          <t>Delivered</t>
        </is>
      </c>
      <c r="J2134" t="n">
        <v>142</v>
      </c>
      <c r="K2134" t="n">
        <v>1</v>
      </c>
      <c r="L2134" t="n">
        <v>839</v>
      </c>
      <c r="M2134" t="n">
        <v>0</v>
      </c>
      <c r="N2134">
        <f>VLOOKUP(J2134,Products!$A$2:$C$49,3,FALSE)</f>
        <v/>
      </c>
      <c r="O2134">
        <f>K2134*L2134-M2134</f>
        <v/>
      </c>
      <c r="P2134">
        <f>TEXT(B2134,"yyyy-mm")</f>
        <v/>
      </c>
      <c r="Q2134">
        <f>IF(O2134&gt;=3000,"Large","Small")</f>
        <v/>
      </c>
      <c r="R2134">
        <f>INDEX(Products!$F$2:$F$49,MATCH(J2134,Products!$A$2:$A$49,0))</f>
        <v/>
      </c>
      <c r="S2134">
        <f>WEEKDAY(B2134,2)</f>
        <v/>
      </c>
    </row>
    <row r="2135">
      <c r="A2135" t="n">
        <v>510409</v>
      </c>
      <c r="B2135" s="6" t="n">
        <v>45956</v>
      </c>
      <c r="C2135" t="n">
        <v>13668</v>
      </c>
      <c r="D2135" t="inlineStr">
        <is>
          <t>Bengaluru</t>
        </is>
      </c>
      <c r="E2135" t="inlineStr">
        <is>
          <t>South</t>
        </is>
      </c>
      <c r="F2135" t="inlineStr">
        <is>
          <t>Referral</t>
        </is>
      </c>
      <c r="G2135" t="inlineStr">
        <is>
          <t>Mobile App</t>
        </is>
      </c>
      <c r="H2135" t="inlineStr">
        <is>
          <t>Net Banking</t>
        </is>
      </c>
      <c r="I2135" t="inlineStr">
        <is>
          <t>Delivered</t>
        </is>
      </c>
      <c r="J2135" t="n">
        <v>131</v>
      </c>
      <c r="K2135" t="n">
        <v>1</v>
      </c>
      <c r="L2135" t="n">
        <v>314</v>
      </c>
      <c r="M2135" t="n">
        <v>0</v>
      </c>
      <c r="N2135">
        <f>VLOOKUP(J2135,Products!$A$2:$C$49,3,FALSE)</f>
        <v/>
      </c>
      <c r="O2135">
        <f>K2135*L2135-M2135</f>
        <v/>
      </c>
      <c r="P2135">
        <f>TEXT(B2135,"yyyy-mm")</f>
        <v/>
      </c>
      <c r="Q2135">
        <f>IF(O2135&gt;=3000,"Large","Small")</f>
        <v/>
      </c>
      <c r="R2135">
        <f>INDEX(Products!$F$2:$F$49,MATCH(J2135,Products!$A$2:$A$49,0))</f>
        <v/>
      </c>
      <c r="S2135">
        <f>WEEKDAY(B2135,2)</f>
        <v/>
      </c>
    </row>
    <row r="2136">
      <c r="A2136" t="n">
        <v>510409</v>
      </c>
      <c r="B2136" s="6" t="n">
        <v>45956</v>
      </c>
      <c r="C2136" t="n">
        <v>13668</v>
      </c>
      <c r="D2136" t="inlineStr">
        <is>
          <t>Bengaluru</t>
        </is>
      </c>
      <c r="E2136" t="inlineStr">
        <is>
          <t>South</t>
        </is>
      </c>
      <c r="F2136" t="inlineStr">
        <is>
          <t>Referral</t>
        </is>
      </c>
      <c r="G2136" t="inlineStr">
        <is>
          <t>Mobile App</t>
        </is>
      </c>
      <c r="H2136" t="inlineStr">
        <is>
          <t>Net Banking</t>
        </is>
      </c>
      <c r="I2136" t="inlineStr">
        <is>
          <t>Delivered</t>
        </is>
      </c>
      <c r="J2136" t="n">
        <v>108</v>
      </c>
      <c r="K2136" t="n">
        <v>1</v>
      </c>
      <c r="L2136" t="n">
        <v>419</v>
      </c>
      <c r="M2136" t="n">
        <v>0</v>
      </c>
      <c r="N2136">
        <f>VLOOKUP(J2136,Products!$A$2:$C$49,3,FALSE)</f>
        <v/>
      </c>
      <c r="O2136">
        <f>K2136*L2136-M2136</f>
        <v/>
      </c>
      <c r="P2136">
        <f>TEXT(B2136,"yyyy-mm")</f>
        <v/>
      </c>
      <c r="Q2136">
        <f>IF(O2136&gt;=3000,"Large","Small")</f>
        <v/>
      </c>
      <c r="R2136">
        <f>INDEX(Products!$F$2:$F$49,MATCH(J2136,Products!$A$2:$A$49,0))</f>
        <v/>
      </c>
      <c r="S2136">
        <f>WEEKDAY(B2136,2)</f>
        <v/>
      </c>
    </row>
    <row r="2137">
      <c r="A2137" t="n">
        <v>510410</v>
      </c>
      <c r="B2137" s="6" t="n">
        <v>45956</v>
      </c>
      <c r="C2137" t="n">
        <v>15564</v>
      </c>
      <c r="D2137" t="inlineStr">
        <is>
          <t>Bengaluru</t>
        </is>
      </c>
      <c r="E2137" t="inlineStr">
        <is>
          <t>South</t>
        </is>
      </c>
      <c r="F2137" t="inlineStr">
        <is>
          <t>Paid Social</t>
        </is>
      </c>
      <c r="G2137" t="inlineStr">
        <is>
          <t>Mobile App</t>
        </is>
      </c>
      <c r="H2137" t="inlineStr">
        <is>
          <t>UPI</t>
        </is>
      </c>
      <c r="I2137" t="inlineStr">
        <is>
          <t>Delivered</t>
        </is>
      </c>
      <c r="J2137" t="n">
        <v>143</v>
      </c>
      <c r="K2137" t="n">
        <v>1</v>
      </c>
      <c r="L2137" t="n">
        <v>839</v>
      </c>
      <c r="M2137" t="n">
        <v>0</v>
      </c>
      <c r="N2137">
        <f>VLOOKUP(J2137,Products!$A$2:$C$49,3,FALSE)</f>
        <v/>
      </c>
      <c r="O2137">
        <f>K2137*L2137-M2137</f>
        <v/>
      </c>
      <c r="P2137">
        <f>TEXT(B2137,"yyyy-mm")</f>
        <v/>
      </c>
      <c r="Q2137">
        <f>IF(O2137&gt;=3000,"Large","Small")</f>
        <v/>
      </c>
      <c r="R2137">
        <f>INDEX(Products!$F$2:$F$49,MATCH(J2137,Products!$A$2:$A$49,0))</f>
        <v/>
      </c>
      <c r="S2137">
        <f>WEEKDAY(B2137,2)</f>
        <v/>
      </c>
    </row>
    <row r="2138">
      <c r="A2138" t="n">
        <v>510411</v>
      </c>
      <c r="B2138" s="6" t="n">
        <v>45956</v>
      </c>
      <c r="C2138" t="n">
        <v>16979</v>
      </c>
      <c r="D2138" t="inlineStr">
        <is>
          <t>Delhi</t>
        </is>
      </c>
      <c r="E2138" t="inlineStr">
        <is>
          <t>North</t>
        </is>
      </c>
      <c r="F2138" t="inlineStr">
        <is>
          <t>Organic Search</t>
        </is>
      </c>
      <c r="G2138" t="inlineStr">
        <is>
          <t>Mobile App</t>
        </is>
      </c>
      <c r="H2138" t="inlineStr">
        <is>
          <t>Credit Card</t>
        </is>
      </c>
      <c r="I2138" t="inlineStr">
        <is>
          <t>Returned</t>
        </is>
      </c>
      <c r="J2138" t="n">
        <v>135</v>
      </c>
      <c r="K2138" t="n">
        <v>1</v>
      </c>
      <c r="L2138" t="n">
        <v>1574</v>
      </c>
      <c r="M2138" t="n">
        <v>0</v>
      </c>
      <c r="N2138">
        <f>VLOOKUP(J2138,Products!$A$2:$C$49,3,FALSE)</f>
        <v/>
      </c>
      <c r="O2138">
        <f>K2138*L2138-M2138</f>
        <v/>
      </c>
      <c r="P2138">
        <f>TEXT(B2138,"yyyy-mm")</f>
        <v/>
      </c>
      <c r="Q2138">
        <f>IF(O2138&gt;=3000,"Large","Small")</f>
        <v/>
      </c>
      <c r="R2138">
        <f>INDEX(Products!$F$2:$F$49,MATCH(J2138,Products!$A$2:$A$49,0))</f>
        <v/>
      </c>
      <c r="S2138">
        <f>WEEKDAY(B2138,2)</f>
        <v/>
      </c>
    </row>
    <row r="2139">
      <c r="A2139" t="n">
        <v>510412</v>
      </c>
      <c r="B2139" s="6" t="n">
        <v>45956</v>
      </c>
      <c r="C2139" t="n">
        <v>15058</v>
      </c>
      <c r="D2139" t="inlineStr">
        <is>
          <t>Pune</t>
        </is>
      </c>
      <c r="E2139" t="inlineStr">
        <is>
          <t>West</t>
        </is>
      </c>
      <c r="F2139" t="inlineStr">
        <is>
          <t>Referral</t>
        </is>
      </c>
      <c r="G2139" t="inlineStr">
        <is>
          <t>Mobile App</t>
        </is>
      </c>
      <c r="H2139" t="inlineStr">
        <is>
          <t>UPI</t>
        </is>
      </c>
      <c r="I2139" t="inlineStr">
        <is>
          <t>Delivered</t>
        </is>
      </c>
      <c r="J2139" t="n">
        <v>110</v>
      </c>
      <c r="K2139" t="n">
        <v>1</v>
      </c>
      <c r="L2139" t="n">
        <v>839</v>
      </c>
      <c r="M2139" t="n">
        <v>0</v>
      </c>
      <c r="N2139">
        <f>VLOOKUP(J2139,Products!$A$2:$C$49,3,FALSE)</f>
        <v/>
      </c>
      <c r="O2139">
        <f>K2139*L2139-M2139</f>
        <v/>
      </c>
      <c r="P2139">
        <f>TEXT(B2139,"yyyy-mm")</f>
        <v/>
      </c>
      <c r="Q2139">
        <f>IF(O2139&gt;=3000,"Large","Small")</f>
        <v/>
      </c>
      <c r="R2139">
        <f>INDEX(Products!$F$2:$F$49,MATCH(J2139,Products!$A$2:$A$49,0))</f>
        <v/>
      </c>
      <c r="S2139">
        <f>WEEKDAY(B2139,2)</f>
        <v/>
      </c>
    </row>
    <row r="2140">
      <c r="A2140" t="n">
        <v>510413</v>
      </c>
      <c r="B2140" s="6" t="n">
        <v>45956</v>
      </c>
      <c r="C2140" t="n">
        <v>10275</v>
      </c>
      <c r="D2140" t="inlineStr">
        <is>
          <t>Gurugram</t>
        </is>
      </c>
      <c r="E2140" t="inlineStr">
        <is>
          <t>North</t>
        </is>
      </c>
      <c r="F2140" t="inlineStr">
        <is>
          <t>Organic Search</t>
        </is>
      </c>
      <c r="G2140" t="inlineStr">
        <is>
          <t>Mobile Web</t>
        </is>
      </c>
      <c r="H2140" t="inlineStr">
        <is>
          <t>UPI</t>
        </is>
      </c>
      <c r="I2140" t="inlineStr">
        <is>
          <t>Delivered</t>
        </is>
      </c>
      <c r="J2140" t="n">
        <v>128</v>
      </c>
      <c r="K2140" t="n">
        <v>1</v>
      </c>
      <c r="L2140" t="n">
        <v>1049</v>
      </c>
      <c r="M2140" t="n">
        <v>0</v>
      </c>
      <c r="N2140">
        <f>VLOOKUP(J2140,Products!$A$2:$C$49,3,FALSE)</f>
        <v/>
      </c>
      <c r="O2140">
        <f>K2140*L2140-M2140</f>
        <v/>
      </c>
      <c r="P2140">
        <f>TEXT(B2140,"yyyy-mm")</f>
        <v/>
      </c>
      <c r="Q2140">
        <f>IF(O2140&gt;=3000,"Large","Small")</f>
        <v/>
      </c>
      <c r="R2140">
        <f>INDEX(Products!$F$2:$F$49,MATCH(J2140,Products!$A$2:$A$49,0))</f>
        <v/>
      </c>
      <c r="S2140">
        <f>WEEKDAY(B2140,2)</f>
        <v/>
      </c>
    </row>
    <row r="2141">
      <c r="A2141" t="n">
        <v>510414</v>
      </c>
      <c r="B2141" s="6" t="n">
        <v>45956</v>
      </c>
      <c r="C2141" t="n">
        <v>15950</v>
      </c>
      <c r="D2141" t="inlineStr">
        <is>
          <t>Chennai</t>
        </is>
      </c>
      <c r="E2141" t="inlineStr">
        <is>
          <t>South</t>
        </is>
      </c>
      <c r="F2141" t="inlineStr">
        <is>
          <t>Organic Search</t>
        </is>
      </c>
      <c r="G2141" t="inlineStr">
        <is>
          <t>Mobile Web</t>
        </is>
      </c>
      <c r="H2141" t="inlineStr">
        <is>
          <t>Credit Card</t>
        </is>
      </c>
      <c r="I2141" t="inlineStr">
        <is>
          <t>Delivered</t>
        </is>
      </c>
      <c r="J2141" t="n">
        <v>112</v>
      </c>
      <c r="K2141" t="n">
        <v>1</v>
      </c>
      <c r="L2141" t="n">
        <v>1574</v>
      </c>
      <c r="M2141" t="n">
        <v>0</v>
      </c>
      <c r="N2141">
        <f>VLOOKUP(J2141,Products!$A$2:$C$49,3,FALSE)</f>
        <v/>
      </c>
      <c r="O2141">
        <f>K2141*L2141-M2141</f>
        <v/>
      </c>
      <c r="P2141">
        <f>TEXT(B2141,"yyyy-mm")</f>
        <v/>
      </c>
      <c r="Q2141">
        <f>IF(O2141&gt;=3000,"Large","Small")</f>
        <v/>
      </c>
      <c r="R2141">
        <f>INDEX(Products!$F$2:$F$49,MATCH(J2141,Products!$A$2:$A$49,0))</f>
        <v/>
      </c>
      <c r="S2141">
        <f>WEEKDAY(B2141,2)</f>
        <v/>
      </c>
    </row>
    <row r="2142">
      <c r="A2142" t="n">
        <v>510415</v>
      </c>
      <c r="B2142" s="6" t="n">
        <v>45956</v>
      </c>
      <c r="C2142" t="n">
        <v>16802</v>
      </c>
      <c r="D2142" t="inlineStr">
        <is>
          <t>Mumbai</t>
        </is>
      </c>
      <c r="E2142" t="inlineStr">
        <is>
          <t>West</t>
        </is>
      </c>
      <c r="F2142" t="inlineStr">
        <is>
          <t>Referral</t>
        </is>
      </c>
      <c r="G2142" t="inlineStr">
        <is>
          <t>Mobile App</t>
        </is>
      </c>
      <c r="H2142" t="inlineStr">
        <is>
          <t>UPI</t>
        </is>
      </c>
      <c r="I2142" t="inlineStr">
        <is>
          <t>Delivered</t>
        </is>
      </c>
      <c r="J2142" t="n">
        <v>119</v>
      </c>
      <c r="K2142" t="n">
        <v>1</v>
      </c>
      <c r="L2142" t="n">
        <v>2309</v>
      </c>
      <c r="M2142" t="n">
        <v>0</v>
      </c>
      <c r="N2142">
        <f>VLOOKUP(J2142,Products!$A$2:$C$49,3,FALSE)</f>
        <v/>
      </c>
      <c r="O2142">
        <f>K2142*L2142-M2142</f>
        <v/>
      </c>
      <c r="P2142">
        <f>TEXT(B2142,"yyyy-mm")</f>
        <v/>
      </c>
      <c r="Q2142">
        <f>IF(O2142&gt;=3000,"Large","Small")</f>
        <v/>
      </c>
      <c r="R2142">
        <f>INDEX(Products!$F$2:$F$49,MATCH(J2142,Products!$A$2:$A$49,0))</f>
        <v/>
      </c>
      <c r="S2142">
        <f>WEEKDAY(B2142,2)</f>
        <v/>
      </c>
    </row>
    <row r="2143">
      <c r="A2143" t="n">
        <v>510416</v>
      </c>
      <c r="B2143" s="6" t="n">
        <v>45957</v>
      </c>
      <c r="C2143" t="n">
        <v>16259</v>
      </c>
      <c r="D2143" t="inlineStr">
        <is>
          <t>Kochi</t>
        </is>
      </c>
      <c r="E2143" t="inlineStr">
        <is>
          <t>South</t>
        </is>
      </c>
      <c r="F2143" t="inlineStr">
        <is>
          <t>Paid Search</t>
        </is>
      </c>
      <c r="G2143" t="inlineStr">
        <is>
          <t>Mobile App</t>
        </is>
      </c>
      <c r="H2143" t="inlineStr">
        <is>
          <t>Debit Card</t>
        </is>
      </c>
      <c r="I2143" t="inlineStr">
        <is>
          <t>Delivered</t>
        </is>
      </c>
      <c r="J2143" t="n">
        <v>126</v>
      </c>
      <c r="K2143" t="n">
        <v>1</v>
      </c>
      <c r="L2143" t="n">
        <v>471</v>
      </c>
      <c r="M2143" t="n">
        <v>0</v>
      </c>
      <c r="N2143">
        <f>VLOOKUP(J2143,Products!$A$2:$C$49,3,FALSE)</f>
        <v/>
      </c>
      <c r="O2143">
        <f>K2143*L2143-M2143</f>
        <v/>
      </c>
      <c r="P2143">
        <f>TEXT(B2143,"yyyy-mm")</f>
        <v/>
      </c>
      <c r="Q2143">
        <f>IF(O2143&gt;=3000,"Large","Small")</f>
        <v/>
      </c>
      <c r="R2143">
        <f>INDEX(Products!$F$2:$F$49,MATCH(J2143,Products!$A$2:$A$49,0))</f>
        <v/>
      </c>
      <c r="S2143">
        <f>WEEKDAY(B2143,2)</f>
        <v/>
      </c>
    </row>
    <row r="2144">
      <c r="A2144" t="n">
        <v>510417</v>
      </c>
      <c r="B2144" s="6" t="n">
        <v>45957</v>
      </c>
      <c r="C2144" t="n">
        <v>17036</v>
      </c>
      <c r="D2144" t="inlineStr">
        <is>
          <t>Ahmedabad</t>
        </is>
      </c>
      <c r="E2144" t="inlineStr">
        <is>
          <t>West</t>
        </is>
      </c>
      <c r="F2144" t="inlineStr">
        <is>
          <t>Organic Search</t>
        </is>
      </c>
      <c r="G2144" t="inlineStr">
        <is>
          <t>Mobile Web</t>
        </is>
      </c>
      <c r="H2144" t="inlineStr">
        <is>
          <t>Net Banking</t>
        </is>
      </c>
      <c r="I2144" t="inlineStr">
        <is>
          <t>Delivered</t>
        </is>
      </c>
      <c r="J2144" t="n">
        <v>125</v>
      </c>
      <c r="K2144" t="n">
        <v>2</v>
      </c>
      <c r="L2144" t="n">
        <v>1364</v>
      </c>
      <c r="M2144" t="n">
        <v>409.2</v>
      </c>
      <c r="N2144">
        <f>VLOOKUP(J2144,Products!$A$2:$C$49,3,FALSE)</f>
        <v/>
      </c>
      <c r="O2144">
        <f>K2144*L2144-M2144</f>
        <v/>
      </c>
      <c r="P2144">
        <f>TEXT(B2144,"yyyy-mm")</f>
        <v/>
      </c>
      <c r="Q2144">
        <f>IF(O2144&gt;=3000,"Large","Small")</f>
        <v/>
      </c>
      <c r="R2144">
        <f>INDEX(Products!$F$2:$F$49,MATCH(J2144,Products!$A$2:$A$49,0))</f>
        <v/>
      </c>
      <c r="S2144">
        <f>WEEKDAY(B2144,2)</f>
        <v/>
      </c>
    </row>
    <row r="2145">
      <c r="A2145" t="n">
        <v>510417</v>
      </c>
      <c r="B2145" s="6" t="n">
        <v>45957</v>
      </c>
      <c r="C2145" t="n">
        <v>17036</v>
      </c>
      <c r="D2145" t="inlineStr">
        <is>
          <t>Ahmedabad</t>
        </is>
      </c>
      <c r="E2145" t="inlineStr">
        <is>
          <t>West</t>
        </is>
      </c>
      <c r="F2145" t="inlineStr">
        <is>
          <t>Organic Search</t>
        </is>
      </c>
      <c r="G2145" t="inlineStr">
        <is>
          <t>Mobile Web</t>
        </is>
      </c>
      <c r="H2145" t="inlineStr">
        <is>
          <t>Net Banking</t>
        </is>
      </c>
      <c r="I2145" t="inlineStr">
        <is>
          <t>Delivered</t>
        </is>
      </c>
      <c r="J2145" t="n">
        <v>134</v>
      </c>
      <c r="K2145" t="n">
        <v>1</v>
      </c>
      <c r="L2145" t="n">
        <v>209</v>
      </c>
      <c r="M2145" t="n">
        <v>31.35</v>
      </c>
      <c r="N2145">
        <f>VLOOKUP(J2145,Products!$A$2:$C$49,3,FALSE)</f>
        <v/>
      </c>
      <c r="O2145">
        <f>K2145*L2145-M2145</f>
        <v/>
      </c>
      <c r="P2145">
        <f>TEXT(B2145,"yyyy-mm")</f>
        <v/>
      </c>
      <c r="Q2145">
        <f>IF(O2145&gt;=3000,"Large","Small")</f>
        <v/>
      </c>
      <c r="R2145">
        <f>INDEX(Products!$F$2:$F$49,MATCH(J2145,Products!$A$2:$A$49,0))</f>
        <v/>
      </c>
      <c r="S2145">
        <f>WEEKDAY(B2145,2)</f>
        <v/>
      </c>
    </row>
    <row r="2146">
      <c r="A2146" t="n">
        <v>510418</v>
      </c>
      <c r="B2146" s="6" t="n">
        <v>45957</v>
      </c>
      <c r="C2146" t="n">
        <v>13008</v>
      </c>
      <c r="D2146" t="inlineStr">
        <is>
          <t>Mumbai</t>
        </is>
      </c>
      <c r="E2146" t="inlineStr">
        <is>
          <t>West</t>
        </is>
      </c>
      <c r="F2146" t="inlineStr">
        <is>
          <t>Organic Search</t>
        </is>
      </c>
      <c r="G2146" t="inlineStr">
        <is>
          <t>Desktop</t>
        </is>
      </c>
      <c r="H2146" t="inlineStr">
        <is>
          <t>UPI</t>
        </is>
      </c>
      <c r="I2146" t="inlineStr">
        <is>
          <t>Delivered</t>
        </is>
      </c>
      <c r="J2146" t="n">
        <v>117</v>
      </c>
      <c r="K2146" t="n">
        <v>1</v>
      </c>
      <c r="L2146" t="n">
        <v>3149</v>
      </c>
      <c r="M2146" t="n">
        <v>0</v>
      </c>
      <c r="N2146">
        <f>VLOOKUP(J2146,Products!$A$2:$C$49,3,FALSE)</f>
        <v/>
      </c>
      <c r="O2146">
        <f>K2146*L2146-M2146</f>
        <v/>
      </c>
      <c r="P2146">
        <f>TEXT(B2146,"yyyy-mm")</f>
        <v/>
      </c>
      <c r="Q2146">
        <f>IF(O2146&gt;=3000,"Large","Small")</f>
        <v/>
      </c>
      <c r="R2146">
        <f>INDEX(Products!$F$2:$F$49,MATCH(J2146,Products!$A$2:$A$49,0))</f>
        <v/>
      </c>
      <c r="S2146">
        <f>WEEKDAY(B2146,2)</f>
        <v/>
      </c>
    </row>
    <row r="2147">
      <c r="A2147" t="n">
        <v>510419</v>
      </c>
      <c r="B2147" s="6" t="n">
        <v>45957</v>
      </c>
      <c r="C2147" t="n">
        <v>16608</v>
      </c>
      <c r="D2147" t="inlineStr">
        <is>
          <t>Indore</t>
        </is>
      </c>
      <c r="E2147" t="inlineStr">
        <is>
          <t>West</t>
        </is>
      </c>
      <c r="F2147" t="inlineStr">
        <is>
          <t>Referral</t>
        </is>
      </c>
      <c r="G2147" t="inlineStr">
        <is>
          <t>Desktop</t>
        </is>
      </c>
      <c r="H2147" t="inlineStr">
        <is>
          <t>Credit Card</t>
        </is>
      </c>
      <c r="I2147" t="inlineStr">
        <is>
          <t>Delivered</t>
        </is>
      </c>
      <c r="J2147" t="n">
        <v>119</v>
      </c>
      <c r="K2147" t="n">
        <v>1</v>
      </c>
      <c r="L2147" t="n">
        <v>2309</v>
      </c>
      <c r="M2147" t="n">
        <v>0</v>
      </c>
      <c r="N2147">
        <f>VLOOKUP(J2147,Products!$A$2:$C$49,3,FALSE)</f>
        <v/>
      </c>
      <c r="O2147">
        <f>K2147*L2147-M2147</f>
        <v/>
      </c>
      <c r="P2147">
        <f>TEXT(B2147,"yyyy-mm")</f>
        <v/>
      </c>
      <c r="Q2147">
        <f>IF(O2147&gt;=3000,"Large","Small")</f>
        <v/>
      </c>
      <c r="R2147">
        <f>INDEX(Products!$F$2:$F$49,MATCH(J2147,Products!$A$2:$A$49,0))</f>
        <v/>
      </c>
      <c r="S2147">
        <f>WEEKDAY(B2147,2)</f>
        <v/>
      </c>
    </row>
    <row r="2148">
      <c r="A2148" t="n">
        <v>510419</v>
      </c>
      <c r="B2148" s="6" t="n">
        <v>45957</v>
      </c>
      <c r="C2148" t="n">
        <v>16608</v>
      </c>
      <c r="D2148" t="inlineStr">
        <is>
          <t>Indore</t>
        </is>
      </c>
      <c r="E2148" t="inlineStr">
        <is>
          <t>West</t>
        </is>
      </c>
      <c r="F2148" t="inlineStr">
        <is>
          <t>Referral</t>
        </is>
      </c>
      <c r="G2148" t="inlineStr">
        <is>
          <t>Desktop</t>
        </is>
      </c>
      <c r="H2148" t="inlineStr">
        <is>
          <t>Credit Card</t>
        </is>
      </c>
      <c r="I2148" t="inlineStr">
        <is>
          <t>Delivered</t>
        </is>
      </c>
      <c r="J2148" t="n">
        <v>103</v>
      </c>
      <c r="K2148" t="n">
        <v>1</v>
      </c>
      <c r="L2148" t="n">
        <v>2624</v>
      </c>
      <c r="M2148" t="n">
        <v>0</v>
      </c>
      <c r="N2148">
        <f>VLOOKUP(J2148,Products!$A$2:$C$49,3,FALSE)</f>
        <v/>
      </c>
      <c r="O2148">
        <f>K2148*L2148-M2148</f>
        <v/>
      </c>
      <c r="P2148">
        <f>TEXT(B2148,"yyyy-mm")</f>
        <v/>
      </c>
      <c r="Q2148">
        <f>IF(O2148&gt;=3000,"Large","Small")</f>
        <v/>
      </c>
      <c r="R2148">
        <f>INDEX(Products!$F$2:$F$49,MATCH(J2148,Products!$A$2:$A$49,0))</f>
        <v/>
      </c>
      <c r="S2148">
        <f>WEEKDAY(B2148,2)</f>
        <v/>
      </c>
    </row>
    <row r="2149">
      <c r="A2149" t="n">
        <v>510419</v>
      </c>
      <c r="B2149" s="6" t="n">
        <v>45957</v>
      </c>
      <c r="C2149" t="n">
        <v>16608</v>
      </c>
      <c r="D2149" t="inlineStr">
        <is>
          <t>Indore</t>
        </is>
      </c>
      <c r="E2149" t="inlineStr">
        <is>
          <t>West</t>
        </is>
      </c>
      <c r="F2149" t="inlineStr">
        <is>
          <t>Referral</t>
        </is>
      </c>
      <c r="G2149" t="inlineStr">
        <is>
          <t>Desktop</t>
        </is>
      </c>
      <c r="H2149" t="inlineStr">
        <is>
          <t>Credit Card</t>
        </is>
      </c>
      <c r="I2149" t="inlineStr">
        <is>
          <t>Delivered</t>
        </is>
      </c>
      <c r="J2149" t="n">
        <v>113</v>
      </c>
      <c r="K2149" t="n">
        <v>1</v>
      </c>
      <c r="L2149" t="n">
        <v>1364</v>
      </c>
      <c r="M2149" t="n">
        <v>0</v>
      </c>
      <c r="N2149">
        <f>VLOOKUP(J2149,Products!$A$2:$C$49,3,FALSE)</f>
        <v/>
      </c>
      <c r="O2149">
        <f>K2149*L2149-M2149</f>
        <v/>
      </c>
      <c r="P2149">
        <f>TEXT(B2149,"yyyy-mm")</f>
        <v/>
      </c>
      <c r="Q2149">
        <f>IF(O2149&gt;=3000,"Large","Small")</f>
        <v/>
      </c>
      <c r="R2149">
        <f>INDEX(Products!$F$2:$F$49,MATCH(J2149,Products!$A$2:$A$49,0))</f>
        <v/>
      </c>
      <c r="S2149">
        <f>WEEKDAY(B2149,2)</f>
        <v/>
      </c>
    </row>
    <row r="2150">
      <c r="A2150" t="n">
        <v>510419</v>
      </c>
      <c r="B2150" s="6" t="n">
        <v>45957</v>
      </c>
      <c r="C2150" t="n">
        <v>16608</v>
      </c>
      <c r="D2150" t="inlineStr">
        <is>
          <t>Indore</t>
        </is>
      </c>
      <c r="E2150" t="inlineStr">
        <is>
          <t>West</t>
        </is>
      </c>
      <c r="F2150" t="inlineStr">
        <is>
          <t>Referral</t>
        </is>
      </c>
      <c r="G2150" t="inlineStr">
        <is>
          <t>Desktop</t>
        </is>
      </c>
      <c r="H2150" t="inlineStr">
        <is>
          <t>Credit Card</t>
        </is>
      </c>
      <c r="I2150" t="inlineStr">
        <is>
          <t>Delivered</t>
        </is>
      </c>
      <c r="J2150" t="n">
        <v>127</v>
      </c>
      <c r="K2150" t="n">
        <v>1</v>
      </c>
      <c r="L2150" t="n">
        <v>681</v>
      </c>
      <c r="M2150" t="n">
        <v>0</v>
      </c>
      <c r="N2150">
        <f>VLOOKUP(J2150,Products!$A$2:$C$49,3,FALSE)</f>
        <v/>
      </c>
      <c r="O2150">
        <f>K2150*L2150-M2150</f>
        <v/>
      </c>
      <c r="P2150">
        <f>TEXT(B2150,"yyyy-mm")</f>
        <v/>
      </c>
      <c r="Q2150">
        <f>IF(O2150&gt;=3000,"Large","Small")</f>
        <v/>
      </c>
      <c r="R2150">
        <f>INDEX(Products!$F$2:$F$49,MATCH(J2150,Products!$A$2:$A$49,0))</f>
        <v/>
      </c>
      <c r="S2150">
        <f>WEEKDAY(B2150,2)</f>
        <v/>
      </c>
    </row>
    <row r="2151">
      <c r="A2151" t="n">
        <v>510420</v>
      </c>
      <c r="B2151" s="6" t="n">
        <v>45957</v>
      </c>
      <c r="C2151" t="n">
        <v>16913</v>
      </c>
      <c r="D2151" t="inlineStr">
        <is>
          <t>Chennai</t>
        </is>
      </c>
      <c r="E2151" t="inlineStr">
        <is>
          <t>South</t>
        </is>
      </c>
      <c r="F2151" t="inlineStr">
        <is>
          <t>Paid Search</t>
        </is>
      </c>
      <c r="G2151" t="inlineStr">
        <is>
          <t>Desktop</t>
        </is>
      </c>
      <c r="H2151" t="inlineStr">
        <is>
          <t>Debit Card</t>
        </is>
      </c>
      <c r="I2151" t="inlineStr">
        <is>
          <t>Delivered</t>
        </is>
      </c>
      <c r="J2151" t="n">
        <v>142</v>
      </c>
      <c r="K2151" t="n">
        <v>1</v>
      </c>
      <c r="L2151" t="n">
        <v>839</v>
      </c>
      <c r="M2151" t="n">
        <v>0</v>
      </c>
      <c r="N2151">
        <f>VLOOKUP(J2151,Products!$A$2:$C$49,3,FALSE)</f>
        <v/>
      </c>
      <c r="O2151">
        <f>K2151*L2151-M2151</f>
        <v/>
      </c>
      <c r="P2151">
        <f>TEXT(B2151,"yyyy-mm")</f>
        <v/>
      </c>
      <c r="Q2151">
        <f>IF(O2151&gt;=3000,"Large","Small")</f>
        <v/>
      </c>
      <c r="R2151">
        <f>INDEX(Products!$F$2:$F$49,MATCH(J2151,Products!$A$2:$A$49,0))</f>
        <v/>
      </c>
      <c r="S2151">
        <f>WEEKDAY(B2151,2)</f>
        <v/>
      </c>
    </row>
    <row r="2152">
      <c r="A2152" t="n">
        <v>510420</v>
      </c>
      <c r="B2152" s="6" t="n">
        <v>45957</v>
      </c>
      <c r="C2152" t="n">
        <v>16913</v>
      </c>
      <c r="D2152" t="inlineStr">
        <is>
          <t>Chennai</t>
        </is>
      </c>
      <c r="E2152" t="inlineStr">
        <is>
          <t>South</t>
        </is>
      </c>
      <c r="F2152" t="inlineStr">
        <is>
          <t>Paid Search</t>
        </is>
      </c>
      <c r="G2152" t="inlineStr">
        <is>
          <t>Desktop</t>
        </is>
      </c>
      <c r="H2152" t="inlineStr">
        <is>
          <t>Debit Card</t>
        </is>
      </c>
      <c r="I2152" t="inlineStr">
        <is>
          <t>Delivered</t>
        </is>
      </c>
      <c r="J2152" t="n">
        <v>113</v>
      </c>
      <c r="K2152" t="n">
        <v>1</v>
      </c>
      <c r="L2152" t="n">
        <v>1364</v>
      </c>
      <c r="M2152" t="n">
        <v>0</v>
      </c>
      <c r="N2152">
        <f>VLOOKUP(J2152,Products!$A$2:$C$49,3,FALSE)</f>
        <v/>
      </c>
      <c r="O2152">
        <f>K2152*L2152-M2152</f>
        <v/>
      </c>
      <c r="P2152">
        <f>TEXT(B2152,"yyyy-mm")</f>
        <v/>
      </c>
      <c r="Q2152">
        <f>IF(O2152&gt;=3000,"Large","Small")</f>
        <v/>
      </c>
      <c r="R2152">
        <f>INDEX(Products!$F$2:$F$49,MATCH(J2152,Products!$A$2:$A$49,0))</f>
        <v/>
      </c>
      <c r="S2152">
        <f>WEEKDAY(B2152,2)</f>
        <v/>
      </c>
    </row>
    <row r="2153">
      <c r="A2153" t="n">
        <v>510421</v>
      </c>
      <c r="B2153" s="6" t="n">
        <v>45957</v>
      </c>
      <c r="C2153" t="n">
        <v>16922</v>
      </c>
      <c r="D2153" t="inlineStr">
        <is>
          <t>Chandigarh</t>
        </is>
      </c>
      <c r="E2153" t="inlineStr">
        <is>
          <t>North</t>
        </is>
      </c>
      <c r="F2153" t="inlineStr">
        <is>
          <t>Referral</t>
        </is>
      </c>
      <c r="G2153" t="inlineStr">
        <is>
          <t>Mobile App</t>
        </is>
      </c>
      <c r="H2153" t="inlineStr">
        <is>
          <t>Debit Card</t>
        </is>
      </c>
      <c r="I2153" t="inlineStr">
        <is>
          <t>Delivered</t>
        </is>
      </c>
      <c r="J2153" t="n">
        <v>134</v>
      </c>
      <c r="K2153" t="n">
        <v>1</v>
      </c>
      <c r="L2153" t="n">
        <v>209</v>
      </c>
      <c r="M2153" t="n">
        <v>31.35</v>
      </c>
      <c r="N2153">
        <f>VLOOKUP(J2153,Products!$A$2:$C$49,3,FALSE)</f>
        <v/>
      </c>
      <c r="O2153">
        <f>K2153*L2153-M2153</f>
        <v/>
      </c>
      <c r="P2153">
        <f>TEXT(B2153,"yyyy-mm")</f>
        <v/>
      </c>
      <c r="Q2153">
        <f>IF(O2153&gt;=3000,"Large","Small")</f>
        <v/>
      </c>
      <c r="R2153">
        <f>INDEX(Products!$F$2:$F$49,MATCH(J2153,Products!$A$2:$A$49,0))</f>
        <v/>
      </c>
      <c r="S2153">
        <f>WEEKDAY(B2153,2)</f>
        <v/>
      </c>
    </row>
    <row r="2154">
      <c r="A2154" t="n">
        <v>510422</v>
      </c>
      <c r="B2154" s="6" t="n">
        <v>45957</v>
      </c>
      <c r="C2154" t="n">
        <v>17042</v>
      </c>
      <c r="D2154" t="inlineStr">
        <is>
          <t>Indore</t>
        </is>
      </c>
      <c r="E2154" t="inlineStr">
        <is>
          <t>West</t>
        </is>
      </c>
      <c r="F2154" t="inlineStr">
        <is>
          <t>Organic Search</t>
        </is>
      </c>
      <c r="G2154" t="inlineStr">
        <is>
          <t>Mobile Web</t>
        </is>
      </c>
      <c r="H2154" t="inlineStr">
        <is>
          <t>UPI</t>
        </is>
      </c>
      <c r="I2154" t="inlineStr">
        <is>
          <t>Delivered</t>
        </is>
      </c>
      <c r="J2154" t="n">
        <v>104</v>
      </c>
      <c r="K2154" t="n">
        <v>1</v>
      </c>
      <c r="L2154" t="n">
        <v>5249</v>
      </c>
      <c r="M2154" t="n">
        <v>0</v>
      </c>
      <c r="N2154">
        <f>VLOOKUP(J2154,Products!$A$2:$C$49,3,FALSE)</f>
        <v/>
      </c>
      <c r="O2154">
        <f>K2154*L2154-M2154</f>
        <v/>
      </c>
      <c r="P2154">
        <f>TEXT(B2154,"yyyy-mm")</f>
        <v/>
      </c>
      <c r="Q2154">
        <f>IF(O2154&gt;=3000,"Large","Small")</f>
        <v/>
      </c>
      <c r="R2154">
        <f>INDEX(Products!$F$2:$F$49,MATCH(J2154,Products!$A$2:$A$49,0))</f>
        <v/>
      </c>
      <c r="S2154">
        <f>WEEKDAY(B2154,2)</f>
        <v/>
      </c>
    </row>
    <row r="2155">
      <c r="A2155" t="n">
        <v>510422</v>
      </c>
      <c r="B2155" s="6" t="n">
        <v>45957</v>
      </c>
      <c r="C2155" t="n">
        <v>17042</v>
      </c>
      <c r="D2155" t="inlineStr">
        <is>
          <t>Indore</t>
        </is>
      </c>
      <c r="E2155" t="inlineStr">
        <is>
          <t>West</t>
        </is>
      </c>
      <c r="F2155" t="inlineStr">
        <is>
          <t>Organic Search</t>
        </is>
      </c>
      <c r="G2155" t="inlineStr">
        <is>
          <t>Mobile Web</t>
        </is>
      </c>
      <c r="H2155" t="inlineStr">
        <is>
          <t>UPI</t>
        </is>
      </c>
      <c r="I2155" t="inlineStr">
        <is>
          <t>Delivered</t>
        </is>
      </c>
      <c r="J2155" t="n">
        <v>128</v>
      </c>
      <c r="K2155" t="n">
        <v>2</v>
      </c>
      <c r="L2155" t="n">
        <v>1049</v>
      </c>
      <c r="M2155" t="n">
        <v>0</v>
      </c>
      <c r="N2155">
        <f>VLOOKUP(J2155,Products!$A$2:$C$49,3,FALSE)</f>
        <v/>
      </c>
      <c r="O2155">
        <f>K2155*L2155-M2155</f>
        <v/>
      </c>
      <c r="P2155">
        <f>TEXT(B2155,"yyyy-mm")</f>
        <v/>
      </c>
      <c r="Q2155">
        <f>IF(O2155&gt;=3000,"Large","Small")</f>
        <v/>
      </c>
      <c r="R2155">
        <f>INDEX(Products!$F$2:$F$49,MATCH(J2155,Products!$A$2:$A$49,0))</f>
        <v/>
      </c>
      <c r="S2155">
        <f>WEEKDAY(B2155,2)</f>
        <v/>
      </c>
    </row>
    <row r="2156">
      <c r="A2156" t="n">
        <v>510423</v>
      </c>
      <c r="B2156" s="6" t="n">
        <v>45957</v>
      </c>
      <c r="C2156" t="n">
        <v>16036</v>
      </c>
      <c r="D2156" t="inlineStr">
        <is>
          <t>Delhi</t>
        </is>
      </c>
      <c r="E2156" t="inlineStr">
        <is>
          <t>North</t>
        </is>
      </c>
      <c r="F2156" t="inlineStr">
        <is>
          <t>Referral</t>
        </is>
      </c>
      <c r="G2156" t="inlineStr">
        <is>
          <t>Mobile Web</t>
        </is>
      </c>
      <c r="H2156" t="inlineStr">
        <is>
          <t>Debit Card</t>
        </is>
      </c>
      <c r="I2156" t="inlineStr">
        <is>
          <t>Delivered</t>
        </is>
      </c>
      <c r="J2156" t="n">
        <v>134</v>
      </c>
      <c r="K2156" t="n">
        <v>1</v>
      </c>
      <c r="L2156" t="n">
        <v>209</v>
      </c>
      <c r="M2156" t="n">
        <v>0</v>
      </c>
      <c r="N2156">
        <f>VLOOKUP(J2156,Products!$A$2:$C$49,3,FALSE)</f>
        <v/>
      </c>
      <c r="O2156">
        <f>K2156*L2156-M2156</f>
        <v/>
      </c>
      <c r="P2156">
        <f>TEXT(B2156,"yyyy-mm")</f>
        <v/>
      </c>
      <c r="Q2156">
        <f>IF(O2156&gt;=3000,"Large","Small")</f>
        <v/>
      </c>
      <c r="R2156">
        <f>INDEX(Products!$F$2:$F$49,MATCH(J2156,Products!$A$2:$A$49,0))</f>
        <v/>
      </c>
      <c r="S2156">
        <f>WEEKDAY(B2156,2)</f>
        <v/>
      </c>
    </row>
    <row r="2157">
      <c r="A2157" t="n">
        <v>510424</v>
      </c>
      <c r="B2157" s="6" t="n">
        <v>45957</v>
      </c>
      <c r="C2157" t="n">
        <v>17044</v>
      </c>
      <c r="D2157" t="inlineStr">
        <is>
          <t>Kolkata</t>
        </is>
      </c>
      <c r="E2157" t="inlineStr">
        <is>
          <t>East</t>
        </is>
      </c>
      <c r="F2157" t="inlineStr">
        <is>
          <t>Referral</t>
        </is>
      </c>
      <c r="G2157" t="inlineStr">
        <is>
          <t>Mobile App</t>
        </is>
      </c>
      <c r="H2157" t="inlineStr">
        <is>
          <t>Cash on Delivery</t>
        </is>
      </c>
      <c r="I2157" t="inlineStr">
        <is>
          <t>Delivered</t>
        </is>
      </c>
      <c r="J2157" t="n">
        <v>110</v>
      </c>
      <c r="K2157" t="n">
        <v>1</v>
      </c>
      <c r="L2157" t="n">
        <v>839</v>
      </c>
      <c r="M2157" t="n">
        <v>0</v>
      </c>
      <c r="N2157">
        <f>VLOOKUP(J2157,Products!$A$2:$C$49,3,FALSE)</f>
        <v/>
      </c>
      <c r="O2157">
        <f>K2157*L2157-M2157</f>
        <v/>
      </c>
      <c r="P2157">
        <f>TEXT(B2157,"yyyy-mm")</f>
        <v/>
      </c>
      <c r="Q2157">
        <f>IF(O2157&gt;=3000,"Large","Small")</f>
        <v/>
      </c>
      <c r="R2157">
        <f>INDEX(Products!$F$2:$F$49,MATCH(J2157,Products!$A$2:$A$49,0))</f>
        <v/>
      </c>
      <c r="S2157">
        <f>WEEKDAY(B2157,2)</f>
        <v/>
      </c>
    </row>
    <row r="2158">
      <c r="A2158" t="n">
        <v>510424</v>
      </c>
      <c r="B2158" s="6" t="n">
        <v>45957</v>
      </c>
      <c r="C2158" t="n">
        <v>17044</v>
      </c>
      <c r="D2158" t="inlineStr">
        <is>
          <t>Kolkata</t>
        </is>
      </c>
      <c r="E2158" t="inlineStr">
        <is>
          <t>East</t>
        </is>
      </c>
      <c r="F2158" t="inlineStr">
        <is>
          <t>Referral</t>
        </is>
      </c>
      <c r="G2158" t="inlineStr">
        <is>
          <t>Mobile App</t>
        </is>
      </c>
      <c r="H2158" t="inlineStr">
        <is>
          <t>Cash on Delivery</t>
        </is>
      </c>
      <c r="I2158" t="inlineStr">
        <is>
          <t>Delivered</t>
        </is>
      </c>
      <c r="J2158" t="n">
        <v>122</v>
      </c>
      <c r="K2158" t="n">
        <v>1</v>
      </c>
      <c r="L2158" t="n">
        <v>1994</v>
      </c>
      <c r="M2158" t="n">
        <v>0</v>
      </c>
      <c r="N2158">
        <f>VLOOKUP(J2158,Products!$A$2:$C$49,3,FALSE)</f>
        <v/>
      </c>
      <c r="O2158">
        <f>K2158*L2158-M2158</f>
        <v/>
      </c>
      <c r="P2158">
        <f>TEXT(B2158,"yyyy-mm")</f>
        <v/>
      </c>
      <c r="Q2158">
        <f>IF(O2158&gt;=3000,"Large","Small")</f>
        <v/>
      </c>
      <c r="R2158">
        <f>INDEX(Products!$F$2:$F$49,MATCH(J2158,Products!$A$2:$A$49,0))</f>
        <v/>
      </c>
      <c r="S2158">
        <f>WEEKDAY(B2158,2)</f>
        <v/>
      </c>
    </row>
    <row r="2159">
      <c r="A2159" t="n">
        <v>510424</v>
      </c>
      <c r="B2159" s="6" t="n">
        <v>45957</v>
      </c>
      <c r="C2159" t="n">
        <v>17044</v>
      </c>
      <c r="D2159" t="inlineStr">
        <is>
          <t>Kolkata</t>
        </is>
      </c>
      <c r="E2159" t="inlineStr">
        <is>
          <t>East</t>
        </is>
      </c>
      <c r="F2159" t="inlineStr">
        <is>
          <t>Referral</t>
        </is>
      </c>
      <c r="G2159" t="inlineStr">
        <is>
          <t>Mobile App</t>
        </is>
      </c>
      <c r="H2159" t="inlineStr">
        <is>
          <t>Cash on Delivery</t>
        </is>
      </c>
      <c r="I2159" t="inlineStr">
        <is>
          <t>Delivered</t>
        </is>
      </c>
      <c r="J2159" t="n">
        <v>132</v>
      </c>
      <c r="K2159" t="n">
        <v>1</v>
      </c>
      <c r="L2159" t="n">
        <v>471</v>
      </c>
      <c r="M2159" t="n">
        <v>0</v>
      </c>
      <c r="N2159">
        <f>VLOOKUP(J2159,Products!$A$2:$C$49,3,FALSE)</f>
        <v/>
      </c>
      <c r="O2159">
        <f>K2159*L2159-M2159</f>
        <v/>
      </c>
      <c r="P2159">
        <f>TEXT(B2159,"yyyy-mm")</f>
        <v/>
      </c>
      <c r="Q2159">
        <f>IF(O2159&gt;=3000,"Large","Small")</f>
        <v/>
      </c>
      <c r="R2159">
        <f>INDEX(Products!$F$2:$F$49,MATCH(J2159,Products!$A$2:$A$49,0))</f>
        <v/>
      </c>
      <c r="S2159">
        <f>WEEKDAY(B2159,2)</f>
        <v/>
      </c>
    </row>
    <row r="2160">
      <c r="A2160" t="n">
        <v>510425</v>
      </c>
      <c r="B2160" s="6" t="n">
        <v>45957</v>
      </c>
      <c r="C2160" t="n">
        <v>12516</v>
      </c>
      <c r="D2160" t="inlineStr">
        <is>
          <t>Mumbai</t>
        </is>
      </c>
      <c r="E2160" t="inlineStr">
        <is>
          <t>West</t>
        </is>
      </c>
      <c r="F2160" t="inlineStr">
        <is>
          <t>Email</t>
        </is>
      </c>
      <c r="G2160" t="inlineStr">
        <is>
          <t>Mobile App</t>
        </is>
      </c>
      <c r="H2160" t="inlineStr">
        <is>
          <t>Cash on Delivery</t>
        </is>
      </c>
      <c r="I2160" t="inlineStr">
        <is>
          <t>Delivered</t>
        </is>
      </c>
      <c r="J2160" t="n">
        <v>143</v>
      </c>
      <c r="K2160" t="n">
        <v>1</v>
      </c>
      <c r="L2160" t="n">
        <v>839</v>
      </c>
      <c r="M2160" t="n">
        <v>0</v>
      </c>
      <c r="N2160">
        <f>VLOOKUP(J2160,Products!$A$2:$C$49,3,FALSE)</f>
        <v/>
      </c>
      <c r="O2160">
        <f>K2160*L2160-M2160</f>
        <v/>
      </c>
      <c r="P2160">
        <f>TEXT(B2160,"yyyy-mm")</f>
        <v/>
      </c>
      <c r="Q2160">
        <f>IF(O2160&gt;=3000,"Large","Small")</f>
        <v/>
      </c>
      <c r="R2160">
        <f>INDEX(Products!$F$2:$F$49,MATCH(J2160,Products!$A$2:$A$49,0))</f>
        <v/>
      </c>
      <c r="S2160">
        <f>WEEKDAY(B2160,2)</f>
        <v/>
      </c>
    </row>
    <row r="2161">
      <c r="A2161" t="n">
        <v>510426</v>
      </c>
      <c r="B2161" s="6" t="n">
        <v>45957</v>
      </c>
      <c r="C2161" t="n">
        <v>16743</v>
      </c>
      <c r="D2161" t="inlineStr">
        <is>
          <t>Hyderabad</t>
        </is>
      </c>
      <c r="E2161" t="inlineStr">
        <is>
          <t>South</t>
        </is>
      </c>
      <c r="F2161" t="inlineStr">
        <is>
          <t>Referral</t>
        </is>
      </c>
      <c r="G2161" t="inlineStr">
        <is>
          <t>Mobile App</t>
        </is>
      </c>
      <c r="H2161" t="inlineStr">
        <is>
          <t>UPI</t>
        </is>
      </c>
      <c r="I2161" t="inlineStr">
        <is>
          <t>Returned</t>
        </is>
      </c>
      <c r="J2161" t="n">
        <v>130</v>
      </c>
      <c r="K2161" t="n">
        <v>3</v>
      </c>
      <c r="L2161" t="n">
        <v>734</v>
      </c>
      <c r="M2161" t="n">
        <v>0</v>
      </c>
      <c r="N2161">
        <f>VLOOKUP(J2161,Products!$A$2:$C$49,3,FALSE)</f>
        <v/>
      </c>
      <c r="O2161">
        <f>K2161*L2161-M2161</f>
        <v/>
      </c>
      <c r="P2161">
        <f>TEXT(B2161,"yyyy-mm")</f>
        <v/>
      </c>
      <c r="Q2161">
        <f>IF(O2161&gt;=3000,"Large","Small")</f>
        <v/>
      </c>
      <c r="R2161">
        <f>INDEX(Products!$F$2:$F$49,MATCH(J2161,Products!$A$2:$A$49,0))</f>
        <v/>
      </c>
      <c r="S2161">
        <f>WEEKDAY(B2161,2)</f>
        <v/>
      </c>
    </row>
    <row r="2162">
      <c r="A2162" t="n">
        <v>510427</v>
      </c>
      <c r="B2162" s="6" t="n">
        <v>45957</v>
      </c>
      <c r="C2162" t="n">
        <v>16960</v>
      </c>
      <c r="D2162" t="inlineStr">
        <is>
          <t>Hyderabad</t>
        </is>
      </c>
      <c r="E2162" t="inlineStr">
        <is>
          <t>South</t>
        </is>
      </c>
      <c r="F2162" t="inlineStr">
        <is>
          <t>Paid Search</t>
        </is>
      </c>
      <c r="G2162" t="inlineStr">
        <is>
          <t>Desktop</t>
        </is>
      </c>
      <c r="H2162" t="inlineStr">
        <is>
          <t>Cash on Delivery</t>
        </is>
      </c>
      <c r="I2162" t="inlineStr">
        <is>
          <t>Delivered</t>
        </is>
      </c>
      <c r="J2162" t="n">
        <v>107</v>
      </c>
      <c r="K2162" t="n">
        <v>1</v>
      </c>
      <c r="L2162" t="n">
        <v>1259</v>
      </c>
      <c r="M2162" t="n">
        <v>188.85</v>
      </c>
      <c r="N2162">
        <f>VLOOKUP(J2162,Products!$A$2:$C$49,3,FALSE)</f>
        <v/>
      </c>
      <c r="O2162">
        <f>K2162*L2162-M2162</f>
        <v/>
      </c>
      <c r="P2162">
        <f>TEXT(B2162,"yyyy-mm")</f>
        <v/>
      </c>
      <c r="Q2162">
        <f>IF(O2162&gt;=3000,"Large","Small")</f>
        <v/>
      </c>
      <c r="R2162">
        <f>INDEX(Products!$F$2:$F$49,MATCH(J2162,Products!$A$2:$A$49,0))</f>
        <v/>
      </c>
      <c r="S2162">
        <f>WEEKDAY(B2162,2)</f>
        <v/>
      </c>
    </row>
    <row r="2163">
      <c r="A2163" t="n">
        <v>510427</v>
      </c>
      <c r="B2163" s="6" t="n">
        <v>45957</v>
      </c>
      <c r="C2163" t="n">
        <v>16960</v>
      </c>
      <c r="D2163" t="inlineStr">
        <is>
          <t>Hyderabad</t>
        </is>
      </c>
      <c r="E2163" t="inlineStr">
        <is>
          <t>South</t>
        </is>
      </c>
      <c r="F2163" t="inlineStr">
        <is>
          <t>Paid Search</t>
        </is>
      </c>
      <c r="G2163" t="inlineStr">
        <is>
          <t>Desktop</t>
        </is>
      </c>
      <c r="H2163" t="inlineStr">
        <is>
          <t>Cash on Delivery</t>
        </is>
      </c>
      <c r="I2163" t="inlineStr">
        <is>
          <t>Delivered</t>
        </is>
      </c>
      <c r="J2163" t="n">
        <v>106</v>
      </c>
      <c r="K2163" t="n">
        <v>1</v>
      </c>
      <c r="L2163" t="n">
        <v>1574</v>
      </c>
      <c r="M2163" t="n">
        <v>236.1</v>
      </c>
      <c r="N2163">
        <f>VLOOKUP(J2163,Products!$A$2:$C$49,3,FALSE)</f>
        <v/>
      </c>
      <c r="O2163">
        <f>K2163*L2163-M2163</f>
        <v/>
      </c>
      <c r="P2163">
        <f>TEXT(B2163,"yyyy-mm")</f>
        <v/>
      </c>
      <c r="Q2163">
        <f>IF(O2163&gt;=3000,"Large","Small")</f>
        <v/>
      </c>
      <c r="R2163">
        <f>INDEX(Products!$F$2:$F$49,MATCH(J2163,Products!$A$2:$A$49,0))</f>
        <v/>
      </c>
      <c r="S2163">
        <f>WEEKDAY(B2163,2)</f>
        <v/>
      </c>
    </row>
    <row r="2164">
      <c r="A2164" t="n">
        <v>510427</v>
      </c>
      <c r="B2164" s="6" t="n">
        <v>45957</v>
      </c>
      <c r="C2164" t="n">
        <v>16960</v>
      </c>
      <c r="D2164" t="inlineStr">
        <is>
          <t>Hyderabad</t>
        </is>
      </c>
      <c r="E2164" t="inlineStr">
        <is>
          <t>South</t>
        </is>
      </c>
      <c r="F2164" t="inlineStr">
        <is>
          <t>Paid Search</t>
        </is>
      </c>
      <c r="G2164" t="inlineStr">
        <is>
          <t>Desktop</t>
        </is>
      </c>
      <c r="H2164" t="inlineStr">
        <is>
          <t>Cash on Delivery</t>
        </is>
      </c>
      <c r="I2164" t="inlineStr">
        <is>
          <t>Delivered</t>
        </is>
      </c>
      <c r="J2164" t="n">
        <v>128</v>
      </c>
      <c r="K2164" t="n">
        <v>2</v>
      </c>
      <c r="L2164" t="n">
        <v>1049</v>
      </c>
      <c r="M2164" t="n">
        <v>314.7</v>
      </c>
      <c r="N2164">
        <f>VLOOKUP(J2164,Products!$A$2:$C$49,3,FALSE)</f>
        <v/>
      </c>
      <c r="O2164">
        <f>K2164*L2164-M2164</f>
        <v/>
      </c>
      <c r="P2164">
        <f>TEXT(B2164,"yyyy-mm")</f>
        <v/>
      </c>
      <c r="Q2164">
        <f>IF(O2164&gt;=3000,"Large","Small")</f>
        <v/>
      </c>
      <c r="R2164">
        <f>INDEX(Products!$F$2:$F$49,MATCH(J2164,Products!$A$2:$A$49,0))</f>
        <v/>
      </c>
      <c r="S2164">
        <f>WEEKDAY(B2164,2)</f>
        <v/>
      </c>
    </row>
    <row r="2165">
      <c r="A2165" t="n">
        <v>510428</v>
      </c>
      <c r="B2165" s="6" t="n">
        <v>45957</v>
      </c>
      <c r="C2165" t="n">
        <v>17052</v>
      </c>
      <c r="D2165" t="inlineStr">
        <is>
          <t>Lucknow</t>
        </is>
      </c>
      <c r="E2165" t="inlineStr">
        <is>
          <t>North</t>
        </is>
      </c>
      <c r="F2165" t="inlineStr">
        <is>
          <t>Organic Search</t>
        </is>
      </c>
      <c r="G2165" t="inlineStr">
        <is>
          <t>Mobile App</t>
        </is>
      </c>
      <c r="H2165" t="inlineStr">
        <is>
          <t>Cash on Delivery</t>
        </is>
      </c>
      <c r="I2165" t="inlineStr">
        <is>
          <t>Delivered</t>
        </is>
      </c>
      <c r="J2165" t="n">
        <v>118</v>
      </c>
      <c r="K2165" t="n">
        <v>1</v>
      </c>
      <c r="L2165" t="n">
        <v>944</v>
      </c>
      <c r="M2165" t="n">
        <v>141.6</v>
      </c>
      <c r="N2165">
        <f>VLOOKUP(J2165,Products!$A$2:$C$49,3,FALSE)</f>
        <v/>
      </c>
      <c r="O2165">
        <f>K2165*L2165-M2165</f>
        <v/>
      </c>
      <c r="P2165">
        <f>TEXT(B2165,"yyyy-mm")</f>
        <v/>
      </c>
      <c r="Q2165">
        <f>IF(O2165&gt;=3000,"Large","Small")</f>
        <v/>
      </c>
      <c r="R2165">
        <f>INDEX(Products!$F$2:$F$49,MATCH(J2165,Products!$A$2:$A$49,0))</f>
        <v/>
      </c>
      <c r="S2165">
        <f>WEEKDAY(B2165,2)</f>
        <v/>
      </c>
    </row>
    <row r="2166">
      <c r="A2166" t="n">
        <v>510429</v>
      </c>
      <c r="B2166" s="6" t="n">
        <v>45957</v>
      </c>
      <c r="C2166" t="n">
        <v>16957</v>
      </c>
      <c r="D2166" t="inlineStr">
        <is>
          <t>Lucknow</t>
        </is>
      </c>
      <c r="E2166" t="inlineStr">
        <is>
          <t>North</t>
        </is>
      </c>
      <c r="F2166" t="inlineStr">
        <is>
          <t>Organic Search</t>
        </is>
      </c>
      <c r="G2166" t="inlineStr">
        <is>
          <t>Mobile App</t>
        </is>
      </c>
      <c r="H2166" t="inlineStr">
        <is>
          <t>Cash on Delivery</t>
        </is>
      </c>
      <c r="I2166" t="inlineStr">
        <is>
          <t>Returned</t>
        </is>
      </c>
      <c r="J2166" t="n">
        <v>114</v>
      </c>
      <c r="K2166" t="n">
        <v>2</v>
      </c>
      <c r="L2166" t="n">
        <v>1259</v>
      </c>
      <c r="M2166" t="n">
        <v>0</v>
      </c>
      <c r="N2166">
        <f>VLOOKUP(J2166,Products!$A$2:$C$49,3,FALSE)</f>
        <v/>
      </c>
      <c r="O2166">
        <f>K2166*L2166-M2166</f>
        <v/>
      </c>
      <c r="P2166">
        <f>TEXT(B2166,"yyyy-mm")</f>
        <v/>
      </c>
      <c r="Q2166">
        <f>IF(O2166&gt;=3000,"Large","Small")</f>
        <v/>
      </c>
      <c r="R2166">
        <f>INDEX(Products!$F$2:$F$49,MATCH(J2166,Products!$A$2:$A$49,0))</f>
        <v/>
      </c>
      <c r="S2166">
        <f>WEEKDAY(B2166,2)</f>
        <v/>
      </c>
    </row>
    <row r="2167">
      <c r="A2167" t="n">
        <v>510430</v>
      </c>
      <c r="B2167" s="6" t="n">
        <v>45957</v>
      </c>
      <c r="C2167" t="n">
        <v>17057</v>
      </c>
      <c r="D2167" t="inlineStr">
        <is>
          <t>Gurugram</t>
        </is>
      </c>
      <c r="E2167" t="inlineStr">
        <is>
          <t>North</t>
        </is>
      </c>
      <c r="F2167" t="inlineStr">
        <is>
          <t>Organic Search</t>
        </is>
      </c>
      <c r="G2167" t="inlineStr">
        <is>
          <t>Desktop</t>
        </is>
      </c>
      <c r="H2167" t="inlineStr">
        <is>
          <t>UPI</t>
        </is>
      </c>
      <c r="I2167" t="inlineStr">
        <is>
          <t>Delivered</t>
        </is>
      </c>
      <c r="J2167" t="n">
        <v>135</v>
      </c>
      <c r="K2167" t="n">
        <v>1</v>
      </c>
      <c r="L2167" t="n">
        <v>1574</v>
      </c>
      <c r="M2167" t="n">
        <v>0</v>
      </c>
      <c r="N2167">
        <f>VLOOKUP(J2167,Products!$A$2:$C$49,3,FALSE)</f>
        <v/>
      </c>
      <c r="O2167">
        <f>K2167*L2167-M2167</f>
        <v/>
      </c>
      <c r="P2167">
        <f>TEXT(B2167,"yyyy-mm")</f>
        <v/>
      </c>
      <c r="Q2167">
        <f>IF(O2167&gt;=3000,"Large","Small")</f>
        <v/>
      </c>
      <c r="R2167">
        <f>INDEX(Products!$F$2:$F$49,MATCH(J2167,Products!$A$2:$A$49,0))</f>
        <v/>
      </c>
      <c r="S2167">
        <f>WEEKDAY(B2167,2)</f>
        <v/>
      </c>
    </row>
    <row r="2168">
      <c r="A2168" t="n">
        <v>510430</v>
      </c>
      <c r="B2168" s="6" t="n">
        <v>45957</v>
      </c>
      <c r="C2168" t="n">
        <v>17057</v>
      </c>
      <c r="D2168" t="inlineStr">
        <is>
          <t>Gurugram</t>
        </is>
      </c>
      <c r="E2168" t="inlineStr">
        <is>
          <t>North</t>
        </is>
      </c>
      <c r="F2168" t="inlineStr">
        <is>
          <t>Organic Search</t>
        </is>
      </c>
      <c r="G2168" t="inlineStr">
        <is>
          <t>Desktop</t>
        </is>
      </c>
      <c r="H2168" t="inlineStr">
        <is>
          <t>UPI</t>
        </is>
      </c>
      <c r="I2168" t="inlineStr">
        <is>
          <t>Delivered</t>
        </is>
      </c>
      <c r="J2168" t="n">
        <v>112</v>
      </c>
      <c r="K2168" t="n">
        <v>1</v>
      </c>
      <c r="L2168" t="n">
        <v>1574</v>
      </c>
      <c r="M2168" t="n">
        <v>0</v>
      </c>
      <c r="N2168">
        <f>VLOOKUP(J2168,Products!$A$2:$C$49,3,FALSE)</f>
        <v/>
      </c>
      <c r="O2168">
        <f>K2168*L2168-M2168</f>
        <v/>
      </c>
      <c r="P2168">
        <f>TEXT(B2168,"yyyy-mm")</f>
        <v/>
      </c>
      <c r="Q2168">
        <f>IF(O2168&gt;=3000,"Large","Small")</f>
        <v/>
      </c>
      <c r="R2168">
        <f>INDEX(Products!$F$2:$F$49,MATCH(J2168,Products!$A$2:$A$49,0))</f>
        <v/>
      </c>
      <c r="S2168">
        <f>WEEKDAY(B2168,2)</f>
        <v/>
      </c>
    </row>
    <row r="2169">
      <c r="A2169" t="n">
        <v>510431</v>
      </c>
      <c r="B2169" s="6" t="n">
        <v>45957</v>
      </c>
      <c r="C2169" t="n">
        <v>17067</v>
      </c>
      <c r="D2169" t="inlineStr">
        <is>
          <t>Chennai</t>
        </is>
      </c>
      <c r="E2169" t="inlineStr">
        <is>
          <t>South</t>
        </is>
      </c>
      <c r="F2169" t="inlineStr">
        <is>
          <t>Referral</t>
        </is>
      </c>
      <c r="G2169" t="inlineStr">
        <is>
          <t>Mobile Web</t>
        </is>
      </c>
      <c r="H2169" t="inlineStr">
        <is>
          <t>Debit Card</t>
        </is>
      </c>
      <c r="I2169" t="inlineStr">
        <is>
          <t>Cancelled</t>
        </is>
      </c>
      <c r="J2169" t="n">
        <v>125</v>
      </c>
      <c r="K2169" t="n">
        <v>1</v>
      </c>
      <c r="L2169" t="n">
        <v>1364</v>
      </c>
      <c r="M2169" t="n">
        <v>0</v>
      </c>
      <c r="N2169">
        <f>VLOOKUP(J2169,Products!$A$2:$C$49,3,FALSE)</f>
        <v/>
      </c>
      <c r="O2169">
        <f>K2169*L2169-M2169</f>
        <v/>
      </c>
      <c r="P2169">
        <f>TEXT(B2169,"yyyy-mm")</f>
        <v/>
      </c>
      <c r="Q2169">
        <f>IF(O2169&gt;=3000,"Large","Small")</f>
        <v/>
      </c>
      <c r="R2169">
        <f>INDEX(Products!$F$2:$F$49,MATCH(J2169,Products!$A$2:$A$49,0))</f>
        <v/>
      </c>
      <c r="S2169">
        <f>WEEKDAY(B2169,2)</f>
        <v/>
      </c>
    </row>
    <row r="2170">
      <c r="A2170" t="n">
        <v>510432</v>
      </c>
      <c r="B2170" s="6" t="n">
        <v>45957</v>
      </c>
      <c r="C2170" t="n">
        <v>16921</v>
      </c>
      <c r="D2170" t="inlineStr">
        <is>
          <t>Delhi</t>
        </is>
      </c>
      <c r="E2170" t="inlineStr">
        <is>
          <t>North</t>
        </is>
      </c>
      <c r="F2170" t="inlineStr">
        <is>
          <t>Referral</t>
        </is>
      </c>
      <c r="G2170" t="inlineStr">
        <is>
          <t>Mobile App</t>
        </is>
      </c>
      <c r="H2170" t="inlineStr">
        <is>
          <t>UPI</t>
        </is>
      </c>
      <c r="I2170" t="inlineStr">
        <is>
          <t>Delivered</t>
        </is>
      </c>
      <c r="J2170" t="n">
        <v>147</v>
      </c>
      <c r="K2170" t="n">
        <v>1</v>
      </c>
      <c r="L2170" t="n">
        <v>1364</v>
      </c>
      <c r="M2170" t="n">
        <v>204.6</v>
      </c>
      <c r="N2170">
        <f>VLOOKUP(J2170,Products!$A$2:$C$49,3,FALSE)</f>
        <v/>
      </c>
      <c r="O2170">
        <f>K2170*L2170-M2170</f>
        <v/>
      </c>
      <c r="P2170">
        <f>TEXT(B2170,"yyyy-mm")</f>
        <v/>
      </c>
      <c r="Q2170">
        <f>IF(O2170&gt;=3000,"Large","Small")</f>
        <v/>
      </c>
      <c r="R2170">
        <f>INDEX(Products!$F$2:$F$49,MATCH(J2170,Products!$A$2:$A$49,0))</f>
        <v/>
      </c>
      <c r="S2170">
        <f>WEEKDAY(B2170,2)</f>
        <v/>
      </c>
    </row>
    <row r="2171">
      <c r="A2171" t="n">
        <v>510432</v>
      </c>
      <c r="B2171" s="6" t="n">
        <v>45957</v>
      </c>
      <c r="C2171" t="n">
        <v>16921</v>
      </c>
      <c r="D2171" t="inlineStr">
        <is>
          <t>Delhi</t>
        </is>
      </c>
      <c r="E2171" t="inlineStr">
        <is>
          <t>North</t>
        </is>
      </c>
      <c r="F2171" t="inlineStr">
        <is>
          <t>Referral</t>
        </is>
      </c>
      <c r="G2171" t="inlineStr">
        <is>
          <t>Mobile App</t>
        </is>
      </c>
      <c r="H2171" t="inlineStr">
        <is>
          <t>UPI</t>
        </is>
      </c>
      <c r="I2171" t="inlineStr">
        <is>
          <t>Delivered</t>
        </is>
      </c>
      <c r="J2171" t="n">
        <v>112</v>
      </c>
      <c r="K2171" t="n">
        <v>1</v>
      </c>
      <c r="L2171" t="n">
        <v>1574</v>
      </c>
      <c r="M2171" t="n">
        <v>236.1</v>
      </c>
      <c r="N2171">
        <f>VLOOKUP(J2171,Products!$A$2:$C$49,3,FALSE)</f>
        <v/>
      </c>
      <c r="O2171">
        <f>K2171*L2171-M2171</f>
        <v/>
      </c>
      <c r="P2171">
        <f>TEXT(B2171,"yyyy-mm")</f>
        <v/>
      </c>
      <c r="Q2171">
        <f>IF(O2171&gt;=3000,"Large","Small")</f>
        <v/>
      </c>
      <c r="R2171">
        <f>INDEX(Products!$F$2:$F$49,MATCH(J2171,Products!$A$2:$A$49,0))</f>
        <v/>
      </c>
      <c r="S2171">
        <f>WEEKDAY(B2171,2)</f>
        <v/>
      </c>
    </row>
    <row r="2172">
      <c r="A2172" t="n">
        <v>510433</v>
      </c>
      <c r="B2172" s="6" t="n">
        <v>45957</v>
      </c>
      <c r="C2172" t="n">
        <v>17040</v>
      </c>
      <c r="D2172" t="inlineStr">
        <is>
          <t>Mumbai</t>
        </is>
      </c>
      <c r="E2172" t="inlineStr">
        <is>
          <t>West</t>
        </is>
      </c>
      <c r="F2172" t="inlineStr">
        <is>
          <t>Organic Search</t>
        </is>
      </c>
      <c r="G2172" t="inlineStr">
        <is>
          <t>Mobile App</t>
        </is>
      </c>
      <c r="H2172" t="inlineStr">
        <is>
          <t>Debit Card</t>
        </is>
      </c>
      <c r="I2172" t="inlineStr">
        <is>
          <t>Delivered</t>
        </is>
      </c>
      <c r="J2172" t="n">
        <v>124</v>
      </c>
      <c r="K2172" t="n">
        <v>2</v>
      </c>
      <c r="L2172" t="n">
        <v>1154</v>
      </c>
      <c r="M2172" t="n">
        <v>0</v>
      </c>
      <c r="N2172">
        <f>VLOOKUP(J2172,Products!$A$2:$C$49,3,FALSE)</f>
        <v/>
      </c>
      <c r="O2172">
        <f>K2172*L2172-M2172</f>
        <v/>
      </c>
      <c r="P2172">
        <f>TEXT(B2172,"yyyy-mm")</f>
        <v/>
      </c>
      <c r="Q2172">
        <f>IF(O2172&gt;=3000,"Large","Small")</f>
        <v/>
      </c>
      <c r="R2172">
        <f>INDEX(Products!$F$2:$F$49,MATCH(J2172,Products!$A$2:$A$49,0))</f>
        <v/>
      </c>
      <c r="S2172">
        <f>WEEKDAY(B2172,2)</f>
        <v/>
      </c>
    </row>
    <row r="2173">
      <c r="A2173" t="n">
        <v>510434</v>
      </c>
      <c r="B2173" s="6" t="n">
        <v>45957</v>
      </c>
      <c r="C2173" t="n">
        <v>16995</v>
      </c>
      <c r="D2173" t="inlineStr">
        <is>
          <t>Bengaluru</t>
        </is>
      </c>
      <c r="E2173" t="inlineStr">
        <is>
          <t>South</t>
        </is>
      </c>
      <c r="F2173" t="inlineStr">
        <is>
          <t>Organic Search</t>
        </is>
      </c>
      <c r="G2173" t="inlineStr">
        <is>
          <t>Mobile Web</t>
        </is>
      </c>
      <c r="H2173" t="inlineStr">
        <is>
          <t>Credit Card</t>
        </is>
      </c>
      <c r="I2173" t="inlineStr">
        <is>
          <t>Delivered</t>
        </is>
      </c>
      <c r="J2173" t="n">
        <v>141</v>
      </c>
      <c r="K2173" t="n">
        <v>1</v>
      </c>
      <c r="L2173" t="n">
        <v>261</v>
      </c>
      <c r="M2173" t="n">
        <v>0</v>
      </c>
      <c r="N2173">
        <f>VLOOKUP(J2173,Products!$A$2:$C$49,3,FALSE)</f>
        <v/>
      </c>
      <c r="O2173">
        <f>K2173*L2173-M2173</f>
        <v/>
      </c>
      <c r="P2173">
        <f>TEXT(B2173,"yyyy-mm")</f>
        <v/>
      </c>
      <c r="Q2173">
        <f>IF(O2173&gt;=3000,"Large","Small")</f>
        <v/>
      </c>
      <c r="R2173">
        <f>INDEX(Products!$F$2:$F$49,MATCH(J2173,Products!$A$2:$A$49,0))</f>
        <v/>
      </c>
      <c r="S2173">
        <f>WEEKDAY(B2173,2)</f>
        <v/>
      </c>
    </row>
    <row r="2174">
      <c r="A2174" t="n">
        <v>510435</v>
      </c>
      <c r="B2174" s="6" t="n">
        <v>45957</v>
      </c>
      <c r="C2174" t="n">
        <v>17001</v>
      </c>
      <c r="D2174" t="inlineStr">
        <is>
          <t>Indore</t>
        </is>
      </c>
      <c r="E2174" t="inlineStr">
        <is>
          <t>West</t>
        </is>
      </c>
      <c r="F2174" t="inlineStr">
        <is>
          <t>Organic Search</t>
        </is>
      </c>
      <c r="G2174" t="inlineStr">
        <is>
          <t>Mobile App</t>
        </is>
      </c>
      <c r="H2174" t="inlineStr">
        <is>
          <t>UPI</t>
        </is>
      </c>
      <c r="I2174" t="inlineStr">
        <is>
          <t>Delivered</t>
        </is>
      </c>
      <c r="J2174" t="n">
        <v>134</v>
      </c>
      <c r="K2174" t="n">
        <v>1</v>
      </c>
      <c r="L2174" t="n">
        <v>209</v>
      </c>
      <c r="M2174" t="n">
        <v>0</v>
      </c>
      <c r="N2174">
        <f>VLOOKUP(J2174,Products!$A$2:$C$49,3,FALSE)</f>
        <v/>
      </c>
      <c r="O2174">
        <f>K2174*L2174-M2174</f>
        <v/>
      </c>
      <c r="P2174">
        <f>TEXT(B2174,"yyyy-mm")</f>
        <v/>
      </c>
      <c r="Q2174">
        <f>IF(O2174&gt;=3000,"Large","Small")</f>
        <v/>
      </c>
      <c r="R2174">
        <f>INDEX(Products!$F$2:$F$49,MATCH(J2174,Products!$A$2:$A$49,0))</f>
        <v/>
      </c>
      <c r="S2174">
        <f>WEEKDAY(B2174,2)</f>
        <v/>
      </c>
    </row>
    <row r="2175">
      <c r="A2175" t="n">
        <v>510436</v>
      </c>
      <c r="B2175" s="6" t="n">
        <v>45957</v>
      </c>
      <c r="C2175" t="n">
        <v>15894</v>
      </c>
      <c r="D2175" t="inlineStr">
        <is>
          <t>Chennai</t>
        </is>
      </c>
      <c r="E2175" t="inlineStr">
        <is>
          <t>South</t>
        </is>
      </c>
      <c r="F2175" t="inlineStr">
        <is>
          <t>Paid Social</t>
        </is>
      </c>
      <c r="G2175" t="inlineStr">
        <is>
          <t>Mobile Web</t>
        </is>
      </c>
      <c r="H2175" t="inlineStr">
        <is>
          <t>Credit Card</t>
        </is>
      </c>
      <c r="I2175" t="inlineStr">
        <is>
          <t>Delivered</t>
        </is>
      </c>
      <c r="J2175" t="n">
        <v>123</v>
      </c>
      <c r="K2175" t="n">
        <v>1</v>
      </c>
      <c r="L2175" t="n">
        <v>3464</v>
      </c>
      <c r="M2175" t="n">
        <v>0</v>
      </c>
      <c r="N2175">
        <f>VLOOKUP(J2175,Products!$A$2:$C$49,3,FALSE)</f>
        <v/>
      </c>
      <c r="O2175">
        <f>K2175*L2175-M2175</f>
        <v/>
      </c>
      <c r="P2175">
        <f>TEXT(B2175,"yyyy-mm")</f>
        <v/>
      </c>
      <c r="Q2175">
        <f>IF(O2175&gt;=3000,"Large","Small")</f>
        <v/>
      </c>
      <c r="R2175">
        <f>INDEX(Products!$F$2:$F$49,MATCH(J2175,Products!$A$2:$A$49,0))</f>
        <v/>
      </c>
      <c r="S2175">
        <f>WEEKDAY(B2175,2)</f>
        <v/>
      </c>
    </row>
    <row r="2176">
      <c r="A2176" t="n">
        <v>510437</v>
      </c>
      <c r="B2176" s="6" t="n">
        <v>45957</v>
      </c>
      <c r="C2176" t="n">
        <v>17032</v>
      </c>
      <c r="D2176" t="inlineStr">
        <is>
          <t>Chennai</t>
        </is>
      </c>
      <c r="E2176" t="inlineStr">
        <is>
          <t>South</t>
        </is>
      </c>
      <c r="F2176" t="inlineStr">
        <is>
          <t>Paid Search</t>
        </is>
      </c>
      <c r="G2176" t="inlineStr">
        <is>
          <t>Mobile App</t>
        </is>
      </c>
      <c r="H2176" t="inlineStr">
        <is>
          <t>UPI</t>
        </is>
      </c>
      <c r="I2176" t="inlineStr">
        <is>
          <t>Delivered</t>
        </is>
      </c>
      <c r="J2176" t="n">
        <v>113</v>
      </c>
      <c r="K2176" t="n">
        <v>2</v>
      </c>
      <c r="L2176" t="n">
        <v>1364</v>
      </c>
      <c r="M2176" t="n">
        <v>409.2</v>
      </c>
      <c r="N2176">
        <f>VLOOKUP(J2176,Products!$A$2:$C$49,3,FALSE)</f>
        <v/>
      </c>
      <c r="O2176">
        <f>K2176*L2176-M2176</f>
        <v/>
      </c>
      <c r="P2176">
        <f>TEXT(B2176,"yyyy-mm")</f>
        <v/>
      </c>
      <c r="Q2176">
        <f>IF(O2176&gt;=3000,"Large","Small")</f>
        <v/>
      </c>
      <c r="R2176">
        <f>INDEX(Products!$F$2:$F$49,MATCH(J2176,Products!$A$2:$A$49,0))</f>
        <v/>
      </c>
      <c r="S2176">
        <f>WEEKDAY(B2176,2)</f>
        <v/>
      </c>
    </row>
    <row r="2177">
      <c r="A2177" t="n">
        <v>510438</v>
      </c>
      <c r="B2177" s="6" t="n">
        <v>45957</v>
      </c>
      <c r="C2177" t="n">
        <v>16991</v>
      </c>
      <c r="D2177" t="inlineStr">
        <is>
          <t>Delhi</t>
        </is>
      </c>
      <c r="E2177" t="inlineStr">
        <is>
          <t>North</t>
        </is>
      </c>
      <c r="F2177" t="inlineStr">
        <is>
          <t>Paid Search</t>
        </is>
      </c>
      <c r="G2177" t="inlineStr">
        <is>
          <t>Mobile App</t>
        </is>
      </c>
      <c r="H2177" t="inlineStr">
        <is>
          <t>Cash on Delivery</t>
        </is>
      </c>
      <c r="I2177" t="inlineStr">
        <is>
          <t>Delivered</t>
        </is>
      </c>
      <c r="J2177" t="n">
        <v>114</v>
      </c>
      <c r="K2177" t="n">
        <v>1</v>
      </c>
      <c r="L2177" t="n">
        <v>1259</v>
      </c>
      <c r="M2177" t="n">
        <v>188.85</v>
      </c>
      <c r="N2177">
        <f>VLOOKUP(J2177,Products!$A$2:$C$49,3,FALSE)</f>
        <v/>
      </c>
      <c r="O2177">
        <f>K2177*L2177-M2177</f>
        <v/>
      </c>
      <c r="P2177">
        <f>TEXT(B2177,"yyyy-mm")</f>
        <v/>
      </c>
      <c r="Q2177">
        <f>IF(O2177&gt;=3000,"Large","Small")</f>
        <v/>
      </c>
      <c r="R2177">
        <f>INDEX(Products!$F$2:$F$49,MATCH(J2177,Products!$A$2:$A$49,0))</f>
        <v/>
      </c>
      <c r="S2177">
        <f>WEEKDAY(B2177,2)</f>
        <v/>
      </c>
    </row>
    <row r="2178">
      <c r="A2178" t="n">
        <v>510438</v>
      </c>
      <c r="B2178" s="6" t="n">
        <v>45957</v>
      </c>
      <c r="C2178" t="n">
        <v>16991</v>
      </c>
      <c r="D2178" t="inlineStr">
        <is>
          <t>Delhi</t>
        </is>
      </c>
      <c r="E2178" t="inlineStr">
        <is>
          <t>North</t>
        </is>
      </c>
      <c r="F2178" t="inlineStr">
        <is>
          <t>Paid Search</t>
        </is>
      </c>
      <c r="G2178" t="inlineStr">
        <is>
          <t>Mobile App</t>
        </is>
      </c>
      <c r="H2178" t="inlineStr">
        <is>
          <t>Cash on Delivery</t>
        </is>
      </c>
      <c r="I2178" t="inlineStr">
        <is>
          <t>Delivered</t>
        </is>
      </c>
      <c r="J2178" t="n">
        <v>112</v>
      </c>
      <c r="K2178" t="n">
        <v>1</v>
      </c>
      <c r="L2178" t="n">
        <v>1574</v>
      </c>
      <c r="M2178" t="n">
        <v>236.1</v>
      </c>
      <c r="N2178">
        <f>VLOOKUP(J2178,Products!$A$2:$C$49,3,FALSE)</f>
        <v/>
      </c>
      <c r="O2178">
        <f>K2178*L2178-M2178</f>
        <v/>
      </c>
      <c r="P2178">
        <f>TEXT(B2178,"yyyy-mm")</f>
        <v/>
      </c>
      <c r="Q2178">
        <f>IF(O2178&gt;=3000,"Large","Small")</f>
        <v/>
      </c>
      <c r="R2178">
        <f>INDEX(Products!$F$2:$F$49,MATCH(J2178,Products!$A$2:$A$49,0))</f>
        <v/>
      </c>
      <c r="S2178">
        <f>WEEKDAY(B2178,2)</f>
        <v/>
      </c>
    </row>
    <row r="2179">
      <c r="A2179" t="n">
        <v>510439</v>
      </c>
      <c r="B2179" s="6" t="n">
        <v>45957</v>
      </c>
      <c r="C2179" t="n">
        <v>13402</v>
      </c>
      <c r="D2179" t="inlineStr">
        <is>
          <t>Chennai</t>
        </is>
      </c>
      <c r="E2179" t="inlineStr">
        <is>
          <t>South</t>
        </is>
      </c>
      <c r="F2179" t="inlineStr">
        <is>
          <t>Paid Search</t>
        </is>
      </c>
      <c r="G2179" t="inlineStr">
        <is>
          <t>Mobile App</t>
        </is>
      </c>
      <c r="H2179" t="inlineStr">
        <is>
          <t>UPI</t>
        </is>
      </c>
      <c r="I2179" t="inlineStr">
        <is>
          <t>Delivered</t>
        </is>
      </c>
      <c r="J2179" t="n">
        <v>128</v>
      </c>
      <c r="K2179" t="n">
        <v>1</v>
      </c>
      <c r="L2179" t="n">
        <v>1049</v>
      </c>
      <c r="M2179" t="n">
        <v>0</v>
      </c>
      <c r="N2179">
        <f>VLOOKUP(J2179,Products!$A$2:$C$49,3,FALSE)</f>
        <v/>
      </c>
      <c r="O2179">
        <f>K2179*L2179-M2179</f>
        <v/>
      </c>
      <c r="P2179">
        <f>TEXT(B2179,"yyyy-mm")</f>
        <v/>
      </c>
      <c r="Q2179">
        <f>IF(O2179&gt;=3000,"Large","Small")</f>
        <v/>
      </c>
      <c r="R2179">
        <f>INDEX(Products!$F$2:$F$49,MATCH(J2179,Products!$A$2:$A$49,0))</f>
        <v/>
      </c>
      <c r="S2179">
        <f>WEEKDAY(B2179,2)</f>
        <v/>
      </c>
    </row>
    <row r="2180">
      <c r="A2180" t="n">
        <v>510439</v>
      </c>
      <c r="B2180" s="6" t="n">
        <v>45957</v>
      </c>
      <c r="C2180" t="n">
        <v>13402</v>
      </c>
      <c r="D2180" t="inlineStr">
        <is>
          <t>Chennai</t>
        </is>
      </c>
      <c r="E2180" t="inlineStr">
        <is>
          <t>South</t>
        </is>
      </c>
      <c r="F2180" t="inlineStr">
        <is>
          <t>Paid Search</t>
        </is>
      </c>
      <c r="G2180" t="inlineStr">
        <is>
          <t>Mobile App</t>
        </is>
      </c>
      <c r="H2180" t="inlineStr">
        <is>
          <t>UPI</t>
        </is>
      </c>
      <c r="I2180" t="inlineStr">
        <is>
          <t>Delivered</t>
        </is>
      </c>
      <c r="J2180" t="n">
        <v>132</v>
      </c>
      <c r="K2180" t="n">
        <v>1</v>
      </c>
      <c r="L2180" t="n">
        <v>471</v>
      </c>
      <c r="M2180" t="n">
        <v>0</v>
      </c>
      <c r="N2180">
        <f>VLOOKUP(J2180,Products!$A$2:$C$49,3,FALSE)</f>
        <v/>
      </c>
      <c r="O2180">
        <f>K2180*L2180-M2180</f>
        <v/>
      </c>
      <c r="P2180">
        <f>TEXT(B2180,"yyyy-mm")</f>
        <v/>
      </c>
      <c r="Q2180">
        <f>IF(O2180&gt;=3000,"Large","Small")</f>
        <v/>
      </c>
      <c r="R2180">
        <f>INDEX(Products!$F$2:$F$49,MATCH(J2180,Products!$A$2:$A$49,0))</f>
        <v/>
      </c>
      <c r="S2180">
        <f>WEEKDAY(B2180,2)</f>
        <v/>
      </c>
    </row>
    <row r="2181">
      <c r="A2181" t="n">
        <v>510440</v>
      </c>
      <c r="B2181" s="6" t="n">
        <v>45957</v>
      </c>
      <c r="C2181" t="n">
        <v>16908</v>
      </c>
      <c r="D2181" t="inlineStr">
        <is>
          <t>Ahmedabad</t>
        </is>
      </c>
      <c r="E2181" t="inlineStr">
        <is>
          <t>West</t>
        </is>
      </c>
      <c r="F2181" t="inlineStr">
        <is>
          <t>Referral</t>
        </is>
      </c>
      <c r="G2181" t="inlineStr">
        <is>
          <t>Mobile App</t>
        </is>
      </c>
      <c r="H2181" t="inlineStr">
        <is>
          <t>UPI</t>
        </is>
      </c>
      <c r="I2181" t="inlineStr">
        <is>
          <t>Delivered</t>
        </is>
      </c>
      <c r="J2181" t="n">
        <v>127</v>
      </c>
      <c r="K2181" t="n">
        <v>1</v>
      </c>
      <c r="L2181" t="n">
        <v>681</v>
      </c>
      <c r="M2181" t="n">
        <v>0</v>
      </c>
      <c r="N2181">
        <f>VLOOKUP(J2181,Products!$A$2:$C$49,3,FALSE)</f>
        <v/>
      </c>
      <c r="O2181">
        <f>K2181*L2181-M2181</f>
        <v/>
      </c>
      <c r="P2181">
        <f>TEXT(B2181,"yyyy-mm")</f>
        <v/>
      </c>
      <c r="Q2181">
        <f>IF(O2181&gt;=3000,"Large","Small")</f>
        <v/>
      </c>
      <c r="R2181">
        <f>INDEX(Products!$F$2:$F$49,MATCH(J2181,Products!$A$2:$A$49,0))</f>
        <v/>
      </c>
      <c r="S2181">
        <f>WEEKDAY(B2181,2)</f>
        <v/>
      </c>
    </row>
    <row r="2182">
      <c r="A2182" t="n">
        <v>510441</v>
      </c>
      <c r="B2182" s="6" t="n">
        <v>45957</v>
      </c>
      <c r="C2182" t="n">
        <v>16929</v>
      </c>
      <c r="D2182" t="inlineStr">
        <is>
          <t>Delhi</t>
        </is>
      </c>
      <c r="E2182" t="inlineStr">
        <is>
          <t>North</t>
        </is>
      </c>
      <c r="F2182" t="inlineStr">
        <is>
          <t>Organic Search</t>
        </is>
      </c>
      <c r="G2182" t="inlineStr">
        <is>
          <t>Desktop</t>
        </is>
      </c>
      <c r="H2182" t="inlineStr">
        <is>
          <t>UPI</t>
        </is>
      </c>
      <c r="I2182" t="inlineStr">
        <is>
          <t>Delivered</t>
        </is>
      </c>
      <c r="J2182" t="n">
        <v>147</v>
      </c>
      <c r="K2182" t="n">
        <v>1</v>
      </c>
      <c r="L2182" t="n">
        <v>1364</v>
      </c>
      <c r="M2182" t="n">
        <v>204.6</v>
      </c>
      <c r="N2182">
        <f>VLOOKUP(J2182,Products!$A$2:$C$49,3,FALSE)</f>
        <v/>
      </c>
      <c r="O2182">
        <f>K2182*L2182-M2182</f>
        <v/>
      </c>
      <c r="P2182">
        <f>TEXT(B2182,"yyyy-mm")</f>
        <v/>
      </c>
      <c r="Q2182">
        <f>IF(O2182&gt;=3000,"Large","Small")</f>
        <v/>
      </c>
      <c r="R2182">
        <f>INDEX(Products!$F$2:$F$49,MATCH(J2182,Products!$A$2:$A$49,0))</f>
        <v/>
      </c>
      <c r="S2182">
        <f>WEEKDAY(B2182,2)</f>
        <v/>
      </c>
    </row>
    <row r="2183">
      <c r="A2183" t="n">
        <v>510442</v>
      </c>
      <c r="B2183" s="6" t="n">
        <v>45957</v>
      </c>
      <c r="C2183" t="n">
        <v>14960</v>
      </c>
      <c r="D2183" t="inlineStr">
        <is>
          <t>Mumbai</t>
        </is>
      </c>
      <c r="E2183" t="inlineStr">
        <is>
          <t>West</t>
        </is>
      </c>
      <c r="F2183" t="inlineStr">
        <is>
          <t>Email</t>
        </is>
      </c>
      <c r="G2183" t="inlineStr">
        <is>
          <t>Mobile App</t>
        </is>
      </c>
      <c r="H2183" t="inlineStr">
        <is>
          <t>UPI</t>
        </is>
      </c>
      <c r="I2183" t="inlineStr">
        <is>
          <t>Delivered</t>
        </is>
      </c>
      <c r="J2183" t="n">
        <v>126</v>
      </c>
      <c r="K2183" t="n">
        <v>1</v>
      </c>
      <c r="L2183" t="n">
        <v>471</v>
      </c>
      <c r="M2183" t="n">
        <v>0</v>
      </c>
      <c r="N2183">
        <f>VLOOKUP(J2183,Products!$A$2:$C$49,3,FALSE)</f>
        <v/>
      </c>
      <c r="O2183">
        <f>K2183*L2183-M2183</f>
        <v/>
      </c>
      <c r="P2183">
        <f>TEXT(B2183,"yyyy-mm")</f>
        <v/>
      </c>
      <c r="Q2183">
        <f>IF(O2183&gt;=3000,"Large","Small")</f>
        <v/>
      </c>
      <c r="R2183">
        <f>INDEX(Products!$F$2:$F$49,MATCH(J2183,Products!$A$2:$A$49,0))</f>
        <v/>
      </c>
      <c r="S2183">
        <f>WEEKDAY(B2183,2)</f>
        <v/>
      </c>
    </row>
    <row r="2184">
      <c r="A2184" t="n">
        <v>510442</v>
      </c>
      <c r="B2184" s="6" t="n">
        <v>45957</v>
      </c>
      <c r="C2184" t="n">
        <v>14960</v>
      </c>
      <c r="D2184" t="inlineStr">
        <is>
          <t>Mumbai</t>
        </is>
      </c>
      <c r="E2184" t="inlineStr">
        <is>
          <t>West</t>
        </is>
      </c>
      <c r="F2184" t="inlineStr">
        <is>
          <t>Email</t>
        </is>
      </c>
      <c r="G2184" t="inlineStr">
        <is>
          <t>Mobile App</t>
        </is>
      </c>
      <c r="H2184" t="inlineStr">
        <is>
          <t>UPI</t>
        </is>
      </c>
      <c r="I2184" t="inlineStr">
        <is>
          <t>Delivered</t>
        </is>
      </c>
      <c r="J2184" t="n">
        <v>116</v>
      </c>
      <c r="K2184" t="n">
        <v>1</v>
      </c>
      <c r="L2184" t="n">
        <v>2624</v>
      </c>
      <c r="M2184" t="n">
        <v>0</v>
      </c>
      <c r="N2184">
        <f>VLOOKUP(J2184,Products!$A$2:$C$49,3,FALSE)</f>
        <v/>
      </c>
      <c r="O2184">
        <f>K2184*L2184-M2184</f>
        <v/>
      </c>
      <c r="P2184">
        <f>TEXT(B2184,"yyyy-mm")</f>
        <v/>
      </c>
      <c r="Q2184">
        <f>IF(O2184&gt;=3000,"Large","Small")</f>
        <v/>
      </c>
      <c r="R2184">
        <f>INDEX(Products!$F$2:$F$49,MATCH(J2184,Products!$A$2:$A$49,0))</f>
        <v/>
      </c>
      <c r="S2184">
        <f>WEEKDAY(B2184,2)</f>
        <v/>
      </c>
    </row>
    <row r="2185">
      <c r="A2185" t="n">
        <v>510443</v>
      </c>
      <c r="B2185" s="6" t="n">
        <v>45957</v>
      </c>
      <c r="C2185" t="n">
        <v>16182</v>
      </c>
      <c r="D2185" t="inlineStr">
        <is>
          <t>Lucknow</t>
        </is>
      </c>
      <c r="E2185" t="inlineStr">
        <is>
          <t>North</t>
        </is>
      </c>
      <c r="F2185" t="inlineStr">
        <is>
          <t>Email</t>
        </is>
      </c>
      <c r="G2185" t="inlineStr">
        <is>
          <t>Desktop</t>
        </is>
      </c>
      <c r="H2185" t="inlineStr">
        <is>
          <t>UPI</t>
        </is>
      </c>
      <c r="I2185" t="inlineStr">
        <is>
          <t>Delivered</t>
        </is>
      </c>
      <c r="J2185" t="n">
        <v>111</v>
      </c>
      <c r="K2185" t="n">
        <v>2</v>
      </c>
      <c r="L2185" t="n">
        <v>524</v>
      </c>
      <c r="M2185" t="n">
        <v>0</v>
      </c>
      <c r="N2185">
        <f>VLOOKUP(J2185,Products!$A$2:$C$49,3,FALSE)</f>
        <v/>
      </c>
      <c r="O2185">
        <f>K2185*L2185-M2185</f>
        <v/>
      </c>
      <c r="P2185">
        <f>TEXT(B2185,"yyyy-mm")</f>
        <v/>
      </c>
      <c r="Q2185">
        <f>IF(O2185&gt;=3000,"Large","Small")</f>
        <v/>
      </c>
      <c r="R2185">
        <f>INDEX(Products!$F$2:$F$49,MATCH(J2185,Products!$A$2:$A$49,0))</f>
        <v/>
      </c>
      <c r="S2185">
        <f>WEEKDAY(B2185,2)</f>
        <v/>
      </c>
    </row>
    <row r="2186">
      <c r="A2186" t="n">
        <v>510444</v>
      </c>
      <c r="B2186" s="6" t="n">
        <v>45957</v>
      </c>
      <c r="C2186" t="n">
        <v>16938</v>
      </c>
      <c r="D2186" t="inlineStr">
        <is>
          <t>Delhi</t>
        </is>
      </c>
      <c r="E2186" t="inlineStr">
        <is>
          <t>North</t>
        </is>
      </c>
      <c r="F2186" t="inlineStr">
        <is>
          <t>Paid Social</t>
        </is>
      </c>
      <c r="G2186" t="inlineStr">
        <is>
          <t>Desktop</t>
        </is>
      </c>
      <c r="H2186" t="inlineStr">
        <is>
          <t>Credit Card</t>
        </is>
      </c>
      <c r="I2186" t="inlineStr">
        <is>
          <t>Returned</t>
        </is>
      </c>
      <c r="J2186" t="n">
        <v>105</v>
      </c>
      <c r="K2186" t="n">
        <v>1</v>
      </c>
      <c r="L2186" t="n">
        <v>2414</v>
      </c>
      <c r="M2186" t="n">
        <v>362.1</v>
      </c>
      <c r="N2186">
        <f>VLOOKUP(J2186,Products!$A$2:$C$49,3,FALSE)</f>
        <v/>
      </c>
      <c r="O2186">
        <f>K2186*L2186-M2186</f>
        <v/>
      </c>
      <c r="P2186">
        <f>TEXT(B2186,"yyyy-mm")</f>
        <v/>
      </c>
      <c r="Q2186">
        <f>IF(O2186&gt;=3000,"Large","Small")</f>
        <v/>
      </c>
      <c r="R2186">
        <f>INDEX(Products!$F$2:$F$49,MATCH(J2186,Products!$A$2:$A$49,0))</f>
        <v/>
      </c>
      <c r="S2186">
        <f>WEEKDAY(B2186,2)</f>
        <v/>
      </c>
    </row>
    <row r="2187">
      <c r="A2187" t="n">
        <v>510444</v>
      </c>
      <c r="B2187" s="6" t="n">
        <v>45957</v>
      </c>
      <c r="C2187" t="n">
        <v>16938</v>
      </c>
      <c r="D2187" t="inlineStr">
        <is>
          <t>Delhi</t>
        </is>
      </c>
      <c r="E2187" t="inlineStr">
        <is>
          <t>North</t>
        </is>
      </c>
      <c r="F2187" t="inlineStr">
        <is>
          <t>Paid Social</t>
        </is>
      </c>
      <c r="G2187" t="inlineStr">
        <is>
          <t>Desktop</t>
        </is>
      </c>
      <c r="H2187" t="inlineStr">
        <is>
          <t>Credit Card</t>
        </is>
      </c>
      <c r="I2187" t="inlineStr">
        <is>
          <t>Returned</t>
        </is>
      </c>
      <c r="J2187" t="n">
        <v>114</v>
      </c>
      <c r="K2187" t="n">
        <v>1</v>
      </c>
      <c r="L2187" t="n">
        <v>1259</v>
      </c>
      <c r="M2187" t="n">
        <v>188.85</v>
      </c>
      <c r="N2187">
        <f>VLOOKUP(J2187,Products!$A$2:$C$49,3,FALSE)</f>
        <v/>
      </c>
      <c r="O2187">
        <f>K2187*L2187-M2187</f>
        <v/>
      </c>
      <c r="P2187">
        <f>TEXT(B2187,"yyyy-mm")</f>
        <v/>
      </c>
      <c r="Q2187">
        <f>IF(O2187&gt;=3000,"Large","Small")</f>
        <v/>
      </c>
      <c r="R2187">
        <f>INDEX(Products!$F$2:$F$49,MATCH(J2187,Products!$A$2:$A$49,0))</f>
        <v/>
      </c>
      <c r="S2187">
        <f>WEEKDAY(B2187,2)</f>
        <v/>
      </c>
    </row>
    <row r="2188">
      <c r="A2188" t="n">
        <v>510445</v>
      </c>
      <c r="B2188" s="6" t="n">
        <v>45957</v>
      </c>
      <c r="C2188" t="n">
        <v>17013</v>
      </c>
      <c r="D2188" t="inlineStr">
        <is>
          <t>Gurugram</t>
        </is>
      </c>
      <c r="E2188" t="inlineStr">
        <is>
          <t>North</t>
        </is>
      </c>
      <c r="F2188" t="inlineStr">
        <is>
          <t>Paid Social</t>
        </is>
      </c>
      <c r="G2188" t="inlineStr">
        <is>
          <t>Mobile App</t>
        </is>
      </c>
      <c r="H2188" t="inlineStr">
        <is>
          <t>UPI</t>
        </is>
      </c>
      <c r="I2188" t="inlineStr">
        <is>
          <t>Delivered</t>
        </is>
      </c>
      <c r="J2188" t="n">
        <v>137</v>
      </c>
      <c r="K2188" t="n">
        <v>1</v>
      </c>
      <c r="L2188" t="n">
        <v>261</v>
      </c>
      <c r="M2188" t="n">
        <v>39.15</v>
      </c>
      <c r="N2188">
        <f>VLOOKUP(J2188,Products!$A$2:$C$49,3,FALSE)</f>
        <v/>
      </c>
      <c r="O2188">
        <f>K2188*L2188-M2188</f>
        <v/>
      </c>
      <c r="P2188">
        <f>TEXT(B2188,"yyyy-mm")</f>
        <v/>
      </c>
      <c r="Q2188">
        <f>IF(O2188&gt;=3000,"Large","Small")</f>
        <v/>
      </c>
      <c r="R2188">
        <f>INDEX(Products!$F$2:$F$49,MATCH(J2188,Products!$A$2:$A$49,0))</f>
        <v/>
      </c>
      <c r="S2188">
        <f>WEEKDAY(B2188,2)</f>
        <v/>
      </c>
    </row>
    <row r="2189">
      <c r="A2189" t="n">
        <v>510446</v>
      </c>
      <c r="B2189" s="6" t="n">
        <v>45958</v>
      </c>
      <c r="C2189" t="n">
        <v>16176</v>
      </c>
      <c r="D2189" t="inlineStr">
        <is>
          <t>Mumbai</t>
        </is>
      </c>
      <c r="E2189" t="inlineStr">
        <is>
          <t>West</t>
        </is>
      </c>
      <c r="F2189" t="inlineStr">
        <is>
          <t>Organic Search</t>
        </is>
      </c>
      <c r="G2189" t="inlineStr">
        <is>
          <t>Mobile App</t>
        </is>
      </c>
      <c r="H2189" t="inlineStr">
        <is>
          <t>Credit Card</t>
        </is>
      </c>
      <c r="I2189" t="inlineStr">
        <is>
          <t>Delivered</t>
        </is>
      </c>
      <c r="J2189" t="n">
        <v>131</v>
      </c>
      <c r="K2189" t="n">
        <v>1</v>
      </c>
      <c r="L2189" t="n">
        <v>314</v>
      </c>
      <c r="M2189" t="n">
        <v>0</v>
      </c>
      <c r="N2189">
        <f>VLOOKUP(J2189,Products!$A$2:$C$49,3,FALSE)</f>
        <v/>
      </c>
      <c r="O2189">
        <f>K2189*L2189-M2189</f>
        <v/>
      </c>
      <c r="P2189">
        <f>TEXT(B2189,"yyyy-mm")</f>
        <v/>
      </c>
      <c r="Q2189">
        <f>IF(O2189&gt;=3000,"Large","Small")</f>
        <v/>
      </c>
      <c r="R2189">
        <f>INDEX(Products!$F$2:$F$49,MATCH(J2189,Products!$A$2:$A$49,0))</f>
        <v/>
      </c>
      <c r="S2189">
        <f>WEEKDAY(B2189,2)</f>
        <v/>
      </c>
    </row>
    <row r="2190">
      <c r="A2190" t="n">
        <v>510446</v>
      </c>
      <c r="B2190" s="6" t="n">
        <v>45958</v>
      </c>
      <c r="C2190" t="n">
        <v>16176</v>
      </c>
      <c r="D2190" t="inlineStr">
        <is>
          <t>Mumbai</t>
        </is>
      </c>
      <c r="E2190" t="inlineStr">
        <is>
          <t>West</t>
        </is>
      </c>
      <c r="F2190" t="inlineStr">
        <is>
          <t>Organic Search</t>
        </is>
      </c>
      <c r="G2190" t="inlineStr">
        <is>
          <t>Mobile App</t>
        </is>
      </c>
      <c r="H2190" t="inlineStr">
        <is>
          <t>Credit Card</t>
        </is>
      </c>
      <c r="I2190" t="inlineStr">
        <is>
          <t>Delivered</t>
        </is>
      </c>
      <c r="J2190" t="n">
        <v>121</v>
      </c>
      <c r="K2190" t="n">
        <v>1</v>
      </c>
      <c r="L2190" t="n">
        <v>2939</v>
      </c>
      <c r="M2190" t="n">
        <v>0</v>
      </c>
      <c r="N2190">
        <f>VLOOKUP(J2190,Products!$A$2:$C$49,3,FALSE)</f>
        <v/>
      </c>
      <c r="O2190">
        <f>K2190*L2190-M2190</f>
        <v/>
      </c>
      <c r="P2190">
        <f>TEXT(B2190,"yyyy-mm")</f>
        <v/>
      </c>
      <c r="Q2190">
        <f>IF(O2190&gt;=3000,"Large","Small")</f>
        <v/>
      </c>
      <c r="R2190">
        <f>INDEX(Products!$F$2:$F$49,MATCH(J2190,Products!$A$2:$A$49,0))</f>
        <v/>
      </c>
      <c r="S2190">
        <f>WEEKDAY(B2190,2)</f>
        <v/>
      </c>
    </row>
    <row r="2191">
      <c r="A2191" t="n">
        <v>510447</v>
      </c>
      <c r="B2191" s="6" t="n">
        <v>45958</v>
      </c>
      <c r="C2191" t="n">
        <v>17015</v>
      </c>
      <c r="D2191" t="inlineStr">
        <is>
          <t>Ahmedabad</t>
        </is>
      </c>
      <c r="E2191" t="inlineStr">
        <is>
          <t>West</t>
        </is>
      </c>
      <c r="F2191" t="inlineStr">
        <is>
          <t>Referral</t>
        </is>
      </c>
      <c r="G2191" t="inlineStr">
        <is>
          <t>Desktop</t>
        </is>
      </c>
      <c r="H2191" t="inlineStr">
        <is>
          <t>UPI</t>
        </is>
      </c>
      <c r="I2191" t="inlineStr">
        <is>
          <t>Delivered</t>
        </is>
      </c>
      <c r="J2191" t="n">
        <v>143</v>
      </c>
      <c r="K2191" t="n">
        <v>1</v>
      </c>
      <c r="L2191" t="n">
        <v>839</v>
      </c>
      <c r="M2191" t="n">
        <v>125.85</v>
      </c>
      <c r="N2191">
        <f>VLOOKUP(J2191,Products!$A$2:$C$49,3,FALSE)</f>
        <v/>
      </c>
      <c r="O2191">
        <f>K2191*L2191-M2191</f>
        <v/>
      </c>
      <c r="P2191">
        <f>TEXT(B2191,"yyyy-mm")</f>
        <v/>
      </c>
      <c r="Q2191">
        <f>IF(O2191&gt;=3000,"Large","Small")</f>
        <v/>
      </c>
      <c r="R2191">
        <f>INDEX(Products!$F$2:$F$49,MATCH(J2191,Products!$A$2:$A$49,0))</f>
        <v/>
      </c>
      <c r="S2191">
        <f>WEEKDAY(B2191,2)</f>
        <v/>
      </c>
    </row>
    <row r="2192">
      <c r="A2192" t="n">
        <v>510448</v>
      </c>
      <c r="B2192" s="6" t="n">
        <v>45958</v>
      </c>
      <c r="C2192" t="n">
        <v>16985</v>
      </c>
      <c r="D2192" t="inlineStr">
        <is>
          <t>Hyderabad</t>
        </is>
      </c>
      <c r="E2192" t="inlineStr">
        <is>
          <t>South</t>
        </is>
      </c>
      <c r="F2192" t="inlineStr">
        <is>
          <t>Paid Search</t>
        </is>
      </c>
      <c r="G2192" t="inlineStr">
        <is>
          <t>Desktop</t>
        </is>
      </c>
      <c r="H2192" t="inlineStr">
        <is>
          <t>UPI</t>
        </is>
      </c>
      <c r="I2192" t="inlineStr">
        <is>
          <t>Delivered</t>
        </is>
      </c>
      <c r="J2192" t="n">
        <v>108</v>
      </c>
      <c r="K2192" t="n">
        <v>1</v>
      </c>
      <c r="L2192" t="n">
        <v>419</v>
      </c>
      <c r="M2192" t="n">
        <v>0</v>
      </c>
      <c r="N2192">
        <f>VLOOKUP(J2192,Products!$A$2:$C$49,3,FALSE)</f>
        <v/>
      </c>
      <c r="O2192">
        <f>K2192*L2192-M2192</f>
        <v/>
      </c>
      <c r="P2192">
        <f>TEXT(B2192,"yyyy-mm")</f>
        <v/>
      </c>
      <c r="Q2192">
        <f>IF(O2192&gt;=3000,"Large","Small")</f>
        <v/>
      </c>
      <c r="R2192">
        <f>INDEX(Products!$F$2:$F$49,MATCH(J2192,Products!$A$2:$A$49,0))</f>
        <v/>
      </c>
      <c r="S2192">
        <f>WEEKDAY(B2192,2)</f>
        <v/>
      </c>
    </row>
    <row r="2193">
      <c r="A2193" t="n">
        <v>510448</v>
      </c>
      <c r="B2193" s="6" t="n">
        <v>45958</v>
      </c>
      <c r="C2193" t="n">
        <v>16985</v>
      </c>
      <c r="D2193" t="inlineStr">
        <is>
          <t>Hyderabad</t>
        </is>
      </c>
      <c r="E2193" t="inlineStr">
        <is>
          <t>South</t>
        </is>
      </c>
      <c r="F2193" t="inlineStr">
        <is>
          <t>Paid Search</t>
        </is>
      </c>
      <c r="G2193" t="inlineStr">
        <is>
          <t>Desktop</t>
        </is>
      </c>
      <c r="H2193" t="inlineStr">
        <is>
          <t>UPI</t>
        </is>
      </c>
      <c r="I2193" t="inlineStr">
        <is>
          <t>Delivered</t>
        </is>
      </c>
      <c r="J2193" t="n">
        <v>126</v>
      </c>
      <c r="K2193" t="n">
        <v>1</v>
      </c>
      <c r="L2193" t="n">
        <v>471</v>
      </c>
      <c r="M2193" t="n">
        <v>0</v>
      </c>
      <c r="N2193">
        <f>VLOOKUP(J2193,Products!$A$2:$C$49,3,FALSE)</f>
        <v/>
      </c>
      <c r="O2193">
        <f>K2193*L2193-M2193</f>
        <v/>
      </c>
      <c r="P2193">
        <f>TEXT(B2193,"yyyy-mm")</f>
        <v/>
      </c>
      <c r="Q2193">
        <f>IF(O2193&gt;=3000,"Large","Small")</f>
        <v/>
      </c>
      <c r="R2193">
        <f>INDEX(Products!$F$2:$F$49,MATCH(J2193,Products!$A$2:$A$49,0))</f>
        <v/>
      </c>
      <c r="S2193">
        <f>WEEKDAY(B2193,2)</f>
        <v/>
      </c>
    </row>
    <row r="2194">
      <c r="A2194" t="n">
        <v>510449</v>
      </c>
      <c r="B2194" s="6" t="n">
        <v>45958</v>
      </c>
      <c r="C2194" t="n">
        <v>17075</v>
      </c>
      <c r="D2194" t="inlineStr">
        <is>
          <t>Delhi</t>
        </is>
      </c>
      <c r="E2194" t="inlineStr">
        <is>
          <t>North</t>
        </is>
      </c>
      <c r="F2194" t="inlineStr">
        <is>
          <t>Organic Search</t>
        </is>
      </c>
      <c r="G2194" t="inlineStr">
        <is>
          <t>Mobile App</t>
        </is>
      </c>
      <c r="H2194" t="inlineStr">
        <is>
          <t>Debit Card</t>
        </is>
      </c>
      <c r="I2194" t="inlineStr">
        <is>
          <t>Delivered</t>
        </is>
      </c>
      <c r="J2194" t="n">
        <v>111</v>
      </c>
      <c r="K2194" t="n">
        <v>1</v>
      </c>
      <c r="L2194" t="n">
        <v>524</v>
      </c>
      <c r="M2194" t="n">
        <v>0</v>
      </c>
      <c r="N2194">
        <f>VLOOKUP(J2194,Products!$A$2:$C$49,3,FALSE)</f>
        <v/>
      </c>
      <c r="O2194">
        <f>K2194*L2194-M2194</f>
        <v/>
      </c>
      <c r="P2194">
        <f>TEXT(B2194,"yyyy-mm")</f>
        <v/>
      </c>
      <c r="Q2194">
        <f>IF(O2194&gt;=3000,"Large","Small")</f>
        <v/>
      </c>
      <c r="R2194">
        <f>INDEX(Products!$F$2:$F$49,MATCH(J2194,Products!$A$2:$A$49,0))</f>
        <v/>
      </c>
      <c r="S2194">
        <f>WEEKDAY(B2194,2)</f>
        <v/>
      </c>
    </row>
    <row r="2195">
      <c r="A2195" t="n">
        <v>510449</v>
      </c>
      <c r="B2195" s="6" t="n">
        <v>45958</v>
      </c>
      <c r="C2195" t="n">
        <v>17075</v>
      </c>
      <c r="D2195" t="inlineStr">
        <is>
          <t>Delhi</t>
        </is>
      </c>
      <c r="E2195" t="inlineStr">
        <is>
          <t>North</t>
        </is>
      </c>
      <c r="F2195" t="inlineStr">
        <is>
          <t>Organic Search</t>
        </is>
      </c>
      <c r="G2195" t="inlineStr">
        <is>
          <t>Mobile App</t>
        </is>
      </c>
      <c r="H2195" t="inlineStr">
        <is>
          <t>Debit Card</t>
        </is>
      </c>
      <c r="I2195" t="inlineStr">
        <is>
          <t>Delivered</t>
        </is>
      </c>
      <c r="J2195" t="n">
        <v>140</v>
      </c>
      <c r="K2195" t="n">
        <v>1</v>
      </c>
      <c r="L2195" t="n">
        <v>629</v>
      </c>
      <c r="M2195" t="n">
        <v>0</v>
      </c>
      <c r="N2195">
        <f>VLOOKUP(J2195,Products!$A$2:$C$49,3,FALSE)</f>
        <v/>
      </c>
      <c r="O2195">
        <f>K2195*L2195-M2195</f>
        <v/>
      </c>
      <c r="P2195">
        <f>TEXT(B2195,"yyyy-mm")</f>
        <v/>
      </c>
      <c r="Q2195">
        <f>IF(O2195&gt;=3000,"Large","Small")</f>
        <v/>
      </c>
      <c r="R2195">
        <f>INDEX(Products!$F$2:$F$49,MATCH(J2195,Products!$A$2:$A$49,0))</f>
        <v/>
      </c>
      <c r="S2195">
        <f>WEEKDAY(B2195,2)</f>
        <v/>
      </c>
    </row>
    <row r="2196">
      <c r="A2196" t="n">
        <v>510449</v>
      </c>
      <c r="B2196" s="6" t="n">
        <v>45958</v>
      </c>
      <c r="C2196" t="n">
        <v>17075</v>
      </c>
      <c r="D2196" t="inlineStr">
        <is>
          <t>Delhi</t>
        </is>
      </c>
      <c r="E2196" t="inlineStr">
        <is>
          <t>North</t>
        </is>
      </c>
      <c r="F2196" t="inlineStr">
        <is>
          <t>Organic Search</t>
        </is>
      </c>
      <c r="G2196" t="inlineStr">
        <is>
          <t>Mobile App</t>
        </is>
      </c>
      <c r="H2196" t="inlineStr">
        <is>
          <t>Debit Card</t>
        </is>
      </c>
      <c r="I2196" t="inlineStr">
        <is>
          <t>Delivered</t>
        </is>
      </c>
      <c r="J2196" t="n">
        <v>122</v>
      </c>
      <c r="K2196" t="n">
        <v>1</v>
      </c>
      <c r="L2196" t="n">
        <v>1994</v>
      </c>
      <c r="M2196" t="n">
        <v>0</v>
      </c>
      <c r="N2196">
        <f>VLOOKUP(J2196,Products!$A$2:$C$49,3,FALSE)</f>
        <v/>
      </c>
      <c r="O2196">
        <f>K2196*L2196-M2196</f>
        <v/>
      </c>
      <c r="P2196">
        <f>TEXT(B2196,"yyyy-mm")</f>
        <v/>
      </c>
      <c r="Q2196">
        <f>IF(O2196&gt;=3000,"Large","Small")</f>
        <v/>
      </c>
      <c r="R2196">
        <f>INDEX(Products!$F$2:$F$49,MATCH(J2196,Products!$A$2:$A$49,0))</f>
        <v/>
      </c>
      <c r="S2196">
        <f>WEEKDAY(B2196,2)</f>
        <v/>
      </c>
    </row>
    <row r="2197">
      <c r="A2197" t="n">
        <v>510450</v>
      </c>
      <c r="B2197" s="6" t="n">
        <v>45958</v>
      </c>
      <c r="C2197" t="n">
        <v>17072</v>
      </c>
      <c r="D2197" t="inlineStr">
        <is>
          <t>Mumbai</t>
        </is>
      </c>
      <c r="E2197" t="inlineStr">
        <is>
          <t>West</t>
        </is>
      </c>
      <c r="F2197" t="inlineStr">
        <is>
          <t>Organic Search</t>
        </is>
      </c>
      <c r="G2197" t="inlineStr">
        <is>
          <t>Mobile Web</t>
        </is>
      </c>
      <c r="H2197" t="inlineStr">
        <is>
          <t>UPI</t>
        </is>
      </c>
      <c r="I2197" t="inlineStr">
        <is>
          <t>Delivered</t>
        </is>
      </c>
      <c r="J2197" t="n">
        <v>135</v>
      </c>
      <c r="K2197" t="n">
        <v>1</v>
      </c>
      <c r="L2197" t="n">
        <v>1574</v>
      </c>
      <c r="M2197" t="n">
        <v>0</v>
      </c>
      <c r="N2197">
        <f>VLOOKUP(J2197,Products!$A$2:$C$49,3,FALSE)</f>
        <v/>
      </c>
      <c r="O2197">
        <f>K2197*L2197-M2197</f>
        <v/>
      </c>
      <c r="P2197">
        <f>TEXT(B2197,"yyyy-mm")</f>
        <v/>
      </c>
      <c r="Q2197">
        <f>IF(O2197&gt;=3000,"Large","Small")</f>
        <v/>
      </c>
      <c r="R2197">
        <f>INDEX(Products!$F$2:$F$49,MATCH(J2197,Products!$A$2:$A$49,0))</f>
        <v/>
      </c>
      <c r="S2197">
        <f>WEEKDAY(B2197,2)</f>
        <v/>
      </c>
    </row>
    <row r="2198">
      <c r="A2198" t="n">
        <v>510450</v>
      </c>
      <c r="B2198" s="6" t="n">
        <v>45958</v>
      </c>
      <c r="C2198" t="n">
        <v>17072</v>
      </c>
      <c r="D2198" t="inlineStr">
        <is>
          <t>Mumbai</t>
        </is>
      </c>
      <c r="E2198" t="inlineStr">
        <is>
          <t>West</t>
        </is>
      </c>
      <c r="F2198" t="inlineStr">
        <is>
          <t>Organic Search</t>
        </is>
      </c>
      <c r="G2198" t="inlineStr">
        <is>
          <t>Mobile Web</t>
        </is>
      </c>
      <c r="H2198" t="inlineStr">
        <is>
          <t>UPI</t>
        </is>
      </c>
      <c r="I2198" t="inlineStr">
        <is>
          <t>Delivered</t>
        </is>
      </c>
      <c r="J2198" t="n">
        <v>108</v>
      </c>
      <c r="K2198" t="n">
        <v>1</v>
      </c>
      <c r="L2198" t="n">
        <v>419</v>
      </c>
      <c r="M2198" t="n">
        <v>0</v>
      </c>
      <c r="N2198">
        <f>VLOOKUP(J2198,Products!$A$2:$C$49,3,FALSE)</f>
        <v/>
      </c>
      <c r="O2198">
        <f>K2198*L2198-M2198</f>
        <v/>
      </c>
      <c r="P2198">
        <f>TEXT(B2198,"yyyy-mm")</f>
        <v/>
      </c>
      <c r="Q2198">
        <f>IF(O2198&gt;=3000,"Large","Small")</f>
        <v/>
      </c>
      <c r="R2198">
        <f>INDEX(Products!$F$2:$F$49,MATCH(J2198,Products!$A$2:$A$49,0))</f>
        <v/>
      </c>
      <c r="S2198">
        <f>WEEKDAY(B2198,2)</f>
        <v/>
      </c>
    </row>
    <row r="2199">
      <c r="A2199" t="n">
        <v>510451</v>
      </c>
      <c r="B2199" s="6" t="n">
        <v>45958</v>
      </c>
      <c r="C2199" t="n">
        <v>16590</v>
      </c>
      <c r="D2199" t="inlineStr">
        <is>
          <t>Bengaluru</t>
        </is>
      </c>
      <c r="E2199" t="inlineStr">
        <is>
          <t>South</t>
        </is>
      </c>
      <c r="F2199" t="inlineStr">
        <is>
          <t>Paid Search</t>
        </is>
      </c>
      <c r="G2199" t="inlineStr">
        <is>
          <t>Mobile App</t>
        </is>
      </c>
      <c r="H2199" t="inlineStr">
        <is>
          <t>UPI</t>
        </is>
      </c>
      <c r="I2199" t="inlineStr">
        <is>
          <t>Delivered</t>
        </is>
      </c>
      <c r="J2199" t="n">
        <v>113</v>
      </c>
      <c r="K2199" t="n">
        <v>1</v>
      </c>
      <c r="L2199" t="n">
        <v>1364</v>
      </c>
      <c r="M2199" t="n">
        <v>0</v>
      </c>
      <c r="N2199">
        <f>VLOOKUP(J2199,Products!$A$2:$C$49,3,FALSE)</f>
        <v/>
      </c>
      <c r="O2199">
        <f>K2199*L2199-M2199</f>
        <v/>
      </c>
      <c r="P2199">
        <f>TEXT(B2199,"yyyy-mm")</f>
        <v/>
      </c>
      <c r="Q2199">
        <f>IF(O2199&gt;=3000,"Large","Small")</f>
        <v/>
      </c>
      <c r="R2199">
        <f>INDEX(Products!$F$2:$F$49,MATCH(J2199,Products!$A$2:$A$49,0))</f>
        <v/>
      </c>
      <c r="S2199">
        <f>WEEKDAY(B2199,2)</f>
        <v/>
      </c>
    </row>
    <row r="2200">
      <c r="A2200" t="n">
        <v>510452</v>
      </c>
      <c r="B2200" s="6" t="n">
        <v>45958</v>
      </c>
      <c r="C2200" t="n">
        <v>16952</v>
      </c>
      <c r="D2200" t="inlineStr">
        <is>
          <t>Pune</t>
        </is>
      </c>
      <c r="E2200" t="inlineStr">
        <is>
          <t>West</t>
        </is>
      </c>
      <c r="F2200" t="inlineStr">
        <is>
          <t>Referral</t>
        </is>
      </c>
      <c r="G2200" t="inlineStr">
        <is>
          <t>Mobile App</t>
        </is>
      </c>
      <c r="H2200" t="inlineStr">
        <is>
          <t>Credit Card</t>
        </is>
      </c>
      <c r="I2200" t="inlineStr">
        <is>
          <t>Delivered</t>
        </is>
      </c>
      <c r="J2200" t="n">
        <v>119</v>
      </c>
      <c r="K2200" t="n">
        <v>2</v>
      </c>
      <c r="L2200" t="n">
        <v>2309</v>
      </c>
      <c r="M2200" t="n">
        <v>692.7</v>
      </c>
      <c r="N2200">
        <f>VLOOKUP(J2200,Products!$A$2:$C$49,3,FALSE)</f>
        <v/>
      </c>
      <c r="O2200">
        <f>K2200*L2200-M2200</f>
        <v/>
      </c>
      <c r="P2200">
        <f>TEXT(B2200,"yyyy-mm")</f>
        <v/>
      </c>
      <c r="Q2200">
        <f>IF(O2200&gt;=3000,"Large","Small")</f>
        <v/>
      </c>
      <c r="R2200">
        <f>INDEX(Products!$F$2:$F$49,MATCH(J2200,Products!$A$2:$A$49,0))</f>
        <v/>
      </c>
      <c r="S2200">
        <f>WEEKDAY(B2200,2)</f>
        <v/>
      </c>
    </row>
    <row r="2201">
      <c r="A2201" t="n">
        <v>510453</v>
      </c>
      <c r="B2201" s="6" t="n">
        <v>45958</v>
      </c>
      <c r="C2201" t="n">
        <v>16684</v>
      </c>
      <c r="D2201" t="inlineStr">
        <is>
          <t>Jaipur</t>
        </is>
      </c>
      <c r="E2201" t="inlineStr">
        <is>
          <t>North</t>
        </is>
      </c>
      <c r="F2201" t="inlineStr">
        <is>
          <t>Referral</t>
        </is>
      </c>
      <c r="G2201" t="inlineStr">
        <is>
          <t>Mobile Web</t>
        </is>
      </c>
      <c r="H2201" t="inlineStr">
        <is>
          <t>Credit Card</t>
        </is>
      </c>
      <c r="I2201" t="inlineStr">
        <is>
          <t>Delivered</t>
        </is>
      </c>
      <c r="J2201" t="n">
        <v>123</v>
      </c>
      <c r="K2201" t="n">
        <v>2</v>
      </c>
      <c r="L2201" t="n">
        <v>3464</v>
      </c>
      <c r="M2201" t="n">
        <v>0</v>
      </c>
      <c r="N2201">
        <f>VLOOKUP(J2201,Products!$A$2:$C$49,3,FALSE)</f>
        <v/>
      </c>
      <c r="O2201">
        <f>K2201*L2201-M2201</f>
        <v/>
      </c>
      <c r="P2201">
        <f>TEXT(B2201,"yyyy-mm")</f>
        <v/>
      </c>
      <c r="Q2201">
        <f>IF(O2201&gt;=3000,"Large","Small")</f>
        <v/>
      </c>
      <c r="R2201">
        <f>INDEX(Products!$F$2:$F$49,MATCH(J2201,Products!$A$2:$A$49,0))</f>
        <v/>
      </c>
      <c r="S2201">
        <f>WEEKDAY(B2201,2)</f>
        <v/>
      </c>
    </row>
    <row r="2202">
      <c r="A2202" t="n">
        <v>510454</v>
      </c>
      <c r="B2202" s="6" t="n">
        <v>45958</v>
      </c>
      <c r="C2202" t="n">
        <v>17020</v>
      </c>
      <c r="D2202" t="inlineStr">
        <is>
          <t>Indore</t>
        </is>
      </c>
      <c r="E2202" t="inlineStr">
        <is>
          <t>West</t>
        </is>
      </c>
      <c r="F2202" t="inlineStr">
        <is>
          <t>Email</t>
        </is>
      </c>
      <c r="G2202" t="inlineStr">
        <is>
          <t>Mobile Web</t>
        </is>
      </c>
      <c r="H2202" t="inlineStr">
        <is>
          <t>Cash on Delivery</t>
        </is>
      </c>
      <c r="I2202" t="inlineStr">
        <is>
          <t>Delivered</t>
        </is>
      </c>
      <c r="J2202" t="n">
        <v>118</v>
      </c>
      <c r="K2202" t="n">
        <v>1</v>
      </c>
      <c r="L2202" t="n">
        <v>944</v>
      </c>
      <c r="M2202" t="n">
        <v>47.2</v>
      </c>
      <c r="N2202">
        <f>VLOOKUP(J2202,Products!$A$2:$C$49,3,FALSE)</f>
        <v/>
      </c>
      <c r="O2202">
        <f>K2202*L2202-M2202</f>
        <v/>
      </c>
      <c r="P2202">
        <f>TEXT(B2202,"yyyy-mm")</f>
        <v/>
      </c>
      <c r="Q2202">
        <f>IF(O2202&gt;=3000,"Large","Small")</f>
        <v/>
      </c>
      <c r="R2202">
        <f>INDEX(Products!$F$2:$F$49,MATCH(J2202,Products!$A$2:$A$49,0))</f>
        <v/>
      </c>
      <c r="S2202">
        <f>WEEKDAY(B2202,2)</f>
        <v/>
      </c>
    </row>
    <row r="2203">
      <c r="A2203" t="n">
        <v>510455</v>
      </c>
      <c r="B2203" s="6" t="n">
        <v>45958</v>
      </c>
      <c r="C2203" t="n">
        <v>17050</v>
      </c>
      <c r="D2203" t="inlineStr">
        <is>
          <t>Kochi</t>
        </is>
      </c>
      <c r="E2203" t="inlineStr">
        <is>
          <t>South</t>
        </is>
      </c>
      <c r="F2203" t="inlineStr">
        <is>
          <t>Referral</t>
        </is>
      </c>
      <c r="G2203" t="inlineStr">
        <is>
          <t>Mobile App</t>
        </is>
      </c>
      <c r="H2203" t="inlineStr">
        <is>
          <t>UPI</t>
        </is>
      </c>
      <c r="I2203" t="inlineStr">
        <is>
          <t>Delivered</t>
        </is>
      </c>
      <c r="J2203" t="n">
        <v>134</v>
      </c>
      <c r="K2203" t="n">
        <v>1</v>
      </c>
      <c r="L2203" t="n">
        <v>209</v>
      </c>
      <c r="M2203" t="n">
        <v>0</v>
      </c>
      <c r="N2203">
        <f>VLOOKUP(J2203,Products!$A$2:$C$49,3,FALSE)</f>
        <v/>
      </c>
      <c r="O2203">
        <f>K2203*L2203-M2203</f>
        <v/>
      </c>
      <c r="P2203">
        <f>TEXT(B2203,"yyyy-mm")</f>
        <v/>
      </c>
      <c r="Q2203">
        <f>IF(O2203&gt;=3000,"Large","Small")</f>
        <v/>
      </c>
      <c r="R2203">
        <f>INDEX(Products!$F$2:$F$49,MATCH(J2203,Products!$A$2:$A$49,0))</f>
        <v/>
      </c>
      <c r="S2203">
        <f>WEEKDAY(B2203,2)</f>
        <v/>
      </c>
    </row>
    <row r="2204">
      <c r="A2204" t="n">
        <v>510455</v>
      </c>
      <c r="B2204" s="6" t="n">
        <v>45958</v>
      </c>
      <c r="C2204" t="n">
        <v>17050</v>
      </c>
      <c r="D2204" t="inlineStr">
        <is>
          <t>Kochi</t>
        </is>
      </c>
      <c r="E2204" t="inlineStr">
        <is>
          <t>South</t>
        </is>
      </c>
      <c r="F2204" t="inlineStr">
        <is>
          <t>Referral</t>
        </is>
      </c>
      <c r="G2204" t="inlineStr">
        <is>
          <t>Mobile App</t>
        </is>
      </c>
      <c r="H2204" t="inlineStr">
        <is>
          <t>UPI</t>
        </is>
      </c>
      <c r="I2204" t="inlineStr">
        <is>
          <t>Delivered</t>
        </is>
      </c>
      <c r="J2204" t="n">
        <v>130</v>
      </c>
      <c r="K2204" t="n">
        <v>1</v>
      </c>
      <c r="L2204" t="n">
        <v>734</v>
      </c>
      <c r="M2204" t="n">
        <v>0</v>
      </c>
      <c r="N2204">
        <f>VLOOKUP(J2204,Products!$A$2:$C$49,3,FALSE)</f>
        <v/>
      </c>
      <c r="O2204">
        <f>K2204*L2204-M2204</f>
        <v/>
      </c>
      <c r="P2204">
        <f>TEXT(B2204,"yyyy-mm")</f>
        <v/>
      </c>
      <c r="Q2204">
        <f>IF(O2204&gt;=3000,"Large","Small")</f>
        <v/>
      </c>
      <c r="R2204">
        <f>INDEX(Products!$F$2:$F$49,MATCH(J2204,Products!$A$2:$A$49,0))</f>
        <v/>
      </c>
      <c r="S2204">
        <f>WEEKDAY(B2204,2)</f>
        <v/>
      </c>
    </row>
    <row r="2205">
      <c r="A2205" t="n">
        <v>510455</v>
      </c>
      <c r="B2205" s="6" t="n">
        <v>45958</v>
      </c>
      <c r="C2205" t="n">
        <v>17050</v>
      </c>
      <c r="D2205" t="inlineStr">
        <is>
          <t>Kochi</t>
        </is>
      </c>
      <c r="E2205" t="inlineStr">
        <is>
          <t>South</t>
        </is>
      </c>
      <c r="F2205" t="inlineStr">
        <is>
          <t>Referral</t>
        </is>
      </c>
      <c r="G2205" t="inlineStr">
        <is>
          <t>Mobile App</t>
        </is>
      </c>
      <c r="H2205" t="inlineStr">
        <is>
          <t>UPI</t>
        </is>
      </c>
      <c r="I2205" t="inlineStr">
        <is>
          <t>Delivered</t>
        </is>
      </c>
      <c r="J2205" t="n">
        <v>111</v>
      </c>
      <c r="K2205" t="n">
        <v>2</v>
      </c>
      <c r="L2205" t="n">
        <v>524</v>
      </c>
      <c r="M2205" t="n">
        <v>0</v>
      </c>
      <c r="N2205">
        <f>VLOOKUP(J2205,Products!$A$2:$C$49,3,FALSE)</f>
        <v/>
      </c>
      <c r="O2205">
        <f>K2205*L2205-M2205</f>
        <v/>
      </c>
      <c r="P2205">
        <f>TEXT(B2205,"yyyy-mm")</f>
        <v/>
      </c>
      <c r="Q2205">
        <f>IF(O2205&gt;=3000,"Large","Small")</f>
        <v/>
      </c>
      <c r="R2205">
        <f>INDEX(Products!$F$2:$F$49,MATCH(J2205,Products!$A$2:$A$49,0))</f>
        <v/>
      </c>
      <c r="S2205">
        <f>WEEKDAY(B2205,2)</f>
        <v/>
      </c>
    </row>
    <row r="2206">
      <c r="A2206" t="n">
        <v>510456</v>
      </c>
      <c r="B2206" s="6" t="n">
        <v>45958</v>
      </c>
      <c r="C2206" t="n">
        <v>17069</v>
      </c>
      <c r="D2206" t="inlineStr">
        <is>
          <t>Jaipur</t>
        </is>
      </c>
      <c r="E2206" t="inlineStr">
        <is>
          <t>North</t>
        </is>
      </c>
      <c r="F2206" t="inlineStr">
        <is>
          <t>Referral</t>
        </is>
      </c>
      <c r="G2206" t="inlineStr">
        <is>
          <t>Mobile Web</t>
        </is>
      </c>
      <c r="H2206" t="inlineStr">
        <is>
          <t>Cash on Delivery</t>
        </is>
      </c>
      <c r="I2206" t="inlineStr">
        <is>
          <t>Cancelled</t>
        </is>
      </c>
      <c r="J2206" t="n">
        <v>130</v>
      </c>
      <c r="K2206" t="n">
        <v>1</v>
      </c>
      <c r="L2206" t="n">
        <v>734</v>
      </c>
      <c r="M2206" t="n">
        <v>0</v>
      </c>
      <c r="N2206">
        <f>VLOOKUP(J2206,Products!$A$2:$C$49,3,FALSE)</f>
        <v/>
      </c>
      <c r="O2206">
        <f>K2206*L2206-M2206</f>
        <v/>
      </c>
      <c r="P2206">
        <f>TEXT(B2206,"yyyy-mm")</f>
        <v/>
      </c>
      <c r="Q2206">
        <f>IF(O2206&gt;=3000,"Large","Small")</f>
        <v/>
      </c>
      <c r="R2206">
        <f>INDEX(Products!$F$2:$F$49,MATCH(J2206,Products!$A$2:$A$49,0))</f>
        <v/>
      </c>
      <c r="S2206">
        <f>WEEKDAY(B2206,2)</f>
        <v/>
      </c>
    </row>
    <row r="2207">
      <c r="A2207" t="n">
        <v>510457</v>
      </c>
      <c r="B2207" s="6" t="n">
        <v>45958</v>
      </c>
      <c r="C2207" t="n">
        <v>17079</v>
      </c>
      <c r="D2207" t="inlineStr">
        <is>
          <t>Mumbai</t>
        </is>
      </c>
      <c r="E2207" t="inlineStr">
        <is>
          <t>West</t>
        </is>
      </c>
      <c r="F2207" t="inlineStr">
        <is>
          <t>Referral</t>
        </is>
      </c>
      <c r="G2207" t="inlineStr">
        <is>
          <t>Desktop</t>
        </is>
      </c>
      <c r="H2207" t="inlineStr">
        <is>
          <t>UPI</t>
        </is>
      </c>
      <c r="I2207" t="inlineStr">
        <is>
          <t>Delivered</t>
        </is>
      </c>
      <c r="J2207" t="n">
        <v>102</v>
      </c>
      <c r="K2207" t="n">
        <v>2</v>
      </c>
      <c r="L2207" t="n">
        <v>3674</v>
      </c>
      <c r="M2207" t="n">
        <v>0</v>
      </c>
      <c r="N2207">
        <f>VLOOKUP(J2207,Products!$A$2:$C$49,3,FALSE)</f>
        <v/>
      </c>
      <c r="O2207">
        <f>K2207*L2207-M2207</f>
        <v/>
      </c>
      <c r="P2207">
        <f>TEXT(B2207,"yyyy-mm")</f>
        <v/>
      </c>
      <c r="Q2207">
        <f>IF(O2207&gt;=3000,"Large","Small")</f>
        <v/>
      </c>
      <c r="R2207">
        <f>INDEX(Products!$F$2:$F$49,MATCH(J2207,Products!$A$2:$A$49,0))</f>
        <v/>
      </c>
      <c r="S2207">
        <f>WEEKDAY(B2207,2)</f>
        <v/>
      </c>
    </row>
    <row r="2208">
      <c r="A2208" t="n">
        <v>510457</v>
      </c>
      <c r="B2208" s="6" t="n">
        <v>45958</v>
      </c>
      <c r="C2208" t="n">
        <v>17079</v>
      </c>
      <c r="D2208" t="inlineStr">
        <is>
          <t>Mumbai</t>
        </is>
      </c>
      <c r="E2208" t="inlineStr">
        <is>
          <t>West</t>
        </is>
      </c>
      <c r="F2208" t="inlineStr">
        <is>
          <t>Referral</t>
        </is>
      </c>
      <c r="G2208" t="inlineStr">
        <is>
          <t>Desktop</t>
        </is>
      </c>
      <c r="H2208" t="inlineStr">
        <is>
          <t>UPI</t>
        </is>
      </c>
      <c r="I2208" t="inlineStr">
        <is>
          <t>Delivered</t>
        </is>
      </c>
      <c r="J2208" t="n">
        <v>103</v>
      </c>
      <c r="K2208" t="n">
        <v>1</v>
      </c>
      <c r="L2208" t="n">
        <v>2624</v>
      </c>
      <c r="M2208" t="n">
        <v>0</v>
      </c>
      <c r="N2208">
        <f>VLOOKUP(J2208,Products!$A$2:$C$49,3,FALSE)</f>
        <v/>
      </c>
      <c r="O2208">
        <f>K2208*L2208-M2208</f>
        <v/>
      </c>
      <c r="P2208">
        <f>TEXT(B2208,"yyyy-mm")</f>
        <v/>
      </c>
      <c r="Q2208">
        <f>IF(O2208&gt;=3000,"Large","Small")</f>
        <v/>
      </c>
      <c r="R2208">
        <f>INDEX(Products!$F$2:$F$49,MATCH(J2208,Products!$A$2:$A$49,0))</f>
        <v/>
      </c>
      <c r="S2208">
        <f>WEEKDAY(B2208,2)</f>
        <v/>
      </c>
    </row>
    <row r="2209">
      <c r="A2209" t="n">
        <v>510458</v>
      </c>
      <c r="B2209" s="6" t="n">
        <v>45958</v>
      </c>
      <c r="C2209" t="n">
        <v>16693</v>
      </c>
      <c r="D2209" t="inlineStr">
        <is>
          <t>Chandigarh</t>
        </is>
      </c>
      <c r="E2209" t="inlineStr">
        <is>
          <t>North</t>
        </is>
      </c>
      <c r="F2209" t="inlineStr">
        <is>
          <t>Affiliate</t>
        </is>
      </c>
      <c r="G2209" t="inlineStr">
        <is>
          <t>Mobile App</t>
        </is>
      </c>
      <c r="H2209" t="inlineStr">
        <is>
          <t>Debit Card</t>
        </is>
      </c>
      <c r="I2209" t="inlineStr">
        <is>
          <t>Delivered</t>
        </is>
      </c>
      <c r="J2209" t="n">
        <v>126</v>
      </c>
      <c r="K2209" t="n">
        <v>1</v>
      </c>
      <c r="L2209" t="n">
        <v>471</v>
      </c>
      <c r="M2209" t="n">
        <v>0</v>
      </c>
      <c r="N2209">
        <f>VLOOKUP(J2209,Products!$A$2:$C$49,3,FALSE)</f>
        <v/>
      </c>
      <c r="O2209">
        <f>K2209*L2209-M2209</f>
        <v/>
      </c>
      <c r="P2209">
        <f>TEXT(B2209,"yyyy-mm")</f>
        <v/>
      </c>
      <c r="Q2209">
        <f>IF(O2209&gt;=3000,"Large","Small")</f>
        <v/>
      </c>
      <c r="R2209">
        <f>INDEX(Products!$F$2:$F$49,MATCH(J2209,Products!$A$2:$A$49,0))</f>
        <v/>
      </c>
      <c r="S2209">
        <f>WEEKDAY(B2209,2)</f>
        <v/>
      </c>
    </row>
    <row r="2210">
      <c r="A2210" t="n">
        <v>510458</v>
      </c>
      <c r="B2210" s="6" t="n">
        <v>45958</v>
      </c>
      <c r="C2210" t="n">
        <v>16693</v>
      </c>
      <c r="D2210" t="inlineStr">
        <is>
          <t>Chandigarh</t>
        </is>
      </c>
      <c r="E2210" t="inlineStr">
        <is>
          <t>North</t>
        </is>
      </c>
      <c r="F2210" t="inlineStr">
        <is>
          <t>Affiliate</t>
        </is>
      </c>
      <c r="G2210" t="inlineStr">
        <is>
          <t>Mobile App</t>
        </is>
      </c>
      <c r="H2210" t="inlineStr">
        <is>
          <t>Debit Card</t>
        </is>
      </c>
      <c r="I2210" t="inlineStr">
        <is>
          <t>Delivered</t>
        </is>
      </c>
      <c r="J2210" t="n">
        <v>129</v>
      </c>
      <c r="K2210" t="n">
        <v>1</v>
      </c>
      <c r="L2210" t="n">
        <v>576</v>
      </c>
      <c r="M2210" t="n">
        <v>0</v>
      </c>
      <c r="N2210">
        <f>VLOOKUP(J2210,Products!$A$2:$C$49,3,FALSE)</f>
        <v/>
      </c>
      <c r="O2210">
        <f>K2210*L2210-M2210</f>
        <v/>
      </c>
      <c r="P2210">
        <f>TEXT(B2210,"yyyy-mm")</f>
        <v/>
      </c>
      <c r="Q2210">
        <f>IF(O2210&gt;=3000,"Large","Small")</f>
        <v/>
      </c>
      <c r="R2210">
        <f>INDEX(Products!$F$2:$F$49,MATCH(J2210,Products!$A$2:$A$49,0))</f>
        <v/>
      </c>
      <c r="S2210">
        <f>WEEKDAY(B2210,2)</f>
        <v/>
      </c>
    </row>
    <row r="2211">
      <c r="A2211" t="n">
        <v>510458</v>
      </c>
      <c r="B2211" s="6" t="n">
        <v>45958</v>
      </c>
      <c r="C2211" t="n">
        <v>16693</v>
      </c>
      <c r="D2211" t="inlineStr">
        <is>
          <t>Chandigarh</t>
        </is>
      </c>
      <c r="E2211" t="inlineStr">
        <is>
          <t>North</t>
        </is>
      </c>
      <c r="F2211" t="inlineStr">
        <is>
          <t>Affiliate</t>
        </is>
      </c>
      <c r="G2211" t="inlineStr">
        <is>
          <t>Mobile App</t>
        </is>
      </c>
      <c r="H2211" t="inlineStr">
        <is>
          <t>Debit Card</t>
        </is>
      </c>
      <c r="I2211" t="inlineStr">
        <is>
          <t>Delivered</t>
        </is>
      </c>
      <c r="J2211" t="n">
        <v>142</v>
      </c>
      <c r="K2211" t="n">
        <v>1</v>
      </c>
      <c r="L2211" t="n">
        <v>839</v>
      </c>
      <c r="M2211" t="n">
        <v>0</v>
      </c>
      <c r="N2211">
        <f>VLOOKUP(J2211,Products!$A$2:$C$49,3,FALSE)</f>
        <v/>
      </c>
      <c r="O2211">
        <f>K2211*L2211-M2211</f>
        <v/>
      </c>
      <c r="P2211">
        <f>TEXT(B2211,"yyyy-mm")</f>
        <v/>
      </c>
      <c r="Q2211">
        <f>IF(O2211&gt;=3000,"Large","Small")</f>
        <v/>
      </c>
      <c r="R2211">
        <f>INDEX(Products!$F$2:$F$49,MATCH(J2211,Products!$A$2:$A$49,0))</f>
        <v/>
      </c>
      <c r="S2211">
        <f>WEEKDAY(B2211,2)</f>
        <v/>
      </c>
    </row>
    <row r="2212">
      <c r="A2212" t="n">
        <v>510459</v>
      </c>
      <c r="B2212" s="6" t="n">
        <v>45958</v>
      </c>
      <c r="C2212" t="n">
        <v>16843</v>
      </c>
      <c r="D2212" t="inlineStr">
        <is>
          <t>Delhi</t>
        </is>
      </c>
      <c r="E2212" t="inlineStr">
        <is>
          <t>North</t>
        </is>
      </c>
      <c r="F2212" t="inlineStr">
        <is>
          <t>Organic Search</t>
        </is>
      </c>
      <c r="G2212" t="inlineStr">
        <is>
          <t>Mobile Web</t>
        </is>
      </c>
      <c r="H2212" t="inlineStr">
        <is>
          <t>Cash on Delivery</t>
        </is>
      </c>
      <c r="I2212" t="inlineStr">
        <is>
          <t>Delivered</t>
        </is>
      </c>
      <c r="J2212" t="n">
        <v>115</v>
      </c>
      <c r="K2212" t="n">
        <v>1</v>
      </c>
      <c r="L2212" t="n">
        <v>4199</v>
      </c>
      <c r="M2212" t="n">
        <v>629.85</v>
      </c>
      <c r="N2212">
        <f>VLOOKUP(J2212,Products!$A$2:$C$49,3,FALSE)</f>
        <v/>
      </c>
      <c r="O2212">
        <f>K2212*L2212-M2212</f>
        <v/>
      </c>
      <c r="P2212">
        <f>TEXT(B2212,"yyyy-mm")</f>
        <v/>
      </c>
      <c r="Q2212">
        <f>IF(O2212&gt;=3000,"Large","Small")</f>
        <v/>
      </c>
      <c r="R2212">
        <f>INDEX(Products!$F$2:$F$49,MATCH(J2212,Products!$A$2:$A$49,0))</f>
        <v/>
      </c>
      <c r="S2212">
        <f>WEEKDAY(B2212,2)</f>
        <v/>
      </c>
    </row>
    <row r="2213">
      <c r="A2213" t="n">
        <v>510459</v>
      </c>
      <c r="B2213" s="6" t="n">
        <v>45958</v>
      </c>
      <c r="C2213" t="n">
        <v>16843</v>
      </c>
      <c r="D2213" t="inlineStr">
        <is>
          <t>Delhi</t>
        </is>
      </c>
      <c r="E2213" t="inlineStr">
        <is>
          <t>North</t>
        </is>
      </c>
      <c r="F2213" t="inlineStr">
        <is>
          <t>Organic Search</t>
        </is>
      </c>
      <c r="G2213" t="inlineStr">
        <is>
          <t>Mobile Web</t>
        </is>
      </c>
      <c r="H2213" t="inlineStr">
        <is>
          <t>Cash on Delivery</t>
        </is>
      </c>
      <c r="I2213" t="inlineStr">
        <is>
          <t>Delivered</t>
        </is>
      </c>
      <c r="J2213" t="n">
        <v>128</v>
      </c>
      <c r="K2213" t="n">
        <v>1</v>
      </c>
      <c r="L2213" t="n">
        <v>1049</v>
      </c>
      <c r="M2213" t="n">
        <v>157.35</v>
      </c>
      <c r="N2213">
        <f>VLOOKUP(J2213,Products!$A$2:$C$49,3,FALSE)</f>
        <v/>
      </c>
      <c r="O2213">
        <f>K2213*L2213-M2213</f>
        <v/>
      </c>
      <c r="P2213">
        <f>TEXT(B2213,"yyyy-mm")</f>
        <v/>
      </c>
      <c r="Q2213">
        <f>IF(O2213&gt;=3000,"Large","Small")</f>
        <v/>
      </c>
      <c r="R2213">
        <f>INDEX(Products!$F$2:$F$49,MATCH(J2213,Products!$A$2:$A$49,0))</f>
        <v/>
      </c>
      <c r="S2213">
        <f>WEEKDAY(B2213,2)</f>
        <v/>
      </c>
    </row>
    <row r="2214">
      <c r="A2214" t="n">
        <v>510460</v>
      </c>
      <c r="B2214" s="6" t="n">
        <v>45958</v>
      </c>
      <c r="C2214" t="n">
        <v>17077</v>
      </c>
      <c r="D2214" t="inlineStr">
        <is>
          <t>Noida</t>
        </is>
      </c>
      <c r="E2214" t="inlineStr">
        <is>
          <t>North</t>
        </is>
      </c>
      <c r="F2214" t="inlineStr">
        <is>
          <t>Paid Social</t>
        </is>
      </c>
      <c r="G2214" t="inlineStr">
        <is>
          <t>Mobile App</t>
        </is>
      </c>
      <c r="H2214" t="inlineStr">
        <is>
          <t>Cash on Delivery</t>
        </is>
      </c>
      <c r="I2214" t="inlineStr">
        <is>
          <t>Delivered</t>
        </is>
      </c>
      <c r="J2214" t="n">
        <v>122</v>
      </c>
      <c r="K2214" t="n">
        <v>1</v>
      </c>
      <c r="L2214" t="n">
        <v>1994</v>
      </c>
      <c r="M2214" t="n">
        <v>0</v>
      </c>
      <c r="N2214">
        <f>VLOOKUP(J2214,Products!$A$2:$C$49,3,FALSE)</f>
        <v/>
      </c>
      <c r="O2214">
        <f>K2214*L2214-M2214</f>
        <v/>
      </c>
      <c r="P2214">
        <f>TEXT(B2214,"yyyy-mm")</f>
        <v/>
      </c>
      <c r="Q2214">
        <f>IF(O2214&gt;=3000,"Large","Small")</f>
        <v/>
      </c>
      <c r="R2214">
        <f>INDEX(Products!$F$2:$F$49,MATCH(J2214,Products!$A$2:$A$49,0))</f>
        <v/>
      </c>
      <c r="S2214">
        <f>WEEKDAY(B2214,2)</f>
        <v/>
      </c>
    </row>
    <row r="2215">
      <c r="A2215" t="n">
        <v>510461</v>
      </c>
      <c r="B2215" s="6" t="n">
        <v>45959</v>
      </c>
      <c r="C2215" t="n">
        <v>16730</v>
      </c>
      <c r="D2215" t="inlineStr">
        <is>
          <t>Delhi</t>
        </is>
      </c>
      <c r="E2215" t="inlineStr">
        <is>
          <t>North</t>
        </is>
      </c>
      <c r="F2215" t="inlineStr">
        <is>
          <t>Paid Search</t>
        </is>
      </c>
      <c r="G2215" t="inlineStr">
        <is>
          <t>Mobile App</t>
        </is>
      </c>
      <c r="H2215" t="inlineStr">
        <is>
          <t>Net Banking</t>
        </is>
      </c>
      <c r="I2215" t="inlineStr">
        <is>
          <t>Returned</t>
        </is>
      </c>
      <c r="J2215" t="n">
        <v>117</v>
      </c>
      <c r="K2215" t="n">
        <v>1</v>
      </c>
      <c r="L2215" t="n">
        <v>3149</v>
      </c>
      <c r="M2215" t="n">
        <v>472.35</v>
      </c>
      <c r="N2215">
        <f>VLOOKUP(J2215,Products!$A$2:$C$49,3,FALSE)</f>
        <v/>
      </c>
      <c r="O2215">
        <f>K2215*L2215-M2215</f>
        <v/>
      </c>
      <c r="P2215">
        <f>TEXT(B2215,"yyyy-mm")</f>
        <v/>
      </c>
      <c r="Q2215">
        <f>IF(O2215&gt;=3000,"Large","Small")</f>
        <v/>
      </c>
      <c r="R2215">
        <f>INDEX(Products!$F$2:$F$49,MATCH(J2215,Products!$A$2:$A$49,0))</f>
        <v/>
      </c>
      <c r="S2215">
        <f>WEEKDAY(B2215,2)</f>
        <v/>
      </c>
    </row>
    <row r="2216">
      <c r="A2216" t="n">
        <v>510461</v>
      </c>
      <c r="B2216" s="6" t="n">
        <v>45959</v>
      </c>
      <c r="C2216" t="n">
        <v>16730</v>
      </c>
      <c r="D2216" t="inlineStr">
        <is>
          <t>Delhi</t>
        </is>
      </c>
      <c r="E2216" t="inlineStr">
        <is>
          <t>North</t>
        </is>
      </c>
      <c r="F2216" t="inlineStr">
        <is>
          <t>Paid Search</t>
        </is>
      </c>
      <c r="G2216" t="inlineStr">
        <is>
          <t>Mobile App</t>
        </is>
      </c>
      <c r="H2216" t="inlineStr">
        <is>
          <t>Net Banking</t>
        </is>
      </c>
      <c r="I2216" t="inlineStr">
        <is>
          <t>Returned</t>
        </is>
      </c>
      <c r="J2216" t="n">
        <v>103</v>
      </c>
      <c r="K2216" t="n">
        <v>2</v>
      </c>
      <c r="L2216" t="n">
        <v>2624</v>
      </c>
      <c r="M2216" t="n">
        <v>787.2</v>
      </c>
      <c r="N2216">
        <f>VLOOKUP(J2216,Products!$A$2:$C$49,3,FALSE)</f>
        <v/>
      </c>
      <c r="O2216">
        <f>K2216*L2216-M2216</f>
        <v/>
      </c>
      <c r="P2216">
        <f>TEXT(B2216,"yyyy-mm")</f>
        <v/>
      </c>
      <c r="Q2216">
        <f>IF(O2216&gt;=3000,"Large","Small")</f>
        <v/>
      </c>
      <c r="R2216">
        <f>INDEX(Products!$F$2:$F$49,MATCH(J2216,Products!$A$2:$A$49,0))</f>
        <v/>
      </c>
      <c r="S2216">
        <f>WEEKDAY(B2216,2)</f>
        <v/>
      </c>
    </row>
    <row r="2217">
      <c r="A2217" t="n">
        <v>510462</v>
      </c>
      <c r="B2217" s="6" t="n">
        <v>45959</v>
      </c>
      <c r="C2217" t="n">
        <v>15444</v>
      </c>
      <c r="D2217" t="inlineStr">
        <is>
          <t>Mumbai</t>
        </is>
      </c>
      <c r="E2217" t="inlineStr">
        <is>
          <t>West</t>
        </is>
      </c>
      <c r="F2217" t="inlineStr">
        <is>
          <t>Paid Social</t>
        </is>
      </c>
      <c r="G2217" t="inlineStr">
        <is>
          <t>Mobile App</t>
        </is>
      </c>
      <c r="H2217" t="inlineStr">
        <is>
          <t>Credit Card</t>
        </is>
      </c>
      <c r="I2217" t="inlineStr">
        <is>
          <t>Delivered</t>
        </is>
      </c>
      <c r="J2217" t="n">
        <v>113</v>
      </c>
      <c r="K2217" t="n">
        <v>1</v>
      </c>
      <c r="L2217" t="n">
        <v>1364</v>
      </c>
      <c r="M2217" t="n">
        <v>0</v>
      </c>
      <c r="N2217">
        <f>VLOOKUP(J2217,Products!$A$2:$C$49,3,FALSE)</f>
        <v/>
      </c>
      <c r="O2217">
        <f>K2217*L2217-M2217</f>
        <v/>
      </c>
      <c r="P2217">
        <f>TEXT(B2217,"yyyy-mm")</f>
        <v/>
      </c>
      <c r="Q2217">
        <f>IF(O2217&gt;=3000,"Large","Small")</f>
        <v/>
      </c>
      <c r="R2217">
        <f>INDEX(Products!$F$2:$F$49,MATCH(J2217,Products!$A$2:$A$49,0))</f>
        <v/>
      </c>
      <c r="S2217">
        <f>WEEKDAY(B2217,2)</f>
        <v/>
      </c>
    </row>
    <row r="2218">
      <c r="A2218" t="n">
        <v>510462</v>
      </c>
      <c r="B2218" s="6" t="n">
        <v>45959</v>
      </c>
      <c r="C2218" t="n">
        <v>15444</v>
      </c>
      <c r="D2218" t="inlineStr">
        <is>
          <t>Mumbai</t>
        </is>
      </c>
      <c r="E2218" t="inlineStr">
        <is>
          <t>West</t>
        </is>
      </c>
      <c r="F2218" t="inlineStr">
        <is>
          <t>Paid Social</t>
        </is>
      </c>
      <c r="G2218" t="inlineStr">
        <is>
          <t>Mobile App</t>
        </is>
      </c>
      <c r="H2218" t="inlineStr">
        <is>
          <t>Credit Card</t>
        </is>
      </c>
      <c r="I2218" t="inlineStr">
        <is>
          <t>Delivered</t>
        </is>
      </c>
      <c r="J2218" t="n">
        <v>119</v>
      </c>
      <c r="K2218" t="n">
        <v>1</v>
      </c>
      <c r="L2218" t="n">
        <v>2309</v>
      </c>
      <c r="M2218" t="n">
        <v>0</v>
      </c>
      <c r="N2218">
        <f>VLOOKUP(J2218,Products!$A$2:$C$49,3,FALSE)</f>
        <v/>
      </c>
      <c r="O2218">
        <f>K2218*L2218-M2218</f>
        <v/>
      </c>
      <c r="P2218">
        <f>TEXT(B2218,"yyyy-mm")</f>
        <v/>
      </c>
      <c r="Q2218">
        <f>IF(O2218&gt;=3000,"Large","Small")</f>
        <v/>
      </c>
      <c r="R2218">
        <f>INDEX(Products!$F$2:$F$49,MATCH(J2218,Products!$A$2:$A$49,0))</f>
        <v/>
      </c>
      <c r="S2218">
        <f>WEEKDAY(B2218,2)</f>
        <v/>
      </c>
    </row>
    <row r="2219">
      <c r="A2219" t="n">
        <v>510463</v>
      </c>
      <c r="B2219" s="6" t="n">
        <v>45959</v>
      </c>
      <c r="C2219" t="n">
        <v>17045</v>
      </c>
      <c r="D2219" t="inlineStr">
        <is>
          <t>Delhi</t>
        </is>
      </c>
      <c r="E2219" t="inlineStr">
        <is>
          <t>North</t>
        </is>
      </c>
      <c r="F2219" t="inlineStr">
        <is>
          <t>Paid Search</t>
        </is>
      </c>
      <c r="G2219" t="inlineStr">
        <is>
          <t>Mobile Web</t>
        </is>
      </c>
      <c r="H2219" t="inlineStr">
        <is>
          <t>Credit Card</t>
        </is>
      </c>
      <c r="I2219" t="inlineStr">
        <is>
          <t>Delivered</t>
        </is>
      </c>
      <c r="J2219" t="n">
        <v>125</v>
      </c>
      <c r="K2219" t="n">
        <v>1</v>
      </c>
      <c r="L2219" t="n">
        <v>1364</v>
      </c>
      <c r="M2219" t="n">
        <v>204.6</v>
      </c>
      <c r="N2219">
        <f>VLOOKUP(J2219,Products!$A$2:$C$49,3,FALSE)</f>
        <v/>
      </c>
      <c r="O2219">
        <f>K2219*L2219-M2219</f>
        <v/>
      </c>
      <c r="P2219">
        <f>TEXT(B2219,"yyyy-mm")</f>
        <v/>
      </c>
      <c r="Q2219">
        <f>IF(O2219&gt;=3000,"Large","Small")</f>
        <v/>
      </c>
      <c r="R2219">
        <f>INDEX(Products!$F$2:$F$49,MATCH(J2219,Products!$A$2:$A$49,0))</f>
        <v/>
      </c>
      <c r="S2219">
        <f>WEEKDAY(B2219,2)</f>
        <v/>
      </c>
    </row>
    <row r="2220">
      <c r="A2220" t="n">
        <v>510463</v>
      </c>
      <c r="B2220" s="6" t="n">
        <v>45959</v>
      </c>
      <c r="C2220" t="n">
        <v>17045</v>
      </c>
      <c r="D2220" t="inlineStr">
        <is>
          <t>Delhi</t>
        </is>
      </c>
      <c r="E2220" t="inlineStr">
        <is>
          <t>North</t>
        </is>
      </c>
      <c r="F2220" t="inlineStr">
        <is>
          <t>Paid Search</t>
        </is>
      </c>
      <c r="G2220" t="inlineStr">
        <is>
          <t>Mobile Web</t>
        </is>
      </c>
      <c r="H2220" t="inlineStr">
        <is>
          <t>Credit Card</t>
        </is>
      </c>
      <c r="I2220" t="inlineStr">
        <is>
          <t>Delivered</t>
        </is>
      </c>
      <c r="J2220" t="n">
        <v>127</v>
      </c>
      <c r="K2220" t="n">
        <v>1</v>
      </c>
      <c r="L2220" t="n">
        <v>681</v>
      </c>
      <c r="M2220" t="n">
        <v>102.15</v>
      </c>
      <c r="N2220">
        <f>VLOOKUP(J2220,Products!$A$2:$C$49,3,FALSE)</f>
        <v/>
      </c>
      <c r="O2220">
        <f>K2220*L2220-M2220</f>
        <v/>
      </c>
      <c r="P2220">
        <f>TEXT(B2220,"yyyy-mm")</f>
        <v/>
      </c>
      <c r="Q2220">
        <f>IF(O2220&gt;=3000,"Large","Small")</f>
        <v/>
      </c>
      <c r="R2220">
        <f>INDEX(Products!$F$2:$F$49,MATCH(J2220,Products!$A$2:$A$49,0))</f>
        <v/>
      </c>
      <c r="S2220">
        <f>WEEKDAY(B2220,2)</f>
        <v/>
      </c>
    </row>
    <row r="2221">
      <c r="A2221" t="n">
        <v>510464</v>
      </c>
      <c r="B2221" s="6" t="n">
        <v>45959</v>
      </c>
      <c r="C2221" t="n">
        <v>16978</v>
      </c>
      <c r="D2221" t="inlineStr">
        <is>
          <t>Lucknow</t>
        </is>
      </c>
      <c r="E2221" t="inlineStr">
        <is>
          <t>North</t>
        </is>
      </c>
      <c r="F2221" t="inlineStr">
        <is>
          <t>Referral</t>
        </is>
      </c>
      <c r="G2221" t="inlineStr">
        <is>
          <t>Mobile App</t>
        </is>
      </c>
      <c r="H2221" t="inlineStr">
        <is>
          <t>UPI</t>
        </is>
      </c>
      <c r="I2221" t="inlineStr">
        <is>
          <t>Cancelled</t>
        </is>
      </c>
      <c r="J2221" t="n">
        <v>122</v>
      </c>
      <c r="K2221" t="n">
        <v>1</v>
      </c>
      <c r="L2221" t="n">
        <v>1994</v>
      </c>
      <c r="M2221" t="n">
        <v>299.1</v>
      </c>
      <c r="N2221">
        <f>VLOOKUP(J2221,Products!$A$2:$C$49,3,FALSE)</f>
        <v/>
      </c>
      <c r="O2221">
        <f>K2221*L2221-M2221</f>
        <v/>
      </c>
      <c r="P2221">
        <f>TEXT(B2221,"yyyy-mm")</f>
        <v/>
      </c>
      <c r="Q2221">
        <f>IF(O2221&gt;=3000,"Large","Small")</f>
        <v/>
      </c>
      <c r="R2221">
        <f>INDEX(Products!$F$2:$F$49,MATCH(J2221,Products!$A$2:$A$49,0))</f>
        <v/>
      </c>
      <c r="S2221">
        <f>WEEKDAY(B2221,2)</f>
        <v/>
      </c>
    </row>
    <row r="2222">
      <c r="A2222" t="n">
        <v>510465</v>
      </c>
      <c r="B2222" s="6" t="n">
        <v>45959</v>
      </c>
      <c r="C2222" t="n">
        <v>17023</v>
      </c>
      <c r="D2222" t="inlineStr">
        <is>
          <t>Ahmedabad</t>
        </is>
      </c>
      <c r="E2222" t="inlineStr">
        <is>
          <t>West</t>
        </is>
      </c>
      <c r="F2222" t="inlineStr">
        <is>
          <t>Paid Social</t>
        </is>
      </c>
      <c r="G2222" t="inlineStr">
        <is>
          <t>Mobile App</t>
        </is>
      </c>
      <c r="H2222" t="inlineStr">
        <is>
          <t>UPI</t>
        </is>
      </c>
      <c r="I2222" t="inlineStr">
        <is>
          <t>Returned</t>
        </is>
      </c>
      <c r="J2222" t="n">
        <v>102</v>
      </c>
      <c r="K2222" t="n">
        <v>1</v>
      </c>
      <c r="L2222" t="n">
        <v>3674</v>
      </c>
      <c r="M2222" t="n">
        <v>0</v>
      </c>
      <c r="N2222">
        <f>VLOOKUP(J2222,Products!$A$2:$C$49,3,FALSE)</f>
        <v/>
      </c>
      <c r="O2222">
        <f>K2222*L2222-M2222</f>
        <v/>
      </c>
      <c r="P2222">
        <f>TEXT(B2222,"yyyy-mm")</f>
        <v/>
      </c>
      <c r="Q2222">
        <f>IF(O2222&gt;=3000,"Large","Small")</f>
        <v/>
      </c>
      <c r="R2222">
        <f>INDEX(Products!$F$2:$F$49,MATCH(J2222,Products!$A$2:$A$49,0))</f>
        <v/>
      </c>
      <c r="S2222">
        <f>WEEKDAY(B2222,2)</f>
        <v/>
      </c>
    </row>
    <row r="2223">
      <c r="A2223" t="n">
        <v>510465</v>
      </c>
      <c r="B2223" s="6" t="n">
        <v>45959</v>
      </c>
      <c r="C2223" t="n">
        <v>17023</v>
      </c>
      <c r="D2223" t="inlineStr">
        <is>
          <t>Ahmedabad</t>
        </is>
      </c>
      <c r="E2223" t="inlineStr">
        <is>
          <t>West</t>
        </is>
      </c>
      <c r="F2223" t="inlineStr">
        <is>
          <t>Paid Social</t>
        </is>
      </c>
      <c r="G2223" t="inlineStr">
        <is>
          <t>Mobile App</t>
        </is>
      </c>
      <c r="H2223" t="inlineStr">
        <is>
          <t>UPI</t>
        </is>
      </c>
      <c r="I2223" t="inlineStr">
        <is>
          <t>Returned</t>
        </is>
      </c>
      <c r="J2223" t="n">
        <v>112</v>
      </c>
      <c r="K2223" t="n">
        <v>1</v>
      </c>
      <c r="L2223" t="n">
        <v>1574</v>
      </c>
      <c r="M2223" t="n">
        <v>0</v>
      </c>
      <c r="N2223">
        <f>VLOOKUP(J2223,Products!$A$2:$C$49,3,FALSE)</f>
        <v/>
      </c>
      <c r="O2223">
        <f>K2223*L2223-M2223</f>
        <v/>
      </c>
      <c r="P2223">
        <f>TEXT(B2223,"yyyy-mm")</f>
        <v/>
      </c>
      <c r="Q2223">
        <f>IF(O2223&gt;=3000,"Large","Small")</f>
        <v/>
      </c>
      <c r="R2223">
        <f>INDEX(Products!$F$2:$F$49,MATCH(J2223,Products!$A$2:$A$49,0))</f>
        <v/>
      </c>
      <c r="S2223">
        <f>WEEKDAY(B2223,2)</f>
        <v/>
      </c>
    </row>
    <row r="2224">
      <c r="A2224" t="n">
        <v>510466</v>
      </c>
      <c r="B2224" s="6" t="n">
        <v>45959</v>
      </c>
      <c r="C2224" t="n">
        <v>15181</v>
      </c>
      <c r="D2224" t="inlineStr">
        <is>
          <t>Delhi</t>
        </is>
      </c>
      <c r="E2224" t="inlineStr">
        <is>
          <t>North</t>
        </is>
      </c>
      <c r="F2224" t="inlineStr">
        <is>
          <t>Organic Search</t>
        </is>
      </c>
      <c r="G2224" t="inlineStr">
        <is>
          <t>Mobile App</t>
        </is>
      </c>
      <c r="H2224" t="inlineStr">
        <is>
          <t>UPI</t>
        </is>
      </c>
      <c r="I2224" t="inlineStr">
        <is>
          <t>Delivered</t>
        </is>
      </c>
      <c r="J2224" t="n">
        <v>130</v>
      </c>
      <c r="K2224" t="n">
        <v>1</v>
      </c>
      <c r="L2224" t="n">
        <v>734</v>
      </c>
      <c r="M2224" t="n">
        <v>0</v>
      </c>
      <c r="N2224">
        <f>VLOOKUP(J2224,Products!$A$2:$C$49,3,FALSE)</f>
        <v/>
      </c>
      <c r="O2224">
        <f>K2224*L2224-M2224</f>
        <v/>
      </c>
      <c r="P2224">
        <f>TEXT(B2224,"yyyy-mm")</f>
        <v/>
      </c>
      <c r="Q2224">
        <f>IF(O2224&gt;=3000,"Large","Small")</f>
        <v/>
      </c>
      <c r="R2224">
        <f>INDEX(Products!$F$2:$F$49,MATCH(J2224,Products!$A$2:$A$49,0))</f>
        <v/>
      </c>
      <c r="S2224">
        <f>WEEKDAY(B2224,2)</f>
        <v/>
      </c>
    </row>
    <row r="2225">
      <c r="A2225" t="n">
        <v>510467</v>
      </c>
      <c r="B2225" s="6" t="n">
        <v>45959</v>
      </c>
      <c r="C2225" t="n">
        <v>11967</v>
      </c>
      <c r="D2225" t="inlineStr">
        <is>
          <t>Mumbai</t>
        </is>
      </c>
      <c r="E2225" t="inlineStr">
        <is>
          <t>West</t>
        </is>
      </c>
      <c r="F2225" t="inlineStr">
        <is>
          <t>Organic Search</t>
        </is>
      </c>
      <c r="G2225" t="inlineStr">
        <is>
          <t>Mobile App</t>
        </is>
      </c>
      <c r="H2225" t="inlineStr">
        <is>
          <t>Cash on Delivery</t>
        </is>
      </c>
      <c r="I2225" t="inlineStr">
        <is>
          <t>Delivered</t>
        </is>
      </c>
      <c r="J2225" t="n">
        <v>105</v>
      </c>
      <c r="K2225" t="n">
        <v>1</v>
      </c>
      <c r="L2225" t="n">
        <v>2414</v>
      </c>
      <c r="M2225" t="n">
        <v>0</v>
      </c>
      <c r="N2225">
        <f>VLOOKUP(J2225,Products!$A$2:$C$49,3,FALSE)</f>
        <v/>
      </c>
      <c r="O2225">
        <f>K2225*L2225-M2225</f>
        <v/>
      </c>
      <c r="P2225">
        <f>TEXT(B2225,"yyyy-mm")</f>
        <v/>
      </c>
      <c r="Q2225">
        <f>IF(O2225&gt;=3000,"Large","Small")</f>
        <v/>
      </c>
      <c r="R2225">
        <f>INDEX(Products!$F$2:$F$49,MATCH(J2225,Products!$A$2:$A$49,0))</f>
        <v/>
      </c>
      <c r="S2225">
        <f>WEEKDAY(B2225,2)</f>
        <v/>
      </c>
    </row>
    <row r="2226">
      <c r="A2226" t="n">
        <v>510467</v>
      </c>
      <c r="B2226" s="6" t="n">
        <v>45959</v>
      </c>
      <c r="C2226" t="n">
        <v>11967</v>
      </c>
      <c r="D2226" t="inlineStr">
        <is>
          <t>Mumbai</t>
        </is>
      </c>
      <c r="E2226" t="inlineStr">
        <is>
          <t>West</t>
        </is>
      </c>
      <c r="F2226" t="inlineStr">
        <is>
          <t>Organic Search</t>
        </is>
      </c>
      <c r="G2226" t="inlineStr">
        <is>
          <t>Mobile App</t>
        </is>
      </c>
      <c r="H2226" t="inlineStr">
        <is>
          <t>Cash on Delivery</t>
        </is>
      </c>
      <c r="I2226" t="inlineStr">
        <is>
          <t>Delivered</t>
        </is>
      </c>
      <c r="J2226" t="n">
        <v>117</v>
      </c>
      <c r="K2226" t="n">
        <v>1</v>
      </c>
      <c r="L2226" t="n">
        <v>3149</v>
      </c>
      <c r="M2226" t="n">
        <v>0</v>
      </c>
      <c r="N2226">
        <f>VLOOKUP(J2226,Products!$A$2:$C$49,3,FALSE)</f>
        <v/>
      </c>
      <c r="O2226">
        <f>K2226*L2226-M2226</f>
        <v/>
      </c>
      <c r="P2226">
        <f>TEXT(B2226,"yyyy-mm")</f>
        <v/>
      </c>
      <c r="Q2226">
        <f>IF(O2226&gt;=3000,"Large","Small")</f>
        <v/>
      </c>
      <c r="R2226">
        <f>INDEX(Products!$F$2:$F$49,MATCH(J2226,Products!$A$2:$A$49,0))</f>
        <v/>
      </c>
      <c r="S2226">
        <f>WEEKDAY(B2226,2)</f>
        <v/>
      </c>
    </row>
    <row r="2227">
      <c r="A2227" t="n">
        <v>510468</v>
      </c>
      <c r="B2227" s="6" t="n">
        <v>45959</v>
      </c>
      <c r="C2227" t="n">
        <v>17005</v>
      </c>
      <c r="D2227" t="inlineStr">
        <is>
          <t>Lucknow</t>
        </is>
      </c>
      <c r="E2227" t="inlineStr">
        <is>
          <t>North</t>
        </is>
      </c>
      <c r="F2227" t="inlineStr">
        <is>
          <t>Organic Search</t>
        </is>
      </c>
      <c r="G2227" t="inlineStr">
        <is>
          <t>Mobile Web</t>
        </is>
      </c>
      <c r="H2227" t="inlineStr">
        <is>
          <t>Debit Card</t>
        </is>
      </c>
      <c r="I2227" t="inlineStr">
        <is>
          <t>Delivered</t>
        </is>
      </c>
      <c r="J2227" t="n">
        <v>107</v>
      </c>
      <c r="K2227" t="n">
        <v>1</v>
      </c>
      <c r="L2227" t="n">
        <v>1259</v>
      </c>
      <c r="M2227" t="n">
        <v>188.85</v>
      </c>
      <c r="N2227">
        <f>VLOOKUP(J2227,Products!$A$2:$C$49,3,FALSE)</f>
        <v/>
      </c>
      <c r="O2227">
        <f>K2227*L2227-M2227</f>
        <v/>
      </c>
      <c r="P2227">
        <f>TEXT(B2227,"yyyy-mm")</f>
        <v/>
      </c>
      <c r="Q2227">
        <f>IF(O2227&gt;=3000,"Large","Small")</f>
        <v/>
      </c>
      <c r="R2227">
        <f>INDEX(Products!$F$2:$F$49,MATCH(J2227,Products!$A$2:$A$49,0))</f>
        <v/>
      </c>
      <c r="S2227">
        <f>WEEKDAY(B2227,2)</f>
        <v/>
      </c>
    </row>
    <row r="2228">
      <c r="A2228" t="n">
        <v>510469</v>
      </c>
      <c r="B2228" s="6" t="n">
        <v>45959</v>
      </c>
      <c r="C2228" t="n">
        <v>17059</v>
      </c>
      <c r="D2228" t="inlineStr">
        <is>
          <t>Mumbai</t>
        </is>
      </c>
      <c r="E2228" t="inlineStr">
        <is>
          <t>West</t>
        </is>
      </c>
      <c r="F2228" t="inlineStr">
        <is>
          <t>Affiliate</t>
        </is>
      </c>
      <c r="G2228" t="inlineStr">
        <is>
          <t>Mobile App</t>
        </is>
      </c>
      <c r="H2228" t="inlineStr">
        <is>
          <t>Credit Card</t>
        </is>
      </c>
      <c r="I2228" t="inlineStr">
        <is>
          <t>Delivered</t>
        </is>
      </c>
      <c r="J2228" t="n">
        <v>133</v>
      </c>
      <c r="K2228" t="n">
        <v>1</v>
      </c>
      <c r="L2228" t="n">
        <v>419</v>
      </c>
      <c r="M2228" t="n">
        <v>62.85</v>
      </c>
      <c r="N2228">
        <f>VLOOKUP(J2228,Products!$A$2:$C$49,3,FALSE)</f>
        <v/>
      </c>
      <c r="O2228">
        <f>K2228*L2228-M2228</f>
        <v/>
      </c>
      <c r="P2228">
        <f>TEXT(B2228,"yyyy-mm")</f>
        <v/>
      </c>
      <c r="Q2228">
        <f>IF(O2228&gt;=3000,"Large","Small")</f>
        <v/>
      </c>
      <c r="R2228">
        <f>INDEX(Products!$F$2:$F$49,MATCH(J2228,Products!$A$2:$A$49,0))</f>
        <v/>
      </c>
      <c r="S2228">
        <f>WEEKDAY(B2228,2)</f>
        <v/>
      </c>
    </row>
    <row r="2229">
      <c r="A2229" t="n">
        <v>510470</v>
      </c>
      <c r="B2229" s="6" t="n">
        <v>45959</v>
      </c>
      <c r="C2229" t="n">
        <v>17095</v>
      </c>
      <c r="D2229" t="inlineStr">
        <is>
          <t>Hyderabad</t>
        </is>
      </c>
      <c r="E2229" t="inlineStr">
        <is>
          <t>South</t>
        </is>
      </c>
      <c r="F2229" t="inlineStr">
        <is>
          <t>Organic Search</t>
        </is>
      </c>
      <c r="G2229" t="inlineStr">
        <is>
          <t>Mobile App</t>
        </is>
      </c>
      <c r="H2229" t="inlineStr">
        <is>
          <t>Cash on Delivery</t>
        </is>
      </c>
      <c r="I2229" t="inlineStr">
        <is>
          <t>Delivered</t>
        </is>
      </c>
      <c r="J2229" t="n">
        <v>141</v>
      </c>
      <c r="K2229" t="n">
        <v>1</v>
      </c>
      <c r="L2229" t="n">
        <v>261</v>
      </c>
      <c r="M2229" t="n">
        <v>0</v>
      </c>
      <c r="N2229">
        <f>VLOOKUP(J2229,Products!$A$2:$C$49,3,FALSE)</f>
        <v/>
      </c>
      <c r="O2229">
        <f>K2229*L2229-M2229</f>
        <v/>
      </c>
      <c r="P2229">
        <f>TEXT(B2229,"yyyy-mm")</f>
        <v/>
      </c>
      <c r="Q2229">
        <f>IF(O2229&gt;=3000,"Large","Small")</f>
        <v/>
      </c>
      <c r="R2229">
        <f>INDEX(Products!$F$2:$F$49,MATCH(J2229,Products!$A$2:$A$49,0))</f>
        <v/>
      </c>
      <c r="S2229">
        <f>WEEKDAY(B2229,2)</f>
        <v/>
      </c>
    </row>
    <row r="2230">
      <c r="A2230" t="n">
        <v>510471</v>
      </c>
      <c r="B2230" s="6" t="n">
        <v>45959</v>
      </c>
      <c r="C2230" t="n">
        <v>17041</v>
      </c>
      <c r="D2230" t="inlineStr">
        <is>
          <t>Delhi</t>
        </is>
      </c>
      <c r="E2230" t="inlineStr">
        <is>
          <t>North</t>
        </is>
      </c>
      <c r="F2230" t="inlineStr">
        <is>
          <t>Paid Search</t>
        </is>
      </c>
      <c r="G2230" t="inlineStr">
        <is>
          <t>Mobile App</t>
        </is>
      </c>
      <c r="H2230" t="inlineStr">
        <is>
          <t>UPI</t>
        </is>
      </c>
      <c r="I2230" t="inlineStr">
        <is>
          <t>Delivered</t>
        </is>
      </c>
      <c r="J2230" t="n">
        <v>126</v>
      </c>
      <c r="K2230" t="n">
        <v>2</v>
      </c>
      <c r="L2230" t="n">
        <v>471</v>
      </c>
      <c r="M2230" t="n">
        <v>141.3</v>
      </c>
      <c r="N2230">
        <f>VLOOKUP(J2230,Products!$A$2:$C$49,3,FALSE)</f>
        <v/>
      </c>
      <c r="O2230">
        <f>K2230*L2230-M2230</f>
        <v/>
      </c>
      <c r="P2230">
        <f>TEXT(B2230,"yyyy-mm")</f>
        <v/>
      </c>
      <c r="Q2230">
        <f>IF(O2230&gt;=3000,"Large","Small")</f>
        <v/>
      </c>
      <c r="R2230">
        <f>INDEX(Products!$F$2:$F$49,MATCH(J2230,Products!$A$2:$A$49,0))</f>
        <v/>
      </c>
      <c r="S2230">
        <f>WEEKDAY(B2230,2)</f>
        <v/>
      </c>
    </row>
    <row r="2231">
      <c r="A2231" t="n">
        <v>510471</v>
      </c>
      <c r="B2231" s="6" t="n">
        <v>45959</v>
      </c>
      <c r="C2231" t="n">
        <v>17041</v>
      </c>
      <c r="D2231" t="inlineStr">
        <is>
          <t>Delhi</t>
        </is>
      </c>
      <c r="E2231" t="inlineStr">
        <is>
          <t>North</t>
        </is>
      </c>
      <c r="F2231" t="inlineStr">
        <is>
          <t>Paid Search</t>
        </is>
      </c>
      <c r="G2231" t="inlineStr">
        <is>
          <t>Mobile App</t>
        </is>
      </c>
      <c r="H2231" t="inlineStr">
        <is>
          <t>UPI</t>
        </is>
      </c>
      <c r="I2231" t="inlineStr">
        <is>
          <t>Delivered</t>
        </is>
      </c>
      <c r="J2231" t="n">
        <v>141</v>
      </c>
      <c r="K2231" t="n">
        <v>2</v>
      </c>
      <c r="L2231" t="n">
        <v>261</v>
      </c>
      <c r="M2231" t="n">
        <v>78.3</v>
      </c>
      <c r="N2231">
        <f>VLOOKUP(J2231,Products!$A$2:$C$49,3,FALSE)</f>
        <v/>
      </c>
      <c r="O2231">
        <f>K2231*L2231-M2231</f>
        <v/>
      </c>
      <c r="P2231">
        <f>TEXT(B2231,"yyyy-mm")</f>
        <v/>
      </c>
      <c r="Q2231">
        <f>IF(O2231&gt;=3000,"Large","Small")</f>
        <v/>
      </c>
      <c r="R2231">
        <f>INDEX(Products!$F$2:$F$49,MATCH(J2231,Products!$A$2:$A$49,0))</f>
        <v/>
      </c>
      <c r="S2231">
        <f>WEEKDAY(B2231,2)</f>
        <v/>
      </c>
    </row>
    <row r="2232">
      <c r="A2232" t="n">
        <v>510472</v>
      </c>
      <c r="B2232" s="6" t="n">
        <v>45959</v>
      </c>
      <c r="C2232" t="n">
        <v>17038</v>
      </c>
      <c r="D2232" t="inlineStr">
        <is>
          <t>Bengaluru</t>
        </is>
      </c>
      <c r="E2232" t="inlineStr">
        <is>
          <t>South</t>
        </is>
      </c>
      <c r="F2232" t="inlineStr">
        <is>
          <t>Paid Social</t>
        </is>
      </c>
      <c r="G2232" t="inlineStr">
        <is>
          <t>Mobile App</t>
        </is>
      </c>
      <c r="H2232" t="inlineStr">
        <is>
          <t>Cash on Delivery</t>
        </is>
      </c>
      <c r="I2232" t="inlineStr">
        <is>
          <t>Delivered</t>
        </is>
      </c>
      <c r="J2232" t="n">
        <v>106</v>
      </c>
      <c r="K2232" t="n">
        <v>1</v>
      </c>
      <c r="L2232" t="n">
        <v>1574</v>
      </c>
      <c r="M2232" t="n">
        <v>236.1</v>
      </c>
      <c r="N2232">
        <f>VLOOKUP(J2232,Products!$A$2:$C$49,3,FALSE)</f>
        <v/>
      </c>
      <c r="O2232">
        <f>K2232*L2232-M2232</f>
        <v/>
      </c>
      <c r="P2232">
        <f>TEXT(B2232,"yyyy-mm")</f>
        <v/>
      </c>
      <c r="Q2232">
        <f>IF(O2232&gt;=3000,"Large","Small")</f>
        <v/>
      </c>
      <c r="R2232">
        <f>INDEX(Products!$F$2:$F$49,MATCH(J2232,Products!$A$2:$A$49,0))</f>
        <v/>
      </c>
      <c r="S2232">
        <f>WEEKDAY(B2232,2)</f>
        <v/>
      </c>
    </row>
    <row r="2233">
      <c r="A2233" t="n">
        <v>510473</v>
      </c>
      <c r="B2233" s="6" t="n">
        <v>45959</v>
      </c>
      <c r="C2233" t="n">
        <v>17051</v>
      </c>
      <c r="D2233" t="inlineStr">
        <is>
          <t>Hyderabad</t>
        </is>
      </c>
      <c r="E2233" t="inlineStr">
        <is>
          <t>South</t>
        </is>
      </c>
      <c r="F2233" t="inlineStr">
        <is>
          <t>Paid Search</t>
        </is>
      </c>
      <c r="G2233" t="inlineStr">
        <is>
          <t>Mobile Web</t>
        </is>
      </c>
      <c r="H2233" t="inlineStr">
        <is>
          <t>Credit Card</t>
        </is>
      </c>
      <c r="I2233" t="inlineStr">
        <is>
          <t>Delivered</t>
        </is>
      </c>
      <c r="J2233" t="n">
        <v>138</v>
      </c>
      <c r="K2233" t="n">
        <v>1</v>
      </c>
      <c r="L2233" t="n">
        <v>419</v>
      </c>
      <c r="M2233" t="n">
        <v>62.85</v>
      </c>
      <c r="N2233">
        <f>VLOOKUP(J2233,Products!$A$2:$C$49,3,FALSE)</f>
        <v/>
      </c>
      <c r="O2233">
        <f>K2233*L2233-M2233</f>
        <v/>
      </c>
      <c r="P2233">
        <f>TEXT(B2233,"yyyy-mm")</f>
        <v/>
      </c>
      <c r="Q2233">
        <f>IF(O2233&gt;=3000,"Large","Small")</f>
        <v/>
      </c>
      <c r="R2233">
        <f>INDEX(Products!$F$2:$F$49,MATCH(J2233,Products!$A$2:$A$49,0))</f>
        <v/>
      </c>
      <c r="S2233">
        <f>WEEKDAY(B2233,2)</f>
        <v/>
      </c>
    </row>
    <row r="2234">
      <c r="A2234" t="n">
        <v>510474</v>
      </c>
      <c r="B2234" s="6" t="n">
        <v>45959</v>
      </c>
      <c r="C2234" t="n">
        <v>14291</v>
      </c>
      <c r="D2234" t="inlineStr">
        <is>
          <t>Ahmedabad</t>
        </is>
      </c>
      <c r="E2234" t="inlineStr">
        <is>
          <t>West</t>
        </is>
      </c>
      <c r="F2234" t="inlineStr">
        <is>
          <t>Paid Social</t>
        </is>
      </c>
      <c r="G2234" t="inlineStr">
        <is>
          <t>Mobile App</t>
        </is>
      </c>
      <c r="H2234" t="inlineStr">
        <is>
          <t>Credit Card</t>
        </is>
      </c>
      <c r="I2234" t="inlineStr">
        <is>
          <t>Delivered</t>
        </is>
      </c>
      <c r="J2234" t="n">
        <v>119</v>
      </c>
      <c r="K2234" t="n">
        <v>1</v>
      </c>
      <c r="L2234" t="n">
        <v>2309</v>
      </c>
      <c r="M2234" t="n">
        <v>0</v>
      </c>
      <c r="N2234">
        <f>VLOOKUP(J2234,Products!$A$2:$C$49,3,FALSE)</f>
        <v/>
      </c>
      <c r="O2234">
        <f>K2234*L2234-M2234</f>
        <v/>
      </c>
      <c r="P2234">
        <f>TEXT(B2234,"yyyy-mm")</f>
        <v/>
      </c>
      <c r="Q2234">
        <f>IF(O2234&gt;=3000,"Large","Small")</f>
        <v/>
      </c>
      <c r="R2234">
        <f>INDEX(Products!$F$2:$F$49,MATCH(J2234,Products!$A$2:$A$49,0))</f>
        <v/>
      </c>
      <c r="S2234">
        <f>WEEKDAY(B2234,2)</f>
        <v/>
      </c>
    </row>
    <row r="2235">
      <c r="A2235" t="n">
        <v>510474</v>
      </c>
      <c r="B2235" s="6" t="n">
        <v>45959</v>
      </c>
      <c r="C2235" t="n">
        <v>14291</v>
      </c>
      <c r="D2235" t="inlineStr">
        <is>
          <t>Ahmedabad</t>
        </is>
      </c>
      <c r="E2235" t="inlineStr">
        <is>
          <t>West</t>
        </is>
      </c>
      <c r="F2235" t="inlineStr">
        <is>
          <t>Paid Social</t>
        </is>
      </c>
      <c r="G2235" t="inlineStr">
        <is>
          <t>Mobile App</t>
        </is>
      </c>
      <c r="H2235" t="inlineStr">
        <is>
          <t>Credit Card</t>
        </is>
      </c>
      <c r="I2235" t="inlineStr">
        <is>
          <t>Delivered</t>
        </is>
      </c>
      <c r="J2235" t="n">
        <v>128</v>
      </c>
      <c r="K2235" t="n">
        <v>1</v>
      </c>
      <c r="L2235" t="n">
        <v>1049</v>
      </c>
      <c r="M2235" t="n">
        <v>0</v>
      </c>
      <c r="N2235">
        <f>VLOOKUP(J2235,Products!$A$2:$C$49,3,FALSE)</f>
        <v/>
      </c>
      <c r="O2235">
        <f>K2235*L2235-M2235</f>
        <v/>
      </c>
      <c r="P2235">
        <f>TEXT(B2235,"yyyy-mm")</f>
        <v/>
      </c>
      <c r="Q2235">
        <f>IF(O2235&gt;=3000,"Large","Small")</f>
        <v/>
      </c>
      <c r="R2235">
        <f>INDEX(Products!$F$2:$F$49,MATCH(J2235,Products!$A$2:$A$49,0))</f>
        <v/>
      </c>
      <c r="S2235">
        <f>WEEKDAY(B2235,2)</f>
        <v/>
      </c>
    </row>
    <row r="2236">
      <c r="A2236" t="n">
        <v>510475</v>
      </c>
      <c r="B2236" s="6" t="n">
        <v>45959</v>
      </c>
      <c r="C2236" t="n">
        <v>17018</v>
      </c>
      <c r="D2236" t="inlineStr">
        <is>
          <t>Hyderabad</t>
        </is>
      </c>
      <c r="E2236" t="inlineStr">
        <is>
          <t>South</t>
        </is>
      </c>
      <c r="F2236" t="inlineStr">
        <is>
          <t>Affiliate</t>
        </is>
      </c>
      <c r="G2236" t="inlineStr">
        <is>
          <t>Mobile App</t>
        </is>
      </c>
      <c r="H2236" t="inlineStr">
        <is>
          <t>Cash on Delivery</t>
        </is>
      </c>
      <c r="I2236" t="inlineStr">
        <is>
          <t>Delivered</t>
        </is>
      </c>
      <c r="J2236" t="n">
        <v>104</v>
      </c>
      <c r="K2236" t="n">
        <v>2</v>
      </c>
      <c r="L2236" t="n">
        <v>5249</v>
      </c>
      <c r="M2236" t="n">
        <v>0</v>
      </c>
      <c r="N2236">
        <f>VLOOKUP(J2236,Products!$A$2:$C$49,3,FALSE)</f>
        <v/>
      </c>
      <c r="O2236">
        <f>K2236*L2236-M2236</f>
        <v/>
      </c>
      <c r="P2236">
        <f>TEXT(B2236,"yyyy-mm")</f>
        <v/>
      </c>
      <c r="Q2236">
        <f>IF(O2236&gt;=3000,"Large","Small")</f>
        <v/>
      </c>
      <c r="R2236">
        <f>INDEX(Products!$F$2:$F$49,MATCH(J2236,Products!$A$2:$A$49,0))</f>
        <v/>
      </c>
      <c r="S2236">
        <f>WEEKDAY(B2236,2)</f>
        <v/>
      </c>
    </row>
    <row r="2237">
      <c r="A2237" t="n">
        <v>510476</v>
      </c>
      <c r="B2237" s="6" t="n">
        <v>45959</v>
      </c>
      <c r="C2237" t="n">
        <v>17076</v>
      </c>
      <c r="D2237" t="inlineStr">
        <is>
          <t>Bengaluru</t>
        </is>
      </c>
      <c r="E2237" t="inlineStr">
        <is>
          <t>South</t>
        </is>
      </c>
      <c r="F2237" t="inlineStr">
        <is>
          <t>Paid Social</t>
        </is>
      </c>
      <c r="G2237" t="inlineStr">
        <is>
          <t>Mobile App</t>
        </is>
      </c>
      <c r="H2237" t="inlineStr">
        <is>
          <t>UPI</t>
        </is>
      </c>
      <c r="I2237" t="inlineStr">
        <is>
          <t>Delivered</t>
        </is>
      </c>
      <c r="J2237" t="n">
        <v>116</v>
      </c>
      <c r="K2237" t="n">
        <v>1</v>
      </c>
      <c r="L2237" t="n">
        <v>2624</v>
      </c>
      <c r="M2237" t="n">
        <v>0</v>
      </c>
      <c r="N2237">
        <f>VLOOKUP(J2237,Products!$A$2:$C$49,3,FALSE)</f>
        <v/>
      </c>
      <c r="O2237">
        <f>K2237*L2237-M2237</f>
        <v/>
      </c>
      <c r="P2237">
        <f>TEXT(B2237,"yyyy-mm")</f>
        <v/>
      </c>
      <c r="Q2237">
        <f>IF(O2237&gt;=3000,"Large","Small")</f>
        <v/>
      </c>
      <c r="R2237">
        <f>INDEX(Products!$F$2:$F$49,MATCH(J2237,Products!$A$2:$A$49,0))</f>
        <v/>
      </c>
      <c r="S2237">
        <f>WEEKDAY(B2237,2)</f>
        <v/>
      </c>
    </row>
    <row r="2238">
      <c r="A2238" t="n">
        <v>510477</v>
      </c>
      <c r="B2238" s="6" t="n">
        <v>45959</v>
      </c>
      <c r="C2238" t="n">
        <v>16999</v>
      </c>
      <c r="D2238" t="inlineStr">
        <is>
          <t>Hyderabad</t>
        </is>
      </c>
      <c r="E2238" t="inlineStr">
        <is>
          <t>South</t>
        </is>
      </c>
      <c r="F2238" t="inlineStr">
        <is>
          <t>Referral</t>
        </is>
      </c>
      <c r="G2238" t="inlineStr">
        <is>
          <t>Desktop</t>
        </is>
      </c>
      <c r="H2238" t="inlineStr">
        <is>
          <t>UPI</t>
        </is>
      </c>
      <c r="I2238" t="inlineStr">
        <is>
          <t>Returned</t>
        </is>
      </c>
      <c r="J2238" t="n">
        <v>117</v>
      </c>
      <c r="K2238" t="n">
        <v>1</v>
      </c>
      <c r="L2238" t="n">
        <v>3149</v>
      </c>
      <c r="M2238" t="n">
        <v>472.35</v>
      </c>
      <c r="N2238">
        <f>VLOOKUP(J2238,Products!$A$2:$C$49,3,FALSE)</f>
        <v/>
      </c>
      <c r="O2238">
        <f>K2238*L2238-M2238</f>
        <v/>
      </c>
      <c r="P2238">
        <f>TEXT(B2238,"yyyy-mm")</f>
        <v/>
      </c>
      <c r="Q2238">
        <f>IF(O2238&gt;=3000,"Large","Small")</f>
        <v/>
      </c>
      <c r="R2238">
        <f>INDEX(Products!$F$2:$F$49,MATCH(J2238,Products!$A$2:$A$49,0))</f>
        <v/>
      </c>
      <c r="S2238">
        <f>WEEKDAY(B2238,2)</f>
        <v/>
      </c>
    </row>
    <row r="2239">
      <c r="A2239" t="n">
        <v>510478</v>
      </c>
      <c r="B2239" s="6" t="n">
        <v>45960</v>
      </c>
      <c r="C2239" t="n">
        <v>17034</v>
      </c>
      <c r="D2239" t="inlineStr">
        <is>
          <t>Lucknow</t>
        </is>
      </c>
      <c r="E2239" t="inlineStr">
        <is>
          <t>North</t>
        </is>
      </c>
      <c r="F2239" t="inlineStr">
        <is>
          <t>Organic Search</t>
        </is>
      </c>
      <c r="G2239" t="inlineStr">
        <is>
          <t>Mobile App</t>
        </is>
      </c>
      <c r="H2239" t="inlineStr">
        <is>
          <t>UPI</t>
        </is>
      </c>
      <c r="I2239" t="inlineStr">
        <is>
          <t>Delivered</t>
        </is>
      </c>
      <c r="J2239" t="n">
        <v>122</v>
      </c>
      <c r="K2239" t="n">
        <v>1</v>
      </c>
      <c r="L2239" t="n">
        <v>1994</v>
      </c>
      <c r="M2239" t="n">
        <v>299.1</v>
      </c>
      <c r="N2239">
        <f>VLOOKUP(J2239,Products!$A$2:$C$49,3,FALSE)</f>
        <v/>
      </c>
      <c r="O2239">
        <f>K2239*L2239-M2239</f>
        <v/>
      </c>
      <c r="P2239">
        <f>TEXT(B2239,"yyyy-mm")</f>
        <v/>
      </c>
      <c r="Q2239">
        <f>IF(O2239&gt;=3000,"Large","Small")</f>
        <v/>
      </c>
      <c r="R2239">
        <f>INDEX(Products!$F$2:$F$49,MATCH(J2239,Products!$A$2:$A$49,0))</f>
        <v/>
      </c>
      <c r="S2239">
        <f>WEEKDAY(B2239,2)</f>
        <v/>
      </c>
    </row>
    <row r="2240">
      <c r="A2240" t="n">
        <v>510479</v>
      </c>
      <c r="B2240" s="6" t="n">
        <v>45960</v>
      </c>
      <c r="C2240" t="n">
        <v>17043</v>
      </c>
      <c r="D2240" t="inlineStr">
        <is>
          <t>Gurugram</t>
        </is>
      </c>
      <c r="E2240" t="inlineStr">
        <is>
          <t>North</t>
        </is>
      </c>
      <c r="F2240" t="inlineStr">
        <is>
          <t>Referral</t>
        </is>
      </c>
      <c r="G2240" t="inlineStr">
        <is>
          <t>Desktop</t>
        </is>
      </c>
      <c r="H2240" t="inlineStr">
        <is>
          <t>UPI</t>
        </is>
      </c>
      <c r="I2240" t="inlineStr">
        <is>
          <t>Delivered</t>
        </is>
      </c>
      <c r="J2240" t="n">
        <v>121</v>
      </c>
      <c r="K2240" t="n">
        <v>1</v>
      </c>
      <c r="L2240" t="n">
        <v>2939</v>
      </c>
      <c r="M2240" t="n">
        <v>440.85</v>
      </c>
      <c r="N2240">
        <f>VLOOKUP(J2240,Products!$A$2:$C$49,3,FALSE)</f>
        <v/>
      </c>
      <c r="O2240">
        <f>K2240*L2240-M2240</f>
        <v/>
      </c>
      <c r="P2240">
        <f>TEXT(B2240,"yyyy-mm")</f>
        <v/>
      </c>
      <c r="Q2240">
        <f>IF(O2240&gt;=3000,"Large","Small")</f>
        <v/>
      </c>
      <c r="R2240">
        <f>INDEX(Products!$F$2:$F$49,MATCH(J2240,Products!$A$2:$A$49,0))</f>
        <v/>
      </c>
      <c r="S2240">
        <f>WEEKDAY(B2240,2)</f>
        <v/>
      </c>
    </row>
    <row r="2241">
      <c r="A2241" t="n">
        <v>510480</v>
      </c>
      <c r="B2241" s="6" t="n">
        <v>45960</v>
      </c>
      <c r="C2241" t="n">
        <v>15773</v>
      </c>
      <c r="D2241" t="inlineStr">
        <is>
          <t>Indore</t>
        </is>
      </c>
      <c r="E2241" t="inlineStr">
        <is>
          <t>West</t>
        </is>
      </c>
      <c r="F2241" t="inlineStr">
        <is>
          <t>Organic Search</t>
        </is>
      </c>
      <c r="G2241" t="inlineStr">
        <is>
          <t>Mobile Web</t>
        </is>
      </c>
      <c r="H2241" t="inlineStr">
        <is>
          <t>UPI</t>
        </is>
      </c>
      <c r="I2241" t="inlineStr">
        <is>
          <t>Returned</t>
        </is>
      </c>
      <c r="J2241" t="n">
        <v>120</v>
      </c>
      <c r="K2241" t="n">
        <v>1</v>
      </c>
      <c r="L2241" t="n">
        <v>734</v>
      </c>
      <c r="M2241" t="n">
        <v>0</v>
      </c>
      <c r="N2241">
        <f>VLOOKUP(J2241,Products!$A$2:$C$49,3,FALSE)</f>
        <v/>
      </c>
      <c r="O2241">
        <f>K2241*L2241-M2241</f>
        <v/>
      </c>
      <c r="P2241">
        <f>TEXT(B2241,"yyyy-mm")</f>
        <v/>
      </c>
      <c r="Q2241">
        <f>IF(O2241&gt;=3000,"Large","Small")</f>
        <v/>
      </c>
      <c r="R2241">
        <f>INDEX(Products!$F$2:$F$49,MATCH(J2241,Products!$A$2:$A$49,0))</f>
        <v/>
      </c>
      <c r="S2241">
        <f>WEEKDAY(B2241,2)</f>
        <v/>
      </c>
    </row>
    <row r="2242">
      <c r="A2242" t="n">
        <v>510480</v>
      </c>
      <c r="B2242" s="6" t="n">
        <v>45960</v>
      </c>
      <c r="C2242" t="n">
        <v>15773</v>
      </c>
      <c r="D2242" t="inlineStr">
        <is>
          <t>Indore</t>
        </is>
      </c>
      <c r="E2242" t="inlineStr">
        <is>
          <t>West</t>
        </is>
      </c>
      <c r="F2242" t="inlineStr">
        <is>
          <t>Organic Search</t>
        </is>
      </c>
      <c r="G2242" t="inlineStr">
        <is>
          <t>Mobile Web</t>
        </is>
      </c>
      <c r="H2242" t="inlineStr">
        <is>
          <t>UPI</t>
        </is>
      </c>
      <c r="I2242" t="inlineStr">
        <is>
          <t>Returned</t>
        </is>
      </c>
      <c r="J2242" t="n">
        <v>146</v>
      </c>
      <c r="K2242" t="n">
        <v>1</v>
      </c>
      <c r="L2242" t="n">
        <v>4724</v>
      </c>
      <c r="M2242" t="n">
        <v>0</v>
      </c>
      <c r="N2242">
        <f>VLOOKUP(J2242,Products!$A$2:$C$49,3,FALSE)</f>
        <v/>
      </c>
      <c r="O2242">
        <f>K2242*L2242-M2242</f>
        <v/>
      </c>
      <c r="P2242">
        <f>TEXT(B2242,"yyyy-mm")</f>
        <v/>
      </c>
      <c r="Q2242">
        <f>IF(O2242&gt;=3000,"Large","Small")</f>
        <v/>
      </c>
      <c r="R2242">
        <f>INDEX(Products!$F$2:$F$49,MATCH(J2242,Products!$A$2:$A$49,0))</f>
        <v/>
      </c>
      <c r="S2242">
        <f>WEEKDAY(B2242,2)</f>
        <v/>
      </c>
    </row>
    <row r="2243">
      <c r="A2243" t="n">
        <v>510480</v>
      </c>
      <c r="B2243" s="6" t="n">
        <v>45960</v>
      </c>
      <c r="C2243" t="n">
        <v>15773</v>
      </c>
      <c r="D2243" t="inlineStr">
        <is>
          <t>Indore</t>
        </is>
      </c>
      <c r="E2243" t="inlineStr">
        <is>
          <t>West</t>
        </is>
      </c>
      <c r="F2243" t="inlineStr">
        <is>
          <t>Organic Search</t>
        </is>
      </c>
      <c r="G2243" t="inlineStr">
        <is>
          <t>Mobile Web</t>
        </is>
      </c>
      <c r="H2243" t="inlineStr">
        <is>
          <t>UPI</t>
        </is>
      </c>
      <c r="I2243" t="inlineStr">
        <is>
          <t>Returned</t>
        </is>
      </c>
      <c r="J2243" t="n">
        <v>137</v>
      </c>
      <c r="K2243" t="n">
        <v>2</v>
      </c>
      <c r="L2243" t="n">
        <v>261</v>
      </c>
      <c r="M2243" t="n">
        <v>0</v>
      </c>
      <c r="N2243">
        <f>VLOOKUP(J2243,Products!$A$2:$C$49,3,FALSE)</f>
        <v/>
      </c>
      <c r="O2243">
        <f>K2243*L2243-M2243</f>
        <v/>
      </c>
      <c r="P2243">
        <f>TEXT(B2243,"yyyy-mm")</f>
        <v/>
      </c>
      <c r="Q2243">
        <f>IF(O2243&gt;=3000,"Large","Small")</f>
        <v/>
      </c>
      <c r="R2243">
        <f>INDEX(Products!$F$2:$F$49,MATCH(J2243,Products!$A$2:$A$49,0))</f>
        <v/>
      </c>
      <c r="S2243">
        <f>WEEKDAY(B2243,2)</f>
        <v/>
      </c>
    </row>
    <row r="2244">
      <c r="A2244" t="n">
        <v>510481</v>
      </c>
      <c r="B2244" s="6" t="n">
        <v>45960</v>
      </c>
      <c r="C2244" t="n">
        <v>15157</v>
      </c>
      <c r="D2244" t="inlineStr">
        <is>
          <t>Hyderabad</t>
        </is>
      </c>
      <c r="E2244" t="inlineStr">
        <is>
          <t>South</t>
        </is>
      </c>
      <c r="F2244" t="inlineStr">
        <is>
          <t>Referral</t>
        </is>
      </c>
      <c r="G2244" t="inlineStr">
        <is>
          <t>Mobile App</t>
        </is>
      </c>
      <c r="H2244" t="inlineStr">
        <is>
          <t>Cash on Delivery</t>
        </is>
      </c>
      <c r="I2244" t="inlineStr">
        <is>
          <t>Delivered</t>
        </is>
      </c>
      <c r="J2244" t="n">
        <v>126</v>
      </c>
      <c r="K2244" t="n">
        <v>1</v>
      </c>
      <c r="L2244" t="n">
        <v>471</v>
      </c>
      <c r="M2244" t="n">
        <v>0</v>
      </c>
      <c r="N2244">
        <f>VLOOKUP(J2244,Products!$A$2:$C$49,3,FALSE)</f>
        <v/>
      </c>
      <c r="O2244">
        <f>K2244*L2244-M2244</f>
        <v/>
      </c>
      <c r="P2244">
        <f>TEXT(B2244,"yyyy-mm")</f>
        <v/>
      </c>
      <c r="Q2244">
        <f>IF(O2244&gt;=3000,"Large","Small")</f>
        <v/>
      </c>
      <c r="R2244">
        <f>INDEX(Products!$F$2:$F$49,MATCH(J2244,Products!$A$2:$A$49,0))</f>
        <v/>
      </c>
      <c r="S2244">
        <f>WEEKDAY(B2244,2)</f>
        <v/>
      </c>
    </row>
    <row r="2245">
      <c r="A2245" t="n">
        <v>510481</v>
      </c>
      <c r="B2245" s="6" t="n">
        <v>45960</v>
      </c>
      <c r="C2245" t="n">
        <v>15157</v>
      </c>
      <c r="D2245" t="inlineStr">
        <is>
          <t>Hyderabad</t>
        </is>
      </c>
      <c r="E2245" t="inlineStr">
        <is>
          <t>South</t>
        </is>
      </c>
      <c r="F2245" t="inlineStr">
        <is>
          <t>Referral</t>
        </is>
      </c>
      <c r="G2245" t="inlineStr">
        <is>
          <t>Mobile App</t>
        </is>
      </c>
      <c r="H2245" t="inlineStr">
        <is>
          <t>Cash on Delivery</t>
        </is>
      </c>
      <c r="I2245" t="inlineStr">
        <is>
          <t>Delivered</t>
        </is>
      </c>
      <c r="J2245" t="n">
        <v>134</v>
      </c>
      <c r="K2245" t="n">
        <v>1</v>
      </c>
      <c r="L2245" t="n">
        <v>209</v>
      </c>
      <c r="M2245" t="n">
        <v>0</v>
      </c>
      <c r="N2245">
        <f>VLOOKUP(J2245,Products!$A$2:$C$49,3,FALSE)</f>
        <v/>
      </c>
      <c r="O2245">
        <f>K2245*L2245-M2245</f>
        <v/>
      </c>
      <c r="P2245">
        <f>TEXT(B2245,"yyyy-mm")</f>
        <v/>
      </c>
      <c r="Q2245">
        <f>IF(O2245&gt;=3000,"Large","Small")</f>
        <v/>
      </c>
      <c r="R2245">
        <f>INDEX(Products!$F$2:$F$49,MATCH(J2245,Products!$A$2:$A$49,0))</f>
        <v/>
      </c>
      <c r="S2245">
        <f>WEEKDAY(B2245,2)</f>
        <v/>
      </c>
    </row>
    <row r="2246">
      <c r="A2246" t="n">
        <v>510481</v>
      </c>
      <c r="B2246" s="6" t="n">
        <v>45960</v>
      </c>
      <c r="C2246" t="n">
        <v>15157</v>
      </c>
      <c r="D2246" t="inlineStr">
        <is>
          <t>Hyderabad</t>
        </is>
      </c>
      <c r="E2246" t="inlineStr">
        <is>
          <t>South</t>
        </is>
      </c>
      <c r="F2246" t="inlineStr">
        <is>
          <t>Referral</t>
        </is>
      </c>
      <c r="G2246" t="inlineStr">
        <is>
          <t>Mobile App</t>
        </is>
      </c>
      <c r="H2246" t="inlineStr">
        <is>
          <t>Cash on Delivery</t>
        </is>
      </c>
      <c r="I2246" t="inlineStr">
        <is>
          <t>Delivered</t>
        </is>
      </c>
      <c r="J2246" t="n">
        <v>109</v>
      </c>
      <c r="K2246" t="n">
        <v>1</v>
      </c>
      <c r="L2246" t="n">
        <v>4199</v>
      </c>
      <c r="M2246" t="n">
        <v>0</v>
      </c>
      <c r="N2246">
        <f>VLOOKUP(J2246,Products!$A$2:$C$49,3,FALSE)</f>
        <v/>
      </c>
      <c r="O2246">
        <f>K2246*L2246-M2246</f>
        <v/>
      </c>
      <c r="P2246">
        <f>TEXT(B2246,"yyyy-mm")</f>
        <v/>
      </c>
      <c r="Q2246">
        <f>IF(O2246&gt;=3000,"Large","Small")</f>
        <v/>
      </c>
      <c r="R2246">
        <f>INDEX(Products!$F$2:$F$49,MATCH(J2246,Products!$A$2:$A$49,0))</f>
        <v/>
      </c>
      <c r="S2246">
        <f>WEEKDAY(B2246,2)</f>
        <v/>
      </c>
    </row>
    <row r="2247">
      <c r="A2247" t="n">
        <v>510482</v>
      </c>
      <c r="B2247" s="6" t="n">
        <v>45960</v>
      </c>
      <c r="C2247" t="n">
        <v>16936</v>
      </c>
      <c r="D2247" t="inlineStr">
        <is>
          <t>Delhi</t>
        </is>
      </c>
      <c r="E2247" t="inlineStr">
        <is>
          <t>North</t>
        </is>
      </c>
      <c r="F2247" t="inlineStr">
        <is>
          <t>Referral</t>
        </is>
      </c>
      <c r="G2247" t="inlineStr">
        <is>
          <t>Mobile Web</t>
        </is>
      </c>
      <c r="H2247" t="inlineStr">
        <is>
          <t>UPI</t>
        </is>
      </c>
      <c r="I2247" t="inlineStr">
        <is>
          <t>Delivered</t>
        </is>
      </c>
      <c r="J2247" t="n">
        <v>111</v>
      </c>
      <c r="K2247" t="n">
        <v>1</v>
      </c>
      <c r="L2247" t="n">
        <v>524</v>
      </c>
      <c r="M2247" t="n">
        <v>78.59999999999999</v>
      </c>
      <c r="N2247">
        <f>VLOOKUP(J2247,Products!$A$2:$C$49,3,FALSE)</f>
        <v/>
      </c>
      <c r="O2247">
        <f>K2247*L2247-M2247</f>
        <v/>
      </c>
      <c r="P2247">
        <f>TEXT(B2247,"yyyy-mm")</f>
        <v/>
      </c>
      <c r="Q2247">
        <f>IF(O2247&gt;=3000,"Large","Small")</f>
        <v/>
      </c>
      <c r="R2247">
        <f>INDEX(Products!$F$2:$F$49,MATCH(J2247,Products!$A$2:$A$49,0))</f>
        <v/>
      </c>
      <c r="S2247">
        <f>WEEKDAY(B2247,2)</f>
        <v/>
      </c>
    </row>
    <row r="2248">
      <c r="A2248" t="n">
        <v>510483</v>
      </c>
      <c r="B2248" s="6" t="n">
        <v>45960</v>
      </c>
      <c r="C2248" t="n">
        <v>16924</v>
      </c>
      <c r="D2248" t="inlineStr">
        <is>
          <t>Bengaluru</t>
        </is>
      </c>
      <c r="E2248" t="inlineStr">
        <is>
          <t>South</t>
        </is>
      </c>
      <c r="F2248" t="inlineStr">
        <is>
          <t>Affiliate</t>
        </is>
      </c>
      <c r="G2248" t="inlineStr">
        <is>
          <t>Mobile App</t>
        </is>
      </c>
      <c r="H2248" t="inlineStr">
        <is>
          <t>UPI</t>
        </is>
      </c>
      <c r="I2248" t="inlineStr">
        <is>
          <t>Delivered</t>
        </is>
      </c>
      <c r="J2248" t="n">
        <v>106</v>
      </c>
      <c r="K2248" t="n">
        <v>1</v>
      </c>
      <c r="L2248" t="n">
        <v>1574</v>
      </c>
      <c r="M2248" t="n">
        <v>0</v>
      </c>
      <c r="N2248">
        <f>VLOOKUP(J2248,Products!$A$2:$C$49,3,FALSE)</f>
        <v/>
      </c>
      <c r="O2248">
        <f>K2248*L2248-M2248</f>
        <v/>
      </c>
      <c r="P2248">
        <f>TEXT(B2248,"yyyy-mm")</f>
        <v/>
      </c>
      <c r="Q2248">
        <f>IF(O2248&gt;=3000,"Large","Small")</f>
        <v/>
      </c>
      <c r="R2248">
        <f>INDEX(Products!$F$2:$F$49,MATCH(J2248,Products!$A$2:$A$49,0))</f>
        <v/>
      </c>
      <c r="S2248">
        <f>WEEKDAY(B2248,2)</f>
        <v/>
      </c>
    </row>
    <row r="2249">
      <c r="A2249" t="n">
        <v>510483</v>
      </c>
      <c r="B2249" s="6" t="n">
        <v>45960</v>
      </c>
      <c r="C2249" t="n">
        <v>16924</v>
      </c>
      <c r="D2249" t="inlineStr">
        <is>
          <t>Bengaluru</t>
        </is>
      </c>
      <c r="E2249" t="inlineStr">
        <is>
          <t>South</t>
        </is>
      </c>
      <c r="F2249" t="inlineStr">
        <is>
          <t>Affiliate</t>
        </is>
      </c>
      <c r="G2249" t="inlineStr">
        <is>
          <t>Mobile App</t>
        </is>
      </c>
      <c r="H2249" t="inlineStr">
        <is>
          <t>UPI</t>
        </is>
      </c>
      <c r="I2249" t="inlineStr">
        <is>
          <t>Delivered</t>
        </is>
      </c>
      <c r="J2249" t="n">
        <v>127</v>
      </c>
      <c r="K2249" t="n">
        <v>2</v>
      </c>
      <c r="L2249" t="n">
        <v>681</v>
      </c>
      <c r="M2249" t="n">
        <v>0</v>
      </c>
      <c r="N2249">
        <f>VLOOKUP(J2249,Products!$A$2:$C$49,3,FALSE)</f>
        <v/>
      </c>
      <c r="O2249">
        <f>K2249*L2249-M2249</f>
        <v/>
      </c>
      <c r="P2249">
        <f>TEXT(B2249,"yyyy-mm")</f>
        <v/>
      </c>
      <c r="Q2249">
        <f>IF(O2249&gt;=3000,"Large","Small")</f>
        <v/>
      </c>
      <c r="R2249">
        <f>INDEX(Products!$F$2:$F$49,MATCH(J2249,Products!$A$2:$A$49,0))</f>
        <v/>
      </c>
      <c r="S2249">
        <f>WEEKDAY(B2249,2)</f>
        <v/>
      </c>
    </row>
    <row r="2250">
      <c r="A2250" t="n">
        <v>510484</v>
      </c>
      <c r="B2250" s="6" t="n">
        <v>45960</v>
      </c>
      <c r="C2250" t="n">
        <v>16972</v>
      </c>
      <c r="D2250" t="inlineStr">
        <is>
          <t>Delhi</t>
        </is>
      </c>
      <c r="E2250" t="inlineStr">
        <is>
          <t>North</t>
        </is>
      </c>
      <c r="F2250" t="inlineStr">
        <is>
          <t>Referral</t>
        </is>
      </c>
      <c r="G2250" t="inlineStr">
        <is>
          <t>Mobile App</t>
        </is>
      </c>
      <c r="H2250" t="inlineStr">
        <is>
          <t>UPI</t>
        </is>
      </c>
      <c r="I2250" t="inlineStr">
        <is>
          <t>Delivered</t>
        </is>
      </c>
      <c r="J2250" t="n">
        <v>119</v>
      </c>
      <c r="K2250" t="n">
        <v>2</v>
      </c>
      <c r="L2250" t="n">
        <v>2309</v>
      </c>
      <c r="M2250" t="n">
        <v>692.7</v>
      </c>
      <c r="N2250">
        <f>VLOOKUP(J2250,Products!$A$2:$C$49,3,FALSE)</f>
        <v/>
      </c>
      <c r="O2250">
        <f>K2250*L2250-M2250</f>
        <v/>
      </c>
      <c r="P2250">
        <f>TEXT(B2250,"yyyy-mm")</f>
        <v/>
      </c>
      <c r="Q2250">
        <f>IF(O2250&gt;=3000,"Large","Small")</f>
        <v/>
      </c>
      <c r="R2250">
        <f>INDEX(Products!$F$2:$F$49,MATCH(J2250,Products!$A$2:$A$49,0))</f>
        <v/>
      </c>
      <c r="S2250">
        <f>WEEKDAY(B2250,2)</f>
        <v/>
      </c>
    </row>
    <row r="2251">
      <c r="A2251" t="n">
        <v>510485</v>
      </c>
      <c r="B2251" s="6" t="n">
        <v>45960</v>
      </c>
      <c r="C2251" t="n">
        <v>17056</v>
      </c>
      <c r="D2251" t="inlineStr">
        <is>
          <t>Delhi</t>
        </is>
      </c>
      <c r="E2251" t="inlineStr">
        <is>
          <t>North</t>
        </is>
      </c>
      <c r="F2251" t="inlineStr">
        <is>
          <t>Referral</t>
        </is>
      </c>
      <c r="G2251" t="inlineStr">
        <is>
          <t>Mobile Web</t>
        </is>
      </c>
      <c r="H2251" t="inlineStr">
        <is>
          <t>UPI</t>
        </is>
      </c>
      <c r="I2251" t="inlineStr">
        <is>
          <t>Delivered</t>
        </is>
      </c>
      <c r="J2251" t="n">
        <v>127</v>
      </c>
      <c r="K2251" t="n">
        <v>1</v>
      </c>
      <c r="L2251" t="n">
        <v>681</v>
      </c>
      <c r="M2251" t="n">
        <v>0</v>
      </c>
      <c r="N2251">
        <f>VLOOKUP(J2251,Products!$A$2:$C$49,3,FALSE)</f>
        <v/>
      </c>
      <c r="O2251">
        <f>K2251*L2251-M2251</f>
        <v/>
      </c>
      <c r="P2251">
        <f>TEXT(B2251,"yyyy-mm")</f>
        <v/>
      </c>
      <c r="Q2251">
        <f>IF(O2251&gt;=3000,"Large","Small")</f>
        <v/>
      </c>
      <c r="R2251">
        <f>INDEX(Products!$F$2:$F$49,MATCH(J2251,Products!$A$2:$A$49,0))</f>
        <v/>
      </c>
      <c r="S2251">
        <f>WEEKDAY(B2251,2)</f>
        <v/>
      </c>
    </row>
    <row r="2252">
      <c r="A2252" t="n">
        <v>510486</v>
      </c>
      <c r="B2252" s="6" t="n">
        <v>45960</v>
      </c>
      <c r="C2252" t="n">
        <v>17035</v>
      </c>
      <c r="D2252" t="inlineStr">
        <is>
          <t>Bengaluru</t>
        </is>
      </c>
      <c r="E2252" t="inlineStr">
        <is>
          <t>South</t>
        </is>
      </c>
      <c r="F2252" t="inlineStr">
        <is>
          <t>Organic Search</t>
        </is>
      </c>
      <c r="G2252" t="inlineStr">
        <is>
          <t>Desktop</t>
        </is>
      </c>
      <c r="H2252" t="inlineStr">
        <is>
          <t>UPI</t>
        </is>
      </c>
      <c r="I2252" t="inlineStr">
        <is>
          <t>Delivered</t>
        </is>
      </c>
      <c r="J2252" t="n">
        <v>114</v>
      </c>
      <c r="K2252" t="n">
        <v>1</v>
      </c>
      <c r="L2252" t="n">
        <v>1259</v>
      </c>
      <c r="M2252" t="n">
        <v>188.85</v>
      </c>
      <c r="N2252">
        <f>VLOOKUP(J2252,Products!$A$2:$C$49,3,FALSE)</f>
        <v/>
      </c>
      <c r="O2252">
        <f>K2252*L2252-M2252</f>
        <v/>
      </c>
      <c r="P2252">
        <f>TEXT(B2252,"yyyy-mm")</f>
        <v/>
      </c>
      <c r="Q2252">
        <f>IF(O2252&gt;=3000,"Large","Small")</f>
        <v/>
      </c>
      <c r="R2252">
        <f>INDEX(Products!$F$2:$F$49,MATCH(J2252,Products!$A$2:$A$49,0))</f>
        <v/>
      </c>
      <c r="S2252">
        <f>WEEKDAY(B2252,2)</f>
        <v/>
      </c>
    </row>
    <row r="2253">
      <c r="A2253" t="n">
        <v>510487</v>
      </c>
      <c r="B2253" s="6" t="n">
        <v>45960</v>
      </c>
      <c r="C2253" t="n">
        <v>16036</v>
      </c>
      <c r="D2253" t="inlineStr">
        <is>
          <t>Delhi</t>
        </is>
      </c>
      <c r="E2253" t="inlineStr">
        <is>
          <t>North</t>
        </is>
      </c>
      <c r="F2253" t="inlineStr">
        <is>
          <t>Referral</t>
        </is>
      </c>
      <c r="G2253" t="inlineStr">
        <is>
          <t>Mobile App</t>
        </is>
      </c>
      <c r="H2253" t="inlineStr">
        <is>
          <t>UPI</t>
        </is>
      </c>
      <c r="I2253" t="inlineStr">
        <is>
          <t>Delivered</t>
        </is>
      </c>
      <c r="J2253" t="n">
        <v>108</v>
      </c>
      <c r="K2253" t="n">
        <v>3</v>
      </c>
      <c r="L2253" t="n">
        <v>419</v>
      </c>
      <c r="M2253" t="n">
        <v>0</v>
      </c>
      <c r="N2253">
        <f>VLOOKUP(J2253,Products!$A$2:$C$49,3,FALSE)</f>
        <v/>
      </c>
      <c r="O2253">
        <f>K2253*L2253-M2253</f>
        <v/>
      </c>
      <c r="P2253">
        <f>TEXT(B2253,"yyyy-mm")</f>
        <v/>
      </c>
      <c r="Q2253">
        <f>IF(O2253&gt;=3000,"Large","Small")</f>
        <v/>
      </c>
      <c r="R2253">
        <f>INDEX(Products!$F$2:$F$49,MATCH(J2253,Products!$A$2:$A$49,0))</f>
        <v/>
      </c>
      <c r="S2253">
        <f>WEEKDAY(B2253,2)</f>
        <v/>
      </c>
    </row>
    <row r="2254">
      <c r="A2254" t="n">
        <v>510488</v>
      </c>
      <c r="B2254" s="6" t="n">
        <v>45960</v>
      </c>
      <c r="C2254" t="n">
        <v>15184</v>
      </c>
      <c r="D2254" t="inlineStr">
        <is>
          <t>Kolkata</t>
        </is>
      </c>
      <c r="E2254" t="inlineStr">
        <is>
          <t>East</t>
        </is>
      </c>
      <c r="F2254" t="inlineStr">
        <is>
          <t>Email</t>
        </is>
      </c>
      <c r="G2254" t="inlineStr">
        <is>
          <t>Desktop</t>
        </is>
      </c>
      <c r="H2254" t="inlineStr">
        <is>
          <t>UPI</t>
        </is>
      </c>
      <c r="I2254" t="inlineStr">
        <is>
          <t>Delivered</t>
        </is>
      </c>
      <c r="J2254" t="n">
        <v>123</v>
      </c>
      <c r="K2254" t="n">
        <v>1</v>
      </c>
      <c r="L2254" t="n">
        <v>3464</v>
      </c>
      <c r="M2254" t="n">
        <v>0</v>
      </c>
      <c r="N2254">
        <f>VLOOKUP(J2254,Products!$A$2:$C$49,3,FALSE)</f>
        <v/>
      </c>
      <c r="O2254">
        <f>K2254*L2254-M2254</f>
        <v/>
      </c>
      <c r="P2254">
        <f>TEXT(B2254,"yyyy-mm")</f>
        <v/>
      </c>
      <c r="Q2254">
        <f>IF(O2254&gt;=3000,"Large","Small")</f>
        <v/>
      </c>
      <c r="R2254">
        <f>INDEX(Products!$F$2:$F$49,MATCH(J2254,Products!$A$2:$A$49,0))</f>
        <v/>
      </c>
      <c r="S2254">
        <f>WEEKDAY(B2254,2)</f>
        <v/>
      </c>
    </row>
    <row r="2255">
      <c r="A2255" t="n">
        <v>510488</v>
      </c>
      <c r="B2255" s="6" t="n">
        <v>45960</v>
      </c>
      <c r="C2255" t="n">
        <v>15184</v>
      </c>
      <c r="D2255" t="inlineStr">
        <is>
          <t>Kolkata</t>
        </is>
      </c>
      <c r="E2255" t="inlineStr">
        <is>
          <t>East</t>
        </is>
      </c>
      <c r="F2255" t="inlineStr">
        <is>
          <t>Email</t>
        </is>
      </c>
      <c r="G2255" t="inlineStr">
        <is>
          <t>Desktop</t>
        </is>
      </c>
      <c r="H2255" t="inlineStr">
        <is>
          <t>UPI</t>
        </is>
      </c>
      <c r="I2255" t="inlineStr">
        <is>
          <t>Delivered</t>
        </is>
      </c>
      <c r="J2255" t="n">
        <v>131</v>
      </c>
      <c r="K2255" t="n">
        <v>1</v>
      </c>
      <c r="L2255" t="n">
        <v>314</v>
      </c>
      <c r="M2255" t="n">
        <v>0</v>
      </c>
      <c r="N2255">
        <f>VLOOKUP(J2255,Products!$A$2:$C$49,3,FALSE)</f>
        <v/>
      </c>
      <c r="O2255">
        <f>K2255*L2255-M2255</f>
        <v/>
      </c>
      <c r="P2255">
        <f>TEXT(B2255,"yyyy-mm")</f>
        <v/>
      </c>
      <c r="Q2255">
        <f>IF(O2255&gt;=3000,"Large","Small")</f>
        <v/>
      </c>
      <c r="R2255">
        <f>INDEX(Products!$F$2:$F$49,MATCH(J2255,Products!$A$2:$A$49,0))</f>
        <v/>
      </c>
      <c r="S2255">
        <f>WEEKDAY(B2255,2)</f>
        <v/>
      </c>
    </row>
    <row r="2256">
      <c r="A2256" t="n">
        <v>510488</v>
      </c>
      <c r="B2256" s="6" t="n">
        <v>45960</v>
      </c>
      <c r="C2256" t="n">
        <v>15184</v>
      </c>
      <c r="D2256" t="inlineStr">
        <is>
          <t>Kolkata</t>
        </is>
      </c>
      <c r="E2256" t="inlineStr">
        <is>
          <t>East</t>
        </is>
      </c>
      <c r="F2256" t="inlineStr">
        <is>
          <t>Email</t>
        </is>
      </c>
      <c r="G2256" t="inlineStr">
        <is>
          <t>Desktop</t>
        </is>
      </c>
      <c r="H2256" t="inlineStr">
        <is>
          <t>UPI</t>
        </is>
      </c>
      <c r="I2256" t="inlineStr">
        <is>
          <t>Delivered</t>
        </is>
      </c>
      <c r="J2256" t="n">
        <v>120</v>
      </c>
      <c r="K2256" t="n">
        <v>1</v>
      </c>
      <c r="L2256" t="n">
        <v>734</v>
      </c>
      <c r="M2256" t="n">
        <v>0</v>
      </c>
      <c r="N2256">
        <f>VLOOKUP(J2256,Products!$A$2:$C$49,3,FALSE)</f>
        <v/>
      </c>
      <c r="O2256">
        <f>K2256*L2256-M2256</f>
        <v/>
      </c>
      <c r="P2256">
        <f>TEXT(B2256,"yyyy-mm")</f>
        <v/>
      </c>
      <c r="Q2256">
        <f>IF(O2256&gt;=3000,"Large","Small")</f>
        <v/>
      </c>
      <c r="R2256">
        <f>INDEX(Products!$F$2:$F$49,MATCH(J2256,Products!$A$2:$A$49,0))</f>
        <v/>
      </c>
      <c r="S2256">
        <f>WEEKDAY(B2256,2)</f>
        <v/>
      </c>
    </row>
    <row r="2257">
      <c r="A2257" t="n">
        <v>510489</v>
      </c>
      <c r="B2257" s="6" t="n">
        <v>45960</v>
      </c>
      <c r="C2257" t="n">
        <v>16598</v>
      </c>
      <c r="D2257" t="inlineStr">
        <is>
          <t>Ahmedabad</t>
        </is>
      </c>
      <c r="E2257" t="inlineStr">
        <is>
          <t>West</t>
        </is>
      </c>
      <c r="F2257" t="inlineStr">
        <is>
          <t>Affiliate</t>
        </is>
      </c>
      <c r="G2257" t="inlineStr">
        <is>
          <t>Mobile App</t>
        </is>
      </c>
      <c r="H2257" t="inlineStr">
        <is>
          <t>Credit Card</t>
        </is>
      </c>
      <c r="I2257" t="inlineStr">
        <is>
          <t>Delivered</t>
        </is>
      </c>
      <c r="J2257" t="n">
        <v>127</v>
      </c>
      <c r="K2257" t="n">
        <v>1</v>
      </c>
      <c r="L2257" t="n">
        <v>681</v>
      </c>
      <c r="M2257" t="n">
        <v>0</v>
      </c>
      <c r="N2257">
        <f>VLOOKUP(J2257,Products!$A$2:$C$49,3,FALSE)</f>
        <v/>
      </c>
      <c r="O2257">
        <f>K2257*L2257-M2257</f>
        <v/>
      </c>
      <c r="P2257">
        <f>TEXT(B2257,"yyyy-mm")</f>
        <v/>
      </c>
      <c r="Q2257">
        <f>IF(O2257&gt;=3000,"Large","Small")</f>
        <v/>
      </c>
      <c r="R2257">
        <f>INDEX(Products!$F$2:$F$49,MATCH(J2257,Products!$A$2:$A$49,0))</f>
        <v/>
      </c>
      <c r="S2257">
        <f>WEEKDAY(B2257,2)</f>
        <v/>
      </c>
    </row>
    <row r="2258">
      <c r="A2258" t="n">
        <v>510490</v>
      </c>
      <c r="B2258" s="6" t="n">
        <v>45960</v>
      </c>
      <c r="C2258" t="n">
        <v>17006</v>
      </c>
      <c r="D2258" t="inlineStr">
        <is>
          <t>Mumbai</t>
        </is>
      </c>
      <c r="E2258" t="inlineStr">
        <is>
          <t>West</t>
        </is>
      </c>
      <c r="F2258" t="inlineStr">
        <is>
          <t>Paid Search</t>
        </is>
      </c>
      <c r="G2258" t="inlineStr">
        <is>
          <t>Mobile Web</t>
        </is>
      </c>
      <c r="H2258" t="inlineStr">
        <is>
          <t>Cash on Delivery</t>
        </is>
      </c>
      <c r="I2258" t="inlineStr">
        <is>
          <t>Delivered</t>
        </is>
      </c>
      <c r="J2258" t="n">
        <v>111</v>
      </c>
      <c r="K2258" t="n">
        <v>1</v>
      </c>
      <c r="L2258" t="n">
        <v>524</v>
      </c>
      <c r="M2258" t="n">
        <v>78.59999999999999</v>
      </c>
      <c r="N2258">
        <f>VLOOKUP(J2258,Products!$A$2:$C$49,3,FALSE)</f>
        <v/>
      </c>
      <c r="O2258">
        <f>K2258*L2258-M2258</f>
        <v/>
      </c>
      <c r="P2258">
        <f>TEXT(B2258,"yyyy-mm")</f>
        <v/>
      </c>
      <c r="Q2258">
        <f>IF(O2258&gt;=3000,"Large","Small")</f>
        <v/>
      </c>
      <c r="R2258">
        <f>INDEX(Products!$F$2:$F$49,MATCH(J2258,Products!$A$2:$A$49,0))</f>
        <v/>
      </c>
      <c r="S2258">
        <f>WEEKDAY(B2258,2)</f>
        <v/>
      </c>
    </row>
    <row r="2259">
      <c r="A2259" t="n">
        <v>510491</v>
      </c>
      <c r="B2259" s="6" t="n">
        <v>45960</v>
      </c>
      <c r="C2259" t="n">
        <v>16359</v>
      </c>
      <c r="D2259" t="inlineStr">
        <is>
          <t>Bengaluru</t>
        </is>
      </c>
      <c r="E2259" t="inlineStr">
        <is>
          <t>South</t>
        </is>
      </c>
      <c r="F2259" t="inlineStr">
        <is>
          <t>Organic Search</t>
        </is>
      </c>
      <c r="G2259" t="inlineStr">
        <is>
          <t>Mobile App</t>
        </is>
      </c>
      <c r="H2259" t="inlineStr">
        <is>
          <t>UPI</t>
        </is>
      </c>
      <c r="I2259" t="inlineStr">
        <is>
          <t>Delivered</t>
        </is>
      </c>
      <c r="J2259" t="n">
        <v>124</v>
      </c>
      <c r="K2259" t="n">
        <v>1</v>
      </c>
      <c r="L2259" t="n">
        <v>1154</v>
      </c>
      <c r="M2259" t="n">
        <v>0</v>
      </c>
      <c r="N2259">
        <f>VLOOKUP(J2259,Products!$A$2:$C$49,3,FALSE)</f>
        <v/>
      </c>
      <c r="O2259">
        <f>K2259*L2259-M2259</f>
        <v/>
      </c>
      <c r="P2259">
        <f>TEXT(B2259,"yyyy-mm")</f>
        <v/>
      </c>
      <c r="Q2259">
        <f>IF(O2259&gt;=3000,"Large","Small")</f>
        <v/>
      </c>
      <c r="R2259">
        <f>INDEX(Products!$F$2:$F$49,MATCH(J2259,Products!$A$2:$A$49,0))</f>
        <v/>
      </c>
      <c r="S2259">
        <f>WEEKDAY(B2259,2)</f>
        <v/>
      </c>
    </row>
    <row r="2260">
      <c r="A2260" t="n">
        <v>510492</v>
      </c>
      <c r="B2260" s="6" t="n">
        <v>45960</v>
      </c>
      <c r="C2260" t="n">
        <v>17054</v>
      </c>
      <c r="D2260" t="inlineStr">
        <is>
          <t>Indore</t>
        </is>
      </c>
      <c r="E2260" t="inlineStr">
        <is>
          <t>West</t>
        </is>
      </c>
      <c r="F2260" t="inlineStr">
        <is>
          <t>Paid Search</t>
        </is>
      </c>
      <c r="G2260" t="inlineStr">
        <is>
          <t>Mobile Web</t>
        </is>
      </c>
      <c r="H2260" t="inlineStr">
        <is>
          <t>UPI</t>
        </is>
      </c>
      <c r="I2260" t="inlineStr">
        <is>
          <t>Delivered</t>
        </is>
      </c>
      <c r="J2260" t="n">
        <v>103</v>
      </c>
      <c r="K2260" t="n">
        <v>1</v>
      </c>
      <c r="L2260" t="n">
        <v>2624</v>
      </c>
      <c r="M2260" t="n">
        <v>393.6</v>
      </c>
      <c r="N2260">
        <f>VLOOKUP(J2260,Products!$A$2:$C$49,3,FALSE)</f>
        <v/>
      </c>
      <c r="O2260">
        <f>K2260*L2260-M2260</f>
        <v/>
      </c>
      <c r="P2260">
        <f>TEXT(B2260,"yyyy-mm")</f>
        <v/>
      </c>
      <c r="Q2260">
        <f>IF(O2260&gt;=3000,"Large","Small")</f>
        <v/>
      </c>
      <c r="R2260">
        <f>INDEX(Products!$F$2:$F$49,MATCH(J2260,Products!$A$2:$A$49,0))</f>
        <v/>
      </c>
      <c r="S2260">
        <f>WEEKDAY(B2260,2)</f>
        <v/>
      </c>
    </row>
    <row r="2261">
      <c r="A2261" t="n">
        <v>510492</v>
      </c>
      <c r="B2261" s="6" t="n">
        <v>45960</v>
      </c>
      <c r="C2261" t="n">
        <v>17054</v>
      </c>
      <c r="D2261" t="inlineStr">
        <is>
          <t>Indore</t>
        </is>
      </c>
      <c r="E2261" t="inlineStr">
        <is>
          <t>West</t>
        </is>
      </c>
      <c r="F2261" t="inlineStr">
        <is>
          <t>Paid Search</t>
        </is>
      </c>
      <c r="G2261" t="inlineStr">
        <is>
          <t>Mobile Web</t>
        </is>
      </c>
      <c r="H2261" t="inlineStr">
        <is>
          <t>UPI</t>
        </is>
      </c>
      <c r="I2261" t="inlineStr">
        <is>
          <t>Delivered</t>
        </is>
      </c>
      <c r="J2261" t="n">
        <v>123</v>
      </c>
      <c r="K2261" t="n">
        <v>1</v>
      </c>
      <c r="L2261" t="n">
        <v>3464</v>
      </c>
      <c r="M2261" t="n">
        <v>519.6</v>
      </c>
      <c r="N2261">
        <f>VLOOKUP(J2261,Products!$A$2:$C$49,3,FALSE)</f>
        <v/>
      </c>
      <c r="O2261">
        <f>K2261*L2261-M2261</f>
        <v/>
      </c>
      <c r="P2261">
        <f>TEXT(B2261,"yyyy-mm")</f>
        <v/>
      </c>
      <c r="Q2261">
        <f>IF(O2261&gt;=3000,"Large","Small")</f>
        <v/>
      </c>
      <c r="R2261">
        <f>INDEX(Products!$F$2:$F$49,MATCH(J2261,Products!$A$2:$A$49,0))</f>
        <v/>
      </c>
      <c r="S2261">
        <f>WEEKDAY(B2261,2)</f>
        <v/>
      </c>
    </row>
    <row r="2262">
      <c r="A2262" t="n">
        <v>510492</v>
      </c>
      <c r="B2262" s="6" t="n">
        <v>45960</v>
      </c>
      <c r="C2262" t="n">
        <v>17054</v>
      </c>
      <c r="D2262" t="inlineStr">
        <is>
          <t>Indore</t>
        </is>
      </c>
      <c r="E2262" t="inlineStr">
        <is>
          <t>West</t>
        </is>
      </c>
      <c r="F2262" t="inlineStr">
        <is>
          <t>Paid Search</t>
        </is>
      </c>
      <c r="G2262" t="inlineStr">
        <is>
          <t>Mobile Web</t>
        </is>
      </c>
      <c r="H2262" t="inlineStr">
        <is>
          <t>UPI</t>
        </is>
      </c>
      <c r="I2262" t="inlineStr">
        <is>
          <t>Delivered</t>
        </is>
      </c>
      <c r="J2262" t="n">
        <v>112</v>
      </c>
      <c r="K2262" t="n">
        <v>1</v>
      </c>
      <c r="L2262" t="n">
        <v>1574</v>
      </c>
      <c r="M2262" t="n">
        <v>236.1</v>
      </c>
      <c r="N2262">
        <f>VLOOKUP(J2262,Products!$A$2:$C$49,3,FALSE)</f>
        <v/>
      </c>
      <c r="O2262">
        <f>K2262*L2262-M2262</f>
        <v/>
      </c>
      <c r="P2262">
        <f>TEXT(B2262,"yyyy-mm")</f>
        <v/>
      </c>
      <c r="Q2262">
        <f>IF(O2262&gt;=3000,"Large","Small")</f>
        <v/>
      </c>
      <c r="R2262">
        <f>INDEX(Products!$F$2:$F$49,MATCH(J2262,Products!$A$2:$A$49,0))</f>
        <v/>
      </c>
      <c r="S2262">
        <f>WEEKDAY(B2262,2)</f>
        <v/>
      </c>
    </row>
    <row r="2263">
      <c r="A2263" t="n">
        <v>510492</v>
      </c>
      <c r="B2263" s="6" t="n">
        <v>45960</v>
      </c>
      <c r="C2263" t="n">
        <v>17054</v>
      </c>
      <c r="D2263" t="inlineStr">
        <is>
          <t>Indore</t>
        </is>
      </c>
      <c r="E2263" t="inlineStr">
        <is>
          <t>West</t>
        </is>
      </c>
      <c r="F2263" t="inlineStr">
        <is>
          <t>Paid Search</t>
        </is>
      </c>
      <c r="G2263" t="inlineStr">
        <is>
          <t>Mobile Web</t>
        </is>
      </c>
      <c r="H2263" t="inlineStr">
        <is>
          <t>UPI</t>
        </is>
      </c>
      <c r="I2263" t="inlineStr">
        <is>
          <t>Delivered</t>
        </is>
      </c>
      <c r="J2263" t="n">
        <v>107</v>
      </c>
      <c r="K2263" t="n">
        <v>1</v>
      </c>
      <c r="L2263" t="n">
        <v>1259</v>
      </c>
      <c r="M2263" t="n">
        <v>188.85</v>
      </c>
      <c r="N2263">
        <f>VLOOKUP(J2263,Products!$A$2:$C$49,3,FALSE)</f>
        <v/>
      </c>
      <c r="O2263">
        <f>K2263*L2263-M2263</f>
        <v/>
      </c>
      <c r="P2263">
        <f>TEXT(B2263,"yyyy-mm")</f>
        <v/>
      </c>
      <c r="Q2263">
        <f>IF(O2263&gt;=3000,"Large","Small")</f>
        <v/>
      </c>
      <c r="R2263">
        <f>INDEX(Products!$F$2:$F$49,MATCH(J2263,Products!$A$2:$A$49,0))</f>
        <v/>
      </c>
      <c r="S2263">
        <f>WEEKDAY(B2263,2)</f>
        <v/>
      </c>
    </row>
    <row r="2264">
      <c r="A2264" t="n">
        <v>510493</v>
      </c>
      <c r="B2264" s="6" t="n">
        <v>45960</v>
      </c>
      <c r="C2264" t="n">
        <v>17078</v>
      </c>
      <c r="D2264" t="inlineStr">
        <is>
          <t>Bengaluru</t>
        </is>
      </c>
      <c r="E2264" t="inlineStr">
        <is>
          <t>South</t>
        </is>
      </c>
      <c r="F2264" t="inlineStr">
        <is>
          <t>Referral</t>
        </is>
      </c>
      <c r="G2264" t="inlineStr">
        <is>
          <t>Mobile App</t>
        </is>
      </c>
      <c r="H2264" t="inlineStr">
        <is>
          <t>UPI</t>
        </is>
      </c>
      <c r="I2264" t="inlineStr">
        <is>
          <t>Delivered</t>
        </is>
      </c>
      <c r="J2264" t="n">
        <v>111</v>
      </c>
      <c r="K2264" t="n">
        <v>3</v>
      </c>
      <c r="L2264" t="n">
        <v>524</v>
      </c>
      <c r="M2264" t="n">
        <v>235.8</v>
      </c>
      <c r="N2264">
        <f>VLOOKUP(J2264,Products!$A$2:$C$49,3,FALSE)</f>
        <v/>
      </c>
      <c r="O2264">
        <f>K2264*L2264-M2264</f>
        <v/>
      </c>
      <c r="P2264">
        <f>TEXT(B2264,"yyyy-mm")</f>
        <v/>
      </c>
      <c r="Q2264">
        <f>IF(O2264&gt;=3000,"Large","Small")</f>
        <v/>
      </c>
      <c r="R2264">
        <f>INDEX(Products!$F$2:$F$49,MATCH(J2264,Products!$A$2:$A$49,0))</f>
        <v/>
      </c>
      <c r="S2264">
        <f>WEEKDAY(B2264,2)</f>
        <v/>
      </c>
    </row>
    <row r="2265">
      <c r="A2265" t="n">
        <v>510493</v>
      </c>
      <c r="B2265" s="6" t="n">
        <v>45960</v>
      </c>
      <c r="C2265" t="n">
        <v>17078</v>
      </c>
      <c r="D2265" t="inlineStr">
        <is>
          <t>Bengaluru</t>
        </is>
      </c>
      <c r="E2265" t="inlineStr">
        <is>
          <t>South</t>
        </is>
      </c>
      <c r="F2265" t="inlineStr">
        <is>
          <t>Referral</t>
        </is>
      </c>
      <c r="G2265" t="inlineStr">
        <is>
          <t>Mobile App</t>
        </is>
      </c>
      <c r="H2265" t="inlineStr">
        <is>
          <t>UPI</t>
        </is>
      </c>
      <c r="I2265" t="inlineStr">
        <is>
          <t>Delivered</t>
        </is>
      </c>
      <c r="J2265" t="n">
        <v>103</v>
      </c>
      <c r="K2265" t="n">
        <v>2</v>
      </c>
      <c r="L2265" t="n">
        <v>2624</v>
      </c>
      <c r="M2265" t="n">
        <v>787.2</v>
      </c>
      <c r="N2265">
        <f>VLOOKUP(J2265,Products!$A$2:$C$49,3,FALSE)</f>
        <v/>
      </c>
      <c r="O2265">
        <f>K2265*L2265-M2265</f>
        <v/>
      </c>
      <c r="P2265">
        <f>TEXT(B2265,"yyyy-mm")</f>
        <v/>
      </c>
      <c r="Q2265">
        <f>IF(O2265&gt;=3000,"Large","Small")</f>
        <v/>
      </c>
      <c r="R2265">
        <f>INDEX(Products!$F$2:$F$49,MATCH(J2265,Products!$A$2:$A$49,0))</f>
        <v/>
      </c>
      <c r="S2265">
        <f>WEEKDAY(B2265,2)</f>
        <v/>
      </c>
    </row>
    <row r="2266">
      <c r="A2266" t="n">
        <v>510494</v>
      </c>
      <c r="B2266" s="6" t="n">
        <v>45960</v>
      </c>
      <c r="C2266" t="n">
        <v>12661</v>
      </c>
      <c r="D2266" t="inlineStr">
        <is>
          <t>Delhi</t>
        </is>
      </c>
      <c r="E2266" t="inlineStr">
        <is>
          <t>North</t>
        </is>
      </c>
      <c r="F2266" t="inlineStr">
        <is>
          <t>Paid Search</t>
        </is>
      </c>
      <c r="G2266" t="inlineStr">
        <is>
          <t>Mobile App</t>
        </is>
      </c>
      <c r="H2266" t="inlineStr">
        <is>
          <t>UPI</t>
        </is>
      </c>
      <c r="I2266" t="inlineStr">
        <is>
          <t>Returned</t>
        </is>
      </c>
      <c r="J2266" t="n">
        <v>104</v>
      </c>
      <c r="K2266" t="n">
        <v>2</v>
      </c>
      <c r="L2266" t="n">
        <v>5249</v>
      </c>
      <c r="M2266" t="n">
        <v>0</v>
      </c>
      <c r="N2266">
        <f>VLOOKUP(J2266,Products!$A$2:$C$49,3,FALSE)</f>
        <v/>
      </c>
      <c r="O2266">
        <f>K2266*L2266-M2266</f>
        <v/>
      </c>
      <c r="P2266">
        <f>TEXT(B2266,"yyyy-mm")</f>
        <v/>
      </c>
      <c r="Q2266">
        <f>IF(O2266&gt;=3000,"Large","Small")</f>
        <v/>
      </c>
      <c r="R2266">
        <f>INDEX(Products!$F$2:$F$49,MATCH(J2266,Products!$A$2:$A$49,0))</f>
        <v/>
      </c>
      <c r="S2266">
        <f>WEEKDAY(B2266,2)</f>
        <v/>
      </c>
    </row>
    <row r="2267">
      <c r="A2267" t="n">
        <v>510494</v>
      </c>
      <c r="B2267" s="6" t="n">
        <v>45960</v>
      </c>
      <c r="C2267" t="n">
        <v>12661</v>
      </c>
      <c r="D2267" t="inlineStr">
        <is>
          <t>Delhi</t>
        </is>
      </c>
      <c r="E2267" t="inlineStr">
        <is>
          <t>North</t>
        </is>
      </c>
      <c r="F2267" t="inlineStr">
        <is>
          <t>Paid Search</t>
        </is>
      </c>
      <c r="G2267" t="inlineStr">
        <is>
          <t>Mobile App</t>
        </is>
      </c>
      <c r="H2267" t="inlineStr">
        <is>
          <t>UPI</t>
        </is>
      </c>
      <c r="I2267" t="inlineStr">
        <is>
          <t>Returned</t>
        </is>
      </c>
      <c r="J2267" t="n">
        <v>122</v>
      </c>
      <c r="K2267" t="n">
        <v>1</v>
      </c>
      <c r="L2267" t="n">
        <v>1994</v>
      </c>
      <c r="M2267" t="n">
        <v>0</v>
      </c>
      <c r="N2267">
        <f>VLOOKUP(J2267,Products!$A$2:$C$49,3,FALSE)</f>
        <v/>
      </c>
      <c r="O2267">
        <f>K2267*L2267-M2267</f>
        <v/>
      </c>
      <c r="P2267">
        <f>TEXT(B2267,"yyyy-mm")</f>
        <v/>
      </c>
      <c r="Q2267">
        <f>IF(O2267&gt;=3000,"Large","Small")</f>
        <v/>
      </c>
      <c r="R2267">
        <f>INDEX(Products!$F$2:$F$49,MATCH(J2267,Products!$A$2:$A$49,0))</f>
        <v/>
      </c>
      <c r="S2267">
        <f>WEEKDAY(B2267,2)</f>
        <v/>
      </c>
    </row>
    <row r="2268">
      <c r="A2268" t="n">
        <v>510494</v>
      </c>
      <c r="B2268" s="6" t="n">
        <v>45960</v>
      </c>
      <c r="C2268" t="n">
        <v>12661</v>
      </c>
      <c r="D2268" t="inlineStr">
        <is>
          <t>Delhi</t>
        </is>
      </c>
      <c r="E2268" t="inlineStr">
        <is>
          <t>North</t>
        </is>
      </c>
      <c r="F2268" t="inlineStr">
        <is>
          <t>Paid Search</t>
        </is>
      </c>
      <c r="G2268" t="inlineStr">
        <is>
          <t>Mobile App</t>
        </is>
      </c>
      <c r="H2268" t="inlineStr">
        <is>
          <t>UPI</t>
        </is>
      </c>
      <c r="I2268" t="inlineStr">
        <is>
          <t>Returned</t>
        </is>
      </c>
      <c r="J2268" t="n">
        <v>112</v>
      </c>
      <c r="K2268" t="n">
        <v>1</v>
      </c>
      <c r="L2268" t="n">
        <v>1574</v>
      </c>
      <c r="M2268" t="n">
        <v>0</v>
      </c>
      <c r="N2268">
        <f>VLOOKUP(J2268,Products!$A$2:$C$49,3,FALSE)</f>
        <v/>
      </c>
      <c r="O2268">
        <f>K2268*L2268-M2268</f>
        <v/>
      </c>
      <c r="P2268">
        <f>TEXT(B2268,"yyyy-mm")</f>
        <v/>
      </c>
      <c r="Q2268">
        <f>IF(O2268&gt;=3000,"Large","Small")</f>
        <v/>
      </c>
      <c r="R2268">
        <f>INDEX(Products!$F$2:$F$49,MATCH(J2268,Products!$A$2:$A$49,0))</f>
        <v/>
      </c>
      <c r="S2268">
        <f>WEEKDAY(B2268,2)</f>
        <v/>
      </c>
    </row>
    <row r="2269">
      <c r="A2269" t="n">
        <v>510495</v>
      </c>
      <c r="B2269" s="6" t="n">
        <v>45960</v>
      </c>
      <c r="C2269" t="n">
        <v>17106</v>
      </c>
      <c r="D2269" t="inlineStr">
        <is>
          <t>Bengaluru</t>
        </is>
      </c>
      <c r="E2269" t="inlineStr">
        <is>
          <t>South</t>
        </is>
      </c>
      <c r="F2269" t="inlineStr">
        <is>
          <t>Paid Social</t>
        </is>
      </c>
      <c r="G2269" t="inlineStr">
        <is>
          <t>Mobile App</t>
        </is>
      </c>
      <c r="H2269" t="inlineStr">
        <is>
          <t>UPI</t>
        </is>
      </c>
      <c r="I2269" t="inlineStr">
        <is>
          <t>Delivered</t>
        </is>
      </c>
      <c r="J2269" t="n">
        <v>118</v>
      </c>
      <c r="K2269" t="n">
        <v>1</v>
      </c>
      <c r="L2269" t="n">
        <v>944</v>
      </c>
      <c r="M2269" t="n">
        <v>141.6</v>
      </c>
      <c r="N2269">
        <f>VLOOKUP(J2269,Products!$A$2:$C$49,3,FALSE)</f>
        <v/>
      </c>
      <c r="O2269">
        <f>K2269*L2269-M2269</f>
        <v/>
      </c>
      <c r="P2269">
        <f>TEXT(B2269,"yyyy-mm")</f>
        <v/>
      </c>
      <c r="Q2269">
        <f>IF(O2269&gt;=3000,"Large","Small")</f>
        <v/>
      </c>
      <c r="R2269">
        <f>INDEX(Products!$F$2:$F$49,MATCH(J2269,Products!$A$2:$A$49,0))</f>
        <v/>
      </c>
      <c r="S2269">
        <f>WEEKDAY(B2269,2)</f>
        <v/>
      </c>
    </row>
    <row r="2270">
      <c r="A2270" t="n">
        <v>510495</v>
      </c>
      <c r="B2270" s="6" t="n">
        <v>45960</v>
      </c>
      <c r="C2270" t="n">
        <v>17106</v>
      </c>
      <c r="D2270" t="inlineStr">
        <is>
          <t>Bengaluru</t>
        </is>
      </c>
      <c r="E2270" t="inlineStr">
        <is>
          <t>South</t>
        </is>
      </c>
      <c r="F2270" t="inlineStr">
        <is>
          <t>Paid Social</t>
        </is>
      </c>
      <c r="G2270" t="inlineStr">
        <is>
          <t>Mobile App</t>
        </is>
      </c>
      <c r="H2270" t="inlineStr">
        <is>
          <t>UPI</t>
        </is>
      </c>
      <c r="I2270" t="inlineStr">
        <is>
          <t>Delivered</t>
        </is>
      </c>
      <c r="J2270" t="n">
        <v>143</v>
      </c>
      <c r="K2270" t="n">
        <v>1</v>
      </c>
      <c r="L2270" t="n">
        <v>839</v>
      </c>
      <c r="M2270" t="n">
        <v>125.85</v>
      </c>
      <c r="N2270">
        <f>VLOOKUP(J2270,Products!$A$2:$C$49,3,FALSE)</f>
        <v/>
      </c>
      <c r="O2270">
        <f>K2270*L2270-M2270</f>
        <v/>
      </c>
      <c r="P2270">
        <f>TEXT(B2270,"yyyy-mm")</f>
        <v/>
      </c>
      <c r="Q2270">
        <f>IF(O2270&gt;=3000,"Large","Small")</f>
        <v/>
      </c>
      <c r="R2270">
        <f>INDEX(Products!$F$2:$F$49,MATCH(J2270,Products!$A$2:$A$49,0))</f>
        <v/>
      </c>
      <c r="S2270">
        <f>WEEKDAY(B2270,2)</f>
        <v/>
      </c>
    </row>
    <row r="2271">
      <c r="A2271" t="n">
        <v>510496</v>
      </c>
      <c r="B2271" s="6" t="n">
        <v>45960</v>
      </c>
      <c r="C2271" t="n">
        <v>17094</v>
      </c>
      <c r="D2271" t="inlineStr">
        <is>
          <t>Mumbai</t>
        </is>
      </c>
      <c r="E2271" t="inlineStr">
        <is>
          <t>West</t>
        </is>
      </c>
      <c r="F2271" t="inlineStr">
        <is>
          <t>Paid Search</t>
        </is>
      </c>
      <c r="G2271" t="inlineStr">
        <is>
          <t>Mobile App</t>
        </is>
      </c>
      <c r="H2271" t="inlineStr">
        <is>
          <t>Credit Card</t>
        </is>
      </c>
      <c r="I2271" t="inlineStr">
        <is>
          <t>Delivered</t>
        </is>
      </c>
      <c r="J2271" t="n">
        <v>110</v>
      </c>
      <c r="K2271" t="n">
        <v>2</v>
      </c>
      <c r="L2271" t="n">
        <v>839</v>
      </c>
      <c r="M2271" t="n">
        <v>0</v>
      </c>
      <c r="N2271">
        <f>VLOOKUP(J2271,Products!$A$2:$C$49,3,FALSE)</f>
        <v/>
      </c>
      <c r="O2271">
        <f>K2271*L2271-M2271</f>
        <v/>
      </c>
      <c r="P2271">
        <f>TEXT(B2271,"yyyy-mm")</f>
        <v/>
      </c>
      <c r="Q2271">
        <f>IF(O2271&gt;=3000,"Large","Small")</f>
        <v/>
      </c>
      <c r="R2271">
        <f>INDEX(Products!$F$2:$F$49,MATCH(J2271,Products!$A$2:$A$49,0))</f>
        <v/>
      </c>
      <c r="S2271">
        <f>WEEKDAY(B2271,2)</f>
        <v/>
      </c>
    </row>
    <row r="2272">
      <c r="A2272" t="n">
        <v>510496</v>
      </c>
      <c r="B2272" s="6" t="n">
        <v>45960</v>
      </c>
      <c r="C2272" t="n">
        <v>17094</v>
      </c>
      <c r="D2272" t="inlineStr">
        <is>
          <t>Mumbai</t>
        </is>
      </c>
      <c r="E2272" t="inlineStr">
        <is>
          <t>West</t>
        </is>
      </c>
      <c r="F2272" t="inlineStr">
        <is>
          <t>Paid Search</t>
        </is>
      </c>
      <c r="G2272" t="inlineStr">
        <is>
          <t>Mobile App</t>
        </is>
      </c>
      <c r="H2272" t="inlineStr">
        <is>
          <t>Credit Card</t>
        </is>
      </c>
      <c r="I2272" t="inlineStr">
        <is>
          <t>Delivered</t>
        </is>
      </c>
      <c r="J2272" t="n">
        <v>113</v>
      </c>
      <c r="K2272" t="n">
        <v>1</v>
      </c>
      <c r="L2272" t="n">
        <v>1364</v>
      </c>
      <c r="M2272" t="n">
        <v>0</v>
      </c>
      <c r="N2272">
        <f>VLOOKUP(J2272,Products!$A$2:$C$49,3,FALSE)</f>
        <v/>
      </c>
      <c r="O2272">
        <f>K2272*L2272-M2272</f>
        <v/>
      </c>
      <c r="P2272">
        <f>TEXT(B2272,"yyyy-mm")</f>
        <v/>
      </c>
      <c r="Q2272">
        <f>IF(O2272&gt;=3000,"Large","Small")</f>
        <v/>
      </c>
      <c r="R2272">
        <f>INDEX(Products!$F$2:$F$49,MATCH(J2272,Products!$A$2:$A$49,0))</f>
        <v/>
      </c>
      <c r="S2272">
        <f>WEEKDAY(B2272,2)</f>
        <v/>
      </c>
    </row>
    <row r="2273">
      <c r="A2273" t="n">
        <v>510496</v>
      </c>
      <c r="B2273" s="6" t="n">
        <v>45960</v>
      </c>
      <c r="C2273" t="n">
        <v>17094</v>
      </c>
      <c r="D2273" t="inlineStr">
        <is>
          <t>Mumbai</t>
        </is>
      </c>
      <c r="E2273" t="inlineStr">
        <is>
          <t>West</t>
        </is>
      </c>
      <c r="F2273" t="inlineStr">
        <is>
          <t>Paid Search</t>
        </is>
      </c>
      <c r="G2273" t="inlineStr">
        <is>
          <t>Mobile App</t>
        </is>
      </c>
      <c r="H2273" t="inlineStr">
        <is>
          <t>Credit Card</t>
        </is>
      </c>
      <c r="I2273" t="inlineStr">
        <is>
          <t>Delivered</t>
        </is>
      </c>
      <c r="J2273" t="n">
        <v>117</v>
      </c>
      <c r="K2273" t="n">
        <v>1</v>
      </c>
      <c r="L2273" t="n">
        <v>3149</v>
      </c>
      <c r="M2273" t="n">
        <v>0</v>
      </c>
      <c r="N2273">
        <f>VLOOKUP(J2273,Products!$A$2:$C$49,3,FALSE)</f>
        <v/>
      </c>
      <c r="O2273">
        <f>K2273*L2273-M2273</f>
        <v/>
      </c>
      <c r="P2273">
        <f>TEXT(B2273,"yyyy-mm")</f>
        <v/>
      </c>
      <c r="Q2273">
        <f>IF(O2273&gt;=3000,"Large","Small")</f>
        <v/>
      </c>
      <c r="R2273">
        <f>INDEX(Products!$F$2:$F$49,MATCH(J2273,Products!$A$2:$A$49,0))</f>
        <v/>
      </c>
      <c r="S2273">
        <f>WEEKDAY(B2273,2)</f>
        <v/>
      </c>
    </row>
    <row r="2274">
      <c r="A2274" t="n">
        <v>510497</v>
      </c>
      <c r="B2274" s="6" t="n">
        <v>45960</v>
      </c>
      <c r="C2274" t="n">
        <v>16593</v>
      </c>
      <c r="D2274" t="inlineStr">
        <is>
          <t>Mumbai</t>
        </is>
      </c>
      <c r="E2274" t="inlineStr">
        <is>
          <t>West</t>
        </is>
      </c>
      <c r="F2274" t="inlineStr">
        <is>
          <t>Referral</t>
        </is>
      </c>
      <c r="G2274" t="inlineStr">
        <is>
          <t>Mobile App</t>
        </is>
      </c>
      <c r="H2274" t="inlineStr">
        <is>
          <t>UPI</t>
        </is>
      </c>
      <c r="I2274" t="inlineStr">
        <is>
          <t>Delivered</t>
        </is>
      </c>
      <c r="J2274" t="n">
        <v>116</v>
      </c>
      <c r="K2274" t="n">
        <v>1</v>
      </c>
      <c r="L2274" t="n">
        <v>2624</v>
      </c>
      <c r="M2274" t="n">
        <v>0</v>
      </c>
      <c r="N2274">
        <f>VLOOKUP(J2274,Products!$A$2:$C$49,3,FALSE)</f>
        <v/>
      </c>
      <c r="O2274">
        <f>K2274*L2274-M2274</f>
        <v/>
      </c>
      <c r="P2274">
        <f>TEXT(B2274,"yyyy-mm")</f>
        <v/>
      </c>
      <c r="Q2274">
        <f>IF(O2274&gt;=3000,"Large","Small")</f>
        <v/>
      </c>
      <c r="R2274">
        <f>INDEX(Products!$F$2:$F$49,MATCH(J2274,Products!$A$2:$A$49,0))</f>
        <v/>
      </c>
      <c r="S2274">
        <f>WEEKDAY(B2274,2)</f>
        <v/>
      </c>
    </row>
    <row r="2275">
      <c r="A2275" t="n">
        <v>510498</v>
      </c>
      <c r="B2275" s="6" t="n">
        <v>45960</v>
      </c>
      <c r="C2275" t="n">
        <v>16821</v>
      </c>
      <c r="D2275" t="inlineStr">
        <is>
          <t>Mumbai</t>
        </is>
      </c>
      <c r="E2275" t="inlineStr">
        <is>
          <t>West</t>
        </is>
      </c>
      <c r="F2275" t="inlineStr">
        <is>
          <t>Organic Search</t>
        </is>
      </c>
      <c r="G2275" t="inlineStr">
        <is>
          <t>Mobile Web</t>
        </is>
      </c>
      <c r="H2275" t="inlineStr">
        <is>
          <t>UPI</t>
        </is>
      </c>
      <c r="I2275" t="inlineStr">
        <is>
          <t>Delivered</t>
        </is>
      </c>
      <c r="J2275" t="n">
        <v>132</v>
      </c>
      <c r="K2275" t="n">
        <v>1</v>
      </c>
      <c r="L2275" t="n">
        <v>471</v>
      </c>
      <c r="M2275" t="n">
        <v>0</v>
      </c>
      <c r="N2275">
        <f>VLOOKUP(J2275,Products!$A$2:$C$49,3,FALSE)</f>
        <v/>
      </c>
      <c r="O2275">
        <f>K2275*L2275-M2275</f>
        <v/>
      </c>
      <c r="P2275">
        <f>TEXT(B2275,"yyyy-mm")</f>
        <v/>
      </c>
      <c r="Q2275">
        <f>IF(O2275&gt;=3000,"Large","Small")</f>
        <v/>
      </c>
      <c r="R2275">
        <f>INDEX(Products!$F$2:$F$49,MATCH(J2275,Products!$A$2:$A$49,0))</f>
        <v/>
      </c>
      <c r="S2275">
        <f>WEEKDAY(B2275,2)</f>
        <v/>
      </c>
    </row>
    <row r="2276">
      <c r="A2276" t="n">
        <v>510498</v>
      </c>
      <c r="B2276" s="6" t="n">
        <v>45960</v>
      </c>
      <c r="C2276" t="n">
        <v>16821</v>
      </c>
      <c r="D2276" t="inlineStr">
        <is>
          <t>Mumbai</t>
        </is>
      </c>
      <c r="E2276" t="inlineStr">
        <is>
          <t>West</t>
        </is>
      </c>
      <c r="F2276" t="inlineStr">
        <is>
          <t>Organic Search</t>
        </is>
      </c>
      <c r="G2276" t="inlineStr">
        <is>
          <t>Mobile Web</t>
        </is>
      </c>
      <c r="H2276" t="inlineStr">
        <is>
          <t>UPI</t>
        </is>
      </c>
      <c r="I2276" t="inlineStr">
        <is>
          <t>Delivered</t>
        </is>
      </c>
      <c r="J2276" t="n">
        <v>146</v>
      </c>
      <c r="K2276" t="n">
        <v>2</v>
      </c>
      <c r="L2276" t="n">
        <v>4724</v>
      </c>
      <c r="M2276" t="n">
        <v>0</v>
      </c>
      <c r="N2276">
        <f>VLOOKUP(J2276,Products!$A$2:$C$49,3,FALSE)</f>
        <v/>
      </c>
      <c r="O2276">
        <f>K2276*L2276-M2276</f>
        <v/>
      </c>
      <c r="P2276">
        <f>TEXT(B2276,"yyyy-mm")</f>
        <v/>
      </c>
      <c r="Q2276">
        <f>IF(O2276&gt;=3000,"Large","Small")</f>
        <v/>
      </c>
      <c r="R2276">
        <f>INDEX(Products!$F$2:$F$49,MATCH(J2276,Products!$A$2:$A$49,0))</f>
        <v/>
      </c>
      <c r="S2276">
        <f>WEEKDAY(B2276,2)</f>
        <v/>
      </c>
    </row>
    <row r="2277">
      <c r="A2277" t="n">
        <v>510499</v>
      </c>
      <c r="B2277" s="6" t="n">
        <v>45960</v>
      </c>
      <c r="C2277" t="n">
        <v>17099</v>
      </c>
      <c r="D2277" t="inlineStr">
        <is>
          <t>Mumbai</t>
        </is>
      </c>
      <c r="E2277" t="inlineStr">
        <is>
          <t>West</t>
        </is>
      </c>
      <c r="F2277" t="inlineStr">
        <is>
          <t>Paid Search</t>
        </is>
      </c>
      <c r="G2277" t="inlineStr">
        <is>
          <t>Mobile App</t>
        </is>
      </c>
      <c r="H2277" t="inlineStr">
        <is>
          <t>UPI</t>
        </is>
      </c>
      <c r="I2277" t="inlineStr">
        <is>
          <t>Delivered</t>
        </is>
      </c>
      <c r="J2277" t="n">
        <v>111</v>
      </c>
      <c r="K2277" t="n">
        <v>2</v>
      </c>
      <c r="L2277" t="n">
        <v>524</v>
      </c>
      <c r="M2277" t="n">
        <v>157.2</v>
      </c>
      <c r="N2277">
        <f>VLOOKUP(J2277,Products!$A$2:$C$49,3,FALSE)</f>
        <v/>
      </c>
      <c r="O2277">
        <f>K2277*L2277-M2277</f>
        <v/>
      </c>
      <c r="P2277">
        <f>TEXT(B2277,"yyyy-mm")</f>
        <v/>
      </c>
      <c r="Q2277">
        <f>IF(O2277&gt;=3000,"Large","Small")</f>
        <v/>
      </c>
      <c r="R2277">
        <f>INDEX(Products!$F$2:$F$49,MATCH(J2277,Products!$A$2:$A$49,0))</f>
        <v/>
      </c>
      <c r="S2277">
        <f>WEEKDAY(B2277,2)</f>
        <v/>
      </c>
    </row>
    <row r="2278">
      <c r="A2278" t="n">
        <v>510500</v>
      </c>
      <c r="B2278" s="6" t="n">
        <v>45960</v>
      </c>
      <c r="C2278" t="n">
        <v>17031</v>
      </c>
      <c r="D2278" t="inlineStr">
        <is>
          <t>Ahmedabad</t>
        </is>
      </c>
      <c r="E2278" t="inlineStr">
        <is>
          <t>West</t>
        </is>
      </c>
      <c r="F2278" t="inlineStr">
        <is>
          <t>Paid Search</t>
        </is>
      </c>
      <c r="G2278" t="inlineStr">
        <is>
          <t>Mobile App</t>
        </is>
      </c>
      <c r="H2278" t="inlineStr">
        <is>
          <t>UPI</t>
        </is>
      </c>
      <c r="I2278" t="inlineStr">
        <is>
          <t>Returned</t>
        </is>
      </c>
      <c r="J2278" t="n">
        <v>131</v>
      </c>
      <c r="K2278" t="n">
        <v>1</v>
      </c>
      <c r="L2278" t="n">
        <v>314</v>
      </c>
      <c r="M2278" t="n">
        <v>0</v>
      </c>
      <c r="N2278">
        <f>VLOOKUP(J2278,Products!$A$2:$C$49,3,FALSE)</f>
        <v/>
      </c>
      <c r="O2278">
        <f>K2278*L2278-M2278</f>
        <v/>
      </c>
      <c r="P2278">
        <f>TEXT(B2278,"yyyy-mm")</f>
        <v/>
      </c>
      <c r="Q2278">
        <f>IF(O2278&gt;=3000,"Large","Small")</f>
        <v/>
      </c>
      <c r="R2278">
        <f>INDEX(Products!$F$2:$F$49,MATCH(J2278,Products!$A$2:$A$49,0))</f>
        <v/>
      </c>
      <c r="S2278">
        <f>WEEKDAY(B2278,2)</f>
        <v/>
      </c>
    </row>
    <row r="2279">
      <c r="A2279" t="n">
        <v>510500</v>
      </c>
      <c r="B2279" s="6" t="n">
        <v>45960</v>
      </c>
      <c r="C2279" t="n">
        <v>17031</v>
      </c>
      <c r="D2279" t="inlineStr">
        <is>
          <t>Ahmedabad</t>
        </is>
      </c>
      <c r="E2279" t="inlineStr">
        <is>
          <t>West</t>
        </is>
      </c>
      <c r="F2279" t="inlineStr">
        <is>
          <t>Paid Search</t>
        </is>
      </c>
      <c r="G2279" t="inlineStr">
        <is>
          <t>Mobile App</t>
        </is>
      </c>
      <c r="H2279" t="inlineStr">
        <is>
          <t>UPI</t>
        </is>
      </c>
      <c r="I2279" t="inlineStr">
        <is>
          <t>Returned</t>
        </is>
      </c>
      <c r="J2279" t="n">
        <v>108</v>
      </c>
      <c r="K2279" t="n">
        <v>1</v>
      </c>
      <c r="L2279" t="n">
        <v>419</v>
      </c>
      <c r="M2279" t="n">
        <v>0</v>
      </c>
      <c r="N2279">
        <f>VLOOKUP(J2279,Products!$A$2:$C$49,3,FALSE)</f>
        <v/>
      </c>
      <c r="O2279">
        <f>K2279*L2279-M2279</f>
        <v/>
      </c>
      <c r="P2279">
        <f>TEXT(B2279,"yyyy-mm")</f>
        <v/>
      </c>
      <c r="Q2279">
        <f>IF(O2279&gt;=3000,"Large","Small")</f>
        <v/>
      </c>
      <c r="R2279">
        <f>INDEX(Products!$F$2:$F$49,MATCH(J2279,Products!$A$2:$A$49,0))</f>
        <v/>
      </c>
      <c r="S2279">
        <f>WEEKDAY(B2279,2)</f>
        <v/>
      </c>
    </row>
    <row r="2280">
      <c r="A2280" t="n">
        <v>510501</v>
      </c>
      <c r="B2280" s="6" t="n">
        <v>45960</v>
      </c>
      <c r="C2280" t="n">
        <v>17089</v>
      </c>
      <c r="D2280" t="inlineStr">
        <is>
          <t>Noida</t>
        </is>
      </c>
      <c r="E2280" t="inlineStr">
        <is>
          <t>North</t>
        </is>
      </c>
      <c r="F2280" t="inlineStr">
        <is>
          <t>Referral</t>
        </is>
      </c>
      <c r="G2280" t="inlineStr">
        <is>
          <t>Mobile Web</t>
        </is>
      </c>
      <c r="H2280" t="inlineStr">
        <is>
          <t>Debit Card</t>
        </is>
      </c>
      <c r="I2280" t="inlineStr">
        <is>
          <t>Delivered</t>
        </is>
      </c>
      <c r="J2280" t="n">
        <v>104</v>
      </c>
      <c r="K2280" t="n">
        <v>1</v>
      </c>
      <c r="L2280" t="n">
        <v>5249</v>
      </c>
      <c r="M2280" t="n">
        <v>787.35</v>
      </c>
      <c r="N2280">
        <f>VLOOKUP(J2280,Products!$A$2:$C$49,3,FALSE)</f>
        <v/>
      </c>
      <c r="O2280">
        <f>K2280*L2280-M2280</f>
        <v/>
      </c>
      <c r="P2280">
        <f>TEXT(B2280,"yyyy-mm")</f>
        <v/>
      </c>
      <c r="Q2280">
        <f>IF(O2280&gt;=3000,"Large","Small")</f>
        <v/>
      </c>
      <c r="R2280">
        <f>INDEX(Products!$F$2:$F$49,MATCH(J2280,Products!$A$2:$A$49,0))</f>
        <v/>
      </c>
      <c r="S2280">
        <f>WEEKDAY(B2280,2)</f>
        <v/>
      </c>
    </row>
    <row r="2281">
      <c r="A2281" t="n">
        <v>510501</v>
      </c>
      <c r="B2281" s="6" t="n">
        <v>45960</v>
      </c>
      <c r="C2281" t="n">
        <v>17089</v>
      </c>
      <c r="D2281" t="inlineStr">
        <is>
          <t>Noida</t>
        </is>
      </c>
      <c r="E2281" t="inlineStr">
        <is>
          <t>North</t>
        </is>
      </c>
      <c r="F2281" t="inlineStr">
        <is>
          <t>Referral</t>
        </is>
      </c>
      <c r="G2281" t="inlineStr">
        <is>
          <t>Mobile Web</t>
        </is>
      </c>
      <c r="H2281" t="inlineStr">
        <is>
          <t>Debit Card</t>
        </is>
      </c>
      <c r="I2281" t="inlineStr">
        <is>
          <t>Delivered</t>
        </is>
      </c>
      <c r="J2281" t="n">
        <v>114</v>
      </c>
      <c r="K2281" t="n">
        <v>1</v>
      </c>
      <c r="L2281" t="n">
        <v>1259</v>
      </c>
      <c r="M2281" t="n">
        <v>188.85</v>
      </c>
      <c r="N2281">
        <f>VLOOKUP(J2281,Products!$A$2:$C$49,3,FALSE)</f>
        <v/>
      </c>
      <c r="O2281">
        <f>K2281*L2281-M2281</f>
        <v/>
      </c>
      <c r="P2281">
        <f>TEXT(B2281,"yyyy-mm")</f>
        <v/>
      </c>
      <c r="Q2281">
        <f>IF(O2281&gt;=3000,"Large","Small")</f>
        <v/>
      </c>
      <c r="R2281">
        <f>INDEX(Products!$F$2:$F$49,MATCH(J2281,Products!$A$2:$A$49,0))</f>
        <v/>
      </c>
      <c r="S2281">
        <f>WEEKDAY(B2281,2)</f>
        <v/>
      </c>
    </row>
    <row r="2282">
      <c r="A2282" t="n">
        <v>510501</v>
      </c>
      <c r="B2282" s="6" t="n">
        <v>45960</v>
      </c>
      <c r="C2282" t="n">
        <v>17089</v>
      </c>
      <c r="D2282" t="inlineStr">
        <is>
          <t>Noida</t>
        </is>
      </c>
      <c r="E2282" t="inlineStr">
        <is>
          <t>North</t>
        </is>
      </c>
      <c r="F2282" t="inlineStr">
        <is>
          <t>Referral</t>
        </is>
      </c>
      <c r="G2282" t="inlineStr">
        <is>
          <t>Mobile Web</t>
        </is>
      </c>
      <c r="H2282" t="inlineStr">
        <is>
          <t>Debit Card</t>
        </is>
      </c>
      <c r="I2282" t="inlineStr">
        <is>
          <t>Delivered</t>
        </is>
      </c>
      <c r="J2282" t="n">
        <v>119</v>
      </c>
      <c r="K2282" t="n">
        <v>1</v>
      </c>
      <c r="L2282" t="n">
        <v>2309</v>
      </c>
      <c r="M2282" t="n">
        <v>346.35</v>
      </c>
      <c r="N2282">
        <f>VLOOKUP(J2282,Products!$A$2:$C$49,3,FALSE)</f>
        <v/>
      </c>
      <c r="O2282">
        <f>K2282*L2282-M2282</f>
        <v/>
      </c>
      <c r="P2282">
        <f>TEXT(B2282,"yyyy-mm")</f>
        <v/>
      </c>
      <c r="Q2282">
        <f>IF(O2282&gt;=3000,"Large","Small")</f>
        <v/>
      </c>
      <c r="R2282">
        <f>INDEX(Products!$F$2:$F$49,MATCH(J2282,Products!$A$2:$A$49,0))</f>
        <v/>
      </c>
      <c r="S2282">
        <f>WEEKDAY(B2282,2)</f>
        <v/>
      </c>
    </row>
    <row r="2283">
      <c r="A2283" t="n">
        <v>510501</v>
      </c>
      <c r="B2283" s="6" t="n">
        <v>45960</v>
      </c>
      <c r="C2283" t="n">
        <v>17089</v>
      </c>
      <c r="D2283" t="inlineStr">
        <is>
          <t>Noida</t>
        </is>
      </c>
      <c r="E2283" t="inlineStr">
        <is>
          <t>North</t>
        </is>
      </c>
      <c r="F2283" t="inlineStr">
        <is>
          <t>Referral</t>
        </is>
      </c>
      <c r="G2283" t="inlineStr">
        <is>
          <t>Mobile Web</t>
        </is>
      </c>
      <c r="H2283" t="inlineStr">
        <is>
          <t>Debit Card</t>
        </is>
      </c>
      <c r="I2283" t="inlineStr">
        <is>
          <t>Delivered</t>
        </is>
      </c>
      <c r="J2283" t="n">
        <v>147</v>
      </c>
      <c r="K2283" t="n">
        <v>1</v>
      </c>
      <c r="L2283" t="n">
        <v>1364</v>
      </c>
      <c r="M2283" t="n">
        <v>204.6</v>
      </c>
      <c r="N2283">
        <f>VLOOKUP(J2283,Products!$A$2:$C$49,3,FALSE)</f>
        <v/>
      </c>
      <c r="O2283">
        <f>K2283*L2283-M2283</f>
        <v/>
      </c>
      <c r="P2283">
        <f>TEXT(B2283,"yyyy-mm")</f>
        <v/>
      </c>
      <c r="Q2283">
        <f>IF(O2283&gt;=3000,"Large","Small")</f>
        <v/>
      </c>
      <c r="R2283">
        <f>INDEX(Products!$F$2:$F$49,MATCH(J2283,Products!$A$2:$A$49,0))</f>
        <v/>
      </c>
      <c r="S2283">
        <f>WEEKDAY(B2283,2)</f>
        <v/>
      </c>
    </row>
    <row r="2284">
      <c r="A2284" t="n">
        <v>510502</v>
      </c>
      <c r="B2284" s="6" t="n">
        <v>45960</v>
      </c>
      <c r="C2284" t="n">
        <v>15392</v>
      </c>
      <c r="D2284" t="inlineStr">
        <is>
          <t>Lucknow</t>
        </is>
      </c>
      <c r="E2284" t="inlineStr">
        <is>
          <t>North</t>
        </is>
      </c>
      <c r="F2284" t="inlineStr">
        <is>
          <t>Referral</t>
        </is>
      </c>
      <c r="G2284" t="inlineStr">
        <is>
          <t>Mobile Web</t>
        </is>
      </c>
      <c r="H2284" t="inlineStr">
        <is>
          <t>UPI</t>
        </is>
      </c>
      <c r="I2284" t="inlineStr">
        <is>
          <t>Cancelled</t>
        </is>
      </c>
      <c r="J2284" t="n">
        <v>117</v>
      </c>
      <c r="K2284" t="n">
        <v>1</v>
      </c>
      <c r="L2284" t="n">
        <v>3149</v>
      </c>
      <c r="M2284" t="n">
        <v>0</v>
      </c>
      <c r="N2284">
        <f>VLOOKUP(J2284,Products!$A$2:$C$49,3,FALSE)</f>
        <v/>
      </c>
      <c r="O2284">
        <f>K2284*L2284-M2284</f>
        <v/>
      </c>
      <c r="P2284">
        <f>TEXT(B2284,"yyyy-mm")</f>
        <v/>
      </c>
      <c r="Q2284">
        <f>IF(O2284&gt;=3000,"Large","Small")</f>
        <v/>
      </c>
      <c r="R2284">
        <f>INDEX(Products!$F$2:$F$49,MATCH(J2284,Products!$A$2:$A$49,0))</f>
        <v/>
      </c>
      <c r="S2284">
        <f>WEEKDAY(B2284,2)</f>
        <v/>
      </c>
    </row>
    <row r="2285">
      <c r="A2285" t="n">
        <v>510502</v>
      </c>
      <c r="B2285" s="6" t="n">
        <v>45960</v>
      </c>
      <c r="C2285" t="n">
        <v>15392</v>
      </c>
      <c r="D2285" t="inlineStr">
        <is>
          <t>Lucknow</t>
        </is>
      </c>
      <c r="E2285" t="inlineStr">
        <is>
          <t>North</t>
        </is>
      </c>
      <c r="F2285" t="inlineStr">
        <is>
          <t>Referral</t>
        </is>
      </c>
      <c r="G2285" t="inlineStr">
        <is>
          <t>Mobile Web</t>
        </is>
      </c>
      <c r="H2285" t="inlineStr">
        <is>
          <t>UPI</t>
        </is>
      </c>
      <c r="I2285" t="inlineStr">
        <is>
          <t>Cancelled</t>
        </is>
      </c>
      <c r="J2285" t="n">
        <v>112</v>
      </c>
      <c r="K2285" t="n">
        <v>1</v>
      </c>
      <c r="L2285" t="n">
        <v>1574</v>
      </c>
      <c r="M2285" t="n">
        <v>0</v>
      </c>
      <c r="N2285">
        <f>VLOOKUP(J2285,Products!$A$2:$C$49,3,FALSE)</f>
        <v/>
      </c>
      <c r="O2285">
        <f>K2285*L2285-M2285</f>
        <v/>
      </c>
      <c r="P2285">
        <f>TEXT(B2285,"yyyy-mm")</f>
        <v/>
      </c>
      <c r="Q2285">
        <f>IF(O2285&gt;=3000,"Large","Small")</f>
        <v/>
      </c>
      <c r="R2285">
        <f>INDEX(Products!$F$2:$F$49,MATCH(J2285,Products!$A$2:$A$49,0))</f>
        <v/>
      </c>
      <c r="S2285">
        <f>WEEKDAY(B2285,2)</f>
        <v/>
      </c>
    </row>
    <row r="2286">
      <c r="A2286" t="n">
        <v>510503</v>
      </c>
      <c r="B2286" s="6" t="n">
        <v>45960</v>
      </c>
      <c r="C2286" t="n">
        <v>12191</v>
      </c>
      <c r="D2286" t="inlineStr">
        <is>
          <t>Kolkata</t>
        </is>
      </c>
      <c r="E2286" t="inlineStr">
        <is>
          <t>East</t>
        </is>
      </c>
      <c r="F2286" t="inlineStr">
        <is>
          <t>Paid Social</t>
        </is>
      </c>
      <c r="G2286" t="inlineStr">
        <is>
          <t>Mobile App</t>
        </is>
      </c>
      <c r="H2286" t="inlineStr">
        <is>
          <t>Cash on Delivery</t>
        </is>
      </c>
      <c r="I2286" t="inlineStr">
        <is>
          <t>Delivered</t>
        </is>
      </c>
      <c r="J2286" t="n">
        <v>128</v>
      </c>
      <c r="K2286" t="n">
        <v>1</v>
      </c>
      <c r="L2286" t="n">
        <v>1049</v>
      </c>
      <c r="M2286" t="n">
        <v>0</v>
      </c>
      <c r="N2286">
        <f>VLOOKUP(J2286,Products!$A$2:$C$49,3,FALSE)</f>
        <v/>
      </c>
      <c r="O2286">
        <f>K2286*L2286-M2286</f>
        <v/>
      </c>
      <c r="P2286">
        <f>TEXT(B2286,"yyyy-mm")</f>
        <v/>
      </c>
      <c r="Q2286">
        <f>IF(O2286&gt;=3000,"Large","Small")</f>
        <v/>
      </c>
      <c r="R2286">
        <f>INDEX(Products!$F$2:$F$49,MATCH(J2286,Products!$A$2:$A$49,0))</f>
        <v/>
      </c>
      <c r="S2286">
        <f>WEEKDAY(B2286,2)</f>
        <v/>
      </c>
    </row>
    <row r="2287">
      <c r="A2287" t="n">
        <v>510504</v>
      </c>
      <c r="B2287" s="6" t="n">
        <v>45961</v>
      </c>
      <c r="C2287" t="n">
        <v>16822</v>
      </c>
      <c r="D2287" t="inlineStr">
        <is>
          <t>Jaipur</t>
        </is>
      </c>
      <c r="E2287" t="inlineStr">
        <is>
          <t>North</t>
        </is>
      </c>
      <c r="F2287" t="inlineStr">
        <is>
          <t>Email</t>
        </is>
      </c>
      <c r="G2287" t="inlineStr">
        <is>
          <t>Mobile App</t>
        </is>
      </c>
      <c r="H2287" t="inlineStr">
        <is>
          <t>UPI</t>
        </is>
      </c>
      <c r="I2287" t="inlineStr">
        <is>
          <t>Delivered</t>
        </is>
      </c>
      <c r="J2287" t="n">
        <v>145</v>
      </c>
      <c r="K2287" t="n">
        <v>2</v>
      </c>
      <c r="L2287" t="n">
        <v>629</v>
      </c>
      <c r="M2287" t="n">
        <v>0</v>
      </c>
      <c r="N2287">
        <f>VLOOKUP(J2287,Products!$A$2:$C$49,3,FALSE)</f>
        <v/>
      </c>
      <c r="O2287">
        <f>K2287*L2287-M2287</f>
        <v/>
      </c>
      <c r="P2287">
        <f>TEXT(B2287,"yyyy-mm")</f>
        <v/>
      </c>
      <c r="Q2287">
        <f>IF(O2287&gt;=3000,"Large","Small")</f>
        <v/>
      </c>
      <c r="R2287">
        <f>INDEX(Products!$F$2:$F$49,MATCH(J2287,Products!$A$2:$A$49,0))</f>
        <v/>
      </c>
      <c r="S2287">
        <f>WEEKDAY(B2287,2)</f>
        <v/>
      </c>
    </row>
    <row r="2288">
      <c r="A2288" t="n">
        <v>510504</v>
      </c>
      <c r="B2288" s="6" t="n">
        <v>45961</v>
      </c>
      <c r="C2288" t="n">
        <v>16822</v>
      </c>
      <c r="D2288" t="inlineStr">
        <is>
          <t>Jaipur</t>
        </is>
      </c>
      <c r="E2288" t="inlineStr">
        <is>
          <t>North</t>
        </is>
      </c>
      <c r="F2288" t="inlineStr">
        <is>
          <t>Email</t>
        </is>
      </c>
      <c r="G2288" t="inlineStr">
        <is>
          <t>Mobile App</t>
        </is>
      </c>
      <c r="H2288" t="inlineStr">
        <is>
          <t>UPI</t>
        </is>
      </c>
      <c r="I2288" t="inlineStr">
        <is>
          <t>Delivered</t>
        </is>
      </c>
      <c r="J2288" t="n">
        <v>120</v>
      </c>
      <c r="K2288" t="n">
        <v>1</v>
      </c>
      <c r="L2288" t="n">
        <v>734</v>
      </c>
      <c r="M2288" t="n">
        <v>0</v>
      </c>
      <c r="N2288">
        <f>VLOOKUP(J2288,Products!$A$2:$C$49,3,FALSE)</f>
        <v/>
      </c>
      <c r="O2288">
        <f>K2288*L2288-M2288</f>
        <v/>
      </c>
      <c r="P2288">
        <f>TEXT(B2288,"yyyy-mm")</f>
        <v/>
      </c>
      <c r="Q2288">
        <f>IF(O2288&gt;=3000,"Large","Small")</f>
        <v/>
      </c>
      <c r="R2288">
        <f>INDEX(Products!$F$2:$F$49,MATCH(J2288,Products!$A$2:$A$49,0))</f>
        <v/>
      </c>
      <c r="S2288">
        <f>WEEKDAY(B2288,2)</f>
        <v/>
      </c>
    </row>
    <row r="2289">
      <c r="A2289" t="n">
        <v>510505</v>
      </c>
      <c r="B2289" s="6" t="n">
        <v>45961</v>
      </c>
      <c r="C2289" t="n">
        <v>17022</v>
      </c>
      <c r="D2289" t="inlineStr">
        <is>
          <t>Bengaluru</t>
        </is>
      </c>
      <c r="E2289" t="inlineStr">
        <is>
          <t>South</t>
        </is>
      </c>
      <c r="F2289" t="inlineStr">
        <is>
          <t>Paid Social</t>
        </is>
      </c>
      <c r="G2289" t="inlineStr">
        <is>
          <t>Mobile App</t>
        </is>
      </c>
      <c r="H2289" t="inlineStr">
        <is>
          <t>UPI</t>
        </is>
      </c>
      <c r="I2289" t="inlineStr">
        <is>
          <t>Delivered</t>
        </is>
      </c>
      <c r="J2289" t="n">
        <v>109</v>
      </c>
      <c r="K2289" t="n">
        <v>1</v>
      </c>
      <c r="L2289" t="n">
        <v>4199</v>
      </c>
      <c r="M2289" t="n">
        <v>0</v>
      </c>
      <c r="N2289">
        <f>VLOOKUP(J2289,Products!$A$2:$C$49,3,FALSE)</f>
        <v/>
      </c>
      <c r="O2289">
        <f>K2289*L2289-M2289</f>
        <v/>
      </c>
      <c r="P2289">
        <f>TEXT(B2289,"yyyy-mm")</f>
        <v/>
      </c>
      <c r="Q2289">
        <f>IF(O2289&gt;=3000,"Large","Small")</f>
        <v/>
      </c>
      <c r="R2289">
        <f>INDEX(Products!$F$2:$F$49,MATCH(J2289,Products!$A$2:$A$49,0))</f>
        <v/>
      </c>
      <c r="S2289">
        <f>WEEKDAY(B2289,2)</f>
        <v/>
      </c>
    </row>
    <row r="2290">
      <c r="A2290" t="n">
        <v>510505</v>
      </c>
      <c r="B2290" s="6" t="n">
        <v>45961</v>
      </c>
      <c r="C2290" t="n">
        <v>17022</v>
      </c>
      <c r="D2290" t="inlineStr">
        <is>
          <t>Bengaluru</t>
        </is>
      </c>
      <c r="E2290" t="inlineStr">
        <is>
          <t>South</t>
        </is>
      </c>
      <c r="F2290" t="inlineStr">
        <is>
          <t>Paid Social</t>
        </is>
      </c>
      <c r="G2290" t="inlineStr">
        <is>
          <t>Mobile App</t>
        </is>
      </c>
      <c r="H2290" t="inlineStr">
        <is>
          <t>UPI</t>
        </is>
      </c>
      <c r="I2290" t="inlineStr">
        <is>
          <t>Delivered</t>
        </is>
      </c>
      <c r="J2290" t="n">
        <v>114</v>
      </c>
      <c r="K2290" t="n">
        <v>1</v>
      </c>
      <c r="L2290" t="n">
        <v>1259</v>
      </c>
      <c r="M2290" t="n">
        <v>0</v>
      </c>
      <c r="N2290">
        <f>VLOOKUP(J2290,Products!$A$2:$C$49,3,FALSE)</f>
        <v/>
      </c>
      <c r="O2290">
        <f>K2290*L2290-M2290</f>
        <v/>
      </c>
      <c r="P2290">
        <f>TEXT(B2290,"yyyy-mm")</f>
        <v/>
      </c>
      <c r="Q2290">
        <f>IF(O2290&gt;=3000,"Large","Small")</f>
        <v/>
      </c>
      <c r="R2290">
        <f>INDEX(Products!$F$2:$F$49,MATCH(J2290,Products!$A$2:$A$49,0))</f>
        <v/>
      </c>
      <c r="S2290">
        <f>WEEKDAY(B2290,2)</f>
        <v/>
      </c>
    </row>
    <row r="2291">
      <c r="A2291" t="n">
        <v>510506</v>
      </c>
      <c r="B2291" s="6" t="n">
        <v>45961</v>
      </c>
      <c r="C2291" t="n">
        <v>17104</v>
      </c>
      <c r="D2291" t="inlineStr">
        <is>
          <t>Pune</t>
        </is>
      </c>
      <c r="E2291" t="inlineStr">
        <is>
          <t>West</t>
        </is>
      </c>
      <c r="F2291" t="inlineStr">
        <is>
          <t>Organic Search</t>
        </is>
      </c>
      <c r="G2291" t="inlineStr">
        <is>
          <t>Mobile App</t>
        </is>
      </c>
      <c r="H2291" t="inlineStr">
        <is>
          <t>Cash on Delivery</t>
        </is>
      </c>
      <c r="I2291" t="inlineStr">
        <is>
          <t>Delivered</t>
        </is>
      </c>
      <c r="J2291" t="n">
        <v>144</v>
      </c>
      <c r="K2291" t="n">
        <v>1</v>
      </c>
      <c r="L2291" t="n">
        <v>3149</v>
      </c>
      <c r="M2291" t="n">
        <v>472.35</v>
      </c>
      <c r="N2291">
        <f>VLOOKUP(J2291,Products!$A$2:$C$49,3,FALSE)</f>
        <v/>
      </c>
      <c r="O2291">
        <f>K2291*L2291-M2291</f>
        <v/>
      </c>
      <c r="P2291">
        <f>TEXT(B2291,"yyyy-mm")</f>
        <v/>
      </c>
      <c r="Q2291">
        <f>IF(O2291&gt;=3000,"Large","Small")</f>
        <v/>
      </c>
      <c r="R2291">
        <f>INDEX(Products!$F$2:$F$49,MATCH(J2291,Products!$A$2:$A$49,0))</f>
        <v/>
      </c>
      <c r="S2291">
        <f>WEEKDAY(B2291,2)</f>
        <v/>
      </c>
    </row>
    <row r="2292">
      <c r="A2292" t="n">
        <v>510506</v>
      </c>
      <c r="B2292" s="6" t="n">
        <v>45961</v>
      </c>
      <c r="C2292" t="n">
        <v>17104</v>
      </c>
      <c r="D2292" t="inlineStr">
        <is>
          <t>Pune</t>
        </is>
      </c>
      <c r="E2292" t="inlineStr">
        <is>
          <t>West</t>
        </is>
      </c>
      <c r="F2292" t="inlineStr">
        <is>
          <t>Organic Search</t>
        </is>
      </c>
      <c r="G2292" t="inlineStr">
        <is>
          <t>Mobile App</t>
        </is>
      </c>
      <c r="H2292" t="inlineStr">
        <is>
          <t>Cash on Delivery</t>
        </is>
      </c>
      <c r="I2292" t="inlineStr">
        <is>
          <t>Delivered</t>
        </is>
      </c>
      <c r="J2292" t="n">
        <v>127</v>
      </c>
      <c r="K2292" t="n">
        <v>1</v>
      </c>
      <c r="L2292" t="n">
        <v>681</v>
      </c>
      <c r="M2292" t="n">
        <v>102.15</v>
      </c>
      <c r="N2292">
        <f>VLOOKUP(J2292,Products!$A$2:$C$49,3,FALSE)</f>
        <v/>
      </c>
      <c r="O2292">
        <f>K2292*L2292-M2292</f>
        <v/>
      </c>
      <c r="P2292">
        <f>TEXT(B2292,"yyyy-mm")</f>
        <v/>
      </c>
      <c r="Q2292">
        <f>IF(O2292&gt;=3000,"Large","Small")</f>
        <v/>
      </c>
      <c r="R2292">
        <f>INDEX(Products!$F$2:$F$49,MATCH(J2292,Products!$A$2:$A$49,0))</f>
        <v/>
      </c>
      <c r="S2292">
        <f>WEEKDAY(B2292,2)</f>
        <v/>
      </c>
    </row>
    <row r="2293">
      <c r="A2293" t="n">
        <v>510507</v>
      </c>
      <c r="B2293" s="6" t="n">
        <v>45961</v>
      </c>
      <c r="C2293" t="n">
        <v>13700</v>
      </c>
      <c r="D2293" t="inlineStr">
        <is>
          <t>Delhi</t>
        </is>
      </c>
      <c r="E2293" t="inlineStr">
        <is>
          <t>North</t>
        </is>
      </c>
      <c r="F2293" t="inlineStr">
        <is>
          <t>Organic Search</t>
        </is>
      </c>
      <c r="G2293" t="inlineStr">
        <is>
          <t>Mobile Web</t>
        </is>
      </c>
      <c r="H2293" t="inlineStr">
        <is>
          <t>Debit Card</t>
        </is>
      </c>
      <c r="I2293" t="inlineStr">
        <is>
          <t>Cancelled</t>
        </is>
      </c>
      <c r="J2293" t="n">
        <v>131</v>
      </c>
      <c r="K2293" t="n">
        <v>1</v>
      </c>
      <c r="L2293" t="n">
        <v>314</v>
      </c>
      <c r="M2293" t="n">
        <v>0</v>
      </c>
      <c r="N2293">
        <f>VLOOKUP(J2293,Products!$A$2:$C$49,3,FALSE)</f>
        <v/>
      </c>
      <c r="O2293">
        <f>K2293*L2293-M2293</f>
        <v/>
      </c>
      <c r="P2293">
        <f>TEXT(B2293,"yyyy-mm")</f>
        <v/>
      </c>
      <c r="Q2293">
        <f>IF(O2293&gt;=3000,"Large","Small")</f>
        <v/>
      </c>
      <c r="R2293">
        <f>INDEX(Products!$F$2:$F$49,MATCH(J2293,Products!$A$2:$A$49,0))</f>
        <v/>
      </c>
      <c r="S2293">
        <f>WEEKDAY(B2293,2)</f>
        <v/>
      </c>
    </row>
    <row r="2294">
      <c r="A2294" t="n">
        <v>510507</v>
      </c>
      <c r="B2294" s="6" t="n">
        <v>45961</v>
      </c>
      <c r="C2294" t="n">
        <v>13700</v>
      </c>
      <c r="D2294" t="inlineStr">
        <is>
          <t>Delhi</t>
        </is>
      </c>
      <c r="E2294" t="inlineStr">
        <is>
          <t>North</t>
        </is>
      </c>
      <c r="F2294" t="inlineStr">
        <is>
          <t>Organic Search</t>
        </is>
      </c>
      <c r="G2294" t="inlineStr">
        <is>
          <t>Mobile Web</t>
        </is>
      </c>
      <c r="H2294" t="inlineStr">
        <is>
          <t>Debit Card</t>
        </is>
      </c>
      <c r="I2294" t="inlineStr">
        <is>
          <t>Cancelled</t>
        </is>
      </c>
      <c r="J2294" t="n">
        <v>135</v>
      </c>
      <c r="K2294" t="n">
        <v>1</v>
      </c>
      <c r="L2294" t="n">
        <v>1574</v>
      </c>
      <c r="M2294" t="n">
        <v>0</v>
      </c>
      <c r="N2294">
        <f>VLOOKUP(J2294,Products!$A$2:$C$49,3,FALSE)</f>
        <v/>
      </c>
      <c r="O2294">
        <f>K2294*L2294-M2294</f>
        <v/>
      </c>
      <c r="P2294">
        <f>TEXT(B2294,"yyyy-mm")</f>
        <v/>
      </c>
      <c r="Q2294">
        <f>IF(O2294&gt;=3000,"Large","Small")</f>
        <v/>
      </c>
      <c r="R2294">
        <f>INDEX(Products!$F$2:$F$49,MATCH(J2294,Products!$A$2:$A$49,0))</f>
        <v/>
      </c>
      <c r="S2294">
        <f>WEEKDAY(B2294,2)</f>
        <v/>
      </c>
    </row>
    <row r="2295">
      <c r="A2295" t="n">
        <v>510508</v>
      </c>
      <c r="B2295" s="6" t="n">
        <v>45961</v>
      </c>
      <c r="C2295" t="n">
        <v>15921</v>
      </c>
      <c r="D2295" t="inlineStr">
        <is>
          <t>Indore</t>
        </is>
      </c>
      <c r="E2295" t="inlineStr">
        <is>
          <t>West</t>
        </is>
      </c>
      <c r="F2295" t="inlineStr">
        <is>
          <t>Referral</t>
        </is>
      </c>
      <c r="G2295" t="inlineStr">
        <is>
          <t>Mobile App</t>
        </is>
      </c>
      <c r="H2295" t="inlineStr">
        <is>
          <t>UPI</t>
        </is>
      </c>
      <c r="I2295" t="inlineStr">
        <is>
          <t>Delivered</t>
        </is>
      </c>
      <c r="J2295" t="n">
        <v>133</v>
      </c>
      <c r="K2295" t="n">
        <v>1</v>
      </c>
      <c r="L2295" t="n">
        <v>419</v>
      </c>
      <c r="M2295" t="n">
        <v>0</v>
      </c>
      <c r="N2295">
        <f>VLOOKUP(J2295,Products!$A$2:$C$49,3,FALSE)</f>
        <v/>
      </c>
      <c r="O2295">
        <f>K2295*L2295-M2295</f>
        <v/>
      </c>
      <c r="P2295">
        <f>TEXT(B2295,"yyyy-mm")</f>
        <v/>
      </c>
      <c r="Q2295">
        <f>IF(O2295&gt;=3000,"Large","Small")</f>
        <v/>
      </c>
      <c r="R2295">
        <f>INDEX(Products!$F$2:$F$49,MATCH(J2295,Products!$A$2:$A$49,0))</f>
        <v/>
      </c>
      <c r="S2295">
        <f>WEEKDAY(B2295,2)</f>
        <v/>
      </c>
    </row>
    <row r="2296">
      <c r="A2296" t="n">
        <v>510508</v>
      </c>
      <c r="B2296" s="6" t="n">
        <v>45961</v>
      </c>
      <c r="C2296" t="n">
        <v>15921</v>
      </c>
      <c r="D2296" t="inlineStr">
        <is>
          <t>Indore</t>
        </is>
      </c>
      <c r="E2296" t="inlineStr">
        <is>
          <t>West</t>
        </is>
      </c>
      <c r="F2296" t="inlineStr">
        <is>
          <t>Referral</t>
        </is>
      </c>
      <c r="G2296" t="inlineStr">
        <is>
          <t>Mobile App</t>
        </is>
      </c>
      <c r="H2296" t="inlineStr">
        <is>
          <t>UPI</t>
        </is>
      </c>
      <c r="I2296" t="inlineStr">
        <is>
          <t>Delivered</t>
        </is>
      </c>
      <c r="J2296" t="n">
        <v>135</v>
      </c>
      <c r="K2296" t="n">
        <v>1</v>
      </c>
      <c r="L2296" t="n">
        <v>1574</v>
      </c>
      <c r="M2296" t="n">
        <v>0</v>
      </c>
      <c r="N2296">
        <f>VLOOKUP(J2296,Products!$A$2:$C$49,3,FALSE)</f>
        <v/>
      </c>
      <c r="O2296">
        <f>K2296*L2296-M2296</f>
        <v/>
      </c>
      <c r="P2296">
        <f>TEXT(B2296,"yyyy-mm")</f>
        <v/>
      </c>
      <c r="Q2296">
        <f>IF(O2296&gt;=3000,"Large","Small")</f>
        <v/>
      </c>
      <c r="R2296">
        <f>INDEX(Products!$F$2:$F$49,MATCH(J2296,Products!$A$2:$A$49,0))</f>
        <v/>
      </c>
      <c r="S2296">
        <f>WEEKDAY(B2296,2)</f>
        <v/>
      </c>
    </row>
    <row r="2297">
      <c r="A2297" t="n">
        <v>510508</v>
      </c>
      <c r="B2297" s="6" t="n">
        <v>45961</v>
      </c>
      <c r="C2297" t="n">
        <v>15921</v>
      </c>
      <c r="D2297" t="inlineStr">
        <is>
          <t>Indore</t>
        </is>
      </c>
      <c r="E2297" t="inlineStr">
        <is>
          <t>West</t>
        </is>
      </c>
      <c r="F2297" t="inlineStr">
        <is>
          <t>Referral</t>
        </is>
      </c>
      <c r="G2297" t="inlineStr">
        <is>
          <t>Mobile App</t>
        </is>
      </c>
      <c r="H2297" t="inlineStr">
        <is>
          <t>UPI</t>
        </is>
      </c>
      <c r="I2297" t="inlineStr">
        <is>
          <t>Delivered</t>
        </is>
      </c>
      <c r="J2297" t="n">
        <v>120</v>
      </c>
      <c r="K2297" t="n">
        <v>1</v>
      </c>
      <c r="L2297" t="n">
        <v>734</v>
      </c>
      <c r="M2297" t="n">
        <v>0</v>
      </c>
      <c r="N2297">
        <f>VLOOKUP(J2297,Products!$A$2:$C$49,3,FALSE)</f>
        <v/>
      </c>
      <c r="O2297">
        <f>K2297*L2297-M2297</f>
        <v/>
      </c>
      <c r="P2297">
        <f>TEXT(B2297,"yyyy-mm")</f>
        <v/>
      </c>
      <c r="Q2297">
        <f>IF(O2297&gt;=3000,"Large","Small")</f>
        <v/>
      </c>
      <c r="R2297">
        <f>INDEX(Products!$F$2:$F$49,MATCH(J2297,Products!$A$2:$A$49,0))</f>
        <v/>
      </c>
      <c r="S2297">
        <f>WEEKDAY(B2297,2)</f>
        <v/>
      </c>
    </row>
    <row r="2298">
      <c r="A2298" t="n">
        <v>510509</v>
      </c>
      <c r="B2298" s="6" t="n">
        <v>45961</v>
      </c>
      <c r="C2298" t="n">
        <v>17021</v>
      </c>
      <c r="D2298" t="inlineStr">
        <is>
          <t>Mumbai</t>
        </is>
      </c>
      <c r="E2298" t="inlineStr">
        <is>
          <t>West</t>
        </is>
      </c>
      <c r="F2298" t="inlineStr">
        <is>
          <t>Email</t>
        </is>
      </c>
      <c r="G2298" t="inlineStr">
        <is>
          <t>Mobile App</t>
        </is>
      </c>
      <c r="H2298" t="inlineStr">
        <is>
          <t>UPI</t>
        </is>
      </c>
      <c r="I2298" t="inlineStr">
        <is>
          <t>Delivered</t>
        </is>
      </c>
      <c r="J2298" t="n">
        <v>123</v>
      </c>
      <c r="K2298" t="n">
        <v>1</v>
      </c>
      <c r="L2298" t="n">
        <v>3464</v>
      </c>
      <c r="M2298" t="n">
        <v>173.2</v>
      </c>
      <c r="N2298">
        <f>VLOOKUP(J2298,Products!$A$2:$C$49,3,FALSE)</f>
        <v/>
      </c>
      <c r="O2298">
        <f>K2298*L2298-M2298</f>
        <v/>
      </c>
      <c r="P2298">
        <f>TEXT(B2298,"yyyy-mm")</f>
        <v/>
      </c>
      <c r="Q2298">
        <f>IF(O2298&gt;=3000,"Large","Small")</f>
        <v/>
      </c>
      <c r="R2298">
        <f>INDEX(Products!$F$2:$F$49,MATCH(J2298,Products!$A$2:$A$49,0))</f>
        <v/>
      </c>
      <c r="S2298">
        <f>WEEKDAY(B2298,2)</f>
        <v/>
      </c>
    </row>
    <row r="2299">
      <c r="A2299" t="n">
        <v>510509</v>
      </c>
      <c r="B2299" s="6" t="n">
        <v>45961</v>
      </c>
      <c r="C2299" t="n">
        <v>17021</v>
      </c>
      <c r="D2299" t="inlineStr">
        <is>
          <t>Mumbai</t>
        </is>
      </c>
      <c r="E2299" t="inlineStr">
        <is>
          <t>West</t>
        </is>
      </c>
      <c r="F2299" t="inlineStr">
        <is>
          <t>Email</t>
        </is>
      </c>
      <c r="G2299" t="inlineStr">
        <is>
          <t>Mobile App</t>
        </is>
      </c>
      <c r="H2299" t="inlineStr">
        <is>
          <t>UPI</t>
        </is>
      </c>
      <c r="I2299" t="inlineStr">
        <is>
          <t>Delivered</t>
        </is>
      </c>
      <c r="J2299" t="n">
        <v>130</v>
      </c>
      <c r="K2299" t="n">
        <v>2</v>
      </c>
      <c r="L2299" t="n">
        <v>734</v>
      </c>
      <c r="M2299" t="n">
        <v>73.40000000000001</v>
      </c>
      <c r="N2299">
        <f>VLOOKUP(J2299,Products!$A$2:$C$49,3,FALSE)</f>
        <v/>
      </c>
      <c r="O2299">
        <f>K2299*L2299-M2299</f>
        <v/>
      </c>
      <c r="P2299">
        <f>TEXT(B2299,"yyyy-mm")</f>
        <v/>
      </c>
      <c r="Q2299">
        <f>IF(O2299&gt;=3000,"Large","Small")</f>
        <v/>
      </c>
      <c r="R2299">
        <f>INDEX(Products!$F$2:$F$49,MATCH(J2299,Products!$A$2:$A$49,0))</f>
        <v/>
      </c>
      <c r="S2299">
        <f>WEEKDAY(B2299,2)</f>
        <v/>
      </c>
    </row>
    <row r="2300">
      <c r="A2300" t="n">
        <v>510510</v>
      </c>
      <c r="B2300" s="6" t="n">
        <v>45961</v>
      </c>
      <c r="C2300" t="n">
        <v>17081</v>
      </c>
      <c r="D2300" t="inlineStr">
        <is>
          <t>Chennai</t>
        </is>
      </c>
      <c r="E2300" t="inlineStr">
        <is>
          <t>South</t>
        </is>
      </c>
      <c r="F2300" t="inlineStr">
        <is>
          <t>Paid Social</t>
        </is>
      </c>
      <c r="G2300" t="inlineStr">
        <is>
          <t>Mobile App</t>
        </is>
      </c>
      <c r="H2300" t="inlineStr">
        <is>
          <t>Credit Card</t>
        </is>
      </c>
      <c r="I2300" t="inlineStr">
        <is>
          <t>Delivered</t>
        </is>
      </c>
      <c r="J2300" t="n">
        <v>103</v>
      </c>
      <c r="K2300" t="n">
        <v>1</v>
      </c>
      <c r="L2300" t="n">
        <v>2624</v>
      </c>
      <c r="M2300" t="n">
        <v>0</v>
      </c>
      <c r="N2300">
        <f>VLOOKUP(J2300,Products!$A$2:$C$49,3,FALSE)</f>
        <v/>
      </c>
      <c r="O2300">
        <f>K2300*L2300-M2300</f>
        <v/>
      </c>
      <c r="P2300">
        <f>TEXT(B2300,"yyyy-mm")</f>
        <v/>
      </c>
      <c r="Q2300">
        <f>IF(O2300&gt;=3000,"Large","Small")</f>
        <v/>
      </c>
      <c r="R2300">
        <f>INDEX(Products!$F$2:$F$49,MATCH(J2300,Products!$A$2:$A$49,0))</f>
        <v/>
      </c>
      <c r="S2300">
        <f>WEEKDAY(B2300,2)</f>
        <v/>
      </c>
    </row>
    <row r="2301">
      <c r="A2301" t="n">
        <v>510511</v>
      </c>
      <c r="B2301" s="6" t="n">
        <v>45961</v>
      </c>
      <c r="C2301" t="n">
        <v>17082</v>
      </c>
      <c r="D2301" t="inlineStr">
        <is>
          <t>Ahmedabad</t>
        </is>
      </c>
      <c r="E2301" t="inlineStr">
        <is>
          <t>West</t>
        </is>
      </c>
      <c r="F2301" t="inlineStr">
        <is>
          <t>Referral</t>
        </is>
      </c>
      <c r="G2301" t="inlineStr">
        <is>
          <t>Mobile Web</t>
        </is>
      </c>
      <c r="H2301" t="inlineStr">
        <is>
          <t>Credit Card</t>
        </is>
      </c>
      <c r="I2301" t="inlineStr">
        <is>
          <t>Cancelled</t>
        </is>
      </c>
      <c r="J2301" t="n">
        <v>138</v>
      </c>
      <c r="K2301" t="n">
        <v>1</v>
      </c>
      <c r="L2301" t="n">
        <v>419</v>
      </c>
      <c r="M2301" t="n">
        <v>62.85</v>
      </c>
      <c r="N2301">
        <f>VLOOKUP(J2301,Products!$A$2:$C$49,3,FALSE)</f>
        <v/>
      </c>
      <c r="O2301">
        <f>K2301*L2301-M2301</f>
        <v/>
      </c>
      <c r="P2301">
        <f>TEXT(B2301,"yyyy-mm")</f>
        <v/>
      </c>
      <c r="Q2301">
        <f>IF(O2301&gt;=3000,"Large","Small")</f>
        <v/>
      </c>
      <c r="R2301">
        <f>INDEX(Products!$F$2:$F$49,MATCH(J2301,Products!$A$2:$A$49,0))</f>
        <v/>
      </c>
      <c r="S2301">
        <f>WEEKDAY(B2301,2)</f>
        <v/>
      </c>
    </row>
    <row r="2302">
      <c r="A2302" t="n">
        <v>510512</v>
      </c>
      <c r="B2302" s="6" t="n">
        <v>45961</v>
      </c>
      <c r="C2302" t="n">
        <v>17091</v>
      </c>
      <c r="D2302" t="inlineStr">
        <is>
          <t>Bengaluru</t>
        </is>
      </c>
      <c r="E2302" t="inlineStr">
        <is>
          <t>South</t>
        </is>
      </c>
      <c r="F2302" t="inlineStr">
        <is>
          <t>Paid Search</t>
        </is>
      </c>
      <c r="G2302" t="inlineStr">
        <is>
          <t>Mobile Web</t>
        </is>
      </c>
      <c r="H2302" t="inlineStr">
        <is>
          <t>UPI</t>
        </is>
      </c>
      <c r="I2302" t="inlineStr">
        <is>
          <t>Delivered</t>
        </is>
      </c>
      <c r="J2302" t="n">
        <v>105</v>
      </c>
      <c r="K2302" t="n">
        <v>1</v>
      </c>
      <c r="L2302" t="n">
        <v>2414</v>
      </c>
      <c r="M2302" t="n">
        <v>362.1</v>
      </c>
      <c r="N2302">
        <f>VLOOKUP(J2302,Products!$A$2:$C$49,3,FALSE)</f>
        <v/>
      </c>
      <c r="O2302">
        <f>K2302*L2302-M2302</f>
        <v/>
      </c>
      <c r="P2302">
        <f>TEXT(B2302,"yyyy-mm")</f>
        <v/>
      </c>
      <c r="Q2302">
        <f>IF(O2302&gt;=3000,"Large","Small")</f>
        <v/>
      </c>
      <c r="R2302">
        <f>INDEX(Products!$F$2:$F$49,MATCH(J2302,Products!$A$2:$A$49,0))</f>
        <v/>
      </c>
      <c r="S2302">
        <f>WEEKDAY(B2302,2)</f>
        <v/>
      </c>
    </row>
    <row r="2303">
      <c r="A2303" t="n">
        <v>510512</v>
      </c>
      <c r="B2303" s="6" t="n">
        <v>45961</v>
      </c>
      <c r="C2303" t="n">
        <v>17091</v>
      </c>
      <c r="D2303" t="inlineStr">
        <is>
          <t>Bengaluru</t>
        </is>
      </c>
      <c r="E2303" t="inlineStr">
        <is>
          <t>South</t>
        </is>
      </c>
      <c r="F2303" t="inlineStr">
        <is>
          <t>Paid Search</t>
        </is>
      </c>
      <c r="G2303" t="inlineStr">
        <is>
          <t>Mobile Web</t>
        </is>
      </c>
      <c r="H2303" t="inlineStr">
        <is>
          <t>UPI</t>
        </is>
      </c>
      <c r="I2303" t="inlineStr">
        <is>
          <t>Delivered</t>
        </is>
      </c>
      <c r="J2303" t="n">
        <v>102</v>
      </c>
      <c r="K2303" t="n">
        <v>1</v>
      </c>
      <c r="L2303" t="n">
        <v>3674</v>
      </c>
      <c r="M2303" t="n">
        <v>551.1</v>
      </c>
      <c r="N2303">
        <f>VLOOKUP(J2303,Products!$A$2:$C$49,3,FALSE)</f>
        <v/>
      </c>
      <c r="O2303">
        <f>K2303*L2303-M2303</f>
        <v/>
      </c>
      <c r="P2303">
        <f>TEXT(B2303,"yyyy-mm")</f>
        <v/>
      </c>
      <c r="Q2303">
        <f>IF(O2303&gt;=3000,"Large","Small")</f>
        <v/>
      </c>
      <c r="R2303">
        <f>INDEX(Products!$F$2:$F$49,MATCH(J2303,Products!$A$2:$A$49,0))</f>
        <v/>
      </c>
      <c r="S2303">
        <f>WEEKDAY(B2303,2)</f>
        <v/>
      </c>
    </row>
    <row r="2304">
      <c r="A2304" t="n">
        <v>510513</v>
      </c>
      <c r="B2304" s="6" t="n">
        <v>45961</v>
      </c>
      <c r="C2304" t="n">
        <v>15807</v>
      </c>
      <c r="D2304" t="inlineStr">
        <is>
          <t>Delhi</t>
        </is>
      </c>
      <c r="E2304" t="inlineStr">
        <is>
          <t>North</t>
        </is>
      </c>
      <c r="F2304" t="inlineStr">
        <is>
          <t>Organic Search</t>
        </is>
      </c>
      <c r="G2304" t="inlineStr">
        <is>
          <t>Mobile App</t>
        </is>
      </c>
      <c r="H2304" t="inlineStr">
        <is>
          <t>UPI</t>
        </is>
      </c>
      <c r="I2304" t="inlineStr">
        <is>
          <t>Delivered</t>
        </is>
      </c>
      <c r="J2304" t="n">
        <v>124</v>
      </c>
      <c r="K2304" t="n">
        <v>2</v>
      </c>
      <c r="L2304" t="n">
        <v>1154</v>
      </c>
      <c r="M2304" t="n">
        <v>0</v>
      </c>
      <c r="N2304">
        <f>VLOOKUP(J2304,Products!$A$2:$C$49,3,FALSE)</f>
        <v/>
      </c>
      <c r="O2304">
        <f>K2304*L2304-M2304</f>
        <v/>
      </c>
      <c r="P2304">
        <f>TEXT(B2304,"yyyy-mm")</f>
        <v/>
      </c>
      <c r="Q2304">
        <f>IF(O2304&gt;=3000,"Large","Small")</f>
        <v/>
      </c>
      <c r="R2304">
        <f>INDEX(Products!$F$2:$F$49,MATCH(J2304,Products!$A$2:$A$49,0))</f>
        <v/>
      </c>
      <c r="S2304">
        <f>WEEKDAY(B2304,2)</f>
        <v/>
      </c>
    </row>
    <row r="2305">
      <c r="A2305" t="n">
        <v>510514</v>
      </c>
      <c r="B2305" s="6" t="n">
        <v>45961</v>
      </c>
      <c r="C2305" t="n">
        <v>17073</v>
      </c>
      <c r="D2305" t="inlineStr">
        <is>
          <t>Mumbai</t>
        </is>
      </c>
      <c r="E2305" t="inlineStr">
        <is>
          <t>West</t>
        </is>
      </c>
      <c r="F2305" t="inlineStr">
        <is>
          <t>Organic Search</t>
        </is>
      </c>
      <c r="G2305" t="inlineStr">
        <is>
          <t>Mobile App</t>
        </is>
      </c>
      <c r="H2305" t="inlineStr">
        <is>
          <t>Cash on Delivery</t>
        </is>
      </c>
      <c r="I2305" t="inlineStr">
        <is>
          <t>Delivered</t>
        </is>
      </c>
      <c r="J2305" t="n">
        <v>112</v>
      </c>
      <c r="K2305" t="n">
        <v>2</v>
      </c>
      <c r="L2305" t="n">
        <v>1574</v>
      </c>
      <c r="M2305" t="n">
        <v>472.2</v>
      </c>
      <c r="N2305">
        <f>VLOOKUP(J2305,Products!$A$2:$C$49,3,FALSE)</f>
        <v/>
      </c>
      <c r="O2305">
        <f>K2305*L2305-M2305</f>
        <v/>
      </c>
      <c r="P2305">
        <f>TEXT(B2305,"yyyy-mm")</f>
        <v/>
      </c>
      <c r="Q2305">
        <f>IF(O2305&gt;=3000,"Large","Small")</f>
        <v/>
      </c>
      <c r="R2305">
        <f>INDEX(Products!$F$2:$F$49,MATCH(J2305,Products!$A$2:$A$49,0))</f>
        <v/>
      </c>
      <c r="S2305">
        <f>WEEKDAY(B2305,2)</f>
        <v/>
      </c>
    </row>
    <row r="2306">
      <c r="A2306" t="n">
        <v>510515</v>
      </c>
      <c r="B2306" s="6" t="n">
        <v>45961</v>
      </c>
      <c r="C2306" t="n">
        <v>16810</v>
      </c>
      <c r="D2306" t="inlineStr">
        <is>
          <t>Hyderabad</t>
        </is>
      </c>
      <c r="E2306" t="inlineStr">
        <is>
          <t>South</t>
        </is>
      </c>
      <c r="F2306" t="inlineStr">
        <is>
          <t>Paid Search</t>
        </is>
      </c>
      <c r="G2306" t="inlineStr">
        <is>
          <t>Mobile Web</t>
        </is>
      </c>
      <c r="H2306" t="inlineStr">
        <is>
          <t>Net Banking</t>
        </is>
      </c>
      <c r="I2306" t="inlineStr">
        <is>
          <t>Delivered</t>
        </is>
      </c>
      <c r="J2306" t="n">
        <v>122</v>
      </c>
      <c r="K2306" t="n">
        <v>1</v>
      </c>
      <c r="L2306" t="n">
        <v>1994</v>
      </c>
      <c r="M2306" t="n">
        <v>299.1</v>
      </c>
      <c r="N2306">
        <f>VLOOKUP(J2306,Products!$A$2:$C$49,3,FALSE)</f>
        <v/>
      </c>
      <c r="O2306">
        <f>K2306*L2306-M2306</f>
        <v/>
      </c>
      <c r="P2306">
        <f>TEXT(B2306,"yyyy-mm")</f>
        <v/>
      </c>
      <c r="Q2306">
        <f>IF(O2306&gt;=3000,"Large","Small")</f>
        <v/>
      </c>
      <c r="R2306">
        <f>INDEX(Products!$F$2:$F$49,MATCH(J2306,Products!$A$2:$A$49,0))</f>
        <v/>
      </c>
      <c r="S2306">
        <f>WEEKDAY(B2306,2)</f>
        <v/>
      </c>
    </row>
    <row r="2307">
      <c r="A2307" t="n">
        <v>510516</v>
      </c>
      <c r="B2307" s="6" t="n">
        <v>45961</v>
      </c>
      <c r="C2307" t="n">
        <v>17047</v>
      </c>
      <c r="D2307" t="inlineStr">
        <is>
          <t>Hyderabad</t>
        </is>
      </c>
      <c r="E2307" t="inlineStr">
        <is>
          <t>South</t>
        </is>
      </c>
      <c r="F2307" t="inlineStr">
        <is>
          <t>Paid Search</t>
        </is>
      </c>
      <c r="G2307" t="inlineStr">
        <is>
          <t>Mobile Web</t>
        </is>
      </c>
      <c r="H2307" t="inlineStr">
        <is>
          <t>Debit Card</t>
        </is>
      </c>
      <c r="I2307" t="inlineStr">
        <is>
          <t>Returned</t>
        </is>
      </c>
      <c r="J2307" t="n">
        <v>113</v>
      </c>
      <c r="K2307" t="n">
        <v>1</v>
      </c>
      <c r="L2307" t="n">
        <v>1364</v>
      </c>
      <c r="M2307" t="n">
        <v>0</v>
      </c>
      <c r="N2307">
        <f>VLOOKUP(J2307,Products!$A$2:$C$49,3,FALSE)</f>
        <v/>
      </c>
      <c r="O2307">
        <f>K2307*L2307-M2307</f>
        <v/>
      </c>
      <c r="P2307">
        <f>TEXT(B2307,"yyyy-mm")</f>
        <v/>
      </c>
      <c r="Q2307">
        <f>IF(O2307&gt;=3000,"Large","Small")</f>
        <v/>
      </c>
      <c r="R2307">
        <f>INDEX(Products!$F$2:$F$49,MATCH(J2307,Products!$A$2:$A$49,0))</f>
        <v/>
      </c>
      <c r="S2307">
        <f>WEEKDAY(B2307,2)</f>
        <v/>
      </c>
    </row>
    <row r="2308">
      <c r="A2308" t="n">
        <v>510516</v>
      </c>
      <c r="B2308" s="6" t="n">
        <v>45961</v>
      </c>
      <c r="C2308" t="n">
        <v>17047</v>
      </c>
      <c r="D2308" t="inlineStr">
        <is>
          <t>Hyderabad</t>
        </is>
      </c>
      <c r="E2308" t="inlineStr">
        <is>
          <t>South</t>
        </is>
      </c>
      <c r="F2308" t="inlineStr">
        <is>
          <t>Paid Search</t>
        </is>
      </c>
      <c r="G2308" t="inlineStr">
        <is>
          <t>Mobile Web</t>
        </is>
      </c>
      <c r="H2308" t="inlineStr">
        <is>
          <t>Debit Card</t>
        </is>
      </c>
      <c r="I2308" t="inlineStr">
        <is>
          <t>Returned</t>
        </is>
      </c>
      <c r="J2308" t="n">
        <v>111</v>
      </c>
      <c r="K2308" t="n">
        <v>1</v>
      </c>
      <c r="L2308" t="n">
        <v>524</v>
      </c>
      <c r="M2308" t="n">
        <v>0</v>
      </c>
      <c r="N2308">
        <f>VLOOKUP(J2308,Products!$A$2:$C$49,3,FALSE)</f>
        <v/>
      </c>
      <c r="O2308">
        <f>K2308*L2308-M2308</f>
        <v/>
      </c>
      <c r="P2308">
        <f>TEXT(B2308,"yyyy-mm")</f>
        <v/>
      </c>
      <c r="Q2308">
        <f>IF(O2308&gt;=3000,"Large","Small")</f>
        <v/>
      </c>
      <c r="R2308">
        <f>INDEX(Products!$F$2:$F$49,MATCH(J2308,Products!$A$2:$A$49,0))</f>
        <v/>
      </c>
      <c r="S2308">
        <f>WEEKDAY(B2308,2)</f>
        <v/>
      </c>
    </row>
    <row r="2309">
      <c r="A2309" t="n">
        <v>510516</v>
      </c>
      <c r="B2309" s="6" t="n">
        <v>45961</v>
      </c>
      <c r="C2309" t="n">
        <v>17047</v>
      </c>
      <c r="D2309" t="inlineStr">
        <is>
          <t>Hyderabad</t>
        </is>
      </c>
      <c r="E2309" t="inlineStr">
        <is>
          <t>South</t>
        </is>
      </c>
      <c r="F2309" t="inlineStr">
        <is>
          <t>Paid Search</t>
        </is>
      </c>
      <c r="G2309" t="inlineStr">
        <is>
          <t>Mobile Web</t>
        </is>
      </c>
      <c r="H2309" t="inlineStr">
        <is>
          <t>Debit Card</t>
        </is>
      </c>
      <c r="I2309" t="inlineStr">
        <is>
          <t>Returned</t>
        </is>
      </c>
      <c r="J2309" t="n">
        <v>139</v>
      </c>
      <c r="K2309" t="n">
        <v>1</v>
      </c>
      <c r="L2309" t="n">
        <v>366</v>
      </c>
      <c r="M2309" t="n">
        <v>0</v>
      </c>
      <c r="N2309">
        <f>VLOOKUP(J2309,Products!$A$2:$C$49,3,FALSE)</f>
        <v/>
      </c>
      <c r="O2309">
        <f>K2309*L2309-M2309</f>
        <v/>
      </c>
      <c r="P2309">
        <f>TEXT(B2309,"yyyy-mm")</f>
        <v/>
      </c>
      <c r="Q2309">
        <f>IF(O2309&gt;=3000,"Large","Small")</f>
        <v/>
      </c>
      <c r="R2309">
        <f>INDEX(Products!$F$2:$F$49,MATCH(J2309,Products!$A$2:$A$49,0))</f>
        <v/>
      </c>
      <c r="S2309">
        <f>WEEKDAY(B2309,2)</f>
        <v/>
      </c>
    </row>
    <row r="2310">
      <c r="A2310" t="n">
        <v>510517</v>
      </c>
      <c r="B2310" s="6" t="n">
        <v>45961</v>
      </c>
      <c r="C2310" t="n">
        <v>16927</v>
      </c>
      <c r="D2310" t="inlineStr">
        <is>
          <t>Jaipur</t>
        </is>
      </c>
      <c r="E2310" t="inlineStr">
        <is>
          <t>North</t>
        </is>
      </c>
      <c r="F2310" t="inlineStr">
        <is>
          <t>Referral</t>
        </is>
      </c>
      <c r="G2310" t="inlineStr">
        <is>
          <t>Mobile App</t>
        </is>
      </c>
      <c r="H2310" t="inlineStr">
        <is>
          <t>Cash on Delivery</t>
        </is>
      </c>
      <c r="I2310" t="inlineStr">
        <is>
          <t>Delivered</t>
        </is>
      </c>
      <c r="J2310" t="n">
        <v>138</v>
      </c>
      <c r="K2310" t="n">
        <v>1</v>
      </c>
      <c r="L2310" t="n">
        <v>419</v>
      </c>
      <c r="M2310" t="n">
        <v>0</v>
      </c>
      <c r="N2310">
        <f>VLOOKUP(J2310,Products!$A$2:$C$49,3,FALSE)</f>
        <v/>
      </c>
      <c r="O2310">
        <f>K2310*L2310-M2310</f>
        <v/>
      </c>
      <c r="P2310">
        <f>TEXT(B2310,"yyyy-mm")</f>
        <v/>
      </c>
      <c r="Q2310">
        <f>IF(O2310&gt;=3000,"Large","Small")</f>
        <v/>
      </c>
      <c r="R2310">
        <f>INDEX(Products!$F$2:$F$49,MATCH(J2310,Products!$A$2:$A$49,0))</f>
        <v/>
      </c>
      <c r="S2310">
        <f>WEEKDAY(B2310,2)</f>
        <v/>
      </c>
    </row>
    <row r="2311">
      <c r="A2311" t="n">
        <v>510518</v>
      </c>
      <c r="B2311" s="6" t="n">
        <v>45961</v>
      </c>
      <c r="C2311" t="n">
        <v>17086</v>
      </c>
      <c r="D2311" t="inlineStr">
        <is>
          <t>Delhi</t>
        </is>
      </c>
      <c r="E2311" t="inlineStr">
        <is>
          <t>North</t>
        </is>
      </c>
      <c r="F2311" t="inlineStr">
        <is>
          <t>Paid Search</t>
        </is>
      </c>
      <c r="G2311" t="inlineStr">
        <is>
          <t>Mobile App</t>
        </is>
      </c>
      <c r="H2311" t="inlineStr">
        <is>
          <t>Credit Card</t>
        </is>
      </c>
      <c r="I2311" t="inlineStr">
        <is>
          <t>Cancelled</t>
        </is>
      </c>
      <c r="J2311" t="n">
        <v>129</v>
      </c>
      <c r="K2311" t="n">
        <v>1</v>
      </c>
      <c r="L2311" t="n">
        <v>576</v>
      </c>
      <c r="M2311" t="n">
        <v>0</v>
      </c>
      <c r="N2311">
        <f>VLOOKUP(J2311,Products!$A$2:$C$49,3,FALSE)</f>
        <v/>
      </c>
      <c r="O2311">
        <f>K2311*L2311-M2311</f>
        <v/>
      </c>
      <c r="P2311">
        <f>TEXT(B2311,"yyyy-mm")</f>
        <v/>
      </c>
      <c r="Q2311">
        <f>IF(O2311&gt;=3000,"Large","Small")</f>
        <v/>
      </c>
      <c r="R2311">
        <f>INDEX(Products!$F$2:$F$49,MATCH(J2311,Products!$A$2:$A$49,0))</f>
        <v/>
      </c>
      <c r="S2311">
        <f>WEEKDAY(B2311,2)</f>
        <v/>
      </c>
    </row>
    <row r="2312">
      <c r="A2312" t="n">
        <v>510518</v>
      </c>
      <c r="B2312" s="6" t="n">
        <v>45961</v>
      </c>
      <c r="C2312" t="n">
        <v>17086</v>
      </c>
      <c r="D2312" t="inlineStr">
        <is>
          <t>Delhi</t>
        </is>
      </c>
      <c r="E2312" t="inlineStr">
        <is>
          <t>North</t>
        </is>
      </c>
      <c r="F2312" t="inlineStr">
        <is>
          <t>Paid Search</t>
        </is>
      </c>
      <c r="G2312" t="inlineStr">
        <is>
          <t>Mobile App</t>
        </is>
      </c>
      <c r="H2312" t="inlineStr">
        <is>
          <t>Credit Card</t>
        </is>
      </c>
      <c r="I2312" t="inlineStr">
        <is>
          <t>Cancelled</t>
        </is>
      </c>
      <c r="J2312" t="n">
        <v>108</v>
      </c>
      <c r="K2312" t="n">
        <v>2</v>
      </c>
      <c r="L2312" t="n">
        <v>419</v>
      </c>
      <c r="M2312" t="n">
        <v>0</v>
      </c>
      <c r="N2312">
        <f>VLOOKUP(J2312,Products!$A$2:$C$49,3,FALSE)</f>
        <v/>
      </c>
      <c r="O2312">
        <f>K2312*L2312-M2312</f>
        <v/>
      </c>
      <c r="P2312">
        <f>TEXT(B2312,"yyyy-mm")</f>
        <v/>
      </c>
      <c r="Q2312">
        <f>IF(O2312&gt;=3000,"Large","Small")</f>
        <v/>
      </c>
      <c r="R2312">
        <f>INDEX(Products!$F$2:$F$49,MATCH(J2312,Products!$A$2:$A$49,0))</f>
        <v/>
      </c>
      <c r="S2312">
        <f>WEEKDAY(B2312,2)</f>
        <v/>
      </c>
    </row>
    <row r="2313">
      <c r="A2313" t="n">
        <v>510519</v>
      </c>
      <c r="B2313" s="6" t="n">
        <v>45961</v>
      </c>
      <c r="C2313" t="n">
        <v>16011</v>
      </c>
      <c r="D2313" t="inlineStr">
        <is>
          <t>Delhi</t>
        </is>
      </c>
      <c r="E2313" t="inlineStr">
        <is>
          <t>North</t>
        </is>
      </c>
      <c r="F2313" t="inlineStr">
        <is>
          <t>Email</t>
        </is>
      </c>
      <c r="G2313" t="inlineStr">
        <is>
          <t>Mobile Web</t>
        </is>
      </c>
      <c r="H2313" t="inlineStr">
        <is>
          <t>Net Banking</t>
        </is>
      </c>
      <c r="I2313" t="inlineStr">
        <is>
          <t>Delivered</t>
        </is>
      </c>
      <c r="J2313" t="n">
        <v>137</v>
      </c>
      <c r="K2313" t="n">
        <v>2</v>
      </c>
      <c r="L2313" t="n">
        <v>261</v>
      </c>
      <c r="M2313" t="n">
        <v>0</v>
      </c>
      <c r="N2313">
        <f>VLOOKUP(J2313,Products!$A$2:$C$49,3,FALSE)</f>
        <v/>
      </c>
      <c r="O2313">
        <f>K2313*L2313-M2313</f>
        <v/>
      </c>
      <c r="P2313">
        <f>TEXT(B2313,"yyyy-mm")</f>
        <v/>
      </c>
      <c r="Q2313">
        <f>IF(O2313&gt;=3000,"Large","Small")</f>
        <v/>
      </c>
      <c r="R2313">
        <f>INDEX(Products!$F$2:$F$49,MATCH(J2313,Products!$A$2:$A$49,0))</f>
        <v/>
      </c>
      <c r="S2313">
        <f>WEEKDAY(B2313,2)</f>
        <v/>
      </c>
    </row>
    <row r="2314">
      <c r="A2314" t="n">
        <v>510519</v>
      </c>
      <c r="B2314" s="6" t="n">
        <v>45961</v>
      </c>
      <c r="C2314" t="n">
        <v>16011</v>
      </c>
      <c r="D2314" t="inlineStr">
        <is>
          <t>Delhi</t>
        </is>
      </c>
      <c r="E2314" t="inlineStr">
        <is>
          <t>North</t>
        </is>
      </c>
      <c r="F2314" t="inlineStr">
        <is>
          <t>Email</t>
        </is>
      </c>
      <c r="G2314" t="inlineStr">
        <is>
          <t>Mobile Web</t>
        </is>
      </c>
      <c r="H2314" t="inlineStr">
        <is>
          <t>Net Banking</t>
        </is>
      </c>
      <c r="I2314" t="inlineStr">
        <is>
          <t>Delivered</t>
        </is>
      </c>
      <c r="J2314" t="n">
        <v>116</v>
      </c>
      <c r="K2314" t="n">
        <v>1</v>
      </c>
      <c r="L2314" t="n">
        <v>2624</v>
      </c>
      <c r="M2314" t="n">
        <v>0</v>
      </c>
      <c r="N2314">
        <f>VLOOKUP(J2314,Products!$A$2:$C$49,3,FALSE)</f>
        <v/>
      </c>
      <c r="O2314">
        <f>K2314*L2314-M2314</f>
        <v/>
      </c>
      <c r="P2314">
        <f>TEXT(B2314,"yyyy-mm")</f>
        <v/>
      </c>
      <c r="Q2314">
        <f>IF(O2314&gt;=3000,"Large","Small")</f>
        <v/>
      </c>
      <c r="R2314">
        <f>INDEX(Products!$F$2:$F$49,MATCH(J2314,Products!$A$2:$A$49,0))</f>
        <v/>
      </c>
      <c r="S2314">
        <f>WEEKDAY(B2314,2)</f>
        <v/>
      </c>
    </row>
    <row r="2315">
      <c r="A2315" t="n">
        <v>510520</v>
      </c>
      <c r="B2315" s="6" t="n">
        <v>45961</v>
      </c>
      <c r="C2315" t="n">
        <v>17096</v>
      </c>
      <c r="D2315" t="inlineStr">
        <is>
          <t>Bengaluru</t>
        </is>
      </c>
      <c r="E2315" t="inlineStr">
        <is>
          <t>South</t>
        </is>
      </c>
      <c r="F2315" t="inlineStr">
        <is>
          <t>Organic Search</t>
        </is>
      </c>
      <c r="G2315" t="inlineStr">
        <is>
          <t>Mobile App</t>
        </is>
      </c>
      <c r="H2315" t="inlineStr">
        <is>
          <t>UPI</t>
        </is>
      </c>
      <c r="I2315" t="inlineStr">
        <is>
          <t>Delivered</t>
        </is>
      </c>
      <c r="J2315" t="n">
        <v>111</v>
      </c>
      <c r="K2315" t="n">
        <v>2</v>
      </c>
      <c r="L2315" t="n">
        <v>524</v>
      </c>
      <c r="M2315" t="n">
        <v>0</v>
      </c>
      <c r="N2315">
        <f>VLOOKUP(J2315,Products!$A$2:$C$49,3,FALSE)</f>
        <v/>
      </c>
      <c r="O2315">
        <f>K2315*L2315-M2315</f>
        <v/>
      </c>
      <c r="P2315">
        <f>TEXT(B2315,"yyyy-mm")</f>
        <v/>
      </c>
      <c r="Q2315">
        <f>IF(O2315&gt;=3000,"Large","Small")</f>
        <v/>
      </c>
      <c r="R2315">
        <f>INDEX(Products!$F$2:$F$49,MATCH(J2315,Products!$A$2:$A$49,0))</f>
        <v/>
      </c>
      <c r="S2315">
        <f>WEEKDAY(B2315,2)</f>
        <v/>
      </c>
    </row>
    <row r="2316">
      <c r="A2316" t="n">
        <v>510521</v>
      </c>
      <c r="B2316" s="6" t="n">
        <v>45961</v>
      </c>
      <c r="C2316" t="n">
        <v>12309</v>
      </c>
      <c r="D2316" t="inlineStr">
        <is>
          <t>Noida</t>
        </is>
      </c>
      <c r="E2316" t="inlineStr">
        <is>
          <t>North</t>
        </is>
      </c>
      <c r="F2316" t="inlineStr">
        <is>
          <t>Email</t>
        </is>
      </c>
      <c r="G2316" t="inlineStr">
        <is>
          <t>Mobile Web</t>
        </is>
      </c>
      <c r="H2316" t="inlineStr">
        <is>
          <t>UPI</t>
        </is>
      </c>
      <c r="I2316" t="inlineStr">
        <is>
          <t>Delivered</t>
        </is>
      </c>
      <c r="J2316" t="n">
        <v>120</v>
      </c>
      <c r="K2316" t="n">
        <v>1</v>
      </c>
      <c r="L2316" t="n">
        <v>734</v>
      </c>
      <c r="M2316" t="n">
        <v>0</v>
      </c>
      <c r="N2316">
        <f>VLOOKUP(J2316,Products!$A$2:$C$49,3,FALSE)</f>
        <v/>
      </c>
      <c r="O2316">
        <f>K2316*L2316-M2316</f>
        <v/>
      </c>
      <c r="P2316">
        <f>TEXT(B2316,"yyyy-mm")</f>
        <v/>
      </c>
      <c r="Q2316">
        <f>IF(O2316&gt;=3000,"Large","Small")</f>
        <v/>
      </c>
      <c r="R2316">
        <f>INDEX(Products!$F$2:$F$49,MATCH(J2316,Products!$A$2:$A$49,0))</f>
        <v/>
      </c>
      <c r="S2316">
        <f>WEEKDAY(B2316,2)</f>
        <v/>
      </c>
    </row>
    <row r="2317">
      <c r="A2317" t="n">
        <v>510522</v>
      </c>
      <c r="B2317" s="6" t="n">
        <v>45961</v>
      </c>
      <c r="C2317" t="n">
        <v>17118</v>
      </c>
      <c r="D2317" t="inlineStr">
        <is>
          <t>Jaipur</t>
        </is>
      </c>
      <c r="E2317" t="inlineStr">
        <is>
          <t>North</t>
        </is>
      </c>
      <c r="F2317" t="inlineStr">
        <is>
          <t>Referral</t>
        </is>
      </c>
      <c r="G2317" t="inlineStr">
        <is>
          <t>Mobile Web</t>
        </is>
      </c>
      <c r="H2317" t="inlineStr">
        <is>
          <t>UPI</t>
        </is>
      </c>
      <c r="I2317" t="inlineStr">
        <is>
          <t>Delivered</t>
        </is>
      </c>
      <c r="J2317" t="n">
        <v>117</v>
      </c>
      <c r="K2317" t="n">
        <v>1</v>
      </c>
      <c r="L2317" t="n">
        <v>3149</v>
      </c>
      <c r="M2317" t="n">
        <v>472.35</v>
      </c>
      <c r="N2317">
        <f>VLOOKUP(J2317,Products!$A$2:$C$49,3,FALSE)</f>
        <v/>
      </c>
      <c r="O2317">
        <f>K2317*L2317-M2317</f>
        <v/>
      </c>
      <c r="P2317">
        <f>TEXT(B2317,"yyyy-mm")</f>
        <v/>
      </c>
      <c r="Q2317">
        <f>IF(O2317&gt;=3000,"Large","Small")</f>
        <v/>
      </c>
      <c r="R2317">
        <f>INDEX(Products!$F$2:$F$49,MATCH(J2317,Products!$A$2:$A$49,0))</f>
        <v/>
      </c>
      <c r="S2317">
        <f>WEEKDAY(B2317,2)</f>
        <v/>
      </c>
    </row>
    <row r="2318">
      <c r="A2318" t="n">
        <v>510523</v>
      </c>
      <c r="B2318" s="6" t="n">
        <v>45961</v>
      </c>
      <c r="C2318" t="n">
        <v>14778</v>
      </c>
      <c r="D2318" t="inlineStr">
        <is>
          <t>Pune</t>
        </is>
      </c>
      <c r="E2318" t="inlineStr">
        <is>
          <t>West</t>
        </is>
      </c>
      <c r="F2318" t="inlineStr">
        <is>
          <t>Paid Social</t>
        </is>
      </c>
      <c r="G2318" t="inlineStr">
        <is>
          <t>Mobile Web</t>
        </is>
      </c>
      <c r="H2318" t="inlineStr">
        <is>
          <t>Cash on Delivery</t>
        </is>
      </c>
      <c r="I2318" t="inlineStr">
        <is>
          <t>Delivered</t>
        </is>
      </c>
      <c r="J2318" t="n">
        <v>101</v>
      </c>
      <c r="K2318" t="n">
        <v>1</v>
      </c>
      <c r="L2318" t="n">
        <v>2099</v>
      </c>
      <c r="M2318" t="n">
        <v>0</v>
      </c>
      <c r="N2318">
        <f>VLOOKUP(J2318,Products!$A$2:$C$49,3,FALSE)</f>
        <v/>
      </c>
      <c r="O2318">
        <f>K2318*L2318-M2318</f>
        <v/>
      </c>
      <c r="P2318">
        <f>TEXT(B2318,"yyyy-mm")</f>
        <v/>
      </c>
      <c r="Q2318">
        <f>IF(O2318&gt;=3000,"Large","Small")</f>
        <v/>
      </c>
      <c r="R2318">
        <f>INDEX(Products!$F$2:$F$49,MATCH(J2318,Products!$A$2:$A$49,0))</f>
        <v/>
      </c>
      <c r="S2318">
        <f>WEEKDAY(B2318,2)</f>
        <v/>
      </c>
    </row>
    <row r="2319">
      <c r="A2319" t="n">
        <v>510524</v>
      </c>
      <c r="B2319" s="6" t="n">
        <v>45961</v>
      </c>
      <c r="C2319" t="n">
        <v>16757</v>
      </c>
      <c r="D2319" t="inlineStr">
        <is>
          <t>Delhi</t>
        </is>
      </c>
      <c r="E2319" t="inlineStr">
        <is>
          <t>North</t>
        </is>
      </c>
      <c r="F2319" t="inlineStr">
        <is>
          <t>Organic Search</t>
        </is>
      </c>
      <c r="G2319" t="inlineStr">
        <is>
          <t>Desktop</t>
        </is>
      </c>
      <c r="H2319" t="inlineStr">
        <is>
          <t>Cash on Delivery</t>
        </is>
      </c>
      <c r="I2319" t="inlineStr">
        <is>
          <t>Delivered</t>
        </is>
      </c>
      <c r="J2319" t="n">
        <v>122</v>
      </c>
      <c r="K2319" t="n">
        <v>1</v>
      </c>
      <c r="L2319" t="n">
        <v>1994</v>
      </c>
      <c r="M2319" t="n">
        <v>0</v>
      </c>
      <c r="N2319">
        <f>VLOOKUP(J2319,Products!$A$2:$C$49,3,FALSE)</f>
        <v/>
      </c>
      <c r="O2319">
        <f>K2319*L2319-M2319</f>
        <v/>
      </c>
      <c r="P2319">
        <f>TEXT(B2319,"yyyy-mm")</f>
        <v/>
      </c>
      <c r="Q2319">
        <f>IF(O2319&gt;=3000,"Large","Small")</f>
        <v/>
      </c>
      <c r="R2319">
        <f>INDEX(Products!$F$2:$F$49,MATCH(J2319,Products!$A$2:$A$49,0))</f>
        <v/>
      </c>
      <c r="S2319">
        <f>WEEKDAY(B2319,2)</f>
        <v/>
      </c>
    </row>
    <row r="2320">
      <c r="A2320" t="n">
        <v>510524</v>
      </c>
      <c r="B2320" s="6" t="n">
        <v>45961</v>
      </c>
      <c r="C2320" t="n">
        <v>16757</v>
      </c>
      <c r="D2320" t="inlineStr">
        <is>
          <t>Delhi</t>
        </is>
      </c>
      <c r="E2320" t="inlineStr">
        <is>
          <t>North</t>
        </is>
      </c>
      <c r="F2320" t="inlineStr">
        <is>
          <t>Organic Search</t>
        </is>
      </c>
      <c r="G2320" t="inlineStr">
        <is>
          <t>Desktop</t>
        </is>
      </c>
      <c r="H2320" t="inlineStr">
        <is>
          <t>Cash on Delivery</t>
        </is>
      </c>
      <c r="I2320" t="inlineStr">
        <is>
          <t>Delivered</t>
        </is>
      </c>
      <c r="J2320" t="n">
        <v>143</v>
      </c>
      <c r="K2320" t="n">
        <v>2</v>
      </c>
      <c r="L2320" t="n">
        <v>839</v>
      </c>
      <c r="M2320" t="n">
        <v>0</v>
      </c>
      <c r="N2320">
        <f>VLOOKUP(J2320,Products!$A$2:$C$49,3,FALSE)</f>
        <v/>
      </c>
      <c r="O2320">
        <f>K2320*L2320-M2320</f>
        <v/>
      </c>
      <c r="P2320">
        <f>TEXT(B2320,"yyyy-mm")</f>
        <v/>
      </c>
      <c r="Q2320">
        <f>IF(O2320&gt;=3000,"Large","Small")</f>
        <v/>
      </c>
      <c r="R2320">
        <f>INDEX(Products!$F$2:$F$49,MATCH(J2320,Products!$A$2:$A$49,0))</f>
        <v/>
      </c>
      <c r="S2320">
        <f>WEEKDAY(B2320,2)</f>
        <v/>
      </c>
    </row>
    <row r="2321">
      <c r="A2321" t="n">
        <v>510525</v>
      </c>
      <c r="B2321" s="6" t="n">
        <v>45961</v>
      </c>
      <c r="C2321" t="n">
        <v>17111</v>
      </c>
      <c r="D2321" t="inlineStr">
        <is>
          <t>Bengaluru</t>
        </is>
      </c>
      <c r="E2321" t="inlineStr">
        <is>
          <t>South</t>
        </is>
      </c>
      <c r="F2321" t="inlineStr">
        <is>
          <t>Paid Search</t>
        </is>
      </c>
      <c r="G2321" t="inlineStr">
        <is>
          <t>Mobile App</t>
        </is>
      </c>
      <c r="H2321" t="inlineStr">
        <is>
          <t>Credit Card</t>
        </is>
      </c>
      <c r="I2321" t="inlineStr">
        <is>
          <t>Delivered</t>
        </is>
      </c>
      <c r="J2321" t="n">
        <v>103</v>
      </c>
      <c r="K2321" t="n">
        <v>1</v>
      </c>
      <c r="L2321" t="n">
        <v>2624</v>
      </c>
      <c r="M2321" t="n">
        <v>0</v>
      </c>
      <c r="N2321">
        <f>VLOOKUP(J2321,Products!$A$2:$C$49,3,FALSE)</f>
        <v/>
      </c>
      <c r="O2321">
        <f>K2321*L2321-M2321</f>
        <v/>
      </c>
      <c r="P2321">
        <f>TEXT(B2321,"yyyy-mm")</f>
        <v/>
      </c>
      <c r="Q2321">
        <f>IF(O2321&gt;=3000,"Large","Small")</f>
        <v/>
      </c>
      <c r="R2321">
        <f>INDEX(Products!$F$2:$F$49,MATCH(J2321,Products!$A$2:$A$49,0))</f>
        <v/>
      </c>
      <c r="S2321">
        <f>WEEKDAY(B2321,2)</f>
        <v/>
      </c>
    </row>
    <row r="2322">
      <c r="A2322" t="n">
        <v>510525</v>
      </c>
      <c r="B2322" s="6" t="n">
        <v>45961</v>
      </c>
      <c r="C2322" t="n">
        <v>17111</v>
      </c>
      <c r="D2322" t="inlineStr">
        <is>
          <t>Bengaluru</t>
        </is>
      </c>
      <c r="E2322" t="inlineStr">
        <is>
          <t>South</t>
        </is>
      </c>
      <c r="F2322" t="inlineStr">
        <is>
          <t>Paid Search</t>
        </is>
      </c>
      <c r="G2322" t="inlineStr">
        <is>
          <t>Mobile App</t>
        </is>
      </c>
      <c r="H2322" t="inlineStr">
        <is>
          <t>Credit Card</t>
        </is>
      </c>
      <c r="I2322" t="inlineStr">
        <is>
          <t>Delivered</t>
        </is>
      </c>
      <c r="J2322" t="n">
        <v>118</v>
      </c>
      <c r="K2322" t="n">
        <v>1</v>
      </c>
      <c r="L2322" t="n">
        <v>944</v>
      </c>
      <c r="M2322" t="n">
        <v>0</v>
      </c>
      <c r="N2322">
        <f>VLOOKUP(J2322,Products!$A$2:$C$49,3,FALSE)</f>
        <v/>
      </c>
      <c r="O2322">
        <f>K2322*L2322-M2322</f>
        <v/>
      </c>
      <c r="P2322">
        <f>TEXT(B2322,"yyyy-mm")</f>
        <v/>
      </c>
      <c r="Q2322">
        <f>IF(O2322&gt;=3000,"Large","Small")</f>
        <v/>
      </c>
      <c r="R2322">
        <f>INDEX(Products!$F$2:$F$49,MATCH(J2322,Products!$A$2:$A$49,0))</f>
        <v/>
      </c>
      <c r="S2322">
        <f>WEEKDAY(B2322,2)</f>
        <v/>
      </c>
    </row>
    <row r="2323">
      <c r="A2323" t="n">
        <v>510526</v>
      </c>
      <c r="B2323" s="6" t="n">
        <v>45962</v>
      </c>
      <c r="C2323" t="n">
        <v>17092</v>
      </c>
      <c r="D2323" t="inlineStr">
        <is>
          <t>Delhi</t>
        </is>
      </c>
      <c r="E2323" t="inlineStr">
        <is>
          <t>North</t>
        </is>
      </c>
      <c r="F2323" t="inlineStr">
        <is>
          <t>Paid Social</t>
        </is>
      </c>
      <c r="G2323" t="inlineStr">
        <is>
          <t>Mobile App</t>
        </is>
      </c>
      <c r="H2323" t="inlineStr">
        <is>
          <t>UPI</t>
        </is>
      </c>
      <c r="I2323" t="inlineStr">
        <is>
          <t>Delivered</t>
        </is>
      </c>
      <c r="J2323" t="n">
        <v>110</v>
      </c>
      <c r="K2323" t="n">
        <v>1</v>
      </c>
      <c r="L2323" t="n">
        <v>839</v>
      </c>
      <c r="M2323" t="n">
        <v>0</v>
      </c>
      <c r="N2323">
        <f>VLOOKUP(J2323,Products!$A$2:$C$49,3,FALSE)</f>
        <v/>
      </c>
      <c r="O2323">
        <f>K2323*L2323-M2323</f>
        <v/>
      </c>
      <c r="P2323">
        <f>TEXT(B2323,"yyyy-mm")</f>
        <v/>
      </c>
      <c r="Q2323">
        <f>IF(O2323&gt;=3000,"Large","Small")</f>
        <v/>
      </c>
      <c r="R2323">
        <f>INDEX(Products!$F$2:$F$49,MATCH(J2323,Products!$A$2:$A$49,0))</f>
        <v/>
      </c>
      <c r="S2323">
        <f>WEEKDAY(B2323,2)</f>
        <v/>
      </c>
    </row>
    <row r="2324">
      <c r="A2324" t="n">
        <v>510527</v>
      </c>
      <c r="B2324" s="6" t="n">
        <v>45962</v>
      </c>
      <c r="C2324" t="n">
        <v>12503</v>
      </c>
      <c r="D2324" t="inlineStr">
        <is>
          <t>Chandigarh</t>
        </is>
      </c>
      <c r="E2324" t="inlineStr">
        <is>
          <t>North</t>
        </is>
      </c>
      <c r="F2324" t="inlineStr">
        <is>
          <t>Email</t>
        </is>
      </c>
      <c r="G2324" t="inlineStr">
        <is>
          <t>Desktop</t>
        </is>
      </c>
      <c r="H2324" t="inlineStr">
        <is>
          <t>Cash on Delivery</t>
        </is>
      </c>
      <c r="I2324" t="inlineStr">
        <is>
          <t>Returned</t>
        </is>
      </c>
      <c r="J2324" t="n">
        <v>111</v>
      </c>
      <c r="K2324" t="n">
        <v>3</v>
      </c>
      <c r="L2324" t="n">
        <v>524</v>
      </c>
      <c r="M2324" t="n">
        <v>0</v>
      </c>
      <c r="N2324">
        <f>VLOOKUP(J2324,Products!$A$2:$C$49,3,FALSE)</f>
        <v/>
      </c>
      <c r="O2324">
        <f>K2324*L2324-M2324</f>
        <v/>
      </c>
      <c r="P2324">
        <f>TEXT(B2324,"yyyy-mm")</f>
        <v/>
      </c>
      <c r="Q2324">
        <f>IF(O2324&gt;=3000,"Large","Small")</f>
        <v/>
      </c>
      <c r="R2324">
        <f>INDEX(Products!$F$2:$F$49,MATCH(J2324,Products!$A$2:$A$49,0))</f>
        <v/>
      </c>
      <c r="S2324">
        <f>WEEKDAY(B2324,2)</f>
        <v/>
      </c>
    </row>
    <row r="2325">
      <c r="A2325" t="n">
        <v>510527</v>
      </c>
      <c r="B2325" s="6" t="n">
        <v>45962</v>
      </c>
      <c r="C2325" t="n">
        <v>12503</v>
      </c>
      <c r="D2325" t="inlineStr">
        <is>
          <t>Chandigarh</t>
        </is>
      </c>
      <c r="E2325" t="inlineStr">
        <is>
          <t>North</t>
        </is>
      </c>
      <c r="F2325" t="inlineStr">
        <is>
          <t>Email</t>
        </is>
      </c>
      <c r="G2325" t="inlineStr">
        <is>
          <t>Desktop</t>
        </is>
      </c>
      <c r="H2325" t="inlineStr">
        <is>
          <t>Cash on Delivery</t>
        </is>
      </c>
      <c r="I2325" t="inlineStr">
        <is>
          <t>Returned</t>
        </is>
      </c>
      <c r="J2325" t="n">
        <v>107</v>
      </c>
      <c r="K2325" t="n">
        <v>1</v>
      </c>
      <c r="L2325" t="n">
        <v>1259</v>
      </c>
      <c r="M2325" t="n">
        <v>0</v>
      </c>
      <c r="N2325">
        <f>VLOOKUP(J2325,Products!$A$2:$C$49,3,FALSE)</f>
        <v/>
      </c>
      <c r="O2325">
        <f>K2325*L2325-M2325</f>
        <v/>
      </c>
      <c r="P2325">
        <f>TEXT(B2325,"yyyy-mm")</f>
        <v/>
      </c>
      <c r="Q2325">
        <f>IF(O2325&gt;=3000,"Large","Small")</f>
        <v/>
      </c>
      <c r="R2325">
        <f>INDEX(Products!$F$2:$F$49,MATCH(J2325,Products!$A$2:$A$49,0))</f>
        <v/>
      </c>
      <c r="S2325">
        <f>WEEKDAY(B2325,2)</f>
        <v/>
      </c>
    </row>
    <row r="2326">
      <c r="A2326" t="n">
        <v>510528</v>
      </c>
      <c r="B2326" s="6" t="n">
        <v>45962</v>
      </c>
      <c r="C2326" t="n">
        <v>15379</v>
      </c>
      <c r="D2326" t="inlineStr">
        <is>
          <t>Hyderabad</t>
        </is>
      </c>
      <c r="E2326" t="inlineStr">
        <is>
          <t>South</t>
        </is>
      </c>
      <c r="F2326" t="inlineStr">
        <is>
          <t>Organic Search</t>
        </is>
      </c>
      <c r="G2326" t="inlineStr">
        <is>
          <t>Mobile App</t>
        </is>
      </c>
      <c r="H2326" t="inlineStr">
        <is>
          <t>UPI</t>
        </is>
      </c>
      <c r="I2326" t="inlineStr">
        <is>
          <t>Delivered</t>
        </is>
      </c>
      <c r="J2326" t="n">
        <v>127</v>
      </c>
      <c r="K2326" t="n">
        <v>1</v>
      </c>
      <c r="L2326" t="n">
        <v>681</v>
      </c>
      <c r="M2326" t="n">
        <v>0</v>
      </c>
      <c r="N2326">
        <f>VLOOKUP(J2326,Products!$A$2:$C$49,3,FALSE)</f>
        <v/>
      </c>
      <c r="O2326">
        <f>K2326*L2326-M2326</f>
        <v/>
      </c>
      <c r="P2326">
        <f>TEXT(B2326,"yyyy-mm")</f>
        <v/>
      </c>
      <c r="Q2326">
        <f>IF(O2326&gt;=3000,"Large","Small")</f>
        <v/>
      </c>
      <c r="R2326">
        <f>INDEX(Products!$F$2:$F$49,MATCH(J2326,Products!$A$2:$A$49,0))</f>
        <v/>
      </c>
      <c r="S2326">
        <f>WEEKDAY(B2326,2)</f>
        <v/>
      </c>
    </row>
    <row r="2327">
      <c r="A2327" t="n">
        <v>510528</v>
      </c>
      <c r="B2327" s="6" t="n">
        <v>45962</v>
      </c>
      <c r="C2327" t="n">
        <v>15379</v>
      </c>
      <c r="D2327" t="inlineStr">
        <is>
          <t>Hyderabad</t>
        </is>
      </c>
      <c r="E2327" t="inlineStr">
        <is>
          <t>South</t>
        </is>
      </c>
      <c r="F2327" t="inlineStr">
        <is>
          <t>Organic Search</t>
        </is>
      </c>
      <c r="G2327" t="inlineStr">
        <is>
          <t>Mobile App</t>
        </is>
      </c>
      <c r="H2327" t="inlineStr">
        <is>
          <t>UPI</t>
        </is>
      </c>
      <c r="I2327" t="inlineStr">
        <is>
          <t>Delivered</t>
        </is>
      </c>
      <c r="J2327" t="n">
        <v>130</v>
      </c>
      <c r="K2327" t="n">
        <v>1</v>
      </c>
      <c r="L2327" t="n">
        <v>734</v>
      </c>
      <c r="M2327" t="n">
        <v>0</v>
      </c>
      <c r="N2327">
        <f>VLOOKUP(J2327,Products!$A$2:$C$49,3,FALSE)</f>
        <v/>
      </c>
      <c r="O2327">
        <f>K2327*L2327-M2327</f>
        <v/>
      </c>
      <c r="P2327">
        <f>TEXT(B2327,"yyyy-mm")</f>
        <v/>
      </c>
      <c r="Q2327">
        <f>IF(O2327&gt;=3000,"Large","Small")</f>
        <v/>
      </c>
      <c r="R2327">
        <f>INDEX(Products!$F$2:$F$49,MATCH(J2327,Products!$A$2:$A$49,0))</f>
        <v/>
      </c>
      <c r="S2327">
        <f>WEEKDAY(B2327,2)</f>
        <v/>
      </c>
    </row>
    <row r="2328">
      <c r="A2328" t="n">
        <v>510528</v>
      </c>
      <c r="B2328" s="6" t="n">
        <v>45962</v>
      </c>
      <c r="C2328" t="n">
        <v>15379</v>
      </c>
      <c r="D2328" t="inlineStr">
        <is>
          <t>Hyderabad</t>
        </is>
      </c>
      <c r="E2328" t="inlineStr">
        <is>
          <t>South</t>
        </is>
      </c>
      <c r="F2328" t="inlineStr">
        <is>
          <t>Organic Search</t>
        </is>
      </c>
      <c r="G2328" t="inlineStr">
        <is>
          <t>Mobile App</t>
        </is>
      </c>
      <c r="H2328" t="inlineStr">
        <is>
          <t>UPI</t>
        </is>
      </c>
      <c r="I2328" t="inlineStr">
        <is>
          <t>Delivered</t>
        </is>
      </c>
      <c r="J2328" t="n">
        <v>113</v>
      </c>
      <c r="K2328" t="n">
        <v>1</v>
      </c>
      <c r="L2328" t="n">
        <v>1364</v>
      </c>
      <c r="M2328" t="n">
        <v>0</v>
      </c>
      <c r="N2328">
        <f>VLOOKUP(J2328,Products!$A$2:$C$49,3,FALSE)</f>
        <v/>
      </c>
      <c r="O2328">
        <f>K2328*L2328-M2328</f>
        <v/>
      </c>
      <c r="P2328">
        <f>TEXT(B2328,"yyyy-mm")</f>
        <v/>
      </c>
      <c r="Q2328">
        <f>IF(O2328&gt;=3000,"Large","Small")</f>
        <v/>
      </c>
      <c r="R2328">
        <f>INDEX(Products!$F$2:$F$49,MATCH(J2328,Products!$A$2:$A$49,0))</f>
        <v/>
      </c>
      <c r="S2328">
        <f>WEEKDAY(B2328,2)</f>
        <v/>
      </c>
    </row>
    <row r="2329">
      <c r="A2329" t="n">
        <v>510529</v>
      </c>
      <c r="B2329" s="6" t="n">
        <v>45962</v>
      </c>
      <c r="C2329" t="n">
        <v>17064</v>
      </c>
      <c r="D2329" t="inlineStr">
        <is>
          <t>Chandigarh</t>
        </is>
      </c>
      <c r="E2329" t="inlineStr">
        <is>
          <t>North</t>
        </is>
      </c>
      <c r="F2329" t="inlineStr">
        <is>
          <t>Email</t>
        </is>
      </c>
      <c r="G2329" t="inlineStr">
        <is>
          <t>Mobile App</t>
        </is>
      </c>
      <c r="H2329" t="inlineStr">
        <is>
          <t>Cash on Delivery</t>
        </is>
      </c>
      <c r="I2329" t="inlineStr">
        <is>
          <t>Delivered</t>
        </is>
      </c>
      <c r="J2329" t="n">
        <v>102</v>
      </c>
      <c r="K2329" t="n">
        <v>1</v>
      </c>
      <c r="L2329" t="n">
        <v>3674</v>
      </c>
      <c r="M2329" t="n">
        <v>0</v>
      </c>
      <c r="N2329">
        <f>VLOOKUP(J2329,Products!$A$2:$C$49,3,FALSE)</f>
        <v/>
      </c>
      <c r="O2329">
        <f>K2329*L2329-M2329</f>
        <v/>
      </c>
      <c r="P2329">
        <f>TEXT(B2329,"yyyy-mm")</f>
        <v/>
      </c>
      <c r="Q2329">
        <f>IF(O2329&gt;=3000,"Large","Small")</f>
        <v/>
      </c>
      <c r="R2329">
        <f>INDEX(Products!$F$2:$F$49,MATCH(J2329,Products!$A$2:$A$49,0))</f>
        <v/>
      </c>
      <c r="S2329">
        <f>WEEKDAY(B2329,2)</f>
        <v/>
      </c>
    </row>
    <row r="2330">
      <c r="A2330" t="n">
        <v>510530</v>
      </c>
      <c r="B2330" s="6" t="n">
        <v>45962</v>
      </c>
      <c r="C2330" t="n">
        <v>17071</v>
      </c>
      <c r="D2330" t="inlineStr">
        <is>
          <t>Kochi</t>
        </is>
      </c>
      <c r="E2330" t="inlineStr">
        <is>
          <t>South</t>
        </is>
      </c>
      <c r="F2330" t="inlineStr">
        <is>
          <t>Paid Social</t>
        </is>
      </c>
      <c r="G2330" t="inlineStr">
        <is>
          <t>Mobile App</t>
        </is>
      </c>
      <c r="H2330" t="inlineStr">
        <is>
          <t>UPI</t>
        </is>
      </c>
      <c r="I2330" t="inlineStr">
        <is>
          <t>Delivered</t>
        </is>
      </c>
      <c r="J2330" t="n">
        <v>104</v>
      </c>
      <c r="K2330" t="n">
        <v>1</v>
      </c>
      <c r="L2330" t="n">
        <v>5249</v>
      </c>
      <c r="M2330" t="n">
        <v>0</v>
      </c>
      <c r="N2330">
        <f>VLOOKUP(J2330,Products!$A$2:$C$49,3,FALSE)</f>
        <v/>
      </c>
      <c r="O2330">
        <f>K2330*L2330-M2330</f>
        <v/>
      </c>
      <c r="P2330">
        <f>TEXT(B2330,"yyyy-mm")</f>
        <v/>
      </c>
      <c r="Q2330">
        <f>IF(O2330&gt;=3000,"Large","Small")</f>
        <v/>
      </c>
      <c r="R2330">
        <f>INDEX(Products!$F$2:$F$49,MATCH(J2330,Products!$A$2:$A$49,0))</f>
        <v/>
      </c>
      <c r="S2330">
        <f>WEEKDAY(B2330,2)</f>
        <v/>
      </c>
    </row>
    <row r="2331">
      <c r="A2331" t="n">
        <v>510530</v>
      </c>
      <c r="B2331" s="6" t="n">
        <v>45962</v>
      </c>
      <c r="C2331" t="n">
        <v>17071</v>
      </c>
      <c r="D2331" t="inlineStr">
        <is>
          <t>Kochi</t>
        </is>
      </c>
      <c r="E2331" t="inlineStr">
        <is>
          <t>South</t>
        </is>
      </c>
      <c r="F2331" t="inlineStr">
        <is>
          <t>Paid Social</t>
        </is>
      </c>
      <c r="G2331" t="inlineStr">
        <is>
          <t>Mobile App</t>
        </is>
      </c>
      <c r="H2331" t="inlineStr">
        <is>
          <t>UPI</t>
        </is>
      </c>
      <c r="I2331" t="inlineStr">
        <is>
          <t>Delivered</t>
        </is>
      </c>
      <c r="J2331" t="n">
        <v>134</v>
      </c>
      <c r="K2331" t="n">
        <v>1</v>
      </c>
      <c r="L2331" t="n">
        <v>209</v>
      </c>
      <c r="M2331" t="n">
        <v>0</v>
      </c>
      <c r="N2331">
        <f>VLOOKUP(J2331,Products!$A$2:$C$49,3,FALSE)</f>
        <v/>
      </c>
      <c r="O2331">
        <f>K2331*L2331-M2331</f>
        <v/>
      </c>
      <c r="P2331">
        <f>TEXT(B2331,"yyyy-mm")</f>
        <v/>
      </c>
      <c r="Q2331">
        <f>IF(O2331&gt;=3000,"Large","Small")</f>
        <v/>
      </c>
      <c r="R2331">
        <f>INDEX(Products!$F$2:$F$49,MATCH(J2331,Products!$A$2:$A$49,0))</f>
        <v/>
      </c>
      <c r="S2331">
        <f>WEEKDAY(B2331,2)</f>
        <v/>
      </c>
    </row>
    <row r="2332">
      <c r="A2332" t="n">
        <v>510530</v>
      </c>
      <c r="B2332" s="6" t="n">
        <v>45962</v>
      </c>
      <c r="C2332" t="n">
        <v>17071</v>
      </c>
      <c r="D2332" t="inlineStr">
        <is>
          <t>Kochi</t>
        </is>
      </c>
      <c r="E2332" t="inlineStr">
        <is>
          <t>South</t>
        </is>
      </c>
      <c r="F2332" t="inlineStr">
        <is>
          <t>Paid Social</t>
        </is>
      </c>
      <c r="G2332" t="inlineStr">
        <is>
          <t>Mobile App</t>
        </is>
      </c>
      <c r="H2332" t="inlineStr">
        <is>
          <t>UPI</t>
        </is>
      </c>
      <c r="I2332" t="inlineStr">
        <is>
          <t>Delivered</t>
        </is>
      </c>
      <c r="J2332" t="n">
        <v>128</v>
      </c>
      <c r="K2332" t="n">
        <v>1</v>
      </c>
      <c r="L2332" t="n">
        <v>1049</v>
      </c>
      <c r="M2332" t="n">
        <v>0</v>
      </c>
      <c r="N2332">
        <f>VLOOKUP(J2332,Products!$A$2:$C$49,3,FALSE)</f>
        <v/>
      </c>
      <c r="O2332">
        <f>K2332*L2332-M2332</f>
        <v/>
      </c>
      <c r="P2332">
        <f>TEXT(B2332,"yyyy-mm")</f>
        <v/>
      </c>
      <c r="Q2332">
        <f>IF(O2332&gt;=3000,"Large","Small")</f>
        <v/>
      </c>
      <c r="R2332">
        <f>INDEX(Products!$F$2:$F$49,MATCH(J2332,Products!$A$2:$A$49,0))</f>
        <v/>
      </c>
      <c r="S2332">
        <f>WEEKDAY(B2332,2)</f>
        <v/>
      </c>
    </row>
    <row r="2333">
      <c r="A2333" t="n">
        <v>510530</v>
      </c>
      <c r="B2333" s="6" t="n">
        <v>45962</v>
      </c>
      <c r="C2333" t="n">
        <v>17071</v>
      </c>
      <c r="D2333" t="inlineStr">
        <is>
          <t>Kochi</t>
        </is>
      </c>
      <c r="E2333" t="inlineStr">
        <is>
          <t>South</t>
        </is>
      </c>
      <c r="F2333" t="inlineStr">
        <is>
          <t>Paid Social</t>
        </is>
      </c>
      <c r="G2333" t="inlineStr">
        <is>
          <t>Mobile App</t>
        </is>
      </c>
      <c r="H2333" t="inlineStr">
        <is>
          <t>UPI</t>
        </is>
      </c>
      <c r="I2333" t="inlineStr">
        <is>
          <t>Delivered</t>
        </is>
      </c>
      <c r="J2333" t="n">
        <v>123</v>
      </c>
      <c r="K2333" t="n">
        <v>1</v>
      </c>
      <c r="L2333" t="n">
        <v>3464</v>
      </c>
      <c r="M2333" t="n">
        <v>0</v>
      </c>
      <c r="N2333">
        <f>VLOOKUP(J2333,Products!$A$2:$C$49,3,FALSE)</f>
        <v/>
      </c>
      <c r="O2333">
        <f>K2333*L2333-M2333</f>
        <v/>
      </c>
      <c r="P2333">
        <f>TEXT(B2333,"yyyy-mm")</f>
        <v/>
      </c>
      <c r="Q2333">
        <f>IF(O2333&gt;=3000,"Large","Small")</f>
        <v/>
      </c>
      <c r="R2333">
        <f>INDEX(Products!$F$2:$F$49,MATCH(J2333,Products!$A$2:$A$49,0))</f>
        <v/>
      </c>
      <c r="S2333">
        <f>WEEKDAY(B2333,2)</f>
        <v/>
      </c>
    </row>
    <row r="2334">
      <c r="A2334" t="n">
        <v>510531</v>
      </c>
      <c r="B2334" s="6" t="n">
        <v>45962</v>
      </c>
      <c r="C2334" t="n">
        <v>17134</v>
      </c>
      <c r="D2334" t="inlineStr">
        <is>
          <t>Delhi</t>
        </is>
      </c>
      <c r="E2334" t="inlineStr">
        <is>
          <t>North</t>
        </is>
      </c>
      <c r="F2334" t="inlineStr">
        <is>
          <t>Affiliate</t>
        </is>
      </c>
      <c r="G2334" t="inlineStr">
        <is>
          <t>Mobile App</t>
        </is>
      </c>
      <c r="H2334" t="inlineStr">
        <is>
          <t>Credit Card</t>
        </is>
      </c>
      <c r="I2334" t="inlineStr">
        <is>
          <t>Delivered</t>
        </is>
      </c>
      <c r="J2334" t="n">
        <v>111</v>
      </c>
      <c r="K2334" t="n">
        <v>1</v>
      </c>
      <c r="L2334" t="n">
        <v>524</v>
      </c>
      <c r="M2334" t="n">
        <v>78.59999999999999</v>
      </c>
      <c r="N2334">
        <f>VLOOKUP(J2334,Products!$A$2:$C$49,3,FALSE)</f>
        <v/>
      </c>
      <c r="O2334">
        <f>K2334*L2334-M2334</f>
        <v/>
      </c>
      <c r="P2334">
        <f>TEXT(B2334,"yyyy-mm")</f>
        <v/>
      </c>
      <c r="Q2334">
        <f>IF(O2334&gt;=3000,"Large","Small")</f>
        <v/>
      </c>
      <c r="R2334">
        <f>INDEX(Products!$F$2:$F$49,MATCH(J2334,Products!$A$2:$A$49,0))</f>
        <v/>
      </c>
      <c r="S2334">
        <f>WEEKDAY(B2334,2)</f>
        <v/>
      </c>
    </row>
    <row r="2335">
      <c r="A2335" t="n">
        <v>510531</v>
      </c>
      <c r="B2335" s="6" t="n">
        <v>45962</v>
      </c>
      <c r="C2335" t="n">
        <v>17134</v>
      </c>
      <c r="D2335" t="inlineStr">
        <is>
          <t>Delhi</t>
        </is>
      </c>
      <c r="E2335" t="inlineStr">
        <is>
          <t>North</t>
        </is>
      </c>
      <c r="F2335" t="inlineStr">
        <is>
          <t>Affiliate</t>
        </is>
      </c>
      <c r="G2335" t="inlineStr">
        <is>
          <t>Mobile App</t>
        </is>
      </c>
      <c r="H2335" t="inlineStr">
        <is>
          <t>Credit Card</t>
        </is>
      </c>
      <c r="I2335" t="inlineStr">
        <is>
          <t>Delivered</t>
        </is>
      </c>
      <c r="J2335" t="n">
        <v>122</v>
      </c>
      <c r="K2335" t="n">
        <v>1</v>
      </c>
      <c r="L2335" t="n">
        <v>1994</v>
      </c>
      <c r="M2335" t="n">
        <v>299.1</v>
      </c>
      <c r="N2335">
        <f>VLOOKUP(J2335,Products!$A$2:$C$49,3,FALSE)</f>
        <v/>
      </c>
      <c r="O2335">
        <f>K2335*L2335-M2335</f>
        <v/>
      </c>
      <c r="P2335">
        <f>TEXT(B2335,"yyyy-mm")</f>
        <v/>
      </c>
      <c r="Q2335">
        <f>IF(O2335&gt;=3000,"Large","Small")</f>
        <v/>
      </c>
      <c r="R2335">
        <f>INDEX(Products!$F$2:$F$49,MATCH(J2335,Products!$A$2:$A$49,0))</f>
        <v/>
      </c>
      <c r="S2335">
        <f>WEEKDAY(B2335,2)</f>
        <v/>
      </c>
    </row>
    <row r="2336">
      <c r="A2336" t="n">
        <v>510532</v>
      </c>
      <c r="B2336" s="6" t="n">
        <v>45962</v>
      </c>
      <c r="C2336" t="n">
        <v>17068</v>
      </c>
      <c r="D2336" t="inlineStr">
        <is>
          <t>Bengaluru</t>
        </is>
      </c>
      <c r="E2336" t="inlineStr">
        <is>
          <t>South</t>
        </is>
      </c>
      <c r="F2336" t="inlineStr">
        <is>
          <t>Paid Social</t>
        </is>
      </c>
      <c r="G2336" t="inlineStr">
        <is>
          <t>Mobile App</t>
        </is>
      </c>
      <c r="H2336" t="inlineStr">
        <is>
          <t>UPI</t>
        </is>
      </c>
      <c r="I2336" t="inlineStr">
        <is>
          <t>Cancelled</t>
        </is>
      </c>
      <c r="J2336" t="n">
        <v>127</v>
      </c>
      <c r="K2336" t="n">
        <v>1</v>
      </c>
      <c r="L2336" t="n">
        <v>681</v>
      </c>
      <c r="M2336" t="n">
        <v>102.15</v>
      </c>
      <c r="N2336">
        <f>VLOOKUP(J2336,Products!$A$2:$C$49,3,FALSE)</f>
        <v/>
      </c>
      <c r="O2336">
        <f>K2336*L2336-M2336</f>
        <v/>
      </c>
      <c r="P2336">
        <f>TEXT(B2336,"yyyy-mm")</f>
        <v/>
      </c>
      <c r="Q2336">
        <f>IF(O2336&gt;=3000,"Large","Small")</f>
        <v/>
      </c>
      <c r="R2336">
        <f>INDEX(Products!$F$2:$F$49,MATCH(J2336,Products!$A$2:$A$49,0))</f>
        <v/>
      </c>
      <c r="S2336">
        <f>WEEKDAY(B2336,2)</f>
        <v/>
      </c>
    </row>
    <row r="2337">
      <c r="A2337" t="n">
        <v>510533</v>
      </c>
      <c r="B2337" s="6" t="n">
        <v>45962</v>
      </c>
      <c r="C2337" t="n">
        <v>17131</v>
      </c>
      <c r="D2337" t="inlineStr">
        <is>
          <t>Chennai</t>
        </is>
      </c>
      <c r="E2337" t="inlineStr">
        <is>
          <t>South</t>
        </is>
      </c>
      <c r="F2337" t="inlineStr">
        <is>
          <t>Organic Search</t>
        </is>
      </c>
      <c r="G2337" t="inlineStr">
        <is>
          <t>Mobile App</t>
        </is>
      </c>
      <c r="H2337" t="inlineStr">
        <is>
          <t>Credit Card</t>
        </is>
      </c>
      <c r="I2337" t="inlineStr">
        <is>
          <t>Returned</t>
        </is>
      </c>
      <c r="J2337" t="n">
        <v>120</v>
      </c>
      <c r="K2337" t="n">
        <v>2</v>
      </c>
      <c r="L2337" t="n">
        <v>734</v>
      </c>
      <c r="M2337" t="n">
        <v>220.2</v>
      </c>
      <c r="N2337">
        <f>VLOOKUP(J2337,Products!$A$2:$C$49,3,FALSE)</f>
        <v/>
      </c>
      <c r="O2337">
        <f>K2337*L2337-M2337</f>
        <v/>
      </c>
      <c r="P2337">
        <f>TEXT(B2337,"yyyy-mm")</f>
        <v/>
      </c>
      <c r="Q2337">
        <f>IF(O2337&gt;=3000,"Large","Small")</f>
        <v/>
      </c>
      <c r="R2337">
        <f>INDEX(Products!$F$2:$F$49,MATCH(J2337,Products!$A$2:$A$49,0))</f>
        <v/>
      </c>
      <c r="S2337">
        <f>WEEKDAY(B2337,2)</f>
        <v/>
      </c>
    </row>
    <row r="2338">
      <c r="A2338" t="n">
        <v>510534</v>
      </c>
      <c r="B2338" s="6" t="n">
        <v>45962</v>
      </c>
      <c r="C2338" t="n">
        <v>16826</v>
      </c>
      <c r="D2338" t="inlineStr">
        <is>
          <t>Mumbai</t>
        </is>
      </c>
      <c r="E2338" t="inlineStr">
        <is>
          <t>West</t>
        </is>
      </c>
      <c r="F2338" t="inlineStr">
        <is>
          <t>Organic Search</t>
        </is>
      </c>
      <c r="G2338" t="inlineStr">
        <is>
          <t>Mobile Web</t>
        </is>
      </c>
      <c r="H2338" t="inlineStr">
        <is>
          <t>Credit Card</t>
        </is>
      </c>
      <c r="I2338" t="inlineStr">
        <is>
          <t>Delivered</t>
        </is>
      </c>
      <c r="J2338" t="n">
        <v>118</v>
      </c>
      <c r="K2338" t="n">
        <v>1</v>
      </c>
      <c r="L2338" t="n">
        <v>944</v>
      </c>
      <c r="M2338" t="n">
        <v>47.2</v>
      </c>
      <c r="N2338">
        <f>VLOOKUP(J2338,Products!$A$2:$C$49,3,FALSE)</f>
        <v/>
      </c>
      <c r="O2338">
        <f>K2338*L2338-M2338</f>
        <v/>
      </c>
      <c r="P2338">
        <f>TEXT(B2338,"yyyy-mm")</f>
        <v/>
      </c>
      <c r="Q2338">
        <f>IF(O2338&gt;=3000,"Large","Small")</f>
        <v/>
      </c>
      <c r="R2338">
        <f>INDEX(Products!$F$2:$F$49,MATCH(J2338,Products!$A$2:$A$49,0))</f>
        <v/>
      </c>
      <c r="S2338">
        <f>WEEKDAY(B2338,2)</f>
        <v/>
      </c>
    </row>
    <row r="2339">
      <c r="A2339" t="n">
        <v>510535</v>
      </c>
      <c r="B2339" s="6" t="n">
        <v>45962</v>
      </c>
      <c r="C2339" t="n">
        <v>17116</v>
      </c>
      <c r="D2339" t="inlineStr">
        <is>
          <t>Delhi</t>
        </is>
      </c>
      <c r="E2339" t="inlineStr">
        <is>
          <t>North</t>
        </is>
      </c>
      <c r="F2339" t="inlineStr">
        <is>
          <t>Referral</t>
        </is>
      </c>
      <c r="G2339" t="inlineStr">
        <is>
          <t>Mobile Web</t>
        </is>
      </c>
      <c r="H2339" t="inlineStr">
        <is>
          <t>UPI</t>
        </is>
      </c>
      <c r="I2339" t="inlineStr">
        <is>
          <t>Delivered</t>
        </is>
      </c>
      <c r="J2339" t="n">
        <v>129</v>
      </c>
      <c r="K2339" t="n">
        <v>3</v>
      </c>
      <c r="L2339" t="n">
        <v>576</v>
      </c>
      <c r="M2339" t="n">
        <v>259.2</v>
      </c>
      <c r="N2339">
        <f>VLOOKUP(J2339,Products!$A$2:$C$49,3,FALSE)</f>
        <v/>
      </c>
      <c r="O2339">
        <f>K2339*L2339-M2339</f>
        <v/>
      </c>
      <c r="P2339">
        <f>TEXT(B2339,"yyyy-mm")</f>
        <v/>
      </c>
      <c r="Q2339">
        <f>IF(O2339&gt;=3000,"Large","Small")</f>
        <v/>
      </c>
      <c r="R2339">
        <f>INDEX(Products!$F$2:$F$49,MATCH(J2339,Products!$A$2:$A$49,0))</f>
        <v/>
      </c>
      <c r="S2339">
        <f>WEEKDAY(B2339,2)</f>
        <v/>
      </c>
    </row>
    <row r="2340">
      <c r="A2340" t="n">
        <v>510535</v>
      </c>
      <c r="B2340" s="6" t="n">
        <v>45962</v>
      </c>
      <c r="C2340" t="n">
        <v>17116</v>
      </c>
      <c r="D2340" t="inlineStr">
        <is>
          <t>Delhi</t>
        </is>
      </c>
      <c r="E2340" t="inlineStr">
        <is>
          <t>North</t>
        </is>
      </c>
      <c r="F2340" t="inlineStr">
        <is>
          <t>Referral</t>
        </is>
      </c>
      <c r="G2340" t="inlineStr">
        <is>
          <t>Mobile Web</t>
        </is>
      </c>
      <c r="H2340" t="inlineStr">
        <is>
          <t>UPI</t>
        </is>
      </c>
      <c r="I2340" t="inlineStr">
        <is>
          <t>Delivered</t>
        </is>
      </c>
      <c r="J2340" t="n">
        <v>107</v>
      </c>
      <c r="K2340" t="n">
        <v>1</v>
      </c>
      <c r="L2340" t="n">
        <v>1259</v>
      </c>
      <c r="M2340" t="n">
        <v>188.85</v>
      </c>
      <c r="N2340">
        <f>VLOOKUP(J2340,Products!$A$2:$C$49,3,FALSE)</f>
        <v/>
      </c>
      <c r="O2340">
        <f>K2340*L2340-M2340</f>
        <v/>
      </c>
      <c r="P2340">
        <f>TEXT(B2340,"yyyy-mm")</f>
        <v/>
      </c>
      <c r="Q2340">
        <f>IF(O2340&gt;=3000,"Large","Small")</f>
        <v/>
      </c>
      <c r="R2340">
        <f>INDEX(Products!$F$2:$F$49,MATCH(J2340,Products!$A$2:$A$49,0))</f>
        <v/>
      </c>
      <c r="S2340">
        <f>WEEKDAY(B2340,2)</f>
        <v/>
      </c>
    </row>
    <row r="2341">
      <c r="A2341" t="n">
        <v>510536</v>
      </c>
      <c r="B2341" s="6" t="n">
        <v>45962</v>
      </c>
      <c r="C2341" t="n">
        <v>16596</v>
      </c>
      <c r="D2341" t="inlineStr">
        <is>
          <t>Pune</t>
        </is>
      </c>
      <c r="E2341" t="inlineStr">
        <is>
          <t>West</t>
        </is>
      </c>
      <c r="F2341" t="inlineStr">
        <is>
          <t>Paid Search</t>
        </is>
      </c>
      <c r="G2341" t="inlineStr">
        <is>
          <t>Mobile App</t>
        </is>
      </c>
      <c r="H2341" t="inlineStr">
        <is>
          <t>Cash on Delivery</t>
        </is>
      </c>
      <c r="I2341" t="inlineStr">
        <is>
          <t>Delivered</t>
        </is>
      </c>
      <c r="J2341" t="n">
        <v>125</v>
      </c>
      <c r="K2341" t="n">
        <v>1</v>
      </c>
      <c r="L2341" t="n">
        <v>1364</v>
      </c>
      <c r="M2341" t="n">
        <v>0</v>
      </c>
      <c r="N2341">
        <f>VLOOKUP(J2341,Products!$A$2:$C$49,3,FALSE)</f>
        <v/>
      </c>
      <c r="O2341">
        <f>K2341*L2341-M2341</f>
        <v/>
      </c>
      <c r="P2341">
        <f>TEXT(B2341,"yyyy-mm")</f>
        <v/>
      </c>
      <c r="Q2341">
        <f>IF(O2341&gt;=3000,"Large","Small")</f>
        <v/>
      </c>
      <c r="R2341">
        <f>INDEX(Products!$F$2:$F$49,MATCH(J2341,Products!$A$2:$A$49,0))</f>
        <v/>
      </c>
      <c r="S2341">
        <f>WEEKDAY(B2341,2)</f>
        <v/>
      </c>
    </row>
    <row r="2342">
      <c r="A2342" t="n">
        <v>510536</v>
      </c>
      <c r="B2342" s="6" t="n">
        <v>45962</v>
      </c>
      <c r="C2342" t="n">
        <v>16596</v>
      </c>
      <c r="D2342" t="inlineStr">
        <is>
          <t>Pune</t>
        </is>
      </c>
      <c r="E2342" t="inlineStr">
        <is>
          <t>West</t>
        </is>
      </c>
      <c r="F2342" t="inlineStr">
        <is>
          <t>Paid Search</t>
        </is>
      </c>
      <c r="G2342" t="inlineStr">
        <is>
          <t>Mobile App</t>
        </is>
      </c>
      <c r="H2342" t="inlineStr">
        <is>
          <t>Cash on Delivery</t>
        </is>
      </c>
      <c r="I2342" t="inlineStr">
        <is>
          <t>Delivered</t>
        </is>
      </c>
      <c r="J2342" t="n">
        <v>131</v>
      </c>
      <c r="K2342" t="n">
        <v>1</v>
      </c>
      <c r="L2342" t="n">
        <v>314</v>
      </c>
      <c r="M2342" t="n">
        <v>0</v>
      </c>
      <c r="N2342">
        <f>VLOOKUP(J2342,Products!$A$2:$C$49,3,FALSE)</f>
        <v/>
      </c>
      <c r="O2342">
        <f>K2342*L2342-M2342</f>
        <v/>
      </c>
      <c r="P2342">
        <f>TEXT(B2342,"yyyy-mm")</f>
        <v/>
      </c>
      <c r="Q2342">
        <f>IF(O2342&gt;=3000,"Large","Small")</f>
        <v/>
      </c>
      <c r="R2342">
        <f>INDEX(Products!$F$2:$F$49,MATCH(J2342,Products!$A$2:$A$49,0))</f>
        <v/>
      </c>
      <c r="S2342">
        <f>WEEKDAY(B2342,2)</f>
        <v/>
      </c>
    </row>
    <row r="2343">
      <c r="A2343" t="n">
        <v>510536</v>
      </c>
      <c r="B2343" s="6" t="n">
        <v>45962</v>
      </c>
      <c r="C2343" t="n">
        <v>16596</v>
      </c>
      <c r="D2343" t="inlineStr">
        <is>
          <t>Pune</t>
        </is>
      </c>
      <c r="E2343" t="inlineStr">
        <is>
          <t>West</t>
        </is>
      </c>
      <c r="F2343" t="inlineStr">
        <is>
          <t>Paid Search</t>
        </is>
      </c>
      <c r="G2343" t="inlineStr">
        <is>
          <t>Mobile App</t>
        </is>
      </c>
      <c r="H2343" t="inlineStr">
        <is>
          <t>Cash on Delivery</t>
        </is>
      </c>
      <c r="I2343" t="inlineStr">
        <is>
          <t>Delivered</t>
        </is>
      </c>
      <c r="J2343" t="n">
        <v>118</v>
      </c>
      <c r="K2343" t="n">
        <v>1</v>
      </c>
      <c r="L2343" t="n">
        <v>944</v>
      </c>
      <c r="M2343" t="n">
        <v>0</v>
      </c>
      <c r="N2343">
        <f>VLOOKUP(J2343,Products!$A$2:$C$49,3,FALSE)</f>
        <v/>
      </c>
      <c r="O2343">
        <f>K2343*L2343-M2343</f>
        <v/>
      </c>
      <c r="P2343">
        <f>TEXT(B2343,"yyyy-mm")</f>
        <v/>
      </c>
      <c r="Q2343">
        <f>IF(O2343&gt;=3000,"Large","Small")</f>
        <v/>
      </c>
      <c r="R2343">
        <f>INDEX(Products!$F$2:$F$49,MATCH(J2343,Products!$A$2:$A$49,0))</f>
        <v/>
      </c>
      <c r="S2343">
        <f>WEEKDAY(B2343,2)</f>
        <v/>
      </c>
    </row>
    <row r="2344">
      <c r="A2344" t="n">
        <v>510537</v>
      </c>
      <c r="B2344" s="6" t="n">
        <v>45962</v>
      </c>
      <c r="C2344" t="n">
        <v>16695</v>
      </c>
      <c r="D2344" t="inlineStr">
        <is>
          <t>Mumbai</t>
        </is>
      </c>
      <c r="E2344" t="inlineStr">
        <is>
          <t>West</t>
        </is>
      </c>
      <c r="F2344" t="inlineStr">
        <is>
          <t>Referral</t>
        </is>
      </c>
      <c r="G2344" t="inlineStr">
        <is>
          <t>Desktop</t>
        </is>
      </c>
      <c r="H2344" t="inlineStr">
        <is>
          <t>Credit Card</t>
        </is>
      </c>
      <c r="I2344" t="inlineStr">
        <is>
          <t>Delivered</t>
        </is>
      </c>
      <c r="J2344" t="n">
        <v>122</v>
      </c>
      <c r="K2344" t="n">
        <v>3</v>
      </c>
      <c r="L2344" t="n">
        <v>1994</v>
      </c>
      <c r="M2344" t="n">
        <v>0</v>
      </c>
      <c r="N2344">
        <f>VLOOKUP(J2344,Products!$A$2:$C$49,3,FALSE)</f>
        <v/>
      </c>
      <c r="O2344">
        <f>K2344*L2344-M2344</f>
        <v/>
      </c>
      <c r="P2344">
        <f>TEXT(B2344,"yyyy-mm")</f>
        <v/>
      </c>
      <c r="Q2344">
        <f>IF(O2344&gt;=3000,"Large","Small")</f>
        <v/>
      </c>
      <c r="R2344">
        <f>INDEX(Products!$F$2:$F$49,MATCH(J2344,Products!$A$2:$A$49,0))</f>
        <v/>
      </c>
      <c r="S2344">
        <f>WEEKDAY(B2344,2)</f>
        <v/>
      </c>
    </row>
    <row r="2345">
      <c r="A2345" t="n">
        <v>510538</v>
      </c>
      <c r="B2345" s="6" t="n">
        <v>45962</v>
      </c>
      <c r="C2345" t="n">
        <v>15626</v>
      </c>
      <c r="D2345" t="inlineStr">
        <is>
          <t>Hyderabad</t>
        </is>
      </c>
      <c r="E2345" t="inlineStr">
        <is>
          <t>South</t>
        </is>
      </c>
      <c r="F2345" t="inlineStr">
        <is>
          <t>Affiliate</t>
        </is>
      </c>
      <c r="G2345" t="inlineStr">
        <is>
          <t>Mobile Web</t>
        </is>
      </c>
      <c r="H2345" t="inlineStr">
        <is>
          <t>UPI</t>
        </is>
      </c>
      <c r="I2345" t="inlineStr">
        <is>
          <t>Returned</t>
        </is>
      </c>
      <c r="J2345" t="n">
        <v>118</v>
      </c>
      <c r="K2345" t="n">
        <v>1</v>
      </c>
      <c r="L2345" t="n">
        <v>944</v>
      </c>
      <c r="M2345" t="n">
        <v>0</v>
      </c>
      <c r="N2345">
        <f>VLOOKUP(J2345,Products!$A$2:$C$49,3,FALSE)</f>
        <v/>
      </c>
      <c r="O2345">
        <f>K2345*L2345-M2345</f>
        <v/>
      </c>
      <c r="P2345">
        <f>TEXT(B2345,"yyyy-mm")</f>
        <v/>
      </c>
      <c r="Q2345">
        <f>IF(O2345&gt;=3000,"Large","Small")</f>
        <v/>
      </c>
      <c r="R2345">
        <f>INDEX(Products!$F$2:$F$49,MATCH(J2345,Products!$A$2:$A$49,0))</f>
        <v/>
      </c>
      <c r="S2345">
        <f>WEEKDAY(B2345,2)</f>
        <v/>
      </c>
    </row>
    <row r="2346">
      <c r="A2346" t="n">
        <v>510539</v>
      </c>
      <c r="B2346" s="6" t="n">
        <v>45962</v>
      </c>
      <c r="C2346" t="n">
        <v>17061</v>
      </c>
      <c r="D2346" t="inlineStr">
        <is>
          <t>Gurugram</t>
        </is>
      </c>
      <c r="E2346" t="inlineStr">
        <is>
          <t>North</t>
        </is>
      </c>
      <c r="F2346" t="inlineStr">
        <is>
          <t>Paid Social</t>
        </is>
      </c>
      <c r="G2346" t="inlineStr">
        <is>
          <t>Mobile Web</t>
        </is>
      </c>
      <c r="H2346" t="inlineStr">
        <is>
          <t>Cash on Delivery</t>
        </is>
      </c>
      <c r="I2346" t="inlineStr">
        <is>
          <t>Delivered</t>
        </is>
      </c>
      <c r="J2346" t="n">
        <v>109</v>
      </c>
      <c r="K2346" t="n">
        <v>1</v>
      </c>
      <c r="L2346" t="n">
        <v>4199</v>
      </c>
      <c r="M2346" t="n">
        <v>629.85</v>
      </c>
      <c r="N2346">
        <f>VLOOKUP(J2346,Products!$A$2:$C$49,3,FALSE)</f>
        <v/>
      </c>
      <c r="O2346">
        <f>K2346*L2346-M2346</f>
        <v/>
      </c>
      <c r="P2346">
        <f>TEXT(B2346,"yyyy-mm")</f>
        <v/>
      </c>
      <c r="Q2346">
        <f>IF(O2346&gt;=3000,"Large","Small")</f>
        <v/>
      </c>
      <c r="R2346">
        <f>INDEX(Products!$F$2:$F$49,MATCH(J2346,Products!$A$2:$A$49,0))</f>
        <v/>
      </c>
      <c r="S2346">
        <f>WEEKDAY(B2346,2)</f>
        <v/>
      </c>
    </row>
    <row r="2347">
      <c r="A2347" t="n">
        <v>510540</v>
      </c>
      <c r="B2347" s="6" t="n">
        <v>45962</v>
      </c>
      <c r="C2347" t="n">
        <v>17107</v>
      </c>
      <c r="D2347" t="inlineStr">
        <is>
          <t>Delhi</t>
        </is>
      </c>
      <c r="E2347" t="inlineStr">
        <is>
          <t>North</t>
        </is>
      </c>
      <c r="F2347" t="inlineStr">
        <is>
          <t>Affiliate</t>
        </is>
      </c>
      <c r="G2347" t="inlineStr">
        <is>
          <t>Desktop</t>
        </is>
      </c>
      <c r="H2347" t="inlineStr">
        <is>
          <t>UPI</t>
        </is>
      </c>
      <c r="I2347" t="inlineStr">
        <is>
          <t>Delivered</t>
        </is>
      </c>
      <c r="J2347" t="n">
        <v>122</v>
      </c>
      <c r="K2347" t="n">
        <v>1</v>
      </c>
      <c r="L2347" t="n">
        <v>1994</v>
      </c>
      <c r="M2347" t="n">
        <v>299.1</v>
      </c>
      <c r="N2347">
        <f>VLOOKUP(J2347,Products!$A$2:$C$49,3,FALSE)</f>
        <v/>
      </c>
      <c r="O2347">
        <f>K2347*L2347-M2347</f>
        <v/>
      </c>
      <c r="P2347">
        <f>TEXT(B2347,"yyyy-mm")</f>
        <v/>
      </c>
      <c r="Q2347">
        <f>IF(O2347&gt;=3000,"Large","Small")</f>
        <v/>
      </c>
      <c r="R2347">
        <f>INDEX(Products!$F$2:$F$49,MATCH(J2347,Products!$A$2:$A$49,0))</f>
        <v/>
      </c>
      <c r="S2347">
        <f>WEEKDAY(B2347,2)</f>
        <v/>
      </c>
    </row>
    <row r="2348">
      <c r="A2348" t="n">
        <v>510540</v>
      </c>
      <c r="B2348" s="6" t="n">
        <v>45962</v>
      </c>
      <c r="C2348" t="n">
        <v>17107</v>
      </c>
      <c r="D2348" t="inlineStr">
        <is>
          <t>Delhi</t>
        </is>
      </c>
      <c r="E2348" t="inlineStr">
        <is>
          <t>North</t>
        </is>
      </c>
      <c r="F2348" t="inlineStr">
        <is>
          <t>Affiliate</t>
        </is>
      </c>
      <c r="G2348" t="inlineStr">
        <is>
          <t>Desktop</t>
        </is>
      </c>
      <c r="H2348" t="inlineStr">
        <is>
          <t>UPI</t>
        </is>
      </c>
      <c r="I2348" t="inlineStr">
        <is>
          <t>Delivered</t>
        </is>
      </c>
      <c r="J2348" t="n">
        <v>116</v>
      </c>
      <c r="K2348" t="n">
        <v>1</v>
      </c>
      <c r="L2348" t="n">
        <v>2624</v>
      </c>
      <c r="M2348" t="n">
        <v>393.6</v>
      </c>
      <c r="N2348">
        <f>VLOOKUP(J2348,Products!$A$2:$C$49,3,FALSE)</f>
        <v/>
      </c>
      <c r="O2348">
        <f>K2348*L2348-M2348</f>
        <v/>
      </c>
      <c r="P2348">
        <f>TEXT(B2348,"yyyy-mm")</f>
        <v/>
      </c>
      <c r="Q2348">
        <f>IF(O2348&gt;=3000,"Large","Small")</f>
        <v/>
      </c>
      <c r="R2348">
        <f>INDEX(Products!$F$2:$F$49,MATCH(J2348,Products!$A$2:$A$49,0))</f>
        <v/>
      </c>
      <c r="S2348">
        <f>WEEKDAY(B2348,2)</f>
        <v/>
      </c>
    </row>
    <row r="2349">
      <c r="A2349" t="n">
        <v>510541</v>
      </c>
      <c r="B2349" s="6" t="n">
        <v>45962</v>
      </c>
      <c r="C2349" t="n">
        <v>14568</v>
      </c>
      <c r="D2349" t="inlineStr">
        <is>
          <t>Chennai</t>
        </is>
      </c>
      <c r="E2349" t="inlineStr">
        <is>
          <t>South</t>
        </is>
      </c>
      <c r="F2349" t="inlineStr">
        <is>
          <t>Referral</t>
        </is>
      </c>
      <c r="G2349" t="inlineStr">
        <is>
          <t>Mobile App</t>
        </is>
      </c>
      <c r="H2349" t="inlineStr">
        <is>
          <t>UPI</t>
        </is>
      </c>
      <c r="I2349" t="inlineStr">
        <is>
          <t>Delivered</t>
        </is>
      </c>
      <c r="J2349" t="n">
        <v>109</v>
      </c>
      <c r="K2349" t="n">
        <v>1</v>
      </c>
      <c r="L2349" t="n">
        <v>4199</v>
      </c>
      <c r="M2349" t="n">
        <v>0</v>
      </c>
      <c r="N2349">
        <f>VLOOKUP(J2349,Products!$A$2:$C$49,3,FALSE)</f>
        <v/>
      </c>
      <c r="O2349">
        <f>K2349*L2349-M2349</f>
        <v/>
      </c>
      <c r="P2349">
        <f>TEXT(B2349,"yyyy-mm")</f>
        <v/>
      </c>
      <c r="Q2349">
        <f>IF(O2349&gt;=3000,"Large","Small")</f>
        <v/>
      </c>
      <c r="R2349">
        <f>INDEX(Products!$F$2:$F$49,MATCH(J2349,Products!$A$2:$A$49,0))</f>
        <v/>
      </c>
      <c r="S2349">
        <f>WEEKDAY(B2349,2)</f>
        <v/>
      </c>
    </row>
    <row r="2350">
      <c r="A2350" t="n">
        <v>510542</v>
      </c>
      <c r="B2350" s="6" t="n">
        <v>45962</v>
      </c>
      <c r="C2350" t="n">
        <v>17074</v>
      </c>
      <c r="D2350" t="inlineStr">
        <is>
          <t>Hyderabad</t>
        </is>
      </c>
      <c r="E2350" t="inlineStr">
        <is>
          <t>South</t>
        </is>
      </c>
      <c r="F2350" t="inlineStr">
        <is>
          <t>Referral</t>
        </is>
      </c>
      <c r="G2350" t="inlineStr">
        <is>
          <t>Desktop</t>
        </is>
      </c>
      <c r="H2350" t="inlineStr">
        <is>
          <t>Cash on Delivery</t>
        </is>
      </c>
      <c r="I2350" t="inlineStr">
        <is>
          <t>Delivered</t>
        </is>
      </c>
      <c r="J2350" t="n">
        <v>139</v>
      </c>
      <c r="K2350" t="n">
        <v>2</v>
      </c>
      <c r="L2350" t="n">
        <v>366</v>
      </c>
      <c r="M2350" t="n">
        <v>0</v>
      </c>
      <c r="N2350">
        <f>VLOOKUP(J2350,Products!$A$2:$C$49,3,FALSE)</f>
        <v/>
      </c>
      <c r="O2350">
        <f>K2350*L2350-M2350</f>
        <v/>
      </c>
      <c r="P2350">
        <f>TEXT(B2350,"yyyy-mm")</f>
        <v/>
      </c>
      <c r="Q2350">
        <f>IF(O2350&gt;=3000,"Large","Small")</f>
        <v/>
      </c>
      <c r="R2350">
        <f>INDEX(Products!$F$2:$F$49,MATCH(J2350,Products!$A$2:$A$49,0))</f>
        <v/>
      </c>
      <c r="S2350">
        <f>WEEKDAY(B2350,2)</f>
        <v/>
      </c>
    </row>
    <row r="2351">
      <c r="A2351" t="n">
        <v>510543</v>
      </c>
      <c r="B2351" s="6" t="n">
        <v>45962</v>
      </c>
      <c r="C2351" t="n">
        <v>17127</v>
      </c>
      <c r="D2351" t="inlineStr">
        <is>
          <t>Kolkata</t>
        </is>
      </c>
      <c r="E2351" t="inlineStr">
        <is>
          <t>East</t>
        </is>
      </c>
      <c r="F2351" t="inlineStr">
        <is>
          <t>Paid Search</t>
        </is>
      </c>
      <c r="G2351" t="inlineStr">
        <is>
          <t>Mobile App</t>
        </is>
      </c>
      <c r="H2351" t="inlineStr">
        <is>
          <t>Credit Card</t>
        </is>
      </c>
      <c r="I2351" t="inlineStr">
        <is>
          <t>Delivered</t>
        </is>
      </c>
      <c r="J2351" t="n">
        <v>101</v>
      </c>
      <c r="K2351" t="n">
        <v>1</v>
      </c>
      <c r="L2351" t="n">
        <v>2099</v>
      </c>
      <c r="M2351" t="n">
        <v>314.85</v>
      </c>
      <c r="N2351">
        <f>VLOOKUP(J2351,Products!$A$2:$C$49,3,FALSE)</f>
        <v/>
      </c>
      <c r="O2351">
        <f>K2351*L2351-M2351</f>
        <v/>
      </c>
      <c r="P2351">
        <f>TEXT(B2351,"yyyy-mm")</f>
        <v/>
      </c>
      <c r="Q2351">
        <f>IF(O2351&gt;=3000,"Large","Small")</f>
        <v/>
      </c>
      <c r="R2351">
        <f>INDEX(Products!$F$2:$F$49,MATCH(J2351,Products!$A$2:$A$49,0))</f>
        <v/>
      </c>
      <c r="S2351">
        <f>WEEKDAY(B2351,2)</f>
        <v/>
      </c>
    </row>
    <row r="2352">
      <c r="A2352" t="n">
        <v>510543</v>
      </c>
      <c r="B2352" s="6" t="n">
        <v>45962</v>
      </c>
      <c r="C2352" t="n">
        <v>17127</v>
      </c>
      <c r="D2352" t="inlineStr">
        <is>
          <t>Kolkata</t>
        </is>
      </c>
      <c r="E2352" t="inlineStr">
        <is>
          <t>East</t>
        </is>
      </c>
      <c r="F2352" t="inlineStr">
        <is>
          <t>Paid Search</t>
        </is>
      </c>
      <c r="G2352" t="inlineStr">
        <is>
          <t>Mobile App</t>
        </is>
      </c>
      <c r="H2352" t="inlineStr">
        <is>
          <t>Credit Card</t>
        </is>
      </c>
      <c r="I2352" t="inlineStr">
        <is>
          <t>Delivered</t>
        </is>
      </c>
      <c r="J2352" t="n">
        <v>102</v>
      </c>
      <c r="K2352" t="n">
        <v>1</v>
      </c>
      <c r="L2352" t="n">
        <v>3674</v>
      </c>
      <c r="M2352" t="n">
        <v>551.1</v>
      </c>
      <c r="N2352">
        <f>VLOOKUP(J2352,Products!$A$2:$C$49,3,FALSE)</f>
        <v/>
      </c>
      <c r="O2352">
        <f>K2352*L2352-M2352</f>
        <v/>
      </c>
      <c r="P2352">
        <f>TEXT(B2352,"yyyy-mm")</f>
        <v/>
      </c>
      <c r="Q2352">
        <f>IF(O2352&gt;=3000,"Large","Small")</f>
        <v/>
      </c>
      <c r="R2352">
        <f>INDEX(Products!$F$2:$F$49,MATCH(J2352,Products!$A$2:$A$49,0))</f>
        <v/>
      </c>
      <c r="S2352">
        <f>WEEKDAY(B2352,2)</f>
        <v/>
      </c>
    </row>
    <row r="2353">
      <c r="A2353" t="n">
        <v>510544</v>
      </c>
      <c r="B2353" s="6" t="n">
        <v>45963</v>
      </c>
      <c r="C2353" t="n">
        <v>16168</v>
      </c>
      <c r="D2353" t="inlineStr">
        <is>
          <t>Gurugram</t>
        </is>
      </c>
      <c r="E2353" t="inlineStr">
        <is>
          <t>North</t>
        </is>
      </c>
      <c r="F2353" t="inlineStr">
        <is>
          <t>Organic Search</t>
        </is>
      </c>
      <c r="G2353" t="inlineStr">
        <is>
          <t>Mobile Web</t>
        </is>
      </c>
      <c r="H2353" t="inlineStr">
        <is>
          <t>UPI</t>
        </is>
      </c>
      <c r="I2353" t="inlineStr">
        <is>
          <t>Delivered</t>
        </is>
      </c>
      <c r="J2353" t="n">
        <v>130</v>
      </c>
      <c r="K2353" t="n">
        <v>1</v>
      </c>
      <c r="L2353" t="n">
        <v>734</v>
      </c>
      <c r="M2353" t="n">
        <v>0</v>
      </c>
      <c r="N2353">
        <f>VLOOKUP(J2353,Products!$A$2:$C$49,3,FALSE)</f>
        <v/>
      </c>
      <c r="O2353">
        <f>K2353*L2353-M2353</f>
        <v/>
      </c>
      <c r="P2353">
        <f>TEXT(B2353,"yyyy-mm")</f>
        <v/>
      </c>
      <c r="Q2353">
        <f>IF(O2353&gt;=3000,"Large","Small")</f>
        <v/>
      </c>
      <c r="R2353">
        <f>INDEX(Products!$F$2:$F$49,MATCH(J2353,Products!$A$2:$A$49,0))</f>
        <v/>
      </c>
      <c r="S2353">
        <f>WEEKDAY(B2353,2)</f>
        <v/>
      </c>
    </row>
    <row r="2354">
      <c r="A2354" t="n">
        <v>510545</v>
      </c>
      <c r="B2354" s="6" t="n">
        <v>45963</v>
      </c>
      <c r="C2354" t="n">
        <v>17097</v>
      </c>
      <c r="D2354" t="inlineStr">
        <is>
          <t>Delhi</t>
        </is>
      </c>
      <c r="E2354" t="inlineStr">
        <is>
          <t>North</t>
        </is>
      </c>
      <c r="F2354" t="inlineStr">
        <is>
          <t>Paid Search</t>
        </is>
      </c>
      <c r="G2354" t="inlineStr">
        <is>
          <t>Mobile Web</t>
        </is>
      </c>
      <c r="H2354" t="inlineStr">
        <is>
          <t>Cash on Delivery</t>
        </is>
      </c>
      <c r="I2354" t="inlineStr">
        <is>
          <t>Delivered</t>
        </is>
      </c>
      <c r="J2354" t="n">
        <v>105</v>
      </c>
      <c r="K2354" t="n">
        <v>1</v>
      </c>
      <c r="L2354" t="n">
        <v>2414</v>
      </c>
      <c r="M2354" t="n">
        <v>0</v>
      </c>
      <c r="N2354">
        <f>VLOOKUP(J2354,Products!$A$2:$C$49,3,FALSE)</f>
        <v/>
      </c>
      <c r="O2354">
        <f>K2354*L2354-M2354</f>
        <v/>
      </c>
      <c r="P2354">
        <f>TEXT(B2354,"yyyy-mm")</f>
        <v/>
      </c>
      <c r="Q2354">
        <f>IF(O2354&gt;=3000,"Large","Small")</f>
        <v/>
      </c>
      <c r="R2354">
        <f>INDEX(Products!$F$2:$F$49,MATCH(J2354,Products!$A$2:$A$49,0))</f>
        <v/>
      </c>
      <c r="S2354">
        <f>WEEKDAY(B2354,2)</f>
        <v/>
      </c>
    </row>
    <row r="2355">
      <c r="A2355" t="n">
        <v>510546</v>
      </c>
      <c r="B2355" s="6" t="n">
        <v>45963</v>
      </c>
      <c r="C2355" t="n">
        <v>17110</v>
      </c>
      <c r="D2355" t="inlineStr">
        <is>
          <t>Kochi</t>
        </is>
      </c>
      <c r="E2355" t="inlineStr">
        <is>
          <t>South</t>
        </is>
      </c>
      <c r="F2355" t="inlineStr">
        <is>
          <t>Organic Search</t>
        </is>
      </c>
      <c r="G2355" t="inlineStr">
        <is>
          <t>Desktop</t>
        </is>
      </c>
      <c r="H2355" t="inlineStr">
        <is>
          <t>Debit Card</t>
        </is>
      </c>
      <c r="I2355" t="inlineStr">
        <is>
          <t>Delivered</t>
        </is>
      </c>
      <c r="J2355" t="n">
        <v>132</v>
      </c>
      <c r="K2355" t="n">
        <v>1</v>
      </c>
      <c r="L2355" t="n">
        <v>471</v>
      </c>
      <c r="M2355" t="n">
        <v>70.65000000000001</v>
      </c>
      <c r="N2355">
        <f>VLOOKUP(J2355,Products!$A$2:$C$49,3,FALSE)</f>
        <v/>
      </c>
      <c r="O2355">
        <f>K2355*L2355-M2355</f>
        <v/>
      </c>
      <c r="P2355">
        <f>TEXT(B2355,"yyyy-mm")</f>
        <v/>
      </c>
      <c r="Q2355">
        <f>IF(O2355&gt;=3000,"Large","Small")</f>
        <v/>
      </c>
      <c r="R2355">
        <f>INDEX(Products!$F$2:$F$49,MATCH(J2355,Products!$A$2:$A$49,0))</f>
        <v/>
      </c>
      <c r="S2355">
        <f>WEEKDAY(B2355,2)</f>
        <v/>
      </c>
    </row>
    <row r="2356">
      <c r="A2356" t="n">
        <v>510547</v>
      </c>
      <c r="B2356" s="6" t="n">
        <v>45963</v>
      </c>
      <c r="C2356" t="n">
        <v>17128</v>
      </c>
      <c r="D2356" t="inlineStr">
        <is>
          <t>Bengaluru</t>
        </is>
      </c>
      <c r="E2356" t="inlineStr">
        <is>
          <t>South</t>
        </is>
      </c>
      <c r="F2356" t="inlineStr">
        <is>
          <t>Email</t>
        </is>
      </c>
      <c r="G2356" t="inlineStr">
        <is>
          <t>Desktop</t>
        </is>
      </c>
      <c r="H2356" t="inlineStr">
        <is>
          <t>Net Banking</t>
        </is>
      </c>
      <c r="I2356" t="inlineStr">
        <is>
          <t>Delivered</t>
        </is>
      </c>
      <c r="J2356" t="n">
        <v>127</v>
      </c>
      <c r="K2356" t="n">
        <v>1</v>
      </c>
      <c r="L2356" t="n">
        <v>681</v>
      </c>
      <c r="M2356" t="n">
        <v>0</v>
      </c>
      <c r="N2356">
        <f>VLOOKUP(J2356,Products!$A$2:$C$49,3,FALSE)</f>
        <v/>
      </c>
      <c r="O2356">
        <f>K2356*L2356-M2356</f>
        <v/>
      </c>
      <c r="P2356">
        <f>TEXT(B2356,"yyyy-mm")</f>
        <v/>
      </c>
      <c r="Q2356">
        <f>IF(O2356&gt;=3000,"Large","Small")</f>
        <v/>
      </c>
      <c r="R2356">
        <f>INDEX(Products!$F$2:$F$49,MATCH(J2356,Products!$A$2:$A$49,0))</f>
        <v/>
      </c>
      <c r="S2356">
        <f>WEEKDAY(B2356,2)</f>
        <v/>
      </c>
    </row>
    <row r="2357">
      <c r="A2357" t="n">
        <v>510547</v>
      </c>
      <c r="B2357" s="6" t="n">
        <v>45963</v>
      </c>
      <c r="C2357" t="n">
        <v>17128</v>
      </c>
      <c r="D2357" t="inlineStr">
        <is>
          <t>Bengaluru</t>
        </is>
      </c>
      <c r="E2357" t="inlineStr">
        <is>
          <t>South</t>
        </is>
      </c>
      <c r="F2357" t="inlineStr">
        <is>
          <t>Email</t>
        </is>
      </c>
      <c r="G2357" t="inlineStr">
        <is>
          <t>Desktop</t>
        </is>
      </c>
      <c r="H2357" t="inlineStr">
        <is>
          <t>Net Banking</t>
        </is>
      </c>
      <c r="I2357" t="inlineStr">
        <is>
          <t>Delivered</t>
        </is>
      </c>
      <c r="J2357" t="n">
        <v>102</v>
      </c>
      <c r="K2357" t="n">
        <v>1</v>
      </c>
      <c r="L2357" t="n">
        <v>3674</v>
      </c>
      <c r="M2357" t="n">
        <v>0</v>
      </c>
      <c r="N2357">
        <f>VLOOKUP(J2357,Products!$A$2:$C$49,3,FALSE)</f>
        <v/>
      </c>
      <c r="O2357">
        <f>K2357*L2357-M2357</f>
        <v/>
      </c>
      <c r="P2357">
        <f>TEXT(B2357,"yyyy-mm")</f>
        <v/>
      </c>
      <c r="Q2357">
        <f>IF(O2357&gt;=3000,"Large","Small")</f>
        <v/>
      </c>
      <c r="R2357">
        <f>INDEX(Products!$F$2:$F$49,MATCH(J2357,Products!$A$2:$A$49,0))</f>
        <v/>
      </c>
      <c r="S2357">
        <f>WEEKDAY(B2357,2)</f>
        <v/>
      </c>
    </row>
    <row r="2358">
      <c r="A2358" t="n">
        <v>510547</v>
      </c>
      <c r="B2358" s="6" t="n">
        <v>45963</v>
      </c>
      <c r="C2358" t="n">
        <v>17128</v>
      </c>
      <c r="D2358" t="inlineStr">
        <is>
          <t>Bengaluru</t>
        </is>
      </c>
      <c r="E2358" t="inlineStr">
        <is>
          <t>South</t>
        </is>
      </c>
      <c r="F2358" t="inlineStr">
        <is>
          <t>Email</t>
        </is>
      </c>
      <c r="G2358" t="inlineStr">
        <is>
          <t>Desktop</t>
        </is>
      </c>
      <c r="H2358" t="inlineStr">
        <is>
          <t>Net Banking</t>
        </is>
      </c>
      <c r="I2358" t="inlineStr">
        <is>
          <t>Delivered</t>
        </is>
      </c>
      <c r="J2358" t="n">
        <v>117</v>
      </c>
      <c r="K2358" t="n">
        <v>1</v>
      </c>
      <c r="L2358" t="n">
        <v>3149</v>
      </c>
      <c r="M2358" t="n">
        <v>0</v>
      </c>
      <c r="N2358">
        <f>VLOOKUP(J2358,Products!$A$2:$C$49,3,FALSE)</f>
        <v/>
      </c>
      <c r="O2358">
        <f>K2358*L2358-M2358</f>
        <v/>
      </c>
      <c r="P2358">
        <f>TEXT(B2358,"yyyy-mm")</f>
        <v/>
      </c>
      <c r="Q2358">
        <f>IF(O2358&gt;=3000,"Large","Small")</f>
        <v/>
      </c>
      <c r="R2358">
        <f>INDEX(Products!$F$2:$F$49,MATCH(J2358,Products!$A$2:$A$49,0))</f>
        <v/>
      </c>
      <c r="S2358">
        <f>WEEKDAY(B2358,2)</f>
        <v/>
      </c>
    </row>
    <row r="2359">
      <c r="A2359" t="n">
        <v>510548</v>
      </c>
      <c r="B2359" s="6" t="n">
        <v>45963</v>
      </c>
      <c r="C2359" t="n">
        <v>16227</v>
      </c>
      <c r="D2359" t="inlineStr">
        <is>
          <t>Delhi</t>
        </is>
      </c>
      <c r="E2359" t="inlineStr">
        <is>
          <t>North</t>
        </is>
      </c>
      <c r="F2359" t="inlineStr">
        <is>
          <t>Referral</t>
        </is>
      </c>
      <c r="G2359" t="inlineStr">
        <is>
          <t>Mobile App</t>
        </is>
      </c>
      <c r="H2359" t="inlineStr">
        <is>
          <t>Cash on Delivery</t>
        </is>
      </c>
      <c r="I2359" t="inlineStr">
        <is>
          <t>Delivered</t>
        </is>
      </c>
      <c r="J2359" t="n">
        <v>143</v>
      </c>
      <c r="K2359" t="n">
        <v>1</v>
      </c>
      <c r="L2359" t="n">
        <v>839</v>
      </c>
      <c r="M2359" t="n">
        <v>0</v>
      </c>
      <c r="N2359">
        <f>VLOOKUP(J2359,Products!$A$2:$C$49,3,FALSE)</f>
        <v/>
      </c>
      <c r="O2359">
        <f>K2359*L2359-M2359</f>
        <v/>
      </c>
      <c r="P2359">
        <f>TEXT(B2359,"yyyy-mm")</f>
        <v/>
      </c>
      <c r="Q2359">
        <f>IF(O2359&gt;=3000,"Large","Small")</f>
        <v/>
      </c>
      <c r="R2359">
        <f>INDEX(Products!$F$2:$F$49,MATCH(J2359,Products!$A$2:$A$49,0))</f>
        <v/>
      </c>
      <c r="S2359">
        <f>WEEKDAY(B2359,2)</f>
        <v/>
      </c>
    </row>
    <row r="2360">
      <c r="A2360" t="n">
        <v>510548</v>
      </c>
      <c r="B2360" s="6" t="n">
        <v>45963</v>
      </c>
      <c r="C2360" t="n">
        <v>16227</v>
      </c>
      <c r="D2360" t="inlineStr">
        <is>
          <t>Delhi</t>
        </is>
      </c>
      <c r="E2360" t="inlineStr">
        <is>
          <t>North</t>
        </is>
      </c>
      <c r="F2360" t="inlineStr">
        <is>
          <t>Referral</t>
        </is>
      </c>
      <c r="G2360" t="inlineStr">
        <is>
          <t>Mobile App</t>
        </is>
      </c>
      <c r="H2360" t="inlineStr">
        <is>
          <t>Cash on Delivery</t>
        </is>
      </c>
      <c r="I2360" t="inlineStr">
        <is>
          <t>Delivered</t>
        </is>
      </c>
      <c r="J2360" t="n">
        <v>112</v>
      </c>
      <c r="K2360" t="n">
        <v>1</v>
      </c>
      <c r="L2360" t="n">
        <v>1574</v>
      </c>
      <c r="M2360" t="n">
        <v>0</v>
      </c>
      <c r="N2360">
        <f>VLOOKUP(J2360,Products!$A$2:$C$49,3,FALSE)</f>
        <v/>
      </c>
      <c r="O2360">
        <f>K2360*L2360-M2360</f>
        <v/>
      </c>
      <c r="P2360">
        <f>TEXT(B2360,"yyyy-mm")</f>
        <v/>
      </c>
      <c r="Q2360">
        <f>IF(O2360&gt;=3000,"Large","Small")</f>
        <v/>
      </c>
      <c r="R2360">
        <f>INDEX(Products!$F$2:$F$49,MATCH(J2360,Products!$A$2:$A$49,0))</f>
        <v/>
      </c>
      <c r="S2360">
        <f>WEEKDAY(B2360,2)</f>
        <v/>
      </c>
    </row>
    <row r="2361">
      <c r="A2361" t="n">
        <v>510549</v>
      </c>
      <c r="B2361" s="6" t="n">
        <v>45963</v>
      </c>
      <c r="C2361" t="n">
        <v>15858</v>
      </c>
      <c r="D2361" t="inlineStr">
        <is>
          <t>Gurugram</t>
        </is>
      </c>
      <c r="E2361" t="inlineStr">
        <is>
          <t>North</t>
        </is>
      </c>
      <c r="F2361" t="inlineStr">
        <is>
          <t>Paid Search</t>
        </is>
      </c>
      <c r="G2361" t="inlineStr">
        <is>
          <t>Mobile App</t>
        </is>
      </c>
      <c r="H2361" t="inlineStr">
        <is>
          <t>Cash on Delivery</t>
        </is>
      </c>
      <c r="I2361" t="inlineStr">
        <is>
          <t>Cancelled</t>
        </is>
      </c>
      <c r="J2361" t="n">
        <v>135</v>
      </c>
      <c r="K2361" t="n">
        <v>2</v>
      </c>
      <c r="L2361" t="n">
        <v>1574</v>
      </c>
      <c r="M2361" t="n">
        <v>157.4</v>
      </c>
      <c r="N2361">
        <f>VLOOKUP(J2361,Products!$A$2:$C$49,3,FALSE)</f>
        <v/>
      </c>
      <c r="O2361">
        <f>K2361*L2361-M2361</f>
        <v/>
      </c>
      <c r="P2361">
        <f>TEXT(B2361,"yyyy-mm")</f>
        <v/>
      </c>
      <c r="Q2361">
        <f>IF(O2361&gt;=3000,"Large","Small")</f>
        <v/>
      </c>
      <c r="R2361">
        <f>INDEX(Products!$F$2:$F$49,MATCH(J2361,Products!$A$2:$A$49,0))</f>
        <v/>
      </c>
      <c r="S2361">
        <f>WEEKDAY(B2361,2)</f>
        <v/>
      </c>
    </row>
    <row r="2362">
      <c r="A2362" t="n">
        <v>510550</v>
      </c>
      <c r="B2362" s="6" t="n">
        <v>45963</v>
      </c>
      <c r="C2362" t="n">
        <v>17062</v>
      </c>
      <c r="D2362" t="inlineStr">
        <is>
          <t>Indore</t>
        </is>
      </c>
      <c r="E2362" t="inlineStr">
        <is>
          <t>West</t>
        </is>
      </c>
      <c r="F2362" t="inlineStr">
        <is>
          <t>Paid Search</t>
        </is>
      </c>
      <c r="G2362" t="inlineStr">
        <is>
          <t>Mobile App</t>
        </is>
      </c>
      <c r="H2362" t="inlineStr">
        <is>
          <t>Cash on Delivery</t>
        </is>
      </c>
      <c r="I2362" t="inlineStr">
        <is>
          <t>Delivered</t>
        </is>
      </c>
      <c r="J2362" t="n">
        <v>132</v>
      </c>
      <c r="K2362" t="n">
        <v>1</v>
      </c>
      <c r="L2362" t="n">
        <v>471</v>
      </c>
      <c r="M2362" t="n">
        <v>0</v>
      </c>
      <c r="N2362">
        <f>VLOOKUP(J2362,Products!$A$2:$C$49,3,FALSE)</f>
        <v/>
      </c>
      <c r="O2362">
        <f>K2362*L2362-M2362</f>
        <v/>
      </c>
      <c r="P2362">
        <f>TEXT(B2362,"yyyy-mm")</f>
        <v/>
      </c>
      <c r="Q2362">
        <f>IF(O2362&gt;=3000,"Large","Small")</f>
        <v/>
      </c>
      <c r="R2362">
        <f>INDEX(Products!$F$2:$F$49,MATCH(J2362,Products!$A$2:$A$49,0))</f>
        <v/>
      </c>
      <c r="S2362">
        <f>WEEKDAY(B2362,2)</f>
        <v/>
      </c>
    </row>
    <row r="2363">
      <c r="A2363" t="n">
        <v>510551</v>
      </c>
      <c r="B2363" s="6" t="n">
        <v>45963</v>
      </c>
      <c r="C2363" t="n">
        <v>17113</v>
      </c>
      <c r="D2363" t="inlineStr">
        <is>
          <t>Kochi</t>
        </is>
      </c>
      <c r="E2363" t="inlineStr">
        <is>
          <t>South</t>
        </is>
      </c>
      <c r="F2363" t="inlineStr">
        <is>
          <t>Organic Search</t>
        </is>
      </c>
      <c r="G2363" t="inlineStr">
        <is>
          <t>Mobile App</t>
        </is>
      </c>
      <c r="H2363" t="inlineStr">
        <is>
          <t>Credit Card</t>
        </is>
      </c>
      <c r="I2363" t="inlineStr">
        <is>
          <t>Delivered</t>
        </is>
      </c>
      <c r="J2363" t="n">
        <v>102</v>
      </c>
      <c r="K2363" t="n">
        <v>1</v>
      </c>
      <c r="L2363" t="n">
        <v>3674</v>
      </c>
      <c r="M2363" t="n">
        <v>183.7</v>
      </c>
      <c r="N2363">
        <f>VLOOKUP(J2363,Products!$A$2:$C$49,3,FALSE)</f>
        <v/>
      </c>
      <c r="O2363">
        <f>K2363*L2363-M2363</f>
        <v/>
      </c>
      <c r="P2363">
        <f>TEXT(B2363,"yyyy-mm")</f>
        <v/>
      </c>
      <c r="Q2363">
        <f>IF(O2363&gt;=3000,"Large","Small")</f>
        <v/>
      </c>
      <c r="R2363">
        <f>INDEX(Products!$F$2:$F$49,MATCH(J2363,Products!$A$2:$A$49,0))</f>
        <v/>
      </c>
      <c r="S2363">
        <f>WEEKDAY(B2363,2)</f>
        <v/>
      </c>
    </row>
    <row r="2364">
      <c r="A2364" t="n">
        <v>510551</v>
      </c>
      <c r="B2364" s="6" t="n">
        <v>45963</v>
      </c>
      <c r="C2364" t="n">
        <v>17113</v>
      </c>
      <c r="D2364" t="inlineStr">
        <is>
          <t>Kochi</t>
        </is>
      </c>
      <c r="E2364" t="inlineStr">
        <is>
          <t>South</t>
        </is>
      </c>
      <c r="F2364" t="inlineStr">
        <is>
          <t>Organic Search</t>
        </is>
      </c>
      <c r="G2364" t="inlineStr">
        <is>
          <t>Mobile App</t>
        </is>
      </c>
      <c r="H2364" t="inlineStr">
        <is>
          <t>Credit Card</t>
        </is>
      </c>
      <c r="I2364" t="inlineStr">
        <is>
          <t>Delivered</t>
        </is>
      </c>
      <c r="J2364" t="n">
        <v>127</v>
      </c>
      <c r="K2364" t="n">
        <v>1</v>
      </c>
      <c r="L2364" t="n">
        <v>681</v>
      </c>
      <c r="M2364" t="n">
        <v>34.05</v>
      </c>
      <c r="N2364">
        <f>VLOOKUP(J2364,Products!$A$2:$C$49,3,FALSE)</f>
        <v/>
      </c>
      <c r="O2364">
        <f>K2364*L2364-M2364</f>
        <v/>
      </c>
      <c r="P2364">
        <f>TEXT(B2364,"yyyy-mm")</f>
        <v/>
      </c>
      <c r="Q2364">
        <f>IF(O2364&gt;=3000,"Large","Small")</f>
        <v/>
      </c>
      <c r="R2364">
        <f>INDEX(Products!$F$2:$F$49,MATCH(J2364,Products!$A$2:$A$49,0))</f>
        <v/>
      </c>
      <c r="S2364">
        <f>WEEKDAY(B2364,2)</f>
        <v/>
      </c>
    </row>
    <row r="2365">
      <c r="A2365" t="n">
        <v>510551</v>
      </c>
      <c r="B2365" s="6" t="n">
        <v>45963</v>
      </c>
      <c r="C2365" t="n">
        <v>17113</v>
      </c>
      <c r="D2365" t="inlineStr">
        <is>
          <t>Kochi</t>
        </is>
      </c>
      <c r="E2365" t="inlineStr">
        <is>
          <t>South</t>
        </is>
      </c>
      <c r="F2365" t="inlineStr">
        <is>
          <t>Organic Search</t>
        </is>
      </c>
      <c r="G2365" t="inlineStr">
        <is>
          <t>Mobile App</t>
        </is>
      </c>
      <c r="H2365" t="inlineStr">
        <is>
          <t>Credit Card</t>
        </is>
      </c>
      <c r="I2365" t="inlineStr">
        <is>
          <t>Delivered</t>
        </is>
      </c>
      <c r="J2365" t="n">
        <v>106</v>
      </c>
      <c r="K2365" t="n">
        <v>1</v>
      </c>
      <c r="L2365" t="n">
        <v>1574</v>
      </c>
      <c r="M2365" t="n">
        <v>78.7</v>
      </c>
      <c r="N2365">
        <f>VLOOKUP(J2365,Products!$A$2:$C$49,3,FALSE)</f>
        <v/>
      </c>
      <c r="O2365">
        <f>K2365*L2365-M2365</f>
        <v/>
      </c>
      <c r="P2365">
        <f>TEXT(B2365,"yyyy-mm")</f>
        <v/>
      </c>
      <c r="Q2365">
        <f>IF(O2365&gt;=3000,"Large","Small")</f>
        <v/>
      </c>
      <c r="R2365">
        <f>INDEX(Products!$F$2:$F$49,MATCH(J2365,Products!$A$2:$A$49,0))</f>
        <v/>
      </c>
      <c r="S2365">
        <f>WEEKDAY(B2365,2)</f>
        <v/>
      </c>
    </row>
    <row r="2366">
      <c r="A2366" t="n">
        <v>510552</v>
      </c>
      <c r="B2366" s="6" t="n">
        <v>45963</v>
      </c>
      <c r="C2366" t="n">
        <v>15705</v>
      </c>
      <c r="D2366" t="inlineStr">
        <is>
          <t>Noida</t>
        </is>
      </c>
      <c r="E2366" t="inlineStr">
        <is>
          <t>North</t>
        </is>
      </c>
      <c r="F2366" t="inlineStr">
        <is>
          <t>Referral</t>
        </is>
      </c>
      <c r="G2366" t="inlineStr">
        <is>
          <t>Mobile App</t>
        </is>
      </c>
      <c r="H2366" t="inlineStr">
        <is>
          <t>Cash on Delivery</t>
        </is>
      </c>
      <c r="I2366" t="inlineStr">
        <is>
          <t>Cancelled</t>
        </is>
      </c>
      <c r="J2366" t="n">
        <v>135</v>
      </c>
      <c r="K2366" t="n">
        <v>1</v>
      </c>
      <c r="L2366" t="n">
        <v>1574</v>
      </c>
      <c r="M2366" t="n">
        <v>0</v>
      </c>
      <c r="N2366">
        <f>VLOOKUP(J2366,Products!$A$2:$C$49,3,FALSE)</f>
        <v/>
      </c>
      <c r="O2366">
        <f>K2366*L2366-M2366</f>
        <v/>
      </c>
      <c r="P2366">
        <f>TEXT(B2366,"yyyy-mm")</f>
        <v/>
      </c>
      <c r="Q2366">
        <f>IF(O2366&gt;=3000,"Large","Small")</f>
        <v/>
      </c>
      <c r="R2366">
        <f>INDEX(Products!$F$2:$F$49,MATCH(J2366,Products!$A$2:$A$49,0))</f>
        <v/>
      </c>
      <c r="S2366">
        <f>WEEKDAY(B2366,2)</f>
        <v/>
      </c>
    </row>
    <row r="2367">
      <c r="A2367" t="n">
        <v>510553</v>
      </c>
      <c r="B2367" s="6" t="n">
        <v>45963</v>
      </c>
      <c r="C2367" t="n">
        <v>15405</v>
      </c>
      <c r="D2367" t="inlineStr">
        <is>
          <t>Lucknow</t>
        </is>
      </c>
      <c r="E2367" t="inlineStr">
        <is>
          <t>North</t>
        </is>
      </c>
      <c r="F2367" t="inlineStr">
        <is>
          <t>Organic Search</t>
        </is>
      </c>
      <c r="G2367" t="inlineStr">
        <is>
          <t>Desktop</t>
        </is>
      </c>
      <c r="H2367" t="inlineStr">
        <is>
          <t>UPI</t>
        </is>
      </c>
      <c r="I2367" t="inlineStr">
        <is>
          <t>Delivered</t>
        </is>
      </c>
      <c r="J2367" t="n">
        <v>116</v>
      </c>
      <c r="K2367" t="n">
        <v>3</v>
      </c>
      <c r="L2367" t="n">
        <v>2624</v>
      </c>
      <c r="M2367" t="n">
        <v>0</v>
      </c>
      <c r="N2367">
        <f>VLOOKUP(J2367,Products!$A$2:$C$49,3,FALSE)</f>
        <v/>
      </c>
      <c r="O2367">
        <f>K2367*L2367-M2367</f>
        <v/>
      </c>
      <c r="P2367">
        <f>TEXT(B2367,"yyyy-mm")</f>
        <v/>
      </c>
      <c r="Q2367">
        <f>IF(O2367&gt;=3000,"Large","Small")</f>
        <v/>
      </c>
      <c r="R2367">
        <f>INDEX(Products!$F$2:$F$49,MATCH(J2367,Products!$A$2:$A$49,0))</f>
        <v/>
      </c>
      <c r="S2367">
        <f>WEEKDAY(B2367,2)</f>
        <v/>
      </c>
    </row>
    <row r="2368">
      <c r="A2368" t="n">
        <v>510553</v>
      </c>
      <c r="B2368" s="6" t="n">
        <v>45963</v>
      </c>
      <c r="C2368" t="n">
        <v>15405</v>
      </c>
      <c r="D2368" t="inlineStr">
        <is>
          <t>Lucknow</t>
        </is>
      </c>
      <c r="E2368" t="inlineStr">
        <is>
          <t>North</t>
        </is>
      </c>
      <c r="F2368" t="inlineStr">
        <is>
          <t>Organic Search</t>
        </is>
      </c>
      <c r="G2368" t="inlineStr">
        <is>
          <t>Desktop</t>
        </is>
      </c>
      <c r="H2368" t="inlineStr">
        <is>
          <t>UPI</t>
        </is>
      </c>
      <c r="I2368" t="inlineStr">
        <is>
          <t>Delivered</t>
        </is>
      </c>
      <c r="J2368" t="n">
        <v>113</v>
      </c>
      <c r="K2368" t="n">
        <v>1</v>
      </c>
      <c r="L2368" t="n">
        <v>1364</v>
      </c>
      <c r="M2368" t="n">
        <v>0</v>
      </c>
      <c r="N2368">
        <f>VLOOKUP(J2368,Products!$A$2:$C$49,3,FALSE)</f>
        <v/>
      </c>
      <c r="O2368">
        <f>K2368*L2368-M2368</f>
        <v/>
      </c>
      <c r="P2368">
        <f>TEXT(B2368,"yyyy-mm")</f>
        <v/>
      </c>
      <c r="Q2368">
        <f>IF(O2368&gt;=3000,"Large","Small")</f>
        <v/>
      </c>
      <c r="R2368">
        <f>INDEX(Products!$F$2:$F$49,MATCH(J2368,Products!$A$2:$A$49,0))</f>
        <v/>
      </c>
      <c r="S2368">
        <f>WEEKDAY(B2368,2)</f>
        <v/>
      </c>
    </row>
    <row r="2369">
      <c r="A2369" t="n">
        <v>510553</v>
      </c>
      <c r="B2369" s="6" t="n">
        <v>45963</v>
      </c>
      <c r="C2369" t="n">
        <v>15405</v>
      </c>
      <c r="D2369" t="inlineStr">
        <is>
          <t>Lucknow</t>
        </is>
      </c>
      <c r="E2369" t="inlineStr">
        <is>
          <t>North</t>
        </is>
      </c>
      <c r="F2369" t="inlineStr">
        <is>
          <t>Organic Search</t>
        </is>
      </c>
      <c r="G2369" t="inlineStr">
        <is>
          <t>Desktop</t>
        </is>
      </c>
      <c r="H2369" t="inlineStr">
        <is>
          <t>UPI</t>
        </is>
      </c>
      <c r="I2369" t="inlineStr">
        <is>
          <t>Delivered</t>
        </is>
      </c>
      <c r="J2369" t="n">
        <v>106</v>
      </c>
      <c r="K2369" t="n">
        <v>1</v>
      </c>
      <c r="L2369" t="n">
        <v>1574</v>
      </c>
      <c r="M2369" t="n">
        <v>0</v>
      </c>
      <c r="N2369">
        <f>VLOOKUP(J2369,Products!$A$2:$C$49,3,FALSE)</f>
        <v/>
      </c>
      <c r="O2369">
        <f>K2369*L2369-M2369</f>
        <v/>
      </c>
      <c r="P2369">
        <f>TEXT(B2369,"yyyy-mm")</f>
        <v/>
      </c>
      <c r="Q2369">
        <f>IF(O2369&gt;=3000,"Large","Small")</f>
        <v/>
      </c>
      <c r="R2369">
        <f>INDEX(Products!$F$2:$F$49,MATCH(J2369,Products!$A$2:$A$49,0))</f>
        <v/>
      </c>
      <c r="S2369">
        <f>WEEKDAY(B2369,2)</f>
        <v/>
      </c>
    </row>
    <row r="2370">
      <c r="A2370" t="n">
        <v>510554</v>
      </c>
      <c r="B2370" s="6" t="n">
        <v>45963</v>
      </c>
      <c r="C2370" t="n">
        <v>16375</v>
      </c>
      <c r="D2370" t="inlineStr">
        <is>
          <t>Chennai</t>
        </is>
      </c>
      <c r="E2370" t="inlineStr">
        <is>
          <t>South</t>
        </is>
      </c>
      <c r="F2370" t="inlineStr">
        <is>
          <t>Organic Search</t>
        </is>
      </c>
      <c r="G2370" t="inlineStr">
        <is>
          <t>Mobile App</t>
        </is>
      </c>
      <c r="H2370" t="inlineStr">
        <is>
          <t>Cash on Delivery</t>
        </is>
      </c>
      <c r="I2370" t="inlineStr">
        <is>
          <t>Delivered</t>
        </is>
      </c>
      <c r="J2370" t="n">
        <v>113</v>
      </c>
      <c r="K2370" t="n">
        <v>1</v>
      </c>
      <c r="L2370" t="n">
        <v>1364</v>
      </c>
      <c r="M2370" t="n">
        <v>0</v>
      </c>
      <c r="N2370">
        <f>VLOOKUP(J2370,Products!$A$2:$C$49,3,FALSE)</f>
        <v/>
      </c>
      <c r="O2370">
        <f>K2370*L2370-M2370</f>
        <v/>
      </c>
      <c r="P2370">
        <f>TEXT(B2370,"yyyy-mm")</f>
        <v/>
      </c>
      <c r="Q2370">
        <f>IF(O2370&gt;=3000,"Large","Small")</f>
        <v/>
      </c>
      <c r="R2370">
        <f>INDEX(Products!$F$2:$F$49,MATCH(J2370,Products!$A$2:$A$49,0))</f>
        <v/>
      </c>
      <c r="S2370">
        <f>WEEKDAY(B2370,2)</f>
        <v/>
      </c>
    </row>
    <row r="2371">
      <c r="A2371" t="n">
        <v>510555</v>
      </c>
      <c r="B2371" s="6" t="n">
        <v>45963</v>
      </c>
      <c r="C2371" t="n">
        <v>17150</v>
      </c>
      <c r="D2371" t="inlineStr">
        <is>
          <t>Bengaluru</t>
        </is>
      </c>
      <c r="E2371" t="inlineStr">
        <is>
          <t>South</t>
        </is>
      </c>
      <c r="F2371" t="inlineStr">
        <is>
          <t>Email</t>
        </is>
      </c>
      <c r="G2371" t="inlineStr">
        <is>
          <t>Mobile App</t>
        </is>
      </c>
      <c r="H2371" t="inlineStr">
        <is>
          <t>UPI</t>
        </is>
      </c>
      <c r="I2371" t="inlineStr">
        <is>
          <t>Delivered</t>
        </is>
      </c>
      <c r="J2371" t="n">
        <v>107</v>
      </c>
      <c r="K2371" t="n">
        <v>1</v>
      </c>
      <c r="L2371" t="n">
        <v>1259</v>
      </c>
      <c r="M2371" t="n">
        <v>62.95</v>
      </c>
      <c r="N2371">
        <f>VLOOKUP(J2371,Products!$A$2:$C$49,3,FALSE)</f>
        <v/>
      </c>
      <c r="O2371">
        <f>K2371*L2371-M2371</f>
        <v/>
      </c>
      <c r="P2371">
        <f>TEXT(B2371,"yyyy-mm")</f>
        <v/>
      </c>
      <c r="Q2371">
        <f>IF(O2371&gt;=3000,"Large","Small")</f>
        <v/>
      </c>
      <c r="R2371">
        <f>INDEX(Products!$F$2:$F$49,MATCH(J2371,Products!$A$2:$A$49,0))</f>
        <v/>
      </c>
      <c r="S2371">
        <f>WEEKDAY(B2371,2)</f>
        <v/>
      </c>
    </row>
    <row r="2372">
      <c r="A2372" t="n">
        <v>510556</v>
      </c>
      <c r="B2372" s="6" t="n">
        <v>45963</v>
      </c>
      <c r="C2372" t="n">
        <v>13588</v>
      </c>
      <c r="D2372" t="inlineStr">
        <is>
          <t>Delhi</t>
        </is>
      </c>
      <c r="E2372" t="inlineStr">
        <is>
          <t>North</t>
        </is>
      </c>
      <c r="F2372" t="inlineStr">
        <is>
          <t>Organic Search</t>
        </is>
      </c>
      <c r="G2372" t="inlineStr">
        <is>
          <t>Mobile Web</t>
        </is>
      </c>
      <c r="H2372" t="inlineStr">
        <is>
          <t>UPI</t>
        </is>
      </c>
      <c r="I2372" t="inlineStr">
        <is>
          <t>Delivered</t>
        </is>
      </c>
      <c r="J2372" t="n">
        <v>119</v>
      </c>
      <c r="K2372" t="n">
        <v>2</v>
      </c>
      <c r="L2372" t="n">
        <v>2309</v>
      </c>
      <c r="M2372" t="n">
        <v>0</v>
      </c>
      <c r="N2372">
        <f>VLOOKUP(J2372,Products!$A$2:$C$49,3,FALSE)</f>
        <v/>
      </c>
      <c r="O2372">
        <f>K2372*L2372-M2372</f>
        <v/>
      </c>
      <c r="P2372">
        <f>TEXT(B2372,"yyyy-mm")</f>
        <v/>
      </c>
      <c r="Q2372">
        <f>IF(O2372&gt;=3000,"Large","Small")</f>
        <v/>
      </c>
      <c r="R2372">
        <f>INDEX(Products!$F$2:$F$49,MATCH(J2372,Products!$A$2:$A$49,0))</f>
        <v/>
      </c>
      <c r="S2372">
        <f>WEEKDAY(B2372,2)</f>
        <v/>
      </c>
    </row>
    <row r="2373">
      <c r="A2373" t="n">
        <v>510556</v>
      </c>
      <c r="B2373" s="6" t="n">
        <v>45963</v>
      </c>
      <c r="C2373" t="n">
        <v>13588</v>
      </c>
      <c r="D2373" t="inlineStr">
        <is>
          <t>Delhi</t>
        </is>
      </c>
      <c r="E2373" t="inlineStr">
        <is>
          <t>North</t>
        </is>
      </c>
      <c r="F2373" t="inlineStr">
        <is>
          <t>Organic Search</t>
        </is>
      </c>
      <c r="G2373" t="inlineStr">
        <is>
          <t>Mobile Web</t>
        </is>
      </c>
      <c r="H2373" t="inlineStr">
        <is>
          <t>UPI</t>
        </is>
      </c>
      <c r="I2373" t="inlineStr">
        <is>
          <t>Delivered</t>
        </is>
      </c>
      <c r="J2373" t="n">
        <v>103</v>
      </c>
      <c r="K2373" t="n">
        <v>1</v>
      </c>
      <c r="L2373" t="n">
        <v>2624</v>
      </c>
      <c r="M2373" t="n">
        <v>0</v>
      </c>
      <c r="N2373">
        <f>VLOOKUP(J2373,Products!$A$2:$C$49,3,FALSE)</f>
        <v/>
      </c>
      <c r="O2373">
        <f>K2373*L2373-M2373</f>
        <v/>
      </c>
      <c r="P2373">
        <f>TEXT(B2373,"yyyy-mm")</f>
        <v/>
      </c>
      <c r="Q2373">
        <f>IF(O2373&gt;=3000,"Large","Small")</f>
        <v/>
      </c>
      <c r="R2373">
        <f>INDEX(Products!$F$2:$F$49,MATCH(J2373,Products!$A$2:$A$49,0))</f>
        <v/>
      </c>
      <c r="S2373">
        <f>WEEKDAY(B2373,2)</f>
        <v/>
      </c>
    </row>
    <row r="2374">
      <c r="A2374" t="n">
        <v>510557</v>
      </c>
      <c r="B2374" s="6" t="n">
        <v>45963</v>
      </c>
      <c r="C2374" t="n">
        <v>17063</v>
      </c>
      <c r="D2374" t="inlineStr">
        <is>
          <t>Pune</t>
        </is>
      </c>
      <c r="E2374" t="inlineStr">
        <is>
          <t>West</t>
        </is>
      </c>
      <c r="F2374" t="inlineStr">
        <is>
          <t>Paid Social</t>
        </is>
      </c>
      <c r="G2374" t="inlineStr">
        <is>
          <t>Mobile App</t>
        </is>
      </c>
      <c r="H2374" t="inlineStr">
        <is>
          <t>Cash on Delivery</t>
        </is>
      </c>
      <c r="I2374" t="inlineStr">
        <is>
          <t>Cancelled</t>
        </is>
      </c>
      <c r="J2374" t="n">
        <v>117</v>
      </c>
      <c r="K2374" t="n">
        <v>1</v>
      </c>
      <c r="L2374" t="n">
        <v>3149</v>
      </c>
      <c r="M2374" t="n">
        <v>0</v>
      </c>
      <c r="N2374">
        <f>VLOOKUP(J2374,Products!$A$2:$C$49,3,FALSE)</f>
        <v/>
      </c>
      <c r="O2374">
        <f>K2374*L2374-M2374</f>
        <v/>
      </c>
      <c r="P2374">
        <f>TEXT(B2374,"yyyy-mm")</f>
        <v/>
      </c>
      <c r="Q2374">
        <f>IF(O2374&gt;=3000,"Large","Small")</f>
        <v/>
      </c>
      <c r="R2374">
        <f>INDEX(Products!$F$2:$F$49,MATCH(J2374,Products!$A$2:$A$49,0))</f>
        <v/>
      </c>
      <c r="S2374">
        <f>WEEKDAY(B2374,2)</f>
        <v/>
      </c>
    </row>
    <row r="2375">
      <c r="A2375" t="n">
        <v>510557</v>
      </c>
      <c r="B2375" s="6" t="n">
        <v>45963</v>
      </c>
      <c r="C2375" t="n">
        <v>17063</v>
      </c>
      <c r="D2375" t="inlineStr">
        <is>
          <t>Pune</t>
        </is>
      </c>
      <c r="E2375" t="inlineStr">
        <is>
          <t>West</t>
        </is>
      </c>
      <c r="F2375" t="inlineStr">
        <is>
          <t>Paid Social</t>
        </is>
      </c>
      <c r="G2375" t="inlineStr">
        <is>
          <t>Mobile App</t>
        </is>
      </c>
      <c r="H2375" t="inlineStr">
        <is>
          <t>Cash on Delivery</t>
        </is>
      </c>
      <c r="I2375" t="inlineStr">
        <is>
          <t>Cancelled</t>
        </is>
      </c>
      <c r="J2375" t="n">
        <v>134</v>
      </c>
      <c r="K2375" t="n">
        <v>1</v>
      </c>
      <c r="L2375" t="n">
        <v>209</v>
      </c>
      <c r="M2375" t="n">
        <v>0</v>
      </c>
      <c r="N2375">
        <f>VLOOKUP(J2375,Products!$A$2:$C$49,3,FALSE)</f>
        <v/>
      </c>
      <c r="O2375">
        <f>K2375*L2375-M2375</f>
        <v/>
      </c>
      <c r="P2375">
        <f>TEXT(B2375,"yyyy-mm")</f>
        <v/>
      </c>
      <c r="Q2375">
        <f>IF(O2375&gt;=3000,"Large","Small")</f>
        <v/>
      </c>
      <c r="R2375">
        <f>INDEX(Products!$F$2:$F$49,MATCH(J2375,Products!$A$2:$A$49,0))</f>
        <v/>
      </c>
      <c r="S2375">
        <f>WEEKDAY(B2375,2)</f>
        <v/>
      </c>
    </row>
    <row r="2376">
      <c r="A2376" t="n">
        <v>510558</v>
      </c>
      <c r="B2376" s="6" t="n">
        <v>45963</v>
      </c>
      <c r="C2376" t="n">
        <v>17115</v>
      </c>
      <c r="D2376" t="inlineStr">
        <is>
          <t>Indore</t>
        </is>
      </c>
      <c r="E2376" t="inlineStr">
        <is>
          <t>West</t>
        </is>
      </c>
      <c r="F2376" t="inlineStr">
        <is>
          <t>Organic Search</t>
        </is>
      </c>
      <c r="G2376" t="inlineStr">
        <is>
          <t>Mobile App</t>
        </is>
      </c>
      <c r="H2376" t="inlineStr">
        <is>
          <t>UPI</t>
        </is>
      </c>
      <c r="I2376" t="inlineStr">
        <is>
          <t>Delivered</t>
        </is>
      </c>
      <c r="J2376" t="n">
        <v>145</v>
      </c>
      <c r="K2376" t="n">
        <v>1</v>
      </c>
      <c r="L2376" t="n">
        <v>629</v>
      </c>
      <c r="M2376" t="n">
        <v>94.34999999999999</v>
      </c>
      <c r="N2376">
        <f>VLOOKUP(J2376,Products!$A$2:$C$49,3,FALSE)</f>
        <v/>
      </c>
      <c r="O2376">
        <f>K2376*L2376-M2376</f>
        <v/>
      </c>
      <c r="P2376">
        <f>TEXT(B2376,"yyyy-mm")</f>
        <v/>
      </c>
      <c r="Q2376">
        <f>IF(O2376&gt;=3000,"Large","Small")</f>
        <v/>
      </c>
      <c r="R2376">
        <f>INDEX(Products!$F$2:$F$49,MATCH(J2376,Products!$A$2:$A$49,0))</f>
        <v/>
      </c>
      <c r="S2376">
        <f>WEEKDAY(B2376,2)</f>
        <v/>
      </c>
    </row>
    <row r="2377">
      <c r="A2377" t="n">
        <v>510558</v>
      </c>
      <c r="B2377" s="6" t="n">
        <v>45963</v>
      </c>
      <c r="C2377" t="n">
        <v>17115</v>
      </c>
      <c r="D2377" t="inlineStr">
        <is>
          <t>Indore</t>
        </is>
      </c>
      <c r="E2377" t="inlineStr">
        <is>
          <t>West</t>
        </is>
      </c>
      <c r="F2377" t="inlineStr">
        <is>
          <t>Organic Search</t>
        </is>
      </c>
      <c r="G2377" t="inlineStr">
        <is>
          <t>Mobile App</t>
        </is>
      </c>
      <c r="H2377" t="inlineStr">
        <is>
          <t>UPI</t>
        </is>
      </c>
      <c r="I2377" t="inlineStr">
        <is>
          <t>Delivered</t>
        </is>
      </c>
      <c r="J2377" t="n">
        <v>128</v>
      </c>
      <c r="K2377" t="n">
        <v>1</v>
      </c>
      <c r="L2377" t="n">
        <v>1049</v>
      </c>
      <c r="M2377" t="n">
        <v>157.35</v>
      </c>
      <c r="N2377">
        <f>VLOOKUP(J2377,Products!$A$2:$C$49,3,FALSE)</f>
        <v/>
      </c>
      <c r="O2377">
        <f>K2377*L2377-M2377</f>
        <v/>
      </c>
      <c r="P2377">
        <f>TEXT(B2377,"yyyy-mm")</f>
        <v/>
      </c>
      <c r="Q2377">
        <f>IF(O2377&gt;=3000,"Large","Small")</f>
        <v/>
      </c>
      <c r="R2377">
        <f>INDEX(Products!$F$2:$F$49,MATCH(J2377,Products!$A$2:$A$49,0))</f>
        <v/>
      </c>
      <c r="S2377">
        <f>WEEKDAY(B2377,2)</f>
        <v/>
      </c>
    </row>
    <row r="2378">
      <c r="A2378" t="n">
        <v>510558</v>
      </c>
      <c r="B2378" s="6" t="n">
        <v>45963</v>
      </c>
      <c r="C2378" t="n">
        <v>17115</v>
      </c>
      <c r="D2378" t="inlineStr">
        <is>
          <t>Indore</t>
        </is>
      </c>
      <c r="E2378" t="inlineStr">
        <is>
          <t>West</t>
        </is>
      </c>
      <c r="F2378" t="inlineStr">
        <is>
          <t>Organic Search</t>
        </is>
      </c>
      <c r="G2378" t="inlineStr">
        <is>
          <t>Mobile App</t>
        </is>
      </c>
      <c r="H2378" t="inlineStr">
        <is>
          <t>UPI</t>
        </is>
      </c>
      <c r="I2378" t="inlineStr">
        <is>
          <t>Delivered</t>
        </is>
      </c>
      <c r="J2378" t="n">
        <v>117</v>
      </c>
      <c r="K2378" t="n">
        <v>1</v>
      </c>
      <c r="L2378" t="n">
        <v>3149</v>
      </c>
      <c r="M2378" t="n">
        <v>472.35</v>
      </c>
      <c r="N2378">
        <f>VLOOKUP(J2378,Products!$A$2:$C$49,3,FALSE)</f>
        <v/>
      </c>
      <c r="O2378">
        <f>K2378*L2378-M2378</f>
        <v/>
      </c>
      <c r="P2378">
        <f>TEXT(B2378,"yyyy-mm")</f>
        <v/>
      </c>
      <c r="Q2378">
        <f>IF(O2378&gt;=3000,"Large","Small")</f>
        <v/>
      </c>
      <c r="R2378">
        <f>INDEX(Products!$F$2:$F$49,MATCH(J2378,Products!$A$2:$A$49,0))</f>
        <v/>
      </c>
      <c r="S2378">
        <f>WEEKDAY(B2378,2)</f>
        <v/>
      </c>
    </row>
    <row r="2379">
      <c r="A2379" t="n">
        <v>510559</v>
      </c>
      <c r="B2379" s="6" t="n">
        <v>45963</v>
      </c>
      <c r="C2379" t="n">
        <v>17144</v>
      </c>
      <c r="D2379" t="inlineStr">
        <is>
          <t>Delhi</t>
        </is>
      </c>
      <c r="E2379" t="inlineStr">
        <is>
          <t>North</t>
        </is>
      </c>
      <c r="F2379" t="inlineStr">
        <is>
          <t>Paid Social</t>
        </is>
      </c>
      <c r="G2379" t="inlineStr">
        <is>
          <t>Mobile App</t>
        </is>
      </c>
      <c r="H2379" t="inlineStr">
        <is>
          <t>Cash on Delivery</t>
        </is>
      </c>
      <c r="I2379" t="inlineStr">
        <is>
          <t>Delivered</t>
        </is>
      </c>
      <c r="J2379" t="n">
        <v>129</v>
      </c>
      <c r="K2379" t="n">
        <v>1</v>
      </c>
      <c r="L2379" t="n">
        <v>576</v>
      </c>
      <c r="M2379" t="n">
        <v>28.8</v>
      </c>
      <c r="N2379">
        <f>VLOOKUP(J2379,Products!$A$2:$C$49,3,FALSE)</f>
        <v/>
      </c>
      <c r="O2379">
        <f>K2379*L2379-M2379</f>
        <v/>
      </c>
      <c r="P2379">
        <f>TEXT(B2379,"yyyy-mm")</f>
        <v/>
      </c>
      <c r="Q2379">
        <f>IF(O2379&gt;=3000,"Large","Small")</f>
        <v/>
      </c>
      <c r="R2379">
        <f>INDEX(Products!$F$2:$F$49,MATCH(J2379,Products!$A$2:$A$49,0))</f>
        <v/>
      </c>
      <c r="S2379">
        <f>WEEKDAY(B2379,2)</f>
        <v/>
      </c>
    </row>
    <row r="2380">
      <c r="A2380" t="n">
        <v>510560</v>
      </c>
      <c r="B2380" s="6" t="n">
        <v>45963</v>
      </c>
      <c r="C2380" t="n">
        <v>17155</v>
      </c>
      <c r="D2380" t="inlineStr">
        <is>
          <t>Jaipur</t>
        </is>
      </c>
      <c r="E2380" t="inlineStr">
        <is>
          <t>North</t>
        </is>
      </c>
      <c r="F2380" t="inlineStr">
        <is>
          <t>Paid Social</t>
        </is>
      </c>
      <c r="G2380" t="inlineStr">
        <is>
          <t>Mobile App</t>
        </is>
      </c>
      <c r="H2380" t="inlineStr">
        <is>
          <t>Debit Card</t>
        </is>
      </c>
      <c r="I2380" t="inlineStr">
        <is>
          <t>Delivered</t>
        </is>
      </c>
      <c r="J2380" t="n">
        <v>105</v>
      </c>
      <c r="K2380" t="n">
        <v>3</v>
      </c>
      <c r="L2380" t="n">
        <v>2414</v>
      </c>
      <c r="M2380" t="n">
        <v>0</v>
      </c>
      <c r="N2380">
        <f>VLOOKUP(J2380,Products!$A$2:$C$49,3,FALSE)</f>
        <v/>
      </c>
      <c r="O2380">
        <f>K2380*L2380-M2380</f>
        <v/>
      </c>
      <c r="P2380">
        <f>TEXT(B2380,"yyyy-mm")</f>
        <v/>
      </c>
      <c r="Q2380">
        <f>IF(O2380&gt;=3000,"Large","Small")</f>
        <v/>
      </c>
      <c r="R2380">
        <f>INDEX(Products!$F$2:$F$49,MATCH(J2380,Products!$A$2:$A$49,0))</f>
        <v/>
      </c>
      <c r="S2380">
        <f>WEEKDAY(B2380,2)</f>
        <v/>
      </c>
    </row>
    <row r="2381">
      <c r="A2381" t="n">
        <v>510561</v>
      </c>
      <c r="B2381" s="6" t="n">
        <v>45963</v>
      </c>
      <c r="C2381" t="n">
        <v>13506</v>
      </c>
      <c r="D2381" t="inlineStr">
        <is>
          <t>Delhi</t>
        </is>
      </c>
      <c r="E2381" t="inlineStr">
        <is>
          <t>North</t>
        </is>
      </c>
      <c r="F2381" t="inlineStr">
        <is>
          <t>Organic Search</t>
        </is>
      </c>
      <c r="G2381" t="inlineStr">
        <is>
          <t>Mobile App</t>
        </is>
      </c>
      <c r="H2381" t="inlineStr">
        <is>
          <t>UPI</t>
        </is>
      </c>
      <c r="I2381" t="inlineStr">
        <is>
          <t>Delivered</t>
        </is>
      </c>
      <c r="J2381" t="n">
        <v>108</v>
      </c>
      <c r="K2381" t="n">
        <v>2</v>
      </c>
      <c r="L2381" t="n">
        <v>419</v>
      </c>
      <c r="M2381" t="n">
        <v>0</v>
      </c>
      <c r="N2381">
        <f>VLOOKUP(J2381,Products!$A$2:$C$49,3,FALSE)</f>
        <v/>
      </c>
      <c r="O2381">
        <f>K2381*L2381-M2381</f>
        <v/>
      </c>
      <c r="P2381">
        <f>TEXT(B2381,"yyyy-mm")</f>
        <v/>
      </c>
      <c r="Q2381">
        <f>IF(O2381&gt;=3000,"Large","Small")</f>
        <v/>
      </c>
      <c r="R2381">
        <f>INDEX(Products!$F$2:$F$49,MATCH(J2381,Products!$A$2:$A$49,0))</f>
        <v/>
      </c>
      <c r="S2381">
        <f>WEEKDAY(B2381,2)</f>
        <v/>
      </c>
    </row>
    <row r="2382">
      <c r="A2382" t="n">
        <v>510562</v>
      </c>
      <c r="B2382" s="6" t="n">
        <v>45963</v>
      </c>
      <c r="C2382" t="n">
        <v>17011</v>
      </c>
      <c r="D2382" t="inlineStr">
        <is>
          <t>Bengaluru</t>
        </is>
      </c>
      <c r="E2382" t="inlineStr">
        <is>
          <t>South</t>
        </is>
      </c>
      <c r="F2382" t="inlineStr">
        <is>
          <t>Organic Search</t>
        </is>
      </c>
      <c r="G2382" t="inlineStr">
        <is>
          <t>Mobile App</t>
        </is>
      </c>
      <c r="H2382" t="inlineStr">
        <is>
          <t>Cash on Delivery</t>
        </is>
      </c>
      <c r="I2382" t="inlineStr">
        <is>
          <t>Delivered</t>
        </is>
      </c>
      <c r="J2382" t="n">
        <v>146</v>
      </c>
      <c r="K2382" t="n">
        <v>1</v>
      </c>
      <c r="L2382" t="n">
        <v>4724</v>
      </c>
      <c r="M2382" t="n">
        <v>0</v>
      </c>
      <c r="N2382">
        <f>VLOOKUP(J2382,Products!$A$2:$C$49,3,FALSE)</f>
        <v/>
      </c>
      <c r="O2382">
        <f>K2382*L2382-M2382</f>
        <v/>
      </c>
      <c r="P2382">
        <f>TEXT(B2382,"yyyy-mm")</f>
        <v/>
      </c>
      <c r="Q2382">
        <f>IF(O2382&gt;=3000,"Large","Small")</f>
        <v/>
      </c>
      <c r="R2382">
        <f>INDEX(Products!$F$2:$F$49,MATCH(J2382,Products!$A$2:$A$49,0))</f>
        <v/>
      </c>
      <c r="S2382">
        <f>WEEKDAY(B2382,2)</f>
        <v/>
      </c>
    </row>
    <row r="2383">
      <c r="A2383" t="n">
        <v>510562</v>
      </c>
      <c r="B2383" s="6" t="n">
        <v>45963</v>
      </c>
      <c r="C2383" t="n">
        <v>17011</v>
      </c>
      <c r="D2383" t="inlineStr">
        <is>
          <t>Bengaluru</t>
        </is>
      </c>
      <c r="E2383" t="inlineStr">
        <is>
          <t>South</t>
        </is>
      </c>
      <c r="F2383" t="inlineStr">
        <is>
          <t>Organic Search</t>
        </is>
      </c>
      <c r="G2383" t="inlineStr">
        <is>
          <t>Mobile App</t>
        </is>
      </c>
      <c r="H2383" t="inlineStr">
        <is>
          <t>Cash on Delivery</t>
        </is>
      </c>
      <c r="I2383" t="inlineStr">
        <is>
          <t>Delivered</t>
        </is>
      </c>
      <c r="J2383" t="n">
        <v>133</v>
      </c>
      <c r="K2383" t="n">
        <v>1</v>
      </c>
      <c r="L2383" t="n">
        <v>419</v>
      </c>
      <c r="M2383" t="n">
        <v>0</v>
      </c>
      <c r="N2383">
        <f>VLOOKUP(J2383,Products!$A$2:$C$49,3,FALSE)</f>
        <v/>
      </c>
      <c r="O2383">
        <f>K2383*L2383-M2383</f>
        <v/>
      </c>
      <c r="P2383">
        <f>TEXT(B2383,"yyyy-mm")</f>
        <v/>
      </c>
      <c r="Q2383">
        <f>IF(O2383&gt;=3000,"Large","Small")</f>
        <v/>
      </c>
      <c r="R2383">
        <f>INDEX(Products!$F$2:$F$49,MATCH(J2383,Products!$A$2:$A$49,0))</f>
        <v/>
      </c>
      <c r="S2383">
        <f>WEEKDAY(B2383,2)</f>
        <v/>
      </c>
    </row>
    <row r="2384">
      <c r="A2384" t="n">
        <v>510563</v>
      </c>
      <c r="B2384" s="6" t="n">
        <v>45963</v>
      </c>
      <c r="C2384" t="n">
        <v>16682</v>
      </c>
      <c r="D2384" t="inlineStr">
        <is>
          <t>Chandigarh</t>
        </is>
      </c>
      <c r="E2384" t="inlineStr">
        <is>
          <t>North</t>
        </is>
      </c>
      <c r="F2384" t="inlineStr">
        <is>
          <t>Email</t>
        </is>
      </c>
      <c r="G2384" t="inlineStr">
        <is>
          <t>Mobile App</t>
        </is>
      </c>
      <c r="H2384" t="inlineStr">
        <is>
          <t>UPI</t>
        </is>
      </c>
      <c r="I2384" t="inlineStr">
        <is>
          <t>Delivered</t>
        </is>
      </c>
      <c r="J2384" t="n">
        <v>111</v>
      </c>
      <c r="K2384" t="n">
        <v>1</v>
      </c>
      <c r="L2384" t="n">
        <v>524</v>
      </c>
      <c r="M2384" t="n">
        <v>0</v>
      </c>
      <c r="N2384">
        <f>VLOOKUP(J2384,Products!$A$2:$C$49,3,FALSE)</f>
        <v/>
      </c>
      <c r="O2384">
        <f>K2384*L2384-M2384</f>
        <v/>
      </c>
      <c r="P2384">
        <f>TEXT(B2384,"yyyy-mm")</f>
        <v/>
      </c>
      <c r="Q2384">
        <f>IF(O2384&gt;=3000,"Large","Small")</f>
        <v/>
      </c>
      <c r="R2384">
        <f>INDEX(Products!$F$2:$F$49,MATCH(J2384,Products!$A$2:$A$49,0))</f>
        <v/>
      </c>
      <c r="S2384">
        <f>WEEKDAY(B2384,2)</f>
        <v/>
      </c>
    </row>
    <row r="2385">
      <c r="A2385" t="n">
        <v>510564</v>
      </c>
      <c r="B2385" s="6" t="n">
        <v>45963</v>
      </c>
      <c r="C2385" t="n">
        <v>15922</v>
      </c>
      <c r="D2385" t="inlineStr">
        <is>
          <t>Bengaluru</t>
        </is>
      </c>
      <c r="E2385" t="inlineStr">
        <is>
          <t>South</t>
        </is>
      </c>
      <c r="F2385" t="inlineStr">
        <is>
          <t>Organic Search</t>
        </is>
      </c>
      <c r="G2385" t="inlineStr">
        <is>
          <t>Mobile Web</t>
        </is>
      </c>
      <c r="H2385" t="inlineStr">
        <is>
          <t>UPI</t>
        </is>
      </c>
      <c r="I2385" t="inlineStr">
        <is>
          <t>Delivered</t>
        </is>
      </c>
      <c r="J2385" t="n">
        <v>116</v>
      </c>
      <c r="K2385" t="n">
        <v>1</v>
      </c>
      <c r="L2385" t="n">
        <v>2624</v>
      </c>
      <c r="M2385" t="n">
        <v>0</v>
      </c>
      <c r="N2385">
        <f>VLOOKUP(J2385,Products!$A$2:$C$49,3,FALSE)</f>
        <v/>
      </c>
      <c r="O2385">
        <f>K2385*L2385-M2385</f>
        <v/>
      </c>
      <c r="P2385">
        <f>TEXT(B2385,"yyyy-mm")</f>
        <v/>
      </c>
      <c r="Q2385">
        <f>IF(O2385&gt;=3000,"Large","Small")</f>
        <v/>
      </c>
      <c r="R2385">
        <f>INDEX(Products!$F$2:$F$49,MATCH(J2385,Products!$A$2:$A$49,0))</f>
        <v/>
      </c>
      <c r="S2385">
        <f>WEEKDAY(B2385,2)</f>
        <v/>
      </c>
    </row>
    <row r="2386">
      <c r="A2386" t="n">
        <v>510565</v>
      </c>
      <c r="B2386" s="6" t="n">
        <v>45963</v>
      </c>
      <c r="C2386" t="n">
        <v>14329</v>
      </c>
      <c r="D2386" t="inlineStr">
        <is>
          <t>Chandigarh</t>
        </is>
      </c>
      <c r="E2386" t="inlineStr">
        <is>
          <t>North</t>
        </is>
      </c>
      <c r="F2386" t="inlineStr">
        <is>
          <t>Organic Search</t>
        </is>
      </c>
      <c r="G2386" t="inlineStr">
        <is>
          <t>Desktop</t>
        </is>
      </c>
      <c r="H2386" t="inlineStr">
        <is>
          <t>Net Banking</t>
        </is>
      </c>
      <c r="I2386" t="inlineStr">
        <is>
          <t>Delivered</t>
        </is>
      </c>
      <c r="J2386" t="n">
        <v>109</v>
      </c>
      <c r="K2386" t="n">
        <v>1</v>
      </c>
      <c r="L2386" t="n">
        <v>4199</v>
      </c>
      <c r="M2386" t="n">
        <v>0</v>
      </c>
      <c r="N2386">
        <f>VLOOKUP(J2386,Products!$A$2:$C$49,3,FALSE)</f>
        <v/>
      </c>
      <c r="O2386">
        <f>K2386*L2386-M2386</f>
        <v/>
      </c>
      <c r="P2386">
        <f>TEXT(B2386,"yyyy-mm")</f>
        <v/>
      </c>
      <c r="Q2386">
        <f>IF(O2386&gt;=3000,"Large","Small")</f>
        <v/>
      </c>
      <c r="R2386">
        <f>INDEX(Products!$F$2:$F$49,MATCH(J2386,Products!$A$2:$A$49,0))</f>
        <v/>
      </c>
      <c r="S2386">
        <f>WEEKDAY(B2386,2)</f>
        <v/>
      </c>
    </row>
    <row r="2387">
      <c r="A2387" t="n">
        <v>510566</v>
      </c>
      <c r="B2387" s="6" t="n">
        <v>45963</v>
      </c>
      <c r="C2387" t="n">
        <v>17012</v>
      </c>
      <c r="D2387" t="inlineStr">
        <is>
          <t>Chandigarh</t>
        </is>
      </c>
      <c r="E2387" t="inlineStr">
        <is>
          <t>North</t>
        </is>
      </c>
      <c r="F2387" t="inlineStr">
        <is>
          <t>Email</t>
        </is>
      </c>
      <c r="G2387" t="inlineStr">
        <is>
          <t>Desktop</t>
        </is>
      </c>
      <c r="H2387" t="inlineStr">
        <is>
          <t>Cash on Delivery</t>
        </is>
      </c>
      <c r="I2387" t="inlineStr">
        <is>
          <t>Delivered</t>
        </is>
      </c>
      <c r="J2387" t="n">
        <v>123</v>
      </c>
      <c r="K2387" t="n">
        <v>1</v>
      </c>
      <c r="L2387" t="n">
        <v>3464</v>
      </c>
      <c r="M2387" t="n">
        <v>519.6</v>
      </c>
      <c r="N2387">
        <f>VLOOKUP(J2387,Products!$A$2:$C$49,3,FALSE)</f>
        <v/>
      </c>
      <c r="O2387">
        <f>K2387*L2387-M2387</f>
        <v/>
      </c>
      <c r="P2387">
        <f>TEXT(B2387,"yyyy-mm")</f>
        <v/>
      </c>
      <c r="Q2387">
        <f>IF(O2387&gt;=3000,"Large","Small")</f>
        <v/>
      </c>
      <c r="R2387">
        <f>INDEX(Products!$F$2:$F$49,MATCH(J2387,Products!$A$2:$A$49,0))</f>
        <v/>
      </c>
      <c r="S2387">
        <f>WEEKDAY(B2387,2)</f>
        <v/>
      </c>
    </row>
    <row r="2388">
      <c r="A2388" t="n">
        <v>510566</v>
      </c>
      <c r="B2388" s="6" t="n">
        <v>45963</v>
      </c>
      <c r="C2388" t="n">
        <v>17012</v>
      </c>
      <c r="D2388" t="inlineStr">
        <is>
          <t>Chandigarh</t>
        </is>
      </c>
      <c r="E2388" t="inlineStr">
        <is>
          <t>North</t>
        </is>
      </c>
      <c r="F2388" t="inlineStr">
        <is>
          <t>Email</t>
        </is>
      </c>
      <c r="G2388" t="inlineStr">
        <is>
          <t>Desktop</t>
        </is>
      </c>
      <c r="H2388" t="inlineStr">
        <is>
          <t>Cash on Delivery</t>
        </is>
      </c>
      <c r="I2388" t="inlineStr">
        <is>
          <t>Delivered</t>
        </is>
      </c>
      <c r="J2388" t="n">
        <v>107</v>
      </c>
      <c r="K2388" t="n">
        <v>2</v>
      </c>
      <c r="L2388" t="n">
        <v>1259</v>
      </c>
      <c r="M2388" t="n">
        <v>377.7</v>
      </c>
      <c r="N2388">
        <f>VLOOKUP(J2388,Products!$A$2:$C$49,3,FALSE)</f>
        <v/>
      </c>
      <c r="O2388">
        <f>K2388*L2388-M2388</f>
        <v/>
      </c>
      <c r="P2388">
        <f>TEXT(B2388,"yyyy-mm")</f>
        <v/>
      </c>
      <c r="Q2388">
        <f>IF(O2388&gt;=3000,"Large","Small")</f>
        <v/>
      </c>
      <c r="R2388">
        <f>INDEX(Products!$F$2:$F$49,MATCH(J2388,Products!$A$2:$A$49,0))</f>
        <v/>
      </c>
      <c r="S2388">
        <f>WEEKDAY(B2388,2)</f>
        <v/>
      </c>
    </row>
    <row r="2389">
      <c r="A2389" t="n">
        <v>510566</v>
      </c>
      <c r="B2389" s="6" t="n">
        <v>45963</v>
      </c>
      <c r="C2389" t="n">
        <v>17012</v>
      </c>
      <c r="D2389" t="inlineStr">
        <is>
          <t>Chandigarh</t>
        </is>
      </c>
      <c r="E2389" t="inlineStr">
        <is>
          <t>North</t>
        </is>
      </c>
      <c r="F2389" t="inlineStr">
        <is>
          <t>Email</t>
        </is>
      </c>
      <c r="G2389" t="inlineStr">
        <is>
          <t>Desktop</t>
        </is>
      </c>
      <c r="H2389" t="inlineStr">
        <is>
          <t>Cash on Delivery</t>
        </is>
      </c>
      <c r="I2389" t="inlineStr">
        <is>
          <t>Delivered</t>
        </is>
      </c>
      <c r="J2389" t="n">
        <v>112</v>
      </c>
      <c r="K2389" t="n">
        <v>3</v>
      </c>
      <c r="L2389" t="n">
        <v>1574</v>
      </c>
      <c r="M2389" t="n">
        <v>708.3</v>
      </c>
      <c r="N2389">
        <f>VLOOKUP(J2389,Products!$A$2:$C$49,3,FALSE)</f>
        <v/>
      </c>
      <c r="O2389">
        <f>K2389*L2389-M2389</f>
        <v/>
      </c>
      <c r="P2389">
        <f>TEXT(B2389,"yyyy-mm")</f>
        <v/>
      </c>
      <c r="Q2389">
        <f>IF(O2389&gt;=3000,"Large","Small")</f>
        <v/>
      </c>
      <c r="R2389">
        <f>INDEX(Products!$F$2:$F$49,MATCH(J2389,Products!$A$2:$A$49,0))</f>
        <v/>
      </c>
      <c r="S2389">
        <f>WEEKDAY(B2389,2)</f>
        <v/>
      </c>
    </row>
    <row r="2390">
      <c r="A2390" t="n">
        <v>510566</v>
      </c>
      <c r="B2390" s="6" t="n">
        <v>45963</v>
      </c>
      <c r="C2390" t="n">
        <v>17012</v>
      </c>
      <c r="D2390" t="inlineStr">
        <is>
          <t>Chandigarh</t>
        </is>
      </c>
      <c r="E2390" t="inlineStr">
        <is>
          <t>North</t>
        </is>
      </c>
      <c r="F2390" t="inlineStr">
        <is>
          <t>Email</t>
        </is>
      </c>
      <c r="G2390" t="inlineStr">
        <is>
          <t>Desktop</t>
        </is>
      </c>
      <c r="H2390" t="inlineStr">
        <is>
          <t>Cash on Delivery</t>
        </is>
      </c>
      <c r="I2390" t="inlineStr">
        <is>
          <t>Delivered</t>
        </is>
      </c>
      <c r="J2390" t="n">
        <v>131</v>
      </c>
      <c r="K2390" t="n">
        <v>1</v>
      </c>
      <c r="L2390" t="n">
        <v>314</v>
      </c>
      <c r="M2390" t="n">
        <v>47.1</v>
      </c>
      <c r="N2390">
        <f>VLOOKUP(J2390,Products!$A$2:$C$49,3,FALSE)</f>
        <v/>
      </c>
      <c r="O2390">
        <f>K2390*L2390-M2390</f>
        <v/>
      </c>
      <c r="P2390">
        <f>TEXT(B2390,"yyyy-mm")</f>
        <v/>
      </c>
      <c r="Q2390">
        <f>IF(O2390&gt;=3000,"Large","Small")</f>
        <v/>
      </c>
      <c r="R2390">
        <f>INDEX(Products!$F$2:$F$49,MATCH(J2390,Products!$A$2:$A$49,0))</f>
        <v/>
      </c>
      <c r="S2390">
        <f>WEEKDAY(B2390,2)</f>
        <v/>
      </c>
    </row>
    <row r="2391">
      <c r="A2391" t="n">
        <v>510567</v>
      </c>
      <c r="B2391" s="6" t="n">
        <v>45963</v>
      </c>
      <c r="C2391" t="n">
        <v>17151</v>
      </c>
      <c r="D2391" t="inlineStr">
        <is>
          <t>Kolkata</t>
        </is>
      </c>
      <c r="E2391" t="inlineStr">
        <is>
          <t>East</t>
        </is>
      </c>
      <c r="F2391" t="inlineStr">
        <is>
          <t>Paid Social</t>
        </is>
      </c>
      <c r="G2391" t="inlineStr">
        <is>
          <t>Mobile App</t>
        </is>
      </c>
      <c r="H2391" t="inlineStr">
        <is>
          <t>Net Banking</t>
        </is>
      </c>
      <c r="I2391" t="inlineStr">
        <is>
          <t>Delivered</t>
        </is>
      </c>
      <c r="J2391" t="n">
        <v>122</v>
      </c>
      <c r="K2391" t="n">
        <v>1</v>
      </c>
      <c r="L2391" t="n">
        <v>1994</v>
      </c>
      <c r="M2391" t="n">
        <v>0</v>
      </c>
      <c r="N2391">
        <f>VLOOKUP(J2391,Products!$A$2:$C$49,3,FALSE)</f>
        <v/>
      </c>
      <c r="O2391">
        <f>K2391*L2391-M2391</f>
        <v/>
      </c>
      <c r="P2391">
        <f>TEXT(B2391,"yyyy-mm")</f>
        <v/>
      </c>
      <c r="Q2391">
        <f>IF(O2391&gt;=3000,"Large","Small")</f>
        <v/>
      </c>
      <c r="R2391">
        <f>INDEX(Products!$F$2:$F$49,MATCH(J2391,Products!$A$2:$A$49,0))</f>
        <v/>
      </c>
      <c r="S2391">
        <f>WEEKDAY(B2391,2)</f>
        <v/>
      </c>
    </row>
    <row r="2392">
      <c r="A2392" t="n">
        <v>510567</v>
      </c>
      <c r="B2392" s="6" t="n">
        <v>45963</v>
      </c>
      <c r="C2392" t="n">
        <v>17151</v>
      </c>
      <c r="D2392" t="inlineStr">
        <is>
          <t>Kolkata</t>
        </is>
      </c>
      <c r="E2392" t="inlineStr">
        <is>
          <t>East</t>
        </is>
      </c>
      <c r="F2392" t="inlineStr">
        <is>
          <t>Paid Social</t>
        </is>
      </c>
      <c r="G2392" t="inlineStr">
        <is>
          <t>Mobile App</t>
        </is>
      </c>
      <c r="H2392" t="inlineStr">
        <is>
          <t>Net Banking</t>
        </is>
      </c>
      <c r="I2392" t="inlineStr">
        <is>
          <t>Delivered</t>
        </is>
      </c>
      <c r="J2392" t="n">
        <v>103</v>
      </c>
      <c r="K2392" t="n">
        <v>1</v>
      </c>
      <c r="L2392" t="n">
        <v>2624</v>
      </c>
      <c r="M2392" t="n">
        <v>0</v>
      </c>
      <c r="N2392">
        <f>VLOOKUP(J2392,Products!$A$2:$C$49,3,FALSE)</f>
        <v/>
      </c>
      <c r="O2392">
        <f>K2392*L2392-M2392</f>
        <v/>
      </c>
      <c r="P2392">
        <f>TEXT(B2392,"yyyy-mm")</f>
        <v/>
      </c>
      <c r="Q2392">
        <f>IF(O2392&gt;=3000,"Large","Small")</f>
        <v/>
      </c>
      <c r="R2392">
        <f>INDEX(Products!$F$2:$F$49,MATCH(J2392,Products!$A$2:$A$49,0))</f>
        <v/>
      </c>
      <c r="S2392">
        <f>WEEKDAY(B2392,2)</f>
        <v/>
      </c>
    </row>
    <row r="2393">
      <c r="A2393" t="n">
        <v>510568</v>
      </c>
      <c r="B2393" s="6" t="n">
        <v>45964</v>
      </c>
      <c r="C2393" t="n">
        <v>17157</v>
      </c>
      <c r="D2393" t="inlineStr">
        <is>
          <t>Kochi</t>
        </is>
      </c>
      <c r="E2393" t="inlineStr">
        <is>
          <t>South</t>
        </is>
      </c>
      <c r="F2393" t="inlineStr">
        <is>
          <t>Organic Search</t>
        </is>
      </c>
      <c r="G2393" t="inlineStr">
        <is>
          <t>Desktop</t>
        </is>
      </c>
      <c r="H2393" t="inlineStr">
        <is>
          <t>Cash on Delivery</t>
        </is>
      </c>
      <c r="I2393" t="inlineStr">
        <is>
          <t>Delivered</t>
        </is>
      </c>
      <c r="J2393" t="n">
        <v>141</v>
      </c>
      <c r="K2393" t="n">
        <v>1</v>
      </c>
      <c r="L2393" t="n">
        <v>261</v>
      </c>
      <c r="M2393" t="n">
        <v>0</v>
      </c>
      <c r="N2393">
        <f>VLOOKUP(J2393,Products!$A$2:$C$49,3,FALSE)</f>
        <v/>
      </c>
      <c r="O2393">
        <f>K2393*L2393-M2393</f>
        <v/>
      </c>
      <c r="P2393">
        <f>TEXT(B2393,"yyyy-mm")</f>
        <v/>
      </c>
      <c r="Q2393">
        <f>IF(O2393&gt;=3000,"Large","Small")</f>
        <v/>
      </c>
      <c r="R2393">
        <f>INDEX(Products!$F$2:$F$49,MATCH(J2393,Products!$A$2:$A$49,0))</f>
        <v/>
      </c>
      <c r="S2393">
        <f>WEEKDAY(B2393,2)</f>
        <v/>
      </c>
    </row>
    <row r="2394">
      <c r="A2394" t="n">
        <v>510569</v>
      </c>
      <c r="B2394" s="6" t="n">
        <v>45964</v>
      </c>
      <c r="C2394" t="n">
        <v>17149</v>
      </c>
      <c r="D2394" t="inlineStr">
        <is>
          <t>Indore</t>
        </is>
      </c>
      <c r="E2394" t="inlineStr">
        <is>
          <t>West</t>
        </is>
      </c>
      <c r="F2394" t="inlineStr">
        <is>
          <t>Organic Search</t>
        </is>
      </c>
      <c r="G2394" t="inlineStr">
        <is>
          <t>Mobile Web</t>
        </is>
      </c>
      <c r="H2394" t="inlineStr">
        <is>
          <t>Credit Card</t>
        </is>
      </c>
      <c r="I2394" t="inlineStr">
        <is>
          <t>Delivered</t>
        </is>
      </c>
      <c r="J2394" t="n">
        <v>112</v>
      </c>
      <c r="K2394" t="n">
        <v>1</v>
      </c>
      <c r="L2394" t="n">
        <v>1574</v>
      </c>
      <c r="M2394" t="n">
        <v>236.1</v>
      </c>
      <c r="N2394">
        <f>VLOOKUP(J2394,Products!$A$2:$C$49,3,FALSE)</f>
        <v/>
      </c>
      <c r="O2394">
        <f>K2394*L2394-M2394</f>
        <v/>
      </c>
      <c r="P2394">
        <f>TEXT(B2394,"yyyy-mm")</f>
        <v/>
      </c>
      <c r="Q2394">
        <f>IF(O2394&gt;=3000,"Large","Small")</f>
        <v/>
      </c>
      <c r="R2394">
        <f>INDEX(Products!$F$2:$F$49,MATCH(J2394,Products!$A$2:$A$49,0))</f>
        <v/>
      </c>
      <c r="S2394">
        <f>WEEKDAY(B2394,2)</f>
        <v/>
      </c>
    </row>
    <row r="2395">
      <c r="A2395" t="n">
        <v>510569</v>
      </c>
      <c r="B2395" s="6" t="n">
        <v>45964</v>
      </c>
      <c r="C2395" t="n">
        <v>17149</v>
      </c>
      <c r="D2395" t="inlineStr">
        <is>
          <t>Indore</t>
        </is>
      </c>
      <c r="E2395" t="inlineStr">
        <is>
          <t>West</t>
        </is>
      </c>
      <c r="F2395" t="inlineStr">
        <is>
          <t>Organic Search</t>
        </is>
      </c>
      <c r="G2395" t="inlineStr">
        <is>
          <t>Mobile Web</t>
        </is>
      </c>
      <c r="H2395" t="inlineStr">
        <is>
          <t>Credit Card</t>
        </is>
      </c>
      <c r="I2395" t="inlineStr">
        <is>
          <t>Delivered</t>
        </is>
      </c>
      <c r="J2395" t="n">
        <v>134</v>
      </c>
      <c r="K2395" t="n">
        <v>1</v>
      </c>
      <c r="L2395" t="n">
        <v>209</v>
      </c>
      <c r="M2395" t="n">
        <v>31.35</v>
      </c>
      <c r="N2395">
        <f>VLOOKUP(J2395,Products!$A$2:$C$49,3,FALSE)</f>
        <v/>
      </c>
      <c r="O2395">
        <f>K2395*L2395-M2395</f>
        <v/>
      </c>
      <c r="P2395">
        <f>TEXT(B2395,"yyyy-mm")</f>
        <v/>
      </c>
      <c r="Q2395">
        <f>IF(O2395&gt;=3000,"Large","Small")</f>
        <v/>
      </c>
      <c r="R2395">
        <f>INDEX(Products!$F$2:$F$49,MATCH(J2395,Products!$A$2:$A$49,0))</f>
        <v/>
      </c>
      <c r="S2395">
        <f>WEEKDAY(B2395,2)</f>
        <v/>
      </c>
    </row>
    <row r="2396">
      <c r="A2396" t="n">
        <v>510570</v>
      </c>
      <c r="B2396" s="6" t="n">
        <v>45964</v>
      </c>
      <c r="C2396" t="n">
        <v>17101</v>
      </c>
      <c r="D2396" t="inlineStr">
        <is>
          <t>Kolkata</t>
        </is>
      </c>
      <c r="E2396" t="inlineStr">
        <is>
          <t>East</t>
        </is>
      </c>
      <c r="F2396" t="inlineStr">
        <is>
          <t>Paid Search</t>
        </is>
      </c>
      <c r="G2396" t="inlineStr">
        <is>
          <t>Mobile App</t>
        </is>
      </c>
      <c r="H2396" t="inlineStr">
        <is>
          <t>Cash on Delivery</t>
        </is>
      </c>
      <c r="I2396" t="inlineStr">
        <is>
          <t>Delivered</t>
        </is>
      </c>
      <c r="J2396" t="n">
        <v>130</v>
      </c>
      <c r="K2396" t="n">
        <v>1</v>
      </c>
      <c r="L2396" t="n">
        <v>734</v>
      </c>
      <c r="M2396" t="n">
        <v>0</v>
      </c>
      <c r="N2396">
        <f>VLOOKUP(J2396,Products!$A$2:$C$49,3,FALSE)</f>
        <v/>
      </c>
      <c r="O2396">
        <f>K2396*L2396-M2396</f>
        <v/>
      </c>
      <c r="P2396">
        <f>TEXT(B2396,"yyyy-mm")</f>
        <v/>
      </c>
      <c r="Q2396">
        <f>IF(O2396&gt;=3000,"Large","Small")</f>
        <v/>
      </c>
      <c r="R2396">
        <f>INDEX(Products!$F$2:$F$49,MATCH(J2396,Products!$A$2:$A$49,0))</f>
        <v/>
      </c>
      <c r="S2396">
        <f>WEEKDAY(B2396,2)</f>
        <v/>
      </c>
    </row>
    <row r="2397">
      <c r="A2397" t="n">
        <v>510570</v>
      </c>
      <c r="B2397" s="6" t="n">
        <v>45964</v>
      </c>
      <c r="C2397" t="n">
        <v>17101</v>
      </c>
      <c r="D2397" t="inlineStr">
        <is>
          <t>Kolkata</t>
        </is>
      </c>
      <c r="E2397" t="inlineStr">
        <is>
          <t>East</t>
        </is>
      </c>
      <c r="F2397" t="inlineStr">
        <is>
          <t>Paid Search</t>
        </is>
      </c>
      <c r="G2397" t="inlineStr">
        <is>
          <t>Mobile App</t>
        </is>
      </c>
      <c r="H2397" t="inlineStr">
        <is>
          <t>Cash on Delivery</t>
        </is>
      </c>
      <c r="I2397" t="inlineStr">
        <is>
          <t>Delivered</t>
        </is>
      </c>
      <c r="J2397" t="n">
        <v>135</v>
      </c>
      <c r="K2397" t="n">
        <v>1</v>
      </c>
      <c r="L2397" t="n">
        <v>1574</v>
      </c>
      <c r="M2397" t="n">
        <v>0</v>
      </c>
      <c r="N2397">
        <f>VLOOKUP(J2397,Products!$A$2:$C$49,3,FALSE)</f>
        <v/>
      </c>
      <c r="O2397">
        <f>K2397*L2397-M2397</f>
        <v/>
      </c>
      <c r="P2397">
        <f>TEXT(B2397,"yyyy-mm")</f>
        <v/>
      </c>
      <c r="Q2397">
        <f>IF(O2397&gt;=3000,"Large","Small")</f>
        <v/>
      </c>
      <c r="R2397">
        <f>INDEX(Products!$F$2:$F$49,MATCH(J2397,Products!$A$2:$A$49,0))</f>
        <v/>
      </c>
      <c r="S2397">
        <f>WEEKDAY(B2397,2)</f>
        <v/>
      </c>
    </row>
    <row r="2398">
      <c r="A2398" t="n">
        <v>510571</v>
      </c>
      <c r="B2398" s="6" t="n">
        <v>45964</v>
      </c>
      <c r="C2398" t="n">
        <v>17109</v>
      </c>
      <c r="D2398" t="inlineStr">
        <is>
          <t>Lucknow</t>
        </is>
      </c>
      <c r="E2398" t="inlineStr">
        <is>
          <t>North</t>
        </is>
      </c>
      <c r="F2398" t="inlineStr">
        <is>
          <t>Referral</t>
        </is>
      </c>
      <c r="G2398" t="inlineStr">
        <is>
          <t>Mobile App</t>
        </is>
      </c>
      <c r="H2398" t="inlineStr">
        <is>
          <t>Credit Card</t>
        </is>
      </c>
      <c r="I2398" t="inlineStr">
        <is>
          <t>Returned</t>
        </is>
      </c>
      <c r="J2398" t="n">
        <v>130</v>
      </c>
      <c r="K2398" t="n">
        <v>1</v>
      </c>
      <c r="L2398" t="n">
        <v>734</v>
      </c>
      <c r="M2398" t="n">
        <v>0</v>
      </c>
      <c r="N2398">
        <f>VLOOKUP(J2398,Products!$A$2:$C$49,3,FALSE)</f>
        <v/>
      </c>
      <c r="O2398">
        <f>K2398*L2398-M2398</f>
        <v/>
      </c>
      <c r="P2398">
        <f>TEXT(B2398,"yyyy-mm")</f>
        <v/>
      </c>
      <c r="Q2398">
        <f>IF(O2398&gt;=3000,"Large","Small")</f>
        <v/>
      </c>
      <c r="R2398">
        <f>INDEX(Products!$F$2:$F$49,MATCH(J2398,Products!$A$2:$A$49,0))</f>
        <v/>
      </c>
      <c r="S2398">
        <f>WEEKDAY(B2398,2)</f>
        <v/>
      </c>
    </row>
    <row r="2399">
      <c r="A2399" t="n">
        <v>510572</v>
      </c>
      <c r="B2399" s="6" t="n">
        <v>45964</v>
      </c>
      <c r="C2399" t="n">
        <v>16081</v>
      </c>
      <c r="D2399" t="inlineStr">
        <is>
          <t>Kolkata</t>
        </is>
      </c>
      <c r="E2399" t="inlineStr">
        <is>
          <t>East</t>
        </is>
      </c>
      <c r="F2399" t="inlineStr">
        <is>
          <t>Referral</t>
        </is>
      </c>
      <c r="G2399" t="inlineStr">
        <is>
          <t>Mobile App</t>
        </is>
      </c>
      <c r="H2399" t="inlineStr">
        <is>
          <t>UPI</t>
        </is>
      </c>
      <c r="I2399" t="inlineStr">
        <is>
          <t>Delivered</t>
        </is>
      </c>
      <c r="J2399" t="n">
        <v>116</v>
      </c>
      <c r="K2399" t="n">
        <v>1</v>
      </c>
      <c r="L2399" t="n">
        <v>2624</v>
      </c>
      <c r="M2399" t="n">
        <v>0</v>
      </c>
      <c r="N2399">
        <f>VLOOKUP(J2399,Products!$A$2:$C$49,3,FALSE)</f>
        <v/>
      </c>
      <c r="O2399">
        <f>K2399*L2399-M2399</f>
        <v/>
      </c>
      <c r="P2399">
        <f>TEXT(B2399,"yyyy-mm")</f>
        <v/>
      </c>
      <c r="Q2399">
        <f>IF(O2399&gt;=3000,"Large","Small")</f>
        <v/>
      </c>
      <c r="R2399">
        <f>INDEX(Products!$F$2:$F$49,MATCH(J2399,Products!$A$2:$A$49,0))</f>
        <v/>
      </c>
      <c r="S2399">
        <f>WEEKDAY(B2399,2)</f>
        <v/>
      </c>
    </row>
    <row r="2400">
      <c r="A2400" t="n">
        <v>510572</v>
      </c>
      <c r="B2400" s="6" t="n">
        <v>45964</v>
      </c>
      <c r="C2400" t="n">
        <v>16081</v>
      </c>
      <c r="D2400" t="inlineStr">
        <is>
          <t>Kolkata</t>
        </is>
      </c>
      <c r="E2400" t="inlineStr">
        <is>
          <t>East</t>
        </is>
      </c>
      <c r="F2400" t="inlineStr">
        <is>
          <t>Referral</t>
        </is>
      </c>
      <c r="G2400" t="inlineStr">
        <is>
          <t>Mobile App</t>
        </is>
      </c>
      <c r="H2400" t="inlineStr">
        <is>
          <t>UPI</t>
        </is>
      </c>
      <c r="I2400" t="inlineStr">
        <is>
          <t>Delivered</t>
        </is>
      </c>
      <c r="J2400" t="n">
        <v>109</v>
      </c>
      <c r="K2400" t="n">
        <v>1</v>
      </c>
      <c r="L2400" t="n">
        <v>4199</v>
      </c>
      <c r="M2400" t="n">
        <v>0</v>
      </c>
      <c r="N2400">
        <f>VLOOKUP(J2400,Products!$A$2:$C$49,3,FALSE)</f>
        <v/>
      </c>
      <c r="O2400">
        <f>K2400*L2400-M2400</f>
        <v/>
      </c>
      <c r="P2400">
        <f>TEXT(B2400,"yyyy-mm")</f>
        <v/>
      </c>
      <c r="Q2400">
        <f>IF(O2400&gt;=3000,"Large","Small")</f>
        <v/>
      </c>
      <c r="R2400">
        <f>INDEX(Products!$F$2:$F$49,MATCH(J2400,Products!$A$2:$A$49,0))</f>
        <v/>
      </c>
      <c r="S2400">
        <f>WEEKDAY(B2400,2)</f>
        <v/>
      </c>
    </row>
    <row r="2401">
      <c r="A2401" t="n">
        <v>510572</v>
      </c>
      <c r="B2401" s="6" t="n">
        <v>45964</v>
      </c>
      <c r="C2401" t="n">
        <v>16081</v>
      </c>
      <c r="D2401" t="inlineStr">
        <is>
          <t>Kolkata</t>
        </is>
      </c>
      <c r="E2401" t="inlineStr">
        <is>
          <t>East</t>
        </is>
      </c>
      <c r="F2401" t="inlineStr">
        <is>
          <t>Referral</t>
        </is>
      </c>
      <c r="G2401" t="inlineStr">
        <is>
          <t>Mobile App</t>
        </is>
      </c>
      <c r="H2401" t="inlineStr">
        <is>
          <t>UPI</t>
        </is>
      </c>
      <c r="I2401" t="inlineStr">
        <is>
          <t>Delivered</t>
        </is>
      </c>
      <c r="J2401" t="n">
        <v>123</v>
      </c>
      <c r="K2401" t="n">
        <v>1</v>
      </c>
      <c r="L2401" t="n">
        <v>3464</v>
      </c>
      <c r="M2401" t="n">
        <v>0</v>
      </c>
      <c r="N2401">
        <f>VLOOKUP(J2401,Products!$A$2:$C$49,3,FALSE)</f>
        <v/>
      </c>
      <c r="O2401">
        <f>K2401*L2401-M2401</f>
        <v/>
      </c>
      <c r="P2401">
        <f>TEXT(B2401,"yyyy-mm")</f>
        <v/>
      </c>
      <c r="Q2401">
        <f>IF(O2401&gt;=3000,"Large","Small")</f>
        <v/>
      </c>
      <c r="R2401">
        <f>INDEX(Products!$F$2:$F$49,MATCH(J2401,Products!$A$2:$A$49,0))</f>
        <v/>
      </c>
      <c r="S2401">
        <f>WEEKDAY(B2401,2)</f>
        <v/>
      </c>
    </row>
    <row r="2402">
      <c r="A2402" t="n">
        <v>510573</v>
      </c>
      <c r="B2402" s="6" t="n">
        <v>45964</v>
      </c>
      <c r="C2402" t="n">
        <v>15801</v>
      </c>
      <c r="D2402" t="inlineStr">
        <is>
          <t>Jaipur</t>
        </is>
      </c>
      <c r="E2402" t="inlineStr">
        <is>
          <t>North</t>
        </is>
      </c>
      <c r="F2402" t="inlineStr">
        <is>
          <t>Referral</t>
        </is>
      </c>
      <c r="G2402" t="inlineStr">
        <is>
          <t>Mobile Web</t>
        </is>
      </c>
      <c r="H2402" t="inlineStr">
        <is>
          <t>Debit Card</t>
        </is>
      </c>
      <c r="I2402" t="inlineStr">
        <is>
          <t>Delivered</t>
        </is>
      </c>
      <c r="J2402" t="n">
        <v>126</v>
      </c>
      <c r="K2402" t="n">
        <v>1</v>
      </c>
      <c r="L2402" t="n">
        <v>471</v>
      </c>
      <c r="M2402" t="n">
        <v>0</v>
      </c>
      <c r="N2402">
        <f>VLOOKUP(J2402,Products!$A$2:$C$49,3,FALSE)</f>
        <v/>
      </c>
      <c r="O2402">
        <f>K2402*L2402-M2402</f>
        <v/>
      </c>
      <c r="P2402">
        <f>TEXT(B2402,"yyyy-mm")</f>
        <v/>
      </c>
      <c r="Q2402">
        <f>IF(O2402&gt;=3000,"Large","Small")</f>
        <v/>
      </c>
      <c r="R2402">
        <f>INDEX(Products!$F$2:$F$49,MATCH(J2402,Products!$A$2:$A$49,0))</f>
        <v/>
      </c>
      <c r="S2402">
        <f>WEEKDAY(B2402,2)</f>
        <v/>
      </c>
    </row>
    <row r="2403">
      <c r="A2403" t="n">
        <v>510573</v>
      </c>
      <c r="B2403" s="6" t="n">
        <v>45964</v>
      </c>
      <c r="C2403" t="n">
        <v>15801</v>
      </c>
      <c r="D2403" t="inlineStr">
        <is>
          <t>Jaipur</t>
        </is>
      </c>
      <c r="E2403" t="inlineStr">
        <is>
          <t>North</t>
        </is>
      </c>
      <c r="F2403" t="inlineStr">
        <is>
          <t>Referral</t>
        </is>
      </c>
      <c r="G2403" t="inlineStr">
        <is>
          <t>Mobile Web</t>
        </is>
      </c>
      <c r="H2403" t="inlineStr">
        <is>
          <t>Debit Card</t>
        </is>
      </c>
      <c r="I2403" t="inlineStr">
        <is>
          <t>Delivered</t>
        </is>
      </c>
      <c r="J2403" t="n">
        <v>109</v>
      </c>
      <c r="K2403" t="n">
        <v>1</v>
      </c>
      <c r="L2403" t="n">
        <v>4199</v>
      </c>
      <c r="M2403" t="n">
        <v>0</v>
      </c>
      <c r="N2403">
        <f>VLOOKUP(J2403,Products!$A$2:$C$49,3,FALSE)</f>
        <v/>
      </c>
      <c r="O2403">
        <f>K2403*L2403-M2403</f>
        <v/>
      </c>
      <c r="P2403">
        <f>TEXT(B2403,"yyyy-mm")</f>
        <v/>
      </c>
      <c r="Q2403">
        <f>IF(O2403&gt;=3000,"Large","Small")</f>
        <v/>
      </c>
      <c r="R2403">
        <f>INDEX(Products!$F$2:$F$49,MATCH(J2403,Products!$A$2:$A$49,0))</f>
        <v/>
      </c>
      <c r="S2403">
        <f>WEEKDAY(B2403,2)</f>
        <v/>
      </c>
    </row>
    <row r="2404">
      <c r="A2404" t="n">
        <v>510574</v>
      </c>
      <c r="B2404" s="6" t="n">
        <v>45964</v>
      </c>
      <c r="C2404" t="n">
        <v>17002</v>
      </c>
      <c r="D2404" t="inlineStr">
        <is>
          <t>Mumbai</t>
        </is>
      </c>
      <c r="E2404" t="inlineStr">
        <is>
          <t>West</t>
        </is>
      </c>
      <c r="F2404" t="inlineStr">
        <is>
          <t>Organic Search</t>
        </is>
      </c>
      <c r="G2404" t="inlineStr">
        <is>
          <t>Mobile App</t>
        </is>
      </c>
      <c r="H2404" t="inlineStr">
        <is>
          <t>UPI</t>
        </is>
      </c>
      <c r="I2404" t="inlineStr">
        <is>
          <t>Returned</t>
        </is>
      </c>
      <c r="J2404" t="n">
        <v>128</v>
      </c>
      <c r="K2404" t="n">
        <v>1</v>
      </c>
      <c r="L2404" t="n">
        <v>1049</v>
      </c>
      <c r="M2404" t="n">
        <v>157.35</v>
      </c>
      <c r="N2404">
        <f>VLOOKUP(J2404,Products!$A$2:$C$49,3,FALSE)</f>
        <v/>
      </c>
      <c r="O2404">
        <f>K2404*L2404-M2404</f>
        <v/>
      </c>
      <c r="P2404">
        <f>TEXT(B2404,"yyyy-mm")</f>
        <v/>
      </c>
      <c r="Q2404">
        <f>IF(O2404&gt;=3000,"Large","Small")</f>
        <v/>
      </c>
      <c r="R2404">
        <f>INDEX(Products!$F$2:$F$49,MATCH(J2404,Products!$A$2:$A$49,0))</f>
        <v/>
      </c>
      <c r="S2404">
        <f>WEEKDAY(B2404,2)</f>
        <v/>
      </c>
    </row>
    <row r="2405">
      <c r="A2405" t="n">
        <v>510574</v>
      </c>
      <c r="B2405" s="6" t="n">
        <v>45964</v>
      </c>
      <c r="C2405" t="n">
        <v>17002</v>
      </c>
      <c r="D2405" t="inlineStr">
        <is>
          <t>Mumbai</t>
        </is>
      </c>
      <c r="E2405" t="inlineStr">
        <is>
          <t>West</t>
        </is>
      </c>
      <c r="F2405" t="inlineStr">
        <is>
          <t>Organic Search</t>
        </is>
      </c>
      <c r="G2405" t="inlineStr">
        <is>
          <t>Mobile App</t>
        </is>
      </c>
      <c r="H2405" t="inlineStr">
        <is>
          <t>UPI</t>
        </is>
      </c>
      <c r="I2405" t="inlineStr">
        <is>
          <t>Returned</t>
        </is>
      </c>
      <c r="J2405" t="n">
        <v>101</v>
      </c>
      <c r="K2405" t="n">
        <v>2</v>
      </c>
      <c r="L2405" t="n">
        <v>2099</v>
      </c>
      <c r="M2405" t="n">
        <v>629.7</v>
      </c>
      <c r="N2405">
        <f>VLOOKUP(J2405,Products!$A$2:$C$49,3,FALSE)</f>
        <v/>
      </c>
      <c r="O2405">
        <f>K2405*L2405-M2405</f>
        <v/>
      </c>
      <c r="P2405">
        <f>TEXT(B2405,"yyyy-mm")</f>
        <v/>
      </c>
      <c r="Q2405">
        <f>IF(O2405&gt;=3000,"Large","Small")</f>
        <v/>
      </c>
      <c r="R2405">
        <f>INDEX(Products!$F$2:$F$49,MATCH(J2405,Products!$A$2:$A$49,0))</f>
        <v/>
      </c>
      <c r="S2405">
        <f>WEEKDAY(B2405,2)</f>
        <v/>
      </c>
    </row>
    <row r="2406">
      <c r="A2406" t="n">
        <v>510575</v>
      </c>
      <c r="B2406" s="6" t="n">
        <v>45964</v>
      </c>
      <c r="C2406" t="n">
        <v>16163</v>
      </c>
      <c r="D2406" t="inlineStr">
        <is>
          <t>Noida</t>
        </is>
      </c>
      <c r="E2406" t="inlineStr">
        <is>
          <t>North</t>
        </is>
      </c>
      <c r="F2406" t="inlineStr">
        <is>
          <t>Organic Search</t>
        </is>
      </c>
      <c r="G2406" t="inlineStr">
        <is>
          <t>Mobile App</t>
        </is>
      </c>
      <c r="H2406" t="inlineStr">
        <is>
          <t>UPI</t>
        </is>
      </c>
      <c r="I2406" t="inlineStr">
        <is>
          <t>Delivered</t>
        </is>
      </c>
      <c r="J2406" t="n">
        <v>113</v>
      </c>
      <c r="K2406" t="n">
        <v>1</v>
      </c>
      <c r="L2406" t="n">
        <v>1364</v>
      </c>
      <c r="M2406" t="n">
        <v>0</v>
      </c>
      <c r="N2406">
        <f>VLOOKUP(J2406,Products!$A$2:$C$49,3,FALSE)</f>
        <v/>
      </c>
      <c r="O2406">
        <f>K2406*L2406-M2406</f>
        <v/>
      </c>
      <c r="P2406">
        <f>TEXT(B2406,"yyyy-mm")</f>
        <v/>
      </c>
      <c r="Q2406">
        <f>IF(O2406&gt;=3000,"Large","Small")</f>
        <v/>
      </c>
      <c r="R2406">
        <f>INDEX(Products!$F$2:$F$49,MATCH(J2406,Products!$A$2:$A$49,0))</f>
        <v/>
      </c>
      <c r="S2406">
        <f>WEEKDAY(B2406,2)</f>
        <v/>
      </c>
    </row>
    <row r="2407">
      <c r="A2407" t="n">
        <v>510576</v>
      </c>
      <c r="B2407" s="6" t="n">
        <v>45964</v>
      </c>
      <c r="C2407" t="n">
        <v>15186</v>
      </c>
      <c r="D2407" t="inlineStr">
        <is>
          <t>Delhi</t>
        </is>
      </c>
      <c r="E2407" t="inlineStr">
        <is>
          <t>North</t>
        </is>
      </c>
      <c r="F2407" t="inlineStr">
        <is>
          <t>Referral</t>
        </is>
      </c>
      <c r="G2407" t="inlineStr">
        <is>
          <t>Mobile Web</t>
        </is>
      </c>
      <c r="H2407" t="inlineStr">
        <is>
          <t>Debit Card</t>
        </is>
      </c>
      <c r="I2407" t="inlineStr">
        <is>
          <t>Cancelled</t>
        </is>
      </c>
      <c r="J2407" t="n">
        <v>102</v>
      </c>
      <c r="K2407" t="n">
        <v>1</v>
      </c>
      <c r="L2407" t="n">
        <v>3674</v>
      </c>
      <c r="M2407" t="n">
        <v>0</v>
      </c>
      <c r="N2407">
        <f>VLOOKUP(J2407,Products!$A$2:$C$49,3,FALSE)</f>
        <v/>
      </c>
      <c r="O2407">
        <f>K2407*L2407-M2407</f>
        <v/>
      </c>
      <c r="P2407">
        <f>TEXT(B2407,"yyyy-mm")</f>
        <v/>
      </c>
      <c r="Q2407">
        <f>IF(O2407&gt;=3000,"Large","Small")</f>
        <v/>
      </c>
      <c r="R2407">
        <f>INDEX(Products!$F$2:$F$49,MATCH(J2407,Products!$A$2:$A$49,0))</f>
        <v/>
      </c>
      <c r="S2407">
        <f>WEEKDAY(B2407,2)</f>
        <v/>
      </c>
    </row>
    <row r="2408">
      <c r="A2408" t="n">
        <v>510577</v>
      </c>
      <c r="B2408" s="6" t="n">
        <v>45964</v>
      </c>
      <c r="C2408" t="n">
        <v>17058</v>
      </c>
      <c r="D2408" t="inlineStr">
        <is>
          <t>Hyderabad</t>
        </is>
      </c>
      <c r="E2408" t="inlineStr">
        <is>
          <t>South</t>
        </is>
      </c>
      <c r="F2408" t="inlineStr">
        <is>
          <t>Paid Social</t>
        </is>
      </c>
      <c r="G2408" t="inlineStr">
        <is>
          <t>Mobile App</t>
        </is>
      </c>
      <c r="H2408" t="inlineStr">
        <is>
          <t>Credit Card</t>
        </is>
      </c>
      <c r="I2408" t="inlineStr">
        <is>
          <t>Returned</t>
        </is>
      </c>
      <c r="J2408" t="n">
        <v>147</v>
      </c>
      <c r="K2408" t="n">
        <v>1</v>
      </c>
      <c r="L2408" t="n">
        <v>1364</v>
      </c>
      <c r="M2408" t="n">
        <v>204.6</v>
      </c>
      <c r="N2408">
        <f>VLOOKUP(J2408,Products!$A$2:$C$49,3,FALSE)</f>
        <v/>
      </c>
      <c r="O2408">
        <f>K2408*L2408-M2408</f>
        <v/>
      </c>
      <c r="P2408">
        <f>TEXT(B2408,"yyyy-mm")</f>
        <v/>
      </c>
      <c r="Q2408">
        <f>IF(O2408&gt;=3000,"Large","Small")</f>
        <v/>
      </c>
      <c r="R2408">
        <f>INDEX(Products!$F$2:$F$49,MATCH(J2408,Products!$A$2:$A$49,0))</f>
        <v/>
      </c>
      <c r="S2408">
        <f>WEEKDAY(B2408,2)</f>
        <v/>
      </c>
    </row>
    <row r="2409">
      <c r="A2409" t="n">
        <v>510577</v>
      </c>
      <c r="B2409" s="6" t="n">
        <v>45964</v>
      </c>
      <c r="C2409" t="n">
        <v>17058</v>
      </c>
      <c r="D2409" t="inlineStr">
        <is>
          <t>Hyderabad</t>
        </is>
      </c>
      <c r="E2409" t="inlineStr">
        <is>
          <t>South</t>
        </is>
      </c>
      <c r="F2409" t="inlineStr">
        <is>
          <t>Paid Social</t>
        </is>
      </c>
      <c r="G2409" t="inlineStr">
        <is>
          <t>Mobile App</t>
        </is>
      </c>
      <c r="H2409" t="inlineStr">
        <is>
          <t>Credit Card</t>
        </is>
      </c>
      <c r="I2409" t="inlineStr">
        <is>
          <t>Returned</t>
        </is>
      </c>
      <c r="J2409" t="n">
        <v>137</v>
      </c>
      <c r="K2409" t="n">
        <v>2</v>
      </c>
      <c r="L2409" t="n">
        <v>261</v>
      </c>
      <c r="M2409" t="n">
        <v>78.3</v>
      </c>
      <c r="N2409">
        <f>VLOOKUP(J2409,Products!$A$2:$C$49,3,FALSE)</f>
        <v/>
      </c>
      <c r="O2409">
        <f>K2409*L2409-M2409</f>
        <v/>
      </c>
      <c r="P2409">
        <f>TEXT(B2409,"yyyy-mm")</f>
        <v/>
      </c>
      <c r="Q2409">
        <f>IF(O2409&gt;=3000,"Large","Small")</f>
        <v/>
      </c>
      <c r="R2409">
        <f>INDEX(Products!$F$2:$F$49,MATCH(J2409,Products!$A$2:$A$49,0))</f>
        <v/>
      </c>
      <c r="S2409">
        <f>WEEKDAY(B2409,2)</f>
        <v/>
      </c>
    </row>
    <row r="2410">
      <c r="A2410" t="n">
        <v>510577</v>
      </c>
      <c r="B2410" s="6" t="n">
        <v>45964</v>
      </c>
      <c r="C2410" t="n">
        <v>17058</v>
      </c>
      <c r="D2410" t="inlineStr">
        <is>
          <t>Hyderabad</t>
        </is>
      </c>
      <c r="E2410" t="inlineStr">
        <is>
          <t>South</t>
        </is>
      </c>
      <c r="F2410" t="inlineStr">
        <is>
          <t>Paid Social</t>
        </is>
      </c>
      <c r="G2410" t="inlineStr">
        <is>
          <t>Mobile App</t>
        </is>
      </c>
      <c r="H2410" t="inlineStr">
        <is>
          <t>Credit Card</t>
        </is>
      </c>
      <c r="I2410" t="inlineStr">
        <is>
          <t>Returned</t>
        </is>
      </c>
      <c r="J2410" t="n">
        <v>119</v>
      </c>
      <c r="K2410" t="n">
        <v>1</v>
      </c>
      <c r="L2410" t="n">
        <v>2309</v>
      </c>
      <c r="M2410" t="n">
        <v>346.35</v>
      </c>
      <c r="N2410">
        <f>VLOOKUP(J2410,Products!$A$2:$C$49,3,FALSE)</f>
        <v/>
      </c>
      <c r="O2410">
        <f>K2410*L2410-M2410</f>
        <v/>
      </c>
      <c r="P2410">
        <f>TEXT(B2410,"yyyy-mm")</f>
        <v/>
      </c>
      <c r="Q2410">
        <f>IF(O2410&gt;=3000,"Large","Small")</f>
        <v/>
      </c>
      <c r="R2410">
        <f>INDEX(Products!$F$2:$F$49,MATCH(J2410,Products!$A$2:$A$49,0))</f>
        <v/>
      </c>
      <c r="S2410">
        <f>WEEKDAY(B2410,2)</f>
        <v/>
      </c>
    </row>
    <row r="2411">
      <c r="A2411" t="n">
        <v>510578</v>
      </c>
      <c r="B2411" s="6" t="n">
        <v>45964</v>
      </c>
      <c r="C2411" t="n">
        <v>17173</v>
      </c>
      <c r="D2411" t="inlineStr">
        <is>
          <t>Pune</t>
        </is>
      </c>
      <c r="E2411" t="inlineStr">
        <is>
          <t>West</t>
        </is>
      </c>
      <c r="F2411" t="inlineStr">
        <is>
          <t>Organic Search</t>
        </is>
      </c>
      <c r="G2411" t="inlineStr">
        <is>
          <t>Mobile Web</t>
        </is>
      </c>
      <c r="H2411" t="inlineStr">
        <is>
          <t>UPI</t>
        </is>
      </c>
      <c r="I2411" t="inlineStr">
        <is>
          <t>Delivered</t>
        </is>
      </c>
      <c r="J2411" t="n">
        <v>147</v>
      </c>
      <c r="K2411" t="n">
        <v>1</v>
      </c>
      <c r="L2411" t="n">
        <v>1364</v>
      </c>
      <c r="M2411" t="n">
        <v>204.6</v>
      </c>
      <c r="N2411">
        <f>VLOOKUP(J2411,Products!$A$2:$C$49,3,FALSE)</f>
        <v/>
      </c>
      <c r="O2411">
        <f>K2411*L2411-M2411</f>
        <v/>
      </c>
      <c r="P2411">
        <f>TEXT(B2411,"yyyy-mm")</f>
        <v/>
      </c>
      <c r="Q2411">
        <f>IF(O2411&gt;=3000,"Large","Small")</f>
        <v/>
      </c>
      <c r="R2411">
        <f>INDEX(Products!$F$2:$F$49,MATCH(J2411,Products!$A$2:$A$49,0))</f>
        <v/>
      </c>
      <c r="S2411">
        <f>WEEKDAY(B2411,2)</f>
        <v/>
      </c>
    </row>
    <row r="2412">
      <c r="A2412" t="n">
        <v>510579</v>
      </c>
      <c r="B2412" s="6" t="n">
        <v>45964</v>
      </c>
      <c r="C2412" t="n">
        <v>14056</v>
      </c>
      <c r="D2412" t="inlineStr">
        <is>
          <t>Pune</t>
        </is>
      </c>
      <c r="E2412" t="inlineStr">
        <is>
          <t>West</t>
        </is>
      </c>
      <c r="F2412" t="inlineStr">
        <is>
          <t>Email</t>
        </is>
      </c>
      <c r="G2412" t="inlineStr">
        <is>
          <t>Mobile App</t>
        </is>
      </c>
      <c r="H2412" t="inlineStr">
        <is>
          <t>UPI</t>
        </is>
      </c>
      <c r="I2412" t="inlineStr">
        <is>
          <t>Delivered</t>
        </is>
      </c>
      <c r="J2412" t="n">
        <v>101</v>
      </c>
      <c r="K2412" t="n">
        <v>1</v>
      </c>
      <c r="L2412" t="n">
        <v>2099</v>
      </c>
      <c r="M2412" t="n">
        <v>0</v>
      </c>
      <c r="N2412">
        <f>VLOOKUP(J2412,Products!$A$2:$C$49,3,FALSE)</f>
        <v/>
      </c>
      <c r="O2412">
        <f>K2412*L2412-M2412</f>
        <v/>
      </c>
      <c r="P2412">
        <f>TEXT(B2412,"yyyy-mm")</f>
        <v/>
      </c>
      <c r="Q2412">
        <f>IF(O2412&gt;=3000,"Large","Small")</f>
        <v/>
      </c>
      <c r="R2412">
        <f>INDEX(Products!$F$2:$F$49,MATCH(J2412,Products!$A$2:$A$49,0))</f>
        <v/>
      </c>
      <c r="S2412">
        <f>WEEKDAY(B2412,2)</f>
        <v/>
      </c>
    </row>
    <row r="2413">
      <c r="A2413" t="n">
        <v>510580</v>
      </c>
      <c r="B2413" s="6" t="n">
        <v>45964</v>
      </c>
      <c r="C2413" t="n">
        <v>16934</v>
      </c>
      <c r="D2413" t="inlineStr">
        <is>
          <t>Chennai</t>
        </is>
      </c>
      <c r="E2413" t="inlineStr">
        <is>
          <t>South</t>
        </is>
      </c>
      <c r="F2413" t="inlineStr">
        <is>
          <t>Organic Search</t>
        </is>
      </c>
      <c r="G2413" t="inlineStr">
        <is>
          <t>Mobile App</t>
        </is>
      </c>
      <c r="H2413" t="inlineStr">
        <is>
          <t>UPI</t>
        </is>
      </c>
      <c r="I2413" t="inlineStr">
        <is>
          <t>Delivered</t>
        </is>
      </c>
      <c r="J2413" t="n">
        <v>104</v>
      </c>
      <c r="K2413" t="n">
        <v>1</v>
      </c>
      <c r="L2413" t="n">
        <v>5249</v>
      </c>
      <c r="M2413" t="n">
        <v>0</v>
      </c>
      <c r="N2413">
        <f>VLOOKUP(J2413,Products!$A$2:$C$49,3,FALSE)</f>
        <v/>
      </c>
      <c r="O2413">
        <f>K2413*L2413-M2413</f>
        <v/>
      </c>
      <c r="P2413">
        <f>TEXT(B2413,"yyyy-mm")</f>
        <v/>
      </c>
      <c r="Q2413">
        <f>IF(O2413&gt;=3000,"Large","Small")</f>
        <v/>
      </c>
      <c r="R2413">
        <f>INDEX(Products!$F$2:$F$49,MATCH(J2413,Products!$A$2:$A$49,0))</f>
        <v/>
      </c>
      <c r="S2413">
        <f>WEEKDAY(B2413,2)</f>
        <v/>
      </c>
    </row>
    <row r="2414">
      <c r="A2414" t="n">
        <v>510580</v>
      </c>
      <c r="B2414" s="6" t="n">
        <v>45964</v>
      </c>
      <c r="C2414" t="n">
        <v>16934</v>
      </c>
      <c r="D2414" t="inlineStr">
        <is>
          <t>Chennai</t>
        </is>
      </c>
      <c r="E2414" t="inlineStr">
        <is>
          <t>South</t>
        </is>
      </c>
      <c r="F2414" t="inlineStr">
        <is>
          <t>Organic Search</t>
        </is>
      </c>
      <c r="G2414" t="inlineStr">
        <is>
          <t>Mobile App</t>
        </is>
      </c>
      <c r="H2414" t="inlineStr">
        <is>
          <t>UPI</t>
        </is>
      </c>
      <c r="I2414" t="inlineStr">
        <is>
          <t>Delivered</t>
        </is>
      </c>
      <c r="J2414" t="n">
        <v>125</v>
      </c>
      <c r="K2414" t="n">
        <v>2</v>
      </c>
      <c r="L2414" t="n">
        <v>1364</v>
      </c>
      <c r="M2414" t="n">
        <v>0</v>
      </c>
      <c r="N2414">
        <f>VLOOKUP(J2414,Products!$A$2:$C$49,3,FALSE)</f>
        <v/>
      </c>
      <c r="O2414">
        <f>K2414*L2414-M2414</f>
        <v/>
      </c>
      <c r="P2414">
        <f>TEXT(B2414,"yyyy-mm")</f>
        <v/>
      </c>
      <c r="Q2414">
        <f>IF(O2414&gt;=3000,"Large","Small")</f>
        <v/>
      </c>
      <c r="R2414">
        <f>INDEX(Products!$F$2:$F$49,MATCH(J2414,Products!$A$2:$A$49,0))</f>
        <v/>
      </c>
      <c r="S2414">
        <f>WEEKDAY(B2414,2)</f>
        <v/>
      </c>
    </row>
    <row r="2415">
      <c r="A2415" t="n">
        <v>510580</v>
      </c>
      <c r="B2415" s="6" t="n">
        <v>45964</v>
      </c>
      <c r="C2415" t="n">
        <v>16934</v>
      </c>
      <c r="D2415" t="inlineStr">
        <is>
          <t>Chennai</t>
        </is>
      </c>
      <c r="E2415" t="inlineStr">
        <is>
          <t>South</t>
        </is>
      </c>
      <c r="F2415" t="inlineStr">
        <is>
          <t>Organic Search</t>
        </is>
      </c>
      <c r="G2415" t="inlineStr">
        <is>
          <t>Mobile App</t>
        </is>
      </c>
      <c r="H2415" t="inlineStr">
        <is>
          <t>UPI</t>
        </is>
      </c>
      <c r="I2415" t="inlineStr">
        <is>
          <t>Delivered</t>
        </is>
      </c>
      <c r="J2415" t="n">
        <v>103</v>
      </c>
      <c r="K2415" t="n">
        <v>1</v>
      </c>
      <c r="L2415" t="n">
        <v>2624</v>
      </c>
      <c r="M2415" t="n">
        <v>0</v>
      </c>
      <c r="N2415">
        <f>VLOOKUP(J2415,Products!$A$2:$C$49,3,FALSE)</f>
        <v/>
      </c>
      <c r="O2415">
        <f>K2415*L2415-M2415</f>
        <v/>
      </c>
      <c r="P2415">
        <f>TEXT(B2415,"yyyy-mm")</f>
        <v/>
      </c>
      <c r="Q2415">
        <f>IF(O2415&gt;=3000,"Large","Small")</f>
        <v/>
      </c>
      <c r="R2415">
        <f>INDEX(Products!$F$2:$F$49,MATCH(J2415,Products!$A$2:$A$49,0))</f>
        <v/>
      </c>
      <c r="S2415">
        <f>WEEKDAY(B2415,2)</f>
        <v/>
      </c>
    </row>
    <row r="2416">
      <c r="A2416" t="n">
        <v>510580</v>
      </c>
      <c r="B2416" s="6" t="n">
        <v>45964</v>
      </c>
      <c r="C2416" t="n">
        <v>16934</v>
      </c>
      <c r="D2416" t="inlineStr">
        <is>
          <t>Chennai</t>
        </is>
      </c>
      <c r="E2416" t="inlineStr">
        <is>
          <t>South</t>
        </is>
      </c>
      <c r="F2416" t="inlineStr">
        <is>
          <t>Organic Search</t>
        </is>
      </c>
      <c r="G2416" t="inlineStr">
        <is>
          <t>Mobile App</t>
        </is>
      </c>
      <c r="H2416" t="inlineStr">
        <is>
          <t>UPI</t>
        </is>
      </c>
      <c r="I2416" t="inlineStr">
        <is>
          <t>Delivered</t>
        </is>
      </c>
      <c r="J2416" t="n">
        <v>107</v>
      </c>
      <c r="K2416" t="n">
        <v>1</v>
      </c>
      <c r="L2416" t="n">
        <v>1259</v>
      </c>
      <c r="M2416" t="n">
        <v>0</v>
      </c>
      <c r="N2416">
        <f>VLOOKUP(J2416,Products!$A$2:$C$49,3,FALSE)</f>
        <v/>
      </c>
      <c r="O2416">
        <f>K2416*L2416-M2416</f>
        <v/>
      </c>
      <c r="P2416">
        <f>TEXT(B2416,"yyyy-mm")</f>
        <v/>
      </c>
      <c r="Q2416">
        <f>IF(O2416&gt;=3000,"Large","Small")</f>
        <v/>
      </c>
      <c r="R2416">
        <f>INDEX(Products!$F$2:$F$49,MATCH(J2416,Products!$A$2:$A$49,0))</f>
        <v/>
      </c>
      <c r="S2416">
        <f>WEEKDAY(B2416,2)</f>
        <v/>
      </c>
    </row>
    <row r="2417">
      <c r="A2417" t="n">
        <v>510581</v>
      </c>
      <c r="B2417" s="6" t="n">
        <v>45964</v>
      </c>
      <c r="C2417" t="n">
        <v>17171</v>
      </c>
      <c r="D2417" t="inlineStr">
        <is>
          <t>Jaipur</t>
        </is>
      </c>
      <c r="E2417" t="inlineStr">
        <is>
          <t>North</t>
        </is>
      </c>
      <c r="F2417" t="inlineStr">
        <is>
          <t>Paid Search</t>
        </is>
      </c>
      <c r="G2417" t="inlineStr">
        <is>
          <t>Mobile App</t>
        </is>
      </c>
      <c r="H2417" t="inlineStr">
        <is>
          <t>UPI</t>
        </is>
      </c>
      <c r="I2417" t="inlineStr">
        <is>
          <t>Delivered</t>
        </is>
      </c>
      <c r="J2417" t="n">
        <v>134</v>
      </c>
      <c r="K2417" t="n">
        <v>3</v>
      </c>
      <c r="L2417" t="n">
        <v>209</v>
      </c>
      <c r="M2417" t="n">
        <v>94.05</v>
      </c>
      <c r="N2417">
        <f>VLOOKUP(J2417,Products!$A$2:$C$49,3,FALSE)</f>
        <v/>
      </c>
      <c r="O2417">
        <f>K2417*L2417-M2417</f>
        <v/>
      </c>
      <c r="P2417">
        <f>TEXT(B2417,"yyyy-mm")</f>
        <v/>
      </c>
      <c r="Q2417">
        <f>IF(O2417&gt;=3000,"Large","Small")</f>
        <v/>
      </c>
      <c r="R2417">
        <f>INDEX(Products!$F$2:$F$49,MATCH(J2417,Products!$A$2:$A$49,0))</f>
        <v/>
      </c>
      <c r="S2417">
        <f>WEEKDAY(B2417,2)</f>
        <v/>
      </c>
    </row>
    <row r="2418">
      <c r="A2418" t="n">
        <v>510581</v>
      </c>
      <c r="B2418" s="6" t="n">
        <v>45964</v>
      </c>
      <c r="C2418" t="n">
        <v>17171</v>
      </c>
      <c r="D2418" t="inlineStr">
        <is>
          <t>Jaipur</t>
        </is>
      </c>
      <c r="E2418" t="inlineStr">
        <is>
          <t>North</t>
        </is>
      </c>
      <c r="F2418" t="inlineStr">
        <is>
          <t>Paid Search</t>
        </is>
      </c>
      <c r="G2418" t="inlineStr">
        <is>
          <t>Mobile App</t>
        </is>
      </c>
      <c r="H2418" t="inlineStr">
        <is>
          <t>UPI</t>
        </is>
      </c>
      <c r="I2418" t="inlineStr">
        <is>
          <t>Delivered</t>
        </is>
      </c>
      <c r="J2418" t="n">
        <v>102</v>
      </c>
      <c r="K2418" t="n">
        <v>2</v>
      </c>
      <c r="L2418" t="n">
        <v>3674</v>
      </c>
      <c r="M2418" t="n">
        <v>1102.2</v>
      </c>
      <c r="N2418">
        <f>VLOOKUP(J2418,Products!$A$2:$C$49,3,FALSE)</f>
        <v/>
      </c>
      <c r="O2418">
        <f>K2418*L2418-M2418</f>
        <v/>
      </c>
      <c r="P2418">
        <f>TEXT(B2418,"yyyy-mm")</f>
        <v/>
      </c>
      <c r="Q2418">
        <f>IF(O2418&gt;=3000,"Large","Small")</f>
        <v/>
      </c>
      <c r="R2418">
        <f>INDEX(Products!$F$2:$F$49,MATCH(J2418,Products!$A$2:$A$49,0))</f>
        <v/>
      </c>
      <c r="S2418">
        <f>WEEKDAY(B2418,2)</f>
        <v/>
      </c>
    </row>
    <row r="2419">
      <c r="A2419" t="n">
        <v>510582</v>
      </c>
      <c r="B2419" s="6" t="n">
        <v>45964</v>
      </c>
      <c r="C2419" t="n">
        <v>16473</v>
      </c>
      <c r="D2419" t="inlineStr">
        <is>
          <t>Mumbai</t>
        </is>
      </c>
      <c r="E2419" t="inlineStr">
        <is>
          <t>West</t>
        </is>
      </c>
      <c r="F2419" t="inlineStr">
        <is>
          <t>Referral</t>
        </is>
      </c>
      <c r="G2419" t="inlineStr">
        <is>
          <t>Mobile App</t>
        </is>
      </c>
      <c r="H2419" t="inlineStr">
        <is>
          <t>UPI</t>
        </is>
      </c>
      <c r="I2419" t="inlineStr">
        <is>
          <t>Returned</t>
        </is>
      </c>
      <c r="J2419" t="n">
        <v>104</v>
      </c>
      <c r="K2419" t="n">
        <v>1</v>
      </c>
      <c r="L2419" t="n">
        <v>5249</v>
      </c>
      <c r="M2419" t="n">
        <v>0</v>
      </c>
      <c r="N2419">
        <f>VLOOKUP(J2419,Products!$A$2:$C$49,3,FALSE)</f>
        <v/>
      </c>
      <c r="O2419">
        <f>K2419*L2419-M2419</f>
        <v/>
      </c>
      <c r="P2419">
        <f>TEXT(B2419,"yyyy-mm")</f>
        <v/>
      </c>
      <c r="Q2419">
        <f>IF(O2419&gt;=3000,"Large","Small")</f>
        <v/>
      </c>
      <c r="R2419">
        <f>INDEX(Products!$F$2:$F$49,MATCH(J2419,Products!$A$2:$A$49,0))</f>
        <v/>
      </c>
      <c r="S2419">
        <f>WEEKDAY(B2419,2)</f>
        <v/>
      </c>
    </row>
    <row r="2420">
      <c r="A2420" t="n">
        <v>510582</v>
      </c>
      <c r="B2420" s="6" t="n">
        <v>45964</v>
      </c>
      <c r="C2420" t="n">
        <v>16473</v>
      </c>
      <c r="D2420" t="inlineStr">
        <is>
          <t>Mumbai</t>
        </is>
      </c>
      <c r="E2420" t="inlineStr">
        <is>
          <t>West</t>
        </is>
      </c>
      <c r="F2420" t="inlineStr">
        <is>
          <t>Referral</t>
        </is>
      </c>
      <c r="G2420" t="inlineStr">
        <is>
          <t>Mobile App</t>
        </is>
      </c>
      <c r="H2420" t="inlineStr">
        <is>
          <t>UPI</t>
        </is>
      </c>
      <c r="I2420" t="inlineStr">
        <is>
          <t>Returned</t>
        </is>
      </c>
      <c r="J2420" t="n">
        <v>135</v>
      </c>
      <c r="K2420" t="n">
        <v>2</v>
      </c>
      <c r="L2420" t="n">
        <v>1574</v>
      </c>
      <c r="M2420" t="n">
        <v>0</v>
      </c>
      <c r="N2420">
        <f>VLOOKUP(J2420,Products!$A$2:$C$49,3,FALSE)</f>
        <v/>
      </c>
      <c r="O2420">
        <f>K2420*L2420-M2420</f>
        <v/>
      </c>
      <c r="P2420">
        <f>TEXT(B2420,"yyyy-mm")</f>
        <v/>
      </c>
      <c r="Q2420">
        <f>IF(O2420&gt;=3000,"Large","Small")</f>
        <v/>
      </c>
      <c r="R2420">
        <f>INDEX(Products!$F$2:$F$49,MATCH(J2420,Products!$A$2:$A$49,0))</f>
        <v/>
      </c>
      <c r="S2420">
        <f>WEEKDAY(B2420,2)</f>
        <v/>
      </c>
    </row>
    <row r="2421">
      <c r="A2421" t="n">
        <v>510583</v>
      </c>
      <c r="B2421" s="6" t="n">
        <v>45964</v>
      </c>
      <c r="C2421" t="n">
        <v>14486</v>
      </c>
      <c r="D2421" t="inlineStr">
        <is>
          <t>Gurugram</t>
        </is>
      </c>
      <c r="E2421" t="inlineStr">
        <is>
          <t>North</t>
        </is>
      </c>
      <c r="F2421" t="inlineStr">
        <is>
          <t>Referral</t>
        </is>
      </c>
      <c r="G2421" t="inlineStr">
        <is>
          <t>Mobile Web</t>
        </is>
      </c>
      <c r="H2421" t="inlineStr">
        <is>
          <t>Credit Card</t>
        </is>
      </c>
      <c r="I2421" t="inlineStr">
        <is>
          <t>Delivered</t>
        </is>
      </c>
      <c r="J2421" t="n">
        <v>128</v>
      </c>
      <c r="K2421" t="n">
        <v>2</v>
      </c>
      <c r="L2421" t="n">
        <v>1049</v>
      </c>
      <c r="M2421" t="n">
        <v>0</v>
      </c>
      <c r="N2421">
        <f>VLOOKUP(J2421,Products!$A$2:$C$49,3,FALSE)</f>
        <v/>
      </c>
      <c r="O2421">
        <f>K2421*L2421-M2421</f>
        <v/>
      </c>
      <c r="P2421">
        <f>TEXT(B2421,"yyyy-mm")</f>
        <v/>
      </c>
      <c r="Q2421">
        <f>IF(O2421&gt;=3000,"Large","Small")</f>
        <v/>
      </c>
      <c r="R2421">
        <f>INDEX(Products!$F$2:$F$49,MATCH(J2421,Products!$A$2:$A$49,0))</f>
        <v/>
      </c>
      <c r="S2421">
        <f>WEEKDAY(B2421,2)</f>
        <v/>
      </c>
    </row>
    <row r="2422">
      <c r="A2422" t="n">
        <v>510584</v>
      </c>
      <c r="B2422" s="6" t="n">
        <v>45964</v>
      </c>
      <c r="C2422" t="n">
        <v>17089</v>
      </c>
      <c r="D2422" t="inlineStr">
        <is>
          <t>Noida</t>
        </is>
      </c>
      <c r="E2422" t="inlineStr">
        <is>
          <t>North</t>
        </is>
      </c>
      <c r="F2422" t="inlineStr">
        <is>
          <t>Referral</t>
        </is>
      </c>
      <c r="G2422" t="inlineStr">
        <is>
          <t>Mobile App</t>
        </is>
      </c>
      <c r="H2422" t="inlineStr">
        <is>
          <t>UPI</t>
        </is>
      </c>
      <c r="I2422" t="inlineStr">
        <is>
          <t>Delivered</t>
        </is>
      </c>
      <c r="J2422" t="n">
        <v>108</v>
      </c>
      <c r="K2422" t="n">
        <v>1</v>
      </c>
      <c r="L2422" t="n">
        <v>419</v>
      </c>
      <c r="M2422" t="n">
        <v>0</v>
      </c>
      <c r="N2422">
        <f>VLOOKUP(J2422,Products!$A$2:$C$49,3,FALSE)</f>
        <v/>
      </c>
      <c r="O2422">
        <f>K2422*L2422-M2422</f>
        <v/>
      </c>
      <c r="P2422">
        <f>TEXT(B2422,"yyyy-mm")</f>
        <v/>
      </c>
      <c r="Q2422">
        <f>IF(O2422&gt;=3000,"Large","Small")</f>
        <v/>
      </c>
      <c r="R2422">
        <f>INDEX(Products!$F$2:$F$49,MATCH(J2422,Products!$A$2:$A$49,0))</f>
        <v/>
      </c>
      <c r="S2422">
        <f>WEEKDAY(B2422,2)</f>
        <v/>
      </c>
    </row>
    <row r="2423">
      <c r="A2423" t="n">
        <v>510585</v>
      </c>
      <c r="B2423" s="6" t="n">
        <v>45964</v>
      </c>
      <c r="C2423" t="n">
        <v>17126</v>
      </c>
      <c r="D2423" t="inlineStr">
        <is>
          <t>Bengaluru</t>
        </is>
      </c>
      <c r="E2423" t="inlineStr">
        <is>
          <t>South</t>
        </is>
      </c>
      <c r="F2423" t="inlineStr">
        <is>
          <t>Paid Social</t>
        </is>
      </c>
      <c r="G2423" t="inlineStr">
        <is>
          <t>Mobile Web</t>
        </is>
      </c>
      <c r="H2423" t="inlineStr">
        <is>
          <t>Cash on Delivery</t>
        </is>
      </c>
      <c r="I2423" t="inlineStr">
        <is>
          <t>Delivered</t>
        </is>
      </c>
      <c r="J2423" t="n">
        <v>105</v>
      </c>
      <c r="K2423" t="n">
        <v>1</v>
      </c>
      <c r="L2423" t="n">
        <v>2414</v>
      </c>
      <c r="M2423" t="n">
        <v>0</v>
      </c>
      <c r="N2423">
        <f>VLOOKUP(J2423,Products!$A$2:$C$49,3,FALSE)</f>
        <v/>
      </c>
      <c r="O2423">
        <f>K2423*L2423-M2423</f>
        <v/>
      </c>
      <c r="P2423">
        <f>TEXT(B2423,"yyyy-mm")</f>
        <v/>
      </c>
      <c r="Q2423">
        <f>IF(O2423&gt;=3000,"Large","Small")</f>
        <v/>
      </c>
      <c r="R2423">
        <f>INDEX(Products!$F$2:$F$49,MATCH(J2423,Products!$A$2:$A$49,0))</f>
        <v/>
      </c>
      <c r="S2423">
        <f>WEEKDAY(B2423,2)</f>
        <v/>
      </c>
    </row>
    <row r="2424">
      <c r="A2424" t="n">
        <v>510586</v>
      </c>
      <c r="B2424" s="6" t="n">
        <v>45964</v>
      </c>
      <c r="C2424" t="n">
        <v>17117</v>
      </c>
      <c r="D2424" t="inlineStr">
        <is>
          <t>Chandigarh</t>
        </is>
      </c>
      <c r="E2424" t="inlineStr">
        <is>
          <t>North</t>
        </is>
      </c>
      <c r="F2424" t="inlineStr">
        <is>
          <t>Paid Social</t>
        </is>
      </c>
      <c r="G2424" t="inlineStr">
        <is>
          <t>Mobile App</t>
        </is>
      </c>
      <c r="H2424" t="inlineStr">
        <is>
          <t>Net Banking</t>
        </is>
      </c>
      <c r="I2424" t="inlineStr">
        <is>
          <t>Delivered</t>
        </is>
      </c>
      <c r="J2424" t="n">
        <v>139</v>
      </c>
      <c r="K2424" t="n">
        <v>1</v>
      </c>
      <c r="L2424" t="n">
        <v>366</v>
      </c>
      <c r="M2424" t="n">
        <v>0</v>
      </c>
      <c r="N2424">
        <f>VLOOKUP(J2424,Products!$A$2:$C$49,3,FALSE)</f>
        <v/>
      </c>
      <c r="O2424">
        <f>K2424*L2424-M2424</f>
        <v/>
      </c>
      <c r="P2424">
        <f>TEXT(B2424,"yyyy-mm")</f>
        <v/>
      </c>
      <c r="Q2424">
        <f>IF(O2424&gt;=3000,"Large","Small")</f>
        <v/>
      </c>
      <c r="R2424">
        <f>INDEX(Products!$F$2:$F$49,MATCH(J2424,Products!$A$2:$A$49,0))</f>
        <v/>
      </c>
      <c r="S2424">
        <f>WEEKDAY(B2424,2)</f>
        <v/>
      </c>
    </row>
    <row r="2425">
      <c r="A2425" t="n">
        <v>510587</v>
      </c>
      <c r="B2425" s="6" t="n">
        <v>45964</v>
      </c>
      <c r="C2425" t="n">
        <v>17166</v>
      </c>
      <c r="D2425" t="inlineStr">
        <is>
          <t>Chennai</t>
        </is>
      </c>
      <c r="E2425" t="inlineStr">
        <is>
          <t>South</t>
        </is>
      </c>
      <c r="F2425" t="inlineStr">
        <is>
          <t>Affiliate</t>
        </is>
      </c>
      <c r="G2425" t="inlineStr">
        <is>
          <t>Desktop</t>
        </is>
      </c>
      <c r="H2425" t="inlineStr">
        <is>
          <t>UPI</t>
        </is>
      </c>
      <c r="I2425" t="inlineStr">
        <is>
          <t>Cancelled</t>
        </is>
      </c>
      <c r="J2425" t="n">
        <v>137</v>
      </c>
      <c r="K2425" t="n">
        <v>1</v>
      </c>
      <c r="L2425" t="n">
        <v>261</v>
      </c>
      <c r="M2425" t="n">
        <v>0</v>
      </c>
      <c r="N2425">
        <f>VLOOKUP(J2425,Products!$A$2:$C$49,3,FALSE)</f>
        <v/>
      </c>
      <c r="O2425">
        <f>K2425*L2425-M2425</f>
        <v/>
      </c>
      <c r="P2425">
        <f>TEXT(B2425,"yyyy-mm")</f>
        <v/>
      </c>
      <c r="Q2425">
        <f>IF(O2425&gt;=3000,"Large","Small")</f>
        <v/>
      </c>
      <c r="R2425">
        <f>INDEX(Products!$F$2:$F$49,MATCH(J2425,Products!$A$2:$A$49,0))</f>
        <v/>
      </c>
      <c r="S2425">
        <f>WEEKDAY(B2425,2)</f>
        <v/>
      </c>
    </row>
    <row r="2426">
      <c r="A2426" t="n">
        <v>510587</v>
      </c>
      <c r="B2426" s="6" t="n">
        <v>45964</v>
      </c>
      <c r="C2426" t="n">
        <v>17166</v>
      </c>
      <c r="D2426" t="inlineStr">
        <is>
          <t>Chennai</t>
        </is>
      </c>
      <c r="E2426" t="inlineStr">
        <is>
          <t>South</t>
        </is>
      </c>
      <c r="F2426" t="inlineStr">
        <is>
          <t>Affiliate</t>
        </is>
      </c>
      <c r="G2426" t="inlineStr">
        <is>
          <t>Desktop</t>
        </is>
      </c>
      <c r="H2426" t="inlineStr">
        <is>
          <t>UPI</t>
        </is>
      </c>
      <c r="I2426" t="inlineStr">
        <is>
          <t>Cancelled</t>
        </is>
      </c>
      <c r="J2426" t="n">
        <v>136</v>
      </c>
      <c r="K2426" t="n">
        <v>1</v>
      </c>
      <c r="L2426" t="n">
        <v>944</v>
      </c>
      <c r="M2426" t="n">
        <v>0</v>
      </c>
      <c r="N2426">
        <f>VLOOKUP(J2426,Products!$A$2:$C$49,3,FALSE)</f>
        <v/>
      </c>
      <c r="O2426">
        <f>K2426*L2426-M2426</f>
        <v/>
      </c>
      <c r="P2426">
        <f>TEXT(B2426,"yyyy-mm")</f>
        <v/>
      </c>
      <c r="Q2426">
        <f>IF(O2426&gt;=3000,"Large","Small")</f>
        <v/>
      </c>
      <c r="R2426">
        <f>INDEX(Products!$F$2:$F$49,MATCH(J2426,Products!$A$2:$A$49,0))</f>
        <v/>
      </c>
      <c r="S2426">
        <f>WEEKDAY(B2426,2)</f>
        <v/>
      </c>
    </row>
    <row r="2427">
      <c r="A2427" t="n">
        <v>510588</v>
      </c>
      <c r="B2427" s="6" t="n">
        <v>45964</v>
      </c>
      <c r="C2427" t="n">
        <v>16422</v>
      </c>
      <c r="D2427" t="inlineStr">
        <is>
          <t>Gurugram</t>
        </is>
      </c>
      <c r="E2427" t="inlineStr">
        <is>
          <t>North</t>
        </is>
      </c>
      <c r="F2427" t="inlineStr">
        <is>
          <t>Paid Social</t>
        </is>
      </c>
      <c r="G2427" t="inlineStr">
        <is>
          <t>Desktop</t>
        </is>
      </c>
      <c r="H2427" t="inlineStr">
        <is>
          <t>UPI</t>
        </is>
      </c>
      <c r="I2427" t="inlineStr">
        <is>
          <t>Delivered</t>
        </is>
      </c>
      <c r="J2427" t="n">
        <v>139</v>
      </c>
      <c r="K2427" t="n">
        <v>1</v>
      </c>
      <c r="L2427" t="n">
        <v>366</v>
      </c>
      <c r="M2427" t="n">
        <v>0</v>
      </c>
      <c r="N2427">
        <f>VLOOKUP(J2427,Products!$A$2:$C$49,3,FALSE)</f>
        <v/>
      </c>
      <c r="O2427">
        <f>K2427*L2427-M2427</f>
        <v/>
      </c>
      <c r="P2427">
        <f>TEXT(B2427,"yyyy-mm")</f>
        <v/>
      </c>
      <c r="Q2427">
        <f>IF(O2427&gt;=3000,"Large","Small")</f>
        <v/>
      </c>
      <c r="R2427">
        <f>INDEX(Products!$F$2:$F$49,MATCH(J2427,Products!$A$2:$A$49,0))</f>
        <v/>
      </c>
      <c r="S2427">
        <f>WEEKDAY(B2427,2)</f>
        <v/>
      </c>
    </row>
    <row r="2428">
      <c r="A2428" t="n">
        <v>510589</v>
      </c>
      <c r="B2428" s="6" t="n">
        <v>45964</v>
      </c>
      <c r="C2428" t="n">
        <v>12579</v>
      </c>
      <c r="D2428" t="inlineStr">
        <is>
          <t>Ahmedabad</t>
        </is>
      </c>
      <c r="E2428" t="inlineStr">
        <is>
          <t>West</t>
        </is>
      </c>
      <c r="F2428" t="inlineStr">
        <is>
          <t>Organic Search</t>
        </is>
      </c>
      <c r="G2428" t="inlineStr">
        <is>
          <t>Desktop</t>
        </is>
      </c>
      <c r="H2428" t="inlineStr">
        <is>
          <t>UPI</t>
        </is>
      </c>
      <c r="I2428" t="inlineStr">
        <is>
          <t>Cancelled</t>
        </is>
      </c>
      <c r="J2428" t="n">
        <v>109</v>
      </c>
      <c r="K2428" t="n">
        <v>2</v>
      </c>
      <c r="L2428" t="n">
        <v>4199</v>
      </c>
      <c r="M2428" t="n">
        <v>0</v>
      </c>
      <c r="N2428">
        <f>VLOOKUP(J2428,Products!$A$2:$C$49,3,FALSE)</f>
        <v/>
      </c>
      <c r="O2428">
        <f>K2428*L2428-M2428</f>
        <v/>
      </c>
      <c r="P2428">
        <f>TEXT(B2428,"yyyy-mm")</f>
        <v/>
      </c>
      <c r="Q2428">
        <f>IF(O2428&gt;=3000,"Large","Small")</f>
        <v/>
      </c>
      <c r="R2428">
        <f>INDEX(Products!$F$2:$F$49,MATCH(J2428,Products!$A$2:$A$49,0))</f>
        <v/>
      </c>
      <c r="S2428">
        <f>WEEKDAY(B2428,2)</f>
        <v/>
      </c>
    </row>
    <row r="2429">
      <c r="A2429" t="n">
        <v>510589</v>
      </c>
      <c r="B2429" s="6" t="n">
        <v>45964</v>
      </c>
      <c r="C2429" t="n">
        <v>12579</v>
      </c>
      <c r="D2429" t="inlineStr">
        <is>
          <t>Ahmedabad</t>
        </is>
      </c>
      <c r="E2429" t="inlineStr">
        <is>
          <t>West</t>
        </is>
      </c>
      <c r="F2429" t="inlineStr">
        <is>
          <t>Organic Search</t>
        </is>
      </c>
      <c r="G2429" t="inlineStr">
        <is>
          <t>Desktop</t>
        </is>
      </c>
      <c r="H2429" t="inlineStr">
        <is>
          <t>UPI</t>
        </is>
      </c>
      <c r="I2429" t="inlineStr">
        <is>
          <t>Cancelled</t>
        </is>
      </c>
      <c r="J2429" t="n">
        <v>143</v>
      </c>
      <c r="K2429" t="n">
        <v>1</v>
      </c>
      <c r="L2429" t="n">
        <v>839</v>
      </c>
      <c r="M2429" t="n">
        <v>0</v>
      </c>
      <c r="N2429">
        <f>VLOOKUP(J2429,Products!$A$2:$C$49,3,FALSE)</f>
        <v/>
      </c>
      <c r="O2429">
        <f>K2429*L2429-M2429</f>
        <v/>
      </c>
      <c r="P2429">
        <f>TEXT(B2429,"yyyy-mm")</f>
        <v/>
      </c>
      <c r="Q2429">
        <f>IF(O2429&gt;=3000,"Large","Small")</f>
        <v/>
      </c>
      <c r="R2429">
        <f>INDEX(Products!$F$2:$F$49,MATCH(J2429,Products!$A$2:$A$49,0))</f>
        <v/>
      </c>
      <c r="S2429">
        <f>WEEKDAY(B2429,2)</f>
        <v/>
      </c>
    </row>
    <row r="2430">
      <c r="A2430" t="n">
        <v>510590</v>
      </c>
      <c r="B2430" s="6" t="n">
        <v>45965</v>
      </c>
      <c r="C2430" t="n">
        <v>15977</v>
      </c>
      <c r="D2430" t="inlineStr">
        <is>
          <t>Gurugram</t>
        </is>
      </c>
      <c r="E2430" t="inlineStr">
        <is>
          <t>North</t>
        </is>
      </c>
      <c r="F2430" t="inlineStr">
        <is>
          <t>Paid Social</t>
        </is>
      </c>
      <c r="G2430" t="inlineStr">
        <is>
          <t>Mobile App</t>
        </is>
      </c>
      <c r="H2430" t="inlineStr">
        <is>
          <t>Debit Card</t>
        </is>
      </c>
      <c r="I2430" t="inlineStr">
        <is>
          <t>Delivered</t>
        </is>
      </c>
      <c r="J2430" t="n">
        <v>126</v>
      </c>
      <c r="K2430" t="n">
        <v>1</v>
      </c>
      <c r="L2430" t="n">
        <v>471</v>
      </c>
      <c r="M2430" t="n">
        <v>0</v>
      </c>
      <c r="N2430">
        <f>VLOOKUP(J2430,Products!$A$2:$C$49,3,FALSE)</f>
        <v/>
      </c>
      <c r="O2430">
        <f>K2430*L2430-M2430</f>
        <v/>
      </c>
      <c r="P2430">
        <f>TEXT(B2430,"yyyy-mm")</f>
        <v/>
      </c>
      <c r="Q2430">
        <f>IF(O2430&gt;=3000,"Large","Small")</f>
        <v/>
      </c>
      <c r="R2430">
        <f>INDEX(Products!$F$2:$F$49,MATCH(J2430,Products!$A$2:$A$49,0))</f>
        <v/>
      </c>
      <c r="S2430">
        <f>WEEKDAY(B2430,2)</f>
        <v/>
      </c>
    </row>
    <row r="2431">
      <c r="A2431" t="n">
        <v>510590</v>
      </c>
      <c r="B2431" s="6" t="n">
        <v>45965</v>
      </c>
      <c r="C2431" t="n">
        <v>15977</v>
      </c>
      <c r="D2431" t="inlineStr">
        <is>
          <t>Gurugram</t>
        </is>
      </c>
      <c r="E2431" t="inlineStr">
        <is>
          <t>North</t>
        </is>
      </c>
      <c r="F2431" t="inlineStr">
        <is>
          <t>Paid Social</t>
        </is>
      </c>
      <c r="G2431" t="inlineStr">
        <is>
          <t>Mobile App</t>
        </is>
      </c>
      <c r="H2431" t="inlineStr">
        <is>
          <t>Debit Card</t>
        </is>
      </c>
      <c r="I2431" t="inlineStr">
        <is>
          <t>Delivered</t>
        </is>
      </c>
      <c r="J2431" t="n">
        <v>103</v>
      </c>
      <c r="K2431" t="n">
        <v>2</v>
      </c>
      <c r="L2431" t="n">
        <v>2624</v>
      </c>
      <c r="M2431" t="n">
        <v>0</v>
      </c>
      <c r="N2431">
        <f>VLOOKUP(J2431,Products!$A$2:$C$49,3,FALSE)</f>
        <v/>
      </c>
      <c r="O2431">
        <f>K2431*L2431-M2431</f>
        <v/>
      </c>
      <c r="P2431">
        <f>TEXT(B2431,"yyyy-mm")</f>
        <v/>
      </c>
      <c r="Q2431">
        <f>IF(O2431&gt;=3000,"Large","Small")</f>
        <v/>
      </c>
      <c r="R2431">
        <f>INDEX(Products!$F$2:$F$49,MATCH(J2431,Products!$A$2:$A$49,0))</f>
        <v/>
      </c>
      <c r="S2431">
        <f>WEEKDAY(B2431,2)</f>
        <v/>
      </c>
    </row>
    <row r="2432">
      <c r="A2432" t="n">
        <v>510591</v>
      </c>
      <c r="B2432" s="6" t="n">
        <v>45965</v>
      </c>
      <c r="C2432" t="n">
        <v>17145</v>
      </c>
      <c r="D2432" t="inlineStr">
        <is>
          <t>Kochi</t>
        </is>
      </c>
      <c r="E2432" t="inlineStr">
        <is>
          <t>South</t>
        </is>
      </c>
      <c r="F2432" t="inlineStr">
        <is>
          <t>Paid Social</t>
        </is>
      </c>
      <c r="G2432" t="inlineStr">
        <is>
          <t>Mobile Web</t>
        </is>
      </c>
      <c r="H2432" t="inlineStr">
        <is>
          <t>Cash on Delivery</t>
        </is>
      </c>
      <c r="I2432" t="inlineStr">
        <is>
          <t>Delivered</t>
        </is>
      </c>
      <c r="J2432" t="n">
        <v>116</v>
      </c>
      <c r="K2432" t="n">
        <v>1</v>
      </c>
      <c r="L2432" t="n">
        <v>2624</v>
      </c>
      <c r="M2432" t="n">
        <v>393.6</v>
      </c>
      <c r="N2432">
        <f>VLOOKUP(J2432,Products!$A$2:$C$49,3,FALSE)</f>
        <v/>
      </c>
      <c r="O2432">
        <f>K2432*L2432-M2432</f>
        <v/>
      </c>
      <c r="P2432">
        <f>TEXT(B2432,"yyyy-mm")</f>
        <v/>
      </c>
      <c r="Q2432">
        <f>IF(O2432&gt;=3000,"Large","Small")</f>
        <v/>
      </c>
      <c r="R2432">
        <f>INDEX(Products!$F$2:$F$49,MATCH(J2432,Products!$A$2:$A$49,0))</f>
        <v/>
      </c>
      <c r="S2432">
        <f>WEEKDAY(B2432,2)</f>
        <v/>
      </c>
    </row>
    <row r="2433">
      <c r="A2433" t="n">
        <v>510591</v>
      </c>
      <c r="B2433" s="6" t="n">
        <v>45965</v>
      </c>
      <c r="C2433" t="n">
        <v>17145</v>
      </c>
      <c r="D2433" t="inlineStr">
        <is>
          <t>Kochi</t>
        </is>
      </c>
      <c r="E2433" t="inlineStr">
        <is>
          <t>South</t>
        </is>
      </c>
      <c r="F2433" t="inlineStr">
        <is>
          <t>Paid Social</t>
        </is>
      </c>
      <c r="G2433" t="inlineStr">
        <is>
          <t>Mobile Web</t>
        </is>
      </c>
      <c r="H2433" t="inlineStr">
        <is>
          <t>Cash on Delivery</t>
        </is>
      </c>
      <c r="I2433" t="inlineStr">
        <is>
          <t>Delivered</t>
        </is>
      </c>
      <c r="J2433" t="n">
        <v>117</v>
      </c>
      <c r="K2433" t="n">
        <v>2</v>
      </c>
      <c r="L2433" t="n">
        <v>3149</v>
      </c>
      <c r="M2433" t="n">
        <v>944.7</v>
      </c>
      <c r="N2433">
        <f>VLOOKUP(J2433,Products!$A$2:$C$49,3,FALSE)</f>
        <v/>
      </c>
      <c r="O2433">
        <f>K2433*L2433-M2433</f>
        <v/>
      </c>
      <c r="P2433">
        <f>TEXT(B2433,"yyyy-mm")</f>
        <v/>
      </c>
      <c r="Q2433">
        <f>IF(O2433&gt;=3000,"Large","Small")</f>
        <v/>
      </c>
      <c r="R2433">
        <f>INDEX(Products!$F$2:$F$49,MATCH(J2433,Products!$A$2:$A$49,0))</f>
        <v/>
      </c>
      <c r="S2433">
        <f>WEEKDAY(B2433,2)</f>
        <v/>
      </c>
    </row>
    <row r="2434">
      <c r="A2434" t="n">
        <v>510591</v>
      </c>
      <c r="B2434" s="6" t="n">
        <v>45965</v>
      </c>
      <c r="C2434" t="n">
        <v>17145</v>
      </c>
      <c r="D2434" t="inlineStr">
        <is>
          <t>Kochi</t>
        </is>
      </c>
      <c r="E2434" t="inlineStr">
        <is>
          <t>South</t>
        </is>
      </c>
      <c r="F2434" t="inlineStr">
        <is>
          <t>Paid Social</t>
        </is>
      </c>
      <c r="G2434" t="inlineStr">
        <is>
          <t>Mobile Web</t>
        </is>
      </c>
      <c r="H2434" t="inlineStr">
        <is>
          <t>Cash on Delivery</t>
        </is>
      </c>
      <c r="I2434" t="inlineStr">
        <is>
          <t>Delivered</t>
        </is>
      </c>
      <c r="J2434" t="n">
        <v>113</v>
      </c>
      <c r="K2434" t="n">
        <v>1</v>
      </c>
      <c r="L2434" t="n">
        <v>1364</v>
      </c>
      <c r="M2434" t="n">
        <v>204.6</v>
      </c>
      <c r="N2434">
        <f>VLOOKUP(J2434,Products!$A$2:$C$49,3,FALSE)</f>
        <v/>
      </c>
      <c r="O2434">
        <f>K2434*L2434-M2434</f>
        <v/>
      </c>
      <c r="P2434">
        <f>TEXT(B2434,"yyyy-mm")</f>
        <v/>
      </c>
      <c r="Q2434">
        <f>IF(O2434&gt;=3000,"Large","Small")</f>
        <v/>
      </c>
      <c r="R2434">
        <f>INDEX(Products!$F$2:$F$49,MATCH(J2434,Products!$A$2:$A$49,0))</f>
        <v/>
      </c>
      <c r="S2434">
        <f>WEEKDAY(B2434,2)</f>
        <v/>
      </c>
    </row>
    <row r="2435">
      <c r="A2435" t="n">
        <v>510592</v>
      </c>
      <c r="B2435" s="6" t="n">
        <v>45965</v>
      </c>
      <c r="C2435" t="n">
        <v>17037</v>
      </c>
      <c r="D2435" t="inlineStr">
        <is>
          <t>Hyderabad</t>
        </is>
      </c>
      <c r="E2435" t="inlineStr">
        <is>
          <t>South</t>
        </is>
      </c>
      <c r="F2435" t="inlineStr">
        <is>
          <t>Paid Social</t>
        </is>
      </c>
      <c r="G2435" t="inlineStr">
        <is>
          <t>Mobile App</t>
        </is>
      </c>
      <c r="H2435" t="inlineStr">
        <is>
          <t>Credit Card</t>
        </is>
      </c>
      <c r="I2435" t="inlineStr">
        <is>
          <t>Delivered</t>
        </is>
      </c>
      <c r="J2435" t="n">
        <v>103</v>
      </c>
      <c r="K2435" t="n">
        <v>1</v>
      </c>
      <c r="L2435" t="n">
        <v>2624</v>
      </c>
      <c r="M2435" t="n">
        <v>0</v>
      </c>
      <c r="N2435">
        <f>VLOOKUP(J2435,Products!$A$2:$C$49,3,FALSE)</f>
        <v/>
      </c>
      <c r="O2435">
        <f>K2435*L2435-M2435</f>
        <v/>
      </c>
      <c r="P2435">
        <f>TEXT(B2435,"yyyy-mm")</f>
        <v/>
      </c>
      <c r="Q2435">
        <f>IF(O2435&gt;=3000,"Large","Small")</f>
        <v/>
      </c>
      <c r="R2435">
        <f>INDEX(Products!$F$2:$F$49,MATCH(J2435,Products!$A$2:$A$49,0))</f>
        <v/>
      </c>
      <c r="S2435">
        <f>WEEKDAY(B2435,2)</f>
        <v/>
      </c>
    </row>
    <row r="2436">
      <c r="A2436" t="n">
        <v>510592</v>
      </c>
      <c r="B2436" s="6" t="n">
        <v>45965</v>
      </c>
      <c r="C2436" t="n">
        <v>17037</v>
      </c>
      <c r="D2436" t="inlineStr">
        <is>
          <t>Hyderabad</t>
        </is>
      </c>
      <c r="E2436" t="inlineStr">
        <is>
          <t>South</t>
        </is>
      </c>
      <c r="F2436" t="inlineStr">
        <is>
          <t>Paid Social</t>
        </is>
      </c>
      <c r="G2436" t="inlineStr">
        <is>
          <t>Mobile App</t>
        </is>
      </c>
      <c r="H2436" t="inlineStr">
        <is>
          <t>Credit Card</t>
        </is>
      </c>
      <c r="I2436" t="inlineStr">
        <is>
          <t>Delivered</t>
        </is>
      </c>
      <c r="J2436" t="n">
        <v>120</v>
      </c>
      <c r="K2436" t="n">
        <v>1</v>
      </c>
      <c r="L2436" t="n">
        <v>734</v>
      </c>
      <c r="M2436" t="n">
        <v>0</v>
      </c>
      <c r="N2436">
        <f>VLOOKUP(J2436,Products!$A$2:$C$49,3,FALSE)</f>
        <v/>
      </c>
      <c r="O2436">
        <f>K2436*L2436-M2436</f>
        <v/>
      </c>
      <c r="P2436">
        <f>TEXT(B2436,"yyyy-mm")</f>
        <v/>
      </c>
      <c r="Q2436">
        <f>IF(O2436&gt;=3000,"Large","Small")</f>
        <v/>
      </c>
      <c r="R2436">
        <f>INDEX(Products!$F$2:$F$49,MATCH(J2436,Products!$A$2:$A$49,0))</f>
        <v/>
      </c>
      <c r="S2436">
        <f>WEEKDAY(B2436,2)</f>
        <v/>
      </c>
    </row>
    <row r="2437">
      <c r="A2437" t="n">
        <v>510593</v>
      </c>
      <c r="B2437" s="6" t="n">
        <v>45965</v>
      </c>
      <c r="C2437" t="n">
        <v>17087</v>
      </c>
      <c r="D2437" t="inlineStr">
        <is>
          <t>Bengaluru</t>
        </is>
      </c>
      <c r="E2437" t="inlineStr">
        <is>
          <t>South</t>
        </is>
      </c>
      <c r="F2437" t="inlineStr">
        <is>
          <t>Paid Search</t>
        </is>
      </c>
      <c r="G2437" t="inlineStr">
        <is>
          <t>Mobile Web</t>
        </is>
      </c>
      <c r="H2437" t="inlineStr">
        <is>
          <t>UPI</t>
        </is>
      </c>
      <c r="I2437" t="inlineStr">
        <is>
          <t>Delivered</t>
        </is>
      </c>
      <c r="J2437" t="n">
        <v>126</v>
      </c>
      <c r="K2437" t="n">
        <v>1</v>
      </c>
      <c r="L2437" t="n">
        <v>471</v>
      </c>
      <c r="M2437" t="n">
        <v>0</v>
      </c>
      <c r="N2437">
        <f>VLOOKUP(J2437,Products!$A$2:$C$49,3,FALSE)</f>
        <v/>
      </c>
      <c r="O2437">
        <f>K2437*L2437-M2437</f>
        <v/>
      </c>
      <c r="P2437">
        <f>TEXT(B2437,"yyyy-mm")</f>
        <v/>
      </c>
      <c r="Q2437">
        <f>IF(O2437&gt;=3000,"Large","Small")</f>
        <v/>
      </c>
      <c r="R2437">
        <f>INDEX(Products!$F$2:$F$49,MATCH(J2437,Products!$A$2:$A$49,0))</f>
        <v/>
      </c>
      <c r="S2437">
        <f>WEEKDAY(B2437,2)</f>
        <v/>
      </c>
    </row>
    <row r="2438">
      <c r="A2438" t="n">
        <v>510594</v>
      </c>
      <c r="B2438" s="6" t="n">
        <v>45965</v>
      </c>
      <c r="C2438" t="n">
        <v>17114</v>
      </c>
      <c r="D2438" t="inlineStr">
        <is>
          <t>Hyderabad</t>
        </is>
      </c>
      <c r="E2438" t="inlineStr">
        <is>
          <t>South</t>
        </is>
      </c>
      <c r="F2438" t="inlineStr">
        <is>
          <t>Paid Social</t>
        </is>
      </c>
      <c r="G2438" t="inlineStr">
        <is>
          <t>Mobile App</t>
        </is>
      </c>
      <c r="H2438" t="inlineStr">
        <is>
          <t>UPI</t>
        </is>
      </c>
      <c r="I2438" t="inlineStr">
        <is>
          <t>Delivered</t>
        </is>
      </c>
      <c r="J2438" t="n">
        <v>105</v>
      </c>
      <c r="K2438" t="n">
        <v>1</v>
      </c>
      <c r="L2438" t="n">
        <v>2414</v>
      </c>
      <c r="M2438" t="n">
        <v>0</v>
      </c>
      <c r="N2438">
        <f>VLOOKUP(J2438,Products!$A$2:$C$49,3,FALSE)</f>
        <v/>
      </c>
      <c r="O2438">
        <f>K2438*L2438-M2438</f>
        <v/>
      </c>
      <c r="P2438">
        <f>TEXT(B2438,"yyyy-mm")</f>
        <v/>
      </c>
      <c r="Q2438">
        <f>IF(O2438&gt;=3000,"Large","Small")</f>
        <v/>
      </c>
      <c r="R2438">
        <f>INDEX(Products!$F$2:$F$49,MATCH(J2438,Products!$A$2:$A$49,0))</f>
        <v/>
      </c>
      <c r="S2438">
        <f>WEEKDAY(B2438,2)</f>
        <v/>
      </c>
    </row>
    <row r="2439">
      <c r="A2439" t="n">
        <v>510595</v>
      </c>
      <c r="B2439" s="6" t="n">
        <v>45965</v>
      </c>
      <c r="C2439" t="n">
        <v>17161</v>
      </c>
      <c r="D2439" t="inlineStr">
        <is>
          <t>Lucknow</t>
        </is>
      </c>
      <c r="E2439" t="inlineStr">
        <is>
          <t>North</t>
        </is>
      </c>
      <c r="F2439" t="inlineStr">
        <is>
          <t>Paid Social</t>
        </is>
      </c>
      <c r="G2439" t="inlineStr">
        <is>
          <t>Mobile Web</t>
        </is>
      </c>
      <c r="H2439" t="inlineStr">
        <is>
          <t>UPI</t>
        </is>
      </c>
      <c r="I2439" t="inlineStr">
        <is>
          <t>Delivered</t>
        </is>
      </c>
      <c r="J2439" t="n">
        <v>114</v>
      </c>
      <c r="K2439" t="n">
        <v>1</v>
      </c>
      <c r="L2439" t="n">
        <v>1259</v>
      </c>
      <c r="M2439" t="n">
        <v>0</v>
      </c>
      <c r="N2439">
        <f>VLOOKUP(J2439,Products!$A$2:$C$49,3,FALSE)</f>
        <v/>
      </c>
      <c r="O2439">
        <f>K2439*L2439-M2439</f>
        <v/>
      </c>
      <c r="P2439">
        <f>TEXT(B2439,"yyyy-mm")</f>
        <v/>
      </c>
      <c r="Q2439">
        <f>IF(O2439&gt;=3000,"Large","Small")</f>
        <v/>
      </c>
      <c r="R2439">
        <f>INDEX(Products!$F$2:$F$49,MATCH(J2439,Products!$A$2:$A$49,0))</f>
        <v/>
      </c>
      <c r="S2439">
        <f>WEEKDAY(B2439,2)</f>
        <v/>
      </c>
    </row>
    <row r="2440">
      <c r="A2440" t="n">
        <v>510596</v>
      </c>
      <c r="B2440" s="6" t="n">
        <v>45965</v>
      </c>
      <c r="C2440" t="n">
        <v>16608</v>
      </c>
      <c r="D2440" t="inlineStr">
        <is>
          <t>Indore</t>
        </is>
      </c>
      <c r="E2440" t="inlineStr">
        <is>
          <t>West</t>
        </is>
      </c>
      <c r="F2440" t="inlineStr">
        <is>
          <t>Referral</t>
        </is>
      </c>
      <c r="G2440" t="inlineStr">
        <is>
          <t>Desktop</t>
        </is>
      </c>
      <c r="H2440" t="inlineStr">
        <is>
          <t>UPI</t>
        </is>
      </c>
      <c r="I2440" t="inlineStr">
        <is>
          <t>Delivered</t>
        </is>
      </c>
      <c r="J2440" t="n">
        <v>147</v>
      </c>
      <c r="K2440" t="n">
        <v>1</v>
      </c>
      <c r="L2440" t="n">
        <v>1364</v>
      </c>
      <c r="M2440" t="n">
        <v>68.2</v>
      </c>
      <c r="N2440">
        <f>VLOOKUP(J2440,Products!$A$2:$C$49,3,FALSE)</f>
        <v/>
      </c>
      <c r="O2440">
        <f>K2440*L2440-M2440</f>
        <v/>
      </c>
      <c r="P2440">
        <f>TEXT(B2440,"yyyy-mm")</f>
        <v/>
      </c>
      <c r="Q2440">
        <f>IF(O2440&gt;=3000,"Large","Small")</f>
        <v/>
      </c>
      <c r="R2440">
        <f>INDEX(Products!$F$2:$F$49,MATCH(J2440,Products!$A$2:$A$49,0))</f>
        <v/>
      </c>
      <c r="S2440">
        <f>WEEKDAY(B2440,2)</f>
        <v/>
      </c>
    </row>
    <row r="2441">
      <c r="A2441" t="n">
        <v>510597</v>
      </c>
      <c r="B2441" s="6" t="n">
        <v>45965</v>
      </c>
      <c r="C2441" t="n">
        <v>16396</v>
      </c>
      <c r="D2441" t="inlineStr">
        <is>
          <t>Kolkata</t>
        </is>
      </c>
      <c r="E2441" t="inlineStr">
        <is>
          <t>East</t>
        </is>
      </c>
      <c r="F2441" t="inlineStr">
        <is>
          <t>Referral</t>
        </is>
      </c>
      <c r="G2441" t="inlineStr">
        <is>
          <t>Mobile Web</t>
        </is>
      </c>
      <c r="H2441" t="inlineStr">
        <is>
          <t>UPI</t>
        </is>
      </c>
      <c r="I2441" t="inlineStr">
        <is>
          <t>Delivered</t>
        </is>
      </c>
      <c r="J2441" t="n">
        <v>116</v>
      </c>
      <c r="K2441" t="n">
        <v>1</v>
      </c>
      <c r="L2441" t="n">
        <v>2624</v>
      </c>
      <c r="M2441" t="n">
        <v>0</v>
      </c>
      <c r="N2441">
        <f>VLOOKUP(J2441,Products!$A$2:$C$49,3,FALSE)</f>
        <v/>
      </c>
      <c r="O2441">
        <f>K2441*L2441-M2441</f>
        <v/>
      </c>
      <c r="P2441">
        <f>TEXT(B2441,"yyyy-mm")</f>
        <v/>
      </c>
      <c r="Q2441">
        <f>IF(O2441&gt;=3000,"Large","Small")</f>
        <v/>
      </c>
      <c r="R2441">
        <f>INDEX(Products!$F$2:$F$49,MATCH(J2441,Products!$A$2:$A$49,0))</f>
        <v/>
      </c>
      <c r="S2441">
        <f>WEEKDAY(B2441,2)</f>
        <v/>
      </c>
    </row>
    <row r="2442">
      <c r="A2442" t="n">
        <v>510598</v>
      </c>
      <c r="B2442" s="6" t="n">
        <v>45965</v>
      </c>
      <c r="C2442" t="n">
        <v>17179</v>
      </c>
      <c r="D2442" t="inlineStr">
        <is>
          <t>Delhi</t>
        </is>
      </c>
      <c r="E2442" t="inlineStr">
        <is>
          <t>North</t>
        </is>
      </c>
      <c r="F2442" t="inlineStr">
        <is>
          <t>Paid Search</t>
        </is>
      </c>
      <c r="G2442" t="inlineStr">
        <is>
          <t>Mobile App</t>
        </is>
      </c>
      <c r="H2442" t="inlineStr">
        <is>
          <t>UPI</t>
        </is>
      </c>
      <c r="I2442" t="inlineStr">
        <is>
          <t>Returned</t>
        </is>
      </c>
      <c r="J2442" t="n">
        <v>113</v>
      </c>
      <c r="K2442" t="n">
        <v>1</v>
      </c>
      <c r="L2442" t="n">
        <v>1364</v>
      </c>
      <c r="M2442" t="n">
        <v>204.6</v>
      </c>
      <c r="N2442">
        <f>VLOOKUP(J2442,Products!$A$2:$C$49,3,FALSE)</f>
        <v/>
      </c>
      <c r="O2442">
        <f>K2442*L2442-M2442</f>
        <v/>
      </c>
      <c r="P2442">
        <f>TEXT(B2442,"yyyy-mm")</f>
        <v/>
      </c>
      <c r="Q2442">
        <f>IF(O2442&gt;=3000,"Large","Small")</f>
        <v/>
      </c>
      <c r="R2442">
        <f>INDEX(Products!$F$2:$F$49,MATCH(J2442,Products!$A$2:$A$49,0))</f>
        <v/>
      </c>
      <c r="S2442">
        <f>WEEKDAY(B2442,2)</f>
        <v/>
      </c>
    </row>
    <row r="2443">
      <c r="A2443" t="n">
        <v>510598</v>
      </c>
      <c r="B2443" s="6" t="n">
        <v>45965</v>
      </c>
      <c r="C2443" t="n">
        <v>17179</v>
      </c>
      <c r="D2443" t="inlineStr">
        <is>
          <t>Delhi</t>
        </is>
      </c>
      <c r="E2443" t="inlineStr">
        <is>
          <t>North</t>
        </is>
      </c>
      <c r="F2443" t="inlineStr">
        <is>
          <t>Paid Search</t>
        </is>
      </c>
      <c r="G2443" t="inlineStr">
        <is>
          <t>Mobile App</t>
        </is>
      </c>
      <c r="H2443" t="inlineStr">
        <is>
          <t>UPI</t>
        </is>
      </c>
      <c r="I2443" t="inlineStr">
        <is>
          <t>Returned</t>
        </is>
      </c>
      <c r="J2443" t="n">
        <v>132</v>
      </c>
      <c r="K2443" t="n">
        <v>1</v>
      </c>
      <c r="L2443" t="n">
        <v>471</v>
      </c>
      <c r="M2443" t="n">
        <v>70.65000000000001</v>
      </c>
      <c r="N2443">
        <f>VLOOKUP(J2443,Products!$A$2:$C$49,3,FALSE)</f>
        <v/>
      </c>
      <c r="O2443">
        <f>K2443*L2443-M2443</f>
        <v/>
      </c>
      <c r="P2443">
        <f>TEXT(B2443,"yyyy-mm")</f>
        <v/>
      </c>
      <c r="Q2443">
        <f>IF(O2443&gt;=3000,"Large","Small")</f>
        <v/>
      </c>
      <c r="R2443">
        <f>INDEX(Products!$F$2:$F$49,MATCH(J2443,Products!$A$2:$A$49,0))</f>
        <v/>
      </c>
      <c r="S2443">
        <f>WEEKDAY(B2443,2)</f>
        <v/>
      </c>
    </row>
    <row r="2444">
      <c r="A2444" t="n">
        <v>510599</v>
      </c>
      <c r="B2444" s="6" t="n">
        <v>45965</v>
      </c>
      <c r="C2444" t="n">
        <v>16777</v>
      </c>
      <c r="D2444" t="inlineStr">
        <is>
          <t>Noida</t>
        </is>
      </c>
      <c r="E2444" t="inlineStr">
        <is>
          <t>North</t>
        </is>
      </c>
      <c r="F2444" t="inlineStr">
        <is>
          <t>Referral</t>
        </is>
      </c>
      <c r="G2444" t="inlineStr">
        <is>
          <t>Desktop</t>
        </is>
      </c>
      <c r="H2444" t="inlineStr">
        <is>
          <t>UPI</t>
        </is>
      </c>
      <c r="I2444" t="inlineStr">
        <is>
          <t>Delivered</t>
        </is>
      </c>
      <c r="J2444" t="n">
        <v>136</v>
      </c>
      <c r="K2444" t="n">
        <v>1</v>
      </c>
      <c r="L2444" t="n">
        <v>944</v>
      </c>
      <c r="M2444" t="n">
        <v>0</v>
      </c>
      <c r="N2444">
        <f>VLOOKUP(J2444,Products!$A$2:$C$49,3,FALSE)</f>
        <v/>
      </c>
      <c r="O2444">
        <f>K2444*L2444-M2444</f>
        <v/>
      </c>
      <c r="P2444">
        <f>TEXT(B2444,"yyyy-mm")</f>
        <v/>
      </c>
      <c r="Q2444">
        <f>IF(O2444&gt;=3000,"Large","Small")</f>
        <v/>
      </c>
      <c r="R2444">
        <f>INDEX(Products!$F$2:$F$49,MATCH(J2444,Products!$A$2:$A$49,0))</f>
        <v/>
      </c>
      <c r="S2444">
        <f>WEEKDAY(B2444,2)</f>
        <v/>
      </c>
    </row>
    <row r="2445">
      <c r="A2445" t="n">
        <v>510600</v>
      </c>
      <c r="B2445" s="6" t="n">
        <v>45965</v>
      </c>
      <c r="C2445" t="n">
        <v>13167</v>
      </c>
      <c r="D2445" t="inlineStr">
        <is>
          <t>Indore</t>
        </is>
      </c>
      <c r="E2445" t="inlineStr">
        <is>
          <t>West</t>
        </is>
      </c>
      <c r="F2445" t="inlineStr">
        <is>
          <t>Organic Search</t>
        </is>
      </c>
      <c r="G2445" t="inlineStr">
        <is>
          <t>Mobile App</t>
        </is>
      </c>
      <c r="H2445" t="inlineStr">
        <is>
          <t>UPI</t>
        </is>
      </c>
      <c r="I2445" t="inlineStr">
        <is>
          <t>Delivered</t>
        </is>
      </c>
      <c r="J2445" t="n">
        <v>124</v>
      </c>
      <c r="K2445" t="n">
        <v>3</v>
      </c>
      <c r="L2445" t="n">
        <v>1154</v>
      </c>
      <c r="M2445" t="n">
        <v>0</v>
      </c>
      <c r="N2445">
        <f>VLOOKUP(J2445,Products!$A$2:$C$49,3,FALSE)</f>
        <v/>
      </c>
      <c r="O2445">
        <f>K2445*L2445-M2445</f>
        <v/>
      </c>
      <c r="P2445">
        <f>TEXT(B2445,"yyyy-mm")</f>
        <v/>
      </c>
      <c r="Q2445">
        <f>IF(O2445&gt;=3000,"Large","Small")</f>
        <v/>
      </c>
      <c r="R2445">
        <f>INDEX(Products!$F$2:$F$49,MATCH(J2445,Products!$A$2:$A$49,0))</f>
        <v/>
      </c>
      <c r="S2445">
        <f>WEEKDAY(B2445,2)</f>
        <v/>
      </c>
    </row>
    <row r="2446">
      <c r="A2446" t="n">
        <v>510600</v>
      </c>
      <c r="B2446" s="6" t="n">
        <v>45965</v>
      </c>
      <c r="C2446" t="n">
        <v>13167</v>
      </c>
      <c r="D2446" t="inlineStr">
        <is>
          <t>Indore</t>
        </is>
      </c>
      <c r="E2446" t="inlineStr">
        <is>
          <t>West</t>
        </is>
      </c>
      <c r="F2446" t="inlineStr">
        <is>
          <t>Organic Search</t>
        </is>
      </c>
      <c r="G2446" t="inlineStr">
        <is>
          <t>Mobile App</t>
        </is>
      </c>
      <c r="H2446" t="inlineStr">
        <is>
          <t>UPI</t>
        </is>
      </c>
      <c r="I2446" t="inlineStr">
        <is>
          <t>Delivered</t>
        </is>
      </c>
      <c r="J2446" t="n">
        <v>116</v>
      </c>
      <c r="K2446" t="n">
        <v>1</v>
      </c>
      <c r="L2446" t="n">
        <v>2624</v>
      </c>
      <c r="M2446" t="n">
        <v>0</v>
      </c>
      <c r="N2446">
        <f>VLOOKUP(J2446,Products!$A$2:$C$49,3,FALSE)</f>
        <v/>
      </c>
      <c r="O2446">
        <f>K2446*L2446-M2446</f>
        <v/>
      </c>
      <c r="P2446">
        <f>TEXT(B2446,"yyyy-mm")</f>
        <v/>
      </c>
      <c r="Q2446">
        <f>IF(O2446&gt;=3000,"Large","Small")</f>
        <v/>
      </c>
      <c r="R2446">
        <f>INDEX(Products!$F$2:$F$49,MATCH(J2446,Products!$A$2:$A$49,0))</f>
        <v/>
      </c>
      <c r="S2446">
        <f>WEEKDAY(B2446,2)</f>
        <v/>
      </c>
    </row>
    <row r="2447">
      <c r="A2447" t="n">
        <v>510600</v>
      </c>
      <c r="B2447" s="6" t="n">
        <v>45965</v>
      </c>
      <c r="C2447" t="n">
        <v>13167</v>
      </c>
      <c r="D2447" t="inlineStr">
        <is>
          <t>Indore</t>
        </is>
      </c>
      <c r="E2447" t="inlineStr">
        <is>
          <t>West</t>
        </is>
      </c>
      <c r="F2447" t="inlineStr">
        <is>
          <t>Organic Search</t>
        </is>
      </c>
      <c r="G2447" t="inlineStr">
        <is>
          <t>Mobile App</t>
        </is>
      </c>
      <c r="H2447" t="inlineStr">
        <is>
          <t>UPI</t>
        </is>
      </c>
      <c r="I2447" t="inlineStr">
        <is>
          <t>Delivered</t>
        </is>
      </c>
      <c r="J2447" t="n">
        <v>117</v>
      </c>
      <c r="K2447" t="n">
        <v>1</v>
      </c>
      <c r="L2447" t="n">
        <v>3149</v>
      </c>
      <c r="M2447" t="n">
        <v>0</v>
      </c>
      <c r="N2447">
        <f>VLOOKUP(J2447,Products!$A$2:$C$49,3,FALSE)</f>
        <v/>
      </c>
      <c r="O2447">
        <f>K2447*L2447-M2447</f>
        <v/>
      </c>
      <c r="P2447">
        <f>TEXT(B2447,"yyyy-mm")</f>
        <v/>
      </c>
      <c r="Q2447">
        <f>IF(O2447&gt;=3000,"Large","Small")</f>
        <v/>
      </c>
      <c r="R2447">
        <f>INDEX(Products!$F$2:$F$49,MATCH(J2447,Products!$A$2:$A$49,0))</f>
        <v/>
      </c>
      <c r="S2447">
        <f>WEEKDAY(B2447,2)</f>
        <v/>
      </c>
    </row>
    <row r="2448">
      <c r="A2448" t="n">
        <v>510601</v>
      </c>
      <c r="B2448" s="6" t="n">
        <v>45965</v>
      </c>
      <c r="C2448" t="n">
        <v>17093</v>
      </c>
      <c r="D2448" t="inlineStr">
        <is>
          <t>Bengaluru</t>
        </is>
      </c>
      <c r="E2448" t="inlineStr">
        <is>
          <t>South</t>
        </is>
      </c>
      <c r="F2448" t="inlineStr">
        <is>
          <t>Organic Search</t>
        </is>
      </c>
      <c r="G2448" t="inlineStr">
        <is>
          <t>Mobile Web</t>
        </is>
      </c>
      <c r="H2448" t="inlineStr">
        <is>
          <t>UPI</t>
        </is>
      </c>
      <c r="I2448" t="inlineStr">
        <is>
          <t>Delivered</t>
        </is>
      </c>
      <c r="J2448" t="n">
        <v>123</v>
      </c>
      <c r="K2448" t="n">
        <v>1</v>
      </c>
      <c r="L2448" t="n">
        <v>3464</v>
      </c>
      <c r="M2448" t="n">
        <v>0</v>
      </c>
      <c r="N2448">
        <f>VLOOKUP(J2448,Products!$A$2:$C$49,3,FALSE)</f>
        <v/>
      </c>
      <c r="O2448">
        <f>K2448*L2448-M2448</f>
        <v/>
      </c>
      <c r="P2448">
        <f>TEXT(B2448,"yyyy-mm")</f>
        <v/>
      </c>
      <c r="Q2448">
        <f>IF(O2448&gt;=3000,"Large","Small")</f>
        <v/>
      </c>
      <c r="R2448">
        <f>INDEX(Products!$F$2:$F$49,MATCH(J2448,Products!$A$2:$A$49,0))</f>
        <v/>
      </c>
      <c r="S2448">
        <f>WEEKDAY(B2448,2)</f>
        <v/>
      </c>
    </row>
    <row r="2449">
      <c r="A2449" t="n">
        <v>510601</v>
      </c>
      <c r="B2449" s="6" t="n">
        <v>45965</v>
      </c>
      <c r="C2449" t="n">
        <v>17093</v>
      </c>
      <c r="D2449" t="inlineStr">
        <is>
          <t>Bengaluru</t>
        </is>
      </c>
      <c r="E2449" t="inlineStr">
        <is>
          <t>South</t>
        </is>
      </c>
      <c r="F2449" t="inlineStr">
        <is>
          <t>Organic Search</t>
        </is>
      </c>
      <c r="G2449" t="inlineStr">
        <is>
          <t>Mobile Web</t>
        </is>
      </c>
      <c r="H2449" t="inlineStr">
        <is>
          <t>UPI</t>
        </is>
      </c>
      <c r="I2449" t="inlineStr">
        <is>
          <t>Delivered</t>
        </is>
      </c>
      <c r="J2449" t="n">
        <v>143</v>
      </c>
      <c r="K2449" t="n">
        <v>1</v>
      </c>
      <c r="L2449" t="n">
        <v>839</v>
      </c>
      <c r="M2449" t="n">
        <v>0</v>
      </c>
      <c r="N2449">
        <f>VLOOKUP(J2449,Products!$A$2:$C$49,3,FALSE)</f>
        <v/>
      </c>
      <c r="O2449">
        <f>K2449*L2449-M2449</f>
        <v/>
      </c>
      <c r="P2449">
        <f>TEXT(B2449,"yyyy-mm")</f>
        <v/>
      </c>
      <c r="Q2449">
        <f>IF(O2449&gt;=3000,"Large","Small")</f>
        <v/>
      </c>
      <c r="R2449">
        <f>INDEX(Products!$F$2:$F$49,MATCH(J2449,Products!$A$2:$A$49,0))</f>
        <v/>
      </c>
      <c r="S2449">
        <f>WEEKDAY(B2449,2)</f>
        <v/>
      </c>
    </row>
    <row r="2450">
      <c r="A2450" t="n">
        <v>510602</v>
      </c>
      <c r="B2450" s="6" t="n">
        <v>45965</v>
      </c>
      <c r="C2450" t="n">
        <v>12008</v>
      </c>
      <c r="D2450" t="inlineStr">
        <is>
          <t>Gurugram</t>
        </is>
      </c>
      <c r="E2450" t="inlineStr">
        <is>
          <t>North</t>
        </is>
      </c>
      <c r="F2450" t="inlineStr">
        <is>
          <t>Referral</t>
        </is>
      </c>
      <c r="G2450" t="inlineStr">
        <is>
          <t>Desktop</t>
        </is>
      </c>
      <c r="H2450" t="inlineStr">
        <is>
          <t>Credit Card</t>
        </is>
      </c>
      <c r="I2450" t="inlineStr">
        <is>
          <t>Delivered</t>
        </is>
      </c>
      <c r="J2450" t="n">
        <v>107</v>
      </c>
      <c r="K2450" t="n">
        <v>1</v>
      </c>
      <c r="L2450" t="n">
        <v>1259</v>
      </c>
      <c r="M2450" t="n">
        <v>0</v>
      </c>
      <c r="N2450">
        <f>VLOOKUP(J2450,Products!$A$2:$C$49,3,FALSE)</f>
        <v/>
      </c>
      <c r="O2450">
        <f>K2450*L2450-M2450</f>
        <v/>
      </c>
      <c r="P2450">
        <f>TEXT(B2450,"yyyy-mm")</f>
        <v/>
      </c>
      <c r="Q2450">
        <f>IF(O2450&gt;=3000,"Large","Small")</f>
        <v/>
      </c>
      <c r="R2450">
        <f>INDEX(Products!$F$2:$F$49,MATCH(J2450,Products!$A$2:$A$49,0))</f>
        <v/>
      </c>
      <c r="S2450">
        <f>WEEKDAY(B2450,2)</f>
        <v/>
      </c>
    </row>
    <row r="2451">
      <c r="A2451" t="n">
        <v>510603</v>
      </c>
      <c r="B2451" s="6" t="n">
        <v>45965</v>
      </c>
      <c r="C2451" t="n">
        <v>17065</v>
      </c>
      <c r="D2451" t="inlineStr">
        <is>
          <t>Indore</t>
        </is>
      </c>
      <c r="E2451" t="inlineStr">
        <is>
          <t>West</t>
        </is>
      </c>
      <c r="F2451" t="inlineStr">
        <is>
          <t>Email</t>
        </is>
      </c>
      <c r="G2451" t="inlineStr">
        <is>
          <t>Mobile App</t>
        </is>
      </c>
      <c r="H2451" t="inlineStr">
        <is>
          <t>Cash on Delivery</t>
        </is>
      </c>
      <c r="I2451" t="inlineStr">
        <is>
          <t>Delivered</t>
        </is>
      </c>
      <c r="J2451" t="n">
        <v>120</v>
      </c>
      <c r="K2451" t="n">
        <v>1</v>
      </c>
      <c r="L2451" t="n">
        <v>734</v>
      </c>
      <c r="M2451" t="n">
        <v>0</v>
      </c>
      <c r="N2451">
        <f>VLOOKUP(J2451,Products!$A$2:$C$49,3,FALSE)</f>
        <v/>
      </c>
      <c r="O2451">
        <f>K2451*L2451-M2451</f>
        <v/>
      </c>
      <c r="P2451">
        <f>TEXT(B2451,"yyyy-mm")</f>
        <v/>
      </c>
      <c r="Q2451">
        <f>IF(O2451&gt;=3000,"Large","Small")</f>
        <v/>
      </c>
      <c r="R2451">
        <f>INDEX(Products!$F$2:$F$49,MATCH(J2451,Products!$A$2:$A$49,0))</f>
        <v/>
      </c>
      <c r="S2451">
        <f>WEEKDAY(B2451,2)</f>
        <v/>
      </c>
    </row>
    <row r="2452">
      <c r="A2452" t="n">
        <v>510603</v>
      </c>
      <c r="B2452" s="6" t="n">
        <v>45965</v>
      </c>
      <c r="C2452" t="n">
        <v>17065</v>
      </c>
      <c r="D2452" t="inlineStr">
        <is>
          <t>Indore</t>
        </is>
      </c>
      <c r="E2452" t="inlineStr">
        <is>
          <t>West</t>
        </is>
      </c>
      <c r="F2452" t="inlineStr">
        <is>
          <t>Email</t>
        </is>
      </c>
      <c r="G2452" t="inlineStr">
        <is>
          <t>Mobile App</t>
        </is>
      </c>
      <c r="H2452" t="inlineStr">
        <is>
          <t>Cash on Delivery</t>
        </is>
      </c>
      <c r="I2452" t="inlineStr">
        <is>
          <t>Delivered</t>
        </is>
      </c>
      <c r="J2452" t="n">
        <v>116</v>
      </c>
      <c r="K2452" t="n">
        <v>1</v>
      </c>
      <c r="L2452" t="n">
        <v>2624</v>
      </c>
      <c r="M2452" t="n">
        <v>0</v>
      </c>
      <c r="N2452">
        <f>VLOOKUP(J2452,Products!$A$2:$C$49,3,FALSE)</f>
        <v/>
      </c>
      <c r="O2452">
        <f>K2452*L2452-M2452</f>
        <v/>
      </c>
      <c r="P2452">
        <f>TEXT(B2452,"yyyy-mm")</f>
        <v/>
      </c>
      <c r="Q2452">
        <f>IF(O2452&gt;=3000,"Large","Small")</f>
        <v/>
      </c>
      <c r="R2452">
        <f>INDEX(Products!$F$2:$F$49,MATCH(J2452,Products!$A$2:$A$49,0))</f>
        <v/>
      </c>
      <c r="S2452">
        <f>WEEKDAY(B2452,2)</f>
        <v/>
      </c>
    </row>
    <row r="2453">
      <c r="A2453" t="n">
        <v>510604</v>
      </c>
      <c r="B2453" s="6" t="n">
        <v>45965</v>
      </c>
      <c r="C2453" t="n">
        <v>16505</v>
      </c>
      <c r="D2453" t="inlineStr">
        <is>
          <t>Mumbai</t>
        </is>
      </c>
      <c r="E2453" t="inlineStr">
        <is>
          <t>West</t>
        </is>
      </c>
      <c r="F2453" t="inlineStr">
        <is>
          <t>Paid Search</t>
        </is>
      </c>
      <c r="G2453" t="inlineStr">
        <is>
          <t>Desktop</t>
        </is>
      </c>
      <c r="H2453" t="inlineStr">
        <is>
          <t>Cash on Delivery</t>
        </is>
      </c>
      <c r="I2453" t="inlineStr">
        <is>
          <t>Cancelled</t>
        </is>
      </c>
      <c r="J2453" t="n">
        <v>117</v>
      </c>
      <c r="K2453" t="n">
        <v>1</v>
      </c>
      <c r="L2453" t="n">
        <v>3149</v>
      </c>
      <c r="M2453" t="n">
        <v>0</v>
      </c>
      <c r="N2453">
        <f>VLOOKUP(J2453,Products!$A$2:$C$49,3,FALSE)</f>
        <v/>
      </c>
      <c r="O2453">
        <f>K2453*L2453-M2453</f>
        <v/>
      </c>
      <c r="P2453">
        <f>TEXT(B2453,"yyyy-mm")</f>
        <v/>
      </c>
      <c r="Q2453">
        <f>IF(O2453&gt;=3000,"Large","Small")</f>
        <v/>
      </c>
      <c r="R2453">
        <f>INDEX(Products!$F$2:$F$49,MATCH(J2453,Products!$A$2:$A$49,0))</f>
        <v/>
      </c>
      <c r="S2453">
        <f>WEEKDAY(B2453,2)</f>
        <v/>
      </c>
    </row>
    <row r="2454">
      <c r="A2454" t="n">
        <v>510605</v>
      </c>
      <c r="B2454" s="6" t="n">
        <v>45965</v>
      </c>
      <c r="C2454" t="n">
        <v>16677</v>
      </c>
      <c r="D2454" t="inlineStr">
        <is>
          <t>Hyderabad</t>
        </is>
      </c>
      <c r="E2454" t="inlineStr">
        <is>
          <t>South</t>
        </is>
      </c>
      <c r="F2454" t="inlineStr">
        <is>
          <t>Paid Social</t>
        </is>
      </c>
      <c r="G2454" t="inlineStr">
        <is>
          <t>Mobile App</t>
        </is>
      </c>
      <c r="H2454" t="inlineStr">
        <is>
          <t>Credit Card</t>
        </is>
      </c>
      <c r="I2454" t="inlineStr">
        <is>
          <t>Delivered</t>
        </is>
      </c>
      <c r="J2454" t="n">
        <v>120</v>
      </c>
      <c r="K2454" t="n">
        <v>1</v>
      </c>
      <c r="L2454" t="n">
        <v>734</v>
      </c>
      <c r="M2454" t="n">
        <v>0</v>
      </c>
      <c r="N2454">
        <f>VLOOKUP(J2454,Products!$A$2:$C$49,3,FALSE)</f>
        <v/>
      </c>
      <c r="O2454">
        <f>K2454*L2454-M2454</f>
        <v/>
      </c>
      <c r="P2454">
        <f>TEXT(B2454,"yyyy-mm")</f>
        <v/>
      </c>
      <c r="Q2454">
        <f>IF(O2454&gt;=3000,"Large","Small")</f>
        <v/>
      </c>
      <c r="R2454">
        <f>INDEX(Products!$F$2:$F$49,MATCH(J2454,Products!$A$2:$A$49,0))</f>
        <v/>
      </c>
      <c r="S2454">
        <f>WEEKDAY(B2454,2)</f>
        <v/>
      </c>
    </row>
    <row r="2455">
      <c r="A2455" t="n">
        <v>510606</v>
      </c>
      <c r="B2455" s="6" t="n">
        <v>45965</v>
      </c>
      <c r="C2455" t="n">
        <v>17152</v>
      </c>
      <c r="D2455" t="inlineStr">
        <is>
          <t>Jaipur</t>
        </is>
      </c>
      <c r="E2455" t="inlineStr">
        <is>
          <t>North</t>
        </is>
      </c>
      <c r="F2455" t="inlineStr">
        <is>
          <t>Paid Search</t>
        </is>
      </c>
      <c r="G2455" t="inlineStr">
        <is>
          <t>Mobile App</t>
        </is>
      </c>
      <c r="H2455" t="inlineStr">
        <is>
          <t>UPI</t>
        </is>
      </c>
      <c r="I2455" t="inlineStr">
        <is>
          <t>Cancelled</t>
        </is>
      </c>
      <c r="J2455" t="n">
        <v>114</v>
      </c>
      <c r="K2455" t="n">
        <v>1</v>
      </c>
      <c r="L2455" t="n">
        <v>1259</v>
      </c>
      <c r="M2455" t="n">
        <v>188.85</v>
      </c>
      <c r="N2455">
        <f>VLOOKUP(J2455,Products!$A$2:$C$49,3,FALSE)</f>
        <v/>
      </c>
      <c r="O2455">
        <f>K2455*L2455-M2455</f>
        <v/>
      </c>
      <c r="P2455">
        <f>TEXT(B2455,"yyyy-mm")</f>
        <v/>
      </c>
      <c r="Q2455">
        <f>IF(O2455&gt;=3000,"Large","Small")</f>
        <v/>
      </c>
      <c r="R2455">
        <f>INDEX(Products!$F$2:$F$49,MATCH(J2455,Products!$A$2:$A$49,0))</f>
        <v/>
      </c>
      <c r="S2455">
        <f>WEEKDAY(B2455,2)</f>
        <v/>
      </c>
    </row>
    <row r="2456">
      <c r="A2456" t="n">
        <v>510607</v>
      </c>
      <c r="B2456" s="6" t="n">
        <v>45965</v>
      </c>
      <c r="C2456" t="n">
        <v>17083</v>
      </c>
      <c r="D2456" t="inlineStr">
        <is>
          <t>Chandigarh</t>
        </is>
      </c>
      <c r="E2456" t="inlineStr">
        <is>
          <t>North</t>
        </is>
      </c>
      <c r="F2456" t="inlineStr">
        <is>
          <t>Organic Search</t>
        </is>
      </c>
      <c r="G2456" t="inlineStr">
        <is>
          <t>Mobile Web</t>
        </is>
      </c>
      <c r="H2456" t="inlineStr">
        <is>
          <t>Net Banking</t>
        </is>
      </c>
      <c r="I2456" t="inlineStr">
        <is>
          <t>Delivered</t>
        </is>
      </c>
      <c r="J2456" t="n">
        <v>102</v>
      </c>
      <c r="K2456" t="n">
        <v>1</v>
      </c>
      <c r="L2456" t="n">
        <v>3674</v>
      </c>
      <c r="M2456" t="n">
        <v>551.1</v>
      </c>
      <c r="N2456">
        <f>VLOOKUP(J2456,Products!$A$2:$C$49,3,FALSE)</f>
        <v/>
      </c>
      <c r="O2456">
        <f>K2456*L2456-M2456</f>
        <v/>
      </c>
      <c r="P2456">
        <f>TEXT(B2456,"yyyy-mm")</f>
        <v/>
      </c>
      <c r="Q2456">
        <f>IF(O2456&gt;=3000,"Large","Small")</f>
        <v/>
      </c>
      <c r="R2456">
        <f>INDEX(Products!$F$2:$F$49,MATCH(J2456,Products!$A$2:$A$49,0))</f>
        <v/>
      </c>
      <c r="S2456">
        <f>WEEKDAY(B2456,2)</f>
        <v/>
      </c>
    </row>
    <row r="2457">
      <c r="A2457" t="n">
        <v>510607</v>
      </c>
      <c r="B2457" s="6" t="n">
        <v>45965</v>
      </c>
      <c r="C2457" t="n">
        <v>17083</v>
      </c>
      <c r="D2457" t="inlineStr">
        <is>
          <t>Chandigarh</t>
        </is>
      </c>
      <c r="E2457" t="inlineStr">
        <is>
          <t>North</t>
        </is>
      </c>
      <c r="F2457" t="inlineStr">
        <is>
          <t>Organic Search</t>
        </is>
      </c>
      <c r="G2457" t="inlineStr">
        <is>
          <t>Mobile Web</t>
        </is>
      </c>
      <c r="H2457" t="inlineStr">
        <is>
          <t>Net Banking</t>
        </is>
      </c>
      <c r="I2457" t="inlineStr">
        <is>
          <t>Delivered</t>
        </is>
      </c>
      <c r="J2457" t="n">
        <v>128</v>
      </c>
      <c r="K2457" t="n">
        <v>1</v>
      </c>
      <c r="L2457" t="n">
        <v>1049</v>
      </c>
      <c r="M2457" t="n">
        <v>157.35</v>
      </c>
      <c r="N2457">
        <f>VLOOKUP(J2457,Products!$A$2:$C$49,3,FALSE)</f>
        <v/>
      </c>
      <c r="O2457">
        <f>K2457*L2457-M2457</f>
        <v/>
      </c>
      <c r="P2457">
        <f>TEXT(B2457,"yyyy-mm")</f>
        <v/>
      </c>
      <c r="Q2457">
        <f>IF(O2457&gt;=3000,"Large","Small")</f>
        <v/>
      </c>
      <c r="R2457">
        <f>INDEX(Products!$F$2:$F$49,MATCH(J2457,Products!$A$2:$A$49,0))</f>
        <v/>
      </c>
      <c r="S2457">
        <f>WEEKDAY(B2457,2)</f>
        <v/>
      </c>
    </row>
    <row r="2458">
      <c r="A2458" t="n">
        <v>510607</v>
      </c>
      <c r="B2458" s="6" t="n">
        <v>45965</v>
      </c>
      <c r="C2458" t="n">
        <v>17083</v>
      </c>
      <c r="D2458" t="inlineStr">
        <is>
          <t>Chandigarh</t>
        </is>
      </c>
      <c r="E2458" t="inlineStr">
        <is>
          <t>North</t>
        </is>
      </c>
      <c r="F2458" t="inlineStr">
        <is>
          <t>Organic Search</t>
        </is>
      </c>
      <c r="G2458" t="inlineStr">
        <is>
          <t>Mobile Web</t>
        </is>
      </c>
      <c r="H2458" t="inlineStr">
        <is>
          <t>Net Banking</t>
        </is>
      </c>
      <c r="I2458" t="inlineStr">
        <is>
          <t>Delivered</t>
        </is>
      </c>
      <c r="J2458" t="n">
        <v>115</v>
      </c>
      <c r="K2458" t="n">
        <v>1</v>
      </c>
      <c r="L2458" t="n">
        <v>4199</v>
      </c>
      <c r="M2458" t="n">
        <v>629.85</v>
      </c>
      <c r="N2458">
        <f>VLOOKUP(J2458,Products!$A$2:$C$49,3,FALSE)</f>
        <v/>
      </c>
      <c r="O2458">
        <f>K2458*L2458-M2458</f>
        <v/>
      </c>
      <c r="P2458">
        <f>TEXT(B2458,"yyyy-mm")</f>
        <v/>
      </c>
      <c r="Q2458">
        <f>IF(O2458&gt;=3000,"Large","Small")</f>
        <v/>
      </c>
      <c r="R2458">
        <f>INDEX(Products!$F$2:$F$49,MATCH(J2458,Products!$A$2:$A$49,0))</f>
        <v/>
      </c>
      <c r="S2458">
        <f>WEEKDAY(B2458,2)</f>
        <v/>
      </c>
    </row>
    <row r="2459">
      <c r="A2459" t="n">
        <v>510608</v>
      </c>
      <c r="B2459" s="6" t="n">
        <v>45965</v>
      </c>
      <c r="C2459" t="n">
        <v>17182</v>
      </c>
      <c r="D2459" t="inlineStr">
        <is>
          <t>Lucknow</t>
        </is>
      </c>
      <c r="E2459" t="inlineStr">
        <is>
          <t>North</t>
        </is>
      </c>
      <c r="F2459" t="inlineStr">
        <is>
          <t>Paid Social</t>
        </is>
      </c>
      <c r="G2459" t="inlineStr">
        <is>
          <t>Mobile App</t>
        </is>
      </c>
      <c r="H2459" t="inlineStr">
        <is>
          <t>Cash on Delivery</t>
        </is>
      </c>
      <c r="I2459" t="inlineStr">
        <is>
          <t>Delivered</t>
        </is>
      </c>
      <c r="J2459" t="n">
        <v>108</v>
      </c>
      <c r="K2459" t="n">
        <v>1</v>
      </c>
      <c r="L2459" t="n">
        <v>419</v>
      </c>
      <c r="M2459" t="n">
        <v>0</v>
      </c>
      <c r="N2459">
        <f>VLOOKUP(J2459,Products!$A$2:$C$49,3,FALSE)</f>
        <v/>
      </c>
      <c r="O2459">
        <f>K2459*L2459-M2459</f>
        <v/>
      </c>
      <c r="P2459">
        <f>TEXT(B2459,"yyyy-mm")</f>
        <v/>
      </c>
      <c r="Q2459">
        <f>IF(O2459&gt;=3000,"Large","Small")</f>
        <v/>
      </c>
      <c r="R2459">
        <f>INDEX(Products!$F$2:$F$49,MATCH(J2459,Products!$A$2:$A$49,0))</f>
        <v/>
      </c>
      <c r="S2459">
        <f>WEEKDAY(B2459,2)</f>
        <v/>
      </c>
    </row>
    <row r="2460">
      <c r="A2460" t="n">
        <v>510609</v>
      </c>
      <c r="B2460" s="6" t="n">
        <v>45965</v>
      </c>
      <c r="C2460" t="n">
        <v>17154</v>
      </c>
      <c r="D2460" t="inlineStr">
        <is>
          <t>Hyderabad</t>
        </is>
      </c>
      <c r="E2460" t="inlineStr">
        <is>
          <t>South</t>
        </is>
      </c>
      <c r="F2460" t="inlineStr">
        <is>
          <t>Organic Search</t>
        </is>
      </c>
      <c r="G2460" t="inlineStr">
        <is>
          <t>Desktop</t>
        </is>
      </c>
      <c r="H2460" t="inlineStr">
        <is>
          <t>UPI</t>
        </is>
      </c>
      <c r="I2460" t="inlineStr">
        <is>
          <t>Delivered</t>
        </is>
      </c>
      <c r="J2460" t="n">
        <v>122</v>
      </c>
      <c r="K2460" t="n">
        <v>1</v>
      </c>
      <c r="L2460" t="n">
        <v>1994</v>
      </c>
      <c r="M2460" t="n">
        <v>0</v>
      </c>
      <c r="N2460">
        <f>VLOOKUP(J2460,Products!$A$2:$C$49,3,FALSE)</f>
        <v/>
      </c>
      <c r="O2460">
        <f>K2460*L2460-M2460</f>
        <v/>
      </c>
      <c r="P2460">
        <f>TEXT(B2460,"yyyy-mm")</f>
        <v/>
      </c>
      <c r="Q2460">
        <f>IF(O2460&gt;=3000,"Large","Small")</f>
        <v/>
      </c>
      <c r="R2460">
        <f>INDEX(Products!$F$2:$F$49,MATCH(J2460,Products!$A$2:$A$49,0))</f>
        <v/>
      </c>
      <c r="S2460">
        <f>WEEKDAY(B2460,2)</f>
        <v/>
      </c>
    </row>
    <row r="2461">
      <c r="A2461" t="n">
        <v>510609</v>
      </c>
      <c r="B2461" s="6" t="n">
        <v>45965</v>
      </c>
      <c r="C2461" t="n">
        <v>17154</v>
      </c>
      <c r="D2461" t="inlineStr">
        <is>
          <t>Hyderabad</t>
        </is>
      </c>
      <c r="E2461" t="inlineStr">
        <is>
          <t>South</t>
        </is>
      </c>
      <c r="F2461" t="inlineStr">
        <is>
          <t>Organic Search</t>
        </is>
      </c>
      <c r="G2461" t="inlineStr">
        <is>
          <t>Desktop</t>
        </is>
      </c>
      <c r="H2461" t="inlineStr">
        <is>
          <t>UPI</t>
        </is>
      </c>
      <c r="I2461" t="inlineStr">
        <is>
          <t>Delivered</t>
        </is>
      </c>
      <c r="J2461" t="n">
        <v>117</v>
      </c>
      <c r="K2461" t="n">
        <v>1</v>
      </c>
      <c r="L2461" t="n">
        <v>3149</v>
      </c>
      <c r="M2461" t="n">
        <v>0</v>
      </c>
      <c r="N2461">
        <f>VLOOKUP(J2461,Products!$A$2:$C$49,3,FALSE)</f>
        <v/>
      </c>
      <c r="O2461">
        <f>K2461*L2461-M2461</f>
        <v/>
      </c>
      <c r="P2461">
        <f>TEXT(B2461,"yyyy-mm")</f>
        <v/>
      </c>
      <c r="Q2461">
        <f>IF(O2461&gt;=3000,"Large","Small")</f>
        <v/>
      </c>
      <c r="R2461">
        <f>INDEX(Products!$F$2:$F$49,MATCH(J2461,Products!$A$2:$A$49,0))</f>
        <v/>
      </c>
      <c r="S2461">
        <f>WEEKDAY(B2461,2)</f>
        <v/>
      </c>
    </row>
    <row r="2462">
      <c r="A2462" t="n">
        <v>510610</v>
      </c>
      <c r="B2462" s="6" t="n">
        <v>45965</v>
      </c>
      <c r="C2462" t="n">
        <v>13348</v>
      </c>
      <c r="D2462" t="inlineStr">
        <is>
          <t>Jaipur</t>
        </is>
      </c>
      <c r="E2462" t="inlineStr">
        <is>
          <t>North</t>
        </is>
      </c>
      <c r="F2462" t="inlineStr">
        <is>
          <t>Email</t>
        </is>
      </c>
      <c r="G2462" t="inlineStr">
        <is>
          <t>Desktop</t>
        </is>
      </c>
      <c r="H2462" t="inlineStr">
        <is>
          <t>Credit Card</t>
        </is>
      </c>
      <c r="I2462" t="inlineStr">
        <is>
          <t>Delivered</t>
        </is>
      </c>
      <c r="J2462" t="n">
        <v>113</v>
      </c>
      <c r="K2462" t="n">
        <v>1</v>
      </c>
      <c r="L2462" t="n">
        <v>1364</v>
      </c>
      <c r="M2462" t="n">
        <v>0</v>
      </c>
      <c r="N2462">
        <f>VLOOKUP(J2462,Products!$A$2:$C$49,3,FALSE)</f>
        <v/>
      </c>
      <c r="O2462">
        <f>K2462*L2462-M2462</f>
        <v/>
      </c>
      <c r="P2462">
        <f>TEXT(B2462,"yyyy-mm")</f>
        <v/>
      </c>
      <c r="Q2462">
        <f>IF(O2462&gt;=3000,"Large","Small")</f>
        <v/>
      </c>
      <c r="R2462">
        <f>INDEX(Products!$F$2:$F$49,MATCH(J2462,Products!$A$2:$A$49,0))</f>
        <v/>
      </c>
      <c r="S2462">
        <f>WEEKDAY(B2462,2)</f>
        <v/>
      </c>
    </row>
    <row r="2463">
      <c r="A2463" t="n">
        <v>510611</v>
      </c>
      <c r="B2463" s="6" t="n">
        <v>45965</v>
      </c>
      <c r="C2463" t="n">
        <v>17146</v>
      </c>
      <c r="D2463" t="inlineStr">
        <is>
          <t>Jaipur</t>
        </is>
      </c>
      <c r="E2463" t="inlineStr">
        <is>
          <t>North</t>
        </is>
      </c>
      <c r="F2463" t="inlineStr">
        <is>
          <t>Paid Social</t>
        </is>
      </c>
      <c r="G2463" t="inlineStr">
        <is>
          <t>Mobile App</t>
        </is>
      </c>
      <c r="H2463" t="inlineStr">
        <is>
          <t>Cash on Delivery</t>
        </is>
      </c>
      <c r="I2463" t="inlineStr">
        <is>
          <t>Delivered</t>
        </is>
      </c>
      <c r="J2463" t="n">
        <v>117</v>
      </c>
      <c r="K2463" t="n">
        <v>1</v>
      </c>
      <c r="L2463" t="n">
        <v>3149</v>
      </c>
      <c r="M2463" t="n">
        <v>157.45</v>
      </c>
      <c r="N2463">
        <f>VLOOKUP(J2463,Products!$A$2:$C$49,3,FALSE)</f>
        <v/>
      </c>
      <c r="O2463">
        <f>K2463*L2463-M2463</f>
        <v/>
      </c>
      <c r="P2463">
        <f>TEXT(B2463,"yyyy-mm")</f>
        <v/>
      </c>
      <c r="Q2463">
        <f>IF(O2463&gt;=3000,"Large","Small")</f>
        <v/>
      </c>
      <c r="R2463">
        <f>INDEX(Products!$F$2:$F$49,MATCH(J2463,Products!$A$2:$A$49,0))</f>
        <v/>
      </c>
      <c r="S2463">
        <f>WEEKDAY(B2463,2)</f>
        <v/>
      </c>
    </row>
    <row r="2464">
      <c r="A2464" t="n">
        <v>510612</v>
      </c>
      <c r="B2464" s="6" t="n">
        <v>45965</v>
      </c>
      <c r="C2464" t="n">
        <v>17133</v>
      </c>
      <c r="D2464" t="inlineStr">
        <is>
          <t>Delhi</t>
        </is>
      </c>
      <c r="E2464" t="inlineStr">
        <is>
          <t>North</t>
        </is>
      </c>
      <c r="F2464" t="inlineStr">
        <is>
          <t>Paid Social</t>
        </is>
      </c>
      <c r="G2464" t="inlineStr">
        <is>
          <t>Mobile App</t>
        </is>
      </c>
      <c r="H2464" t="inlineStr">
        <is>
          <t>UPI</t>
        </is>
      </c>
      <c r="I2464" t="inlineStr">
        <is>
          <t>Delivered</t>
        </is>
      </c>
      <c r="J2464" t="n">
        <v>107</v>
      </c>
      <c r="K2464" t="n">
        <v>1</v>
      </c>
      <c r="L2464" t="n">
        <v>1259</v>
      </c>
      <c r="M2464" t="n">
        <v>188.85</v>
      </c>
      <c r="N2464">
        <f>VLOOKUP(J2464,Products!$A$2:$C$49,3,FALSE)</f>
        <v/>
      </c>
      <c r="O2464">
        <f>K2464*L2464-M2464</f>
        <v/>
      </c>
      <c r="P2464">
        <f>TEXT(B2464,"yyyy-mm")</f>
        <v/>
      </c>
      <c r="Q2464">
        <f>IF(O2464&gt;=3000,"Large","Small")</f>
        <v/>
      </c>
      <c r="R2464">
        <f>INDEX(Products!$F$2:$F$49,MATCH(J2464,Products!$A$2:$A$49,0))</f>
        <v/>
      </c>
      <c r="S2464">
        <f>WEEKDAY(B2464,2)</f>
        <v/>
      </c>
    </row>
    <row r="2465">
      <c r="A2465" t="n">
        <v>510612</v>
      </c>
      <c r="B2465" s="6" t="n">
        <v>45965</v>
      </c>
      <c r="C2465" t="n">
        <v>17133</v>
      </c>
      <c r="D2465" t="inlineStr">
        <is>
          <t>Delhi</t>
        </is>
      </c>
      <c r="E2465" t="inlineStr">
        <is>
          <t>North</t>
        </is>
      </c>
      <c r="F2465" t="inlineStr">
        <is>
          <t>Paid Social</t>
        </is>
      </c>
      <c r="G2465" t="inlineStr">
        <is>
          <t>Mobile App</t>
        </is>
      </c>
      <c r="H2465" t="inlineStr">
        <is>
          <t>UPI</t>
        </is>
      </c>
      <c r="I2465" t="inlineStr">
        <is>
          <t>Delivered</t>
        </is>
      </c>
      <c r="J2465" t="n">
        <v>104</v>
      </c>
      <c r="K2465" t="n">
        <v>1</v>
      </c>
      <c r="L2465" t="n">
        <v>5249</v>
      </c>
      <c r="M2465" t="n">
        <v>787.35</v>
      </c>
      <c r="N2465">
        <f>VLOOKUP(J2465,Products!$A$2:$C$49,3,FALSE)</f>
        <v/>
      </c>
      <c r="O2465">
        <f>K2465*L2465-M2465</f>
        <v/>
      </c>
      <c r="P2465">
        <f>TEXT(B2465,"yyyy-mm")</f>
        <v/>
      </c>
      <c r="Q2465">
        <f>IF(O2465&gt;=3000,"Large","Small")</f>
        <v/>
      </c>
      <c r="R2465">
        <f>INDEX(Products!$F$2:$F$49,MATCH(J2465,Products!$A$2:$A$49,0))</f>
        <v/>
      </c>
      <c r="S2465">
        <f>WEEKDAY(B2465,2)</f>
        <v/>
      </c>
    </row>
    <row r="2466">
      <c r="A2466" t="n">
        <v>510613</v>
      </c>
      <c r="B2466" s="6" t="n">
        <v>45965</v>
      </c>
      <c r="C2466" t="n">
        <v>17176</v>
      </c>
      <c r="D2466" t="inlineStr">
        <is>
          <t>Kolkata</t>
        </is>
      </c>
      <c r="E2466" t="inlineStr">
        <is>
          <t>East</t>
        </is>
      </c>
      <c r="F2466" t="inlineStr">
        <is>
          <t>Organic Search</t>
        </is>
      </c>
      <c r="G2466" t="inlineStr">
        <is>
          <t>Mobile App</t>
        </is>
      </c>
      <c r="H2466" t="inlineStr">
        <is>
          <t>UPI</t>
        </is>
      </c>
      <c r="I2466" t="inlineStr">
        <is>
          <t>Delivered</t>
        </is>
      </c>
      <c r="J2466" t="n">
        <v>148</v>
      </c>
      <c r="K2466" t="n">
        <v>1</v>
      </c>
      <c r="L2466" t="n">
        <v>734</v>
      </c>
      <c r="M2466" t="n">
        <v>0</v>
      </c>
      <c r="N2466">
        <f>VLOOKUP(J2466,Products!$A$2:$C$49,3,FALSE)</f>
        <v/>
      </c>
      <c r="O2466">
        <f>K2466*L2466-M2466</f>
        <v/>
      </c>
      <c r="P2466">
        <f>TEXT(B2466,"yyyy-mm")</f>
        <v/>
      </c>
      <c r="Q2466">
        <f>IF(O2466&gt;=3000,"Large","Small")</f>
        <v/>
      </c>
      <c r="R2466">
        <f>INDEX(Products!$F$2:$F$49,MATCH(J2466,Products!$A$2:$A$49,0))</f>
        <v/>
      </c>
      <c r="S2466">
        <f>WEEKDAY(B2466,2)</f>
        <v/>
      </c>
    </row>
    <row r="2467">
      <c r="A2467" t="n">
        <v>510613</v>
      </c>
      <c r="B2467" s="6" t="n">
        <v>45965</v>
      </c>
      <c r="C2467" t="n">
        <v>17176</v>
      </c>
      <c r="D2467" t="inlineStr">
        <is>
          <t>Kolkata</t>
        </is>
      </c>
      <c r="E2467" t="inlineStr">
        <is>
          <t>East</t>
        </is>
      </c>
      <c r="F2467" t="inlineStr">
        <is>
          <t>Organic Search</t>
        </is>
      </c>
      <c r="G2467" t="inlineStr">
        <is>
          <t>Mobile App</t>
        </is>
      </c>
      <c r="H2467" t="inlineStr">
        <is>
          <t>UPI</t>
        </is>
      </c>
      <c r="I2467" t="inlineStr">
        <is>
          <t>Delivered</t>
        </is>
      </c>
      <c r="J2467" t="n">
        <v>135</v>
      </c>
      <c r="K2467" t="n">
        <v>1</v>
      </c>
      <c r="L2467" t="n">
        <v>1574</v>
      </c>
      <c r="M2467" t="n">
        <v>0</v>
      </c>
      <c r="N2467">
        <f>VLOOKUP(J2467,Products!$A$2:$C$49,3,FALSE)</f>
        <v/>
      </c>
      <c r="O2467">
        <f>K2467*L2467-M2467</f>
        <v/>
      </c>
      <c r="P2467">
        <f>TEXT(B2467,"yyyy-mm")</f>
        <v/>
      </c>
      <c r="Q2467">
        <f>IF(O2467&gt;=3000,"Large","Small")</f>
        <v/>
      </c>
      <c r="R2467">
        <f>INDEX(Products!$F$2:$F$49,MATCH(J2467,Products!$A$2:$A$49,0))</f>
        <v/>
      </c>
      <c r="S2467">
        <f>WEEKDAY(B2467,2)</f>
        <v/>
      </c>
    </row>
    <row r="2468">
      <c r="A2468" t="n">
        <v>510614</v>
      </c>
      <c r="B2468" s="6" t="n">
        <v>45965</v>
      </c>
      <c r="C2468" t="n">
        <v>10075</v>
      </c>
      <c r="D2468" t="inlineStr">
        <is>
          <t>Pune</t>
        </is>
      </c>
      <c r="E2468" t="inlineStr">
        <is>
          <t>West</t>
        </is>
      </c>
      <c r="F2468" t="inlineStr">
        <is>
          <t>Paid Social</t>
        </is>
      </c>
      <c r="G2468" t="inlineStr">
        <is>
          <t>Mobile Web</t>
        </is>
      </c>
      <c r="H2468" t="inlineStr">
        <is>
          <t>UPI</t>
        </is>
      </c>
      <c r="I2468" t="inlineStr">
        <is>
          <t>Delivered</t>
        </is>
      </c>
      <c r="J2468" t="n">
        <v>103</v>
      </c>
      <c r="K2468" t="n">
        <v>3</v>
      </c>
      <c r="L2468" t="n">
        <v>2624</v>
      </c>
      <c r="M2468" t="n">
        <v>0</v>
      </c>
      <c r="N2468">
        <f>VLOOKUP(J2468,Products!$A$2:$C$49,3,FALSE)</f>
        <v/>
      </c>
      <c r="O2468">
        <f>K2468*L2468-M2468</f>
        <v/>
      </c>
      <c r="P2468">
        <f>TEXT(B2468,"yyyy-mm")</f>
        <v/>
      </c>
      <c r="Q2468">
        <f>IF(O2468&gt;=3000,"Large","Small")</f>
        <v/>
      </c>
      <c r="R2468">
        <f>INDEX(Products!$F$2:$F$49,MATCH(J2468,Products!$A$2:$A$49,0))</f>
        <v/>
      </c>
      <c r="S2468">
        <f>WEEKDAY(B2468,2)</f>
        <v/>
      </c>
    </row>
    <row r="2469">
      <c r="A2469" t="n">
        <v>510615</v>
      </c>
      <c r="B2469" s="6" t="n">
        <v>45965</v>
      </c>
      <c r="C2469" t="n">
        <v>13476</v>
      </c>
      <c r="D2469" t="inlineStr">
        <is>
          <t>Mumbai</t>
        </is>
      </c>
      <c r="E2469" t="inlineStr">
        <is>
          <t>West</t>
        </is>
      </c>
      <c r="F2469" t="inlineStr">
        <is>
          <t>Organic Search</t>
        </is>
      </c>
      <c r="G2469" t="inlineStr">
        <is>
          <t>Mobile App</t>
        </is>
      </c>
      <c r="H2469" t="inlineStr">
        <is>
          <t>Credit Card</t>
        </is>
      </c>
      <c r="I2469" t="inlineStr">
        <is>
          <t>Returned</t>
        </is>
      </c>
      <c r="J2469" t="n">
        <v>116</v>
      </c>
      <c r="K2469" t="n">
        <v>1</v>
      </c>
      <c r="L2469" t="n">
        <v>2624</v>
      </c>
      <c r="M2469" t="n">
        <v>131.2</v>
      </c>
      <c r="N2469">
        <f>VLOOKUP(J2469,Products!$A$2:$C$49,3,FALSE)</f>
        <v/>
      </c>
      <c r="O2469">
        <f>K2469*L2469-M2469</f>
        <v/>
      </c>
      <c r="P2469">
        <f>TEXT(B2469,"yyyy-mm")</f>
        <v/>
      </c>
      <c r="Q2469">
        <f>IF(O2469&gt;=3000,"Large","Small")</f>
        <v/>
      </c>
      <c r="R2469">
        <f>INDEX(Products!$F$2:$F$49,MATCH(J2469,Products!$A$2:$A$49,0))</f>
        <v/>
      </c>
      <c r="S2469">
        <f>WEEKDAY(B2469,2)</f>
        <v/>
      </c>
    </row>
    <row r="2470">
      <c r="A2470" t="n">
        <v>510615</v>
      </c>
      <c r="B2470" s="6" t="n">
        <v>45965</v>
      </c>
      <c r="C2470" t="n">
        <v>13476</v>
      </c>
      <c r="D2470" t="inlineStr">
        <is>
          <t>Mumbai</t>
        </is>
      </c>
      <c r="E2470" t="inlineStr">
        <is>
          <t>West</t>
        </is>
      </c>
      <c r="F2470" t="inlineStr">
        <is>
          <t>Organic Search</t>
        </is>
      </c>
      <c r="G2470" t="inlineStr">
        <is>
          <t>Mobile App</t>
        </is>
      </c>
      <c r="H2470" t="inlineStr">
        <is>
          <t>Credit Card</t>
        </is>
      </c>
      <c r="I2470" t="inlineStr">
        <is>
          <t>Returned</t>
        </is>
      </c>
      <c r="J2470" t="n">
        <v>109</v>
      </c>
      <c r="K2470" t="n">
        <v>1</v>
      </c>
      <c r="L2470" t="n">
        <v>4199</v>
      </c>
      <c r="M2470" t="n">
        <v>209.95</v>
      </c>
      <c r="N2470">
        <f>VLOOKUP(J2470,Products!$A$2:$C$49,3,FALSE)</f>
        <v/>
      </c>
      <c r="O2470">
        <f>K2470*L2470-M2470</f>
        <v/>
      </c>
      <c r="P2470">
        <f>TEXT(B2470,"yyyy-mm")</f>
        <v/>
      </c>
      <c r="Q2470">
        <f>IF(O2470&gt;=3000,"Large","Small")</f>
        <v/>
      </c>
      <c r="R2470">
        <f>INDEX(Products!$F$2:$F$49,MATCH(J2470,Products!$A$2:$A$49,0))</f>
        <v/>
      </c>
      <c r="S2470">
        <f>WEEKDAY(B2470,2)</f>
        <v/>
      </c>
    </row>
    <row r="2471">
      <c r="A2471" t="n">
        <v>510616</v>
      </c>
      <c r="B2471" s="6" t="n">
        <v>45965</v>
      </c>
      <c r="C2471" t="n">
        <v>17185</v>
      </c>
      <c r="D2471" t="inlineStr">
        <is>
          <t>Indore</t>
        </is>
      </c>
      <c r="E2471" t="inlineStr">
        <is>
          <t>West</t>
        </is>
      </c>
      <c r="F2471" t="inlineStr">
        <is>
          <t>Paid Search</t>
        </is>
      </c>
      <c r="G2471" t="inlineStr">
        <is>
          <t>Desktop</t>
        </is>
      </c>
      <c r="H2471" t="inlineStr">
        <is>
          <t>Credit Card</t>
        </is>
      </c>
      <c r="I2471" t="inlineStr">
        <is>
          <t>Delivered</t>
        </is>
      </c>
      <c r="J2471" t="n">
        <v>137</v>
      </c>
      <c r="K2471" t="n">
        <v>2</v>
      </c>
      <c r="L2471" t="n">
        <v>261</v>
      </c>
      <c r="M2471" t="n">
        <v>0</v>
      </c>
      <c r="N2471">
        <f>VLOOKUP(J2471,Products!$A$2:$C$49,3,FALSE)</f>
        <v/>
      </c>
      <c r="O2471">
        <f>K2471*L2471-M2471</f>
        <v/>
      </c>
      <c r="P2471">
        <f>TEXT(B2471,"yyyy-mm")</f>
        <v/>
      </c>
      <c r="Q2471">
        <f>IF(O2471&gt;=3000,"Large","Small")</f>
        <v/>
      </c>
      <c r="R2471">
        <f>INDEX(Products!$F$2:$F$49,MATCH(J2471,Products!$A$2:$A$49,0))</f>
        <v/>
      </c>
      <c r="S2471">
        <f>WEEKDAY(B2471,2)</f>
        <v/>
      </c>
    </row>
    <row r="2472">
      <c r="A2472" t="n">
        <v>510617</v>
      </c>
      <c r="B2472" s="6" t="n">
        <v>45966</v>
      </c>
      <c r="C2472" t="n">
        <v>17102</v>
      </c>
      <c r="D2472" t="inlineStr">
        <is>
          <t>Hyderabad</t>
        </is>
      </c>
      <c r="E2472" t="inlineStr">
        <is>
          <t>South</t>
        </is>
      </c>
      <c r="F2472" t="inlineStr">
        <is>
          <t>Organic Search</t>
        </is>
      </c>
      <c r="G2472" t="inlineStr">
        <is>
          <t>Mobile Web</t>
        </is>
      </c>
      <c r="H2472" t="inlineStr">
        <is>
          <t>Cash on Delivery</t>
        </is>
      </c>
      <c r="I2472" t="inlineStr">
        <is>
          <t>Delivered</t>
        </is>
      </c>
      <c r="J2472" t="n">
        <v>109</v>
      </c>
      <c r="K2472" t="n">
        <v>2</v>
      </c>
      <c r="L2472" t="n">
        <v>4199</v>
      </c>
      <c r="M2472" t="n">
        <v>419.9</v>
      </c>
      <c r="N2472">
        <f>VLOOKUP(J2472,Products!$A$2:$C$49,3,FALSE)</f>
        <v/>
      </c>
      <c r="O2472">
        <f>K2472*L2472-M2472</f>
        <v/>
      </c>
      <c r="P2472">
        <f>TEXT(B2472,"yyyy-mm")</f>
        <v/>
      </c>
      <c r="Q2472">
        <f>IF(O2472&gt;=3000,"Large","Small")</f>
        <v/>
      </c>
      <c r="R2472">
        <f>INDEX(Products!$F$2:$F$49,MATCH(J2472,Products!$A$2:$A$49,0))</f>
        <v/>
      </c>
      <c r="S2472">
        <f>WEEKDAY(B2472,2)</f>
        <v/>
      </c>
    </row>
    <row r="2473">
      <c r="A2473" t="n">
        <v>510617</v>
      </c>
      <c r="B2473" s="6" t="n">
        <v>45966</v>
      </c>
      <c r="C2473" t="n">
        <v>17102</v>
      </c>
      <c r="D2473" t="inlineStr">
        <is>
          <t>Hyderabad</t>
        </is>
      </c>
      <c r="E2473" t="inlineStr">
        <is>
          <t>South</t>
        </is>
      </c>
      <c r="F2473" t="inlineStr">
        <is>
          <t>Organic Search</t>
        </is>
      </c>
      <c r="G2473" t="inlineStr">
        <is>
          <t>Mobile Web</t>
        </is>
      </c>
      <c r="H2473" t="inlineStr">
        <is>
          <t>Cash on Delivery</t>
        </is>
      </c>
      <c r="I2473" t="inlineStr">
        <is>
          <t>Delivered</t>
        </is>
      </c>
      <c r="J2473" t="n">
        <v>108</v>
      </c>
      <c r="K2473" t="n">
        <v>1</v>
      </c>
      <c r="L2473" t="n">
        <v>419</v>
      </c>
      <c r="M2473" t="n">
        <v>20.95</v>
      </c>
      <c r="N2473">
        <f>VLOOKUP(J2473,Products!$A$2:$C$49,3,FALSE)</f>
        <v/>
      </c>
      <c r="O2473">
        <f>K2473*L2473-M2473</f>
        <v/>
      </c>
      <c r="P2473">
        <f>TEXT(B2473,"yyyy-mm")</f>
        <v/>
      </c>
      <c r="Q2473">
        <f>IF(O2473&gt;=3000,"Large","Small")</f>
        <v/>
      </c>
      <c r="R2473">
        <f>INDEX(Products!$F$2:$F$49,MATCH(J2473,Products!$A$2:$A$49,0))</f>
        <v/>
      </c>
      <c r="S2473">
        <f>WEEKDAY(B2473,2)</f>
        <v/>
      </c>
    </row>
    <row r="2474">
      <c r="A2474" t="n">
        <v>510618</v>
      </c>
      <c r="B2474" s="6" t="n">
        <v>45966</v>
      </c>
      <c r="C2474" t="n">
        <v>17193</v>
      </c>
      <c r="D2474" t="inlineStr">
        <is>
          <t>Bengaluru</t>
        </is>
      </c>
      <c r="E2474" t="inlineStr">
        <is>
          <t>South</t>
        </is>
      </c>
      <c r="F2474" t="inlineStr">
        <is>
          <t>Referral</t>
        </is>
      </c>
      <c r="G2474" t="inlineStr">
        <is>
          <t>Mobile Web</t>
        </is>
      </c>
      <c r="H2474" t="inlineStr">
        <is>
          <t>UPI</t>
        </is>
      </c>
      <c r="I2474" t="inlineStr">
        <is>
          <t>Delivered</t>
        </is>
      </c>
      <c r="J2474" t="n">
        <v>137</v>
      </c>
      <c r="K2474" t="n">
        <v>2</v>
      </c>
      <c r="L2474" t="n">
        <v>261</v>
      </c>
      <c r="M2474" t="n">
        <v>0</v>
      </c>
      <c r="N2474">
        <f>VLOOKUP(J2474,Products!$A$2:$C$49,3,FALSE)</f>
        <v/>
      </c>
      <c r="O2474">
        <f>K2474*L2474-M2474</f>
        <v/>
      </c>
      <c r="P2474">
        <f>TEXT(B2474,"yyyy-mm")</f>
        <v/>
      </c>
      <c r="Q2474">
        <f>IF(O2474&gt;=3000,"Large","Small")</f>
        <v/>
      </c>
      <c r="R2474">
        <f>INDEX(Products!$F$2:$F$49,MATCH(J2474,Products!$A$2:$A$49,0))</f>
        <v/>
      </c>
      <c r="S2474">
        <f>WEEKDAY(B2474,2)</f>
        <v/>
      </c>
    </row>
    <row r="2475">
      <c r="A2475" t="n">
        <v>510619</v>
      </c>
      <c r="B2475" s="6" t="n">
        <v>45966</v>
      </c>
      <c r="C2475" t="n">
        <v>17142</v>
      </c>
      <c r="D2475" t="inlineStr">
        <is>
          <t>Delhi</t>
        </is>
      </c>
      <c r="E2475" t="inlineStr">
        <is>
          <t>North</t>
        </is>
      </c>
      <c r="F2475" t="inlineStr">
        <is>
          <t>Email</t>
        </is>
      </c>
      <c r="G2475" t="inlineStr">
        <is>
          <t>Mobile Web</t>
        </is>
      </c>
      <c r="H2475" t="inlineStr">
        <is>
          <t>UPI</t>
        </is>
      </c>
      <c r="I2475" t="inlineStr">
        <is>
          <t>Delivered</t>
        </is>
      </c>
      <c r="J2475" t="n">
        <v>107</v>
      </c>
      <c r="K2475" t="n">
        <v>1</v>
      </c>
      <c r="L2475" t="n">
        <v>1259</v>
      </c>
      <c r="M2475" t="n">
        <v>0</v>
      </c>
      <c r="N2475">
        <f>VLOOKUP(J2475,Products!$A$2:$C$49,3,FALSE)</f>
        <v/>
      </c>
      <c r="O2475">
        <f>K2475*L2475-M2475</f>
        <v/>
      </c>
      <c r="P2475">
        <f>TEXT(B2475,"yyyy-mm")</f>
        <v/>
      </c>
      <c r="Q2475">
        <f>IF(O2475&gt;=3000,"Large","Small")</f>
        <v/>
      </c>
      <c r="R2475">
        <f>INDEX(Products!$F$2:$F$49,MATCH(J2475,Products!$A$2:$A$49,0))</f>
        <v/>
      </c>
      <c r="S2475">
        <f>WEEKDAY(B2475,2)</f>
        <v/>
      </c>
    </row>
    <row r="2476">
      <c r="A2476" t="n">
        <v>510619</v>
      </c>
      <c r="B2476" s="6" t="n">
        <v>45966</v>
      </c>
      <c r="C2476" t="n">
        <v>17142</v>
      </c>
      <c r="D2476" t="inlineStr">
        <is>
          <t>Delhi</t>
        </is>
      </c>
      <c r="E2476" t="inlineStr">
        <is>
          <t>North</t>
        </is>
      </c>
      <c r="F2476" t="inlineStr">
        <is>
          <t>Email</t>
        </is>
      </c>
      <c r="G2476" t="inlineStr">
        <is>
          <t>Mobile Web</t>
        </is>
      </c>
      <c r="H2476" t="inlineStr">
        <is>
          <t>UPI</t>
        </is>
      </c>
      <c r="I2476" t="inlineStr">
        <is>
          <t>Delivered</t>
        </is>
      </c>
      <c r="J2476" t="n">
        <v>128</v>
      </c>
      <c r="K2476" t="n">
        <v>1</v>
      </c>
      <c r="L2476" t="n">
        <v>1049</v>
      </c>
      <c r="M2476" t="n">
        <v>0</v>
      </c>
      <c r="N2476">
        <f>VLOOKUP(J2476,Products!$A$2:$C$49,3,FALSE)</f>
        <v/>
      </c>
      <c r="O2476">
        <f>K2476*L2476-M2476</f>
        <v/>
      </c>
      <c r="P2476">
        <f>TEXT(B2476,"yyyy-mm")</f>
        <v/>
      </c>
      <c r="Q2476">
        <f>IF(O2476&gt;=3000,"Large","Small")</f>
        <v/>
      </c>
      <c r="R2476">
        <f>INDEX(Products!$F$2:$F$49,MATCH(J2476,Products!$A$2:$A$49,0))</f>
        <v/>
      </c>
      <c r="S2476">
        <f>WEEKDAY(B2476,2)</f>
        <v/>
      </c>
    </row>
    <row r="2477">
      <c r="A2477" t="n">
        <v>510620</v>
      </c>
      <c r="B2477" s="6" t="n">
        <v>45966</v>
      </c>
      <c r="C2477" t="n">
        <v>17105</v>
      </c>
      <c r="D2477" t="inlineStr">
        <is>
          <t>Delhi</t>
        </is>
      </c>
      <c r="E2477" t="inlineStr">
        <is>
          <t>North</t>
        </is>
      </c>
      <c r="F2477" t="inlineStr">
        <is>
          <t>Organic Search</t>
        </is>
      </c>
      <c r="G2477" t="inlineStr">
        <is>
          <t>Mobile App</t>
        </is>
      </c>
      <c r="H2477" t="inlineStr">
        <is>
          <t>Cash on Delivery</t>
        </is>
      </c>
      <c r="I2477" t="inlineStr">
        <is>
          <t>Delivered</t>
        </is>
      </c>
      <c r="J2477" t="n">
        <v>113</v>
      </c>
      <c r="K2477" t="n">
        <v>1</v>
      </c>
      <c r="L2477" t="n">
        <v>1364</v>
      </c>
      <c r="M2477" t="n">
        <v>0</v>
      </c>
      <c r="N2477">
        <f>VLOOKUP(J2477,Products!$A$2:$C$49,3,FALSE)</f>
        <v/>
      </c>
      <c r="O2477">
        <f>K2477*L2477-M2477</f>
        <v/>
      </c>
      <c r="P2477">
        <f>TEXT(B2477,"yyyy-mm")</f>
        <v/>
      </c>
      <c r="Q2477">
        <f>IF(O2477&gt;=3000,"Large","Small")</f>
        <v/>
      </c>
      <c r="R2477">
        <f>INDEX(Products!$F$2:$F$49,MATCH(J2477,Products!$A$2:$A$49,0))</f>
        <v/>
      </c>
      <c r="S2477">
        <f>WEEKDAY(B2477,2)</f>
        <v/>
      </c>
    </row>
    <row r="2478">
      <c r="A2478" t="n">
        <v>510620</v>
      </c>
      <c r="B2478" s="6" t="n">
        <v>45966</v>
      </c>
      <c r="C2478" t="n">
        <v>17105</v>
      </c>
      <c r="D2478" t="inlineStr">
        <is>
          <t>Delhi</t>
        </is>
      </c>
      <c r="E2478" t="inlineStr">
        <is>
          <t>North</t>
        </is>
      </c>
      <c r="F2478" t="inlineStr">
        <is>
          <t>Organic Search</t>
        </is>
      </c>
      <c r="G2478" t="inlineStr">
        <is>
          <t>Mobile App</t>
        </is>
      </c>
      <c r="H2478" t="inlineStr">
        <is>
          <t>Cash on Delivery</t>
        </is>
      </c>
      <c r="I2478" t="inlineStr">
        <is>
          <t>Delivered</t>
        </is>
      </c>
      <c r="J2478" t="n">
        <v>126</v>
      </c>
      <c r="K2478" t="n">
        <v>1</v>
      </c>
      <c r="L2478" t="n">
        <v>471</v>
      </c>
      <c r="M2478" t="n">
        <v>0</v>
      </c>
      <c r="N2478">
        <f>VLOOKUP(J2478,Products!$A$2:$C$49,3,FALSE)</f>
        <v/>
      </c>
      <c r="O2478">
        <f>K2478*L2478-M2478</f>
        <v/>
      </c>
      <c r="P2478">
        <f>TEXT(B2478,"yyyy-mm")</f>
        <v/>
      </c>
      <c r="Q2478">
        <f>IF(O2478&gt;=3000,"Large","Small")</f>
        <v/>
      </c>
      <c r="R2478">
        <f>INDEX(Products!$F$2:$F$49,MATCH(J2478,Products!$A$2:$A$49,0))</f>
        <v/>
      </c>
      <c r="S2478">
        <f>WEEKDAY(B2478,2)</f>
        <v/>
      </c>
    </row>
    <row r="2479">
      <c r="A2479" t="n">
        <v>510620</v>
      </c>
      <c r="B2479" s="6" t="n">
        <v>45966</v>
      </c>
      <c r="C2479" t="n">
        <v>17105</v>
      </c>
      <c r="D2479" t="inlineStr">
        <is>
          <t>Delhi</t>
        </is>
      </c>
      <c r="E2479" t="inlineStr">
        <is>
          <t>North</t>
        </is>
      </c>
      <c r="F2479" t="inlineStr">
        <is>
          <t>Organic Search</t>
        </is>
      </c>
      <c r="G2479" t="inlineStr">
        <is>
          <t>Mobile App</t>
        </is>
      </c>
      <c r="H2479" t="inlineStr">
        <is>
          <t>Cash on Delivery</t>
        </is>
      </c>
      <c r="I2479" t="inlineStr">
        <is>
          <t>Delivered</t>
        </is>
      </c>
      <c r="J2479" t="n">
        <v>108</v>
      </c>
      <c r="K2479" t="n">
        <v>1</v>
      </c>
      <c r="L2479" t="n">
        <v>419</v>
      </c>
      <c r="M2479" t="n">
        <v>0</v>
      </c>
      <c r="N2479">
        <f>VLOOKUP(J2479,Products!$A$2:$C$49,3,FALSE)</f>
        <v/>
      </c>
      <c r="O2479">
        <f>K2479*L2479-M2479</f>
        <v/>
      </c>
      <c r="P2479">
        <f>TEXT(B2479,"yyyy-mm")</f>
        <v/>
      </c>
      <c r="Q2479">
        <f>IF(O2479&gt;=3000,"Large","Small")</f>
        <v/>
      </c>
      <c r="R2479">
        <f>INDEX(Products!$F$2:$F$49,MATCH(J2479,Products!$A$2:$A$49,0))</f>
        <v/>
      </c>
      <c r="S2479">
        <f>WEEKDAY(B2479,2)</f>
        <v/>
      </c>
    </row>
    <row r="2480">
      <c r="A2480" t="n">
        <v>510621</v>
      </c>
      <c r="B2480" s="6" t="n">
        <v>45966</v>
      </c>
      <c r="C2480" t="n">
        <v>17004</v>
      </c>
      <c r="D2480" t="inlineStr">
        <is>
          <t>Bengaluru</t>
        </is>
      </c>
      <c r="E2480" t="inlineStr">
        <is>
          <t>South</t>
        </is>
      </c>
      <c r="F2480" t="inlineStr">
        <is>
          <t>Email</t>
        </is>
      </c>
      <c r="G2480" t="inlineStr">
        <is>
          <t>Mobile Web</t>
        </is>
      </c>
      <c r="H2480" t="inlineStr">
        <is>
          <t>UPI</t>
        </is>
      </c>
      <c r="I2480" t="inlineStr">
        <is>
          <t>Returned</t>
        </is>
      </c>
      <c r="J2480" t="n">
        <v>118</v>
      </c>
      <c r="K2480" t="n">
        <v>1</v>
      </c>
      <c r="L2480" t="n">
        <v>944</v>
      </c>
      <c r="M2480" t="n">
        <v>0</v>
      </c>
      <c r="N2480">
        <f>VLOOKUP(J2480,Products!$A$2:$C$49,3,FALSE)</f>
        <v/>
      </c>
      <c r="O2480">
        <f>K2480*L2480-M2480</f>
        <v/>
      </c>
      <c r="P2480">
        <f>TEXT(B2480,"yyyy-mm")</f>
        <v/>
      </c>
      <c r="Q2480">
        <f>IF(O2480&gt;=3000,"Large","Small")</f>
        <v/>
      </c>
      <c r="R2480">
        <f>INDEX(Products!$F$2:$F$49,MATCH(J2480,Products!$A$2:$A$49,0))</f>
        <v/>
      </c>
      <c r="S2480">
        <f>WEEKDAY(B2480,2)</f>
        <v/>
      </c>
    </row>
    <row r="2481">
      <c r="A2481" t="n">
        <v>510622</v>
      </c>
      <c r="B2481" s="6" t="n">
        <v>45966</v>
      </c>
      <c r="C2481" t="n">
        <v>17178</v>
      </c>
      <c r="D2481" t="inlineStr">
        <is>
          <t>Bengaluru</t>
        </is>
      </c>
      <c r="E2481" t="inlineStr">
        <is>
          <t>South</t>
        </is>
      </c>
      <c r="F2481" t="inlineStr">
        <is>
          <t>Paid Search</t>
        </is>
      </c>
      <c r="G2481" t="inlineStr">
        <is>
          <t>Mobile Web</t>
        </is>
      </c>
      <c r="H2481" t="inlineStr">
        <is>
          <t>UPI</t>
        </is>
      </c>
      <c r="I2481" t="inlineStr">
        <is>
          <t>Delivered</t>
        </is>
      </c>
      <c r="J2481" t="n">
        <v>112</v>
      </c>
      <c r="K2481" t="n">
        <v>1</v>
      </c>
      <c r="L2481" t="n">
        <v>1574</v>
      </c>
      <c r="M2481" t="n">
        <v>236.1</v>
      </c>
      <c r="N2481">
        <f>VLOOKUP(J2481,Products!$A$2:$C$49,3,FALSE)</f>
        <v/>
      </c>
      <c r="O2481">
        <f>K2481*L2481-M2481</f>
        <v/>
      </c>
      <c r="P2481">
        <f>TEXT(B2481,"yyyy-mm")</f>
        <v/>
      </c>
      <c r="Q2481">
        <f>IF(O2481&gt;=3000,"Large","Small")</f>
        <v/>
      </c>
      <c r="R2481">
        <f>INDEX(Products!$F$2:$F$49,MATCH(J2481,Products!$A$2:$A$49,0))</f>
        <v/>
      </c>
      <c r="S2481">
        <f>WEEKDAY(B2481,2)</f>
        <v/>
      </c>
    </row>
    <row r="2482">
      <c r="A2482" t="n">
        <v>510623</v>
      </c>
      <c r="B2482" s="6" t="n">
        <v>45966</v>
      </c>
      <c r="C2482" t="n">
        <v>17200</v>
      </c>
      <c r="D2482" t="inlineStr">
        <is>
          <t>Chennai</t>
        </is>
      </c>
      <c r="E2482" t="inlineStr">
        <is>
          <t>South</t>
        </is>
      </c>
      <c r="F2482" t="inlineStr">
        <is>
          <t>Organic Search</t>
        </is>
      </c>
      <c r="G2482" t="inlineStr">
        <is>
          <t>Mobile App</t>
        </is>
      </c>
      <c r="H2482" t="inlineStr">
        <is>
          <t>Cash on Delivery</t>
        </is>
      </c>
      <c r="I2482" t="inlineStr">
        <is>
          <t>Delivered</t>
        </is>
      </c>
      <c r="J2482" t="n">
        <v>146</v>
      </c>
      <c r="K2482" t="n">
        <v>1</v>
      </c>
      <c r="L2482" t="n">
        <v>4724</v>
      </c>
      <c r="M2482" t="n">
        <v>0</v>
      </c>
      <c r="N2482">
        <f>VLOOKUP(J2482,Products!$A$2:$C$49,3,FALSE)</f>
        <v/>
      </c>
      <c r="O2482">
        <f>K2482*L2482-M2482</f>
        <v/>
      </c>
      <c r="P2482">
        <f>TEXT(B2482,"yyyy-mm")</f>
        <v/>
      </c>
      <c r="Q2482">
        <f>IF(O2482&gt;=3000,"Large","Small")</f>
        <v/>
      </c>
      <c r="R2482">
        <f>INDEX(Products!$F$2:$F$49,MATCH(J2482,Products!$A$2:$A$49,0))</f>
        <v/>
      </c>
      <c r="S2482">
        <f>WEEKDAY(B2482,2)</f>
        <v/>
      </c>
    </row>
    <row r="2483">
      <c r="A2483" t="n">
        <v>510624</v>
      </c>
      <c r="B2483" s="6" t="n">
        <v>45966</v>
      </c>
      <c r="C2483" t="n">
        <v>17130</v>
      </c>
      <c r="D2483" t="inlineStr">
        <is>
          <t>Bengaluru</t>
        </is>
      </c>
      <c r="E2483" t="inlineStr">
        <is>
          <t>South</t>
        </is>
      </c>
      <c r="F2483" t="inlineStr">
        <is>
          <t>Organic Search</t>
        </is>
      </c>
      <c r="G2483" t="inlineStr">
        <is>
          <t>Mobile Web</t>
        </is>
      </c>
      <c r="H2483" t="inlineStr">
        <is>
          <t>Net Banking</t>
        </is>
      </c>
      <c r="I2483" t="inlineStr">
        <is>
          <t>Delivered</t>
        </is>
      </c>
      <c r="J2483" t="n">
        <v>123</v>
      </c>
      <c r="K2483" t="n">
        <v>1</v>
      </c>
      <c r="L2483" t="n">
        <v>3464</v>
      </c>
      <c r="M2483" t="n">
        <v>519.6</v>
      </c>
      <c r="N2483">
        <f>VLOOKUP(J2483,Products!$A$2:$C$49,3,FALSE)</f>
        <v/>
      </c>
      <c r="O2483">
        <f>K2483*L2483-M2483</f>
        <v/>
      </c>
      <c r="P2483">
        <f>TEXT(B2483,"yyyy-mm")</f>
        <v/>
      </c>
      <c r="Q2483">
        <f>IF(O2483&gt;=3000,"Large","Small")</f>
        <v/>
      </c>
      <c r="R2483">
        <f>INDEX(Products!$F$2:$F$49,MATCH(J2483,Products!$A$2:$A$49,0))</f>
        <v/>
      </c>
      <c r="S2483">
        <f>WEEKDAY(B2483,2)</f>
        <v/>
      </c>
    </row>
    <row r="2484">
      <c r="A2484" t="n">
        <v>510624</v>
      </c>
      <c r="B2484" s="6" t="n">
        <v>45966</v>
      </c>
      <c r="C2484" t="n">
        <v>17130</v>
      </c>
      <c r="D2484" t="inlineStr">
        <is>
          <t>Bengaluru</t>
        </is>
      </c>
      <c r="E2484" t="inlineStr">
        <is>
          <t>South</t>
        </is>
      </c>
      <c r="F2484" t="inlineStr">
        <is>
          <t>Organic Search</t>
        </is>
      </c>
      <c r="G2484" t="inlineStr">
        <is>
          <t>Mobile Web</t>
        </is>
      </c>
      <c r="H2484" t="inlineStr">
        <is>
          <t>Net Banking</t>
        </is>
      </c>
      <c r="I2484" t="inlineStr">
        <is>
          <t>Delivered</t>
        </is>
      </c>
      <c r="J2484" t="n">
        <v>131</v>
      </c>
      <c r="K2484" t="n">
        <v>1</v>
      </c>
      <c r="L2484" t="n">
        <v>314</v>
      </c>
      <c r="M2484" t="n">
        <v>47.1</v>
      </c>
      <c r="N2484">
        <f>VLOOKUP(J2484,Products!$A$2:$C$49,3,FALSE)</f>
        <v/>
      </c>
      <c r="O2484">
        <f>K2484*L2484-M2484</f>
        <v/>
      </c>
      <c r="P2484">
        <f>TEXT(B2484,"yyyy-mm")</f>
        <v/>
      </c>
      <c r="Q2484">
        <f>IF(O2484&gt;=3000,"Large","Small")</f>
        <v/>
      </c>
      <c r="R2484">
        <f>INDEX(Products!$F$2:$F$49,MATCH(J2484,Products!$A$2:$A$49,0))</f>
        <v/>
      </c>
      <c r="S2484">
        <f>WEEKDAY(B2484,2)</f>
        <v/>
      </c>
    </row>
    <row r="2485">
      <c r="A2485" t="n">
        <v>510624</v>
      </c>
      <c r="B2485" s="6" t="n">
        <v>45966</v>
      </c>
      <c r="C2485" t="n">
        <v>17130</v>
      </c>
      <c r="D2485" t="inlineStr">
        <is>
          <t>Bengaluru</t>
        </is>
      </c>
      <c r="E2485" t="inlineStr">
        <is>
          <t>South</t>
        </is>
      </c>
      <c r="F2485" t="inlineStr">
        <is>
          <t>Organic Search</t>
        </is>
      </c>
      <c r="G2485" t="inlineStr">
        <is>
          <t>Mobile Web</t>
        </is>
      </c>
      <c r="H2485" t="inlineStr">
        <is>
          <t>Net Banking</t>
        </is>
      </c>
      <c r="I2485" t="inlineStr">
        <is>
          <t>Delivered</t>
        </is>
      </c>
      <c r="J2485" t="n">
        <v>126</v>
      </c>
      <c r="K2485" t="n">
        <v>1</v>
      </c>
      <c r="L2485" t="n">
        <v>471</v>
      </c>
      <c r="M2485" t="n">
        <v>70.65000000000001</v>
      </c>
      <c r="N2485">
        <f>VLOOKUP(J2485,Products!$A$2:$C$49,3,FALSE)</f>
        <v/>
      </c>
      <c r="O2485">
        <f>K2485*L2485-M2485</f>
        <v/>
      </c>
      <c r="P2485">
        <f>TEXT(B2485,"yyyy-mm")</f>
        <v/>
      </c>
      <c r="Q2485">
        <f>IF(O2485&gt;=3000,"Large","Small")</f>
        <v/>
      </c>
      <c r="R2485">
        <f>INDEX(Products!$F$2:$F$49,MATCH(J2485,Products!$A$2:$A$49,0))</f>
        <v/>
      </c>
      <c r="S2485">
        <f>WEEKDAY(B2485,2)</f>
        <v/>
      </c>
    </row>
    <row r="2486">
      <c r="A2486" t="n">
        <v>510625</v>
      </c>
      <c r="B2486" s="6" t="n">
        <v>45966</v>
      </c>
      <c r="C2486" t="n">
        <v>17181</v>
      </c>
      <c r="D2486" t="inlineStr">
        <is>
          <t>Bengaluru</t>
        </is>
      </c>
      <c r="E2486" t="inlineStr">
        <is>
          <t>South</t>
        </is>
      </c>
      <c r="F2486" t="inlineStr">
        <is>
          <t>Referral</t>
        </is>
      </c>
      <c r="G2486" t="inlineStr">
        <is>
          <t>Mobile App</t>
        </is>
      </c>
      <c r="H2486" t="inlineStr">
        <is>
          <t>Net Banking</t>
        </is>
      </c>
      <c r="I2486" t="inlineStr">
        <is>
          <t>Delivered</t>
        </is>
      </c>
      <c r="J2486" t="n">
        <v>115</v>
      </c>
      <c r="K2486" t="n">
        <v>1</v>
      </c>
      <c r="L2486" t="n">
        <v>4199</v>
      </c>
      <c r="M2486" t="n">
        <v>0</v>
      </c>
      <c r="N2486">
        <f>VLOOKUP(J2486,Products!$A$2:$C$49,3,FALSE)</f>
        <v/>
      </c>
      <c r="O2486">
        <f>K2486*L2486-M2486</f>
        <v/>
      </c>
      <c r="P2486">
        <f>TEXT(B2486,"yyyy-mm")</f>
        <v/>
      </c>
      <c r="Q2486">
        <f>IF(O2486&gt;=3000,"Large","Small")</f>
        <v/>
      </c>
      <c r="R2486">
        <f>INDEX(Products!$F$2:$F$49,MATCH(J2486,Products!$A$2:$A$49,0))</f>
        <v/>
      </c>
      <c r="S2486">
        <f>WEEKDAY(B2486,2)</f>
        <v/>
      </c>
    </row>
    <row r="2487">
      <c r="A2487" t="n">
        <v>510626</v>
      </c>
      <c r="B2487" s="6" t="n">
        <v>45966</v>
      </c>
      <c r="C2487" t="n">
        <v>16029</v>
      </c>
      <c r="D2487" t="inlineStr">
        <is>
          <t>Noida</t>
        </is>
      </c>
      <c r="E2487" t="inlineStr">
        <is>
          <t>North</t>
        </is>
      </c>
      <c r="F2487" t="inlineStr">
        <is>
          <t>Referral</t>
        </is>
      </c>
      <c r="G2487" t="inlineStr">
        <is>
          <t>Mobile App</t>
        </is>
      </c>
      <c r="H2487" t="inlineStr">
        <is>
          <t>UPI</t>
        </is>
      </c>
      <c r="I2487" t="inlineStr">
        <is>
          <t>Delivered</t>
        </is>
      </c>
      <c r="J2487" t="n">
        <v>118</v>
      </c>
      <c r="K2487" t="n">
        <v>1</v>
      </c>
      <c r="L2487" t="n">
        <v>944</v>
      </c>
      <c r="M2487" t="n">
        <v>0</v>
      </c>
      <c r="N2487">
        <f>VLOOKUP(J2487,Products!$A$2:$C$49,3,FALSE)</f>
        <v/>
      </c>
      <c r="O2487">
        <f>K2487*L2487-M2487</f>
        <v/>
      </c>
      <c r="P2487">
        <f>TEXT(B2487,"yyyy-mm")</f>
        <v/>
      </c>
      <c r="Q2487">
        <f>IF(O2487&gt;=3000,"Large","Small")</f>
        <v/>
      </c>
      <c r="R2487">
        <f>INDEX(Products!$F$2:$F$49,MATCH(J2487,Products!$A$2:$A$49,0))</f>
        <v/>
      </c>
      <c r="S2487">
        <f>WEEKDAY(B2487,2)</f>
        <v/>
      </c>
    </row>
    <row r="2488">
      <c r="A2488" t="n">
        <v>510627</v>
      </c>
      <c r="B2488" s="6" t="n">
        <v>45966</v>
      </c>
      <c r="C2488" t="n">
        <v>17183</v>
      </c>
      <c r="D2488" t="inlineStr">
        <is>
          <t>Delhi</t>
        </is>
      </c>
      <c r="E2488" t="inlineStr">
        <is>
          <t>North</t>
        </is>
      </c>
      <c r="F2488" t="inlineStr">
        <is>
          <t>Paid Social</t>
        </is>
      </c>
      <c r="G2488" t="inlineStr">
        <is>
          <t>Mobile App</t>
        </is>
      </c>
      <c r="H2488" t="inlineStr">
        <is>
          <t>UPI</t>
        </is>
      </c>
      <c r="I2488" t="inlineStr">
        <is>
          <t>Delivered</t>
        </is>
      </c>
      <c r="J2488" t="n">
        <v>132</v>
      </c>
      <c r="K2488" t="n">
        <v>1</v>
      </c>
      <c r="L2488" t="n">
        <v>471</v>
      </c>
      <c r="M2488" t="n">
        <v>70.65000000000001</v>
      </c>
      <c r="N2488">
        <f>VLOOKUP(J2488,Products!$A$2:$C$49,3,FALSE)</f>
        <v/>
      </c>
      <c r="O2488">
        <f>K2488*L2488-M2488</f>
        <v/>
      </c>
      <c r="P2488">
        <f>TEXT(B2488,"yyyy-mm")</f>
        <v/>
      </c>
      <c r="Q2488">
        <f>IF(O2488&gt;=3000,"Large","Small")</f>
        <v/>
      </c>
      <c r="R2488">
        <f>INDEX(Products!$F$2:$F$49,MATCH(J2488,Products!$A$2:$A$49,0))</f>
        <v/>
      </c>
      <c r="S2488">
        <f>WEEKDAY(B2488,2)</f>
        <v/>
      </c>
    </row>
    <row r="2489">
      <c r="A2489" t="n">
        <v>510627</v>
      </c>
      <c r="B2489" s="6" t="n">
        <v>45966</v>
      </c>
      <c r="C2489" t="n">
        <v>17183</v>
      </c>
      <c r="D2489" t="inlineStr">
        <is>
          <t>Delhi</t>
        </is>
      </c>
      <c r="E2489" t="inlineStr">
        <is>
          <t>North</t>
        </is>
      </c>
      <c r="F2489" t="inlineStr">
        <is>
          <t>Paid Social</t>
        </is>
      </c>
      <c r="G2489" t="inlineStr">
        <is>
          <t>Mobile App</t>
        </is>
      </c>
      <c r="H2489" t="inlineStr">
        <is>
          <t>UPI</t>
        </is>
      </c>
      <c r="I2489" t="inlineStr">
        <is>
          <t>Delivered</t>
        </is>
      </c>
      <c r="J2489" t="n">
        <v>111</v>
      </c>
      <c r="K2489" t="n">
        <v>1</v>
      </c>
      <c r="L2489" t="n">
        <v>524</v>
      </c>
      <c r="M2489" t="n">
        <v>78.59999999999999</v>
      </c>
      <c r="N2489">
        <f>VLOOKUP(J2489,Products!$A$2:$C$49,3,FALSE)</f>
        <v/>
      </c>
      <c r="O2489">
        <f>K2489*L2489-M2489</f>
        <v/>
      </c>
      <c r="P2489">
        <f>TEXT(B2489,"yyyy-mm")</f>
        <v/>
      </c>
      <c r="Q2489">
        <f>IF(O2489&gt;=3000,"Large","Small")</f>
        <v/>
      </c>
      <c r="R2489">
        <f>INDEX(Products!$F$2:$F$49,MATCH(J2489,Products!$A$2:$A$49,0))</f>
        <v/>
      </c>
      <c r="S2489">
        <f>WEEKDAY(B2489,2)</f>
        <v/>
      </c>
    </row>
    <row r="2490">
      <c r="A2490" t="n">
        <v>510628</v>
      </c>
      <c r="B2490" s="6" t="n">
        <v>45966</v>
      </c>
      <c r="C2490" t="n">
        <v>16729</v>
      </c>
      <c r="D2490" t="inlineStr">
        <is>
          <t>Chennai</t>
        </is>
      </c>
      <c r="E2490" t="inlineStr">
        <is>
          <t>South</t>
        </is>
      </c>
      <c r="F2490" t="inlineStr">
        <is>
          <t>Organic Search</t>
        </is>
      </c>
      <c r="G2490" t="inlineStr">
        <is>
          <t>Mobile App</t>
        </is>
      </c>
      <c r="H2490" t="inlineStr">
        <is>
          <t>UPI</t>
        </is>
      </c>
      <c r="I2490" t="inlineStr">
        <is>
          <t>Delivered</t>
        </is>
      </c>
      <c r="J2490" t="n">
        <v>108</v>
      </c>
      <c r="K2490" t="n">
        <v>2</v>
      </c>
      <c r="L2490" t="n">
        <v>419</v>
      </c>
      <c r="M2490" t="n">
        <v>0</v>
      </c>
      <c r="N2490">
        <f>VLOOKUP(J2490,Products!$A$2:$C$49,3,FALSE)</f>
        <v/>
      </c>
      <c r="O2490">
        <f>K2490*L2490-M2490</f>
        <v/>
      </c>
      <c r="P2490">
        <f>TEXT(B2490,"yyyy-mm")</f>
        <v/>
      </c>
      <c r="Q2490">
        <f>IF(O2490&gt;=3000,"Large","Small")</f>
        <v/>
      </c>
      <c r="R2490">
        <f>INDEX(Products!$F$2:$F$49,MATCH(J2490,Products!$A$2:$A$49,0))</f>
        <v/>
      </c>
      <c r="S2490">
        <f>WEEKDAY(B2490,2)</f>
        <v/>
      </c>
    </row>
    <row r="2491">
      <c r="A2491" t="n">
        <v>510628</v>
      </c>
      <c r="B2491" s="6" t="n">
        <v>45966</v>
      </c>
      <c r="C2491" t="n">
        <v>16729</v>
      </c>
      <c r="D2491" t="inlineStr">
        <is>
          <t>Chennai</t>
        </is>
      </c>
      <c r="E2491" t="inlineStr">
        <is>
          <t>South</t>
        </is>
      </c>
      <c r="F2491" t="inlineStr">
        <is>
          <t>Organic Search</t>
        </is>
      </c>
      <c r="G2491" t="inlineStr">
        <is>
          <t>Mobile App</t>
        </is>
      </c>
      <c r="H2491" t="inlineStr">
        <is>
          <t>UPI</t>
        </is>
      </c>
      <c r="I2491" t="inlineStr">
        <is>
          <t>Delivered</t>
        </is>
      </c>
      <c r="J2491" t="n">
        <v>105</v>
      </c>
      <c r="K2491" t="n">
        <v>2</v>
      </c>
      <c r="L2491" t="n">
        <v>2414</v>
      </c>
      <c r="M2491" t="n">
        <v>0</v>
      </c>
      <c r="N2491">
        <f>VLOOKUP(J2491,Products!$A$2:$C$49,3,FALSE)</f>
        <v/>
      </c>
      <c r="O2491">
        <f>K2491*L2491-M2491</f>
        <v/>
      </c>
      <c r="P2491">
        <f>TEXT(B2491,"yyyy-mm")</f>
        <v/>
      </c>
      <c r="Q2491">
        <f>IF(O2491&gt;=3000,"Large","Small")</f>
        <v/>
      </c>
      <c r="R2491">
        <f>INDEX(Products!$F$2:$F$49,MATCH(J2491,Products!$A$2:$A$49,0))</f>
        <v/>
      </c>
      <c r="S2491">
        <f>WEEKDAY(B2491,2)</f>
        <v/>
      </c>
    </row>
    <row r="2492">
      <c r="A2492" t="n">
        <v>510629</v>
      </c>
      <c r="B2492" s="6" t="n">
        <v>45966</v>
      </c>
      <c r="C2492" t="n">
        <v>15763</v>
      </c>
      <c r="D2492" t="inlineStr">
        <is>
          <t>Delhi</t>
        </is>
      </c>
      <c r="E2492" t="inlineStr">
        <is>
          <t>North</t>
        </is>
      </c>
      <c r="F2492" t="inlineStr">
        <is>
          <t>Organic Search</t>
        </is>
      </c>
      <c r="G2492" t="inlineStr">
        <is>
          <t>Mobile Web</t>
        </is>
      </c>
      <c r="H2492" t="inlineStr">
        <is>
          <t>Net Banking</t>
        </is>
      </c>
      <c r="I2492" t="inlineStr">
        <is>
          <t>Delivered</t>
        </is>
      </c>
      <c r="J2492" t="n">
        <v>109</v>
      </c>
      <c r="K2492" t="n">
        <v>2</v>
      </c>
      <c r="L2492" t="n">
        <v>4199</v>
      </c>
      <c r="M2492" t="n">
        <v>0</v>
      </c>
      <c r="N2492">
        <f>VLOOKUP(J2492,Products!$A$2:$C$49,3,FALSE)</f>
        <v/>
      </c>
      <c r="O2492">
        <f>K2492*L2492-M2492</f>
        <v/>
      </c>
      <c r="P2492">
        <f>TEXT(B2492,"yyyy-mm")</f>
        <v/>
      </c>
      <c r="Q2492">
        <f>IF(O2492&gt;=3000,"Large","Small")</f>
        <v/>
      </c>
      <c r="R2492">
        <f>INDEX(Products!$F$2:$F$49,MATCH(J2492,Products!$A$2:$A$49,0))</f>
        <v/>
      </c>
      <c r="S2492">
        <f>WEEKDAY(B2492,2)</f>
        <v/>
      </c>
    </row>
    <row r="2493">
      <c r="A2493" t="n">
        <v>510630</v>
      </c>
      <c r="B2493" s="6" t="n">
        <v>45966</v>
      </c>
      <c r="C2493" t="n">
        <v>16860</v>
      </c>
      <c r="D2493" t="inlineStr">
        <is>
          <t>Hyderabad</t>
        </is>
      </c>
      <c r="E2493" t="inlineStr">
        <is>
          <t>South</t>
        </is>
      </c>
      <c r="F2493" t="inlineStr">
        <is>
          <t>Paid Search</t>
        </is>
      </c>
      <c r="G2493" t="inlineStr">
        <is>
          <t>Mobile Web</t>
        </is>
      </c>
      <c r="H2493" t="inlineStr">
        <is>
          <t>UPI</t>
        </is>
      </c>
      <c r="I2493" t="inlineStr">
        <is>
          <t>Delivered</t>
        </is>
      </c>
      <c r="J2493" t="n">
        <v>121</v>
      </c>
      <c r="K2493" t="n">
        <v>1</v>
      </c>
      <c r="L2493" t="n">
        <v>2939</v>
      </c>
      <c r="M2493" t="n">
        <v>146.95</v>
      </c>
      <c r="N2493">
        <f>VLOOKUP(J2493,Products!$A$2:$C$49,3,FALSE)</f>
        <v/>
      </c>
      <c r="O2493">
        <f>K2493*L2493-M2493</f>
        <v/>
      </c>
      <c r="P2493">
        <f>TEXT(B2493,"yyyy-mm")</f>
        <v/>
      </c>
      <c r="Q2493">
        <f>IF(O2493&gt;=3000,"Large","Small")</f>
        <v/>
      </c>
      <c r="R2493">
        <f>INDEX(Products!$F$2:$F$49,MATCH(J2493,Products!$A$2:$A$49,0))</f>
        <v/>
      </c>
      <c r="S2493">
        <f>WEEKDAY(B2493,2)</f>
        <v/>
      </c>
    </row>
    <row r="2494">
      <c r="A2494" t="n">
        <v>510631</v>
      </c>
      <c r="B2494" s="6" t="n">
        <v>45966</v>
      </c>
      <c r="C2494" t="n">
        <v>17153</v>
      </c>
      <c r="D2494" t="inlineStr">
        <is>
          <t>Delhi</t>
        </is>
      </c>
      <c r="E2494" t="inlineStr">
        <is>
          <t>North</t>
        </is>
      </c>
      <c r="F2494" t="inlineStr">
        <is>
          <t>Organic Search</t>
        </is>
      </c>
      <c r="G2494" t="inlineStr">
        <is>
          <t>Mobile Web</t>
        </is>
      </c>
      <c r="H2494" t="inlineStr">
        <is>
          <t>Credit Card</t>
        </is>
      </c>
      <c r="I2494" t="inlineStr">
        <is>
          <t>Returned</t>
        </is>
      </c>
      <c r="J2494" t="n">
        <v>129</v>
      </c>
      <c r="K2494" t="n">
        <v>1</v>
      </c>
      <c r="L2494" t="n">
        <v>576</v>
      </c>
      <c r="M2494" t="n">
        <v>0</v>
      </c>
      <c r="N2494">
        <f>VLOOKUP(J2494,Products!$A$2:$C$49,3,FALSE)</f>
        <v/>
      </c>
      <c r="O2494">
        <f>K2494*L2494-M2494</f>
        <v/>
      </c>
      <c r="P2494">
        <f>TEXT(B2494,"yyyy-mm")</f>
        <v/>
      </c>
      <c r="Q2494">
        <f>IF(O2494&gt;=3000,"Large","Small")</f>
        <v/>
      </c>
      <c r="R2494">
        <f>INDEX(Products!$F$2:$F$49,MATCH(J2494,Products!$A$2:$A$49,0))</f>
        <v/>
      </c>
      <c r="S2494">
        <f>WEEKDAY(B2494,2)</f>
        <v/>
      </c>
    </row>
    <row r="2495">
      <c r="A2495" t="n">
        <v>510631</v>
      </c>
      <c r="B2495" s="6" t="n">
        <v>45966</v>
      </c>
      <c r="C2495" t="n">
        <v>17153</v>
      </c>
      <c r="D2495" t="inlineStr">
        <is>
          <t>Delhi</t>
        </is>
      </c>
      <c r="E2495" t="inlineStr">
        <is>
          <t>North</t>
        </is>
      </c>
      <c r="F2495" t="inlineStr">
        <is>
          <t>Organic Search</t>
        </is>
      </c>
      <c r="G2495" t="inlineStr">
        <is>
          <t>Mobile Web</t>
        </is>
      </c>
      <c r="H2495" t="inlineStr">
        <is>
          <t>Credit Card</t>
        </is>
      </c>
      <c r="I2495" t="inlineStr">
        <is>
          <t>Returned</t>
        </is>
      </c>
      <c r="J2495" t="n">
        <v>102</v>
      </c>
      <c r="K2495" t="n">
        <v>1</v>
      </c>
      <c r="L2495" t="n">
        <v>3674</v>
      </c>
      <c r="M2495" t="n">
        <v>0</v>
      </c>
      <c r="N2495">
        <f>VLOOKUP(J2495,Products!$A$2:$C$49,3,FALSE)</f>
        <v/>
      </c>
      <c r="O2495">
        <f>K2495*L2495-M2495</f>
        <v/>
      </c>
      <c r="P2495">
        <f>TEXT(B2495,"yyyy-mm")</f>
        <v/>
      </c>
      <c r="Q2495">
        <f>IF(O2495&gt;=3000,"Large","Small")</f>
        <v/>
      </c>
      <c r="R2495">
        <f>INDEX(Products!$F$2:$F$49,MATCH(J2495,Products!$A$2:$A$49,0))</f>
        <v/>
      </c>
      <c r="S2495">
        <f>WEEKDAY(B2495,2)</f>
        <v/>
      </c>
    </row>
    <row r="2496">
      <c r="A2496" t="n">
        <v>510631</v>
      </c>
      <c r="B2496" s="6" t="n">
        <v>45966</v>
      </c>
      <c r="C2496" t="n">
        <v>17153</v>
      </c>
      <c r="D2496" t="inlineStr">
        <is>
          <t>Delhi</t>
        </is>
      </c>
      <c r="E2496" t="inlineStr">
        <is>
          <t>North</t>
        </is>
      </c>
      <c r="F2496" t="inlineStr">
        <is>
          <t>Organic Search</t>
        </is>
      </c>
      <c r="G2496" t="inlineStr">
        <is>
          <t>Mobile Web</t>
        </is>
      </c>
      <c r="H2496" t="inlineStr">
        <is>
          <t>Credit Card</t>
        </is>
      </c>
      <c r="I2496" t="inlineStr">
        <is>
          <t>Returned</t>
        </is>
      </c>
      <c r="J2496" t="n">
        <v>111</v>
      </c>
      <c r="K2496" t="n">
        <v>1</v>
      </c>
      <c r="L2496" t="n">
        <v>524</v>
      </c>
      <c r="M2496" t="n">
        <v>0</v>
      </c>
      <c r="N2496">
        <f>VLOOKUP(J2496,Products!$A$2:$C$49,3,FALSE)</f>
        <v/>
      </c>
      <c r="O2496">
        <f>K2496*L2496-M2496</f>
        <v/>
      </c>
      <c r="P2496">
        <f>TEXT(B2496,"yyyy-mm")</f>
        <v/>
      </c>
      <c r="Q2496">
        <f>IF(O2496&gt;=3000,"Large","Small")</f>
        <v/>
      </c>
      <c r="R2496">
        <f>INDEX(Products!$F$2:$F$49,MATCH(J2496,Products!$A$2:$A$49,0))</f>
        <v/>
      </c>
      <c r="S2496">
        <f>WEEKDAY(B2496,2)</f>
        <v/>
      </c>
    </row>
    <row r="2497">
      <c r="A2497" t="n">
        <v>510632</v>
      </c>
      <c r="B2497" s="6" t="n">
        <v>45966</v>
      </c>
      <c r="C2497" t="n">
        <v>15577</v>
      </c>
      <c r="D2497" t="inlineStr">
        <is>
          <t>Hyderabad</t>
        </is>
      </c>
      <c r="E2497" t="inlineStr">
        <is>
          <t>South</t>
        </is>
      </c>
      <c r="F2497" t="inlineStr">
        <is>
          <t>Organic Search</t>
        </is>
      </c>
      <c r="G2497" t="inlineStr">
        <is>
          <t>Mobile App</t>
        </is>
      </c>
      <c r="H2497" t="inlineStr">
        <is>
          <t>UPI</t>
        </is>
      </c>
      <c r="I2497" t="inlineStr">
        <is>
          <t>Delivered</t>
        </is>
      </c>
      <c r="J2497" t="n">
        <v>105</v>
      </c>
      <c r="K2497" t="n">
        <v>1</v>
      </c>
      <c r="L2497" t="n">
        <v>2414</v>
      </c>
      <c r="M2497" t="n">
        <v>0</v>
      </c>
      <c r="N2497">
        <f>VLOOKUP(J2497,Products!$A$2:$C$49,3,FALSE)</f>
        <v/>
      </c>
      <c r="O2497">
        <f>K2497*L2497-M2497</f>
        <v/>
      </c>
      <c r="P2497">
        <f>TEXT(B2497,"yyyy-mm")</f>
        <v/>
      </c>
      <c r="Q2497">
        <f>IF(O2497&gt;=3000,"Large","Small")</f>
        <v/>
      </c>
      <c r="R2497">
        <f>INDEX(Products!$F$2:$F$49,MATCH(J2497,Products!$A$2:$A$49,0))</f>
        <v/>
      </c>
      <c r="S2497">
        <f>WEEKDAY(B2497,2)</f>
        <v/>
      </c>
    </row>
    <row r="2498">
      <c r="A2498" t="n">
        <v>510632</v>
      </c>
      <c r="B2498" s="6" t="n">
        <v>45966</v>
      </c>
      <c r="C2498" t="n">
        <v>15577</v>
      </c>
      <c r="D2498" t="inlineStr">
        <is>
          <t>Hyderabad</t>
        </is>
      </c>
      <c r="E2498" t="inlineStr">
        <is>
          <t>South</t>
        </is>
      </c>
      <c r="F2498" t="inlineStr">
        <is>
          <t>Organic Search</t>
        </is>
      </c>
      <c r="G2498" t="inlineStr">
        <is>
          <t>Mobile App</t>
        </is>
      </c>
      <c r="H2498" t="inlineStr">
        <is>
          <t>UPI</t>
        </is>
      </c>
      <c r="I2498" t="inlineStr">
        <is>
          <t>Delivered</t>
        </is>
      </c>
      <c r="J2498" t="n">
        <v>114</v>
      </c>
      <c r="K2498" t="n">
        <v>1</v>
      </c>
      <c r="L2498" t="n">
        <v>1259</v>
      </c>
      <c r="M2498" t="n">
        <v>0</v>
      </c>
      <c r="N2498">
        <f>VLOOKUP(J2498,Products!$A$2:$C$49,3,FALSE)</f>
        <v/>
      </c>
      <c r="O2498">
        <f>K2498*L2498-M2498</f>
        <v/>
      </c>
      <c r="P2498">
        <f>TEXT(B2498,"yyyy-mm")</f>
        <v/>
      </c>
      <c r="Q2498">
        <f>IF(O2498&gt;=3000,"Large","Small")</f>
        <v/>
      </c>
      <c r="R2498">
        <f>INDEX(Products!$F$2:$F$49,MATCH(J2498,Products!$A$2:$A$49,0))</f>
        <v/>
      </c>
      <c r="S2498">
        <f>WEEKDAY(B2498,2)</f>
        <v/>
      </c>
    </row>
    <row r="2499">
      <c r="A2499" t="n">
        <v>510633</v>
      </c>
      <c r="B2499" s="6" t="n">
        <v>45966</v>
      </c>
      <c r="C2499" t="n">
        <v>15945</v>
      </c>
      <c r="D2499" t="inlineStr">
        <is>
          <t>Kolkata</t>
        </is>
      </c>
      <c r="E2499" t="inlineStr">
        <is>
          <t>East</t>
        </is>
      </c>
      <c r="F2499" t="inlineStr">
        <is>
          <t>Email</t>
        </is>
      </c>
      <c r="G2499" t="inlineStr">
        <is>
          <t>Desktop</t>
        </is>
      </c>
      <c r="H2499" t="inlineStr">
        <is>
          <t>UPI</t>
        </is>
      </c>
      <c r="I2499" t="inlineStr">
        <is>
          <t>Delivered</t>
        </is>
      </c>
      <c r="J2499" t="n">
        <v>119</v>
      </c>
      <c r="K2499" t="n">
        <v>1</v>
      </c>
      <c r="L2499" t="n">
        <v>2309</v>
      </c>
      <c r="M2499" t="n">
        <v>0</v>
      </c>
      <c r="N2499">
        <f>VLOOKUP(J2499,Products!$A$2:$C$49,3,FALSE)</f>
        <v/>
      </c>
      <c r="O2499">
        <f>K2499*L2499-M2499</f>
        <v/>
      </c>
      <c r="P2499">
        <f>TEXT(B2499,"yyyy-mm")</f>
        <v/>
      </c>
      <c r="Q2499">
        <f>IF(O2499&gt;=3000,"Large","Small")</f>
        <v/>
      </c>
      <c r="R2499">
        <f>INDEX(Products!$F$2:$F$49,MATCH(J2499,Products!$A$2:$A$49,0))</f>
        <v/>
      </c>
      <c r="S2499">
        <f>WEEKDAY(B2499,2)</f>
        <v/>
      </c>
    </row>
    <row r="2500">
      <c r="A2500" t="n">
        <v>510634</v>
      </c>
      <c r="B2500" s="6" t="n">
        <v>45966</v>
      </c>
      <c r="C2500" t="n">
        <v>16318</v>
      </c>
      <c r="D2500" t="inlineStr">
        <is>
          <t>Pune</t>
        </is>
      </c>
      <c r="E2500" t="inlineStr">
        <is>
          <t>West</t>
        </is>
      </c>
      <c r="F2500" t="inlineStr">
        <is>
          <t>Referral</t>
        </is>
      </c>
      <c r="G2500" t="inlineStr">
        <is>
          <t>Mobile App</t>
        </is>
      </c>
      <c r="H2500" t="inlineStr">
        <is>
          <t>Credit Card</t>
        </is>
      </c>
      <c r="I2500" t="inlineStr">
        <is>
          <t>Delivered</t>
        </is>
      </c>
      <c r="J2500" t="n">
        <v>116</v>
      </c>
      <c r="K2500" t="n">
        <v>1</v>
      </c>
      <c r="L2500" t="n">
        <v>2624</v>
      </c>
      <c r="M2500" t="n">
        <v>0</v>
      </c>
      <c r="N2500">
        <f>VLOOKUP(J2500,Products!$A$2:$C$49,3,FALSE)</f>
        <v/>
      </c>
      <c r="O2500">
        <f>K2500*L2500-M2500</f>
        <v/>
      </c>
      <c r="P2500">
        <f>TEXT(B2500,"yyyy-mm")</f>
        <v/>
      </c>
      <c r="Q2500">
        <f>IF(O2500&gt;=3000,"Large","Small")</f>
        <v/>
      </c>
      <c r="R2500">
        <f>INDEX(Products!$F$2:$F$49,MATCH(J2500,Products!$A$2:$A$49,0))</f>
        <v/>
      </c>
      <c r="S2500">
        <f>WEEKDAY(B2500,2)</f>
        <v/>
      </c>
    </row>
    <row r="2501">
      <c r="A2501" t="n">
        <v>510635</v>
      </c>
      <c r="B2501" s="6" t="n">
        <v>45966</v>
      </c>
      <c r="C2501" t="n">
        <v>14666</v>
      </c>
      <c r="D2501" t="inlineStr">
        <is>
          <t>Mumbai</t>
        </is>
      </c>
      <c r="E2501" t="inlineStr">
        <is>
          <t>West</t>
        </is>
      </c>
      <c r="F2501" t="inlineStr">
        <is>
          <t>Email</t>
        </is>
      </c>
      <c r="G2501" t="inlineStr">
        <is>
          <t>Mobile App</t>
        </is>
      </c>
      <c r="H2501" t="inlineStr">
        <is>
          <t>Credit Card</t>
        </is>
      </c>
      <c r="I2501" t="inlineStr">
        <is>
          <t>Delivered</t>
        </is>
      </c>
      <c r="J2501" t="n">
        <v>134</v>
      </c>
      <c r="K2501" t="n">
        <v>1</v>
      </c>
      <c r="L2501" t="n">
        <v>209</v>
      </c>
      <c r="M2501" t="n">
        <v>0</v>
      </c>
      <c r="N2501">
        <f>VLOOKUP(J2501,Products!$A$2:$C$49,3,FALSE)</f>
        <v/>
      </c>
      <c r="O2501">
        <f>K2501*L2501-M2501</f>
        <v/>
      </c>
      <c r="P2501">
        <f>TEXT(B2501,"yyyy-mm")</f>
        <v/>
      </c>
      <c r="Q2501">
        <f>IF(O2501&gt;=3000,"Large","Small")</f>
        <v/>
      </c>
      <c r="R2501">
        <f>INDEX(Products!$F$2:$F$49,MATCH(J2501,Products!$A$2:$A$49,0))</f>
        <v/>
      </c>
      <c r="S2501">
        <f>WEEKDAY(B2501,2)</f>
        <v/>
      </c>
    </row>
    <row r="2502">
      <c r="A2502" t="n">
        <v>510636</v>
      </c>
      <c r="B2502" s="6" t="n">
        <v>45966</v>
      </c>
      <c r="C2502" t="n">
        <v>17158</v>
      </c>
      <c r="D2502" t="inlineStr">
        <is>
          <t>Ahmedabad</t>
        </is>
      </c>
      <c r="E2502" t="inlineStr">
        <is>
          <t>West</t>
        </is>
      </c>
      <c r="F2502" t="inlineStr">
        <is>
          <t>Organic Search</t>
        </is>
      </c>
      <c r="G2502" t="inlineStr">
        <is>
          <t>Mobile App</t>
        </is>
      </c>
      <c r="H2502" t="inlineStr">
        <is>
          <t>Net Banking</t>
        </is>
      </c>
      <c r="I2502" t="inlineStr">
        <is>
          <t>Delivered</t>
        </is>
      </c>
      <c r="J2502" t="n">
        <v>143</v>
      </c>
      <c r="K2502" t="n">
        <v>1</v>
      </c>
      <c r="L2502" t="n">
        <v>839</v>
      </c>
      <c r="M2502" t="n">
        <v>125.85</v>
      </c>
      <c r="N2502">
        <f>VLOOKUP(J2502,Products!$A$2:$C$49,3,FALSE)</f>
        <v/>
      </c>
      <c r="O2502">
        <f>K2502*L2502-M2502</f>
        <v/>
      </c>
      <c r="P2502">
        <f>TEXT(B2502,"yyyy-mm")</f>
        <v/>
      </c>
      <c r="Q2502">
        <f>IF(O2502&gt;=3000,"Large","Small")</f>
        <v/>
      </c>
      <c r="R2502">
        <f>INDEX(Products!$F$2:$F$49,MATCH(J2502,Products!$A$2:$A$49,0))</f>
        <v/>
      </c>
      <c r="S2502">
        <f>WEEKDAY(B2502,2)</f>
        <v/>
      </c>
    </row>
    <row r="2503">
      <c r="A2503" t="n">
        <v>510636</v>
      </c>
      <c r="B2503" s="6" t="n">
        <v>45966</v>
      </c>
      <c r="C2503" t="n">
        <v>17158</v>
      </c>
      <c r="D2503" t="inlineStr">
        <is>
          <t>Ahmedabad</t>
        </is>
      </c>
      <c r="E2503" t="inlineStr">
        <is>
          <t>West</t>
        </is>
      </c>
      <c r="F2503" t="inlineStr">
        <is>
          <t>Organic Search</t>
        </is>
      </c>
      <c r="G2503" t="inlineStr">
        <is>
          <t>Mobile App</t>
        </is>
      </c>
      <c r="H2503" t="inlineStr">
        <is>
          <t>Net Banking</t>
        </is>
      </c>
      <c r="I2503" t="inlineStr">
        <is>
          <t>Delivered</t>
        </is>
      </c>
      <c r="J2503" t="n">
        <v>105</v>
      </c>
      <c r="K2503" t="n">
        <v>1</v>
      </c>
      <c r="L2503" t="n">
        <v>2414</v>
      </c>
      <c r="M2503" t="n">
        <v>362.1</v>
      </c>
      <c r="N2503">
        <f>VLOOKUP(J2503,Products!$A$2:$C$49,3,FALSE)</f>
        <v/>
      </c>
      <c r="O2503">
        <f>K2503*L2503-M2503</f>
        <v/>
      </c>
      <c r="P2503">
        <f>TEXT(B2503,"yyyy-mm")</f>
        <v/>
      </c>
      <c r="Q2503">
        <f>IF(O2503&gt;=3000,"Large","Small")</f>
        <v/>
      </c>
      <c r="R2503">
        <f>INDEX(Products!$F$2:$F$49,MATCH(J2503,Products!$A$2:$A$49,0))</f>
        <v/>
      </c>
      <c r="S2503">
        <f>WEEKDAY(B2503,2)</f>
        <v/>
      </c>
    </row>
    <row r="2504">
      <c r="A2504" t="n">
        <v>510636</v>
      </c>
      <c r="B2504" s="6" t="n">
        <v>45966</v>
      </c>
      <c r="C2504" t="n">
        <v>17158</v>
      </c>
      <c r="D2504" t="inlineStr">
        <is>
          <t>Ahmedabad</t>
        </is>
      </c>
      <c r="E2504" t="inlineStr">
        <is>
          <t>West</t>
        </is>
      </c>
      <c r="F2504" t="inlineStr">
        <is>
          <t>Organic Search</t>
        </is>
      </c>
      <c r="G2504" t="inlineStr">
        <is>
          <t>Mobile App</t>
        </is>
      </c>
      <c r="H2504" t="inlineStr">
        <is>
          <t>Net Banking</t>
        </is>
      </c>
      <c r="I2504" t="inlineStr">
        <is>
          <t>Delivered</t>
        </is>
      </c>
      <c r="J2504" t="n">
        <v>117</v>
      </c>
      <c r="K2504" t="n">
        <v>1</v>
      </c>
      <c r="L2504" t="n">
        <v>3149</v>
      </c>
      <c r="M2504" t="n">
        <v>472.35</v>
      </c>
      <c r="N2504">
        <f>VLOOKUP(J2504,Products!$A$2:$C$49,3,FALSE)</f>
        <v/>
      </c>
      <c r="O2504">
        <f>K2504*L2504-M2504</f>
        <v/>
      </c>
      <c r="P2504">
        <f>TEXT(B2504,"yyyy-mm")</f>
        <v/>
      </c>
      <c r="Q2504">
        <f>IF(O2504&gt;=3000,"Large","Small")</f>
        <v/>
      </c>
      <c r="R2504">
        <f>INDEX(Products!$F$2:$F$49,MATCH(J2504,Products!$A$2:$A$49,0))</f>
        <v/>
      </c>
      <c r="S2504">
        <f>WEEKDAY(B2504,2)</f>
        <v/>
      </c>
    </row>
    <row r="2505">
      <c r="A2505" t="n">
        <v>510637</v>
      </c>
      <c r="B2505" s="6" t="n">
        <v>45966</v>
      </c>
      <c r="C2505" t="n">
        <v>17170</v>
      </c>
      <c r="D2505" t="inlineStr">
        <is>
          <t>Mumbai</t>
        </is>
      </c>
      <c r="E2505" t="inlineStr">
        <is>
          <t>West</t>
        </is>
      </c>
      <c r="F2505" t="inlineStr">
        <is>
          <t>Paid Search</t>
        </is>
      </c>
      <c r="G2505" t="inlineStr">
        <is>
          <t>Mobile Web</t>
        </is>
      </c>
      <c r="H2505" t="inlineStr">
        <is>
          <t>Net Banking</t>
        </is>
      </c>
      <c r="I2505" t="inlineStr">
        <is>
          <t>Delivered</t>
        </is>
      </c>
      <c r="J2505" t="n">
        <v>125</v>
      </c>
      <c r="K2505" t="n">
        <v>1</v>
      </c>
      <c r="L2505" t="n">
        <v>1364</v>
      </c>
      <c r="M2505" t="n">
        <v>0</v>
      </c>
      <c r="N2505">
        <f>VLOOKUP(J2505,Products!$A$2:$C$49,3,FALSE)</f>
        <v/>
      </c>
      <c r="O2505">
        <f>K2505*L2505-M2505</f>
        <v/>
      </c>
      <c r="P2505">
        <f>TEXT(B2505,"yyyy-mm")</f>
        <v/>
      </c>
      <c r="Q2505">
        <f>IF(O2505&gt;=3000,"Large","Small")</f>
        <v/>
      </c>
      <c r="R2505">
        <f>INDEX(Products!$F$2:$F$49,MATCH(J2505,Products!$A$2:$A$49,0))</f>
        <v/>
      </c>
      <c r="S2505">
        <f>WEEKDAY(B2505,2)</f>
        <v/>
      </c>
    </row>
    <row r="2506">
      <c r="A2506" t="n">
        <v>510637</v>
      </c>
      <c r="B2506" s="6" t="n">
        <v>45966</v>
      </c>
      <c r="C2506" t="n">
        <v>17170</v>
      </c>
      <c r="D2506" t="inlineStr">
        <is>
          <t>Mumbai</t>
        </is>
      </c>
      <c r="E2506" t="inlineStr">
        <is>
          <t>West</t>
        </is>
      </c>
      <c r="F2506" t="inlineStr">
        <is>
          <t>Paid Search</t>
        </is>
      </c>
      <c r="G2506" t="inlineStr">
        <is>
          <t>Mobile Web</t>
        </is>
      </c>
      <c r="H2506" t="inlineStr">
        <is>
          <t>Net Banking</t>
        </is>
      </c>
      <c r="I2506" t="inlineStr">
        <is>
          <t>Delivered</t>
        </is>
      </c>
      <c r="J2506" t="n">
        <v>116</v>
      </c>
      <c r="K2506" t="n">
        <v>1</v>
      </c>
      <c r="L2506" t="n">
        <v>2624</v>
      </c>
      <c r="M2506" t="n">
        <v>0</v>
      </c>
      <c r="N2506">
        <f>VLOOKUP(J2506,Products!$A$2:$C$49,3,FALSE)</f>
        <v/>
      </c>
      <c r="O2506">
        <f>K2506*L2506-M2506</f>
        <v/>
      </c>
      <c r="P2506">
        <f>TEXT(B2506,"yyyy-mm")</f>
        <v/>
      </c>
      <c r="Q2506">
        <f>IF(O2506&gt;=3000,"Large","Small")</f>
        <v/>
      </c>
      <c r="R2506">
        <f>INDEX(Products!$F$2:$F$49,MATCH(J2506,Products!$A$2:$A$49,0))</f>
        <v/>
      </c>
      <c r="S2506">
        <f>WEEKDAY(B2506,2)</f>
        <v/>
      </c>
    </row>
    <row r="2507">
      <c r="A2507" t="n">
        <v>510637</v>
      </c>
      <c r="B2507" s="6" t="n">
        <v>45966</v>
      </c>
      <c r="C2507" t="n">
        <v>17170</v>
      </c>
      <c r="D2507" t="inlineStr">
        <is>
          <t>Mumbai</t>
        </is>
      </c>
      <c r="E2507" t="inlineStr">
        <is>
          <t>West</t>
        </is>
      </c>
      <c r="F2507" t="inlineStr">
        <is>
          <t>Paid Search</t>
        </is>
      </c>
      <c r="G2507" t="inlineStr">
        <is>
          <t>Mobile Web</t>
        </is>
      </c>
      <c r="H2507" t="inlineStr">
        <is>
          <t>Net Banking</t>
        </is>
      </c>
      <c r="I2507" t="inlineStr">
        <is>
          <t>Delivered</t>
        </is>
      </c>
      <c r="J2507" t="n">
        <v>134</v>
      </c>
      <c r="K2507" t="n">
        <v>1</v>
      </c>
      <c r="L2507" t="n">
        <v>209</v>
      </c>
      <c r="M2507" t="n">
        <v>0</v>
      </c>
      <c r="N2507">
        <f>VLOOKUP(J2507,Products!$A$2:$C$49,3,FALSE)</f>
        <v/>
      </c>
      <c r="O2507">
        <f>K2507*L2507-M2507</f>
        <v/>
      </c>
      <c r="P2507">
        <f>TEXT(B2507,"yyyy-mm")</f>
        <v/>
      </c>
      <c r="Q2507">
        <f>IF(O2507&gt;=3000,"Large","Small")</f>
        <v/>
      </c>
      <c r="R2507">
        <f>INDEX(Products!$F$2:$F$49,MATCH(J2507,Products!$A$2:$A$49,0))</f>
        <v/>
      </c>
      <c r="S2507">
        <f>WEEKDAY(B2507,2)</f>
        <v/>
      </c>
    </row>
    <row r="2508">
      <c r="A2508" t="n">
        <v>510638</v>
      </c>
      <c r="B2508" s="6" t="n">
        <v>45966</v>
      </c>
      <c r="C2508" t="n">
        <v>17169</v>
      </c>
      <c r="D2508" t="inlineStr">
        <is>
          <t>Kochi</t>
        </is>
      </c>
      <c r="E2508" t="inlineStr">
        <is>
          <t>South</t>
        </is>
      </c>
      <c r="F2508" t="inlineStr">
        <is>
          <t>Referral</t>
        </is>
      </c>
      <c r="G2508" t="inlineStr">
        <is>
          <t>Desktop</t>
        </is>
      </c>
      <c r="H2508" t="inlineStr">
        <is>
          <t>Cash on Delivery</t>
        </is>
      </c>
      <c r="I2508" t="inlineStr">
        <is>
          <t>Delivered</t>
        </is>
      </c>
      <c r="J2508" t="n">
        <v>107</v>
      </c>
      <c r="K2508" t="n">
        <v>3</v>
      </c>
      <c r="L2508" t="n">
        <v>1259</v>
      </c>
      <c r="M2508" t="n">
        <v>566.55</v>
      </c>
      <c r="N2508">
        <f>VLOOKUP(J2508,Products!$A$2:$C$49,3,FALSE)</f>
        <v/>
      </c>
      <c r="O2508">
        <f>K2508*L2508-M2508</f>
        <v/>
      </c>
      <c r="P2508">
        <f>TEXT(B2508,"yyyy-mm")</f>
        <v/>
      </c>
      <c r="Q2508">
        <f>IF(O2508&gt;=3000,"Large","Small")</f>
        <v/>
      </c>
      <c r="R2508">
        <f>INDEX(Products!$F$2:$F$49,MATCH(J2508,Products!$A$2:$A$49,0))</f>
        <v/>
      </c>
      <c r="S2508">
        <f>WEEKDAY(B2508,2)</f>
        <v/>
      </c>
    </row>
    <row r="2509">
      <c r="A2509" t="n">
        <v>510639</v>
      </c>
      <c r="B2509" s="6" t="n">
        <v>45966</v>
      </c>
      <c r="C2509" t="n">
        <v>17188</v>
      </c>
      <c r="D2509" t="inlineStr">
        <is>
          <t>Delhi</t>
        </is>
      </c>
      <c r="E2509" t="inlineStr">
        <is>
          <t>North</t>
        </is>
      </c>
      <c r="F2509" t="inlineStr">
        <is>
          <t>Organic Search</t>
        </is>
      </c>
      <c r="G2509" t="inlineStr">
        <is>
          <t>Mobile App</t>
        </is>
      </c>
      <c r="H2509" t="inlineStr">
        <is>
          <t>Credit Card</t>
        </is>
      </c>
      <c r="I2509" t="inlineStr">
        <is>
          <t>Delivered</t>
        </is>
      </c>
      <c r="J2509" t="n">
        <v>108</v>
      </c>
      <c r="K2509" t="n">
        <v>1</v>
      </c>
      <c r="L2509" t="n">
        <v>419</v>
      </c>
      <c r="M2509" t="n">
        <v>0</v>
      </c>
      <c r="N2509">
        <f>VLOOKUP(J2509,Products!$A$2:$C$49,3,FALSE)</f>
        <v/>
      </c>
      <c r="O2509">
        <f>K2509*L2509-M2509</f>
        <v/>
      </c>
      <c r="P2509">
        <f>TEXT(B2509,"yyyy-mm")</f>
        <v/>
      </c>
      <c r="Q2509">
        <f>IF(O2509&gt;=3000,"Large","Small")</f>
        <v/>
      </c>
      <c r="R2509">
        <f>INDEX(Products!$F$2:$F$49,MATCH(J2509,Products!$A$2:$A$49,0))</f>
        <v/>
      </c>
      <c r="S2509">
        <f>WEEKDAY(B2509,2)</f>
        <v/>
      </c>
    </row>
    <row r="2510">
      <c r="A2510" t="n">
        <v>510639</v>
      </c>
      <c r="B2510" s="6" t="n">
        <v>45966</v>
      </c>
      <c r="C2510" t="n">
        <v>17188</v>
      </c>
      <c r="D2510" t="inlineStr">
        <is>
          <t>Delhi</t>
        </is>
      </c>
      <c r="E2510" t="inlineStr">
        <is>
          <t>North</t>
        </is>
      </c>
      <c r="F2510" t="inlineStr">
        <is>
          <t>Organic Search</t>
        </is>
      </c>
      <c r="G2510" t="inlineStr">
        <is>
          <t>Mobile App</t>
        </is>
      </c>
      <c r="H2510" t="inlineStr">
        <is>
          <t>Credit Card</t>
        </is>
      </c>
      <c r="I2510" t="inlineStr">
        <is>
          <t>Delivered</t>
        </is>
      </c>
      <c r="J2510" t="n">
        <v>132</v>
      </c>
      <c r="K2510" t="n">
        <v>1</v>
      </c>
      <c r="L2510" t="n">
        <v>471</v>
      </c>
      <c r="M2510" t="n">
        <v>0</v>
      </c>
      <c r="N2510">
        <f>VLOOKUP(J2510,Products!$A$2:$C$49,3,FALSE)</f>
        <v/>
      </c>
      <c r="O2510">
        <f>K2510*L2510-M2510</f>
        <v/>
      </c>
      <c r="P2510">
        <f>TEXT(B2510,"yyyy-mm")</f>
        <v/>
      </c>
      <c r="Q2510">
        <f>IF(O2510&gt;=3000,"Large","Small")</f>
        <v/>
      </c>
      <c r="R2510">
        <f>INDEX(Products!$F$2:$F$49,MATCH(J2510,Products!$A$2:$A$49,0))</f>
        <v/>
      </c>
      <c r="S2510">
        <f>WEEKDAY(B2510,2)</f>
        <v/>
      </c>
    </row>
    <row r="2511">
      <c r="A2511" t="n">
        <v>510640</v>
      </c>
      <c r="B2511" s="6" t="n">
        <v>45966</v>
      </c>
      <c r="C2511" t="n">
        <v>17156</v>
      </c>
      <c r="D2511" t="inlineStr">
        <is>
          <t>Chandigarh</t>
        </is>
      </c>
      <c r="E2511" t="inlineStr">
        <is>
          <t>North</t>
        </is>
      </c>
      <c r="F2511" t="inlineStr">
        <is>
          <t>Organic Search</t>
        </is>
      </c>
      <c r="G2511" t="inlineStr">
        <is>
          <t>Mobile App</t>
        </is>
      </c>
      <c r="H2511" t="inlineStr">
        <is>
          <t>Cash on Delivery</t>
        </is>
      </c>
      <c r="I2511" t="inlineStr">
        <is>
          <t>Delivered</t>
        </is>
      </c>
      <c r="J2511" t="n">
        <v>128</v>
      </c>
      <c r="K2511" t="n">
        <v>1</v>
      </c>
      <c r="L2511" t="n">
        <v>1049</v>
      </c>
      <c r="M2511" t="n">
        <v>157.35</v>
      </c>
      <c r="N2511">
        <f>VLOOKUP(J2511,Products!$A$2:$C$49,3,FALSE)</f>
        <v/>
      </c>
      <c r="O2511">
        <f>K2511*L2511-M2511</f>
        <v/>
      </c>
      <c r="P2511">
        <f>TEXT(B2511,"yyyy-mm")</f>
        <v/>
      </c>
      <c r="Q2511">
        <f>IF(O2511&gt;=3000,"Large","Small")</f>
        <v/>
      </c>
      <c r="R2511">
        <f>INDEX(Products!$F$2:$F$49,MATCH(J2511,Products!$A$2:$A$49,0))</f>
        <v/>
      </c>
      <c r="S2511">
        <f>WEEKDAY(B2511,2)</f>
        <v/>
      </c>
    </row>
    <row r="2512">
      <c r="A2512" t="n">
        <v>510640</v>
      </c>
      <c r="B2512" s="6" t="n">
        <v>45966</v>
      </c>
      <c r="C2512" t="n">
        <v>17156</v>
      </c>
      <c r="D2512" t="inlineStr">
        <is>
          <t>Chandigarh</t>
        </is>
      </c>
      <c r="E2512" t="inlineStr">
        <is>
          <t>North</t>
        </is>
      </c>
      <c r="F2512" t="inlineStr">
        <is>
          <t>Organic Search</t>
        </is>
      </c>
      <c r="G2512" t="inlineStr">
        <is>
          <t>Mobile App</t>
        </is>
      </c>
      <c r="H2512" t="inlineStr">
        <is>
          <t>Cash on Delivery</t>
        </is>
      </c>
      <c r="I2512" t="inlineStr">
        <is>
          <t>Delivered</t>
        </is>
      </c>
      <c r="J2512" t="n">
        <v>104</v>
      </c>
      <c r="K2512" t="n">
        <v>1</v>
      </c>
      <c r="L2512" t="n">
        <v>5249</v>
      </c>
      <c r="M2512" t="n">
        <v>787.35</v>
      </c>
      <c r="N2512">
        <f>VLOOKUP(J2512,Products!$A$2:$C$49,3,FALSE)</f>
        <v/>
      </c>
      <c r="O2512">
        <f>K2512*L2512-M2512</f>
        <v/>
      </c>
      <c r="P2512">
        <f>TEXT(B2512,"yyyy-mm")</f>
        <v/>
      </c>
      <c r="Q2512">
        <f>IF(O2512&gt;=3000,"Large","Small")</f>
        <v/>
      </c>
      <c r="R2512">
        <f>INDEX(Products!$F$2:$F$49,MATCH(J2512,Products!$A$2:$A$49,0))</f>
        <v/>
      </c>
      <c r="S2512">
        <f>WEEKDAY(B2512,2)</f>
        <v/>
      </c>
    </row>
    <row r="2513">
      <c r="A2513" t="n">
        <v>510640</v>
      </c>
      <c r="B2513" s="6" t="n">
        <v>45966</v>
      </c>
      <c r="C2513" t="n">
        <v>17156</v>
      </c>
      <c r="D2513" t="inlineStr">
        <is>
          <t>Chandigarh</t>
        </is>
      </c>
      <c r="E2513" t="inlineStr">
        <is>
          <t>North</t>
        </is>
      </c>
      <c r="F2513" t="inlineStr">
        <is>
          <t>Organic Search</t>
        </is>
      </c>
      <c r="G2513" t="inlineStr">
        <is>
          <t>Mobile App</t>
        </is>
      </c>
      <c r="H2513" t="inlineStr">
        <is>
          <t>Cash on Delivery</t>
        </is>
      </c>
      <c r="I2513" t="inlineStr">
        <is>
          <t>Delivered</t>
        </is>
      </c>
      <c r="J2513" t="n">
        <v>130</v>
      </c>
      <c r="K2513" t="n">
        <v>1</v>
      </c>
      <c r="L2513" t="n">
        <v>734</v>
      </c>
      <c r="M2513" t="n">
        <v>110.1</v>
      </c>
      <c r="N2513">
        <f>VLOOKUP(J2513,Products!$A$2:$C$49,3,FALSE)</f>
        <v/>
      </c>
      <c r="O2513">
        <f>K2513*L2513-M2513</f>
        <v/>
      </c>
      <c r="P2513">
        <f>TEXT(B2513,"yyyy-mm")</f>
        <v/>
      </c>
      <c r="Q2513">
        <f>IF(O2513&gt;=3000,"Large","Small")</f>
        <v/>
      </c>
      <c r="R2513">
        <f>INDEX(Products!$F$2:$F$49,MATCH(J2513,Products!$A$2:$A$49,0))</f>
        <v/>
      </c>
      <c r="S2513">
        <f>WEEKDAY(B2513,2)</f>
        <v/>
      </c>
    </row>
    <row r="2514">
      <c r="A2514" t="n">
        <v>510641</v>
      </c>
      <c r="B2514" s="6" t="n">
        <v>45967</v>
      </c>
      <c r="C2514" t="n">
        <v>17213</v>
      </c>
      <c r="D2514" t="inlineStr">
        <is>
          <t>Pune</t>
        </is>
      </c>
      <c r="E2514" t="inlineStr">
        <is>
          <t>West</t>
        </is>
      </c>
      <c r="F2514" t="inlineStr">
        <is>
          <t>Affiliate</t>
        </is>
      </c>
      <c r="G2514" t="inlineStr">
        <is>
          <t>Desktop</t>
        </is>
      </c>
      <c r="H2514" t="inlineStr">
        <is>
          <t>Credit Card</t>
        </is>
      </c>
      <c r="I2514" t="inlineStr">
        <is>
          <t>Delivered</t>
        </is>
      </c>
      <c r="J2514" t="n">
        <v>126</v>
      </c>
      <c r="K2514" t="n">
        <v>1</v>
      </c>
      <c r="L2514" t="n">
        <v>471</v>
      </c>
      <c r="M2514" t="n">
        <v>70.65000000000001</v>
      </c>
      <c r="N2514">
        <f>VLOOKUP(J2514,Products!$A$2:$C$49,3,FALSE)</f>
        <v/>
      </c>
      <c r="O2514">
        <f>K2514*L2514-M2514</f>
        <v/>
      </c>
      <c r="P2514">
        <f>TEXT(B2514,"yyyy-mm")</f>
        <v/>
      </c>
      <c r="Q2514">
        <f>IF(O2514&gt;=3000,"Large","Small")</f>
        <v/>
      </c>
      <c r="R2514">
        <f>INDEX(Products!$F$2:$F$49,MATCH(J2514,Products!$A$2:$A$49,0))</f>
        <v/>
      </c>
      <c r="S2514">
        <f>WEEKDAY(B2514,2)</f>
        <v/>
      </c>
    </row>
    <row r="2515">
      <c r="A2515" t="n">
        <v>510642</v>
      </c>
      <c r="B2515" s="6" t="n">
        <v>45967</v>
      </c>
      <c r="C2515" t="n">
        <v>16380</v>
      </c>
      <c r="D2515" t="inlineStr">
        <is>
          <t>Pune</t>
        </is>
      </c>
      <c r="E2515" t="inlineStr">
        <is>
          <t>West</t>
        </is>
      </c>
      <c r="F2515" t="inlineStr">
        <is>
          <t>Organic Search</t>
        </is>
      </c>
      <c r="G2515" t="inlineStr">
        <is>
          <t>Mobile App</t>
        </is>
      </c>
      <c r="H2515" t="inlineStr">
        <is>
          <t>UPI</t>
        </is>
      </c>
      <c r="I2515" t="inlineStr">
        <is>
          <t>Delivered</t>
        </is>
      </c>
      <c r="J2515" t="n">
        <v>112</v>
      </c>
      <c r="K2515" t="n">
        <v>1</v>
      </c>
      <c r="L2515" t="n">
        <v>1574</v>
      </c>
      <c r="M2515" t="n">
        <v>0</v>
      </c>
      <c r="N2515">
        <f>VLOOKUP(J2515,Products!$A$2:$C$49,3,FALSE)</f>
        <v/>
      </c>
      <c r="O2515">
        <f>K2515*L2515-M2515</f>
        <v/>
      </c>
      <c r="P2515">
        <f>TEXT(B2515,"yyyy-mm")</f>
        <v/>
      </c>
      <c r="Q2515">
        <f>IF(O2515&gt;=3000,"Large","Small")</f>
        <v/>
      </c>
      <c r="R2515">
        <f>INDEX(Products!$F$2:$F$49,MATCH(J2515,Products!$A$2:$A$49,0))</f>
        <v/>
      </c>
      <c r="S2515">
        <f>WEEKDAY(B2515,2)</f>
        <v/>
      </c>
    </row>
    <row r="2516">
      <c r="A2516" t="n">
        <v>510643</v>
      </c>
      <c r="B2516" s="6" t="n">
        <v>45967</v>
      </c>
      <c r="C2516" t="n">
        <v>17174</v>
      </c>
      <c r="D2516" t="inlineStr">
        <is>
          <t>Chandigarh</t>
        </is>
      </c>
      <c r="E2516" t="inlineStr">
        <is>
          <t>North</t>
        </is>
      </c>
      <c r="F2516" t="inlineStr">
        <is>
          <t>Organic Search</t>
        </is>
      </c>
      <c r="G2516" t="inlineStr">
        <is>
          <t>Desktop</t>
        </is>
      </c>
      <c r="H2516" t="inlineStr">
        <is>
          <t>UPI</t>
        </is>
      </c>
      <c r="I2516" t="inlineStr">
        <is>
          <t>Returned</t>
        </is>
      </c>
      <c r="J2516" t="n">
        <v>134</v>
      </c>
      <c r="K2516" t="n">
        <v>1</v>
      </c>
      <c r="L2516" t="n">
        <v>209</v>
      </c>
      <c r="M2516" t="n">
        <v>31.35</v>
      </c>
      <c r="N2516">
        <f>VLOOKUP(J2516,Products!$A$2:$C$49,3,FALSE)</f>
        <v/>
      </c>
      <c r="O2516">
        <f>K2516*L2516-M2516</f>
        <v/>
      </c>
      <c r="P2516">
        <f>TEXT(B2516,"yyyy-mm")</f>
        <v/>
      </c>
      <c r="Q2516">
        <f>IF(O2516&gt;=3000,"Large","Small")</f>
        <v/>
      </c>
      <c r="R2516">
        <f>INDEX(Products!$F$2:$F$49,MATCH(J2516,Products!$A$2:$A$49,0))</f>
        <v/>
      </c>
      <c r="S2516">
        <f>WEEKDAY(B2516,2)</f>
        <v/>
      </c>
    </row>
    <row r="2517">
      <c r="A2517" t="n">
        <v>510644</v>
      </c>
      <c r="B2517" s="6" t="n">
        <v>45967</v>
      </c>
      <c r="C2517" t="n">
        <v>17148</v>
      </c>
      <c r="D2517" t="inlineStr">
        <is>
          <t>Delhi</t>
        </is>
      </c>
      <c r="E2517" t="inlineStr">
        <is>
          <t>North</t>
        </is>
      </c>
      <c r="F2517" t="inlineStr">
        <is>
          <t>Referral</t>
        </is>
      </c>
      <c r="G2517" t="inlineStr">
        <is>
          <t>Mobile App</t>
        </is>
      </c>
      <c r="H2517" t="inlineStr">
        <is>
          <t>UPI</t>
        </is>
      </c>
      <c r="I2517" t="inlineStr">
        <is>
          <t>Delivered</t>
        </is>
      </c>
      <c r="J2517" t="n">
        <v>130</v>
      </c>
      <c r="K2517" t="n">
        <v>1</v>
      </c>
      <c r="L2517" t="n">
        <v>734</v>
      </c>
      <c r="M2517" t="n">
        <v>0</v>
      </c>
      <c r="N2517">
        <f>VLOOKUP(J2517,Products!$A$2:$C$49,3,FALSE)</f>
        <v/>
      </c>
      <c r="O2517">
        <f>K2517*L2517-M2517</f>
        <v/>
      </c>
      <c r="P2517">
        <f>TEXT(B2517,"yyyy-mm")</f>
        <v/>
      </c>
      <c r="Q2517">
        <f>IF(O2517&gt;=3000,"Large","Small")</f>
        <v/>
      </c>
      <c r="R2517">
        <f>INDEX(Products!$F$2:$F$49,MATCH(J2517,Products!$A$2:$A$49,0))</f>
        <v/>
      </c>
      <c r="S2517">
        <f>WEEKDAY(B2517,2)</f>
        <v/>
      </c>
    </row>
    <row r="2518">
      <c r="A2518" t="n">
        <v>510645</v>
      </c>
      <c r="B2518" s="6" t="n">
        <v>45967</v>
      </c>
      <c r="C2518" t="n">
        <v>15224</v>
      </c>
      <c r="D2518" t="inlineStr">
        <is>
          <t>Bengaluru</t>
        </is>
      </c>
      <c r="E2518" t="inlineStr">
        <is>
          <t>South</t>
        </is>
      </c>
      <c r="F2518" t="inlineStr">
        <is>
          <t>Organic Search</t>
        </is>
      </c>
      <c r="G2518" t="inlineStr">
        <is>
          <t>Mobile App</t>
        </is>
      </c>
      <c r="H2518" t="inlineStr">
        <is>
          <t>UPI</t>
        </is>
      </c>
      <c r="I2518" t="inlineStr">
        <is>
          <t>Delivered</t>
        </is>
      </c>
      <c r="J2518" t="n">
        <v>124</v>
      </c>
      <c r="K2518" t="n">
        <v>1</v>
      </c>
      <c r="L2518" t="n">
        <v>1154</v>
      </c>
      <c r="M2518" t="n">
        <v>0</v>
      </c>
      <c r="N2518">
        <f>VLOOKUP(J2518,Products!$A$2:$C$49,3,FALSE)</f>
        <v/>
      </c>
      <c r="O2518">
        <f>K2518*L2518-M2518</f>
        <v/>
      </c>
      <c r="P2518">
        <f>TEXT(B2518,"yyyy-mm")</f>
        <v/>
      </c>
      <c r="Q2518">
        <f>IF(O2518&gt;=3000,"Large","Small")</f>
        <v/>
      </c>
      <c r="R2518">
        <f>INDEX(Products!$F$2:$F$49,MATCH(J2518,Products!$A$2:$A$49,0))</f>
        <v/>
      </c>
      <c r="S2518">
        <f>WEEKDAY(B2518,2)</f>
        <v/>
      </c>
    </row>
    <row r="2519">
      <c r="A2519" t="n">
        <v>510645</v>
      </c>
      <c r="B2519" s="6" t="n">
        <v>45967</v>
      </c>
      <c r="C2519" t="n">
        <v>15224</v>
      </c>
      <c r="D2519" t="inlineStr">
        <is>
          <t>Bengaluru</t>
        </is>
      </c>
      <c r="E2519" t="inlineStr">
        <is>
          <t>South</t>
        </is>
      </c>
      <c r="F2519" t="inlineStr">
        <is>
          <t>Organic Search</t>
        </is>
      </c>
      <c r="G2519" t="inlineStr">
        <is>
          <t>Mobile App</t>
        </is>
      </c>
      <c r="H2519" t="inlineStr">
        <is>
          <t>UPI</t>
        </is>
      </c>
      <c r="I2519" t="inlineStr">
        <is>
          <t>Delivered</t>
        </is>
      </c>
      <c r="J2519" t="n">
        <v>135</v>
      </c>
      <c r="K2519" t="n">
        <v>1</v>
      </c>
      <c r="L2519" t="n">
        <v>1574</v>
      </c>
      <c r="M2519" t="n">
        <v>0</v>
      </c>
      <c r="N2519">
        <f>VLOOKUP(J2519,Products!$A$2:$C$49,3,FALSE)</f>
        <v/>
      </c>
      <c r="O2519">
        <f>K2519*L2519-M2519</f>
        <v/>
      </c>
      <c r="P2519">
        <f>TEXT(B2519,"yyyy-mm")</f>
        <v/>
      </c>
      <c r="Q2519">
        <f>IF(O2519&gt;=3000,"Large","Small")</f>
        <v/>
      </c>
      <c r="R2519">
        <f>INDEX(Products!$F$2:$F$49,MATCH(J2519,Products!$A$2:$A$49,0))</f>
        <v/>
      </c>
      <c r="S2519">
        <f>WEEKDAY(B2519,2)</f>
        <v/>
      </c>
    </row>
    <row r="2520">
      <c r="A2520" t="n">
        <v>510646</v>
      </c>
      <c r="B2520" s="6" t="n">
        <v>45967</v>
      </c>
      <c r="C2520" t="n">
        <v>17194</v>
      </c>
      <c r="D2520" t="inlineStr">
        <is>
          <t>Hyderabad</t>
        </is>
      </c>
      <c r="E2520" t="inlineStr">
        <is>
          <t>South</t>
        </is>
      </c>
      <c r="F2520" t="inlineStr">
        <is>
          <t>Affiliate</t>
        </is>
      </c>
      <c r="G2520" t="inlineStr">
        <is>
          <t>Desktop</t>
        </is>
      </c>
      <c r="H2520" t="inlineStr">
        <is>
          <t>Cash on Delivery</t>
        </is>
      </c>
      <c r="I2520" t="inlineStr">
        <is>
          <t>Delivered</t>
        </is>
      </c>
      <c r="J2520" t="n">
        <v>103</v>
      </c>
      <c r="K2520" t="n">
        <v>1</v>
      </c>
      <c r="L2520" t="n">
        <v>2624</v>
      </c>
      <c r="M2520" t="n">
        <v>393.6</v>
      </c>
      <c r="N2520">
        <f>VLOOKUP(J2520,Products!$A$2:$C$49,3,FALSE)</f>
        <v/>
      </c>
      <c r="O2520">
        <f>K2520*L2520-M2520</f>
        <v/>
      </c>
      <c r="P2520">
        <f>TEXT(B2520,"yyyy-mm")</f>
        <v/>
      </c>
      <c r="Q2520">
        <f>IF(O2520&gt;=3000,"Large","Small")</f>
        <v/>
      </c>
      <c r="R2520">
        <f>INDEX(Products!$F$2:$F$49,MATCH(J2520,Products!$A$2:$A$49,0))</f>
        <v/>
      </c>
      <c r="S2520">
        <f>WEEKDAY(B2520,2)</f>
        <v/>
      </c>
    </row>
    <row r="2521">
      <c r="A2521" t="n">
        <v>510647</v>
      </c>
      <c r="B2521" s="6" t="n">
        <v>45967</v>
      </c>
      <c r="C2521" t="n">
        <v>17198</v>
      </c>
      <c r="D2521" t="inlineStr">
        <is>
          <t>Noida</t>
        </is>
      </c>
      <c r="E2521" t="inlineStr">
        <is>
          <t>North</t>
        </is>
      </c>
      <c r="F2521" t="inlineStr">
        <is>
          <t>Organic Search</t>
        </is>
      </c>
      <c r="G2521" t="inlineStr">
        <is>
          <t>Desktop</t>
        </is>
      </c>
      <c r="H2521" t="inlineStr">
        <is>
          <t>Cash on Delivery</t>
        </is>
      </c>
      <c r="I2521" t="inlineStr">
        <is>
          <t>Delivered</t>
        </is>
      </c>
      <c r="J2521" t="n">
        <v>122</v>
      </c>
      <c r="K2521" t="n">
        <v>1</v>
      </c>
      <c r="L2521" t="n">
        <v>1994</v>
      </c>
      <c r="M2521" t="n">
        <v>0</v>
      </c>
      <c r="N2521">
        <f>VLOOKUP(J2521,Products!$A$2:$C$49,3,FALSE)</f>
        <v/>
      </c>
      <c r="O2521">
        <f>K2521*L2521-M2521</f>
        <v/>
      </c>
      <c r="P2521">
        <f>TEXT(B2521,"yyyy-mm")</f>
        <v/>
      </c>
      <c r="Q2521">
        <f>IF(O2521&gt;=3000,"Large","Small")</f>
        <v/>
      </c>
      <c r="R2521">
        <f>INDEX(Products!$F$2:$F$49,MATCH(J2521,Products!$A$2:$A$49,0))</f>
        <v/>
      </c>
      <c r="S2521">
        <f>WEEKDAY(B2521,2)</f>
        <v/>
      </c>
    </row>
    <row r="2522">
      <c r="A2522" t="n">
        <v>510648</v>
      </c>
      <c r="B2522" s="6" t="n">
        <v>45967</v>
      </c>
      <c r="C2522" t="n">
        <v>14860</v>
      </c>
      <c r="D2522" t="inlineStr">
        <is>
          <t>Chennai</t>
        </is>
      </c>
      <c r="E2522" t="inlineStr">
        <is>
          <t>South</t>
        </is>
      </c>
      <c r="F2522" t="inlineStr">
        <is>
          <t>Email</t>
        </is>
      </c>
      <c r="G2522" t="inlineStr">
        <is>
          <t>Mobile App</t>
        </is>
      </c>
      <c r="H2522" t="inlineStr">
        <is>
          <t>UPI</t>
        </is>
      </c>
      <c r="I2522" t="inlineStr">
        <is>
          <t>Delivered</t>
        </is>
      </c>
      <c r="J2522" t="n">
        <v>109</v>
      </c>
      <c r="K2522" t="n">
        <v>2</v>
      </c>
      <c r="L2522" t="n">
        <v>4199</v>
      </c>
      <c r="M2522" t="n">
        <v>0</v>
      </c>
      <c r="N2522">
        <f>VLOOKUP(J2522,Products!$A$2:$C$49,3,FALSE)</f>
        <v/>
      </c>
      <c r="O2522">
        <f>K2522*L2522-M2522</f>
        <v/>
      </c>
      <c r="P2522">
        <f>TEXT(B2522,"yyyy-mm")</f>
        <v/>
      </c>
      <c r="Q2522">
        <f>IF(O2522&gt;=3000,"Large","Small")</f>
        <v/>
      </c>
      <c r="R2522">
        <f>INDEX(Products!$F$2:$F$49,MATCH(J2522,Products!$A$2:$A$49,0))</f>
        <v/>
      </c>
      <c r="S2522">
        <f>WEEKDAY(B2522,2)</f>
        <v/>
      </c>
    </row>
    <row r="2523">
      <c r="A2523" t="n">
        <v>510649</v>
      </c>
      <c r="B2523" s="6" t="n">
        <v>45967</v>
      </c>
      <c r="C2523" t="n">
        <v>16026</v>
      </c>
      <c r="D2523" t="inlineStr">
        <is>
          <t>Kochi</t>
        </is>
      </c>
      <c r="E2523" t="inlineStr">
        <is>
          <t>South</t>
        </is>
      </c>
      <c r="F2523" t="inlineStr">
        <is>
          <t>Paid Social</t>
        </is>
      </c>
      <c r="G2523" t="inlineStr">
        <is>
          <t>Desktop</t>
        </is>
      </c>
      <c r="H2523" t="inlineStr">
        <is>
          <t>Credit Card</t>
        </is>
      </c>
      <c r="I2523" t="inlineStr">
        <is>
          <t>Delivered</t>
        </is>
      </c>
      <c r="J2523" t="n">
        <v>119</v>
      </c>
      <c r="K2523" t="n">
        <v>1</v>
      </c>
      <c r="L2523" t="n">
        <v>2309</v>
      </c>
      <c r="M2523" t="n">
        <v>0</v>
      </c>
      <c r="N2523">
        <f>VLOOKUP(J2523,Products!$A$2:$C$49,3,FALSE)</f>
        <v/>
      </c>
      <c r="O2523">
        <f>K2523*L2523-M2523</f>
        <v/>
      </c>
      <c r="P2523">
        <f>TEXT(B2523,"yyyy-mm")</f>
        <v/>
      </c>
      <c r="Q2523">
        <f>IF(O2523&gt;=3000,"Large","Small")</f>
        <v/>
      </c>
      <c r="R2523">
        <f>INDEX(Products!$F$2:$F$49,MATCH(J2523,Products!$A$2:$A$49,0))</f>
        <v/>
      </c>
      <c r="S2523">
        <f>WEEKDAY(B2523,2)</f>
        <v/>
      </c>
    </row>
    <row r="2524">
      <c r="A2524" t="n">
        <v>510649</v>
      </c>
      <c r="B2524" s="6" t="n">
        <v>45967</v>
      </c>
      <c r="C2524" t="n">
        <v>16026</v>
      </c>
      <c r="D2524" t="inlineStr">
        <is>
          <t>Kochi</t>
        </is>
      </c>
      <c r="E2524" t="inlineStr">
        <is>
          <t>South</t>
        </is>
      </c>
      <c r="F2524" t="inlineStr">
        <is>
          <t>Paid Social</t>
        </is>
      </c>
      <c r="G2524" t="inlineStr">
        <is>
          <t>Desktop</t>
        </is>
      </c>
      <c r="H2524" t="inlineStr">
        <is>
          <t>Credit Card</t>
        </is>
      </c>
      <c r="I2524" t="inlineStr">
        <is>
          <t>Delivered</t>
        </is>
      </c>
      <c r="J2524" t="n">
        <v>123</v>
      </c>
      <c r="K2524" t="n">
        <v>1</v>
      </c>
      <c r="L2524" t="n">
        <v>3464</v>
      </c>
      <c r="M2524" t="n">
        <v>0</v>
      </c>
      <c r="N2524">
        <f>VLOOKUP(J2524,Products!$A$2:$C$49,3,FALSE)</f>
        <v/>
      </c>
      <c r="O2524">
        <f>K2524*L2524-M2524</f>
        <v/>
      </c>
      <c r="P2524">
        <f>TEXT(B2524,"yyyy-mm")</f>
        <v/>
      </c>
      <c r="Q2524">
        <f>IF(O2524&gt;=3000,"Large","Small")</f>
        <v/>
      </c>
      <c r="R2524">
        <f>INDEX(Products!$F$2:$F$49,MATCH(J2524,Products!$A$2:$A$49,0))</f>
        <v/>
      </c>
      <c r="S2524">
        <f>WEEKDAY(B2524,2)</f>
        <v/>
      </c>
    </row>
    <row r="2525">
      <c r="A2525" t="n">
        <v>510650</v>
      </c>
      <c r="B2525" s="6" t="n">
        <v>45967</v>
      </c>
      <c r="C2525" t="n">
        <v>14781</v>
      </c>
      <c r="D2525" t="inlineStr">
        <is>
          <t>Indore</t>
        </is>
      </c>
      <c r="E2525" t="inlineStr">
        <is>
          <t>West</t>
        </is>
      </c>
      <c r="F2525" t="inlineStr">
        <is>
          <t>Referral</t>
        </is>
      </c>
      <c r="G2525" t="inlineStr">
        <is>
          <t>Mobile App</t>
        </is>
      </c>
      <c r="H2525" t="inlineStr">
        <is>
          <t>Cash on Delivery</t>
        </is>
      </c>
      <c r="I2525" t="inlineStr">
        <is>
          <t>Delivered</t>
        </is>
      </c>
      <c r="J2525" t="n">
        <v>111</v>
      </c>
      <c r="K2525" t="n">
        <v>1</v>
      </c>
      <c r="L2525" t="n">
        <v>524</v>
      </c>
      <c r="M2525" t="n">
        <v>0</v>
      </c>
      <c r="N2525">
        <f>VLOOKUP(J2525,Products!$A$2:$C$49,3,FALSE)</f>
        <v/>
      </c>
      <c r="O2525">
        <f>K2525*L2525-M2525</f>
        <v/>
      </c>
      <c r="P2525">
        <f>TEXT(B2525,"yyyy-mm")</f>
        <v/>
      </c>
      <c r="Q2525">
        <f>IF(O2525&gt;=3000,"Large","Small")</f>
        <v/>
      </c>
      <c r="R2525">
        <f>INDEX(Products!$F$2:$F$49,MATCH(J2525,Products!$A$2:$A$49,0))</f>
        <v/>
      </c>
      <c r="S2525">
        <f>WEEKDAY(B2525,2)</f>
        <v/>
      </c>
    </row>
    <row r="2526">
      <c r="A2526" t="n">
        <v>510650</v>
      </c>
      <c r="B2526" s="6" t="n">
        <v>45967</v>
      </c>
      <c r="C2526" t="n">
        <v>14781</v>
      </c>
      <c r="D2526" t="inlineStr">
        <is>
          <t>Indore</t>
        </is>
      </c>
      <c r="E2526" t="inlineStr">
        <is>
          <t>West</t>
        </is>
      </c>
      <c r="F2526" t="inlineStr">
        <is>
          <t>Referral</t>
        </is>
      </c>
      <c r="G2526" t="inlineStr">
        <is>
          <t>Mobile App</t>
        </is>
      </c>
      <c r="H2526" t="inlineStr">
        <is>
          <t>Cash on Delivery</t>
        </is>
      </c>
      <c r="I2526" t="inlineStr">
        <is>
          <t>Delivered</t>
        </is>
      </c>
      <c r="J2526" t="n">
        <v>124</v>
      </c>
      <c r="K2526" t="n">
        <v>1</v>
      </c>
      <c r="L2526" t="n">
        <v>1154</v>
      </c>
      <c r="M2526" t="n">
        <v>0</v>
      </c>
      <c r="N2526">
        <f>VLOOKUP(J2526,Products!$A$2:$C$49,3,FALSE)</f>
        <v/>
      </c>
      <c r="O2526">
        <f>K2526*L2526-M2526</f>
        <v/>
      </c>
      <c r="P2526">
        <f>TEXT(B2526,"yyyy-mm")</f>
        <v/>
      </c>
      <c r="Q2526">
        <f>IF(O2526&gt;=3000,"Large","Small")</f>
        <v/>
      </c>
      <c r="R2526">
        <f>INDEX(Products!$F$2:$F$49,MATCH(J2526,Products!$A$2:$A$49,0))</f>
        <v/>
      </c>
      <c r="S2526">
        <f>WEEKDAY(B2526,2)</f>
        <v/>
      </c>
    </row>
    <row r="2527">
      <c r="A2527" t="n">
        <v>510650</v>
      </c>
      <c r="B2527" s="6" t="n">
        <v>45967</v>
      </c>
      <c r="C2527" t="n">
        <v>14781</v>
      </c>
      <c r="D2527" t="inlineStr">
        <is>
          <t>Indore</t>
        </is>
      </c>
      <c r="E2527" t="inlineStr">
        <is>
          <t>West</t>
        </is>
      </c>
      <c r="F2527" t="inlineStr">
        <is>
          <t>Referral</t>
        </is>
      </c>
      <c r="G2527" t="inlineStr">
        <is>
          <t>Mobile App</t>
        </is>
      </c>
      <c r="H2527" t="inlineStr">
        <is>
          <t>Cash on Delivery</t>
        </is>
      </c>
      <c r="I2527" t="inlineStr">
        <is>
          <t>Delivered</t>
        </is>
      </c>
      <c r="J2527" t="n">
        <v>106</v>
      </c>
      <c r="K2527" t="n">
        <v>1</v>
      </c>
      <c r="L2527" t="n">
        <v>1574</v>
      </c>
      <c r="M2527" t="n">
        <v>0</v>
      </c>
      <c r="N2527">
        <f>VLOOKUP(J2527,Products!$A$2:$C$49,3,FALSE)</f>
        <v/>
      </c>
      <c r="O2527">
        <f>K2527*L2527-M2527</f>
        <v/>
      </c>
      <c r="P2527">
        <f>TEXT(B2527,"yyyy-mm")</f>
        <v/>
      </c>
      <c r="Q2527">
        <f>IF(O2527&gt;=3000,"Large","Small")</f>
        <v/>
      </c>
      <c r="R2527">
        <f>INDEX(Products!$F$2:$F$49,MATCH(J2527,Products!$A$2:$A$49,0))</f>
        <v/>
      </c>
      <c r="S2527">
        <f>WEEKDAY(B2527,2)</f>
        <v/>
      </c>
    </row>
    <row r="2528">
      <c r="A2528" t="n">
        <v>510651</v>
      </c>
      <c r="B2528" s="6" t="n">
        <v>45967</v>
      </c>
      <c r="C2528" t="n">
        <v>17201</v>
      </c>
      <c r="D2528" t="inlineStr">
        <is>
          <t>Mumbai</t>
        </is>
      </c>
      <c r="E2528" t="inlineStr">
        <is>
          <t>West</t>
        </is>
      </c>
      <c r="F2528" t="inlineStr">
        <is>
          <t>Paid Social</t>
        </is>
      </c>
      <c r="G2528" t="inlineStr">
        <is>
          <t>Mobile Web</t>
        </is>
      </c>
      <c r="H2528" t="inlineStr">
        <is>
          <t>UPI</t>
        </is>
      </c>
      <c r="I2528" t="inlineStr">
        <is>
          <t>Delivered</t>
        </is>
      </c>
      <c r="J2528" t="n">
        <v>113</v>
      </c>
      <c r="K2528" t="n">
        <v>1</v>
      </c>
      <c r="L2528" t="n">
        <v>1364</v>
      </c>
      <c r="M2528" t="n">
        <v>68.2</v>
      </c>
      <c r="N2528">
        <f>VLOOKUP(J2528,Products!$A$2:$C$49,3,FALSE)</f>
        <v/>
      </c>
      <c r="O2528">
        <f>K2528*L2528-M2528</f>
        <v/>
      </c>
      <c r="P2528">
        <f>TEXT(B2528,"yyyy-mm")</f>
        <v/>
      </c>
      <c r="Q2528">
        <f>IF(O2528&gt;=3000,"Large","Small")</f>
        <v/>
      </c>
      <c r="R2528">
        <f>INDEX(Products!$F$2:$F$49,MATCH(J2528,Products!$A$2:$A$49,0))</f>
        <v/>
      </c>
      <c r="S2528">
        <f>WEEKDAY(B2528,2)</f>
        <v/>
      </c>
    </row>
    <row r="2529">
      <c r="A2529" t="n">
        <v>510652</v>
      </c>
      <c r="B2529" s="6" t="n">
        <v>45967</v>
      </c>
      <c r="C2529" t="n">
        <v>16936</v>
      </c>
      <c r="D2529" t="inlineStr">
        <is>
          <t>Delhi</t>
        </is>
      </c>
      <c r="E2529" t="inlineStr">
        <is>
          <t>North</t>
        </is>
      </c>
      <c r="F2529" t="inlineStr">
        <is>
          <t>Referral</t>
        </is>
      </c>
      <c r="G2529" t="inlineStr">
        <is>
          <t>Mobile App</t>
        </is>
      </c>
      <c r="H2529" t="inlineStr">
        <is>
          <t>UPI</t>
        </is>
      </c>
      <c r="I2529" t="inlineStr">
        <is>
          <t>Delivered</t>
        </is>
      </c>
      <c r="J2529" t="n">
        <v>128</v>
      </c>
      <c r="K2529" t="n">
        <v>1</v>
      </c>
      <c r="L2529" t="n">
        <v>1049</v>
      </c>
      <c r="M2529" t="n">
        <v>0</v>
      </c>
      <c r="N2529">
        <f>VLOOKUP(J2529,Products!$A$2:$C$49,3,FALSE)</f>
        <v/>
      </c>
      <c r="O2529">
        <f>K2529*L2529-M2529</f>
        <v/>
      </c>
      <c r="P2529">
        <f>TEXT(B2529,"yyyy-mm")</f>
        <v/>
      </c>
      <c r="Q2529">
        <f>IF(O2529&gt;=3000,"Large","Small")</f>
        <v/>
      </c>
      <c r="R2529">
        <f>INDEX(Products!$F$2:$F$49,MATCH(J2529,Products!$A$2:$A$49,0))</f>
        <v/>
      </c>
      <c r="S2529">
        <f>WEEKDAY(B2529,2)</f>
        <v/>
      </c>
    </row>
    <row r="2530">
      <c r="A2530" t="n">
        <v>510653</v>
      </c>
      <c r="B2530" s="6" t="n">
        <v>45967</v>
      </c>
      <c r="C2530" t="n">
        <v>17191</v>
      </c>
      <c r="D2530" t="inlineStr">
        <is>
          <t>Gurugram</t>
        </is>
      </c>
      <c r="E2530" t="inlineStr">
        <is>
          <t>North</t>
        </is>
      </c>
      <c r="F2530" t="inlineStr">
        <is>
          <t>Paid Search</t>
        </is>
      </c>
      <c r="G2530" t="inlineStr">
        <is>
          <t>Mobile Web</t>
        </is>
      </c>
      <c r="H2530" t="inlineStr">
        <is>
          <t>UPI</t>
        </is>
      </c>
      <c r="I2530" t="inlineStr">
        <is>
          <t>Delivered</t>
        </is>
      </c>
      <c r="J2530" t="n">
        <v>129</v>
      </c>
      <c r="K2530" t="n">
        <v>1</v>
      </c>
      <c r="L2530" t="n">
        <v>576</v>
      </c>
      <c r="M2530" t="n">
        <v>0</v>
      </c>
      <c r="N2530">
        <f>VLOOKUP(J2530,Products!$A$2:$C$49,3,FALSE)</f>
        <v/>
      </c>
      <c r="O2530">
        <f>K2530*L2530-M2530</f>
        <v/>
      </c>
      <c r="P2530">
        <f>TEXT(B2530,"yyyy-mm")</f>
        <v/>
      </c>
      <c r="Q2530">
        <f>IF(O2530&gt;=3000,"Large","Small")</f>
        <v/>
      </c>
      <c r="R2530">
        <f>INDEX(Products!$F$2:$F$49,MATCH(J2530,Products!$A$2:$A$49,0))</f>
        <v/>
      </c>
      <c r="S2530">
        <f>WEEKDAY(B2530,2)</f>
        <v/>
      </c>
    </row>
    <row r="2531">
      <c r="A2531" t="n">
        <v>510653</v>
      </c>
      <c r="B2531" s="6" t="n">
        <v>45967</v>
      </c>
      <c r="C2531" t="n">
        <v>17191</v>
      </c>
      <c r="D2531" t="inlineStr">
        <is>
          <t>Gurugram</t>
        </is>
      </c>
      <c r="E2531" t="inlineStr">
        <is>
          <t>North</t>
        </is>
      </c>
      <c r="F2531" t="inlineStr">
        <is>
          <t>Paid Search</t>
        </is>
      </c>
      <c r="G2531" t="inlineStr">
        <is>
          <t>Mobile Web</t>
        </is>
      </c>
      <c r="H2531" t="inlineStr">
        <is>
          <t>UPI</t>
        </is>
      </c>
      <c r="I2531" t="inlineStr">
        <is>
          <t>Delivered</t>
        </is>
      </c>
      <c r="J2531" t="n">
        <v>115</v>
      </c>
      <c r="K2531" t="n">
        <v>1</v>
      </c>
      <c r="L2531" t="n">
        <v>4199</v>
      </c>
      <c r="M2531" t="n">
        <v>0</v>
      </c>
      <c r="N2531">
        <f>VLOOKUP(J2531,Products!$A$2:$C$49,3,FALSE)</f>
        <v/>
      </c>
      <c r="O2531">
        <f>K2531*L2531-M2531</f>
        <v/>
      </c>
      <c r="P2531">
        <f>TEXT(B2531,"yyyy-mm")</f>
        <v/>
      </c>
      <c r="Q2531">
        <f>IF(O2531&gt;=3000,"Large","Small")</f>
        <v/>
      </c>
      <c r="R2531">
        <f>INDEX(Products!$F$2:$F$49,MATCH(J2531,Products!$A$2:$A$49,0))</f>
        <v/>
      </c>
      <c r="S2531">
        <f>WEEKDAY(B2531,2)</f>
        <v/>
      </c>
    </row>
    <row r="2532">
      <c r="A2532" t="n">
        <v>510654</v>
      </c>
      <c r="B2532" s="6" t="n">
        <v>45967</v>
      </c>
      <c r="C2532" t="n">
        <v>17157</v>
      </c>
      <c r="D2532" t="inlineStr">
        <is>
          <t>Kochi</t>
        </is>
      </c>
      <c r="E2532" t="inlineStr">
        <is>
          <t>South</t>
        </is>
      </c>
      <c r="F2532" t="inlineStr">
        <is>
          <t>Organic Search</t>
        </is>
      </c>
      <c r="G2532" t="inlineStr">
        <is>
          <t>Desktop</t>
        </is>
      </c>
      <c r="H2532" t="inlineStr">
        <is>
          <t>Cash on Delivery</t>
        </is>
      </c>
      <c r="I2532" t="inlineStr">
        <is>
          <t>Delivered</t>
        </is>
      </c>
      <c r="J2532" t="n">
        <v>102</v>
      </c>
      <c r="K2532" t="n">
        <v>1</v>
      </c>
      <c r="L2532" t="n">
        <v>3674</v>
      </c>
      <c r="M2532" t="n">
        <v>0</v>
      </c>
      <c r="N2532">
        <f>VLOOKUP(J2532,Products!$A$2:$C$49,3,FALSE)</f>
        <v/>
      </c>
      <c r="O2532">
        <f>K2532*L2532-M2532</f>
        <v/>
      </c>
      <c r="P2532">
        <f>TEXT(B2532,"yyyy-mm")</f>
        <v/>
      </c>
      <c r="Q2532">
        <f>IF(O2532&gt;=3000,"Large","Small")</f>
        <v/>
      </c>
      <c r="R2532">
        <f>INDEX(Products!$F$2:$F$49,MATCH(J2532,Products!$A$2:$A$49,0))</f>
        <v/>
      </c>
      <c r="S2532">
        <f>WEEKDAY(B2532,2)</f>
        <v/>
      </c>
    </row>
    <row r="2533">
      <c r="A2533" t="n">
        <v>510654</v>
      </c>
      <c r="B2533" s="6" t="n">
        <v>45967</v>
      </c>
      <c r="C2533" t="n">
        <v>17157</v>
      </c>
      <c r="D2533" t="inlineStr">
        <is>
          <t>Kochi</t>
        </is>
      </c>
      <c r="E2533" t="inlineStr">
        <is>
          <t>South</t>
        </is>
      </c>
      <c r="F2533" t="inlineStr">
        <is>
          <t>Organic Search</t>
        </is>
      </c>
      <c r="G2533" t="inlineStr">
        <is>
          <t>Desktop</t>
        </is>
      </c>
      <c r="H2533" t="inlineStr">
        <is>
          <t>Cash on Delivery</t>
        </is>
      </c>
      <c r="I2533" t="inlineStr">
        <is>
          <t>Delivered</t>
        </is>
      </c>
      <c r="J2533" t="n">
        <v>139</v>
      </c>
      <c r="K2533" t="n">
        <v>1</v>
      </c>
      <c r="L2533" t="n">
        <v>366</v>
      </c>
      <c r="M2533" t="n">
        <v>0</v>
      </c>
      <c r="N2533">
        <f>VLOOKUP(J2533,Products!$A$2:$C$49,3,FALSE)</f>
        <v/>
      </c>
      <c r="O2533">
        <f>K2533*L2533-M2533</f>
        <v/>
      </c>
      <c r="P2533">
        <f>TEXT(B2533,"yyyy-mm")</f>
        <v/>
      </c>
      <c r="Q2533">
        <f>IF(O2533&gt;=3000,"Large","Small")</f>
        <v/>
      </c>
      <c r="R2533">
        <f>INDEX(Products!$F$2:$F$49,MATCH(J2533,Products!$A$2:$A$49,0))</f>
        <v/>
      </c>
      <c r="S2533">
        <f>WEEKDAY(B2533,2)</f>
        <v/>
      </c>
    </row>
    <row r="2534">
      <c r="A2534" t="n">
        <v>510654</v>
      </c>
      <c r="B2534" s="6" t="n">
        <v>45967</v>
      </c>
      <c r="C2534" t="n">
        <v>17157</v>
      </c>
      <c r="D2534" t="inlineStr">
        <is>
          <t>Kochi</t>
        </is>
      </c>
      <c r="E2534" t="inlineStr">
        <is>
          <t>South</t>
        </is>
      </c>
      <c r="F2534" t="inlineStr">
        <is>
          <t>Organic Search</t>
        </is>
      </c>
      <c r="G2534" t="inlineStr">
        <is>
          <t>Desktop</t>
        </is>
      </c>
      <c r="H2534" t="inlineStr">
        <is>
          <t>Cash on Delivery</t>
        </is>
      </c>
      <c r="I2534" t="inlineStr">
        <is>
          <t>Delivered</t>
        </is>
      </c>
      <c r="J2534" t="n">
        <v>137</v>
      </c>
      <c r="K2534" t="n">
        <v>1</v>
      </c>
      <c r="L2534" t="n">
        <v>261</v>
      </c>
      <c r="M2534" t="n">
        <v>0</v>
      </c>
      <c r="N2534">
        <f>VLOOKUP(J2534,Products!$A$2:$C$49,3,FALSE)</f>
        <v/>
      </c>
      <c r="O2534">
        <f>K2534*L2534-M2534</f>
        <v/>
      </c>
      <c r="P2534">
        <f>TEXT(B2534,"yyyy-mm")</f>
        <v/>
      </c>
      <c r="Q2534">
        <f>IF(O2534&gt;=3000,"Large","Small")</f>
        <v/>
      </c>
      <c r="R2534">
        <f>INDEX(Products!$F$2:$F$49,MATCH(J2534,Products!$A$2:$A$49,0))</f>
        <v/>
      </c>
      <c r="S2534">
        <f>WEEKDAY(B2534,2)</f>
        <v/>
      </c>
    </row>
    <row r="2535">
      <c r="A2535" t="n">
        <v>510655</v>
      </c>
      <c r="B2535" s="6" t="n">
        <v>45967</v>
      </c>
      <c r="C2535" t="n">
        <v>17189</v>
      </c>
      <c r="D2535" t="inlineStr">
        <is>
          <t>Jaipur</t>
        </is>
      </c>
      <c r="E2535" t="inlineStr">
        <is>
          <t>North</t>
        </is>
      </c>
      <c r="F2535" t="inlineStr">
        <is>
          <t>Affiliate</t>
        </is>
      </c>
      <c r="G2535" t="inlineStr">
        <is>
          <t>Mobile App</t>
        </is>
      </c>
      <c r="H2535" t="inlineStr">
        <is>
          <t>UPI</t>
        </is>
      </c>
      <c r="I2535" t="inlineStr">
        <is>
          <t>Delivered</t>
        </is>
      </c>
      <c r="J2535" t="n">
        <v>136</v>
      </c>
      <c r="K2535" t="n">
        <v>1</v>
      </c>
      <c r="L2535" t="n">
        <v>944</v>
      </c>
      <c r="M2535" t="n">
        <v>0</v>
      </c>
      <c r="N2535">
        <f>VLOOKUP(J2535,Products!$A$2:$C$49,3,FALSE)</f>
        <v/>
      </c>
      <c r="O2535">
        <f>K2535*L2535-M2535</f>
        <v/>
      </c>
      <c r="P2535">
        <f>TEXT(B2535,"yyyy-mm")</f>
        <v/>
      </c>
      <c r="Q2535">
        <f>IF(O2535&gt;=3000,"Large","Small")</f>
        <v/>
      </c>
      <c r="R2535">
        <f>INDEX(Products!$F$2:$F$49,MATCH(J2535,Products!$A$2:$A$49,0))</f>
        <v/>
      </c>
      <c r="S2535">
        <f>WEEKDAY(B2535,2)</f>
        <v/>
      </c>
    </row>
    <row r="2536">
      <c r="A2536" t="n">
        <v>510655</v>
      </c>
      <c r="B2536" s="6" t="n">
        <v>45967</v>
      </c>
      <c r="C2536" t="n">
        <v>17189</v>
      </c>
      <c r="D2536" t="inlineStr">
        <is>
          <t>Jaipur</t>
        </is>
      </c>
      <c r="E2536" t="inlineStr">
        <is>
          <t>North</t>
        </is>
      </c>
      <c r="F2536" t="inlineStr">
        <is>
          <t>Affiliate</t>
        </is>
      </c>
      <c r="G2536" t="inlineStr">
        <is>
          <t>Mobile App</t>
        </is>
      </c>
      <c r="H2536" t="inlineStr">
        <is>
          <t>UPI</t>
        </is>
      </c>
      <c r="I2536" t="inlineStr">
        <is>
          <t>Delivered</t>
        </is>
      </c>
      <c r="J2536" t="n">
        <v>104</v>
      </c>
      <c r="K2536" t="n">
        <v>1</v>
      </c>
      <c r="L2536" t="n">
        <v>5249</v>
      </c>
      <c r="M2536" t="n">
        <v>0</v>
      </c>
      <c r="N2536">
        <f>VLOOKUP(J2536,Products!$A$2:$C$49,3,FALSE)</f>
        <v/>
      </c>
      <c r="O2536">
        <f>K2536*L2536-M2536</f>
        <v/>
      </c>
      <c r="P2536">
        <f>TEXT(B2536,"yyyy-mm")</f>
        <v/>
      </c>
      <c r="Q2536">
        <f>IF(O2536&gt;=3000,"Large","Small")</f>
        <v/>
      </c>
      <c r="R2536">
        <f>INDEX(Products!$F$2:$F$49,MATCH(J2536,Products!$A$2:$A$49,0))</f>
        <v/>
      </c>
      <c r="S2536">
        <f>WEEKDAY(B2536,2)</f>
        <v/>
      </c>
    </row>
    <row r="2537">
      <c r="A2537" t="n">
        <v>510656</v>
      </c>
      <c r="B2537" s="6" t="n">
        <v>45967</v>
      </c>
      <c r="C2537" t="n">
        <v>16928</v>
      </c>
      <c r="D2537" t="inlineStr">
        <is>
          <t>Jaipur</t>
        </is>
      </c>
      <c r="E2537" t="inlineStr">
        <is>
          <t>North</t>
        </is>
      </c>
      <c r="F2537" t="inlineStr">
        <is>
          <t>Paid Social</t>
        </is>
      </c>
      <c r="G2537" t="inlineStr">
        <is>
          <t>Mobile App</t>
        </is>
      </c>
      <c r="H2537" t="inlineStr">
        <is>
          <t>UPI</t>
        </is>
      </c>
      <c r="I2537" t="inlineStr">
        <is>
          <t>Delivered</t>
        </is>
      </c>
      <c r="J2537" t="n">
        <v>120</v>
      </c>
      <c r="K2537" t="n">
        <v>1</v>
      </c>
      <c r="L2537" t="n">
        <v>734</v>
      </c>
      <c r="M2537" t="n">
        <v>36.7</v>
      </c>
      <c r="N2537">
        <f>VLOOKUP(J2537,Products!$A$2:$C$49,3,FALSE)</f>
        <v/>
      </c>
      <c r="O2537">
        <f>K2537*L2537-M2537</f>
        <v/>
      </c>
      <c r="P2537">
        <f>TEXT(B2537,"yyyy-mm")</f>
        <v/>
      </c>
      <c r="Q2537">
        <f>IF(O2537&gt;=3000,"Large","Small")</f>
        <v/>
      </c>
      <c r="R2537">
        <f>INDEX(Products!$F$2:$F$49,MATCH(J2537,Products!$A$2:$A$49,0))</f>
        <v/>
      </c>
      <c r="S2537">
        <f>WEEKDAY(B2537,2)</f>
        <v/>
      </c>
    </row>
    <row r="2538">
      <c r="A2538" t="n">
        <v>510657</v>
      </c>
      <c r="B2538" s="6" t="n">
        <v>45967</v>
      </c>
      <c r="C2538" t="n">
        <v>15316</v>
      </c>
      <c r="D2538" t="inlineStr">
        <is>
          <t>Kolkata</t>
        </is>
      </c>
      <c r="E2538" t="inlineStr">
        <is>
          <t>East</t>
        </is>
      </c>
      <c r="F2538" t="inlineStr">
        <is>
          <t>Organic Search</t>
        </is>
      </c>
      <c r="G2538" t="inlineStr">
        <is>
          <t>Desktop</t>
        </is>
      </c>
      <c r="H2538" t="inlineStr">
        <is>
          <t>UPI</t>
        </is>
      </c>
      <c r="I2538" t="inlineStr">
        <is>
          <t>Delivered</t>
        </is>
      </c>
      <c r="J2538" t="n">
        <v>133</v>
      </c>
      <c r="K2538" t="n">
        <v>1</v>
      </c>
      <c r="L2538" t="n">
        <v>419</v>
      </c>
      <c r="M2538" t="n">
        <v>0</v>
      </c>
      <c r="N2538">
        <f>VLOOKUP(J2538,Products!$A$2:$C$49,3,FALSE)</f>
        <v/>
      </c>
      <c r="O2538">
        <f>K2538*L2538-M2538</f>
        <v/>
      </c>
      <c r="P2538">
        <f>TEXT(B2538,"yyyy-mm")</f>
        <v/>
      </c>
      <c r="Q2538">
        <f>IF(O2538&gt;=3000,"Large","Small")</f>
        <v/>
      </c>
      <c r="R2538">
        <f>INDEX(Products!$F$2:$F$49,MATCH(J2538,Products!$A$2:$A$49,0))</f>
        <v/>
      </c>
      <c r="S2538">
        <f>WEEKDAY(B2538,2)</f>
        <v/>
      </c>
    </row>
    <row r="2539">
      <c r="A2539" t="n">
        <v>510658</v>
      </c>
      <c r="B2539" s="6" t="n">
        <v>45967</v>
      </c>
      <c r="C2539" t="n">
        <v>17139</v>
      </c>
      <c r="D2539" t="inlineStr">
        <is>
          <t>Bengaluru</t>
        </is>
      </c>
      <c r="E2539" t="inlineStr">
        <is>
          <t>South</t>
        </is>
      </c>
      <c r="F2539" t="inlineStr">
        <is>
          <t>Paid Social</t>
        </is>
      </c>
      <c r="G2539" t="inlineStr">
        <is>
          <t>Mobile App</t>
        </is>
      </c>
      <c r="H2539" t="inlineStr">
        <is>
          <t>UPI</t>
        </is>
      </c>
      <c r="I2539" t="inlineStr">
        <is>
          <t>Delivered</t>
        </is>
      </c>
      <c r="J2539" t="n">
        <v>140</v>
      </c>
      <c r="K2539" t="n">
        <v>1</v>
      </c>
      <c r="L2539" t="n">
        <v>629</v>
      </c>
      <c r="M2539" t="n">
        <v>94.34999999999999</v>
      </c>
      <c r="N2539">
        <f>VLOOKUP(J2539,Products!$A$2:$C$49,3,FALSE)</f>
        <v/>
      </c>
      <c r="O2539">
        <f>K2539*L2539-M2539</f>
        <v/>
      </c>
      <c r="P2539">
        <f>TEXT(B2539,"yyyy-mm")</f>
        <v/>
      </c>
      <c r="Q2539">
        <f>IF(O2539&gt;=3000,"Large","Small")</f>
        <v/>
      </c>
      <c r="R2539">
        <f>INDEX(Products!$F$2:$F$49,MATCH(J2539,Products!$A$2:$A$49,0))</f>
        <v/>
      </c>
      <c r="S2539">
        <f>WEEKDAY(B2539,2)</f>
        <v/>
      </c>
    </row>
    <row r="2540">
      <c r="A2540" t="n">
        <v>510658</v>
      </c>
      <c r="B2540" s="6" t="n">
        <v>45967</v>
      </c>
      <c r="C2540" t="n">
        <v>17139</v>
      </c>
      <c r="D2540" t="inlineStr">
        <is>
          <t>Bengaluru</t>
        </is>
      </c>
      <c r="E2540" t="inlineStr">
        <is>
          <t>South</t>
        </is>
      </c>
      <c r="F2540" t="inlineStr">
        <is>
          <t>Paid Social</t>
        </is>
      </c>
      <c r="G2540" t="inlineStr">
        <is>
          <t>Mobile App</t>
        </is>
      </c>
      <c r="H2540" t="inlineStr">
        <is>
          <t>UPI</t>
        </is>
      </c>
      <c r="I2540" t="inlineStr">
        <is>
          <t>Delivered</t>
        </is>
      </c>
      <c r="J2540" t="n">
        <v>139</v>
      </c>
      <c r="K2540" t="n">
        <v>1</v>
      </c>
      <c r="L2540" t="n">
        <v>366</v>
      </c>
      <c r="M2540" t="n">
        <v>54.9</v>
      </c>
      <c r="N2540">
        <f>VLOOKUP(J2540,Products!$A$2:$C$49,3,FALSE)</f>
        <v/>
      </c>
      <c r="O2540">
        <f>K2540*L2540-M2540</f>
        <v/>
      </c>
      <c r="P2540">
        <f>TEXT(B2540,"yyyy-mm")</f>
        <v/>
      </c>
      <c r="Q2540">
        <f>IF(O2540&gt;=3000,"Large","Small")</f>
        <v/>
      </c>
      <c r="R2540">
        <f>INDEX(Products!$F$2:$F$49,MATCH(J2540,Products!$A$2:$A$49,0))</f>
        <v/>
      </c>
      <c r="S2540">
        <f>WEEKDAY(B2540,2)</f>
        <v/>
      </c>
    </row>
    <row r="2541">
      <c r="A2541" t="n">
        <v>510658</v>
      </c>
      <c r="B2541" s="6" t="n">
        <v>45967</v>
      </c>
      <c r="C2541" t="n">
        <v>17139</v>
      </c>
      <c r="D2541" t="inlineStr">
        <is>
          <t>Bengaluru</t>
        </is>
      </c>
      <c r="E2541" t="inlineStr">
        <is>
          <t>South</t>
        </is>
      </c>
      <c r="F2541" t="inlineStr">
        <is>
          <t>Paid Social</t>
        </is>
      </c>
      <c r="G2541" t="inlineStr">
        <is>
          <t>Mobile App</t>
        </is>
      </c>
      <c r="H2541" t="inlineStr">
        <is>
          <t>UPI</t>
        </is>
      </c>
      <c r="I2541" t="inlineStr">
        <is>
          <t>Delivered</t>
        </is>
      </c>
      <c r="J2541" t="n">
        <v>132</v>
      </c>
      <c r="K2541" t="n">
        <v>1</v>
      </c>
      <c r="L2541" t="n">
        <v>471</v>
      </c>
      <c r="M2541" t="n">
        <v>70.65000000000001</v>
      </c>
      <c r="N2541">
        <f>VLOOKUP(J2541,Products!$A$2:$C$49,3,FALSE)</f>
        <v/>
      </c>
      <c r="O2541">
        <f>K2541*L2541-M2541</f>
        <v/>
      </c>
      <c r="P2541">
        <f>TEXT(B2541,"yyyy-mm")</f>
        <v/>
      </c>
      <c r="Q2541">
        <f>IF(O2541&gt;=3000,"Large","Small")</f>
        <v/>
      </c>
      <c r="R2541">
        <f>INDEX(Products!$F$2:$F$49,MATCH(J2541,Products!$A$2:$A$49,0))</f>
        <v/>
      </c>
      <c r="S2541">
        <f>WEEKDAY(B2541,2)</f>
        <v/>
      </c>
    </row>
    <row r="2542">
      <c r="A2542" t="n">
        <v>510659</v>
      </c>
      <c r="B2542" s="6" t="n">
        <v>45968</v>
      </c>
      <c r="C2542" t="n">
        <v>16899</v>
      </c>
      <c r="D2542" t="inlineStr">
        <is>
          <t>Kolkata</t>
        </is>
      </c>
      <c r="E2542" t="inlineStr">
        <is>
          <t>East</t>
        </is>
      </c>
      <c r="F2542" t="inlineStr">
        <is>
          <t>Organic Search</t>
        </is>
      </c>
      <c r="G2542" t="inlineStr">
        <is>
          <t>Mobile Web</t>
        </is>
      </c>
      <c r="H2542" t="inlineStr">
        <is>
          <t>Credit Card</t>
        </is>
      </c>
      <c r="I2542" t="inlineStr">
        <is>
          <t>Delivered</t>
        </is>
      </c>
      <c r="J2542" t="n">
        <v>123</v>
      </c>
      <c r="K2542" t="n">
        <v>1</v>
      </c>
      <c r="L2542" t="n">
        <v>3464</v>
      </c>
      <c r="M2542" t="n">
        <v>0</v>
      </c>
      <c r="N2542">
        <f>VLOOKUP(J2542,Products!$A$2:$C$49,3,FALSE)</f>
        <v/>
      </c>
      <c r="O2542">
        <f>K2542*L2542-M2542</f>
        <v/>
      </c>
      <c r="P2542">
        <f>TEXT(B2542,"yyyy-mm")</f>
        <v/>
      </c>
      <c r="Q2542">
        <f>IF(O2542&gt;=3000,"Large","Small")</f>
        <v/>
      </c>
      <c r="R2542">
        <f>INDEX(Products!$F$2:$F$49,MATCH(J2542,Products!$A$2:$A$49,0))</f>
        <v/>
      </c>
      <c r="S2542">
        <f>WEEKDAY(B2542,2)</f>
        <v/>
      </c>
    </row>
    <row r="2543">
      <c r="A2543" t="n">
        <v>510660</v>
      </c>
      <c r="B2543" s="6" t="n">
        <v>45968</v>
      </c>
      <c r="C2543" t="n">
        <v>14251</v>
      </c>
      <c r="D2543" t="inlineStr">
        <is>
          <t>Indore</t>
        </is>
      </c>
      <c r="E2543" t="inlineStr">
        <is>
          <t>West</t>
        </is>
      </c>
      <c r="F2543" t="inlineStr">
        <is>
          <t>Referral</t>
        </is>
      </c>
      <c r="G2543" t="inlineStr">
        <is>
          <t>Mobile App</t>
        </is>
      </c>
      <c r="H2543" t="inlineStr">
        <is>
          <t>UPI</t>
        </is>
      </c>
      <c r="I2543" t="inlineStr">
        <is>
          <t>Delivered</t>
        </is>
      </c>
      <c r="J2543" t="n">
        <v>140</v>
      </c>
      <c r="K2543" t="n">
        <v>1</v>
      </c>
      <c r="L2543" t="n">
        <v>629</v>
      </c>
      <c r="M2543" t="n">
        <v>0</v>
      </c>
      <c r="N2543">
        <f>VLOOKUP(J2543,Products!$A$2:$C$49,3,FALSE)</f>
        <v/>
      </c>
      <c r="O2543">
        <f>K2543*L2543-M2543</f>
        <v/>
      </c>
      <c r="P2543">
        <f>TEXT(B2543,"yyyy-mm")</f>
        <v/>
      </c>
      <c r="Q2543">
        <f>IF(O2543&gt;=3000,"Large","Small")</f>
        <v/>
      </c>
      <c r="R2543">
        <f>INDEX(Products!$F$2:$F$49,MATCH(J2543,Products!$A$2:$A$49,0))</f>
        <v/>
      </c>
      <c r="S2543">
        <f>WEEKDAY(B2543,2)</f>
        <v/>
      </c>
    </row>
    <row r="2544">
      <c r="A2544" t="n">
        <v>510661</v>
      </c>
      <c r="B2544" s="6" t="n">
        <v>45968</v>
      </c>
      <c r="C2544" t="n">
        <v>16014</v>
      </c>
      <c r="D2544" t="inlineStr">
        <is>
          <t>Mumbai</t>
        </is>
      </c>
      <c r="E2544" t="inlineStr">
        <is>
          <t>West</t>
        </is>
      </c>
      <c r="F2544" t="inlineStr">
        <is>
          <t>Referral</t>
        </is>
      </c>
      <c r="G2544" t="inlineStr">
        <is>
          <t>Desktop</t>
        </is>
      </c>
      <c r="H2544" t="inlineStr">
        <is>
          <t>UPI</t>
        </is>
      </c>
      <c r="I2544" t="inlineStr">
        <is>
          <t>Delivered</t>
        </is>
      </c>
      <c r="J2544" t="n">
        <v>144</v>
      </c>
      <c r="K2544" t="n">
        <v>3</v>
      </c>
      <c r="L2544" t="n">
        <v>3149</v>
      </c>
      <c r="M2544" t="n">
        <v>0</v>
      </c>
      <c r="N2544">
        <f>VLOOKUP(J2544,Products!$A$2:$C$49,3,FALSE)</f>
        <v/>
      </c>
      <c r="O2544">
        <f>K2544*L2544-M2544</f>
        <v/>
      </c>
      <c r="P2544">
        <f>TEXT(B2544,"yyyy-mm")</f>
        <v/>
      </c>
      <c r="Q2544">
        <f>IF(O2544&gt;=3000,"Large","Small")</f>
        <v/>
      </c>
      <c r="R2544">
        <f>INDEX(Products!$F$2:$F$49,MATCH(J2544,Products!$A$2:$A$49,0))</f>
        <v/>
      </c>
      <c r="S2544">
        <f>WEEKDAY(B2544,2)</f>
        <v/>
      </c>
    </row>
    <row r="2545">
      <c r="A2545" t="n">
        <v>510662</v>
      </c>
      <c r="B2545" s="6" t="n">
        <v>45968</v>
      </c>
      <c r="C2545" t="n">
        <v>17206</v>
      </c>
      <c r="D2545" t="inlineStr">
        <is>
          <t>Jaipur</t>
        </is>
      </c>
      <c r="E2545" t="inlineStr">
        <is>
          <t>North</t>
        </is>
      </c>
      <c r="F2545" t="inlineStr">
        <is>
          <t>Paid Search</t>
        </is>
      </c>
      <c r="G2545" t="inlineStr">
        <is>
          <t>Mobile App</t>
        </is>
      </c>
      <c r="H2545" t="inlineStr">
        <is>
          <t>Net Banking</t>
        </is>
      </c>
      <c r="I2545" t="inlineStr">
        <is>
          <t>Delivered</t>
        </is>
      </c>
      <c r="J2545" t="n">
        <v>145</v>
      </c>
      <c r="K2545" t="n">
        <v>1</v>
      </c>
      <c r="L2545" t="n">
        <v>629</v>
      </c>
      <c r="M2545" t="n">
        <v>0</v>
      </c>
      <c r="N2545">
        <f>VLOOKUP(J2545,Products!$A$2:$C$49,3,FALSE)</f>
        <v/>
      </c>
      <c r="O2545">
        <f>K2545*L2545-M2545</f>
        <v/>
      </c>
      <c r="P2545">
        <f>TEXT(B2545,"yyyy-mm")</f>
        <v/>
      </c>
      <c r="Q2545">
        <f>IF(O2545&gt;=3000,"Large","Small")</f>
        <v/>
      </c>
      <c r="R2545">
        <f>INDEX(Products!$F$2:$F$49,MATCH(J2545,Products!$A$2:$A$49,0))</f>
        <v/>
      </c>
      <c r="S2545">
        <f>WEEKDAY(B2545,2)</f>
        <v/>
      </c>
    </row>
    <row r="2546">
      <c r="A2546" t="n">
        <v>510663</v>
      </c>
      <c r="B2546" s="6" t="n">
        <v>45968</v>
      </c>
      <c r="C2546" t="n">
        <v>17225</v>
      </c>
      <c r="D2546" t="inlineStr">
        <is>
          <t>Hyderabad</t>
        </is>
      </c>
      <c r="E2546" t="inlineStr">
        <is>
          <t>South</t>
        </is>
      </c>
      <c r="F2546" t="inlineStr">
        <is>
          <t>Organic Search</t>
        </is>
      </c>
      <c r="G2546" t="inlineStr">
        <is>
          <t>Mobile Web</t>
        </is>
      </c>
      <c r="H2546" t="inlineStr">
        <is>
          <t>UPI</t>
        </is>
      </c>
      <c r="I2546" t="inlineStr">
        <is>
          <t>Delivered</t>
        </is>
      </c>
      <c r="J2546" t="n">
        <v>122</v>
      </c>
      <c r="K2546" t="n">
        <v>1</v>
      </c>
      <c r="L2546" t="n">
        <v>1994</v>
      </c>
      <c r="M2546" t="n">
        <v>299.1</v>
      </c>
      <c r="N2546">
        <f>VLOOKUP(J2546,Products!$A$2:$C$49,3,FALSE)</f>
        <v/>
      </c>
      <c r="O2546">
        <f>K2546*L2546-M2546</f>
        <v/>
      </c>
      <c r="P2546">
        <f>TEXT(B2546,"yyyy-mm")</f>
        <v/>
      </c>
      <c r="Q2546">
        <f>IF(O2546&gt;=3000,"Large","Small")</f>
        <v/>
      </c>
      <c r="R2546">
        <f>INDEX(Products!$F$2:$F$49,MATCH(J2546,Products!$A$2:$A$49,0))</f>
        <v/>
      </c>
      <c r="S2546">
        <f>WEEKDAY(B2546,2)</f>
        <v/>
      </c>
    </row>
    <row r="2547">
      <c r="A2547" t="n">
        <v>510664</v>
      </c>
      <c r="B2547" s="6" t="n">
        <v>45968</v>
      </c>
      <c r="C2547" t="n">
        <v>11967</v>
      </c>
      <c r="D2547" t="inlineStr">
        <is>
          <t>Mumbai</t>
        </is>
      </c>
      <c r="E2547" t="inlineStr">
        <is>
          <t>West</t>
        </is>
      </c>
      <c r="F2547" t="inlineStr">
        <is>
          <t>Organic Search</t>
        </is>
      </c>
      <c r="G2547" t="inlineStr">
        <is>
          <t>Mobile Web</t>
        </is>
      </c>
      <c r="H2547" t="inlineStr">
        <is>
          <t>Cash on Delivery</t>
        </is>
      </c>
      <c r="I2547" t="inlineStr">
        <is>
          <t>Returned</t>
        </is>
      </c>
      <c r="J2547" t="n">
        <v>131</v>
      </c>
      <c r="K2547" t="n">
        <v>1</v>
      </c>
      <c r="L2547" t="n">
        <v>314</v>
      </c>
      <c r="M2547" t="n">
        <v>0</v>
      </c>
      <c r="N2547">
        <f>VLOOKUP(J2547,Products!$A$2:$C$49,3,FALSE)</f>
        <v/>
      </c>
      <c r="O2547">
        <f>K2547*L2547-M2547</f>
        <v/>
      </c>
      <c r="P2547">
        <f>TEXT(B2547,"yyyy-mm")</f>
        <v/>
      </c>
      <c r="Q2547">
        <f>IF(O2547&gt;=3000,"Large","Small")</f>
        <v/>
      </c>
      <c r="R2547">
        <f>INDEX(Products!$F$2:$F$49,MATCH(J2547,Products!$A$2:$A$49,0))</f>
        <v/>
      </c>
      <c r="S2547">
        <f>WEEKDAY(B2547,2)</f>
        <v/>
      </c>
    </row>
    <row r="2548">
      <c r="A2548" t="n">
        <v>510664</v>
      </c>
      <c r="B2548" s="6" t="n">
        <v>45968</v>
      </c>
      <c r="C2548" t="n">
        <v>11967</v>
      </c>
      <c r="D2548" t="inlineStr">
        <is>
          <t>Mumbai</t>
        </is>
      </c>
      <c r="E2548" t="inlineStr">
        <is>
          <t>West</t>
        </is>
      </c>
      <c r="F2548" t="inlineStr">
        <is>
          <t>Organic Search</t>
        </is>
      </c>
      <c r="G2548" t="inlineStr">
        <is>
          <t>Mobile Web</t>
        </is>
      </c>
      <c r="H2548" t="inlineStr">
        <is>
          <t>Cash on Delivery</t>
        </is>
      </c>
      <c r="I2548" t="inlineStr">
        <is>
          <t>Returned</t>
        </is>
      </c>
      <c r="J2548" t="n">
        <v>118</v>
      </c>
      <c r="K2548" t="n">
        <v>2</v>
      </c>
      <c r="L2548" t="n">
        <v>944</v>
      </c>
      <c r="M2548" t="n">
        <v>0</v>
      </c>
      <c r="N2548">
        <f>VLOOKUP(J2548,Products!$A$2:$C$49,3,FALSE)</f>
        <v/>
      </c>
      <c r="O2548">
        <f>K2548*L2548-M2548</f>
        <v/>
      </c>
      <c r="P2548">
        <f>TEXT(B2548,"yyyy-mm")</f>
        <v/>
      </c>
      <c r="Q2548">
        <f>IF(O2548&gt;=3000,"Large","Small")</f>
        <v/>
      </c>
      <c r="R2548">
        <f>INDEX(Products!$F$2:$F$49,MATCH(J2548,Products!$A$2:$A$49,0))</f>
        <v/>
      </c>
      <c r="S2548">
        <f>WEEKDAY(B2548,2)</f>
        <v/>
      </c>
    </row>
    <row r="2549">
      <c r="A2549" t="n">
        <v>510665</v>
      </c>
      <c r="B2549" s="6" t="n">
        <v>45968</v>
      </c>
      <c r="C2549" t="n">
        <v>17124</v>
      </c>
      <c r="D2549" t="inlineStr">
        <is>
          <t>Chennai</t>
        </is>
      </c>
      <c r="E2549" t="inlineStr">
        <is>
          <t>South</t>
        </is>
      </c>
      <c r="F2549" t="inlineStr">
        <is>
          <t>Paid Search</t>
        </is>
      </c>
      <c r="G2549" t="inlineStr">
        <is>
          <t>Mobile Web</t>
        </is>
      </c>
      <c r="H2549" t="inlineStr">
        <is>
          <t>Net Banking</t>
        </is>
      </c>
      <c r="I2549" t="inlineStr">
        <is>
          <t>Delivered</t>
        </is>
      </c>
      <c r="J2549" t="n">
        <v>132</v>
      </c>
      <c r="K2549" t="n">
        <v>1</v>
      </c>
      <c r="L2549" t="n">
        <v>471</v>
      </c>
      <c r="M2549" t="n">
        <v>0</v>
      </c>
      <c r="N2549">
        <f>VLOOKUP(J2549,Products!$A$2:$C$49,3,FALSE)</f>
        <v/>
      </c>
      <c r="O2549">
        <f>K2549*L2549-M2549</f>
        <v/>
      </c>
      <c r="P2549">
        <f>TEXT(B2549,"yyyy-mm")</f>
        <v/>
      </c>
      <c r="Q2549">
        <f>IF(O2549&gt;=3000,"Large","Small")</f>
        <v/>
      </c>
      <c r="R2549">
        <f>INDEX(Products!$F$2:$F$49,MATCH(J2549,Products!$A$2:$A$49,0))</f>
        <v/>
      </c>
      <c r="S2549">
        <f>WEEKDAY(B2549,2)</f>
        <v/>
      </c>
    </row>
    <row r="2550">
      <c r="A2550" t="n">
        <v>510666</v>
      </c>
      <c r="B2550" s="6" t="n">
        <v>45968</v>
      </c>
      <c r="C2550" t="n">
        <v>17216</v>
      </c>
      <c r="D2550" t="inlineStr">
        <is>
          <t>Kolkata</t>
        </is>
      </c>
      <c r="E2550" t="inlineStr">
        <is>
          <t>East</t>
        </is>
      </c>
      <c r="F2550" t="inlineStr">
        <is>
          <t>Paid Search</t>
        </is>
      </c>
      <c r="G2550" t="inlineStr">
        <is>
          <t>Mobile Web</t>
        </is>
      </c>
      <c r="H2550" t="inlineStr">
        <is>
          <t>Cash on Delivery</t>
        </is>
      </c>
      <c r="I2550" t="inlineStr">
        <is>
          <t>Delivered</t>
        </is>
      </c>
      <c r="J2550" t="n">
        <v>128</v>
      </c>
      <c r="K2550" t="n">
        <v>1</v>
      </c>
      <c r="L2550" t="n">
        <v>1049</v>
      </c>
      <c r="M2550" t="n">
        <v>157.35</v>
      </c>
      <c r="N2550">
        <f>VLOOKUP(J2550,Products!$A$2:$C$49,3,FALSE)</f>
        <v/>
      </c>
      <c r="O2550">
        <f>K2550*L2550-M2550</f>
        <v/>
      </c>
      <c r="P2550">
        <f>TEXT(B2550,"yyyy-mm")</f>
        <v/>
      </c>
      <c r="Q2550">
        <f>IF(O2550&gt;=3000,"Large","Small")</f>
        <v/>
      </c>
      <c r="R2550">
        <f>INDEX(Products!$F$2:$F$49,MATCH(J2550,Products!$A$2:$A$49,0))</f>
        <v/>
      </c>
      <c r="S2550">
        <f>WEEKDAY(B2550,2)</f>
        <v/>
      </c>
    </row>
    <row r="2551">
      <c r="A2551" t="n">
        <v>510667</v>
      </c>
      <c r="B2551" s="6" t="n">
        <v>45968</v>
      </c>
      <c r="C2551" t="n">
        <v>17227</v>
      </c>
      <c r="D2551" t="inlineStr">
        <is>
          <t>Kolkata</t>
        </is>
      </c>
      <c r="E2551" t="inlineStr">
        <is>
          <t>East</t>
        </is>
      </c>
      <c r="F2551" t="inlineStr">
        <is>
          <t>Paid Social</t>
        </is>
      </c>
      <c r="G2551" t="inlineStr">
        <is>
          <t>Mobile App</t>
        </is>
      </c>
      <c r="H2551" t="inlineStr">
        <is>
          <t>UPI</t>
        </is>
      </c>
      <c r="I2551" t="inlineStr">
        <is>
          <t>Delivered</t>
        </is>
      </c>
      <c r="J2551" t="n">
        <v>138</v>
      </c>
      <c r="K2551" t="n">
        <v>1</v>
      </c>
      <c r="L2551" t="n">
        <v>419</v>
      </c>
      <c r="M2551" t="n">
        <v>20.95</v>
      </c>
      <c r="N2551">
        <f>VLOOKUP(J2551,Products!$A$2:$C$49,3,FALSE)</f>
        <v/>
      </c>
      <c r="O2551">
        <f>K2551*L2551-M2551</f>
        <v/>
      </c>
      <c r="P2551">
        <f>TEXT(B2551,"yyyy-mm")</f>
        <v/>
      </c>
      <c r="Q2551">
        <f>IF(O2551&gt;=3000,"Large","Small")</f>
        <v/>
      </c>
      <c r="R2551">
        <f>INDEX(Products!$F$2:$F$49,MATCH(J2551,Products!$A$2:$A$49,0))</f>
        <v/>
      </c>
      <c r="S2551">
        <f>WEEKDAY(B2551,2)</f>
        <v/>
      </c>
    </row>
    <row r="2552">
      <c r="A2552" t="n">
        <v>510668</v>
      </c>
      <c r="B2552" s="6" t="n">
        <v>45968</v>
      </c>
      <c r="C2552" t="n">
        <v>17226</v>
      </c>
      <c r="D2552" t="inlineStr">
        <is>
          <t>Jaipur</t>
        </is>
      </c>
      <c r="E2552" t="inlineStr">
        <is>
          <t>North</t>
        </is>
      </c>
      <c r="F2552" t="inlineStr">
        <is>
          <t>Organic Search</t>
        </is>
      </c>
      <c r="G2552" t="inlineStr">
        <is>
          <t>Mobile Web</t>
        </is>
      </c>
      <c r="H2552" t="inlineStr">
        <is>
          <t>UPI</t>
        </is>
      </c>
      <c r="I2552" t="inlineStr">
        <is>
          <t>Delivered</t>
        </is>
      </c>
      <c r="J2552" t="n">
        <v>132</v>
      </c>
      <c r="K2552" t="n">
        <v>1</v>
      </c>
      <c r="L2552" t="n">
        <v>471</v>
      </c>
      <c r="M2552" t="n">
        <v>0</v>
      </c>
      <c r="N2552">
        <f>VLOOKUP(J2552,Products!$A$2:$C$49,3,FALSE)</f>
        <v/>
      </c>
      <c r="O2552">
        <f>K2552*L2552-M2552</f>
        <v/>
      </c>
      <c r="P2552">
        <f>TEXT(B2552,"yyyy-mm")</f>
        <v/>
      </c>
      <c r="Q2552">
        <f>IF(O2552&gt;=3000,"Large","Small")</f>
        <v/>
      </c>
      <c r="R2552">
        <f>INDEX(Products!$F$2:$F$49,MATCH(J2552,Products!$A$2:$A$49,0))</f>
        <v/>
      </c>
      <c r="S2552">
        <f>WEEKDAY(B2552,2)</f>
        <v/>
      </c>
    </row>
    <row r="2553">
      <c r="A2553" t="n">
        <v>510669</v>
      </c>
      <c r="B2553" s="6" t="n">
        <v>45968</v>
      </c>
      <c r="C2553" t="n">
        <v>15964</v>
      </c>
      <c r="D2553" t="inlineStr">
        <is>
          <t>Kolkata</t>
        </is>
      </c>
      <c r="E2553" t="inlineStr">
        <is>
          <t>East</t>
        </is>
      </c>
      <c r="F2553" t="inlineStr">
        <is>
          <t>Paid Social</t>
        </is>
      </c>
      <c r="G2553" t="inlineStr">
        <is>
          <t>Mobile App</t>
        </is>
      </c>
      <c r="H2553" t="inlineStr">
        <is>
          <t>Net Banking</t>
        </is>
      </c>
      <c r="I2553" t="inlineStr">
        <is>
          <t>Delivered</t>
        </is>
      </c>
      <c r="J2553" t="n">
        <v>105</v>
      </c>
      <c r="K2553" t="n">
        <v>1</v>
      </c>
      <c r="L2553" t="n">
        <v>2414</v>
      </c>
      <c r="M2553" t="n">
        <v>0</v>
      </c>
      <c r="N2553">
        <f>VLOOKUP(J2553,Products!$A$2:$C$49,3,FALSE)</f>
        <v/>
      </c>
      <c r="O2553">
        <f>K2553*L2553-M2553</f>
        <v/>
      </c>
      <c r="P2553">
        <f>TEXT(B2553,"yyyy-mm")</f>
        <v/>
      </c>
      <c r="Q2553">
        <f>IF(O2553&gt;=3000,"Large","Small")</f>
        <v/>
      </c>
      <c r="R2553">
        <f>INDEX(Products!$F$2:$F$49,MATCH(J2553,Products!$A$2:$A$49,0))</f>
        <v/>
      </c>
      <c r="S2553">
        <f>WEEKDAY(B2553,2)</f>
        <v/>
      </c>
    </row>
    <row r="2554">
      <c r="A2554" t="n">
        <v>510670</v>
      </c>
      <c r="B2554" s="6" t="n">
        <v>45968</v>
      </c>
      <c r="C2554" t="n">
        <v>17214</v>
      </c>
      <c r="D2554" t="inlineStr">
        <is>
          <t>Delhi</t>
        </is>
      </c>
      <c r="E2554" t="inlineStr">
        <is>
          <t>North</t>
        </is>
      </c>
      <c r="F2554" t="inlineStr">
        <is>
          <t>Paid Social</t>
        </is>
      </c>
      <c r="G2554" t="inlineStr">
        <is>
          <t>Mobile App</t>
        </is>
      </c>
      <c r="H2554" t="inlineStr">
        <is>
          <t>UPI</t>
        </is>
      </c>
      <c r="I2554" t="inlineStr">
        <is>
          <t>Delivered</t>
        </is>
      </c>
      <c r="J2554" t="n">
        <v>144</v>
      </c>
      <c r="K2554" t="n">
        <v>2</v>
      </c>
      <c r="L2554" t="n">
        <v>3149</v>
      </c>
      <c r="M2554" t="n">
        <v>0</v>
      </c>
      <c r="N2554">
        <f>VLOOKUP(J2554,Products!$A$2:$C$49,3,FALSE)</f>
        <v/>
      </c>
      <c r="O2554">
        <f>K2554*L2554-M2554</f>
        <v/>
      </c>
      <c r="P2554">
        <f>TEXT(B2554,"yyyy-mm")</f>
        <v/>
      </c>
      <c r="Q2554">
        <f>IF(O2554&gt;=3000,"Large","Small")</f>
        <v/>
      </c>
      <c r="R2554">
        <f>INDEX(Products!$F$2:$F$49,MATCH(J2554,Products!$A$2:$A$49,0))</f>
        <v/>
      </c>
      <c r="S2554">
        <f>WEEKDAY(B2554,2)</f>
        <v/>
      </c>
    </row>
    <row r="2555">
      <c r="A2555" t="n">
        <v>510670</v>
      </c>
      <c r="B2555" s="6" t="n">
        <v>45968</v>
      </c>
      <c r="C2555" t="n">
        <v>17214</v>
      </c>
      <c r="D2555" t="inlineStr">
        <is>
          <t>Delhi</t>
        </is>
      </c>
      <c r="E2555" t="inlineStr">
        <is>
          <t>North</t>
        </is>
      </c>
      <c r="F2555" t="inlineStr">
        <is>
          <t>Paid Social</t>
        </is>
      </c>
      <c r="G2555" t="inlineStr">
        <is>
          <t>Mobile App</t>
        </is>
      </c>
      <c r="H2555" t="inlineStr">
        <is>
          <t>UPI</t>
        </is>
      </c>
      <c r="I2555" t="inlineStr">
        <is>
          <t>Delivered</t>
        </is>
      </c>
      <c r="J2555" t="n">
        <v>138</v>
      </c>
      <c r="K2555" t="n">
        <v>1</v>
      </c>
      <c r="L2555" t="n">
        <v>419</v>
      </c>
      <c r="M2555" t="n">
        <v>0</v>
      </c>
      <c r="N2555">
        <f>VLOOKUP(J2555,Products!$A$2:$C$49,3,FALSE)</f>
        <v/>
      </c>
      <c r="O2555">
        <f>K2555*L2555-M2555</f>
        <v/>
      </c>
      <c r="P2555">
        <f>TEXT(B2555,"yyyy-mm")</f>
        <v/>
      </c>
      <c r="Q2555">
        <f>IF(O2555&gt;=3000,"Large","Small")</f>
        <v/>
      </c>
      <c r="R2555">
        <f>INDEX(Products!$F$2:$F$49,MATCH(J2555,Products!$A$2:$A$49,0))</f>
        <v/>
      </c>
      <c r="S2555">
        <f>WEEKDAY(B2555,2)</f>
        <v/>
      </c>
    </row>
    <row r="2556">
      <c r="A2556" t="n">
        <v>510671</v>
      </c>
      <c r="B2556" s="6" t="n">
        <v>45968</v>
      </c>
      <c r="C2556" t="n">
        <v>17209</v>
      </c>
      <c r="D2556" t="inlineStr">
        <is>
          <t>Mumbai</t>
        </is>
      </c>
      <c r="E2556" t="inlineStr">
        <is>
          <t>West</t>
        </is>
      </c>
      <c r="F2556" t="inlineStr">
        <is>
          <t>Referral</t>
        </is>
      </c>
      <c r="G2556" t="inlineStr">
        <is>
          <t>Mobile App</t>
        </is>
      </c>
      <c r="H2556" t="inlineStr">
        <is>
          <t>UPI</t>
        </is>
      </c>
      <c r="I2556" t="inlineStr">
        <is>
          <t>Delivered</t>
        </is>
      </c>
      <c r="J2556" t="n">
        <v>139</v>
      </c>
      <c r="K2556" t="n">
        <v>1</v>
      </c>
      <c r="L2556" t="n">
        <v>366</v>
      </c>
      <c r="M2556" t="n">
        <v>54.9</v>
      </c>
      <c r="N2556">
        <f>VLOOKUP(J2556,Products!$A$2:$C$49,3,FALSE)</f>
        <v/>
      </c>
      <c r="O2556">
        <f>K2556*L2556-M2556</f>
        <v/>
      </c>
      <c r="P2556">
        <f>TEXT(B2556,"yyyy-mm")</f>
        <v/>
      </c>
      <c r="Q2556">
        <f>IF(O2556&gt;=3000,"Large","Small")</f>
        <v/>
      </c>
      <c r="R2556">
        <f>INDEX(Products!$F$2:$F$49,MATCH(J2556,Products!$A$2:$A$49,0))</f>
        <v/>
      </c>
      <c r="S2556">
        <f>WEEKDAY(B2556,2)</f>
        <v/>
      </c>
    </row>
    <row r="2557">
      <c r="A2557" t="n">
        <v>510671</v>
      </c>
      <c r="B2557" s="6" t="n">
        <v>45968</v>
      </c>
      <c r="C2557" t="n">
        <v>17209</v>
      </c>
      <c r="D2557" t="inlineStr">
        <is>
          <t>Mumbai</t>
        </is>
      </c>
      <c r="E2557" t="inlineStr">
        <is>
          <t>West</t>
        </is>
      </c>
      <c r="F2557" t="inlineStr">
        <is>
          <t>Referral</t>
        </is>
      </c>
      <c r="G2557" t="inlineStr">
        <is>
          <t>Mobile App</t>
        </is>
      </c>
      <c r="H2557" t="inlineStr">
        <is>
          <t>UPI</t>
        </is>
      </c>
      <c r="I2557" t="inlineStr">
        <is>
          <t>Delivered</t>
        </is>
      </c>
      <c r="J2557" t="n">
        <v>126</v>
      </c>
      <c r="K2557" t="n">
        <v>1</v>
      </c>
      <c r="L2557" t="n">
        <v>471</v>
      </c>
      <c r="M2557" t="n">
        <v>70.65000000000001</v>
      </c>
      <c r="N2557">
        <f>VLOOKUP(J2557,Products!$A$2:$C$49,3,FALSE)</f>
        <v/>
      </c>
      <c r="O2557">
        <f>K2557*L2557-M2557</f>
        <v/>
      </c>
      <c r="P2557">
        <f>TEXT(B2557,"yyyy-mm")</f>
        <v/>
      </c>
      <c r="Q2557">
        <f>IF(O2557&gt;=3000,"Large","Small")</f>
        <v/>
      </c>
      <c r="R2557">
        <f>INDEX(Products!$F$2:$F$49,MATCH(J2557,Products!$A$2:$A$49,0))</f>
        <v/>
      </c>
      <c r="S2557">
        <f>WEEKDAY(B2557,2)</f>
        <v/>
      </c>
    </row>
    <row r="2558">
      <c r="A2558" t="n">
        <v>510672</v>
      </c>
      <c r="B2558" s="6" t="n">
        <v>45968</v>
      </c>
      <c r="C2558" t="n">
        <v>12808</v>
      </c>
      <c r="D2558" t="inlineStr">
        <is>
          <t>Noida</t>
        </is>
      </c>
      <c r="E2558" t="inlineStr">
        <is>
          <t>North</t>
        </is>
      </c>
      <c r="F2558" t="inlineStr">
        <is>
          <t>Organic Search</t>
        </is>
      </c>
      <c r="G2558" t="inlineStr">
        <is>
          <t>Mobile App</t>
        </is>
      </c>
      <c r="H2558" t="inlineStr">
        <is>
          <t>Net Banking</t>
        </is>
      </c>
      <c r="I2558" t="inlineStr">
        <is>
          <t>Delivered</t>
        </is>
      </c>
      <c r="J2558" t="n">
        <v>123</v>
      </c>
      <c r="K2558" t="n">
        <v>1</v>
      </c>
      <c r="L2558" t="n">
        <v>3464</v>
      </c>
      <c r="M2558" t="n">
        <v>0</v>
      </c>
      <c r="N2558">
        <f>VLOOKUP(J2558,Products!$A$2:$C$49,3,FALSE)</f>
        <v/>
      </c>
      <c r="O2558">
        <f>K2558*L2558-M2558</f>
        <v/>
      </c>
      <c r="P2558">
        <f>TEXT(B2558,"yyyy-mm")</f>
        <v/>
      </c>
      <c r="Q2558">
        <f>IF(O2558&gt;=3000,"Large","Small")</f>
        <v/>
      </c>
      <c r="R2558">
        <f>INDEX(Products!$F$2:$F$49,MATCH(J2558,Products!$A$2:$A$49,0))</f>
        <v/>
      </c>
      <c r="S2558">
        <f>WEEKDAY(B2558,2)</f>
        <v/>
      </c>
    </row>
    <row r="2559">
      <c r="A2559" t="n">
        <v>510672</v>
      </c>
      <c r="B2559" s="6" t="n">
        <v>45968</v>
      </c>
      <c r="C2559" t="n">
        <v>12808</v>
      </c>
      <c r="D2559" t="inlineStr">
        <is>
          <t>Noida</t>
        </is>
      </c>
      <c r="E2559" t="inlineStr">
        <is>
          <t>North</t>
        </is>
      </c>
      <c r="F2559" t="inlineStr">
        <is>
          <t>Organic Search</t>
        </is>
      </c>
      <c r="G2559" t="inlineStr">
        <is>
          <t>Mobile App</t>
        </is>
      </c>
      <c r="H2559" t="inlineStr">
        <is>
          <t>Net Banking</t>
        </is>
      </c>
      <c r="I2559" t="inlineStr">
        <is>
          <t>Delivered</t>
        </is>
      </c>
      <c r="J2559" t="n">
        <v>106</v>
      </c>
      <c r="K2559" t="n">
        <v>1</v>
      </c>
      <c r="L2559" t="n">
        <v>1574</v>
      </c>
      <c r="M2559" t="n">
        <v>0</v>
      </c>
      <c r="N2559">
        <f>VLOOKUP(J2559,Products!$A$2:$C$49,3,FALSE)</f>
        <v/>
      </c>
      <c r="O2559">
        <f>K2559*L2559-M2559</f>
        <v/>
      </c>
      <c r="P2559">
        <f>TEXT(B2559,"yyyy-mm")</f>
        <v/>
      </c>
      <c r="Q2559">
        <f>IF(O2559&gt;=3000,"Large","Small")</f>
        <v/>
      </c>
      <c r="R2559">
        <f>INDEX(Products!$F$2:$F$49,MATCH(J2559,Products!$A$2:$A$49,0))</f>
        <v/>
      </c>
      <c r="S2559">
        <f>WEEKDAY(B2559,2)</f>
        <v/>
      </c>
    </row>
    <row r="2560">
      <c r="A2560" t="n">
        <v>510672</v>
      </c>
      <c r="B2560" s="6" t="n">
        <v>45968</v>
      </c>
      <c r="C2560" t="n">
        <v>12808</v>
      </c>
      <c r="D2560" t="inlineStr">
        <is>
          <t>Noida</t>
        </is>
      </c>
      <c r="E2560" t="inlineStr">
        <is>
          <t>North</t>
        </is>
      </c>
      <c r="F2560" t="inlineStr">
        <is>
          <t>Organic Search</t>
        </is>
      </c>
      <c r="G2560" t="inlineStr">
        <is>
          <t>Mobile App</t>
        </is>
      </c>
      <c r="H2560" t="inlineStr">
        <is>
          <t>Net Banking</t>
        </is>
      </c>
      <c r="I2560" t="inlineStr">
        <is>
          <t>Delivered</t>
        </is>
      </c>
      <c r="J2560" t="n">
        <v>102</v>
      </c>
      <c r="K2560" t="n">
        <v>2</v>
      </c>
      <c r="L2560" t="n">
        <v>3674</v>
      </c>
      <c r="M2560" t="n">
        <v>0</v>
      </c>
      <c r="N2560">
        <f>VLOOKUP(J2560,Products!$A$2:$C$49,3,FALSE)</f>
        <v/>
      </c>
      <c r="O2560">
        <f>K2560*L2560-M2560</f>
        <v/>
      </c>
      <c r="P2560">
        <f>TEXT(B2560,"yyyy-mm")</f>
        <v/>
      </c>
      <c r="Q2560">
        <f>IF(O2560&gt;=3000,"Large","Small")</f>
        <v/>
      </c>
      <c r="R2560">
        <f>INDEX(Products!$F$2:$F$49,MATCH(J2560,Products!$A$2:$A$49,0))</f>
        <v/>
      </c>
      <c r="S2560">
        <f>WEEKDAY(B2560,2)</f>
        <v/>
      </c>
    </row>
    <row r="2561">
      <c r="A2561" t="n">
        <v>510673</v>
      </c>
      <c r="B2561" s="6" t="n">
        <v>45968</v>
      </c>
      <c r="C2561" t="n">
        <v>16989</v>
      </c>
      <c r="D2561" t="inlineStr">
        <is>
          <t>Bengaluru</t>
        </is>
      </c>
      <c r="E2561" t="inlineStr">
        <is>
          <t>South</t>
        </is>
      </c>
      <c r="F2561" t="inlineStr">
        <is>
          <t>Paid Search</t>
        </is>
      </c>
      <c r="G2561" t="inlineStr">
        <is>
          <t>Mobile App</t>
        </is>
      </c>
      <c r="H2561" t="inlineStr">
        <is>
          <t>Cash on Delivery</t>
        </is>
      </c>
      <c r="I2561" t="inlineStr">
        <is>
          <t>Delivered</t>
        </is>
      </c>
      <c r="J2561" t="n">
        <v>130</v>
      </c>
      <c r="K2561" t="n">
        <v>1</v>
      </c>
      <c r="L2561" t="n">
        <v>734</v>
      </c>
      <c r="M2561" t="n">
        <v>0</v>
      </c>
      <c r="N2561">
        <f>VLOOKUP(J2561,Products!$A$2:$C$49,3,FALSE)</f>
        <v/>
      </c>
      <c r="O2561">
        <f>K2561*L2561-M2561</f>
        <v/>
      </c>
      <c r="P2561">
        <f>TEXT(B2561,"yyyy-mm")</f>
        <v/>
      </c>
      <c r="Q2561">
        <f>IF(O2561&gt;=3000,"Large","Small")</f>
        <v/>
      </c>
      <c r="R2561">
        <f>INDEX(Products!$F$2:$F$49,MATCH(J2561,Products!$A$2:$A$49,0))</f>
        <v/>
      </c>
      <c r="S2561">
        <f>WEEKDAY(B2561,2)</f>
        <v/>
      </c>
    </row>
    <row r="2562">
      <c r="A2562" t="n">
        <v>510673</v>
      </c>
      <c r="B2562" s="6" t="n">
        <v>45968</v>
      </c>
      <c r="C2562" t="n">
        <v>16989</v>
      </c>
      <c r="D2562" t="inlineStr">
        <is>
          <t>Bengaluru</t>
        </is>
      </c>
      <c r="E2562" t="inlineStr">
        <is>
          <t>South</t>
        </is>
      </c>
      <c r="F2562" t="inlineStr">
        <is>
          <t>Paid Search</t>
        </is>
      </c>
      <c r="G2562" t="inlineStr">
        <is>
          <t>Mobile App</t>
        </is>
      </c>
      <c r="H2562" t="inlineStr">
        <is>
          <t>Cash on Delivery</t>
        </is>
      </c>
      <c r="I2562" t="inlineStr">
        <is>
          <t>Delivered</t>
        </is>
      </c>
      <c r="J2562" t="n">
        <v>114</v>
      </c>
      <c r="K2562" t="n">
        <v>1</v>
      </c>
      <c r="L2562" t="n">
        <v>1259</v>
      </c>
      <c r="M2562" t="n">
        <v>0</v>
      </c>
      <c r="N2562">
        <f>VLOOKUP(J2562,Products!$A$2:$C$49,3,FALSE)</f>
        <v/>
      </c>
      <c r="O2562">
        <f>K2562*L2562-M2562</f>
        <v/>
      </c>
      <c r="P2562">
        <f>TEXT(B2562,"yyyy-mm")</f>
        <v/>
      </c>
      <c r="Q2562">
        <f>IF(O2562&gt;=3000,"Large","Small")</f>
        <v/>
      </c>
      <c r="R2562">
        <f>INDEX(Products!$F$2:$F$49,MATCH(J2562,Products!$A$2:$A$49,0))</f>
        <v/>
      </c>
      <c r="S2562">
        <f>WEEKDAY(B2562,2)</f>
        <v/>
      </c>
    </row>
    <row r="2563">
      <c r="A2563" t="n">
        <v>510674</v>
      </c>
      <c r="B2563" s="6" t="n">
        <v>45968</v>
      </c>
      <c r="C2563" t="n">
        <v>17103</v>
      </c>
      <c r="D2563" t="inlineStr">
        <is>
          <t>Hyderabad</t>
        </is>
      </c>
      <c r="E2563" t="inlineStr">
        <is>
          <t>South</t>
        </is>
      </c>
      <c r="F2563" t="inlineStr">
        <is>
          <t>Organic Search</t>
        </is>
      </c>
      <c r="G2563" t="inlineStr">
        <is>
          <t>Mobile Web</t>
        </is>
      </c>
      <c r="H2563" t="inlineStr">
        <is>
          <t>UPI</t>
        </is>
      </c>
      <c r="I2563" t="inlineStr">
        <is>
          <t>Delivered</t>
        </is>
      </c>
      <c r="J2563" t="n">
        <v>106</v>
      </c>
      <c r="K2563" t="n">
        <v>1</v>
      </c>
      <c r="L2563" t="n">
        <v>1574</v>
      </c>
      <c r="M2563" t="n">
        <v>0</v>
      </c>
      <c r="N2563">
        <f>VLOOKUP(J2563,Products!$A$2:$C$49,3,FALSE)</f>
        <v/>
      </c>
      <c r="O2563">
        <f>K2563*L2563-M2563</f>
        <v/>
      </c>
      <c r="P2563">
        <f>TEXT(B2563,"yyyy-mm")</f>
        <v/>
      </c>
      <c r="Q2563">
        <f>IF(O2563&gt;=3000,"Large","Small")</f>
        <v/>
      </c>
      <c r="R2563">
        <f>INDEX(Products!$F$2:$F$49,MATCH(J2563,Products!$A$2:$A$49,0))</f>
        <v/>
      </c>
      <c r="S2563">
        <f>WEEKDAY(B2563,2)</f>
        <v/>
      </c>
    </row>
    <row r="2564">
      <c r="A2564" t="n">
        <v>510674</v>
      </c>
      <c r="B2564" s="6" t="n">
        <v>45968</v>
      </c>
      <c r="C2564" t="n">
        <v>17103</v>
      </c>
      <c r="D2564" t="inlineStr">
        <is>
          <t>Hyderabad</t>
        </is>
      </c>
      <c r="E2564" t="inlineStr">
        <is>
          <t>South</t>
        </is>
      </c>
      <c r="F2564" t="inlineStr">
        <is>
          <t>Organic Search</t>
        </is>
      </c>
      <c r="G2564" t="inlineStr">
        <is>
          <t>Mobile Web</t>
        </is>
      </c>
      <c r="H2564" t="inlineStr">
        <is>
          <t>UPI</t>
        </is>
      </c>
      <c r="I2564" t="inlineStr">
        <is>
          <t>Delivered</t>
        </is>
      </c>
      <c r="J2564" t="n">
        <v>108</v>
      </c>
      <c r="K2564" t="n">
        <v>1</v>
      </c>
      <c r="L2564" t="n">
        <v>419</v>
      </c>
      <c r="M2564" t="n">
        <v>0</v>
      </c>
      <c r="N2564">
        <f>VLOOKUP(J2564,Products!$A$2:$C$49,3,FALSE)</f>
        <v/>
      </c>
      <c r="O2564">
        <f>K2564*L2564-M2564</f>
        <v/>
      </c>
      <c r="P2564">
        <f>TEXT(B2564,"yyyy-mm")</f>
        <v/>
      </c>
      <c r="Q2564">
        <f>IF(O2564&gt;=3000,"Large","Small")</f>
        <v/>
      </c>
      <c r="R2564">
        <f>INDEX(Products!$F$2:$F$49,MATCH(J2564,Products!$A$2:$A$49,0))</f>
        <v/>
      </c>
      <c r="S2564">
        <f>WEEKDAY(B2564,2)</f>
        <v/>
      </c>
    </row>
    <row r="2565">
      <c r="A2565" t="n">
        <v>510674</v>
      </c>
      <c r="B2565" s="6" t="n">
        <v>45968</v>
      </c>
      <c r="C2565" t="n">
        <v>17103</v>
      </c>
      <c r="D2565" t="inlineStr">
        <is>
          <t>Hyderabad</t>
        </is>
      </c>
      <c r="E2565" t="inlineStr">
        <is>
          <t>South</t>
        </is>
      </c>
      <c r="F2565" t="inlineStr">
        <is>
          <t>Organic Search</t>
        </is>
      </c>
      <c r="G2565" t="inlineStr">
        <is>
          <t>Mobile Web</t>
        </is>
      </c>
      <c r="H2565" t="inlineStr">
        <is>
          <t>UPI</t>
        </is>
      </c>
      <c r="I2565" t="inlineStr">
        <is>
          <t>Delivered</t>
        </is>
      </c>
      <c r="J2565" t="n">
        <v>126</v>
      </c>
      <c r="K2565" t="n">
        <v>1</v>
      </c>
      <c r="L2565" t="n">
        <v>471</v>
      </c>
      <c r="M2565" t="n">
        <v>0</v>
      </c>
      <c r="N2565">
        <f>VLOOKUP(J2565,Products!$A$2:$C$49,3,FALSE)</f>
        <v/>
      </c>
      <c r="O2565">
        <f>K2565*L2565-M2565</f>
        <v/>
      </c>
      <c r="P2565">
        <f>TEXT(B2565,"yyyy-mm")</f>
        <v/>
      </c>
      <c r="Q2565">
        <f>IF(O2565&gt;=3000,"Large","Small")</f>
        <v/>
      </c>
      <c r="R2565">
        <f>INDEX(Products!$F$2:$F$49,MATCH(J2565,Products!$A$2:$A$49,0))</f>
        <v/>
      </c>
      <c r="S2565">
        <f>WEEKDAY(B2565,2)</f>
        <v/>
      </c>
    </row>
    <row r="2566">
      <c r="A2566" t="n">
        <v>510674</v>
      </c>
      <c r="B2566" s="6" t="n">
        <v>45968</v>
      </c>
      <c r="C2566" t="n">
        <v>17103</v>
      </c>
      <c r="D2566" t="inlineStr">
        <is>
          <t>Hyderabad</t>
        </is>
      </c>
      <c r="E2566" t="inlineStr">
        <is>
          <t>South</t>
        </is>
      </c>
      <c r="F2566" t="inlineStr">
        <is>
          <t>Organic Search</t>
        </is>
      </c>
      <c r="G2566" t="inlineStr">
        <is>
          <t>Mobile Web</t>
        </is>
      </c>
      <c r="H2566" t="inlineStr">
        <is>
          <t>UPI</t>
        </is>
      </c>
      <c r="I2566" t="inlineStr">
        <is>
          <t>Delivered</t>
        </is>
      </c>
      <c r="J2566" t="n">
        <v>129</v>
      </c>
      <c r="K2566" t="n">
        <v>1</v>
      </c>
      <c r="L2566" t="n">
        <v>576</v>
      </c>
      <c r="M2566" t="n">
        <v>0</v>
      </c>
      <c r="N2566">
        <f>VLOOKUP(J2566,Products!$A$2:$C$49,3,FALSE)</f>
        <v/>
      </c>
      <c r="O2566">
        <f>K2566*L2566-M2566</f>
        <v/>
      </c>
      <c r="P2566">
        <f>TEXT(B2566,"yyyy-mm")</f>
        <v/>
      </c>
      <c r="Q2566">
        <f>IF(O2566&gt;=3000,"Large","Small")</f>
        <v/>
      </c>
      <c r="R2566">
        <f>INDEX(Products!$F$2:$F$49,MATCH(J2566,Products!$A$2:$A$49,0))</f>
        <v/>
      </c>
      <c r="S2566">
        <f>WEEKDAY(B2566,2)</f>
        <v/>
      </c>
    </row>
    <row r="2567">
      <c r="A2567" t="n">
        <v>510675</v>
      </c>
      <c r="B2567" s="6" t="n">
        <v>45968</v>
      </c>
      <c r="C2567" t="n">
        <v>17203</v>
      </c>
      <c r="D2567" t="inlineStr">
        <is>
          <t>Ahmedabad</t>
        </is>
      </c>
      <c r="E2567" t="inlineStr">
        <is>
          <t>West</t>
        </is>
      </c>
      <c r="F2567" t="inlineStr">
        <is>
          <t>Email</t>
        </is>
      </c>
      <c r="G2567" t="inlineStr">
        <is>
          <t>Mobile Web</t>
        </is>
      </c>
      <c r="H2567" t="inlineStr">
        <is>
          <t>UPI</t>
        </is>
      </c>
      <c r="I2567" t="inlineStr">
        <is>
          <t>Delivered</t>
        </is>
      </c>
      <c r="J2567" t="n">
        <v>117</v>
      </c>
      <c r="K2567" t="n">
        <v>1</v>
      </c>
      <c r="L2567" t="n">
        <v>3149</v>
      </c>
      <c r="M2567" t="n">
        <v>0</v>
      </c>
      <c r="N2567">
        <f>VLOOKUP(J2567,Products!$A$2:$C$49,3,FALSE)</f>
        <v/>
      </c>
      <c r="O2567">
        <f>K2567*L2567-M2567</f>
        <v/>
      </c>
      <c r="P2567">
        <f>TEXT(B2567,"yyyy-mm")</f>
        <v/>
      </c>
      <c r="Q2567">
        <f>IF(O2567&gt;=3000,"Large","Small")</f>
        <v/>
      </c>
      <c r="R2567">
        <f>INDEX(Products!$F$2:$F$49,MATCH(J2567,Products!$A$2:$A$49,0))</f>
        <v/>
      </c>
      <c r="S2567">
        <f>WEEKDAY(B2567,2)</f>
        <v/>
      </c>
    </row>
    <row r="2568">
      <c r="A2568" t="n">
        <v>510676</v>
      </c>
      <c r="B2568" s="6" t="n">
        <v>45968</v>
      </c>
      <c r="C2568" t="n">
        <v>14968</v>
      </c>
      <c r="D2568" t="inlineStr">
        <is>
          <t>Mumbai</t>
        </is>
      </c>
      <c r="E2568" t="inlineStr">
        <is>
          <t>West</t>
        </is>
      </c>
      <c r="F2568" t="inlineStr">
        <is>
          <t>Organic Search</t>
        </is>
      </c>
      <c r="G2568" t="inlineStr">
        <is>
          <t>Mobile Web</t>
        </is>
      </c>
      <c r="H2568" t="inlineStr">
        <is>
          <t>Credit Card</t>
        </is>
      </c>
      <c r="I2568" t="inlineStr">
        <is>
          <t>Delivered</t>
        </is>
      </c>
      <c r="J2568" t="n">
        <v>121</v>
      </c>
      <c r="K2568" t="n">
        <v>1</v>
      </c>
      <c r="L2568" t="n">
        <v>2939</v>
      </c>
      <c r="M2568" t="n">
        <v>0</v>
      </c>
      <c r="N2568">
        <f>VLOOKUP(J2568,Products!$A$2:$C$49,3,FALSE)</f>
        <v/>
      </c>
      <c r="O2568">
        <f>K2568*L2568-M2568</f>
        <v/>
      </c>
      <c r="P2568">
        <f>TEXT(B2568,"yyyy-mm")</f>
        <v/>
      </c>
      <c r="Q2568">
        <f>IF(O2568&gt;=3000,"Large","Small")</f>
        <v/>
      </c>
      <c r="R2568">
        <f>INDEX(Products!$F$2:$F$49,MATCH(J2568,Products!$A$2:$A$49,0))</f>
        <v/>
      </c>
      <c r="S2568">
        <f>WEEKDAY(B2568,2)</f>
        <v/>
      </c>
    </row>
    <row r="2569">
      <c r="A2569" t="n">
        <v>510676</v>
      </c>
      <c r="B2569" s="6" t="n">
        <v>45968</v>
      </c>
      <c r="C2569" t="n">
        <v>14968</v>
      </c>
      <c r="D2569" t="inlineStr">
        <is>
          <t>Mumbai</t>
        </is>
      </c>
      <c r="E2569" t="inlineStr">
        <is>
          <t>West</t>
        </is>
      </c>
      <c r="F2569" t="inlineStr">
        <is>
          <t>Organic Search</t>
        </is>
      </c>
      <c r="G2569" t="inlineStr">
        <is>
          <t>Mobile Web</t>
        </is>
      </c>
      <c r="H2569" t="inlineStr">
        <is>
          <t>Credit Card</t>
        </is>
      </c>
      <c r="I2569" t="inlineStr">
        <is>
          <t>Delivered</t>
        </is>
      </c>
      <c r="J2569" t="n">
        <v>144</v>
      </c>
      <c r="K2569" t="n">
        <v>1</v>
      </c>
      <c r="L2569" t="n">
        <v>3149</v>
      </c>
      <c r="M2569" t="n">
        <v>0</v>
      </c>
      <c r="N2569">
        <f>VLOOKUP(J2569,Products!$A$2:$C$49,3,FALSE)</f>
        <v/>
      </c>
      <c r="O2569">
        <f>K2569*L2569-M2569</f>
        <v/>
      </c>
      <c r="P2569">
        <f>TEXT(B2569,"yyyy-mm")</f>
        <v/>
      </c>
      <c r="Q2569">
        <f>IF(O2569&gt;=3000,"Large","Small")</f>
        <v/>
      </c>
      <c r="R2569">
        <f>INDEX(Products!$F$2:$F$49,MATCH(J2569,Products!$A$2:$A$49,0))</f>
        <v/>
      </c>
      <c r="S2569">
        <f>WEEKDAY(B2569,2)</f>
        <v/>
      </c>
    </row>
    <row r="2570">
      <c r="A2570" t="n">
        <v>510677</v>
      </c>
      <c r="B2570" s="6" t="n">
        <v>45968</v>
      </c>
      <c r="C2570" t="n">
        <v>17026</v>
      </c>
      <c r="D2570" t="inlineStr">
        <is>
          <t>Bengaluru</t>
        </is>
      </c>
      <c r="E2570" t="inlineStr">
        <is>
          <t>South</t>
        </is>
      </c>
      <c r="F2570" t="inlineStr">
        <is>
          <t>Paid Search</t>
        </is>
      </c>
      <c r="G2570" t="inlineStr">
        <is>
          <t>Mobile Web</t>
        </is>
      </c>
      <c r="H2570" t="inlineStr">
        <is>
          <t>UPI</t>
        </is>
      </c>
      <c r="I2570" t="inlineStr">
        <is>
          <t>Delivered</t>
        </is>
      </c>
      <c r="J2570" t="n">
        <v>120</v>
      </c>
      <c r="K2570" t="n">
        <v>1</v>
      </c>
      <c r="L2570" t="n">
        <v>734</v>
      </c>
      <c r="M2570" t="n">
        <v>0</v>
      </c>
      <c r="N2570">
        <f>VLOOKUP(J2570,Products!$A$2:$C$49,3,FALSE)</f>
        <v/>
      </c>
      <c r="O2570">
        <f>K2570*L2570-M2570</f>
        <v/>
      </c>
      <c r="P2570">
        <f>TEXT(B2570,"yyyy-mm")</f>
        <v/>
      </c>
      <c r="Q2570">
        <f>IF(O2570&gt;=3000,"Large","Small")</f>
        <v/>
      </c>
      <c r="R2570">
        <f>INDEX(Products!$F$2:$F$49,MATCH(J2570,Products!$A$2:$A$49,0))</f>
        <v/>
      </c>
      <c r="S2570">
        <f>WEEKDAY(B2570,2)</f>
        <v/>
      </c>
    </row>
    <row r="2571">
      <c r="A2571" t="n">
        <v>510678</v>
      </c>
      <c r="B2571" s="6" t="n">
        <v>45968</v>
      </c>
      <c r="C2571" t="n">
        <v>17184</v>
      </c>
      <c r="D2571" t="inlineStr">
        <is>
          <t>Indore</t>
        </is>
      </c>
      <c r="E2571" t="inlineStr">
        <is>
          <t>West</t>
        </is>
      </c>
      <c r="F2571" t="inlineStr">
        <is>
          <t>Referral</t>
        </is>
      </c>
      <c r="G2571" t="inlineStr">
        <is>
          <t>Mobile App</t>
        </is>
      </c>
      <c r="H2571" t="inlineStr">
        <is>
          <t>Cash on Delivery</t>
        </is>
      </c>
      <c r="I2571" t="inlineStr">
        <is>
          <t>Delivered</t>
        </is>
      </c>
      <c r="J2571" t="n">
        <v>111</v>
      </c>
      <c r="K2571" t="n">
        <v>1</v>
      </c>
      <c r="L2571" t="n">
        <v>524</v>
      </c>
      <c r="M2571" t="n">
        <v>0</v>
      </c>
      <c r="N2571">
        <f>VLOOKUP(J2571,Products!$A$2:$C$49,3,FALSE)</f>
        <v/>
      </c>
      <c r="O2571">
        <f>K2571*L2571-M2571</f>
        <v/>
      </c>
      <c r="P2571">
        <f>TEXT(B2571,"yyyy-mm")</f>
        <v/>
      </c>
      <c r="Q2571">
        <f>IF(O2571&gt;=3000,"Large","Small")</f>
        <v/>
      </c>
      <c r="R2571">
        <f>INDEX(Products!$F$2:$F$49,MATCH(J2571,Products!$A$2:$A$49,0))</f>
        <v/>
      </c>
      <c r="S2571">
        <f>WEEKDAY(B2571,2)</f>
        <v/>
      </c>
    </row>
    <row r="2572">
      <c r="A2572" t="n">
        <v>510678</v>
      </c>
      <c r="B2572" s="6" t="n">
        <v>45968</v>
      </c>
      <c r="C2572" t="n">
        <v>17184</v>
      </c>
      <c r="D2572" t="inlineStr">
        <is>
          <t>Indore</t>
        </is>
      </c>
      <c r="E2572" t="inlineStr">
        <is>
          <t>West</t>
        </is>
      </c>
      <c r="F2572" t="inlineStr">
        <is>
          <t>Referral</t>
        </is>
      </c>
      <c r="G2572" t="inlineStr">
        <is>
          <t>Mobile App</t>
        </is>
      </c>
      <c r="H2572" t="inlineStr">
        <is>
          <t>Cash on Delivery</t>
        </is>
      </c>
      <c r="I2572" t="inlineStr">
        <is>
          <t>Delivered</t>
        </is>
      </c>
      <c r="J2572" t="n">
        <v>117</v>
      </c>
      <c r="K2572" t="n">
        <v>1</v>
      </c>
      <c r="L2572" t="n">
        <v>3149</v>
      </c>
      <c r="M2572" t="n">
        <v>0</v>
      </c>
      <c r="N2572">
        <f>VLOOKUP(J2572,Products!$A$2:$C$49,3,FALSE)</f>
        <v/>
      </c>
      <c r="O2572">
        <f>K2572*L2572-M2572</f>
        <v/>
      </c>
      <c r="P2572">
        <f>TEXT(B2572,"yyyy-mm")</f>
        <v/>
      </c>
      <c r="Q2572">
        <f>IF(O2572&gt;=3000,"Large","Small")</f>
        <v/>
      </c>
      <c r="R2572">
        <f>INDEX(Products!$F$2:$F$49,MATCH(J2572,Products!$A$2:$A$49,0))</f>
        <v/>
      </c>
      <c r="S2572">
        <f>WEEKDAY(B2572,2)</f>
        <v/>
      </c>
    </row>
    <row r="2573">
      <c r="A2573" t="n">
        <v>510678</v>
      </c>
      <c r="B2573" s="6" t="n">
        <v>45968</v>
      </c>
      <c r="C2573" t="n">
        <v>17184</v>
      </c>
      <c r="D2573" t="inlineStr">
        <is>
          <t>Indore</t>
        </is>
      </c>
      <c r="E2573" t="inlineStr">
        <is>
          <t>West</t>
        </is>
      </c>
      <c r="F2573" t="inlineStr">
        <is>
          <t>Referral</t>
        </is>
      </c>
      <c r="G2573" t="inlineStr">
        <is>
          <t>Mobile App</t>
        </is>
      </c>
      <c r="H2573" t="inlineStr">
        <is>
          <t>Cash on Delivery</t>
        </is>
      </c>
      <c r="I2573" t="inlineStr">
        <is>
          <t>Delivered</t>
        </is>
      </c>
      <c r="J2573" t="n">
        <v>144</v>
      </c>
      <c r="K2573" t="n">
        <v>1</v>
      </c>
      <c r="L2573" t="n">
        <v>3149</v>
      </c>
      <c r="M2573" t="n">
        <v>0</v>
      </c>
      <c r="N2573">
        <f>VLOOKUP(J2573,Products!$A$2:$C$49,3,FALSE)</f>
        <v/>
      </c>
      <c r="O2573">
        <f>K2573*L2573-M2573</f>
        <v/>
      </c>
      <c r="P2573">
        <f>TEXT(B2573,"yyyy-mm")</f>
        <v/>
      </c>
      <c r="Q2573">
        <f>IF(O2573&gt;=3000,"Large","Small")</f>
        <v/>
      </c>
      <c r="R2573">
        <f>INDEX(Products!$F$2:$F$49,MATCH(J2573,Products!$A$2:$A$49,0))</f>
        <v/>
      </c>
      <c r="S2573">
        <f>WEEKDAY(B2573,2)</f>
        <v/>
      </c>
    </row>
    <row r="2574">
      <c r="A2574" t="n">
        <v>510679</v>
      </c>
      <c r="B2574" s="6" t="n">
        <v>45968</v>
      </c>
      <c r="C2574" t="n">
        <v>14197</v>
      </c>
      <c r="D2574" t="inlineStr">
        <is>
          <t>Delhi</t>
        </is>
      </c>
      <c r="E2574" t="inlineStr">
        <is>
          <t>North</t>
        </is>
      </c>
      <c r="F2574" t="inlineStr">
        <is>
          <t>Referral</t>
        </is>
      </c>
      <c r="G2574" t="inlineStr">
        <is>
          <t>Desktop</t>
        </is>
      </c>
      <c r="H2574" t="inlineStr">
        <is>
          <t>Credit Card</t>
        </is>
      </c>
      <c r="I2574" t="inlineStr">
        <is>
          <t>Delivered</t>
        </is>
      </c>
      <c r="J2574" t="n">
        <v>144</v>
      </c>
      <c r="K2574" t="n">
        <v>1</v>
      </c>
      <c r="L2574" t="n">
        <v>3149</v>
      </c>
      <c r="M2574" t="n">
        <v>0</v>
      </c>
      <c r="N2574">
        <f>VLOOKUP(J2574,Products!$A$2:$C$49,3,FALSE)</f>
        <v/>
      </c>
      <c r="O2574">
        <f>K2574*L2574-M2574</f>
        <v/>
      </c>
      <c r="P2574">
        <f>TEXT(B2574,"yyyy-mm")</f>
        <v/>
      </c>
      <c r="Q2574">
        <f>IF(O2574&gt;=3000,"Large","Small")</f>
        <v/>
      </c>
      <c r="R2574">
        <f>INDEX(Products!$F$2:$F$49,MATCH(J2574,Products!$A$2:$A$49,0))</f>
        <v/>
      </c>
      <c r="S2574">
        <f>WEEKDAY(B2574,2)</f>
        <v/>
      </c>
    </row>
    <row r="2575">
      <c r="A2575" t="n">
        <v>510680</v>
      </c>
      <c r="B2575" s="6" t="n">
        <v>45968</v>
      </c>
      <c r="C2575" t="n">
        <v>17192</v>
      </c>
      <c r="D2575" t="inlineStr">
        <is>
          <t>Mumbai</t>
        </is>
      </c>
      <c r="E2575" t="inlineStr">
        <is>
          <t>West</t>
        </is>
      </c>
      <c r="F2575" t="inlineStr">
        <is>
          <t>Organic Search</t>
        </is>
      </c>
      <c r="G2575" t="inlineStr">
        <is>
          <t>Mobile App</t>
        </is>
      </c>
      <c r="H2575" t="inlineStr">
        <is>
          <t>Debit Card</t>
        </is>
      </c>
      <c r="I2575" t="inlineStr">
        <is>
          <t>Delivered</t>
        </is>
      </c>
      <c r="J2575" t="n">
        <v>120</v>
      </c>
      <c r="K2575" t="n">
        <v>1</v>
      </c>
      <c r="L2575" t="n">
        <v>734</v>
      </c>
      <c r="M2575" t="n">
        <v>36.7</v>
      </c>
      <c r="N2575">
        <f>VLOOKUP(J2575,Products!$A$2:$C$49,3,FALSE)</f>
        <v/>
      </c>
      <c r="O2575">
        <f>K2575*L2575-M2575</f>
        <v/>
      </c>
      <c r="P2575">
        <f>TEXT(B2575,"yyyy-mm")</f>
        <v/>
      </c>
      <c r="Q2575">
        <f>IF(O2575&gt;=3000,"Large","Small")</f>
        <v/>
      </c>
      <c r="R2575">
        <f>INDEX(Products!$F$2:$F$49,MATCH(J2575,Products!$A$2:$A$49,0))</f>
        <v/>
      </c>
      <c r="S2575">
        <f>WEEKDAY(B2575,2)</f>
        <v/>
      </c>
    </row>
    <row r="2576">
      <c r="A2576" t="n">
        <v>510680</v>
      </c>
      <c r="B2576" s="6" t="n">
        <v>45968</v>
      </c>
      <c r="C2576" t="n">
        <v>17192</v>
      </c>
      <c r="D2576" t="inlineStr">
        <is>
          <t>Mumbai</t>
        </is>
      </c>
      <c r="E2576" t="inlineStr">
        <is>
          <t>West</t>
        </is>
      </c>
      <c r="F2576" t="inlineStr">
        <is>
          <t>Organic Search</t>
        </is>
      </c>
      <c r="G2576" t="inlineStr">
        <is>
          <t>Mobile App</t>
        </is>
      </c>
      <c r="H2576" t="inlineStr">
        <is>
          <t>Debit Card</t>
        </is>
      </c>
      <c r="I2576" t="inlineStr">
        <is>
          <t>Delivered</t>
        </is>
      </c>
      <c r="J2576" t="n">
        <v>107</v>
      </c>
      <c r="K2576" t="n">
        <v>1</v>
      </c>
      <c r="L2576" t="n">
        <v>1259</v>
      </c>
      <c r="M2576" t="n">
        <v>62.95</v>
      </c>
      <c r="N2576">
        <f>VLOOKUP(J2576,Products!$A$2:$C$49,3,FALSE)</f>
        <v/>
      </c>
      <c r="O2576">
        <f>K2576*L2576-M2576</f>
        <v/>
      </c>
      <c r="P2576">
        <f>TEXT(B2576,"yyyy-mm")</f>
        <v/>
      </c>
      <c r="Q2576">
        <f>IF(O2576&gt;=3000,"Large","Small")</f>
        <v/>
      </c>
      <c r="R2576">
        <f>INDEX(Products!$F$2:$F$49,MATCH(J2576,Products!$A$2:$A$49,0))</f>
        <v/>
      </c>
      <c r="S2576">
        <f>WEEKDAY(B2576,2)</f>
        <v/>
      </c>
    </row>
    <row r="2577">
      <c r="A2577" t="n">
        <v>510681</v>
      </c>
      <c r="B2577" s="6" t="n">
        <v>45969</v>
      </c>
      <c r="C2577" t="n">
        <v>17029</v>
      </c>
      <c r="D2577" t="inlineStr">
        <is>
          <t>Chennai</t>
        </is>
      </c>
      <c r="E2577" t="inlineStr">
        <is>
          <t>South</t>
        </is>
      </c>
      <c r="F2577" t="inlineStr">
        <is>
          <t>Paid Search</t>
        </is>
      </c>
      <c r="G2577" t="inlineStr">
        <is>
          <t>Desktop</t>
        </is>
      </c>
      <c r="H2577" t="inlineStr">
        <is>
          <t>Cash on Delivery</t>
        </is>
      </c>
      <c r="I2577" t="inlineStr">
        <is>
          <t>Delivered</t>
        </is>
      </c>
      <c r="J2577" t="n">
        <v>116</v>
      </c>
      <c r="K2577" t="n">
        <v>1</v>
      </c>
      <c r="L2577" t="n">
        <v>2624</v>
      </c>
      <c r="M2577" t="n">
        <v>0</v>
      </c>
      <c r="N2577">
        <f>VLOOKUP(J2577,Products!$A$2:$C$49,3,FALSE)</f>
        <v/>
      </c>
      <c r="O2577">
        <f>K2577*L2577-M2577</f>
        <v/>
      </c>
      <c r="P2577">
        <f>TEXT(B2577,"yyyy-mm")</f>
        <v/>
      </c>
      <c r="Q2577">
        <f>IF(O2577&gt;=3000,"Large","Small")</f>
        <v/>
      </c>
      <c r="R2577">
        <f>INDEX(Products!$F$2:$F$49,MATCH(J2577,Products!$A$2:$A$49,0))</f>
        <v/>
      </c>
      <c r="S2577">
        <f>WEEKDAY(B2577,2)</f>
        <v/>
      </c>
    </row>
    <row r="2578">
      <c r="A2578" t="n">
        <v>510682</v>
      </c>
      <c r="B2578" s="6" t="n">
        <v>45969</v>
      </c>
      <c r="C2578" t="n">
        <v>17218</v>
      </c>
      <c r="D2578" t="inlineStr">
        <is>
          <t>Jaipur</t>
        </is>
      </c>
      <c r="E2578" t="inlineStr">
        <is>
          <t>North</t>
        </is>
      </c>
      <c r="F2578" t="inlineStr">
        <is>
          <t>Organic Search</t>
        </is>
      </c>
      <c r="G2578" t="inlineStr">
        <is>
          <t>Mobile App</t>
        </is>
      </c>
      <c r="H2578" t="inlineStr">
        <is>
          <t>Cash on Delivery</t>
        </is>
      </c>
      <c r="I2578" t="inlineStr">
        <is>
          <t>Delivered</t>
        </is>
      </c>
      <c r="J2578" t="n">
        <v>102</v>
      </c>
      <c r="K2578" t="n">
        <v>1</v>
      </c>
      <c r="L2578" t="n">
        <v>3674</v>
      </c>
      <c r="M2578" t="n">
        <v>0</v>
      </c>
      <c r="N2578">
        <f>VLOOKUP(J2578,Products!$A$2:$C$49,3,FALSE)</f>
        <v/>
      </c>
      <c r="O2578">
        <f>K2578*L2578-M2578</f>
        <v/>
      </c>
      <c r="P2578">
        <f>TEXT(B2578,"yyyy-mm")</f>
        <v/>
      </c>
      <c r="Q2578">
        <f>IF(O2578&gt;=3000,"Large","Small")</f>
        <v/>
      </c>
      <c r="R2578">
        <f>INDEX(Products!$F$2:$F$49,MATCH(J2578,Products!$A$2:$A$49,0))</f>
        <v/>
      </c>
      <c r="S2578">
        <f>WEEKDAY(B2578,2)</f>
        <v/>
      </c>
    </row>
    <row r="2579">
      <c r="A2579" t="n">
        <v>510683</v>
      </c>
      <c r="B2579" s="6" t="n">
        <v>45969</v>
      </c>
      <c r="C2579" t="n">
        <v>17220</v>
      </c>
      <c r="D2579" t="inlineStr">
        <is>
          <t>Hyderabad</t>
        </is>
      </c>
      <c r="E2579" t="inlineStr">
        <is>
          <t>South</t>
        </is>
      </c>
      <c r="F2579" t="inlineStr">
        <is>
          <t>Referral</t>
        </is>
      </c>
      <c r="G2579" t="inlineStr">
        <is>
          <t>Desktop</t>
        </is>
      </c>
      <c r="H2579" t="inlineStr">
        <is>
          <t>UPI</t>
        </is>
      </c>
      <c r="I2579" t="inlineStr">
        <is>
          <t>Delivered</t>
        </is>
      </c>
      <c r="J2579" t="n">
        <v>101</v>
      </c>
      <c r="K2579" t="n">
        <v>1</v>
      </c>
      <c r="L2579" t="n">
        <v>2099</v>
      </c>
      <c r="M2579" t="n">
        <v>0</v>
      </c>
      <c r="N2579">
        <f>VLOOKUP(J2579,Products!$A$2:$C$49,3,FALSE)</f>
        <v/>
      </c>
      <c r="O2579">
        <f>K2579*L2579-M2579</f>
        <v/>
      </c>
      <c r="P2579">
        <f>TEXT(B2579,"yyyy-mm")</f>
        <v/>
      </c>
      <c r="Q2579">
        <f>IF(O2579&gt;=3000,"Large","Small")</f>
        <v/>
      </c>
      <c r="R2579">
        <f>INDEX(Products!$F$2:$F$49,MATCH(J2579,Products!$A$2:$A$49,0))</f>
        <v/>
      </c>
      <c r="S2579">
        <f>WEEKDAY(B2579,2)</f>
        <v/>
      </c>
    </row>
    <row r="2580">
      <c r="A2580" t="n">
        <v>510683</v>
      </c>
      <c r="B2580" s="6" t="n">
        <v>45969</v>
      </c>
      <c r="C2580" t="n">
        <v>17220</v>
      </c>
      <c r="D2580" t="inlineStr">
        <is>
          <t>Hyderabad</t>
        </is>
      </c>
      <c r="E2580" t="inlineStr">
        <is>
          <t>South</t>
        </is>
      </c>
      <c r="F2580" t="inlineStr">
        <is>
          <t>Referral</t>
        </is>
      </c>
      <c r="G2580" t="inlineStr">
        <is>
          <t>Desktop</t>
        </is>
      </c>
      <c r="H2580" t="inlineStr">
        <is>
          <t>UPI</t>
        </is>
      </c>
      <c r="I2580" t="inlineStr">
        <is>
          <t>Delivered</t>
        </is>
      </c>
      <c r="J2580" t="n">
        <v>134</v>
      </c>
      <c r="K2580" t="n">
        <v>1</v>
      </c>
      <c r="L2580" t="n">
        <v>209</v>
      </c>
      <c r="M2580" t="n">
        <v>0</v>
      </c>
      <c r="N2580">
        <f>VLOOKUP(J2580,Products!$A$2:$C$49,3,FALSE)</f>
        <v/>
      </c>
      <c r="O2580">
        <f>K2580*L2580-M2580</f>
        <v/>
      </c>
      <c r="P2580">
        <f>TEXT(B2580,"yyyy-mm")</f>
        <v/>
      </c>
      <c r="Q2580">
        <f>IF(O2580&gt;=3000,"Large","Small")</f>
        <v/>
      </c>
      <c r="R2580">
        <f>INDEX(Products!$F$2:$F$49,MATCH(J2580,Products!$A$2:$A$49,0))</f>
        <v/>
      </c>
      <c r="S2580">
        <f>WEEKDAY(B2580,2)</f>
        <v/>
      </c>
    </row>
    <row r="2581">
      <c r="A2581" t="n">
        <v>510684</v>
      </c>
      <c r="B2581" s="6" t="n">
        <v>45969</v>
      </c>
      <c r="C2581" t="n">
        <v>16708</v>
      </c>
      <c r="D2581" t="inlineStr">
        <is>
          <t>Delhi</t>
        </is>
      </c>
      <c r="E2581" t="inlineStr">
        <is>
          <t>North</t>
        </is>
      </c>
      <c r="F2581" t="inlineStr">
        <is>
          <t>Organic Search</t>
        </is>
      </c>
      <c r="G2581" t="inlineStr">
        <is>
          <t>Mobile Web</t>
        </is>
      </c>
      <c r="H2581" t="inlineStr">
        <is>
          <t>UPI</t>
        </is>
      </c>
      <c r="I2581" t="inlineStr">
        <is>
          <t>Delivered</t>
        </is>
      </c>
      <c r="J2581" t="n">
        <v>108</v>
      </c>
      <c r="K2581" t="n">
        <v>1</v>
      </c>
      <c r="L2581" t="n">
        <v>419</v>
      </c>
      <c r="M2581" t="n">
        <v>0</v>
      </c>
      <c r="N2581">
        <f>VLOOKUP(J2581,Products!$A$2:$C$49,3,FALSE)</f>
        <v/>
      </c>
      <c r="O2581">
        <f>K2581*L2581-M2581</f>
        <v/>
      </c>
      <c r="P2581">
        <f>TEXT(B2581,"yyyy-mm")</f>
        <v/>
      </c>
      <c r="Q2581">
        <f>IF(O2581&gt;=3000,"Large","Small")</f>
        <v/>
      </c>
      <c r="R2581">
        <f>INDEX(Products!$F$2:$F$49,MATCH(J2581,Products!$A$2:$A$49,0))</f>
        <v/>
      </c>
      <c r="S2581">
        <f>WEEKDAY(B2581,2)</f>
        <v/>
      </c>
    </row>
    <row r="2582">
      <c r="A2582" t="n">
        <v>510684</v>
      </c>
      <c r="B2582" s="6" t="n">
        <v>45969</v>
      </c>
      <c r="C2582" t="n">
        <v>16708</v>
      </c>
      <c r="D2582" t="inlineStr">
        <is>
          <t>Delhi</t>
        </is>
      </c>
      <c r="E2582" t="inlineStr">
        <is>
          <t>North</t>
        </is>
      </c>
      <c r="F2582" t="inlineStr">
        <is>
          <t>Organic Search</t>
        </is>
      </c>
      <c r="G2582" t="inlineStr">
        <is>
          <t>Mobile Web</t>
        </is>
      </c>
      <c r="H2582" t="inlineStr">
        <is>
          <t>UPI</t>
        </is>
      </c>
      <c r="I2582" t="inlineStr">
        <is>
          <t>Delivered</t>
        </is>
      </c>
      <c r="J2582" t="n">
        <v>111</v>
      </c>
      <c r="K2582" t="n">
        <v>1</v>
      </c>
      <c r="L2582" t="n">
        <v>524</v>
      </c>
      <c r="M2582" t="n">
        <v>0</v>
      </c>
      <c r="N2582">
        <f>VLOOKUP(J2582,Products!$A$2:$C$49,3,FALSE)</f>
        <v/>
      </c>
      <c r="O2582">
        <f>K2582*L2582-M2582</f>
        <v/>
      </c>
      <c r="P2582">
        <f>TEXT(B2582,"yyyy-mm")</f>
        <v/>
      </c>
      <c r="Q2582">
        <f>IF(O2582&gt;=3000,"Large","Small")</f>
        <v/>
      </c>
      <c r="R2582">
        <f>INDEX(Products!$F$2:$F$49,MATCH(J2582,Products!$A$2:$A$49,0))</f>
        <v/>
      </c>
      <c r="S2582">
        <f>WEEKDAY(B2582,2)</f>
        <v/>
      </c>
    </row>
    <row r="2583">
      <c r="A2583" t="n">
        <v>510684</v>
      </c>
      <c r="B2583" s="6" t="n">
        <v>45969</v>
      </c>
      <c r="C2583" t="n">
        <v>16708</v>
      </c>
      <c r="D2583" t="inlineStr">
        <is>
          <t>Delhi</t>
        </is>
      </c>
      <c r="E2583" t="inlineStr">
        <is>
          <t>North</t>
        </is>
      </c>
      <c r="F2583" t="inlineStr">
        <is>
          <t>Organic Search</t>
        </is>
      </c>
      <c r="G2583" t="inlineStr">
        <is>
          <t>Mobile Web</t>
        </is>
      </c>
      <c r="H2583" t="inlineStr">
        <is>
          <t>UPI</t>
        </is>
      </c>
      <c r="I2583" t="inlineStr">
        <is>
          <t>Delivered</t>
        </is>
      </c>
      <c r="J2583" t="n">
        <v>140</v>
      </c>
      <c r="K2583" t="n">
        <v>1</v>
      </c>
      <c r="L2583" t="n">
        <v>629</v>
      </c>
      <c r="M2583" t="n">
        <v>0</v>
      </c>
      <c r="N2583">
        <f>VLOOKUP(J2583,Products!$A$2:$C$49,3,FALSE)</f>
        <v/>
      </c>
      <c r="O2583">
        <f>K2583*L2583-M2583</f>
        <v/>
      </c>
      <c r="P2583">
        <f>TEXT(B2583,"yyyy-mm")</f>
        <v/>
      </c>
      <c r="Q2583">
        <f>IF(O2583&gt;=3000,"Large","Small")</f>
        <v/>
      </c>
      <c r="R2583">
        <f>INDEX(Products!$F$2:$F$49,MATCH(J2583,Products!$A$2:$A$49,0))</f>
        <v/>
      </c>
      <c r="S2583">
        <f>WEEKDAY(B2583,2)</f>
        <v/>
      </c>
    </row>
    <row r="2584">
      <c r="A2584" t="n">
        <v>510684</v>
      </c>
      <c r="B2584" s="6" t="n">
        <v>45969</v>
      </c>
      <c r="C2584" t="n">
        <v>16708</v>
      </c>
      <c r="D2584" t="inlineStr">
        <is>
          <t>Delhi</t>
        </is>
      </c>
      <c r="E2584" t="inlineStr">
        <is>
          <t>North</t>
        </is>
      </c>
      <c r="F2584" t="inlineStr">
        <is>
          <t>Organic Search</t>
        </is>
      </c>
      <c r="G2584" t="inlineStr">
        <is>
          <t>Mobile Web</t>
        </is>
      </c>
      <c r="H2584" t="inlineStr">
        <is>
          <t>UPI</t>
        </is>
      </c>
      <c r="I2584" t="inlineStr">
        <is>
          <t>Delivered</t>
        </is>
      </c>
      <c r="J2584" t="n">
        <v>120</v>
      </c>
      <c r="K2584" t="n">
        <v>2</v>
      </c>
      <c r="L2584" t="n">
        <v>734</v>
      </c>
      <c r="M2584" t="n">
        <v>0</v>
      </c>
      <c r="N2584">
        <f>VLOOKUP(J2584,Products!$A$2:$C$49,3,FALSE)</f>
        <v/>
      </c>
      <c r="O2584">
        <f>K2584*L2584-M2584</f>
        <v/>
      </c>
      <c r="P2584">
        <f>TEXT(B2584,"yyyy-mm")</f>
        <v/>
      </c>
      <c r="Q2584">
        <f>IF(O2584&gt;=3000,"Large","Small")</f>
        <v/>
      </c>
      <c r="R2584">
        <f>INDEX(Products!$F$2:$F$49,MATCH(J2584,Products!$A$2:$A$49,0))</f>
        <v/>
      </c>
      <c r="S2584">
        <f>WEEKDAY(B2584,2)</f>
        <v/>
      </c>
    </row>
    <row r="2585">
      <c r="A2585" t="n">
        <v>510685</v>
      </c>
      <c r="B2585" s="6" t="n">
        <v>45969</v>
      </c>
      <c r="C2585" t="n">
        <v>13309</v>
      </c>
      <c r="D2585" t="inlineStr">
        <is>
          <t>Delhi</t>
        </is>
      </c>
      <c r="E2585" t="inlineStr">
        <is>
          <t>North</t>
        </is>
      </c>
      <c r="F2585" t="inlineStr">
        <is>
          <t>Referral</t>
        </is>
      </c>
      <c r="G2585" t="inlineStr">
        <is>
          <t>Mobile Web</t>
        </is>
      </c>
      <c r="H2585" t="inlineStr">
        <is>
          <t>Cash on Delivery</t>
        </is>
      </c>
      <c r="I2585" t="inlineStr">
        <is>
          <t>Delivered</t>
        </is>
      </c>
      <c r="J2585" t="n">
        <v>105</v>
      </c>
      <c r="K2585" t="n">
        <v>1</v>
      </c>
      <c r="L2585" t="n">
        <v>2414</v>
      </c>
      <c r="M2585" t="n">
        <v>0</v>
      </c>
      <c r="N2585">
        <f>VLOOKUP(J2585,Products!$A$2:$C$49,3,FALSE)</f>
        <v/>
      </c>
      <c r="O2585">
        <f>K2585*L2585-M2585</f>
        <v/>
      </c>
      <c r="P2585">
        <f>TEXT(B2585,"yyyy-mm")</f>
        <v/>
      </c>
      <c r="Q2585">
        <f>IF(O2585&gt;=3000,"Large","Small")</f>
        <v/>
      </c>
      <c r="R2585">
        <f>INDEX(Products!$F$2:$F$49,MATCH(J2585,Products!$A$2:$A$49,0))</f>
        <v/>
      </c>
      <c r="S2585">
        <f>WEEKDAY(B2585,2)</f>
        <v/>
      </c>
    </row>
    <row r="2586">
      <c r="A2586" t="n">
        <v>510686</v>
      </c>
      <c r="B2586" s="6" t="n">
        <v>45969</v>
      </c>
      <c r="C2586" t="n">
        <v>17247</v>
      </c>
      <c r="D2586" t="inlineStr">
        <is>
          <t>Kolkata</t>
        </is>
      </c>
      <c r="E2586" t="inlineStr">
        <is>
          <t>East</t>
        </is>
      </c>
      <c r="F2586" t="inlineStr">
        <is>
          <t>Organic Search</t>
        </is>
      </c>
      <c r="G2586" t="inlineStr">
        <is>
          <t>Mobile App</t>
        </is>
      </c>
      <c r="H2586" t="inlineStr">
        <is>
          <t>Net Banking</t>
        </is>
      </c>
      <c r="I2586" t="inlineStr">
        <is>
          <t>Delivered</t>
        </is>
      </c>
      <c r="J2586" t="n">
        <v>148</v>
      </c>
      <c r="K2586" t="n">
        <v>1</v>
      </c>
      <c r="L2586" t="n">
        <v>734</v>
      </c>
      <c r="M2586" t="n">
        <v>0</v>
      </c>
      <c r="N2586">
        <f>VLOOKUP(J2586,Products!$A$2:$C$49,3,FALSE)</f>
        <v/>
      </c>
      <c r="O2586">
        <f>K2586*L2586-M2586</f>
        <v/>
      </c>
      <c r="P2586">
        <f>TEXT(B2586,"yyyy-mm")</f>
        <v/>
      </c>
      <c r="Q2586">
        <f>IF(O2586&gt;=3000,"Large","Small")</f>
        <v/>
      </c>
      <c r="R2586">
        <f>INDEX(Products!$F$2:$F$49,MATCH(J2586,Products!$A$2:$A$49,0))</f>
        <v/>
      </c>
      <c r="S2586">
        <f>WEEKDAY(B2586,2)</f>
        <v/>
      </c>
    </row>
    <row r="2587">
      <c r="A2587" t="n">
        <v>510687</v>
      </c>
      <c r="B2587" s="6" t="n">
        <v>45969</v>
      </c>
      <c r="C2587" t="n">
        <v>10861</v>
      </c>
      <c r="D2587" t="inlineStr">
        <is>
          <t>Bengaluru</t>
        </is>
      </c>
      <c r="E2587" t="inlineStr">
        <is>
          <t>South</t>
        </is>
      </c>
      <c r="F2587" t="inlineStr">
        <is>
          <t>Email</t>
        </is>
      </c>
      <c r="G2587" t="inlineStr">
        <is>
          <t>Mobile App</t>
        </is>
      </c>
      <c r="H2587" t="inlineStr">
        <is>
          <t>UPI</t>
        </is>
      </c>
      <c r="I2587" t="inlineStr">
        <is>
          <t>Cancelled</t>
        </is>
      </c>
      <c r="J2587" t="n">
        <v>112</v>
      </c>
      <c r="K2587" t="n">
        <v>1</v>
      </c>
      <c r="L2587" t="n">
        <v>1574</v>
      </c>
      <c r="M2587" t="n">
        <v>0</v>
      </c>
      <c r="N2587">
        <f>VLOOKUP(J2587,Products!$A$2:$C$49,3,FALSE)</f>
        <v/>
      </c>
      <c r="O2587">
        <f>K2587*L2587-M2587</f>
        <v/>
      </c>
      <c r="P2587">
        <f>TEXT(B2587,"yyyy-mm")</f>
        <v/>
      </c>
      <c r="Q2587">
        <f>IF(O2587&gt;=3000,"Large","Small")</f>
        <v/>
      </c>
      <c r="R2587">
        <f>INDEX(Products!$F$2:$F$49,MATCH(J2587,Products!$A$2:$A$49,0))</f>
        <v/>
      </c>
      <c r="S2587">
        <f>WEEKDAY(B2587,2)</f>
        <v/>
      </c>
    </row>
    <row r="2588">
      <c r="A2588" t="n">
        <v>510687</v>
      </c>
      <c r="B2588" s="6" t="n">
        <v>45969</v>
      </c>
      <c r="C2588" t="n">
        <v>10861</v>
      </c>
      <c r="D2588" t="inlineStr">
        <is>
          <t>Bengaluru</t>
        </is>
      </c>
      <c r="E2588" t="inlineStr">
        <is>
          <t>South</t>
        </is>
      </c>
      <c r="F2588" t="inlineStr">
        <is>
          <t>Email</t>
        </is>
      </c>
      <c r="G2588" t="inlineStr">
        <is>
          <t>Mobile App</t>
        </is>
      </c>
      <c r="H2588" t="inlineStr">
        <is>
          <t>UPI</t>
        </is>
      </c>
      <c r="I2588" t="inlineStr">
        <is>
          <t>Cancelled</t>
        </is>
      </c>
      <c r="J2588" t="n">
        <v>107</v>
      </c>
      <c r="K2588" t="n">
        <v>1</v>
      </c>
      <c r="L2588" t="n">
        <v>1259</v>
      </c>
      <c r="M2588" t="n">
        <v>0</v>
      </c>
      <c r="N2588">
        <f>VLOOKUP(J2588,Products!$A$2:$C$49,3,FALSE)</f>
        <v/>
      </c>
      <c r="O2588">
        <f>K2588*L2588-M2588</f>
        <v/>
      </c>
      <c r="P2588">
        <f>TEXT(B2588,"yyyy-mm")</f>
        <v/>
      </c>
      <c r="Q2588">
        <f>IF(O2588&gt;=3000,"Large","Small")</f>
        <v/>
      </c>
      <c r="R2588">
        <f>INDEX(Products!$F$2:$F$49,MATCH(J2588,Products!$A$2:$A$49,0))</f>
        <v/>
      </c>
      <c r="S2588">
        <f>WEEKDAY(B2588,2)</f>
        <v/>
      </c>
    </row>
    <row r="2589">
      <c r="A2589" t="n">
        <v>510687</v>
      </c>
      <c r="B2589" s="6" t="n">
        <v>45969</v>
      </c>
      <c r="C2589" t="n">
        <v>10861</v>
      </c>
      <c r="D2589" t="inlineStr">
        <is>
          <t>Bengaluru</t>
        </is>
      </c>
      <c r="E2589" t="inlineStr">
        <is>
          <t>South</t>
        </is>
      </c>
      <c r="F2589" t="inlineStr">
        <is>
          <t>Email</t>
        </is>
      </c>
      <c r="G2589" t="inlineStr">
        <is>
          <t>Mobile App</t>
        </is>
      </c>
      <c r="H2589" t="inlineStr">
        <is>
          <t>UPI</t>
        </is>
      </c>
      <c r="I2589" t="inlineStr">
        <is>
          <t>Cancelled</t>
        </is>
      </c>
      <c r="J2589" t="n">
        <v>132</v>
      </c>
      <c r="K2589" t="n">
        <v>1</v>
      </c>
      <c r="L2589" t="n">
        <v>471</v>
      </c>
      <c r="M2589" t="n">
        <v>0</v>
      </c>
      <c r="N2589">
        <f>VLOOKUP(J2589,Products!$A$2:$C$49,3,FALSE)</f>
        <v/>
      </c>
      <c r="O2589">
        <f>K2589*L2589-M2589</f>
        <v/>
      </c>
      <c r="P2589">
        <f>TEXT(B2589,"yyyy-mm")</f>
        <v/>
      </c>
      <c r="Q2589">
        <f>IF(O2589&gt;=3000,"Large","Small")</f>
        <v/>
      </c>
      <c r="R2589">
        <f>INDEX(Products!$F$2:$F$49,MATCH(J2589,Products!$A$2:$A$49,0))</f>
        <v/>
      </c>
      <c r="S2589">
        <f>WEEKDAY(B2589,2)</f>
        <v/>
      </c>
    </row>
    <row r="2590">
      <c r="A2590" t="n">
        <v>510687</v>
      </c>
      <c r="B2590" s="6" t="n">
        <v>45969</v>
      </c>
      <c r="C2590" t="n">
        <v>10861</v>
      </c>
      <c r="D2590" t="inlineStr">
        <is>
          <t>Bengaluru</t>
        </is>
      </c>
      <c r="E2590" t="inlineStr">
        <is>
          <t>South</t>
        </is>
      </c>
      <c r="F2590" t="inlineStr">
        <is>
          <t>Email</t>
        </is>
      </c>
      <c r="G2590" t="inlineStr">
        <is>
          <t>Mobile App</t>
        </is>
      </c>
      <c r="H2590" t="inlineStr">
        <is>
          <t>UPI</t>
        </is>
      </c>
      <c r="I2590" t="inlineStr">
        <is>
          <t>Cancelled</t>
        </is>
      </c>
      <c r="J2590" t="n">
        <v>118</v>
      </c>
      <c r="K2590" t="n">
        <v>1</v>
      </c>
      <c r="L2590" t="n">
        <v>944</v>
      </c>
      <c r="M2590" t="n">
        <v>0</v>
      </c>
      <c r="N2590">
        <f>VLOOKUP(J2590,Products!$A$2:$C$49,3,FALSE)</f>
        <v/>
      </c>
      <c r="O2590">
        <f>K2590*L2590-M2590</f>
        <v/>
      </c>
      <c r="P2590">
        <f>TEXT(B2590,"yyyy-mm")</f>
        <v/>
      </c>
      <c r="Q2590">
        <f>IF(O2590&gt;=3000,"Large","Small")</f>
        <v/>
      </c>
      <c r="R2590">
        <f>INDEX(Products!$F$2:$F$49,MATCH(J2590,Products!$A$2:$A$49,0))</f>
        <v/>
      </c>
      <c r="S2590">
        <f>WEEKDAY(B2590,2)</f>
        <v/>
      </c>
    </row>
    <row r="2591">
      <c r="A2591" t="n">
        <v>510688</v>
      </c>
      <c r="B2591" s="6" t="n">
        <v>45969</v>
      </c>
      <c r="C2591" t="n">
        <v>16926</v>
      </c>
      <c r="D2591" t="inlineStr">
        <is>
          <t>Mumbai</t>
        </is>
      </c>
      <c r="E2591" t="inlineStr">
        <is>
          <t>West</t>
        </is>
      </c>
      <c r="F2591" t="inlineStr">
        <is>
          <t>Email</t>
        </is>
      </c>
      <c r="G2591" t="inlineStr">
        <is>
          <t>Mobile App</t>
        </is>
      </c>
      <c r="H2591" t="inlineStr">
        <is>
          <t>Net Banking</t>
        </is>
      </c>
      <c r="I2591" t="inlineStr">
        <is>
          <t>Delivered</t>
        </is>
      </c>
      <c r="J2591" t="n">
        <v>107</v>
      </c>
      <c r="K2591" t="n">
        <v>1</v>
      </c>
      <c r="L2591" t="n">
        <v>1259</v>
      </c>
      <c r="M2591" t="n">
        <v>188.85</v>
      </c>
      <c r="N2591">
        <f>VLOOKUP(J2591,Products!$A$2:$C$49,3,FALSE)</f>
        <v/>
      </c>
      <c r="O2591">
        <f>K2591*L2591-M2591</f>
        <v/>
      </c>
      <c r="P2591">
        <f>TEXT(B2591,"yyyy-mm")</f>
        <v/>
      </c>
      <c r="Q2591">
        <f>IF(O2591&gt;=3000,"Large","Small")</f>
        <v/>
      </c>
      <c r="R2591">
        <f>INDEX(Products!$F$2:$F$49,MATCH(J2591,Products!$A$2:$A$49,0))</f>
        <v/>
      </c>
      <c r="S2591">
        <f>WEEKDAY(B2591,2)</f>
        <v/>
      </c>
    </row>
    <row r="2592">
      <c r="A2592" t="n">
        <v>510689</v>
      </c>
      <c r="B2592" s="6" t="n">
        <v>45969</v>
      </c>
      <c r="C2592" t="n">
        <v>17135</v>
      </c>
      <c r="D2592" t="inlineStr">
        <is>
          <t>Delhi</t>
        </is>
      </c>
      <c r="E2592" t="inlineStr">
        <is>
          <t>North</t>
        </is>
      </c>
      <c r="F2592" t="inlineStr">
        <is>
          <t>Paid Social</t>
        </is>
      </c>
      <c r="G2592" t="inlineStr">
        <is>
          <t>Mobile App</t>
        </is>
      </c>
      <c r="H2592" t="inlineStr">
        <is>
          <t>Cash on Delivery</t>
        </is>
      </c>
      <c r="I2592" t="inlineStr">
        <is>
          <t>Returned</t>
        </is>
      </c>
      <c r="J2592" t="n">
        <v>108</v>
      </c>
      <c r="K2592" t="n">
        <v>1</v>
      </c>
      <c r="L2592" t="n">
        <v>419</v>
      </c>
      <c r="M2592" t="n">
        <v>62.85</v>
      </c>
      <c r="N2592">
        <f>VLOOKUP(J2592,Products!$A$2:$C$49,3,FALSE)</f>
        <v/>
      </c>
      <c r="O2592">
        <f>K2592*L2592-M2592</f>
        <v/>
      </c>
      <c r="P2592">
        <f>TEXT(B2592,"yyyy-mm")</f>
        <v/>
      </c>
      <c r="Q2592">
        <f>IF(O2592&gt;=3000,"Large","Small")</f>
        <v/>
      </c>
      <c r="R2592">
        <f>INDEX(Products!$F$2:$F$49,MATCH(J2592,Products!$A$2:$A$49,0))</f>
        <v/>
      </c>
      <c r="S2592">
        <f>WEEKDAY(B2592,2)</f>
        <v/>
      </c>
    </row>
    <row r="2593">
      <c r="A2593" t="n">
        <v>510689</v>
      </c>
      <c r="B2593" s="6" t="n">
        <v>45969</v>
      </c>
      <c r="C2593" t="n">
        <v>17135</v>
      </c>
      <c r="D2593" t="inlineStr">
        <is>
          <t>Delhi</t>
        </is>
      </c>
      <c r="E2593" t="inlineStr">
        <is>
          <t>North</t>
        </is>
      </c>
      <c r="F2593" t="inlineStr">
        <is>
          <t>Paid Social</t>
        </is>
      </c>
      <c r="G2593" t="inlineStr">
        <is>
          <t>Mobile App</t>
        </is>
      </c>
      <c r="H2593" t="inlineStr">
        <is>
          <t>Cash on Delivery</t>
        </is>
      </c>
      <c r="I2593" t="inlineStr">
        <is>
          <t>Returned</t>
        </is>
      </c>
      <c r="J2593" t="n">
        <v>130</v>
      </c>
      <c r="K2593" t="n">
        <v>1</v>
      </c>
      <c r="L2593" t="n">
        <v>734</v>
      </c>
      <c r="M2593" t="n">
        <v>110.1</v>
      </c>
      <c r="N2593">
        <f>VLOOKUP(J2593,Products!$A$2:$C$49,3,FALSE)</f>
        <v/>
      </c>
      <c r="O2593">
        <f>K2593*L2593-M2593</f>
        <v/>
      </c>
      <c r="P2593">
        <f>TEXT(B2593,"yyyy-mm")</f>
        <v/>
      </c>
      <c r="Q2593">
        <f>IF(O2593&gt;=3000,"Large","Small")</f>
        <v/>
      </c>
      <c r="R2593">
        <f>INDEX(Products!$F$2:$F$49,MATCH(J2593,Products!$A$2:$A$49,0))</f>
        <v/>
      </c>
      <c r="S2593">
        <f>WEEKDAY(B2593,2)</f>
        <v/>
      </c>
    </row>
    <row r="2594">
      <c r="A2594" t="n">
        <v>510689</v>
      </c>
      <c r="B2594" s="6" t="n">
        <v>45969</v>
      </c>
      <c r="C2594" t="n">
        <v>17135</v>
      </c>
      <c r="D2594" t="inlineStr">
        <is>
          <t>Delhi</t>
        </is>
      </c>
      <c r="E2594" t="inlineStr">
        <is>
          <t>North</t>
        </is>
      </c>
      <c r="F2594" t="inlineStr">
        <is>
          <t>Paid Social</t>
        </is>
      </c>
      <c r="G2594" t="inlineStr">
        <is>
          <t>Mobile App</t>
        </is>
      </c>
      <c r="H2594" t="inlineStr">
        <is>
          <t>Cash on Delivery</t>
        </is>
      </c>
      <c r="I2594" t="inlineStr">
        <is>
          <t>Returned</t>
        </is>
      </c>
      <c r="J2594" t="n">
        <v>113</v>
      </c>
      <c r="K2594" t="n">
        <v>1</v>
      </c>
      <c r="L2594" t="n">
        <v>1364</v>
      </c>
      <c r="M2594" t="n">
        <v>204.6</v>
      </c>
      <c r="N2594">
        <f>VLOOKUP(J2594,Products!$A$2:$C$49,3,FALSE)</f>
        <v/>
      </c>
      <c r="O2594">
        <f>K2594*L2594-M2594</f>
        <v/>
      </c>
      <c r="P2594">
        <f>TEXT(B2594,"yyyy-mm")</f>
        <v/>
      </c>
      <c r="Q2594">
        <f>IF(O2594&gt;=3000,"Large","Small")</f>
        <v/>
      </c>
      <c r="R2594">
        <f>INDEX(Products!$F$2:$F$49,MATCH(J2594,Products!$A$2:$A$49,0))</f>
        <v/>
      </c>
      <c r="S2594">
        <f>WEEKDAY(B2594,2)</f>
        <v/>
      </c>
    </row>
    <row r="2595">
      <c r="A2595" t="n">
        <v>510690</v>
      </c>
      <c r="B2595" s="6" t="n">
        <v>45969</v>
      </c>
      <c r="C2595" t="n">
        <v>17229</v>
      </c>
      <c r="D2595" t="inlineStr">
        <is>
          <t>Hyderabad</t>
        </is>
      </c>
      <c r="E2595" t="inlineStr">
        <is>
          <t>South</t>
        </is>
      </c>
      <c r="F2595" t="inlineStr">
        <is>
          <t>Organic Search</t>
        </is>
      </c>
      <c r="G2595" t="inlineStr">
        <is>
          <t>Mobile App</t>
        </is>
      </c>
      <c r="H2595" t="inlineStr">
        <is>
          <t>UPI</t>
        </is>
      </c>
      <c r="I2595" t="inlineStr">
        <is>
          <t>Delivered</t>
        </is>
      </c>
      <c r="J2595" t="n">
        <v>106</v>
      </c>
      <c r="K2595" t="n">
        <v>1</v>
      </c>
      <c r="L2595" t="n">
        <v>1574</v>
      </c>
      <c r="M2595" t="n">
        <v>0</v>
      </c>
      <c r="N2595">
        <f>VLOOKUP(J2595,Products!$A$2:$C$49,3,FALSE)</f>
        <v/>
      </c>
      <c r="O2595">
        <f>K2595*L2595-M2595</f>
        <v/>
      </c>
      <c r="P2595">
        <f>TEXT(B2595,"yyyy-mm")</f>
        <v/>
      </c>
      <c r="Q2595">
        <f>IF(O2595&gt;=3000,"Large","Small")</f>
        <v/>
      </c>
      <c r="R2595">
        <f>INDEX(Products!$F$2:$F$49,MATCH(J2595,Products!$A$2:$A$49,0))</f>
        <v/>
      </c>
      <c r="S2595">
        <f>WEEKDAY(B2595,2)</f>
        <v/>
      </c>
    </row>
    <row r="2596">
      <c r="A2596" t="n">
        <v>510690</v>
      </c>
      <c r="B2596" s="6" t="n">
        <v>45969</v>
      </c>
      <c r="C2596" t="n">
        <v>17229</v>
      </c>
      <c r="D2596" t="inlineStr">
        <is>
          <t>Hyderabad</t>
        </is>
      </c>
      <c r="E2596" t="inlineStr">
        <is>
          <t>South</t>
        </is>
      </c>
      <c r="F2596" t="inlineStr">
        <is>
          <t>Organic Search</t>
        </is>
      </c>
      <c r="G2596" t="inlineStr">
        <is>
          <t>Mobile App</t>
        </is>
      </c>
      <c r="H2596" t="inlineStr">
        <is>
          <t>UPI</t>
        </is>
      </c>
      <c r="I2596" t="inlineStr">
        <is>
          <t>Delivered</t>
        </is>
      </c>
      <c r="J2596" t="n">
        <v>113</v>
      </c>
      <c r="K2596" t="n">
        <v>2</v>
      </c>
      <c r="L2596" t="n">
        <v>1364</v>
      </c>
      <c r="M2596" t="n">
        <v>0</v>
      </c>
      <c r="N2596">
        <f>VLOOKUP(J2596,Products!$A$2:$C$49,3,FALSE)</f>
        <v/>
      </c>
      <c r="O2596">
        <f>K2596*L2596-M2596</f>
        <v/>
      </c>
      <c r="P2596">
        <f>TEXT(B2596,"yyyy-mm")</f>
        <v/>
      </c>
      <c r="Q2596">
        <f>IF(O2596&gt;=3000,"Large","Small")</f>
        <v/>
      </c>
      <c r="R2596">
        <f>INDEX(Products!$F$2:$F$49,MATCH(J2596,Products!$A$2:$A$49,0))</f>
        <v/>
      </c>
      <c r="S2596">
        <f>WEEKDAY(B2596,2)</f>
        <v/>
      </c>
    </row>
    <row r="2597">
      <c r="A2597" t="n">
        <v>510691</v>
      </c>
      <c r="B2597" s="6" t="n">
        <v>45969</v>
      </c>
      <c r="C2597" t="n">
        <v>14505</v>
      </c>
      <c r="D2597" t="inlineStr">
        <is>
          <t>Gurugram</t>
        </is>
      </c>
      <c r="E2597" t="inlineStr">
        <is>
          <t>North</t>
        </is>
      </c>
      <c r="F2597" t="inlineStr">
        <is>
          <t>Paid Search</t>
        </is>
      </c>
      <c r="G2597" t="inlineStr">
        <is>
          <t>Mobile App</t>
        </is>
      </c>
      <c r="H2597" t="inlineStr">
        <is>
          <t>Debit Card</t>
        </is>
      </c>
      <c r="I2597" t="inlineStr">
        <is>
          <t>Delivered</t>
        </is>
      </c>
      <c r="J2597" t="n">
        <v>112</v>
      </c>
      <c r="K2597" t="n">
        <v>1</v>
      </c>
      <c r="L2597" t="n">
        <v>1574</v>
      </c>
      <c r="M2597" t="n">
        <v>0</v>
      </c>
      <c r="N2597">
        <f>VLOOKUP(J2597,Products!$A$2:$C$49,3,FALSE)</f>
        <v/>
      </c>
      <c r="O2597">
        <f>K2597*L2597-M2597</f>
        <v/>
      </c>
      <c r="P2597">
        <f>TEXT(B2597,"yyyy-mm")</f>
        <v/>
      </c>
      <c r="Q2597">
        <f>IF(O2597&gt;=3000,"Large","Small")</f>
        <v/>
      </c>
      <c r="R2597">
        <f>INDEX(Products!$F$2:$F$49,MATCH(J2597,Products!$A$2:$A$49,0))</f>
        <v/>
      </c>
      <c r="S2597">
        <f>WEEKDAY(B2597,2)</f>
        <v/>
      </c>
    </row>
    <row r="2598">
      <c r="A2598" t="n">
        <v>510692</v>
      </c>
      <c r="B2598" s="6" t="n">
        <v>45969</v>
      </c>
      <c r="C2598" t="n">
        <v>17180</v>
      </c>
      <c r="D2598" t="inlineStr">
        <is>
          <t>Pune</t>
        </is>
      </c>
      <c r="E2598" t="inlineStr">
        <is>
          <t>West</t>
        </is>
      </c>
      <c r="F2598" t="inlineStr">
        <is>
          <t>Email</t>
        </is>
      </c>
      <c r="G2598" t="inlineStr">
        <is>
          <t>Mobile App</t>
        </is>
      </c>
      <c r="H2598" t="inlineStr">
        <is>
          <t>UPI</t>
        </is>
      </c>
      <c r="I2598" t="inlineStr">
        <is>
          <t>Delivered</t>
        </is>
      </c>
      <c r="J2598" t="n">
        <v>108</v>
      </c>
      <c r="K2598" t="n">
        <v>1</v>
      </c>
      <c r="L2598" t="n">
        <v>419</v>
      </c>
      <c r="M2598" t="n">
        <v>62.85</v>
      </c>
      <c r="N2598">
        <f>VLOOKUP(J2598,Products!$A$2:$C$49,3,FALSE)</f>
        <v/>
      </c>
      <c r="O2598">
        <f>K2598*L2598-M2598</f>
        <v/>
      </c>
      <c r="P2598">
        <f>TEXT(B2598,"yyyy-mm")</f>
        <v/>
      </c>
      <c r="Q2598">
        <f>IF(O2598&gt;=3000,"Large","Small")</f>
        <v/>
      </c>
      <c r="R2598">
        <f>INDEX(Products!$F$2:$F$49,MATCH(J2598,Products!$A$2:$A$49,0))</f>
        <v/>
      </c>
      <c r="S2598">
        <f>WEEKDAY(B2598,2)</f>
        <v/>
      </c>
    </row>
    <row r="2599">
      <c r="A2599" t="n">
        <v>510693</v>
      </c>
      <c r="B2599" s="6" t="n">
        <v>45969</v>
      </c>
      <c r="C2599" t="n">
        <v>17196</v>
      </c>
      <c r="D2599" t="inlineStr">
        <is>
          <t>Indore</t>
        </is>
      </c>
      <c r="E2599" t="inlineStr">
        <is>
          <t>West</t>
        </is>
      </c>
      <c r="F2599" t="inlineStr">
        <is>
          <t>Paid Social</t>
        </is>
      </c>
      <c r="G2599" t="inlineStr">
        <is>
          <t>Mobile App</t>
        </is>
      </c>
      <c r="H2599" t="inlineStr">
        <is>
          <t>UPI</t>
        </is>
      </c>
      <c r="I2599" t="inlineStr">
        <is>
          <t>Delivered</t>
        </is>
      </c>
      <c r="J2599" t="n">
        <v>138</v>
      </c>
      <c r="K2599" t="n">
        <v>1</v>
      </c>
      <c r="L2599" t="n">
        <v>419</v>
      </c>
      <c r="M2599" t="n">
        <v>20.95</v>
      </c>
      <c r="N2599">
        <f>VLOOKUP(J2599,Products!$A$2:$C$49,3,FALSE)</f>
        <v/>
      </c>
      <c r="O2599">
        <f>K2599*L2599-M2599</f>
        <v/>
      </c>
      <c r="P2599">
        <f>TEXT(B2599,"yyyy-mm")</f>
        <v/>
      </c>
      <c r="Q2599">
        <f>IF(O2599&gt;=3000,"Large","Small")</f>
        <v/>
      </c>
      <c r="R2599">
        <f>INDEX(Products!$F$2:$F$49,MATCH(J2599,Products!$A$2:$A$49,0))</f>
        <v/>
      </c>
      <c r="S2599">
        <f>WEEKDAY(B2599,2)</f>
        <v/>
      </c>
    </row>
    <row r="2600">
      <c r="A2600" t="n">
        <v>510694</v>
      </c>
      <c r="B2600" s="6" t="n">
        <v>45969</v>
      </c>
      <c r="C2600" t="n">
        <v>15747</v>
      </c>
      <c r="D2600" t="inlineStr">
        <is>
          <t>Mumbai</t>
        </is>
      </c>
      <c r="E2600" t="inlineStr">
        <is>
          <t>West</t>
        </is>
      </c>
      <c r="F2600" t="inlineStr">
        <is>
          <t>Referral</t>
        </is>
      </c>
      <c r="G2600" t="inlineStr">
        <is>
          <t>Mobile Web</t>
        </is>
      </c>
      <c r="H2600" t="inlineStr">
        <is>
          <t>Cash on Delivery</t>
        </is>
      </c>
      <c r="I2600" t="inlineStr">
        <is>
          <t>Delivered</t>
        </is>
      </c>
      <c r="J2600" t="n">
        <v>127</v>
      </c>
      <c r="K2600" t="n">
        <v>2</v>
      </c>
      <c r="L2600" t="n">
        <v>681</v>
      </c>
      <c r="M2600" t="n">
        <v>0</v>
      </c>
      <c r="N2600">
        <f>VLOOKUP(J2600,Products!$A$2:$C$49,3,FALSE)</f>
        <v/>
      </c>
      <c r="O2600">
        <f>K2600*L2600-M2600</f>
        <v/>
      </c>
      <c r="P2600">
        <f>TEXT(B2600,"yyyy-mm")</f>
        <v/>
      </c>
      <c r="Q2600">
        <f>IF(O2600&gt;=3000,"Large","Small")</f>
        <v/>
      </c>
      <c r="R2600">
        <f>INDEX(Products!$F$2:$F$49,MATCH(J2600,Products!$A$2:$A$49,0))</f>
        <v/>
      </c>
      <c r="S2600">
        <f>WEEKDAY(B2600,2)</f>
        <v/>
      </c>
    </row>
    <row r="2601">
      <c r="A2601" t="n">
        <v>510694</v>
      </c>
      <c r="B2601" s="6" t="n">
        <v>45969</v>
      </c>
      <c r="C2601" t="n">
        <v>15747</v>
      </c>
      <c r="D2601" t="inlineStr">
        <is>
          <t>Mumbai</t>
        </is>
      </c>
      <c r="E2601" t="inlineStr">
        <is>
          <t>West</t>
        </is>
      </c>
      <c r="F2601" t="inlineStr">
        <is>
          <t>Referral</t>
        </is>
      </c>
      <c r="G2601" t="inlineStr">
        <is>
          <t>Mobile Web</t>
        </is>
      </c>
      <c r="H2601" t="inlineStr">
        <is>
          <t>Cash on Delivery</t>
        </is>
      </c>
      <c r="I2601" t="inlineStr">
        <is>
          <t>Delivered</t>
        </is>
      </c>
      <c r="J2601" t="n">
        <v>135</v>
      </c>
      <c r="K2601" t="n">
        <v>1</v>
      </c>
      <c r="L2601" t="n">
        <v>1574</v>
      </c>
      <c r="M2601" t="n">
        <v>0</v>
      </c>
      <c r="N2601">
        <f>VLOOKUP(J2601,Products!$A$2:$C$49,3,FALSE)</f>
        <v/>
      </c>
      <c r="O2601">
        <f>K2601*L2601-M2601</f>
        <v/>
      </c>
      <c r="P2601">
        <f>TEXT(B2601,"yyyy-mm")</f>
        <v/>
      </c>
      <c r="Q2601">
        <f>IF(O2601&gt;=3000,"Large","Small")</f>
        <v/>
      </c>
      <c r="R2601">
        <f>INDEX(Products!$F$2:$F$49,MATCH(J2601,Products!$A$2:$A$49,0))</f>
        <v/>
      </c>
      <c r="S2601">
        <f>WEEKDAY(B2601,2)</f>
        <v/>
      </c>
    </row>
    <row r="2602">
      <c r="A2602" t="n">
        <v>510695</v>
      </c>
      <c r="B2602" s="6" t="n">
        <v>45969</v>
      </c>
      <c r="C2602" t="n">
        <v>17234</v>
      </c>
      <c r="D2602" t="inlineStr">
        <is>
          <t>Bengaluru</t>
        </is>
      </c>
      <c r="E2602" t="inlineStr">
        <is>
          <t>South</t>
        </is>
      </c>
      <c r="F2602" t="inlineStr">
        <is>
          <t>Organic Search</t>
        </is>
      </c>
      <c r="G2602" t="inlineStr">
        <is>
          <t>Mobile Web</t>
        </is>
      </c>
      <c r="H2602" t="inlineStr">
        <is>
          <t>UPI</t>
        </is>
      </c>
      <c r="I2602" t="inlineStr">
        <is>
          <t>Delivered</t>
        </is>
      </c>
      <c r="J2602" t="n">
        <v>103</v>
      </c>
      <c r="K2602" t="n">
        <v>1</v>
      </c>
      <c r="L2602" t="n">
        <v>2624</v>
      </c>
      <c r="M2602" t="n">
        <v>393.6</v>
      </c>
      <c r="N2602">
        <f>VLOOKUP(J2602,Products!$A$2:$C$49,3,FALSE)</f>
        <v/>
      </c>
      <c r="O2602">
        <f>K2602*L2602-M2602</f>
        <v/>
      </c>
      <c r="P2602">
        <f>TEXT(B2602,"yyyy-mm")</f>
        <v/>
      </c>
      <c r="Q2602">
        <f>IF(O2602&gt;=3000,"Large","Small")</f>
        <v/>
      </c>
      <c r="R2602">
        <f>INDEX(Products!$F$2:$F$49,MATCH(J2602,Products!$A$2:$A$49,0))</f>
        <v/>
      </c>
      <c r="S2602">
        <f>WEEKDAY(B2602,2)</f>
        <v/>
      </c>
    </row>
    <row r="2603">
      <c r="A2603" t="n">
        <v>510696</v>
      </c>
      <c r="B2603" s="6" t="n">
        <v>45969</v>
      </c>
      <c r="C2603" t="n">
        <v>17248</v>
      </c>
      <c r="D2603" t="inlineStr">
        <is>
          <t>Lucknow</t>
        </is>
      </c>
      <c r="E2603" t="inlineStr">
        <is>
          <t>North</t>
        </is>
      </c>
      <c r="F2603" t="inlineStr">
        <is>
          <t>Organic Search</t>
        </is>
      </c>
      <c r="G2603" t="inlineStr">
        <is>
          <t>Desktop</t>
        </is>
      </c>
      <c r="H2603" t="inlineStr">
        <is>
          <t>UPI</t>
        </is>
      </c>
      <c r="I2603" t="inlineStr">
        <is>
          <t>Delivered</t>
        </is>
      </c>
      <c r="J2603" t="n">
        <v>143</v>
      </c>
      <c r="K2603" t="n">
        <v>1</v>
      </c>
      <c r="L2603" t="n">
        <v>839</v>
      </c>
      <c r="M2603" t="n">
        <v>125.85</v>
      </c>
      <c r="N2603">
        <f>VLOOKUP(J2603,Products!$A$2:$C$49,3,FALSE)</f>
        <v/>
      </c>
      <c r="O2603">
        <f>K2603*L2603-M2603</f>
        <v/>
      </c>
      <c r="P2603">
        <f>TEXT(B2603,"yyyy-mm")</f>
        <v/>
      </c>
      <c r="Q2603">
        <f>IF(O2603&gt;=3000,"Large","Small")</f>
        <v/>
      </c>
      <c r="R2603">
        <f>INDEX(Products!$F$2:$F$49,MATCH(J2603,Products!$A$2:$A$49,0))</f>
        <v/>
      </c>
      <c r="S2603">
        <f>WEEKDAY(B2603,2)</f>
        <v/>
      </c>
    </row>
    <row r="2604">
      <c r="A2604" t="n">
        <v>510696</v>
      </c>
      <c r="B2604" s="6" t="n">
        <v>45969</v>
      </c>
      <c r="C2604" t="n">
        <v>17248</v>
      </c>
      <c r="D2604" t="inlineStr">
        <is>
          <t>Lucknow</t>
        </is>
      </c>
      <c r="E2604" t="inlineStr">
        <is>
          <t>North</t>
        </is>
      </c>
      <c r="F2604" t="inlineStr">
        <is>
          <t>Organic Search</t>
        </is>
      </c>
      <c r="G2604" t="inlineStr">
        <is>
          <t>Desktop</t>
        </is>
      </c>
      <c r="H2604" t="inlineStr">
        <is>
          <t>UPI</t>
        </is>
      </c>
      <c r="I2604" t="inlineStr">
        <is>
          <t>Delivered</t>
        </is>
      </c>
      <c r="J2604" t="n">
        <v>113</v>
      </c>
      <c r="K2604" t="n">
        <v>2</v>
      </c>
      <c r="L2604" t="n">
        <v>1364</v>
      </c>
      <c r="M2604" t="n">
        <v>409.2</v>
      </c>
      <c r="N2604">
        <f>VLOOKUP(J2604,Products!$A$2:$C$49,3,FALSE)</f>
        <v/>
      </c>
      <c r="O2604">
        <f>K2604*L2604-M2604</f>
        <v/>
      </c>
      <c r="P2604">
        <f>TEXT(B2604,"yyyy-mm")</f>
        <v/>
      </c>
      <c r="Q2604">
        <f>IF(O2604&gt;=3000,"Large","Small")</f>
        <v/>
      </c>
      <c r="R2604">
        <f>INDEX(Products!$F$2:$F$49,MATCH(J2604,Products!$A$2:$A$49,0))</f>
        <v/>
      </c>
      <c r="S2604">
        <f>WEEKDAY(B2604,2)</f>
        <v/>
      </c>
    </row>
    <row r="2605">
      <c r="A2605" t="n">
        <v>510696</v>
      </c>
      <c r="B2605" s="6" t="n">
        <v>45969</v>
      </c>
      <c r="C2605" t="n">
        <v>17248</v>
      </c>
      <c r="D2605" t="inlineStr">
        <is>
          <t>Lucknow</t>
        </is>
      </c>
      <c r="E2605" t="inlineStr">
        <is>
          <t>North</t>
        </is>
      </c>
      <c r="F2605" t="inlineStr">
        <is>
          <t>Organic Search</t>
        </is>
      </c>
      <c r="G2605" t="inlineStr">
        <is>
          <t>Desktop</t>
        </is>
      </c>
      <c r="H2605" t="inlineStr">
        <is>
          <t>UPI</t>
        </is>
      </c>
      <c r="I2605" t="inlineStr">
        <is>
          <t>Delivered</t>
        </is>
      </c>
      <c r="J2605" t="n">
        <v>116</v>
      </c>
      <c r="K2605" t="n">
        <v>1</v>
      </c>
      <c r="L2605" t="n">
        <v>2624</v>
      </c>
      <c r="M2605" t="n">
        <v>393.6</v>
      </c>
      <c r="N2605">
        <f>VLOOKUP(J2605,Products!$A$2:$C$49,3,FALSE)</f>
        <v/>
      </c>
      <c r="O2605">
        <f>K2605*L2605-M2605</f>
        <v/>
      </c>
      <c r="P2605">
        <f>TEXT(B2605,"yyyy-mm")</f>
        <v/>
      </c>
      <c r="Q2605">
        <f>IF(O2605&gt;=3000,"Large","Small")</f>
        <v/>
      </c>
      <c r="R2605">
        <f>INDEX(Products!$F$2:$F$49,MATCH(J2605,Products!$A$2:$A$49,0))</f>
        <v/>
      </c>
      <c r="S2605">
        <f>WEEKDAY(B2605,2)</f>
        <v/>
      </c>
    </row>
    <row r="2606">
      <c r="A2606" t="n">
        <v>510697</v>
      </c>
      <c r="B2606" s="6" t="n">
        <v>45969</v>
      </c>
      <c r="C2606" t="n">
        <v>10602</v>
      </c>
      <c r="D2606" t="inlineStr">
        <is>
          <t>Chennai</t>
        </is>
      </c>
      <c r="E2606" t="inlineStr">
        <is>
          <t>South</t>
        </is>
      </c>
      <c r="F2606" t="inlineStr">
        <is>
          <t>Email</t>
        </is>
      </c>
      <c r="G2606" t="inlineStr">
        <is>
          <t>Mobile App</t>
        </is>
      </c>
      <c r="H2606" t="inlineStr">
        <is>
          <t>UPI</t>
        </is>
      </c>
      <c r="I2606" t="inlineStr">
        <is>
          <t>Delivered</t>
        </is>
      </c>
      <c r="J2606" t="n">
        <v>110</v>
      </c>
      <c r="K2606" t="n">
        <v>1</v>
      </c>
      <c r="L2606" t="n">
        <v>839</v>
      </c>
      <c r="M2606" t="n">
        <v>0</v>
      </c>
      <c r="N2606">
        <f>VLOOKUP(J2606,Products!$A$2:$C$49,3,FALSE)</f>
        <v/>
      </c>
      <c r="O2606">
        <f>K2606*L2606-M2606</f>
        <v/>
      </c>
      <c r="P2606">
        <f>TEXT(B2606,"yyyy-mm")</f>
        <v/>
      </c>
      <c r="Q2606">
        <f>IF(O2606&gt;=3000,"Large","Small")</f>
        <v/>
      </c>
      <c r="R2606">
        <f>INDEX(Products!$F$2:$F$49,MATCH(J2606,Products!$A$2:$A$49,0))</f>
        <v/>
      </c>
      <c r="S2606">
        <f>WEEKDAY(B2606,2)</f>
        <v/>
      </c>
    </row>
    <row r="2607">
      <c r="A2607" t="n">
        <v>510698</v>
      </c>
      <c r="B2607" s="6" t="n">
        <v>45969</v>
      </c>
      <c r="C2607" t="n">
        <v>16785</v>
      </c>
      <c r="D2607" t="inlineStr">
        <is>
          <t>Delhi</t>
        </is>
      </c>
      <c r="E2607" t="inlineStr">
        <is>
          <t>North</t>
        </is>
      </c>
      <c r="F2607" t="inlineStr">
        <is>
          <t>Organic Search</t>
        </is>
      </c>
      <c r="G2607" t="inlineStr">
        <is>
          <t>Mobile App</t>
        </is>
      </c>
      <c r="H2607" t="inlineStr">
        <is>
          <t>UPI</t>
        </is>
      </c>
      <c r="I2607" t="inlineStr">
        <is>
          <t>Returned</t>
        </is>
      </c>
      <c r="J2607" t="n">
        <v>104</v>
      </c>
      <c r="K2607" t="n">
        <v>3</v>
      </c>
      <c r="L2607" t="n">
        <v>5249</v>
      </c>
      <c r="M2607" t="n">
        <v>0</v>
      </c>
      <c r="N2607">
        <f>VLOOKUP(J2607,Products!$A$2:$C$49,3,FALSE)</f>
        <v/>
      </c>
      <c r="O2607">
        <f>K2607*L2607-M2607</f>
        <v/>
      </c>
      <c r="P2607">
        <f>TEXT(B2607,"yyyy-mm")</f>
        <v/>
      </c>
      <c r="Q2607">
        <f>IF(O2607&gt;=3000,"Large","Small")</f>
        <v/>
      </c>
      <c r="R2607">
        <f>INDEX(Products!$F$2:$F$49,MATCH(J2607,Products!$A$2:$A$49,0))</f>
        <v/>
      </c>
      <c r="S2607">
        <f>WEEKDAY(B2607,2)</f>
        <v/>
      </c>
    </row>
    <row r="2608">
      <c r="A2608" t="n">
        <v>510698</v>
      </c>
      <c r="B2608" s="6" t="n">
        <v>45969</v>
      </c>
      <c r="C2608" t="n">
        <v>16785</v>
      </c>
      <c r="D2608" t="inlineStr">
        <is>
          <t>Delhi</t>
        </is>
      </c>
      <c r="E2608" t="inlineStr">
        <is>
          <t>North</t>
        </is>
      </c>
      <c r="F2608" t="inlineStr">
        <is>
          <t>Organic Search</t>
        </is>
      </c>
      <c r="G2608" t="inlineStr">
        <is>
          <t>Mobile App</t>
        </is>
      </c>
      <c r="H2608" t="inlineStr">
        <is>
          <t>UPI</t>
        </is>
      </c>
      <c r="I2608" t="inlineStr">
        <is>
          <t>Returned</t>
        </is>
      </c>
      <c r="J2608" t="n">
        <v>118</v>
      </c>
      <c r="K2608" t="n">
        <v>1</v>
      </c>
      <c r="L2608" t="n">
        <v>944</v>
      </c>
      <c r="M2608" t="n">
        <v>0</v>
      </c>
      <c r="N2608">
        <f>VLOOKUP(J2608,Products!$A$2:$C$49,3,FALSE)</f>
        <v/>
      </c>
      <c r="O2608">
        <f>K2608*L2608-M2608</f>
        <v/>
      </c>
      <c r="P2608">
        <f>TEXT(B2608,"yyyy-mm")</f>
        <v/>
      </c>
      <c r="Q2608">
        <f>IF(O2608&gt;=3000,"Large","Small")</f>
        <v/>
      </c>
      <c r="R2608">
        <f>INDEX(Products!$F$2:$F$49,MATCH(J2608,Products!$A$2:$A$49,0))</f>
        <v/>
      </c>
      <c r="S2608">
        <f>WEEKDAY(B2608,2)</f>
        <v/>
      </c>
    </row>
    <row r="2609">
      <c r="A2609" t="n">
        <v>510698</v>
      </c>
      <c r="B2609" s="6" t="n">
        <v>45969</v>
      </c>
      <c r="C2609" t="n">
        <v>16785</v>
      </c>
      <c r="D2609" t="inlineStr">
        <is>
          <t>Delhi</t>
        </is>
      </c>
      <c r="E2609" t="inlineStr">
        <is>
          <t>North</t>
        </is>
      </c>
      <c r="F2609" t="inlineStr">
        <is>
          <t>Organic Search</t>
        </is>
      </c>
      <c r="G2609" t="inlineStr">
        <is>
          <t>Mobile App</t>
        </is>
      </c>
      <c r="H2609" t="inlineStr">
        <is>
          <t>UPI</t>
        </is>
      </c>
      <c r="I2609" t="inlineStr">
        <is>
          <t>Returned</t>
        </is>
      </c>
      <c r="J2609" t="n">
        <v>113</v>
      </c>
      <c r="K2609" t="n">
        <v>1</v>
      </c>
      <c r="L2609" t="n">
        <v>1364</v>
      </c>
      <c r="M2609" t="n">
        <v>0</v>
      </c>
      <c r="N2609">
        <f>VLOOKUP(J2609,Products!$A$2:$C$49,3,FALSE)</f>
        <v/>
      </c>
      <c r="O2609">
        <f>K2609*L2609-M2609</f>
        <v/>
      </c>
      <c r="P2609">
        <f>TEXT(B2609,"yyyy-mm")</f>
        <v/>
      </c>
      <c r="Q2609">
        <f>IF(O2609&gt;=3000,"Large","Small")</f>
        <v/>
      </c>
      <c r="R2609">
        <f>INDEX(Products!$F$2:$F$49,MATCH(J2609,Products!$A$2:$A$49,0))</f>
        <v/>
      </c>
      <c r="S2609">
        <f>WEEKDAY(B2609,2)</f>
        <v/>
      </c>
    </row>
    <row r="2610">
      <c r="A2610" t="n">
        <v>510699</v>
      </c>
      <c r="B2610" s="6" t="n">
        <v>45969</v>
      </c>
      <c r="C2610" t="n">
        <v>17172</v>
      </c>
      <c r="D2610" t="inlineStr">
        <is>
          <t>Gurugram</t>
        </is>
      </c>
      <c r="E2610" t="inlineStr">
        <is>
          <t>North</t>
        </is>
      </c>
      <c r="F2610" t="inlineStr">
        <is>
          <t>Organic Search</t>
        </is>
      </c>
      <c r="G2610" t="inlineStr">
        <is>
          <t>Mobile App</t>
        </is>
      </c>
      <c r="H2610" t="inlineStr">
        <is>
          <t>Net Banking</t>
        </is>
      </c>
      <c r="I2610" t="inlineStr">
        <is>
          <t>Delivered</t>
        </is>
      </c>
      <c r="J2610" t="n">
        <v>127</v>
      </c>
      <c r="K2610" t="n">
        <v>1</v>
      </c>
      <c r="L2610" t="n">
        <v>681</v>
      </c>
      <c r="M2610" t="n">
        <v>102.15</v>
      </c>
      <c r="N2610">
        <f>VLOOKUP(J2610,Products!$A$2:$C$49,3,FALSE)</f>
        <v/>
      </c>
      <c r="O2610">
        <f>K2610*L2610-M2610</f>
        <v/>
      </c>
      <c r="P2610">
        <f>TEXT(B2610,"yyyy-mm")</f>
        <v/>
      </c>
      <c r="Q2610">
        <f>IF(O2610&gt;=3000,"Large","Small")</f>
        <v/>
      </c>
      <c r="R2610">
        <f>INDEX(Products!$F$2:$F$49,MATCH(J2610,Products!$A$2:$A$49,0))</f>
        <v/>
      </c>
      <c r="S2610">
        <f>WEEKDAY(B2610,2)</f>
        <v/>
      </c>
    </row>
    <row r="2611">
      <c r="A2611" t="n">
        <v>510699</v>
      </c>
      <c r="B2611" s="6" t="n">
        <v>45969</v>
      </c>
      <c r="C2611" t="n">
        <v>17172</v>
      </c>
      <c r="D2611" t="inlineStr">
        <is>
          <t>Gurugram</t>
        </is>
      </c>
      <c r="E2611" t="inlineStr">
        <is>
          <t>North</t>
        </is>
      </c>
      <c r="F2611" t="inlineStr">
        <is>
          <t>Organic Search</t>
        </is>
      </c>
      <c r="G2611" t="inlineStr">
        <is>
          <t>Mobile App</t>
        </is>
      </c>
      <c r="H2611" t="inlineStr">
        <is>
          <t>Net Banking</t>
        </is>
      </c>
      <c r="I2611" t="inlineStr">
        <is>
          <t>Delivered</t>
        </is>
      </c>
      <c r="J2611" t="n">
        <v>128</v>
      </c>
      <c r="K2611" t="n">
        <v>3</v>
      </c>
      <c r="L2611" t="n">
        <v>1049</v>
      </c>
      <c r="M2611" t="n">
        <v>472.05</v>
      </c>
      <c r="N2611">
        <f>VLOOKUP(J2611,Products!$A$2:$C$49,3,FALSE)</f>
        <v/>
      </c>
      <c r="O2611">
        <f>K2611*L2611-M2611</f>
        <v/>
      </c>
      <c r="P2611">
        <f>TEXT(B2611,"yyyy-mm")</f>
        <v/>
      </c>
      <c r="Q2611">
        <f>IF(O2611&gt;=3000,"Large","Small")</f>
        <v/>
      </c>
      <c r="R2611">
        <f>INDEX(Products!$F$2:$F$49,MATCH(J2611,Products!$A$2:$A$49,0))</f>
        <v/>
      </c>
      <c r="S2611">
        <f>WEEKDAY(B2611,2)</f>
        <v/>
      </c>
    </row>
    <row r="2612">
      <c r="A2612" t="n">
        <v>510700</v>
      </c>
      <c r="B2612" s="6" t="n">
        <v>45969</v>
      </c>
      <c r="C2612" t="n">
        <v>15018</v>
      </c>
      <c r="D2612" t="inlineStr">
        <is>
          <t>Indore</t>
        </is>
      </c>
      <c r="E2612" t="inlineStr">
        <is>
          <t>West</t>
        </is>
      </c>
      <c r="F2612" t="inlineStr">
        <is>
          <t>Paid Social</t>
        </is>
      </c>
      <c r="G2612" t="inlineStr">
        <is>
          <t>Mobile Web</t>
        </is>
      </c>
      <c r="H2612" t="inlineStr">
        <is>
          <t>UPI</t>
        </is>
      </c>
      <c r="I2612" t="inlineStr">
        <is>
          <t>Delivered</t>
        </is>
      </c>
      <c r="J2612" t="n">
        <v>113</v>
      </c>
      <c r="K2612" t="n">
        <v>1</v>
      </c>
      <c r="L2612" t="n">
        <v>1364</v>
      </c>
      <c r="M2612" t="n">
        <v>0</v>
      </c>
      <c r="N2612">
        <f>VLOOKUP(J2612,Products!$A$2:$C$49,3,FALSE)</f>
        <v/>
      </c>
      <c r="O2612">
        <f>K2612*L2612-M2612</f>
        <v/>
      </c>
      <c r="P2612">
        <f>TEXT(B2612,"yyyy-mm")</f>
        <v/>
      </c>
      <c r="Q2612">
        <f>IF(O2612&gt;=3000,"Large","Small")</f>
        <v/>
      </c>
      <c r="R2612">
        <f>INDEX(Products!$F$2:$F$49,MATCH(J2612,Products!$A$2:$A$49,0))</f>
        <v/>
      </c>
      <c r="S2612">
        <f>WEEKDAY(B2612,2)</f>
        <v/>
      </c>
    </row>
    <row r="2613">
      <c r="A2613" t="n">
        <v>510701</v>
      </c>
      <c r="B2613" s="6" t="n">
        <v>45969</v>
      </c>
      <c r="C2613" t="n">
        <v>17235</v>
      </c>
      <c r="D2613" t="inlineStr">
        <is>
          <t>Delhi</t>
        </is>
      </c>
      <c r="E2613" t="inlineStr">
        <is>
          <t>North</t>
        </is>
      </c>
      <c r="F2613" t="inlineStr">
        <is>
          <t>Organic Search</t>
        </is>
      </c>
      <c r="G2613" t="inlineStr">
        <is>
          <t>Desktop</t>
        </is>
      </c>
      <c r="H2613" t="inlineStr">
        <is>
          <t>UPI</t>
        </is>
      </c>
      <c r="I2613" t="inlineStr">
        <is>
          <t>Delivered</t>
        </is>
      </c>
      <c r="J2613" t="n">
        <v>117</v>
      </c>
      <c r="K2613" t="n">
        <v>1</v>
      </c>
      <c r="L2613" t="n">
        <v>3149</v>
      </c>
      <c r="M2613" t="n">
        <v>472.35</v>
      </c>
      <c r="N2613">
        <f>VLOOKUP(J2613,Products!$A$2:$C$49,3,FALSE)</f>
        <v/>
      </c>
      <c r="O2613">
        <f>K2613*L2613-M2613</f>
        <v/>
      </c>
      <c r="P2613">
        <f>TEXT(B2613,"yyyy-mm")</f>
        <v/>
      </c>
      <c r="Q2613">
        <f>IF(O2613&gt;=3000,"Large","Small")</f>
        <v/>
      </c>
      <c r="R2613">
        <f>INDEX(Products!$F$2:$F$49,MATCH(J2613,Products!$A$2:$A$49,0))</f>
        <v/>
      </c>
      <c r="S2613">
        <f>WEEKDAY(B2613,2)</f>
        <v/>
      </c>
    </row>
    <row r="2614">
      <c r="A2614" t="n">
        <v>510701</v>
      </c>
      <c r="B2614" s="6" t="n">
        <v>45969</v>
      </c>
      <c r="C2614" t="n">
        <v>17235</v>
      </c>
      <c r="D2614" t="inlineStr">
        <is>
          <t>Delhi</t>
        </is>
      </c>
      <c r="E2614" t="inlineStr">
        <is>
          <t>North</t>
        </is>
      </c>
      <c r="F2614" t="inlineStr">
        <is>
          <t>Organic Search</t>
        </is>
      </c>
      <c r="G2614" t="inlineStr">
        <is>
          <t>Desktop</t>
        </is>
      </c>
      <c r="H2614" t="inlineStr">
        <is>
          <t>UPI</t>
        </is>
      </c>
      <c r="I2614" t="inlineStr">
        <is>
          <t>Delivered</t>
        </is>
      </c>
      <c r="J2614" t="n">
        <v>109</v>
      </c>
      <c r="K2614" t="n">
        <v>1</v>
      </c>
      <c r="L2614" t="n">
        <v>4199</v>
      </c>
      <c r="M2614" t="n">
        <v>629.85</v>
      </c>
      <c r="N2614">
        <f>VLOOKUP(J2614,Products!$A$2:$C$49,3,FALSE)</f>
        <v/>
      </c>
      <c r="O2614">
        <f>K2614*L2614-M2614</f>
        <v/>
      </c>
      <c r="P2614">
        <f>TEXT(B2614,"yyyy-mm")</f>
        <v/>
      </c>
      <c r="Q2614">
        <f>IF(O2614&gt;=3000,"Large","Small")</f>
        <v/>
      </c>
      <c r="R2614">
        <f>INDEX(Products!$F$2:$F$49,MATCH(J2614,Products!$A$2:$A$49,0))</f>
        <v/>
      </c>
      <c r="S2614">
        <f>WEEKDAY(B2614,2)</f>
        <v/>
      </c>
    </row>
    <row r="2615">
      <c r="A2615" t="n">
        <v>510702</v>
      </c>
      <c r="B2615" s="6" t="n">
        <v>45969</v>
      </c>
      <c r="C2615" t="n">
        <v>17163</v>
      </c>
      <c r="D2615" t="inlineStr">
        <is>
          <t>Lucknow</t>
        </is>
      </c>
      <c r="E2615" t="inlineStr">
        <is>
          <t>North</t>
        </is>
      </c>
      <c r="F2615" t="inlineStr">
        <is>
          <t>Affiliate</t>
        </is>
      </c>
      <c r="G2615" t="inlineStr">
        <is>
          <t>Desktop</t>
        </is>
      </c>
      <c r="H2615" t="inlineStr">
        <is>
          <t>UPI</t>
        </is>
      </c>
      <c r="I2615" t="inlineStr">
        <is>
          <t>Delivered</t>
        </is>
      </c>
      <c r="J2615" t="n">
        <v>140</v>
      </c>
      <c r="K2615" t="n">
        <v>1</v>
      </c>
      <c r="L2615" t="n">
        <v>629</v>
      </c>
      <c r="M2615" t="n">
        <v>94.34999999999999</v>
      </c>
      <c r="N2615">
        <f>VLOOKUP(J2615,Products!$A$2:$C$49,3,FALSE)</f>
        <v/>
      </c>
      <c r="O2615">
        <f>K2615*L2615-M2615</f>
        <v/>
      </c>
      <c r="P2615">
        <f>TEXT(B2615,"yyyy-mm")</f>
        <v/>
      </c>
      <c r="Q2615">
        <f>IF(O2615&gt;=3000,"Large","Small")</f>
        <v/>
      </c>
      <c r="R2615">
        <f>INDEX(Products!$F$2:$F$49,MATCH(J2615,Products!$A$2:$A$49,0))</f>
        <v/>
      </c>
      <c r="S2615">
        <f>WEEKDAY(B2615,2)</f>
        <v/>
      </c>
    </row>
    <row r="2616">
      <c r="A2616" t="n">
        <v>510703</v>
      </c>
      <c r="B2616" s="6" t="n">
        <v>45969</v>
      </c>
      <c r="C2616" t="n">
        <v>16214</v>
      </c>
      <c r="D2616" t="inlineStr">
        <is>
          <t>Kochi</t>
        </is>
      </c>
      <c r="E2616" t="inlineStr">
        <is>
          <t>South</t>
        </is>
      </c>
      <c r="F2616" t="inlineStr">
        <is>
          <t>Referral</t>
        </is>
      </c>
      <c r="G2616" t="inlineStr">
        <is>
          <t>Desktop</t>
        </is>
      </c>
      <c r="H2616" t="inlineStr">
        <is>
          <t>UPI</t>
        </is>
      </c>
      <c r="I2616" t="inlineStr">
        <is>
          <t>Delivered</t>
        </is>
      </c>
      <c r="J2616" t="n">
        <v>137</v>
      </c>
      <c r="K2616" t="n">
        <v>1</v>
      </c>
      <c r="L2616" t="n">
        <v>261</v>
      </c>
      <c r="M2616" t="n">
        <v>0</v>
      </c>
      <c r="N2616">
        <f>VLOOKUP(J2616,Products!$A$2:$C$49,3,FALSE)</f>
        <v/>
      </c>
      <c r="O2616">
        <f>K2616*L2616-M2616</f>
        <v/>
      </c>
      <c r="P2616">
        <f>TEXT(B2616,"yyyy-mm")</f>
        <v/>
      </c>
      <c r="Q2616">
        <f>IF(O2616&gt;=3000,"Large","Small")</f>
        <v/>
      </c>
      <c r="R2616">
        <f>INDEX(Products!$F$2:$F$49,MATCH(J2616,Products!$A$2:$A$49,0))</f>
        <v/>
      </c>
      <c r="S2616">
        <f>WEEKDAY(B2616,2)</f>
        <v/>
      </c>
    </row>
    <row r="2617">
      <c r="A2617" t="n">
        <v>510703</v>
      </c>
      <c r="B2617" s="6" t="n">
        <v>45969</v>
      </c>
      <c r="C2617" t="n">
        <v>16214</v>
      </c>
      <c r="D2617" t="inlineStr">
        <is>
          <t>Kochi</t>
        </is>
      </c>
      <c r="E2617" t="inlineStr">
        <is>
          <t>South</t>
        </is>
      </c>
      <c r="F2617" t="inlineStr">
        <is>
          <t>Referral</t>
        </is>
      </c>
      <c r="G2617" t="inlineStr">
        <is>
          <t>Desktop</t>
        </is>
      </c>
      <c r="H2617" t="inlineStr">
        <is>
          <t>UPI</t>
        </is>
      </c>
      <c r="I2617" t="inlineStr">
        <is>
          <t>Delivered</t>
        </is>
      </c>
      <c r="J2617" t="n">
        <v>120</v>
      </c>
      <c r="K2617" t="n">
        <v>1</v>
      </c>
      <c r="L2617" t="n">
        <v>734</v>
      </c>
      <c r="M2617" t="n">
        <v>0</v>
      </c>
      <c r="N2617">
        <f>VLOOKUP(J2617,Products!$A$2:$C$49,3,FALSE)</f>
        <v/>
      </c>
      <c r="O2617">
        <f>K2617*L2617-M2617</f>
        <v/>
      </c>
      <c r="P2617">
        <f>TEXT(B2617,"yyyy-mm")</f>
        <v/>
      </c>
      <c r="Q2617">
        <f>IF(O2617&gt;=3000,"Large","Small")</f>
        <v/>
      </c>
      <c r="R2617">
        <f>INDEX(Products!$F$2:$F$49,MATCH(J2617,Products!$A$2:$A$49,0))</f>
        <v/>
      </c>
      <c r="S2617">
        <f>WEEKDAY(B2617,2)</f>
        <v/>
      </c>
    </row>
    <row r="2618">
      <c r="A2618" t="n">
        <v>510704</v>
      </c>
      <c r="B2618" s="6" t="n">
        <v>45969</v>
      </c>
      <c r="C2618" t="n">
        <v>17202</v>
      </c>
      <c r="D2618" t="inlineStr">
        <is>
          <t>Delhi</t>
        </is>
      </c>
      <c r="E2618" t="inlineStr">
        <is>
          <t>North</t>
        </is>
      </c>
      <c r="F2618" t="inlineStr">
        <is>
          <t>Email</t>
        </is>
      </c>
      <c r="G2618" t="inlineStr">
        <is>
          <t>Desktop</t>
        </is>
      </c>
      <c r="H2618" t="inlineStr">
        <is>
          <t>UPI</t>
        </is>
      </c>
      <c r="I2618" t="inlineStr">
        <is>
          <t>Returned</t>
        </is>
      </c>
      <c r="J2618" t="n">
        <v>142</v>
      </c>
      <c r="K2618" t="n">
        <v>1</v>
      </c>
      <c r="L2618" t="n">
        <v>839</v>
      </c>
      <c r="M2618" t="n">
        <v>0</v>
      </c>
      <c r="N2618">
        <f>VLOOKUP(J2618,Products!$A$2:$C$49,3,FALSE)</f>
        <v/>
      </c>
      <c r="O2618">
        <f>K2618*L2618-M2618</f>
        <v/>
      </c>
      <c r="P2618">
        <f>TEXT(B2618,"yyyy-mm")</f>
        <v/>
      </c>
      <c r="Q2618">
        <f>IF(O2618&gt;=3000,"Large","Small")</f>
        <v/>
      </c>
      <c r="R2618">
        <f>INDEX(Products!$F$2:$F$49,MATCH(J2618,Products!$A$2:$A$49,0))</f>
        <v/>
      </c>
      <c r="S2618">
        <f>WEEKDAY(B2618,2)</f>
        <v/>
      </c>
    </row>
    <row r="2619">
      <c r="A2619" t="n">
        <v>510704</v>
      </c>
      <c r="B2619" s="6" t="n">
        <v>45969</v>
      </c>
      <c r="C2619" t="n">
        <v>17202</v>
      </c>
      <c r="D2619" t="inlineStr">
        <is>
          <t>Delhi</t>
        </is>
      </c>
      <c r="E2619" t="inlineStr">
        <is>
          <t>North</t>
        </is>
      </c>
      <c r="F2619" t="inlineStr">
        <is>
          <t>Email</t>
        </is>
      </c>
      <c r="G2619" t="inlineStr">
        <is>
          <t>Desktop</t>
        </is>
      </c>
      <c r="H2619" t="inlineStr">
        <is>
          <t>UPI</t>
        </is>
      </c>
      <c r="I2619" t="inlineStr">
        <is>
          <t>Returned</t>
        </is>
      </c>
      <c r="J2619" t="n">
        <v>111</v>
      </c>
      <c r="K2619" t="n">
        <v>2</v>
      </c>
      <c r="L2619" t="n">
        <v>524</v>
      </c>
      <c r="M2619" t="n">
        <v>0</v>
      </c>
      <c r="N2619">
        <f>VLOOKUP(J2619,Products!$A$2:$C$49,3,FALSE)</f>
        <v/>
      </c>
      <c r="O2619">
        <f>K2619*L2619-M2619</f>
        <v/>
      </c>
      <c r="P2619">
        <f>TEXT(B2619,"yyyy-mm")</f>
        <v/>
      </c>
      <c r="Q2619">
        <f>IF(O2619&gt;=3000,"Large","Small")</f>
        <v/>
      </c>
      <c r="R2619">
        <f>INDEX(Products!$F$2:$F$49,MATCH(J2619,Products!$A$2:$A$49,0))</f>
        <v/>
      </c>
      <c r="S2619">
        <f>WEEKDAY(B2619,2)</f>
        <v/>
      </c>
    </row>
    <row r="2620">
      <c r="A2620" t="n">
        <v>510705</v>
      </c>
      <c r="B2620" s="6" t="n">
        <v>45969</v>
      </c>
      <c r="C2620" t="n">
        <v>17238</v>
      </c>
      <c r="D2620" t="inlineStr">
        <is>
          <t>Hyderabad</t>
        </is>
      </c>
      <c r="E2620" t="inlineStr">
        <is>
          <t>South</t>
        </is>
      </c>
      <c r="F2620" t="inlineStr">
        <is>
          <t>Organic Search</t>
        </is>
      </c>
      <c r="G2620" t="inlineStr">
        <is>
          <t>Mobile Web</t>
        </is>
      </c>
      <c r="H2620" t="inlineStr">
        <is>
          <t>Cash on Delivery</t>
        </is>
      </c>
      <c r="I2620" t="inlineStr">
        <is>
          <t>Delivered</t>
        </is>
      </c>
      <c r="J2620" t="n">
        <v>128</v>
      </c>
      <c r="K2620" t="n">
        <v>1</v>
      </c>
      <c r="L2620" t="n">
        <v>1049</v>
      </c>
      <c r="M2620" t="n">
        <v>0</v>
      </c>
      <c r="N2620">
        <f>VLOOKUP(J2620,Products!$A$2:$C$49,3,FALSE)</f>
        <v/>
      </c>
      <c r="O2620">
        <f>K2620*L2620-M2620</f>
        <v/>
      </c>
      <c r="P2620">
        <f>TEXT(B2620,"yyyy-mm")</f>
        <v/>
      </c>
      <c r="Q2620">
        <f>IF(O2620&gt;=3000,"Large","Small")</f>
        <v/>
      </c>
      <c r="R2620">
        <f>INDEX(Products!$F$2:$F$49,MATCH(J2620,Products!$A$2:$A$49,0))</f>
        <v/>
      </c>
      <c r="S2620">
        <f>WEEKDAY(B2620,2)</f>
        <v/>
      </c>
    </row>
    <row r="2621">
      <c r="A2621" t="n">
        <v>510706</v>
      </c>
      <c r="B2621" s="6" t="n">
        <v>45969</v>
      </c>
      <c r="C2621" t="n">
        <v>17167</v>
      </c>
      <c r="D2621" t="inlineStr">
        <is>
          <t>Kolkata</t>
        </is>
      </c>
      <c r="E2621" t="inlineStr">
        <is>
          <t>East</t>
        </is>
      </c>
      <c r="F2621" t="inlineStr">
        <is>
          <t>Paid Social</t>
        </is>
      </c>
      <c r="G2621" t="inlineStr">
        <is>
          <t>Desktop</t>
        </is>
      </c>
      <c r="H2621" t="inlineStr">
        <is>
          <t>Net Banking</t>
        </is>
      </c>
      <c r="I2621" t="inlineStr">
        <is>
          <t>Delivered</t>
        </is>
      </c>
      <c r="J2621" t="n">
        <v>123</v>
      </c>
      <c r="K2621" t="n">
        <v>1</v>
      </c>
      <c r="L2621" t="n">
        <v>3464</v>
      </c>
      <c r="M2621" t="n">
        <v>173.2</v>
      </c>
      <c r="N2621">
        <f>VLOOKUP(J2621,Products!$A$2:$C$49,3,FALSE)</f>
        <v/>
      </c>
      <c r="O2621">
        <f>K2621*L2621-M2621</f>
        <v/>
      </c>
      <c r="P2621">
        <f>TEXT(B2621,"yyyy-mm")</f>
        <v/>
      </c>
      <c r="Q2621">
        <f>IF(O2621&gt;=3000,"Large","Small")</f>
        <v/>
      </c>
      <c r="R2621">
        <f>INDEX(Products!$F$2:$F$49,MATCH(J2621,Products!$A$2:$A$49,0))</f>
        <v/>
      </c>
      <c r="S2621">
        <f>WEEKDAY(B2621,2)</f>
        <v/>
      </c>
    </row>
    <row r="2622">
      <c r="A2622" t="n">
        <v>510706</v>
      </c>
      <c r="B2622" s="6" t="n">
        <v>45969</v>
      </c>
      <c r="C2622" t="n">
        <v>17167</v>
      </c>
      <c r="D2622" t="inlineStr">
        <is>
          <t>Kolkata</t>
        </is>
      </c>
      <c r="E2622" t="inlineStr">
        <is>
          <t>East</t>
        </is>
      </c>
      <c r="F2622" t="inlineStr">
        <is>
          <t>Paid Social</t>
        </is>
      </c>
      <c r="G2622" t="inlineStr">
        <is>
          <t>Desktop</t>
        </is>
      </c>
      <c r="H2622" t="inlineStr">
        <is>
          <t>Net Banking</t>
        </is>
      </c>
      <c r="I2622" t="inlineStr">
        <is>
          <t>Delivered</t>
        </is>
      </c>
      <c r="J2622" t="n">
        <v>135</v>
      </c>
      <c r="K2622" t="n">
        <v>1</v>
      </c>
      <c r="L2622" t="n">
        <v>1574</v>
      </c>
      <c r="M2622" t="n">
        <v>78.7</v>
      </c>
      <c r="N2622">
        <f>VLOOKUP(J2622,Products!$A$2:$C$49,3,FALSE)</f>
        <v/>
      </c>
      <c r="O2622">
        <f>K2622*L2622-M2622</f>
        <v/>
      </c>
      <c r="P2622">
        <f>TEXT(B2622,"yyyy-mm")</f>
        <v/>
      </c>
      <c r="Q2622">
        <f>IF(O2622&gt;=3000,"Large","Small")</f>
        <v/>
      </c>
      <c r="R2622">
        <f>INDEX(Products!$F$2:$F$49,MATCH(J2622,Products!$A$2:$A$49,0))</f>
        <v/>
      </c>
      <c r="S2622">
        <f>WEEKDAY(B2622,2)</f>
        <v/>
      </c>
    </row>
    <row r="2623">
      <c r="A2623" t="n">
        <v>510707</v>
      </c>
      <c r="B2623" s="6" t="n">
        <v>45969</v>
      </c>
      <c r="C2623" t="n">
        <v>14487</v>
      </c>
      <c r="D2623" t="inlineStr">
        <is>
          <t>Mumbai</t>
        </is>
      </c>
      <c r="E2623" t="inlineStr">
        <is>
          <t>West</t>
        </is>
      </c>
      <c r="F2623" t="inlineStr">
        <is>
          <t>Paid Search</t>
        </is>
      </c>
      <c r="G2623" t="inlineStr">
        <is>
          <t>Mobile App</t>
        </is>
      </c>
      <c r="H2623" t="inlineStr">
        <is>
          <t>UPI</t>
        </is>
      </c>
      <c r="I2623" t="inlineStr">
        <is>
          <t>Delivered</t>
        </is>
      </c>
      <c r="J2623" t="n">
        <v>124</v>
      </c>
      <c r="K2623" t="n">
        <v>1</v>
      </c>
      <c r="L2623" t="n">
        <v>1154</v>
      </c>
      <c r="M2623" t="n">
        <v>57.7</v>
      </c>
      <c r="N2623">
        <f>VLOOKUP(J2623,Products!$A$2:$C$49,3,FALSE)</f>
        <v/>
      </c>
      <c r="O2623">
        <f>K2623*L2623-M2623</f>
        <v/>
      </c>
      <c r="P2623">
        <f>TEXT(B2623,"yyyy-mm")</f>
        <v/>
      </c>
      <c r="Q2623">
        <f>IF(O2623&gt;=3000,"Large","Small")</f>
        <v/>
      </c>
      <c r="R2623">
        <f>INDEX(Products!$F$2:$F$49,MATCH(J2623,Products!$A$2:$A$49,0))</f>
        <v/>
      </c>
      <c r="S2623">
        <f>WEEKDAY(B2623,2)</f>
        <v/>
      </c>
    </row>
    <row r="2624">
      <c r="A2624" t="n">
        <v>510707</v>
      </c>
      <c r="B2624" s="6" t="n">
        <v>45969</v>
      </c>
      <c r="C2624" t="n">
        <v>14487</v>
      </c>
      <c r="D2624" t="inlineStr">
        <is>
          <t>Mumbai</t>
        </is>
      </c>
      <c r="E2624" t="inlineStr">
        <is>
          <t>West</t>
        </is>
      </c>
      <c r="F2624" t="inlineStr">
        <is>
          <t>Paid Search</t>
        </is>
      </c>
      <c r="G2624" t="inlineStr">
        <is>
          <t>Mobile App</t>
        </is>
      </c>
      <c r="H2624" t="inlineStr">
        <is>
          <t>UPI</t>
        </is>
      </c>
      <c r="I2624" t="inlineStr">
        <is>
          <t>Delivered</t>
        </is>
      </c>
      <c r="J2624" t="n">
        <v>123</v>
      </c>
      <c r="K2624" t="n">
        <v>1</v>
      </c>
      <c r="L2624" t="n">
        <v>3464</v>
      </c>
      <c r="M2624" t="n">
        <v>173.2</v>
      </c>
      <c r="N2624">
        <f>VLOOKUP(J2624,Products!$A$2:$C$49,3,FALSE)</f>
        <v/>
      </c>
      <c r="O2624">
        <f>K2624*L2624-M2624</f>
        <v/>
      </c>
      <c r="P2624">
        <f>TEXT(B2624,"yyyy-mm")</f>
        <v/>
      </c>
      <c r="Q2624">
        <f>IF(O2624&gt;=3000,"Large","Small")</f>
        <v/>
      </c>
      <c r="R2624">
        <f>INDEX(Products!$F$2:$F$49,MATCH(J2624,Products!$A$2:$A$49,0))</f>
        <v/>
      </c>
      <c r="S2624">
        <f>WEEKDAY(B2624,2)</f>
        <v/>
      </c>
    </row>
    <row r="2625">
      <c r="A2625" t="n">
        <v>510707</v>
      </c>
      <c r="B2625" s="6" t="n">
        <v>45969</v>
      </c>
      <c r="C2625" t="n">
        <v>14487</v>
      </c>
      <c r="D2625" t="inlineStr">
        <is>
          <t>Mumbai</t>
        </is>
      </c>
      <c r="E2625" t="inlineStr">
        <is>
          <t>West</t>
        </is>
      </c>
      <c r="F2625" t="inlineStr">
        <is>
          <t>Paid Search</t>
        </is>
      </c>
      <c r="G2625" t="inlineStr">
        <is>
          <t>Mobile App</t>
        </is>
      </c>
      <c r="H2625" t="inlineStr">
        <is>
          <t>UPI</t>
        </is>
      </c>
      <c r="I2625" t="inlineStr">
        <is>
          <t>Delivered</t>
        </is>
      </c>
      <c r="J2625" t="n">
        <v>105</v>
      </c>
      <c r="K2625" t="n">
        <v>1</v>
      </c>
      <c r="L2625" t="n">
        <v>2414</v>
      </c>
      <c r="M2625" t="n">
        <v>120.7</v>
      </c>
      <c r="N2625">
        <f>VLOOKUP(J2625,Products!$A$2:$C$49,3,FALSE)</f>
        <v/>
      </c>
      <c r="O2625">
        <f>K2625*L2625-M2625</f>
        <v/>
      </c>
      <c r="P2625">
        <f>TEXT(B2625,"yyyy-mm")</f>
        <v/>
      </c>
      <c r="Q2625">
        <f>IF(O2625&gt;=3000,"Large","Small")</f>
        <v/>
      </c>
      <c r="R2625">
        <f>INDEX(Products!$F$2:$F$49,MATCH(J2625,Products!$A$2:$A$49,0))</f>
        <v/>
      </c>
      <c r="S2625">
        <f>WEEKDAY(B2625,2)</f>
        <v/>
      </c>
    </row>
    <row r="2626">
      <c r="A2626" t="n">
        <v>510708</v>
      </c>
      <c r="B2626" s="6" t="n">
        <v>45969</v>
      </c>
      <c r="C2626" t="n">
        <v>17112</v>
      </c>
      <c r="D2626" t="inlineStr">
        <is>
          <t>Delhi</t>
        </is>
      </c>
      <c r="E2626" t="inlineStr">
        <is>
          <t>North</t>
        </is>
      </c>
      <c r="F2626" t="inlineStr">
        <is>
          <t>Paid Search</t>
        </is>
      </c>
      <c r="G2626" t="inlineStr">
        <is>
          <t>Mobile Web</t>
        </is>
      </c>
      <c r="H2626" t="inlineStr">
        <is>
          <t>Credit Card</t>
        </is>
      </c>
      <c r="I2626" t="inlineStr">
        <is>
          <t>Delivered</t>
        </is>
      </c>
      <c r="J2626" t="n">
        <v>120</v>
      </c>
      <c r="K2626" t="n">
        <v>1</v>
      </c>
      <c r="L2626" t="n">
        <v>734</v>
      </c>
      <c r="M2626" t="n">
        <v>110.1</v>
      </c>
      <c r="N2626">
        <f>VLOOKUP(J2626,Products!$A$2:$C$49,3,FALSE)</f>
        <v/>
      </c>
      <c r="O2626">
        <f>K2626*L2626-M2626</f>
        <v/>
      </c>
      <c r="P2626">
        <f>TEXT(B2626,"yyyy-mm")</f>
        <v/>
      </c>
      <c r="Q2626">
        <f>IF(O2626&gt;=3000,"Large","Small")</f>
        <v/>
      </c>
      <c r="R2626">
        <f>INDEX(Products!$F$2:$F$49,MATCH(J2626,Products!$A$2:$A$49,0))</f>
        <v/>
      </c>
      <c r="S2626">
        <f>WEEKDAY(B2626,2)</f>
        <v/>
      </c>
    </row>
    <row r="2627">
      <c r="A2627" t="n">
        <v>510708</v>
      </c>
      <c r="B2627" s="6" t="n">
        <v>45969</v>
      </c>
      <c r="C2627" t="n">
        <v>17112</v>
      </c>
      <c r="D2627" t="inlineStr">
        <is>
          <t>Delhi</t>
        </is>
      </c>
      <c r="E2627" t="inlineStr">
        <is>
          <t>North</t>
        </is>
      </c>
      <c r="F2627" t="inlineStr">
        <is>
          <t>Paid Search</t>
        </is>
      </c>
      <c r="G2627" t="inlineStr">
        <is>
          <t>Mobile Web</t>
        </is>
      </c>
      <c r="H2627" t="inlineStr">
        <is>
          <t>Credit Card</t>
        </is>
      </c>
      <c r="I2627" t="inlineStr">
        <is>
          <t>Delivered</t>
        </is>
      </c>
      <c r="J2627" t="n">
        <v>126</v>
      </c>
      <c r="K2627" t="n">
        <v>1</v>
      </c>
      <c r="L2627" t="n">
        <v>471</v>
      </c>
      <c r="M2627" t="n">
        <v>70.65000000000001</v>
      </c>
      <c r="N2627">
        <f>VLOOKUP(J2627,Products!$A$2:$C$49,3,FALSE)</f>
        <v/>
      </c>
      <c r="O2627">
        <f>K2627*L2627-M2627</f>
        <v/>
      </c>
      <c r="P2627">
        <f>TEXT(B2627,"yyyy-mm")</f>
        <v/>
      </c>
      <c r="Q2627">
        <f>IF(O2627&gt;=3000,"Large","Small")</f>
        <v/>
      </c>
      <c r="R2627">
        <f>INDEX(Products!$F$2:$F$49,MATCH(J2627,Products!$A$2:$A$49,0))</f>
        <v/>
      </c>
      <c r="S2627">
        <f>WEEKDAY(B2627,2)</f>
        <v/>
      </c>
    </row>
    <row r="2628">
      <c r="A2628" t="n">
        <v>510709</v>
      </c>
      <c r="B2628" s="6" t="n">
        <v>45969</v>
      </c>
      <c r="C2628" t="n">
        <v>17164</v>
      </c>
      <c r="D2628" t="inlineStr">
        <is>
          <t>Delhi</t>
        </is>
      </c>
      <c r="E2628" t="inlineStr">
        <is>
          <t>North</t>
        </is>
      </c>
      <c r="F2628" t="inlineStr">
        <is>
          <t>Paid Search</t>
        </is>
      </c>
      <c r="G2628" t="inlineStr">
        <is>
          <t>Mobile Web</t>
        </is>
      </c>
      <c r="H2628" t="inlineStr">
        <is>
          <t>Debit Card</t>
        </is>
      </c>
      <c r="I2628" t="inlineStr">
        <is>
          <t>Delivered</t>
        </is>
      </c>
      <c r="J2628" t="n">
        <v>129</v>
      </c>
      <c r="K2628" t="n">
        <v>1</v>
      </c>
      <c r="L2628" t="n">
        <v>576</v>
      </c>
      <c r="M2628" t="n">
        <v>86.40000000000001</v>
      </c>
      <c r="N2628">
        <f>VLOOKUP(J2628,Products!$A$2:$C$49,3,FALSE)</f>
        <v/>
      </c>
      <c r="O2628">
        <f>K2628*L2628-M2628</f>
        <v/>
      </c>
      <c r="P2628">
        <f>TEXT(B2628,"yyyy-mm")</f>
        <v/>
      </c>
      <c r="Q2628">
        <f>IF(O2628&gt;=3000,"Large","Small")</f>
        <v/>
      </c>
      <c r="R2628">
        <f>INDEX(Products!$F$2:$F$49,MATCH(J2628,Products!$A$2:$A$49,0))</f>
        <v/>
      </c>
      <c r="S2628">
        <f>WEEKDAY(B2628,2)</f>
        <v/>
      </c>
    </row>
    <row r="2629">
      <c r="A2629" t="n">
        <v>510709</v>
      </c>
      <c r="B2629" s="6" t="n">
        <v>45969</v>
      </c>
      <c r="C2629" t="n">
        <v>17164</v>
      </c>
      <c r="D2629" t="inlineStr">
        <is>
          <t>Delhi</t>
        </is>
      </c>
      <c r="E2629" t="inlineStr">
        <is>
          <t>North</t>
        </is>
      </c>
      <c r="F2629" t="inlineStr">
        <is>
          <t>Paid Search</t>
        </is>
      </c>
      <c r="G2629" t="inlineStr">
        <is>
          <t>Mobile Web</t>
        </is>
      </c>
      <c r="H2629" t="inlineStr">
        <is>
          <t>Debit Card</t>
        </is>
      </c>
      <c r="I2629" t="inlineStr">
        <is>
          <t>Delivered</t>
        </is>
      </c>
      <c r="J2629" t="n">
        <v>123</v>
      </c>
      <c r="K2629" t="n">
        <v>3</v>
      </c>
      <c r="L2629" t="n">
        <v>3464</v>
      </c>
      <c r="M2629" t="n">
        <v>1558.8</v>
      </c>
      <c r="N2629">
        <f>VLOOKUP(J2629,Products!$A$2:$C$49,3,FALSE)</f>
        <v/>
      </c>
      <c r="O2629">
        <f>K2629*L2629-M2629</f>
        <v/>
      </c>
      <c r="P2629">
        <f>TEXT(B2629,"yyyy-mm")</f>
        <v/>
      </c>
      <c r="Q2629">
        <f>IF(O2629&gt;=3000,"Large","Small")</f>
        <v/>
      </c>
      <c r="R2629">
        <f>INDEX(Products!$F$2:$F$49,MATCH(J2629,Products!$A$2:$A$49,0))</f>
        <v/>
      </c>
      <c r="S2629">
        <f>WEEKDAY(B2629,2)</f>
        <v/>
      </c>
    </row>
    <row r="2630">
      <c r="A2630" t="n">
        <v>510710</v>
      </c>
      <c r="B2630" s="6" t="n">
        <v>45970</v>
      </c>
      <c r="C2630" t="n">
        <v>15633</v>
      </c>
      <c r="D2630" t="inlineStr">
        <is>
          <t>Bengaluru</t>
        </is>
      </c>
      <c r="E2630" t="inlineStr">
        <is>
          <t>South</t>
        </is>
      </c>
      <c r="F2630" t="inlineStr">
        <is>
          <t>Organic Search</t>
        </is>
      </c>
      <c r="G2630" t="inlineStr">
        <is>
          <t>Mobile App</t>
        </is>
      </c>
      <c r="H2630" t="inlineStr">
        <is>
          <t>Cash on Delivery</t>
        </is>
      </c>
      <c r="I2630" t="inlineStr">
        <is>
          <t>Delivered</t>
        </is>
      </c>
      <c r="J2630" t="n">
        <v>128</v>
      </c>
      <c r="K2630" t="n">
        <v>1</v>
      </c>
      <c r="L2630" t="n">
        <v>1049</v>
      </c>
      <c r="M2630" t="n">
        <v>0</v>
      </c>
      <c r="N2630">
        <f>VLOOKUP(J2630,Products!$A$2:$C$49,3,FALSE)</f>
        <v/>
      </c>
      <c r="O2630">
        <f>K2630*L2630-M2630</f>
        <v/>
      </c>
      <c r="P2630">
        <f>TEXT(B2630,"yyyy-mm")</f>
        <v/>
      </c>
      <c r="Q2630">
        <f>IF(O2630&gt;=3000,"Large","Small")</f>
        <v/>
      </c>
      <c r="R2630">
        <f>INDEX(Products!$F$2:$F$49,MATCH(J2630,Products!$A$2:$A$49,0))</f>
        <v/>
      </c>
      <c r="S2630">
        <f>WEEKDAY(B2630,2)</f>
        <v/>
      </c>
    </row>
    <row r="2631">
      <c r="A2631" t="n">
        <v>510711</v>
      </c>
      <c r="B2631" s="6" t="n">
        <v>45970</v>
      </c>
      <c r="C2631" t="n">
        <v>16460</v>
      </c>
      <c r="D2631" t="inlineStr">
        <is>
          <t>Jaipur</t>
        </is>
      </c>
      <c r="E2631" t="inlineStr">
        <is>
          <t>North</t>
        </is>
      </c>
      <c r="F2631" t="inlineStr">
        <is>
          <t>Email</t>
        </is>
      </c>
      <c r="G2631" t="inlineStr">
        <is>
          <t>Mobile Web</t>
        </is>
      </c>
      <c r="H2631" t="inlineStr">
        <is>
          <t>UPI</t>
        </is>
      </c>
      <c r="I2631" t="inlineStr">
        <is>
          <t>Delivered</t>
        </is>
      </c>
      <c r="J2631" t="n">
        <v>117</v>
      </c>
      <c r="K2631" t="n">
        <v>1</v>
      </c>
      <c r="L2631" t="n">
        <v>3149</v>
      </c>
      <c r="M2631" t="n">
        <v>0</v>
      </c>
      <c r="N2631">
        <f>VLOOKUP(J2631,Products!$A$2:$C$49,3,FALSE)</f>
        <v/>
      </c>
      <c r="O2631">
        <f>K2631*L2631-M2631</f>
        <v/>
      </c>
      <c r="P2631">
        <f>TEXT(B2631,"yyyy-mm")</f>
        <v/>
      </c>
      <c r="Q2631">
        <f>IF(O2631&gt;=3000,"Large","Small")</f>
        <v/>
      </c>
      <c r="R2631">
        <f>INDEX(Products!$F$2:$F$49,MATCH(J2631,Products!$A$2:$A$49,0))</f>
        <v/>
      </c>
      <c r="S2631">
        <f>WEEKDAY(B2631,2)</f>
        <v/>
      </c>
    </row>
    <row r="2632">
      <c r="A2632" t="n">
        <v>510711</v>
      </c>
      <c r="B2632" s="6" t="n">
        <v>45970</v>
      </c>
      <c r="C2632" t="n">
        <v>16460</v>
      </c>
      <c r="D2632" t="inlineStr">
        <is>
          <t>Jaipur</t>
        </is>
      </c>
      <c r="E2632" t="inlineStr">
        <is>
          <t>North</t>
        </is>
      </c>
      <c r="F2632" t="inlineStr">
        <is>
          <t>Email</t>
        </is>
      </c>
      <c r="G2632" t="inlineStr">
        <is>
          <t>Mobile Web</t>
        </is>
      </c>
      <c r="H2632" t="inlineStr">
        <is>
          <t>UPI</t>
        </is>
      </c>
      <c r="I2632" t="inlineStr">
        <is>
          <t>Delivered</t>
        </is>
      </c>
      <c r="J2632" t="n">
        <v>123</v>
      </c>
      <c r="K2632" t="n">
        <v>1</v>
      </c>
      <c r="L2632" t="n">
        <v>3464</v>
      </c>
      <c r="M2632" t="n">
        <v>0</v>
      </c>
      <c r="N2632">
        <f>VLOOKUP(J2632,Products!$A$2:$C$49,3,FALSE)</f>
        <v/>
      </c>
      <c r="O2632">
        <f>K2632*L2632-M2632</f>
        <v/>
      </c>
      <c r="P2632">
        <f>TEXT(B2632,"yyyy-mm")</f>
        <v/>
      </c>
      <c r="Q2632">
        <f>IF(O2632&gt;=3000,"Large","Small")</f>
        <v/>
      </c>
      <c r="R2632">
        <f>INDEX(Products!$F$2:$F$49,MATCH(J2632,Products!$A$2:$A$49,0))</f>
        <v/>
      </c>
      <c r="S2632">
        <f>WEEKDAY(B2632,2)</f>
        <v/>
      </c>
    </row>
    <row r="2633">
      <c r="A2633" t="n">
        <v>510711</v>
      </c>
      <c r="B2633" s="6" t="n">
        <v>45970</v>
      </c>
      <c r="C2633" t="n">
        <v>16460</v>
      </c>
      <c r="D2633" t="inlineStr">
        <is>
          <t>Jaipur</t>
        </is>
      </c>
      <c r="E2633" t="inlineStr">
        <is>
          <t>North</t>
        </is>
      </c>
      <c r="F2633" t="inlineStr">
        <is>
          <t>Email</t>
        </is>
      </c>
      <c r="G2633" t="inlineStr">
        <is>
          <t>Mobile Web</t>
        </is>
      </c>
      <c r="H2633" t="inlineStr">
        <is>
          <t>UPI</t>
        </is>
      </c>
      <c r="I2633" t="inlineStr">
        <is>
          <t>Delivered</t>
        </is>
      </c>
      <c r="J2633" t="n">
        <v>142</v>
      </c>
      <c r="K2633" t="n">
        <v>3</v>
      </c>
      <c r="L2633" t="n">
        <v>839</v>
      </c>
      <c r="M2633" t="n">
        <v>0</v>
      </c>
      <c r="N2633">
        <f>VLOOKUP(J2633,Products!$A$2:$C$49,3,FALSE)</f>
        <v/>
      </c>
      <c r="O2633">
        <f>K2633*L2633-M2633</f>
        <v/>
      </c>
      <c r="P2633">
        <f>TEXT(B2633,"yyyy-mm")</f>
        <v/>
      </c>
      <c r="Q2633">
        <f>IF(O2633&gt;=3000,"Large","Small")</f>
        <v/>
      </c>
      <c r="R2633">
        <f>INDEX(Products!$F$2:$F$49,MATCH(J2633,Products!$A$2:$A$49,0))</f>
        <v/>
      </c>
      <c r="S2633">
        <f>WEEKDAY(B2633,2)</f>
        <v/>
      </c>
    </row>
    <row r="2634">
      <c r="A2634" t="n">
        <v>510712</v>
      </c>
      <c r="B2634" s="6" t="n">
        <v>45970</v>
      </c>
      <c r="C2634" t="n">
        <v>17251</v>
      </c>
      <c r="D2634" t="inlineStr">
        <is>
          <t>Chennai</t>
        </is>
      </c>
      <c r="E2634" t="inlineStr">
        <is>
          <t>South</t>
        </is>
      </c>
      <c r="F2634" t="inlineStr">
        <is>
          <t>Paid Search</t>
        </is>
      </c>
      <c r="G2634" t="inlineStr">
        <is>
          <t>Mobile Web</t>
        </is>
      </c>
      <c r="H2634" t="inlineStr">
        <is>
          <t>UPI</t>
        </is>
      </c>
      <c r="I2634" t="inlineStr">
        <is>
          <t>Delivered</t>
        </is>
      </c>
      <c r="J2634" t="n">
        <v>123</v>
      </c>
      <c r="K2634" t="n">
        <v>1</v>
      </c>
      <c r="L2634" t="n">
        <v>3464</v>
      </c>
      <c r="M2634" t="n">
        <v>519.6</v>
      </c>
      <c r="N2634">
        <f>VLOOKUP(J2634,Products!$A$2:$C$49,3,FALSE)</f>
        <v/>
      </c>
      <c r="O2634">
        <f>K2634*L2634-M2634</f>
        <v/>
      </c>
      <c r="P2634">
        <f>TEXT(B2634,"yyyy-mm")</f>
        <v/>
      </c>
      <c r="Q2634">
        <f>IF(O2634&gt;=3000,"Large","Small")</f>
        <v/>
      </c>
      <c r="R2634">
        <f>INDEX(Products!$F$2:$F$49,MATCH(J2634,Products!$A$2:$A$49,0))</f>
        <v/>
      </c>
      <c r="S2634">
        <f>WEEKDAY(B2634,2)</f>
        <v/>
      </c>
    </row>
    <row r="2635">
      <c r="A2635" t="n">
        <v>510713</v>
      </c>
      <c r="B2635" s="6" t="n">
        <v>45970</v>
      </c>
      <c r="C2635" t="n">
        <v>17122</v>
      </c>
      <c r="D2635" t="inlineStr">
        <is>
          <t>Chandigarh</t>
        </is>
      </c>
      <c r="E2635" t="inlineStr">
        <is>
          <t>North</t>
        </is>
      </c>
      <c r="F2635" t="inlineStr">
        <is>
          <t>Paid Search</t>
        </is>
      </c>
      <c r="G2635" t="inlineStr">
        <is>
          <t>Mobile App</t>
        </is>
      </c>
      <c r="H2635" t="inlineStr">
        <is>
          <t>Cash on Delivery</t>
        </is>
      </c>
      <c r="I2635" t="inlineStr">
        <is>
          <t>Delivered</t>
        </is>
      </c>
      <c r="J2635" t="n">
        <v>145</v>
      </c>
      <c r="K2635" t="n">
        <v>1</v>
      </c>
      <c r="L2635" t="n">
        <v>629</v>
      </c>
      <c r="M2635" t="n">
        <v>94.34999999999999</v>
      </c>
      <c r="N2635">
        <f>VLOOKUP(J2635,Products!$A$2:$C$49,3,FALSE)</f>
        <v/>
      </c>
      <c r="O2635">
        <f>K2635*L2635-M2635</f>
        <v/>
      </c>
      <c r="P2635">
        <f>TEXT(B2635,"yyyy-mm")</f>
        <v/>
      </c>
      <c r="Q2635">
        <f>IF(O2635&gt;=3000,"Large","Small")</f>
        <v/>
      </c>
      <c r="R2635">
        <f>INDEX(Products!$F$2:$F$49,MATCH(J2635,Products!$A$2:$A$49,0))</f>
        <v/>
      </c>
      <c r="S2635">
        <f>WEEKDAY(B2635,2)</f>
        <v/>
      </c>
    </row>
    <row r="2636">
      <c r="A2636" t="n">
        <v>510714</v>
      </c>
      <c r="B2636" s="6" t="n">
        <v>45970</v>
      </c>
      <c r="C2636" t="n">
        <v>17260</v>
      </c>
      <c r="D2636" t="inlineStr">
        <is>
          <t>Chennai</t>
        </is>
      </c>
      <c r="E2636" t="inlineStr">
        <is>
          <t>South</t>
        </is>
      </c>
      <c r="F2636" t="inlineStr">
        <is>
          <t>Referral</t>
        </is>
      </c>
      <c r="G2636" t="inlineStr">
        <is>
          <t>Desktop</t>
        </is>
      </c>
      <c r="H2636" t="inlineStr">
        <is>
          <t>UPI</t>
        </is>
      </c>
      <c r="I2636" t="inlineStr">
        <is>
          <t>Delivered</t>
        </is>
      </c>
      <c r="J2636" t="n">
        <v>139</v>
      </c>
      <c r="K2636" t="n">
        <v>1</v>
      </c>
      <c r="L2636" t="n">
        <v>366</v>
      </c>
      <c r="M2636" t="n">
        <v>54.9</v>
      </c>
      <c r="N2636">
        <f>VLOOKUP(J2636,Products!$A$2:$C$49,3,FALSE)</f>
        <v/>
      </c>
      <c r="O2636">
        <f>K2636*L2636-M2636</f>
        <v/>
      </c>
      <c r="P2636">
        <f>TEXT(B2636,"yyyy-mm")</f>
        <v/>
      </c>
      <c r="Q2636">
        <f>IF(O2636&gt;=3000,"Large","Small")</f>
        <v/>
      </c>
      <c r="R2636">
        <f>INDEX(Products!$F$2:$F$49,MATCH(J2636,Products!$A$2:$A$49,0))</f>
        <v/>
      </c>
      <c r="S2636">
        <f>WEEKDAY(B2636,2)</f>
        <v/>
      </c>
    </row>
    <row r="2637">
      <c r="A2637" t="n">
        <v>510715</v>
      </c>
      <c r="B2637" s="6" t="n">
        <v>45970</v>
      </c>
      <c r="C2637" t="n">
        <v>17254</v>
      </c>
      <c r="D2637" t="inlineStr">
        <is>
          <t>Mumbai</t>
        </is>
      </c>
      <c r="E2637" t="inlineStr">
        <is>
          <t>West</t>
        </is>
      </c>
      <c r="F2637" t="inlineStr">
        <is>
          <t>Organic Search</t>
        </is>
      </c>
      <c r="G2637" t="inlineStr">
        <is>
          <t>Mobile Web</t>
        </is>
      </c>
      <c r="H2637" t="inlineStr">
        <is>
          <t>Credit Card</t>
        </is>
      </c>
      <c r="I2637" t="inlineStr">
        <is>
          <t>Returned</t>
        </is>
      </c>
      <c r="J2637" t="n">
        <v>135</v>
      </c>
      <c r="K2637" t="n">
        <v>1</v>
      </c>
      <c r="L2637" t="n">
        <v>1574</v>
      </c>
      <c r="M2637" t="n">
        <v>236.1</v>
      </c>
      <c r="N2637">
        <f>VLOOKUP(J2637,Products!$A$2:$C$49,3,FALSE)</f>
        <v/>
      </c>
      <c r="O2637">
        <f>K2637*L2637-M2637</f>
        <v/>
      </c>
      <c r="P2637">
        <f>TEXT(B2637,"yyyy-mm")</f>
        <v/>
      </c>
      <c r="Q2637">
        <f>IF(O2637&gt;=3000,"Large","Small")</f>
        <v/>
      </c>
      <c r="R2637">
        <f>INDEX(Products!$F$2:$F$49,MATCH(J2637,Products!$A$2:$A$49,0))</f>
        <v/>
      </c>
      <c r="S2637">
        <f>WEEKDAY(B2637,2)</f>
        <v/>
      </c>
    </row>
    <row r="2638">
      <c r="A2638" t="n">
        <v>510715</v>
      </c>
      <c r="B2638" s="6" t="n">
        <v>45970</v>
      </c>
      <c r="C2638" t="n">
        <v>17254</v>
      </c>
      <c r="D2638" t="inlineStr">
        <is>
          <t>Mumbai</t>
        </is>
      </c>
      <c r="E2638" t="inlineStr">
        <is>
          <t>West</t>
        </is>
      </c>
      <c r="F2638" t="inlineStr">
        <is>
          <t>Organic Search</t>
        </is>
      </c>
      <c r="G2638" t="inlineStr">
        <is>
          <t>Mobile Web</t>
        </is>
      </c>
      <c r="H2638" t="inlineStr">
        <is>
          <t>Credit Card</t>
        </is>
      </c>
      <c r="I2638" t="inlineStr">
        <is>
          <t>Returned</t>
        </is>
      </c>
      <c r="J2638" t="n">
        <v>115</v>
      </c>
      <c r="K2638" t="n">
        <v>2</v>
      </c>
      <c r="L2638" t="n">
        <v>4199</v>
      </c>
      <c r="M2638" t="n">
        <v>1259.7</v>
      </c>
      <c r="N2638">
        <f>VLOOKUP(J2638,Products!$A$2:$C$49,3,FALSE)</f>
        <v/>
      </c>
      <c r="O2638">
        <f>K2638*L2638-M2638</f>
        <v/>
      </c>
      <c r="P2638">
        <f>TEXT(B2638,"yyyy-mm")</f>
        <v/>
      </c>
      <c r="Q2638">
        <f>IF(O2638&gt;=3000,"Large","Small")</f>
        <v/>
      </c>
      <c r="R2638">
        <f>INDEX(Products!$F$2:$F$49,MATCH(J2638,Products!$A$2:$A$49,0))</f>
        <v/>
      </c>
      <c r="S2638">
        <f>WEEKDAY(B2638,2)</f>
        <v/>
      </c>
    </row>
    <row r="2639">
      <c r="A2639" t="n">
        <v>510716</v>
      </c>
      <c r="B2639" s="6" t="n">
        <v>45970</v>
      </c>
      <c r="C2639" t="n">
        <v>17177</v>
      </c>
      <c r="D2639" t="inlineStr">
        <is>
          <t>Delhi</t>
        </is>
      </c>
      <c r="E2639" t="inlineStr">
        <is>
          <t>North</t>
        </is>
      </c>
      <c r="F2639" t="inlineStr">
        <is>
          <t>Paid Search</t>
        </is>
      </c>
      <c r="G2639" t="inlineStr">
        <is>
          <t>Mobile App</t>
        </is>
      </c>
      <c r="H2639" t="inlineStr">
        <is>
          <t>Cash on Delivery</t>
        </is>
      </c>
      <c r="I2639" t="inlineStr">
        <is>
          <t>Delivered</t>
        </is>
      </c>
      <c r="J2639" t="n">
        <v>116</v>
      </c>
      <c r="K2639" t="n">
        <v>1</v>
      </c>
      <c r="L2639" t="n">
        <v>2624</v>
      </c>
      <c r="M2639" t="n">
        <v>131.2</v>
      </c>
      <c r="N2639">
        <f>VLOOKUP(J2639,Products!$A$2:$C$49,3,FALSE)</f>
        <v/>
      </c>
      <c r="O2639">
        <f>K2639*L2639-M2639</f>
        <v/>
      </c>
      <c r="P2639">
        <f>TEXT(B2639,"yyyy-mm")</f>
        <v/>
      </c>
      <c r="Q2639">
        <f>IF(O2639&gt;=3000,"Large","Small")</f>
        <v/>
      </c>
      <c r="R2639">
        <f>INDEX(Products!$F$2:$F$49,MATCH(J2639,Products!$A$2:$A$49,0))</f>
        <v/>
      </c>
      <c r="S2639">
        <f>WEEKDAY(B2639,2)</f>
        <v/>
      </c>
    </row>
    <row r="2640">
      <c r="A2640" t="n">
        <v>510717</v>
      </c>
      <c r="B2640" s="6" t="n">
        <v>45970</v>
      </c>
      <c r="C2640" t="n">
        <v>15876</v>
      </c>
      <c r="D2640" t="inlineStr">
        <is>
          <t>Gurugram</t>
        </is>
      </c>
      <c r="E2640" t="inlineStr">
        <is>
          <t>North</t>
        </is>
      </c>
      <c r="F2640" t="inlineStr">
        <is>
          <t>Paid Social</t>
        </is>
      </c>
      <c r="G2640" t="inlineStr">
        <is>
          <t>Mobile App</t>
        </is>
      </c>
      <c r="H2640" t="inlineStr">
        <is>
          <t>Credit Card</t>
        </is>
      </c>
      <c r="I2640" t="inlineStr">
        <is>
          <t>Delivered</t>
        </is>
      </c>
      <c r="J2640" t="n">
        <v>107</v>
      </c>
      <c r="K2640" t="n">
        <v>1</v>
      </c>
      <c r="L2640" t="n">
        <v>1259</v>
      </c>
      <c r="M2640" t="n">
        <v>0</v>
      </c>
      <c r="N2640">
        <f>VLOOKUP(J2640,Products!$A$2:$C$49,3,FALSE)</f>
        <v/>
      </c>
      <c r="O2640">
        <f>K2640*L2640-M2640</f>
        <v/>
      </c>
      <c r="P2640">
        <f>TEXT(B2640,"yyyy-mm")</f>
        <v/>
      </c>
      <c r="Q2640">
        <f>IF(O2640&gt;=3000,"Large","Small")</f>
        <v/>
      </c>
      <c r="R2640">
        <f>INDEX(Products!$F$2:$F$49,MATCH(J2640,Products!$A$2:$A$49,0))</f>
        <v/>
      </c>
      <c r="S2640">
        <f>WEEKDAY(B2640,2)</f>
        <v/>
      </c>
    </row>
    <row r="2641">
      <c r="A2641" t="n">
        <v>510717</v>
      </c>
      <c r="B2641" s="6" t="n">
        <v>45970</v>
      </c>
      <c r="C2641" t="n">
        <v>15876</v>
      </c>
      <c r="D2641" t="inlineStr">
        <is>
          <t>Gurugram</t>
        </is>
      </c>
      <c r="E2641" t="inlineStr">
        <is>
          <t>North</t>
        </is>
      </c>
      <c r="F2641" t="inlineStr">
        <is>
          <t>Paid Social</t>
        </is>
      </c>
      <c r="G2641" t="inlineStr">
        <is>
          <t>Mobile App</t>
        </is>
      </c>
      <c r="H2641" t="inlineStr">
        <is>
          <t>Credit Card</t>
        </is>
      </c>
      <c r="I2641" t="inlineStr">
        <is>
          <t>Delivered</t>
        </is>
      </c>
      <c r="J2641" t="n">
        <v>108</v>
      </c>
      <c r="K2641" t="n">
        <v>1</v>
      </c>
      <c r="L2641" t="n">
        <v>419</v>
      </c>
      <c r="M2641" t="n">
        <v>0</v>
      </c>
      <c r="N2641">
        <f>VLOOKUP(J2641,Products!$A$2:$C$49,3,FALSE)</f>
        <v/>
      </c>
      <c r="O2641">
        <f>K2641*L2641-M2641</f>
        <v/>
      </c>
      <c r="P2641">
        <f>TEXT(B2641,"yyyy-mm")</f>
        <v/>
      </c>
      <c r="Q2641">
        <f>IF(O2641&gt;=3000,"Large","Small")</f>
        <v/>
      </c>
      <c r="R2641">
        <f>INDEX(Products!$F$2:$F$49,MATCH(J2641,Products!$A$2:$A$49,0))</f>
        <v/>
      </c>
      <c r="S2641">
        <f>WEEKDAY(B2641,2)</f>
        <v/>
      </c>
    </row>
    <row r="2642">
      <c r="A2642" t="n">
        <v>510718</v>
      </c>
      <c r="B2642" s="6" t="n">
        <v>45970</v>
      </c>
      <c r="C2642" t="n">
        <v>12022</v>
      </c>
      <c r="D2642" t="inlineStr">
        <is>
          <t>Mumbai</t>
        </is>
      </c>
      <c r="E2642" t="inlineStr">
        <is>
          <t>West</t>
        </is>
      </c>
      <c r="F2642" t="inlineStr">
        <is>
          <t>Organic Search</t>
        </is>
      </c>
      <c r="G2642" t="inlineStr">
        <is>
          <t>Mobile Web</t>
        </is>
      </c>
      <c r="H2642" t="inlineStr">
        <is>
          <t>Net Banking</t>
        </is>
      </c>
      <c r="I2642" t="inlineStr">
        <is>
          <t>Delivered</t>
        </is>
      </c>
      <c r="J2642" t="n">
        <v>124</v>
      </c>
      <c r="K2642" t="n">
        <v>1</v>
      </c>
      <c r="L2642" t="n">
        <v>1154</v>
      </c>
      <c r="M2642" t="n">
        <v>0</v>
      </c>
      <c r="N2642">
        <f>VLOOKUP(J2642,Products!$A$2:$C$49,3,FALSE)</f>
        <v/>
      </c>
      <c r="O2642">
        <f>K2642*L2642-M2642</f>
        <v/>
      </c>
      <c r="P2642">
        <f>TEXT(B2642,"yyyy-mm")</f>
        <v/>
      </c>
      <c r="Q2642">
        <f>IF(O2642&gt;=3000,"Large","Small")</f>
        <v/>
      </c>
      <c r="R2642">
        <f>INDEX(Products!$F$2:$F$49,MATCH(J2642,Products!$A$2:$A$49,0))</f>
        <v/>
      </c>
      <c r="S2642">
        <f>WEEKDAY(B2642,2)</f>
        <v/>
      </c>
    </row>
    <row r="2643">
      <c r="A2643" t="n">
        <v>510719</v>
      </c>
      <c r="B2643" s="6" t="n">
        <v>45970</v>
      </c>
      <c r="C2643" t="n">
        <v>17141</v>
      </c>
      <c r="D2643" t="inlineStr">
        <is>
          <t>Pune</t>
        </is>
      </c>
      <c r="E2643" t="inlineStr">
        <is>
          <t>West</t>
        </is>
      </c>
      <c r="F2643" t="inlineStr">
        <is>
          <t>Paid Social</t>
        </is>
      </c>
      <c r="G2643" t="inlineStr">
        <is>
          <t>Mobile App</t>
        </is>
      </c>
      <c r="H2643" t="inlineStr">
        <is>
          <t>Credit Card</t>
        </is>
      </c>
      <c r="I2643" t="inlineStr">
        <is>
          <t>Delivered</t>
        </is>
      </c>
      <c r="J2643" t="n">
        <v>111</v>
      </c>
      <c r="K2643" t="n">
        <v>1</v>
      </c>
      <c r="L2643" t="n">
        <v>524</v>
      </c>
      <c r="M2643" t="n">
        <v>0</v>
      </c>
      <c r="N2643">
        <f>VLOOKUP(J2643,Products!$A$2:$C$49,3,FALSE)</f>
        <v/>
      </c>
      <c r="O2643">
        <f>K2643*L2643-M2643</f>
        <v/>
      </c>
      <c r="P2643">
        <f>TEXT(B2643,"yyyy-mm")</f>
        <v/>
      </c>
      <c r="Q2643">
        <f>IF(O2643&gt;=3000,"Large","Small")</f>
        <v/>
      </c>
      <c r="R2643">
        <f>INDEX(Products!$F$2:$F$49,MATCH(J2643,Products!$A$2:$A$49,0))</f>
        <v/>
      </c>
      <c r="S2643">
        <f>WEEKDAY(B2643,2)</f>
        <v/>
      </c>
    </row>
    <row r="2644">
      <c r="A2644" t="n">
        <v>510720</v>
      </c>
      <c r="B2644" s="6" t="n">
        <v>45970</v>
      </c>
      <c r="C2644" t="n">
        <v>17143</v>
      </c>
      <c r="D2644" t="inlineStr">
        <is>
          <t>Jaipur</t>
        </is>
      </c>
      <c r="E2644" t="inlineStr">
        <is>
          <t>North</t>
        </is>
      </c>
      <c r="F2644" t="inlineStr">
        <is>
          <t>Referral</t>
        </is>
      </c>
      <c r="G2644" t="inlineStr">
        <is>
          <t>Desktop</t>
        </is>
      </c>
      <c r="H2644" t="inlineStr">
        <is>
          <t>UPI</t>
        </is>
      </c>
      <c r="I2644" t="inlineStr">
        <is>
          <t>Delivered</t>
        </is>
      </c>
      <c r="J2644" t="n">
        <v>137</v>
      </c>
      <c r="K2644" t="n">
        <v>1</v>
      </c>
      <c r="L2644" t="n">
        <v>261</v>
      </c>
      <c r="M2644" t="n">
        <v>0</v>
      </c>
      <c r="N2644">
        <f>VLOOKUP(J2644,Products!$A$2:$C$49,3,FALSE)</f>
        <v/>
      </c>
      <c r="O2644">
        <f>K2644*L2644-M2644</f>
        <v/>
      </c>
      <c r="P2644">
        <f>TEXT(B2644,"yyyy-mm")</f>
        <v/>
      </c>
      <c r="Q2644">
        <f>IF(O2644&gt;=3000,"Large","Small")</f>
        <v/>
      </c>
      <c r="R2644">
        <f>INDEX(Products!$F$2:$F$49,MATCH(J2644,Products!$A$2:$A$49,0))</f>
        <v/>
      </c>
      <c r="S2644">
        <f>WEEKDAY(B2644,2)</f>
        <v/>
      </c>
    </row>
    <row r="2645">
      <c r="A2645" t="n">
        <v>510720</v>
      </c>
      <c r="B2645" s="6" t="n">
        <v>45970</v>
      </c>
      <c r="C2645" t="n">
        <v>17143</v>
      </c>
      <c r="D2645" t="inlineStr">
        <is>
          <t>Jaipur</t>
        </is>
      </c>
      <c r="E2645" t="inlineStr">
        <is>
          <t>North</t>
        </is>
      </c>
      <c r="F2645" t="inlineStr">
        <is>
          <t>Referral</t>
        </is>
      </c>
      <c r="G2645" t="inlineStr">
        <is>
          <t>Desktop</t>
        </is>
      </c>
      <c r="H2645" t="inlineStr">
        <is>
          <t>UPI</t>
        </is>
      </c>
      <c r="I2645" t="inlineStr">
        <is>
          <t>Delivered</t>
        </is>
      </c>
      <c r="J2645" t="n">
        <v>129</v>
      </c>
      <c r="K2645" t="n">
        <v>2</v>
      </c>
      <c r="L2645" t="n">
        <v>576</v>
      </c>
      <c r="M2645" t="n">
        <v>0</v>
      </c>
      <c r="N2645">
        <f>VLOOKUP(J2645,Products!$A$2:$C$49,3,FALSE)</f>
        <v/>
      </c>
      <c r="O2645">
        <f>K2645*L2645-M2645</f>
        <v/>
      </c>
      <c r="P2645">
        <f>TEXT(B2645,"yyyy-mm")</f>
        <v/>
      </c>
      <c r="Q2645">
        <f>IF(O2645&gt;=3000,"Large","Small")</f>
        <v/>
      </c>
      <c r="R2645">
        <f>INDEX(Products!$F$2:$F$49,MATCH(J2645,Products!$A$2:$A$49,0))</f>
        <v/>
      </c>
      <c r="S2645">
        <f>WEEKDAY(B2645,2)</f>
        <v/>
      </c>
    </row>
    <row r="2646">
      <c r="A2646" t="n">
        <v>510721</v>
      </c>
      <c r="B2646" s="6" t="n">
        <v>45970</v>
      </c>
      <c r="C2646" t="n">
        <v>14939</v>
      </c>
      <c r="D2646" t="inlineStr">
        <is>
          <t>Chennai</t>
        </is>
      </c>
      <c r="E2646" t="inlineStr">
        <is>
          <t>South</t>
        </is>
      </c>
      <c r="F2646" t="inlineStr">
        <is>
          <t>Affiliate</t>
        </is>
      </c>
      <c r="G2646" t="inlineStr">
        <is>
          <t>Mobile App</t>
        </is>
      </c>
      <c r="H2646" t="inlineStr">
        <is>
          <t>Cash on Delivery</t>
        </is>
      </c>
      <c r="I2646" t="inlineStr">
        <is>
          <t>Delivered</t>
        </is>
      </c>
      <c r="J2646" t="n">
        <v>142</v>
      </c>
      <c r="K2646" t="n">
        <v>1</v>
      </c>
      <c r="L2646" t="n">
        <v>839</v>
      </c>
      <c r="M2646" t="n">
        <v>0</v>
      </c>
      <c r="N2646">
        <f>VLOOKUP(J2646,Products!$A$2:$C$49,3,FALSE)</f>
        <v/>
      </c>
      <c r="O2646">
        <f>K2646*L2646-M2646</f>
        <v/>
      </c>
      <c r="P2646">
        <f>TEXT(B2646,"yyyy-mm")</f>
        <v/>
      </c>
      <c r="Q2646">
        <f>IF(O2646&gt;=3000,"Large","Small")</f>
        <v/>
      </c>
      <c r="R2646">
        <f>INDEX(Products!$F$2:$F$49,MATCH(J2646,Products!$A$2:$A$49,0))</f>
        <v/>
      </c>
      <c r="S2646">
        <f>WEEKDAY(B2646,2)</f>
        <v/>
      </c>
    </row>
    <row r="2647">
      <c r="A2647" t="n">
        <v>510722</v>
      </c>
      <c r="B2647" s="6" t="n">
        <v>45970</v>
      </c>
      <c r="C2647" t="n">
        <v>13486</v>
      </c>
      <c r="D2647" t="inlineStr">
        <is>
          <t>Mumbai</t>
        </is>
      </c>
      <c r="E2647" t="inlineStr">
        <is>
          <t>West</t>
        </is>
      </c>
      <c r="F2647" t="inlineStr">
        <is>
          <t>Paid Search</t>
        </is>
      </c>
      <c r="G2647" t="inlineStr">
        <is>
          <t>Mobile App</t>
        </is>
      </c>
      <c r="H2647" t="inlineStr">
        <is>
          <t>Cash on Delivery</t>
        </is>
      </c>
      <c r="I2647" t="inlineStr">
        <is>
          <t>Delivered</t>
        </is>
      </c>
      <c r="J2647" t="n">
        <v>121</v>
      </c>
      <c r="K2647" t="n">
        <v>1</v>
      </c>
      <c r="L2647" t="n">
        <v>2939</v>
      </c>
      <c r="M2647" t="n">
        <v>0</v>
      </c>
      <c r="N2647">
        <f>VLOOKUP(J2647,Products!$A$2:$C$49,3,FALSE)</f>
        <v/>
      </c>
      <c r="O2647">
        <f>K2647*L2647-M2647</f>
        <v/>
      </c>
      <c r="P2647">
        <f>TEXT(B2647,"yyyy-mm")</f>
        <v/>
      </c>
      <c r="Q2647">
        <f>IF(O2647&gt;=3000,"Large","Small")</f>
        <v/>
      </c>
      <c r="R2647">
        <f>INDEX(Products!$F$2:$F$49,MATCH(J2647,Products!$A$2:$A$49,0))</f>
        <v/>
      </c>
      <c r="S2647">
        <f>WEEKDAY(B2647,2)</f>
        <v/>
      </c>
    </row>
    <row r="2648">
      <c r="A2648" t="n">
        <v>510723</v>
      </c>
      <c r="B2648" s="6" t="n">
        <v>45970</v>
      </c>
      <c r="C2648" t="n">
        <v>17256</v>
      </c>
      <c r="D2648" t="inlineStr">
        <is>
          <t>Lucknow</t>
        </is>
      </c>
      <c r="E2648" t="inlineStr">
        <is>
          <t>North</t>
        </is>
      </c>
      <c r="F2648" t="inlineStr">
        <is>
          <t>Referral</t>
        </is>
      </c>
      <c r="G2648" t="inlineStr">
        <is>
          <t>Mobile Web</t>
        </is>
      </c>
      <c r="H2648" t="inlineStr">
        <is>
          <t>Credit Card</t>
        </is>
      </c>
      <c r="I2648" t="inlineStr">
        <is>
          <t>Delivered</t>
        </is>
      </c>
      <c r="J2648" t="n">
        <v>125</v>
      </c>
      <c r="K2648" t="n">
        <v>1</v>
      </c>
      <c r="L2648" t="n">
        <v>1364</v>
      </c>
      <c r="M2648" t="n">
        <v>0</v>
      </c>
      <c r="N2648">
        <f>VLOOKUP(J2648,Products!$A$2:$C$49,3,FALSE)</f>
        <v/>
      </c>
      <c r="O2648">
        <f>K2648*L2648-M2648</f>
        <v/>
      </c>
      <c r="P2648">
        <f>TEXT(B2648,"yyyy-mm")</f>
        <v/>
      </c>
      <c r="Q2648">
        <f>IF(O2648&gt;=3000,"Large","Small")</f>
        <v/>
      </c>
      <c r="R2648">
        <f>INDEX(Products!$F$2:$F$49,MATCH(J2648,Products!$A$2:$A$49,0))</f>
        <v/>
      </c>
      <c r="S2648">
        <f>WEEKDAY(B2648,2)</f>
        <v/>
      </c>
    </row>
    <row r="2649">
      <c r="A2649" t="n">
        <v>510724</v>
      </c>
      <c r="B2649" s="6" t="n">
        <v>45970</v>
      </c>
      <c r="C2649" t="n">
        <v>17119</v>
      </c>
      <c r="D2649" t="inlineStr">
        <is>
          <t>Bengaluru</t>
        </is>
      </c>
      <c r="E2649" t="inlineStr">
        <is>
          <t>South</t>
        </is>
      </c>
      <c r="F2649" t="inlineStr">
        <is>
          <t>Organic Search</t>
        </is>
      </c>
      <c r="G2649" t="inlineStr">
        <is>
          <t>Mobile Web</t>
        </is>
      </c>
      <c r="H2649" t="inlineStr">
        <is>
          <t>UPI</t>
        </is>
      </c>
      <c r="I2649" t="inlineStr">
        <is>
          <t>Delivered</t>
        </is>
      </c>
      <c r="J2649" t="n">
        <v>135</v>
      </c>
      <c r="K2649" t="n">
        <v>1</v>
      </c>
      <c r="L2649" t="n">
        <v>1574</v>
      </c>
      <c r="M2649" t="n">
        <v>0</v>
      </c>
      <c r="N2649">
        <f>VLOOKUP(J2649,Products!$A$2:$C$49,3,FALSE)</f>
        <v/>
      </c>
      <c r="O2649">
        <f>K2649*L2649-M2649</f>
        <v/>
      </c>
      <c r="P2649">
        <f>TEXT(B2649,"yyyy-mm")</f>
        <v/>
      </c>
      <c r="Q2649">
        <f>IF(O2649&gt;=3000,"Large","Small")</f>
        <v/>
      </c>
      <c r="R2649">
        <f>INDEX(Products!$F$2:$F$49,MATCH(J2649,Products!$A$2:$A$49,0))</f>
        <v/>
      </c>
      <c r="S2649">
        <f>WEEKDAY(B2649,2)</f>
        <v/>
      </c>
    </row>
    <row r="2650">
      <c r="A2650" t="n">
        <v>510725</v>
      </c>
      <c r="B2650" s="6" t="n">
        <v>45970</v>
      </c>
      <c r="C2650" t="n">
        <v>17232</v>
      </c>
      <c r="D2650" t="inlineStr">
        <is>
          <t>Mumbai</t>
        </is>
      </c>
      <c r="E2650" t="inlineStr">
        <is>
          <t>West</t>
        </is>
      </c>
      <c r="F2650" t="inlineStr">
        <is>
          <t>Paid Social</t>
        </is>
      </c>
      <c r="G2650" t="inlineStr">
        <is>
          <t>Mobile App</t>
        </is>
      </c>
      <c r="H2650" t="inlineStr">
        <is>
          <t>UPI</t>
        </is>
      </c>
      <c r="I2650" t="inlineStr">
        <is>
          <t>Delivered</t>
        </is>
      </c>
      <c r="J2650" t="n">
        <v>147</v>
      </c>
      <c r="K2650" t="n">
        <v>1</v>
      </c>
      <c r="L2650" t="n">
        <v>1364</v>
      </c>
      <c r="M2650" t="n">
        <v>204.6</v>
      </c>
      <c r="N2650">
        <f>VLOOKUP(J2650,Products!$A$2:$C$49,3,FALSE)</f>
        <v/>
      </c>
      <c r="O2650">
        <f>K2650*L2650-M2650</f>
        <v/>
      </c>
      <c r="P2650">
        <f>TEXT(B2650,"yyyy-mm")</f>
        <v/>
      </c>
      <c r="Q2650">
        <f>IF(O2650&gt;=3000,"Large","Small")</f>
        <v/>
      </c>
      <c r="R2650">
        <f>INDEX(Products!$F$2:$F$49,MATCH(J2650,Products!$A$2:$A$49,0))</f>
        <v/>
      </c>
      <c r="S2650">
        <f>WEEKDAY(B2650,2)</f>
        <v/>
      </c>
    </row>
    <row r="2651">
      <c r="A2651" t="n">
        <v>510725</v>
      </c>
      <c r="B2651" s="6" t="n">
        <v>45970</v>
      </c>
      <c r="C2651" t="n">
        <v>17232</v>
      </c>
      <c r="D2651" t="inlineStr">
        <is>
          <t>Mumbai</t>
        </is>
      </c>
      <c r="E2651" t="inlineStr">
        <is>
          <t>West</t>
        </is>
      </c>
      <c r="F2651" t="inlineStr">
        <is>
          <t>Paid Social</t>
        </is>
      </c>
      <c r="G2651" t="inlineStr">
        <is>
          <t>Mobile App</t>
        </is>
      </c>
      <c r="H2651" t="inlineStr">
        <is>
          <t>UPI</t>
        </is>
      </c>
      <c r="I2651" t="inlineStr">
        <is>
          <t>Delivered</t>
        </is>
      </c>
      <c r="J2651" t="n">
        <v>103</v>
      </c>
      <c r="K2651" t="n">
        <v>2</v>
      </c>
      <c r="L2651" t="n">
        <v>2624</v>
      </c>
      <c r="M2651" t="n">
        <v>787.2</v>
      </c>
      <c r="N2651">
        <f>VLOOKUP(J2651,Products!$A$2:$C$49,3,FALSE)</f>
        <v/>
      </c>
      <c r="O2651">
        <f>K2651*L2651-M2651</f>
        <v/>
      </c>
      <c r="P2651">
        <f>TEXT(B2651,"yyyy-mm")</f>
        <v/>
      </c>
      <c r="Q2651">
        <f>IF(O2651&gt;=3000,"Large","Small")</f>
        <v/>
      </c>
      <c r="R2651">
        <f>INDEX(Products!$F$2:$F$49,MATCH(J2651,Products!$A$2:$A$49,0))</f>
        <v/>
      </c>
      <c r="S2651">
        <f>WEEKDAY(B2651,2)</f>
        <v/>
      </c>
    </row>
    <row r="2652">
      <c r="A2652" t="n">
        <v>510725</v>
      </c>
      <c r="B2652" s="6" t="n">
        <v>45970</v>
      </c>
      <c r="C2652" t="n">
        <v>17232</v>
      </c>
      <c r="D2652" t="inlineStr">
        <is>
          <t>Mumbai</t>
        </is>
      </c>
      <c r="E2652" t="inlineStr">
        <is>
          <t>West</t>
        </is>
      </c>
      <c r="F2652" t="inlineStr">
        <is>
          <t>Paid Social</t>
        </is>
      </c>
      <c r="G2652" t="inlineStr">
        <is>
          <t>Mobile App</t>
        </is>
      </c>
      <c r="H2652" t="inlineStr">
        <is>
          <t>UPI</t>
        </is>
      </c>
      <c r="I2652" t="inlineStr">
        <is>
          <t>Delivered</t>
        </is>
      </c>
      <c r="J2652" t="n">
        <v>122</v>
      </c>
      <c r="K2652" t="n">
        <v>1</v>
      </c>
      <c r="L2652" t="n">
        <v>1994</v>
      </c>
      <c r="M2652" t="n">
        <v>299.1</v>
      </c>
      <c r="N2652">
        <f>VLOOKUP(J2652,Products!$A$2:$C$49,3,FALSE)</f>
        <v/>
      </c>
      <c r="O2652">
        <f>K2652*L2652-M2652</f>
        <v/>
      </c>
      <c r="P2652">
        <f>TEXT(B2652,"yyyy-mm")</f>
        <v/>
      </c>
      <c r="Q2652">
        <f>IF(O2652&gt;=3000,"Large","Small")</f>
        <v/>
      </c>
      <c r="R2652">
        <f>INDEX(Products!$F$2:$F$49,MATCH(J2652,Products!$A$2:$A$49,0))</f>
        <v/>
      </c>
      <c r="S2652">
        <f>WEEKDAY(B2652,2)</f>
        <v/>
      </c>
    </row>
    <row r="2653">
      <c r="A2653" t="n">
        <v>510726</v>
      </c>
      <c r="B2653" s="6" t="n">
        <v>45970</v>
      </c>
      <c r="C2653" t="n">
        <v>13294</v>
      </c>
      <c r="D2653" t="inlineStr">
        <is>
          <t>Chennai</t>
        </is>
      </c>
      <c r="E2653" t="inlineStr">
        <is>
          <t>South</t>
        </is>
      </c>
      <c r="F2653" t="inlineStr">
        <is>
          <t>Referral</t>
        </is>
      </c>
      <c r="G2653" t="inlineStr">
        <is>
          <t>Mobile App</t>
        </is>
      </c>
      <c r="H2653" t="inlineStr">
        <is>
          <t>Cash on Delivery</t>
        </is>
      </c>
      <c r="I2653" t="inlineStr">
        <is>
          <t>Delivered</t>
        </is>
      </c>
      <c r="J2653" t="n">
        <v>112</v>
      </c>
      <c r="K2653" t="n">
        <v>1</v>
      </c>
      <c r="L2653" t="n">
        <v>1574</v>
      </c>
      <c r="M2653" t="n">
        <v>0</v>
      </c>
      <c r="N2653">
        <f>VLOOKUP(J2653,Products!$A$2:$C$49,3,FALSE)</f>
        <v/>
      </c>
      <c r="O2653">
        <f>K2653*L2653-M2653</f>
        <v/>
      </c>
      <c r="P2653">
        <f>TEXT(B2653,"yyyy-mm")</f>
        <v/>
      </c>
      <c r="Q2653">
        <f>IF(O2653&gt;=3000,"Large","Small")</f>
        <v/>
      </c>
      <c r="R2653">
        <f>INDEX(Products!$F$2:$F$49,MATCH(J2653,Products!$A$2:$A$49,0))</f>
        <v/>
      </c>
      <c r="S2653">
        <f>WEEKDAY(B2653,2)</f>
        <v/>
      </c>
    </row>
    <row r="2654">
      <c r="A2654" t="n">
        <v>510726</v>
      </c>
      <c r="B2654" s="6" t="n">
        <v>45970</v>
      </c>
      <c r="C2654" t="n">
        <v>13294</v>
      </c>
      <c r="D2654" t="inlineStr">
        <is>
          <t>Chennai</t>
        </is>
      </c>
      <c r="E2654" t="inlineStr">
        <is>
          <t>South</t>
        </is>
      </c>
      <c r="F2654" t="inlineStr">
        <is>
          <t>Referral</t>
        </is>
      </c>
      <c r="G2654" t="inlineStr">
        <is>
          <t>Mobile App</t>
        </is>
      </c>
      <c r="H2654" t="inlineStr">
        <is>
          <t>Cash on Delivery</t>
        </is>
      </c>
      <c r="I2654" t="inlineStr">
        <is>
          <t>Delivered</t>
        </is>
      </c>
      <c r="J2654" t="n">
        <v>107</v>
      </c>
      <c r="K2654" t="n">
        <v>1</v>
      </c>
      <c r="L2654" t="n">
        <v>1259</v>
      </c>
      <c r="M2654" t="n">
        <v>0</v>
      </c>
      <c r="N2654">
        <f>VLOOKUP(J2654,Products!$A$2:$C$49,3,FALSE)</f>
        <v/>
      </c>
      <c r="O2654">
        <f>K2654*L2654-M2654</f>
        <v/>
      </c>
      <c r="P2654">
        <f>TEXT(B2654,"yyyy-mm")</f>
        <v/>
      </c>
      <c r="Q2654">
        <f>IF(O2654&gt;=3000,"Large","Small")</f>
        <v/>
      </c>
      <c r="R2654">
        <f>INDEX(Products!$F$2:$F$49,MATCH(J2654,Products!$A$2:$A$49,0))</f>
        <v/>
      </c>
      <c r="S2654">
        <f>WEEKDAY(B2654,2)</f>
        <v/>
      </c>
    </row>
    <row r="2655">
      <c r="A2655" t="n">
        <v>510727</v>
      </c>
      <c r="B2655" s="6" t="n">
        <v>45970</v>
      </c>
      <c r="C2655" t="n">
        <v>17137</v>
      </c>
      <c r="D2655" t="inlineStr">
        <is>
          <t>Bengaluru</t>
        </is>
      </c>
      <c r="E2655" t="inlineStr">
        <is>
          <t>South</t>
        </is>
      </c>
      <c r="F2655" t="inlineStr">
        <is>
          <t>Organic Search</t>
        </is>
      </c>
      <c r="G2655" t="inlineStr">
        <is>
          <t>Mobile Web</t>
        </is>
      </c>
      <c r="H2655" t="inlineStr">
        <is>
          <t>UPI</t>
        </is>
      </c>
      <c r="I2655" t="inlineStr">
        <is>
          <t>Delivered</t>
        </is>
      </c>
      <c r="J2655" t="n">
        <v>124</v>
      </c>
      <c r="K2655" t="n">
        <v>1</v>
      </c>
      <c r="L2655" t="n">
        <v>1154</v>
      </c>
      <c r="M2655" t="n">
        <v>0</v>
      </c>
      <c r="N2655">
        <f>VLOOKUP(J2655,Products!$A$2:$C$49,3,FALSE)</f>
        <v/>
      </c>
      <c r="O2655">
        <f>K2655*L2655-M2655</f>
        <v/>
      </c>
      <c r="P2655">
        <f>TEXT(B2655,"yyyy-mm")</f>
        <v/>
      </c>
      <c r="Q2655">
        <f>IF(O2655&gt;=3000,"Large","Small")</f>
        <v/>
      </c>
      <c r="R2655">
        <f>INDEX(Products!$F$2:$F$49,MATCH(J2655,Products!$A$2:$A$49,0))</f>
        <v/>
      </c>
      <c r="S2655">
        <f>WEEKDAY(B2655,2)</f>
        <v/>
      </c>
    </row>
    <row r="2656">
      <c r="A2656" t="n">
        <v>510728</v>
      </c>
      <c r="B2656" s="6" t="n">
        <v>45970</v>
      </c>
      <c r="C2656" t="n">
        <v>17160</v>
      </c>
      <c r="D2656" t="inlineStr">
        <is>
          <t>Kolkata</t>
        </is>
      </c>
      <c r="E2656" t="inlineStr">
        <is>
          <t>East</t>
        </is>
      </c>
      <c r="F2656" t="inlineStr">
        <is>
          <t>Affiliate</t>
        </is>
      </c>
      <c r="G2656" t="inlineStr">
        <is>
          <t>Mobile App</t>
        </is>
      </c>
      <c r="H2656" t="inlineStr">
        <is>
          <t>Credit Card</t>
        </is>
      </c>
      <c r="I2656" t="inlineStr">
        <is>
          <t>Delivered</t>
        </is>
      </c>
      <c r="J2656" t="n">
        <v>117</v>
      </c>
      <c r="K2656" t="n">
        <v>1</v>
      </c>
      <c r="L2656" t="n">
        <v>3149</v>
      </c>
      <c r="M2656" t="n">
        <v>472.35</v>
      </c>
      <c r="N2656">
        <f>VLOOKUP(J2656,Products!$A$2:$C$49,3,FALSE)</f>
        <v/>
      </c>
      <c r="O2656">
        <f>K2656*L2656-M2656</f>
        <v/>
      </c>
      <c r="P2656">
        <f>TEXT(B2656,"yyyy-mm")</f>
        <v/>
      </c>
      <c r="Q2656">
        <f>IF(O2656&gt;=3000,"Large","Small")</f>
        <v/>
      </c>
      <c r="R2656">
        <f>INDEX(Products!$F$2:$F$49,MATCH(J2656,Products!$A$2:$A$49,0))</f>
        <v/>
      </c>
      <c r="S2656">
        <f>WEEKDAY(B2656,2)</f>
        <v/>
      </c>
    </row>
    <row r="2657">
      <c r="A2657" t="n">
        <v>510728</v>
      </c>
      <c r="B2657" s="6" t="n">
        <v>45970</v>
      </c>
      <c r="C2657" t="n">
        <v>17160</v>
      </c>
      <c r="D2657" t="inlineStr">
        <is>
          <t>Kolkata</t>
        </is>
      </c>
      <c r="E2657" t="inlineStr">
        <is>
          <t>East</t>
        </is>
      </c>
      <c r="F2657" t="inlineStr">
        <is>
          <t>Affiliate</t>
        </is>
      </c>
      <c r="G2657" t="inlineStr">
        <is>
          <t>Mobile App</t>
        </is>
      </c>
      <c r="H2657" t="inlineStr">
        <is>
          <t>Credit Card</t>
        </is>
      </c>
      <c r="I2657" t="inlineStr">
        <is>
          <t>Delivered</t>
        </is>
      </c>
      <c r="J2657" t="n">
        <v>139</v>
      </c>
      <c r="K2657" t="n">
        <v>1</v>
      </c>
      <c r="L2657" t="n">
        <v>366</v>
      </c>
      <c r="M2657" t="n">
        <v>54.9</v>
      </c>
      <c r="N2657">
        <f>VLOOKUP(J2657,Products!$A$2:$C$49,3,FALSE)</f>
        <v/>
      </c>
      <c r="O2657">
        <f>K2657*L2657-M2657</f>
        <v/>
      </c>
      <c r="P2657">
        <f>TEXT(B2657,"yyyy-mm")</f>
        <v/>
      </c>
      <c r="Q2657">
        <f>IF(O2657&gt;=3000,"Large","Small")</f>
        <v/>
      </c>
      <c r="R2657">
        <f>INDEX(Products!$F$2:$F$49,MATCH(J2657,Products!$A$2:$A$49,0))</f>
        <v/>
      </c>
      <c r="S2657">
        <f>WEEKDAY(B2657,2)</f>
        <v/>
      </c>
    </row>
    <row r="2658">
      <c r="A2658" t="n">
        <v>510729</v>
      </c>
      <c r="B2658" s="6" t="n">
        <v>45970</v>
      </c>
      <c r="C2658" t="n">
        <v>17032</v>
      </c>
      <c r="D2658" t="inlineStr">
        <is>
          <t>Chennai</t>
        </is>
      </c>
      <c r="E2658" t="inlineStr">
        <is>
          <t>South</t>
        </is>
      </c>
      <c r="F2658" t="inlineStr">
        <is>
          <t>Paid Search</t>
        </is>
      </c>
      <c r="G2658" t="inlineStr">
        <is>
          <t>Mobile Web</t>
        </is>
      </c>
      <c r="H2658" t="inlineStr">
        <is>
          <t>UPI</t>
        </is>
      </c>
      <c r="I2658" t="inlineStr">
        <is>
          <t>Delivered</t>
        </is>
      </c>
      <c r="J2658" t="n">
        <v>111</v>
      </c>
      <c r="K2658" t="n">
        <v>1</v>
      </c>
      <c r="L2658" t="n">
        <v>524</v>
      </c>
      <c r="M2658" t="n">
        <v>0</v>
      </c>
      <c r="N2658">
        <f>VLOOKUP(J2658,Products!$A$2:$C$49,3,FALSE)</f>
        <v/>
      </c>
      <c r="O2658">
        <f>K2658*L2658-M2658</f>
        <v/>
      </c>
      <c r="P2658">
        <f>TEXT(B2658,"yyyy-mm")</f>
        <v/>
      </c>
      <c r="Q2658">
        <f>IF(O2658&gt;=3000,"Large","Small")</f>
        <v/>
      </c>
      <c r="R2658">
        <f>INDEX(Products!$F$2:$F$49,MATCH(J2658,Products!$A$2:$A$49,0))</f>
        <v/>
      </c>
      <c r="S2658">
        <f>WEEKDAY(B2658,2)</f>
        <v/>
      </c>
    </row>
    <row r="2659">
      <c r="A2659" t="n">
        <v>510730</v>
      </c>
      <c r="B2659" s="6" t="n">
        <v>45970</v>
      </c>
      <c r="C2659" t="n">
        <v>17138</v>
      </c>
      <c r="D2659" t="inlineStr">
        <is>
          <t>Lucknow</t>
        </is>
      </c>
      <c r="E2659" t="inlineStr">
        <is>
          <t>North</t>
        </is>
      </c>
      <c r="F2659" t="inlineStr">
        <is>
          <t>Paid Social</t>
        </is>
      </c>
      <c r="G2659" t="inlineStr">
        <is>
          <t>Mobile App</t>
        </is>
      </c>
      <c r="H2659" t="inlineStr">
        <is>
          <t>Cash on Delivery</t>
        </is>
      </c>
      <c r="I2659" t="inlineStr">
        <is>
          <t>Delivered</t>
        </is>
      </c>
      <c r="J2659" t="n">
        <v>102</v>
      </c>
      <c r="K2659" t="n">
        <v>1</v>
      </c>
      <c r="L2659" t="n">
        <v>3674</v>
      </c>
      <c r="M2659" t="n">
        <v>0</v>
      </c>
      <c r="N2659">
        <f>VLOOKUP(J2659,Products!$A$2:$C$49,3,FALSE)</f>
        <v/>
      </c>
      <c r="O2659">
        <f>K2659*L2659-M2659</f>
        <v/>
      </c>
      <c r="P2659">
        <f>TEXT(B2659,"yyyy-mm")</f>
        <v/>
      </c>
      <c r="Q2659">
        <f>IF(O2659&gt;=3000,"Large","Small")</f>
        <v/>
      </c>
      <c r="R2659">
        <f>INDEX(Products!$F$2:$F$49,MATCH(J2659,Products!$A$2:$A$49,0))</f>
        <v/>
      </c>
      <c r="S2659">
        <f>WEEKDAY(B2659,2)</f>
        <v/>
      </c>
    </row>
    <row r="2660">
      <c r="A2660" t="n">
        <v>510731</v>
      </c>
      <c r="B2660" s="6" t="n">
        <v>45970</v>
      </c>
      <c r="C2660" t="n">
        <v>16974</v>
      </c>
      <c r="D2660" t="inlineStr">
        <is>
          <t>Kolkata</t>
        </is>
      </c>
      <c r="E2660" t="inlineStr">
        <is>
          <t>East</t>
        </is>
      </c>
      <c r="F2660" t="inlineStr">
        <is>
          <t>Organic Search</t>
        </is>
      </c>
      <c r="G2660" t="inlineStr">
        <is>
          <t>Desktop</t>
        </is>
      </c>
      <c r="H2660" t="inlineStr">
        <is>
          <t>UPI</t>
        </is>
      </c>
      <c r="I2660" t="inlineStr">
        <is>
          <t>Delivered</t>
        </is>
      </c>
      <c r="J2660" t="n">
        <v>113</v>
      </c>
      <c r="K2660" t="n">
        <v>1</v>
      </c>
      <c r="L2660" t="n">
        <v>1364</v>
      </c>
      <c r="M2660" t="n">
        <v>204.6</v>
      </c>
      <c r="N2660">
        <f>VLOOKUP(J2660,Products!$A$2:$C$49,3,FALSE)</f>
        <v/>
      </c>
      <c r="O2660">
        <f>K2660*L2660-M2660</f>
        <v/>
      </c>
      <c r="P2660">
        <f>TEXT(B2660,"yyyy-mm")</f>
        <v/>
      </c>
      <c r="Q2660">
        <f>IF(O2660&gt;=3000,"Large","Small")</f>
        <v/>
      </c>
      <c r="R2660">
        <f>INDEX(Products!$F$2:$F$49,MATCH(J2660,Products!$A$2:$A$49,0))</f>
        <v/>
      </c>
      <c r="S2660">
        <f>WEEKDAY(B2660,2)</f>
        <v/>
      </c>
    </row>
    <row r="2661">
      <c r="A2661" t="n">
        <v>510732</v>
      </c>
      <c r="B2661" s="6" t="n">
        <v>45970</v>
      </c>
      <c r="C2661" t="n">
        <v>17217</v>
      </c>
      <c r="D2661" t="inlineStr">
        <is>
          <t>Gurugram</t>
        </is>
      </c>
      <c r="E2661" t="inlineStr">
        <is>
          <t>North</t>
        </is>
      </c>
      <c r="F2661" t="inlineStr">
        <is>
          <t>Organic Search</t>
        </is>
      </c>
      <c r="G2661" t="inlineStr">
        <is>
          <t>Mobile App</t>
        </is>
      </c>
      <c r="H2661" t="inlineStr">
        <is>
          <t>Net Banking</t>
        </is>
      </c>
      <c r="I2661" t="inlineStr">
        <is>
          <t>Delivered</t>
        </is>
      </c>
      <c r="J2661" t="n">
        <v>111</v>
      </c>
      <c r="K2661" t="n">
        <v>3</v>
      </c>
      <c r="L2661" t="n">
        <v>524</v>
      </c>
      <c r="M2661" t="n">
        <v>0</v>
      </c>
      <c r="N2661">
        <f>VLOOKUP(J2661,Products!$A$2:$C$49,3,FALSE)</f>
        <v/>
      </c>
      <c r="O2661">
        <f>K2661*L2661-M2661</f>
        <v/>
      </c>
      <c r="P2661">
        <f>TEXT(B2661,"yyyy-mm")</f>
        <v/>
      </c>
      <c r="Q2661">
        <f>IF(O2661&gt;=3000,"Large","Small")</f>
        <v/>
      </c>
      <c r="R2661">
        <f>INDEX(Products!$F$2:$F$49,MATCH(J2661,Products!$A$2:$A$49,0))</f>
        <v/>
      </c>
      <c r="S2661">
        <f>WEEKDAY(B2661,2)</f>
        <v/>
      </c>
    </row>
    <row r="2662">
      <c r="A2662" t="n">
        <v>510733</v>
      </c>
      <c r="B2662" s="6" t="n">
        <v>45970</v>
      </c>
      <c r="C2662" t="n">
        <v>17243</v>
      </c>
      <c r="D2662" t="inlineStr">
        <is>
          <t>Pune</t>
        </is>
      </c>
      <c r="E2662" t="inlineStr">
        <is>
          <t>West</t>
        </is>
      </c>
      <c r="F2662" t="inlineStr">
        <is>
          <t>Affiliate</t>
        </is>
      </c>
      <c r="G2662" t="inlineStr">
        <is>
          <t>Mobile Web</t>
        </is>
      </c>
      <c r="H2662" t="inlineStr">
        <is>
          <t>Cash on Delivery</t>
        </is>
      </c>
      <c r="I2662" t="inlineStr">
        <is>
          <t>Delivered</t>
        </is>
      </c>
      <c r="J2662" t="n">
        <v>110</v>
      </c>
      <c r="K2662" t="n">
        <v>1</v>
      </c>
      <c r="L2662" t="n">
        <v>839</v>
      </c>
      <c r="M2662" t="n">
        <v>125.85</v>
      </c>
      <c r="N2662">
        <f>VLOOKUP(J2662,Products!$A$2:$C$49,3,FALSE)</f>
        <v/>
      </c>
      <c r="O2662">
        <f>K2662*L2662-M2662</f>
        <v/>
      </c>
      <c r="P2662">
        <f>TEXT(B2662,"yyyy-mm")</f>
        <v/>
      </c>
      <c r="Q2662">
        <f>IF(O2662&gt;=3000,"Large","Small")</f>
        <v/>
      </c>
      <c r="R2662">
        <f>INDEX(Products!$F$2:$F$49,MATCH(J2662,Products!$A$2:$A$49,0))</f>
        <v/>
      </c>
      <c r="S2662">
        <f>WEEKDAY(B2662,2)</f>
        <v/>
      </c>
    </row>
    <row r="2663">
      <c r="A2663" t="n">
        <v>510734</v>
      </c>
      <c r="B2663" s="6" t="n">
        <v>45971</v>
      </c>
      <c r="C2663" t="n">
        <v>17178</v>
      </c>
      <c r="D2663" t="inlineStr">
        <is>
          <t>Bengaluru</t>
        </is>
      </c>
      <c r="E2663" t="inlineStr">
        <is>
          <t>South</t>
        </is>
      </c>
      <c r="F2663" t="inlineStr">
        <is>
          <t>Paid Search</t>
        </is>
      </c>
      <c r="G2663" t="inlineStr">
        <is>
          <t>Mobile App</t>
        </is>
      </c>
      <c r="H2663" t="inlineStr">
        <is>
          <t>UPI</t>
        </is>
      </c>
      <c r="I2663" t="inlineStr">
        <is>
          <t>Returned</t>
        </is>
      </c>
      <c r="J2663" t="n">
        <v>110</v>
      </c>
      <c r="K2663" t="n">
        <v>3</v>
      </c>
      <c r="L2663" t="n">
        <v>839</v>
      </c>
      <c r="M2663" t="n">
        <v>0</v>
      </c>
      <c r="N2663">
        <f>VLOOKUP(J2663,Products!$A$2:$C$49,3,FALSE)</f>
        <v/>
      </c>
      <c r="O2663">
        <f>K2663*L2663-M2663</f>
        <v/>
      </c>
      <c r="P2663">
        <f>TEXT(B2663,"yyyy-mm")</f>
        <v/>
      </c>
      <c r="Q2663">
        <f>IF(O2663&gt;=3000,"Large","Small")</f>
        <v/>
      </c>
      <c r="R2663">
        <f>INDEX(Products!$F$2:$F$49,MATCH(J2663,Products!$A$2:$A$49,0))</f>
        <v/>
      </c>
      <c r="S2663">
        <f>WEEKDAY(B2663,2)</f>
        <v/>
      </c>
    </row>
    <row r="2664">
      <c r="A2664" t="n">
        <v>510734</v>
      </c>
      <c r="B2664" s="6" t="n">
        <v>45971</v>
      </c>
      <c r="C2664" t="n">
        <v>17178</v>
      </c>
      <c r="D2664" t="inlineStr">
        <is>
          <t>Bengaluru</t>
        </is>
      </c>
      <c r="E2664" t="inlineStr">
        <is>
          <t>South</t>
        </is>
      </c>
      <c r="F2664" t="inlineStr">
        <is>
          <t>Paid Search</t>
        </is>
      </c>
      <c r="G2664" t="inlineStr">
        <is>
          <t>Mobile App</t>
        </is>
      </c>
      <c r="H2664" t="inlineStr">
        <is>
          <t>UPI</t>
        </is>
      </c>
      <c r="I2664" t="inlineStr">
        <is>
          <t>Returned</t>
        </is>
      </c>
      <c r="J2664" t="n">
        <v>111</v>
      </c>
      <c r="K2664" t="n">
        <v>3</v>
      </c>
      <c r="L2664" t="n">
        <v>524</v>
      </c>
      <c r="M2664" t="n">
        <v>0</v>
      </c>
      <c r="N2664">
        <f>VLOOKUP(J2664,Products!$A$2:$C$49,3,FALSE)</f>
        <v/>
      </c>
      <c r="O2664">
        <f>K2664*L2664-M2664</f>
        <v/>
      </c>
      <c r="P2664">
        <f>TEXT(B2664,"yyyy-mm")</f>
        <v/>
      </c>
      <c r="Q2664">
        <f>IF(O2664&gt;=3000,"Large","Small")</f>
        <v/>
      </c>
      <c r="R2664">
        <f>INDEX(Products!$F$2:$F$49,MATCH(J2664,Products!$A$2:$A$49,0))</f>
        <v/>
      </c>
      <c r="S2664">
        <f>WEEKDAY(B2664,2)</f>
        <v/>
      </c>
    </row>
    <row r="2665">
      <c r="A2665" t="n">
        <v>510735</v>
      </c>
      <c r="B2665" s="6" t="n">
        <v>45971</v>
      </c>
      <c r="C2665" t="n">
        <v>17275</v>
      </c>
      <c r="D2665" t="inlineStr">
        <is>
          <t>Chennai</t>
        </is>
      </c>
      <c r="E2665" t="inlineStr">
        <is>
          <t>South</t>
        </is>
      </c>
      <c r="F2665" t="inlineStr">
        <is>
          <t>Organic Search</t>
        </is>
      </c>
      <c r="G2665" t="inlineStr">
        <is>
          <t>Mobile App</t>
        </is>
      </c>
      <c r="H2665" t="inlineStr">
        <is>
          <t>Cash on Delivery</t>
        </is>
      </c>
      <c r="I2665" t="inlineStr">
        <is>
          <t>Delivered</t>
        </is>
      </c>
      <c r="J2665" t="n">
        <v>128</v>
      </c>
      <c r="K2665" t="n">
        <v>1</v>
      </c>
      <c r="L2665" t="n">
        <v>1049</v>
      </c>
      <c r="M2665" t="n">
        <v>0</v>
      </c>
      <c r="N2665">
        <f>VLOOKUP(J2665,Products!$A$2:$C$49,3,FALSE)</f>
        <v/>
      </c>
      <c r="O2665">
        <f>K2665*L2665-M2665</f>
        <v/>
      </c>
      <c r="P2665">
        <f>TEXT(B2665,"yyyy-mm")</f>
        <v/>
      </c>
      <c r="Q2665">
        <f>IF(O2665&gt;=3000,"Large","Small")</f>
        <v/>
      </c>
      <c r="R2665">
        <f>INDEX(Products!$F$2:$F$49,MATCH(J2665,Products!$A$2:$A$49,0))</f>
        <v/>
      </c>
      <c r="S2665">
        <f>WEEKDAY(B2665,2)</f>
        <v/>
      </c>
    </row>
    <row r="2666">
      <c r="A2666" t="n">
        <v>510735</v>
      </c>
      <c r="B2666" s="6" t="n">
        <v>45971</v>
      </c>
      <c r="C2666" t="n">
        <v>17275</v>
      </c>
      <c r="D2666" t="inlineStr">
        <is>
          <t>Chennai</t>
        </is>
      </c>
      <c r="E2666" t="inlineStr">
        <is>
          <t>South</t>
        </is>
      </c>
      <c r="F2666" t="inlineStr">
        <is>
          <t>Organic Search</t>
        </is>
      </c>
      <c r="G2666" t="inlineStr">
        <is>
          <t>Mobile App</t>
        </is>
      </c>
      <c r="H2666" t="inlineStr">
        <is>
          <t>Cash on Delivery</t>
        </is>
      </c>
      <c r="I2666" t="inlineStr">
        <is>
          <t>Delivered</t>
        </is>
      </c>
      <c r="J2666" t="n">
        <v>127</v>
      </c>
      <c r="K2666" t="n">
        <v>1</v>
      </c>
      <c r="L2666" t="n">
        <v>681</v>
      </c>
      <c r="M2666" t="n">
        <v>0</v>
      </c>
      <c r="N2666">
        <f>VLOOKUP(J2666,Products!$A$2:$C$49,3,FALSE)</f>
        <v/>
      </c>
      <c r="O2666">
        <f>K2666*L2666-M2666</f>
        <v/>
      </c>
      <c r="P2666">
        <f>TEXT(B2666,"yyyy-mm")</f>
        <v/>
      </c>
      <c r="Q2666">
        <f>IF(O2666&gt;=3000,"Large","Small")</f>
        <v/>
      </c>
      <c r="R2666">
        <f>INDEX(Products!$F$2:$F$49,MATCH(J2666,Products!$A$2:$A$49,0))</f>
        <v/>
      </c>
      <c r="S2666">
        <f>WEEKDAY(B2666,2)</f>
        <v/>
      </c>
    </row>
    <row r="2667">
      <c r="A2667" t="n">
        <v>510735</v>
      </c>
      <c r="B2667" s="6" t="n">
        <v>45971</v>
      </c>
      <c r="C2667" t="n">
        <v>17275</v>
      </c>
      <c r="D2667" t="inlineStr">
        <is>
          <t>Chennai</t>
        </is>
      </c>
      <c r="E2667" t="inlineStr">
        <is>
          <t>South</t>
        </is>
      </c>
      <c r="F2667" t="inlineStr">
        <is>
          <t>Organic Search</t>
        </is>
      </c>
      <c r="G2667" t="inlineStr">
        <is>
          <t>Mobile App</t>
        </is>
      </c>
      <c r="H2667" t="inlineStr">
        <is>
          <t>Cash on Delivery</t>
        </is>
      </c>
      <c r="I2667" t="inlineStr">
        <is>
          <t>Delivered</t>
        </is>
      </c>
      <c r="J2667" t="n">
        <v>146</v>
      </c>
      <c r="K2667" t="n">
        <v>1</v>
      </c>
      <c r="L2667" t="n">
        <v>4724</v>
      </c>
      <c r="M2667" t="n">
        <v>0</v>
      </c>
      <c r="N2667">
        <f>VLOOKUP(J2667,Products!$A$2:$C$49,3,FALSE)</f>
        <v/>
      </c>
      <c r="O2667">
        <f>K2667*L2667-M2667</f>
        <v/>
      </c>
      <c r="P2667">
        <f>TEXT(B2667,"yyyy-mm")</f>
        <v/>
      </c>
      <c r="Q2667">
        <f>IF(O2667&gt;=3000,"Large","Small")</f>
        <v/>
      </c>
      <c r="R2667">
        <f>INDEX(Products!$F$2:$F$49,MATCH(J2667,Products!$A$2:$A$49,0))</f>
        <v/>
      </c>
      <c r="S2667">
        <f>WEEKDAY(B2667,2)</f>
        <v/>
      </c>
    </row>
    <row r="2668">
      <c r="A2668" t="n">
        <v>510736</v>
      </c>
      <c r="B2668" s="6" t="n">
        <v>45971</v>
      </c>
      <c r="C2668" t="n">
        <v>16681</v>
      </c>
      <c r="D2668" t="inlineStr">
        <is>
          <t>Delhi</t>
        </is>
      </c>
      <c r="E2668" t="inlineStr">
        <is>
          <t>North</t>
        </is>
      </c>
      <c r="F2668" t="inlineStr">
        <is>
          <t>Paid Search</t>
        </is>
      </c>
      <c r="G2668" t="inlineStr">
        <is>
          <t>Desktop</t>
        </is>
      </c>
      <c r="H2668" t="inlineStr">
        <is>
          <t>UPI</t>
        </is>
      </c>
      <c r="I2668" t="inlineStr">
        <is>
          <t>Cancelled</t>
        </is>
      </c>
      <c r="J2668" t="n">
        <v>107</v>
      </c>
      <c r="K2668" t="n">
        <v>1</v>
      </c>
      <c r="L2668" t="n">
        <v>1259</v>
      </c>
      <c r="M2668" t="n">
        <v>0</v>
      </c>
      <c r="N2668">
        <f>VLOOKUP(J2668,Products!$A$2:$C$49,3,FALSE)</f>
        <v/>
      </c>
      <c r="O2668">
        <f>K2668*L2668-M2668</f>
        <v/>
      </c>
      <c r="P2668">
        <f>TEXT(B2668,"yyyy-mm")</f>
        <v/>
      </c>
      <c r="Q2668">
        <f>IF(O2668&gt;=3000,"Large","Small")</f>
        <v/>
      </c>
      <c r="R2668">
        <f>INDEX(Products!$F$2:$F$49,MATCH(J2668,Products!$A$2:$A$49,0))</f>
        <v/>
      </c>
      <c r="S2668">
        <f>WEEKDAY(B2668,2)</f>
        <v/>
      </c>
    </row>
    <row r="2669">
      <c r="A2669" t="n">
        <v>510737</v>
      </c>
      <c r="B2669" s="6" t="n">
        <v>45971</v>
      </c>
      <c r="C2669" t="n">
        <v>16505</v>
      </c>
      <c r="D2669" t="inlineStr">
        <is>
          <t>Mumbai</t>
        </is>
      </c>
      <c r="E2669" t="inlineStr">
        <is>
          <t>West</t>
        </is>
      </c>
      <c r="F2669" t="inlineStr">
        <is>
          <t>Paid Search</t>
        </is>
      </c>
      <c r="G2669" t="inlineStr">
        <is>
          <t>Mobile App</t>
        </is>
      </c>
      <c r="H2669" t="inlineStr">
        <is>
          <t>UPI</t>
        </is>
      </c>
      <c r="I2669" t="inlineStr">
        <is>
          <t>Cancelled</t>
        </is>
      </c>
      <c r="J2669" t="n">
        <v>120</v>
      </c>
      <c r="K2669" t="n">
        <v>1</v>
      </c>
      <c r="L2669" t="n">
        <v>734</v>
      </c>
      <c r="M2669" t="n">
        <v>0</v>
      </c>
      <c r="N2669">
        <f>VLOOKUP(J2669,Products!$A$2:$C$49,3,FALSE)</f>
        <v/>
      </c>
      <c r="O2669">
        <f>K2669*L2669-M2669</f>
        <v/>
      </c>
      <c r="P2669">
        <f>TEXT(B2669,"yyyy-mm")</f>
        <v/>
      </c>
      <c r="Q2669">
        <f>IF(O2669&gt;=3000,"Large","Small")</f>
        <v/>
      </c>
      <c r="R2669">
        <f>INDEX(Products!$F$2:$F$49,MATCH(J2669,Products!$A$2:$A$49,0))</f>
        <v/>
      </c>
      <c r="S2669">
        <f>WEEKDAY(B2669,2)</f>
        <v/>
      </c>
    </row>
    <row r="2670">
      <c r="A2670" t="n">
        <v>510738</v>
      </c>
      <c r="B2670" s="6" t="n">
        <v>45971</v>
      </c>
      <c r="C2670" t="n">
        <v>17230</v>
      </c>
      <c r="D2670" t="inlineStr">
        <is>
          <t>Indore</t>
        </is>
      </c>
      <c r="E2670" t="inlineStr">
        <is>
          <t>West</t>
        </is>
      </c>
      <c r="F2670" t="inlineStr">
        <is>
          <t>Referral</t>
        </is>
      </c>
      <c r="G2670" t="inlineStr">
        <is>
          <t>Mobile App</t>
        </is>
      </c>
      <c r="H2670" t="inlineStr">
        <is>
          <t>UPI</t>
        </is>
      </c>
      <c r="I2670" t="inlineStr">
        <is>
          <t>Delivered</t>
        </is>
      </c>
      <c r="J2670" t="n">
        <v>137</v>
      </c>
      <c r="K2670" t="n">
        <v>1</v>
      </c>
      <c r="L2670" t="n">
        <v>261</v>
      </c>
      <c r="M2670" t="n">
        <v>0</v>
      </c>
      <c r="N2670">
        <f>VLOOKUP(J2670,Products!$A$2:$C$49,3,FALSE)</f>
        <v/>
      </c>
      <c r="O2670">
        <f>K2670*L2670-M2670</f>
        <v/>
      </c>
      <c r="P2670">
        <f>TEXT(B2670,"yyyy-mm")</f>
        <v/>
      </c>
      <c r="Q2670">
        <f>IF(O2670&gt;=3000,"Large","Small")</f>
        <v/>
      </c>
      <c r="R2670">
        <f>INDEX(Products!$F$2:$F$49,MATCH(J2670,Products!$A$2:$A$49,0))</f>
        <v/>
      </c>
      <c r="S2670">
        <f>WEEKDAY(B2670,2)</f>
        <v/>
      </c>
    </row>
    <row r="2671">
      <c r="A2671" t="n">
        <v>510739</v>
      </c>
      <c r="B2671" s="6" t="n">
        <v>45971</v>
      </c>
      <c r="C2671" t="n">
        <v>15999</v>
      </c>
      <c r="D2671" t="inlineStr">
        <is>
          <t>Pune</t>
        </is>
      </c>
      <c r="E2671" t="inlineStr">
        <is>
          <t>West</t>
        </is>
      </c>
      <c r="F2671" t="inlineStr">
        <is>
          <t>Organic Search</t>
        </is>
      </c>
      <c r="G2671" t="inlineStr">
        <is>
          <t>Desktop</t>
        </is>
      </c>
      <c r="H2671" t="inlineStr">
        <is>
          <t>UPI</t>
        </is>
      </c>
      <c r="I2671" t="inlineStr">
        <is>
          <t>Delivered</t>
        </is>
      </c>
      <c r="J2671" t="n">
        <v>138</v>
      </c>
      <c r="K2671" t="n">
        <v>1</v>
      </c>
      <c r="L2671" t="n">
        <v>419</v>
      </c>
      <c r="M2671" t="n">
        <v>20.95</v>
      </c>
      <c r="N2671">
        <f>VLOOKUP(J2671,Products!$A$2:$C$49,3,FALSE)</f>
        <v/>
      </c>
      <c r="O2671">
        <f>K2671*L2671-M2671</f>
        <v/>
      </c>
      <c r="P2671">
        <f>TEXT(B2671,"yyyy-mm")</f>
        <v/>
      </c>
      <c r="Q2671">
        <f>IF(O2671&gt;=3000,"Large","Small")</f>
        <v/>
      </c>
      <c r="R2671">
        <f>INDEX(Products!$F$2:$F$49,MATCH(J2671,Products!$A$2:$A$49,0))</f>
        <v/>
      </c>
      <c r="S2671">
        <f>WEEKDAY(B2671,2)</f>
        <v/>
      </c>
    </row>
    <row r="2672">
      <c r="A2672" t="n">
        <v>510739</v>
      </c>
      <c r="B2672" s="6" t="n">
        <v>45971</v>
      </c>
      <c r="C2672" t="n">
        <v>15999</v>
      </c>
      <c r="D2672" t="inlineStr">
        <is>
          <t>Pune</t>
        </is>
      </c>
      <c r="E2672" t="inlineStr">
        <is>
          <t>West</t>
        </is>
      </c>
      <c r="F2672" t="inlineStr">
        <is>
          <t>Organic Search</t>
        </is>
      </c>
      <c r="G2672" t="inlineStr">
        <is>
          <t>Desktop</t>
        </is>
      </c>
      <c r="H2672" t="inlineStr">
        <is>
          <t>UPI</t>
        </is>
      </c>
      <c r="I2672" t="inlineStr">
        <is>
          <t>Delivered</t>
        </is>
      </c>
      <c r="J2672" t="n">
        <v>120</v>
      </c>
      <c r="K2672" t="n">
        <v>1</v>
      </c>
      <c r="L2672" t="n">
        <v>734</v>
      </c>
      <c r="M2672" t="n">
        <v>36.7</v>
      </c>
      <c r="N2672">
        <f>VLOOKUP(J2672,Products!$A$2:$C$49,3,FALSE)</f>
        <v/>
      </c>
      <c r="O2672">
        <f>K2672*L2672-M2672</f>
        <v/>
      </c>
      <c r="P2672">
        <f>TEXT(B2672,"yyyy-mm")</f>
        <v/>
      </c>
      <c r="Q2672">
        <f>IF(O2672&gt;=3000,"Large","Small")</f>
        <v/>
      </c>
      <c r="R2672">
        <f>INDEX(Products!$F$2:$F$49,MATCH(J2672,Products!$A$2:$A$49,0))</f>
        <v/>
      </c>
      <c r="S2672">
        <f>WEEKDAY(B2672,2)</f>
        <v/>
      </c>
    </row>
    <row r="2673">
      <c r="A2673" t="n">
        <v>510740</v>
      </c>
      <c r="B2673" s="6" t="n">
        <v>45971</v>
      </c>
      <c r="C2673" t="n">
        <v>14927</v>
      </c>
      <c r="D2673" t="inlineStr">
        <is>
          <t>Delhi</t>
        </is>
      </c>
      <c r="E2673" t="inlineStr">
        <is>
          <t>North</t>
        </is>
      </c>
      <c r="F2673" t="inlineStr">
        <is>
          <t>Referral</t>
        </is>
      </c>
      <c r="G2673" t="inlineStr">
        <is>
          <t>Mobile App</t>
        </is>
      </c>
      <c r="H2673" t="inlineStr">
        <is>
          <t>UPI</t>
        </is>
      </c>
      <c r="I2673" t="inlineStr">
        <is>
          <t>Delivered</t>
        </is>
      </c>
      <c r="J2673" t="n">
        <v>124</v>
      </c>
      <c r="K2673" t="n">
        <v>1</v>
      </c>
      <c r="L2673" t="n">
        <v>1154</v>
      </c>
      <c r="M2673" t="n">
        <v>0</v>
      </c>
      <c r="N2673">
        <f>VLOOKUP(J2673,Products!$A$2:$C$49,3,FALSE)</f>
        <v/>
      </c>
      <c r="O2673">
        <f>K2673*L2673-M2673</f>
        <v/>
      </c>
      <c r="P2673">
        <f>TEXT(B2673,"yyyy-mm")</f>
        <v/>
      </c>
      <c r="Q2673">
        <f>IF(O2673&gt;=3000,"Large","Small")</f>
        <v/>
      </c>
      <c r="R2673">
        <f>INDEX(Products!$F$2:$F$49,MATCH(J2673,Products!$A$2:$A$49,0))</f>
        <v/>
      </c>
      <c r="S2673">
        <f>WEEKDAY(B2673,2)</f>
        <v/>
      </c>
    </row>
    <row r="2674">
      <c r="A2674" t="n">
        <v>510740</v>
      </c>
      <c r="B2674" s="6" t="n">
        <v>45971</v>
      </c>
      <c r="C2674" t="n">
        <v>14927</v>
      </c>
      <c r="D2674" t="inlineStr">
        <is>
          <t>Delhi</t>
        </is>
      </c>
      <c r="E2674" t="inlineStr">
        <is>
          <t>North</t>
        </is>
      </c>
      <c r="F2674" t="inlineStr">
        <is>
          <t>Referral</t>
        </is>
      </c>
      <c r="G2674" t="inlineStr">
        <is>
          <t>Mobile App</t>
        </is>
      </c>
      <c r="H2674" t="inlineStr">
        <is>
          <t>UPI</t>
        </is>
      </c>
      <c r="I2674" t="inlineStr">
        <is>
          <t>Delivered</t>
        </is>
      </c>
      <c r="J2674" t="n">
        <v>116</v>
      </c>
      <c r="K2674" t="n">
        <v>2</v>
      </c>
      <c r="L2674" t="n">
        <v>2624</v>
      </c>
      <c r="M2674" t="n">
        <v>0</v>
      </c>
      <c r="N2674">
        <f>VLOOKUP(J2674,Products!$A$2:$C$49,3,FALSE)</f>
        <v/>
      </c>
      <c r="O2674">
        <f>K2674*L2674-M2674</f>
        <v/>
      </c>
      <c r="P2674">
        <f>TEXT(B2674,"yyyy-mm")</f>
        <v/>
      </c>
      <c r="Q2674">
        <f>IF(O2674&gt;=3000,"Large","Small")</f>
        <v/>
      </c>
      <c r="R2674">
        <f>INDEX(Products!$F$2:$F$49,MATCH(J2674,Products!$A$2:$A$49,0))</f>
        <v/>
      </c>
      <c r="S2674">
        <f>WEEKDAY(B2674,2)</f>
        <v/>
      </c>
    </row>
    <row r="2675">
      <c r="A2675" t="n">
        <v>510741</v>
      </c>
      <c r="B2675" s="6" t="n">
        <v>45971</v>
      </c>
      <c r="C2675" t="n">
        <v>12227</v>
      </c>
      <c r="D2675" t="inlineStr">
        <is>
          <t>Hyderabad</t>
        </is>
      </c>
      <c r="E2675" t="inlineStr">
        <is>
          <t>South</t>
        </is>
      </c>
      <c r="F2675" t="inlineStr">
        <is>
          <t>Referral</t>
        </is>
      </c>
      <c r="G2675" t="inlineStr">
        <is>
          <t>Mobile App</t>
        </is>
      </c>
      <c r="H2675" t="inlineStr">
        <is>
          <t>UPI</t>
        </is>
      </c>
      <c r="I2675" t="inlineStr">
        <is>
          <t>Returned</t>
        </is>
      </c>
      <c r="J2675" t="n">
        <v>122</v>
      </c>
      <c r="K2675" t="n">
        <v>2</v>
      </c>
      <c r="L2675" t="n">
        <v>1994</v>
      </c>
      <c r="M2675" t="n">
        <v>0</v>
      </c>
      <c r="N2675">
        <f>VLOOKUP(J2675,Products!$A$2:$C$49,3,FALSE)</f>
        <v/>
      </c>
      <c r="O2675">
        <f>K2675*L2675-M2675</f>
        <v/>
      </c>
      <c r="P2675">
        <f>TEXT(B2675,"yyyy-mm")</f>
        <v/>
      </c>
      <c r="Q2675">
        <f>IF(O2675&gt;=3000,"Large","Small")</f>
        <v/>
      </c>
      <c r="R2675">
        <f>INDEX(Products!$F$2:$F$49,MATCH(J2675,Products!$A$2:$A$49,0))</f>
        <v/>
      </c>
      <c r="S2675">
        <f>WEEKDAY(B2675,2)</f>
        <v/>
      </c>
    </row>
    <row r="2676">
      <c r="A2676" t="n">
        <v>510742</v>
      </c>
      <c r="B2676" s="6" t="n">
        <v>45971</v>
      </c>
      <c r="C2676" t="n">
        <v>17255</v>
      </c>
      <c r="D2676" t="inlineStr">
        <is>
          <t>Ahmedabad</t>
        </is>
      </c>
      <c r="E2676" t="inlineStr">
        <is>
          <t>West</t>
        </is>
      </c>
      <c r="F2676" t="inlineStr">
        <is>
          <t>Email</t>
        </is>
      </c>
      <c r="G2676" t="inlineStr">
        <is>
          <t>Mobile App</t>
        </is>
      </c>
      <c r="H2676" t="inlineStr">
        <is>
          <t>UPI</t>
        </is>
      </c>
      <c r="I2676" t="inlineStr">
        <is>
          <t>Delivered</t>
        </is>
      </c>
      <c r="J2676" t="n">
        <v>117</v>
      </c>
      <c r="K2676" t="n">
        <v>1</v>
      </c>
      <c r="L2676" t="n">
        <v>3149</v>
      </c>
      <c r="M2676" t="n">
        <v>157.45</v>
      </c>
      <c r="N2676">
        <f>VLOOKUP(J2676,Products!$A$2:$C$49,3,FALSE)</f>
        <v/>
      </c>
      <c r="O2676">
        <f>K2676*L2676-M2676</f>
        <v/>
      </c>
      <c r="P2676">
        <f>TEXT(B2676,"yyyy-mm")</f>
        <v/>
      </c>
      <c r="Q2676">
        <f>IF(O2676&gt;=3000,"Large","Small")</f>
        <v/>
      </c>
      <c r="R2676">
        <f>INDEX(Products!$F$2:$F$49,MATCH(J2676,Products!$A$2:$A$49,0))</f>
        <v/>
      </c>
      <c r="S2676">
        <f>WEEKDAY(B2676,2)</f>
        <v/>
      </c>
    </row>
    <row r="2677">
      <c r="A2677" t="n">
        <v>510743</v>
      </c>
      <c r="B2677" s="6" t="n">
        <v>45971</v>
      </c>
      <c r="C2677" t="n">
        <v>12572</v>
      </c>
      <c r="D2677" t="inlineStr">
        <is>
          <t>Hyderabad</t>
        </is>
      </c>
      <c r="E2677" t="inlineStr">
        <is>
          <t>South</t>
        </is>
      </c>
      <c r="F2677" t="inlineStr">
        <is>
          <t>Referral</t>
        </is>
      </c>
      <c r="G2677" t="inlineStr">
        <is>
          <t>Mobile App</t>
        </is>
      </c>
      <c r="H2677" t="inlineStr">
        <is>
          <t>UPI</t>
        </is>
      </c>
      <c r="I2677" t="inlineStr">
        <is>
          <t>Delivered</t>
        </is>
      </c>
      <c r="J2677" t="n">
        <v>118</v>
      </c>
      <c r="K2677" t="n">
        <v>2</v>
      </c>
      <c r="L2677" t="n">
        <v>944</v>
      </c>
      <c r="M2677" t="n">
        <v>94.40000000000001</v>
      </c>
      <c r="N2677">
        <f>VLOOKUP(J2677,Products!$A$2:$C$49,3,FALSE)</f>
        <v/>
      </c>
      <c r="O2677">
        <f>K2677*L2677-M2677</f>
        <v/>
      </c>
      <c r="P2677">
        <f>TEXT(B2677,"yyyy-mm")</f>
        <v/>
      </c>
      <c r="Q2677">
        <f>IF(O2677&gt;=3000,"Large","Small")</f>
        <v/>
      </c>
      <c r="R2677">
        <f>INDEX(Products!$F$2:$F$49,MATCH(J2677,Products!$A$2:$A$49,0))</f>
        <v/>
      </c>
      <c r="S2677">
        <f>WEEKDAY(B2677,2)</f>
        <v/>
      </c>
    </row>
    <row r="2678">
      <c r="A2678" t="n">
        <v>510744</v>
      </c>
      <c r="B2678" s="6" t="n">
        <v>45971</v>
      </c>
      <c r="C2678" t="n">
        <v>17269</v>
      </c>
      <c r="D2678" t="inlineStr">
        <is>
          <t>Bengaluru</t>
        </is>
      </c>
      <c r="E2678" t="inlineStr">
        <is>
          <t>South</t>
        </is>
      </c>
      <c r="F2678" t="inlineStr">
        <is>
          <t>Referral</t>
        </is>
      </c>
      <c r="G2678" t="inlineStr">
        <is>
          <t>Mobile App</t>
        </is>
      </c>
      <c r="H2678" t="inlineStr">
        <is>
          <t>Debit Card</t>
        </is>
      </c>
      <c r="I2678" t="inlineStr">
        <is>
          <t>Delivered</t>
        </is>
      </c>
      <c r="J2678" t="n">
        <v>122</v>
      </c>
      <c r="K2678" t="n">
        <v>2</v>
      </c>
      <c r="L2678" t="n">
        <v>1994</v>
      </c>
      <c r="M2678" t="n">
        <v>598.2</v>
      </c>
      <c r="N2678">
        <f>VLOOKUP(J2678,Products!$A$2:$C$49,3,FALSE)</f>
        <v/>
      </c>
      <c r="O2678">
        <f>K2678*L2678-M2678</f>
        <v/>
      </c>
      <c r="P2678">
        <f>TEXT(B2678,"yyyy-mm")</f>
        <v/>
      </c>
      <c r="Q2678">
        <f>IF(O2678&gt;=3000,"Large","Small")</f>
        <v/>
      </c>
      <c r="R2678">
        <f>INDEX(Products!$F$2:$F$49,MATCH(J2678,Products!$A$2:$A$49,0))</f>
        <v/>
      </c>
      <c r="S2678">
        <f>WEEKDAY(B2678,2)</f>
        <v/>
      </c>
    </row>
    <row r="2679">
      <c r="A2679" t="n">
        <v>510745</v>
      </c>
      <c r="B2679" s="6" t="n">
        <v>45971</v>
      </c>
      <c r="C2679" t="n">
        <v>16444</v>
      </c>
      <c r="D2679" t="inlineStr">
        <is>
          <t>Gurugram</t>
        </is>
      </c>
      <c r="E2679" t="inlineStr">
        <is>
          <t>North</t>
        </is>
      </c>
      <c r="F2679" t="inlineStr">
        <is>
          <t>Organic Search</t>
        </is>
      </c>
      <c r="G2679" t="inlineStr">
        <is>
          <t>Mobile App</t>
        </is>
      </c>
      <c r="H2679" t="inlineStr">
        <is>
          <t>Cash on Delivery</t>
        </is>
      </c>
      <c r="I2679" t="inlineStr">
        <is>
          <t>Delivered</t>
        </is>
      </c>
      <c r="J2679" t="n">
        <v>138</v>
      </c>
      <c r="K2679" t="n">
        <v>1</v>
      </c>
      <c r="L2679" t="n">
        <v>419</v>
      </c>
      <c r="M2679" t="n">
        <v>0</v>
      </c>
      <c r="N2679">
        <f>VLOOKUP(J2679,Products!$A$2:$C$49,3,FALSE)</f>
        <v/>
      </c>
      <c r="O2679">
        <f>K2679*L2679-M2679</f>
        <v/>
      </c>
      <c r="P2679">
        <f>TEXT(B2679,"yyyy-mm")</f>
        <v/>
      </c>
      <c r="Q2679">
        <f>IF(O2679&gt;=3000,"Large","Small")</f>
        <v/>
      </c>
      <c r="R2679">
        <f>INDEX(Products!$F$2:$F$49,MATCH(J2679,Products!$A$2:$A$49,0))</f>
        <v/>
      </c>
      <c r="S2679">
        <f>WEEKDAY(B2679,2)</f>
        <v/>
      </c>
    </row>
    <row r="2680">
      <c r="A2680" t="n">
        <v>510745</v>
      </c>
      <c r="B2680" s="6" t="n">
        <v>45971</v>
      </c>
      <c r="C2680" t="n">
        <v>16444</v>
      </c>
      <c r="D2680" t="inlineStr">
        <is>
          <t>Gurugram</t>
        </is>
      </c>
      <c r="E2680" t="inlineStr">
        <is>
          <t>North</t>
        </is>
      </c>
      <c r="F2680" t="inlineStr">
        <is>
          <t>Organic Search</t>
        </is>
      </c>
      <c r="G2680" t="inlineStr">
        <is>
          <t>Mobile App</t>
        </is>
      </c>
      <c r="H2680" t="inlineStr">
        <is>
          <t>Cash on Delivery</t>
        </is>
      </c>
      <c r="I2680" t="inlineStr">
        <is>
          <t>Delivered</t>
        </is>
      </c>
      <c r="J2680" t="n">
        <v>113</v>
      </c>
      <c r="K2680" t="n">
        <v>1</v>
      </c>
      <c r="L2680" t="n">
        <v>1364</v>
      </c>
      <c r="M2680" t="n">
        <v>0</v>
      </c>
      <c r="N2680">
        <f>VLOOKUP(J2680,Products!$A$2:$C$49,3,FALSE)</f>
        <v/>
      </c>
      <c r="O2680">
        <f>K2680*L2680-M2680</f>
        <v/>
      </c>
      <c r="P2680">
        <f>TEXT(B2680,"yyyy-mm")</f>
        <v/>
      </c>
      <c r="Q2680">
        <f>IF(O2680&gt;=3000,"Large","Small")</f>
        <v/>
      </c>
      <c r="R2680">
        <f>INDEX(Products!$F$2:$F$49,MATCH(J2680,Products!$A$2:$A$49,0))</f>
        <v/>
      </c>
      <c r="S2680">
        <f>WEEKDAY(B2680,2)</f>
        <v/>
      </c>
    </row>
    <row r="2681">
      <c r="A2681" t="n">
        <v>510745</v>
      </c>
      <c r="B2681" s="6" t="n">
        <v>45971</v>
      </c>
      <c r="C2681" t="n">
        <v>16444</v>
      </c>
      <c r="D2681" t="inlineStr">
        <is>
          <t>Gurugram</t>
        </is>
      </c>
      <c r="E2681" t="inlineStr">
        <is>
          <t>North</t>
        </is>
      </c>
      <c r="F2681" t="inlineStr">
        <is>
          <t>Organic Search</t>
        </is>
      </c>
      <c r="G2681" t="inlineStr">
        <is>
          <t>Mobile App</t>
        </is>
      </c>
      <c r="H2681" t="inlineStr">
        <is>
          <t>Cash on Delivery</t>
        </is>
      </c>
      <c r="I2681" t="inlineStr">
        <is>
          <t>Delivered</t>
        </is>
      </c>
      <c r="J2681" t="n">
        <v>139</v>
      </c>
      <c r="K2681" t="n">
        <v>1</v>
      </c>
      <c r="L2681" t="n">
        <v>366</v>
      </c>
      <c r="M2681" t="n">
        <v>0</v>
      </c>
      <c r="N2681">
        <f>VLOOKUP(J2681,Products!$A$2:$C$49,3,FALSE)</f>
        <v/>
      </c>
      <c r="O2681">
        <f>K2681*L2681-M2681</f>
        <v/>
      </c>
      <c r="P2681">
        <f>TEXT(B2681,"yyyy-mm")</f>
        <v/>
      </c>
      <c r="Q2681">
        <f>IF(O2681&gt;=3000,"Large","Small")</f>
        <v/>
      </c>
      <c r="R2681">
        <f>INDEX(Products!$F$2:$F$49,MATCH(J2681,Products!$A$2:$A$49,0))</f>
        <v/>
      </c>
      <c r="S2681">
        <f>WEEKDAY(B2681,2)</f>
        <v/>
      </c>
    </row>
    <row r="2682">
      <c r="A2682" t="n">
        <v>510746</v>
      </c>
      <c r="B2682" s="6" t="n">
        <v>45971</v>
      </c>
      <c r="C2682" t="n">
        <v>17088</v>
      </c>
      <c r="D2682" t="inlineStr">
        <is>
          <t>Kolkata</t>
        </is>
      </c>
      <c r="E2682" t="inlineStr">
        <is>
          <t>East</t>
        </is>
      </c>
      <c r="F2682" t="inlineStr">
        <is>
          <t>Organic Search</t>
        </is>
      </c>
      <c r="G2682" t="inlineStr">
        <is>
          <t>Mobile Web</t>
        </is>
      </c>
      <c r="H2682" t="inlineStr">
        <is>
          <t>Net Banking</t>
        </is>
      </c>
      <c r="I2682" t="inlineStr">
        <is>
          <t>Delivered</t>
        </is>
      </c>
      <c r="J2682" t="n">
        <v>108</v>
      </c>
      <c r="K2682" t="n">
        <v>1</v>
      </c>
      <c r="L2682" t="n">
        <v>419</v>
      </c>
      <c r="M2682" t="n">
        <v>0</v>
      </c>
      <c r="N2682">
        <f>VLOOKUP(J2682,Products!$A$2:$C$49,3,FALSE)</f>
        <v/>
      </c>
      <c r="O2682">
        <f>K2682*L2682-M2682</f>
        <v/>
      </c>
      <c r="P2682">
        <f>TEXT(B2682,"yyyy-mm")</f>
        <v/>
      </c>
      <c r="Q2682">
        <f>IF(O2682&gt;=3000,"Large","Small")</f>
        <v/>
      </c>
      <c r="R2682">
        <f>INDEX(Products!$F$2:$F$49,MATCH(J2682,Products!$A$2:$A$49,0))</f>
        <v/>
      </c>
      <c r="S2682">
        <f>WEEKDAY(B2682,2)</f>
        <v/>
      </c>
    </row>
    <row r="2683">
      <c r="A2683" t="n">
        <v>510747</v>
      </c>
      <c r="B2683" s="6" t="n">
        <v>45971</v>
      </c>
      <c r="C2683" t="n">
        <v>13515</v>
      </c>
      <c r="D2683" t="inlineStr">
        <is>
          <t>Kolkata</t>
        </is>
      </c>
      <c r="E2683" t="inlineStr">
        <is>
          <t>East</t>
        </is>
      </c>
      <c r="F2683" t="inlineStr">
        <is>
          <t>Referral</t>
        </is>
      </c>
      <c r="G2683" t="inlineStr">
        <is>
          <t>Desktop</t>
        </is>
      </c>
      <c r="H2683" t="inlineStr">
        <is>
          <t>UPI</t>
        </is>
      </c>
      <c r="I2683" t="inlineStr">
        <is>
          <t>Delivered</t>
        </is>
      </c>
      <c r="J2683" t="n">
        <v>128</v>
      </c>
      <c r="K2683" t="n">
        <v>1</v>
      </c>
      <c r="L2683" t="n">
        <v>1049</v>
      </c>
      <c r="M2683" t="n">
        <v>0</v>
      </c>
      <c r="N2683">
        <f>VLOOKUP(J2683,Products!$A$2:$C$49,3,FALSE)</f>
        <v/>
      </c>
      <c r="O2683">
        <f>K2683*L2683-M2683</f>
        <v/>
      </c>
      <c r="P2683">
        <f>TEXT(B2683,"yyyy-mm")</f>
        <v/>
      </c>
      <c r="Q2683">
        <f>IF(O2683&gt;=3000,"Large","Small")</f>
        <v/>
      </c>
      <c r="R2683">
        <f>INDEX(Products!$F$2:$F$49,MATCH(J2683,Products!$A$2:$A$49,0))</f>
        <v/>
      </c>
      <c r="S2683">
        <f>WEEKDAY(B2683,2)</f>
        <v/>
      </c>
    </row>
    <row r="2684">
      <c r="A2684" t="n">
        <v>510747</v>
      </c>
      <c r="B2684" s="6" t="n">
        <v>45971</v>
      </c>
      <c r="C2684" t="n">
        <v>13515</v>
      </c>
      <c r="D2684" t="inlineStr">
        <is>
          <t>Kolkata</t>
        </is>
      </c>
      <c r="E2684" t="inlineStr">
        <is>
          <t>East</t>
        </is>
      </c>
      <c r="F2684" t="inlineStr">
        <is>
          <t>Referral</t>
        </is>
      </c>
      <c r="G2684" t="inlineStr">
        <is>
          <t>Desktop</t>
        </is>
      </c>
      <c r="H2684" t="inlineStr">
        <is>
          <t>UPI</t>
        </is>
      </c>
      <c r="I2684" t="inlineStr">
        <is>
          <t>Delivered</t>
        </is>
      </c>
      <c r="J2684" t="n">
        <v>111</v>
      </c>
      <c r="K2684" t="n">
        <v>1</v>
      </c>
      <c r="L2684" t="n">
        <v>524</v>
      </c>
      <c r="M2684" t="n">
        <v>0</v>
      </c>
      <c r="N2684">
        <f>VLOOKUP(J2684,Products!$A$2:$C$49,3,FALSE)</f>
        <v/>
      </c>
      <c r="O2684">
        <f>K2684*L2684-M2684</f>
        <v/>
      </c>
      <c r="P2684">
        <f>TEXT(B2684,"yyyy-mm")</f>
        <v/>
      </c>
      <c r="Q2684">
        <f>IF(O2684&gt;=3000,"Large","Small")</f>
        <v/>
      </c>
      <c r="R2684">
        <f>INDEX(Products!$F$2:$F$49,MATCH(J2684,Products!$A$2:$A$49,0))</f>
        <v/>
      </c>
      <c r="S2684">
        <f>WEEKDAY(B2684,2)</f>
        <v/>
      </c>
    </row>
    <row r="2685">
      <c r="A2685" t="n">
        <v>510748</v>
      </c>
      <c r="B2685" s="6" t="n">
        <v>45971</v>
      </c>
      <c r="C2685" t="n">
        <v>17237</v>
      </c>
      <c r="D2685" t="inlineStr">
        <is>
          <t>Lucknow</t>
        </is>
      </c>
      <c r="E2685" t="inlineStr">
        <is>
          <t>North</t>
        </is>
      </c>
      <c r="F2685" t="inlineStr">
        <is>
          <t>Organic Search</t>
        </is>
      </c>
      <c r="G2685" t="inlineStr">
        <is>
          <t>Mobile App</t>
        </is>
      </c>
      <c r="H2685" t="inlineStr">
        <is>
          <t>UPI</t>
        </is>
      </c>
      <c r="I2685" t="inlineStr">
        <is>
          <t>Delivered</t>
        </is>
      </c>
      <c r="J2685" t="n">
        <v>120</v>
      </c>
      <c r="K2685" t="n">
        <v>1</v>
      </c>
      <c r="L2685" t="n">
        <v>734</v>
      </c>
      <c r="M2685" t="n">
        <v>0</v>
      </c>
      <c r="N2685">
        <f>VLOOKUP(J2685,Products!$A$2:$C$49,3,FALSE)</f>
        <v/>
      </c>
      <c r="O2685">
        <f>K2685*L2685-M2685</f>
        <v/>
      </c>
      <c r="P2685">
        <f>TEXT(B2685,"yyyy-mm")</f>
        <v/>
      </c>
      <c r="Q2685">
        <f>IF(O2685&gt;=3000,"Large","Small")</f>
        <v/>
      </c>
      <c r="R2685">
        <f>INDEX(Products!$F$2:$F$49,MATCH(J2685,Products!$A$2:$A$49,0))</f>
        <v/>
      </c>
      <c r="S2685">
        <f>WEEKDAY(B2685,2)</f>
        <v/>
      </c>
    </row>
    <row r="2686">
      <c r="A2686" t="n">
        <v>510749</v>
      </c>
      <c r="B2686" s="6" t="n">
        <v>45971</v>
      </c>
      <c r="C2686" t="n">
        <v>16422</v>
      </c>
      <c r="D2686" t="inlineStr">
        <is>
          <t>Gurugram</t>
        </is>
      </c>
      <c r="E2686" t="inlineStr">
        <is>
          <t>North</t>
        </is>
      </c>
      <c r="F2686" t="inlineStr">
        <is>
          <t>Paid Social</t>
        </is>
      </c>
      <c r="G2686" t="inlineStr">
        <is>
          <t>Mobile App</t>
        </is>
      </c>
      <c r="H2686" t="inlineStr">
        <is>
          <t>UPI</t>
        </is>
      </c>
      <c r="I2686" t="inlineStr">
        <is>
          <t>Delivered</t>
        </is>
      </c>
      <c r="J2686" t="n">
        <v>114</v>
      </c>
      <c r="K2686" t="n">
        <v>1</v>
      </c>
      <c r="L2686" t="n">
        <v>1259</v>
      </c>
      <c r="M2686" t="n">
        <v>0</v>
      </c>
      <c r="N2686">
        <f>VLOOKUP(J2686,Products!$A$2:$C$49,3,FALSE)</f>
        <v/>
      </c>
      <c r="O2686">
        <f>K2686*L2686-M2686</f>
        <v/>
      </c>
      <c r="P2686">
        <f>TEXT(B2686,"yyyy-mm")</f>
        <v/>
      </c>
      <c r="Q2686">
        <f>IF(O2686&gt;=3000,"Large","Small")</f>
        <v/>
      </c>
      <c r="R2686">
        <f>INDEX(Products!$F$2:$F$49,MATCH(J2686,Products!$A$2:$A$49,0))</f>
        <v/>
      </c>
      <c r="S2686">
        <f>WEEKDAY(B2686,2)</f>
        <v/>
      </c>
    </row>
    <row r="2687">
      <c r="A2687" t="n">
        <v>510749</v>
      </c>
      <c r="B2687" s="6" t="n">
        <v>45971</v>
      </c>
      <c r="C2687" t="n">
        <v>16422</v>
      </c>
      <c r="D2687" t="inlineStr">
        <is>
          <t>Gurugram</t>
        </is>
      </c>
      <c r="E2687" t="inlineStr">
        <is>
          <t>North</t>
        </is>
      </c>
      <c r="F2687" t="inlineStr">
        <is>
          <t>Paid Social</t>
        </is>
      </c>
      <c r="G2687" t="inlineStr">
        <is>
          <t>Mobile App</t>
        </is>
      </c>
      <c r="H2687" t="inlineStr">
        <is>
          <t>UPI</t>
        </is>
      </c>
      <c r="I2687" t="inlineStr">
        <is>
          <t>Delivered</t>
        </is>
      </c>
      <c r="J2687" t="n">
        <v>112</v>
      </c>
      <c r="K2687" t="n">
        <v>1</v>
      </c>
      <c r="L2687" t="n">
        <v>1574</v>
      </c>
      <c r="M2687" t="n">
        <v>0</v>
      </c>
      <c r="N2687">
        <f>VLOOKUP(J2687,Products!$A$2:$C$49,3,FALSE)</f>
        <v/>
      </c>
      <c r="O2687">
        <f>K2687*L2687-M2687</f>
        <v/>
      </c>
      <c r="P2687">
        <f>TEXT(B2687,"yyyy-mm")</f>
        <v/>
      </c>
      <c r="Q2687">
        <f>IF(O2687&gt;=3000,"Large","Small")</f>
        <v/>
      </c>
      <c r="R2687">
        <f>INDEX(Products!$F$2:$F$49,MATCH(J2687,Products!$A$2:$A$49,0))</f>
        <v/>
      </c>
      <c r="S2687">
        <f>WEEKDAY(B2687,2)</f>
        <v/>
      </c>
    </row>
    <row r="2688">
      <c r="A2688" t="n">
        <v>510749</v>
      </c>
      <c r="B2688" s="6" t="n">
        <v>45971</v>
      </c>
      <c r="C2688" t="n">
        <v>16422</v>
      </c>
      <c r="D2688" t="inlineStr">
        <is>
          <t>Gurugram</t>
        </is>
      </c>
      <c r="E2688" t="inlineStr">
        <is>
          <t>North</t>
        </is>
      </c>
      <c r="F2688" t="inlineStr">
        <is>
          <t>Paid Social</t>
        </is>
      </c>
      <c r="G2688" t="inlineStr">
        <is>
          <t>Mobile App</t>
        </is>
      </c>
      <c r="H2688" t="inlineStr">
        <is>
          <t>UPI</t>
        </is>
      </c>
      <c r="I2688" t="inlineStr">
        <is>
          <t>Delivered</t>
        </is>
      </c>
      <c r="J2688" t="n">
        <v>131</v>
      </c>
      <c r="K2688" t="n">
        <v>1</v>
      </c>
      <c r="L2688" t="n">
        <v>314</v>
      </c>
      <c r="M2688" t="n">
        <v>0</v>
      </c>
      <c r="N2688">
        <f>VLOOKUP(J2688,Products!$A$2:$C$49,3,FALSE)</f>
        <v/>
      </c>
      <c r="O2688">
        <f>K2688*L2688-M2688</f>
        <v/>
      </c>
      <c r="P2688">
        <f>TEXT(B2688,"yyyy-mm")</f>
        <v/>
      </c>
      <c r="Q2688">
        <f>IF(O2688&gt;=3000,"Large","Small")</f>
        <v/>
      </c>
      <c r="R2688">
        <f>INDEX(Products!$F$2:$F$49,MATCH(J2688,Products!$A$2:$A$49,0))</f>
        <v/>
      </c>
      <c r="S2688">
        <f>WEEKDAY(B2688,2)</f>
        <v/>
      </c>
    </row>
    <row r="2689">
      <c r="A2689" t="n">
        <v>510750</v>
      </c>
      <c r="B2689" s="6" t="n">
        <v>45972</v>
      </c>
      <c r="C2689" t="n">
        <v>17085</v>
      </c>
      <c r="D2689" t="inlineStr">
        <is>
          <t>Pune</t>
        </is>
      </c>
      <c r="E2689" t="inlineStr">
        <is>
          <t>West</t>
        </is>
      </c>
      <c r="F2689" t="inlineStr">
        <is>
          <t>Paid Social</t>
        </is>
      </c>
      <c r="G2689" t="inlineStr">
        <is>
          <t>Mobile Web</t>
        </is>
      </c>
      <c r="H2689" t="inlineStr">
        <is>
          <t>UPI</t>
        </is>
      </c>
      <c r="I2689" t="inlineStr">
        <is>
          <t>Delivered</t>
        </is>
      </c>
      <c r="J2689" t="n">
        <v>137</v>
      </c>
      <c r="K2689" t="n">
        <v>1</v>
      </c>
      <c r="L2689" t="n">
        <v>261</v>
      </c>
      <c r="M2689" t="n">
        <v>39.15</v>
      </c>
      <c r="N2689">
        <f>VLOOKUP(J2689,Products!$A$2:$C$49,3,FALSE)</f>
        <v/>
      </c>
      <c r="O2689">
        <f>K2689*L2689-M2689</f>
        <v/>
      </c>
      <c r="P2689">
        <f>TEXT(B2689,"yyyy-mm")</f>
        <v/>
      </c>
      <c r="Q2689">
        <f>IF(O2689&gt;=3000,"Large","Small")</f>
        <v/>
      </c>
      <c r="R2689">
        <f>INDEX(Products!$F$2:$F$49,MATCH(J2689,Products!$A$2:$A$49,0))</f>
        <v/>
      </c>
      <c r="S2689">
        <f>WEEKDAY(B2689,2)</f>
        <v/>
      </c>
    </row>
    <row r="2690">
      <c r="A2690" t="n">
        <v>510751</v>
      </c>
      <c r="B2690" s="6" t="n">
        <v>45972</v>
      </c>
      <c r="C2690" t="n">
        <v>14904</v>
      </c>
      <c r="D2690" t="inlineStr">
        <is>
          <t>Mumbai</t>
        </is>
      </c>
      <c r="E2690" t="inlineStr">
        <is>
          <t>West</t>
        </is>
      </c>
      <c r="F2690" t="inlineStr">
        <is>
          <t>Referral</t>
        </is>
      </c>
      <c r="G2690" t="inlineStr">
        <is>
          <t>Mobile App</t>
        </is>
      </c>
      <c r="H2690" t="inlineStr">
        <is>
          <t>UPI</t>
        </is>
      </c>
      <c r="I2690" t="inlineStr">
        <is>
          <t>Delivered</t>
        </is>
      </c>
      <c r="J2690" t="n">
        <v>112</v>
      </c>
      <c r="K2690" t="n">
        <v>1</v>
      </c>
      <c r="L2690" t="n">
        <v>1574</v>
      </c>
      <c r="M2690" t="n">
        <v>0</v>
      </c>
      <c r="N2690">
        <f>VLOOKUP(J2690,Products!$A$2:$C$49,3,FALSE)</f>
        <v/>
      </c>
      <c r="O2690">
        <f>K2690*L2690-M2690</f>
        <v/>
      </c>
      <c r="P2690">
        <f>TEXT(B2690,"yyyy-mm")</f>
        <v/>
      </c>
      <c r="Q2690">
        <f>IF(O2690&gt;=3000,"Large","Small")</f>
        <v/>
      </c>
      <c r="R2690">
        <f>INDEX(Products!$F$2:$F$49,MATCH(J2690,Products!$A$2:$A$49,0))</f>
        <v/>
      </c>
      <c r="S2690">
        <f>WEEKDAY(B2690,2)</f>
        <v/>
      </c>
    </row>
    <row r="2691">
      <c r="A2691" t="n">
        <v>510752</v>
      </c>
      <c r="B2691" s="6" t="n">
        <v>45972</v>
      </c>
      <c r="C2691" t="n">
        <v>16778</v>
      </c>
      <c r="D2691" t="inlineStr">
        <is>
          <t>Ahmedabad</t>
        </is>
      </c>
      <c r="E2691" t="inlineStr">
        <is>
          <t>West</t>
        </is>
      </c>
      <c r="F2691" t="inlineStr">
        <is>
          <t>Organic Search</t>
        </is>
      </c>
      <c r="G2691" t="inlineStr">
        <is>
          <t>Mobile App</t>
        </is>
      </c>
      <c r="H2691" t="inlineStr">
        <is>
          <t>UPI</t>
        </is>
      </c>
      <c r="I2691" t="inlineStr">
        <is>
          <t>Delivered</t>
        </is>
      </c>
      <c r="J2691" t="n">
        <v>137</v>
      </c>
      <c r="K2691" t="n">
        <v>1</v>
      </c>
      <c r="L2691" t="n">
        <v>261</v>
      </c>
      <c r="M2691" t="n">
        <v>0</v>
      </c>
      <c r="N2691">
        <f>VLOOKUP(J2691,Products!$A$2:$C$49,3,FALSE)</f>
        <v/>
      </c>
      <c r="O2691">
        <f>K2691*L2691-M2691</f>
        <v/>
      </c>
      <c r="P2691">
        <f>TEXT(B2691,"yyyy-mm")</f>
        <v/>
      </c>
      <c r="Q2691">
        <f>IF(O2691&gt;=3000,"Large","Small")</f>
        <v/>
      </c>
      <c r="R2691">
        <f>INDEX(Products!$F$2:$F$49,MATCH(J2691,Products!$A$2:$A$49,0))</f>
        <v/>
      </c>
      <c r="S2691">
        <f>WEEKDAY(B2691,2)</f>
        <v/>
      </c>
    </row>
    <row r="2692">
      <c r="A2692" t="n">
        <v>510753</v>
      </c>
      <c r="B2692" s="6" t="n">
        <v>45972</v>
      </c>
      <c r="C2692" t="n">
        <v>13180</v>
      </c>
      <c r="D2692" t="inlineStr">
        <is>
          <t>Mumbai</t>
        </is>
      </c>
      <c r="E2692" t="inlineStr">
        <is>
          <t>West</t>
        </is>
      </c>
      <c r="F2692" t="inlineStr">
        <is>
          <t>Email</t>
        </is>
      </c>
      <c r="G2692" t="inlineStr">
        <is>
          <t>Desktop</t>
        </is>
      </c>
      <c r="H2692" t="inlineStr">
        <is>
          <t>Debit Card</t>
        </is>
      </c>
      <c r="I2692" t="inlineStr">
        <is>
          <t>Delivered</t>
        </is>
      </c>
      <c r="J2692" t="n">
        <v>115</v>
      </c>
      <c r="K2692" t="n">
        <v>1</v>
      </c>
      <c r="L2692" t="n">
        <v>4199</v>
      </c>
      <c r="M2692" t="n">
        <v>0</v>
      </c>
      <c r="N2692">
        <f>VLOOKUP(J2692,Products!$A$2:$C$49,3,FALSE)</f>
        <v/>
      </c>
      <c r="O2692">
        <f>K2692*L2692-M2692</f>
        <v/>
      </c>
      <c r="P2692">
        <f>TEXT(B2692,"yyyy-mm")</f>
        <v/>
      </c>
      <c r="Q2692">
        <f>IF(O2692&gt;=3000,"Large","Small")</f>
        <v/>
      </c>
      <c r="R2692">
        <f>INDEX(Products!$F$2:$F$49,MATCH(J2692,Products!$A$2:$A$49,0))</f>
        <v/>
      </c>
      <c r="S2692">
        <f>WEEKDAY(B2692,2)</f>
        <v/>
      </c>
    </row>
    <row r="2693">
      <c r="A2693" t="n">
        <v>510754</v>
      </c>
      <c r="B2693" s="6" t="n">
        <v>45972</v>
      </c>
      <c r="C2693" t="n">
        <v>14300</v>
      </c>
      <c r="D2693" t="inlineStr">
        <is>
          <t>Mumbai</t>
        </is>
      </c>
      <c r="E2693" t="inlineStr">
        <is>
          <t>West</t>
        </is>
      </c>
      <c r="F2693" t="inlineStr">
        <is>
          <t>Organic Search</t>
        </is>
      </c>
      <c r="G2693" t="inlineStr">
        <is>
          <t>Mobile App</t>
        </is>
      </c>
      <c r="H2693" t="inlineStr">
        <is>
          <t>UPI</t>
        </is>
      </c>
      <c r="I2693" t="inlineStr">
        <is>
          <t>Delivered</t>
        </is>
      </c>
      <c r="J2693" t="n">
        <v>131</v>
      </c>
      <c r="K2693" t="n">
        <v>1</v>
      </c>
      <c r="L2693" t="n">
        <v>314</v>
      </c>
      <c r="M2693" t="n">
        <v>0</v>
      </c>
      <c r="N2693">
        <f>VLOOKUP(J2693,Products!$A$2:$C$49,3,FALSE)</f>
        <v/>
      </c>
      <c r="O2693">
        <f>K2693*L2693-M2693</f>
        <v/>
      </c>
      <c r="P2693">
        <f>TEXT(B2693,"yyyy-mm")</f>
        <v/>
      </c>
      <c r="Q2693">
        <f>IF(O2693&gt;=3000,"Large","Small")</f>
        <v/>
      </c>
      <c r="R2693">
        <f>INDEX(Products!$F$2:$F$49,MATCH(J2693,Products!$A$2:$A$49,0))</f>
        <v/>
      </c>
      <c r="S2693">
        <f>WEEKDAY(B2693,2)</f>
        <v/>
      </c>
    </row>
    <row r="2694">
      <c r="A2694" t="n">
        <v>510755</v>
      </c>
      <c r="B2694" s="6" t="n">
        <v>45972</v>
      </c>
      <c r="C2694" t="n">
        <v>17261</v>
      </c>
      <c r="D2694" t="inlineStr">
        <is>
          <t>Delhi</t>
        </is>
      </c>
      <c r="E2694" t="inlineStr">
        <is>
          <t>North</t>
        </is>
      </c>
      <c r="F2694" t="inlineStr">
        <is>
          <t>Affiliate</t>
        </is>
      </c>
      <c r="G2694" t="inlineStr">
        <is>
          <t>Mobile App</t>
        </is>
      </c>
      <c r="H2694" t="inlineStr">
        <is>
          <t>Credit Card</t>
        </is>
      </c>
      <c r="I2694" t="inlineStr">
        <is>
          <t>Delivered</t>
        </is>
      </c>
      <c r="J2694" t="n">
        <v>148</v>
      </c>
      <c r="K2694" t="n">
        <v>1</v>
      </c>
      <c r="L2694" t="n">
        <v>734</v>
      </c>
      <c r="M2694" t="n">
        <v>0</v>
      </c>
      <c r="N2694">
        <f>VLOOKUP(J2694,Products!$A$2:$C$49,3,FALSE)</f>
        <v/>
      </c>
      <c r="O2694">
        <f>K2694*L2694-M2694</f>
        <v/>
      </c>
      <c r="P2694">
        <f>TEXT(B2694,"yyyy-mm")</f>
        <v/>
      </c>
      <c r="Q2694">
        <f>IF(O2694&gt;=3000,"Large","Small")</f>
        <v/>
      </c>
      <c r="R2694">
        <f>INDEX(Products!$F$2:$F$49,MATCH(J2694,Products!$A$2:$A$49,0))</f>
        <v/>
      </c>
      <c r="S2694">
        <f>WEEKDAY(B2694,2)</f>
        <v/>
      </c>
    </row>
    <row r="2695">
      <c r="A2695" t="n">
        <v>510756</v>
      </c>
      <c r="B2695" s="6" t="n">
        <v>45972</v>
      </c>
      <c r="C2695" t="n">
        <v>17148</v>
      </c>
      <c r="D2695" t="inlineStr">
        <is>
          <t>Delhi</t>
        </is>
      </c>
      <c r="E2695" t="inlineStr">
        <is>
          <t>North</t>
        </is>
      </c>
      <c r="F2695" t="inlineStr">
        <is>
          <t>Referral</t>
        </is>
      </c>
      <c r="G2695" t="inlineStr">
        <is>
          <t>Mobile Web</t>
        </is>
      </c>
      <c r="H2695" t="inlineStr">
        <is>
          <t>Net Banking</t>
        </is>
      </c>
      <c r="I2695" t="inlineStr">
        <is>
          <t>Delivered</t>
        </is>
      </c>
      <c r="J2695" t="n">
        <v>107</v>
      </c>
      <c r="K2695" t="n">
        <v>1</v>
      </c>
      <c r="L2695" t="n">
        <v>1259</v>
      </c>
      <c r="M2695" t="n">
        <v>0</v>
      </c>
      <c r="N2695">
        <f>VLOOKUP(J2695,Products!$A$2:$C$49,3,FALSE)</f>
        <v/>
      </c>
      <c r="O2695">
        <f>K2695*L2695-M2695</f>
        <v/>
      </c>
      <c r="P2695">
        <f>TEXT(B2695,"yyyy-mm")</f>
        <v/>
      </c>
      <c r="Q2695">
        <f>IF(O2695&gt;=3000,"Large","Small")</f>
        <v/>
      </c>
      <c r="R2695">
        <f>INDEX(Products!$F$2:$F$49,MATCH(J2695,Products!$A$2:$A$49,0))</f>
        <v/>
      </c>
      <c r="S2695">
        <f>WEEKDAY(B2695,2)</f>
        <v/>
      </c>
    </row>
    <row r="2696">
      <c r="A2696" t="n">
        <v>510757</v>
      </c>
      <c r="B2696" s="6" t="n">
        <v>45972</v>
      </c>
      <c r="C2696" t="n">
        <v>14556</v>
      </c>
      <c r="D2696" t="inlineStr">
        <is>
          <t>Indore</t>
        </is>
      </c>
      <c r="E2696" t="inlineStr">
        <is>
          <t>West</t>
        </is>
      </c>
      <c r="F2696" t="inlineStr">
        <is>
          <t>Organic Search</t>
        </is>
      </c>
      <c r="G2696" t="inlineStr">
        <is>
          <t>Desktop</t>
        </is>
      </c>
      <c r="H2696" t="inlineStr">
        <is>
          <t>Debit Card</t>
        </is>
      </c>
      <c r="I2696" t="inlineStr">
        <is>
          <t>Delivered</t>
        </is>
      </c>
      <c r="J2696" t="n">
        <v>117</v>
      </c>
      <c r="K2696" t="n">
        <v>1</v>
      </c>
      <c r="L2696" t="n">
        <v>3149</v>
      </c>
      <c r="M2696" t="n">
        <v>0</v>
      </c>
      <c r="N2696">
        <f>VLOOKUP(J2696,Products!$A$2:$C$49,3,FALSE)</f>
        <v/>
      </c>
      <c r="O2696">
        <f>K2696*L2696-M2696</f>
        <v/>
      </c>
      <c r="P2696">
        <f>TEXT(B2696,"yyyy-mm")</f>
        <v/>
      </c>
      <c r="Q2696">
        <f>IF(O2696&gt;=3000,"Large","Small")</f>
        <v/>
      </c>
      <c r="R2696">
        <f>INDEX(Products!$F$2:$F$49,MATCH(J2696,Products!$A$2:$A$49,0))</f>
        <v/>
      </c>
      <c r="S2696">
        <f>WEEKDAY(B2696,2)</f>
        <v/>
      </c>
    </row>
    <row r="2697">
      <c r="A2697" t="n">
        <v>510758</v>
      </c>
      <c r="B2697" s="6" t="n">
        <v>45972</v>
      </c>
      <c r="C2697" t="n">
        <v>16549</v>
      </c>
      <c r="D2697" t="inlineStr">
        <is>
          <t>Ahmedabad</t>
        </is>
      </c>
      <c r="E2697" t="inlineStr">
        <is>
          <t>West</t>
        </is>
      </c>
      <c r="F2697" t="inlineStr">
        <is>
          <t>Organic Search</t>
        </is>
      </c>
      <c r="G2697" t="inlineStr">
        <is>
          <t>Mobile App</t>
        </is>
      </c>
      <c r="H2697" t="inlineStr">
        <is>
          <t>UPI</t>
        </is>
      </c>
      <c r="I2697" t="inlineStr">
        <is>
          <t>Delivered</t>
        </is>
      </c>
      <c r="J2697" t="n">
        <v>131</v>
      </c>
      <c r="K2697" t="n">
        <v>1</v>
      </c>
      <c r="L2697" t="n">
        <v>314</v>
      </c>
      <c r="M2697" t="n">
        <v>0</v>
      </c>
      <c r="N2697">
        <f>VLOOKUP(J2697,Products!$A$2:$C$49,3,FALSE)</f>
        <v/>
      </c>
      <c r="O2697">
        <f>K2697*L2697-M2697</f>
        <v/>
      </c>
      <c r="P2697">
        <f>TEXT(B2697,"yyyy-mm")</f>
        <v/>
      </c>
      <c r="Q2697">
        <f>IF(O2697&gt;=3000,"Large","Small")</f>
        <v/>
      </c>
      <c r="R2697">
        <f>INDEX(Products!$F$2:$F$49,MATCH(J2697,Products!$A$2:$A$49,0))</f>
        <v/>
      </c>
      <c r="S2697">
        <f>WEEKDAY(B2697,2)</f>
        <v/>
      </c>
    </row>
    <row r="2698">
      <c r="A2698" t="n">
        <v>510759</v>
      </c>
      <c r="B2698" s="6" t="n">
        <v>45972</v>
      </c>
      <c r="C2698" t="n">
        <v>17228</v>
      </c>
      <c r="D2698" t="inlineStr">
        <is>
          <t>Chennai</t>
        </is>
      </c>
      <c r="E2698" t="inlineStr">
        <is>
          <t>South</t>
        </is>
      </c>
      <c r="F2698" t="inlineStr">
        <is>
          <t>Paid Social</t>
        </is>
      </c>
      <c r="G2698" t="inlineStr">
        <is>
          <t>Desktop</t>
        </is>
      </c>
      <c r="H2698" t="inlineStr">
        <is>
          <t>UPI</t>
        </is>
      </c>
      <c r="I2698" t="inlineStr">
        <is>
          <t>Delivered</t>
        </is>
      </c>
      <c r="J2698" t="n">
        <v>114</v>
      </c>
      <c r="K2698" t="n">
        <v>1</v>
      </c>
      <c r="L2698" t="n">
        <v>1259</v>
      </c>
      <c r="M2698" t="n">
        <v>0</v>
      </c>
      <c r="N2698">
        <f>VLOOKUP(J2698,Products!$A$2:$C$49,3,FALSE)</f>
        <v/>
      </c>
      <c r="O2698">
        <f>K2698*L2698-M2698</f>
        <v/>
      </c>
      <c r="P2698">
        <f>TEXT(B2698,"yyyy-mm")</f>
        <v/>
      </c>
      <c r="Q2698">
        <f>IF(O2698&gt;=3000,"Large","Small")</f>
        <v/>
      </c>
      <c r="R2698">
        <f>INDEX(Products!$F$2:$F$49,MATCH(J2698,Products!$A$2:$A$49,0))</f>
        <v/>
      </c>
      <c r="S2698">
        <f>WEEKDAY(B2698,2)</f>
        <v/>
      </c>
    </row>
    <row r="2699">
      <c r="A2699" t="n">
        <v>510760</v>
      </c>
      <c r="B2699" s="6" t="n">
        <v>45972</v>
      </c>
      <c r="C2699" t="n">
        <v>17239</v>
      </c>
      <c r="D2699" t="inlineStr">
        <is>
          <t>Mumbai</t>
        </is>
      </c>
      <c r="E2699" t="inlineStr">
        <is>
          <t>West</t>
        </is>
      </c>
      <c r="F2699" t="inlineStr">
        <is>
          <t>Paid Search</t>
        </is>
      </c>
      <c r="G2699" t="inlineStr">
        <is>
          <t>Mobile Web</t>
        </is>
      </c>
      <c r="H2699" t="inlineStr">
        <is>
          <t>Debit Card</t>
        </is>
      </c>
      <c r="I2699" t="inlineStr">
        <is>
          <t>Delivered</t>
        </is>
      </c>
      <c r="J2699" t="n">
        <v>103</v>
      </c>
      <c r="K2699" t="n">
        <v>1</v>
      </c>
      <c r="L2699" t="n">
        <v>2624</v>
      </c>
      <c r="M2699" t="n">
        <v>393.6</v>
      </c>
      <c r="N2699">
        <f>VLOOKUP(J2699,Products!$A$2:$C$49,3,FALSE)</f>
        <v/>
      </c>
      <c r="O2699">
        <f>K2699*L2699-M2699</f>
        <v/>
      </c>
      <c r="P2699">
        <f>TEXT(B2699,"yyyy-mm")</f>
        <v/>
      </c>
      <c r="Q2699">
        <f>IF(O2699&gt;=3000,"Large","Small")</f>
        <v/>
      </c>
      <c r="R2699">
        <f>INDEX(Products!$F$2:$F$49,MATCH(J2699,Products!$A$2:$A$49,0))</f>
        <v/>
      </c>
      <c r="S2699">
        <f>WEEKDAY(B2699,2)</f>
        <v/>
      </c>
    </row>
    <row r="2700">
      <c r="A2700" t="n">
        <v>510761</v>
      </c>
      <c r="B2700" s="6" t="n">
        <v>45972</v>
      </c>
      <c r="C2700" t="n">
        <v>15580</v>
      </c>
      <c r="D2700" t="inlineStr">
        <is>
          <t>Kolkata</t>
        </is>
      </c>
      <c r="E2700" t="inlineStr">
        <is>
          <t>East</t>
        </is>
      </c>
      <c r="F2700" t="inlineStr">
        <is>
          <t>Paid Social</t>
        </is>
      </c>
      <c r="G2700" t="inlineStr">
        <is>
          <t>Mobile App</t>
        </is>
      </c>
      <c r="H2700" t="inlineStr">
        <is>
          <t>Cash on Delivery</t>
        </is>
      </c>
      <c r="I2700" t="inlineStr">
        <is>
          <t>Delivered</t>
        </is>
      </c>
      <c r="J2700" t="n">
        <v>118</v>
      </c>
      <c r="K2700" t="n">
        <v>1</v>
      </c>
      <c r="L2700" t="n">
        <v>944</v>
      </c>
      <c r="M2700" t="n">
        <v>0</v>
      </c>
      <c r="N2700">
        <f>VLOOKUP(J2700,Products!$A$2:$C$49,3,FALSE)</f>
        <v/>
      </c>
      <c r="O2700">
        <f>K2700*L2700-M2700</f>
        <v/>
      </c>
      <c r="P2700">
        <f>TEXT(B2700,"yyyy-mm")</f>
        <v/>
      </c>
      <c r="Q2700">
        <f>IF(O2700&gt;=3000,"Large","Small")</f>
        <v/>
      </c>
      <c r="R2700">
        <f>INDEX(Products!$F$2:$F$49,MATCH(J2700,Products!$A$2:$A$49,0))</f>
        <v/>
      </c>
      <c r="S2700">
        <f>WEEKDAY(B2700,2)</f>
        <v/>
      </c>
    </row>
    <row r="2701">
      <c r="A2701" t="n">
        <v>510761</v>
      </c>
      <c r="B2701" s="6" t="n">
        <v>45972</v>
      </c>
      <c r="C2701" t="n">
        <v>15580</v>
      </c>
      <c r="D2701" t="inlineStr">
        <is>
          <t>Kolkata</t>
        </is>
      </c>
      <c r="E2701" t="inlineStr">
        <is>
          <t>East</t>
        </is>
      </c>
      <c r="F2701" t="inlineStr">
        <is>
          <t>Paid Social</t>
        </is>
      </c>
      <c r="G2701" t="inlineStr">
        <is>
          <t>Mobile App</t>
        </is>
      </c>
      <c r="H2701" t="inlineStr">
        <is>
          <t>Cash on Delivery</t>
        </is>
      </c>
      <c r="I2701" t="inlineStr">
        <is>
          <t>Delivered</t>
        </is>
      </c>
      <c r="J2701" t="n">
        <v>134</v>
      </c>
      <c r="K2701" t="n">
        <v>1</v>
      </c>
      <c r="L2701" t="n">
        <v>209</v>
      </c>
      <c r="M2701" t="n">
        <v>0</v>
      </c>
      <c r="N2701">
        <f>VLOOKUP(J2701,Products!$A$2:$C$49,3,FALSE)</f>
        <v/>
      </c>
      <c r="O2701">
        <f>K2701*L2701-M2701</f>
        <v/>
      </c>
      <c r="P2701">
        <f>TEXT(B2701,"yyyy-mm")</f>
        <v/>
      </c>
      <c r="Q2701">
        <f>IF(O2701&gt;=3000,"Large","Small")</f>
        <v/>
      </c>
      <c r="R2701">
        <f>INDEX(Products!$F$2:$F$49,MATCH(J2701,Products!$A$2:$A$49,0))</f>
        <v/>
      </c>
      <c r="S2701">
        <f>WEEKDAY(B2701,2)</f>
        <v/>
      </c>
    </row>
    <row r="2702">
      <c r="A2702" t="n">
        <v>510762</v>
      </c>
      <c r="B2702" s="6" t="n">
        <v>45972</v>
      </c>
      <c r="C2702" t="n">
        <v>17285</v>
      </c>
      <c r="D2702" t="inlineStr">
        <is>
          <t>Gurugram</t>
        </is>
      </c>
      <c r="E2702" t="inlineStr">
        <is>
          <t>North</t>
        </is>
      </c>
      <c r="F2702" t="inlineStr">
        <is>
          <t>Organic Search</t>
        </is>
      </c>
      <c r="G2702" t="inlineStr">
        <is>
          <t>Mobile Web</t>
        </is>
      </c>
      <c r="H2702" t="inlineStr">
        <is>
          <t>Credit Card</t>
        </is>
      </c>
      <c r="I2702" t="inlineStr">
        <is>
          <t>Delivered</t>
        </is>
      </c>
      <c r="J2702" t="n">
        <v>116</v>
      </c>
      <c r="K2702" t="n">
        <v>1</v>
      </c>
      <c r="L2702" t="n">
        <v>2624</v>
      </c>
      <c r="M2702" t="n">
        <v>0</v>
      </c>
      <c r="N2702">
        <f>VLOOKUP(J2702,Products!$A$2:$C$49,3,FALSE)</f>
        <v/>
      </c>
      <c r="O2702">
        <f>K2702*L2702-M2702</f>
        <v/>
      </c>
      <c r="P2702">
        <f>TEXT(B2702,"yyyy-mm")</f>
        <v/>
      </c>
      <c r="Q2702">
        <f>IF(O2702&gt;=3000,"Large","Small")</f>
        <v/>
      </c>
      <c r="R2702">
        <f>INDEX(Products!$F$2:$F$49,MATCH(J2702,Products!$A$2:$A$49,0))</f>
        <v/>
      </c>
      <c r="S2702">
        <f>WEEKDAY(B2702,2)</f>
        <v/>
      </c>
    </row>
    <row r="2703">
      <c r="A2703" t="n">
        <v>510763</v>
      </c>
      <c r="B2703" s="6" t="n">
        <v>45972</v>
      </c>
      <c r="C2703" t="n">
        <v>17253</v>
      </c>
      <c r="D2703" t="inlineStr">
        <is>
          <t>Delhi</t>
        </is>
      </c>
      <c r="E2703" t="inlineStr">
        <is>
          <t>North</t>
        </is>
      </c>
      <c r="F2703" t="inlineStr">
        <is>
          <t>Referral</t>
        </is>
      </c>
      <c r="G2703" t="inlineStr">
        <is>
          <t>Desktop</t>
        </is>
      </c>
      <c r="H2703" t="inlineStr">
        <is>
          <t>Cash on Delivery</t>
        </is>
      </c>
      <c r="I2703" t="inlineStr">
        <is>
          <t>Delivered</t>
        </is>
      </c>
      <c r="J2703" t="n">
        <v>125</v>
      </c>
      <c r="K2703" t="n">
        <v>1</v>
      </c>
      <c r="L2703" t="n">
        <v>1364</v>
      </c>
      <c r="M2703" t="n">
        <v>0</v>
      </c>
      <c r="N2703">
        <f>VLOOKUP(J2703,Products!$A$2:$C$49,3,FALSE)</f>
        <v/>
      </c>
      <c r="O2703">
        <f>K2703*L2703-M2703</f>
        <v/>
      </c>
      <c r="P2703">
        <f>TEXT(B2703,"yyyy-mm")</f>
        <v/>
      </c>
      <c r="Q2703">
        <f>IF(O2703&gt;=3000,"Large","Small")</f>
        <v/>
      </c>
      <c r="R2703">
        <f>INDEX(Products!$F$2:$F$49,MATCH(J2703,Products!$A$2:$A$49,0))</f>
        <v/>
      </c>
      <c r="S2703">
        <f>WEEKDAY(B2703,2)</f>
        <v/>
      </c>
    </row>
    <row r="2704">
      <c r="A2704" t="n">
        <v>510763</v>
      </c>
      <c r="B2704" s="6" t="n">
        <v>45972</v>
      </c>
      <c r="C2704" t="n">
        <v>17253</v>
      </c>
      <c r="D2704" t="inlineStr">
        <is>
          <t>Delhi</t>
        </is>
      </c>
      <c r="E2704" t="inlineStr">
        <is>
          <t>North</t>
        </is>
      </c>
      <c r="F2704" t="inlineStr">
        <is>
          <t>Referral</t>
        </is>
      </c>
      <c r="G2704" t="inlineStr">
        <is>
          <t>Desktop</t>
        </is>
      </c>
      <c r="H2704" t="inlineStr">
        <is>
          <t>Cash on Delivery</t>
        </is>
      </c>
      <c r="I2704" t="inlineStr">
        <is>
          <t>Delivered</t>
        </is>
      </c>
      <c r="J2704" t="n">
        <v>130</v>
      </c>
      <c r="K2704" t="n">
        <v>1</v>
      </c>
      <c r="L2704" t="n">
        <v>734</v>
      </c>
      <c r="M2704" t="n">
        <v>0</v>
      </c>
      <c r="N2704">
        <f>VLOOKUP(J2704,Products!$A$2:$C$49,3,FALSE)</f>
        <v/>
      </c>
      <c r="O2704">
        <f>K2704*L2704-M2704</f>
        <v/>
      </c>
      <c r="P2704">
        <f>TEXT(B2704,"yyyy-mm")</f>
        <v/>
      </c>
      <c r="Q2704">
        <f>IF(O2704&gt;=3000,"Large","Small")</f>
        <v/>
      </c>
      <c r="R2704">
        <f>INDEX(Products!$F$2:$F$49,MATCH(J2704,Products!$A$2:$A$49,0))</f>
        <v/>
      </c>
      <c r="S2704">
        <f>WEEKDAY(B2704,2)</f>
        <v/>
      </c>
    </row>
    <row r="2705">
      <c r="A2705" t="n">
        <v>510764</v>
      </c>
      <c r="B2705" s="6" t="n">
        <v>45972</v>
      </c>
      <c r="C2705" t="n">
        <v>16905</v>
      </c>
      <c r="D2705" t="inlineStr">
        <is>
          <t>Pune</t>
        </is>
      </c>
      <c r="E2705" t="inlineStr">
        <is>
          <t>West</t>
        </is>
      </c>
      <c r="F2705" t="inlineStr">
        <is>
          <t>Organic Search</t>
        </is>
      </c>
      <c r="G2705" t="inlineStr">
        <is>
          <t>Mobile App</t>
        </is>
      </c>
      <c r="H2705" t="inlineStr">
        <is>
          <t>UPI</t>
        </is>
      </c>
      <c r="I2705" t="inlineStr">
        <is>
          <t>Delivered</t>
        </is>
      </c>
      <c r="J2705" t="n">
        <v>110</v>
      </c>
      <c r="K2705" t="n">
        <v>1</v>
      </c>
      <c r="L2705" t="n">
        <v>839</v>
      </c>
      <c r="M2705" t="n">
        <v>0</v>
      </c>
      <c r="N2705">
        <f>VLOOKUP(J2705,Products!$A$2:$C$49,3,FALSE)</f>
        <v/>
      </c>
      <c r="O2705">
        <f>K2705*L2705-M2705</f>
        <v/>
      </c>
      <c r="P2705">
        <f>TEXT(B2705,"yyyy-mm")</f>
        <v/>
      </c>
      <c r="Q2705">
        <f>IF(O2705&gt;=3000,"Large","Small")</f>
        <v/>
      </c>
      <c r="R2705">
        <f>INDEX(Products!$F$2:$F$49,MATCH(J2705,Products!$A$2:$A$49,0))</f>
        <v/>
      </c>
      <c r="S2705">
        <f>WEEKDAY(B2705,2)</f>
        <v/>
      </c>
    </row>
    <row r="2706">
      <c r="A2706" t="n">
        <v>510765</v>
      </c>
      <c r="B2706" s="6" t="n">
        <v>45972</v>
      </c>
      <c r="C2706" t="n">
        <v>17132</v>
      </c>
      <c r="D2706" t="inlineStr">
        <is>
          <t>Hyderabad</t>
        </is>
      </c>
      <c r="E2706" t="inlineStr">
        <is>
          <t>South</t>
        </is>
      </c>
      <c r="F2706" t="inlineStr">
        <is>
          <t>Paid Social</t>
        </is>
      </c>
      <c r="G2706" t="inlineStr">
        <is>
          <t>Mobile App</t>
        </is>
      </c>
      <c r="H2706" t="inlineStr">
        <is>
          <t>UPI</t>
        </is>
      </c>
      <c r="I2706" t="inlineStr">
        <is>
          <t>Delivered</t>
        </is>
      </c>
      <c r="J2706" t="n">
        <v>121</v>
      </c>
      <c r="K2706" t="n">
        <v>1</v>
      </c>
      <c r="L2706" t="n">
        <v>2939</v>
      </c>
      <c r="M2706" t="n">
        <v>0</v>
      </c>
      <c r="N2706">
        <f>VLOOKUP(J2706,Products!$A$2:$C$49,3,FALSE)</f>
        <v/>
      </c>
      <c r="O2706">
        <f>K2706*L2706-M2706</f>
        <v/>
      </c>
      <c r="P2706">
        <f>TEXT(B2706,"yyyy-mm")</f>
        <v/>
      </c>
      <c r="Q2706">
        <f>IF(O2706&gt;=3000,"Large","Small")</f>
        <v/>
      </c>
      <c r="R2706">
        <f>INDEX(Products!$F$2:$F$49,MATCH(J2706,Products!$A$2:$A$49,0))</f>
        <v/>
      </c>
      <c r="S2706">
        <f>WEEKDAY(B2706,2)</f>
        <v/>
      </c>
    </row>
    <row r="2707">
      <c r="A2707" t="n">
        <v>510765</v>
      </c>
      <c r="B2707" s="6" t="n">
        <v>45972</v>
      </c>
      <c r="C2707" t="n">
        <v>17132</v>
      </c>
      <c r="D2707" t="inlineStr">
        <is>
          <t>Hyderabad</t>
        </is>
      </c>
      <c r="E2707" t="inlineStr">
        <is>
          <t>South</t>
        </is>
      </c>
      <c r="F2707" t="inlineStr">
        <is>
          <t>Paid Social</t>
        </is>
      </c>
      <c r="G2707" t="inlineStr">
        <is>
          <t>Mobile App</t>
        </is>
      </c>
      <c r="H2707" t="inlineStr">
        <is>
          <t>UPI</t>
        </is>
      </c>
      <c r="I2707" t="inlineStr">
        <is>
          <t>Delivered</t>
        </is>
      </c>
      <c r="J2707" t="n">
        <v>126</v>
      </c>
      <c r="K2707" t="n">
        <v>2</v>
      </c>
      <c r="L2707" t="n">
        <v>471</v>
      </c>
      <c r="M2707" t="n">
        <v>0</v>
      </c>
      <c r="N2707">
        <f>VLOOKUP(J2707,Products!$A$2:$C$49,3,FALSE)</f>
        <v/>
      </c>
      <c r="O2707">
        <f>K2707*L2707-M2707</f>
        <v/>
      </c>
      <c r="P2707">
        <f>TEXT(B2707,"yyyy-mm")</f>
        <v/>
      </c>
      <c r="Q2707">
        <f>IF(O2707&gt;=3000,"Large","Small")</f>
        <v/>
      </c>
      <c r="R2707">
        <f>INDEX(Products!$F$2:$F$49,MATCH(J2707,Products!$A$2:$A$49,0))</f>
        <v/>
      </c>
      <c r="S2707">
        <f>WEEKDAY(B2707,2)</f>
        <v/>
      </c>
    </row>
    <row r="2708">
      <c r="A2708" t="n">
        <v>510766</v>
      </c>
      <c r="B2708" s="6" t="n">
        <v>45972</v>
      </c>
      <c r="C2708" t="n">
        <v>13133</v>
      </c>
      <c r="D2708" t="inlineStr">
        <is>
          <t>Mumbai</t>
        </is>
      </c>
      <c r="E2708" t="inlineStr">
        <is>
          <t>West</t>
        </is>
      </c>
      <c r="F2708" t="inlineStr">
        <is>
          <t>Paid Search</t>
        </is>
      </c>
      <c r="G2708" t="inlineStr">
        <is>
          <t>Desktop</t>
        </is>
      </c>
      <c r="H2708" t="inlineStr">
        <is>
          <t>Debit Card</t>
        </is>
      </c>
      <c r="I2708" t="inlineStr">
        <is>
          <t>Delivered</t>
        </is>
      </c>
      <c r="J2708" t="n">
        <v>124</v>
      </c>
      <c r="K2708" t="n">
        <v>1</v>
      </c>
      <c r="L2708" t="n">
        <v>1154</v>
      </c>
      <c r="M2708" t="n">
        <v>0</v>
      </c>
      <c r="N2708">
        <f>VLOOKUP(J2708,Products!$A$2:$C$49,3,FALSE)</f>
        <v/>
      </c>
      <c r="O2708">
        <f>K2708*L2708-M2708</f>
        <v/>
      </c>
      <c r="P2708">
        <f>TEXT(B2708,"yyyy-mm")</f>
        <v/>
      </c>
      <c r="Q2708">
        <f>IF(O2708&gt;=3000,"Large","Small")</f>
        <v/>
      </c>
      <c r="R2708">
        <f>INDEX(Products!$F$2:$F$49,MATCH(J2708,Products!$A$2:$A$49,0))</f>
        <v/>
      </c>
      <c r="S2708">
        <f>WEEKDAY(B2708,2)</f>
        <v/>
      </c>
    </row>
    <row r="2709">
      <c r="A2709" t="n">
        <v>510767</v>
      </c>
      <c r="B2709" s="6" t="n">
        <v>45972</v>
      </c>
      <c r="C2709" t="n">
        <v>16773</v>
      </c>
      <c r="D2709" t="inlineStr">
        <is>
          <t>Bengaluru</t>
        </is>
      </c>
      <c r="E2709" t="inlineStr">
        <is>
          <t>South</t>
        </is>
      </c>
      <c r="F2709" t="inlineStr">
        <is>
          <t>Referral</t>
        </is>
      </c>
      <c r="G2709" t="inlineStr">
        <is>
          <t>Desktop</t>
        </is>
      </c>
      <c r="H2709" t="inlineStr">
        <is>
          <t>UPI</t>
        </is>
      </c>
      <c r="I2709" t="inlineStr">
        <is>
          <t>Delivered</t>
        </is>
      </c>
      <c r="J2709" t="n">
        <v>104</v>
      </c>
      <c r="K2709" t="n">
        <v>1</v>
      </c>
      <c r="L2709" t="n">
        <v>5249</v>
      </c>
      <c r="M2709" t="n">
        <v>0</v>
      </c>
      <c r="N2709">
        <f>VLOOKUP(J2709,Products!$A$2:$C$49,3,FALSE)</f>
        <v/>
      </c>
      <c r="O2709">
        <f>K2709*L2709-M2709</f>
        <v/>
      </c>
      <c r="P2709">
        <f>TEXT(B2709,"yyyy-mm")</f>
        <v/>
      </c>
      <c r="Q2709">
        <f>IF(O2709&gt;=3000,"Large","Small")</f>
        <v/>
      </c>
      <c r="R2709">
        <f>INDEX(Products!$F$2:$F$49,MATCH(J2709,Products!$A$2:$A$49,0))</f>
        <v/>
      </c>
      <c r="S2709">
        <f>WEEKDAY(B2709,2)</f>
        <v/>
      </c>
    </row>
    <row r="2710">
      <c r="A2710" t="n">
        <v>510767</v>
      </c>
      <c r="B2710" s="6" t="n">
        <v>45972</v>
      </c>
      <c r="C2710" t="n">
        <v>16773</v>
      </c>
      <c r="D2710" t="inlineStr">
        <is>
          <t>Bengaluru</t>
        </is>
      </c>
      <c r="E2710" t="inlineStr">
        <is>
          <t>South</t>
        </is>
      </c>
      <c r="F2710" t="inlineStr">
        <is>
          <t>Referral</t>
        </is>
      </c>
      <c r="G2710" t="inlineStr">
        <is>
          <t>Desktop</t>
        </is>
      </c>
      <c r="H2710" t="inlineStr">
        <is>
          <t>UPI</t>
        </is>
      </c>
      <c r="I2710" t="inlineStr">
        <is>
          <t>Delivered</t>
        </is>
      </c>
      <c r="J2710" t="n">
        <v>116</v>
      </c>
      <c r="K2710" t="n">
        <v>2</v>
      </c>
      <c r="L2710" t="n">
        <v>2624</v>
      </c>
      <c r="M2710" t="n">
        <v>0</v>
      </c>
      <c r="N2710">
        <f>VLOOKUP(J2710,Products!$A$2:$C$49,3,FALSE)</f>
        <v/>
      </c>
      <c r="O2710">
        <f>K2710*L2710-M2710</f>
        <v/>
      </c>
      <c r="P2710">
        <f>TEXT(B2710,"yyyy-mm")</f>
        <v/>
      </c>
      <c r="Q2710">
        <f>IF(O2710&gt;=3000,"Large","Small")</f>
        <v/>
      </c>
      <c r="R2710">
        <f>INDEX(Products!$F$2:$F$49,MATCH(J2710,Products!$A$2:$A$49,0))</f>
        <v/>
      </c>
      <c r="S2710">
        <f>WEEKDAY(B2710,2)</f>
        <v/>
      </c>
    </row>
    <row r="2711">
      <c r="A2711" t="n">
        <v>510768</v>
      </c>
      <c r="B2711" s="6" t="n">
        <v>45972</v>
      </c>
      <c r="C2711" t="n">
        <v>17283</v>
      </c>
      <c r="D2711" t="inlineStr">
        <is>
          <t>Mumbai</t>
        </is>
      </c>
      <c r="E2711" t="inlineStr">
        <is>
          <t>West</t>
        </is>
      </c>
      <c r="F2711" t="inlineStr">
        <is>
          <t>Organic Search</t>
        </is>
      </c>
      <c r="G2711" t="inlineStr">
        <is>
          <t>Mobile App</t>
        </is>
      </c>
      <c r="H2711" t="inlineStr">
        <is>
          <t>UPI</t>
        </is>
      </c>
      <c r="I2711" t="inlineStr">
        <is>
          <t>Delivered</t>
        </is>
      </c>
      <c r="J2711" t="n">
        <v>123</v>
      </c>
      <c r="K2711" t="n">
        <v>1</v>
      </c>
      <c r="L2711" t="n">
        <v>3464</v>
      </c>
      <c r="M2711" t="n">
        <v>519.6</v>
      </c>
      <c r="N2711">
        <f>VLOOKUP(J2711,Products!$A$2:$C$49,3,FALSE)</f>
        <v/>
      </c>
      <c r="O2711">
        <f>K2711*L2711-M2711</f>
        <v/>
      </c>
      <c r="P2711">
        <f>TEXT(B2711,"yyyy-mm")</f>
        <v/>
      </c>
      <c r="Q2711">
        <f>IF(O2711&gt;=3000,"Large","Small")</f>
        <v/>
      </c>
      <c r="R2711">
        <f>INDEX(Products!$F$2:$F$49,MATCH(J2711,Products!$A$2:$A$49,0))</f>
        <v/>
      </c>
      <c r="S2711">
        <f>WEEKDAY(B2711,2)</f>
        <v/>
      </c>
    </row>
    <row r="2712">
      <c r="A2712" t="n">
        <v>510769</v>
      </c>
      <c r="B2712" s="6" t="n">
        <v>45972</v>
      </c>
      <c r="C2712" t="n">
        <v>17165</v>
      </c>
      <c r="D2712" t="inlineStr">
        <is>
          <t>Mumbai</t>
        </is>
      </c>
      <c r="E2712" t="inlineStr">
        <is>
          <t>West</t>
        </is>
      </c>
      <c r="F2712" t="inlineStr">
        <is>
          <t>Affiliate</t>
        </is>
      </c>
      <c r="G2712" t="inlineStr">
        <is>
          <t>Mobile App</t>
        </is>
      </c>
      <c r="H2712" t="inlineStr">
        <is>
          <t>Cash on Delivery</t>
        </is>
      </c>
      <c r="I2712" t="inlineStr">
        <is>
          <t>Delivered</t>
        </is>
      </c>
      <c r="J2712" t="n">
        <v>133</v>
      </c>
      <c r="K2712" t="n">
        <v>1</v>
      </c>
      <c r="L2712" t="n">
        <v>419</v>
      </c>
      <c r="M2712" t="n">
        <v>0</v>
      </c>
      <c r="N2712">
        <f>VLOOKUP(J2712,Products!$A$2:$C$49,3,FALSE)</f>
        <v/>
      </c>
      <c r="O2712">
        <f>K2712*L2712-M2712</f>
        <v/>
      </c>
      <c r="P2712">
        <f>TEXT(B2712,"yyyy-mm")</f>
        <v/>
      </c>
      <c r="Q2712">
        <f>IF(O2712&gt;=3000,"Large","Small")</f>
        <v/>
      </c>
      <c r="R2712">
        <f>INDEX(Products!$F$2:$F$49,MATCH(J2712,Products!$A$2:$A$49,0))</f>
        <v/>
      </c>
      <c r="S2712">
        <f>WEEKDAY(B2712,2)</f>
        <v/>
      </c>
    </row>
    <row r="2713">
      <c r="A2713" t="n">
        <v>510769</v>
      </c>
      <c r="B2713" s="6" t="n">
        <v>45972</v>
      </c>
      <c r="C2713" t="n">
        <v>17165</v>
      </c>
      <c r="D2713" t="inlineStr">
        <is>
          <t>Mumbai</t>
        </is>
      </c>
      <c r="E2713" t="inlineStr">
        <is>
          <t>West</t>
        </is>
      </c>
      <c r="F2713" t="inlineStr">
        <is>
          <t>Affiliate</t>
        </is>
      </c>
      <c r="G2713" t="inlineStr">
        <is>
          <t>Mobile App</t>
        </is>
      </c>
      <c r="H2713" t="inlineStr">
        <is>
          <t>Cash on Delivery</t>
        </is>
      </c>
      <c r="I2713" t="inlineStr">
        <is>
          <t>Delivered</t>
        </is>
      </c>
      <c r="J2713" t="n">
        <v>116</v>
      </c>
      <c r="K2713" t="n">
        <v>2</v>
      </c>
      <c r="L2713" t="n">
        <v>2624</v>
      </c>
      <c r="M2713" t="n">
        <v>0</v>
      </c>
      <c r="N2713">
        <f>VLOOKUP(J2713,Products!$A$2:$C$49,3,FALSE)</f>
        <v/>
      </c>
      <c r="O2713">
        <f>K2713*L2713-M2713</f>
        <v/>
      </c>
      <c r="P2713">
        <f>TEXT(B2713,"yyyy-mm")</f>
        <v/>
      </c>
      <c r="Q2713">
        <f>IF(O2713&gt;=3000,"Large","Small")</f>
        <v/>
      </c>
      <c r="R2713">
        <f>INDEX(Products!$F$2:$F$49,MATCH(J2713,Products!$A$2:$A$49,0))</f>
        <v/>
      </c>
      <c r="S2713">
        <f>WEEKDAY(B2713,2)</f>
        <v/>
      </c>
    </row>
    <row r="2714">
      <c r="A2714" t="n">
        <v>510769</v>
      </c>
      <c r="B2714" s="6" t="n">
        <v>45972</v>
      </c>
      <c r="C2714" t="n">
        <v>17165</v>
      </c>
      <c r="D2714" t="inlineStr">
        <is>
          <t>Mumbai</t>
        </is>
      </c>
      <c r="E2714" t="inlineStr">
        <is>
          <t>West</t>
        </is>
      </c>
      <c r="F2714" t="inlineStr">
        <is>
          <t>Affiliate</t>
        </is>
      </c>
      <c r="G2714" t="inlineStr">
        <is>
          <t>Mobile App</t>
        </is>
      </c>
      <c r="H2714" t="inlineStr">
        <is>
          <t>Cash on Delivery</t>
        </is>
      </c>
      <c r="I2714" t="inlineStr">
        <is>
          <t>Delivered</t>
        </is>
      </c>
      <c r="J2714" t="n">
        <v>120</v>
      </c>
      <c r="K2714" t="n">
        <v>1</v>
      </c>
      <c r="L2714" t="n">
        <v>734</v>
      </c>
      <c r="M2714" t="n">
        <v>0</v>
      </c>
      <c r="N2714">
        <f>VLOOKUP(J2714,Products!$A$2:$C$49,3,FALSE)</f>
        <v/>
      </c>
      <c r="O2714">
        <f>K2714*L2714-M2714</f>
        <v/>
      </c>
      <c r="P2714">
        <f>TEXT(B2714,"yyyy-mm")</f>
        <v/>
      </c>
      <c r="Q2714">
        <f>IF(O2714&gt;=3000,"Large","Small")</f>
        <v/>
      </c>
      <c r="R2714">
        <f>INDEX(Products!$F$2:$F$49,MATCH(J2714,Products!$A$2:$A$49,0))</f>
        <v/>
      </c>
      <c r="S2714">
        <f>WEEKDAY(B2714,2)</f>
        <v/>
      </c>
    </row>
    <row r="2715">
      <c r="A2715" t="n">
        <v>510770</v>
      </c>
      <c r="B2715" s="6" t="n">
        <v>45972</v>
      </c>
      <c r="C2715" t="n">
        <v>17242</v>
      </c>
      <c r="D2715" t="inlineStr">
        <is>
          <t>Chandigarh</t>
        </is>
      </c>
      <c r="E2715" t="inlineStr">
        <is>
          <t>North</t>
        </is>
      </c>
      <c r="F2715" t="inlineStr">
        <is>
          <t>Paid Social</t>
        </is>
      </c>
      <c r="G2715" t="inlineStr">
        <is>
          <t>Desktop</t>
        </is>
      </c>
      <c r="H2715" t="inlineStr">
        <is>
          <t>Credit Card</t>
        </is>
      </c>
      <c r="I2715" t="inlineStr">
        <is>
          <t>Delivered</t>
        </is>
      </c>
      <c r="J2715" t="n">
        <v>137</v>
      </c>
      <c r="K2715" t="n">
        <v>1</v>
      </c>
      <c r="L2715" t="n">
        <v>261</v>
      </c>
      <c r="M2715" t="n">
        <v>0</v>
      </c>
      <c r="N2715">
        <f>VLOOKUP(J2715,Products!$A$2:$C$49,3,FALSE)</f>
        <v/>
      </c>
      <c r="O2715">
        <f>K2715*L2715-M2715</f>
        <v/>
      </c>
      <c r="P2715">
        <f>TEXT(B2715,"yyyy-mm")</f>
        <v/>
      </c>
      <c r="Q2715">
        <f>IF(O2715&gt;=3000,"Large","Small")</f>
        <v/>
      </c>
      <c r="R2715">
        <f>INDEX(Products!$F$2:$F$49,MATCH(J2715,Products!$A$2:$A$49,0))</f>
        <v/>
      </c>
      <c r="S2715">
        <f>WEEKDAY(B2715,2)</f>
        <v/>
      </c>
    </row>
    <row r="2716">
      <c r="A2716" t="n">
        <v>510771</v>
      </c>
      <c r="B2716" s="6" t="n">
        <v>45972</v>
      </c>
      <c r="C2716" t="n">
        <v>16134</v>
      </c>
      <c r="D2716" t="inlineStr">
        <is>
          <t>Mumbai</t>
        </is>
      </c>
      <c r="E2716" t="inlineStr">
        <is>
          <t>West</t>
        </is>
      </c>
      <c r="F2716" t="inlineStr">
        <is>
          <t>Referral</t>
        </is>
      </c>
      <c r="G2716" t="inlineStr">
        <is>
          <t>Mobile Web</t>
        </is>
      </c>
      <c r="H2716" t="inlineStr">
        <is>
          <t>UPI</t>
        </is>
      </c>
      <c r="I2716" t="inlineStr">
        <is>
          <t>Delivered</t>
        </is>
      </c>
      <c r="J2716" t="n">
        <v>124</v>
      </c>
      <c r="K2716" t="n">
        <v>1</v>
      </c>
      <c r="L2716" t="n">
        <v>1154</v>
      </c>
      <c r="M2716" t="n">
        <v>0</v>
      </c>
      <c r="N2716">
        <f>VLOOKUP(J2716,Products!$A$2:$C$49,3,FALSE)</f>
        <v/>
      </c>
      <c r="O2716">
        <f>K2716*L2716-M2716</f>
        <v/>
      </c>
      <c r="P2716">
        <f>TEXT(B2716,"yyyy-mm")</f>
        <v/>
      </c>
      <c r="Q2716">
        <f>IF(O2716&gt;=3000,"Large","Small")</f>
        <v/>
      </c>
      <c r="R2716">
        <f>INDEX(Products!$F$2:$F$49,MATCH(J2716,Products!$A$2:$A$49,0))</f>
        <v/>
      </c>
      <c r="S2716">
        <f>WEEKDAY(B2716,2)</f>
        <v/>
      </c>
    </row>
    <row r="2717">
      <c r="A2717" t="n">
        <v>510772</v>
      </c>
      <c r="B2717" s="6" t="n">
        <v>45973</v>
      </c>
      <c r="C2717" t="n">
        <v>16091</v>
      </c>
      <c r="D2717" t="inlineStr">
        <is>
          <t>Mumbai</t>
        </is>
      </c>
      <c r="E2717" t="inlineStr">
        <is>
          <t>West</t>
        </is>
      </c>
      <c r="F2717" t="inlineStr">
        <is>
          <t>Organic Search</t>
        </is>
      </c>
      <c r="G2717" t="inlineStr">
        <is>
          <t>Mobile App</t>
        </is>
      </c>
      <c r="H2717" t="inlineStr">
        <is>
          <t>UPI</t>
        </is>
      </c>
      <c r="I2717" t="inlineStr">
        <is>
          <t>Delivered</t>
        </is>
      </c>
      <c r="J2717" t="n">
        <v>106</v>
      </c>
      <c r="K2717" t="n">
        <v>1</v>
      </c>
      <c r="L2717" t="n">
        <v>1574</v>
      </c>
      <c r="M2717" t="n">
        <v>0</v>
      </c>
      <c r="N2717">
        <f>VLOOKUP(J2717,Products!$A$2:$C$49,3,FALSE)</f>
        <v/>
      </c>
      <c r="O2717">
        <f>K2717*L2717-M2717</f>
        <v/>
      </c>
      <c r="P2717">
        <f>TEXT(B2717,"yyyy-mm")</f>
        <v/>
      </c>
      <c r="Q2717">
        <f>IF(O2717&gt;=3000,"Large","Small")</f>
        <v/>
      </c>
      <c r="R2717">
        <f>INDEX(Products!$F$2:$F$49,MATCH(J2717,Products!$A$2:$A$49,0))</f>
        <v/>
      </c>
      <c r="S2717">
        <f>WEEKDAY(B2717,2)</f>
        <v/>
      </c>
    </row>
    <row r="2718">
      <c r="A2718" t="n">
        <v>510773</v>
      </c>
      <c r="B2718" s="6" t="n">
        <v>45973</v>
      </c>
      <c r="C2718" t="n">
        <v>16473</v>
      </c>
      <c r="D2718" t="inlineStr">
        <is>
          <t>Mumbai</t>
        </is>
      </c>
      <c r="E2718" t="inlineStr">
        <is>
          <t>West</t>
        </is>
      </c>
      <c r="F2718" t="inlineStr">
        <is>
          <t>Referral</t>
        </is>
      </c>
      <c r="G2718" t="inlineStr">
        <is>
          <t>Mobile App</t>
        </is>
      </c>
      <c r="H2718" t="inlineStr">
        <is>
          <t>UPI</t>
        </is>
      </c>
      <c r="I2718" t="inlineStr">
        <is>
          <t>Delivered</t>
        </is>
      </c>
      <c r="J2718" t="n">
        <v>124</v>
      </c>
      <c r="K2718" t="n">
        <v>1</v>
      </c>
      <c r="L2718" t="n">
        <v>1154</v>
      </c>
      <c r="M2718" t="n">
        <v>0</v>
      </c>
      <c r="N2718">
        <f>VLOOKUP(J2718,Products!$A$2:$C$49,3,FALSE)</f>
        <v/>
      </c>
      <c r="O2718">
        <f>K2718*L2718-M2718</f>
        <v/>
      </c>
      <c r="P2718">
        <f>TEXT(B2718,"yyyy-mm")</f>
        <v/>
      </c>
      <c r="Q2718">
        <f>IF(O2718&gt;=3000,"Large","Small")</f>
        <v/>
      </c>
      <c r="R2718">
        <f>INDEX(Products!$F$2:$F$49,MATCH(J2718,Products!$A$2:$A$49,0))</f>
        <v/>
      </c>
      <c r="S2718">
        <f>WEEKDAY(B2718,2)</f>
        <v/>
      </c>
    </row>
    <row r="2719">
      <c r="A2719" t="n">
        <v>510773</v>
      </c>
      <c r="B2719" s="6" t="n">
        <v>45973</v>
      </c>
      <c r="C2719" t="n">
        <v>16473</v>
      </c>
      <c r="D2719" t="inlineStr">
        <is>
          <t>Mumbai</t>
        </is>
      </c>
      <c r="E2719" t="inlineStr">
        <is>
          <t>West</t>
        </is>
      </c>
      <c r="F2719" t="inlineStr">
        <is>
          <t>Referral</t>
        </is>
      </c>
      <c r="G2719" t="inlineStr">
        <is>
          <t>Mobile App</t>
        </is>
      </c>
      <c r="H2719" t="inlineStr">
        <is>
          <t>UPI</t>
        </is>
      </c>
      <c r="I2719" t="inlineStr">
        <is>
          <t>Delivered</t>
        </is>
      </c>
      <c r="J2719" t="n">
        <v>118</v>
      </c>
      <c r="K2719" t="n">
        <v>1</v>
      </c>
      <c r="L2719" t="n">
        <v>944</v>
      </c>
      <c r="M2719" t="n">
        <v>0</v>
      </c>
      <c r="N2719">
        <f>VLOOKUP(J2719,Products!$A$2:$C$49,3,FALSE)</f>
        <v/>
      </c>
      <c r="O2719">
        <f>K2719*L2719-M2719</f>
        <v/>
      </c>
      <c r="P2719">
        <f>TEXT(B2719,"yyyy-mm")</f>
        <v/>
      </c>
      <c r="Q2719">
        <f>IF(O2719&gt;=3000,"Large","Small")</f>
        <v/>
      </c>
      <c r="R2719">
        <f>INDEX(Products!$F$2:$F$49,MATCH(J2719,Products!$A$2:$A$49,0))</f>
        <v/>
      </c>
      <c r="S2719">
        <f>WEEKDAY(B2719,2)</f>
        <v/>
      </c>
    </row>
    <row r="2720">
      <c r="A2720" t="n">
        <v>510774</v>
      </c>
      <c r="B2720" s="6" t="n">
        <v>45973</v>
      </c>
      <c r="C2720" t="n">
        <v>15283</v>
      </c>
      <c r="D2720" t="inlineStr">
        <is>
          <t>Bengaluru</t>
        </is>
      </c>
      <c r="E2720" t="inlineStr">
        <is>
          <t>South</t>
        </is>
      </c>
      <c r="F2720" t="inlineStr">
        <is>
          <t>Referral</t>
        </is>
      </c>
      <c r="G2720" t="inlineStr">
        <is>
          <t>Desktop</t>
        </is>
      </c>
      <c r="H2720" t="inlineStr">
        <is>
          <t>Net Banking</t>
        </is>
      </c>
      <c r="I2720" t="inlineStr">
        <is>
          <t>Delivered</t>
        </is>
      </c>
      <c r="J2720" t="n">
        <v>112</v>
      </c>
      <c r="K2720" t="n">
        <v>3</v>
      </c>
      <c r="L2720" t="n">
        <v>1574</v>
      </c>
      <c r="M2720" t="n">
        <v>0</v>
      </c>
      <c r="N2720">
        <f>VLOOKUP(J2720,Products!$A$2:$C$49,3,FALSE)</f>
        <v/>
      </c>
      <c r="O2720">
        <f>K2720*L2720-M2720</f>
        <v/>
      </c>
      <c r="P2720">
        <f>TEXT(B2720,"yyyy-mm")</f>
        <v/>
      </c>
      <c r="Q2720">
        <f>IF(O2720&gt;=3000,"Large","Small")</f>
        <v/>
      </c>
      <c r="R2720">
        <f>INDEX(Products!$F$2:$F$49,MATCH(J2720,Products!$A$2:$A$49,0))</f>
        <v/>
      </c>
      <c r="S2720">
        <f>WEEKDAY(B2720,2)</f>
        <v/>
      </c>
    </row>
    <row r="2721">
      <c r="A2721" t="n">
        <v>510775</v>
      </c>
      <c r="B2721" s="6" t="n">
        <v>45973</v>
      </c>
      <c r="C2721" t="n">
        <v>10992</v>
      </c>
      <c r="D2721" t="inlineStr">
        <is>
          <t>Gurugram</t>
        </is>
      </c>
      <c r="E2721" t="inlineStr">
        <is>
          <t>North</t>
        </is>
      </c>
      <c r="F2721" t="inlineStr">
        <is>
          <t>Paid Search</t>
        </is>
      </c>
      <c r="G2721" t="inlineStr">
        <is>
          <t>Desktop</t>
        </is>
      </c>
      <c r="H2721" t="inlineStr">
        <is>
          <t>Debit Card</t>
        </is>
      </c>
      <c r="I2721" t="inlineStr">
        <is>
          <t>Delivered</t>
        </is>
      </c>
      <c r="J2721" t="n">
        <v>107</v>
      </c>
      <c r="K2721" t="n">
        <v>1</v>
      </c>
      <c r="L2721" t="n">
        <v>1259</v>
      </c>
      <c r="M2721" t="n">
        <v>0</v>
      </c>
      <c r="N2721">
        <f>VLOOKUP(J2721,Products!$A$2:$C$49,3,FALSE)</f>
        <v/>
      </c>
      <c r="O2721">
        <f>K2721*L2721-M2721</f>
        <v/>
      </c>
      <c r="P2721">
        <f>TEXT(B2721,"yyyy-mm")</f>
        <v/>
      </c>
      <c r="Q2721">
        <f>IF(O2721&gt;=3000,"Large","Small")</f>
        <v/>
      </c>
      <c r="R2721">
        <f>INDEX(Products!$F$2:$F$49,MATCH(J2721,Products!$A$2:$A$49,0))</f>
        <v/>
      </c>
      <c r="S2721">
        <f>WEEKDAY(B2721,2)</f>
        <v/>
      </c>
    </row>
    <row r="2722">
      <c r="A2722" t="n">
        <v>510775</v>
      </c>
      <c r="B2722" s="6" t="n">
        <v>45973</v>
      </c>
      <c r="C2722" t="n">
        <v>10992</v>
      </c>
      <c r="D2722" t="inlineStr">
        <is>
          <t>Gurugram</t>
        </is>
      </c>
      <c r="E2722" t="inlineStr">
        <is>
          <t>North</t>
        </is>
      </c>
      <c r="F2722" t="inlineStr">
        <is>
          <t>Paid Search</t>
        </is>
      </c>
      <c r="G2722" t="inlineStr">
        <is>
          <t>Desktop</t>
        </is>
      </c>
      <c r="H2722" t="inlineStr">
        <is>
          <t>Debit Card</t>
        </is>
      </c>
      <c r="I2722" t="inlineStr">
        <is>
          <t>Delivered</t>
        </is>
      </c>
      <c r="J2722" t="n">
        <v>105</v>
      </c>
      <c r="K2722" t="n">
        <v>1</v>
      </c>
      <c r="L2722" t="n">
        <v>2414</v>
      </c>
      <c r="M2722" t="n">
        <v>0</v>
      </c>
      <c r="N2722">
        <f>VLOOKUP(J2722,Products!$A$2:$C$49,3,FALSE)</f>
        <v/>
      </c>
      <c r="O2722">
        <f>K2722*L2722-M2722</f>
        <v/>
      </c>
      <c r="P2722">
        <f>TEXT(B2722,"yyyy-mm")</f>
        <v/>
      </c>
      <c r="Q2722">
        <f>IF(O2722&gt;=3000,"Large","Small")</f>
        <v/>
      </c>
      <c r="R2722">
        <f>INDEX(Products!$F$2:$F$49,MATCH(J2722,Products!$A$2:$A$49,0))</f>
        <v/>
      </c>
      <c r="S2722">
        <f>WEEKDAY(B2722,2)</f>
        <v/>
      </c>
    </row>
    <row r="2723">
      <c r="A2723" t="n">
        <v>510776</v>
      </c>
      <c r="B2723" s="6" t="n">
        <v>45973</v>
      </c>
      <c r="C2723" t="n">
        <v>14695</v>
      </c>
      <c r="D2723" t="inlineStr">
        <is>
          <t>Lucknow</t>
        </is>
      </c>
      <c r="E2723" t="inlineStr">
        <is>
          <t>North</t>
        </is>
      </c>
      <c r="F2723" t="inlineStr">
        <is>
          <t>Referral</t>
        </is>
      </c>
      <c r="G2723" t="inlineStr">
        <is>
          <t>Mobile App</t>
        </is>
      </c>
      <c r="H2723" t="inlineStr">
        <is>
          <t>Cash on Delivery</t>
        </is>
      </c>
      <c r="I2723" t="inlineStr">
        <is>
          <t>Cancelled</t>
        </is>
      </c>
      <c r="J2723" t="n">
        <v>111</v>
      </c>
      <c r="K2723" t="n">
        <v>1</v>
      </c>
      <c r="L2723" t="n">
        <v>524</v>
      </c>
      <c r="M2723" t="n">
        <v>0</v>
      </c>
      <c r="N2723">
        <f>VLOOKUP(J2723,Products!$A$2:$C$49,3,FALSE)</f>
        <v/>
      </c>
      <c r="O2723">
        <f>K2723*L2723-M2723</f>
        <v/>
      </c>
      <c r="P2723">
        <f>TEXT(B2723,"yyyy-mm")</f>
        <v/>
      </c>
      <c r="Q2723">
        <f>IF(O2723&gt;=3000,"Large","Small")</f>
        <v/>
      </c>
      <c r="R2723">
        <f>INDEX(Products!$F$2:$F$49,MATCH(J2723,Products!$A$2:$A$49,0))</f>
        <v/>
      </c>
      <c r="S2723">
        <f>WEEKDAY(B2723,2)</f>
        <v/>
      </c>
    </row>
    <row r="2724">
      <c r="A2724" t="n">
        <v>510776</v>
      </c>
      <c r="B2724" s="6" t="n">
        <v>45973</v>
      </c>
      <c r="C2724" t="n">
        <v>14695</v>
      </c>
      <c r="D2724" t="inlineStr">
        <is>
          <t>Lucknow</t>
        </is>
      </c>
      <c r="E2724" t="inlineStr">
        <is>
          <t>North</t>
        </is>
      </c>
      <c r="F2724" t="inlineStr">
        <is>
          <t>Referral</t>
        </is>
      </c>
      <c r="G2724" t="inlineStr">
        <is>
          <t>Mobile App</t>
        </is>
      </c>
      <c r="H2724" t="inlineStr">
        <is>
          <t>Cash on Delivery</t>
        </is>
      </c>
      <c r="I2724" t="inlineStr">
        <is>
          <t>Cancelled</t>
        </is>
      </c>
      <c r="J2724" t="n">
        <v>118</v>
      </c>
      <c r="K2724" t="n">
        <v>3</v>
      </c>
      <c r="L2724" t="n">
        <v>944</v>
      </c>
      <c r="M2724" t="n">
        <v>0</v>
      </c>
      <c r="N2724">
        <f>VLOOKUP(J2724,Products!$A$2:$C$49,3,FALSE)</f>
        <v/>
      </c>
      <c r="O2724">
        <f>K2724*L2724-M2724</f>
        <v/>
      </c>
      <c r="P2724">
        <f>TEXT(B2724,"yyyy-mm")</f>
        <v/>
      </c>
      <c r="Q2724">
        <f>IF(O2724&gt;=3000,"Large","Small")</f>
        <v/>
      </c>
      <c r="R2724">
        <f>INDEX(Products!$F$2:$F$49,MATCH(J2724,Products!$A$2:$A$49,0))</f>
        <v/>
      </c>
      <c r="S2724">
        <f>WEEKDAY(B2724,2)</f>
        <v/>
      </c>
    </row>
    <row r="2725">
      <c r="A2725" t="n">
        <v>510777</v>
      </c>
      <c r="B2725" s="6" t="n">
        <v>45973</v>
      </c>
      <c r="C2725" t="n">
        <v>14753</v>
      </c>
      <c r="D2725" t="inlineStr">
        <is>
          <t>Lucknow</t>
        </is>
      </c>
      <c r="E2725" t="inlineStr">
        <is>
          <t>North</t>
        </is>
      </c>
      <c r="F2725" t="inlineStr">
        <is>
          <t>Paid Search</t>
        </is>
      </c>
      <c r="G2725" t="inlineStr">
        <is>
          <t>Mobile App</t>
        </is>
      </c>
      <c r="H2725" t="inlineStr">
        <is>
          <t>Cash on Delivery</t>
        </is>
      </c>
      <c r="I2725" t="inlineStr">
        <is>
          <t>Delivered</t>
        </is>
      </c>
      <c r="J2725" t="n">
        <v>130</v>
      </c>
      <c r="K2725" t="n">
        <v>1</v>
      </c>
      <c r="L2725" t="n">
        <v>734</v>
      </c>
      <c r="M2725" t="n">
        <v>0</v>
      </c>
      <c r="N2725">
        <f>VLOOKUP(J2725,Products!$A$2:$C$49,3,FALSE)</f>
        <v/>
      </c>
      <c r="O2725">
        <f>K2725*L2725-M2725</f>
        <v/>
      </c>
      <c r="P2725">
        <f>TEXT(B2725,"yyyy-mm")</f>
        <v/>
      </c>
      <c r="Q2725">
        <f>IF(O2725&gt;=3000,"Large","Small")</f>
        <v/>
      </c>
      <c r="R2725">
        <f>INDEX(Products!$F$2:$F$49,MATCH(J2725,Products!$A$2:$A$49,0))</f>
        <v/>
      </c>
      <c r="S2725">
        <f>WEEKDAY(B2725,2)</f>
        <v/>
      </c>
    </row>
    <row r="2726">
      <c r="A2726" t="n">
        <v>510777</v>
      </c>
      <c r="B2726" s="6" t="n">
        <v>45973</v>
      </c>
      <c r="C2726" t="n">
        <v>14753</v>
      </c>
      <c r="D2726" t="inlineStr">
        <is>
          <t>Lucknow</t>
        </is>
      </c>
      <c r="E2726" t="inlineStr">
        <is>
          <t>North</t>
        </is>
      </c>
      <c r="F2726" t="inlineStr">
        <is>
          <t>Paid Search</t>
        </is>
      </c>
      <c r="G2726" t="inlineStr">
        <is>
          <t>Mobile App</t>
        </is>
      </c>
      <c r="H2726" t="inlineStr">
        <is>
          <t>Cash on Delivery</t>
        </is>
      </c>
      <c r="I2726" t="inlineStr">
        <is>
          <t>Delivered</t>
        </is>
      </c>
      <c r="J2726" t="n">
        <v>144</v>
      </c>
      <c r="K2726" t="n">
        <v>1</v>
      </c>
      <c r="L2726" t="n">
        <v>3149</v>
      </c>
      <c r="M2726" t="n">
        <v>0</v>
      </c>
      <c r="N2726">
        <f>VLOOKUP(J2726,Products!$A$2:$C$49,3,FALSE)</f>
        <v/>
      </c>
      <c r="O2726">
        <f>K2726*L2726-M2726</f>
        <v/>
      </c>
      <c r="P2726">
        <f>TEXT(B2726,"yyyy-mm")</f>
        <v/>
      </c>
      <c r="Q2726">
        <f>IF(O2726&gt;=3000,"Large","Small")</f>
        <v/>
      </c>
      <c r="R2726">
        <f>INDEX(Products!$F$2:$F$49,MATCH(J2726,Products!$A$2:$A$49,0))</f>
        <v/>
      </c>
      <c r="S2726">
        <f>WEEKDAY(B2726,2)</f>
        <v/>
      </c>
    </row>
    <row r="2727">
      <c r="A2727" t="n">
        <v>510778</v>
      </c>
      <c r="B2727" s="6" t="n">
        <v>45973</v>
      </c>
      <c r="C2727" t="n">
        <v>17265</v>
      </c>
      <c r="D2727" t="inlineStr">
        <is>
          <t>Hyderabad</t>
        </is>
      </c>
      <c r="E2727" t="inlineStr">
        <is>
          <t>South</t>
        </is>
      </c>
      <c r="F2727" t="inlineStr">
        <is>
          <t>Paid Search</t>
        </is>
      </c>
      <c r="G2727" t="inlineStr">
        <is>
          <t>Mobile App</t>
        </is>
      </c>
      <c r="H2727" t="inlineStr">
        <is>
          <t>UPI</t>
        </is>
      </c>
      <c r="I2727" t="inlineStr">
        <is>
          <t>Delivered</t>
        </is>
      </c>
      <c r="J2727" t="n">
        <v>120</v>
      </c>
      <c r="K2727" t="n">
        <v>2</v>
      </c>
      <c r="L2727" t="n">
        <v>734</v>
      </c>
      <c r="M2727" t="n">
        <v>0</v>
      </c>
      <c r="N2727">
        <f>VLOOKUP(J2727,Products!$A$2:$C$49,3,FALSE)</f>
        <v/>
      </c>
      <c r="O2727">
        <f>K2727*L2727-M2727</f>
        <v/>
      </c>
      <c r="P2727">
        <f>TEXT(B2727,"yyyy-mm")</f>
        <v/>
      </c>
      <c r="Q2727">
        <f>IF(O2727&gt;=3000,"Large","Small")</f>
        <v/>
      </c>
      <c r="R2727">
        <f>INDEX(Products!$F$2:$F$49,MATCH(J2727,Products!$A$2:$A$49,0))</f>
        <v/>
      </c>
      <c r="S2727">
        <f>WEEKDAY(B2727,2)</f>
        <v/>
      </c>
    </row>
    <row r="2728">
      <c r="A2728" t="n">
        <v>510778</v>
      </c>
      <c r="B2728" s="6" t="n">
        <v>45973</v>
      </c>
      <c r="C2728" t="n">
        <v>17265</v>
      </c>
      <c r="D2728" t="inlineStr">
        <is>
          <t>Hyderabad</t>
        </is>
      </c>
      <c r="E2728" t="inlineStr">
        <is>
          <t>South</t>
        </is>
      </c>
      <c r="F2728" t="inlineStr">
        <is>
          <t>Paid Search</t>
        </is>
      </c>
      <c r="G2728" t="inlineStr">
        <is>
          <t>Mobile App</t>
        </is>
      </c>
      <c r="H2728" t="inlineStr">
        <is>
          <t>UPI</t>
        </is>
      </c>
      <c r="I2728" t="inlineStr">
        <is>
          <t>Delivered</t>
        </is>
      </c>
      <c r="J2728" t="n">
        <v>142</v>
      </c>
      <c r="K2728" t="n">
        <v>2</v>
      </c>
      <c r="L2728" t="n">
        <v>839</v>
      </c>
      <c r="M2728" t="n">
        <v>0</v>
      </c>
      <c r="N2728">
        <f>VLOOKUP(J2728,Products!$A$2:$C$49,3,FALSE)</f>
        <v/>
      </c>
      <c r="O2728">
        <f>K2728*L2728-M2728</f>
        <v/>
      </c>
      <c r="P2728">
        <f>TEXT(B2728,"yyyy-mm")</f>
        <v/>
      </c>
      <c r="Q2728">
        <f>IF(O2728&gt;=3000,"Large","Small")</f>
        <v/>
      </c>
      <c r="R2728">
        <f>INDEX(Products!$F$2:$F$49,MATCH(J2728,Products!$A$2:$A$49,0))</f>
        <v/>
      </c>
      <c r="S2728">
        <f>WEEKDAY(B2728,2)</f>
        <v/>
      </c>
    </row>
    <row r="2729">
      <c r="A2729" t="n">
        <v>510779</v>
      </c>
      <c r="B2729" s="6" t="n">
        <v>45973</v>
      </c>
      <c r="C2729" t="n">
        <v>12731</v>
      </c>
      <c r="D2729" t="inlineStr">
        <is>
          <t>Delhi</t>
        </is>
      </c>
      <c r="E2729" t="inlineStr">
        <is>
          <t>North</t>
        </is>
      </c>
      <c r="F2729" t="inlineStr">
        <is>
          <t>Referral</t>
        </is>
      </c>
      <c r="G2729" t="inlineStr">
        <is>
          <t>Mobile App</t>
        </is>
      </c>
      <c r="H2729" t="inlineStr">
        <is>
          <t>Cash on Delivery</t>
        </is>
      </c>
      <c r="I2729" t="inlineStr">
        <is>
          <t>Returned</t>
        </is>
      </c>
      <c r="J2729" t="n">
        <v>129</v>
      </c>
      <c r="K2729" t="n">
        <v>1</v>
      </c>
      <c r="L2729" t="n">
        <v>576</v>
      </c>
      <c r="M2729" t="n">
        <v>28.8</v>
      </c>
      <c r="N2729">
        <f>VLOOKUP(J2729,Products!$A$2:$C$49,3,FALSE)</f>
        <v/>
      </c>
      <c r="O2729">
        <f>K2729*L2729-M2729</f>
        <v/>
      </c>
      <c r="P2729">
        <f>TEXT(B2729,"yyyy-mm")</f>
        <v/>
      </c>
      <c r="Q2729">
        <f>IF(O2729&gt;=3000,"Large","Small")</f>
        <v/>
      </c>
      <c r="R2729">
        <f>INDEX(Products!$F$2:$F$49,MATCH(J2729,Products!$A$2:$A$49,0))</f>
        <v/>
      </c>
      <c r="S2729">
        <f>WEEKDAY(B2729,2)</f>
        <v/>
      </c>
    </row>
    <row r="2730">
      <c r="A2730" t="n">
        <v>510780</v>
      </c>
      <c r="B2730" s="6" t="n">
        <v>45973</v>
      </c>
      <c r="C2730" t="n">
        <v>15049</v>
      </c>
      <c r="D2730" t="inlineStr">
        <is>
          <t>Chandigarh</t>
        </is>
      </c>
      <c r="E2730" t="inlineStr">
        <is>
          <t>North</t>
        </is>
      </c>
      <c r="F2730" t="inlineStr">
        <is>
          <t>Organic Search</t>
        </is>
      </c>
      <c r="G2730" t="inlineStr">
        <is>
          <t>Mobile App</t>
        </is>
      </c>
      <c r="H2730" t="inlineStr">
        <is>
          <t>UPI</t>
        </is>
      </c>
      <c r="I2730" t="inlineStr">
        <is>
          <t>Delivered</t>
        </is>
      </c>
      <c r="J2730" t="n">
        <v>107</v>
      </c>
      <c r="K2730" t="n">
        <v>2</v>
      </c>
      <c r="L2730" t="n">
        <v>1259</v>
      </c>
      <c r="M2730" t="n">
        <v>0</v>
      </c>
      <c r="N2730">
        <f>VLOOKUP(J2730,Products!$A$2:$C$49,3,FALSE)</f>
        <v/>
      </c>
      <c r="O2730">
        <f>K2730*L2730-M2730</f>
        <v/>
      </c>
      <c r="P2730">
        <f>TEXT(B2730,"yyyy-mm")</f>
        <v/>
      </c>
      <c r="Q2730">
        <f>IF(O2730&gt;=3000,"Large","Small")</f>
        <v/>
      </c>
      <c r="R2730">
        <f>INDEX(Products!$F$2:$F$49,MATCH(J2730,Products!$A$2:$A$49,0))</f>
        <v/>
      </c>
      <c r="S2730">
        <f>WEEKDAY(B2730,2)</f>
        <v/>
      </c>
    </row>
    <row r="2731">
      <c r="A2731" t="n">
        <v>510780</v>
      </c>
      <c r="B2731" s="6" t="n">
        <v>45973</v>
      </c>
      <c r="C2731" t="n">
        <v>15049</v>
      </c>
      <c r="D2731" t="inlineStr">
        <is>
          <t>Chandigarh</t>
        </is>
      </c>
      <c r="E2731" t="inlineStr">
        <is>
          <t>North</t>
        </is>
      </c>
      <c r="F2731" t="inlineStr">
        <is>
          <t>Organic Search</t>
        </is>
      </c>
      <c r="G2731" t="inlineStr">
        <is>
          <t>Mobile App</t>
        </is>
      </c>
      <c r="H2731" t="inlineStr">
        <is>
          <t>UPI</t>
        </is>
      </c>
      <c r="I2731" t="inlineStr">
        <is>
          <t>Delivered</t>
        </is>
      </c>
      <c r="J2731" t="n">
        <v>131</v>
      </c>
      <c r="K2731" t="n">
        <v>1</v>
      </c>
      <c r="L2731" t="n">
        <v>314</v>
      </c>
      <c r="M2731" t="n">
        <v>0</v>
      </c>
      <c r="N2731">
        <f>VLOOKUP(J2731,Products!$A$2:$C$49,3,FALSE)</f>
        <v/>
      </c>
      <c r="O2731">
        <f>K2731*L2731-M2731</f>
        <v/>
      </c>
      <c r="P2731">
        <f>TEXT(B2731,"yyyy-mm")</f>
        <v/>
      </c>
      <c r="Q2731">
        <f>IF(O2731&gt;=3000,"Large","Small")</f>
        <v/>
      </c>
      <c r="R2731">
        <f>INDEX(Products!$F$2:$F$49,MATCH(J2731,Products!$A$2:$A$49,0))</f>
        <v/>
      </c>
      <c r="S2731">
        <f>WEEKDAY(B2731,2)</f>
        <v/>
      </c>
    </row>
    <row r="2732">
      <c r="A2732" t="n">
        <v>510781</v>
      </c>
      <c r="B2732" s="6" t="n">
        <v>45973</v>
      </c>
      <c r="C2732" t="n">
        <v>16011</v>
      </c>
      <c r="D2732" t="inlineStr">
        <is>
          <t>Delhi</t>
        </is>
      </c>
      <c r="E2732" t="inlineStr">
        <is>
          <t>North</t>
        </is>
      </c>
      <c r="F2732" t="inlineStr">
        <is>
          <t>Email</t>
        </is>
      </c>
      <c r="G2732" t="inlineStr">
        <is>
          <t>Mobile Web</t>
        </is>
      </c>
      <c r="H2732" t="inlineStr">
        <is>
          <t>Credit Card</t>
        </is>
      </c>
      <c r="I2732" t="inlineStr">
        <is>
          <t>Cancelled</t>
        </is>
      </c>
      <c r="J2732" t="n">
        <v>137</v>
      </c>
      <c r="K2732" t="n">
        <v>1</v>
      </c>
      <c r="L2732" t="n">
        <v>261</v>
      </c>
      <c r="M2732" t="n">
        <v>0</v>
      </c>
      <c r="N2732">
        <f>VLOOKUP(J2732,Products!$A$2:$C$49,3,FALSE)</f>
        <v/>
      </c>
      <c r="O2732">
        <f>K2732*L2732-M2732</f>
        <v/>
      </c>
      <c r="P2732">
        <f>TEXT(B2732,"yyyy-mm")</f>
        <v/>
      </c>
      <c r="Q2732">
        <f>IF(O2732&gt;=3000,"Large","Small")</f>
        <v/>
      </c>
      <c r="R2732">
        <f>INDEX(Products!$F$2:$F$49,MATCH(J2732,Products!$A$2:$A$49,0))</f>
        <v/>
      </c>
      <c r="S2732">
        <f>WEEKDAY(B2732,2)</f>
        <v/>
      </c>
    </row>
    <row r="2733">
      <c r="A2733" t="n">
        <v>510781</v>
      </c>
      <c r="B2733" s="6" t="n">
        <v>45973</v>
      </c>
      <c r="C2733" t="n">
        <v>16011</v>
      </c>
      <c r="D2733" t="inlineStr">
        <is>
          <t>Delhi</t>
        </is>
      </c>
      <c r="E2733" t="inlineStr">
        <is>
          <t>North</t>
        </is>
      </c>
      <c r="F2733" t="inlineStr">
        <is>
          <t>Email</t>
        </is>
      </c>
      <c r="G2733" t="inlineStr">
        <is>
          <t>Mobile Web</t>
        </is>
      </c>
      <c r="H2733" t="inlineStr">
        <is>
          <t>Credit Card</t>
        </is>
      </c>
      <c r="I2733" t="inlineStr">
        <is>
          <t>Cancelled</t>
        </is>
      </c>
      <c r="J2733" t="n">
        <v>120</v>
      </c>
      <c r="K2733" t="n">
        <v>1</v>
      </c>
      <c r="L2733" t="n">
        <v>734</v>
      </c>
      <c r="M2733" t="n">
        <v>0</v>
      </c>
      <c r="N2733">
        <f>VLOOKUP(J2733,Products!$A$2:$C$49,3,FALSE)</f>
        <v/>
      </c>
      <c r="O2733">
        <f>K2733*L2733-M2733</f>
        <v/>
      </c>
      <c r="P2733">
        <f>TEXT(B2733,"yyyy-mm")</f>
        <v/>
      </c>
      <c r="Q2733">
        <f>IF(O2733&gt;=3000,"Large","Small")</f>
        <v/>
      </c>
      <c r="R2733">
        <f>INDEX(Products!$F$2:$F$49,MATCH(J2733,Products!$A$2:$A$49,0))</f>
        <v/>
      </c>
      <c r="S2733">
        <f>WEEKDAY(B2733,2)</f>
        <v/>
      </c>
    </row>
    <row r="2734">
      <c r="A2734" t="n">
        <v>510782</v>
      </c>
      <c r="B2734" s="6" t="n">
        <v>45973</v>
      </c>
      <c r="C2734" t="n">
        <v>17268</v>
      </c>
      <c r="D2734" t="inlineStr">
        <is>
          <t>Delhi</t>
        </is>
      </c>
      <c r="E2734" t="inlineStr">
        <is>
          <t>North</t>
        </is>
      </c>
      <c r="F2734" t="inlineStr">
        <is>
          <t>Paid Social</t>
        </is>
      </c>
      <c r="G2734" t="inlineStr">
        <is>
          <t>Mobile Web</t>
        </is>
      </c>
      <c r="H2734" t="inlineStr">
        <is>
          <t>Credit Card</t>
        </is>
      </c>
      <c r="I2734" t="inlineStr">
        <is>
          <t>Returned</t>
        </is>
      </c>
      <c r="J2734" t="n">
        <v>110</v>
      </c>
      <c r="K2734" t="n">
        <v>1</v>
      </c>
      <c r="L2734" t="n">
        <v>839</v>
      </c>
      <c r="M2734" t="n">
        <v>0</v>
      </c>
      <c r="N2734">
        <f>VLOOKUP(J2734,Products!$A$2:$C$49,3,FALSE)</f>
        <v/>
      </c>
      <c r="O2734">
        <f>K2734*L2734-M2734</f>
        <v/>
      </c>
      <c r="P2734">
        <f>TEXT(B2734,"yyyy-mm")</f>
        <v/>
      </c>
      <c r="Q2734">
        <f>IF(O2734&gt;=3000,"Large","Small")</f>
        <v/>
      </c>
      <c r="R2734">
        <f>INDEX(Products!$F$2:$F$49,MATCH(J2734,Products!$A$2:$A$49,0))</f>
        <v/>
      </c>
      <c r="S2734">
        <f>WEEKDAY(B2734,2)</f>
        <v/>
      </c>
    </row>
    <row r="2735">
      <c r="A2735" t="n">
        <v>510782</v>
      </c>
      <c r="B2735" s="6" t="n">
        <v>45973</v>
      </c>
      <c r="C2735" t="n">
        <v>17268</v>
      </c>
      <c r="D2735" t="inlineStr">
        <is>
          <t>Delhi</t>
        </is>
      </c>
      <c r="E2735" t="inlineStr">
        <is>
          <t>North</t>
        </is>
      </c>
      <c r="F2735" t="inlineStr">
        <is>
          <t>Paid Social</t>
        </is>
      </c>
      <c r="G2735" t="inlineStr">
        <is>
          <t>Mobile Web</t>
        </is>
      </c>
      <c r="H2735" t="inlineStr">
        <is>
          <t>Credit Card</t>
        </is>
      </c>
      <c r="I2735" t="inlineStr">
        <is>
          <t>Returned</t>
        </is>
      </c>
      <c r="J2735" t="n">
        <v>109</v>
      </c>
      <c r="K2735" t="n">
        <v>1</v>
      </c>
      <c r="L2735" t="n">
        <v>4199</v>
      </c>
      <c r="M2735" t="n">
        <v>0</v>
      </c>
      <c r="N2735">
        <f>VLOOKUP(J2735,Products!$A$2:$C$49,3,FALSE)</f>
        <v/>
      </c>
      <c r="O2735">
        <f>K2735*L2735-M2735</f>
        <v/>
      </c>
      <c r="P2735">
        <f>TEXT(B2735,"yyyy-mm")</f>
        <v/>
      </c>
      <c r="Q2735">
        <f>IF(O2735&gt;=3000,"Large","Small")</f>
        <v/>
      </c>
      <c r="R2735">
        <f>INDEX(Products!$F$2:$F$49,MATCH(J2735,Products!$A$2:$A$49,0))</f>
        <v/>
      </c>
      <c r="S2735">
        <f>WEEKDAY(B2735,2)</f>
        <v/>
      </c>
    </row>
    <row r="2736">
      <c r="A2736" t="n">
        <v>510782</v>
      </c>
      <c r="B2736" s="6" t="n">
        <v>45973</v>
      </c>
      <c r="C2736" t="n">
        <v>17268</v>
      </c>
      <c r="D2736" t="inlineStr">
        <is>
          <t>Delhi</t>
        </is>
      </c>
      <c r="E2736" t="inlineStr">
        <is>
          <t>North</t>
        </is>
      </c>
      <c r="F2736" t="inlineStr">
        <is>
          <t>Paid Social</t>
        </is>
      </c>
      <c r="G2736" t="inlineStr">
        <is>
          <t>Mobile Web</t>
        </is>
      </c>
      <c r="H2736" t="inlineStr">
        <is>
          <t>Credit Card</t>
        </is>
      </c>
      <c r="I2736" t="inlineStr">
        <is>
          <t>Returned</t>
        </is>
      </c>
      <c r="J2736" t="n">
        <v>136</v>
      </c>
      <c r="K2736" t="n">
        <v>1</v>
      </c>
      <c r="L2736" t="n">
        <v>944</v>
      </c>
      <c r="M2736" t="n">
        <v>0</v>
      </c>
      <c r="N2736">
        <f>VLOOKUP(J2736,Products!$A$2:$C$49,3,FALSE)</f>
        <v/>
      </c>
      <c r="O2736">
        <f>K2736*L2736-M2736</f>
        <v/>
      </c>
      <c r="P2736">
        <f>TEXT(B2736,"yyyy-mm")</f>
        <v/>
      </c>
      <c r="Q2736">
        <f>IF(O2736&gt;=3000,"Large","Small")</f>
        <v/>
      </c>
      <c r="R2736">
        <f>INDEX(Products!$F$2:$F$49,MATCH(J2736,Products!$A$2:$A$49,0))</f>
        <v/>
      </c>
      <c r="S2736">
        <f>WEEKDAY(B2736,2)</f>
        <v/>
      </c>
    </row>
    <row r="2737">
      <c r="A2737" t="n">
        <v>510783</v>
      </c>
      <c r="B2737" s="6" t="n">
        <v>45973</v>
      </c>
      <c r="C2737" t="n">
        <v>17223</v>
      </c>
      <c r="D2737" t="inlineStr">
        <is>
          <t>Kolkata</t>
        </is>
      </c>
      <c r="E2737" t="inlineStr">
        <is>
          <t>East</t>
        </is>
      </c>
      <c r="F2737" t="inlineStr">
        <is>
          <t>Paid Search</t>
        </is>
      </c>
      <c r="G2737" t="inlineStr">
        <is>
          <t>Mobile App</t>
        </is>
      </c>
      <c r="H2737" t="inlineStr">
        <is>
          <t>Credit Card</t>
        </is>
      </c>
      <c r="I2737" t="inlineStr">
        <is>
          <t>Delivered</t>
        </is>
      </c>
      <c r="J2737" t="n">
        <v>133</v>
      </c>
      <c r="K2737" t="n">
        <v>1</v>
      </c>
      <c r="L2737" t="n">
        <v>419</v>
      </c>
      <c r="M2737" t="n">
        <v>0</v>
      </c>
      <c r="N2737">
        <f>VLOOKUP(J2737,Products!$A$2:$C$49,3,FALSE)</f>
        <v/>
      </c>
      <c r="O2737">
        <f>K2737*L2737-M2737</f>
        <v/>
      </c>
      <c r="P2737">
        <f>TEXT(B2737,"yyyy-mm")</f>
        <v/>
      </c>
      <c r="Q2737">
        <f>IF(O2737&gt;=3000,"Large","Small")</f>
        <v/>
      </c>
      <c r="R2737">
        <f>INDEX(Products!$F$2:$F$49,MATCH(J2737,Products!$A$2:$A$49,0))</f>
        <v/>
      </c>
      <c r="S2737">
        <f>WEEKDAY(B2737,2)</f>
        <v/>
      </c>
    </row>
    <row r="2738">
      <c r="A2738" t="n">
        <v>510783</v>
      </c>
      <c r="B2738" s="6" t="n">
        <v>45973</v>
      </c>
      <c r="C2738" t="n">
        <v>17223</v>
      </c>
      <c r="D2738" t="inlineStr">
        <is>
          <t>Kolkata</t>
        </is>
      </c>
      <c r="E2738" t="inlineStr">
        <is>
          <t>East</t>
        </is>
      </c>
      <c r="F2738" t="inlineStr">
        <is>
          <t>Paid Search</t>
        </is>
      </c>
      <c r="G2738" t="inlineStr">
        <is>
          <t>Mobile App</t>
        </is>
      </c>
      <c r="H2738" t="inlineStr">
        <is>
          <t>Credit Card</t>
        </is>
      </c>
      <c r="I2738" t="inlineStr">
        <is>
          <t>Delivered</t>
        </is>
      </c>
      <c r="J2738" t="n">
        <v>136</v>
      </c>
      <c r="K2738" t="n">
        <v>2</v>
      </c>
      <c r="L2738" t="n">
        <v>944</v>
      </c>
      <c r="M2738" t="n">
        <v>0</v>
      </c>
      <c r="N2738">
        <f>VLOOKUP(J2738,Products!$A$2:$C$49,3,FALSE)</f>
        <v/>
      </c>
      <c r="O2738">
        <f>K2738*L2738-M2738</f>
        <v/>
      </c>
      <c r="P2738">
        <f>TEXT(B2738,"yyyy-mm")</f>
        <v/>
      </c>
      <c r="Q2738">
        <f>IF(O2738&gt;=3000,"Large","Small")</f>
        <v/>
      </c>
      <c r="R2738">
        <f>INDEX(Products!$F$2:$F$49,MATCH(J2738,Products!$A$2:$A$49,0))</f>
        <v/>
      </c>
      <c r="S2738">
        <f>WEEKDAY(B2738,2)</f>
        <v/>
      </c>
    </row>
    <row r="2739">
      <c r="A2739" t="n">
        <v>510784</v>
      </c>
      <c r="B2739" s="6" t="n">
        <v>45973</v>
      </c>
      <c r="C2739" t="n">
        <v>13842</v>
      </c>
      <c r="D2739" t="inlineStr">
        <is>
          <t>Bengaluru</t>
        </is>
      </c>
      <c r="E2739" t="inlineStr">
        <is>
          <t>South</t>
        </is>
      </c>
      <c r="F2739" t="inlineStr">
        <is>
          <t>Email</t>
        </is>
      </c>
      <c r="G2739" t="inlineStr">
        <is>
          <t>Mobile App</t>
        </is>
      </c>
      <c r="H2739" t="inlineStr">
        <is>
          <t>Credit Card</t>
        </is>
      </c>
      <c r="I2739" t="inlineStr">
        <is>
          <t>Returned</t>
        </is>
      </c>
      <c r="J2739" t="n">
        <v>126</v>
      </c>
      <c r="K2739" t="n">
        <v>1</v>
      </c>
      <c r="L2739" t="n">
        <v>471</v>
      </c>
      <c r="M2739" t="n">
        <v>0</v>
      </c>
      <c r="N2739">
        <f>VLOOKUP(J2739,Products!$A$2:$C$49,3,FALSE)</f>
        <v/>
      </c>
      <c r="O2739">
        <f>K2739*L2739-M2739</f>
        <v/>
      </c>
      <c r="P2739">
        <f>TEXT(B2739,"yyyy-mm")</f>
        <v/>
      </c>
      <c r="Q2739">
        <f>IF(O2739&gt;=3000,"Large","Small")</f>
        <v/>
      </c>
      <c r="R2739">
        <f>INDEX(Products!$F$2:$F$49,MATCH(J2739,Products!$A$2:$A$49,0))</f>
        <v/>
      </c>
      <c r="S2739">
        <f>WEEKDAY(B2739,2)</f>
        <v/>
      </c>
    </row>
    <row r="2740">
      <c r="A2740" t="n">
        <v>510785</v>
      </c>
      <c r="B2740" s="6" t="n">
        <v>45973</v>
      </c>
      <c r="C2740" t="n">
        <v>16764</v>
      </c>
      <c r="D2740" t="inlineStr">
        <is>
          <t>Ahmedabad</t>
        </is>
      </c>
      <c r="E2740" t="inlineStr">
        <is>
          <t>West</t>
        </is>
      </c>
      <c r="F2740" t="inlineStr">
        <is>
          <t>Paid Social</t>
        </is>
      </c>
      <c r="G2740" t="inlineStr">
        <is>
          <t>Desktop</t>
        </is>
      </c>
      <c r="H2740" t="inlineStr">
        <is>
          <t>UPI</t>
        </is>
      </c>
      <c r="I2740" t="inlineStr">
        <is>
          <t>Delivered</t>
        </is>
      </c>
      <c r="J2740" t="n">
        <v>145</v>
      </c>
      <c r="K2740" t="n">
        <v>1</v>
      </c>
      <c r="L2740" t="n">
        <v>629</v>
      </c>
      <c r="M2740" t="n">
        <v>0</v>
      </c>
      <c r="N2740">
        <f>VLOOKUP(J2740,Products!$A$2:$C$49,3,FALSE)</f>
        <v/>
      </c>
      <c r="O2740">
        <f>K2740*L2740-M2740</f>
        <v/>
      </c>
      <c r="P2740">
        <f>TEXT(B2740,"yyyy-mm")</f>
        <v/>
      </c>
      <c r="Q2740">
        <f>IF(O2740&gt;=3000,"Large","Small")</f>
        <v/>
      </c>
      <c r="R2740">
        <f>INDEX(Products!$F$2:$F$49,MATCH(J2740,Products!$A$2:$A$49,0))</f>
        <v/>
      </c>
      <c r="S2740">
        <f>WEEKDAY(B2740,2)</f>
        <v/>
      </c>
    </row>
    <row r="2741">
      <c r="A2741" t="n">
        <v>510786</v>
      </c>
      <c r="B2741" s="6" t="n">
        <v>45973</v>
      </c>
      <c r="C2741" t="n">
        <v>13778</v>
      </c>
      <c r="D2741" t="inlineStr">
        <is>
          <t>Hyderabad</t>
        </is>
      </c>
      <c r="E2741" t="inlineStr">
        <is>
          <t>South</t>
        </is>
      </c>
      <c r="F2741" t="inlineStr">
        <is>
          <t>Organic Search</t>
        </is>
      </c>
      <c r="G2741" t="inlineStr">
        <is>
          <t>Mobile App</t>
        </is>
      </c>
      <c r="H2741" t="inlineStr">
        <is>
          <t>Cash on Delivery</t>
        </is>
      </c>
      <c r="I2741" t="inlineStr">
        <is>
          <t>Delivered</t>
        </is>
      </c>
      <c r="J2741" t="n">
        <v>126</v>
      </c>
      <c r="K2741" t="n">
        <v>1</v>
      </c>
      <c r="L2741" t="n">
        <v>471</v>
      </c>
      <c r="M2741" t="n">
        <v>0</v>
      </c>
      <c r="N2741">
        <f>VLOOKUP(J2741,Products!$A$2:$C$49,3,FALSE)</f>
        <v/>
      </c>
      <c r="O2741">
        <f>K2741*L2741-M2741</f>
        <v/>
      </c>
      <c r="P2741">
        <f>TEXT(B2741,"yyyy-mm")</f>
        <v/>
      </c>
      <c r="Q2741">
        <f>IF(O2741&gt;=3000,"Large","Small")</f>
        <v/>
      </c>
      <c r="R2741">
        <f>INDEX(Products!$F$2:$F$49,MATCH(J2741,Products!$A$2:$A$49,0))</f>
        <v/>
      </c>
      <c r="S2741">
        <f>WEEKDAY(B2741,2)</f>
        <v/>
      </c>
    </row>
    <row r="2742">
      <c r="A2742" t="n">
        <v>510787</v>
      </c>
      <c r="B2742" s="6" t="n">
        <v>45973</v>
      </c>
      <c r="C2742" t="n">
        <v>17284</v>
      </c>
      <c r="D2742" t="inlineStr">
        <is>
          <t>Lucknow</t>
        </is>
      </c>
      <c r="E2742" t="inlineStr">
        <is>
          <t>North</t>
        </is>
      </c>
      <c r="F2742" t="inlineStr">
        <is>
          <t>Paid Search</t>
        </is>
      </c>
      <c r="G2742" t="inlineStr">
        <is>
          <t>Mobile App</t>
        </is>
      </c>
      <c r="H2742" t="inlineStr">
        <is>
          <t>Cash on Delivery</t>
        </is>
      </c>
      <c r="I2742" t="inlineStr">
        <is>
          <t>Delivered</t>
        </is>
      </c>
      <c r="J2742" t="n">
        <v>104</v>
      </c>
      <c r="K2742" t="n">
        <v>1</v>
      </c>
      <c r="L2742" t="n">
        <v>5249</v>
      </c>
      <c r="M2742" t="n">
        <v>0</v>
      </c>
      <c r="N2742">
        <f>VLOOKUP(J2742,Products!$A$2:$C$49,3,FALSE)</f>
        <v/>
      </c>
      <c r="O2742">
        <f>K2742*L2742-M2742</f>
        <v/>
      </c>
      <c r="P2742">
        <f>TEXT(B2742,"yyyy-mm")</f>
        <v/>
      </c>
      <c r="Q2742">
        <f>IF(O2742&gt;=3000,"Large","Small")</f>
        <v/>
      </c>
      <c r="R2742">
        <f>INDEX(Products!$F$2:$F$49,MATCH(J2742,Products!$A$2:$A$49,0))</f>
        <v/>
      </c>
      <c r="S2742">
        <f>WEEKDAY(B2742,2)</f>
        <v/>
      </c>
    </row>
    <row r="2743">
      <c r="A2743" t="n">
        <v>510787</v>
      </c>
      <c r="B2743" s="6" t="n">
        <v>45973</v>
      </c>
      <c r="C2743" t="n">
        <v>17284</v>
      </c>
      <c r="D2743" t="inlineStr">
        <is>
          <t>Lucknow</t>
        </is>
      </c>
      <c r="E2743" t="inlineStr">
        <is>
          <t>North</t>
        </is>
      </c>
      <c r="F2743" t="inlineStr">
        <is>
          <t>Paid Search</t>
        </is>
      </c>
      <c r="G2743" t="inlineStr">
        <is>
          <t>Mobile App</t>
        </is>
      </c>
      <c r="H2743" t="inlineStr">
        <is>
          <t>Cash on Delivery</t>
        </is>
      </c>
      <c r="I2743" t="inlineStr">
        <is>
          <t>Delivered</t>
        </is>
      </c>
      <c r="J2743" t="n">
        <v>111</v>
      </c>
      <c r="K2743" t="n">
        <v>1</v>
      </c>
      <c r="L2743" t="n">
        <v>524</v>
      </c>
      <c r="M2743" t="n">
        <v>0</v>
      </c>
      <c r="N2743">
        <f>VLOOKUP(J2743,Products!$A$2:$C$49,3,FALSE)</f>
        <v/>
      </c>
      <c r="O2743">
        <f>K2743*L2743-M2743</f>
        <v/>
      </c>
      <c r="P2743">
        <f>TEXT(B2743,"yyyy-mm")</f>
        <v/>
      </c>
      <c r="Q2743">
        <f>IF(O2743&gt;=3000,"Large","Small")</f>
        <v/>
      </c>
      <c r="R2743">
        <f>INDEX(Products!$F$2:$F$49,MATCH(J2743,Products!$A$2:$A$49,0))</f>
        <v/>
      </c>
      <c r="S2743">
        <f>WEEKDAY(B2743,2)</f>
        <v/>
      </c>
    </row>
    <row r="2744">
      <c r="A2744" t="n">
        <v>510788</v>
      </c>
      <c r="B2744" s="6" t="n">
        <v>45973</v>
      </c>
      <c r="C2744" t="n">
        <v>17241</v>
      </c>
      <c r="D2744" t="inlineStr">
        <is>
          <t>Noida</t>
        </is>
      </c>
      <c r="E2744" t="inlineStr">
        <is>
          <t>North</t>
        </is>
      </c>
      <c r="F2744" t="inlineStr">
        <is>
          <t>Email</t>
        </is>
      </c>
      <c r="G2744" t="inlineStr">
        <is>
          <t>Desktop</t>
        </is>
      </c>
      <c r="H2744" t="inlineStr">
        <is>
          <t>Debit Card</t>
        </is>
      </c>
      <c r="I2744" t="inlineStr">
        <is>
          <t>Returned</t>
        </is>
      </c>
      <c r="J2744" t="n">
        <v>116</v>
      </c>
      <c r="K2744" t="n">
        <v>1</v>
      </c>
      <c r="L2744" t="n">
        <v>2624</v>
      </c>
      <c r="M2744" t="n">
        <v>393.6</v>
      </c>
      <c r="N2744">
        <f>VLOOKUP(J2744,Products!$A$2:$C$49,3,FALSE)</f>
        <v/>
      </c>
      <c r="O2744">
        <f>K2744*L2744-M2744</f>
        <v/>
      </c>
      <c r="P2744">
        <f>TEXT(B2744,"yyyy-mm")</f>
        <v/>
      </c>
      <c r="Q2744">
        <f>IF(O2744&gt;=3000,"Large","Small")</f>
        <v/>
      </c>
      <c r="R2744">
        <f>INDEX(Products!$F$2:$F$49,MATCH(J2744,Products!$A$2:$A$49,0))</f>
        <v/>
      </c>
      <c r="S2744">
        <f>WEEKDAY(B2744,2)</f>
        <v/>
      </c>
    </row>
    <row r="2745">
      <c r="A2745" t="n">
        <v>510789</v>
      </c>
      <c r="B2745" s="6" t="n">
        <v>45973</v>
      </c>
      <c r="C2745" t="n">
        <v>17199</v>
      </c>
      <c r="D2745" t="inlineStr">
        <is>
          <t>Delhi</t>
        </is>
      </c>
      <c r="E2745" t="inlineStr">
        <is>
          <t>North</t>
        </is>
      </c>
      <c r="F2745" t="inlineStr">
        <is>
          <t>Organic Search</t>
        </is>
      </c>
      <c r="G2745" t="inlineStr">
        <is>
          <t>Mobile Web</t>
        </is>
      </c>
      <c r="H2745" t="inlineStr">
        <is>
          <t>Cash on Delivery</t>
        </is>
      </c>
      <c r="I2745" t="inlineStr">
        <is>
          <t>Delivered</t>
        </is>
      </c>
      <c r="J2745" t="n">
        <v>101</v>
      </c>
      <c r="K2745" t="n">
        <v>1</v>
      </c>
      <c r="L2745" t="n">
        <v>2099</v>
      </c>
      <c r="M2745" t="n">
        <v>0</v>
      </c>
      <c r="N2745">
        <f>VLOOKUP(J2745,Products!$A$2:$C$49,3,FALSE)</f>
        <v/>
      </c>
      <c r="O2745">
        <f>K2745*L2745-M2745</f>
        <v/>
      </c>
      <c r="P2745">
        <f>TEXT(B2745,"yyyy-mm")</f>
        <v/>
      </c>
      <c r="Q2745">
        <f>IF(O2745&gt;=3000,"Large","Small")</f>
        <v/>
      </c>
      <c r="R2745">
        <f>INDEX(Products!$F$2:$F$49,MATCH(J2745,Products!$A$2:$A$49,0))</f>
        <v/>
      </c>
      <c r="S2745">
        <f>WEEKDAY(B2745,2)</f>
        <v/>
      </c>
    </row>
    <row r="2746">
      <c r="A2746" t="n">
        <v>510790</v>
      </c>
      <c r="B2746" s="6" t="n">
        <v>45973</v>
      </c>
      <c r="C2746" t="n">
        <v>17027</v>
      </c>
      <c r="D2746" t="inlineStr">
        <is>
          <t>Lucknow</t>
        </is>
      </c>
      <c r="E2746" t="inlineStr">
        <is>
          <t>North</t>
        </is>
      </c>
      <c r="F2746" t="inlineStr">
        <is>
          <t>Email</t>
        </is>
      </c>
      <c r="G2746" t="inlineStr">
        <is>
          <t>Mobile App</t>
        </is>
      </c>
      <c r="H2746" t="inlineStr">
        <is>
          <t>Cash on Delivery</t>
        </is>
      </c>
      <c r="I2746" t="inlineStr">
        <is>
          <t>Delivered</t>
        </is>
      </c>
      <c r="J2746" t="n">
        <v>120</v>
      </c>
      <c r="K2746" t="n">
        <v>1</v>
      </c>
      <c r="L2746" t="n">
        <v>734</v>
      </c>
      <c r="M2746" t="n">
        <v>0</v>
      </c>
      <c r="N2746">
        <f>VLOOKUP(J2746,Products!$A$2:$C$49,3,FALSE)</f>
        <v/>
      </c>
      <c r="O2746">
        <f>K2746*L2746-M2746</f>
        <v/>
      </c>
      <c r="P2746">
        <f>TEXT(B2746,"yyyy-mm")</f>
        <v/>
      </c>
      <c r="Q2746">
        <f>IF(O2746&gt;=3000,"Large","Small")</f>
        <v/>
      </c>
      <c r="R2746">
        <f>INDEX(Products!$F$2:$F$49,MATCH(J2746,Products!$A$2:$A$49,0))</f>
        <v/>
      </c>
      <c r="S2746">
        <f>WEEKDAY(B2746,2)</f>
        <v/>
      </c>
    </row>
    <row r="2747">
      <c r="A2747" t="n">
        <v>510791</v>
      </c>
      <c r="B2747" s="6" t="n">
        <v>45974</v>
      </c>
      <c r="C2747" t="n">
        <v>16083</v>
      </c>
      <c r="D2747" t="inlineStr">
        <is>
          <t>Kochi</t>
        </is>
      </c>
      <c r="E2747" t="inlineStr">
        <is>
          <t>South</t>
        </is>
      </c>
      <c r="F2747" t="inlineStr">
        <is>
          <t>Paid Search</t>
        </is>
      </c>
      <c r="G2747" t="inlineStr">
        <is>
          <t>Desktop</t>
        </is>
      </c>
      <c r="H2747" t="inlineStr">
        <is>
          <t>UPI</t>
        </is>
      </c>
      <c r="I2747" t="inlineStr">
        <is>
          <t>Delivered</t>
        </is>
      </c>
      <c r="J2747" t="n">
        <v>127</v>
      </c>
      <c r="K2747" t="n">
        <v>1</v>
      </c>
      <c r="L2747" t="n">
        <v>681</v>
      </c>
      <c r="M2747" t="n">
        <v>34.05</v>
      </c>
      <c r="N2747">
        <f>VLOOKUP(J2747,Products!$A$2:$C$49,3,FALSE)</f>
        <v/>
      </c>
      <c r="O2747">
        <f>K2747*L2747-M2747</f>
        <v/>
      </c>
      <c r="P2747">
        <f>TEXT(B2747,"yyyy-mm")</f>
        <v/>
      </c>
      <c r="Q2747">
        <f>IF(O2747&gt;=3000,"Large","Small")</f>
        <v/>
      </c>
      <c r="R2747">
        <f>INDEX(Products!$F$2:$F$49,MATCH(J2747,Products!$A$2:$A$49,0))</f>
        <v/>
      </c>
      <c r="S2747">
        <f>WEEKDAY(B2747,2)</f>
        <v/>
      </c>
    </row>
    <row r="2748">
      <c r="A2748" t="n">
        <v>510792</v>
      </c>
      <c r="B2748" s="6" t="n">
        <v>45974</v>
      </c>
      <c r="C2748" t="n">
        <v>17329</v>
      </c>
      <c r="D2748" t="inlineStr">
        <is>
          <t>Ahmedabad</t>
        </is>
      </c>
      <c r="E2748" t="inlineStr">
        <is>
          <t>West</t>
        </is>
      </c>
      <c r="F2748" t="inlineStr">
        <is>
          <t>Organic Search</t>
        </is>
      </c>
      <c r="G2748" t="inlineStr">
        <is>
          <t>Desktop</t>
        </is>
      </c>
      <c r="H2748" t="inlineStr">
        <is>
          <t>Cash on Delivery</t>
        </is>
      </c>
      <c r="I2748" t="inlineStr">
        <is>
          <t>Returned</t>
        </is>
      </c>
      <c r="J2748" t="n">
        <v>111</v>
      </c>
      <c r="K2748" t="n">
        <v>1</v>
      </c>
      <c r="L2748" t="n">
        <v>524</v>
      </c>
      <c r="M2748" t="n">
        <v>0</v>
      </c>
      <c r="N2748">
        <f>VLOOKUP(J2748,Products!$A$2:$C$49,3,FALSE)</f>
        <v/>
      </c>
      <c r="O2748">
        <f>K2748*L2748-M2748</f>
        <v/>
      </c>
      <c r="P2748">
        <f>TEXT(B2748,"yyyy-mm")</f>
        <v/>
      </c>
      <c r="Q2748">
        <f>IF(O2748&gt;=3000,"Large","Small")</f>
        <v/>
      </c>
      <c r="R2748">
        <f>INDEX(Products!$F$2:$F$49,MATCH(J2748,Products!$A$2:$A$49,0))</f>
        <v/>
      </c>
      <c r="S2748">
        <f>WEEKDAY(B2748,2)</f>
        <v/>
      </c>
    </row>
    <row r="2749">
      <c r="A2749" t="n">
        <v>510793</v>
      </c>
      <c r="B2749" s="6" t="n">
        <v>45974</v>
      </c>
      <c r="C2749" t="n">
        <v>13999</v>
      </c>
      <c r="D2749" t="inlineStr">
        <is>
          <t>Mumbai</t>
        </is>
      </c>
      <c r="E2749" t="inlineStr">
        <is>
          <t>West</t>
        </is>
      </c>
      <c r="F2749" t="inlineStr">
        <is>
          <t>Referral</t>
        </is>
      </c>
      <c r="G2749" t="inlineStr">
        <is>
          <t>Mobile Web</t>
        </is>
      </c>
      <c r="H2749" t="inlineStr">
        <is>
          <t>UPI</t>
        </is>
      </c>
      <c r="I2749" t="inlineStr">
        <is>
          <t>Delivered</t>
        </is>
      </c>
      <c r="J2749" t="n">
        <v>147</v>
      </c>
      <c r="K2749" t="n">
        <v>2</v>
      </c>
      <c r="L2749" t="n">
        <v>1364</v>
      </c>
      <c r="M2749" t="n">
        <v>0</v>
      </c>
      <c r="N2749">
        <f>VLOOKUP(J2749,Products!$A$2:$C$49,3,FALSE)</f>
        <v/>
      </c>
      <c r="O2749">
        <f>K2749*L2749-M2749</f>
        <v/>
      </c>
      <c r="P2749">
        <f>TEXT(B2749,"yyyy-mm")</f>
        <v/>
      </c>
      <c r="Q2749">
        <f>IF(O2749&gt;=3000,"Large","Small")</f>
        <v/>
      </c>
      <c r="R2749">
        <f>INDEX(Products!$F$2:$F$49,MATCH(J2749,Products!$A$2:$A$49,0))</f>
        <v/>
      </c>
      <c r="S2749">
        <f>WEEKDAY(B2749,2)</f>
        <v/>
      </c>
    </row>
    <row r="2750">
      <c r="A2750" t="n">
        <v>510794</v>
      </c>
      <c r="B2750" s="6" t="n">
        <v>45974</v>
      </c>
      <c r="C2750" t="n">
        <v>17309</v>
      </c>
      <c r="D2750" t="inlineStr">
        <is>
          <t>Mumbai</t>
        </is>
      </c>
      <c r="E2750" t="inlineStr">
        <is>
          <t>West</t>
        </is>
      </c>
      <c r="F2750" t="inlineStr">
        <is>
          <t>Organic Search</t>
        </is>
      </c>
      <c r="G2750" t="inlineStr">
        <is>
          <t>Mobile App</t>
        </is>
      </c>
      <c r="H2750" t="inlineStr">
        <is>
          <t>Cash on Delivery</t>
        </is>
      </c>
      <c r="I2750" t="inlineStr">
        <is>
          <t>Delivered</t>
        </is>
      </c>
      <c r="J2750" t="n">
        <v>112</v>
      </c>
      <c r="K2750" t="n">
        <v>1</v>
      </c>
      <c r="L2750" t="n">
        <v>1574</v>
      </c>
      <c r="M2750" t="n">
        <v>78.7</v>
      </c>
      <c r="N2750">
        <f>VLOOKUP(J2750,Products!$A$2:$C$49,3,FALSE)</f>
        <v/>
      </c>
      <c r="O2750">
        <f>K2750*L2750-M2750</f>
        <v/>
      </c>
      <c r="P2750">
        <f>TEXT(B2750,"yyyy-mm")</f>
        <v/>
      </c>
      <c r="Q2750">
        <f>IF(O2750&gt;=3000,"Large","Small")</f>
        <v/>
      </c>
      <c r="R2750">
        <f>INDEX(Products!$F$2:$F$49,MATCH(J2750,Products!$A$2:$A$49,0))</f>
        <v/>
      </c>
      <c r="S2750">
        <f>WEEKDAY(B2750,2)</f>
        <v/>
      </c>
    </row>
    <row r="2751">
      <c r="A2751" t="n">
        <v>510795</v>
      </c>
      <c r="B2751" s="6" t="n">
        <v>45974</v>
      </c>
      <c r="C2751" t="n">
        <v>14588</v>
      </c>
      <c r="D2751" t="inlineStr">
        <is>
          <t>Ahmedabad</t>
        </is>
      </c>
      <c r="E2751" t="inlineStr">
        <is>
          <t>West</t>
        </is>
      </c>
      <c r="F2751" t="inlineStr">
        <is>
          <t>Organic Search</t>
        </is>
      </c>
      <c r="G2751" t="inlineStr">
        <is>
          <t>Mobile App</t>
        </is>
      </c>
      <c r="H2751" t="inlineStr">
        <is>
          <t>UPI</t>
        </is>
      </c>
      <c r="I2751" t="inlineStr">
        <is>
          <t>Delivered</t>
        </is>
      </c>
      <c r="J2751" t="n">
        <v>109</v>
      </c>
      <c r="K2751" t="n">
        <v>1</v>
      </c>
      <c r="L2751" t="n">
        <v>4199</v>
      </c>
      <c r="M2751" t="n">
        <v>0</v>
      </c>
      <c r="N2751">
        <f>VLOOKUP(J2751,Products!$A$2:$C$49,3,FALSE)</f>
        <v/>
      </c>
      <c r="O2751">
        <f>K2751*L2751-M2751</f>
        <v/>
      </c>
      <c r="P2751">
        <f>TEXT(B2751,"yyyy-mm")</f>
        <v/>
      </c>
      <c r="Q2751">
        <f>IF(O2751&gt;=3000,"Large","Small")</f>
        <v/>
      </c>
      <c r="R2751">
        <f>INDEX(Products!$F$2:$F$49,MATCH(J2751,Products!$A$2:$A$49,0))</f>
        <v/>
      </c>
      <c r="S2751">
        <f>WEEKDAY(B2751,2)</f>
        <v/>
      </c>
    </row>
    <row r="2752">
      <c r="A2752" t="n">
        <v>510795</v>
      </c>
      <c r="B2752" s="6" t="n">
        <v>45974</v>
      </c>
      <c r="C2752" t="n">
        <v>14588</v>
      </c>
      <c r="D2752" t="inlineStr">
        <is>
          <t>Ahmedabad</t>
        </is>
      </c>
      <c r="E2752" t="inlineStr">
        <is>
          <t>West</t>
        </is>
      </c>
      <c r="F2752" t="inlineStr">
        <is>
          <t>Organic Search</t>
        </is>
      </c>
      <c r="G2752" t="inlineStr">
        <is>
          <t>Mobile App</t>
        </is>
      </c>
      <c r="H2752" t="inlineStr">
        <is>
          <t>UPI</t>
        </is>
      </c>
      <c r="I2752" t="inlineStr">
        <is>
          <t>Delivered</t>
        </is>
      </c>
      <c r="J2752" t="n">
        <v>113</v>
      </c>
      <c r="K2752" t="n">
        <v>1</v>
      </c>
      <c r="L2752" t="n">
        <v>1364</v>
      </c>
      <c r="M2752" t="n">
        <v>0</v>
      </c>
      <c r="N2752">
        <f>VLOOKUP(J2752,Products!$A$2:$C$49,3,FALSE)</f>
        <v/>
      </c>
      <c r="O2752">
        <f>K2752*L2752-M2752</f>
        <v/>
      </c>
      <c r="P2752">
        <f>TEXT(B2752,"yyyy-mm")</f>
        <v/>
      </c>
      <c r="Q2752">
        <f>IF(O2752&gt;=3000,"Large","Small")</f>
        <v/>
      </c>
      <c r="R2752">
        <f>INDEX(Products!$F$2:$F$49,MATCH(J2752,Products!$A$2:$A$49,0))</f>
        <v/>
      </c>
      <c r="S2752">
        <f>WEEKDAY(B2752,2)</f>
        <v/>
      </c>
    </row>
    <row r="2753">
      <c r="A2753" t="n">
        <v>510796</v>
      </c>
      <c r="B2753" s="6" t="n">
        <v>45974</v>
      </c>
      <c r="C2753" t="n">
        <v>17300</v>
      </c>
      <c r="D2753" t="inlineStr">
        <is>
          <t>Pune</t>
        </is>
      </c>
      <c r="E2753" t="inlineStr">
        <is>
          <t>West</t>
        </is>
      </c>
      <c r="F2753" t="inlineStr">
        <is>
          <t>Paid Social</t>
        </is>
      </c>
      <c r="G2753" t="inlineStr">
        <is>
          <t>Mobile App</t>
        </is>
      </c>
      <c r="H2753" t="inlineStr">
        <is>
          <t>Cash on Delivery</t>
        </is>
      </c>
      <c r="I2753" t="inlineStr">
        <is>
          <t>Delivered</t>
        </is>
      </c>
      <c r="J2753" t="n">
        <v>146</v>
      </c>
      <c r="K2753" t="n">
        <v>1</v>
      </c>
      <c r="L2753" t="n">
        <v>4724</v>
      </c>
      <c r="M2753" t="n">
        <v>0</v>
      </c>
      <c r="N2753">
        <f>VLOOKUP(J2753,Products!$A$2:$C$49,3,FALSE)</f>
        <v/>
      </c>
      <c r="O2753">
        <f>K2753*L2753-M2753</f>
        <v/>
      </c>
      <c r="P2753">
        <f>TEXT(B2753,"yyyy-mm")</f>
        <v/>
      </c>
      <c r="Q2753">
        <f>IF(O2753&gt;=3000,"Large","Small")</f>
        <v/>
      </c>
      <c r="R2753">
        <f>INDEX(Products!$F$2:$F$49,MATCH(J2753,Products!$A$2:$A$49,0))</f>
        <v/>
      </c>
      <c r="S2753">
        <f>WEEKDAY(B2753,2)</f>
        <v/>
      </c>
    </row>
    <row r="2754">
      <c r="A2754" t="n">
        <v>510797</v>
      </c>
      <c r="B2754" s="6" t="n">
        <v>45974</v>
      </c>
      <c r="C2754" t="n">
        <v>14340</v>
      </c>
      <c r="D2754" t="inlineStr">
        <is>
          <t>Delhi</t>
        </is>
      </c>
      <c r="E2754" t="inlineStr">
        <is>
          <t>North</t>
        </is>
      </c>
      <c r="F2754" t="inlineStr">
        <is>
          <t>Organic Search</t>
        </is>
      </c>
      <c r="G2754" t="inlineStr">
        <is>
          <t>Mobile App</t>
        </is>
      </c>
      <c r="H2754" t="inlineStr">
        <is>
          <t>Credit Card</t>
        </is>
      </c>
      <c r="I2754" t="inlineStr">
        <is>
          <t>Delivered</t>
        </is>
      </c>
      <c r="J2754" t="n">
        <v>140</v>
      </c>
      <c r="K2754" t="n">
        <v>1</v>
      </c>
      <c r="L2754" t="n">
        <v>629</v>
      </c>
      <c r="M2754" t="n">
        <v>0</v>
      </c>
      <c r="N2754">
        <f>VLOOKUP(J2754,Products!$A$2:$C$49,3,FALSE)</f>
        <v/>
      </c>
      <c r="O2754">
        <f>K2754*L2754-M2754</f>
        <v/>
      </c>
      <c r="P2754">
        <f>TEXT(B2754,"yyyy-mm")</f>
        <v/>
      </c>
      <c r="Q2754">
        <f>IF(O2754&gt;=3000,"Large","Small")</f>
        <v/>
      </c>
      <c r="R2754">
        <f>INDEX(Products!$F$2:$F$49,MATCH(J2754,Products!$A$2:$A$49,0))</f>
        <v/>
      </c>
      <c r="S2754">
        <f>WEEKDAY(B2754,2)</f>
        <v/>
      </c>
    </row>
    <row r="2755">
      <c r="A2755" t="n">
        <v>510798</v>
      </c>
      <c r="B2755" s="6" t="n">
        <v>45974</v>
      </c>
      <c r="C2755" t="n">
        <v>17314</v>
      </c>
      <c r="D2755" t="inlineStr">
        <is>
          <t>Mumbai</t>
        </is>
      </c>
      <c r="E2755" t="inlineStr">
        <is>
          <t>West</t>
        </is>
      </c>
      <c r="F2755" t="inlineStr">
        <is>
          <t>Affiliate</t>
        </is>
      </c>
      <c r="G2755" t="inlineStr">
        <is>
          <t>Mobile App</t>
        </is>
      </c>
      <c r="H2755" t="inlineStr">
        <is>
          <t>UPI</t>
        </is>
      </c>
      <c r="I2755" t="inlineStr">
        <is>
          <t>Delivered</t>
        </is>
      </c>
      <c r="J2755" t="n">
        <v>114</v>
      </c>
      <c r="K2755" t="n">
        <v>1</v>
      </c>
      <c r="L2755" t="n">
        <v>1259</v>
      </c>
      <c r="M2755" t="n">
        <v>188.85</v>
      </c>
      <c r="N2755">
        <f>VLOOKUP(J2755,Products!$A$2:$C$49,3,FALSE)</f>
        <v/>
      </c>
      <c r="O2755">
        <f>K2755*L2755-M2755</f>
        <v/>
      </c>
      <c r="P2755">
        <f>TEXT(B2755,"yyyy-mm")</f>
        <v/>
      </c>
      <c r="Q2755">
        <f>IF(O2755&gt;=3000,"Large","Small")</f>
        <v/>
      </c>
      <c r="R2755">
        <f>INDEX(Products!$F$2:$F$49,MATCH(J2755,Products!$A$2:$A$49,0))</f>
        <v/>
      </c>
      <c r="S2755">
        <f>WEEKDAY(B2755,2)</f>
        <v/>
      </c>
    </row>
    <row r="2756">
      <c r="A2756" t="n">
        <v>510798</v>
      </c>
      <c r="B2756" s="6" t="n">
        <v>45974</v>
      </c>
      <c r="C2756" t="n">
        <v>17314</v>
      </c>
      <c r="D2756" t="inlineStr">
        <is>
          <t>Mumbai</t>
        </is>
      </c>
      <c r="E2756" t="inlineStr">
        <is>
          <t>West</t>
        </is>
      </c>
      <c r="F2756" t="inlineStr">
        <is>
          <t>Affiliate</t>
        </is>
      </c>
      <c r="G2756" t="inlineStr">
        <is>
          <t>Mobile App</t>
        </is>
      </c>
      <c r="H2756" t="inlineStr">
        <is>
          <t>UPI</t>
        </is>
      </c>
      <c r="I2756" t="inlineStr">
        <is>
          <t>Delivered</t>
        </is>
      </c>
      <c r="J2756" t="n">
        <v>123</v>
      </c>
      <c r="K2756" t="n">
        <v>2</v>
      </c>
      <c r="L2756" t="n">
        <v>3464</v>
      </c>
      <c r="M2756" t="n">
        <v>1039.2</v>
      </c>
      <c r="N2756">
        <f>VLOOKUP(J2756,Products!$A$2:$C$49,3,FALSE)</f>
        <v/>
      </c>
      <c r="O2756">
        <f>K2756*L2756-M2756</f>
        <v/>
      </c>
      <c r="P2756">
        <f>TEXT(B2756,"yyyy-mm")</f>
        <v/>
      </c>
      <c r="Q2756">
        <f>IF(O2756&gt;=3000,"Large","Small")</f>
        <v/>
      </c>
      <c r="R2756">
        <f>INDEX(Products!$F$2:$F$49,MATCH(J2756,Products!$A$2:$A$49,0))</f>
        <v/>
      </c>
      <c r="S2756">
        <f>WEEKDAY(B2756,2)</f>
        <v/>
      </c>
    </row>
    <row r="2757">
      <c r="A2757" t="n">
        <v>510798</v>
      </c>
      <c r="B2757" s="6" t="n">
        <v>45974</v>
      </c>
      <c r="C2757" t="n">
        <v>17314</v>
      </c>
      <c r="D2757" t="inlineStr">
        <is>
          <t>Mumbai</t>
        </is>
      </c>
      <c r="E2757" t="inlineStr">
        <is>
          <t>West</t>
        </is>
      </c>
      <c r="F2757" t="inlineStr">
        <is>
          <t>Affiliate</t>
        </is>
      </c>
      <c r="G2757" t="inlineStr">
        <is>
          <t>Mobile App</t>
        </is>
      </c>
      <c r="H2757" t="inlineStr">
        <is>
          <t>UPI</t>
        </is>
      </c>
      <c r="I2757" t="inlineStr">
        <is>
          <t>Delivered</t>
        </is>
      </c>
      <c r="J2757" t="n">
        <v>116</v>
      </c>
      <c r="K2757" t="n">
        <v>1</v>
      </c>
      <c r="L2757" t="n">
        <v>2624</v>
      </c>
      <c r="M2757" t="n">
        <v>393.6</v>
      </c>
      <c r="N2757">
        <f>VLOOKUP(J2757,Products!$A$2:$C$49,3,FALSE)</f>
        <v/>
      </c>
      <c r="O2757">
        <f>K2757*L2757-M2757</f>
        <v/>
      </c>
      <c r="P2757">
        <f>TEXT(B2757,"yyyy-mm")</f>
        <v/>
      </c>
      <c r="Q2757">
        <f>IF(O2757&gt;=3000,"Large","Small")</f>
        <v/>
      </c>
      <c r="R2757">
        <f>INDEX(Products!$F$2:$F$49,MATCH(J2757,Products!$A$2:$A$49,0))</f>
        <v/>
      </c>
      <c r="S2757">
        <f>WEEKDAY(B2757,2)</f>
        <v/>
      </c>
    </row>
    <row r="2758">
      <c r="A2758" t="n">
        <v>510799</v>
      </c>
      <c r="B2758" s="6" t="n">
        <v>45974</v>
      </c>
      <c r="C2758" t="n">
        <v>16394</v>
      </c>
      <c r="D2758" t="inlineStr">
        <is>
          <t>Lucknow</t>
        </is>
      </c>
      <c r="E2758" t="inlineStr">
        <is>
          <t>North</t>
        </is>
      </c>
      <c r="F2758" t="inlineStr">
        <is>
          <t>Email</t>
        </is>
      </c>
      <c r="G2758" t="inlineStr">
        <is>
          <t>Mobile Web</t>
        </is>
      </c>
      <c r="H2758" t="inlineStr">
        <is>
          <t>Cash on Delivery</t>
        </is>
      </c>
      <c r="I2758" t="inlineStr">
        <is>
          <t>Returned</t>
        </is>
      </c>
      <c r="J2758" t="n">
        <v>118</v>
      </c>
      <c r="K2758" t="n">
        <v>1</v>
      </c>
      <c r="L2758" t="n">
        <v>944</v>
      </c>
      <c r="M2758" t="n">
        <v>0</v>
      </c>
      <c r="N2758">
        <f>VLOOKUP(J2758,Products!$A$2:$C$49,3,FALSE)</f>
        <v/>
      </c>
      <c r="O2758">
        <f>K2758*L2758-M2758</f>
        <v/>
      </c>
      <c r="P2758">
        <f>TEXT(B2758,"yyyy-mm")</f>
        <v/>
      </c>
      <c r="Q2758">
        <f>IF(O2758&gt;=3000,"Large","Small")</f>
        <v/>
      </c>
      <c r="R2758">
        <f>INDEX(Products!$F$2:$F$49,MATCH(J2758,Products!$A$2:$A$49,0))</f>
        <v/>
      </c>
      <c r="S2758">
        <f>WEEKDAY(B2758,2)</f>
        <v/>
      </c>
    </row>
    <row r="2759">
      <c r="A2759" t="n">
        <v>510800</v>
      </c>
      <c r="B2759" s="6" t="n">
        <v>45974</v>
      </c>
      <c r="C2759" t="n">
        <v>17240</v>
      </c>
      <c r="D2759" t="inlineStr">
        <is>
          <t>Pune</t>
        </is>
      </c>
      <c r="E2759" t="inlineStr">
        <is>
          <t>West</t>
        </is>
      </c>
      <c r="F2759" t="inlineStr">
        <is>
          <t>Paid Search</t>
        </is>
      </c>
      <c r="G2759" t="inlineStr">
        <is>
          <t>Desktop</t>
        </is>
      </c>
      <c r="H2759" t="inlineStr">
        <is>
          <t>Cash on Delivery</t>
        </is>
      </c>
      <c r="I2759" t="inlineStr">
        <is>
          <t>Delivered</t>
        </is>
      </c>
      <c r="J2759" t="n">
        <v>133</v>
      </c>
      <c r="K2759" t="n">
        <v>2</v>
      </c>
      <c r="L2759" t="n">
        <v>419</v>
      </c>
      <c r="M2759" t="n">
        <v>0</v>
      </c>
      <c r="N2759">
        <f>VLOOKUP(J2759,Products!$A$2:$C$49,3,FALSE)</f>
        <v/>
      </c>
      <c r="O2759">
        <f>K2759*L2759-M2759</f>
        <v/>
      </c>
      <c r="P2759">
        <f>TEXT(B2759,"yyyy-mm")</f>
        <v/>
      </c>
      <c r="Q2759">
        <f>IF(O2759&gt;=3000,"Large","Small")</f>
        <v/>
      </c>
      <c r="R2759">
        <f>INDEX(Products!$F$2:$F$49,MATCH(J2759,Products!$A$2:$A$49,0))</f>
        <v/>
      </c>
      <c r="S2759">
        <f>WEEKDAY(B2759,2)</f>
        <v/>
      </c>
    </row>
    <row r="2760">
      <c r="A2760" t="n">
        <v>510800</v>
      </c>
      <c r="B2760" s="6" t="n">
        <v>45974</v>
      </c>
      <c r="C2760" t="n">
        <v>17240</v>
      </c>
      <c r="D2760" t="inlineStr">
        <is>
          <t>Pune</t>
        </is>
      </c>
      <c r="E2760" t="inlineStr">
        <is>
          <t>West</t>
        </is>
      </c>
      <c r="F2760" t="inlineStr">
        <is>
          <t>Paid Search</t>
        </is>
      </c>
      <c r="G2760" t="inlineStr">
        <is>
          <t>Desktop</t>
        </is>
      </c>
      <c r="H2760" t="inlineStr">
        <is>
          <t>Cash on Delivery</t>
        </is>
      </c>
      <c r="I2760" t="inlineStr">
        <is>
          <t>Delivered</t>
        </is>
      </c>
      <c r="J2760" t="n">
        <v>118</v>
      </c>
      <c r="K2760" t="n">
        <v>2</v>
      </c>
      <c r="L2760" t="n">
        <v>944</v>
      </c>
      <c r="M2760" t="n">
        <v>0</v>
      </c>
      <c r="N2760">
        <f>VLOOKUP(J2760,Products!$A$2:$C$49,3,FALSE)</f>
        <v/>
      </c>
      <c r="O2760">
        <f>K2760*L2760-M2760</f>
        <v/>
      </c>
      <c r="P2760">
        <f>TEXT(B2760,"yyyy-mm")</f>
        <v/>
      </c>
      <c r="Q2760">
        <f>IF(O2760&gt;=3000,"Large","Small")</f>
        <v/>
      </c>
      <c r="R2760">
        <f>INDEX(Products!$F$2:$F$49,MATCH(J2760,Products!$A$2:$A$49,0))</f>
        <v/>
      </c>
      <c r="S2760">
        <f>WEEKDAY(B2760,2)</f>
        <v/>
      </c>
    </row>
    <row r="2761">
      <c r="A2761" t="n">
        <v>510801</v>
      </c>
      <c r="B2761" s="6" t="n">
        <v>45974</v>
      </c>
      <c r="C2761" t="n">
        <v>13650</v>
      </c>
      <c r="D2761" t="inlineStr">
        <is>
          <t>Mumbai</t>
        </is>
      </c>
      <c r="E2761" t="inlineStr">
        <is>
          <t>West</t>
        </is>
      </c>
      <c r="F2761" t="inlineStr">
        <is>
          <t>Referral</t>
        </is>
      </c>
      <c r="G2761" t="inlineStr">
        <is>
          <t>Desktop</t>
        </is>
      </c>
      <c r="H2761" t="inlineStr">
        <is>
          <t>Credit Card</t>
        </is>
      </c>
      <c r="I2761" t="inlineStr">
        <is>
          <t>Delivered</t>
        </is>
      </c>
      <c r="J2761" t="n">
        <v>124</v>
      </c>
      <c r="K2761" t="n">
        <v>1</v>
      </c>
      <c r="L2761" t="n">
        <v>1154</v>
      </c>
      <c r="M2761" t="n">
        <v>0</v>
      </c>
      <c r="N2761">
        <f>VLOOKUP(J2761,Products!$A$2:$C$49,3,FALSE)</f>
        <v/>
      </c>
      <c r="O2761">
        <f>K2761*L2761-M2761</f>
        <v/>
      </c>
      <c r="P2761">
        <f>TEXT(B2761,"yyyy-mm")</f>
        <v/>
      </c>
      <c r="Q2761">
        <f>IF(O2761&gt;=3000,"Large","Small")</f>
        <v/>
      </c>
      <c r="R2761">
        <f>INDEX(Products!$F$2:$F$49,MATCH(J2761,Products!$A$2:$A$49,0))</f>
        <v/>
      </c>
      <c r="S2761">
        <f>WEEKDAY(B2761,2)</f>
        <v/>
      </c>
    </row>
    <row r="2762">
      <c r="A2762" t="n">
        <v>510802</v>
      </c>
      <c r="B2762" s="6" t="n">
        <v>45974</v>
      </c>
      <c r="C2762" t="n">
        <v>17308</v>
      </c>
      <c r="D2762" t="inlineStr">
        <is>
          <t>Delhi</t>
        </is>
      </c>
      <c r="E2762" t="inlineStr">
        <is>
          <t>North</t>
        </is>
      </c>
      <c r="F2762" t="inlineStr">
        <is>
          <t>Organic Search</t>
        </is>
      </c>
      <c r="G2762" t="inlineStr">
        <is>
          <t>Mobile Web</t>
        </is>
      </c>
      <c r="H2762" t="inlineStr">
        <is>
          <t>Cash on Delivery</t>
        </is>
      </c>
      <c r="I2762" t="inlineStr">
        <is>
          <t>Delivered</t>
        </is>
      </c>
      <c r="J2762" t="n">
        <v>130</v>
      </c>
      <c r="K2762" t="n">
        <v>1</v>
      </c>
      <c r="L2762" t="n">
        <v>734</v>
      </c>
      <c r="M2762" t="n">
        <v>110.1</v>
      </c>
      <c r="N2762">
        <f>VLOOKUP(J2762,Products!$A$2:$C$49,3,FALSE)</f>
        <v/>
      </c>
      <c r="O2762">
        <f>K2762*L2762-M2762</f>
        <v/>
      </c>
      <c r="P2762">
        <f>TEXT(B2762,"yyyy-mm")</f>
        <v/>
      </c>
      <c r="Q2762">
        <f>IF(O2762&gt;=3000,"Large","Small")</f>
        <v/>
      </c>
      <c r="R2762">
        <f>INDEX(Products!$F$2:$F$49,MATCH(J2762,Products!$A$2:$A$49,0))</f>
        <v/>
      </c>
      <c r="S2762">
        <f>WEEKDAY(B2762,2)</f>
        <v/>
      </c>
    </row>
    <row r="2763">
      <c r="A2763" t="n">
        <v>510803</v>
      </c>
      <c r="B2763" s="6" t="n">
        <v>45974</v>
      </c>
      <c r="C2763" t="n">
        <v>17289</v>
      </c>
      <c r="D2763" t="inlineStr">
        <is>
          <t>Ahmedabad</t>
        </is>
      </c>
      <c r="E2763" t="inlineStr">
        <is>
          <t>West</t>
        </is>
      </c>
      <c r="F2763" t="inlineStr">
        <is>
          <t>Referral</t>
        </is>
      </c>
      <c r="G2763" t="inlineStr">
        <is>
          <t>Mobile App</t>
        </is>
      </c>
      <c r="H2763" t="inlineStr">
        <is>
          <t>Net Banking</t>
        </is>
      </c>
      <c r="I2763" t="inlineStr">
        <is>
          <t>Delivered</t>
        </is>
      </c>
      <c r="J2763" t="n">
        <v>117</v>
      </c>
      <c r="K2763" t="n">
        <v>1</v>
      </c>
      <c r="L2763" t="n">
        <v>3149</v>
      </c>
      <c r="M2763" t="n">
        <v>472.35</v>
      </c>
      <c r="N2763">
        <f>VLOOKUP(J2763,Products!$A$2:$C$49,3,FALSE)</f>
        <v/>
      </c>
      <c r="O2763">
        <f>K2763*L2763-M2763</f>
        <v/>
      </c>
      <c r="P2763">
        <f>TEXT(B2763,"yyyy-mm")</f>
        <v/>
      </c>
      <c r="Q2763">
        <f>IF(O2763&gt;=3000,"Large","Small")</f>
        <v/>
      </c>
      <c r="R2763">
        <f>INDEX(Products!$F$2:$F$49,MATCH(J2763,Products!$A$2:$A$49,0))</f>
        <v/>
      </c>
      <c r="S2763">
        <f>WEEKDAY(B2763,2)</f>
        <v/>
      </c>
    </row>
    <row r="2764">
      <c r="A2764" t="n">
        <v>510803</v>
      </c>
      <c r="B2764" s="6" t="n">
        <v>45974</v>
      </c>
      <c r="C2764" t="n">
        <v>17289</v>
      </c>
      <c r="D2764" t="inlineStr">
        <is>
          <t>Ahmedabad</t>
        </is>
      </c>
      <c r="E2764" t="inlineStr">
        <is>
          <t>West</t>
        </is>
      </c>
      <c r="F2764" t="inlineStr">
        <is>
          <t>Referral</t>
        </is>
      </c>
      <c r="G2764" t="inlineStr">
        <is>
          <t>Mobile App</t>
        </is>
      </c>
      <c r="H2764" t="inlineStr">
        <is>
          <t>Net Banking</t>
        </is>
      </c>
      <c r="I2764" t="inlineStr">
        <is>
          <t>Delivered</t>
        </is>
      </c>
      <c r="J2764" t="n">
        <v>120</v>
      </c>
      <c r="K2764" t="n">
        <v>1</v>
      </c>
      <c r="L2764" t="n">
        <v>734</v>
      </c>
      <c r="M2764" t="n">
        <v>110.1</v>
      </c>
      <c r="N2764">
        <f>VLOOKUP(J2764,Products!$A$2:$C$49,3,FALSE)</f>
        <v/>
      </c>
      <c r="O2764">
        <f>K2764*L2764-M2764</f>
        <v/>
      </c>
      <c r="P2764">
        <f>TEXT(B2764,"yyyy-mm")</f>
        <v/>
      </c>
      <c r="Q2764">
        <f>IF(O2764&gt;=3000,"Large","Small")</f>
        <v/>
      </c>
      <c r="R2764">
        <f>INDEX(Products!$F$2:$F$49,MATCH(J2764,Products!$A$2:$A$49,0))</f>
        <v/>
      </c>
      <c r="S2764">
        <f>WEEKDAY(B2764,2)</f>
        <v/>
      </c>
    </row>
    <row r="2765">
      <c r="A2765" t="n">
        <v>510804</v>
      </c>
      <c r="B2765" s="6" t="n">
        <v>45974</v>
      </c>
      <c r="C2765" t="n">
        <v>15807</v>
      </c>
      <c r="D2765" t="inlineStr">
        <is>
          <t>Delhi</t>
        </is>
      </c>
      <c r="E2765" t="inlineStr">
        <is>
          <t>North</t>
        </is>
      </c>
      <c r="F2765" t="inlineStr">
        <is>
          <t>Organic Search</t>
        </is>
      </c>
      <c r="G2765" t="inlineStr">
        <is>
          <t>Desktop</t>
        </is>
      </c>
      <c r="H2765" t="inlineStr">
        <is>
          <t>UPI</t>
        </is>
      </c>
      <c r="I2765" t="inlineStr">
        <is>
          <t>Delivered</t>
        </is>
      </c>
      <c r="J2765" t="n">
        <v>124</v>
      </c>
      <c r="K2765" t="n">
        <v>2</v>
      </c>
      <c r="L2765" t="n">
        <v>1154</v>
      </c>
      <c r="M2765" t="n">
        <v>0</v>
      </c>
      <c r="N2765">
        <f>VLOOKUP(J2765,Products!$A$2:$C$49,3,FALSE)</f>
        <v/>
      </c>
      <c r="O2765">
        <f>K2765*L2765-M2765</f>
        <v/>
      </c>
      <c r="P2765">
        <f>TEXT(B2765,"yyyy-mm")</f>
        <v/>
      </c>
      <c r="Q2765">
        <f>IF(O2765&gt;=3000,"Large","Small")</f>
        <v/>
      </c>
      <c r="R2765">
        <f>INDEX(Products!$F$2:$F$49,MATCH(J2765,Products!$A$2:$A$49,0))</f>
        <v/>
      </c>
      <c r="S2765">
        <f>WEEKDAY(B2765,2)</f>
        <v/>
      </c>
    </row>
    <row r="2766">
      <c r="A2766" t="n">
        <v>510804</v>
      </c>
      <c r="B2766" s="6" t="n">
        <v>45974</v>
      </c>
      <c r="C2766" t="n">
        <v>15807</v>
      </c>
      <c r="D2766" t="inlineStr">
        <is>
          <t>Delhi</t>
        </is>
      </c>
      <c r="E2766" t="inlineStr">
        <is>
          <t>North</t>
        </is>
      </c>
      <c r="F2766" t="inlineStr">
        <is>
          <t>Organic Search</t>
        </is>
      </c>
      <c r="G2766" t="inlineStr">
        <is>
          <t>Desktop</t>
        </is>
      </c>
      <c r="H2766" t="inlineStr">
        <is>
          <t>UPI</t>
        </is>
      </c>
      <c r="I2766" t="inlineStr">
        <is>
          <t>Delivered</t>
        </is>
      </c>
      <c r="J2766" t="n">
        <v>117</v>
      </c>
      <c r="K2766" t="n">
        <v>1</v>
      </c>
      <c r="L2766" t="n">
        <v>3149</v>
      </c>
      <c r="M2766" t="n">
        <v>0</v>
      </c>
      <c r="N2766">
        <f>VLOOKUP(J2766,Products!$A$2:$C$49,3,FALSE)</f>
        <v/>
      </c>
      <c r="O2766">
        <f>K2766*L2766-M2766</f>
        <v/>
      </c>
      <c r="P2766">
        <f>TEXT(B2766,"yyyy-mm")</f>
        <v/>
      </c>
      <c r="Q2766">
        <f>IF(O2766&gt;=3000,"Large","Small")</f>
        <v/>
      </c>
      <c r="R2766">
        <f>INDEX(Products!$F$2:$F$49,MATCH(J2766,Products!$A$2:$A$49,0))</f>
        <v/>
      </c>
      <c r="S2766">
        <f>WEEKDAY(B2766,2)</f>
        <v/>
      </c>
    </row>
    <row r="2767">
      <c r="A2767" t="n">
        <v>510805</v>
      </c>
      <c r="B2767" s="6" t="n">
        <v>45974</v>
      </c>
      <c r="C2767" t="n">
        <v>16617</v>
      </c>
      <c r="D2767" t="inlineStr">
        <is>
          <t>Lucknow</t>
        </is>
      </c>
      <c r="E2767" t="inlineStr">
        <is>
          <t>North</t>
        </is>
      </c>
      <c r="F2767" t="inlineStr">
        <is>
          <t>Paid Search</t>
        </is>
      </c>
      <c r="G2767" t="inlineStr">
        <is>
          <t>Mobile App</t>
        </is>
      </c>
      <c r="H2767" t="inlineStr">
        <is>
          <t>Cash on Delivery</t>
        </is>
      </c>
      <c r="I2767" t="inlineStr">
        <is>
          <t>Cancelled</t>
        </is>
      </c>
      <c r="J2767" t="n">
        <v>111</v>
      </c>
      <c r="K2767" t="n">
        <v>1</v>
      </c>
      <c r="L2767" t="n">
        <v>524</v>
      </c>
      <c r="M2767" t="n">
        <v>0</v>
      </c>
      <c r="N2767">
        <f>VLOOKUP(J2767,Products!$A$2:$C$49,3,FALSE)</f>
        <v/>
      </c>
      <c r="O2767">
        <f>K2767*L2767-M2767</f>
        <v/>
      </c>
      <c r="P2767">
        <f>TEXT(B2767,"yyyy-mm")</f>
        <v/>
      </c>
      <c r="Q2767">
        <f>IF(O2767&gt;=3000,"Large","Small")</f>
        <v/>
      </c>
      <c r="R2767">
        <f>INDEX(Products!$F$2:$F$49,MATCH(J2767,Products!$A$2:$A$49,0))</f>
        <v/>
      </c>
      <c r="S2767">
        <f>WEEKDAY(B2767,2)</f>
        <v/>
      </c>
    </row>
    <row r="2768">
      <c r="A2768" t="n">
        <v>510805</v>
      </c>
      <c r="B2768" s="6" t="n">
        <v>45974</v>
      </c>
      <c r="C2768" t="n">
        <v>16617</v>
      </c>
      <c r="D2768" t="inlineStr">
        <is>
          <t>Lucknow</t>
        </is>
      </c>
      <c r="E2768" t="inlineStr">
        <is>
          <t>North</t>
        </is>
      </c>
      <c r="F2768" t="inlineStr">
        <is>
          <t>Paid Search</t>
        </is>
      </c>
      <c r="G2768" t="inlineStr">
        <is>
          <t>Mobile App</t>
        </is>
      </c>
      <c r="H2768" t="inlineStr">
        <is>
          <t>Cash on Delivery</t>
        </is>
      </c>
      <c r="I2768" t="inlineStr">
        <is>
          <t>Cancelled</t>
        </is>
      </c>
      <c r="J2768" t="n">
        <v>140</v>
      </c>
      <c r="K2768" t="n">
        <v>1</v>
      </c>
      <c r="L2768" t="n">
        <v>629</v>
      </c>
      <c r="M2768" t="n">
        <v>0</v>
      </c>
      <c r="N2768">
        <f>VLOOKUP(J2768,Products!$A$2:$C$49,3,FALSE)</f>
        <v/>
      </c>
      <c r="O2768">
        <f>K2768*L2768-M2768</f>
        <v/>
      </c>
      <c r="P2768">
        <f>TEXT(B2768,"yyyy-mm")</f>
        <v/>
      </c>
      <c r="Q2768">
        <f>IF(O2768&gt;=3000,"Large","Small")</f>
        <v/>
      </c>
      <c r="R2768">
        <f>INDEX(Products!$F$2:$F$49,MATCH(J2768,Products!$A$2:$A$49,0))</f>
        <v/>
      </c>
      <c r="S2768">
        <f>WEEKDAY(B2768,2)</f>
        <v/>
      </c>
    </row>
    <row r="2769">
      <c r="A2769" t="n">
        <v>510805</v>
      </c>
      <c r="B2769" s="6" t="n">
        <v>45974</v>
      </c>
      <c r="C2769" t="n">
        <v>16617</v>
      </c>
      <c r="D2769" t="inlineStr">
        <is>
          <t>Lucknow</t>
        </is>
      </c>
      <c r="E2769" t="inlineStr">
        <is>
          <t>North</t>
        </is>
      </c>
      <c r="F2769" t="inlineStr">
        <is>
          <t>Paid Search</t>
        </is>
      </c>
      <c r="G2769" t="inlineStr">
        <is>
          <t>Mobile App</t>
        </is>
      </c>
      <c r="H2769" t="inlineStr">
        <is>
          <t>Cash on Delivery</t>
        </is>
      </c>
      <c r="I2769" t="inlineStr">
        <is>
          <t>Cancelled</t>
        </is>
      </c>
      <c r="J2769" t="n">
        <v>114</v>
      </c>
      <c r="K2769" t="n">
        <v>1</v>
      </c>
      <c r="L2769" t="n">
        <v>1259</v>
      </c>
      <c r="M2769" t="n">
        <v>0</v>
      </c>
      <c r="N2769">
        <f>VLOOKUP(J2769,Products!$A$2:$C$49,3,FALSE)</f>
        <v/>
      </c>
      <c r="O2769">
        <f>K2769*L2769-M2769</f>
        <v/>
      </c>
      <c r="P2769">
        <f>TEXT(B2769,"yyyy-mm")</f>
        <v/>
      </c>
      <c r="Q2769">
        <f>IF(O2769&gt;=3000,"Large","Small")</f>
        <v/>
      </c>
      <c r="R2769">
        <f>INDEX(Products!$F$2:$F$49,MATCH(J2769,Products!$A$2:$A$49,0))</f>
        <v/>
      </c>
      <c r="S2769">
        <f>WEEKDAY(B2769,2)</f>
        <v/>
      </c>
    </row>
    <row r="2770">
      <c r="A2770" t="n">
        <v>510805</v>
      </c>
      <c r="B2770" s="6" t="n">
        <v>45974</v>
      </c>
      <c r="C2770" t="n">
        <v>16617</v>
      </c>
      <c r="D2770" t="inlineStr">
        <is>
          <t>Lucknow</t>
        </is>
      </c>
      <c r="E2770" t="inlineStr">
        <is>
          <t>North</t>
        </is>
      </c>
      <c r="F2770" t="inlineStr">
        <is>
          <t>Paid Search</t>
        </is>
      </c>
      <c r="G2770" t="inlineStr">
        <is>
          <t>Mobile App</t>
        </is>
      </c>
      <c r="H2770" t="inlineStr">
        <is>
          <t>Cash on Delivery</t>
        </is>
      </c>
      <c r="I2770" t="inlineStr">
        <is>
          <t>Cancelled</t>
        </is>
      </c>
      <c r="J2770" t="n">
        <v>135</v>
      </c>
      <c r="K2770" t="n">
        <v>1</v>
      </c>
      <c r="L2770" t="n">
        <v>1574</v>
      </c>
      <c r="M2770" t="n">
        <v>0</v>
      </c>
      <c r="N2770">
        <f>VLOOKUP(J2770,Products!$A$2:$C$49,3,FALSE)</f>
        <v/>
      </c>
      <c r="O2770">
        <f>K2770*L2770-M2770</f>
        <v/>
      </c>
      <c r="P2770">
        <f>TEXT(B2770,"yyyy-mm")</f>
        <v/>
      </c>
      <c r="Q2770">
        <f>IF(O2770&gt;=3000,"Large","Small")</f>
        <v/>
      </c>
      <c r="R2770">
        <f>INDEX(Products!$F$2:$F$49,MATCH(J2770,Products!$A$2:$A$49,0))</f>
        <v/>
      </c>
      <c r="S2770">
        <f>WEEKDAY(B2770,2)</f>
        <v/>
      </c>
    </row>
    <row r="2771">
      <c r="A2771" t="n">
        <v>510806</v>
      </c>
      <c r="B2771" s="6" t="n">
        <v>45974</v>
      </c>
      <c r="C2771" t="n">
        <v>17325</v>
      </c>
      <c r="D2771" t="inlineStr">
        <is>
          <t>Chennai</t>
        </is>
      </c>
      <c r="E2771" t="inlineStr">
        <is>
          <t>South</t>
        </is>
      </c>
      <c r="F2771" t="inlineStr">
        <is>
          <t>Affiliate</t>
        </is>
      </c>
      <c r="G2771" t="inlineStr">
        <is>
          <t>Mobile App</t>
        </is>
      </c>
      <c r="H2771" t="inlineStr">
        <is>
          <t>UPI</t>
        </is>
      </c>
      <c r="I2771" t="inlineStr">
        <is>
          <t>Delivered</t>
        </is>
      </c>
      <c r="J2771" t="n">
        <v>120</v>
      </c>
      <c r="K2771" t="n">
        <v>1</v>
      </c>
      <c r="L2771" t="n">
        <v>734</v>
      </c>
      <c r="M2771" t="n">
        <v>0</v>
      </c>
      <c r="N2771">
        <f>VLOOKUP(J2771,Products!$A$2:$C$49,3,FALSE)</f>
        <v/>
      </c>
      <c r="O2771">
        <f>K2771*L2771-M2771</f>
        <v/>
      </c>
      <c r="P2771">
        <f>TEXT(B2771,"yyyy-mm")</f>
        <v/>
      </c>
      <c r="Q2771">
        <f>IF(O2771&gt;=3000,"Large","Small")</f>
        <v/>
      </c>
      <c r="R2771">
        <f>INDEX(Products!$F$2:$F$49,MATCH(J2771,Products!$A$2:$A$49,0))</f>
        <v/>
      </c>
      <c r="S2771">
        <f>WEEKDAY(B2771,2)</f>
        <v/>
      </c>
    </row>
    <row r="2772">
      <c r="A2772" t="n">
        <v>510806</v>
      </c>
      <c r="B2772" s="6" t="n">
        <v>45974</v>
      </c>
      <c r="C2772" t="n">
        <v>17325</v>
      </c>
      <c r="D2772" t="inlineStr">
        <is>
          <t>Chennai</t>
        </is>
      </c>
      <c r="E2772" t="inlineStr">
        <is>
          <t>South</t>
        </is>
      </c>
      <c r="F2772" t="inlineStr">
        <is>
          <t>Affiliate</t>
        </is>
      </c>
      <c r="G2772" t="inlineStr">
        <is>
          <t>Mobile App</t>
        </is>
      </c>
      <c r="H2772" t="inlineStr">
        <is>
          <t>UPI</t>
        </is>
      </c>
      <c r="I2772" t="inlineStr">
        <is>
          <t>Delivered</t>
        </is>
      </c>
      <c r="J2772" t="n">
        <v>123</v>
      </c>
      <c r="K2772" t="n">
        <v>1</v>
      </c>
      <c r="L2772" t="n">
        <v>3464</v>
      </c>
      <c r="M2772" t="n">
        <v>0</v>
      </c>
      <c r="N2772">
        <f>VLOOKUP(J2772,Products!$A$2:$C$49,3,FALSE)</f>
        <v/>
      </c>
      <c r="O2772">
        <f>K2772*L2772-M2772</f>
        <v/>
      </c>
      <c r="P2772">
        <f>TEXT(B2772,"yyyy-mm")</f>
        <v/>
      </c>
      <c r="Q2772">
        <f>IF(O2772&gt;=3000,"Large","Small")</f>
        <v/>
      </c>
      <c r="R2772">
        <f>INDEX(Products!$F$2:$F$49,MATCH(J2772,Products!$A$2:$A$49,0))</f>
        <v/>
      </c>
      <c r="S2772">
        <f>WEEKDAY(B2772,2)</f>
        <v/>
      </c>
    </row>
    <row r="2773">
      <c r="A2773" t="n">
        <v>510806</v>
      </c>
      <c r="B2773" s="6" t="n">
        <v>45974</v>
      </c>
      <c r="C2773" t="n">
        <v>17325</v>
      </c>
      <c r="D2773" t="inlineStr">
        <is>
          <t>Chennai</t>
        </is>
      </c>
      <c r="E2773" t="inlineStr">
        <is>
          <t>South</t>
        </is>
      </c>
      <c r="F2773" t="inlineStr">
        <is>
          <t>Affiliate</t>
        </is>
      </c>
      <c r="G2773" t="inlineStr">
        <is>
          <t>Mobile App</t>
        </is>
      </c>
      <c r="H2773" t="inlineStr">
        <is>
          <t>UPI</t>
        </is>
      </c>
      <c r="I2773" t="inlineStr">
        <is>
          <t>Delivered</t>
        </is>
      </c>
      <c r="J2773" t="n">
        <v>113</v>
      </c>
      <c r="K2773" t="n">
        <v>2</v>
      </c>
      <c r="L2773" t="n">
        <v>1364</v>
      </c>
      <c r="M2773" t="n">
        <v>0</v>
      </c>
      <c r="N2773">
        <f>VLOOKUP(J2773,Products!$A$2:$C$49,3,FALSE)</f>
        <v/>
      </c>
      <c r="O2773">
        <f>K2773*L2773-M2773</f>
        <v/>
      </c>
      <c r="P2773">
        <f>TEXT(B2773,"yyyy-mm")</f>
        <v/>
      </c>
      <c r="Q2773">
        <f>IF(O2773&gt;=3000,"Large","Small")</f>
        <v/>
      </c>
      <c r="R2773">
        <f>INDEX(Products!$F$2:$F$49,MATCH(J2773,Products!$A$2:$A$49,0))</f>
        <v/>
      </c>
      <c r="S2773">
        <f>WEEKDAY(B2773,2)</f>
        <v/>
      </c>
    </row>
    <row r="2774">
      <c r="A2774" t="n">
        <v>510807</v>
      </c>
      <c r="B2774" s="6" t="n">
        <v>45974</v>
      </c>
      <c r="C2774" t="n">
        <v>17169</v>
      </c>
      <c r="D2774" t="inlineStr">
        <is>
          <t>Kochi</t>
        </is>
      </c>
      <c r="E2774" t="inlineStr">
        <is>
          <t>South</t>
        </is>
      </c>
      <c r="F2774" t="inlineStr">
        <is>
          <t>Referral</t>
        </is>
      </c>
      <c r="G2774" t="inlineStr">
        <is>
          <t>Desktop</t>
        </is>
      </c>
      <c r="H2774" t="inlineStr">
        <is>
          <t>UPI</t>
        </is>
      </c>
      <c r="I2774" t="inlineStr">
        <is>
          <t>Returned</t>
        </is>
      </c>
      <c r="J2774" t="n">
        <v>113</v>
      </c>
      <c r="K2774" t="n">
        <v>1</v>
      </c>
      <c r="L2774" t="n">
        <v>1364</v>
      </c>
      <c r="M2774" t="n">
        <v>0</v>
      </c>
      <c r="N2774">
        <f>VLOOKUP(J2774,Products!$A$2:$C$49,3,FALSE)</f>
        <v/>
      </c>
      <c r="O2774">
        <f>K2774*L2774-M2774</f>
        <v/>
      </c>
      <c r="P2774">
        <f>TEXT(B2774,"yyyy-mm")</f>
        <v/>
      </c>
      <c r="Q2774">
        <f>IF(O2774&gt;=3000,"Large","Small")</f>
        <v/>
      </c>
      <c r="R2774">
        <f>INDEX(Products!$F$2:$F$49,MATCH(J2774,Products!$A$2:$A$49,0))</f>
        <v/>
      </c>
      <c r="S2774">
        <f>WEEKDAY(B2774,2)</f>
        <v/>
      </c>
    </row>
    <row r="2775">
      <c r="A2775" t="n">
        <v>510808</v>
      </c>
      <c r="B2775" s="6" t="n">
        <v>45974</v>
      </c>
      <c r="C2775" t="n">
        <v>16116</v>
      </c>
      <c r="D2775" t="inlineStr">
        <is>
          <t>Noida</t>
        </is>
      </c>
      <c r="E2775" t="inlineStr">
        <is>
          <t>North</t>
        </is>
      </c>
      <c r="F2775" t="inlineStr">
        <is>
          <t>Referral</t>
        </is>
      </c>
      <c r="G2775" t="inlineStr">
        <is>
          <t>Mobile Web</t>
        </is>
      </c>
      <c r="H2775" t="inlineStr">
        <is>
          <t>UPI</t>
        </is>
      </c>
      <c r="I2775" t="inlineStr">
        <is>
          <t>Delivered</t>
        </is>
      </c>
      <c r="J2775" t="n">
        <v>110</v>
      </c>
      <c r="K2775" t="n">
        <v>2</v>
      </c>
      <c r="L2775" t="n">
        <v>839</v>
      </c>
      <c r="M2775" t="n">
        <v>0</v>
      </c>
      <c r="N2775">
        <f>VLOOKUP(J2775,Products!$A$2:$C$49,3,FALSE)</f>
        <v/>
      </c>
      <c r="O2775">
        <f>K2775*L2775-M2775</f>
        <v/>
      </c>
      <c r="P2775">
        <f>TEXT(B2775,"yyyy-mm")</f>
        <v/>
      </c>
      <c r="Q2775">
        <f>IF(O2775&gt;=3000,"Large","Small")</f>
        <v/>
      </c>
      <c r="R2775">
        <f>INDEX(Products!$F$2:$F$49,MATCH(J2775,Products!$A$2:$A$49,0))</f>
        <v/>
      </c>
      <c r="S2775">
        <f>WEEKDAY(B2775,2)</f>
        <v/>
      </c>
    </row>
    <row r="2776">
      <c r="A2776" t="n">
        <v>510808</v>
      </c>
      <c r="B2776" s="6" t="n">
        <v>45974</v>
      </c>
      <c r="C2776" t="n">
        <v>16116</v>
      </c>
      <c r="D2776" t="inlineStr">
        <is>
          <t>Noida</t>
        </is>
      </c>
      <c r="E2776" t="inlineStr">
        <is>
          <t>North</t>
        </is>
      </c>
      <c r="F2776" t="inlineStr">
        <is>
          <t>Referral</t>
        </is>
      </c>
      <c r="G2776" t="inlineStr">
        <is>
          <t>Mobile Web</t>
        </is>
      </c>
      <c r="H2776" t="inlineStr">
        <is>
          <t>UPI</t>
        </is>
      </c>
      <c r="I2776" t="inlineStr">
        <is>
          <t>Delivered</t>
        </is>
      </c>
      <c r="J2776" t="n">
        <v>139</v>
      </c>
      <c r="K2776" t="n">
        <v>1</v>
      </c>
      <c r="L2776" t="n">
        <v>366</v>
      </c>
      <c r="M2776" t="n">
        <v>0</v>
      </c>
      <c r="N2776">
        <f>VLOOKUP(J2776,Products!$A$2:$C$49,3,FALSE)</f>
        <v/>
      </c>
      <c r="O2776">
        <f>K2776*L2776-M2776</f>
        <v/>
      </c>
      <c r="P2776">
        <f>TEXT(B2776,"yyyy-mm")</f>
        <v/>
      </c>
      <c r="Q2776">
        <f>IF(O2776&gt;=3000,"Large","Small")</f>
        <v/>
      </c>
      <c r="R2776">
        <f>INDEX(Products!$F$2:$F$49,MATCH(J2776,Products!$A$2:$A$49,0))</f>
        <v/>
      </c>
      <c r="S2776">
        <f>WEEKDAY(B2776,2)</f>
        <v/>
      </c>
    </row>
    <row r="2777">
      <c r="A2777" t="n">
        <v>510809</v>
      </c>
      <c r="B2777" s="6" t="n">
        <v>45974</v>
      </c>
      <c r="C2777" t="n">
        <v>16767</v>
      </c>
      <c r="D2777" t="inlineStr">
        <is>
          <t>Delhi</t>
        </is>
      </c>
      <c r="E2777" t="inlineStr">
        <is>
          <t>North</t>
        </is>
      </c>
      <c r="F2777" t="inlineStr">
        <is>
          <t>Paid Search</t>
        </is>
      </c>
      <c r="G2777" t="inlineStr">
        <is>
          <t>Mobile Web</t>
        </is>
      </c>
      <c r="H2777" t="inlineStr">
        <is>
          <t>Credit Card</t>
        </is>
      </c>
      <c r="I2777" t="inlineStr">
        <is>
          <t>Delivered</t>
        </is>
      </c>
      <c r="J2777" t="n">
        <v>118</v>
      </c>
      <c r="K2777" t="n">
        <v>1</v>
      </c>
      <c r="L2777" t="n">
        <v>944</v>
      </c>
      <c r="M2777" t="n">
        <v>0</v>
      </c>
      <c r="N2777">
        <f>VLOOKUP(J2777,Products!$A$2:$C$49,3,FALSE)</f>
        <v/>
      </c>
      <c r="O2777">
        <f>K2777*L2777-M2777</f>
        <v/>
      </c>
      <c r="P2777">
        <f>TEXT(B2777,"yyyy-mm")</f>
        <v/>
      </c>
      <c r="Q2777">
        <f>IF(O2777&gt;=3000,"Large","Small")</f>
        <v/>
      </c>
      <c r="R2777">
        <f>INDEX(Products!$F$2:$F$49,MATCH(J2777,Products!$A$2:$A$49,0))</f>
        <v/>
      </c>
      <c r="S2777">
        <f>WEEKDAY(B2777,2)</f>
        <v/>
      </c>
    </row>
    <row r="2778">
      <c r="A2778" t="n">
        <v>510810</v>
      </c>
      <c r="B2778" s="6" t="n">
        <v>45974</v>
      </c>
      <c r="C2778" t="n">
        <v>17303</v>
      </c>
      <c r="D2778" t="inlineStr">
        <is>
          <t>Delhi</t>
        </is>
      </c>
      <c r="E2778" t="inlineStr">
        <is>
          <t>North</t>
        </is>
      </c>
      <c r="F2778" t="inlineStr">
        <is>
          <t>Paid Social</t>
        </is>
      </c>
      <c r="G2778" t="inlineStr">
        <is>
          <t>Mobile App</t>
        </is>
      </c>
      <c r="H2778" t="inlineStr">
        <is>
          <t>Credit Card</t>
        </is>
      </c>
      <c r="I2778" t="inlineStr">
        <is>
          <t>Delivered</t>
        </is>
      </c>
      <c r="J2778" t="n">
        <v>123</v>
      </c>
      <c r="K2778" t="n">
        <v>1</v>
      </c>
      <c r="L2778" t="n">
        <v>3464</v>
      </c>
      <c r="M2778" t="n">
        <v>519.6</v>
      </c>
      <c r="N2778">
        <f>VLOOKUP(J2778,Products!$A$2:$C$49,3,FALSE)</f>
        <v/>
      </c>
      <c r="O2778">
        <f>K2778*L2778-M2778</f>
        <v/>
      </c>
      <c r="P2778">
        <f>TEXT(B2778,"yyyy-mm")</f>
        <v/>
      </c>
      <c r="Q2778">
        <f>IF(O2778&gt;=3000,"Large","Small")</f>
        <v/>
      </c>
      <c r="R2778">
        <f>INDEX(Products!$F$2:$F$49,MATCH(J2778,Products!$A$2:$A$49,0))</f>
        <v/>
      </c>
      <c r="S2778">
        <f>WEEKDAY(B2778,2)</f>
        <v/>
      </c>
    </row>
    <row r="2779">
      <c r="A2779" t="n">
        <v>510811</v>
      </c>
      <c r="B2779" s="6" t="n">
        <v>45974</v>
      </c>
      <c r="C2779" t="n">
        <v>13754</v>
      </c>
      <c r="D2779" t="inlineStr">
        <is>
          <t>Mumbai</t>
        </is>
      </c>
      <c r="E2779" t="inlineStr">
        <is>
          <t>West</t>
        </is>
      </c>
      <c r="F2779" t="inlineStr">
        <is>
          <t>Paid Search</t>
        </is>
      </c>
      <c r="G2779" t="inlineStr">
        <is>
          <t>Desktop</t>
        </is>
      </c>
      <c r="H2779" t="inlineStr">
        <is>
          <t>Credit Card</t>
        </is>
      </c>
      <c r="I2779" t="inlineStr">
        <is>
          <t>Delivered</t>
        </is>
      </c>
      <c r="J2779" t="n">
        <v>122</v>
      </c>
      <c r="K2779" t="n">
        <v>1</v>
      </c>
      <c r="L2779" t="n">
        <v>1994</v>
      </c>
      <c r="M2779" t="n">
        <v>0</v>
      </c>
      <c r="N2779">
        <f>VLOOKUP(J2779,Products!$A$2:$C$49,3,FALSE)</f>
        <v/>
      </c>
      <c r="O2779">
        <f>K2779*L2779-M2779</f>
        <v/>
      </c>
      <c r="P2779">
        <f>TEXT(B2779,"yyyy-mm")</f>
        <v/>
      </c>
      <c r="Q2779">
        <f>IF(O2779&gt;=3000,"Large","Small")</f>
        <v/>
      </c>
      <c r="R2779">
        <f>INDEX(Products!$F$2:$F$49,MATCH(J2779,Products!$A$2:$A$49,0))</f>
        <v/>
      </c>
      <c r="S2779">
        <f>WEEKDAY(B2779,2)</f>
        <v/>
      </c>
    </row>
    <row r="2780">
      <c r="A2780" t="n">
        <v>510812</v>
      </c>
      <c r="B2780" s="6" t="n">
        <v>45974</v>
      </c>
      <c r="C2780" t="n">
        <v>17304</v>
      </c>
      <c r="D2780" t="inlineStr">
        <is>
          <t>Pune</t>
        </is>
      </c>
      <c r="E2780" t="inlineStr">
        <is>
          <t>West</t>
        </is>
      </c>
      <c r="F2780" t="inlineStr">
        <is>
          <t>Referral</t>
        </is>
      </c>
      <c r="G2780" t="inlineStr">
        <is>
          <t>Mobile App</t>
        </is>
      </c>
      <c r="H2780" t="inlineStr">
        <is>
          <t>Debit Card</t>
        </is>
      </c>
      <c r="I2780" t="inlineStr">
        <is>
          <t>Delivered</t>
        </is>
      </c>
      <c r="J2780" t="n">
        <v>115</v>
      </c>
      <c r="K2780" t="n">
        <v>1</v>
      </c>
      <c r="L2780" t="n">
        <v>4199</v>
      </c>
      <c r="M2780" t="n">
        <v>0</v>
      </c>
      <c r="N2780">
        <f>VLOOKUP(J2780,Products!$A$2:$C$49,3,FALSE)</f>
        <v/>
      </c>
      <c r="O2780">
        <f>K2780*L2780-M2780</f>
        <v/>
      </c>
      <c r="P2780">
        <f>TEXT(B2780,"yyyy-mm")</f>
        <v/>
      </c>
      <c r="Q2780">
        <f>IF(O2780&gt;=3000,"Large","Small")</f>
        <v/>
      </c>
      <c r="R2780">
        <f>INDEX(Products!$F$2:$F$49,MATCH(J2780,Products!$A$2:$A$49,0))</f>
        <v/>
      </c>
      <c r="S2780">
        <f>WEEKDAY(B2780,2)</f>
        <v/>
      </c>
    </row>
    <row r="2781">
      <c r="A2781" t="n">
        <v>510812</v>
      </c>
      <c r="B2781" s="6" t="n">
        <v>45974</v>
      </c>
      <c r="C2781" t="n">
        <v>17304</v>
      </c>
      <c r="D2781" t="inlineStr">
        <is>
          <t>Pune</t>
        </is>
      </c>
      <c r="E2781" t="inlineStr">
        <is>
          <t>West</t>
        </is>
      </c>
      <c r="F2781" t="inlineStr">
        <is>
          <t>Referral</t>
        </is>
      </c>
      <c r="G2781" t="inlineStr">
        <is>
          <t>Mobile App</t>
        </is>
      </c>
      <c r="H2781" t="inlineStr">
        <is>
          <t>Debit Card</t>
        </is>
      </c>
      <c r="I2781" t="inlineStr">
        <is>
          <t>Delivered</t>
        </is>
      </c>
      <c r="J2781" t="n">
        <v>118</v>
      </c>
      <c r="K2781" t="n">
        <v>1</v>
      </c>
      <c r="L2781" t="n">
        <v>944</v>
      </c>
      <c r="M2781" t="n">
        <v>0</v>
      </c>
      <c r="N2781">
        <f>VLOOKUP(J2781,Products!$A$2:$C$49,3,FALSE)</f>
        <v/>
      </c>
      <c r="O2781">
        <f>K2781*L2781-M2781</f>
        <v/>
      </c>
      <c r="P2781">
        <f>TEXT(B2781,"yyyy-mm")</f>
        <v/>
      </c>
      <c r="Q2781">
        <f>IF(O2781&gt;=3000,"Large","Small")</f>
        <v/>
      </c>
      <c r="R2781">
        <f>INDEX(Products!$F$2:$F$49,MATCH(J2781,Products!$A$2:$A$49,0))</f>
        <v/>
      </c>
      <c r="S2781">
        <f>WEEKDAY(B2781,2)</f>
        <v/>
      </c>
    </row>
    <row r="2782">
      <c r="A2782" t="n">
        <v>510812</v>
      </c>
      <c r="B2782" s="6" t="n">
        <v>45974</v>
      </c>
      <c r="C2782" t="n">
        <v>17304</v>
      </c>
      <c r="D2782" t="inlineStr">
        <is>
          <t>Pune</t>
        </is>
      </c>
      <c r="E2782" t="inlineStr">
        <is>
          <t>West</t>
        </is>
      </c>
      <c r="F2782" t="inlineStr">
        <is>
          <t>Referral</t>
        </is>
      </c>
      <c r="G2782" t="inlineStr">
        <is>
          <t>Mobile App</t>
        </is>
      </c>
      <c r="H2782" t="inlineStr">
        <is>
          <t>Debit Card</t>
        </is>
      </c>
      <c r="I2782" t="inlineStr">
        <is>
          <t>Delivered</t>
        </is>
      </c>
      <c r="J2782" t="n">
        <v>139</v>
      </c>
      <c r="K2782" t="n">
        <v>1</v>
      </c>
      <c r="L2782" t="n">
        <v>366</v>
      </c>
      <c r="M2782" t="n">
        <v>0</v>
      </c>
      <c r="N2782">
        <f>VLOOKUP(J2782,Products!$A$2:$C$49,3,FALSE)</f>
        <v/>
      </c>
      <c r="O2782">
        <f>K2782*L2782-M2782</f>
        <v/>
      </c>
      <c r="P2782">
        <f>TEXT(B2782,"yyyy-mm")</f>
        <v/>
      </c>
      <c r="Q2782">
        <f>IF(O2782&gt;=3000,"Large","Small")</f>
        <v/>
      </c>
      <c r="R2782">
        <f>INDEX(Products!$F$2:$F$49,MATCH(J2782,Products!$A$2:$A$49,0))</f>
        <v/>
      </c>
      <c r="S2782">
        <f>WEEKDAY(B2782,2)</f>
        <v/>
      </c>
    </row>
    <row r="2783">
      <c r="A2783" t="n">
        <v>510813</v>
      </c>
      <c r="B2783" s="6" t="n">
        <v>45974</v>
      </c>
      <c r="C2783" t="n">
        <v>17320</v>
      </c>
      <c r="D2783" t="inlineStr">
        <is>
          <t>Delhi</t>
        </is>
      </c>
      <c r="E2783" t="inlineStr">
        <is>
          <t>North</t>
        </is>
      </c>
      <c r="F2783" t="inlineStr">
        <is>
          <t>Organic Search</t>
        </is>
      </c>
      <c r="G2783" t="inlineStr">
        <is>
          <t>Mobile App</t>
        </is>
      </c>
      <c r="H2783" t="inlineStr">
        <is>
          <t>UPI</t>
        </is>
      </c>
      <c r="I2783" t="inlineStr">
        <is>
          <t>Delivered</t>
        </is>
      </c>
      <c r="J2783" t="n">
        <v>104</v>
      </c>
      <c r="K2783" t="n">
        <v>1</v>
      </c>
      <c r="L2783" t="n">
        <v>5249</v>
      </c>
      <c r="M2783" t="n">
        <v>787.35</v>
      </c>
      <c r="N2783">
        <f>VLOOKUP(J2783,Products!$A$2:$C$49,3,FALSE)</f>
        <v/>
      </c>
      <c r="O2783">
        <f>K2783*L2783-M2783</f>
        <v/>
      </c>
      <c r="P2783">
        <f>TEXT(B2783,"yyyy-mm")</f>
        <v/>
      </c>
      <c r="Q2783">
        <f>IF(O2783&gt;=3000,"Large","Small")</f>
        <v/>
      </c>
      <c r="R2783">
        <f>INDEX(Products!$F$2:$F$49,MATCH(J2783,Products!$A$2:$A$49,0))</f>
        <v/>
      </c>
      <c r="S2783">
        <f>WEEKDAY(B2783,2)</f>
        <v/>
      </c>
    </row>
    <row r="2784">
      <c r="A2784" t="n">
        <v>510813</v>
      </c>
      <c r="B2784" s="6" t="n">
        <v>45974</v>
      </c>
      <c r="C2784" t="n">
        <v>17320</v>
      </c>
      <c r="D2784" t="inlineStr">
        <is>
          <t>Delhi</t>
        </is>
      </c>
      <c r="E2784" t="inlineStr">
        <is>
          <t>North</t>
        </is>
      </c>
      <c r="F2784" t="inlineStr">
        <is>
          <t>Organic Search</t>
        </is>
      </c>
      <c r="G2784" t="inlineStr">
        <is>
          <t>Mobile App</t>
        </is>
      </c>
      <c r="H2784" t="inlineStr">
        <is>
          <t>UPI</t>
        </is>
      </c>
      <c r="I2784" t="inlineStr">
        <is>
          <t>Delivered</t>
        </is>
      </c>
      <c r="J2784" t="n">
        <v>103</v>
      </c>
      <c r="K2784" t="n">
        <v>2</v>
      </c>
      <c r="L2784" t="n">
        <v>2624</v>
      </c>
      <c r="M2784" t="n">
        <v>787.2</v>
      </c>
      <c r="N2784">
        <f>VLOOKUP(J2784,Products!$A$2:$C$49,3,FALSE)</f>
        <v/>
      </c>
      <c r="O2784">
        <f>K2784*L2784-M2784</f>
        <v/>
      </c>
      <c r="P2784">
        <f>TEXT(B2784,"yyyy-mm")</f>
        <v/>
      </c>
      <c r="Q2784">
        <f>IF(O2784&gt;=3000,"Large","Small")</f>
        <v/>
      </c>
      <c r="R2784">
        <f>INDEX(Products!$F$2:$F$49,MATCH(J2784,Products!$A$2:$A$49,0))</f>
        <v/>
      </c>
      <c r="S2784">
        <f>WEEKDAY(B2784,2)</f>
        <v/>
      </c>
    </row>
    <row r="2785">
      <c r="A2785" t="n">
        <v>510814</v>
      </c>
      <c r="B2785" s="6" t="n">
        <v>45974</v>
      </c>
      <c r="C2785" t="n">
        <v>17280</v>
      </c>
      <c r="D2785" t="inlineStr">
        <is>
          <t>Lucknow</t>
        </is>
      </c>
      <c r="E2785" t="inlineStr">
        <is>
          <t>North</t>
        </is>
      </c>
      <c r="F2785" t="inlineStr">
        <is>
          <t>Affiliate</t>
        </is>
      </c>
      <c r="G2785" t="inlineStr">
        <is>
          <t>Mobile Web</t>
        </is>
      </c>
      <c r="H2785" t="inlineStr">
        <is>
          <t>UPI</t>
        </is>
      </c>
      <c r="I2785" t="inlineStr">
        <is>
          <t>Delivered</t>
        </is>
      </c>
      <c r="J2785" t="n">
        <v>131</v>
      </c>
      <c r="K2785" t="n">
        <v>2</v>
      </c>
      <c r="L2785" t="n">
        <v>314</v>
      </c>
      <c r="M2785" t="n">
        <v>0</v>
      </c>
      <c r="N2785">
        <f>VLOOKUP(J2785,Products!$A$2:$C$49,3,FALSE)</f>
        <v/>
      </c>
      <c r="O2785">
        <f>K2785*L2785-M2785</f>
        <v/>
      </c>
      <c r="P2785">
        <f>TEXT(B2785,"yyyy-mm")</f>
        <v/>
      </c>
      <c r="Q2785">
        <f>IF(O2785&gt;=3000,"Large","Small")</f>
        <v/>
      </c>
      <c r="R2785">
        <f>INDEX(Products!$F$2:$F$49,MATCH(J2785,Products!$A$2:$A$49,0))</f>
        <v/>
      </c>
      <c r="S2785">
        <f>WEEKDAY(B2785,2)</f>
        <v/>
      </c>
    </row>
    <row r="2786">
      <c r="A2786" t="n">
        <v>510814</v>
      </c>
      <c r="B2786" s="6" t="n">
        <v>45974</v>
      </c>
      <c r="C2786" t="n">
        <v>17280</v>
      </c>
      <c r="D2786" t="inlineStr">
        <is>
          <t>Lucknow</t>
        </is>
      </c>
      <c r="E2786" t="inlineStr">
        <is>
          <t>North</t>
        </is>
      </c>
      <c r="F2786" t="inlineStr">
        <is>
          <t>Affiliate</t>
        </is>
      </c>
      <c r="G2786" t="inlineStr">
        <is>
          <t>Mobile Web</t>
        </is>
      </c>
      <c r="H2786" t="inlineStr">
        <is>
          <t>UPI</t>
        </is>
      </c>
      <c r="I2786" t="inlineStr">
        <is>
          <t>Delivered</t>
        </is>
      </c>
      <c r="J2786" t="n">
        <v>106</v>
      </c>
      <c r="K2786" t="n">
        <v>1</v>
      </c>
      <c r="L2786" t="n">
        <v>1574</v>
      </c>
      <c r="M2786" t="n">
        <v>0</v>
      </c>
      <c r="N2786">
        <f>VLOOKUP(J2786,Products!$A$2:$C$49,3,FALSE)</f>
        <v/>
      </c>
      <c r="O2786">
        <f>K2786*L2786-M2786</f>
        <v/>
      </c>
      <c r="P2786">
        <f>TEXT(B2786,"yyyy-mm")</f>
        <v/>
      </c>
      <c r="Q2786">
        <f>IF(O2786&gt;=3000,"Large","Small")</f>
        <v/>
      </c>
      <c r="R2786">
        <f>INDEX(Products!$F$2:$F$49,MATCH(J2786,Products!$A$2:$A$49,0))</f>
        <v/>
      </c>
      <c r="S2786">
        <f>WEEKDAY(B2786,2)</f>
        <v/>
      </c>
    </row>
    <row r="2787">
      <c r="A2787" t="n">
        <v>510814</v>
      </c>
      <c r="B2787" s="6" t="n">
        <v>45974</v>
      </c>
      <c r="C2787" t="n">
        <v>17280</v>
      </c>
      <c r="D2787" t="inlineStr">
        <is>
          <t>Lucknow</t>
        </is>
      </c>
      <c r="E2787" t="inlineStr">
        <is>
          <t>North</t>
        </is>
      </c>
      <c r="F2787" t="inlineStr">
        <is>
          <t>Affiliate</t>
        </is>
      </c>
      <c r="G2787" t="inlineStr">
        <is>
          <t>Mobile Web</t>
        </is>
      </c>
      <c r="H2787" t="inlineStr">
        <is>
          <t>UPI</t>
        </is>
      </c>
      <c r="I2787" t="inlineStr">
        <is>
          <t>Delivered</t>
        </is>
      </c>
      <c r="J2787" t="n">
        <v>138</v>
      </c>
      <c r="K2787" t="n">
        <v>3</v>
      </c>
      <c r="L2787" t="n">
        <v>419</v>
      </c>
      <c r="M2787" t="n">
        <v>0</v>
      </c>
      <c r="N2787">
        <f>VLOOKUP(J2787,Products!$A$2:$C$49,3,FALSE)</f>
        <v/>
      </c>
      <c r="O2787">
        <f>K2787*L2787-M2787</f>
        <v/>
      </c>
      <c r="P2787">
        <f>TEXT(B2787,"yyyy-mm")</f>
        <v/>
      </c>
      <c r="Q2787">
        <f>IF(O2787&gt;=3000,"Large","Small")</f>
        <v/>
      </c>
      <c r="R2787">
        <f>INDEX(Products!$F$2:$F$49,MATCH(J2787,Products!$A$2:$A$49,0))</f>
        <v/>
      </c>
      <c r="S2787">
        <f>WEEKDAY(B2787,2)</f>
        <v/>
      </c>
    </row>
    <row r="2788">
      <c r="A2788" t="n">
        <v>510814</v>
      </c>
      <c r="B2788" s="6" t="n">
        <v>45974</v>
      </c>
      <c r="C2788" t="n">
        <v>17280</v>
      </c>
      <c r="D2788" t="inlineStr">
        <is>
          <t>Lucknow</t>
        </is>
      </c>
      <c r="E2788" t="inlineStr">
        <is>
          <t>North</t>
        </is>
      </c>
      <c r="F2788" t="inlineStr">
        <is>
          <t>Affiliate</t>
        </is>
      </c>
      <c r="G2788" t="inlineStr">
        <is>
          <t>Mobile Web</t>
        </is>
      </c>
      <c r="H2788" t="inlineStr">
        <is>
          <t>UPI</t>
        </is>
      </c>
      <c r="I2788" t="inlineStr">
        <is>
          <t>Delivered</t>
        </is>
      </c>
      <c r="J2788" t="n">
        <v>147</v>
      </c>
      <c r="K2788" t="n">
        <v>1</v>
      </c>
      <c r="L2788" t="n">
        <v>1364</v>
      </c>
      <c r="M2788" t="n">
        <v>0</v>
      </c>
      <c r="N2788">
        <f>VLOOKUP(J2788,Products!$A$2:$C$49,3,FALSE)</f>
        <v/>
      </c>
      <c r="O2788">
        <f>K2788*L2788-M2788</f>
        <v/>
      </c>
      <c r="P2788">
        <f>TEXT(B2788,"yyyy-mm")</f>
        <v/>
      </c>
      <c r="Q2788">
        <f>IF(O2788&gt;=3000,"Large","Small")</f>
        <v/>
      </c>
      <c r="R2788">
        <f>INDEX(Products!$F$2:$F$49,MATCH(J2788,Products!$A$2:$A$49,0))</f>
        <v/>
      </c>
      <c r="S2788">
        <f>WEEKDAY(B2788,2)</f>
        <v/>
      </c>
    </row>
    <row r="2789">
      <c r="A2789" t="n">
        <v>510815</v>
      </c>
      <c r="B2789" s="6" t="n">
        <v>45974</v>
      </c>
      <c r="C2789" t="n">
        <v>17219</v>
      </c>
      <c r="D2789" t="inlineStr">
        <is>
          <t>Bengaluru</t>
        </is>
      </c>
      <c r="E2789" t="inlineStr">
        <is>
          <t>South</t>
        </is>
      </c>
      <c r="F2789" t="inlineStr">
        <is>
          <t>Paid Social</t>
        </is>
      </c>
      <c r="G2789" t="inlineStr">
        <is>
          <t>Mobile Web</t>
        </is>
      </c>
      <c r="H2789" t="inlineStr">
        <is>
          <t>Credit Card</t>
        </is>
      </c>
      <c r="I2789" t="inlineStr">
        <is>
          <t>Delivered</t>
        </is>
      </c>
      <c r="J2789" t="n">
        <v>139</v>
      </c>
      <c r="K2789" t="n">
        <v>1</v>
      </c>
      <c r="L2789" t="n">
        <v>366</v>
      </c>
      <c r="M2789" t="n">
        <v>0</v>
      </c>
      <c r="N2789">
        <f>VLOOKUP(J2789,Products!$A$2:$C$49,3,FALSE)</f>
        <v/>
      </c>
      <c r="O2789">
        <f>K2789*L2789-M2789</f>
        <v/>
      </c>
      <c r="P2789">
        <f>TEXT(B2789,"yyyy-mm")</f>
        <v/>
      </c>
      <c r="Q2789">
        <f>IF(O2789&gt;=3000,"Large","Small")</f>
        <v/>
      </c>
      <c r="R2789">
        <f>INDEX(Products!$F$2:$F$49,MATCH(J2789,Products!$A$2:$A$49,0))</f>
        <v/>
      </c>
      <c r="S2789">
        <f>WEEKDAY(B2789,2)</f>
        <v/>
      </c>
    </row>
    <row r="2790">
      <c r="A2790" t="n">
        <v>510816</v>
      </c>
      <c r="B2790" s="6" t="n">
        <v>45974</v>
      </c>
      <c r="C2790" t="n">
        <v>17310</v>
      </c>
      <c r="D2790" t="inlineStr">
        <is>
          <t>Gurugram</t>
        </is>
      </c>
      <c r="E2790" t="inlineStr">
        <is>
          <t>North</t>
        </is>
      </c>
      <c r="F2790" t="inlineStr">
        <is>
          <t>Paid Search</t>
        </is>
      </c>
      <c r="G2790" t="inlineStr">
        <is>
          <t>Desktop</t>
        </is>
      </c>
      <c r="H2790" t="inlineStr">
        <is>
          <t>UPI</t>
        </is>
      </c>
      <c r="I2790" t="inlineStr">
        <is>
          <t>Delivered</t>
        </is>
      </c>
      <c r="J2790" t="n">
        <v>123</v>
      </c>
      <c r="K2790" t="n">
        <v>2</v>
      </c>
      <c r="L2790" t="n">
        <v>3464</v>
      </c>
      <c r="M2790" t="n">
        <v>1039.2</v>
      </c>
      <c r="N2790">
        <f>VLOOKUP(J2790,Products!$A$2:$C$49,3,FALSE)</f>
        <v/>
      </c>
      <c r="O2790">
        <f>K2790*L2790-M2790</f>
        <v/>
      </c>
      <c r="P2790">
        <f>TEXT(B2790,"yyyy-mm")</f>
        <v/>
      </c>
      <c r="Q2790">
        <f>IF(O2790&gt;=3000,"Large","Small")</f>
        <v/>
      </c>
      <c r="R2790">
        <f>INDEX(Products!$F$2:$F$49,MATCH(J2790,Products!$A$2:$A$49,0))</f>
        <v/>
      </c>
      <c r="S2790">
        <f>WEEKDAY(B2790,2)</f>
        <v/>
      </c>
    </row>
    <row r="2791">
      <c r="A2791" t="n">
        <v>510817</v>
      </c>
      <c r="B2791" s="6" t="n">
        <v>45974</v>
      </c>
      <c r="C2791" t="n">
        <v>16643</v>
      </c>
      <c r="D2791" t="inlineStr">
        <is>
          <t>Delhi</t>
        </is>
      </c>
      <c r="E2791" t="inlineStr">
        <is>
          <t>North</t>
        </is>
      </c>
      <c r="F2791" t="inlineStr">
        <is>
          <t>Referral</t>
        </is>
      </c>
      <c r="G2791" t="inlineStr">
        <is>
          <t>Mobile App</t>
        </is>
      </c>
      <c r="H2791" t="inlineStr">
        <is>
          <t>Debit Card</t>
        </is>
      </c>
      <c r="I2791" t="inlineStr">
        <is>
          <t>Delivered</t>
        </is>
      </c>
      <c r="J2791" t="n">
        <v>126</v>
      </c>
      <c r="K2791" t="n">
        <v>1</v>
      </c>
      <c r="L2791" t="n">
        <v>471</v>
      </c>
      <c r="M2791" t="n">
        <v>0</v>
      </c>
      <c r="N2791">
        <f>VLOOKUP(J2791,Products!$A$2:$C$49,3,FALSE)</f>
        <v/>
      </c>
      <c r="O2791">
        <f>K2791*L2791-M2791</f>
        <v/>
      </c>
      <c r="P2791">
        <f>TEXT(B2791,"yyyy-mm")</f>
        <v/>
      </c>
      <c r="Q2791">
        <f>IF(O2791&gt;=3000,"Large","Small")</f>
        <v/>
      </c>
      <c r="R2791">
        <f>INDEX(Products!$F$2:$F$49,MATCH(J2791,Products!$A$2:$A$49,0))</f>
        <v/>
      </c>
      <c r="S2791">
        <f>WEEKDAY(B2791,2)</f>
        <v/>
      </c>
    </row>
    <row r="2792">
      <c r="A2792" t="n">
        <v>510817</v>
      </c>
      <c r="B2792" s="6" t="n">
        <v>45974</v>
      </c>
      <c r="C2792" t="n">
        <v>16643</v>
      </c>
      <c r="D2792" t="inlineStr">
        <is>
          <t>Delhi</t>
        </is>
      </c>
      <c r="E2792" t="inlineStr">
        <is>
          <t>North</t>
        </is>
      </c>
      <c r="F2792" t="inlineStr">
        <is>
          <t>Referral</t>
        </is>
      </c>
      <c r="G2792" t="inlineStr">
        <is>
          <t>Mobile App</t>
        </is>
      </c>
      <c r="H2792" t="inlineStr">
        <is>
          <t>Debit Card</t>
        </is>
      </c>
      <c r="I2792" t="inlineStr">
        <is>
          <t>Delivered</t>
        </is>
      </c>
      <c r="J2792" t="n">
        <v>116</v>
      </c>
      <c r="K2792" t="n">
        <v>1</v>
      </c>
      <c r="L2792" t="n">
        <v>2624</v>
      </c>
      <c r="M2792" t="n">
        <v>0</v>
      </c>
      <c r="N2792">
        <f>VLOOKUP(J2792,Products!$A$2:$C$49,3,FALSE)</f>
        <v/>
      </c>
      <c r="O2792">
        <f>K2792*L2792-M2792</f>
        <v/>
      </c>
      <c r="P2792">
        <f>TEXT(B2792,"yyyy-mm")</f>
        <v/>
      </c>
      <c r="Q2792">
        <f>IF(O2792&gt;=3000,"Large","Small")</f>
        <v/>
      </c>
      <c r="R2792">
        <f>INDEX(Products!$F$2:$F$49,MATCH(J2792,Products!$A$2:$A$49,0))</f>
        <v/>
      </c>
      <c r="S2792">
        <f>WEEKDAY(B2792,2)</f>
        <v/>
      </c>
    </row>
    <row r="2793">
      <c r="A2793" t="n">
        <v>510818</v>
      </c>
      <c r="B2793" s="6" t="n">
        <v>45974</v>
      </c>
      <c r="C2793" t="n">
        <v>17271</v>
      </c>
      <c r="D2793" t="inlineStr">
        <is>
          <t>Bengaluru</t>
        </is>
      </c>
      <c r="E2793" t="inlineStr">
        <is>
          <t>South</t>
        </is>
      </c>
      <c r="F2793" t="inlineStr">
        <is>
          <t>Affiliate</t>
        </is>
      </c>
      <c r="G2793" t="inlineStr">
        <is>
          <t>Mobile App</t>
        </is>
      </c>
      <c r="H2793" t="inlineStr">
        <is>
          <t>Credit Card</t>
        </is>
      </c>
      <c r="I2793" t="inlineStr">
        <is>
          <t>Delivered</t>
        </is>
      </c>
      <c r="J2793" t="n">
        <v>131</v>
      </c>
      <c r="K2793" t="n">
        <v>1</v>
      </c>
      <c r="L2793" t="n">
        <v>314</v>
      </c>
      <c r="M2793" t="n">
        <v>0</v>
      </c>
      <c r="N2793">
        <f>VLOOKUP(J2793,Products!$A$2:$C$49,3,FALSE)</f>
        <v/>
      </c>
      <c r="O2793">
        <f>K2793*L2793-M2793</f>
        <v/>
      </c>
      <c r="P2793">
        <f>TEXT(B2793,"yyyy-mm")</f>
        <v/>
      </c>
      <c r="Q2793">
        <f>IF(O2793&gt;=3000,"Large","Small")</f>
        <v/>
      </c>
      <c r="R2793">
        <f>INDEX(Products!$F$2:$F$49,MATCH(J2793,Products!$A$2:$A$49,0))</f>
        <v/>
      </c>
      <c r="S2793">
        <f>WEEKDAY(B2793,2)</f>
        <v/>
      </c>
    </row>
    <row r="2794">
      <c r="A2794" t="n">
        <v>510818</v>
      </c>
      <c r="B2794" s="6" t="n">
        <v>45974</v>
      </c>
      <c r="C2794" t="n">
        <v>17271</v>
      </c>
      <c r="D2794" t="inlineStr">
        <is>
          <t>Bengaluru</t>
        </is>
      </c>
      <c r="E2794" t="inlineStr">
        <is>
          <t>South</t>
        </is>
      </c>
      <c r="F2794" t="inlineStr">
        <is>
          <t>Affiliate</t>
        </is>
      </c>
      <c r="G2794" t="inlineStr">
        <is>
          <t>Mobile App</t>
        </is>
      </c>
      <c r="H2794" t="inlineStr">
        <is>
          <t>Credit Card</t>
        </is>
      </c>
      <c r="I2794" t="inlineStr">
        <is>
          <t>Delivered</t>
        </is>
      </c>
      <c r="J2794" t="n">
        <v>134</v>
      </c>
      <c r="K2794" t="n">
        <v>1</v>
      </c>
      <c r="L2794" t="n">
        <v>209</v>
      </c>
      <c r="M2794" t="n">
        <v>0</v>
      </c>
      <c r="N2794">
        <f>VLOOKUP(J2794,Products!$A$2:$C$49,3,FALSE)</f>
        <v/>
      </c>
      <c r="O2794">
        <f>K2794*L2794-M2794</f>
        <v/>
      </c>
      <c r="P2794">
        <f>TEXT(B2794,"yyyy-mm")</f>
        <v/>
      </c>
      <c r="Q2794">
        <f>IF(O2794&gt;=3000,"Large","Small")</f>
        <v/>
      </c>
      <c r="R2794">
        <f>INDEX(Products!$F$2:$F$49,MATCH(J2794,Products!$A$2:$A$49,0))</f>
        <v/>
      </c>
      <c r="S2794">
        <f>WEEKDAY(B2794,2)</f>
        <v/>
      </c>
    </row>
    <row r="2795">
      <c r="A2795" t="n">
        <v>510818</v>
      </c>
      <c r="B2795" s="6" t="n">
        <v>45974</v>
      </c>
      <c r="C2795" t="n">
        <v>17271</v>
      </c>
      <c r="D2795" t="inlineStr">
        <is>
          <t>Bengaluru</t>
        </is>
      </c>
      <c r="E2795" t="inlineStr">
        <is>
          <t>South</t>
        </is>
      </c>
      <c r="F2795" t="inlineStr">
        <is>
          <t>Affiliate</t>
        </is>
      </c>
      <c r="G2795" t="inlineStr">
        <is>
          <t>Mobile App</t>
        </is>
      </c>
      <c r="H2795" t="inlineStr">
        <is>
          <t>Credit Card</t>
        </is>
      </c>
      <c r="I2795" t="inlineStr">
        <is>
          <t>Delivered</t>
        </is>
      </c>
      <c r="J2795" t="n">
        <v>104</v>
      </c>
      <c r="K2795" t="n">
        <v>1</v>
      </c>
      <c r="L2795" t="n">
        <v>5249</v>
      </c>
      <c r="M2795" t="n">
        <v>0</v>
      </c>
      <c r="N2795">
        <f>VLOOKUP(J2795,Products!$A$2:$C$49,3,FALSE)</f>
        <v/>
      </c>
      <c r="O2795">
        <f>K2795*L2795-M2795</f>
        <v/>
      </c>
      <c r="P2795">
        <f>TEXT(B2795,"yyyy-mm")</f>
        <v/>
      </c>
      <c r="Q2795">
        <f>IF(O2795&gt;=3000,"Large","Small")</f>
        <v/>
      </c>
      <c r="R2795">
        <f>INDEX(Products!$F$2:$F$49,MATCH(J2795,Products!$A$2:$A$49,0))</f>
        <v/>
      </c>
      <c r="S2795">
        <f>WEEKDAY(B2795,2)</f>
        <v/>
      </c>
    </row>
    <row r="2796">
      <c r="A2796" t="n">
        <v>510818</v>
      </c>
      <c r="B2796" s="6" t="n">
        <v>45974</v>
      </c>
      <c r="C2796" t="n">
        <v>17271</v>
      </c>
      <c r="D2796" t="inlineStr">
        <is>
          <t>Bengaluru</t>
        </is>
      </c>
      <c r="E2796" t="inlineStr">
        <is>
          <t>South</t>
        </is>
      </c>
      <c r="F2796" t="inlineStr">
        <is>
          <t>Affiliate</t>
        </is>
      </c>
      <c r="G2796" t="inlineStr">
        <is>
          <t>Mobile App</t>
        </is>
      </c>
      <c r="H2796" t="inlineStr">
        <is>
          <t>Credit Card</t>
        </is>
      </c>
      <c r="I2796" t="inlineStr">
        <is>
          <t>Delivered</t>
        </is>
      </c>
      <c r="J2796" t="n">
        <v>107</v>
      </c>
      <c r="K2796" t="n">
        <v>1</v>
      </c>
      <c r="L2796" t="n">
        <v>1259</v>
      </c>
      <c r="M2796" t="n">
        <v>0</v>
      </c>
      <c r="N2796">
        <f>VLOOKUP(J2796,Products!$A$2:$C$49,3,FALSE)</f>
        <v/>
      </c>
      <c r="O2796">
        <f>K2796*L2796-M2796</f>
        <v/>
      </c>
      <c r="P2796">
        <f>TEXT(B2796,"yyyy-mm")</f>
        <v/>
      </c>
      <c r="Q2796">
        <f>IF(O2796&gt;=3000,"Large","Small")</f>
        <v/>
      </c>
      <c r="R2796">
        <f>INDEX(Products!$F$2:$F$49,MATCH(J2796,Products!$A$2:$A$49,0))</f>
        <v/>
      </c>
      <c r="S2796">
        <f>WEEKDAY(B2796,2)</f>
        <v/>
      </c>
    </row>
    <row r="2797">
      <c r="A2797" t="n">
        <v>510819</v>
      </c>
      <c r="B2797" s="6" t="n">
        <v>45974</v>
      </c>
      <c r="C2797" t="n">
        <v>14158</v>
      </c>
      <c r="D2797" t="inlineStr">
        <is>
          <t>Gurugram</t>
        </is>
      </c>
      <c r="E2797" t="inlineStr">
        <is>
          <t>North</t>
        </is>
      </c>
      <c r="F2797" t="inlineStr">
        <is>
          <t>Referral</t>
        </is>
      </c>
      <c r="G2797" t="inlineStr">
        <is>
          <t>Desktop</t>
        </is>
      </c>
      <c r="H2797" t="inlineStr">
        <is>
          <t>UPI</t>
        </is>
      </c>
      <c r="I2797" t="inlineStr">
        <is>
          <t>Delivered</t>
        </is>
      </c>
      <c r="J2797" t="n">
        <v>145</v>
      </c>
      <c r="K2797" t="n">
        <v>1</v>
      </c>
      <c r="L2797" t="n">
        <v>629</v>
      </c>
      <c r="M2797" t="n">
        <v>0</v>
      </c>
      <c r="N2797">
        <f>VLOOKUP(J2797,Products!$A$2:$C$49,3,FALSE)</f>
        <v/>
      </c>
      <c r="O2797">
        <f>K2797*L2797-M2797</f>
        <v/>
      </c>
      <c r="P2797">
        <f>TEXT(B2797,"yyyy-mm")</f>
        <v/>
      </c>
      <c r="Q2797">
        <f>IF(O2797&gt;=3000,"Large","Small")</f>
        <v/>
      </c>
      <c r="R2797">
        <f>INDEX(Products!$F$2:$F$49,MATCH(J2797,Products!$A$2:$A$49,0))</f>
        <v/>
      </c>
      <c r="S2797">
        <f>WEEKDAY(B2797,2)</f>
        <v/>
      </c>
    </row>
    <row r="2798">
      <c r="A2798" t="n">
        <v>510820</v>
      </c>
      <c r="B2798" s="6" t="n">
        <v>45974</v>
      </c>
      <c r="C2798" t="n">
        <v>17295</v>
      </c>
      <c r="D2798" t="inlineStr">
        <is>
          <t>Mumbai</t>
        </is>
      </c>
      <c r="E2798" t="inlineStr">
        <is>
          <t>West</t>
        </is>
      </c>
      <c r="F2798" t="inlineStr">
        <is>
          <t>Paid Search</t>
        </is>
      </c>
      <c r="G2798" t="inlineStr">
        <is>
          <t>Mobile App</t>
        </is>
      </c>
      <c r="H2798" t="inlineStr">
        <is>
          <t>UPI</t>
        </is>
      </c>
      <c r="I2798" t="inlineStr">
        <is>
          <t>Delivered</t>
        </is>
      </c>
      <c r="J2798" t="n">
        <v>112</v>
      </c>
      <c r="K2798" t="n">
        <v>1</v>
      </c>
      <c r="L2798" t="n">
        <v>1574</v>
      </c>
      <c r="M2798" t="n">
        <v>0</v>
      </c>
      <c r="N2798">
        <f>VLOOKUP(J2798,Products!$A$2:$C$49,3,FALSE)</f>
        <v/>
      </c>
      <c r="O2798">
        <f>K2798*L2798-M2798</f>
        <v/>
      </c>
      <c r="P2798">
        <f>TEXT(B2798,"yyyy-mm")</f>
        <v/>
      </c>
      <c r="Q2798">
        <f>IF(O2798&gt;=3000,"Large","Small")</f>
        <v/>
      </c>
      <c r="R2798">
        <f>INDEX(Products!$F$2:$F$49,MATCH(J2798,Products!$A$2:$A$49,0))</f>
        <v/>
      </c>
      <c r="S2798">
        <f>WEEKDAY(B2798,2)</f>
        <v/>
      </c>
    </row>
    <row r="2799">
      <c r="A2799" t="n">
        <v>510821</v>
      </c>
      <c r="B2799" s="6" t="n">
        <v>45974</v>
      </c>
      <c r="C2799" t="n">
        <v>14808</v>
      </c>
      <c r="D2799" t="inlineStr">
        <is>
          <t>Chennai</t>
        </is>
      </c>
      <c r="E2799" t="inlineStr">
        <is>
          <t>South</t>
        </is>
      </c>
      <c r="F2799" t="inlineStr">
        <is>
          <t>Organic Search</t>
        </is>
      </c>
      <c r="G2799" t="inlineStr">
        <is>
          <t>Mobile App</t>
        </is>
      </c>
      <c r="H2799" t="inlineStr">
        <is>
          <t>Cash on Delivery</t>
        </is>
      </c>
      <c r="I2799" t="inlineStr">
        <is>
          <t>Delivered</t>
        </is>
      </c>
      <c r="J2799" t="n">
        <v>144</v>
      </c>
      <c r="K2799" t="n">
        <v>1</v>
      </c>
      <c r="L2799" t="n">
        <v>3149</v>
      </c>
      <c r="M2799" t="n">
        <v>0</v>
      </c>
      <c r="N2799">
        <f>VLOOKUP(J2799,Products!$A$2:$C$49,3,FALSE)</f>
        <v/>
      </c>
      <c r="O2799">
        <f>K2799*L2799-M2799</f>
        <v/>
      </c>
      <c r="P2799">
        <f>TEXT(B2799,"yyyy-mm")</f>
        <v/>
      </c>
      <c r="Q2799">
        <f>IF(O2799&gt;=3000,"Large","Small")</f>
        <v/>
      </c>
      <c r="R2799">
        <f>INDEX(Products!$F$2:$F$49,MATCH(J2799,Products!$A$2:$A$49,0))</f>
        <v/>
      </c>
      <c r="S2799">
        <f>WEEKDAY(B2799,2)</f>
        <v/>
      </c>
    </row>
    <row r="2800">
      <c r="A2800" t="n">
        <v>510822</v>
      </c>
      <c r="B2800" s="6" t="n">
        <v>45974</v>
      </c>
      <c r="C2800" t="n">
        <v>17252</v>
      </c>
      <c r="D2800" t="inlineStr">
        <is>
          <t>Pune</t>
        </is>
      </c>
      <c r="E2800" t="inlineStr">
        <is>
          <t>West</t>
        </is>
      </c>
      <c r="F2800" t="inlineStr">
        <is>
          <t>Organic Search</t>
        </is>
      </c>
      <c r="G2800" t="inlineStr">
        <is>
          <t>Mobile App</t>
        </is>
      </c>
      <c r="H2800" t="inlineStr">
        <is>
          <t>Cash on Delivery</t>
        </is>
      </c>
      <c r="I2800" t="inlineStr">
        <is>
          <t>Cancelled</t>
        </is>
      </c>
      <c r="J2800" t="n">
        <v>127</v>
      </c>
      <c r="K2800" t="n">
        <v>1</v>
      </c>
      <c r="L2800" t="n">
        <v>681</v>
      </c>
      <c r="M2800" t="n">
        <v>0</v>
      </c>
      <c r="N2800">
        <f>VLOOKUP(J2800,Products!$A$2:$C$49,3,FALSE)</f>
        <v/>
      </c>
      <c r="O2800">
        <f>K2800*L2800-M2800</f>
        <v/>
      </c>
      <c r="P2800">
        <f>TEXT(B2800,"yyyy-mm")</f>
        <v/>
      </c>
      <c r="Q2800">
        <f>IF(O2800&gt;=3000,"Large","Small")</f>
        <v/>
      </c>
      <c r="R2800">
        <f>INDEX(Products!$F$2:$F$49,MATCH(J2800,Products!$A$2:$A$49,0))</f>
        <v/>
      </c>
      <c r="S2800">
        <f>WEEKDAY(B2800,2)</f>
        <v/>
      </c>
    </row>
    <row r="2801">
      <c r="A2801" t="n">
        <v>510823</v>
      </c>
      <c r="B2801" s="6" t="n">
        <v>45974</v>
      </c>
      <c r="C2801" t="n">
        <v>17318</v>
      </c>
      <c r="D2801" t="inlineStr">
        <is>
          <t>Ahmedabad</t>
        </is>
      </c>
      <c r="E2801" t="inlineStr">
        <is>
          <t>West</t>
        </is>
      </c>
      <c r="F2801" t="inlineStr">
        <is>
          <t>Organic Search</t>
        </is>
      </c>
      <c r="G2801" t="inlineStr">
        <is>
          <t>Mobile App</t>
        </is>
      </c>
      <c r="H2801" t="inlineStr">
        <is>
          <t>Credit Card</t>
        </is>
      </c>
      <c r="I2801" t="inlineStr">
        <is>
          <t>Returned</t>
        </is>
      </c>
      <c r="J2801" t="n">
        <v>103</v>
      </c>
      <c r="K2801" t="n">
        <v>1</v>
      </c>
      <c r="L2801" t="n">
        <v>2624</v>
      </c>
      <c r="M2801" t="n">
        <v>393.6</v>
      </c>
      <c r="N2801">
        <f>VLOOKUP(J2801,Products!$A$2:$C$49,3,FALSE)</f>
        <v/>
      </c>
      <c r="O2801">
        <f>K2801*L2801-M2801</f>
        <v/>
      </c>
      <c r="P2801">
        <f>TEXT(B2801,"yyyy-mm")</f>
        <v/>
      </c>
      <c r="Q2801">
        <f>IF(O2801&gt;=3000,"Large","Small")</f>
        <v/>
      </c>
      <c r="R2801">
        <f>INDEX(Products!$F$2:$F$49,MATCH(J2801,Products!$A$2:$A$49,0))</f>
        <v/>
      </c>
      <c r="S2801">
        <f>WEEKDAY(B2801,2)</f>
        <v/>
      </c>
    </row>
    <row r="2802">
      <c r="A2802" t="n">
        <v>510823</v>
      </c>
      <c r="B2802" s="6" t="n">
        <v>45974</v>
      </c>
      <c r="C2802" t="n">
        <v>17318</v>
      </c>
      <c r="D2802" t="inlineStr">
        <is>
          <t>Ahmedabad</t>
        </is>
      </c>
      <c r="E2802" t="inlineStr">
        <is>
          <t>West</t>
        </is>
      </c>
      <c r="F2802" t="inlineStr">
        <is>
          <t>Organic Search</t>
        </is>
      </c>
      <c r="G2802" t="inlineStr">
        <is>
          <t>Mobile App</t>
        </is>
      </c>
      <c r="H2802" t="inlineStr">
        <is>
          <t>Credit Card</t>
        </is>
      </c>
      <c r="I2802" t="inlineStr">
        <is>
          <t>Returned</t>
        </is>
      </c>
      <c r="J2802" t="n">
        <v>140</v>
      </c>
      <c r="K2802" t="n">
        <v>1</v>
      </c>
      <c r="L2802" t="n">
        <v>629</v>
      </c>
      <c r="M2802" t="n">
        <v>94.34999999999999</v>
      </c>
      <c r="N2802">
        <f>VLOOKUP(J2802,Products!$A$2:$C$49,3,FALSE)</f>
        <v/>
      </c>
      <c r="O2802">
        <f>K2802*L2802-M2802</f>
        <v/>
      </c>
      <c r="P2802">
        <f>TEXT(B2802,"yyyy-mm")</f>
        <v/>
      </c>
      <c r="Q2802">
        <f>IF(O2802&gt;=3000,"Large","Small")</f>
        <v/>
      </c>
      <c r="R2802">
        <f>INDEX(Products!$F$2:$F$49,MATCH(J2802,Products!$A$2:$A$49,0))</f>
        <v/>
      </c>
      <c r="S2802">
        <f>WEEKDAY(B2802,2)</f>
        <v/>
      </c>
    </row>
    <row r="2803">
      <c r="A2803" t="n">
        <v>510823</v>
      </c>
      <c r="B2803" s="6" t="n">
        <v>45974</v>
      </c>
      <c r="C2803" t="n">
        <v>17318</v>
      </c>
      <c r="D2803" t="inlineStr">
        <is>
          <t>Ahmedabad</t>
        </is>
      </c>
      <c r="E2803" t="inlineStr">
        <is>
          <t>West</t>
        </is>
      </c>
      <c r="F2803" t="inlineStr">
        <is>
          <t>Organic Search</t>
        </is>
      </c>
      <c r="G2803" t="inlineStr">
        <is>
          <t>Mobile App</t>
        </is>
      </c>
      <c r="H2803" t="inlineStr">
        <is>
          <t>Credit Card</t>
        </is>
      </c>
      <c r="I2803" t="inlineStr">
        <is>
          <t>Returned</t>
        </is>
      </c>
      <c r="J2803" t="n">
        <v>113</v>
      </c>
      <c r="K2803" t="n">
        <v>2</v>
      </c>
      <c r="L2803" t="n">
        <v>1364</v>
      </c>
      <c r="M2803" t="n">
        <v>409.2</v>
      </c>
      <c r="N2803">
        <f>VLOOKUP(J2803,Products!$A$2:$C$49,3,FALSE)</f>
        <v/>
      </c>
      <c r="O2803">
        <f>K2803*L2803-M2803</f>
        <v/>
      </c>
      <c r="P2803">
        <f>TEXT(B2803,"yyyy-mm")</f>
        <v/>
      </c>
      <c r="Q2803">
        <f>IF(O2803&gt;=3000,"Large","Small")</f>
        <v/>
      </c>
      <c r="R2803">
        <f>INDEX(Products!$F$2:$F$49,MATCH(J2803,Products!$A$2:$A$49,0))</f>
        <v/>
      </c>
      <c r="S2803">
        <f>WEEKDAY(B2803,2)</f>
        <v/>
      </c>
    </row>
    <row r="2804">
      <c r="A2804" t="n">
        <v>510824</v>
      </c>
      <c r="B2804" s="6" t="n">
        <v>45974</v>
      </c>
      <c r="C2804" t="n">
        <v>17276</v>
      </c>
      <c r="D2804" t="inlineStr">
        <is>
          <t>Hyderabad</t>
        </is>
      </c>
      <c r="E2804" t="inlineStr">
        <is>
          <t>South</t>
        </is>
      </c>
      <c r="F2804" t="inlineStr">
        <is>
          <t>Referral</t>
        </is>
      </c>
      <c r="G2804" t="inlineStr">
        <is>
          <t>Mobile App</t>
        </is>
      </c>
      <c r="H2804" t="inlineStr">
        <is>
          <t>UPI</t>
        </is>
      </c>
      <c r="I2804" t="inlineStr">
        <is>
          <t>Delivered</t>
        </is>
      </c>
      <c r="J2804" t="n">
        <v>127</v>
      </c>
      <c r="K2804" t="n">
        <v>1</v>
      </c>
      <c r="L2804" t="n">
        <v>681</v>
      </c>
      <c r="M2804" t="n">
        <v>102.15</v>
      </c>
      <c r="N2804">
        <f>VLOOKUP(J2804,Products!$A$2:$C$49,3,FALSE)</f>
        <v/>
      </c>
      <c r="O2804">
        <f>K2804*L2804-M2804</f>
        <v/>
      </c>
      <c r="P2804">
        <f>TEXT(B2804,"yyyy-mm")</f>
        <v/>
      </c>
      <c r="Q2804">
        <f>IF(O2804&gt;=3000,"Large","Small")</f>
        <v/>
      </c>
      <c r="R2804">
        <f>INDEX(Products!$F$2:$F$49,MATCH(J2804,Products!$A$2:$A$49,0))</f>
        <v/>
      </c>
      <c r="S2804">
        <f>WEEKDAY(B2804,2)</f>
        <v/>
      </c>
    </row>
    <row r="2805">
      <c r="A2805" t="n">
        <v>510825</v>
      </c>
      <c r="B2805" s="6" t="n">
        <v>45974</v>
      </c>
      <c r="C2805" t="n">
        <v>17301</v>
      </c>
      <c r="D2805" t="inlineStr">
        <is>
          <t>Bengaluru</t>
        </is>
      </c>
      <c r="E2805" t="inlineStr">
        <is>
          <t>South</t>
        </is>
      </c>
      <c r="F2805" t="inlineStr">
        <is>
          <t>Organic Search</t>
        </is>
      </c>
      <c r="G2805" t="inlineStr">
        <is>
          <t>Mobile Web</t>
        </is>
      </c>
      <c r="H2805" t="inlineStr">
        <is>
          <t>Credit Card</t>
        </is>
      </c>
      <c r="I2805" t="inlineStr">
        <is>
          <t>Delivered</t>
        </is>
      </c>
      <c r="J2805" t="n">
        <v>106</v>
      </c>
      <c r="K2805" t="n">
        <v>3</v>
      </c>
      <c r="L2805" t="n">
        <v>1574</v>
      </c>
      <c r="M2805" t="n">
        <v>0</v>
      </c>
      <c r="N2805">
        <f>VLOOKUP(J2805,Products!$A$2:$C$49,3,FALSE)</f>
        <v/>
      </c>
      <c r="O2805">
        <f>K2805*L2805-M2805</f>
        <v/>
      </c>
      <c r="P2805">
        <f>TEXT(B2805,"yyyy-mm")</f>
        <v/>
      </c>
      <c r="Q2805">
        <f>IF(O2805&gt;=3000,"Large","Small")</f>
        <v/>
      </c>
      <c r="R2805">
        <f>INDEX(Products!$F$2:$F$49,MATCH(J2805,Products!$A$2:$A$49,0))</f>
        <v/>
      </c>
      <c r="S2805">
        <f>WEEKDAY(B2805,2)</f>
        <v/>
      </c>
    </row>
    <row r="2806">
      <c r="A2806" t="n">
        <v>510826</v>
      </c>
      <c r="B2806" s="6" t="n">
        <v>45975</v>
      </c>
      <c r="C2806" t="n">
        <v>17317</v>
      </c>
      <c r="D2806" t="inlineStr">
        <is>
          <t>Delhi</t>
        </is>
      </c>
      <c r="E2806" t="inlineStr">
        <is>
          <t>North</t>
        </is>
      </c>
      <c r="F2806" t="inlineStr">
        <is>
          <t>Paid Social</t>
        </is>
      </c>
      <c r="G2806" t="inlineStr">
        <is>
          <t>Mobile App</t>
        </is>
      </c>
      <c r="H2806" t="inlineStr">
        <is>
          <t>Cash on Delivery</t>
        </is>
      </c>
      <c r="I2806" t="inlineStr">
        <is>
          <t>Delivered</t>
        </is>
      </c>
      <c r="J2806" t="n">
        <v>118</v>
      </c>
      <c r="K2806" t="n">
        <v>1</v>
      </c>
      <c r="L2806" t="n">
        <v>944</v>
      </c>
      <c r="M2806" t="n">
        <v>141.6</v>
      </c>
      <c r="N2806">
        <f>VLOOKUP(J2806,Products!$A$2:$C$49,3,FALSE)</f>
        <v/>
      </c>
      <c r="O2806">
        <f>K2806*L2806-M2806</f>
        <v/>
      </c>
      <c r="P2806">
        <f>TEXT(B2806,"yyyy-mm")</f>
        <v/>
      </c>
      <c r="Q2806">
        <f>IF(O2806&gt;=3000,"Large","Small")</f>
        <v/>
      </c>
      <c r="R2806">
        <f>INDEX(Products!$F$2:$F$49,MATCH(J2806,Products!$A$2:$A$49,0))</f>
        <v/>
      </c>
      <c r="S2806">
        <f>WEEKDAY(B2806,2)</f>
        <v/>
      </c>
    </row>
    <row r="2807">
      <c r="A2807" t="n">
        <v>510826</v>
      </c>
      <c r="B2807" s="6" t="n">
        <v>45975</v>
      </c>
      <c r="C2807" t="n">
        <v>17317</v>
      </c>
      <c r="D2807" t="inlineStr">
        <is>
          <t>Delhi</t>
        </is>
      </c>
      <c r="E2807" t="inlineStr">
        <is>
          <t>North</t>
        </is>
      </c>
      <c r="F2807" t="inlineStr">
        <is>
          <t>Paid Social</t>
        </is>
      </c>
      <c r="G2807" t="inlineStr">
        <is>
          <t>Mobile App</t>
        </is>
      </c>
      <c r="H2807" t="inlineStr">
        <is>
          <t>Cash on Delivery</t>
        </is>
      </c>
      <c r="I2807" t="inlineStr">
        <is>
          <t>Delivered</t>
        </is>
      </c>
      <c r="J2807" t="n">
        <v>113</v>
      </c>
      <c r="K2807" t="n">
        <v>1</v>
      </c>
      <c r="L2807" t="n">
        <v>1364</v>
      </c>
      <c r="M2807" t="n">
        <v>204.6</v>
      </c>
      <c r="N2807">
        <f>VLOOKUP(J2807,Products!$A$2:$C$49,3,FALSE)</f>
        <v/>
      </c>
      <c r="O2807">
        <f>K2807*L2807-M2807</f>
        <v/>
      </c>
      <c r="P2807">
        <f>TEXT(B2807,"yyyy-mm")</f>
        <v/>
      </c>
      <c r="Q2807">
        <f>IF(O2807&gt;=3000,"Large","Small")</f>
        <v/>
      </c>
      <c r="R2807">
        <f>INDEX(Products!$F$2:$F$49,MATCH(J2807,Products!$A$2:$A$49,0))</f>
        <v/>
      </c>
      <c r="S2807">
        <f>WEEKDAY(B2807,2)</f>
        <v/>
      </c>
    </row>
    <row r="2808">
      <c r="A2808" t="n">
        <v>510827</v>
      </c>
      <c r="B2808" s="6" t="n">
        <v>45975</v>
      </c>
      <c r="C2808" t="n">
        <v>17246</v>
      </c>
      <c r="D2808" t="inlineStr">
        <is>
          <t>Mumbai</t>
        </is>
      </c>
      <c r="E2808" t="inlineStr">
        <is>
          <t>West</t>
        </is>
      </c>
      <c r="F2808" t="inlineStr">
        <is>
          <t>Paid Search</t>
        </is>
      </c>
      <c r="G2808" t="inlineStr">
        <is>
          <t>Mobile App</t>
        </is>
      </c>
      <c r="H2808" t="inlineStr">
        <is>
          <t>Cash on Delivery</t>
        </is>
      </c>
      <c r="I2808" t="inlineStr">
        <is>
          <t>Cancelled</t>
        </is>
      </c>
      <c r="J2808" t="n">
        <v>111</v>
      </c>
      <c r="K2808" t="n">
        <v>1</v>
      </c>
      <c r="L2808" t="n">
        <v>524</v>
      </c>
      <c r="M2808" t="n">
        <v>78.59999999999999</v>
      </c>
      <c r="N2808">
        <f>VLOOKUP(J2808,Products!$A$2:$C$49,3,FALSE)</f>
        <v/>
      </c>
      <c r="O2808">
        <f>K2808*L2808-M2808</f>
        <v/>
      </c>
      <c r="P2808">
        <f>TEXT(B2808,"yyyy-mm")</f>
        <v/>
      </c>
      <c r="Q2808">
        <f>IF(O2808&gt;=3000,"Large","Small")</f>
        <v/>
      </c>
      <c r="R2808">
        <f>INDEX(Products!$F$2:$F$49,MATCH(J2808,Products!$A$2:$A$49,0))</f>
        <v/>
      </c>
      <c r="S2808">
        <f>WEEKDAY(B2808,2)</f>
        <v/>
      </c>
    </row>
    <row r="2809">
      <c r="A2809" t="n">
        <v>510827</v>
      </c>
      <c r="B2809" s="6" t="n">
        <v>45975</v>
      </c>
      <c r="C2809" t="n">
        <v>17246</v>
      </c>
      <c r="D2809" t="inlineStr">
        <is>
          <t>Mumbai</t>
        </is>
      </c>
      <c r="E2809" t="inlineStr">
        <is>
          <t>West</t>
        </is>
      </c>
      <c r="F2809" t="inlineStr">
        <is>
          <t>Paid Search</t>
        </is>
      </c>
      <c r="G2809" t="inlineStr">
        <is>
          <t>Mobile App</t>
        </is>
      </c>
      <c r="H2809" t="inlineStr">
        <is>
          <t>Cash on Delivery</t>
        </is>
      </c>
      <c r="I2809" t="inlineStr">
        <is>
          <t>Cancelled</t>
        </is>
      </c>
      <c r="J2809" t="n">
        <v>135</v>
      </c>
      <c r="K2809" t="n">
        <v>1</v>
      </c>
      <c r="L2809" t="n">
        <v>1574</v>
      </c>
      <c r="M2809" t="n">
        <v>236.1</v>
      </c>
      <c r="N2809">
        <f>VLOOKUP(J2809,Products!$A$2:$C$49,3,FALSE)</f>
        <v/>
      </c>
      <c r="O2809">
        <f>K2809*L2809-M2809</f>
        <v/>
      </c>
      <c r="P2809">
        <f>TEXT(B2809,"yyyy-mm")</f>
        <v/>
      </c>
      <c r="Q2809">
        <f>IF(O2809&gt;=3000,"Large","Small")</f>
        <v/>
      </c>
      <c r="R2809">
        <f>INDEX(Products!$F$2:$F$49,MATCH(J2809,Products!$A$2:$A$49,0))</f>
        <v/>
      </c>
      <c r="S2809">
        <f>WEEKDAY(B2809,2)</f>
        <v/>
      </c>
    </row>
    <row r="2810">
      <c r="A2810" t="n">
        <v>510828</v>
      </c>
      <c r="B2810" s="6" t="n">
        <v>45975</v>
      </c>
      <c r="C2810" t="n">
        <v>17207</v>
      </c>
      <c r="D2810" t="inlineStr">
        <is>
          <t>Chandigarh</t>
        </is>
      </c>
      <c r="E2810" t="inlineStr">
        <is>
          <t>North</t>
        </is>
      </c>
      <c r="F2810" t="inlineStr">
        <is>
          <t>Paid Social</t>
        </is>
      </c>
      <c r="G2810" t="inlineStr">
        <is>
          <t>Desktop</t>
        </is>
      </c>
      <c r="H2810" t="inlineStr">
        <is>
          <t>Debit Card</t>
        </is>
      </c>
      <c r="I2810" t="inlineStr">
        <is>
          <t>Delivered</t>
        </is>
      </c>
      <c r="J2810" t="n">
        <v>125</v>
      </c>
      <c r="K2810" t="n">
        <v>1</v>
      </c>
      <c r="L2810" t="n">
        <v>1364</v>
      </c>
      <c r="M2810" t="n">
        <v>0</v>
      </c>
      <c r="N2810">
        <f>VLOOKUP(J2810,Products!$A$2:$C$49,3,FALSE)</f>
        <v/>
      </c>
      <c r="O2810">
        <f>K2810*L2810-M2810</f>
        <v/>
      </c>
      <c r="P2810">
        <f>TEXT(B2810,"yyyy-mm")</f>
        <v/>
      </c>
      <c r="Q2810">
        <f>IF(O2810&gt;=3000,"Large","Small")</f>
        <v/>
      </c>
      <c r="R2810">
        <f>INDEX(Products!$F$2:$F$49,MATCH(J2810,Products!$A$2:$A$49,0))</f>
        <v/>
      </c>
      <c r="S2810">
        <f>WEEKDAY(B2810,2)</f>
        <v/>
      </c>
    </row>
    <row r="2811">
      <c r="A2811" t="n">
        <v>510829</v>
      </c>
      <c r="B2811" s="6" t="n">
        <v>45975</v>
      </c>
      <c r="C2811" t="n">
        <v>17298</v>
      </c>
      <c r="D2811" t="inlineStr">
        <is>
          <t>Kolkata</t>
        </is>
      </c>
      <c r="E2811" t="inlineStr">
        <is>
          <t>East</t>
        </is>
      </c>
      <c r="F2811" t="inlineStr">
        <is>
          <t>Referral</t>
        </is>
      </c>
      <c r="G2811" t="inlineStr">
        <is>
          <t>Mobile App</t>
        </is>
      </c>
      <c r="H2811" t="inlineStr">
        <is>
          <t>UPI</t>
        </is>
      </c>
      <c r="I2811" t="inlineStr">
        <is>
          <t>Delivered</t>
        </is>
      </c>
      <c r="J2811" t="n">
        <v>143</v>
      </c>
      <c r="K2811" t="n">
        <v>1</v>
      </c>
      <c r="L2811" t="n">
        <v>839</v>
      </c>
      <c r="M2811" t="n">
        <v>125.85</v>
      </c>
      <c r="N2811">
        <f>VLOOKUP(J2811,Products!$A$2:$C$49,3,FALSE)</f>
        <v/>
      </c>
      <c r="O2811">
        <f>K2811*L2811-M2811</f>
        <v/>
      </c>
      <c r="P2811">
        <f>TEXT(B2811,"yyyy-mm")</f>
        <v/>
      </c>
      <c r="Q2811">
        <f>IF(O2811&gt;=3000,"Large","Small")</f>
        <v/>
      </c>
      <c r="R2811">
        <f>INDEX(Products!$F$2:$F$49,MATCH(J2811,Products!$A$2:$A$49,0))</f>
        <v/>
      </c>
      <c r="S2811">
        <f>WEEKDAY(B2811,2)</f>
        <v/>
      </c>
    </row>
    <row r="2812">
      <c r="A2812" t="n">
        <v>510829</v>
      </c>
      <c r="B2812" s="6" t="n">
        <v>45975</v>
      </c>
      <c r="C2812" t="n">
        <v>17298</v>
      </c>
      <c r="D2812" t="inlineStr">
        <is>
          <t>Kolkata</t>
        </is>
      </c>
      <c r="E2812" t="inlineStr">
        <is>
          <t>East</t>
        </is>
      </c>
      <c r="F2812" t="inlineStr">
        <is>
          <t>Referral</t>
        </is>
      </c>
      <c r="G2812" t="inlineStr">
        <is>
          <t>Mobile App</t>
        </is>
      </c>
      <c r="H2812" t="inlineStr">
        <is>
          <t>UPI</t>
        </is>
      </c>
      <c r="I2812" t="inlineStr">
        <is>
          <t>Delivered</t>
        </is>
      </c>
      <c r="J2812" t="n">
        <v>103</v>
      </c>
      <c r="K2812" t="n">
        <v>1</v>
      </c>
      <c r="L2812" t="n">
        <v>2624</v>
      </c>
      <c r="M2812" t="n">
        <v>393.6</v>
      </c>
      <c r="N2812">
        <f>VLOOKUP(J2812,Products!$A$2:$C$49,3,FALSE)</f>
        <v/>
      </c>
      <c r="O2812">
        <f>K2812*L2812-M2812</f>
        <v/>
      </c>
      <c r="P2812">
        <f>TEXT(B2812,"yyyy-mm")</f>
        <v/>
      </c>
      <c r="Q2812">
        <f>IF(O2812&gt;=3000,"Large","Small")</f>
        <v/>
      </c>
      <c r="R2812">
        <f>INDEX(Products!$F$2:$F$49,MATCH(J2812,Products!$A$2:$A$49,0))</f>
        <v/>
      </c>
      <c r="S2812">
        <f>WEEKDAY(B2812,2)</f>
        <v/>
      </c>
    </row>
    <row r="2813">
      <c r="A2813" t="n">
        <v>510829</v>
      </c>
      <c r="B2813" s="6" t="n">
        <v>45975</v>
      </c>
      <c r="C2813" t="n">
        <v>17298</v>
      </c>
      <c r="D2813" t="inlineStr">
        <is>
          <t>Kolkata</t>
        </is>
      </c>
      <c r="E2813" t="inlineStr">
        <is>
          <t>East</t>
        </is>
      </c>
      <c r="F2813" t="inlineStr">
        <is>
          <t>Referral</t>
        </is>
      </c>
      <c r="G2813" t="inlineStr">
        <is>
          <t>Mobile App</t>
        </is>
      </c>
      <c r="H2813" t="inlineStr">
        <is>
          <t>UPI</t>
        </is>
      </c>
      <c r="I2813" t="inlineStr">
        <is>
          <t>Delivered</t>
        </is>
      </c>
      <c r="J2813" t="n">
        <v>118</v>
      </c>
      <c r="K2813" t="n">
        <v>1</v>
      </c>
      <c r="L2813" t="n">
        <v>944</v>
      </c>
      <c r="M2813" t="n">
        <v>141.6</v>
      </c>
      <c r="N2813">
        <f>VLOOKUP(J2813,Products!$A$2:$C$49,3,FALSE)</f>
        <v/>
      </c>
      <c r="O2813">
        <f>K2813*L2813-M2813</f>
        <v/>
      </c>
      <c r="P2813">
        <f>TEXT(B2813,"yyyy-mm")</f>
        <v/>
      </c>
      <c r="Q2813">
        <f>IF(O2813&gt;=3000,"Large","Small")</f>
        <v/>
      </c>
      <c r="R2813">
        <f>INDEX(Products!$F$2:$F$49,MATCH(J2813,Products!$A$2:$A$49,0))</f>
        <v/>
      </c>
      <c r="S2813">
        <f>WEEKDAY(B2813,2)</f>
        <v/>
      </c>
    </row>
    <row r="2814">
      <c r="A2814" t="n">
        <v>510830</v>
      </c>
      <c r="B2814" s="6" t="n">
        <v>45975</v>
      </c>
      <c r="C2814" t="n">
        <v>17328</v>
      </c>
      <c r="D2814" t="inlineStr">
        <is>
          <t>Mumbai</t>
        </is>
      </c>
      <c r="E2814" t="inlineStr">
        <is>
          <t>West</t>
        </is>
      </c>
      <c r="F2814" t="inlineStr">
        <is>
          <t>Affiliate</t>
        </is>
      </c>
      <c r="G2814" t="inlineStr">
        <is>
          <t>Mobile App</t>
        </is>
      </c>
      <c r="H2814" t="inlineStr">
        <is>
          <t>UPI</t>
        </is>
      </c>
      <c r="I2814" t="inlineStr">
        <is>
          <t>Delivered</t>
        </is>
      </c>
      <c r="J2814" t="n">
        <v>119</v>
      </c>
      <c r="K2814" t="n">
        <v>1</v>
      </c>
      <c r="L2814" t="n">
        <v>2309</v>
      </c>
      <c r="M2814" t="n">
        <v>0</v>
      </c>
      <c r="N2814">
        <f>VLOOKUP(J2814,Products!$A$2:$C$49,3,FALSE)</f>
        <v/>
      </c>
      <c r="O2814">
        <f>K2814*L2814-M2814</f>
        <v/>
      </c>
      <c r="P2814">
        <f>TEXT(B2814,"yyyy-mm")</f>
        <v/>
      </c>
      <c r="Q2814">
        <f>IF(O2814&gt;=3000,"Large","Small")</f>
        <v/>
      </c>
      <c r="R2814">
        <f>INDEX(Products!$F$2:$F$49,MATCH(J2814,Products!$A$2:$A$49,0))</f>
        <v/>
      </c>
      <c r="S2814">
        <f>WEEKDAY(B2814,2)</f>
        <v/>
      </c>
    </row>
    <row r="2815">
      <c r="A2815" t="n">
        <v>510831</v>
      </c>
      <c r="B2815" s="6" t="n">
        <v>45975</v>
      </c>
      <c r="C2815" t="n">
        <v>16222</v>
      </c>
      <c r="D2815" t="inlineStr">
        <is>
          <t>Delhi</t>
        </is>
      </c>
      <c r="E2815" t="inlineStr">
        <is>
          <t>North</t>
        </is>
      </c>
      <c r="F2815" t="inlineStr">
        <is>
          <t>Paid Social</t>
        </is>
      </c>
      <c r="G2815" t="inlineStr">
        <is>
          <t>Mobile App</t>
        </is>
      </c>
      <c r="H2815" t="inlineStr">
        <is>
          <t>UPI</t>
        </is>
      </c>
      <c r="I2815" t="inlineStr">
        <is>
          <t>Delivered</t>
        </is>
      </c>
      <c r="J2815" t="n">
        <v>143</v>
      </c>
      <c r="K2815" t="n">
        <v>2</v>
      </c>
      <c r="L2815" t="n">
        <v>839</v>
      </c>
      <c r="M2815" t="n">
        <v>0</v>
      </c>
      <c r="N2815">
        <f>VLOOKUP(J2815,Products!$A$2:$C$49,3,FALSE)</f>
        <v/>
      </c>
      <c r="O2815">
        <f>K2815*L2815-M2815</f>
        <v/>
      </c>
      <c r="P2815">
        <f>TEXT(B2815,"yyyy-mm")</f>
        <v/>
      </c>
      <c r="Q2815">
        <f>IF(O2815&gt;=3000,"Large","Small")</f>
        <v/>
      </c>
      <c r="R2815">
        <f>INDEX(Products!$F$2:$F$49,MATCH(J2815,Products!$A$2:$A$49,0))</f>
        <v/>
      </c>
      <c r="S2815">
        <f>WEEKDAY(B2815,2)</f>
        <v/>
      </c>
    </row>
    <row r="2816">
      <c r="A2816" t="n">
        <v>510831</v>
      </c>
      <c r="B2816" s="6" t="n">
        <v>45975</v>
      </c>
      <c r="C2816" t="n">
        <v>16222</v>
      </c>
      <c r="D2816" t="inlineStr">
        <is>
          <t>Delhi</t>
        </is>
      </c>
      <c r="E2816" t="inlineStr">
        <is>
          <t>North</t>
        </is>
      </c>
      <c r="F2816" t="inlineStr">
        <is>
          <t>Paid Social</t>
        </is>
      </c>
      <c r="G2816" t="inlineStr">
        <is>
          <t>Mobile App</t>
        </is>
      </c>
      <c r="H2816" t="inlineStr">
        <is>
          <t>UPI</t>
        </is>
      </c>
      <c r="I2816" t="inlineStr">
        <is>
          <t>Delivered</t>
        </is>
      </c>
      <c r="J2816" t="n">
        <v>126</v>
      </c>
      <c r="K2816" t="n">
        <v>2</v>
      </c>
      <c r="L2816" t="n">
        <v>471</v>
      </c>
      <c r="M2816" t="n">
        <v>0</v>
      </c>
      <c r="N2816">
        <f>VLOOKUP(J2816,Products!$A$2:$C$49,3,FALSE)</f>
        <v/>
      </c>
      <c r="O2816">
        <f>K2816*L2816-M2816</f>
        <v/>
      </c>
      <c r="P2816">
        <f>TEXT(B2816,"yyyy-mm")</f>
        <v/>
      </c>
      <c r="Q2816">
        <f>IF(O2816&gt;=3000,"Large","Small")</f>
        <v/>
      </c>
      <c r="R2816">
        <f>INDEX(Products!$F$2:$F$49,MATCH(J2816,Products!$A$2:$A$49,0))</f>
        <v/>
      </c>
      <c r="S2816">
        <f>WEEKDAY(B2816,2)</f>
        <v/>
      </c>
    </row>
    <row r="2817">
      <c r="A2817" t="n">
        <v>510832</v>
      </c>
      <c r="B2817" s="6" t="n">
        <v>45975</v>
      </c>
      <c r="C2817" t="n">
        <v>14231</v>
      </c>
      <c r="D2817" t="inlineStr">
        <is>
          <t>Delhi</t>
        </is>
      </c>
      <c r="E2817" t="inlineStr">
        <is>
          <t>North</t>
        </is>
      </c>
      <c r="F2817" t="inlineStr">
        <is>
          <t>Referral</t>
        </is>
      </c>
      <c r="G2817" t="inlineStr">
        <is>
          <t>Mobile App</t>
        </is>
      </c>
      <c r="H2817" t="inlineStr">
        <is>
          <t>Cash on Delivery</t>
        </is>
      </c>
      <c r="I2817" t="inlineStr">
        <is>
          <t>Delivered</t>
        </is>
      </c>
      <c r="J2817" t="n">
        <v>103</v>
      </c>
      <c r="K2817" t="n">
        <v>1</v>
      </c>
      <c r="L2817" t="n">
        <v>2624</v>
      </c>
      <c r="M2817" t="n">
        <v>0</v>
      </c>
      <c r="N2817">
        <f>VLOOKUP(J2817,Products!$A$2:$C$49,3,FALSE)</f>
        <v/>
      </c>
      <c r="O2817">
        <f>K2817*L2817-M2817</f>
        <v/>
      </c>
      <c r="P2817">
        <f>TEXT(B2817,"yyyy-mm")</f>
        <v/>
      </c>
      <c r="Q2817">
        <f>IF(O2817&gt;=3000,"Large","Small")</f>
        <v/>
      </c>
      <c r="R2817">
        <f>INDEX(Products!$F$2:$F$49,MATCH(J2817,Products!$A$2:$A$49,0))</f>
        <v/>
      </c>
      <c r="S2817">
        <f>WEEKDAY(B2817,2)</f>
        <v/>
      </c>
    </row>
    <row r="2818">
      <c r="A2818" t="n">
        <v>510832</v>
      </c>
      <c r="B2818" s="6" t="n">
        <v>45975</v>
      </c>
      <c r="C2818" t="n">
        <v>14231</v>
      </c>
      <c r="D2818" t="inlineStr">
        <is>
          <t>Delhi</t>
        </is>
      </c>
      <c r="E2818" t="inlineStr">
        <is>
          <t>North</t>
        </is>
      </c>
      <c r="F2818" t="inlineStr">
        <is>
          <t>Referral</t>
        </is>
      </c>
      <c r="G2818" t="inlineStr">
        <is>
          <t>Mobile App</t>
        </is>
      </c>
      <c r="H2818" t="inlineStr">
        <is>
          <t>Cash on Delivery</t>
        </is>
      </c>
      <c r="I2818" t="inlineStr">
        <is>
          <t>Delivered</t>
        </is>
      </c>
      <c r="J2818" t="n">
        <v>116</v>
      </c>
      <c r="K2818" t="n">
        <v>1</v>
      </c>
      <c r="L2818" t="n">
        <v>2624</v>
      </c>
      <c r="M2818" t="n">
        <v>0</v>
      </c>
      <c r="N2818">
        <f>VLOOKUP(J2818,Products!$A$2:$C$49,3,FALSE)</f>
        <v/>
      </c>
      <c r="O2818">
        <f>K2818*L2818-M2818</f>
        <v/>
      </c>
      <c r="P2818">
        <f>TEXT(B2818,"yyyy-mm")</f>
        <v/>
      </c>
      <c r="Q2818">
        <f>IF(O2818&gt;=3000,"Large","Small")</f>
        <v/>
      </c>
      <c r="R2818">
        <f>INDEX(Products!$F$2:$F$49,MATCH(J2818,Products!$A$2:$A$49,0))</f>
        <v/>
      </c>
      <c r="S2818">
        <f>WEEKDAY(B2818,2)</f>
        <v/>
      </c>
    </row>
    <row r="2819">
      <c r="A2819" t="n">
        <v>510833</v>
      </c>
      <c r="B2819" s="6" t="n">
        <v>45975</v>
      </c>
      <c r="C2819" t="n">
        <v>15727</v>
      </c>
      <c r="D2819" t="inlineStr">
        <is>
          <t>Delhi</t>
        </is>
      </c>
      <c r="E2819" t="inlineStr">
        <is>
          <t>North</t>
        </is>
      </c>
      <c r="F2819" t="inlineStr">
        <is>
          <t>Paid Search</t>
        </is>
      </c>
      <c r="G2819" t="inlineStr">
        <is>
          <t>Desktop</t>
        </is>
      </c>
      <c r="H2819" t="inlineStr">
        <is>
          <t>Credit Card</t>
        </is>
      </c>
      <c r="I2819" t="inlineStr">
        <is>
          <t>Delivered</t>
        </is>
      </c>
      <c r="J2819" t="n">
        <v>114</v>
      </c>
      <c r="K2819" t="n">
        <v>1</v>
      </c>
      <c r="L2819" t="n">
        <v>1259</v>
      </c>
      <c r="M2819" t="n">
        <v>0</v>
      </c>
      <c r="N2819">
        <f>VLOOKUP(J2819,Products!$A$2:$C$49,3,FALSE)</f>
        <v/>
      </c>
      <c r="O2819">
        <f>K2819*L2819-M2819</f>
        <v/>
      </c>
      <c r="P2819">
        <f>TEXT(B2819,"yyyy-mm")</f>
        <v/>
      </c>
      <c r="Q2819">
        <f>IF(O2819&gt;=3000,"Large","Small")</f>
        <v/>
      </c>
      <c r="R2819">
        <f>INDEX(Products!$F$2:$F$49,MATCH(J2819,Products!$A$2:$A$49,0))</f>
        <v/>
      </c>
      <c r="S2819">
        <f>WEEKDAY(B2819,2)</f>
        <v/>
      </c>
    </row>
    <row r="2820">
      <c r="A2820" t="n">
        <v>510833</v>
      </c>
      <c r="B2820" s="6" t="n">
        <v>45975</v>
      </c>
      <c r="C2820" t="n">
        <v>15727</v>
      </c>
      <c r="D2820" t="inlineStr">
        <is>
          <t>Delhi</t>
        </is>
      </c>
      <c r="E2820" t="inlineStr">
        <is>
          <t>North</t>
        </is>
      </c>
      <c r="F2820" t="inlineStr">
        <is>
          <t>Paid Search</t>
        </is>
      </c>
      <c r="G2820" t="inlineStr">
        <is>
          <t>Desktop</t>
        </is>
      </c>
      <c r="H2820" t="inlineStr">
        <is>
          <t>Credit Card</t>
        </is>
      </c>
      <c r="I2820" t="inlineStr">
        <is>
          <t>Delivered</t>
        </is>
      </c>
      <c r="J2820" t="n">
        <v>107</v>
      </c>
      <c r="K2820" t="n">
        <v>1</v>
      </c>
      <c r="L2820" t="n">
        <v>1259</v>
      </c>
      <c r="M2820" t="n">
        <v>0</v>
      </c>
      <c r="N2820">
        <f>VLOOKUP(J2820,Products!$A$2:$C$49,3,FALSE)</f>
        <v/>
      </c>
      <c r="O2820">
        <f>K2820*L2820-M2820</f>
        <v/>
      </c>
      <c r="P2820">
        <f>TEXT(B2820,"yyyy-mm")</f>
        <v/>
      </c>
      <c r="Q2820">
        <f>IF(O2820&gt;=3000,"Large","Small")</f>
        <v/>
      </c>
      <c r="R2820">
        <f>INDEX(Products!$F$2:$F$49,MATCH(J2820,Products!$A$2:$A$49,0))</f>
        <v/>
      </c>
      <c r="S2820">
        <f>WEEKDAY(B2820,2)</f>
        <v/>
      </c>
    </row>
    <row r="2821">
      <c r="A2821" t="n">
        <v>510834</v>
      </c>
      <c r="B2821" s="6" t="n">
        <v>45975</v>
      </c>
      <c r="C2821" t="n">
        <v>17293</v>
      </c>
      <c r="D2821" t="inlineStr">
        <is>
          <t>Ahmedabad</t>
        </is>
      </c>
      <c r="E2821" t="inlineStr">
        <is>
          <t>West</t>
        </is>
      </c>
      <c r="F2821" t="inlineStr">
        <is>
          <t>Paid Social</t>
        </is>
      </c>
      <c r="G2821" t="inlineStr">
        <is>
          <t>Mobile App</t>
        </is>
      </c>
      <c r="H2821" t="inlineStr">
        <is>
          <t>UPI</t>
        </is>
      </c>
      <c r="I2821" t="inlineStr">
        <is>
          <t>Delivered</t>
        </is>
      </c>
      <c r="J2821" t="n">
        <v>116</v>
      </c>
      <c r="K2821" t="n">
        <v>2</v>
      </c>
      <c r="L2821" t="n">
        <v>2624</v>
      </c>
      <c r="M2821" t="n">
        <v>787.2</v>
      </c>
      <c r="N2821">
        <f>VLOOKUP(J2821,Products!$A$2:$C$49,3,FALSE)</f>
        <v/>
      </c>
      <c r="O2821">
        <f>K2821*L2821-M2821</f>
        <v/>
      </c>
      <c r="P2821">
        <f>TEXT(B2821,"yyyy-mm")</f>
        <v/>
      </c>
      <c r="Q2821">
        <f>IF(O2821&gt;=3000,"Large","Small")</f>
        <v/>
      </c>
      <c r="R2821">
        <f>INDEX(Products!$F$2:$F$49,MATCH(J2821,Products!$A$2:$A$49,0))</f>
        <v/>
      </c>
      <c r="S2821">
        <f>WEEKDAY(B2821,2)</f>
        <v/>
      </c>
    </row>
    <row r="2822">
      <c r="A2822" t="n">
        <v>510835</v>
      </c>
      <c r="B2822" s="6" t="n">
        <v>45975</v>
      </c>
      <c r="C2822" t="n">
        <v>17344</v>
      </c>
      <c r="D2822" t="inlineStr">
        <is>
          <t>Mumbai</t>
        </is>
      </c>
      <c r="E2822" t="inlineStr">
        <is>
          <t>West</t>
        </is>
      </c>
      <c r="F2822" t="inlineStr">
        <is>
          <t>Paid Social</t>
        </is>
      </c>
      <c r="G2822" t="inlineStr">
        <is>
          <t>Mobile App</t>
        </is>
      </c>
      <c r="H2822" t="inlineStr">
        <is>
          <t>Cash on Delivery</t>
        </is>
      </c>
      <c r="I2822" t="inlineStr">
        <is>
          <t>Delivered</t>
        </is>
      </c>
      <c r="J2822" t="n">
        <v>143</v>
      </c>
      <c r="K2822" t="n">
        <v>1</v>
      </c>
      <c r="L2822" t="n">
        <v>839</v>
      </c>
      <c r="M2822" t="n">
        <v>41.95</v>
      </c>
      <c r="N2822">
        <f>VLOOKUP(J2822,Products!$A$2:$C$49,3,FALSE)</f>
        <v/>
      </c>
      <c r="O2822">
        <f>K2822*L2822-M2822</f>
        <v/>
      </c>
      <c r="P2822">
        <f>TEXT(B2822,"yyyy-mm")</f>
        <v/>
      </c>
      <c r="Q2822">
        <f>IF(O2822&gt;=3000,"Large","Small")</f>
        <v/>
      </c>
      <c r="R2822">
        <f>INDEX(Products!$F$2:$F$49,MATCH(J2822,Products!$A$2:$A$49,0))</f>
        <v/>
      </c>
      <c r="S2822">
        <f>WEEKDAY(B2822,2)</f>
        <v/>
      </c>
    </row>
    <row r="2823">
      <c r="A2823" t="n">
        <v>510835</v>
      </c>
      <c r="B2823" s="6" t="n">
        <v>45975</v>
      </c>
      <c r="C2823" t="n">
        <v>17344</v>
      </c>
      <c r="D2823" t="inlineStr">
        <is>
          <t>Mumbai</t>
        </is>
      </c>
      <c r="E2823" t="inlineStr">
        <is>
          <t>West</t>
        </is>
      </c>
      <c r="F2823" t="inlineStr">
        <is>
          <t>Paid Social</t>
        </is>
      </c>
      <c r="G2823" t="inlineStr">
        <is>
          <t>Mobile App</t>
        </is>
      </c>
      <c r="H2823" t="inlineStr">
        <is>
          <t>Cash on Delivery</t>
        </is>
      </c>
      <c r="I2823" t="inlineStr">
        <is>
          <t>Delivered</t>
        </is>
      </c>
      <c r="J2823" t="n">
        <v>121</v>
      </c>
      <c r="K2823" t="n">
        <v>1</v>
      </c>
      <c r="L2823" t="n">
        <v>2939</v>
      </c>
      <c r="M2823" t="n">
        <v>146.95</v>
      </c>
      <c r="N2823">
        <f>VLOOKUP(J2823,Products!$A$2:$C$49,3,FALSE)</f>
        <v/>
      </c>
      <c r="O2823">
        <f>K2823*L2823-M2823</f>
        <v/>
      </c>
      <c r="P2823">
        <f>TEXT(B2823,"yyyy-mm")</f>
        <v/>
      </c>
      <c r="Q2823">
        <f>IF(O2823&gt;=3000,"Large","Small")</f>
        <v/>
      </c>
      <c r="R2823">
        <f>INDEX(Products!$F$2:$F$49,MATCH(J2823,Products!$A$2:$A$49,0))</f>
        <v/>
      </c>
      <c r="S2823">
        <f>WEEKDAY(B2823,2)</f>
        <v/>
      </c>
    </row>
    <row r="2824">
      <c r="A2824" t="n">
        <v>510836</v>
      </c>
      <c r="B2824" s="6" t="n">
        <v>45975</v>
      </c>
      <c r="C2824" t="n">
        <v>17302</v>
      </c>
      <c r="D2824" t="inlineStr">
        <is>
          <t>Ahmedabad</t>
        </is>
      </c>
      <c r="E2824" t="inlineStr">
        <is>
          <t>West</t>
        </is>
      </c>
      <c r="F2824" t="inlineStr">
        <is>
          <t>Paid Social</t>
        </is>
      </c>
      <c r="G2824" t="inlineStr">
        <is>
          <t>Mobile App</t>
        </is>
      </c>
      <c r="H2824" t="inlineStr">
        <is>
          <t>UPI</t>
        </is>
      </c>
      <c r="I2824" t="inlineStr">
        <is>
          <t>Delivered</t>
        </is>
      </c>
      <c r="J2824" t="n">
        <v>132</v>
      </c>
      <c r="K2824" t="n">
        <v>1</v>
      </c>
      <c r="L2824" t="n">
        <v>471</v>
      </c>
      <c r="M2824" t="n">
        <v>0</v>
      </c>
      <c r="N2824">
        <f>VLOOKUP(J2824,Products!$A$2:$C$49,3,FALSE)</f>
        <v/>
      </c>
      <c r="O2824">
        <f>K2824*L2824-M2824</f>
        <v/>
      </c>
      <c r="P2824">
        <f>TEXT(B2824,"yyyy-mm")</f>
        <v/>
      </c>
      <c r="Q2824">
        <f>IF(O2824&gt;=3000,"Large","Small")</f>
        <v/>
      </c>
      <c r="R2824">
        <f>INDEX(Products!$F$2:$F$49,MATCH(J2824,Products!$A$2:$A$49,0))</f>
        <v/>
      </c>
      <c r="S2824">
        <f>WEEKDAY(B2824,2)</f>
        <v/>
      </c>
    </row>
    <row r="2825">
      <c r="A2825" t="n">
        <v>510836</v>
      </c>
      <c r="B2825" s="6" t="n">
        <v>45975</v>
      </c>
      <c r="C2825" t="n">
        <v>17302</v>
      </c>
      <c r="D2825" t="inlineStr">
        <is>
          <t>Ahmedabad</t>
        </is>
      </c>
      <c r="E2825" t="inlineStr">
        <is>
          <t>West</t>
        </is>
      </c>
      <c r="F2825" t="inlineStr">
        <is>
          <t>Paid Social</t>
        </is>
      </c>
      <c r="G2825" t="inlineStr">
        <is>
          <t>Mobile App</t>
        </is>
      </c>
      <c r="H2825" t="inlineStr">
        <is>
          <t>UPI</t>
        </is>
      </c>
      <c r="I2825" t="inlineStr">
        <is>
          <t>Delivered</t>
        </is>
      </c>
      <c r="J2825" t="n">
        <v>102</v>
      </c>
      <c r="K2825" t="n">
        <v>1</v>
      </c>
      <c r="L2825" t="n">
        <v>3674</v>
      </c>
      <c r="M2825" t="n">
        <v>0</v>
      </c>
      <c r="N2825">
        <f>VLOOKUP(J2825,Products!$A$2:$C$49,3,FALSE)</f>
        <v/>
      </c>
      <c r="O2825">
        <f>K2825*L2825-M2825</f>
        <v/>
      </c>
      <c r="P2825">
        <f>TEXT(B2825,"yyyy-mm")</f>
        <v/>
      </c>
      <c r="Q2825">
        <f>IF(O2825&gt;=3000,"Large","Small")</f>
        <v/>
      </c>
      <c r="R2825">
        <f>INDEX(Products!$F$2:$F$49,MATCH(J2825,Products!$A$2:$A$49,0))</f>
        <v/>
      </c>
      <c r="S2825">
        <f>WEEKDAY(B2825,2)</f>
        <v/>
      </c>
    </row>
    <row r="2826">
      <c r="A2826" t="n">
        <v>510836</v>
      </c>
      <c r="B2826" s="6" t="n">
        <v>45975</v>
      </c>
      <c r="C2826" t="n">
        <v>17302</v>
      </c>
      <c r="D2826" t="inlineStr">
        <is>
          <t>Ahmedabad</t>
        </is>
      </c>
      <c r="E2826" t="inlineStr">
        <is>
          <t>West</t>
        </is>
      </c>
      <c r="F2826" t="inlineStr">
        <is>
          <t>Paid Social</t>
        </is>
      </c>
      <c r="G2826" t="inlineStr">
        <is>
          <t>Mobile App</t>
        </is>
      </c>
      <c r="H2826" t="inlineStr">
        <is>
          <t>UPI</t>
        </is>
      </c>
      <c r="I2826" t="inlineStr">
        <is>
          <t>Delivered</t>
        </is>
      </c>
      <c r="J2826" t="n">
        <v>120</v>
      </c>
      <c r="K2826" t="n">
        <v>1</v>
      </c>
      <c r="L2826" t="n">
        <v>734</v>
      </c>
      <c r="M2826" t="n">
        <v>0</v>
      </c>
      <c r="N2826">
        <f>VLOOKUP(J2826,Products!$A$2:$C$49,3,FALSE)</f>
        <v/>
      </c>
      <c r="O2826">
        <f>K2826*L2826-M2826</f>
        <v/>
      </c>
      <c r="P2826">
        <f>TEXT(B2826,"yyyy-mm")</f>
        <v/>
      </c>
      <c r="Q2826">
        <f>IF(O2826&gt;=3000,"Large","Small")</f>
        <v/>
      </c>
      <c r="R2826">
        <f>INDEX(Products!$F$2:$F$49,MATCH(J2826,Products!$A$2:$A$49,0))</f>
        <v/>
      </c>
      <c r="S2826">
        <f>WEEKDAY(B2826,2)</f>
        <v/>
      </c>
    </row>
    <row r="2827">
      <c r="A2827" t="n">
        <v>510837</v>
      </c>
      <c r="B2827" s="6" t="n">
        <v>45975</v>
      </c>
      <c r="C2827" t="n">
        <v>16245</v>
      </c>
      <c r="D2827" t="inlineStr">
        <is>
          <t>Kolkata</t>
        </is>
      </c>
      <c r="E2827" t="inlineStr">
        <is>
          <t>East</t>
        </is>
      </c>
      <c r="F2827" t="inlineStr">
        <is>
          <t>Organic Search</t>
        </is>
      </c>
      <c r="G2827" t="inlineStr">
        <is>
          <t>Mobile App</t>
        </is>
      </c>
      <c r="H2827" t="inlineStr">
        <is>
          <t>UPI</t>
        </is>
      </c>
      <c r="I2827" t="inlineStr">
        <is>
          <t>Delivered</t>
        </is>
      </c>
      <c r="J2827" t="n">
        <v>135</v>
      </c>
      <c r="K2827" t="n">
        <v>2</v>
      </c>
      <c r="L2827" t="n">
        <v>1574</v>
      </c>
      <c r="M2827" t="n">
        <v>0</v>
      </c>
      <c r="N2827">
        <f>VLOOKUP(J2827,Products!$A$2:$C$49,3,FALSE)</f>
        <v/>
      </c>
      <c r="O2827">
        <f>K2827*L2827-M2827</f>
        <v/>
      </c>
      <c r="P2827">
        <f>TEXT(B2827,"yyyy-mm")</f>
        <v/>
      </c>
      <c r="Q2827">
        <f>IF(O2827&gt;=3000,"Large","Small")</f>
        <v/>
      </c>
      <c r="R2827">
        <f>INDEX(Products!$F$2:$F$49,MATCH(J2827,Products!$A$2:$A$49,0))</f>
        <v/>
      </c>
      <c r="S2827">
        <f>WEEKDAY(B2827,2)</f>
        <v/>
      </c>
    </row>
    <row r="2828">
      <c r="A2828" t="n">
        <v>510838</v>
      </c>
      <c r="B2828" s="6" t="n">
        <v>45975</v>
      </c>
      <c r="C2828" t="n">
        <v>17332</v>
      </c>
      <c r="D2828" t="inlineStr">
        <is>
          <t>Mumbai</t>
        </is>
      </c>
      <c r="E2828" t="inlineStr">
        <is>
          <t>West</t>
        </is>
      </c>
      <c r="F2828" t="inlineStr">
        <is>
          <t>Paid Social</t>
        </is>
      </c>
      <c r="G2828" t="inlineStr">
        <is>
          <t>Mobile Web</t>
        </is>
      </c>
      <c r="H2828" t="inlineStr">
        <is>
          <t>Debit Card</t>
        </is>
      </c>
      <c r="I2828" t="inlineStr">
        <is>
          <t>Delivered</t>
        </is>
      </c>
      <c r="J2828" t="n">
        <v>108</v>
      </c>
      <c r="K2828" t="n">
        <v>3</v>
      </c>
      <c r="L2828" t="n">
        <v>419</v>
      </c>
      <c r="M2828" t="n">
        <v>0</v>
      </c>
      <c r="N2828">
        <f>VLOOKUP(J2828,Products!$A$2:$C$49,3,FALSE)</f>
        <v/>
      </c>
      <c r="O2828">
        <f>K2828*L2828-M2828</f>
        <v/>
      </c>
      <c r="P2828">
        <f>TEXT(B2828,"yyyy-mm")</f>
        <v/>
      </c>
      <c r="Q2828">
        <f>IF(O2828&gt;=3000,"Large","Small")</f>
        <v/>
      </c>
      <c r="R2828">
        <f>INDEX(Products!$F$2:$F$49,MATCH(J2828,Products!$A$2:$A$49,0))</f>
        <v/>
      </c>
      <c r="S2828">
        <f>WEEKDAY(B2828,2)</f>
        <v/>
      </c>
    </row>
    <row r="2829">
      <c r="A2829" t="n">
        <v>510838</v>
      </c>
      <c r="B2829" s="6" t="n">
        <v>45975</v>
      </c>
      <c r="C2829" t="n">
        <v>17332</v>
      </c>
      <c r="D2829" t="inlineStr">
        <is>
          <t>Mumbai</t>
        </is>
      </c>
      <c r="E2829" t="inlineStr">
        <is>
          <t>West</t>
        </is>
      </c>
      <c r="F2829" t="inlineStr">
        <is>
          <t>Paid Social</t>
        </is>
      </c>
      <c r="G2829" t="inlineStr">
        <is>
          <t>Mobile Web</t>
        </is>
      </c>
      <c r="H2829" t="inlineStr">
        <is>
          <t>Debit Card</t>
        </is>
      </c>
      <c r="I2829" t="inlineStr">
        <is>
          <t>Delivered</t>
        </is>
      </c>
      <c r="J2829" t="n">
        <v>137</v>
      </c>
      <c r="K2829" t="n">
        <v>1</v>
      </c>
      <c r="L2829" t="n">
        <v>261</v>
      </c>
      <c r="M2829" t="n">
        <v>0</v>
      </c>
      <c r="N2829">
        <f>VLOOKUP(J2829,Products!$A$2:$C$49,3,FALSE)</f>
        <v/>
      </c>
      <c r="O2829">
        <f>K2829*L2829-M2829</f>
        <v/>
      </c>
      <c r="P2829">
        <f>TEXT(B2829,"yyyy-mm")</f>
        <v/>
      </c>
      <c r="Q2829">
        <f>IF(O2829&gt;=3000,"Large","Small")</f>
        <v/>
      </c>
      <c r="R2829">
        <f>INDEX(Products!$F$2:$F$49,MATCH(J2829,Products!$A$2:$A$49,0))</f>
        <v/>
      </c>
      <c r="S2829">
        <f>WEEKDAY(B2829,2)</f>
        <v/>
      </c>
    </row>
    <row r="2830">
      <c r="A2830" t="n">
        <v>510839</v>
      </c>
      <c r="B2830" s="6" t="n">
        <v>45975</v>
      </c>
      <c r="C2830" t="n">
        <v>17299</v>
      </c>
      <c r="D2830" t="inlineStr">
        <is>
          <t>Lucknow</t>
        </is>
      </c>
      <c r="E2830" t="inlineStr">
        <is>
          <t>North</t>
        </is>
      </c>
      <c r="F2830" t="inlineStr">
        <is>
          <t>Paid Search</t>
        </is>
      </c>
      <c r="G2830" t="inlineStr">
        <is>
          <t>Mobile Web</t>
        </is>
      </c>
      <c r="H2830" t="inlineStr">
        <is>
          <t>UPI</t>
        </is>
      </c>
      <c r="I2830" t="inlineStr">
        <is>
          <t>Delivered</t>
        </is>
      </c>
      <c r="J2830" t="n">
        <v>118</v>
      </c>
      <c r="K2830" t="n">
        <v>1</v>
      </c>
      <c r="L2830" t="n">
        <v>944</v>
      </c>
      <c r="M2830" t="n">
        <v>141.6</v>
      </c>
      <c r="N2830">
        <f>VLOOKUP(J2830,Products!$A$2:$C$49,3,FALSE)</f>
        <v/>
      </c>
      <c r="O2830">
        <f>K2830*L2830-M2830</f>
        <v/>
      </c>
      <c r="P2830">
        <f>TEXT(B2830,"yyyy-mm")</f>
        <v/>
      </c>
      <c r="Q2830">
        <f>IF(O2830&gt;=3000,"Large","Small")</f>
        <v/>
      </c>
      <c r="R2830">
        <f>INDEX(Products!$F$2:$F$49,MATCH(J2830,Products!$A$2:$A$49,0))</f>
        <v/>
      </c>
      <c r="S2830">
        <f>WEEKDAY(B2830,2)</f>
        <v/>
      </c>
    </row>
    <row r="2831">
      <c r="A2831" t="n">
        <v>510840</v>
      </c>
      <c r="B2831" s="6" t="n">
        <v>45975</v>
      </c>
      <c r="C2831" t="n">
        <v>17217</v>
      </c>
      <c r="D2831" t="inlineStr">
        <is>
          <t>Gurugram</t>
        </is>
      </c>
      <c r="E2831" t="inlineStr">
        <is>
          <t>North</t>
        </is>
      </c>
      <c r="F2831" t="inlineStr">
        <is>
          <t>Organic Search</t>
        </is>
      </c>
      <c r="G2831" t="inlineStr">
        <is>
          <t>Desktop</t>
        </is>
      </c>
      <c r="H2831" t="inlineStr">
        <is>
          <t>Cash on Delivery</t>
        </is>
      </c>
      <c r="I2831" t="inlineStr">
        <is>
          <t>Delivered</t>
        </is>
      </c>
      <c r="J2831" t="n">
        <v>110</v>
      </c>
      <c r="K2831" t="n">
        <v>1</v>
      </c>
      <c r="L2831" t="n">
        <v>839</v>
      </c>
      <c r="M2831" t="n">
        <v>0</v>
      </c>
      <c r="N2831">
        <f>VLOOKUP(J2831,Products!$A$2:$C$49,3,FALSE)</f>
        <v/>
      </c>
      <c r="O2831">
        <f>K2831*L2831-M2831</f>
        <v/>
      </c>
      <c r="P2831">
        <f>TEXT(B2831,"yyyy-mm")</f>
        <v/>
      </c>
      <c r="Q2831">
        <f>IF(O2831&gt;=3000,"Large","Small")</f>
        <v/>
      </c>
      <c r="R2831">
        <f>INDEX(Products!$F$2:$F$49,MATCH(J2831,Products!$A$2:$A$49,0))</f>
        <v/>
      </c>
      <c r="S2831">
        <f>WEEKDAY(B2831,2)</f>
        <v/>
      </c>
    </row>
    <row r="2832">
      <c r="A2832" t="n">
        <v>510841</v>
      </c>
      <c r="B2832" s="6" t="n">
        <v>45975</v>
      </c>
      <c r="C2832" t="n">
        <v>17313</v>
      </c>
      <c r="D2832" t="inlineStr">
        <is>
          <t>Kolkata</t>
        </is>
      </c>
      <c r="E2832" t="inlineStr">
        <is>
          <t>East</t>
        </is>
      </c>
      <c r="F2832" t="inlineStr">
        <is>
          <t>Organic Search</t>
        </is>
      </c>
      <c r="G2832" t="inlineStr">
        <is>
          <t>Mobile Web</t>
        </is>
      </c>
      <c r="H2832" t="inlineStr">
        <is>
          <t>Net Banking</t>
        </is>
      </c>
      <c r="I2832" t="inlineStr">
        <is>
          <t>Delivered</t>
        </is>
      </c>
      <c r="J2832" t="n">
        <v>103</v>
      </c>
      <c r="K2832" t="n">
        <v>1</v>
      </c>
      <c r="L2832" t="n">
        <v>2624</v>
      </c>
      <c r="M2832" t="n">
        <v>393.6</v>
      </c>
      <c r="N2832">
        <f>VLOOKUP(J2832,Products!$A$2:$C$49,3,FALSE)</f>
        <v/>
      </c>
      <c r="O2832">
        <f>K2832*L2832-M2832</f>
        <v/>
      </c>
      <c r="P2832">
        <f>TEXT(B2832,"yyyy-mm")</f>
        <v/>
      </c>
      <c r="Q2832">
        <f>IF(O2832&gt;=3000,"Large","Small")</f>
        <v/>
      </c>
      <c r="R2832">
        <f>INDEX(Products!$F$2:$F$49,MATCH(J2832,Products!$A$2:$A$49,0))</f>
        <v/>
      </c>
      <c r="S2832">
        <f>WEEKDAY(B2832,2)</f>
        <v/>
      </c>
    </row>
    <row r="2833">
      <c r="A2833" t="n">
        <v>510842</v>
      </c>
      <c r="B2833" s="6" t="n">
        <v>45975</v>
      </c>
      <c r="C2833" t="n">
        <v>17322</v>
      </c>
      <c r="D2833" t="inlineStr">
        <is>
          <t>Hyderabad</t>
        </is>
      </c>
      <c r="E2833" t="inlineStr">
        <is>
          <t>South</t>
        </is>
      </c>
      <c r="F2833" t="inlineStr">
        <is>
          <t>Paid Social</t>
        </is>
      </c>
      <c r="G2833" t="inlineStr">
        <is>
          <t>Desktop</t>
        </is>
      </c>
      <c r="H2833" t="inlineStr">
        <is>
          <t>UPI</t>
        </is>
      </c>
      <c r="I2833" t="inlineStr">
        <is>
          <t>Delivered</t>
        </is>
      </c>
      <c r="J2833" t="n">
        <v>107</v>
      </c>
      <c r="K2833" t="n">
        <v>1</v>
      </c>
      <c r="L2833" t="n">
        <v>1259</v>
      </c>
      <c r="M2833" t="n">
        <v>0</v>
      </c>
      <c r="N2833">
        <f>VLOOKUP(J2833,Products!$A$2:$C$49,3,FALSE)</f>
        <v/>
      </c>
      <c r="O2833">
        <f>K2833*L2833-M2833</f>
        <v/>
      </c>
      <c r="P2833">
        <f>TEXT(B2833,"yyyy-mm")</f>
        <v/>
      </c>
      <c r="Q2833">
        <f>IF(O2833&gt;=3000,"Large","Small")</f>
        <v/>
      </c>
      <c r="R2833">
        <f>INDEX(Products!$F$2:$F$49,MATCH(J2833,Products!$A$2:$A$49,0))</f>
        <v/>
      </c>
      <c r="S2833">
        <f>WEEKDAY(B2833,2)</f>
        <v/>
      </c>
    </row>
    <row r="2834">
      <c r="A2834" t="n">
        <v>510842</v>
      </c>
      <c r="B2834" s="6" t="n">
        <v>45975</v>
      </c>
      <c r="C2834" t="n">
        <v>17322</v>
      </c>
      <c r="D2834" t="inlineStr">
        <is>
          <t>Hyderabad</t>
        </is>
      </c>
      <c r="E2834" t="inlineStr">
        <is>
          <t>South</t>
        </is>
      </c>
      <c r="F2834" t="inlineStr">
        <is>
          <t>Paid Social</t>
        </is>
      </c>
      <c r="G2834" t="inlineStr">
        <is>
          <t>Desktop</t>
        </is>
      </c>
      <c r="H2834" t="inlineStr">
        <is>
          <t>UPI</t>
        </is>
      </c>
      <c r="I2834" t="inlineStr">
        <is>
          <t>Delivered</t>
        </is>
      </c>
      <c r="J2834" t="n">
        <v>108</v>
      </c>
      <c r="K2834" t="n">
        <v>1</v>
      </c>
      <c r="L2834" t="n">
        <v>419</v>
      </c>
      <c r="M2834" t="n">
        <v>0</v>
      </c>
      <c r="N2834">
        <f>VLOOKUP(J2834,Products!$A$2:$C$49,3,FALSE)</f>
        <v/>
      </c>
      <c r="O2834">
        <f>K2834*L2834-M2834</f>
        <v/>
      </c>
      <c r="P2834">
        <f>TEXT(B2834,"yyyy-mm")</f>
        <v/>
      </c>
      <c r="Q2834">
        <f>IF(O2834&gt;=3000,"Large","Small")</f>
        <v/>
      </c>
      <c r="R2834">
        <f>INDEX(Products!$F$2:$F$49,MATCH(J2834,Products!$A$2:$A$49,0))</f>
        <v/>
      </c>
      <c r="S2834">
        <f>WEEKDAY(B2834,2)</f>
        <v/>
      </c>
    </row>
    <row r="2835">
      <c r="A2835" t="n">
        <v>510843</v>
      </c>
      <c r="B2835" s="6" t="n">
        <v>45975</v>
      </c>
      <c r="C2835" t="n">
        <v>17190</v>
      </c>
      <c r="D2835" t="inlineStr">
        <is>
          <t>Chennai</t>
        </is>
      </c>
      <c r="E2835" t="inlineStr">
        <is>
          <t>South</t>
        </is>
      </c>
      <c r="F2835" t="inlineStr">
        <is>
          <t>Referral</t>
        </is>
      </c>
      <c r="G2835" t="inlineStr">
        <is>
          <t>Mobile Web</t>
        </is>
      </c>
      <c r="H2835" t="inlineStr">
        <is>
          <t>UPI</t>
        </is>
      </c>
      <c r="I2835" t="inlineStr">
        <is>
          <t>Delivered</t>
        </is>
      </c>
      <c r="J2835" t="n">
        <v>111</v>
      </c>
      <c r="K2835" t="n">
        <v>1</v>
      </c>
      <c r="L2835" t="n">
        <v>524</v>
      </c>
      <c r="M2835" t="n">
        <v>78.59999999999999</v>
      </c>
      <c r="N2835">
        <f>VLOOKUP(J2835,Products!$A$2:$C$49,3,FALSE)</f>
        <v/>
      </c>
      <c r="O2835">
        <f>K2835*L2835-M2835</f>
        <v/>
      </c>
      <c r="P2835">
        <f>TEXT(B2835,"yyyy-mm")</f>
        <v/>
      </c>
      <c r="Q2835">
        <f>IF(O2835&gt;=3000,"Large","Small")</f>
        <v/>
      </c>
      <c r="R2835">
        <f>INDEX(Products!$F$2:$F$49,MATCH(J2835,Products!$A$2:$A$49,0))</f>
        <v/>
      </c>
      <c r="S2835">
        <f>WEEKDAY(B2835,2)</f>
        <v/>
      </c>
    </row>
    <row r="2836">
      <c r="A2836" t="n">
        <v>510844</v>
      </c>
      <c r="B2836" s="6" t="n">
        <v>45975</v>
      </c>
      <c r="C2836" t="n">
        <v>17307</v>
      </c>
      <c r="D2836" t="inlineStr">
        <is>
          <t>Delhi</t>
        </is>
      </c>
      <c r="E2836" t="inlineStr">
        <is>
          <t>North</t>
        </is>
      </c>
      <c r="F2836" t="inlineStr">
        <is>
          <t>Email</t>
        </is>
      </c>
      <c r="G2836" t="inlineStr">
        <is>
          <t>Mobile App</t>
        </is>
      </c>
      <c r="H2836" t="inlineStr">
        <is>
          <t>UPI</t>
        </is>
      </c>
      <c r="I2836" t="inlineStr">
        <is>
          <t>Delivered</t>
        </is>
      </c>
      <c r="J2836" t="n">
        <v>132</v>
      </c>
      <c r="K2836" t="n">
        <v>2</v>
      </c>
      <c r="L2836" t="n">
        <v>471</v>
      </c>
      <c r="M2836" t="n">
        <v>141.3</v>
      </c>
      <c r="N2836">
        <f>VLOOKUP(J2836,Products!$A$2:$C$49,3,FALSE)</f>
        <v/>
      </c>
      <c r="O2836">
        <f>K2836*L2836-M2836</f>
        <v/>
      </c>
      <c r="P2836">
        <f>TEXT(B2836,"yyyy-mm")</f>
        <v/>
      </c>
      <c r="Q2836">
        <f>IF(O2836&gt;=3000,"Large","Small")</f>
        <v/>
      </c>
      <c r="R2836">
        <f>INDEX(Products!$F$2:$F$49,MATCH(J2836,Products!$A$2:$A$49,0))</f>
        <v/>
      </c>
      <c r="S2836">
        <f>WEEKDAY(B2836,2)</f>
        <v/>
      </c>
    </row>
    <row r="2837">
      <c r="A2837" t="n">
        <v>510844</v>
      </c>
      <c r="B2837" s="6" t="n">
        <v>45975</v>
      </c>
      <c r="C2837" t="n">
        <v>17307</v>
      </c>
      <c r="D2837" t="inlineStr">
        <is>
          <t>Delhi</t>
        </is>
      </c>
      <c r="E2837" t="inlineStr">
        <is>
          <t>North</t>
        </is>
      </c>
      <c r="F2837" t="inlineStr">
        <is>
          <t>Email</t>
        </is>
      </c>
      <c r="G2837" t="inlineStr">
        <is>
          <t>Mobile App</t>
        </is>
      </c>
      <c r="H2837" t="inlineStr">
        <is>
          <t>UPI</t>
        </is>
      </c>
      <c r="I2837" t="inlineStr">
        <is>
          <t>Delivered</t>
        </is>
      </c>
      <c r="J2837" t="n">
        <v>114</v>
      </c>
      <c r="K2837" t="n">
        <v>2</v>
      </c>
      <c r="L2837" t="n">
        <v>1259</v>
      </c>
      <c r="M2837" t="n">
        <v>377.7</v>
      </c>
      <c r="N2837">
        <f>VLOOKUP(J2837,Products!$A$2:$C$49,3,FALSE)</f>
        <v/>
      </c>
      <c r="O2837">
        <f>K2837*L2837-M2837</f>
        <v/>
      </c>
      <c r="P2837">
        <f>TEXT(B2837,"yyyy-mm")</f>
        <v/>
      </c>
      <c r="Q2837">
        <f>IF(O2837&gt;=3000,"Large","Small")</f>
        <v/>
      </c>
      <c r="R2837">
        <f>INDEX(Products!$F$2:$F$49,MATCH(J2837,Products!$A$2:$A$49,0))</f>
        <v/>
      </c>
      <c r="S2837">
        <f>WEEKDAY(B2837,2)</f>
        <v/>
      </c>
    </row>
    <row r="2838">
      <c r="A2838" t="n">
        <v>510844</v>
      </c>
      <c r="B2838" s="6" t="n">
        <v>45975</v>
      </c>
      <c r="C2838" t="n">
        <v>17307</v>
      </c>
      <c r="D2838" t="inlineStr">
        <is>
          <t>Delhi</t>
        </is>
      </c>
      <c r="E2838" t="inlineStr">
        <is>
          <t>North</t>
        </is>
      </c>
      <c r="F2838" t="inlineStr">
        <is>
          <t>Email</t>
        </is>
      </c>
      <c r="G2838" t="inlineStr">
        <is>
          <t>Mobile App</t>
        </is>
      </c>
      <c r="H2838" t="inlineStr">
        <is>
          <t>UPI</t>
        </is>
      </c>
      <c r="I2838" t="inlineStr">
        <is>
          <t>Delivered</t>
        </is>
      </c>
      <c r="J2838" t="n">
        <v>140</v>
      </c>
      <c r="K2838" t="n">
        <v>1</v>
      </c>
      <c r="L2838" t="n">
        <v>629</v>
      </c>
      <c r="M2838" t="n">
        <v>94.34999999999999</v>
      </c>
      <c r="N2838">
        <f>VLOOKUP(J2838,Products!$A$2:$C$49,3,FALSE)</f>
        <v/>
      </c>
      <c r="O2838">
        <f>K2838*L2838-M2838</f>
        <v/>
      </c>
      <c r="P2838">
        <f>TEXT(B2838,"yyyy-mm")</f>
        <v/>
      </c>
      <c r="Q2838">
        <f>IF(O2838&gt;=3000,"Large","Small")</f>
        <v/>
      </c>
      <c r="R2838">
        <f>INDEX(Products!$F$2:$F$49,MATCH(J2838,Products!$A$2:$A$49,0))</f>
        <v/>
      </c>
      <c r="S2838">
        <f>WEEKDAY(B2838,2)</f>
        <v/>
      </c>
    </row>
    <row r="2839">
      <c r="A2839" t="n">
        <v>510845</v>
      </c>
      <c r="B2839" s="6" t="n">
        <v>45975</v>
      </c>
      <c r="C2839" t="n">
        <v>17259</v>
      </c>
      <c r="D2839" t="inlineStr">
        <is>
          <t>Gurugram</t>
        </is>
      </c>
      <c r="E2839" t="inlineStr">
        <is>
          <t>North</t>
        </is>
      </c>
      <c r="F2839" t="inlineStr">
        <is>
          <t>Affiliate</t>
        </is>
      </c>
      <c r="G2839" t="inlineStr">
        <is>
          <t>Mobile Web</t>
        </is>
      </c>
      <c r="H2839" t="inlineStr">
        <is>
          <t>UPI</t>
        </is>
      </c>
      <c r="I2839" t="inlineStr">
        <is>
          <t>Returned</t>
        </is>
      </c>
      <c r="J2839" t="n">
        <v>130</v>
      </c>
      <c r="K2839" t="n">
        <v>2</v>
      </c>
      <c r="L2839" t="n">
        <v>734</v>
      </c>
      <c r="M2839" t="n">
        <v>0</v>
      </c>
      <c r="N2839">
        <f>VLOOKUP(J2839,Products!$A$2:$C$49,3,FALSE)</f>
        <v/>
      </c>
      <c r="O2839">
        <f>K2839*L2839-M2839</f>
        <v/>
      </c>
      <c r="P2839">
        <f>TEXT(B2839,"yyyy-mm")</f>
        <v/>
      </c>
      <c r="Q2839">
        <f>IF(O2839&gt;=3000,"Large","Small")</f>
        <v/>
      </c>
      <c r="R2839">
        <f>INDEX(Products!$F$2:$F$49,MATCH(J2839,Products!$A$2:$A$49,0))</f>
        <v/>
      </c>
      <c r="S2839">
        <f>WEEKDAY(B2839,2)</f>
        <v/>
      </c>
    </row>
    <row r="2840">
      <c r="A2840" t="n">
        <v>510845</v>
      </c>
      <c r="B2840" s="6" t="n">
        <v>45975</v>
      </c>
      <c r="C2840" t="n">
        <v>17259</v>
      </c>
      <c r="D2840" t="inlineStr">
        <is>
          <t>Gurugram</t>
        </is>
      </c>
      <c r="E2840" t="inlineStr">
        <is>
          <t>North</t>
        </is>
      </c>
      <c r="F2840" t="inlineStr">
        <is>
          <t>Affiliate</t>
        </is>
      </c>
      <c r="G2840" t="inlineStr">
        <is>
          <t>Mobile Web</t>
        </is>
      </c>
      <c r="H2840" t="inlineStr">
        <is>
          <t>UPI</t>
        </is>
      </c>
      <c r="I2840" t="inlineStr">
        <is>
          <t>Returned</t>
        </is>
      </c>
      <c r="J2840" t="n">
        <v>117</v>
      </c>
      <c r="K2840" t="n">
        <v>1</v>
      </c>
      <c r="L2840" t="n">
        <v>3149</v>
      </c>
      <c r="M2840" t="n">
        <v>0</v>
      </c>
      <c r="N2840">
        <f>VLOOKUP(J2840,Products!$A$2:$C$49,3,FALSE)</f>
        <v/>
      </c>
      <c r="O2840">
        <f>K2840*L2840-M2840</f>
        <v/>
      </c>
      <c r="P2840">
        <f>TEXT(B2840,"yyyy-mm")</f>
        <v/>
      </c>
      <c r="Q2840">
        <f>IF(O2840&gt;=3000,"Large","Small")</f>
        <v/>
      </c>
      <c r="R2840">
        <f>INDEX(Products!$F$2:$F$49,MATCH(J2840,Products!$A$2:$A$49,0))</f>
        <v/>
      </c>
      <c r="S2840">
        <f>WEEKDAY(B2840,2)</f>
        <v/>
      </c>
    </row>
    <row r="2841">
      <c r="A2841" t="n">
        <v>510846</v>
      </c>
      <c r="B2841" s="6" t="n">
        <v>45975</v>
      </c>
      <c r="C2841" t="n">
        <v>17286</v>
      </c>
      <c r="D2841" t="inlineStr">
        <is>
          <t>Kochi</t>
        </is>
      </c>
      <c r="E2841" t="inlineStr">
        <is>
          <t>South</t>
        </is>
      </c>
      <c r="F2841" t="inlineStr">
        <is>
          <t>Paid Social</t>
        </is>
      </c>
      <c r="G2841" t="inlineStr">
        <is>
          <t>Mobile App</t>
        </is>
      </c>
      <c r="H2841" t="inlineStr">
        <is>
          <t>Credit Card</t>
        </is>
      </c>
      <c r="I2841" t="inlineStr">
        <is>
          <t>Delivered</t>
        </is>
      </c>
      <c r="J2841" t="n">
        <v>127</v>
      </c>
      <c r="K2841" t="n">
        <v>1</v>
      </c>
      <c r="L2841" t="n">
        <v>681</v>
      </c>
      <c r="M2841" t="n">
        <v>0</v>
      </c>
      <c r="N2841">
        <f>VLOOKUP(J2841,Products!$A$2:$C$49,3,FALSE)</f>
        <v/>
      </c>
      <c r="O2841">
        <f>K2841*L2841-M2841</f>
        <v/>
      </c>
      <c r="P2841">
        <f>TEXT(B2841,"yyyy-mm")</f>
        <v/>
      </c>
      <c r="Q2841">
        <f>IF(O2841&gt;=3000,"Large","Small")</f>
        <v/>
      </c>
      <c r="R2841">
        <f>INDEX(Products!$F$2:$F$49,MATCH(J2841,Products!$A$2:$A$49,0))</f>
        <v/>
      </c>
      <c r="S2841">
        <f>WEEKDAY(B2841,2)</f>
        <v/>
      </c>
    </row>
    <row r="2842">
      <c r="A2842" t="n">
        <v>510847</v>
      </c>
      <c r="B2842" s="6" t="n">
        <v>45975</v>
      </c>
      <c r="C2842" t="n">
        <v>16974</v>
      </c>
      <c r="D2842" t="inlineStr">
        <is>
          <t>Kolkata</t>
        </is>
      </c>
      <c r="E2842" t="inlineStr">
        <is>
          <t>East</t>
        </is>
      </c>
      <c r="F2842" t="inlineStr">
        <is>
          <t>Organic Search</t>
        </is>
      </c>
      <c r="G2842" t="inlineStr">
        <is>
          <t>Desktop</t>
        </is>
      </c>
      <c r="H2842" t="inlineStr">
        <is>
          <t>Cash on Delivery</t>
        </is>
      </c>
      <c r="I2842" t="inlineStr">
        <is>
          <t>Returned</t>
        </is>
      </c>
      <c r="J2842" t="n">
        <v>107</v>
      </c>
      <c r="K2842" t="n">
        <v>1</v>
      </c>
      <c r="L2842" t="n">
        <v>1259</v>
      </c>
      <c r="M2842" t="n">
        <v>0</v>
      </c>
      <c r="N2842">
        <f>VLOOKUP(J2842,Products!$A$2:$C$49,3,FALSE)</f>
        <v/>
      </c>
      <c r="O2842">
        <f>K2842*L2842-M2842</f>
        <v/>
      </c>
      <c r="P2842">
        <f>TEXT(B2842,"yyyy-mm")</f>
        <v/>
      </c>
      <c r="Q2842">
        <f>IF(O2842&gt;=3000,"Large","Small")</f>
        <v/>
      </c>
      <c r="R2842">
        <f>INDEX(Products!$F$2:$F$49,MATCH(J2842,Products!$A$2:$A$49,0))</f>
        <v/>
      </c>
      <c r="S2842">
        <f>WEEKDAY(B2842,2)</f>
        <v/>
      </c>
    </row>
    <row r="2843">
      <c r="A2843" t="n">
        <v>510848</v>
      </c>
      <c r="B2843" s="6" t="n">
        <v>45975</v>
      </c>
      <c r="C2843" t="n">
        <v>17111</v>
      </c>
      <c r="D2843" t="inlineStr">
        <is>
          <t>Bengaluru</t>
        </is>
      </c>
      <c r="E2843" t="inlineStr">
        <is>
          <t>South</t>
        </is>
      </c>
      <c r="F2843" t="inlineStr">
        <is>
          <t>Paid Search</t>
        </is>
      </c>
      <c r="G2843" t="inlineStr">
        <is>
          <t>Desktop</t>
        </is>
      </c>
      <c r="H2843" t="inlineStr">
        <is>
          <t>Credit Card</t>
        </is>
      </c>
      <c r="I2843" t="inlineStr">
        <is>
          <t>Delivered</t>
        </is>
      </c>
      <c r="J2843" t="n">
        <v>130</v>
      </c>
      <c r="K2843" t="n">
        <v>2</v>
      </c>
      <c r="L2843" t="n">
        <v>734</v>
      </c>
      <c r="M2843" t="n">
        <v>0</v>
      </c>
      <c r="N2843">
        <f>VLOOKUP(J2843,Products!$A$2:$C$49,3,FALSE)</f>
        <v/>
      </c>
      <c r="O2843">
        <f>K2843*L2843-M2843</f>
        <v/>
      </c>
      <c r="P2843">
        <f>TEXT(B2843,"yyyy-mm")</f>
        <v/>
      </c>
      <c r="Q2843">
        <f>IF(O2843&gt;=3000,"Large","Small")</f>
        <v/>
      </c>
      <c r="R2843">
        <f>INDEX(Products!$F$2:$F$49,MATCH(J2843,Products!$A$2:$A$49,0))</f>
        <v/>
      </c>
      <c r="S2843">
        <f>WEEKDAY(B2843,2)</f>
        <v/>
      </c>
    </row>
    <row r="2844">
      <c r="A2844" t="n">
        <v>510849</v>
      </c>
      <c r="B2844" s="6" t="n">
        <v>45975</v>
      </c>
      <c r="C2844" t="n">
        <v>17266</v>
      </c>
      <c r="D2844" t="inlineStr">
        <is>
          <t>Gurugram</t>
        </is>
      </c>
      <c r="E2844" t="inlineStr">
        <is>
          <t>North</t>
        </is>
      </c>
      <c r="F2844" t="inlineStr">
        <is>
          <t>Organic Search</t>
        </is>
      </c>
      <c r="G2844" t="inlineStr">
        <is>
          <t>Mobile Web</t>
        </is>
      </c>
      <c r="H2844" t="inlineStr">
        <is>
          <t>UPI</t>
        </is>
      </c>
      <c r="I2844" t="inlineStr">
        <is>
          <t>Delivered</t>
        </is>
      </c>
      <c r="J2844" t="n">
        <v>106</v>
      </c>
      <c r="K2844" t="n">
        <v>1</v>
      </c>
      <c r="L2844" t="n">
        <v>1574</v>
      </c>
      <c r="M2844" t="n">
        <v>236.1</v>
      </c>
      <c r="N2844">
        <f>VLOOKUP(J2844,Products!$A$2:$C$49,3,FALSE)</f>
        <v/>
      </c>
      <c r="O2844">
        <f>K2844*L2844-M2844</f>
        <v/>
      </c>
      <c r="P2844">
        <f>TEXT(B2844,"yyyy-mm")</f>
        <v/>
      </c>
      <c r="Q2844">
        <f>IF(O2844&gt;=3000,"Large","Small")</f>
        <v/>
      </c>
      <c r="R2844">
        <f>INDEX(Products!$F$2:$F$49,MATCH(J2844,Products!$A$2:$A$49,0))</f>
        <v/>
      </c>
      <c r="S2844">
        <f>WEEKDAY(B2844,2)</f>
        <v/>
      </c>
    </row>
    <row r="2845">
      <c r="A2845" t="n">
        <v>510850</v>
      </c>
      <c r="B2845" s="6" t="n">
        <v>45975</v>
      </c>
      <c r="C2845" t="n">
        <v>16396</v>
      </c>
      <c r="D2845" t="inlineStr">
        <is>
          <t>Kolkata</t>
        </is>
      </c>
      <c r="E2845" t="inlineStr">
        <is>
          <t>East</t>
        </is>
      </c>
      <c r="F2845" t="inlineStr">
        <is>
          <t>Referral</t>
        </is>
      </c>
      <c r="G2845" t="inlineStr">
        <is>
          <t>Desktop</t>
        </is>
      </c>
      <c r="H2845" t="inlineStr">
        <is>
          <t>UPI</t>
        </is>
      </c>
      <c r="I2845" t="inlineStr">
        <is>
          <t>Delivered</t>
        </is>
      </c>
      <c r="J2845" t="n">
        <v>114</v>
      </c>
      <c r="K2845" t="n">
        <v>3</v>
      </c>
      <c r="L2845" t="n">
        <v>1259</v>
      </c>
      <c r="M2845" t="n">
        <v>0</v>
      </c>
      <c r="N2845">
        <f>VLOOKUP(J2845,Products!$A$2:$C$49,3,FALSE)</f>
        <v/>
      </c>
      <c r="O2845">
        <f>K2845*L2845-M2845</f>
        <v/>
      </c>
      <c r="P2845">
        <f>TEXT(B2845,"yyyy-mm")</f>
        <v/>
      </c>
      <c r="Q2845">
        <f>IF(O2845&gt;=3000,"Large","Small")</f>
        <v/>
      </c>
      <c r="R2845">
        <f>INDEX(Products!$F$2:$F$49,MATCH(J2845,Products!$A$2:$A$49,0))</f>
        <v/>
      </c>
      <c r="S2845">
        <f>WEEKDAY(B2845,2)</f>
        <v/>
      </c>
    </row>
    <row r="2846">
      <c r="A2846" t="n">
        <v>510850</v>
      </c>
      <c r="B2846" s="6" t="n">
        <v>45975</v>
      </c>
      <c r="C2846" t="n">
        <v>16396</v>
      </c>
      <c r="D2846" t="inlineStr">
        <is>
          <t>Kolkata</t>
        </is>
      </c>
      <c r="E2846" t="inlineStr">
        <is>
          <t>East</t>
        </is>
      </c>
      <c r="F2846" t="inlineStr">
        <is>
          <t>Referral</t>
        </is>
      </c>
      <c r="G2846" t="inlineStr">
        <is>
          <t>Desktop</t>
        </is>
      </c>
      <c r="H2846" t="inlineStr">
        <is>
          <t>UPI</t>
        </is>
      </c>
      <c r="I2846" t="inlineStr">
        <is>
          <t>Delivered</t>
        </is>
      </c>
      <c r="J2846" t="n">
        <v>142</v>
      </c>
      <c r="K2846" t="n">
        <v>1</v>
      </c>
      <c r="L2846" t="n">
        <v>839</v>
      </c>
      <c r="M2846" t="n">
        <v>0</v>
      </c>
      <c r="N2846">
        <f>VLOOKUP(J2846,Products!$A$2:$C$49,3,FALSE)</f>
        <v/>
      </c>
      <c r="O2846">
        <f>K2846*L2846-M2846</f>
        <v/>
      </c>
      <c r="P2846">
        <f>TEXT(B2846,"yyyy-mm")</f>
        <v/>
      </c>
      <c r="Q2846">
        <f>IF(O2846&gt;=3000,"Large","Small")</f>
        <v/>
      </c>
      <c r="R2846">
        <f>INDEX(Products!$F$2:$F$49,MATCH(J2846,Products!$A$2:$A$49,0))</f>
        <v/>
      </c>
      <c r="S2846">
        <f>WEEKDAY(B2846,2)</f>
        <v/>
      </c>
    </row>
    <row r="2847">
      <c r="A2847" t="n">
        <v>510851</v>
      </c>
      <c r="B2847" s="6" t="n">
        <v>45976</v>
      </c>
      <c r="C2847" t="n">
        <v>15738</v>
      </c>
      <c r="D2847" t="inlineStr">
        <is>
          <t>Delhi</t>
        </is>
      </c>
      <c r="E2847" t="inlineStr">
        <is>
          <t>North</t>
        </is>
      </c>
      <c r="F2847" t="inlineStr">
        <is>
          <t>Organic Search</t>
        </is>
      </c>
      <c r="G2847" t="inlineStr">
        <is>
          <t>Desktop</t>
        </is>
      </c>
      <c r="H2847" t="inlineStr">
        <is>
          <t>UPI</t>
        </is>
      </c>
      <c r="I2847" t="inlineStr">
        <is>
          <t>Delivered</t>
        </is>
      </c>
      <c r="J2847" t="n">
        <v>104</v>
      </c>
      <c r="K2847" t="n">
        <v>1</v>
      </c>
      <c r="L2847" t="n">
        <v>5249</v>
      </c>
      <c r="M2847" t="n">
        <v>0</v>
      </c>
      <c r="N2847">
        <f>VLOOKUP(J2847,Products!$A$2:$C$49,3,FALSE)</f>
        <v/>
      </c>
      <c r="O2847">
        <f>K2847*L2847-M2847</f>
        <v/>
      </c>
      <c r="P2847">
        <f>TEXT(B2847,"yyyy-mm")</f>
        <v/>
      </c>
      <c r="Q2847">
        <f>IF(O2847&gt;=3000,"Large","Small")</f>
        <v/>
      </c>
      <c r="R2847">
        <f>INDEX(Products!$F$2:$F$49,MATCH(J2847,Products!$A$2:$A$49,0))</f>
        <v/>
      </c>
      <c r="S2847">
        <f>WEEKDAY(B2847,2)</f>
        <v/>
      </c>
    </row>
    <row r="2848">
      <c r="A2848" t="n">
        <v>510851</v>
      </c>
      <c r="B2848" s="6" t="n">
        <v>45976</v>
      </c>
      <c r="C2848" t="n">
        <v>15738</v>
      </c>
      <c r="D2848" t="inlineStr">
        <is>
          <t>Delhi</t>
        </is>
      </c>
      <c r="E2848" t="inlineStr">
        <is>
          <t>North</t>
        </is>
      </c>
      <c r="F2848" t="inlineStr">
        <is>
          <t>Organic Search</t>
        </is>
      </c>
      <c r="G2848" t="inlineStr">
        <is>
          <t>Desktop</t>
        </is>
      </c>
      <c r="H2848" t="inlineStr">
        <is>
          <t>UPI</t>
        </is>
      </c>
      <c r="I2848" t="inlineStr">
        <is>
          <t>Delivered</t>
        </is>
      </c>
      <c r="J2848" t="n">
        <v>132</v>
      </c>
      <c r="K2848" t="n">
        <v>1</v>
      </c>
      <c r="L2848" t="n">
        <v>471</v>
      </c>
      <c r="M2848" t="n">
        <v>0</v>
      </c>
      <c r="N2848">
        <f>VLOOKUP(J2848,Products!$A$2:$C$49,3,FALSE)</f>
        <v/>
      </c>
      <c r="O2848">
        <f>K2848*L2848-M2848</f>
        <v/>
      </c>
      <c r="P2848">
        <f>TEXT(B2848,"yyyy-mm")</f>
        <v/>
      </c>
      <c r="Q2848">
        <f>IF(O2848&gt;=3000,"Large","Small")</f>
        <v/>
      </c>
      <c r="R2848">
        <f>INDEX(Products!$F$2:$F$49,MATCH(J2848,Products!$A$2:$A$49,0))</f>
        <v/>
      </c>
      <c r="S2848">
        <f>WEEKDAY(B2848,2)</f>
        <v/>
      </c>
    </row>
    <row r="2849">
      <c r="A2849" t="n">
        <v>510852</v>
      </c>
      <c r="B2849" s="6" t="n">
        <v>45976</v>
      </c>
      <c r="C2849" t="n">
        <v>17277</v>
      </c>
      <c r="D2849" t="inlineStr">
        <is>
          <t>Delhi</t>
        </is>
      </c>
      <c r="E2849" t="inlineStr">
        <is>
          <t>North</t>
        </is>
      </c>
      <c r="F2849" t="inlineStr">
        <is>
          <t>Paid Social</t>
        </is>
      </c>
      <c r="G2849" t="inlineStr">
        <is>
          <t>Mobile Web</t>
        </is>
      </c>
      <c r="H2849" t="inlineStr">
        <is>
          <t>Cash on Delivery</t>
        </is>
      </c>
      <c r="I2849" t="inlineStr">
        <is>
          <t>Delivered</t>
        </is>
      </c>
      <c r="J2849" t="n">
        <v>142</v>
      </c>
      <c r="K2849" t="n">
        <v>1</v>
      </c>
      <c r="L2849" t="n">
        <v>839</v>
      </c>
      <c r="M2849" t="n">
        <v>125.85</v>
      </c>
      <c r="N2849">
        <f>VLOOKUP(J2849,Products!$A$2:$C$49,3,FALSE)</f>
        <v/>
      </c>
      <c r="O2849">
        <f>K2849*L2849-M2849</f>
        <v/>
      </c>
      <c r="P2849">
        <f>TEXT(B2849,"yyyy-mm")</f>
        <v/>
      </c>
      <c r="Q2849">
        <f>IF(O2849&gt;=3000,"Large","Small")</f>
        <v/>
      </c>
      <c r="R2849">
        <f>INDEX(Products!$F$2:$F$49,MATCH(J2849,Products!$A$2:$A$49,0))</f>
        <v/>
      </c>
      <c r="S2849">
        <f>WEEKDAY(B2849,2)</f>
        <v/>
      </c>
    </row>
    <row r="2850">
      <c r="A2850" t="n">
        <v>510853</v>
      </c>
      <c r="B2850" s="6" t="n">
        <v>45976</v>
      </c>
      <c r="C2850" t="n">
        <v>17331</v>
      </c>
      <c r="D2850" t="inlineStr">
        <is>
          <t>Hyderabad</t>
        </is>
      </c>
      <c r="E2850" t="inlineStr">
        <is>
          <t>South</t>
        </is>
      </c>
      <c r="F2850" t="inlineStr">
        <is>
          <t>Referral</t>
        </is>
      </c>
      <c r="G2850" t="inlineStr">
        <is>
          <t>Desktop</t>
        </is>
      </c>
      <c r="H2850" t="inlineStr">
        <is>
          <t>UPI</t>
        </is>
      </c>
      <c r="I2850" t="inlineStr">
        <is>
          <t>Delivered</t>
        </is>
      </c>
      <c r="J2850" t="n">
        <v>137</v>
      </c>
      <c r="K2850" t="n">
        <v>1</v>
      </c>
      <c r="L2850" t="n">
        <v>261</v>
      </c>
      <c r="M2850" t="n">
        <v>39.15</v>
      </c>
      <c r="N2850">
        <f>VLOOKUP(J2850,Products!$A$2:$C$49,3,FALSE)</f>
        <v/>
      </c>
      <c r="O2850">
        <f>K2850*L2850-M2850</f>
        <v/>
      </c>
      <c r="P2850">
        <f>TEXT(B2850,"yyyy-mm")</f>
        <v/>
      </c>
      <c r="Q2850">
        <f>IF(O2850&gt;=3000,"Large","Small")</f>
        <v/>
      </c>
      <c r="R2850">
        <f>INDEX(Products!$F$2:$F$49,MATCH(J2850,Products!$A$2:$A$49,0))</f>
        <v/>
      </c>
      <c r="S2850">
        <f>WEEKDAY(B2850,2)</f>
        <v/>
      </c>
    </row>
    <row r="2851">
      <c r="A2851" t="n">
        <v>510854</v>
      </c>
      <c r="B2851" s="6" t="n">
        <v>45976</v>
      </c>
      <c r="C2851" t="n">
        <v>17222</v>
      </c>
      <c r="D2851" t="inlineStr">
        <is>
          <t>Mumbai</t>
        </is>
      </c>
      <c r="E2851" t="inlineStr">
        <is>
          <t>West</t>
        </is>
      </c>
      <c r="F2851" t="inlineStr">
        <is>
          <t>Paid Search</t>
        </is>
      </c>
      <c r="G2851" t="inlineStr">
        <is>
          <t>Mobile App</t>
        </is>
      </c>
      <c r="H2851" t="inlineStr">
        <is>
          <t>UPI</t>
        </is>
      </c>
      <c r="I2851" t="inlineStr">
        <is>
          <t>Returned</t>
        </is>
      </c>
      <c r="J2851" t="n">
        <v>117</v>
      </c>
      <c r="K2851" t="n">
        <v>2</v>
      </c>
      <c r="L2851" t="n">
        <v>3149</v>
      </c>
      <c r="M2851" t="n">
        <v>944.7</v>
      </c>
      <c r="N2851">
        <f>VLOOKUP(J2851,Products!$A$2:$C$49,3,FALSE)</f>
        <v/>
      </c>
      <c r="O2851">
        <f>K2851*L2851-M2851</f>
        <v/>
      </c>
      <c r="P2851">
        <f>TEXT(B2851,"yyyy-mm")</f>
        <v/>
      </c>
      <c r="Q2851">
        <f>IF(O2851&gt;=3000,"Large","Small")</f>
        <v/>
      </c>
      <c r="R2851">
        <f>INDEX(Products!$F$2:$F$49,MATCH(J2851,Products!$A$2:$A$49,0))</f>
        <v/>
      </c>
      <c r="S2851">
        <f>WEEKDAY(B2851,2)</f>
        <v/>
      </c>
    </row>
    <row r="2852">
      <c r="A2852" t="n">
        <v>510855</v>
      </c>
      <c r="B2852" s="6" t="n">
        <v>45976</v>
      </c>
      <c r="C2852" t="n">
        <v>17316</v>
      </c>
      <c r="D2852" t="inlineStr">
        <is>
          <t>Chandigarh</t>
        </is>
      </c>
      <c r="E2852" t="inlineStr">
        <is>
          <t>North</t>
        </is>
      </c>
      <c r="F2852" t="inlineStr">
        <is>
          <t>Organic Search</t>
        </is>
      </c>
      <c r="G2852" t="inlineStr">
        <is>
          <t>Mobile App</t>
        </is>
      </c>
      <c r="H2852" t="inlineStr">
        <is>
          <t>UPI</t>
        </is>
      </c>
      <c r="I2852" t="inlineStr">
        <is>
          <t>Delivered</t>
        </is>
      </c>
      <c r="J2852" t="n">
        <v>113</v>
      </c>
      <c r="K2852" t="n">
        <v>1</v>
      </c>
      <c r="L2852" t="n">
        <v>1364</v>
      </c>
      <c r="M2852" t="n">
        <v>0</v>
      </c>
      <c r="N2852">
        <f>VLOOKUP(J2852,Products!$A$2:$C$49,3,FALSE)</f>
        <v/>
      </c>
      <c r="O2852">
        <f>K2852*L2852-M2852</f>
        <v/>
      </c>
      <c r="P2852">
        <f>TEXT(B2852,"yyyy-mm")</f>
        <v/>
      </c>
      <c r="Q2852">
        <f>IF(O2852&gt;=3000,"Large","Small")</f>
        <v/>
      </c>
      <c r="R2852">
        <f>INDEX(Products!$F$2:$F$49,MATCH(J2852,Products!$A$2:$A$49,0))</f>
        <v/>
      </c>
      <c r="S2852">
        <f>WEEKDAY(B2852,2)</f>
        <v/>
      </c>
    </row>
    <row r="2853">
      <c r="A2853" t="n">
        <v>510856</v>
      </c>
      <c r="B2853" s="6" t="n">
        <v>45976</v>
      </c>
      <c r="C2853" t="n">
        <v>17249</v>
      </c>
      <c r="D2853" t="inlineStr">
        <is>
          <t>Mumbai</t>
        </is>
      </c>
      <c r="E2853" t="inlineStr">
        <is>
          <t>West</t>
        </is>
      </c>
      <c r="F2853" t="inlineStr">
        <is>
          <t>Organic Search</t>
        </is>
      </c>
      <c r="G2853" t="inlineStr">
        <is>
          <t>Mobile App</t>
        </is>
      </c>
      <c r="H2853" t="inlineStr">
        <is>
          <t>Cash on Delivery</t>
        </is>
      </c>
      <c r="I2853" t="inlineStr">
        <is>
          <t>Cancelled</t>
        </is>
      </c>
      <c r="J2853" t="n">
        <v>137</v>
      </c>
      <c r="K2853" t="n">
        <v>1</v>
      </c>
      <c r="L2853" t="n">
        <v>261</v>
      </c>
      <c r="M2853" t="n">
        <v>0</v>
      </c>
      <c r="N2853">
        <f>VLOOKUP(J2853,Products!$A$2:$C$49,3,FALSE)</f>
        <v/>
      </c>
      <c r="O2853">
        <f>K2853*L2853-M2853</f>
        <v/>
      </c>
      <c r="P2853">
        <f>TEXT(B2853,"yyyy-mm")</f>
        <v/>
      </c>
      <c r="Q2853">
        <f>IF(O2853&gt;=3000,"Large","Small")</f>
        <v/>
      </c>
      <c r="R2853">
        <f>INDEX(Products!$F$2:$F$49,MATCH(J2853,Products!$A$2:$A$49,0))</f>
        <v/>
      </c>
      <c r="S2853">
        <f>WEEKDAY(B2853,2)</f>
        <v/>
      </c>
    </row>
    <row r="2854">
      <c r="A2854" t="n">
        <v>510856</v>
      </c>
      <c r="B2854" s="6" t="n">
        <v>45976</v>
      </c>
      <c r="C2854" t="n">
        <v>17249</v>
      </c>
      <c r="D2854" t="inlineStr">
        <is>
          <t>Mumbai</t>
        </is>
      </c>
      <c r="E2854" t="inlineStr">
        <is>
          <t>West</t>
        </is>
      </c>
      <c r="F2854" t="inlineStr">
        <is>
          <t>Organic Search</t>
        </is>
      </c>
      <c r="G2854" t="inlineStr">
        <is>
          <t>Mobile App</t>
        </is>
      </c>
      <c r="H2854" t="inlineStr">
        <is>
          <t>Cash on Delivery</t>
        </is>
      </c>
      <c r="I2854" t="inlineStr">
        <is>
          <t>Cancelled</t>
        </is>
      </c>
      <c r="J2854" t="n">
        <v>111</v>
      </c>
      <c r="K2854" t="n">
        <v>1</v>
      </c>
      <c r="L2854" t="n">
        <v>524</v>
      </c>
      <c r="M2854" t="n">
        <v>0</v>
      </c>
      <c r="N2854">
        <f>VLOOKUP(J2854,Products!$A$2:$C$49,3,FALSE)</f>
        <v/>
      </c>
      <c r="O2854">
        <f>K2854*L2854-M2854</f>
        <v/>
      </c>
      <c r="P2854">
        <f>TEXT(B2854,"yyyy-mm")</f>
        <v/>
      </c>
      <c r="Q2854">
        <f>IF(O2854&gt;=3000,"Large","Small")</f>
        <v/>
      </c>
      <c r="R2854">
        <f>INDEX(Products!$F$2:$F$49,MATCH(J2854,Products!$A$2:$A$49,0))</f>
        <v/>
      </c>
      <c r="S2854">
        <f>WEEKDAY(B2854,2)</f>
        <v/>
      </c>
    </row>
    <row r="2855">
      <c r="A2855" t="n">
        <v>510857</v>
      </c>
      <c r="B2855" s="6" t="n">
        <v>45976</v>
      </c>
      <c r="C2855" t="n">
        <v>12612</v>
      </c>
      <c r="D2855" t="inlineStr">
        <is>
          <t>Ahmedabad</t>
        </is>
      </c>
      <c r="E2855" t="inlineStr">
        <is>
          <t>West</t>
        </is>
      </c>
      <c r="F2855" t="inlineStr">
        <is>
          <t>Organic Search</t>
        </is>
      </c>
      <c r="G2855" t="inlineStr">
        <is>
          <t>Desktop</t>
        </is>
      </c>
      <c r="H2855" t="inlineStr">
        <is>
          <t>Credit Card</t>
        </is>
      </c>
      <c r="I2855" t="inlineStr">
        <is>
          <t>Delivered</t>
        </is>
      </c>
      <c r="J2855" t="n">
        <v>131</v>
      </c>
      <c r="K2855" t="n">
        <v>1</v>
      </c>
      <c r="L2855" t="n">
        <v>314</v>
      </c>
      <c r="M2855" t="n">
        <v>15.7</v>
      </c>
      <c r="N2855">
        <f>VLOOKUP(J2855,Products!$A$2:$C$49,3,FALSE)</f>
        <v/>
      </c>
      <c r="O2855">
        <f>K2855*L2855-M2855</f>
        <v/>
      </c>
      <c r="P2855">
        <f>TEXT(B2855,"yyyy-mm")</f>
        <v/>
      </c>
      <c r="Q2855">
        <f>IF(O2855&gt;=3000,"Large","Small")</f>
        <v/>
      </c>
      <c r="R2855">
        <f>INDEX(Products!$F$2:$F$49,MATCH(J2855,Products!$A$2:$A$49,0))</f>
        <v/>
      </c>
      <c r="S2855">
        <f>WEEKDAY(B2855,2)</f>
        <v/>
      </c>
    </row>
    <row r="2856">
      <c r="A2856" t="n">
        <v>510858</v>
      </c>
      <c r="B2856" s="6" t="n">
        <v>45976</v>
      </c>
      <c r="C2856" t="n">
        <v>17255</v>
      </c>
      <c r="D2856" t="inlineStr">
        <is>
          <t>Ahmedabad</t>
        </is>
      </c>
      <c r="E2856" t="inlineStr">
        <is>
          <t>West</t>
        </is>
      </c>
      <c r="F2856" t="inlineStr">
        <is>
          <t>Email</t>
        </is>
      </c>
      <c r="G2856" t="inlineStr">
        <is>
          <t>Mobile Web</t>
        </is>
      </c>
      <c r="H2856" t="inlineStr">
        <is>
          <t>Cash on Delivery</t>
        </is>
      </c>
      <c r="I2856" t="inlineStr">
        <is>
          <t>Cancelled</t>
        </is>
      </c>
      <c r="J2856" t="n">
        <v>104</v>
      </c>
      <c r="K2856" t="n">
        <v>2</v>
      </c>
      <c r="L2856" t="n">
        <v>5249</v>
      </c>
      <c r="M2856" t="n">
        <v>0</v>
      </c>
      <c r="N2856">
        <f>VLOOKUP(J2856,Products!$A$2:$C$49,3,FALSE)</f>
        <v/>
      </c>
      <c r="O2856">
        <f>K2856*L2856-M2856</f>
        <v/>
      </c>
      <c r="P2856">
        <f>TEXT(B2856,"yyyy-mm")</f>
        <v/>
      </c>
      <c r="Q2856">
        <f>IF(O2856&gt;=3000,"Large","Small")</f>
        <v/>
      </c>
      <c r="R2856">
        <f>INDEX(Products!$F$2:$F$49,MATCH(J2856,Products!$A$2:$A$49,0))</f>
        <v/>
      </c>
      <c r="S2856">
        <f>WEEKDAY(B2856,2)</f>
        <v/>
      </c>
    </row>
    <row r="2857">
      <c r="A2857" t="n">
        <v>510859</v>
      </c>
      <c r="B2857" s="6" t="n">
        <v>45976</v>
      </c>
      <c r="C2857" t="n">
        <v>16423</v>
      </c>
      <c r="D2857" t="inlineStr">
        <is>
          <t>Chennai</t>
        </is>
      </c>
      <c r="E2857" t="inlineStr">
        <is>
          <t>South</t>
        </is>
      </c>
      <c r="F2857" t="inlineStr">
        <is>
          <t>Paid Social</t>
        </is>
      </c>
      <c r="G2857" t="inlineStr">
        <is>
          <t>Mobile Web</t>
        </is>
      </c>
      <c r="H2857" t="inlineStr">
        <is>
          <t>Debit Card</t>
        </is>
      </c>
      <c r="I2857" t="inlineStr">
        <is>
          <t>Delivered</t>
        </is>
      </c>
      <c r="J2857" t="n">
        <v>117</v>
      </c>
      <c r="K2857" t="n">
        <v>1</v>
      </c>
      <c r="L2857" t="n">
        <v>3149</v>
      </c>
      <c r="M2857" t="n">
        <v>0</v>
      </c>
      <c r="N2857">
        <f>VLOOKUP(J2857,Products!$A$2:$C$49,3,FALSE)</f>
        <v/>
      </c>
      <c r="O2857">
        <f>K2857*L2857-M2857</f>
        <v/>
      </c>
      <c r="P2857">
        <f>TEXT(B2857,"yyyy-mm")</f>
        <v/>
      </c>
      <c r="Q2857">
        <f>IF(O2857&gt;=3000,"Large","Small")</f>
        <v/>
      </c>
      <c r="R2857">
        <f>INDEX(Products!$F$2:$F$49,MATCH(J2857,Products!$A$2:$A$49,0))</f>
        <v/>
      </c>
      <c r="S2857">
        <f>WEEKDAY(B2857,2)</f>
        <v/>
      </c>
    </row>
    <row r="2858">
      <c r="A2858" t="n">
        <v>510859</v>
      </c>
      <c r="B2858" s="6" t="n">
        <v>45976</v>
      </c>
      <c r="C2858" t="n">
        <v>16423</v>
      </c>
      <c r="D2858" t="inlineStr">
        <is>
          <t>Chennai</t>
        </is>
      </c>
      <c r="E2858" t="inlineStr">
        <is>
          <t>South</t>
        </is>
      </c>
      <c r="F2858" t="inlineStr">
        <is>
          <t>Paid Social</t>
        </is>
      </c>
      <c r="G2858" t="inlineStr">
        <is>
          <t>Mobile Web</t>
        </is>
      </c>
      <c r="H2858" t="inlineStr">
        <is>
          <t>Debit Card</t>
        </is>
      </c>
      <c r="I2858" t="inlineStr">
        <is>
          <t>Delivered</t>
        </is>
      </c>
      <c r="J2858" t="n">
        <v>118</v>
      </c>
      <c r="K2858" t="n">
        <v>1</v>
      </c>
      <c r="L2858" t="n">
        <v>944</v>
      </c>
      <c r="M2858" t="n">
        <v>0</v>
      </c>
      <c r="N2858">
        <f>VLOOKUP(J2858,Products!$A$2:$C$49,3,FALSE)</f>
        <v/>
      </c>
      <c r="O2858">
        <f>K2858*L2858-M2858</f>
        <v/>
      </c>
      <c r="P2858">
        <f>TEXT(B2858,"yyyy-mm")</f>
        <v/>
      </c>
      <c r="Q2858">
        <f>IF(O2858&gt;=3000,"Large","Small")</f>
        <v/>
      </c>
      <c r="R2858">
        <f>INDEX(Products!$F$2:$F$49,MATCH(J2858,Products!$A$2:$A$49,0))</f>
        <v/>
      </c>
      <c r="S2858">
        <f>WEEKDAY(B2858,2)</f>
        <v/>
      </c>
    </row>
    <row r="2859">
      <c r="A2859" t="n">
        <v>510860</v>
      </c>
      <c r="B2859" s="6" t="n">
        <v>45976</v>
      </c>
      <c r="C2859" t="n">
        <v>17156</v>
      </c>
      <c r="D2859" t="inlineStr">
        <is>
          <t>Chandigarh</t>
        </is>
      </c>
      <c r="E2859" t="inlineStr">
        <is>
          <t>North</t>
        </is>
      </c>
      <c r="F2859" t="inlineStr">
        <is>
          <t>Organic Search</t>
        </is>
      </c>
      <c r="G2859" t="inlineStr">
        <is>
          <t>Mobile Web</t>
        </is>
      </c>
      <c r="H2859" t="inlineStr">
        <is>
          <t>Cash on Delivery</t>
        </is>
      </c>
      <c r="I2859" t="inlineStr">
        <is>
          <t>Delivered</t>
        </is>
      </c>
      <c r="J2859" t="n">
        <v>122</v>
      </c>
      <c r="K2859" t="n">
        <v>1</v>
      </c>
      <c r="L2859" t="n">
        <v>1994</v>
      </c>
      <c r="M2859" t="n">
        <v>0</v>
      </c>
      <c r="N2859">
        <f>VLOOKUP(J2859,Products!$A$2:$C$49,3,FALSE)</f>
        <v/>
      </c>
      <c r="O2859">
        <f>K2859*L2859-M2859</f>
        <v/>
      </c>
      <c r="P2859">
        <f>TEXT(B2859,"yyyy-mm")</f>
        <v/>
      </c>
      <c r="Q2859">
        <f>IF(O2859&gt;=3000,"Large","Small")</f>
        <v/>
      </c>
      <c r="R2859">
        <f>INDEX(Products!$F$2:$F$49,MATCH(J2859,Products!$A$2:$A$49,0))</f>
        <v/>
      </c>
      <c r="S2859">
        <f>WEEKDAY(B2859,2)</f>
        <v/>
      </c>
    </row>
    <row r="2860">
      <c r="A2860" t="n">
        <v>510860</v>
      </c>
      <c r="B2860" s="6" t="n">
        <v>45976</v>
      </c>
      <c r="C2860" t="n">
        <v>17156</v>
      </c>
      <c r="D2860" t="inlineStr">
        <is>
          <t>Chandigarh</t>
        </is>
      </c>
      <c r="E2860" t="inlineStr">
        <is>
          <t>North</t>
        </is>
      </c>
      <c r="F2860" t="inlineStr">
        <is>
          <t>Organic Search</t>
        </is>
      </c>
      <c r="G2860" t="inlineStr">
        <is>
          <t>Mobile Web</t>
        </is>
      </c>
      <c r="H2860" t="inlineStr">
        <is>
          <t>Cash on Delivery</t>
        </is>
      </c>
      <c r="I2860" t="inlineStr">
        <is>
          <t>Delivered</t>
        </is>
      </c>
      <c r="J2860" t="n">
        <v>118</v>
      </c>
      <c r="K2860" t="n">
        <v>1</v>
      </c>
      <c r="L2860" t="n">
        <v>944</v>
      </c>
      <c r="M2860" t="n">
        <v>0</v>
      </c>
      <c r="N2860">
        <f>VLOOKUP(J2860,Products!$A$2:$C$49,3,FALSE)</f>
        <v/>
      </c>
      <c r="O2860">
        <f>K2860*L2860-M2860</f>
        <v/>
      </c>
      <c r="P2860">
        <f>TEXT(B2860,"yyyy-mm")</f>
        <v/>
      </c>
      <c r="Q2860">
        <f>IF(O2860&gt;=3000,"Large","Small")</f>
        <v/>
      </c>
      <c r="R2860">
        <f>INDEX(Products!$F$2:$F$49,MATCH(J2860,Products!$A$2:$A$49,0))</f>
        <v/>
      </c>
      <c r="S2860">
        <f>WEEKDAY(B2860,2)</f>
        <v/>
      </c>
    </row>
    <row r="2861">
      <c r="A2861" t="n">
        <v>510860</v>
      </c>
      <c r="B2861" s="6" t="n">
        <v>45976</v>
      </c>
      <c r="C2861" t="n">
        <v>17156</v>
      </c>
      <c r="D2861" t="inlineStr">
        <is>
          <t>Chandigarh</t>
        </is>
      </c>
      <c r="E2861" t="inlineStr">
        <is>
          <t>North</t>
        </is>
      </c>
      <c r="F2861" t="inlineStr">
        <is>
          <t>Organic Search</t>
        </is>
      </c>
      <c r="G2861" t="inlineStr">
        <is>
          <t>Mobile Web</t>
        </is>
      </c>
      <c r="H2861" t="inlineStr">
        <is>
          <t>Cash on Delivery</t>
        </is>
      </c>
      <c r="I2861" t="inlineStr">
        <is>
          <t>Delivered</t>
        </is>
      </c>
      <c r="J2861" t="n">
        <v>115</v>
      </c>
      <c r="K2861" t="n">
        <v>1</v>
      </c>
      <c r="L2861" t="n">
        <v>4199</v>
      </c>
      <c r="M2861" t="n">
        <v>0</v>
      </c>
      <c r="N2861">
        <f>VLOOKUP(J2861,Products!$A$2:$C$49,3,FALSE)</f>
        <v/>
      </c>
      <c r="O2861">
        <f>K2861*L2861-M2861</f>
        <v/>
      </c>
      <c r="P2861">
        <f>TEXT(B2861,"yyyy-mm")</f>
        <v/>
      </c>
      <c r="Q2861">
        <f>IF(O2861&gt;=3000,"Large","Small")</f>
        <v/>
      </c>
      <c r="R2861">
        <f>INDEX(Products!$F$2:$F$49,MATCH(J2861,Products!$A$2:$A$49,0))</f>
        <v/>
      </c>
      <c r="S2861">
        <f>WEEKDAY(B2861,2)</f>
        <v/>
      </c>
    </row>
    <row r="2862">
      <c r="A2862" t="n">
        <v>510861</v>
      </c>
      <c r="B2862" s="6" t="n">
        <v>45976</v>
      </c>
      <c r="C2862" t="n">
        <v>15859</v>
      </c>
      <c r="D2862" t="inlineStr">
        <is>
          <t>Hyderabad</t>
        </is>
      </c>
      <c r="E2862" t="inlineStr">
        <is>
          <t>South</t>
        </is>
      </c>
      <c r="F2862" t="inlineStr">
        <is>
          <t>Email</t>
        </is>
      </c>
      <c r="G2862" t="inlineStr">
        <is>
          <t>Mobile Web</t>
        </is>
      </c>
      <c r="H2862" t="inlineStr">
        <is>
          <t>UPI</t>
        </is>
      </c>
      <c r="I2862" t="inlineStr">
        <is>
          <t>Delivered</t>
        </is>
      </c>
      <c r="J2862" t="n">
        <v>107</v>
      </c>
      <c r="K2862" t="n">
        <v>1</v>
      </c>
      <c r="L2862" t="n">
        <v>1259</v>
      </c>
      <c r="M2862" t="n">
        <v>0</v>
      </c>
      <c r="N2862">
        <f>VLOOKUP(J2862,Products!$A$2:$C$49,3,FALSE)</f>
        <v/>
      </c>
      <c r="O2862">
        <f>K2862*L2862-M2862</f>
        <v/>
      </c>
      <c r="P2862">
        <f>TEXT(B2862,"yyyy-mm")</f>
        <v/>
      </c>
      <c r="Q2862">
        <f>IF(O2862&gt;=3000,"Large","Small")</f>
        <v/>
      </c>
      <c r="R2862">
        <f>INDEX(Products!$F$2:$F$49,MATCH(J2862,Products!$A$2:$A$49,0))</f>
        <v/>
      </c>
      <c r="S2862">
        <f>WEEKDAY(B2862,2)</f>
        <v/>
      </c>
    </row>
    <row r="2863">
      <c r="A2863" t="n">
        <v>510862</v>
      </c>
      <c r="B2863" s="6" t="n">
        <v>45976</v>
      </c>
      <c r="C2863" t="n">
        <v>16460</v>
      </c>
      <c r="D2863" t="inlineStr">
        <is>
          <t>Jaipur</t>
        </is>
      </c>
      <c r="E2863" t="inlineStr">
        <is>
          <t>North</t>
        </is>
      </c>
      <c r="F2863" t="inlineStr">
        <is>
          <t>Email</t>
        </is>
      </c>
      <c r="G2863" t="inlineStr">
        <is>
          <t>Mobile App</t>
        </is>
      </c>
      <c r="H2863" t="inlineStr">
        <is>
          <t>UPI</t>
        </is>
      </c>
      <c r="I2863" t="inlineStr">
        <is>
          <t>Delivered</t>
        </is>
      </c>
      <c r="J2863" t="n">
        <v>121</v>
      </c>
      <c r="K2863" t="n">
        <v>1</v>
      </c>
      <c r="L2863" t="n">
        <v>2939</v>
      </c>
      <c r="M2863" t="n">
        <v>0</v>
      </c>
      <c r="N2863">
        <f>VLOOKUP(J2863,Products!$A$2:$C$49,3,FALSE)</f>
        <v/>
      </c>
      <c r="O2863">
        <f>K2863*L2863-M2863</f>
        <v/>
      </c>
      <c r="P2863">
        <f>TEXT(B2863,"yyyy-mm")</f>
        <v/>
      </c>
      <c r="Q2863">
        <f>IF(O2863&gt;=3000,"Large","Small")</f>
        <v/>
      </c>
      <c r="R2863">
        <f>INDEX(Products!$F$2:$F$49,MATCH(J2863,Products!$A$2:$A$49,0))</f>
        <v/>
      </c>
      <c r="S2863">
        <f>WEEKDAY(B2863,2)</f>
        <v/>
      </c>
    </row>
    <row r="2864">
      <c r="A2864" t="n">
        <v>510863</v>
      </c>
      <c r="B2864" s="6" t="n">
        <v>45976</v>
      </c>
      <c r="C2864" t="n">
        <v>10908</v>
      </c>
      <c r="D2864" t="inlineStr">
        <is>
          <t>Lucknow</t>
        </is>
      </c>
      <c r="E2864" t="inlineStr">
        <is>
          <t>North</t>
        </is>
      </c>
      <c r="F2864" t="inlineStr">
        <is>
          <t>Paid Search</t>
        </is>
      </c>
      <c r="G2864" t="inlineStr">
        <is>
          <t>Mobile Web</t>
        </is>
      </c>
      <c r="H2864" t="inlineStr">
        <is>
          <t>Cash on Delivery</t>
        </is>
      </c>
      <c r="I2864" t="inlineStr">
        <is>
          <t>Cancelled</t>
        </is>
      </c>
      <c r="J2864" t="n">
        <v>117</v>
      </c>
      <c r="K2864" t="n">
        <v>1</v>
      </c>
      <c r="L2864" t="n">
        <v>3149</v>
      </c>
      <c r="M2864" t="n">
        <v>0</v>
      </c>
      <c r="N2864">
        <f>VLOOKUP(J2864,Products!$A$2:$C$49,3,FALSE)</f>
        <v/>
      </c>
      <c r="O2864">
        <f>K2864*L2864-M2864</f>
        <v/>
      </c>
      <c r="P2864">
        <f>TEXT(B2864,"yyyy-mm")</f>
        <v/>
      </c>
      <c r="Q2864">
        <f>IF(O2864&gt;=3000,"Large","Small")</f>
        <v/>
      </c>
      <c r="R2864">
        <f>INDEX(Products!$F$2:$F$49,MATCH(J2864,Products!$A$2:$A$49,0))</f>
        <v/>
      </c>
      <c r="S2864">
        <f>WEEKDAY(B2864,2)</f>
        <v/>
      </c>
    </row>
    <row r="2865">
      <c r="A2865" t="n">
        <v>510864</v>
      </c>
      <c r="B2865" s="6" t="n">
        <v>45976</v>
      </c>
      <c r="C2865" t="n">
        <v>17297</v>
      </c>
      <c r="D2865" t="inlineStr">
        <is>
          <t>Mumbai</t>
        </is>
      </c>
      <c r="E2865" t="inlineStr">
        <is>
          <t>West</t>
        </is>
      </c>
      <c r="F2865" t="inlineStr">
        <is>
          <t>Organic Search</t>
        </is>
      </c>
      <c r="G2865" t="inlineStr">
        <is>
          <t>Mobile Web</t>
        </is>
      </c>
      <c r="H2865" t="inlineStr">
        <is>
          <t>Credit Card</t>
        </is>
      </c>
      <c r="I2865" t="inlineStr">
        <is>
          <t>Cancelled</t>
        </is>
      </c>
      <c r="J2865" t="n">
        <v>137</v>
      </c>
      <c r="K2865" t="n">
        <v>1</v>
      </c>
      <c r="L2865" t="n">
        <v>261</v>
      </c>
      <c r="M2865" t="n">
        <v>0</v>
      </c>
      <c r="N2865">
        <f>VLOOKUP(J2865,Products!$A$2:$C$49,3,FALSE)</f>
        <v/>
      </c>
      <c r="O2865">
        <f>K2865*L2865-M2865</f>
        <v/>
      </c>
      <c r="P2865">
        <f>TEXT(B2865,"yyyy-mm")</f>
        <v/>
      </c>
      <c r="Q2865">
        <f>IF(O2865&gt;=3000,"Large","Small")</f>
        <v/>
      </c>
      <c r="R2865">
        <f>INDEX(Products!$F$2:$F$49,MATCH(J2865,Products!$A$2:$A$49,0))</f>
        <v/>
      </c>
      <c r="S2865">
        <f>WEEKDAY(B2865,2)</f>
        <v/>
      </c>
    </row>
    <row r="2866">
      <c r="A2866" t="n">
        <v>510865</v>
      </c>
      <c r="B2866" s="6" t="n">
        <v>45976</v>
      </c>
      <c r="C2866" t="n">
        <v>17343</v>
      </c>
      <c r="D2866" t="inlineStr">
        <is>
          <t>Delhi</t>
        </is>
      </c>
      <c r="E2866" t="inlineStr">
        <is>
          <t>North</t>
        </is>
      </c>
      <c r="F2866" t="inlineStr">
        <is>
          <t>Paid Search</t>
        </is>
      </c>
      <c r="G2866" t="inlineStr">
        <is>
          <t>Desktop</t>
        </is>
      </c>
      <c r="H2866" t="inlineStr">
        <is>
          <t>UPI</t>
        </is>
      </c>
      <c r="I2866" t="inlineStr">
        <is>
          <t>Delivered</t>
        </is>
      </c>
      <c r="J2866" t="n">
        <v>108</v>
      </c>
      <c r="K2866" t="n">
        <v>1</v>
      </c>
      <c r="L2866" t="n">
        <v>419</v>
      </c>
      <c r="M2866" t="n">
        <v>0</v>
      </c>
      <c r="N2866">
        <f>VLOOKUP(J2866,Products!$A$2:$C$49,3,FALSE)</f>
        <v/>
      </c>
      <c r="O2866">
        <f>K2866*L2866-M2866</f>
        <v/>
      </c>
      <c r="P2866">
        <f>TEXT(B2866,"yyyy-mm")</f>
        <v/>
      </c>
      <c r="Q2866">
        <f>IF(O2866&gt;=3000,"Large","Small")</f>
        <v/>
      </c>
      <c r="R2866">
        <f>INDEX(Products!$F$2:$F$49,MATCH(J2866,Products!$A$2:$A$49,0))</f>
        <v/>
      </c>
      <c r="S2866">
        <f>WEEKDAY(B2866,2)</f>
        <v/>
      </c>
    </row>
    <row r="2867">
      <c r="A2867" t="n">
        <v>510866</v>
      </c>
      <c r="B2867" s="6" t="n">
        <v>45976</v>
      </c>
      <c r="C2867" t="n">
        <v>17296</v>
      </c>
      <c r="D2867" t="inlineStr">
        <is>
          <t>Bengaluru</t>
        </is>
      </c>
      <c r="E2867" t="inlineStr">
        <is>
          <t>South</t>
        </is>
      </c>
      <c r="F2867" t="inlineStr">
        <is>
          <t>Organic Search</t>
        </is>
      </c>
      <c r="G2867" t="inlineStr">
        <is>
          <t>Mobile App</t>
        </is>
      </c>
      <c r="H2867" t="inlineStr">
        <is>
          <t>UPI</t>
        </is>
      </c>
      <c r="I2867" t="inlineStr">
        <is>
          <t>Delivered</t>
        </is>
      </c>
      <c r="J2867" t="n">
        <v>122</v>
      </c>
      <c r="K2867" t="n">
        <v>1</v>
      </c>
      <c r="L2867" t="n">
        <v>1994</v>
      </c>
      <c r="M2867" t="n">
        <v>299.1</v>
      </c>
      <c r="N2867">
        <f>VLOOKUP(J2867,Products!$A$2:$C$49,3,FALSE)</f>
        <v/>
      </c>
      <c r="O2867">
        <f>K2867*L2867-M2867</f>
        <v/>
      </c>
      <c r="P2867">
        <f>TEXT(B2867,"yyyy-mm")</f>
        <v/>
      </c>
      <c r="Q2867">
        <f>IF(O2867&gt;=3000,"Large","Small")</f>
        <v/>
      </c>
      <c r="R2867">
        <f>INDEX(Products!$F$2:$F$49,MATCH(J2867,Products!$A$2:$A$49,0))</f>
        <v/>
      </c>
      <c r="S2867">
        <f>WEEKDAY(B2867,2)</f>
        <v/>
      </c>
    </row>
    <row r="2868">
      <c r="A2868" t="n">
        <v>510866</v>
      </c>
      <c r="B2868" s="6" t="n">
        <v>45976</v>
      </c>
      <c r="C2868" t="n">
        <v>17296</v>
      </c>
      <c r="D2868" t="inlineStr">
        <is>
          <t>Bengaluru</t>
        </is>
      </c>
      <c r="E2868" t="inlineStr">
        <is>
          <t>South</t>
        </is>
      </c>
      <c r="F2868" t="inlineStr">
        <is>
          <t>Organic Search</t>
        </is>
      </c>
      <c r="G2868" t="inlineStr">
        <is>
          <t>Mobile App</t>
        </is>
      </c>
      <c r="H2868" t="inlineStr">
        <is>
          <t>UPI</t>
        </is>
      </c>
      <c r="I2868" t="inlineStr">
        <is>
          <t>Delivered</t>
        </is>
      </c>
      <c r="J2868" t="n">
        <v>105</v>
      </c>
      <c r="K2868" t="n">
        <v>3</v>
      </c>
      <c r="L2868" t="n">
        <v>2414</v>
      </c>
      <c r="M2868" t="n">
        <v>1086.3</v>
      </c>
      <c r="N2868">
        <f>VLOOKUP(J2868,Products!$A$2:$C$49,3,FALSE)</f>
        <v/>
      </c>
      <c r="O2868">
        <f>K2868*L2868-M2868</f>
        <v/>
      </c>
      <c r="P2868">
        <f>TEXT(B2868,"yyyy-mm")</f>
        <v/>
      </c>
      <c r="Q2868">
        <f>IF(O2868&gt;=3000,"Large","Small")</f>
        <v/>
      </c>
      <c r="R2868">
        <f>INDEX(Products!$F$2:$F$49,MATCH(J2868,Products!$A$2:$A$49,0))</f>
        <v/>
      </c>
      <c r="S2868">
        <f>WEEKDAY(B2868,2)</f>
        <v/>
      </c>
    </row>
    <row r="2869">
      <c r="A2869" t="n">
        <v>510867</v>
      </c>
      <c r="B2869" s="6" t="n">
        <v>45976</v>
      </c>
      <c r="C2869" t="n">
        <v>16009</v>
      </c>
      <c r="D2869" t="inlineStr">
        <is>
          <t>Delhi</t>
        </is>
      </c>
      <c r="E2869" t="inlineStr">
        <is>
          <t>North</t>
        </is>
      </c>
      <c r="F2869" t="inlineStr">
        <is>
          <t>Referral</t>
        </is>
      </c>
      <c r="G2869" t="inlineStr">
        <is>
          <t>Mobile App</t>
        </is>
      </c>
      <c r="H2869" t="inlineStr">
        <is>
          <t>UPI</t>
        </is>
      </c>
      <c r="I2869" t="inlineStr">
        <is>
          <t>Delivered</t>
        </is>
      </c>
      <c r="J2869" t="n">
        <v>125</v>
      </c>
      <c r="K2869" t="n">
        <v>1</v>
      </c>
      <c r="L2869" t="n">
        <v>1364</v>
      </c>
      <c r="M2869" t="n">
        <v>0</v>
      </c>
      <c r="N2869">
        <f>VLOOKUP(J2869,Products!$A$2:$C$49,3,FALSE)</f>
        <v/>
      </c>
      <c r="O2869">
        <f>K2869*L2869-M2869</f>
        <v/>
      </c>
      <c r="P2869">
        <f>TEXT(B2869,"yyyy-mm")</f>
        <v/>
      </c>
      <c r="Q2869">
        <f>IF(O2869&gt;=3000,"Large","Small")</f>
        <v/>
      </c>
      <c r="R2869">
        <f>INDEX(Products!$F$2:$F$49,MATCH(J2869,Products!$A$2:$A$49,0))</f>
        <v/>
      </c>
      <c r="S2869">
        <f>WEEKDAY(B2869,2)</f>
        <v/>
      </c>
    </row>
    <row r="2870">
      <c r="A2870" t="n">
        <v>510868</v>
      </c>
      <c r="B2870" s="6" t="n">
        <v>45976</v>
      </c>
      <c r="C2870" t="n">
        <v>16713</v>
      </c>
      <c r="D2870" t="inlineStr">
        <is>
          <t>Mumbai</t>
        </is>
      </c>
      <c r="E2870" t="inlineStr">
        <is>
          <t>West</t>
        </is>
      </c>
      <c r="F2870" t="inlineStr">
        <is>
          <t>Email</t>
        </is>
      </c>
      <c r="G2870" t="inlineStr">
        <is>
          <t>Mobile App</t>
        </is>
      </c>
      <c r="H2870" t="inlineStr">
        <is>
          <t>UPI</t>
        </is>
      </c>
      <c r="I2870" t="inlineStr">
        <is>
          <t>Delivered</t>
        </is>
      </c>
      <c r="J2870" t="n">
        <v>133</v>
      </c>
      <c r="K2870" t="n">
        <v>1</v>
      </c>
      <c r="L2870" t="n">
        <v>419</v>
      </c>
      <c r="M2870" t="n">
        <v>0</v>
      </c>
      <c r="N2870">
        <f>VLOOKUP(J2870,Products!$A$2:$C$49,3,FALSE)</f>
        <v/>
      </c>
      <c r="O2870">
        <f>K2870*L2870-M2870</f>
        <v/>
      </c>
      <c r="P2870">
        <f>TEXT(B2870,"yyyy-mm")</f>
        <v/>
      </c>
      <c r="Q2870">
        <f>IF(O2870&gt;=3000,"Large","Small")</f>
        <v/>
      </c>
      <c r="R2870">
        <f>INDEX(Products!$F$2:$F$49,MATCH(J2870,Products!$A$2:$A$49,0))</f>
        <v/>
      </c>
      <c r="S2870">
        <f>WEEKDAY(B2870,2)</f>
        <v/>
      </c>
    </row>
    <row r="2871">
      <c r="A2871" t="n">
        <v>510869</v>
      </c>
      <c r="B2871" s="6" t="n">
        <v>45976</v>
      </c>
      <c r="C2871" t="n">
        <v>17281</v>
      </c>
      <c r="D2871" t="inlineStr">
        <is>
          <t>Pune</t>
        </is>
      </c>
      <c r="E2871" t="inlineStr">
        <is>
          <t>West</t>
        </is>
      </c>
      <c r="F2871" t="inlineStr">
        <is>
          <t>Affiliate</t>
        </is>
      </c>
      <c r="G2871" t="inlineStr">
        <is>
          <t>Desktop</t>
        </is>
      </c>
      <c r="H2871" t="inlineStr">
        <is>
          <t>Debit Card</t>
        </is>
      </c>
      <c r="I2871" t="inlineStr">
        <is>
          <t>Delivered</t>
        </is>
      </c>
      <c r="J2871" t="n">
        <v>135</v>
      </c>
      <c r="K2871" t="n">
        <v>1</v>
      </c>
      <c r="L2871" t="n">
        <v>1574</v>
      </c>
      <c r="M2871" t="n">
        <v>0</v>
      </c>
      <c r="N2871">
        <f>VLOOKUP(J2871,Products!$A$2:$C$49,3,FALSE)</f>
        <v/>
      </c>
      <c r="O2871">
        <f>K2871*L2871-M2871</f>
        <v/>
      </c>
      <c r="P2871">
        <f>TEXT(B2871,"yyyy-mm")</f>
        <v/>
      </c>
      <c r="Q2871">
        <f>IF(O2871&gt;=3000,"Large","Small")</f>
        <v/>
      </c>
      <c r="R2871">
        <f>INDEX(Products!$F$2:$F$49,MATCH(J2871,Products!$A$2:$A$49,0))</f>
        <v/>
      </c>
      <c r="S2871">
        <f>WEEKDAY(B2871,2)</f>
        <v/>
      </c>
    </row>
    <row r="2872">
      <c r="A2872" t="n">
        <v>510869</v>
      </c>
      <c r="B2872" s="6" t="n">
        <v>45976</v>
      </c>
      <c r="C2872" t="n">
        <v>17281</v>
      </c>
      <c r="D2872" t="inlineStr">
        <is>
          <t>Pune</t>
        </is>
      </c>
      <c r="E2872" t="inlineStr">
        <is>
          <t>West</t>
        </is>
      </c>
      <c r="F2872" t="inlineStr">
        <is>
          <t>Affiliate</t>
        </is>
      </c>
      <c r="G2872" t="inlineStr">
        <is>
          <t>Desktop</t>
        </is>
      </c>
      <c r="H2872" t="inlineStr">
        <is>
          <t>Debit Card</t>
        </is>
      </c>
      <c r="I2872" t="inlineStr">
        <is>
          <t>Delivered</t>
        </is>
      </c>
      <c r="J2872" t="n">
        <v>113</v>
      </c>
      <c r="K2872" t="n">
        <v>1</v>
      </c>
      <c r="L2872" t="n">
        <v>1364</v>
      </c>
      <c r="M2872" t="n">
        <v>0</v>
      </c>
      <c r="N2872">
        <f>VLOOKUP(J2872,Products!$A$2:$C$49,3,FALSE)</f>
        <v/>
      </c>
      <c r="O2872">
        <f>K2872*L2872-M2872</f>
        <v/>
      </c>
      <c r="P2872">
        <f>TEXT(B2872,"yyyy-mm")</f>
        <v/>
      </c>
      <c r="Q2872">
        <f>IF(O2872&gt;=3000,"Large","Small")</f>
        <v/>
      </c>
      <c r="R2872">
        <f>INDEX(Products!$F$2:$F$49,MATCH(J2872,Products!$A$2:$A$49,0))</f>
        <v/>
      </c>
      <c r="S2872">
        <f>WEEKDAY(B2872,2)</f>
        <v/>
      </c>
    </row>
    <row r="2873">
      <c r="A2873" t="n">
        <v>510870</v>
      </c>
      <c r="B2873" s="6" t="n">
        <v>45976</v>
      </c>
      <c r="C2873" t="n">
        <v>15485</v>
      </c>
      <c r="D2873" t="inlineStr">
        <is>
          <t>Hyderabad</t>
        </is>
      </c>
      <c r="E2873" t="inlineStr">
        <is>
          <t>South</t>
        </is>
      </c>
      <c r="F2873" t="inlineStr">
        <is>
          <t>Email</t>
        </is>
      </c>
      <c r="G2873" t="inlineStr">
        <is>
          <t>Mobile App</t>
        </is>
      </c>
      <c r="H2873" t="inlineStr">
        <is>
          <t>Credit Card</t>
        </is>
      </c>
      <c r="I2873" t="inlineStr">
        <is>
          <t>Cancelled</t>
        </is>
      </c>
      <c r="J2873" t="n">
        <v>111</v>
      </c>
      <c r="K2873" t="n">
        <v>1</v>
      </c>
      <c r="L2873" t="n">
        <v>524</v>
      </c>
      <c r="M2873" t="n">
        <v>0</v>
      </c>
      <c r="N2873">
        <f>VLOOKUP(J2873,Products!$A$2:$C$49,3,FALSE)</f>
        <v/>
      </c>
      <c r="O2873">
        <f>K2873*L2873-M2873</f>
        <v/>
      </c>
      <c r="P2873">
        <f>TEXT(B2873,"yyyy-mm")</f>
        <v/>
      </c>
      <c r="Q2873">
        <f>IF(O2873&gt;=3000,"Large","Small")</f>
        <v/>
      </c>
      <c r="R2873">
        <f>INDEX(Products!$F$2:$F$49,MATCH(J2873,Products!$A$2:$A$49,0))</f>
        <v/>
      </c>
      <c r="S2873">
        <f>WEEKDAY(B2873,2)</f>
        <v/>
      </c>
    </row>
    <row r="2874">
      <c r="A2874" t="n">
        <v>510870</v>
      </c>
      <c r="B2874" s="6" t="n">
        <v>45976</v>
      </c>
      <c r="C2874" t="n">
        <v>15485</v>
      </c>
      <c r="D2874" t="inlineStr">
        <is>
          <t>Hyderabad</t>
        </is>
      </c>
      <c r="E2874" t="inlineStr">
        <is>
          <t>South</t>
        </is>
      </c>
      <c r="F2874" t="inlineStr">
        <is>
          <t>Email</t>
        </is>
      </c>
      <c r="G2874" t="inlineStr">
        <is>
          <t>Mobile App</t>
        </is>
      </c>
      <c r="H2874" t="inlineStr">
        <is>
          <t>Credit Card</t>
        </is>
      </c>
      <c r="I2874" t="inlineStr">
        <is>
          <t>Cancelled</t>
        </is>
      </c>
      <c r="J2874" t="n">
        <v>116</v>
      </c>
      <c r="K2874" t="n">
        <v>1</v>
      </c>
      <c r="L2874" t="n">
        <v>2624</v>
      </c>
      <c r="M2874" t="n">
        <v>0</v>
      </c>
      <c r="N2874">
        <f>VLOOKUP(J2874,Products!$A$2:$C$49,3,FALSE)</f>
        <v/>
      </c>
      <c r="O2874">
        <f>K2874*L2874-M2874</f>
        <v/>
      </c>
      <c r="P2874">
        <f>TEXT(B2874,"yyyy-mm")</f>
        <v/>
      </c>
      <c r="Q2874">
        <f>IF(O2874&gt;=3000,"Large","Small")</f>
        <v/>
      </c>
      <c r="R2874">
        <f>INDEX(Products!$F$2:$F$49,MATCH(J2874,Products!$A$2:$A$49,0))</f>
        <v/>
      </c>
      <c r="S2874">
        <f>WEEKDAY(B2874,2)</f>
        <v/>
      </c>
    </row>
    <row r="2875">
      <c r="A2875" t="n">
        <v>510871</v>
      </c>
      <c r="B2875" s="6" t="n">
        <v>45976</v>
      </c>
      <c r="C2875" t="n">
        <v>17342</v>
      </c>
      <c r="D2875" t="inlineStr">
        <is>
          <t>Bengaluru</t>
        </is>
      </c>
      <c r="E2875" t="inlineStr">
        <is>
          <t>South</t>
        </is>
      </c>
      <c r="F2875" t="inlineStr">
        <is>
          <t>Affiliate</t>
        </is>
      </c>
      <c r="G2875" t="inlineStr">
        <is>
          <t>Mobile App</t>
        </is>
      </c>
      <c r="H2875" t="inlineStr">
        <is>
          <t>Debit Card</t>
        </is>
      </c>
      <c r="I2875" t="inlineStr">
        <is>
          <t>Delivered</t>
        </is>
      </c>
      <c r="J2875" t="n">
        <v>132</v>
      </c>
      <c r="K2875" t="n">
        <v>1</v>
      </c>
      <c r="L2875" t="n">
        <v>471</v>
      </c>
      <c r="M2875" t="n">
        <v>70.65000000000001</v>
      </c>
      <c r="N2875">
        <f>VLOOKUP(J2875,Products!$A$2:$C$49,3,FALSE)</f>
        <v/>
      </c>
      <c r="O2875">
        <f>K2875*L2875-M2875</f>
        <v/>
      </c>
      <c r="P2875">
        <f>TEXT(B2875,"yyyy-mm")</f>
        <v/>
      </c>
      <c r="Q2875">
        <f>IF(O2875&gt;=3000,"Large","Small")</f>
        <v/>
      </c>
      <c r="R2875">
        <f>INDEX(Products!$F$2:$F$49,MATCH(J2875,Products!$A$2:$A$49,0))</f>
        <v/>
      </c>
      <c r="S2875">
        <f>WEEKDAY(B2875,2)</f>
        <v/>
      </c>
    </row>
    <row r="2876">
      <c r="A2876" t="n">
        <v>510872</v>
      </c>
      <c r="B2876" s="6" t="n">
        <v>45976</v>
      </c>
      <c r="C2876" t="n">
        <v>16770</v>
      </c>
      <c r="D2876" t="inlineStr">
        <is>
          <t>Hyderabad</t>
        </is>
      </c>
      <c r="E2876" t="inlineStr">
        <is>
          <t>South</t>
        </is>
      </c>
      <c r="F2876" t="inlineStr">
        <is>
          <t>Referral</t>
        </is>
      </c>
      <c r="G2876" t="inlineStr">
        <is>
          <t>Mobile App</t>
        </is>
      </c>
      <c r="H2876" t="inlineStr">
        <is>
          <t>Credit Card</t>
        </is>
      </c>
      <c r="I2876" t="inlineStr">
        <is>
          <t>Delivered</t>
        </is>
      </c>
      <c r="J2876" t="n">
        <v>126</v>
      </c>
      <c r="K2876" t="n">
        <v>1</v>
      </c>
      <c r="L2876" t="n">
        <v>471</v>
      </c>
      <c r="M2876" t="n">
        <v>0</v>
      </c>
      <c r="N2876">
        <f>VLOOKUP(J2876,Products!$A$2:$C$49,3,FALSE)</f>
        <v/>
      </c>
      <c r="O2876">
        <f>K2876*L2876-M2876</f>
        <v/>
      </c>
      <c r="P2876">
        <f>TEXT(B2876,"yyyy-mm")</f>
        <v/>
      </c>
      <c r="Q2876">
        <f>IF(O2876&gt;=3000,"Large","Small")</f>
        <v/>
      </c>
      <c r="R2876">
        <f>INDEX(Products!$F$2:$F$49,MATCH(J2876,Products!$A$2:$A$49,0))</f>
        <v/>
      </c>
      <c r="S2876">
        <f>WEEKDAY(B2876,2)</f>
        <v/>
      </c>
    </row>
    <row r="2877">
      <c r="A2877" t="n">
        <v>510873</v>
      </c>
      <c r="B2877" s="6" t="n">
        <v>45976</v>
      </c>
      <c r="C2877" t="n">
        <v>15392</v>
      </c>
      <c r="D2877" t="inlineStr">
        <is>
          <t>Lucknow</t>
        </is>
      </c>
      <c r="E2877" t="inlineStr">
        <is>
          <t>North</t>
        </is>
      </c>
      <c r="F2877" t="inlineStr">
        <is>
          <t>Referral</t>
        </is>
      </c>
      <c r="G2877" t="inlineStr">
        <is>
          <t>Mobile App</t>
        </is>
      </c>
      <c r="H2877" t="inlineStr">
        <is>
          <t>Net Banking</t>
        </is>
      </c>
      <c r="I2877" t="inlineStr">
        <is>
          <t>Delivered</t>
        </is>
      </c>
      <c r="J2877" t="n">
        <v>108</v>
      </c>
      <c r="K2877" t="n">
        <v>2</v>
      </c>
      <c r="L2877" t="n">
        <v>419</v>
      </c>
      <c r="M2877" t="n">
        <v>0</v>
      </c>
      <c r="N2877">
        <f>VLOOKUP(J2877,Products!$A$2:$C$49,3,FALSE)</f>
        <v/>
      </c>
      <c r="O2877">
        <f>K2877*L2877-M2877</f>
        <v/>
      </c>
      <c r="P2877">
        <f>TEXT(B2877,"yyyy-mm")</f>
        <v/>
      </c>
      <c r="Q2877">
        <f>IF(O2877&gt;=3000,"Large","Small")</f>
        <v/>
      </c>
      <c r="R2877">
        <f>INDEX(Products!$F$2:$F$49,MATCH(J2877,Products!$A$2:$A$49,0))</f>
        <v/>
      </c>
      <c r="S2877">
        <f>WEEKDAY(B2877,2)</f>
        <v/>
      </c>
    </row>
    <row r="2878">
      <c r="A2878" t="n">
        <v>510874</v>
      </c>
      <c r="B2878" s="6" t="n">
        <v>45976</v>
      </c>
      <c r="C2878" t="n">
        <v>17351</v>
      </c>
      <c r="D2878" t="inlineStr">
        <is>
          <t>Mumbai</t>
        </is>
      </c>
      <c r="E2878" t="inlineStr">
        <is>
          <t>West</t>
        </is>
      </c>
      <c r="F2878" t="inlineStr">
        <is>
          <t>Organic Search</t>
        </is>
      </c>
      <c r="G2878" t="inlineStr">
        <is>
          <t>Mobile Web</t>
        </is>
      </c>
      <c r="H2878" t="inlineStr">
        <is>
          <t>Credit Card</t>
        </is>
      </c>
      <c r="I2878" t="inlineStr">
        <is>
          <t>Delivered</t>
        </is>
      </c>
      <c r="J2878" t="n">
        <v>119</v>
      </c>
      <c r="K2878" t="n">
        <v>1</v>
      </c>
      <c r="L2878" t="n">
        <v>2309</v>
      </c>
      <c r="M2878" t="n">
        <v>0</v>
      </c>
      <c r="N2878">
        <f>VLOOKUP(J2878,Products!$A$2:$C$49,3,FALSE)</f>
        <v/>
      </c>
      <c r="O2878">
        <f>K2878*L2878-M2878</f>
        <v/>
      </c>
      <c r="P2878">
        <f>TEXT(B2878,"yyyy-mm")</f>
        <v/>
      </c>
      <c r="Q2878">
        <f>IF(O2878&gt;=3000,"Large","Small")</f>
        <v/>
      </c>
      <c r="R2878">
        <f>INDEX(Products!$F$2:$F$49,MATCH(J2878,Products!$A$2:$A$49,0))</f>
        <v/>
      </c>
      <c r="S2878">
        <f>WEEKDAY(B2878,2)</f>
        <v/>
      </c>
    </row>
    <row r="2879">
      <c r="A2879" t="n">
        <v>510875</v>
      </c>
      <c r="B2879" s="6" t="n">
        <v>45976</v>
      </c>
      <c r="C2879" t="n">
        <v>17064</v>
      </c>
      <c r="D2879" t="inlineStr">
        <is>
          <t>Chandigarh</t>
        </is>
      </c>
      <c r="E2879" t="inlineStr">
        <is>
          <t>North</t>
        </is>
      </c>
      <c r="F2879" t="inlineStr">
        <is>
          <t>Email</t>
        </is>
      </c>
      <c r="G2879" t="inlineStr">
        <is>
          <t>Mobile App</t>
        </is>
      </c>
      <c r="H2879" t="inlineStr">
        <is>
          <t>Debit Card</t>
        </is>
      </c>
      <c r="I2879" t="inlineStr">
        <is>
          <t>Delivered</t>
        </is>
      </c>
      <c r="J2879" t="n">
        <v>116</v>
      </c>
      <c r="K2879" t="n">
        <v>1</v>
      </c>
      <c r="L2879" t="n">
        <v>2624</v>
      </c>
      <c r="M2879" t="n">
        <v>0</v>
      </c>
      <c r="N2879">
        <f>VLOOKUP(J2879,Products!$A$2:$C$49,3,FALSE)</f>
        <v/>
      </c>
      <c r="O2879">
        <f>K2879*L2879-M2879</f>
        <v/>
      </c>
      <c r="P2879">
        <f>TEXT(B2879,"yyyy-mm")</f>
        <v/>
      </c>
      <c r="Q2879">
        <f>IF(O2879&gt;=3000,"Large","Small")</f>
        <v/>
      </c>
      <c r="R2879">
        <f>INDEX(Products!$F$2:$F$49,MATCH(J2879,Products!$A$2:$A$49,0))</f>
        <v/>
      </c>
      <c r="S2879">
        <f>WEEKDAY(B2879,2)</f>
        <v/>
      </c>
    </row>
    <row r="2880">
      <c r="A2880" t="n">
        <v>510876</v>
      </c>
      <c r="B2880" s="6" t="n">
        <v>45976</v>
      </c>
      <c r="C2880" t="n">
        <v>16882</v>
      </c>
      <c r="D2880" t="inlineStr">
        <is>
          <t>Gurugram</t>
        </is>
      </c>
      <c r="E2880" t="inlineStr">
        <is>
          <t>North</t>
        </is>
      </c>
      <c r="F2880" t="inlineStr">
        <is>
          <t>Referral</t>
        </is>
      </c>
      <c r="G2880" t="inlineStr">
        <is>
          <t>Mobile App</t>
        </is>
      </c>
      <c r="H2880" t="inlineStr">
        <is>
          <t>UPI</t>
        </is>
      </c>
      <c r="I2880" t="inlineStr">
        <is>
          <t>Delivered</t>
        </is>
      </c>
      <c r="J2880" t="n">
        <v>106</v>
      </c>
      <c r="K2880" t="n">
        <v>1</v>
      </c>
      <c r="L2880" t="n">
        <v>1574</v>
      </c>
      <c r="M2880" t="n">
        <v>0</v>
      </c>
      <c r="N2880">
        <f>VLOOKUP(J2880,Products!$A$2:$C$49,3,FALSE)</f>
        <v/>
      </c>
      <c r="O2880">
        <f>K2880*L2880-M2880</f>
        <v/>
      </c>
      <c r="P2880">
        <f>TEXT(B2880,"yyyy-mm")</f>
        <v/>
      </c>
      <c r="Q2880">
        <f>IF(O2880&gt;=3000,"Large","Small")</f>
        <v/>
      </c>
      <c r="R2880">
        <f>INDEX(Products!$F$2:$F$49,MATCH(J2880,Products!$A$2:$A$49,0))</f>
        <v/>
      </c>
      <c r="S2880">
        <f>WEEKDAY(B2880,2)</f>
        <v/>
      </c>
    </row>
    <row r="2881">
      <c r="A2881" t="n">
        <v>510876</v>
      </c>
      <c r="B2881" s="6" t="n">
        <v>45976</v>
      </c>
      <c r="C2881" t="n">
        <v>16882</v>
      </c>
      <c r="D2881" t="inlineStr">
        <is>
          <t>Gurugram</t>
        </is>
      </c>
      <c r="E2881" t="inlineStr">
        <is>
          <t>North</t>
        </is>
      </c>
      <c r="F2881" t="inlineStr">
        <is>
          <t>Referral</t>
        </is>
      </c>
      <c r="G2881" t="inlineStr">
        <is>
          <t>Mobile App</t>
        </is>
      </c>
      <c r="H2881" t="inlineStr">
        <is>
          <t>UPI</t>
        </is>
      </c>
      <c r="I2881" t="inlineStr">
        <is>
          <t>Delivered</t>
        </is>
      </c>
      <c r="J2881" t="n">
        <v>125</v>
      </c>
      <c r="K2881" t="n">
        <v>1</v>
      </c>
      <c r="L2881" t="n">
        <v>1364</v>
      </c>
      <c r="M2881" t="n">
        <v>0</v>
      </c>
      <c r="N2881">
        <f>VLOOKUP(J2881,Products!$A$2:$C$49,3,FALSE)</f>
        <v/>
      </c>
      <c r="O2881">
        <f>K2881*L2881-M2881</f>
        <v/>
      </c>
      <c r="P2881">
        <f>TEXT(B2881,"yyyy-mm")</f>
        <v/>
      </c>
      <c r="Q2881">
        <f>IF(O2881&gt;=3000,"Large","Small")</f>
        <v/>
      </c>
      <c r="R2881">
        <f>INDEX(Products!$F$2:$F$49,MATCH(J2881,Products!$A$2:$A$49,0))</f>
        <v/>
      </c>
      <c r="S2881">
        <f>WEEKDAY(B2881,2)</f>
        <v/>
      </c>
    </row>
    <row r="2882">
      <c r="A2882" t="n">
        <v>510876</v>
      </c>
      <c r="B2882" s="6" t="n">
        <v>45976</v>
      </c>
      <c r="C2882" t="n">
        <v>16882</v>
      </c>
      <c r="D2882" t="inlineStr">
        <is>
          <t>Gurugram</t>
        </is>
      </c>
      <c r="E2882" t="inlineStr">
        <is>
          <t>North</t>
        </is>
      </c>
      <c r="F2882" t="inlineStr">
        <is>
          <t>Referral</t>
        </is>
      </c>
      <c r="G2882" t="inlineStr">
        <is>
          <t>Mobile App</t>
        </is>
      </c>
      <c r="H2882" t="inlineStr">
        <is>
          <t>UPI</t>
        </is>
      </c>
      <c r="I2882" t="inlineStr">
        <is>
          <t>Delivered</t>
        </is>
      </c>
      <c r="J2882" t="n">
        <v>117</v>
      </c>
      <c r="K2882" t="n">
        <v>1</v>
      </c>
      <c r="L2882" t="n">
        <v>3149</v>
      </c>
      <c r="M2882" t="n">
        <v>0</v>
      </c>
      <c r="N2882">
        <f>VLOOKUP(J2882,Products!$A$2:$C$49,3,FALSE)</f>
        <v/>
      </c>
      <c r="O2882">
        <f>K2882*L2882-M2882</f>
        <v/>
      </c>
      <c r="P2882">
        <f>TEXT(B2882,"yyyy-mm")</f>
        <v/>
      </c>
      <c r="Q2882">
        <f>IF(O2882&gt;=3000,"Large","Small")</f>
        <v/>
      </c>
      <c r="R2882">
        <f>INDEX(Products!$F$2:$F$49,MATCH(J2882,Products!$A$2:$A$49,0))</f>
        <v/>
      </c>
      <c r="S2882">
        <f>WEEKDAY(B2882,2)</f>
        <v/>
      </c>
    </row>
    <row r="2883">
      <c r="A2883" t="n">
        <v>510877</v>
      </c>
      <c r="B2883" s="6" t="n">
        <v>45976</v>
      </c>
      <c r="C2883" t="n">
        <v>17350</v>
      </c>
      <c r="D2883" t="inlineStr">
        <is>
          <t>Mumbai</t>
        </is>
      </c>
      <c r="E2883" t="inlineStr">
        <is>
          <t>West</t>
        </is>
      </c>
      <c r="F2883" t="inlineStr">
        <is>
          <t>Organic Search</t>
        </is>
      </c>
      <c r="G2883" t="inlineStr">
        <is>
          <t>Mobile App</t>
        </is>
      </c>
      <c r="H2883" t="inlineStr">
        <is>
          <t>Cash on Delivery</t>
        </is>
      </c>
      <c r="I2883" t="inlineStr">
        <is>
          <t>Delivered</t>
        </is>
      </c>
      <c r="J2883" t="n">
        <v>128</v>
      </c>
      <c r="K2883" t="n">
        <v>1</v>
      </c>
      <c r="L2883" t="n">
        <v>1049</v>
      </c>
      <c r="M2883" t="n">
        <v>157.35</v>
      </c>
      <c r="N2883">
        <f>VLOOKUP(J2883,Products!$A$2:$C$49,3,FALSE)</f>
        <v/>
      </c>
      <c r="O2883">
        <f>K2883*L2883-M2883</f>
        <v/>
      </c>
      <c r="P2883">
        <f>TEXT(B2883,"yyyy-mm")</f>
        <v/>
      </c>
      <c r="Q2883">
        <f>IF(O2883&gt;=3000,"Large","Small")</f>
        <v/>
      </c>
      <c r="R2883">
        <f>INDEX(Products!$F$2:$F$49,MATCH(J2883,Products!$A$2:$A$49,0))</f>
        <v/>
      </c>
      <c r="S2883">
        <f>WEEKDAY(B2883,2)</f>
        <v/>
      </c>
    </row>
    <row r="2884">
      <c r="A2884" t="n">
        <v>510878</v>
      </c>
      <c r="B2884" s="6" t="n">
        <v>45976</v>
      </c>
      <c r="C2884" t="n">
        <v>17348</v>
      </c>
      <c r="D2884" t="inlineStr">
        <is>
          <t>Kolkata</t>
        </is>
      </c>
      <c r="E2884" t="inlineStr">
        <is>
          <t>East</t>
        </is>
      </c>
      <c r="F2884" t="inlineStr">
        <is>
          <t>Paid Search</t>
        </is>
      </c>
      <c r="G2884" t="inlineStr">
        <is>
          <t>Mobile App</t>
        </is>
      </c>
      <c r="H2884" t="inlineStr">
        <is>
          <t>Credit Card</t>
        </is>
      </c>
      <c r="I2884" t="inlineStr">
        <is>
          <t>Delivered</t>
        </is>
      </c>
      <c r="J2884" t="n">
        <v>137</v>
      </c>
      <c r="K2884" t="n">
        <v>1</v>
      </c>
      <c r="L2884" t="n">
        <v>261</v>
      </c>
      <c r="M2884" t="n">
        <v>0</v>
      </c>
      <c r="N2884">
        <f>VLOOKUP(J2884,Products!$A$2:$C$49,3,FALSE)</f>
        <v/>
      </c>
      <c r="O2884">
        <f>K2884*L2884-M2884</f>
        <v/>
      </c>
      <c r="P2884">
        <f>TEXT(B2884,"yyyy-mm")</f>
        <v/>
      </c>
      <c r="Q2884">
        <f>IF(O2884&gt;=3000,"Large","Small")</f>
        <v/>
      </c>
      <c r="R2884">
        <f>INDEX(Products!$F$2:$F$49,MATCH(J2884,Products!$A$2:$A$49,0))</f>
        <v/>
      </c>
      <c r="S2884">
        <f>WEEKDAY(B2884,2)</f>
        <v/>
      </c>
    </row>
    <row r="2885">
      <c r="A2885" t="n">
        <v>510879</v>
      </c>
      <c r="B2885" s="6" t="n">
        <v>45977</v>
      </c>
      <c r="C2885" t="n">
        <v>17353</v>
      </c>
      <c r="D2885" t="inlineStr">
        <is>
          <t>Chandigarh</t>
        </is>
      </c>
      <c r="E2885" t="inlineStr">
        <is>
          <t>North</t>
        </is>
      </c>
      <c r="F2885" t="inlineStr">
        <is>
          <t>Email</t>
        </is>
      </c>
      <c r="G2885" t="inlineStr">
        <is>
          <t>Mobile App</t>
        </is>
      </c>
      <c r="H2885" t="inlineStr">
        <is>
          <t>Net Banking</t>
        </is>
      </c>
      <c r="I2885" t="inlineStr">
        <is>
          <t>Returned</t>
        </is>
      </c>
      <c r="J2885" t="n">
        <v>128</v>
      </c>
      <c r="K2885" t="n">
        <v>1</v>
      </c>
      <c r="L2885" t="n">
        <v>1049</v>
      </c>
      <c r="M2885" t="n">
        <v>0</v>
      </c>
      <c r="N2885">
        <f>VLOOKUP(J2885,Products!$A$2:$C$49,3,FALSE)</f>
        <v/>
      </c>
      <c r="O2885">
        <f>K2885*L2885-M2885</f>
        <v/>
      </c>
      <c r="P2885">
        <f>TEXT(B2885,"yyyy-mm")</f>
        <v/>
      </c>
      <c r="Q2885">
        <f>IF(O2885&gt;=3000,"Large","Small")</f>
        <v/>
      </c>
      <c r="R2885">
        <f>INDEX(Products!$F$2:$F$49,MATCH(J2885,Products!$A$2:$A$49,0))</f>
        <v/>
      </c>
      <c r="S2885">
        <f>WEEKDAY(B2885,2)</f>
        <v/>
      </c>
    </row>
    <row r="2886">
      <c r="A2886" t="n">
        <v>510880</v>
      </c>
      <c r="B2886" s="6" t="n">
        <v>45977</v>
      </c>
      <c r="C2886" t="n">
        <v>17360</v>
      </c>
      <c r="D2886" t="inlineStr">
        <is>
          <t>Mumbai</t>
        </is>
      </c>
      <c r="E2886" t="inlineStr">
        <is>
          <t>West</t>
        </is>
      </c>
      <c r="F2886" t="inlineStr">
        <is>
          <t>Organic Search</t>
        </is>
      </c>
      <c r="G2886" t="inlineStr">
        <is>
          <t>Mobile App</t>
        </is>
      </c>
      <c r="H2886" t="inlineStr">
        <is>
          <t>Credit Card</t>
        </is>
      </c>
      <c r="I2886" t="inlineStr">
        <is>
          <t>Delivered</t>
        </is>
      </c>
      <c r="J2886" t="n">
        <v>136</v>
      </c>
      <c r="K2886" t="n">
        <v>1</v>
      </c>
      <c r="L2886" t="n">
        <v>944</v>
      </c>
      <c r="M2886" t="n">
        <v>141.6</v>
      </c>
      <c r="N2886">
        <f>VLOOKUP(J2886,Products!$A$2:$C$49,3,FALSE)</f>
        <v/>
      </c>
      <c r="O2886">
        <f>K2886*L2886-M2886</f>
        <v/>
      </c>
      <c r="P2886">
        <f>TEXT(B2886,"yyyy-mm")</f>
        <v/>
      </c>
      <c r="Q2886">
        <f>IF(O2886&gt;=3000,"Large","Small")</f>
        <v/>
      </c>
      <c r="R2886">
        <f>INDEX(Products!$F$2:$F$49,MATCH(J2886,Products!$A$2:$A$49,0))</f>
        <v/>
      </c>
      <c r="S2886">
        <f>WEEKDAY(B2886,2)</f>
        <v/>
      </c>
    </row>
    <row r="2887">
      <c r="A2887" t="n">
        <v>510880</v>
      </c>
      <c r="B2887" s="6" t="n">
        <v>45977</v>
      </c>
      <c r="C2887" t="n">
        <v>17360</v>
      </c>
      <c r="D2887" t="inlineStr">
        <is>
          <t>Mumbai</t>
        </is>
      </c>
      <c r="E2887" t="inlineStr">
        <is>
          <t>West</t>
        </is>
      </c>
      <c r="F2887" t="inlineStr">
        <is>
          <t>Organic Search</t>
        </is>
      </c>
      <c r="G2887" t="inlineStr">
        <is>
          <t>Mobile App</t>
        </is>
      </c>
      <c r="H2887" t="inlineStr">
        <is>
          <t>Credit Card</t>
        </is>
      </c>
      <c r="I2887" t="inlineStr">
        <is>
          <t>Delivered</t>
        </is>
      </c>
      <c r="J2887" t="n">
        <v>106</v>
      </c>
      <c r="K2887" t="n">
        <v>1</v>
      </c>
      <c r="L2887" t="n">
        <v>1574</v>
      </c>
      <c r="M2887" t="n">
        <v>236.1</v>
      </c>
      <c r="N2887">
        <f>VLOOKUP(J2887,Products!$A$2:$C$49,3,FALSE)</f>
        <v/>
      </c>
      <c r="O2887">
        <f>K2887*L2887-M2887</f>
        <v/>
      </c>
      <c r="P2887">
        <f>TEXT(B2887,"yyyy-mm")</f>
        <v/>
      </c>
      <c r="Q2887">
        <f>IF(O2887&gt;=3000,"Large","Small")</f>
        <v/>
      </c>
      <c r="R2887">
        <f>INDEX(Products!$F$2:$F$49,MATCH(J2887,Products!$A$2:$A$49,0))</f>
        <v/>
      </c>
      <c r="S2887">
        <f>WEEKDAY(B2887,2)</f>
        <v/>
      </c>
    </row>
    <row r="2888">
      <c r="A2888" t="n">
        <v>510881</v>
      </c>
      <c r="B2888" s="6" t="n">
        <v>45977</v>
      </c>
      <c r="C2888" t="n">
        <v>17305</v>
      </c>
      <c r="D2888" t="inlineStr">
        <is>
          <t>Kolkata</t>
        </is>
      </c>
      <c r="E2888" t="inlineStr">
        <is>
          <t>East</t>
        </is>
      </c>
      <c r="F2888" t="inlineStr">
        <is>
          <t>Organic Search</t>
        </is>
      </c>
      <c r="G2888" t="inlineStr">
        <is>
          <t>Mobile Web</t>
        </is>
      </c>
      <c r="H2888" t="inlineStr">
        <is>
          <t>Cash on Delivery</t>
        </is>
      </c>
      <c r="I2888" t="inlineStr">
        <is>
          <t>Cancelled</t>
        </is>
      </c>
      <c r="J2888" t="n">
        <v>120</v>
      </c>
      <c r="K2888" t="n">
        <v>1</v>
      </c>
      <c r="L2888" t="n">
        <v>734</v>
      </c>
      <c r="M2888" t="n">
        <v>0</v>
      </c>
      <c r="N2888">
        <f>VLOOKUP(J2888,Products!$A$2:$C$49,3,FALSE)</f>
        <v/>
      </c>
      <c r="O2888">
        <f>K2888*L2888-M2888</f>
        <v/>
      </c>
      <c r="P2888">
        <f>TEXT(B2888,"yyyy-mm")</f>
        <v/>
      </c>
      <c r="Q2888">
        <f>IF(O2888&gt;=3000,"Large","Small")</f>
        <v/>
      </c>
      <c r="R2888">
        <f>INDEX(Products!$F$2:$F$49,MATCH(J2888,Products!$A$2:$A$49,0))</f>
        <v/>
      </c>
      <c r="S2888">
        <f>WEEKDAY(B2888,2)</f>
        <v/>
      </c>
    </row>
    <row r="2889">
      <c r="A2889" t="n">
        <v>510881</v>
      </c>
      <c r="B2889" s="6" t="n">
        <v>45977</v>
      </c>
      <c r="C2889" t="n">
        <v>17305</v>
      </c>
      <c r="D2889" t="inlineStr">
        <is>
          <t>Kolkata</t>
        </is>
      </c>
      <c r="E2889" t="inlineStr">
        <is>
          <t>East</t>
        </is>
      </c>
      <c r="F2889" t="inlineStr">
        <is>
          <t>Organic Search</t>
        </is>
      </c>
      <c r="G2889" t="inlineStr">
        <is>
          <t>Mobile Web</t>
        </is>
      </c>
      <c r="H2889" t="inlineStr">
        <is>
          <t>Cash on Delivery</t>
        </is>
      </c>
      <c r="I2889" t="inlineStr">
        <is>
          <t>Cancelled</t>
        </is>
      </c>
      <c r="J2889" t="n">
        <v>110</v>
      </c>
      <c r="K2889" t="n">
        <v>1</v>
      </c>
      <c r="L2889" t="n">
        <v>839</v>
      </c>
      <c r="M2889" t="n">
        <v>0</v>
      </c>
      <c r="N2889">
        <f>VLOOKUP(J2889,Products!$A$2:$C$49,3,FALSE)</f>
        <v/>
      </c>
      <c r="O2889">
        <f>K2889*L2889-M2889</f>
        <v/>
      </c>
      <c r="P2889">
        <f>TEXT(B2889,"yyyy-mm")</f>
        <v/>
      </c>
      <c r="Q2889">
        <f>IF(O2889&gt;=3000,"Large","Small")</f>
        <v/>
      </c>
      <c r="R2889">
        <f>INDEX(Products!$F$2:$F$49,MATCH(J2889,Products!$A$2:$A$49,0))</f>
        <v/>
      </c>
      <c r="S2889">
        <f>WEEKDAY(B2889,2)</f>
        <v/>
      </c>
    </row>
    <row r="2890">
      <c r="A2890" t="n">
        <v>510882</v>
      </c>
      <c r="B2890" s="6" t="n">
        <v>45977</v>
      </c>
      <c r="C2890" t="n">
        <v>17326</v>
      </c>
      <c r="D2890" t="inlineStr">
        <is>
          <t>Mumbai</t>
        </is>
      </c>
      <c r="E2890" t="inlineStr">
        <is>
          <t>West</t>
        </is>
      </c>
      <c r="F2890" t="inlineStr">
        <is>
          <t>Paid Search</t>
        </is>
      </c>
      <c r="G2890" t="inlineStr">
        <is>
          <t>Desktop</t>
        </is>
      </c>
      <c r="H2890" t="inlineStr">
        <is>
          <t>UPI</t>
        </is>
      </c>
      <c r="I2890" t="inlineStr">
        <is>
          <t>Returned</t>
        </is>
      </c>
      <c r="J2890" t="n">
        <v>113</v>
      </c>
      <c r="K2890" t="n">
        <v>1</v>
      </c>
      <c r="L2890" t="n">
        <v>1364</v>
      </c>
      <c r="M2890" t="n">
        <v>0</v>
      </c>
      <c r="N2890">
        <f>VLOOKUP(J2890,Products!$A$2:$C$49,3,FALSE)</f>
        <v/>
      </c>
      <c r="O2890">
        <f>K2890*L2890-M2890</f>
        <v/>
      </c>
      <c r="P2890">
        <f>TEXT(B2890,"yyyy-mm")</f>
        <v/>
      </c>
      <c r="Q2890">
        <f>IF(O2890&gt;=3000,"Large","Small")</f>
        <v/>
      </c>
      <c r="R2890">
        <f>INDEX(Products!$F$2:$F$49,MATCH(J2890,Products!$A$2:$A$49,0))</f>
        <v/>
      </c>
      <c r="S2890">
        <f>WEEKDAY(B2890,2)</f>
        <v/>
      </c>
    </row>
    <row r="2891">
      <c r="A2891" t="n">
        <v>510882</v>
      </c>
      <c r="B2891" s="6" t="n">
        <v>45977</v>
      </c>
      <c r="C2891" t="n">
        <v>17326</v>
      </c>
      <c r="D2891" t="inlineStr">
        <is>
          <t>Mumbai</t>
        </is>
      </c>
      <c r="E2891" t="inlineStr">
        <is>
          <t>West</t>
        </is>
      </c>
      <c r="F2891" t="inlineStr">
        <is>
          <t>Paid Search</t>
        </is>
      </c>
      <c r="G2891" t="inlineStr">
        <is>
          <t>Desktop</t>
        </is>
      </c>
      <c r="H2891" t="inlineStr">
        <is>
          <t>UPI</t>
        </is>
      </c>
      <c r="I2891" t="inlineStr">
        <is>
          <t>Returned</t>
        </is>
      </c>
      <c r="J2891" t="n">
        <v>147</v>
      </c>
      <c r="K2891" t="n">
        <v>1</v>
      </c>
      <c r="L2891" t="n">
        <v>1364</v>
      </c>
      <c r="M2891" t="n">
        <v>0</v>
      </c>
      <c r="N2891">
        <f>VLOOKUP(J2891,Products!$A$2:$C$49,3,FALSE)</f>
        <v/>
      </c>
      <c r="O2891">
        <f>K2891*L2891-M2891</f>
        <v/>
      </c>
      <c r="P2891">
        <f>TEXT(B2891,"yyyy-mm")</f>
        <v/>
      </c>
      <c r="Q2891">
        <f>IF(O2891&gt;=3000,"Large","Small")</f>
        <v/>
      </c>
      <c r="R2891">
        <f>INDEX(Products!$F$2:$F$49,MATCH(J2891,Products!$A$2:$A$49,0))</f>
        <v/>
      </c>
      <c r="S2891">
        <f>WEEKDAY(B2891,2)</f>
        <v/>
      </c>
    </row>
    <row r="2892">
      <c r="A2892" t="n">
        <v>510882</v>
      </c>
      <c r="B2892" s="6" t="n">
        <v>45977</v>
      </c>
      <c r="C2892" t="n">
        <v>17326</v>
      </c>
      <c r="D2892" t="inlineStr">
        <is>
          <t>Mumbai</t>
        </is>
      </c>
      <c r="E2892" t="inlineStr">
        <is>
          <t>West</t>
        </is>
      </c>
      <c r="F2892" t="inlineStr">
        <is>
          <t>Paid Search</t>
        </is>
      </c>
      <c r="G2892" t="inlineStr">
        <is>
          <t>Desktop</t>
        </is>
      </c>
      <c r="H2892" t="inlineStr">
        <is>
          <t>UPI</t>
        </is>
      </c>
      <c r="I2892" t="inlineStr">
        <is>
          <t>Returned</t>
        </is>
      </c>
      <c r="J2892" t="n">
        <v>123</v>
      </c>
      <c r="K2892" t="n">
        <v>1</v>
      </c>
      <c r="L2892" t="n">
        <v>3464</v>
      </c>
      <c r="M2892" t="n">
        <v>0</v>
      </c>
      <c r="N2892">
        <f>VLOOKUP(J2892,Products!$A$2:$C$49,3,FALSE)</f>
        <v/>
      </c>
      <c r="O2892">
        <f>K2892*L2892-M2892</f>
        <v/>
      </c>
      <c r="P2892">
        <f>TEXT(B2892,"yyyy-mm")</f>
        <v/>
      </c>
      <c r="Q2892">
        <f>IF(O2892&gt;=3000,"Large","Small")</f>
        <v/>
      </c>
      <c r="R2892">
        <f>INDEX(Products!$F$2:$F$49,MATCH(J2892,Products!$A$2:$A$49,0))</f>
        <v/>
      </c>
      <c r="S2892">
        <f>WEEKDAY(B2892,2)</f>
        <v/>
      </c>
    </row>
    <row r="2893">
      <c r="A2893" t="n">
        <v>510883</v>
      </c>
      <c r="B2893" s="6" t="n">
        <v>45977</v>
      </c>
      <c r="C2893" t="n">
        <v>17122</v>
      </c>
      <c r="D2893" t="inlineStr">
        <is>
          <t>Chandigarh</t>
        </is>
      </c>
      <c r="E2893" t="inlineStr">
        <is>
          <t>North</t>
        </is>
      </c>
      <c r="F2893" t="inlineStr">
        <is>
          <t>Paid Search</t>
        </is>
      </c>
      <c r="G2893" t="inlineStr">
        <is>
          <t>Mobile App</t>
        </is>
      </c>
      <c r="H2893" t="inlineStr">
        <is>
          <t>UPI</t>
        </is>
      </c>
      <c r="I2893" t="inlineStr">
        <is>
          <t>Delivered</t>
        </is>
      </c>
      <c r="J2893" t="n">
        <v>137</v>
      </c>
      <c r="K2893" t="n">
        <v>1</v>
      </c>
      <c r="L2893" t="n">
        <v>261</v>
      </c>
      <c r="M2893" t="n">
        <v>0</v>
      </c>
      <c r="N2893">
        <f>VLOOKUP(J2893,Products!$A$2:$C$49,3,FALSE)</f>
        <v/>
      </c>
      <c r="O2893">
        <f>K2893*L2893-M2893</f>
        <v/>
      </c>
      <c r="P2893">
        <f>TEXT(B2893,"yyyy-mm")</f>
        <v/>
      </c>
      <c r="Q2893">
        <f>IF(O2893&gt;=3000,"Large","Small")</f>
        <v/>
      </c>
      <c r="R2893">
        <f>INDEX(Products!$F$2:$F$49,MATCH(J2893,Products!$A$2:$A$49,0))</f>
        <v/>
      </c>
      <c r="S2893">
        <f>WEEKDAY(B2893,2)</f>
        <v/>
      </c>
    </row>
    <row r="2894">
      <c r="A2894" t="n">
        <v>510884</v>
      </c>
      <c r="B2894" s="6" t="n">
        <v>45977</v>
      </c>
      <c r="C2894" t="n">
        <v>16045</v>
      </c>
      <c r="D2894" t="inlineStr">
        <is>
          <t>Noida</t>
        </is>
      </c>
      <c r="E2894" t="inlineStr">
        <is>
          <t>North</t>
        </is>
      </c>
      <c r="F2894" t="inlineStr">
        <is>
          <t>Referral</t>
        </is>
      </c>
      <c r="G2894" t="inlineStr">
        <is>
          <t>Mobile Web</t>
        </is>
      </c>
      <c r="H2894" t="inlineStr">
        <is>
          <t>UPI</t>
        </is>
      </c>
      <c r="I2894" t="inlineStr">
        <is>
          <t>Returned</t>
        </is>
      </c>
      <c r="J2894" t="n">
        <v>125</v>
      </c>
      <c r="K2894" t="n">
        <v>1</v>
      </c>
      <c r="L2894" t="n">
        <v>1364</v>
      </c>
      <c r="M2894" t="n">
        <v>0</v>
      </c>
      <c r="N2894">
        <f>VLOOKUP(J2894,Products!$A$2:$C$49,3,FALSE)</f>
        <v/>
      </c>
      <c r="O2894">
        <f>K2894*L2894-M2894</f>
        <v/>
      </c>
      <c r="P2894">
        <f>TEXT(B2894,"yyyy-mm")</f>
        <v/>
      </c>
      <c r="Q2894">
        <f>IF(O2894&gt;=3000,"Large","Small")</f>
        <v/>
      </c>
      <c r="R2894">
        <f>INDEX(Products!$F$2:$F$49,MATCH(J2894,Products!$A$2:$A$49,0))</f>
        <v/>
      </c>
      <c r="S2894">
        <f>WEEKDAY(B2894,2)</f>
        <v/>
      </c>
    </row>
    <row r="2895">
      <c r="A2895" t="n">
        <v>510885</v>
      </c>
      <c r="B2895" s="6" t="n">
        <v>45977</v>
      </c>
      <c r="C2895" t="n">
        <v>17311</v>
      </c>
      <c r="D2895" t="inlineStr">
        <is>
          <t>Chennai</t>
        </is>
      </c>
      <c r="E2895" t="inlineStr">
        <is>
          <t>South</t>
        </is>
      </c>
      <c r="F2895" t="inlineStr">
        <is>
          <t>Affiliate</t>
        </is>
      </c>
      <c r="G2895" t="inlineStr">
        <is>
          <t>Desktop</t>
        </is>
      </c>
      <c r="H2895" t="inlineStr">
        <is>
          <t>UPI</t>
        </is>
      </c>
      <c r="I2895" t="inlineStr">
        <is>
          <t>Delivered</t>
        </is>
      </c>
      <c r="J2895" t="n">
        <v>134</v>
      </c>
      <c r="K2895" t="n">
        <v>3</v>
      </c>
      <c r="L2895" t="n">
        <v>209</v>
      </c>
      <c r="M2895" t="n">
        <v>94.05</v>
      </c>
      <c r="N2895">
        <f>VLOOKUP(J2895,Products!$A$2:$C$49,3,FALSE)</f>
        <v/>
      </c>
      <c r="O2895">
        <f>K2895*L2895-M2895</f>
        <v/>
      </c>
      <c r="P2895">
        <f>TEXT(B2895,"yyyy-mm")</f>
        <v/>
      </c>
      <c r="Q2895">
        <f>IF(O2895&gt;=3000,"Large","Small")</f>
        <v/>
      </c>
      <c r="R2895">
        <f>INDEX(Products!$F$2:$F$49,MATCH(J2895,Products!$A$2:$A$49,0))</f>
        <v/>
      </c>
      <c r="S2895">
        <f>WEEKDAY(B2895,2)</f>
        <v/>
      </c>
    </row>
    <row r="2896">
      <c r="A2896" t="n">
        <v>510886</v>
      </c>
      <c r="B2896" s="6" t="n">
        <v>45977</v>
      </c>
      <c r="C2896" t="n">
        <v>15691</v>
      </c>
      <c r="D2896" t="inlineStr">
        <is>
          <t>Mumbai</t>
        </is>
      </c>
      <c r="E2896" t="inlineStr">
        <is>
          <t>West</t>
        </is>
      </c>
      <c r="F2896" t="inlineStr">
        <is>
          <t>Referral</t>
        </is>
      </c>
      <c r="G2896" t="inlineStr">
        <is>
          <t>Mobile App</t>
        </is>
      </c>
      <c r="H2896" t="inlineStr">
        <is>
          <t>Cash on Delivery</t>
        </is>
      </c>
      <c r="I2896" t="inlineStr">
        <is>
          <t>Delivered</t>
        </is>
      </c>
      <c r="J2896" t="n">
        <v>131</v>
      </c>
      <c r="K2896" t="n">
        <v>2</v>
      </c>
      <c r="L2896" t="n">
        <v>314</v>
      </c>
      <c r="M2896" t="n">
        <v>0</v>
      </c>
      <c r="N2896">
        <f>VLOOKUP(J2896,Products!$A$2:$C$49,3,FALSE)</f>
        <v/>
      </c>
      <c r="O2896">
        <f>K2896*L2896-M2896</f>
        <v/>
      </c>
      <c r="P2896">
        <f>TEXT(B2896,"yyyy-mm")</f>
        <v/>
      </c>
      <c r="Q2896">
        <f>IF(O2896&gt;=3000,"Large","Small")</f>
        <v/>
      </c>
      <c r="R2896">
        <f>INDEX(Products!$F$2:$F$49,MATCH(J2896,Products!$A$2:$A$49,0))</f>
        <v/>
      </c>
      <c r="S2896">
        <f>WEEKDAY(B2896,2)</f>
        <v/>
      </c>
    </row>
    <row r="2897">
      <c r="A2897" t="n">
        <v>510887</v>
      </c>
      <c r="B2897" s="6" t="n">
        <v>45977</v>
      </c>
      <c r="C2897" t="n">
        <v>17274</v>
      </c>
      <c r="D2897" t="inlineStr">
        <is>
          <t>Bengaluru</t>
        </is>
      </c>
      <c r="E2897" t="inlineStr">
        <is>
          <t>South</t>
        </is>
      </c>
      <c r="F2897" t="inlineStr">
        <is>
          <t>Paid Social</t>
        </is>
      </c>
      <c r="G2897" t="inlineStr">
        <is>
          <t>Mobile Web</t>
        </is>
      </c>
      <c r="H2897" t="inlineStr">
        <is>
          <t>Cash on Delivery</t>
        </is>
      </c>
      <c r="I2897" t="inlineStr">
        <is>
          <t>Delivered</t>
        </is>
      </c>
      <c r="J2897" t="n">
        <v>107</v>
      </c>
      <c r="K2897" t="n">
        <v>1</v>
      </c>
      <c r="L2897" t="n">
        <v>1259</v>
      </c>
      <c r="M2897" t="n">
        <v>188.85</v>
      </c>
      <c r="N2897">
        <f>VLOOKUP(J2897,Products!$A$2:$C$49,3,FALSE)</f>
        <v/>
      </c>
      <c r="O2897">
        <f>K2897*L2897-M2897</f>
        <v/>
      </c>
      <c r="P2897">
        <f>TEXT(B2897,"yyyy-mm")</f>
        <v/>
      </c>
      <c r="Q2897">
        <f>IF(O2897&gt;=3000,"Large","Small")</f>
        <v/>
      </c>
      <c r="R2897">
        <f>INDEX(Products!$F$2:$F$49,MATCH(J2897,Products!$A$2:$A$49,0))</f>
        <v/>
      </c>
      <c r="S2897">
        <f>WEEKDAY(B2897,2)</f>
        <v/>
      </c>
    </row>
    <row r="2898">
      <c r="A2898" t="n">
        <v>510888</v>
      </c>
      <c r="B2898" s="6" t="n">
        <v>45977</v>
      </c>
      <c r="C2898" t="n">
        <v>15184</v>
      </c>
      <c r="D2898" t="inlineStr">
        <is>
          <t>Kolkata</t>
        </is>
      </c>
      <c r="E2898" t="inlineStr">
        <is>
          <t>East</t>
        </is>
      </c>
      <c r="F2898" t="inlineStr">
        <is>
          <t>Email</t>
        </is>
      </c>
      <c r="G2898" t="inlineStr">
        <is>
          <t>Mobile App</t>
        </is>
      </c>
      <c r="H2898" t="inlineStr">
        <is>
          <t>Net Banking</t>
        </is>
      </c>
      <c r="I2898" t="inlineStr">
        <is>
          <t>Delivered</t>
        </is>
      </c>
      <c r="J2898" t="n">
        <v>120</v>
      </c>
      <c r="K2898" t="n">
        <v>2</v>
      </c>
      <c r="L2898" t="n">
        <v>734</v>
      </c>
      <c r="M2898" t="n">
        <v>0</v>
      </c>
      <c r="N2898">
        <f>VLOOKUP(J2898,Products!$A$2:$C$49,3,FALSE)</f>
        <v/>
      </c>
      <c r="O2898">
        <f>K2898*L2898-M2898</f>
        <v/>
      </c>
      <c r="P2898">
        <f>TEXT(B2898,"yyyy-mm")</f>
        <v/>
      </c>
      <c r="Q2898">
        <f>IF(O2898&gt;=3000,"Large","Small")</f>
        <v/>
      </c>
      <c r="R2898">
        <f>INDEX(Products!$F$2:$F$49,MATCH(J2898,Products!$A$2:$A$49,0))</f>
        <v/>
      </c>
      <c r="S2898">
        <f>WEEKDAY(B2898,2)</f>
        <v/>
      </c>
    </row>
    <row r="2899">
      <c r="A2899" t="n">
        <v>510889</v>
      </c>
      <c r="B2899" s="6" t="n">
        <v>45977</v>
      </c>
      <c r="C2899" t="n">
        <v>17335</v>
      </c>
      <c r="D2899" t="inlineStr">
        <is>
          <t>Bengaluru</t>
        </is>
      </c>
      <c r="E2899" t="inlineStr">
        <is>
          <t>South</t>
        </is>
      </c>
      <c r="F2899" t="inlineStr">
        <is>
          <t>Email</t>
        </is>
      </c>
      <c r="G2899" t="inlineStr">
        <is>
          <t>Mobile App</t>
        </is>
      </c>
      <c r="H2899" t="inlineStr">
        <is>
          <t>UPI</t>
        </is>
      </c>
      <c r="I2899" t="inlineStr">
        <is>
          <t>Delivered</t>
        </is>
      </c>
      <c r="J2899" t="n">
        <v>135</v>
      </c>
      <c r="K2899" t="n">
        <v>1</v>
      </c>
      <c r="L2899" t="n">
        <v>1574</v>
      </c>
      <c r="M2899" t="n">
        <v>0</v>
      </c>
      <c r="N2899">
        <f>VLOOKUP(J2899,Products!$A$2:$C$49,3,FALSE)</f>
        <v/>
      </c>
      <c r="O2899">
        <f>K2899*L2899-M2899</f>
        <v/>
      </c>
      <c r="P2899">
        <f>TEXT(B2899,"yyyy-mm")</f>
        <v/>
      </c>
      <c r="Q2899">
        <f>IF(O2899&gt;=3000,"Large","Small")</f>
        <v/>
      </c>
      <c r="R2899">
        <f>INDEX(Products!$F$2:$F$49,MATCH(J2899,Products!$A$2:$A$49,0))</f>
        <v/>
      </c>
      <c r="S2899">
        <f>WEEKDAY(B2899,2)</f>
        <v/>
      </c>
    </row>
    <row r="2900">
      <c r="A2900" t="n">
        <v>510890</v>
      </c>
      <c r="B2900" s="6" t="n">
        <v>45977</v>
      </c>
      <c r="C2900" t="n">
        <v>16699</v>
      </c>
      <c r="D2900" t="inlineStr">
        <is>
          <t>Pune</t>
        </is>
      </c>
      <c r="E2900" t="inlineStr">
        <is>
          <t>West</t>
        </is>
      </c>
      <c r="F2900" t="inlineStr">
        <is>
          <t>Organic Search</t>
        </is>
      </c>
      <c r="G2900" t="inlineStr">
        <is>
          <t>Mobile Web</t>
        </is>
      </c>
      <c r="H2900" t="inlineStr">
        <is>
          <t>UPI</t>
        </is>
      </c>
      <c r="I2900" t="inlineStr">
        <is>
          <t>Delivered</t>
        </is>
      </c>
      <c r="J2900" t="n">
        <v>104</v>
      </c>
      <c r="K2900" t="n">
        <v>1</v>
      </c>
      <c r="L2900" t="n">
        <v>5249</v>
      </c>
      <c r="M2900" t="n">
        <v>0</v>
      </c>
      <c r="N2900">
        <f>VLOOKUP(J2900,Products!$A$2:$C$49,3,FALSE)</f>
        <v/>
      </c>
      <c r="O2900">
        <f>K2900*L2900-M2900</f>
        <v/>
      </c>
      <c r="P2900">
        <f>TEXT(B2900,"yyyy-mm")</f>
        <v/>
      </c>
      <c r="Q2900">
        <f>IF(O2900&gt;=3000,"Large","Small")</f>
        <v/>
      </c>
      <c r="R2900">
        <f>INDEX(Products!$F$2:$F$49,MATCH(J2900,Products!$A$2:$A$49,0))</f>
        <v/>
      </c>
      <c r="S2900">
        <f>WEEKDAY(B2900,2)</f>
        <v/>
      </c>
    </row>
    <row r="2901">
      <c r="A2901" t="n">
        <v>510890</v>
      </c>
      <c r="B2901" s="6" t="n">
        <v>45977</v>
      </c>
      <c r="C2901" t="n">
        <v>16699</v>
      </c>
      <c r="D2901" t="inlineStr">
        <is>
          <t>Pune</t>
        </is>
      </c>
      <c r="E2901" t="inlineStr">
        <is>
          <t>West</t>
        </is>
      </c>
      <c r="F2901" t="inlineStr">
        <is>
          <t>Organic Search</t>
        </is>
      </c>
      <c r="G2901" t="inlineStr">
        <is>
          <t>Mobile Web</t>
        </is>
      </c>
      <c r="H2901" t="inlineStr">
        <is>
          <t>UPI</t>
        </is>
      </c>
      <c r="I2901" t="inlineStr">
        <is>
          <t>Delivered</t>
        </is>
      </c>
      <c r="J2901" t="n">
        <v>117</v>
      </c>
      <c r="K2901" t="n">
        <v>1</v>
      </c>
      <c r="L2901" t="n">
        <v>3149</v>
      </c>
      <c r="M2901" t="n">
        <v>0</v>
      </c>
      <c r="N2901">
        <f>VLOOKUP(J2901,Products!$A$2:$C$49,3,FALSE)</f>
        <v/>
      </c>
      <c r="O2901">
        <f>K2901*L2901-M2901</f>
        <v/>
      </c>
      <c r="P2901">
        <f>TEXT(B2901,"yyyy-mm")</f>
        <v/>
      </c>
      <c r="Q2901">
        <f>IF(O2901&gt;=3000,"Large","Small")</f>
        <v/>
      </c>
      <c r="R2901">
        <f>INDEX(Products!$F$2:$F$49,MATCH(J2901,Products!$A$2:$A$49,0))</f>
        <v/>
      </c>
      <c r="S2901">
        <f>WEEKDAY(B2901,2)</f>
        <v/>
      </c>
    </row>
    <row r="2902">
      <c r="A2902" t="n">
        <v>510891</v>
      </c>
      <c r="B2902" s="6" t="n">
        <v>45977</v>
      </c>
      <c r="C2902" t="n">
        <v>17363</v>
      </c>
      <c r="D2902" t="inlineStr">
        <is>
          <t>Indore</t>
        </is>
      </c>
      <c r="E2902" t="inlineStr">
        <is>
          <t>West</t>
        </is>
      </c>
      <c r="F2902" t="inlineStr">
        <is>
          <t>Paid Search</t>
        </is>
      </c>
      <c r="G2902" t="inlineStr">
        <is>
          <t>Mobile App</t>
        </is>
      </c>
      <c r="H2902" t="inlineStr">
        <is>
          <t>Debit Card</t>
        </is>
      </c>
      <c r="I2902" t="inlineStr">
        <is>
          <t>Delivered</t>
        </is>
      </c>
      <c r="J2902" t="n">
        <v>103</v>
      </c>
      <c r="K2902" t="n">
        <v>1</v>
      </c>
      <c r="L2902" t="n">
        <v>2624</v>
      </c>
      <c r="M2902" t="n">
        <v>0</v>
      </c>
      <c r="N2902">
        <f>VLOOKUP(J2902,Products!$A$2:$C$49,3,FALSE)</f>
        <v/>
      </c>
      <c r="O2902">
        <f>K2902*L2902-M2902</f>
        <v/>
      </c>
      <c r="P2902">
        <f>TEXT(B2902,"yyyy-mm")</f>
        <v/>
      </c>
      <c r="Q2902">
        <f>IF(O2902&gt;=3000,"Large","Small")</f>
        <v/>
      </c>
      <c r="R2902">
        <f>INDEX(Products!$F$2:$F$49,MATCH(J2902,Products!$A$2:$A$49,0))</f>
        <v/>
      </c>
      <c r="S2902">
        <f>WEEKDAY(B2902,2)</f>
        <v/>
      </c>
    </row>
    <row r="2903">
      <c r="A2903" t="n">
        <v>510892</v>
      </c>
      <c r="B2903" s="6" t="n">
        <v>45977</v>
      </c>
      <c r="C2903" t="n">
        <v>15375</v>
      </c>
      <c r="D2903" t="inlineStr">
        <is>
          <t>Ahmedabad</t>
        </is>
      </c>
      <c r="E2903" t="inlineStr">
        <is>
          <t>West</t>
        </is>
      </c>
      <c r="F2903" t="inlineStr">
        <is>
          <t>Paid Search</t>
        </is>
      </c>
      <c r="G2903" t="inlineStr">
        <is>
          <t>Mobile App</t>
        </is>
      </c>
      <c r="H2903" t="inlineStr">
        <is>
          <t>Net Banking</t>
        </is>
      </c>
      <c r="I2903" t="inlineStr">
        <is>
          <t>Delivered</t>
        </is>
      </c>
      <c r="J2903" t="n">
        <v>105</v>
      </c>
      <c r="K2903" t="n">
        <v>2</v>
      </c>
      <c r="L2903" t="n">
        <v>2414</v>
      </c>
      <c r="M2903" t="n">
        <v>0</v>
      </c>
      <c r="N2903">
        <f>VLOOKUP(J2903,Products!$A$2:$C$49,3,FALSE)</f>
        <v/>
      </c>
      <c r="O2903">
        <f>K2903*L2903-M2903</f>
        <v/>
      </c>
      <c r="P2903">
        <f>TEXT(B2903,"yyyy-mm")</f>
        <v/>
      </c>
      <c r="Q2903">
        <f>IF(O2903&gt;=3000,"Large","Small")</f>
        <v/>
      </c>
      <c r="R2903">
        <f>INDEX(Products!$F$2:$F$49,MATCH(J2903,Products!$A$2:$A$49,0))</f>
        <v/>
      </c>
      <c r="S2903">
        <f>WEEKDAY(B2903,2)</f>
        <v/>
      </c>
    </row>
    <row r="2904">
      <c r="A2904" t="n">
        <v>510893</v>
      </c>
      <c r="B2904" s="6" t="n">
        <v>45977</v>
      </c>
      <c r="C2904" t="n">
        <v>16949</v>
      </c>
      <c r="D2904" t="inlineStr">
        <is>
          <t>Bengaluru</t>
        </is>
      </c>
      <c r="E2904" t="inlineStr">
        <is>
          <t>South</t>
        </is>
      </c>
      <c r="F2904" t="inlineStr">
        <is>
          <t>Organic Search</t>
        </is>
      </c>
      <c r="G2904" t="inlineStr">
        <is>
          <t>Mobile Web</t>
        </is>
      </c>
      <c r="H2904" t="inlineStr">
        <is>
          <t>Debit Card</t>
        </is>
      </c>
      <c r="I2904" t="inlineStr">
        <is>
          <t>Delivered</t>
        </is>
      </c>
      <c r="J2904" t="n">
        <v>131</v>
      </c>
      <c r="K2904" t="n">
        <v>1</v>
      </c>
      <c r="L2904" t="n">
        <v>314</v>
      </c>
      <c r="M2904" t="n">
        <v>0</v>
      </c>
      <c r="N2904">
        <f>VLOOKUP(J2904,Products!$A$2:$C$49,3,FALSE)</f>
        <v/>
      </c>
      <c r="O2904">
        <f>K2904*L2904-M2904</f>
        <v/>
      </c>
      <c r="P2904">
        <f>TEXT(B2904,"yyyy-mm")</f>
        <v/>
      </c>
      <c r="Q2904">
        <f>IF(O2904&gt;=3000,"Large","Small")</f>
        <v/>
      </c>
      <c r="R2904">
        <f>INDEX(Products!$F$2:$F$49,MATCH(J2904,Products!$A$2:$A$49,0))</f>
        <v/>
      </c>
      <c r="S2904">
        <f>WEEKDAY(B2904,2)</f>
        <v/>
      </c>
    </row>
    <row r="2905">
      <c r="A2905" t="n">
        <v>510893</v>
      </c>
      <c r="B2905" s="6" t="n">
        <v>45977</v>
      </c>
      <c r="C2905" t="n">
        <v>16949</v>
      </c>
      <c r="D2905" t="inlineStr">
        <is>
          <t>Bengaluru</t>
        </is>
      </c>
      <c r="E2905" t="inlineStr">
        <is>
          <t>South</t>
        </is>
      </c>
      <c r="F2905" t="inlineStr">
        <is>
          <t>Organic Search</t>
        </is>
      </c>
      <c r="G2905" t="inlineStr">
        <is>
          <t>Mobile Web</t>
        </is>
      </c>
      <c r="H2905" t="inlineStr">
        <is>
          <t>Debit Card</t>
        </is>
      </c>
      <c r="I2905" t="inlineStr">
        <is>
          <t>Delivered</t>
        </is>
      </c>
      <c r="J2905" t="n">
        <v>111</v>
      </c>
      <c r="K2905" t="n">
        <v>1</v>
      </c>
      <c r="L2905" t="n">
        <v>524</v>
      </c>
      <c r="M2905" t="n">
        <v>0</v>
      </c>
      <c r="N2905">
        <f>VLOOKUP(J2905,Products!$A$2:$C$49,3,FALSE)</f>
        <v/>
      </c>
      <c r="O2905">
        <f>K2905*L2905-M2905</f>
        <v/>
      </c>
      <c r="P2905">
        <f>TEXT(B2905,"yyyy-mm")</f>
        <v/>
      </c>
      <c r="Q2905">
        <f>IF(O2905&gt;=3000,"Large","Small")</f>
        <v/>
      </c>
      <c r="R2905">
        <f>INDEX(Products!$F$2:$F$49,MATCH(J2905,Products!$A$2:$A$49,0))</f>
        <v/>
      </c>
      <c r="S2905">
        <f>WEEKDAY(B2905,2)</f>
        <v/>
      </c>
    </row>
    <row r="2906">
      <c r="A2906" t="n">
        <v>510894</v>
      </c>
      <c r="B2906" s="6" t="n">
        <v>45978</v>
      </c>
      <c r="C2906" t="n">
        <v>17356</v>
      </c>
      <c r="D2906" t="inlineStr">
        <is>
          <t>Pune</t>
        </is>
      </c>
      <c r="E2906" t="inlineStr">
        <is>
          <t>West</t>
        </is>
      </c>
      <c r="F2906" t="inlineStr">
        <is>
          <t>Referral</t>
        </is>
      </c>
      <c r="G2906" t="inlineStr">
        <is>
          <t>Desktop</t>
        </is>
      </c>
      <c r="H2906" t="inlineStr">
        <is>
          <t>Cash on Delivery</t>
        </is>
      </c>
      <c r="I2906" t="inlineStr">
        <is>
          <t>Delivered</t>
        </is>
      </c>
      <c r="J2906" t="n">
        <v>128</v>
      </c>
      <c r="K2906" t="n">
        <v>1</v>
      </c>
      <c r="L2906" t="n">
        <v>1049</v>
      </c>
      <c r="M2906" t="n">
        <v>0</v>
      </c>
      <c r="N2906">
        <f>VLOOKUP(J2906,Products!$A$2:$C$49,3,FALSE)</f>
        <v/>
      </c>
      <c r="O2906">
        <f>K2906*L2906-M2906</f>
        <v/>
      </c>
      <c r="P2906">
        <f>TEXT(B2906,"yyyy-mm")</f>
        <v/>
      </c>
      <c r="Q2906">
        <f>IF(O2906&gt;=3000,"Large","Small")</f>
        <v/>
      </c>
      <c r="R2906">
        <f>INDEX(Products!$F$2:$F$49,MATCH(J2906,Products!$A$2:$A$49,0))</f>
        <v/>
      </c>
      <c r="S2906">
        <f>WEEKDAY(B2906,2)</f>
        <v/>
      </c>
    </row>
    <row r="2907">
      <c r="A2907" t="n">
        <v>510895</v>
      </c>
      <c r="B2907" s="6" t="n">
        <v>45978</v>
      </c>
      <c r="C2907" t="n">
        <v>14493</v>
      </c>
      <c r="D2907" t="inlineStr">
        <is>
          <t>Kolkata</t>
        </is>
      </c>
      <c r="E2907" t="inlineStr">
        <is>
          <t>East</t>
        </is>
      </c>
      <c r="F2907" t="inlineStr">
        <is>
          <t>Paid Search</t>
        </is>
      </c>
      <c r="G2907" t="inlineStr">
        <is>
          <t>Mobile App</t>
        </is>
      </c>
      <c r="H2907" t="inlineStr">
        <is>
          <t>UPI</t>
        </is>
      </c>
      <c r="I2907" t="inlineStr">
        <is>
          <t>Delivered</t>
        </is>
      </c>
      <c r="J2907" t="n">
        <v>107</v>
      </c>
      <c r="K2907" t="n">
        <v>1</v>
      </c>
      <c r="L2907" t="n">
        <v>1259</v>
      </c>
      <c r="M2907" t="n">
        <v>0</v>
      </c>
      <c r="N2907">
        <f>VLOOKUP(J2907,Products!$A$2:$C$49,3,FALSE)</f>
        <v/>
      </c>
      <c r="O2907">
        <f>K2907*L2907-M2907</f>
        <v/>
      </c>
      <c r="P2907">
        <f>TEXT(B2907,"yyyy-mm")</f>
        <v/>
      </c>
      <c r="Q2907">
        <f>IF(O2907&gt;=3000,"Large","Small")</f>
        <v/>
      </c>
      <c r="R2907">
        <f>INDEX(Products!$F$2:$F$49,MATCH(J2907,Products!$A$2:$A$49,0))</f>
        <v/>
      </c>
      <c r="S2907">
        <f>WEEKDAY(B2907,2)</f>
        <v/>
      </c>
    </row>
    <row r="2908">
      <c r="A2908" t="n">
        <v>510895</v>
      </c>
      <c r="B2908" s="6" t="n">
        <v>45978</v>
      </c>
      <c r="C2908" t="n">
        <v>14493</v>
      </c>
      <c r="D2908" t="inlineStr">
        <is>
          <t>Kolkata</t>
        </is>
      </c>
      <c r="E2908" t="inlineStr">
        <is>
          <t>East</t>
        </is>
      </c>
      <c r="F2908" t="inlineStr">
        <is>
          <t>Paid Search</t>
        </is>
      </c>
      <c r="G2908" t="inlineStr">
        <is>
          <t>Mobile App</t>
        </is>
      </c>
      <c r="H2908" t="inlineStr">
        <is>
          <t>UPI</t>
        </is>
      </c>
      <c r="I2908" t="inlineStr">
        <is>
          <t>Delivered</t>
        </is>
      </c>
      <c r="J2908" t="n">
        <v>112</v>
      </c>
      <c r="K2908" t="n">
        <v>1</v>
      </c>
      <c r="L2908" t="n">
        <v>1574</v>
      </c>
      <c r="M2908" t="n">
        <v>0</v>
      </c>
      <c r="N2908">
        <f>VLOOKUP(J2908,Products!$A$2:$C$49,3,FALSE)</f>
        <v/>
      </c>
      <c r="O2908">
        <f>K2908*L2908-M2908</f>
        <v/>
      </c>
      <c r="P2908">
        <f>TEXT(B2908,"yyyy-mm")</f>
        <v/>
      </c>
      <c r="Q2908">
        <f>IF(O2908&gt;=3000,"Large","Small")</f>
        <v/>
      </c>
      <c r="R2908">
        <f>INDEX(Products!$F$2:$F$49,MATCH(J2908,Products!$A$2:$A$49,0))</f>
        <v/>
      </c>
      <c r="S2908">
        <f>WEEKDAY(B2908,2)</f>
        <v/>
      </c>
    </row>
    <row r="2909">
      <c r="A2909" t="n">
        <v>510896</v>
      </c>
      <c r="B2909" s="6" t="n">
        <v>45978</v>
      </c>
      <c r="C2909" t="n">
        <v>17371</v>
      </c>
      <c r="D2909" t="inlineStr">
        <is>
          <t>Kolkata</t>
        </is>
      </c>
      <c r="E2909" t="inlineStr">
        <is>
          <t>East</t>
        </is>
      </c>
      <c r="F2909" t="inlineStr">
        <is>
          <t>Organic Search</t>
        </is>
      </c>
      <c r="G2909" t="inlineStr">
        <is>
          <t>Desktop</t>
        </is>
      </c>
      <c r="H2909" t="inlineStr">
        <is>
          <t>Credit Card</t>
        </is>
      </c>
      <c r="I2909" t="inlineStr">
        <is>
          <t>Delivered</t>
        </is>
      </c>
      <c r="J2909" t="n">
        <v>147</v>
      </c>
      <c r="K2909" t="n">
        <v>1</v>
      </c>
      <c r="L2909" t="n">
        <v>1364</v>
      </c>
      <c r="M2909" t="n">
        <v>0</v>
      </c>
      <c r="N2909">
        <f>VLOOKUP(J2909,Products!$A$2:$C$49,3,FALSE)</f>
        <v/>
      </c>
      <c r="O2909">
        <f>K2909*L2909-M2909</f>
        <v/>
      </c>
      <c r="P2909">
        <f>TEXT(B2909,"yyyy-mm")</f>
        <v/>
      </c>
      <c r="Q2909">
        <f>IF(O2909&gt;=3000,"Large","Small")</f>
        <v/>
      </c>
      <c r="R2909">
        <f>INDEX(Products!$F$2:$F$49,MATCH(J2909,Products!$A$2:$A$49,0))</f>
        <v/>
      </c>
      <c r="S2909">
        <f>WEEKDAY(B2909,2)</f>
        <v/>
      </c>
    </row>
    <row r="2910">
      <c r="A2910" t="n">
        <v>510897</v>
      </c>
      <c r="B2910" s="6" t="n">
        <v>45978</v>
      </c>
      <c r="C2910" t="n">
        <v>13588</v>
      </c>
      <c r="D2910" t="inlineStr">
        <is>
          <t>Delhi</t>
        </is>
      </c>
      <c r="E2910" t="inlineStr">
        <is>
          <t>North</t>
        </is>
      </c>
      <c r="F2910" t="inlineStr">
        <is>
          <t>Organic Search</t>
        </is>
      </c>
      <c r="G2910" t="inlineStr">
        <is>
          <t>Mobile App</t>
        </is>
      </c>
      <c r="H2910" t="inlineStr">
        <is>
          <t>Credit Card</t>
        </is>
      </c>
      <c r="I2910" t="inlineStr">
        <is>
          <t>Delivered</t>
        </is>
      </c>
      <c r="J2910" t="n">
        <v>139</v>
      </c>
      <c r="K2910" t="n">
        <v>3</v>
      </c>
      <c r="L2910" t="n">
        <v>366</v>
      </c>
      <c r="M2910" t="n">
        <v>0</v>
      </c>
      <c r="N2910">
        <f>VLOOKUP(J2910,Products!$A$2:$C$49,3,FALSE)</f>
        <v/>
      </c>
      <c r="O2910">
        <f>K2910*L2910-M2910</f>
        <v/>
      </c>
      <c r="P2910">
        <f>TEXT(B2910,"yyyy-mm")</f>
        <v/>
      </c>
      <c r="Q2910">
        <f>IF(O2910&gt;=3000,"Large","Small")</f>
        <v/>
      </c>
      <c r="R2910">
        <f>INDEX(Products!$F$2:$F$49,MATCH(J2910,Products!$A$2:$A$49,0))</f>
        <v/>
      </c>
      <c r="S2910">
        <f>WEEKDAY(B2910,2)</f>
        <v/>
      </c>
    </row>
    <row r="2911">
      <c r="A2911" t="n">
        <v>510897</v>
      </c>
      <c r="B2911" s="6" t="n">
        <v>45978</v>
      </c>
      <c r="C2911" t="n">
        <v>13588</v>
      </c>
      <c r="D2911" t="inlineStr">
        <is>
          <t>Delhi</t>
        </is>
      </c>
      <c r="E2911" t="inlineStr">
        <is>
          <t>North</t>
        </is>
      </c>
      <c r="F2911" t="inlineStr">
        <is>
          <t>Organic Search</t>
        </is>
      </c>
      <c r="G2911" t="inlineStr">
        <is>
          <t>Mobile App</t>
        </is>
      </c>
      <c r="H2911" t="inlineStr">
        <is>
          <t>Credit Card</t>
        </is>
      </c>
      <c r="I2911" t="inlineStr">
        <is>
          <t>Delivered</t>
        </is>
      </c>
      <c r="J2911" t="n">
        <v>127</v>
      </c>
      <c r="K2911" t="n">
        <v>1</v>
      </c>
      <c r="L2911" t="n">
        <v>681</v>
      </c>
      <c r="M2911" t="n">
        <v>0</v>
      </c>
      <c r="N2911">
        <f>VLOOKUP(J2911,Products!$A$2:$C$49,3,FALSE)</f>
        <v/>
      </c>
      <c r="O2911">
        <f>K2911*L2911-M2911</f>
        <v/>
      </c>
      <c r="P2911">
        <f>TEXT(B2911,"yyyy-mm")</f>
        <v/>
      </c>
      <c r="Q2911">
        <f>IF(O2911&gt;=3000,"Large","Small")</f>
        <v/>
      </c>
      <c r="R2911">
        <f>INDEX(Products!$F$2:$F$49,MATCH(J2911,Products!$A$2:$A$49,0))</f>
        <v/>
      </c>
      <c r="S2911">
        <f>WEEKDAY(B2911,2)</f>
        <v/>
      </c>
    </row>
    <row r="2912">
      <c r="A2912" t="n">
        <v>510898</v>
      </c>
      <c r="B2912" s="6" t="n">
        <v>45978</v>
      </c>
      <c r="C2912" t="n">
        <v>17354</v>
      </c>
      <c r="D2912" t="inlineStr">
        <is>
          <t>Hyderabad</t>
        </is>
      </c>
      <c r="E2912" t="inlineStr">
        <is>
          <t>South</t>
        </is>
      </c>
      <c r="F2912" t="inlineStr">
        <is>
          <t>Organic Search</t>
        </is>
      </c>
      <c r="G2912" t="inlineStr">
        <is>
          <t>Mobile App</t>
        </is>
      </c>
      <c r="H2912" t="inlineStr">
        <is>
          <t>Debit Card</t>
        </is>
      </c>
      <c r="I2912" t="inlineStr">
        <is>
          <t>Delivered</t>
        </is>
      </c>
      <c r="J2912" t="n">
        <v>140</v>
      </c>
      <c r="K2912" t="n">
        <v>2</v>
      </c>
      <c r="L2912" t="n">
        <v>629</v>
      </c>
      <c r="M2912" t="n">
        <v>0</v>
      </c>
      <c r="N2912">
        <f>VLOOKUP(J2912,Products!$A$2:$C$49,3,FALSE)</f>
        <v/>
      </c>
      <c r="O2912">
        <f>K2912*L2912-M2912</f>
        <v/>
      </c>
      <c r="P2912">
        <f>TEXT(B2912,"yyyy-mm")</f>
        <v/>
      </c>
      <c r="Q2912">
        <f>IF(O2912&gt;=3000,"Large","Small")</f>
        <v/>
      </c>
      <c r="R2912">
        <f>INDEX(Products!$F$2:$F$49,MATCH(J2912,Products!$A$2:$A$49,0))</f>
        <v/>
      </c>
      <c r="S2912">
        <f>WEEKDAY(B2912,2)</f>
        <v/>
      </c>
    </row>
    <row r="2913">
      <c r="A2913" t="n">
        <v>510899</v>
      </c>
      <c r="B2913" s="6" t="n">
        <v>45978</v>
      </c>
      <c r="C2913" t="n">
        <v>13923</v>
      </c>
      <c r="D2913" t="inlineStr">
        <is>
          <t>Noida</t>
        </is>
      </c>
      <c r="E2913" t="inlineStr">
        <is>
          <t>North</t>
        </is>
      </c>
      <c r="F2913" t="inlineStr">
        <is>
          <t>Organic Search</t>
        </is>
      </c>
      <c r="G2913" t="inlineStr">
        <is>
          <t>Mobile App</t>
        </is>
      </c>
      <c r="H2913" t="inlineStr">
        <is>
          <t>UPI</t>
        </is>
      </c>
      <c r="I2913" t="inlineStr">
        <is>
          <t>Delivered</t>
        </is>
      </c>
      <c r="J2913" t="n">
        <v>138</v>
      </c>
      <c r="K2913" t="n">
        <v>1</v>
      </c>
      <c r="L2913" t="n">
        <v>419</v>
      </c>
      <c r="M2913" t="n">
        <v>0</v>
      </c>
      <c r="N2913">
        <f>VLOOKUP(J2913,Products!$A$2:$C$49,3,FALSE)</f>
        <v/>
      </c>
      <c r="O2913">
        <f>K2913*L2913-M2913</f>
        <v/>
      </c>
      <c r="P2913">
        <f>TEXT(B2913,"yyyy-mm")</f>
        <v/>
      </c>
      <c r="Q2913">
        <f>IF(O2913&gt;=3000,"Large","Small")</f>
        <v/>
      </c>
      <c r="R2913">
        <f>INDEX(Products!$F$2:$F$49,MATCH(J2913,Products!$A$2:$A$49,0))</f>
        <v/>
      </c>
      <c r="S2913">
        <f>WEEKDAY(B2913,2)</f>
        <v/>
      </c>
    </row>
    <row r="2914">
      <c r="A2914" t="n">
        <v>510899</v>
      </c>
      <c r="B2914" s="6" t="n">
        <v>45978</v>
      </c>
      <c r="C2914" t="n">
        <v>13923</v>
      </c>
      <c r="D2914" t="inlineStr">
        <is>
          <t>Noida</t>
        </is>
      </c>
      <c r="E2914" t="inlineStr">
        <is>
          <t>North</t>
        </is>
      </c>
      <c r="F2914" t="inlineStr">
        <is>
          <t>Organic Search</t>
        </is>
      </c>
      <c r="G2914" t="inlineStr">
        <is>
          <t>Mobile App</t>
        </is>
      </c>
      <c r="H2914" t="inlineStr">
        <is>
          <t>UPI</t>
        </is>
      </c>
      <c r="I2914" t="inlineStr">
        <is>
          <t>Delivered</t>
        </is>
      </c>
      <c r="J2914" t="n">
        <v>135</v>
      </c>
      <c r="K2914" t="n">
        <v>2</v>
      </c>
      <c r="L2914" t="n">
        <v>1574</v>
      </c>
      <c r="M2914" t="n">
        <v>0</v>
      </c>
      <c r="N2914">
        <f>VLOOKUP(J2914,Products!$A$2:$C$49,3,FALSE)</f>
        <v/>
      </c>
      <c r="O2914">
        <f>K2914*L2914-M2914</f>
        <v/>
      </c>
      <c r="P2914">
        <f>TEXT(B2914,"yyyy-mm")</f>
        <v/>
      </c>
      <c r="Q2914">
        <f>IF(O2914&gt;=3000,"Large","Small")</f>
        <v/>
      </c>
      <c r="R2914">
        <f>INDEX(Products!$F$2:$F$49,MATCH(J2914,Products!$A$2:$A$49,0))</f>
        <v/>
      </c>
      <c r="S2914">
        <f>WEEKDAY(B2914,2)</f>
        <v/>
      </c>
    </row>
    <row r="2915">
      <c r="A2915" t="n">
        <v>510900</v>
      </c>
      <c r="B2915" s="6" t="n">
        <v>45978</v>
      </c>
      <c r="C2915" t="n">
        <v>17372</v>
      </c>
      <c r="D2915" t="inlineStr">
        <is>
          <t>Bengaluru</t>
        </is>
      </c>
      <c r="E2915" t="inlineStr">
        <is>
          <t>South</t>
        </is>
      </c>
      <c r="F2915" t="inlineStr">
        <is>
          <t>Paid Social</t>
        </is>
      </c>
      <c r="G2915" t="inlineStr">
        <is>
          <t>Mobile App</t>
        </is>
      </c>
      <c r="H2915" t="inlineStr">
        <is>
          <t>Debit Card</t>
        </is>
      </c>
      <c r="I2915" t="inlineStr">
        <is>
          <t>Delivered</t>
        </is>
      </c>
      <c r="J2915" t="n">
        <v>123</v>
      </c>
      <c r="K2915" t="n">
        <v>1</v>
      </c>
      <c r="L2915" t="n">
        <v>3464</v>
      </c>
      <c r="M2915" t="n">
        <v>519.6</v>
      </c>
      <c r="N2915">
        <f>VLOOKUP(J2915,Products!$A$2:$C$49,3,FALSE)</f>
        <v/>
      </c>
      <c r="O2915">
        <f>K2915*L2915-M2915</f>
        <v/>
      </c>
      <c r="P2915">
        <f>TEXT(B2915,"yyyy-mm")</f>
        <v/>
      </c>
      <c r="Q2915">
        <f>IF(O2915&gt;=3000,"Large","Small")</f>
        <v/>
      </c>
      <c r="R2915">
        <f>INDEX(Products!$F$2:$F$49,MATCH(J2915,Products!$A$2:$A$49,0))</f>
        <v/>
      </c>
      <c r="S2915">
        <f>WEEKDAY(B2915,2)</f>
        <v/>
      </c>
    </row>
    <row r="2916">
      <c r="A2916" t="n">
        <v>510901</v>
      </c>
      <c r="B2916" s="6" t="n">
        <v>45978</v>
      </c>
      <c r="C2916" t="n">
        <v>12589</v>
      </c>
      <c r="D2916" t="inlineStr">
        <is>
          <t>Bengaluru</t>
        </is>
      </c>
      <c r="E2916" t="inlineStr">
        <is>
          <t>South</t>
        </is>
      </c>
      <c r="F2916" t="inlineStr">
        <is>
          <t>Organic Search</t>
        </is>
      </c>
      <c r="G2916" t="inlineStr">
        <is>
          <t>Mobile Web</t>
        </is>
      </c>
      <c r="H2916" t="inlineStr">
        <is>
          <t>Debit Card</t>
        </is>
      </c>
      <c r="I2916" t="inlineStr">
        <is>
          <t>Delivered</t>
        </is>
      </c>
      <c r="J2916" t="n">
        <v>144</v>
      </c>
      <c r="K2916" t="n">
        <v>2</v>
      </c>
      <c r="L2916" t="n">
        <v>3149</v>
      </c>
      <c r="M2916" t="n">
        <v>0</v>
      </c>
      <c r="N2916">
        <f>VLOOKUP(J2916,Products!$A$2:$C$49,3,FALSE)</f>
        <v/>
      </c>
      <c r="O2916">
        <f>K2916*L2916-M2916</f>
        <v/>
      </c>
      <c r="P2916">
        <f>TEXT(B2916,"yyyy-mm")</f>
        <v/>
      </c>
      <c r="Q2916">
        <f>IF(O2916&gt;=3000,"Large","Small")</f>
        <v/>
      </c>
      <c r="R2916">
        <f>INDEX(Products!$F$2:$F$49,MATCH(J2916,Products!$A$2:$A$49,0))</f>
        <v/>
      </c>
      <c r="S2916">
        <f>WEEKDAY(B2916,2)</f>
        <v/>
      </c>
    </row>
    <row r="2917">
      <c r="A2917" t="n">
        <v>510902</v>
      </c>
      <c r="B2917" s="6" t="n">
        <v>45978</v>
      </c>
      <c r="C2917" t="n">
        <v>17231</v>
      </c>
      <c r="D2917" t="inlineStr">
        <is>
          <t>Noida</t>
        </is>
      </c>
      <c r="E2917" t="inlineStr">
        <is>
          <t>North</t>
        </is>
      </c>
      <c r="F2917" t="inlineStr">
        <is>
          <t>Paid Search</t>
        </is>
      </c>
      <c r="G2917" t="inlineStr">
        <is>
          <t>Mobile App</t>
        </is>
      </c>
      <c r="H2917" t="inlineStr">
        <is>
          <t>Net Banking</t>
        </is>
      </c>
      <c r="I2917" t="inlineStr">
        <is>
          <t>Cancelled</t>
        </is>
      </c>
      <c r="J2917" t="n">
        <v>113</v>
      </c>
      <c r="K2917" t="n">
        <v>1</v>
      </c>
      <c r="L2917" t="n">
        <v>1364</v>
      </c>
      <c r="M2917" t="n">
        <v>204.6</v>
      </c>
      <c r="N2917">
        <f>VLOOKUP(J2917,Products!$A$2:$C$49,3,FALSE)</f>
        <v/>
      </c>
      <c r="O2917">
        <f>K2917*L2917-M2917</f>
        <v/>
      </c>
      <c r="P2917">
        <f>TEXT(B2917,"yyyy-mm")</f>
        <v/>
      </c>
      <c r="Q2917">
        <f>IF(O2917&gt;=3000,"Large","Small")</f>
        <v/>
      </c>
      <c r="R2917">
        <f>INDEX(Products!$F$2:$F$49,MATCH(J2917,Products!$A$2:$A$49,0))</f>
        <v/>
      </c>
      <c r="S2917">
        <f>WEEKDAY(B2917,2)</f>
        <v/>
      </c>
    </row>
    <row r="2918">
      <c r="A2918" t="n">
        <v>510903</v>
      </c>
      <c r="B2918" s="6" t="n">
        <v>45979</v>
      </c>
      <c r="C2918" t="n">
        <v>17390</v>
      </c>
      <c r="D2918" t="inlineStr">
        <is>
          <t>Delhi</t>
        </is>
      </c>
      <c r="E2918" t="inlineStr">
        <is>
          <t>North</t>
        </is>
      </c>
      <c r="F2918" t="inlineStr">
        <is>
          <t>Paid Search</t>
        </is>
      </c>
      <c r="G2918" t="inlineStr">
        <is>
          <t>Desktop</t>
        </is>
      </c>
      <c r="H2918" t="inlineStr">
        <is>
          <t>Debit Card</t>
        </is>
      </c>
      <c r="I2918" t="inlineStr">
        <is>
          <t>Delivered</t>
        </is>
      </c>
      <c r="J2918" t="n">
        <v>133</v>
      </c>
      <c r="K2918" t="n">
        <v>2</v>
      </c>
      <c r="L2918" t="n">
        <v>419</v>
      </c>
      <c r="M2918" t="n">
        <v>41.9</v>
      </c>
      <c r="N2918">
        <f>VLOOKUP(J2918,Products!$A$2:$C$49,3,FALSE)</f>
        <v/>
      </c>
      <c r="O2918">
        <f>K2918*L2918-M2918</f>
        <v/>
      </c>
      <c r="P2918">
        <f>TEXT(B2918,"yyyy-mm")</f>
        <v/>
      </c>
      <c r="Q2918">
        <f>IF(O2918&gt;=3000,"Large","Small")</f>
        <v/>
      </c>
      <c r="R2918">
        <f>INDEX(Products!$F$2:$F$49,MATCH(J2918,Products!$A$2:$A$49,0))</f>
        <v/>
      </c>
      <c r="S2918">
        <f>WEEKDAY(B2918,2)</f>
        <v/>
      </c>
    </row>
    <row r="2919">
      <c r="A2919" t="n">
        <v>510903</v>
      </c>
      <c r="B2919" s="6" t="n">
        <v>45979</v>
      </c>
      <c r="C2919" t="n">
        <v>17390</v>
      </c>
      <c r="D2919" t="inlineStr">
        <is>
          <t>Delhi</t>
        </is>
      </c>
      <c r="E2919" t="inlineStr">
        <is>
          <t>North</t>
        </is>
      </c>
      <c r="F2919" t="inlineStr">
        <is>
          <t>Paid Search</t>
        </is>
      </c>
      <c r="G2919" t="inlineStr">
        <is>
          <t>Desktop</t>
        </is>
      </c>
      <c r="H2919" t="inlineStr">
        <is>
          <t>Debit Card</t>
        </is>
      </c>
      <c r="I2919" t="inlineStr">
        <is>
          <t>Delivered</t>
        </is>
      </c>
      <c r="J2919" t="n">
        <v>101</v>
      </c>
      <c r="K2919" t="n">
        <v>1</v>
      </c>
      <c r="L2919" t="n">
        <v>2099</v>
      </c>
      <c r="M2919" t="n">
        <v>104.95</v>
      </c>
      <c r="N2919">
        <f>VLOOKUP(J2919,Products!$A$2:$C$49,3,FALSE)</f>
        <v/>
      </c>
      <c r="O2919">
        <f>K2919*L2919-M2919</f>
        <v/>
      </c>
      <c r="P2919">
        <f>TEXT(B2919,"yyyy-mm")</f>
        <v/>
      </c>
      <c r="Q2919">
        <f>IF(O2919&gt;=3000,"Large","Small")</f>
        <v/>
      </c>
      <c r="R2919">
        <f>INDEX(Products!$F$2:$F$49,MATCH(J2919,Products!$A$2:$A$49,0))</f>
        <v/>
      </c>
      <c r="S2919">
        <f>WEEKDAY(B2919,2)</f>
        <v/>
      </c>
    </row>
    <row r="2920">
      <c r="A2920" t="n">
        <v>510904</v>
      </c>
      <c r="B2920" s="6" t="n">
        <v>45979</v>
      </c>
      <c r="C2920" t="n">
        <v>14952</v>
      </c>
      <c r="D2920" t="inlineStr">
        <is>
          <t>Bengaluru</t>
        </is>
      </c>
      <c r="E2920" t="inlineStr">
        <is>
          <t>South</t>
        </is>
      </c>
      <c r="F2920" t="inlineStr">
        <is>
          <t>Referral</t>
        </is>
      </c>
      <c r="G2920" t="inlineStr">
        <is>
          <t>Desktop</t>
        </is>
      </c>
      <c r="H2920" t="inlineStr">
        <is>
          <t>UPI</t>
        </is>
      </c>
      <c r="I2920" t="inlineStr">
        <is>
          <t>Cancelled</t>
        </is>
      </c>
      <c r="J2920" t="n">
        <v>117</v>
      </c>
      <c r="K2920" t="n">
        <v>1</v>
      </c>
      <c r="L2920" t="n">
        <v>3149</v>
      </c>
      <c r="M2920" t="n">
        <v>0</v>
      </c>
      <c r="N2920">
        <f>VLOOKUP(J2920,Products!$A$2:$C$49,3,FALSE)</f>
        <v/>
      </c>
      <c r="O2920">
        <f>K2920*L2920-M2920</f>
        <v/>
      </c>
      <c r="P2920">
        <f>TEXT(B2920,"yyyy-mm")</f>
        <v/>
      </c>
      <c r="Q2920">
        <f>IF(O2920&gt;=3000,"Large","Small")</f>
        <v/>
      </c>
      <c r="R2920">
        <f>INDEX(Products!$F$2:$F$49,MATCH(J2920,Products!$A$2:$A$49,0))</f>
        <v/>
      </c>
      <c r="S2920">
        <f>WEEKDAY(B2920,2)</f>
        <v/>
      </c>
    </row>
    <row r="2921">
      <c r="A2921" t="n">
        <v>510905</v>
      </c>
      <c r="B2921" s="6" t="n">
        <v>45979</v>
      </c>
      <c r="C2921" t="n">
        <v>15352</v>
      </c>
      <c r="D2921" t="inlineStr">
        <is>
          <t>Kolkata</t>
        </is>
      </c>
      <c r="E2921" t="inlineStr">
        <is>
          <t>East</t>
        </is>
      </c>
      <c r="F2921" t="inlineStr">
        <is>
          <t>Referral</t>
        </is>
      </c>
      <c r="G2921" t="inlineStr">
        <is>
          <t>Mobile Web</t>
        </is>
      </c>
      <c r="H2921" t="inlineStr">
        <is>
          <t>UPI</t>
        </is>
      </c>
      <c r="I2921" t="inlineStr">
        <is>
          <t>Delivered</t>
        </is>
      </c>
      <c r="J2921" t="n">
        <v>134</v>
      </c>
      <c r="K2921" t="n">
        <v>1</v>
      </c>
      <c r="L2921" t="n">
        <v>209</v>
      </c>
      <c r="M2921" t="n">
        <v>0</v>
      </c>
      <c r="N2921">
        <f>VLOOKUP(J2921,Products!$A$2:$C$49,3,FALSE)</f>
        <v/>
      </c>
      <c r="O2921">
        <f>K2921*L2921-M2921</f>
        <v/>
      </c>
      <c r="P2921">
        <f>TEXT(B2921,"yyyy-mm")</f>
        <v/>
      </c>
      <c r="Q2921">
        <f>IF(O2921&gt;=3000,"Large","Small")</f>
        <v/>
      </c>
      <c r="R2921">
        <f>INDEX(Products!$F$2:$F$49,MATCH(J2921,Products!$A$2:$A$49,0))</f>
        <v/>
      </c>
      <c r="S2921">
        <f>WEEKDAY(B2921,2)</f>
        <v/>
      </c>
    </row>
    <row r="2922">
      <c r="A2922" t="n">
        <v>510906</v>
      </c>
      <c r="B2922" s="6" t="n">
        <v>45979</v>
      </c>
      <c r="C2922" t="n">
        <v>17349</v>
      </c>
      <c r="D2922" t="inlineStr">
        <is>
          <t>Bengaluru</t>
        </is>
      </c>
      <c r="E2922" t="inlineStr">
        <is>
          <t>South</t>
        </is>
      </c>
      <c r="F2922" t="inlineStr">
        <is>
          <t>Paid Social</t>
        </is>
      </c>
      <c r="G2922" t="inlineStr">
        <is>
          <t>Mobile App</t>
        </is>
      </c>
      <c r="H2922" t="inlineStr">
        <is>
          <t>UPI</t>
        </is>
      </c>
      <c r="I2922" t="inlineStr">
        <is>
          <t>Delivered</t>
        </is>
      </c>
      <c r="J2922" t="n">
        <v>109</v>
      </c>
      <c r="K2922" t="n">
        <v>1</v>
      </c>
      <c r="L2922" t="n">
        <v>4199</v>
      </c>
      <c r="M2922" t="n">
        <v>629.85</v>
      </c>
      <c r="N2922">
        <f>VLOOKUP(J2922,Products!$A$2:$C$49,3,FALSE)</f>
        <v/>
      </c>
      <c r="O2922">
        <f>K2922*L2922-M2922</f>
        <v/>
      </c>
      <c r="P2922">
        <f>TEXT(B2922,"yyyy-mm")</f>
        <v/>
      </c>
      <c r="Q2922">
        <f>IF(O2922&gt;=3000,"Large","Small")</f>
        <v/>
      </c>
      <c r="R2922">
        <f>INDEX(Products!$F$2:$F$49,MATCH(J2922,Products!$A$2:$A$49,0))</f>
        <v/>
      </c>
      <c r="S2922">
        <f>WEEKDAY(B2922,2)</f>
        <v/>
      </c>
    </row>
    <row r="2923">
      <c r="A2923" t="n">
        <v>510907</v>
      </c>
      <c r="B2923" s="6" t="n">
        <v>45979</v>
      </c>
      <c r="C2923" t="n">
        <v>17282</v>
      </c>
      <c r="D2923" t="inlineStr">
        <is>
          <t>Kolkata</t>
        </is>
      </c>
      <c r="E2923" t="inlineStr">
        <is>
          <t>East</t>
        </is>
      </c>
      <c r="F2923" t="inlineStr">
        <is>
          <t>Paid Social</t>
        </is>
      </c>
      <c r="G2923" t="inlineStr">
        <is>
          <t>Desktop</t>
        </is>
      </c>
      <c r="H2923" t="inlineStr">
        <is>
          <t>UPI</t>
        </is>
      </c>
      <c r="I2923" t="inlineStr">
        <is>
          <t>Delivered</t>
        </is>
      </c>
      <c r="J2923" t="n">
        <v>123</v>
      </c>
      <c r="K2923" t="n">
        <v>1</v>
      </c>
      <c r="L2923" t="n">
        <v>3464</v>
      </c>
      <c r="M2923" t="n">
        <v>0</v>
      </c>
      <c r="N2923">
        <f>VLOOKUP(J2923,Products!$A$2:$C$49,3,FALSE)</f>
        <v/>
      </c>
      <c r="O2923">
        <f>K2923*L2923-M2923</f>
        <v/>
      </c>
      <c r="P2923">
        <f>TEXT(B2923,"yyyy-mm")</f>
        <v/>
      </c>
      <c r="Q2923">
        <f>IF(O2923&gt;=3000,"Large","Small")</f>
        <v/>
      </c>
      <c r="R2923">
        <f>INDEX(Products!$F$2:$F$49,MATCH(J2923,Products!$A$2:$A$49,0))</f>
        <v/>
      </c>
      <c r="S2923">
        <f>WEEKDAY(B2923,2)</f>
        <v/>
      </c>
    </row>
    <row r="2924">
      <c r="A2924" t="n">
        <v>510908</v>
      </c>
      <c r="B2924" s="6" t="n">
        <v>45979</v>
      </c>
      <c r="C2924" t="n">
        <v>14483</v>
      </c>
      <c r="D2924" t="inlineStr">
        <is>
          <t>Lucknow</t>
        </is>
      </c>
      <c r="E2924" t="inlineStr">
        <is>
          <t>North</t>
        </is>
      </c>
      <c r="F2924" t="inlineStr">
        <is>
          <t>Organic Search</t>
        </is>
      </c>
      <c r="G2924" t="inlineStr">
        <is>
          <t>Mobile Web</t>
        </is>
      </c>
      <c r="H2924" t="inlineStr">
        <is>
          <t>UPI</t>
        </is>
      </c>
      <c r="I2924" t="inlineStr">
        <is>
          <t>Delivered</t>
        </is>
      </c>
      <c r="J2924" t="n">
        <v>113</v>
      </c>
      <c r="K2924" t="n">
        <v>1</v>
      </c>
      <c r="L2924" t="n">
        <v>1364</v>
      </c>
      <c r="M2924" t="n">
        <v>0</v>
      </c>
      <c r="N2924">
        <f>VLOOKUP(J2924,Products!$A$2:$C$49,3,FALSE)</f>
        <v/>
      </c>
      <c r="O2924">
        <f>K2924*L2924-M2924</f>
        <v/>
      </c>
      <c r="P2924">
        <f>TEXT(B2924,"yyyy-mm")</f>
        <v/>
      </c>
      <c r="Q2924">
        <f>IF(O2924&gt;=3000,"Large","Small")</f>
        <v/>
      </c>
      <c r="R2924">
        <f>INDEX(Products!$F$2:$F$49,MATCH(J2924,Products!$A$2:$A$49,0))</f>
        <v/>
      </c>
      <c r="S2924">
        <f>WEEKDAY(B2924,2)</f>
        <v/>
      </c>
    </row>
    <row r="2925">
      <c r="A2925" t="n">
        <v>510908</v>
      </c>
      <c r="B2925" s="6" t="n">
        <v>45979</v>
      </c>
      <c r="C2925" t="n">
        <v>14483</v>
      </c>
      <c r="D2925" t="inlineStr">
        <is>
          <t>Lucknow</t>
        </is>
      </c>
      <c r="E2925" t="inlineStr">
        <is>
          <t>North</t>
        </is>
      </c>
      <c r="F2925" t="inlineStr">
        <is>
          <t>Organic Search</t>
        </is>
      </c>
      <c r="G2925" t="inlineStr">
        <is>
          <t>Mobile Web</t>
        </is>
      </c>
      <c r="H2925" t="inlineStr">
        <is>
          <t>UPI</t>
        </is>
      </c>
      <c r="I2925" t="inlineStr">
        <is>
          <t>Delivered</t>
        </is>
      </c>
      <c r="J2925" t="n">
        <v>126</v>
      </c>
      <c r="K2925" t="n">
        <v>2</v>
      </c>
      <c r="L2925" t="n">
        <v>471</v>
      </c>
      <c r="M2925" t="n">
        <v>0</v>
      </c>
      <c r="N2925">
        <f>VLOOKUP(J2925,Products!$A$2:$C$49,3,FALSE)</f>
        <v/>
      </c>
      <c r="O2925">
        <f>K2925*L2925-M2925</f>
        <v/>
      </c>
      <c r="P2925">
        <f>TEXT(B2925,"yyyy-mm")</f>
        <v/>
      </c>
      <c r="Q2925">
        <f>IF(O2925&gt;=3000,"Large","Small")</f>
        <v/>
      </c>
      <c r="R2925">
        <f>INDEX(Products!$F$2:$F$49,MATCH(J2925,Products!$A$2:$A$49,0))</f>
        <v/>
      </c>
      <c r="S2925">
        <f>WEEKDAY(B2925,2)</f>
        <v/>
      </c>
    </row>
    <row r="2926">
      <c r="A2926" t="n">
        <v>510909</v>
      </c>
      <c r="B2926" s="6" t="n">
        <v>45979</v>
      </c>
      <c r="C2926" t="n">
        <v>17339</v>
      </c>
      <c r="D2926" t="inlineStr">
        <is>
          <t>Bengaluru</t>
        </is>
      </c>
      <c r="E2926" t="inlineStr">
        <is>
          <t>South</t>
        </is>
      </c>
      <c r="F2926" t="inlineStr">
        <is>
          <t>Paid Search</t>
        </is>
      </c>
      <c r="G2926" t="inlineStr">
        <is>
          <t>Mobile App</t>
        </is>
      </c>
      <c r="H2926" t="inlineStr">
        <is>
          <t>Debit Card</t>
        </is>
      </c>
      <c r="I2926" t="inlineStr">
        <is>
          <t>Delivered</t>
        </is>
      </c>
      <c r="J2926" t="n">
        <v>107</v>
      </c>
      <c r="K2926" t="n">
        <v>1</v>
      </c>
      <c r="L2926" t="n">
        <v>1259</v>
      </c>
      <c r="M2926" t="n">
        <v>0</v>
      </c>
      <c r="N2926">
        <f>VLOOKUP(J2926,Products!$A$2:$C$49,3,FALSE)</f>
        <v/>
      </c>
      <c r="O2926">
        <f>K2926*L2926-M2926</f>
        <v/>
      </c>
      <c r="P2926">
        <f>TEXT(B2926,"yyyy-mm")</f>
        <v/>
      </c>
      <c r="Q2926">
        <f>IF(O2926&gt;=3000,"Large","Small")</f>
        <v/>
      </c>
      <c r="R2926">
        <f>INDEX(Products!$F$2:$F$49,MATCH(J2926,Products!$A$2:$A$49,0))</f>
        <v/>
      </c>
      <c r="S2926">
        <f>WEEKDAY(B2926,2)</f>
        <v/>
      </c>
    </row>
    <row r="2927">
      <c r="A2927" t="n">
        <v>510909</v>
      </c>
      <c r="B2927" s="6" t="n">
        <v>45979</v>
      </c>
      <c r="C2927" t="n">
        <v>17339</v>
      </c>
      <c r="D2927" t="inlineStr">
        <is>
          <t>Bengaluru</t>
        </is>
      </c>
      <c r="E2927" t="inlineStr">
        <is>
          <t>South</t>
        </is>
      </c>
      <c r="F2927" t="inlineStr">
        <is>
          <t>Paid Search</t>
        </is>
      </c>
      <c r="G2927" t="inlineStr">
        <is>
          <t>Mobile App</t>
        </is>
      </c>
      <c r="H2927" t="inlineStr">
        <is>
          <t>Debit Card</t>
        </is>
      </c>
      <c r="I2927" t="inlineStr">
        <is>
          <t>Delivered</t>
        </is>
      </c>
      <c r="J2927" t="n">
        <v>122</v>
      </c>
      <c r="K2927" t="n">
        <v>1</v>
      </c>
      <c r="L2927" t="n">
        <v>1994</v>
      </c>
      <c r="M2927" t="n">
        <v>0</v>
      </c>
      <c r="N2927">
        <f>VLOOKUP(J2927,Products!$A$2:$C$49,3,FALSE)</f>
        <v/>
      </c>
      <c r="O2927">
        <f>K2927*L2927-M2927</f>
        <v/>
      </c>
      <c r="P2927">
        <f>TEXT(B2927,"yyyy-mm")</f>
        <v/>
      </c>
      <c r="Q2927">
        <f>IF(O2927&gt;=3000,"Large","Small")</f>
        <v/>
      </c>
      <c r="R2927">
        <f>INDEX(Products!$F$2:$F$49,MATCH(J2927,Products!$A$2:$A$49,0))</f>
        <v/>
      </c>
      <c r="S2927">
        <f>WEEKDAY(B2927,2)</f>
        <v/>
      </c>
    </row>
    <row r="2928">
      <c r="A2928" t="n">
        <v>510909</v>
      </c>
      <c r="B2928" s="6" t="n">
        <v>45979</v>
      </c>
      <c r="C2928" t="n">
        <v>17339</v>
      </c>
      <c r="D2928" t="inlineStr">
        <is>
          <t>Bengaluru</t>
        </is>
      </c>
      <c r="E2928" t="inlineStr">
        <is>
          <t>South</t>
        </is>
      </c>
      <c r="F2928" t="inlineStr">
        <is>
          <t>Paid Search</t>
        </is>
      </c>
      <c r="G2928" t="inlineStr">
        <is>
          <t>Mobile App</t>
        </is>
      </c>
      <c r="H2928" t="inlineStr">
        <is>
          <t>Debit Card</t>
        </is>
      </c>
      <c r="I2928" t="inlineStr">
        <is>
          <t>Delivered</t>
        </is>
      </c>
      <c r="J2928" t="n">
        <v>140</v>
      </c>
      <c r="K2928" t="n">
        <v>1</v>
      </c>
      <c r="L2928" t="n">
        <v>629</v>
      </c>
      <c r="M2928" t="n">
        <v>0</v>
      </c>
      <c r="N2928">
        <f>VLOOKUP(J2928,Products!$A$2:$C$49,3,FALSE)</f>
        <v/>
      </c>
      <c r="O2928">
        <f>K2928*L2928-M2928</f>
        <v/>
      </c>
      <c r="P2928">
        <f>TEXT(B2928,"yyyy-mm")</f>
        <v/>
      </c>
      <c r="Q2928">
        <f>IF(O2928&gt;=3000,"Large","Small")</f>
        <v/>
      </c>
      <c r="R2928">
        <f>INDEX(Products!$F$2:$F$49,MATCH(J2928,Products!$A$2:$A$49,0))</f>
        <v/>
      </c>
      <c r="S2928">
        <f>WEEKDAY(B2928,2)</f>
        <v/>
      </c>
    </row>
    <row r="2929">
      <c r="A2929" t="n">
        <v>510910</v>
      </c>
      <c r="B2929" s="6" t="n">
        <v>45979</v>
      </c>
      <c r="C2929" t="n">
        <v>15949</v>
      </c>
      <c r="D2929" t="inlineStr">
        <is>
          <t>Jaipur</t>
        </is>
      </c>
      <c r="E2929" t="inlineStr">
        <is>
          <t>North</t>
        </is>
      </c>
      <c r="F2929" t="inlineStr">
        <is>
          <t>Email</t>
        </is>
      </c>
      <c r="G2929" t="inlineStr">
        <is>
          <t>Mobile App</t>
        </is>
      </c>
      <c r="H2929" t="inlineStr">
        <is>
          <t>Credit Card</t>
        </is>
      </c>
      <c r="I2929" t="inlineStr">
        <is>
          <t>Delivered</t>
        </is>
      </c>
      <c r="J2929" t="n">
        <v>123</v>
      </c>
      <c r="K2929" t="n">
        <v>1</v>
      </c>
      <c r="L2929" t="n">
        <v>3464</v>
      </c>
      <c r="M2929" t="n">
        <v>0</v>
      </c>
      <c r="N2929">
        <f>VLOOKUP(J2929,Products!$A$2:$C$49,3,FALSE)</f>
        <v/>
      </c>
      <c r="O2929">
        <f>K2929*L2929-M2929</f>
        <v/>
      </c>
      <c r="P2929">
        <f>TEXT(B2929,"yyyy-mm")</f>
        <v/>
      </c>
      <c r="Q2929">
        <f>IF(O2929&gt;=3000,"Large","Small")</f>
        <v/>
      </c>
      <c r="R2929">
        <f>INDEX(Products!$F$2:$F$49,MATCH(J2929,Products!$A$2:$A$49,0))</f>
        <v/>
      </c>
      <c r="S2929">
        <f>WEEKDAY(B2929,2)</f>
        <v/>
      </c>
    </row>
    <row r="2930">
      <c r="A2930" t="n">
        <v>510911</v>
      </c>
      <c r="B2930" s="6" t="n">
        <v>45979</v>
      </c>
      <c r="C2930" t="n">
        <v>17396</v>
      </c>
      <c r="D2930" t="inlineStr">
        <is>
          <t>Chandigarh</t>
        </is>
      </c>
      <c r="E2930" t="inlineStr">
        <is>
          <t>North</t>
        </is>
      </c>
      <c r="F2930" t="inlineStr">
        <is>
          <t>Paid Search</t>
        </is>
      </c>
      <c r="G2930" t="inlineStr">
        <is>
          <t>Desktop</t>
        </is>
      </c>
      <c r="H2930" t="inlineStr">
        <is>
          <t>Debit Card</t>
        </is>
      </c>
      <c r="I2930" t="inlineStr">
        <is>
          <t>Delivered</t>
        </is>
      </c>
      <c r="J2930" t="n">
        <v>104</v>
      </c>
      <c r="K2930" t="n">
        <v>1</v>
      </c>
      <c r="L2930" t="n">
        <v>5249</v>
      </c>
      <c r="M2930" t="n">
        <v>787.35</v>
      </c>
      <c r="N2930">
        <f>VLOOKUP(J2930,Products!$A$2:$C$49,3,FALSE)</f>
        <v/>
      </c>
      <c r="O2930">
        <f>K2930*L2930-M2930</f>
        <v/>
      </c>
      <c r="P2930">
        <f>TEXT(B2930,"yyyy-mm")</f>
        <v/>
      </c>
      <c r="Q2930">
        <f>IF(O2930&gt;=3000,"Large","Small")</f>
        <v/>
      </c>
      <c r="R2930">
        <f>INDEX(Products!$F$2:$F$49,MATCH(J2930,Products!$A$2:$A$49,0))</f>
        <v/>
      </c>
      <c r="S2930">
        <f>WEEKDAY(B2930,2)</f>
        <v/>
      </c>
    </row>
    <row r="2931">
      <c r="A2931" t="n">
        <v>510912</v>
      </c>
      <c r="B2931" s="6" t="n">
        <v>45979</v>
      </c>
      <c r="C2931" t="n">
        <v>17367</v>
      </c>
      <c r="D2931" t="inlineStr">
        <is>
          <t>Kolkata</t>
        </is>
      </c>
      <c r="E2931" t="inlineStr">
        <is>
          <t>East</t>
        </is>
      </c>
      <c r="F2931" t="inlineStr">
        <is>
          <t>Paid Search</t>
        </is>
      </c>
      <c r="G2931" t="inlineStr">
        <is>
          <t>Mobile Web</t>
        </is>
      </c>
      <c r="H2931" t="inlineStr">
        <is>
          <t>UPI</t>
        </is>
      </c>
      <c r="I2931" t="inlineStr">
        <is>
          <t>Delivered</t>
        </is>
      </c>
      <c r="J2931" t="n">
        <v>117</v>
      </c>
      <c r="K2931" t="n">
        <v>1</v>
      </c>
      <c r="L2931" t="n">
        <v>3149</v>
      </c>
      <c r="M2931" t="n">
        <v>0</v>
      </c>
      <c r="N2931">
        <f>VLOOKUP(J2931,Products!$A$2:$C$49,3,FALSE)</f>
        <v/>
      </c>
      <c r="O2931">
        <f>K2931*L2931-M2931</f>
        <v/>
      </c>
      <c r="P2931">
        <f>TEXT(B2931,"yyyy-mm")</f>
        <v/>
      </c>
      <c r="Q2931">
        <f>IF(O2931&gt;=3000,"Large","Small")</f>
        <v/>
      </c>
      <c r="R2931">
        <f>INDEX(Products!$F$2:$F$49,MATCH(J2931,Products!$A$2:$A$49,0))</f>
        <v/>
      </c>
      <c r="S2931">
        <f>WEEKDAY(B2931,2)</f>
        <v/>
      </c>
    </row>
    <row r="2932">
      <c r="A2932" t="n">
        <v>510912</v>
      </c>
      <c r="B2932" s="6" t="n">
        <v>45979</v>
      </c>
      <c r="C2932" t="n">
        <v>17367</v>
      </c>
      <c r="D2932" t="inlineStr">
        <is>
          <t>Kolkata</t>
        </is>
      </c>
      <c r="E2932" t="inlineStr">
        <is>
          <t>East</t>
        </is>
      </c>
      <c r="F2932" t="inlineStr">
        <is>
          <t>Paid Search</t>
        </is>
      </c>
      <c r="G2932" t="inlineStr">
        <is>
          <t>Mobile Web</t>
        </is>
      </c>
      <c r="H2932" t="inlineStr">
        <is>
          <t>UPI</t>
        </is>
      </c>
      <c r="I2932" t="inlineStr">
        <is>
          <t>Delivered</t>
        </is>
      </c>
      <c r="J2932" t="n">
        <v>122</v>
      </c>
      <c r="K2932" t="n">
        <v>1</v>
      </c>
      <c r="L2932" t="n">
        <v>1994</v>
      </c>
      <c r="M2932" t="n">
        <v>0</v>
      </c>
      <c r="N2932">
        <f>VLOOKUP(J2932,Products!$A$2:$C$49,3,FALSE)</f>
        <v/>
      </c>
      <c r="O2932">
        <f>K2932*L2932-M2932</f>
        <v/>
      </c>
      <c r="P2932">
        <f>TEXT(B2932,"yyyy-mm")</f>
        <v/>
      </c>
      <c r="Q2932">
        <f>IF(O2932&gt;=3000,"Large","Small")</f>
        <v/>
      </c>
      <c r="R2932">
        <f>INDEX(Products!$F$2:$F$49,MATCH(J2932,Products!$A$2:$A$49,0))</f>
        <v/>
      </c>
      <c r="S2932">
        <f>WEEKDAY(B2932,2)</f>
        <v/>
      </c>
    </row>
    <row r="2933">
      <c r="A2933" t="n">
        <v>510913</v>
      </c>
      <c r="B2933" s="6" t="n">
        <v>45979</v>
      </c>
      <c r="C2933" t="n">
        <v>13154</v>
      </c>
      <c r="D2933" t="inlineStr">
        <is>
          <t>Mumbai</t>
        </is>
      </c>
      <c r="E2933" t="inlineStr">
        <is>
          <t>West</t>
        </is>
      </c>
      <c r="F2933" t="inlineStr">
        <is>
          <t>Paid Social</t>
        </is>
      </c>
      <c r="G2933" t="inlineStr">
        <is>
          <t>Mobile App</t>
        </is>
      </c>
      <c r="H2933" t="inlineStr">
        <is>
          <t>Cash on Delivery</t>
        </is>
      </c>
      <c r="I2933" t="inlineStr">
        <is>
          <t>Delivered</t>
        </is>
      </c>
      <c r="J2933" t="n">
        <v>118</v>
      </c>
      <c r="K2933" t="n">
        <v>1</v>
      </c>
      <c r="L2933" t="n">
        <v>944</v>
      </c>
      <c r="M2933" t="n">
        <v>47.2</v>
      </c>
      <c r="N2933">
        <f>VLOOKUP(J2933,Products!$A$2:$C$49,3,FALSE)</f>
        <v/>
      </c>
      <c r="O2933">
        <f>K2933*L2933-M2933</f>
        <v/>
      </c>
      <c r="P2933">
        <f>TEXT(B2933,"yyyy-mm")</f>
        <v/>
      </c>
      <c r="Q2933">
        <f>IF(O2933&gt;=3000,"Large","Small")</f>
        <v/>
      </c>
      <c r="R2933">
        <f>INDEX(Products!$F$2:$F$49,MATCH(J2933,Products!$A$2:$A$49,0))</f>
        <v/>
      </c>
      <c r="S2933">
        <f>WEEKDAY(B2933,2)</f>
        <v/>
      </c>
    </row>
    <row r="2934">
      <c r="A2934" t="n">
        <v>510913</v>
      </c>
      <c r="B2934" s="6" t="n">
        <v>45979</v>
      </c>
      <c r="C2934" t="n">
        <v>13154</v>
      </c>
      <c r="D2934" t="inlineStr">
        <is>
          <t>Mumbai</t>
        </is>
      </c>
      <c r="E2934" t="inlineStr">
        <is>
          <t>West</t>
        </is>
      </c>
      <c r="F2934" t="inlineStr">
        <is>
          <t>Paid Social</t>
        </is>
      </c>
      <c r="G2934" t="inlineStr">
        <is>
          <t>Mobile App</t>
        </is>
      </c>
      <c r="H2934" t="inlineStr">
        <is>
          <t>Cash on Delivery</t>
        </is>
      </c>
      <c r="I2934" t="inlineStr">
        <is>
          <t>Delivered</t>
        </is>
      </c>
      <c r="J2934" t="n">
        <v>111</v>
      </c>
      <c r="K2934" t="n">
        <v>1</v>
      </c>
      <c r="L2934" t="n">
        <v>524</v>
      </c>
      <c r="M2934" t="n">
        <v>26.2</v>
      </c>
      <c r="N2934">
        <f>VLOOKUP(J2934,Products!$A$2:$C$49,3,FALSE)</f>
        <v/>
      </c>
      <c r="O2934">
        <f>K2934*L2934-M2934</f>
        <v/>
      </c>
      <c r="P2934">
        <f>TEXT(B2934,"yyyy-mm")</f>
        <v/>
      </c>
      <c r="Q2934">
        <f>IF(O2934&gt;=3000,"Large","Small")</f>
        <v/>
      </c>
      <c r="R2934">
        <f>INDEX(Products!$F$2:$F$49,MATCH(J2934,Products!$A$2:$A$49,0))</f>
        <v/>
      </c>
      <c r="S2934">
        <f>WEEKDAY(B2934,2)</f>
        <v/>
      </c>
    </row>
    <row r="2935">
      <c r="A2935" t="n">
        <v>510914</v>
      </c>
      <c r="B2935" s="6" t="n">
        <v>45979</v>
      </c>
      <c r="C2935" t="n">
        <v>17358</v>
      </c>
      <c r="D2935" t="inlineStr">
        <is>
          <t>Kochi</t>
        </is>
      </c>
      <c r="E2935" t="inlineStr">
        <is>
          <t>South</t>
        </is>
      </c>
      <c r="F2935" t="inlineStr">
        <is>
          <t>Paid Social</t>
        </is>
      </c>
      <c r="G2935" t="inlineStr">
        <is>
          <t>Desktop</t>
        </is>
      </c>
      <c r="H2935" t="inlineStr">
        <is>
          <t>UPI</t>
        </is>
      </c>
      <c r="I2935" t="inlineStr">
        <is>
          <t>Delivered</t>
        </is>
      </c>
      <c r="J2935" t="n">
        <v>107</v>
      </c>
      <c r="K2935" t="n">
        <v>1</v>
      </c>
      <c r="L2935" t="n">
        <v>1259</v>
      </c>
      <c r="M2935" t="n">
        <v>188.85</v>
      </c>
      <c r="N2935">
        <f>VLOOKUP(J2935,Products!$A$2:$C$49,3,FALSE)</f>
        <v/>
      </c>
      <c r="O2935">
        <f>K2935*L2935-M2935</f>
        <v/>
      </c>
      <c r="P2935">
        <f>TEXT(B2935,"yyyy-mm")</f>
        <v/>
      </c>
      <c r="Q2935">
        <f>IF(O2935&gt;=3000,"Large","Small")</f>
        <v/>
      </c>
      <c r="R2935">
        <f>INDEX(Products!$F$2:$F$49,MATCH(J2935,Products!$A$2:$A$49,0))</f>
        <v/>
      </c>
      <c r="S2935">
        <f>WEEKDAY(B2935,2)</f>
        <v/>
      </c>
    </row>
    <row r="2936">
      <c r="A2936" t="n">
        <v>510915</v>
      </c>
      <c r="B2936" s="6" t="n">
        <v>45979</v>
      </c>
      <c r="C2936" t="n">
        <v>15959</v>
      </c>
      <c r="D2936" t="inlineStr">
        <is>
          <t>Chandigarh</t>
        </is>
      </c>
      <c r="E2936" t="inlineStr">
        <is>
          <t>North</t>
        </is>
      </c>
      <c r="F2936" t="inlineStr">
        <is>
          <t>Organic Search</t>
        </is>
      </c>
      <c r="G2936" t="inlineStr">
        <is>
          <t>Mobile App</t>
        </is>
      </c>
      <c r="H2936" t="inlineStr">
        <is>
          <t>Debit Card</t>
        </is>
      </c>
      <c r="I2936" t="inlineStr">
        <is>
          <t>Returned</t>
        </is>
      </c>
      <c r="J2936" t="n">
        <v>117</v>
      </c>
      <c r="K2936" t="n">
        <v>1</v>
      </c>
      <c r="L2936" t="n">
        <v>3149</v>
      </c>
      <c r="M2936" t="n">
        <v>157.45</v>
      </c>
      <c r="N2936">
        <f>VLOOKUP(J2936,Products!$A$2:$C$49,3,FALSE)</f>
        <v/>
      </c>
      <c r="O2936">
        <f>K2936*L2936-M2936</f>
        <v/>
      </c>
      <c r="P2936">
        <f>TEXT(B2936,"yyyy-mm")</f>
        <v/>
      </c>
      <c r="Q2936">
        <f>IF(O2936&gt;=3000,"Large","Small")</f>
        <v/>
      </c>
      <c r="R2936">
        <f>INDEX(Products!$F$2:$F$49,MATCH(J2936,Products!$A$2:$A$49,0))</f>
        <v/>
      </c>
      <c r="S2936">
        <f>WEEKDAY(B2936,2)</f>
        <v/>
      </c>
    </row>
    <row r="2937">
      <c r="A2937" t="n">
        <v>510916</v>
      </c>
      <c r="B2937" s="6" t="n">
        <v>45979</v>
      </c>
      <c r="C2937" t="n">
        <v>14505</v>
      </c>
      <c r="D2937" t="inlineStr">
        <is>
          <t>Gurugram</t>
        </is>
      </c>
      <c r="E2937" t="inlineStr">
        <is>
          <t>North</t>
        </is>
      </c>
      <c r="F2937" t="inlineStr">
        <is>
          <t>Paid Search</t>
        </is>
      </c>
      <c r="G2937" t="inlineStr">
        <is>
          <t>Mobile App</t>
        </is>
      </c>
      <c r="H2937" t="inlineStr">
        <is>
          <t>UPI</t>
        </is>
      </c>
      <c r="I2937" t="inlineStr">
        <is>
          <t>Returned</t>
        </is>
      </c>
      <c r="J2937" t="n">
        <v>114</v>
      </c>
      <c r="K2937" t="n">
        <v>2</v>
      </c>
      <c r="L2937" t="n">
        <v>1259</v>
      </c>
      <c r="M2937" t="n">
        <v>0</v>
      </c>
      <c r="N2937">
        <f>VLOOKUP(J2937,Products!$A$2:$C$49,3,FALSE)</f>
        <v/>
      </c>
      <c r="O2937">
        <f>K2937*L2937-M2937</f>
        <v/>
      </c>
      <c r="P2937">
        <f>TEXT(B2937,"yyyy-mm")</f>
        <v/>
      </c>
      <c r="Q2937">
        <f>IF(O2937&gt;=3000,"Large","Small")</f>
        <v/>
      </c>
      <c r="R2937">
        <f>INDEX(Products!$F$2:$F$49,MATCH(J2937,Products!$A$2:$A$49,0))</f>
        <v/>
      </c>
      <c r="S2937">
        <f>WEEKDAY(B2937,2)</f>
        <v/>
      </c>
    </row>
    <row r="2938">
      <c r="A2938" t="n">
        <v>510917</v>
      </c>
      <c r="B2938" s="6" t="n">
        <v>45979</v>
      </c>
      <c r="C2938" t="n">
        <v>16837</v>
      </c>
      <c r="D2938" t="inlineStr">
        <is>
          <t>Mumbai</t>
        </is>
      </c>
      <c r="E2938" t="inlineStr">
        <is>
          <t>West</t>
        </is>
      </c>
      <c r="F2938" t="inlineStr">
        <is>
          <t>Organic Search</t>
        </is>
      </c>
      <c r="G2938" t="inlineStr">
        <is>
          <t>Mobile App</t>
        </is>
      </c>
      <c r="H2938" t="inlineStr">
        <is>
          <t>Debit Card</t>
        </is>
      </c>
      <c r="I2938" t="inlineStr">
        <is>
          <t>Delivered</t>
        </is>
      </c>
      <c r="J2938" t="n">
        <v>141</v>
      </c>
      <c r="K2938" t="n">
        <v>1</v>
      </c>
      <c r="L2938" t="n">
        <v>261</v>
      </c>
      <c r="M2938" t="n">
        <v>0</v>
      </c>
      <c r="N2938">
        <f>VLOOKUP(J2938,Products!$A$2:$C$49,3,FALSE)</f>
        <v/>
      </c>
      <c r="O2938">
        <f>K2938*L2938-M2938</f>
        <v/>
      </c>
      <c r="P2938">
        <f>TEXT(B2938,"yyyy-mm")</f>
        <v/>
      </c>
      <c r="Q2938">
        <f>IF(O2938&gt;=3000,"Large","Small")</f>
        <v/>
      </c>
      <c r="R2938">
        <f>INDEX(Products!$F$2:$F$49,MATCH(J2938,Products!$A$2:$A$49,0))</f>
        <v/>
      </c>
      <c r="S2938">
        <f>WEEKDAY(B2938,2)</f>
        <v/>
      </c>
    </row>
    <row r="2939">
      <c r="A2939" t="n">
        <v>510918</v>
      </c>
      <c r="B2939" s="6" t="n">
        <v>45979</v>
      </c>
      <c r="C2939" t="n">
        <v>17386</v>
      </c>
      <c r="D2939" t="inlineStr">
        <is>
          <t>Lucknow</t>
        </is>
      </c>
      <c r="E2939" t="inlineStr">
        <is>
          <t>North</t>
        </is>
      </c>
      <c r="F2939" t="inlineStr">
        <is>
          <t>Referral</t>
        </is>
      </c>
      <c r="G2939" t="inlineStr">
        <is>
          <t>Desktop</t>
        </is>
      </c>
      <c r="H2939" t="inlineStr">
        <is>
          <t>Credit Card</t>
        </is>
      </c>
      <c r="I2939" t="inlineStr">
        <is>
          <t>Delivered</t>
        </is>
      </c>
      <c r="J2939" t="n">
        <v>143</v>
      </c>
      <c r="K2939" t="n">
        <v>2</v>
      </c>
      <c r="L2939" t="n">
        <v>839</v>
      </c>
      <c r="M2939" t="n">
        <v>0</v>
      </c>
      <c r="N2939">
        <f>VLOOKUP(J2939,Products!$A$2:$C$49,3,FALSE)</f>
        <v/>
      </c>
      <c r="O2939">
        <f>K2939*L2939-M2939</f>
        <v/>
      </c>
      <c r="P2939">
        <f>TEXT(B2939,"yyyy-mm")</f>
        <v/>
      </c>
      <c r="Q2939">
        <f>IF(O2939&gt;=3000,"Large","Small")</f>
        <v/>
      </c>
      <c r="R2939">
        <f>INDEX(Products!$F$2:$F$49,MATCH(J2939,Products!$A$2:$A$49,0))</f>
        <v/>
      </c>
      <c r="S2939">
        <f>WEEKDAY(B2939,2)</f>
        <v/>
      </c>
    </row>
    <row r="2940">
      <c r="A2940" t="n">
        <v>510919</v>
      </c>
      <c r="B2940" s="6" t="n">
        <v>45979</v>
      </c>
      <c r="C2940" t="n">
        <v>16616</v>
      </c>
      <c r="D2940" t="inlineStr">
        <is>
          <t>Lucknow</t>
        </is>
      </c>
      <c r="E2940" t="inlineStr">
        <is>
          <t>North</t>
        </is>
      </c>
      <c r="F2940" t="inlineStr">
        <is>
          <t>Paid Social</t>
        </is>
      </c>
      <c r="G2940" t="inlineStr">
        <is>
          <t>Mobile Web</t>
        </is>
      </c>
      <c r="H2940" t="inlineStr">
        <is>
          <t>UPI</t>
        </is>
      </c>
      <c r="I2940" t="inlineStr">
        <is>
          <t>Delivered</t>
        </is>
      </c>
      <c r="J2940" t="n">
        <v>125</v>
      </c>
      <c r="K2940" t="n">
        <v>1</v>
      </c>
      <c r="L2940" t="n">
        <v>1364</v>
      </c>
      <c r="M2940" t="n">
        <v>0</v>
      </c>
      <c r="N2940">
        <f>VLOOKUP(J2940,Products!$A$2:$C$49,3,FALSE)</f>
        <v/>
      </c>
      <c r="O2940">
        <f>K2940*L2940-M2940</f>
        <v/>
      </c>
      <c r="P2940">
        <f>TEXT(B2940,"yyyy-mm")</f>
        <v/>
      </c>
      <c r="Q2940">
        <f>IF(O2940&gt;=3000,"Large","Small")</f>
        <v/>
      </c>
      <c r="R2940">
        <f>INDEX(Products!$F$2:$F$49,MATCH(J2940,Products!$A$2:$A$49,0))</f>
        <v/>
      </c>
      <c r="S2940">
        <f>WEEKDAY(B2940,2)</f>
        <v/>
      </c>
    </row>
    <row r="2941">
      <c r="A2941" t="n">
        <v>510919</v>
      </c>
      <c r="B2941" s="6" t="n">
        <v>45979</v>
      </c>
      <c r="C2941" t="n">
        <v>16616</v>
      </c>
      <c r="D2941" t="inlineStr">
        <is>
          <t>Lucknow</t>
        </is>
      </c>
      <c r="E2941" t="inlineStr">
        <is>
          <t>North</t>
        </is>
      </c>
      <c r="F2941" t="inlineStr">
        <is>
          <t>Paid Social</t>
        </is>
      </c>
      <c r="G2941" t="inlineStr">
        <is>
          <t>Mobile Web</t>
        </is>
      </c>
      <c r="H2941" t="inlineStr">
        <is>
          <t>UPI</t>
        </is>
      </c>
      <c r="I2941" t="inlineStr">
        <is>
          <t>Delivered</t>
        </is>
      </c>
      <c r="J2941" t="n">
        <v>123</v>
      </c>
      <c r="K2941" t="n">
        <v>1</v>
      </c>
      <c r="L2941" t="n">
        <v>3464</v>
      </c>
      <c r="M2941" t="n">
        <v>0</v>
      </c>
      <c r="N2941">
        <f>VLOOKUP(J2941,Products!$A$2:$C$49,3,FALSE)</f>
        <v/>
      </c>
      <c r="O2941">
        <f>K2941*L2941-M2941</f>
        <v/>
      </c>
      <c r="P2941">
        <f>TEXT(B2941,"yyyy-mm")</f>
        <v/>
      </c>
      <c r="Q2941">
        <f>IF(O2941&gt;=3000,"Large","Small")</f>
        <v/>
      </c>
      <c r="R2941">
        <f>INDEX(Products!$F$2:$F$49,MATCH(J2941,Products!$A$2:$A$49,0))</f>
        <v/>
      </c>
      <c r="S2941">
        <f>WEEKDAY(B2941,2)</f>
        <v/>
      </c>
    </row>
    <row r="2942">
      <c r="A2942" t="n">
        <v>510919</v>
      </c>
      <c r="B2942" s="6" t="n">
        <v>45979</v>
      </c>
      <c r="C2942" t="n">
        <v>16616</v>
      </c>
      <c r="D2942" t="inlineStr">
        <is>
          <t>Lucknow</t>
        </is>
      </c>
      <c r="E2942" t="inlineStr">
        <is>
          <t>North</t>
        </is>
      </c>
      <c r="F2942" t="inlineStr">
        <is>
          <t>Paid Social</t>
        </is>
      </c>
      <c r="G2942" t="inlineStr">
        <is>
          <t>Mobile Web</t>
        </is>
      </c>
      <c r="H2942" t="inlineStr">
        <is>
          <t>UPI</t>
        </is>
      </c>
      <c r="I2942" t="inlineStr">
        <is>
          <t>Delivered</t>
        </is>
      </c>
      <c r="J2942" t="n">
        <v>122</v>
      </c>
      <c r="K2942" t="n">
        <v>1</v>
      </c>
      <c r="L2942" t="n">
        <v>1994</v>
      </c>
      <c r="M2942" t="n">
        <v>0</v>
      </c>
      <c r="N2942">
        <f>VLOOKUP(J2942,Products!$A$2:$C$49,3,FALSE)</f>
        <v/>
      </c>
      <c r="O2942">
        <f>K2942*L2942-M2942</f>
        <v/>
      </c>
      <c r="P2942">
        <f>TEXT(B2942,"yyyy-mm")</f>
        <v/>
      </c>
      <c r="Q2942">
        <f>IF(O2942&gt;=3000,"Large","Small")</f>
        <v/>
      </c>
      <c r="R2942">
        <f>INDEX(Products!$F$2:$F$49,MATCH(J2942,Products!$A$2:$A$49,0))</f>
        <v/>
      </c>
      <c r="S2942">
        <f>WEEKDAY(B2942,2)</f>
        <v/>
      </c>
    </row>
    <row r="2943">
      <c r="A2943" t="n">
        <v>510920</v>
      </c>
      <c r="B2943" s="6" t="n">
        <v>45979</v>
      </c>
      <c r="C2943" t="n">
        <v>17364</v>
      </c>
      <c r="D2943" t="inlineStr">
        <is>
          <t>Bengaluru</t>
        </is>
      </c>
      <c r="E2943" t="inlineStr">
        <is>
          <t>South</t>
        </is>
      </c>
      <c r="F2943" t="inlineStr">
        <is>
          <t>Paid Search</t>
        </is>
      </c>
      <c r="G2943" t="inlineStr">
        <is>
          <t>Mobile App</t>
        </is>
      </c>
      <c r="H2943" t="inlineStr">
        <is>
          <t>UPI</t>
        </is>
      </c>
      <c r="I2943" t="inlineStr">
        <is>
          <t>Delivered</t>
        </is>
      </c>
      <c r="J2943" t="n">
        <v>131</v>
      </c>
      <c r="K2943" t="n">
        <v>1</v>
      </c>
      <c r="L2943" t="n">
        <v>314</v>
      </c>
      <c r="M2943" t="n">
        <v>47.1</v>
      </c>
      <c r="N2943">
        <f>VLOOKUP(J2943,Products!$A$2:$C$49,3,FALSE)</f>
        <v/>
      </c>
      <c r="O2943">
        <f>K2943*L2943-M2943</f>
        <v/>
      </c>
      <c r="P2943">
        <f>TEXT(B2943,"yyyy-mm")</f>
        <v/>
      </c>
      <c r="Q2943">
        <f>IF(O2943&gt;=3000,"Large","Small")</f>
        <v/>
      </c>
      <c r="R2943">
        <f>INDEX(Products!$F$2:$F$49,MATCH(J2943,Products!$A$2:$A$49,0))</f>
        <v/>
      </c>
      <c r="S2943">
        <f>WEEKDAY(B2943,2)</f>
        <v/>
      </c>
    </row>
    <row r="2944">
      <c r="A2944" t="n">
        <v>510921</v>
      </c>
      <c r="B2944" s="6" t="n">
        <v>45979</v>
      </c>
      <c r="C2944" t="n">
        <v>17391</v>
      </c>
      <c r="D2944" t="inlineStr">
        <is>
          <t>Delhi</t>
        </is>
      </c>
      <c r="E2944" t="inlineStr">
        <is>
          <t>North</t>
        </is>
      </c>
      <c r="F2944" t="inlineStr">
        <is>
          <t>Organic Search</t>
        </is>
      </c>
      <c r="G2944" t="inlineStr">
        <is>
          <t>Mobile Web</t>
        </is>
      </c>
      <c r="H2944" t="inlineStr">
        <is>
          <t>Cash on Delivery</t>
        </is>
      </c>
      <c r="I2944" t="inlineStr">
        <is>
          <t>Delivered</t>
        </is>
      </c>
      <c r="J2944" t="n">
        <v>135</v>
      </c>
      <c r="K2944" t="n">
        <v>1</v>
      </c>
      <c r="L2944" t="n">
        <v>1574</v>
      </c>
      <c r="M2944" t="n">
        <v>236.1</v>
      </c>
      <c r="N2944">
        <f>VLOOKUP(J2944,Products!$A$2:$C$49,3,FALSE)</f>
        <v/>
      </c>
      <c r="O2944">
        <f>K2944*L2944-M2944</f>
        <v/>
      </c>
      <c r="P2944">
        <f>TEXT(B2944,"yyyy-mm")</f>
        <v/>
      </c>
      <c r="Q2944">
        <f>IF(O2944&gt;=3000,"Large","Small")</f>
        <v/>
      </c>
      <c r="R2944">
        <f>INDEX(Products!$F$2:$F$49,MATCH(J2944,Products!$A$2:$A$49,0))</f>
        <v/>
      </c>
      <c r="S2944">
        <f>WEEKDAY(B2944,2)</f>
        <v/>
      </c>
    </row>
    <row r="2945">
      <c r="A2945" t="n">
        <v>510922</v>
      </c>
      <c r="B2945" s="6" t="n">
        <v>45979</v>
      </c>
      <c r="C2945" t="n">
        <v>16646</v>
      </c>
      <c r="D2945" t="inlineStr">
        <is>
          <t>Chennai</t>
        </is>
      </c>
      <c r="E2945" t="inlineStr">
        <is>
          <t>South</t>
        </is>
      </c>
      <c r="F2945" t="inlineStr">
        <is>
          <t>Organic Search</t>
        </is>
      </c>
      <c r="G2945" t="inlineStr">
        <is>
          <t>Mobile Web</t>
        </is>
      </c>
      <c r="H2945" t="inlineStr">
        <is>
          <t>UPI</t>
        </is>
      </c>
      <c r="I2945" t="inlineStr">
        <is>
          <t>Delivered</t>
        </is>
      </c>
      <c r="J2945" t="n">
        <v>103</v>
      </c>
      <c r="K2945" t="n">
        <v>1</v>
      </c>
      <c r="L2945" t="n">
        <v>2624</v>
      </c>
      <c r="M2945" t="n">
        <v>0</v>
      </c>
      <c r="N2945">
        <f>VLOOKUP(J2945,Products!$A$2:$C$49,3,FALSE)</f>
        <v/>
      </c>
      <c r="O2945">
        <f>K2945*L2945-M2945</f>
        <v/>
      </c>
      <c r="P2945">
        <f>TEXT(B2945,"yyyy-mm")</f>
        <v/>
      </c>
      <c r="Q2945">
        <f>IF(O2945&gt;=3000,"Large","Small")</f>
        <v/>
      </c>
      <c r="R2945">
        <f>INDEX(Products!$F$2:$F$49,MATCH(J2945,Products!$A$2:$A$49,0))</f>
        <v/>
      </c>
      <c r="S2945">
        <f>WEEKDAY(B2945,2)</f>
        <v/>
      </c>
    </row>
    <row r="2946">
      <c r="A2946" t="n">
        <v>510923</v>
      </c>
      <c r="B2946" s="6" t="n">
        <v>45979</v>
      </c>
      <c r="C2946" t="n">
        <v>17210</v>
      </c>
      <c r="D2946" t="inlineStr">
        <is>
          <t>Delhi</t>
        </is>
      </c>
      <c r="E2946" t="inlineStr">
        <is>
          <t>North</t>
        </is>
      </c>
      <c r="F2946" t="inlineStr">
        <is>
          <t>Email</t>
        </is>
      </c>
      <c r="G2946" t="inlineStr">
        <is>
          <t>Desktop</t>
        </is>
      </c>
      <c r="H2946" t="inlineStr">
        <is>
          <t>Cash on Delivery</t>
        </is>
      </c>
      <c r="I2946" t="inlineStr">
        <is>
          <t>Cancelled</t>
        </is>
      </c>
      <c r="J2946" t="n">
        <v>133</v>
      </c>
      <c r="K2946" t="n">
        <v>1</v>
      </c>
      <c r="L2946" t="n">
        <v>419</v>
      </c>
      <c r="M2946" t="n">
        <v>62.85</v>
      </c>
      <c r="N2946">
        <f>VLOOKUP(J2946,Products!$A$2:$C$49,3,FALSE)</f>
        <v/>
      </c>
      <c r="O2946">
        <f>K2946*L2946-M2946</f>
        <v/>
      </c>
      <c r="P2946">
        <f>TEXT(B2946,"yyyy-mm")</f>
        <v/>
      </c>
      <c r="Q2946">
        <f>IF(O2946&gt;=3000,"Large","Small")</f>
        <v/>
      </c>
      <c r="R2946">
        <f>INDEX(Products!$F$2:$F$49,MATCH(J2946,Products!$A$2:$A$49,0))</f>
        <v/>
      </c>
      <c r="S2946">
        <f>WEEKDAY(B2946,2)</f>
        <v/>
      </c>
    </row>
    <row r="2947">
      <c r="A2947" t="n">
        <v>510924</v>
      </c>
      <c r="B2947" s="6" t="n">
        <v>45979</v>
      </c>
      <c r="C2947" t="n">
        <v>16990</v>
      </c>
      <c r="D2947" t="inlineStr">
        <is>
          <t>Chandigarh</t>
        </is>
      </c>
      <c r="E2947" t="inlineStr">
        <is>
          <t>North</t>
        </is>
      </c>
      <c r="F2947" t="inlineStr">
        <is>
          <t>Referral</t>
        </is>
      </c>
      <c r="G2947" t="inlineStr">
        <is>
          <t>Mobile App</t>
        </is>
      </c>
      <c r="H2947" t="inlineStr">
        <is>
          <t>Credit Card</t>
        </is>
      </c>
      <c r="I2947" t="inlineStr">
        <is>
          <t>Delivered</t>
        </is>
      </c>
      <c r="J2947" t="n">
        <v>103</v>
      </c>
      <c r="K2947" t="n">
        <v>1</v>
      </c>
      <c r="L2947" t="n">
        <v>2624</v>
      </c>
      <c r="M2947" t="n">
        <v>0</v>
      </c>
      <c r="N2947">
        <f>VLOOKUP(J2947,Products!$A$2:$C$49,3,FALSE)</f>
        <v/>
      </c>
      <c r="O2947">
        <f>K2947*L2947-M2947</f>
        <v/>
      </c>
      <c r="P2947">
        <f>TEXT(B2947,"yyyy-mm")</f>
        <v/>
      </c>
      <c r="Q2947">
        <f>IF(O2947&gt;=3000,"Large","Small")</f>
        <v/>
      </c>
      <c r="R2947">
        <f>INDEX(Products!$F$2:$F$49,MATCH(J2947,Products!$A$2:$A$49,0))</f>
        <v/>
      </c>
      <c r="S2947">
        <f>WEEKDAY(B2947,2)</f>
        <v/>
      </c>
    </row>
    <row r="2948">
      <c r="A2948" t="n">
        <v>510925</v>
      </c>
      <c r="B2948" s="6" t="n">
        <v>45979</v>
      </c>
      <c r="C2948" t="n">
        <v>12663</v>
      </c>
      <c r="D2948" t="inlineStr">
        <is>
          <t>Delhi</t>
        </is>
      </c>
      <c r="E2948" t="inlineStr">
        <is>
          <t>North</t>
        </is>
      </c>
      <c r="F2948" t="inlineStr">
        <is>
          <t>Organic Search</t>
        </is>
      </c>
      <c r="G2948" t="inlineStr">
        <is>
          <t>Mobile App</t>
        </is>
      </c>
      <c r="H2948" t="inlineStr">
        <is>
          <t>UPI</t>
        </is>
      </c>
      <c r="I2948" t="inlineStr">
        <is>
          <t>Delivered</t>
        </is>
      </c>
      <c r="J2948" t="n">
        <v>137</v>
      </c>
      <c r="K2948" t="n">
        <v>1</v>
      </c>
      <c r="L2948" t="n">
        <v>261</v>
      </c>
      <c r="M2948" t="n">
        <v>0</v>
      </c>
      <c r="N2948">
        <f>VLOOKUP(J2948,Products!$A$2:$C$49,3,FALSE)</f>
        <v/>
      </c>
      <c r="O2948">
        <f>K2948*L2948-M2948</f>
        <v/>
      </c>
      <c r="P2948">
        <f>TEXT(B2948,"yyyy-mm")</f>
        <v/>
      </c>
      <c r="Q2948">
        <f>IF(O2948&gt;=3000,"Large","Small")</f>
        <v/>
      </c>
      <c r="R2948">
        <f>INDEX(Products!$F$2:$F$49,MATCH(J2948,Products!$A$2:$A$49,0))</f>
        <v/>
      </c>
      <c r="S2948">
        <f>WEEKDAY(B2948,2)</f>
        <v/>
      </c>
    </row>
    <row r="2949">
      <c r="A2949" t="n">
        <v>510926</v>
      </c>
      <c r="B2949" s="6" t="n">
        <v>45980</v>
      </c>
      <c r="C2949" t="n">
        <v>17279</v>
      </c>
      <c r="D2949" t="inlineStr">
        <is>
          <t>Pune</t>
        </is>
      </c>
      <c r="E2949" t="inlineStr">
        <is>
          <t>West</t>
        </is>
      </c>
      <c r="F2949" t="inlineStr">
        <is>
          <t>Organic Search</t>
        </is>
      </c>
      <c r="G2949" t="inlineStr">
        <is>
          <t>Mobile App</t>
        </is>
      </c>
      <c r="H2949" t="inlineStr">
        <is>
          <t>Net Banking</t>
        </is>
      </c>
      <c r="I2949" t="inlineStr">
        <is>
          <t>Delivered</t>
        </is>
      </c>
      <c r="J2949" t="n">
        <v>130</v>
      </c>
      <c r="K2949" t="n">
        <v>1</v>
      </c>
      <c r="L2949" t="n">
        <v>734</v>
      </c>
      <c r="M2949" t="n">
        <v>110.1</v>
      </c>
      <c r="N2949">
        <f>VLOOKUP(J2949,Products!$A$2:$C$49,3,FALSE)</f>
        <v/>
      </c>
      <c r="O2949">
        <f>K2949*L2949-M2949</f>
        <v/>
      </c>
      <c r="P2949">
        <f>TEXT(B2949,"yyyy-mm")</f>
        <v/>
      </c>
      <c r="Q2949">
        <f>IF(O2949&gt;=3000,"Large","Small")</f>
        <v/>
      </c>
      <c r="R2949">
        <f>INDEX(Products!$F$2:$F$49,MATCH(J2949,Products!$A$2:$A$49,0))</f>
        <v/>
      </c>
      <c r="S2949">
        <f>WEEKDAY(B2949,2)</f>
        <v/>
      </c>
    </row>
    <row r="2950">
      <c r="A2950" t="n">
        <v>510927</v>
      </c>
      <c r="B2950" s="6" t="n">
        <v>45980</v>
      </c>
      <c r="C2950" t="n">
        <v>17031</v>
      </c>
      <c r="D2950" t="inlineStr">
        <is>
          <t>Ahmedabad</t>
        </is>
      </c>
      <c r="E2950" t="inlineStr">
        <is>
          <t>West</t>
        </is>
      </c>
      <c r="F2950" t="inlineStr">
        <is>
          <t>Paid Search</t>
        </is>
      </c>
      <c r="G2950" t="inlineStr">
        <is>
          <t>Mobile Web</t>
        </is>
      </c>
      <c r="H2950" t="inlineStr">
        <is>
          <t>UPI</t>
        </is>
      </c>
      <c r="I2950" t="inlineStr">
        <is>
          <t>Delivered</t>
        </is>
      </c>
      <c r="J2950" t="n">
        <v>116</v>
      </c>
      <c r="K2950" t="n">
        <v>1</v>
      </c>
      <c r="L2950" t="n">
        <v>2624</v>
      </c>
      <c r="M2950" t="n">
        <v>0</v>
      </c>
      <c r="N2950">
        <f>VLOOKUP(J2950,Products!$A$2:$C$49,3,FALSE)</f>
        <v/>
      </c>
      <c r="O2950">
        <f>K2950*L2950-M2950</f>
        <v/>
      </c>
      <c r="P2950">
        <f>TEXT(B2950,"yyyy-mm")</f>
        <v/>
      </c>
      <c r="Q2950">
        <f>IF(O2950&gt;=3000,"Large","Small")</f>
        <v/>
      </c>
      <c r="R2950">
        <f>INDEX(Products!$F$2:$F$49,MATCH(J2950,Products!$A$2:$A$49,0))</f>
        <v/>
      </c>
      <c r="S2950">
        <f>WEEKDAY(B2950,2)</f>
        <v/>
      </c>
    </row>
    <row r="2951">
      <c r="A2951" t="n">
        <v>510927</v>
      </c>
      <c r="B2951" s="6" t="n">
        <v>45980</v>
      </c>
      <c r="C2951" t="n">
        <v>17031</v>
      </c>
      <c r="D2951" t="inlineStr">
        <is>
          <t>Ahmedabad</t>
        </is>
      </c>
      <c r="E2951" t="inlineStr">
        <is>
          <t>West</t>
        </is>
      </c>
      <c r="F2951" t="inlineStr">
        <is>
          <t>Paid Search</t>
        </is>
      </c>
      <c r="G2951" t="inlineStr">
        <is>
          <t>Mobile Web</t>
        </is>
      </c>
      <c r="H2951" t="inlineStr">
        <is>
          <t>UPI</t>
        </is>
      </c>
      <c r="I2951" t="inlineStr">
        <is>
          <t>Delivered</t>
        </is>
      </c>
      <c r="J2951" t="n">
        <v>113</v>
      </c>
      <c r="K2951" t="n">
        <v>1</v>
      </c>
      <c r="L2951" t="n">
        <v>1364</v>
      </c>
      <c r="M2951" t="n">
        <v>0</v>
      </c>
      <c r="N2951">
        <f>VLOOKUP(J2951,Products!$A$2:$C$49,3,FALSE)</f>
        <v/>
      </c>
      <c r="O2951">
        <f>K2951*L2951-M2951</f>
        <v/>
      </c>
      <c r="P2951">
        <f>TEXT(B2951,"yyyy-mm")</f>
        <v/>
      </c>
      <c r="Q2951">
        <f>IF(O2951&gt;=3000,"Large","Small")</f>
        <v/>
      </c>
      <c r="R2951">
        <f>INDEX(Products!$F$2:$F$49,MATCH(J2951,Products!$A$2:$A$49,0))</f>
        <v/>
      </c>
      <c r="S2951">
        <f>WEEKDAY(B2951,2)</f>
        <v/>
      </c>
    </row>
    <row r="2952">
      <c r="A2952" t="n">
        <v>510928</v>
      </c>
      <c r="B2952" s="6" t="n">
        <v>45980</v>
      </c>
      <c r="C2952" t="n">
        <v>15567</v>
      </c>
      <c r="D2952" t="inlineStr">
        <is>
          <t>Gurugram</t>
        </is>
      </c>
      <c r="E2952" t="inlineStr">
        <is>
          <t>North</t>
        </is>
      </c>
      <c r="F2952" t="inlineStr">
        <is>
          <t>Email</t>
        </is>
      </c>
      <c r="G2952" t="inlineStr">
        <is>
          <t>Mobile App</t>
        </is>
      </c>
      <c r="H2952" t="inlineStr">
        <is>
          <t>UPI</t>
        </is>
      </c>
      <c r="I2952" t="inlineStr">
        <is>
          <t>Delivered</t>
        </is>
      </c>
      <c r="J2952" t="n">
        <v>119</v>
      </c>
      <c r="K2952" t="n">
        <v>1</v>
      </c>
      <c r="L2952" t="n">
        <v>2309</v>
      </c>
      <c r="M2952" t="n">
        <v>0</v>
      </c>
      <c r="N2952">
        <f>VLOOKUP(J2952,Products!$A$2:$C$49,3,FALSE)</f>
        <v/>
      </c>
      <c r="O2952">
        <f>K2952*L2952-M2952</f>
        <v/>
      </c>
      <c r="P2952">
        <f>TEXT(B2952,"yyyy-mm")</f>
        <v/>
      </c>
      <c r="Q2952">
        <f>IF(O2952&gt;=3000,"Large","Small")</f>
        <v/>
      </c>
      <c r="R2952">
        <f>INDEX(Products!$F$2:$F$49,MATCH(J2952,Products!$A$2:$A$49,0))</f>
        <v/>
      </c>
      <c r="S2952">
        <f>WEEKDAY(B2952,2)</f>
        <v/>
      </c>
    </row>
    <row r="2953">
      <c r="A2953" t="n">
        <v>510929</v>
      </c>
      <c r="B2953" s="6" t="n">
        <v>45980</v>
      </c>
      <c r="C2953" t="n">
        <v>16746</v>
      </c>
      <c r="D2953" t="inlineStr">
        <is>
          <t>Bengaluru</t>
        </is>
      </c>
      <c r="E2953" t="inlineStr">
        <is>
          <t>South</t>
        </is>
      </c>
      <c r="F2953" t="inlineStr">
        <is>
          <t>Organic Search</t>
        </is>
      </c>
      <c r="G2953" t="inlineStr">
        <is>
          <t>Mobile Web</t>
        </is>
      </c>
      <c r="H2953" t="inlineStr">
        <is>
          <t>Credit Card</t>
        </is>
      </c>
      <c r="I2953" t="inlineStr">
        <is>
          <t>Returned</t>
        </is>
      </c>
      <c r="J2953" t="n">
        <v>118</v>
      </c>
      <c r="K2953" t="n">
        <v>1</v>
      </c>
      <c r="L2953" t="n">
        <v>944</v>
      </c>
      <c r="M2953" t="n">
        <v>0</v>
      </c>
      <c r="N2953">
        <f>VLOOKUP(J2953,Products!$A$2:$C$49,3,FALSE)</f>
        <v/>
      </c>
      <c r="O2953">
        <f>K2953*L2953-M2953</f>
        <v/>
      </c>
      <c r="P2953">
        <f>TEXT(B2953,"yyyy-mm")</f>
        <v/>
      </c>
      <c r="Q2953">
        <f>IF(O2953&gt;=3000,"Large","Small")</f>
        <v/>
      </c>
      <c r="R2953">
        <f>INDEX(Products!$F$2:$F$49,MATCH(J2953,Products!$A$2:$A$49,0))</f>
        <v/>
      </c>
      <c r="S2953">
        <f>WEEKDAY(B2953,2)</f>
        <v/>
      </c>
    </row>
    <row r="2954">
      <c r="A2954" t="n">
        <v>510929</v>
      </c>
      <c r="B2954" s="6" t="n">
        <v>45980</v>
      </c>
      <c r="C2954" t="n">
        <v>16746</v>
      </c>
      <c r="D2954" t="inlineStr">
        <is>
          <t>Bengaluru</t>
        </is>
      </c>
      <c r="E2954" t="inlineStr">
        <is>
          <t>South</t>
        </is>
      </c>
      <c r="F2954" t="inlineStr">
        <is>
          <t>Organic Search</t>
        </is>
      </c>
      <c r="G2954" t="inlineStr">
        <is>
          <t>Mobile Web</t>
        </is>
      </c>
      <c r="H2954" t="inlineStr">
        <is>
          <t>Credit Card</t>
        </is>
      </c>
      <c r="I2954" t="inlineStr">
        <is>
          <t>Returned</t>
        </is>
      </c>
      <c r="J2954" t="n">
        <v>146</v>
      </c>
      <c r="K2954" t="n">
        <v>1</v>
      </c>
      <c r="L2954" t="n">
        <v>4724</v>
      </c>
      <c r="M2954" t="n">
        <v>0</v>
      </c>
      <c r="N2954">
        <f>VLOOKUP(J2954,Products!$A$2:$C$49,3,FALSE)</f>
        <v/>
      </c>
      <c r="O2954">
        <f>K2954*L2954-M2954</f>
        <v/>
      </c>
      <c r="P2954">
        <f>TEXT(B2954,"yyyy-mm")</f>
        <v/>
      </c>
      <c r="Q2954">
        <f>IF(O2954&gt;=3000,"Large","Small")</f>
        <v/>
      </c>
      <c r="R2954">
        <f>INDEX(Products!$F$2:$F$49,MATCH(J2954,Products!$A$2:$A$49,0))</f>
        <v/>
      </c>
      <c r="S2954">
        <f>WEEKDAY(B2954,2)</f>
        <v/>
      </c>
    </row>
    <row r="2955">
      <c r="A2955" t="n">
        <v>510930</v>
      </c>
      <c r="B2955" s="6" t="n">
        <v>45980</v>
      </c>
      <c r="C2955" t="n">
        <v>17381</v>
      </c>
      <c r="D2955" t="inlineStr">
        <is>
          <t>Mumbai</t>
        </is>
      </c>
      <c r="E2955" t="inlineStr">
        <is>
          <t>West</t>
        </is>
      </c>
      <c r="F2955" t="inlineStr">
        <is>
          <t>Paid Search</t>
        </is>
      </c>
      <c r="G2955" t="inlineStr">
        <is>
          <t>Mobile Web</t>
        </is>
      </c>
      <c r="H2955" t="inlineStr">
        <is>
          <t>Cash on Delivery</t>
        </is>
      </c>
      <c r="I2955" t="inlineStr">
        <is>
          <t>Cancelled</t>
        </is>
      </c>
      <c r="J2955" t="n">
        <v>113</v>
      </c>
      <c r="K2955" t="n">
        <v>3</v>
      </c>
      <c r="L2955" t="n">
        <v>1364</v>
      </c>
      <c r="M2955" t="n">
        <v>613.8</v>
      </c>
      <c r="N2955">
        <f>VLOOKUP(J2955,Products!$A$2:$C$49,3,FALSE)</f>
        <v/>
      </c>
      <c r="O2955">
        <f>K2955*L2955-M2955</f>
        <v/>
      </c>
      <c r="P2955">
        <f>TEXT(B2955,"yyyy-mm")</f>
        <v/>
      </c>
      <c r="Q2955">
        <f>IF(O2955&gt;=3000,"Large","Small")</f>
        <v/>
      </c>
      <c r="R2955">
        <f>INDEX(Products!$F$2:$F$49,MATCH(J2955,Products!$A$2:$A$49,0))</f>
        <v/>
      </c>
      <c r="S2955">
        <f>WEEKDAY(B2955,2)</f>
        <v/>
      </c>
    </row>
    <row r="2956">
      <c r="A2956" t="n">
        <v>510930</v>
      </c>
      <c r="B2956" s="6" t="n">
        <v>45980</v>
      </c>
      <c r="C2956" t="n">
        <v>17381</v>
      </c>
      <c r="D2956" t="inlineStr">
        <is>
          <t>Mumbai</t>
        </is>
      </c>
      <c r="E2956" t="inlineStr">
        <is>
          <t>West</t>
        </is>
      </c>
      <c r="F2956" t="inlineStr">
        <is>
          <t>Paid Search</t>
        </is>
      </c>
      <c r="G2956" t="inlineStr">
        <is>
          <t>Mobile Web</t>
        </is>
      </c>
      <c r="H2956" t="inlineStr">
        <is>
          <t>Cash on Delivery</t>
        </is>
      </c>
      <c r="I2956" t="inlineStr">
        <is>
          <t>Cancelled</t>
        </is>
      </c>
      <c r="J2956" t="n">
        <v>112</v>
      </c>
      <c r="K2956" t="n">
        <v>1</v>
      </c>
      <c r="L2956" t="n">
        <v>1574</v>
      </c>
      <c r="M2956" t="n">
        <v>236.1</v>
      </c>
      <c r="N2956">
        <f>VLOOKUP(J2956,Products!$A$2:$C$49,3,FALSE)</f>
        <v/>
      </c>
      <c r="O2956">
        <f>K2956*L2956-M2956</f>
        <v/>
      </c>
      <c r="P2956">
        <f>TEXT(B2956,"yyyy-mm")</f>
        <v/>
      </c>
      <c r="Q2956">
        <f>IF(O2956&gt;=3000,"Large","Small")</f>
        <v/>
      </c>
      <c r="R2956">
        <f>INDEX(Products!$F$2:$F$49,MATCH(J2956,Products!$A$2:$A$49,0))</f>
        <v/>
      </c>
      <c r="S2956">
        <f>WEEKDAY(B2956,2)</f>
        <v/>
      </c>
    </row>
    <row r="2957">
      <c r="A2957" t="n">
        <v>510931</v>
      </c>
      <c r="B2957" s="6" t="n">
        <v>45980</v>
      </c>
      <c r="C2957" t="n">
        <v>17340</v>
      </c>
      <c r="D2957" t="inlineStr">
        <is>
          <t>Delhi</t>
        </is>
      </c>
      <c r="E2957" t="inlineStr">
        <is>
          <t>North</t>
        </is>
      </c>
      <c r="F2957" t="inlineStr">
        <is>
          <t>Paid Social</t>
        </is>
      </c>
      <c r="G2957" t="inlineStr">
        <is>
          <t>Desktop</t>
        </is>
      </c>
      <c r="H2957" t="inlineStr">
        <is>
          <t>Credit Card</t>
        </is>
      </c>
      <c r="I2957" t="inlineStr">
        <is>
          <t>Returned</t>
        </is>
      </c>
      <c r="J2957" t="n">
        <v>126</v>
      </c>
      <c r="K2957" t="n">
        <v>1</v>
      </c>
      <c r="L2957" t="n">
        <v>471</v>
      </c>
      <c r="M2957" t="n">
        <v>70.65000000000001</v>
      </c>
      <c r="N2957">
        <f>VLOOKUP(J2957,Products!$A$2:$C$49,3,FALSE)</f>
        <v/>
      </c>
      <c r="O2957">
        <f>K2957*L2957-M2957</f>
        <v/>
      </c>
      <c r="P2957">
        <f>TEXT(B2957,"yyyy-mm")</f>
        <v/>
      </c>
      <c r="Q2957">
        <f>IF(O2957&gt;=3000,"Large","Small")</f>
        <v/>
      </c>
      <c r="R2957">
        <f>INDEX(Products!$F$2:$F$49,MATCH(J2957,Products!$A$2:$A$49,0))</f>
        <v/>
      </c>
      <c r="S2957">
        <f>WEEKDAY(B2957,2)</f>
        <v/>
      </c>
    </row>
    <row r="2958">
      <c r="A2958" t="n">
        <v>510931</v>
      </c>
      <c r="B2958" s="6" t="n">
        <v>45980</v>
      </c>
      <c r="C2958" t="n">
        <v>17340</v>
      </c>
      <c r="D2958" t="inlineStr">
        <is>
          <t>Delhi</t>
        </is>
      </c>
      <c r="E2958" t="inlineStr">
        <is>
          <t>North</t>
        </is>
      </c>
      <c r="F2958" t="inlineStr">
        <is>
          <t>Paid Social</t>
        </is>
      </c>
      <c r="G2958" t="inlineStr">
        <is>
          <t>Desktop</t>
        </is>
      </c>
      <c r="H2958" t="inlineStr">
        <is>
          <t>Credit Card</t>
        </is>
      </c>
      <c r="I2958" t="inlineStr">
        <is>
          <t>Returned</t>
        </is>
      </c>
      <c r="J2958" t="n">
        <v>112</v>
      </c>
      <c r="K2958" t="n">
        <v>1</v>
      </c>
      <c r="L2958" t="n">
        <v>1574</v>
      </c>
      <c r="M2958" t="n">
        <v>236.1</v>
      </c>
      <c r="N2958">
        <f>VLOOKUP(J2958,Products!$A$2:$C$49,3,FALSE)</f>
        <v/>
      </c>
      <c r="O2958">
        <f>K2958*L2958-M2958</f>
        <v/>
      </c>
      <c r="P2958">
        <f>TEXT(B2958,"yyyy-mm")</f>
        <v/>
      </c>
      <c r="Q2958">
        <f>IF(O2958&gt;=3000,"Large","Small")</f>
        <v/>
      </c>
      <c r="R2958">
        <f>INDEX(Products!$F$2:$F$49,MATCH(J2958,Products!$A$2:$A$49,0))</f>
        <v/>
      </c>
      <c r="S2958">
        <f>WEEKDAY(B2958,2)</f>
        <v/>
      </c>
    </row>
    <row r="2959">
      <c r="A2959" t="n">
        <v>510932</v>
      </c>
      <c r="B2959" s="6" t="n">
        <v>45980</v>
      </c>
      <c r="C2959" t="n">
        <v>17370</v>
      </c>
      <c r="D2959" t="inlineStr">
        <is>
          <t>Gurugram</t>
        </is>
      </c>
      <c r="E2959" t="inlineStr">
        <is>
          <t>North</t>
        </is>
      </c>
      <c r="F2959" t="inlineStr">
        <is>
          <t>Paid Search</t>
        </is>
      </c>
      <c r="G2959" t="inlineStr">
        <is>
          <t>Mobile App</t>
        </is>
      </c>
      <c r="H2959" t="inlineStr">
        <is>
          <t>UPI</t>
        </is>
      </c>
      <c r="I2959" t="inlineStr">
        <is>
          <t>Delivered</t>
        </is>
      </c>
      <c r="J2959" t="n">
        <v>107</v>
      </c>
      <c r="K2959" t="n">
        <v>1</v>
      </c>
      <c r="L2959" t="n">
        <v>1259</v>
      </c>
      <c r="M2959" t="n">
        <v>62.95</v>
      </c>
      <c r="N2959">
        <f>VLOOKUP(J2959,Products!$A$2:$C$49,3,FALSE)</f>
        <v/>
      </c>
      <c r="O2959">
        <f>K2959*L2959-M2959</f>
        <v/>
      </c>
      <c r="P2959">
        <f>TEXT(B2959,"yyyy-mm")</f>
        <v/>
      </c>
      <c r="Q2959">
        <f>IF(O2959&gt;=3000,"Large","Small")</f>
        <v/>
      </c>
      <c r="R2959">
        <f>INDEX(Products!$F$2:$F$49,MATCH(J2959,Products!$A$2:$A$49,0))</f>
        <v/>
      </c>
      <c r="S2959">
        <f>WEEKDAY(B2959,2)</f>
        <v/>
      </c>
    </row>
    <row r="2960">
      <c r="A2960" t="n">
        <v>510933</v>
      </c>
      <c r="B2960" s="6" t="n">
        <v>45980</v>
      </c>
      <c r="C2960" t="n">
        <v>17389</v>
      </c>
      <c r="D2960" t="inlineStr">
        <is>
          <t>Indore</t>
        </is>
      </c>
      <c r="E2960" t="inlineStr">
        <is>
          <t>West</t>
        </is>
      </c>
      <c r="F2960" t="inlineStr">
        <is>
          <t>Referral</t>
        </is>
      </c>
      <c r="G2960" t="inlineStr">
        <is>
          <t>Mobile Web</t>
        </is>
      </c>
      <c r="H2960" t="inlineStr">
        <is>
          <t>Credit Card</t>
        </is>
      </c>
      <c r="I2960" t="inlineStr">
        <is>
          <t>Delivered</t>
        </is>
      </c>
      <c r="J2960" t="n">
        <v>137</v>
      </c>
      <c r="K2960" t="n">
        <v>1</v>
      </c>
      <c r="L2960" t="n">
        <v>261</v>
      </c>
      <c r="M2960" t="n">
        <v>39.15</v>
      </c>
      <c r="N2960">
        <f>VLOOKUP(J2960,Products!$A$2:$C$49,3,FALSE)</f>
        <v/>
      </c>
      <c r="O2960">
        <f>K2960*L2960-M2960</f>
        <v/>
      </c>
      <c r="P2960">
        <f>TEXT(B2960,"yyyy-mm")</f>
        <v/>
      </c>
      <c r="Q2960">
        <f>IF(O2960&gt;=3000,"Large","Small")</f>
        <v/>
      </c>
      <c r="R2960">
        <f>INDEX(Products!$F$2:$F$49,MATCH(J2960,Products!$A$2:$A$49,0))</f>
        <v/>
      </c>
      <c r="S2960">
        <f>WEEKDAY(B2960,2)</f>
        <v/>
      </c>
    </row>
    <row r="2961">
      <c r="A2961" t="n">
        <v>510934</v>
      </c>
      <c r="B2961" s="6" t="n">
        <v>45980</v>
      </c>
      <c r="C2961" t="n">
        <v>17245</v>
      </c>
      <c r="D2961" t="inlineStr">
        <is>
          <t>Bengaluru</t>
        </is>
      </c>
      <c r="E2961" t="inlineStr">
        <is>
          <t>South</t>
        </is>
      </c>
      <c r="F2961" t="inlineStr">
        <is>
          <t>Paid Search</t>
        </is>
      </c>
      <c r="G2961" t="inlineStr">
        <is>
          <t>Mobile App</t>
        </is>
      </c>
      <c r="H2961" t="inlineStr">
        <is>
          <t>Cash on Delivery</t>
        </is>
      </c>
      <c r="I2961" t="inlineStr">
        <is>
          <t>Delivered</t>
        </is>
      </c>
      <c r="J2961" t="n">
        <v>130</v>
      </c>
      <c r="K2961" t="n">
        <v>1</v>
      </c>
      <c r="L2961" t="n">
        <v>734</v>
      </c>
      <c r="M2961" t="n">
        <v>0</v>
      </c>
      <c r="N2961">
        <f>VLOOKUP(J2961,Products!$A$2:$C$49,3,FALSE)</f>
        <v/>
      </c>
      <c r="O2961">
        <f>K2961*L2961-M2961</f>
        <v/>
      </c>
      <c r="P2961">
        <f>TEXT(B2961,"yyyy-mm")</f>
        <v/>
      </c>
      <c r="Q2961">
        <f>IF(O2961&gt;=3000,"Large","Small")</f>
        <v/>
      </c>
      <c r="R2961">
        <f>INDEX(Products!$F$2:$F$49,MATCH(J2961,Products!$A$2:$A$49,0))</f>
        <v/>
      </c>
      <c r="S2961">
        <f>WEEKDAY(B2961,2)</f>
        <v/>
      </c>
    </row>
    <row r="2962">
      <c r="A2962" t="n">
        <v>510935</v>
      </c>
      <c r="B2962" s="6" t="n">
        <v>45980</v>
      </c>
      <c r="C2962" t="n">
        <v>10286</v>
      </c>
      <c r="D2962" t="inlineStr">
        <is>
          <t>Delhi</t>
        </is>
      </c>
      <c r="E2962" t="inlineStr">
        <is>
          <t>North</t>
        </is>
      </c>
      <c r="F2962" t="inlineStr">
        <is>
          <t>Paid Search</t>
        </is>
      </c>
      <c r="G2962" t="inlineStr">
        <is>
          <t>Mobile Web</t>
        </is>
      </c>
      <c r="H2962" t="inlineStr">
        <is>
          <t>UPI</t>
        </is>
      </c>
      <c r="I2962" t="inlineStr">
        <is>
          <t>Delivered</t>
        </is>
      </c>
      <c r="J2962" t="n">
        <v>120</v>
      </c>
      <c r="K2962" t="n">
        <v>1</v>
      </c>
      <c r="L2962" t="n">
        <v>734</v>
      </c>
      <c r="M2962" t="n">
        <v>0</v>
      </c>
      <c r="N2962">
        <f>VLOOKUP(J2962,Products!$A$2:$C$49,3,FALSE)</f>
        <v/>
      </c>
      <c r="O2962">
        <f>K2962*L2962-M2962</f>
        <v/>
      </c>
      <c r="P2962">
        <f>TEXT(B2962,"yyyy-mm")</f>
        <v/>
      </c>
      <c r="Q2962">
        <f>IF(O2962&gt;=3000,"Large","Small")</f>
        <v/>
      </c>
      <c r="R2962">
        <f>INDEX(Products!$F$2:$F$49,MATCH(J2962,Products!$A$2:$A$49,0))</f>
        <v/>
      </c>
      <c r="S2962">
        <f>WEEKDAY(B2962,2)</f>
        <v/>
      </c>
    </row>
    <row r="2963">
      <c r="A2963" t="n">
        <v>510936</v>
      </c>
      <c r="B2963" s="6" t="n">
        <v>45980</v>
      </c>
      <c r="C2963" t="n">
        <v>16656</v>
      </c>
      <c r="D2963" t="inlineStr">
        <is>
          <t>Lucknow</t>
        </is>
      </c>
      <c r="E2963" t="inlineStr">
        <is>
          <t>North</t>
        </is>
      </c>
      <c r="F2963" t="inlineStr">
        <is>
          <t>Organic Search</t>
        </is>
      </c>
      <c r="G2963" t="inlineStr">
        <is>
          <t>Mobile App</t>
        </is>
      </c>
      <c r="H2963" t="inlineStr">
        <is>
          <t>UPI</t>
        </is>
      </c>
      <c r="I2963" t="inlineStr">
        <is>
          <t>Delivered</t>
        </is>
      </c>
      <c r="J2963" t="n">
        <v>117</v>
      </c>
      <c r="K2963" t="n">
        <v>1</v>
      </c>
      <c r="L2963" t="n">
        <v>3149</v>
      </c>
      <c r="M2963" t="n">
        <v>0</v>
      </c>
      <c r="N2963">
        <f>VLOOKUP(J2963,Products!$A$2:$C$49,3,FALSE)</f>
        <v/>
      </c>
      <c r="O2963">
        <f>K2963*L2963-M2963</f>
        <v/>
      </c>
      <c r="P2963">
        <f>TEXT(B2963,"yyyy-mm")</f>
        <v/>
      </c>
      <c r="Q2963">
        <f>IF(O2963&gt;=3000,"Large","Small")</f>
        <v/>
      </c>
      <c r="R2963">
        <f>INDEX(Products!$F$2:$F$49,MATCH(J2963,Products!$A$2:$A$49,0))</f>
        <v/>
      </c>
      <c r="S2963">
        <f>WEEKDAY(B2963,2)</f>
        <v/>
      </c>
    </row>
    <row r="2964">
      <c r="A2964" t="n">
        <v>510937</v>
      </c>
      <c r="B2964" s="6" t="n">
        <v>45980</v>
      </c>
      <c r="C2964" t="n">
        <v>17411</v>
      </c>
      <c r="D2964" t="inlineStr">
        <is>
          <t>Mumbai</t>
        </is>
      </c>
      <c r="E2964" t="inlineStr">
        <is>
          <t>West</t>
        </is>
      </c>
      <c r="F2964" t="inlineStr">
        <is>
          <t>Referral</t>
        </is>
      </c>
      <c r="G2964" t="inlineStr">
        <is>
          <t>Mobile App</t>
        </is>
      </c>
      <c r="H2964" t="inlineStr">
        <is>
          <t>UPI</t>
        </is>
      </c>
      <c r="I2964" t="inlineStr">
        <is>
          <t>Delivered</t>
        </is>
      </c>
      <c r="J2964" t="n">
        <v>101</v>
      </c>
      <c r="K2964" t="n">
        <v>1</v>
      </c>
      <c r="L2964" t="n">
        <v>2099</v>
      </c>
      <c r="M2964" t="n">
        <v>0</v>
      </c>
      <c r="N2964">
        <f>VLOOKUP(J2964,Products!$A$2:$C$49,3,FALSE)</f>
        <v/>
      </c>
      <c r="O2964">
        <f>K2964*L2964-M2964</f>
        <v/>
      </c>
      <c r="P2964">
        <f>TEXT(B2964,"yyyy-mm")</f>
        <v/>
      </c>
      <c r="Q2964">
        <f>IF(O2964&gt;=3000,"Large","Small")</f>
        <v/>
      </c>
      <c r="R2964">
        <f>INDEX(Products!$F$2:$F$49,MATCH(J2964,Products!$A$2:$A$49,0))</f>
        <v/>
      </c>
      <c r="S2964">
        <f>WEEKDAY(B2964,2)</f>
        <v/>
      </c>
    </row>
    <row r="2965">
      <c r="A2965" t="n">
        <v>510938</v>
      </c>
      <c r="B2965" s="6" t="n">
        <v>45980</v>
      </c>
      <c r="C2965" t="n">
        <v>15731</v>
      </c>
      <c r="D2965" t="inlineStr">
        <is>
          <t>Pune</t>
        </is>
      </c>
      <c r="E2965" t="inlineStr">
        <is>
          <t>West</t>
        </is>
      </c>
      <c r="F2965" t="inlineStr">
        <is>
          <t>Organic Search</t>
        </is>
      </c>
      <c r="G2965" t="inlineStr">
        <is>
          <t>Desktop</t>
        </is>
      </c>
      <c r="H2965" t="inlineStr">
        <is>
          <t>UPI</t>
        </is>
      </c>
      <c r="I2965" t="inlineStr">
        <is>
          <t>Delivered</t>
        </is>
      </c>
      <c r="J2965" t="n">
        <v>104</v>
      </c>
      <c r="K2965" t="n">
        <v>1</v>
      </c>
      <c r="L2965" t="n">
        <v>5249</v>
      </c>
      <c r="M2965" t="n">
        <v>0</v>
      </c>
      <c r="N2965">
        <f>VLOOKUP(J2965,Products!$A$2:$C$49,3,FALSE)</f>
        <v/>
      </c>
      <c r="O2965">
        <f>K2965*L2965-M2965</f>
        <v/>
      </c>
      <c r="P2965">
        <f>TEXT(B2965,"yyyy-mm")</f>
        <v/>
      </c>
      <c r="Q2965">
        <f>IF(O2965&gt;=3000,"Large","Small")</f>
        <v/>
      </c>
      <c r="R2965">
        <f>INDEX(Products!$F$2:$F$49,MATCH(J2965,Products!$A$2:$A$49,0))</f>
        <v/>
      </c>
      <c r="S2965">
        <f>WEEKDAY(B2965,2)</f>
        <v/>
      </c>
    </row>
    <row r="2966">
      <c r="A2966" t="n">
        <v>510938</v>
      </c>
      <c r="B2966" s="6" t="n">
        <v>45980</v>
      </c>
      <c r="C2966" t="n">
        <v>15731</v>
      </c>
      <c r="D2966" t="inlineStr">
        <is>
          <t>Pune</t>
        </is>
      </c>
      <c r="E2966" t="inlineStr">
        <is>
          <t>West</t>
        </is>
      </c>
      <c r="F2966" t="inlineStr">
        <is>
          <t>Organic Search</t>
        </is>
      </c>
      <c r="G2966" t="inlineStr">
        <is>
          <t>Desktop</t>
        </is>
      </c>
      <c r="H2966" t="inlineStr">
        <is>
          <t>UPI</t>
        </is>
      </c>
      <c r="I2966" t="inlineStr">
        <is>
          <t>Delivered</t>
        </is>
      </c>
      <c r="J2966" t="n">
        <v>127</v>
      </c>
      <c r="K2966" t="n">
        <v>1</v>
      </c>
      <c r="L2966" t="n">
        <v>681</v>
      </c>
      <c r="M2966" t="n">
        <v>0</v>
      </c>
      <c r="N2966">
        <f>VLOOKUP(J2966,Products!$A$2:$C$49,3,FALSE)</f>
        <v/>
      </c>
      <c r="O2966">
        <f>K2966*L2966-M2966</f>
        <v/>
      </c>
      <c r="P2966">
        <f>TEXT(B2966,"yyyy-mm")</f>
        <v/>
      </c>
      <c r="Q2966">
        <f>IF(O2966&gt;=3000,"Large","Small")</f>
        <v/>
      </c>
      <c r="R2966">
        <f>INDEX(Products!$F$2:$F$49,MATCH(J2966,Products!$A$2:$A$49,0))</f>
        <v/>
      </c>
      <c r="S2966">
        <f>WEEKDAY(B2966,2)</f>
        <v/>
      </c>
    </row>
    <row r="2967">
      <c r="A2967" t="n">
        <v>510939</v>
      </c>
      <c r="B2967" s="6" t="n">
        <v>45980</v>
      </c>
      <c r="C2967" t="n">
        <v>17336</v>
      </c>
      <c r="D2967" t="inlineStr">
        <is>
          <t>Kochi</t>
        </is>
      </c>
      <c r="E2967" t="inlineStr">
        <is>
          <t>South</t>
        </is>
      </c>
      <c r="F2967" t="inlineStr">
        <is>
          <t>Organic Search</t>
        </is>
      </c>
      <c r="G2967" t="inlineStr">
        <is>
          <t>Mobile App</t>
        </is>
      </c>
      <c r="H2967" t="inlineStr">
        <is>
          <t>Debit Card</t>
        </is>
      </c>
      <c r="I2967" t="inlineStr">
        <is>
          <t>Delivered</t>
        </is>
      </c>
      <c r="J2967" t="n">
        <v>133</v>
      </c>
      <c r="K2967" t="n">
        <v>1</v>
      </c>
      <c r="L2967" t="n">
        <v>419</v>
      </c>
      <c r="M2967" t="n">
        <v>62.85</v>
      </c>
      <c r="N2967">
        <f>VLOOKUP(J2967,Products!$A$2:$C$49,3,FALSE)</f>
        <v/>
      </c>
      <c r="O2967">
        <f>K2967*L2967-M2967</f>
        <v/>
      </c>
      <c r="P2967">
        <f>TEXT(B2967,"yyyy-mm")</f>
        <v/>
      </c>
      <c r="Q2967">
        <f>IF(O2967&gt;=3000,"Large","Small")</f>
        <v/>
      </c>
      <c r="R2967">
        <f>INDEX(Products!$F$2:$F$49,MATCH(J2967,Products!$A$2:$A$49,0))</f>
        <v/>
      </c>
      <c r="S2967">
        <f>WEEKDAY(B2967,2)</f>
        <v/>
      </c>
    </row>
    <row r="2968">
      <c r="A2968" t="n">
        <v>510939</v>
      </c>
      <c r="B2968" s="6" t="n">
        <v>45980</v>
      </c>
      <c r="C2968" t="n">
        <v>17336</v>
      </c>
      <c r="D2968" t="inlineStr">
        <is>
          <t>Kochi</t>
        </is>
      </c>
      <c r="E2968" t="inlineStr">
        <is>
          <t>South</t>
        </is>
      </c>
      <c r="F2968" t="inlineStr">
        <is>
          <t>Organic Search</t>
        </is>
      </c>
      <c r="G2968" t="inlineStr">
        <is>
          <t>Mobile App</t>
        </is>
      </c>
      <c r="H2968" t="inlineStr">
        <is>
          <t>Debit Card</t>
        </is>
      </c>
      <c r="I2968" t="inlineStr">
        <is>
          <t>Delivered</t>
        </is>
      </c>
      <c r="J2968" t="n">
        <v>145</v>
      </c>
      <c r="K2968" t="n">
        <v>1</v>
      </c>
      <c r="L2968" t="n">
        <v>629</v>
      </c>
      <c r="M2968" t="n">
        <v>94.34999999999999</v>
      </c>
      <c r="N2968">
        <f>VLOOKUP(J2968,Products!$A$2:$C$49,3,FALSE)</f>
        <v/>
      </c>
      <c r="O2968">
        <f>K2968*L2968-M2968</f>
        <v/>
      </c>
      <c r="P2968">
        <f>TEXT(B2968,"yyyy-mm")</f>
        <v/>
      </c>
      <c r="Q2968">
        <f>IF(O2968&gt;=3000,"Large","Small")</f>
        <v/>
      </c>
      <c r="R2968">
        <f>INDEX(Products!$F$2:$F$49,MATCH(J2968,Products!$A$2:$A$49,0))</f>
        <v/>
      </c>
      <c r="S2968">
        <f>WEEKDAY(B2968,2)</f>
        <v/>
      </c>
    </row>
    <row r="2969">
      <c r="A2969" t="n">
        <v>510939</v>
      </c>
      <c r="B2969" s="6" t="n">
        <v>45980</v>
      </c>
      <c r="C2969" t="n">
        <v>17336</v>
      </c>
      <c r="D2969" t="inlineStr">
        <is>
          <t>Kochi</t>
        </is>
      </c>
      <c r="E2969" t="inlineStr">
        <is>
          <t>South</t>
        </is>
      </c>
      <c r="F2969" t="inlineStr">
        <is>
          <t>Organic Search</t>
        </is>
      </c>
      <c r="G2969" t="inlineStr">
        <is>
          <t>Mobile App</t>
        </is>
      </c>
      <c r="H2969" t="inlineStr">
        <is>
          <t>Debit Card</t>
        </is>
      </c>
      <c r="I2969" t="inlineStr">
        <is>
          <t>Delivered</t>
        </is>
      </c>
      <c r="J2969" t="n">
        <v>138</v>
      </c>
      <c r="K2969" t="n">
        <v>1</v>
      </c>
      <c r="L2969" t="n">
        <v>419</v>
      </c>
      <c r="M2969" t="n">
        <v>62.85</v>
      </c>
      <c r="N2969">
        <f>VLOOKUP(J2969,Products!$A$2:$C$49,3,FALSE)</f>
        <v/>
      </c>
      <c r="O2969">
        <f>K2969*L2969-M2969</f>
        <v/>
      </c>
      <c r="P2969">
        <f>TEXT(B2969,"yyyy-mm")</f>
        <v/>
      </c>
      <c r="Q2969">
        <f>IF(O2969&gt;=3000,"Large","Small")</f>
        <v/>
      </c>
      <c r="R2969">
        <f>INDEX(Products!$F$2:$F$49,MATCH(J2969,Products!$A$2:$A$49,0))</f>
        <v/>
      </c>
      <c r="S2969">
        <f>WEEKDAY(B2969,2)</f>
        <v/>
      </c>
    </row>
    <row r="2970">
      <c r="A2970" t="n">
        <v>510940</v>
      </c>
      <c r="B2970" s="6" t="n">
        <v>45980</v>
      </c>
      <c r="C2970" t="n">
        <v>15751</v>
      </c>
      <c r="D2970" t="inlineStr">
        <is>
          <t>Chennai</t>
        </is>
      </c>
      <c r="E2970" t="inlineStr">
        <is>
          <t>South</t>
        </is>
      </c>
      <c r="F2970" t="inlineStr">
        <is>
          <t>Paid Search</t>
        </is>
      </c>
      <c r="G2970" t="inlineStr">
        <is>
          <t>Mobile App</t>
        </is>
      </c>
      <c r="H2970" t="inlineStr">
        <is>
          <t>Credit Card</t>
        </is>
      </c>
      <c r="I2970" t="inlineStr">
        <is>
          <t>Delivered</t>
        </is>
      </c>
      <c r="J2970" t="n">
        <v>118</v>
      </c>
      <c r="K2970" t="n">
        <v>1</v>
      </c>
      <c r="L2970" t="n">
        <v>944</v>
      </c>
      <c r="M2970" t="n">
        <v>47.2</v>
      </c>
      <c r="N2970">
        <f>VLOOKUP(J2970,Products!$A$2:$C$49,3,FALSE)</f>
        <v/>
      </c>
      <c r="O2970">
        <f>K2970*L2970-M2970</f>
        <v/>
      </c>
      <c r="P2970">
        <f>TEXT(B2970,"yyyy-mm")</f>
        <v/>
      </c>
      <c r="Q2970">
        <f>IF(O2970&gt;=3000,"Large","Small")</f>
        <v/>
      </c>
      <c r="R2970">
        <f>INDEX(Products!$F$2:$F$49,MATCH(J2970,Products!$A$2:$A$49,0))</f>
        <v/>
      </c>
      <c r="S2970">
        <f>WEEKDAY(B2970,2)</f>
        <v/>
      </c>
    </row>
    <row r="2971">
      <c r="A2971" t="n">
        <v>510940</v>
      </c>
      <c r="B2971" s="6" t="n">
        <v>45980</v>
      </c>
      <c r="C2971" t="n">
        <v>15751</v>
      </c>
      <c r="D2971" t="inlineStr">
        <is>
          <t>Chennai</t>
        </is>
      </c>
      <c r="E2971" t="inlineStr">
        <is>
          <t>South</t>
        </is>
      </c>
      <c r="F2971" t="inlineStr">
        <is>
          <t>Paid Search</t>
        </is>
      </c>
      <c r="G2971" t="inlineStr">
        <is>
          <t>Mobile App</t>
        </is>
      </c>
      <c r="H2971" t="inlineStr">
        <is>
          <t>Credit Card</t>
        </is>
      </c>
      <c r="I2971" t="inlineStr">
        <is>
          <t>Delivered</t>
        </is>
      </c>
      <c r="J2971" t="n">
        <v>111</v>
      </c>
      <c r="K2971" t="n">
        <v>1</v>
      </c>
      <c r="L2971" t="n">
        <v>524</v>
      </c>
      <c r="M2971" t="n">
        <v>26.2</v>
      </c>
      <c r="N2971">
        <f>VLOOKUP(J2971,Products!$A$2:$C$49,3,FALSE)</f>
        <v/>
      </c>
      <c r="O2971">
        <f>K2971*L2971-M2971</f>
        <v/>
      </c>
      <c r="P2971">
        <f>TEXT(B2971,"yyyy-mm")</f>
        <v/>
      </c>
      <c r="Q2971">
        <f>IF(O2971&gt;=3000,"Large","Small")</f>
        <v/>
      </c>
      <c r="R2971">
        <f>INDEX(Products!$F$2:$F$49,MATCH(J2971,Products!$A$2:$A$49,0))</f>
        <v/>
      </c>
      <c r="S2971">
        <f>WEEKDAY(B2971,2)</f>
        <v/>
      </c>
    </row>
    <row r="2972">
      <c r="A2972" t="n">
        <v>510941</v>
      </c>
      <c r="B2972" s="6" t="n">
        <v>45980</v>
      </c>
      <c r="C2972" t="n">
        <v>17383</v>
      </c>
      <c r="D2972" t="inlineStr">
        <is>
          <t>Jaipur</t>
        </is>
      </c>
      <c r="E2972" t="inlineStr">
        <is>
          <t>North</t>
        </is>
      </c>
      <c r="F2972" t="inlineStr">
        <is>
          <t>Organic Search</t>
        </is>
      </c>
      <c r="G2972" t="inlineStr">
        <is>
          <t>Mobile App</t>
        </is>
      </c>
      <c r="H2972" t="inlineStr">
        <is>
          <t>Net Banking</t>
        </is>
      </c>
      <c r="I2972" t="inlineStr">
        <is>
          <t>Delivered</t>
        </is>
      </c>
      <c r="J2972" t="n">
        <v>124</v>
      </c>
      <c r="K2972" t="n">
        <v>1</v>
      </c>
      <c r="L2972" t="n">
        <v>1154</v>
      </c>
      <c r="M2972" t="n">
        <v>0</v>
      </c>
      <c r="N2972">
        <f>VLOOKUP(J2972,Products!$A$2:$C$49,3,FALSE)</f>
        <v/>
      </c>
      <c r="O2972">
        <f>K2972*L2972-M2972</f>
        <v/>
      </c>
      <c r="P2972">
        <f>TEXT(B2972,"yyyy-mm")</f>
        <v/>
      </c>
      <c r="Q2972">
        <f>IF(O2972&gt;=3000,"Large","Small")</f>
        <v/>
      </c>
      <c r="R2972">
        <f>INDEX(Products!$F$2:$F$49,MATCH(J2972,Products!$A$2:$A$49,0))</f>
        <v/>
      </c>
      <c r="S2972">
        <f>WEEKDAY(B2972,2)</f>
        <v/>
      </c>
    </row>
    <row r="2973">
      <c r="A2973" t="n">
        <v>510941</v>
      </c>
      <c r="B2973" s="6" t="n">
        <v>45980</v>
      </c>
      <c r="C2973" t="n">
        <v>17383</v>
      </c>
      <c r="D2973" t="inlineStr">
        <is>
          <t>Jaipur</t>
        </is>
      </c>
      <c r="E2973" t="inlineStr">
        <is>
          <t>North</t>
        </is>
      </c>
      <c r="F2973" t="inlineStr">
        <is>
          <t>Organic Search</t>
        </is>
      </c>
      <c r="G2973" t="inlineStr">
        <is>
          <t>Mobile App</t>
        </is>
      </c>
      <c r="H2973" t="inlineStr">
        <is>
          <t>Net Banking</t>
        </is>
      </c>
      <c r="I2973" t="inlineStr">
        <is>
          <t>Delivered</t>
        </is>
      </c>
      <c r="J2973" t="n">
        <v>143</v>
      </c>
      <c r="K2973" t="n">
        <v>1</v>
      </c>
      <c r="L2973" t="n">
        <v>839</v>
      </c>
      <c r="M2973" t="n">
        <v>0</v>
      </c>
      <c r="N2973">
        <f>VLOOKUP(J2973,Products!$A$2:$C$49,3,FALSE)</f>
        <v/>
      </c>
      <c r="O2973">
        <f>K2973*L2973-M2973</f>
        <v/>
      </c>
      <c r="P2973">
        <f>TEXT(B2973,"yyyy-mm")</f>
        <v/>
      </c>
      <c r="Q2973">
        <f>IF(O2973&gt;=3000,"Large","Small")</f>
        <v/>
      </c>
      <c r="R2973">
        <f>INDEX(Products!$F$2:$F$49,MATCH(J2973,Products!$A$2:$A$49,0))</f>
        <v/>
      </c>
      <c r="S2973">
        <f>WEEKDAY(B2973,2)</f>
        <v/>
      </c>
    </row>
    <row r="2974">
      <c r="A2974" t="n">
        <v>510941</v>
      </c>
      <c r="B2974" s="6" t="n">
        <v>45980</v>
      </c>
      <c r="C2974" t="n">
        <v>17383</v>
      </c>
      <c r="D2974" t="inlineStr">
        <is>
          <t>Jaipur</t>
        </is>
      </c>
      <c r="E2974" t="inlineStr">
        <is>
          <t>North</t>
        </is>
      </c>
      <c r="F2974" t="inlineStr">
        <is>
          <t>Organic Search</t>
        </is>
      </c>
      <c r="G2974" t="inlineStr">
        <is>
          <t>Mobile App</t>
        </is>
      </c>
      <c r="H2974" t="inlineStr">
        <is>
          <t>Net Banking</t>
        </is>
      </c>
      <c r="I2974" t="inlineStr">
        <is>
          <t>Delivered</t>
        </is>
      </c>
      <c r="J2974" t="n">
        <v>138</v>
      </c>
      <c r="K2974" t="n">
        <v>1</v>
      </c>
      <c r="L2974" t="n">
        <v>419</v>
      </c>
      <c r="M2974" t="n">
        <v>0</v>
      </c>
      <c r="N2974">
        <f>VLOOKUP(J2974,Products!$A$2:$C$49,3,FALSE)</f>
        <v/>
      </c>
      <c r="O2974">
        <f>K2974*L2974-M2974</f>
        <v/>
      </c>
      <c r="P2974">
        <f>TEXT(B2974,"yyyy-mm")</f>
        <v/>
      </c>
      <c r="Q2974">
        <f>IF(O2974&gt;=3000,"Large","Small")</f>
        <v/>
      </c>
      <c r="R2974">
        <f>INDEX(Products!$F$2:$F$49,MATCH(J2974,Products!$A$2:$A$49,0))</f>
        <v/>
      </c>
      <c r="S2974">
        <f>WEEKDAY(B2974,2)</f>
        <v/>
      </c>
    </row>
    <row r="2975">
      <c r="A2975" t="n">
        <v>510942</v>
      </c>
      <c r="B2975" s="6" t="n">
        <v>45980</v>
      </c>
      <c r="C2975" t="n">
        <v>15945</v>
      </c>
      <c r="D2975" t="inlineStr">
        <is>
          <t>Kolkata</t>
        </is>
      </c>
      <c r="E2975" t="inlineStr">
        <is>
          <t>East</t>
        </is>
      </c>
      <c r="F2975" t="inlineStr">
        <is>
          <t>Email</t>
        </is>
      </c>
      <c r="G2975" t="inlineStr">
        <is>
          <t>Desktop</t>
        </is>
      </c>
      <c r="H2975" t="inlineStr">
        <is>
          <t>Debit Card</t>
        </is>
      </c>
      <c r="I2975" t="inlineStr">
        <is>
          <t>Delivered</t>
        </is>
      </c>
      <c r="J2975" t="n">
        <v>138</v>
      </c>
      <c r="K2975" t="n">
        <v>1</v>
      </c>
      <c r="L2975" t="n">
        <v>419</v>
      </c>
      <c r="M2975" t="n">
        <v>0</v>
      </c>
      <c r="N2975">
        <f>VLOOKUP(J2975,Products!$A$2:$C$49,3,FALSE)</f>
        <v/>
      </c>
      <c r="O2975">
        <f>K2975*L2975-M2975</f>
        <v/>
      </c>
      <c r="P2975">
        <f>TEXT(B2975,"yyyy-mm")</f>
        <v/>
      </c>
      <c r="Q2975">
        <f>IF(O2975&gt;=3000,"Large","Small")</f>
        <v/>
      </c>
      <c r="R2975">
        <f>INDEX(Products!$F$2:$F$49,MATCH(J2975,Products!$A$2:$A$49,0))</f>
        <v/>
      </c>
      <c r="S2975">
        <f>WEEKDAY(B2975,2)</f>
        <v/>
      </c>
    </row>
    <row r="2976">
      <c r="A2976" t="n">
        <v>510942</v>
      </c>
      <c r="B2976" s="6" t="n">
        <v>45980</v>
      </c>
      <c r="C2976" t="n">
        <v>15945</v>
      </c>
      <c r="D2976" t="inlineStr">
        <is>
          <t>Kolkata</t>
        </is>
      </c>
      <c r="E2976" t="inlineStr">
        <is>
          <t>East</t>
        </is>
      </c>
      <c r="F2976" t="inlineStr">
        <is>
          <t>Email</t>
        </is>
      </c>
      <c r="G2976" t="inlineStr">
        <is>
          <t>Desktop</t>
        </is>
      </c>
      <c r="H2976" t="inlineStr">
        <is>
          <t>Debit Card</t>
        </is>
      </c>
      <c r="I2976" t="inlineStr">
        <is>
          <t>Delivered</t>
        </is>
      </c>
      <c r="J2976" t="n">
        <v>124</v>
      </c>
      <c r="K2976" t="n">
        <v>1</v>
      </c>
      <c r="L2976" t="n">
        <v>1154</v>
      </c>
      <c r="M2976" t="n">
        <v>0</v>
      </c>
      <c r="N2976">
        <f>VLOOKUP(J2976,Products!$A$2:$C$49,3,FALSE)</f>
        <v/>
      </c>
      <c r="O2976">
        <f>K2976*L2976-M2976</f>
        <v/>
      </c>
      <c r="P2976">
        <f>TEXT(B2976,"yyyy-mm")</f>
        <v/>
      </c>
      <c r="Q2976">
        <f>IF(O2976&gt;=3000,"Large","Small")</f>
        <v/>
      </c>
      <c r="R2976">
        <f>INDEX(Products!$F$2:$F$49,MATCH(J2976,Products!$A$2:$A$49,0))</f>
        <v/>
      </c>
      <c r="S2976">
        <f>WEEKDAY(B2976,2)</f>
        <v/>
      </c>
    </row>
    <row r="2977">
      <c r="A2977" t="n">
        <v>510943</v>
      </c>
      <c r="B2977" s="6" t="n">
        <v>45980</v>
      </c>
      <c r="C2977" t="n">
        <v>17034</v>
      </c>
      <c r="D2977" t="inlineStr">
        <is>
          <t>Lucknow</t>
        </is>
      </c>
      <c r="E2977" t="inlineStr">
        <is>
          <t>North</t>
        </is>
      </c>
      <c r="F2977" t="inlineStr">
        <is>
          <t>Organic Search</t>
        </is>
      </c>
      <c r="G2977" t="inlineStr">
        <is>
          <t>Mobile App</t>
        </is>
      </c>
      <c r="H2977" t="inlineStr">
        <is>
          <t>Net Banking</t>
        </is>
      </c>
      <c r="I2977" t="inlineStr">
        <is>
          <t>Delivered</t>
        </is>
      </c>
      <c r="J2977" t="n">
        <v>138</v>
      </c>
      <c r="K2977" t="n">
        <v>1</v>
      </c>
      <c r="L2977" t="n">
        <v>419</v>
      </c>
      <c r="M2977" t="n">
        <v>0</v>
      </c>
      <c r="N2977">
        <f>VLOOKUP(J2977,Products!$A$2:$C$49,3,FALSE)</f>
        <v/>
      </c>
      <c r="O2977">
        <f>K2977*L2977-M2977</f>
        <v/>
      </c>
      <c r="P2977">
        <f>TEXT(B2977,"yyyy-mm")</f>
        <v/>
      </c>
      <c r="Q2977">
        <f>IF(O2977&gt;=3000,"Large","Small")</f>
        <v/>
      </c>
      <c r="R2977">
        <f>INDEX(Products!$F$2:$F$49,MATCH(J2977,Products!$A$2:$A$49,0))</f>
        <v/>
      </c>
      <c r="S2977">
        <f>WEEKDAY(B2977,2)</f>
        <v/>
      </c>
    </row>
    <row r="2978">
      <c r="A2978" t="n">
        <v>510944</v>
      </c>
      <c r="B2978" s="6" t="n">
        <v>45980</v>
      </c>
      <c r="C2978" t="n">
        <v>11902</v>
      </c>
      <c r="D2978" t="inlineStr">
        <is>
          <t>Hyderabad</t>
        </is>
      </c>
      <c r="E2978" t="inlineStr">
        <is>
          <t>South</t>
        </is>
      </c>
      <c r="F2978" t="inlineStr">
        <is>
          <t>Organic Search</t>
        </is>
      </c>
      <c r="G2978" t="inlineStr">
        <is>
          <t>Mobile Web</t>
        </is>
      </c>
      <c r="H2978" t="inlineStr">
        <is>
          <t>Net Banking</t>
        </is>
      </c>
      <c r="I2978" t="inlineStr">
        <is>
          <t>Delivered</t>
        </is>
      </c>
      <c r="J2978" t="n">
        <v>138</v>
      </c>
      <c r="K2978" t="n">
        <v>1</v>
      </c>
      <c r="L2978" t="n">
        <v>419</v>
      </c>
      <c r="M2978" t="n">
        <v>0</v>
      </c>
      <c r="N2978">
        <f>VLOOKUP(J2978,Products!$A$2:$C$49,3,FALSE)</f>
        <v/>
      </c>
      <c r="O2978">
        <f>K2978*L2978-M2978</f>
        <v/>
      </c>
      <c r="P2978">
        <f>TEXT(B2978,"yyyy-mm")</f>
        <v/>
      </c>
      <c r="Q2978">
        <f>IF(O2978&gt;=3000,"Large","Small")</f>
        <v/>
      </c>
      <c r="R2978">
        <f>INDEX(Products!$F$2:$F$49,MATCH(J2978,Products!$A$2:$A$49,0))</f>
        <v/>
      </c>
      <c r="S2978">
        <f>WEEKDAY(B2978,2)</f>
        <v/>
      </c>
    </row>
    <row r="2979">
      <c r="A2979" t="n">
        <v>510945</v>
      </c>
      <c r="B2979" s="6" t="n">
        <v>45980</v>
      </c>
      <c r="C2979" t="n">
        <v>13307</v>
      </c>
      <c r="D2979" t="inlineStr">
        <is>
          <t>Ahmedabad</t>
        </is>
      </c>
      <c r="E2979" t="inlineStr">
        <is>
          <t>West</t>
        </is>
      </c>
      <c r="F2979" t="inlineStr">
        <is>
          <t>Paid Social</t>
        </is>
      </c>
      <c r="G2979" t="inlineStr">
        <is>
          <t>Mobile Web</t>
        </is>
      </c>
      <c r="H2979" t="inlineStr">
        <is>
          <t>UPI</t>
        </is>
      </c>
      <c r="I2979" t="inlineStr">
        <is>
          <t>Delivered</t>
        </is>
      </c>
      <c r="J2979" t="n">
        <v>127</v>
      </c>
      <c r="K2979" t="n">
        <v>2</v>
      </c>
      <c r="L2979" t="n">
        <v>681</v>
      </c>
      <c r="M2979" t="n">
        <v>0</v>
      </c>
      <c r="N2979">
        <f>VLOOKUP(J2979,Products!$A$2:$C$49,3,FALSE)</f>
        <v/>
      </c>
      <c r="O2979">
        <f>K2979*L2979-M2979</f>
        <v/>
      </c>
      <c r="P2979">
        <f>TEXT(B2979,"yyyy-mm")</f>
        <v/>
      </c>
      <c r="Q2979">
        <f>IF(O2979&gt;=3000,"Large","Small")</f>
        <v/>
      </c>
      <c r="R2979">
        <f>INDEX(Products!$F$2:$F$49,MATCH(J2979,Products!$A$2:$A$49,0))</f>
        <v/>
      </c>
      <c r="S2979">
        <f>WEEKDAY(B2979,2)</f>
        <v/>
      </c>
    </row>
    <row r="2980">
      <c r="A2980" t="n">
        <v>510945</v>
      </c>
      <c r="B2980" s="6" t="n">
        <v>45980</v>
      </c>
      <c r="C2980" t="n">
        <v>13307</v>
      </c>
      <c r="D2980" t="inlineStr">
        <is>
          <t>Ahmedabad</t>
        </is>
      </c>
      <c r="E2980" t="inlineStr">
        <is>
          <t>West</t>
        </is>
      </c>
      <c r="F2980" t="inlineStr">
        <is>
          <t>Paid Social</t>
        </is>
      </c>
      <c r="G2980" t="inlineStr">
        <is>
          <t>Mobile Web</t>
        </is>
      </c>
      <c r="H2980" t="inlineStr">
        <is>
          <t>UPI</t>
        </is>
      </c>
      <c r="I2980" t="inlineStr">
        <is>
          <t>Delivered</t>
        </is>
      </c>
      <c r="J2980" t="n">
        <v>105</v>
      </c>
      <c r="K2980" t="n">
        <v>2</v>
      </c>
      <c r="L2980" t="n">
        <v>2414</v>
      </c>
      <c r="M2980" t="n">
        <v>0</v>
      </c>
      <c r="N2980">
        <f>VLOOKUP(J2980,Products!$A$2:$C$49,3,FALSE)</f>
        <v/>
      </c>
      <c r="O2980">
        <f>K2980*L2980-M2980</f>
        <v/>
      </c>
      <c r="P2980">
        <f>TEXT(B2980,"yyyy-mm")</f>
        <v/>
      </c>
      <c r="Q2980">
        <f>IF(O2980&gt;=3000,"Large","Small")</f>
        <v/>
      </c>
      <c r="R2980">
        <f>INDEX(Products!$F$2:$F$49,MATCH(J2980,Products!$A$2:$A$49,0))</f>
        <v/>
      </c>
      <c r="S2980">
        <f>WEEKDAY(B2980,2)</f>
        <v/>
      </c>
    </row>
    <row r="2981">
      <c r="A2981" t="n">
        <v>510946</v>
      </c>
      <c r="B2981" s="6" t="n">
        <v>45980</v>
      </c>
      <c r="C2981" t="n">
        <v>17344</v>
      </c>
      <c r="D2981" t="inlineStr">
        <is>
          <t>Mumbai</t>
        </is>
      </c>
      <c r="E2981" t="inlineStr">
        <is>
          <t>West</t>
        </is>
      </c>
      <c r="F2981" t="inlineStr">
        <is>
          <t>Paid Social</t>
        </is>
      </c>
      <c r="G2981" t="inlineStr">
        <is>
          <t>Desktop</t>
        </is>
      </c>
      <c r="H2981" t="inlineStr">
        <is>
          <t>UPI</t>
        </is>
      </c>
      <c r="I2981" t="inlineStr">
        <is>
          <t>Delivered</t>
        </is>
      </c>
      <c r="J2981" t="n">
        <v>107</v>
      </c>
      <c r="K2981" t="n">
        <v>1</v>
      </c>
      <c r="L2981" t="n">
        <v>1259</v>
      </c>
      <c r="M2981" t="n">
        <v>0</v>
      </c>
      <c r="N2981">
        <f>VLOOKUP(J2981,Products!$A$2:$C$49,3,FALSE)</f>
        <v/>
      </c>
      <c r="O2981">
        <f>K2981*L2981-M2981</f>
        <v/>
      </c>
      <c r="P2981">
        <f>TEXT(B2981,"yyyy-mm")</f>
        <v/>
      </c>
      <c r="Q2981">
        <f>IF(O2981&gt;=3000,"Large","Small")</f>
        <v/>
      </c>
      <c r="R2981">
        <f>INDEX(Products!$F$2:$F$49,MATCH(J2981,Products!$A$2:$A$49,0))</f>
        <v/>
      </c>
      <c r="S2981">
        <f>WEEKDAY(B2981,2)</f>
        <v/>
      </c>
    </row>
    <row r="2982">
      <c r="A2982" t="n">
        <v>510947</v>
      </c>
      <c r="B2982" s="6" t="n">
        <v>45980</v>
      </c>
      <c r="C2982" t="n">
        <v>17374</v>
      </c>
      <c r="D2982" t="inlineStr">
        <is>
          <t>Delhi</t>
        </is>
      </c>
      <c r="E2982" t="inlineStr">
        <is>
          <t>North</t>
        </is>
      </c>
      <c r="F2982" t="inlineStr">
        <is>
          <t>Paid Social</t>
        </is>
      </c>
      <c r="G2982" t="inlineStr">
        <is>
          <t>Mobile Web</t>
        </is>
      </c>
      <c r="H2982" t="inlineStr">
        <is>
          <t>Net Banking</t>
        </is>
      </c>
      <c r="I2982" t="inlineStr">
        <is>
          <t>Delivered</t>
        </is>
      </c>
      <c r="J2982" t="n">
        <v>119</v>
      </c>
      <c r="K2982" t="n">
        <v>1</v>
      </c>
      <c r="L2982" t="n">
        <v>2309</v>
      </c>
      <c r="M2982" t="n">
        <v>0</v>
      </c>
      <c r="N2982">
        <f>VLOOKUP(J2982,Products!$A$2:$C$49,3,FALSE)</f>
        <v/>
      </c>
      <c r="O2982">
        <f>K2982*L2982-M2982</f>
        <v/>
      </c>
      <c r="P2982">
        <f>TEXT(B2982,"yyyy-mm")</f>
        <v/>
      </c>
      <c r="Q2982">
        <f>IF(O2982&gt;=3000,"Large","Small")</f>
        <v/>
      </c>
      <c r="R2982">
        <f>INDEX(Products!$F$2:$F$49,MATCH(J2982,Products!$A$2:$A$49,0))</f>
        <v/>
      </c>
      <c r="S2982">
        <f>WEEKDAY(B2982,2)</f>
        <v/>
      </c>
    </row>
    <row r="2983">
      <c r="A2983" t="n">
        <v>510948</v>
      </c>
      <c r="B2983" s="6" t="n">
        <v>45980</v>
      </c>
      <c r="C2983" t="n">
        <v>17413</v>
      </c>
      <c r="D2983" t="inlineStr">
        <is>
          <t>Bengaluru</t>
        </is>
      </c>
      <c r="E2983" t="inlineStr">
        <is>
          <t>South</t>
        </is>
      </c>
      <c r="F2983" t="inlineStr">
        <is>
          <t>Paid Search</t>
        </is>
      </c>
      <c r="G2983" t="inlineStr">
        <is>
          <t>Desktop</t>
        </is>
      </c>
      <c r="H2983" t="inlineStr">
        <is>
          <t>UPI</t>
        </is>
      </c>
      <c r="I2983" t="inlineStr">
        <is>
          <t>Delivered</t>
        </is>
      </c>
      <c r="J2983" t="n">
        <v>105</v>
      </c>
      <c r="K2983" t="n">
        <v>1</v>
      </c>
      <c r="L2983" t="n">
        <v>2414</v>
      </c>
      <c r="M2983" t="n">
        <v>362.1</v>
      </c>
      <c r="N2983">
        <f>VLOOKUP(J2983,Products!$A$2:$C$49,3,FALSE)</f>
        <v/>
      </c>
      <c r="O2983">
        <f>K2983*L2983-M2983</f>
        <v/>
      </c>
      <c r="P2983">
        <f>TEXT(B2983,"yyyy-mm")</f>
        <v/>
      </c>
      <c r="Q2983">
        <f>IF(O2983&gt;=3000,"Large","Small")</f>
        <v/>
      </c>
      <c r="R2983">
        <f>INDEX(Products!$F$2:$F$49,MATCH(J2983,Products!$A$2:$A$49,0))</f>
        <v/>
      </c>
      <c r="S2983">
        <f>WEEKDAY(B2983,2)</f>
        <v/>
      </c>
    </row>
    <row r="2984">
      <c r="A2984" t="n">
        <v>510948</v>
      </c>
      <c r="B2984" s="6" t="n">
        <v>45980</v>
      </c>
      <c r="C2984" t="n">
        <v>17413</v>
      </c>
      <c r="D2984" t="inlineStr">
        <is>
          <t>Bengaluru</t>
        </is>
      </c>
      <c r="E2984" t="inlineStr">
        <is>
          <t>South</t>
        </is>
      </c>
      <c r="F2984" t="inlineStr">
        <is>
          <t>Paid Search</t>
        </is>
      </c>
      <c r="G2984" t="inlineStr">
        <is>
          <t>Desktop</t>
        </is>
      </c>
      <c r="H2984" t="inlineStr">
        <is>
          <t>UPI</t>
        </is>
      </c>
      <c r="I2984" t="inlineStr">
        <is>
          <t>Delivered</t>
        </is>
      </c>
      <c r="J2984" t="n">
        <v>143</v>
      </c>
      <c r="K2984" t="n">
        <v>2</v>
      </c>
      <c r="L2984" t="n">
        <v>839</v>
      </c>
      <c r="M2984" t="n">
        <v>251.7</v>
      </c>
      <c r="N2984">
        <f>VLOOKUP(J2984,Products!$A$2:$C$49,3,FALSE)</f>
        <v/>
      </c>
      <c r="O2984">
        <f>K2984*L2984-M2984</f>
        <v/>
      </c>
      <c r="P2984">
        <f>TEXT(B2984,"yyyy-mm")</f>
        <v/>
      </c>
      <c r="Q2984">
        <f>IF(O2984&gt;=3000,"Large","Small")</f>
        <v/>
      </c>
      <c r="R2984">
        <f>INDEX(Products!$F$2:$F$49,MATCH(J2984,Products!$A$2:$A$49,0))</f>
        <v/>
      </c>
      <c r="S2984">
        <f>WEEKDAY(B2984,2)</f>
        <v/>
      </c>
    </row>
    <row r="2985">
      <c r="A2985" t="n">
        <v>510948</v>
      </c>
      <c r="B2985" s="6" t="n">
        <v>45980</v>
      </c>
      <c r="C2985" t="n">
        <v>17413</v>
      </c>
      <c r="D2985" t="inlineStr">
        <is>
          <t>Bengaluru</t>
        </is>
      </c>
      <c r="E2985" t="inlineStr">
        <is>
          <t>South</t>
        </is>
      </c>
      <c r="F2985" t="inlineStr">
        <is>
          <t>Paid Search</t>
        </is>
      </c>
      <c r="G2985" t="inlineStr">
        <is>
          <t>Desktop</t>
        </is>
      </c>
      <c r="H2985" t="inlineStr">
        <is>
          <t>UPI</t>
        </is>
      </c>
      <c r="I2985" t="inlineStr">
        <is>
          <t>Delivered</t>
        </is>
      </c>
      <c r="J2985" t="n">
        <v>132</v>
      </c>
      <c r="K2985" t="n">
        <v>2</v>
      </c>
      <c r="L2985" t="n">
        <v>471</v>
      </c>
      <c r="M2985" t="n">
        <v>141.3</v>
      </c>
      <c r="N2985">
        <f>VLOOKUP(J2985,Products!$A$2:$C$49,3,FALSE)</f>
        <v/>
      </c>
      <c r="O2985">
        <f>K2985*L2985-M2985</f>
        <v/>
      </c>
      <c r="P2985">
        <f>TEXT(B2985,"yyyy-mm")</f>
        <v/>
      </c>
      <c r="Q2985">
        <f>IF(O2985&gt;=3000,"Large","Small")</f>
        <v/>
      </c>
      <c r="R2985">
        <f>INDEX(Products!$F$2:$F$49,MATCH(J2985,Products!$A$2:$A$49,0))</f>
        <v/>
      </c>
      <c r="S2985">
        <f>WEEKDAY(B2985,2)</f>
        <v/>
      </c>
    </row>
    <row r="2986">
      <c r="A2986" t="n">
        <v>510948</v>
      </c>
      <c r="B2986" s="6" t="n">
        <v>45980</v>
      </c>
      <c r="C2986" t="n">
        <v>17413</v>
      </c>
      <c r="D2986" t="inlineStr">
        <is>
          <t>Bengaluru</t>
        </is>
      </c>
      <c r="E2986" t="inlineStr">
        <is>
          <t>South</t>
        </is>
      </c>
      <c r="F2986" t="inlineStr">
        <is>
          <t>Paid Search</t>
        </is>
      </c>
      <c r="G2986" t="inlineStr">
        <is>
          <t>Desktop</t>
        </is>
      </c>
      <c r="H2986" t="inlineStr">
        <is>
          <t>UPI</t>
        </is>
      </c>
      <c r="I2986" t="inlineStr">
        <is>
          <t>Delivered</t>
        </is>
      </c>
      <c r="J2986" t="n">
        <v>104</v>
      </c>
      <c r="K2986" t="n">
        <v>1</v>
      </c>
      <c r="L2986" t="n">
        <v>5249</v>
      </c>
      <c r="M2986" t="n">
        <v>787.35</v>
      </c>
      <c r="N2986">
        <f>VLOOKUP(J2986,Products!$A$2:$C$49,3,FALSE)</f>
        <v/>
      </c>
      <c r="O2986">
        <f>K2986*L2986-M2986</f>
        <v/>
      </c>
      <c r="P2986">
        <f>TEXT(B2986,"yyyy-mm")</f>
        <v/>
      </c>
      <c r="Q2986">
        <f>IF(O2986&gt;=3000,"Large","Small")</f>
        <v/>
      </c>
      <c r="R2986">
        <f>INDEX(Products!$F$2:$F$49,MATCH(J2986,Products!$A$2:$A$49,0))</f>
        <v/>
      </c>
      <c r="S2986">
        <f>WEEKDAY(B2986,2)</f>
        <v/>
      </c>
    </row>
    <row r="2987">
      <c r="A2987" t="n">
        <v>510949</v>
      </c>
      <c r="B2987" s="6" t="n">
        <v>45981</v>
      </c>
      <c r="C2987" t="n">
        <v>17425</v>
      </c>
      <c r="D2987" t="inlineStr">
        <is>
          <t>Lucknow</t>
        </is>
      </c>
      <c r="E2987" t="inlineStr">
        <is>
          <t>North</t>
        </is>
      </c>
      <c r="F2987" t="inlineStr">
        <is>
          <t>Paid Social</t>
        </is>
      </c>
      <c r="G2987" t="inlineStr">
        <is>
          <t>Mobile App</t>
        </is>
      </c>
      <c r="H2987" t="inlineStr">
        <is>
          <t>UPI</t>
        </is>
      </c>
      <c r="I2987" t="inlineStr">
        <is>
          <t>Delivered</t>
        </is>
      </c>
      <c r="J2987" t="n">
        <v>123</v>
      </c>
      <c r="K2987" t="n">
        <v>1</v>
      </c>
      <c r="L2987" t="n">
        <v>3464</v>
      </c>
      <c r="M2987" t="n">
        <v>0</v>
      </c>
      <c r="N2987">
        <f>VLOOKUP(J2987,Products!$A$2:$C$49,3,FALSE)</f>
        <v/>
      </c>
      <c r="O2987">
        <f>K2987*L2987-M2987</f>
        <v/>
      </c>
      <c r="P2987">
        <f>TEXT(B2987,"yyyy-mm")</f>
        <v/>
      </c>
      <c r="Q2987">
        <f>IF(O2987&gt;=3000,"Large","Small")</f>
        <v/>
      </c>
      <c r="R2987">
        <f>INDEX(Products!$F$2:$F$49,MATCH(J2987,Products!$A$2:$A$49,0))</f>
        <v/>
      </c>
      <c r="S2987">
        <f>WEEKDAY(B2987,2)</f>
        <v/>
      </c>
    </row>
    <row r="2988">
      <c r="A2988" t="n">
        <v>510949</v>
      </c>
      <c r="B2988" s="6" t="n">
        <v>45981</v>
      </c>
      <c r="C2988" t="n">
        <v>17425</v>
      </c>
      <c r="D2988" t="inlineStr">
        <is>
          <t>Lucknow</t>
        </is>
      </c>
      <c r="E2988" t="inlineStr">
        <is>
          <t>North</t>
        </is>
      </c>
      <c r="F2988" t="inlineStr">
        <is>
          <t>Paid Social</t>
        </is>
      </c>
      <c r="G2988" t="inlineStr">
        <is>
          <t>Mobile App</t>
        </is>
      </c>
      <c r="H2988" t="inlineStr">
        <is>
          <t>UPI</t>
        </is>
      </c>
      <c r="I2988" t="inlineStr">
        <is>
          <t>Delivered</t>
        </is>
      </c>
      <c r="J2988" t="n">
        <v>119</v>
      </c>
      <c r="K2988" t="n">
        <v>2</v>
      </c>
      <c r="L2988" t="n">
        <v>2309</v>
      </c>
      <c r="M2988" t="n">
        <v>0</v>
      </c>
      <c r="N2988">
        <f>VLOOKUP(J2988,Products!$A$2:$C$49,3,FALSE)</f>
        <v/>
      </c>
      <c r="O2988">
        <f>K2988*L2988-M2988</f>
        <v/>
      </c>
      <c r="P2988">
        <f>TEXT(B2988,"yyyy-mm")</f>
        <v/>
      </c>
      <c r="Q2988">
        <f>IF(O2988&gt;=3000,"Large","Small")</f>
        <v/>
      </c>
      <c r="R2988">
        <f>INDEX(Products!$F$2:$F$49,MATCH(J2988,Products!$A$2:$A$49,0))</f>
        <v/>
      </c>
      <c r="S2988">
        <f>WEEKDAY(B2988,2)</f>
        <v/>
      </c>
    </row>
    <row r="2989">
      <c r="A2989" t="n">
        <v>510950</v>
      </c>
      <c r="B2989" s="6" t="n">
        <v>45981</v>
      </c>
      <c r="C2989" t="n">
        <v>17345</v>
      </c>
      <c r="D2989" t="inlineStr">
        <is>
          <t>Delhi</t>
        </is>
      </c>
      <c r="E2989" t="inlineStr">
        <is>
          <t>North</t>
        </is>
      </c>
      <c r="F2989" t="inlineStr">
        <is>
          <t>Organic Search</t>
        </is>
      </c>
      <c r="G2989" t="inlineStr">
        <is>
          <t>Desktop</t>
        </is>
      </c>
      <c r="H2989" t="inlineStr">
        <is>
          <t>UPI</t>
        </is>
      </c>
      <c r="I2989" t="inlineStr">
        <is>
          <t>Delivered</t>
        </is>
      </c>
      <c r="J2989" t="n">
        <v>133</v>
      </c>
      <c r="K2989" t="n">
        <v>3</v>
      </c>
      <c r="L2989" t="n">
        <v>419</v>
      </c>
      <c r="M2989" t="n">
        <v>188.55</v>
      </c>
      <c r="N2989">
        <f>VLOOKUP(J2989,Products!$A$2:$C$49,3,FALSE)</f>
        <v/>
      </c>
      <c r="O2989">
        <f>K2989*L2989-M2989</f>
        <v/>
      </c>
      <c r="P2989">
        <f>TEXT(B2989,"yyyy-mm")</f>
        <v/>
      </c>
      <c r="Q2989">
        <f>IF(O2989&gt;=3000,"Large","Small")</f>
        <v/>
      </c>
      <c r="R2989">
        <f>INDEX(Products!$F$2:$F$49,MATCH(J2989,Products!$A$2:$A$49,0))</f>
        <v/>
      </c>
      <c r="S2989">
        <f>WEEKDAY(B2989,2)</f>
        <v/>
      </c>
    </row>
    <row r="2990">
      <c r="A2990" t="n">
        <v>510951</v>
      </c>
      <c r="B2990" s="6" t="n">
        <v>45981</v>
      </c>
      <c r="C2990" t="n">
        <v>17420</v>
      </c>
      <c r="D2990" t="inlineStr">
        <is>
          <t>Gurugram</t>
        </is>
      </c>
      <c r="E2990" t="inlineStr">
        <is>
          <t>North</t>
        </is>
      </c>
      <c r="F2990" t="inlineStr">
        <is>
          <t>Organic Search</t>
        </is>
      </c>
      <c r="G2990" t="inlineStr">
        <is>
          <t>Mobile App</t>
        </is>
      </c>
      <c r="H2990" t="inlineStr">
        <is>
          <t>UPI</t>
        </is>
      </c>
      <c r="I2990" t="inlineStr">
        <is>
          <t>Delivered</t>
        </is>
      </c>
      <c r="J2990" t="n">
        <v>108</v>
      </c>
      <c r="K2990" t="n">
        <v>1</v>
      </c>
      <c r="L2990" t="n">
        <v>419</v>
      </c>
      <c r="M2990" t="n">
        <v>0</v>
      </c>
      <c r="N2990">
        <f>VLOOKUP(J2990,Products!$A$2:$C$49,3,FALSE)</f>
        <v/>
      </c>
      <c r="O2990">
        <f>K2990*L2990-M2990</f>
        <v/>
      </c>
      <c r="P2990">
        <f>TEXT(B2990,"yyyy-mm")</f>
        <v/>
      </c>
      <c r="Q2990">
        <f>IF(O2990&gt;=3000,"Large","Small")</f>
        <v/>
      </c>
      <c r="R2990">
        <f>INDEX(Products!$F$2:$F$49,MATCH(J2990,Products!$A$2:$A$49,0))</f>
        <v/>
      </c>
      <c r="S2990">
        <f>WEEKDAY(B2990,2)</f>
        <v/>
      </c>
    </row>
    <row r="2991">
      <c r="A2991" t="n">
        <v>510952</v>
      </c>
      <c r="B2991" s="6" t="n">
        <v>45981</v>
      </c>
      <c r="C2991" t="n">
        <v>17373</v>
      </c>
      <c r="D2991" t="inlineStr">
        <is>
          <t>Pune</t>
        </is>
      </c>
      <c r="E2991" t="inlineStr">
        <is>
          <t>West</t>
        </is>
      </c>
      <c r="F2991" t="inlineStr">
        <is>
          <t>Paid Social</t>
        </is>
      </c>
      <c r="G2991" t="inlineStr">
        <is>
          <t>Mobile Web</t>
        </is>
      </c>
      <c r="H2991" t="inlineStr">
        <is>
          <t>Debit Card</t>
        </is>
      </c>
      <c r="I2991" t="inlineStr">
        <is>
          <t>Delivered</t>
        </is>
      </c>
      <c r="J2991" t="n">
        <v>114</v>
      </c>
      <c r="K2991" t="n">
        <v>1</v>
      </c>
      <c r="L2991" t="n">
        <v>1259</v>
      </c>
      <c r="M2991" t="n">
        <v>188.85</v>
      </c>
      <c r="N2991">
        <f>VLOOKUP(J2991,Products!$A$2:$C$49,3,FALSE)</f>
        <v/>
      </c>
      <c r="O2991">
        <f>K2991*L2991-M2991</f>
        <v/>
      </c>
      <c r="P2991">
        <f>TEXT(B2991,"yyyy-mm")</f>
        <v/>
      </c>
      <c r="Q2991">
        <f>IF(O2991&gt;=3000,"Large","Small")</f>
        <v/>
      </c>
      <c r="R2991">
        <f>INDEX(Products!$F$2:$F$49,MATCH(J2991,Products!$A$2:$A$49,0))</f>
        <v/>
      </c>
      <c r="S2991">
        <f>WEEKDAY(B2991,2)</f>
        <v/>
      </c>
    </row>
    <row r="2992">
      <c r="A2992" t="n">
        <v>510952</v>
      </c>
      <c r="B2992" s="6" t="n">
        <v>45981</v>
      </c>
      <c r="C2992" t="n">
        <v>17373</v>
      </c>
      <c r="D2992" t="inlineStr">
        <is>
          <t>Pune</t>
        </is>
      </c>
      <c r="E2992" t="inlineStr">
        <is>
          <t>West</t>
        </is>
      </c>
      <c r="F2992" t="inlineStr">
        <is>
          <t>Paid Social</t>
        </is>
      </c>
      <c r="G2992" t="inlineStr">
        <is>
          <t>Mobile Web</t>
        </is>
      </c>
      <c r="H2992" t="inlineStr">
        <is>
          <t>Debit Card</t>
        </is>
      </c>
      <c r="I2992" t="inlineStr">
        <is>
          <t>Delivered</t>
        </is>
      </c>
      <c r="J2992" t="n">
        <v>117</v>
      </c>
      <c r="K2992" t="n">
        <v>1</v>
      </c>
      <c r="L2992" t="n">
        <v>3149</v>
      </c>
      <c r="M2992" t="n">
        <v>472.35</v>
      </c>
      <c r="N2992">
        <f>VLOOKUP(J2992,Products!$A$2:$C$49,3,FALSE)</f>
        <v/>
      </c>
      <c r="O2992">
        <f>K2992*L2992-M2992</f>
        <v/>
      </c>
      <c r="P2992">
        <f>TEXT(B2992,"yyyy-mm")</f>
        <v/>
      </c>
      <c r="Q2992">
        <f>IF(O2992&gt;=3000,"Large","Small")</f>
        <v/>
      </c>
      <c r="R2992">
        <f>INDEX(Products!$F$2:$F$49,MATCH(J2992,Products!$A$2:$A$49,0))</f>
        <v/>
      </c>
      <c r="S2992">
        <f>WEEKDAY(B2992,2)</f>
        <v/>
      </c>
    </row>
    <row r="2993">
      <c r="A2993" t="n">
        <v>510953</v>
      </c>
      <c r="B2993" s="6" t="n">
        <v>45981</v>
      </c>
      <c r="C2993" t="n">
        <v>17366</v>
      </c>
      <c r="D2993" t="inlineStr">
        <is>
          <t>Delhi</t>
        </is>
      </c>
      <c r="E2993" t="inlineStr">
        <is>
          <t>North</t>
        </is>
      </c>
      <c r="F2993" t="inlineStr">
        <is>
          <t>Paid Search</t>
        </is>
      </c>
      <c r="G2993" t="inlineStr">
        <is>
          <t>Mobile Web</t>
        </is>
      </c>
      <c r="H2993" t="inlineStr">
        <is>
          <t>Debit Card</t>
        </is>
      </c>
      <c r="I2993" t="inlineStr">
        <is>
          <t>Delivered</t>
        </is>
      </c>
      <c r="J2993" t="n">
        <v>117</v>
      </c>
      <c r="K2993" t="n">
        <v>3</v>
      </c>
      <c r="L2993" t="n">
        <v>3149</v>
      </c>
      <c r="M2993" t="n">
        <v>0</v>
      </c>
      <c r="N2993">
        <f>VLOOKUP(J2993,Products!$A$2:$C$49,3,FALSE)</f>
        <v/>
      </c>
      <c r="O2993">
        <f>K2993*L2993-M2993</f>
        <v/>
      </c>
      <c r="P2993">
        <f>TEXT(B2993,"yyyy-mm")</f>
        <v/>
      </c>
      <c r="Q2993">
        <f>IF(O2993&gt;=3000,"Large","Small")</f>
        <v/>
      </c>
      <c r="R2993">
        <f>INDEX(Products!$F$2:$F$49,MATCH(J2993,Products!$A$2:$A$49,0))</f>
        <v/>
      </c>
      <c r="S2993">
        <f>WEEKDAY(B2993,2)</f>
        <v/>
      </c>
    </row>
    <row r="2994">
      <c r="A2994" t="n">
        <v>510954</v>
      </c>
      <c r="B2994" s="6" t="n">
        <v>45981</v>
      </c>
      <c r="C2994" t="n">
        <v>15574</v>
      </c>
      <c r="D2994" t="inlineStr">
        <is>
          <t>Chennai</t>
        </is>
      </c>
      <c r="E2994" t="inlineStr">
        <is>
          <t>South</t>
        </is>
      </c>
      <c r="F2994" t="inlineStr">
        <is>
          <t>Referral</t>
        </is>
      </c>
      <c r="G2994" t="inlineStr">
        <is>
          <t>Desktop</t>
        </is>
      </c>
      <c r="H2994" t="inlineStr">
        <is>
          <t>Debit Card</t>
        </is>
      </c>
      <c r="I2994" t="inlineStr">
        <is>
          <t>Delivered</t>
        </is>
      </c>
      <c r="J2994" t="n">
        <v>113</v>
      </c>
      <c r="K2994" t="n">
        <v>1</v>
      </c>
      <c r="L2994" t="n">
        <v>1364</v>
      </c>
      <c r="M2994" t="n">
        <v>0</v>
      </c>
      <c r="N2994">
        <f>VLOOKUP(J2994,Products!$A$2:$C$49,3,FALSE)</f>
        <v/>
      </c>
      <c r="O2994">
        <f>K2994*L2994-M2994</f>
        <v/>
      </c>
      <c r="P2994">
        <f>TEXT(B2994,"yyyy-mm")</f>
        <v/>
      </c>
      <c r="Q2994">
        <f>IF(O2994&gt;=3000,"Large","Small")</f>
        <v/>
      </c>
      <c r="R2994">
        <f>INDEX(Products!$F$2:$F$49,MATCH(J2994,Products!$A$2:$A$49,0))</f>
        <v/>
      </c>
      <c r="S2994">
        <f>WEEKDAY(B2994,2)</f>
        <v/>
      </c>
    </row>
    <row r="2995">
      <c r="A2995" t="n">
        <v>510954</v>
      </c>
      <c r="B2995" s="6" t="n">
        <v>45981</v>
      </c>
      <c r="C2995" t="n">
        <v>15574</v>
      </c>
      <c r="D2995" t="inlineStr">
        <is>
          <t>Chennai</t>
        </is>
      </c>
      <c r="E2995" t="inlineStr">
        <is>
          <t>South</t>
        </is>
      </c>
      <c r="F2995" t="inlineStr">
        <is>
          <t>Referral</t>
        </is>
      </c>
      <c r="G2995" t="inlineStr">
        <is>
          <t>Desktop</t>
        </is>
      </c>
      <c r="H2995" t="inlineStr">
        <is>
          <t>Debit Card</t>
        </is>
      </c>
      <c r="I2995" t="inlineStr">
        <is>
          <t>Delivered</t>
        </is>
      </c>
      <c r="J2995" t="n">
        <v>125</v>
      </c>
      <c r="K2995" t="n">
        <v>2</v>
      </c>
      <c r="L2995" t="n">
        <v>1364</v>
      </c>
      <c r="M2995" t="n">
        <v>0</v>
      </c>
      <c r="N2995">
        <f>VLOOKUP(J2995,Products!$A$2:$C$49,3,FALSE)</f>
        <v/>
      </c>
      <c r="O2995">
        <f>K2995*L2995-M2995</f>
        <v/>
      </c>
      <c r="P2995">
        <f>TEXT(B2995,"yyyy-mm")</f>
        <v/>
      </c>
      <c r="Q2995">
        <f>IF(O2995&gt;=3000,"Large","Small")</f>
        <v/>
      </c>
      <c r="R2995">
        <f>INDEX(Products!$F$2:$F$49,MATCH(J2995,Products!$A$2:$A$49,0))</f>
        <v/>
      </c>
      <c r="S2995">
        <f>WEEKDAY(B2995,2)</f>
        <v/>
      </c>
    </row>
    <row r="2996">
      <c r="A2996" t="n">
        <v>510955</v>
      </c>
      <c r="B2996" s="6" t="n">
        <v>45981</v>
      </c>
      <c r="C2996" t="n">
        <v>17399</v>
      </c>
      <c r="D2996" t="inlineStr">
        <is>
          <t>Ahmedabad</t>
        </is>
      </c>
      <c r="E2996" t="inlineStr">
        <is>
          <t>West</t>
        </is>
      </c>
      <c r="F2996" t="inlineStr">
        <is>
          <t>Paid Social</t>
        </is>
      </c>
      <c r="G2996" t="inlineStr">
        <is>
          <t>Mobile App</t>
        </is>
      </c>
      <c r="H2996" t="inlineStr">
        <is>
          <t>Cash on Delivery</t>
        </is>
      </c>
      <c r="I2996" t="inlineStr">
        <is>
          <t>Delivered</t>
        </is>
      </c>
      <c r="J2996" t="n">
        <v>104</v>
      </c>
      <c r="K2996" t="n">
        <v>1</v>
      </c>
      <c r="L2996" t="n">
        <v>5249</v>
      </c>
      <c r="M2996" t="n">
        <v>262.45</v>
      </c>
      <c r="N2996">
        <f>VLOOKUP(J2996,Products!$A$2:$C$49,3,FALSE)</f>
        <v/>
      </c>
      <c r="O2996">
        <f>K2996*L2996-M2996</f>
        <v/>
      </c>
      <c r="P2996">
        <f>TEXT(B2996,"yyyy-mm")</f>
        <v/>
      </c>
      <c r="Q2996">
        <f>IF(O2996&gt;=3000,"Large","Small")</f>
        <v/>
      </c>
      <c r="R2996">
        <f>INDEX(Products!$F$2:$F$49,MATCH(J2996,Products!$A$2:$A$49,0))</f>
        <v/>
      </c>
      <c r="S2996">
        <f>WEEKDAY(B2996,2)</f>
        <v/>
      </c>
    </row>
    <row r="2997">
      <c r="A2997" t="n">
        <v>510955</v>
      </c>
      <c r="B2997" s="6" t="n">
        <v>45981</v>
      </c>
      <c r="C2997" t="n">
        <v>17399</v>
      </c>
      <c r="D2997" t="inlineStr">
        <is>
          <t>Ahmedabad</t>
        </is>
      </c>
      <c r="E2997" t="inlineStr">
        <is>
          <t>West</t>
        </is>
      </c>
      <c r="F2997" t="inlineStr">
        <is>
          <t>Paid Social</t>
        </is>
      </c>
      <c r="G2997" t="inlineStr">
        <is>
          <t>Mobile App</t>
        </is>
      </c>
      <c r="H2997" t="inlineStr">
        <is>
          <t>Cash on Delivery</t>
        </is>
      </c>
      <c r="I2997" t="inlineStr">
        <is>
          <t>Delivered</t>
        </is>
      </c>
      <c r="J2997" t="n">
        <v>122</v>
      </c>
      <c r="K2997" t="n">
        <v>1</v>
      </c>
      <c r="L2997" t="n">
        <v>1994</v>
      </c>
      <c r="M2997" t="n">
        <v>99.7</v>
      </c>
      <c r="N2997">
        <f>VLOOKUP(J2997,Products!$A$2:$C$49,3,FALSE)</f>
        <v/>
      </c>
      <c r="O2997">
        <f>K2997*L2997-M2997</f>
        <v/>
      </c>
      <c r="P2997">
        <f>TEXT(B2997,"yyyy-mm")</f>
        <v/>
      </c>
      <c r="Q2997">
        <f>IF(O2997&gt;=3000,"Large","Small")</f>
        <v/>
      </c>
      <c r="R2997">
        <f>INDEX(Products!$F$2:$F$49,MATCH(J2997,Products!$A$2:$A$49,0))</f>
        <v/>
      </c>
      <c r="S2997">
        <f>WEEKDAY(B2997,2)</f>
        <v/>
      </c>
    </row>
    <row r="2998">
      <c r="A2998" t="n">
        <v>510956</v>
      </c>
      <c r="B2998" s="6" t="n">
        <v>45981</v>
      </c>
      <c r="C2998" t="n">
        <v>15929</v>
      </c>
      <c r="D2998" t="inlineStr">
        <is>
          <t>Ahmedabad</t>
        </is>
      </c>
      <c r="E2998" t="inlineStr">
        <is>
          <t>West</t>
        </is>
      </c>
      <c r="F2998" t="inlineStr">
        <is>
          <t>Organic Search</t>
        </is>
      </c>
      <c r="G2998" t="inlineStr">
        <is>
          <t>Mobile Web</t>
        </is>
      </c>
      <c r="H2998" t="inlineStr">
        <is>
          <t>UPI</t>
        </is>
      </c>
      <c r="I2998" t="inlineStr">
        <is>
          <t>Delivered</t>
        </is>
      </c>
      <c r="J2998" t="n">
        <v>131</v>
      </c>
      <c r="K2998" t="n">
        <v>1</v>
      </c>
      <c r="L2998" t="n">
        <v>314</v>
      </c>
      <c r="M2998" t="n">
        <v>0</v>
      </c>
      <c r="N2998">
        <f>VLOOKUP(J2998,Products!$A$2:$C$49,3,FALSE)</f>
        <v/>
      </c>
      <c r="O2998">
        <f>K2998*L2998-M2998</f>
        <v/>
      </c>
      <c r="P2998">
        <f>TEXT(B2998,"yyyy-mm")</f>
        <v/>
      </c>
      <c r="Q2998">
        <f>IF(O2998&gt;=3000,"Large","Small")</f>
        <v/>
      </c>
      <c r="R2998">
        <f>INDEX(Products!$F$2:$F$49,MATCH(J2998,Products!$A$2:$A$49,0))</f>
        <v/>
      </c>
      <c r="S2998">
        <f>WEEKDAY(B2998,2)</f>
        <v/>
      </c>
    </row>
    <row r="2999">
      <c r="A2999" t="n">
        <v>510957</v>
      </c>
      <c r="B2999" s="6" t="n">
        <v>45981</v>
      </c>
      <c r="C2999" t="n">
        <v>14381</v>
      </c>
      <c r="D2999" t="inlineStr">
        <is>
          <t>Delhi</t>
        </is>
      </c>
      <c r="E2999" t="inlineStr">
        <is>
          <t>North</t>
        </is>
      </c>
      <c r="F2999" t="inlineStr">
        <is>
          <t>Paid Social</t>
        </is>
      </c>
      <c r="G2999" t="inlineStr">
        <is>
          <t>Mobile App</t>
        </is>
      </c>
      <c r="H2999" t="inlineStr">
        <is>
          <t>UPI</t>
        </is>
      </c>
      <c r="I2999" t="inlineStr">
        <is>
          <t>Delivered</t>
        </is>
      </c>
      <c r="J2999" t="n">
        <v>135</v>
      </c>
      <c r="K2999" t="n">
        <v>2</v>
      </c>
      <c r="L2999" t="n">
        <v>1574</v>
      </c>
      <c r="M2999" t="n">
        <v>0</v>
      </c>
      <c r="N2999">
        <f>VLOOKUP(J2999,Products!$A$2:$C$49,3,FALSE)</f>
        <v/>
      </c>
      <c r="O2999">
        <f>K2999*L2999-M2999</f>
        <v/>
      </c>
      <c r="P2999">
        <f>TEXT(B2999,"yyyy-mm")</f>
        <v/>
      </c>
      <c r="Q2999">
        <f>IF(O2999&gt;=3000,"Large","Small")</f>
        <v/>
      </c>
      <c r="R2999">
        <f>INDEX(Products!$F$2:$F$49,MATCH(J2999,Products!$A$2:$A$49,0))</f>
        <v/>
      </c>
      <c r="S2999">
        <f>WEEKDAY(B2999,2)</f>
        <v/>
      </c>
    </row>
    <row r="3000">
      <c r="A3000" t="n">
        <v>510958</v>
      </c>
      <c r="B3000" s="6" t="n">
        <v>45981</v>
      </c>
      <c r="C3000" t="n">
        <v>17379</v>
      </c>
      <c r="D3000" t="inlineStr">
        <is>
          <t>Bengaluru</t>
        </is>
      </c>
      <c r="E3000" t="inlineStr">
        <is>
          <t>South</t>
        </is>
      </c>
      <c r="F3000" t="inlineStr">
        <is>
          <t>Organic Search</t>
        </is>
      </c>
      <c r="G3000" t="inlineStr">
        <is>
          <t>Mobile App</t>
        </is>
      </c>
      <c r="H3000" t="inlineStr">
        <is>
          <t>Credit Card</t>
        </is>
      </c>
      <c r="I3000" t="inlineStr">
        <is>
          <t>Delivered</t>
        </is>
      </c>
      <c r="J3000" t="n">
        <v>114</v>
      </c>
      <c r="K3000" t="n">
        <v>3</v>
      </c>
      <c r="L3000" t="n">
        <v>1259</v>
      </c>
      <c r="M3000" t="n">
        <v>0</v>
      </c>
      <c r="N3000">
        <f>VLOOKUP(J3000,Products!$A$2:$C$49,3,FALSE)</f>
        <v/>
      </c>
      <c r="O3000">
        <f>K3000*L3000-M3000</f>
        <v/>
      </c>
      <c r="P3000">
        <f>TEXT(B3000,"yyyy-mm")</f>
        <v/>
      </c>
      <c r="Q3000">
        <f>IF(O3000&gt;=3000,"Large","Small")</f>
        <v/>
      </c>
      <c r="R3000">
        <f>INDEX(Products!$F$2:$F$49,MATCH(J3000,Products!$A$2:$A$49,0))</f>
        <v/>
      </c>
      <c r="S3000">
        <f>WEEKDAY(B3000,2)</f>
        <v/>
      </c>
    </row>
    <row r="3001">
      <c r="A3001" t="n">
        <v>510959</v>
      </c>
      <c r="B3001" s="6" t="n">
        <v>45981</v>
      </c>
      <c r="C3001" t="n">
        <v>17423</v>
      </c>
      <c r="D3001" t="inlineStr">
        <is>
          <t>Delhi</t>
        </is>
      </c>
      <c r="E3001" t="inlineStr">
        <is>
          <t>North</t>
        </is>
      </c>
      <c r="F3001" t="inlineStr">
        <is>
          <t>Paid Search</t>
        </is>
      </c>
      <c r="G3001" t="inlineStr">
        <is>
          <t>Mobile App</t>
        </is>
      </c>
      <c r="H3001" t="inlineStr">
        <is>
          <t>UPI</t>
        </is>
      </c>
      <c r="I3001" t="inlineStr">
        <is>
          <t>Delivered</t>
        </is>
      </c>
      <c r="J3001" t="n">
        <v>130</v>
      </c>
      <c r="K3001" t="n">
        <v>1</v>
      </c>
      <c r="L3001" t="n">
        <v>734</v>
      </c>
      <c r="M3001" t="n">
        <v>110.1</v>
      </c>
      <c r="N3001">
        <f>VLOOKUP(J3001,Products!$A$2:$C$49,3,FALSE)</f>
        <v/>
      </c>
      <c r="O3001">
        <f>K3001*L3001-M3001</f>
        <v/>
      </c>
      <c r="P3001">
        <f>TEXT(B3001,"yyyy-mm")</f>
        <v/>
      </c>
      <c r="Q3001">
        <f>IF(O3001&gt;=3000,"Large","Small")</f>
        <v/>
      </c>
      <c r="R3001">
        <f>INDEX(Products!$F$2:$F$49,MATCH(J3001,Products!$A$2:$A$49,0))</f>
        <v/>
      </c>
      <c r="S3001">
        <f>WEEKDAY(B3001,2)</f>
        <v/>
      </c>
    </row>
    <row r="3002">
      <c r="A3002" t="n">
        <v>510959</v>
      </c>
      <c r="B3002" s="6" t="n">
        <v>45981</v>
      </c>
      <c r="C3002" t="n">
        <v>17423</v>
      </c>
      <c r="D3002" t="inlineStr">
        <is>
          <t>Delhi</t>
        </is>
      </c>
      <c r="E3002" t="inlineStr">
        <is>
          <t>North</t>
        </is>
      </c>
      <c r="F3002" t="inlineStr">
        <is>
          <t>Paid Search</t>
        </is>
      </c>
      <c r="G3002" t="inlineStr">
        <is>
          <t>Mobile App</t>
        </is>
      </c>
      <c r="H3002" t="inlineStr">
        <is>
          <t>UPI</t>
        </is>
      </c>
      <c r="I3002" t="inlineStr">
        <is>
          <t>Delivered</t>
        </is>
      </c>
      <c r="J3002" t="n">
        <v>105</v>
      </c>
      <c r="K3002" t="n">
        <v>1</v>
      </c>
      <c r="L3002" t="n">
        <v>2414</v>
      </c>
      <c r="M3002" t="n">
        <v>362.1</v>
      </c>
      <c r="N3002">
        <f>VLOOKUP(J3002,Products!$A$2:$C$49,3,FALSE)</f>
        <v/>
      </c>
      <c r="O3002">
        <f>K3002*L3002-M3002</f>
        <v/>
      </c>
      <c r="P3002">
        <f>TEXT(B3002,"yyyy-mm")</f>
        <v/>
      </c>
      <c r="Q3002">
        <f>IF(O3002&gt;=3000,"Large","Small")</f>
        <v/>
      </c>
      <c r="R3002">
        <f>INDEX(Products!$F$2:$F$49,MATCH(J3002,Products!$A$2:$A$49,0))</f>
        <v/>
      </c>
      <c r="S3002">
        <f>WEEKDAY(B3002,2)</f>
        <v/>
      </c>
    </row>
    <row r="3003">
      <c r="A3003" t="n">
        <v>510960</v>
      </c>
      <c r="B3003" s="6" t="n">
        <v>45981</v>
      </c>
      <c r="C3003" t="n">
        <v>17230</v>
      </c>
      <c r="D3003" t="inlineStr">
        <is>
          <t>Indore</t>
        </is>
      </c>
      <c r="E3003" t="inlineStr">
        <is>
          <t>West</t>
        </is>
      </c>
      <c r="F3003" t="inlineStr">
        <is>
          <t>Referral</t>
        </is>
      </c>
      <c r="G3003" t="inlineStr">
        <is>
          <t>Mobile App</t>
        </is>
      </c>
      <c r="H3003" t="inlineStr">
        <is>
          <t>UPI</t>
        </is>
      </c>
      <c r="I3003" t="inlineStr">
        <is>
          <t>Delivered</t>
        </is>
      </c>
      <c r="J3003" t="n">
        <v>111</v>
      </c>
      <c r="K3003" t="n">
        <v>1</v>
      </c>
      <c r="L3003" t="n">
        <v>524</v>
      </c>
      <c r="M3003" t="n">
        <v>0</v>
      </c>
      <c r="N3003">
        <f>VLOOKUP(J3003,Products!$A$2:$C$49,3,FALSE)</f>
        <v/>
      </c>
      <c r="O3003">
        <f>K3003*L3003-M3003</f>
        <v/>
      </c>
      <c r="P3003">
        <f>TEXT(B3003,"yyyy-mm")</f>
        <v/>
      </c>
      <c r="Q3003">
        <f>IF(O3003&gt;=3000,"Large","Small")</f>
        <v/>
      </c>
      <c r="R3003">
        <f>INDEX(Products!$F$2:$F$49,MATCH(J3003,Products!$A$2:$A$49,0))</f>
        <v/>
      </c>
      <c r="S3003">
        <f>WEEKDAY(B3003,2)</f>
        <v/>
      </c>
    </row>
    <row r="3004">
      <c r="A3004" t="n">
        <v>510961</v>
      </c>
      <c r="B3004" s="6" t="n">
        <v>45981</v>
      </c>
      <c r="C3004" t="n">
        <v>17270</v>
      </c>
      <c r="D3004" t="inlineStr">
        <is>
          <t>Gurugram</t>
        </is>
      </c>
      <c r="E3004" t="inlineStr">
        <is>
          <t>North</t>
        </is>
      </c>
      <c r="F3004" t="inlineStr">
        <is>
          <t>Organic Search</t>
        </is>
      </c>
      <c r="G3004" t="inlineStr">
        <is>
          <t>Mobile App</t>
        </is>
      </c>
      <c r="H3004" t="inlineStr">
        <is>
          <t>UPI</t>
        </is>
      </c>
      <c r="I3004" t="inlineStr">
        <is>
          <t>Delivered</t>
        </is>
      </c>
      <c r="J3004" t="n">
        <v>111</v>
      </c>
      <c r="K3004" t="n">
        <v>3</v>
      </c>
      <c r="L3004" t="n">
        <v>524</v>
      </c>
      <c r="M3004" t="n">
        <v>0</v>
      </c>
      <c r="N3004">
        <f>VLOOKUP(J3004,Products!$A$2:$C$49,3,FALSE)</f>
        <v/>
      </c>
      <c r="O3004">
        <f>K3004*L3004-M3004</f>
        <v/>
      </c>
      <c r="P3004">
        <f>TEXT(B3004,"yyyy-mm")</f>
        <v/>
      </c>
      <c r="Q3004">
        <f>IF(O3004&gt;=3000,"Large","Small")</f>
        <v/>
      </c>
      <c r="R3004">
        <f>INDEX(Products!$F$2:$F$49,MATCH(J3004,Products!$A$2:$A$49,0))</f>
        <v/>
      </c>
      <c r="S3004">
        <f>WEEKDAY(B3004,2)</f>
        <v/>
      </c>
    </row>
    <row r="3005">
      <c r="A3005" t="n">
        <v>510961</v>
      </c>
      <c r="B3005" s="6" t="n">
        <v>45981</v>
      </c>
      <c r="C3005" t="n">
        <v>17270</v>
      </c>
      <c r="D3005" t="inlineStr">
        <is>
          <t>Gurugram</t>
        </is>
      </c>
      <c r="E3005" t="inlineStr">
        <is>
          <t>North</t>
        </is>
      </c>
      <c r="F3005" t="inlineStr">
        <is>
          <t>Organic Search</t>
        </is>
      </c>
      <c r="G3005" t="inlineStr">
        <is>
          <t>Mobile App</t>
        </is>
      </c>
      <c r="H3005" t="inlineStr">
        <is>
          <t>UPI</t>
        </is>
      </c>
      <c r="I3005" t="inlineStr">
        <is>
          <t>Delivered</t>
        </is>
      </c>
      <c r="J3005" t="n">
        <v>116</v>
      </c>
      <c r="K3005" t="n">
        <v>2</v>
      </c>
      <c r="L3005" t="n">
        <v>2624</v>
      </c>
      <c r="M3005" t="n">
        <v>0</v>
      </c>
      <c r="N3005">
        <f>VLOOKUP(J3005,Products!$A$2:$C$49,3,FALSE)</f>
        <v/>
      </c>
      <c r="O3005">
        <f>K3005*L3005-M3005</f>
        <v/>
      </c>
      <c r="P3005">
        <f>TEXT(B3005,"yyyy-mm")</f>
        <v/>
      </c>
      <c r="Q3005">
        <f>IF(O3005&gt;=3000,"Large","Small")</f>
        <v/>
      </c>
      <c r="R3005">
        <f>INDEX(Products!$F$2:$F$49,MATCH(J3005,Products!$A$2:$A$49,0))</f>
        <v/>
      </c>
      <c r="S3005">
        <f>WEEKDAY(B3005,2)</f>
        <v/>
      </c>
    </row>
    <row r="3006">
      <c r="A3006" t="n">
        <v>510962</v>
      </c>
      <c r="B3006" s="6" t="n">
        <v>45981</v>
      </c>
      <c r="C3006" t="n">
        <v>12450</v>
      </c>
      <c r="D3006" t="inlineStr">
        <is>
          <t>Hyderabad</t>
        </is>
      </c>
      <c r="E3006" t="inlineStr">
        <is>
          <t>South</t>
        </is>
      </c>
      <c r="F3006" t="inlineStr">
        <is>
          <t>Affiliate</t>
        </is>
      </c>
      <c r="G3006" t="inlineStr">
        <is>
          <t>Desktop</t>
        </is>
      </c>
      <c r="H3006" t="inlineStr">
        <is>
          <t>UPI</t>
        </is>
      </c>
      <c r="I3006" t="inlineStr">
        <is>
          <t>Delivered</t>
        </is>
      </c>
      <c r="J3006" t="n">
        <v>107</v>
      </c>
      <c r="K3006" t="n">
        <v>1</v>
      </c>
      <c r="L3006" t="n">
        <v>1259</v>
      </c>
      <c r="M3006" t="n">
        <v>0</v>
      </c>
      <c r="N3006">
        <f>VLOOKUP(J3006,Products!$A$2:$C$49,3,FALSE)</f>
        <v/>
      </c>
      <c r="O3006">
        <f>K3006*L3006-M3006</f>
        <v/>
      </c>
      <c r="P3006">
        <f>TEXT(B3006,"yyyy-mm")</f>
        <v/>
      </c>
      <c r="Q3006">
        <f>IF(O3006&gt;=3000,"Large","Small")</f>
        <v/>
      </c>
      <c r="R3006">
        <f>INDEX(Products!$F$2:$F$49,MATCH(J3006,Products!$A$2:$A$49,0))</f>
        <v/>
      </c>
      <c r="S3006">
        <f>WEEKDAY(B3006,2)</f>
        <v/>
      </c>
    </row>
    <row r="3007">
      <c r="A3007" t="n">
        <v>510963</v>
      </c>
      <c r="B3007" s="6" t="n">
        <v>45981</v>
      </c>
      <c r="C3007" t="n">
        <v>16654</v>
      </c>
      <c r="D3007" t="inlineStr">
        <is>
          <t>Delhi</t>
        </is>
      </c>
      <c r="E3007" t="inlineStr">
        <is>
          <t>North</t>
        </is>
      </c>
      <c r="F3007" t="inlineStr">
        <is>
          <t>Paid Social</t>
        </is>
      </c>
      <c r="G3007" t="inlineStr">
        <is>
          <t>Mobile App</t>
        </is>
      </c>
      <c r="H3007" t="inlineStr">
        <is>
          <t>Credit Card</t>
        </is>
      </c>
      <c r="I3007" t="inlineStr">
        <is>
          <t>Delivered</t>
        </is>
      </c>
      <c r="J3007" t="n">
        <v>111</v>
      </c>
      <c r="K3007" t="n">
        <v>1</v>
      </c>
      <c r="L3007" t="n">
        <v>524</v>
      </c>
      <c r="M3007" t="n">
        <v>0</v>
      </c>
      <c r="N3007">
        <f>VLOOKUP(J3007,Products!$A$2:$C$49,3,FALSE)</f>
        <v/>
      </c>
      <c r="O3007">
        <f>K3007*L3007-M3007</f>
        <v/>
      </c>
      <c r="P3007">
        <f>TEXT(B3007,"yyyy-mm")</f>
        <v/>
      </c>
      <c r="Q3007">
        <f>IF(O3007&gt;=3000,"Large","Small")</f>
        <v/>
      </c>
      <c r="R3007">
        <f>INDEX(Products!$F$2:$F$49,MATCH(J3007,Products!$A$2:$A$49,0))</f>
        <v/>
      </c>
      <c r="S3007">
        <f>WEEKDAY(B3007,2)</f>
        <v/>
      </c>
    </row>
    <row r="3008">
      <c r="A3008" t="n">
        <v>510963</v>
      </c>
      <c r="B3008" s="6" t="n">
        <v>45981</v>
      </c>
      <c r="C3008" t="n">
        <v>16654</v>
      </c>
      <c r="D3008" t="inlineStr">
        <is>
          <t>Delhi</t>
        </is>
      </c>
      <c r="E3008" t="inlineStr">
        <is>
          <t>North</t>
        </is>
      </c>
      <c r="F3008" t="inlineStr">
        <is>
          <t>Paid Social</t>
        </is>
      </c>
      <c r="G3008" t="inlineStr">
        <is>
          <t>Mobile App</t>
        </is>
      </c>
      <c r="H3008" t="inlineStr">
        <is>
          <t>Credit Card</t>
        </is>
      </c>
      <c r="I3008" t="inlineStr">
        <is>
          <t>Delivered</t>
        </is>
      </c>
      <c r="J3008" t="n">
        <v>124</v>
      </c>
      <c r="K3008" t="n">
        <v>1</v>
      </c>
      <c r="L3008" t="n">
        <v>1154</v>
      </c>
      <c r="M3008" t="n">
        <v>0</v>
      </c>
      <c r="N3008">
        <f>VLOOKUP(J3008,Products!$A$2:$C$49,3,FALSE)</f>
        <v/>
      </c>
      <c r="O3008">
        <f>K3008*L3008-M3008</f>
        <v/>
      </c>
      <c r="P3008">
        <f>TEXT(B3008,"yyyy-mm")</f>
        <v/>
      </c>
      <c r="Q3008">
        <f>IF(O3008&gt;=3000,"Large","Small")</f>
        <v/>
      </c>
      <c r="R3008">
        <f>INDEX(Products!$F$2:$F$49,MATCH(J3008,Products!$A$2:$A$49,0))</f>
        <v/>
      </c>
      <c r="S3008">
        <f>WEEKDAY(B3008,2)</f>
        <v/>
      </c>
    </row>
    <row r="3009">
      <c r="A3009" t="n">
        <v>510963</v>
      </c>
      <c r="B3009" s="6" t="n">
        <v>45981</v>
      </c>
      <c r="C3009" t="n">
        <v>16654</v>
      </c>
      <c r="D3009" t="inlineStr">
        <is>
          <t>Delhi</t>
        </is>
      </c>
      <c r="E3009" t="inlineStr">
        <is>
          <t>North</t>
        </is>
      </c>
      <c r="F3009" t="inlineStr">
        <is>
          <t>Paid Social</t>
        </is>
      </c>
      <c r="G3009" t="inlineStr">
        <is>
          <t>Mobile App</t>
        </is>
      </c>
      <c r="H3009" t="inlineStr">
        <is>
          <t>Credit Card</t>
        </is>
      </c>
      <c r="I3009" t="inlineStr">
        <is>
          <t>Delivered</t>
        </is>
      </c>
      <c r="J3009" t="n">
        <v>117</v>
      </c>
      <c r="K3009" t="n">
        <v>1</v>
      </c>
      <c r="L3009" t="n">
        <v>3149</v>
      </c>
      <c r="M3009" t="n">
        <v>0</v>
      </c>
      <c r="N3009">
        <f>VLOOKUP(J3009,Products!$A$2:$C$49,3,FALSE)</f>
        <v/>
      </c>
      <c r="O3009">
        <f>K3009*L3009-M3009</f>
        <v/>
      </c>
      <c r="P3009">
        <f>TEXT(B3009,"yyyy-mm")</f>
        <v/>
      </c>
      <c r="Q3009">
        <f>IF(O3009&gt;=3000,"Large","Small")</f>
        <v/>
      </c>
      <c r="R3009">
        <f>INDEX(Products!$F$2:$F$49,MATCH(J3009,Products!$A$2:$A$49,0))</f>
        <v/>
      </c>
      <c r="S3009">
        <f>WEEKDAY(B3009,2)</f>
        <v/>
      </c>
    </row>
    <row r="3010">
      <c r="A3010" t="n">
        <v>510964</v>
      </c>
      <c r="B3010" s="6" t="n">
        <v>45981</v>
      </c>
      <c r="C3010" t="n">
        <v>17338</v>
      </c>
      <c r="D3010" t="inlineStr">
        <is>
          <t>Chennai</t>
        </is>
      </c>
      <c r="E3010" t="inlineStr">
        <is>
          <t>South</t>
        </is>
      </c>
      <c r="F3010" t="inlineStr">
        <is>
          <t>Email</t>
        </is>
      </c>
      <c r="G3010" t="inlineStr">
        <is>
          <t>Mobile App</t>
        </is>
      </c>
      <c r="H3010" t="inlineStr">
        <is>
          <t>UPI</t>
        </is>
      </c>
      <c r="I3010" t="inlineStr">
        <is>
          <t>Delivered</t>
        </is>
      </c>
      <c r="J3010" t="n">
        <v>104</v>
      </c>
      <c r="K3010" t="n">
        <v>1</v>
      </c>
      <c r="L3010" t="n">
        <v>5249</v>
      </c>
      <c r="M3010" t="n">
        <v>0</v>
      </c>
      <c r="N3010">
        <f>VLOOKUP(J3010,Products!$A$2:$C$49,3,FALSE)</f>
        <v/>
      </c>
      <c r="O3010">
        <f>K3010*L3010-M3010</f>
        <v/>
      </c>
      <c r="P3010">
        <f>TEXT(B3010,"yyyy-mm")</f>
        <v/>
      </c>
      <c r="Q3010">
        <f>IF(O3010&gt;=3000,"Large","Small")</f>
        <v/>
      </c>
      <c r="R3010">
        <f>INDEX(Products!$F$2:$F$49,MATCH(J3010,Products!$A$2:$A$49,0))</f>
        <v/>
      </c>
      <c r="S3010">
        <f>WEEKDAY(B3010,2)</f>
        <v/>
      </c>
    </row>
    <row r="3011">
      <c r="A3011" t="n">
        <v>510964</v>
      </c>
      <c r="B3011" s="6" t="n">
        <v>45981</v>
      </c>
      <c r="C3011" t="n">
        <v>17338</v>
      </c>
      <c r="D3011" t="inlineStr">
        <is>
          <t>Chennai</t>
        </is>
      </c>
      <c r="E3011" t="inlineStr">
        <is>
          <t>South</t>
        </is>
      </c>
      <c r="F3011" t="inlineStr">
        <is>
          <t>Email</t>
        </is>
      </c>
      <c r="G3011" t="inlineStr">
        <is>
          <t>Mobile App</t>
        </is>
      </c>
      <c r="H3011" t="inlineStr">
        <is>
          <t>UPI</t>
        </is>
      </c>
      <c r="I3011" t="inlineStr">
        <is>
          <t>Delivered</t>
        </is>
      </c>
      <c r="J3011" t="n">
        <v>137</v>
      </c>
      <c r="K3011" t="n">
        <v>1</v>
      </c>
      <c r="L3011" t="n">
        <v>261</v>
      </c>
      <c r="M3011" t="n">
        <v>0</v>
      </c>
      <c r="N3011">
        <f>VLOOKUP(J3011,Products!$A$2:$C$49,3,FALSE)</f>
        <v/>
      </c>
      <c r="O3011">
        <f>K3011*L3011-M3011</f>
        <v/>
      </c>
      <c r="P3011">
        <f>TEXT(B3011,"yyyy-mm")</f>
        <v/>
      </c>
      <c r="Q3011">
        <f>IF(O3011&gt;=3000,"Large","Small")</f>
        <v/>
      </c>
      <c r="R3011">
        <f>INDEX(Products!$F$2:$F$49,MATCH(J3011,Products!$A$2:$A$49,0))</f>
        <v/>
      </c>
      <c r="S3011">
        <f>WEEKDAY(B3011,2)</f>
        <v/>
      </c>
    </row>
    <row r="3012">
      <c r="A3012" t="n">
        <v>510965</v>
      </c>
      <c r="B3012" s="6" t="n">
        <v>45981</v>
      </c>
      <c r="C3012" t="n">
        <v>17415</v>
      </c>
      <c r="D3012" t="inlineStr">
        <is>
          <t>Mumbai</t>
        </is>
      </c>
      <c r="E3012" t="inlineStr">
        <is>
          <t>West</t>
        </is>
      </c>
      <c r="F3012" t="inlineStr">
        <is>
          <t>Paid Social</t>
        </is>
      </c>
      <c r="G3012" t="inlineStr">
        <is>
          <t>Mobile App</t>
        </is>
      </c>
      <c r="H3012" t="inlineStr">
        <is>
          <t>Cash on Delivery</t>
        </is>
      </c>
      <c r="I3012" t="inlineStr">
        <is>
          <t>Delivered</t>
        </is>
      </c>
      <c r="J3012" t="n">
        <v>105</v>
      </c>
      <c r="K3012" t="n">
        <v>1</v>
      </c>
      <c r="L3012" t="n">
        <v>2414</v>
      </c>
      <c r="M3012" t="n">
        <v>362.1</v>
      </c>
      <c r="N3012">
        <f>VLOOKUP(J3012,Products!$A$2:$C$49,3,FALSE)</f>
        <v/>
      </c>
      <c r="O3012">
        <f>K3012*L3012-M3012</f>
        <v/>
      </c>
      <c r="P3012">
        <f>TEXT(B3012,"yyyy-mm")</f>
        <v/>
      </c>
      <c r="Q3012">
        <f>IF(O3012&gt;=3000,"Large","Small")</f>
        <v/>
      </c>
      <c r="R3012">
        <f>INDEX(Products!$F$2:$F$49,MATCH(J3012,Products!$A$2:$A$49,0))</f>
        <v/>
      </c>
      <c r="S3012">
        <f>WEEKDAY(B3012,2)</f>
        <v/>
      </c>
    </row>
    <row r="3013">
      <c r="A3013" t="n">
        <v>510966</v>
      </c>
      <c r="B3013" s="6" t="n">
        <v>45981</v>
      </c>
      <c r="C3013" t="n">
        <v>16377</v>
      </c>
      <c r="D3013" t="inlineStr">
        <is>
          <t>Ahmedabad</t>
        </is>
      </c>
      <c r="E3013" t="inlineStr">
        <is>
          <t>West</t>
        </is>
      </c>
      <c r="F3013" t="inlineStr">
        <is>
          <t>Organic Search</t>
        </is>
      </c>
      <c r="G3013" t="inlineStr">
        <is>
          <t>Mobile App</t>
        </is>
      </c>
      <c r="H3013" t="inlineStr">
        <is>
          <t>Cash on Delivery</t>
        </is>
      </c>
      <c r="I3013" t="inlineStr">
        <is>
          <t>Delivered</t>
        </is>
      </c>
      <c r="J3013" t="n">
        <v>122</v>
      </c>
      <c r="K3013" t="n">
        <v>3</v>
      </c>
      <c r="L3013" t="n">
        <v>1994</v>
      </c>
      <c r="M3013" t="n">
        <v>0</v>
      </c>
      <c r="N3013">
        <f>VLOOKUP(J3013,Products!$A$2:$C$49,3,FALSE)</f>
        <v/>
      </c>
      <c r="O3013">
        <f>K3013*L3013-M3013</f>
        <v/>
      </c>
      <c r="P3013">
        <f>TEXT(B3013,"yyyy-mm")</f>
        <v/>
      </c>
      <c r="Q3013">
        <f>IF(O3013&gt;=3000,"Large","Small")</f>
        <v/>
      </c>
      <c r="R3013">
        <f>INDEX(Products!$F$2:$F$49,MATCH(J3013,Products!$A$2:$A$49,0))</f>
        <v/>
      </c>
      <c r="S3013">
        <f>WEEKDAY(B3013,2)</f>
        <v/>
      </c>
    </row>
    <row r="3014">
      <c r="A3014" t="n">
        <v>510966</v>
      </c>
      <c r="B3014" s="6" t="n">
        <v>45981</v>
      </c>
      <c r="C3014" t="n">
        <v>16377</v>
      </c>
      <c r="D3014" t="inlineStr">
        <is>
          <t>Ahmedabad</t>
        </is>
      </c>
      <c r="E3014" t="inlineStr">
        <is>
          <t>West</t>
        </is>
      </c>
      <c r="F3014" t="inlineStr">
        <is>
          <t>Organic Search</t>
        </is>
      </c>
      <c r="G3014" t="inlineStr">
        <is>
          <t>Mobile App</t>
        </is>
      </c>
      <c r="H3014" t="inlineStr">
        <is>
          <t>Cash on Delivery</t>
        </is>
      </c>
      <c r="I3014" t="inlineStr">
        <is>
          <t>Delivered</t>
        </is>
      </c>
      <c r="J3014" t="n">
        <v>139</v>
      </c>
      <c r="K3014" t="n">
        <v>1</v>
      </c>
      <c r="L3014" t="n">
        <v>366</v>
      </c>
      <c r="M3014" t="n">
        <v>0</v>
      </c>
      <c r="N3014">
        <f>VLOOKUP(J3014,Products!$A$2:$C$49,3,FALSE)</f>
        <v/>
      </c>
      <c r="O3014">
        <f>K3014*L3014-M3014</f>
        <v/>
      </c>
      <c r="P3014">
        <f>TEXT(B3014,"yyyy-mm")</f>
        <v/>
      </c>
      <c r="Q3014">
        <f>IF(O3014&gt;=3000,"Large","Small")</f>
        <v/>
      </c>
      <c r="R3014">
        <f>INDEX(Products!$F$2:$F$49,MATCH(J3014,Products!$A$2:$A$49,0))</f>
        <v/>
      </c>
      <c r="S3014">
        <f>WEEKDAY(B3014,2)</f>
        <v/>
      </c>
    </row>
    <row r="3015">
      <c r="A3015" t="n">
        <v>510967</v>
      </c>
      <c r="B3015" s="6" t="n">
        <v>45981</v>
      </c>
      <c r="C3015" t="n">
        <v>17407</v>
      </c>
      <c r="D3015" t="inlineStr">
        <is>
          <t>Bengaluru</t>
        </is>
      </c>
      <c r="E3015" t="inlineStr">
        <is>
          <t>South</t>
        </is>
      </c>
      <c r="F3015" t="inlineStr">
        <is>
          <t>Referral</t>
        </is>
      </c>
      <c r="G3015" t="inlineStr">
        <is>
          <t>Mobile App</t>
        </is>
      </c>
      <c r="H3015" t="inlineStr">
        <is>
          <t>Net Banking</t>
        </is>
      </c>
      <c r="I3015" t="inlineStr">
        <is>
          <t>Delivered</t>
        </is>
      </c>
      <c r="J3015" t="n">
        <v>141</v>
      </c>
      <c r="K3015" t="n">
        <v>1</v>
      </c>
      <c r="L3015" t="n">
        <v>261</v>
      </c>
      <c r="M3015" t="n">
        <v>0</v>
      </c>
      <c r="N3015">
        <f>VLOOKUP(J3015,Products!$A$2:$C$49,3,FALSE)</f>
        <v/>
      </c>
      <c r="O3015">
        <f>K3015*L3015-M3015</f>
        <v/>
      </c>
      <c r="P3015">
        <f>TEXT(B3015,"yyyy-mm")</f>
        <v/>
      </c>
      <c r="Q3015">
        <f>IF(O3015&gt;=3000,"Large","Small")</f>
        <v/>
      </c>
      <c r="R3015">
        <f>INDEX(Products!$F$2:$F$49,MATCH(J3015,Products!$A$2:$A$49,0))</f>
        <v/>
      </c>
      <c r="S3015">
        <f>WEEKDAY(B3015,2)</f>
        <v/>
      </c>
    </row>
    <row r="3016">
      <c r="A3016" t="n">
        <v>510967</v>
      </c>
      <c r="B3016" s="6" t="n">
        <v>45981</v>
      </c>
      <c r="C3016" t="n">
        <v>17407</v>
      </c>
      <c r="D3016" t="inlineStr">
        <is>
          <t>Bengaluru</t>
        </is>
      </c>
      <c r="E3016" t="inlineStr">
        <is>
          <t>South</t>
        </is>
      </c>
      <c r="F3016" t="inlineStr">
        <is>
          <t>Referral</t>
        </is>
      </c>
      <c r="G3016" t="inlineStr">
        <is>
          <t>Mobile App</t>
        </is>
      </c>
      <c r="H3016" t="inlineStr">
        <is>
          <t>Net Banking</t>
        </is>
      </c>
      <c r="I3016" t="inlineStr">
        <is>
          <t>Delivered</t>
        </is>
      </c>
      <c r="J3016" t="n">
        <v>112</v>
      </c>
      <c r="K3016" t="n">
        <v>1</v>
      </c>
      <c r="L3016" t="n">
        <v>1574</v>
      </c>
      <c r="M3016" t="n">
        <v>0</v>
      </c>
      <c r="N3016">
        <f>VLOOKUP(J3016,Products!$A$2:$C$49,3,FALSE)</f>
        <v/>
      </c>
      <c r="O3016">
        <f>K3016*L3016-M3016</f>
        <v/>
      </c>
      <c r="P3016">
        <f>TEXT(B3016,"yyyy-mm")</f>
        <v/>
      </c>
      <c r="Q3016">
        <f>IF(O3016&gt;=3000,"Large","Small")</f>
        <v/>
      </c>
      <c r="R3016">
        <f>INDEX(Products!$F$2:$F$49,MATCH(J3016,Products!$A$2:$A$49,0))</f>
        <v/>
      </c>
      <c r="S3016">
        <f>WEEKDAY(B3016,2)</f>
        <v/>
      </c>
    </row>
    <row r="3017">
      <c r="A3017" t="n">
        <v>510968</v>
      </c>
      <c r="B3017" s="6" t="n">
        <v>45981</v>
      </c>
      <c r="C3017" t="n">
        <v>17397</v>
      </c>
      <c r="D3017" t="inlineStr">
        <is>
          <t>Delhi</t>
        </is>
      </c>
      <c r="E3017" t="inlineStr">
        <is>
          <t>North</t>
        </is>
      </c>
      <c r="F3017" t="inlineStr">
        <is>
          <t>Paid Social</t>
        </is>
      </c>
      <c r="G3017" t="inlineStr">
        <is>
          <t>Mobile Web</t>
        </is>
      </c>
      <c r="H3017" t="inlineStr">
        <is>
          <t>Credit Card</t>
        </is>
      </c>
      <c r="I3017" t="inlineStr">
        <is>
          <t>Delivered</t>
        </is>
      </c>
      <c r="J3017" t="n">
        <v>115</v>
      </c>
      <c r="K3017" t="n">
        <v>1</v>
      </c>
      <c r="L3017" t="n">
        <v>4199</v>
      </c>
      <c r="M3017" t="n">
        <v>629.85</v>
      </c>
      <c r="N3017">
        <f>VLOOKUP(J3017,Products!$A$2:$C$49,3,FALSE)</f>
        <v/>
      </c>
      <c r="O3017">
        <f>K3017*L3017-M3017</f>
        <v/>
      </c>
      <c r="P3017">
        <f>TEXT(B3017,"yyyy-mm")</f>
        <v/>
      </c>
      <c r="Q3017">
        <f>IF(O3017&gt;=3000,"Large","Small")</f>
        <v/>
      </c>
      <c r="R3017">
        <f>INDEX(Products!$F$2:$F$49,MATCH(J3017,Products!$A$2:$A$49,0))</f>
        <v/>
      </c>
      <c r="S3017">
        <f>WEEKDAY(B3017,2)</f>
        <v/>
      </c>
    </row>
    <row r="3018">
      <c r="A3018" t="n">
        <v>510969</v>
      </c>
      <c r="B3018" s="6" t="n">
        <v>45981</v>
      </c>
      <c r="C3018" t="n">
        <v>17292</v>
      </c>
      <c r="D3018" t="inlineStr">
        <is>
          <t>Ahmedabad</t>
        </is>
      </c>
      <c r="E3018" t="inlineStr">
        <is>
          <t>West</t>
        </is>
      </c>
      <c r="F3018" t="inlineStr">
        <is>
          <t>Paid Search</t>
        </is>
      </c>
      <c r="G3018" t="inlineStr">
        <is>
          <t>Mobile Web</t>
        </is>
      </c>
      <c r="H3018" t="inlineStr">
        <is>
          <t>Credit Card</t>
        </is>
      </c>
      <c r="I3018" t="inlineStr">
        <is>
          <t>Delivered</t>
        </is>
      </c>
      <c r="J3018" t="n">
        <v>137</v>
      </c>
      <c r="K3018" t="n">
        <v>1</v>
      </c>
      <c r="L3018" t="n">
        <v>261</v>
      </c>
      <c r="M3018" t="n">
        <v>13.05</v>
      </c>
      <c r="N3018">
        <f>VLOOKUP(J3018,Products!$A$2:$C$49,3,FALSE)</f>
        <v/>
      </c>
      <c r="O3018">
        <f>K3018*L3018-M3018</f>
        <v/>
      </c>
      <c r="P3018">
        <f>TEXT(B3018,"yyyy-mm")</f>
        <v/>
      </c>
      <c r="Q3018">
        <f>IF(O3018&gt;=3000,"Large","Small")</f>
        <v/>
      </c>
      <c r="R3018">
        <f>INDEX(Products!$F$2:$F$49,MATCH(J3018,Products!$A$2:$A$49,0))</f>
        <v/>
      </c>
      <c r="S3018">
        <f>WEEKDAY(B3018,2)</f>
        <v/>
      </c>
    </row>
    <row r="3019">
      <c r="A3019" t="n">
        <v>510970</v>
      </c>
      <c r="B3019" s="6" t="n">
        <v>45981</v>
      </c>
      <c r="C3019" t="n">
        <v>15254</v>
      </c>
      <c r="D3019" t="inlineStr">
        <is>
          <t>Delhi</t>
        </is>
      </c>
      <c r="E3019" t="inlineStr">
        <is>
          <t>North</t>
        </is>
      </c>
      <c r="F3019" t="inlineStr">
        <is>
          <t>Organic Search</t>
        </is>
      </c>
      <c r="G3019" t="inlineStr">
        <is>
          <t>Desktop</t>
        </is>
      </c>
      <c r="H3019" t="inlineStr">
        <is>
          <t>Credit Card</t>
        </is>
      </c>
      <c r="I3019" t="inlineStr">
        <is>
          <t>Delivered</t>
        </is>
      </c>
      <c r="J3019" t="n">
        <v>107</v>
      </c>
      <c r="K3019" t="n">
        <v>1</v>
      </c>
      <c r="L3019" t="n">
        <v>1259</v>
      </c>
      <c r="M3019" t="n">
        <v>0</v>
      </c>
      <c r="N3019">
        <f>VLOOKUP(J3019,Products!$A$2:$C$49,3,FALSE)</f>
        <v/>
      </c>
      <c r="O3019">
        <f>K3019*L3019-M3019</f>
        <v/>
      </c>
      <c r="P3019">
        <f>TEXT(B3019,"yyyy-mm")</f>
        <v/>
      </c>
      <c r="Q3019">
        <f>IF(O3019&gt;=3000,"Large","Small")</f>
        <v/>
      </c>
      <c r="R3019">
        <f>INDEX(Products!$F$2:$F$49,MATCH(J3019,Products!$A$2:$A$49,0))</f>
        <v/>
      </c>
      <c r="S3019">
        <f>WEEKDAY(B3019,2)</f>
        <v/>
      </c>
    </row>
    <row r="3020">
      <c r="A3020" t="n">
        <v>510970</v>
      </c>
      <c r="B3020" s="6" t="n">
        <v>45981</v>
      </c>
      <c r="C3020" t="n">
        <v>15254</v>
      </c>
      <c r="D3020" t="inlineStr">
        <is>
          <t>Delhi</t>
        </is>
      </c>
      <c r="E3020" t="inlineStr">
        <is>
          <t>North</t>
        </is>
      </c>
      <c r="F3020" t="inlineStr">
        <is>
          <t>Organic Search</t>
        </is>
      </c>
      <c r="G3020" t="inlineStr">
        <is>
          <t>Desktop</t>
        </is>
      </c>
      <c r="H3020" t="inlineStr">
        <is>
          <t>Credit Card</t>
        </is>
      </c>
      <c r="I3020" t="inlineStr">
        <is>
          <t>Delivered</t>
        </is>
      </c>
      <c r="J3020" t="n">
        <v>106</v>
      </c>
      <c r="K3020" t="n">
        <v>1</v>
      </c>
      <c r="L3020" t="n">
        <v>1574</v>
      </c>
      <c r="M3020" t="n">
        <v>0</v>
      </c>
      <c r="N3020">
        <f>VLOOKUP(J3020,Products!$A$2:$C$49,3,FALSE)</f>
        <v/>
      </c>
      <c r="O3020">
        <f>K3020*L3020-M3020</f>
        <v/>
      </c>
      <c r="P3020">
        <f>TEXT(B3020,"yyyy-mm")</f>
        <v/>
      </c>
      <c r="Q3020">
        <f>IF(O3020&gt;=3000,"Large","Small")</f>
        <v/>
      </c>
      <c r="R3020">
        <f>INDEX(Products!$F$2:$F$49,MATCH(J3020,Products!$A$2:$A$49,0))</f>
        <v/>
      </c>
      <c r="S3020">
        <f>WEEKDAY(B3020,2)</f>
        <v/>
      </c>
    </row>
    <row r="3021">
      <c r="A3021" t="n">
        <v>510971</v>
      </c>
      <c r="B3021" s="6" t="n">
        <v>45981</v>
      </c>
      <c r="C3021" t="n">
        <v>17291</v>
      </c>
      <c r="D3021" t="inlineStr">
        <is>
          <t>Mumbai</t>
        </is>
      </c>
      <c r="E3021" t="inlineStr">
        <is>
          <t>West</t>
        </is>
      </c>
      <c r="F3021" t="inlineStr">
        <is>
          <t>Organic Search</t>
        </is>
      </c>
      <c r="G3021" t="inlineStr">
        <is>
          <t>Mobile Web</t>
        </is>
      </c>
      <c r="H3021" t="inlineStr">
        <is>
          <t>UPI</t>
        </is>
      </c>
      <c r="I3021" t="inlineStr">
        <is>
          <t>Delivered</t>
        </is>
      </c>
      <c r="J3021" t="n">
        <v>112</v>
      </c>
      <c r="K3021" t="n">
        <v>3</v>
      </c>
      <c r="L3021" t="n">
        <v>1574</v>
      </c>
      <c r="M3021" t="n">
        <v>0</v>
      </c>
      <c r="N3021">
        <f>VLOOKUP(J3021,Products!$A$2:$C$49,3,FALSE)</f>
        <v/>
      </c>
      <c r="O3021">
        <f>K3021*L3021-M3021</f>
        <v/>
      </c>
      <c r="P3021">
        <f>TEXT(B3021,"yyyy-mm")</f>
        <v/>
      </c>
      <c r="Q3021">
        <f>IF(O3021&gt;=3000,"Large","Small")</f>
        <v/>
      </c>
      <c r="R3021">
        <f>INDEX(Products!$F$2:$F$49,MATCH(J3021,Products!$A$2:$A$49,0))</f>
        <v/>
      </c>
      <c r="S3021">
        <f>WEEKDAY(B3021,2)</f>
        <v/>
      </c>
    </row>
    <row r="3022">
      <c r="A3022" t="n">
        <v>510972</v>
      </c>
      <c r="B3022" s="6" t="n">
        <v>45981</v>
      </c>
      <c r="C3022" t="n">
        <v>16993</v>
      </c>
      <c r="D3022" t="inlineStr">
        <is>
          <t>Hyderabad</t>
        </is>
      </c>
      <c r="E3022" t="inlineStr">
        <is>
          <t>South</t>
        </is>
      </c>
      <c r="F3022" t="inlineStr">
        <is>
          <t>Organic Search</t>
        </is>
      </c>
      <c r="G3022" t="inlineStr">
        <is>
          <t>Mobile Web</t>
        </is>
      </c>
      <c r="H3022" t="inlineStr">
        <is>
          <t>Debit Card</t>
        </is>
      </c>
      <c r="I3022" t="inlineStr">
        <is>
          <t>Delivered</t>
        </is>
      </c>
      <c r="J3022" t="n">
        <v>148</v>
      </c>
      <c r="K3022" t="n">
        <v>1</v>
      </c>
      <c r="L3022" t="n">
        <v>734</v>
      </c>
      <c r="M3022" t="n">
        <v>0</v>
      </c>
      <c r="N3022">
        <f>VLOOKUP(J3022,Products!$A$2:$C$49,3,FALSE)</f>
        <v/>
      </c>
      <c r="O3022">
        <f>K3022*L3022-M3022</f>
        <v/>
      </c>
      <c r="P3022">
        <f>TEXT(B3022,"yyyy-mm")</f>
        <v/>
      </c>
      <c r="Q3022">
        <f>IF(O3022&gt;=3000,"Large","Small")</f>
        <v/>
      </c>
      <c r="R3022">
        <f>INDEX(Products!$F$2:$F$49,MATCH(J3022,Products!$A$2:$A$49,0))</f>
        <v/>
      </c>
      <c r="S3022">
        <f>WEEKDAY(B3022,2)</f>
        <v/>
      </c>
    </row>
    <row r="3023">
      <c r="A3023" t="n">
        <v>510972</v>
      </c>
      <c r="B3023" s="6" t="n">
        <v>45981</v>
      </c>
      <c r="C3023" t="n">
        <v>16993</v>
      </c>
      <c r="D3023" t="inlineStr">
        <is>
          <t>Hyderabad</t>
        </is>
      </c>
      <c r="E3023" t="inlineStr">
        <is>
          <t>South</t>
        </is>
      </c>
      <c r="F3023" t="inlineStr">
        <is>
          <t>Organic Search</t>
        </is>
      </c>
      <c r="G3023" t="inlineStr">
        <is>
          <t>Mobile Web</t>
        </is>
      </c>
      <c r="H3023" t="inlineStr">
        <is>
          <t>Debit Card</t>
        </is>
      </c>
      <c r="I3023" t="inlineStr">
        <is>
          <t>Delivered</t>
        </is>
      </c>
      <c r="J3023" t="n">
        <v>124</v>
      </c>
      <c r="K3023" t="n">
        <v>1</v>
      </c>
      <c r="L3023" t="n">
        <v>1154</v>
      </c>
      <c r="M3023" t="n">
        <v>0</v>
      </c>
      <c r="N3023">
        <f>VLOOKUP(J3023,Products!$A$2:$C$49,3,FALSE)</f>
        <v/>
      </c>
      <c r="O3023">
        <f>K3023*L3023-M3023</f>
        <v/>
      </c>
      <c r="P3023">
        <f>TEXT(B3023,"yyyy-mm")</f>
        <v/>
      </c>
      <c r="Q3023">
        <f>IF(O3023&gt;=3000,"Large","Small")</f>
        <v/>
      </c>
      <c r="R3023">
        <f>INDEX(Products!$F$2:$F$49,MATCH(J3023,Products!$A$2:$A$49,0))</f>
        <v/>
      </c>
      <c r="S3023">
        <f>WEEKDAY(B3023,2)</f>
        <v/>
      </c>
    </row>
    <row r="3024">
      <c r="A3024" t="n">
        <v>510972</v>
      </c>
      <c r="B3024" s="6" t="n">
        <v>45981</v>
      </c>
      <c r="C3024" t="n">
        <v>16993</v>
      </c>
      <c r="D3024" t="inlineStr">
        <is>
          <t>Hyderabad</t>
        </is>
      </c>
      <c r="E3024" t="inlineStr">
        <is>
          <t>South</t>
        </is>
      </c>
      <c r="F3024" t="inlineStr">
        <is>
          <t>Organic Search</t>
        </is>
      </c>
      <c r="G3024" t="inlineStr">
        <is>
          <t>Mobile Web</t>
        </is>
      </c>
      <c r="H3024" t="inlineStr">
        <is>
          <t>Debit Card</t>
        </is>
      </c>
      <c r="I3024" t="inlineStr">
        <is>
          <t>Delivered</t>
        </is>
      </c>
      <c r="J3024" t="n">
        <v>127</v>
      </c>
      <c r="K3024" t="n">
        <v>2</v>
      </c>
      <c r="L3024" t="n">
        <v>681</v>
      </c>
      <c r="M3024" t="n">
        <v>0</v>
      </c>
      <c r="N3024">
        <f>VLOOKUP(J3024,Products!$A$2:$C$49,3,FALSE)</f>
        <v/>
      </c>
      <c r="O3024">
        <f>K3024*L3024-M3024</f>
        <v/>
      </c>
      <c r="P3024">
        <f>TEXT(B3024,"yyyy-mm")</f>
        <v/>
      </c>
      <c r="Q3024">
        <f>IF(O3024&gt;=3000,"Large","Small")</f>
        <v/>
      </c>
      <c r="R3024">
        <f>INDEX(Products!$F$2:$F$49,MATCH(J3024,Products!$A$2:$A$49,0))</f>
        <v/>
      </c>
      <c r="S3024">
        <f>WEEKDAY(B3024,2)</f>
        <v/>
      </c>
    </row>
    <row r="3025">
      <c r="A3025" t="n">
        <v>510973</v>
      </c>
      <c r="B3025" s="6" t="n">
        <v>45982</v>
      </c>
      <c r="C3025" t="n">
        <v>17323</v>
      </c>
      <c r="D3025" t="inlineStr">
        <is>
          <t>Kochi</t>
        </is>
      </c>
      <c r="E3025" t="inlineStr">
        <is>
          <t>South</t>
        </is>
      </c>
      <c r="F3025" t="inlineStr">
        <is>
          <t>Organic Search</t>
        </is>
      </c>
      <c r="G3025" t="inlineStr">
        <is>
          <t>Mobile App</t>
        </is>
      </c>
      <c r="H3025" t="inlineStr">
        <is>
          <t>Credit Card</t>
        </is>
      </c>
      <c r="I3025" t="inlineStr">
        <is>
          <t>Delivered</t>
        </is>
      </c>
      <c r="J3025" t="n">
        <v>108</v>
      </c>
      <c r="K3025" t="n">
        <v>1</v>
      </c>
      <c r="L3025" t="n">
        <v>419</v>
      </c>
      <c r="M3025" t="n">
        <v>0</v>
      </c>
      <c r="N3025">
        <f>VLOOKUP(J3025,Products!$A$2:$C$49,3,FALSE)</f>
        <v/>
      </c>
      <c r="O3025">
        <f>K3025*L3025-M3025</f>
        <v/>
      </c>
      <c r="P3025">
        <f>TEXT(B3025,"yyyy-mm")</f>
        <v/>
      </c>
      <c r="Q3025">
        <f>IF(O3025&gt;=3000,"Large","Small")</f>
        <v/>
      </c>
      <c r="R3025">
        <f>INDEX(Products!$F$2:$F$49,MATCH(J3025,Products!$A$2:$A$49,0))</f>
        <v/>
      </c>
      <c r="S3025">
        <f>WEEKDAY(B3025,2)</f>
        <v/>
      </c>
    </row>
    <row r="3026">
      <c r="A3026" t="n">
        <v>510974</v>
      </c>
      <c r="B3026" s="6" t="n">
        <v>45982</v>
      </c>
      <c r="C3026" t="n">
        <v>17428</v>
      </c>
      <c r="D3026" t="inlineStr">
        <is>
          <t>Pune</t>
        </is>
      </c>
      <c r="E3026" t="inlineStr">
        <is>
          <t>West</t>
        </is>
      </c>
      <c r="F3026" t="inlineStr">
        <is>
          <t>Paid Social</t>
        </is>
      </c>
      <c r="G3026" t="inlineStr">
        <is>
          <t>Mobile Web</t>
        </is>
      </c>
      <c r="H3026" t="inlineStr">
        <is>
          <t>Credit Card</t>
        </is>
      </c>
      <c r="I3026" t="inlineStr">
        <is>
          <t>Delivered</t>
        </is>
      </c>
      <c r="J3026" t="n">
        <v>102</v>
      </c>
      <c r="K3026" t="n">
        <v>1</v>
      </c>
      <c r="L3026" t="n">
        <v>3674</v>
      </c>
      <c r="M3026" t="n">
        <v>0</v>
      </c>
      <c r="N3026">
        <f>VLOOKUP(J3026,Products!$A$2:$C$49,3,FALSE)</f>
        <v/>
      </c>
      <c r="O3026">
        <f>K3026*L3026-M3026</f>
        <v/>
      </c>
      <c r="P3026">
        <f>TEXT(B3026,"yyyy-mm")</f>
        <v/>
      </c>
      <c r="Q3026">
        <f>IF(O3026&gt;=3000,"Large","Small")</f>
        <v/>
      </c>
      <c r="R3026">
        <f>INDEX(Products!$F$2:$F$49,MATCH(J3026,Products!$A$2:$A$49,0))</f>
        <v/>
      </c>
      <c r="S3026">
        <f>WEEKDAY(B3026,2)</f>
        <v/>
      </c>
    </row>
    <row r="3027">
      <c r="A3027" t="n">
        <v>510975</v>
      </c>
      <c r="B3027" s="6" t="n">
        <v>45982</v>
      </c>
      <c r="C3027" t="n">
        <v>17100</v>
      </c>
      <c r="D3027" t="inlineStr">
        <is>
          <t>Pune</t>
        </is>
      </c>
      <c r="E3027" t="inlineStr">
        <is>
          <t>West</t>
        </is>
      </c>
      <c r="F3027" t="inlineStr">
        <is>
          <t>Organic Search</t>
        </is>
      </c>
      <c r="G3027" t="inlineStr">
        <is>
          <t>Desktop</t>
        </is>
      </c>
      <c r="H3027" t="inlineStr">
        <is>
          <t>UPI</t>
        </is>
      </c>
      <c r="I3027" t="inlineStr">
        <is>
          <t>Delivered</t>
        </is>
      </c>
      <c r="J3027" t="n">
        <v>126</v>
      </c>
      <c r="K3027" t="n">
        <v>1</v>
      </c>
      <c r="L3027" t="n">
        <v>471</v>
      </c>
      <c r="M3027" t="n">
        <v>70.65000000000001</v>
      </c>
      <c r="N3027">
        <f>VLOOKUP(J3027,Products!$A$2:$C$49,3,FALSE)</f>
        <v/>
      </c>
      <c r="O3027">
        <f>K3027*L3027-M3027</f>
        <v/>
      </c>
      <c r="P3027">
        <f>TEXT(B3027,"yyyy-mm")</f>
        <v/>
      </c>
      <c r="Q3027">
        <f>IF(O3027&gt;=3000,"Large","Small")</f>
        <v/>
      </c>
      <c r="R3027">
        <f>INDEX(Products!$F$2:$F$49,MATCH(J3027,Products!$A$2:$A$49,0))</f>
        <v/>
      </c>
      <c r="S3027">
        <f>WEEKDAY(B3027,2)</f>
        <v/>
      </c>
    </row>
    <row r="3028">
      <c r="A3028" t="n">
        <v>510976</v>
      </c>
      <c r="B3028" s="6" t="n">
        <v>45982</v>
      </c>
      <c r="C3028" t="n">
        <v>13833</v>
      </c>
      <c r="D3028" t="inlineStr">
        <is>
          <t>Ahmedabad</t>
        </is>
      </c>
      <c r="E3028" t="inlineStr">
        <is>
          <t>West</t>
        </is>
      </c>
      <c r="F3028" t="inlineStr">
        <is>
          <t>Organic Search</t>
        </is>
      </c>
      <c r="G3028" t="inlineStr">
        <is>
          <t>Mobile App</t>
        </is>
      </c>
      <c r="H3028" t="inlineStr">
        <is>
          <t>Cash on Delivery</t>
        </is>
      </c>
      <c r="I3028" t="inlineStr">
        <is>
          <t>Delivered</t>
        </is>
      </c>
      <c r="J3028" t="n">
        <v>141</v>
      </c>
      <c r="K3028" t="n">
        <v>1</v>
      </c>
      <c r="L3028" t="n">
        <v>261</v>
      </c>
      <c r="M3028" t="n">
        <v>0</v>
      </c>
      <c r="N3028">
        <f>VLOOKUP(J3028,Products!$A$2:$C$49,3,FALSE)</f>
        <v/>
      </c>
      <c r="O3028">
        <f>K3028*L3028-M3028</f>
        <v/>
      </c>
      <c r="P3028">
        <f>TEXT(B3028,"yyyy-mm")</f>
        <v/>
      </c>
      <c r="Q3028">
        <f>IF(O3028&gt;=3000,"Large","Small")</f>
        <v/>
      </c>
      <c r="R3028">
        <f>INDEX(Products!$F$2:$F$49,MATCH(J3028,Products!$A$2:$A$49,0))</f>
        <v/>
      </c>
      <c r="S3028">
        <f>WEEKDAY(B3028,2)</f>
        <v/>
      </c>
    </row>
    <row r="3029">
      <c r="A3029" t="n">
        <v>510976</v>
      </c>
      <c r="B3029" s="6" t="n">
        <v>45982</v>
      </c>
      <c r="C3029" t="n">
        <v>13833</v>
      </c>
      <c r="D3029" t="inlineStr">
        <is>
          <t>Ahmedabad</t>
        </is>
      </c>
      <c r="E3029" t="inlineStr">
        <is>
          <t>West</t>
        </is>
      </c>
      <c r="F3029" t="inlineStr">
        <is>
          <t>Organic Search</t>
        </is>
      </c>
      <c r="G3029" t="inlineStr">
        <is>
          <t>Mobile App</t>
        </is>
      </c>
      <c r="H3029" t="inlineStr">
        <is>
          <t>Cash on Delivery</t>
        </is>
      </c>
      <c r="I3029" t="inlineStr">
        <is>
          <t>Delivered</t>
        </is>
      </c>
      <c r="J3029" t="n">
        <v>113</v>
      </c>
      <c r="K3029" t="n">
        <v>1</v>
      </c>
      <c r="L3029" t="n">
        <v>1364</v>
      </c>
      <c r="M3029" t="n">
        <v>0</v>
      </c>
      <c r="N3029">
        <f>VLOOKUP(J3029,Products!$A$2:$C$49,3,FALSE)</f>
        <v/>
      </c>
      <c r="O3029">
        <f>K3029*L3029-M3029</f>
        <v/>
      </c>
      <c r="P3029">
        <f>TEXT(B3029,"yyyy-mm")</f>
        <v/>
      </c>
      <c r="Q3029">
        <f>IF(O3029&gt;=3000,"Large","Small")</f>
        <v/>
      </c>
      <c r="R3029">
        <f>INDEX(Products!$F$2:$F$49,MATCH(J3029,Products!$A$2:$A$49,0))</f>
        <v/>
      </c>
      <c r="S3029">
        <f>WEEKDAY(B3029,2)</f>
        <v/>
      </c>
    </row>
    <row r="3030">
      <c r="A3030" t="n">
        <v>510977</v>
      </c>
      <c r="B3030" s="6" t="n">
        <v>45982</v>
      </c>
      <c r="C3030" t="n">
        <v>15880</v>
      </c>
      <c r="D3030" t="inlineStr">
        <is>
          <t>Pune</t>
        </is>
      </c>
      <c r="E3030" t="inlineStr">
        <is>
          <t>West</t>
        </is>
      </c>
      <c r="F3030" t="inlineStr">
        <is>
          <t>Email</t>
        </is>
      </c>
      <c r="G3030" t="inlineStr">
        <is>
          <t>Desktop</t>
        </is>
      </c>
      <c r="H3030" t="inlineStr">
        <is>
          <t>UPI</t>
        </is>
      </c>
      <c r="I3030" t="inlineStr">
        <is>
          <t>Cancelled</t>
        </is>
      </c>
      <c r="J3030" t="n">
        <v>126</v>
      </c>
      <c r="K3030" t="n">
        <v>2</v>
      </c>
      <c r="L3030" t="n">
        <v>471</v>
      </c>
      <c r="M3030" t="n">
        <v>0</v>
      </c>
      <c r="N3030">
        <f>VLOOKUP(J3030,Products!$A$2:$C$49,3,FALSE)</f>
        <v/>
      </c>
      <c r="O3030">
        <f>K3030*L3030-M3030</f>
        <v/>
      </c>
      <c r="P3030">
        <f>TEXT(B3030,"yyyy-mm")</f>
        <v/>
      </c>
      <c r="Q3030">
        <f>IF(O3030&gt;=3000,"Large","Small")</f>
        <v/>
      </c>
      <c r="R3030">
        <f>INDEX(Products!$F$2:$F$49,MATCH(J3030,Products!$A$2:$A$49,0))</f>
        <v/>
      </c>
      <c r="S3030">
        <f>WEEKDAY(B3030,2)</f>
        <v/>
      </c>
    </row>
    <row r="3031">
      <c r="A3031" t="n">
        <v>510978</v>
      </c>
      <c r="B3031" s="6" t="n">
        <v>45982</v>
      </c>
      <c r="C3031" t="n">
        <v>14340</v>
      </c>
      <c r="D3031" t="inlineStr">
        <is>
          <t>Delhi</t>
        </is>
      </c>
      <c r="E3031" t="inlineStr">
        <is>
          <t>North</t>
        </is>
      </c>
      <c r="F3031" t="inlineStr">
        <is>
          <t>Organic Search</t>
        </is>
      </c>
      <c r="G3031" t="inlineStr">
        <is>
          <t>Mobile App</t>
        </is>
      </c>
      <c r="H3031" t="inlineStr">
        <is>
          <t>Debit Card</t>
        </is>
      </c>
      <c r="I3031" t="inlineStr">
        <is>
          <t>Delivered</t>
        </is>
      </c>
      <c r="J3031" t="n">
        <v>118</v>
      </c>
      <c r="K3031" t="n">
        <v>1</v>
      </c>
      <c r="L3031" t="n">
        <v>944</v>
      </c>
      <c r="M3031" t="n">
        <v>47.2</v>
      </c>
      <c r="N3031">
        <f>VLOOKUP(J3031,Products!$A$2:$C$49,3,FALSE)</f>
        <v/>
      </c>
      <c r="O3031">
        <f>K3031*L3031-M3031</f>
        <v/>
      </c>
      <c r="P3031">
        <f>TEXT(B3031,"yyyy-mm")</f>
        <v/>
      </c>
      <c r="Q3031">
        <f>IF(O3031&gt;=3000,"Large","Small")</f>
        <v/>
      </c>
      <c r="R3031">
        <f>INDEX(Products!$F$2:$F$49,MATCH(J3031,Products!$A$2:$A$49,0))</f>
        <v/>
      </c>
      <c r="S3031">
        <f>WEEKDAY(B3031,2)</f>
        <v/>
      </c>
    </row>
    <row r="3032">
      <c r="A3032" t="n">
        <v>510979</v>
      </c>
      <c r="B3032" s="6" t="n">
        <v>45982</v>
      </c>
      <c r="C3032" t="n">
        <v>13882</v>
      </c>
      <c r="D3032" t="inlineStr">
        <is>
          <t>Noida</t>
        </is>
      </c>
      <c r="E3032" t="inlineStr">
        <is>
          <t>North</t>
        </is>
      </c>
      <c r="F3032" t="inlineStr">
        <is>
          <t>Referral</t>
        </is>
      </c>
      <c r="G3032" t="inlineStr">
        <is>
          <t>Mobile Web</t>
        </is>
      </c>
      <c r="H3032" t="inlineStr">
        <is>
          <t>UPI</t>
        </is>
      </c>
      <c r="I3032" t="inlineStr">
        <is>
          <t>Returned</t>
        </is>
      </c>
      <c r="J3032" t="n">
        <v>101</v>
      </c>
      <c r="K3032" t="n">
        <v>1</v>
      </c>
      <c r="L3032" t="n">
        <v>2099</v>
      </c>
      <c r="M3032" t="n">
        <v>0</v>
      </c>
      <c r="N3032">
        <f>VLOOKUP(J3032,Products!$A$2:$C$49,3,FALSE)</f>
        <v/>
      </c>
      <c r="O3032">
        <f>K3032*L3032-M3032</f>
        <v/>
      </c>
      <c r="P3032">
        <f>TEXT(B3032,"yyyy-mm")</f>
        <v/>
      </c>
      <c r="Q3032">
        <f>IF(O3032&gt;=3000,"Large","Small")</f>
        <v/>
      </c>
      <c r="R3032">
        <f>INDEX(Products!$F$2:$F$49,MATCH(J3032,Products!$A$2:$A$49,0))</f>
        <v/>
      </c>
      <c r="S3032">
        <f>WEEKDAY(B3032,2)</f>
        <v/>
      </c>
    </row>
    <row r="3033">
      <c r="A3033" t="n">
        <v>510980</v>
      </c>
      <c r="B3033" s="6" t="n">
        <v>45982</v>
      </c>
      <c r="C3033" t="n">
        <v>10878</v>
      </c>
      <c r="D3033" t="inlineStr">
        <is>
          <t>Hyderabad</t>
        </is>
      </c>
      <c r="E3033" t="inlineStr">
        <is>
          <t>South</t>
        </is>
      </c>
      <c r="F3033" t="inlineStr">
        <is>
          <t>Paid Search</t>
        </is>
      </c>
      <c r="G3033" t="inlineStr">
        <is>
          <t>Mobile Web</t>
        </is>
      </c>
      <c r="H3033" t="inlineStr">
        <is>
          <t>Cash on Delivery</t>
        </is>
      </c>
      <c r="I3033" t="inlineStr">
        <is>
          <t>Delivered</t>
        </is>
      </c>
      <c r="J3033" t="n">
        <v>113</v>
      </c>
      <c r="K3033" t="n">
        <v>1</v>
      </c>
      <c r="L3033" t="n">
        <v>1364</v>
      </c>
      <c r="M3033" t="n">
        <v>0</v>
      </c>
      <c r="N3033">
        <f>VLOOKUP(J3033,Products!$A$2:$C$49,3,FALSE)</f>
        <v/>
      </c>
      <c r="O3033">
        <f>K3033*L3033-M3033</f>
        <v/>
      </c>
      <c r="P3033">
        <f>TEXT(B3033,"yyyy-mm")</f>
        <v/>
      </c>
      <c r="Q3033">
        <f>IF(O3033&gt;=3000,"Large","Small")</f>
        <v/>
      </c>
      <c r="R3033">
        <f>INDEX(Products!$F$2:$F$49,MATCH(J3033,Products!$A$2:$A$49,0))</f>
        <v/>
      </c>
      <c r="S3033">
        <f>WEEKDAY(B3033,2)</f>
        <v/>
      </c>
    </row>
    <row r="3034">
      <c r="A3034" t="n">
        <v>510980</v>
      </c>
      <c r="B3034" s="6" t="n">
        <v>45982</v>
      </c>
      <c r="C3034" t="n">
        <v>10878</v>
      </c>
      <c r="D3034" t="inlineStr">
        <is>
          <t>Hyderabad</t>
        </is>
      </c>
      <c r="E3034" t="inlineStr">
        <is>
          <t>South</t>
        </is>
      </c>
      <c r="F3034" t="inlineStr">
        <is>
          <t>Paid Search</t>
        </is>
      </c>
      <c r="G3034" t="inlineStr">
        <is>
          <t>Mobile Web</t>
        </is>
      </c>
      <c r="H3034" t="inlineStr">
        <is>
          <t>Cash on Delivery</t>
        </is>
      </c>
      <c r="I3034" t="inlineStr">
        <is>
          <t>Delivered</t>
        </is>
      </c>
      <c r="J3034" t="n">
        <v>137</v>
      </c>
      <c r="K3034" t="n">
        <v>2</v>
      </c>
      <c r="L3034" t="n">
        <v>261</v>
      </c>
      <c r="M3034" t="n">
        <v>0</v>
      </c>
      <c r="N3034">
        <f>VLOOKUP(J3034,Products!$A$2:$C$49,3,FALSE)</f>
        <v/>
      </c>
      <c r="O3034">
        <f>K3034*L3034-M3034</f>
        <v/>
      </c>
      <c r="P3034">
        <f>TEXT(B3034,"yyyy-mm")</f>
        <v/>
      </c>
      <c r="Q3034">
        <f>IF(O3034&gt;=3000,"Large","Small")</f>
        <v/>
      </c>
      <c r="R3034">
        <f>INDEX(Products!$F$2:$F$49,MATCH(J3034,Products!$A$2:$A$49,0))</f>
        <v/>
      </c>
      <c r="S3034">
        <f>WEEKDAY(B3034,2)</f>
        <v/>
      </c>
    </row>
    <row r="3035">
      <c r="A3035" t="n">
        <v>510981</v>
      </c>
      <c r="B3035" s="6" t="n">
        <v>45982</v>
      </c>
      <c r="C3035" t="n">
        <v>16128</v>
      </c>
      <c r="D3035" t="inlineStr">
        <is>
          <t>Delhi</t>
        </is>
      </c>
      <c r="E3035" t="inlineStr">
        <is>
          <t>North</t>
        </is>
      </c>
      <c r="F3035" t="inlineStr">
        <is>
          <t>Referral</t>
        </is>
      </c>
      <c r="G3035" t="inlineStr">
        <is>
          <t>Mobile App</t>
        </is>
      </c>
      <c r="H3035" t="inlineStr">
        <is>
          <t>Cash on Delivery</t>
        </is>
      </c>
      <c r="I3035" t="inlineStr">
        <is>
          <t>Delivered</t>
        </is>
      </c>
      <c r="J3035" t="n">
        <v>142</v>
      </c>
      <c r="K3035" t="n">
        <v>1</v>
      </c>
      <c r="L3035" t="n">
        <v>839</v>
      </c>
      <c r="M3035" t="n">
        <v>0</v>
      </c>
      <c r="N3035">
        <f>VLOOKUP(J3035,Products!$A$2:$C$49,3,FALSE)</f>
        <v/>
      </c>
      <c r="O3035">
        <f>K3035*L3035-M3035</f>
        <v/>
      </c>
      <c r="P3035">
        <f>TEXT(B3035,"yyyy-mm")</f>
        <v/>
      </c>
      <c r="Q3035">
        <f>IF(O3035&gt;=3000,"Large","Small")</f>
        <v/>
      </c>
      <c r="R3035">
        <f>INDEX(Products!$F$2:$F$49,MATCH(J3035,Products!$A$2:$A$49,0))</f>
        <v/>
      </c>
      <c r="S3035">
        <f>WEEKDAY(B3035,2)</f>
        <v/>
      </c>
    </row>
    <row r="3036">
      <c r="A3036" t="n">
        <v>510982</v>
      </c>
      <c r="B3036" s="6" t="n">
        <v>45982</v>
      </c>
      <c r="C3036" t="n">
        <v>17203</v>
      </c>
      <c r="D3036" t="inlineStr">
        <is>
          <t>Ahmedabad</t>
        </is>
      </c>
      <c r="E3036" t="inlineStr">
        <is>
          <t>West</t>
        </is>
      </c>
      <c r="F3036" t="inlineStr">
        <is>
          <t>Email</t>
        </is>
      </c>
      <c r="G3036" t="inlineStr">
        <is>
          <t>Mobile Web</t>
        </is>
      </c>
      <c r="H3036" t="inlineStr">
        <is>
          <t>Net Banking</t>
        </is>
      </c>
      <c r="I3036" t="inlineStr">
        <is>
          <t>Delivered</t>
        </is>
      </c>
      <c r="J3036" t="n">
        <v>138</v>
      </c>
      <c r="K3036" t="n">
        <v>1</v>
      </c>
      <c r="L3036" t="n">
        <v>419</v>
      </c>
      <c r="M3036" t="n">
        <v>0</v>
      </c>
      <c r="N3036">
        <f>VLOOKUP(J3036,Products!$A$2:$C$49,3,FALSE)</f>
        <v/>
      </c>
      <c r="O3036">
        <f>K3036*L3036-M3036</f>
        <v/>
      </c>
      <c r="P3036">
        <f>TEXT(B3036,"yyyy-mm")</f>
        <v/>
      </c>
      <c r="Q3036">
        <f>IF(O3036&gt;=3000,"Large","Small")</f>
        <v/>
      </c>
      <c r="R3036">
        <f>INDEX(Products!$F$2:$F$49,MATCH(J3036,Products!$A$2:$A$49,0))</f>
        <v/>
      </c>
      <c r="S3036">
        <f>WEEKDAY(B3036,2)</f>
        <v/>
      </c>
    </row>
    <row r="3037">
      <c r="A3037" t="n">
        <v>510982</v>
      </c>
      <c r="B3037" s="6" t="n">
        <v>45982</v>
      </c>
      <c r="C3037" t="n">
        <v>17203</v>
      </c>
      <c r="D3037" t="inlineStr">
        <is>
          <t>Ahmedabad</t>
        </is>
      </c>
      <c r="E3037" t="inlineStr">
        <is>
          <t>West</t>
        </is>
      </c>
      <c r="F3037" t="inlineStr">
        <is>
          <t>Email</t>
        </is>
      </c>
      <c r="G3037" t="inlineStr">
        <is>
          <t>Mobile Web</t>
        </is>
      </c>
      <c r="H3037" t="inlineStr">
        <is>
          <t>Net Banking</t>
        </is>
      </c>
      <c r="I3037" t="inlineStr">
        <is>
          <t>Delivered</t>
        </is>
      </c>
      <c r="J3037" t="n">
        <v>107</v>
      </c>
      <c r="K3037" t="n">
        <v>1</v>
      </c>
      <c r="L3037" t="n">
        <v>1259</v>
      </c>
      <c r="M3037" t="n">
        <v>0</v>
      </c>
      <c r="N3037">
        <f>VLOOKUP(J3037,Products!$A$2:$C$49,3,FALSE)</f>
        <v/>
      </c>
      <c r="O3037">
        <f>K3037*L3037-M3037</f>
        <v/>
      </c>
      <c r="P3037">
        <f>TEXT(B3037,"yyyy-mm")</f>
        <v/>
      </c>
      <c r="Q3037">
        <f>IF(O3037&gt;=3000,"Large","Small")</f>
        <v/>
      </c>
      <c r="R3037">
        <f>INDEX(Products!$F$2:$F$49,MATCH(J3037,Products!$A$2:$A$49,0))</f>
        <v/>
      </c>
      <c r="S3037">
        <f>WEEKDAY(B3037,2)</f>
        <v/>
      </c>
    </row>
    <row r="3038">
      <c r="A3038" t="n">
        <v>510983</v>
      </c>
      <c r="B3038" s="6" t="n">
        <v>45982</v>
      </c>
      <c r="C3038" t="n">
        <v>15186</v>
      </c>
      <c r="D3038" t="inlineStr">
        <is>
          <t>Delhi</t>
        </is>
      </c>
      <c r="E3038" t="inlineStr">
        <is>
          <t>North</t>
        </is>
      </c>
      <c r="F3038" t="inlineStr">
        <is>
          <t>Referral</t>
        </is>
      </c>
      <c r="G3038" t="inlineStr">
        <is>
          <t>Mobile App</t>
        </is>
      </c>
      <c r="H3038" t="inlineStr">
        <is>
          <t>Credit Card</t>
        </is>
      </c>
      <c r="I3038" t="inlineStr">
        <is>
          <t>Delivered</t>
        </is>
      </c>
      <c r="J3038" t="n">
        <v>117</v>
      </c>
      <c r="K3038" t="n">
        <v>1</v>
      </c>
      <c r="L3038" t="n">
        <v>3149</v>
      </c>
      <c r="M3038" t="n">
        <v>0</v>
      </c>
      <c r="N3038">
        <f>VLOOKUP(J3038,Products!$A$2:$C$49,3,FALSE)</f>
        <v/>
      </c>
      <c r="O3038">
        <f>K3038*L3038-M3038</f>
        <v/>
      </c>
      <c r="P3038">
        <f>TEXT(B3038,"yyyy-mm")</f>
        <v/>
      </c>
      <c r="Q3038">
        <f>IF(O3038&gt;=3000,"Large","Small")</f>
        <v/>
      </c>
      <c r="R3038">
        <f>INDEX(Products!$F$2:$F$49,MATCH(J3038,Products!$A$2:$A$49,0))</f>
        <v/>
      </c>
      <c r="S3038">
        <f>WEEKDAY(B3038,2)</f>
        <v/>
      </c>
    </row>
    <row r="3039">
      <c r="A3039" t="n">
        <v>510984</v>
      </c>
      <c r="B3039" s="6" t="n">
        <v>45982</v>
      </c>
      <c r="C3039" t="n">
        <v>16288</v>
      </c>
      <c r="D3039" t="inlineStr">
        <is>
          <t>Lucknow</t>
        </is>
      </c>
      <c r="E3039" t="inlineStr">
        <is>
          <t>North</t>
        </is>
      </c>
      <c r="F3039" t="inlineStr">
        <is>
          <t>Organic Search</t>
        </is>
      </c>
      <c r="G3039" t="inlineStr">
        <is>
          <t>Mobile App</t>
        </is>
      </c>
      <c r="H3039" t="inlineStr">
        <is>
          <t>UPI</t>
        </is>
      </c>
      <c r="I3039" t="inlineStr">
        <is>
          <t>Returned</t>
        </is>
      </c>
      <c r="J3039" t="n">
        <v>112</v>
      </c>
      <c r="K3039" t="n">
        <v>1</v>
      </c>
      <c r="L3039" t="n">
        <v>1574</v>
      </c>
      <c r="M3039" t="n">
        <v>0</v>
      </c>
      <c r="N3039">
        <f>VLOOKUP(J3039,Products!$A$2:$C$49,3,FALSE)</f>
        <v/>
      </c>
      <c r="O3039">
        <f>K3039*L3039-M3039</f>
        <v/>
      </c>
      <c r="P3039">
        <f>TEXT(B3039,"yyyy-mm")</f>
        <v/>
      </c>
      <c r="Q3039">
        <f>IF(O3039&gt;=3000,"Large","Small")</f>
        <v/>
      </c>
      <c r="R3039">
        <f>INDEX(Products!$F$2:$F$49,MATCH(J3039,Products!$A$2:$A$49,0))</f>
        <v/>
      </c>
      <c r="S3039">
        <f>WEEKDAY(B3039,2)</f>
        <v/>
      </c>
    </row>
    <row r="3040">
      <c r="A3040" t="n">
        <v>510984</v>
      </c>
      <c r="B3040" s="6" t="n">
        <v>45982</v>
      </c>
      <c r="C3040" t="n">
        <v>16288</v>
      </c>
      <c r="D3040" t="inlineStr">
        <is>
          <t>Lucknow</t>
        </is>
      </c>
      <c r="E3040" t="inlineStr">
        <is>
          <t>North</t>
        </is>
      </c>
      <c r="F3040" t="inlineStr">
        <is>
          <t>Organic Search</t>
        </is>
      </c>
      <c r="G3040" t="inlineStr">
        <is>
          <t>Mobile App</t>
        </is>
      </c>
      <c r="H3040" t="inlineStr">
        <is>
          <t>UPI</t>
        </is>
      </c>
      <c r="I3040" t="inlineStr">
        <is>
          <t>Returned</t>
        </is>
      </c>
      <c r="J3040" t="n">
        <v>103</v>
      </c>
      <c r="K3040" t="n">
        <v>1</v>
      </c>
      <c r="L3040" t="n">
        <v>2624</v>
      </c>
      <c r="M3040" t="n">
        <v>0</v>
      </c>
      <c r="N3040">
        <f>VLOOKUP(J3040,Products!$A$2:$C$49,3,FALSE)</f>
        <v/>
      </c>
      <c r="O3040">
        <f>K3040*L3040-M3040</f>
        <v/>
      </c>
      <c r="P3040">
        <f>TEXT(B3040,"yyyy-mm")</f>
        <v/>
      </c>
      <c r="Q3040">
        <f>IF(O3040&gt;=3000,"Large","Small")</f>
        <v/>
      </c>
      <c r="R3040">
        <f>INDEX(Products!$F$2:$F$49,MATCH(J3040,Products!$A$2:$A$49,0))</f>
        <v/>
      </c>
      <c r="S3040">
        <f>WEEKDAY(B3040,2)</f>
        <v/>
      </c>
    </row>
    <row r="3041">
      <c r="A3041" t="n">
        <v>510984</v>
      </c>
      <c r="B3041" s="6" t="n">
        <v>45982</v>
      </c>
      <c r="C3041" t="n">
        <v>16288</v>
      </c>
      <c r="D3041" t="inlineStr">
        <is>
          <t>Lucknow</t>
        </is>
      </c>
      <c r="E3041" t="inlineStr">
        <is>
          <t>North</t>
        </is>
      </c>
      <c r="F3041" t="inlineStr">
        <is>
          <t>Organic Search</t>
        </is>
      </c>
      <c r="G3041" t="inlineStr">
        <is>
          <t>Mobile App</t>
        </is>
      </c>
      <c r="H3041" t="inlineStr">
        <is>
          <t>UPI</t>
        </is>
      </c>
      <c r="I3041" t="inlineStr">
        <is>
          <t>Returned</t>
        </is>
      </c>
      <c r="J3041" t="n">
        <v>133</v>
      </c>
      <c r="K3041" t="n">
        <v>1</v>
      </c>
      <c r="L3041" t="n">
        <v>419</v>
      </c>
      <c r="M3041" t="n">
        <v>0</v>
      </c>
      <c r="N3041">
        <f>VLOOKUP(J3041,Products!$A$2:$C$49,3,FALSE)</f>
        <v/>
      </c>
      <c r="O3041">
        <f>K3041*L3041-M3041</f>
        <v/>
      </c>
      <c r="P3041">
        <f>TEXT(B3041,"yyyy-mm")</f>
        <v/>
      </c>
      <c r="Q3041">
        <f>IF(O3041&gt;=3000,"Large","Small")</f>
        <v/>
      </c>
      <c r="R3041">
        <f>INDEX(Products!$F$2:$F$49,MATCH(J3041,Products!$A$2:$A$49,0))</f>
        <v/>
      </c>
      <c r="S3041">
        <f>WEEKDAY(B3041,2)</f>
        <v/>
      </c>
    </row>
    <row r="3042">
      <c r="A3042" t="n">
        <v>510984</v>
      </c>
      <c r="B3042" s="6" t="n">
        <v>45982</v>
      </c>
      <c r="C3042" t="n">
        <v>16288</v>
      </c>
      <c r="D3042" t="inlineStr">
        <is>
          <t>Lucknow</t>
        </is>
      </c>
      <c r="E3042" t="inlineStr">
        <is>
          <t>North</t>
        </is>
      </c>
      <c r="F3042" t="inlineStr">
        <is>
          <t>Organic Search</t>
        </is>
      </c>
      <c r="G3042" t="inlineStr">
        <is>
          <t>Mobile App</t>
        </is>
      </c>
      <c r="H3042" t="inlineStr">
        <is>
          <t>UPI</t>
        </is>
      </c>
      <c r="I3042" t="inlineStr">
        <is>
          <t>Returned</t>
        </is>
      </c>
      <c r="J3042" t="n">
        <v>126</v>
      </c>
      <c r="K3042" t="n">
        <v>1</v>
      </c>
      <c r="L3042" t="n">
        <v>471</v>
      </c>
      <c r="M3042" t="n">
        <v>0</v>
      </c>
      <c r="N3042">
        <f>VLOOKUP(J3042,Products!$A$2:$C$49,3,FALSE)</f>
        <v/>
      </c>
      <c r="O3042">
        <f>K3042*L3042-M3042</f>
        <v/>
      </c>
      <c r="P3042">
        <f>TEXT(B3042,"yyyy-mm")</f>
        <v/>
      </c>
      <c r="Q3042">
        <f>IF(O3042&gt;=3000,"Large","Small")</f>
        <v/>
      </c>
      <c r="R3042">
        <f>INDEX(Products!$F$2:$F$49,MATCH(J3042,Products!$A$2:$A$49,0))</f>
        <v/>
      </c>
      <c r="S3042">
        <f>WEEKDAY(B3042,2)</f>
        <v/>
      </c>
    </row>
    <row r="3043">
      <c r="A3043" t="n">
        <v>510985</v>
      </c>
      <c r="B3043" s="6" t="n">
        <v>45982</v>
      </c>
      <c r="C3043" t="n">
        <v>16114</v>
      </c>
      <c r="D3043" t="inlineStr">
        <is>
          <t>Bengaluru</t>
        </is>
      </c>
      <c r="E3043" t="inlineStr">
        <is>
          <t>South</t>
        </is>
      </c>
      <c r="F3043" t="inlineStr">
        <is>
          <t>Paid Search</t>
        </is>
      </c>
      <c r="G3043" t="inlineStr">
        <is>
          <t>Mobile App</t>
        </is>
      </c>
      <c r="H3043" t="inlineStr">
        <is>
          <t>Cash on Delivery</t>
        </is>
      </c>
      <c r="I3043" t="inlineStr">
        <is>
          <t>Delivered</t>
        </is>
      </c>
      <c r="J3043" t="n">
        <v>110</v>
      </c>
      <c r="K3043" t="n">
        <v>1</v>
      </c>
      <c r="L3043" t="n">
        <v>839</v>
      </c>
      <c r="M3043" t="n">
        <v>0</v>
      </c>
      <c r="N3043">
        <f>VLOOKUP(J3043,Products!$A$2:$C$49,3,FALSE)</f>
        <v/>
      </c>
      <c r="O3043">
        <f>K3043*L3043-M3043</f>
        <v/>
      </c>
      <c r="P3043">
        <f>TEXT(B3043,"yyyy-mm")</f>
        <v/>
      </c>
      <c r="Q3043">
        <f>IF(O3043&gt;=3000,"Large","Small")</f>
        <v/>
      </c>
      <c r="R3043">
        <f>INDEX(Products!$F$2:$F$49,MATCH(J3043,Products!$A$2:$A$49,0))</f>
        <v/>
      </c>
      <c r="S3043">
        <f>WEEKDAY(B3043,2)</f>
        <v/>
      </c>
    </row>
    <row r="3044">
      <c r="A3044" t="n">
        <v>510986</v>
      </c>
      <c r="B3044" s="6" t="n">
        <v>45982</v>
      </c>
      <c r="C3044" t="n">
        <v>15623</v>
      </c>
      <c r="D3044" t="inlineStr">
        <is>
          <t>Noida</t>
        </is>
      </c>
      <c r="E3044" t="inlineStr">
        <is>
          <t>North</t>
        </is>
      </c>
      <c r="F3044" t="inlineStr">
        <is>
          <t>Paid Social</t>
        </is>
      </c>
      <c r="G3044" t="inlineStr">
        <is>
          <t>Mobile App</t>
        </is>
      </c>
      <c r="H3044" t="inlineStr">
        <is>
          <t>Credit Card</t>
        </is>
      </c>
      <c r="I3044" t="inlineStr">
        <is>
          <t>Delivered</t>
        </is>
      </c>
      <c r="J3044" t="n">
        <v>133</v>
      </c>
      <c r="K3044" t="n">
        <v>1</v>
      </c>
      <c r="L3044" t="n">
        <v>419</v>
      </c>
      <c r="M3044" t="n">
        <v>0</v>
      </c>
      <c r="N3044">
        <f>VLOOKUP(J3044,Products!$A$2:$C$49,3,FALSE)</f>
        <v/>
      </c>
      <c r="O3044">
        <f>K3044*L3044-M3044</f>
        <v/>
      </c>
      <c r="P3044">
        <f>TEXT(B3044,"yyyy-mm")</f>
        <v/>
      </c>
      <c r="Q3044">
        <f>IF(O3044&gt;=3000,"Large","Small")</f>
        <v/>
      </c>
      <c r="R3044">
        <f>INDEX(Products!$F$2:$F$49,MATCH(J3044,Products!$A$2:$A$49,0))</f>
        <v/>
      </c>
      <c r="S3044">
        <f>WEEKDAY(B3044,2)</f>
        <v/>
      </c>
    </row>
    <row r="3045">
      <c r="A3045" t="n">
        <v>510986</v>
      </c>
      <c r="B3045" s="6" t="n">
        <v>45982</v>
      </c>
      <c r="C3045" t="n">
        <v>15623</v>
      </c>
      <c r="D3045" t="inlineStr">
        <is>
          <t>Noida</t>
        </is>
      </c>
      <c r="E3045" t="inlineStr">
        <is>
          <t>North</t>
        </is>
      </c>
      <c r="F3045" t="inlineStr">
        <is>
          <t>Paid Social</t>
        </is>
      </c>
      <c r="G3045" t="inlineStr">
        <is>
          <t>Mobile App</t>
        </is>
      </c>
      <c r="H3045" t="inlineStr">
        <is>
          <t>Credit Card</t>
        </is>
      </c>
      <c r="I3045" t="inlineStr">
        <is>
          <t>Delivered</t>
        </is>
      </c>
      <c r="J3045" t="n">
        <v>116</v>
      </c>
      <c r="K3045" t="n">
        <v>1</v>
      </c>
      <c r="L3045" t="n">
        <v>2624</v>
      </c>
      <c r="M3045" t="n">
        <v>0</v>
      </c>
      <c r="N3045">
        <f>VLOOKUP(J3045,Products!$A$2:$C$49,3,FALSE)</f>
        <v/>
      </c>
      <c r="O3045">
        <f>K3045*L3045-M3045</f>
        <v/>
      </c>
      <c r="P3045">
        <f>TEXT(B3045,"yyyy-mm")</f>
        <v/>
      </c>
      <c r="Q3045">
        <f>IF(O3045&gt;=3000,"Large","Small")</f>
        <v/>
      </c>
      <c r="R3045">
        <f>INDEX(Products!$F$2:$F$49,MATCH(J3045,Products!$A$2:$A$49,0))</f>
        <v/>
      </c>
      <c r="S3045">
        <f>WEEKDAY(B3045,2)</f>
        <v/>
      </c>
    </row>
    <row r="3046">
      <c r="A3046" t="n">
        <v>510987</v>
      </c>
      <c r="B3046" s="6" t="n">
        <v>45982</v>
      </c>
      <c r="C3046" t="n">
        <v>17186</v>
      </c>
      <c r="D3046" t="inlineStr">
        <is>
          <t>Chandigarh</t>
        </is>
      </c>
      <c r="E3046" t="inlineStr">
        <is>
          <t>North</t>
        </is>
      </c>
      <c r="F3046" t="inlineStr">
        <is>
          <t>Paid Search</t>
        </is>
      </c>
      <c r="G3046" t="inlineStr">
        <is>
          <t>Mobile Web</t>
        </is>
      </c>
      <c r="H3046" t="inlineStr">
        <is>
          <t>UPI</t>
        </is>
      </c>
      <c r="I3046" t="inlineStr">
        <is>
          <t>Delivered</t>
        </is>
      </c>
      <c r="J3046" t="n">
        <v>106</v>
      </c>
      <c r="K3046" t="n">
        <v>1</v>
      </c>
      <c r="L3046" t="n">
        <v>1574</v>
      </c>
      <c r="M3046" t="n">
        <v>0</v>
      </c>
      <c r="N3046">
        <f>VLOOKUP(J3046,Products!$A$2:$C$49,3,FALSE)</f>
        <v/>
      </c>
      <c r="O3046">
        <f>K3046*L3046-M3046</f>
        <v/>
      </c>
      <c r="P3046">
        <f>TEXT(B3046,"yyyy-mm")</f>
        <v/>
      </c>
      <c r="Q3046">
        <f>IF(O3046&gt;=3000,"Large","Small")</f>
        <v/>
      </c>
      <c r="R3046">
        <f>INDEX(Products!$F$2:$F$49,MATCH(J3046,Products!$A$2:$A$49,0))</f>
        <v/>
      </c>
      <c r="S3046">
        <f>WEEKDAY(B3046,2)</f>
        <v/>
      </c>
    </row>
    <row r="3047">
      <c r="A3047" t="n">
        <v>510987</v>
      </c>
      <c r="B3047" s="6" t="n">
        <v>45982</v>
      </c>
      <c r="C3047" t="n">
        <v>17186</v>
      </c>
      <c r="D3047" t="inlineStr">
        <is>
          <t>Chandigarh</t>
        </is>
      </c>
      <c r="E3047" t="inlineStr">
        <is>
          <t>North</t>
        </is>
      </c>
      <c r="F3047" t="inlineStr">
        <is>
          <t>Paid Search</t>
        </is>
      </c>
      <c r="G3047" t="inlineStr">
        <is>
          <t>Mobile Web</t>
        </is>
      </c>
      <c r="H3047" t="inlineStr">
        <is>
          <t>UPI</t>
        </is>
      </c>
      <c r="I3047" t="inlineStr">
        <is>
          <t>Delivered</t>
        </is>
      </c>
      <c r="J3047" t="n">
        <v>124</v>
      </c>
      <c r="K3047" t="n">
        <v>1</v>
      </c>
      <c r="L3047" t="n">
        <v>1154</v>
      </c>
      <c r="M3047" t="n">
        <v>0</v>
      </c>
      <c r="N3047">
        <f>VLOOKUP(J3047,Products!$A$2:$C$49,3,FALSE)</f>
        <v/>
      </c>
      <c r="O3047">
        <f>K3047*L3047-M3047</f>
        <v/>
      </c>
      <c r="P3047">
        <f>TEXT(B3047,"yyyy-mm")</f>
        <v/>
      </c>
      <c r="Q3047">
        <f>IF(O3047&gt;=3000,"Large","Small")</f>
        <v/>
      </c>
      <c r="R3047">
        <f>INDEX(Products!$F$2:$F$49,MATCH(J3047,Products!$A$2:$A$49,0))</f>
        <v/>
      </c>
      <c r="S3047">
        <f>WEEKDAY(B3047,2)</f>
        <v/>
      </c>
    </row>
    <row r="3048">
      <c r="A3048" t="n">
        <v>510988</v>
      </c>
      <c r="B3048" s="6" t="n">
        <v>45982</v>
      </c>
      <c r="C3048" t="n">
        <v>13366</v>
      </c>
      <c r="D3048" t="inlineStr">
        <is>
          <t>Chandigarh</t>
        </is>
      </c>
      <c r="E3048" t="inlineStr">
        <is>
          <t>North</t>
        </is>
      </c>
      <c r="F3048" t="inlineStr">
        <is>
          <t>Paid Social</t>
        </is>
      </c>
      <c r="G3048" t="inlineStr">
        <is>
          <t>Mobile Web</t>
        </is>
      </c>
      <c r="H3048" t="inlineStr">
        <is>
          <t>UPI</t>
        </is>
      </c>
      <c r="I3048" t="inlineStr">
        <is>
          <t>Delivered</t>
        </is>
      </c>
      <c r="J3048" t="n">
        <v>109</v>
      </c>
      <c r="K3048" t="n">
        <v>1</v>
      </c>
      <c r="L3048" t="n">
        <v>4199</v>
      </c>
      <c r="M3048" t="n">
        <v>0</v>
      </c>
      <c r="N3048">
        <f>VLOOKUP(J3048,Products!$A$2:$C$49,3,FALSE)</f>
        <v/>
      </c>
      <c r="O3048">
        <f>K3048*L3048-M3048</f>
        <v/>
      </c>
      <c r="P3048">
        <f>TEXT(B3048,"yyyy-mm")</f>
        <v/>
      </c>
      <c r="Q3048">
        <f>IF(O3048&gt;=3000,"Large","Small")</f>
        <v/>
      </c>
      <c r="R3048">
        <f>INDEX(Products!$F$2:$F$49,MATCH(J3048,Products!$A$2:$A$49,0))</f>
        <v/>
      </c>
      <c r="S3048">
        <f>WEEKDAY(B3048,2)</f>
        <v/>
      </c>
    </row>
    <row r="3049">
      <c r="A3049" t="n">
        <v>510988</v>
      </c>
      <c r="B3049" s="6" t="n">
        <v>45982</v>
      </c>
      <c r="C3049" t="n">
        <v>13366</v>
      </c>
      <c r="D3049" t="inlineStr">
        <is>
          <t>Chandigarh</t>
        </is>
      </c>
      <c r="E3049" t="inlineStr">
        <is>
          <t>North</t>
        </is>
      </c>
      <c r="F3049" t="inlineStr">
        <is>
          <t>Paid Social</t>
        </is>
      </c>
      <c r="G3049" t="inlineStr">
        <is>
          <t>Mobile Web</t>
        </is>
      </c>
      <c r="H3049" t="inlineStr">
        <is>
          <t>UPI</t>
        </is>
      </c>
      <c r="I3049" t="inlineStr">
        <is>
          <t>Delivered</t>
        </is>
      </c>
      <c r="J3049" t="n">
        <v>125</v>
      </c>
      <c r="K3049" t="n">
        <v>3</v>
      </c>
      <c r="L3049" t="n">
        <v>1364</v>
      </c>
      <c r="M3049" t="n">
        <v>0</v>
      </c>
      <c r="N3049">
        <f>VLOOKUP(J3049,Products!$A$2:$C$49,3,FALSE)</f>
        <v/>
      </c>
      <c r="O3049">
        <f>K3049*L3049-M3049</f>
        <v/>
      </c>
      <c r="P3049">
        <f>TEXT(B3049,"yyyy-mm")</f>
        <v/>
      </c>
      <c r="Q3049">
        <f>IF(O3049&gt;=3000,"Large","Small")</f>
        <v/>
      </c>
      <c r="R3049">
        <f>INDEX(Products!$F$2:$F$49,MATCH(J3049,Products!$A$2:$A$49,0))</f>
        <v/>
      </c>
      <c r="S3049">
        <f>WEEKDAY(B3049,2)</f>
        <v/>
      </c>
    </row>
    <row r="3050">
      <c r="A3050" t="n">
        <v>510989</v>
      </c>
      <c r="B3050" s="6" t="n">
        <v>45982</v>
      </c>
      <c r="C3050" t="n">
        <v>16713</v>
      </c>
      <c r="D3050" t="inlineStr">
        <is>
          <t>Mumbai</t>
        </is>
      </c>
      <c r="E3050" t="inlineStr">
        <is>
          <t>West</t>
        </is>
      </c>
      <c r="F3050" t="inlineStr">
        <is>
          <t>Email</t>
        </is>
      </c>
      <c r="G3050" t="inlineStr">
        <is>
          <t>Desktop</t>
        </is>
      </c>
      <c r="H3050" t="inlineStr">
        <is>
          <t>UPI</t>
        </is>
      </c>
      <c r="I3050" t="inlineStr">
        <is>
          <t>Delivered</t>
        </is>
      </c>
      <c r="J3050" t="n">
        <v>117</v>
      </c>
      <c r="K3050" t="n">
        <v>1</v>
      </c>
      <c r="L3050" t="n">
        <v>3149</v>
      </c>
      <c r="M3050" t="n">
        <v>157.45</v>
      </c>
      <c r="N3050">
        <f>VLOOKUP(J3050,Products!$A$2:$C$49,3,FALSE)</f>
        <v/>
      </c>
      <c r="O3050">
        <f>K3050*L3050-M3050</f>
        <v/>
      </c>
      <c r="P3050">
        <f>TEXT(B3050,"yyyy-mm")</f>
        <v/>
      </c>
      <c r="Q3050">
        <f>IF(O3050&gt;=3000,"Large","Small")</f>
        <v/>
      </c>
      <c r="R3050">
        <f>INDEX(Products!$F$2:$F$49,MATCH(J3050,Products!$A$2:$A$49,0))</f>
        <v/>
      </c>
      <c r="S3050">
        <f>WEEKDAY(B3050,2)</f>
        <v/>
      </c>
    </row>
    <row r="3051">
      <c r="A3051" t="n">
        <v>510990</v>
      </c>
      <c r="B3051" s="6" t="n">
        <v>45982</v>
      </c>
      <c r="C3051" t="n">
        <v>15922</v>
      </c>
      <c r="D3051" t="inlineStr">
        <is>
          <t>Bengaluru</t>
        </is>
      </c>
      <c r="E3051" t="inlineStr">
        <is>
          <t>South</t>
        </is>
      </c>
      <c r="F3051" t="inlineStr">
        <is>
          <t>Organic Search</t>
        </is>
      </c>
      <c r="G3051" t="inlineStr">
        <is>
          <t>Mobile Web</t>
        </is>
      </c>
      <c r="H3051" t="inlineStr">
        <is>
          <t>Credit Card</t>
        </is>
      </c>
      <c r="I3051" t="inlineStr">
        <is>
          <t>Delivered</t>
        </is>
      </c>
      <c r="J3051" t="n">
        <v>120</v>
      </c>
      <c r="K3051" t="n">
        <v>1</v>
      </c>
      <c r="L3051" t="n">
        <v>734</v>
      </c>
      <c r="M3051" t="n">
        <v>0</v>
      </c>
      <c r="N3051">
        <f>VLOOKUP(J3051,Products!$A$2:$C$49,3,FALSE)</f>
        <v/>
      </c>
      <c r="O3051">
        <f>K3051*L3051-M3051</f>
        <v/>
      </c>
      <c r="P3051">
        <f>TEXT(B3051,"yyyy-mm")</f>
        <v/>
      </c>
      <c r="Q3051">
        <f>IF(O3051&gt;=3000,"Large","Small")</f>
        <v/>
      </c>
      <c r="R3051">
        <f>INDEX(Products!$F$2:$F$49,MATCH(J3051,Products!$A$2:$A$49,0))</f>
        <v/>
      </c>
      <c r="S3051">
        <f>WEEKDAY(B3051,2)</f>
        <v/>
      </c>
    </row>
    <row r="3052">
      <c r="A3052" t="n">
        <v>510990</v>
      </c>
      <c r="B3052" s="6" t="n">
        <v>45982</v>
      </c>
      <c r="C3052" t="n">
        <v>15922</v>
      </c>
      <c r="D3052" t="inlineStr">
        <is>
          <t>Bengaluru</t>
        </is>
      </c>
      <c r="E3052" t="inlineStr">
        <is>
          <t>South</t>
        </is>
      </c>
      <c r="F3052" t="inlineStr">
        <is>
          <t>Organic Search</t>
        </is>
      </c>
      <c r="G3052" t="inlineStr">
        <is>
          <t>Mobile Web</t>
        </is>
      </c>
      <c r="H3052" t="inlineStr">
        <is>
          <t>Credit Card</t>
        </is>
      </c>
      <c r="I3052" t="inlineStr">
        <is>
          <t>Delivered</t>
        </is>
      </c>
      <c r="J3052" t="n">
        <v>110</v>
      </c>
      <c r="K3052" t="n">
        <v>1</v>
      </c>
      <c r="L3052" t="n">
        <v>839</v>
      </c>
      <c r="M3052" t="n">
        <v>0</v>
      </c>
      <c r="N3052">
        <f>VLOOKUP(J3052,Products!$A$2:$C$49,3,FALSE)</f>
        <v/>
      </c>
      <c r="O3052">
        <f>K3052*L3052-M3052</f>
        <v/>
      </c>
      <c r="P3052">
        <f>TEXT(B3052,"yyyy-mm")</f>
        <v/>
      </c>
      <c r="Q3052">
        <f>IF(O3052&gt;=3000,"Large","Small")</f>
        <v/>
      </c>
      <c r="R3052">
        <f>INDEX(Products!$F$2:$F$49,MATCH(J3052,Products!$A$2:$A$49,0))</f>
        <v/>
      </c>
      <c r="S3052">
        <f>WEEKDAY(B3052,2)</f>
        <v/>
      </c>
    </row>
    <row r="3053">
      <c r="A3053" t="n">
        <v>510990</v>
      </c>
      <c r="B3053" s="6" t="n">
        <v>45982</v>
      </c>
      <c r="C3053" t="n">
        <v>15922</v>
      </c>
      <c r="D3053" t="inlineStr">
        <is>
          <t>Bengaluru</t>
        </is>
      </c>
      <c r="E3053" t="inlineStr">
        <is>
          <t>South</t>
        </is>
      </c>
      <c r="F3053" t="inlineStr">
        <is>
          <t>Organic Search</t>
        </is>
      </c>
      <c r="G3053" t="inlineStr">
        <is>
          <t>Mobile Web</t>
        </is>
      </c>
      <c r="H3053" t="inlineStr">
        <is>
          <t>Credit Card</t>
        </is>
      </c>
      <c r="I3053" t="inlineStr">
        <is>
          <t>Delivered</t>
        </is>
      </c>
      <c r="J3053" t="n">
        <v>128</v>
      </c>
      <c r="K3053" t="n">
        <v>2</v>
      </c>
      <c r="L3053" t="n">
        <v>1049</v>
      </c>
      <c r="M3053" t="n">
        <v>0</v>
      </c>
      <c r="N3053">
        <f>VLOOKUP(J3053,Products!$A$2:$C$49,3,FALSE)</f>
        <v/>
      </c>
      <c r="O3053">
        <f>K3053*L3053-M3053</f>
        <v/>
      </c>
      <c r="P3053">
        <f>TEXT(B3053,"yyyy-mm")</f>
        <v/>
      </c>
      <c r="Q3053">
        <f>IF(O3053&gt;=3000,"Large","Small")</f>
        <v/>
      </c>
      <c r="R3053">
        <f>INDEX(Products!$F$2:$F$49,MATCH(J3053,Products!$A$2:$A$49,0))</f>
        <v/>
      </c>
      <c r="S3053">
        <f>WEEKDAY(B3053,2)</f>
        <v/>
      </c>
    </row>
    <row r="3054">
      <c r="A3054" t="n">
        <v>510991</v>
      </c>
      <c r="B3054" s="6" t="n">
        <v>45982</v>
      </c>
      <c r="C3054" t="n">
        <v>17385</v>
      </c>
      <c r="D3054" t="inlineStr">
        <is>
          <t>Mumbai</t>
        </is>
      </c>
      <c r="E3054" t="inlineStr">
        <is>
          <t>West</t>
        </is>
      </c>
      <c r="F3054" t="inlineStr">
        <is>
          <t>Paid Search</t>
        </is>
      </c>
      <c r="G3054" t="inlineStr">
        <is>
          <t>Mobile App</t>
        </is>
      </c>
      <c r="H3054" t="inlineStr">
        <is>
          <t>UPI</t>
        </is>
      </c>
      <c r="I3054" t="inlineStr">
        <is>
          <t>Delivered</t>
        </is>
      </c>
      <c r="J3054" t="n">
        <v>133</v>
      </c>
      <c r="K3054" t="n">
        <v>1</v>
      </c>
      <c r="L3054" t="n">
        <v>419</v>
      </c>
      <c r="M3054" t="n">
        <v>62.85</v>
      </c>
      <c r="N3054">
        <f>VLOOKUP(J3054,Products!$A$2:$C$49,3,FALSE)</f>
        <v/>
      </c>
      <c r="O3054">
        <f>K3054*L3054-M3054</f>
        <v/>
      </c>
      <c r="P3054">
        <f>TEXT(B3054,"yyyy-mm")</f>
        <v/>
      </c>
      <c r="Q3054">
        <f>IF(O3054&gt;=3000,"Large","Small")</f>
        <v/>
      </c>
      <c r="R3054">
        <f>INDEX(Products!$F$2:$F$49,MATCH(J3054,Products!$A$2:$A$49,0))</f>
        <v/>
      </c>
      <c r="S3054">
        <f>WEEKDAY(B3054,2)</f>
        <v/>
      </c>
    </row>
    <row r="3055">
      <c r="A3055" t="n">
        <v>510991</v>
      </c>
      <c r="B3055" s="6" t="n">
        <v>45982</v>
      </c>
      <c r="C3055" t="n">
        <v>17385</v>
      </c>
      <c r="D3055" t="inlineStr">
        <is>
          <t>Mumbai</t>
        </is>
      </c>
      <c r="E3055" t="inlineStr">
        <is>
          <t>West</t>
        </is>
      </c>
      <c r="F3055" t="inlineStr">
        <is>
          <t>Paid Search</t>
        </is>
      </c>
      <c r="G3055" t="inlineStr">
        <is>
          <t>Mobile App</t>
        </is>
      </c>
      <c r="H3055" t="inlineStr">
        <is>
          <t>UPI</t>
        </is>
      </c>
      <c r="I3055" t="inlineStr">
        <is>
          <t>Delivered</t>
        </is>
      </c>
      <c r="J3055" t="n">
        <v>138</v>
      </c>
      <c r="K3055" t="n">
        <v>1</v>
      </c>
      <c r="L3055" t="n">
        <v>419</v>
      </c>
      <c r="M3055" t="n">
        <v>62.85</v>
      </c>
      <c r="N3055">
        <f>VLOOKUP(J3055,Products!$A$2:$C$49,3,FALSE)</f>
        <v/>
      </c>
      <c r="O3055">
        <f>K3055*L3055-M3055</f>
        <v/>
      </c>
      <c r="P3055">
        <f>TEXT(B3055,"yyyy-mm")</f>
        <v/>
      </c>
      <c r="Q3055">
        <f>IF(O3055&gt;=3000,"Large","Small")</f>
        <v/>
      </c>
      <c r="R3055">
        <f>INDEX(Products!$F$2:$F$49,MATCH(J3055,Products!$A$2:$A$49,0))</f>
        <v/>
      </c>
      <c r="S3055">
        <f>WEEKDAY(B3055,2)</f>
        <v/>
      </c>
    </row>
    <row r="3056">
      <c r="A3056" t="n">
        <v>510992</v>
      </c>
      <c r="B3056" s="6" t="n">
        <v>45982</v>
      </c>
      <c r="C3056" t="n">
        <v>16865</v>
      </c>
      <c r="D3056" t="inlineStr">
        <is>
          <t>Kolkata</t>
        </is>
      </c>
      <c r="E3056" t="inlineStr">
        <is>
          <t>East</t>
        </is>
      </c>
      <c r="F3056" t="inlineStr">
        <is>
          <t>Organic Search</t>
        </is>
      </c>
      <c r="G3056" t="inlineStr">
        <is>
          <t>Mobile App</t>
        </is>
      </c>
      <c r="H3056" t="inlineStr">
        <is>
          <t>Cash on Delivery</t>
        </is>
      </c>
      <c r="I3056" t="inlineStr">
        <is>
          <t>Delivered</t>
        </is>
      </c>
      <c r="J3056" t="n">
        <v>120</v>
      </c>
      <c r="K3056" t="n">
        <v>1</v>
      </c>
      <c r="L3056" t="n">
        <v>734</v>
      </c>
      <c r="M3056" t="n">
        <v>0</v>
      </c>
      <c r="N3056">
        <f>VLOOKUP(J3056,Products!$A$2:$C$49,3,FALSE)</f>
        <v/>
      </c>
      <c r="O3056">
        <f>K3056*L3056-M3056</f>
        <v/>
      </c>
      <c r="P3056">
        <f>TEXT(B3056,"yyyy-mm")</f>
        <v/>
      </c>
      <c r="Q3056">
        <f>IF(O3056&gt;=3000,"Large","Small")</f>
        <v/>
      </c>
      <c r="R3056">
        <f>INDEX(Products!$F$2:$F$49,MATCH(J3056,Products!$A$2:$A$49,0))</f>
        <v/>
      </c>
      <c r="S3056">
        <f>WEEKDAY(B3056,2)</f>
        <v/>
      </c>
    </row>
    <row r="3057">
      <c r="A3057" t="n">
        <v>510993</v>
      </c>
      <c r="B3057" s="6" t="n">
        <v>45982</v>
      </c>
      <c r="C3057" t="n">
        <v>17430</v>
      </c>
      <c r="D3057" t="inlineStr">
        <is>
          <t>Kolkata</t>
        </is>
      </c>
      <c r="E3057" t="inlineStr">
        <is>
          <t>East</t>
        </is>
      </c>
      <c r="F3057" t="inlineStr">
        <is>
          <t>Affiliate</t>
        </is>
      </c>
      <c r="G3057" t="inlineStr">
        <is>
          <t>Mobile App</t>
        </is>
      </c>
      <c r="H3057" t="inlineStr">
        <is>
          <t>UPI</t>
        </is>
      </c>
      <c r="I3057" t="inlineStr">
        <is>
          <t>Delivered</t>
        </is>
      </c>
      <c r="J3057" t="n">
        <v>138</v>
      </c>
      <c r="K3057" t="n">
        <v>1</v>
      </c>
      <c r="L3057" t="n">
        <v>419</v>
      </c>
      <c r="M3057" t="n">
        <v>62.85</v>
      </c>
      <c r="N3057">
        <f>VLOOKUP(J3057,Products!$A$2:$C$49,3,FALSE)</f>
        <v/>
      </c>
      <c r="O3057">
        <f>K3057*L3057-M3057</f>
        <v/>
      </c>
      <c r="P3057">
        <f>TEXT(B3057,"yyyy-mm")</f>
        <v/>
      </c>
      <c r="Q3057">
        <f>IF(O3057&gt;=3000,"Large","Small")</f>
        <v/>
      </c>
      <c r="R3057">
        <f>INDEX(Products!$F$2:$F$49,MATCH(J3057,Products!$A$2:$A$49,0))</f>
        <v/>
      </c>
      <c r="S3057">
        <f>WEEKDAY(B3057,2)</f>
        <v/>
      </c>
    </row>
    <row r="3058">
      <c r="A3058" t="n">
        <v>510994</v>
      </c>
      <c r="B3058" s="6" t="n">
        <v>45982</v>
      </c>
      <c r="C3058" t="n">
        <v>17438</v>
      </c>
      <c r="D3058" t="inlineStr">
        <is>
          <t>Pune</t>
        </is>
      </c>
      <c r="E3058" t="inlineStr">
        <is>
          <t>West</t>
        </is>
      </c>
      <c r="F3058" t="inlineStr">
        <is>
          <t>Organic Search</t>
        </is>
      </c>
      <c r="G3058" t="inlineStr">
        <is>
          <t>Mobile App</t>
        </is>
      </c>
      <c r="H3058" t="inlineStr">
        <is>
          <t>UPI</t>
        </is>
      </c>
      <c r="I3058" t="inlineStr">
        <is>
          <t>Delivered</t>
        </is>
      </c>
      <c r="J3058" t="n">
        <v>102</v>
      </c>
      <c r="K3058" t="n">
        <v>1</v>
      </c>
      <c r="L3058" t="n">
        <v>3674</v>
      </c>
      <c r="M3058" t="n">
        <v>0</v>
      </c>
      <c r="N3058">
        <f>VLOOKUP(J3058,Products!$A$2:$C$49,3,FALSE)</f>
        <v/>
      </c>
      <c r="O3058">
        <f>K3058*L3058-M3058</f>
        <v/>
      </c>
      <c r="P3058">
        <f>TEXT(B3058,"yyyy-mm")</f>
        <v/>
      </c>
      <c r="Q3058">
        <f>IF(O3058&gt;=3000,"Large","Small")</f>
        <v/>
      </c>
      <c r="R3058">
        <f>INDEX(Products!$F$2:$F$49,MATCH(J3058,Products!$A$2:$A$49,0))</f>
        <v/>
      </c>
      <c r="S3058">
        <f>WEEKDAY(B3058,2)</f>
        <v/>
      </c>
    </row>
    <row r="3059">
      <c r="A3059" t="n">
        <v>510994</v>
      </c>
      <c r="B3059" s="6" t="n">
        <v>45982</v>
      </c>
      <c r="C3059" t="n">
        <v>17438</v>
      </c>
      <c r="D3059" t="inlineStr">
        <is>
          <t>Pune</t>
        </is>
      </c>
      <c r="E3059" t="inlineStr">
        <is>
          <t>West</t>
        </is>
      </c>
      <c r="F3059" t="inlineStr">
        <is>
          <t>Organic Search</t>
        </is>
      </c>
      <c r="G3059" t="inlineStr">
        <is>
          <t>Mobile App</t>
        </is>
      </c>
      <c r="H3059" t="inlineStr">
        <is>
          <t>UPI</t>
        </is>
      </c>
      <c r="I3059" t="inlineStr">
        <is>
          <t>Delivered</t>
        </is>
      </c>
      <c r="J3059" t="n">
        <v>133</v>
      </c>
      <c r="K3059" t="n">
        <v>1</v>
      </c>
      <c r="L3059" t="n">
        <v>419</v>
      </c>
      <c r="M3059" t="n">
        <v>0</v>
      </c>
      <c r="N3059">
        <f>VLOOKUP(J3059,Products!$A$2:$C$49,3,FALSE)</f>
        <v/>
      </c>
      <c r="O3059">
        <f>K3059*L3059-M3059</f>
        <v/>
      </c>
      <c r="P3059">
        <f>TEXT(B3059,"yyyy-mm")</f>
        <v/>
      </c>
      <c r="Q3059">
        <f>IF(O3059&gt;=3000,"Large","Small")</f>
        <v/>
      </c>
      <c r="R3059">
        <f>INDEX(Products!$F$2:$F$49,MATCH(J3059,Products!$A$2:$A$49,0))</f>
        <v/>
      </c>
      <c r="S3059">
        <f>WEEKDAY(B3059,2)</f>
        <v/>
      </c>
    </row>
    <row r="3060">
      <c r="A3060" t="n">
        <v>510995</v>
      </c>
      <c r="B3060" s="6" t="n">
        <v>45982</v>
      </c>
      <c r="C3060" t="n">
        <v>17073</v>
      </c>
      <c r="D3060" t="inlineStr">
        <is>
          <t>Mumbai</t>
        </is>
      </c>
      <c r="E3060" t="inlineStr">
        <is>
          <t>West</t>
        </is>
      </c>
      <c r="F3060" t="inlineStr">
        <is>
          <t>Organic Search</t>
        </is>
      </c>
      <c r="G3060" t="inlineStr">
        <is>
          <t>Mobile Web</t>
        </is>
      </c>
      <c r="H3060" t="inlineStr">
        <is>
          <t>UPI</t>
        </is>
      </c>
      <c r="I3060" t="inlineStr">
        <is>
          <t>Delivered</t>
        </is>
      </c>
      <c r="J3060" t="n">
        <v>123</v>
      </c>
      <c r="K3060" t="n">
        <v>1</v>
      </c>
      <c r="L3060" t="n">
        <v>3464</v>
      </c>
      <c r="M3060" t="n">
        <v>0</v>
      </c>
      <c r="N3060">
        <f>VLOOKUP(J3060,Products!$A$2:$C$49,3,FALSE)</f>
        <v/>
      </c>
      <c r="O3060">
        <f>K3060*L3060-M3060</f>
        <v/>
      </c>
      <c r="P3060">
        <f>TEXT(B3060,"yyyy-mm")</f>
        <v/>
      </c>
      <c r="Q3060">
        <f>IF(O3060&gt;=3000,"Large","Small")</f>
        <v/>
      </c>
      <c r="R3060">
        <f>INDEX(Products!$F$2:$F$49,MATCH(J3060,Products!$A$2:$A$49,0))</f>
        <v/>
      </c>
      <c r="S3060">
        <f>WEEKDAY(B3060,2)</f>
        <v/>
      </c>
    </row>
    <row r="3061">
      <c r="A3061" t="n">
        <v>510996</v>
      </c>
      <c r="B3061" s="6" t="n">
        <v>45982</v>
      </c>
      <c r="C3061" t="n">
        <v>17412</v>
      </c>
      <c r="D3061" t="inlineStr">
        <is>
          <t>Bengaluru</t>
        </is>
      </c>
      <c r="E3061" t="inlineStr">
        <is>
          <t>South</t>
        </is>
      </c>
      <c r="F3061" t="inlineStr">
        <is>
          <t>Paid Search</t>
        </is>
      </c>
      <c r="G3061" t="inlineStr">
        <is>
          <t>Mobile Web</t>
        </is>
      </c>
      <c r="H3061" t="inlineStr">
        <is>
          <t>Cash on Delivery</t>
        </is>
      </c>
      <c r="I3061" t="inlineStr">
        <is>
          <t>Cancelled</t>
        </is>
      </c>
      <c r="J3061" t="n">
        <v>114</v>
      </c>
      <c r="K3061" t="n">
        <v>1</v>
      </c>
      <c r="L3061" t="n">
        <v>1259</v>
      </c>
      <c r="M3061" t="n">
        <v>0</v>
      </c>
      <c r="N3061">
        <f>VLOOKUP(J3061,Products!$A$2:$C$49,3,FALSE)</f>
        <v/>
      </c>
      <c r="O3061">
        <f>K3061*L3061-M3061</f>
        <v/>
      </c>
      <c r="P3061">
        <f>TEXT(B3061,"yyyy-mm")</f>
        <v/>
      </c>
      <c r="Q3061">
        <f>IF(O3061&gt;=3000,"Large","Small")</f>
        <v/>
      </c>
      <c r="R3061">
        <f>INDEX(Products!$F$2:$F$49,MATCH(J3061,Products!$A$2:$A$49,0))</f>
        <v/>
      </c>
      <c r="S3061">
        <f>WEEKDAY(B3061,2)</f>
        <v/>
      </c>
    </row>
    <row r="3062">
      <c r="A3062" t="n">
        <v>510997</v>
      </c>
      <c r="B3062" s="6" t="n">
        <v>45982</v>
      </c>
      <c r="C3062" t="n">
        <v>16378</v>
      </c>
      <c r="D3062" t="inlineStr">
        <is>
          <t>Jaipur</t>
        </is>
      </c>
      <c r="E3062" t="inlineStr">
        <is>
          <t>North</t>
        </is>
      </c>
      <c r="F3062" t="inlineStr">
        <is>
          <t>Organic Search</t>
        </is>
      </c>
      <c r="G3062" t="inlineStr">
        <is>
          <t>Mobile App</t>
        </is>
      </c>
      <c r="H3062" t="inlineStr">
        <is>
          <t>UPI</t>
        </is>
      </c>
      <c r="I3062" t="inlineStr">
        <is>
          <t>Delivered</t>
        </is>
      </c>
      <c r="J3062" t="n">
        <v>111</v>
      </c>
      <c r="K3062" t="n">
        <v>1</v>
      </c>
      <c r="L3062" t="n">
        <v>524</v>
      </c>
      <c r="M3062" t="n">
        <v>0</v>
      </c>
      <c r="N3062">
        <f>VLOOKUP(J3062,Products!$A$2:$C$49,3,FALSE)</f>
        <v/>
      </c>
      <c r="O3062">
        <f>K3062*L3062-M3062</f>
        <v/>
      </c>
      <c r="P3062">
        <f>TEXT(B3062,"yyyy-mm")</f>
        <v/>
      </c>
      <c r="Q3062">
        <f>IF(O3062&gt;=3000,"Large","Small")</f>
        <v/>
      </c>
      <c r="R3062">
        <f>INDEX(Products!$F$2:$F$49,MATCH(J3062,Products!$A$2:$A$49,0))</f>
        <v/>
      </c>
      <c r="S3062">
        <f>WEEKDAY(B3062,2)</f>
        <v/>
      </c>
    </row>
    <row r="3063">
      <c r="A3063" t="n">
        <v>510997</v>
      </c>
      <c r="B3063" s="6" t="n">
        <v>45982</v>
      </c>
      <c r="C3063" t="n">
        <v>16378</v>
      </c>
      <c r="D3063" t="inlineStr">
        <is>
          <t>Jaipur</t>
        </is>
      </c>
      <c r="E3063" t="inlineStr">
        <is>
          <t>North</t>
        </is>
      </c>
      <c r="F3063" t="inlineStr">
        <is>
          <t>Organic Search</t>
        </is>
      </c>
      <c r="G3063" t="inlineStr">
        <is>
          <t>Mobile App</t>
        </is>
      </c>
      <c r="H3063" t="inlineStr">
        <is>
          <t>UPI</t>
        </is>
      </c>
      <c r="I3063" t="inlineStr">
        <is>
          <t>Delivered</t>
        </is>
      </c>
      <c r="J3063" t="n">
        <v>130</v>
      </c>
      <c r="K3063" t="n">
        <v>2</v>
      </c>
      <c r="L3063" t="n">
        <v>734</v>
      </c>
      <c r="M3063" t="n">
        <v>0</v>
      </c>
      <c r="N3063">
        <f>VLOOKUP(J3063,Products!$A$2:$C$49,3,FALSE)</f>
        <v/>
      </c>
      <c r="O3063">
        <f>K3063*L3063-M3063</f>
        <v/>
      </c>
      <c r="P3063">
        <f>TEXT(B3063,"yyyy-mm")</f>
        <v/>
      </c>
      <c r="Q3063">
        <f>IF(O3063&gt;=3000,"Large","Small")</f>
        <v/>
      </c>
      <c r="R3063">
        <f>INDEX(Products!$F$2:$F$49,MATCH(J3063,Products!$A$2:$A$49,0))</f>
        <v/>
      </c>
      <c r="S3063">
        <f>WEEKDAY(B3063,2)</f>
        <v/>
      </c>
    </row>
    <row r="3064">
      <c r="A3064" t="n">
        <v>510998</v>
      </c>
      <c r="B3064" s="6" t="n">
        <v>45983</v>
      </c>
      <c r="C3064" t="n">
        <v>14113</v>
      </c>
      <c r="D3064" t="inlineStr">
        <is>
          <t>Pune</t>
        </is>
      </c>
      <c r="E3064" t="inlineStr">
        <is>
          <t>West</t>
        </is>
      </c>
      <c r="F3064" t="inlineStr">
        <is>
          <t>Organic Search</t>
        </is>
      </c>
      <c r="G3064" t="inlineStr">
        <is>
          <t>Desktop</t>
        </is>
      </c>
      <c r="H3064" t="inlineStr">
        <is>
          <t>Debit Card</t>
        </is>
      </c>
      <c r="I3064" t="inlineStr">
        <is>
          <t>Delivered</t>
        </is>
      </c>
      <c r="J3064" t="n">
        <v>103</v>
      </c>
      <c r="K3064" t="n">
        <v>1</v>
      </c>
      <c r="L3064" t="n">
        <v>2624</v>
      </c>
      <c r="M3064" t="n">
        <v>131.2</v>
      </c>
      <c r="N3064">
        <f>VLOOKUP(J3064,Products!$A$2:$C$49,3,FALSE)</f>
        <v/>
      </c>
      <c r="O3064">
        <f>K3064*L3064-M3064</f>
        <v/>
      </c>
      <c r="P3064">
        <f>TEXT(B3064,"yyyy-mm")</f>
        <v/>
      </c>
      <c r="Q3064">
        <f>IF(O3064&gt;=3000,"Large","Small")</f>
        <v/>
      </c>
      <c r="R3064">
        <f>INDEX(Products!$F$2:$F$49,MATCH(J3064,Products!$A$2:$A$49,0))</f>
        <v/>
      </c>
      <c r="S3064">
        <f>WEEKDAY(B3064,2)</f>
        <v/>
      </c>
    </row>
    <row r="3065">
      <c r="A3065" t="n">
        <v>510998</v>
      </c>
      <c r="B3065" s="6" t="n">
        <v>45983</v>
      </c>
      <c r="C3065" t="n">
        <v>14113</v>
      </c>
      <c r="D3065" t="inlineStr">
        <is>
          <t>Pune</t>
        </is>
      </c>
      <c r="E3065" t="inlineStr">
        <is>
          <t>West</t>
        </is>
      </c>
      <c r="F3065" t="inlineStr">
        <is>
          <t>Organic Search</t>
        </is>
      </c>
      <c r="G3065" t="inlineStr">
        <is>
          <t>Desktop</t>
        </is>
      </c>
      <c r="H3065" t="inlineStr">
        <is>
          <t>Debit Card</t>
        </is>
      </c>
      <c r="I3065" t="inlineStr">
        <is>
          <t>Delivered</t>
        </is>
      </c>
      <c r="J3065" t="n">
        <v>135</v>
      </c>
      <c r="K3065" t="n">
        <v>1</v>
      </c>
      <c r="L3065" t="n">
        <v>1574</v>
      </c>
      <c r="M3065" t="n">
        <v>78.7</v>
      </c>
      <c r="N3065">
        <f>VLOOKUP(J3065,Products!$A$2:$C$49,3,FALSE)</f>
        <v/>
      </c>
      <c r="O3065">
        <f>K3065*L3065-M3065</f>
        <v/>
      </c>
      <c r="P3065">
        <f>TEXT(B3065,"yyyy-mm")</f>
        <v/>
      </c>
      <c r="Q3065">
        <f>IF(O3065&gt;=3000,"Large","Small")</f>
        <v/>
      </c>
      <c r="R3065">
        <f>INDEX(Products!$F$2:$F$49,MATCH(J3065,Products!$A$2:$A$49,0))</f>
        <v/>
      </c>
      <c r="S3065">
        <f>WEEKDAY(B3065,2)</f>
        <v/>
      </c>
    </row>
    <row r="3066">
      <c r="A3066" t="n">
        <v>510999</v>
      </c>
      <c r="B3066" s="6" t="n">
        <v>45983</v>
      </c>
      <c r="C3066" t="n">
        <v>15049</v>
      </c>
      <c r="D3066" t="inlineStr">
        <is>
          <t>Chandigarh</t>
        </is>
      </c>
      <c r="E3066" t="inlineStr">
        <is>
          <t>North</t>
        </is>
      </c>
      <c r="F3066" t="inlineStr">
        <is>
          <t>Organic Search</t>
        </is>
      </c>
      <c r="G3066" t="inlineStr">
        <is>
          <t>Mobile Web</t>
        </is>
      </c>
      <c r="H3066" t="inlineStr">
        <is>
          <t>UPI</t>
        </is>
      </c>
      <c r="I3066" t="inlineStr">
        <is>
          <t>Delivered</t>
        </is>
      </c>
      <c r="J3066" t="n">
        <v>127</v>
      </c>
      <c r="K3066" t="n">
        <v>1</v>
      </c>
      <c r="L3066" t="n">
        <v>681</v>
      </c>
      <c r="M3066" t="n">
        <v>0</v>
      </c>
      <c r="N3066">
        <f>VLOOKUP(J3066,Products!$A$2:$C$49,3,FALSE)</f>
        <v/>
      </c>
      <c r="O3066">
        <f>K3066*L3066-M3066</f>
        <v/>
      </c>
      <c r="P3066">
        <f>TEXT(B3066,"yyyy-mm")</f>
        <v/>
      </c>
      <c r="Q3066">
        <f>IF(O3066&gt;=3000,"Large","Small")</f>
        <v/>
      </c>
      <c r="R3066">
        <f>INDEX(Products!$F$2:$F$49,MATCH(J3066,Products!$A$2:$A$49,0))</f>
        <v/>
      </c>
      <c r="S3066">
        <f>WEEKDAY(B3066,2)</f>
        <v/>
      </c>
    </row>
    <row r="3067">
      <c r="A3067" t="n">
        <v>510999</v>
      </c>
      <c r="B3067" s="6" t="n">
        <v>45983</v>
      </c>
      <c r="C3067" t="n">
        <v>15049</v>
      </c>
      <c r="D3067" t="inlineStr">
        <is>
          <t>Chandigarh</t>
        </is>
      </c>
      <c r="E3067" t="inlineStr">
        <is>
          <t>North</t>
        </is>
      </c>
      <c r="F3067" t="inlineStr">
        <is>
          <t>Organic Search</t>
        </is>
      </c>
      <c r="G3067" t="inlineStr">
        <is>
          <t>Mobile Web</t>
        </is>
      </c>
      <c r="H3067" t="inlineStr">
        <is>
          <t>UPI</t>
        </is>
      </c>
      <c r="I3067" t="inlineStr">
        <is>
          <t>Delivered</t>
        </is>
      </c>
      <c r="J3067" t="n">
        <v>112</v>
      </c>
      <c r="K3067" t="n">
        <v>1</v>
      </c>
      <c r="L3067" t="n">
        <v>1574</v>
      </c>
      <c r="M3067" t="n">
        <v>0</v>
      </c>
      <c r="N3067">
        <f>VLOOKUP(J3067,Products!$A$2:$C$49,3,FALSE)</f>
        <v/>
      </c>
      <c r="O3067">
        <f>K3067*L3067-M3067</f>
        <v/>
      </c>
      <c r="P3067">
        <f>TEXT(B3067,"yyyy-mm")</f>
        <v/>
      </c>
      <c r="Q3067">
        <f>IF(O3067&gt;=3000,"Large","Small")</f>
        <v/>
      </c>
      <c r="R3067">
        <f>INDEX(Products!$F$2:$F$49,MATCH(J3067,Products!$A$2:$A$49,0))</f>
        <v/>
      </c>
      <c r="S3067">
        <f>WEEKDAY(B3067,2)</f>
        <v/>
      </c>
    </row>
    <row r="3068">
      <c r="A3068" t="n">
        <v>510999</v>
      </c>
      <c r="B3068" s="6" t="n">
        <v>45983</v>
      </c>
      <c r="C3068" t="n">
        <v>15049</v>
      </c>
      <c r="D3068" t="inlineStr">
        <is>
          <t>Chandigarh</t>
        </is>
      </c>
      <c r="E3068" t="inlineStr">
        <is>
          <t>North</t>
        </is>
      </c>
      <c r="F3068" t="inlineStr">
        <is>
          <t>Organic Search</t>
        </is>
      </c>
      <c r="G3068" t="inlineStr">
        <is>
          <t>Mobile Web</t>
        </is>
      </c>
      <c r="H3068" t="inlineStr">
        <is>
          <t>UPI</t>
        </is>
      </c>
      <c r="I3068" t="inlineStr">
        <is>
          <t>Delivered</t>
        </is>
      </c>
      <c r="J3068" t="n">
        <v>106</v>
      </c>
      <c r="K3068" t="n">
        <v>1</v>
      </c>
      <c r="L3068" t="n">
        <v>1574</v>
      </c>
      <c r="M3068" t="n">
        <v>0</v>
      </c>
      <c r="N3068">
        <f>VLOOKUP(J3068,Products!$A$2:$C$49,3,FALSE)</f>
        <v/>
      </c>
      <c r="O3068">
        <f>K3068*L3068-M3068</f>
        <v/>
      </c>
      <c r="P3068">
        <f>TEXT(B3068,"yyyy-mm")</f>
        <v/>
      </c>
      <c r="Q3068">
        <f>IF(O3068&gt;=3000,"Large","Small")</f>
        <v/>
      </c>
      <c r="R3068">
        <f>INDEX(Products!$F$2:$F$49,MATCH(J3068,Products!$A$2:$A$49,0))</f>
        <v/>
      </c>
      <c r="S3068">
        <f>WEEKDAY(B3068,2)</f>
        <v/>
      </c>
    </row>
    <row r="3069">
      <c r="A3069" t="n">
        <v>511000</v>
      </c>
      <c r="B3069" s="6" t="n">
        <v>45983</v>
      </c>
      <c r="C3069" t="n">
        <v>16425</v>
      </c>
      <c r="D3069" t="inlineStr">
        <is>
          <t>Delhi</t>
        </is>
      </c>
      <c r="E3069" t="inlineStr">
        <is>
          <t>North</t>
        </is>
      </c>
      <c r="F3069" t="inlineStr">
        <is>
          <t>Organic Search</t>
        </is>
      </c>
      <c r="G3069" t="inlineStr">
        <is>
          <t>Mobile App</t>
        </is>
      </c>
      <c r="H3069" t="inlineStr">
        <is>
          <t>UPI</t>
        </is>
      </c>
      <c r="I3069" t="inlineStr">
        <is>
          <t>Delivered</t>
        </is>
      </c>
      <c r="J3069" t="n">
        <v>108</v>
      </c>
      <c r="K3069" t="n">
        <v>1</v>
      </c>
      <c r="L3069" t="n">
        <v>419</v>
      </c>
      <c r="M3069" t="n">
        <v>0</v>
      </c>
      <c r="N3069">
        <f>VLOOKUP(J3069,Products!$A$2:$C$49,3,FALSE)</f>
        <v/>
      </c>
      <c r="O3069">
        <f>K3069*L3069-M3069</f>
        <v/>
      </c>
      <c r="P3069">
        <f>TEXT(B3069,"yyyy-mm")</f>
        <v/>
      </c>
      <c r="Q3069">
        <f>IF(O3069&gt;=3000,"Large","Small")</f>
        <v/>
      </c>
      <c r="R3069">
        <f>INDEX(Products!$F$2:$F$49,MATCH(J3069,Products!$A$2:$A$49,0))</f>
        <v/>
      </c>
      <c r="S3069">
        <f>WEEKDAY(B3069,2)</f>
        <v/>
      </c>
    </row>
    <row r="3070">
      <c r="A3070" t="n">
        <v>511000</v>
      </c>
      <c r="B3070" s="6" t="n">
        <v>45983</v>
      </c>
      <c r="C3070" t="n">
        <v>16425</v>
      </c>
      <c r="D3070" t="inlineStr">
        <is>
          <t>Delhi</t>
        </is>
      </c>
      <c r="E3070" t="inlineStr">
        <is>
          <t>North</t>
        </is>
      </c>
      <c r="F3070" t="inlineStr">
        <is>
          <t>Organic Search</t>
        </is>
      </c>
      <c r="G3070" t="inlineStr">
        <is>
          <t>Mobile App</t>
        </is>
      </c>
      <c r="H3070" t="inlineStr">
        <is>
          <t>UPI</t>
        </is>
      </c>
      <c r="I3070" t="inlineStr">
        <is>
          <t>Delivered</t>
        </is>
      </c>
      <c r="J3070" t="n">
        <v>124</v>
      </c>
      <c r="K3070" t="n">
        <v>1</v>
      </c>
      <c r="L3070" t="n">
        <v>1154</v>
      </c>
      <c r="M3070" t="n">
        <v>0</v>
      </c>
      <c r="N3070">
        <f>VLOOKUP(J3070,Products!$A$2:$C$49,3,FALSE)</f>
        <v/>
      </c>
      <c r="O3070">
        <f>K3070*L3070-M3070</f>
        <v/>
      </c>
      <c r="P3070">
        <f>TEXT(B3070,"yyyy-mm")</f>
        <v/>
      </c>
      <c r="Q3070">
        <f>IF(O3070&gt;=3000,"Large","Small")</f>
        <v/>
      </c>
      <c r="R3070">
        <f>INDEX(Products!$F$2:$F$49,MATCH(J3070,Products!$A$2:$A$49,0))</f>
        <v/>
      </c>
      <c r="S3070">
        <f>WEEKDAY(B3070,2)</f>
        <v/>
      </c>
    </row>
    <row r="3071">
      <c r="A3071" t="n">
        <v>511001</v>
      </c>
      <c r="B3071" s="6" t="n">
        <v>45983</v>
      </c>
      <c r="C3071" t="n">
        <v>17437</v>
      </c>
      <c r="D3071" t="inlineStr">
        <is>
          <t>Chennai</t>
        </is>
      </c>
      <c r="E3071" t="inlineStr">
        <is>
          <t>South</t>
        </is>
      </c>
      <c r="F3071" t="inlineStr">
        <is>
          <t>Organic Search</t>
        </is>
      </c>
      <c r="G3071" t="inlineStr">
        <is>
          <t>Desktop</t>
        </is>
      </c>
      <c r="H3071" t="inlineStr">
        <is>
          <t>Credit Card</t>
        </is>
      </c>
      <c r="I3071" t="inlineStr">
        <is>
          <t>Delivered</t>
        </is>
      </c>
      <c r="J3071" t="n">
        <v>107</v>
      </c>
      <c r="K3071" t="n">
        <v>1</v>
      </c>
      <c r="L3071" t="n">
        <v>1259</v>
      </c>
      <c r="M3071" t="n">
        <v>0</v>
      </c>
      <c r="N3071">
        <f>VLOOKUP(J3071,Products!$A$2:$C$49,3,FALSE)</f>
        <v/>
      </c>
      <c r="O3071">
        <f>K3071*L3071-M3071</f>
        <v/>
      </c>
      <c r="P3071">
        <f>TEXT(B3071,"yyyy-mm")</f>
        <v/>
      </c>
      <c r="Q3071">
        <f>IF(O3071&gt;=3000,"Large","Small")</f>
        <v/>
      </c>
      <c r="R3071">
        <f>INDEX(Products!$F$2:$F$49,MATCH(J3071,Products!$A$2:$A$49,0))</f>
        <v/>
      </c>
      <c r="S3071">
        <f>WEEKDAY(B3071,2)</f>
        <v/>
      </c>
    </row>
    <row r="3072">
      <c r="A3072" t="n">
        <v>511001</v>
      </c>
      <c r="B3072" s="6" t="n">
        <v>45983</v>
      </c>
      <c r="C3072" t="n">
        <v>17437</v>
      </c>
      <c r="D3072" t="inlineStr">
        <is>
          <t>Chennai</t>
        </is>
      </c>
      <c r="E3072" t="inlineStr">
        <is>
          <t>South</t>
        </is>
      </c>
      <c r="F3072" t="inlineStr">
        <is>
          <t>Organic Search</t>
        </is>
      </c>
      <c r="G3072" t="inlineStr">
        <is>
          <t>Desktop</t>
        </is>
      </c>
      <c r="H3072" t="inlineStr">
        <is>
          <t>Credit Card</t>
        </is>
      </c>
      <c r="I3072" t="inlineStr">
        <is>
          <t>Delivered</t>
        </is>
      </c>
      <c r="J3072" t="n">
        <v>111</v>
      </c>
      <c r="K3072" t="n">
        <v>1</v>
      </c>
      <c r="L3072" t="n">
        <v>524</v>
      </c>
      <c r="M3072" t="n">
        <v>0</v>
      </c>
      <c r="N3072">
        <f>VLOOKUP(J3072,Products!$A$2:$C$49,3,FALSE)</f>
        <v/>
      </c>
      <c r="O3072">
        <f>K3072*L3072-M3072</f>
        <v/>
      </c>
      <c r="P3072">
        <f>TEXT(B3072,"yyyy-mm")</f>
        <v/>
      </c>
      <c r="Q3072">
        <f>IF(O3072&gt;=3000,"Large","Small")</f>
        <v/>
      </c>
      <c r="R3072">
        <f>INDEX(Products!$F$2:$F$49,MATCH(J3072,Products!$A$2:$A$49,0))</f>
        <v/>
      </c>
      <c r="S3072">
        <f>WEEKDAY(B3072,2)</f>
        <v/>
      </c>
    </row>
    <row r="3073">
      <c r="A3073" t="n">
        <v>511002</v>
      </c>
      <c r="B3073" s="6" t="n">
        <v>45983</v>
      </c>
      <c r="C3073" t="n">
        <v>14205</v>
      </c>
      <c r="D3073" t="inlineStr">
        <is>
          <t>Pune</t>
        </is>
      </c>
      <c r="E3073" t="inlineStr">
        <is>
          <t>West</t>
        </is>
      </c>
      <c r="F3073" t="inlineStr">
        <is>
          <t>Affiliate</t>
        </is>
      </c>
      <c r="G3073" t="inlineStr">
        <is>
          <t>Mobile Web</t>
        </is>
      </c>
      <c r="H3073" t="inlineStr">
        <is>
          <t>Credit Card</t>
        </is>
      </c>
      <c r="I3073" t="inlineStr">
        <is>
          <t>Delivered</t>
        </is>
      </c>
      <c r="J3073" t="n">
        <v>116</v>
      </c>
      <c r="K3073" t="n">
        <v>1</v>
      </c>
      <c r="L3073" t="n">
        <v>2624</v>
      </c>
      <c r="M3073" t="n">
        <v>131.2</v>
      </c>
      <c r="N3073">
        <f>VLOOKUP(J3073,Products!$A$2:$C$49,3,FALSE)</f>
        <v/>
      </c>
      <c r="O3073">
        <f>K3073*L3073-M3073</f>
        <v/>
      </c>
      <c r="P3073">
        <f>TEXT(B3073,"yyyy-mm")</f>
        <v/>
      </c>
      <c r="Q3073">
        <f>IF(O3073&gt;=3000,"Large","Small")</f>
        <v/>
      </c>
      <c r="R3073">
        <f>INDEX(Products!$F$2:$F$49,MATCH(J3073,Products!$A$2:$A$49,0))</f>
        <v/>
      </c>
      <c r="S3073">
        <f>WEEKDAY(B3073,2)</f>
        <v/>
      </c>
    </row>
    <row r="3074">
      <c r="A3074" t="n">
        <v>511002</v>
      </c>
      <c r="B3074" s="6" t="n">
        <v>45983</v>
      </c>
      <c r="C3074" t="n">
        <v>14205</v>
      </c>
      <c r="D3074" t="inlineStr">
        <is>
          <t>Pune</t>
        </is>
      </c>
      <c r="E3074" t="inlineStr">
        <is>
          <t>West</t>
        </is>
      </c>
      <c r="F3074" t="inlineStr">
        <is>
          <t>Affiliate</t>
        </is>
      </c>
      <c r="G3074" t="inlineStr">
        <is>
          <t>Mobile Web</t>
        </is>
      </c>
      <c r="H3074" t="inlineStr">
        <is>
          <t>Credit Card</t>
        </is>
      </c>
      <c r="I3074" t="inlineStr">
        <is>
          <t>Delivered</t>
        </is>
      </c>
      <c r="J3074" t="n">
        <v>113</v>
      </c>
      <c r="K3074" t="n">
        <v>1</v>
      </c>
      <c r="L3074" t="n">
        <v>1364</v>
      </c>
      <c r="M3074" t="n">
        <v>68.2</v>
      </c>
      <c r="N3074">
        <f>VLOOKUP(J3074,Products!$A$2:$C$49,3,FALSE)</f>
        <v/>
      </c>
      <c r="O3074">
        <f>K3074*L3074-M3074</f>
        <v/>
      </c>
      <c r="P3074">
        <f>TEXT(B3074,"yyyy-mm")</f>
        <v/>
      </c>
      <c r="Q3074">
        <f>IF(O3074&gt;=3000,"Large","Small")</f>
        <v/>
      </c>
      <c r="R3074">
        <f>INDEX(Products!$F$2:$F$49,MATCH(J3074,Products!$A$2:$A$49,0))</f>
        <v/>
      </c>
      <c r="S3074">
        <f>WEEKDAY(B3074,2)</f>
        <v/>
      </c>
    </row>
    <row r="3075">
      <c r="A3075" t="n">
        <v>511003</v>
      </c>
      <c r="B3075" s="6" t="n">
        <v>45983</v>
      </c>
      <c r="C3075" t="n">
        <v>16168</v>
      </c>
      <c r="D3075" t="inlineStr">
        <is>
          <t>Gurugram</t>
        </is>
      </c>
      <c r="E3075" t="inlineStr">
        <is>
          <t>North</t>
        </is>
      </c>
      <c r="F3075" t="inlineStr">
        <is>
          <t>Organic Search</t>
        </is>
      </c>
      <c r="G3075" t="inlineStr">
        <is>
          <t>Mobile App</t>
        </is>
      </c>
      <c r="H3075" t="inlineStr">
        <is>
          <t>UPI</t>
        </is>
      </c>
      <c r="I3075" t="inlineStr">
        <is>
          <t>Delivered</t>
        </is>
      </c>
      <c r="J3075" t="n">
        <v>110</v>
      </c>
      <c r="K3075" t="n">
        <v>1</v>
      </c>
      <c r="L3075" t="n">
        <v>839</v>
      </c>
      <c r="M3075" t="n">
        <v>0</v>
      </c>
      <c r="N3075">
        <f>VLOOKUP(J3075,Products!$A$2:$C$49,3,FALSE)</f>
        <v/>
      </c>
      <c r="O3075">
        <f>K3075*L3075-M3075</f>
        <v/>
      </c>
      <c r="P3075">
        <f>TEXT(B3075,"yyyy-mm")</f>
        <v/>
      </c>
      <c r="Q3075">
        <f>IF(O3075&gt;=3000,"Large","Small")</f>
        <v/>
      </c>
      <c r="R3075">
        <f>INDEX(Products!$F$2:$F$49,MATCH(J3075,Products!$A$2:$A$49,0))</f>
        <v/>
      </c>
      <c r="S3075">
        <f>WEEKDAY(B3075,2)</f>
        <v/>
      </c>
    </row>
    <row r="3076">
      <c r="A3076" t="n">
        <v>511004</v>
      </c>
      <c r="B3076" s="6" t="n">
        <v>45983</v>
      </c>
      <c r="C3076" t="n">
        <v>17417</v>
      </c>
      <c r="D3076" t="inlineStr">
        <is>
          <t>Delhi</t>
        </is>
      </c>
      <c r="E3076" t="inlineStr">
        <is>
          <t>North</t>
        </is>
      </c>
      <c r="F3076" t="inlineStr">
        <is>
          <t>Affiliate</t>
        </is>
      </c>
      <c r="G3076" t="inlineStr">
        <is>
          <t>Mobile Web</t>
        </is>
      </c>
      <c r="H3076" t="inlineStr">
        <is>
          <t>UPI</t>
        </is>
      </c>
      <c r="I3076" t="inlineStr">
        <is>
          <t>Delivered</t>
        </is>
      </c>
      <c r="J3076" t="n">
        <v>107</v>
      </c>
      <c r="K3076" t="n">
        <v>2</v>
      </c>
      <c r="L3076" t="n">
        <v>1259</v>
      </c>
      <c r="M3076" t="n">
        <v>377.7</v>
      </c>
      <c r="N3076">
        <f>VLOOKUP(J3076,Products!$A$2:$C$49,3,FALSE)</f>
        <v/>
      </c>
      <c r="O3076">
        <f>K3076*L3076-M3076</f>
        <v/>
      </c>
      <c r="P3076">
        <f>TEXT(B3076,"yyyy-mm")</f>
        <v/>
      </c>
      <c r="Q3076">
        <f>IF(O3076&gt;=3000,"Large","Small")</f>
        <v/>
      </c>
      <c r="R3076">
        <f>INDEX(Products!$F$2:$F$49,MATCH(J3076,Products!$A$2:$A$49,0))</f>
        <v/>
      </c>
      <c r="S3076">
        <f>WEEKDAY(B3076,2)</f>
        <v/>
      </c>
    </row>
    <row r="3077">
      <c r="A3077" t="n">
        <v>511005</v>
      </c>
      <c r="B3077" s="6" t="n">
        <v>45983</v>
      </c>
      <c r="C3077" t="n">
        <v>14755</v>
      </c>
      <c r="D3077" t="inlineStr">
        <is>
          <t>Bengaluru</t>
        </is>
      </c>
      <c r="E3077" t="inlineStr">
        <is>
          <t>South</t>
        </is>
      </c>
      <c r="F3077" t="inlineStr">
        <is>
          <t>Organic Search</t>
        </is>
      </c>
      <c r="G3077" t="inlineStr">
        <is>
          <t>Mobile App</t>
        </is>
      </c>
      <c r="H3077" t="inlineStr">
        <is>
          <t>Net Banking</t>
        </is>
      </c>
      <c r="I3077" t="inlineStr">
        <is>
          <t>Delivered</t>
        </is>
      </c>
      <c r="J3077" t="n">
        <v>119</v>
      </c>
      <c r="K3077" t="n">
        <v>2</v>
      </c>
      <c r="L3077" t="n">
        <v>2309</v>
      </c>
      <c r="M3077" t="n">
        <v>0</v>
      </c>
      <c r="N3077">
        <f>VLOOKUP(J3077,Products!$A$2:$C$49,3,FALSE)</f>
        <v/>
      </c>
      <c r="O3077">
        <f>K3077*L3077-M3077</f>
        <v/>
      </c>
      <c r="P3077">
        <f>TEXT(B3077,"yyyy-mm")</f>
        <v/>
      </c>
      <c r="Q3077">
        <f>IF(O3077&gt;=3000,"Large","Small")</f>
        <v/>
      </c>
      <c r="R3077">
        <f>INDEX(Products!$F$2:$F$49,MATCH(J3077,Products!$A$2:$A$49,0))</f>
        <v/>
      </c>
      <c r="S3077">
        <f>WEEKDAY(B3077,2)</f>
        <v/>
      </c>
    </row>
    <row r="3078">
      <c r="A3078" t="n">
        <v>511005</v>
      </c>
      <c r="B3078" s="6" t="n">
        <v>45983</v>
      </c>
      <c r="C3078" t="n">
        <v>14755</v>
      </c>
      <c r="D3078" t="inlineStr">
        <is>
          <t>Bengaluru</t>
        </is>
      </c>
      <c r="E3078" t="inlineStr">
        <is>
          <t>South</t>
        </is>
      </c>
      <c r="F3078" t="inlineStr">
        <is>
          <t>Organic Search</t>
        </is>
      </c>
      <c r="G3078" t="inlineStr">
        <is>
          <t>Mobile App</t>
        </is>
      </c>
      <c r="H3078" t="inlineStr">
        <is>
          <t>Net Banking</t>
        </is>
      </c>
      <c r="I3078" t="inlineStr">
        <is>
          <t>Delivered</t>
        </is>
      </c>
      <c r="J3078" t="n">
        <v>116</v>
      </c>
      <c r="K3078" t="n">
        <v>1</v>
      </c>
      <c r="L3078" t="n">
        <v>2624</v>
      </c>
      <c r="M3078" t="n">
        <v>0</v>
      </c>
      <c r="N3078">
        <f>VLOOKUP(J3078,Products!$A$2:$C$49,3,FALSE)</f>
        <v/>
      </c>
      <c r="O3078">
        <f>K3078*L3078-M3078</f>
        <v/>
      </c>
      <c r="P3078">
        <f>TEXT(B3078,"yyyy-mm")</f>
        <v/>
      </c>
      <c r="Q3078">
        <f>IF(O3078&gt;=3000,"Large","Small")</f>
        <v/>
      </c>
      <c r="R3078">
        <f>INDEX(Products!$F$2:$F$49,MATCH(J3078,Products!$A$2:$A$49,0))</f>
        <v/>
      </c>
      <c r="S3078">
        <f>WEEKDAY(B3078,2)</f>
        <v/>
      </c>
    </row>
    <row r="3079">
      <c r="A3079" t="n">
        <v>511006</v>
      </c>
      <c r="B3079" s="6" t="n">
        <v>45983</v>
      </c>
      <c r="C3079" t="n">
        <v>17443</v>
      </c>
      <c r="D3079" t="inlineStr">
        <is>
          <t>Chennai</t>
        </is>
      </c>
      <c r="E3079" t="inlineStr">
        <is>
          <t>South</t>
        </is>
      </c>
      <c r="F3079" t="inlineStr">
        <is>
          <t>Organic Search</t>
        </is>
      </c>
      <c r="G3079" t="inlineStr">
        <is>
          <t>Mobile Web</t>
        </is>
      </c>
      <c r="H3079" t="inlineStr">
        <is>
          <t>UPI</t>
        </is>
      </c>
      <c r="I3079" t="inlineStr">
        <is>
          <t>Delivered</t>
        </is>
      </c>
      <c r="J3079" t="n">
        <v>127</v>
      </c>
      <c r="K3079" t="n">
        <v>1</v>
      </c>
      <c r="L3079" t="n">
        <v>681</v>
      </c>
      <c r="M3079" t="n">
        <v>102.15</v>
      </c>
      <c r="N3079">
        <f>VLOOKUP(J3079,Products!$A$2:$C$49,3,FALSE)</f>
        <v/>
      </c>
      <c r="O3079">
        <f>K3079*L3079-M3079</f>
        <v/>
      </c>
      <c r="P3079">
        <f>TEXT(B3079,"yyyy-mm")</f>
        <v/>
      </c>
      <c r="Q3079">
        <f>IF(O3079&gt;=3000,"Large","Small")</f>
        <v/>
      </c>
      <c r="R3079">
        <f>INDEX(Products!$F$2:$F$49,MATCH(J3079,Products!$A$2:$A$49,0))</f>
        <v/>
      </c>
      <c r="S3079">
        <f>WEEKDAY(B3079,2)</f>
        <v/>
      </c>
    </row>
    <row r="3080">
      <c r="A3080" t="n">
        <v>511006</v>
      </c>
      <c r="B3080" s="6" t="n">
        <v>45983</v>
      </c>
      <c r="C3080" t="n">
        <v>17443</v>
      </c>
      <c r="D3080" t="inlineStr">
        <is>
          <t>Chennai</t>
        </is>
      </c>
      <c r="E3080" t="inlineStr">
        <is>
          <t>South</t>
        </is>
      </c>
      <c r="F3080" t="inlineStr">
        <is>
          <t>Organic Search</t>
        </is>
      </c>
      <c r="G3080" t="inlineStr">
        <is>
          <t>Mobile Web</t>
        </is>
      </c>
      <c r="H3080" t="inlineStr">
        <is>
          <t>UPI</t>
        </is>
      </c>
      <c r="I3080" t="inlineStr">
        <is>
          <t>Delivered</t>
        </is>
      </c>
      <c r="J3080" t="n">
        <v>108</v>
      </c>
      <c r="K3080" t="n">
        <v>1</v>
      </c>
      <c r="L3080" t="n">
        <v>419</v>
      </c>
      <c r="M3080" t="n">
        <v>62.85</v>
      </c>
      <c r="N3080">
        <f>VLOOKUP(J3080,Products!$A$2:$C$49,3,FALSE)</f>
        <v/>
      </c>
      <c r="O3080">
        <f>K3080*L3080-M3080</f>
        <v/>
      </c>
      <c r="P3080">
        <f>TEXT(B3080,"yyyy-mm")</f>
        <v/>
      </c>
      <c r="Q3080">
        <f>IF(O3080&gt;=3000,"Large","Small")</f>
        <v/>
      </c>
      <c r="R3080">
        <f>INDEX(Products!$F$2:$F$49,MATCH(J3080,Products!$A$2:$A$49,0))</f>
        <v/>
      </c>
      <c r="S3080">
        <f>WEEKDAY(B3080,2)</f>
        <v/>
      </c>
    </row>
    <row r="3081">
      <c r="A3081" t="n">
        <v>511007</v>
      </c>
      <c r="B3081" s="6" t="n">
        <v>45983</v>
      </c>
      <c r="C3081" t="n">
        <v>16002</v>
      </c>
      <c r="D3081" t="inlineStr">
        <is>
          <t>Bengaluru</t>
        </is>
      </c>
      <c r="E3081" t="inlineStr">
        <is>
          <t>South</t>
        </is>
      </c>
      <c r="F3081" t="inlineStr">
        <is>
          <t>Organic Search</t>
        </is>
      </c>
      <c r="G3081" t="inlineStr">
        <is>
          <t>Mobile Web</t>
        </is>
      </c>
      <c r="H3081" t="inlineStr">
        <is>
          <t>UPI</t>
        </is>
      </c>
      <c r="I3081" t="inlineStr">
        <is>
          <t>Delivered</t>
        </is>
      </c>
      <c r="J3081" t="n">
        <v>116</v>
      </c>
      <c r="K3081" t="n">
        <v>1</v>
      </c>
      <c r="L3081" t="n">
        <v>2624</v>
      </c>
      <c r="M3081" t="n">
        <v>0</v>
      </c>
      <c r="N3081">
        <f>VLOOKUP(J3081,Products!$A$2:$C$49,3,FALSE)</f>
        <v/>
      </c>
      <c r="O3081">
        <f>K3081*L3081-M3081</f>
        <v/>
      </c>
      <c r="P3081">
        <f>TEXT(B3081,"yyyy-mm")</f>
        <v/>
      </c>
      <c r="Q3081">
        <f>IF(O3081&gt;=3000,"Large","Small")</f>
        <v/>
      </c>
      <c r="R3081">
        <f>INDEX(Products!$F$2:$F$49,MATCH(J3081,Products!$A$2:$A$49,0))</f>
        <v/>
      </c>
      <c r="S3081">
        <f>WEEKDAY(B3081,2)</f>
        <v/>
      </c>
    </row>
    <row r="3082">
      <c r="A3082" t="n">
        <v>511007</v>
      </c>
      <c r="B3082" s="6" t="n">
        <v>45983</v>
      </c>
      <c r="C3082" t="n">
        <v>16002</v>
      </c>
      <c r="D3082" t="inlineStr">
        <is>
          <t>Bengaluru</t>
        </is>
      </c>
      <c r="E3082" t="inlineStr">
        <is>
          <t>South</t>
        </is>
      </c>
      <c r="F3082" t="inlineStr">
        <is>
          <t>Organic Search</t>
        </is>
      </c>
      <c r="G3082" t="inlineStr">
        <is>
          <t>Mobile Web</t>
        </is>
      </c>
      <c r="H3082" t="inlineStr">
        <is>
          <t>UPI</t>
        </is>
      </c>
      <c r="I3082" t="inlineStr">
        <is>
          <t>Delivered</t>
        </is>
      </c>
      <c r="J3082" t="n">
        <v>126</v>
      </c>
      <c r="K3082" t="n">
        <v>1</v>
      </c>
      <c r="L3082" t="n">
        <v>471</v>
      </c>
      <c r="M3082" t="n">
        <v>0</v>
      </c>
      <c r="N3082">
        <f>VLOOKUP(J3082,Products!$A$2:$C$49,3,FALSE)</f>
        <v/>
      </c>
      <c r="O3082">
        <f>K3082*L3082-M3082</f>
        <v/>
      </c>
      <c r="P3082">
        <f>TEXT(B3082,"yyyy-mm")</f>
        <v/>
      </c>
      <c r="Q3082">
        <f>IF(O3082&gt;=3000,"Large","Small")</f>
        <v/>
      </c>
      <c r="R3082">
        <f>INDEX(Products!$F$2:$F$49,MATCH(J3082,Products!$A$2:$A$49,0))</f>
        <v/>
      </c>
      <c r="S3082">
        <f>WEEKDAY(B3082,2)</f>
        <v/>
      </c>
    </row>
    <row r="3083">
      <c r="A3083" t="n">
        <v>511007</v>
      </c>
      <c r="B3083" s="6" t="n">
        <v>45983</v>
      </c>
      <c r="C3083" t="n">
        <v>16002</v>
      </c>
      <c r="D3083" t="inlineStr">
        <is>
          <t>Bengaluru</t>
        </is>
      </c>
      <c r="E3083" t="inlineStr">
        <is>
          <t>South</t>
        </is>
      </c>
      <c r="F3083" t="inlineStr">
        <is>
          <t>Organic Search</t>
        </is>
      </c>
      <c r="G3083" t="inlineStr">
        <is>
          <t>Mobile Web</t>
        </is>
      </c>
      <c r="H3083" t="inlineStr">
        <is>
          <t>UPI</t>
        </is>
      </c>
      <c r="I3083" t="inlineStr">
        <is>
          <t>Delivered</t>
        </is>
      </c>
      <c r="J3083" t="n">
        <v>123</v>
      </c>
      <c r="K3083" t="n">
        <v>2</v>
      </c>
      <c r="L3083" t="n">
        <v>3464</v>
      </c>
      <c r="M3083" t="n">
        <v>0</v>
      </c>
      <c r="N3083">
        <f>VLOOKUP(J3083,Products!$A$2:$C$49,3,FALSE)</f>
        <v/>
      </c>
      <c r="O3083">
        <f>K3083*L3083-M3083</f>
        <v/>
      </c>
      <c r="P3083">
        <f>TEXT(B3083,"yyyy-mm")</f>
        <v/>
      </c>
      <c r="Q3083">
        <f>IF(O3083&gt;=3000,"Large","Small")</f>
        <v/>
      </c>
      <c r="R3083">
        <f>INDEX(Products!$F$2:$F$49,MATCH(J3083,Products!$A$2:$A$49,0))</f>
        <v/>
      </c>
      <c r="S3083">
        <f>WEEKDAY(B3083,2)</f>
        <v/>
      </c>
    </row>
    <row r="3084">
      <c r="A3084" t="n">
        <v>511008</v>
      </c>
      <c r="B3084" s="6" t="n">
        <v>45983</v>
      </c>
      <c r="C3084" t="n">
        <v>17446</v>
      </c>
      <c r="D3084" t="inlineStr">
        <is>
          <t>Delhi</t>
        </is>
      </c>
      <c r="E3084" t="inlineStr">
        <is>
          <t>North</t>
        </is>
      </c>
      <c r="F3084" t="inlineStr">
        <is>
          <t>Organic Search</t>
        </is>
      </c>
      <c r="G3084" t="inlineStr">
        <is>
          <t>Mobile App</t>
        </is>
      </c>
      <c r="H3084" t="inlineStr">
        <is>
          <t>Cash on Delivery</t>
        </is>
      </c>
      <c r="I3084" t="inlineStr">
        <is>
          <t>Delivered</t>
        </is>
      </c>
      <c r="J3084" t="n">
        <v>124</v>
      </c>
      <c r="K3084" t="n">
        <v>1</v>
      </c>
      <c r="L3084" t="n">
        <v>1154</v>
      </c>
      <c r="M3084" t="n">
        <v>0</v>
      </c>
      <c r="N3084">
        <f>VLOOKUP(J3084,Products!$A$2:$C$49,3,FALSE)</f>
        <v/>
      </c>
      <c r="O3084">
        <f>K3084*L3084-M3084</f>
        <v/>
      </c>
      <c r="P3084">
        <f>TEXT(B3084,"yyyy-mm")</f>
        <v/>
      </c>
      <c r="Q3084">
        <f>IF(O3084&gt;=3000,"Large","Small")</f>
        <v/>
      </c>
      <c r="R3084">
        <f>INDEX(Products!$F$2:$F$49,MATCH(J3084,Products!$A$2:$A$49,0))</f>
        <v/>
      </c>
      <c r="S3084">
        <f>WEEKDAY(B3084,2)</f>
        <v/>
      </c>
    </row>
    <row r="3085">
      <c r="A3085" t="n">
        <v>511008</v>
      </c>
      <c r="B3085" s="6" t="n">
        <v>45983</v>
      </c>
      <c r="C3085" t="n">
        <v>17446</v>
      </c>
      <c r="D3085" t="inlineStr">
        <is>
          <t>Delhi</t>
        </is>
      </c>
      <c r="E3085" t="inlineStr">
        <is>
          <t>North</t>
        </is>
      </c>
      <c r="F3085" t="inlineStr">
        <is>
          <t>Organic Search</t>
        </is>
      </c>
      <c r="G3085" t="inlineStr">
        <is>
          <t>Mobile App</t>
        </is>
      </c>
      <c r="H3085" t="inlineStr">
        <is>
          <t>Cash on Delivery</t>
        </is>
      </c>
      <c r="I3085" t="inlineStr">
        <is>
          <t>Delivered</t>
        </is>
      </c>
      <c r="J3085" t="n">
        <v>121</v>
      </c>
      <c r="K3085" t="n">
        <v>1</v>
      </c>
      <c r="L3085" t="n">
        <v>2939</v>
      </c>
      <c r="M3085" t="n">
        <v>0</v>
      </c>
      <c r="N3085">
        <f>VLOOKUP(J3085,Products!$A$2:$C$49,3,FALSE)</f>
        <v/>
      </c>
      <c r="O3085">
        <f>K3085*L3085-M3085</f>
        <v/>
      </c>
      <c r="P3085">
        <f>TEXT(B3085,"yyyy-mm")</f>
        <v/>
      </c>
      <c r="Q3085">
        <f>IF(O3085&gt;=3000,"Large","Small")</f>
        <v/>
      </c>
      <c r="R3085">
        <f>INDEX(Products!$F$2:$F$49,MATCH(J3085,Products!$A$2:$A$49,0))</f>
        <v/>
      </c>
      <c r="S3085">
        <f>WEEKDAY(B3085,2)</f>
        <v/>
      </c>
    </row>
    <row r="3086">
      <c r="A3086" t="n">
        <v>511009</v>
      </c>
      <c r="B3086" s="6" t="n">
        <v>45983</v>
      </c>
      <c r="C3086" t="n">
        <v>17414</v>
      </c>
      <c r="D3086" t="inlineStr">
        <is>
          <t>Gurugram</t>
        </is>
      </c>
      <c r="E3086" t="inlineStr">
        <is>
          <t>North</t>
        </is>
      </c>
      <c r="F3086" t="inlineStr">
        <is>
          <t>Affiliate</t>
        </is>
      </c>
      <c r="G3086" t="inlineStr">
        <is>
          <t>Mobile Web</t>
        </is>
      </c>
      <c r="H3086" t="inlineStr">
        <is>
          <t>Cash on Delivery</t>
        </is>
      </c>
      <c r="I3086" t="inlineStr">
        <is>
          <t>Delivered</t>
        </is>
      </c>
      <c r="J3086" t="n">
        <v>113</v>
      </c>
      <c r="K3086" t="n">
        <v>1</v>
      </c>
      <c r="L3086" t="n">
        <v>1364</v>
      </c>
      <c r="M3086" t="n">
        <v>0</v>
      </c>
      <c r="N3086">
        <f>VLOOKUP(J3086,Products!$A$2:$C$49,3,FALSE)</f>
        <v/>
      </c>
      <c r="O3086">
        <f>K3086*L3086-M3086</f>
        <v/>
      </c>
      <c r="P3086">
        <f>TEXT(B3086,"yyyy-mm")</f>
        <v/>
      </c>
      <c r="Q3086">
        <f>IF(O3086&gt;=3000,"Large","Small")</f>
        <v/>
      </c>
      <c r="R3086">
        <f>INDEX(Products!$F$2:$F$49,MATCH(J3086,Products!$A$2:$A$49,0))</f>
        <v/>
      </c>
      <c r="S3086">
        <f>WEEKDAY(B3086,2)</f>
        <v/>
      </c>
    </row>
    <row r="3087">
      <c r="A3087" t="n">
        <v>511010</v>
      </c>
      <c r="B3087" s="6" t="n">
        <v>45983</v>
      </c>
      <c r="C3087" t="n">
        <v>17442</v>
      </c>
      <c r="D3087" t="inlineStr">
        <is>
          <t>Kolkata</t>
        </is>
      </c>
      <c r="E3087" t="inlineStr">
        <is>
          <t>East</t>
        </is>
      </c>
      <c r="F3087" t="inlineStr">
        <is>
          <t>Paid Social</t>
        </is>
      </c>
      <c r="G3087" t="inlineStr">
        <is>
          <t>Mobile Web</t>
        </is>
      </c>
      <c r="H3087" t="inlineStr">
        <is>
          <t>UPI</t>
        </is>
      </c>
      <c r="I3087" t="inlineStr">
        <is>
          <t>Delivered</t>
        </is>
      </c>
      <c r="J3087" t="n">
        <v>102</v>
      </c>
      <c r="K3087" t="n">
        <v>1</v>
      </c>
      <c r="L3087" t="n">
        <v>3674</v>
      </c>
      <c r="M3087" t="n">
        <v>551.1</v>
      </c>
      <c r="N3087">
        <f>VLOOKUP(J3087,Products!$A$2:$C$49,3,FALSE)</f>
        <v/>
      </c>
      <c r="O3087">
        <f>K3087*L3087-M3087</f>
        <v/>
      </c>
      <c r="P3087">
        <f>TEXT(B3087,"yyyy-mm")</f>
        <v/>
      </c>
      <c r="Q3087">
        <f>IF(O3087&gt;=3000,"Large","Small")</f>
        <v/>
      </c>
      <c r="R3087">
        <f>INDEX(Products!$F$2:$F$49,MATCH(J3087,Products!$A$2:$A$49,0))</f>
        <v/>
      </c>
      <c r="S3087">
        <f>WEEKDAY(B3087,2)</f>
        <v/>
      </c>
    </row>
    <row r="3088">
      <c r="A3088" t="n">
        <v>511010</v>
      </c>
      <c r="B3088" s="6" t="n">
        <v>45983</v>
      </c>
      <c r="C3088" t="n">
        <v>17442</v>
      </c>
      <c r="D3088" t="inlineStr">
        <is>
          <t>Kolkata</t>
        </is>
      </c>
      <c r="E3088" t="inlineStr">
        <is>
          <t>East</t>
        </is>
      </c>
      <c r="F3088" t="inlineStr">
        <is>
          <t>Paid Social</t>
        </is>
      </c>
      <c r="G3088" t="inlineStr">
        <is>
          <t>Mobile Web</t>
        </is>
      </c>
      <c r="H3088" t="inlineStr">
        <is>
          <t>UPI</t>
        </is>
      </c>
      <c r="I3088" t="inlineStr">
        <is>
          <t>Delivered</t>
        </is>
      </c>
      <c r="J3088" t="n">
        <v>107</v>
      </c>
      <c r="K3088" t="n">
        <v>1</v>
      </c>
      <c r="L3088" t="n">
        <v>1259</v>
      </c>
      <c r="M3088" t="n">
        <v>188.85</v>
      </c>
      <c r="N3088">
        <f>VLOOKUP(J3088,Products!$A$2:$C$49,3,FALSE)</f>
        <v/>
      </c>
      <c r="O3088">
        <f>K3088*L3088-M3088</f>
        <v/>
      </c>
      <c r="P3088">
        <f>TEXT(B3088,"yyyy-mm")</f>
        <v/>
      </c>
      <c r="Q3088">
        <f>IF(O3088&gt;=3000,"Large","Small")</f>
        <v/>
      </c>
      <c r="R3088">
        <f>INDEX(Products!$F$2:$F$49,MATCH(J3088,Products!$A$2:$A$49,0))</f>
        <v/>
      </c>
      <c r="S3088">
        <f>WEEKDAY(B3088,2)</f>
        <v/>
      </c>
    </row>
    <row r="3089">
      <c r="A3089" t="n">
        <v>511011</v>
      </c>
      <c r="B3089" s="6" t="n">
        <v>45983</v>
      </c>
      <c r="C3089" t="n">
        <v>16434</v>
      </c>
      <c r="D3089" t="inlineStr">
        <is>
          <t>Pune</t>
        </is>
      </c>
      <c r="E3089" t="inlineStr">
        <is>
          <t>West</t>
        </is>
      </c>
      <c r="F3089" t="inlineStr">
        <is>
          <t>Referral</t>
        </is>
      </c>
      <c r="G3089" t="inlineStr">
        <is>
          <t>Desktop</t>
        </is>
      </c>
      <c r="H3089" t="inlineStr">
        <is>
          <t>Credit Card</t>
        </is>
      </c>
      <c r="I3089" t="inlineStr">
        <is>
          <t>Delivered</t>
        </is>
      </c>
      <c r="J3089" t="n">
        <v>111</v>
      </c>
      <c r="K3089" t="n">
        <v>1</v>
      </c>
      <c r="L3089" t="n">
        <v>524</v>
      </c>
      <c r="M3089" t="n">
        <v>0</v>
      </c>
      <c r="N3089">
        <f>VLOOKUP(J3089,Products!$A$2:$C$49,3,FALSE)</f>
        <v/>
      </c>
      <c r="O3089">
        <f>K3089*L3089-M3089</f>
        <v/>
      </c>
      <c r="P3089">
        <f>TEXT(B3089,"yyyy-mm")</f>
        <v/>
      </c>
      <c r="Q3089">
        <f>IF(O3089&gt;=3000,"Large","Small")</f>
        <v/>
      </c>
      <c r="R3089">
        <f>INDEX(Products!$F$2:$F$49,MATCH(J3089,Products!$A$2:$A$49,0))</f>
        <v/>
      </c>
      <c r="S3089">
        <f>WEEKDAY(B3089,2)</f>
        <v/>
      </c>
    </row>
    <row r="3090">
      <c r="A3090" t="n">
        <v>511011</v>
      </c>
      <c r="B3090" s="6" t="n">
        <v>45983</v>
      </c>
      <c r="C3090" t="n">
        <v>16434</v>
      </c>
      <c r="D3090" t="inlineStr">
        <is>
          <t>Pune</t>
        </is>
      </c>
      <c r="E3090" t="inlineStr">
        <is>
          <t>West</t>
        </is>
      </c>
      <c r="F3090" t="inlineStr">
        <is>
          <t>Referral</t>
        </is>
      </c>
      <c r="G3090" t="inlineStr">
        <is>
          <t>Desktop</t>
        </is>
      </c>
      <c r="H3090" t="inlineStr">
        <is>
          <t>Credit Card</t>
        </is>
      </c>
      <c r="I3090" t="inlineStr">
        <is>
          <t>Delivered</t>
        </is>
      </c>
      <c r="J3090" t="n">
        <v>140</v>
      </c>
      <c r="K3090" t="n">
        <v>1</v>
      </c>
      <c r="L3090" t="n">
        <v>629</v>
      </c>
      <c r="M3090" t="n">
        <v>0</v>
      </c>
      <c r="N3090">
        <f>VLOOKUP(J3090,Products!$A$2:$C$49,3,FALSE)</f>
        <v/>
      </c>
      <c r="O3090">
        <f>K3090*L3090-M3090</f>
        <v/>
      </c>
      <c r="P3090">
        <f>TEXT(B3090,"yyyy-mm")</f>
        <v/>
      </c>
      <c r="Q3090">
        <f>IF(O3090&gt;=3000,"Large","Small")</f>
        <v/>
      </c>
      <c r="R3090">
        <f>INDEX(Products!$F$2:$F$49,MATCH(J3090,Products!$A$2:$A$49,0))</f>
        <v/>
      </c>
      <c r="S3090">
        <f>WEEKDAY(B3090,2)</f>
        <v/>
      </c>
    </row>
    <row r="3091">
      <c r="A3091" t="n">
        <v>511012</v>
      </c>
      <c r="B3091" s="6" t="n">
        <v>45983</v>
      </c>
      <c r="C3091" t="n">
        <v>16703</v>
      </c>
      <c r="D3091" t="inlineStr">
        <is>
          <t>Kochi</t>
        </is>
      </c>
      <c r="E3091" t="inlineStr">
        <is>
          <t>South</t>
        </is>
      </c>
      <c r="F3091" t="inlineStr">
        <is>
          <t>Organic Search</t>
        </is>
      </c>
      <c r="G3091" t="inlineStr">
        <is>
          <t>Mobile App</t>
        </is>
      </c>
      <c r="H3091" t="inlineStr">
        <is>
          <t>Cash on Delivery</t>
        </is>
      </c>
      <c r="I3091" t="inlineStr">
        <is>
          <t>Delivered</t>
        </is>
      </c>
      <c r="J3091" t="n">
        <v>111</v>
      </c>
      <c r="K3091" t="n">
        <v>1</v>
      </c>
      <c r="L3091" t="n">
        <v>524</v>
      </c>
      <c r="M3091" t="n">
        <v>0</v>
      </c>
      <c r="N3091">
        <f>VLOOKUP(J3091,Products!$A$2:$C$49,3,FALSE)</f>
        <v/>
      </c>
      <c r="O3091">
        <f>K3091*L3091-M3091</f>
        <v/>
      </c>
      <c r="P3091">
        <f>TEXT(B3091,"yyyy-mm")</f>
        <v/>
      </c>
      <c r="Q3091">
        <f>IF(O3091&gt;=3000,"Large","Small")</f>
        <v/>
      </c>
      <c r="R3091">
        <f>INDEX(Products!$F$2:$F$49,MATCH(J3091,Products!$A$2:$A$49,0))</f>
        <v/>
      </c>
      <c r="S3091">
        <f>WEEKDAY(B3091,2)</f>
        <v/>
      </c>
    </row>
    <row r="3092">
      <c r="A3092" t="n">
        <v>511012</v>
      </c>
      <c r="B3092" s="6" t="n">
        <v>45983</v>
      </c>
      <c r="C3092" t="n">
        <v>16703</v>
      </c>
      <c r="D3092" t="inlineStr">
        <is>
          <t>Kochi</t>
        </is>
      </c>
      <c r="E3092" t="inlineStr">
        <is>
          <t>South</t>
        </is>
      </c>
      <c r="F3092" t="inlineStr">
        <is>
          <t>Organic Search</t>
        </is>
      </c>
      <c r="G3092" t="inlineStr">
        <is>
          <t>Mobile App</t>
        </is>
      </c>
      <c r="H3092" t="inlineStr">
        <is>
          <t>Cash on Delivery</t>
        </is>
      </c>
      <c r="I3092" t="inlineStr">
        <is>
          <t>Delivered</t>
        </is>
      </c>
      <c r="J3092" t="n">
        <v>125</v>
      </c>
      <c r="K3092" t="n">
        <v>1</v>
      </c>
      <c r="L3092" t="n">
        <v>1364</v>
      </c>
      <c r="M3092" t="n">
        <v>0</v>
      </c>
      <c r="N3092">
        <f>VLOOKUP(J3092,Products!$A$2:$C$49,3,FALSE)</f>
        <v/>
      </c>
      <c r="O3092">
        <f>K3092*L3092-M3092</f>
        <v/>
      </c>
      <c r="P3092">
        <f>TEXT(B3092,"yyyy-mm")</f>
        <v/>
      </c>
      <c r="Q3092">
        <f>IF(O3092&gt;=3000,"Large","Small")</f>
        <v/>
      </c>
      <c r="R3092">
        <f>INDEX(Products!$F$2:$F$49,MATCH(J3092,Products!$A$2:$A$49,0))</f>
        <v/>
      </c>
      <c r="S3092">
        <f>WEEKDAY(B3092,2)</f>
        <v/>
      </c>
    </row>
    <row r="3093">
      <c r="A3093" t="n">
        <v>511013</v>
      </c>
      <c r="B3093" s="6" t="n">
        <v>45983</v>
      </c>
      <c r="C3093" t="n">
        <v>16015</v>
      </c>
      <c r="D3093" t="inlineStr">
        <is>
          <t>Hyderabad</t>
        </is>
      </c>
      <c r="E3093" t="inlineStr">
        <is>
          <t>South</t>
        </is>
      </c>
      <c r="F3093" t="inlineStr">
        <is>
          <t>Paid Social</t>
        </is>
      </c>
      <c r="G3093" t="inlineStr">
        <is>
          <t>Desktop</t>
        </is>
      </c>
      <c r="H3093" t="inlineStr">
        <is>
          <t>UPI</t>
        </is>
      </c>
      <c r="I3093" t="inlineStr">
        <is>
          <t>Delivered</t>
        </is>
      </c>
      <c r="J3093" t="n">
        <v>146</v>
      </c>
      <c r="K3093" t="n">
        <v>1</v>
      </c>
      <c r="L3093" t="n">
        <v>4724</v>
      </c>
      <c r="M3093" t="n">
        <v>0</v>
      </c>
      <c r="N3093">
        <f>VLOOKUP(J3093,Products!$A$2:$C$49,3,FALSE)</f>
        <v/>
      </c>
      <c r="O3093">
        <f>K3093*L3093-M3093</f>
        <v/>
      </c>
      <c r="P3093">
        <f>TEXT(B3093,"yyyy-mm")</f>
        <v/>
      </c>
      <c r="Q3093">
        <f>IF(O3093&gt;=3000,"Large","Small")</f>
        <v/>
      </c>
      <c r="R3093">
        <f>INDEX(Products!$F$2:$F$49,MATCH(J3093,Products!$A$2:$A$49,0))</f>
        <v/>
      </c>
      <c r="S3093">
        <f>WEEKDAY(B3093,2)</f>
        <v/>
      </c>
    </row>
    <row r="3094">
      <c r="A3094" t="n">
        <v>511013</v>
      </c>
      <c r="B3094" s="6" t="n">
        <v>45983</v>
      </c>
      <c r="C3094" t="n">
        <v>16015</v>
      </c>
      <c r="D3094" t="inlineStr">
        <is>
          <t>Hyderabad</t>
        </is>
      </c>
      <c r="E3094" t="inlineStr">
        <is>
          <t>South</t>
        </is>
      </c>
      <c r="F3094" t="inlineStr">
        <is>
          <t>Paid Social</t>
        </is>
      </c>
      <c r="G3094" t="inlineStr">
        <is>
          <t>Desktop</t>
        </is>
      </c>
      <c r="H3094" t="inlineStr">
        <is>
          <t>UPI</t>
        </is>
      </c>
      <c r="I3094" t="inlineStr">
        <is>
          <t>Delivered</t>
        </is>
      </c>
      <c r="J3094" t="n">
        <v>107</v>
      </c>
      <c r="K3094" t="n">
        <v>1</v>
      </c>
      <c r="L3094" t="n">
        <v>1259</v>
      </c>
      <c r="M3094" t="n">
        <v>0</v>
      </c>
      <c r="N3094">
        <f>VLOOKUP(J3094,Products!$A$2:$C$49,3,FALSE)</f>
        <v/>
      </c>
      <c r="O3094">
        <f>K3094*L3094-M3094</f>
        <v/>
      </c>
      <c r="P3094">
        <f>TEXT(B3094,"yyyy-mm")</f>
        <v/>
      </c>
      <c r="Q3094">
        <f>IF(O3094&gt;=3000,"Large","Small")</f>
        <v/>
      </c>
      <c r="R3094">
        <f>INDEX(Products!$F$2:$F$49,MATCH(J3094,Products!$A$2:$A$49,0))</f>
        <v/>
      </c>
      <c r="S3094">
        <f>WEEKDAY(B3094,2)</f>
        <v/>
      </c>
    </row>
    <row r="3095">
      <c r="A3095" t="n">
        <v>511014</v>
      </c>
      <c r="B3095" s="6" t="n">
        <v>45983</v>
      </c>
      <c r="C3095" t="n">
        <v>17445</v>
      </c>
      <c r="D3095" t="inlineStr">
        <is>
          <t>Noida</t>
        </is>
      </c>
      <c r="E3095" t="inlineStr">
        <is>
          <t>North</t>
        </is>
      </c>
      <c r="F3095" t="inlineStr">
        <is>
          <t>Organic Search</t>
        </is>
      </c>
      <c r="G3095" t="inlineStr">
        <is>
          <t>Desktop</t>
        </is>
      </c>
      <c r="H3095" t="inlineStr">
        <is>
          <t>Debit Card</t>
        </is>
      </c>
      <c r="I3095" t="inlineStr">
        <is>
          <t>Delivered</t>
        </is>
      </c>
      <c r="J3095" t="n">
        <v>109</v>
      </c>
      <c r="K3095" t="n">
        <v>1</v>
      </c>
      <c r="L3095" t="n">
        <v>4199</v>
      </c>
      <c r="M3095" t="n">
        <v>0</v>
      </c>
      <c r="N3095">
        <f>VLOOKUP(J3095,Products!$A$2:$C$49,3,FALSE)</f>
        <v/>
      </c>
      <c r="O3095">
        <f>K3095*L3095-M3095</f>
        <v/>
      </c>
      <c r="P3095">
        <f>TEXT(B3095,"yyyy-mm")</f>
        <v/>
      </c>
      <c r="Q3095">
        <f>IF(O3095&gt;=3000,"Large","Small")</f>
        <v/>
      </c>
      <c r="R3095">
        <f>INDEX(Products!$F$2:$F$49,MATCH(J3095,Products!$A$2:$A$49,0))</f>
        <v/>
      </c>
      <c r="S3095">
        <f>WEEKDAY(B3095,2)</f>
        <v/>
      </c>
    </row>
    <row r="3096">
      <c r="A3096" t="n">
        <v>511015</v>
      </c>
      <c r="B3096" s="6" t="n">
        <v>45983</v>
      </c>
      <c r="C3096" t="n">
        <v>14896</v>
      </c>
      <c r="D3096" t="inlineStr">
        <is>
          <t>Bengaluru</t>
        </is>
      </c>
      <c r="E3096" t="inlineStr">
        <is>
          <t>South</t>
        </is>
      </c>
      <c r="F3096" t="inlineStr">
        <is>
          <t>Organic Search</t>
        </is>
      </c>
      <c r="G3096" t="inlineStr">
        <is>
          <t>Desktop</t>
        </is>
      </c>
      <c r="H3096" t="inlineStr">
        <is>
          <t>Debit Card</t>
        </is>
      </c>
      <c r="I3096" t="inlineStr">
        <is>
          <t>Delivered</t>
        </is>
      </c>
      <c r="J3096" t="n">
        <v>144</v>
      </c>
      <c r="K3096" t="n">
        <v>2</v>
      </c>
      <c r="L3096" t="n">
        <v>3149</v>
      </c>
      <c r="M3096" t="n">
        <v>0</v>
      </c>
      <c r="N3096">
        <f>VLOOKUP(J3096,Products!$A$2:$C$49,3,FALSE)</f>
        <v/>
      </c>
      <c r="O3096">
        <f>K3096*L3096-M3096</f>
        <v/>
      </c>
      <c r="P3096">
        <f>TEXT(B3096,"yyyy-mm")</f>
        <v/>
      </c>
      <c r="Q3096">
        <f>IF(O3096&gt;=3000,"Large","Small")</f>
        <v/>
      </c>
      <c r="R3096">
        <f>INDEX(Products!$F$2:$F$49,MATCH(J3096,Products!$A$2:$A$49,0))</f>
        <v/>
      </c>
      <c r="S3096">
        <f>WEEKDAY(B3096,2)</f>
        <v/>
      </c>
    </row>
    <row r="3097">
      <c r="A3097" t="n">
        <v>511016</v>
      </c>
      <c r="B3097" s="6" t="n">
        <v>45984</v>
      </c>
      <c r="C3097" t="n">
        <v>17459</v>
      </c>
      <c r="D3097" t="inlineStr">
        <is>
          <t>Kolkata</t>
        </is>
      </c>
      <c r="E3097" t="inlineStr">
        <is>
          <t>East</t>
        </is>
      </c>
      <c r="F3097" t="inlineStr">
        <is>
          <t>Paid Social</t>
        </is>
      </c>
      <c r="G3097" t="inlineStr">
        <is>
          <t>Desktop</t>
        </is>
      </c>
      <c r="H3097" t="inlineStr">
        <is>
          <t>UPI</t>
        </is>
      </c>
      <c r="I3097" t="inlineStr">
        <is>
          <t>Delivered</t>
        </is>
      </c>
      <c r="J3097" t="n">
        <v>117</v>
      </c>
      <c r="K3097" t="n">
        <v>1</v>
      </c>
      <c r="L3097" t="n">
        <v>3149</v>
      </c>
      <c r="M3097" t="n">
        <v>472.35</v>
      </c>
      <c r="N3097">
        <f>VLOOKUP(J3097,Products!$A$2:$C$49,3,FALSE)</f>
        <v/>
      </c>
      <c r="O3097">
        <f>K3097*L3097-M3097</f>
        <v/>
      </c>
      <c r="P3097">
        <f>TEXT(B3097,"yyyy-mm")</f>
        <v/>
      </c>
      <c r="Q3097">
        <f>IF(O3097&gt;=3000,"Large","Small")</f>
        <v/>
      </c>
      <c r="R3097">
        <f>INDEX(Products!$F$2:$F$49,MATCH(J3097,Products!$A$2:$A$49,0))</f>
        <v/>
      </c>
      <c r="S3097">
        <f>WEEKDAY(B3097,2)</f>
        <v/>
      </c>
    </row>
    <row r="3098">
      <c r="A3098" t="n">
        <v>511017</v>
      </c>
      <c r="B3098" s="6" t="n">
        <v>45984</v>
      </c>
      <c r="C3098" t="n">
        <v>16916</v>
      </c>
      <c r="D3098" t="inlineStr">
        <is>
          <t>Delhi</t>
        </is>
      </c>
      <c r="E3098" t="inlineStr">
        <is>
          <t>North</t>
        </is>
      </c>
      <c r="F3098" t="inlineStr">
        <is>
          <t>Affiliate</t>
        </is>
      </c>
      <c r="G3098" t="inlineStr">
        <is>
          <t>Mobile App</t>
        </is>
      </c>
      <c r="H3098" t="inlineStr">
        <is>
          <t>Debit Card</t>
        </is>
      </c>
      <c r="I3098" t="inlineStr">
        <is>
          <t>Returned</t>
        </is>
      </c>
      <c r="J3098" t="n">
        <v>117</v>
      </c>
      <c r="K3098" t="n">
        <v>1</v>
      </c>
      <c r="L3098" t="n">
        <v>3149</v>
      </c>
      <c r="M3098" t="n">
        <v>0</v>
      </c>
      <c r="N3098">
        <f>VLOOKUP(J3098,Products!$A$2:$C$49,3,FALSE)</f>
        <v/>
      </c>
      <c r="O3098">
        <f>K3098*L3098-M3098</f>
        <v/>
      </c>
      <c r="P3098">
        <f>TEXT(B3098,"yyyy-mm")</f>
        <v/>
      </c>
      <c r="Q3098">
        <f>IF(O3098&gt;=3000,"Large","Small")</f>
        <v/>
      </c>
      <c r="R3098">
        <f>INDEX(Products!$F$2:$F$49,MATCH(J3098,Products!$A$2:$A$49,0))</f>
        <v/>
      </c>
      <c r="S3098">
        <f>WEEKDAY(B3098,2)</f>
        <v/>
      </c>
    </row>
    <row r="3099">
      <c r="A3099" t="n">
        <v>511018</v>
      </c>
      <c r="B3099" s="6" t="n">
        <v>45984</v>
      </c>
      <c r="C3099" t="n">
        <v>15157</v>
      </c>
      <c r="D3099" t="inlineStr">
        <is>
          <t>Hyderabad</t>
        </is>
      </c>
      <c r="E3099" t="inlineStr">
        <is>
          <t>South</t>
        </is>
      </c>
      <c r="F3099" t="inlineStr">
        <is>
          <t>Referral</t>
        </is>
      </c>
      <c r="G3099" t="inlineStr">
        <is>
          <t>Mobile App</t>
        </is>
      </c>
      <c r="H3099" t="inlineStr">
        <is>
          <t>UPI</t>
        </is>
      </c>
      <c r="I3099" t="inlineStr">
        <is>
          <t>Delivered</t>
        </is>
      </c>
      <c r="J3099" t="n">
        <v>147</v>
      </c>
      <c r="K3099" t="n">
        <v>1</v>
      </c>
      <c r="L3099" t="n">
        <v>1364</v>
      </c>
      <c r="M3099" t="n">
        <v>68.2</v>
      </c>
      <c r="N3099">
        <f>VLOOKUP(J3099,Products!$A$2:$C$49,3,FALSE)</f>
        <v/>
      </c>
      <c r="O3099">
        <f>K3099*L3099-M3099</f>
        <v/>
      </c>
      <c r="P3099">
        <f>TEXT(B3099,"yyyy-mm")</f>
        <v/>
      </c>
      <c r="Q3099">
        <f>IF(O3099&gt;=3000,"Large","Small")</f>
        <v/>
      </c>
      <c r="R3099">
        <f>INDEX(Products!$F$2:$F$49,MATCH(J3099,Products!$A$2:$A$49,0))</f>
        <v/>
      </c>
      <c r="S3099">
        <f>WEEKDAY(B3099,2)</f>
        <v/>
      </c>
    </row>
    <row r="3100">
      <c r="A3100" t="n">
        <v>511018</v>
      </c>
      <c r="B3100" s="6" t="n">
        <v>45984</v>
      </c>
      <c r="C3100" t="n">
        <v>15157</v>
      </c>
      <c r="D3100" t="inlineStr">
        <is>
          <t>Hyderabad</t>
        </is>
      </c>
      <c r="E3100" t="inlineStr">
        <is>
          <t>South</t>
        </is>
      </c>
      <c r="F3100" t="inlineStr">
        <is>
          <t>Referral</t>
        </is>
      </c>
      <c r="G3100" t="inlineStr">
        <is>
          <t>Mobile App</t>
        </is>
      </c>
      <c r="H3100" t="inlineStr">
        <is>
          <t>UPI</t>
        </is>
      </c>
      <c r="I3100" t="inlineStr">
        <is>
          <t>Delivered</t>
        </is>
      </c>
      <c r="J3100" t="n">
        <v>141</v>
      </c>
      <c r="K3100" t="n">
        <v>1</v>
      </c>
      <c r="L3100" t="n">
        <v>261</v>
      </c>
      <c r="M3100" t="n">
        <v>13.05</v>
      </c>
      <c r="N3100">
        <f>VLOOKUP(J3100,Products!$A$2:$C$49,3,FALSE)</f>
        <v/>
      </c>
      <c r="O3100">
        <f>K3100*L3100-M3100</f>
        <v/>
      </c>
      <c r="P3100">
        <f>TEXT(B3100,"yyyy-mm")</f>
        <v/>
      </c>
      <c r="Q3100">
        <f>IF(O3100&gt;=3000,"Large","Small")</f>
        <v/>
      </c>
      <c r="R3100">
        <f>INDEX(Products!$F$2:$F$49,MATCH(J3100,Products!$A$2:$A$49,0))</f>
        <v/>
      </c>
      <c r="S3100">
        <f>WEEKDAY(B3100,2)</f>
        <v/>
      </c>
    </row>
    <row r="3101">
      <c r="A3101" t="n">
        <v>511019</v>
      </c>
      <c r="B3101" s="6" t="n">
        <v>45984</v>
      </c>
      <c r="C3101" t="n">
        <v>17368</v>
      </c>
      <c r="D3101" t="inlineStr">
        <is>
          <t>Bengaluru</t>
        </is>
      </c>
      <c r="E3101" t="inlineStr">
        <is>
          <t>South</t>
        </is>
      </c>
      <c r="F3101" t="inlineStr">
        <is>
          <t>Paid Search</t>
        </is>
      </c>
      <c r="G3101" t="inlineStr">
        <is>
          <t>Desktop</t>
        </is>
      </c>
      <c r="H3101" t="inlineStr">
        <is>
          <t>Debit Card</t>
        </is>
      </c>
      <c r="I3101" t="inlineStr">
        <is>
          <t>Delivered</t>
        </is>
      </c>
      <c r="J3101" t="n">
        <v>109</v>
      </c>
      <c r="K3101" t="n">
        <v>1</v>
      </c>
      <c r="L3101" t="n">
        <v>4199</v>
      </c>
      <c r="M3101" t="n">
        <v>629.85</v>
      </c>
      <c r="N3101">
        <f>VLOOKUP(J3101,Products!$A$2:$C$49,3,FALSE)</f>
        <v/>
      </c>
      <c r="O3101">
        <f>K3101*L3101-M3101</f>
        <v/>
      </c>
      <c r="P3101">
        <f>TEXT(B3101,"yyyy-mm")</f>
        <v/>
      </c>
      <c r="Q3101">
        <f>IF(O3101&gt;=3000,"Large","Small")</f>
        <v/>
      </c>
      <c r="R3101">
        <f>INDEX(Products!$F$2:$F$49,MATCH(J3101,Products!$A$2:$A$49,0))</f>
        <v/>
      </c>
      <c r="S3101">
        <f>WEEKDAY(B3101,2)</f>
        <v/>
      </c>
    </row>
    <row r="3102">
      <c r="A3102" t="n">
        <v>511020</v>
      </c>
      <c r="B3102" s="6" t="n">
        <v>45984</v>
      </c>
      <c r="C3102" t="n">
        <v>17434</v>
      </c>
      <c r="D3102" t="inlineStr">
        <is>
          <t>Gurugram</t>
        </is>
      </c>
      <c r="E3102" t="inlineStr">
        <is>
          <t>North</t>
        </is>
      </c>
      <c r="F3102" t="inlineStr">
        <is>
          <t>Email</t>
        </is>
      </c>
      <c r="G3102" t="inlineStr">
        <is>
          <t>Mobile App</t>
        </is>
      </c>
      <c r="H3102" t="inlineStr">
        <is>
          <t>UPI</t>
        </is>
      </c>
      <c r="I3102" t="inlineStr">
        <is>
          <t>Delivered</t>
        </is>
      </c>
      <c r="J3102" t="n">
        <v>137</v>
      </c>
      <c r="K3102" t="n">
        <v>1</v>
      </c>
      <c r="L3102" t="n">
        <v>261</v>
      </c>
      <c r="M3102" t="n">
        <v>0</v>
      </c>
      <c r="N3102">
        <f>VLOOKUP(J3102,Products!$A$2:$C$49,3,FALSE)</f>
        <v/>
      </c>
      <c r="O3102">
        <f>K3102*L3102-M3102</f>
        <v/>
      </c>
      <c r="P3102">
        <f>TEXT(B3102,"yyyy-mm")</f>
        <v/>
      </c>
      <c r="Q3102">
        <f>IF(O3102&gt;=3000,"Large","Small")</f>
        <v/>
      </c>
      <c r="R3102">
        <f>INDEX(Products!$F$2:$F$49,MATCH(J3102,Products!$A$2:$A$49,0))</f>
        <v/>
      </c>
      <c r="S3102">
        <f>WEEKDAY(B3102,2)</f>
        <v/>
      </c>
    </row>
    <row r="3103">
      <c r="A3103" t="n">
        <v>511021</v>
      </c>
      <c r="B3103" s="6" t="n">
        <v>45984</v>
      </c>
      <c r="C3103" t="n">
        <v>17461</v>
      </c>
      <c r="D3103" t="inlineStr">
        <is>
          <t>Chennai</t>
        </is>
      </c>
      <c r="E3103" t="inlineStr">
        <is>
          <t>South</t>
        </is>
      </c>
      <c r="F3103" t="inlineStr">
        <is>
          <t>Paid Search</t>
        </is>
      </c>
      <c r="G3103" t="inlineStr">
        <is>
          <t>Mobile App</t>
        </is>
      </c>
      <c r="H3103" t="inlineStr">
        <is>
          <t>UPI</t>
        </is>
      </c>
      <c r="I3103" t="inlineStr">
        <is>
          <t>Delivered</t>
        </is>
      </c>
      <c r="J3103" t="n">
        <v>112</v>
      </c>
      <c r="K3103" t="n">
        <v>2</v>
      </c>
      <c r="L3103" t="n">
        <v>1574</v>
      </c>
      <c r="M3103" t="n">
        <v>472.2</v>
      </c>
      <c r="N3103">
        <f>VLOOKUP(J3103,Products!$A$2:$C$49,3,FALSE)</f>
        <v/>
      </c>
      <c r="O3103">
        <f>K3103*L3103-M3103</f>
        <v/>
      </c>
      <c r="P3103">
        <f>TEXT(B3103,"yyyy-mm")</f>
        <v/>
      </c>
      <c r="Q3103">
        <f>IF(O3103&gt;=3000,"Large","Small")</f>
        <v/>
      </c>
      <c r="R3103">
        <f>INDEX(Products!$F$2:$F$49,MATCH(J3103,Products!$A$2:$A$49,0))</f>
        <v/>
      </c>
      <c r="S3103">
        <f>WEEKDAY(B3103,2)</f>
        <v/>
      </c>
    </row>
    <row r="3104">
      <c r="A3104" t="n">
        <v>511022</v>
      </c>
      <c r="B3104" s="6" t="n">
        <v>45984</v>
      </c>
      <c r="C3104" t="n">
        <v>16470</v>
      </c>
      <c r="D3104" t="inlineStr">
        <is>
          <t>Pune</t>
        </is>
      </c>
      <c r="E3104" t="inlineStr">
        <is>
          <t>West</t>
        </is>
      </c>
      <c r="F3104" t="inlineStr">
        <is>
          <t>Referral</t>
        </is>
      </c>
      <c r="G3104" t="inlineStr">
        <is>
          <t>Mobile Web</t>
        </is>
      </c>
      <c r="H3104" t="inlineStr">
        <is>
          <t>Debit Card</t>
        </is>
      </c>
      <c r="I3104" t="inlineStr">
        <is>
          <t>Delivered</t>
        </is>
      </c>
      <c r="J3104" t="n">
        <v>136</v>
      </c>
      <c r="K3104" t="n">
        <v>1</v>
      </c>
      <c r="L3104" t="n">
        <v>944</v>
      </c>
      <c r="M3104" t="n">
        <v>0</v>
      </c>
      <c r="N3104">
        <f>VLOOKUP(J3104,Products!$A$2:$C$49,3,FALSE)</f>
        <v/>
      </c>
      <c r="O3104">
        <f>K3104*L3104-M3104</f>
        <v/>
      </c>
      <c r="P3104">
        <f>TEXT(B3104,"yyyy-mm")</f>
        <v/>
      </c>
      <c r="Q3104">
        <f>IF(O3104&gt;=3000,"Large","Small")</f>
        <v/>
      </c>
      <c r="R3104">
        <f>INDEX(Products!$F$2:$F$49,MATCH(J3104,Products!$A$2:$A$49,0))</f>
        <v/>
      </c>
      <c r="S3104">
        <f>WEEKDAY(B3104,2)</f>
        <v/>
      </c>
    </row>
    <row r="3105">
      <c r="A3105" t="n">
        <v>511022</v>
      </c>
      <c r="B3105" s="6" t="n">
        <v>45984</v>
      </c>
      <c r="C3105" t="n">
        <v>16470</v>
      </c>
      <c r="D3105" t="inlineStr">
        <is>
          <t>Pune</t>
        </is>
      </c>
      <c r="E3105" t="inlineStr">
        <is>
          <t>West</t>
        </is>
      </c>
      <c r="F3105" t="inlineStr">
        <is>
          <t>Referral</t>
        </is>
      </c>
      <c r="G3105" t="inlineStr">
        <is>
          <t>Mobile Web</t>
        </is>
      </c>
      <c r="H3105" t="inlineStr">
        <is>
          <t>Debit Card</t>
        </is>
      </c>
      <c r="I3105" t="inlineStr">
        <is>
          <t>Delivered</t>
        </is>
      </c>
      <c r="J3105" t="n">
        <v>141</v>
      </c>
      <c r="K3105" t="n">
        <v>3</v>
      </c>
      <c r="L3105" t="n">
        <v>261</v>
      </c>
      <c r="M3105" t="n">
        <v>0</v>
      </c>
      <c r="N3105">
        <f>VLOOKUP(J3105,Products!$A$2:$C$49,3,FALSE)</f>
        <v/>
      </c>
      <c r="O3105">
        <f>K3105*L3105-M3105</f>
        <v/>
      </c>
      <c r="P3105">
        <f>TEXT(B3105,"yyyy-mm")</f>
        <v/>
      </c>
      <c r="Q3105">
        <f>IF(O3105&gt;=3000,"Large","Small")</f>
        <v/>
      </c>
      <c r="R3105">
        <f>INDEX(Products!$F$2:$F$49,MATCH(J3105,Products!$A$2:$A$49,0))</f>
        <v/>
      </c>
      <c r="S3105">
        <f>WEEKDAY(B3105,2)</f>
        <v/>
      </c>
    </row>
    <row r="3106">
      <c r="A3106" t="n">
        <v>511023</v>
      </c>
      <c r="B3106" s="6" t="n">
        <v>45984</v>
      </c>
      <c r="C3106" t="n">
        <v>17473</v>
      </c>
      <c r="D3106" t="inlineStr">
        <is>
          <t>Indore</t>
        </is>
      </c>
      <c r="E3106" t="inlineStr">
        <is>
          <t>West</t>
        </is>
      </c>
      <c r="F3106" t="inlineStr">
        <is>
          <t>Paid Social</t>
        </is>
      </c>
      <c r="G3106" t="inlineStr">
        <is>
          <t>Mobile App</t>
        </is>
      </c>
      <c r="H3106" t="inlineStr">
        <is>
          <t>UPI</t>
        </is>
      </c>
      <c r="I3106" t="inlineStr">
        <is>
          <t>Delivered</t>
        </is>
      </c>
      <c r="J3106" t="n">
        <v>105</v>
      </c>
      <c r="K3106" t="n">
        <v>1</v>
      </c>
      <c r="L3106" t="n">
        <v>2414</v>
      </c>
      <c r="M3106" t="n">
        <v>362.1</v>
      </c>
      <c r="N3106">
        <f>VLOOKUP(J3106,Products!$A$2:$C$49,3,FALSE)</f>
        <v/>
      </c>
      <c r="O3106">
        <f>K3106*L3106-M3106</f>
        <v/>
      </c>
      <c r="P3106">
        <f>TEXT(B3106,"yyyy-mm")</f>
        <v/>
      </c>
      <c r="Q3106">
        <f>IF(O3106&gt;=3000,"Large","Small")</f>
        <v/>
      </c>
      <c r="R3106">
        <f>INDEX(Products!$F$2:$F$49,MATCH(J3106,Products!$A$2:$A$49,0))</f>
        <v/>
      </c>
      <c r="S3106">
        <f>WEEKDAY(B3106,2)</f>
        <v/>
      </c>
    </row>
    <row r="3107">
      <c r="A3107" t="n">
        <v>511023</v>
      </c>
      <c r="B3107" s="6" t="n">
        <v>45984</v>
      </c>
      <c r="C3107" t="n">
        <v>17473</v>
      </c>
      <c r="D3107" t="inlineStr">
        <is>
          <t>Indore</t>
        </is>
      </c>
      <c r="E3107" t="inlineStr">
        <is>
          <t>West</t>
        </is>
      </c>
      <c r="F3107" t="inlineStr">
        <is>
          <t>Paid Social</t>
        </is>
      </c>
      <c r="G3107" t="inlineStr">
        <is>
          <t>Mobile App</t>
        </is>
      </c>
      <c r="H3107" t="inlineStr">
        <is>
          <t>UPI</t>
        </is>
      </c>
      <c r="I3107" t="inlineStr">
        <is>
          <t>Delivered</t>
        </is>
      </c>
      <c r="J3107" t="n">
        <v>137</v>
      </c>
      <c r="K3107" t="n">
        <v>3</v>
      </c>
      <c r="L3107" t="n">
        <v>261</v>
      </c>
      <c r="M3107" t="n">
        <v>117.45</v>
      </c>
      <c r="N3107">
        <f>VLOOKUP(J3107,Products!$A$2:$C$49,3,FALSE)</f>
        <v/>
      </c>
      <c r="O3107">
        <f>K3107*L3107-M3107</f>
        <v/>
      </c>
      <c r="P3107">
        <f>TEXT(B3107,"yyyy-mm")</f>
        <v/>
      </c>
      <c r="Q3107">
        <f>IF(O3107&gt;=3000,"Large","Small")</f>
        <v/>
      </c>
      <c r="R3107">
        <f>INDEX(Products!$F$2:$F$49,MATCH(J3107,Products!$A$2:$A$49,0))</f>
        <v/>
      </c>
      <c r="S3107">
        <f>WEEKDAY(B3107,2)</f>
        <v/>
      </c>
    </row>
    <row r="3108">
      <c r="A3108" t="n">
        <v>511023</v>
      </c>
      <c r="B3108" s="6" t="n">
        <v>45984</v>
      </c>
      <c r="C3108" t="n">
        <v>17473</v>
      </c>
      <c r="D3108" t="inlineStr">
        <is>
          <t>Indore</t>
        </is>
      </c>
      <c r="E3108" t="inlineStr">
        <is>
          <t>West</t>
        </is>
      </c>
      <c r="F3108" t="inlineStr">
        <is>
          <t>Paid Social</t>
        </is>
      </c>
      <c r="G3108" t="inlineStr">
        <is>
          <t>Mobile App</t>
        </is>
      </c>
      <c r="H3108" t="inlineStr">
        <is>
          <t>UPI</t>
        </is>
      </c>
      <c r="I3108" t="inlineStr">
        <is>
          <t>Delivered</t>
        </is>
      </c>
      <c r="J3108" t="n">
        <v>103</v>
      </c>
      <c r="K3108" t="n">
        <v>1</v>
      </c>
      <c r="L3108" t="n">
        <v>2624</v>
      </c>
      <c r="M3108" t="n">
        <v>393.6</v>
      </c>
      <c r="N3108">
        <f>VLOOKUP(J3108,Products!$A$2:$C$49,3,FALSE)</f>
        <v/>
      </c>
      <c r="O3108">
        <f>K3108*L3108-M3108</f>
        <v/>
      </c>
      <c r="P3108">
        <f>TEXT(B3108,"yyyy-mm")</f>
        <v/>
      </c>
      <c r="Q3108">
        <f>IF(O3108&gt;=3000,"Large","Small")</f>
        <v/>
      </c>
      <c r="R3108">
        <f>INDEX(Products!$F$2:$F$49,MATCH(J3108,Products!$A$2:$A$49,0))</f>
        <v/>
      </c>
      <c r="S3108">
        <f>WEEKDAY(B3108,2)</f>
        <v/>
      </c>
    </row>
    <row r="3109">
      <c r="A3109" t="n">
        <v>511024</v>
      </c>
      <c r="B3109" s="6" t="n">
        <v>45984</v>
      </c>
      <c r="C3109" t="n">
        <v>15960</v>
      </c>
      <c r="D3109" t="inlineStr">
        <is>
          <t>Delhi</t>
        </is>
      </c>
      <c r="E3109" t="inlineStr">
        <is>
          <t>North</t>
        </is>
      </c>
      <c r="F3109" t="inlineStr">
        <is>
          <t>Paid Search</t>
        </is>
      </c>
      <c r="G3109" t="inlineStr">
        <is>
          <t>Desktop</t>
        </is>
      </c>
      <c r="H3109" t="inlineStr">
        <is>
          <t>UPI</t>
        </is>
      </c>
      <c r="I3109" t="inlineStr">
        <is>
          <t>Delivered</t>
        </is>
      </c>
      <c r="J3109" t="n">
        <v>120</v>
      </c>
      <c r="K3109" t="n">
        <v>1</v>
      </c>
      <c r="L3109" t="n">
        <v>734</v>
      </c>
      <c r="M3109" t="n">
        <v>0</v>
      </c>
      <c r="N3109">
        <f>VLOOKUP(J3109,Products!$A$2:$C$49,3,FALSE)</f>
        <v/>
      </c>
      <c r="O3109">
        <f>K3109*L3109-M3109</f>
        <v/>
      </c>
      <c r="P3109">
        <f>TEXT(B3109,"yyyy-mm")</f>
        <v/>
      </c>
      <c r="Q3109">
        <f>IF(O3109&gt;=3000,"Large","Small")</f>
        <v/>
      </c>
      <c r="R3109">
        <f>INDEX(Products!$F$2:$F$49,MATCH(J3109,Products!$A$2:$A$49,0))</f>
        <v/>
      </c>
      <c r="S3109">
        <f>WEEKDAY(B3109,2)</f>
        <v/>
      </c>
    </row>
    <row r="3110">
      <c r="A3110" t="n">
        <v>511025</v>
      </c>
      <c r="B3110" s="6" t="n">
        <v>45984</v>
      </c>
      <c r="C3110" t="n">
        <v>16616</v>
      </c>
      <c r="D3110" t="inlineStr">
        <is>
          <t>Lucknow</t>
        </is>
      </c>
      <c r="E3110" t="inlineStr">
        <is>
          <t>North</t>
        </is>
      </c>
      <c r="F3110" t="inlineStr">
        <is>
          <t>Paid Social</t>
        </is>
      </c>
      <c r="G3110" t="inlineStr">
        <is>
          <t>Mobile Web</t>
        </is>
      </c>
      <c r="H3110" t="inlineStr">
        <is>
          <t>Debit Card</t>
        </is>
      </c>
      <c r="I3110" t="inlineStr">
        <is>
          <t>Returned</t>
        </is>
      </c>
      <c r="J3110" t="n">
        <v>111</v>
      </c>
      <c r="K3110" t="n">
        <v>1</v>
      </c>
      <c r="L3110" t="n">
        <v>524</v>
      </c>
      <c r="M3110" t="n">
        <v>0</v>
      </c>
      <c r="N3110">
        <f>VLOOKUP(J3110,Products!$A$2:$C$49,3,FALSE)</f>
        <v/>
      </c>
      <c r="O3110">
        <f>K3110*L3110-M3110</f>
        <v/>
      </c>
      <c r="P3110">
        <f>TEXT(B3110,"yyyy-mm")</f>
        <v/>
      </c>
      <c r="Q3110">
        <f>IF(O3110&gt;=3000,"Large","Small")</f>
        <v/>
      </c>
      <c r="R3110">
        <f>INDEX(Products!$F$2:$F$49,MATCH(J3110,Products!$A$2:$A$49,0))</f>
        <v/>
      </c>
      <c r="S3110">
        <f>WEEKDAY(B3110,2)</f>
        <v/>
      </c>
    </row>
    <row r="3111">
      <c r="A3111" t="n">
        <v>511026</v>
      </c>
      <c r="B3111" s="6" t="n">
        <v>45984</v>
      </c>
      <c r="C3111" t="n">
        <v>17393</v>
      </c>
      <c r="D3111" t="inlineStr">
        <is>
          <t>Lucknow</t>
        </is>
      </c>
      <c r="E3111" t="inlineStr">
        <is>
          <t>North</t>
        </is>
      </c>
      <c r="F3111" t="inlineStr">
        <is>
          <t>Affiliate</t>
        </is>
      </c>
      <c r="G3111" t="inlineStr">
        <is>
          <t>Mobile App</t>
        </is>
      </c>
      <c r="H3111" t="inlineStr">
        <is>
          <t>Credit Card</t>
        </is>
      </c>
      <c r="I3111" t="inlineStr">
        <is>
          <t>Delivered</t>
        </is>
      </c>
      <c r="J3111" t="n">
        <v>138</v>
      </c>
      <c r="K3111" t="n">
        <v>1</v>
      </c>
      <c r="L3111" t="n">
        <v>419</v>
      </c>
      <c r="M3111" t="n">
        <v>0</v>
      </c>
      <c r="N3111">
        <f>VLOOKUP(J3111,Products!$A$2:$C$49,3,FALSE)</f>
        <v/>
      </c>
      <c r="O3111">
        <f>K3111*L3111-M3111</f>
        <v/>
      </c>
      <c r="P3111">
        <f>TEXT(B3111,"yyyy-mm")</f>
        <v/>
      </c>
      <c r="Q3111">
        <f>IF(O3111&gt;=3000,"Large","Small")</f>
        <v/>
      </c>
      <c r="R3111">
        <f>INDEX(Products!$F$2:$F$49,MATCH(J3111,Products!$A$2:$A$49,0))</f>
        <v/>
      </c>
      <c r="S3111">
        <f>WEEKDAY(B3111,2)</f>
        <v/>
      </c>
    </row>
    <row r="3112">
      <c r="A3112" t="n">
        <v>511026</v>
      </c>
      <c r="B3112" s="6" t="n">
        <v>45984</v>
      </c>
      <c r="C3112" t="n">
        <v>17393</v>
      </c>
      <c r="D3112" t="inlineStr">
        <is>
          <t>Lucknow</t>
        </is>
      </c>
      <c r="E3112" t="inlineStr">
        <is>
          <t>North</t>
        </is>
      </c>
      <c r="F3112" t="inlineStr">
        <is>
          <t>Affiliate</t>
        </is>
      </c>
      <c r="G3112" t="inlineStr">
        <is>
          <t>Mobile App</t>
        </is>
      </c>
      <c r="H3112" t="inlineStr">
        <is>
          <t>Credit Card</t>
        </is>
      </c>
      <c r="I3112" t="inlineStr">
        <is>
          <t>Delivered</t>
        </is>
      </c>
      <c r="J3112" t="n">
        <v>127</v>
      </c>
      <c r="K3112" t="n">
        <v>1</v>
      </c>
      <c r="L3112" t="n">
        <v>681</v>
      </c>
      <c r="M3112" t="n">
        <v>0</v>
      </c>
      <c r="N3112">
        <f>VLOOKUP(J3112,Products!$A$2:$C$49,3,FALSE)</f>
        <v/>
      </c>
      <c r="O3112">
        <f>K3112*L3112-M3112</f>
        <v/>
      </c>
      <c r="P3112">
        <f>TEXT(B3112,"yyyy-mm")</f>
        <v/>
      </c>
      <c r="Q3112">
        <f>IF(O3112&gt;=3000,"Large","Small")</f>
        <v/>
      </c>
      <c r="R3112">
        <f>INDEX(Products!$F$2:$F$49,MATCH(J3112,Products!$A$2:$A$49,0))</f>
        <v/>
      </c>
      <c r="S3112">
        <f>WEEKDAY(B3112,2)</f>
        <v/>
      </c>
    </row>
    <row r="3113">
      <c r="A3113" t="n">
        <v>511027</v>
      </c>
      <c r="B3113" s="6" t="n">
        <v>45984</v>
      </c>
      <c r="C3113" t="n">
        <v>15801</v>
      </c>
      <c r="D3113" t="inlineStr">
        <is>
          <t>Jaipur</t>
        </is>
      </c>
      <c r="E3113" t="inlineStr">
        <is>
          <t>North</t>
        </is>
      </c>
      <c r="F3113" t="inlineStr">
        <is>
          <t>Referral</t>
        </is>
      </c>
      <c r="G3113" t="inlineStr">
        <is>
          <t>Mobile App</t>
        </is>
      </c>
      <c r="H3113" t="inlineStr">
        <is>
          <t>Cash on Delivery</t>
        </is>
      </c>
      <c r="I3113" t="inlineStr">
        <is>
          <t>Delivered</t>
        </is>
      </c>
      <c r="J3113" t="n">
        <v>138</v>
      </c>
      <c r="K3113" t="n">
        <v>1</v>
      </c>
      <c r="L3113" t="n">
        <v>419</v>
      </c>
      <c r="M3113" t="n">
        <v>0</v>
      </c>
      <c r="N3113">
        <f>VLOOKUP(J3113,Products!$A$2:$C$49,3,FALSE)</f>
        <v/>
      </c>
      <c r="O3113">
        <f>K3113*L3113-M3113</f>
        <v/>
      </c>
      <c r="P3113">
        <f>TEXT(B3113,"yyyy-mm")</f>
        <v/>
      </c>
      <c r="Q3113">
        <f>IF(O3113&gt;=3000,"Large","Small")</f>
        <v/>
      </c>
      <c r="R3113">
        <f>INDEX(Products!$F$2:$F$49,MATCH(J3113,Products!$A$2:$A$49,0))</f>
        <v/>
      </c>
      <c r="S3113">
        <f>WEEKDAY(B3113,2)</f>
        <v/>
      </c>
    </row>
    <row r="3114">
      <c r="A3114" t="n">
        <v>511027</v>
      </c>
      <c r="B3114" s="6" t="n">
        <v>45984</v>
      </c>
      <c r="C3114" t="n">
        <v>15801</v>
      </c>
      <c r="D3114" t="inlineStr">
        <is>
          <t>Jaipur</t>
        </is>
      </c>
      <c r="E3114" t="inlineStr">
        <is>
          <t>North</t>
        </is>
      </c>
      <c r="F3114" t="inlineStr">
        <is>
          <t>Referral</t>
        </is>
      </c>
      <c r="G3114" t="inlineStr">
        <is>
          <t>Mobile App</t>
        </is>
      </c>
      <c r="H3114" t="inlineStr">
        <is>
          <t>Cash on Delivery</t>
        </is>
      </c>
      <c r="I3114" t="inlineStr">
        <is>
          <t>Delivered</t>
        </is>
      </c>
      <c r="J3114" t="n">
        <v>120</v>
      </c>
      <c r="K3114" t="n">
        <v>1</v>
      </c>
      <c r="L3114" t="n">
        <v>734</v>
      </c>
      <c r="M3114" t="n">
        <v>0</v>
      </c>
      <c r="N3114">
        <f>VLOOKUP(J3114,Products!$A$2:$C$49,3,FALSE)</f>
        <v/>
      </c>
      <c r="O3114">
        <f>K3114*L3114-M3114</f>
        <v/>
      </c>
      <c r="P3114">
        <f>TEXT(B3114,"yyyy-mm")</f>
        <v/>
      </c>
      <c r="Q3114">
        <f>IF(O3114&gt;=3000,"Large","Small")</f>
        <v/>
      </c>
      <c r="R3114">
        <f>INDEX(Products!$F$2:$F$49,MATCH(J3114,Products!$A$2:$A$49,0))</f>
        <v/>
      </c>
      <c r="S3114">
        <f>WEEKDAY(B3114,2)</f>
        <v/>
      </c>
    </row>
    <row r="3115">
      <c r="A3115" t="n">
        <v>511028</v>
      </c>
      <c r="B3115" s="6" t="n">
        <v>45984</v>
      </c>
      <c r="C3115" t="n">
        <v>17382</v>
      </c>
      <c r="D3115" t="inlineStr">
        <is>
          <t>Kochi</t>
        </is>
      </c>
      <c r="E3115" t="inlineStr">
        <is>
          <t>South</t>
        </is>
      </c>
      <c r="F3115" t="inlineStr">
        <is>
          <t>Paid Search</t>
        </is>
      </c>
      <c r="G3115" t="inlineStr">
        <is>
          <t>Mobile Web</t>
        </is>
      </c>
      <c r="H3115" t="inlineStr">
        <is>
          <t>Credit Card</t>
        </is>
      </c>
      <c r="I3115" t="inlineStr">
        <is>
          <t>Delivered</t>
        </is>
      </c>
      <c r="J3115" t="n">
        <v>125</v>
      </c>
      <c r="K3115" t="n">
        <v>1</v>
      </c>
      <c r="L3115" t="n">
        <v>1364</v>
      </c>
      <c r="M3115" t="n">
        <v>204.6</v>
      </c>
      <c r="N3115">
        <f>VLOOKUP(J3115,Products!$A$2:$C$49,3,FALSE)</f>
        <v/>
      </c>
      <c r="O3115">
        <f>K3115*L3115-M3115</f>
        <v/>
      </c>
      <c r="P3115">
        <f>TEXT(B3115,"yyyy-mm")</f>
        <v/>
      </c>
      <c r="Q3115">
        <f>IF(O3115&gt;=3000,"Large","Small")</f>
        <v/>
      </c>
      <c r="R3115">
        <f>INDEX(Products!$F$2:$F$49,MATCH(J3115,Products!$A$2:$A$49,0))</f>
        <v/>
      </c>
      <c r="S3115">
        <f>WEEKDAY(B3115,2)</f>
        <v/>
      </c>
    </row>
    <row r="3116">
      <c r="A3116" t="n">
        <v>511029</v>
      </c>
      <c r="B3116" s="6" t="n">
        <v>45984</v>
      </c>
      <c r="C3116" t="n">
        <v>17406</v>
      </c>
      <c r="D3116" t="inlineStr">
        <is>
          <t>Jaipur</t>
        </is>
      </c>
      <c r="E3116" t="inlineStr">
        <is>
          <t>North</t>
        </is>
      </c>
      <c r="F3116" t="inlineStr">
        <is>
          <t>Paid Search</t>
        </is>
      </c>
      <c r="G3116" t="inlineStr">
        <is>
          <t>Mobile App</t>
        </is>
      </c>
      <c r="H3116" t="inlineStr">
        <is>
          <t>Cash on Delivery</t>
        </is>
      </c>
      <c r="I3116" t="inlineStr">
        <is>
          <t>Delivered</t>
        </is>
      </c>
      <c r="J3116" t="n">
        <v>127</v>
      </c>
      <c r="K3116" t="n">
        <v>1</v>
      </c>
      <c r="L3116" t="n">
        <v>681</v>
      </c>
      <c r="M3116" t="n">
        <v>0</v>
      </c>
      <c r="N3116">
        <f>VLOOKUP(J3116,Products!$A$2:$C$49,3,FALSE)</f>
        <v/>
      </c>
      <c r="O3116">
        <f>K3116*L3116-M3116</f>
        <v/>
      </c>
      <c r="P3116">
        <f>TEXT(B3116,"yyyy-mm")</f>
        <v/>
      </c>
      <c r="Q3116">
        <f>IF(O3116&gt;=3000,"Large","Small")</f>
        <v/>
      </c>
      <c r="R3116">
        <f>INDEX(Products!$F$2:$F$49,MATCH(J3116,Products!$A$2:$A$49,0))</f>
        <v/>
      </c>
      <c r="S3116">
        <f>WEEKDAY(B3116,2)</f>
        <v/>
      </c>
    </row>
    <row r="3117">
      <c r="A3117" t="n">
        <v>511029</v>
      </c>
      <c r="B3117" s="6" t="n">
        <v>45984</v>
      </c>
      <c r="C3117" t="n">
        <v>17406</v>
      </c>
      <c r="D3117" t="inlineStr">
        <is>
          <t>Jaipur</t>
        </is>
      </c>
      <c r="E3117" t="inlineStr">
        <is>
          <t>North</t>
        </is>
      </c>
      <c r="F3117" t="inlineStr">
        <is>
          <t>Paid Search</t>
        </is>
      </c>
      <c r="G3117" t="inlineStr">
        <is>
          <t>Mobile App</t>
        </is>
      </c>
      <c r="H3117" t="inlineStr">
        <is>
          <t>Cash on Delivery</t>
        </is>
      </c>
      <c r="I3117" t="inlineStr">
        <is>
          <t>Delivered</t>
        </is>
      </c>
      <c r="J3117" t="n">
        <v>112</v>
      </c>
      <c r="K3117" t="n">
        <v>1</v>
      </c>
      <c r="L3117" t="n">
        <v>1574</v>
      </c>
      <c r="M3117" t="n">
        <v>0</v>
      </c>
      <c r="N3117">
        <f>VLOOKUP(J3117,Products!$A$2:$C$49,3,FALSE)</f>
        <v/>
      </c>
      <c r="O3117">
        <f>K3117*L3117-M3117</f>
        <v/>
      </c>
      <c r="P3117">
        <f>TEXT(B3117,"yyyy-mm")</f>
        <v/>
      </c>
      <c r="Q3117">
        <f>IF(O3117&gt;=3000,"Large","Small")</f>
        <v/>
      </c>
      <c r="R3117">
        <f>INDEX(Products!$F$2:$F$49,MATCH(J3117,Products!$A$2:$A$49,0))</f>
        <v/>
      </c>
      <c r="S3117">
        <f>WEEKDAY(B3117,2)</f>
        <v/>
      </c>
    </row>
    <row r="3118">
      <c r="A3118" t="n">
        <v>511029</v>
      </c>
      <c r="B3118" s="6" t="n">
        <v>45984</v>
      </c>
      <c r="C3118" t="n">
        <v>17406</v>
      </c>
      <c r="D3118" t="inlineStr">
        <is>
          <t>Jaipur</t>
        </is>
      </c>
      <c r="E3118" t="inlineStr">
        <is>
          <t>North</t>
        </is>
      </c>
      <c r="F3118" t="inlineStr">
        <is>
          <t>Paid Search</t>
        </is>
      </c>
      <c r="G3118" t="inlineStr">
        <is>
          <t>Mobile App</t>
        </is>
      </c>
      <c r="H3118" t="inlineStr">
        <is>
          <t>Cash on Delivery</t>
        </is>
      </c>
      <c r="I3118" t="inlineStr">
        <is>
          <t>Delivered</t>
        </is>
      </c>
      <c r="J3118" t="n">
        <v>118</v>
      </c>
      <c r="K3118" t="n">
        <v>1</v>
      </c>
      <c r="L3118" t="n">
        <v>944</v>
      </c>
      <c r="M3118" t="n">
        <v>0</v>
      </c>
      <c r="N3118">
        <f>VLOOKUP(J3118,Products!$A$2:$C$49,3,FALSE)</f>
        <v/>
      </c>
      <c r="O3118">
        <f>K3118*L3118-M3118</f>
        <v/>
      </c>
      <c r="P3118">
        <f>TEXT(B3118,"yyyy-mm")</f>
        <v/>
      </c>
      <c r="Q3118">
        <f>IF(O3118&gt;=3000,"Large","Small")</f>
        <v/>
      </c>
      <c r="R3118">
        <f>INDEX(Products!$F$2:$F$49,MATCH(J3118,Products!$A$2:$A$49,0))</f>
        <v/>
      </c>
      <c r="S3118">
        <f>WEEKDAY(B3118,2)</f>
        <v/>
      </c>
    </row>
    <row r="3119">
      <c r="A3119" t="n">
        <v>511030</v>
      </c>
      <c r="B3119" s="6" t="n">
        <v>45984</v>
      </c>
      <c r="C3119" t="n">
        <v>17214</v>
      </c>
      <c r="D3119" t="inlineStr">
        <is>
          <t>Delhi</t>
        </is>
      </c>
      <c r="E3119" t="inlineStr">
        <is>
          <t>North</t>
        </is>
      </c>
      <c r="F3119" t="inlineStr">
        <is>
          <t>Paid Social</t>
        </is>
      </c>
      <c r="G3119" t="inlineStr">
        <is>
          <t>Mobile Web</t>
        </is>
      </c>
      <c r="H3119" t="inlineStr">
        <is>
          <t>UPI</t>
        </is>
      </c>
      <c r="I3119" t="inlineStr">
        <is>
          <t>Delivered</t>
        </is>
      </c>
      <c r="J3119" t="n">
        <v>111</v>
      </c>
      <c r="K3119" t="n">
        <v>1</v>
      </c>
      <c r="L3119" t="n">
        <v>524</v>
      </c>
      <c r="M3119" t="n">
        <v>0</v>
      </c>
      <c r="N3119">
        <f>VLOOKUP(J3119,Products!$A$2:$C$49,3,FALSE)</f>
        <v/>
      </c>
      <c r="O3119">
        <f>K3119*L3119-M3119</f>
        <v/>
      </c>
      <c r="P3119">
        <f>TEXT(B3119,"yyyy-mm")</f>
        <v/>
      </c>
      <c r="Q3119">
        <f>IF(O3119&gt;=3000,"Large","Small")</f>
        <v/>
      </c>
      <c r="R3119">
        <f>INDEX(Products!$F$2:$F$49,MATCH(J3119,Products!$A$2:$A$49,0))</f>
        <v/>
      </c>
      <c r="S3119">
        <f>WEEKDAY(B3119,2)</f>
        <v/>
      </c>
    </row>
    <row r="3120">
      <c r="A3120" t="n">
        <v>511031</v>
      </c>
      <c r="B3120" s="6" t="n">
        <v>45984</v>
      </c>
      <c r="C3120" t="n">
        <v>17357</v>
      </c>
      <c r="D3120" t="inlineStr">
        <is>
          <t>Delhi</t>
        </is>
      </c>
      <c r="E3120" t="inlineStr">
        <is>
          <t>North</t>
        </is>
      </c>
      <c r="F3120" t="inlineStr">
        <is>
          <t>Email</t>
        </is>
      </c>
      <c r="G3120" t="inlineStr">
        <is>
          <t>Mobile Web</t>
        </is>
      </c>
      <c r="H3120" t="inlineStr">
        <is>
          <t>UPI</t>
        </is>
      </c>
      <c r="I3120" t="inlineStr">
        <is>
          <t>Returned</t>
        </is>
      </c>
      <c r="J3120" t="n">
        <v>113</v>
      </c>
      <c r="K3120" t="n">
        <v>2</v>
      </c>
      <c r="L3120" t="n">
        <v>1364</v>
      </c>
      <c r="M3120" t="n">
        <v>409.2</v>
      </c>
      <c r="N3120">
        <f>VLOOKUP(J3120,Products!$A$2:$C$49,3,FALSE)</f>
        <v/>
      </c>
      <c r="O3120">
        <f>K3120*L3120-M3120</f>
        <v/>
      </c>
      <c r="P3120">
        <f>TEXT(B3120,"yyyy-mm")</f>
        <v/>
      </c>
      <c r="Q3120">
        <f>IF(O3120&gt;=3000,"Large","Small")</f>
        <v/>
      </c>
      <c r="R3120">
        <f>INDEX(Products!$F$2:$F$49,MATCH(J3120,Products!$A$2:$A$49,0))</f>
        <v/>
      </c>
      <c r="S3120">
        <f>WEEKDAY(B3120,2)</f>
        <v/>
      </c>
    </row>
    <row r="3121">
      <c r="A3121" t="n">
        <v>511032</v>
      </c>
      <c r="B3121" s="6" t="n">
        <v>45984</v>
      </c>
      <c r="C3121" t="n">
        <v>17464</v>
      </c>
      <c r="D3121" t="inlineStr">
        <is>
          <t>Delhi</t>
        </is>
      </c>
      <c r="E3121" t="inlineStr">
        <is>
          <t>North</t>
        </is>
      </c>
      <c r="F3121" t="inlineStr">
        <is>
          <t>Paid Social</t>
        </is>
      </c>
      <c r="G3121" t="inlineStr">
        <is>
          <t>Mobile App</t>
        </is>
      </c>
      <c r="H3121" t="inlineStr">
        <is>
          <t>Net Banking</t>
        </is>
      </c>
      <c r="I3121" t="inlineStr">
        <is>
          <t>Delivered</t>
        </is>
      </c>
      <c r="J3121" t="n">
        <v>113</v>
      </c>
      <c r="K3121" t="n">
        <v>3</v>
      </c>
      <c r="L3121" t="n">
        <v>1364</v>
      </c>
      <c r="M3121" t="n">
        <v>0</v>
      </c>
      <c r="N3121">
        <f>VLOOKUP(J3121,Products!$A$2:$C$49,3,FALSE)</f>
        <v/>
      </c>
      <c r="O3121">
        <f>K3121*L3121-M3121</f>
        <v/>
      </c>
      <c r="P3121">
        <f>TEXT(B3121,"yyyy-mm")</f>
        <v/>
      </c>
      <c r="Q3121">
        <f>IF(O3121&gt;=3000,"Large","Small")</f>
        <v/>
      </c>
      <c r="R3121">
        <f>INDEX(Products!$F$2:$F$49,MATCH(J3121,Products!$A$2:$A$49,0))</f>
        <v/>
      </c>
      <c r="S3121">
        <f>WEEKDAY(B3121,2)</f>
        <v/>
      </c>
    </row>
    <row r="3122">
      <c r="A3122" t="n">
        <v>511032</v>
      </c>
      <c r="B3122" s="6" t="n">
        <v>45984</v>
      </c>
      <c r="C3122" t="n">
        <v>17464</v>
      </c>
      <c r="D3122" t="inlineStr">
        <is>
          <t>Delhi</t>
        </is>
      </c>
      <c r="E3122" t="inlineStr">
        <is>
          <t>North</t>
        </is>
      </c>
      <c r="F3122" t="inlineStr">
        <is>
          <t>Paid Social</t>
        </is>
      </c>
      <c r="G3122" t="inlineStr">
        <is>
          <t>Mobile App</t>
        </is>
      </c>
      <c r="H3122" t="inlineStr">
        <is>
          <t>Net Banking</t>
        </is>
      </c>
      <c r="I3122" t="inlineStr">
        <is>
          <t>Delivered</t>
        </is>
      </c>
      <c r="J3122" t="n">
        <v>124</v>
      </c>
      <c r="K3122" t="n">
        <v>1</v>
      </c>
      <c r="L3122" t="n">
        <v>1154</v>
      </c>
      <c r="M3122" t="n">
        <v>0</v>
      </c>
      <c r="N3122">
        <f>VLOOKUP(J3122,Products!$A$2:$C$49,3,FALSE)</f>
        <v/>
      </c>
      <c r="O3122">
        <f>K3122*L3122-M3122</f>
        <v/>
      </c>
      <c r="P3122">
        <f>TEXT(B3122,"yyyy-mm")</f>
        <v/>
      </c>
      <c r="Q3122">
        <f>IF(O3122&gt;=3000,"Large","Small")</f>
        <v/>
      </c>
      <c r="R3122">
        <f>INDEX(Products!$F$2:$F$49,MATCH(J3122,Products!$A$2:$A$49,0))</f>
        <v/>
      </c>
      <c r="S3122">
        <f>WEEKDAY(B3122,2)</f>
        <v/>
      </c>
    </row>
    <row r="3123">
      <c r="A3123" t="n">
        <v>511033</v>
      </c>
      <c r="B3123" s="6" t="n">
        <v>45984</v>
      </c>
      <c r="C3123" t="n">
        <v>17467</v>
      </c>
      <c r="D3123" t="inlineStr">
        <is>
          <t>Indore</t>
        </is>
      </c>
      <c r="E3123" t="inlineStr">
        <is>
          <t>West</t>
        </is>
      </c>
      <c r="F3123" t="inlineStr">
        <is>
          <t>Organic Search</t>
        </is>
      </c>
      <c r="G3123" t="inlineStr">
        <is>
          <t>Mobile App</t>
        </is>
      </c>
      <c r="H3123" t="inlineStr">
        <is>
          <t>Cash on Delivery</t>
        </is>
      </c>
      <c r="I3123" t="inlineStr">
        <is>
          <t>Cancelled</t>
        </is>
      </c>
      <c r="J3123" t="n">
        <v>109</v>
      </c>
      <c r="K3123" t="n">
        <v>1</v>
      </c>
      <c r="L3123" t="n">
        <v>4199</v>
      </c>
      <c r="M3123" t="n">
        <v>0</v>
      </c>
      <c r="N3123">
        <f>VLOOKUP(J3123,Products!$A$2:$C$49,3,FALSE)</f>
        <v/>
      </c>
      <c r="O3123">
        <f>K3123*L3123-M3123</f>
        <v/>
      </c>
      <c r="P3123">
        <f>TEXT(B3123,"yyyy-mm")</f>
        <v/>
      </c>
      <c r="Q3123">
        <f>IF(O3123&gt;=3000,"Large","Small")</f>
        <v/>
      </c>
      <c r="R3123">
        <f>INDEX(Products!$F$2:$F$49,MATCH(J3123,Products!$A$2:$A$49,0))</f>
        <v/>
      </c>
      <c r="S3123">
        <f>WEEKDAY(B3123,2)</f>
        <v/>
      </c>
    </row>
    <row r="3124">
      <c r="A3124" t="n">
        <v>511034</v>
      </c>
      <c r="B3124" s="6" t="n">
        <v>45984</v>
      </c>
      <c r="C3124" t="n">
        <v>13854</v>
      </c>
      <c r="D3124" t="inlineStr">
        <is>
          <t>Lucknow</t>
        </is>
      </c>
      <c r="E3124" t="inlineStr">
        <is>
          <t>North</t>
        </is>
      </c>
      <c r="F3124" t="inlineStr">
        <is>
          <t>Referral</t>
        </is>
      </c>
      <c r="G3124" t="inlineStr">
        <is>
          <t>Desktop</t>
        </is>
      </c>
      <c r="H3124" t="inlineStr">
        <is>
          <t>UPI</t>
        </is>
      </c>
      <c r="I3124" t="inlineStr">
        <is>
          <t>Delivered</t>
        </is>
      </c>
      <c r="J3124" t="n">
        <v>118</v>
      </c>
      <c r="K3124" t="n">
        <v>2</v>
      </c>
      <c r="L3124" t="n">
        <v>944</v>
      </c>
      <c r="M3124" t="n">
        <v>0</v>
      </c>
      <c r="N3124">
        <f>VLOOKUP(J3124,Products!$A$2:$C$49,3,FALSE)</f>
        <v/>
      </c>
      <c r="O3124">
        <f>K3124*L3124-M3124</f>
        <v/>
      </c>
      <c r="P3124">
        <f>TEXT(B3124,"yyyy-mm")</f>
        <v/>
      </c>
      <c r="Q3124">
        <f>IF(O3124&gt;=3000,"Large","Small")</f>
        <v/>
      </c>
      <c r="R3124">
        <f>INDEX(Products!$F$2:$F$49,MATCH(J3124,Products!$A$2:$A$49,0))</f>
        <v/>
      </c>
      <c r="S3124">
        <f>WEEKDAY(B3124,2)</f>
        <v/>
      </c>
    </row>
    <row r="3125">
      <c r="A3125" t="n">
        <v>511035</v>
      </c>
      <c r="B3125" s="6" t="n">
        <v>45984</v>
      </c>
      <c r="C3125" t="n">
        <v>17470</v>
      </c>
      <c r="D3125" t="inlineStr">
        <is>
          <t>Ahmedabad</t>
        </is>
      </c>
      <c r="E3125" t="inlineStr">
        <is>
          <t>West</t>
        </is>
      </c>
      <c r="F3125" t="inlineStr">
        <is>
          <t>Referral</t>
        </is>
      </c>
      <c r="G3125" t="inlineStr">
        <is>
          <t>Mobile App</t>
        </is>
      </c>
      <c r="H3125" t="inlineStr">
        <is>
          <t>Net Banking</t>
        </is>
      </c>
      <c r="I3125" t="inlineStr">
        <is>
          <t>Delivered</t>
        </is>
      </c>
      <c r="J3125" t="n">
        <v>113</v>
      </c>
      <c r="K3125" t="n">
        <v>2</v>
      </c>
      <c r="L3125" t="n">
        <v>1364</v>
      </c>
      <c r="M3125" t="n">
        <v>409.2</v>
      </c>
      <c r="N3125">
        <f>VLOOKUP(J3125,Products!$A$2:$C$49,3,FALSE)</f>
        <v/>
      </c>
      <c r="O3125">
        <f>K3125*L3125-M3125</f>
        <v/>
      </c>
      <c r="P3125">
        <f>TEXT(B3125,"yyyy-mm")</f>
        <v/>
      </c>
      <c r="Q3125">
        <f>IF(O3125&gt;=3000,"Large","Small")</f>
        <v/>
      </c>
      <c r="R3125">
        <f>INDEX(Products!$F$2:$F$49,MATCH(J3125,Products!$A$2:$A$49,0))</f>
        <v/>
      </c>
      <c r="S3125">
        <f>WEEKDAY(B3125,2)</f>
        <v/>
      </c>
    </row>
    <row r="3126">
      <c r="A3126" t="n">
        <v>511036</v>
      </c>
      <c r="B3126" s="6" t="n">
        <v>45984</v>
      </c>
      <c r="C3126" t="n">
        <v>13796</v>
      </c>
      <c r="D3126" t="inlineStr">
        <is>
          <t>Bengaluru</t>
        </is>
      </c>
      <c r="E3126" t="inlineStr">
        <is>
          <t>South</t>
        </is>
      </c>
      <c r="F3126" t="inlineStr">
        <is>
          <t>Paid Search</t>
        </is>
      </c>
      <c r="G3126" t="inlineStr">
        <is>
          <t>Mobile App</t>
        </is>
      </c>
      <c r="H3126" t="inlineStr">
        <is>
          <t>Credit Card</t>
        </is>
      </c>
      <c r="I3126" t="inlineStr">
        <is>
          <t>Delivered</t>
        </is>
      </c>
      <c r="J3126" t="n">
        <v>147</v>
      </c>
      <c r="K3126" t="n">
        <v>1</v>
      </c>
      <c r="L3126" t="n">
        <v>1364</v>
      </c>
      <c r="M3126" t="n">
        <v>0</v>
      </c>
      <c r="N3126">
        <f>VLOOKUP(J3126,Products!$A$2:$C$49,3,FALSE)</f>
        <v/>
      </c>
      <c r="O3126">
        <f>K3126*L3126-M3126</f>
        <v/>
      </c>
      <c r="P3126">
        <f>TEXT(B3126,"yyyy-mm")</f>
        <v/>
      </c>
      <c r="Q3126">
        <f>IF(O3126&gt;=3000,"Large","Small")</f>
        <v/>
      </c>
      <c r="R3126">
        <f>INDEX(Products!$F$2:$F$49,MATCH(J3126,Products!$A$2:$A$49,0))</f>
        <v/>
      </c>
      <c r="S3126">
        <f>WEEKDAY(B3126,2)</f>
        <v/>
      </c>
    </row>
    <row r="3127">
      <c r="A3127" t="n">
        <v>511036</v>
      </c>
      <c r="B3127" s="6" t="n">
        <v>45984</v>
      </c>
      <c r="C3127" t="n">
        <v>13796</v>
      </c>
      <c r="D3127" t="inlineStr">
        <is>
          <t>Bengaluru</t>
        </is>
      </c>
      <c r="E3127" t="inlineStr">
        <is>
          <t>South</t>
        </is>
      </c>
      <c r="F3127" t="inlineStr">
        <is>
          <t>Paid Search</t>
        </is>
      </c>
      <c r="G3127" t="inlineStr">
        <is>
          <t>Mobile App</t>
        </is>
      </c>
      <c r="H3127" t="inlineStr">
        <is>
          <t>Credit Card</t>
        </is>
      </c>
      <c r="I3127" t="inlineStr">
        <is>
          <t>Delivered</t>
        </is>
      </c>
      <c r="J3127" t="n">
        <v>130</v>
      </c>
      <c r="K3127" t="n">
        <v>1</v>
      </c>
      <c r="L3127" t="n">
        <v>734</v>
      </c>
      <c r="M3127" t="n">
        <v>0</v>
      </c>
      <c r="N3127">
        <f>VLOOKUP(J3127,Products!$A$2:$C$49,3,FALSE)</f>
        <v/>
      </c>
      <c r="O3127">
        <f>K3127*L3127-M3127</f>
        <v/>
      </c>
      <c r="P3127">
        <f>TEXT(B3127,"yyyy-mm")</f>
        <v/>
      </c>
      <c r="Q3127">
        <f>IF(O3127&gt;=3000,"Large","Small")</f>
        <v/>
      </c>
      <c r="R3127">
        <f>INDEX(Products!$F$2:$F$49,MATCH(J3127,Products!$A$2:$A$49,0))</f>
        <v/>
      </c>
      <c r="S3127">
        <f>WEEKDAY(B3127,2)</f>
        <v/>
      </c>
    </row>
    <row r="3128">
      <c r="A3128" t="n">
        <v>511036</v>
      </c>
      <c r="B3128" s="6" t="n">
        <v>45984</v>
      </c>
      <c r="C3128" t="n">
        <v>13796</v>
      </c>
      <c r="D3128" t="inlineStr">
        <is>
          <t>Bengaluru</t>
        </is>
      </c>
      <c r="E3128" t="inlineStr">
        <is>
          <t>South</t>
        </is>
      </c>
      <c r="F3128" t="inlineStr">
        <is>
          <t>Paid Search</t>
        </is>
      </c>
      <c r="G3128" t="inlineStr">
        <is>
          <t>Mobile App</t>
        </is>
      </c>
      <c r="H3128" t="inlineStr">
        <is>
          <t>Credit Card</t>
        </is>
      </c>
      <c r="I3128" t="inlineStr">
        <is>
          <t>Delivered</t>
        </is>
      </c>
      <c r="J3128" t="n">
        <v>108</v>
      </c>
      <c r="K3128" t="n">
        <v>1</v>
      </c>
      <c r="L3128" t="n">
        <v>419</v>
      </c>
      <c r="M3128" t="n">
        <v>0</v>
      </c>
      <c r="N3128">
        <f>VLOOKUP(J3128,Products!$A$2:$C$49,3,FALSE)</f>
        <v/>
      </c>
      <c r="O3128">
        <f>K3128*L3128-M3128</f>
        <v/>
      </c>
      <c r="P3128">
        <f>TEXT(B3128,"yyyy-mm")</f>
        <v/>
      </c>
      <c r="Q3128">
        <f>IF(O3128&gt;=3000,"Large","Small")</f>
        <v/>
      </c>
      <c r="R3128">
        <f>INDEX(Products!$F$2:$F$49,MATCH(J3128,Products!$A$2:$A$49,0))</f>
        <v/>
      </c>
      <c r="S3128">
        <f>WEEKDAY(B3128,2)</f>
        <v/>
      </c>
    </row>
    <row r="3129">
      <c r="A3129" t="n">
        <v>511036</v>
      </c>
      <c r="B3129" s="6" t="n">
        <v>45984</v>
      </c>
      <c r="C3129" t="n">
        <v>13796</v>
      </c>
      <c r="D3129" t="inlineStr">
        <is>
          <t>Bengaluru</t>
        </is>
      </c>
      <c r="E3129" t="inlineStr">
        <is>
          <t>South</t>
        </is>
      </c>
      <c r="F3129" t="inlineStr">
        <is>
          <t>Paid Search</t>
        </is>
      </c>
      <c r="G3129" t="inlineStr">
        <is>
          <t>Mobile App</t>
        </is>
      </c>
      <c r="H3129" t="inlineStr">
        <is>
          <t>Credit Card</t>
        </is>
      </c>
      <c r="I3129" t="inlineStr">
        <is>
          <t>Delivered</t>
        </is>
      </c>
      <c r="J3129" t="n">
        <v>132</v>
      </c>
      <c r="K3129" t="n">
        <v>1</v>
      </c>
      <c r="L3129" t="n">
        <v>471</v>
      </c>
      <c r="M3129" t="n">
        <v>0</v>
      </c>
      <c r="N3129">
        <f>VLOOKUP(J3129,Products!$A$2:$C$49,3,FALSE)</f>
        <v/>
      </c>
      <c r="O3129">
        <f>K3129*L3129-M3129</f>
        <v/>
      </c>
      <c r="P3129">
        <f>TEXT(B3129,"yyyy-mm")</f>
        <v/>
      </c>
      <c r="Q3129">
        <f>IF(O3129&gt;=3000,"Large","Small")</f>
        <v/>
      </c>
      <c r="R3129">
        <f>INDEX(Products!$F$2:$F$49,MATCH(J3129,Products!$A$2:$A$49,0))</f>
        <v/>
      </c>
      <c r="S3129">
        <f>WEEKDAY(B3129,2)</f>
        <v/>
      </c>
    </row>
    <row r="3130">
      <c r="A3130" t="n">
        <v>511037</v>
      </c>
      <c r="B3130" s="6" t="n">
        <v>45985</v>
      </c>
      <c r="C3130" t="n">
        <v>15679</v>
      </c>
      <c r="D3130" t="inlineStr">
        <is>
          <t>Indore</t>
        </is>
      </c>
      <c r="E3130" t="inlineStr">
        <is>
          <t>West</t>
        </is>
      </c>
      <c r="F3130" t="inlineStr">
        <is>
          <t>Paid Search</t>
        </is>
      </c>
      <c r="G3130" t="inlineStr">
        <is>
          <t>Mobile App</t>
        </is>
      </c>
      <c r="H3130" t="inlineStr">
        <is>
          <t>Net Banking</t>
        </is>
      </c>
      <c r="I3130" t="inlineStr">
        <is>
          <t>Delivered</t>
        </is>
      </c>
      <c r="J3130" t="n">
        <v>106</v>
      </c>
      <c r="K3130" t="n">
        <v>1</v>
      </c>
      <c r="L3130" t="n">
        <v>1574</v>
      </c>
      <c r="M3130" t="n">
        <v>0</v>
      </c>
      <c r="N3130">
        <f>VLOOKUP(J3130,Products!$A$2:$C$49,3,FALSE)</f>
        <v/>
      </c>
      <c r="O3130">
        <f>K3130*L3130-M3130</f>
        <v/>
      </c>
      <c r="P3130">
        <f>TEXT(B3130,"yyyy-mm")</f>
        <v/>
      </c>
      <c r="Q3130">
        <f>IF(O3130&gt;=3000,"Large","Small")</f>
        <v/>
      </c>
      <c r="R3130">
        <f>INDEX(Products!$F$2:$F$49,MATCH(J3130,Products!$A$2:$A$49,0))</f>
        <v/>
      </c>
      <c r="S3130">
        <f>WEEKDAY(B3130,2)</f>
        <v/>
      </c>
    </row>
    <row r="3131">
      <c r="A3131" t="n">
        <v>511037</v>
      </c>
      <c r="B3131" s="6" t="n">
        <v>45985</v>
      </c>
      <c r="C3131" t="n">
        <v>15679</v>
      </c>
      <c r="D3131" t="inlineStr">
        <is>
          <t>Indore</t>
        </is>
      </c>
      <c r="E3131" t="inlineStr">
        <is>
          <t>West</t>
        </is>
      </c>
      <c r="F3131" t="inlineStr">
        <is>
          <t>Paid Search</t>
        </is>
      </c>
      <c r="G3131" t="inlineStr">
        <is>
          <t>Mobile App</t>
        </is>
      </c>
      <c r="H3131" t="inlineStr">
        <is>
          <t>Net Banking</t>
        </is>
      </c>
      <c r="I3131" t="inlineStr">
        <is>
          <t>Delivered</t>
        </is>
      </c>
      <c r="J3131" t="n">
        <v>137</v>
      </c>
      <c r="K3131" t="n">
        <v>1</v>
      </c>
      <c r="L3131" t="n">
        <v>261</v>
      </c>
      <c r="M3131" t="n">
        <v>0</v>
      </c>
      <c r="N3131">
        <f>VLOOKUP(J3131,Products!$A$2:$C$49,3,FALSE)</f>
        <v/>
      </c>
      <c r="O3131">
        <f>K3131*L3131-M3131</f>
        <v/>
      </c>
      <c r="P3131">
        <f>TEXT(B3131,"yyyy-mm")</f>
        <v/>
      </c>
      <c r="Q3131">
        <f>IF(O3131&gt;=3000,"Large","Small")</f>
        <v/>
      </c>
      <c r="R3131">
        <f>INDEX(Products!$F$2:$F$49,MATCH(J3131,Products!$A$2:$A$49,0))</f>
        <v/>
      </c>
      <c r="S3131">
        <f>WEEKDAY(B3131,2)</f>
        <v/>
      </c>
    </row>
    <row r="3132">
      <c r="A3132" t="n">
        <v>511038</v>
      </c>
      <c r="B3132" s="6" t="n">
        <v>45985</v>
      </c>
      <c r="C3132" t="n">
        <v>17169</v>
      </c>
      <c r="D3132" t="inlineStr">
        <is>
          <t>Kochi</t>
        </is>
      </c>
      <c r="E3132" t="inlineStr">
        <is>
          <t>South</t>
        </is>
      </c>
      <c r="F3132" t="inlineStr">
        <is>
          <t>Referral</t>
        </is>
      </c>
      <c r="G3132" t="inlineStr">
        <is>
          <t>Mobile App</t>
        </is>
      </c>
      <c r="H3132" t="inlineStr">
        <is>
          <t>UPI</t>
        </is>
      </c>
      <c r="I3132" t="inlineStr">
        <is>
          <t>Delivered</t>
        </is>
      </c>
      <c r="J3132" t="n">
        <v>123</v>
      </c>
      <c r="K3132" t="n">
        <v>1</v>
      </c>
      <c r="L3132" t="n">
        <v>3464</v>
      </c>
      <c r="M3132" t="n">
        <v>0</v>
      </c>
      <c r="N3132">
        <f>VLOOKUP(J3132,Products!$A$2:$C$49,3,FALSE)</f>
        <v/>
      </c>
      <c r="O3132">
        <f>K3132*L3132-M3132</f>
        <v/>
      </c>
      <c r="P3132">
        <f>TEXT(B3132,"yyyy-mm")</f>
        <v/>
      </c>
      <c r="Q3132">
        <f>IF(O3132&gt;=3000,"Large","Small")</f>
        <v/>
      </c>
      <c r="R3132">
        <f>INDEX(Products!$F$2:$F$49,MATCH(J3132,Products!$A$2:$A$49,0))</f>
        <v/>
      </c>
      <c r="S3132">
        <f>WEEKDAY(B3132,2)</f>
        <v/>
      </c>
    </row>
    <row r="3133">
      <c r="A3133" t="n">
        <v>511038</v>
      </c>
      <c r="B3133" s="6" t="n">
        <v>45985</v>
      </c>
      <c r="C3133" t="n">
        <v>17169</v>
      </c>
      <c r="D3133" t="inlineStr">
        <is>
          <t>Kochi</t>
        </is>
      </c>
      <c r="E3133" t="inlineStr">
        <is>
          <t>South</t>
        </is>
      </c>
      <c r="F3133" t="inlineStr">
        <is>
          <t>Referral</t>
        </is>
      </c>
      <c r="G3133" t="inlineStr">
        <is>
          <t>Mobile App</t>
        </is>
      </c>
      <c r="H3133" t="inlineStr">
        <is>
          <t>UPI</t>
        </is>
      </c>
      <c r="I3133" t="inlineStr">
        <is>
          <t>Delivered</t>
        </is>
      </c>
      <c r="J3133" t="n">
        <v>120</v>
      </c>
      <c r="K3133" t="n">
        <v>1</v>
      </c>
      <c r="L3133" t="n">
        <v>734</v>
      </c>
      <c r="M3133" t="n">
        <v>0</v>
      </c>
      <c r="N3133">
        <f>VLOOKUP(J3133,Products!$A$2:$C$49,3,FALSE)</f>
        <v/>
      </c>
      <c r="O3133">
        <f>K3133*L3133-M3133</f>
        <v/>
      </c>
      <c r="P3133">
        <f>TEXT(B3133,"yyyy-mm")</f>
        <v/>
      </c>
      <c r="Q3133">
        <f>IF(O3133&gt;=3000,"Large","Small")</f>
        <v/>
      </c>
      <c r="R3133">
        <f>INDEX(Products!$F$2:$F$49,MATCH(J3133,Products!$A$2:$A$49,0))</f>
        <v/>
      </c>
      <c r="S3133">
        <f>WEEKDAY(B3133,2)</f>
        <v/>
      </c>
    </row>
    <row r="3134">
      <c r="A3134" t="n">
        <v>511039</v>
      </c>
      <c r="B3134" s="6" t="n">
        <v>45985</v>
      </c>
      <c r="C3134" t="n">
        <v>15907</v>
      </c>
      <c r="D3134" t="inlineStr">
        <is>
          <t>Hyderabad</t>
        </is>
      </c>
      <c r="E3134" t="inlineStr">
        <is>
          <t>South</t>
        </is>
      </c>
      <c r="F3134" t="inlineStr">
        <is>
          <t>Organic Search</t>
        </is>
      </c>
      <c r="G3134" t="inlineStr">
        <is>
          <t>Mobile App</t>
        </is>
      </c>
      <c r="H3134" t="inlineStr">
        <is>
          <t>UPI</t>
        </is>
      </c>
      <c r="I3134" t="inlineStr">
        <is>
          <t>Delivered</t>
        </is>
      </c>
      <c r="J3134" t="n">
        <v>116</v>
      </c>
      <c r="K3134" t="n">
        <v>1</v>
      </c>
      <c r="L3134" t="n">
        <v>2624</v>
      </c>
      <c r="M3134" t="n">
        <v>0</v>
      </c>
      <c r="N3134">
        <f>VLOOKUP(J3134,Products!$A$2:$C$49,3,FALSE)</f>
        <v/>
      </c>
      <c r="O3134">
        <f>K3134*L3134-M3134</f>
        <v/>
      </c>
      <c r="P3134">
        <f>TEXT(B3134,"yyyy-mm")</f>
        <v/>
      </c>
      <c r="Q3134">
        <f>IF(O3134&gt;=3000,"Large","Small")</f>
        <v/>
      </c>
      <c r="R3134">
        <f>INDEX(Products!$F$2:$F$49,MATCH(J3134,Products!$A$2:$A$49,0))</f>
        <v/>
      </c>
      <c r="S3134">
        <f>WEEKDAY(B3134,2)</f>
        <v/>
      </c>
    </row>
    <row r="3135">
      <c r="A3135" t="n">
        <v>511040</v>
      </c>
      <c r="B3135" s="6" t="n">
        <v>45985</v>
      </c>
      <c r="C3135" t="n">
        <v>16742</v>
      </c>
      <c r="D3135" t="inlineStr">
        <is>
          <t>Jaipur</t>
        </is>
      </c>
      <c r="E3135" t="inlineStr">
        <is>
          <t>North</t>
        </is>
      </c>
      <c r="F3135" t="inlineStr">
        <is>
          <t>Email</t>
        </is>
      </c>
      <c r="G3135" t="inlineStr">
        <is>
          <t>Desktop</t>
        </is>
      </c>
      <c r="H3135" t="inlineStr">
        <is>
          <t>UPI</t>
        </is>
      </c>
      <c r="I3135" t="inlineStr">
        <is>
          <t>Delivered</t>
        </is>
      </c>
      <c r="J3135" t="n">
        <v>147</v>
      </c>
      <c r="K3135" t="n">
        <v>1</v>
      </c>
      <c r="L3135" t="n">
        <v>1364</v>
      </c>
      <c r="M3135" t="n">
        <v>68.2</v>
      </c>
      <c r="N3135">
        <f>VLOOKUP(J3135,Products!$A$2:$C$49,3,FALSE)</f>
        <v/>
      </c>
      <c r="O3135">
        <f>K3135*L3135-M3135</f>
        <v/>
      </c>
      <c r="P3135">
        <f>TEXT(B3135,"yyyy-mm")</f>
        <v/>
      </c>
      <c r="Q3135">
        <f>IF(O3135&gt;=3000,"Large","Small")</f>
        <v/>
      </c>
      <c r="R3135">
        <f>INDEX(Products!$F$2:$F$49,MATCH(J3135,Products!$A$2:$A$49,0))</f>
        <v/>
      </c>
      <c r="S3135">
        <f>WEEKDAY(B3135,2)</f>
        <v/>
      </c>
    </row>
    <row r="3136">
      <c r="A3136" t="n">
        <v>511041</v>
      </c>
      <c r="B3136" s="6" t="n">
        <v>45985</v>
      </c>
      <c r="C3136" t="n">
        <v>17386</v>
      </c>
      <c r="D3136" t="inlineStr">
        <is>
          <t>Lucknow</t>
        </is>
      </c>
      <c r="E3136" t="inlineStr">
        <is>
          <t>North</t>
        </is>
      </c>
      <c r="F3136" t="inlineStr">
        <is>
          <t>Referral</t>
        </is>
      </c>
      <c r="G3136" t="inlineStr">
        <is>
          <t>Mobile App</t>
        </is>
      </c>
      <c r="H3136" t="inlineStr">
        <is>
          <t>Debit Card</t>
        </is>
      </c>
      <c r="I3136" t="inlineStr">
        <is>
          <t>Delivered</t>
        </is>
      </c>
      <c r="J3136" t="n">
        <v>138</v>
      </c>
      <c r="K3136" t="n">
        <v>3</v>
      </c>
      <c r="L3136" t="n">
        <v>419</v>
      </c>
      <c r="M3136" t="n">
        <v>0</v>
      </c>
      <c r="N3136">
        <f>VLOOKUP(J3136,Products!$A$2:$C$49,3,FALSE)</f>
        <v/>
      </c>
      <c r="O3136">
        <f>K3136*L3136-M3136</f>
        <v/>
      </c>
      <c r="P3136">
        <f>TEXT(B3136,"yyyy-mm")</f>
        <v/>
      </c>
      <c r="Q3136">
        <f>IF(O3136&gt;=3000,"Large","Small")</f>
        <v/>
      </c>
      <c r="R3136">
        <f>INDEX(Products!$F$2:$F$49,MATCH(J3136,Products!$A$2:$A$49,0))</f>
        <v/>
      </c>
      <c r="S3136">
        <f>WEEKDAY(B3136,2)</f>
        <v/>
      </c>
    </row>
    <row r="3137">
      <c r="A3137" t="n">
        <v>511041</v>
      </c>
      <c r="B3137" s="6" t="n">
        <v>45985</v>
      </c>
      <c r="C3137" t="n">
        <v>17386</v>
      </c>
      <c r="D3137" t="inlineStr">
        <is>
          <t>Lucknow</t>
        </is>
      </c>
      <c r="E3137" t="inlineStr">
        <is>
          <t>North</t>
        </is>
      </c>
      <c r="F3137" t="inlineStr">
        <is>
          <t>Referral</t>
        </is>
      </c>
      <c r="G3137" t="inlineStr">
        <is>
          <t>Mobile App</t>
        </is>
      </c>
      <c r="H3137" t="inlineStr">
        <is>
          <t>Debit Card</t>
        </is>
      </c>
      <c r="I3137" t="inlineStr">
        <is>
          <t>Delivered</t>
        </is>
      </c>
      <c r="J3137" t="n">
        <v>108</v>
      </c>
      <c r="K3137" t="n">
        <v>1</v>
      </c>
      <c r="L3137" t="n">
        <v>419</v>
      </c>
      <c r="M3137" t="n">
        <v>0</v>
      </c>
      <c r="N3137">
        <f>VLOOKUP(J3137,Products!$A$2:$C$49,3,FALSE)</f>
        <v/>
      </c>
      <c r="O3137">
        <f>K3137*L3137-M3137</f>
        <v/>
      </c>
      <c r="P3137">
        <f>TEXT(B3137,"yyyy-mm")</f>
        <v/>
      </c>
      <c r="Q3137">
        <f>IF(O3137&gt;=3000,"Large","Small")</f>
        <v/>
      </c>
      <c r="R3137">
        <f>INDEX(Products!$F$2:$F$49,MATCH(J3137,Products!$A$2:$A$49,0))</f>
        <v/>
      </c>
      <c r="S3137">
        <f>WEEKDAY(B3137,2)</f>
        <v/>
      </c>
    </row>
    <row r="3138">
      <c r="A3138" t="n">
        <v>511042</v>
      </c>
      <c r="B3138" s="6" t="n">
        <v>45985</v>
      </c>
      <c r="C3138" t="n">
        <v>17410</v>
      </c>
      <c r="D3138" t="inlineStr">
        <is>
          <t>Kolkata</t>
        </is>
      </c>
      <c r="E3138" t="inlineStr">
        <is>
          <t>East</t>
        </is>
      </c>
      <c r="F3138" t="inlineStr">
        <is>
          <t>Paid Search</t>
        </is>
      </c>
      <c r="G3138" t="inlineStr">
        <is>
          <t>Mobile Web</t>
        </is>
      </c>
      <c r="H3138" t="inlineStr">
        <is>
          <t>UPI</t>
        </is>
      </c>
      <c r="I3138" t="inlineStr">
        <is>
          <t>Returned</t>
        </is>
      </c>
      <c r="J3138" t="n">
        <v>115</v>
      </c>
      <c r="K3138" t="n">
        <v>2</v>
      </c>
      <c r="L3138" t="n">
        <v>4199</v>
      </c>
      <c r="M3138" t="n">
        <v>1259.7</v>
      </c>
      <c r="N3138">
        <f>VLOOKUP(J3138,Products!$A$2:$C$49,3,FALSE)</f>
        <v/>
      </c>
      <c r="O3138">
        <f>K3138*L3138-M3138</f>
        <v/>
      </c>
      <c r="P3138">
        <f>TEXT(B3138,"yyyy-mm")</f>
        <v/>
      </c>
      <c r="Q3138">
        <f>IF(O3138&gt;=3000,"Large","Small")</f>
        <v/>
      </c>
      <c r="R3138">
        <f>INDEX(Products!$F$2:$F$49,MATCH(J3138,Products!$A$2:$A$49,0))</f>
        <v/>
      </c>
      <c r="S3138">
        <f>WEEKDAY(B3138,2)</f>
        <v/>
      </c>
    </row>
    <row r="3139">
      <c r="A3139" t="n">
        <v>511043</v>
      </c>
      <c r="B3139" s="6" t="n">
        <v>45985</v>
      </c>
      <c r="C3139" t="n">
        <v>14056</v>
      </c>
      <c r="D3139" t="inlineStr">
        <is>
          <t>Pune</t>
        </is>
      </c>
      <c r="E3139" t="inlineStr">
        <is>
          <t>West</t>
        </is>
      </c>
      <c r="F3139" t="inlineStr">
        <is>
          <t>Email</t>
        </is>
      </c>
      <c r="G3139" t="inlineStr">
        <is>
          <t>Mobile App</t>
        </is>
      </c>
      <c r="H3139" t="inlineStr">
        <is>
          <t>UPI</t>
        </is>
      </c>
      <c r="I3139" t="inlineStr">
        <is>
          <t>Returned</t>
        </is>
      </c>
      <c r="J3139" t="n">
        <v>118</v>
      </c>
      <c r="K3139" t="n">
        <v>1</v>
      </c>
      <c r="L3139" t="n">
        <v>944</v>
      </c>
      <c r="M3139" t="n">
        <v>0</v>
      </c>
      <c r="N3139">
        <f>VLOOKUP(J3139,Products!$A$2:$C$49,3,FALSE)</f>
        <v/>
      </c>
      <c r="O3139">
        <f>K3139*L3139-M3139</f>
        <v/>
      </c>
      <c r="P3139">
        <f>TEXT(B3139,"yyyy-mm")</f>
        <v/>
      </c>
      <c r="Q3139">
        <f>IF(O3139&gt;=3000,"Large","Small")</f>
        <v/>
      </c>
      <c r="R3139">
        <f>INDEX(Products!$F$2:$F$49,MATCH(J3139,Products!$A$2:$A$49,0))</f>
        <v/>
      </c>
      <c r="S3139">
        <f>WEEKDAY(B3139,2)</f>
        <v/>
      </c>
    </row>
    <row r="3140">
      <c r="A3140" t="n">
        <v>511044</v>
      </c>
      <c r="B3140" s="6" t="n">
        <v>45985</v>
      </c>
      <c r="C3140" t="n">
        <v>17451</v>
      </c>
      <c r="D3140" t="inlineStr">
        <is>
          <t>Kolkata</t>
        </is>
      </c>
      <c r="E3140" t="inlineStr">
        <is>
          <t>East</t>
        </is>
      </c>
      <c r="F3140" t="inlineStr">
        <is>
          <t>Organic Search</t>
        </is>
      </c>
      <c r="G3140" t="inlineStr">
        <is>
          <t>Desktop</t>
        </is>
      </c>
      <c r="H3140" t="inlineStr">
        <is>
          <t>Cash on Delivery</t>
        </is>
      </c>
      <c r="I3140" t="inlineStr">
        <is>
          <t>Delivered</t>
        </is>
      </c>
      <c r="J3140" t="n">
        <v>118</v>
      </c>
      <c r="K3140" t="n">
        <v>1</v>
      </c>
      <c r="L3140" t="n">
        <v>944</v>
      </c>
      <c r="M3140" t="n">
        <v>0</v>
      </c>
      <c r="N3140">
        <f>VLOOKUP(J3140,Products!$A$2:$C$49,3,FALSE)</f>
        <v/>
      </c>
      <c r="O3140">
        <f>K3140*L3140-M3140</f>
        <v/>
      </c>
      <c r="P3140">
        <f>TEXT(B3140,"yyyy-mm")</f>
        <v/>
      </c>
      <c r="Q3140">
        <f>IF(O3140&gt;=3000,"Large","Small")</f>
        <v/>
      </c>
      <c r="R3140">
        <f>INDEX(Products!$F$2:$F$49,MATCH(J3140,Products!$A$2:$A$49,0))</f>
        <v/>
      </c>
      <c r="S3140">
        <f>WEEKDAY(B3140,2)</f>
        <v/>
      </c>
    </row>
    <row r="3141">
      <c r="A3141" t="n">
        <v>511045</v>
      </c>
      <c r="B3141" s="6" t="n">
        <v>45985</v>
      </c>
      <c r="C3141" t="n">
        <v>17427</v>
      </c>
      <c r="D3141" t="inlineStr">
        <is>
          <t>Ahmedabad</t>
        </is>
      </c>
      <c r="E3141" t="inlineStr">
        <is>
          <t>West</t>
        </is>
      </c>
      <c r="F3141" t="inlineStr">
        <is>
          <t>Paid Search</t>
        </is>
      </c>
      <c r="G3141" t="inlineStr">
        <is>
          <t>Mobile App</t>
        </is>
      </c>
      <c r="H3141" t="inlineStr">
        <is>
          <t>Credit Card</t>
        </is>
      </c>
      <c r="I3141" t="inlineStr">
        <is>
          <t>Returned</t>
        </is>
      </c>
      <c r="J3141" t="n">
        <v>111</v>
      </c>
      <c r="K3141" t="n">
        <v>3</v>
      </c>
      <c r="L3141" t="n">
        <v>524</v>
      </c>
      <c r="M3141" t="n">
        <v>235.8</v>
      </c>
      <c r="N3141">
        <f>VLOOKUP(J3141,Products!$A$2:$C$49,3,FALSE)</f>
        <v/>
      </c>
      <c r="O3141">
        <f>K3141*L3141-M3141</f>
        <v/>
      </c>
      <c r="P3141">
        <f>TEXT(B3141,"yyyy-mm")</f>
        <v/>
      </c>
      <c r="Q3141">
        <f>IF(O3141&gt;=3000,"Large","Small")</f>
        <v/>
      </c>
      <c r="R3141">
        <f>INDEX(Products!$F$2:$F$49,MATCH(J3141,Products!$A$2:$A$49,0))</f>
        <v/>
      </c>
      <c r="S3141">
        <f>WEEKDAY(B3141,2)</f>
        <v/>
      </c>
    </row>
    <row r="3142">
      <c r="A3142" t="n">
        <v>511045</v>
      </c>
      <c r="B3142" s="6" t="n">
        <v>45985</v>
      </c>
      <c r="C3142" t="n">
        <v>17427</v>
      </c>
      <c r="D3142" t="inlineStr">
        <is>
          <t>Ahmedabad</t>
        </is>
      </c>
      <c r="E3142" t="inlineStr">
        <is>
          <t>West</t>
        </is>
      </c>
      <c r="F3142" t="inlineStr">
        <is>
          <t>Paid Search</t>
        </is>
      </c>
      <c r="G3142" t="inlineStr">
        <is>
          <t>Mobile App</t>
        </is>
      </c>
      <c r="H3142" t="inlineStr">
        <is>
          <t>Credit Card</t>
        </is>
      </c>
      <c r="I3142" t="inlineStr">
        <is>
          <t>Returned</t>
        </is>
      </c>
      <c r="J3142" t="n">
        <v>118</v>
      </c>
      <c r="K3142" t="n">
        <v>1</v>
      </c>
      <c r="L3142" t="n">
        <v>944</v>
      </c>
      <c r="M3142" t="n">
        <v>141.6</v>
      </c>
      <c r="N3142">
        <f>VLOOKUP(J3142,Products!$A$2:$C$49,3,FALSE)</f>
        <v/>
      </c>
      <c r="O3142">
        <f>K3142*L3142-M3142</f>
        <v/>
      </c>
      <c r="P3142">
        <f>TEXT(B3142,"yyyy-mm")</f>
        <v/>
      </c>
      <c r="Q3142">
        <f>IF(O3142&gt;=3000,"Large","Small")</f>
        <v/>
      </c>
      <c r="R3142">
        <f>INDEX(Products!$F$2:$F$49,MATCH(J3142,Products!$A$2:$A$49,0))</f>
        <v/>
      </c>
      <c r="S3142">
        <f>WEEKDAY(B3142,2)</f>
        <v/>
      </c>
    </row>
    <row r="3143">
      <c r="A3143" t="n">
        <v>511046</v>
      </c>
      <c r="B3143" s="6" t="n">
        <v>45985</v>
      </c>
      <c r="C3143" t="n">
        <v>17392</v>
      </c>
      <c r="D3143" t="inlineStr">
        <is>
          <t>Bengaluru</t>
        </is>
      </c>
      <c r="E3143" t="inlineStr">
        <is>
          <t>South</t>
        </is>
      </c>
      <c r="F3143" t="inlineStr">
        <is>
          <t>Referral</t>
        </is>
      </c>
      <c r="G3143" t="inlineStr">
        <is>
          <t>Mobile App</t>
        </is>
      </c>
      <c r="H3143" t="inlineStr">
        <is>
          <t>UPI</t>
        </is>
      </c>
      <c r="I3143" t="inlineStr">
        <is>
          <t>Delivered</t>
        </is>
      </c>
      <c r="J3143" t="n">
        <v>135</v>
      </c>
      <c r="K3143" t="n">
        <v>2</v>
      </c>
      <c r="L3143" t="n">
        <v>1574</v>
      </c>
      <c r="M3143" t="n">
        <v>472.2</v>
      </c>
      <c r="N3143">
        <f>VLOOKUP(J3143,Products!$A$2:$C$49,3,FALSE)</f>
        <v/>
      </c>
      <c r="O3143">
        <f>K3143*L3143-M3143</f>
        <v/>
      </c>
      <c r="P3143">
        <f>TEXT(B3143,"yyyy-mm")</f>
        <v/>
      </c>
      <c r="Q3143">
        <f>IF(O3143&gt;=3000,"Large","Small")</f>
        <v/>
      </c>
      <c r="R3143">
        <f>INDEX(Products!$F$2:$F$49,MATCH(J3143,Products!$A$2:$A$49,0))</f>
        <v/>
      </c>
      <c r="S3143">
        <f>WEEKDAY(B3143,2)</f>
        <v/>
      </c>
    </row>
    <row r="3144">
      <c r="A3144" t="n">
        <v>511046</v>
      </c>
      <c r="B3144" s="6" t="n">
        <v>45985</v>
      </c>
      <c r="C3144" t="n">
        <v>17392</v>
      </c>
      <c r="D3144" t="inlineStr">
        <is>
          <t>Bengaluru</t>
        </is>
      </c>
      <c r="E3144" t="inlineStr">
        <is>
          <t>South</t>
        </is>
      </c>
      <c r="F3144" t="inlineStr">
        <is>
          <t>Referral</t>
        </is>
      </c>
      <c r="G3144" t="inlineStr">
        <is>
          <t>Mobile App</t>
        </is>
      </c>
      <c r="H3144" t="inlineStr">
        <is>
          <t>UPI</t>
        </is>
      </c>
      <c r="I3144" t="inlineStr">
        <is>
          <t>Delivered</t>
        </is>
      </c>
      <c r="J3144" t="n">
        <v>102</v>
      </c>
      <c r="K3144" t="n">
        <v>3</v>
      </c>
      <c r="L3144" t="n">
        <v>3674</v>
      </c>
      <c r="M3144" t="n">
        <v>1653.3</v>
      </c>
      <c r="N3144">
        <f>VLOOKUP(J3144,Products!$A$2:$C$49,3,FALSE)</f>
        <v/>
      </c>
      <c r="O3144">
        <f>K3144*L3144-M3144</f>
        <v/>
      </c>
      <c r="P3144">
        <f>TEXT(B3144,"yyyy-mm")</f>
        <v/>
      </c>
      <c r="Q3144">
        <f>IF(O3144&gt;=3000,"Large","Small")</f>
        <v/>
      </c>
      <c r="R3144">
        <f>INDEX(Products!$F$2:$F$49,MATCH(J3144,Products!$A$2:$A$49,0))</f>
        <v/>
      </c>
      <c r="S3144">
        <f>WEEKDAY(B3144,2)</f>
        <v/>
      </c>
    </row>
    <row r="3145">
      <c r="A3145" t="n">
        <v>511047</v>
      </c>
      <c r="B3145" s="6" t="n">
        <v>45985</v>
      </c>
      <c r="C3145" t="n">
        <v>17485</v>
      </c>
      <c r="D3145" t="inlineStr">
        <is>
          <t>Kochi</t>
        </is>
      </c>
      <c r="E3145" t="inlineStr">
        <is>
          <t>South</t>
        </is>
      </c>
      <c r="F3145" t="inlineStr">
        <is>
          <t>Paid Social</t>
        </is>
      </c>
      <c r="G3145" t="inlineStr">
        <is>
          <t>Desktop</t>
        </is>
      </c>
      <c r="H3145" t="inlineStr">
        <is>
          <t>UPI</t>
        </is>
      </c>
      <c r="I3145" t="inlineStr">
        <is>
          <t>Delivered</t>
        </is>
      </c>
      <c r="J3145" t="n">
        <v>134</v>
      </c>
      <c r="K3145" t="n">
        <v>1</v>
      </c>
      <c r="L3145" t="n">
        <v>209</v>
      </c>
      <c r="M3145" t="n">
        <v>31.35</v>
      </c>
      <c r="N3145">
        <f>VLOOKUP(J3145,Products!$A$2:$C$49,3,FALSE)</f>
        <v/>
      </c>
      <c r="O3145">
        <f>K3145*L3145-M3145</f>
        <v/>
      </c>
      <c r="P3145">
        <f>TEXT(B3145,"yyyy-mm")</f>
        <v/>
      </c>
      <c r="Q3145">
        <f>IF(O3145&gt;=3000,"Large","Small")</f>
        <v/>
      </c>
      <c r="R3145">
        <f>INDEX(Products!$F$2:$F$49,MATCH(J3145,Products!$A$2:$A$49,0))</f>
        <v/>
      </c>
      <c r="S3145">
        <f>WEEKDAY(B3145,2)</f>
        <v/>
      </c>
    </row>
    <row r="3146">
      <c r="A3146" t="n">
        <v>511047</v>
      </c>
      <c r="B3146" s="6" t="n">
        <v>45985</v>
      </c>
      <c r="C3146" t="n">
        <v>17485</v>
      </c>
      <c r="D3146" t="inlineStr">
        <is>
          <t>Kochi</t>
        </is>
      </c>
      <c r="E3146" t="inlineStr">
        <is>
          <t>South</t>
        </is>
      </c>
      <c r="F3146" t="inlineStr">
        <is>
          <t>Paid Social</t>
        </is>
      </c>
      <c r="G3146" t="inlineStr">
        <is>
          <t>Desktop</t>
        </is>
      </c>
      <c r="H3146" t="inlineStr">
        <is>
          <t>UPI</t>
        </is>
      </c>
      <c r="I3146" t="inlineStr">
        <is>
          <t>Delivered</t>
        </is>
      </c>
      <c r="J3146" t="n">
        <v>104</v>
      </c>
      <c r="K3146" t="n">
        <v>1</v>
      </c>
      <c r="L3146" t="n">
        <v>5249</v>
      </c>
      <c r="M3146" t="n">
        <v>787.35</v>
      </c>
      <c r="N3146">
        <f>VLOOKUP(J3146,Products!$A$2:$C$49,3,FALSE)</f>
        <v/>
      </c>
      <c r="O3146">
        <f>K3146*L3146-M3146</f>
        <v/>
      </c>
      <c r="P3146">
        <f>TEXT(B3146,"yyyy-mm")</f>
        <v/>
      </c>
      <c r="Q3146">
        <f>IF(O3146&gt;=3000,"Large","Small")</f>
        <v/>
      </c>
      <c r="R3146">
        <f>INDEX(Products!$F$2:$F$49,MATCH(J3146,Products!$A$2:$A$49,0))</f>
        <v/>
      </c>
      <c r="S3146">
        <f>WEEKDAY(B3146,2)</f>
        <v/>
      </c>
    </row>
    <row r="3147">
      <c r="A3147" t="n">
        <v>511048</v>
      </c>
      <c r="B3147" s="6" t="n">
        <v>45985</v>
      </c>
      <c r="C3147" t="n">
        <v>16405</v>
      </c>
      <c r="D3147" t="inlineStr">
        <is>
          <t>Hyderabad</t>
        </is>
      </c>
      <c r="E3147" t="inlineStr">
        <is>
          <t>South</t>
        </is>
      </c>
      <c r="F3147" t="inlineStr">
        <is>
          <t>Organic Search</t>
        </is>
      </c>
      <c r="G3147" t="inlineStr">
        <is>
          <t>Mobile App</t>
        </is>
      </c>
      <c r="H3147" t="inlineStr">
        <is>
          <t>Credit Card</t>
        </is>
      </c>
      <c r="I3147" t="inlineStr">
        <is>
          <t>Delivered</t>
        </is>
      </c>
      <c r="J3147" t="n">
        <v>133</v>
      </c>
      <c r="K3147" t="n">
        <v>1</v>
      </c>
      <c r="L3147" t="n">
        <v>419</v>
      </c>
      <c r="M3147" t="n">
        <v>0</v>
      </c>
      <c r="N3147">
        <f>VLOOKUP(J3147,Products!$A$2:$C$49,3,FALSE)</f>
        <v/>
      </c>
      <c r="O3147">
        <f>K3147*L3147-M3147</f>
        <v/>
      </c>
      <c r="P3147">
        <f>TEXT(B3147,"yyyy-mm")</f>
        <v/>
      </c>
      <c r="Q3147">
        <f>IF(O3147&gt;=3000,"Large","Small")</f>
        <v/>
      </c>
      <c r="R3147">
        <f>INDEX(Products!$F$2:$F$49,MATCH(J3147,Products!$A$2:$A$49,0))</f>
        <v/>
      </c>
      <c r="S3147">
        <f>WEEKDAY(B3147,2)</f>
        <v/>
      </c>
    </row>
    <row r="3148">
      <c r="A3148" t="n">
        <v>511048</v>
      </c>
      <c r="B3148" s="6" t="n">
        <v>45985</v>
      </c>
      <c r="C3148" t="n">
        <v>16405</v>
      </c>
      <c r="D3148" t="inlineStr">
        <is>
          <t>Hyderabad</t>
        </is>
      </c>
      <c r="E3148" t="inlineStr">
        <is>
          <t>South</t>
        </is>
      </c>
      <c r="F3148" t="inlineStr">
        <is>
          <t>Organic Search</t>
        </is>
      </c>
      <c r="G3148" t="inlineStr">
        <is>
          <t>Mobile App</t>
        </is>
      </c>
      <c r="H3148" t="inlineStr">
        <is>
          <t>Credit Card</t>
        </is>
      </c>
      <c r="I3148" t="inlineStr">
        <is>
          <t>Delivered</t>
        </is>
      </c>
      <c r="J3148" t="n">
        <v>103</v>
      </c>
      <c r="K3148" t="n">
        <v>2</v>
      </c>
      <c r="L3148" t="n">
        <v>2624</v>
      </c>
      <c r="M3148" t="n">
        <v>0</v>
      </c>
      <c r="N3148">
        <f>VLOOKUP(J3148,Products!$A$2:$C$49,3,FALSE)</f>
        <v/>
      </c>
      <c r="O3148">
        <f>K3148*L3148-M3148</f>
        <v/>
      </c>
      <c r="P3148">
        <f>TEXT(B3148,"yyyy-mm")</f>
        <v/>
      </c>
      <c r="Q3148">
        <f>IF(O3148&gt;=3000,"Large","Small")</f>
        <v/>
      </c>
      <c r="R3148">
        <f>INDEX(Products!$F$2:$F$49,MATCH(J3148,Products!$A$2:$A$49,0))</f>
        <v/>
      </c>
      <c r="S3148">
        <f>WEEKDAY(B3148,2)</f>
        <v/>
      </c>
    </row>
    <row r="3149">
      <c r="A3149" t="n">
        <v>511049</v>
      </c>
      <c r="B3149" s="6" t="n">
        <v>45985</v>
      </c>
      <c r="C3149" t="n">
        <v>17378</v>
      </c>
      <c r="D3149" t="inlineStr">
        <is>
          <t>Bengaluru</t>
        </is>
      </c>
      <c r="E3149" t="inlineStr">
        <is>
          <t>South</t>
        </is>
      </c>
      <c r="F3149" t="inlineStr">
        <is>
          <t>Paid Search</t>
        </is>
      </c>
      <c r="G3149" t="inlineStr">
        <is>
          <t>Mobile App</t>
        </is>
      </c>
      <c r="H3149" t="inlineStr">
        <is>
          <t>Debit Card</t>
        </is>
      </c>
      <c r="I3149" t="inlineStr">
        <is>
          <t>Delivered</t>
        </is>
      </c>
      <c r="J3149" t="n">
        <v>108</v>
      </c>
      <c r="K3149" t="n">
        <v>1</v>
      </c>
      <c r="L3149" t="n">
        <v>419</v>
      </c>
      <c r="M3149" t="n">
        <v>62.85</v>
      </c>
      <c r="N3149">
        <f>VLOOKUP(J3149,Products!$A$2:$C$49,3,FALSE)</f>
        <v/>
      </c>
      <c r="O3149">
        <f>K3149*L3149-M3149</f>
        <v/>
      </c>
      <c r="P3149">
        <f>TEXT(B3149,"yyyy-mm")</f>
        <v/>
      </c>
      <c r="Q3149">
        <f>IF(O3149&gt;=3000,"Large","Small")</f>
        <v/>
      </c>
      <c r="R3149">
        <f>INDEX(Products!$F$2:$F$49,MATCH(J3149,Products!$A$2:$A$49,0))</f>
        <v/>
      </c>
      <c r="S3149">
        <f>WEEKDAY(B3149,2)</f>
        <v/>
      </c>
    </row>
    <row r="3150">
      <c r="A3150" t="n">
        <v>511049</v>
      </c>
      <c r="B3150" s="6" t="n">
        <v>45985</v>
      </c>
      <c r="C3150" t="n">
        <v>17378</v>
      </c>
      <c r="D3150" t="inlineStr">
        <is>
          <t>Bengaluru</t>
        </is>
      </c>
      <c r="E3150" t="inlineStr">
        <is>
          <t>South</t>
        </is>
      </c>
      <c r="F3150" t="inlineStr">
        <is>
          <t>Paid Search</t>
        </is>
      </c>
      <c r="G3150" t="inlineStr">
        <is>
          <t>Mobile App</t>
        </is>
      </c>
      <c r="H3150" t="inlineStr">
        <is>
          <t>Debit Card</t>
        </is>
      </c>
      <c r="I3150" t="inlineStr">
        <is>
          <t>Delivered</t>
        </is>
      </c>
      <c r="J3150" t="n">
        <v>136</v>
      </c>
      <c r="K3150" t="n">
        <v>1</v>
      </c>
      <c r="L3150" t="n">
        <v>944</v>
      </c>
      <c r="M3150" t="n">
        <v>141.6</v>
      </c>
      <c r="N3150">
        <f>VLOOKUP(J3150,Products!$A$2:$C$49,3,FALSE)</f>
        <v/>
      </c>
      <c r="O3150">
        <f>K3150*L3150-M3150</f>
        <v/>
      </c>
      <c r="P3150">
        <f>TEXT(B3150,"yyyy-mm")</f>
        <v/>
      </c>
      <c r="Q3150">
        <f>IF(O3150&gt;=3000,"Large","Small")</f>
        <v/>
      </c>
      <c r="R3150">
        <f>INDEX(Products!$F$2:$F$49,MATCH(J3150,Products!$A$2:$A$49,0))</f>
        <v/>
      </c>
      <c r="S3150">
        <f>WEEKDAY(B3150,2)</f>
        <v/>
      </c>
    </row>
    <row r="3151">
      <c r="A3151" t="n">
        <v>511050</v>
      </c>
      <c r="B3151" s="6" t="n">
        <v>45985</v>
      </c>
      <c r="C3151" t="n">
        <v>17441</v>
      </c>
      <c r="D3151" t="inlineStr">
        <is>
          <t>Delhi</t>
        </is>
      </c>
      <c r="E3151" t="inlineStr">
        <is>
          <t>North</t>
        </is>
      </c>
      <c r="F3151" t="inlineStr">
        <is>
          <t>Paid Search</t>
        </is>
      </c>
      <c r="G3151" t="inlineStr">
        <is>
          <t>Mobile Web</t>
        </is>
      </c>
      <c r="H3151" t="inlineStr">
        <is>
          <t>UPI</t>
        </is>
      </c>
      <c r="I3151" t="inlineStr">
        <is>
          <t>Delivered</t>
        </is>
      </c>
      <c r="J3151" t="n">
        <v>139</v>
      </c>
      <c r="K3151" t="n">
        <v>1</v>
      </c>
      <c r="L3151" t="n">
        <v>366</v>
      </c>
      <c r="M3151" t="n">
        <v>0</v>
      </c>
      <c r="N3151">
        <f>VLOOKUP(J3151,Products!$A$2:$C$49,3,FALSE)</f>
        <v/>
      </c>
      <c r="O3151">
        <f>K3151*L3151-M3151</f>
        <v/>
      </c>
      <c r="P3151">
        <f>TEXT(B3151,"yyyy-mm")</f>
        <v/>
      </c>
      <c r="Q3151">
        <f>IF(O3151&gt;=3000,"Large","Small")</f>
        <v/>
      </c>
      <c r="R3151">
        <f>INDEX(Products!$F$2:$F$49,MATCH(J3151,Products!$A$2:$A$49,0))</f>
        <v/>
      </c>
      <c r="S3151">
        <f>WEEKDAY(B3151,2)</f>
        <v/>
      </c>
    </row>
    <row r="3152">
      <c r="A3152" t="n">
        <v>511050</v>
      </c>
      <c r="B3152" s="6" t="n">
        <v>45985</v>
      </c>
      <c r="C3152" t="n">
        <v>17441</v>
      </c>
      <c r="D3152" t="inlineStr">
        <is>
          <t>Delhi</t>
        </is>
      </c>
      <c r="E3152" t="inlineStr">
        <is>
          <t>North</t>
        </is>
      </c>
      <c r="F3152" t="inlineStr">
        <is>
          <t>Paid Search</t>
        </is>
      </c>
      <c r="G3152" t="inlineStr">
        <is>
          <t>Mobile Web</t>
        </is>
      </c>
      <c r="H3152" t="inlineStr">
        <is>
          <t>UPI</t>
        </is>
      </c>
      <c r="I3152" t="inlineStr">
        <is>
          <t>Delivered</t>
        </is>
      </c>
      <c r="J3152" t="n">
        <v>124</v>
      </c>
      <c r="K3152" t="n">
        <v>1</v>
      </c>
      <c r="L3152" t="n">
        <v>1154</v>
      </c>
      <c r="M3152" t="n">
        <v>0</v>
      </c>
      <c r="N3152">
        <f>VLOOKUP(J3152,Products!$A$2:$C$49,3,FALSE)</f>
        <v/>
      </c>
      <c r="O3152">
        <f>K3152*L3152-M3152</f>
        <v/>
      </c>
      <c r="P3152">
        <f>TEXT(B3152,"yyyy-mm")</f>
        <v/>
      </c>
      <c r="Q3152">
        <f>IF(O3152&gt;=3000,"Large","Small")</f>
        <v/>
      </c>
      <c r="R3152">
        <f>INDEX(Products!$F$2:$F$49,MATCH(J3152,Products!$A$2:$A$49,0))</f>
        <v/>
      </c>
      <c r="S3152">
        <f>WEEKDAY(B3152,2)</f>
        <v/>
      </c>
    </row>
    <row r="3153">
      <c r="A3153" t="n">
        <v>511051</v>
      </c>
      <c r="B3153" s="6" t="n">
        <v>45985</v>
      </c>
      <c r="C3153" t="n">
        <v>16800</v>
      </c>
      <c r="D3153" t="inlineStr">
        <is>
          <t>Bengaluru</t>
        </is>
      </c>
      <c r="E3153" t="inlineStr">
        <is>
          <t>South</t>
        </is>
      </c>
      <c r="F3153" t="inlineStr">
        <is>
          <t>Referral</t>
        </is>
      </c>
      <c r="G3153" t="inlineStr">
        <is>
          <t>Mobile App</t>
        </is>
      </c>
      <c r="H3153" t="inlineStr">
        <is>
          <t>Net Banking</t>
        </is>
      </c>
      <c r="I3153" t="inlineStr">
        <is>
          <t>Delivered</t>
        </is>
      </c>
      <c r="J3153" t="n">
        <v>111</v>
      </c>
      <c r="K3153" t="n">
        <v>2</v>
      </c>
      <c r="L3153" t="n">
        <v>524</v>
      </c>
      <c r="M3153" t="n">
        <v>0</v>
      </c>
      <c r="N3153">
        <f>VLOOKUP(J3153,Products!$A$2:$C$49,3,FALSE)</f>
        <v/>
      </c>
      <c r="O3153">
        <f>K3153*L3153-M3153</f>
        <v/>
      </c>
      <c r="P3153">
        <f>TEXT(B3153,"yyyy-mm")</f>
        <v/>
      </c>
      <c r="Q3153">
        <f>IF(O3153&gt;=3000,"Large","Small")</f>
        <v/>
      </c>
      <c r="R3153">
        <f>INDEX(Products!$F$2:$F$49,MATCH(J3153,Products!$A$2:$A$49,0))</f>
        <v/>
      </c>
      <c r="S3153">
        <f>WEEKDAY(B3153,2)</f>
        <v/>
      </c>
    </row>
    <row r="3154">
      <c r="A3154" t="n">
        <v>511052</v>
      </c>
      <c r="B3154" s="6" t="n">
        <v>45985</v>
      </c>
      <c r="C3154" t="n">
        <v>17346</v>
      </c>
      <c r="D3154" t="inlineStr">
        <is>
          <t>Jaipur</t>
        </is>
      </c>
      <c r="E3154" t="inlineStr">
        <is>
          <t>North</t>
        </is>
      </c>
      <c r="F3154" t="inlineStr">
        <is>
          <t>Organic Search</t>
        </is>
      </c>
      <c r="G3154" t="inlineStr">
        <is>
          <t>Mobile App</t>
        </is>
      </c>
      <c r="H3154" t="inlineStr">
        <is>
          <t>Cash on Delivery</t>
        </is>
      </c>
      <c r="I3154" t="inlineStr">
        <is>
          <t>Delivered</t>
        </is>
      </c>
      <c r="J3154" t="n">
        <v>115</v>
      </c>
      <c r="K3154" t="n">
        <v>2</v>
      </c>
      <c r="L3154" t="n">
        <v>4199</v>
      </c>
      <c r="M3154" t="n">
        <v>0</v>
      </c>
      <c r="N3154">
        <f>VLOOKUP(J3154,Products!$A$2:$C$49,3,FALSE)</f>
        <v/>
      </c>
      <c r="O3154">
        <f>K3154*L3154-M3154</f>
        <v/>
      </c>
      <c r="P3154">
        <f>TEXT(B3154,"yyyy-mm")</f>
        <v/>
      </c>
      <c r="Q3154">
        <f>IF(O3154&gt;=3000,"Large","Small")</f>
        <v/>
      </c>
      <c r="R3154">
        <f>INDEX(Products!$F$2:$F$49,MATCH(J3154,Products!$A$2:$A$49,0))</f>
        <v/>
      </c>
      <c r="S3154">
        <f>WEEKDAY(B3154,2)</f>
        <v/>
      </c>
    </row>
    <row r="3155">
      <c r="A3155" t="n">
        <v>511052</v>
      </c>
      <c r="B3155" s="6" t="n">
        <v>45985</v>
      </c>
      <c r="C3155" t="n">
        <v>17346</v>
      </c>
      <c r="D3155" t="inlineStr">
        <is>
          <t>Jaipur</t>
        </is>
      </c>
      <c r="E3155" t="inlineStr">
        <is>
          <t>North</t>
        </is>
      </c>
      <c r="F3155" t="inlineStr">
        <is>
          <t>Organic Search</t>
        </is>
      </c>
      <c r="G3155" t="inlineStr">
        <is>
          <t>Mobile App</t>
        </is>
      </c>
      <c r="H3155" t="inlineStr">
        <is>
          <t>Cash on Delivery</t>
        </is>
      </c>
      <c r="I3155" t="inlineStr">
        <is>
          <t>Delivered</t>
        </is>
      </c>
      <c r="J3155" t="n">
        <v>137</v>
      </c>
      <c r="K3155" t="n">
        <v>1</v>
      </c>
      <c r="L3155" t="n">
        <v>261</v>
      </c>
      <c r="M3155" t="n">
        <v>0</v>
      </c>
      <c r="N3155">
        <f>VLOOKUP(J3155,Products!$A$2:$C$49,3,FALSE)</f>
        <v/>
      </c>
      <c r="O3155">
        <f>K3155*L3155-M3155</f>
        <v/>
      </c>
      <c r="P3155">
        <f>TEXT(B3155,"yyyy-mm")</f>
        <v/>
      </c>
      <c r="Q3155">
        <f>IF(O3155&gt;=3000,"Large","Small")</f>
        <v/>
      </c>
      <c r="R3155">
        <f>INDEX(Products!$F$2:$F$49,MATCH(J3155,Products!$A$2:$A$49,0))</f>
        <v/>
      </c>
      <c r="S3155">
        <f>WEEKDAY(B3155,2)</f>
        <v/>
      </c>
    </row>
    <row r="3156">
      <c r="A3156" t="n">
        <v>511053</v>
      </c>
      <c r="B3156" s="6" t="n">
        <v>45985</v>
      </c>
      <c r="C3156" t="n">
        <v>17482</v>
      </c>
      <c r="D3156" t="inlineStr">
        <is>
          <t>Lucknow</t>
        </is>
      </c>
      <c r="E3156" t="inlineStr">
        <is>
          <t>North</t>
        </is>
      </c>
      <c r="F3156" t="inlineStr">
        <is>
          <t>Paid Search</t>
        </is>
      </c>
      <c r="G3156" t="inlineStr">
        <is>
          <t>Mobile Web</t>
        </is>
      </c>
      <c r="H3156" t="inlineStr">
        <is>
          <t>UPI</t>
        </is>
      </c>
      <c r="I3156" t="inlineStr">
        <is>
          <t>Delivered</t>
        </is>
      </c>
      <c r="J3156" t="n">
        <v>117</v>
      </c>
      <c r="K3156" t="n">
        <v>1</v>
      </c>
      <c r="L3156" t="n">
        <v>3149</v>
      </c>
      <c r="M3156" t="n">
        <v>472.35</v>
      </c>
      <c r="N3156">
        <f>VLOOKUP(J3156,Products!$A$2:$C$49,3,FALSE)</f>
        <v/>
      </c>
      <c r="O3156">
        <f>K3156*L3156-M3156</f>
        <v/>
      </c>
      <c r="P3156">
        <f>TEXT(B3156,"yyyy-mm")</f>
        <v/>
      </c>
      <c r="Q3156">
        <f>IF(O3156&gt;=3000,"Large","Small")</f>
        <v/>
      </c>
      <c r="R3156">
        <f>INDEX(Products!$F$2:$F$49,MATCH(J3156,Products!$A$2:$A$49,0))</f>
        <v/>
      </c>
      <c r="S3156">
        <f>WEEKDAY(B3156,2)</f>
        <v/>
      </c>
    </row>
    <row r="3157">
      <c r="A3157" t="n">
        <v>511053</v>
      </c>
      <c r="B3157" s="6" t="n">
        <v>45985</v>
      </c>
      <c r="C3157" t="n">
        <v>17482</v>
      </c>
      <c r="D3157" t="inlineStr">
        <is>
          <t>Lucknow</t>
        </is>
      </c>
      <c r="E3157" t="inlineStr">
        <is>
          <t>North</t>
        </is>
      </c>
      <c r="F3157" t="inlineStr">
        <is>
          <t>Paid Search</t>
        </is>
      </c>
      <c r="G3157" t="inlineStr">
        <is>
          <t>Mobile Web</t>
        </is>
      </c>
      <c r="H3157" t="inlineStr">
        <is>
          <t>UPI</t>
        </is>
      </c>
      <c r="I3157" t="inlineStr">
        <is>
          <t>Delivered</t>
        </is>
      </c>
      <c r="J3157" t="n">
        <v>104</v>
      </c>
      <c r="K3157" t="n">
        <v>2</v>
      </c>
      <c r="L3157" t="n">
        <v>5249</v>
      </c>
      <c r="M3157" t="n">
        <v>1574.7</v>
      </c>
      <c r="N3157">
        <f>VLOOKUP(J3157,Products!$A$2:$C$49,3,FALSE)</f>
        <v/>
      </c>
      <c r="O3157">
        <f>K3157*L3157-M3157</f>
        <v/>
      </c>
      <c r="P3157">
        <f>TEXT(B3157,"yyyy-mm")</f>
        <v/>
      </c>
      <c r="Q3157">
        <f>IF(O3157&gt;=3000,"Large","Small")</f>
        <v/>
      </c>
      <c r="R3157">
        <f>INDEX(Products!$F$2:$F$49,MATCH(J3157,Products!$A$2:$A$49,0))</f>
        <v/>
      </c>
      <c r="S3157">
        <f>WEEKDAY(B3157,2)</f>
        <v/>
      </c>
    </row>
    <row r="3158">
      <c r="A3158" t="n">
        <v>511053</v>
      </c>
      <c r="B3158" s="6" t="n">
        <v>45985</v>
      </c>
      <c r="C3158" t="n">
        <v>17482</v>
      </c>
      <c r="D3158" t="inlineStr">
        <is>
          <t>Lucknow</t>
        </is>
      </c>
      <c r="E3158" t="inlineStr">
        <is>
          <t>North</t>
        </is>
      </c>
      <c r="F3158" t="inlineStr">
        <is>
          <t>Paid Search</t>
        </is>
      </c>
      <c r="G3158" t="inlineStr">
        <is>
          <t>Mobile Web</t>
        </is>
      </c>
      <c r="H3158" t="inlineStr">
        <is>
          <t>UPI</t>
        </is>
      </c>
      <c r="I3158" t="inlineStr">
        <is>
          <t>Delivered</t>
        </is>
      </c>
      <c r="J3158" t="n">
        <v>142</v>
      </c>
      <c r="K3158" t="n">
        <v>1</v>
      </c>
      <c r="L3158" t="n">
        <v>839</v>
      </c>
      <c r="M3158" t="n">
        <v>125.85</v>
      </c>
      <c r="N3158">
        <f>VLOOKUP(J3158,Products!$A$2:$C$49,3,FALSE)</f>
        <v/>
      </c>
      <c r="O3158">
        <f>K3158*L3158-M3158</f>
        <v/>
      </c>
      <c r="P3158">
        <f>TEXT(B3158,"yyyy-mm")</f>
        <v/>
      </c>
      <c r="Q3158">
        <f>IF(O3158&gt;=3000,"Large","Small")</f>
        <v/>
      </c>
      <c r="R3158">
        <f>INDEX(Products!$F$2:$F$49,MATCH(J3158,Products!$A$2:$A$49,0))</f>
        <v/>
      </c>
      <c r="S3158">
        <f>WEEKDAY(B3158,2)</f>
        <v/>
      </c>
    </row>
    <row r="3159">
      <c r="A3159" t="n">
        <v>511054</v>
      </c>
      <c r="B3159" s="6" t="n">
        <v>45985</v>
      </c>
      <c r="C3159" t="n">
        <v>16922</v>
      </c>
      <c r="D3159" t="inlineStr">
        <is>
          <t>Chandigarh</t>
        </is>
      </c>
      <c r="E3159" t="inlineStr">
        <is>
          <t>North</t>
        </is>
      </c>
      <c r="F3159" t="inlineStr">
        <is>
          <t>Referral</t>
        </is>
      </c>
      <c r="G3159" t="inlineStr">
        <is>
          <t>Mobile App</t>
        </is>
      </c>
      <c r="H3159" t="inlineStr">
        <is>
          <t>UPI</t>
        </is>
      </c>
      <c r="I3159" t="inlineStr">
        <is>
          <t>Delivered</t>
        </is>
      </c>
      <c r="J3159" t="n">
        <v>126</v>
      </c>
      <c r="K3159" t="n">
        <v>1</v>
      </c>
      <c r="L3159" t="n">
        <v>471</v>
      </c>
      <c r="M3159" t="n">
        <v>0</v>
      </c>
      <c r="N3159">
        <f>VLOOKUP(J3159,Products!$A$2:$C$49,3,FALSE)</f>
        <v/>
      </c>
      <c r="O3159">
        <f>K3159*L3159-M3159</f>
        <v/>
      </c>
      <c r="P3159">
        <f>TEXT(B3159,"yyyy-mm")</f>
        <v/>
      </c>
      <c r="Q3159">
        <f>IF(O3159&gt;=3000,"Large","Small")</f>
        <v/>
      </c>
      <c r="R3159">
        <f>INDEX(Products!$F$2:$F$49,MATCH(J3159,Products!$A$2:$A$49,0))</f>
        <v/>
      </c>
      <c r="S3159">
        <f>WEEKDAY(B3159,2)</f>
        <v/>
      </c>
    </row>
    <row r="3160">
      <c r="A3160" t="n">
        <v>511055</v>
      </c>
      <c r="B3160" s="6" t="n">
        <v>45985</v>
      </c>
      <c r="C3160" t="n">
        <v>17456</v>
      </c>
      <c r="D3160" t="inlineStr">
        <is>
          <t>Delhi</t>
        </is>
      </c>
      <c r="E3160" t="inlineStr">
        <is>
          <t>North</t>
        </is>
      </c>
      <c r="F3160" t="inlineStr">
        <is>
          <t>Email</t>
        </is>
      </c>
      <c r="G3160" t="inlineStr">
        <is>
          <t>Mobile App</t>
        </is>
      </c>
      <c r="H3160" t="inlineStr">
        <is>
          <t>UPI</t>
        </is>
      </c>
      <c r="I3160" t="inlineStr">
        <is>
          <t>Cancelled</t>
        </is>
      </c>
      <c r="J3160" t="n">
        <v>104</v>
      </c>
      <c r="K3160" t="n">
        <v>1</v>
      </c>
      <c r="L3160" t="n">
        <v>5249</v>
      </c>
      <c r="M3160" t="n">
        <v>787.35</v>
      </c>
      <c r="N3160">
        <f>VLOOKUP(J3160,Products!$A$2:$C$49,3,FALSE)</f>
        <v/>
      </c>
      <c r="O3160">
        <f>K3160*L3160-M3160</f>
        <v/>
      </c>
      <c r="P3160">
        <f>TEXT(B3160,"yyyy-mm")</f>
        <v/>
      </c>
      <c r="Q3160">
        <f>IF(O3160&gt;=3000,"Large","Small")</f>
        <v/>
      </c>
      <c r="R3160">
        <f>INDEX(Products!$F$2:$F$49,MATCH(J3160,Products!$A$2:$A$49,0))</f>
        <v/>
      </c>
      <c r="S3160">
        <f>WEEKDAY(B3160,2)</f>
        <v/>
      </c>
    </row>
    <row r="3161">
      <c r="A3161" t="n">
        <v>511056</v>
      </c>
      <c r="B3161" s="6" t="n">
        <v>45985</v>
      </c>
      <c r="C3161" t="n">
        <v>16365</v>
      </c>
      <c r="D3161" t="inlineStr">
        <is>
          <t>Delhi</t>
        </is>
      </c>
      <c r="E3161" t="inlineStr">
        <is>
          <t>North</t>
        </is>
      </c>
      <c r="F3161" t="inlineStr">
        <is>
          <t>Paid Search</t>
        </is>
      </c>
      <c r="G3161" t="inlineStr">
        <is>
          <t>Mobile App</t>
        </is>
      </c>
      <c r="H3161" t="inlineStr">
        <is>
          <t>UPI</t>
        </is>
      </c>
      <c r="I3161" t="inlineStr">
        <is>
          <t>Delivered</t>
        </is>
      </c>
      <c r="J3161" t="n">
        <v>116</v>
      </c>
      <c r="K3161" t="n">
        <v>1</v>
      </c>
      <c r="L3161" t="n">
        <v>2624</v>
      </c>
      <c r="M3161" t="n">
        <v>0</v>
      </c>
      <c r="N3161">
        <f>VLOOKUP(J3161,Products!$A$2:$C$49,3,FALSE)</f>
        <v/>
      </c>
      <c r="O3161">
        <f>K3161*L3161-M3161</f>
        <v/>
      </c>
      <c r="P3161">
        <f>TEXT(B3161,"yyyy-mm")</f>
        <v/>
      </c>
      <c r="Q3161">
        <f>IF(O3161&gt;=3000,"Large","Small")</f>
        <v/>
      </c>
      <c r="R3161">
        <f>INDEX(Products!$F$2:$F$49,MATCH(J3161,Products!$A$2:$A$49,0))</f>
        <v/>
      </c>
      <c r="S3161">
        <f>WEEKDAY(B3161,2)</f>
        <v/>
      </c>
    </row>
    <row r="3162">
      <c r="A3162" t="n">
        <v>511057</v>
      </c>
      <c r="B3162" s="6" t="n">
        <v>45985</v>
      </c>
      <c r="C3162" t="n">
        <v>12458</v>
      </c>
      <c r="D3162" t="inlineStr">
        <is>
          <t>Noida</t>
        </is>
      </c>
      <c r="E3162" t="inlineStr">
        <is>
          <t>North</t>
        </is>
      </c>
      <c r="F3162" t="inlineStr">
        <is>
          <t>Organic Search</t>
        </is>
      </c>
      <c r="G3162" t="inlineStr">
        <is>
          <t>Mobile App</t>
        </is>
      </c>
      <c r="H3162" t="inlineStr">
        <is>
          <t>Cash on Delivery</t>
        </is>
      </c>
      <c r="I3162" t="inlineStr">
        <is>
          <t>Delivered</t>
        </is>
      </c>
      <c r="J3162" t="n">
        <v>117</v>
      </c>
      <c r="K3162" t="n">
        <v>1</v>
      </c>
      <c r="L3162" t="n">
        <v>3149</v>
      </c>
      <c r="M3162" t="n">
        <v>0</v>
      </c>
      <c r="N3162">
        <f>VLOOKUP(J3162,Products!$A$2:$C$49,3,FALSE)</f>
        <v/>
      </c>
      <c r="O3162">
        <f>K3162*L3162-M3162</f>
        <v/>
      </c>
      <c r="P3162">
        <f>TEXT(B3162,"yyyy-mm")</f>
        <v/>
      </c>
      <c r="Q3162">
        <f>IF(O3162&gt;=3000,"Large","Small")</f>
        <v/>
      </c>
      <c r="R3162">
        <f>INDEX(Products!$F$2:$F$49,MATCH(J3162,Products!$A$2:$A$49,0))</f>
        <v/>
      </c>
      <c r="S3162">
        <f>WEEKDAY(B3162,2)</f>
        <v/>
      </c>
    </row>
    <row r="3163">
      <c r="A3163" t="n">
        <v>511058</v>
      </c>
      <c r="B3163" s="6" t="n">
        <v>45985</v>
      </c>
      <c r="C3163" t="n">
        <v>16682</v>
      </c>
      <c r="D3163" t="inlineStr">
        <is>
          <t>Chandigarh</t>
        </is>
      </c>
      <c r="E3163" t="inlineStr">
        <is>
          <t>North</t>
        </is>
      </c>
      <c r="F3163" t="inlineStr">
        <is>
          <t>Email</t>
        </is>
      </c>
      <c r="G3163" t="inlineStr">
        <is>
          <t>Mobile App</t>
        </is>
      </c>
      <c r="H3163" t="inlineStr">
        <is>
          <t>Cash on Delivery</t>
        </is>
      </c>
      <c r="I3163" t="inlineStr">
        <is>
          <t>Delivered</t>
        </is>
      </c>
      <c r="J3163" t="n">
        <v>118</v>
      </c>
      <c r="K3163" t="n">
        <v>2</v>
      </c>
      <c r="L3163" t="n">
        <v>944</v>
      </c>
      <c r="M3163" t="n">
        <v>0</v>
      </c>
      <c r="N3163">
        <f>VLOOKUP(J3163,Products!$A$2:$C$49,3,FALSE)</f>
        <v/>
      </c>
      <c r="O3163">
        <f>K3163*L3163-M3163</f>
        <v/>
      </c>
      <c r="P3163">
        <f>TEXT(B3163,"yyyy-mm")</f>
        <v/>
      </c>
      <c r="Q3163">
        <f>IF(O3163&gt;=3000,"Large","Small")</f>
        <v/>
      </c>
      <c r="R3163">
        <f>INDEX(Products!$F$2:$F$49,MATCH(J3163,Products!$A$2:$A$49,0))</f>
        <v/>
      </c>
      <c r="S3163">
        <f>WEEKDAY(B3163,2)</f>
        <v/>
      </c>
    </row>
    <row r="3164">
      <c r="A3164" t="n">
        <v>511058</v>
      </c>
      <c r="B3164" s="6" t="n">
        <v>45985</v>
      </c>
      <c r="C3164" t="n">
        <v>16682</v>
      </c>
      <c r="D3164" t="inlineStr">
        <is>
          <t>Chandigarh</t>
        </is>
      </c>
      <c r="E3164" t="inlineStr">
        <is>
          <t>North</t>
        </is>
      </c>
      <c r="F3164" t="inlineStr">
        <is>
          <t>Email</t>
        </is>
      </c>
      <c r="G3164" t="inlineStr">
        <is>
          <t>Mobile App</t>
        </is>
      </c>
      <c r="H3164" t="inlineStr">
        <is>
          <t>Cash on Delivery</t>
        </is>
      </c>
      <c r="I3164" t="inlineStr">
        <is>
          <t>Delivered</t>
        </is>
      </c>
      <c r="J3164" t="n">
        <v>137</v>
      </c>
      <c r="K3164" t="n">
        <v>1</v>
      </c>
      <c r="L3164" t="n">
        <v>261</v>
      </c>
      <c r="M3164" t="n">
        <v>0</v>
      </c>
      <c r="N3164">
        <f>VLOOKUP(J3164,Products!$A$2:$C$49,3,FALSE)</f>
        <v/>
      </c>
      <c r="O3164">
        <f>K3164*L3164-M3164</f>
        <v/>
      </c>
      <c r="P3164">
        <f>TEXT(B3164,"yyyy-mm")</f>
        <v/>
      </c>
      <c r="Q3164">
        <f>IF(O3164&gt;=3000,"Large","Small")</f>
        <v/>
      </c>
      <c r="R3164">
        <f>INDEX(Products!$F$2:$F$49,MATCH(J3164,Products!$A$2:$A$49,0))</f>
        <v/>
      </c>
      <c r="S3164">
        <f>WEEKDAY(B3164,2)</f>
        <v/>
      </c>
    </row>
    <row r="3165">
      <c r="A3165" t="n">
        <v>511059</v>
      </c>
      <c r="B3165" s="6" t="n">
        <v>45986</v>
      </c>
      <c r="C3165" t="n">
        <v>17337</v>
      </c>
      <c r="D3165" t="inlineStr">
        <is>
          <t>Ahmedabad</t>
        </is>
      </c>
      <c r="E3165" t="inlineStr">
        <is>
          <t>West</t>
        </is>
      </c>
      <c r="F3165" t="inlineStr">
        <is>
          <t>Paid Social</t>
        </is>
      </c>
      <c r="G3165" t="inlineStr">
        <is>
          <t>Mobile Web</t>
        </is>
      </c>
      <c r="H3165" t="inlineStr">
        <is>
          <t>UPI</t>
        </is>
      </c>
      <c r="I3165" t="inlineStr">
        <is>
          <t>Delivered</t>
        </is>
      </c>
      <c r="J3165" t="n">
        <v>131</v>
      </c>
      <c r="K3165" t="n">
        <v>2</v>
      </c>
      <c r="L3165" t="n">
        <v>314</v>
      </c>
      <c r="M3165" t="n">
        <v>0</v>
      </c>
      <c r="N3165">
        <f>VLOOKUP(J3165,Products!$A$2:$C$49,3,FALSE)</f>
        <v/>
      </c>
      <c r="O3165">
        <f>K3165*L3165-M3165</f>
        <v/>
      </c>
      <c r="P3165">
        <f>TEXT(B3165,"yyyy-mm")</f>
        <v/>
      </c>
      <c r="Q3165">
        <f>IF(O3165&gt;=3000,"Large","Small")</f>
        <v/>
      </c>
      <c r="R3165">
        <f>INDEX(Products!$F$2:$F$49,MATCH(J3165,Products!$A$2:$A$49,0))</f>
        <v/>
      </c>
      <c r="S3165">
        <f>WEEKDAY(B3165,2)</f>
        <v/>
      </c>
    </row>
    <row r="3166">
      <c r="A3166" t="n">
        <v>511059</v>
      </c>
      <c r="B3166" s="6" t="n">
        <v>45986</v>
      </c>
      <c r="C3166" t="n">
        <v>17337</v>
      </c>
      <c r="D3166" t="inlineStr">
        <is>
          <t>Ahmedabad</t>
        </is>
      </c>
      <c r="E3166" t="inlineStr">
        <is>
          <t>West</t>
        </is>
      </c>
      <c r="F3166" t="inlineStr">
        <is>
          <t>Paid Social</t>
        </is>
      </c>
      <c r="G3166" t="inlineStr">
        <is>
          <t>Mobile Web</t>
        </is>
      </c>
      <c r="H3166" t="inlineStr">
        <is>
          <t>UPI</t>
        </is>
      </c>
      <c r="I3166" t="inlineStr">
        <is>
          <t>Delivered</t>
        </is>
      </c>
      <c r="J3166" t="n">
        <v>141</v>
      </c>
      <c r="K3166" t="n">
        <v>1</v>
      </c>
      <c r="L3166" t="n">
        <v>261</v>
      </c>
      <c r="M3166" t="n">
        <v>0</v>
      </c>
      <c r="N3166">
        <f>VLOOKUP(J3166,Products!$A$2:$C$49,3,FALSE)</f>
        <v/>
      </c>
      <c r="O3166">
        <f>K3166*L3166-M3166</f>
        <v/>
      </c>
      <c r="P3166">
        <f>TEXT(B3166,"yyyy-mm")</f>
        <v/>
      </c>
      <c r="Q3166">
        <f>IF(O3166&gt;=3000,"Large","Small")</f>
        <v/>
      </c>
      <c r="R3166">
        <f>INDEX(Products!$F$2:$F$49,MATCH(J3166,Products!$A$2:$A$49,0))</f>
        <v/>
      </c>
      <c r="S3166">
        <f>WEEKDAY(B3166,2)</f>
        <v/>
      </c>
    </row>
    <row r="3167">
      <c r="A3167" t="n">
        <v>511060</v>
      </c>
      <c r="B3167" s="6" t="n">
        <v>45986</v>
      </c>
      <c r="C3167" t="n">
        <v>12357</v>
      </c>
      <c r="D3167" t="inlineStr">
        <is>
          <t>Hyderabad</t>
        </is>
      </c>
      <c r="E3167" t="inlineStr">
        <is>
          <t>South</t>
        </is>
      </c>
      <c r="F3167" t="inlineStr">
        <is>
          <t>Referral</t>
        </is>
      </c>
      <c r="G3167" t="inlineStr">
        <is>
          <t>Mobile App</t>
        </is>
      </c>
      <c r="H3167" t="inlineStr">
        <is>
          <t>Cash on Delivery</t>
        </is>
      </c>
      <c r="I3167" t="inlineStr">
        <is>
          <t>Delivered</t>
        </is>
      </c>
      <c r="J3167" t="n">
        <v>106</v>
      </c>
      <c r="K3167" t="n">
        <v>1</v>
      </c>
      <c r="L3167" t="n">
        <v>1574</v>
      </c>
      <c r="M3167" t="n">
        <v>0</v>
      </c>
      <c r="N3167">
        <f>VLOOKUP(J3167,Products!$A$2:$C$49,3,FALSE)</f>
        <v/>
      </c>
      <c r="O3167">
        <f>K3167*L3167-M3167</f>
        <v/>
      </c>
      <c r="P3167">
        <f>TEXT(B3167,"yyyy-mm")</f>
        <v/>
      </c>
      <c r="Q3167">
        <f>IF(O3167&gt;=3000,"Large","Small")</f>
        <v/>
      </c>
      <c r="R3167">
        <f>INDEX(Products!$F$2:$F$49,MATCH(J3167,Products!$A$2:$A$49,0))</f>
        <v/>
      </c>
      <c r="S3167">
        <f>WEEKDAY(B3167,2)</f>
        <v/>
      </c>
    </row>
    <row r="3168">
      <c r="A3168" t="n">
        <v>511061</v>
      </c>
      <c r="B3168" s="6" t="n">
        <v>45986</v>
      </c>
      <c r="C3168" t="n">
        <v>14167</v>
      </c>
      <c r="D3168" t="inlineStr">
        <is>
          <t>Delhi</t>
        </is>
      </c>
      <c r="E3168" t="inlineStr">
        <is>
          <t>North</t>
        </is>
      </c>
      <c r="F3168" t="inlineStr">
        <is>
          <t>Referral</t>
        </is>
      </c>
      <c r="G3168" t="inlineStr">
        <is>
          <t>Mobile App</t>
        </is>
      </c>
      <c r="H3168" t="inlineStr">
        <is>
          <t>UPI</t>
        </is>
      </c>
      <c r="I3168" t="inlineStr">
        <is>
          <t>Delivered</t>
        </is>
      </c>
      <c r="J3168" t="n">
        <v>119</v>
      </c>
      <c r="K3168" t="n">
        <v>1</v>
      </c>
      <c r="L3168" t="n">
        <v>2309</v>
      </c>
      <c r="M3168" t="n">
        <v>0</v>
      </c>
      <c r="N3168">
        <f>VLOOKUP(J3168,Products!$A$2:$C$49,3,FALSE)</f>
        <v/>
      </c>
      <c r="O3168">
        <f>K3168*L3168-M3168</f>
        <v/>
      </c>
      <c r="P3168">
        <f>TEXT(B3168,"yyyy-mm")</f>
        <v/>
      </c>
      <c r="Q3168">
        <f>IF(O3168&gt;=3000,"Large","Small")</f>
        <v/>
      </c>
      <c r="R3168">
        <f>INDEX(Products!$F$2:$F$49,MATCH(J3168,Products!$A$2:$A$49,0))</f>
        <v/>
      </c>
      <c r="S3168">
        <f>WEEKDAY(B3168,2)</f>
        <v/>
      </c>
    </row>
    <row r="3169">
      <c r="A3169" t="n">
        <v>511062</v>
      </c>
      <c r="B3169" s="6" t="n">
        <v>45986</v>
      </c>
      <c r="C3169" t="n">
        <v>15850</v>
      </c>
      <c r="D3169" t="inlineStr">
        <is>
          <t>Chennai</t>
        </is>
      </c>
      <c r="E3169" t="inlineStr">
        <is>
          <t>South</t>
        </is>
      </c>
      <c r="F3169" t="inlineStr">
        <is>
          <t>Referral</t>
        </is>
      </c>
      <c r="G3169" t="inlineStr">
        <is>
          <t>Mobile App</t>
        </is>
      </c>
      <c r="H3169" t="inlineStr">
        <is>
          <t>UPI</t>
        </is>
      </c>
      <c r="I3169" t="inlineStr">
        <is>
          <t>Delivered</t>
        </is>
      </c>
      <c r="J3169" t="n">
        <v>128</v>
      </c>
      <c r="K3169" t="n">
        <v>1</v>
      </c>
      <c r="L3169" t="n">
        <v>1049</v>
      </c>
      <c r="M3169" t="n">
        <v>0</v>
      </c>
      <c r="N3169">
        <f>VLOOKUP(J3169,Products!$A$2:$C$49,3,FALSE)</f>
        <v/>
      </c>
      <c r="O3169">
        <f>K3169*L3169-M3169</f>
        <v/>
      </c>
      <c r="P3169">
        <f>TEXT(B3169,"yyyy-mm")</f>
        <v/>
      </c>
      <c r="Q3169">
        <f>IF(O3169&gt;=3000,"Large","Small")</f>
        <v/>
      </c>
      <c r="R3169">
        <f>INDEX(Products!$F$2:$F$49,MATCH(J3169,Products!$A$2:$A$49,0))</f>
        <v/>
      </c>
      <c r="S3169">
        <f>WEEKDAY(B3169,2)</f>
        <v/>
      </c>
    </row>
    <row r="3170">
      <c r="A3170" t="n">
        <v>511063</v>
      </c>
      <c r="B3170" s="6" t="n">
        <v>45986</v>
      </c>
      <c r="C3170" t="n">
        <v>17453</v>
      </c>
      <c r="D3170" t="inlineStr">
        <is>
          <t>Hyderabad</t>
        </is>
      </c>
      <c r="E3170" t="inlineStr">
        <is>
          <t>South</t>
        </is>
      </c>
      <c r="F3170" t="inlineStr">
        <is>
          <t>Referral</t>
        </is>
      </c>
      <c r="G3170" t="inlineStr">
        <is>
          <t>Mobile App</t>
        </is>
      </c>
      <c r="H3170" t="inlineStr">
        <is>
          <t>Cash on Delivery</t>
        </is>
      </c>
      <c r="I3170" t="inlineStr">
        <is>
          <t>Delivered</t>
        </is>
      </c>
      <c r="J3170" t="n">
        <v>115</v>
      </c>
      <c r="K3170" t="n">
        <v>1</v>
      </c>
      <c r="L3170" t="n">
        <v>4199</v>
      </c>
      <c r="M3170" t="n">
        <v>0</v>
      </c>
      <c r="N3170">
        <f>VLOOKUP(J3170,Products!$A$2:$C$49,3,FALSE)</f>
        <v/>
      </c>
      <c r="O3170">
        <f>K3170*L3170-M3170</f>
        <v/>
      </c>
      <c r="P3170">
        <f>TEXT(B3170,"yyyy-mm")</f>
        <v/>
      </c>
      <c r="Q3170">
        <f>IF(O3170&gt;=3000,"Large","Small")</f>
        <v/>
      </c>
      <c r="R3170">
        <f>INDEX(Products!$F$2:$F$49,MATCH(J3170,Products!$A$2:$A$49,0))</f>
        <v/>
      </c>
      <c r="S3170">
        <f>WEEKDAY(B3170,2)</f>
        <v/>
      </c>
    </row>
    <row r="3171">
      <c r="A3171" t="n">
        <v>511063</v>
      </c>
      <c r="B3171" s="6" t="n">
        <v>45986</v>
      </c>
      <c r="C3171" t="n">
        <v>17453</v>
      </c>
      <c r="D3171" t="inlineStr">
        <is>
          <t>Hyderabad</t>
        </is>
      </c>
      <c r="E3171" t="inlineStr">
        <is>
          <t>South</t>
        </is>
      </c>
      <c r="F3171" t="inlineStr">
        <is>
          <t>Referral</t>
        </is>
      </c>
      <c r="G3171" t="inlineStr">
        <is>
          <t>Mobile App</t>
        </is>
      </c>
      <c r="H3171" t="inlineStr">
        <is>
          <t>Cash on Delivery</t>
        </is>
      </c>
      <c r="I3171" t="inlineStr">
        <is>
          <t>Delivered</t>
        </is>
      </c>
      <c r="J3171" t="n">
        <v>135</v>
      </c>
      <c r="K3171" t="n">
        <v>1</v>
      </c>
      <c r="L3171" t="n">
        <v>1574</v>
      </c>
      <c r="M3171" t="n">
        <v>0</v>
      </c>
      <c r="N3171">
        <f>VLOOKUP(J3171,Products!$A$2:$C$49,3,FALSE)</f>
        <v/>
      </c>
      <c r="O3171">
        <f>K3171*L3171-M3171</f>
        <v/>
      </c>
      <c r="P3171">
        <f>TEXT(B3171,"yyyy-mm")</f>
        <v/>
      </c>
      <c r="Q3171">
        <f>IF(O3171&gt;=3000,"Large","Small")</f>
        <v/>
      </c>
      <c r="R3171">
        <f>INDEX(Products!$F$2:$F$49,MATCH(J3171,Products!$A$2:$A$49,0))</f>
        <v/>
      </c>
      <c r="S3171">
        <f>WEEKDAY(B3171,2)</f>
        <v/>
      </c>
    </row>
    <row r="3172">
      <c r="A3172" t="n">
        <v>511064</v>
      </c>
      <c r="B3172" s="6" t="n">
        <v>45986</v>
      </c>
      <c r="C3172" t="n">
        <v>17476</v>
      </c>
      <c r="D3172" t="inlineStr">
        <is>
          <t>Hyderabad</t>
        </is>
      </c>
      <c r="E3172" t="inlineStr">
        <is>
          <t>South</t>
        </is>
      </c>
      <c r="F3172" t="inlineStr">
        <is>
          <t>Organic Search</t>
        </is>
      </c>
      <c r="G3172" t="inlineStr">
        <is>
          <t>Mobile Web</t>
        </is>
      </c>
      <c r="H3172" t="inlineStr">
        <is>
          <t>UPI</t>
        </is>
      </c>
      <c r="I3172" t="inlineStr">
        <is>
          <t>Delivered</t>
        </is>
      </c>
      <c r="J3172" t="n">
        <v>107</v>
      </c>
      <c r="K3172" t="n">
        <v>1</v>
      </c>
      <c r="L3172" t="n">
        <v>1259</v>
      </c>
      <c r="M3172" t="n">
        <v>0</v>
      </c>
      <c r="N3172">
        <f>VLOOKUP(J3172,Products!$A$2:$C$49,3,FALSE)</f>
        <v/>
      </c>
      <c r="O3172">
        <f>K3172*L3172-M3172</f>
        <v/>
      </c>
      <c r="P3172">
        <f>TEXT(B3172,"yyyy-mm")</f>
        <v/>
      </c>
      <c r="Q3172">
        <f>IF(O3172&gt;=3000,"Large","Small")</f>
        <v/>
      </c>
      <c r="R3172">
        <f>INDEX(Products!$F$2:$F$49,MATCH(J3172,Products!$A$2:$A$49,0))</f>
        <v/>
      </c>
      <c r="S3172">
        <f>WEEKDAY(B3172,2)</f>
        <v/>
      </c>
    </row>
    <row r="3173">
      <c r="A3173" t="n">
        <v>511065</v>
      </c>
      <c r="B3173" s="6" t="n">
        <v>45986</v>
      </c>
      <c r="C3173" t="n">
        <v>17460</v>
      </c>
      <c r="D3173" t="inlineStr">
        <is>
          <t>Pune</t>
        </is>
      </c>
      <c r="E3173" t="inlineStr">
        <is>
          <t>West</t>
        </is>
      </c>
      <c r="F3173" t="inlineStr">
        <is>
          <t>Affiliate</t>
        </is>
      </c>
      <c r="G3173" t="inlineStr">
        <is>
          <t>Mobile App</t>
        </is>
      </c>
      <c r="H3173" t="inlineStr">
        <is>
          <t>UPI</t>
        </is>
      </c>
      <c r="I3173" t="inlineStr">
        <is>
          <t>Delivered</t>
        </is>
      </c>
      <c r="J3173" t="n">
        <v>117</v>
      </c>
      <c r="K3173" t="n">
        <v>1</v>
      </c>
      <c r="L3173" t="n">
        <v>3149</v>
      </c>
      <c r="M3173" t="n">
        <v>0</v>
      </c>
      <c r="N3173">
        <f>VLOOKUP(J3173,Products!$A$2:$C$49,3,FALSE)</f>
        <v/>
      </c>
      <c r="O3173">
        <f>K3173*L3173-M3173</f>
        <v/>
      </c>
      <c r="P3173">
        <f>TEXT(B3173,"yyyy-mm")</f>
        <v/>
      </c>
      <c r="Q3173">
        <f>IF(O3173&gt;=3000,"Large","Small")</f>
        <v/>
      </c>
      <c r="R3173">
        <f>INDEX(Products!$F$2:$F$49,MATCH(J3173,Products!$A$2:$A$49,0))</f>
        <v/>
      </c>
      <c r="S3173">
        <f>WEEKDAY(B3173,2)</f>
        <v/>
      </c>
    </row>
    <row r="3174">
      <c r="A3174" t="n">
        <v>511065</v>
      </c>
      <c r="B3174" s="6" t="n">
        <v>45986</v>
      </c>
      <c r="C3174" t="n">
        <v>17460</v>
      </c>
      <c r="D3174" t="inlineStr">
        <is>
          <t>Pune</t>
        </is>
      </c>
      <c r="E3174" t="inlineStr">
        <is>
          <t>West</t>
        </is>
      </c>
      <c r="F3174" t="inlineStr">
        <is>
          <t>Affiliate</t>
        </is>
      </c>
      <c r="G3174" t="inlineStr">
        <is>
          <t>Mobile App</t>
        </is>
      </c>
      <c r="H3174" t="inlineStr">
        <is>
          <t>UPI</t>
        </is>
      </c>
      <c r="I3174" t="inlineStr">
        <is>
          <t>Delivered</t>
        </is>
      </c>
      <c r="J3174" t="n">
        <v>103</v>
      </c>
      <c r="K3174" t="n">
        <v>1</v>
      </c>
      <c r="L3174" t="n">
        <v>2624</v>
      </c>
      <c r="M3174" t="n">
        <v>0</v>
      </c>
      <c r="N3174">
        <f>VLOOKUP(J3174,Products!$A$2:$C$49,3,FALSE)</f>
        <v/>
      </c>
      <c r="O3174">
        <f>K3174*L3174-M3174</f>
        <v/>
      </c>
      <c r="P3174">
        <f>TEXT(B3174,"yyyy-mm")</f>
        <v/>
      </c>
      <c r="Q3174">
        <f>IF(O3174&gt;=3000,"Large","Small")</f>
        <v/>
      </c>
      <c r="R3174">
        <f>INDEX(Products!$F$2:$F$49,MATCH(J3174,Products!$A$2:$A$49,0))</f>
        <v/>
      </c>
      <c r="S3174">
        <f>WEEKDAY(B3174,2)</f>
        <v/>
      </c>
    </row>
    <row r="3175">
      <c r="A3175" t="n">
        <v>511065</v>
      </c>
      <c r="B3175" s="6" t="n">
        <v>45986</v>
      </c>
      <c r="C3175" t="n">
        <v>17460</v>
      </c>
      <c r="D3175" t="inlineStr">
        <is>
          <t>Pune</t>
        </is>
      </c>
      <c r="E3175" t="inlineStr">
        <is>
          <t>West</t>
        </is>
      </c>
      <c r="F3175" t="inlineStr">
        <is>
          <t>Affiliate</t>
        </is>
      </c>
      <c r="G3175" t="inlineStr">
        <is>
          <t>Mobile App</t>
        </is>
      </c>
      <c r="H3175" t="inlineStr">
        <is>
          <t>UPI</t>
        </is>
      </c>
      <c r="I3175" t="inlineStr">
        <is>
          <t>Delivered</t>
        </is>
      </c>
      <c r="J3175" t="n">
        <v>126</v>
      </c>
      <c r="K3175" t="n">
        <v>1</v>
      </c>
      <c r="L3175" t="n">
        <v>471</v>
      </c>
      <c r="M3175" t="n">
        <v>0</v>
      </c>
      <c r="N3175">
        <f>VLOOKUP(J3175,Products!$A$2:$C$49,3,FALSE)</f>
        <v/>
      </c>
      <c r="O3175">
        <f>K3175*L3175-M3175</f>
        <v/>
      </c>
      <c r="P3175">
        <f>TEXT(B3175,"yyyy-mm")</f>
        <v/>
      </c>
      <c r="Q3175">
        <f>IF(O3175&gt;=3000,"Large","Small")</f>
        <v/>
      </c>
      <c r="R3175">
        <f>INDEX(Products!$F$2:$F$49,MATCH(J3175,Products!$A$2:$A$49,0))</f>
        <v/>
      </c>
      <c r="S3175">
        <f>WEEKDAY(B3175,2)</f>
        <v/>
      </c>
    </row>
    <row r="3176">
      <c r="A3176" t="n">
        <v>511066</v>
      </c>
      <c r="B3176" s="6" t="n">
        <v>45986</v>
      </c>
      <c r="C3176" t="n">
        <v>17418</v>
      </c>
      <c r="D3176" t="inlineStr">
        <is>
          <t>Ahmedabad</t>
        </is>
      </c>
      <c r="E3176" t="inlineStr">
        <is>
          <t>West</t>
        </is>
      </c>
      <c r="F3176" t="inlineStr">
        <is>
          <t>Paid Search</t>
        </is>
      </c>
      <c r="G3176" t="inlineStr">
        <is>
          <t>Desktop</t>
        </is>
      </c>
      <c r="H3176" t="inlineStr">
        <is>
          <t>UPI</t>
        </is>
      </c>
      <c r="I3176" t="inlineStr">
        <is>
          <t>Delivered</t>
        </is>
      </c>
      <c r="J3176" t="n">
        <v>121</v>
      </c>
      <c r="K3176" t="n">
        <v>1</v>
      </c>
      <c r="L3176" t="n">
        <v>2939</v>
      </c>
      <c r="M3176" t="n">
        <v>0</v>
      </c>
      <c r="N3176">
        <f>VLOOKUP(J3176,Products!$A$2:$C$49,3,FALSE)</f>
        <v/>
      </c>
      <c r="O3176">
        <f>K3176*L3176-M3176</f>
        <v/>
      </c>
      <c r="P3176">
        <f>TEXT(B3176,"yyyy-mm")</f>
        <v/>
      </c>
      <c r="Q3176">
        <f>IF(O3176&gt;=3000,"Large","Small")</f>
        <v/>
      </c>
      <c r="R3176">
        <f>INDEX(Products!$F$2:$F$49,MATCH(J3176,Products!$A$2:$A$49,0))</f>
        <v/>
      </c>
      <c r="S3176">
        <f>WEEKDAY(B3176,2)</f>
        <v/>
      </c>
    </row>
    <row r="3177">
      <c r="A3177" t="n">
        <v>511067</v>
      </c>
      <c r="B3177" s="6" t="n">
        <v>45986</v>
      </c>
      <c r="C3177" t="n">
        <v>15674</v>
      </c>
      <c r="D3177" t="inlineStr">
        <is>
          <t>Bengaluru</t>
        </is>
      </c>
      <c r="E3177" t="inlineStr">
        <is>
          <t>South</t>
        </is>
      </c>
      <c r="F3177" t="inlineStr">
        <is>
          <t>Paid Social</t>
        </is>
      </c>
      <c r="G3177" t="inlineStr">
        <is>
          <t>Mobile Web</t>
        </is>
      </c>
      <c r="H3177" t="inlineStr">
        <is>
          <t>UPI</t>
        </is>
      </c>
      <c r="I3177" t="inlineStr">
        <is>
          <t>Returned</t>
        </is>
      </c>
      <c r="J3177" t="n">
        <v>111</v>
      </c>
      <c r="K3177" t="n">
        <v>1</v>
      </c>
      <c r="L3177" t="n">
        <v>524</v>
      </c>
      <c r="M3177" t="n">
        <v>0</v>
      </c>
      <c r="N3177">
        <f>VLOOKUP(J3177,Products!$A$2:$C$49,3,FALSE)</f>
        <v/>
      </c>
      <c r="O3177">
        <f>K3177*L3177-M3177</f>
        <v/>
      </c>
      <c r="P3177">
        <f>TEXT(B3177,"yyyy-mm")</f>
        <v/>
      </c>
      <c r="Q3177">
        <f>IF(O3177&gt;=3000,"Large","Small")</f>
        <v/>
      </c>
      <c r="R3177">
        <f>INDEX(Products!$F$2:$F$49,MATCH(J3177,Products!$A$2:$A$49,0))</f>
        <v/>
      </c>
      <c r="S3177">
        <f>WEEKDAY(B3177,2)</f>
        <v/>
      </c>
    </row>
    <row r="3178">
      <c r="A3178" t="n">
        <v>511067</v>
      </c>
      <c r="B3178" s="6" t="n">
        <v>45986</v>
      </c>
      <c r="C3178" t="n">
        <v>15674</v>
      </c>
      <c r="D3178" t="inlineStr">
        <is>
          <t>Bengaluru</t>
        </is>
      </c>
      <c r="E3178" t="inlineStr">
        <is>
          <t>South</t>
        </is>
      </c>
      <c r="F3178" t="inlineStr">
        <is>
          <t>Paid Social</t>
        </is>
      </c>
      <c r="G3178" t="inlineStr">
        <is>
          <t>Mobile Web</t>
        </is>
      </c>
      <c r="H3178" t="inlineStr">
        <is>
          <t>UPI</t>
        </is>
      </c>
      <c r="I3178" t="inlineStr">
        <is>
          <t>Returned</t>
        </is>
      </c>
      <c r="J3178" t="n">
        <v>125</v>
      </c>
      <c r="K3178" t="n">
        <v>1</v>
      </c>
      <c r="L3178" t="n">
        <v>1364</v>
      </c>
      <c r="M3178" t="n">
        <v>0</v>
      </c>
      <c r="N3178">
        <f>VLOOKUP(J3178,Products!$A$2:$C$49,3,FALSE)</f>
        <v/>
      </c>
      <c r="O3178">
        <f>K3178*L3178-M3178</f>
        <v/>
      </c>
      <c r="P3178">
        <f>TEXT(B3178,"yyyy-mm")</f>
        <v/>
      </c>
      <c r="Q3178">
        <f>IF(O3178&gt;=3000,"Large","Small")</f>
        <v/>
      </c>
      <c r="R3178">
        <f>INDEX(Products!$F$2:$F$49,MATCH(J3178,Products!$A$2:$A$49,0))</f>
        <v/>
      </c>
      <c r="S3178">
        <f>WEEKDAY(B3178,2)</f>
        <v/>
      </c>
    </row>
    <row r="3179">
      <c r="A3179" t="n">
        <v>511068</v>
      </c>
      <c r="B3179" s="6" t="n">
        <v>45986</v>
      </c>
      <c r="C3179" t="n">
        <v>14878</v>
      </c>
      <c r="D3179" t="inlineStr">
        <is>
          <t>Kochi</t>
        </is>
      </c>
      <c r="E3179" t="inlineStr">
        <is>
          <t>South</t>
        </is>
      </c>
      <c r="F3179" t="inlineStr">
        <is>
          <t>Email</t>
        </is>
      </c>
      <c r="G3179" t="inlineStr">
        <is>
          <t>Mobile Web</t>
        </is>
      </c>
      <c r="H3179" t="inlineStr">
        <is>
          <t>UPI</t>
        </is>
      </c>
      <c r="I3179" t="inlineStr">
        <is>
          <t>Delivered</t>
        </is>
      </c>
      <c r="J3179" t="n">
        <v>112</v>
      </c>
      <c r="K3179" t="n">
        <v>1</v>
      </c>
      <c r="L3179" t="n">
        <v>1574</v>
      </c>
      <c r="M3179" t="n">
        <v>0</v>
      </c>
      <c r="N3179">
        <f>VLOOKUP(J3179,Products!$A$2:$C$49,3,FALSE)</f>
        <v/>
      </c>
      <c r="O3179">
        <f>K3179*L3179-M3179</f>
        <v/>
      </c>
      <c r="P3179">
        <f>TEXT(B3179,"yyyy-mm")</f>
        <v/>
      </c>
      <c r="Q3179">
        <f>IF(O3179&gt;=3000,"Large","Small")</f>
        <v/>
      </c>
      <c r="R3179">
        <f>INDEX(Products!$F$2:$F$49,MATCH(J3179,Products!$A$2:$A$49,0))</f>
        <v/>
      </c>
      <c r="S3179">
        <f>WEEKDAY(B3179,2)</f>
        <v/>
      </c>
    </row>
    <row r="3180">
      <c r="A3180" t="n">
        <v>511068</v>
      </c>
      <c r="B3180" s="6" t="n">
        <v>45986</v>
      </c>
      <c r="C3180" t="n">
        <v>14878</v>
      </c>
      <c r="D3180" t="inlineStr">
        <is>
          <t>Kochi</t>
        </is>
      </c>
      <c r="E3180" t="inlineStr">
        <is>
          <t>South</t>
        </is>
      </c>
      <c r="F3180" t="inlineStr">
        <is>
          <t>Email</t>
        </is>
      </c>
      <c r="G3180" t="inlineStr">
        <is>
          <t>Mobile Web</t>
        </is>
      </c>
      <c r="H3180" t="inlineStr">
        <is>
          <t>UPI</t>
        </is>
      </c>
      <c r="I3180" t="inlineStr">
        <is>
          <t>Delivered</t>
        </is>
      </c>
      <c r="J3180" t="n">
        <v>102</v>
      </c>
      <c r="K3180" t="n">
        <v>1</v>
      </c>
      <c r="L3180" t="n">
        <v>3674</v>
      </c>
      <c r="M3180" t="n">
        <v>0</v>
      </c>
      <c r="N3180">
        <f>VLOOKUP(J3180,Products!$A$2:$C$49,3,FALSE)</f>
        <v/>
      </c>
      <c r="O3180">
        <f>K3180*L3180-M3180</f>
        <v/>
      </c>
      <c r="P3180">
        <f>TEXT(B3180,"yyyy-mm")</f>
        <v/>
      </c>
      <c r="Q3180">
        <f>IF(O3180&gt;=3000,"Large","Small")</f>
        <v/>
      </c>
      <c r="R3180">
        <f>INDEX(Products!$F$2:$F$49,MATCH(J3180,Products!$A$2:$A$49,0))</f>
        <v/>
      </c>
      <c r="S3180">
        <f>WEEKDAY(B3180,2)</f>
        <v/>
      </c>
    </row>
    <row r="3181">
      <c r="A3181" t="n">
        <v>511068</v>
      </c>
      <c r="B3181" s="6" t="n">
        <v>45986</v>
      </c>
      <c r="C3181" t="n">
        <v>14878</v>
      </c>
      <c r="D3181" t="inlineStr">
        <is>
          <t>Kochi</t>
        </is>
      </c>
      <c r="E3181" t="inlineStr">
        <is>
          <t>South</t>
        </is>
      </c>
      <c r="F3181" t="inlineStr">
        <is>
          <t>Email</t>
        </is>
      </c>
      <c r="G3181" t="inlineStr">
        <is>
          <t>Mobile Web</t>
        </is>
      </c>
      <c r="H3181" t="inlineStr">
        <is>
          <t>UPI</t>
        </is>
      </c>
      <c r="I3181" t="inlineStr">
        <is>
          <t>Delivered</t>
        </is>
      </c>
      <c r="J3181" t="n">
        <v>120</v>
      </c>
      <c r="K3181" t="n">
        <v>1</v>
      </c>
      <c r="L3181" t="n">
        <v>734</v>
      </c>
      <c r="M3181" t="n">
        <v>0</v>
      </c>
      <c r="N3181">
        <f>VLOOKUP(J3181,Products!$A$2:$C$49,3,FALSE)</f>
        <v/>
      </c>
      <c r="O3181">
        <f>K3181*L3181-M3181</f>
        <v/>
      </c>
      <c r="P3181">
        <f>TEXT(B3181,"yyyy-mm")</f>
        <v/>
      </c>
      <c r="Q3181">
        <f>IF(O3181&gt;=3000,"Large","Small")</f>
        <v/>
      </c>
      <c r="R3181">
        <f>INDEX(Products!$F$2:$F$49,MATCH(J3181,Products!$A$2:$A$49,0))</f>
        <v/>
      </c>
      <c r="S3181">
        <f>WEEKDAY(B3181,2)</f>
        <v/>
      </c>
    </row>
    <row r="3182">
      <c r="A3182" t="n">
        <v>511068</v>
      </c>
      <c r="B3182" s="6" t="n">
        <v>45986</v>
      </c>
      <c r="C3182" t="n">
        <v>14878</v>
      </c>
      <c r="D3182" t="inlineStr">
        <is>
          <t>Kochi</t>
        </is>
      </c>
      <c r="E3182" t="inlineStr">
        <is>
          <t>South</t>
        </is>
      </c>
      <c r="F3182" t="inlineStr">
        <is>
          <t>Email</t>
        </is>
      </c>
      <c r="G3182" t="inlineStr">
        <is>
          <t>Mobile Web</t>
        </is>
      </c>
      <c r="H3182" t="inlineStr">
        <is>
          <t>UPI</t>
        </is>
      </c>
      <c r="I3182" t="inlineStr">
        <is>
          <t>Delivered</t>
        </is>
      </c>
      <c r="J3182" t="n">
        <v>138</v>
      </c>
      <c r="K3182" t="n">
        <v>1</v>
      </c>
      <c r="L3182" t="n">
        <v>419</v>
      </c>
      <c r="M3182" t="n">
        <v>0</v>
      </c>
      <c r="N3182">
        <f>VLOOKUP(J3182,Products!$A$2:$C$49,3,FALSE)</f>
        <v/>
      </c>
      <c r="O3182">
        <f>K3182*L3182-M3182</f>
        <v/>
      </c>
      <c r="P3182">
        <f>TEXT(B3182,"yyyy-mm")</f>
        <v/>
      </c>
      <c r="Q3182">
        <f>IF(O3182&gt;=3000,"Large","Small")</f>
        <v/>
      </c>
      <c r="R3182">
        <f>INDEX(Products!$F$2:$F$49,MATCH(J3182,Products!$A$2:$A$49,0))</f>
        <v/>
      </c>
      <c r="S3182">
        <f>WEEKDAY(B3182,2)</f>
        <v/>
      </c>
    </row>
    <row r="3183">
      <c r="A3183" t="n">
        <v>511069</v>
      </c>
      <c r="B3183" s="6" t="n">
        <v>45986</v>
      </c>
      <c r="C3183" t="n">
        <v>17468</v>
      </c>
      <c r="D3183" t="inlineStr">
        <is>
          <t>Bengaluru</t>
        </is>
      </c>
      <c r="E3183" t="inlineStr">
        <is>
          <t>South</t>
        </is>
      </c>
      <c r="F3183" t="inlineStr">
        <is>
          <t>Referral</t>
        </is>
      </c>
      <c r="G3183" t="inlineStr">
        <is>
          <t>Mobile App</t>
        </is>
      </c>
      <c r="H3183" t="inlineStr">
        <is>
          <t>UPI</t>
        </is>
      </c>
      <c r="I3183" t="inlineStr">
        <is>
          <t>Delivered</t>
        </is>
      </c>
      <c r="J3183" t="n">
        <v>109</v>
      </c>
      <c r="K3183" t="n">
        <v>1</v>
      </c>
      <c r="L3183" t="n">
        <v>4199</v>
      </c>
      <c r="M3183" t="n">
        <v>629.85</v>
      </c>
      <c r="N3183">
        <f>VLOOKUP(J3183,Products!$A$2:$C$49,3,FALSE)</f>
        <v/>
      </c>
      <c r="O3183">
        <f>K3183*L3183-M3183</f>
        <v/>
      </c>
      <c r="P3183">
        <f>TEXT(B3183,"yyyy-mm")</f>
        <v/>
      </c>
      <c r="Q3183">
        <f>IF(O3183&gt;=3000,"Large","Small")</f>
        <v/>
      </c>
      <c r="R3183">
        <f>INDEX(Products!$F$2:$F$49,MATCH(J3183,Products!$A$2:$A$49,0))</f>
        <v/>
      </c>
      <c r="S3183">
        <f>WEEKDAY(B3183,2)</f>
        <v/>
      </c>
    </row>
    <row r="3184">
      <c r="A3184" t="n">
        <v>511069</v>
      </c>
      <c r="B3184" s="6" t="n">
        <v>45986</v>
      </c>
      <c r="C3184" t="n">
        <v>17468</v>
      </c>
      <c r="D3184" t="inlineStr">
        <is>
          <t>Bengaluru</t>
        </is>
      </c>
      <c r="E3184" t="inlineStr">
        <is>
          <t>South</t>
        </is>
      </c>
      <c r="F3184" t="inlineStr">
        <is>
          <t>Referral</t>
        </is>
      </c>
      <c r="G3184" t="inlineStr">
        <is>
          <t>Mobile App</t>
        </is>
      </c>
      <c r="H3184" t="inlineStr">
        <is>
          <t>UPI</t>
        </is>
      </c>
      <c r="I3184" t="inlineStr">
        <is>
          <t>Delivered</t>
        </is>
      </c>
      <c r="J3184" t="n">
        <v>107</v>
      </c>
      <c r="K3184" t="n">
        <v>1</v>
      </c>
      <c r="L3184" t="n">
        <v>1259</v>
      </c>
      <c r="M3184" t="n">
        <v>188.85</v>
      </c>
      <c r="N3184">
        <f>VLOOKUP(J3184,Products!$A$2:$C$49,3,FALSE)</f>
        <v/>
      </c>
      <c r="O3184">
        <f>K3184*L3184-M3184</f>
        <v/>
      </c>
      <c r="P3184">
        <f>TEXT(B3184,"yyyy-mm")</f>
        <v/>
      </c>
      <c r="Q3184">
        <f>IF(O3184&gt;=3000,"Large","Small")</f>
        <v/>
      </c>
      <c r="R3184">
        <f>INDEX(Products!$F$2:$F$49,MATCH(J3184,Products!$A$2:$A$49,0))</f>
        <v/>
      </c>
      <c r="S3184">
        <f>WEEKDAY(B3184,2)</f>
        <v/>
      </c>
    </row>
    <row r="3185">
      <c r="A3185" t="n">
        <v>511070</v>
      </c>
      <c r="B3185" s="6" t="n">
        <v>45986</v>
      </c>
      <c r="C3185" t="n">
        <v>17457</v>
      </c>
      <c r="D3185" t="inlineStr">
        <is>
          <t>Chennai</t>
        </is>
      </c>
      <c r="E3185" t="inlineStr">
        <is>
          <t>South</t>
        </is>
      </c>
      <c r="F3185" t="inlineStr">
        <is>
          <t>Referral</t>
        </is>
      </c>
      <c r="G3185" t="inlineStr">
        <is>
          <t>Mobile App</t>
        </is>
      </c>
      <c r="H3185" t="inlineStr">
        <is>
          <t>UPI</t>
        </is>
      </c>
      <c r="I3185" t="inlineStr">
        <is>
          <t>Delivered</t>
        </is>
      </c>
      <c r="J3185" t="n">
        <v>135</v>
      </c>
      <c r="K3185" t="n">
        <v>2</v>
      </c>
      <c r="L3185" t="n">
        <v>1574</v>
      </c>
      <c r="M3185" t="n">
        <v>472.2</v>
      </c>
      <c r="N3185">
        <f>VLOOKUP(J3185,Products!$A$2:$C$49,3,FALSE)</f>
        <v/>
      </c>
      <c r="O3185">
        <f>K3185*L3185-M3185</f>
        <v/>
      </c>
      <c r="P3185">
        <f>TEXT(B3185,"yyyy-mm")</f>
        <v/>
      </c>
      <c r="Q3185">
        <f>IF(O3185&gt;=3000,"Large","Small")</f>
        <v/>
      </c>
      <c r="R3185">
        <f>INDEX(Products!$F$2:$F$49,MATCH(J3185,Products!$A$2:$A$49,0))</f>
        <v/>
      </c>
      <c r="S3185">
        <f>WEEKDAY(B3185,2)</f>
        <v/>
      </c>
    </row>
    <row r="3186">
      <c r="A3186" t="n">
        <v>511071</v>
      </c>
      <c r="B3186" s="6" t="n">
        <v>45986</v>
      </c>
      <c r="C3186" t="n">
        <v>17479</v>
      </c>
      <c r="D3186" t="inlineStr">
        <is>
          <t>Mumbai</t>
        </is>
      </c>
      <c r="E3186" t="inlineStr">
        <is>
          <t>West</t>
        </is>
      </c>
      <c r="F3186" t="inlineStr">
        <is>
          <t>Paid Social</t>
        </is>
      </c>
      <c r="G3186" t="inlineStr">
        <is>
          <t>Mobile Web</t>
        </is>
      </c>
      <c r="H3186" t="inlineStr">
        <is>
          <t>UPI</t>
        </is>
      </c>
      <c r="I3186" t="inlineStr">
        <is>
          <t>Delivered</t>
        </is>
      </c>
      <c r="J3186" t="n">
        <v>113</v>
      </c>
      <c r="K3186" t="n">
        <v>1</v>
      </c>
      <c r="L3186" t="n">
        <v>1364</v>
      </c>
      <c r="M3186" t="n">
        <v>68.2</v>
      </c>
      <c r="N3186">
        <f>VLOOKUP(J3186,Products!$A$2:$C$49,3,FALSE)</f>
        <v/>
      </c>
      <c r="O3186">
        <f>K3186*L3186-M3186</f>
        <v/>
      </c>
      <c r="P3186">
        <f>TEXT(B3186,"yyyy-mm")</f>
        <v/>
      </c>
      <c r="Q3186">
        <f>IF(O3186&gt;=3000,"Large","Small")</f>
        <v/>
      </c>
      <c r="R3186">
        <f>INDEX(Products!$F$2:$F$49,MATCH(J3186,Products!$A$2:$A$49,0))</f>
        <v/>
      </c>
      <c r="S3186">
        <f>WEEKDAY(B3186,2)</f>
        <v/>
      </c>
    </row>
    <row r="3187">
      <c r="A3187" t="n">
        <v>511071</v>
      </c>
      <c r="B3187" s="6" t="n">
        <v>45986</v>
      </c>
      <c r="C3187" t="n">
        <v>17479</v>
      </c>
      <c r="D3187" t="inlineStr">
        <is>
          <t>Mumbai</t>
        </is>
      </c>
      <c r="E3187" t="inlineStr">
        <is>
          <t>West</t>
        </is>
      </c>
      <c r="F3187" t="inlineStr">
        <is>
          <t>Paid Social</t>
        </is>
      </c>
      <c r="G3187" t="inlineStr">
        <is>
          <t>Mobile Web</t>
        </is>
      </c>
      <c r="H3187" t="inlineStr">
        <is>
          <t>UPI</t>
        </is>
      </c>
      <c r="I3187" t="inlineStr">
        <is>
          <t>Delivered</t>
        </is>
      </c>
      <c r="J3187" t="n">
        <v>142</v>
      </c>
      <c r="K3187" t="n">
        <v>1</v>
      </c>
      <c r="L3187" t="n">
        <v>839</v>
      </c>
      <c r="M3187" t="n">
        <v>41.95</v>
      </c>
      <c r="N3187">
        <f>VLOOKUP(J3187,Products!$A$2:$C$49,3,FALSE)</f>
        <v/>
      </c>
      <c r="O3187">
        <f>K3187*L3187-M3187</f>
        <v/>
      </c>
      <c r="P3187">
        <f>TEXT(B3187,"yyyy-mm")</f>
        <v/>
      </c>
      <c r="Q3187">
        <f>IF(O3187&gt;=3000,"Large","Small")</f>
        <v/>
      </c>
      <c r="R3187">
        <f>INDEX(Products!$F$2:$F$49,MATCH(J3187,Products!$A$2:$A$49,0))</f>
        <v/>
      </c>
      <c r="S3187">
        <f>WEEKDAY(B3187,2)</f>
        <v/>
      </c>
    </row>
    <row r="3188">
      <c r="A3188" t="n">
        <v>511072</v>
      </c>
      <c r="B3188" s="6" t="n">
        <v>45986</v>
      </c>
      <c r="C3188" t="n">
        <v>17075</v>
      </c>
      <c r="D3188" t="inlineStr">
        <is>
          <t>Delhi</t>
        </is>
      </c>
      <c r="E3188" t="inlineStr">
        <is>
          <t>North</t>
        </is>
      </c>
      <c r="F3188" t="inlineStr">
        <is>
          <t>Organic Search</t>
        </is>
      </c>
      <c r="G3188" t="inlineStr">
        <is>
          <t>Desktop</t>
        </is>
      </c>
      <c r="H3188" t="inlineStr">
        <is>
          <t>Cash on Delivery</t>
        </is>
      </c>
      <c r="I3188" t="inlineStr">
        <is>
          <t>Delivered</t>
        </is>
      </c>
      <c r="J3188" t="n">
        <v>118</v>
      </c>
      <c r="K3188" t="n">
        <v>1</v>
      </c>
      <c r="L3188" t="n">
        <v>944</v>
      </c>
      <c r="M3188" t="n">
        <v>0</v>
      </c>
      <c r="N3188">
        <f>VLOOKUP(J3188,Products!$A$2:$C$49,3,FALSE)</f>
        <v/>
      </c>
      <c r="O3188">
        <f>K3188*L3188-M3188</f>
        <v/>
      </c>
      <c r="P3188">
        <f>TEXT(B3188,"yyyy-mm")</f>
        <v/>
      </c>
      <c r="Q3188">
        <f>IF(O3188&gt;=3000,"Large","Small")</f>
        <v/>
      </c>
      <c r="R3188">
        <f>INDEX(Products!$F$2:$F$49,MATCH(J3188,Products!$A$2:$A$49,0))</f>
        <v/>
      </c>
      <c r="S3188">
        <f>WEEKDAY(B3188,2)</f>
        <v/>
      </c>
    </row>
    <row r="3189">
      <c r="A3189" t="n">
        <v>511073</v>
      </c>
      <c r="B3189" s="6" t="n">
        <v>45986</v>
      </c>
      <c r="C3189" t="n">
        <v>17431</v>
      </c>
      <c r="D3189" t="inlineStr">
        <is>
          <t>Noida</t>
        </is>
      </c>
      <c r="E3189" t="inlineStr">
        <is>
          <t>North</t>
        </is>
      </c>
      <c r="F3189" t="inlineStr">
        <is>
          <t>Paid Social</t>
        </is>
      </c>
      <c r="G3189" t="inlineStr">
        <is>
          <t>Mobile App</t>
        </is>
      </c>
      <c r="H3189" t="inlineStr">
        <is>
          <t>Cash on Delivery</t>
        </is>
      </c>
      <c r="I3189" t="inlineStr">
        <is>
          <t>Delivered</t>
        </is>
      </c>
      <c r="J3189" t="n">
        <v>114</v>
      </c>
      <c r="K3189" t="n">
        <v>1</v>
      </c>
      <c r="L3189" t="n">
        <v>1259</v>
      </c>
      <c r="M3189" t="n">
        <v>188.85</v>
      </c>
      <c r="N3189">
        <f>VLOOKUP(J3189,Products!$A$2:$C$49,3,FALSE)</f>
        <v/>
      </c>
      <c r="O3189">
        <f>K3189*L3189-M3189</f>
        <v/>
      </c>
      <c r="P3189">
        <f>TEXT(B3189,"yyyy-mm")</f>
        <v/>
      </c>
      <c r="Q3189">
        <f>IF(O3189&gt;=3000,"Large","Small")</f>
        <v/>
      </c>
      <c r="R3189">
        <f>INDEX(Products!$F$2:$F$49,MATCH(J3189,Products!$A$2:$A$49,0))</f>
        <v/>
      </c>
      <c r="S3189">
        <f>WEEKDAY(B3189,2)</f>
        <v/>
      </c>
    </row>
    <row r="3190">
      <c r="A3190" t="n">
        <v>511074</v>
      </c>
      <c r="B3190" s="6" t="n">
        <v>45986</v>
      </c>
      <c r="C3190" t="n">
        <v>17077</v>
      </c>
      <c r="D3190" t="inlineStr">
        <is>
          <t>Noida</t>
        </is>
      </c>
      <c r="E3190" t="inlineStr">
        <is>
          <t>North</t>
        </is>
      </c>
      <c r="F3190" t="inlineStr">
        <is>
          <t>Paid Social</t>
        </is>
      </c>
      <c r="G3190" t="inlineStr">
        <is>
          <t>Mobile App</t>
        </is>
      </c>
      <c r="H3190" t="inlineStr">
        <is>
          <t>UPI</t>
        </is>
      </c>
      <c r="I3190" t="inlineStr">
        <is>
          <t>Delivered</t>
        </is>
      </c>
      <c r="J3190" t="n">
        <v>105</v>
      </c>
      <c r="K3190" t="n">
        <v>1</v>
      </c>
      <c r="L3190" t="n">
        <v>2414</v>
      </c>
      <c r="M3190" t="n">
        <v>0</v>
      </c>
      <c r="N3190">
        <f>VLOOKUP(J3190,Products!$A$2:$C$49,3,FALSE)</f>
        <v/>
      </c>
      <c r="O3190">
        <f>K3190*L3190-M3190</f>
        <v/>
      </c>
      <c r="P3190">
        <f>TEXT(B3190,"yyyy-mm")</f>
        <v/>
      </c>
      <c r="Q3190">
        <f>IF(O3190&gt;=3000,"Large","Small")</f>
        <v/>
      </c>
      <c r="R3190">
        <f>INDEX(Products!$F$2:$F$49,MATCH(J3190,Products!$A$2:$A$49,0))</f>
        <v/>
      </c>
      <c r="S3190">
        <f>WEEKDAY(B3190,2)</f>
        <v/>
      </c>
    </row>
    <row r="3191">
      <c r="A3191" t="n">
        <v>511075</v>
      </c>
      <c r="B3191" s="6" t="n">
        <v>45986</v>
      </c>
      <c r="C3191" t="n">
        <v>17490</v>
      </c>
      <c r="D3191" t="inlineStr">
        <is>
          <t>Mumbai</t>
        </is>
      </c>
      <c r="E3191" t="inlineStr">
        <is>
          <t>West</t>
        </is>
      </c>
      <c r="F3191" t="inlineStr">
        <is>
          <t>Paid Search</t>
        </is>
      </c>
      <c r="G3191" t="inlineStr">
        <is>
          <t>Mobile App</t>
        </is>
      </c>
      <c r="H3191" t="inlineStr">
        <is>
          <t>UPI</t>
        </is>
      </c>
      <c r="I3191" t="inlineStr">
        <is>
          <t>Delivered</t>
        </is>
      </c>
      <c r="J3191" t="n">
        <v>134</v>
      </c>
      <c r="K3191" t="n">
        <v>1</v>
      </c>
      <c r="L3191" t="n">
        <v>209</v>
      </c>
      <c r="M3191" t="n">
        <v>31.35</v>
      </c>
      <c r="N3191">
        <f>VLOOKUP(J3191,Products!$A$2:$C$49,3,FALSE)</f>
        <v/>
      </c>
      <c r="O3191">
        <f>K3191*L3191-M3191</f>
        <v/>
      </c>
      <c r="P3191">
        <f>TEXT(B3191,"yyyy-mm")</f>
        <v/>
      </c>
      <c r="Q3191">
        <f>IF(O3191&gt;=3000,"Large","Small")</f>
        <v/>
      </c>
      <c r="R3191">
        <f>INDEX(Products!$F$2:$F$49,MATCH(J3191,Products!$A$2:$A$49,0))</f>
        <v/>
      </c>
      <c r="S3191">
        <f>WEEKDAY(B3191,2)</f>
        <v/>
      </c>
    </row>
    <row r="3192">
      <c r="A3192" t="n">
        <v>511076</v>
      </c>
      <c r="B3192" s="6" t="n">
        <v>45986</v>
      </c>
      <c r="C3192" t="n">
        <v>17334</v>
      </c>
      <c r="D3192" t="inlineStr">
        <is>
          <t>Delhi</t>
        </is>
      </c>
      <c r="E3192" t="inlineStr">
        <is>
          <t>North</t>
        </is>
      </c>
      <c r="F3192" t="inlineStr">
        <is>
          <t>Organic Search</t>
        </is>
      </c>
      <c r="G3192" t="inlineStr">
        <is>
          <t>Mobile Web</t>
        </is>
      </c>
      <c r="H3192" t="inlineStr">
        <is>
          <t>UPI</t>
        </is>
      </c>
      <c r="I3192" t="inlineStr">
        <is>
          <t>Cancelled</t>
        </is>
      </c>
      <c r="J3192" t="n">
        <v>131</v>
      </c>
      <c r="K3192" t="n">
        <v>2</v>
      </c>
      <c r="L3192" t="n">
        <v>314</v>
      </c>
      <c r="M3192" t="n">
        <v>94.2</v>
      </c>
      <c r="N3192">
        <f>VLOOKUP(J3192,Products!$A$2:$C$49,3,FALSE)</f>
        <v/>
      </c>
      <c r="O3192">
        <f>K3192*L3192-M3192</f>
        <v/>
      </c>
      <c r="P3192">
        <f>TEXT(B3192,"yyyy-mm")</f>
        <v/>
      </c>
      <c r="Q3192">
        <f>IF(O3192&gt;=3000,"Large","Small")</f>
        <v/>
      </c>
      <c r="R3192">
        <f>INDEX(Products!$F$2:$F$49,MATCH(J3192,Products!$A$2:$A$49,0))</f>
        <v/>
      </c>
      <c r="S3192">
        <f>WEEKDAY(B3192,2)</f>
        <v/>
      </c>
    </row>
    <row r="3193">
      <c r="A3193" t="n">
        <v>511077</v>
      </c>
      <c r="B3193" s="6" t="n">
        <v>45986</v>
      </c>
      <c r="C3193" t="n">
        <v>17424</v>
      </c>
      <c r="D3193" t="inlineStr">
        <is>
          <t>Gurugram</t>
        </is>
      </c>
      <c r="E3193" t="inlineStr">
        <is>
          <t>North</t>
        </is>
      </c>
      <c r="F3193" t="inlineStr">
        <is>
          <t>Organic Search</t>
        </is>
      </c>
      <c r="G3193" t="inlineStr">
        <is>
          <t>Mobile Web</t>
        </is>
      </c>
      <c r="H3193" t="inlineStr">
        <is>
          <t>UPI</t>
        </is>
      </c>
      <c r="I3193" t="inlineStr">
        <is>
          <t>Delivered</t>
        </is>
      </c>
      <c r="J3193" t="n">
        <v>124</v>
      </c>
      <c r="K3193" t="n">
        <v>2</v>
      </c>
      <c r="L3193" t="n">
        <v>1154</v>
      </c>
      <c r="M3193" t="n">
        <v>0</v>
      </c>
      <c r="N3193">
        <f>VLOOKUP(J3193,Products!$A$2:$C$49,3,FALSE)</f>
        <v/>
      </c>
      <c r="O3193">
        <f>K3193*L3193-M3193</f>
        <v/>
      </c>
      <c r="P3193">
        <f>TEXT(B3193,"yyyy-mm")</f>
        <v/>
      </c>
      <c r="Q3193">
        <f>IF(O3193&gt;=3000,"Large","Small")</f>
        <v/>
      </c>
      <c r="R3193">
        <f>INDEX(Products!$F$2:$F$49,MATCH(J3193,Products!$A$2:$A$49,0))</f>
        <v/>
      </c>
      <c r="S3193">
        <f>WEEKDAY(B3193,2)</f>
        <v/>
      </c>
    </row>
    <row r="3194">
      <c r="A3194" t="n">
        <v>511077</v>
      </c>
      <c r="B3194" s="6" t="n">
        <v>45986</v>
      </c>
      <c r="C3194" t="n">
        <v>17424</v>
      </c>
      <c r="D3194" t="inlineStr">
        <is>
          <t>Gurugram</t>
        </is>
      </c>
      <c r="E3194" t="inlineStr">
        <is>
          <t>North</t>
        </is>
      </c>
      <c r="F3194" t="inlineStr">
        <is>
          <t>Organic Search</t>
        </is>
      </c>
      <c r="G3194" t="inlineStr">
        <is>
          <t>Mobile Web</t>
        </is>
      </c>
      <c r="H3194" t="inlineStr">
        <is>
          <t>UPI</t>
        </is>
      </c>
      <c r="I3194" t="inlineStr">
        <is>
          <t>Delivered</t>
        </is>
      </c>
      <c r="J3194" t="n">
        <v>104</v>
      </c>
      <c r="K3194" t="n">
        <v>2</v>
      </c>
      <c r="L3194" t="n">
        <v>5249</v>
      </c>
      <c r="M3194" t="n">
        <v>0</v>
      </c>
      <c r="N3194">
        <f>VLOOKUP(J3194,Products!$A$2:$C$49,3,FALSE)</f>
        <v/>
      </c>
      <c r="O3194">
        <f>K3194*L3194-M3194</f>
        <v/>
      </c>
      <c r="P3194">
        <f>TEXT(B3194,"yyyy-mm")</f>
        <v/>
      </c>
      <c r="Q3194">
        <f>IF(O3194&gt;=3000,"Large","Small")</f>
        <v/>
      </c>
      <c r="R3194">
        <f>INDEX(Products!$F$2:$F$49,MATCH(J3194,Products!$A$2:$A$49,0))</f>
        <v/>
      </c>
      <c r="S3194">
        <f>WEEKDAY(B3194,2)</f>
        <v/>
      </c>
    </row>
    <row r="3195">
      <c r="A3195" t="n">
        <v>511078</v>
      </c>
      <c r="B3195" s="6" t="n">
        <v>45986</v>
      </c>
      <c r="C3195" t="n">
        <v>17450</v>
      </c>
      <c r="D3195" t="inlineStr">
        <is>
          <t>Bengaluru</t>
        </is>
      </c>
      <c r="E3195" t="inlineStr">
        <is>
          <t>South</t>
        </is>
      </c>
      <c r="F3195" t="inlineStr">
        <is>
          <t>Organic Search</t>
        </is>
      </c>
      <c r="G3195" t="inlineStr">
        <is>
          <t>Mobile App</t>
        </is>
      </c>
      <c r="H3195" t="inlineStr">
        <is>
          <t>UPI</t>
        </is>
      </c>
      <c r="I3195" t="inlineStr">
        <is>
          <t>Delivered</t>
        </is>
      </c>
      <c r="J3195" t="n">
        <v>136</v>
      </c>
      <c r="K3195" t="n">
        <v>1</v>
      </c>
      <c r="L3195" t="n">
        <v>944</v>
      </c>
      <c r="M3195" t="n">
        <v>0</v>
      </c>
      <c r="N3195">
        <f>VLOOKUP(J3195,Products!$A$2:$C$49,3,FALSE)</f>
        <v/>
      </c>
      <c r="O3195">
        <f>K3195*L3195-M3195</f>
        <v/>
      </c>
      <c r="P3195">
        <f>TEXT(B3195,"yyyy-mm")</f>
        <v/>
      </c>
      <c r="Q3195">
        <f>IF(O3195&gt;=3000,"Large","Small")</f>
        <v/>
      </c>
      <c r="R3195">
        <f>INDEX(Products!$F$2:$F$49,MATCH(J3195,Products!$A$2:$A$49,0))</f>
        <v/>
      </c>
      <c r="S3195">
        <f>WEEKDAY(B3195,2)</f>
        <v/>
      </c>
    </row>
    <row r="3196">
      <c r="A3196" t="n">
        <v>511078</v>
      </c>
      <c r="B3196" s="6" t="n">
        <v>45986</v>
      </c>
      <c r="C3196" t="n">
        <v>17450</v>
      </c>
      <c r="D3196" t="inlineStr">
        <is>
          <t>Bengaluru</t>
        </is>
      </c>
      <c r="E3196" t="inlineStr">
        <is>
          <t>South</t>
        </is>
      </c>
      <c r="F3196" t="inlineStr">
        <is>
          <t>Organic Search</t>
        </is>
      </c>
      <c r="G3196" t="inlineStr">
        <is>
          <t>Mobile App</t>
        </is>
      </c>
      <c r="H3196" t="inlineStr">
        <is>
          <t>UPI</t>
        </is>
      </c>
      <c r="I3196" t="inlineStr">
        <is>
          <t>Delivered</t>
        </is>
      </c>
      <c r="J3196" t="n">
        <v>113</v>
      </c>
      <c r="K3196" t="n">
        <v>1</v>
      </c>
      <c r="L3196" t="n">
        <v>1364</v>
      </c>
      <c r="M3196" t="n">
        <v>0</v>
      </c>
      <c r="N3196">
        <f>VLOOKUP(J3196,Products!$A$2:$C$49,3,FALSE)</f>
        <v/>
      </c>
      <c r="O3196">
        <f>K3196*L3196-M3196</f>
        <v/>
      </c>
      <c r="P3196">
        <f>TEXT(B3196,"yyyy-mm")</f>
        <v/>
      </c>
      <c r="Q3196">
        <f>IF(O3196&gt;=3000,"Large","Small")</f>
        <v/>
      </c>
      <c r="R3196">
        <f>INDEX(Products!$F$2:$F$49,MATCH(J3196,Products!$A$2:$A$49,0))</f>
        <v/>
      </c>
      <c r="S3196">
        <f>WEEKDAY(B3196,2)</f>
        <v/>
      </c>
    </row>
    <row r="3197">
      <c r="A3197" t="n">
        <v>511079</v>
      </c>
      <c r="B3197" s="6" t="n">
        <v>45986</v>
      </c>
      <c r="C3197" t="n">
        <v>17501</v>
      </c>
      <c r="D3197" t="inlineStr">
        <is>
          <t>Kochi</t>
        </is>
      </c>
      <c r="E3197" t="inlineStr">
        <is>
          <t>South</t>
        </is>
      </c>
      <c r="F3197" t="inlineStr">
        <is>
          <t>Email</t>
        </is>
      </c>
      <c r="G3197" t="inlineStr">
        <is>
          <t>Desktop</t>
        </is>
      </c>
      <c r="H3197" t="inlineStr">
        <is>
          <t>Debit Card</t>
        </is>
      </c>
      <c r="I3197" t="inlineStr">
        <is>
          <t>Delivered</t>
        </is>
      </c>
      <c r="J3197" t="n">
        <v>120</v>
      </c>
      <c r="K3197" t="n">
        <v>1</v>
      </c>
      <c r="L3197" t="n">
        <v>734</v>
      </c>
      <c r="M3197" t="n">
        <v>110.1</v>
      </c>
      <c r="N3197">
        <f>VLOOKUP(J3197,Products!$A$2:$C$49,3,FALSE)</f>
        <v/>
      </c>
      <c r="O3197">
        <f>K3197*L3197-M3197</f>
        <v/>
      </c>
      <c r="P3197">
        <f>TEXT(B3197,"yyyy-mm")</f>
        <v/>
      </c>
      <c r="Q3197">
        <f>IF(O3197&gt;=3000,"Large","Small")</f>
        <v/>
      </c>
      <c r="R3197">
        <f>INDEX(Products!$F$2:$F$49,MATCH(J3197,Products!$A$2:$A$49,0))</f>
        <v/>
      </c>
      <c r="S3197">
        <f>WEEKDAY(B3197,2)</f>
        <v/>
      </c>
    </row>
    <row r="3198">
      <c r="A3198" t="n">
        <v>511080</v>
      </c>
      <c r="B3198" s="6" t="n">
        <v>45986</v>
      </c>
      <c r="C3198" t="n">
        <v>17402</v>
      </c>
      <c r="D3198" t="inlineStr">
        <is>
          <t>Mumbai</t>
        </is>
      </c>
      <c r="E3198" t="inlineStr">
        <is>
          <t>West</t>
        </is>
      </c>
      <c r="F3198" t="inlineStr">
        <is>
          <t>Paid Social</t>
        </is>
      </c>
      <c r="G3198" t="inlineStr">
        <is>
          <t>Mobile App</t>
        </is>
      </c>
      <c r="H3198" t="inlineStr">
        <is>
          <t>Cash on Delivery</t>
        </is>
      </c>
      <c r="I3198" t="inlineStr">
        <is>
          <t>Delivered</t>
        </is>
      </c>
      <c r="J3198" t="n">
        <v>114</v>
      </c>
      <c r="K3198" t="n">
        <v>2</v>
      </c>
      <c r="L3198" t="n">
        <v>1259</v>
      </c>
      <c r="M3198" t="n">
        <v>0</v>
      </c>
      <c r="N3198">
        <f>VLOOKUP(J3198,Products!$A$2:$C$49,3,FALSE)</f>
        <v/>
      </c>
      <c r="O3198">
        <f>K3198*L3198-M3198</f>
        <v/>
      </c>
      <c r="P3198">
        <f>TEXT(B3198,"yyyy-mm")</f>
        <v/>
      </c>
      <c r="Q3198">
        <f>IF(O3198&gt;=3000,"Large","Small")</f>
        <v/>
      </c>
      <c r="R3198">
        <f>INDEX(Products!$F$2:$F$49,MATCH(J3198,Products!$A$2:$A$49,0))</f>
        <v/>
      </c>
      <c r="S3198">
        <f>WEEKDAY(B3198,2)</f>
        <v/>
      </c>
    </row>
    <row r="3199">
      <c r="A3199" t="n">
        <v>511080</v>
      </c>
      <c r="B3199" s="6" t="n">
        <v>45986</v>
      </c>
      <c r="C3199" t="n">
        <v>17402</v>
      </c>
      <c r="D3199" t="inlineStr">
        <is>
          <t>Mumbai</t>
        </is>
      </c>
      <c r="E3199" t="inlineStr">
        <is>
          <t>West</t>
        </is>
      </c>
      <c r="F3199" t="inlineStr">
        <is>
          <t>Paid Social</t>
        </is>
      </c>
      <c r="G3199" t="inlineStr">
        <is>
          <t>Mobile App</t>
        </is>
      </c>
      <c r="H3199" t="inlineStr">
        <is>
          <t>Cash on Delivery</t>
        </is>
      </c>
      <c r="I3199" t="inlineStr">
        <is>
          <t>Delivered</t>
        </is>
      </c>
      <c r="J3199" t="n">
        <v>137</v>
      </c>
      <c r="K3199" t="n">
        <v>1</v>
      </c>
      <c r="L3199" t="n">
        <v>261</v>
      </c>
      <c r="M3199" t="n">
        <v>0</v>
      </c>
      <c r="N3199">
        <f>VLOOKUP(J3199,Products!$A$2:$C$49,3,FALSE)</f>
        <v/>
      </c>
      <c r="O3199">
        <f>K3199*L3199-M3199</f>
        <v/>
      </c>
      <c r="P3199">
        <f>TEXT(B3199,"yyyy-mm")</f>
        <v/>
      </c>
      <c r="Q3199">
        <f>IF(O3199&gt;=3000,"Large","Small")</f>
        <v/>
      </c>
      <c r="R3199">
        <f>INDEX(Products!$F$2:$F$49,MATCH(J3199,Products!$A$2:$A$49,0))</f>
        <v/>
      </c>
      <c r="S3199">
        <f>WEEKDAY(B3199,2)</f>
        <v/>
      </c>
    </row>
    <row r="3200">
      <c r="A3200" t="n">
        <v>511081</v>
      </c>
      <c r="B3200" s="6" t="n">
        <v>45986</v>
      </c>
      <c r="C3200" t="n">
        <v>17474</v>
      </c>
      <c r="D3200" t="inlineStr">
        <is>
          <t>Mumbai</t>
        </is>
      </c>
      <c r="E3200" t="inlineStr">
        <is>
          <t>West</t>
        </is>
      </c>
      <c r="F3200" t="inlineStr">
        <is>
          <t>Paid Social</t>
        </is>
      </c>
      <c r="G3200" t="inlineStr">
        <is>
          <t>Mobile App</t>
        </is>
      </c>
      <c r="H3200" t="inlineStr">
        <is>
          <t>Cash on Delivery</t>
        </is>
      </c>
      <c r="I3200" t="inlineStr">
        <is>
          <t>Delivered</t>
        </is>
      </c>
      <c r="J3200" t="n">
        <v>106</v>
      </c>
      <c r="K3200" t="n">
        <v>1</v>
      </c>
      <c r="L3200" t="n">
        <v>1574</v>
      </c>
      <c r="M3200" t="n">
        <v>236.1</v>
      </c>
      <c r="N3200">
        <f>VLOOKUP(J3200,Products!$A$2:$C$49,3,FALSE)</f>
        <v/>
      </c>
      <c r="O3200">
        <f>K3200*L3200-M3200</f>
        <v/>
      </c>
      <c r="P3200">
        <f>TEXT(B3200,"yyyy-mm")</f>
        <v/>
      </c>
      <c r="Q3200">
        <f>IF(O3200&gt;=3000,"Large","Small")</f>
        <v/>
      </c>
      <c r="R3200">
        <f>INDEX(Products!$F$2:$F$49,MATCH(J3200,Products!$A$2:$A$49,0))</f>
        <v/>
      </c>
      <c r="S3200">
        <f>WEEKDAY(B3200,2)</f>
        <v/>
      </c>
    </row>
    <row r="3201">
      <c r="A3201" t="n">
        <v>511082</v>
      </c>
      <c r="B3201" s="6" t="n">
        <v>45987</v>
      </c>
      <c r="C3201" t="n">
        <v>14057</v>
      </c>
      <c r="D3201" t="inlineStr">
        <is>
          <t>Pune</t>
        </is>
      </c>
      <c r="E3201" t="inlineStr">
        <is>
          <t>West</t>
        </is>
      </c>
      <c r="F3201" t="inlineStr">
        <is>
          <t>Organic Search</t>
        </is>
      </c>
      <c r="G3201" t="inlineStr">
        <is>
          <t>Mobile App</t>
        </is>
      </c>
      <c r="H3201" t="inlineStr">
        <is>
          <t>Credit Card</t>
        </is>
      </c>
      <c r="I3201" t="inlineStr">
        <is>
          <t>Delivered</t>
        </is>
      </c>
      <c r="J3201" t="n">
        <v>148</v>
      </c>
      <c r="K3201" t="n">
        <v>1</v>
      </c>
      <c r="L3201" t="n">
        <v>734</v>
      </c>
      <c r="M3201" t="n">
        <v>36.7</v>
      </c>
      <c r="N3201">
        <f>VLOOKUP(J3201,Products!$A$2:$C$49,3,FALSE)</f>
        <v/>
      </c>
      <c r="O3201">
        <f>K3201*L3201-M3201</f>
        <v/>
      </c>
      <c r="P3201">
        <f>TEXT(B3201,"yyyy-mm")</f>
        <v/>
      </c>
      <c r="Q3201">
        <f>IF(O3201&gt;=3000,"Large","Small")</f>
        <v/>
      </c>
      <c r="R3201">
        <f>INDEX(Products!$F$2:$F$49,MATCH(J3201,Products!$A$2:$A$49,0))</f>
        <v/>
      </c>
      <c r="S3201">
        <f>WEEKDAY(B3201,2)</f>
        <v/>
      </c>
    </row>
    <row r="3202">
      <c r="A3202" t="n">
        <v>511083</v>
      </c>
      <c r="B3202" s="6" t="n">
        <v>45987</v>
      </c>
      <c r="C3202" t="n">
        <v>17495</v>
      </c>
      <c r="D3202" t="inlineStr">
        <is>
          <t>Bengaluru</t>
        </is>
      </c>
      <c r="E3202" t="inlineStr">
        <is>
          <t>South</t>
        </is>
      </c>
      <c r="F3202" t="inlineStr">
        <is>
          <t>Paid Social</t>
        </is>
      </c>
      <c r="G3202" t="inlineStr">
        <is>
          <t>Mobile Web</t>
        </is>
      </c>
      <c r="H3202" t="inlineStr">
        <is>
          <t>UPI</t>
        </is>
      </c>
      <c r="I3202" t="inlineStr">
        <is>
          <t>Delivered</t>
        </is>
      </c>
      <c r="J3202" t="n">
        <v>130</v>
      </c>
      <c r="K3202" t="n">
        <v>1</v>
      </c>
      <c r="L3202" t="n">
        <v>734</v>
      </c>
      <c r="M3202" t="n">
        <v>0</v>
      </c>
      <c r="N3202">
        <f>VLOOKUP(J3202,Products!$A$2:$C$49,3,FALSE)</f>
        <v/>
      </c>
      <c r="O3202">
        <f>K3202*L3202-M3202</f>
        <v/>
      </c>
      <c r="P3202">
        <f>TEXT(B3202,"yyyy-mm")</f>
        <v/>
      </c>
      <c r="Q3202">
        <f>IF(O3202&gt;=3000,"Large","Small")</f>
        <v/>
      </c>
      <c r="R3202">
        <f>INDEX(Products!$F$2:$F$49,MATCH(J3202,Products!$A$2:$A$49,0))</f>
        <v/>
      </c>
      <c r="S3202">
        <f>WEEKDAY(B3202,2)</f>
        <v/>
      </c>
    </row>
    <row r="3203">
      <c r="A3203" t="n">
        <v>511083</v>
      </c>
      <c r="B3203" s="6" t="n">
        <v>45987</v>
      </c>
      <c r="C3203" t="n">
        <v>17495</v>
      </c>
      <c r="D3203" t="inlineStr">
        <is>
          <t>Bengaluru</t>
        </is>
      </c>
      <c r="E3203" t="inlineStr">
        <is>
          <t>South</t>
        </is>
      </c>
      <c r="F3203" t="inlineStr">
        <is>
          <t>Paid Social</t>
        </is>
      </c>
      <c r="G3203" t="inlineStr">
        <is>
          <t>Mobile Web</t>
        </is>
      </c>
      <c r="H3203" t="inlineStr">
        <is>
          <t>UPI</t>
        </is>
      </c>
      <c r="I3203" t="inlineStr">
        <is>
          <t>Delivered</t>
        </is>
      </c>
      <c r="J3203" t="n">
        <v>138</v>
      </c>
      <c r="K3203" t="n">
        <v>1</v>
      </c>
      <c r="L3203" t="n">
        <v>419</v>
      </c>
      <c r="M3203" t="n">
        <v>0</v>
      </c>
      <c r="N3203">
        <f>VLOOKUP(J3203,Products!$A$2:$C$49,3,FALSE)</f>
        <v/>
      </c>
      <c r="O3203">
        <f>K3203*L3203-M3203</f>
        <v/>
      </c>
      <c r="P3203">
        <f>TEXT(B3203,"yyyy-mm")</f>
        <v/>
      </c>
      <c r="Q3203">
        <f>IF(O3203&gt;=3000,"Large","Small")</f>
        <v/>
      </c>
      <c r="R3203">
        <f>INDEX(Products!$F$2:$F$49,MATCH(J3203,Products!$A$2:$A$49,0))</f>
        <v/>
      </c>
      <c r="S3203">
        <f>WEEKDAY(B3203,2)</f>
        <v/>
      </c>
    </row>
    <row r="3204">
      <c r="A3204" t="n">
        <v>511083</v>
      </c>
      <c r="B3204" s="6" t="n">
        <v>45987</v>
      </c>
      <c r="C3204" t="n">
        <v>17495</v>
      </c>
      <c r="D3204" t="inlineStr">
        <is>
          <t>Bengaluru</t>
        </is>
      </c>
      <c r="E3204" t="inlineStr">
        <is>
          <t>South</t>
        </is>
      </c>
      <c r="F3204" t="inlineStr">
        <is>
          <t>Paid Social</t>
        </is>
      </c>
      <c r="G3204" t="inlineStr">
        <is>
          <t>Mobile Web</t>
        </is>
      </c>
      <c r="H3204" t="inlineStr">
        <is>
          <t>UPI</t>
        </is>
      </c>
      <c r="I3204" t="inlineStr">
        <is>
          <t>Delivered</t>
        </is>
      </c>
      <c r="J3204" t="n">
        <v>127</v>
      </c>
      <c r="K3204" t="n">
        <v>2</v>
      </c>
      <c r="L3204" t="n">
        <v>681</v>
      </c>
      <c r="M3204" t="n">
        <v>0</v>
      </c>
      <c r="N3204">
        <f>VLOOKUP(J3204,Products!$A$2:$C$49,3,FALSE)</f>
        <v/>
      </c>
      <c r="O3204">
        <f>K3204*L3204-M3204</f>
        <v/>
      </c>
      <c r="P3204">
        <f>TEXT(B3204,"yyyy-mm")</f>
        <v/>
      </c>
      <c r="Q3204">
        <f>IF(O3204&gt;=3000,"Large","Small")</f>
        <v/>
      </c>
      <c r="R3204">
        <f>INDEX(Products!$F$2:$F$49,MATCH(J3204,Products!$A$2:$A$49,0))</f>
        <v/>
      </c>
      <c r="S3204">
        <f>WEEKDAY(B3204,2)</f>
        <v/>
      </c>
    </row>
    <row r="3205">
      <c r="A3205" t="n">
        <v>511084</v>
      </c>
      <c r="B3205" s="6" t="n">
        <v>45987</v>
      </c>
      <c r="C3205" t="n">
        <v>17512</v>
      </c>
      <c r="D3205" t="inlineStr">
        <is>
          <t>Bengaluru</t>
        </is>
      </c>
      <c r="E3205" t="inlineStr">
        <is>
          <t>South</t>
        </is>
      </c>
      <c r="F3205" t="inlineStr">
        <is>
          <t>Paid Social</t>
        </is>
      </c>
      <c r="G3205" t="inlineStr">
        <is>
          <t>Mobile Web</t>
        </is>
      </c>
      <c r="H3205" t="inlineStr">
        <is>
          <t>UPI</t>
        </is>
      </c>
      <c r="I3205" t="inlineStr">
        <is>
          <t>Delivered</t>
        </is>
      </c>
      <c r="J3205" t="n">
        <v>120</v>
      </c>
      <c r="K3205" t="n">
        <v>1</v>
      </c>
      <c r="L3205" t="n">
        <v>734</v>
      </c>
      <c r="M3205" t="n">
        <v>36.7</v>
      </c>
      <c r="N3205">
        <f>VLOOKUP(J3205,Products!$A$2:$C$49,3,FALSE)</f>
        <v/>
      </c>
      <c r="O3205">
        <f>K3205*L3205-M3205</f>
        <v/>
      </c>
      <c r="P3205">
        <f>TEXT(B3205,"yyyy-mm")</f>
        <v/>
      </c>
      <c r="Q3205">
        <f>IF(O3205&gt;=3000,"Large","Small")</f>
        <v/>
      </c>
      <c r="R3205">
        <f>INDEX(Products!$F$2:$F$49,MATCH(J3205,Products!$A$2:$A$49,0))</f>
        <v/>
      </c>
      <c r="S3205">
        <f>WEEKDAY(B3205,2)</f>
        <v/>
      </c>
    </row>
    <row r="3206">
      <c r="A3206" t="n">
        <v>511085</v>
      </c>
      <c r="B3206" s="6" t="n">
        <v>45987</v>
      </c>
      <c r="C3206" t="n">
        <v>17487</v>
      </c>
      <c r="D3206" t="inlineStr">
        <is>
          <t>Pune</t>
        </is>
      </c>
      <c r="E3206" t="inlineStr">
        <is>
          <t>West</t>
        </is>
      </c>
      <c r="F3206" t="inlineStr">
        <is>
          <t>Paid Search</t>
        </is>
      </c>
      <c r="G3206" t="inlineStr">
        <is>
          <t>Mobile Web</t>
        </is>
      </c>
      <c r="H3206" t="inlineStr">
        <is>
          <t>Credit Card</t>
        </is>
      </c>
      <c r="I3206" t="inlineStr">
        <is>
          <t>Returned</t>
        </is>
      </c>
      <c r="J3206" t="n">
        <v>115</v>
      </c>
      <c r="K3206" t="n">
        <v>1</v>
      </c>
      <c r="L3206" t="n">
        <v>4199</v>
      </c>
      <c r="M3206" t="n">
        <v>629.85</v>
      </c>
      <c r="N3206">
        <f>VLOOKUP(J3206,Products!$A$2:$C$49,3,FALSE)</f>
        <v/>
      </c>
      <c r="O3206">
        <f>K3206*L3206-M3206</f>
        <v/>
      </c>
      <c r="P3206">
        <f>TEXT(B3206,"yyyy-mm")</f>
        <v/>
      </c>
      <c r="Q3206">
        <f>IF(O3206&gt;=3000,"Large","Small")</f>
        <v/>
      </c>
      <c r="R3206">
        <f>INDEX(Products!$F$2:$F$49,MATCH(J3206,Products!$A$2:$A$49,0))</f>
        <v/>
      </c>
      <c r="S3206">
        <f>WEEKDAY(B3206,2)</f>
        <v/>
      </c>
    </row>
    <row r="3207">
      <c r="A3207" t="n">
        <v>511086</v>
      </c>
      <c r="B3207" s="6" t="n">
        <v>45987</v>
      </c>
      <c r="C3207" t="n">
        <v>17405</v>
      </c>
      <c r="D3207" t="inlineStr">
        <is>
          <t>Delhi</t>
        </is>
      </c>
      <c r="E3207" t="inlineStr">
        <is>
          <t>North</t>
        </is>
      </c>
      <c r="F3207" t="inlineStr">
        <is>
          <t>Organic Search</t>
        </is>
      </c>
      <c r="G3207" t="inlineStr">
        <is>
          <t>Mobile Web</t>
        </is>
      </c>
      <c r="H3207" t="inlineStr">
        <is>
          <t>Debit Card</t>
        </is>
      </c>
      <c r="I3207" t="inlineStr">
        <is>
          <t>Delivered</t>
        </is>
      </c>
      <c r="J3207" t="n">
        <v>120</v>
      </c>
      <c r="K3207" t="n">
        <v>1</v>
      </c>
      <c r="L3207" t="n">
        <v>734</v>
      </c>
      <c r="M3207" t="n">
        <v>110.1</v>
      </c>
      <c r="N3207">
        <f>VLOOKUP(J3207,Products!$A$2:$C$49,3,FALSE)</f>
        <v/>
      </c>
      <c r="O3207">
        <f>K3207*L3207-M3207</f>
        <v/>
      </c>
      <c r="P3207">
        <f>TEXT(B3207,"yyyy-mm")</f>
        <v/>
      </c>
      <c r="Q3207">
        <f>IF(O3207&gt;=3000,"Large","Small")</f>
        <v/>
      </c>
      <c r="R3207">
        <f>INDEX(Products!$F$2:$F$49,MATCH(J3207,Products!$A$2:$A$49,0))</f>
        <v/>
      </c>
      <c r="S3207">
        <f>WEEKDAY(B3207,2)</f>
        <v/>
      </c>
    </row>
    <row r="3208">
      <c r="A3208" t="n">
        <v>511087</v>
      </c>
      <c r="B3208" s="6" t="n">
        <v>45987</v>
      </c>
      <c r="C3208" t="n">
        <v>17514</v>
      </c>
      <c r="D3208" t="inlineStr">
        <is>
          <t>Kolkata</t>
        </is>
      </c>
      <c r="E3208" t="inlineStr">
        <is>
          <t>East</t>
        </is>
      </c>
      <c r="F3208" t="inlineStr">
        <is>
          <t>Paid Search</t>
        </is>
      </c>
      <c r="G3208" t="inlineStr">
        <is>
          <t>Mobile Web</t>
        </is>
      </c>
      <c r="H3208" t="inlineStr">
        <is>
          <t>UPI</t>
        </is>
      </c>
      <c r="I3208" t="inlineStr">
        <is>
          <t>Cancelled</t>
        </is>
      </c>
      <c r="J3208" t="n">
        <v>137</v>
      </c>
      <c r="K3208" t="n">
        <v>1</v>
      </c>
      <c r="L3208" t="n">
        <v>261</v>
      </c>
      <c r="M3208" t="n">
        <v>39.15</v>
      </c>
      <c r="N3208">
        <f>VLOOKUP(J3208,Products!$A$2:$C$49,3,FALSE)</f>
        <v/>
      </c>
      <c r="O3208">
        <f>K3208*L3208-M3208</f>
        <v/>
      </c>
      <c r="P3208">
        <f>TEXT(B3208,"yyyy-mm")</f>
        <v/>
      </c>
      <c r="Q3208">
        <f>IF(O3208&gt;=3000,"Large","Small")</f>
        <v/>
      </c>
      <c r="R3208">
        <f>INDEX(Products!$F$2:$F$49,MATCH(J3208,Products!$A$2:$A$49,0))</f>
        <v/>
      </c>
      <c r="S3208">
        <f>WEEKDAY(B3208,2)</f>
        <v/>
      </c>
    </row>
    <row r="3209">
      <c r="A3209" t="n">
        <v>511088</v>
      </c>
      <c r="B3209" s="6" t="n">
        <v>45987</v>
      </c>
      <c r="C3209" t="n">
        <v>16785</v>
      </c>
      <c r="D3209" t="inlineStr">
        <is>
          <t>Delhi</t>
        </is>
      </c>
      <c r="E3209" t="inlineStr">
        <is>
          <t>North</t>
        </is>
      </c>
      <c r="F3209" t="inlineStr">
        <is>
          <t>Organic Search</t>
        </is>
      </c>
      <c r="G3209" t="inlineStr">
        <is>
          <t>Desktop</t>
        </is>
      </c>
      <c r="H3209" t="inlineStr">
        <is>
          <t>UPI</t>
        </is>
      </c>
      <c r="I3209" t="inlineStr">
        <is>
          <t>Delivered</t>
        </is>
      </c>
      <c r="J3209" t="n">
        <v>132</v>
      </c>
      <c r="K3209" t="n">
        <v>1</v>
      </c>
      <c r="L3209" t="n">
        <v>471</v>
      </c>
      <c r="M3209" t="n">
        <v>0</v>
      </c>
      <c r="N3209">
        <f>VLOOKUP(J3209,Products!$A$2:$C$49,3,FALSE)</f>
        <v/>
      </c>
      <c r="O3209">
        <f>K3209*L3209-M3209</f>
        <v/>
      </c>
      <c r="P3209">
        <f>TEXT(B3209,"yyyy-mm")</f>
        <v/>
      </c>
      <c r="Q3209">
        <f>IF(O3209&gt;=3000,"Large","Small")</f>
        <v/>
      </c>
      <c r="R3209">
        <f>INDEX(Products!$F$2:$F$49,MATCH(J3209,Products!$A$2:$A$49,0))</f>
        <v/>
      </c>
      <c r="S3209">
        <f>WEEKDAY(B3209,2)</f>
        <v/>
      </c>
    </row>
    <row r="3210">
      <c r="A3210" t="n">
        <v>511088</v>
      </c>
      <c r="B3210" s="6" t="n">
        <v>45987</v>
      </c>
      <c r="C3210" t="n">
        <v>16785</v>
      </c>
      <c r="D3210" t="inlineStr">
        <is>
          <t>Delhi</t>
        </is>
      </c>
      <c r="E3210" t="inlineStr">
        <is>
          <t>North</t>
        </is>
      </c>
      <c r="F3210" t="inlineStr">
        <is>
          <t>Organic Search</t>
        </is>
      </c>
      <c r="G3210" t="inlineStr">
        <is>
          <t>Desktop</t>
        </is>
      </c>
      <c r="H3210" t="inlineStr">
        <is>
          <t>UPI</t>
        </is>
      </c>
      <c r="I3210" t="inlineStr">
        <is>
          <t>Delivered</t>
        </is>
      </c>
      <c r="J3210" t="n">
        <v>146</v>
      </c>
      <c r="K3210" t="n">
        <v>1</v>
      </c>
      <c r="L3210" t="n">
        <v>4724</v>
      </c>
      <c r="M3210" t="n">
        <v>0</v>
      </c>
      <c r="N3210">
        <f>VLOOKUP(J3210,Products!$A$2:$C$49,3,FALSE)</f>
        <v/>
      </c>
      <c r="O3210">
        <f>K3210*L3210-M3210</f>
        <v/>
      </c>
      <c r="P3210">
        <f>TEXT(B3210,"yyyy-mm")</f>
        <v/>
      </c>
      <c r="Q3210">
        <f>IF(O3210&gt;=3000,"Large","Small")</f>
        <v/>
      </c>
      <c r="R3210">
        <f>INDEX(Products!$F$2:$F$49,MATCH(J3210,Products!$A$2:$A$49,0))</f>
        <v/>
      </c>
      <c r="S3210">
        <f>WEEKDAY(B3210,2)</f>
        <v/>
      </c>
    </row>
    <row r="3211">
      <c r="A3211" t="n">
        <v>511088</v>
      </c>
      <c r="B3211" s="6" t="n">
        <v>45987</v>
      </c>
      <c r="C3211" t="n">
        <v>16785</v>
      </c>
      <c r="D3211" t="inlineStr">
        <is>
          <t>Delhi</t>
        </is>
      </c>
      <c r="E3211" t="inlineStr">
        <is>
          <t>North</t>
        </is>
      </c>
      <c r="F3211" t="inlineStr">
        <is>
          <t>Organic Search</t>
        </is>
      </c>
      <c r="G3211" t="inlineStr">
        <is>
          <t>Desktop</t>
        </is>
      </c>
      <c r="H3211" t="inlineStr">
        <is>
          <t>UPI</t>
        </is>
      </c>
      <c r="I3211" t="inlineStr">
        <is>
          <t>Delivered</t>
        </is>
      </c>
      <c r="J3211" t="n">
        <v>126</v>
      </c>
      <c r="K3211" t="n">
        <v>1</v>
      </c>
      <c r="L3211" t="n">
        <v>471</v>
      </c>
      <c r="M3211" t="n">
        <v>0</v>
      </c>
      <c r="N3211">
        <f>VLOOKUP(J3211,Products!$A$2:$C$49,3,FALSE)</f>
        <v/>
      </c>
      <c r="O3211">
        <f>K3211*L3211-M3211</f>
        <v/>
      </c>
      <c r="P3211">
        <f>TEXT(B3211,"yyyy-mm")</f>
        <v/>
      </c>
      <c r="Q3211">
        <f>IF(O3211&gt;=3000,"Large","Small")</f>
        <v/>
      </c>
      <c r="R3211">
        <f>INDEX(Products!$F$2:$F$49,MATCH(J3211,Products!$A$2:$A$49,0))</f>
        <v/>
      </c>
      <c r="S3211">
        <f>WEEKDAY(B3211,2)</f>
        <v/>
      </c>
    </row>
    <row r="3212">
      <c r="A3212" t="n">
        <v>511088</v>
      </c>
      <c r="B3212" s="6" t="n">
        <v>45987</v>
      </c>
      <c r="C3212" t="n">
        <v>16785</v>
      </c>
      <c r="D3212" t="inlineStr">
        <is>
          <t>Delhi</t>
        </is>
      </c>
      <c r="E3212" t="inlineStr">
        <is>
          <t>North</t>
        </is>
      </c>
      <c r="F3212" t="inlineStr">
        <is>
          <t>Organic Search</t>
        </is>
      </c>
      <c r="G3212" t="inlineStr">
        <is>
          <t>Desktop</t>
        </is>
      </c>
      <c r="H3212" t="inlineStr">
        <is>
          <t>UPI</t>
        </is>
      </c>
      <c r="I3212" t="inlineStr">
        <is>
          <t>Delivered</t>
        </is>
      </c>
      <c r="J3212" t="n">
        <v>117</v>
      </c>
      <c r="K3212" t="n">
        <v>1</v>
      </c>
      <c r="L3212" t="n">
        <v>3149</v>
      </c>
      <c r="M3212" t="n">
        <v>0</v>
      </c>
      <c r="N3212">
        <f>VLOOKUP(J3212,Products!$A$2:$C$49,3,FALSE)</f>
        <v/>
      </c>
      <c r="O3212">
        <f>K3212*L3212-M3212</f>
        <v/>
      </c>
      <c r="P3212">
        <f>TEXT(B3212,"yyyy-mm")</f>
        <v/>
      </c>
      <c r="Q3212">
        <f>IF(O3212&gt;=3000,"Large","Small")</f>
        <v/>
      </c>
      <c r="R3212">
        <f>INDEX(Products!$F$2:$F$49,MATCH(J3212,Products!$A$2:$A$49,0))</f>
        <v/>
      </c>
      <c r="S3212">
        <f>WEEKDAY(B3212,2)</f>
        <v/>
      </c>
    </row>
    <row r="3213">
      <c r="A3213" t="n">
        <v>511089</v>
      </c>
      <c r="B3213" s="6" t="n">
        <v>45987</v>
      </c>
      <c r="C3213" t="n">
        <v>15221</v>
      </c>
      <c r="D3213" t="inlineStr">
        <is>
          <t>Mumbai</t>
        </is>
      </c>
      <c r="E3213" t="inlineStr">
        <is>
          <t>West</t>
        </is>
      </c>
      <c r="F3213" t="inlineStr">
        <is>
          <t>Organic Search</t>
        </is>
      </c>
      <c r="G3213" t="inlineStr">
        <is>
          <t>Mobile App</t>
        </is>
      </c>
      <c r="H3213" t="inlineStr">
        <is>
          <t>Credit Card</t>
        </is>
      </c>
      <c r="I3213" t="inlineStr">
        <is>
          <t>Delivered</t>
        </is>
      </c>
      <c r="J3213" t="n">
        <v>109</v>
      </c>
      <c r="K3213" t="n">
        <v>1</v>
      </c>
      <c r="L3213" t="n">
        <v>4199</v>
      </c>
      <c r="M3213" t="n">
        <v>0</v>
      </c>
      <c r="N3213">
        <f>VLOOKUP(J3213,Products!$A$2:$C$49,3,FALSE)</f>
        <v/>
      </c>
      <c r="O3213">
        <f>K3213*L3213-M3213</f>
        <v/>
      </c>
      <c r="P3213">
        <f>TEXT(B3213,"yyyy-mm")</f>
        <v/>
      </c>
      <c r="Q3213">
        <f>IF(O3213&gt;=3000,"Large","Small")</f>
        <v/>
      </c>
      <c r="R3213">
        <f>INDEX(Products!$F$2:$F$49,MATCH(J3213,Products!$A$2:$A$49,0))</f>
        <v/>
      </c>
      <c r="S3213">
        <f>WEEKDAY(B3213,2)</f>
        <v/>
      </c>
    </row>
    <row r="3214">
      <c r="A3214" t="n">
        <v>511089</v>
      </c>
      <c r="B3214" s="6" t="n">
        <v>45987</v>
      </c>
      <c r="C3214" t="n">
        <v>15221</v>
      </c>
      <c r="D3214" t="inlineStr">
        <is>
          <t>Mumbai</t>
        </is>
      </c>
      <c r="E3214" t="inlineStr">
        <is>
          <t>West</t>
        </is>
      </c>
      <c r="F3214" t="inlineStr">
        <is>
          <t>Organic Search</t>
        </is>
      </c>
      <c r="G3214" t="inlineStr">
        <is>
          <t>Mobile App</t>
        </is>
      </c>
      <c r="H3214" t="inlineStr">
        <is>
          <t>Credit Card</t>
        </is>
      </c>
      <c r="I3214" t="inlineStr">
        <is>
          <t>Delivered</t>
        </is>
      </c>
      <c r="J3214" t="n">
        <v>124</v>
      </c>
      <c r="K3214" t="n">
        <v>1</v>
      </c>
      <c r="L3214" t="n">
        <v>1154</v>
      </c>
      <c r="M3214" t="n">
        <v>0</v>
      </c>
      <c r="N3214">
        <f>VLOOKUP(J3214,Products!$A$2:$C$49,3,FALSE)</f>
        <v/>
      </c>
      <c r="O3214">
        <f>K3214*L3214-M3214</f>
        <v/>
      </c>
      <c r="P3214">
        <f>TEXT(B3214,"yyyy-mm")</f>
        <v/>
      </c>
      <c r="Q3214">
        <f>IF(O3214&gt;=3000,"Large","Small")</f>
        <v/>
      </c>
      <c r="R3214">
        <f>INDEX(Products!$F$2:$F$49,MATCH(J3214,Products!$A$2:$A$49,0))</f>
        <v/>
      </c>
      <c r="S3214">
        <f>WEEKDAY(B3214,2)</f>
        <v/>
      </c>
    </row>
    <row r="3215">
      <c r="A3215" t="n">
        <v>511090</v>
      </c>
      <c r="B3215" s="6" t="n">
        <v>45987</v>
      </c>
      <c r="C3215" t="n">
        <v>17137</v>
      </c>
      <c r="D3215" t="inlineStr">
        <is>
          <t>Bengaluru</t>
        </is>
      </c>
      <c r="E3215" t="inlineStr">
        <is>
          <t>South</t>
        </is>
      </c>
      <c r="F3215" t="inlineStr">
        <is>
          <t>Organic Search</t>
        </is>
      </c>
      <c r="G3215" t="inlineStr">
        <is>
          <t>Mobile App</t>
        </is>
      </c>
      <c r="H3215" t="inlineStr">
        <is>
          <t>Cash on Delivery</t>
        </is>
      </c>
      <c r="I3215" t="inlineStr">
        <is>
          <t>Delivered</t>
        </is>
      </c>
      <c r="J3215" t="n">
        <v>107</v>
      </c>
      <c r="K3215" t="n">
        <v>2</v>
      </c>
      <c r="L3215" t="n">
        <v>1259</v>
      </c>
      <c r="M3215" t="n">
        <v>125.9</v>
      </c>
      <c r="N3215">
        <f>VLOOKUP(J3215,Products!$A$2:$C$49,3,FALSE)</f>
        <v/>
      </c>
      <c r="O3215">
        <f>K3215*L3215-M3215</f>
        <v/>
      </c>
      <c r="P3215">
        <f>TEXT(B3215,"yyyy-mm")</f>
        <v/>
      </c>
      <c r="Q3215">
        <f>IF(O3215&gt;=3000,"Large","Small")</f>
        <v/>
      </c>
      <c r="R3215">
        <f>INDEX(Products!$F$2:$F$49,MATCH(J3215,Products!$A$2:$A$49,0))</f>
        <v/>
      </c>
      <c r="S3215">
        <f>WEEKDAY(B3215,2)</f>
        <v/>
      </c>
    </row>
    <row r="3216">
      <c r="A3216" t="n">
        <v>511091</v>
      </c>
      <c r="B3216" s="6" t="n">
        <v>45987</v>
      </c>
      <c r="C3216" t="n">
        <v>17510</v>
      </c>
      <c r="D3216" t="inlineStr">
        <is>
          <t>Kochi</t>
        </is>
      </c>
      <c r="E3216" t="inlineStr">
        <is>
          <t>South</t>
        </is>
      </c>
      <c r="F3216" t="inlineStr">
        <is>
          <t>Organic Search</t>
        </is>
      </c>
      <c r="G3216" t="inlineStr">
        <is>
          <t>Mobile App</t>
        </is>
      </c>
      <c r="H3216" t="inlineStr">
        <is>
          <t>UPI</t>
        </is>
      </c>
      <c r="I3216" t="inlineStr">
        <is>
          <t>Delivered</t>
        </is>
      </c>
      <c r="J3216" t="n">
        <v>131</v>
      </c>
      <c r="K3216" t="n">
        <v>1</v>
      </c>
      <c r="L3216" t="n">
        <v>314</v>
      </c>
      <c r="M3216" t="n">
        <v>0</v>
      </c>
      <c r="N3216">
        <f>VLOOKUP(J3216,Products!$A$2:$C$49,3,FALSE)</f>
        <v/>
      </c>
      <c r="O3216">
        <f>K3216*L3216-M3216</f>
        <v/>
      </c>
      <c r="P3216">
        <f>TEXT(B3216,"yyyy-mm")</f>
        <v/>
      </c>
      <c r="Q3216">
        <f>IF(O3216&gt;=3000,"Large","Small")</f>
        <v/>
      </c>
      <c r="R3216">
        <f>INDEX(Products!$F$2:$F$49,MATCH(J3216,Products!$A$2:$A$49,0))</f>
        <v/>
      </c>
      <c r="S3216">
        <f>WEEKDAY(B3216,2)</f>
        <v/>
      </c>
    </row>
    <row r="3217">
      <c r="A3217" t="n">
        <v>511091</v>
      </c>
      <c r="B3217" s="6" t="n">
        <v>45987</v>
      </c>
      <c r="C3217" t="n">
        <v>17510</v>
      </c>
      <c r="D3217" t="inlineStr">
        <is>
          <t>Kochi</t>
        </is>
      </c>
      <c r="E3217" t="inlineStr">
        <is>
          <t>South</t>
        </is>
      </c>
      <c r="F3217" t="inlineStr">
        <is>
          <t>Organic Search</t>
        </is>
      </c>
      <c r="G3217" t="inlineStr">
        <is>
          <t>Mobile App</t>
        </is>
      </c>
      <c r="H3217" t="inlineStr">
        <is>
          <t>UPI</t>
        </is>
      </c>
      <c r="I3217" t="inlineStr">
        <is>
          <t>Delivered</t>
        </is>
      </c>
      <c r="J3217" t="n">
        <v>130</v>
      </c>
      <c r="K3217" t="n">
        <v>1</v>
      </c>
      <c r="L3217" t="n">
        <v>734</v>
      </c>
      <c r="M3217" t="n">
        <v>0</v>
      </c>
      <c r="N3217">
        <f>VLOOKUP(J3217,Products!$A$2:$C$49,3,FALSE)</f>
        <v/>
      </c>
      <c r="O3217">
        <f>K3217*L3217-M3217</f>
        <v/>
      </c>
      <c r="P3217">
        <f>TEXT(B3217,"yyyy-mm")</f>
        <v/>
      </c>
      <c r="Q3217">
        <f>IF(O3217&gt;=3000,"Large","Small")</f>
        <v/>
      </c>
      <c r="R3217">
        <f>INDEX(Products!$F$2:$F$49,MATCH(J3217,Products!$A$2:$A$49,0))</f>
        <v/>
      </c>
      <c r="S3217">
        <f>WEEKDAY(B3217,2)</f>
        <v/>
      </c>
    </row>
    <row r="3218">
      <c r="A3218" t="n">
        <v>511092</v>
      </c>
      <c r="B3218" s="6" t="n">
        <v>45987</v>
      </c>
      <c r="C3218" t="n">
        <v>15677</v>
      </c>
      <c r="D3218" t="inlineStr">
        <is>
          <t>Ahmedabad</t>
        </is>
      </c>
      <c r="E3218" t="inlineStr">
        <is>
          <t>West</t>
        </is>
      </c>
      <c r="F3218" t="inlineStr">
        <is>
          <t>Referral</t>
        </is>
      </c>
      <c r="G3218" t="inlineStr">
        <is>
          <t>Mobile Web</t>
        </is>
      </c>
      <c r="H3218" t="inlineStr">
        <is>
          <t>UPI</t>
        </is>
      </c>
      <c r="I3218" t="inlineStr">
        <is>
          <t>Delivered</t>
        </is>
      </c>
      <c r="J3218" t="n">
        <v>117</v>
      </c>
      <c r="K3218" t="n">
        <v>1</v>
      </c>
      <c r="L3218" t="n">
        <v>3149</v>
      </c>
      <c r="M3218" t="n">
        <v>0</v>
      </c>
      <c r="N3218">
        <f>VLOOKUP(J3218,Products!$A$2:$C$49,3,FALSE)</f>
        <v/>
      </c>
      <c r="O3218">
        <f>K3218*L3218-M3218</f>
        <v/>
      </c>
      <c r="P3218">
        <f>TEXT(B3218,"yyyy-mm")</f>
        <v/>
      </c>
      <c r="Q3218">
        <f>IF(O3218&gt;=3000,"Large","Small")</f>
        <v/>
      </c>
      <c r="R3218">
        <f>INDEX(Products!$F$2:$F$49,MATCH(J3218,Products!$A$2:$A$49,0))</f>
        <v/>
      </c>
      <c r="S3218">
        <f>WEEKDAY(B3218,2)</f>
        <v/>
      </c>
    </row>
    <row r="3219">
      <c r="A3219" t="n">
        <v>511092</v>
      </c>
      <c r="B3219" s="6" t="n">
        <v>45987</v>
      </c>
      <c r="C3219" t="n">
        <v>15677</v>
      </c>
      <c r="D3219" t="inlineStr">
        <is>
          <t>Ahmedabad</t>
        </is>
      </c>
      <c r="E3219" t="inlineStr">
        <is>
          <t>West</t>
        </is>
      </c>
      <c r="F3219" t="inlineStr">
        <is>
          <t>Referral</t>
        </is>
      </c>
      <c r="G3219" t="inlineStr">
        <is>
          <t>Mobile Web</t>
        </is>
      </c>
      <c r="H3219" t="inlineStr">
        <is>
          <t>UPI</t>
        </is>
      </c>
      <c r="I3219" t="inlineStr">
        <is>
          <t>Delivered</t>
        </is>
      </c>
      <c r="J3219" t="n">
        <v>137</v>
      </c>
      <c r="K3219" t="n">
        <v>1</v>
      </c>
      <c r="L3219" t="n">
        <v>261</v>
      </c>
      <c r="M3219" t="n">
        <v>0</v>
      </c>
      <c r="N3219">
        <f>VLOOKUP(J3219,Products!$A$2:$C$49,3,FALSE)</f>
        <v/>
      </c>
      <c r="O3219">
        <f>K3219*L3219-M3219</f>
        <v/>
      </c>
      <c r="P3219">
        <f>TEXT(B3219,"yyyy-mm")</f>
        <v/>
      </c>
      <c r="Q3219">
        <f>IF(O3219&gt;=3000,"Large","Small")</f>
        <v/>
      </c>
      <c r="R3219">
        <f>INDEX(Products!$F$2:$F$49,MATCH(J3219,Products!$A$2:$A$49,0))</f>
        <v/>
      </c>
      <c r="S3219">
        <f>WEEKDAY(B3219,2)</f>
        <v/>
      </c>
    </row>
    <row r="3220">
      <c r="A3220" t="n">
        <v>511093</v>
      </c>
      <c r="B3220" s="6" t="n">
        <v>45987</v>
      </c>
      <c r="C3220" t="n">
        <v>17520</v>
      </c>
      <c r="D3220" t="inlineStr">
        <is>
          <t>Jaipur</t>
        </is>
      </c>
      <c r="E3220" t="inlineStr">
        <is>
          <t>North</t>
        </is>
      </c>
      <c r="F3220" t="inlineStr">
        <is>
          <t>Referral</t>
        </is>
      </c>
      <c r="G3220" t="inlineStr">
        <is>
          <t>Mobile Web</t>
        </is>
      </c>
      <c r="H3220" t="inlineStr">
        <is>
          <t>UPI</t>
        </is>
      </c>
      <c r="I3220" t="inlineStr">
        <is>
          <t>Delivered</t>
        </is>
      </c>
      <c r="J3220" t="n">
        <v>107</v>
      </c>
      <c r="K3220" t="n">
        <v>1</v>
      </c>
      <c r="L3220" t="n">
        <v>1259</v>
      </c>
      <c r="M3220" t="n">
        <v>188.85</v>
      </c>
      <c r="N3220">
        <f>VLOOKUP(J3220,Products!$A$2:$C$49,3,FALSE)</f>
        <v/>
      </c>
      <c r="O3220">
        <f>K3220*L3220-M3220</f>
        <v/>
      </c>
      <c r="P3220">
        <f>TEXT(B3220,"yyyy-mm")</f>
        <v/>
      </c>
      <c r="Q3220">
        <f>IF(O3220&gt;=3000,"Large","Small")</f>
        <v/>
      </c>
      <c r="R3220">
        <f>INDEX(Products!$F$2:$F$49,MATCH(J3220,Products!$A$2:$A$49,0))</f>
        <v/>
      </c>
      <c r="S3220">
        <f>WEEKDAY(B3220,2)</f>
        <v/>
      </c>
    </row>
    <row r="3221">
      <c r="A3221" t="n">
        <v>511094</v>
      </c>
      <c r="B3221" s="6" t="n">
        <v>45987</v>
      </c>
      <c r="C3221" t="n">
        <v>13089</v>
      </c>
      <c r="D3221" t="inlineStr">
        <is>
          <t>Pune</t>
        </is>
      </c>
      <c r="E3221" t="inlineStr">
        <is>
          <t>West</t>
        </is>
      </c>
      <c r="F3221" t="inlineStr">
        <is>
          <t>Referral</t>
        </is>
      </c>
      <c r="G3221" t="inlineStr">
        <is>
          <t>Mobile App</t>
        </is>
      </c>
      <c r="H3221" t="inlineStr">
        <is>
          <t>UPI</t>
        </is>
      </c>
      <c r="I3221" t="inlineStr">
        <is>
          <t>Delivered</t>
        </is>
      </c>
      <c r="J3221" t="n">
        <v>112</v>
      </c>
      <c r="K3221" t="n">
        <v>2</v>
      </c>
      <c r="L3221" t="n">
        <v>1574</v>
      </c>
      <c r="M3221" t="n">
        <v>0</v>
      </c>
      <c r="N3221">
        <f>VLOOKUP(J3221,Products!$A$2:$C$49,3,FALSE)</f>
        <v/>
      </c>
      <c r="O3221">
        <f>K3221*L3221-M3221</f>
        <v/>
      </c>
      <c r="P3221">
        <f>TEXT(B3221,"yyyy-mm")</f>
        <v/>
      </c>
      <c r="Q3221">
        <f>IF(O3221&gt;=3000,"Large","Small")</f>
        <v/>
      </c>
      <c r="R3221">
        <f>INDEX(Products!$F$2:$F$49,MATCH(J3221,Products!$A$2:$A$49,0))</f>
        <v/>
      </c>
      <c r="S3221">
        <f>WEEKDAY(B3221,2)</f>
        <v/>
      </c>
    </row>
    <row r="3222">
      <c r="A3222" t="n">
        <v>511095</v>
      </c>
      <c r="B3222" s="6" t="n">
        <v>45987</v>
      </c>
      <c r="C3222" t="n">
        <v>17480</v>
      </c>
      <c r="D3222" t="inlineStr">
        <is>
          <t>Chennai</t>
        </is>
      </c>
      <c r="E3222" t="inlineStr">
        <is>
          <t>South</t>
        </is>
      </c>
      <c r="F3222" t="inlineStr">
        <is>
          <t>Paid Search</t>
        </is>
      </c>
      <c r="G3222" t="inlineStr">
        <is>
          <t>Desktop</t>
        </is>
      </c>
      <c r="H3222" t="inlineStr">
        <is>
          <t>Credit Card</t>
        </is>
      </c>
      <c r="I3222" t="inlineStr">
        <is>
          <t>Delivered</t>
        </is>
      </c>
      <c r="J3222" t="n">
        <v>105</v>
      </c>
      <c r="K3222" t="n">
        <v>1</v>
      </c>
      <c r="L3222" t="n">
        <v>2414</v>
      </c>
      <c r="M3222" t="n">
        <v>362.1</v>
      </c>
      <c r="N3222">
        <f>VLOOKUP(J3222,Products!$A$2:$C$49,3,FALSE)</f>
        <v/>
      </c>
      <c r="O3222">
        <f>K3222*L3222-M3222</f>
        <v/>
      </c>
      <c r="P3222">
        <f>TEXT(B3222,"yyyy-mm")</f>
        <v/>
      </c>
      <c r="Q3222">
        <f>IF(O3222&gt;=3000,"Large","Small")</f>
        <v/>
      </c>
      <c r="R3222">
        <f>INDEX(Products!$F$2:$F$49,MATCH(J3222,Products!$A$2:$A$49,0))</f>
        <v/>
      </c>
      <c r="S3222">
        <f>WEEKDAY(B3222,2)</f>
        <v/>
      </c>
    </row>
    <row r="3223">
      <c r="A3223" t="n">
        <v>511095</v>
      </c>
      <c r="B3223" s="6" t="n">
        <v>45987</v>
      </c>
      <c r="C3223" t="n">
        <v>17480</v>
      </c>
      <c r="D3223" t="inlineStr">
        <is>
          <t>Chennai</t>
        </is>
      </c>
      <c r="E3223" t="inlineStr">
        <is>
          <t>South</t>
        </is>
      </c>
      <c r="F3223" t="inlineStr">
        <is>
          <t>Paid Search</t>
        </is>
      </c>
      <c r="G3223" t="inlineStr">
        <is>
          <t>Desktop</t>
        </is>
      </c>
      <c r="H3223" t="inlineStr">
        <is>
          <t>Credit Card</t>
        </is>
      </c>
      <c r="I3223" t="inlineStr">
        <is>
          <t>Delivered</t>
        </is>
      </c>
      <c r="J3223" t="n">
        <v>126</v>
      </c>
      <c r="K3223" t="n">
        <v>1</v>
      </c>
      <c r="L3223" t="n">
        <v>471</v>
      </c>
      <c r="M3223" t="n">
        <v>70.65000000000001</v>
      </c>
      <c r="N3223">
        <f>VLOOKUP(J3223,Products!$A$2:$C$49,3,FALSE)</f>
        <v/>
      </c>
      <c r="O3223">
        <f>K3223*L3223-M3223</f>
        <v/>
      </c>
      <c r="P3223">
        <f>TEXT(B3223,"yyyy-mm")</f>
        <v/>
      </c>
      <c r="Q3223">
        <f>IF(O3223&gt;=3000,"Large","Small")</f>
        <v/>
      </c>
      <c r="R3223">
        <f>INDEX(Products!$F$2:$F$49,MATCH(J3223,Products!$A$2:$A$49,0))</f>
        <v/>
      </c>
      <c r="S3223">
        <f>WEEKDAY(B3223,2)</f>
        <v/>
      </c>
    </row>
    <row r="3224">
      <c r="A3224" t="n">
        <v>511096</v>
      </c>
      <c r="B3224" s="6" t="n">
        <v>45987</v>
      </c>
      <c r="C3224" t="n">
        <v>17497</v>
      </c>
      <c r="D3224" t="inlineStr">
        <is>
          <t>Chennai</t>
        </is>
      </c>
      <c r="E3224" t="inlineStr">
        <is>
          <t>South</t>
        </is>
      </c>
      <c r="F3224" t="inlineStr">
        <is>
          <t>Email</t>
        </is>
      </c>
      <c r="G3224" t="inlineStr">
        <is>
          <t>Mobile App</t>
        </is>
      </c>
      <c r="H3224" t="inlineStr">
        <is>
          <t>Cash on Delivery</t>
        </is>
      </c>
      <c r="I3224" t="inlineStr">
        <is>
          <t>Delivered</t>
        </is>
      </c>
      <c r="J3224" t="n">
        <v>103</v>
      </c>
      <c r="K3224" t="n">
        <v>1</v>
      </c>
      <c r="L3224" t="n">
        <v>2624</v>
      </c>
      <c r="M3224" t="n">
        <v>393.6</v>
      </c>
      <c r="N3224">
        <f>VLOOKUP(J3224,Products!$A$2:$C$49,3,FALSE)</f>
        <v/>
      </c>
      <c r="O3224">
        <f>K3224*L3224-M3224</f>
        <v/>
      </c>
      <c r="P3224">
        <f>TEXT(B3224,"yyyy-mm")</f>
        <v/>
      </c>
      <c r="Q3224">
        <f>IF(O3224&gt;=3000,"Large","Small")</f>
        <v/>
      </c>
      <c r="R3224">
        <f>INDEX(Products!$F$2:$F$49,MATCH(J3224,Products!$A$2:$A$49,0))</f>
        <v/>
      </c>
      <c r="S3224">
        <f>WEEKDAY(B3224,2)</f>
        <v/>
      </c>
    </row>
    <row r="3225">
      <c r="A3225" t="n">
        <v>511097</v>
      </c>
      <c r="B3225" s="6" t="n">
        <v>45987</v>
      </c>
      <c r="C3225" t="n">
        <v>17436</v>
      </c>
      <c r="D3225" t="inlineStr">
        <is>
          <t>Mumbai</t>
        </is>
      </c>
      <c r="E3225" t="inlineStr">
        <is>
          <t>West</t>
        </is>
      </c>
      <c r="F3225" t="inlineStr">
        <is>
          <t>Affiliate</t>
        </is>
      </c>
      <c r="G3225" t="inlineStr">
        <is>
          <t>Mobile Web</t>
        </is>
      </c>
      <c r="H3225" t="inlineStr">
        <is>
          <t>Credit Card</t>
        </is>
      </c>
      <c r="I3225" t="inlineStr">
        <is>
          <t>Delivered</t>
        </is>
      </c>
      <c r="J3225" t="n">
        <v>116</v>
      </c>
      <c r="K3225" t="n">
        <v>1</v>
      </c>
      <c r="L3225" t="n">
        <v>2624</v>
      </c>
      <c r="M3225" t="n">
        <v>0</v>
      </c>
      <c r="N3225">
        <f>VLOOKUP(J3225,Products!$A$2:$C$49,3,FALSE)</f>
        <v/>
      </c>
      <c r="O3225">
        <f>K3225*L3225-M3225</f>
        <v/>
      </c>
      <c r="P3225">
        <f>TEXT(B3225,"yyyy-mm")</f>
        <v/>
      </c>
      <c r="Q3225">
        <f>IF(O3225&gt;=3000,"Large","Small")</f>
        <v/>
      </c>
      <c r="R3225">
        <f>INDEX(Products!$F$2:$F$49,MATCH(J3225,Products!$A$2:$A$49,0))</f>
        <v/>
      </c>
      <c r="S3225">
        <f>WEEKDAY(B3225,2)</f>
        <v/>
      </c>
    </row>
    <row r="3226">
      <c r="A3226" t="n">
        <v>511097</v>
      </c>
      <c r="B3226" s="6" t="n">
        <v>45987</v>
      </c>
      <c r="C3226" t="n">
        <v>17436</v>
      </c>
      <c r="D3226" t="inlineStr">
        <is>
          <t>Mumbai</t>
        </is>
      </c>
      <c r="E3226" t="inlineStr">
        <is>
          <t>West</t>
        </is>
      </c>
      <c r="F3226" t="inlineStr">
        <is>
          <t>Affiliate</t>
        </is>
      </c>
      <c r="G3226" t="inlineStr">
        <is>
          <t>Mobile Web</t>
        </is>
      </c>
      <c r="H3226" t="inlineStr">
        <is>
          <t>Credit Card</t>
        </is>
      </c>
      <c r="I3226" t="inlineStr">
        <is>
          <t>Delivered</t>
        </is>
      </c>
      <c r="J3226" t="n">
        <v>120</v>
      </c>
      <c r="K3226" t="n">
        <v>1</v>
      </c>
      <c r="L3226" t="n">
        <v>734</v>
      </c>
      <c r="M3226" t="n">
        <v>0</v>
      </c>
      <c r="N3226">
        <f>VLOOKUP(J3226,Products!$A$2:$C$49,3,FALSE)</f>
        <v/>
      </c>
      <c r="O3226">
        <f>K3226*L3226-M3226</f>
        <v/>
      </c>
      <c r="P3226">
        <f>TEXT(B3226,"yyyy-mm")</f>
        <v/>
      </c>
      <c r="Q3226">
        <f>IF(O3226&gt;=3000,"Large","Small")</f>
        <v/>
      </c>
      <c r="R3226">
        <f>INDEX(Products!$F$2:$F$49,MATCH(J3226,Products!$A$2:$A$49,0))</f>
        <v/>
      </c>
      <c r="S3226">
        <f>WEEKDAY(B3226,2)</f>
        <v/>
      </c>
    </row>
    <row r="3227">
      <c r="A3227" t="n">
        <v>511098</v>
      </c>
      <c r="B3227" s="6" t="n">
        <v>45987</v>
      </c>
      <c r="C3227" t="n">
        <v>17361</v>
      </c>
      <c r="D3227" t="inlineStr">
        <is>
          <t>Chandigarh</t>
        </is>
      </c>
      <c r="E3227" t="inlineStr">
        <is>
          <t>North</t>
        </is>
      </c>
      <c r="F3227" t="inlineStr">
        <is>
          <t>Organic Search</t>
        </is>
      </c>
      <c r="G3227" t="inlineStr">
        <is>
          <t>Mobile App</t>
        </is>
      </c>
      <c r="H3227" t="inlineStr">
        <is>
          <t>Net Banking</t>
        </is>
      </c>
      <c r="I3227" t="inlineStr">
        <is>
          <t>Delivered</t>
        </is>
      </c>
      <c r="J3227" t="n">
        <v>129</v>
      </c>
      <c r="K3227" t="n">
        <v>1</v>
      </c>
      <c r="L3227" t="n">
        <v>576</v>
      </c>
      <c r="M3227" t="n">
        <v>86.40000000000001</v>
      </c>
      <c r="N3227">
        <f>VLOOKUP(J3227,Products!$A$2:$C$49,3,FALSE)</f>
        <v/>
      </c>
      <c r="O3227">
        <f>K3227*L3227-M3227</f>
        <v/>
      </c>
      <c r="P3227">
        <f>TEXT(B3227,"yyyy-mm")</f>
        <v/>
      </c>
      <c r="Q3227">
        <f>IF(O3227&gt;=3000,"Large","Small")</f>
        <v/>
      </c>
      <c r="R3227">
        <f>INDEX(Products!$F$2:$F$49,MATCH(J3227,Products!$A$2:$A$49,0))</f>
        <v/>
      </c>
      <c r="S3227">
        <f>WEEKDAY(B3227,2)</f>
        <v/>
      </c>
    </row>
    <row r="3228">
      <c r="A3228" t="n">
        <v>511099</v>
      </c>
      <c r="B3228" s="6" t="n">
        <v>45987</v>
      </c>
      <c r="C3228" t="n">
        <v>17125</v>
      </c>
      <c r="D3228" t="inlineStr">
        <is>
          <t>Delhi</t>
        </is>
      </c>
      <c r="E3228" t="inlineStr">
        <is>
          <t>North</t>
        </is>
      </c>
      <c r="F3228" t="inlineStr">
        <is>
          <t>Paid Social</t>
        </is>
      </c>
      <c r="G3228" t="inlineStr">
        <is>
          <t>Mobile Web</t>
        </is>
      </c>
      <c r="H3228" t="inlineStr">
        <is>
          <t>Cash on Delivery</t>
        </is>
      </c>
      <c r="I3228" t="inlineStr">
        <is>
          <t>Cancelled</t>
        </is>
      </c>
      <c r="J3228" t="n">
        <v>137</v>
      </c>
      <c r="K3228" t="n">
        <v>1</v>
      </c>
      <c r="L3228" t="n">
        <v>261</v>
      </c>
      <c r="M3228" t="n">
        <v>39.15</v>
      </c>
      <c r="N3228">
        <f>VLOOKUP(J3228,Products!$A$2:$C$49,3,FALSE)</f>
        <v/>
      </c>
      <c r="O3228">
        <f>K3228*L3228-M3228</f>
        <v/>
      </c>
      <c r="P3228">
        <f>TEXT(B3228,"yyyy-mm")</f>
        <v/>
      </c>
      <c r="Q3228">
        <f>IF(O3228&gt;=3000,"Large","Small")</f>
        <v/>
      </c>
      <c r="R3228">
        <f>INDEX(Products!$F$2:$F$49,MATCH(J3228,Products!$A$2:$A$49,0))</f>
        <v/>
      </c>
      <c r="S3228">
        <f>WEEKDAY(B3228,2)</f>
        <v/>
      </c>
    </row>
    <row r="3229">
      <c r="A3229" t="n">
        <v>511099</v>
      </c>
      <c r="B3229" s="6" t="n">
        <v>45987</v>
      </c>
      <c r="C3229" t="n">
        <v>17125</v>
      </c>
      <c r="D3229" t="inlineStr">
        <is>
          <t>Delhi</t>
        </is>
      </c>
      <c r="E3229" t="inlineStr">
        <is>
          <t>North</t>
        </is>
      </c>
      <c r="F3229" t="inlineStr">
        <is>
          <t>Paid Social</t>
        </is>
      </c>
      <c r="G3229" t="inlineStr">
        <is>
          <t>Mobile Web</t>
        </is>
      </c>
      <c r="H3229" t="inlineStr">
        <is>
          <t>Cash on Delivery</t>
        </is>
      </c>
      <c r="I3229" t="inlineStr">
        <is>
          <t>Cancelled</t>
        </is>
      </c>
      <c r="J3229" t="n">
        <v>120</v>
      </c>
      <c r="K3229" t="n">
        <v>1</v>
      </c>
      <c r="L3229" t="n">
        <v>734</v>
      </c>
      <c r="M3229" t="n">
        <v>110.1</v>
      </c>
      <c r="N3229">
        <f>VLOOKUP(J3229,Products!$A$2:$C$49,3,FALSE)</f>
        <v/>
      </c>
      <c r="O3229">
        <f>K3229*L3229-M3229</f>
        <v/>
      </c>
      <c r="P3229">
        <f>TEXT(B3229,"yyyy-mm")</f>
        <v/>
      </c>
      <c r="Q3229">
        <f>IF(O3229&gt;=3000,"Large","Small")</f>
        <v/>
      </c>
      <c r="R3229">
        <f>INDEX(Products!$F$2:$F$49,MATCH(J3229,Products!$A$2:$A$49,0))</f>
        <v/>
      </c>
      <c r="S3229">
        <f>WEEKDAY(B3229,2)</f>
        <v/>
      </c>
    </row>
    <row r="3230">
      <c r="A3230" t="n">
        <v>511100</v>
      </c>
      <c r="B3230" s="6" t="n">
        <v>45987</v>
      </c>
      <c r="C3230" t="n">
        <v>17365</v>
      </c>
      <c r="D3230" t="inlineStr">
        <is>
          <t>Indore</t>
        </is>
      </c>
      <c r="E3230" t="inlineStr">
        <is>
          <t>West</t>
        </is>
      </c>
      <c r="F3230" t="inlineStr">
        <is>
          <t>Organic Search</t>
        </is>
      </c>
      <c r="G3230" t="inlineStr">
        <is>
          <t>Mobile App</t>
        </is>
      </c>
      <c r="H3230" t="inlineStr">
        <is>
          <t>Credit Card</t>
        </is>
      </c>
      <c r="I3230" t="inlineStr">
        <is>
          <t>Delivered</t>
        </is>
      </c>
      <c r="J3230" t="n">
        <v>135</v>
      </c>
      <c r="K3230" t="n">
        <v>1</v>
      </c>
      <c r="L3230" t="n">
        <v>1574</v>
      </c>
      <c r="M3230" t="n">
        <v>236.1</v>
      </c>
      <c r="N3230">
        <f>VLOOKUP(J3230,Products!$A$2:$C$49,3,FALSE)</f>
        <v/>
      </c>
      <c r="O3230">
        <f>K3230*L3230-M3230</f>
        <v/>
      </c>
      <c r="P3230">
        <f>TEXT(B3230,"yyyy-mm")</f>
        <v/>
      </c>
      <c r="Q3230">
        <f>IF(O3230&gt;=3000,"Large","Small")</f>
        <v/>
      </c>
      <c r="R3230">
        <f>INDEX(Products!$F$2:$F$49,MATCH(J3230,Products!$A$2:$A$49,0))</f>
        <v/>
      </c>
      <c r="S3230">
        <f>WEEKDAY(B3230,2)</f>
        <v/>
      </c>
    </row>
    <row r="3231">
      <c r="A3231" t="n">
        <v>511100</v>
      </c>
      <c r="B3231" s="6" t="n">
        <v>45987</v>
      </c>
      <c r="C3231" t="n">
        <v>17365</v>
      </c>
      <c r="D3231" t="inlineStr">
        <is>
          <t>Indore</t>
        </is>
      </c>
      <c r="E3231" t="inlineStr">
        <is>
          <t>West</t>
        </is>
      </c>
      <c r="F3231" t="inlineStr">
        <is>
          <t>Organic Search</t>
        </is>
      </c>
      <c r="G3231" t="inlineStr">
        <is>
          <t>Mobile App</t>
        </is>
      </c>
      <c r="H3231" t="inlineStr">
        <is>
          <t>Credit Card</t>
        </is>
      </c>
      <c r="I3231" t="inlineStr">
        <is>
          <t>Delivered</t>
        </is>
      </c>
      <c r="J3231" t="n">
        <v>108</v>
      </c>
      <c r="K3231" t="n">
        <v>2</v>
      </c>
      <c r="L3231" t="n">
        <v>419</v>
      </c>
      <c r="M3231" t="n">
        <v>125.7</v>
      </c>
      <c r="N3231">
        <f>VLOOKUP(J3231,Products!$A$2:$C$49,3,FALSE)</f>
        <v/>
      </c>
      <c r="O3231">
        <f>K3231*L3231-M3231</f>
        <v/>
      </c>
      <c r="P3231">
        <f>TEXT(B3231,"yyyy-mm")</f>
        <v/>
      </c>
      <c r="Q3231">
        <f>IF(O3231&gt;=3000,"Large","Small")</f>
        <v/>
      </c>
      <c r="R3231">
        <f>INDEX(Products!$F$2:$F$49,MATCH(J3231,Products!$A$2:$A$49,0))</f>
        <v/>
      </c>
      <c r="S3231">
        <f>WEEKDAY(B3231,2)</f>
        <v/>
      </c>
    </row>
    <row r="3232">
      <c r="A3232" t="n">
        <v>511101</v>
      </c>
      <c r="B3232" s="6" t="n">
        <v>45987</v>
      </c>
      <c r="C3232" t="n">
        <v>17454</v>
      </c>
      <c r="D3232" t="inlineStr">
        <is>
          <t>Chandigarh</t>
        </is>
      </c>
      <c r="E3232" t="inlineStr">
        <is>
          <t>North</t>
        </is>
      </c>
      <c r="F3232" t="inlineStr">
        <is>
          <t>Organic Search</t>
        </is>
      </c>
      <c r="G3232" t="inlineStr">
        <is>
          <t>Mobile App</t>
        </is>
      </c>
      <c r="H3232" t="inlineStr">
        <is>
          <t>Debit Card</t>
        </is>
      </c>
      <c r="I3232" t="inlineStr">
        <is>
          <t>Delivered</t>
        </is>
      </c>
      <c r="J3232" t="n">
        <v>106</v>
      </c>
      <c r="K3232" t="n">
        <v>2</v>
      </c>
      <c r="L3232" t="n">
        <v>1574</v>
      </c>
      <c r="M3232" t="n">
        <v>0</v>
      </c>
      <c r="N3232">
        <f>VLOOKUP(J3232,Products!$A$2:$C$49,3,FALSE)</f>
        <v/>
      </c>
      <c r="O3232">
        <f>K3232*L3232-M3232</f>
        <v/>
      </c>
      <c r="P3232">
        <f>TEXT(B3232,"yyyy-mm")</f>
        <v/>
      </c>
      <c r="Q3232">
        <f>IF(O3232&gt;=3000,"Large","Small")</f>
        <v/>
      </c>
      <c r="R3232">
        <f>INDEX(Products!$F$2:$F$49,MATCH(J3232,Products!$A$2:$A$49,0))</f>
        <v/>
      </c>
      <c r="S3232">
        <f>WEEKDAY(B3232,2)</f>
        <v/>
      </c>
    </row>
    <row r="3233">
      <c r="A3233" t="n">
        <v>511102</v>
      </c>
      <c r="B3233" s="6" t="n">
        <v>45987</v>
      </c>
      <c r="C3233" t="n">
        <v>15485</v>
      </c>
      <c r="D3233" t="inlineStr">
        <is>
          <t>Hyderabad</t>
        </is>
      </c>
      <c r="E3233" t="inlineStr">
        <is>
          <t>South</t>
        </is>
      </c>
      <c r="F3233" t="inlineStr">
        <is>
          <t>Email</t>
        </is>
      </c>
      <c r="G3233" t="inlineStr">
        <is>
          <t>Mobile App</t>
        </is>
      </c>
      <c r="H3233" t="inlineStr">
        <is>
          <t>Cash on Delivery</t>
        </is>
      </c>
      <c r="I3233" t="inlineStr">
        <is>
          <t>Delivered</t>
        </is>
      </c>
      <c r="J3233" t="n">
        <v>116</v>
      </c>
      <c r="K3233" t="n">
        <v>1</v>
      </c>
      <c r="L3233" t="n">
        <v>2624</v>
      </c>
      <c r="M3233" t="n">
        <v>0</v>
      </c>
      <c r="N3233">
        <f>VLOOKUP(J3233,Products!$A$2:$C$49,3,FALSE)</f>
        <v/>
      </c>
      <c r="O3233">
        <f>K3233*L3233-M3233</f>
        <v/>
      </c>
      <c r="P3233">
        <f>TEXT(B3233,"yyyy-mm")</f>
        <v/>
      </c>
      <c r="Q3233">
        <f>IF(O3233&gt;=3000,"Large","Small")</f>
        <v/>
      </c>
      <c r="R3233">
        <f>INDEX(Products!$F$2:$F$49,MATCH(J3233,Products!$A$2:$A$49,0))</f>
        <v/>
      </c>
      <c r="S3233">
        <f>WEEKDAY(B3233,2)</f>
        <v/>
      </c>
    </row>
    <row r="3234">
      <c r="A3234" t="n">
        <v>511102</v>
      </c>
      <c r="B3234" s="6" t="n">
        <v>45987</v>
      </c>
      <c r="C3234" t="n">
        <v>15485</v>
      </c>
      <c r="D3234" t="inlineStr">
        <is>
          <t>Hyderabad</t>
        </is>
      </c>
      <c r="E3234" t="inlineStr">
        <is>
          <t>South</t>
        </is>
      </c>
      <c r="F3234" t="inlineStr">
        <is>
          <t>Email</t>
        </is>
      </c>
      <c r="G3234" t="inlineStr">
        <is>
          <t>Mobile App</t>
        </is>
      </c>
      <c r="H3234" t="inlineStr">
        <is>
          <t>Cash on Delivery</t>
        </is>
      </c>
      <c r="I3234" t="inlineStr">
        <is>
          <t>Delivered</t>
        </is>
      </c>
      <c r="J3234" t="n">
        <v>111</v>
      </c>
      <c r="K3234" t="n">
        <v>1</v>
      </c>
      <c r="L3234" t="n">
        <v>524</v>
      </c>
      <c r="M3234" t="n">
        <v>0</v>
      </c>
      <c r="N3234">
        <f>VLOOKUP(J3234,Products!$A$2:$C$49,3,FALSE)</f>
        <v/>
      </c>
      <c r="O3234">
        <f>K3234*L3234-M3234</f>
        <v/>
      </c>
      <c r="P3234">
        <f>TEXT(B3234,"yyyy-mm")</f>
        <v/>
      </c>
      <c r="Q3234">
        <f>IF(O3234&gt;=3000,"Large","Small")</f>
        <v/>
      </c>
      <c r="R3234">
        <f>INDEX(Products!$F$2:$F$49,MATCH(J3234,Products!$A$2:$A$49,0))</f>
        <v/>
      </c>
      <c r="S3234">
        <f>WEEKDAY(B3234,2)</f>
        <v/>
      </c>
    </row>
    <row r="3235">
      <c r="A3235" t="n">
        <v>511103</v>
      </c>
      <c r="B3235" s="6" t="n">
        <v>45987</v>
      </c>
      <c r="C3235" t="n">
        <v>15457</v>
      </c>
      <c r="D3235" t="inlineStr">
        <is>
          <t>Kochi</t>
        </is>
      </c>
      <c r="E3235" t="inlineStr">
        <is>
          <t>South</t>
        </is>
      </c>
      <c r="F3235" t="inlineStr">
        <is>
          <t>Email</t>
        </is>
      </c>
      <c r="G3235" t="inlineStr">
        <is>
          <t>Desktop</t>
        </is>
      </c>
      <c r="H3235" t="inlineStr">
        <is>
          <t>Cash on Delivery</t>
        </is>
      </c>
      <c r="I3235" t="inlineStr">
        <is>
          <t>Delivered</t>
        </is>
      </c>
      <c r="J3235" t="n">
        <v>123</v>
      </c>
      <c r="K3235" t="n">
        <v>1</v>
      </c>
      <c r="L3235" t="n">
        <v>3464</v>
      </c>
      <c r="M3235" t="n">
        <v>0</v>
      </c>
      <c r="N3235">
        <f>VLOOKUP(J3235,Products!$A$2:$C$49,3,FALSE)</f>
        <v/>
      </c>
      <c r="O3235">
        <f>K3235*L3235-M3235</f>
        <v/>
      </c>
      <c r="P3235">
        <f>TEXT(B3235,"yyyy-mm")</f>
        <v/>
      </c>
      <c r="Q3235">
        <f>IF(O3235&gt;=3000,"Large","Small")</f>
        <v/>
      </c>
      <c r="R3235">
        <f>INDEX(Products!$F$2:$F$49,MATCH(J3235,Products!$A$2:$A$49,0))</f>
        <v/>
      </c>
      <c r="S3235">
        <f>WEEKDAY(B3235,2)</f>
        <v/>
      </c>
    </row>
    <row r="3236">
      <c r="A3236" t="n">
        <v>511103</v>
      </c>
      <c r="B3236" s="6" t="n">
        <v>45987</v>
      </c>
      <c r="C3236" t="n">
        <v>15457</v>
      </c>
      <c r="D3236" t="inlineStr">
        <is>
          <t>Kochi</t>
        </is>
      </c>
      <c r="E3236" t="inlineStr">
        <is>
          <t>South</t>
        </is>
      </c>
      <c r="F3236" t="inlineStr">
        <is>
          <t>Email</t>
        </is>
      </c>
      <c r="G3236" t="inlineStr">
        <is>
          <t>Desktop</t>
        </is>
      </c>
      <c r="H3236" t="inlineStr">
        <is>
          <t>Cash on Delivery</t>
        </is>
      </c>
      <c r="I3236" t="inlineStr">
        <is>
          <t>Delivered</t>
        </is>
      </c>
      <c r="J3236" t="n">
        <v>113</v>
      </c>
      <c r="K3236" t="n">
        <v>1</v>
      </c>
      <c r="L3236" t="n">
        <v>1364</v>
      </c>
      <c r="M3236" t="n">
        <v>0</v>
      </c>
      <c r="N3236">
        <f>VLOOKUP(J3236,Products!$A$2:$C$49,3,FALSE)</f>
        <v/>
      </c>
      <c r="O3236">
        <f>K3236*L3236-M3236</f>
        <v/>
      </c>
      <c r="P3236">
        <f>TEXT(B3236,"yyyy-mm")</f>
        <v/>
      </c>
      <c r="Q3236">
        <f>IF(O3236&gt;=3000,"Large","Small")</f>
        <v/>
      </c>
      <c r="R3236">
        <f>INDEX(Products!$F$2:$F$49,MATCH(J3236,Products!$A$2:$A$49,0))</f>
        <v/>
      </c>
      <c r="S3236">
        <f>WEEKDAY(B3236,2)</f>
        <v/>
      </c>
    </row>
    <row r="3237">
      <c r="A3237" t="n">
        <v>511103</v>
      </c>
      <c r="B3237" s="6" t="n">
        <v>45987</v>
      </c>
      <c r="C3237" t="n">
        <v>15457</v>
      </c>
      <c r="D3237" t="inlineStr">
        <is>
          <t>Kochi</t>
        </is>
      </c>
      <c r="E3237" t="inlineStr">
        <is>
          <t>South</t>
        </is>
      </c>
      <c r="F3237" t="inlineStr">
        <is>
          <t>Email</t>
        </is>
      </c>
      <c r="G3237" t="inlineStr">
        <is>
          <t>Desktop</t>
        </is>
      </c>
      <c r="H3237" t="inlineStr">
        <is>
          <t>Cash on Delivery</t>
        </is>
      </c>
      <c r="I3237" t="inlineStr">
        <is>
          <t>Delivered</t>
        </is>
      </c>
      <c r="J3237" t="n">
        <v>144</v>
      </c>
      <c r="K3237" t="n">
        <v>1</v>
      </c>
      <c r="L3237" t="n">
        <v>3149</v>
      </c>
      <c r="M3237" t="n">
        <v>0</v>
      </c>
      <c r="N3237">
        <f>VLOOKUP(J3237,Products!$A$2:$C$49,3,FALSE)</f>
        <v/>
      </c>
      <c r="O3237">
        <f>K3237*L3237-M3237</f>
        <v/>
      </c>
      <c r="P3237">
        <f>TEXT(B3237,"yyyy-mm")</f>
        <v/>
      </c>
      <c r="Q3237">
        <f>IF(O3237&gt;=3000,"Large","Small")</f>
        <v/>
      </c>
      <c r="R3237">
        <f>INDEX(Products!$F$2:$F$49,MATCH(J3237,Products!$A$2:$A$49,0))</f>
        <v/>
      </c>
      <c r="S3237">
        <f>WEEKDAY(B3237,2)</f>
        <v/>
      </c>
    </row>
    <row r="3238">
      <c r="A3238" t="n">
        <v>511104</v>
      </c>
      <c r="B3238" s="6" t="n">
        <v>45987</v>
      </c>
      <c r="C3238" t="n">
        <v>14262</v>
      </c>
      <c r="D3238" t="inlineStr">
        <is>
          <t>Mumbai</t>
        </is>
      </c>
      <c r="E3238" t="inlineStr">
        <is>
          <t>West</t>
        </is>
      </c>
      <c r="F3238" t="inlineStr">
        <is>
          <t>Affiliate</t>
        </is>
      </c>
      <c r="G3238" t="inlineStr">
        <is>
          <t>Mobile App</t>
        </is>
      </c>
      <c r="H3238" t="inlineStr">
        <is>
          <t>UPI</t>
        </is>
      </c>
      <c r="I3238" t="inlineStr">
        <is>
          <t>Delivered</t>
        </is>
      </c>
      <c r="J3238" t="n">
        <v>103</v>
      </c>
      <c r="K3238" t="n">
        <v>1</v>
      </c>
      <c r="L3238" t="n">
        <v>2624</v>
      </c>
      <c r="M3238" t="n">
        <v>0</v>
      </c>
      <c r="N3238">
        <f>VLOOKUP(J3238,Products!$A$2:$C$49,3,FALSE)</f>
        <v/>
      </c>
      <c r="O3238">
        <f>K3238*L3238-M3238</f>
        <v/>
      </c>
      <c r="P3238">
        <f>TEXT(B3238,"yyyy-mm")</f>
        <v/>
      </c>
      <c r="Q3238">
        <f>IF(O3238&gt;=3000,"Large","Small")</f>
        <v/>
      </c>
      <c r="R3238">
        <f>INDEX(Products!$F$2:$F$49,MATCH(J3238,Products!$A$2:$A$49,0))</f>
        <v/>
      </c>
      <c r="S3238">
        <f>WEEKDAY(B3238,2)</f>
        <v/>
      </c>
    </row>
    <row r="3239">
      <c r="A3239" t="n">
        <v>511105</v>
      </c>
      <c r="B3239" s="6" t="n">
        <v>45987</v>
      </c>
      <c r="C3239" t="n">
        <v>17504</v>
      </c>
      <c r="D3239" t="inlineStr">
        <is>
          <t>Delhi</t>
        </is>
      </c>
      <c r="E3239" t="inlineStr">
        <is>
          <t>North</t>
        </is>
      </c>
      <c r="F3239" t="inlineStr">
        <is>
          <t>Organic Search</t>
        </is>
      </c>
      <c r="G3239" t="inlineStr">
        <is>
          <t>Mobile App</t>
        </is>
      </c>
      <c r="H3239" t="inlineStr">
        <is>
          <t>UPI</t>
        </is>
      </c>
      <c r="I3239" t="inlineStr">
        <is>
          <t>Delivered</t>
        </is>
      </c>
      <c r="J3239" t="n">
        <v>120</v>
      </c>
      <c r="K3239" t="n">
        <v>1</v>
      </c>
      <c r="L3239" t="n">
        <v>734</v>
      </c>
      <c r="M3239" t="n">
        <v>0</v>
      </c>
      <c r="N3239">
        <f>VLOOKUP(J3239,Products!$A$2:$C$49,3,FALSE)</f>
        <v/>
      </c>
      <c r="O3239">
        <f>K3239*L3239-M3239</f>
        <v/>
      </c>
      <c r="P3239">
        <f>TEXT(B3239,"yyyy-mm")</f>
        <v/>
      </c>
      <c r="Q3239">
        <f>IF(O3239&gt;=3000,"Large","Small")</f>
        <v/>
      </c>
      <c r="R3239">
        <f>INDEX(Products!$F$2:$F$49,MATCH(J3239,Products!$A$2:$A$49,0))</f>
        <v/>
      </c>
      <c r="S3239">
        <f>WEEKDAY(B3239,2)</f>
        <v/>
      </c>
    </row>
    <row r="3240">
      <c r="A3240" t="n">
        <v>511105</v>
      </c>
      <c r="B3240" s="6" t="n">
        <v>45987</v>
      </c>
      <c r="C3240" t="n">
        <v>17504</v>
      </c>
      <c r="D3240" t="inlineStr">
        <is>
          <t>Delhi</t>
        </is>
      </c>
      <c r="E3240" t="inlineStr">
        <is>
          <t>North</t>
        </is>
      </c>
      <c r="F3240" t="inlineStr">
        <is>
          <t>Organic Search</t>
        </is>
      </c>
      <c r="G3240" t="inlineStr">
        <is>
          <t>Mobile App</t>
        </is>
      </c>
      <c r="H3240" t="inlineStr">
        <is>
          <t>UPI</t>
        </is>
      </c>
      <c r="I3240" t="inlineStr">
        <is>
          <t>Delivered</t>
        </is>
      </c>
      <c r="J3240" t="n">
        <v>122</v>
      </c>
      <c r="K3240" t="n">
        <v>1</v>
      </c>
      <c r="L3240" t="n">
        <v>1994</v>
      </c>
      <c r="M3240" t="n">
        <v>0</v>
      </c>
      <c r="N3240">
        <f>VLOOKUP(J3240,Products!$A$2:$C$49,3,FALSE)</f>
        <v/>
      </c>
      <c r="O3240">
        <f>K3240*L3240-M3240</f>
        <v/>
      </c>
      <c r="P3240">
        <f>TEXT(B3240,"yyyy-mm")</f>
        <v/>
      </c>
      <c r="Q3240">
        <f>IF(O3240&gt;=3000,"Large","Small")</f>
        <v/>
      </c>
      <c r="R3240">
        <f>INDEX(Products!$F$2:$F$49,MATCH(J3240,Products!$A$2:$A$49,0))</f>
        <v/>
      </c>
      <c r="S3240">
        <f>WEEKDAY(B3240,2)</f>
        <v/>
      </c>
    </row>
    <row r="3241">
      <c r="A3241" t="n">
        <v>511106</v>
      </c>
      <c r="B3241" s="6" t="n">
        <v>45987</v>
      </c>
      <c r="C3241" t="n">
        <v>17421</v>
      </c>
      <c r="D3241" t="inlineStr">
        <is>
          <t>Pune</t>
        </is>
      </c>
      <c r="E3241" t="inlineStr">
        <is>
          <t>West</t>
        </is>
      </c>
      <c r="F3241" t="inlineStr">
        <is>
          <t>Email</t>
        </is>
      </c>
      <c r="G3241" t="inlineStr">
        <is>
          <t>Mobile App</t>
        </is>
      </c>
      <c r="H3241" t="inlineStr">
        <is>
          <t>UPI</t>
        </is>
      </c>
      <c r="I3241" t="inlineStr">
        <is>
          <t>Delivered</t>
        </is>
      </c>
      <c r="J3241" t="n">
        <v>134</v>
      </c>
      <c r="K3241" t="n">
        <v>1</v>
      </c>
      <c r="L3241" t="n">
        <v>209</v>
      </c>
      <c r="M3241" t="n">
        <v>0</v>
      </c>
      <c r="N3241">
        <f>VLOOKUP(J3241,Products!$A$2:$C$49,3,FALSE)</f>
        <v/>
      </c>
      <c r="O3241">
        <f>K3241*L3241-M3241</f>
        <v/>
      </c>
      <c r="P3241">
        <f>TEXT(B3241,"yyyy-mm")</f>
        <v/>
      </c>
      <c r="Q3241">
        <f>IF(O3241&gt;=3000,"Large","Small")</f>
        <v/>
      </c>
      <c r="R3241">
        <f>INDEX(Products!$F$2:$F$49,MATCH(J3241,Products!$A$2:$A$49,0))</f>
        <v/>
      </c>
      <c r="S3241">
        <f>WEEKDAY(B3241,2)</f>
        <v/>
      </c>
    </row>
    <row r="3242">
      <c r="A3242" t="n">
        <v>511106</v>
      </c>
      <c r="B3242" s="6" t="n">
        <v>45987</v>
      </c>
      <c r="C3242" t="n">
        <v>17421</v>
      </c>
      <c r="D3242" t="inlineStr">
        <is>
          <t>Pune</t>
        </is>
      </c>
      <c r="E3242" t="inlineStr">
        <is>
          <t>West</t>
        </is>
      </c>
      <c r="F3242" t="inlineStr">
        <is>
          <t>Email</t>
        </is>
      </c>
      <c r="G3242" t="inlineStr">
        <is>
          <t>Mobile App</t>
        </is>
      </c>
      <c r="H3242" t="inlineStr">
        <is>
          <t>UPI</t>
        </is>
      </c>
      <c r="I3242" t="inlineStr">
        <is>
          <t>Delivered</t>
        </is>
      </c>
      <c r="J3242" t="n">
        <v>101</v>
      </c>
      <c r="K3242" t="n">
        <v>1</v>
      </c>
      <c r="L3242" t="n">
        <v>2099</v>
      </c>
      <c r="M3242" t="n">
        <v>0</v>
      </c>
      <c r="N3242">
        <f>VLOOKUP(J3242,Products!$A$2:$C$49,3,FALSE)</f>
        <v/>
      </c>
      <c r="O3242">
        <f>K3242*L3242-M3242</f>
        <v/>
      </c>
      <c r="P3242">
        <f>TEXT(B3242,"yyyy-mm")</f>
        <v/>
      </c>
      <c r="Q3242">
        <f>IF(O3242&gt;=3000,"Large","Small")</f>
        <v/>
      </c>
      <c r="R3242">
        <f>INDEX(Products!$F$2:$F$49,MATCH(J3242,Products!$A$2:$A$49,0))</f>
        <v/>
      </c>
      <c r="S3242">
        <f>WEEKDAY(B3242,2)</f>
        <v/>
      </c>
    </row>
    <row r="3243">
      <c r="A3243" t="n">
        <v>511107</v>
      </c>
      <c r="B3243" s="6" t="n">
        <v>45988</v>
      </c>
      <c r="C3243" t="n">
        <v>15216</v>
      </c>
      <c r="D3243" t="inlineStr">
        <is>
          <t>Hyderabad</t>
        </is>
      </c>
      <c r="E3243" t="inlineStr">
        <is>
          <t>South</t>
        </is>
      </c>
      <c r="F3243" t="inlineStr">
        <is>
          <t>Organic Search</t>
        </is>
      </c>
      <c r="G3243" t="inlineStr">
        <is>
          <t>Mobile App</t>
        </is>
      </c>
      <c r="H3243" t="inlineStr">
        <is>
          <t>Cash on Delivery</t>
        </is>
      </c>
      <c r="I3243" t="inlineStr">
        <is>
          <t>Delivered</t>
        </is>
      </c>
      <c r="J3243" t="n">
        <v>117</v>
      </c>
      <c r="K3243" t="n">
        <v>1</v>
      </c>
      <c r="L3243" t="n">
        <v>3149</v>
      </c>
      <c r="M3243" t="n">
        <v>0</v>
      </c>
      <c r="N3243">
        <f>VLOOKUP(J3243,Products!$A$2:$C$49,3,FALSE)</f>
        <v/>
      </c>
      <c r="O3243">
        <f>K3243*L3243-M3243</f>
        <v/>
      </c>
      <c r="P3243">
        <f>TEXT(B3243,"yyyy-mm")</f>
        <v/>
      </c>
      <c r="Q3243">
        <f>IF(O3243&gt;=3000,"Large","Small")</f>
        <v/>
      </c>
      <c r="R3243">
        <f>INDEX(Products!$F$2:$F$49,MATCH(J3243,Products!$A$2:$A$49,0))</f>
        <v/>
      </c>
      <c r="S3243">
        <f>WEEKDAY(B3243,2)</f>
        <v/>
      </c>
    </row>
    <row r="3244">
      <c r="A3244" t="n">
        <v>511108</v>
      </c>
      <c r="B3244" s="6" t="n">
        <v>45988</v>
      </c>
      <c r="C3244" t="n">
        <v>17387</v>
      </c>
      <c r="D3244" t="inlineStr">
        <is>
          <t>Mumbai</t>
        </is>
      </c>
      <c r="E3244" t="inlineStr">
        <is>
          <t>West</t>
        </is>
      </c>
      <c r="F3244" t="inlineStr">
        <is>
          <t>Organic Search</t>
        </is>
      </c>
      <c r="G3244" t="inlineStr">
        <is>
          <t>Desktop</t>
        </is>
      </c>
      <c r="H3244" t="inlineStr">
        <is>
          <t>UPI</t>
        </is>
      </c>
      <c r="I3244" t="inlineStr">
        <is>
          <t>Delivered</t>
        </is>
      </c>
      <c r="J3244" t="n">
        <v>116</v>
      </c>
      <c r="K3244" t="n">
        <v>1</v>
      </c>
      <c r="L3244" t="n">
        <v>2624</v>
      </c>
      <c r="M3244" t="n">
        <v>0</v>
      </c>
      <c r="N3244">
        <f>VLOOKUP(J3244,Products!$A$2:$C$49,3,FALSE)</f>
        <v/>
      </c>
      <c r="O3244">
        <f>K3244*L3244-M3244</f>
        <v/>
      </c>
      <c r="P3244">
        <f>TEXT(B3244,"yyyy-mm")</f>
        <v/>
      </c>
      <c r="Q3244">
        <f>IF(O3244&gt;=3000,"Large","Small")</f>
        <v/>
      </c>
      <c r="R3244">
        <f>INDEX(Products!$F$2:$F$49,MATCH(J3244,Products!$A$2:$A$49,0))</f>
        <v/>
      </c>
      <c r="S3244">
        <f>WEEKDAY(B3244,2)</f>
        <v/>
      </c>
    </row>
    <row r="3245">
      <c r="A3245" t="n">
        <v>511109</v>
      </c>
      <c r="B3245" s="6" t="n">
        <v>45988</v>
      </c>
      <c r="C3245" t="n">
        <v>17499</v>
      </c>
      <c r="D3245" t="inlineStr">
        <is>
          <t>Chennai</t>
        </is>
      </c>
      <c r="E3245" t="inlineStr">
        <is>
          <t>South</t>
        </is>
      </c>
      <c r="F3245" t="inlineStr">
        <is>
          <t>Organic Search</t>
        </is>
      </c>
      <c r="G3245" t="inlineStr">
        <is>
          <t>Mobile Web</t>
        </is>
      </c>
      <c r="H3245" t="inlineStr">
        <is>
          <t>UPI</t>
        </is>
      </c>
      <c r="I3245" t="inlineStr">
        <is>
          <t>Delivered</t>
        </is>
      </c>
      <c r="J3245" t="n">
        <v>110</v>
      </c>
      <c r="K3245" t="n">
        <v>1</v>
      </c>
      <c r="L3245" t="n">
        <v>839</v>
      </c>
      <c r="M3245" t="n">
        <v>125.85</v>
      </c>
      <c r="N3245">
        <f>VLOOKUP(J3245,Products!$A$2:$C$49,3,FALSE)</f>
        <v/>
      </c>
      <c r="O3245">
        <f>K3245*L3245-M3245</f>
        <v/>
      </c>
      <c r="P3245">
        <f>TEXT(B3245,"yyyy-mm")</f>
        <v/>
      </c>
      <c r="Q3245">
        <f>IF(O3245&gt;=3000,"Large","Small")</f>
        <v/>
      </c>
      <c r="R3245">
        <f>INDEX(Products!$F$2:$F$49,MATCH(J3245,Products!$A$2:$A$49,0))</f>
        <v/>
      </c>
      <c r="S3245">
        <f>WEEKDAY(B3245,2)</f>
        <v/>
      </c>
    </row>
    <row r="3246">
      <c r="A3246" t="n">
        <v>511109</v>
      </c>
      <c r="B3246" s="6" t="n">
        <v>45988</v>
      </c>
      <c r="C3246" t="n">
        <v>17499</v>
      </c>
      <c r="D3246" t="inlineStr">
        <is>
          <t>Chennai</t>
        </is>
      </c>
      <c r="E3246" t="inlineStr">
        <is>
          <t>South</t>
        </is>
      </c>
      <c r="F3246" t="inlineStr">
        <is>
          <t>Organic Search</t>
        </is>
      </c>
      <c r="G3246" t="inlineStr">
        <is>
          <t>Mobile Web</t>
        </is>
      </c>
      <c r="H3246" t="inlineStr">
        <is>
          <t>UPI</t>
        </is>
      </c>
      <c r="I3246" t="inlineStr">
        <is>
          <t>Delivered</t>
        </is>
      </c>
      <c r="J3246" t="n">
        <v>111</v>
      </c>
      <c r="K3246" t="n">
        <v>1</v>
      </c>
      <c r="L3246" t="n">
        <v>524</v>
      </c>
      <c r="M3246" t="n">
        <v>78.59999999999999</v>
      </c>
      <c r="N3246">
        <f>VLOOKUP(J3246,Products!$A$2:$C$49,3,FALSE)</f>
        <v/>
      </c>
      <c r="O3246">
        <f>K3246*L3246-M3246</f>
        <v/>
      </c>
      <c r="P3246">
        <f>TEXT(B3246,"yyyy-mm")</f>
        <v/>
      </c>
      <c r="Q3246">
        <f>IF(O3246&gt;=3000,"Large","Small")</f>
        <v/>
      </c>
      <c r="R3246">
        <f>INDEX(Products!$F$2:$F$49,MATCH(J3246,Products!$A$2:$A$49,0))</f>
        <v/>
      </c>
      <c r="S3246">
        <f>WEEKDAY(B3246,2)</f>
        <v/>
      </c>
    </row>
    <row r="3247">
      <c r="A3247" t="n">
        <v>511109</v>
      </c>
      <c r="B3247" s="6" t="n">
        <v>45988</v>
      </c>
      <c r="C3247" t="n">
        <v>17499</v>
      </c>
      <c r="D3247" t="inlineStr">
        <is>
          <t>Chennai</t>
        </is>
      </c>
      <c r="E3247" t="inlineStr">
        <is>
          <t>South</t>
        </is>
      </c>
      <c r="F3247" t="inlineStr">
        <is>
          <t>Organic Search</t>
        </is>
      </c>
      <c r="G3247" t="inlineStr">
        <is>
          <t>Mobile Web</t>
        </is>
      </c>
      <c r="H3247" t="inlineStr">
        <is>
          <t>UPI</t>
        </is>
      </c>
      <c r="I3247" t="inlineStr">
        <is>
          <t>Delivered</t>
        </is>
      </c>
      <c r="J3247" t="n">
        <v>117</v>
      </c>
      <c r="K3247" t="n">
        <v>1</v>
      </c>
      <c r="L3247" t="n">
        <v>3149</v>
      </c>
      <c r="M3247" t="n">
        <v>472.35</v>
      </c>
      <c r="N3247">
        <f>VLOOKUP(J3247,Products!$A$2:$C$49,3,FALSE)</f>
        <v/>
      </c>
      <c r="O3247">
        <f>K3247*L3247-M3247</f>
        <v/>
      </c>
      <c r="P3247">
        <f>TEXT(B3247,"yyyy-mm")</f>
        <v/>
      </c>
      <c r="Q3247">
        <f>IF(O3247&gt;=3000,"Large","Small")</f>
        <v/>
      </c>
      <c r="R3247">
        <f>INDEX(Products!$F$2:$F$49,MATCH(J3247,Products!$A$2:$A$49,0))</f>
        <v/>
      </c>
      <c r="S3247">
        <f>WEEKDAY(B3247,2)</f>
        <v/>
      </c>
    </row>
    <row r="3248">
      <c r="A3248" t="n">
        <v>511110</v>
      </c>
      <c r="B3248" s="6" t="n">
        <v>45988</v>
      </c>
      <c r="C3248" t="n">
        <v>17426</v>
      </c>
      <c r="D3248" t="inlineStr">
        <is>
          <t>Hyderabad</t>
        </is>
      </c>
      <c r="E3248" t="inlineStr">
        <is>
          <t>South</t>
        </is>
      </c>
      <c r="F3248" t="inlineStr">
        <is>
          <t>Organic Search</t>
        </is>
      </c>
      <c r="G3248" t="inlineStr">
        <is>
          <t>Mobile App</t>
        </is>
      </c>
      <c r="H3248" t="inlineStr">
        <is>
          <t>Credit Card</t>
        </is>
      </c>
      <c r="I3248" t="inlineStr">
        <is>
          <t>Delivered</t>
        </is>
      </c>
      <c r="J3248" t="n">
        <v>125</v>
      </c>
      <c r="K3248" t="n">
        <v>1</v>
      </c>
      <c r="L3248" t="n">
        <v>1364</v>
      </c>
      <c r="M3248" t="n">
        <v>204.6</v>
      </c>
      <c r="N3248">
        <f>VLOOKUP(J3248,Products!$A$2:$C$49,3,FALSE)</f>
        <v/>
      </c>
      <c r="O3248">
        <f>K3248*L3248-M3248</f>
        <v/>
      </c>
      <c r="P3248">
        <f>TEXT(B3248,"yyyy-mm")</f>
        <v/>
      </c>
      <c r="Q3248">
        <f>IF(O3248&gt;=3000,"Large","Small")</f>
        <v/>
      </c>
      <c r="R3248">
        <f>INDEX(Products!$F$2:$F$49,MATCH(J3248,Products!$A$2:$A$49,0))</f>
        <v/>
      </c>
      <c r="S3248">
        <f>WEEKDAY(B3248,2)</f>
        <v/>
      </c>
    </row>
    <row r="3249">
      <c r="A3249" t="n">
        <v>511111</v>
      </c>
      <c r="B3249" s="6" t="n">
        <v>45988</v>
      </c>
      <c r="C3249" t="n">
        <v>17448</v>
      </c>
      <c r="D3249" t="inlineStr">
        <is>
          <t>Delhi</t>
        </is>
      </c>
      <c r="E3249" t="inlineStr">
        <is>
          <t>North</t>
        </is>
      </c>
      <c r="F3249" t="inlineStr">
        <is>
          <t>Organic Search</t>
        </is>
      </c>
      <c r="G3249" t="inlineStr">
        <is>
          <t>Mobile App</t>
        </is>
      </c>
      <c r="H3249" t="inlineStr">
        <is>
          <t>Debit Card</t>
        </is>
      </c>
      <c r="I3249" t="inlineStr">
        <is>
          <t>Delivered</t>
        </is>
      </c>
      <c r="J3249" t="n">
        <v>110</v>
      </c>
      <c r="K3249" t="n">
        <v>1</v>
      </c>
      <c r="L3249" t="n">
        <v>839</v>
      </c>
      <c r="M3249" t="n">
        <v>0</v>
      </c>
      <c r="N3249">
        <f>VLOOKUP(J3249,Products!$A$2:$C$49,3,FALSE)</f>
        <v/>
      </c>
      <c r="O3249">
        <f>K3249*L3249-M3249</f>
        <v/>
      </c>
      <c r="P3249">
        <f>TEXT(B3249,"yyyy-mm")</f>
        <v/>
      </c>
      <c r="Q3249">
        <f>IF(O3249&gt;=3000,"Large","Small")</f>
        <v/>
      </c>
      <c r="R3249">
        <f>INDEX(Products!$F$2:$F$49,MATCH(J3249,Products!$A$2:$A$49,0))</f>
        <v/>
      </c>
      <c r="S3249">
        <f>WEEKDAY(B3249,2)</f>
        <v/>
      </c>
    </row>
    <row r="3250">
      <c r="A3250" t="n">
        <v>511111</v>
      </c>
      <c r="B3250" s="6" t="n">
        <v>45988</v>
      </c>
      <c r="C3250" t="n">
        <v>17448</v>
      </c>
      <c r="D3250" t="inlineStr">
        <is>
          <t>Delhi</t>
        </is>
      </c>
      <c r="E3250" t="inlineStr">
        <is>
          <t>North</t>
        </is>
      </c>
      <c r="F3250" t="inlineStr">
        <is>
          <t>Organic Search</t>
        </is>
      </c>
      <c r="G3250" t="inlineStr">
        <is>
          <t>Mobile App</t>
        </is>
      </c>
      <c r="H3250" t="inlineStr">
        <is>
          <t>Debit Card</t>
        </is>
      </c>
      <c r="I3250" t="inlineStr">
        <is>
          <t>Delivered</t>
        </is>
      </c>
      <c r="J3250" t="n">
        <v>116</v>
      </c>
      <c r="K3250" t="n">
        <v>1</v>
      </c>
      <c r="L3250" t="n">
        <v>2624</v>
      </c>
      <c r="M3250" t="n">
        <v>0</v>
      </c>
      <c r="N3250">
        <f>VLOOKUP(J3250,Products!$A$2:$C$49,3,FALSE)</f>
        <v/>
      </c>
      <c r="O3250">
        <f>K3250*L3250-M3250</f>
        <v/>
      </c>
      <c r="P3250">
        <f>TEXT(B3250,"yyyy-mm")</f>
        <v/>
      </c>
      <c r="Q3250">
        <f>IF(O3250&gt;=3000,"Large","Small")</f>
        <v/>
      </c>
      <c r="R3250">
        <f>INDEX(Products!$F$2:$F$49,MATCH(J3250,Products!$A$2:$A$49,0))</f>
        <v/>
      </c>
      <c r="S3250">
        <f>WEEKDAY(B3250,2)</f>
        <v/>
      </c>
    </row>
    <row r="3251">
      <c r="A3251" t="n">
        <v>511112</v>
      </c>
      <c r="B3251" s="6" t="n">
        <v>45988</v>
      </c>
      <c r="C3251" t="n">
        <v>17107</v>
      </c>
      <c r="D3251" t="inlineStr">
        <is>
          <t>Delhi</t>
        </is>
      </c>
      <c r="E3251" t="inlineStr">
        <is>
          <t>North</t>
        </is>
      </c>
      <c r="F3251" t="inlineStr">
        <is>
          <t>Affiliate</t>
        </is>
      </c>
      <c r="G3251" t="inlineStr">
        <is>
          <t>Mobile Web</t>
        </is>
      </c>
      <c r="H3251" t="inlineStr">
        <is>
          <t>UPI</t>
        </is>
      </c>
      <c r="I3251" t="inlineStr">
        <is>
          <t>Delivered</t>
        </is>
      </c>
      <c r="J3251" t="n">
        <v>147</v>
      </c>
      <c r="K3251" t="n">
        <v>1</v>
      </c>
      <c r="L3251" t="n">
        <v>1364</v>
      </c>
      <c r="M3251" t="n">
        <v>0</v>
      </c>
      <c r="N3251">
        <f>VLOOKUP(J3251,Products!$A$2:$C$49,3,FALSE)</f>
        <v/>
      </c>
      <c r="O3251">
        <f>K3251*L3251-M3251</f>
        <v/>
      </c>
      <c r="P3251">
        <f>TEXT(B3251,"yyyy-mm")</f>
        <v/>
      </c>
      <c r="Q3251">
        <f>IF(O3251&gt;=3000,"Large","Small")</f>
        <v/>
      </c>
      <c r="R3251">
        <f>INDEX(Products!$F$2:$F$49,MATCH(J3251,Products!$A$2:$A$49,0))</f>
        <v/>
      </c>
      <c r="S3251">
        <f>WEEKDAY(B3251,2)</f>
        <v/>
      </c>
    </row>
    <row r="3252">
      <c r="A3252" t="n">
        <v>511113</v>
      </c>
      <c r="B3252" s="6" t="n">
        <v>45988</v>
      </c>
      <c r="C3252" t="n">
        <v>17505</v>
      </c>
      <c r="D3252" t="inlineStr">
        <is>
          <t>Delhi</t>
        </is>
      </c>
      <c r="E3252" t="inlineStr">
        <is>
          <t>North</t>
        </is>
      </c>
      <c r="F3252" t="inlineStr">
        <is>
          <t>Paid Social</t>
        </is>
      </c>
      <c r="G3252" t="inlineStr">
        <is>
          <t>Mobile App</t>
        </is>
      </c>
      <c r="H3252" t="inlineStr">
        <is>
          <t>Debit Card</t>
        </is>
      </c>
      <c r="I3252" t="inlineStr">
        <is>
          <t>Returned</t>
        </is>
      </c>
      <c r="J3252" t="n">
        <v>124</v>
      </c>
      <c r="K3252" t="n">
        <v>1</v>
      </c>
      <c r="L3252" t="n">
        <v>1154</v>
      </c>
      <c r="M3252" t="n">
        <v>173.1</v>
      </c>
      <c r="N3252">
        <f>VLOOKUP(J3252,Products!$A$2:$C$49,3,FALSE)</f>
        <v/>
      </c>
      <c r="O3252">
        <f>K3252*L3252-M3252</f>
        <v/>
      </c>
      <c r="P3252">
        <f>TEXT(B3252,"yyyy-mm")</f>
        <v/>
      </c>
      <c r="Q3252">
        <f>IF(O3252&gt;=3000,"Large","Small")</f>
        <v/>
      </c>
      <c r="R3252">
        <f>INDEX(Products!$F$2:$F$49,MATCH(J3252,Products!$A$2:$A$49,0))</f>
        <v/>
      </c>
      <c r="S3252">
        <f>WEEKDAY(B3252,2)</f>
        <v/>
      </c>
    </row>
    <row r="3253">
      <c r="A3253" t="n">
        <v>511113</v>
      </c>
      <c r="B3253" s="6" t="n">
        <v>45988</v>
      </c>
      <c r="C3253" t="n">
        <v>17505</v>
      </c>
      <c r="D3253" t="inlineStr">
        <is>
          <t>Delhi</t>
        </is>
      </c>
      <c r="E3253" t="inlineStr">
        <is>
          <t>North</t>
        </is>
      </c>
      <c r="F3253" t="inlineStr">
        <is>
          <t>Paid Social</t>
        </is>
      </c>
      <c r="G3253" t="inlineStr">
        <is>
          <t>Mobile App</t>
        </is>
      </c>
      <c r="H3253" t="inlineStr">
        <is>
          <t>Debit Card</t>
        </is>
      </c>
      <c r="I3253" t="inlineStr">
        <is>
          <t>Returned</t>
        </is>
      </c>
      <c r="J3253" t="n">
        <v>139</v>
      </c>
      <c r="K3253" t="n">
        <v>2</v>
      </c>
      <c r="L3253" t="n">
        <v>366</v>
      </c>
      <c r="M3253" t="n">
        <v>109.8</v>
      </c>
      <c r="N3253">
        <f>VLOOKUP(J3253,Products!$A$2:$C$49,3,FALSE)</f>
        <v/>
      </c>
      <c r="O3253">
        <f>K3253*L3253-M3253</f>
        <v/>
      </c>
      <c r="P3253">
        <f>TEXT(B3253,"yyyy-mm")</f>
        <v/>
      </c>
      <c r="Q3253">
        <f>IF(O3253&gt;=3000,"Large","Small")</f>
        <v/>
      </c>
      <c r="R3253">
        <f>INDEX(Products!$F$2:$F$49,MATCH(J3253,Products!$A$2:$A$49,0))</f>
        <v/>
      </c>
      <c r="S3253">
        <f>WEEKDAY(B3253,2)</f>
        <v/>
      </c>
    </row>
    <row r="3254">
      <c r="A3254" t="n">
        <v>511113</v>
      </c>
      <c r="B3254" s="6" t="n">
        <v>45988</v>
      </c>
      <c r="C3254" t="n">
        <v>17505</v>
      </c>
      <c r="D3254" t="inlineStr">
        <is>
          <t>Delhi</t>
        </is>
      </c>
      <c r="E3254" t="inlineStr">
        <is>
          <t>North</t>
        </is>
      </c>
      <c r="F3254" t="inlineStr">
        <is>
          <t>Paid Social</t>
        </is>
      </c>
      <c r="G3254" t="inlineStr">
        <is>
          <t>Mobile App</t>
        </is>
      </c>
      <c r="H3254" t="inlineStr">
        <is>
          <t>Debit Card</t>
        </is>
      </c>
      <c r="I3254" t="inlineStr">
        <is>
          <t>Returned</t>
        </is>
      </c>
      <c r="J3254" t="n">
        <v>125</v>
      </c>
      <c r="K3254" t="n">
        <v>1</v>
      </c>
      <c r="L3254" t="n">
        <v>1364</v>
      </c>
      <c r="M3254" t="n">
        <v>204.6</v>
      </c>
      <c r="N3254">
        <f>VLOOKUP(J3254,Products!$A$2:$C$49,3,FALSE)</f>
        <v/>
      </c>
      <c r="O3254">
        <f>K3254*L3254-M3254</f>
        <v/>
      </c>
      <c r="P3254">
        <f>TEXT(B3254,"yyyy-mm")</f>
        <v/>
      </c>
      <c r="Q3254">
        <f>IF(O3254&gt;=3000,"Large","Small")</f>
        <v/>
      </c>
      <c r="R3254">
        <f>INDEX(Products!$F$2:$F$49,MATCH(J3254,Products!$A$2:$A$49,0))</f>
        <v/>
      </c>
      <c r="S3254">
        <f>WEEKDAY(B3254,2)</f>
        <v/>
      </c>
    </row>
    <row r="3255">
      <c r="A3255" t="n">
        <v>511114</v>
      </c>
      <c r="B3255" s="6" t="n">
        <v>45988</v>
      </c>
      <c r="C3255" t="n">
        <v>17463</v>
      </c>
      <c r="D3255" t="inlineStr">
        <is>
          <t>Pune</t>
        </is>
      </c>
      <c r="E3255" t="inlineStr">
        <is>
          <t>West</t>
        </is>
      </c>
      <c r="F3255" t="inlineStr">
        <is>
          <t>Organic Search</t>
        </is>
      </c>
      <c r="G3255" t="inlineStr">
        <is>
          <t>Mobile App</t>
        </is>
      </c>
      <c r="H3255" t="inlineStr">
        <is>
          <t>Credit Card</t>
        </is>
      </c>
      <c r="I3255" t="inlineStr">
        <is>
          <t>Delivered</t>
        </is>
      </c>
      <c r="J3255" t="n">
        <v>118</v>
      </c>
      <c r="K3255" t="n">
        <v>2</v>
      </c>
      <c r="L3255" t="n">
        <v>944</v>
      </c>
      <c r="M3255" t="n">
        <v>0</v>
      </c>
      <c r="N3255">
        <f>VLOOKUP(J3255,Products!$A$2:$C$49,3,FALSE)</f>
        <v/>
      </c>
      <c r="O3255">
        <f>K3255*L3255-M3255</f>
        <v/>
      </c>
      <c r="P3255">
        <f>TEXT(B3255,"yyyy-mm")</f>
        <v/>
      </c>
      <c r="Q3255">
        <f>IF(O3255&gt;=3000,"Large","Small")</f>
        <v/>
      </c>
      <c r="R3255">
        <f>INDEX(Products!$F$2:$F$49,MATCH(J3255,Products!$A$2:$A$49,0))</f>
        <v/>
      </c>
      <c r="S3255">
        <f>WEEKDAY(B3255,2)</f>
        <v/>
      </c>
    </row>
    <row r="3256">
      <c r="A3256" t="n">
        <v>511115</v>
      </c>
      <c r="B3256" s="6" t="n">
        <v>45988</v>
      </c>
      <c r="C3256" t="n">
        <v>15316</v>
      </c>
      <c r="D3256" t="inlineStr">
        <is>
          <t>Kolkata</t>
        </is>
      </c>
      <c r="E3256" t="inlineStr">
        <is>
          <t>East</t>
        </is>
      </c>
      <c r="F3256" t="inlineStr">
        <is>
          <t>Organic Search</t>
        </is>
      </c>
      <c r="G3256" t="inlineStr">
        <is>
          <t>Desktop</t>
        </is>
      </c>
      <c r="H3256" t="inlineStr">
        <is>
          <t>UPI</t>
        </is>
      </c>
      <c r="I3256" t="inlineStr">
        <is>
          <t>Delivered</t>
        </is>
      </c>
      <c r="J3256" t="n">
        <v>137</v>
      </c>
      <c r="K3256" t="n">
        <v>1</v>
      </c>
      <c r="L3256" t="n">
        <v>261</v>
      </c>
      <c r="M3256" t="n">
        <v>0</v>
      </c>
      <c r="N3256">
        <f>VLOOKUP(J3256,Products!$A$2:$C$49,3,FALSE)</f>
        <v/>
      </c>
      <c r="O3256">
        <f>K3256*L3256-M3256</f>
        <v/>
      </c>
      <c r="P3256">
        <f>TEXT(B3256,"yyyy-mm")</f>
        <v/>
      </c>
      <c r="Q3256">
        <f>IF(O3256&gt;=3000,"Large","Small")</f>
        <v/>
      </c>
      <c r="R3256">
        <f>INDEX(Products!$F$2:$F$49,MATCH(J3256,Products!$A$2:$A$49,0))</f>
        <v/>
      </c>
      <c r="S3256">
        <f>WEEKDAY(B3256,2)</f>
        <v/>
      </c>
    </row>
    <row r="3257">
      <c r="A3257" t="n">
        <v>511115</v>
      </c>
      <c r="B3257" s="6" t="n">
        <v>45988</v>
      </c>
      <c r="C3257" t="n">
        <v>15316</v>
      </c>
      <c r="D3257" t="inlineStr">
        <is>
          <t>Kolkata</t>
        </is>
      </c>
      <c r="E3257" t="inlineStr">
        <is>
          <t>East</t>
        </is>
      </c>
      <c r="F3257" t="inlineStr">
        <is>
          <t>Organic Search</t>
        </is>
      </c>
      <c r="G3257" t="inlineStr">
        <is>
          <t>Desktop</t>
        </is>
      </c>
      <c r="H3257" t="inlineStr">
        <is>
          <t>UPI</t>
        </is>
      </c>
      <c r="I3257" t="inlineStr">
        <is>
          <t>Delivered</t>
        </is>
      </c>
      <c r="J3257" t="n">
        <v>115</v>
      </c>
      <c r="K3257" t="n">
        <v>1</v>
      </c>
      <c r="L3257" t="n">
        <v>4199</v>
      </c>
      <c r="M3257" t="n">
        <v>0</v>
      </c>
      <c r="N3257">
        <f>VLOOKUP(J3257,Products!$A$2:$C$49,3,FALSE)</f>
        <v/>
      </c>
      <c r="O3257">
        <f>K3257*L3257-M3257</f>
        <v/>
      </c>
      <c r="P3257">
        <f>TEXT(B3257,"yyyy-mm")</f>
        <v/>
      </c>
      <c r="Q3257">
        <f>IF(O3257&gt;=3000,"Large","Small")</f>
        <v/>
      </c>
      <c r="R3257">
        <f>INDEX(Products!$F$2:$F$49,MATCH(J3257,Products!$A$2:$A$49,0))</f>
        <v/>
      </c>
      <c r="S3257">
        <f>WEEKDAY(B3257,2)</f>
        <v/>
      </c>
    </row>
    <row r="3258">
      <c r="A3258" t="n">
        <v>511116</v>
      </c>
      <c r="B3258" s="6" t="n">
        <v>45988</v>
      </c>
      <c r="C3258" t="n">
        <v>17489</v>
      </c>
      <c r="D3258" t="inlineStr">
        <is>
          <t>Ahmedabad</t>
        </is>
      </c>
      <c r="E3258" t="inlineStr">
        <is>
          <t>West</t>
        </is>
      </c>
      <c r="F3258" t="inlineStr">
        <is>
          <t>Email</t>
        </is>
      </c>
      <c r="G3258" t="inlineStr">
        <is>
          <t>Mobile App</t>
        </is>
      </c>
      <c r="H3258" t="inlineStr">
        <is>
          <t>Cash on Delivery</t>
        </is>
      </c>
      <c r="I3258" t="inlineStr">
        <is>
          <t>Delivered</t>
        </is>
      </c>
      <c r="J3258" t="n">
        <v>112</v>
      </c>
      <c r="K3258" t="n">
        <v>2</v>
      </c>
      <c r="L3258" t="n">
        <v>1574</v>
      </c>
      <c r="M3258" t="n">
        <v>472.2</v>
      </c>
      <c r="N3258">
        <f>VLOOKUP(J3258,Products!$A$2:$C$49,3,FALSE)</f>
        <v/>
      </c>
      <c r="O3258">
        <f>K3258*L3258-M3258</f>
        <v/>
      </c>
      <c r="P3258">
        <f>TEXT(B3258,"yyyy-mm")</f>
        <v/>
      </c>
      <c r="Q3258">
        <f>IF(O3258&gt;=3000,"Large","Small")</f>
        <v/>
      </c>
      <c r="R3258">
        <f>INDEX(Products!$F$2:$F$49,MATCH(J3258,Products!$A$2:$A$49,0))</f>
        <v/>
      </c>
      <c r="S3258">
        <f>WEEKDAY(B3258,2)</f>
        <v/>
      </c>
    </row>
    <row r="3259">
      <c r="A3259" t="n">
        <v>511117</v>
      </c>
      <c r="B3259" s="6" t="n">
        <v>45988</v>
      </c>
      <c r="C3259" t="n">
        <v>17375</v>
      </c>
      <c r="D3259" t="inlineStr">
        <is>
          <t>Lucknow</t>
        </is>
      </c>
      <c r="E3259" t="inlineStr">
        <is>
          <t>North</t>
        </is>
      </c>
      <c r="F3259" t="inlineStr">
        <is>
          <t>Organic Search</t>
        </is>
      </c>
      <c r="G3259" t="inlineStr">
        <is>
          <t>Mobile Web</t>
        </is>
      </c>
      <c r="H3259" t="inlineStr">
        <is>
          <t>Credit Card</t>
        </is>
      </c>
      <c r="I3259" t="inlineStr">
        <is>
          <t>Delivered</t>
        </is>
      </c>
      <c r="J3259" t="n">
        <v>108</v>
      </c>
      <c r="K3259" t="n">
        <v>1</v>
      </c>
      <c r="L3259" t="n">
        <v>419</v>
      </c>
      <c r="M3259" t="n">
        <v>0</v>
      </c>
      <c r="N3259">
        <f>VLOOKUP(J3259,Products!$A$2:$C$49,3,FALSE)</f>
        <v/>
      </c>
      <c r="O3259">
        <f>K3259*L3259-M3259</f>
        <v/>
      </c>
      <c r="P3259">
        <f>TEXT(B3259,"yyyy-mm")</f>
        <v/>
      </c>
      <c r="Q3259">
        <f>IF(O3259&gt;=3000,"Large","Small")</f>
        <v/>
      </c>
      <c r="R3259">
        <f>INDEX(Products!$F$2:$F$49,MATCH(J3259,Products!$A$2:$A$49,0))</f>
        <v/>
      </c>
      <c r="S3259">
        <f>WEEKDAY(B3259,2)</f>
        <v/>
      </c>
    </row>
    <row r="3260">
      <c r="A3260" t="n">
        <v>511118</v>
      </c>
      <c r="B3260" s="6" t="n">
        <v>45988</v>
      </c>
      <c r="C3260" t="n">
        <v>17267</v>
      </c>
      <c r="D3260" t="inlineStr">
        <is>
          <t>Noida</t>
        </is>
      </c>
      <c r="E3260" t="inlineStr">
        <is>
          <t>North</t>
        </is>
      </c>
      <c r="F3260" t="inlineStr">
        <is>
          <t>Referral</t>
        </is>
      </c>
      <c r="G3260" t="inlineStr">
        <is>
          <t>Mobile Web</t>
        </is>
      </c>
      <c r="H3260" t="inlineStr">
        <is>
          <t>Credit Card</t>
        </is>
      </c>
      <c r="I3260" t="inlineStr">
        <is>
          <t>Delivered</t>
        </is>
      </c>
      <c r="J3260" t="n">
        <v>140</v>
      </c>
      <c r="K3260" t="n">
        <v>1</v>
      </c>
      <c r="L3260" t="n">
        <v>629</v>
      </c>
      <c r="M3260" t="n">
        <v>0</v>
      </c>
      <c r="N3260">
        <f>VLOOKUP(J3260,Products!$A$2:$C$49,3,FALSE)</f>
        <v/>
      </c>
      <c r="O3260">
        <f>K3260*L3260-M3260</f>
        <v/>
      </c>
      <c r="P3260">
        <f>TEXT(B3260,"yyyy-mm")</f>
        <v/>
      </c>
      <c r="Q3260">
        <f>IF(O3260&gt;=3000,"Large","Small")</f>
        <v/>
      </c>
      <c r="R3260">
        <f>INDEX(Products!$F$2:$F$49,MATCH(J3260,Products!$A$2:$A$49,0))</f>
        <v/>
      </c>
      <c r="S3260">
        <f>WEEKDAY(B3260,2)</f>
        <v/>
      </c>
    </row>
    <row r="3261">
      <c r="A3261" t="n">
        <v>511119</v>
      </c>
      <c r="B3261" s="6" t="n">
        <v>45988</v>
      </c>
      <c r="C3261" t="n">
        <v>17434</v>
      </c>
      <c r="D3261" t="inlineStr">
        <is>
          <t>Gurugram</t>
        </is>
      </c>
      <c r="E3261" t="inlineStr">
        <is>
          <t>North</t>
        </is>
      </c>
      <c r="F3261" t="inlineStr">
        <is>
          <t>Email</t>
        </is>
      </c>
      <c r="G3261" t="inlineStr">
        <is>
          <t>Desktop</t>
        </is>
      </c>
      <c r="H3261" t="inlineStr">
        <is>
          <t>Cash on Delivery</t>
        </is>
      </c>
      <c r="I3261" t="inlineStr">
        <is>
          <t>Delivered</t>
        </is>
      </c>
      <c r="J3261" t="n">
        <v>118</v>
      </c>
      <c r="K3261" t="n">
        <v>3</v>
      </c>
      <c r="L3261" t="n">
        <v>944</v>
      </c>
      <c r="M3261" t="n">
        <v>0</v>
      </c>
      <c r="N3261">
        <f>VLOOKUP(J3261,Products!$A$2:$C$49,3,FALSE)</f>
        <v/>
      </c>
      <c r="O3261">
        <f>K3261*L3261-M3261</f>
        <v/>
      </c>
      <c r="P3261">
        <f>TEXT(B3261,"yyyy-mm")</f>
        <v/>
      </c>
      <c r="Q3261">
        <f>IF(O3261&gt;=3000,"Large","Small")</f>
        <v/>
      </c>
      <c r="R3261">
        <f>INDEX(Products!$F$2:$F$49,MATCH(J3261,Products!$A$2:$A$49,0))</f>
        <v/>
      </c>
      <c r="S3261">
        <f>WEEKDAY(B3261,2)</f>
        <v/>
      </c>
    </row>
    <row r="3262">
      <c r="A3262" t="n">
        <v>511120</v>
      </c>
      <c r="B3262" s="6" t="n">
        <v>45988</v>
      </c>
      <c r="C3262" t="n">
        <v>15153</v>
      </c>
      <c r="D3262" t="inlineStr">
        <is>
          <t>Bengaluru</t>
        </is>
      </c>
      <c r="E3262" t="inlineStr">
        <is>
          <t>South</t>
        </is>
      </c>
      <c r="F3262" t="inlineStr">
        <is>
          <t>Organic Search</t>
        </is>
      </c>
      <c r="G3262" t="inlineStr">
        <is>
          <t>Mobile App</t>
        </is>
      </c>
      <c r="H3262" t="inlineStr">
        <is>
          <t>UPI</t>
        </is>
      </c>
      <c r="I3262" t="inlineStr">
        <is>
          <t>Delivered</t>
        </is>
      </c>
      <c r="J3262" t="n">
        <v>111</v>
      </c>
      <c r="K3262" t="n">
        <v>1</v>
      </c>
      <c r="L3262" t="n">
        <v>524</v>
      </c>
      <c r="M3262" t="n">
        <v>0</v>
      </c>
      <c r="N3262">
        <f>VLOOKUP(J3262,Products!$A$2:$C$49,3,FALSE)</f>
        <v/>
      </c>
      <c r="O3262">
        <f>K3262*L3262-M3262</f>
        <v/>
      </c>
      <c r="P3262">
        <f>TEXT(B3262,"yyyy-mm")</f>
        <v/>
      </c>
      <c r="Q3262">
        <f>IF(O3262&gt;=3000,"Large","Small")</f>
        <v/>
      </c>
      <c r="R3262">
        <f>INDEX(Products!$F$2:$F$49,MATCH(J3262,Products!$A$2:$A$49,0))</f>
        <v/>
      </c>
      <c r="S3262">
        <f>WEEKDAY(B3262,2)</f>
        <v/>
      </c>
    </row>
    <row r="3263">
      <c r="A3263" t="n">
        <v>511121</v>
      </c>
      <c r="B3263" s="6" t="n">
        <v>45988</v>
      </c>
      <c r="C3263" t="n">
        <v>17529</v>
      </c>
      <c r="D3263" t="inlineStr">
        <is>
          <t>Pune</t>
        </is>
      </c>
      <c r="E3263" t="inlineStr">
        <is>
          <t>West</t>
        </is>
      </c>
      <c r="F3263" t="inlineStr">
        <is>
          <t>Referral</t>
        </is>
      </c>
      <c r="G3263" t="inlineStr">
        <is>
          <t>Desktop</t>
        </is>
      </c>
      <c r="H3263" t="inlineStr">
        <is>
          <t>Cash on Delivery</t>
        </is>
      </c>
      <c r="I3263" t="inlineStr">
        <is>
          <t>Delivered</t>
        </is>
      </c>
      <c r="J3263" t="n">
        <v>109</v>
      </c>
      <c r="K3263" t="n">
        <v>1</v>
      </c>
      <c r="L3263" t="n">
        <v>4199</v>
      </c>
      <c r="M3263" t="n">
        <v>629.85</v>
      </c>
      <c r="N3263">
        <f>VLOOKUP(J3263,Products!$A$2:$C$49,3,FALSE)</f>
        <v/>
      </c>
      <c r="O3263">
        <f>K3263*L3263-M3263</f>
        <v/>
      </c>
      <c r="P3263">
        <f>TEXT(B3263,"yyyy-mm")</f>
        <v/>
      </c>
      <c r="Q3263">
        <f>IF(O3263&gt;=3000,"Large","Small")</f>
        <v/>
      </c>
      <c r="R3263">
        <f>INDEX(Products!$F$2:$F$49,MATCH(J3263,Products!$A$2:$A$49,0))</f>
        <v/>
      </c>
      <c r="S3263">
        <f>WEEKDAY(B3263,2)</f>
        <v/>
      </c>
    </row>
    <row r="3264">
      <c r="A3264" t="n">
        <v>511121</v>
      </c>
      <c r="B3264" s="6" t="n">
        <v>45988</v>
      </c>
      <c r="C3264" t="n">
        <v>17529</v>
      </c>
      <c r="D3264" t="inlineStr">
        <is>
          <t>Pune</t>
        </is>
      </c>
      <c r="E3264" t="inlineStr">
        <is>
          <t>West</t>
        </is>
      </c>
      <c r="F3264" t="inlineStr">
        <is>
          <t>Referral</t>
        </is>
      </c>
      <c r="G3264" t="inlineStr">
        <is>
          <t>Desktop</t>
        </is>
      </c>
      <c r="H3264" t="inlineStr">
        <is>
          <t>Cash on Delivery</t>
        </is>
      </c>
      <c r="I3264" t="inlineStr">
        <is>
          <t>Delivered</t>
        </is>
      </c>
      <c r="J3264" t="n">
        <v>121</v>
      </c>
      <c r="K3264" t="n">
        <v>1</v>
      </c>
      <c r="L3264" t="n">
        <v>2939</v>
      </c>
      <c r="M3264" t="n">
        <v>440.85</v>
      </c>
      <c r="N3264">
        <f>VLOOKUP(J3264,Products!$A$2:$C$49,3,FALSE)</f>
        <v/>
      </c>
      <c r="O3264">
        <f>K3264*L3264-M3264</f>
        <v/>
      </c>
      <c r="P3264">
        <f>TEXT(B3264,"yyyy-mm")</f>
        <v/>
      </c>
      <c r="Q3264">
        <f>IF(O3264&gt;=3000,"Large","Small")</f>
        <v/>
      </c>
      <c r="R3264">
        <f>INDEX(Products!$F$2:$F$49,MATCH(J3264,Products!$A$2:$A$49,0))</f>
        <v/>
      </c>
      <c r="S3264">
        <f>WEEKDAY(B3264,2)</f>
        <v/>
      </c>
    </row>
    <row r="3265">
      <c r="A3265" t="n">
        <v>511122</v>
      </c>
      <c r="B3265" s="6" t="n">
        <v>45988</v>
      </c>
      <c r="C3265" t="n">
        <v>17491</v>
      </c>
      <c r="D3265" t="inlineStr">
        <is>
          <t>Hyderabad</t>
        </is>
      </c>
      <c r="E3265" t="inlineStr">
        <is>
          <t>South</t>
        </is>
      </c>
      <c r="F3265" t="inlineStr">
        <is>
          <t>Paid Social</t>
        </is>
      </c>
      <c r="G3265" t="inlineStr">
        <is>
          <t>Mobile App</t>
        </is>
      </c>
      <c r="H3265" t="inlineStr">
        <is>
          <t>UPI</t>
        </is>
      </c>
      <c r="I3265" t="inlineStr">
        <is>
          <t>Delivered</t>
        </is>
      </c>
      <c r="J3265" t="n">
        <v>121</v>
      </c>
      <c r="K3265" t="n">
        <v>1</v>
      </c>
      <c r="L3265" t="n">
        <v>2939</v>
      </c>
      <c r="M3265" t="n">
        <v>440.85</v>
      </c>
      <c r="N3265">
        <f>VLOOKUP(J3265,Products!$A$2:$C$49,3,FALSE)</f>
        <v/>
      </c>
      <c r="O3265">
        <f>K3265*L3265-M3265</f>
        <v/>
      </c>
      <c r="P3265">
        <f>TEXT(B3265,"yyyy-mm")</f>
        <v/>
      </c>
      <c r="Q3265">
        <f>IF(O3265&gt;=3000,"Large","Small")</f>
        <v/>
      </c>
      <c r="R3265">
        <f>INDEX(Products!$F$2:$F$49,MATCH(J3265,Products!$A$2:$A$49,0))</f>
        <v/>
      </c>
      <c r="S3265">
        <f>WEEKDAY(B3265,2)</f>
        <v/>
      </c>
    </row>
    <row r="3266">
      <c r="A3266" t="n">
        <v>511122</v>
      </c>
      <c r="B3266" s="6" t="n">
        <v>45988</v>
      </c>
      <c r="C3266" t="n">
        <v>17491</v>
      </c>
      <c r="D3266" t="inlineStr">
        <is>
          <t>Hyderabad</t>
        </is>
      </c>
      <c r="E3266" t="inlineStr">
        <is>
          <t>South</t>
        </is>
      </c>
      <c r="F3266" t="inlineStr">
        <is>
          <t>Paid Social</t>
        </is>
      </c>
      <c r="G3266" t="inlineStr">
        <is>
          <t>Mobile App</t>
        </is>
      </c>
      <c r="H3266" t="inlineStr">
        <is>
          <t>UPI</t>
        </is>
      </c>
      <c r="I3266" t="inlineStr">
        <is>
          <t>Delivered</t>
        </is>
      </c>
      <c r="J3266" t="n">
        <v>135</v>
      </c>
      <c r="K3266" t="n">
        <v>1</v>
      </c>
      <c r="L3266" t="n">
        <v>1574</v>
      </c>
      <c r="M3266" t="n">
        <v>236.1</v>
      </c>
      <c r="N3266">
        <f>VLOOKUP(J3266,Products!$A$2:$C$49,3,FALSE)</f>
        <v/>
      </c>
      <c r="O3266">
        <f>K3266*L3266-M3266</f>
        <v/>
      </c>
      <c r="P3266">
        <f>TEXT(B3266,"yyyy-mm")</f>
        <v/>
      </c>
      <c r="Q3266">
        <f>IF(O3266&gt;=3000,"Large","Small")</f>
        <v/>
      </c>
      <c r="R3266">
        <f>INDEX(Products!$F$2:$F$49,MATCH(J3266,Products!$A$2:$A$49,0))</f>
        <v/>
      </c>
      <c r="S3266">
        <f>WEEKDAY(B3266,2)</f>
        <v/>
      </c>
    </row>
    <row r="3267">
      <c r="A3267" t="n">
        <v>511123</v>
      </c>
      <c r="B3267" s="6" t="n">
        <v>45988</v>
      </c>
      <c r="C3267" t="n">
        <v>17523</v>
      </c>
      <c r="D3267" t="inlineStr">
        <is>
          <t>Mumbai</t>
        </is>
      </c>
      <c r="E3267" t="inlineStr">
        <is>
          <t>West</t>
        </is>
      </c>
      <c r="F3267" t="inlineStr">
        <is>
          <t>Paid Search</t>
        </is>
      </c>
      <c r="G3267" t="inlineStr">
        <is>
          <t>Mobile Web</t>
        </is>
      </c>
      <c r="H3267" t="inlineStr">
        <is>
          <t>Cash on Delivery</t>
        </is>
      </c>
      <c r="I3267" t="inlineStr">
        <is>
          <t>Delivered</t>
        </is>
      </c>
      <c r="J3267" t="n">
        <v>144</v>
      </c>
      <c r="K3267" t="n">
        <v>1</v>
      </c>
      <c r="L3267" t="n">
        <v>3149</v>
      </c>
      <c r="M3267" t="n">
        <v>0</v>
      </c>
      <c r="N3267">
        <f>VLOOKUP(J3267,Products!$A$2:$C$49,3,FALSE)</f>
        <v/>
      </c>
      <c r="O3267">
        <f>K3267*L3267-M3267</f>
        <v/>
      </c>
      <c r="P3267">
        <f>TEXT(B3267,"yyyy-mm")</f>
        <v/>
      </c>
      <c r="Q3267">
        <f>IF(O3267&gt;=3000,"Large","Small")</f>
        <v/>
      </c>
      <c r="R3267">
        <f>INDEX(Products!$F$2:$F$49,MATCH(J3267,Products!$A$2:$A$49,0))</f>
        <v/>
      </c>
      <c r="S3267">
        <f>WEEKDAY(B3267,2)</f>
        <v/>
      </c>
    </row>
    <row r="3268">
      <c r="A3268" t="n">
        <v>511123</v>
      </c>
      <c r="B3268" s="6" t="n">
        <v>45988</v>
      </c>
      <c r="C3268" t="n">
        <v>17523</v>
      </c>
      <c r="D3268" t="inlineStr">
        <is>
          <t>Mumbai</t>
        </is>
      </c>
      <c r="E3268" t="inlineStr">
        <is>
          <t>West</t>
        </is>
      </c>
      <c r="F3268" t="inlineStr">
        <is>
          <t>Paid Search</t>
        </is>
      </c>
      <c r="G3268" t="inlineStr">
        <is>
          <t>Mobile Web</t>
        </is>
      </c>
      <c r="H3268" t="inlineStr">
        <is>
          <t>Cash on Delivery</t>
        </is>
      </c>
      <c r="I3268" t="inlineStr">
        <is>
          <t>Delivered</t>
        </is>
      </c>
      <c r="J3268" t="n">
        <v>137</v>
      </c>
      <c r="K3268" t="n">
        <v>1</v>
      </c>
      <c r="L3268" t="n">
        <v>261</v>
      </c>
      <c r="M3268" t="n">
        <v>0</v>
      </c>
      <c r="N3268">
        <f>VLOOKUP(J3268,Products!$A$2:$C$49,3,FALSE)</f>
        <v/>
      </c>
      <c r="O3268">
        <f>K3268*L3268-M3268</f>
        <v/>
      </c>
      <c r="P3268">
        <f>TEXT(B3268,"yyyy-mm")</f>
        <v/>
      </c>
      <c r="Q3268">
        <f>IF(O3268&gt;=3000,"Large","Small")</f>
        <v/>
      </c>
      <c r="R3268">
        <f>INDEX(Products!$F$2:$F$49,MATCH(J3268,Products!$A$2:$A$49,0))</f>
        <v/>
      </c>
      <c r="S3268">
        <f>WEEKDAY(B3268,2)</f>
        <v/>
      </c>
    </row>
    <row r="3269">
      <c r="A3269" t="n">
        <v>511124</v>
      </c>
      <c r="B3269" s="6" t="n">
        <v>45988</v>
      </c>
      <c r="C3269" t="n">
        <v>17215</v>
      </c>
      <c r="D3269" t="inlineStr">
        <is>
          <t>Delhi</t>
        </is>
      </c>
      <c r="E3269" t="inlineStr">
        <is>
          <t>North</t>
        </is>
      </c>
      <c r="F3269" t="inlineStr">
        <is>
          <t>Organic Search</t>
        </is>
      </c>
      <c r="G3269" t="inlineStr">
        <is>
          <t>Desktop</t>
        </is>
      </c>
      <c r="H3269" t="inlineStr">
        <is>
          <t>Debit Card</t>
        </is>
      </c>
      <c r="I3269" t="inlineStr">
        <is>
          <t>Delivered</t>
        </is>
      </c>
      <c r="J3269" t="n">
        <v>113</v>
      </c>
      <c r="K3269" t="n">
        <v>1</v>
      </c>
      <c r="L3269" t="n">
        <v>1364</v>
      </c>
      <c r="M3269" t="n">
        <v>0</v>
      </c>
      <c r="N3269">
        <f>VLOOKUP(J3269,Products!$A$2:$C$49,3,FALSE)</f>
        <v/>
      </c>
      <c r="O3269">
        <f>K3269*L3269-M3269</f>
        <v/>
      </c>
      <c r="P3269">
        <f>TEXT(B3269,"yyyy-mm")</f>
        <v/>
      </c>
      <c r="Q3269">
        <f>IF(O3269&gt;=3000,"Large","Small")</f>
        <v/>
      </c>
      <c r="R3269">
        <f>INDEX(Products!$F$2:$F$49,MATCH(J3269,Products!$A$2:$A$49,0))</f>
        <v/>
      </c>
      <c r="S3269">
        <f>WEEKDAY(B3269,2)</f>
        <v/>
      </c>
    </row>
    <row r="3270">
      <c r="A3270" t="n">
        <v>511125</v>
      </c>
      <c r="B3270" s="6" t="n">
        <v>45988</v>
      </c>
      <c r="C3270" t="n">
        <v>17508</v>
      </c>
      <c r="D3270" t="inlineStr">
        <is>
          <t>Kolkata</t>
        </is>
      </c>
      <c r="E3270" t="inlineStr">
        <is>
          <t>East</t>
        </is>
      </c>
      <c r="F3270" t="inlineStr">
        <is>
          <t>Paid Search</t>
        </is>
      </c>
      <c r="G3270" t="inlineStr">
        <is>
          <t>Mobile Web</t>
        </is>
      </c>
      <c r="H3270" t="inlineStr">
        <is>
          <t>UPI</t>
        </is>
      </c>
      <c r="I3270" t="inlineStr">
        <is>
          <t>Delivered</t>
        </is>
      </c>
      <c r="J3270" t="n">
        <v>143</v>
      </c>
      <c r="K3270" t="n">
        <v>2</v>
      </c>
      <c r="L3270" t="n">
        <v>839</v>
      </c>
      <c r="M3270" t="n">
        <v>251.7</v>
      </c>
      <c r="N3270">
        <f>VLOOKUP(J3270,Products!$A$2:$C$49,3,FALSE)</f>
        <v/>
      </c>
      <c r="O3270">
        <f>K3270*L3270-M3270</f>
        <v/>
      </c>
      <c r="P3270">
        <f>TEXT(B3270,"yyyy-mm")</f>
        <v/>
      </c>
      <c r="Q3270">
        <f>IF(O3270&gt;=3000,"Large","Small")</f>
        <v/>
      </c>
      <c r="R3270">
        <f>INDEX(Products!$F$2:$F$49,MATCH(J3270,Products!$A$2:$A$49,0))</f>
        <v/>
      </c>
      <c r="S3270">
        <f>WEEKDAY(B3270,2)</f>
        <v/>
      </c>
    </row>
    <row r="3271">
      <c r="A3271" t="n">
        <v>511125</v>
      </c>
      <c r="B3271" s="6" t="n">
        <v>45988</v>
      </c>
      <c r="C3271" t="n">
        <v>17508</v>
      </c>
      <c r="D3271" t="inlineStr">
        <is>
          <t>Kolkata</t>
        </is>
      </c>
      <c r="E3271" t="inlineStr">
        <is>
          <t>East</t>
        </is>
      </c>
      <c r="F3271" t="inlineStr">
        <is>
          <t>Paid Search</t>
        </is>
      </c>
      <c r="G3271" t="inlineStr">
        <is>
          <t>Mobile Web</t>
        </is>
      </c>
      <c r="H3271" t="inlineStr">
        <is>
          <t>UPI</t>
        </is>
      </c>
      <c r="I3271" t="inlineStr">
        <is>
          <t>Delivered</t>
        </is>
      </c>
      <c r="J3271" t="n">
        <v>107</v>
      </c>
      <c r="K3271" t="n">
        <v>1</v>
      </c>
      <c r="L3271" t="n">
        <v>1259</v>
      </c>
      <c r="M3271" t="n">
        <v>188.85</v>
      </c>
      <c r="N3271">
        <f>VLOOKUP(J3271,Products!$A$2:$C$49,3,FALSE)</f>
        <v/>
      </c>
      <c r="O3271">
        <f>K3271*L3271-M3271</f>
        <v/>
      </c>
      <c r="P3271">
        <f>TEXT(B3271,"yyyy-mm")</f>
        <v/>
      </c>
      <c r="Q3271">
        <f>IF(O3271&gt;=3000,"Large","Small")</f>
        <v/>
      </c>
      <c r="R3271">
        <f>INDEX(Products!$F$2:$F$49,MATCH(J3271,Products!$A$2:$A$49,0))</f>
        <v/>
      </c>
      <c r="S3271">
        <f>WEEKDAY(B3271,2)</f>
        <v/>
      </c>
    </row>
    <row r="3272">
      <c r="A3272" t="n">
        <v>511126</v>
      </c>
      <c r="B3272" s="6" t="n">
        <v>45988</v>
      </c>
      <c r="C3272" t="n">
        <v>16170</v>
      </c>
      <c r="D3272" t="inlineStr">
        <is>
          <t>Indore</t>
        </is>
      </c>
      <c r="E3272" t="inlineStr">
        <is>
          <t>West</t>
        </is>
      </c>
      <c r="F3272" t="inlineStr">
        <is>
          <t>Email</t>
        </is>
      </c>
      <c r="G3272" t="inlineStr">
        <is>
          <t>Mobile Web</t>
        </is>
      </c>
      <c r="H3272" t="inlineStr">
        <is>
          <t>UPI</t>
        </is>
      </c>
      <c r="I3272" t="inlineStr">
        <is>
          <t>Delivered</t>
        </is>
      </c>
      <c r="J3272" t="n">
        <v>117</v>
      </c>
      <c r="K3272" t="n">
        <v>1</v>
      </c>
      <c r="L3272" t="n">
        <v>3149</v>
      </c>
      <c r="M3272" t="n">
        <v>0</v>
      </c>
      <c r="N3272">
        <f>VLOOKUP(J3272,Products!$A$2:$C$49,3,FALSE)</f>
        <v/>
      </c>
      <c r="O3272">
        <f>K3272*L3272-M3272</f>
        <v/>
      </c>
      <c r="P3272">
        <f>TEXT(B3272,"yyyy-mm")</f>
        <v/>
      </c>
      <c r="Q3272">
        <f>IF(O3272&gt;=3000,"Large","Small")</f>
        <v/>
      </c>
      <c r="R3272">
        <f>INDEX(Products!$F$2:$F$49,MATCH(J3272,Products!$A$2:$A$49,0))</f>
        <v/>
      </c>
      <c r="S3272">
        <f>WEEKDAY(B3272,2)</f>
        <v/>
      </c>
    </row>
    <row r="3273">
      <c r="A3273" t="n">
        <v>511127</v>
      </c>
      <c r="B3273" s="6" t="n">
        <v>45988</v>
      </c>
      <c r="C3273" t="n">
        <v>16949</v>
      </c>
      <c r="D3273" t="inlineStr">
        <is>
          <t>Bengaluru</t>
        </is>
      </c>
      <c r="E3273" t="inlineStr">
        <is>
          <t>South</t>
        </is>
      </c>
      <c r="F3273" t="inlineStr">
        <is>
          <t>Organic Search</t>
        </is>
      </c>
      <c r="G3273" t="inlineStr">
        <is>
          <t>Mobile Web</t>
        </is>
      </c>
      <c r="H3273" t="inlineStr">
        <is>
          <t>Cash on Delivery</t>
        </is>
      </c>
      <c r="I3273" t="inlineStr">
        <is>
          <t>Returned</t>
        </is>
      </c>
      <c r="J3273" t="n">
        <v>114</v>
      </c>
      <c r="K3273" t="n">
        <v>1</v>
      </c>
      <c r="L3273" t="n">
        <v>1259</v>
      </c>
      <c r="M3273" t="n">
        <v>0</v>
      </c>
      <c r="N3273">
        <f>VLOOKUP(J3273,Products!$A$2:$C$49,3,FALSE)</f>
        <v/>
      </c>
      <c r="O3273">
        <f>K3273*L3273-M3273</f>
        <v/>
      </c>
      <c r="P3273">
        <f>TEXT(B3273,"yyyy-mm")</f>
        <v/>
      </c>
      <c r="Q3273">
        <f>IF(O3273&gt;=3000,"Large","Small")</f>
        <v/>
      </c>
      <c r="R3273">
        <f>INDEX(Products!$F$2:$F$49,MATCH(J3273,Products!$A$2:$A$49,0))</f>
        <v/>
      </c>
      <c r="S3273">
        <f>WEEKDAY(B3273,2)</f>
        <v/>
      </c>
    </row>
    <row r="3274">
      <c r="A3274" t="n">
        <v>511127</v>
      </c>
      <c r="B3274" s="6" t="n">
        <v>45988</v>
      </c>
      <c r="C3274" t="n">
        <v>16949</v>
      </c>
      <c r="D3274" t="inlineStr">
        <is>
          <t>Bengaluru</t>
        </is>
      </c>
      <c r="E3274" t="inlineStr">
        <is>
          <t>South</t>
        </is>
      </c>
      <c r="F3274" t="inlineStr">
        <is>
          <t>Organic Search</t>
        </is>
      </c>
      <c r="G3274" t="inlineStr">
        <is>
          <t>Mobile Web</t>
        </is>
      </c>
      <c r="H3274" t="inlineStr">
        <is>
          <t>Cash on Delivery</t>
        </is>
      </c>
      <c r="I3274" t="inlineStr">
        <is>
          <t>Returned</t>
        </is>
      </c>
      <c r="J3274" t="n">
        <v>126</v>
      </c>
      <c r="K3274" t="n">
        <v>1</v>
      </c>
      <c r="L3274" t="n">
        <v>471</v>
      </c>
      <c r="M3274" t="n">
        <v>0</v>
      </c>
      <c r="N3274">
        <f>VLOOKUP(J3274,Products!$A$2:$C$49,3,FALSE)</f>
        <v/>
      </c>
      <c r="O3274">
        <f>K3274*L3274-M3274</f>
        <v/>
      </c>
      <c r="P3274">
        <f>TEXT(B3274,"yyyy-mm")</f>
        <v/>
      </c>
      <c r="Q3274">
        <f>IF(O3274&gt;=3000,"Large","Small")</f>
        <v/>
      </c>
      <c r="R3274">
        <f>INDEX(Products!$F$2:$F$49,MATCH(J3274,Products!$A$2:$A$49,0))</f>
        <v/>
      </c>
      <c r="S3274">
        <f>WEEKDAY(B3274,2)</f>
        <v/>
      </c>
    </row>
    <row r="3275">
      <c r="A3275" t="n">
        <v>511128</v>
      </c>
      <c r="B3275" s="6" t="n">
        <v>45988</v>
      </c>
      <c r="C3275" t="n">
        <v>17429</v>
      </c>
      <c r="D3275" t="inlineStr">
        <is>
          <t>Hyderabad</t>
        </is>
      </c>
      <c r="E3275" t="inlineStr">
        <is>
          <t>South</t>
        </is>
      </c>
      <c r="F3275" t="inlineStr">
        <is>
          <t>Organic Search</t>
        </is>
      </c>
      <c r="G3275" t="inlineStr">
        <is>
          <t>Mobile Web</t>
        </is>
      </c>
      <c r="H3275" t="inlineStr">
        <is>
          <t>Cash on Delivery</t>
        </is>
      </c>
      <c r="I3275" t="inlineStr">
        <is>
          <t>Delivered</t>
        </is>
      </c>
      <c r="J3275" t="n">
        <v>105</v>
      </c>
      <c r="K3275" t="n">
        <v>1</v>
      </c>
      <c r="L3275" t="n">
        <v>2414</v>
      </c>
      <c r="M3275" t="n">
        <v>362.1</v>
      </c>
      <c r="N3275">
        <f>VLOOKUP(J3275,Products!$A$2:$C$49,3,FALSE)</f>
        <v/>
      </c>
      <c r="O3275">
        <f>K3275*L3275-M3275</f>
        <v/>
      </c>
      <c r="P3275">
        <f>TEXT(B3275,"yyyy-mm")</f>
        <v/>
      </c>
      <c r="Q3275">
        <f>IF(O3275&gt;=3000,"Large","Small")</f>
        <v/>
      </c>
      <c r="R3275">
        <f>INDEX(Products!$F$2:$F$49,MATCH(J3275,Products!$A$2:$A$49,0))</f>
        <v/>
      </c>
      <c r="S3275">
        <f>WEEKDAY(B3275,2)</f>
        <v/>
      </c>
    </row>
    <row r="3276">
      <c r="A3276" t="n">
        <v>511128</v>
      </c>
      <c r="B3276" s="6" t="n">
        <v>45988</v>
      </c>
      <c r="C3276" t="n">
        <v>17429</v>
      </c>
      <c r="D3276" t="inlineStr">
        <is>
          <t>Hyderabad</t>
        </is>
      </c>
      <c r="E3276" t="inlineStr">
        <is>
          <t>South</t>
        </is>
      </c>
      <c r="F3276" t="inlineStr">
        <is>
          <t>Organic Search</t>
        </is>
      </c>
      <c r="G3276" t="inlineStr">
        <is>
          <t>Mobile Web</t>
        </is>
      </c>
      <c r="H3276" t="inlineStr">
        <is>
          <t>Cash on Delivery</t>
        </is>
      </c>
      <c r="I3276" t="inlineStr">
        <is>
          <t>Delivered</t>
        </is>
      </c>
      <c r="J3276" t="n">
        <v>148</v>
      </c>
      <c r="K3276" t="n">
        <v>1</v>
      </c>
      <c r="L3276" t="n">
        <v>734</v>
      </c>
      <c r="M3276" t="n">
        <v>110.1</v>
      </c>
      <c r="N3276">
        <f>VLOOKUP(J3276,Products!$A$2:$C$49,3,FALSE)</f>
        <v/>
      </c>
      <c r="O3276">
        <f>K3276*L3276-M3276</f>
        <v/>
      </c>
      <c r="P3276">
        <f>TEXT(B3276,"yyyy-mm")</f>
        <v/>
      </c>
      <c r="Q3276">
        <f>IF(O3276&gt;=3000,"Large","Small")</f>
        <v/>
      </c>
      <c r="R3276">
        <f>INDEX(Products!$F$2:$F$49,MATCH(J3276,Products!$A$2:$A$49,0))</f>
        <v/>
      </c>
      <c r="S3276">
        <f>WEEKDAY(B3276,2)</f>
        <v/>
      </c>
    </row>
    <row r="3277">
      <c r="A3277" t="n">
        <v>511128</v>
      </c>
      <c r="B3277" s="6" t="n">
        <v>45988</v>
      </c>
      <c r="C3277" t="n">
        <v>17429</v>
      </c>
      <c r="D3277" t="inlineStr">
        <is>
          <t>Hyderabad</t>
        </is>
      </c>
      <c r="E3277" t="inlineStr">
        <is>
          <t>South</t>
        </is>
      </c>
      <c r="F3277" t="inlineStr">
        <is>
          <t>Organic Search</t>
        </is>
      </c>
      <c r="G3277" t="inlineStr">
        <is>
          <t>Mobile Web</t>
        </is>
      </c>
      <c r="H3277" t="inlineStr">
        <is>
          <t>Cash on Delivery</t>
        </is>
      </c>
      <c r="I3277" t="inlineStr">
        <is>
          <t>Delivered</t>
        </is>
      </c>
      <c r="J3277" t="n">
        <v>117</v>
      </c>
      <c r="K3277" t="n">
        <v>1</v>
      </c>
      <c r="L3277" t="n">
        <v>3149</v>
      </c>
      <c r="M3277" t="n">
        <v>472.35</v>
      </c>
      <c r="N3277">
        <f>VLOOKUP(J3277,Products!$A$2:$C$49,3,FALSE)</f>
        <v/>
      </c>
      <c r="O3277">
        <f>K3277*L3277-M3277</f>
        <v/>
      </c>
      <c r="P3277">
        <f>TEXT(B3277,"yyyy-mm")</f>
        <v/>
      </c>
      <c r="Q3277">
        <f>IF(O3277&gt;=3000,"Large","Small")</f>
        <v/>
      </c>
      <c r="R3277">
        <f>INDEX(Products!$F$2:$F$49,MATCH(J3277,Products!$A$2:$A$49,0))</f>
        <v/>
      </c>
      <c r="S3277">
        <f>WEEKDAY(B3277,2)</f>
        <v/>
      </c>
    </row>
    <row r="3278">
      <c r="A3278" t="n">
        <v>511129</v>
      </c>
      <c r="B3278" s="6" t="n">
        <v>45988</v>
      </c>
      <c r="C3278" t="n">
        <v>17502</v>
      </c>
      <c r="D3278" t="inlineStr">
        <is>
          <t>Jaipur</t>
        </is>
      </c>
      <c r="E3278" t="inlineStr">
        <is>
          <t>North</t>
        </is>
      </c>
      <c r="F3278" t="inlineStr">
        <is>
          <t>Paid Search</t>
        </is>
      </c>
      <c r="G3278" t="inlineStr">
        <is>
          <t>Mobile App</t>
        </is>
      </c>
      <c r="H3278" t="inlineStr">
        <is>
          <t>Debit Card</t>
        </is>
      </c>
      <c r="I3278" t="inlineStr">
        <is>
          <t>Delivered</t>
        </is>
      </c>
      <c r="J3278" t="n">
        <v>111</v>
      </c>
      <c r="K3278" t="n">
        <v>1</v>
      </c>
      <c r="L3278" t="n">
        <v>524</v>
      </c>
      <c r="M3278" t="n">
        <v>0</v>
      </c>
      <c r="N3278">
        <f>VLOOKUP(J3278,Products!$A$2:$C$49,3,FALSE)</f>
        <v/>
      </c>
      <c r="O3278">
        <f>K3278*L3278-M3278</f>
        <v/>
      </c>
      <c r="P3278">
        <f>TEXT(B3278,"yyyy-mm")</f>
        <v/>
      </c>
      <c r="Q3278">
        <f>IF(O3278&gt;=3000,"Large","Small")</f>
        <v/>
      </c>
      <c r="R3278">
        <f>INDEX(Products!$F$2:$F$49,MATCH(J3278,Products!$A$2:$A$49,0))</f>
        <v/>
      </c>
      <c r="S3278">
        <f>WEEKDAY(B3278,2)</f>
        <v/>
      </c>
    </row>
    <row r="3279">
      <c r="A3279" t="n">
        <v>511129</v>
      </c>
      <c r="B3279" s="6" t="n">
        <v>45988</v>
      </c>
      <c r="C3279" t="n">
        <v>17502</v>
      </c>
      <c r="D3279" t="inlineStr">
        <is>
          <t>Jaipur</t>
        </is>
      </c>
      <c r="E3279" t="inlineStr">
        <is>
          <t>North</t>
        </is>
      </c>
      <c r="F3279" t="inlineStr">
        <is>
          <t>Paid Search</t>
        </is>
      </c>
      <c r="G3279" t="inlineStr">
        <is>
          <t>Mobile App</t>
        </is>
      </c>
      <c r="H3279" t="inlineStr">
        <is>
          <t>Debit Card</t>
        </is>
      </c>
      <c r="I3279" t="inlineStr">
        <is>
          <t>Delivered</t>
        </is>
      </c>
      <c r="J3279" t="n">
        <v>117</v>
      </c>
      <c r="K3279" t="n">
        <v>1</v>
      </c>
      <c r="L3279" t="n">
        <v>3149</v>
      </c>
      <c r="M3279" t="n">
        <v>0</v>
      </c>
      <c r="N3279">
        <f>VLOOKUP(J3279,Products!$A$2:$C$49,3,FALSE)</f>
        <v/>
      </c>
      <c r="O3279">
        <f>K3279*L3279-M3279</f>
        <v/>
      </c>
      <c r="P3279">
        <f>TEXT(B3279,"yyyy-mm")</f>
        <v/>
      </c>
      <c r="Q3279">
        <f>IF(O3279&gt;=3000,"Large","Small")</f>
        <v/>
      </c>
      <c r="R3279">
        <f>INDEX(Products!$F$2:$F$49,MATCH(J3279,Products!$A$2:$A$49,0))</f>
        <v/>
      </c>
      <c r="S3279">
        <f>WEEKDAY(B3279,2)</f>
        <v/>
      </c>
    </row>
    <row r="3280">
      <c r="A3280" t="n">
        <v>511129</v>
      </c>
      <c r="B3280" s="6" t="n">
        <v>45988</v>
      </c>
      <c r="C3280" t="n">
        <v>17502</v>
      </c>
      <c r="D3280" t="inlineStr">
        <is>
          <t>Jaipur</t>
        </is>
      </c>
      <c r="E3280" t="inlineStr">
        <is>
          <t>North</t>
        </is>
      </c>
      <c r="F3280" t="inlineStr">
        <is>
          <t>Paid Search</t>
        </is>
      </c>
      <c r="G3280" t="inlineStr">
        <is>
          <t>Mobile App</t>
        </is>
      </c>
      <c r="H3280" t="inlineStr">
        <is>
          <t>Debit Card</t>
        </is>
      </c>
      <c r="I3280" t="inlineStr">
        <is>
          <t>Delivered</t>
        </is>
      </c>
      <c r="J3280" t="n">
        <v>109</v>
      </c>
      <c r="K3280" t="n">
        <v>1</v>
      </c>
      <c r="L3280" t="n">
        <v>4199</v>
      </c>
      <c r="M3280" t="n">
        <v>0</v>
      </c>
      <c r="N3280">
        <f>VLOOKUP(J3280,Products!$A$2:$C$49,3,FALSE)</f>
        <v/>
      </c>
      <c r="O3280">
        <f>K3280*L3280-M3280</f>
        <v/>
      </c>
      <c r="P3280">
        <f>TEXT(B3280,"yyyy-mm")</f>
        <v/>
      </c>
      <c r="Q3280">
        <f>IF(O3280&gt;=3000,"Large","Small")</f>
        <v/>
      </c>
      <c r="R3280">
        <f>INDEX(Products!$F$2:$F$49,MATCH(J3280,Products!$A$2:$A$49,0))</f>
        <v/>
      </c>
      <c r="S3280">
        <f>WEEKDAY(B3280,2)</f>
        <v/>
      </c>
    </row>
    <row r="3281">
      <c r="A3281" t="n">
        <v>511129</v>
      </c>
      <c r="B3281" s="6" t="n">
        <v>45988</v>
      </c>
      <c r="C3281" t="n">
        <v>17502</v>
      </c>
      <c r="D3281" t="inlineStr">
        <is>
          <t>Jaipur</t>
        </is>
      </c>
      <c r="E3281" t="inlineStr">
        <is>
          <t>North</t>
        </is>
      </c>
      <c r="F3281" t="inlineStr">
        <is>
          <t>Paid Search</t>
        </is>
      </c>
      <c r="G3281" t="inlineStr">
        <is>
          <t>Mobile App</t>
        </is>
      </c>
      <c r="H3281" t="inlineStr">
        <is>
          <t>Debit Card</t>
        </is>
      </c>
      <c r="I3281" t="inlineStr">
        <is>
          <t>Delivered</t>
        </is>
      </c>
      <c r="J3281" t="n">
        <v>108</v>
      </c>
      <c r="K3281" t="n">
        <v>1</v>
      </c>
      <c r="L3281" t="n">
        <v>419</v>
      </c>
      <c r="M3281" t="n">
        <v>0</v>
      </c>
      <c r="N3281">
        <f>VLOOKUP(J3281,Products!$A$2:$C$49,3,FALSE)</f>
        <v/>
      </c>
      <c r="O3281">
        <f>K3281*L3281-M3281</f>
        <v/>
      </c>
      <c r="P3281">
        <f>TEXT(B3281,"yyyy-mm")</f>
        <v/>
      </c>
      <c r="Q3281">
        <f>IF(O3281&gt;=3000,"Large","Small")</f>
        <v/>
      </c>
      <c r="R3281">
        <f>INDEX(Products!$F$2:$F$49,MATCH(J3281,Products!$A$2:$A$49,0))</f>
        <v/>
      </c>
      <c r="S3281">
        <f>WEEKDAY(B3281,2)</f>
        <v/>
      </c>
    </row>
    <row r="3282">
      <c r="A3282" t="n">
        <v>511130</v>
      </c>
      <c r="B3282" s="6" t="n">
        <v>45988</v>
      </c>
      <c r="C3282" t="n">
        <v>17059</v>
      </c>
      <c r="D3282" t="inlineStr">
        <is>
          <t>Mumbai</t>
        </is>
      </c>
      <c r="E3282" t="inlineStr">
        <is>
          <t>West</t>
        </is>
      </c>
      <c r="F3282" t="inlineStr">
        <is>
          <t>Affiliate</t>
        </is>
      </c>
      <c r="G3282" t="inlineStr">
        <is>
          <t>Mobile App</t>
        </is>
      </c>
      <c r="H3282" t="inlineStr">
        <is>
          <t>UPI</t>
        </is>
      </c>
      <c r="I3282" t="inlineStr">
        <is>
          <t>Delivered</t>
        </is>
      </c>
      <c r="J3282" t="n">
        <v>131</v>
      </c>
      <c r="K3282" t="n">
        <v>1</v>
      </c>
      <c r="L3282" t="n">
        <v>314</v>
      </c>
      <c r="M3282" t="n">
        <v>0</v>
      </c>
      <c r="N3282">
        <f>VLOOKUP(J3282,Products!$A$2:$C$49,3,FALSE)</f>
        <v/>
      </c>
      <c r="O3282">
        <f>K3282*L3282-M3282</f>
        <v/>
      </c>
      <c r="P3282">
        <f>TEXT(B3282,"yyyy-mm")</f>
        <v/>
      </c>
      <c r="Q3282">
        <f>IF(O3282&gt;=3000,"Large","Small")</f>
        <v/>
      </c>
      <c r="R3282">
        <f>INDEX(Products!$F$2:$F$49,MATCH(J3282,Products!$A$2:$A$49,0))</f>
        <v/>
      </c>
      <c r="S3282">
        <f>WEEKDAY(B3282,2)</f>
        <v/>
      </c>
    </row>
    <row r="3283">
      <c r="A3283" t="n">
        <v>511131</v>
      </c>
      <c r="B3283" s="6" t="n">
        <v>45988</v>
      </c>
      <c r="C3283" t="n">
        <v>15864</v>
      </c>
      <c r="D3283" t="inlineStr">
        <is>
          <t>Delhi</t>
        </is>
      </c>
      <c r="E3283" t="inlineStr">
        <is>
          <t>North</t>
        </is>
      </c>
      <c r="F3283" t="inlineStr">
        <is>
          <t>Paid Social</t>
        </is>
      </c>
      <c r="G3283" t="inlineStr">
        <is>
          <t>Mobile App</t>
        </is>
      </c>
      <c r="H3283" t="inlineStr">
        <is>
          <t>UPI</t>
        </is>
      </c>
      <c r="I3283" t="inlineStr">
        <is>
          <t>Delivered</t>
        </is>
      </c>
      <c r="J3283" t="n">
        <v>145</v>
      </c>
      <c r="K3283" t="n">
        <v>2</v>
      </c>
      <c r="L3283" t="n">
        <v>629</v>
      </c>
      <c r="M3283" t="n">
        <v>0</v>
      </c>
      <c r="N3283">
        <f>VLOOKUP(J3283,Products!$A$2:$C$49,3,FALSE)</f>
        <v/>
      </c>
      <c r="O3283">
        <f>K3283*L3283-M3283</f>
        <v/>
      </c>
      <c r="P3283">
        <f>TEXT(B3283,"yyyy-mm")</f>
        <v/>
      </c>
      <c r="Q3283">
        <f>IF(O3283&gt;=3000,"Large","Small")</f>
        <v/>
      </c>
      <c r="R3283">
        <f>INDEX(Products!$F$2:$F$49,MATCH(J3283,Products!$A$2:$A$49,0))</f>
        <v/>
      </c>
      <c r="S3283">
        <f>WEEKDAY(B3283,2)</f>
        <v/>
      </c>
    </row>
    <row r="3284">
      <c r="A3284" t="n">
        <v>511131</v>
      </c>
      <c r="B3284" s="6" t="n">
        <v>45988</v>
      </c>
      <c r="C3284" t="n">
        <v>15864</v>
      </c>
      <c r="D3284" t="inlineStr">
        <is>
          <t>Delhi</t>
        </is>
      </c>
      <c r="E3284" t="inlineStr">
        <is>
          <t>North</t>
        </is>
      </c>
      <c r="F3284" t="inlineStr">
        <is>
          <t>Paid Social</t>
        </is>
      </c>
      <c r="G3284" t="inlineStr">
        <is>
          <t>Mobile App</t>
        </is>
      </c>
      <c r="H3284" t="inlineStr">
        <is>
          <t>UPI</t>
        </is>
      </c>
      <c r="I3284" t="inlineStr">
        <is>
          <t>Delivered</t>
        </is>
      </c>
      <c r="J3284" t="n">
        <v>135</v>
      </c>
      <c r="K3284" t="n">
        <v>1</v>
      </c>
      <c r="L3284" t="n">
        <v>1574</v>
      </c>
      <c r="M3284" t="n">
        <v>0</v>
      </c>
      <c r="N3284">
        <f>VLOOKUP(J3284,Products!$A$2:$C$49,3,FALSE)</f>
        <v/>
      </c>
      <c r="O3284">
        <f>K3284*L3284-M3284</f>
        <v/>
      </c>
      <c r="P3284">
        <f>TEXT(B3284,"yyyy-mm")</f>
        <v/>
      </c>
      <c r="Q3284">
        <f>IF(O3284&gt;=3000,"Large","Small")</f>
        <v/>
      </c>
      <c r="R3284">
        <f>INDEX(Products!$F$2:$F$49,MATCH(J3284,Products!$A$2:$A$49,0))</f>
        <v/>
      </c>
      <c r="S3284">
        <f>WEEKDAY(B3284,2)</f>
        <v/>
      </c>
    </row>
    <row r="3285">
      <c r="A3285" t="n">
        <v>511132</v>
      </c>
      <c r="B3285" s="6" t="n">
        <v>45989</v>
      </c>
      <c r="C3285" t="n">
        <v>17534</v>
      </c>
      <c r="D3285" t="inlineStr">
        <is>
          <t>Kochi</t>
        </is>
      </c>
      <c r="E3285" t="inlineStr">
        <is>
          <t>South</t>
        </is>
      </c>
      <c r="F3285" t="inlineStr">
        <is>
          <t>Organic Search</t>
        </is>
      </c>
      <c r="G3285" t="inlineStr">
        <is>
          <t>Desktop</t>
        </is>
      </c>
      <c r="H3285" t="inlineStr">
        <is>
          <t>UPI</t>
        </is>
      </c>
      <c r="I3285" t="inlineStr">
        <is>
          <t>Delivered</t>
        </is>
      </c>
      <c r="J3285" t="n">
        <v>103</v>
      </c>
      <c r="K3285" t="n">
        <v>1</v>
      </c>
      <c r="L3285" t="n">
        <v>2624</v>
      </c>
      <c r="M3285" t="n">
        <v>393.6</v>
      </c>
      <c r="N3285">
        <f>VLOOKUP(J3285,Products!$A$2:$C$49,3,FALSE)</f>
        <v/>
      </c>
      <c r="O3285">
        <f>K3285*L3285-M3285</f>
        <v/>
      </c>
      <c r="P3285">
        <f>TEXT(B3285,"yyyy-mm")</f>
        <v/>
      </c>
      <c r="Q3285">
        <f>IF(O3285&gt;=3000,"Large","Small")</f>
        <v/>
      </c>
      <c r="R3285">
        <f>INDEX(Products!$F$2:$F$49,MATCH(J3285,Products!$A$2:$A$49,0))</f>
        <v/>
      </c>
      <c r="S3285">
        <f>WEEKDAY(B3285,2)</f>
        <v/>
      </c>
    </row>
    <row r="3286">
      <c r="A3286" t="n">
        <v>511133</v>
      </c>
      <c r="B3286" s="6" t="n">
        <v>45989</v>
      </c>
      <c r="C3286" t="n">
        <v>17538</v>
      </c>
      <c r="D3286" t="inlineStr">
        <is>
          <t>Bengaluru</t>
        </is>
      </c>
      <c r="E3286" t="inlineStr">
        <is>
          <t>South</t>
        </is>
      </c>
      <c r="F3286" t="inlineStr">
        <is>
          <t>Affiliate</t>
        </is>
      </c>
      <c r="G3286" t="inlineStr">
        <is>
          <t>Desktop</t>
        </is>
      </c>
      <c r="H3286" t="inlineStr">
        <is>
          <t>UPI</t>
        </is>
      </c>
      <c r="I3286" t="inlineStr">
        <is>
          <t>Delivered</t>
        </is>
      </c>
      <c r="J3286" t="n">
        <v>114</v>
      </c>
      <c r="K3286" t="n">
        <v>1</v>
      </c>
      <c r="L3286" t="n">
        <v>1259</v>
      </c>
      <c r="M3286" t="n">
        <v>0</v>
      </c>
      <c r="N3286">
        <f>VLOOKUP(J3286,Products!$A$2:$C$49,3,FALSE)</f>
        <v/>
      </c>
      <c r="O3286">
        <f>K3286*L3286-M3286</f>
        <v/>
      </c>
      <c r="P3286">
        <f>TEXT(B3286,"yyyy-mm")</f>
        <v/>
      </c>
      <c r="Q3286">
        <f>IF(O3286&gt;=3000,"Large","Small")</f>
        <v/>
      </c>
      <c r="R3286">
        <f>INDEX(Products!$F$2:$F$49,MATCH(J3286,Products!$A$2:$A$49,0))</f>
        <v/>
      </c>
      <c r="S3286">
        <f>WEEKDAY(B3286,2)</f>
        <v/>
      </c>
    </row>
    <row r="3287">
      <c r="A3287" t="n">
        <v>511134</v>
      </c>
      <c r="B3287" s="6" t="n">
        <v>45989</v>
      </c>
      <c r="C3287" t="n">
        <v>12746</v>
      </c>
      <c r="D3287" t="inlineStr">
        <is>
          <t>Chandigarh</t>
        </is>
      </c>
      <c r="E3287" t="inlineStr">
        <is>
          <t>North</t>
        </is>
      </c>
      <c r="F3287" t="inlineStr">
        <is>
          <t>Organic Search</t>
        </is>
      </c>
      <c r="G3287" t="inlineStr">
        <is>
          <t>Mobile Web</t>
        </is>
      </c>
      <c r="H3287" t="inlineStr">
        <is>
          <t>UPI</t>
        </is>
      </c>
      <c r="I3287" t="inlineStr">
        <is>
          <t>Cancelled</t>
        </is>
      </c>
      <c r="J3287" t="n">
        <v>128</v>
      </c>
      <c r="K3287" t="n">
        <v>1</v>
      </c>
      <c r="L3287" t="n">
        <v>1049</v>
      </c>
      <c r="M3287" t="n">
        <v>52.45</v>
      </c>
      <c r="N3287">
        <f>VLOOKUP(J3287,Products!$A$2:$C$49,3,FALSE)</f>
        <v/>
      </c>
      <c r="O3287">
        <f>K3287*L3287-M3287</f>
        <v/>
      </c>
      <c r="P3287">
        <f>TEXT(B3287,"yyyy-mm")</f>
        <v/>
      </c>
      <c r="Q3287">
        <f>IF(O3287&gt;=3000,"Large","Small")</f>
        <v/>
      </c>
      <c r="R3287">
        <f>INDEX(Products!$F$2:$F$49,MATCH(J3287,Products!$A$2:$A$49,0))</f>
        <v/>
      </c>
      <c r="S3287">
        <f>WEEKDAY(B3287,2)</f>
        <v/>
      </c>
    </row>
    <row r="3288">
      <c r="A3288" t="n">
        <v>511135</v>
      </c>
      <c r="B3288" s="6" t="n">
        <v>45989</v>
      </c>
      <c r="C3288" t="n">
        <v>15362</v>
      </c>
      <c r="D3288" t="inlineStr">
        <is>
          <t>Mumbai</t>
        </is>
      </c>
      <c r="E3288" t="inlineStr">
        <is>
          <t>West</t>
        </is>
      </c>
      <c r="F3288" t="inlineStr">
        <is>
          <t>Paid Search</t>
        </is>
      </c>
      <c r="G3288" t="inlineStr">
        <is>
          <t>Desktop</t>
        </is>
      </c>
      <c r="H3288" t="inlineStr">
        <is>
          <t>Cash on Delivery</t>
        </is>
      </c>
      <c r="I3288" t="inlineStr">
        <is>
          <t>Delivered</t>
        </is>
      </c>
      <c r="J3288" t="n">
        <v>137</v>
      </c>
      <c r="K3288" t="n">
        <v>3</v>
      </c>
      <c r="L3288" t="n">
        <v>261</v>
      </c>
      <c r="M3288" t="n">
        <v>0</v>
      </c>
      <c r="N3288">
        <f>VLOOKUP(J3288,Products!$A$2:$C$49,3,FALSE)</f>
        <v/>
      </c>
      <c r="O3288">
        <f>K3288*L3288-M3288</f>
        <v/>
      </c>
      <c r="P3288">
        <f>TEXT(B3288,"yyyy-mm")</f>
        <v/>
      </c>
      <c r="Q3288">
        <f>IF(O3288&gt;=3000,"Large","Small")</f>
        <v/>
      </c>
      <c r="R3288">
        <f>INDEX(Products!$F$2:$F$49,MATCH(J3288,Products!$A$2:$A$49,0))</f>
        <v/>
      </c>
      <c r="S3288">
        <f>WEEKDAY(B3288,2)</f>
        <v/>
      </c>
    </row>
    <row r="3289">
      <c r="A3289" t="n">
        <v>511136</v>
      </c>
      <c r="B3289" s="6" t="n">
        <v>45989</v>
      </c>
      <c r="C3289" t="n">
        <v>15401</v>
      </c>
      <c r="D3289" t="inlineStr">
        <is>
          <t>Mumbai</t>
        </is>
      </c>
      <c r="E3289" t="inlineStr">
        <is>
          <t>West</t>
        </is>
      </c>
      <c r="F3289" t="inlineStr">
        <is>
          <t>Paid Search</t>
        </is>
      </c>
      <c r="G3289" t="inlineStr">
        <is>
          <t>Desktop</t>
        </is>
      </c>
      <c r="H3289" t="inlineStr">
        <is>
          <t>Debit Card</t>
        </is>
      </c>
      <c r="I3289" t="inlineStr">
        <is>
          <t>Delivered</t>
        </is>
      </c>
      <c r="J3289" t="n">
        <v>144</v>
      </c>
      <c r="K3289" t="n">
        <v>1</v>
      </c>
      <c r="L3289" t="n">
        <v>3149</v>
      </c>
      <c r="M3289" t="n">
        <v>0</v>
      </c>
      <c r="N3289">
        <f>VLOOKUP(J3289,Products!$A$2:$C$49,3,FALSE)</f>
        <v/>
      </c>
      <c r="O3289">
        <f>K3289*L3289-M3289</f>
        <v/>
      </c>
      <c r="P3289">
        <f>TEXT(B3289,"yyyy-mm")</f>
        <v/>
      </c>
      <c r="Q3289">
        <f>IF(O3289&gt;=3000,"Large","Small")</f>
        <v/>
      </c>
      <c r="R3289">
        <f>INDEX(Products!$F$2:$F$49,MATCH(J3289,Products!$A$2:$A$49,0))</f>
        <v/>
      </c>
      <c r="S3289">
        <f>WEEKDAY(B3289,2)</f>
        <v/>
      </c>
    </row>
    <row r="3290">
      <c r="A3290" t="n">
        <v>511137</v>
      </c>
      <c r="B3290" s="6" t="n">
        <v>45989</v>
      </c>
      <c r="C3290" t="n">
        <v>14074</v>
      </c>
      <c r="D3290" t="inlineStr">
        <is>
          <t>Lucknow</t>
        </is>
      </c>
      <c r="E3290" t="inlineStr">
        <is>
          <t>North</t>
        </is>
      </c>
      <c r="F3290" t="inlineStr">
        <is>
          <t>Paid Search</t>
        </is>
      </c>
      <c r="G3290" t="inlineStr">
        <is>
          <t>Mobile App</t>
        </is>
      </c>
      <c r="H3290" t="inlineStr">
        <is>
          <t>Cash on Delivery</t>
        </is>
      </c>
      <c r="I3290" t="inlineStr">
        <is>
          <t>Delivered</t>
        </is>
      </c>
      <c r="J3290" t="n">
        <v>101</v>
      </c>
      <c r="K3290" t="n">
        <v>2</v>
      </c>
      <c r="L3290" t="n">
        <v>2099</v>
      </c>
      <c r="M3290" t="n">
        <v>0</v>
      </c>
      <c r="N3290">
        <f>VLOOKUP(J3290,Products!$A$2:$C$49,3,FALSE)</f>
        <v/>
      </c>
      <c r="O3290">
        <f>K3290*L3290-M3290</f>
        <v/>
      </c>
      <c r="P3290">
        <f>TEXT(B3290,"yyyy-mm")</f>
        <v/>
      </c>
      <c r="Q3290">
        <f>IF(O3290&gt;=3000,"Large","Small")</f>
        <v/>
      </c>
      <c r="R3290">
        <f>INDEX(Products!$F$2:$F$49,MATCH(J3290,Products!$A$2:$A$49,0))</f>
        <v/>
      </c>
      <c r="S3290">
        <f>WEEKDAY(B3290,2)</f>
        <v/>
      </c>
    </row>
    <row r="3291">
      <c r="A3291" t="n">
        <v>511138</v>
      </c>
      <c r="B3291" s="6" t="n">
        <v>45989</v>
      </c>
      <c r="C3291" t="n">
        <v>17526</v>
      </c>
      <c r="D3291" t="inlineStr">
        <is>
          <t>Kolkata</t>
        </is>
      </c>
      <c r="E3291" t="inlineStr">
        <is>
          <t>East</t>
        </is>
      </c>
      <c r="F3291" t="inlineStr">
        <is>
          <t>Paid Social</t>
        </is>
      </c>
      <c r="G3291" t="inlineStr">
        <is>
          <t>Desktop</t>
        </is>
      </c>
      <c r="H3291" t="inlineStr">
        <is>
          <t>Credit Card</t>
        </is>
      </c>
      <c r="I3291" t="inlineStr">
        <is>
          <t>Delivered</t>
        </is>
      </c>
      <c r="J3291" t="n">
        <v>128</v>
      </c>
      <c r="K3291" t="n">
        <v>1</v>
      </c>
      <c r="L3291" t="n">
        <v>1049</v>
      </c>
      <c r="M3291" t="n">
        <v>157.35</v>
      </c>
      <c r="N3291">
        <f>VLOOKUP(J3291,Products!$A$2:$C$49,3,FALSE)</f>
        <v/>
      </c>
      <c r="O3291">
        <f>K3291*L3291-M3291</f>
        <v/>
      </c>
      <c r="P3291">
        <f>TEXT(B3291,"yyyy-mm")</f>
        <v/>
      </c>
      <c r="Q3291">
        <f>IF(O3291&gt;=3000,"Large","Small")</f>
        <v/>
      </c>
      <c r="R3291">
        <f>INDEX(Products!$F$2:$F$49,MATCH(J3291,Products!$A$2:$A$49,0))</f>
        <v/>
      </c>
      <c r="S3291">
        <f>WEEKDAY(B3291,2)</f>
        <v/>
      </c>
    </row>
    <row r="3292">
      <c r="A3292" t="n">
        <v>511139</v>
      </c>
      <c r="B3292" s="6" t="n">
        <v>45989</v>
      </c>
      <c r="C3292" t="n">
        <v>17483</v>
      </c>
      <c r="D3292" t="inlineStr">
        <is>
          <t>Kolkata</t>
        </is>
      </c>
      <c r="E3292" t="inlineStr">
        <is>
          <t>East</t>
        </is>
      </c>
      <c r="F3292" t="inlineStr">
        <is>
          <t>Organic Search</t>
        </is>
      </c>
      <c r="G3292" t="inlineStr">
        <is>
          <t>Mobile App</t>
        </is>
      </c>
      <c r="H3292" t="inlineStr">
        <is>
          <t>UPI</t>
        </is>
      </c>
      <c r="I3292" t="inlineStr">
        <is>
          <t>Delivered</t>
        </is>
      </c>
      <c r="J3292" t="n">
        <v>115</v>
      </c>
      <c r="K3292" t="n">
        <v>1</v>
      </c>
      <c r="L3292" t="n">
        <v>4199</v>
      </c>
      <c r="M3292" t="n">
        <v>629.85</v>
      </c>
      <c r="N3292">
        <f>VLOOKUP(J3292,Products!$A$2:$C$49,3,FALSE)</f>
        <v/>
      </c>
      <c r="O3292">
        <f>K3292*L3292-M3292</f>
        <v/>
      </c>
      <c r="P3292">
        <f>TEXT(B3292,"yyyy-mm")</f>
        <v/>
      </c>
      <c r="Q3292">
        <f>IF(O3292&gt;=3000,"Large","Small")</f>
        <v/>
      </c>
      <c r="R3292">
        <f>INDEX(Products!$F$2:$F$49,MATCH(J3292,Products!$A$2:$A$49,0))</f>
        <v/>
      </c>
      <c r="S3292">
        <f>WEEKDAY(B3292,2)</f>
        <v/>
      </c>
    </row>
    <row r="3293">
      <c r="A3293" t="n">
        <v>511140</v>
      </c>
      <c r="B3293" s="6" t="n">
        <v>45989</v>
      </c>
      <c r="C3293" t="n">
        <v>17045</v>
      </c>
      <c r="D3293" t="inlineStr">
        <is>
          <t>Delhi</t>
        </is>
      </c>
      <c r="E3293" t="inlineStr">
        <is>
          <t>North</t>
        </is>
      </c>
      <c r="F3293" t="inlineStr">
        <is>
          <t>Paid Search</t>
        </is>
      </c>
      <c r="G3293" t="inlineStr">
        <is>
          <t>Mobile App</t>
        </is>
      </c>
      <c r="H3293" t="inlineStr">
        <is>
          <t>UPI</t>
        </is>
      </c>
      <c r="I3293" t="inlineStr">
        <is>
          <t>Delivered</t>
        </is>
      </c>
      <c r="J3293" t="n">
        <v>114</v>
      </c>
      <c r="K3293" t="n">
        <v>1</v>
      </c>
      <c r="L3293" t="n">
        <v>1259</v>
      </c>
      <c r="M3293" t="n">
        <v>0</v>
      </c>
      <c r="N3293">
        <f>VLOOKUP(J3293,Products!$A$2:$C$49,3,FALSE)</f>
        <v/>
      </c>
      <c r="O3293">
        <f>K3293*L3293-M3293</f>
        <v/>
      </c>
      <c r="P3293">
        <f>TEXT(B3293,"yyyy-mm")</f>
        <v/>
      </c>
      <c r="Q3293">
        <f>IF(O3293&gt;=3000,"Large","Small")</f>
        <v/>
      </c>
      <c r="R3293">
        <f>INDEX(Products!$F$2:$F$49,MATCH(J3293,Products!$A$2:$A$49,0))</f>
        <v/>
      </c>
      <c r="S3293">
        <f>WEEKDAY(B3293,2)</f>
        <v/>
      </c>
    </row>
    <row r="3294">
      <c r="A3294" t="n">
        <v>511140</v>
      </c>
      <c r="B3294" s="6" t="n">
        <v>45989</v>
      </c>
      <c r="C3294" t="n">
        <v>17045</v>
      </c>
      <c r="D3294" t="inlineStr">
        <is>
          <t>Delhi</t>
        </is>
      </c>
      <c r="E3294" t="inlineStr">
        <is>
          <t>North</t>
        </is>
      </c>
      <c r="F3294" t="inlineStr">
        <is>
          <t>Paid Search</t>
        </is>
      </c>
      <c r="G3294" t="inlineStr">
        <is>
          <t>Mobile App</t>
        </is>
      </c>
      <c r="H3294" t="inlineStr">
        <is>
          <t>UPI</t>
        </is>
      </c>
      <c r="I3294" t="inlineStr">
        <is>
          <t>Delivered</t>
        </is>
      </c>
      <c r="J3294" t="n">
        <v>142</v>
      </c>
      <c r="K3294" t="n">
        <v>1</v>
      </c>
      <c r="L3294" t="n">
        <v>839</v>
      </c>
      <c r="M3294" t="n">
        <v>0</v>
      </c>
      <c r="N3294">
        <f>VLOOKUP(J3294,Products!$A$2:$C$49,3,FALSE)</f>
        <v/>
      </c>
      <c r="O3294">
        <f>K3294*L3294-M3294</f>
        <v/>
      </c>
      <c r="P3294">
        <f>TEXT(B3294,"yyyy-mm")</f>
        <v/>
      </c>
      <c r="Q3294">
        <f>IF(O3294&gt;=3000,"Large","Small")</f>
        <v/>
      </c>
      <c r="R3294">
        <f>INDEX(Products!$F$2:$F$49,MATCH(J3294,Products!$A$2:$A$49,0))</f>
        <v/>
      </c>
      <c r="S3294">
        <f>WEEKDAY(B3294,2)</f>
        <v/>
      </c>
    </row>
    <row r="3295">
      <c r="A3295" t="n">
        <v>511141</v>
      </c>
      <c r="B3295" s="6" t="n">
        <v>45989</v>
      </c>
      <c r="C3295" t="n">
        <v>17484</v>
      </c>
      <c r="D3295" t="inlineStr">
        <is>
          <t>Jaipur</t>
        </is>
      </c>
      <c r="E3295" t="inlineStr">
        <is>
          <t>North</t>
        </is>
      </c>
      <c r="F3295" t="inlineStr">
        <is>
          <t>Paid Social</t>
        </is>
      </c>
      <c r="G3295" t="inlineStr">
        <is>
          <t>Mobile App</t>
        </is>
      </c>
      <c r="H3295" t="inlineStr">
        <is>
          <t>UPI</t>
        </is>
      </c>
      <c r="I3295" t="inlineStr">
        <is>
          <t>Delivered</t>
        </is>
      </c>
      <c r="J3295" t="n">
        <v>120</v>
      </c>
      <c r="K3295" t="n">
        <v>1</v>
      </c>
      <c r="L3295" t="n">
        <v>734</v>
      </c>
      <c r="M3295" t="n">
        <v>0</v>
      </c>
      <c r="N3295">
        <f>VLOOKUP(J3295,Products!$A$2:$C$49,3,FALSE)</f>
        <v/>
      </c>
      <c r="O3295">
        <f>K3295*L3295-M3295</f>
        <v/>
      </c>
      <c r="P3295">
        <f>TEXT(B3295,"yyyy-mm")</f>
        <v/>
      </c>
      <c r="Q3295">
        <f>IF(O3295&gt;=3000,"Large","Small")</f>
        <v/>
      </c>
      <c r="R3295">
        <f>INDEX(Products!$F$2:$F$49,MATCH(J3295,Products!$A$2:$A$49,0))</f>
        <v/>
      </c>
      <c r="S3295">
        <f>WEEKDAY(B3295,2)</f>
        <v/>
      </c>
    </row>
    <row r="3296">
      <c r="A3296" t="n">
        <v>511141</v>
      </c>
      <c r="B3296" s="6" t="n">
        <v>45989</v>
      </c>
      <c r="C3296" t="n">
        <v>17484</v>
      </c>
      <c r="D3296" t="inlineStr">
        <is>
          <t>Jaipur</t>
        </is>
      </c>
      <c r="E3296" t="inlineStr">
        <is>
          <t>North</t>
        </is>
      </c>
      <c r="F3296" t="inlineStr">
        <is>
          <t>Paid Social</t>
        </is>
      </c>
      <c r="G3296" t="inlineStr">
        <is>
          <t>Mobile App</t>
        </is>
      </c>
      <c r="H3296" t="inlineStr">
        <is>
          <t>UPI</t>
        </is>
      </c>
      <c r="I3296" t="inlineStr">
        <is>
          <t>Delivered</t>
        </is>
      </c>
      <c r="J3296" t="n">
        <v>114</v>
      </c>
      <c r="K3296" t="n">
        <v>1</v>
      </c>
      <c r="L3296" t="n">
        <v>1259</v>
      </c>
      <c r="M3296" t="n">
        <v>0</v>
      </c>
      <c r="N3296">
        <f>VLOOKUP(J3296,Products!$A$2:$C$49,3,FALSE)</f>
        <v/>
      </c>
      <c r="O3296">
        <f>K3296*L3296-M3296</f>
        <v/>
      </c>
      <c r="P3296">
        <f>TEXT(B3296,"yyyy-mm")</f>
        <v/>
      </c>
      <c r="Q3296">
        <f>IF(O3296&gt;=3000,"Large","Small")</f>
        <v/>
      </c>
      <c r="R3296">
        <f>INDEX(Products!$F$2:$F$49,MATCH(J3296,Products!$A$2:$A$49,0))</f>
        <v/>
      </c>
      <c r="S3296">
        <f>WEEKDAY(B3296,2)</f>
        <v/>
      </c>
    </row>
    <row r="3297">
      <c r="A3297" t="n">
        <v>511142</v>
      </c>
      <c r="B3297" s="6" t="n">
        <v>45989</v>
      </c>
      <c r="C3297" t="n">
        <v>13402</v>
      </c>
      <c r="D3297" t="inlineStr">
        <is>
          <t>Chennai</t>
        </is>
      </c>
      <c r="E3297" t="inlineStr">
        <is>
          <t>South</t>
        </is>
      </c>
      <c r="F3297" t="inlineStr">
        <is>
          <t>Paid Search</t>
        </is>
      </c>
      <c r="G3297" t="inlineStr">
        <is>
          <t>Mobile Web</t>
        </is>
      </c>
      <c r="H3297" t="inlineStr">
        <is>
          <t>UPI</t>
        </is>
      </c>
      <c r="I3297" t="inlineStr">
        <is>
          <t>Delivered</t>
        </is>
      </c>
      <c r="J3297" t="n">
        <v>102</v>
      </c>
      <c r="K3297" t="n">
        <v>1</v>
      </c>
      <c r="L3297" t="n">
        <v>3674</v>
      </c>
      <c r="M3297" t="n">
        <v>0</v>
      </c>
      <c r="N3297">
        <f>VLOOKUP(J3297,Products!$A$2:$C$49,3,FALSE)</f>
        <v/>
      </c>
      <c r="O3297">
        <f>K3297*L3297-M3297</f>
        <v/>
      </c>
      <c r="P3297">
        <f>TEXT(B3297,"yyyy-mm")</f>
        <v/>
      </c>
      <c r="Q3297">
        <f>IF(O3297&gt;=3000,"Large","Small")</f>
        <v/>
      </c>
      <c r="R3297">
        <f>INDEX(Products!$F$2:$F$49,MATCH(J3297,Products!$A$2:$A$49,0))</f>
        <v/>
      </c>
      <c r="S3297">
        <f>WEEKDAY(B3297,2)</f>
        <v/>
      </c>
    </row>
    <row r="3298">
      <c r="A3298" t="n">
        <v>511142</v>
      </c>
      <c r="B3298" s="6" t="n">
        <v>45989</v>
      </c>
      <c r="C3298" t="n">
        <v>13402</v>
      </c>
      <c r="D3298" t="inlineStr">
        <is>
          <t>Chennai</t>
        </is>
      </c>
      <c r="E3298" t="inlineStr">
        <is>
          <t>South</t>
        </is>
      </c>
      <c r="F3298" t="inlineStr">
        <is>
          <t>Paid Search</t>
        </is>
      </c>
      <c r="G3298" t="inlineStr">
        <is>
          <t>Mobile Web</t>
        </is>
      </c>
      <c r="H3298" t="inlineStr">
        <is>
          <t>UPI</t>
        </is>
      </c>
      <c r="I3298" t="inlineStr">
        <is>
          <t>Delivered</t>
        </is>
      </c>
      <c r="J3298" t="n">
        <v>108</v>
      </c>
      <c r="K3298" t="n">
        <v>1</v>
      </c>
      <c r="L3298" t="n">
        <v>419</v>
      </c>
      <c r="M3298" t="n">
        <v>0</v>
      </c>
      <c r="N3298">
        <f>VLOOKUP(J3298,Products!$A$2:$C$49,3,FALSE)</f>
        <v/>
      </c>
      <c r="O3298">
        <f>K3298*L3298-M3298</f>
        <v/>
      </c>
      <c r="P3298">
        <f>TEXT(B3298,"yyyy-mm")</f>
        <v/>
      </c>
      <c r="Q3298">
        <f>IF(O3298&gt;=3000,"Large","Small")</f>
        <v/>
      </c>
      <c r="R3298">
        <f>INDEX(Products!$F$2:$F$49,MATCH(J3298,Products!$A$2:$A$49,0))</f>
        <v/>
      </c>
      <c r="S3298">
        <f>WEEKDAY(B3298,2)</f>
        <v/>
      </c>
    </row>
    <row r="3299">
      <c r="A3299" t="n">
        <v>511143</v>
      </c>
      <c r="B3299" s="6" t="n">
        <v>45989</v>
      </c>
      <c r="C3299" t="n">
        <v>16873</v>
      </c>
      <c r="D3299" t="inlineStr">
        <is>
          <t>Kolkata</t>
        </is>
      </c>
      <c r="E3299" t="inlineStr">
        <is>
          <t>East</t>
        </is>
      </c>
      <c r="F3299" t="inlineStr">
        <is>
          <t>Organic Search</t>
        </is>
      </c>
      <c r="G3299" t="inlineStr">
        <is>
          <t>Mobile App</t>
        </is>
      </c>
      <c r="H3299" t="inlineStr">
        <is>
          <t>UPI</t>
        </is>
      </c>
      <c r="I3299" t="inlineStr">
        <is>
          <t>Delivered</t>
        </is>
      </c>
      <c r="J3299" t="n">
        <v>118</v>
      </c>
      <c r="K3299" t="n">
        <v>1</v>
      </c>
      <c r="L3299" t="n">
        <v>944</v>
      </c>
      <c r="M3299" t="n">
        <v>0</v>
      </c>
      <c r="N3299">
        <f>VLOOKUP(J3299,Products!$A$2:$C$49,3,FALSE)</f>
        <v/>
      </c>
      <c r="O3299">
        <f>K3299*L3299-M3299</f>
        <v/>
      </c>
      <c r="P3299">
        <f>TEXT(B3299,"yyyy-mm")</f>
        <v/>
      </c>
      <c r="Q3299">
        <f>IF(O3299&gt;=3000,"Large","Small")</f>
        <v/>
      </c>
      <c r="R3299">
        <f>INDEX(Products!$F$2:$F$49,MATCH(J3299,Products!$A$2:$A$49,0))</f>
        <v/>
      </c>
      <c r="S3299">
        <f>WEEKDAY(B3299,2)</f>
        <v/>
      </c>
    </row>
    <row r="3300">
      <c r="A3300" t="n">
        <v>511143</v>
      </c>
      <c r="B3300" s="6" t="n">
        <v>45989</v>
      </c>
      <c r="C3300" t="n">
        <v>16873</v>
      </c>
      <c r="D3300" t="inlineStr">
        <is>
          <t>Kolkata</t>
        </is>
      </c>
      <c r="E3300" t="inlineStr">
        <is>
          <t>East</t>
        </is>
      </c>
      <c r="F3300" t="inlineStr">
        <is>
          <t>Organic Search</t>
        </is>
      </c>
      <c r="G3300" t="inlineStr">
        <is>
          <t>Mobile App</t>
        </is>
      </c>
      <c r="H3300" t="inlineStr">
        <is>
          <t>UPI</t>
        </is>
      </c>
      <c r="I3300" t="inlineStr">
        <is>
          <t>Delivered</t>
        </is>
      </c>
      <c r="J3300" t="n">
        <v>121</v>
      </c>
      <c r="K3300" t="n">
        <v>1</v>
      </c>
      <c r="L3300" t="n">
        <v>2939</v>
      </c>
      <c r="M3300" t="n">
        <v>0</v>
      </c>
      <c r="N3300">
        <f>VLOOKUP(J3300,Products!$A$2:$C$49,3,FALSE)</f>
        <v/>
      </c>
      <c r="O3300">
        <f>K3300*L3300-M3300</f>
        <v/>
      </c>
      <c r="P3300">
        <f>TEXT(B3300,"yyyy-mm")</f>
        <v/>
      </c>
      <c r="Q3300">
        <f>IF(O3300&gt;=3000,"Large","Small")</f>
        <v/>
      </c>
      <c r="R3300">
        <f>INDEX(Products!$F$2:$F$49,MATCH(J3300,Products!$A$2:$A$49,0))</f>
        <v/>
      </c>
      <c r="S3300">
        <f>WEEKDAY(B3300,2)</f>
        <v/>
      </c>
    </row>
    <row r="3301">
      <c r="A3301" t="n">
        <v>511143</v>
      </c>
      <c r="B3301" s="6" t="n">
        <v>45989</v>
      </c>
      <c r="C3301" t="n">
        <v>16873</v>
      </c>
      <c r="D3301" t="inlineStr">
        <is>
          <t>Kolkata</t>
        </is>
      </c>
      <c r="E3301" t="inlineStr">
        <is>
          <t>East</t>
        </is>
      </c>
      <c r="F3301" t="inlineStr">
        <is>
          <t>Organic Search</t>
        </is>
      </c>
      <c r="G3301" t="inlineStr">
        <is>
          <t>Mobile App</t>
        </is>
      </c>
      <c r="H3301" t="inlineStr">
        <is>
          <t>UPI</t>
        </is>
      </c>
      <c r="I3301" t="inlineStr">
        <is>
          <t>Delivered</t>
        </is>
      </c>
      <c r="J3301" t="n">
        <v>113</v>
      </c>
      <c r="K3301" t="n">
        <v>1</v>
      </c>
      <c r="L3301" t="n">
        <v>1364</v>
      </c>
      <c r="M3301" t="n">
        <v>0</v>
      </c>
      <c r="N3301">
        <f>VLOOKUP(J3301,Products!$A$2:$C$49,3,FALSE)</f>
        <v/>
      </c>
      <c r="O3301">
        <f>K3301*L3301-M3301</f>
        <v/>
      </c>
      <c r="P3301">
        <f>TEXT(B3301,"yyyy-mm")</f>
        <v/>
      </c>
      <c r="Q3301">
        <f>IF(O3301&gt;=3000,"Large","Small")</f>
        <v/>
      </c>
      <c r="R3301">
        <f>INDEX(Products!$F$2:$F$49,MATCH(J3301,Products!$A$2:$A$49,0))</f>
        <v/>
      </c>
      <c r="S3301">
        <f>WEEKDAY(B3301,2)</f>
        <v/>
      </c>
    </row>
    <row r="3302">
      <c r="A3302" t="n">
        <v>511143</v>
      </c>
      <c r="B3302" s="6" t="n">
        <v>45989</v>
      </c>
      <c r="C3302" t="n">
        <v>16873</v>
      </c>
      <c r="D3302" t="inlineStr">
        <is>
          <t>Kolkata</t>
        </is>
      </c>
      <c r="E3302" t="inlineStr">
        <is>
          <t>East</t>
        </is>
      </c>
      <c r="F3302" t="inlineStr">
        <is>
          <t>Organic Search</t>
        </is>
      </c>
      <c r="G3302" t="inlineStr">
        <is>
          <t>Mobile App</t>
        </is>
      </c>
      <c r="H3302" t="inlineStr">
        <is>
          <t>UPI</t>
        </is>
      </c>
      <c r="I3302" t="inlineStr">
        <is>
          <t>Delivered</t>
        </is>
      </c>
      <c r="J3302" t="n">
        <v>103</v>
      </c>
      <c r="K3302" t="n">
        <v>2</v>
      </c>
      <c r="L3302" t="n">
        <v>2624</v>
      </c>
      <c r="M3302" t="n">
        <v>0</v>
      </c>
      <c r="N3302">
        <f>VLOOKUP(J3302,Products!$A$2:$C$49,3,FALSE)</f>
        <v/>
      </c>
      <c r="O3302">
        <f>K3302*L3302-M3302</f>
        <v/>
      </c>
      <c r="P3302">
        <f>TEXT(B3302,"yyyy-mm")</f>
        <v/>
      </c>
      <c r="Q3302">
        <f>IF(O3302&gt;=3000,"Large","Small")</f>
        <v/>
      </c>
      <c r="R3302">
        <f>INDEX(Products!$F$2:$F$49,MATCH(J3302,Products!$A$2:$A$49,0))</f>
        <v/>
      </c>
      <c r="S3302">
        <f>WEEKDAY(B3302,2)</f>
        <v/>
      </c>
    </row>
    <row r="3303">
      <c r="A3303" t="n">
        <v>511144</v>
      </c>
      <c r="B3303" s="6" t="n">
        <v>45989</v>
      </c>
      <c r="C3303" t="n">
        <v>16927</v>
      </c>
      <c r="D3303" t="inlineStr">
        <is>
          <t>Jaipur</t>
        </is>
      </c>
      <c r="E3303" t="inlineStr">
        <is>
          <t>North</t>
        </is>
      </c>
      <c r="F3303" t="inlineStr">
        <is>
          <t>Referral</t>
        </is>
      </c>
      <c r="G3303" t="inlineStr">
        <is>
          <t>Mobile App</t>
        </is>
      </c>
      <c r="H3303" t="inlineStr">
        <is>
          <t>Cash on Delivery</t>
        </is>
      </c>
      <c r="I3303" t="inlineStr">
        <is>
          <t>Returned</t>
        </is>
      </c>
      <c r="J3303" t="n">
        <v>102</v>
      </c>
      <c r="K3303" t="n">
        <v>2</v>
      </c>
      <c r="L3303" t="n">
        <v>3674</v>
      </c>
      <c r="M3303" t="n">
        <v>0</v>
      </c>
      <c r="N3303">
        <f>VLOOKUP(J3303,Products!$A$2:$C$49,3,FALSE)</f>
        <v/>
      </c>
      <c r="O3303">
        <f>K3303*L3303-M3303</f>
        <v/>
      </c>
      <c r="P3303">
        <f>TEXT(B3303,"yyyy-mm")</f>
        <v/>
      </c>
      <c r="Q3303">
        <f>IF(O3303&gt;=3000,"Large","Small")</f>
        <v/>
      </c>
      <c r="R3303">
        <f>INDEX(Products!$F$2:$F$49,MATCH(J3303,Products!$A$2:$A$49,0))</f>
        <v/>
      </c>
      <c r="S3303">
        <f>WEEKDAY(B3303,2)</f>
        <v/>
      </c>
    </row>
    <row r="3304">
      <c r="A3304" t="n">
        <v>511144</v>
      </c>
      <c r="B3304" s="6" t="n">
        <v>45989</v>
      </c>
      <c r="C3304" t="n">
        <v>16927</v>
      </c>
      <c r="D3304" t="inlineStr">
        <is>
          <t>Jaipur</t>
        </is>
      </c>
      <c r="E3304" t="inlineStr">
        <is>
          <t>North</t>
        </is>
      </c>
      <c r="F3304" t="inlineStr">
        <is>
          <t>Referral</t>
        </is>
      </c>
      <c r="G3304" t="inlineStr">
        <is>
          <t>Mobile App</t>
        </is>
      </c>
      <c r="H3304" t="inlineStr">
        <is>
          <t>Cash on Delivery</t>
        </is>
      </c>
      <c r="I3304" t="inlineStr">
        <is>
          <t>Returned</t>
        </is>
      </c>
      <c r="J3304" t="n">
        <v>101</v>
      </c>
      <c r="K3304" t="n">
        <v>1</v>
      </c>
      <c r="L3304" t="n">
        <v>2099</v>
      </c>
      <c r="M3304" t="n">
        <v>0</v>
      </c>
      <c r="N3304">
        <f>VLOOKUP(J3304,Products!$A$2:$C$49,3,FALSE)</f>
        <v/>
      </c>
      <c r="O3304">
        <f>K3304*L3304-M3304</f>
        <v/>
      </c>
      <c r="P3304">
        <f>TEXT(B3304,"yyyy-mm")</f>
        <v/>
      </c>
      <c r="Q3304">
        <f>IF(O3304&gt;=3000,"Large","Small")</f>
        <v/>
      </c>
      <c r="R3304">
        <f>INDEX(Products!$F$2:$F$49,MATCH(J3304,Products!$A$2:$A$49,0))</f>
        <v/>
      </c>
      <c r="S3304">
        <f>WEEKDAY(B3304,2)</f>
        <v/>
      </c>
    </row>
    <row r="3305">
      <c r="A3305" t="n">
        <v>511145</v>
      </c>
      <c r="B3305" s="6" t="n">
        <v>45989</v>
      </c>
      <c r="C3305" t="n">
        <v>17530</v>
      </c>
      <c r="D3305" t="inlineStr">
        <is>
          <t>Noida</t>
        </is>
      </c>
      <c r="E3305" t="inlineStr">
        <is>
          <t>North</t>
        </is>
      </c>
      <c r="F3305" t="inlineStr">
        <is>
          <t>Organic Search</t>
        </is>
      </c>
      <c r="G3305" t="inlineStr">
        <is>
          <t>Mobile App</t>
        </is>
      </c>
      <c r="H3305" t="inlineStr">
        <is>
          <t>Cash on Delivery</t>
        </is>
      </c>
      <c r="I3305" t="inlineStr">
        <is>
          <t>Cancelled</t>
        </is>
      </c>
      <c r="J3305" t="n">
        <v>123</v>
      </c>
      <c r="K3305" t="n">
        <v>1</v>
      </c>
      <c r="L3305" t="n">
        <v>3464</v>
      </c>
      <c r="M3305" t="n">
        <v>173.2</v>
      </c>
      <c r="N3305">
        <f>VLOOKUP(J3305,Products!$A$2:$C$49,3,FALSE)</f>
        <v/>
      </c>
      <c r="O3305">
        <f>K3305*L3305-M3305</f>
        <v/>
      </c>
      <c r="P3305">
        <f>TEXT(B3305,"yyyy-mm")</f>
        <v/>
      </c>
      <c r="Q3305">
        <f>IF(O3305&gt;=3000,"Large","Small")</f>
        <v/>
      </c>
      <c r="R3305">
        <f>INDEX(Products!$F$2:$F$49,MATCH(J3305,Products!$A$2:$A$49,0))</f>
        <v/>
      </c>
      <c r="S3305">
        <f>WEEKDAY(B3305,2)</f>
        <v/>
      </c>
    </row>
    <row r="3306">
      <c r="A3306" t="n">
        <v>511146</v>
      </c>
      <c r="B3306" s="6" t="n">
        <v>45989</v>
      </c>
      <c r="C3306" t="n">
        <v>17539</v>
      </c>
      <c r="D3306" t="inlineStr">
        <is>
          <t>Noida</t>
        </is>
      </c>
      <c r="E3306" t="inlineStr">
        <is>
          <t>North</t>
        </is>
      </c>
      <c r="F3306" t="inlineStr">
        <is>
          <t>Email</t>
        </is>
      </c>
      <c r="G3306" t="inlineStr">
        <is>
          <t>Mobile App</t>
        </is>
      </c>
      <c r="H3306" t="inlineStr">
        <is>
          <t>UPI</t>
        </is>
      </c>
      <c r="I3306" t="inlineStr">
        <is>
          <t>Delivered</t>
        </is>
      </c>
      <c r="J3306" t="n">
        <v>138</v>
      </c>
      <c r="K3306" t="n">
        <v>1</v>
      </c>
      <c r="L3306" t="n">
        <v>419</v>
      </c>
      <c r="M3306" t="n">
        <v>62.85</v>
      </c>
      <c r="N3306">
        <f>VLOOKUP(J3306,Products!$A$2:$C$49,3,FALSE)</f>
        <v/>
      </c>
      <c r="O3306">
        <f>K3306*L3306-M3306</f>
        <v/>
      </c>
      <c r="P3306">
        <f>TEXT(B3306,"yyyy-mm")</f>
        <v/>
      </c>
      <c r="Q3306">
        <f>IF(O3306&gt;=3000,"Large","Small")</f>
        <v/>
      </c>
      <c r="R3306">
        <f>INDEX(Products!$F$2:$F$49,MATCH(J3306,Products!$A$2:$A$49,0))</f>
        <v/>
      </c>
      <c r="S3306">
        <f>WEEKDAY(B3306,2)</f>
        <v/>
      </c>
    </row>
    <row r="3307">
      <c r="A3307" t="n">
        <v>511146</v>
      </c>
      <c r="B3307" s="6" t="n">
        <v>45989</v>
      </c>
      <c r="C3307" t="n">
        <v>17539</v>
      </c>
      <c r="D3307" t="inlineStr">
        <is>
          <t>Noida</t>
        </is>
      </c>
      <c r="E3307" t="inlineStr">
        <is>
          <t>North</t>
        </is>
      </c>
      <c r="F3307" t="inlineStr">
        <is>
          <t>Email</t>
        </is>
      </c>
      <c r="G3307" t="inlineStr">
        <is>
          <t>Mobile App</t>
        </is>
      </c>
      <c r="H3307" t="inlineStr">
        <is>
          <t>UPI</t>
        </is>
      </c>
      <c r="I3307" t="inlineStr">
        <is>
          <t>Delivered</t>
        </is>
      </c>
      <c r="J3307" t="n">
        <v>114</v>
      </c>
      <c r="K3307" t="n">
        <v>1</v>
      </c>
      <c r="L3307" t="n">
        <v>1259</v>
      </c>
      <c r="M3307" t="n">
        <v>188.85</v>
      </c>
      <c r="N3307">
        <f>VLOOKUP(J3307,Products!$A$2:$C$49,3,FALSE)</f>
        <v/>
      </c>
      <c r="O3307">
        <f>K3307*L3307-M3307</f>
        <v/>
      </c>
      <c r="P3307">
        <f>TEXT(B3307,"yyyy-mm")</f>
        <v/>
      </c>
      <c r="Q3307">
        <f>IF(O3307&gt;=3000,"Large","Small")</f>
        <v/>
      </c>
      <c r="R3307">
        <f>INDEX(Products!$F$2:$F$49,MATCH(J3307,Products!$A$2:$A$49,0))</f>
        <v/>
      </c>
      <c r="S3307">
        <f>WEEKDAY(B3307,2)</f>
        <v/>
      </c>
    </row>
    <row r="3308">
      <c r="A3308" t="n">
        <v>511147</v>
      </c>
      <c r="B3308" s="6" t="n">
        <v>45990</v>
      </c>
      <c r="C3308" t="n">
        <v>11007</v>
      </c>
      <c r="D3308" t="inlineStr">
        <is>
          <t>Lucknow</t>
        </is>
      </c>
      <c r="E3308" t="inlineStr">
        <is>
          <t>North</t>
        </is>
      </c>
      <c r="F3308" t="inlineStr">
        <is>
          <t>Email</t>
        </is>
      </c>
      <c r="G3308" t="inlineStr">
        <is>
          <t>Mobile App</t>
        </is>
      </c>
      <c r="H3308" t="inlineStr">
        <is>
          <t>Net Banking</t>
        </is>
      </c>
      <c r="I3308" t="inlineStr">
        <is>
          <t>Delivered</t>
        </is>
      </c>
      <c r="J3308" t="n">
        <v>126</v>
      </c>
      <c r="K3308" t="n">
        <v>1</v>
      </c>
      <c r="L3308" t="n">
        <v>471</v>
      </c>
      <c r="M3308" t="n">
        <v>0</v>
      </c>
      <c r="N3308">
        <f>VLOOKUP(J3308,Products!$A$2:$C$49,3,FALSE)</f>
        <v/>
      </c>
      <c r="O3308">
        <f>K3308*L3308-M3308</f>
        <v/>
      </c>
      <c r="P3308">
        <f>TEXT(B3308,"yyyy-mm")</f>
        <v/>
      </c>
      <c r="Q3308">
        <f>IF(O3308&gt;=3000,"Large","Small")</f>
        <v/>
      </c>
      <c r="R3308">
        <f>INDEX(Products!$F$2:$F$49,MATCH(J3308,Products!$A$2:$A$49,0))</f>
        <v/>
      </c>
      <c r="S3308">
        <f>WEEKDAY(B3308,2)</f>
        <v/>
      </c>
    </row>
    <row r="3309">
      <c r="A3309" t="n">
        <v>511147</v>
      </c>
      <c r="B3309" s="6" t="n">
        <v>45990</v>
      </c>
      <c r="C3309" t="n">
        <v>11007</v>
      </c>
      <c r="D3309" t="inlineStr">
        <is>
          <t>Lucknow</t>
        </is>
      </c>
      <c r="E3309" t="inlineStr">
        <is>
          <t>North</t>
        </is>
      </c>
      <c r="F3309" t="inlineStr">
        <is>
          <t>Email</t>
        </is>
      </c>
      <c r="G3309" t="inlineStr">
        <is>
          <t>Mobile App</t>
        </is>
      </c>
      <c r="H3309" t="inlineStr">
        <is>
          <t>Net Banking</t>
        </is>
      </c>
      <c r="I3309" t="inlineStr">
        <is>
          <t>Delivered</t>
        </is>
      </c>
      <c r="J3309" t="n">
        <v>103</v>
      </c>
      <c r="K3309" t="n">
        <v>1</v>
      </c>
      <c r="L3309" t="n">
        <v>2624</v>
      </c>
      <c r="M3309" t="n">
        <v>0</v>
      </c>
      <c r="N3309">
        <f>VLOOKUP(J3309,Products!$A$2:$C$49,3,FALSE)</f>
        <v/>
      </c>
      <c r="O3309">
        <f>K3309*L3309-M3309</f>
        <v/>
      </c>
      <c r="P3309">
        <f>TEXT(B3309,"yyyy-mm")</f>
        <v/>
      </c>
      <c r="Q3309">
        <f>IF(O3309&gt;=3000,"Large","Small")</f>
        <v/>
      </c>
      <c r="R3309">
        <f>INDEX(Products!$F$2:$F$49,MATCH(J3309,Products!$A$2:$A$49,0))</f>
        <v/>
      </c>
      <c r="S3309">
        <f>WEEKDAY(B3309,2)</f>
        <v/>
      </c>
    </row>
    <row r="3310">
      <c r="A3310" t="n">
        <v>511147</v>
      </c>
      <c r="B3310" s="6" t="n">
        <v>45990</v>
      </c>
      <c r="C3310" t="n">
        <v>11007</v>
      </c>
      <c r="D3310" t="inlineStr">
        <is>
          <t>Lucknow</t>
        </is>
      </c>
      <c r="E3310" t="inlineStr">
        <is>
          <t>North</t>
        </is>
      </c>
      <c r="F3310" t="inlineStr">
        <is>
          <t>Email</t>
        </is>
      </c>
      <c r="G3310" t="inlineStr">
        <is>
          <t>Mobile App</t>
        </is>
      </c>
      <c r="H3310" t="inlineStr">
        <is>
          <t>Net Banking</t>
        </is>
      </c>
      <c r="I3310" t="inlineStr">
        <is>
          <t>Delivered</t>
        </is>
      </c>
      <c r="J3310" t="n">
        <v>132</v>
      </c>
      <c r="K3310" t="n">
        <v>1</v>
      </c>
      <c r="L3310" t="n">
        <v>471</v>
      </c>
      <c r="M3310" t="n">
        <v>0</v>
      </c>
      <c r="N3310">
        <f>VLOOKUP(J3310,Products!$A$2:$C$49,3,FALSE)</f>
        <v/>
      </c>
      <c r="O3310">
        <f>K3310*L3310-M3310</f>
        <v/>
      </c>
      <c r="P3310">
        <f>TEXT(B3310,"yyyy-mm")</f>
        <v/>
      </c>
      <c r="Q3310">
        <f>IF(O3310&gt;=3000,"Large","Small")</f>
        <v/>
      </c>
      <c r="R3310">
        <f>INDEX(Products!$F$2:$F$49,MATCH(J3310,Products!$A$2:$A$49,0))</f>
        <v/>
      </c>
      <c r="S3310">
        <f>WEEKDAY(B3310,2)</f>
        <v/>
      </c>
    </row>
    <row r="3311">
      <c r="A3311" t="n">
        <v>511148</v>
      </c>
      <c r="B3311" s="6" t="n">
        <v>45990</v>
      </c>
      <c r="C3311" t="n">
        <v>17517</v>
      </c>
      <c r="D3311" t="inlineStr">
        <is>
          <t>Kolkata</t>
        </is>
      </c>
      <c r="E3311" t="inlineStr">
        <is>
          <t>East</t>
        </is>
      </c>
      <c r="F3311" t="inlineStr">
        <is>
          <t>Paid Social</t>
        </is>
      </c>
      <c r="G3311" t="inlineStr">
        <is>
          <t>Mobile App</t>
        </is>
      </c>
      <c r="H3311" t="inlineStr">
        <is>
          <t>UPI</t>
        </is>
      </c>
      <c r="I3311" t="inlineStr">
        <is>
          <t>Delivered</t>
        </is>
      </c>
      <c r="J3311" t="n">
        <v>102</v>
      </c>
      <c r="K3311" t="n">
        <v>1</v>
      </c>
      <c r="L3311" t="n">
        <v>3674</v>
      </c>
      <c r="M3311" t="n">
        <v>551.1</v>
      </c>
      <c r="N3311">
        <f>VLOOKUP(J3311,Products!$A$2:$C$49,3,FALSE)</f>
        <v/>
      </c>
      <c r="O3311">
        <f>K3311*L3311-M3311</f>
        <v/>
      </c>
      <c r="P3311">
        <f>TEXT(B3311,"yyyy-mm")</f>
        <v/>
      </c>
      <c r="Q3311">
        <f>IF(O3311&gt;=3000,"Large","Small")</f>
        <v/>
      </c>
      <c r="R3311">
        <f>INDEX(Products!$F$2:$F$49,MATCH(J3311,Products!$A$2:$A$49,0))</f>
        <v/>
      </c>
      <c r="S3311">
        <f>WEEKDAY(B3311,2)</f>
        <v/>
      </c>
    </row>
    <row r="3312">
      <c r="A3312" t="n">
        <v>511148</v>
      </c>
      <c r="B3312" s="6" t="n">
        <v>45990</v>
      </c>
      <c r="C3312" t="n">
        <v>17517</v>
      </c>
      <c r="D3312" t="inlineStr">
        <is>
          <t>Kolkata</t>
        </is>
      </c>
      <c r="E3312" t="inlineStr">
        <is>
          <t>East</t>
        </is>
      </c>
      <c r="F3312" t="inlineStr">
        <is>
          <t>Paid Social</t>
        </is>
      </c>
      <c r="G3312" t="inlineStr">
        <is>
          <t>Mobile App</t>
        </is>
      </c>
      <c r="H3312" t="inlineStr">
        <is>
          <t>UPI</t>
        </is>
      </c>
      <c r="I3312" t="inlineStr">
        <is>
          <t>Delivered</t>
        </is>
      </c>
      <c r="J3312" t="n">
        <v>134</v>
      </c>
      <c r="K3312" t="n">
        <v>3</v>
      </c>
      <c r="L3312" t="n">
        <v>209</v>
      </c>
      <c r="M3312" t="n">
        <v>94.05</v>
      </c>
      <c r="N3312">
        <f>VLOOKUP(J3312,Products!$A$2:$C$49,3,FALSE)</f>
        <v/>
      </c>
      <c r="O3312">
        <f>K3312*L3312-M3312</f>
        <v/>
      </c>
      <c r="P3312">
        <f>TEXT(B3312,"yyyy-mm")</f>
        <v/>
      </c>
      <c r="Q3312">
        <f>IF(O3312&gt;=3000,"Large","Small")</f>
        <v/>
      </c>
      <c r="R3312">
        <f>INDEX(Products!$F$2:$F$49,MATCH(J3312,Products!$A$2:$A$49,0))</f>
        <v/>
      </c>
      <c r="S3312">
        <f>WEEKDAY(B3312,2)</f>
        <v/>
      </c>
    </row>
    <row r="3313">
      <c r="A3313" t="n">
        <v>511149</v>
      </c>
      <c r="B3313" s="6" t="n">
        <v>45990</v>
      </c>
      <c r="C3313" t="n">
        <v>17544</v>
      </c>
      <c r="D3313" t="inlineStr">
        <is>
          <t>Lucknow</t>
        </is>
      </c>
      <c r="E3313" t="inlineStr">
        <is>
          <t>North</t>
        </is>
      </c>
      <c r="F3313" t="inlineStr">
        <is>
          <t>Paid Search</t>
        </is>
      </c>
      <c r="G3313" t="inlineStr">
        <is>
          <t>Mobile App</t>
        </is>
      </c>
      <c r="H3313" t="inlineStr">
        <is>
          <t>Credit Card</t>
        </is>
      </c>
      <c r="I3313" t="inlineStr">
        <is>
          <t>Delivered</t>
        </is>
      </c>
      <c r="J3313" t="n">
        <v>108</v>
      </c>
      <c r="K3313" t="n">
        <v>1</v>
      </c>
      <c r="L3313" t="n">
        <v>419</v>
      </c>
      <c r="M3313" t="n">
        <v>62.85</v>
      </c>
      <c r="N3313">
        <f>VLOOKUP(J3313,Products!$A$2:$C$49,3,FALSE)</f>
        <v/>
      </c>
      <c r="O3313">
        <f>K3313*L3313-M3313</f>
        <v/>
      </c>
      <c r="P3313">
        <f>TEXT(B3313,"yyyy-mm")</f>
        <v/>
      </c>
      <c r="Q3313">
        <f>IF(O3313&gt;=3000,"Large","Small")</f>
        <v/>
      </c>
      <c r="R3313">
        <f>INDEX(Products!$F$2:$F$49,MATCH(J3313,Products!$A$2:$A$49,0))</f>
        <v/>
      </c>
      <c r="S3313">
        <f>WEEKDAY(B3313,2)</f>
        <v/>
      </c>
    </row>
    <row r="3314">
      <c r="A3314" t="n">
        <v>511150</v>
      </c>
      <c r="B3314" s="6" t="n">
        <v>45990</v>
      </c>
      <c r="C3314" t="n">
        <v>17432</v>
      </c>
      <c r="D3314" t="inlineStr">
        <is>
          <t>Hyderabad</t>
        </is>
      </c>
      <c r="E3314" t="inlineStr">
        <is>
          <t>South</t>
        </is>
      </c>
      <c r="F3314" t="inlineStr">
        <is>
          <t>Paid Search</t>
        </is>
      </c>
      <c r="G3314" t="inlineStr">
        <is>
          <t>Mobile App</t>
        </is>
      </c>
      <c r="H3314" t="inlineStr">
        <is>
          <t>Cash on Delivery</t>
        </is>
      </c>
      <c r="I3314" t="inlineStr">
        <is>
          <t>Delivered</t>
        </is>
      </c>
      <c r="J3314" t="n">
        <v>124</v>
      </c>
      <c r="K3314" t="n">
        <v>1</v>
      </c>
      <c r="L3314" t="n">
        <v>1154</v>
      </c>
      <c r="M3314" t="n">
        <v>173.1</v>
      </c>
      <c r="N3314">
        <f>VLOOKUP(J3314,Products!$A$2:$C$49,3,FALSE)</f>
        <v/>
      </c>
      <c r="O3314">
        <f>K3314*L3314-M3314</f>
        <v/>
      </c>
      <c r="P3314">
        <f>TEXT(B3314,"yyyy-mm")</f>
        <v/>
      </c>
      <c r="Q3314">
        <f>IF(O3314&gt;=3000,"Large","Small")</f>
        <v/>
      </c>
      <c r="R3314">
        <f>INDEX(Products!$F$2:$F$49,MATCH(J3314,Products!$A$2:$A$49,0))</f>
        <v/>
      </c>
      <c r="S3314">
        <f>WEEKDAY(B3314,2)</f>
        <v/>
      </c>
    </row>
    <row r="3315">
      <c r="A3315" t="n">
        <v>511150</v>
      </c>
      <c r="B3315" s="6" t="n">
        <v>45990</v>
      </c>
      <c r="C3315" t="n">
        <v>17432</v>
      </c>
      <c r="D3315" t="inlineStr">
        <is>
          <t>Hyderabad</t>
        </is>
      </c>
      <c r="E3315" t="inlineStr">
        <is>
          <t>South</t>
        </is>
      </c>
      <c r="F3315" t="inlineStr">
        <is>
          <t>Paid Search</t>
        </is>
      </c>
      <c r="G3315" t="inlineStr">
        <is>
          <t>Mobile App</t>
        </is>
      </c>
      <c r="H3315" t="inlineStr">
        <is>
          <t>Cash on Delivery</t>
        </is>
      </c>
      <c r="I3315" t="inlineStr">
        <is>
          <t>Delivered</t>
        </is>
      </c>
      <c r="J3315" t="n">
        <v>101</v>
      </c>
      <c r="K3315" t="n">
        <v>1</v>
      </c>
      <c r="L3315" t="n">
        <v>2099</v>
      </c>
      <c r="M3315" t="n">
        <v>314.85</v>
      </c>
      <c r="N3315">
        <f>VLOOKUP(J3315,Products!$A$2:$C$49,3,FALSE)</f>
        <v/>
      </c>
      <c r="O3315">
        <f>K3315*L3315-M3315</f>
        <v/>
      </c>
      <c r="P3315">
        <f>TEXT(B3315,"yyyy-mm")</f>
        <v/>
      </c>
      <c r="Q3315">
        <f>IF(O3315&gt;=3000,"Large","Small")</f>
        <v/>
      </c>
      <c r="R3315">
        <f>INDEX(Products!$F$2:$F$49,MATCH(J3315,Products!$A$2:$A$49,0))</f>
        <v/>
      </c>
      <c r="S3315">
        <f>WEEKDAY(B3315,2)</f>
        <v/>
      </c>
    </row>
    <row r="3316">
      <c r="A3316" t="n">
        <v>511150</v>
      </c>
      <c r="B3316" s="6" t="n">
        <v>45990</v>
      </c>
      <c r="C3316" t="n">
        <v>17432</v>
      </c>
      <c r="D3316" t="inlineStr">
        <is>
          <t>Hyderabad</t>
        </is>
      </c>
      <c r="E3316" t="inlineStr">
        <is>
          <t>South</t>
        </is>
      </c>
      <c r="F3316" t="inlineStr">
        <is>
          <t>Paid Search</t>
        </is>
      </c>
      <c r="G3316" t="inlineStr">
        <is>
          <t>Mobile App</t>
        </is>
      </c>
      <c r="H3316" t="inlineStr">
        <is>
          <t>Cash on Delivery</t>
        </is>
      </c>
      <c r="I3316" t="inlineStr">
        <is>
          <t>Delivered</t>
        </is>
      </c>
      <c r="J3316" t="n">
        <v>121</v>
      </c>
      <c r="K3316" t="n">
        <v>1</v>
      </c>
      <c r="L3316" t="n">
        <v>2939</v>
      </c>
      <c r="M3316" t="n">
        <v>440.85</v>
      </c>
      <c r="N3316">
        <f>VLOOKUP(J3316,Products!$A$2:$C$49,3,FALSE)</f>
        <v/>
      </c>
      <c r="O3316">
        <f>K3316*L3316-M3316</f>
        <v/>
      </c>
      <c r="P3316">
        <f>TEXT(B3316,"yyyy-mm")</f>
        <v/>
      </c>
      <c r="Q3316">
        <f>IF(O3316&gt;=3000,"Large","Small")</f>
        <v/>
      </c>
      <c r="R3316">
        <f>INDEX(Products!$F$2:$F$49,MATCH(J3316,Products!$A$2:$A$49,0))</f>
        <v/>
      </c>
      <c r="S3316">
        <f>WEEKDAY(B3316,2)</f>
        <v/>
      </c>
    </row>
    <row r="3317">
      <c r="A3317" t="n">
        <v>511151</v>
      </c>
      <c r="B3317" s="6" t="n">
        <v>45990</v>
      </c>
      <c r="C3317" t="n">
        <v>17525</v>
      </c>
      <c r="D3317" t="inlineStr">
        <is>
          <t>Hyderabad</t>
        </is>
      </c>
      <c r="E3317" t="inlineStr">
        <is>
          <t>South</t>
        </is>
      </c>
      <c r="F3317" t="inlineStr">
        <is>
          <t>Email</t>
        </is>
      </c>
      <c r="G3317" t="inlineStr">
        <is>
          <t>Mobile App</t>
        </is>
      </c>
      <c r="H3317" t="inlineStr">
        <is>
          <t>Credit Card</t>
        </is>
      </c>
      <c r="I3317" t="inlineStr">
        <is>
          <t>Delivered</t>
        </is>
      </c>
      <c r="J3317" t="n">
        <v>148</v>
      </c>
      <c r="K3317" t="n">
        <v>1</v>
      </c>
      <c r="L3317" t="n">
        <v>734</v>
      </c>
      <c r="M3317" t="n">
        <v>110.1</v>
      </c>
      <c r="N3317">
        <f>VLOOKUP(J3317,Products!$A$2:$C$49,3,FALSE)</f>
        <v/>
      </c>
      <c r="O3317">
        <f>K3317*L3317-M3317</f>
        <v/>
      </c>
      <c r="P3317">
        <f>TEXT(B3317,"yyyy-mm")</f>
        <v/>
      </c>
      <c r="Q3317">
        <f>IF(O3317&gt;=3000,"Large","Small")</f>
        <v/>
      </c>
      <c r="R3317">
        <f>INDEX(Products!$F$2:$F$49,MATCH(J3317,Products!$A$2:$A$49,0))</f>
        <v/>
      </c>
      <c r="S3317">
        <f>WEEKDAY(B3317,2)</f>
        <v/>
      </c>
    </row>
    <row r="3318">
      <c r="A3318" t="n">
        <v>511151</v>
      </c>
      <c r="B3318" s="6" t="n">
        <v>45990</v>
      </c>
      <c r="C3318" t="n">
        <v>17525</v>
      </c>
      <c r="D3318" t="inlineStr">
        <is>
          <t>Hyderabad</t>
        </is>
      </c>
      <c r="E3318" t="inlineStr">
        <is>
          <t>South</t>
        </is>
      </c>
      <c r="F3318" t="inlineStr">
        <is>
          <t>Email</t>
        </is>
      </c>
      <c r="G3318" t="inlineStr">
        <is>
          <t>Mobile App</t>
        </is>
      </c>
      <c r="H3318" t="inlineStr">
        <is>
          <t>Credit Card</t>
        </is>
      </c>
      <c r="I3318" t="inlineStr">
        <is>
          <t>Delivered</t>
        </is>
      </c>
      <c r="J3318" t="n">
        <v>118</v>
      </c>
      <c r="K3318" t="n">
        <v>1</v>
      </c>
      <c r="L3318" t="n">
        <v>944</v>
      </c>
      <c r="M3318" t="n">
        <v>141.6</v>
      </c>
      <c r="N3318">
        <f>VLOOKUP(J3318,Products!$A$2:$C$49,3,FALSE)</f>
        <v/>
      </c>
      <c r="O3318">
        <f>K3318*L3318-M3318</f>
        <v/>
      </c>
      <c r="P3318">
        <f>TEXT(B3318,"yyyy-mm")</f>
        <v/>
      </c>
      <c r="Q3318">
        <f>IF(O3318&gt;=3000,"Large","Small")</f>
        <v/>
      </c>
      <c r="R3318">
        <f>INDEX(Products!$F$2:$F$49,MATCH(J3318,Products!$A$2:$A$49,0))</f>
        <v/>
      </c>
      <c r="S3318">
        <f>WEEKDAY(B3318,2)</f>
        <v/>
      </c>
    </row>
    <row r="3319">
      <c r="A3319" t="n">
        <v>511151</v>
      </c>
      <c r="B3319" s="6" t="n">
        <v>45990</v>
      </c>
      <c r="C3319" t="n">
        <v>17525</v>
      </c>
      <c r="D3319" t="inlineStr">
        <is>
          <t>Hyderabad</t>
        </is>
      </c>
      <c r="E3319" t="inlineStr">
        <is>
          <t>South</t>
        </is>
      </c>
      <c r="F3319" t="inlineStr">
        <is>
          <t>Email</t>
        </is>
      </c>
      <c r="G3319" t="inlineStr">
        <is>
          <t>Mobile App</t>
        </is>
      </c>
      <c r="H3319" t="inlineStr">
        <is>
          <t>Credit Card</t>
        </is>
      </c>
      <c r="I3319" t="inlineStr">
        <is>
          <t>Delivered</t>
        </is>
      </c>
      <c r="J3319" t="n">
        <v>116</v>
      </c>
      <c r="K3319" t="n">
        <v>1</v>
      </c>
      <c r="L3319" t="n">
        <v>2624</v>
      </c>
      <c r="M3319" t="n">
        <v>393.6</v>
      </c>
      <c r="N3319">
        <f>VLOOKUP(J3319,Products!$A$2:$C$49,3,FALSE)</f>
        <v/>
      </c>
      <c r="O3319">
        <f>K3319*L3319-M3319</f>
        <v/>
      </c>
      <c r="P3319">
        <f>TEXT(B3319,"yyyy-mm")</f>
        <v/>
      </c>
      <c r="Q3319">
        <f>IF(O3319&gt;=3000,"Large","Small")</f>
        <v/>
      </c>
      <c r="R3319">
        <f>INDEX(Products!$F$2:$F$49,MATCH(J3319,Products!$A$2:$A$49,0))</f>
        <v/>
      </c>
      <c r="S3319">
        <f>WEEKDAY(B3319,2)</f>
        <v/>
      </c>
    </row>
    <row r="3320">
      <c r="A3320" t="n">
        <v>511151</v>
      </c>
      <c r="B3320" s="6" t="n">
        <v>45990</v>
      </c>
      <c r="C3320" t="n">
        <v>17525</v>
      </c>
      <c r="D3320" t="inlineStr">
        <is>
          <t>Hyderabad</t>
        </is>
      </c>
      <c r="E3320" t="inlineStr">
        <is>
          <t>South</t>
        </is>
      </c>
      <c r="F3320" t="inlineStr">
        <is>
          <t>Email</t>
        </is>
      </c>
      <c r="G3320" t="inlineStr">
        <is>
          <t>Mobile App</t>
        </is>
      </c>
      <c r="H3320" t="inlineStr">
        <is>
          <t>Credit Card</t>
        </is>
      </c>
      <c r="I3320" t="inlineStr">
        <is>
          <t>Delivered</t>
        </is>
      </c>
      <c r="J3320" t="n">
        <v>140</v>
      </c>
      <c r="K3320" t="n">
        <v>1</v>
      </c>
      <c r="L3320" t="n">
        <v>629</v>
      </c>
      <c r="M3320" t="n">
        <v>94.34999999999999</v>
      </c>
      <c r="N3320">
        <f>VLOOKUP(J3320,Products!$A$2:$C$49,3,FALSE)</f>
        <v/>
      </c>
      <c r="O3320">
        <f>K3320*L3320-M3320</f>
        <v/>
      </c>
      <c r="P3320">
        <f>TEXT(B3320,"yyyy-mm")</f>
        <v/>
      </c>
      <c r="Q3320">
        <f>IF(O3320&gt;=3000,"Large","Small")</f>
        <v/>
      </c>
      <c r="R3320">
        <f>INDEX(Products!$F$2:$F$49,MATCH(J3320,Products!$A$2:$A$49,0))</f>
        <v/>
      </c>
      <c r="S3320">
        <f>WEEKDAY(B3320,2)</f>
        <v/>
      </c>
    </row>
    <row r="3321">
      <c r="A3321" t="n">
        <v>511152</v>
      </c>
      <c r="B3321" s="6" t="n">
        <v>45990</v>
      </c>
      <c r="C3321" t="n">
        <v>17006</v>
      </c>
      <c r="D3321" t="inlineStr">
        <is>
          <t>Mumbai</t>
        </is>
      </c>
      <c r="E3321" t="inlineStr">
        <is>
          <t>West</t>
        </is>
      </c>
      <c r="F3321" t="inlineStr">
        <is>
          <t>Paid Search</t>
        </is>
      </c>
      <c r="G3321" t="inlineStr">
        <is>
          <t>Desktop</t>
        </is>
      </c>
      <c r="H3321" t="inlineStr">
        <is>
          <t>Debit Card</t>
        </is>
      </c>
      <c r="I3321" t="inlineStr">
        <is>
          <t>Delivered</t>
        </is>
      </c>
      <c r="J3321" t="n">
        <v>110</v>
      </c>
      <c r="K3321" t="n">
        <v>1</v>
      </c>
      <c r="L3321" t="n">
        <v>839</v>
      </c>
      <c r="M3321" t="n">
        <v>0</v>
      </c>
      <c r="N3321">
        <f>VLOOKUP(J3321,Products!$A$2:$C$49,3,FALSE)</f>
        <v/>
      </c>
      <c r="O3321">
        <f>K3321*L3321-M3321</f>
        <v/>
      </c>
      <c r="P3321">
        <f>TEXT(B3321,"yyyy-mm")</f>
        <v/>
      </c>
      <c r="Q3321">
        <f>IF(O3321&gt;=3000,"Large","Small")</f>
        <v/>
      </c>
      <c r="R3321">
        <f>INDEX(Products!$F$2:$F$49,MATCH(J3321,Products!$A$2:$A$49,0))</f>
        <v/>
      </c>
      <c r="S3321">
        <f>WEEKDAY(B3321,2)</f>
        <v/>
      </c>
    </row>
    <row r="3322">
      <c r="A3322" t="n">
        <v>511153</v>
      </c>
      <c r="B3322" s="6" t="n">
        <v>45990</v>
      </c>
      <c r="C3322" t="n">
        <v>13727</v>
      </c>
      <c r="D3322" t="inlineStr">
        <is>
          <t>Bengaluru</t>
        </is>
      </c>
      <c r="E3322" t="inlineStr">
        <is>
          <t>South</t>
        </is>
      </c>
      <c r="F3322" t="inlineStr">
        <is>
          <t>Email</t>
        </is>
      </c>
      <c r="G3322" t="inlineStr">
        <is>
          <t>Mobile Web</t>
        </is>
      </c>
      <c r="H3322" t="inlineStr">
        <is>
          <t>Credit Card</t>
        </is>
      </c>
      <c r="I3322" t="inlineStr">
        <is>
          <t>Returned</t>
        </is>
      </c>
      <c r="J3322" t="n">
        <v>107</v>
      </c>
      <c r="K3322" t="n">
        <v>2</v>
      </c>
      <c r="L3322" t="n">
        <v>1259</v>
      </c>
      <c r="M3322" t="n">
        <v>0</v>
      </c>
      <c r="N3322">
        <f>VLOOKUP(J3322,Products!$A$2:$C$49,3,FALSE)</f>
        <v/>
      </c>
      <c r="O3322">
        <f>K3322*L3322-M3322</f>
        <v/>
      </c>
      <c r="P3322">
        <f>TEXT(B3322,"yyyy-mm")</f>
        <v/>
      </c>
      <c r="Q3322">
        <f>IF(O3322&gt;=3000,"Large","Small")</f>
        <v/>
      </c>
      <c r="R3322">
        <f>INDEX(Products!$F$2:$F$49,MATCH(J3322,Products!$A$2:$A$49,0))</f>
        <v/>
      </c>
      <c r="S3322">
        <f>WEEKDAY(B3322,2)</f>
        <v/>
      </c>
    </row>
    <row r="3323">
      <c r="A3323" t="n">
        <v>511154</v>
      </c>
      <c r="B3323" s="6" t="n">
        <v>45990</v>
      </c>
      <c r="C3323" t="n">
        <v>15233</v>
      </c>
      <c r="D3323" t="inlineStr">
        <is>
          <t>Mumbai</t>
        </is>
      </c>
      <c r="E3323" t="inlineStr">
        <is>
          <t>West</t>
        </is>
      </c>
      <c r="F3323" t="inlineStr">
        <is>
          <t>Paid Search</t>
        </is>
      </c>
      <c r="G3323" t="inlineStr">
        <is>
          <t>Desktop</t>
        </is>
      </c>
      <c r="H3323" t="inlineStr">
        <is>
          <t>Credit Card</t>
        </is>
      </c>
      <c r="I3323" t="inlineStr">
        <is>
          <t>Delivered</t>
        </is>
      </c>
      <c r="J3323" t="n">
        <v>138</v>
      </c>
      <c r="K3323" t="n">
        <v>2</v>
      </c>
      <c r="L3323" t="n">
        <v>419</v>
      </c>
      <c r="M3323" t="n">
        <v>0</v>
      </c>
      <c r="N3323">
        <f>VLOOKUP(J3323,Products!$A$2:$C$49,3,FALSE)</f>
        <v/>
      </c>
      <c r="O3323">
        <f>K3323*L3323-M3323</f>
        <v/>
      </c>
      <c r="P3323">
        <f>TEXT(B3323,"yyyy-mm")</f>
        <v/>
      </c>
      <c r="Q3323">
        <f>IF(O3323&gt;=3000,"Large","Small")</f>
        <v/>
      </c>
      <c r="R3323">
        <f>INDEX(Products!$F$2:$F$49,MATCH(J3323,Products!$A$2:$A$49,0))</f>
        <v/>
      </c>
      <c r="S3323">
        <f>WEEKDAY(B3323,2)</f>
        <v/>
      </c>
    </row>
    <row r="3324">
      <c r="A3324" t="n">
        <v>511155</v>
      </c>
      <c r="B3324" s="6" t="n">
        <v>45990</v>
      </c>
      <c r="C3324" t="n">
        <v>17554</v>
      </c>
      <c r="D3324" t="inlineStr">
        <is>
          <t>Bengaluru</t>
        </is>
      </c>
      <c r="E3324" t="inlineStr">
        <is>
          <t>South</t>
        </is>
      </c>
      <c r="F3324" t="inlineStr">
        <is>
          <t>Paid Social</t>
        </is>
      </c>
      <c r="G3324" t="inlineStr">
        <is>
          <t>Desktop</t>
        </is>
      </c>
      <c r="H3324" t="inlineStr">
        <is>
          <t>UPI</t>
        </is>
      </c>
      <c r="I3324" t="inlineStr">
        <is>
          <t>Delivered</t>
        </is>
      </c>
      <c r="J3324" t="n">
        <v>131</v>
      </c>
      <c r="K3324" t="n">
        <v>3</v>
      </c>
      <c r="L3324" t="n">
        <v>314</v>
      </c>
      <c r="M3324" t="n">
        <v>141.3</v>
      </c>
      <c r="N3324">
        <f>VLOOKUP(J3324,Products!$A$2:$C$49,3,FALSE)</f>
        <v/>
      </c>
      <c r="O3324">
        <f>K3324*L3324-M3324</f>
        <v/>
      </c>
      <c r="P3324">
        <f>TEXT(B3324,"yyyy-mm")</f>
        <v/>
      </c>
      <c r="Q3324">
        <f>IF(O3324&gt;=3000,"Large","Small")</f>
        <v/>
      </c>
      <c r="R3324">
        <f>INDEX(Products!$F$2:$F$49,MATCH(J3324,Products!$A$2:$A$49,0))</f>
        <v/>
      </c>
      <c r="S3324">
        <f>WEEKDAY(B3324,2)</f>
        <v/>
      </c>
    </row>
    <row r="3325">
      <c r="A3325" t="n">
        <v>511156</v>
      </c>
      <c r="B3325" s="6" t="n">
        <v>45990</v>
      </c>
      <c r="C3325" t="n">
        <v>17478</v>
      </c>
      <c r="D3325" t="inlineStr">
        <is>
          <t>Gurugram</t>
        </is>
      </c>
      <c r="E3325" t="inlineStr">
        <is>
          <t>North</t>
        </is>
      </c>
      <c r="F3325" t="inlineStr">
        <is>
          <t>Paid Social</t>
        </is>
      </c>
      <c r="G3325" t="inlineStr">
        <is>
          <t>Desktop</t>
        </is>
      </c>
      <c r="H3325" t="inlineStr">
        <is>
          <t>Credit Card</t>
        </is>
      </c>
      <c r="I3325" t="inlineStr">
        <is>
          <t>Delivered</t>
        </is>
      </c>
      <c r="J3325" t="n">
        <v>140</v>
      </c>
      <c r="K3325" t="n">
        <v>1</v>
      </c>
      <c r="L3325" t="n">
        <v>629</v>
      </c>
      <c r="M3325" t="n">
        <v>94.34999999999999</v>
      </c>
      <c r="N3325">
        <f>VLOOKUP(J3325,Products!$A$2:$C$49,3,FALSE)</f>
        <v/>
      </c>
      <c r="O3325">
        <f>K3325*L3325-M3325</f>
        <v/>
      </c>
      <c r="P3325">
        <f>TEXT(B3325,"yyyy-mm")</f>
        <v/>
      </c>
      <c r="Q3325">
        <f>IF(O3325&gt;=3000,"Large","Small")</f>
        <v/>
      </c>
      <c r="R3325">
        <f>INDEX(Products!$F$2:$F$49,MATCH(J3325,Products!$A$2:$A$49,0))</f>
        <v/>
      </c>
      <c r="S3325">
        <f>WEEKDAY(B3325,2)</f>
        <v/>
      </c>
    </row>
    <row r="3326">
      <c r="A3326" t="n">
        <v>511156</v>
      </c>
      <c r="B3326" s="6" t="n">
        <v>45990</v>
      </c>
      <c r="C3326" t="n">
        <v>17478</v>
      </c>
      <c r="D3326" t="inlineStr">
        <is>
          <t>Gurugram</t>
        </is>
      </c>
      <c r="E3326" t="inlineStr">
        <is>
          <t>North</t>
        </is>
      </c>
      <c r="F3326" t="inlineStr">
        <is>
          <t>Paid Social</t>
        </is>
      </c>
      <c r="G3326" t="inlineStr">
        <is>
          <t>Desktop</t>
        </is>
      </c>
      <c r="H3326" t="inlineStr">
        <is>
          <t>Credit Card</t>
        </is>
      </c>
      <c r="I3326" t="inlineStr">
        <is>
          <t>Delivered</t>
        </is>
      </c>
      <c r="J3326" t="n">
        <v>115</v>
      </c>
      <c r="K3326" t="n">
        <v>1</v>
      </c>
      <c r="L3326" t="n">
        <v>4199</v>
      </c>
      <c r="M3326" t="n">
        <v>629.85</v>
      </c>
      <c r="N3326">
        <f>VLOOKUP(J3326,Products!$A$2:$C$49,3,FALSE)</f>
        <v/>
      </c>
      <c r="O3326">
        <f>K3326*L3326-M3326</f>
        <v/>
      </c>
      <c r="P3326">
        <f>TEXT(B3326,"yyyy-mm")</f>
        <v/>
      </c>
      <c r="Q3326">
        <f>IF(O3326&gt;=3000,"Large","Small")</f>
        <v/>
      </c>
      <c r="R3326">
        <f>INDEX(Products!$F$2:$F$49,MATCH(J3326,Products!$A$2:$A$49,0))</f>
        <v/>
      </c>
      <c r="S3326">
        <f>WEEKDAY(B3326,2)</f>
        <v/>
      </c>
    </row>
    <row r="3327">
      <c r="A3327" t="n">
        <v>511157</v>
      </c>
      <c r="B3327" s="6" t="n">
        <v>45990</v>
      </c>
      <c r="C3327" t="n">
        <v>14478</v>
      </c>
      <c r="D3327" t="inlineStr">
        <is>
          <t>Kochi</t>
        </is>
      </c>
      <c r="E3327" t="inlineStr">
        <is>
          <t>South</t>
        </is>
      </c>
      <c r="F3327" t="inlineStr">
        <is>
          <t>Referral</t>
        </is>
      </c>
      <c r="G3327" t="inlineStr">
        <is>
          <t>Mobile Web</t>
        </is>
      </c>
      <c r="H3327" t="inlineStr">
        <is>
          <t>Credit Card</t>
        </is>
      </c>
      <c r="I3327" t="inlineStr">
        <is>
          <t>Delivered</t>
        </is>
      </c>
      <c r="J3327" t="n">
        <v>101</v>
      </c>
      <c r="K3327" t="n">
        <v>1</v>
      </c>
      <c r="L3327" t="n">
        <v>2099</v>
      </c>
      <c r="M3327" t="n">
        <v>104.95</v>
      </c>
      <c r="N3327">
        <f>VLOOKUP(J3327,Products!$A$2:$C$49,3,FALSE)</f>
        <v/>
      </c>
      <c r="O3327">
        <f>K3327*L3327-M3327</f>
        <v/>
      </c>
      <c r="P3327">
        <f>TEXT(B3327,"yyyy-mm")</f>
        <v/>
      </c>
      <c r="Q3327">
        <f>IF(O3327&gt;=3000,"Large","Small")</f>
        <v/>
      </c>
      <c r="R3327">
        <f>INDEX(Products!$F$2:$F$49,MATCH(J3327,Products!$A$2:$A$49,0))</f>
        <v/>
      </c>
      <c r="S3327">
        <f>WEEKDAY(B3327,2)</f>
        <v/>
      </c>
    </row>
    <row r="3328">
      <c r="A3328" t="n">
        <v>511158</v>
      </c>
      <c r="B3328" s="6" t="n">
        <v>45990</v>
      </c>
      <c r="C3328" t="n">
        <v>17494</v>
      </c>
      <c r="D3328" t="inlineStr">
        <is>
          <t>Noida</t>
        </is>
      </c>
      <c r="E3328" t="inlineStr">
        <is>
          <t>North</t>
        </is>
      </c>
      <c r="F3328" t="inlineStr">
        <is>
          <t>Referral</t>
        </is>
      </c>
      <c r="G3328" t="inlineStr">
        <is>
          <t>Desktop</t>
        </is>
      </c>
      <c r="H3328" t="inlineStr">
        <is>
          <t>Credit Card</t>
        </is>
      </c>
      <c r="I3328" t="inlineStr">
        <is>
          <t>Delivered</t>
        </is>
      </c>
      <c r="J3328" t="n">
        <v>140</v>
      </c>
      <c r="K3328" t="n">
        <v>1</v>
      </c>
      <c r="L3328" t="n">
        <v>629</v>
      </c>
      <c r="M3328" t="n">
        <v>94.34999999999999</v>
      </c>
      <c r="N3328">
        <f>VLOOKUP(J3328,Products!$A$2:$C$49,3,FALSE)</f>
        <v/>
      </c>
      <c r="O3328">
        <f>K3328*L3328-M3328</f>
        <v/>
      </c>
      <c r="P3328">
        <f>TEXT(B3328,"yyyy-mm")</f>
        <v/>
      </c>
      <c r="Q3328">
        <f>IF(O3328&gt;=3000,"Large","Small")</f>
        <v/>
      </c>
      <c r="R3328">
        <f>INDEX(Products!$F$2:$F$49,MATCH(J3328,Products!$A$2:$A$49,0))</f>
        <v/>
      </c>
      <c r="S3328">
        <f>WEEKDAY(B3328,2)</f>
        <v/>
      </c>
    </row>
    <row r="3329">
      <c r="A3329" t="n">
        <v>511159</v>
      </c>
      <c r="B3329" s="6" t="n">
        <v>45990</v>
      </c>
      <c r="C3329" t="n">
        <v>17500</v>
      </c>
      <c r="D3329" t="inlineStr">
        <is>
          <t>Bengaluru</t>
        </is>
      </c>
      <c r="E3329" t="inlineStr">
        <is>
          <t>South</t>
        </is>
      </c>
      <c r="F3329" t="inlineStr">
        <is>
          <t>Organic Search</t>
        </is>
      </c>
      <c r="G3329" t="inlineStr">
        <is>
          <t>Mobile Web</t>
        </is>
      </c>
      <c r="H3329" t="inlineStr">
        <is>
          <t>UPI</t>
        </is>
      </c>
      <c r="I3329" t="inlineStr">
        <is>
          <t>Delivered</t>
        </is>
      </c>
      <c r="J3329" t="n">
        <v>135</v>
      </c>
      <c r="K3329" t="n">
        <v>1</v>
      </c>
      <c r="L3329" t="n">
        <v>1574</v>
      </c>
      <c r="M3329" t="n">
        <v>0</v>
      </c>
      <c r="N3329">
        <f>VLOOKUP(J3329,Products!$A$2:$C$49,3,FALSE)</f>
        <v/>
      </c>
      <c r="O3329">
        <f>K3329*L3329-M3329</f>
        <v/>
      </c>
      <c r="P3329">
        <f>TEXT(B3329,"yyyy-mm")</f>
        <v/>
      </c>
      <c r="Q3329">
        <f>IF(O3329&gt;=3000,"Large","Small")</f>
        <v/>
      </c>
      <c r="R3329">
        <f>INDEX(Products!$F$2:$F$49,MATCH(J3329,Products!$A$2:$A$49,0))</f>
        <v/>
      </c>
      <c r="S3329">
        <f>WEEKDAY(B3329,2)</f>
        <v/>
      </c>
    </row>
    <row r="3330">
      <c r="A3330" t="n">
        <v>511160</v>
      </c>
      <c r="B3330" s="6" t="n">
        <v>45990</v>
      </c>
      <c r="C3330" t="n">
        <v>17528</v>
      </c>
      <c r="D3330" t="inlineStr">
        <is>
          <t>Hyderabad</t>
        </is>
      </c>
      <c r="E3330" t="inlineStr">
        <is>
          <t>South</t>
        </is>
      </c>
      <c r="F3330" t="inlineStr">
        <is>
          <t>Paid Social</t>
        </is>
      </c>
      <c r="G3330" t="inlineStr">
        <is>
          <t>Mobile Web</t>
        </is>
      </c>
      <c r="H3330" t="inlineStr">
        <is>
          <t>Debit Card</t>
        </is>
      </c>
      <c r="I3330" t="inlineStr">
        <is>
          <t>Delivered</t>
        </is>
      </c>
      <c r="J3330" t="n">
        <v>136</v>
      </c>
      <c r="K3330" t="n">
        <v>1</v>
      </c>
      <c r="L3330" t="n">
        <v>944</v>
      </c>
      <c r="M3330" t="n">
        <v>141.6</v>
      </c>
      <c r="N3330">
        <f>VLOOKUP(J3330,Products!$A$2:$C$49,3,FALSE)</f>
        <v/>
      </c>
      <c r="O3330">
        <f>K3330*L3330-M3330</f>
        <v/>
      </c>
      <c r="P3330">
        <f>TEXT(B3330,"yyyy-mm")</f>
        <v/>
      </c>
      <c r="Q3330">
        <f>IF(O3330&gt;=3000,"Large","Small")</f>
        <v/>
      </c>
      <c r="R3330">
        <f>INDEX(Products!$F$2:$F$49,MATCH(J3330,Products!$A$2:$A$49,0))</f>
        <v/>
      </c>
      <c r="S3330">
        <f>WEEKDAY(B3330,2)</f>
        <v/>
      </c>
    </row>
    <row r="3331">
      <c r="A3331" t="n">
        <v>511161</v>
      </c>
      <c r="B3331" s="6" t="n">
        <v>45990</v>
      </c>
      <c r="C3331" t="n">
        <v>16646</v>
      </c>
      <c r="D3331" t="inlineStr">
        <is>
          <t>Chennai</t>
        </is>
      </c>
      <c r="E3331" t="inlineStr">
        <is>
          <t>South</t>
        </is>
      </c>
      <c r="F3331" t="inlineStr">
        <is>
          <t>Organic Search</t>
        </is>
      </c>
      <c r="G3331" t="inlineStr">
        <is>
          <t>Mobile App</t>
        </is>
      </c>
      <c r="H3331" t="inlineStr">
        <is>
          <t>UPI</t>
        </is>
      </c>
      <c r="I3331" t="inlineStr">
        <is>
          <t>Delivered</t>
        </is>
      </c>
      <c r="J3331" t="n">
        <v>135</v>
      </c>
      <c r="K3331" t="n">
        <v>1</v>
      </c>
      <c r="L3331" t="n">
        <v>1574</v>
      </c>
      <c r="M3331" t="n">
        <v>0</v>
      </c>
      <c r="N3331">
        <f>VLOOKUP(J3331,Products!$A$2:$C$49,3,FALSE)</f>
        <v/>
      </c>
      <c r="O3331">
        <f>K3331*L3331-M3331</f>
        <v/>
      </c>
      <c r="P3331">
        <f>TEXT(B3331,"yyyy-mm")</f>
        <v/>
      </c>
      <c r="Q3331">
        <f>IF(O3331&gt;=3000,"Large","Small")</f>
        <v/>
      </c>
      <c r="R3331">
        <f>INDEX(Products!$F$2:$F$49,MATCH(J3331,Products!$A$2:$A$49,0))</f>
        <v/>
      </c>
      <c r="S3331">
        <f>WEEKDAY(B3331,2)</f>
        <v/>
      </c>
    </row>
    <row r="3332">
      <c r="A3332" t="n">
        <v>511161</v>
      </c>
      <c r="B3332" s="6" t="n">
        <v>45990</v>
      </c>
      <c r="C3332" t="n">
        <v>16646</v>
      </c>
      <c r="D3332" t="inlineStr">
        <is>
          <t>Chennai</t>
        </is>
      </c>
      <c r="E3332" t="inlineStr">
        <is>
          <t>South</t>
        </is>
      </c>
      <c r="F3332" t="inlineStr">
        <is>
          <t>Organic Search</t>
        </is>
      </c>
      <c r="G3332" t="inlineStr">
        <is>
          <t>Mobile App</t>
        </is>
      </c>
      <c r="H3332" t="inlineStr">
        <is>
          <t>UPI</t>
        </is>
      </c>
      <c r="I3332" t="inlineStr">
        <is>
          <t>Delivered</t>
        </is>
      </c>
      <c r="J3332" t="n">
        <v>120</v>
      </c>
      <c r="K3332" t="n">
        <v>1</v>
      </c>
      <c r="L3332" t="n">
        <v>734</v>
      </c>
      <c r="M3332" t="n">
        <v>0</v>
      </c>
      <c r="N3332">
        <f>VLOOKUP(J3332,Products!$A$2:$C$49,3,FALSE)</f>
        <v/>
      </c>
      <c r="O3332">
        <f>K3332*L3332-M3332</f>
        <v/>
      </c>
      <c r="P3332">
        <f>TEXT(B3332,"yyyy-mm")</f>
        <v/>
      </c>
      <c r="Q3332">
        <f>IF(O3332&gt;=3000,"Large","Small")</f>
        <v/>
      </c>
      <c r="R3332">
        <f>INDEX(Products!$F$2:$F$49,MATCH(J3332,Products!$A$2:$A$49,0))</f>
        <v/>
      </c>
      <c r="S3332">
        <f>WEEKDAY(B3332,2)</f>
        <v/>
      </c>
    </row>
    <row r="3333">
      <c r="A3333" t="n">
        <v>511161</v>
      </c>
      <c r="B3333" s="6" t="n">
        <v>45990</v>
      </c>
      <c r="C3333" t="n">
        <v>16646</v>
      </c>
      <c r="D3333" t="inlineStr">
        <is>
          <t>Chennai</t>
        </is>
      </c>
      <c r="E3333" t="inlineStr">
        <is>
          <t>South</t>
        </is>
      </c>
      <c r="F3333" t="inlineStr">
        <is>
          <t>Organic Search</t>
        </is>
      </c>
      <c r="G3333" t="inlineStr">
        <is>
          <t>Mobile App</t>
        </is>
      </c>
      <c r="H3333" t="inlineStr">
        <is>
          <t>UPI</t>
        </is>
      </c>
      <c r="I3333" t="inlineStr">
        <is>
          <t>Delivered</t>
        </is>
      </c>
      <c r="J3333" t="n">
        <v>115</v>
      </c>
      <c r="K3333" t="n">
        <v>1</v>
      </c>
      <c r="L3333" t="n">
        <v>4199</v>
      </c>
      <c r="M3333" t="n">
        <v>0</v>
      </c>
      <c r="N3333">
        <f>VLOOKUP(J3333,Products!$A$2:$C$49,3,FALSE)</f>
        <v/>
      </c>
      <c r="O3333">
        <f>K3333*L3333-M3333</f>
        <v/>
      </c>
      <c r="P3333">
        <f>TEXT(B3333,"yyyy-mm")</f>
        <v/>
      </c>
      <c r="Q3333">
        <f>IF(O3333&gt;=3000,"Large","Small")</f>
        <v/>
      </c>
      <c r="R3333">
        <f>INDEX(Products!$F$2:$F$49,MATCH(J3333,Products!$A$2:$A$49,0))</f>
        <v/>
      </c>
      <c r="S3333">
        <f>WEEKDAY(B3333,2)</f>
        <v/>
      </c>
    </row>
    <row r="3334">
      <c r="A3334" t="n">
        <v>511161</v>
      </c>
      <c r="B3334" s="6" t="n">
        <v>45990</v>
      </c>
      <c r="C3334" t="n">
        <v>16646</v>
      </c>
      <c r="D3334" t="inlineStr">
        <is>
          <t>Chennai</t>
        </is>
      </c>
      <c r="E3334" t="inlineStr">
        <is>
          <t>South</t>
        </is>
      </c>
      <c r="F3334" t="inlineStr">
        <is>
          <t>Organic Search</t>
        </is>
      </c>
      <c r="G3334" t="inlineStr">
        <is>
          <t>Mobile App</t>
        </is>
      </c>
      <c r="H3334" t="inlineStr">
        <is>
          <t>UPI</t>
        </is>
      </c>
      <c r="I3334" t="inlineStr">
        <is>
          <t>Delivered</t>
        </is>
      </c>
      <c r="J3334" t="n">
        <v>139</v>
      </c>
      <c r="K3334" t="n">
        <v>1</v>
      </c>
      <c r="L3334" t="n">
        <v>366</v>
      </c>
      <c r="M3334" t="n">
        <v>0</v>
      </c>
      <c r="N3334">
        <f>VLOOKUP(J3334,Products!$A$2:$C$49,3,FALSE)</f>
        <v/>
      </c>
      <c r="O3334">
        <f>K3334*L3334-M3334</f>
        <v/>
      </c>
      <c r="P3334">
        <f>TEXT(B3334,"yyyy-mm")</f>
        <v/>
      </c>
      <c r="Q3334">
        <f>IF(O3334&gt;=3000,"Large","Small")</f>
        <v/>
      </c>
      <c r="R3334">
        <f>INDEX(Products!$F$2:$F$49,MATCH(J3334,Products!$A$2:$A$49,0))</f>
        <v/>
      </c>
      <c r="S3334">
        <f>WEEKDAY(B3334,2)</f>
        <v/>
      </c>
    </row>
    <row r="3335">
      <c r="A3335" t="n">
        <v>511162</v>
      </c>
      <c r="B3335" s="6" t="n">
        <v>45990</v>
      </c>
      <c r="C3335" t="n">
        <v>16705</v>
      </c>
      <c r="D3335" t="inlineStr">
        <is>
          <t>Indore</t>
        </is>
      </c>
      <c r="E3335" t="inlineStr">
        <is>
          <t>West</t>
        </is>
      </c>
      <c r="F3335" t="inlineStr">
        <is>
          <t>Organic Search</t>
        </is>
      </c>
      <c r="G3335" t="inlineStr">
        <is>
          <t>Mobile App</t>
        </is>
      </c>
      <c r="H3335" t="inlineStr">
        <is>
          <t>Cash on Delivery</t>
        </is>
      </c>
      <c r="I3335" t="inlineStr">
        <is>
          <t>Delivered</t>
        </is>
      </c>
      <c r="J3335" t="n">
        <v>137</v>
      </c>
      <c r="K3335" t="n">
        <v>1</v>
      </c>
      <c r="L3335" t="n">
        <v>261</v>
      </c>
      <c r="M3335" t="n">
        <v>13.05</v>
      </c>
      <c r="N3335">
        <f>VLOOKUP(J3335,Products!$A$2:$C$49,3,FALSE)</f>
        <v/>
      </c>
      <c r="O3335">
        <f>K3335*L3335-M3335</f>
        <v/>
      </c>
      <c r="P3335">
        <f>TEXT(B3335,"yyyy-mm")</f>
        <v/>
      </c>
      <c r="Q3335">
        <f>IF(O3335&gt;=3000,"Large","Small")</f>
        <v/>
      </c>
      <c r="R3335">
        <f>INDEX(Products!$F$2:$F$49,MATCH(J3335,Products!$A$2:$A$49,0))</f>
        <v/>
      </c>
      <c r="S3335">
        <f>WEEKDAY(B3335,2)</f>
        <v/>
      </c>
    </row>
    <row r="3336">
      <c r="A3336" t="n">
        <v>511163</v>
      </c>
      <c r="B3336" s="6" t="n">
        <v>45990</v>
      </c>
      <c r="C3336" t="n">
        <v>17471</v>
      </c>
      <c r="D3336" t="inlineStr">
        <is>
          <t>Indore</t>
        </is>
      </c>
      <c r="E3336" t="inlineStr">
        <is>
          <t>West</t>
        </is>
      </c>
      <c r="F3336" t="inlineStr">
        <is>
          <t>Affiliate</t>
        </is>
      </c>
      <c r="G3336" t="inlineStr">
        <is>
          <t>Mobile App</t>
        </is>
      </c>
      <c r="H3336" t="inlineStr">
        <is>
          <t>Cash on Delivery</t>
        </is>
      </c>
      <c r="I3336" t="inlineStr">
        <is>
          <t>Returned</t>
        </is>
      </c>
      <c r="J3336" t="n">
        <v>104</v>
      </c>
      <c r="K3336" t="n">
        <v>1</v>
      </c>
      <c r="L3336" t="n">
        <v>5249</v>
      </c>
      <c r="M3336" t="n">
        <v>787.35</v>
      </c>
      <c r="N3336">
        <f>VLOOKUP(J3336,Products!$A$2:$C$49,3,FALSE)</f>
        <v/>
      </c>
      <c r="O3336">
        <f>K3336*L3336-M3336</f>
        <v/>
      </c>
      <c r="P3336">
        <f>TEXT(B3336,"yyyy-mm")</f>
        <v/>
      </c>
      <c r="Q3336">
        <f>IF(O3336&gt;=3000,"Large","Small")</f>
        <v/>
      </c>
      <c r="R3336">
        <f>INDEX(Products!$F$2:$F$49,MATCH(J3336,Products!$A$2:$A$49,0))</f>
        <v/>
      </c>
      <c r="S3336">
        <f>WEEKDAY(B3336,2)</f>
        <v/>
      </c>
    </row>
    <row r="3337">
      <c r="A3337" t="n">
        <v>511164</v>
      </c>
      <c r="B3337" s="6" t="n">
        <v>45991</v>
      </c>
      <c r="C3337" t="n">
        <v>17422</v>
      </c>
      <c r="D3337" t="inlineStr">
        <is>
          <t>Kochi</t>
        </is>
      </c>
      <c r="E3337" t="inlineStr">
        <is>
          <t>South</t>
        </is>
      </c>
      <c r="F3337" t="inlineStr">
        <is>
          <t>Affiliate</t>
        </is>
      </c>
      <c r="G3337" t="inlineStr">
        <is>
          <t>Mobile App</t>
        </is>
      </c>
      <c r="H3337" t="inlineStr">
        <is>
          <t>UPI</t>
        </is>
      </c>
      <c r="I3337" t="inlineStr">
        <is>
          <t>Delivered</t>
        </is>
      </c>
      <c r="J3337" t="n">
        <v>118</v>
      </c>
      <c r="K3337" t="n">
        <v>3</v>
      </c>
      <c r="L3337" t="n">
        <v>944</v>
      </c>
      <c r="M3337" t="n">
        <v>0</v>
      </c>
      <c r="N3337">
        <f>VLOOKUP(J3337,Products!$A$2:$C$49,3,FALSE)</f>
        <v/>
      </c>
      <c r="O3337">
        <f>K3337*L3337-M3337</f>
        <v/>
      </c>
      <c r="P3337">
        <f>TEXT(B3337,"yyyy-mm")</f>
        <v/>
      </c>
      <c r="Q3337">
        <f>IF(O3337&gt;=3000,"Large","Small")</f>
        <v/>
      </c>
      <c r="R3337">
        <f>INDEX(Products!$F$2:$F$49,MATCH(J3337,Products!$A$2:$A$49,0))</f>
        <v/>
      </c>
      <c r="S3337">
        <f>WEEKDAY(B3337,2)</f>
        <v/>
      </c>
    </row>
    <row r="3338">
      <c r="A3338" t="n">
        <v>511165</v>
      </c>
      <c r="B3338" s="6" t="n">
        <v>45991</v>
      </c>
      <c r="C3338" t="n">
        <v>17346</v>
      </c>
      <c r="D3338" t="inlineStr">
        <is>
          <t>Jaipur</t>
        </is>
      </c>
      <c r="E3338" t="inlineStr">
        <is>
          <t>North</t>
        </is>
      </c>
      <c r="F3338" t="inlineStr">
        <is>
          <t>Organic Search</t>
        </is>
      </c>
      <c r="G3338" t="inlineStr">
        <is>
          <t>Mobile App</t>
        </is>
      </c>
      <c r="H3338" t="inlineStr">
        <is>
          <t>UPI</t>
        </is>
      </c>
      <c r="I3338" t="inlineStr">
        <is>
          <t>Delivered</t>
        </is>
      </c>
      <c r="J3338" t="n">
        <v>131</v>
      </c>
      <c r="K3338" t="n">
        <v>1</v>
      </c>
      <c r="L3338" t="n">
        <v>314</v>
      </c>
      <c r="M3338" t="n">
        <v>0</v>
      </c>
      <c r="N3338">
        <f>VLOOKUP(J3338,Products!$A$2:$C$49,3,FALSE)</f>
        <v/>
      </c>
      <c r="O3338">
        <f>K3338*L3338-M3338</f>
        <v/>
      </c>
      <c r="P3338">
        <f>TEXT(B3338,"yyyy-mm")</f>
        <v/>
      </c>
      <c r="Q3338">
        <f>IF(O3338&gt;=3000,"Large","Small")</f>
        <v/>
      </c>
      <c r="R3338">
        <f>INDEX(Products!$F$2:$F$49,MATCH(J3338,Products!$A$2:$A$49,0))</f>
        <v/>
      </c>
      <c r="S3338">
        <f>WEEKDAY(B3338,2)</f>
        <v/>
      </c>
    </row>
    <row r="3339">
      <c r="A3339" t="n">
        <v>511166</v>
      </c>
      <c r="B3339" s="6" t="n">
        <v>45991</v>
      </c>
      <c r="C3339" t="n">
        <v>14781</v>
      </c>
      <c r="D3339" t="inlineStr">
        <is>
          <t>Indore</t>
        </is>
      </c>
      <c r="E3339" t="inlineStr">
        <is>
          <t>West</t>
        </is>
      </c>
      <c r="F3339" t="inlineStr">
        <is>
          <t>Referral</t>
        </is>
      </c>
      <c r="G3339" t="inlineStr">
        <is>
          <t>Mobile Web</t>
        </is>
      </c>
      <c r="H3339" t="inlineStr">
        <is>
          <t>Cash on Delivery</t>
        </is>
      </c>
      <c r="I3339" t="inlineStr">
        <is>
          <t>Cancelled</t>
        </is>
      </c>
      <c r="J3339" t="n">
        <v>101</v>
      </c>
      <c r="K3339" t="n">
        <v>1</v>
      </c>
      <c r="L3339" t="n">
        <v>2099</v>
      </c>
      <c r="M3339" t="n">
        <v>0</v>
      </c>
      <c r="N3339">
        <f>VLOOKUP(J3339,Products!$A$2:$C$49,3,FALSE)</f>
        <v/>
      </c>
      <c r="O3339">
        <f>K3339*L3339-M3339</f>
        <v/>
      </c>
      <c r="P3339">
        <f>TEXT(B3339,"yyyy-mm")</f>
        <v/>
      </c>
      <c r="Q3339">
        <f>IF(O3339&gt;=3000,"Large","Small")</f>
        <v/>
      </c>
      <c r="R3339">
        <f>INDEX(Products!$F$2:$F$49,MATCH(J3339,Products!$A$2:$A$49,0))</f>
        <v/>
      </c>
      <c r="S3339">
        <f>WEEKDAY(B3339,2)</f>
        <v/>
      </c>
    </row>
    <row r="3340">
      <c r="A3340" t="n">
        <v>511167</v>
      </c>
      <c r="B3340" s="6" t="n">
        <v>45991</v>
      </c>
      <c r="C3340" t="n">
        <v>17475</v>
      </c>
      <c r="D3340" t="inlineStr">
        <is>
          <t>Hyderabad</t>
        </is>
      </c>
      <c r="E3340" t="inlineStr">
        <is>
          <t>South</t>
        </is>
      </c>
      <c r="F3340" t="inlineStr">
        <is>
          <t>Organic Search</t>
        </is>
      </c>
      <c r="G3340" t="inlineStr">
        <is>
          <t>Mobile App</t>
        </is>
      </c>
      <c r="H3340" t="inlineStr">
        <is>
          <t>Cash on Delivery</t>
        </is>
      </c>
      <c r="I3340" t="inlineStr">
        <is>
          <t>Delivered</t>
        </is>
      </c>
      <c r="J3340" t="n">
        <v>124</v>
      </c>
      <c r="K3340" t="n">
        <v>2</v>
      </c>
      <c r="L3340" t="n">
        <v>1154</v>
      </c>
      <c r="M3340" t="n">
        <v>115.4</v>
      </c>
      <c r="N3340">
        <f>VLOOKUP(J3340,Products!$A$2:$C$49,3,FALSE)</f>
        <v/>
      </c>
      <c r="O3340">
        <f>K3340*L3340-M3340</f>
        <v/>
      </c>
      <c r="P3340">
        <f>TEXT(B3340,"yyyy-mm")</f>
        <v/>
      </c>
      <c r="Q3340">
        <f>IF(O3340&gt;=3000,"Large","Small")</f>
        <v/>
      </c>
      <c r="R3340">
        <f>INDEX(Products!$F$2:$F$49,MATCH(J3340,Products!$A$2:$A$49,0))</f>
        <v/>
      </c>
      <c r="S3340">
        <f>WEEKDAY(B3340,2)</f>
        <v/>
      </c>
    </row>
    <row r="3341">
      <c r="A3341" t="n">
        <v>511167</v>
      </c>
      <c r="B3341" s="6" t="n">
        <v>45991</v>
      </c>
      <c r="C3341" t="n">
        <v>17475</v>
      </c>
      <c r="D3341" t="inlineStr">
        <is>
          <t>Hyderabad</t>
        </is>
      </c>
      <c r="E3341" t="inlineStr">
        <is>
          <t>South</t>
        </is>
      </c>
      <c r="F3341" t="inlineStr">
        <is>
          <t>Organic Search</t>
        </is>
      </c>
      <c r="G3341" t="inlineStr">
        <is>
          <t>Mobile App</t>
        </is>
      </c>
      <c r="H3341" t="inlineStr">
        <is>
          <t>Cash on Delivery</t>
        </is>
      </c>
      <c r="I3341" t="inlineStr">
        <is>
          <t>Delivered</t>
        </is>
      </c>
      <c r="J3341" t="n">
        <v>116</v>
      </c>
      <c r="K3341" t="n">
        <v>3</v>
      </c>
      <c r="L3341" t="n">
        <v>2624</v>
      </c>
      <c r="M3341" t="n">
        <v>393.6</v>
      </c>
      <c r="N3341">
        <f>VLOOKUP(J3341,Products!$A$2:$C$49,3,FALSE)</f>
        <v/>
      </c>
      <c r="O3341">
        <f>K3341*L3341-M3341</f>
        <v/>
      </c>
      <c r="P3341">
        <f>TEXT(B3341,"yyyy-mm")</f>
        <v/>
      </c>
      <c r="Q3341">
        <f>IF(O3341&gt;=3000,"Large","Small")</f>
        <v/>
      </c>
      <c r="R3341">
        <f>INDEX(Products!$F$2:$F$49,MATCH(J3341,Products!$A$2:$A$49,0))</f>
        <v/>
      </c>
      <c r="S3341">
        <f>WEEKDAY(B3341,2)</f>
        <v/>
      </c>
    </row>
    <row r="3342">
      <c r="A3342" t="n">
        <v>511167</v>
      </c>
      <c r="B3342" s="6" t="n">
        <v>45991</v>
      </c>
      <c r="C3342" t="n">
        <v>17475</v>
      </c>
      <c r="D3342" t="inlineStr">
        <is>
          <t>Hyderabad</t>
        </is>
      </c>
      <c r="E3342" t="inlineStr">
        <is>
          <t>South</t>
        </is>
      </c>
      <c r="F3342" t="inlineStr">
        <is>
          <t>Organic Search</t>
        </is>
      </c>
      <c r="G3342" t="inlineStr">
        <is>
          <t>Mobile App</t>
        </is>
      </c>
      <c r="H3342" t="inlineStr">
        <is>
          <t>Cash on Delivery</t>
        </is>
      </c>
      <c r="I3342" t="inlineStr">
        <is>
          <t>Delivered</t>
        </is>
      </c>
      <c r="J3342" t="n">
        <v>112</v>
      </c>
      <c r="K3342" t="n">
        <v>2</v>
      </c>
      <c r="L3342" t="n">
        <v>1574</v>
      </c>
      <c r="M3342" t="n">
        <v>157.4</v>
      </c>
      <c r="N3342">
        <f>VLOOKUP(J3342,Products!$A$2:$C$49,3,FALSE)</f>
        <v/>
      </c>
      <c r="O3342">
        <f>K3342*L3342-M3342</f>
        <v/>
      </c>
      <c r="P3342">
        <f>TEXT(B3342,"yyyy-mm")</f>
        <v/>
      </c>
      <c r="Q3342">
        <f>IF(O3342&gt;=3000,"Large","Small")</f>
        <v/>
      </c>
      <c r="R3342">
        <f>INDEX(Products!$F$2:$F$49,MATCH(J3342,Products!$A$2:$A$49,0))</f>
        <v/>
      </c>
      <c r="S3342">
        <f>WEEKDAY(B3342,2)</f>
        <v/>
      </c>
    </row>
    <row r="3343">
      <c r="A3343" t="n">
        <v>511168</v>
      </c>
      <c r="B3343" s="6" t="n">
        <v>45991</v>
      </c>
      <c r="C3343" t="n">
        <v>17394</v>
      </c>
      <c r="D3343" t="inlineStr">
        <is>
          <t>Noida</t>
        </is>
      </c>
      <c r="E3343" t="inlineStr">
        <is>
          <t>North</t>
        </is>
      </c>
      <c r="F3343" t="inlineStr">
        <is>
          <t>Paid Search</t>
        </is>
      </c>
      <c r="G3343" t="inlineStr">
        <is>
          <t>Mobile App</t>
        </is>
      </c>
      <c r="H3343" t="inlineStr">
        <is>
          <t>Credit Card</t>
        </is>
      </c>
      <c r="I3343" t="inlineStr">
        <is>
          <t>Delivered</t>
        </is>
      </c>
      <c r="J3343" t="n">
        <v>145</v>
      </c>
      <c r="K3343" t="n">
        <v>1</v>
      </c>
      <c r="L3343" t="n">
        <v>629</v>
      </c>
      <c r="M3343" t="n">
        <v>94.34999999999999</v>
      </c>
      <c r="N3343">
        <f>VLOOKUP(J3343,Products!$A$2:$C$49,3,FALSE)</f>
        <v/>
      </c>
      <c r="O3343">
        <f>K3343*L3343-M3343</f>
        <v/>
      </c>
      <c r="P3343">
        <f>TEXT(B3343,"yyyy-mm")</f>
        <v/>
      </c>
      <c r="Q3343">
        <f>IF(O3343&gt;=3000,"Large","Small")</f>
        <v/>
      </c>
      <c r="R3343">
        <f>INDEX(Products!$F$2:$F$49,MATCH(J3343,Products!$A$2:$A$49,0))</f>
        <v/>
      </c>
      <c r="S3343">
        <f>WEEKDAY(B3343,2)</f>
        <v/>
      </c>
    </row>
    <row r="3344">
      <c r="A3344" t="n">
        <v>511169</v>
      </c>
      <c r="B3344" s="6" t="n">
        <v>45991</v>
      </c>
      <c r="C3344" t="n">
        <v>16676</v>
      </c>
      <c r="D3344" t="inlineStr">
        <is>
          <t>Mumbai</t>
        </is>
      </c>
      <c r="E3344" t="inlineStr">
        <is>
          <t>West</t>
        </is>
      </c>
      <c r="F3344" t="inlineStr">
        <is>
          <t>Email</t>
        </is>
      </c>
      <c r="G3344" t="inlineStr">
        <is>
          <t>Mobile App</t>
        </is>
      </c>
      <c r="H3344" t="inlineStr">
        <is>
          <t>Cash on Delivery</t>
        </is>
      </c>
      <c r="I3344" t="inlineStr">
        <is>
          <t>Delivered</t>
        </is>
      </c>
      <c r="J3344" t="n">
        <v>101</v>
      </c>
      <c r="K3344" t="n">
        <v>1</v>
      </c>
      <c r="L3344" t="n">
        <v>2099</v>
      </c>
      <c r="M3344" t="n">
        <v>0</v>
      </c>
      <c r="N3344">
        <f>VLOOKUP(J3344,Products!$A$2:$C$49,3,FALSE)</f>
        <v/>
      </c>
      <c r="O3344">
        <f>K3344*L3344-M3344</f>
        <v/>
      </c>
      <c r="P3344">
        <f>TEXT(B3344,"yyyy-mm")</f>
        <v/>
      </c>
      <c r="Q3344">
        <f>IF(O3344&gt;=3000,"Large","Small")</f>
        <v/>
      </c>
      <c r="R3344">
        <f>INDEX(Products!$F$2:$F$49,MATCH(J3344,Products!$A$2:$A$49,0))</f>
        <v/>
      </c>
      <c r="S3344">
        <f>WEEKDAY(B3344,2)</f>
        <v/>
      </c>
    </row>
    <row r="3345">
      <c r="A3345" t="n">
        <v>511170</v>
      </c>
      <c r="B3345" s="6" t="n">
        <v>45991</v>
      </c>
      <c r="C3345" t="n">
        <v>17548</v>
      </c>
      <c r="D3345" t="inlineStr">
        <is>
          <t>Mumbai</t>
        </is>
      </c>
      <c r="E3345" t="inlineStr">
        <is>
          <t>West</t>
        </is>
      </c>
      <c r="F3345" t="inlineStr">
        <is>
          <t>Organic Search</t>
        </is>
      </c>
      <c r="G3345" t="inlineStr">
        <is>
          <t>Mobile App</t>
        </is>
      </c>
      <c r="H3345" t="inlineStr">
        <is>
          <t>Credit Card</t>
        </is>
      </c>
      <c r="I3345" t="inlineStr">
        <is>
          <t>Cancelled</t>
        </is>
      </c>
      <c r="J3345" t="n">
        <v>106</v>
      </c>
      <c r="K3345" t="n">
        <v>2</v>
      </c>
      <c r="L3345" t="n">
        <v>1574</v>
      </c>
      <c r="M3345" t="n">
        <v>472.2</v>
      </c>
      <c r="N3345">
        <f>VLOOKUP(J3345,Products!$A$2:$C$49,3,FALSE)</f>
        <v/>
      </c>
      <c r="O3345">
        <f>K3345*L3345-M3345</f>
        <v/>
      </c>
      <c r="P3345">
        <f>TEXT(B3345,"yyyy-mm")</f>
        <v/>
      </c>
      <c r="Q3345">
        <f>IF(O3345&gt;=3000,"Large","Small")</f>
        <v/>
      </c>
      <c r="R3345">
        <f>INDEX(Products!$F$2:$F$49,MATCH(J3345,Products!$A$2:$A$49,0))</f>
        <v/>
      </c>
      <c r="S3345">
        <f>WEEKDAY(B3345,2)</f>
        <v/>
      </c>
    </row>
    <row r="3346">
      <c r="A3346" t="n">
        <v>511170</v>
      </c>
      <c r="B3346" s="6" t="n">
        <v>45991</v>
      </c>
      <c r="C3346" t="n">
        <v>17548</v>
      </c>
      <c r="D3346" t="inlineStr">
        <is>
          <t>Mumbai</t>
        </is>
      </c>
      <c r="E3346" t="inlineStr">
        <is>
          <t>West</t>
        </is>
      </c>
      <c r="F3346" t="inlineStr">
        <is>
          <t>Organic Search</t>
        </is>
      </c>
      <c r="G3346" t="inlineStr">
        <is>
          <t>Mobile App</t>
        </is>
      </c>
      <c r="H3346" t="inlineStr">
        <is>
          <t>Credit Card</t>
        </is>
      </c>
      <c r="I3346" t="inlineStr">
        <is>
          <t>Cancelled</t>
        </is>
      </c>
      <c r="J3346" t="n">
        <v>135</v>
      </c>
      <c r="K3346" t="n">
        <v>1</v>
      </c>
      <c r="L3346" t="n">
        <v>1574</v>
      </c>
      <c r="M3346" t="n">
        <v>236.1</v>
      </c>
      <c r="N3346">
        <f>VLOOKUP(J3346,Products!$A$2:$C$49,3,FALSE)</f>
        <v/>
      </c>
      <c r="O3346">
        <f>K3346*L3346-M3346</f>
        <v/>
      </c>
      <c r="P3346">
        <f>TEXT(B3346,"yyyy-mm")</f>
        <v/>
      </c>
      <c r="Q3346">
        <f>IF(O3346&gt;=3000,"Large","Small")</f>
        <v/>
      </c>
      <c r="R3346">
        <f>INDEX(Products!$F$2:$F$49,MATCH(J3346,Products!$A$2:$A$49,0))</f>
        <v/>
      </c>
      <c r="S3346">
        <f>WEEKDAY(B3346,2)</f>
        <v/>
      </c>
    </row>
    <row r="3347">
      <c r="A3347" t="n">
        <v>511171</v>
      </c>
      <c r="B3347" s="6" t="n">
        <v>45991</v>
      </c>
      <c r="C3347" t="n">
        <v>17493</v>
      </c>
      <c r="D3347" t="inlineStr">
        <is>
          <t>Noida</t>
        </is>
      </c>
      <c r="E3347" t="inlineStr">
        <is>
          <t>North</t>
        </is>
      </c>
      <c r="F3347" t="inlineStr">
        <is>
          <t>Paid Search</t>
        </is>
      </c>
      <c r="G3347" t="inlineStr">
        <is>
          <t>Mobile App</t>
        </is>
      </c>
      <c r="H3347" t="inlineStr">
        <is>
          <t>UPI</t>
        </is>
      </c>
      <c r="I3347" t="inlineStr">
        <is>
          <t>Delivered</t>
        </is>
      </c>
      <c r="J3347" t="n">
        <v>132</v>
      </c>
      <c r="K3347" t="n">
        <v>2</v>
      </c>
      <c r="L3347" t="n">
        <v>471</v>
      </c>
      <c r="M3347" t="n">
        <v>0</v>
      </c>
      <c r="N3347">
        <f>VLOOKUP(J3347,Products!$A$2:$C$49,3,FALSE)</f>
        <v/>
      </c>
      <c r="O3347">
        <f>K3347*L3347-M3347</f>
        <v/>
      </c>
      <c r="P3347">
        <f>TEXT(B3347,"yyyy-mm")</f>
        <v/>
      </c>
      <c r="Q3347">
        <f>IF(O3347&gt;=3000,"Large","Small")</f>
        <v/>
      </c>
      <c r="R3347">
        <f>INDEX(Products!$F$2:$F$49,MATCH(J3347,Products!$A$2:$A$49,0))</f>
        <v/>
      </c>
      <c r="S3347">
        <f>WEEKDAY(B3347,2)</f>
        <v/>
      </c>
    </row>
    <row r="3348">
      <c r="A3348" t="n">
        <v>511171</v>
      </c>
      <c r="B3348" s="6" t="n">
        <v>45991</v>
      </c>
      <c r="C3348" t="n">
        <v>17493</v>
      </c>
      <c r="D3348" t="inlineStr">
        <is>
          <t>Noida</t>
        </is>
      </c>
      <c r="E3348" t="inlineStr">
        <is>
          <t>North</t>
        </is>
      </c>
      <c r="F3348" t="inlineStr">
        <is>
          <t>Paid Search</t>
        </is>
      </c>
      <c r="G3348" t="inlineStr">
        <is>
          <t>Mobile App</t>
        </is>
      </c>
      <c r="H3348" t="inlineStr">
        <is>
          <t>UPI</t>
        </is>
      </c>
      <c r="I3348" t="inlineStr">
        <is>
          <t>Delivered</t>
        </is>
      </c>
      <c r="J3348" t="n">
        <v>101</v>
      </c>
      <c r="K3348" t="n">
        <v>1</v>
      </c>
      <c r="L3348" t="n">
        <v>2099</v>
      </c>
      <c r="M3348" t="n">
        <v>0</v>
      </c>
      <c r="N3348">
        <f>VLOOKUP(J3348,Products!$A$2:$C$49,3,FALSE)</f>
        <v/>
      </c>
      <c r="O3348">
        <f>K3348*L3348-M3348</f>
        <v/>
      </c>
      <c r="P3348">
        <f>TEXT(B3348,"yyyy-mm")</f>
        <v/>
      </c>
      <c r="Q3348">
        <f>IF(O3348&gt;=3000,"Large","Small")</f>
        <v/>
      </c>
      <c r="R3348">
        <f>INDEX(Products!$F$2:$F$49,MATCH(J3348,Products!$A$2:$A$49,0))</f>
        <v/>
      </c>
      <c r="S3348">
        <f>WEEKDAY(B3348,2)</f>
        <v/>
      </c>
    </row>
    <row r="3349">
      <c r="A3349" t="n">
        <v>511171</v>
      </c>
      <c r="B3349" s="6" t="n">
        <v>45991</v>
      </c>
      <c r="C3349" t="n">
        <v>17493</v>
      </c>
      <c r="D3349" t="inlineStr">
        <is>
          <t>Noida</t>
        </is>
      </c>
      <c r="E3349" t="inlineStr">
        <is>
          <t>North</t>
        </is>
      </c>
      <c r="F3349" t="inlineStr">
        <is>
          <t>Paid Search</t>
        </is>
      </c>
      <c r="G3349" t="inlineStr">
        <is>
          <t>Mobile App</t>
        </is>
      </c>
      <c r="H3349" t="inlineStr">
        <is>
          <t>UPI</t>
        </is>
      </c>
      <c r="I3349" t="inlineStr">
        <is>
          <t>Delivered</t>
        </is>
      </c>
      <c r="J3349" t="n">
        <v>117</v>
      </c>
      <c r="K3349" t="n">
        <v>1</v>
      </c>
      <c r="L3349" t="n">
        <v>3149</v>
      </c>
      <c r="M3349" t="n">
        <v>0</v>
      </c>
      <c r="N3349">
        <f>VLOOKUP(J3349,Products!$A$2:$C$49,3,FALSE)</f>
        <v/>
      </c>
      <c r="O3349">
        <f>K3349*L3349-M3349</f>
        <v/>
      </c>
      <c r="P3349">
        <f>TEXT(B3349,"yyyy-mm")</f>
        <v/>
      </c>
      <c r="Q3349">
        <f>IF(O3349&gt;=3000,"Large","Small")</f>
        <v/>
      </c>
      <c r="R3349">
        <f>INDEX(Products!$F$2:$F$49,MATCH(J3349,Products!$A$2:$A$49,0))</f>
        <v/>
      </c>
      <c r="S3349">
        <f>WEEKDAY(B3349,2)</f>
        <v/>
      </c>
    </row>
    <row r="3350">
      <c r="A3350" t="n">
        <v>511171</v>
      </c>
      <c r="B3350" s="6" t="n">
        <v>45991</v>
      </c>
      <c r="C3350" t="n">
        <v>17493</v>
      </c>
      <c r="D3350" t="inlineStr">
        <is>
          <t>Noida</t>
        </is>
      </c>
      <c r="E3350" t="inlineStr">
        <is>
          <t>North</t>
        </is>
      </c>
      <c r="F3350" t="inlineStr">
        <is>
          <t>Paid Search</t>
        </is>
      </c>
      <c r="G3350" t="inlineStr">
        <is>
          <t>Mobile App</t>
        </is>
      </c>
      <c r="H3350" t="inlineStr">
        <is>
          <t>UPI</t>
        </is>
      </c>
      <c r="I3350" t="inlineStr">
        <is>
          <t>Delivered</t>
        </is>
      </c>
      <c r="J3350" t="n">
        <v>126</v>
      </c>
      <c r="K3350" t="n">
        <v>2</v>
      </c>
      <c r="L3350" t="n">
        <v>471</v>
      </c>
      <c r="M3350" t="n">
        <v>0</v>
      </c>
      <c r="N3350">
        <f>VLOOKUP(J3350,Products!$A$2:$C$49,3,FALSE)</f>
        <v/>
      </c>
      <c r="O3350">
        <f>K3350*L3350-M3350</f>
        <v/>
      </c>
      <c r="P3350">
        <f>TEXT(B3350,"yyyy-mm")</f>
        <v/>
      </c>
      <c r="Q3350">
        <f>IF(O3350&gt;=3000,"Large","Small")</f>
        <v/>
      </c>
      <c r="R3350">
        <f>INDEX(Products!$F$2:$F$49,MATCH(J3350,Products!$A$2:$A$49,0))</f>
        <v/>
      </c>
      <c r="S3350">
        <f>WEEKDAY(B3350,2)</f>
        <v/>
      </c>
    </row>
    <row r="3351">
      <c r="A3351" t="n">
        <v>511172</v>
      </c>
      <c r="B3351" s="6" t="n">
        <v>45991</v>
      </c>
      <c r="C3351" t="n">
        <v>17540</v>
      </c>
      <c r="D3351" t="inlineStr">
        <is>
          <t>Bengaluru</t>
        </is>
      </c>
      <c r="E3351" t="inlineStr">
        <is>
          <t>South</t>
        </is>
      </c>
      <c r="F3351" t="inlineStr">
        <is>
          <t>Paid Social</t>
        </is>
      </c>
      <c r="G3351" t="inlineStr">
        <is>
          <t>Mobile Web</t>
        </is>
      </c>
      <c r="H3351" t="inlineStr">
        <is>
          <t>Cash on Delivery</t>
        </is>
      </c>
      <c r="I3351" t="inlineStr">
        <is>
          <t>Cancelled</t>
        </is>
      </c>
      <c r="J3351" t="n">
        <v>111</v>
      </c>
      <c r="K3351" t="n">
        <v>1</v>
      </c>
      <c r="L3351" t="n">
        <v>524</v>
      </c>
      <c r="M3351" t="n">
        <v>78.59999999999999</v>
      </c>
      <c r="N3351">
        <f>VLOOKUP(J3351,Products!$A$2:$C$49,3,FALSE)</f>
        <v/>
      </c>
      <c r="O3351">
        <f>K3351*L3351-M3351</f>
        <v/>
      </c>
      <c r="P3351">
        <f>TEXT(B3351,"yyyy-mm")</f>
        <v/>
      </c>
      <c r="Q3351">
        <f>IF(O3351&gt;=3000,"Large","Small")</f>
        <v/>
      </c>
      <c r="R3351">
        <f>INDEX(Products!$F$2:$F$49,MATCH(J3351,Products!$A$2:$A$49,0))</f>
        <v/>
      </c>
      <c r="S3351">
        <f>WEEKDAY(B3351,2)</f>
        <v/>
      </c>
    </row>
    <row r="3352">
      <c r="A3352" t="n">
        <v>511172</v>
      </c>
      <c r="B3352" s="6" t="n">
        <v>45991</v>
      </c>
      <c r="C3352" t="n">
        <v>17540</v>
      </c>
      <c r="D3352" t="inlineStr">
        <is>
          <t>Bengaluru</t>
        </is>
      </c>
      <c r="E3352" t="inlineStr">
        <is>
          <t>South</t>
        </is>
      </c>
      <c r="F3352" t="inlineStr">
        <is>
          <t>Paid Social</t>
        </is>
      </c>
      <c r="G3352" t="inlineStr">
        <is>
          <t>Mobile Web</t>
        </is>
      </c>
      <c r="H3352" t="inlineStr">
        <is>
          <t>Cash on Delivery</t>
        </is>
      </c>
      <c r="I3352" t="inlineStr">
        <is>
          <t>Cancelled</t>
        </is>
      </c>
      <c r="J3352" t="n">
        <v>129</v>
      </c>
      <c r="K3352" t="n">
        <v>1</v>
      </c>
      <c r="L3352" t="n">
        <v>576</v>
      </c>
      <c r="M3352" t="n">
        <v>86.40000000000001</v>
      </c>
      <c r="N3352">
        <f>VLOOKUP(J3352,Products!$A$2:$C$49,3,FALSE)</f>
        <v/>
      </c>
      <c r="O3352">
        <f>K3352*L3352-M3352</f>
        <v/>
      </c>
      <c r="P3352">
        <f>TEXT(B3352,"yyyy-mm")</f>
        <v/>
      </c>
      <c r="Q3352">
        <f>IF(O3352&gt;=3000,"Large","Small")</f>
        <v/>
      </c>
      <c r="R3352">
        <f>INDEX(Products!$F$2:$F$49,MATCH(J3352,Products!$A$2:$A$49,0))</f>
        <v/>
      </c>
      <c r="S3352">
        <f>WEEKDAY(B3352,2)</f>
        <v/>
      </c>
    </row>
    <row r="3353">
      <c r="A3353" t="n">
        <v>511172</v>
      </c>
      <c r="B3353" s="6" t="n">
        <v>45991</v>
      </c>
      <c r="C3353" t="n">
        <v>17540</v>
      </c>
      <c r="D3353" t="inlineStr">
        <is>
          <t>Bengaluru</t>
        </is>
      </c>
      <c r="E3353" t="inlineStr">
        <is>
          <t>South</t>
        </is>
      </c>
      <c r="F3353" t="inlineStr">
        <is>
          <t>Paid Social</t>
        </is>
      </c>
      <c r="G3353" t="inlineStr">
        <is>
          <t>Mobile Web</t>
        </is>
      </c>
      <c r="H3353" t="inlineStr">
        <is>
          <t>Cash on Delivery</t>
        </is>
      </c>
      <c r="I3353" t="inlineStr">
        <is>
          <t>Cancelled</t>
        </is>
      </c>
      <c r="J3353" t="n">
        <v>119</v>
      </c>
      <c r="K3353" t="n">
        <v>1</v>
      </c>
      <c r="L3353" t="n">
        <v>2309</v>
      </c>
      <c r="M3353" t="n">
        <v>346.35</v>
      </c>
      <c r="N3353">
        <f>VLOOKUP(J3353,Products!$A$2:$C$49,3,FALSE)</f>
        <v/>
      </c>
      <c r="O3353">
        <f>K3353*L3353-M3353</f>
        <v/>
      </c>
      <c r="P3353">
        <f>TEXT(B3353,"yyyy-mm")</f>
        <v/>
      </c>
      <c r="Q3353">
        <f>IF(O3353&gt;=3000,"Large","Small")</f>
        <v/>
      </c>
      <c r="R3353">
        <f>INDEX(Products!$F$2:$F$49,MATCH(J3353,Products!$A$2:$A$49,0))</f>
        <v/>
      </c>
      <c r="S3353">
        <f>WEEKDAY(B3353,2)</f>
        <v/>
      </c>
    </row>
    <row r="3354">
      <c r="A3354" t="n">
        <v>511173</v>
      </c>
      <c r="B3354" s="6" t="n">
        <v>45991</v>
      </c>
      <c r="C3354" t="n">
        <v>16690</v>
      </c>
      <c r="D3354" t="inlineStr">
        <is>
          <t>Bengaluru</t>
        </is>
      </c>
      <c r="E3354" t="inlineStr">
        <is>
          <t>South</t>
        </is>
      </c>
      <c r="F3354" t="inlineStr">
        <is>
          <t>Paid Search</t>
        </is>
      </c>
      <c r="G3354" t="inlineStr">
        <is>
          <t>Mobile Web</t>
        </is>
      </c>
      <c r="H3354" t="inlineStr">
        <is>
          <t>Cash on Delivery</t>
        </is>
      </c>
      <c r="I3354" t="inlineStr">
        <is>
          <t>Delivered</t>
        </is>
      </c>
      <c r="J3354" t="n">
        <v>113</v>
      </c>
      <c r="K3354" t="n">
        <v>1</v>
      </c>
      <c r="L3354" t="n">
        <v>1364</v>
      </c>
      <c r="M3354" t="n">
        <v>0</v>
      </c>
      <c r="N3354">
        <f>VLOOKUP(J3354,Products!$A$2:$C$49,3,FALSE)</f>
        <v/>
      </c>
      <c r="O3354">
        <f>K3354*L3354-M3354</f>
        <v/>
      </c>
      <c r="P3354">
        <f>TEXT(B3354,"yyyy-mm")</f>
        <v/>
      </c>
      <c r="Q3354">
        <f>IF(O3354&gt;=3000,"Large","Small")</f>
        <v/>
      </c>
      <c r="R3354">
        <f>INDEX(Products!$F$2:$F$49,MATCH(J3354,Products!$A$2:$A$49,0))</f>
        <v/>
      </c>
      <c r="S3354">
        <f>WEEKDAY(B3354,2)</f>
        <v/>
      </c>
    </row>
    <row r="3355">
      <c r="A3355" t="n">
        <v>511174</v>
      </c>
      <c r="B3355" s="6" t="n">
        <v>45991</v>
      </c>
      <c r="C3355" t="n">
        <v>17567</v>
      </c>
      <c r="D3355" t="inlineStr">
        <is>
          <t>Delhi</t>
        </is>
      </c>
      <c r="E3355" t="inlineStr">
        <is>
          <t>North</t>
        </is>
      </c>
      <c r="F3355" t="inlineStr">
        <is>
          <t>Organic Search</t>
        </is>
      </c>
      <c r="G3355" t="inlineStr">
        <is>
          <t>Mobile App</t>
        </is>
      </c>
      <c r="H3355" t="inlineStr">
        <is>
          <t>UPI</t>
        </is>
      </c>
      <c r="I3355" t="inlineStr">
        <is>
          <t>Delivered</t>
        </is>
      </c>
      <c r="J3355" t="n">
        <v>118</v>
      </c>
      <c r="K3355" t="n">
        <v>1</v>
      </c>
      <c r="L3355" t="n">
        <v>944</v>
      </c>
      <c r="M3355" t="n">
        <v>141.6</v>
      </c>
      <c r="N3355">
        <f>VLOOKUP(J3355,Products!$A$2:$C$49,3,FALSE)</f>
        <v/>
      </c>
      <c r="O3355">
        <f>K3355*L3355-M3355</f>
        <v/>
      </c>
      <c r="P3355">
        <f>TEXT(B3355,"yyyy-mm")</f>
        <v/>
      </c>
      <c r="Q3355">
        <f>IF(O3355&gt;=3000,"Large","Small")</f>
        <v/>
      </c>
      <c r="R3355">
        <f>INDEX(Products!$F$2:$F$49,MATCH(J3355,Products!$A$2:$A$49,0))</f>
        <v/>
      </c>
      <c r="S3355">
        <f>WEEKDAY(B3355,2)</f>
        <v/>
      </c>
    </row>
    <row r="3356">
      <c r="A3356" t="n">
        <v>511174</v>
      </c>
      <c r="B3356" s="6" t="n">
        <v>45991</v>
      </c>
      <c r="C3356" t="n">
        <v>17567</v>
      </c>
      <c r="D3356" t="inlineStr">
        <is>
          <t>Delhi</t>
        </is>
      </c>
      <c r="E3356" t="inlineStr">
        <is>
          <t>North</t>
        </is>
      </c>
      <c r="F3356" t="inlineStr">
        <is>
          <t>Organic Search</t>
        </is>
      </c>
      <c r="G3356" t="inlineStr">
        <is>
          <t>Mobile App</t>
        </is>
      </c>
      <c r="H3356" t="inlineStr">
        <is>
          <t>UPI</t>
        </is>
      </c>
      <c r="I3356" t="inlineStr">
        <is>
          <t>Delivered</t>
        </is>
      </c>
      <c r="J3356" t="n">
        <v>138</v>
      </c>
      <c r="K3356" t="n">
        <v>3</v>
      </c>
      <c r="L3356" t="n">
        <v>419</v>
      </c>
      <c r="M3356" t="n">
        <v>188.55</v>
      </c>
      <c r="N3356">
        <f>VLOOKUP(J3356,Products!$A$2:$C$49,3,FALSE)</f>
        <v/>
      </c>
      <c r="O3356">
        <f>K3356*L3356-M3356</f>
        <v/>
      </c>
      <c r="P3356">
        <f>TEXT(B3356,"yyyy-mm")</f>
        <v/>
      </c>
      <c r="Q3356">
        <f>IF(O3356&gt;=3000,"Large","Small")</f>
        <v/>
      </c>
      <c r="R3356">
        <f>INDEX(Products!$F$2:$F$49,MATCH(J3356,Products!$A$2:$A$49,0))</f>
        <v/>
      </c>
      <c r="S3356">
        <f>WEEKDAY(B3356,2)</f>
        <v/>
      </c>
    </row>
    <row r="3357">
      <c r="A3357" t="n">
        <v>511175</v>
      </c>
      <c r="B3357" s="6" t="n">
        <v>45991</v>
      </c>
      <c r="C3357" t="n">
        <v>16068</v>
      </c>
      <c r="D3357" t="inlineStr">
        <is>
          <t>Delhi</t>
        </is>
      </c>
      <c r="E3357" t="inlineStr">
        <is>
          <t>North</t>
        </is>
      </c>
      <c r="F3357" t="inlineStr">
        <is>
          <t>Paid Search</t>
        </is>
      </c>
      <c r="G3357" t="inlineStr">
        <is>
          <t>Desktop</t>
        </is>
      </c>
      <c r="H3357" t="inlineStr">
        <is>
          <t>Cash on Delivery</t>
        </is>
      </c>
      <c r="I3357" t="inlineStr">
        <is>
          <t>Delivered</t>
        </is>
      </c>
      <c r="J3357" t="n">
        <v>136</v>
      </c>
      <c r="K3357" t="n">
        <v>2</v>
      </c>
      <c r="L3357" t="n">
        <v>944</v>
      </c>
      <c r="M3357" t="n">
        <v>0</v>
      </c>
      <c r="N3357">
        <f>VLOOKUP(J3357,Products!$A$2:$C$49,3,FALSE)</f>
        <v/>
      </c>
      <c r="O3357">
        <f>K3357*L3357-M3357</f>
        <v/>
      </c>
      <c r="P3357">
        <f>TEXT(B3357,"yyyy-mm")</f>
        <v/>
      </c>
      <c r="Q3357">
        <f>IF(O3357&gt;=3000,"Large","Small")</f>
        <v/>
      </c>
      <c r="R3357">
        <f>INDEX(Products!$F$2:$F$49,MATCH(J3357,Products!$A$2:$A$49,0))</f>
        <v/>
      </c>
      <c r="S3357">
        <f>WEEKDAY(B3357,2)</f>
        <v/>
      </c>
    </row>
    <row r="3358">
      <c r="A3358" t="n">
        <v>511175</v>
      </c>
      <c r="B3358" s="6" t="n">
        <v>45991</v>
      </c>
      <c r="C3358" t="n">
        <v>16068</v>
      </c>
      <c r="D3358" t="inlineStr">
        <is>
          <t>Delhi</t>
        </is>
      </c>
      <c r="E3358" t="inlineStr">
        <is>
          <t>North</t>
        </is>
      </c>
      <c r="F3358" t="inlineStr">
        <is>
          <t>Paid Search</t>
        </is>
      </c>
      <c r="G3358" t="inlineStr">
        <is>
          <t>Desktop</t>
        </is>
      </c>
      <c r="H3358" t="inlineStr">
        <is>
          <t>Cash on Delivery</t>
        </is>
      </c>
      <c r="I3358" t="inlineStr">
        <is>
          <t>Delivered</t>
        </is>
      </c>
      <c r="J3358" t="n">
        <v>137</v>
      </c>
      <c r="K3358" t="n">
        <v>1</v>
      </c>
      <c r="L3358" t="n">
        <v>261</v>
      </c>
      <c r="M3358" t="n">
        <v>0</v>
      </c>
      <c r="N3358">
        <f>VLOOKUP(J3358,Products!$A$2:$C$49,3,FALSE)</f>
        <v/>
      </c>
      <c r="O3358">
        <f>K3358*L3358-M3358</f>
        <v/>
      </c>
      <c r="P3358">
        <f>TEXT(B3358,"yyyy-mm")</f>
        <v/>
      </c>
      <c r="Q3358">
        <f>IF(O3358&gt;=3000,"Large","Small")</f>
        <v/>
      </c>
      <c r="R3358">
        <f>INDEX(Products!$F$2:$F$49,MATCH(J3358,Products!$A$2:$A$49,0))</f>
        <v/>
      </c>
      <c r="S3358">
        <f>WEEKDAY(B3358,2)</f>
        <v/>
      </c>
    </row>
    <row r="3359">
      <c r="A3359" t="n">
        <v>511176</v>
      </c>
      <c r="B3359" s="6" t="n">
        <v>45991</v>
      </c>
      <c r="C3359" t="n">
        <v>17395</v>
      </c>
      <c r="D3359" t="inlineStr">
        <is>
          <t>Bengaluru</t>
        </is>
      </c>
      <c r="E3359" t="inlineStr">
        <is>
          <t>South</t>
        </is>
      </c>
      <c r="F3359" t="inlineStr">
        <is>
          <t>Paid Social</t>
        </is>
      </c>
      <c r="G3359" t="inlineStr">
        <is>
          <t>Mobile App</t>
        </is>
      </c>
      <c r="H3359" t="inlineStr">
        <is>
          <t>Net Banking</t>
        </is>
      </c>
      <c r="I3359" t="inlineStr">
        <is>
          <t>Delivered</t>
        </is>
      </c>
      <c r="J3359" t="n">
        <v>145</v>
      </c>
      <c r="K3359" t="n">
        <v>2</v>
      </c>
      <c r="L3359" t="n">
        <v>629</v>
      </c>
      <c r="M3359" t="n">
        <v>0</v>
      </c>
      <c r="N3359">
        <f>VLOOKUP(J3359,Products!$A$2:$C$49,3,FALSE)</f>
        <v/>
      </c>
      <c r="O3359">
        <f>K3359*L3359-M3359</f>
        <v/>
      </c>
      <c r="P3359">
        <f>TEXT(B3359,"yyyy-mm")</f>
        <v/>
      </c>
      <c r="Q3359">
        <f>IF(O3359&gt;=3000,"Large","Small")</f>
        <v/>
      </c>
      <c r="R3359">
        <f>INDEX(Products!$F$2:$F$49,MATCH(J3359,Products!$A$2:$A$49,0))</f>
        <v/>
      </c>
      <c r="S3359">
        <f>WEEKDAY(B3359,2)</f>
        <v/>
      </c>
    </row>
    <row r="3360">
      <c r="A3360" t="n">
        <v>511177</v>
      </c>
      <c r="B3360" s="6" t="n">
        <v>45991</v>
      </c>
      <c r="C3360" t="n">
        <v>17505</v>
      </c>
      <c r="D3360" t="inlineStr">
        <is>
          <t>Delhi</t>
        </is>
      </c>
      <c r="E3360" t="inlineStr">
        <is>
          <t>North</t>
        </is>
      </c>
      <c r="F3360" t="inlineStr">
        <is>
          <t>Paid Social</t>
        </is>
      </c>
      <c r="G3360" t="inlineStr">
        <is>
          <t>Mobile Web</t>
        </is>
      </c>
      <c r="H3360" t="inlineStr">
        <is>
          <t>Debit Card</t>
        </is>
      </c>
      <c r="I3360" t="inlineStr">
        <is>
          <t>Delivered</t>
        </is>
      </c>
      <c r="J3360" t="n">
        <v>103</v>
      </c>
      <c r="K3360" t="n">
        <v>1</v>
      </c>
      <c r="L3360" t="n">
        <v>2624</v>
      </c>
      <c r="M3360" t="n">
        <v>0</v>
      </c>
      <c r="N3360">
        <f>VLOOKUP(J3360,Products!$A$2:$C$49,3,FALSE)</f>
        <v/>
      </c>
      <c r="O3360">
        <f>K3360*L3360-M3360</f>
        <v/>
      </c>
      <c r="P3360">
        <f>TEXT(B3360,"yyyy-mm")</f>
        <v/>
      </c>
      <c r="Q3360">
        <f>IF(O3360&gt;=3000,"Large","Small")</f>
        <v/>
      </c>
      <c r="R3360">
        <f>INDEX(Products!$F$2:$F$49,MATCH(J3360,Products!$A$2:$A$49,0))</f>
        <v/>
      </c>
      <c r="S3360">
        <f>WEEKDAY(B3360,2)</f>
        <v/>
      </c>
    </row>
    <row r="3361">
      <c r="A3361" t="n">
        <v>511177</v>
      </c>
      <c r="B3361" s="6" t="n">
        <v>45991</v>
      </c>
      <c r="C3361" t="n">
        <v>17505</v>
      </c>
      <c r="D3361" t="inlineStr">
        <is>
          <t>Delhi</t>
        </is>
      </c>
      <c r="E3361" t="inlineStr">
        <is>
          <t>North</t>
        </is>
      </c>
      <c r="F3361" t="inlineStr">
        <is>
          <t>Paid Social</t>
        </is>
      </c>
      <c r="G3361" t="inlineStr">
        <is>
          <t>Mobile Web</t>
        </is>
      </c>
      <c r="H3361" t="inlineStr">
        <is>
          <t>Debit Card</t>
        </is>
      </c>
      <c r="I3361" t="inlineStr">
        <is>
          <t>Delivered</t>
        </is>
      </c>
      <c r="J3361" t="n">
        <v>145</v>
      </c>
      <c r="K3361" t="n">
        <v>1</v>
      </c>
      <c r="L3361" t="n">
        <v>629</v>
      </c>
      <c r="M3361" t="n">
        <v>0</v>
      </c>
      <c r="N3361">
        <f>VLOOKUP(J3361,Products!$A$2:$C$49,3,FALSE)</f>
        <v/>
      </c>
      <c r="O3361">
        <f>K3361*L3361-M3361</f>
        <v/>
      </c>
      <c r="P3361">
        <f>TEXT(B3361,"yyyy-mm")</f>
        <v/>
      </c>
      <c r="Q3361">
        <f>IF(O3361&gt;=3000,"Large","Small")</f>
        <v/>
      </c>
      <c r="R3361">
        <f>INDEX(Products!$F$2:$F$49,MATCH(J3361,Products!$A$2:$A$49,0))</f>
        <v/>
      </c>
      <c r="S3361">
        <f>WEEKDAY(B3361,2)</f>
        <v/>
      </c>
    </row>
    <row r="3362">
      <c r="A3362" t="n">
        <v>511178</v>
      </c>
      <c r="B3362" s="6" t="n">
        <v>45991</v>
      </c>
      <c r="C3362" t="n">
        <v>16736</v>
      </c>
      <c r="D3362" t="inlineStr">
        <is>
          <t>Pune</t>
        </is>
      </c>
      <c r="E3362" t="inlineStr">
        <is>
          <t>West</t>
        </is>
      </c>
      <c r="F3362" t="inlineStr">
        <is>
          <t>Email</t>
        </is>
      </c>
      <c r="G3362" t="inlineStr">
        <is>
          <t>Mobile Web</t>
        </is>
      </c>
      <c r="H3362" t="inlineStr">
        <is>
          <t>UPI</t>
        </is>
      </c>
      <c r="I3362" t="inlineStr">
        <is>
          <t>Returned</t>
        </is>
      </c>
      <c r="J3362" t="n">
        <v>126</v>
      </c>
      <c r="K3362" t="n">
        <v>1</v>
      </c>
      <c r="L3362" t="n">
        <v>471</v>
      </c>
      <c r="M3362" t="n">
        <v>0</v>
      </c>
      <c r="N3362">
        <f>VLOOKUP(J3362,Products!$A$2:$C$49,3,FALSE)</f>
        <v/>
      </c>
      <c r="O3362">
        <f>K3362*L3362-M3362</f>
        <v/>
      </c>
      <c r="P3362">
        <f>TEXT(B3362,"yyyy-mm")</f>
        <v/>
      </c>
      <c r="Q3362">
        <f>IF(O3362&gt;=3000,"Large","Small")</f>
        <v/>
      </c>
      <c r="R3362">
        <f>INDEX(Products!$F$2:$F$49,MATCH(J3362,Products!$A$2:$A$49,0))</f>
        <v/>
      </c>
      <c r="S3362">
        <f>WEEKDAY(B3362,2)</f>
        <v/>
      </c>
    </row>
    <row r="3363">
      <c r="A3363" t="n">
        <v>511178</v>
      </c>
      <c r="B3363" s="6" t="n">
        <v>45991</v>
      </c>
      <c r="C3363" t="n">
        <v>16736</v>
      </c>
      <c r="D3363" t="inlineStr">
        <is>
          <t>Pune</t>
        </is>
      </c>
      <c r="E3363" t="inlineStr">
        <is>
          <t>West</t>
        </is>
      </c>
      <c r="F3363" t="inlineStr">
        <is>
          <t>Email</t>
        </is>
      </c>
      <c r="G3363" t="inlineStr">
        <is>
          <t>Mobile Web</t>
        </is>
      </c>
      <c r="H3363" t="inlineStr">
        <is>
          <t>UPI</t>
        </is>
      </c>
      <c r="I3363" t="inlineStr">
        <is>
          <t>Returned</t>
        </is>
      </c>
      <c r="J3363" t="n">
        <v>121</v>
      </c>
      <c r="K3363" t="n">
        <v>2</v>
      </c>
      <c r="L3363" t="n">
        <v>2939</v>
      </c>
      <c r="M3363" t="n">
        <v>0</v>
      </c>
      <c r="N3363">
        <f>VLOOKUP(J3363,Products!$A$2:$C$49,3,FALSE)</f>
        <v/>
      </c>
      <c r="O3363">
        <f>K3363*L3363-M3363</f>
        <v/>
      </c>
      <c r="P3363">
        <f>TEXT(B3363,"yyyy-mm")</f>
        <v/>
      </c>
      <c r="Q3363">
        <f>IF(O3363&gt;=3000,"Large","Small")</f>
        <v/>
      </c>
      <c r="R3363">
        <f>INDEX(Products!$F$2:$F$49,MATCH(J3363,Products!$A$2:$A$49,0))</f>
        <v/>
      </c>
      <c r="S3363">
        <f>WEEKDAY(B3363,2)</f>
        <v/>
      </c>
    </row>
    <row r="3364">
      <c r="A3364" t="n">
        <v>511178</v>
      </c>
      <c r="B3364" s="6" t="n">
        <v>45991</v>
      </c>
      <c r="C3364" t="n">
        <v>16736</v>
      </c>
      <c r="D3364" t="inlineStr">
        <is>
          <t>Pune</t>
        </is>
      </c>
      <c r="E3364" t="inlineStr">
        <is>
          <t>West</t>
        </is>
      </c>
      <c r="F3364" t="inlineStr">
        <is>
          <t>Email</t>
        </is>
      </c>
      <c r="G3364" t="inlineStr">
        <is>
          <t>Mobile Web</t>
        </is>
      </c>
      <c r="H3364" t="inlineStr">
        <is>
          <t>UPI</t>
        </is>
      </c>
      <c r="I3364" t="inlineStr">
        <is>
          <t>Returned</t>
        </is>
      </c>
      <c r="J3364" t="n">
        <v>113</v>
      </c>
      <c r="K3364" t="n">
        <v>1</v>
      </c>
      <c r="L3364" t="n">
        <v>1364</v>
      </c>
      <c r="M3364" t="n">
        <v>0</v>
      </c>
      <c r="N3364">
        <f>VLOOKUP(J3364,Products!$A$2:$C$49,3,FALSE)</f>
        <v/>
      </c>
      <c r="O3364">
        <f>K3364*L3364-M3364</f>
        <v/>
      </c>
      <c r="P3364">
        <f>TEXT(B3364,"yyyy-mm")</f>
        <v/>
      </c>
      <c r="Q3364">
        <f>IF(O3364&gt;=3000,"Large","Small")</f>
        <v/>
      </c>
      <c r="R3364">
        <f>INDEX(Products!$F$2:$F$49,MATCH(J3364,Products!$A$2:$A$49,0))</f>
        <v/>
      </c>
      <c r="S3364">
        <f>WEEKDAY(B3364,2)</f>
        <v/>
      </c>
    </row>
    <row r="3365">
      <c r="A3365" t="n">
        <v>511178</v>
      </c>
      <c r="B3365" s="6" t="n">
        <v>45991</v>
      </c>
      <c r="C3365" t="n">
        <v>16736</v>
      </c>
      <c r="D3365" t="inlineStr">
        <is>
          <t>Pune</t>
        </is>
      </c>
      <c r="E3365" t="inlineStr">
        <is>
          <t>West</t>
        </is>
      </c>
      <c r="F3365" t="inlineStr">
        <is>
          <t>Email</t>
        </is>
      </c>
      <c r="G3365" t="inlineStr">
        <is>
          <t>Mobile Web</t>
        </is>
      </c>
      <c r="H3365" t="inlineStr">
        <is>
          <t>UPI</t>
        </is>
      </c>
      <c r="I3365" t="inlineStr">
        <is>
          <t>Returned</t>
        </is>
      </c>
      <c r="J3365" t="n">
        <v>120</v>
      </c>
      <c r="K3365" t="n">
        <v>1</v>
      </c>
      <c r="L3365" t="n">
        <v>734</v>
      </c>
      <c r="M3365" t="n">
        <v>0</v>
      </c>
      <c r="N3365">
        <f>VLOOKUP(J3365,Products!$A$2:$C$49,3,FALSE)</f>
        <v/>
      </c>
      <c r="O3365">
        <f>K3365*L3365-M3365</f>
        <v/>
      </c>
      <c r="P3365">
        <f>TEXT(B3365,"yyyy-mm")</f>
        <v/>
      </c>
      <c r="Q3365">
        <f>IF(O3365&gt;=3000,"Large","Small")</f>
        <v/>
      </c>
      <c r="R3365">
        <f>INDEX(Products!$F$2:$F$49,MATCH(J3365,Products!$A$2:$A$49,0))</f>
        <v/>
      </c>
      <c r="S3365">
        <f>WEEKDAY(B3365,2)</f>
        <v/>
      </c>
    </row>
    <row r="3366">
      <c r="A3366" t="n">
        <v>511179</v>
      </c>
      <c r="B3366" s="6" t="n">
        <v>45991</v>
      </c>
      <c r="C3366" t="n">
        <v>17536</v>
      </c>
      <c r="D3366" t="inlineStr">
        <is>
          <t>Jaipur</t>
        </is>
      </c>
      <c r="E3366" t="inlineStr">
        <is>
          <t>North</t>
        </is>
      </c>
      <c r="F3366" t="inlineStr">
        <is>
          <t>Affiliate</t>
        </is>
      </c>
      <c r="G3366" t="inlineStr">
        <is>
          <t>Mobile App</t>
        </is>
      </c>
      <c r="H3366" t="inlineStr">
        <is>
          <t>UPI</t>
        </is>
      </c>
      <c r="I3366" t="inlineStr">
        <is>
          <t>Delivered</t>
        </is>
      </c>
      <c r="J3366" t="n">
        <v>146</v>
      </c>
      <c r="K3366" t="n">
        <v>1</v>
      </c>
      <c r="L3366" t="n">
        <v>4724</v>
      </c>
      <c r="M3366" t="n">
        <v>0</v>
      </c>
      <c r="N3366">
        <f>VLOOKUP(J3366,Products!$A$2:$C$49,3,FALSE)</f>
        <v/>
      </c>
      <c r="O3366">
        <f>K3366*L3366-M3366</f>
        <v/>
      </c>
      <c r="P3366">
        <f>TEXT(B3366,"yyyy-mm")</f>
        <v/>
      </c>
      <c r="Q3366">
        <f>IF(O3366&gt;=3000,"Large","Small")</f>
        <v/>
      </c>
      <c r="R3366">
        <f>INDEX(Products!$F$2:$F$49,MATCH(J3366,Products!$A$2:$A$49,0))</f>
        <v/>
      </c>
      <c r="S3366">
        <f>WEEKDAY(B3366,2)</f>
        <v/>
      </c>
    </row>
    <row r="3367">
      <c r="A3367" t="n">
        <v>511180</v>
      </c>
      <c r="B3367" s="6" t="n">
        <v>45991</v>
      </c>
      <c r="C3367" t="n">
        <v>17521</v>
      </c>
      <c r="D3367" t="inlineStr">
        <is>
          <t>Mumbai</t>
        </is>
      </c>
      <c r="E3367" t="inlineStr">
        <is>
          <t>West</t>
        </is>
      </c>
      <c r="F3367" t="inlineStr">
        <is>
          <t>Organic Search</t>
        </is>
      </c>
      <c r="G3367" t="inlineStr">
        <is>
          <t>Desktop</t>
        </is>
      </c>
      <c r="H3367" t="inlineStr">
        <is>
          <t>Credit Card</t>
        </is>
      </c>
      <c r="I3367" t="inlineStr">
        <is>
          <t>Delivered</t>
        </is>
      </c>
      <c r="J3367" t="n">
        <v>107</v>
      </c>
      <c r="K3367" t="n">
        <v>2</v>
      </c>
      <c r="L3367" t="n">
        <v>1259</v>
      </c>
      <c r="M3367" t="n">
        <v>0</v>
      </c>
      <c r="N3367">
        <f>VLOOKUP(J3367,Products!$A$2:$C$49,3,FALSE)</f>
        <v/>
      </c>
      <c r="O3367">
        <f>K3367*L3367-M3367</f>
        <v/>
      </c>
      <c r="P3367">
        <f>TEXT(B3367,"yyyy-mm")</f>
        <v/>
      </c>
      <c r="Q3367">
        <f>IF(O3367&gt;=3000,"Large","Small")</f>
        <v/>
      </c>
      <c r="R3367">
        <f>INDEX(Products!$F$2:$F$49,MATCH(J3367,Products!$A$2:$A$49,0))</f>
        <v/>
      </c>
      <c r="S3367">
        <f>WEEKDAY(B3367,2)</f>
        <v/>
      </c>
    </row>
    <row r="3368">
      <c r="A3368" t="n">
        <v>511180</v>
      </c>
      <c r="B3368" s="6" t="n">
        <v>45991</v>
      </c>
      <c r="C3368" t="n">
        <v>17521</v>
      </c>
      <c r="D3368" t="inlineStr">
        <is>
          <t>Mumbai</t>
        </is>
      </c>
      <c r="E3368" t="inlineStr">
        <is>
          <t>West</t>
        </is>
      </c>
      <c r="F3368" t="inlineStr">
        <is>
          <t>Organic Search</t>
        </is>
      </c>
      <c r="G3368" t="inlineStr">
        <is>
          <t>Desktop</t>
        </is>
      </c>
      <c r="H3368" t="inlineStr">
        <is>
          <t>Credit Card</t>
        </is>
      </c>
      <c r="I3368" t="inlineStr">
        <is>
          <t>Delivered</t>
        </is>
      </c>
      <c r="J3368" t="n">
        <v>117</v>
      </c>
      <c r="K3368" t="n">
        <v>2</v>
      </c>
      <c r="L3368" t="n">
        <v>3149</v>
      </c>
      <c r="M3368" t="n">
        <v>0</v>
      </c>
      <c r="N3368">
        <f>VLOOKUP(J3368,Products!$A$2:$C$49,3,FALSE)</f>
        <v/>
      </c>
      <c r="O3368">
        <f>K3368*L3368-M3368</f>
        <v/>
      </c>
      <c r="P3368">
        <f>TEXT(B3368,"yyyy-mm")</f>
        <v/>
      </c>
      <c r="Q3368">
        <f>IF(O3368&gt;=3000,"Large","Small")</f>
        <v/>
      </c>
      <c r="R3368">
        <f>INDEX(Products!$F$2:$F$49,MATCH(J3368,Products!$A$2:$A$49,0))</f>
        <v/>
      </c>
      <c r="S3368">
        <f>WEEKDAY(B3368,2)</f>
        <v/>
      </c>
    </row>
    <row r="3369">
      <c r="A3369" t="n">
        <v>511181</v>
      </c>
      <c r="B3369" s="6" t="n">
        <v>45991</v>
      </c>
      <c r="C3369" t="n">
        <v>17543</v>
      </c>
      <c r="D3369" t="inlineStr">
        <is>
          <t>Chennai</t>
        </is>
      </c>
      <c r="E3369" t="inlineStr">
        <is>
          <t>South</t>
        </is>
      </c>
      <c r="F3369" t="inlineStr">
        <is>
          <t>Referral</t>
        </is>
      </c>
      <c r="G3369" t="inlineStr">
        <is>
          <t>Mobile App</t>
        </is>
      </c>
      <c r="H3369" t="inlineStr">
        <is>
          <t>Credit Card</t>
        </is>
      </c>
      <c r="I3369" t="inlineStr">
        <is>
          <t>Delivered</t>
        </is>
      </c>
      <c r="J3369" t="n">
        <v>111</v>
      </c>
      <c r="K3369" t="n">
        <v>1</v>
      </c>
      <c r="L3369" t="n">
        <v>524</v>
      </c>
      <c r="M3369" t="n">
        <v>0</v>
      </c>
      <c r="N3369">
        <f>VLOOKUP(J3369,Products!$A$2:$C$49,3,FALSE)</f>
        <v/>
      </c>
      <c r="O3369">
        <f>K3369*L3369-M3369</f>
        <v/>
      </c>
      <c r="P3369">
        <f>TEXT(B3369,"yyyy-mm")</f>
        <v/>
      </c>
      <c r="Q3369">
        <f>IF(O3369&gt;=3000,"Large","Small")</f>
        <v/>
      </c>
      <c r="R3369">
        <f>INDEX(Products!$F$2:$F$49,MATCH(J3369,Products!$A$2:$A$49,0))</f>
        <v/>
      </c>
      <c r="S3369">
        <f>WEEKDAY(B3369,2)</f>
        <v/>
      </c>
    </row>
    <row r="3370">
      <c r="A3370" t="n">
        <v>511182</v>
      </c>
      <c r="B3370" s="6" t="n">
        <v>45991</v>
      </c>
      <c r="C3370" t="n">
        <v>17516</v>
      </c>
      <c r="D3370" t="inlineStr">
        <is>
          <t>Bengaluru</t>
        </is>
      </c>
      <c r="E3370" t="inlineStr">
        <is>
          <t>South</t>
        </is>
      </c>
      <c r="F3370" t="inlineStr">
        <is>
          <t>Affiliate</t>
        </is>
      </c>
      <c r="G3370" t="inlineStr">
        <is>
          <t>Mobile Web</t>
        </is>
      </c>
      <c r="H3370" t="inlineStr">
        <is>
          <t>Credit Card</t>
        </is>
      </c>
      <c r="I3370" t="inlineStr">
        <is>
          <t>Delivered</t>
        </is>
      </c>
      <c r="J3370" t="n">
        <v>101</v>
      </c>
      <c r="K3370" t="n">
        <v>2</v>
      </c>
      <c r="L3370" t="n">
        <v>2099</v>
      </c>
      <c r="M3370" t="n">
        <v>629.7</v>
      </c>
      <c r="N3370">
        <f>VLOOKUP(J3370,Products!$A$2:$C$49,3,FALSE)</f>
        <v/>
      </c>
      <c r="O3370">
        <f>K3370*L3370-M3370</f>
        <v/>
      </c>
      <c r="P3370">
        <f>TEXT(B3370,"yyyy-mm")</f>
        <v/>
      </c>
      <c r="Q3370">
        <f>IF(O3370&gt;=3000,"Large","Small")</f>
        <v/>
      </c>
      <c r="R3370">
        <f>INDEX(Products!$F$2:$F$49,MATCH(J3370,Products!$A$2:$A$49,0))</f>
        <v/>
      </c>
      <c r="S3370">
        <f>WEEKDAY(B3370,2)</f>
        <v/>
      </c>
    </row>
    <row r="3371">
      <c r="A3371" t="n">
        <v>511183</v>
      </c>
      <c r="B3371" s="6" t="n">
        <v>45991</v>
      </c>
      <c r="C3371" t="n">
        <v>14864</v>
      </c>
      <c r="D3371" t="inlineStr">
        <is>
          <t>Kolkata</t>
        </is>
      </c>
      <c r="E3371" t="inlineStr">
        <is>
          <t>East</t>
        </is>
      </c>
      <c r="F3371" t="inlineStr">
        <is>
          <t>Affiliate</t>
        </is>
      </c>
      <c r="G3371" t="inlineStr">
        <is>
          <t>Mobile App</t>
        </is>
      </c>
      <c r="H3371" t="inlineStr">
        <is>
          <t>UPI</t>
        </is>
      </c>
      <c r="I3371" t="inlineStr">
        <is>
          <t>Returned</t>
        </is>
      </c>
      <c r="J3371" t="n">
        <v>115</v>
      </c>
      <c r="K3371" t="n">
        <v>2</v>
      </c>
      <c r="L3371" t="n">
        <v>4199</v>
      </c>
      <c r="M3371" t="n">
        <v>0</v>
      </c>
      <c r="N3371">
        <f>VLOOKUP(J3371,Products!$A$2:$C$49,3,FALSE)</f>
        <v/>
      </c>
      <c r="O3371">
        <f>K3371*L3371-M3371</f>
        <v/>
      </c>
      <c r="P3371">
        <f>TEXT(B3371,"yyyy-mm")</f>
        <v/>
      </c>
      <c r="Q3371">
        <f>IF(O3371&gt;=3000,"Large","Small")</f>
        <v/>
      </c>
      <c r="R3371">
        <f>INDEX(Products!$F$2:$F$49,MATCH(J3371,Products!$A$2:$A$49,0))</f>
        <v/>
      </c>
      <c r="S3371">
        <f>WEEKDAY(B3371,2)</f>
        <v/>
      </c>
    </row>
    <row r="3372">
      <c r="A3372" t="n">
        <v>511184</v>
      </c>
      <c r="B3372" s="6" t="n">
        <v>45991</v>
      </c>
      <c r="C3372" t="n">
        <v>16434</v>
      </c>
      <c r="D3372" t="inlineStr">
        <is>
          <t>Pune</t>
        </is>
      </c>
      <c r="E3372" t="inlineStr">
        <is>
          <t>West</t>
        </is>
      </c>
      <c r="F3372" t="inlineStr">
        <is>
          <t>Referral</t>
        </is>
      </c>
      <c r="G3372" t="inlineStr">
        <is>
          <t>Mobile App</t>
        </is>
      </c>
      <c r="H3372" t="inlineStr">
        <is>
          <t>UPI</t>
        </is>
      </c>
      <c r="I3372" t="inlineStr">
        <is>
          <t>Returned</t>
        </is>
      </c>
      <c r="J3372" t="n">
        <v>148</v>
      </c>
      <c r="K3372" t="n">
        <v>1</v>
      </c>
      <c r="L3372" t="n">
        <v>734</v>
      </c>
      <c r="M3372" t="n">
        <v>0</v>
      </c>
      <c r="N3372">
        <f>VLOOKUP(J3372,Products!$A$2:$C$49,3,FALSE)</f>
        <v/>
      </c>
      <c r="O3372">
        <f>K3372*L3372-M3372</f>
        <v/>
      </c>
      <c r="P3372">
        <f>TEXT(B3372,"yyyy-mm")</f>
        <v/>
      </c>
      <c r="Q3372">
        <f>IF(O3372&gt;=3000,"Large","Small")</f>
        <v/>
      </c>
      <c r="R3372">
        <f>INDEX(Products!$F$2:$F$49,MATCH(J3372,Products!$A$2:$A$49,0))</f>
        <v/>
      </c>
      <c r="S3372">
        <f>WEEKDAY(B3372,2)</f>
        <v/>
      </c>
    </row>
    <row r="3373">
      <c r="A3373" t="n">
        <v>511184</v>
      </c>
      <c r="B3373" s="6" t="n">
        <v>45991</v>
      </c>
      <c r="C3373" t="n">
        <v>16434</v>
      </c>
      <c r="D3373" t="inlineStr">
        <is>
          <t>Pune</t>
        </is>
      </c>
      <c r="E3373" t="inlineStr">
        <is>
          <t>West</t>
        </is>
      </c>
      <c r="F3373" t="inlineStr">
        <is>
          <t>Referral</t>
        </is>
      </c>
      <c r="G3373" t="inlineStr">
        <is>
          <t>Mobile App</t>
        </is>
      </c>
      <c r="H3373" t="inlineStr">
        <is>
          <t>UPI</t>
        </is>
      </c>
      <c r="I3373" t="inlineStr">
        <is>
          <t>Returned</t>
        </is>
      </c>
      <c r="J3373" t="n">
        <v>116</v>
      </c>
      <c r="K3373" t="n">
        <v>1</v>
      </c>
      <c r="L3373" t="n">
        <v>2624</v>
      </c>
      <c r="M3373" t="n">
        <v>0</v>
      </c>
      <c r="N3373">
        <f>VLOOKUP(J3373,Products!$A$2:$C$49,3,FALSE)</f>
        <v/>
      </c>
      <c r="O3373">
        <f>K3373*L3373-M3373</f>
        <v/>
      </c>
      <c r="P3373">
        <f>TEXT(B3373,"yyyy-mm")</f>
        <v/>
      </c>
      <c r="Q3373">
        <f>IF(O3373&gt;=3000,"Large","Small")</f>
        <v/>
      </c>
      <c r="R3373">
        <f>INDEX(Products!$F$2:$F$49,MATCH(J3373,Products!$A$2:$A$49,0))</f>
        <v/>
      </c>
      <c r="S3373">
        <f>WEEKDAY(B3373,2)</f>
        <v/>
      </c>
    </row>
    <row r="3374">
      <c r="A3374" t="n">
        <v>511185</v>
      </c>
      <c r="B3374" s="6" t="n">
        <v>45991</v>
      </c>
      <c r="C3374" t="n">
        <v>16513</v>
      </c>
      <c r="D3374" t="inlineStr">
        <is>
          <t>Chandigarh</t>
        </is>
      </c>
      <c r="E3374" t="inlineStr">
        <is>
          <t>North</t>
        </is>
      </c>
      <c r="F3374" t="inlineStr">
        <is>
          <t>Paid Search</t>
        </is>
      </c>
      <c r="G3374" t="inlineStr">
        <is>
          <t>Desktop</t>
        </is>
      </c>
      <c r="H3374" t="inlineStr">
        <is>
          <t>Cash on Delivery</t>
        </is>
      </c>
      <c r="I3374" t="inlineStr">
        <is>
          <t>Delivered</t>
        </is>
      </c>
      <c r="J3374" t="n">
        <v>107</v>
      </c>
      <c r="K3374" t="n">
        <v>1</v>
      </c>
      <c r="L3374" t="n">
        <v>1259</v>
      </c>
      <c r="M3374" t="n">
        <v>0</v>
      </c>
      <c r="N3374">
        <f>VLOOKUP(J3374,Products!$A$2:$C$49,3,FALSE)</f>
        <v/>
      </c>
      <c r="O3374">
        <f>K3374*L3374-M3374</f>
        <v/>
      </c>
      <c r="P3374">
        <f>TEXT(B3374,"yyyy-mm")</f>
        <v/>
      </c>
      <c r="Q3374">
        <f>IF(O3374&gt;=3000,"Large","Small")</f>
        <v/>
      </c>
      <c r="R3374">
        <f>INDEX(Products!$F$2:$F$49,MATCH(J3374,Products!$A$2:$A$49,0))</f>
        <v/>
      </c>
      <c r="S3374">
        <f>WEEKDAY(B3374,2)</f>
        <v/>
      </c>
    </row>
    <row r="3375">
      <c r="A3375" t="n">
        <v>511185</v>
      </c>
      <c r="B3375" s="6" t="n">
        <v>45991</v>
      </c>
      <c r="C3375" t="n">
        <v>16513</v>
      </c>
      <c r="D3375" t="inlineStr">
        <is>
          <t>Chandigarh</t>
        </is>
      </c>
      <c r="E3375" t="inlineStr">
        <is>
          <t>North</t>
        </is>
      </c>
      <c r="F3375" t="inlineStr">
        <is>
          <t>Paid Search</t>
        </is>
      </c>
      <c r="G3375" t="inlineStr">
        <is>
          <t>Desktop</t>
        </is>
      </c>
      <c r="H3375" t="inlineStr">
        <is>
          <t>Cash on Delivery</t>
        </is>
      </c>
      <c r="I3375" t="inlineStr">
        <is>
          <t>Delivered</t>
        </is>
      </c>
      <c r="J3375" t="n">
        <v>116</v>
      </c>
      <c r="K3375" t="n">
        <v>1</v>
      </c>
      <c r="L3375" t="n">
        <v>2624</v>
      </c>
      <c r="M3375" t="n">
        <v>0</v>
      </c>
      <c r="N3375">
        <f>VLOOKUP(J3375,Products!$A$2:$C$49,3,FALSE)</f>
        <v/>
      </c>
      <c r="O3375">
        <f>K3375*L3375-M3375</f>
        <v/>
      </c>
      <c r="P3375">
        <f>TEXT(B3375,"yyyy-mm")</f>
        <v/>
      </c>
      <c r="Q3375">
        <f>IF(O3375&gt;=3000,"Large","Small")</f>
        <v/>
      </c>
      <c r="R3375">
        <f>INDEX(Products!$F$2:$F$49,MATCH(J3375,Products!$A$2:$A$49,0))</f>
        <v/>
      </c>
      <c r="S3375">
        <f>WEEKDAY(B3375,2)</f>
        <v/>
      </c>
    </row>
    <row r="3376">
      <c r="A3376" t="n">
        <v>511186</v>
      </c>
      <c r="B3376" s="6" t="n">
        <v>45991</v>
      </c>
      <c r="C3376" t="n">
        <v>15629</v>
      </c>
      <c r="D3376" t="inlineStr">
        <is>
          <t>Bengaluru</t>
        </is>
      </c>
      <c r="E3376" t="inlineStr">
        <is>
          <t>South</t>
        </is>
      </c>
      <c r="F3376" t="inlineStr">
        <is>
          <t>Organic Search</t>
        </is>
      </c>
      <c r="G3376" t="inlineStr">
        <is>
          <t>Mobile Web</t>
        </is>
      </c>
      <c r="H3376" t="inlineStr">
        <is>
          <t>UPI</t>
        </is>
      </c>
      <c r="I3376" t="inlineStr">
        <is>
          <t>Delivered</t>
        </is>
      </c>
      <c r="J3376" t="n">
        <v>115</v>
      </c>
      <c r="K3376" t="n">
        <v>2</v>
      </c>
      <c r="L3376" t="n">
        <v>4199</v>
      </c>
      <c r="M3376" t="n">
        <v>0</v>
      </c>
      <c r="N3376">
        <f>VLOOKUP(J3376,Products!$A$2:$C$49,3,FALSE)</f>
        <v/>
      </c>
      <c r="O3376">
        <f>K3376*L3376-M3376</f>
        <v/>
      </c>
      <c r="P3376">
        <f>TEXT(B3376,"yyyy-mm")</f>
        <v/>
      </c>
      <c r="Q3376">
        <f>IF(O3376&gt;=3000,"Large","Small")</f>
        <v/>
      </c>
      <c r="R3376">
        <f>INDEX(Products!$F$2:$F$49,MATCH(J3376,Products!$A$2:$A$49,0))</f>
        <v/>
      </c>
      <c r="S3376">
        <f>WEEKDAY(B3376,2)</f>
        <v/>
      </c>
    </row>
    <row r="3377">
      <c r="A3377" t="n">
        <v>511187</v>
      </c>
      <c r="B3377" s="6" t="n">
        <v>45991</v>
      </c>
      <c r="C3377" t="n">
        <v>16952</v>
      </c>
      <c r="D3377" t="inlineStr">
        <is>
          <t>Pune</t>
        </is>
      </c>
      <c r="E3377" t="inlineStr">
        <is>
          <t>West</t>
        </is>
      </c>
      <c r="F3377" t="inlineStr">
        <is>
          <t>Referral</t>
        </is>
      </c>
      <c r="G3377" t="inlineStr">
        <is>
          <t>Mobile App</t>
        </is>
      </c>
      <c r="H3377" t="inlineStr">
        <is>
          <t>Cash on Delivery</t>
        </is>
      </c>
      <c r="I3377" t="inlineStr">
        <is>
          <t>Delivered</t>
        </is>
      </c>
      <c r="J3377" t="n">
        <v>126</v>
      </c>
      <c r="K3377" t="n">
        <v>1</v>
      </c>
      <c r="L3377" t="n">
        <v>471</v>
      </c>
      <c r="M3377" t="n">
        <v>0</v>
      </c>
      <c r="N3377">
        <f>VLOOKUP(J3377,Products!$A$2:$C$49,3,FALSE)</f>
        <v/>
      </c>
      <c r="O3377">
        <f>K3377*L3377-M3377</f>
        <v/>
      </c>
      <c r="P3377">
        <f>TEXT(B3377,"yyyy-mm")</f>
        <v/>
      </c>
      <c r="Q3377">
        <f>IF(O3377&gt;=3000,"Large","Small")</f>
        <v/>
      </c>
      <c r="R3377">
        <f>INDEX(Products!$F$2:$F$49,MATCH(J3377,Products!$A$2:$A$49,0))</f>
        <v/>
      </c>
      <c r="S3377">
        <f>WEEKDAY(B3377,2)</f>
        <v/>
      </c>
    </row>
    <row r="3378">
      <c r="A3378" t="n">
        <v>511188</v>
      </c>
      <c r="B3378" s="6" t="n">
        <v>45992</v>
      </c>
      <c r="C3378" t="n">
        <v>17546</v>
      </c>
      <c r="D3378" t="inlineStr">
        <is>
          <t>Gurugram</t>
        </is>
      </c>
      <c r="E3378" t="inlineStr">
        <is>
          <t>North</t>
        </is>
      </c>
      <c r="F3378" t="inlineStr">
        <is>
          <t>Paid Search</t>
        </is>
      </c>
      <c r="G3378" t="inlineStr">
        <is>
          <t>Desktop</t>
        </is>
      </c>
      <c r="H3378" t="inlineStr">
        <is>
          <t>UPI</t>
        </is>
      </c>
      <c r="I3378" t="inlineStr">
        <is>
          <t>Delivered</t>
        </is>
      </c>
      <c r="J3378" t="n">
        <v>127</v>
      </c>
      <c r="K3378" t="n">
        <v>1</v>
      </c>
      <c r="L3378" t="n">
        <v>681</v>
      </c>
      <c r="M3378" t="n">
        <v>0</v>
      </c>
      <c r="N3378">
        <f>VLOOKUP(J3378,Products!$A$2:$C$49,3,FALSE)</f>
        <v/>
      </c>
      <c r="O3378">
        <f>K3378*L3378-M3378</f>
        <v/>
      </c>
      <c r="P3378">
        <f>TEXT(B3378,"yyyy-mm")</f>
        <v/>
      </c>
      <c r="Q3378">
        <f>IF(O3378&gt;=3000,"Large","Small")</f>
        <v/>
      </c>
      <c r="R3378">
        <f>INDEX(Products!$F$2:$F$49,MATCH(J3378,Products!$A$2:$A$49,0))</f>
        <v/>
      </c>
      <c r="S3378">
        <f>WEEKDAY(B3378,2)</f>
        <v/>
      </c>
    </row>
    <row r="3379">
      <c r="A3379" t="n">
        <v>511188</v>
      </c>
      <c r="B3379" s="6" t="n">
        <v>45992</v>
      </c>
      <c r="C3379" t="n">
        <v>17546</v>
      </c>
      <c r="D3379" t="inlineStr">
        <is>
          <t>Gurugram</t>
        </is>
      </c>
      <c r="E3379" t="inlineStr">
        <is>
          <t>North</t>
        </is>
      </c>
      <c r="F3379" t="inlineStr">
        <is>
          <t>Paid Search</t>
        </is>
      </c>
      <c r="G3379" t="inlineStr">
        <is>
          <t>Desktop</t>
        </is>
      </c>
      <c r="H3379" t="inlineStr">
        <is>
          <t>UPI</t>
        </is>
      </c>
      <c r="I3379" t="inlineStr">
        <is>
          <t>Delivered</t>
        </is>
      </c>
      <c r="J3379" t="n">
        <v>120</v>
      </c>
      <c r="K3379" t="n">
        <v>1</v>
      </c>
      <c r="L3379" t="n">
        <v>734</v>
      </c>
      <c r="M3379" t="n">
        <v>0</v>
      </c>
      <c r="N3379">
        <f>VLOOKUP(J3379,Products!$A$2:$C$49,3,FALSE)</f>
        <v/>
      </c>
      <c r="O3379">
        <f>K3379*L3379-M3379</f>
        <v/>
      </c>
      <c r="P3379">
        <f>TEXT(B3379,"yyyy-mm")</f>
        <v/>
      </c>
      <c r="Q3379">
        <f>IF(O3379&gt;=3000,"Large","Small")</f>
        <v/>
      </c>
      <c r="R3379">
        <f>INDEX(Products!$F$2:$F$49,MATCH(J3379,Products!$A$2:$A$49,0))</f>
        <v/>
      </c>
      <c r="S3379">
        <f>WEEKDAY(B3379,2)</f>
        <v/>
      </c>
    </row>
    <row r="3380">
      <c r="A3380" t="n">
        <v>511189</v>
      </c>
      <c r="B3380" s="6" t="n">
        <v>45992</v>
      </c>
      <c r="C3380" t="n">
        <v>17519</v>
      </c>
      <c r="D3380" t="inlineStr">
        <is>
          <t>Hyderabad</t>
        </is>
      </c>
      <c r="E3380" t="inlineStr">
        <is>
          <t>South</t>
        </is>
      </c>
      <c r="F3380" t="inlineStr">
        <is>
          <t>Paid Social</t>
        </is>
      </c>
      <c r="G3380" t="inlineStr">
        <is>
          <t>Mobile Web</t>
        </is>
      </c>
      <c r="H3380" t="inlineStr">
        <is>
          <t>Credit Card</t>
        </is>
      </c>
      <c r="I3380" t="inlineStr">
        <is>
          <t>Returned</t>
        </is>
      </c>
      <c r="J3380" t="n">
        <v>146</v>
      </c>
      <c r="K3380" t="n">
        <v>1</v>
      </c>
      <c r="L3380" t="n">
        <v>4724</v>
      </c>
      <c r="M3380" t="n">
        <v>708.6</v>
      </c>
      <c r="N3380">
        <f>VLOOKUP(J3380,Products!$A$2:$C$49,3,FALSE)</f>
        <v/>
      </c>
      <c r="O3380">
        <f>K3380*L3380-M3380</f>
        <v/>
      </c>
      <c r="P3380">
        <f>TEXT(B3380,"yyyy-mm")</f>
        <v/>
      </c>
      <c r="Q3380">
        <f>IF(O3380&gt;=3000,"Large","Small")</f>
        <v/>
      </c>
      <c r="R3380">
        <f>INDEX(Products!$F$2:$F$49,MATCH(J3380,Products!$A$2:$A$49,0))</f>
        <v/>
      </c>
      <c r="S3380">
        <f>WEEKDAY(B3380,2)</f>
        <v/>
      </c>
    </row>
    <row r="3381">
      <c r="A3381" t="n">
        <v>511189</v>
      </c>
      <c r="B3381" s="6" t="n">
        <v>45992</v>
      </c>
      <c r="C3381" t="n">
        <v>17519</v>
      </c>
      <c r="D3381" t="inlineStr">
        <is>
          <t>Hyderabad</t>
        </is>
      </c>
      <c r="E3381" t="inlineStr">
        <is>
          <t>South</t>
        </is>
      </c>
      <c r="F3381" t="inlineStr">
        <is>
          <t>Paid Social</t>
        </is>
      </c>
      <c r="G3381" t="inlineStr">
        <is>
          <t>Mobile Web</t>
        </is>
      </c>
      <c r="H3381" t="inlineStr">
        <is>
          <t>Credit Card</t>
        </is>
      </c>
      <c r="I3381" t="inlineStr">
        <is>
          <t>Returned</t>
        </is>
      </c>
      <c r="J3381" t="n">
        <v>132</v>
      </c>
      <c r="K3381" t="n">
        <v>1</v>
      </c>
      <c r="L3381" t="n">
        <v>471</v>
      </c>
      <c r="M3381" t="n">
        <v>70.65000000000001</v>
      </c>
      <c r="N3381">
        <f>VLOOKUP(J3381,Products!$A$2:$C$49,3,FALSE)</f>
        <v/>
      </c>
      <c r="O3381">
        <f>K3381*L3381-M3381</f>
        <v/>
      </c>
      <c r="P3381">
        <f>TEXT(B3381,"yyyy-mm")</f>
        <v/>
      </c>
      <c r="Q3381">
        <f>IF(O3381&gt;=3000,"Large","Small")</f>
        <v/>
      </c>
      <c r="R3381">
        <f>INDEX(Products!$F$2:$F$49,MATCH(J3381,Products!$A$2:$A$49,0))</f>
        <v/>
      </c>
      <c r="S3381">
        <f>WEEKDAY(B3381,2)</f>
        <v/>
      </c>
    </row>
    <row r="3382">
      <c r="A3382" t="n">
        <v>511189</v>
      </c>
      <c r="B3382" s="6" t="n">
        <v>45992</v>
      </c>
      <c r="C3382" t="n">
        <v>17519</v>
      </c>
      <c r="D3382" t="inlineStr">
        <is>
          <t>Hyderabad</t>
        </is>
      </c>
      <c r="E3382" t="inlineStr">
        <is>
          <t>South</t>
        </is>
      </c>
      <c r="F3382" t="inlineStr">
        <is>
          <t>Paid Social</t>
        </is>
      </c>
      <c r="G3382" t="inlineStr">
        <is>
          <t>Mobile Web</t>
        </is>
      </c>
      <c r="H3382" t="inlineStr">
        <is>
          <t>Credit Card</t>
        </is>
      </c>
      <c r="I3382" t="inlineStr">
        <is>
          <t>Returned</t>
        </is>
      </c>
      <c r="J3382" t="n">
        <v>133</v>
      </c>
      <c r="K3382" t="n">
        <v>1</v>
      </c>
      <c r="L3382" t="n">
        <v>419</v>
      </c>
      <c r="M3382" t="n">
        <v>62.85</v>
      </c>
      <c r="N3382">
        <f>VLOOKUP(J3382,Products!$A$2:$C$49,3,FALSE)</f>
        <v/>
      </c>
      <c r="O3382">
        <f>K3382*L3382-M3382</f>
        <v/>
      </c>
      <c r="P3382">
        <f>TEXT(B3382,"yyyy-mm")</f>
        <v/>
      </c>
      <c r="Q3382">
        <f>IF(O3382&gt;=3000,"Large","Small")</f>
        <v/>
      </c>
      <c r="R3382">
        <f>INDEX(Products!$F$2:$F$49,MATCH(J3382,Products!$A$2:$A$49,0))</f>
        <v/>
      </c>
      <c r="S3382">
        <f>WEEKDAY(B3382,2)</f>
        <v/>
      </c>
    </row>
    <row r="3383">
      <c r="A3383" t="n">
        <v>511190</v>
      </c>
      <c r="B3383" s="6" t="n">
        <v>45992</v>
      </c>
      <c r="C3383" t="n">
        <v>16983</v>
      </c>
      <c r="D3383" t="inlineStr">
        <is>
          <t>Delhi</t>
        </is>
      </c>
      <c r="E3383" t="inlineStr">
        <is>
          <t>North</t>
        </is>
      </c>
      <c r="F3383" t="inlineStr">
        <is>
          <t>Paid Search</t>
        </is>
      </c>
      <c r="G3383" t="inlineStr">
        <is>
          <t>Desktop</t>
        </is>
      </c>
      <c r="H3383" t="inlineStr">
        <is>
          <t>UPI</t>
        </is>
      </c>
      <c r="I3383" t="inlineStr">
        <is>
          <t>Delivered</t>
        </is>
      </c>
      <c r="J3383" t="n">
        <v>116</v>
      </c>
      <c r="K3383" t="n">
        <v>1</v>
      </c>
      <c r="L3383" t="n">
        <v>2624</v>
      </c>
      <c r="M3383" t="n">
        <v>0</v>
      </c>
      <c r="N3383">
        <f>VLOOKUP(J3383,Products!$A$2:$C$49,3,FALSE)</f>
        <v/>
      </c>
      <c r="O3383">
        <f>K3383*L3383-M3383</f>
        <v/>
      </c>
      <c r="P3383">
        <f>TEXT(B3383,"yyyy-mm")</f>
        <v/>
      </c>
      <c r="Q3383">
        <f>IF(O3383&gt;=3000,"Large","Small")</f>
        <v/>
      </c>
      <c r="R3383">
        <f>INDEX(Products!$F$2:$F$49,MATCH(J3383,Products!$A$2:$A$49,0))</f>
        <v/>
      </c>
      <c r="S3383">
        <f>WEEKDAY(B3383,2)</f>
        <v/>
      </c>
    </row>
    <row r="3384">
      <c r="A3384" t="n">
        <v>511190</v>
      </c>
      <c r="B3384" s="6" t="n">
        <v>45992</v>
      </c>
      <c r="C3384" t="n">
        <v>16983</v>
      </c>
      <c r="D3384" t="inlineStr">
        <is>
          <t>Delhi</t>
        </is>
      </c>
      <c r="E3384" t="inlineStr">
        <is>
          <t>North</t>
        </is>
      </c>
      <c r="F3384" t="inlineStr">
        <is>
          <t>Paid Search</t>
        </is>
      </c>
      <c r="G3384" t="inlineStr">
        <is>
          <t>Desktop</t>
        </is>
      </c>
      <c r="H3384" t="inlineStr">
        <is>
          <t>UPI</t>
        </is>
      </c>
      <c r="I3384" t="inlineStr">
        <is>
          <t>Delivered</t>
        </is>
      </c>
      <c r="J3384" t="n">
        <v>111</v>
      </c>
      <c r="K3384" t="n">
        <v>1</v>
      </c>
      <c r="L3384" t="n">
        <v>524</v>
      </c>
      <c r="M3384" t="n">
        <v>0</v>
      </c>
      <c r="N3384">
        <f>VLOOKUP(J3384,Products!$A$2:$C$49,3,FALSE)</f>
        <v/>
      </c>
      <c r="O3384">
        <f>K3384*L3384-M3384</f>
        <v/>
      </c>
      <c r="P3384">
        <f>TEXT(B3384,"yyyy-mm")</f>
        <v/>
      </c>
      <c r="Q3384">
        <f>IF(O3384&gt;=3000,"Large","Small")</f>
        <v/>
      </c>
      <c r="R3384">
        <f>INDEX(Products!$F$2:$F$49,MATCH(J3384,Products!$A$2:$A$49,0))</f>
        <v/>
      </c>
      <c r="S3384">
        <f>WEEKDAY(B3384,2)</f>
        <v/>
      </c>
    </row>
    <row r="3385">
      <c r="A3385" t="n">
        <v>511191</v>
      </c>
      <c r="B3385" s="6" t="n">
        <v>45992</v>
      </c>
      <c r="C3385" t="n">
        <v>17558</v>
      </c>
      <c r="D3385" t="inlineStr">
        <is>
          <t>Chennai</t>
        </is>
      </c>
      <c r="E3385" t="inlineStr">
        <is>
          <t>South</t>
        </is>
      </c>
      <c r="F3385" t="inlineStr">
        <is>
          <t>Organic Search</t>
        </is>
      </c>
      <c r="G3385" t="inlineStr">
        <is>
          <t>Mobile Web</t>
        </is>
      </c>
      <c r="H3385" t="inlineStr">
        <is>
          <t>Cash on Delivery</t>
        </is>
      </c>
      <c r="I3385" t="inlineStr">
        <is>
          <t>Delivered</t>
        </is>
      </c>
      <c r="J3385" t="n">
        <v>111</v>
      </c>
      <c r="K3385" t="n">
        <v>1</v>
      </c>
      <c r="L3385" t="n">
        <v>524</v>
      </c>
      <c r="M3385" t="n">
        <v>0</v>
      </c>
      <c r="N3385">
        <f>VLOOKUP(J3385,Products!$A$2:$C$49,3,FALSE)</f>
        <v/>
      </c>
      <c r="O3385">
        <f>K3385*L3385-M3385</f>
        <v/>
      </c>
      <c r="P3385">
        <f>TEXT(B3385,"yyyy-mm")</f>
        <v/>
      </c>
      <c r="Q3385">
        <f>IF(O3385&gt;=3000,"Large","Small")</f>
        <v/>
      </c>
      <c r="R3385">
        <f>INDEX(Products!$F$2:$F$49,MATCH(J3385,Products!$A$2:$A$49,0))</f>
        <v/>
      </c>
      <c r="S3385">
        <f>WEEKDAY(B3385,2)</f>
        <v/>
      </c>
    </row>
    <row r="3386">
      <c r="A3386" t="n">
        <v>511191</v>
      </c>
      <c r="B3386" s="6" t="n">
        <v>45992</v>
      </c>
      <c r="C3386" t="n">
        <v>17558</v>
      </c>
      <c r="D3386" t="inlineStr">
        <is>
          <t>Chennai</t>
        </is>
      </c>
      <c r="E3386" t="inlineStr">
        <is>
          <t>South</t>
        </is>
      </c>
      <c r="F3386" t="inlineStr">
        <is>
          <t>Organic Search</t>
        </is>
      </c>
      <c r="G3386" t="inlineStr">
        <is>
          <t>Mobile Web</t>
        </is>
      </c>
      <c r="H3386" t="inlineStr">
        <is>
          <t>Cash on Delivery</t>
        </is>
      </c>
      <c r="I3386" t="inlineStr">
        <is>
          <t>Delivered</t>
        </is>
      </c>
      <c r="J3386" t="n">
        <v>112</v>
      </c>
      <c r="K3386" t="n">
        <v>1</v>
      </c>
      <c r="L3386" t="n">
        <v>1574</v>
      </c>
      <c r="M3386" t="n">
        <v>0</v>
      </c>
      <c r="N3386">
        <f>VLOOKUP(J3386,Products!$A$2:$C$49,3,FALSE)</f>
        <v/>
      </c>
      <c r="O3386">
        <f>K3386*L3386-M3386</f>
        <v/>
      </c>
      <c r="P3386">
        <f>TEXT(B3386,"yyyy-mm")</f>
        <v/>
      </c>
      <c r="Q3386">
        <f>IF(O3386&gt;=3000,"Large","Small")</f>
        <v/>
      </c>
      <c r="R3386">
        <f>INDEX(Products!$F$2:$F$49,MATCH(J3386,Products!$A$2:$A$49,0))</f>
        <v/>
      </c>
      <c r="S3386">
        <f>WEEKDAY(B3386,2)</f>
        <v/>
      </c>
    </row>
    <row r="3387">
      <c r="A3387" t="n">
        <v>511192</v>
      </c>
      <c r="B3387" s="6" t="n">
        <v>45992</v>
      </c>
      <c r="C3387" t="n">
        <v>17452</v>
      </c>
      <c r="D3387" t="inlineStr">
        <is>
          <t>Delhi</t>
        </is>
      </c>
      <c r="E3387" t="inlineStr">
        <is>
          <t>North</t>
        </is>
      </c>
      <c r="F3387" t="inlineStr">
        <is>
          <t>Affiliate</t>
        </is>
      </c>
      <c r="G3387" t="inlineStr">
        <is>
          <t>Desktop</t>
        </is>
      </c>
      <c r="H3387" t="inlineStr">
        <is>
          <t>UPI</t>
        </is>
      </c>
      <c r="I3387" t="inlineStr">
        <is>
          <t>Delivered</t>
        </is>
      </c>
      <c r="J3387" t="n">
        <v>136</v>
      </c>
      <c r="K3387" t="n">
        <v>1</v>
      </c>
      <c r="L3387" t="n">
        <v>944</v>
      </c>
      <c r="M3387" t="n">
        <v>0</v>
      </c>
      <c r="N3387">
        <f>VLOOKUP(J3387,Products!$A$2:$C$49,3,FALSE)</f>
        <v/>
      </c>
      <c r="O3387">
        <f>K3387*L3387-M3387</f>
        <v/>
      </c>
      <c r="P3387">
        <f>TEXT(B3387,"yyyy-mm")</f>
        <v/>
      </c>
      <c r="Q3387">
        <f>IF(O3387&gt;=3000,"Large","Small")</f>
        <v/>
      </c>
      <c r="R3387">
        <f>INDEX(Products!$F$2:$F$49,MATCH(J3387,Products!$A$2:$A$49,0))</f>
        <v/>
      </c>
      <c r="S3387">
        <f>WEEKDAY(B3387,2)</f>
        <v/>
      </c>
    </row>
    <row r="3388">
      <c r="A3388" t="n">
        <v>511192</v>
      </c>
      <c r="B3388" s="6" t="n">
        <v>45992</v>
      </c>
      <c r="C3388" t="n">
        <v>17452</v>
      </c>
      <c r="D3388" t="inlineStr">
        <is>
          <t>Delhi</t>
        </is>
      </c>
      <c r="E3388" t="inlineStr">
        <is>
          <t>North</t>
        </is>
      </c>
      <c r="F3388" t="inlineStr">
        <is>
          <t>Affiliate</t>
        </is>
      </c>
      <c r="G3388" t="inlineStr">
        <is>
          <t>Desktop</t>
        </is>
      </c>
      <c r="H3388" t="inlineStr">
        <is>
          <t>UPI</t>
        </is>
      </c>
      <c r="I3388" t="inlineStr">
        <is>
          <t>Delivered</t>
        </is>
      </c>
      <c r="J3388" t="n">
        <v>118</v>
      </c>
      <c r="K3388" t="n">
        <v>2</v>
      </c>
      <c r="L3388" t="n">
        <v>944</v>
      </c>
      <c r="M3388" t="n">
        <v>0</v>
      </c>
      <c r="N3388">
        <f>VLOOKUP(J3388,Products!$A$2:$C$49,3,FALSE)</f>
        <v/>
      </c>
      <c r="O3388">
        <f>K3388*L3388-M3388</f>
        <v/>
      </c>
      <c r="P3388">
        <f>TEXT(B3388,"yyyy-mm")</f>
        <v/>
      </c>
      <c r="Q3388">
        <f>IF(O3388&gt;=3000,"Large","Small")</f>
        <v/>
      </c>
      <c r="R3388">
        <f>INDEX(Products!$F$2:$F$49,MATCH(J3388,Products!$A$2:$A$49,0))</f>
        <v/>
      </c>
      <c r="S3388">
        <f>WEEKDAY(B3388,2)</f>
        <v/>
      </c>
    </row>
    <row r="3389">
      <c r="A3389" t="n">
        <v>511193</v>
      </c>
      <c r="B3389" s="6" t="n">
        <v>45992</v>
      </c>
      <c r="C3389" t="n">
        <v>13937</v>
      </c>
      <c r="D3389" t="inlineStr">
        <is>
          <t>Delhi</t>
        </is>
      </c>
      <c r="E3389" t="inlineStr">
        <is>
          <t>North</t>
        </is>
      </c>
      <c r="F3389" t="inlineStr">
        <is>
          <t>Paid Social</t>
        </is>
      </c>
      <c r="G3389" t="inlineStr">
        <is>
          <t>Mobile App</t>
        </is>
      </c>
      <c r="H3389" t="inlineStr">
        <is>
          <t>Credit Card</t>
        </is>
      </c>
      <c r="I3389" t="inlineStr">
        <is>
          <t>Returned</t>
        </is>
      </c>
      <c r="J3389" t="n">
        <v>111</v>
      </c>
      <c r="K3389" t="n">
        <v>2</v>
      </c>
      <c r="L3389" t="n">
        <v>524</v>
      </c>
      <c r="M3389" t="n">
        <v>0</v>
      </c>
      <c r="N3389">
        <f>VLOOKUP(J3389,Products!$A$2:$C$49,3,FALSE)</f>
        <v/>
      </c>
      <c r="O3389">
        <f>K3389*L3389-M3389</f>
        <v/>
      </c>
      <c r="P3389">
        <f>TEXT(B3389,"yyyy-mm")</f>
        <v/>
      </c>
      <c r="Q3389">
        <f>IF(O3389&gt;=3000,"Large","Small")</f>
        <v/>
      </c>
      <c r="R3389">
        <f>INDEX(Products!$F$2:$F$49,MATCH(J3389,Products!$A$2:$A$49,0))</f>
        <v/>
      </c>
      <c r="S3389">
        <f>WEEKDAY(B3389,2)</f>
        <v/>
      </c>
    </row>
    <row r="3390">
      <c r="A3390" t="n">
        <v>511194</v>
      </c>
      <c r="B3390" s="6" t="n">
        <v>45992</v>
      </c>
      <c r="C3390" t="n">
        <v>17572</v>
      </c>
      <c r="D3390" t="inlineStr">
        <is>
          <t>Lucknow</t>
        </is>
      </c>
      <c r="E3390" t="inlineStr">
        <is>
          <t>North</t>
        </is>
      </c>
      <c r="F3390" t="inlineStr">
        <is>
          <t>Email</t>
        </is>
      </c>
      <c r="G3390" t="inlineStr">
        <is>
          <t>Mobile Web</t>
        </is>
      </c>
      <c r="H3390" t="inlineStr">
        <is>
          <t>UPI</t>
        </is>
      </c>
      <c r="I3390" t="inlineStr">
        <is>
          <t>Delivered</t>
        </is>
      </c>
      <c r="J3390" t="n">
        <v>133</v>
      </c>
      <c r="K3390" t="n">
        <v>1</v>
      </c>
      <c r="L3390" t="n">
        <v>419</v>
      </c>
      <c r="M3390" t="n">
        <v>0</v>
      </c>
      <c r="N3390">
        <f>VLOOKUP(J3390,Products!$A$2:$C$49,3,FALSE)</f>
        <v/>
      </c>
      <c r="O3390">
        <f>K3390*L3390-M3390</f>
        <v/>
      </c>
      <c r="P3390">
        <f>TEXT(B3390,"yyyy-mm")</f>
        <v/>
      </c>
      <c r="Q3390">
        <f>IF(O3390&gt;=3000,"Large","Small")</f>
        <v/>
      </c>
      <c r="R3390">
        <f>INDEX(Products!$F$2:$F$49,MATCH(J3390,Products!$A$2:$A$49,0))</f>
        <v/>
      </c>
      <c r="S3390">
        <f>WEEKDAY(B3390,2)</f>
        <v/>
      </c>
    </row>
    <row r="3391">
      <c r="A3391" t="n">
        <v>511195</v>
      </c>
      <c r="B3391" s="6" t="n">
        <v>45992</v>
      </c>
      <c r="C3391" t="n">
        <v>14755</v>
      </c>
      <c r="D3391" t="inlineStr">
        <is>
          <t>Bengaluru</t>
        </is>
      </c>
      <c r="E3391" t="inlineStr">
        <is>
          <t>South</t>
        </is>
      </c>
      <c r="F3391" t="inlineStr">
        <is>
          <t>Organic Search</t>
        </is>
      </c>
      <c r="G3391" t="inlineStr">
        <is>
          <t>Desktop</t>
        </is>
      </c>
      <c r="H3391" t="inlineStr">
        <is>
          <t>Debit Card</t>
        </is>
      </c>
      <c r="I3391" t="inlineStr">
        <is>
          <t>Delivered</t>
        </is>
      </c>
      <c r="J3391" t="n">
        <v>142</v>
      </c>
      <c r="K3391" t="n">
        <v>2</v>
      </c>
      <c r="L3391" t="n">
        <v>839</v>
      </c>
      <c r="M3391" t="n">
        <v>83.90000000000001</v>
      </c>
      <c r="N3391">
        <f>VLOOKUP(J3391,Products!$A$2:$C$49,3,FALSE)</f>
        <v/>
      </c>
      <c r="O3391">
        <f>K3391*L3391-M3391</f>
        <v/>
      </c>
      <c r="P3391">
        <f>TEXT(B3391,"yyyy-mm")</f>
        <v/>
      </c>
      <c r="Q3391">
        <f>IF(O3391&gt;=3000,"Large","Small")</f>
        <v/>
      </c>
      <c r="R3391">
        <f>INDEX(Products!$F$2:$F$49,MATCH(J3391,Products!$A$2:$A$49,0))</f>
        <v/>
      </c>
      <c r="S3391">
        <f>WEEKDAY(B3391,2)</f>
        <v/>
      </c>
    </row>
    <row r="3392">
      <c r="A3392" t="n">
        <v>511195</v>
      </c>
      <c r="B3392" s="6" t="n">
        <v>45992</v>
      </c>
      <c r="C3392" t="n">
        <v>14755</v>
      </c>
      <c r="D3392" t="inlineStr">
        <is>
          <t>Bengaluru</t>
        </is>
      </c>
      <c r="E3392" t="inlineStr">
        <is>
          <t>South</t>
        </is>
      </c>
      <c r="F3392" t="inlineStr">
        <is>
          <t>Organic Search</t>
        </is>
      </c>
      <c r="G3392" t="inlineStr">
        <is>
          <t>Desktop</t>
        </is>
      </c>
      <c r="H3392" t="inlineStr">
        <is>
          <t>Debit Card</t>
        </is>
      </c>
      <c r="I3392" t="inlineStr">
        <is>
          <t>Delivered</t>
        </is>
      </c>
      <c r="J3392" t="n">
        <v>129</v>
      </c>
      <c r="K3392" t="n">
        <v>1</v>
      </c>
      <c r="L3392" t="n">
        <v>576</v>
      </c>
      <c r="M3392" t="n">
        <v>28.8</v>
      </c>
      <c r="N3392">
        <f>VLOOKUP(J3392,Products!$A$2:$C$49,3,FALSE)</f>
        <v/>
      </c>
      <c r="O3392">
        <f>K3392*L3392-M3392</f>
        <v/>
      </c>
      <c r="P3392">
        <f>TEXT(B3392,"yyyy-mm")</f>
        <v/>
      </c>
      <c r="Q3392">
        <f>IF(O3392&gt;=3000,"Large","Small")</f>
        <v/>
      </c>
      <c r="R3392">
        <f>INDEX(Products!$F$2:$F$49,MATCH(J3392,Products!$A$2:$A$49,0))</f>
        <v/>
      </c>
      <c r="S3392">
        <f>WEEKDAY(B3392,2)</f>
        <v/>
      </c>
    </row>
    <row r="3393">
      <c r="A3393" t="n">
        <v>511195</v>
      </c>
      <c r="B3393" s="6" t="n">
        <v>45992</v>
      </c>
      <c r="C3393" t="n">
        <v>14755</v>
      </c>
      <c r="D3393" t="inlineStr">
        <is>
          <t>Bengaluru</t>
        </is>
      </c>
      <c r="E3393" t="inlineStr">
        <is>
          <t>South</t>
        </is>
      </c>
      <c r="F3393" t="inlineStr">
        <is>
          <t>Organic Search</t>
        </is>
      </c>
      <c r="G3393" t="inlineStr">
        <is>
          <t>Desktop</t>
        </is>
      </c>
      <c r="H3393" t="inlineStr">
        <is>
          <t>Debit Card</t>
        </is>
      </c>
      <c r="I3393" t="inlineStr">
        <is>
          <t>Delivered</t>
        </is>
      </c>
      <c r="J3393" t="n">
        <v>126</v>
      </c>
      <c r="K3393" t="n">
        <v>1</v>
      </c>
      <c r="L3393" t="n">
        <v>471</v>
      </c>
      <c r="M3393" t="n">
        <v>23.55</v>
      </c>
      <c r="N3393">
        <f>VLOOKUP(J3393,Products!$A$2:$C$49,3,FALSE)</f>
        <v/>
      </c>
      <c r="O3393">
        <f>K3393*L3393-M3393</f>
        <v/>
      </c>
      <c r="P3393">
        <f>TEXT(B3393,"yyyy-mm")</f>
        <v/>
      </c>
      <c r="Q3393">
        <f>IF(O3393&gt;=3000,"Large","Small")</f>
        <v/>
      </c>
      <c r="R3393">
        <f>INDEX(Products!$F$2:$F$49,MATCH(J3393,Products!$A$2:$A$49,0))</f>
        <v/>
      </c>
      <c r="S3393">
        <f>WEEKDAY(B3393,2)</f>
        <v/>
      </c>
    </row>
    <row r="3394">
      <c r="A3394" t="n">
        <v>511196</v>
      </c>
      <c r="B3394" s="6" t="n">
        <v>45992</v>
      </c>
      <c r="C3394" t="n">
        <v>16709</v>
      </c>
      <c r="D3394" t="inlineStr">
        <is>
          <t>Bengaluru</t>
        </is>
      </c>
      <c r="E3394" t="inlineStr">
        <is>
          <t>South</t>
        </is>
      </c>
      <c r="F3394" t="inlineStr">
        <is>
          <t>Email</t>
        </is>
      </c>
      <c r="G3394" t="inlineStr">
        <is>
          <t>Mobile App</t>
        </is>
      </c>
      <c r="H3394" t="inlineStr">
        <is>
          <t>UPI</t>
        </is>
      </c>
      <c r="I3394" t="inlineStr">
        <is>
          <t>Delivered</t>
        </is>
      </c>
      <c r="J3394" t="n">
        <v>148</v>
      </c>
      <c r="K3394" t="n">
        <v>1</v>
      </c>
      <c r="L3394" t="n">
        <v>734</v>
      </c>
      <c r="M3394" t="n">
        <v>0</v>
      </c>
      <c r="N3394">
        <f>VLOOKUP(J3394,Products!$A$2:$C$49,3,FALSE)</f>
        <v/>
      </c>
      <c r="O3394">
        <f>K3394*L3394-M3394</f>
        <v/>
      </c>
      <c r="P3394">
        <f>TEXT(B3394,"yyyy-mm")</f>
        <v/>
      </c>
      <c r="Q3394">
        <f>IF(O3394&gt;=3000,"Large","Small")</f>
        <v/>
      </c>
      <c r="R3394">
        <f>INDEX(Products!$F$2:$F$49,MATCH(J3394,Products!$A$2:$A$49,0))</f>
        <v/>
      </c>
      <c r="S3394">
        <f>WEEKDAY(B3394,2)</f>
        <v/>
      </c>
    </row>
    <row r="3395">
      <c r="A3395" t="n">
        <v>511197</v>
      </c>
      <c r="B3395" s="6" t="n">
        <v>45992</v>
      </c>
      <c r="C3395" t="n">
        <v>17574</v>
      </c>
      <c r="D3395" t="inlineStr">
        <is>
          <t>Pune</t>
        </is>
      </c>
      <c r="E3395" t="inlineStr">
        <is>
          <t>West</t>
        </is>
      </c>
      <c r="F3395" t="inlineStr">
        <is>
          <t>Paid Search</t>
        </is>
      </c>
      <c r="G3395" t="inlineStr">
        <is>
          <t>Mobile App</t>
        </is>
      </c>
      <c r="H3395" t="inlineStr">
        <is>
          <t>Credit Card</t>
        </is>
      </c>
      <c r="I3395" t="inlineStr">
        <is>
          <t>Returned</t>
        </is>
      </c>
      <c r="J3395" t="n">
        <v>117</v>
      </c>
      <c r="K3395" t="n">
        <v>1</v>
      </c>
      <c r="L3395" t="n">
        <v>3149</v>
      </c>
      <c r="M3395" t="n">
        <v>0</v>
      </c>
      <c r="N3395">
        <f>VLOOKUP(J3395,Products!$A$2:$C$49,3,FALSE)</f>
        <v/>
      </c>
      <c r="O3395">
        <f>K3395*L3395-M3395</f>
        <v/>
      </c>
      <c r="P3395">
        <f>TEXT(B3395,"yyyy-mm")</f>
        <v/>
      </c>
      <c r="Q3395">
        <f>IF(O3395&gt;=3000,"Large","Small")</f>
        <v/>
      </c>
      <c r="R3395">
        <f>INDEX(Products!$F$2:$F$49,MATCH(J3395,Products!$A$2:$A$49,0))</f>
        <v/>
      </c>
      <c r="S3395">
        <f>WEEKDAY(B3395,2)</f>
        <v/>
      </c>
    </row>
    <row r="3396">
      <c r="A3396" t="n">
        <v>511197</v>
      </c>
      <c r="B3396" s="6" t="n">
        <v>45992</v>
      </c>
      <c r="C3396" t="n">
        <v>17574</v>
      </c>
      <c r="D3396" t="inlineStr">
        <is>
          <t>Pune</t>
        </is>
      </c>
      <c r="E3396" t="inlineStr">
        <is>
          <t>West</t>
        </is>
      </c>
      <c r="F3396" t="inlineStr">
        <is>
          <t>Paid Search</t>
        </is>
      </c>
      <c r="G3396" t="inlineStr">
        <is>
          <t>Mobile App</t>
        </is>
      </c>
      <c r="H3396" t="inlineStr">
        <is>
          <t>Credit Card</t>
        </is>
      </c>
      <c r="I3396" t="inlineStr">
        <is>
          <t>Returned</t>
        </is>
      </c>
      <c r="J3396" t="n">
        <v>122</v>
      </c>
      <c r="K3396" t="n">
        <v>2</v>
      </c>
      <c r="L3396" t="n">
        <v>1994</v>
      </c>
      <c r="M3396" t="n">
        <v>0</v>
      </c>
      <c r="N3396">
        <f>VLOOKUP(J3396,Products!$A$2:$C$49,3,FALSE)</f>
        <v/>
      </c>
      <c r="O3396">
        <f>K3396*L3396-M3396</f>
        <v/>
      </c>
      <c r="P3396">
        <f>TEXT(B3396,"yyyy-mm")</f>
        <v/>
      </c>
      <c r="Q3396">
        <f>IF(O3396&gt;=3000,"Large","Small")</f>
        <v/>
      </c>
      <c r="R3396">
        <f>INDEX(Products!$F$2:$F$49,MATCH(J3396,Products!$A$2:$A$49,0))</f>
        <v/>
      </c>
      <c r="S3396">
        <f>WEEKDAY(B3396,2)</f>
        <v/>
      </c>
    </row>
    <row r="3397">
      <c r="A3397" t="n">
        <v>511198</v>
      </c>
      <c r="B3397" s="6" t="n">
        <v>45992</v>
      </c>
      <c r="C3397" t="n">
        <v>17561</v>
      </c>
      <c r="D3397" t="inlineStr">
        <is>
          <t>Delhi</t>
        </is>
      </c>
      <c r="E3397" t="inlineStr">
        <is>
          <t>North</t>
        </is>
      </c>
      <c r="F3397" t="inlineStr">
        <is>
          <t>Referral</t>
        </is>
      </c>
      <c r="G3397" t="inlineStr">
        <is>
          <t>Mobile App</t>
        </is>
      </c>
      <c r="H3397" t="inlineStr">
        <is>
          <t>Net Banking</t>
        </is>
      </c>
      <c r="I3397" t="inlineStr">
        <is>
          <t>Delivered</t>
        </is>
      </c>
      <c r="J3397" t="n">
        <v>123</v>
      </c>
      <c r="K3397" t="n">
        <v>1</v>
      </c>
      <c r="L3397" t="n">
        <v>3464</v>
      </c>
      <c r="M3397" t="n">
        <v>0</v>
      </c>
      <c r="N3397">
        <f>VLOOKUP(J3397,Products!$A$2:$C$49,3,FALSE)</f>
        <v/>
      </c>
      <c r="O3397">
        <f>K3397*L3397-M3397</f>
        <v/>
      </c>
      <c r="P3397">
        <f>TEXT(B3397,"yyyy-mm")</f>
        <v/>
      </c>
      <c r="Q3397">
        <f>IF(O3397&gt;=3000,"Large","Small")</f>
        <v/>
      </c>
      <c r="R3397">
        <f>INDEX(Products!$F$2:$F$49,MATCH(J3397,Products!$A$2:$A$49,0))</f>
        <v/>
      </c>
      <c r="S3397">
        <f>WEEKDAY(B3397,2)</f>
        <v/>
      </c>
    </row>
    <row r="3398">
      <c r="A3398" t="n">
        <v>511198</v>
      </c>
      <c r="B3398" s="6" t="n">
        <v>45992</v>
      </c>
      <c r="C3398" t="n">
        <v>17561</v>
      </c>
      <c r="D3398" t="inlineStr">
        <is>
          <t>Delhi</t>
        </is>
      </c>
      <c r="E3398" t="inlineStr">
        <is>
          <t>North</t>
        </is>
      </c>
      <c r="F3398" t="inlineStr">
        <is>
          <t>Referral</t>
        </is>
      </c>
      <c r="G3398" t="inlineStr">
        <is>
          <t>Mobile App</t>
        </is>
      </c>
      <c r="H3398" t="inlineStr">
        <is>
          <t>Net Banking</t>
        </is>
      </c>
      <c r="I3398" t="inlineStr">
        <is>
          <t>Delivered</t>
        </is>
      </c>
      <c r="J3398" t="n">
        <v>112</v>
      </c>
      <c r="K3398" t="n">
        <v>1</v>
      </c>
      <c r="L3398" t="n">
        <v>1574</v>
      </c>
      <c r="M3398" t="n">
        <v>0</v>
      </c>
      <c r="N3398">
        <f>VLOOKUP(J3398,Products!$A$2:$C$49,3,FALSE)</f>
        <v/>
      </c>
      <c r="O3398">
        <f>K3398*L3398-M3398</f>
        <v/>
      </c>
      <c r="P3398">
        <f>TEXT(B3398,"yyyy-mm")</f>
        <v/>
      </c>
      <c r="Q3398">
        <f>IF(O3398&gt;=3000,"Large","Small")</f>
        <v/>
      </c>
      <c r="R3398">
        <f>INDEX(Products!$F$2:$F$49,MATCH(J3398,Products!$A$2:$A$49,0))</f>
        <v/>
      </c>
      <c r="S3398">
        <f>WEEKDAY(B3398,2)</f>
        <v/>
      </c>
    </row>
    <row r="3399">
      <c r="A3399" t="n">
        <v>511199</v>
      </c>
      <c r="B3399" s="6" t="n">
        <v>45992</v>
      </c>
      <c r="C3399" t="n">
        <v>17564</v>
      </c>
      <c r="D3399" t="inlineStr">
        <is>
          <t>Bengaluru</t>
        </is>
      </c>
      <c r="E3399" t="inlineStr">
        <is>
          <t>South</t>
        </is>
      </c>
      <c r="F3399" t="inlineStr">
        <is>
          <t>Organic Search</t>
        </is>
      </c>
      <c r="G3399" t="inlineStr">
        <is>
          <t>Mobile App</t>
        </is>
      </c>
      <c r="H3399" t="inlineStr">
        <is>
          <t>Credit Card</t>
        </is>
      </c>
      <c r="I3399" t="inlineStr">
        <is>
          <t>Delivered</t>
        </is>
      </c>
      <c r="J3399" t="n">
        <v>106</v>
      </c>
      <c r="K3399" t="n">
        <v>1</v>
      </c>
      <c r="L3399" t="n">
        <v>1574</v>
      </c>
      <c r="M3399" t="n">
        <v>236.1</v>
      </c>
      <c r="N3399">
        <f>VLOOKUP(J3399,Products!$A$2:$C$49,3,FALSE)</f>
        <v/>
      </c>
      <c r="O3399">
        <f>K3399*L3399-M3399</f>
        <v/>
      </c>
      <c r="P3399">
        <f>TEXT(B3399,"yyyy-mm")</f>
        <v/>
      </c>
      <c r="Q3399">
        <f>IF(O3399&gt;=3000,"Large","Small")</f>
        <v/>
      </c>
      <c r="R3399">
        <f>INDEX(Products!$F$2:$F$49,MATCH(J3399,Products!$A$2:$A$49,0))</f>
        <v/>
      </c>
      <c r="S3399">
        <f>WEEKDAY(B3399,2)</f>
        <v/>
      </c>
    </row>
    <row r="3400">
      <c r="A3400" t="n">
        <v>511200</v>
      </c>
      <c r="B3400" s="6" t="n">
        <v>45992</v>
      </c>
      <c r="C3400" t="n">
        <v>17369</v>
      </c>
      <c r="D3400" t="inlineStr">
        <is>
          <t>Chennai</t>
        </is>
      </c>
      <c r="E3400" t="inlineStr">
        <is>
          <t>South</t>
        </is>
      </c>
      <c r="F3400" t="inlineStr">
        <is>
          <t>Organic Search</t>
        </is>
      </c>
      <c r="G3400" t="inlineStr">
        <is>
          <t>Mobile App</t>
        </is>
      </c>
      <c r="H3400" t="inlineStr">
        <is>
          <t>Credit Card</t>
        </is>
      </c>
      <c r="I3400" t="inlineStr">
        <is>
          <t>Delivered</t>
        </is>
      </c>
      <c r="J3400" t="n">
        <v>135</v>
      </c>
      <c r="K3400" t="n">
        <v>1</v>
      </c>
      <c r="L3400" t="n">
        <v>1574</v>
      </c>
      <c r="M3400" t="n">
        <v>236.1</v>
      </c>
      <c r="N3400">
        <f>VLOOKUP(J3400,Products!$A$2:$C$49,3,FALSE)</f>
        <v/>
      </c>
      <c r="O3400">
        <f>K3400*L3400-M3400</f>
        <v/>
      </c>
      <c r="P3400">
        <f>TEXT(B3400,"yyyy-mm")</f>
        <v/>
      </c>
      <c r="Q3400">
        <f>IF(O3400&gt;=3000,"Large","Small")</f>
        <v/>
      </c>
      <c r="R3400">
        <f>INDEX(Products!$F$2:$F$49,MATCH(J3400,Products!$A$2:$A$49,0))</f>
        <v/>
      </c>
      <c r="S3400">
        <f>WEEKDAY(B3400,2)</f>
        <v/>
      </c>
    </row>
    <row r="3401">
      <c r="A3401" t="n">
        <v>511200</v>
      </c>
      <c r="B3401" s="6" t="n">
        <v>45992</v>
      </c>
      <c r="C3401" t="n">
        <v>17369</v>
      </c>
      <c r="D3401" t="inlineStr">
        <is>
          <t>Chennai</t>
        </is>
      </c>
      <c r="E3401" t="inlineStr">
        <is>
          <t>South</t>
        </is>
      </c>
      <c r="F3401" t="inlineStr">
        <is>
          <t>Organic Search</t>
        </is>
      </c>
      <c r="G3401" t="inlineStr">
        <is>
          <t>Mobile App</t>
        </is>
      </c>
      <c r="H3401" t="inlineStr">
        <is>
          <t>Credit Card</t>
        </is>
      </c>
      <c r="I3401" t="inlineStr">
        <is>
          <t>Delivered</t>
        </is>
      </c>
      <c r="J3401" t="n">
        <v>123</v>
      </c>
      <c r="K3401" t="n">
        <v>1</v>
      </c>
      <c r="L3401" t="n">
        <v>3464</v>
      </c>
      <c r="M3401" t="n">
        <v>519.6</v>
      </c>
      <c r="N3401">
        <f>VLOOKUP(J3401,Products!$A$2:$C$49,3,FALSE)</f>
        <v/>
      </c>
      <c r="O3401">
        <f>K3401*L3401-M3401</f>
        <v/>
      </c>
      <c r="P3401">
        <f>TEXT(B3401,"yyyy-mm")</f>
        <v/>
      </c>
      <c r="Q3401">
        <f>IF(O3401&gt;=3000,"Large","Small")</f>
        <v/>
      </c>
      <c r="R3401">
        <f>INDEX(Products!$F$2:$F$49,MATCH(J3401,Products!$A$2:$A$49,0))</f>
        <v/>
      </c>
      <c r="S3401">
        <f>WEEKDAY(B3401,2)</f>
        <v/>
      </c>
    </row>
    <row r="3402">
      <c r="A3402" t="n">
        <v>511200</v>
      </c>
      <c r="B3402" s="6" t="n">
        <v>45992</v>
      </c>
      <c r="C3402" t="n">
        <v>17369</v>
      </c>
      <c r="D3402" t="inlineStr">
        <is>
          <t>Chennai</t>
        </is>
      </c>
      <c r="E3402" t="inlineStr">
        <is>
          <t>South</t>
        </is>
      </c>
      <c r="F3402" t="inlineStr">
        <is>
          <t>Organic Search</t>
        </is>
      </c>
      <c r="G3402" t="inlineStr">
        <is>
          <t>Mobile App</t>
        </is>
      </c>
      <c r="H3402" t="inlineStr">
        <is>
          <t>Credit Card</t>
        </is>
      </c>
      <c r="I3402" t="inlineStr">
        <is>
          <t>Delivered</t>
        </is>
      </c>
      <c r="J3402" t="n">
        <v>108</v>
      </c>
      <c r="K3402" t="n">
        <v>1</v>
      </c>
      <c r="L3402" t="n">
        <v>419</v>
      </c>
      <c r="M3402" t="n">
        <v>62.85</v>
      </c>
      <c r="N3402">
        <f>VLOOKUP(J3402,Products!$A$2:$C$49,3,FALSE)</f>
        <v/>
      </c>
      <c r="O3402">
        <f>K3402*L3402-M3402</f>
        <v/>
      </c>
      <c r="P3402">
        <f>TEXT(B3402,"yyyy-mm")</f>
        <v/>
      </c>
      <c r="Q3402">
        <f>IF(O3402&gt;=3000,"Large","Small")</f>
        <v/>
      </c>
      <c r="R3402">
        <f>INDEX(Products!$F$2:$F$49,MATCH(J3402,Products!$A$2:$A$49,0))</f>
        <v/>
      </c>
      <c r="S3402">
        <f>WEEKDAY(B3402,2)</f>
        <v/>
      </c>
    </row>
    <row r="3403">
      <c r="A3403" t="n">
        <v>511201</v>
      </c>
      <c r="B3403" s="6" t="n">
        <v>45992</v>
      </c>
      <c r="C3403" t="n">
        <v>14279</v>
      </c>
      <c r="D3403" t="inlineStr">
        <is>
          <t>Chennai</t>
        </is>
      </c>
      <c r="E3403" t="inlineStr">
        <is>
          <t>South</t>
        </is>
      </c>
      <c r="F3403" t="inlineStr">
        <is>
          <t>Referral</t>
        </is>
      </c>
      <c r="G3403" t="inlineStr">
        <is>
          <t>Mobile App</t>
        </is>
      </c>
      <c r="H3403" t="inlineStr">
        <is>
          <t>Credit Card</t>
        </is>
      </c>
      <c r="I3403" t="inlineStr">
        <is>
          <t>Delivered</t>
        </is>
      </c>
      <c r="J3403" t="n">
        <v>129</v>
      </c>
      <c r="K3403" t="n">
        <v>1</v>
      </c>
      <c r="L3403" t="n">
        <v>576</v>
      </c>
      <c r="M3403" t="n">
        <v>0</v>
      </c>
      <c r="N3403">
        <f>VLOOKUP(J3403,Products!$A$2:$C$49,3,FALSE)</f>
        <v/>
      </c>
      <c r="O3403">
        <f>K3403*L3403-M3403</f>
        <v/>
      </c>
      <c r="P3403">
        <f>TEXT(B3403,"yyyy-mm")</f>
        <v/>
      </c>
      <c r="Q3403">
        <f>IF(O3403&gt;=3000,"Large","Small")</f>
        <v/>
      </c>
      <c r="R3403">
        <f>INDEX(Products!$F$2:$F$49,MATCH(J3403,Products!$A$2:$A$49,0))</f>
        <v/>
      </c>
      <c r="S3403">
        <f>WEEKDAY(B3403,2)</f>
        <v/>
      </c>
    </row>
    <row r="3404">
      <c r="A3404" t="n">
        <v>511201</v>
      </c>
      <c r="B3404" s="6" t="n">
        <v>45992</v>
      </c>
      <c r="C3404" t="n">
        <v>14279</v>
      </c>
      <c r="D3404" t="inlineStr">
        <is>
          <t>Chennai</t>
        </is>
      </c>
      <c r="E3404" t="inlineStr">
        <is>
          <t>South</t>
        </is>
      </c>
      <c r="F3404" t="inlineStr">
        <is>
          <t>Referral</t>
        </is>
      </c>
      <c r="G3404" t="inlineStr">
        <is>
          <t>Mobile App</t>
        </is>
      </c>
      <c r="H3404" t="inlineStr">
        <is>
          <t>Credit Card</t>
        </is>
      </c>
      <c r="I3404" t="inlineStr">
        <is>
          <t>Delivered</t>
        </is>
      </c>
      <c r="J3404" t="n">
        <v>126</v>
      </c>
      <c r="K3404" t="n">
        <v>2</v>
      </c>
      <c r="L3404" t="n">
        <v>471</v>
      </c>
      <c r="M3404" t="n">
        <v>0</v>
      </c>
      <c r="N3404">
        <f>VLOOKUP(J3404,Products!$A$2:$C$49,3,FALSE)</f>
        <v/>
      </c>
      <c r="O3404">
        <f>K3404*L3404-M3404</f>
        <v/>
      </c>
      <c r="P3404">
        <f>TEXT(B3404,"yyyy-mm")</f>
        <v/>
      </c>
      <c r="Q3404">
        <f>IF(O3404&gt;=3000,"Large","Small")</f>
        <v/>
      </c>
      <c r="R3404">
        <f>INDEX(Products!$F$2:$F$49,MATCH(J3404,Products!$A$2:$A$49,0))</f>
        <v/>
      </c>
      <c r="S3404">
        <f>WEEKDAY(B3404,2)</f>
        <v/>
      </c>
    </row>
    <row r="3405">
      <c r="A3405" t="n">
        <v>511201</v>
      </c>
      <c r="B3405" s="6" t="n">
        <v>45992</v>
      </c>
      <c r="C3405" t="n">
        <v>14279</v>
      </c>
      <c r="D3405" t="inlineStr">
        <is>
          <t>Chennai</t>
        </is>
      </c>
      <c r="E3405" t="inlineStr">
        <is>
          <t>South</t>
        </is>
      </c>
      <c r="F3405" t="inlineStr">
        <is>
          <t>Referral</t>
        </is>
      </c>
      <c r="G3405" t="inlineStr">
        <is>
          <t>Mobile App</t>
        </is>
      </c>
      <c r="H3405" t="inlineStr">
        <is>
          <t>Credit Card</t>
        </is>
      </c>
      <c r="I3405" t="inlineStr">
        <is>
          <t>Delivered</t>
        </is>
      </c>
      <c r="J3405" t="n">
        <v>114</v>
      </c>
      <c r="K3405" t="n">
        <v>1</v>
      </c>
      <c r="L3405" t="n">
        <v>1259</v>
      </c>
      <c r="M3405" t="n">
        <v>0</v>
      </c>
      <c r="N3405">
        <f>VLOOKUP(J3405,Products!$A$2:$C$49,3,FALSE)</f>
        <v/>
      </c>
      <c r="O3405">
        <f>K3405*L3405-M3405</f>
        <v/>
      </c>
      <c r="P3405">
        <f>TEXT(B3405,"yyyy-mm")</f>
        <v/>
      </c>
      <c r="Q3405">
        <f>IF(O3405&gt;=3000,"Large","Small")</f>
        <v/>
      </c>
      <c r="R3405">
        <f>INDEX(Products!$F$2:$F$49,MATCH(J3405,Products!$A$2:$A$49,0))</f>
        <v/>
      </c>
      <c r="S3405">
        <f>WEEKDAY(B3405,2)</f>
        <v/>
      </c>
    </row>
    <row r="3406">
      <c r="A3406" t="n">
        <v>511202</v>
      </c>
      <c r="B3406" s="6" t="n">
        <v>45992</v>
      </c>
      <c r="C3406" t="n">
        <v>17575</v>
      </c>
      <c r="D3406" t="inlineStr">
        <is>
          <t>Pune</t>
        </is>
      </c>
      <c r="E3406" t="inlineStr">
        <is>
          <t>West</t>
        </is>
      </c>
      <c r="F3406" t="inlineStr">
        <is>
          <t>Paid Social</t>
        </is>
      </c>
      <c r="G3406" t="inlineStr">
        <is>
          <t>Mobile App</t>
        </is>
      </c>
      <c r="H3406" t="inlineStr">
        <is>
          <t>UPI</t>
        </is>
      </c>
      <c r="I3406" t="inlineStr">
        <is>
          <t>Delivered</t>
        </is>
      </c>
      <c r="J3406" t="n">
        <v>123</v>
      </c>
      <c r="K3406" t="n">
        <v>1</v>
      </c>
      <c r="L3406" t="n">
        <v>3464</v>
      </c>
      <c r="M3406" t="n">
        <v>0</v>
      </c>
      <c r="N3406">
        <f>VLOOKUP(J3406,Products!$A$2:$C$49,3,FALSE)</f>
        <v/>
      </c>
      <c r="O3406">
        <f>K3406*L3406-M3406</f>
        <v/>
      </c>
      <c r="P3406">
        <f>TEXT(B3406,"yyyy-mm")</f>
        <v/>
      </c>
      <c r="Q3406">
        <f>IF(O3406&gt;=3000,"Large","Small")</f>
        <v/>
      </c>
      <c r="R3406">
        <f>INDEX(Products!$F$2:$F$49,MATCH(J3406,Products!$A$2:$A$49,0))</f>
        <v/>
      </c>
      <c r="S3406">
        <f>WEEKDAY(B3406,2)</f>
        <v/>
      </c>
    </row>
    <row r="3407">
      <c r="A3407" t="n">
        <v>511203</v>
      </c>
      <c r="B3407" s="6" t="n">
        <v>45992</v>
      </c>
      <c r="C3407" t="n">
        <v>17578</v>
      </c>
      <c r="D3407" t="inlineStr">
        <is>
          <t>Hyderabad</t>
        </is>
      </c>
      <c r="E3407" t="inlineStr">
        <is>
          <t>South</t>
        </is>
      </c>
      <c r="F3407" t="inlineStr">
        <is>
          <t>Organic Search</t>
        </is>
      </c>
      <c r="G3407" t="inlineStr">
        <is>
          <t>Mobile App</t>
        </is>
      </c>
      <c r="H3407" t="inlineStr">
        <is>
          <t>Debit Card</t>
        </is>
      </c>
      <c r="I3407" t="inlineStr">
        <is>
          <t>Delivered</t>
        </is>
      </c>
      <c r="J3407" t="n">
        <v>135</v>
      </c>
      <c r="K3407" t="n">
        <v>3</v>
      </c>
      <c r="L3407" t="n">
        <v>1574</v>
      </c>
      <c r="M3407" t="n">
        <v>0</v>
      </c>
      <c r="N3407">
        <f>VLOOKUP(J3407,Products!$A$2:$C$49,3,FALSE)</f>
        <v/>
      </c>
      <c r="O3407">
        <f>K3407*L3407-M3407</f>
        <v/>
      </c>
      <c r="P3407">
        <f>TEXT(B3407,"yyyy-mm")</f>
        <v/>
      </c>
      <c r="Q3407">
        <f>IF(O3407&gt;=3000,"Large","Small")</f>
        <v/>
      </c>
      <c r="R3407">
        <f>INDEX(Products!$F$2:$F$49,MATCH(J3407,Products!$A$2:$A$49,0))</f>
        <v/>
      </c>
      <c r="S3407">
        <f>WEEKDAY(B3407,2)</f>
        <v/>
      </c>
    </row>
    <row r="3408">
      <c r="A3408" t="n">
        <v>511203</v>
      </c>
      <c r="B3408" s="6" t="n">
        <v>45992</v>
      </c>
      <c r="C3408" t="n">
        <v>17578</v>
      </c>
      <c r="D3408" t="inlineStr">
        <is>
          <t>Hyderabad</t>
        </is>
      </c>
      <c r="E3408" t="inlineStr">
        <is>
          <t>South</t>
        </is>
      </c>
      <c r="F3408" t="inlineStr">
        <is>
          <t>Organic Search</t>
        </is>
      </c>
      <c r="G3408" t="inlineStr">
        <is>
          <t>Mobile App</t>
        </is>
      </c>
      <c r="H3408" t="inlineStr">
        <is>
          <t>Debit Card</t>
        </is>
      </c>
      <c r="I3408" t="inlineStr">
        <is>
          <t>Delivered</t>
        </is>
      </c>
      <c r="J3408" t="n">
        <v>123</v>
      </c>
      <c r="K3408" t="n">
        <v>1</v>
      </c>
      <c r="L3408" t="n">
        <v>3464</v>
      </c>
      <c r="M3408" t="n">
        <v>0</v>
      </c>
      <c r="N3408">
        <f>VLOOKUP(J3408,Products!$A$2:$C$49,3,FALSE)</f>
        <v/>
      </c>
      <c r="O3408">
        <f>K3408*L3408-M3408</f>
        <v/>
      </c>
      <c r="P3408">
        <f>TEXT(B3408,"yyyy-mm")</f>
        <v/>
      </c>
      <c r="Q3408">
        <f>IF(O3408&gt;=3000,"Large","Small")</f>
        <v/>
      </c>
      <c r="R3408">
        <f>INDEX(Products!$F$2:$F$49,MATCH(J3408,Products!$A$2:$A$49,0))</f>
        <v/>
      </c>
      <c r="S3408">
        <f>WEEKDAY(B3408,2)</f>
        <v/>
      </c>
    </row>
    <row r="3409">
      <c r="A3409" t="n">
        <v>511204</v>
      </c>
      <c r="B3409" s="6" t="n">
        <v>45992</v>
      </c>
      <c r="C3409" t="n">
        <v>17552</v>
      </c>
      <c r="D3409" t="inlineStr">
        <is>
          <t>Chennai</t>
        </is>
      </c>
      <c r="E3409" t="inlineStr">
        <is>
          <t>South</t>
        </is>
      </c>
      <c r="F3409" t="inlineStr">
        <is>
          <t>Email</t>
        </is>
      </c>
      <c r="G3409" t="inlineStr">
        <is>
          <t>Mobile App</t>
        </is>
      </c>
      <c r="H3409" t="inlineStr">
        <is>
          <t>Cash on Delivery</t>
        </is>
      </c>
      <c r="I3409" t="inlineStr">
        <is>
          <t>Returned</t>
        </is>
      </c>
      <c r="J3409" t="n">
        <v>111</v>
      </c>
      <c r="K3409" t="n">
        <v>1</v>
      </c>
      <c r="L3409" t="n">
        <v>524</v>
      </c>
      <c r="M3409" t="n">
        <v>78.59999999999999</v>
      </c>
      <c r="N3409">
        <f>VLOOKUP(J3409,Products!$A$2:$C$49,3,FALSE)</f>
        <v/>
      </c>
      <c r="O3409">
        <f>K3409*L3409-M3409</f>
        <v/>
      </c>
      <c r="P3409">
        <f>TEXT(B3409,"yyyy-mm")</f>
        <v/>
      </c>
      <c r="Q3409">
        <f>IF(O3409&gt;=3000,"Large","Small")</f>
        <v/>
      </c>
      <c r="R3409">
        <f>INDEX(Products!$F$2:$F$49,MATCH(J3409,Products!$A$2:$A$49,0))</f>
        <v/>
      </c>
      <c r="S3409">
        <f>WEEKDAY(B3409,2)</f>
        <v/>
      </c>
    </row>
    <row r="3410">
      <c r="A3410" t="n">
        <v>511204</v>
      </c>
      <c r="B3410" s="6" t="n">
        <v>45992</v>
      </c>
      <c r="C3410" t="n">
        <v>17552</v>
      </c>
      <c r="D3410" t="inlineStr">
        <is>
          <t>Chennai</t>
        </is>
      </c>
      <c r="E3410" t="inlineStr">
        <is>
          <t>South</t>
        </is>
      </c>
      <c r="F3410" t="inlineStr">
        <is>
          <t>Email</t>
        </is>
      </c>
      <c r="G3410" t="inlineStr">
        <is>
          <t>Mobile App</t>
        </is>
      </c>
      <c r="H3410" t="inlineStr">
        <is>
          <t>Cash on Delivery</t>
        </is>
      </c>
      <c r="I3410" t="inlineStr">
        <is>
          <t>Returned</t>
        </is>
      </c>
      <c r="J3410" t="n">
        <v>107</v>
      </c>
      <c r="K3410" t="n">
        <v>1</v>
      </c>
      <c r="L3410" t="n">
        <v>1259</v>
      </c>
      <c r="M3410" t="n">
        <v>188.85</v>
      </c>
      <c r="N3410">
        <f>VLOOKUP(J3410,Products!$A$2:$C$49,3,FALSE)</f>
        <v/>
      </c>
      <c r="O3410">
        <f>K3410*L3410-M3410</f>
        <v/>
      </c>
      <c r="P3410">
        <f>TEXT(B3410,"yyyy-mm")</f>
        <v/>
      </c>
      <c r="Q3410">
        <f>IF(O3410&gt;=3000,"Large","Small")</f>
        <v/>
      </c>
      <c r="R3410">
        <f>INDEX(Products!$F$2:$F$49,MATCH(J3410,Products!$A$2:$A$49,0))</f>
        <v/>
      </c>
      <c r="S3410">
        <f>WEEKDAY(B3410,2)</f>
        <v/>
      </c>
    </row>
    <row r="3411">
      <c r="A3411" t="n">
        <v>511204</v>
      </c>
      <c r="B3411" s="6" t="n">
        <v>45992</v>
      </c>
      <c r="C3411" t="n">
        <v>17552</v>
      </c>
      <c r="D3411" t="inlineStr">
        <is>
          <t>Chennai</t>
        </is>
      </c>
      <c r="E3411" t="inlineStr">
        <is>
          <t>South</t>
        </is>
      </c>
      <c r="F3411" t="inlineStr">
        <is>
          <t>Email</t>
        </is>
      </c>
      <c r="G3411" t="inlineStr">
        <is>
          <t>Mobile App</t>
        </is>
      </c>
      <c r="H3411" t="inlineStr">
        <is>
          <t>Cash on Delivery</t>
        </is>
      </c>
      <c r="I3411" t="inlineStr">
        <is>
          <t>Returned</t>
        </is>
      </c>
      <c r="J3411" t="n">
        <v>139</v>
      </c>
      <c r="K3411" t="n">
        <v>1</v>
      </c>
      <c r="L3411" t="n">
        <v>366</v>
      </c>
      <c r="M3411" t="n">
        <v>54.9</v>
      </c>
      <c r="N3411">
        <f>VLOOKUP(J3411,Products!$A$2:$C$49,3,FALSE)</f>
        <v/>
      </c>
      <c r="O3411">
        <f>K3411*L3411-M3411</f>
        <v/>
      </c>
      <c r="P3411">
        <f>TEXT(B3411,"yyyy-mm")</f>
        <v/>
      </c>
      <c r="Q3411">
        <f>IF(O3411&gt;=3000,"Large","Small")</f>
        <v/>
      </c>
      <c r="R3411">
        <f>INDEX(Products!$F$2:$F$49,MATCH(J3411,Products!$A$2:$A$49,0))</f>
        <v/>
      </c>
      <c r="S3411">
        <f>WEEKDAY(B3411,2)</f>
        <v/>
      </c>
    </row>
    <row r="3412">
      <c r="A3412" t="n">
        <v>511205</v>
      </c>
      <c r="B3412" s="6" t="n">
        <v>45992</v>
      </c>
      <c r="C3412" t="n">
        <v>17550</v>
      </c>
      <c r="D3412" t="inlineStr">
        <is>
          <t>Kolkata</t>
        </is>
      </c>
      <c r="E3412" t="inlineStr">
        <is>
          <t>East</t>
        </is>
      </c>
      <c r="F3412" t="inlineStr">
        <is>
          <t>Paid Search</t>
        </is>
      </c>
      <c r="G3412" t="inlineStr">
        <is>
          <t>Mobile Web</t>
        </is>
      </c>
      <c r="H3412" t="inlineStr">
        <is>
          <t>Credit Card</t>
        </is>
      </c>
      <c r="I3412" t="inlineStr">
        <is>
          <t>Delivered</t>
        </is>
      </c>
      <c r="J3412" t="n">
        <v>133</v>
      </c>
      <c r="K3412" t="n">
        <v>1</v>
      </c>
      <c r="L3412" t="n">
        <v>419</v>
      </c>
      <c r="M3412" t="n">
        <v>20.95</v>
      </c>
      <c r="N3412">
        <f>VLOOKUP(J3412,Products!$A$2:$C$49,3,FALSE)</f>
        <v/>
      </c>
      <c r="O3412">
        <f>K3412*L3412-M3412</f>
        <v/>
      </c>
      <c r="P3412">
        <f>TEXT(B3412,"yyyy-mm")</f>
        <v/>
      </c>
      <c r="Q3412">
        <f>IF(O3412&gt;=3000,"Large","Small")</f>
        <v/>
      </c>
      <c r="R3412">
        <f>INDEX(Products!$F$2:$F$49,MATCH(J3412,Products!$A$2:$A$49,0))</f>
        <v/>
      </c>
      <c r="S3412">
        <f>WEEKDAY(B3412,2)</f>
        <v/>
      </c>
    </row>
    <row r="3413">
      <c r="A3413" t="n">
        <v>511206</v>
      </c>
      <c r="B3413" s="6" t="n">
        <v>45992</v>
      </c>
      <c r="C3413" t="n">
        <v>17583</v>
      </c>
      <c r="D3413" t="inlineStr">
        <is>
          <t>Bengaluru</t>
        </is>
      </c>
      <c r="E3413" t="inlineStr">
        <is>
          <t>South</t>
        </is>
      </c>
      <c r="F3413" t="inlineStr">
        <is>
          <t>Referral</t>
        </is>
      </c>
      <c r="G3413" t="inlineStr">
        <is>
          <t>Mobile App</t>
        </is>
      </c>
      <c r="H3413" t="inlineStr">
        <is>
          <t>Debit Card</t>
        </is>
      </c>
      <c r="I3413" t="inlineStr">
        <is>
          <t>Delivered</t>
        </is>
      </c>
      <c r="J3413" t="n">
        <v>114</v>
      </c>
      <c r="K3413" t="n">
        <v>1</v>
      </c>
      <c r="L3413" t="n">
        <v>1259</v>
      </c>
      <c r="M3413" t="n">
        <v>0</v>
      </c>
      <c r="N3413">
        <f>VLOOKUP(J3413,Products!$A$2:$C$49,3,FALSE)</f>
        <v/>
      </c>
      <c r="O3413">
        <f>K3413*L3413-M3413</f>
        <v/>
      </c>
      <c r="P3413">
        <f>TEXT(B3413,"yyyy-mm")</f>
        <v/>
      </c>
      <c r="Q3413">
        <f>IF(O3413&gt;=3000,"Large","Small")</f>
        <v/>
      </c>
      <c r="R3413">
        <f>INDEX(Products!$F$2:$F$49,MATCH(J3413,Products!$A$2:$A$49,0))</f>
        <v/>
      </c>
      <c r="S3413">
        <f>WEEKDAY(B3413,2)</f>
        <v/>
      </c>
    </row>
    <row r="3414">
      <c r="A3414" t="n">
        <v>511207</v>
      </c>
      <c r="B3414" s="6" t="n">
        <v>45993</v>
      </c>
      <c r="C3414" t="n">
        <v>17506</v>
      </c>
      <c r="D3414" t="inlineStr">
        <is>
          <t>Noida</t>
        </is>
      </c>
      <c r="E3414" t="inlineStr">
        <is>
          <t>North</t>
        </is>
      </c>
      <c r="F3414" t="inlineStr">
        <is>
          <t>Paid Social</t>
        </is>
      </c>
      <c r="G3414" t="inlineStr">
        <is>
          <t>Mobile App</t>
        </is>
      </c>
      <c r="H3414" t="inlineStr">
        <is>
          <t>Cash on Delivery</t>
        </is>
      </c>
      <c r="I3414" t="inlineStr">
        <is>
          <t>Cancelled</t>
        </is>
      </c>
      <c r="J3414" t="n">
        <v>123</v>
      </c>
      <c r="K3414" t="n">
        <v>1</v>
      </c>
      <c r="L3414" t="n">
        <v>3464</v>
      </c>
      <c r="M3414" t="n">
        <v>0</v>
      </c>
      <c r="N3414">
        <f>VLOOKUP(J3414,Products!$A$2:$C$49,3,FALSE)</f>
        <v/>
      </c>
      <c r="O3414">
        <f>K3414*L3414-M3414</f>
        <v/>
      </c>
      <c r="P3414">
        <f>TEXT(B3414,"yyyy-mm")</f>
        <v/>
      </c>
      <c r="Q3414">
        <f>IF(O3414&gt;=3000,"Large","Small")</f>
        <v/>
      </c>
      <c r="R3414">
        <f>INDEX(Products!$F$2:$F$49,MATCH(J3414,Products!$A$2:$A$49,0))</f>
        <v/>
      </c>
      <c r="S3414">
        <f>WEEKDAY(B3414,2)</f>
        <v/>
      </c>
    </row>
    <row r="3415">
      <c r="A3415" t="n">
        <v>511207</v>
      </c>
      <c r="B3415" s="6" t="n">
        <v>45993</v>
      </c>
      <c r="C3415" t="n">
        <v>17506</v>
      </c>
      <c r="D3415" t="inlineStr">
        <is>
          <t>Noida</t>
        </is>
      </c>
      <c r="E3415" t="inlineStr">
        <is>
          <t>North</t>
        </is>
      </c>
      <c r="F3415" t="inlineStr">
        <is>
          <t>Paid Social</t>
        </is>
      </c>
      <c r="G3415" t="inlineStr">
        <is>
          <t>Mobile App</t>
        </is>
      </c>
      <c r="H3415" t="inlineStr">
        <is>
          <t>Cash on Delivery</t>
        </is>
      </c>
      <c r="I3415" t="inlineStr">
        <is>
          <t>Cancelled</t>
        </is>
      </c>
      <c r="J3415" t="n">
        <v>133</v>
      </c>
      <c r="K3415" t="n">
        <v>1</v>
      </c>
      <c r="L3415" t="n">
        <v>419</v>
      </c>
      <c r="M3415" t="n">
        <v>0</v>
      </c>
      <c r="N3415">
        <f>VLOOKUP(J3415,Products!$A$2:$C$49,3,FALSE)</f>
        <v/>
      </c>
      <c r="O3415">
        <f>K3415*L3415-M3415</f>
        <v/>
      </c>
      <c r="P3415">
        <f>TEXT(B3415,"yyyy-mm")</f>
        <v/>
      </c>
      <c r="Q3415">
        <f>IF(O3415&gt;=3000,"Large","Small")</f>
        <v/>
      </c>
      <c r="R3415">
        <f>INDEX(Products!$F$2:$F$49,MATCH(J3415,Products!$A$2:$A$49,0))</f>
        <v/>
      </c>
      <c r="S3415">
        <f>WEEKDAY(B3415,2)</f>
        <v/>
      </c>
    </row>
    <row r="3416">
      <c r="A3416" t="n">
        <v>511207</v>
      </c>
      <c r="B3416" s="6" t="n">
        <v>45993</v>
      </c>
      <c r="C3416" t="n">
        <v>17506</v>
      </c>
      <c r="D3416" t="inlineStr">
        <is>
          <t>Noida</t>
        </is>
      </c>
      <c r="E3416" t="inlineStr">
        <is>
          <t>North</t>
        </is>
      </c>
      <c r="F3416" t="inlineStr">
        <is>
          <t>Paid Social</t>
        </is>
      </c>
      <c r="G3416" t="inlineStr">
        <is>
          <t>Mobile App</t>
        </is>
      </c>
      <c r="H3416" t="inlineStr">
        <is>
          <t>Cash on Delivery</t>
        </is>
      </c>
      <c r="I3416" t="inlineStr">
        <is>
          <t>Cancelled</t>
        </is>
      </c>
      <c r="J3416" t="n">
        <v>127</v>
      </c>
      <c r="K3416" t="n">
        <v>2</v>
      </c>
      <c r="L3416" t="n">
        <v>681</v>
      </c>
      <c r="M3416" t="n">
        <v>0</v>
      </c>
      <c r="N3416">
        <f>VLOOKUP(J3416,Products!$A$2:$C$49,3,FALSE)</f>
        <v/>
      </c>
      <c r="O3416">
        <f>K3416*L3416-M3416</f>
        <v/>
      </c>
      <c r="P3416">
        <f>TEXT(B3416,"yyyy-mm")</f>
        <v/>
      </c>
      <c r="Q3416">
        <f>IF(O3416&gt;=3000,"Large","Small")</f>
        <v/>
      </c>
      <c r="R3416">
        <f>INDEX(Products!$F$2:$F$49,MATCH(J3416,Products!$A$2:$A$49,0))</f>
        <v/>
      </c>
      <c r="S3416">
        <f>WEEKDAY(B3416,2)</f>
        <v/>
      </c>
    </row>
    <row r="3417">
      <c r="A3417" t="n">
        <v>511207</v>
      </c>
      <c r="B3417" s="6" t="n">
        <v>45993</v>
      </c>
      <c r="C3417" t="n">
        <v>17506</v>
      </c>
      <c r="D3417" t="inlineStr">
        <is>
          <t>Noida</t>
        </is>
      </c>
      <c r="E3417" t="inlineStr">
        <is>
          <t>North</t>
        </is>
      </c>
      <c r="F3417" t="inlineStr">
        <is>
          <t>Paid Social</t>
        </is>
      </c>
      <c r="G3417" t="inlineStr">
        <is>
          <t>Mobile App</t>
        </is>
      </c>
      <c r="H3417" t="inlineStr">
        <is>
          <t>Cash on Delivery</t>
        </is>
      </c>
      <c r="I3417" t="inlineStr">
        <is>
          <t>Cancelled</t>
        </is>
      </c>
      <c r="J3417" t="n">
        <v>103</v>
      </c>
      <c r="K3417" t="n">
        <v>1</v>
      </c>
      <c r="L3417" t="n">
        <v>2624</v>
      </c>
      <c r="M3417" t="n">
        <v>0</v>
      </c>
      <c r="N3417">
        <f>VLOOKUP(J3417,Products!$A$2:$C$49,3,FALSE)</f>
        <v/>
      </c>
      <c r="O3417">
        <f>K3417*L3417-M3417</f>
        <v/>
      </c>
      <c r="P3417">
        <f>TEXT(B3417,"yyyy-mm")</f>
        <v/>
      </c>
      <c r="Q3417">
        <f>IF(O3417&gt;=3000,"Large","Small")</f>
        <v/>
      </c>
      <c r="R3417">
        <f>INDEX(Products!$F$2:$F$49,MATCH(J3417,Products!$A$2:$A$49,0))</f>
        <v/>
      </c>
      <c r="S3417">
        <f>WEEKDAY(B3417,2)</f>
        <v/>
      </c>
    </row>
    <row r="3418">
      <c r="A3418" t="n">
        <v>511208</v>
      </c>
      <c r="B3418" s="6" t="n">
        <v>45993</v>
      </c>
      <c r="C3418" t="n">
        <v>16347</v>
      </c>
      <c r="D3418" t="inlineStr">
        <is>
          <t>Mumbai</t>
        </is>
      </c>
      <c r="E3418" t="inlineStr">
        <is>
          <t>West</t>
        </is>
      </c>
      <c r="F3418" t="inlineStr">
        <is>
          <t>Referral</t>
        </is>
      </c>
      <c r="G3418" t="inlineStr">
        <is>
          <t>Mobile App</t>
        </is>
      </c>
      <c r="H3418" t="inlineStr">
        <is>
          <t>Net Banking</t>
        </is>
      </c>
      <c r="I3418" t="inlineStr">
        <is>
          <t>Delivered</t>
        </is>
      </c>
      <c r="J3418" t="n">
        <v>113</v>
      </c>
      <c r="K3418" t="n">
        <v>1</v>
      </c>
      <c r="L3418" t="n">
        <v>1364</v>
      </c>
      <c r="M3418" t="n">
        <v>68.2</v>
      </c>
      <c r="N3418">
        <f>VLOOKUP(J3418,Products!$A$2:$C$49,3,FALSE)</f>
        <v/>
      </c>
      <c r="O3418">
        <f>K3418*L3418-M3418</f>
        <v/>
      </c>
      <c r="P3418">
        <f>TEXT(B3418,"yyyy-mm")</f>
        <v/>
      </c>
      <c r="Q3418">
        <f>IF(O3418&gt;=3000,"Large","Small")</f>
        <v/>
      </c>
      <c r="R3418">
        <f>INDEX(Products!$F$2:$F$49,MATCH(J3418,Products!$A$2:$A$49,0))</f>
        <v/>
      </c>
      <c r="S3418">
        <f>WEEKDAY(B3418,2)</f>
        <v/>
      </c>
    </row>
    <row r="3419">
      <c r="A3419" t="n">
        <v>511208</v>
      </c>
      <c r="B3419" s="6" t="n">
        <v>45993</v>
      </c>
      <c r="C3419" t="n">
        <v>16347</v>
      </c>
      <c r="D3419" t="inlineStr">
        <is>
          <t>Mumbai</t>
        </is>
      </c>
      <c r="E3419" t="inlineStr">
        <is>
          <t>West</t>
        </is>
      </c>
      <c r="F3419" t="inlineStr">
        <is>
          <t>Referral</t>
        </is>
      </c>
      <c r="G3419" t="inlineStr">
        <is>
          <t>Mobile App</t>
        </is>
      </c>
      <c r="H3419" t="inlineStr">
        <is>
          <t>Net Banking</t>
        </is>
      </c>
      <c r="I3419" t="inlineStr">
        <is>
          <t>Delivered</t>
        </is>
      </c>
      <c r="J3419" t="n">
        <v>137</v>
      </c>
      <c r="K3419" t="n">
        <v>1</v>
      </c>
      <c r="L3419" t="n">
        <v>261</v>
      </c>
      <c r="M3419" t="n">
        <v>13.05</v>
      </c>
      <c r="N3419">
        <f>VLOOKUP(J3419,Products!$A$2:$C$49,3,FALSE)</f>
        <v/>
      </c>
      <c r="O3419">
        <f>K3419*L3419-M3419</f>
        <v/>
      </c>
      <c r="P3419">
        <f>TEXT(B3419,"yyyy-mm")</f>
        <v/>
      </c>
      <c r="Q3419">
        <f>IF(O3419&gt;=3000,"Large","Small")</f>
        <v/>
      </c>
      <c r="R3419">
        <f>INDEX(Products!$F$2:$F$49,MATCH(J3419,Products!$A$2:$A$49,0))</f>
        <v/>
      </c>
      <c r="S3419">
        <f>WEEKDAY(B3419,2)</f>
        <v/>
      </c>
    </row>
    <row r="3420">
      <c r="A3420" t="n">
        <v>511209</v>
      </c>
      <c r="B3420" s="6" t="n">
        <v>45993</v>
      </c>
      <c r="C3420" t="n">
        <v>16644</v>
      </c>
      <c r="D3420" t="inlineStr">
        <is>
          <t>Pune</t>
        </is>
      </c>
      <c r="E3420" t="inlineStr">
        <is>
          <t>West</t>
        </is>
      </c>
      <c r="F3420" t="inlineStr">
        <is>
          <t>Organic Search</t>
        </is>
      </c>
      <c r="G3420" t="inlineStr">
        <is>
          <t>Mobile Web</t>
        </is>
      </c>
      <c r="H3420" t="inlineStr">
        <is>
          <t>UPI</t>
        </is>
      </c>
      <c r="I3420" t="inlineStr">
        <is>
          <t>Delivered</t>
        </is>
      </c>
      <c r="J3420" t="n">
        <v>145</v>
      </c>
      <c r="K3420" t="n">
        <v>1</v>
      </c>
      <c r="L3420" t="n">
        <v>629</v>
      </c>
      <c r="M3420" t="n">
        <v>0</v>
      </c>
      <c r="N3420">
        <f>VLOOKUP(J3420,Products!$A$2:$C$49,3,FALSE)</f>
        <v/>
      </c>
      <c r="O3420">
        <f>K3420*L3420-M3420</f>
        <v/>
      </c>
      <c r="P3420">
        <f>TEXT(B3420,"yyyy-mm")</f>
        <v/>
      </c>
      <c r="Q3420">
        <f>IF(O3420&gt;=3000,"Large","Small")</f>
        <v/>
      </c>
      <c r="R3420">
        <f>INDEX(Products!$F$2:$F$49,MATCH(J3420,Products!$A$2:$A$49,0))</f>
        <v/>
      </c>
      <c r="S3420">
        <f>WEEKDAY(B3420,2)</f>
        <v/>
      </c>
    </row>
    <row r="3421">
      <c r="A3421" t="n">
        <v>511210</v>
      </c>
      <c r="B3421" s="6" t="n">
        <v>45993</v>
      </c>
      <c r="C3421" t="n">
        <v>17593</v>
      </c>
      <c r="D3421" t="inlineStr">
        <is>
          <t>Gurugram</t>
        </is>
      </c>
      <c r="E3421" t="inlineStr">
        <is>
          <t>North</t>
        </is>
      </c>
      <c r="F3421" t="inlineStr">
        <is>
          <t>Paid Search</t>
        </is>
      </c>
      <c r="G3421" t="inlineStr">
        <is>
          <t>Mobile App</t>
        </is>
      </c>
      <c r="H3421" t="inlineStr">
        <is>
          <t>Cash on Delivery</t>
        </is>
      </c>
      <c r="I3421" t="inlineStr">
        <is>
          <t>Delivered</t>
        </is>
      </c>
      <c r="J3421" t="n">
        <v>125</v>
      </c>
      <c r="K3421" t="n">
        <v>1</v>
      </c>
      <c r="L3421" t="n">
        <v>1364</v>
      </c>
      <c r="M3421" t="n">
        <v>0</v>
      </c>
      <c r="N3421">
        <f>VLOOKUP(J3421,Products!$A$2:$C$49,3,FALSE)</f>
        <v/>
      </c>
      <c r="O3421">
        <f>K3421*L3421-M3421</f>
        <v/>
      </c>
      <c r="P3421">
        <f>TEXT(B3421,"yyyy-mm")</f>
        <v/>
      </c>
      <c r="Q3421">
        <f>IF(O3421&gt;=3000,"Large","Small")</f>
        <v/>
      </c>
      <c r="R3421">
        <f>INDEX(Products!$F$2:$F$49,MATCH(J3421,Products!$A$2:$A$49,0))</f>
        <v/>
      </c>
      <c r="S3421">
        <f>WEEKDAY(B3421,2)</f>
        <v/>
      </c>
    </row>
    <row r="3422">
      <c r="A3422" t="n">
        <v>511211</v>
      </c>
      <c r="B3422" s="6" t="n">
        <v>45993</v>
      </c>
      <c r="C3422" t="n">
        <v>11850</v>
      </c>
      <c r="D3422" t="inlineStr">
        <is>
          <t>Bengaluru</t>
        </is>
      </c>
      <c r="E3422" t="inlineStr">
        <is>
          <t>South</t>
        </is>
      </c>
      <c r="F3422" t="inlineStr">
        <is>
          <t>Paid Social</t>
        </is>
      </c>
      <c r="G3422" t="inlineStr">
        <is>
          <t>Mobile App</t>
        </is>
      </c>
      <c r="H3422" t="inlineStr">
        <is>
          <t>Credit Card</t>
        </is>
      </c>
      <c r="I3422" t="inlineStr">
        <is>
          <t>Delivered</t>
        </is>
      </c>
      <c r="J3422" t="n">
        <v>130</v>
      </c>
      <c r="K3422" t="n">
        <v>1</v>
      </c>
      <c r="L3422" t="n">
        <v>734</v>
      </c>
      <c r="M3422" t="n">
        <v>0</v>
      </c>
      <c r="N3422">
        <f>VLOOKUP(J3422,Products!$A$2:$C$49,3,FALSE)</f>
        <v/>
      </c>
      <c r="O3422">
        <f>K3422*L3422-M3422</f>
        <v/>
      </c>
      <c r="P3422">
        <f>TEXT(B3422,"yyyy-mm")</f>
        <v/>
      </c>
      <c r="Q3422">
        <f>IF(O3422&gt;=3000,"Large","Small")</f>
        <v/>
      </c>
      <c r="R3422">
        <f>INDEX(Products!$F$2:$F$49,MATCH(J3422,Products!$A$2:$A$49,0))</f>
        <v/>
      </c>
      <c r="S3422">
        <f>WEEKDAY(B3422,2)</f>
        <v/>
      </c>
    </row>
    <row r="3423">
      <c r="A3423" t="n">
        <v>511211</v>
      </c>
      <c r="B3423" s="6" t="n">
        <v>45993</v>
      </c>
      <c r="C3423" t="n">
        <v>11850</v>
      </c>
      <c r="D3423" t="inlineStr">
        <is>
          <t>Bengaluru</t>
        </is>
      </c>
      <c r="E3423" t="inlineStr">
        <is>
          <t>South</t>
        </is>
      </c>
      <c r="F3423" t="inlineStr">
        <is>
          <t>Paid Social</t>
        </is>
      </c>
      <c r="G3423" t="inlineStr">
        <is>
          <t>Mobile App</t>
        </is>
      </c>
      <c r="H3423" t="inlineStr">
        <is>
          <t>Credit Card</t>
        </is>
      </c>
      <c r="I3423" t="inlineStr">
        <is>
          <t>Delivered</t>
        </is>
      </c>
      <c r="J3423" t="n">
        <v>114</v>
      </c>
      <c r="K3423" t="n">
        <v>1</v>
      </c>
      <c r="L3423" t="n">
        <v>1259</v>
      </c>
      <c r="M3423" t="n">
        <v>0</v>
      </c>
      <c r="N3423">
        <f>VLOOKUP(J3423,Products!$A$2:$C$49,3,FALSE)</f>
        <v/>
      </c>
      <c r="O3423">
        <f>K3423*L3423-M3423</f>
        <v/>
      </c>
      <c r="P3423">
        <f>TEXT(B3423,"yyyy-mm")</f>
        <v/>
      </c>
      <c r="Q3423">
        <f>IF(O3423&gt;=3000,"Large","Small")</f>
        <v/>
      </c>
      <c r="R3423">
        <f>INDEX(Products!$F$2:$F$49,MATCH(J3423,Products!$A$2:$A$49,0))</f>
        <v/>
      </c>
      <c r="S3423">
        <f>WEEKDAY(B3423,2)</f>
        <v/>
      </c>
    </row>
    <row r="3424">
      <c r="A3424" t="n">
        <v>511212</v>
      </c>
      <c r="B3424" s="6" t="n">
        <v>45993</v>
      </c>
      <c r="C3424" t="n">
        <v>14486</v>
      </c>
      <c r="D3424" t="inlineStr">
        <is>
          <t>Gurugram</t>
        </is>
      </c>
      <c r="E3424" t="inlineStr">
        <is>
          <t>North</t>
        </is>
      </c>
      <c r="F3424" t="inlineStr">
        <is>
          <t>Referral</t>
        </is>
      </c>
      <c r="G3424" t="inlineStr">
        <is>
          <t>Mobile App</t>
        </is>
      </c>
      <c r="H3424" t="inlineStr">
        <is>
          <t>Credit Card</t>
        </is>
      </c>
      <c r="I3424" t="inlineStr">
        <is>
          <t>Delivered</t>
        </is>
      </c>
      <c r="J3424" t="n">
        <v>127</v>
      </c>
      <c r="K3424" t="n">
        <v>3</v>
      </c>
      <c r="L3424" t="n">
        <v>681</v>
      </c>
      <c r="M3424" t="n">
        <v>102.15</v>
      </c>
      <c r="N3424">
        <f>VLOOKUP(J3424,Products!$A$2:$C$49,3,FALSE)</f>
        <v/>
      </c>
      <c r="O3424">
        <f>K3424*L3424-M3424</f>
        <v/>
      </c>
      <c r="P3424">
        <f>TEXT(B3424,"yyyy-mm")</f>
        <v/>
      </c>
      <c r="Q3424">
        <f>IF(O3424&gt;=3000,"Large","Small")</f>
        <v/>
      </c>
      <c r="R3424">
        <f>INDEX(Products!$F$2:$F$49,MATCH(J3424,Products!$A$2:$A$49,0))</f>
        <v/>
      </c>
      <c r="S3424">
        <f>WEEKDAY(B3424,2)</f>
        <v/>
      </c>
    </row>
    <row r="3425">
      <c r="A3425" t="n">
        <v>511213</v>
      </c>
      <c r="B3425" s="6" t="n">
        <v>45993</v>
      </c>
      <c r="C3425" t="n">
        <v>15360</v>
      </c>
      <c r="D3425" t="inlineStr">
        <is>
          <t>Jaipur</t>
        </is>
      </c>
      <c r="E3425" t="inlineStr">
        <is>
          <t>North</t>
        </is>
      </c>
      <c r="F3425" t="inlineStr">
        <is>
          <t>Email</t>
        </is>
      </c>
      <c r="G3425" t="inlineStr">
        <is>
          <t>Mobile App</t>
        </is>
      </c>
      <c r="H3425" t="inlineStr">
        <is>
          <t>UPI</t>
        </is>
      </c>
      <c r="I3425" t="inlineStr">
        <is>
          <t>Delivered</t>
        </is>
      </c>
      <c r="J3425" t="n">
        <v>118</v>
      </c>
      <c r="K3425" t="n">
        <v>1</v>
      </c>
      <c r="L3425" t="n">
        <v>944</v>
      </c>
      <c r="M3425" t="n">
        <v>0</v>
      </c>
      <c r="N3425">
        <f>VLOOKUP(J3425,Products!$A$2:$C$49,3,FALSE)</f>
        <v/>
      </c>
      <c r="O3425">
        <f>K3425*L3425-M3425</f>
        <v/>
      </c>
      <c r="P3425">
        <f>TEXT(B3425,"yyyy-mm")</f>
        <v/>
      </c>
      <c r="Q3425">
        <f>IF(O3425&gt;=3000,"Large","Small")</f>
        <v/>
      </c>
      <c r="R3425">
        <f>INDEX(Products!$F$2:$F$49,MATCH(J3425,Products!$A$2:$A$49,0))</f>
        <v/>
      </c>
      <c r="S3425">
        <f>WEEKDAY(B3425,2)</f>
        <v/>
      </c>
    </row>
    <row r="3426">
      <c r="A3426" t="n">
        <v>511213</v>
      </c>
      <c r="B3426" s="6" t="n">
        <v>45993</v>
      </c>
      <c r="C3426" t="n">
        <v>15360</v>
      </c>
      <c r="D3426" t="inlineStr">
        <is>
          <t>Jaipur</t>
        </is>
      </c>
      <c r="E3426" t="inlineStr">
        <is>
          <t>North</t>
        </is>
      </c>
      <c r="F3426" t="inlineStr">
        <is>
          <t>Email</t>
        </is>
      </c>
      <c r="G3426" t="inlineStr">
        <is>
          <t>Mobile App</t>
        </is>
      </c>
      <c r="H3426" t="inlineStr">
        <is>
          <t>UPI</t>
        </is>
      </c>
      <c r="I3426" t="inlineStr">
        <is>
          <t>Delivered</t>
        </is>
      </c>
      <c r="J3426" t="n">
        <v>138</v>
      </c>
      <c r="K3426" t="n">
        <v>1</v>
      </c>
      <c r="L3426" t="n">
        <v>419</v>
      </c>
      <c r="M3426" t="n">
        <v>0</v>
      </c>
      <c r="N3426">
        <f>VLOOKUP(J3426,Products!$A$2:$C$49,3,FALSE)</f>
        <v/>
      </c>
      <c r="O3426">
        <f>K3426*L3426-M3426</f>
        <v/>
      </c>
      <c r="P3426">
        <f>TEXT(B3426,"yyyy-mm")</f>
        <v/>
      </c>
      <c r="Q3426">
        <f>IF(O3426&gt;=3000,"Large","Small")</f>
        <v/>
      </c>
      <c r="R3426">
        <f>INDEX(Products!$F$2:$F$49,MATCH(J3426,Products!$A$2:$A$49,0))</f>
        <v/>
      </c>
      <c r="S3426">
        <f>WEEKDAY(B3426,2)</f>
        <v/>
      </c>
    </row>
    <row r="3427">
      <c r="A3427" t="n">
        <v>511214</v>
      </c>
      <c r="B3427" s="6" t="n">
        <v>45993</v>
      </c>
      <c r="C3427" t="n">
        <v>17557</v>
      </c>
      <c r="D3427" t="inlineStr">
        <is>
          <t>Hyderabad</t>
        </is>
      </c>
      <c r="E3427" t="inlineStr">
        <is>
          <t>South</t>
        </is>
      </c>
      <c r="F3427" t="inlineStr">
        <is>
          <t>Organic Search</t>
        </is>
      </c>
      <c r="G3427" t="inlineStr">
        <is>
          <t>Mobile App</t>
        </is>
      </c>
      <c r="H3427" t="inlineStr">
        <is>
          <t>UPI</t>
        </is>
      </c>
      <c r="I3427" t="inlineStr">
        <is>
          <t>Delivered</t>
        </is>
      </c>
      <c r="J3427" t="n">
        <v>128</v>
      </c>
      <c r="K3427" t="n">
        <v>1</v>
      </c>
      <c r="L3427" t="n">
        <v>1049</v>
      </c>
      <c r="M3427" t="n">
        <v>52.45</v>
      </c>
      <c r="N3427">
        <f>VLOOKUP(J3427,Products!$A$2:$C$49,3,FALSE)</f>
        <v/>
      </c>
      <c r="O3427">
        <f>K3427*L3427-M3427</f>
        <v/>
      </c>
      <c r="P3427">
        <f>TEXT(B3427,"yyyy-mm")</f>
        <v/>
      </c>
      <c r="Q3427">
        <f>IF(O3427&gt;=3000,"Large","Small")</f>
        <v/>
      </c>
      <c r="R3427">
        <f>INDEX(Products!$F$2:$F$49,MATCH(J3427,Products!$A$2:$A$49,0))</f>
        <v/>
      </c>
      <c r="S3427">
        <f>WEEKDAY(B3427,2)</f>
        <v/>
      </c>
    </row>
    <row r="3428">
      <c r="A3428" t="n">
        <v>511215</v>
      </c>
      <c r="B3428" s="6" t="n">
        <v>45993</v>
      </c>
      <c r="C3428" t="n">
        <v>16742</v>
      </c>
      <c r="D3428" t="inlineStr">
        <is>
          <t>Jaipur</t>
        </is>
      </c>
      <c r="E3428" t="inlineStr">
        <is>
          <t>North</t>
        </is>
      </c>
      <c r="F3428" t="inlineStr">
        <is>
          <t>Email</t>
        </is>
      </c>
      <c r="G3428" t="inlineStr">
        <is>
          <t>Desktop</t>
        </is>
      </c>
      <c r="H3428" t="inlineStr">
        <is>
          <t>UPI</t>
        </is>
      </c>
      <c r="I3428" t="inlineStr">
        <is>
          <t>Delivered</t>
        </is>
      </c>
      <c r="J3428" t="n">
        <v>111</v>
      </c>
      <c r="K3428" t="n">
        <v>1</v>
      </c>
      <c r="L3428" t="n">
        <v>524</v>
      </c>
      <c r="M3428" t="n">
        <v>0</v>
      </c>
      <c r="N3428">
        <f>VLOOKUP(J3428,Products!$A$2:$C$49,3,FALSE)</f>
        <v/>
      </c>
      <c r="O3428">
        <f>K3428*L3428-M3428</f>
        <v/>
      </c>
      <c r="P3428">
        <f>TEXT(B3428,"yyyy-mm")</f>
        <v/>
      </c>
      <c r="Q3428">
        <f>IF(O3428&gt;=3000,"Large","Small")</f>
        <v/>
      </c>
      <c r="R3428">
        <f>INDEX(Products!$F$2:$F$49,MATCH(J3428,Products!$A$2:$A$49,0))</f>
        <v/>
      </c>
      <c r="S3428">
        <f>WEEKDAY(B3428,2)</f>
        <v/>
      </c>
    </row>
    <row r="3429">
      <c r="A3429" t="n">
        <v>511215</v>
      </c>
      <c r="B3429" s="6" t="n">
        <v>45993</v>
      </c>
      <c r="C3429" t="n">
        <v>16742</v>
      </c>
      <c r="D3429" t="inlineStr">
        <is>
          <t>Jaipur</t>
        </is>
      </c>
      <c r="E3429" t="inlineStr">
        <is>
          <t>North</t>
        </is>
      </c>
      <c r="F3429" t="inlineStr">
        <is>
          <t>Email</t>
        </is>
      </c>
      <c r="G3429" t="inlineStr">
        <is>
          <t>Desktop</t>
        </is>
      </c>
      <c r="H3429" t="inlineStr">
        <is>
          <t>UPI</t>
        </is>
      </c>
      <c r="I3429" t="inlineStr">
        <is>
          <t>Delivered</t>
        </is>
      </c>
      <c r="J3429" t="n">
        <v>132</v>
      </c>
      <c r="K3429" t="n">
        <v>1</v>
      </c>
      <c r="L3429" t="n">
        <v>471</v>
      </c>
      <c r="M3429" t="n">
        <v>0</v>
      </c>
      <c r="N3429">
        <f>VLOOKUP(J3429,Products!$A$2:$C$49,3,FALSE)</f>
        <v/>
      </c>
      <c r="O3429">
        <f>K3429*L3429-M3429</f>
        <v/>
      </c>
      <c r="P3429">
        <f>TEXT(B3429,"yyyy-mm")</f>
        <v/>
      </c>
      <c r="Q3429">
        <f>IF(O3429&gt;=3000,"Large","Small")</f>
        <v/>
      </c>
      <c r="R3429">
        <f>INDEX(Products!$F$2:$F$49,MATCH(J3429,Products!$A$2:$A$49,0))</f>
        <v/>
      </c>
      <c r="S3429">
        <f>WEEKDAY(B3429,2)</f>
        <v/>
      </c>
    </row>
    <row r="3430">
      <c r="A3430" t="n">
        <v>511216</v>
      </c>
      <c r="B3430" s="6" t="n">
        <v>45993</v>
      </c>
      <c r="C3430" t="n">
        <v>17568</v>
      </c>
      <c r="D3430" t="inlineStr">
        <is>
          <t>Delhi</t>
        </is>
      </c>
      <c r="E3430" t="inlineStr">
        <is>
          <t>North</t>
        </is>
      </c>
      <c r="F3430" t="inlineStr">
        <is>
          <t>Paid Social</t>
        </is>
      </c>
      <c r="G3430" t="inlineStr">
        <is>
          <t>Mobile Web</t>
        </is>
      </c>
      <c r="H3430" t="inlineStr">
        <is>
          <t>Cash on Delivery</t>
        </is>
      </c>
      <c r="I3430" t="inlineStr">
        <is>
          <t>Cancelled</t>
        </is>
      </c>
      <c r="J3430" t="n">
        <v>107</v>
      </c>
      <c r="K3430" t="n">
        <v>1</v>
      </c>
      <c r="L3430" t="n">
        <v>1259</v>
      </c>
      <c r="M3430" t="n">
        <v>0</v>
      </c>
      <c r="N3430">
        <f>VLOOKUP(J3430,Products!$A$2:$C$49,3,FALSE)</f>
        <v/>
      </c>
      <c r="O3430">
        <f>K3430*L3430-M3430</f>
        <v/>
      </c>
      <c r="P3430">
        <f>TEXT(B3430,"yyyy-mm")</f>
        <v/>
      </c>
      <c r="Q3430">
        <f>IF(O3430&gt;=3000,"Large","Small")</f>
        <v/>
      </c>
      <c r="R3430">
        <f>INDEX(Products!$F$2:$F$49,MATCH(J3430,Products!$A$2:$A$49,0))</f>
        <v/>
      </c>
      <c r="S3430">
        <f>WEEKDAY(B3430,2)</f>
        <v/>
      </c>
    </row>
    <row r="3431">
      <c r="A3431" t="n">
        <v>511216</v>
      </c>
      <c r="B3431" s="6" t="n">
        <v>45993</v>
      </c>
      <c r="C3431" t="n">
        <v>17568</v>
      </c>
      <c r="D3431" t="inlineStr">
        <is>
          <t>Delhi</t>
        </is>
      </c>
      <c r="E3431" t="inlineStr">
        <is>
          <t>North</t>
        </is>
      </c>
      <c r="F3431" t="inlineStr">
        <is>
          <t>Paid Social</t>
        </is>
      </c>
      <c r="G3431" t="inlineStr">
        <is>
          <t>Mobile Web</t>
        </is>
      </c>
      <c r="H3431" t="inlineStr">
        <is>
          <t>Cash on Delivery</t>
        </is>
      </c>
      <c r="I3431" t="inlineStr">
        <is>
          <t>Cancelled</t>
        </is>
      </c>
      <c r="J3431" t="n">
        <v>118</v>
      </c>
      <c r="K3431" t="n">
        <v>1</v>
      </c>
      <c r="L3431" t="n">
        <v>944</v>
      </c>
      <c r="M3431" t="n">
        <v>0</v>
      </c>
      <c r="N3431">
        <f>VLOOKUP(J3431,Products!$A$2:$C$49,3,FALSE)</f>
        <v/>
      </c>
      <c r="O3431">
        <f>K3431*L3431-M3431</f>
        <v/>
      </c>
      <c r="P3431">
        <f>TEXT(B3431,"yyyy-mm")</f>
        <v/>
      </c>
      <c r="Q3431">
        <f>IF(O3431&gt;=3000,"Large","Small")</f>
        <v/>
      </c>
      <c r="R3431">
        <f>INDEX(Products!$F$2:$F$49,MATCH(J3431,Products!$A$2:$A$49,0))</f>
        <v/>
      </c>
      <c r="S3431">
        <f>WEEKDAY(B3431,2)</f>
        <v/>
      </c>
    </row>
    <row r="3432">
      <c r="A3432" t="n">
        <v>511217</v>
      </c>
      <c r="B3432" s="6" t="n">
        <v>45993</v>
      </c>
      <c r="C3432" t="n">
        <v>17576</v>
      </c>
      <c r="D3432" t="inlineStr">
        <is>
          <t>Mumbai</t>
        </is>
      </c>
      <c r="E3432" t="inlineStr">
        <is>
          <t>West</t>
        </is>
      </c>
      <c r="F3432" t="inlineStr">
        <is>
          <t>Affiliate</t>
        </is>
      </c>
      <c r="G3432" t="inlineStr">
        <is>
          <t>Mobile App</t>
        </is>
      </c>
      <c r="H3432" t="inlineStr">
        <is>
          <t>UPI</t>
        </is>
      </c>
      <c r="I3432" t="inlineStr">
        <is>
          <t>Delivered</t>
        </is>
      </c>
      <c r="J3432" t="n">
        <v>137</v>
      </c>
      <c r="K3432" t="n">
        <v>2</v>
      </c>
      <c r="L3432" t="n">
        <v>261</v>
      </c>
      <c r="M3432" t="n">
        <v>78.3</v>
      </c>
      <c r="N3432">
        <f>VLOOKUP(J3432,Products!$A$2:$C$49,3,FALSE)</f>
        <v/>
      </c>
      <c r="O3432">
        <f>K3432*L3432-M3432</f>
        <v/>
      </c>
      <c r="P3432">
        <f>TEXT(B3432,"yyyy-mm")</f>
        <v/>
      </c>
      <c r="Q3432">
        <f>IF(O3432&gt;=3000,"Large","Small")</f>
        <v/>
      </c>
      <c r="R3432">
        <f>INDEX(Products!$F$2:$F$49,MATCH(J3432,Products!$A$2:$A$49,0))</f>
        <v/>
      </c>
      <c r="S3432">
        <f>WEEKDAY(B3432,2)</f>
        <v/>
      </c>
    </row>
    <row r="3433">
      <c r="A3433" t="n">
        <v>511218</v>
      </c>
      <c r="B3433" s="6" t="n">
        <v>45993</v>
      </c>
      <c r="C3433" t="n">
        <v>12589</v>
      </c>
      <c r="D3433" t="inlineStr">
        <is>
          <t>Bengaluru</t>
        </is>
      </c>
      <c r="E3433" t="inlineStr">
        <is>
          <t>South</t>
        </is>
      </c>
      <c r="F3433" t="inlineStr">
        <is>
          <t>Organic Search</t>
        </is>
      </c>
      <c r="G3433" t="inlineStr">
        <is>
          <t>Mobile App</t>
        </is>
      </c>
      <c r="H3433" t="inlineStr">
        <is>
          <t>UPI</t>
        </is>
      </c>
      <c r="I3433" t="inlineStr">
        <is>
          <t>Delivered</t>
        </is>
      </c>
      <c r="J3433" t="n">
        <v>104</v>
      </c>
      <c r="K3433" t="n">
        <v>1</v>
      </c>
      <c r="L3433" t="n">
        <v>5249</v>
      </c>
      <c r="M3433" t="n">
        <v>0</v>
      </c>
      <c r="N3433">
        <f>VLOOKUP(J3433,Products!$A$2:$C$49,3,FALSE)</f>
        <v/>
      </c>
      <c r="O3433">
        <f>K3433*L3433-M3433</f>
        <v/>
      </c>
      <c r="P3433">
        <f>TEXT(B3433,"yyyy-mm")</f>
        <v/>
      </c>
      <c r="Q3433">
        <f>IF(O3433&gt;=3000,"Large","Small")</f>
        <v/>
      </c>
      <c r="R3433">
        <f>INDEX(Products!$F$2:$F$49,MATCH(J3433,Products!$A$2:$A$49,0))</f>
        <v/>
      </c>
      <c r="S3433">
        <f>WEEKDAY(B3433,2)</f>
        <v/>
      </c>
    </row>
    <row r="3434">
      <c r="A3434" t="n">
        <v>511219</v>
      </c>
      <c r="B3434" s="6" t="n">
        <v>45993</v>
      </c>
      <c r="C3434" t="n">
        <v>14189</v>
      </c>
      <c r="D3434" t="inlineStr">
        <is>
          <t>Pune</t>
        </is>
      </c>
      <c r="E3434" t="inlineStr">
        <is>
          <t>West</t>
        </is>
      </c>
      <c r="F3434" t="inlineStr">
        <is>
          <t>Referral</t>
        </is>
      </c>
      <c r="G3434" t="inlineStr">
        <is>
          <t>Mobile App</t>
        </is>
      </c>
      <c r="H3434" t="inlineStr">
        <is>
          <t>Net Banking</t>
        </is>
      </c>
      <c r="I3434" t="inlineStr">
        <is>
          <t>Delivered</t>
        </is>
      </c>
      <c r="J3434" t="n">
        <v>110</v>
      </c>
      <c r="K3434" t="n">
        <v>1</v>
      </c>
      <c r="L3434" t="n">
        <v>839</v>
      </c>
      <c r="M3434" t="n">
        <v>0</v>
      </c>
      <c r="N3434">
        <f>VLOOKUP(J3434,Products!$A$2:$C$49,3,FALSE)</f>
        <v/>
      </c>
      <c r="O3434">
        <f>K3434*L3434-M3434</f>
        <v/>
      </c>
      <c r="P3434">
        <f>TEXT(B3434,"yyyy-mm")</f>
        <v/>
      </c>
      <c r="Q3434">
        <f>IF(O3434&gt;=3000,"Large","Small")</f>
        <v/>
      </c>
      <c r="R3434">
        <f>INDEX(Products!$F$2:$F$49,MATCH(J3434,Products!$A$2:$A$49,0))</f>
        <v/>
      </c>
      <c r="S3434">
        <f>WEEKDAY(B3434,2)</f>
        <v/>
      </c>
    </row>
    <row r="3435">
      <c r="A3435" t="n">
        <v>511220</v>
      </c>
      <c r="B3435" s="6" t="n">
        <v>45994</v>
      </c>
      <c r="C3435" t="n">
        <v>16713</v>
      </c>
      <c r="D3435" t="inlineStr">
        <is>
          <t>Mumbai</t>
        </is>
      </c>
      <c r="E3435" t="inlineStr">
        <is>
          <t>West</t>
        </is>
      </c>
      <c r="F3435" t="inlineStr">
        <is>
          <t>Email</t>
        </is>
      </c>
      <c r="G3435" t="inlineStr">
        <is>
          <t>Mobile App</t>
        </is>
      </c>
      <c r="H3435" t="inlineStr">
        <is>
          <t>Debit Card</t>
        </is>
      </c>
      <c r="I3435" t="inlineStr">
        <is>
          <t>Delivered</t>
        </is>
      </c>
      <c r="J3435" t="n">
        <v>111</v>
      </c>
      <c r="K3435" t="n">
        <v>3</v>
      </c>
      <c r="L3435" t="n">
        <v>524</v>
      </c>
      <c r="M3435" t="n">
        <v>0</v>
      </c>
      <c r="N3435">
        <f>VLOOKUP(J3435,Products!$A$2:$C$49,3,FALSE)</f>
        <v/>
      </c>
      <c r="O3435">
        <f>K3435*L3435-M3435</f>
        <v/>
      </c>
      <c r="P3435">
        <f>TEXT(B3435,"yyyy-mm")</f>
        <v/>
      </c>
      <c r="Q3435">
        <f>IF(O3435&gt;=3000,"Large","Small")</f>
        <v/>
      </c>
      <c r="R3435">
        <f>INDEX(Products!$F$2:$F$49,MATCH(J3435,Products!$A$2:$A$49,0))</f>
        <v/>
      </c>
      <c r="S3435">
        <f>WEEKDAY(B3435,2)</f>
        <v/>
      </c>
    </row>
    <row r="3436">
      <c r="A3436" t="n">
        <v>511221</v>
      </c>
      <c r="B3436" s="6" t="n">
        <v>45994</v>
      </c>
      <c r="C3436" t="n">
        <v>17597</v>
      </c>
      <c r="D3436" t="inlineStr">
        <is>
          <t>Ahmedabad</t>
        </is>
      </c>
      <c r="E3436" t="inlineStr">
        <is>
          <t>West</t>
        </is>
      </c>
      <c r="F3436" t="inlineStr">
        <is>
          <t>Organic Search</t>
        </is>
      </c>
      <c r="G3436" t="inlineStr">
        <is>
          <t>Mobile Web</t>
        </is>
      </c>
      <c r="H3436" t="inlineStr">
        <is>
          <t>UPI</t>
        </is>
      </c>
      <c r="I3436" t="inlineStr">
        <is>
          <t>Returned</t>
        </is>
      </c>
      <c r="J3436" t="n">
        <v>114</v>
      </c>
      <c r="K3436" t="n">
        <v>2</v>
      </c>
      <c r="L3436" t="n">
        <v>1259</v>
      </c>
      <c r="M3436" t="n">
        <v>377.7</v>
      </c>
      <c r="N3436">
        <f>VLOOKUP(J3436,Products!$A$2:$C$49,3,FALSE)</f>
        <v/>
      </c>
      <c r="O3436">
        <f>K3436*L3436-M3436</f>
        <v/>
      </c>
      <c r="P3436">
        <f>TEXT(B3436,"yyyy-mm")</f>
        <v/>
      </c>
      <c r="Q3436">
        <f>IF(O3436&gt;=3000,"Large","Small")</f>
        <v/>
      </c>
      <c r="R3436">
        <f>INDEX(Products!$F$2:$F$49,MATCH(J3436,Products!$A$2:$A$49,0))</f>
        <v/>
      </c>
      <c r="S3436">
        <f>WEEKDAY(B3436,2)</f>
        <v/>
      </c>
    </row>
    <row r="3437">
      <c r="A3437" t="n">
        <v>511222</v>
      </c>
      <c r="B3437" s="6" t="n">
        <v>45994</v>
      </c>
      <c r="C3437" t="n">
        <v>17565</v>
      </c>
      <c r="D3437" t="inlineStr">
        <is>
          <t>Gurugram</t>
        </is>
      </c>
      <c r="E3437" t="inlineStr">
        <is>
          <t>North</t>
        </is>
      </c>
      <c r="F3437" t="inlineStr">
        <is>
          <t>Referral</t>
        </is>
      </c>
      <c r="G3437" t="inlineStr">
        <is>
          <t>Mobile App</t>
        </is>
      </c>
      <c r="H3437" t="inlineStr">
        <is>
          <t>UPI</t>
        </is>
      </c>
      <c r="I3437" t="inlineStr">
        <is>
          <t>Delivered</t>
        </is>
      </c>
      <c r="J3437" t="n">
        <v>107</v>
      </c>
      <c r="K3437" t="n">
        <v>1</v>
      </c>
      <c r="L3437" t="n">
        <v>1259</v>
      </c>
      <c r="M3437" t="n">
        <v>0</v>
      </c>
      <c r="N3437">
        <f>VLOOKUP(J3437,Products!$A$2:$C$49,3,FALSE)</f>
        <v/>
      </c>
      <c r="O3437">
        <f>K3437*L3437-M3437</f>
        <v/>
      </c>
      <c r="P3437">
        <f>TEXT(B3437,"yyyy-mm")</f>
        <v/>
      </c>
      <c r="Q3437">
        <f>IF(O3437&gt;=3000,"Large","Small")</f>
        <v/>
      </c>
      <c r="R3437">
        <f>INDEX(Products!$F$2:$F$49,MATCH(J3437,Products!$A$2:$A$49,0))</f>
        <v/>
      </c>
      <c r="S3437">
        <f>WEEKDAY(B3437,2)</f>
        <v/>
      </c>
    </row>
    <row r="3438">
      <c r="A3438" t="n">
        <v>511223</v>
      </c>
      <c r="B3438" s="6" t="n">
        <v>45994</v>
      </c>
      <c r="C3438" t="n">
        <v>17615</v>
      </c>
      <c r="D3438" t="inlineStr">
        <is>
          <t>Gurugram</t>
        </is>
      </c>
      <c r="E3438" t="inlineStr">
        <is>
          <t>North</t>
        </is>
      </c>
      <c r="F3438" t="inlineStr">
        <is>
          <t>Affiliate</t>
        </is>
      </c>
      <c r="G3438" t="inlineStr">
        <is>
          <t>Desktop</t>
        </is>
      </c>
      <c r="H3438" t="inlineStr">
        <is>
          <t>Cash on Delivery</t>
        </is>
      </c>
      <c r="I3438" t="inlineStr">
        <is>
          <t>Delivered</t>
        </is>
      </c>
      <c r="J3438" t="n">
        <v>140</v>
      </c>
      <c r="K3438" t="n">
        <v>1</v>
      </c>
      <c r="L3438" t="n">
        <v>629</v>
      </c>
      <c r="M3438" t="n">
        <v>94.34999999999999</v>
      </c>
      <c r="N3438">
        <f>VLOOKUP(J3438,Products!$A$2:$C$49,3,FALSE)</f>
        <v/>
      </c>
      <c r="O3438">
        <f>K3438*L3438-M3438</f>
        <v/>
      </c>
      <c r="P3438">
        <f>TEXT(B3438,"yyyy-mm")</f>
        <v/>
      </c>
      <c r="Q3438">
        <f>IF(O3438&gt;=3000,"Large","Small")</f>
        <v/>
      </c>
      <c r="R3438">
        <f>INDEX(Products!$F$2:$F$49,MATCH(J3438,Products!$A$2:$A$49,0))</f>
        <v/>
      </c>
      <c r="S3438">
        <f>WEEKDAY(B3438,2)</f>
        <v/>
      </c>
    </row>
    <row r="3439">
      <c r="A3439" t="n">
        <v>511224</v>
      </c>
      <c r="B3439" s="6" t="n">
        <v>45994</v>
      </c>
      <c r="C3439" t="n">
        <v>17604</v>
      </c>
      <c r="D3439" t="inlineStr">
        <is>
          <t>Chandigarh</t>
        </is>
      </c>
      <c r="E3439" t="inlineStr">
        <is>
          <t>North</t>
        </is>
      </c>
      <c r="F3439" t="inlineStr">
        <is>
          <t>Paid Search</t>
        </is>
      </c>
      <c r="G3439" t="inlineStr">
        <is>
          <t>Mobile App</t>
        </is>
      </c>
      <c r="H3439" t="inlineStr">
        <is>
          <t>Debit Card</t>
        </is>
      </c>
      <c r="I3439" t="inlineStr">
        <is>
          <t>Delivered</t>
        </is>
      </c>
      <c r="J3439" t="n">
        <v>111</v>
      </c>
      <c r="K3439" t="n">
        <v>1</v>
      </c>
      <c r="L3439" t="n">
        <v>524</v>
      </c>
      <c r="M3439" t="n">
        <v>0</v>
      </c>
      <c r="N3439">
        <f>VLOOKUP(J3439,Products!$A$2:$C$49,3,FALSE)</f>
        <v/>
      </c>
      <c r="O3439">
        <f>K3439*L3439-M3439</f>
        <v/>
      </c>
      <c r="P3439">
        <f>TEXT(B3439,"yyyy-mm")</f>
        <v/>
      </c>
      <c r="Q3439">
        <f>IF(O3439&gt;=3000,"Large","Small")</f>
        <v/>
      </c>
      <c r="R3439">
        <f>INDEX(Products!$F$2:$F$49,MATCH(J3439,Products!$A$2:$A$49,0))</f>
        <v/>
      </c>
      <c r="S3439">
        <f>WEEKDAY(B3439,2)</f>
        <v/>
      </c>
    </row>
    <row r="3440">
      <c r="A3440" t="n">
        <v>511225</v>
      </c>
      <c r="B3440" s="6" t="n">
        <v>45994</v>
      </c>
      <c r="C3440" t="n">
        <v>17577</v>
      </c>
      <c r="D3440" t="inlineStr">
        <is>
          <t>Kolkata</t>
        </is>
      </c>
      <c r="E3440" t="inlineStr">
        <is>
          <t>East</t>
        </is>
      </c>
      <c r="F3440" t="inlineStr">
        <is>
          <t>Organic Search</t>
        </is>
      </c>
      <c r="G3440" t="inlineStr">
        <is>
          <t>Mobile App</t>
        </is>
      </c>
      <c r="H3440" t="inlineStr">
        <is>
          <t>Cash on Delivery</t>
        </is>
      </c>
      <c r="I3440" t="inlineStr">
        <is>
          <t>Delivered</t>
        </is>
      </c>
      <c r="J3440" t="n">
        <v>101</v>
      </c>
      <c r="K3440" t="n">
        <v>2</v>
      </c>
      <c r="L3440" t="n">
        <v>2099</v>
      </c>
      <c r="M3440" t="n">
        <v>0</v>
      </c>
      <c r="N3440">
        <f>VLOOKUP(J3440,Products!$A$2:$C$49,3,FALSE)</f>
        <v/>
      </c>
      <c r="O3440">
        <f>K3440*L3440-M3440</f>
        <v/>
      </c>
      <c r="P3440">
        <f>TEXT(B3440,"yyyy-mm")</f>
        <v/>
      </c>
      <c r="Q3440">
        <f>IF(O3440&gt;=3000,"Large","Small")</f>
        <v/>
      </c>
      <c r="R3440">
        <f>INDEX(Products!$F$2:$F$49,MATCH(J3440,Products!$A$2:$A$49,0))</f>
        <v/>
      </c>
      <c r="S3440">
        <f>WEEKDAY(B3440,2)</f>
        <v/>
      </c>
    </row>
    <row r="3441">
      <c r="A3441" t="n">
        <v>511226</v>
      </c>
      <c r="B3441" s="6" t="n">
        <v>45994</v>
      </c>
      <c r="C3441" t="n">
        <v>17457</v>
      </c>
      <c r="D3441" t="inlineStr">
        <is>
          <t>Chennai</t>
        </is>
      </c>
      <c r="E3441" t="inlineStr">
        <is>
          <t>South</t>
        </is>
      </c>
      <c r="F3441" t="inlineStr">
        <is>
          <t>Referral</t>
        </is>
      </c>
      <c r="G3441" t="inlineStr">
        <is>
          <t>Mobile Web</t>
        </is>
      </c>
      <c r="H3441" t="inlineStr">
        <is>
          <t>Debit Card</t>
        </is>
      </c>
      <c r="I3441" t="inlineStr">
        <is>
          <t>Delivered</t>
        </is>
      </c>
      <c r="J3441" t="n">
        <v>105</v>
      </c>
      <c r="K3441" t="n">
        <v>2</v>
      </c>
      <c r="L3441" t="n">
        <v>2414</v>
      </c>
      <c r="M3441" t="n">
        <v>0</v>
      </c>
      <c r="N3441">
        <f>VLOOKUP(J3441,Products!$A$2:$C$49,3,FALSE)</f>
        <v/>
      </c>
      <c r="O3441">
        <f>K3441*L3441-M3441</f>
        <v/>
      </c>
      <c r="P3441">
        <f>TEXT(B3441,"yyyy-mm")</f>
        <v/>
      </c>
      <c r="Q3441">
        <f>IF(O3441&gt;=3000,"Large","Small")</f>
        <v/>
      </c>
      <c r="R3441">
        <f>INDEX(Products!$F$2:$F$49,MATCH(J3441,Products!$A$2:$A$49,0))</f>
        <v/>
      </c>
      <c r="S3441">
        <f>WEEKDAY(B3441,2)</f>
        <v/>
      </c>
    </row>
    <row r="3442">
      <c r="A3442" t="n">
        <v>511227</v>
      </c>
      <c r="B3442" s="6" t="n">
        <v>45994</v>
      </c>
      <c r="C3442" t="n">
        <v>16412</v>
      </c>
      <c r="D3442" t="inlineStr">
        <is>
          <t>Kolkata</t>
        </is>
      </c>
      <c r="E3442" t="inlineStr">
        <is>
          <t>East</t>
        </is>
      </c>
      <c r="F3442" t="inlineStr">
        <is>
          <t>Organic Search</t>
        </is>
      </c>
      <c r="G3442" t="inlineStr">
        <is>
          <t>Mobile Web</t>
        </is>
      </c>
      <c r="H3442" t="inlineStr">
        <is>
          <t>Cash on Delivery</t>
        </is>
      </c>
      <c r="I3442" t="inlineStr">
        <is>
          <t>Delivered</t>
        </is>
      </c>
      <c r="J3442" t="n">
        <v>117</v>
      </c>
      <c r="K3442" t="n">
        <v>1</v>
      </c>
      <c r="L3442" t="n">
        <v>3149</v>
      </c>
      <c r="M3442" t="n">
        <v>0</v>
      </c>
      <c r="N3442">
        <f>VLOOKUP(J3442,Products!$A$2:$C$49,3,FALSE)</f>
        <v/>
      </c>
      <c r="O3442">
        <f>K3442*L3442-M3442</f>
        <v/>
      </c>
      <c r="P3442">
        <f>TEXT(B3442,"yyyy-mm")</f>
        <v/>
      </c>
      <c r="Q3442">
        <f>IF(O3442&gt;=3000,"Large","Small")</f>
        <v/>
      </c>
      <c r="R3442">
        <f>INDEX(Products!$F$2:$F$49,MATCH(J3442,Products!$A$2:$A$49,0))</f>
        <v/>
      </c>
      <c r="S3442">
        <f>WEEKDAY(B3442,2)</f>
        <v/>
      </c>
    </row>
    <row r="3443">
      <c r="A3443" t="n">
        <v>511228</v>
      </c>
      <c r="B3443" s="6" t="n">
        <v>45994</v>
      </c>
      <c r="C3443" t="n">
        <v>17605</v>
      </c>
      <c r="D3443" t="inlineStr">
        <is>
          <t>Pune</t>
        </is>
      </c>
      <c r="E3443" t="inlineStr">
        <is>
          <t>West</t>
        </is>
      </c>
      <c r="F3443" t="inlineStr">
        <is>
          <t>Affiliate</t>
        </is>
      </c>
      <c r="G3443" t="inlineStr">
        <is>
          <t>Mobile App</t>
        </is>
      </c>
      <c r="H3443" t="inlineStr">
        <is>
          <t>Cash on Delivery</t>
        </is>
      </c>
      <c r="I3443" t="inlineStr">
        <is>
          <t>Delivered</t>
        </is>
      </c>
      <c r="J3443" t="n">
        <v>118</v>
      </c>
      <c r="K3443" t="n">
        <v>1</v>
      </c>
      <c r="L3443" t="n">
        <v>944</v>
      </c>
      <c r="M3443" t="n">
        <v>141.6</v>
      </c>
      <c r="N3443">
        <f>VLOOKUP(J3443,Products!$A$2:$C$49,3,FALSE)</f>
        <v/>
      </c>
      <c r="O3443">
        <f>K3443*L3443-M3443</f>
        <v/>
      </c>
      <c r="P3443">
        <f>TEXT(B3443,"yyyy-mm")</f>
        <v/>
      </c>
      <c r="Q3443">
        <f>IF(O3443&gt;=3000,"Large","Small")</f>
        <v/>
      </c>
      <c r="R3443">
        <f>INDEX(Products!$F$2:$F$49,MATCH(J3443,Products!$A$2:$A$49,0))</f>
        <v/>
      </c>
      <c r="S3443">
        <f>WEEKDAY(B3443,2)</f>
        <v/>
      </c>
    </row>
    <row r="3444">
      <c r="A3444" t="n">
        <v>511228</v>
      </c>
      <c r="B3444" s="6" t="n">
        <v>45994</v>
      </c>
      <c r="C3444" t="n">
        <v>17605</v>
      </c>
      <c r="D3444" t="inlineStr">
        <is>
          <t>Pune</t>
        </is>
      </c>
      <c r="E3444" t="inlineStr">
        <is>
          <t>West</t>
        </is>
      </c>
      <c r="F3444" t="inlineStr">
        <is>
          <t>Affiliate</t>
        </is>
      </c>
      <c r="G3444" t="inlineStr">
        <is>
          <t>Mobile App</t>
        </is>
      </c>
      <c r="H3444" t="inlineStr">
        <is>
          <t>Cash on Delivery</t>
        </is>
      </c>
      <c r="I3444" t="inlineStr">
        <is>
          <t>Delivered</t>
        </is>
      </c>
      <c r="J3444" t="n">
        <v>145</v>
      </c>
      <c r="K3444" t="n">
        <v>1</v>
      </c>
      <c r="L3444" t="n">
        <v>629</v>
      </c>
      <c r="M3444" t="n">
        <v>94.34999999999999</v>
      </c>
      <c r="N3444">
        <f>VLOOKUP(J3444,Products!$A$2:$C$49,3,FALSE)</f>
        <v/>
      </c>
      <c r="O3444">
        <f>K3444*L3444-M3444</f>
        <v/>
      </c>
      <c r="P3444">
        <f>TEXT(B3444,"yyyy-mm")</f>
        <v/>
      </c>
      <c r="Q3444">
        <f>IF(O3444&gt;=3000,"Large","Small")</f>
        <v/>
      </c>
      <c r="R3444">
        <f>INDEX(Products!$F$2:$F$49,MATCH(J3444,Products!$A$2:$A$49,0))</f>
        <v/>
      </c>
      <c r="S3444">
        <f>WEEKDAY(B3444,2)</f>
        <v/>
      </c>
    </row>
    <row r="3445">
      <c r="A3445" t="n">
        <v>511229</v>
      </c>
      <c r="B3445" s="6" t="n">
        <v>45994</v>
      </c>
      <c r="C3445" t="n">
        <v>17531</v>
      </c>
      <c r="D3445" t="inlineStr">
        <is>
          <t>Bengaluru</t>
        </is>
      </c>
      <c r="E3445" t="inlineStr">
        <is>
          <t>South</t>
        </is>
      </c>
      <c r="F3445" t="inlineStr">
        <is>
          <t>Organic Search</t>
        </is>
      </c>
      <c r="G3445" t="inlineStr">
        <is>
          <t>Desktop</t>
        </is>
      </c>
      <c r="H3445" t="inlineStr">
        <is>
          <t>Cash on Delivery</t>
        </is>
      </c>
      <c r="I3445" t="inlineStr">
        <is>
          <t>Delivered</t>
        </is>
      </c>
      <c r="J3445" t="n">
        <v>136</v>
      </c>
      <c r="K3445" t="n">
        <v>1</v>
      </c>
      <c r="L3445" t="n">
        <v>944</v>
      </c>
      <c r="M3445" t="n">
        <v>0</v>
      </c>
      <c r="N3445">
        <f>VLOOKUP(J3445,Products!$A$2:$C$49,3,FALSE)</f>
        <v/>
      </c>
      <c r="O3445">
        <f>K3445*L3445-M3445</f>
        <v/>
      </c>
      <c r="P3445">
        <f>TEXT(B3445,"yyyy-mm")</f>
        <v/>
      </c>
      <c r="Q3445">
        <f>IF(O3445&gt;=3000,"Large","Small")</f>
        <v/>
      </c>
      <c r="R3445">
        <f>INDEX(Products!$F$2:$F$49,MATCH(J3445,Products!$A$2:$A$49,0))</f>
        <v/>
      </c>
      <c r="S3445">
        <f>WEEKDAY(B3445,2)</f>
        <v/>
      </c>
    </row>
    <row r="3446">
      <c r="A3446" t="n">
        <v>511230</v>
      </c>
      <c r="B3446" s="6" t="n">
        <v>45994</v>
      </c>
      <c r="C3446" t="n">
        <v>17309</v>
      </c>
      <c r="D3446" t="inlineStr">
        <is>
          <t>Mumbai</t>
        </is>
      </c>
      <c r="E3446" t="inlineStr">
        <is>
          <t>West</t>
        </is>
      </c>
      <c r="F3446" t="inlineStr">
        <is>
          <t>Organic Search</t>
        </is>
      </c>
      <c r="G3446" t="inlineStr">
        <is>
          <t>Mobile Web</t>
        </is>
      </c>
      <c r="H3446" t="inlineStr">
        <is>
          <t>Cash on Delivery</t>
        </is>
      </c>
      <c r="I3446" t="inlineStr">
        <is>
          <t>Delivered</t>
        </is>
      </c>
      <c r="J3446" t="n">
        <v>136</v>
      </c>
      <c r="K3446" t="n">
        <v>1</v>
      </c>
      <c r="L3446" t="n">
        <v>944</v>
      </c>
      <c r="M3446" t="n">
        <v>0</v>
      </c>
      <c r="N3446">
        <f>VLOOKUP(J3446,Products!$A$2:$C$49,3,FALSE)</f>
        <v/>
      </c>
      <c r="O3446">
        <f>K3446*L3446-M3446</f>
        <v/>
      </c>
      <c r="P3446">
        <f>TEXT(B3446,"yyyy-mm")</f>
        <v/>
      </c>
      <c r="Q3446">
        <f>IF(O3446&gt;=3000,"Large","Small")</f>
        <v/>
      </c>
      <c r="R3446">
        <f>INDEX(Products!$F$2:$F$49,MATCH(J3446,Products!$A$2:$A$49,0))</f>
        <v/>
      </c>
      <c r="S3446">
        <f>WEEKDAY(B3446,2)</f>
        <v/>
      </c>
    </row>
    <row r="3447">
      <c r="A3447" t="n">
        <v>511231</v>
      </c>
      <c r="B3447" s="6" t="n">
        <v>45994</v>
      </c>
      <c r="C3447" t="n">
        <v>17298</v>
      </c>
      <c r="D3447" t="inlineStr">
        <is>
          <t>Kolkata</t>
        </is>
      </c>
      <c r="E3447" t="inlineStr">
        <is>
          <t>East</t>
        </is>
      </c>
      <c r="F3447" t="inlineStr">
        <is>
          <t>Referral</t>
        </is>
      </c>
      <c r="G3447" t="inlineStr">
        <is>
          <t>Mobile App</t>
        </is>
      </c>
      <c r="H3447" t="inlineStr">
        <is>
          <t>Credit Card</t>
        </is>
      </c>
      <c r="I3447" t="inlineStr">
        <is>
          <t>Delivered</t>
        </is>
      </c>
      <c r="J3447" t="n">
        <v>142</v>
      </c>
      <c r="K3447" t="n">
        <v>1</v>
      </c>
      <c r="L3447" t="n">
        <v>839</v>
      </c>
      <c r="M3447" t="n">
        <v>0</v>
      </c>
      <c r="N3447">
        <f>VLOOKUP(J3447,Products!$A$2:$C$49,3,FALSE)</f>
        <v/>
      </c>
      <c r="O3447">
        <f>K3447*L3447-M3447</f>
        <v/>
      </c>
      <c r="P3447">
        <f>TEXT(B3447,"yyyy-mm")</f>
        <v/>
      </c>
      <c r="Q3447">
        <f>IF(O3447&gt;=3000,"Large","Small")</f>
        <v/>
      </c>
      <c r="R3447">
        <f>INDEX(Products!$F$2:$F$49,MATCH(J3447,Products!$A$2:$A$49,0))</f>
        <v/>
      </c>
      <c r="S3447">
        <f>WEEKDAY(B3447,2)</f>
        <v/>
      </c>
    </row>
    <row r="3448">
      <c r="A3448" t="n">
        <v>511231</v>
      </c>
      <c r="B3448" s="6" t="n">
        <v>45994</v>
      </c>
      <c r="C3448" t="n">
        <v>17298</v>
      </c>
      <c r="D3448" t="inlineStr">
        <is>
          <t>Kolkata</t>
        </is>
      </c>
      <c r="E3448" t="inlineStr">
        <is>
          <t>East</t>
        </is>
      </c>
      <c r="F3448" t="inlineStr">
        <is>
          <t>Referral</t>
        </is>
      </c>
      <c r="G3448" t="inlineStr">
        <is>
          <t>Mobile App</t>
        </is>
      </c>
      <c r="H3448" t="inlineStr">
        <is>
          <t>Credit Card</t>
        </is>
      </c>
      <c r="I3448" t="inlineStr">
        <is>
          <t>Delivered</t>
        </is>
      </c>
      <c r="J3448" t="n">
        <v>138</v>
      </c>
      <c r="K3448" t="n">
        <v>1</v>
      </c>
      <c r="L3448" t="n">
        <v>419</v>
      </c>
      <c r="M3448" t="n">
        <v>0</v>
      </c>
      <c r="N3448">
        <f>VLOOKUP(J3448,Products!$A$2:$C$49,3,FALSE)</f>
        <v/>
      </c>
      <c r="O3448">
        <f>K3448*L3448-M3448</f>
        <v/>
      </c>
      <c r="P3448">
        <f>TEXT(B3448,"yyyy-mm")</f>
        <v/>
      </c>
      <c r="Q3448">
        <f>IF(O3448&gt;=3000,"Large","Small")</f>
        <v/>
      </c>
      <c r="R3448">
        <f>INDEX(Products!$F$2:$F$49,MATCH(J3448,Products!$A$2:$A$49,0))</f>
        <v/>
      </c>
      <c r="S3448">
        <f>WEEKDAY(B3448,2)</f>
        <v/>
      </c>
    </row>
    <row r="3449">
      <c r="A3449" t="n">
        <v>511232</v>
      </c>
      <c r="B3449" s="6" t="n">
        <v>45994</v>
      </c>
      <c r="C3449" t="n">
        <v>17469</v>
      </c>
      <c r="D3449" t="inlineStr">
        <is>
          <t>Hyderabad</t>
        </is>
      </c>
      <c r="E3449" t="inlineStr">
        <is>
          <t>South</t>
        </is>
      </c>
      <c r="F3449" t="inlineStr">
        <is>
          <t>Referral</t>
        </is>
      </c>
      <c r="G3449" t="inlineStr">
        <is>
          <t>Mobile App</t>
        </is>
      </c>
      <c r="H3449" t="inlineStr">
        <is>
          <t>Cash on Delivery</t>
        </is>
      </c>
      <c r="I3449" t="inlineStr">
        <is>
          <t>Delivered</t>
        </is>
      </c>
      <c r="J3449" t="n">
        <v>121</v>
      </c>
      <c r="K3449" t="n">
        <v>1</v>
      </c>
      <c r="L3449" t="n">
        <v>2939</v>
      </c>
      <c r="M3449" t="n">
        <v>440.85</v>
      </c>
      <c r="N3449">
        <f>VLOOKUP(J3449,Products!$A$2:$C$49,3,FALSE)</f>
        <v/>
      </c>
      <c r="O3449">
        <f>K3449*L3449-M3449</f>
        <v/>
      </c>
      <c r="P3449">
        <f>TEXT(B3449,"yyyy-mm")</f>
        <v/>
      </c>
      <c r="Q3449">
        <f>IF(O3449&gt;=3000,"Large","Small")</f>
        <v/>
      </c>
      <c r="R3449">
        <f>INDEX(Products!$F$2:$F$49,MATCH(J3449,Products!$A$2:$A$49,0))</f>
        <v/>
      </c>
      <c r="S3449">
        <f>WEEKDAY(B3449,2)</f>
        <v/>
      </c>
    </row>
    <row r="3450">
      <c r="A3450" t="n">
        <v>511232</v>
      </c>
      <c r="B3450" s="6" t="n">
        <v>45994</v>
      </c>
      <c r="C3450" t="n">
        <v>17469</v>
      </c>
      <c r="D3450" t="inlineStr">
        <is>
          <t>Hyderabad</t>
        </is>
      </c>
      <c r="E3450" t="inlineStr">
        <is>
          <t>South</t>
        </is>
      </c>
      <c r="F3450" t="inlineStr">
        <is>
          <t>Referral</t>
        </is>
      </c>
      <c r="G3450" t="inlineStr">
        <is>
          <t>Mobile App</t>
        </is>
      </c>
      <c r="H3450" t="inlineStr">
        <is>
          <t>Cash on Delivery</t>
        </is>
      </c>
      <c r="I3450" t="inlineStr">
        <is>
          <t>Delivered</t>
        </is>
      </c>
      <c r="J3450" t="n">
        <v>123</v>
      </c>
      <c r="K3450" t="n">
        <v>1</v>
      </c>
      <c r="L3450" t="n">
        <v>3464</v>
      </c>
      <c r="M3450" t="n">
        <v>519.6</v>
      </c>
      <c r="N3450">
        <f>VLOOKUP(J3450,Products!$A$2:$C$49,3,FALSE)</f>
        <v/>
      </c>
      <c r="O3450">
        <f>K3450*L3450-M3450</f>
        <v/>
      </c>
      <c r="P3450">
        <f>TEXT(B3450,"yyyy-mm")</f>
        <v/>
      </c>
      <c r="Q3450">
        <f>IF(O3450&gt;=3000,"Large","Small")</f>
        <v/>
      </c>
      <c r="R3450">
        <f>INDEX(Products!$F$2:$F$49,MATCH(J3450,Products!$A$2:$A$49,0))</f>
        <v/>
      </c>
      <c r="S3450">
        <f>WEEKDAY(B3450,2)</f>
        <v/>
      </c>
    </row>
    <row r="3451">
      <c r="A3451" t="n">
        <v>511233</v>
      </c>
      <c r="B3451" s="6" t="n">
        <v>45994</v>
      </c>
      <c r="C3451" t="n">
        <v>17036</v>
      </c>
      <c r="D3451" t="inlineStr">
        <is>
          <t>Ahmedabad</t>
        </is>
      </c>
      <c r="E3451" t="inlineStr">
        <is>
          <t>West</t>
        </is>
      </c>
      <c r="F3451" t="inlineStr">
        <is>
          <t>Organic Search</t>
        </is>
      </c>
      <c r="G3451" t="inlineStr">
        <is>
          <t>Mobile App</t>
        </is>
      </c>
      <c r="H3451" t="inlineStr">
        <is>
          <t>UPI</t>
        </is>
      </c>
      <c r="I3451" t="inlineStr">
        <is>
          <t>Delivered</t>
        </is>
      </c>
      <c r="J3451" t="n">
        <v>123</v>
      </c>
      <c r="K3451" t="n">
        <v>3</v>
      </c>
      <c r="L3451" t="n">
        <v>3464</v>
      </c>
      <c r="M3451" t="n">
        <v>0</v>
      </c>
      <c r="N3451">
        <f>VLOOKUP(J3451,Products!$A$2:$C$49,3,FALSE)</f>
        <v/>
      </c>
      <c r="O3451">
        <f>K3451*L3451-M3451</f>
        <v/>
      </c>
      <c r="P3451">
        <f>TEXT(B3451,"yyyy-mm")</f>
        <v/>
      </c>
      <c r="Q3451">
        <f>IF(O3451&gt;=3000,"Large","Small")</f>
        <v/>
      </c>
      <c r="R3451">
        <f>INDEX(Products!$F$2:$F$49,MATCH(J3451,Products!$A$2:$A$49,0))</f>
        <v/>
      </c>
      <c r="S3451">
        <f>WEEKDAY(B3451,2)</f>
        <v/>
      </c>
    </row>
    <row r="3452">
      <c r="A3452" t="n">
        <v>511233</v>
      </c>
      <c r="B3452" s="6" t="n">
        <v>45994</v>
      </c>
      <c r="C3452" t="n">
        <v>17036</v>
      </c>
      <c r="D3452" t="inlineStr">
        <is>
          <t>Ahmedabad</t>
        </is>
      </c>
      <c r="E3452" t="inlineStr">
        <is>
          <t>West</t>
        </is>
      </c>
      <c r="F3452" t="inlineStr">
        <is>
          <t>Organic Search</t>
        </is>
      </c>
      <c r="G3452" t="inlineStr">
        <is>
          <t>Mobile App</t>
        </is>
      </c>
      <c r="H3452" t="inlineStr">
        <is>
          <t>UPI</t>
        </is>
      </c>
      <c r="I3452" t="inlineStr">
        <is>
          <t>Delivered</t>
        </is>
      </c>
      <c r="J3452" t="n">
        <v>122</v>
      </c>
      <c r="K3452" t="n">
        <v>1</v>
      </c>
      <c r="L3452" t="n">
        <v>1994</v>
      </c>
      <c r="M3452" t="n">
        <v>0</v>
      </c>
      <c r="N3452">
        <f>VLOOKUP(J3452,Products!$A$2:$C$49,3,FALSE)</f>
        <v/>
      </c>
      <c r="O3452">
        <f>K3452*L3452-M3452</f>
        <v/>
      </c>
      <c r="P3452">
        <f>TEXT(B3452,"yyyy-mm")</f>
        <v/>
      </c>
      <c r="Q3452">
        <f>IF(O3452&gt;=3000,"Large","Small")</f>
        <v/>
      </c>
      <c r="R3452">
        <f>INDEX(Products!$F$2:$F$49,MATCH(J3452,Products!$A$2:$A$49,0))</f>
        <v/>
      </c>
      <c r="S3452">
        <f>WEEKDAY(B3452,2)</f>
        <v/>
      </c>
    </row>
    <row r="3453">
      <c r="A3453" t="n">
        <v>511234</v>
      </c>
      <c r="B3453" s="6" t="n">
        <v>45994</v>
      </c>
      <c r="C3453" t="n">
        <v>17580</v>
      </c>
      <c r="D3453" t="inlineStr">
        <is>
          <t>Delhi</t>
        </is>
      </c>
      <c r="E3453" t="inlineStr">
        <is>
          <t>North</t>
        </is>
      </c>
      <c r="F3453" t="inlineStr">
        <is>
          <t>Paid Social</t>
        </is>
      </c>
      <c r="G3453" t="inlineStr">
        <is>
          <t>Mobile App</t>
        </is>
      </c>
      <c r="H3453" t="inlineStr">
        <is>
          <t>Cash on Delivery</t>
        </is>
      </c>
      <c r="I3453" t="inlineStr">
        <is>
          <t>Delivered</t>
        </is>
      </c>
      <c r="J3453" t="n">
        <v>129</v>
      </c>
      <c r="K3453" t="n">
        <v>1</v>
      </c>
      <c r="L3453" t="n">
        <v>576</v>
      </c>
      <c r="M3453" t="n">
        <v>86.40000000000001</v>
      </c>
      <c r="N3453">
        <f>VLOOKUP(J3453,Products!$A$2:$C$49,3,FALSE)</f>
        <v/>
      </c>
      <c r="O3453">
        <f>K3453*L3453-M3453</f>
        <v/>
      </c>
      <c r="P3453">
        <f>TEXT(B3453,"yyyy-mm")</f>
        <v/>
      </c>
      <c r="Q3453">
        <f>IF(O3453&gt;=3000,"Large","Small")</f>
        <v/>
      </c>
      <c r="R3453">
        <f>INDEX(Products!$F$2:$F$49,MATCH(J3453,Products!$A$2:$A$49,0))</f>
        <v/>
      </c>
      <c r="S3453">
        <f>WEEKDAY(B3453,2)</f>
        <v/>
      </c>
    </row>
    <row r="3454">
      <c r="A3454" t="n">
        <v>511234</v>
      </c>
      <c r="B3454" s="6" t="n">
        <v>45994</v>
      </c>
      <c r="C3454" t="n">
        <v>17580</v>
      </c>
      <c r="D3454" t="inlineStr">
        <is>
          <t>Delhi</t>
        </is>
      </c>
      <c r="E3454" t="inlineStr">
        <is>
          <t>North</t>
        </is>
      </c>
      <c r="F3454" t="inlineStr">
        <is>
          <t>Paid Social</t>
        </is>
      </c>
      <c r="G3454" t="inlineStr">
        <is>
          <t>Mobile App</t>
        </is>
      </c>
      <c r="H3454" t="inlineStr">
        <is>
          <t>Cash on Delivery</t>
        </is>
      </c>
      <c r="I3454" t="inlineStr">
        <is>
          <t>Delivered</t>
        </is>
      </c>
      <c r="J3454" t="n">
        <v>123</v>
      </c>
      <c r="K3454" t="n">
        <v>1</v>
      </c>
      <c r="L3454" t="n">
        <v>3464</v>
      </c>
      <c r="M3454" t="n">
        <v>519.6</v>
      </c>
      <c r="N3454">
        <f>VLOOKUP(J3454,Products!$A$2:$C$49,3,FALSE)</f>
        <v/>
      </c>
      <c r="O3454">
        <f>K3454*L3454-M3454</f>
        <v/>
      </c>
      <c r="P3454">
        <f>TEXT(B3454,"yyyy-mm")</f>
        <v/>
      </c>
      <c r="Q3454">
        <f>IF(O3454&gt;=3000,"Large","Small")</f>
        <v/>
      </c>
      <c r="R3454">
        <f>INDEX(Products!$F$2:$F$49,MATCH(J3454,Products!$A$2:$A$49,0))</f>
        <v/>
      </c>
      <c r="S3454">
        <f>WEEKDAY(B3454,2)</f>
        <v/>
      </c>
    </row>
    <row r="3455">
      <c r="A3455" t="n">
        <v>511235</v>
      </c>
      <c r="B3455" s="6" t="n">
        <v>45994</v>
      </c>
      <c r="C3455" t="n">
        <v>17587</v>
      </c>
      <c r="D3455" t="inlineStr">
        <is>
          <t>Chennai</t>
        </is>
      </c>
      <c r="E3455" t="inlineStr">
        <is>
          <t>South</t>
        </is>
      </c>
      <c r="F3455" t="inlineStr">
        <is>
          <t>Paid Social</t>
        </is>
      </c>
      <c r="G3455" t="inlineStr">
        <is>
          <t>Mobile App</t>
        </is>
      </c>
      <c r="H3455" t="inlineStr">
        <is>
          <t>Net Banking</t>
        </is>
      </c>
      <c r="I3455" t="inlineStr">
        <is>
          <t>Delivered</t>
        </is>
      </c>
      <c r="J3455" t="n">
        <v>132</v>
      </c>
      <c r="K3455" t="n">
        <v>1</v>
      </c>
      <c r="L3455" t="n">
        <v>471</v>
      </c>
      <c r="M3455" t="n">
        <v>0</v>
      </c>
      <c r="N3455">
        <f>VLOOKUP(J3455,Products!$A$2:$C$49,3,FALSE)</f>
        <v/>
      </c>
      <c r="O3455">
        <f>K3455*L3455-M3455</f>
        <v/>
      </c>
      <c r="P3455">
        <f>TEXT(B3455,"yyyy-mm")</f>
        <v/>
      </c>
      <c r="Q3455">
        <f>IF(O3455&gt;=3000,"Large","Small")</f>
        <v/>
      </c>
      <c r="R3455">
        <f>INDEX(Products!$F$2:$F$49,MATCH(J3455,Products!$A$2:$A$49,0))</f>
        <v/>
      </c>
      <c r="S3455">
        <f>WEEKDAY(B3455,2)</f>
        <v/>
      </c>
    </row>
    <row r="3456">
      <c r="A3456" t="n">
        <v>511235</v>
      </c>
      <c r="B3456" s="6" t="n">
        <v>45994</v>
      </c>
      <c r="C3456" t="n">
        <v>17587</v>
      </c>
      <c r="D3456" t="inlineStr">
        <is>
          <t>Chennai</t>
        </is>
      </c>
      <c r="E3456" t="inlineStr">
        <is>
          <t>South</t>
        </is>
      </c>
      <c r="F3456" t="inlineStr">
        <is>
          <t>Paid Social</t>
        </is>
      </c>
      <c r="G3456" t="inlineStr">
        <is>
          <t>Mobile App</t>
        </is>
      </c>
      <c r="H3456" t="inlineStr">
        <is>
          <t>Net Banking</t>
        </is>
      </c>
      <c r="I3456" t="inlineStr">
        <is>
          <t>Delivered</t>
        </is>
      </c>
      <c r="J3456" t="n">
        <v>148</v>
      </c>
      <c r="K3456" t="n">
        <v>1</v>
      </c>
      <c r="L3456" t="n">
        <v>734</v>
      </c>
      <c r="M3456" t="n">
        <v>0</v>
      </c>
      <c r="N3456">
        <f>VLOOKUP(J3456,Products!$A$2:$C$49,3,FALSE)</f>
        <v/>
      </c>
      <c r="O3456">
        <f>K3456*L3456-M3456</f>
        <v/>
      </c>
      <c r="P3456">
        <f>TEXT(B3456,"yyyy-mm")</f>
        <v/>
      </c>
      <c r="Q3456">
        <f>IF(O3456&gt;=3000,"Large","Small")</f>
        <v/>
      </c>
      <c r="R3456">
        <f>INDEX(Products!$F$2:$F$49,MATCH(J3456,Products!$A$2:$A$49,0))</f>
        <v/>
      </c>
      <c r="S3456">
        <f>WEEKDAY(B3456,2)</f>
        <v/>
      </c>
    </row>
    <row r="3457">
      <c r="A3457" t="n">
        <v>511236</v>
      </c>
      <c r="B3457" s="6" t="n">
        <v>45994</v>
      </c>
      <c r="C3457" t="n">
        <v>12659</v>
      </c>
      <c r="D3457" t="inlineStr">
        <is>
          <t>Pune</t>
        </is>
      </c>
      <c r="E3457" t="inlineStr">
        <is>
          <t>West</t>
        </is>
      </c>
      <c r="F3457" t="inlineStr">
        <is>
          <t>Paid Search</t>
        </is>
      </c>
      <c r="G3457" t="inlineStr">
        <is>
          <t>Mobile Web</t>
        </is>
      </c>
      <c r="H3457" t="inlineStr">
        <is>
          <t>Net Banking</t>
        </is>
      </c>
      <c r="I3457" t="inlineStr">
        <is>
          <t>Delivered</t>
        </is>
      </c>
      <c r="J3457" t="n">
        <v>142</v>
      </c>
      <c r="K3457" t="n">
        <v>1</v>
      </c>
      <c r="L3457" t="n">
        <v>839</v>
      </c>
      <c r="M3457" t="n">
        <v>0</v>
      </c>
      <c r="N3457">
        <f>VLOOKUP(J3457,Products!$A$2:$C$49,3,FALSE)</f>
        <v/>
      </c>
      <c r="O3457">
        <f>K3457*L3457-M3457</f>
        <v/>
      </c>
      <c r="P3457">
        <f>TEXT(B3457,"yyyy-mm")</f>
        <v/>
      </c>
      <c r="Q3457">
        <f>IF(O3457&gt;=3000,"Large","Small")</f>
        <v/>
      </c>
      <c r="R3457">
        <f>INDEX(Products!$F$2:$F$49,MATCH(J3457,Products!$A$2:$A$49,0))</f>
        <v/>
      </c>
      <c r="S3457">
        <f>WEEKDAY(B3457,2)</f>
        <v/>
      </c>
    </row>
    <row r="3458">
      <c r="A3458" t="n">
        <v>511236</v>
      </c>
      <c r="B3458" s="6" t="n">
        <v>45994</v>
      </c>
      <c r="C3458" t="n">
        <v>12659</v>
      </c>
      <c r="D3458" t="inlineStr">
        <is>
          <t>Pune</t>
        </is>
      </c>
      <c r="E3458" t="inlineStr">
        <is>
          <t>West</t>
        </is>
      </c>
      <c r="F3458" t="inlineStr">
        <is>
          <t>Paid Search</t>
        </is>
      </c>
      <c r="G3458" t="inlineStr">
        <is>
          <t>Mobile Web</t>
        </is>
      </c>
      <c r="H3458" t="inlineStr">
        <is>
          <t>Net Banking</t>
        </is>
      </c>
      <c r="I3458" t="inlineStr">
        <is>
          <t>Delivered</t>
        </is>
      </c>
      <c r="J3458" t="n">
        <v>115</v>
      </c>
      <c r="K3458" t="n">
        <v>1</v>
      </c>
      <c r="L3458" t="n">
        <v>4199</v>
      </c>
      <c r="M3458" t="n">
        <v>0</v>
      </c>
      <c r="N3458">
        <f>VLOOKUP(J3458,Products!$A$2:$C$49,3,FALSE)</f>
        <v/>
      </c>
      <c r="O3458">
        <f>K3458*L3458-M3458</f>
        <v/>
      </c>
      <c r="P3458">
        <f>TEXT(B3458,"yyyy-mm")</f>
        <v/>
      </c>
      <c r="Q3458">
        <f>IF(O3458&gt;=3000,"Large","Small")</f>
        <v/>
      </c>
      <c r="R3458">
        <f>INDEX(Products!$F$2:$F$49,MATCH(J3458,Products!$A$2:$A$49,0))</f>
        <v/>
      </c>
      <c r="S3458">
        <f>WEEKDAY(B3458,2)</f>
        <v/>
      </c>
    </row>
    <row r="3459">
      <c r="A3459" t="n">
        <v>511237</v>
      </c>
      <c r="B3459" s="6" t="n">
        <v>45994</v>
      </c>
      <c r="C3459" t="n">
        <v>15048</v>
      </c>
      <c r="D3459" t="inlineStr">
        <is>
          <t>Bengaluru</t>
        </is>
      </c>
      <c r="E3459" t="inlineStr">
        <is>
          <t>South</t>
        </is>
      </c>
      <c r="F3459" t="inlineStr">
        <is>
          <t>Paid Social</t>
        </is>
      </c>
      <c r="G3459" t="inlineStr">
        <is>
          <t>Mobile App</t>
        </is>
      </c>
      <c r="H3459" t="inlineStr">
        <is>
          <t>UPI</t>
        </is>
      </c>
      <c r="I3459" t="inlineStr">
        <is>
          <t>Delivered</t>
        </is>
      </c>
      <c r="J3459" t="n">
        <v>109</v>
      </c>
      <c r="K3459" t="n">
        <v>1</v>
      </c>
      <c r="L3459" t="n">
        <v>4199</v>
      </c>
      <c r="M3459" t="n">
        <v>209.95</v>
      </c>
      <c r="N3459">
        <f>VLOOKUP(J3459,Products!$A$2:$C$49,3,FALSE)</f>
        <v/>
      </c>
      <c r="O3459">
        <f>K3459*L3459-M3459</f>
        <v/>
      </c>
      <c r="P3459">
        <f>TEXT(B3459,"yyyy-mm")</f>
        <v/>
      </c>
      <c r="Q3459">
        <f>IF(O3459&gt;=3000,"Large","Small")</f>
        <v/>
      </c>
      <c r="R3459">
        <f>INDEX(Products!$F$2:$F$49,MATCH(J3459,Products!$A$2:$A$49,0))</f>
        <v/>
      </c>
      <c r="S3459">
        <f>WEEKDAY(B3459,2)</f>
        <v/>
      </c>
    </row>
    <row r="3460">
      <c r="A3460" t="n">
        <v>511237</v>
      </c>
      <c r="B3460" s="6" t="n">
        <v>45994</v>
      </c>
      <c r="C3460" t="n">
        <v>15048</v>
      </c>
      <c r="D3460" t="inlineStr">
        <is>
          <t>Bengaluru</t>
        </is>
      </c>
      <c r="E3460" t="inlineStr">
        <is>
          <t>South</t>
        </is>
      </c>
      <c r="F3460" t="inlineStr">
        <is>
          <t>Paid Social</t>
        </is>
      </c>
      <c r="G3460" t="inlineStr">
        <is>
          <t>Mobile App</t>
        </is>
      </c>
      <c r="H3460" t="inlineStr">
        <is>
          <t>UPI</t>
        </is>
      </c>
      <c r="I3460" t="inlineStr">
        <is>
          <t>Delivered</t>
        </is>
      </c>
      <c r="J3460" t="n">
        <v>130</v>
      </c>
      <c r="K3460" t="n">
        <v>1</v>
      </c>
      <c r="L3460" t="n">
        <v>734</v>
      </c>
      <c r="M3460" t="n">
        <v>36.7</v>
      </c>
      <c r="N3460">
        <f>VLOOKUP(J3460,Products!$A$2:$C$49,3,FALSE)</f>
        <v/>
      </c>
      <c r="O3460">
        <f>K3460*L3460-M3460</f>
        <v/>
      </c>
      <c r="P3460">
        <f>TEXT(B3460,"yyyy-mm")</f>
        <v/>
      </c>
      <c r="Q3460">
        <f>IF(O3460&gt;=3000,"Large","Small")</f>
        <v/>
      </c>
      <c r="R3460">
        <f>INDEX(Products!$F$2:$F$49,MATCH(J3460,Products!$A$2:$A$49,0))</f>
        <v/>
      </c>
      <c r="S3460">
        <f>WEEKDAY(B3460,2)</f>
        <v/>
      </c>
    </row>
    <row r="3461">
      <c r="A3461" t="n">
        <v>511237</v>
      </c>
      <c r="B3461" s="6" t="n">
        <v>45994</v>
      </c>
      <c r="C3461" t="n">
        <v>15048</v>
      </c>
      <c r="D3461" t="inlineStr">
        <is>
          <t>Bengaluru</t>
        </is>
      </c>
      <c r="E3461" t="inlineStr">
        <is>
          <t>South</t>
        </is>
      </c>
      <c r="F3461" t="inlineStr">
        <is>
          <t>Paid Social</t>
        </is>
      </c>
      <c r="G3461" t="inlineStr">
        <is>
          <t>Mobile App</t>
        </is>
      </c>
      <c r="H3461" t="inlineStr">
        <is>
          <t>UPI</t>
        </is>
      </c>
      <c r="I3461" t="inlineStr">
        <is>
          <t>Delivered</t>
        </is>
      </c>
      <c r="J3461" t="n">
        <v>133</v>
      </c>
      <c r="K3461" t="n">
        <v>1</v>
      </c>
      <c r="L3461" t="n">
        <v>419</v>
      </c>
      <c r="M3461" t="n">
        <v>20.95</v>
      </c>
      <c r="N3461">
        <f>VLOOKUP(J3461,Products!$A$2:$C$49,3,FALSE)</f>
        <v/>
      </c>
      <c r="O3461">
        <f>K3461*L3461-M3461</f>
        <v/>
      </c>
      <c r="P3461">
        <f>TEXT(B3461,"yyyy-mm")</f>
        <v/>
      </c>
      <c r="Q3461">
        <f>IF(O3461&gt;=3000,"Large","Small")</f>
        <v/>
      </c>
      <c r="R3461">
        <f>INDEX(Products!$F$2:$F$49,MATCH(J3461,Products!$A$2:$A$49,0))</f>
        <v/>
      </c>
      <c r="S3461">
        <f>WEEKDAY(B3461,2)</f>
        <v/>
      </c>
    </row>
    <row r="3462">
      <c r="A3462" t="n">
        <v>511238</v>
      </c>
      <c r="B3462" s="6" t="n">
        <v>45994</v>
      </c>
      <c r="C3462" t="n">
        <v>17042</v>
      </c>
      <c r="D3462" t="inlineStr">
        <is>
          <t>Indore</t>
        </is>
      </c>
      <c r="E3462" t="inlineStr">
        <is>
          <t>West</t>
        </is>
      </c>
      <c r="F3462" t="inlineStr">
        <is>
          <t>Organic Search</t>
        </is>
      </c>
      <c r="G3462" t="inlineStr">
        <is>
          <t>Mobile App</t>
        </is>
      </c>
      <c r="H3462" t="inlineStr">
        <is>
          <t>Credit Card</t>
        </is>
      </c>
      <c r="I3462" t="inlineStr">
        <is>
          <t>Delivered</t>
        </is>
      </c>
      <c r="J3462" t="n">
        <v>139</v>
      </c>
      <c r="K3462" t="n">
        <v>1</v>
      </c>
      <c r="L3462" t="n">
        <v>366</v>
      </c>
      <c r="M3462" t="n">
        <v>0</v>
      </c>
      <c r="N3462">
        <f>VLOOKUP(J3462,Products!$A$2:$C$49,3,FALSE)</f>
        <v/>
      </c>
      <c r="O3462">
        <f>K3462*L3462-M3462</f>
        <v/>
      </c>
      <c r="P3462">
        <f>TEXT(B3462,"yyyy-mm")</f>
        <v/>
      </c>
      <c r="Q3462">
        <f>IF(O3462&gt;=3000,"Large","Small")</f>
        <v/>
      </c>
      <c r="R3462">
        <f>INDEX(Products!$F$2:$F$49,MATCH(J3462,Products!$A$2:$A$49,0))</f>
        <v/>
      </c>
      <c r="S3462">
        <f>WEEKDAY(B3462,2)</f>
        <v/>
      </c>
    </row>
    <row r="3463">
      <c r="A3463" t="n">
        <v>511239</v>
      </c>
      <c r="B3463" s="6" t="n">
        <v>45994</v>
      </c>
      <c r="C3463" t="n">
        <v>17527</v>
      </c>
      <c r="D3463" t="inlineStr">
        <is>
          <t>Bengaluru</t>
        </is>
      </c>
      <c r="E3463" t="inlineStr">
        <is>
          <t>South</t>
        </is>
      </c>
      <c r="F3463" t="inlineStr">
        <is>
          <t>Organic Search</t>
        </is>
      </c>
      <c r="G3463" t="inlineStr">
        <is>
          <t>Mobile App</t>
        </is>
      </c>
      <c r="H3463" t="inlineStr">
        <is>
          <t>UPI</t>
        </is>
      </c>
      <c r="I3463" t="inlineStr">
        <is>
          <t>Delivered</t>
        </is>
      </c>
      <c r="J3463" t="n">
        <v>118</v>
      </c>
      <c r="K3463" t="n">
        <v>1</v>
      </c>
      <c r="L3463" t="n">
        <v>944</v>
      </c>
      <c r="M3463" t="n">
        <v>0</v>
      </c>
      <c r="N3463">
        <f>VLOOKUP(J3463,Products!$A$2:$C$49,3,FALSE)</f>
        <v/>
      </c>
      <c r="O3463">
        <f>K3463*L3463-M3463</f>
        <v/>
      </c>
      <c r="P3463">
        <f>TEXT(B3463,"yyyy-mm")</f>
        <v/>
      </c>
      <c r="Q3463">
        <f>IF(O3463&gt;=3000,"Large","Small")</f>
        <v/>
      </c>
      <c r="R3463">
        <f>INDEX(Products!$F$2:$F$49,MATCH(J3463,Products!$A$2:$A$49,0))</f>
        <v/>
      </c>
      <c r="S3463">
        <f>WEEKDAY(B3463,2)</f>
        <v/>
      </c>
    </row>
    <row r="3464">
      <c r="A3464" t="n">
        <v>511240</v>
      </c>
      <c r="B3464" s="6" t="n">
        <v>45994</v>
      </c>
      <c r="C3464" t="n">
        <v>17571</v>
      </c>
      <c r="D3464" t="inlineStr">
        <is>
          <t>Kochi</t>
        </is>
      </c>
      <c r="E3464" t="inlineStr">
        <is>
          <t>South</t>
        </is>
      </c>
      <c r="F3464" t="inlineStr">
        <is>
          <t>Organic Search</t>
        </is>
      </c>
      <c r="G3464" t="inlineStr">
        <is>
          <t>Mobile App</t>
        </is>
      </c>
      <c r="H3464" t="inlineStr">
        <is>
          <t>UPI</t>
        </is>
      </c>
      <c r="I3464" t="inlineStr">
        <is>
          <t>Delivered</t>
        </is>
      </c>
      <c r="J3464" t="n">
        <v>124</v>
      </c>
      <c r="K3464" t="n">
        <v>1</v>
      </c>
      <c r="L3464" t="n">
        <v>1154</v>
      </c>
      <c r="M3464" t="n">
        <v>0</v>
      </c>
      <c r="N3464">
        <f>VLOOKUP(J3464,Products!$A$2:$C$49,3,FALSE)</f>
        <v/>
      </c>
      <c r="O3464">
        <f>K3464*L3464-M3464</f>
        <v/>
      </c>
      <c r="P3464">
        <f>TEXT(B3464,"yyyy-mm")</f>
        <v/>
      </c>
      <c r="Q3464">
        <f>IF(O3464&gt;=3000,"Large","Small")</f>
        <v/>
      </c>
      <c r="R3464">
        <f>INDEX(Products!$F$2:$F$49,MATCH(J3464,Products!$A$2:$A$49,0))</f>
        <v/>
      </c>
      <c r="S3464">
        <f>WEEKDAY(B3464,2)</f>
        <v/>
      </c>
    </row>
    <row r="3465">
      <c r="A3465" t="n">
        <v>511241</v>
      </c>
      <c r="B3465" s="6" t="n">
        <v>45994</v>
      </c>
      <c r="C3465" t="n">
        <v>16223</v>
      </c>
      <c r="D3465" t="inlineStr">
        <is>
          <t>Kolkata</t>
        </is>
      </c>
      <c r="E3465" t="inlineStr">
        <is>
          <t>East</t>
        </is>
      </c>
      <c r="F3465" t="inlineStr">
        <is>
          <t>Organic Search</t>
        </is>
      </c>
      <c r="G3465" t="inlineStr">
        <is>
          <t>Mobile App</t>
        </is>
      </c>
      <c r="H3465" t="inlineStr">
        <is>
          <t>UPI</t>
        </is>
      </c>
      <c r="I3465" t="inlineStr">
        <is>
          <t>Delivered</t>
        </is>
      </c>
      <c r="J3465" t="n">
        <v>144</v>
      </c>
      <c r="K3465" t="n">
        <v>1</v>
      </c>
      <c r="L3465" t="n">
        <v>3149</v>
      </c>
      <c r="M3465" t="n">
        <v>0</v>
      </c>
      <c r="N3465">
        <f>VLOOKUP(J3465,Products!$A$2:$C$49,3,FALSE)</f>
        <v/>
      </c>
      <c r="O3465">
        <f>K3465*L3465-M3465</f>
        <v/>
      </c>
      <c r="P3465">
        <f>TEXT(B3465,"yyyy-mm")</f>
        <v/>
      </c>
      <c r="Q3465">
        <f>IF(O3465&gt;=3000,"Large","Small")</f>
        <v/>
      </c>
      <c r="R3465">
        <f>INDEX(Products!$F$2:$F$49,MATCH(J3465,Products!$A$2:$A$49,0))</f>
        <v/>
      </c>
      <c r="S3465">
        <f>WEEKDAY(B3465,2)</f>
        <v/>
      </c>
    </row>
    <row r="3466">
      <c r="A3466" t="n">
        <v>511242</v>
      </c>
      <c r="B3466" s="6" t="n">
        <v>45994</v>
      </c>
      <c r="C3466" t="n">
        <v>17455</v>
      </c>
      <c r="D3466" t="inlineStr">
        <is>
          <t>Bengaluru</t>
        </is>
      </c>
      <c r="E3466" t="inlineStr">
        <is>
          <t>South</t>
        </is>
      </c>
      <c r="F3466" t="inlineStr">
        <is>
          <t>Email</t>
        </is>
      </c>
      <c r="G3466" t="inlineStr">
        <is>
          <t>Desktop</t>
        </is>
      </c>
      <c r="H3466" t="inlineStr">
        <is>
          <t>Credit Card</t>
        </is>
      </c>
      <c r="I3466" t="inlineStr">
        <is>
          <t>Delivered</t>
        </is>
      </c>
      <c r="J3466" t="n">
        <v>130</v>
      </c>
      <c r="K3466" t="n">
        <v>1</v>
      </c>
      <c r="L3466" t="n">
        <v>734</v>
      </c>
      <c r="M3466" t="n">
        <v>110.1</v>
      </c>
      <c r="N3466">
        <f>VLOOKUP(J3466,Products!$A$2:$C$49,3,FALSE)</f>
        <v/>
      </c>
      <c r="O3466">
        <f>K3466*L3466-M3466</f>
        <v/>
      </c>
      <c r="P3466">
        <f>TEXT(B3466,"yyyy-mm")</f>
        <v/>
      </c>
      <c r="Q3466">
        <f>IF(O3466&gt;=3000,"Large","Small")</f>
        <v/>
      </c>
      <c r="R3466">
        <f>INDEX(Products!$F$2:$F$49,MATCH(J3466,Products!$A$2:$A$49,0))</f>
        <v/>
      </c>
      <c r="S3466">
        <f>WEEKDAY(B3466,2)</f>
        <v/>
      </c>
    </row>
    <row r="3467">
      <c r="A3467" t="n">
        <v>511243</v>
      </c>
      <c r="B3467" s="6" t="n">
        <v>45994</v>
      </c>
      <c r="C3467" t="n">
        <v>17606</v>
      </c>
      <c r="D3467" t="inlineStr">
        <is>
          <t>Bengaluru</t>
        </is>
      </c>
      <c r="E3467" t="inlineStr">
        <is>
          <t>South</t>
        </is>
      </c>
      <c r="F3467" t="inlineStr">
        <is>
          <t>Email</t>
        </is>
      </c>
      <c r="G3467" t="inlineStr">
        <is>
          <t>Mobile Web</t>
        </is>
      </c>
      <c r="H3467" t="inlineStr">
        <is>
          <t>UPI</t>
        </is>
      </c>
      <c r="I3467" t="inlineStr">
        <is>
          <t>Delivered</t>
        </is>
      </c>
      <c r="J3467" t="n">
        <v>130</v>
      </c>
      <c r="K3467" t="n">
        <v>1</v>
      </c>
      <c r="L3467" t="n">
        <v>734</v>
      </c>
      <c r="M3467" t="n">
        <v>0</v>
      </c>
      <c r="N3467">
        <f>VLOOKUP(J3467,Products!$A$2:$C$49,3,FALSE)</f>
        <v/>
      </c>
      <c r="O3467">
        <f>K3467*L3467-M3467</f>
        <v/>
      </c>
      <c r="P3467">
        <f>TEXT(B3467,"yyyy-mm")</f>
        <v/>
      </c>
      <c r="Q3467">
        <f>IF(O3467&gt;=3000,"Large","Small")</f>
        <v/>
      </c>
      <c r="R3467">
        <f>INDEX(Products!$F$2:$F$49,MATCH(J3467,Products!$A$2:$A$49,0))</f>
        <v/>
      </c>
      <c r="S3467">
        <f>WEEKDAY(B3467,2)</f>
        <v/>
      </c>
    </row>
    <row r="3468">
      <c r="A3468" t="n">
        <v>511243</v>
      </c>
      <c r="B3468" s="6" t="n">
        <v>45994</v>
      </c>
      <c r="C3468" t="n">
        <v>17606</v>
      </c>
      <c r="D3468" t="inlineStr">
        <is>
          <t>Bengaluru</t>
        </is>
      </c>
      <c r="E3468" t="inlineStr">
        <is>
          <t>South</t>
        </is>
      </c>
      <c r="F3468" t="inlineStr">
        <is>
          <t>Email</t>
        </is>
      </c>
      <c r="G3468" t="inlineStr">
        <is>
          <t>Mobile Web</t>
        </is>
      </c>
      <c r="H3468" t="inlineStr">
        <is>
          <t>UPI</t>
        </is>
      </c>
      <c r="I3468" t="inlineStr">
        <is>
          <t>Delivered</t>
        </is>
      </c>
      <c r="J3468" t="n">
        <v>142</v>
      </c>
      <c r="K3468" t="n">
        <v>2</v>
      </c>
      <c r="L3468" t="n">
        <v>839</v>
      </c>
      <c r="M3468" t="n">
        <v>0</v>
      </c>
      <c r="N3468">
        <f>VLOOKUP(J3468,Products!$A$2:$C$49,3,FALSE)</f>
        <v/>
      </c>
      <c r="O3468">
        <f>K3468*L3468-M3468</f>
        <v/>
      </c>
      <c r="P3468">
        <f>TEXT(B3468,"yyyy-mm")</f>
        <v/>
      </c>
      <c r="Q3468">
        <f>IF(O3468&gt;=3000,"Large","Small")</f>
        <v/>
      </c>
      <c r="R3468">
        <f>INDEX(Products!$F$2:$F$49,MATCH(J3468,Products!$A$2:$A$49,0))</f>
        <v/>
      </c>
      <c r="S3468">
        <f>WEEKDAY(B3468,2)</f>
        <v/>
      </c>
    </row>
    <row r="3469">
      <c r="A3469" t="n">
        <v>511244</v>
      </c>
      <c r="B3469" s="6" t="n">
        <v>45994</v>
      </c>
      <c r="C3469" t="n">
        <v>17560</v>
      </c>
      <c r="D3469" t="inlineStr">
        <is>
          <t>Kolkata</t>
        </is>
      </c>
      <c r="E3469" t="inlineStr">
        <is>
          <t>East</t>
        </is>
      </c>
      <c r="F3469" t="inlineStr">
        <is>
          <t>Paid Social</t>
        </is>
      </c>
      <c r="G3469" t="inlineStr">
        <is>
          <t>Mobile App</t>
        </is>
      </c>
      <c r="H3469" t="inlineStr">
        <is>
          <t>Debit Card</t>
        </is>
      </c>
      <c r="I3469" t="inlineStr">
        <is>
          <t>Delivered</t>
        </is>
      </c>
      <c r="J3469" t="n">
        <v>102</v>
      </c>
      <c r="K3469" t="n">
        <v>2</v>
      </c>
      <c r="L3469" t="n">
        <v>3674</v>
      </c>
      <c r="M3469" t="n">
        <v>0</v>
      </c>
      <c r="N3469">
        <f>VLOOKUP(J3469,Products!$A$2:$C$49,3,FALSE)</f>
        <v/>
      </c>
      <c r="O3469">
        <f>K3469*L3469-M3469</f>
        <v/>
      </c>
      <c r="P3469">
        <f>TEXT(B3469,"yyyy-mm")</f>
        <v/>
      </c>
      <c r="Q3469">
        <f>IF(O3469&gt;=3000,"Large","Small")</f>
        <v/>
      </c>
      <c r="R3469">
        <f>INDEX(Products!$F$2:$F$49,MATCH(J3469,Products!$A$2:$A$49,0))</f>
        <v/>
      </c>
      <c r="S3469">
        <f>WEEKDAY(B3469,2)</f>
        <v/>
      </c>
    </row>
    <row r="3470">
      <c r="A3470" t="n">
        <v>511245</v>
      </c>
      <c r="B3470" s="6" t="n">
        <v>45994</v>
      </c>
      <c r="C3470" t="n">
        <v>17582</v>
      </c>
      <c r="D3470" t="inlineStr">
        <is>
          <t>Indore</t>
        </is>
      </c>
      <c r="E3470" t="inlineStr">
        <is>
          <t>West</t>
        </is>
      </c>
      <c r="F3470" t="inlineStr">
        <is>
          <t>Paid Social</t>
        </is>
      </c>
      <c r="G3470" t="inlineStr">
        <is>
          <t>Mobile App</t>
        </is>
      </c>
      <c r="H3470" t="inlineStr">
        <is>
          <t>Credit Card</t>
        </is>
      </c>
      <c r="I3470" t="inlineStr">
        <is>
          <t>Returned</t>
        </is>
      </c>
      <c r="J3470" t="n">
        <v>111</v>
      </c>
      <c r="K3470" t="n">
        <v>1</v>
      </c>
      <c r="L3470" t="n">
        <v>524</v>
      </c>
      <c r="M3470" t="n">
        <v>0</v>
      </c>
      <c r="N3470">
        <f>VLOOKUP(J3470,Products!$A$2:$C$49,3,FALSE)</f>
        <v/>
      </c>
      <c r="O3470">
        <f>K3470*L3470-M3470</f>
        <v/>
      </c>
      <c r="P3470">
        <f>TEXT(B3470,"yyyy-mm")</f>
        <v/>
      </c>
      <c r="Q3470">
        <f>IF(O3470&gt;=3000,"Large","Small")</f>
        <v/>
      </c>
      <c r="R3470">
        <f>INDEX(Products!$F$2:$F$49,MATCH(J3470,Products!$A$2:$A$49,0))</f>
        <v/>
      </c>
      <c r="S3470">
        <f>WEEKDAY(B3470,2)</f>
        <v/>
      </c>
    </row>
    <row r="3471">
      <c r="A3471" t="n">
        <v>511246</v>
      </c>
      <c r="B3471" s="6" t="n">
        <v>45995</v>
      </c>
      <c r="C3471" t="n">
        <v>17591</v>
      </c>
      <c r="D3471" t="inlineStr">
        <is>
          <t>Bengaluru</t>
        </is>
      </c>
      <c r="E3471" t="inlineStr">
        <is>
          <t>South</t>
        </is>
      </c>
      <c r="F3471" t="inlineStr">
        <is>
          <t>Paid Search</t>
        </is>
      </c>
      <c r="G3471" t="inlineStr">
        <is>
          <t>Mobile App</t>
        </is>
      </c>
      <c r="H3471" t="inlineStr">
        <is>
          <t>Debit Card</t>
        </is>
      </c>
      <c r="I3471" t="inlineStr">
        <is>
          <t>Delivered</t>
        </is>
      </c>
      <c r="J3471" t="n">
        <v>117</v>
      </c>
      <c r="K3471" t="n">
        <v>1</v>
      </c>
      <c r="L3471" t="n">
        <v>3149</v>
      </c>
      <c r="M3471" t="n">
        <v>472.35</v>
      </c>
      <c r="N3471">
        <f>VLOOKUP(J3471,Products!$A$2:$C$49,3,FALSE)</f>
        <v/>
      </c>
      <c r="O3471">
        <f>K3471*L3471-M3471</f>
        <v/>
      </c>
      <c r="P3471">
        <f>TEXT(B3471,"yyyy-mm")</f>
        <v/>
      </c>
      <c r="Q3471">
        <f>IF(O3471&gt;=3000,"Large","Small")</f>
        <v/>
      </c>
      <c r="R3471">
        <f>INDEX(Products!$F$2:$F$49,MATCH(J3471,Products!$A$2:$A$49,0))</f>
        <v/>
      </c>
      <c r="S3471">
        <f>WEEKDAY(B3471,2)</f>
        <v/>
      </c>
    </row>
    <row r="3472">
      <c r="A3472" t="n">
        <v>511247</v>
      </c>
      <c r="B3472" s="6" t="n">
        <v>45995</v>
      </c>
      <c r="C3472" t="n">
        <v>17609</v>
      </c>
      <c r="D3472" t="inlineStr">
        <is>
          <t>Delhi</t>
        </is>
      </c>
      <c r="E3472" t="inlineStr">
        <is>
          <t>North</t>
        </is>
      </c>
      <c r="F3472" t="inlineStr">
        <is>
          <t>Paid Search</t>
        </is>
      </c>
      <c r="G3472" t="inlineStr">
        <is>
          <t>Mobile Web</t>
        </is>
      </c>
      <c r="H3472" t="inlineStr">
        <is>
          <t>Credit Card</t>
        </is>
      </c>
      <c r="I3472" t="inlineStr">
        <is>
          <t>Delivered</t>
        </is>
      </c>
      <c r="J3472" t="n">
        <v>132</v>
      </c>
      <c r="K3472" t="n">
        <v>1</v>
      </c>
      <c r="L3472" t="n">
        <v>471</v>
      </c>
      <c r="M3472" t="n">
        <v>70.65000000000001</v>
      </c>
      <c r="N3472">
        <f>VLOOKUP(J3472,Products!$A$2:$C$49,3,FALSE)</f>
        <v/>
      </c>
      <c r="O3472">
        <f>K3472*L3472-M3472</f>
        <v/>
      </c>
      <c r="P3472">
        <f>TEXT(B3472,"yyyy-mm")</f>
        <v/>
      </c>
      <c r="Q3472">
        <f>IF(O3472&gt;=3000,"Large","Small")</f>
        <v/>
      </c>
      <c r="R3472">
        <f>INDEX(Products!$F$2:$F$49,MATCH(J3472,Products!$A$2:$A$49,0))</f>
        <v/>
      </c>
      <c r="S3472">
        <f>WEEKDAY(B3472,2)</f>
        <v/>
      </c>
    </row>
    <row r="3473">
      <c r="A3473" t="n">
        <v>511248</v>
      </c>
      <c r="B3473" s="6" t="n">
        <v>45995</v>
      </c>
      <c r="C3473" t="n">
        <v>15727</v>
      </c>
      <c r="D3473" t="inlineStr">
        <is>
          <t>Delhi</t>
        </is>
      </c>
      <c r="E3473" t="inlineStr">
        <is>
          <t>North</t>
        </is>
      </c>
      <c r="F3473" t="inlineStr">
        <is>
          <t>Paid Search</t>
        </is>
      </c>
      <c r="G3473" t="inlineStr">
        <is>
          <t>Mobile App</t>
        </is>
      </c>
      <c r="H3473" t="inlineStr">
        <is>
          <t>UPI</t>
        </is>
      </c>
      <c r="I3473" t="inlineStr">
        <is>
          <t>Delivered</t>
        </is>
      </c>
      <c r="J3473" t="n">
        <v>131</v>
      </c>
      <c r="K3473" t="n">
        <v>1</v>
      </c>
      <c r="L3473" t="n">
        <v>314</v>
      </c>
      <c r="M3473" t="n">
        <v>0</v>
      </c>
      <c r="N3473">
        <f>VLOOKUP(J3473,Products!$A$2:$C$49,3,FALSE)</f>
        <v/>
      </c>
      <c r="O3473">
        <f>K3473*L3473-M3473</f>
        <v/>
      </c>
      <c r="P3473">
        <f>TEXT(B3473,"yyyy-mm")</f>
        <v/>
      </c>
      <c r="Q3473">
        <f>IF(O3473&gt;=3000,"Large","Small")</f>
        <v/>
      </c>
      <c r="R3473">
        <f>INDEX(Products!$F$2:$F$49,MATCH(J3473,Products!$A$2:$A$49,0))</f>
        <v/>
      </c>
      <c r="S3473">
        <f>WEEKDAY(B3473,2)</f>
        <v/>
      </c>
    </row>
    <row r="3474">
      <c r="A3474" t="n">
        <v>511249</v>
      </c>
      <c r="B3474" s="6" t="n">
        <v>45995</v>
      </c>
      <c r="C3474" t="n">
        <v>17594</v>
      </c>
      <c r="D3474" t="inlineStr">
        <is>
          <t>Bengaluru</t>
        </is>
      </c>
      <c r="E3474" t="inlineStr">
        <is>
          <t>South</t>
        </is>
      </c>
      <c r="F3474" t="inlineStr">
        <is>
          <t>Email</t>
        </is>
      </c>
      <c r="G3474" t="inlineStr">
        <is>
          <t>Mobile Web</t>
        </is>
      </c>
      <c r="H3474" t="inlineStr">
        <is>
          <t>UPI</t>
        </is>
      </c>
      <c r="I3474" t="inlineStr">
        <is>
          <t>Delivered</t>
        </is>
      </c>
      <c r="J3474" t="n">
        <v>103</v>
      </c>
      <c r="K3474" t="n">
        <v>1</v>
      </c>
      <c r="L3474" t="n">
        <v>2624</v>
      </c>
      <c r="M3474" t="n">
        <v>393.6</v>
      </c>
      <c r="N3474">
        <f>VLOOKUP(J3474,Products!$A$2:$C$49,3,FALSE)</f>
        <v/>
      </c>
      <c r="O3474">
        <f>K3474*L3474-M3474</f>
        <v/>
      </c>
      <c r="P3474">
        <f>TEXT(B3474,"yyyy-mm")</f>
        <v/>
      </c>
      <c r="Q3474">
        <f>IF(O3474&gt;=3000,"Large","Small")</f>
        <v/>
      </c>
      <c r="R3474">
        <f>INDEX(Products!$F$2:$F$49,MATCH(J3474,Products!$A$2:$A$49,0))</f>
        <v/>
      </c>
      <c r="S3474">
        <f>WEEKDAY(B3474,2)</f>
        <v/>
      </c>
    </row>
    <row r="3475">
      <c r="A3475" t="n">
        <v>511249</v>
      </c>
      <c r="B3475" s="6" t="n">
        <v>45995</v>
      </c>
      <c r="C3475" t="n">
        <v>17594</v>
      </c>
      <c r="D3475" t="inlineStr">
        <is>
          <t>Bengaluru</t>
        </is>
      </c>
      <c r="E3475" t="inlineStr">
        <is>
          <t>South</t>
        </is>
      </c>
      <c r="F3475" t="inlineStr">
        <is>
          <t>Email</t>
        </is>
      </c>
      <c r="G3475" t="inlineStr">
        <is>
          <t>Mobile Web</t>
        </is>
      </c>
      <c r="H3475" t="inlineStr">
        <is>
          <t>UPI</t>
        </is>
      </c>
      <c r="I3475" t="inlineStr">
        <is>
          <t>Delivered</t>
        </is>
      </c>
      <c r="J3475" t="n">
        <v>110</v>
      </c>
      <c r="K3475" t="n">
        <v>1</v>
      </c>
      <c r="L3475" t="n">
        <v>839</v>
      </c>
      <c r="M3475" t="n">
        <v>125.85</v>
      </c>
      <c r="N3475">
        <f>VLOOKUP(J3475,Products!$A$2:$C$49,3,FALSE)</f>
        <v/>
      </c>
      <c r="O3475">
        <f>K3475*L3475-M3475</f>
        <v/>
      </c>
      <c r="P3475">
        <f>TEXT(B3475,"yyyy-mm")</f>
        <v/>
      </c>
      <c r="Q3475">
        <f>IF(O3475&gt;=3000,"Large","Small")</f>
        <v/>
      </c>
      <c r="R3475">
        <f>INDEX(Products!$F$2:$F$49,MATCH(J3475,Products!$A$2:$A$49,0))</f>
        <v/>
      </c>
      <c r="S3475">
        <f>WEEKDAY(B3475,2)</f>
        <v/>
      </c>
    </row>
    <row r="3476">
      <c r="A3476" t="n">
        <v>511250</v>
      </c>
      <c r="B3476" s="6" t="n">
        <v>45995</v>
      </c>
      <c r="C3476" t="n">
        <v>17552</v>
      </c>
      <c r="D3476" t="inlineStr">
        <is>
          <t>Chennai</t>
        </is>
      </c>
      <c r="E3476" t="inlineStr">
        <is>
          <t>South</t>
        </is>
      </c>
      <c r="F3476" t="inlineStr">
        <is>
          <t>Email</t>
        </is>
      </c>
      <c r="G3476" t="inlineStr">
        <is>
          <t>Desktop</t>
        </is>
      </c>
      <c r="H3476" t="inlineStr">
        <is>
          <t>UPI</t>
        </is>
      </c>
      <c r="I3476" t="inlineStr">
        <is>
          <t>Delivered</t>
        </is>
      </c>
      <c r="J3476" t="n">
        <v>120</v>
      </c>
      <c r="K3476" t="n">
        <v>1</v>
      </c>
      <c r="L3476" t="n">
        <v>734</v>
      </c>
      <c r="M3476" t="n">
        <v>0</v>
      </c>
      <c r="N3476">
        <f>VLOOKUP(J3476,Products!$A$2:$C$49,3,FALSE)</f>
        <v/>
      </c>
      <c r="O3476">
        <f>K3476*L3476-M3476</f>
        <v/>
      </c>
      <c r="P3476">
        <f>TEXT(B3476,"yyyy-mm")</f>
        <v/>
      </c>
      <c r="Q3476">
        <f>IF(O3476&gt;=3000,"Large","Small")</f>
        <v/>
      </c>
      <c r="R3476">
        <f>INDEX(Products!$F$2:$F$49,MATCH(J3476,Products!$A$2:$A$49,0))</f>
        <v/>
      </c>
      <c r="S3476">
        <f>WEEKDAY(B3476,2)</f>
        <v/>
      </c>
    </row>
    <row r="3477">
      <c r="A3477" t="n">
        <v>511251</v>
      </c>
      <c r="B3477" s="6" t="n">
        <v>45995</v>
      </c>
      <c r="C3477" t="n">
        <v>17537</v>
      </c>
      <c r="D3477" t="inlineStr">
        <is>
          <t>Delhi</t>
        </is>
      </c>
      <c r="E3477" t="inlineStr">
        <is>
          <t>North</t>
        </is>
      </c>
      <c r="F3477" t="inlineStr">
        <is>
          <t>Paid Search</t>
        </is>
      </c>
      <c r="G3477" t="inlineStr">
        <is>
          <t>Mobile App</t>
        </is>
      </c>
      <c r="H3477" t="inlineStr">
        <is>
          <t>Credit Card</t>
        </is>
      </c>
      <c r="I3477" t="inlineStr">
        <is>
          <t>Delivered</t>
        </is>
      </c>
      <c r="J3477" t="n">
        <v>104</v>
      </c>
      <c r="K3477" t="n">
        <v>1</v>
      </c>
      <c r="L3477" t="n">
        <v>5249</v>
      </c>
      <c r="M3477" t="n">
        <v>0</v>
      </c>
      <c r="N3477">
        <f>VLOOKUP(J3477,Products!$A$2:$C$49,3,FALSE)</f>
        <v/>
      </c>
      <c r="O3477">
        <f>K3477*L3477-M3477</f>
        <v/>
      </c>
      <c r="P3477">
        <f>TEXT(B3477,"yyyy-mm")</f>
        <v/>
      </c>
      <c r="Q3477">
        <f>IF(O3477&gt;=3000,"Large","Small")</f>
        <v/>
      </c>
      <c r="R3477">
        <f>INDEX(Products!$F$2:$F$49,MATCH(J3477,Products!$A$2:$A$49,0))</f>
        <v/>
      </c>
      <c r="S3477">
        <f>WEEKDAY(B3477,2)</f>
        <v/>
      </c>
    </row>
    <row r="3478">
      <c r="A3478" t="n">
        <v>511252</v>
      </c>
      <c r="B3478" s="6" t="n">
        <v>45995</v>
      </c>
      <c r="C3478" t="n">
        <v>17621</v>
      </c>
      <c r="D3478" t="inlineStr">
        <is>
          <t>Jaipur</t>
        </is>
      </c>
      <c r="E3478" t="inlineStr">
        <is>
          <t>North</t>
        </is>
      </c>
      <c r="F3478" t="inlineStr">
        <is>
          <t>Organic Search</t>
        </is>
      </c>
      <c r="G3478" t="inlineStr">
        <is>
          <t>Mobile Web</t>
        </is>
      </c>
      <c r="H3478" t="inlineStr">
        <is>
          <t>Credit Card</t>
        </is>
      </c>
      <c r="I3478" t="inlineStr">
        <is>
          <t>Delivered</t>
        </is>
      </c>
      <c r="J3478" t="n">
        <v>122</v>
      </c>
      <c r="K3478" t="n">
        <v>2</v>
      </c>
      <c r="L3478" t="n">
        <v>1994</v>
      </c>
      <c r="M3478" t="n">
        <v>0</v>
      </c>
      <c r="N3478">
        <f>VLOOKUP(J3478,Products!$A$2:$C$49,3,FALSE)</f>
        <v/>
      </c>
      <c r="O3478">
        <f>K3478*L3478-M3478</f>
        <v/>
      </c>
      <c r="P3478">
        <f>TEXT(B3478,"yyyy-mm")</f>
        <v/>
      </c>
      <c r="Q3478">
        <f>IF(O3478&gt;=3000,"Large","Small")</f>
        <v/>
      </c>
      <c r="R3478">
        <f>INDEX(Products!$F$2:$F$49,MATCH(J3478,Products!$A$2:$A$49,0))</f>
        <v/>
      </c>
      <c r="S3478">
        <f>WEEKDAY(B3478,2)</f>
        <v/>
      </c>
    </row>
    <row r="3479">
      <c r="A3479" t="n">
        <v>511252</v>
      </c>
      <c r="B3479" s="6" t="n">
        <v>45995</v>
      </c>
      <c r="C3479" t="n">
        <v>17621</v>
      </c>
      <c r="D3479" t="inlineStr">
        <is>
          <t>Jaipur</t>
        </is>
      </c>
      <c r="E3479" t="inlineStr">
        <is>
          <t>North</t>
        </is>
      </c>
      <c r="F3479" t="inlineStr">
        <is>
          <t>Organic Search</t>
        </is>
      </c>
      <c r="G3479" t="inlineStr">
        <is>
          <t>Mobile Web</t>
        </is>
      </c>
      <c r="H3479" t="inlineStr">
        <is>
          <t>Credit Card</t>
        </is>
      </c>
      <c r="I3479" t="inlineStr">
        <is>
          <t>Delivered</t>
        </is>
      </c>
      <c r="J3479" t="n">
        <v>116</v>
      </c>
      <c r="K3479" t="n">
        <v>1</v>
      </c>
      <c r="L3479" t="n">
        <v>2624</v>
      </c>
      <c r="M3479" t="n">
        <v>0</v>
      </c>
      <c r="N3479">
        <f>VLOOKUP(J3479,Products!$A$2:$C$49,3,FALSE)</f>
        <v/>
      </c>
      <c r="O3479">
        <f>K3479*L3479-M3479</f>
        <v/>
      </c>
      <c r="P3479">
        <f>TEXT(B3479,"yyyy-mm")</f>
        <v/>
      </c>
      <c r="Q3479">
        <f>IF(O3479&gt;=3000,"Large","Small")</f>
        <v/>
      </c>
      <c r="R3479">
        <f>INDEX(Products!$F$2:$F$49,MATCH(J3479,Products!$A$2:$A$49,0))</f>
        <v/>
      </c>
      <c r="S3479">
        <f>WEEKDAY(B3479,2)</f>
        <v/>
      </c>
    </row>
    <row r="3480">
      <c r="A3480" t="n">
        <v>511252</v>
      </c>
      <c r="B3480" s="6" t="n">
        <v>45995</v>
      </c>
      <c r="C3480" t="n">
        <v>17621</v>
      </c>
      <c r="D3480" t="inlineStr">
        <is>
          <t>Jaipur</t>
        </is>
      </c>
      <c r="E3480" t="inlineStr">
        <is>
          <t>North</t>
        </is>
      </c>
      <c r="F3480" t="inlineStr">
        <is>
          <t>Organic Search</t>
        </is>
      </c>
      <c r="G3480" t="inlineStr">
        <is>
          <t>Mobile Web</t>
        </is>
      </c>
      <c r="H3480" t="inlineStr">
        <is>
          <t>Credit Card</t>
        </is>
      </c>
      <c r="I3480" t="inlineStr">
        <is>
          <t>Delivered</t>
        </is>
      </c>
      <c r="J3480" t="n">
        <v>109</v>
      </c>
      <c r="K3480" t="n">
        <v>1</v>
      </c>
      <c r="L3480" t="n">
        <v>4199</v>
      </c>
      <c r="M3480" t="n">
        <v>0</v>
      </c>
      <c r="N3480">
        <f>VLOOKUP(J3480,Products!$A$2:$C$49,3,FALSE)</f>
        <v/>
      </c>
      <c r="O3480">
        <f>K3480*L3480-M3480</f>
        <v/>
      </c>
      <c r="P3480">
        <f>TEXT(B3480,"yyyy-mm")</f>
        <v/>
      </c>
      <c r="Q3480">
        <f>IF(O3480&gt;=3000,"Large","Small")</f>
        <v/>
      </c>
      <c r="R3480">
        <f>INDEX(Products!$F$2:$F$49,MATCH(J3480,Products!$A$2:$A$49,0))</f>
        <v/>
      </c>
      <c r="S3480">
        <f>WEEKDAY(B3480,2)</f>
        <v/>
      </c>
    </row>
    <row r="3481">
      <c r="A3481" t="n">
        <v>511253</v>
      </c>
      <c r="B3481" s="6" t="n">
        <v>45995</v>
      </c>
      <c r="C3481" t="n">
        <v>17424</v>
      </c>
      <c r="D3481" t="inlineStr">
        <is>
          <t>Gurugram</t>
        </is>
      </c>
      <c r="E3481" t="inlineStr">
        <is>
          <t>North</t>
        </is>
      </c>
      <c r="F3481" t="inlineStr">
        <is>
          <t>Organic Search</t>
        </is>
      </c>
      <c r="G3481" t="inlineStr">
        <is>
          <t>Mobile Web</t>
        </is>
      </c>
      <c r="H3481" t="inlineStr">
        <is>
          <t>Debit Card</t>
        </is>
      </c>
      <c r="I3481" t="inlineStr">
        <is>
          <t>Returned</t>
        </is>
      </c>
      <c r="J3481" t="n">
        <v>110</v>
      </c>
      <c r="K3481" t="n">
        <v>1</v>
      </c>
      <c r="L3481" t="n">
        <v>839</v>
      </c>
      <c r="M3481" t="n">
        <v>0</v>
      </c>
      <c r="N3481">
        <f>VLOOKUP(J3481,Products!$A$2:$C$49,3,FALSE)</f>
        <v/>
      </c>
      <c r="O3481">
        <f>K3481*L3481-M3481</f>
        <v/>
      </c>
      <c r="P3481">
        <f>TEXT(B3481,"yyyy-mm")</f>
        <v/>
      </c>
      <c r="Q3481">
        <f>IF(O3481&gt;=3000,"Large","Small")</f>
        <v/>
      </c>
      <c r="R3481">
        <f>INDEX(Products!$F$2:$F$49,MATCH(J3481,Products!$A$2:$A$49,0))</f>
        <v/>
      </c>
      <c r="S3481">
        <f>WEEKDAY(B3481,2)</f>
        <v/>
      </c>
    </row>
    <row r="3482">
      <c r="A3482" t="n">
        <v>511253</v>
      </c>
      <c r="B3482" s="6" t="n">
        <v>45995</v>
      </c>
      <c r="C3482" t="n">
        <v>17424</v>
      </c>
      <c r="D3482" t="inlineStr">
        <is>
          <t>Gurugram</t>
        </is>
      </c>
      <c r="E3482" t="inlineStr">
        <is>
          <t>North</t>
        </is>
      </c>
      <c r="F3482" t="inlineStr">
        <is>
          <t>Organic Search</t>
        </is>
      </c>
      <c r="G3482" t="inlineStr">
        <is>
          <t>Mobile Web</t>
        </is>
      </c>
      <c r="H3482" t="inlineStr">
        <is>
          <t>Debit Card</t>
        </is>
      </c>
      <c r="I3482" t="inlineStr">
        <is>
          <t>Returned</t>
        </is>
      </c>
      <c r="J3482" t="n">
        <v>131</v>
      </c>
      <c r="K3482" t="n">
        <v>1</v>
      </c>
      <c r="L3482" t="n">
        <v>314</v>
      </c>
      <c r="M3482" t="n">
        <v>0</v>
      </c>
      <c r="N3482">
        <f>VLOOKUP(J3482,Products!$A$2:$C$49,3,FALSE)</f>
        <v/>
      </c>
      <c r="O3482">
        <f>K3482*L3482-M3482</f>
        <v/>
      </c>
      <c r="P3482">
        <f>TEXT(B3482,"yyyy-mm")</f>
        <v/>
      </c>
      <c r="Q3482">
        <f>IF(O3482&gt;=3000,"Large","Small")</f>
        <v/>
      </c>
      <c r="R3482">
        <f>INDEX(Products!$F$2:$F$49,MATCH(J3482,Products!$A$2:$A$49,0))</f>
        <v/>
      </c>
      <c r="S3482">
        <f>WEEKDAY(B3482,2)</f>
        <v/>
      </c>
    </row>
    <row r="3483">
      <c r="A3483" t="n">
        <v>511254</v>
      </c>
      <c r="B3483" s="6" t="n">
        <v>45995</v>
      </c>
      <c r="C3483" t="n">
        <v>15795</v>
      </c>
      <c r="D3483" t="inlineStr">
        <is>
          <t>Noida</t>
        </is>
      </c>
      <c r="E3483" t="inlineStr">
        <is>
          <t>North</t>
        </is>
      </c>
      <c r="F3483" t="inlineStr">
        <is>
          <t>Referral</t>
        </is>
      </c>
      <c r="G3483" t="inlineStr">
        <is>
          <t>Mobile Web</t>
        </is>
      </c>
      <c r="H3483" t="inlineStr">
        <is>
          <t>Cash on Delivery</t>
        </is>
      </c>
      <c r="I3483" t="inlineStr">
        <is>
          <t>Delivered</t>
        </is>
      </c>
      <c r="J3483" t="n">
        <v>113</v>
      </c>
      <c r="K3483" t="n">
        <v>1</v>
      </c>
      <c r="L3483" t="n">
        <v>1364</v>
      </c>
      <c r="M3483" t="n">
        <v>0</v>
      </c>
      <c r="N3483">
        <f>VLOOKUP(J3483,Products!$A$2:$C$49,3,FALSE)</f>
        <v/>
      </c>
      <c r="O3483">
        <f>K3483*L3483-M3483</f>
        <v/>
      </c>
      <c r="P3483">
        <f>TEXT(B3483,"yyyy-mm")</f>
        <v/>
      </c>
      <c r="Q3483">
        <f>IF(O3483&gt;=3000,"Large","Small")</f>
        <v/>
      </c>
      <c r="R3483">
        <f>INDEX(Products!$F$2:$F$49,MATCH(J3483,Products!$A$2:$A$49,0))</f>
        <v/>
      </c>
      <c r="S3483">
        <f>WEEKDAY(B3483,2)</f>
        <v/>
      </c>
    </row>
    <row r="3484">
      <c r="A3484" t="n">
        <v>511255</v>
      </c>
      <c r="B3484" s="6" t="n">
        <v>45995</v>
      </c>
      <c r="C3484" t="n">
        <v>17202</v>
      </c>
      <c r="D3484" t="inlineStr">
        <is>
          <t>Delhi</t>
        </is>
      </c>
      <c r="E3484" t="inlineStr">
        <is>
          <t>North</t>
        </is>
      </c>
      <c r="F3484" t="inlineStr">
        <is>
          <t>Email</t>
        </is>
      </c>
      <c r="G3484" t="inlineStr">
        <is>
          <t>Mobile App</t>
        </is>
      </c>
      <c r="H3484" t="inlineStr">
        <is>
          <t>Cash on Delivery</t>
        </is>
      </c>
      <c r="I3484" t="inlineStr">
        <is>
          <t>Delivered</t>
        </is>
      </c>
      <c r="J3484" t="n">
        <v>112</v>
      </c>
      <c r="K3484" t="n">
        <v>1</v>
      </c>
      <c r="L3484" t="n">
        <v>1574</v>
      </c>
      <c r="M3484" t="n">
        <v>0</v>
      </c>
      <c r="N3484">
        <f>VLOOKUP(J3484,Products!$A$2:$C$49,3,FALSE)</f>
        <v/>
      </c>
      <c r="O3484">
        <f>K3484*L3484-M3484</f>
        <v/>
      </c>
      <c r="P3484">
        <f>TEXT(B3484,"yyyy-mm")</f>
        <v/>
      </c>
      <c r="Q3484">
        <f>IF(O3484&gt;=3000,"Large","Small")</f>
        <v/>
      </c>
      <c r="R3484">
        <f>INDEX(Products!$F$2:$F$49,MATCH(J3484,Products!$A$2:$A$49,0))</f>
        <v/>
      </c>
      <c r="S3484">
        <f>WEEKDAY(B3484,2)</f>
        <v/>
      </c>
    </row>
    <row r="3485">
      <c r="A3485" t="n">
        <v>511256</v>
      </c>
      <c r="B3485" s="6" t="n">
        <v>45995</v>
      </c>
      <c r="C3485" t="n">
        <v>17595</v>
      </c>
      <c r="D3485" t="inlineStr">
        <is>
          <t>Mumbai</t>
        </is>
      </c>
      <c r="E3485" t="inlineStr">
        <is>
          <t>West</t>
        </is>
      </c>
      <c r="F3485" t="inlineStr">
        <is>
          <t>Paid Social</t>
        </is>
      </c>
      <c r="G3485" t="inlineStr">
        <is>
          <t>Mobile Web</t>
        </is>
      </c>
      <c r="H3485" t="inlineStr">
        <is>
          <t>Debit Card</t>
        </is>
      </c>
      <c r="I3485" t="inlineStr">
        <is>
          <t>Delivered</t>
        </is>
      </c>
      <c r="J3485" t="n">
        <v>142</v>
      </c>
      <c r="K3485" t="n">
        <v>2</v>
      </c>
      <c r="L3485" t="n">
        <v>839</v>
      </c>
      <c r="M3485" t="n">
        <v>0</v>
      </c>
      <c r="N3485">
        <f>VLOOKUP(J3485,Products!$A$2:$C$49,3,FALSE)</f>
        <v/>
      </c>
      <c r="O3485">
        <f>K3485*L3485-M3485</f>
        <v/>
      </c>
      <c r="P3485">
        <f>TEXT(B3485,"yyyy-mm")</f>
        <v/>
      </c>
      <c r="Q3485">
        <f>IF(O3485&gt;=3000,"Large","Small")</f>
        <v/>
      </c>
      <c r="R3485">
        <f>INDEX(Products!$F$2:$F$49,MATCH(J3485,Products!$A$2:$A$49,0))</f>
        <v/>
      </c>
      <c r="S3485">
        <f>WEEKDAY(B3485,2)</f>
        <v/>
      </c>
    </row>
    <row r="3486">
      <c r="A3486" t="n">
        <v>511257</v>
      </c>
      <c r="B3486" s="6" t="n">
        <v>45995</v>
      </c>
      <c r="C3486" t="n">
        <v>16784</v>
      </c>
      <c r="D3486" t="inlineStr">
        <is>
          <t>Kolkata</t>
        </is>
      </c>
      <c r="E3486" t="inlineStr">
        <is>
          <t>East</t>
        </is>
      </c>
      <c r="F3486" t="inlineStr">
        <is>
          <t>Referral</t>
        </is>
      </c>
      <c r="G3486" t="inlineStr">
        <is>
          <t>Mobile Web</t>
        </is>
      </c>
      <c r="H3486" t="inlineStr">
        <is>
          <t>UPI</t>
        </is>
      </c>
      <c r="I3486" t="inlineStr">
        <is>
          <t>Delivered</t>
        </is>
      </c>
      <c r="J3486" t="n">
        <v>140</v>
      </c>
      <c r="K3486" t="n">
        <v>1</v>
      </c>
      <c r="L3486" t="n">
        <v>629</v>
      </c>
      <c r="M3486" t="n">
        <v>0</v>
      </c>
      <c r="N3486">
        <f>VLOOKUP(J3486,Products!$A$2:$C$49,3,FALSE)</f>
        <v/>
      </c>
      <c r="O3486">
        <f>K3486*L3486-M3486</f>
        <v/>
      </c>
      <c r="P3486">
        <f>TEXT(B3486,"yyyy-mm")</f>
        <v/>
      </c>
      <c r="Q3486">
        <f>IF(O3486&gt;=3000,"Large","Small")</f>
        <v/>
      </c>
      <c r="R3486">
        <f>INDEX(Products!$F$2:$F$49,MATCH(J3486,Products!$A$2:$A$49,0))</f>
        <v/>
      </c>
      <c r="S3486">
        <f>WEEKDAY(B3486,2)</f>
        <v/>
      </c>
    </row>
    <row r="3487">
      <c r="A3487" t="n">
        <v>511257</v>
      </c>
      <c r="B3487" s="6" t="n">
        <v>45995</v>
      </c>
      <c r="C3487" t="n">
        <v>16784</v>
      </c>
      <c r="D3487" t="inlineStr">
        <is>
          <t>Kolkata</t>
        </is>
      </c>
      <c r="E3487" t="inlineStr">
        <is>
          <t>East</t>
        </is>
      </c>
      <c r="F3487" t="inlineStr">
        <is>
          <t>Referral</t>
        </is>
      </c>
      <c r="G3487" t="inlineStr">
        <is>
          <t>Mobile Web</t>
        </is>
      </c>
      <c r="H3487" t="inlineStr">
        <is>
          <t>UPI</t>
        </is>
      </c>
      <c r="I3487" t="inlineStr">
        <is>
          <t>Delivered</t>
        </is>
      </c>
      <c r="J3487" t="n">
        <v>107</v>
      </c>
      <c r="K3487" t="n">
        <v>1</v>
      </c>
      <c r="L3487" t="n">
        <v>1259</v>
      </c>
      <c r="M3487" t="n">
        <v>0</v>
      </c>
      <c r="N3487">
        <f>VLOOKUP(J3487,Products!$A$2:$C$49,3,FALSE)</f>
        <v/>
      </c>
      <c r="O3487">
        <f>K3487*L3487-M3487</f>
        <v/>
      </c>
      <c r="P3487">
        <f>TEXT(B3487,"yyyy-mm")</f>
        <v/>
      </c>
      <c r="Q3487">
        <f>IF(O3487&gt;=3000,"Large","Small")</f>
        <v/>
      </c>
      <c r="R3487">
        <f>INDEX(Products!$F$2:$F$49,MATCH(J3487,Products!$A$2:$A$49,0))</f>
        <v/>
      </c>
      <c r="S3487">
        <f>WEEKDAY(B3487,2)</f>
        <v/>
      </c>
    </row>
    <row r="3488">
      <c r="A3488" t="n">
        <v>511258</v>
      </c>
      <c r="B3488" s="6" t="n">
        <v>45995</v>
      </c>
      <c r="C3488" t="n">
        <v>14483</v>
      </c>
      <c r="D3488" t="inlineStr">
        <is>
          <t>Lucknow</t>
        </is>
      </c>
      <c r="E3488" t="inlineStr">
        <is>
          <t>North</t>
        </is>
      </c>
      <c r="F3488" t="inlineStr">
        <is>
          <t>Organic Search</t>
        </is>
      </c>
      <c r="G3488" t="inlineStr">
        <is>
          <t>Mobile Web</t>
        </is>
      </c>
      <c r="H3488" t="inlineStr">
        <is>
          <t>Debit Card</t>
        </is>
      </c>
      <c r="I3488" t="inlineStr">
        <is>
          <t>Returned</t>
        </is>
      </c>
      <c r="J3488" t="n">
        <v>120</v>
      </c>
      <c r="K3488" t="n">
        <v>1</v>
      </c>
      <c r="L3488" t="n">
        <v>734</v>
      </c>
      <c r="M3488" t="n">
        <v>0</v>
      </c>
      <c r="N3488">
        <f>VLOOKUP(J3488,Products!$A$2:$C$49,3,FALSE)</f>
        <v/>
      </c>
      <c r="O3488">
        <f>K3488*L3488-M3488</f>
        <v/>
      </c>
      <c r="P3488">
        <f>TEXT(B3488,"yyyy-mm")</f>
        <v/>
      </c>
      <c r="Q3488">
        <f>IF(O3488&gt;=3000,"Large","Small")</f>
        <v/>
      </c>
      <c r="R3488">
        <f>INDEX(Products!$F$2:$F$49,MATCH(J3488,Products!$A$2:$A$49,0))</f>
        <v/>
      </c>
      <c r="S3488">
        <f>WEEKDAY(B3488,2)</f>
        <v/>
      </c>
    </row>
    <row r="3489">
      <c r="A3489" t="n">
        <v>511258</v>
      </c>
      <c r="B3489" s="6" t="n">
        <v>45995</v>
      </c>
      <c r="C3489" t="n">
        <v>14483</v>
      </c>
      <c r="D3489" t="inlineStr">
        <is>
          <t>Lucknow</t>
        </is>
      </c>
      <c r="E3489" t="inlineStr">
        <is>
          <t>North</t>
        </is>
      </c>
      <c r="F3489" t="inlineStr">
        <is>
          <t>Organic Search</t>
        </is>
      </c>
      <c r="G3489" t="inlineStr">
        <is>
          <t>Mobile Web</t>
        </is>
      </c>
      <c r="H3489" t="inlineStr">
        <is>
          <t>Debit Card</t>
        </is>
      </c>
      <c r="I3489" t="inlineStr">
        <is>
          <t>Returned</t>
        </is>
      </c>
      <c r="J3489" t="n">
        <v>135</v>
      </c>
      <c r="K3489" t="n">
        <v>3</v>
      </c>
      <c r="L3489" t="n">
        <v>1574</v>
      </c>
      <c r="M3489" t="n">
        <v>0</v>
      </c>
      <c r="N3489">
        <f>VLOOKUP(J3489,Products!$A$2:$C$49,3,FALSE)</f>
        <v/>
      </c>
      <c r="O3489">
        <f>K3489*L3489-M3489</f>
        <v/>
      </c>
      <c r="P3489">
        <f>TEXT(B3489,"yyyy-mm")</f>
        <v/>
      </c>
      <c r="Q3489">
        <f>IF(O3489&gt;=3000,"Large","Small")</f>
        <v/>
      </c>
      <c r="R3489">
        <f>INDEX(Products!$F$2:$F$49,MATCH(J3489,Products!$A$2:$A$49,0))</f>
        <v/>
      </c>
      <c r="S3489">
        <f>WEEKDAY(B3489,2)</f>
        <v/>
      </c>
    </row>
    <row r="3490">
      <c r="A3490" t="n">
        <v>511258</v>
      </c>
      <c r="B3490" s="6" t="n">
        <v>45995</v>
      </c>
      <c r="C3490" t="n">
        <v>14483</v>
      </c>
      <c r="D3490" t="inlineStr">
        <is>
          <t>Lucknow</t>
        </is>
      </c>
      <c r="E3490" t="inlineStr">
        <is>
          <t>North</t>
        </is>
      </c>
      <c r="F3490" t="inlineStr">
        <is>
          <t>Organic Search</t>
        </is>
      </c>
      <c r="G3490" t="inlineStr">
        <is>
          <t>Mobile Web</t>
        </is>
      </c>
      <c r="H3490" t="inlineStr">
        <is>
          <t>Debit Card</t>
        </is>
      </c>
      <c r="I3490" t="inlineStr">
        <is>
          <t>Returned</t>
        </is>
      </c>
      <c r="J3490" t="n">
        <v>109</v>
      </c>
      <c r="K3490" t="n">
        <v>2</v>
      </c>
      <c r="L3490" t="n">
        <v>4199</v>
      </c>
      <c r="M3490" t="n">
        <v>0</v>
      </c>
      <c r="N3490">
        <f>VLOOKUP(J3490,Products!$A$2:$C$49,3,FALSE)</f>
        <v/>
      </c>
      <c r="O3490">
        <f>K3490*L3490-M3490</f>
        <v/>
      </c>
      <c r="P3490">
        <f>TEXT(B3490,"yyyy-mm")</f>
        <v/>
      </c>
      <c r="Q3490">
        <f>IF(O3490&gt;=3000,"Large","Small")</f>
        <v/>
      </c>
      <c r="R3490">
        <f>INDEX(Products!$F$2:$F$49,MATCH(J3490,Products!$A$2:$A$49,0))</f>
        <v/>
      </c>
      <c r="S3490">
        <f>WEEKDAY(B3490,2)</f>
        <v/>
      </c>
    </row>
    <row r="3491">
      <c r="A3491" t="n">
        <v>511258</v>
      </c>
      <c r="B3491" s="6" t="n">
        <v>45995</v>
      </c>
      <c r="C3491" t="n">
        <v>14483</v>
      </c>
      <c r="D3491" t="inlineStr">
        <is>
          <t>Lucknow</t>
        </is>
      </c>
      <c r="E3491" t="inlineStr">
        <is>
          <t>North</t>
        </is>
      </c>
      <c r="F3491" t="inlineStr">
        <is>
          <t>Organic Search</t>
        </is>
      </c>
      <c r="G3491" t="inlineStr">
        <is>
          <t>Mobile Web</t>
        </is>
      </c>
      <c r="H3491" t="inlineStr">
        <is>
          <t>Debit Card</t>
        </is>
      </c>
      <c r="I3491" t="inlineStr">
        <is>
          <t>Returned</t>
        </is>
      </c>
      <c r="J3491" t="n">
        <v>124</v>
      </c>
      <c r="K3491" t="n">
        <v>1</v>
      </c>
      <c r="L3491" t="n">
        <v>1154</v>
      </c>
      <c r="M3491" t="n">
        <v>0</v>
      </c>
      <c r="N3491">
        <f>VLOOKUP(J3491,Products!$A$2:$C$49,3,FALSE)</f>
        <v/>
      </c>
      <c r="O3491">
        <f>K3491*L3491-M3491</f>
        <v/>
      </c>
      <c r="P3491">
        <f>TEXT(B3491,"yyyy-mm")</f>
        <v/>
      </c>
      <c r="Q3491">
        <f>IF(O3491&gt;=3000,"Large","Small")</f>
        <v/>
      </c>
      <c r="R3491">
        <f>INDEX(Products!$F$2:$F$49,MATCH(J3491,Products!$A$2:$A$49,0))</f>
        <v/>
      </c>
      <c r="S3491">
        <f>WEEKDAY(B3491,2)</f>
        <v/>
      </c>
    </row>
    <row r="3492">
      <c r="A3492" t="n">
        <v>511259</v>
      </c>
      <c r="B3492" s="6" t="n">
        <v>45995</v>
      </c>
      <c r="C3492" t="n">
        <v>15856</v>
      </c>
      <c r="D3492" t="inlineStr">
        <is>
          <t>Pune</t>
        </is>
      </c>
      <c r="E3492" t="inlineStr">
        <is>
          <t>West</t>
        </is>
      </c>
      <c r="F3492" t="inlineStr">
        <is>
          <t>Referral</t>
        </is>
      </c>
      <c r="G3492" t="inlineStr">
        <is>
          <t>Mobile Web</t>
        </is>
      </c>
      <c r="H3492" t="inlineStr">
        <is>
          <t>Net Banking</t>
        </is>
      </c>
      <c r="I3492" t="inlineStr">
        <is>
          <t>Delivered</t>
        </is>
      </c>
      <c r="J3492" t="n">
        <v>113</v>
      </c>
      <c r="K3492" t="n">
        <v>1</v>
      </c>
      <c r="L3492" t="n">
        <v>1364</v>
      </c>
      <c r="M3492" t="n">
        <v>0</v>
      </c>
      <c r="N3492">
        <f>VLOOKUP(J3492,Products!$A$2:$C$49,3,FALSE)</f>
        <v/>
      </c>
      <c r="O3492">
        <f>K3492*L3492-M3492</f>
        <v/>
      </c>
      <c r="P3492">
        <f>TEXT(B3492,"yyyy-mm")</f>
        <v/>
      </c>
      <c r="Q3492">
        <f>IF(O3492&gt;=3000,"Large","Small")</f>
        <v/>
      </c>
      <c r="R3492">
        <f>INDEX(Products!$F$2:$F$49,MATCH(J3492,Products!$A$2:$A$49,0))</f>
        <v/>
      </c>
      <c r="S3492">
        <f>WEEKDAY(B3492,2)</f>
        <v/>
      </c>
    </row>
    <row r="3493">
      <c r="A3493" t="n">
        <v>511259</v>
      </c>
      <c r="B3493" s="6" t="n">
        <v>45995</v>
      </c>
      <c r="C3493" t="n">
        <v>15856</v>
      </c>
      <c r="D3493" t="inlineStr">
        <is>
          <t>Pune</t>
        </is>
      </c>
      <c r="E3493" t="inlineStr">
        <is>
          <t>West</t>
        </is>
      </c>
      <c r="F3493" t="inlineStr">
        <is>
          <t>Referral</t>
        </is>
      </c>
      <c r="G3493" t="inlineStr">
        <is>
          <t>Mobile Web</t>
        </is>
      </c>
      <c r="H3493" t="inlineStr">
        <is>
          <t>Net Banking</t>
        </is>
      </c>
      <c r="I3493" t="inlineStr">
        <is>
          <t>Delivered</t>
        </is>
      </c>
      <c r="J3493" t="n">
        <v>124</v>
      </c>
      <c r="K3493" t="n">
        <v>2</v>
      </c>
      <c r="L3493" t="n">
        <v>1154</v>
      </c>
      <c r="M3493" t="n">
        <v>0</v>
      </c>
      <c r="N3493">
        <f>VLOOKUP(J3493,Products!$A$2:$C$49,3,FALSE)</f>
        <v/>
      </c>
      <c r="O3493">
        <f>K3493*L3493-M3493</f>
        <v/>
      </c>
      <c r="P3493">
        <f>TEXT(B3493,"yyyy-mm")</f>
        <v/>
      </c>
      <c r="Q3493">
        <f>IF(O3493&gt;=3000,"Large","Small")</f>
        <v/>
      </c>
      <c r="R3493">
        <f>INDEX(Products!$F$2:$F$49,MATCH(J3493,Products!$A$2:$A$49,0))</f>
        <v/>
      </c>
      <c r="S3493">
        <f>WEEKDAY(B3493,2)</f>
        <v/>
      </c>
    </row>
    <row r="3494">
      <c r="A3494" t="n">
        <v>511260</v>
      </c>
      <c r="B3494" s="6" t="n">
        <v>45995</v>
      </c>
      <c r="C3494" t="n">
        <v>17541</v>
      </c>
      <c r="D3494" t="inlineStr">
        <is>
          <t>Mumbai</t>
        </is>
      </c>
      <c r="E3494" t="inlineStr">
        <is>
          <t>West</t>
        </is>
      </c>
      <c r="F3494" t="inlineStr">
        <is>
          <t>Referral</t>
        </is>
      </c>
      <c r="G3494" t="inlineStr">
        <is>
          <t>Mobile App</t>
        </is>
      </c>
      <c r="H3494" t="inlineStr">
        <is>
          <t>Net Banking</t>
        </is>
      </c>
      <c r="I3494" t="inlineStr">
        <is>
          <t>Returned</t>
        </is>
      </c>
      <c r="J3494" t="n">
        <v>117</v>
      </c>
      <c r="K3494" t="n">
        <v>1</v>
      </c>
      <c r="L3494" t="n">
        <v>3149</v>
      </c>
      <c r="M3494" t="n">
        <v>472.35</v>
      </c>
      <c r="N3494">
        <f>VLOOKUP(J3494,Products!$A$2:$C$49,3,FALSE)</f>
        <v/>
      </c>
      <c r="O3494">
        <f>K3494*L3494-M3494</f>
        <v/>
      </c>
      <c r="P3494">
        <f>TEXT(B3494,"yyyy-mm")</f>
        <v/>
      </c>
      <c r="Q3494">
        <f>IF(O3494&gt;=3000,"Large","Small")</f>
        <v/>
      </c>
      <c r="R3494">
        <f>INDEX(Products!$F$2:$F$49,MATCH(J3494,Products!$A$2:$A$49,0))</f>
        <v/>
      </c>
      <c r="S3494">
        <f>WEEKDAY(B3494,2)</f>
        <v/>
      </c>
    </row>
    <row r="3495">
      <c r="A3495" t="n">
        <v>511260</v>
      </c>
      <c r="B3495" s="6" t="n">
        <v>45995</v>
      </c>
      <c r="C3495" t="n">
        <v>17541</v>
      </c>
      <c r="D3495" t="inlineStr">
        <is>
          <t>Mumbai</t>
        </is>
      </c>
      <c r="E3495" t="inlineStr">
        <is>
          <t>West</t>
        </is>
      </c>
      <c r="F3495" t="inlineStr">
        <is>
          <t>Referral</t>
        </is>
      </c>
      <c r="G3495" t="inlineStr">
        <is>
          <t>Mobile App</t>
        </is>
      </c>
      <c r="H3495" t="inlineStr">
        <is>
          <t>Net Banking</t>
        </is>
      </c>
      <c r="I3495" t="inlineStr">
        <is>
          <t>Returned</t>
        </is>
      </c>
      <c r="J3495" t="n">
        <v>114</v>
      </c>
      <c r="K3495" t="n">
        <v>1</v>
      </c>
      <c r="L3495" t="n">
        <v>1259</v>
      </c>
      <c r="M3495" t="n">
        <v>188.85</v>
      </c>
      <c r="N3495">
        <f>VLOOKUP(J3495,Products!$A$2:$C$49,3,FALSE)</f>
        <v/>
      </c>
      <c r="O3495">
        <f>K3495*L3495-M3495</f>
        <v/>
      </c>
      <c r="P3495">
        <f>TEXT(B3495,"yyyy-mm")</f>
        <v/>
      </c>
      <c r="Q3495">
        <f>IF(O3495&gt;=3000,"Large","Small")</f>
        <v/>
      </c>
      <c r="R3495">
        <f>INDEX(Products!$F$2:$F$49,MATCH(J3495,Products!$A$2:$A$49,0))</f>
        <v/>
      </c>
      <c r="S3495">
        <f>WEEKDAY(B3495,2)</f>
        <v/>
      </c>
    </row>
    <row r="3496">
      <c r="A3496" t="n">
        <v>511261</v>
      </c>
      <c r="B3496" s="6" t="n">
        <v>45995</v>
      </c>
      <c r="C3496" t="n">
        <v>17511</v>
      </c>
      <c r="D3496" t="inlineStr">
        <is>
          <t>Pune</t>
        </is>
      </c>
      <c r="E3496" t="inlineStr">
        <is>
          <t>West</t>
        </is>
      </c>
      <c r="F3496" t="inlineStr">
        <is>
          <t>Paid Search</t>
        </is>
      </c>
      <c r="G3496" t="inlineStr">
        <is>
          <t>Desktop</t>
        </is>
      </c>
      <c r="H3496" t="inlineStr">
        <is>
          <t>Cash on Delivery</t>
        </is>
      </c>
      <c r="I3496" t="inlineStr">
        <is>
          <t>Delivered</t>
        </is>
      </c>
      <c r="J3496" t="n">
        <v>117</v>
      </c>
      <c r="K3496" t="n">
        <v>1</v>
      </c>
      <c r="L3496" t="n">
        <v>3149</v>
      </c>
      <c r="M3496" t="n">
        <v>472.35</v>
      </c>
      <c r="N3496">
        <f>VLOOKUP(J3496,Products!$A$2:$C$49,3,FALSE)</f>
        <v/>
      </c>
      <c r="O3496">
        <f>K3496*L3496-M3496</f>
        <v/>
      </c>
      <c r="P3496">
        <f>TEXT(B3496,"yyyy-mm")</f>
        <v/>
      </c>
      <c r="Q3496">
        <f>IF(O3496&gt;=3000,"Large","Small")</f>
        <v/>
      </c>
      <c r="R3496">
        <f>INDEX(Products!$F$2:$F$49,MATCH(J3496,Products!$A$2:$A$49,0))</f>
        <v/>
      </c>
      <c r="S3496">
        <f>WEEKDAY(B3496,2)</f>
        <v/>
      </c>
    </row>
    <row r="3497">
      <c r="A3497" t="n">
        <v>511261</v>
      </c>
      <c r="B3497" s="6" t="n">
        <v>45995</v>
      </c>
      <c r="C3497" t="n">
        <v>17511</v>
      </c>
      <c r="D3497" t="inlineStr">
        <is>
          <t>Pune</t>
        </is>
      </c>
      <c r="E3497" t="inlineStr">
        <is>
          <t>West</t>
        </is>
      </c>
      <c r="F3497" t="inlineStr">
        <is>
          <t>Paid Search</t>
        </is>
      </c>
      <c r="G3497" t="inlineStr">
        <is>
          <t>Desktop</t>
        </is>
      </c>
      <c r="H3497" t="inlineStr">
        <is>
          <t>Cash on Delivery</t>
        </is>
      </c>
      <c r="I3497" t="inlineStr">
        <is>
          <t>Delivered</t>
        </is>
      </c>
      <c r="J3497" t="n">
        <v>125</v>
      </c>
      <c r="K3497" t="n">
        <v>1</v>
      </c>
      <c r="L3497" t="n">
        <v>1364</v>
      </c>
      <c r="M3497" t="n">
        <v>204.6</v>
      </c>
      <c r="N3497">
        <f>VLOOKUP(J3497,Products!$A$2:$C$49,3,FALSE)</f>
        <v/>
      </c>
      <c r="O3497">
        <f>K3497*L3497-M3497</f>
        <v/>
      </c>
      <c r="P3497">
        <f>TEXT(B3497,"yyyy-mm")</f>
        <v/>
      </c>
      <c r="Q3497">
        <f>IF(O3497&gt;=3000,"Large","Small")</f>
        <v/>
      </c>
      <c r="R3497">
        <f>INDEX(Products!$F$2:$F$49,MATCH(J3497,Products!$A$2:$A$49,0))</f>
        <v/>
      </c>
      <c r="S3497">
        <f>WEEKDAY(B3497,2)</f>
        <v/>
      </c>
    </row>
    <row r="3498">
      <c r="A3498" t="n">
        <v>511262</v>
      </c>
      <c r="B3498" s="6" t="n">
        <v>45995</v>
      </c>
      <c r="C3498" t="n">
        <v>17449</v>
      </c>
      <c r="D3498" t="inlineStr">
        <is>
          <t>Lucknow</t>
        </is>
      </c>
      <c r="E3498" t="inlineStr">
        <is>
          <t>North</t>
        </is>
      </c>
      <c r="F3498" t="inlineStr">
        <is>
          <t>Affiliate</t>
        </is>
      </c>
      <c r="G3498" t="inlineStr">
        <is>
          <t>Desktop</t>
        </is>
      </c>
      <c r="H3498" t="inlineStr">
        <is>
          <t>UPI</t>
        </is>
      </c>
      <c r="I3498" t="inlineStr">
        <is>
          <t>Returned</t>
        </is>
      </c>
      <c r="J3498" t="n">
        <v>139</v>
      </c>
      <c r="K3498" t="n">
        <v>1</v>
      </c>
      <c r="L3498" t="n">
        <v>366</v>
      </c>
      <c r="M3498" t="n">
        <v>54.9</v>
      </c>
      <c r="N3498">
        <f>VLOOKUP(J3498,Products!$A$2:$C$49,3,FALSE)</f>
        <v/>
      </c>
      <c r="O3498">
        <f>K3498*L3498-M3498</f>
        <v/>
      </c>
      <c r="P3498">
        <f>TEXT(B3498,"yyyy-mm")</f>
        <v/>
      </c>
      <c r="Q3498">
        <f>IF(O3498&gt;=3000,"Large","Small")</f>
        <v/>
      </c>
      <c r="R3498">
        <f>INDEX(Products!$F$2:$F$49,MATCH(J3498,Products!$A$2:$A$49,0))</f>
        <v/>
      </c>
      <c r="S3498">
        <f>WEEKDAY(B3498,2)</f>
        <v/>
      </c>
    </row>
    <row r="3499">
      <c r="A3499" t="n">
        <v>511262</v>
      </c>
      <c r="B3499" s="6" t="n">
        <v>45995</v>
      </c>
      <c r="C3499" t="n">
        <v>17449</v>
      </c>
      <c r="D3499" t="inlineStr">
        <is>
          <t>Lucknow</t>
        </is>
      </c>
      <c r="E3499" t="inlineStr">
        <is>
          <t>North</t>
        </is>
      </c>
      <c r="F3499" t="inlineStr">
        <is>
          <t>Affiliate</t>
        </is>
      </c>
      <c r="G3499" t="inlineStr">
        <is>
          <t>Desktop</t>
        </is>
      </c>
      <c r="H3499" t="inlineStr">
        <is>
          <t>UPI</t>
        </is>
      </c>
      <c r="I3499" t="inlineStr">
        <is>
          <t>Returned</t>
        </is>
      </c>
      <c r="J3499" t="n">
        <v>132</v>
      </c>
      <c r="K3499" t="n">
        <v>1</v>
      </c>
      <c r="L3499" t="n">
        <v>471</v>
      </c>
      <c r="M3499" t="n">
        <v>70.65000000000001</v>
      </c>
      <c r="N3499">
        <f>VLOOKUP(J3499,Products!$A$2:$C$49,3,FALSE)</f>
        <v/>
      </c>
      <c r="O3499">
        <f>K3499*L3499-M3499</f>
        <v/>
      </c>
      <c r="P3499">
        <f>TEXT(B3499,"yyyy-mm")</f>
        <v/>
      </c>
      <c r="Q3499">
        <f>IF(O3499&gt;=3000,"Large","Small")</f>
        <v/>
      </c>
      <c r="R3499">
        <f>INDEX(Products!$F$2:$F$49,MATCH(J3499,Products!$A$2:$A$49,0))</f>
        <v/>
      </c>
      <c r="S3499">
        <f>WEEKDAY(B3499,2)</f>
        <v/>
      </c>
    </row>
    <row r="3500">
      <c r="A3500" t="n">
        <v>511262</v>
      </c>
      <c r="B3500" s="6" t="n">
        <v>45995</v>
      </c>
      <c r="C3500" t="n">
        <v>17449</v>
      </c>
      <c r="D3500" t="inlineStr">
        <is>
          <t>Lucknow</t>
        </is>
      </c>
      <c r="E3500" t="inlineStr">
        <is>
          <t>North</t>
        </is>
      </c>
      <c r="F3500" t="inlineStr">
        <is>
          <t>Affiliate</t>
        </is>
      </c>
      <c r="G3500" t="inlineStr">
        <is>
          <t>Desktop</t>
        </is>
      </c>
      <c r="H3500" t="inlineStr">
        <is>
          <t>UPI</t>
        </is>
      </c>
      <c r="I3500" t="inlineStr">
        <is>
          <t>Returned</t>
        </is>
      </c>
      <c r="J3500" t="n">
        <v>117</v>
      </c>
      <c r="K3500" t="n">
        <v>1</v>
      </c>
      <c r="L3500" t="n">
        <v>3149</v>
      </c>
      <c r="M3500" t="n">
        <v>472.35</v>
      </c>
      <c r="N3500">
        <f>VLOOKUP(J3500,Products!$A$2:$C$49,3,FALSE)</f>
        <v/>
      </c>
      <c r="O3500">
        <f>K3500*L3500-M3500</f>
        <v/>
      </c>
      <c r="P3500">
        <f>TEXT(B3500,"yyyy-mm")</f>
        <v/>
      </c>
      <c r="Q3500">
        <f>IF(O3500&gt;=3000,"Large","Small")</f>
        <v/>
      </c>
      <c r="R3500">
        <f>INDEX(Products!$F$2:$F$49,MATCH(J3500,Products!$A$2:$A$49,0))</f>
        <v/>
      </c>
      <c r="S3500">
        <f>WEEKDAY(B3500,2)</f>
        <v/>
      </c>
    </row>
    <row r="3501">
      <c r="A3501" t="n">
        <v>511262</v>
      </c>
      <c r="B3501" s="6" t="n">
        <v>45995</v>
      </c>
      <c r="C3501" t="n">
        <v>17449</v>
      </c>
      <c r="D3501" t="inlineStr">
        <is>
          <t>Lucknow</t>
        </is>
      </c>
      <c r="E3501" t="inlineStr">
        <is>
          <t>North</t>
        </is>
      </c>
      <c r="F3501" t="inlineStr">
        <is>
          <t>Affiliate</t>
        </is>
      </c>
      <c r="G3501" t="inlineStr">
        <is>
          <t>Desktop</t>
        </is>
      </c>
      <c r="H3501" t="inlineStr">
        <is>
          <t>UPI</t>
        </is>
      </c>
      <c r="I3501" t="inlineStr">
        <is>
          <t>Returned</t>
        </is>
      </c>
      <c r="J3501" t="n">
        <v>111</v>
      </c>
      <c r="K3501" t="n">
        <v>2</v>
      </c>
      <c r="L3501" t="n">
        <v>524</v>
      </c>
      <c r="M3501" t="n">
        <v>157.2</v>
      </c>
      <c r="N3501">
        <f>VLOOKUP(J3501,Products!$A$2:$C$49,3,FALSE)</f>
        <v/>
      </c>
      <c r="O3501">
        <f>K3501*L3501-M3501</f>
        <v/>
      </c>
      <c r="P3501">
        <f>TEXT(B3501,"yyyy-mm")</f>
        <v/>
      </c>
      <c r="Q3501">
        <f>IF(O3501&gt;=3000,"Large","Small")</f>
        <v/>
      </c>
      <c r="R3501">
        <f>INDEX(Products!$F$2:$F$49,MATCH(J3501,Products!$A$2:$A$49,0))</f>
        <v/>
      </c>
      <c r="S3501">
        <f>WEEKDAY(B3501,2)</f>
        <v/>
      </c>
    </row>
    <row r="3502">
      <c r="A3502" t="n">
        <v>511263</v>
      </c>
      <c r="B3502" s="6" t="n">
        <v>45995</v>
      </c>
      <c r="C3502" t="n">
        <v>17589</v>
      </c>
      <c r="D3502" t="inlineStr">
        <is>
          <t>Pune</t>
        </is>
      </c>
      <c r="E3502" t="inlineStr">
        <is>
          <t>West</t>
        </is>
      </c>
      <c r="F3502" t="inlineStr">
        <is>
          <t>Organic Search</t>
        </is>
      </c>
      <c r="G3502" t="inlineStr">
        <is>
          <t>Mobile App</t>
        </is>
      </c>
      <c r="H3502" t="inlineStr">
        <is>
          <t>UPI</t>
        </is>
      </c>
      <c r="I3502" t="inlineStr">
        <is>
          <t>Delivered</t>
        </is>
      </c>
      <c r="J3502" t="n">
        <v>114</v>
      </c>
      <c r="K3502" t="n">
        <v>1</v>
      </c>
      <c r="L3502" t="n">
        <v>1259</v>
      </c>
      <c r="M3502" t="n">
        <v>188.85</v>
      </c>
      <c r="N3502">
        <f>VLOOKUP(J3502,Products!$A$2:$C$49,3,FALSE)</f>
        <v/>
      </c>
      <c r="O3502">
        <f>K3502*L3502-M3502</f>
        <v/>
      </c>
      <c r="P3502">
        <f>TEXT(B3502,"yyyy-mm")</f>
        <v/>
      </c>
      <c r="Q3502">
        <f>IF(O3502&gt;=3000,"Large","Small")</f>
        <v/>
      </c>
      <c r="R3502">
        <f>INDEX(Products!$F$2:$F$49,MATCH(J3502,Products!$A$2:$A$49,0))</f>
        <v/>
      </c>
      <c r="S3502">
        <f>WEEKDAY(B3502,2)</f>
        <v/>
      </c>
    </row>
    <row r="3503">
      <c r="A3503" t="n">
        <v>511263</v>
      </c>
      <c r="B3503" s="6" t="n">
        <v>45995</v>
      </c>
      <c r="C3503" t="n">
        <v>17589</v>
      </c>
      <c r="D3503" t="inlineStr">
        <is>
          <t>Pune</t>
        </is>
      </c>
      <c r="E3503" t="inlineStr">
        <is>
          <t>West</t>
        </is>
      </c>
      <c r="F3503" t="inlineStr">
        <is>
          <t>Organic Search</t>
        </is>
      </c>
      <c r="G3503" t="inlineStr">
        <is>
          <t>Mobile App</t>
        </is>
      </c>
      <c r="H3503" t="inlineStr">
        <is>
          <t>UPI</t>
        </is>
      </c>
      <c r="I3503" t="inlineStr">
        <is>
          <t>Delivered</t>
        </is>
      </c>
      <c r="J3503" t="n">
        <v>121</v>
      </c>
      <c r="K3503" t="n">
        <v>1</v>
      </c>
      <c r="L3503" t="n">
        <v>2939</v>
      </c>
      <c r="M3503" t="n">
        <v>440.85</v>
      </c>
      <c r="N3503">
        <f>VLOOKUP(J3503,Products!$A$2:$C$49,3,FALSE)</f>
        <v/>
      </c>
      <c r="O3503">
        <f>K3503*L3503-M3503</f>
        <v/>
      </c>
      <c r="P3503">
        <f>TEXT(B3503,"yyyy-mm")</f>
        <v/>
      </c>
      <c r="Q3503">
        <f>IF(O3503&gt;=3000,"Large","Small")</f>
        <v/>
      </c>
      <c r="R3503">
        <f>INDEX(Products!$F$2:$F$49,MATCH(J3503,Products!$A$2:$A$49,0))</f>
        <v/>
      </c>
      <c r="S3503">
        <f>WEEKDAY(B3503,2)</f>
        <v/>
      </c>
    </row>
    <row r="3504">
      <c r="A3504" t="n">
        <v>511264</v>
      </c>
      <c r="B3504" s="6" t="n">
        <v>45995</v>
      </c>
      <c r="C3504" t="n">
        <v>17614</v>
      </c>
      <c r="D3504" t="inlineStr">
        <is>
          <t>Pune</t>
        </is>
      </c>
      <c r="E3504" t="inlineStr">
        <is>
          <t>West</t>
        </is>
      </c>
      <c r="F3504" t="inlineStr">
        <is>
          <t>Paid Search</t>
        </is>
      </c>
      <c r="G3504" t="inlineStr">
        <is>
          <t>Desktop</t>
        </is>
      </c>
      <c r="H3504" t="inlineStr">
        <is>
          <t>UPI</t>
        </is>
      </c>
      <c r="I3504" t="inlineStr">
        <is>
          <t>Delivered</t>
        </is>
      </c>
      <c r="J3504" t="n">
        <v>144</v>
      </c>
      <c r="K3504" t="n">
        <v>2</v>
      </c>
      <c r="L3504" t="n">
        <v>3149</v>
      </c>
      <c r="M3504" t="n">
        <v>944.7</v>
      </c>
      <c r="N3504">
        <f>VLOOKUP(J3504,Products!$A$2:$C$49,3,FALSE)</f>
        <v/>
      </c>
      <c r="O3504">
        <f>K3504*L3504-M3504</f>
        <v/>
      </c>
      <c r="P3504">
        <f>TEXT(B3504,"yyyy-mm")</f>
        <v/>
      </c>
      <c r="Q3504">
        <f>IF(O3504&gt;=3000,"Large","Small")</f>
        <v/>
      </c>
      <c r="R3504">
        <f>INDEX(Products!$F$2:$F$49,MATCH(J3504,Products!$A$2:$A$49,0))</f>
        <v/>
      </c>
      <c r="S3504">
        <f>WEEKDAY(B3504,2)</f>
        <v/>
      </c>
    </row>
    <row r="3505">
      <c r="A3505" t="n">
        <v>511265</v>
      </c>
      <c r="B3505" s="6" t="n">
        <v>45996</v>
      </c>
      <c r="C3505" t="n">
        <v>17598</v>
      </c>
      <c r="D3505" t="inlineStr">
        <is>
          <t>Delhi</t>
        </is>
      </c>
      <c r="E3505" t="inlineStr">
        <is>
          <t>North</t>
        </is>
      </c>
      <c r="F3505" t="inlineStr">
        <is>
          <t>Referral</t>
        </is>
      </c>
      <c r="G3505" t="inlineStr">
        <is>
          <t>Mobile App</t>
        </is>
      </c>
      <c r="H3505" t="inlineStr">
        <is>
          <t>UPI</t>
        </is>
      </c>
      <c r="I3505" t="inlineStr">
        <is>
          <t>Returned</t>
        </is>
      </c>
      <c r="J3505" t="n">
        <v>109</v>
      </c>
      <c r="K3505" t="n">
        <v>1</v>
      </c>
      <c r="L3505" t="n">
        <v>4199</v>
      </c>
      <c r="M3505" t="n">
        <v>629.85</v>
      </c>
      <c r="N3505">
        <f>VLOOKUP(J3505,Products!$A$2:$C$49,3,FALSE)</f>
        <v/>
      </c>
      <c r="O3505">
        <f>K3505*L3505-M3505</f>
        <v/>
      </c>
      <c r="P3505">
        <f>TEXT(B3505,"yyyy-mm")</f>
        <v/>
      </c>
      <c r="Q3505">
        <f>IF(O3505&gt;=3000,"Large","Small")</f>
        <v/>
      </c>
      <c r="R3505">
        <f>INDEX(Products!$F$2:$F$49,MATCH(J3505,Products!$A$2:$A$49,0))</f>
        <v/>
      </c>
      <c r="S3505">
        <f>WEEKDAY(B3505,2)</f>
        <v/>
      </c>
    </row>
    <row r="3506">
      <c r="A3506" t="n">
        <v>511265</v>
      </c>
      <c r="B3506" s="6" t="n">
        <v>45996</v>
      </c>
      <c r="C3506" t="n">
        <v>17598</v>
      </c>
      <c r="D3506" t="inlineStr">
        <is>
          <t>Delhi</t>
        </is>
      </c>
      <c r="E3506" t="inlineStr">
        <is>
          <t>North</t>
        </is>
      </c>
      <c r="F3506" t="inlineStr">
        <is>
          <t>Referral</t>
        </is>
      </c>
      <c r="G3506" t="inlineStr">
        <is>
          <t>Mobile App</t>
        </is>
      </c>
      <c r="H3506" t="inlineStr">
        <is>
          <t>UPI</t>
        </is>
      </c>
      <c r="I3506" t="inlineStr">
        <is>
          <t>Returned</t>
        </is>
      </c>
      <c r="J3506" t="n">
        <v>117</v>
      </c>
      <c r="K3506" t="n">
        <v>1</v>
      </c>
      <c r="L3506" t="n">
        <v>3149</v>
      </c>
      <c r="M3506" t="n">
        <v>472.35</v>
      </c>
      <c r="N3506">
        <f>VLOOKUP(J3506,Products!$A$2:$C$49,3,FALSE)</f>
        <v/>
      </c>
      <c r="O3506">
        <f>K3506*L3506-M3506</f>
        <v/>
      </c>
      <c r="P3506">
        <f>TEXT(B3506,"yyyy-mm")</f>
        <v/>
      </c>
      <c r="Q3506">
        <f>IF(O3506&gt;=3000,"Large","Small")</f>
        <v/>
      </c>
      <c r="R3506">
        <f>INDEX(Products!$F$2:$F$49,MATCH(J3506,Products!$A$2:$A$49,0))</f>
        <v/>
      </c>
      <c r="S3506">
        <f>WEEKDAY(B3506,2)</f>
        <v/>
      </c>
    </row>
    <row r="3507">
      <c r="A3507" t="n">
        <v>511265</v>
      </c>
      <c r="B3507" s="6" t="n">
        <v>45996</v>
      </c>
      <c r="C3507" t="n">
        <v>17598</v>
      </c>
      <c r="D3507" t="inlineStr">
        <is>
          <t>Delhi</t>
        </is>
      </c>
      <c r="E3507" t="inlineStr">
        <is>
          <t>North</t>
        </is>
      </c>
      <c r="F3507" t="inlineStr">
        <is>
          <t>Referral</t>
        </is>
      </c>
      <c r="G3507" t="inlineStr">
        <is>
          <t>Mobile App</t>
        </is>
      </c>
      <c r="H3507" t="inlineStr">
        <is>
          <t>UPI</t>
        </is>
      </c>
      <c r="I3507" t="inlineStr">
        <is>
          <t>Returned</t>
        </is>
      </c>
      <c r="J3507" t="n">
        <v>103</v>
      </c>
      <c r="K3507" t="n">
        <v>1</v>
      </c>
      <c r="L3507" t="n">
        <v>2624</v>
      </c>
      <c r="M3507" t="n">
        <v>393.6</v>
      </c>
      <c r="N3507">
        <f>VLOOKUP(J3507,Products!$A$2:$C$49,3,FALSE)</f>
        <v/>
      </c>
      <c r="O3507">
        <f>K3507*L3507-M3507</f>
        <v/>
      </c>
      <c r="P3507">
        <f>TEXT(B3507,"yyyy-mm")</f>
        <v/>
      </c>
      <c r="Q3507">
        <f>IF(O3507&gt;=3000,"Large","Small")</f>
        <v/>
      </c>
      <c r="R3507">
        <f>INDEX(Products!$F$2:$F$49,MATCH(J3507,Products!$A$2:$A$49,0))</f>
        <v/>
      </c>
      <c r="S3507">
        <f>WEEKDAY(B3507,2)</f>
        <v/>
      </c>
    </row>
    <row r="3508">
      <c r="A3508" t="n">
        <v>511266</v>
      </c>
      <c r="B3508" s="6" t="n">
        <v>45996</v>
      </c>
      <c r="C3508" t="n">
        <v>17616</v>
      </c>
      <c r="D3508" t="inlineStr">
        <is>
          <t>Bengaluru</t>
        </is>
      </c>
      <c r="E3508" t="inlineStr">
        <is>
          <t>South</t>
        </is>
      </c>
      <c r="F3508" t="inlineStr">
        <is>
          <t>Organic Search</t>
        </is>
      </c>
      <c r="G3508" t="inlineStr">
        <is>
          <t>Mobile Web</t>
        </is>
      </c>
      <c r="H3508" t="inlineStr">
        <is>
          <t>UPI</t>
        </is>
      </c>
      <c r="I3508" t="inlineStr">
        <is>
          <t>Delivered</t>
        </is>
      </c>
      <c r="J3508" t="n">
        <v>116</v>
      </c>
      <c r="K3508" t="n">
        <v>1</v>
      </c>
      <c r="L3508" t="n">
        <v>2624</v>
      </c>
      <c r="M3508" t="n">
        <v>0</v>
      </c>
      <c r="N3508">
        <f>VLOOKUP(J3508,Products!$A$2:$C$49,3,FALSE)</f>
        <v/>
      </c>
      <c r="O3508">
        <f>K3508*L3508-M3508</f>
        <v/>
      </c>
      <c r="P3508">
        <f>TEXT(B3508,"yyyy-mm")</f>
        <v/>
      </c>
      <c r="Q3508">
        <f>IF(O3508&gt;=3000,"Large","Small")</f>
        <v/>
      </c>
      <c r="R3508">
        <f>INDEX(Products!$F$2:$F$49,MATCH(J3508,Products!$A$2:$A$49,0))</f>
        <v/>
      </c>
      <c r="S3508">
        <f>WEEKDAY(B3508,2)</f>
        <v/>
      </c>
    </row>
    <row r="3509">
      <c r="A3509" t="n">
        <v>511266</v>
      </c>
      <c r="B3509" s="6" t="n">
        <v>45996</v>
      </c>
      <c r="C3509" t="n">
        <v>17616</v>
      </c>
      <c r="D3509" t="inlineStr">
        <is>
          <t>Bengaluru</t>
        </is>
      </c>
      <c r="E3509" t="inlineStr">
        <is>
          <t>South</t>
        </is>
      </c>
      <c r="F3509" t="inlineStr">
        <is>
          <t>Organic Search</t>
        </is>
      </c>
      <c r="G3509" t="inlineStr">
        <is>
          <t>Mobile Web</t>
        </is>
      </c>
      <c r="H3509" t="inlineStr">
        <is>
          <t>UPI</t>
        </is>
      </c>
      <c r="I3509" t="inlineStr">
        <is>
          <t>Delivered</t>
        </is>
      </c>
      <c r="J3509" t="n">
        <v>134</v>
      </c>
      <c r="K3509" t="n">
        <v>1</v>
      </c>
      <c r="L3509" t="n">
        <v>209</v>
      </c>
      <c r="M3509" t="n">
        <v>0</v>
      </c>
      <c r="N3509">
        <f>VLOOKUP(J3509,Products!$A$2:$C$49,3,FALSE)</f>
        <v/>
      </c>
      <c r="O3509">
        <f>K3509*L3509-M3509</f>
        <v/>
      </c>
      <c r="P3509">
        <f>TEXT(B3509,"yyyy-mm")</f>
        <v/>
      </c>
      <c r="Q3509">
        <f>IF(O3509&gt;=3000,"Large","Small")</f>
        <v/>
      </c>
      <c r="R3509">
        <f>INDEX(Products!$F$2:$F$49,MATCH(J3509,Products!$A$2:$A$49,0))</f>
        <v/>
      </c>
      <c r="S3509">
        <f>WEEKDAY(B3509,2)</f>
        <v/>
      </c>
    </row>
    <row r="3510">
      <c r="A3510" t="n">
        <v>511267</v>
      </c>
      <c r="B3510" s="6" t="n">
        <v>45996</v>
      </c>
      <c r="C3510" t="n">
        <v>17444</v>
      </c>
      <c r="D3510" t="inlineStr">
        <is>
          <t>Pune</t>
        </is>
      </c>
      <c r="E3510" t="inlineStr">
        <is>
          <t>West</t>
        </is>
      </c>
      <c r="F3510" t="inlineStr">
        <is>
          <t>Organic Search</t>
        </is>
      </c>
      <c r="G3510" t="inlineStr">
        <is>
          <t>Desktop</t>
        </is>
      </c>
      <c r="H3510" t="inlineStr">
        <is>
          <t>Credit Card</t>
        </is>
      </c>
      <c r="I3510" t="inlineStr">
        <is>
          <t>Delivered</t>
        </is>
      </c>
      <c r="J3510" t="n">
        <v>114</v>
      </c>
      <c r="K3510" t="n">
        <v>1</v>
      </c>
      <c r="L3510" t="n">
        <v>1259</v>
      </c>
      <c r="M3510" t="n">
        <v>188.85</v>
      </c>
      <c r="N3510">
        <f>VLOOKUP(J3510,Products!$A$2:$C$49,3,FALSE)</f>
        <v/>
      </c>
      <c r="O3510">
        <f>K3510*L3510-M3510</f>
        <v/>
      </c>
      <c r="P3510">
        <f>TEXT(B3510,"yyyy-mm")</f>
        <v/>
      </c>
      <c r="Q3510">
        <f>IF(O3510&gt;=3000,"Large","Small")</f>
        <v/>
      </c>
      <c r="R3510">
        <f>INDEX(Products!$F$2:$F$49,MATCH(J3510,Products!$A$2:$A$49,0))</f>
        <v/>
      </c>
      <c r="S3510">
        <f>WEEKDAY(B3510,2)</f>
        <v/>
      </c>
    </row>
    <row r="3511">
      <c r="A3511" t="n">
        <v>511267</v>
      </c>
      <c r="B3511" s="6" t="n">
        <v>45996</v>
      </c>
      <c r="C3511" t="n">
        <v>17444</v>
      </c>
      <c r="D3511" t="inlineStr">
        <is>
          <t>Pune</t>
        </is>
      </c>
      <c r="E3511" t="inlineStr">
        <is>
          <t>West</t>
        </is>
      </c>
      <c r="F3511" t="inlineStr">
        <is>
          <t>Organic Search</t>
        </is>
      </c>
      <c r="G3511" t="inlineStr">
        <is>
          <t>Desktop</t>
        </is>
      </c>
      <c r="H3511" t="inlineStr">
        <is>
          <t>Credit Card</t>
        </is>
      </c>
      <c r="I3511" t="inlineStr">
        <is>
          <t>Delivered</t>
        </is>
      </c>
      <c r="J3511" t="n">
        <v>123</v>
      </c>
      <c r="K3511" t="n">
        <v>3</v>
      </c>
      <c r="L3511" t="n">
        <v>3464</v>
      </c>
      <c r="M3511" t="n">
        <v>1558.8</v>
      </c>
      <c r="N3511">
        <f>VLOOKUP(J3511,Products!$A$2:$C$49,3,FALSE)</f>
        <v/>
      </c>
      <c r="O3511">
        <f>K3511*L3511-M3511</f>
        <v/>
      </c>
      <c r="P3511">
        <f>TEXT(B3511,"yyyy-mm")</f>
        <v/>
      </c>
      <c r="Q3511">
        <f>IF(O3511&gt;=3000,"Large","Small")</f>
        <v/>
      </c>
      <c r="R3511">
        <f>INDEX(Products!$F$2:$F$49,MATCH(J3511,Products!$A$2:$A$49,0))</f>
        <v/>
      </c>
      <c r="S3511">
        <f>WEEKDAY(B3511,2)</f>
        <v/>
      </c>
    </row>
    <row r="3512">
      <c r="A3512" t="n">
        <v>511268</v>
      </c>
      <c r="B3512" s="6" t="n">
        <v>45996</v>
      </c>
      <c r="C3512" t="n">
        <v>17465</v>
      </c>
      <c r="D3512" t="inlineStr">
        <is>
          <t>Hyderabad</t>
        </is>
      </c>
      <c r="E3512" t="inlineStr">
        <is>
          <t>South</t>
        </is>
      </c>
      <c r="F3512" t="inlineStr">
        <is>
          <t>Affiliate</t>
        </is>
      </c>
      <c r="G3512" t="inlineStr">
        <is>
          <t>Mobile Web</t>
        </is>
      </c>
      <c r="H3512" t="inlineStr">
        <is>
          <t>Credit Card</t>
        </is>
      </c>
      <c r="I3512" t="inlineStr">
        <is>
          <t>Delivered</t>
        </is>
      </c>
      <c r="J3512" t="n">
        <v>102</v>
      </c>
      <c r="K3512" t="n">
        <v>1</v>
      </c>
      <c r="L3512" t="n">
        <v>3674</v>
      </c>
      <c r="M3512" t="n">
        <v>551.1</v>
      </c>
      <c r="N3512">
        <f>VLOOKUP(J3512,Products!$A$2:$C$49,3,FALSE)</f>
        <v/>
      </c>
      <c r="O3512">
        <f>K3512*L3512-M3512</f>
        <v/>
      </c>
      <c r="P3512">
        <f>TEXT(B3512,"yyyy-mm")</f>
        <v/>
      </c>
      <c r="Q3512">
        <f>IF(O3512&gt;=3000,"Large","Small")</f>
        <v/>
      </c>
      <c r="R3512">
        <f>INDEX(Products!$F$2:$F$49,MATCH(J3512,Products!$A$2:$A$49,0))</f>
        <v/>
      </c>
      <c r="S3512">
        <f>WEEKDAY(B3512,2)</f>
        <v/>
      </c>
    </row>
    <row r="3513">
      <c r="A3513" t="n">
        <v>511269</v>
      </c>
      <c r="B3513" s="6" t="n">
        <v>45996</v>
      </c>
      <c r="C3513" t="n">
        <v>17631</v>
      </c>
      <c r="D3513" t="inlineStr">
        <is>
          <t>Mumbai</t>
        </is>
      </c>
      <c r="E3513" t="inlineStr">
        <is>
          <t>West</t>
        </is>
      </c>
      <c r="F3513" t="inlineStr">
        <is>
          <t>Referral</t>
        </is>
      </c>
      <c r="G3513" t="inlineStr">
        <is>
          <t>Mobile App</t>
        </is>
      </c>
      <c r="H3513" t="inlineStr">
        <is>
          <t>UPI</t>
        </is>
      </c>
      <c r="I3513" t="inlineStr">
        <is>
          <t>Delivered</t>
        </is>
      </c>
      <c r="J3513" t="n">
        <v>120</v>
      </c>
      <c r="K3513" t="n">
        <v>1</v>
      </c>
      <c r="L3513" t="n">
        <v>734</v>
      </c>
      <c r="M3513" t="n">
        <v>0</v>
      </c>
      <c r="N3513">
        <f>VLOOKUP(J3513,Products!$A$2:$C$49,3,FALSE)</f>
        <v/>
      </c>
      <c r="O3513">
        <f>K3513*L3513-M3513</f>
        <v/>
      </c>
      <c r="P3513">
        <f>TEXT(B3513,"yyyy-mm")</f>
        <v/>
      </c>
      <c r="Q3513">
        <f>IF(O3513&gt;=3000,"Large","Small")</f>
        <v/>
      </c>
      <c r="R3513">
        <f>INDEX(Products!$F$2:$F$49,MATCH(J3513,Products!$A$2:$A$49,0))</f>
        <v/>
      </c>
      <c r="S3513">
        <f>WEEKDAY(B3513,2)</f>
        <v/>
      </c>
    </row>
    <row r="3514">
      <c r="A3514" t="n">
        <v>511270</v>
      </c>
      <c r="B3514" s="6" t="n">
        <v>45996</v>
      </c>
      <c r="C3514" t="n">
        <v>17607</v>
      </c>
      <c r="D3514" t="inlineStr">
        <is>
          <t>Bengaluru</t>
        </is>
      </c>
      <c r="E3514" t="inlineStr">
        <is>
          <t>South</t>
        </is>
      </c>
      <c r="F3514" t="inlineStr">
        <is>
          <t>Paid Social</t>
        </is>
      </c>
      <c r="G3514" t="inlineStr">
        <is>
          <t>Mobile App</t>
        </is>
      </c>
      <c r="H3514" t="inlineStr">
        <is>
          <t>UPI</t>
        </is>
      </c>
      <c r="I3514" t="inlineStr">
        <is>
          <t>Delivered</t>
        </is>
      </c>
      <c r="J3514" t="n">
        <v>109</v>
      </c>
      <c r="K3514" t="n">
        <v>1</v>
      </c>
      <c r="L3514" t="n">
        <v>4199</v>
      </c>
      <c r="M3514" t="n">
        <v>629.85</v>
      </c>
      <c r="N3514">
        <f>VLOOKUP(J3514,Products!$A$2:$C$49,3,FALSE)</f>
        <v/>
      </c>
      <c r="O3514">
        <f>K3514*L3514-M3514</f>
        <v/>
      </c>
      <c r="P3514">
        <f>TEXT(B3514,"yyyy-mm")</f>
        <v/>
      </c>
      <c r="Q3514">
        <f>IF(O3514&gt;=3000,"Large","Small")</f>
        <v/>
      </c>
      <c r="R3514">
        <f>INDEX(Products!$F$2:$F$49,MATCH(J3514,Products!$A$2:$A$49,0))</f>
        <v/>
      </c>
      <c r="S3514">
        <f>WEEKDAY(B3514,2)</f>
        <v/>
      </c>
    </row>
    <row r="3515">
      <c r="A3515" t="n">
        <v>511270</v>
      </c>
      <c r="B3515" s="6" t="n">
        <v>45996</v>
      </c>
      <c r="C3515" t="n">
        <v>17607</v>
      </c>
      <c r="D3515" t="inlineStr">
        <is>
          <t>Bengaluru</t>
        </is>
      </c>
      <c r="E3515" t="inlineStr">
        <is>
          <t>South</t>
        </is>
      </c>
      <c r="F3515" t="inlineStr">
        <is>
          <t>Paid Social</t>
        </is>
      </c>
      <c r="G3515" t="inlineStr">
        <is>
          <t>Mobile App</t>
        </is>
      </c>
      <c r="H3515" t="inlineStr">
        <is>
          <t>UPI</t>
        </is>
      </c>
      <c r="I3515" t="inlineStr">
        <is>
          <t>Delivered</t>
        </is>
      </c>
      <c r="J3515" t="n">
        <v>117</v>
      </c>
      <c r="K3515" t="n">
        <v>1</v>
      </c>
      <c r="L3515" t="n">
        <v>3149</v>
      </c>
      <c r="M3515" t="n">
        <v>472.35</v>
      </c>
      <c r="N3515">
        <f>VLOOKUP(J3515,Products!$A$2:$C$49,3,FALSE)</f>
        <v/>
      </c>
      <c r="O3515">
        <f>K3515*L3515-M3515</f>
        <v/>
      </c>
      <c r="P3515">
        <f>TEXT(B3515,"yyyy-mm")</f>
        <v/>
      </c>
      <c r="Q3515">
        <f>IF(O3515&gt;=3000,"Large","Small")</f>
        <v/>
      </c>
      <c r="R3515">
        <f>INDEX(Products!$F$2:$F$49,MATCH(J3515,Products!$A$2:$A$49,0))</f>
        <v/>
      </c>
      <c r="S3515">
        <f>WEEKDAY(B3515,2)</f>
        <v/>
      </c>
    </row>
    <row r="3516">
      <c r="A3516" t="n">
        <v>511270</v>
      </c>
      <c r="B3516" s="6" t="n">
        <v>45996</v>
      </c>
      <c r="C3516" t="n">
        <v>17607</v>
      </c>
      <c r="D3516" t="inlineStr">
        <is>
          <t>Bengaluru</t>
        </is>
      </c>
      <c r="E3516" t="inlineStr">
        <is>
          <t>South</t>
        </is>
      </c>
      <c r="F3516" t="inlineStr">
        <is>
          <t>Paid Social</t>
        </is>
      </c>
      <c r="G3516" t="inlineStr">
        <is>
          <t>Mobile App</t>
        </is>
      </c>
      <c r="H3516" t="inlineStr">
        <is>
          <t>UPI</t>
        </is>
      </c>
      <c r="I3516" t="inlineStr">
        <is>
          <t>Delivered</t>
        </is>
      </c>
      <c r="J3516" t="n">
        <v>141</v>
      </c>
      <c r="K3516" t="n">
        <v>2</v>
      </c>
      <c r="L3516" t="n">
        <v>261</v>
      </c>
      <c r="M3516" t="n">
        <v>78.3</v>
      </c>
      <c r="N3516">
        <f>VLOOKUP(J3516,Products!$A$2:$C$49,3,FALSE)</f>
        <v/>
      </c>
      <c r="O3516">
        <f>K3516*L3516-M3516</f>
        <v/>
      </c>
      <c r="P3516">
        <f>TEXT(B3516,"yyyy-mm")</f>
        <v/>
      </c>
      <c r="Q3516">
        <f>IF(O3516&gt;=3000,"Large","Small")</f>
        <v/>
      </c>
      <c r="R3516">
        <f>INDEX(Products!$F$2:$F$49,MATCH(J3516,Products!$A$2:$A$49,0))</f>
        <v/>
      </c>
      <c r="S3516">
        <f>WEEKDAY(B3516,2)</f>
        <v/>
      </c>
    </row>
    <row r="3517">
      <c r="A3517" t="n">
        <v>511271</v>
      </c>
      <c r="B3517" s="6" t="n">
        <v>45996</v>
      </c>
      <c r="C3517" t="n">
        <v>15640</v>
      </c>
      <c r="D3517" t="inlineStr">
        <is>
          <t>Chennai</t>
        </is>
      </c>
      <c r="E3517" t="inlineStr">
        <is>
          <t>South</t>
        </is>
      </c>
      <c r="F3517" t="inlineStr">
        <is>
          <t>Paid Social</t>
        </is>
      </c>
      <c r="G3517" t="inlineStr">
        <is>
          <t>Mobile Web</t>
        </is>
      </c>
      <c r="H3517" t="inlineStr">
        <is>
          <t>Cash on Delivery</t>
        </is>
      </c>
      <c r="I3517" t="inlineStr">
        <is>
          <t>Delivered</t>
        </is>
      </c>
      <c r="J3517" t="n">
        <v>130</v>
      </c>
      <c r="K3517" t="n">
        <v>1</v>
      </c>
      <c r="L3517" t="n">
        <v>734</v>
      </c>
      <c r="M3517" t="n">
        <v>36.7</v>
      </c>
      <c r="N3517">
        <f>VLOOKUP(J3517,Products!$A$2:$C$49,3,FALSE)</f>
        <v/>
      </c>
      <c r="O3517">
        <f>K3517*L3517-M3517</f>
        <v/>
      </c>
      <c r="P3517">
        <f>TEXT(B3517,"yyyy-mm")</f>
        <v/>
      </c>
      <c r="Q3517">
        <f>IF(O3517&gt;=3000,"Large","Small")</f>
        <v/>
      </c>
      <c r="R3517">
        <f>INDEX(Products!$F$2:$F$49,MATCH(J3517,Products!$A$2:$A$49,0))</f>
        <v/>
      </c>
      <c r="S3517">
        <f>WEEKDAY(B3517,2)</f>
        <v/>
      </c>
    </row>
    <row r="3518">
      <c r="A3518" t="n">
        <v>511271</v>
      </c>
      <c r="B3518" s="6" t="n">
        <v>45996</v>
      </c>
      <c r="C3518" t="n">
        <v>15640</v>
      </c>
      <c r="D3518" t="inlineStr">
        <is>
          <t>Chennai</t>
        </is>
      </c>
      <c r="E3518" t="inlineStr">
        <is>
          <t>South</t>
        </is>
      </c>
      <c r="F3518" t="inlineStr">
        <is>
          <t>Paid Social</t>
        </is>
      </c>
      <c r="G3518" t="inlineStr">
        <is>
          <t>Mobile Web</t>
        </is>
      </c>
      <c r="H3518" t="inlineStr">
        <is>
          <t>Cash on Delivery</t>
        </is>
      </c>
      <c r="I3518" t="inlineStr">
        <is>
          <t>Delivered</t>
        </is>
      </c>
      <c r="J3518" t="n">
        <v>135</v>
      </c>
      <c r="K3518" t="n">
        <v>1</v>
      </c>
      <c r="L3518" t="n">
        <v>1574</v>
      </c>
      <c r="M3518" t="n">
        <v>78.7</v>
      </c>
      <c r="N3518">
        <f>VLOOKUP(J3518,Products!$A$2:$C$49,3,FALSE)</f>
        <v/>
      </c>
      <c r="O3518">
        <f>K3518*L3518-M3518</f>
        <v/>
      </c>
      <c r="P3518">
        <f>TEXT(B3518,"yyyy-mm")</f>
        <v/>
      </c>
      <c r="Q3518">
        <f>IF(O3518&gt;=3000,"Large","Small")</f>
        <v/>
      </c>
      <c r="R3518">
        <f>INDEX(Products!$F$2:$F$49,MATCH(J3518,Products!$A$2:$A$49,0))</f>
        <v/>
      </c>
      <c r="S3518">
        <f>WEEKDAY(B3518,2)</f>
        <v/>
      </c>
    </row>
    <row r="3519">
      <c r="A3519" t="n">
        <v>511271</v>
      </c>
      <c r="B3519" s="6" t="n">
        <v>45996</v>
      </c>
      <c r="C3519" t="n">
        <v>15640</v>
      </c>
      <c r="D3519" t="inlineStr">
        <is>
          <t>Chennai</t>
        </is>
      </c>
      <c r="E3519" t="inlineStr">
        <is>
          <t>South</t>
        </is>
      </c>
      <c r="F3519" t="inlineStr">
        <is>
          <t>Paid Social</t>
        </is>
      </c>
      <c r="G3519" t="inlineStr">
        <is>
          <t>Mobile Web</t>
        </is>
      </c>
      <c r="H3519" t="inlineStr">
        <is>
          <t>Cash on Delivery</t>
        </is>
      </c>
      <c r="I3519" t="inlineStr">
        <is>
          <t>Delivered</t>
        </is>
      </c>
      <c r="J3519" t="n">
        <v>119</v>
      </c>
      <c r="K3519" t="n">
        <v>1</v>
      </c>
      <c r="L3519" t="n">
        <v>2309</v>
      </c>
      <c r="M3519" t="n">
        <v>115.45</v>
      </c>
      <c r="N3519">
        <f>VLOOKUP(J3519,Products!$A$2:$C$49,3,FALSE)</f>
        <v/>
      </c>
      <c r="O3519">
        <f>K3519*L3519-M3519</f>
        <v/>
      </c>
      <c r="P3519">
        <f>TEXT(B3519,"yyyy-mm")</f>
        <v/>
      </c>
      <c r="Q3519">
        <f>IF(O3519&gt;=3000,"Large","Small")</f>
        <v/>
      </c>
      <c r="R3519">
        <f>INDEX(Products!$F$2:$F$49,MATCH(J3519,Products!$A$2:$A$49,0))</f>
        <v/>
      </c>
      <c r="S3519">
        <f>WEEKDAY(B3519,2)</f>
        <v/>
      </c>
    </row>
    <row r="3520">
      <c r="A3520" t="n">
        <v>511271</v>
      </c>
      <c r="B3520" s="6" t="n">
        <v>45996</v>
      </c>
      <c r="C3520" t="n">
        <v>15640</v>
      </c>
      <c r="D3520" t="inlineStr">
        <is>
          <t>Chennai</t>
        </is>
      </c>
      <c r="E3520" t="inlineStr">
        <is>
          <t>South</t>
        </is>
      </c>
      <c r="F3520" t="inlineStr">
        <is>
          <t>Paid Social</t>
        </is>
      </c>
      <c r="G3520" t="inlineStr">
        <is>
          <t>Mobile Web</t>
        </is>
      </c>
      <c r="H3520" t="inlineStr">
        <is>
          <t>Cash on Delivery</t>
        </is>
      </c>
      <c r="I3520" t="inlineStr">
        <is>
          <t>Delivered</t>
        </is>
      </c>
      <c r="J3520" t="n">
        <v>113</v>
      </c>
      <c r="K3520" t="n">
        <v>1</v>
      </c>
      <c r="L3520" t="n">
        <v>1364</v>
      </c>
      <c r="M3520" t="n">
        <v>68.2</v>
      </c>
      <c r="N3520">
        <f>VLOOKUP(J3520,Products!$A$2:$C$49,3,FALSE)</f>
        <v/>
      </c>
      <c r="O3520">
        <f>K3520*L3520-M3520</f>
        <v/>
      </c>
      <c r="P3520">
        <f>TEXT(B3520,"yyyy-mm")</f>
        <v/>
      </c>
      <c r="Q3520">
        <f>IF(O3520&gt;=3000,"Large","Small")</f>
        <v/>
      </c>
      <c r="R3520">
        <f>INDEX(Products!$F$2:$F$49,MATCH(J3520,Products!$A$2:$A$49,0))</f>
        <v/>
      </c>
      <c r="S3520">
        <f>WEEKDAY(B3520,2)</f>
        <v/>
      </c>
    </row>
    <row r="3521">
      <c r="A3521" t="n">
        <v>511272</v>
      </c>
      <c r="B3521" s="6" t="n">
        <v>45996</v>
      </c>
      <c r="C3521" t="n">
        <v>14814</v>
      </c>
      <c r="D3521" t="inlineStr">
        <is>
          <t>Gurugram</t>
        </is>
      </c>
      <c r="E3521" t="inlineStr">
        <is>
          <t>North</t>
        </is>
      </c>
      <c r="F3521" t="inlineStr">
        <is>
          <t>Referral</t>
        </is>
      </c>
      <c r="G3521" t="inlineStr">
        <is>
          <t>Mobile App</t>
        </is>
      </c>
      <c r="H3521" t="inlineStr">
        <is>
          <t>UPI</t>
        </is>
      </c>
      <c r="I3521" t="inlineStr">
        <is>
          <t>Returned</t>
        </is>
      </c>
      <c r="J3521" t="n">
        <v>121</v>
      </c>
      <c r="K3521" t="n">
        <v>1</v>
      </c>
      <c r="L3521" t="n">
        <v>2939</v>
      </c>
      <c r="M3521" t="n">
        <v>0</v>
      </c>
      <c r="N3521">
        <f>VLOOKUP(J3521,Products!$A$2:$C$49,3,FALSE)</f>
        <v/>
      </c>
      <c r="O3521">
        <f>K3521*L3521-M3521</f>
        <v/>
      </c>
      <c r="P3521">
        <f>TEXT(B3521,"yyyy-mm")</f>
        <v/>
      </c>
      <c r="Q3521">
        <f>IF(O3521&gt;=3000,"Large","Small")</f>
        <v/>
      </c>
      <c r="R3521">
        <f>INDEX(Products!$F$2:$F$49,MATCH(J3521,Products!$A$2:$A$49,0))</f>
        <v/>
      </c>
      <c r="S3521">
        <f>WEEKDAY(B3521,2)</f>
        <v/>
      </c>
    </row>
    <row r="3522">
      <c r="A3522" t="n">
        <v>511272</v>
      </c>
      <c r="B3522" s="6" t="n">
        <v>45996</v>
      </c>
      <c r="C3522" t="n">
        <v>14814</v>
      </c>
      <c r="D3522" t="inlineStr">
        <is>
          <t>Gurugram</t>
        </is>
      </c>
      <c r="E3522" t="inlineStr">
        <is>
          <t>North</t>
        </is>
      </c>
      <c r="F3522" t="inlineStr">
        <is>
          <t>Referral</t>
        </is>
      </c>
      <c r="G3522" t="inlineStr">
        <is>
          <t>Mobile App</t>
        </is>
      </c>
      <c r="H3522" t="inlineStr">
        <is>
          <t>UPI</t>
        </is>
      </c>
      <c r="I3522" t="inlineStr">
        <is>
          <t>Returned</t>
        </is>
      </c>
      <c r="J3522" t="n">
        <v>117</v>
      </c>
      <c r="K3522" t="n">
        <v>1</v>
      </c>
      <c r="L3522" t="n">
        <v>3149</v>
      </c>
      <c r="M3522" t="n">
        <v>0</v>
      </c>
      <c r="N3522">
        <f>VLOOKUP(J3522,Products!$A$2:$C$49,3,FALSE)</f>
        <v/>
      </c>
      <c r="O3522">
        <f>K3522*L3522-M3522</f>
        <v/>
      </c>
      <c r="P3522">
        <f>TEXT(B3522,"yyyy-mm")</f>
        <v/>
      </c>
      <c r="Q3522">
        <f>IF(O3522&gt;=3000,"Large","Small")</f>
        <v/>
      </c>
      <c r="R3522">
        <f>INDEX(Products!$F$2:$F$49,MATCH(J3522,Products!$A$2:$A$49,0))</f>
        <v/>
      </c>
      <c r="S3522">
        <f>WEEKDAY(B3522,2)</f>
        <v/>
      </c>
    </row>
    <row r="3523">
      <c r="A3523" t="n">
        <v>511273</v>
      </c>
      <c r="B3523" s="6" t="n">
        <v>45996</v>
      </c>
      <c r="C3523" t="n">
        <v>17579</v>
      </c>
      <c r="D3523" t="inlineStr">
        <is>
          <t>Chennai</t>
        </is>
      </c>
      <c r="E3523" t="inlineStr">
        <is>
          <t>South</t>
        </is>
      </c>
      <c r="F3523" t="inlineStr">
        <is>
          <t>Email</t>
        </is>
      </c>
      <c r="G3523" t="inlineStr">
        <is>
          <t>Mobile App</t>
        </is>
      </c>
      <c r="H3523" t="inlineStr">
        <is>
          <t>UPI</t>
        </is>
      </c>
      <c r="I3523" t="inlineStr">
        <is>
          <t>Delivered</t>
        </is>
      </c>
      <c r="J3523" t="n">
        <v>113</v>
      </c>
      <c r="K3523" t="n">
        <v>1</v>
      </c>
      <c r="L3523" t="n">
        <v>1364</v>
      </c>
      <c r="M3523" t="n">
        <v>0</v>
      </c>
      <c r="N3523">
        <f>VLOOKUP(J3523,Products!$A$2:$C$49,3,FALSE)</f>
        <v/>
      </c>
      <c r="O3523">
        <f>K3523*L3523-M3523</f>
        <v/>
      </c>
      <c r="P3523">
        <f>TEXT(B3523,"yyyy-mm")</f>
        <v/>
      </c>
      <c r="Q3523">
        <f>IF(O3523&gt;=3000,"Large","Small")</f>
        <v/>
      </c>
      <c r="R3523">
        <f>INDEX(Products!$F$2:$F$49,MATCH(J3523,Products!$A$2:$A$49,0))</f>
        <v/>
      </c>
      <c r="S3523">
        <f>WEEKDAY(B3523,2)</f>
        <v/>
      </c>
    </row>
    <row r="3524">
      <c r="A3524" t="n">
        <v>511274</v>
      </c>
      <c r="B3524" s="6" t="n">
        <v>45996</v>
      </c>
      <c r="C3524" t="n">
        <v>10761</v>
      </c>
      <c r="D3524" t="inlineStr">
        <is>
          <t>Delhi</t>
        </is>
      </c>
      <c r="E3524" t="inlineStr">
        <is>
          <t>North</t>
        </is>
      </c>
      <c r="F3524" t="inlineStr">
        <is>
          <t>Affiliate</t>
        </is>
      </c>
      <c r="G3524" t="inlineStr">
        <is>
          <t>Mobile App</t>
        </is>
      </c>
      <c r="H3524" t="inlineStr">
        <is>
          <t>UPI</t>
        </is>
      </c>
      <c r="I3524" t="inlineStr">
        <is>
          <t>Delivered</t>
        </is>
      </c>
      <c r="J3524" t="n">
        <v>122</v>
      </c>
      <c r="K3524" t="n">
        <v>1</v>
      </c>
      <c r="L3524" t="n">
        <v>1994</v>
      </c>
      <c r="M3524" t="n">
        <v>0</v>
      </c>
      <c r="N3524">
        <f>VLOOKUP(J3524,Products!$A$2:$C$49,3,FALSE)</f>
        <v/>
      </c>
      <c r="O3524">
        <f>K3524*L3524-M3524</f>
        <v/>
      </c>
      <c r="P3524">
        <f>TEXT(B3524,"yyyy-mm")</f>
        <v/>
      </c>
      <c r="Q3524">
        <f>IF(O3524&gt;=3000,"Large","Small")</f>
        <v/>
      </c>
      <c r="R3524">
        <f>INDEX(Products!$F$2:$F$49,MATCH(J3524,Products!$A$2:$A$49,0))</f>
        <v/>
      </c>
      <c r="S3524">
        <f>WEEKDAY(B3524,2)</f>
        <v/>
      </c>
    </row>
    <row r="3525">
      <c r="A3525" t="n">
        <v>511274</v>
      </c>
      <c r="B3525" s="6" t="n">
        <v>45996</v>
      </c>
      <c r="C3525" t="n">
        <v>10761</v>
      </c>
      <c r="D3525" t="inlineStr">
        <is>
          <t>Delhi</t>
        </is>
      </c>
      <c r="E3525" t="inlineStr">
        <is>
          <t>North</t>
        </is>
      </c>
      <c r="F3525" t="inlineStr">
        <is>
          <t>Affiliate</t>
        </is>
      </c>
      <c r="G3525" t="inlineStr">
        <is>
          <t>Mobile App</t>
        </is>
      </c>
      <c r="H3525" t="inlineStr">
        <is>
          <t>UPI</t>
        </is>
      </c>
      <c r="I3525" t="inlineStr">
        <is>
          <t>Delivered</t>
        </is>
      </c>
      <c r="J3525" t="n">
        <v>111</v>
      </c>
      <c r="K3525" t="n">
        <v>1</v>
      </c>
      <c r="L3525" t="n">
        <v>524</v>
      </c>
      <c r="M3525" t="n">
        <v>0</v>
      </c>
      <c r="N3525">
        <f>VLOOKUP(J3525,Products!$A$2:$C$49,3,FALSE)</f>
        <v/>
      </c>
      <c r="O3525">
        <f>K3525*L3525-M3525</f>
        <v/>
      </c>
      <c r="P3525">
        <f>TEXT(B3525,"yyyy-mm")</f>
        <v/>
      </c>
      <c r="Q3525">
        <f>IF(O3525&gt;=3000,"Large","Small")</f>
        <v/>
      </c>
      <c r="R3525">
        <f>INDEX(Products!$F$2:$F$49,MATCH(J3525,Products!$A$2:$A$49,0))</f>
        <v/>
      </c>
      <c r="S3525">
        <f>WEEKDAY(B3525,2)</f>
        <v/>
      </c>
    </row>
    <row r="3526">
      <c r="A3526" t="n">
        <v>511275</v>
      </c>
      <c r="B3526" s="6" t="n">
        <v>45996</v>
      </c>
      <c r="C3526" t="n">
        <v>17573</v>
      </c>
      <c r="D3526" t="inlineStr">
        <is>
          <t>Bengaluru</t>
        </is>
      </c>
      <c r="E3526" t="inlineStr">
        <is>
          <t>South</t>
        </is>
      </c>
      <c r="F3526" t="inlineStr">
        <is>
          <t>Paid Social</t>
        </is>
      </c>
      <c r="G3526" t="inlineStr">
        <is>
          <t>Desktop</t>
        </is>
      </c>
      <c r="H3526" t="inlineStr">
        <is>
          <t>UPI</t>
        </is>
      </c>
      <c r="I3526" t="inlineStr">
        <is>
          <t>Delivered</t>
        </is>
      </c>
      <c r="J3526" t="n">
        <v>133</v>
      </c>
      <c r="K3526" t="n">
        <v>1</v>
      </c>
      <c r="L3526" t="n">
        <v>419</v>
      </c>
      <c r="M3526" t="n">
        <v>62.85</v>
      </c>
      <c r="N3526">
        <f>VLOOKUP(J3526,Products!$A$2:$C$49,3,FALSE)</f>
        <v/>
      </c>
      <c r="O3526">
        <f>K3526*L3526-M3526</f>
        <v/>
      </c>
      <c r="P3526">
        <f>TEXT(B3526,"yyyy-mm")</f>
        <v/>
      </c>
      <c r="Q3526">
        <f>IF(O3526&gt;=3000,"Large","Small")</f>
        <v/>
      </c>
      <c r="R3526">
        <f>INDEX(Products!$F$2:$F$49,MATCH(J3526,Products!$A$2:$A$49,0))</f>
        <v/>
      </c>
      <c r="S3526">
        <f>WEEKDAY(B3526,2)</f>
        <v/>
      </c>
    </row>
    <row r="3527">
      <c r="A3527" t="n">
        <v>511275</v>
      </c>
      <c r="B3527" s="6" t="n">
        <v>45996</v>
      </c>
      <c r="C3527" t="n">
        <v>17573</v>
      </c>
      <c r="D3527" t="inlineStr">
        <is>
          <t>Bengaluru</t>
        </is>
      </c>
      <c r="E3527" t="inlineStr">
        <is>
          <t>South</t>
        </is>
      </c>
      <c r="F3527" t="inlineStr">
        <is>
          <t>Paid Social</t>
        </is>
      </c>
      <c r="G3527" t="inlineStr">
        <is>
          <t>Desktop</t>
        </is>
      </c>
      <c r="H3527" t="inlineStr">
        <is>
          <t>UPI</t>
        </is>
      </c>
      <c r="I3527" t="inlineStr">
        <is>
          <t>Delivered</t>
        </is>
      </c>
      <c r="J3527" t="n">
        <v>122</v>
      </c>
      <c r="K3527" t="n">
        <v>3</v>
      </c>
      <c r="L3527" t="n">
        <v>1994</v>
      </c>
      <c r="M3527" t="n">
        <v>897.3</v>
      </c>
      <c r="N3527">
        <f>VLOOKUP(J3527,Products!$A$2:$C$49,3,FALSE)</f>
        <v/>
      </c>
      <c r="O3527">
        <f>K3527*L3527-M3527</f>
        <v/>
      </c>
      <c r="P3527">
        <f>TEXT(B3527,"yyyy-mm")</f>
        <v/>
      </c>
      <c r="Q3527">
        <f>IF(O3527&gt;=3000,"Large","Small")</f>
        <v/>
      </c>
      <c r="R3527">
        <f>INDEX(Products!$F$2:$F$49,MATCH(J3527,Products!$A$2:$A$49,0))</f>
        <v/>
      </c>
      <c r="S3527">
        <f>WEEKDAY(B3527,2)</f>
        <v/>
      </c>
    </row>
    <row r="3528">
      <c r="A3528" t="n">
        <v>511276</v>
      </c>
      <c r="B3528" s="6" t="n">
        <v>45996</v>
      </c>
      <c r="C3528" t="n">
        <v>17600</v>
      </c>
      <c r="D3528" t="inlineStr">
        <is>
          <t>Mumbai</t>
        </is>
      </c>
      <c r="E3528" t="inlineStr">
        <is>
          <t>West</t>
        </is>
      </c>
      <c r="F3528" t="inlineStr">
        <is>
          <t>Organic Search</t>
        </is>
      </c>
      <c r="G3528" t="inlineStr">
        <is>
          <t>Mobile Web</t>
        </is>
      </c>
      <c r="H3528" t="inlineStr">
        <is>
          <t>UPI</t>
        </is>
      </c>
      <c r="I3528" t="inlineStr">
        <is>
          <t>Delivered</t>
        </is>
      </c>
      <c r="J3528" t="n">
        <v>107</v>
      </c>
      <c r="K3528" t="n">
        <v>1</v>
      </c>
      <c r="L3528" t="n">
        <v>1259</v>
      </c>
      <c r="M3528" t="n">
        <v>188.85</v>
      </c>
      <c r="N3528">
        <f>VLOOKUP(J3528,Products!$A$2:$C$49,3,FALSE)</f>
        <v/>
      </c>
      <c r="O3528">
        <f>K3528*L3528-M3528</f>
        <v/>
      </c>
      <c r="P3528">
        <f>TEXT(B3528,"yyyy-mm")</f>
        <v/>
      </c>
      <c r="Q3528">
        <f>IF(O3528&gt;=3000,"Large","Small")</f>
        <v/>
      </c>
      <c r="R3528">
        <f>INDEX(Products!$F$2:$F$49,MATCH(J3528,Products!$A$2:$A$49,0))</f>
        <v/>
      </c>
      <c r="S3528">
        <f>WEEKDAY(B3528,2)</f>
        <v/>
      </c>
    </row>
    <row r="3529">
      <c r="A3529" t="n">
        <v>511277</v>
      </c>
      <c r="B3529" s="6" t="n">
        <v>45996</v>
      </c>
      <c r="C3529" t="n">
        <v>17608</v>
      </c>
      <c r="D3529" t="inlineStr">
        <is>
          <t>Mumbai</t>
        </is>
      </c>
      <c r="E3529" t="inlineStr">
        <is>
          <t>West</t>
        </is>
      </c>
      <c r="F3529" t="inlineStr">
        <is>
          <t>Paid Social</t>
        </is>
      </c>
      <c r="G3529" t="inlineStr">
        <is>
          <t>Mobile App</t>
        </is>
      </c>
      <c r="H3529" t="inlineStr">
        <is>
          <t>UPI</t>
        </is>
      </c>
      <c r="I3529" t="inlineStr">
        <is>
          <t>Delivered</t>
        </is>
      </c>
      <c r="J3529" t="n">
        <v>135</v>
      </c>
      <c r="K3529" t="n">
        <v>1</v>
      </c>
      <c r="L3529" t="n">
        <v>1574</v>
      </c>
      <c r="M3529" t="n">
        <v>0</v>
      </c>
      <c r="N3529">
        <f>VLOOKUP(J3529,Products!$A$2:$C$49,3,FALSE)</f>
        <v/>
      </c>
      <c r="O3529">
        <f>K3529*L3529-M3529</f>
        <v/>
      </c>
      <c r="P3529">
        <f>TEXT(B3529,"yyyy-mm")</f>
        <v/>
      </c>
      <c r="Q3529">
        <f>IF(O3529&gt;=3000,"Large","Small")</f>
        <v/>
      </c>
      <c r="R3529">
        <f>INDEX(Products!$F$2:$F$49,MATCH(J3529,Products!$A$2:$A$49,0))</f>
        <v/>
      </c>
      <c r="S3529">
        <f>WEEKDAY(B3529,2)</f>
        <v/>
      </c>
    </row>
    <row r="3530">
      <c r="A3530" t="n">
        <v>511277</v>
      </c>
      <c r="B3530" s="6" t="n">
        <v>45996</v>
      </c>
      <c r="C3530" t="n">
        <v>17608</v>
      </c>
      <c r="D3530" t="inlineStr">
        <is>
          <t>Mumbai</t>
        </is>
      </c>
      <c r="E3530" t="inlineStr">
        <is>
          <t>West</t>
        </is>
      </c>
      <c r="F3530" t="inlineStr">
        <is>
          <t>Paid Social</t>
        </is>
      </c>
      <c r="G3530" t="inlineStr">
        <is>
          <t>Mobile App</t>
        </is>
      </c>
      <c r="H3530" t="inlineStr">
        <is>
          <t>UPI</t>
        </is>
      </c>
      <c r="I3530" t="inlineStr">
        <is>
          <t>Delivered</t>
        </is>
      </c>
      <c r="J3530" t="n">
        <v>132</v>
      </c>
      <c r="K3530" t="n">
        <v>1</v>
      </c>
      <c r="L3530" t="n">
        <v>471</v>
      </c>
      <c r="M3530" t="n">
        <v>0</v>
      </c>
      <c r="N3530">
        <f>VLOOKUP(J3530,Products!$A$2:$C$49,3,FALSE)</f>
        <v/>
      </c>
      <c r="O3530">
        <f>K3530*L3530-M3530</f>
        <v/>
      </c>
      <c r="P3530">
        <f>TEXT(B3530,"yyyy-mm")</f>
        <v/>
      </c>
      <c r="Q3530">
        <f>IF(O3530&gt;=3000,"Large","Small")</f>
        <v/>
      </c>
      <c r="R3530">
        <f>INDEX(Products!$F$2:$F$49,MATCH(J3530,Products!$A$2:$A$49,0))</f>
        <v/>
      </c>
      <c r="S3530">
        <f>WEEKDAY(B3530,2)</f>
        <v/>
      </c>
    </row>
    <row r="3531">
      <c r="A3531" t="n">
        <v>511278</v>
      </c>
      <c r="B3531" s="6" t="n">
        <v>45996</v>
      </c>
      <c r="C3531" t="n">
        <v>17641</v>
      </c>
      <c r="D3531" t="inlineStr">
        <is>
          <t>Lucknow</t>
        </is>
      </c>
      <c r="E3531" t="inlineStr">
        <is>
          <t>North</t>
        </is>
      </c>
      <c r="F3531" t="inlineStr">
        <is>
          <t>Paid Social</t>
        </is>
      </c>
      <c r="G3531" t="inlineStr">
        <is>
          <t>Mobile App</t>
        </is>
      </c>
      <c r="H3531" t="inlineStr">
        <is>
          <t>Cash on Delivery</t>
        </is>
      </c>
      <c r="I3531" t="inlineStr">
        <is>
          <t>Delivered</t>
        </is>
      </c>
      <c r="J3531" t="n">
        <v>127</v>
      </c>
      <c r="K3531" t="n">
        <v>1</v>
      </c>
      <c r="L3531" t="n">
        <v>681</v>
      </c>
      <c r="M3531" t="n">
        <v>102.15</v>
      </c>
      <c r="N3531">
        <f>VLOOKUP(J3531,Products!$A$2:$C$49,3,FALSE)</f>
        <v/>
      </c>
      <c r="O3531">
        <f>K3531*L3531-M3531</f>
        <v/>
      </c>
      <c r="P3531">
        <f>TEXT(B3531,"yyyy-mm")</f>
        <v/>
      </c>
      <c r="Q3531">
        <f>IF(O3531&gt;=3000,"Large","Small")</f>
        <v/>
      </c>
      <c r="R3531">
        <f>INDEX(Products!$F$2:$F$49,MATCH(J3531,Products!$A$2:$A$49,0))</f>
        <v/>
      </c>
      <c r="S3531">
        <f>WEEKDAY(B3531,2)</f>
        <v/>
      </c>
    </row>
    <row r="3532">
      <c r="A3532" t="n">
        <v>511279</v>
      </c>
      <c r="B3532" s="6" t="n">
        <v>45996</v>
      </c>
      <c r="C3532" t="n">
        <v>17613</v>
      </c>
      <c r="D3532" t="inlineStr">
        <is>
          <t>Indore</t>
        </is>
      </c>
      <c r="E3532" t="inlineStr">
        <is>
          <t>West</t>
        </is>
      </c>
      <c r="F3532" t="inlineStr">
        <is>
          <t>Paid Social</t>
        </is>
      </c>
      <c r="G3532" t="inlineStr">
        <is>
          <t>Mobile App</t>
        </is>
      </c>
      <c r="H3532" t="inlineStr">
        <is>
          <t>UPI</t>
        </is>
      </c>
      <c r="I3532" t="inlineStr">
        <is>
          <t>Returned</t>
        </is>
      </c>
      <c r="J3532" t="n">
        <v>116</v>
      </c>
      <c r="K3532" t="n">
        <v>1</v>
      </c>
      <c r="L3532" t="n">
        <v>2624</v>
      </c>
      <c r="M3532" t="n">
        <v>393.6</v>
      </c>
      <c r="N3532">
        <f>VLOOKUP(J3532,Products!$A$2:$C$49,3,FALSE)</f>
        <v/>
      </c>
      <c r="O3532">
        <f>K3532*L3532-M3532</f>
        <v/>
      </c>
      <c r="P3532">
        <f>TEXT(B3532,"yyyy-mm")</f>
        <v/>
      </c>
      <c r="Q3532">
        <f>IF(O3532&gt;=3000,"Large","Small")</f>
        <v/>
      </c>
      <c r="R3532">
        <f>INDEX(Products!$F$2:$F$49,MATCH(J3532,Products!$A$2:$A$49,0))</f>
        <v/>
      </c>
      <c r="S3532">
        <f>WEEKDAY(B3532,2)</f>
        <v/>
      </c>
    </row>
    <row r="3533">
      <c r="A3533" t="n">
        <v>511279</v>
      </c>
      <c r="B3533" s="6" t="n">
        <v>45996</v>
      </c>
      <c r="C3533" t="n">
        <v>17613</v>
      </c>
      <c r="D3533" t="inlineStr">
        <is>
          <t>Indore</t>
        </is>
      </c>
      <c r="E3533" t="inlineStr">
        <is>
          <t>West</t>
        </is>
      </c>
      <c r="F3533" t="inlineStr">
        <is>
          <t>Paid Social</t>
        </is>
      </c>
      <c r="G3533" t="inlineStr">
        <is>
          <t>Mobile App</t>
        </is>
      </c>
      <c r="H3533" t="inlineStr">
        <is>
          <t>UPI</t>
        </is>
      </c>
      <c r="I3533" t="inlineStr">
        <is>
          <t>Returned</t>
        </is>
      </c>
      <c r="J3533" t="n">
        <v>106</v>
      </c>
      <c r="K3533" t="n">
        <v>1</v>
      </c>
      <c r="L3533" t="n">
        <v>1574</v>
      </c>
      <c r="M3533" t="n">
        <v>236.1</v>
      </c>
      <c r="N3533">
        <f>VLOOKUP(J3533,Products!$A$2:$C$49,3,FALSE)</f>
        <v/>
      </c>
      <c r="O3533">
        <f>K3533*L3533-M3533</f>
        <v/>
      </c>
      <c r="P3533">
        <f>TEXT(B3533,"yyyy-mm")</f>
        <v/>
      </c>
      <c r="Q3533">
        <f>IF(O3533&gt;=3000,"Large","Small")</f>
        <v/>
      </c>
      <c r="R3533">
        <f>INDEX(Products!$F$2:$F$49,MATCH(J3533,Products!$A$2:$A$49,0))</f>
        <v/>
      </c>
      <c r="S3533">
        <f>WEEKDAY(B3533,2)</f>
        <v/>
      </c>
    </row>
    <row r="3534">
      <c r="A3534" t="n">
        <v>511279</v>
      </c>
      <c r="B3534" s="6" t="n">
        <v>45996</v>
      </c>
      <c r="C3534" t="n">
        <v>17613</v>
      </c>
      <c r="D3534" t="inlineStr">
        <is>
          <t>Indore</t>
        </is>
      </c>
      <c r="E3534" t="inlineStr">
        <is>
          <t>West</t>
        </is>
      </c>
      <c r="F3534" t="inlineStr">
        <is>
          <t>Paid Social</t>
        </is>
      </c>
      <c r="G3534" t="inlineStr">
        <is>
          <t>Mobile App</t>
        </is>
      </c>
      <c r="H3534" t="inlineStr">
        <is>
          <t>UPI</t>
        </is>
      </c>
      <c r="I3534" t="inlineStr">
        <is>
          <t>Returned</t>
        </is>
      </c>
      <c r="J3534" t="n">
        <v>113</v>
      </c>
      <c r="K3534" t="n">
        <v>1</v>
      </c>
      <c r="L3534" t="n">
        <v>1364</v>
      </c>
      <c r="M3534" t="n">
        <v>204.6</v>
      </c>
      <c r="N3534">
        <f>VLOOKUP(J3534,Products!$A$2:$C$49,3,FALSE)</f>
        <v/>
      </c>
      <c r="O3534">
        <f>K3534*L3534-M3534</f>
        <v/>
      </c>
      <c r="P3534">
        <f>TEXT(B3534,"yyyy-mm")</f>
        <v/>
      </c>
      <c r="Q3534">
        <f>IF(O3534&gt;=3000,"Large","Small")</f>
        <v/>
      </c>
      <c r="R3534">
        <f>INDEX(Products!$F$2:$F$49,MATCH(J3534,Products!$A$2:$A$49,0))</f>
        <v/>
      </c>
      <c r="S3534">
        <f>WEEKDAY(B3534,2)</f>
        <v/>
      </c>
    </row>
    <row r="3535">
      <c r="A3535" t="n">
        <v>511280</v>
      </c>
      <c r="B3535" s="6" t="n">
        <v>45996</v>
      </c>
      <c r="C3535" t="n">
        <v>17050</v>
      </c>
      <c r="D3535" t="inlineStr">
        <is>
          <t>Kochi</t>
        </is>
      </c>
      <c r="E3535" t="inlineStr">
        <is>
          <t>South</t>
        </is>
      </c>
      <c r="F3535" t="inlineStr">
        <is>
          <t>Referral</t>
        </is>
      </c>
      <c r="G3535" t="inlineStr">
        <is>
          <t>Mobile App</t>
        </is>
      </c>
      <c r="H3535" t="inlineStr">
        <is>
          <t>Cash on Delivery</t>
        </is>
      </c>
      <c r="I3535" t="inlineStr">
        <is>
          <t>Delivered</t>
        </is>
      </c>
      <c r="J3535" t="n">
        <v>108</v>
      </c>
      <c r="K3535" t="n">
        <v>2</v>
      </c>
      <c r="L3535" t="n">
        <v>419</v>
      </c>
      <c r="M3535" t="n">
        <v>0</v>
      </c>
      <c r="N3535">
        <f>VLOOKUP(J3535,Products!$A$2:$C$49,3,FALSE)</f>
        <v/>
      </c>
      <c r="O3535">
        <f>K3535*L3535-M3535</f>
        <v/>
      </c>
      <c r="P3535">
        <f>TEXT(B3535,"yyyy-mm")</f>
        <v/>
      </c>
      <c r="Q3535">
        <f>IF(O3535&gt;=3000,"Large","Small")</f>
        <v/>
      </c>
      <c r="R3535">
        <f>INDEX(Products!$F$2:$F$49,MATCH(J3535,Products!$A$2:$A$49,0))</f>
        <v/>
      </c>
      <c r="S3535">
        <f>WEEKDAY(B3535,2)</f>
        <v/>
      </c>
    </row>
    <row r="3536">
      <c r="A3536" t="n">
        <v>511281</v>
      </c>
      <c r="B3536" s="6" t="n">
        <v>45996</v>
      </c>
      <c r="C3536" t="n">
        <v>17619</v>
      </c>
      <c r="D3536" t="inlineStr">
        <is>
          <t>Ahmedabad</t>
        </is>
      </c>
      <c r="E3536" t="inlineStr">
        <is>
          <t>West</t>
        </is>
      </c>
      <c r="F3536" t="inlineStr">
        <is>
          <t>Affiliate</t>
        </is>
      </c>
      <c r="G3536" t="inlineStr">
        <is>
          <t>Mobile Web</t>
        </is>
      </c>
      <c r="H3536" t="inlineStr">
        <is>
          <t>UPI</t>
        </is>
      </c>
      <c r="I3536" t="inlineStr">
        <is>
          <t>Delivered</t>
        </is>
      </c>
      <c r="J3536" t="n">
        <v>102</v>
      </c>
      <c r="K3536" t="n">
        <v>1</v>
      </c>
      <c r="L3536" t="n">
        <v>3674</v>
      </c>
      <c r="M3536" t="n">
        <v>551.1</v>
      </c>
      <c r="N3536">
        <f>VLOOKUP(J3536,Products!$A$2:$C$49,3,FALSE)</f>
        <v/>
      </c>
      <c r="O3536">
        <f>K3536*L3536-M3536</f>
        <v/>
      </c>
      <c r="P3536">
        <f>TEXT(B3536,"yyyy-mm")</f>
        <v/>
      </c>
      <c r="Q3536">
        <f>IF(O3536&gt;=3000,"Large","Small")</f>
        <v/>
      </c>
      <c r="R3536">
        <f>INDEX(Products!$F$2:$F$49,MATCH(J3536,Products!$A$2:$A$49,0))</f>
        <v/>
      </c>
      <c r="S3536">
        <f>WEEKDAY(B3536,2)</f>
        <v/>
      </c>
    </row>
    <row r="3537">
      <c r="A3537" t="n">
        <v>511282</v>
      </c>
      <c r="B3537" s="6" t="n">
        <v>45996</v>
      </c>
      <c r="C3537" t="n">
        <v>17581</v>
      </c>
      <c r="D3537" t="inlineStr">
        <is>
          <t>Mumbai</t>
        </is>
      </c>
      <c r="E3537" t="inlineStr">
        <is>
          <t>West</t>
        </is>
      </c>
      <c r="F3537" t="inlineStr">
        <is>
          <t>Affiliate</t>
        </is>
      </c>
      <c r="G3537" t="inlineStr">
        <is>
          <t>Mobile Web</t>
        </is>
      </c>
      <c r="H3537" t="inlineStr">
        <is>
          <t>UPI</t>
        </is>
      </c>
      <c r="I3537" t="inlineStr">
        <is>
          <t>Delivered</t>
        </is>
      </c>
      <c r="J3537" t="n">
        <v>144</v>
      </c>
      <c r="K3537" t="n">
        <v>1</v>
      </c>
      <c r="L3537" t="n">
        <v>3149</v>
      </c>
      <c r="M3537" t="n">
        <v>0</v>
      </c>
      <c r="N3537">
        <f>VLOOKUP(J3537,Products!$A$2:$C$49,3,FALSE)</f>
        <v/>
      </c>
      <c r="O3537">
        <f>K3537*L3537-M3537</f>
        <v/>
      </c>
      <c r="P3537">
        <f>TEXT(B3537,"yyyy-mm")</f>
        <v/>
      </c>
      <c r="Q3537">
        <f>IF(O3537&gt;=3000,"Large","Small")</f>
        <v/>
      </c>
      <c r="R3537">
        <f>INDEX(Products!$F$2:$F$49,MATCH(J3537,Products!$A$2:$A$49,0))</f>
        <v/>
      </c>
      <c r="S3537">
        <f>WEEKDAY(B3537,2)</f>
        <v/>
      </c>
    </row>
    <row r="3538">
      <c r="A3538" t="n">
        <v>511282</v>
      </c>
      <c r="B3538" s="6" t="n">
        <v>45996</v>
      </c>
      <c r="C3538" t="n">
        <v>17581</v>
      </c>
      <c r="D3538" t="inlineStr">
        <is>
          <t>Mumbai</t>
        </is>
      </c>
      <c r="E3538" t="inlineStr">
        <is>
          <t>West</t>
        </is>
      </c>
      <c r="F3538" t="inlineStr">
        <is>
          <t>Affiliate</t>
        </is>
      </c>
      <c r="G3538" t="inlineStr">
        <is>
          <t>Mobile Web</t>
        </is>
      </c>
      <c r="H3538" t="inlineStr">
        <is>
          <t>UPI</t>
        </is>
      </c>
      <c r="I3538" t="inlineStr">
        <is>
          <t>Delivered</t>
        </is>
      </c>
      <c r="J3538" t="n">
        <v>108</v>
      </c>
      <c r="K3538" t="n">
        <v>1</v>
      </c>
      <c r="L3538" t="n">
        <v>419</v>
      </c>
      <c r="M3538" t="n">
        <v>0</v>
      </c>
      <c r="N3538">
        <f>VLOOKUP(J3538,Products!$A$2:$C$49,3,FALSE)</f>
        <v/>
      </c>
      <c r="O3538">
        <f>K3538*L3538-M3538</f>
        <v/>
      </c>
      <c r="P3538">
        <f>TEXT(B3538,"yyyy-mm")</f>
        <v/>
      </c>
      <c r="Q3538">
        <f>IF(O3538&gt;=3000,"Large","Small")</f>
        <v/>
      </c>
      <c r="R3538">
        <f>INDEX(Products!$F$2:$F$49,MATCH(J3538,Products!$A$2:$A$49,0))</f>
        <v/>
      </c>
      <c r="S3538">
        <f>WEEKDAY(B3538,2)</f>
        <v/>
      </c>
    </row>
    <row r="3539">
      <c r="A3539" t="n">
        <v>511283</v>
      </c>
      <c r="B3539" s="6" t="n">
        <v>45996</v>
      </c>
      <c r="C3539" t="n">
        <v>17630</v>
      </c>
      <c r="D3539" t="inlineStr">
        <is>
          <t>Kochi</t>
        </is>
      </c>
      <c r="E3539" t="inlineStr">
        <is>
          <t>South</t>
        </is>
      </c>
      <c r="F3539" t="inlineStr">
        <is>
          <t>Organic Search</t>
        </is>
      </c>
      <c r="G3539" t="inlineStr">
        <is>
          <t>Desktop</t>
        </is>
      </c>
      <c r="H3539" t="inlineStr">
        <is>
          <t>UPI</t>
        </is>
      </c>
      <c r="I3539" t="inlineStr">
        <is>
          <t>Delivered</t>
        </is>
      </c>
      <c r="J3539" t="n">
        <v>121</v>
      </c>
      <c r="K3539" t="n">
        <v>1</v>
      </c>
      <c r="L3539" t="n">
        <v>2939</v>
      </c>
      <c r="M3539" t="n">
        <v>0</v>
      </c>
      <c r="N3539">
        <f>VLOOKUP(J3539,Products!$A$2:$C$49,3,FALSE)</f>
        <v/>
      </c>
      <c r="O3539">
        <f>K3539*L3539-M3539</f>
        <v/>
      </c>
      <c r="P3539">
        <f>TEXT(B3539,"yyyy-mm")</f>
        <v/>
      </c>
      <c r="Q3539">
        <f>IF(O3539&gt;=3000,"Large","Small")</f>
        <v/>
      </c>
      <c r="R3539">
        <f>INDEX(Products!$F$2:$F$49,MATCH(J3539,Products!$A$2:$A$49,0))</f>
        <v/>
      </c>
      <c r="S3539">
        <f>WEEKDAY(B3539,2)</f>
        <v/>
      </c>
    </row>
    <row r="3540">
      <c r="A3540" t="n">
        <v>511284</v>
      </c>
      <c r="B3540" s="6" t="n">
        <v>45996</v>
      </c>
      <c r="C3540" t="n">
        <v>13652</v>
      </c>
      <c r="D3540" t="inlineStr">
        <is>
          <t>Jaipur</t>
        </is>
      </c>
      <c r="E3540" t="inlineStr">
        <is>
          <t>North</t>
        </is>
      </c>
      <c r="F3540" t="inlineStr">
        <is>
          <t>Paid Social</t>
        </is>
      </c>
      <c r="G3540" t="inlineStr">
        <is>
          <t>Desktop</t>
        </is>
      </c>
      <c r="H3540" t="inlineStr">
        <is>
          <t>UPI</t>
        </is>
      </c>
      <c r="I3540" t="inlineStr">
        <is>
          <t>Delivered</t>
        </is>
      </c>
      <c r="J3540" t="n">
        <v>128</v>
      </c>
      <c r="K3540" t="n">
        <v>1</v>
      </c>
      <c r="L3540" t="n">
        <v>1049</v>
      </c>
      <c r="M3540" t="n">
        <v>0</v>
      </c>
      <c r="N3540">
        <f>VLOOKUP(J3540,Products!$A$2:$C$49,3,FALSE)</f>
        <v/>
      </c>
      <c r="O3540">
        <f>K3540*L3540-M3540</f>
        <v/>
      </c>
      <c r="P3540">
        <f>TEXT(B3540,"yyyy-mm")</f>
        <v/>
      </c>
      <c r="Q3540">
        <f>IF(O3540&gt;=3000,"Large","Small")</f>
        <v/>
      </c>
      <c r="R3540">
        <f>INDEX(Products!$F$2:$F$49,MATCH(J3540,Products!$A$2:$A$49,0))</f>
        <v/>
      </c>
      <c r="S3540">
        <f>WEEKDAY(B3540,2)</f>
        <v/>
      </c>
    </row>
    <row r="3541">
      <c r="A3541" t="n">
        <v>511284</v>
      </c>
      <c r="B3541" s="6" t="n">
        <v>45996</v>
      </c>
      <c r="C3541" t="n">
        <v>13652</v>
      </c>
      <c r="D3541" t="inlineStr">
        <is>
          <t>Jaipur</t>
        </is>
      </c>
      <c r="E3541" t="inlineStr">
        <is>
          <t>North</t>
        </is>
      </c>
      <c r="F3541" t="inlineStr">
        <is>
          <t>Paid Social</t>
        </is>
      </c>
      <c r="G3541" t="inlineStr">
        <is>
          <t>Desktop</t>
        </is>
      </c>
      <c r="H3541" t="inlineStr">
        <is>
          <t>UPI</t>
        </is>
      </c>
      <c r="I3541" t="inlineStr">
        <is>
          <t>Delivered</t>
        </is>
      </c>
      <c r="J3541" t="n">
        <v>134</v>
      </c>
      <c r="K3541" t="n">
        <v>1</v>
      </c>
      <c r="L3541" t="n">
        <v>209</v>
      </c>
      <c r="M3541" t="n">
        <v>0</v>
      </c>
      <c r="N3541">
        <f>VLOOKUP(J3541,Products!$A$2:$C$49,3,FALSE)</f>
        <v/>
      </c>
      <c r="O3541">
        <f>K3541*L3541-M3541</f>
        <v/>
      </c>
      <c r="P3541">
        <f>TEXT(B3541,"yyyy-mm")</f>
        <v/>
      </c>
      <c r="Q3541">
        <f>IF(O3541&gt;=3000,"Large","Small")</f>
        <v/>
      </c>
      <c r="R3541">
        <f>INDEX(Products!$F$2:$F$49,MATCH(J3541,Products!$A$2:$A$49,0))</f>
        <v/>
      </c>
      <c r="S3541">
        <f>WEEKDAY(B3541,2)</f>
        <v/>
      </c>
    </row>
    <row r="3542">
      <c r="A3542" t="n">
        <v>511284</v>
      </c>
      <c r="B3542" s="6" t="n">
        <v>45996</v>
      </c>
      <c r="C3542" t="n">
        <v>13652</v>
      </c>
      <c r="D3542" t="inlineStr">
        <is>
          <t>Jaipur</t>
        </is>
      </c>
      <c r="E3542" t="inlineStr">
        <is>
          <t>North</t>
        </is>
      </c>
      <c r="F3542" t="inlineStr">
        <is>
          <t>Paid Social</t>
        </is>
      </c>
      <c r="G3542" t="inlineStr">
        <is>
          <t>Desktop</t>
        </is>
      </c>
      <c r="H3542" t="inlineStr">
        <is>
          <t>UPI</t>
        </is>
      </c>
      <c r="I3542" t="inlineStr">
        <is>
          <t>Delivered</t>
        </is>
      </c>
      <c r="J3542" t="n">
        <v>102</v>
      </c>
      <c r="K3542" t="n">
        <v>1</v>
      </c>
      <c r="L3542" t="n">
        <v>3674</v>
      </c>
      <c r="M3542" t="n">
        <v>0</v>
      </c>
      <c r="N3542">
        <f>VLOOKUP(J3542,Products!$A$2:$C$49,3,FALSE)</f>
        <v/>
      </c>
      <c r="O3542">
        <f>K3542*L3542-M3542</f>
        <v/>
      </c>
      <c r="P3542">
        <f>TEXT(B3542,"yyyy-mm")</f>
        <v/>
      </c>
      <c r="Q3542">
        <f>IF(O3542&gt;=3000,"Large","Small")</f>
        <v/>
      </c>
      <c r="R3542">
        <f>INDEX(Products!$F$2:$F$49,MATCH(J3542,Products!$A$2:$A$49,0))</f>
        <v/>
      </c>
      <c r="S3542">
        <f>WEEKDAY(B3542,2)</f>
        <v/>
      </c>
    </row>
    <row r="3543">
      <c r="A3543" t="n">
        <v>511285</v>
      </c>
      <c r="B3543" s="6" t="n">
        <v>45996</v>
      </c>
      <c r="C3543" t="n">
        <v>16709</v>
      </c>
      <c r="D3543" t="inlineStr">
        <is>
          <t>Bengaluru</t>
        </is>
      </c>
      <c r="E3543" t="inlineStr">
        <is>
          <t>South</t>
        </is>
      </c>
      <c r="F3543" t="inlineStr">
        <is>
          <t>Email</t>
        </is>
      </c>
      <c r="G3543" t="inlineStr">
        <is>
          <t>Desktop</t>
        </is>
      </c>
      <c r="H3543" t="inlineStr">
        <is>
          <t>UPI</t>
        </is>
      </c>
      <c r="I3543" t="inlineStr">
        <is>
          <t>Delivered</t>
        </is>
      </c>
      <c r="J3543" t="n">
        <v>130</v>
      </c>
      <c r="K3543" t="n">
        <v>1</v>
      </c>
      <c r="L3543" t="n">
        <v>734</v>
      </c>
      <c r="M3543" t="n">
        <v>0</v>
      </c>
      <c r="N3543">
        <f>VLOOKUP(J3543,Products!$A$2:$C$49,3,FALSE)</f>
        <v/>
      </c>
      <c r="O3543">
        <f>K3543*L3543-M3543</f>
        <v/>
      </c>
      <c r="P3543">
        <f>TEXT(B3543,"yyyy-mm")</f>
        <v/>
      </c>
      <c r="Q3543">
        <f>IF(O3543&gt;=3000,"Large","Small")</f>
        <v/>
      </c>
      <c r="R3543">
        <f>INDEX(Products!$F$2:$F$49,MATCH(J3543,Products!$A$2:$A$49,0))</f>
        <v/>
      </c>
      <c r="S3543">
        <f>WEEKDAY(B3543,2)</f>
        <v/>
      </c>
    </row>
    <row r="3544">
      <c r="A3544" t="n">
        <v>511286</v>
      </c>
      <c r="B3544" s="6" t="n">
        <v>45997</v>
      </c>
      <c r="C3544" t="n">
        <v>17024</v>
      </c>
      <c r="D3544" t="inlineStr">
        <is>
          <t>Delhi</t>
        </is>
      </c>
      <c r="E3544" t="inlineStr">
        <is>
          <t>North</t>
        </is>
      </c>
      <c r="F3544" t="inlineStr">
        <is>
          <t>Organic Search</t>
        </is>
      </c>
      <c r="G3544" t="inlineStr">
        <is>
          <t>Mobile App</t>
        </is>
      </c>
      <c r="H3544" t="inlineStr">
        <is>
          <t>Cash on Delivery</t>
        </is>
      </c>
      <c r="I3544" t="inlineStr">
        <is>
          <t>Delivered</t>
        </is>
      </c>
      <c r="J3544" t="n">
        <v>114</v>
      </c>
      <c r="K3544" t="n">
        <v>1</v>
      </c>
      <c r="L3544" t="n">
        <v>1259</v>
      </c>
      <c r="M3544" t="n">
        <v>0</v>
      </c>
      <c r="N3544">
        <f>VLOOKUP(J3544,Products!$A$2:$C$49,3,FALSE)</f>
        <v/>
      </c>
      <c r="O3544">
        <f>K3544*L3544-M3544</f>
        <v/>
      </c>
      <c r="P3544">
        <f>TEXT(B3544,"yyyy-mm")</f>
        <v/>
      </c>
      <c r="Q3544">
        <f>IF(O3544&gt;=3000,"Large","Small")</f>
        <v/>
      </c>
      <c r="R3544">
        <f>INDEX(Products!$F$2:$F$49,MATCH(J3544,Products!$A$2:$A$49,0))</f>
        <v/>
      </c>
      <c r="S3544">
        <f>WEEKDAY(B3544,2)</f>
        <v/>
      </c>
    </row>
    <row r="3545">
      <c r="A3545" t="n">
        <v>511286</v>
      </c>
      <c r="B3545" s="6" t="n">
        <v>45997</v>
      </c>
      <c r="C3545" t="n">
        <v>17024</v>
      </c>
      <c r="D3545" t="inlineStr">
        <is>
          <t>Delhi</t>
        </is>
      </c>
      <c r="E3545" t="inlineStr">
        <is>
          <t>North</t>
        </is>
      </c>
      <c r="F3545" t="inlineStr">
        <is>
          <t>Organic Search</t>
        </is>
      </c>
      <c r="G3545" t="inlineStr">
        <is>
          <t>Mobile App</t>
        </is>
      </c>
      <c r="H3545" t="inlineStr">
        <is>
          <t>Cash on Delivery</t>
        </is>
      </c>
      <c r="I3545" t="inlineStr">
        <is>
          <t>Delivered</t>
        </is>
      </c>
      <c r="J3545" t="n">
        <v>103</v>
      </c>
      <c r="K3545" t="n">
        <v>2</v>
      </c>
      <c r="L3545" t="n">
        <v>2624</v>
      </c>
      <c r="M3545" t="n">
        <v>0</v>
      </c>
      <c r="N3545">
        <f>VLOOKUP(J3545,Products!$A$2:$C$49,3,FALSE)</f>
        <v/>
      </c>
      <c r="O3545">
        <f>K3545*L3545-M3545</f>
        <v/>
      </c>
      <c r="P3545">
        <f>TEXT(B3545,"yyyy-mm")</f>
        <v/>
      </c>
      <c r="Q3545">
        <f>IF(O3545&gt;=3000,"Large","Small")</f>
        <v/>
      </c>
      <c r="R3545">
        <f>INDEX(Products!$F$2:$F$49,MATCH(J3545,Products!$A$2:$A$49,0))</f>
        <v/>
      </c>
      <c r="S3545">
        <f>WEEKDAY(B3545,2)</f>
        <v/>
      </c>
    </row>
    <row r="3546">
      <c r="A3546" t="n">
        <v>511286</v>
      </c>
      <c r="B3546" s="6" t="n">
        <v>45997</v>
      </c>
      <c r="C3546" t="n">
        <v>17024</v>
      </c>
      <c r="D3546" t="inlineStr">
        <is>
          <t>Delhi</t>
        </is>
      </c>
      <c r="E3546" t="inlineStr">
        <is>
          <t>North</t>
        </is>
      </c>
      <c r="F3546" t="inlineStr">
        <is>
          <t>Organic Search</t>
        </is>
      </c>
      <c r="G3546" t="inlineStr">
        <is>
          <t>Mobile App</t>
        </is>
      </c>
      <c r="H3546" t="inlineStr">
        <is>
          <t>Cash on Delivery</t>
        </is>
      </c>
      <c r="I3546" t="inlineStr">
        <is>
          <t>Delivered</t>
        </is>
      </c>
      <c r="J3546" t="n">
        <v>116</v>
      </c>
      <c r="K3546" t="n">
        <v>1</v>
      </c>
      <c r="L3546" t="n">
        <v>2624</v>
      </c>
      <c r="M3546" t="n">
        <v>0</v>
      </c>
      <c r="N3546">
        <f>VLOOKUP(J3546,Products!$A$2:$C$49,3,FALSE)</f>
        <v/>
      </c>
      <c r="O3546">
        <f>K3546*L3546-M3546</f>
        <v/>
      </c>
      <c r="P3546">
        <f>TEXT(B3546,"yyyy-mm")</f>
        <v/>
      </c>
      <c r="Q3546">
        <f>IF(O3546&gt;=3000,"Large","Small")</f>
        <v/>
      </c>
      <c r="R3546">
        <f>INDEX(Products!$F$2:$F$49,MATCH(J3546,Products!$A$2:$A$49,0))</f>
        <v/>
      </c>
      <c r="S3546">
        <f>WEEKDAY(B3546,2)</f>
        <v/>
      </c>
    </row>
    <row r="3547">
      <c r="A3547" t="n">
        <v>511287</v>
      </c>
      <c r="B3547" s="6" t="n">
        <v>45997</v>
      </c>
      <c r="C3547" t="n">
        <v>15274</v>
      </c>
      <c r="D3547" t="inlineStr">
        <is>
          <t>Lucknow</t>
        </is>
      </c>
      <c r="E3547" t="inlineStr">
        <is>
          <t>North</t>
        </is>
      </c>
      <c r="F3547" t="inlineStr">
        <is>
          <t>Organic Search</t>
        </is>
      </c>
      <c r="G3547" t="inlineStr">
        <is>
          <t>Mobile Web</t>
        </is>
      </c>
      <c r="H3547" t="inlineStr">
        <is>
          <t>Cash on Delivery</t>
        </is>
      </c>
      <c r="I3547" t="inlineStr">
        <is>
          <t>Cancelled</t>
        </is>
      </c>
      <c r="J3547" t="n">
        <v>118</v>
      </c>
      <c r="K3547" t="n">
        <v>1</v>
      </c>
      <c r="L3547" t="n">
        <v>944</v>
      </c>
      <c r="M3547" t="n">
        <v>0</v>
      </c>
      <c r="N3547">
        <f>VLOOKUP(J3547,Products!$A$2:$C$49,3,FALSE)</f>
        <v/>
      </c>
      <c r="O3547">
        <f>K3547*L3547-M3547</f>
        <v/>
      </c>
      <c r="P3547">
        <f>TEXT(B3547,"yyyy-mm")</f>
        <v/>
      </c>
      <c r="Q3547">
        <f>IF(O3547&gt;=3000,"Large","Small")</f>
        <v/>
      </c>
      <c r="R3547">
        <f>INDEX(Products!$F$2:$F$49,MATCH(J3547,Products!$A$2:$A$49,0))</f>
        <v/>
      </c>
      <c r="S3547">
        <f>WEEKDAY(B3547,2)</f>
        <v/>
      </c>
    </row>
    <row r="3548">
      <c r="A3548" t="n">
        <v>511288</v>
      </c>
      <c r="B3548" s="6" t="n">
        <v>45997</v>
      </c>
      <c r="C3548" t="n">
        <v>17648</v>
      </c>
      <c r="D3548" t="inlineStr">
        <is>
          <t>Lucknow</t>
        </is>
      </c>
      <c r="E3548" t="inlineStr">
        <is>
          <t>North</t>
        </is>
      </c>
      <c r="F3548" t="inlineStr">
        <is>
          <t>Email</t>
        </is>
      </c>
      <c r="G3548" t="inlineStr">
        <is>
          <t>Mobile App</t>
        </is>
      </c>
      <c r="H3548" t="inlineStr">
        <is>
          <t>Credit Card</t>
        </is>
      </c>
      <c r="I3548" t="inlineStr">
        <is>
          <t>Delivered</t>
        </is>
      </c>
      <c r="J3548" t="n">
        <v>107</v>
      </c>
      <c r="K3548" t="n">
        <v>1</v>
      </c>
      <c r="L3548" t="n">
        <v>1259</v>
      </c>
      <c r="M3548" t="n">
        <v>0</v>
      </c>
      <c r="N3548">
        <f>VLOOKUP(J3548,Products!$A$2:$C$49,3,FALSE)</f>
        <v/>
      </c>
      <c r="O3548">
        <f>K3548*L3548-M3548</f>
        <v/>
      </c>
      <c r="P3548">
        <f>TEXT(B3548,"yyyy-mm")</f>
        <v/>
      </c>
      <c r="Q3548">
        <f>IF(O3548&gt;=3000,"Large","Small")</f>
        <v/>
      </c>
      <c r="R3548">
        <f>INDEX(Products!$F$2:$F$49,MATCH(J3548,Products!$A$2:$A$49,0))</f>
        <v/>
      </c>
      <c r="S3548">
        <f>WEEKDAY(B3548,2)</f>
        <v/>
      </c>
    </row>
    <row r="3549">
      <c r="A3549" t="n">
        <v>511289</v>
      </c>
      <c r="B3549" s="6" t="n">
        <v>45997</v>
      </c>
      <c r="C3549" t="n">
        <v>15442</v>
      </c>
      <c r="D3549" t="inlineStr">
        <is>
          <t>Lucknow</t>
        </is>
      </c>
      <c r="E3549" t="inlineStr">
        <is>
          <t>North</t>
        </is>
      </c>
      <c r="F3549" t="inlineStr">
        <is>
          <t>Referral</t>
        </is>
      </c>
      <c r="G3549" t="inlineStr">
        <is>
          <t>Mobile App</t>
        </is>
      </c>
      <c r="H3549" t="inlineStr">
        <is>
          <t>UPI</t>
        </is>
      </c>
      <c r="I3549" t="inlineStr">
        <is>
          <t>Delivered</t>
        </is>
      </c>
      <c r="J3549" t="n">
        <v>109</v>
      </c>
      <c r="K3549" t="n">
        <v>1</v>
      </c>
      <c r="L3549" t="n">
        <v>4199</v>
      </c>
      <c r="M3549" t="n">
        <v>0</v>
      </c>
      <c r="N3549">
        <f>VLOOKUP(J3549,Products!$A$2:$C$49,3,FALSE)</f>
        <v/>
      </c>
      <c r="O3549">
        <f>K3549*L3549-M3549</f>
        <v/>
      </c>
      <c r="P3549">
        <f>TEXT(B3549,"yyyy-mm")</f>
        <v/>
      </c>
      <c r="Q3549">
        <f>IF(O3549&gt;=3000,"Large","Small")</f>
        <v/>
      </c>
      <c r="R3549">
        <f>INDEX(Products!$F$2:$F$49,MATCH(J3549,Products!$A$2:$A$49,0))</f>
        <v/>
      </c>
      <c r="S3549">
        <f>WEEKDAY(B3549,2)</f>
        <v/>
      </c>
    </row>
    <row r="3550">
      <c r="A3550" t="n">
        <v>511289</v>
      </c>
      <c r="B3550" s="6" t="n">
        <v>45997</v>
      </c>
      <c r="C3550" t="n">
        <v>15442</v>
      </c>
      <c r="D3550" t="inlineStr">
        <is>
          <t>Lucknow</t>
        </is>
      </c>
      <c r="E3550" t="inlineStr">
        <is>
          <t>North</t>
        </is>
      </c>
      <c r="F3550" t="inlineStr">
        <is>
          <t>Referral</t>
        </is>
      </c>
      <c r="G3550" t="inlineStr">
        <is>
          <t>Mobile App</t>
        </is>
      </c>
      <c r="H3550" t="inlineStr">
        <is>
          <t>UPI</t>
        </is>
      </c>
      <c r="I3550" t="inlineStr">
        <is>
          <t>Delivered</t>
        </is>
      </c>
      <c r="J3550" t="n">
        <v>111</v>
      </c>
      <c r="K3550" t="n">
        <v>1</v>
      </c>
      <c r="L3550" t="n">
        <v>524</v>
      </c>
      <c r="M3550" t="n">
        <v>0</v>
      </c>
      <c r="N3550">
        <f>VLOOKUP(J3550,Products!$A$2:$C$49,3,FALSE)</f>
        <v/>
      </c>
      <c r="O3550">
        <f>K3550*L3550-M3550</f>
        <v/>
      </c>
      <c r="P3550">
        <f>TEXT(B3550,"yyyy-mm")</f>
        <v/>
      </c>
      <c r="Q3550">
        <f>IF(O3550&gt;=3000,"Large","Small")</f>
        <v/>
      </c>
      <c r="R3550">
        <f>INDEX(Products!$F$2:$F$49,MATCH(J3550,Products!$A$2:$A$49,0))</f>
        <v/>
      </c>
      <c r="S3550">
        <f>WEEKDAY(B3550,2)</f>
        <v/>
      </c>
    </row>
    <row r="3551">
      <c r="A3551" t="n">
        <v>511289</v>
      </c>
      <c r="B3551" s="6" t="n">
        <v>45997</v>
      </c>
      <c r="C3551" t="n">
        <v>15442</v>
      </c>
      <c r="D3551" t="inlineStr">
        <is>
          <t>Lucknow</t>
        </is>
      </c>
      <c r="E3551" t="inlineStr">
        <is>
          <t>North</t>
        </is>
      </c>
      <c r="F3551" t="inlineStr">
        <is>
          <t>Referral</t>
        </is>
      </c>
      <c r="G3551" t="inlineStr">
        <is>
          <t>Mobile App</t>
        </is>
      </c>
      <c r="H3551" t="inlineStr">
        <is>
          <t>UPI</t>
        </is>
      </c>
      <c r="I3551" t="inlineStr">
        <is>
          <t>Delivered</t>
        </is>
      </c>
      <c r="J3551" t="n">
        <v>118</v>
      </c>
      <c r="K3551" t="n">
        <v>1</v>
      </c>
      <c r="L3551" t="n">
        <v>944</v>
      </c>
      <c r="M3551" t="n">
        <v>0</v>
      </c>
      <c r="N3551">
        <f>VLOOKUP(J3551,Products!$A$2:$C$49,3,FALSE)</f>
        <v/>
      </c>
      <c r="O3551">
        <f>K3551*L3551-M3551</f>
        <v/>
      </c>
      <c r="P3551">
        <f>TEXT(B3551,"yyyy-mm")</f>
        <v/>
      </c>
      <c r="Q3551">
        <f>IF(O3551&gt;=3000,"Large","Small")</f>
        <v/>
      </c>
      <c r="R3551">
        <f>INDEX(Products!$F$2:$F$49,MATCH(J3551,Products!$A$2:$A$49,0))</f>
        <v/>
      </c>
      <c r="S3551">
        <f>WEEKDAY(B3551,2)</f>
        <v/>
      </c>
    </row>
    <row r="3552">
      <c r="A3552" t="n">
        <v>511290</v>
      </c>
      <c r="B3552" s="6" t="n">
        <v>45997</v>
      </c>
      <c r="C3552" t="n">
        <v>17644</v>
      </c>
      <c r="D3552" t="inlineStr">
        <is>
          <t>Delhi</t>
        </is>
      </c>
      <c r="E3552" t="inlineStr">
        <is>
          <t>North</t>
        </is>
      </c>
      <c r="F3552" t="inlineStr">
        <is>
          <t>Referral</t>
        </is>
      </c>
      <c r="G3552" t="inlineStr">
        <is>
          <t>Desktop</t>
        </is>
      </c>
      <c r="H3552" t="inlineStr">
        <is>
          <t>UPI</t>
        </is>
      </c>
      <c r="I3552" t="inlineStr">
        <is>
          <t>Delivered</t>
        </is>
      </c>
      <c r="J3552" t="n">
        <v>124</v>
      </c>
      <c r="K3552" t="n">
        <v>1</v>
      </c>
      <c r="L3552" t="n">
        <v>1154</v>
      </c>
      <c r="M3552" t="n">
        <v>0</v>
      </c>
      <c r="N3552">
        <f>VLOOKUP(J3552,Products!$A$2:$C$49,3,FALSE)</f>
        <v/>
      </c>
      <c r="O3552">
        <f>K3552*L3552-M3552</f>
        <v/>
      </c>
      <c r="P3552">
        <f>TEXT(B3552,"yyyy-mm")</f>
        <v/>
      </c>
      <c r="Q3552">
        <f>IF(O3552&gt;=3000,"Large","Small")</f>
        <v/>
      </c>
      <c r="R3552">
        <f>INDEX(Products!$F$2:$F$49,MATCH(J3552,Products!$A$2:$A$49,0))</f>
        <v/>
      </c>
      <c r="S3552">
        <f>WEEKDAY(B3552,2)</f>
        <v/>
      </c>
    </row>
    <row r="3553">
      <c r="A3553" t="n">
        <v>511291</v>
      </c>
      <c r="B3553" s="6" t="n">
        <v>45997</v>
      </c>
      <c r="C3553" t="n">
        <v>14715</v>
      </c>
      <c r="D3553" t="inlineStr">
        <is>
          <t>Mumbai</t>
        </is>
      </c>
      <c r="E3553" t="inlineStr">
        <is>
          <t>West</t>
        </is>
      </c>
      <c r="F3553" t="inlineStr">
        <is>
          <t>Email</t>
        </is>
      </c>
      <c r="G3553" t="inlineStr">
        <is>
          <t>Mobile Web</t>
        </is>
      </c>
      <c r="H3553" t="inlineStr">
        <is>
          <t>Cash on Delivery</t>
        </is>
      </c>
      <c r="I3553" t="inlineStr">
        <is>
          <t>Cancelled</t>
        </is>
      </c>
      <c r="J3553" t="n">
        <v>118</v>
      </c>
      <c r="K3553" t="n">
        <v>1</v>
      </c>
      <c r="L3553" t="n">
        <v>944</v>
      </c>
      <c r="M3553" t="n">
        <v>0</v>
      </c>
      <c r="N3553">
        <f>VLOOKUP(J3553,Products!$A$2:$C$49,3,FALSE)</f>
        <v/>
      </c>
      <c r="O3553">
        <f>K3553*L3553-M3553</f>
        <v/>
      </c>
      <c r="P3553">
        <f>TEXT(B3553,"yyyy-mm")</f>
        <v/>
      </c>
      <c r="Q3553">
        <f>IF(O3553&gt;=3000,"Large","Small")</f>
        <v/>
      </c>
      <c r="R3553">
        <f>INDEX(Products!$F$2:$F$49,MATCH(J3553,Products!$A$2:$A$49,0))</f>
        <v/>
      </c>
      <c r="S3553">
        <f>WEEKDAY(B3553,2)</f>
        <v/>
      </c>
    </row>
    <row r="3554">
      <c r="A3554" t="n">
        <v>511291</v>
      </c>
      <c r="B3554" s="6" t="n">
        <v>45997</v>
      </c>
      <c r="C3554" t="n">
        <v>14715</v>
      </c>
      <c r="D3554" t="inlineStr">
        <is>
          <t>Mumbai</t>
        </is>
      </c>
      <c r="E3554" t="inlineStr">
        <is>
          <t>West</t>
        </is>
      </c>
      <c r="F3554" t="inlineStr">
        <is>
          <t>Email</t>
        </is>
      </c>
      <c r="G3554" t="inlineStr">
        <is>
          <t>Mobile Web</t>
        </is>
      </c>
      <c r="H3554" t="inlineStr">
        <is>
          <t>Cash on Delivery</t>
        </is>
      </c>
      <c r="I3554" t="inlineStr">
        <is>
          <t>Cancelled</t>
        </is>
      </c>
      <c r="J3554" t="n">
        <v>122</v>
      </c>
      <c r="K3554" t="n">
        <v>1</v>
      </c>
      <c r="L3554" t="n">
        <v>1994</v>
      </c>
      <c r="M3554" t="n">
        <v>0</v>
      </c>
      <c r="N3554">
        <f>VLOOKUP(J3554,Products!$A$2:$C$49,3,FALSE)</f>
        <v/>
      </c>
      <c r="O3554">
        <f>K3554*L3554-M3554</f>
        <v/>
      </c>
      <c r="P3554">
        <f>TEXT(B3554,"yyyy-mm")</f>
        <v/>
      </c>
      <c r="Q3554">
        <f>IF(O3554&gt;=3000,"Large","Small")</f>
        <v/>
      </c>
      <c r="R3554">
        <f>INDEX(Products!$F$2:$F$49,MATCH(J3554,Products!$A$2:$A$49,0))</f>
        <v/>
      </c>
      <c r="S3554">
        <f>WEEKDAY(B3554,2)</f>
        <v/>
      </c>
    </row>
    <row r="3555">
      <c r="A3555" t="n">
        <v>511292</v>
      </c>
      <c r="B3555" s="6" t="n">
        <v>45997</v>
      </c>
      <c r="C3555" t="n">
        <v>17201</v>
      </c>
      <c r="D3555" t="inlineStr">
        <is>
          <t>Mumbai</t>
        </is>
      </c>
      <c r="E3555" t="inlineStr">
        <is>
          <t>West</t>
        </is>
      </c>
      <c r="F3555" t="inlineStr">
        <is>
          <t>Paid Social</t>
        </is>
      </c>
      <c r="G3555" t="inlineStr">
        <is>
          <t>Desktop</t>
        </is>
      </c>
      <c r="H3555" t="inlineStr">
        <is>
          <t>Credit Card</t>
        </is>
      </c>
      <c r="I3555" t="inlineStr">
        <is>
          <t>Delivered</t>
        </is>
      </c>
      <c r="J3555" t="n">
        <v>132</v>
      </c>
      <c r="K3555" t="n">
        <v>1</v>
      </c>
      <c r="L3555" t="n">
        <v>471</v>
      </c>
      <c r="M3555" t="n">
        <v>23.55</v>
      </c>
      <c r="N3555">
        <f>VLOOKUP(J3555,Products!$A$2:$C$49,3,FALSE)</f>
        <v/>
      </c>
      <c r="O3555">
        <f>K3555*L3555-M3555</f>
        <v/>
      </c>
      <c r="P3555">
        <f>TEXT(B3555,"yyyy-mm")</f>
        <v/>
      </c>
      <c r="Q3555">
        <f>IF(O3555&gt;=3000,"Large","Small")</f>
        <v/>
      </c>
      <c r="R3555">
        <f>INDEX(Products!$F$2:$F$49,MATCH(J3555,Products!$A$2:$A$49,0))</f>
        <v/>
      </c>
      <c r="S3555">
        <f>WEEKDAY(B3555,2)</f>
        <v/>
      </c>
    </row>
    <row r="3556">
      <c r="A3556" t="n">
        <v>511292</v>
      </c>
      <c r="B3556" s="6" t="n">
        <v>45997</v>
      </c>
      <c r="C3556" t="n">
        <v>17201</v>
      </c>
      <c r="D3556" t="inlineStr">
        <is>
          <t>Mumbai</t>
        </is>
      </c>
      <c r="E3556" t="inlineStr">
        <is>
          <t>West</t>
        </is>
      </c>
      <c r="F3556" t="inlineStr">
        <is>
          <t>Paid Social</t>
        </is>
      </c>
      <c r="G3556" t="inlineStr">
        <is>
          <t>Desktop</t>
        </is>
      </c>
      <c r="H3556" t="inlineStr">
        <is>
          <t>Credit Card</t>
        </is>
      </c>
      <c r="I3556" t="inlineStr">
        <is>
          <t>Delivered</t>
        </is>
      </c>
      <c r="J3556" t="n">
        <v>115</v>
      </c>
      <c r="K3556" t="n">
        <v>1</v>
      </c>
      <c r="L3556" t="n">
        <v>4199</v>
      </c>
      <c r="M3556" t="n">
        <v>209.95</v>
      </c>
      <c r="N3556">
        <f>VLOOKUP(J3556,Products!$A$2:$C$49,3,FALSE)</f>
        <v/>
      </c>
      <c r="O3556">
        <f>K3556*L3556-M3556</f>
        <v/>
      </c>
      <c r="P3556">
        <f>TEXT(B3556,"yyyy-mm")</f>
        <v/>
      </c>
      <c r="Q3556">
        <f>IF(O3556&gt;=3000,"Large","Small")</f>
        <v/>
      </c>
      <c r="R3556">
        <f>INDEX(Products!$F$2:$F$49,MATCH(J3556,Products!$A$2:$A$49,0))</f>
        <v/>
      </c>
      <c r="S3556">
        <f>WEEKDAY(B3556,2)</f>
        <v/>
      </c>
    </row>
    <row r="3557">
      <c r="A3557" t="n">
        <v>511293</v>
      </c>
      <c r="B3557" s="6" t="n">
        <v>45997</v>
      </c>
      <c r="C3557" t="n">
        <v>17183</v>
      </c>
      <c r="D3557" t="inlineStr">
        <is>
          <t>Delhi</t>
        </is>
      </c>
      <c r="E3557" t="inlineStr">
        <is>
          <t>North</t>
        </is>
      </c>
      <c r="F3557" t="inlineStr">
        <is>
          <t>Paid Social</t>
        </is>
      </c>
      <c r="G3557" t="inlineStr">
        <is>
          <t>Mobile Web</t>
        </is>
      </c>
      <c r="H3557" t="inlineStr">
        <is>
          <t>UPI</t>
        </is>
      </c>
      <c r="I3557" t="inlineStr">
        <is>
          <t>Delivered</t>
        </is>
      </c>
      <c r="J3557" t="n">
        <v>103</v>
      </c>
      <c r="K3557" t="n">
        <v>2</v>
      </c>
      <c r="L3557" t="n">
        <v>2624</v>
      </c>
      <c r="M3557" t="n">
        <v>0</v>
      </c>
      <c r="N3557">
        <f>VLOOKUP(J3557,Products!$A$2:$C$49,3,FALSE)</f>
        <v/>
      </c>
      <c r="O3557">
        <f>K3557*L3557-M3557</f>
        <v/>
      </c>
      <c r="P3557">
        <f>TEXT(B3557,"yyyy-mm")</f>
        <v/>
      </c>
      <c r="Q3557">
        <f>IF(O3557&gt;=3000,"Large","Small")</f>
        <v/>
      </c>
      <c r="R3557">
        <f>INDEX(Products!$F$2:$F$49,MATCH(J3557,Products!$A$2:$A$49,0))</f>
        <v/>
      </c>
      <c r="S3557">
        <f>WEEKDAY(B3557,2)</f>
        <v/>
      </c>
    </row>
    <row r="3558">
      <c r="A3558" t="n">
        <v>511293</v>
      </c>
      <c r="B3558" s="6" t="n">
        <v>45997</v>
      </c>
      <c r="C3558" t="n">
        <v>17183</v>
      </c>
      <c r="D3558" t="inlineStr">
        <is>
          <t>Delhi</t>
        </is>
      </c>
      <c r="E3558" t="inlineStr">
        <is>
          <t>North</t>
        </is>
      </c>
      <c r="F3558" t="inlineStr">
        <is>
          <t>Paid Social</t>
        </is>
      </c>
      <c r="G3558" t="inlineStr">
        <is>
          <t>Mobile Web</t>
        </is>
      </c>
      <c r="H3558" t="inlineStr">
        <is>
          <t>UPI</t>
        </is>
      </c>
      <c r="I3558" t="inlineStr">
        <is>
          <t>Delivered</t>
        </is>
      </c>
      <c r="J3558" t="n">
        <v>112</v>
      </c>
      <c r="K3558" t="n">
        <v>1</v>
      </c>
      <c r="L3558" t="n">
        <v>1574</v>
      </c>
      <c r="M3558" t="n">
        <v>0</v>
      </c>
      <c r="N3558">
        <f>VLOOKUP(J3558,Products!$A$2:$C$49,3,FALSE)</f>
        <v/>
      </c>
      <c r="O3558">
        <f>K3558*L3558-M3558</f>
        <v/>
      </c>
      <c r="P3558">
        <f>TEXT(B3558,"yyyy-mm")</f>
        <v/>
      </c>
      <c r="Q3558">
        <f>IF(O3558&gt;=3000,"Large","Small")</f>
        <v/>
      </c>
      <c r="R3558">
        <f>INDEX(Products!$F$2:$F$49,MATCH(J3558,Products!$A$2:$A$49,0))</f>
        <v/>
      </c>
      <c r="S3558">
        <f>WEEKDAY(B3558,2)</f>
        <v/>
      </c>
    </row>
    <row r="3559">
      <c r="A3559" t="n">
        <v>511294</v>
      </c>
      <c r="B3559" s="6" t="n">
        <v>45997</v>
      </c>
      <c r="C3559" t="n">
        <v>17074</v>
      </c>
      <c r="D3559" t="inlineStr">
        <is>
          <t>Hyderabad</t>
        </is>
      </c>
      <c r="E3559" t="inlineStr">
        <is>
          <t>South</t>
        </is>
      </c>
      <c r="F3559" t="inlineStr">
        <is>
          <t>Referral</t>
        </is>
      </c>
      <c r="G3559" t="inlineStr">
        <is>
          <t>Desktop</t>
        </is>
      </c>
      <c r="H3559" t="inlineStr">
        <is>
          <t>Cash on Delivery</t>
        </is>
      </c>
      <c r="I3559" t="inlineStr">
        <is>
          <t>Cancelled</t>
        </is>
      </c>
      <c r="J3559" t="n">
        <v>118</v>
      </c>
      <c r="K3559" t="n">
        <v>2</v>
      </c>
      <c r="L3559" t="n">
        <v>944</v>
      </c>
      <c r="M3559" t="n">
        <v>0</v>
      </c>
      <c r="N3559">
        <f>VLOOKUP(J3559,Products!$A$2:$C$49,3,FALSE)</f>
        <v/>
      </c>
      <c r="O3559">
        <f>K3559*L3559-M3559</f>
        <v/>
      </c>
      <c r="P3559">
        <f>TEXT(B3559,"yyyy-mm")</f>
        <v/>
      </c>
      <c r="Q3559">
        <f>IF(O3559&gt;=3000,"Large","Small")</f>
        <v/>
      </c>
      <c r="R3559">
        <f>INDEX(Products!$F$2:$F$49,MATCH(J3559,Products!$A$2:$A$49,0))</f>
        <v/>
      </c>
      <c r="S3559">
        <f>WEEKDAY(B3559,2)</f>
        <v/>
      </c>
    </row>
    <row r="3560">
      <c r="A3560" t="n">
        <v>511295</v>
      </c>
      <c r="B3560" s="6" t="n">
        <v>45997</v>
      </c>
      <c r="C3560" t="n">
        <v>15652</v>
      </c>
      <c r="D3560" t="inlineStr">
        <is>
          <t>Delhi</t>
        </is>
      </c>
      <c r="E3560" t="inlineStr">
        <is>
          <t>North</t>
        </is>
      </c>
      <c r="F3560" t="inlineStr">
        <is>
          <t>Email</t>
        </is>
      </c>
      <c r="G3560" t="inlineStr">
        <is>
          <t>Mobile App</t>
        </is>
      </c>
      <c r="H3560" t="inlineStr">
        <is>
          <t>UPI</t>
        </is>
      </c>
      <c r="I3560" t="inlineStr">
        <is>
          <t>Delivered</t>
        </is>
      </c>
      <c r="J3560" t="n">
        <v>118</v>
      </c>
      <c r="K3560" t="n">
        <v>1</v>
      </c>
      <c r="L3560" t="n">
        <v>944</v>
      </c>
      <c r="M3560" t="n">
        <v>0</v>
      </c>
      <c r="N3560">
        <f>VLOOKUP(J3560,Products!$A$2:$C$49,3,FALSE)</f>
        <v/>
      </c>
      <c r="O3560">
        <f>K3560*L3560-M3560</f>
        <v/>
      </c>
      <c r="P3560">
        <f>TEXT(B3560,"yyyy-mm")</f>
        <v/>
      </c>
      <c r="Q3560">
        <f>IF(O3560&gt;=3000,"Large","Small")</f>
        <v/>
      </c>
      <c r="R3560">
        <f>INDEX(Products!$F$2:$F$49,MATCH(J3560,Products!$A$2:$A$49,0))</f>
        <v/>
      </c>
      <c r="S3560">
        <f>WEEKDAY(B3560,2)</f>
        <v/>
      </c>
    </row>
    <row r="3561">
      <c r="A3561" t="n">
        <v>511296</v>
      </c>
      <c r="B3561" s="6" t="n">
        <v>45997</v>
      </c>
      <c r="C3561" t="n">
        <v>17650</v>
      </c>
      <c r="D3561" t="inlineStr">
        <is>
          <t>Mumbai</t>
        </is>
      </c>
      <c r="E3561" t="inlineStr">
        <is>
          <t>West</t>
        </is>
      </c>
      <c r="F3561" t="inlineStr">
        <is>
          <t>Paid Search</t>
        </is>
      </c>
      <c r="G3561" t="inlineStr">
        <is>
          <t>Desktop</t>
        </is>
      </c>
      <c r="H3561" t="inlineStr">
        <is>
          <t>Credit Card</t>
        </is>
      </c>
      <c r="I3561" t="inlineStr">
        <is>
          <t>Delivered</t>
        </is>
      </c>
      <c r="J3561" t="n">
        <v>113</v>
      </c>
      <c r="K3561" t="n">
        <v>1</v>
      </c>
      <c r="L3561" t="n">
        <v>1364</v>
      </c>
      <c r="M3561" t="n">
        <v>204.6</v>
      </c>
      <c r="N3561">
        <f>VLOOKUP(J3561,Products!$A$2:$C$49,3,FALSE)</f>
        <v/>
      </c>
      <c r="O3561">
        <f>K3561*L3561-M3561</f>
        <v/>
      </c>
      <c r="P3561">
        <f>TEXT(B3561,"yyyy-mm")</f>
        <v/>
      </c>
      <c r="Q3561">
        <f>IF(O3561&gt;=3000,"Large","Small")</f>
        <v/>
      </c>
      <c r="R3561">
        <f>INDEX(Products!$F$2:$F$49,MATCH(J3561,Products!$A$2:$A$49,0))</f>
        <v/>
      </c>
      <c r="S3561">
        <f>WEEKDAY(B3561,2)</f>
        <v/>
      </c>
    </row>
    <row r="3562">
      <c r="A3562" t="n">
        <v>511297</v>
      </c>
      <c r="B3562" s="6" t="n">
        <v>45997</v>
      </c>
      <c r="C3562" t="n">
        <v>17483</v>
      </c>
      <c r="D3562" t="inlineStr">
        <is>
          <t>Kolkata</t>
        </is>
      </c>
      <c r="E3562" t="inlineStr">
        <is>
          <t>East</t>
        </is>
      </c>
      <c r="F3562" t="inlineStr">
        <is>
          <t>Organic Search</t>
        </is>
      </c>
      <c r="G3562" t="inlineStr">
        <is>
          <t>Desktop</t>
        </is>
      </c>
      <c r="H3562" t="inlineStr">
        <is>
          <t>UPI</t>
        </is>
      </c>
      <c r="I3562" t="inlineStr">
        <is>
          <t>Delivered</t>
        </is>
      </c>
      <c r="J3562" t="n">
        <v>117</v>
      </c>
      <c r="K3562" t="n">
        <v>1</v>
      </c>
      <c r="L3562" t="n">
        <v>3149</v>
      </c>
      <c r="M3562" t="n">
        <v>0</v>
      </c>
      <c r="N3562">
        <f>VLOOKUP(J3562,Products!$A$2:$C$49,3,FALSE)</f>
        <v/>
      </c>
      <c r="O3562">
        <f>K3562*L3562-M3562</f>
        <v/>
      </c>
      <c r="P3562">
        <f>TEXT(B3562,"yyyy-mm")</f>
        <v/>
      </c>
      <c r="Q3562">
        <f>IF(O3562&gt;=3000,"Large","Small")</f>
        <v/>
      </c>
      <c r="R3562">
        <f>INDEX(Products!$F$2:$F$49,MATCH(J3562,Products!$A$2:$A$49,0))</f>
        <v/>
      </c>
      <c r="S3562">
        <f>WEEKDAY(B3562,2)</f>
        <v/>
      </c>
    </row>
    <row r="3563">
      <c r="A3563" t="n">
        <v>511297</v>
      </c>
      <c r="B3563" s="6" t="n">
        <v>45997</v>
      </c>
      <c r="C3563" t="n">
        <v>17483</v>
      </c>
      <c r="D3563" t="inlineStr">
        <is>
          <t>Kolkata</t>
        </is>
      </c>
      <c r="E3563" t="inlineStr">
        <is>
          <t>East</t>
        </is>
      </c>
      <c r="F3563" t="inlineStr">
        <is>
          <t>Organic Search</t>
        </is>
      </c>
      <c r="G3563" t="inlineStr">
        <is>
          <t>Desktop</t>
        </is>
      </c>
      <c r="H3563" t="inlineStr">
        <is>
          <t>UPI</t>
        </is>
      </c>
      <c r="I3563" t="inlineStr">
        <is>
          <t>Delivered</t>
        </is>
      </c>
      <c r="J3563" t="n">
        <v>121</v>
      </c>
      <c r="K3563" t="n">
        <v>1</v>
      </c>
      <c r="L3563" t="n">
        <v>2939</v>
      </c>
      <c r="M3563" t="n">
        <v>0</v>
      </c>
      <c r="N3563">
        <f>VLOOKUP(J3563,Products!$A$2:$C$49,3,FALSE)</f>
        <v/>
      </c>
      <c r="O3563">
        <f>K3563*L3563-M3563</f>
        <v/>
      </c>
      <c r="P3563">
        <f>TEXT(B3563,"yyyy-mm")</f>
        <v/>
      </c>
      <c r="Q3563">
        <f>IF(O3563&gt;=3000,"Large","Small")</f>
        <v/>
      </c>
      <c r="R3563">
        <f>INDEX(Products!$F$2:$F$49,MATCH(J3563,Products!$A$2:$A$49,0))</f>
        <v/>
      </c>
      <c r="S3563">
        <f>WEEKDAY(B3563,2)</f>
        <v/>
      </c>
    </row>
    <row r="3564">
      <c r="A3564" t="n">
        <v>511297</v>
      </c>
      <c r="B3564" s="6" t="n">
        <v>45997</v>
      </c>
      <c r="C3564" t="n">
        <v>17483</v>
      </c>
      <c r="D3564" t="inlineStr">
        <is>
          <t>Kolkata</t>
        </is>
      </c>
      <c r="E3564" t="inlineStr">
        <is>
          <t>East</t>
        </is>
      </c>
      <c r="F3564" t="inlineStr">
        <is>
          <t>Organic Search</t>
        </is>
      </c>
      <c r="G3564" t="inlineStr">
        <is>
          <t>Desktop</t>
        </is>
      </c>
      <c r="H3564" t="inlineStr">
        <is>
          <t>UPI</t>
        </is>
      </c>
      <c r="I3564" t="inlineStr">
        <is>
          <t>Delivered</t>
        </is>
      </c>
      <c r="J3564" t="n">
        <v>102</v>
      </c>
      <c r="K3564" t="n">
        <v>1</v>
      </c>
      <c r="L3564" t="n">
        <v>3674</v>
      </c>
      <c r="M3564" t="n">
        <v>0</v>
      </c>
      <c r="N3564">
        <f>VLOOKUP(J3564,Products!$A$2:$C$49,3,FALSE)</f>
        <v/>
      </c>
      <c r="O3564">
        <f>K3564*L3564-M3564</f>
        <v/>
      </c>
      <c r="P3564">
        <f>TEXT(B3564,"yyyy-mm")</f>
        <v/>
      </c>
      <c r="Q3564">
        <f>IF(O3564&gt;=3000,"Large","Small")</f>
        <v/>
      </c>
      <c r="R3564">
        <f>INDEX(Products!$F$2:$F$49,MATCH(J3564,Products!$A$2:$A$49,0))</f>
        <v/>
      </c>
      <c r="S3564">
        <f>WEEKDAY(B3564,2)</f>
        <v/>
      </c>
    </row>
    <row r="3565">
      <c r="A3565" t="n">
        <v>511297</v>
      </c>
      <c r="B3565" s="6" t="n">
        <v>45997</v>
      </c>
      <c r="C3565" t="n">
        <v>17483</v>
      </c>
      <c r="D3565" t="inlineStr">
        <is>
          <t>Kolkata</t>
        </is>
      </c>
      <c r="E3565" t="inlineStr">
        <is>
          <t>East</t>
        </is>
      </c>
      <c r="F3565" t="inlineStr">
        <is>
          <t>Organic Search</t>
        </is>
      </c>
      <c r="G3565" t="inlineStr">
        <is>
          <t>Desktop</t>
        </is>
      </c>
      <c r="H3565" t="inlineStr">
        <is>
          <t>UPI</t>
        </is>
      </c>
      <c r="I3565" t="inlineStr">
        <is>
          <t>Delivered</t>
        </is>
      </c>
      <c r="J3565" t="n">
        <v>125</v>
      </c>
      <c r="K3565" t="n">
        <v>2</v>
      </c>
      <c r="L3565" t="n">
        <v>1364</v>
      </c>
      <c r="M3565" t="n">
        <v>0</v>
      </c>
      <c r="N3565">
        <f>VLOOKUP(J3565,Products!$A$2:$C$49,3,FALSE)</f>
        <v/>
      </c>
      <c r="O3565">
        <f>K3565*L3565-M3565</f>
        <v/>
      </c>
      <c r="P3565">
        <f>TEXT(B3565,"yyyy-mm")</f>
        <v/>
      </c>
      <c r="Q3565">
        <f>IF(O3565&gt;=3000,"Large","Small")</f>
        <v/>
      </c>
      <c r="R3565">
        <f>INDEX(Products!$F$2:$F$49,MATCH(J3565,Products!$A$2:$A$49,0))</f>
        <v/>
      </c>
      <c r="S3565">
        <f>WEEKDAY(B3565,2)</f>
        <v/>
      </c>
    </row>
    <row r="3566">
      <c r="A3566" t="n">
        <v>511298</v>
      </c>
      <c r="B3566" s="6" t="n">
        <v>45997</v>
      </c>
      <c r="C3566" t="n">
        <v>17535</v>
      </c>
      <c r="D3566" t="inlineStr">
        <is>
          <t>Mumbai</t>
        </is>
      </c>
      <c r="E3566" t="inlineStr">
        <is>
          <t>West</t>
        </is>
      </c>
      <c r="F3566" t="inlineStr">
        <is>
          <t>Email</t>
        </is>
      </c>
      <c r="G3566" t="inlineStr">
        <is>
          <t>Desktop</t>
        </is>
      </c>
      <c r="H3566" t="inlineStr">
        <is>
          <t>UPI</t>
        </is>
      </c>
      <c r="I3566" t="inlineStr">
        <is>
          <t>Delivered</t>
        </is>
      </c>
      <c r="J3566" t="n">
        <v>118</v>
      </c>
      <c r="K3566" t="n">
        <v>1</v>
      </c>
      <c r="L3566" t="n">
        <v>944</v>
      </c>
      <c r="M3566" t="n">
        <v>141.6</v>
      </c>
      <c r="N3566">
        <f>VLOOKUP(J3566,Products!$A$2:$C$49,3,FALSE)</f>
        <v/>
      </c>
      <c r="O3566">
        <f>K3566*L3566-M3566</f>
        <v/>
      </c>
      <c r="P3566">
        <f>TEXT(B3566,"yyyy-mm")</f>
        <v/>
      </c>
      <c r="Q3566">
        <f>IF(O3566&gt;=3000,"Large","Small")</f>
        <v/>
      </c>
      <c r="R3566">
        <f>INDEX(Products!$F$2:$F$49,MATCH(J3566,Products!$A$2:$A$49,0))</f>
        <v/>
      </c>
      <c r="S3566">
        <f>WEEKDAY(B3566,2)</f>
        <v/>
      </c>
    </row>
    <row r="3567">
      <c r="A3567" t="n">
        <v>511298</v>
      </c>
      <c r="B3567" s="6" t="n">
        <v>45997</v>
      </c>
      <c r="C3567" t="n">
        <v>17535</v>
      </c>
      <c r="D3567" t="inlineStr">
        <is>
          <t>Mumbai</t>
        </is>
      </c>
      <c r="E3567" t="inlineStr">
        <is>
          <t>West</t>
        </is>
      </c>
      <c r="F3567" t="inlineStr">
        <is>
          <t>Email</t>
        </is>
      </c>
      <c r="G3567" t="inlineStr">
        <is>
          <t>Desktop</t>
        </is>
      </c>
      <c r="H3567" t="inlineStr">
        <is>
          <t>UPI</t>
        </is>
      </c>
      <c r="I3567" t="inlineStr">
        <is>
          <t>Delivered</t>
        </is>
      </c>
      <c r="J3567" t="n">
        <v>124</v>
      </c>
      <c r="K3567" t="n">
        <v>1</v>
      </c>
      <c r="L3567" t="n">
        <v>1154</v>
      </c>
      <c r="M3567" t="n">
        <v>173.1</v>
      </c>
      <c r="N3567">
        <f>VLOOKUP(J3567,Products!$A$2:$C$49,3,FALSE)</f>
        <v/>
      </c>
      <c r="O3567">
        <f>K3567*L3567-M3567</f>
        <v/>
      </c>
      <c r="P3567">
        <f>TEXT(B3567,"yyyy-mm")</f>
        <v/>
      </c>
      <c r="Q3567">
        <f>IF(O3567&gt;=3000,"Large","Small")</f>
        <v/>
      </c>
      <c r="R3567">
        <f>INDEX(Products!$F$2:$F$49,MATCH(J3567,Products!$A$2:$A$49,0))</f>
        <v/>
      </c>
      <c r="S3567">
        <f>WEEKDAY(B3567,2)</f>
        <v/>
      </c>
    </row>
    <row r="3568">
      <c r="A3568" t="n">
        <v>511299</v>
      </c>
      <c r="B3568" s="6" t="n">
        <v>45997</v>
      </c>
      <c r="C3568" t="n">
        <v>17620</v>
      </c>
      <c r="D3568" t="inlineStr">
        <is>
          <t>Indore</t>
        </is>
      </c>
      <c r="E3568" t="inlineStr">
        <is>
          <t>West</t>
        </is>
      </c>
      <c r="F3568" t="inlineStr">
        <is>
          <t>Organic Search</t>
        </is>
      </c>
      <c r="G3568" t="inlineStr">
        <is>
          <t>Desktop</t>
        </is>
      </c>
      <c r="H3568" t="inlineStr">
        <is>
          <t>UPI</t>
        </is>
      </c>
      <c r="I3568" t="inlineStr">
        <is>
          <t>Cancelled</t>
        </is>
      </c>
      <c r="J3568" t="n">
        <v>117</v>
      </c>
      <c r="K3568" t="n">
        <v>1</v>
      </c>
      <c r="L3568" t="n">
        <v>3149</v>
      </c>
      <c r="M3568" t="n">
        <v>0</v>
      </c>
      <c r="N3568">
        <f>VLOOKUP(J3568,Products!$A$2:$C$49,3,FALSE)</f>
        <v/>
      </c>
      <c r="O3568">
        <f>K3568*L3568-M3568</f>
        <v/>
      </c>
      <c r="P3568">
        <f>TEXT(B3568,"yyyy-mm")</f>
        <v/>
      </c>
      <c r="Q3568">
        <f>IF(O3568&gt;=3000,"Large","Small")</f>
        <v/>
      </c>
      <c r="R3568">
        <f>INDEX(Products!$F$2:$F$49,MATCH(J3568,Products!$A$2:$A$49,0))</f>
        <v/>
      </c>
      <c r="S3568">
        <f>WEEKDAY(B3568,2)</f>
        <v/>
      </c>
    </row>
    <row r="3569">
      <c r="A3569" t="n">
        <v>511299</v>
      </c>
      <c r="B3569" s="6" t="n">
        <v>45997</v>
      </c>
      <c r="C3569" t="n">
        <v>17620</v>
      </c>
      <c r="D3569" t="inlineStr">
        <is>
          <t>Indore</t>
        </is>
      </c>
      <c r="E3569" t="inlineStr">
        <is>
          <t>West</t>
        </is>
      </c>
      <c r="F3569" t="inlineStr">
        <is>
          <t>Organic Search</t>
        </is>
      </c>
      <c r="G3569" t="inlineStr">
        <is>
          <t>Desktop</t>
        </is>
      </c>
      <c r="H3569" t="inlineStr">
        <is>
          <t>UPI</t>
        </is>
      </c>
      <c r="I3569" t="inlineStr">
        <is>
          <t>Cancelled</t>
        </is>
      </c>
      <c r="J3569" t="n">
        <v>108</v>
      </c>
      <c r="K3569" t="n">
        <v>1</v>
      </c>
      <c r="L3569" t="n">
        <v>419</v>
      </c>
      <c r="M3569" t="n">
        <v>0</v>
      </c>
      <c r="N3569">
        <f>VLOOKUP(J3569,Products!$A$2:$C$49,3,FALSE)</f>
        <v/>
      </c>
      <c r="O3569">
        <f>K3569*L3569-M3569</f>
        <v/>
      </c>
      <c r="P3569">
        <f>TEXT(B3569,"yyyy-mm")</f>
        <v/>
      </c>
      <c r="Q3569">
        <f>IF(O3569&gt;=3000,"Large","Small")</f>
        <v/>
      </c>
      <c r="R3569">
        <f>INDEX(Products!$F$2:$F$49,MATCH(J3569,Products!$A$2:$A$49,0))</f>
        <v/>
      </c>
      <c r="S3569">
        <f>WEEKDAY(B3569,2)</f>
        <v/>
      </c>
    </row>
    <row r="3570">
      <c r="A3570" t="n">
        <v>511299</v>
      </c>
      <c r="B3570" s="6" t="n">
        <v>45997</v>
      </c>
      <c r="C3570" t="n">
        <v>17620</v>
      </c>
      <c r="D3570" t="inlineStr">
        <is>
          <t>Indore</t>
        </is>
      </c>
      <c r="E3570" t="inlineStr">
        <is>
          <t>West</t>
        </is>
      </c>
      <c r="F3570" t="inlineStr">
        <is>
          <t>Organic Search</t>
        </is>
      </c>
      <c r="G3570" t="inlineStr">
        <is>
          <t>Desktop</t>
        </is>
      </c>
      <c r="H3570" t="inlineStr">
        <is>
          <t>UPI</t>
        </is>
      </c>
      <c r="I3570" t="inlineStr">
        <is>
          <t>Cancelled</t>
        </is>
      </c>
      <c r="J3570" t="n">
        <v>146</v>
      </c>
      <c r="K3570" t="n">
        <v>1</v>
      </c>
      <c r="L3570" t="n">
        <v>4724</v>
      </c>
      <c r="M3570" t="n">
        <v>0</v>
      </c>
      <c r="N3570">
        <f>VLOOKUP(J3570,Products!$A$2:$C$49,3,FALSE)</f>
        <v/>
      </c>
      <c r="O3570">
        <f>K3570*L3570-M3570</f>
        <v/>
      </c>
      <c r="P3570">
        <f>TEXT(B3570,"yyyy-mm")</f>
        <v/>
      </c>
      <c r="Q3570">
        <f>IF(O3570&gt;=3000,"Large","Small")</f>
        <v/>
      </c>
      <c r="R3570">
        <f>INDEX(Products!$F$2:$F$49,MATCH(J3570,Products!$A$2:$A$49,0))</f>
        <v/>
      </c>
      <c r="S3570">
        <f>WEEKDAY(B3570,2)</f>
        <v/>
      </c>
    </row>
    <row r="3571">
      <c r="A3571" t="n">
        <v>511300</v>
      </c>
      <c r="B3571" s="6" t="n">
        <v>45997</v>
      </c>
      <c r="C3571" t="n">
        <v>17550</v>
      </c>
      <c r="D3571" t="inlineStr">
        <is>
          <t>Kolkata</t>
        </is>
      </c>
      <c r="E3571" t="inlineStr">
        <is>
          <t>East</t>
        </is>
      </c>
      <c r="F3571" t="inlineStr">
        <is>
          <t>Paid Search</t>
        </is>
      </c>
      <c r="G3571" t="inlineStr">
        <is>
          <t>Mobile App</t>
        </is>
      </c>
      <c r="H3571" t="inlineStr">
        <is>
          <t>UPI</t>
        </is>
      </c>
      <c r="I3571" t="inlineStr">
        <is>
          <t>Delivered</t>
        </is>
      </c>
      <c r="J3571" t="n">
        <v>133</v>
      </c>
      <c r="K3571" t="n">
        <v>1</v>
      </c>
      <c r="L3571" t="n">
        <v>419</v>
      </c>
      <c r="M3571" t="n">
        <v>0</v>
      </c>
      <c r="N3571">
        <f>VLOOKUP(J3571,Products!$A$2:$C$49,3,FALSE)</f>
        <v/>
      </c>
      <c r="O3571">
        <f>K3571*L3571-M3571</f>
        <v/>
      </c>
      <c r="P3571">
        <f>TEXT(B3571,"yyyy-mm")</f>
        <v/>
      </c>
      <c r="Q3571">
        <f>IF(O3571&gt;=3000,"Large","Small")</f>
        <v/>
      </c>
      <c r="R3571">
        <f>INDEX(Products!$F$2:$F$49,MATCH(J3571,Products!$A$2:$A$49,0))</f>
        <v/>
      </c>
      <c r="S3571">
        <f>WEEKDAY(B3571,2)</f>
        <v/>
      </c>
    </row>
    <row r="3572">
      <c r="A3572" t="n">
        <v>511301</v>
      </c>
      <c r="B3572" s="6" t="n">
        <v>45997</v>
      </c>
      <c r="C3572" t="n">
        <v>17635</v>
      </c>
      <c r="D3572" t="inlineStr">
        <is>
          <t>Hyderabad</t>
        </is>
      </c>
      <c r="E3572" t="inlineStr">
        <is>
          <t>South</t>
        </is>
      </c>
      <c r="F3572" t="inlineStr">
        <is>
          <t>Organic Search</t>
        </is>
      </c>
      <c r="G3572" t="inlineStr">
        <is>
          <t>Mobile Web</t>
        </is>
      </c>
      <c r="H3572" t="inlineStr">
        <is>
          <t>Debit Card</t>
        </is>
      </c>
      <c r="I3572" t="inlineStr">
        <is>
          <t>Delivered</t>
        </is>
      </c>
      <c r="J3572" t="n">
        <v>109</v>
      </c>
      <c r="K3572" t="n">
        <v>2</v>
      </c>
      <c r="L3572" t="n">
        <v>4199</v>
      </c>
      <c r="M3572" t="n">
        <v>1259.7</v>
      </c>
      <c r="N3572">
        <f>VLOOKUP(J3572,Products!$A$2:$C$49,3,FALSE)</f>
        <v/>
      </c>
      <c r="O3572">
        <f>K3572*L3572-M3572</f>
        <v/>
      </c>
      <c r="P3572">
        <f>TEXT(B3572,"yyyy-mm")</f>
        <v/>
      </c>
      <c r="Q3572">
        <f>IF(O3572&gt;=3000,"Large","Small")</f>
        <v/>
      </c>
      <c r="R3572">
        <f>INDEX(Products!$F$2:$F$49,MATCH(J3572,Products!$A$2:$A$49,0))</f>
        <v/>
      </c>
      <c r="S3572">
        <f>WEEKDAY(B3572,2)</f>
        <v/>
      </c>
    </row>
    <row r="3573">
      <c r="A3573" t="n">
        <v>511301</v>
      </c>
      <c r="B3573" s="6" t="n">
        <v>45997</v>
      </c>
      <c r="C3573" t="n">
        <v>17635</v>
      </c>
      <c r="D3573" t="inlineStr">
        <is>
          <t>Hyderabad</t>
        </is>
      </c>
      <c r="E3573" t="inlineStr">
        <is>
          <t>South</t>
        </is>
      </c>
      <c r="F3573" t="inlineStr">
        <is>
          <t>Organic Search</t>
        </is>
      </c>
      <c r="G3573" t="inlineStr">
        <is>
          <t>Mobile Web</t>
        </is>
      </c>
      <c r="H3573" t="inlineStr">
        <is>
          <t>Debit Card</t>
        </is>
      </c>
      <c r="I3573" t="inlineStr">
        <is>
          <t>Delivered</t>
        </is>
      </c>
      <c r="J3573" t="n">
        <v>137</v>
      </c>
      <c r="K3573" t="n">
        <v>2</v>
      </c>
      <c r="L3573" t="n">
        <v>261</v>
      </c>
      <c r="M3573" t="n">
        <v>78.3</v>
      </c>
      <c r="N3573">
        <f>VLOOKUP(J3573,Products!$A$2:$C$49,3,FALSE)</f>
        <v/>
      </c>
      <c r="O3573">
        <f>K3573*L3573-M3573</f>
        <v/>
      </c>
      <c r="P3573">
        <f>TEXT(B3573,"yyyy-mm")</f>
        <v/>
      </c>
      <c r="Q3573">
        <f>IF(O3573&gt;=3000,"Large","Small")</f>
        <v/>
      </c>
      <c r="R3573">
        <f>INDEX(Products!$F$2:$F$49,MATCH(J3573,Products!$A$2:$A$49,0))</f>
        <v/>
      </c>
      <c r="S3573">
        <f>WEEKDAY(B3573,2)</f>
        <v/>
      </c>
    </row>
    <row r="3574">
      <c r="A3574" t="n">
        <v>511301</v>
      </c>
      <c r="B3574" s="6" t="n">
        <v>45997</v>
      </c>
      <c r="C3574" t="n">
        <v>17635</v>
      </c>
      <c r="D3574" t="inlineStr">
        <is>
          <t>Hyderabad</t>
        </is>
      </c>
      <c r="E3574" t="inlineStr">
        <is>
          <t>South</t>
        </is>
      </c>
      <c r="F3574" t="inlineStr">
        <is>
          <t>Organic Search</t>
        </is>
      </c>
      <c r="G3574" t="inlineStr">
        <is>
          <t>Mobile Web</t>
        </is>
      </c>
      <c r="H3574" t="inlineStr">
        <is>
          <t>Debit Card</t>
        </is>
      </c>
      <c r="I3574" t="inlineStr">
        <is>
          <t>Delivered</t>
        </is>
      </c>
      <c r="J3574" t="n">
        <v>111</v>
      </c>
      <c r="K3574" t="n">
        <v>1</v>
      </c>
      <c r="L3574" t="n">
        <v>524</v>
      </c>
      <c r="M3574" t="n">
        <v>78.59999999999999</v>
      </c>
      <c r="N3574">
        <f>VLOOKUP(J3574,Products!$A$2:$C$49,3,FALSE)</f>
        <v/>
      </c>
      <c r="O3574">
        <f>K3574*L3574-M3574</f>
        <v/>
      </c>
      <c r="P3574">
        <f>TEXT(B3574,"yyyy-mm")</f>
        <v/>
      </c>
      <c r="Q3574">
        <f>IF(O3574&gt;=3000,"Large","Small")</f>
        <v/>
      </c>
      <c r="R3574">
        <f>INDEX(Products!$F$2:$F$49,MATCH(J3574,Products!$A$2:$A$49,0))</f>
        <v/>
      </c>
      <c r="S3574">
        <f>WEEKDAY(B3574,2)</f>
        <v/>
      </c>
    </row>
    <row r="3575">
      <c r="A3575" t="n">
        <v>511301</v>
      </c>
      <c r="B3575" s="6" t="n">
        <v>45997</v>
      </c>
      <c r="C3575" t="n">
        <v>17635</v>
      </c>
      <c r="D3575" t="inlineStr">
        <is>
          <t>Hyderabad</t>
        </is>
      </c>
      <c r="E3575" t="inlineStr">
        <is>
          <t>South</t>
        </is>
      </c>
      <c r="F3575" t="inlineStr">
        <is>
          <t>Organic Search</t>
        </is>
      </c>
      <c r="G3575" t="inlineStr">
        <is>
          <t>Mobile Web</t>
        </is>
      </c>
      <c r="H3575" t="inlineStr">
        <is>
          <t>Debit Card</t>
        </is>
      </c>
      <c r="I3575" t="inlineStr">
        <is>
          <t>Delivered</t>
        </is>
      </c>
      <c r="J3575" t="n">
        <v>102</v>
      </c>
      <c r="K3575" t="n">
        <v>1</v>
      </c>
      <c r="L3575" t="n">
        <v>3674</v>
      </c>
      <c r="M3575" t="n">
        <v>551.1</v>
      </c>
      <c r="N3575">
        <f>VLOOKUP(J3575,Products!$A$2:$C$49,3,FALSE)</f>
        <v/>
      </c>
      <c r="O3575">
        <f>K3575*L3575-M3575</f>
        <v/>
      </c>
      <c r="P3575">
        <f>TEXT(B3575,"yyyy-mm")</f>
        <v/>
      </c>
      <c r="Q3575">
        <f>IF(O3575&gt;=3000,"Large","Small")</f>
        <v/>
      </c>
      <c r="R3575">
        <f>INDEX(Products!$F$2:$F$49,MATCH(J3575,Products!$A$2:$A$49,0))</f>
        <v/>
      </c>
      <c r="S3575">
        <f>WEEKDAY(B3575,2)</f>
        <v/>
      </c>
    </row>
    <row r="3576">
      <c r="A3576" t="n">
        <v>511302</v>
      </c>
      <c r="B3576" s="6" t="n">
        <v>45997</v>
      </c>
      <c r="C3576" t="n">
        <v>17645</v>
      </c>
      <c r="D3576" t="inlineStr">
        <is>
          <t>Kochi</t>
        </is>
      </c>
      <c r="E3576" t="inlineStr">
        <is>
          <t>South</t>
        </is>
      </c>
      <c r="F3576" t="inlineStr">
        <is>
          <t>Paid Search</t>
        </is>
      </c>
      <c r="G3576" t="inlineStr">
        <is>
          <t>Desktop</t>
        </is>
      </c>
      <c r="H3576" t="inlineStr">
        <is>
          <t>Cash on Delivery</t>
        </is>
      </c>
      <c r="I3576" t="inlineStr">
        <is>
          <t>Delivered</t>
        </is>
      </c>
      <c r="J3576" t="n">
        <v>113</v>
      </c>
      <c r="K3576" t="n">
        <v>2</v>
      </c>
      <c r="L3576" t="n">
        <v>1364</v>
      </c>
      <c r="M3576" t="n">
        <v>0</v>
      </c>
      <c r="N3576">
        <f>VLOOKUP(J3576,Products!$A$2:$C$49,3,FALSE)</f>
        <v/>
      </c>
      <c r="O3576">
        <f>K3576*L3576-M3576</f>
        <v/>
      </c>
      <c r="P3576">
        <f>TEXT(B3576,"yyyy-mm")</f>
        <v/>
      </c>
      <c r="Q3576">
        <f>IF(O3576&gt;=3000,"Large","Small")</f>
        <v/>
      </c>
      <c r="R3576">
        <f>INDEX(Products!$F$2:$F$49,MATCH(J3576,Products!$A$2:$A$49,0))</f>
        <v/>
      </c>
      <c r="S3576">
        <f>WEEKDAY(B3576,2)</f>
        <v/>
      </c>
    </row>
    <row r="3577">
      <c r="A3577" t="n">
        <v>511303</v>
      </c>
      <c r="B3577" s="6" t="n">
        <v>45997</v>
      </c>
      <c r="C3577" t="n">
        <v>16458</v>
      </c>
      <c r="D3577" t="inlineStr">
        <is>
          <t>Mumbai</t>
        </is>
      </c>
      <c r="E3577" t="inlineStr">
        <is>
          <t>West</t>
        </is>
      </c>
      <c r="F3577" t="inlineStr">
        <is>
          <t>Paid Social</t>
        </is>
      </c>
      <c r="G3577" t="inlineStr">
        <is>
          <t>Mobile App</t>
        </is>
      </c>
      <c r="H3577" t="inlineStr">
        <is>
          <t>Net Banking</t>
        </is>
      </c>
      <c r="I3577" t="inlineStr">
        <is>
          <t>Delivered</t>
        </is>
      </c>
      <c r="J3577" t="n">
        <v>109</v>
      </c>
      <c r="K3577" t="n">
        <v>1</v>
      </c>
      <c r="L3577" t="n">
        <v>4199</v>
      </c>
      <c r="M3577" t="n">
        <v>0</v>
      </c>
      <c r="N3577">
        <f>VLOOKUP(J3577,Products!$A$2:$C$49,3,FALSE)</f>
        <v/>
      </c>
      <c r="O3577">
        <f>K3577*L3577-M3577</f>
        <v/>
      </c>
      <c r="P3577">
        <f>TEXT(B3577,"yyyy-mm")</f>
        <v/>
      </c>
      <c r="Q3577">
        <f>IF(O3577&gt;=3000,"Large","Small")</f>
        <v/>
      </c>
      <c r="R3577">
        <f>INDEX(Products!$F$2:$F$49,MATCH(J3577,Products!$A$2:$A$49,0))</f>
        <v/>
      </c>
      <c r="S3577">
        <f>WEEKDAY(B3577,2)</f>
        <v/>
      </c>
    </row>
    <row r="3578">
      <c r="A3578" t="n">
        <v>511304</v>
      </c>
      <c r="B3578" s="6" t="n">
        <v>45998</v>
      </c>
      <c r="C3578" t="n">
        <v>17658</v>
      </c>
      <c r="D3578" t="inlineStr">
        <is>
          <t>Bengaluru</t>
        </is>
      </c>
      <c r="E3578" t="inlineStr">
        <is>
          <t>South</t>
        </is>
      </c>
      <c r="F3578" t="inlineStr">
        <is>
          <t>Paid Search</t>
        </is>
      </c>
      <c r="G3578" t="inlineStr">
        <is>
          <t>Mobile Web</t>
        </is>
      </c>
      <c r="H3578" t="inlineStr">
        <is>
          <t>Debit Card</t>
        </is>
      </c>
      <c r="I3578" t="inlineStr">
        <is>
          <t>Delivered</t>
        </is>
      </c>
      <c r="J3578" t="n">
        <v>141</v>
      </c>
      <c r="K3578" t="n">
        <v>1</v>
      </c>
      <c r="L3578" t="n">
        <v>261</v>
      </c>
      <c r="M3578" t="n">
        <v>0</v>
      </c>
      <c r="N3578">
        <f>VLOOKUP(J3578,Products!$A$2:$C$49,3,FALSE)</f>
        <v/>
      </c>
      <c r="O3578">
        <f>K3578*L3578-M3578</f>
        <v/>
      </c>
      <c r="P3578">
        <f>TEXT(B3578,"yyyy-mm")</f>
        <v/>
      </c>
      <c r="Q3578">
        <f>IF(O3578&gt;=3000,"Large","Small")</f>
        <v/>
      </c>
      <c r="R3578">
        <f>INDEX(Products!$F$2:$F$49,MATCH(J3578,Products!$A$2:$A$49,0))</f>
        <v/>
      </c>
      <c r="S3578">
        <f>WEEKDAY(B3578,2)</f>
        <v/>
      </c>
    </row>
    <row r="3579">
      <c r="A3579" t="n">
        <v>511304</v>
      </c>
      <c r="B3579" s="6" t="n">
        <v>45998</v>
      </c>
      <c r="C3579" t="n">
        <v>17658</v>
      </c>
      <c r="D3579" t="inlineStr">
        <is>
          <t>Bengaluru</t>
        </is>
      </c>
      <c r="E3579" t="inlineStr">
        <is>
          <t>South</t>
        </is>
      </c>
      <c r="F3579" t="inlineStr">
        <is>
          <t>Paid Search</t>
        </is>
      </c>
      <c r="G3579" t="inlineStr">
        <is>
          <t>Mobile Web</t>
        </is>
      </c>
      <c r="H3579" t="inlineStr">
        <is>
          <t>Debit Card</t>
        </is>
      </c>
      <c r="I3579" t="inlineStr">
        <is>
          <t>Delivered</t>
        </is>
      </c>
      <c r="J3579" t="n">
        <v>128</v>
      </c>
      <c r="K3579" t="n">
        <v>1</v>
      </c>
      <c r="L3579" t="n">
        <v>1049</v>
      </c>
      <c r="M3579" t="n">
        <v>0</v>
      </c>
      <c r="N3579">
        <f>VLOOKUP(J3579,Products!$A$2:$C$49,3,FALSE)</f>
        <v/>
      </c>
      <c r="O3579">
        <f>K3579*L3579-M3579</f>
        <v/>
      </c>
      <c r="P3579">
        <f>TEXT(B3579,"yyyy-mm")</f>
        <v/>
      </c>
      <c r="Q3579">
        <f>IF(O3579&gt;=3000,"Large","Small")</f>
        <v/>
      </c>
      <c r="R3579">
        <f>INDEX(Products!$F$2:$F$49,MATCH(J3579,Products!$A$2:$A$49,0))</f>
        <v/>
      </c>
      <c r="S3579">
        <f>WEEKDAY(B3579,2)</f>
        <v/>
      </c>
    </row>
    <row r="3580">
      <c r="A3580" t="n">
        <v>511305</v>
      </c>
      <c r="B3580" s="6" t="n">
        <v>45998</v>
      </c>
      <c r="C3580" t="n">
        <v>17570</v>
      </c>
      <c r="D3580" t="inlineStr">
        <is>
          <t>Kolkata</t>
        </is>
      </c>
      <c r="E3580" t="inlineStr">
        <is>
          <t>East</t>
        </is>
      </c>
      <c r="F3580" t="inlineStr">
        <is>
          <t>Organic Search</t>
        </is>
      </c>
      <c r="G3580" t="inlineStr">
        <is>
          <t>Desktop</t>
        </is>
      </c>
      <c r="H3580" t="inlineStr">
        <is>
          <t>Cash on Delivery</t>
        </is>
      </c>
      <c r="I3580" t="inlineStr">
        <is>
          <t>Delivered</t>
        </is>
      </c>
      <c r="J3580" t="n">
        <v>102</v>
      </c>
      <c r="K3580" t="n">
        <v>3</v>
      </c>
      <c r="L3580" t="n">
        <v>3674</v>
      </c>
      <c r="M3580" t="n">
        <v>1653.3</v>
      </c>
      <c r="N3580">
        <f>VLOOKUP(J3580,Products!$A$2:$C$49,3,FALSE)</f>
        <v/>
      </c>
      <c r="O3580">
        <f>K3580*L3580-M3580</f>
        <v/>
      </c>
      <c r="P3580">
        <f>TEXT(B3580,"yyyy-mm")</f>
        <v/>
      </c>
      <c r="Q3580">
        <f>IF(O3580&gt;=3000,"Large","Small")</f>
        <v/>
      </c>
      <c r="R3580">
        <f>INDEX(Products!$F$2:$F$49,MATCH(J3580,Products!$A$2:$A$49,0))</f>
        <v/>
      </c>
      <c r="S3580">
        <f>WEEKDAY(B3580,2)</f>
        <v/>
      </c>
    </row>
    <row r="3581">
      <c r="A3581" t="n">
        <v>511306</v>
      </c>
      <c r="B3581" s="6" t="n">
        <v>45998</v>
      </c>
      <c r="C3581" t="n">
        <v>16754</v>
      </c>
      <c r="D3581" t="inlineStr">
        <is>
          <t>Bengaluru</t>
        </is>
      </c>
      <c r="E3581" t="inlineStr">
        <is>
          <t>South</t>
        </is>
      </c>
      <c r="F3581" t="inlineStr">
        <is>
          <t>Organic Search</t>
        </is>
      </c>
      <c r="G3581" t="inlineStr">
        <is>
          <t>Desktop</t>
        </is>
      </c>
      <c r="H3581" t="inlineStr">
        <is>
          <t>Credit Card</t>
        </is>
      </c>
      <c r="I3581" t="inlineStr">
        <is>
          <t>Delivered</t>
        </is>
      </c>
      <c r="J3581" t="n">
        <v>139</v>
      </c>
      <c r="K3581" t="n">
        <v>2</v>
      </c>
      <c r="L3581" t="n">
        <v>366</v>
      </c>
      <c r="M3581" t="n">
        <v>0</v>
      </c>
      <c r="N3581">
        <f>VLOOKUP(J3581,Products!$A$2:$C$49,3,FALSE)</f>
        <v/>
      </c>
      <c r="O3581">
        <f>K3581*L3581-M3581</f>
        <v/>
      </c>
      <c r="P3581">
        <f>TEXT(B3581,"yyyy-mm")</f>
        <v/>
      </c>
      <c r="Q3581">
        <f>IF(O3581&gt;=3000,"Large","Small")</f>
        <v/>
      </c>
      <c r="R3581">
        <f>INDEX(Products!$F$2:$F$49,MATCH(J3581,Products!$A$2:$A$49,0))</f>
        <v/>
      </c>
      <c r="S3581">
        <f>WEEKDAY(B3581,2)</f>
        <v/>
      </c>
    </row>
    <row r="3582">
      <c r="A3582" t="n">
        <v>511306</v>
      </c>
      <c r="B3582" s="6" t="n">
        <v>45998</v>
      </c>
      <c r="C3582" t="n">
        <v>16754</v>
      </c>
      <c r="D3582" t="inlineStr">
        <is>
          <t>Bengaluru</t>
        </is>
      </c>
      <c r="E3582" t="inlineStr">
        <is>
          <t>South</t>
        </is>
      </c>
      <c r="F3582" t="inlineStr">
        <is>
          <t>Organic Search</t>
        </is>
      </c>
      <c r="G3582" t="inlineStr">
        <is>
          <t>Desktop</t>
        </is>
      </c>
      <c r="H3582" t="inlineStr">
        <is>
          <t>Credit Card</t>
        </is>
      </c>
      <c r="I3582" t="inlineStr">
        <is>
          <t>Delivered</t>
        </is>
      </c>
      <c r="J3582" t="n">
        <v>115</v>
      </c>
      <c r="K3582" t="n">
        <v>1</v>
      </c>
      <c r="L3582" t="n">
        <v>4199</v>
      </c>
      <c r="M3582" t="n">
        <v>0</v>
      </c>
      <c r="N3582">
        <f>VLOOKUP(J3582,Products!$A$2:$C$49,3,FALSE)</f>
        <v/>
      </c>
      <c r="O3582">
        <f>K3582*L3582-M3582</f>
        <v/>
      </c>
      <c r="P3582">
        <f>TEXT(B3582,"yyyy-mm")</f>
        <v/>
      </c>
      <c r="Q3582">
        <f>IF(O3582&gt;=3000,"Large","Small")</f>
        <v/>
      </c>
      <c r="R3582">
        <f>INDEX(Products!$F$2:$F$49,MATCH(J3582,Products!$A$2:$A$49,0))</f>
        <v/>
      </c>
      <c r="S3582">
        <f>WEEKDAY(B3582,2)</f>
        <v/>
      </c>
    </row>
    <row r="3583">
      <c r="A3583" t="n">
        <v>511306</v>
      </c>
      <c r="B3583" s="6" t="n">
        <v>45998</v>
      </c>
      <c r="C3583" t="n">
        <v>16754</v>
      </c>
      <c r="D3583" t="inlineStr">
        <is>
          <t>Bengaluru</t>
        </is>
      </c>
      <c r="E3583" t="inlineStr">
        <is>
          <t>South</t>
        </is>
      </c>
      <c r="F3583" t="inlineStr">
        <is>
          <t>Organic Search</t>
        </is>
      </c>
      <c r="G3583" t="inlineStr">
        <is>
          <t>Desktop</t>
        </is>
      </c>
      <c r="H3583" t="inlineStr">
        <is>
          <t>Credit Card</t>
        </is>
      </c>
      <c r="I3583" t="inlineStr">
        <is>
          <t>Delivered</t>
        </is>
      </c>
      <c r="J3583" t="n">
        <v>127</v>
      </c>
      <c r="K3583" t="n">
        <v>1</v>
      </c>
      <c r="L3583" t="n">
        <v>681</v>
      </c>
      <c r="M3583" t="n">
        <v>0</v>
      </c>
      <c r="N3583">
        <f>VLOOKUP(J3583,Products!$A$2:$C$49,3,FALSE)</f>
        <v/>
      </c>
      <c r="O3583">
        <f>K3583*L3583-M3583</f>
        <v/>
      </c>
      <c r="P3583">
        <f>TEXT(B3583,"yyyy-mm")</f>
        <v/>
      </c>
      <c r="Q3583">
        <f>IF(O3583&gt;=3000,"Large","Small")</f>
        <v/>
      </c>
      <c r="R3583">
        <f>INDEX(Products!$F$2:$F$49,MATCH(J3583,Products!$A$2:$A$49,0))</f>
        <v/>
      </c>
      <c r="S3583">
        <f>WEEKDAY(B3583,2)</f>
        <v/>
      </c>
    </row>
    <row r="3584">
      <c r="A3584" t="n">
        <v>511307</v>
      </c>
      <c r="B3584" s="6" t="n">
        <v>45998</v>
      </c>
      <c r="C3584" t="n">
        <v>17507</v>
      </c>
      <c r="D3584" t="inlineStr">
        <is>
          <t>Delhi</t>
        </is>
      </c>
      <c r="E3584" t="inlineStr">
        <is>
          <t>North</t>
        </is>
      </c>
      <c r="F3584" t="inlineStr">
        <is>
          <t>Organic Search</t>
        </is>
      </c>
      <c r="G3584" t="inlineStr">
        <is>
          <t>Mobile Web</t>
        </is>
      </c>
      <c r="H3584" t="inlineStr">
        <is>
          <t>Cash on Delivery</t>
        </is>
      </c>
      <c r="I3584" t="inlineStr">
        <is>
          <t>Delivered</t>
        </is>
      </c>
      <c r="J3584" t="n">
        <v>103</v>
      </c>
      <c r="K3584" t="n">
        <v>1</v>
      </c>
      <c r="L3584" t="n">
        <v>2624</v>
      </c>
      <c r="M3584" t="n">
        <v>393.6</v>
      </c>
      <c r="N3584">
        <f>VLOOKUP(J3584,Products!$A$2:$C$49,3,FALSE)</f>
        <v/>
      </c>
      <c r="O3584">
        <f>K3584*L3584-M3584</f>
        <v/>
      </c>
      <c r="P3584">
        <f>TEXT(B3584,"yyyy-mm")</f>
        <v/>
      </c>
      <c r="Q3584">
        <f>IF(O3584&gt;=3000,"Large","Small")</f>
        <v/>
      </c>
      <c r="R3584">
        <f>INDEX(Products!$F$2:$F$49,MATCH(J3584,Products!$A$2:$A$49,0))</f>
        <v/>
      </c>
      <c r="S3584">
        <f>WEEKDAY(B3584,2)</f>
        <v/>
      </c>
    </row>
    <row r="3585">
      <c r="A3585" t="n">
        <v>511308</v>
      </c>
      <c r="B3585" s="6" t="n">
        <v>45998</v>
      </c>
      <c r="C3585" t="n">
        <v>17611</v>
      </c>
      <c r="D3585" t="inlineStr">
        <is>
          <t>Gurugram</t>
        </is>
      </c>
      <c r="E3585" t="inlineStr">
        <is>
          <t>North</t>
        </is>
      </c>
      <c r="F3585" t="inlineStr">
        <is>
          <t>Paid Search</t>
        </is>
      </c>
      <c r="G3585" t="inlineStr">
        <is>
          <t>Mobile App</t>
        </is>
      </c>
      <c r="H3585" t="inlineStr">
        <is>
          <t>UPI</t>
        </is>
      </c>
      <c r="I3585" t="inlineStr">
        <is>
          <t>Delivered</t>
        </is>
      </c>
      <c r="J3585" t="n">
        <v>136</v>
      </c>
      <c r="K3585" t="n">
        <v>1</v>
      </c>
      <c r="L3585" t="n">
        <v>944</v>
      </c>
      <c r="M3585" t="n">
        <v>0</v>
      </c>
      <c r="N3585">
        <f>VLOOKUP(J3585,Products!$A$2:$C$49,3,FALSE)</f>
        <v/>
      </c>
      <c r="O3585">
        <f>K3585*L3585-M3585</f>
        <v/>
      </c>
      <c r="P3585">
        <f>TEXT(B3585,"yyyy-mm")</f>
        <v/>
      </c>
      <c r="Q3585">
        <f>IF(O3585&gt;=3000,"Large","Small")</f>
        <v/>
      </c>
      <c r="R3585">
        <f>INDEX(Products!$F$2:$F$49,MATCH(J3585,Products!$A$2:$A$49,0))</f>
        <v/>
      </c>
      <c r="S3585">
        <f>WEEKDAY(B3585,2)</f>
        <v/>
      </c>
    </row>
    <row r="3586">
      <c r="A3586" t="n">
        <v>511308</v>
      </c>
      <c r="B3586" s="6" t="n">
        <v>45998</v>
      </c>
      <c r="C3586" t="n">
        <v>17611</v>
      </c>
      <c r="D3586" t="inlineStr">
        <is>
          <t>Gurugram</t>
        </is>
      </c>
      <c r="E3586" t="inlineStr">
        <is>
          <t>North</t>
        </is>
      </c>
      <c r="F3586" t="inlineStr">
        <is>
          <t>Paid Search</t>
        </is>
      </c>
      <c r="G3586" t="inlineStr">
        <is>
          <t>Mobile App</t>
        </is>
      </c>
      <c r="H3586" t="inlineStr">
        <is>
          <t>UPI</t>
        </is>
      </c>
      <c r="I3586" t="inlineStr">
        <is>
          <t>Delivered</t>
        </is>
      </c>
      <c r="J3586" t="n">
        <v>117</v>
      </c>
      <c r="K3586" t="n">
        <v>1</v>
      </c>
      <c r="L3586" t="n">
        <v>3149</v>
      </c>
      <c r="M3586" t="n">
        <v>0</v>
      </c>
      <c r="N3586">
        <f>VLOOKUP(J3586,Products!$A$2:$C$49,3,FALSE)</f>
        <v/>
      </c>
      <c r="O3586">
        <f>K3586*L3586-M3586</f>
        <v/>
      </c>
      <c r="P3586">
        <f>TEXT(B3586,"yyyy-mm")</f>
        <v/>
      </c>
      <c r="Q3586">
        <f>IF(O3586&gt;=3000,"Large","Small")</f>
        <v/>
      </c>
      <c r="R3586">
        <f>INDEX(Products!$F$2:$F$49,MATCH(J3586,Products!$A$2:$A$49,0))</f>
        <v/>
      </c>
      <c r="S3586">
        <f>WEEKDAY(B3586,2)</f>
        <v/>
      </c>
    </row>
    <row r="3587">
      <c r="A3587" t="n">
        <v>511308</v>
      </c>
      <c r="B3587" s="6" t="n">
        <v>45998</v>
      </c>
      <c r="C3587" t="n">
        <v>17611</v>
      </c>
      <c r="D3587" t="inlineStr">
        <is>
          <t>Gurugram</t>
        </is>
      </c>
      <c r="E3587" t="inlineStr">
        <is>
          <t>North</t>
        </is>
      </c>
      <c r="F3587" t="inlineStr">
        <is>
          <t>Paid Search</t>
        </is>
      </c>
      <c r="G3587" t="inlineStr">
        <is>
          <t>Mobile App</t>
        </is>
      </c>
      <c r="H3587" t="inlineStr">
        <is>
          <t>UPI</t>
        </is>
      </c>
      <c r="I3587" t="inlineStr">
        <is>
          <t>Delivered</t>
        </is>
      </c>
      <c r="J3587" t="n">
        <v>104</v>
      </c>
      <c r="K3587" t="n">
        <v>1</v>
      </c>
      <c r="L3587" t="n">
        <v>5249</v>
      </c>
      <c r="M3587" t="n">
        <v>0</v>
      </c>
      <c r="N3587">
        <f>VLOOKUP(J3587,Products!$A$2:$C$49,3,FALSE)</f>
        <v/>
      </c>
      <c r="O3587">
        <f>K3587*L3587-M3587</f>
        <v/>
      </c>
      <c r="P3587">
        <f>TEXT(B3587,"yyyy-mm")</f>
        <v/>
      </c>
      <c r="Q3587">
        <f>IF(O3587&gt;=3000,"Large","Small")</f>
        <v/>
      </c>
      <c r="R3587">
        <f>INDEX(Products!$F$2:$F$49,MATCH(J3587,Products!$A$2:$A$49,0))</f>
        <v/>
      </c>
      <c r="S3587">
        <f>WEEKDAY(B3587,2)</f>
        <v/>
      </c>
    </row>
    <row r="3588">
      <c r="A3588" t="n">
        <v>511309</v>
      </c>
      <c r="B3588" s="6" t="n">
        <v>45998</v>
      </c>
      <c r="C3588" t="n">
        <v>17661</v>
      </c>
      <c r="D3588" t="inlineStr">
        <is>
          <t>Mumbai</t>
        </is>
      </c>
      <c r="E3588" t="inlineStr">
        <is>
          <t>West</t>
        </is>
      </c>
      <c r="F3588" t="inlineStr">
        <is>
          <t>Paid Search</t>
        </is>
      </c>
      <c r="G3588" t="inlineStr">
        <is>
          <t>Mobile Web</t>
        </is>
      </c>
      <c r="H3588" t="inlineStr">
        <is>
          <t>Debit Card</t>
        </is>
      </c>
      <c r="I3588" t="inlineStr">
        <is>
          <t>Delivered</t>
        </is>
      </c>
      <c r="J3588" t="n">
        <v>107</v>
      </c>
      <c r="K3588" t="n">
        <v>2</v>
      </c>
      <c r="L3588" t="n">
        <v>1259</v>
      </c>
      <c r="M3588" t="n">
        <v>0</v>
      </c>
      <c r="N3588">
        <f>VLOOKUP(J3588,Products!$A$2:$C$49,3,FALSE)</f>
        <v/>
      </c>
      <c r="O3588">
        <f>K3588*L3588-M3588</f>
        <v/>
      </c>
      <c r="P3588">
        <f>TEXT(B3588,"yyyy-mm")</f>
        <v/>
      </c>
      <c r="Q3588">
        <f>IF(O3588&gt;=3000,"Large","Small")</f>
        <v/>
      </c>
      <c r="R3588">
        <f>INDEX(Products!$F$2:$F$49,MATCH(J3588,Products!$A$2:$A$49,0))</f>
        <v/>
      </c>
      <c r="S3588">
        <f>WEEKDAY(B3588,2)</f>
        <v/>
      </c>
    </row>
    <row r="3589">
      <c r="A3589" t="n">
        <v>511310</v>
      </c>
      <c r="B3589" s="6" t="n">
        <v>45998</v>
      </c>
      <c r="C3589" t="n">
        <v>13858</v>
      </c>
      <c r="D3589" t="inlineStr">
        <is>
          <t>Kolkata</t>
        </is>
      </c>
      <c r="E3589" t="inlineStr">
        <is>
          <t>East</t>
        </is>
      </c>
      <c r="F3589" t="inlineStr">
        <is>
          <t>Referral</t>
        </is>
      </c>
      <c r="G3589" t="inlineStr">
        <is>
          <t>Desktop</t>
        </is>
      </c>
      <c r="H3589" t="inlineStr">
        <is>
          <t>Net Banking</t>
        </is>
      </c>
      <c r="I3589" t="inlineStr">
        <is>
          <t>Returned</t>
        </is>
      </c>
      <c r="J3589" t="n">
        <v>115</v>
      </c>
      <c r="K3589" t="n">
        <v>1</v>
      </c>
      <c r="L3589" t="n">
        <v>4199</v>
      </c>
      <c r="M3589" t="n">
        <v>0</v>
      </c>
      <c r="N3589">
        <f>VLOOKUP(J3589,Products!$A$2:$C$49,3,FALSE)</f>
        <v/>
      </c>
      <c r="O3589">
        <f>K3589*L3589-M3589</f>
        <v/>
      </c>
      <c r="P3589">
        <f>TEXT(B3589,"yyyy-mm")</f>
        <v/>
      </c>
      <c r="Q3589">
        <f>IF(O3589&gt;=3000,"Large","Small")</f>
        <v/>
      </c>
      <c r="R3589">
        <f>INDEX(Products!$F$2:$F$49,MATCH(J3589,Products!$A$2:$A$49,0))</f>
        <v/>
      </c>
      <c r="S3589">
        <f>WEEKDAY(B3589,2)</f>
        <v/>
      </c>
    </row>
    <row r="3590">
      <c r="A3590" t="n">
        <v>511311</v>
      </c>
      <c r="B3590" s="6" t="n">
        <v>45998</v>
      </c>
      <c r="C3590" t="n">
        <v>16961</v>
      </c>
      <c r="D3590" t="inlineStr">
        <is>
          <t>Bengaluru</t>
        </is>
      </c>
      <c r="E3590" t="inlineStr">
        <is>
          <t>South</t>
        </is>
      </c>
      <c r="F3590" t="inlineStr">
        <is>
          <t>Affiliate</t>
        </is>
      </c>
      <c r="G3590" t="inlineStr">
        <is>
          <t>Desktop</t>
        </is>
      </c>
      <c r="H3590" t="inlineStr">
        <is>
          <t>UPI</t>
        </is>
      </c>
      <c r="I3590" t="inlineStr">
        <is>
          <t>Delivered</t>
        </is>
      </c>
      <c r="J3590" t="n">
        <v>134</v>
      </c>
      <c r="K3590" t="n">
        <v>1</v>
      </c>
      <c r="L3590" t="n">
        <v>209</v>
      </c>
      <c r="M3590" t="n">
        <v>0</v>
      </c>
      <c r="N3590">
        <f>VLOOKUP(J3590,Products!$A$2:$C$49,3,FALSE)</f>
        <v/>
      </c>
      <c r="O3590">
        <f>K3590*L3590-M3590</f>
        <v/>
      </c>
      <c r="P3590">
        <f>TEXT(B3590,"yyyy-mm")</f>
        <v/>
      </c>
      <c r="Q3590">
        <f>IF(O3590&gt;=3000,"Large","Small")</f>
        <v/>
      </c>
      <c r="R3590">
        <f>INDEX(Products!$F$2:$F$49,MATCH(J3590,Products!$A$2:$A$49,0))</f>
        <v/>
      </c>
      <c r="S3590">
        <f>WEEKDAY(B3590,2)</f>
        <v/>
      </c>
    </row>
    <row r="3591">
      <c r="A3591" t="n">
        <v>511311</v>
      </c>
      <c r="B3591" s="6" t="n">
        <v>45998</v>
      </c>
      <c r="C3591" t="n">
        <v>16961</v>
      </c>
      <c r="D3591" t="inlineStr">
        <is>
          <t>Bengaluru</t>
        </is>
      </c>
      <c r="E3591" t="inlineStr">
        <is>
          <t>South</t>
        </is>
      </c>
      <c r="F3591" t="inlineStr">
        <is>
          <t>Affiliate</t>
        </is>
      </c>
      <c r="G3591" t="inlineStr">
        <is>
          <t>Desktop</t>
        </is>
      </c>
      <c r="H3591" t="inlineStr">
        <is>
          <t>UPI</t>
        </is>
      </c>
      <c r="I3591" t="inlineStr">
        <is>
          <t>Delivered</t>
        </is>
      </c>
      <c r="J3591" t="n">
        <v>114</v>
      </c>
      <c r="K3591" t="n">
        <v>1</v>
      </c>
      <c r="L3591" t="n">
        <v>1259</v>
      </c>
      <c r="M3591" t="n">
        <v>0</v>
      </c>
      <c r="N3591">
        <f>VLOOKUP(J3591,Products!$A$2:$C$49,3,FALSE)</f>
        <v/>
      </c>
      <c r="O3591">
        <f>K3591*L3591-M3591</f>
        <v/>
      </c>
      <c r="P3591">
        <f>TEXT(B3591,"yyyy-mm")</f>
        <v/>
      </c>
      <c r="Q3591">
        <f>IF(O3591&gt;=3000,"Large","Small")</f>
        <v/>
      </c>
      <c r="R3591">
        <f>INDEX(Products!$F$2:$F$49,MATCH(J3591,Products!$A$2:$A$49,0))</f>
        <v/>
      </c>
      <c r="S3591">
        <f>WEEKDAY(B3591,2)</f>
        <v/>
      </c>
    </row>
    <row r="3592">
      <c r="A3592" t="n">
        <v>511311</v>
      </c>
      <c r="B3592" s="6" t="n">
        <v>45998</v>
      </c>
      <c r="C3592" t="n">
        <v>16961</v>
      </c>
      <c r="D3592" t="inlineStr">
        <is>
          <t>Bengaluru</t>
        </is>
      </c>
      <c r="E3592" t="inlineStr">
        <is>
          <t>South</t>
        </is>
      </c>
      <c r="F3592" t="inlineStr">
        <is>
          <t>Affiliate</t>
        </is>
      </c>
      <c r="G3592" t="inlineStr">
        <is>
          <t>Desktop</t>
        </is>
      </c>
      <c r="H3592" t="inlineStr">
        <is>
          <t>UPI</t>
        </is>
      </c>
      <c r="I3592" t="inlineStr">
        <is>
          <t>Delivered</t>
        </is>
      </c>
      <c r="J3592" t="n">
        <v>132</v>
      </c>
      <c r="K3592" t="n">
        <v>1</v>
      </c>
      <c r="L3592" t="n">
        <v>471</v>
      </c>
      <c r="M3592" t="n">
        <v>0</v>
      </c>
      <c r="N3592">
        <f>VLOOKUP(J3592,Products!$A$2:$C$49,3,FALSE)</f>
        <v/>
      </c>
      <c r="O3592">
        <f>K3592*L3592-M3592</f>
        <v/>
      </c>
      <c r="P3592">
        <f>TEXT(B3592,"yyyy-mm")</f>
        <v/>
      </c>
      <c r="Q3592">
        <f>IF(O3592&gt;=3000,"Large","Small")</f>
        <v/>
      </c>
      <c r="R3592">
        <f>INDEX(Products!$F$2:$F$49,MATCH(J3592,Products!$A$2:$A$49,0))</f>
        <v/>
      </c>
      <c r="S3592">
        <f>WEEKDAY(B3592,2)</f>
        <v/>
      </c>
    </row>
    <row r="3593">
      <c r="A3593" t="n">
        <v>511312</v>
      </c>
      <c r="B3593" s="6" t="n">
        <v>45998</v>
      </c>
      <c r="C3593" t="n">
        <v>17626</v>
      </c>
      <c r="D3593" t="inlineStr">
        <is>
          <t>Mumbai</t>
        </is>
      </c>
      <c r="E3593" t="inlineStr">
        <is>
          <t>West</t>
        </is>
      </c>
      <c r="F3593" t="inlineStr">
        <is>
          <t>Email</t>
        </is>
      </c>
      <c r="G3593" t="inlineStr">
        <is>
          <t>Desktop</t>
        </is>
      </c>
      <c r="H3593" t="inlineStr">
        <is>
          <t>Credit Card</t>
        </is>
      </c>
      <c r="I3593" t="inlineStr">
        <is>
          <t>Delivered</t>
        </is>
      </c>
      <c r="J3593" t="n">
        <v>128</v>
      </c>
      <c r="K3593" t="n">
        <v>2</v>
      </c>
      <c r="L3593" t="n">
        <v>1049</v>
      </c>
      <c r="M3593" t="n">
        <v>0</v>
      </c>
      <c r="N3593">
        <f>VLOOKUP(J3593,Products!$A$2:$C$49,3,FALSE)</f>
        <v/>
      </c>
      <c r="O3593">
        <f>K3593*L3593-M3593</f>
        <v/>
      </c>
      <c r="P3593">
        <f>TEXT(B3593,"yyyy-mm")</f>
        <v/>
      </c>
      <c r="Q3593">
        <f>IF(O3593&gt;=3000,"Large","Small")</f>
        <v/>
      </c>
      <c r="R3593">
        <f>INDEX(Products!$F$2:$F$49,MATCH(J3593,Products!$A$2:$A$49,0))</f>
        <v/>
      </c>
      <c r="S3593">
        <f>WEEKDAY(B3593,2)</f>
        <v/>
      </c>
    </row>
    <row r="3594">
      <c r="A3594" t="n">
        <v>511312</v>
      </c>
      <c r="B3594" s="6" t="n">
        <v>45998</v>
      </c>
      <c r="C3594" t="n">
        <v>17626</v>
      </c>
      <c r="D3594" t="inlineStr">
        <is>
          <t>Mumbai</t>
        </is>
      </c>
      <c r="E3594" t="inlineStr">
        <is>
          <t>West</t>
        </is>
      </c>
      <c r="F3594" t="inlineStr">
        <is>
          <t>Email</t>
        </is>
      </c>
      <c r="G3594" t="inlineStr">
        <is>
          <t>Desktop</t>
        </is>
      </c>
      <c r="H3594" t="inlineStr">
        <is>
          <t>Credit Card</t>
        </is>
      </c>
      <c r="I3594" t="inlineStr">
        <is>
          <t>Delivered</t>
        </is>
      </c>
      <c r="J3594" t="n">
        <v>130</v>
      </c>
      <c r="K3594" t="n">
        <v>1</v>
      </c>
      <c r="L3594" t="n">
        <v>734</v>
      </c>
      <c r="M3594" t="n">
        <v>0</v>
      </c>
      <c r="N3594">
        <f>VLOOKUP(J3594,Products!$A$2:$C$49,3,FALSE)</f>
        <v/>
      </c>
      <c r="O3594">
        <f>K3594*L3594-M3594</f>
        <v/>
      </c>
      <c r="P3594">
        <f>TEXT(B3594,"yyyy-mm")</f>
        <v/>
      </c>
      <c r="Q3594">
        <f>IF(O3594&gt;=3000,"Large","Small")</f>
        <v/>
      </c>
      <c r="R3594">
        <f>INDEX(Products!$F$2:$F$49,MATCH(J3594,Products!$A$2:$A$49,0))</f>
        <v/>
      </c>
      <c r="S3594">
        <f>WEEKDAY(B3594,2)</f>
        <v/>
      </c>
    </row>
    <row r="3595">
      <c r="A3595" t="n">
        <v>511312</v>
      </c>
      <c r="B3595" s="6" t="n">
        <v>45998</v>
      </c>
      <c r="C3595" t="n">
        <v>17626</v>
      </c>
      <c r="D3595" t="inlineStr">
        <is>
          <t>Mumbai</t>
        </is>
      </c>
      <c r="E3595" t="inlineStr">
        <is>
          <t>West</t>
        </is>
      </c>
      <c r="F3595" t="inlineStr">
        <is>
          <t>Email</t>
        </is>
      </c>
      <c r="G3595" t="inlineStr">
        <is>
          <t>Desktop</t>
        </is>
      </c>
      <c r="H3595" t="inlineStr">
        <is>
          <t>Credit Card</t>
        </is>
      </c>
      <c r="I3595" t="inlineStr">
        <is>
          <t>Delivered</t>
        </is>
      </c>
      <c r="J3595" t="n">
        <v>111</v>
      </c>
      <c r="K3595" t="n">
        <v>3</v>
      </c>
      <c r="L3595" t="n">
        <v>524</v>
      </c>
      <c r="M3595" t="n">
        <v>0</v>
      </c>
      <c r="N3595">
        <f>VLOOKUP(J3595,Products!$A$2:$C$49,3,FALSE)</f>
        <v/>
      </c>
      <c r="O3595">
        <f>K3595*L3595-M3595</f>
        <v/>
      </c>
      <c r="P3595">
        <f>TEXT(B3595,"yyyy-mm")</f>
        <v/>
      </c>
      <c r="Q3595">
        <f>IF(O3595&gt;=3000,"Large","Small")</f>
        <v/>
      </c>
      <c r="R3595">
        <f>INDEX(Products!$F$2:$F$49,MATCH(J3595,Products!$A$2:$A$49,0))</f>
        <v/>
      </c>
      <c r="S3595">
        <f>WEEKDAY(B3595,2)</f>
        <v/>
      </c>
    </row>
    <row r="3596">
      <c r="A3596" t="n">
        <v>511313</v>
      </c>
      <c r="B3596" s="6" t="n">
        <v>45998</v>
      </c>
      <c r="C3596" t="n">
        <v>15401</v>
      </c>
      <c r="D3596" t="inlineStr">
        <is>
          <t>Mumbai</t>
        </is>
      </c>
      <c r="E3596" t="inlineStr">
        <is>
          <t>West</t>
        </is>
      </c>
      <c r="F3596" t="inlineStr">
        <is>
          <t>Paid Search</t>
        </is>
      </c>
      <c r="G3596" t="inlineStr">
        <is>
          <t>Mobile App</t>
        </is>
      </c>
      <c r="H3596" t="inlineStr">
        <is>
          <t>UPI</t>
        </is>
      </c>
      <c r="I3596" t="inlineStr">
        <is>
          <t>Delivered</t>
        </is>
      </c>
      <c r="J3596" t="n">
        <v>113</v>
      </c>
      <c r="K3596" t="n">
        <v>1</v>
      </c>
      <c r="L3596" t="n">
        <v>1364</v>
      </c>
      <c r="M3596" t="n">
        <v>0</v>
      </c>
      <c r="N3596">
        <f>VLOOKUP(J3596,Products!$A$2:$C$49,3,FALSE)</f>
        <v/>
      </c>
      <c r="O3596">
        <f>K3596*L3596-M3596</f>
        <v/>
      </c>
      <c r="P3596">
        <f>TEXT(B3596,"yyyy-mm")</f>
        <v/>
      </c>
      <c r="Q3596">
        <f>IF(O3596&gt;=3000,"Large","Small")</f>
        <v/>
      </c>
      <c r="R3596">
        <f>INDEX(Products!$F$2:$F$49,MATCH(J3596,Products!$A$2:$A$49,0))</f>
        <v/>
      </c>
      <c r="S3596">
        <f>WEEKDAY(B3596,2)</f>
        <v/>
      </c>
    </row>
    <row r="3597">
      <c r="A3597" t="n">
        <v>511313</v>
      </c>
      <c r="B3597" s="6" t="n">
        <v>45998</v>
      </c>
      <c r="C3597" t="n">
        <v>15401</v>
      </c>
      <c r="D3597" t="inlineStr">
        <is>
          <t>Mumbai</t>
        </is>
      </c>
      <c r="E3597" t="inlineStr">
        <is>
          <t>West</t>
        </is>
      </c>
      <c r="F3597" t="inlineStr">
        <is>
          <t>Paid Search</t>
        </is>
      </c>
      <c r="G3597" t="inlineStr">
        <is>
          <t>Mobile App</t>
        </is>
      </c>
      <c r="H3597" t="inlineStr">
        <is>
          <t>UPI</t>
        </is>
      </c>
      <c r="I3597" t="inlineStr">
        <is>
          <t>Delivered</t>
        </is>
      </c>
      <c r="J3597" t="n">
        <v>103</v>
      </c>
      <c r="K3597" t="n">
        <v>2</v>
      </c>
      <c r="L3597" t="n">
        <v>2624</v>
      </c>
      <c r="M3597" t="n">
        <v>0</v>
      </c>
      <c r="N3597">
        <f>VLOOKUP(J3597,Products!$A$2:$C$49,3,FALSE)</f>
        <v/>
      </c>
      <c r="O3597">
        <f>K3597*L3597-M3597</f>
        <v/>
      </c>
      <c r="P3597">
        <f>TEXT(B3597,"yyyy-mm")</f>
        <v/>
      </c>
      <c r="Q3597">
        <f>IF(O3597&gt;=3000,"Large","Small")</f>
        <v/>
      </c>
      <c r="R3597">
        <f>INDEX(Products!$F$2:$F$49,MATCH(J3597,Products!$A$2:$A$49,0))</f>
        <v/>
      </c>
      <c r="S3597">
        <f>WEEKDAY(B3597,2)</f>
        <v/>
      </c>
    </row>
    <row r="3598">
      <c r="A3598" t="n">
        <v>511313</v>
      </c>
      <c r="B3598" s="6" t="n">
        <v>45998</v>
      </c>
      <c r="C3598" t="n">
        <v>15401</v>
      </c>
      <c r="D3598" t="inlineStr">
        <is>
          <t>Mumbai</t>
        </is>
      </c>
      <c r="E3598" t="inlineStr">
        <is>
          <t>West</t>
        </is>
      </c>
      <c r="F3598" t="inlineStr">
        <is>
          <t>Paid Search</t>
        </is>
      </c>
      <c r="G3598" t="inlineStr">
        <is>
          <t>Mobile App</t>
        </is>
      </c>
      <c r="H3598" t="inlineStr">
        <is>
          <t>UPI</t>
        </is>
      </c>
      <c r="I3598" t="inlineStr">
        <is>
          <t>Delivered</t>
        </is>
      </c>
      <c r="J3598" t="n">
        <v>107</v>
      </c>
      <c r="K3598" t="n">
        <v>2</v>
      </c>
      <c r="L3598" t="n">
        <v>1259</v>
      </c>
      <c r="M3598" t="n">
        <v>0</v>
      </c>
      <c r="N3598">
        <f>VLOOKUP(J3598,Products!$A$2:$C$49,3,FALSE)</f>
        <v/>
      </c>
      <c r="O3598">
        <f>K3598*L3598-M3598</f>
        <v/>
      </c>
      <c r="P3598">
        <f>TEXT(B3598,"yyyy-mm")</f>
        <v/>
      </c>
      <c r="Q3598">
        <f>IF(O3598&gt;=3000,"Large","Small")</f>
        <v/>
      </c>
      <c r="R3598">
        <f>INDEX(Products!$F$2:$F$49,MATCH(J3598,Products!$A$2:$A$49,0))</f>
        <v/>
      </c>
      <c r="S3598">
        <f>WEEKDAY(B3598,2)</f>
        <v/>
      </c>
    </row>
    <row r="3599">
      <c r="A3599" t="n">
        <v>511314</v>
      </c>
      <c r="B3599" s="6" t="n">
        <v>45998</v>
      </c>
      <c r="C3599" t="n">
        <v>17629</v>
      </c>
      <c r="D3599" t="inlineStr">
        <is>
          <t>Ahmedabad</t>
        </is>
      </c>
      <c r="E3599" t="inlineStr">
        <is>
          <t>West</t>
        </is>
      </c>
      <c r="F3599" t="inlineStr">
        <is>
          <t>Organic Search</t>
        </is>
      </c>
      <c r="G3599" t="inlineStr">
        <is>
          <t>Mobile Web</t>
        </is>
      </c>
      <c r="H3599" t="inlineStr">
        <is>
          <t>UPI</t>
        </is>
      </c>
      <c r="I3599" t="inlineStr">
        <is>
          <t>Delivered</t>
        </is>
      </c>
      <c r="J3599" t="n">
        <v>137</v>
      </c>
      <c r="K3599" t="n">
        <v>1</v>
      </c>
      <c r="L3599" t="n">
        <v>261</v>
      </c>
      <c r="M3599" t="n">
        <v>0</v>
      </c>
      <c r="N3599">
        <f>VLOOKUP(J3599,Products!$A$2:$C$49,3,FALSE)</f>
        <v/>
      </c>
      <c r="O3599">
        <f>K3599*L3599-M3599</f>
        <v/>
      </c>
      <c r="P3599">
        <f>TEXT(B3599,"yyyy-mm")</f>
        <v/>
      </c>
      <c r="Q3599">
        <f>IF(O3599&gt;=3000,"Large","Small")</f>
        <v/>
      </c>
      <c r="R3599">
        <f>INDEX(Products!$F$2:$F$49,MATCH(J3599,Products!$A$2:$A$49,0))</f>
        <v/>
      </c>
      <c r="S3599">
        <f>WEEKDAY(B3599,2)</f>
        <v/>
      </c>
    </row>
    <row r="3600">
      <c r="A3600" t="n">
        <v>511315</v>
      </c>
      <c r="B3600" s="6" t="n">
        <v>45998</v>
      </c>
      <c r="C3600" t="n">
        <v>16018</v>
      </c>
      <c r="D3600" t="inlineStr">
        <is>
          <t>Lucknow</t>
        </is>
      </c>
      <c r="E3600" t="inlineStr">
        <is>
          <t>North</t>
        </is>
      </c>
      <c r="F3600" t="inlineStr">
        <is>
          <t>Affiliate</t>
        </is>
      </c>
      <c r="G3600" t="inlineStr">
        <is>
          <t>Mobile App</t>
        </is>
      </c>
      <c r="H3600" t="inlineStr">
        <is>
          <t>UPI</t>
        </is>
      </c>
      <c r="I3600" t="inlineStr">
        <is>
          <t>Delivered</t>
        </is>
      </c>
      <c r="J3600" t="n">
        <v>126</v>
      </c>
      <c r="K3600" t="n">
        <v>1</v>
      </c>
      <c r="L3600" t="n">
        <v>471</v>
      </c>
      <c r="M3600" t="n">
        <v>0</v>
      </c>
      <c r="N3600">
        <f>VLOOKUP(J3600,Products!$A$2:$C$49,3,FALSE)</f>
        <v/>
      </c>
      <c r="O3600">
        <f>K3600*L3600-M3600</f>
        <v/>
      </c>
      <c r="P3600">
        <f>TEXT(B3600,"yyyy-mm")</f>
        <v/>
      </c>
      <c r="Q3600">
        <f>IF(O3600&gt;=3000,"Large","Small")</f>
        <v/>
      </c>
      <c r="R3600">
        <f>INDEX(Products!$F$2:$F$49,MATCH(J3600,Products!$A$2:$A$49,0))</f>
        <v/>
      </c>
      <c r="S3600">
        <f>WEEKDAY(B3600,2)</f>
        <v/>
      </c>
    </row>
    <row r="3601">
      <c r="A3601" t="n">
        <v>511315</v>
      </c>
      <c r="B3601" s="6" t="n">
        <v>45998</v>
      </c>
      <c r="C3601" t="n">
        <v>16018</v>
      </c>
      <c r="D3601" t="inlineStr">
        <is>
          <t>Lucknow</t>
        </is>
      </c>
      <c r="E3601" t="inlineStr">
        <is>
          <t>North</t>
        </is>
      </c>
      <c r="F3601" t="inlineStr">
        <is>
          <t>Affiliate</t>
        </is>
      </c>
      <c r="G3601" t="inlineStr">
        <is>
          <t>Mobile App</t>
        </is>
      </c>
      <c r="H3601" t="inlineStr">
        <is>
          <t>UPI</t>
        </is>
      </c>
      <c r="I3601" t="inlineStr">
        <is>
          <t>Delivered</t>
        </is>
      </c>
      <c r="J3601" t="n">
        <v>130</v>
      </c>
      <c r="K3601" t="n">
        <v>1</v>
      </c>
      <c r="L3601" t="n">
        <v>734</v>
      </c>
      <c r="M3601" t="n">
        <v>0</v>
      </c>
      <c r="N3601">
        <f>VLOOKUP(J3601,Products!$A$2:$C$49,3,FALSE)</f>
        <v/>
      </c>
      <c r="O3601">
        <f>K3601*L3601-M3601</f>
        <v/>
      </c>
      <c r="P3601">
        <f>TEXT(B3601,"yyyy-mm")</f>
        <v/>
      </c>
      <c r="Q3601">
        <f>IF(O3601&gt;=3000,"Large","Small")</f>
        <v/>
      </c>
      <c r="R3601">
        <f>INDEX(Products!$F$2:$F$49,MATCH(J3601,Products!$A$2:$A$49,0))</f>
        <v/>
      </c>
      <c r="S3601">
        <f>WEEKDAY(B3601,2)</f>
        <v/>
      </c>
    </row>
    <row r="3602">
      <c r="A3602" t="n">
        <v>511316</v>
      </c>
      <c r="B3602" s="6" t="n">
        <v>45998</v>
      </c>
      <c r="C3602" t="n">
        <v>17633</v>
      </c>
      <c r="D3602" t="inlineStr">
        <is>
          <t>Kochi</t>
        </is>
      </c>
      <c r="E3602" t="inlineStr">
        <is>
          <t>South</t>
        </is>
      </c>
      <c r="F3602" t="inlineStr">
        <is>
          <t>Organic Search</t>
        </is>
      </c>
      <c r="G3602" t="inlineStr">
        <is>
          <t>Mobile Web</t>
        </is>
      </c>
      <c r="H3602" t="inlineStr">
        <is>
          <t>Cash on Delivery</t>
        </is>
      </c>
      <c r="I3602" t="inlineStr">
        <is>
          <t>Cancelled</t>
        </is>
      </c>
      <c r="J3602" t="n">
        <v>124</v>
      </c>
      <c r="K3602" t="n">
        <v>1</v>
      </c>
      <c r="L3602" t="n">
        <v>1154</v>
      </c>
      <c r="M3602" t="n">
        <v>173.1</v>
      </c>
      <c r="N3602">
        <f>VLOOKUP(J3602,Products!$A$2:$C$49,3,FALSE)</f>
        <v/>
      </c>
      <c r="O3602">
        <f>K3602*L3602-M3602</f>
        <v/>
      </c>
      <c r="P3602">
        <f>TEXT(B3602,"yyyy-mm")</f>
        <v/>
      </c>
      <c r="Q3602">
        <f>IF(O3602&gt;=3000,"Large","Small")</f>
        <v/>
      </c>
      <c r="R3602">
        <f>INDEX(Products!$F$2:$F$49,MATCH(J3602,Products!$A$2:$A$49,0))</f>
        <v/>
      </c>
      <c r="S3602">
        <f>WEEKDAY(B3602,2)</f>
        <v/>
      </c>
    </row>
    <row r="3603">
      <c r="A3603" t="n">
        <v>511317</v>
      </c>
      <c r="B3603" s="6" t="n">
        <v>45998</v>
      </c>
      <c r="C3603" t="n">
        <v>13958</v>
      </c>
      <c r="D3603" t="inlineStr">
        <is>
          <t>Chandigarh</t>
        </is>
      </c>
      <c r="E3603" t="inlineStr">
        <is>
          <t>North</t>
        </is>
      </c>
      <c r="F3603" t="inlineStr">
        <is>
          <t>Referral</t>
        </is>
      </c>
      <c r="G3603" t="inlineStr">
        <is>
          <t>Desktop</t>
        </is>
      </c>
      <c r="H3603" t="inlineStr">
        <is>
          <t>UPI</t>
        </is>
      </c>
      <c r="I3603" t="inlineStr">
        <is>
          <t>Delivered</t>
        </is>
      </c>
      <c r="J3603" t="n">
        <v>102</v>
      </c>
      <c r="K3603" t="n">
        <v>1</v>
      </c>
      <c r="L3603" t="n">
        <v>3674</v>
      </c>
      <c r="M3603" t="n">
        <v>0</v>
      </c>
      <c r="N3603">
        <f>VLOOKUP(J3603,Products!$A$2:$C$49,3,FALSE)</f>
        <v/>
      </c>
      <c r="O3603">
        <f>K3603*L3603-M3603</f>
        <v/>
      </c>
      <c r="P3603">
        <f>TEXT(B3603,"yyyy-mm")</f>
        <v/>
      </c>
      <c r="Q3603">
        <f>IF(O3603&gt;=3000,"Large","Small")</f>
        <v/>
      </c>
      <c r="R3603">
        <f>INDEX(Products!$F$2:$F$49,MATCH(J3603,Products!$A$2:$A$49,0))</f>
        <v/>
      </c>
      <c r="S3603">
        <f>WEEKDAY(B3603,2)</f>
        <v/>
      </c>
    </row>
    <row r="3604">
      <c r="A3604" t="n">
        <v>511318</v>
      </c>
      <c r="B3604" s="6" t="n">
        <v>45998</v>
      </c>
      <c r="C3604" t="n">
        <v>13854</v>
      </c>
      <c r="D3604" t="inlineStr">
        <is>
          <t>Lucknow</t>
        </is>
      </c>
      <c r="E3604" t="inlineStr">
        <is>
          <t>North</t>
        </is>
      </c>
      <c r="F3604" t="inlineStr">
        <is>
          <t>Referral</t>
        </is>
      </c>
      <c r="G3604" t="inlineStr">
        <is>
          <t>Mobile Web</t>
        </is>
      </c>
      <c r="H3604" t="inlineStr">
        <is>
          <t>UPI</t>
        </is>
      </c>
      <c r="I3604" t="inlineStr">
        <is>
          <t>Delivered</t>
        </is>
      </c>
      <c r="J3604" t="n">
        <v>133</v>
      </c>
      <c r="K3604" t="n">
        <v>1</v>
      </c>
      <c r="L3604" t="n">
        <v>419</v>
      </c>
      <c r="M3604" t="n">
        <v>0</v>
      </c>
      <c r="N3604">
        <f>VLOOKUP(J3604,Products!$A$2:$C$49,3,FALSE)</f>
        <v/>
      </c>
      <c r="O3604">
        <f>K3604*L3604-M3604</f>
        <v/>
      </c>
      <c r="P3604">
        <f>TEXT(B3604,"yyyy-mm")</f>
        <v/>
      </c>
      <c r="Q3604">
        <f>IF(O3604&gt;=3000,"Large","Small")</f>
        <v/>
      </c>
      <c r="R3604">
        <f>INDEX(Products!$F$2:$F$49,MATCH(J3604,Products!$A$2:$A$49,0))</f>
        <v/>
      </c>
      <c r="S3604">
        <f>WEEKDAY(B3604,2)</f>
        <v/>
      </c>
    </row>
    <row r="3605">
      <c r="A3605" t="n">
        <v>511319</v>
      </c>
      <c r="B3605" s="6" t="n">
        <v>45998</v>
      </c>
      <c r="C3605" t="n">
        <v>10351</v>
      </c>
      <c r="D3605" t="inlineStr">
        <is>
          <t>Gurugram</t>
        </is>
      </c>
      <c r="E3605" t="inlineStr">
        <is>
          <t>North</t>
        </is>
      </c>
      <c r="F3605" t="inlineStr">
        <is>
          <t>Organic Search</t>
        </is>
      </c>
      <c r="G3605" t="inlineStr">
        <is>
          <t>Mobile App</t>
        </is>
      </c>
      <c r="H3605" t="inlineStr">
        <is>
          <t>Cash on Delivery</t>
        </is>
      </c>
      <c r="I3605" t="inlineStr">
        <is>
          <t>Delivered</t>
        </is>
      </c>
      <c r="J3605" t="n">
        <v>147</v>
      </c>
      <c r="K3605" t="n">
        <v>1</v>
      </c>
      <c r="L3605" t="n">
        <v>1364</v>
      </c>
      <c r="M3605" t="n">
        <v>0</v>
      </c>
      <c r="N3605">
        <f>VLOOKUP(J3605,Products!$A$2:$C$49,3,FALSE)</f>
        <v/>
      </c>
      <c r="O3605">
        <f>K3605*L3605-M3605</f>
        <v/>
      </c>
      <c r="P3605">
        <f>TEXT(B3605,"yyyy-mm")</f>
        <v/>
      </c>
      <c r="Q3605">
        <f>IF(O3605&gt;=3000,"Large","Small")</f>
        <v/>
      </c>
      <c r="R3605">
        <f>INDEX(Products!$F$2:$F$49,MATCH(J3605,Products!$A$2:$A$49,0))</f>
        <v/>
      </c>
      <c r="S3605">
        <f>WEEKDAY(B3605,2)</f>
        <v/>
      </c>
    </row>
    <row r="3606">
      <c r="A3606" t="n">
        <v>511319</v>
      </c>
      <c r="B3606" s="6" t="n">
        <v>45998</v>
      </c>
      <c r="C3606" t="n">
        <v>10351</v>
      </c>
      <c r="D3606" t="inlineStr">
        <is>
          <t>Gurugram</t>
        </is>
      </c>
      <c r="E3606" t="inlineStr">
        <is>
          <t>North</t>
        </is>
      </c>
      <c r="F3606" t="inlineStr">
        <is>
          <t>Organic Search</t>
        </is>
      </c>
      <c r="G3606" t="inlineStr">
        <is>
          <t>Mobile App</t>
        </is>
      </c>
      <c r="H3606" t="inlineStr">
        <is>
          <t>Cash on Delivery</t>
        </is>
      </c>
      <c r="I3606" t="inlineStr">
        <is>
          <t>Delivered</t>
        </is>
      </c>
      <c r="J3606" t="n">
        <v>111</v>
      </c>
      <c r="K3606" t="n">
        <v>2</v>
      </c>
      <c r="L3606" t="n">
        <v>524</v>
      </c>
      <c r="M3606" t="n">
        <v>0</v>
      </c>
      <c r="N3606">
        <f>VLOOKUP(J3606,Products!$A$2:$C$49,3,FALSE)</f>
        <v/>
      </c>
      <c r="O3606">
        <f>K3606*L3606-M3606</f>
        <v/>
      </c>
      <c r="P3606">
        <f>TEXT(B3606,"yyyy-mm")</f>
        <v/>
      </c>
      <c r="Q3606">
        <f>IF(O3606&gt;=3000,"Large","Small")</f>
        <v/>
      </c>
      <c r="R3606">
        <f>INDEX(Products!$F$2:$F$49,MATCH(J3606,Products!$A$2:$A$49,0))</f>
        <v/>
      </c>
      <c r="S3606">
        <f>WEEKDAY(B3606,2)</f>
        <v/>
      </c>
    </row>
    <row r="3607">
      <c r="A3607" t="n">
        <v>511319</v>
      </c>
      <c r="B3607" s="6" t="n">
        <v>45998</v>
      </c>
      <c r="C3607" t="n">
        <v>10351</v>
      </c>
      <c r="D3607" t="inlineStr">
        <is>
          <t>Gurugram</t>
        </is>
      </c>
      <c r="E3607" t="inlineStr">
        <is>
          <t>North</t>
        </is>
      </c>
      <c r="F3607" t="inlineStr">
        <is>
          <t>Organic Search</t>
        </is>
      </c>
      <c r="G3607" t="inlineStr">
        <is>
          <t>Mobile App</t>
        </is>
      </c>
      <c r="H3607" t="inlineStr">
        <is>
          <t>Cash on Delivery</t>
        </is>
      </c>
      <c r="I3607" t="inlineStr">
        <is>
          <t>Delivered</t>
        </is>
      </c>
      <c r="J3607" t="n">
        <v>142</v>
      </c>
      <c r="K3607" t="n">
        <v>1</v>
      </c>
      <c r="L3607" t="n">
        <v>839</v>
      </c>
      <c r="M3607" t="n">
        <v>0</v>
      </c>
      <c r="N3607">
        <f>VLOOKUP(J3607,Products!$A$2:$C$49,3,FALSE)</f>
        <v/>
      </c>
      <c r="O3607">
        <f>K3607*L3607-M3607</f>
        <v/>
      </c>
      <c r="P3607">
        <f>TEXT(B3607,"yyyy-mm")</f>
        <v/>
      </c>
      <c r="Q3607">
        <f>IF(O3607&gt;=3000,"Large","Small")</f>
        <v/>
      </c>
      <c r="R3607">
        <f>INDEX(Products!$F$2:$F$49,MATCH(J3607,Products!$A$2:$A$49,0))</f>
        <v/>
      </c>
      <c r="S3607">
        <f>WEEKDAY(B3607,2)</f>
        <v/>
      </c>
    </row>
    <row r="3608">
      <c r="A3608" t="n">
        <v>511319</v>
      </c>
      <c r="B3608" s="6" t="n">
        <v>45998</v>
      </c>
      <c r="C3608" t="n">
        <v>10351</v>
      </c>
      <c r="D3608" t="inlineStr">
        <is>
          <t>Gurugram</t>
        </is>
      </c>
      <c r="E3608" t="inlineStr">
        <is>
          <t>North</t>
        </is>
      </c>
      <c r="F3608" t="inlineStr">
        <is>
          <t>Organic Search</t>
        </is>
      </c>
      <c r="G3608" t="inlineStr">
        <is>
          <t>Mobile App</t>
        </is>
      </c>
      <c r="H3608" t="inlineStr">
        <is>
          <t>Cash on Delivery</t>
        </is>
      </c>
      <c r="I3608" t="inlineStr">
        <is>
          <t>Delivered</t>
        </is>
      </c>
      <c r="J3608" t="n">
        <v>114</v>
      </c>
      <c r="K3608" t="n">
        <v>1</v>
      </c>
      <c r="L3608" t="n">
        <v>1259</v>
      </c>
      <c r="M3608" t="n">
        <v>0</v>
      </c>
      <c r="N3608">
        <f>VLOOKUP(J3608,Products!$A$2:$C$49,3,FALSE)</f>
        <v/>
      </c>
      <c r="O3608">
        <f>K3608*L3608-M3608</f>
        <v/>
      </c>
      <c r="P3608">
        <f>TEXT(B3608,"yyyy-mm")</f>
        <v/>
      </c>
      <c r="Q3608">
        <f>IF(O3608&gt;=3000,"Large","Small")</f>
        <v/>
      </c>
      <c r="R3608">
        <f>INDEX(Products!$F$2:$F$49,MATCH(J3608,Products!$A$2:$A$49,0))</f>
        <v/>
      </c>
      <c r="S3608">
        <f>WEEKDAY(B3608,2)</f>
        <v/>
      </c>
    </row>
    <row r="3609">
      <c r="A3609" t="n">
        <v>511320</v>
      </c>
      <c r="B3609" s="6" t="n">
        <v>45998</v>
      </c>
      <c r="C3609" t="n">
        <v>16052</v>
      </c>
      <c r="D3609" t="inlineStr">
        <is>
          <t>Gurugram</t>
        </is>
      </c>
      <c r="E3609" t="inlineStr">
        <is>
          <t>North</t>
        </is>
      </c>
      <c r="F3609" t="inlineStr">
        <is>
          <t>Email</t>
        </is>
      </c>
      <c r="G3609" t="inlineStr">
        <is>
          <t>Mobile App</t>
        </is>
      </c>
      <c r="H3609" t="inlineStr">
        <is>
          <t>Credit Card</t>
        </is>
      </c>
      <c r="I3609" t="inlineStr">
        <is>
          <t>Delivered</t>
        </is>
      </c>
      <c r="J3609" t="n">
        <v>103</v>
      </c>
      <c r="K3609" t="n">
        <v>1</v>
      </c>
      <c r="L3609" t="n">
        <v>2624</v>
      </c>
      <c r="M3609" t="n">
        <v>131.2</v>
      </c>
      <c r="N3609">
        <f>VLOOKUP(J3609,Products!$A$2:$C$49,3,FALSE)</f>
        <v/>
      </c>
      <c r="O3609">
        <f>K3609*L3609-M3609</f>
        <v/>
      </c>
      <c r="P3609">
        <f>TEXT(B3609,"yyyy-mm")</f>
        <v/>
      </c>
      <c r="Q3609">
        <f>IF(O3609&gt;=3000,"Large","Small")</f>
        <v/>
      </c>
      <c r="R3609">
        <f>INDEX(Products!$F$2:$F$49,MATCH(J3609,Products!$A$2:$A$49,0))</f>
        <v/>
      </c>
      <c r="S3609">
        <f>WEEKDAY(B3609,2)</f>
        <v/>
      </c>
    </row>
    <row r="3610">
      <c r="A3610" t="n">
        <v>511320</v>
      </c>
      <c r="B3610" s="6" t="n">
        <v>45998</v>
      </c>
      <c r="C3610" t="n">
        <v>16052</v>
      </c>
      <c r="D3610" t="inlineStr">
        <is>
          <t>Gurugram</t>
        </is>
      </c>
      <c r="E3610" t="inlineStr">
        <is>
          <t>North</t>
        </is>
      </c>
      <c r="F3610" t="inlineStr">
        <is>
          <t>Email</t>
        </is>
      </c>
      <c r="G3610" t="inlineStr">
        <is>
          <t>Mobile App</t>
        </is>
      </c>
      <c r="H3610" t="inlineStr">
        <is>
          <t>Credit Card</t>
        </is>
      </c>
      <c r="I3610" t="inlineStr">
        <is>
          <t>Delivered</t>
        </is>
      </c>
      <c r="J3610" t="n">
        <v>117</v>
      </c>
      <c r="K3610" t="n">
        <v>1</v>
      </c>
      <c r="L3610" t="n">
        <v>3149</v>
      </c>
      <c r="M3610" t="n">
        <v>157.45</v>
      </c>
      <c r="N3610">
        <f>VLOOKUP(J3610,Products!$A$2:$C$49,3,FALSE)</f>
        <v/>
      </c>
      <c r="O3610">
        <f>K3610*L3610-M3610</f>
        <v/>
      </c>
      <c r="P3610">
        <f>TEXT(B3610,"yyyy-mm")</f>
        <v/>
      </c>
      <c r="Q3610">
        <f>IF(O3610&gt;=3000,"Large","Small")</f>
        <v/>
      </c>
      <c r="R3610">
        <f>INDEX(Products!$F$2:$F$49,MATCH(J3610,Products!$A$2:$A$49,0))</f>
        <v/>
      </c>
      <c r="S3610">
        <f>WEEKDAY(B3610,2)</f>
        <v/>
      </c>
    </row>
    <row r="3611">
      <c r="A3611" t="n">
        <v>511321</v>
      </c>
      <c r="B3611" s="6" t="n">
        <v>45999</v>
      </c>
      <c r="C3611" t="n">
        <v>17230</v>
      </c>
      <c r="D3611" t="inlineStr">
        <is>
          <t>Indore</t>
        </is>
      </c>
      <c r="E3611" t="inlineStr">
        <is>
          <t>West</t>
        </is>
      </c>
      <c r="F3611" t="inlineStr">
        <is>
          <t>Referral</t>
        </is>
      </c>
      <c r="G3611" t="inlineStr">
        <is>
          <t>Mobile App</t>
        </is>
      </c>
      <c r="H3611" t="inlineStr">
        <is>
          <t>Credit Card</t>
        </is>
      </c>
      <c r="I3611" t="inlineStr">
        <is>
          <t>Delivered</t>
        </is>
      </c>
      <c r="J3611" t="n">
        <v>105</v>
      </c>
      <c r="K3611" t="n">
        <v>2</v>
      </c>
      <c r="L3611" t="n">
        <v>2414</v>
      </c>
      <c r="M3611" t="n">
        <v>0</v>
      </c>
      <c r="N3611">
        <f>VLOOKUP(J3611,Products!$A$2:$C$49,3,FALSE)</f>
        <v/>
      </c>
      <c r="O3611">
        <f>K3611*L3611-M3611</f>
        <v/>
      </c>
      <c r="P3611">
        <f>TEXT(B3611,"yyyy-mm")</f>
        <v/>
      </c>
      <c r="Q3611">
        <f>IF(O3611&gt;=3000,"Large","Small")</f>
        <v/>
      </c>
      <c r="R3611">
        <f>INDEX(Products!$F$2:$F$49,MATCH(J3611,Products!$A$2:$A$49,0))</f>
        <v/>
      </c>
      <c r="S3611">
        <f>WEEKDAY(B3611,2)</f>
        <v/>
      </c>
    </row>
    <row r="3612">
      <c r="A3612" t="n">
        <v>511322</v>
      </c>
      <c r="B3612" s="6" t="n">
        <v>45999</v>
      </c>
      <c r="C3612" t="n">
        <v>16937</v>
      </c>
      <c r="D3612" t="inlineStr">
        <is>
          <t>Bengaluru</t>
        </is>
      </c>
      <c r="E3612" t="inlineStr">
        <is>
          <t>South</t>
        </is>
      </c>
      <c r="F3612" t="inlineStr">
        <is>
          <t>Paid Search</t>
        </is>
      </c>
      <c r="G3612" t="inlineStr">
        <is>
          <t>Mobile App</t>
        </is>
      </c>
      <c r="H3612" t="inlineStr">
        <is>
          <t>Credit Card</t>
        </is>
      </c>
      <c r="I3612" t="inlineStr">
        <is>
          <t>Delivered</t>
        </is>
      </c>
      <c r="J3612" t="n">
        <v>102</v>
      </c>
      <c r="K3612" t="n">
        <v>1</v>
      </c>
      <c r="L3612" t="n">
        <v>3674</v>
      </c>
      <c r="M3612" t="n">
        <v>0</v>
      </c>
      <c r="N3612">
        <f>VLOOKUP(J3612,Products!$A$2:$C$49,3,FALSE)</f>
        <v/>
      </c>
      <c r="O3612">
        <f>K3612*L3612-M3612</f>
        <v/>
      </c>
      <c r="P3612">
        <f>TEXT(B3612,"yyyy-mm")</f>
        <v/>
      </c>
      <c r="Q3612">
        <f>IF(O3612&gt;=3000,"Large","Small")</f>
        <v/>
      </c>
      <c r="R3612">
        <f>INDEX(Products!$F$2:$F$49,MATCH(J3612,Products!$A$2:$A$49,0))</f>
        <v/>
      </c>
      <c r="S3612">
        <f>WEEKDAY(B3612,2)</f>
        <v/>
      </c>
    </row>
    <row r="3613">
      <c r="A3613" t="n">
        <v>511323</v>
      </c>
      <c r="B3613" s="6" t="n">
        <v>45999</v>
      </c>
      <c r="C3613" t="n">
        <v>17119</v>
      </c>
      <c r="D3613" t="inlineStr">
        <is>
          <t>Bengaluru</t>
        </is>
      </c>
      <c r="E3613" t="inlineStr">
        <is>
          <t>South</t>
        </is>
      </c>
      <c r="F3613" t="inlineStr">
        <is>
          <t>Organic Search</t>
        </is>
      </c>
      <c r="G3613" t="inlineStr">
        <is>
          <t>Mobile Web</t>
        </is>
      </c>
      <c r="H3613" t="inlineStr">
        <is>
          <t>Debit Card</t>
        </is>
      </c>
      <c r="I3613" t="inlineStr">
        <is>
          <t>Delivered</t>
        </is>
      </c>
      <c r="J3613" t="n">
        <v>130</v>
      </c>
      <c r="K3613" t="n">
        <v>1</v>
      </c>
      <c r="L3613" t="n">
        <v>734</v>
      </c>
      <c r="M3613" t="n">
        <v>0</v>
      </c>
      <c r="N3613">
        <f>VLOOKUP(J3613,Products!$A$2:$C$49,3,FALSE)</f>
        <v/>
      </c>
      <c r="O3613">
        <f>K3613*L3613-M3613</f>
        <v/>
      </c>
      <c r="P3613">
        <f>TEXT(B3613,"yyyy-mm")</f>
        <v/>
      </c>
      <c r="Q3613">
        <f>IF(O3613&gt;=3000,"Large","Small")</f>
        <v/>
      </c>
      <c r="R3613">
        <f>INDEX(Products!$F$2:$F$49,MATCH(J3613,Products!$A$2:$A$49,0))</f>
        <v/>
      </c>
      <c r="S3613">
        <f>WEEKDAY(B3613,2)</f>
        <v/>
      </c>
    </row>
    <row r="3614">
      <c r="A3614" t="n">
        <v>511324</v>
      </c>
      <c r="B3614" s="6" t="n">
        <v>45999</v>
      </c>
      <c r="C3614" t="n">
        <v>17532</v>
      </c>
      <c r="D3614" t="inlineStr">
        <is>
          <t>Jaipur</t>
        </is>
      </c>
      <c r="E3614" t="inlineStr">
        <is>
          <t>North</t>
        </is>
      </c>
      <c r="F3614" t="inlineStr">
        <is>
          <t>Paid Social</t>
        </is>
      </c>
      <c r="G3614" t="inlineStr">
        <is>
          <t>Desktop</t>
        </is>
      </c>
      <c r="H3614" t="inlineStr">
        <is>
          <t>Cash on Delivery</t>
        </is>
      </c>
      <c r="I3614" t="inlineStr">
        <is>
          <t>Delivered</t>
        </is>
      </c>
      <c r="J3614" t="n">
        <v>111</v>
      </c>
      <c r="K3614" t="n">
        <v>1</v>
      </c>
      <c r="L3614" t="n">
        <v>524</v>
      </c>
      <c r="M3614" t="n">
        <v>0</v>
      </c>
      <c r="N3614">
        <f>VLOOKUP(J3614,Products!$A$2:$C$49,3,FALSE)</f>
        <v/>
      </c>
      <c r="O3614">
        <f>K3614*L3614-M3614</f>
        <v/>
      </c>
      <c r="P3614">
        <f>TEXT(B3614,"yyyy-mm")</f>
        <v/>
      </c>
      <c r="Q3614">
        <f>IF(O3614&gt;=3000,"Large","Small")</f>
        <v/>
      </c>
      <c r="R3614">
        <f>INDEX(Products!$F$2:$F$49,MATCH(J3614,Products!$A$2:$A$49,0))</f>
        <v/>
      </c>
      <c r="S3614">
        <f>WEEKDAY(B3614,2)</f>
        <v/>
      </c>
    </row>
    <row r="3615">
      <c r="A3615" t="n">
        <v>511324</v>
      </c>
      <c r="B3615" s="6" t="n">
        <v>45999</v>
      </c>
      <c r="C3615" t="n">
        <v>17532</v>
      </c>
      <c r="D3615" t="inlineStr">
        <is>
          <t>Jaipur</t>
        </is>
      </c>
      <c r="E3615" t="inlineStr">
        <is>
          <t>North</t>
        </is>
      </c>
      <c r="F3615" t="inlineStr">
        <is>
          <t>Paid Social</t>
        </is>
      </c>
      <c r="G3615" t="inlineStr">
        <is>
          <t>Desktop</t>
        </is>
      </c>
      <c r="H3615" t="inlineStr">
        <is>
          <t>Cash on Delivery</t>
        </is>
      </c>
      <c r="I3615" t="inlineStr">
        <is>
          <t>Delivered</t>
        </is>
      </c>
      <c r="J3615" t="n">
        <v>132</v>
      </c>
      <c r="K3615" t="n">
        <v>1</v>
      </c>
      <c r="L3615" t="n">
        <v>471</v>
      </c>
      <c r="M3615" t="n">
        <v>0</v>
      </c>
      <c r="N3615">
        <f>VLOOKUP(J3615,Products!$A$2:$C$49,3,FALSE)</f>
        <v/>
      </c>
      <c r="O3615">
        <f>K3615*L3615-M3615</f>
        <v/>
      </c>
      <c r="P3615">
        <f>TEXT(B3615,"yyyy-mm")</f>
        <v/>
      </c>
      <c r="Q3615">
        <f>IF(O3615&gt;=3000,"Large","Small")</f>
        <v/>
      </c>
      <c r="R3615">
        <f>INDEX(Products!$F$2:$F$49,MATCH(J3615,Products!$A$2:$A$49,0))</f>
        <v/>
      </c>
      <c r="S3615">
        <f>WEEKDAY(B3615,2)</f>
        <v/>
      </c>
    </row>
    <row r="3616">
      <c r="A3616" t="n">
        <v>511324</v>
      </c>
      <c r="B3616" s="6" t="n">
        <v>45999</v>
      </c>
      <c r="C3616" t="n">
        <v>17532</v>
      </c>
      <c r="D3616" t="inlineStr">
        <is>
          <t>Jaipur</t>
        </is>
      </c>
      <c r="E3616" t="inlineStr">
        <is>
          <t>North</t>
        </is>
      </c>
      <c r="F3616" t="inlineStr">
        <is>
          <t>Paid Social</t>
        </is>
      </c>
      <c r="G3616" t="inlineStr">
        <is>
          <t>Desktop</t>
        </is>
      </c>
      <c r="H3616" t="inlineStr">
        <is>
          <t>Cash on Delivery</t>
        </is>
      </c>
      <c r="I3616" t="inlineStr">
        <is>
          <t>Delivered</t>
        </is>
      </c>
      <c r="J3616" t="n">
        <v>136</v>
      </c>
      <c r="K3616" t="n">
        <v>1</v>
      </c>
      <c r="L3616" t="n">
        <v>944</v>
      </c>
      <c r="M3616" t="n">
        <v>0</v>
      </c>
      <c r="N3616">
        <f>VLOOKUP(J3616,Products!$A$2:$C$49,3,FALSE)</f>
        <v/>
      </c>
      <c r="O3616">
        <f>K3616*L3616-M3616</f>
        <v/>
      </c>
      <c r="P3616">
        <f>TEXT(B3616,"yyyy-mm")</f>
        <v/>
      </c>
      <c r="Q3616">
        <f>IF(O3616&gt;=3000,"Large","Small")</f>
        <v/>
      </c>
      <c r="R3616">
        <f>INDEX(Products!$F$2:$F$49,MATCH(J3616,Products!$A$2:$A$49,0))</f>
        <v/>
      </c>
      <c r="S3616">
        <f>WEEKDAY(B3616,2)</f>
        <v/>
      </c>
    </row>
    <row r="3617">
      <c r="A3617" t="n">
        <v>511325</v>
      </c>
      <c r="B3617" s="6" t="n">
        <v>45999</v>
      </c>
      <c r="C3617" t="n">
        <v>14204</v>
      </c>
      <c r="D3617" t="inlineStr">
        <is>
          <t>Pune</t>
        </is>
      </c>
      <c r="E3617" t="inlineStr">
        <is>
          <t>West</t>
        </is>
      </c>
      <c r="F3617" t="inlineStr">
        <is>
          <t>Email</t>
        </is>
      </c>
      <c r="G3617" t="inlineStr">
        <is>
          <t>Mobile Web</t>
        </is>
      </c>
      <c r="H3617" t="inlineStr">
        <is>
          <t>Credit Card</t>
        </is>
      </c>
      <c r="I3617" t="inlineStr">
        <is>
          <t>Delivered</t>
        </is>
      </c>
      <c r="J3617" t="n">
        <v>131</v>
      </c>
      <c r="K3617" t="n">
        <v>1</v>
      </c>
      <c r="L3617" t="n">
        <v>314</v>
      </c>
      <c r="M3617" t="n">
        <v>0</v>
      </c>
      <c r="N3617">
        <f>VLOOKUP(J3617,Products!$A$2:$C$49,3,FALSE)</f>
        <v/>
      </c>
      <c r="O3617">
        <f>K3617*L3617-M3617</f>
        <v/>
      </c>
      <c r="P3617">
        <f>TEXT(B3617,"yyyy-mm")</f>
        <v/>
      </c>
      <c r="Q3617">
        <f>IF(O3617&gt;=3000,"Large","Small")</f>
        <v/>
      </c>
      <c r="R3617">
        <f>INDEX(Products!$F$2:$F$49,MATCH(J3617,Products!$A$2:$A$49,0))</f>
        <v/>
      </c>
      <c r="S3617">
        <f>WEEKDAY(B3617,2)</f>
        <v/>
      </c>
    </row>
    <row r="3618">
      <c r="A3618" t="n">
        <v>511326</v>
      </c>
      <c r="B3618" s="6" t="n">
        <v>45999</v>
      </c>
      <c r="C3618" t="n">
        <v>17628</v>
      </c>
      <c r="D3618" t="inlineStr">
        <is>
          <t>Ahmedabad</t>
        </is>
      </c>
      <c r="E3618" t="inlineStr">
        <is>
          <t>West</t>
        </is>
      </c>
      <c r="F3618" t="inlineStr">
        <is>
          <t>Organic Search</t>
        </is>
      </c>
      <c r="G3618" t="inlineStr">
        <is>
          <t>Mobile Web</t>
        </is>
      </c>
      <c r="H3618" t="inlineStr">
        <is>
          <t>UPI</t>
        </is>
      </c>
      <c r="I3618" t="inlineStr">
        <is>
          <t>Delivered</t>
        </is>
      </c>
      <c r="J3618" t="n">
        <v>104</v>
      </c>
      <c r="K3618" t="n">
        <v>1</v>
      </c>
      <c r="L3618" t="n">
        <v>5249</v>
      </c>
      <c r="M3618" t="n">
        <v>0</v>
      </c>
      <c r="N3618">
        <f>VLOOKUP(J3618,Products!$A$2:$C$49,3,FALSE)</f>
        <v/>
      </c>
      <c r="O3618">
        <f>K3618*L3618-M3618</f>
        <v/>
      </c>
      <c r="P3618">
        <f>TEXT(B3618,"yyyy-mm")</f>
        <v/>
      </c>
      <c r="Q3618">
        <f>IF(O3618&gt;=3000,"Large","Small")</f>
        <v/>
      </c>
      <c r="R3618">
        <f>INDEX(Products!$F$2:$F$49,MATCH(J3618,Products!$A$2:$A$49,0))</f>
        <v/>
      </c>
      <c r="S3618">
        <f>WEEKDAY(B3618,2)</f>
        <v/>
      </c>
    </row>
    <row r="3619">
      <c r="A3619" t="n">
        <v>511327</v>
      </c>
      <c r="B3619" s="6" t="n">
        <v>45999</v>
      </c>
      <c r="C3619" t="n">
        <v>17533</v>
      </c>
      <c r="D3619" t="inlineStr">
        <is>
          <t>Mumbai</t>
        </is>
      </c>
      <c r="E3619" t="inlineStr">
        <is>
          <t>West</t>
        </is>
      </c>
      <c r="F3619" t="inlineStr">
        <is>
          <t>Paid Search</t>
        </is>
      </c>
      <c r="G3619" t="inlineStr">
        <is>
          <t>Mobile App</t>
        </is>
      </c>
      <c r="H3619" t="inlineStr">
        <is>
          <t>Credit Card</t>
        </is>
      </c>
      <c r="I3619" t="inlineStr">
        <is>
          <t>Returned</t>
        </is>
      </c>
      <c r="J3619" t="n">
        <v>111</v>
      </c>
      <c r="K3619" t="n">
        <v>1</v>
      </c>
      <c r="L3619" t="n">
        <v>524</v>
      </c>
      <c r="M3619" t="n">
        <v>78.59999999999999</v>
      </c>
      <c r="N3619">
        <f>VLOOKUP(J3619,Products!$A$2:$C$49,3,FALSE)</f>
        <v/>
      </c>
      <c r="O3619">
        <f>K3619*L3619-M3619</f>
        <v/>
      </c>
      <c r="P3619">
        <f>TEXT(B3619,"yyyy-mm")</f>
        <v/>
      </c>
      <c r="Q3619">
        <f>IF(O3619&gt;=3000,"Large","Small")</f>
        <v/>
      </c>
      <c r="R3619">
        <f>INDEX(Products!$F$2:$F$49,MATCH(J3619,Products!$A$2:$A$49,0))</f>
        <v/>
      </c>
      <c r="S3619">
        <f>WEEKDAY(B3619,2)</f>
        <v/>
      </c>
    </row>
    <row r="3620">
      <c r="A3620" t="n">
        <v>511327</v>
      </c>
      <c r="B3620" s="6" t="n">
        <v>45999</v>
      </c>
      <c r="C3620" t="n">
        <v>17533</v>
      </c>
      <c r="D3620" t="inlineStr">
        <is>
          <t>Mumbai</t>
        </is>
      </c>
      <c r="E3620" t="inlineStr">
        <is>
          <t>West</t>
        </is>
      </c>
      <c r="F3620" t="inlineStr">
        <is>
          <t>Paid Search</t>
        </is>
      </c>
      <c r="G3620" t="inlineStr">
        <is>
          <t>Mobile App</t>
        </is>
      </c>
      <c r="H3620" t="inlineStr">
        <is>
          <t>Credit Card</t>
        </is>
      </c>
      <c r="I3620" t="inlineStr">
        <is>
          <t>Returned</t>
        </is>
      </c>
      <c r="J3620" t="n">
        <v>126</v>
      </c>
      <c r="K3620" t="n">
        <v>3</v>
      </c>
      <c r="L3620" t="n">
        <v>471</v>
      </c>
      <c r="M3620" t="n">
        <v>211.95</v>
      </c>
      <c r="N3620">
        <f>VLOOKUP(J3620,Products!$A$2:$C$49,3,FALSE)</f>
        <v/>
      </c>
      <c r="O3620">
        <f>K3620*L3620-M3620</f>
        <v/>
      </c>
      <c r="P3620">
        <f>TEXT(B3620,"yyyy-mm")</f>
        <v/>
      </c>
      <c r="Q3620">
        <f>IF(O3620&gt;=3000,"Large","Small")</f>
        <v/>
      </c>
      <c r="R3620">
        <f>INDEX(Products!$F$2:$F$49,MATCH(J3620,Products!$A$2:$A$49,0))</f>
        <v/>
      </c>
      <c r="S3620">
        <f>WEEKDAY(B3620,2)</f>
        <v/>
      </c>
    </row>
    <row r="3621">
      <c r="A3621" t="n">
        <v>511327</v>
      </c>
      <c r="B3621" s="6" t="n">
        <v>45999</v>
      </c>
      <c r="C3621" t="n">
        <v>17533</v>
      </c>
      <c r="D3621" t="inlineStr">
        <is>
          <t>Mumbai</t>
        </is>
      </c>
      <c r="E3621" t="inlineStr">
        <is>
          <t>West</t>
        </is>
      </c>
      <c r="F3621" t="inlineStr">
        <is>
          <t>Paid Search</t>
        </is>
      </c>
      <c r="G3621" t="inlineStr">
        <is>
          <t>Mobile App</t>
        </is>
      </c>
      <c r="H3621" t="inlineStr">
        <is>
          <t>Credit Card</t>
        </is>
      </c>
      <c r="I3621" t="inlineStr">
        <is>
          <t>Returned</t>
        </is>
      </c>
      <c r="J3621" t="n">
        <v>108</v>
      </c>
      <c r="K3621" t="n">
        <v>2</v>
      </c>
      <c r="L3621" t="n">
        <v>419</v>
      </c>
      <c r="M3621" t="n">
        <v>125.7</v>
      </c>
      <c r="N3621">
        <f>VLOOKUP(J3621,Products!$A$2:$C$49,3,FALSE)</f>
        <v/>
      </c>
      <c r="O3621">
        <f>K3621*L3621-M3621</f>
        <v/>
      </c>
      <c r="P3621">
        <f>TEXT(B3621,"yyyy-mm")</f>
        <v/>
      </c>
      <c r="Q3621">
        <f>IF(O3621&gt;=3000,"Large","Small")</f>
        <v/>
      </c>
      <c r="R3621">
        <f>INDEX(Products!$F$2:$F$49,MATCH(J3621,Products!$A$2:$A$49,0))</f>
        <v/>
      </c>
      <c r="S3621">
        <f>WEEKDAY(B3621,2)</f>
        <v/>
      </c>
    </row>
    <row r="3622">
      <c r="A3622" t="n">
        <v>511328</v>
      </c>
      <c r="B3622" s="6" t="n">
        <v>45999</v>
      </c>
      <c r="C3622" t="n">
        <v>17524</v>
      </c>
      <c r="D3622" t="inlineStr">
        <is>
          <t>Delhi</t>
        </is>
      </c>
      <c r="E3622" t="inlineStr">
        <is>
          <t>North</t>
        </is>
      </c>
      <c r="F3622" t="inlineStr">
        <is>
          <t>Referral</t>
        </is>
      </c>
      <c r="G3622" t="inlineStr">
        <is>
          <t>Mobile App</t>
        </is>
      </c>
      <c r="H3622" t="inlineStr">
        <is>
          <t>Credit Card</t>
        </is>
      </c>
      <c r="I3622" t="inlineStr">
        <is>
          <t>Delivered</t>
        </is>
      </c>
      <c r="J3622" t="n">
        <v>113</v>
      </c>
      <c r="K3622" t="n">
        <v>1</v>
      </c>
      <c r="L3622" t="n">
        <v>1364</v>
      </c>
      <c r="M3622" t="n">
        <v>0</v>
      </c>
      <c r="N3622">
        <f>VLOOKUP(J3622,Products!$A$2:$C$49,3,FALSE)</f>
        <v/>
      </c>
      <c r="O3622">
        <f>K3622*L3622-M3622</f>
        <v/>
      </c>
      <c r="P3622">
        <f>TEXT(B3622,"yyyy-mm")</f>
        <v/>
      </c>
      <c r="Q3622">
        <f>IF(O3622&gt;=3000,"Large","Small")</f>
        <v/>
      </c>
      <c r="R3622">
        <f>INDEX(Products!$F$2:$F$49,MATCH(J3622,Products!$A$2:$A$49,0))</f>
        <v/>
      </c>
      <c r="S3622">
        <f>WEEKDAY(B3622,2)</f>
        <v/>
      </c>
    </row>
    <row r="3623">
      <c r="A3623" t="n">
        <v>511329</v>
      </c>
      <c r="B3623" s="6" t="n">
        <v>45999</v>
      </c>
      <c r="C3623" t="n">
        <v>11847</v>
      </c>
      <c r="D3623" t="inlineStr">
        <is>
          <t>Ahmedabad</t>
        </is>
      </c>
      <c r="E3623" t="inlineStr">
        <is>
          <t>West</t>
        </is>
      </c>
      <c r="F3623" t="inlineStr">
        <is>
          <t>Affiliate</t>
        </is>
      </c>
      <c r="G3623" t="inlineStr">
        <is>
          <t>Mobile App</t>
        </is>
      </c>
      <c r="H3623" t="inlineStr">
        <is>
          <t>UPI</t>
        </is>
      </c>
      <c r="I3623" t="inlineStr">
        <is>
          <t>Delivered</t>
        </is>
      </c>
      <c r="J3623" t="n">
        <v>108</v>
      </c>
      <c r="K3623" t="n">
        <v>3</v>
      </c>
      <c r="L3623" t="n">
        <v>419</v>
      </c>
      <c r="M3623" t="n">
        <v>0</v>
      </c>
      <c r="N3623">
        <f>VLOOKUP(J3623,Products!$A$2:$C$49,3,FALSE)</f>
        <v/>
      </c>
      <c r="O3623">
        <f>K3623*L3623-M3623</f>
        <v/>
      </c>
      <c r="P3623">
        <f>TEXT(B3623,"yyyy-mm")</f>
        <v/>
      </c>
      <c r="Q3623">
        <f>IF(O3623&gt;=3000,"Large","Small")</f>
        <v/>
      </c>
      <c r="R3623">
        <f>INDEX(Products!$F$2:$F$49,MATCH(J3623,Products!$A$2:$A$49,0))</f>
        <v/>
      </c>
      <c r="S3623">
        <f>WEEKDAY(B3623,2)</f>
        <v/>
      </c>
    </row>
    <row r="3624">
      <c r="A3624" t="n">
        <v>511329</v>
      </c>
      <c r="B3624" s="6" t="n">
        <v>45999</v>
      </c>
      <c r="C3624" t="n">
        <v>11847</v>
      </c>
      <c r="D3624" t="inlineStr">
        <is>
          <t>Ahmedabad</t>
        </is>
      </c>
      <c r="E3624" t="inlineStr">
        <is>
          <t>West</t>
        </is>
      </c>
      <c r="F3624" t="inlineStr">
        <is>
          <t>Affiliate</t>
        </is>
      </c>
      <c r="G3624" t="inlineStr">
        <is>
          <t>Mobile App</t>
        </is>
      </c>
      <c r="H3624" t="inlineStr">
        <is>
          <t>UPI</t>
        </is>
      </c>
      <c r="I3624" t="inlineStr">
        <is>
          <t>Delivered</t>
        </is>
      </c>
      <c r="J3624" t="n">
        <v>102</v>
      </c>
      <c r="K3624" t="n">
        <v>1</v>
      </c>
      <c r="L3624" t="n">
        <v>3674</v>
      </c>
      <c r="M3624" t="n">
        <v>0</v>
      </c>
      <c r="N3624">
        <f>VLOOKUP(J3624,Products!$A$2:$C$49,3,FALSE)</f>
        <v/>
      </c>
      <c r="O3624">
        <f>K3624*L3624-M3624</f>
        <v/>
      </c>
      <c r="P3624">
        <f>TEXT(B3624,"yyyy-mm")</f>
        <v/>
      </c>
      <c r="Q3624">
        <f>IF(O3624&gt;=3000,"Large","Small")</f>
        <v/>
      </c>
      <c r="R3624">
        <f>INDEX(Products!$F$2:$F$49,MATCH(J3624,Products!$A$2:$A$49,0))</f>
        <v/>
      </c>
      <c r="S3624">
        <f>WEEKDAY(B3624,2)</f>
        <v/>
      </c>
    </row>
    <row r="3625">
      <c r="A3625" t="n">
        <v>511330</v>
      </c>
      <c r="B3625" s="6" t="n">
        <v>45999</v>
      </c>
      <c r="C3625" t="n">
        <v>14300</v>
      </c>
      <c r="D3625" t="inlineStr">
        <is>
          <t>Mumbai</t>
        </is>
      </c>
      <c r="E3625" t="inlineStr">
        <is>
          <t>West</t>
        </is>
      </c>
      <c r="F3625" t="inlineStr">
        <is>
          <t>Organic Search</t>
        </is>
      </c>
      <c r="G3625" t="inlineStr">
        <is>
          <t>Mobile Web</t>
        </is>
      </c>
      <c r="H3625" t="inlineStr">
        <is>
          <t>Cash on Delivery</t>
        </is>
      </c>
      <c r="I3625" t="inlineStr">
        <is>
          <t>Delivered</t>
        </is>
      </c>
      <c r="J3625" t="n">
        <v>108</v>
      </c>
      <c r="K3625" t="n">
        <v>2</v>
      </c>
      <c r="L3625" t="n">
        <v>419</v>
      </c>
      <c r="M3625" t="n">
        <v>0</v>
      </c>
      <c r="N3625">
        <f>VLOOKUP(J3625,Products!$A$2:$C$49,3,FALSE)</f>
        <v/>
      </c>
      <c r="O3625">
        <f>K3625*L3625-M3625</f>
        <v/>
      </c>
      <c r="P3625">
        <f>TEXT(B3625,"yyyy-mm")</f>
        <v/>
      </c>
      <c r="Q3625">
        <f>IF(O3625&gt;=3000,"Large","Small")</f>
        <v/>
      </c>
      <c r="R3625">
        <f>INDEX(Products!$F$2:$F$49,MATCH(J3625,Products!$A$2:$A$49,0))</f>
        <v/>
      </c>
      <c r="S3625">
        <f>WEEKDAY(B3625,2)</f>
        <v/>
      </c>
    </row>
    <row r="3626">
      <c r="A3626" t="n">
        <v>511331</v>
      </c>
      <c r="B3626" s="6" t="n">
        <v>45999</v>
      </c>
      <c r="C3626" t="n">
        <v>16825</v>
      </c>
      <c r="D3626" t="inlineStr">
        <is>
          <t>Ahmedabad</t>
        </is>
      </c>
      <c r="E3626" t="inlineStr">
        <is>
          <t>West</t>
        </is>
      </c>
      <c r="F3626" t="inlineStr">
        <is>
          <t>Paid Social</t>
        </is>
      </c>
      <c r="G3626" t="inlineStr">
        <is>
          <t>Mobile App</t>
        </is>
      </c>
      <c r="H3626" t="inlineStr">
        <is>
          <t>UPI</t>
        </is>
      </c>
      <c r="I3626" t="inlineStr">
        <is>
          <t>Delivered</t>
        </is>
      </c>
      <c r="J3626" t="n">
        <v>119</v>
      </c>
      <c r="K3626" t="n">
        <v>1</v>
      </c>
      <c r="L3626" t="n">
        <v>2309</v>
      </c>
      <c r="M3626" t="n">
        <v>0</v>
      </c>
      <c r="N3626">
        <f>VLOOKUP(J3626,Products!$A$2:$C$49,3,FALSE)</f>
        <v/>
      </c>
      <c r="O3626">
        <f>K3626*L3626-M3626</f>
        <v/>
      </c>
      <c r="P3626">
        <f>TEXT(B3626,"yyyy-mm")</f>
        <v/>
      </c>
      <c r="Q3626">
        <f>IF(O3626&gt;=3000,"Large","Small")</f>
        <v/>
      </c>
      <c r="R3626">
        <f>INDEX(Products!$F$2:$F$49,MATCH(J3626,Products!$A$2:$A$49,0))</f>
        <v/>
      </c>
      <c r="S3626">
        <f>WEEKDAY(B3626,2)</f>
        <v/>
      </c>
    </row>
    <row r="3627">
      <c r="A3627" t="n">
        <v>511332</v>
      </c>
      <c r="B3627" s="6" t="n">
        <v>45999</v>
      </c>
      <c r="C3627" t="n">
        <v>17498</v>
      </c>
      <c r="D3627" t="inlineStr">
        <is>
          <t>Chennai</t>
        </is>
      </c>
      <c r="E3627" t="inlineStr">
        <is>
          <t>South</t>
        </is>
      </c>
      <c r="F3627" t="inlineStr">
        <is>
          <t>Organic Search</t>
        </is>
      </c>
      <c r="G3627" t="inlineStr">
        <is>
          <t>Mobile App</t>
        </is>
      </c>
      <c r="H3627" t="inlineStr">
        <is>
          <t>Cash on Delivery</t>
        </is>
      </c>
      <c r="I3627" t="inlineStr">
        <is>
          <t>Returned</t>
        </is>
      </c>
      <c r="J3627" t="n">
        <v>112</v>
      </c>
      <c r="K3627" t="n">
        <v>1</v>
      </c>
      <c r="L3627" t="n">
        <v>1574</v>
      </c>
      <c r="M3627" t="n">
        <v>236.1</v>
      </c>
      <c r="N3627">
        <f>VLOOKUP(J3627,Products!$A$2:$C$49,3,FALSE)</f>
        <v/>
      </c>
      <c r="O3627">
        <f>K3627*L3627-M3627</f>
        <v/>
      </c>
      <c r="P3627">
        <f>TEXT(B3627,"yyyy-mm")</f>
        <v/>
      </c>
      <c r="Q3627">
        <f>IF(O3627&gt;=3000,"Large","Small")</f>
        <v/>
      </c>
      <c r="R3627">
        <f>INDEX(Products!$F$2:$F$49,MATCH(J3627,Products!$A$2:$A$49,0))</f>
        <v/>
      </c>
      <c r="S3627">
        <f>WEEKDAY(B3627,2)</f>
        <v/>
      </c>
    </row>
    <row r="3628">
      <c r="A3628" t="n">
        <v>511333</v>
      </c>
      <c r="B3628" s="6" t="n">
        <v>45999</v>
      </c>
      <c r="C3628" t="n">
        <v>17656</v>
      </c>
      <c r="D3628" t="inlineStr">
        <is>
          <t>Chandigarh</t>
        </is>
      </c>
      <c r="E3628" t="inlineStr">
        <is>
          <t>North</t>
        </is>
      </c>
      <c r="F3628" t="inlineStr">
        <is>
          <t>Referral</t>
        </is>
      </c>
      <c r="G3628" t="inlineStr">
        <is>
          <t>Mobile App</t>
        </is>
      </c>
      <c r="H3628" t="inlineStr">
        <is>
          <t>Debit Card</t>
        </is>
      </c>
      <c r="I3628" t="inlineStr">
        <is>
          <t>Delivered</t>
        </is>
      </c>
      <c r="J3628" t="n">
        <v>122</v>
      </c>
      <c r="K3628" t="n">
        <v>1</v>
      </c>
      <c r="L3628" t="n">
        <v>1994</v>
      </c>
      <c r="M3628" t="n">
        <v>299.1</v>
      </c>
      <c r="N3628">
        <f>VLOOKUP(J3628,Products!$A$2:$C$49,3,FALSE)</f>
        <v/>
      </c>
      <c r="O3628">
        <f>K3628*L3628-M3628</f>
        <v/>
      </c>
      <c r="P3628">
        <f>TEXT(B3628,"yyyy-mm")</f>
        <v/>
      </c>
      <c r="Q3628">
        <f>IF(O3628&gt;=3000,"Large","Small")</f>
        <v/>
      </c>
      <c r="R3628">
        <f>INDEX(Products!$F$2:$F$49,MATCH(J3628,Products!$A$2:$A$49,0))</f>
        <v/>
      </c>
      <c r="S3628">
        <f>WEEKDAY(B3628,2)</f>
        <v/>
      </c>
    </row>
    <row r="3629">
      <c r="A3629" t="n">
        <v>511333</v>
      </c>
      <c r="B3629" s="6" t="n">
        <v>45999</v>
      </c>
      <c r="C3629" t="n">
        <v>17656</v>
      </c>
      <c r="D3629" t="inlineStr">
        <is>
          <t>Chandigarh</t>
        </is>
      </c>
      <c r="E3629" t="inlineStr">
        <is>
          <t>North</t>
        </is>
      </c>
      <c r="F3629" t="inlineStr">
        <is>
          <t>Referral</t>
        </is>
      </c>
      <c r="G3629" t="inlineStr">
        <is>
          <t>Mobile App</t>
        </is>
      </c>
      <c r="H3629" t="inlineStr">
        <is>
          <t>Debit Card</t>
        </is>
      </c>
      <c r="I3629" t="inlineStr">
        <is>
          <t>Delivered</t>
        </is>
      </c>
      <c r="J3629" t="n">
        <v>129</v>
      </c>
      <c r="K3629" t="n">
        <v>1</v>
      </c>
      <c r="L3629" t="n">
        <v>576</v>
      </c>
      <c r="M3629" t="n">
        <v>86.40000000000001</v>
      </c>
      <c r="N3629">
        <f>VLOOKUP(J3629,Products!$A$2:$C$49,3,FALSE)</f>
        <v/>
      </c>
      <c r="O3629">
        <f>K3629*L3629-M3629</f>
        <v/>
      </c>
      <c r="P3629">
        <f>TEXT(B3629,"yyyy-mm")</f>
        <v/>
      </c>
      <c r="Q3629">
        <f>IF(O3629&gt;=3000,"Large","Small")</f>
        <v/>
      </c>
      <c r="R3629">
        <f>INDEX(Products!$F$2:$F$49,MATCH(J3629,Products!$A$2:$A$49,0))</f>
        <v/>
      </c>
      <c r="S3629">
        <f>WEEKDAY(B3629,2)</f>
        <v/>
      </c>
    </row>
    <row r="3630">
      <c r="A3630" t="n">
        <v>511334</v>
      </c>
      <c r="B3630" s="6" t="n">
        <v>45999</v>
      </c>
      <c r="C3630" t="n">
        <v>17669</v>
      </c>
      <c r="D3630" t="inlineStr">
        <is>
          <t>Pune</t>
        </is>
      </c>
      <c r="E3630" t="inlineStr">
        <is>
          <t>West</t>
        </is>
      </c>
      <c r="F3630" t="inlineStr">
        <is>
          <t>Affiliate</t>
        </is>
      </c>
      <c r="G3630" t="inlineStr">
        <is>
          <t>Mobile Web</t>
        </is>
      </c>
      <c r="H3630" t="inlineStr">
        <is>
          <t>UPI</t>
        </is>
      </c>
      <c r="I3630" t="inlineStr">
        <is>
          <t>Delivered</t>
        </is>
      </c>
      <c r="J3630" t="n">
        <v>111</v>
      </c>
      <c r="K3630" t="n">
        <v>1</v>
      </c>
      <c r="L3630" t="n">
        <v>524</v>
      </c>
      <c r="M3630" t="n">
        <v>0</v>
      </c>
      <c r="N3630">
        <f>VLOOKUP(J3630,Products!$A$2:$C$49,3,FALSE)</f>
        <v/>
      </c>
      <c r="O3630">
        <f>K3630*L3630-M3630</f>
        <v/>
      </c>
      <c r="P3630">
        <f>TEXT(B3630,"yyyy-mm")</f>
        <v/>
      </c>
      <c r="Q3630">
        <f>IF(O3630&gt;=3000,"Large","Small")</f>
        <v/>
      </c>
      <c r="R3630">
        <f>INDEX(Products!$F$2:$F$49,MATCH(J3630,Products!$A$2:$A$49,0))</f>
        <v/>
      </c>
      <c r="S3630">
        <f>WEEKDAY(B3630,2)</f>
        <v/>
      </c>
    </row>
    <row r="3631">
      <c r="A3631" t="n">
        <v>511335</v>
      </c>
      <c r="B3631" s="6" t="n">
        <v>45999</v>
      </c>
      <c r="C3631" t="n">
        <v>17606</v>
      </c>
      <c r="D3631" t="inlineStr">
        <is>
          <t>Bengaluru</t>
        </is>
      </c>
      <c r="E3631" t="inlineStr">
        <is>
          <t>South</t>
        </is>
      </c>
      <c r="F3631" t="inlineStr">
        <is>
          <t>Email</t>
        </is>
      </c>
      <c r="G3631" t="inlineStr">
        <is>
          <t>Desktop</t>
        </is>
      </c>
      <c r="H3631" t="inlineStr">
        <is>
          <t>Debit Card</t>
        </is>
      </c>
      <c r="I3631" t="inlineStr">
        <is>
          <t>Delivered</t>
        </is>
      </c>
      <c r="J3631" t="n">
        <v>141</v>
      </c>
      <c r="K3631" t="n">
        <v>1</v>
      </c>
      <c r="L3631" t="n">
        <v>261</v>
      </c>
      <c r="M3631" t="n">
        <v>0</v>
      </c>
      <c r="N3631">
        <f>VLOOKUP(J3631,Products!$A$2:$C$49,3,FALSE)</f>
        <v/>
      </c>
      <c r="O3631">
        <f>K3631*L3631-M3631</f>
        <v/>
      </c>
      <c r="P3631">
        <f>TEXT(B3631,"yyyy-mm")</f>
        <v/>
      </c>
      <c r="Q3631">
        <f>IF(O3631&gt;=3000,"Large","Small")</f>
        <v/>
      </c>
      <c r="R3631">
        <f>INDEX(Products!$F$2:$F$49,MATCH(J3631,Products!$A$2:$A$49,0))</f>
        <v/>
      </c>
      <c r="S3631">
        <f>WEEKDAY(B3631,2)</f>
        <v/>
      </c>
    </row>
    <row r="3632">
      <c r="A3632" t="n">
        <v>511335</v>
      </c>
      <c r="B3632" s="6" t="n">
        <v>45999</v>
      </c>
      <c r="C3632" t="n">
        <v>17606</v>
      </c>
      <c r="D3632" t="inlineStr">
        <is>
          <t>Bengaluru</t>
        </is>
      </c>
      <c r="E3632" t="inlineStr">
        <is>
          <t>South</t>
        </is>
      </c>
      <c r="F3632" t="inlineStr">
        <is>
          <t>Email</t>
        </is>
      </c>
      <c r="G3632" t="inlineStr">
        <is>
          <t>Desktop</t>
        </is>
      </c>
      <c r="H3632" t="inlineStr">
        <is>
          <t>Debit Card</t>
        </is>
      </c>
      <c r="I3632" t="inlineStr">
        <is>
          <t>Delivered</t>
        </is>
      </c>
      <c r="J3632" t="n">
        <v>110</v>
      </c>
      <c r="K3632" t="n">
        <v>1</v>
      </c>
      <c r="L3632" t="n">
        <v>839</v>
      </c>
      <c r="M3632" t="n">
        <v>0</v>
      </c>
      <c r="N3632">
        <f>VLOOKUP(J3632,Products!$A$2:$C$49,3,FALSE)</f>
        <v/>
      </c>
      <c r="O3632">
        <f>K3632*L3632-M3632</f>
        <v/>
      </c>
      <c r="P3632">
        <f>TEXT(B3632,"yyyy-mm")</f>
        <v/>
      </c>
      <c r="Q3632">
        <f>IF(O3632&gt;=3000,"Large","Small")</f>
        <v/>
      </c>
      <c r="R3632">
        <f>INDEX(Products!$F$2:$F$49,MATCH(J3632,Products!$A$2:$A$49,0))</f>
        <v/>
      </c>
      <c r="S3632">
        <f>WEEKDAY(B3632,2)</f>
        <v/>
      </c>
    </row>
    <row r="3633">
      <c r="A3633" t="n">
        <v>511336</v>
      </c>
      <c r="B3633" s="6" t="n">
        <v>46000</v>
      </c>
      <c r="C3633" t="n">
        <v>14205</v>
      </c>
      <c r="D3633" t="inlineStr">
        <is>
          <t>Pune</t>
        </is>
      </c>
      <c r="E3633" t="inlineStr">
        <is>
          <t>West</t>
        </is>
      </c>
      <c r="F3633" t="inlineStr">
        <is>
          <t>Affiliate</t>
        </is>
      </c>
      <c r="G3633" t="inlineStr">
        <is>
          <t>Mobile App</t>
        </is>
      </c>
      <c r="H3633" t="inlineStr">
        <is>
          <t>Cash on Delivery</t>
        </is>
      </c>
      <c r="I3633" t="inlineStr">
        <is>
          <t>Returned</t>
        </is>
      </c>
      <c r="J3633" t="n">
        <v>118</v>
      </c>
      <c r="K3633" t="n">
        <v>1</v>
      </c>
      <c r="L3633" t="n">
        <v>944</v>
      </c>
      <c r="M3633" t="n">
        <v>0</v>
      </c>
      <c r="N3633">
        <f>VLOOKUP(J3633,Products!$A$2:$C$49,3,FALSE)</f>
        <v/>
      </c>
      <c r="O3633">
        <f>K3633*L3633-M3633</f>
        <v/>
      </c>
      <c r="P3633">
        <f>TEXT(B3633,"yyyy-mm")</f>
        <v/>
      </c>
      <c r="Q3633">
        <f>IF(O3633&gt;=3000,"Large","Small")</f>
        <v/>
      </c>
      <c r="R3633">
        <f>INDEX(Products!$F$2:$F$49,MATCH(J3633,Products!$A$2:$A$49,0))</f>
        <v/>
      </c>
      <c r="S3633">
        <f>WEEKDAY(B3633,2)</f>
        <v/>
      </c>
    </row>
    <row r="3634">
      <c r="A3634" t="n">
        <v>511337</v>
      </c>
      <c r="B3634" s="6" t="n">
        <v>46000</v>
      </c>
      <c r="C3634" t="n">
        <v>17670</v>
      </c>
      <c r="D3634" t="inlineStr">
        <is>
          <t>Pune</t>
        </is>
      </c>
      <c r="E3634" t="inlineStr">
        <is>
          <t>West</t>
        </is>
      </c>
      <c r="F3634" t="inlineStr">
        <is>
          <t>Paid Search</t>
        </is>
      </c>
      <c r="G3634" t="inlineStr">
        <is>
          <t>Mobile Web</t>
        </is>
      </c>
      <c r="H3634" t="inlineStr">
        <is>
          <t>Debit Card</t>
        </is>
      </c>
      <c r="I3634" t="inlineStr">
        <is>
          <t>Delivered</t>
        </is>
      </c>
      <c r="J3634" t="n">
        <v>131</v>
      </c>
      <c r="K3634" t="n">
        <v>1</v>
      </c>
      <c r="L3634" t="n">
        <v>314</v>
      </c>
      <c r="M3634" t="n">
        <v>0</v>
      </c>
      <c r="N3634">
        <f>VLOOKUP(J3634,Products!$A$2:$C$49,3,FALSE)</f>
        <v/>
      </c>
      <c r="O3634">
        <f>K3634*L3634-M3634</f>
        <v/>
      </c>
      <c r="P3634">
        <f>TEXT(B3634,"yyyy-mm")</f>
        <v/>
      </c>
      <c r="Q3634">
        <f>IF(O3634&gt;=3000,"Large","Small")</f>
        <v/>
      </c>
      <c r="R3634">
        <f>INDEX(Products!$F$2:$F$49,MATCH(J3634,Products!$A$2:$A$49,0))</f>
        <v/>
      </c>
      <c r="S3634">
        <f>WEEKDAY(B3634,2)</f>
        <v/>
      </c>
    </row>
    <row r="3635">
      <c r="A3635" t="n">
        <v>511338</v>
      </c>
      <c r="B3635" s="6" t="n">
        <v>46000</v>
      </c>
      <c r="C3635" t="n">
        <v>17685</v>
      </c>
      <c r="D3635" t="inlineStr">
        <is>
          <t>Kochi</t>
        </is>
      </c>
      <c r="E3635" t="inlineStr">
        <is>
          <t>South</t>
        </is>
      </c>
      <c r="F3635" t="inlineStr">
        <is>
          <t>Paid Search</t>
        </is>
      </c>
      <c r="G3635" t="inlineStr">
        <is>
          <t>Mobile App</t>
        </is>
      </c>
      <c r="H3635" t="inlineStr">
        <is>
          <t>UPI</t>
        </is>
      </c>
      <c r="I3635" t="inlineStr">
        <is>
          <t>Returned</t>
        </is>
      </c>
      <c r="J3635" t="n">
        <v>112</v>
      </c>
      <c r="K3635" t="n">
        <v>2</v>
      </c>
      <c r="L3635" t="n">
        <v>1574</v>
      </c>
      <c r="M3635" t="n">
        <v>472.2</v>
      </c>
      <c r="N3635">
        <f>VLOOKUP(J3635,Products!$A$2:$C$49,3,FALSE)</f>
        <v/>
      </c>
      <c r="O3635">
        <f>K3635*L3635-M3635</f>
        <v/>
      </c>
      <c r="P3635">
        <f>TEXT(B3635,"yyyy-mm")</f>
        <v/>
      </c>
      <c r="Q3635">
        <f>IF(O3635&gt;=3000,"Large","Small")</f>
        <v/>
      </c>
      <c r="R3635">
        <f>INDEX(Products!$F$2:$F$49,MATCH(J3635,Products!$A$2:$A$49,0))</f>
        <v/>
      </c>
      <c r="S3635">
        <f>WEEKDAY(B3635,2)</f>
        <v/>
      </c>
    </row>
    <row r="3636">
      <c r="A3636" t="n">
        <v>511339</v>
      </c>
      <c r="B3636" s="6" t="n">
        <v>46000</v>
      </c>
      <c r="C3636" t="n">
        <v>17585</v>
      </c>
      <c r="D3636" t="inlineStr">
        <is>
          <t>Gurugram</t>
        </is>
      </c>
      <c r="E3636" t="inlineStr">
        <is>
          <t>North</t>
        </is>
      </c>
      <c r="F3636" t="inlineStr">
        <is>
          <t>Organic Search</t>
        </is>
      </c>
      <c r="G3636" t="inlineStr">
        <is>
          <t>Desktop</t>
        </is>
      </c>
      <c r="H3636" t="inlineStr">
        <is>
          <t>UPI</t>
        </is>
      </c>
      <c r="I3636" t="inlineStr">
        <is>
          <t>Delivered</t>
        </is>
      </c>
      <c r="J3636" t="n">
        <v>137</v>
      </c>
      <c r="K3636" t="n">
        <v>1</v>
      </c>
      <c r="L3636" t="n">
        <v>261</v>
      </c>
      <c r="M3636" t="n">
        <v>0</v>
      </c>
      <c r="N3636">
        <f>VLOOKUP(J3636,Products!$A$2:$C$49,3,FALSE)</f>
        <v/>
      </c>
      <c r="O3636">
        <f>K3636*L3636-M3636</f>
        <v/>
      </c>
      <c r="P3636">
        <f>TEXT(B3636,"yyyy-mm")</f>
        <v/>
      </c>
      <c r="Q3636">
        <f>IF(O3636&gt;=3000,"Large","Small")</f>
        <v/>
      </c>
      <c r="R3636">
        <f>INDEX(Products!$F$2:$F$49,MATCH(J3636,Products!$A$2:$A$49,0))</f>
        <v/>
      </c>
      <c r="S3636">
        <f>WEEKDAY(B3636,2)</f>
        <v/>
      </c>
    </row>
    <row r="3637">
      <c r="A3637" t="n">
        <v>511339</v>
      </c>
      <c r="B3637" s="6" t="n">
        <v>46000</v>
      </c>
      <c r="C3637" t="n">
        <v>17585</v>
      </c>
      <c r="D3637" t="inlineStr">
        <is>
          <t>Gurugram</t>
        </is>
      </c>
      <c r="E3637" t="inlineStr">
        <is>
          <t>North</t>
        </is>
      </c>
      <c r="F3637" t="inlineStr">
        <is>
          <t>Organic Search</t>
        </is>
      </c>
      <c r="G3637" t="inlineStr">
        <is>
          <t>Desktop</t>
        </is>
      </c>
      <c r="H3637" t="inlineStr">
        <is>
          <t>UPI</t>
        </is>
      </c>
      <c r="I3637" t="inlineStr">
        <is>
          <t>Delivered</t>
        </is>
      </c>
      <c r="J3637" t="n">
        <v>102</v>
      </c>
      <c r="K3637" t="n">
        <v>1</v>
      </c>
      <c r="L3637" t="n">
        <v>3674</v>
      </c>
      <c r="M3637" t="n">
        <v>0</v>
      </c>
      <c r="N3637">
        <f>VLOOKUP(J3637,Products!$A$2:$C$49,3,FALSE)</f>
        <v/>
      </c>
      <c r="O3637">
        <f>K3637*L3637-M3637</f>
        <v/>
      </c>
      <c r="P3637">
        <f>TEXT(B3637,"yyyy-mm")</f>
        <v/>
      </c>
      <c r="Q3637">
        <f>IF(O3637&gt;=3000,"Large","Small")</f>
        <v/>
      </c>
      <c r="R3637">
        <f>INDEX(Products!$F$2:$F$49,MATCH(J3637,Products!$A$2:$A$49,0))</f>
        <v/>
      </c>
      <c r="S3637">
        <f>WEEKDAY(B3637,2)</f>
        <v/>
      </c>
    </row>
    <row r="3638">
      <c r="A3638" t="n">
        <v>511340</v>
      </c>
      <c r="B3638" s="6" t="n">
        <v>46000</v>
      </c>
      <c r="C3638" t="n">
        <v>17201</v>
      </c>
      <c r="D3638" t="inlineStr">
        <is>
          <t>Mumbai</t>
        </is>
      </c>
      <c r="E3638" t="inlineStr">
        <is>
          <t>West</t>
        </is>
      </c>
      <c r="F3638" t="inlineStr">
        <is>
          <t>Paid Social</t>
        </is>
      </c>
      <c r="G3638" t="inlineStr">
        <is>
          <t>Mobile App</t>
        </is>
      </c>
      <c r="H3638" t="inlineStr">
        <is>
          <t>Cash on Delivery</t>
        </is>
      </c>
      <c r="I3638" t="inlineStr">
        <is>
          <t>Delivered</t>
        </is>
      </c>
      <c r="J3638" t="n">
        <v>135</v>
      </c>
      <c r="K3638" t="n">
        <v>1</v>
      </c>
      <c r="L3638" t="n">
        <v>1574</v>
      </c>
      <c r="M3638" t="n">
        <v>78.7</v>
      </c>
      <c r="N3638">
        <f>VLOOKUP(J3638,Products!$A$2:$C$49,3,FALSE)</f>
        <v/>
      </c>
      <c r="O3638">
        <f>K3638*L3638-M3638</f>
        <v/>
      </c>
      <c r="P3638">
        <f>TEXT(B3638,"yyyy-mm")</f>
        <v/>
      </c>
      <c r="Q3638">
        <f>IF(O3638&gt;=3000,"Large","Small")</f>
        <v/>
      </c>
      <c r="R3638">
        <f>INDEX(Products!$F$2:$F$49,MATCH(J3638,Products!$A$2:$A$49,0))</f>
        <v/>
      </c>
      <c r="S3638">
        <f>WEEKDAY(B3638,2)</f>
        <v/>
      </c>
    </row>
    <row r="3639">
      <c r="A3639" t="n">
        <v>511341</v>
      </c>
      <c r="B3639" s="6" t="n">
        <v>46000</v>
      </c>
      <c r="C3639" t="n">
        <v>14189</v>
      </c>
      <c r="D3639" t="inlineStr">
        <is>
          <t>Pune</t>
        </is>
      </c>
      <c r="E3639" t="inlineStr">
        <is>
          <t>West</t>
        </is>
      </c>
      <c r="F3639" t="inlineStr">
        <is>
          <t>Referral</t>
        </is>
      </c>
      <c r="G3639" t="inlineStr">
        <is>
          <t>Desktop</t>
        </is>
      </c>
      <c r="H3639" t="inlineStr">
        <is>
          <t>Credit Card</t>
        </is>
      </c>
      <c r="I3639" t="inlineStr">
        <is>
          <t>Returned</t>
        </is>
      </c>
      <c r="J3639" t="n">
        <v>113</v>
      </c>
      <c r="K3639" t="n">
        <v>2</v>
      </c>
      <c r="L3639" t="n">
        <v>1364</v>
      </c>
      <c r="M3639" t="n">
        <v>136.4</v>
      </c>
      <c r="N3639">
        <f>VLOOKUP(J3639,Products!$A$2:$C$49,3,FALSE)</f>
        <v/>
      </c>
      <c r="O3639">
        <f>K3639*L3639-M3639</f>
        <v/>
      </c>
      <c r="P3639">
        <f>TEXT(B3639,"yyyy-mm")</f>
        <v/>
      </c>
      <c r="Q3639">
        <f>IF(O3639&gt;=3000,"Large","Small")</f>
        <v/>
      </c>
      <c r="R3639">
        <f>INDEX(Products!$F$2:$F$49,MATCH(J3639,Products!$A$2:$A$49,0))</f>
        <v/>
      </c>
      <c r="S3639">
        <f>WEEKDAY(B3639,2)</f>
        <v/>
      </c>
    </row>
    <row r="3640">
      <c r="A3640" t="n">
        <v>511342</v>
      </c>
      <c r="B3640" s="6" t="n">
        <v>46000</v>
      </c>
      <c r="C3640" t="n">
        <v>17627</v>
      </c>
      <c r="D3640" t="inlineStr">
        <is>
          <t>Hyderabad</t>
        </is>
      </c>
      <c r="E3640" t="inlineStr">
        <is>
          <t>South</t>
        </is>
      </c>
      <c r="F3640" t="inlineStr">
        <is>
          <t>Paid Social</t>
        </is>
      </c>
      <c r="G3640" t="inlineStr">
        <is>
          <t>Mobile Web</t>
        </is>
      </c>
      <c r="H3640" t="inlineStr">
        <is>
          <t>Credit Card</t>
        </is>
      </c>
      <c r="I3640" t="inlineStr">
        <is>
          <t>Delivered</t>
        </is>
      </c>
      <c r="J3640" t="n">
        <v>112</v>
      </c>
      <c r="K3640" t="n">
        <v>2</v>
      </c>
      <c r="L3640" t="n">
        <v>1574</v>
      </c>
      <c r="M3640" t="n">
        <v>472.2</v>
      </c>
      <c r="N3640">
        <f>VLOOKUP(J3640,Products!$A$2:$C$49,3,FALSE)</f>
        <v/>
      </c>
      <c r="O3640">
        <f>K3640*L3640-M3640</f>
        <v/>
      </c>
      <c r="P3640">
        <f>TEXT(B3640,"yyyy-mm")</f>
        <v/>
      </c>
      <c r="Q3640">
        <f>IF(O3640&gt;=3000,"Large","Small")</f>
        <v/>
      </c>
      <c r="R3640">
        <f>INDEX(Products!$F$2:$F$49,MATCH(J3640,Products!$A$2:$A$49,0))</f>
        <v/>
      </c>
      <c r="S3640">
        <f>WEEKDAY(B3640,2)</f>
        <v/>
      </c>
    </row>
    <row r="3641">
      <c r="A3641" t="n">
        <v>511343</v>
      </c>
      <c r="B3641" s="6" t="n">
        <v>46000</v>
      </c>
      <c r="C3641" t="n">
        <v>14915</v>
      </c>
      <c r="D3641" t="inlineStr">
        <is>
          <t>Kochi</t>
        </is>
      </c>
      <c r="E3641" t="inlineStr">
        <is>
          <t>South</t>
        </is>
      </c>
      <c r="F3641" t="inlineStr">
        <is>
          <t>Referral</t>
        </is>
      </c>
      <c r="G3641" t="inlineStr">
        <is>
          <t>Mobile App</t>
        </is>
      </c>
      <c r="H3641" t="inlineStr">
        <is>
          <t>Cash on Delivery</t>
        </is>
      </c>
      <c r="I3641" t="inlineStr">
        <is>
          <t>Delivered</t>
        </is>
      </c>
      <c r="J3641" t="n">
        <v>144</v>
      </c>
      <c r="K3641" t="n">
        <v>1</v>
      </c>
      <c r="L3641" t="n">
        <v>3149</v>
      </c>
      <c r="M3641" t="n">
        <v>0</v>
      </c>
      <c r="N3641">
        <f>VLOOKUP(J3641,Products!$A$2:$C$49,3,FALSE)</f>
        <v/>
      </c>
      <c r="O3641">
        <f>K3641*L3641-M3641</f>
        <v/>
      </c>
      <c r="P3641">
        <f>TEXT(B3641,"yyyy-mm")</f>
        <v/>
      </c>
      <c r="Q3641">
        <f>IF(O3641&gt;=3000,"Large","Small")</f>
        <v/>
      </c>
      <c r="R3641">
        <f>INDEX(Products!$F$2:$F$49,MATCH(J3641,Products!$A$2:$A$49,0))</f>
        <v/>
      </c>
      <c r="S3641">
        <f>WEEKDAY(B3641,2)</f>
        <v/>
      </c>
    </row>
    <row r="3642">
      <c r="A3642" t="n">
        <v>511344</v>
      </c>
      <c r="B3642" s="6" t="n">
        <v>46000</v>
      </c>
      <c r="C3642" t="n">
        <v>17557</v>
      </c>
      <c r="D3642" t="inlineStr">
        <is>
          <t>Hyderabad</t>
        </is>
      </c>
      <c r="E3642" t="inlineStr">
        <is>
          <t>South</t>
        </is>
      </c>
      <c r="F3642" t="inlineStr">
        <is>
          <t>Organic Search</t>
        </is>
      </c>
      <c r="G3642" t="inlineStr">
        <is>
          <t>Mobile Web</t>
        </is>
      </c>
      <c r="H3642" t="inlineStr">
        <is>
          <t>Cash on Delivery</t>
        </is>
      </c>
      <c r="I3642" t="inlineStr">
        <is>
          <t>Delivered</t>
        </is>
      </c>
      <c r="J3642" t="n">
        <v>132</v>
      </c>
      <c r="K3642" t="n">
        <v>1</v>
      </c>
      <c r="L3642" t="n">
        <v>471</v>
      </c>
      <c r="M3642" t="n">
        <v>0</v>
      </c>
      <c r="N3642">
        <f>VLOOKUP(J3642,Products!$A$2:$C$49,3,FALSE)</f>
        <v/>
      </c>
      <c r="O3642">
        <f>K3642*L3642-M3642</f>
        <v/>
      </c>
      <c r="P3642">
        <f>TEXT(B3642,"yyyy-mm")</f>
        <v/>
      </c>
      <c r="Q3642">
        <f>IF(O3642&gt;=3000,"Large","Small")</f>
        <v/>
      </c>
      <c r="R3642">
        <f>INDEX(Products!$F$2:$F$49,MATCH(J3642,Products!$A$2:$A$49,0))</f>
        <v/>
      </c>
      <c r="S3642">
        <f>WEEKDAY(B3642,2)</f>
        <v/>
      </c>
    </row>
    <row r="3643">
      <c r="A3643" t="n">
        <v>511345</v>
      </c>
      <c r="B3643" s="6" t="n">
        <v>46000</v>
      </c>
      <c r="C3643" t="n">
        <v>16005</v>
      </c>
      <c r="D3643" t="inlineStr">
        <is>
          <t>Mumbai</t>
        </is>
      </c>
      <c r="E3643" t="inlineStr">
        <is>
          <t>West</t>
        </is>
      </c>
      <c r="F3643" t="inlineStr">
        <is>
          <t>Paid Search</t>
        </is>
      </c>
      <c r="G3643" t="inlineStr">
        <is>
          <t>Mobile Web</t>
        </is>
      </c>
      <c r="H3643" t="inlineStr">
        <is>
          <t>UPI</t>
        </is>
      </c>
      <c r="I3643" t="inlineStr">
        <is>
          <t>Delivered</t>
        </is>
      </c>
      <c r="J3643" t="n">
        <v>145</v>
      </c>
      <c r="K3643" t="n">
        <v>2</v>
      </c>
      <c r="L3643" t="n">
        <v>629</v>
      </c>
      <c r="M3643" t="n">
        <v>0</v>
      </c>
      <c r="N3643">
        <f>VLOOKUP(J3643,Products!$A$2:$C$49,3,FALSE)</f>
        <v/>
      </c>
      <c r="O3643">
        <f>K3643*L3643-M3643</f>
        <v/>
      </c>
      <c r="P3643">
        <f>TEXT(B3643,"yyyy-mm")</f>
        <v/>
      </c>
      <c r="Q3643">
        <f>IF(O3643&gt;=3000,"Large","Small")</f>
        <v/>
      </c>
      <c r="R3643">
        <f>INDEX(Products!$F$2:$F$49,MATCH(J3643,Products!$A$2:$A$49,0))</f>
        <v/>
      </c>
      <c r="S3643">
        <f>WEEKDAY(B3643,2)</f>
        <v/>
      </c>
    </row>
    <row r="3644">
      <c r="A3644" t="n">
        <v>511346</v>
      </c>
      <c r="B3644" s="6" t="n">
        <v>46000</v>
      </c>
      <c r="C3644" t="n">
        <v>15369</v>
      </c>
      <c r="D3644" t="inlineStr">
        <is>
          <t>Ahmedabad</t>
        </is>
      </c>
      <c r="E3644" t="inlineStr">
        <is>
          <t>West</t>
        </is>
      </c>
      <c r="F3644" t="inlineStr">
        <is>
          <t>Organic Search</t>
        </is>
      </c>
      <c r="G3644" t="inlineStr">
        <is>
          <t>Mobile Web</t>
        </is>
      </c>
      <c r="H3644" t="inlineStr">
        <is>
          <t>UPI</t>
        </is>
      </c>
      <c r="I3644" t="inlineStr">
        <is>
          <t>Delivered</t>
        </is>
      </c>
      <c r="J3644" t="n">
        <v>114</v>
      </c>
      <c r="K3644" t="n">
        <v>1</v>
      </c>
      <c r="L3644" t="n">
        <v>1259</v>
      </c>
      <c r="M3644" t="n">
        <v>0</v>
      </c>
      <c r="N3644">
        <f>VLOOKUP(J3644,Products!$A$2:$C$49,3,FALSE)</f>
        <v/>
      </c>
      <c r="O3644">
        <f>K3644*L3644-M3644</f>
        <v/>
      </c>
      <c r="P3644">
        <f>TEXT(B3644,"yyyy-mm")</f>
        <v/>
      </c>
      <c r="Q3644">
        <f>IF(O3644&gt;=3000,"Large","Small")</f>
        <v/>
      </c>
      <c r="R3644">
        <f>INDEX(Products!$F$2:$F$49,MATCH(J3644,Products!$A$2:$A$49,0))</f>
        <v/>
      </c>
      <c r="S3644">
        <f>WEEKDAY(B3644,2)</f>
        <v/>
      </c>
    </row>
    <row r="3645">
      <c r="A3645" t="n">
        <v>511347</v>
      </c>
      <c r="B3645" s="6" t="n">
        <v>46000</v>
      </c>
      <c r="C3645" t="n">
        <v>17642</v>
      </c>
      <c r="D3645" t="inlineStr">
        <is>
          <t>Jaipur</t>
        </is>
      </c>
      <c r="E3645" t="inlineStr">
        <is>
          <t>North</t>
        </is>
      </c>
      <c r="F3645" t="inlineStr">
        <is>
          <t>Email</t>
        </is>
      </c>
      <c r="G3645" t="inlineStr">
        <is>
          <t>Mobile App</t>
        </is>
      </c>
      <c r="H3645" t="inlineStr">
        <is>
          <t>Cash on Delivery</t>
        </is>
      </c>
      <c r="I3645" t="inlineStr">
        <is>
          <t>Cancelled</t>
        </is>
      </c>
      <c r="J3645" t="n">
        <v>128</v>
      </c>
      <c r="K3645" t="n">
        <v>1</v>
      </c>
      <c r="L3645" t="n">
        <v>1049</v>
      </c>
      <c r="M3645" t="n">
        <v>157.35</v>
      </c>
      <c r="N3645">
        <f>VLOOKUP(J3645,Products!$A$2:$C$49,3,FALSE)</f>
        <v/>
      </c>
      <c r="O3645">
        <f>K3645*L3645-M3645</f>
        <v/>
      </c>
      <c r="P3645">
        <f>TEXT(B3645,"yyyy-mm")</f>
        <v/>
      </c>
      <c r="Q3645">
        <f>IF(O3645&gt;=3000,"Large","Small")</f>
        <v/>
      </c>
      <c r="R3645">
        <f>INDEX(Products!$F$2:$F$49,MATCH(J3645,Products!$A$2:$A$49,0))</f>
        <v/>
      </c>
      <c r="S3645">
        <f>WEEKDAY(B3645,2)</f>
        <v/>
      </c>
    </row>
    <row r="3646">
      <c r="A3646" t="n">
        <v>511347</v>
      </c>
      <c r="B3646" s="6" t="n">
        <v>46000</v>
      </c>
      <c r="C3646" t="n">
        <v>17642</v>
      </c>
      <c r="D3646" t="inlineStr">
        <is>
          <t>Jaipur</t>
        </is>
      </c>
      <c r="E3646" t="inlineStr">
        <is>
          <t>North</t>
        </is>
      </c>
      <c r="F3646" t="inlineStr">
        <is>
          <t>Email</t>
        </is>
      </c>
      <c r="G3646" t="inlineStr">
        <is>
          <t>Mobile App</t>
        </is>
      </c>
      <c r="H3646" t="inlineStr">
        <is>
          <t>Cash on Delivery</t>
        </is>
      </c>
      <c r="I3646" t="inlineStr">
        <is>
          <t>Cancelled</t>
        </is>
      </c>
      <c r="J3646" t="n">
        <v>108</v>
      </c>
      <c r="K3646" t="n">
        <v>1</v>
      </c>
      <c r="L3646" t="n">
        <v>419</v>
      </c>
      <c r="M3646" t="n">
        <v>62.85</v>
      </c>
      <c r="N3646">
        <f>VLOOKUP(J3646,Products!$A$2:$C$49,3,FALSE)</f>
        <v/>
      </c>
      <c r="O3646">
        <f>K3646*L3646-M3646</f>
        <v/>
      </c>
      <c r="P3646">
        <f>TEXT(B3646,"yyyy-mm")</f>
        <v/>
      </c>
      <c r="Q3646">
        <f>IF(O3646&gt;=3000,"Large","Small")</f>
        <v/>
      </c>
      <c r="R3646">
        <f>INDEX(Products!$F$2:$F$49,MATCH(J3646,Products!$A$2:$A$49,0))</f>
        <v/>
      </c>
      <c r="S3646">
        <f>WEEKDAY(B3646,2)</f>
        <v/>
      </c>
    </row>
    <row r="3647">
      <c r="A3647" t="n">
        <v>511348</v>
      </c>
      <c r="B3647" s="6" t="n">
        <v>46000</v>
      </c>
      <c r="C3647" t="n">
        <v>15568</v>
      </c>
      <c r="D3647" t="inlineStr">
        <is>
          <t>Jaipur</t>
        </is>
      </c>
      <c r="E3647" t="inlineStr">
        <is>
          <t>North</t>
        </is>
      </c>
      <c r="F3647" t="inlineStr">
        <is>
          <t>Email</t>
        </is>
      </c>
      <c r="G3647" t="inlineStr">
        <is>
          <t>Mobile App</t>
        </is>
      </c>
      <c r="H3647" t="inlineStr">
        <is>
          <t>Cash on Delivery</t>
        </is>
      </c>
      <c r="I3647" t="inlineStr">
        <is>
          <t>Delivered</t>
        </is>
      </c>
      <c r="J3647" t="n">
        <v>128</v>
      </c>
      <c r="K3647" t="n">
        <v>1</v>
      </c>
      <c r="L3647" t="n">
        <v>1049</v>
      </c>
      <c r="M3647" t="n">
        <v>0</v>
      </c>
      <c r="N3647">
        <f>VLOOKUP(J3647,Products!$A$2:$C$49,3,FALSE)</f>
        <v/>
      </c>
      <c r="O3647">
        <f>K3647*L3647-M3647</f>
        <v/>
      </c>
      <c r="P3647">
        <f>TEXT(B3647,"yyyy-mm")</f>
        <v/>
      </c>
      <c r="Q3647">
        <f>IF(O3647&gt;=3000,"Large","Small")</f>
        <v/>
      </c>
      <c r="R3647">
        <f>INDEX(Products!$F$2:$F$49,MATCH(J3647,Products!$A$2:$A$49,0))</f>
        <v/>
      </c>
      <c r="S3647">
        <f>WEEKDAY(B3647,2)</f>
        <v/>
      </c>
    </row>
    <row r="3648">
      <c r="A3648" t="n">
        <v>511348</v>
      </c>
      <c r="B3648" s="6" t="n">
        <v>46000</v>
      </c>
      <c r="C3648" t="n">
        <v>15568</v>
      </c>
      <c r="D3648" t="inlineStr">
        <is>
          <t>Jaipur</t>
        </is>
      </c>
      <c r="E3648" t="inlineStr">
        <is>
          <t>North</t>
        </is>
      </c>
      <c r="F3648" t="inlineStr">
        <is>
          <t>Email</t>
        </is>
      </c>
      <c r="G3648" t="inlineStr">
        <is>
          <t>Mobile App</t>
        </is>
      </c>
      <c r="H3648" t="inlineStr">
        <is>
          <t>Cash on Delivery</t>
        </is>
      </c>
      <c r="I3648" t="inlineStr">
        <is>
          <t>Delivered</t>
        </is>
      </c>
      <c r="J3648" t="n">
        <v>141</v>
      </c>
      <c r="K3648" t="n">
        <v>1</v>
      </c>
      <c r="L3648" t="n">
        <v>261</v>
      </c>
      <c r="M3648" t="n">
        <v>0</v>
      </c>
      <c r="N3648">
        <f>VLOOKUP(J3648,Products!$A$2:$C$49,3,FALSE)</f>
        <v/>
      </c>
      <c r="O3648">
        <f>K3648*L3648-M3648</f>
        <v/>
      </c>
      <c r="P3648">
        <f>TEXT(B3648,"yyyy-mm")</f>
        <v/>
      </c>
      <c r="Q3648">
        <f>IF(O3648&gt;=3000,"Large","Small")</f>
        <v/>
      </c>
      <c r="R3648">
        <f>INDEX(Products!$F$2:$F$49,MATCH(J3648,Products!$A$2:$A$49,0))</f>
        <v/>
      </c>
      <c r="S3648">
        <f>WEEKDAY(B3648,2)</f>
        <v/>
      </c>
    </row>
    <row r="3649">
      <c r="A3649" t="n">
        <v>511349</v>
      </c>
      <c r="B3649" s="6" t="n">
        <v>46000</v>
      </c>
      <c r="C3649" t="n">
        <v>17203</v>
      </c>
      <c r="D3649" t="inlineStr">
        <is>
          <t>Ahmedabad</t>
        </is>
      </c>
      <c r="E3649" t="inlineStr">
        <is>
          <t>West</t>
        </is>
      </c>
      <c r="F3649" t="inlineStr">
        <is>
          <t>Email</t>
        </is>
      </c>
      <c r="G3649" t="inlineStr">
        <is>
          <t>Mobile App</t>
        </is>
      </c>
      <c r="H3649" t="inlineStr">
        <is>
          <t>Cash on Delivery</t>
        </is>
      </c>
      <c r="I3649" t="inlineStr">
        <is>
          <t>Delivered</t>
        </is>
      </c>
      <c r="J3649" t="n">
        <v>111</v>
      </c>
      <c r="K3649" t="n">
        <v>2</v>
      </c>
      <c r="L3649" t="n">
        <v>524</v>
      </c>
      <c r="M3649" t="n">
        <v>0</v>
      </c>
      <c r="N3649">
        <f>VLOOKUP(J3649,Products!$A$2:$C$49,3,FALSE)</f>
        <v/>
      </c>
      <c r="O3649">
        <f>K3649*L3649-M3649</f>
        <v/>
      </c>
      <c r="P3649">
        <f>TEXT(B3649,"yyyy-mm")</f>
        <v/>
      </c>
      <c r="Q3649">
        <f>IF(O3649&gt;=3000,"Large","Small")</f>
        <v/>
      </c>
      <c r="R3649">
        <f>INDEX(Products!$F$2:$F$49,MATCH(J3649,Products!$A$2:$A$49,0))</f>
        <v/>
      </c>
      <c r="S3649">
        <f>WEEKDAY(B3649,2)</f>
        <v/>
      </c>
    </row>
    <row r="3650">
      <c r="A3650" t="n">
        <v>511349</v>
      </c>
      <c r="B3650" s="6" t="n">
        <v>46000</v>
      </c>
      <c r="C3650" t="n">
        <v>17203</v>
      </c>
      <c r="D3650" t="inlineStr">
        <is>
          <t>Ahmedabad</t>
        </is>
      </c>
      <c r="E3650" t="inlineStr">
        <is>
          <t>West</t>
        </is>
      </c>
      <c r="F3650" t="inlineStr">
        <is>
          <t>Email</t>
        </is>
      </c>
      <c r="G3650" t="inlineStr">
        <is>
          <t>Mobile App</t>
        </is>
      </c>
      <c r="H3650" t="inlineStr">
        <is>
          <t>Cash on Delivery</t>
        </is>
      </c>
      <c r="I3650" t="inlineStr">
        <is>
          <t>Delivered</t>
        </is>
      </c>
      <c r="J3650" t="n">
        <v>126</v>
      </c>
      <c r="K3650" t="n">
        <v>2</v>
      </c>
      <c r="L3650" t="n">
        <v>471</v>
      </c>
      <c r="M3650" t="n">
        <v>0</v>
      </c>
      <c r="N3650">
        <f>VLOOKUP(J3650,Products!$A$2:$C$49,3,FALSE)</f>
        <v/>
      </c>
      <c r="O3650">
        <f>K3650*L3650-M3650</f>
        <v/>
      </c>
      <c r="P3650">
        <f>TEXT(B3650,"yyyy-mm")</f>
        <v/>
      </c>
      <c r="Q3650">
        <f>IF(O3650&gt;=3000,"Large","Small")</f>
        <v/>
      </c>
      <c r="R3650">
        <f>INDEX(Products!$F$2:$F$49,MATCH(J3650,Products!$A$2:$A$49,0))</f>
        <v/>
      </c>
      <c r="S3650">
        <f>WEEKDAY(B3650,2)</f>
        <v/>
      </c>
    </row>
    <row r="3651">
      <c r="A3651" t="n">
        <v>511350</v>
      </c>
      <c r="B3651" s="6" t="n">
        <v>46000</v>
      </c>
      <c r="C3651" t="n">
        <v>17652</v>
      </c>
      <c r="D3651" t="inlineStr">
        <is>
          <t>Kochi</t>
        </is>
      </c>
      <c r="E3651" t="inlineStr">
        <is>
          <t>South</t>
        </is>
      </c>
      <c r="F3651" t="inlineStr">
        <is>
          <t>Organic Search</t>
        </is>
      </c>
      <c r="G3651" t="inlineStr">
        <is>
          <t>Mobile App</t>
        </is>
      </c>
      <c r="H3651" t="inlineStr">
        <is>
          <t>UPI</t>
        </is>
      </c>
      <c r="I3651" t="inlineStr">
        <is>
          <t>Delivered</t>
        </is>
      </c>
      <c r="J3651" t="n">
        <v>105</v>
      </c>
      <c r="K3651" t="n">
        <v>1</v>
      </c>
      <c r="L3651" t="n">
        <v>2414</v>
      </c>
      <c r="M3651" t="n">
        <v>0</v>
      </c>
      <c r="N3651">
        <f>VLOOKUP(J3651,Products!$A$2:$C$49,3,FALSE)</f>
        <v/>
      </c>
      <c r="O3651">
        <f>K3651*L3651-M3651</f>
        <v/>
      </c>
      <c r="P3651">
        <f>TEXT(B3651,"yyyy-mm")</f>
        <v/>
      </c>
      <c r="Q3651">
        <f>IF(O3651&gt;=3000,"Large","Small")</f>
        <v/>
      </c>
      <c r="R3651">
        <f>INDEX(Products!$F$2:$F$49,MATCH(J3651,Products!$A$2:$A$49,0))</f>
        <v/>
      </c>
      <c r="S3651">
        <f>WEEKDAY(B3651,2)</f>
        <v/>
      </c>
    </row>
    <row r="3652">
      <c r="A3652" t="n">
        <v>511351</v>
      </c>
      <c r="B3652" s="6" t="n">
        <v>46000</v>
      </c>
      <c r="C3652" t="n">
        <v>14028</v>
      </c>
      <c r="D3652" t="inlineStr">
        <is>
          <t>Bengaluru</t>
        </is>
      </c>
      <c r="E3652" t="inlineStr">
        <is>
          <t>South</t>
        </is>
      </c>
      <c r="F3652" t="inlineStr">
        <is>
          <t>Referral</t>
        </is>
      </c>
      <c r="G3652" t="inlineStr">
        <is>
          <t>Mobile App</t>
        </is>
      </c>
      <c r="H3652" t="inlineStr">
        <is>
          <t>UPI</t>
        </is>
      </c>
      <c r="I3652" t="inlineStr">
        <is>
          <t>Delivered</t>
        </is>
      </c>
      <c r="J3652" t="n">
        <v>110</v>
      </c>
      <c r="K3652" t="n">
        <v>1</v>
      </c>
      <c r="L3652" t="n">
        <v>839</v>
      </c>
      <c r="M3652" t="n">
        <v>0</v>
      </c>
      <c r="N3652">
        <f>VLOOKUP(J3652,Products!$A$2:$C$49,3,FALSE)</f>
        <v/>
      </c>
      <c r="O3652">
        <f>K3652*L3652-M3652</f>
        <v/>
      </c>
      <c r="P3652">
        <f>TEXT(B3652,"yyyy-mm")</f>
        <v/>
      </c>
      <c r="Q3652">
        <f>IF(O3652&gt;=3000,"Large","Small")</f>
        <v/>
      </c>
      <c r="R3652">
        <f>INDEX(Products!$F$2:$F$49,MATCH(J3652,Products!$A$2:$A$49,0))</f>
        <v/>
      </c>
      <c r="S3652">
        <f>WEEKDAY(B3652,2)</f>
        <v/>
      </c>
    </row>
    <row r="3653">
      <c r="A3653" t="n">
        <v>511352</v>
      </c>
      <c r="B3653" s="6" t="n">
        <v>46000</v>
      </c>
      <c r="C3653" t="n">
        <v>17188</v>
      </c>
      <c r="D3653" t="inlineStr">
        <is>
          <t>Delhi</t>
        </is>
      </c>
      <c r="E3653" t="inlineStr">
        <is>
          <t>North</t>
        </is>
      </c>
      <c r="F3653" t="inlineStr">
        <is>
          <t>Organic Search</t>
        </is>
      </c>
      <c r="G3653" t="inlineStr">
        <is>
          <t>Mobile App</t>
        </is>
      </c>
      <c r="H3653" t="inlineStr">
        <is>
          <t>UPI</t>
        </is>
      </c>
      <c r="I3653" t="inlineStr">
        <is>
          <t>Delivered</t>
        </is>
      </c>
      <c r="J3653" t="n">
        <v>137</v>
      </c>
      <c r="K3653" t="n">
        <v>1</v>
      </c>
      <c r="L3653" t="n">
        <v>261</v>
      </c>
      <c r="M3653" t="n">
        <v>0</v>
      </c>
      <c r="N3653">
        <f>VLOOKUP(J3653,Products!$A$2:$C$49,3,FALSE)</f>
        <v/>
      </c>
      <c r="O3653">
        <f>K3653*L3653-M3653</f>
        <v/>
      </c>
      <c r="P3653">
        <f>TEXT(B3653,"yyyy-mm")</f>
        <v/>
      </c>
      <c r="Q3653">
        <f>IF(O3653&gt;=3000,"Large","Small")</f>
        <v/>
      </c>
      <c r="R3653">
        <f>INDEX(Products!$F$2:$F$49,MATCH(J3653,Products!$A$2:$A$49,0))</f>
        <v/>
      </c>
      <c r="S3653">
        <f>WEEKDAY(B3653,2)</f>
        <v/>
      </c>
    </row>
    <row r="3654">
      <c r="A3654" t="n">
        <v>511353</v>
      </c>
      <c r="B3654" s="6" t="n">
        <v>46000</v>
      </c>
      <c r="C3654" t="n">
        <v>17469</v>
      </c>
      <c r="D3654" t="inlineStr">
        <is>
          <t>Hyderabad</t>
        </is>
      </c>
      <c r="E3654" t="inlineStr">
        <is>
          <t>South</t>
        </is>
      </c>
      <c r="F3654" t="inlineStr">
        <is>
          <t>Referral</t>
        </is>
      </c>
      <c r="G3654" t="inlineStr">
        <is>
          <t>Mobile Web</t>
        </is>
      </c>
      <c r="H3654" t="inlineStr">
        <is>
          <t>Cash on Delivery</t>
        </is>
      </c>
      <c r="I3654" t="inlineStr">
        <is>
          <t>Delivered</t>
        </is>
      </c>
      <c r="J3654" t="n">
        <v>145</v>
      </c>
      <c r="K3654" t="n">
        <v>1</v>
      </c>
      <c r="L3654" t="n">
        <v>629</v>
      </c>
      <c r="M3654" t="n">
        <v>0</v>
      </c>
      <c r="N3654">
        <f>VLOOKUP(J3654,Products!$A$2:$C$49,3,FALSE)</f>
        <v/>
      </c>
      <c r="O3654">
        <f>K3654*L3654-M3654</f>
        <v/>
      </c>
      <c r="P3654">
        <f>TEXT(B3654,"yyyy-mm")</f>
        <v/>
      </c>
      <c r="Q3654">
        <f>IF(O3654&gt;=3000,"Large","Small")</f>
        <v/>
      </c>
      <c r="R3654">
        <f>INDEX(Products!$F$2:$F$49,MATCH(J3654,Products!$A$2:$A$49,0))</f>
        <v/>
      </c>
      <c r="S3654">
        <f>WEEKDAY(B3654,2)</f>
        <v/>
      </c>
    </row>
    <row r="3655">
      <c r="A3655" t="n">
        <v>511353</v>
      </c>
      <c r="B3655" s="6" t="n">
        <v>46000</v>
      </c>
      <c r="C3655" t="n">
        <v>17469</v>
      </c>
      <c r="D3655" t="inlineStr">
        <is>
          <t>Hyderabad</t>
        </is>
      </c>
      <c r="E3655" t="inlineStr">
        <is>
          <t>South</t>
        </is>
      </c>
      <c r="F3655" t="inlineStr">
        <is>
          <t>Referral</t>
        </is>
      </c>
      <c r="G3655" t="inlineStr">
        <is>
          <t>Mobile Web</t>
        </is>
      </c>
      <c r="H3655" t="inlineStr">
        <is>
          <t>Cash on Delivery</t>
        </is>
      </c>
      <c r="I3655" t="inlineStr">
        <is>
          <t>Delivered</t>
        </is>
      </c>
      <c r="J3655" t="n">
        <v>135</v>
      </c>
      <c r="K3655" t="n">
        <v>1</v>
      </c>
      <c r="L3655" t="n">
        <v>1574</v>
      </c>
      <c r="M3655" t="n">
        <v>0</v>
      </c>
      <c r="N3655">
        <f>VLOOKUP(J3655,Products!$A$2:$C$49,3,FALSE)</f>
        <v/>
      </c>
      <c r="O3655">
        <f>K3655*L3655-M3655</f>
        <v/>
      </c>
      <c r="P3655">
        <f>TEXT(B3655,"yyyy-mm")</f>
        <v/>
      </c>
      <c r="Q3655">
        <f>IF(O3655&gt;=3000,"Large","Small")</f>
        <v/>
      </c>
      <c r="R3655">
        <f>INDEX(Products!$F$2:$F$49,MATCH(J3655,Products!$A$2:$A$49,0))</f>
        <v/>
      </c>
      <c r="S3655">
        <f>WEEKDAY(B3655,2)</f>
        <v/>
      </c>
    </row>
    <row r="3656">
      <c r="A3656" t="n">
        <v>511354</v>
      </c>
      <c r="B3656" s="6" t="n">
        <v>46000</v>
      </c>
      <c r="C3656" t="n">
        <v>16071</v>
      </c>
      <c r="D3656" t="inlineStr">
        <is>
          <t>Indore</t>
        </is>
      </c>
      <c r="E3656" t="inlineStr">
        <is>
          <t>West</t>
        </is>
      </c>
      <c r="F3656" t="inlineStr">
        <is>
          <t>Organic Search</t>
        </is>
      </c>
      <c r="G3656" t="inlineStr">
        <is>
          <t>Desktop</t>
        </is>
      </c>
      <c r="H3656" t="inlineStr">
        <is>
          <t>Net Banking</t>
        </is>
      </c>
      <c r="I3656" t="inlineStr">
        <is>
          <t>Delivered</t>
        </is>
      </c>
      <c r="J3656" t="n">
        <v>130</v>
      </c>
      <c r="K3656" t="n">
        <v>1</v>
      </c>
      <c r="L3656" t="n">
        <v>734</v>
      </c>
      <c r="M3656" t="n">
        <v>0</v>
      </c>
      <c r="N3656">
        <f>VLOOKUP(J3656,Products!$A$2:$C$49,3,FALSE)</f>
        <v/>
      </c>
      <c r="O3656">
        <f>K3656*L3656-M3656</f>
        <v/>
      </c>
      <c r="P3656">
        <f>TEXT(B3656,"yyyy-mm")</f>
        <v/>
      </c>
      <c r="Q3656">
        <f>IF(O3656&gt;=3000,"Large","Small")</f>
        <v/>
      </c>
      <c r="R3656">
        <f>INDEX(Products!$F$2:$F$49,MATCH(J3656,Products!$A$2:$A$49,0))</f>
        <v/>
      </c>
      <c r="S3656">
        <f>WEEKDAY(B3656,2)</f>
        <v/>
      </c>
    </row>
    <row r="3657">
      <c r="A3657" t="n">
        <v>511355</v>
      </c>
      <c r="B3657" s="6" t="n">
        <v>46000</v>
      </c>
      <c r="C3657" t="n">
        <v>17194</v>
      </c>
      <c r="D3657" t="inlineStr">
        <is>
          <t>Hyderabad</t>
        </is>
      </c>
      <c r="E3657" t="inlineStr">
        <is>
          <t>South</t>
        </is>
      </c>
      <c r="F3657" t="inlineStr">
        <is>
          <t>Affiliate</t>
        </is>
      </c>
      <c r="G3657" t="inlineStr">
        <is>
          <t>Mobile Web</t>
        </is>
      </c>
      <c r="H3657" t="inlineStr">
        <is>
          <t>Credit Card</t>
        </is>
      </c>
      <c r="I3657" t="inlineStr">
        <is>
          <t>Delivered</t>
        </is>
      </c>
      <c r="J3657" t="n">
        <v>121</v>
      </c>
      <c r="K3657" t="n">
        <v>1</v>
      </c>
      <c r="L3657" t="n">
        <v>2939</v>
      </c>
      <c r="M3657" t="n">
        <v>0</v>
      </c>
      <c r="N3657">
        <f>VLOOKUP(J3657,Products!$A$2:$C$49,3,FALSE)</f>
        <v/>
      </c>
      <c r="O3657">
        <f>K3657*L3657-M3657</f>
        <v/>
      </c>
      <c r="P3657">
        <f>TEXT(B3657,"yyyy-mm")</f>
        <v/>
      </c>
      <c r="Q3657">
        <f>IF(O3657&gt;=3000,"Large","Small")</f>
        <v/>
      </c>
      <c r="R3657">
        <f>INDEX(Products!$F$2:$F$49,MATCH(J3657,Products!$A$2:$A$49,0))</f>
        <v/>
      </c>
      <c r="S3657">
        <f>WEEKDAY(B3657,2)</f>
        <v/>
      </c>
    </row>
    <row r="3658">
      <c r="A3658" t="n">
        <v>511355</v>
      </c>
      <c r="B3658" s="6" t="n">
        <v>46000</v>
      </c>
      <c r="C3658" t="n">
        <v>17194</v>
      </c>
      <c r="D3658" t="inlineStr">
        <is>
          <t>Hyderabad</t>
        </is>
      </c>
      <c r="E3658" t="inlineStr">
        <is>
          <t>South</t>
        </is>
      </c>
      <c r="F3658" t="inlineStr">
        <is>
          <t>Affiliate</t>
        </is>
      </c>
      <c r="G3658" t="inlineStr">
        <is>
          <t>Mobile Web</t>
        </is>
      </c>
      <c r="H3658" t="inlineStr">
        <is>
          <t>Credit Card</t>
        </is>
      </c>
      <c r="I3658" t="inlineStr">
        <is>
          <t>Delivered</t>
        </is>
      </c>
      <c r="J3658" t="n">
        <v>107</v>
      </c>
      <c r="K3658" t="n">
        <v>1</v>
      </c>
      <c r="L3658" t="n">
        <v>1259</v>
      </c>
      <c r="M3658" t="n">
        <v>0</v>
      </c>
      <c r="N3658">
        <f>VLOOKUP(J3658,Products!$A$2:$C$49,3,FALSE)</f>
        <v/>
      </c>
      <c r="O3658">
        <f>K3658*L3658-M3658</f>
        <v/>
      </c>
      <c r="P3658">
        <f>TEXT(B3658,"yyyy-mm")</f>
        <v/>
      </c>
      <c r="Q3658">
        <f>IF(O3658&gt;=3000,"Large","Small")</f>
        <v/>
      </c>
      <c r="R3658">
        <f>INDEX(Products!$F$2:$F$49,MATCH(J3658,Products!$A$2:$A$49,0))</f>
        <v/>
      </c>
      <c r="S3658">
        <f>WEEKDAY(B3658,2)</f>
        <v/>
      </c>
    </row>
    <row r="3659">
      <c r="A3659" t="n">
        <v>511355</v>
      </c>
      <c r="B3659" s="6" t="n">
        <v>46000</v>
      </c>
      <c r="C3659" t="n">
        <v>17194</v>
      </c>
      <c r="D3659" t="inlineStr">
        <is>
          <t>Hyderabad</t>
        </is>
      </c>
      <c r="E3659" t="inlineStr">
        <is>
          <t>South</t>
        </is>
      </c>
      <c r="F3659" t="inlineStr">
        <is>
          <t>Affiliate</t>
        </is>
      </c>
      <c r="G3659" t="inlineStr">
        <is>
          <t>Mobile Web</t>
        </is>
      </c>
      <c r="H3659" t="inlineStr">
        <is>
          <t>Credit Card</t>
        </is>
      </c>
      <c r="I3659" t="inlineStr">
        <is>
          <t>Delivered</t>
        </is>
      </c>
      <c r="J3659" t="n">
        <v>122</v>
      </c>
      <c r="K3659" t="n">
        <v>1</v>
      </c>
      <c r="L3659" t="n">
        <v>1994</v>
      </c>
      <c r="M3659" t="n">
        <v>0</v>
      </c>
      <c r="N3659">
        <f>VLOOKUP(J3659,Products!$A$2:$C$49,3,FALSE)</f>
        <v/>
      </c>
      <c r="O3659">
        <f>K3659*L3659-M3659</f>
        <v/>
      </c>
      <c r="P3659">
        <f>TEXT(B3659,"yyyy-mm")</f>
        <v/>
      </c>
      <c r="Q3659">
        <f>IF(O3659&gt;=3000,"Large","Small")</f>
        <v/>
      </c>
      <c r="R3659">
        <f>INDEX(Products!$F$2:$F$49,MATCH(J3659,Products!$A$2:$A$49,0))</f>
        <v/>
      </c>
      <c r="S3659">
        <f>WEEKDAY(B3659,2)</f>
        <v/>
      </c>
    </row>
    <row r="3660">
      <c r="A3660" t="n">
        <v>511356</v>
      </c>
      <c r="B3660" s="6" t="n">
        <v>46000</v>
      </c>
      <c r="C3660" t="n">
        <v>15488</v>
      </c>
      <c r="D3660" t="inlineStr">
        <is>
          <t>Hyderabad</t>
        </is>
      </c>
      <c r="E3660" t="inlineStr">
        <is>
          <t>South</t>
        </is>
      </c>
      <c r="F3660" t="inlineStr">
        <is>
          <t>Referral</t>
        </is>
      </c>
      <c r="G3660" t="inlineStr">
        <is>
          <t>Mobile Web</t>
        </is>
      </c>
      <c r="H3660" t="inlineStr">
        <is>
          <t>UPI</t>
        </is>
      </c>
      <c r="I3660" t="inlineStr">
        <is>
          <t>Delivered</t>
        </is>
      </c>
      <c r="J3660" t="n">
        <v>137</v>
      </c>
      <c r="K3660" t="n">
        <v>2</v>
      </c>
      <c r="L3660" t="n">
        <v>261</v>
      </c>
      <c r="M3660" t="n">
        <v>0</v>
      </c>
      <c r="N3660">
        <f>VLOOKUP(J3660,Products!$A$2:$C$49,3,FALSE)</f>
        <v/>
      </c>
      <c r="O3660">
        <f>K3660*L3660-M3660</f>
        <v/>
      </c>
      <c r="P3660">
        <f>TEXT(B3660,"yyyy-mm")</f>
        <v/>
      </c>
      <c r="Q3660">
        <f>IF(O3660&gt;=3000,"Large","Small")</f>
        <v/>
      </c>
      <c r="R3660">
        <f>INDEX(Products!$F$2:$F$49,MATCH(J3660,Products!$A$2:$A$49,0))</f>
        <v/>
      </c>
      <c r="S3660">
        <f>WEEKDAY(B3660,2)</f>
        <v/>
      </c>
    </row>
    <row r="3661">
      <c r="A3661" t="n">
        <v>511356</v>
      </c>
      <c r="B3661" s="6" t="n">
        <v>46000</v>
      </c>
      <c r="C3661" t="n">
        <v>15488</v>
      </c>
      <c r="D3661" t="inlineStr">
        <is>
          <t>Hyderabad</t>
        </is>
      </c>
      <c r="E3661" t="inlineStr">
        <is>
          <t>South</t>
        </is>
      </c>
      <c r="F3661" t="inlineStr">
        <is>
          <t>Referral</t>
        </is>
      </c>
      <c r="G3661" t="inlineStr">
        <is>
          <t>Mobile Web</t>
        </is>
      </c>
      <c r="H3661" t="inlineStr">
        <is>
          <t>UPI</t>
        </is>
      </c>
      <c r="I3661" t="inlineStr">
        <is>
          <t>Delivered</t>
        </is>
      </c>
      <c r="J3661" t="n">
        <v>107</v>
      </c>
      <c r="K3661" t="n">
        <v>1</v>
      </c>
      <c r="L3661" t="n">
        <v>1259</v>
      </c>
      <c r="M3661" t="n">
        <v>0</v>
      </c>
      <c r="N3661">
        <f>VLOOKUP(J3661,Products!$A$2:$C$49,3,FALSE)</f>
        <v/>
      </c>
      <c r="O3661">
        <f>K3661*L3661-M3661</f>
        <v/>
      </c>
      <c r="P3661">
        <f>TEXT(B3661,"yyyy-mm")</f>
        <v/>
      </c>
      <c r="Q3661">
        <f>IF(O3661&gt;=3000,"Large","Small")</f>
        <v/>
      </c>
      <c r="R3661">
        <f>INDEX(Products!$F$2:$F$49,MATCH(J3661,Products!$A$2:$A$49,0))</f>
        <v/>
      </c>
      <c r="S3661">
        <f>WEEKDAY(B3661,2)</f>
        <v/>
      </c>
    </row>
    <row r="3662">
      <c r="A3662" t="n">
        <v>511357</v>
      </c>
      <c r="B3662" s="6" t="n">
        <v>46000</v>
      </c>
      <c r="C3662" t="n">
        <v>17663</v>
      </c>
      <c r="D3662" t="inlineStr">
        <is>
          <t>Bengaluru</t>
        </is>
      </c>
      <c r="E3662" t="inlineStr">
        <is>
          <t>South</t>
        </is>
      </c>
      <c r="F3662" t="inlineStr">
        <is>
          <t>Referral</t>
        </is>
      </c>
      <c r="G3662" t="inlineStr">
        <is>
          <t>Desktop</t>
        </is>
      </c>
      <c r="H3662" t="inlineStr">
        <is>
          <t>UPI</t>
        </is>
      </c>
      <c r="I3662" t="inlineStr">
        <is>
          <t>Delivered</t>
        </is>
      </c>
      <c r="J3662" t="n">
        <v>112</v>
      </c>
      <c r="K3662" t="n">
        <v>1</v>
      </c>
      <c r="L3662" t="n">
        <v>1574</v>
      </c>
      <c r="M3662" t="n">
        <v>0</v>
      </c>
      <c r="N3662">
        <f>VLOOKUP(J3662,Products!$A$2:$C$49,3,FALSE)</f>
        <v/>
      </c>
      <c r="O3662">
        <f>K3662*L3662-M3662</f>
        <v/>
      </c>
      <c r="P3662">
        <f>TEXT(B3662,"yyyy-mm")</f>
        <v/>
      </c>
      <c r="Q3662">
        <f>IF(O3662&gt;=3000,"Large","Small")</f>
        <v/>
      </c>
      <c r="R3662">
        <f>INDEX(Products!$F$2:$F$49,MATCH(J3662,Products!$A$2:$A$49,0))</f>
        <v/>
      </c>
      <c r="S3662">
        <f>WEEKDAY(B3662,2)</f>
        <v/>
      </c>
    </row>
    <row r="3663">
      <c r="A3663" t="n">
        <v>511357</v>
      </c>
      <c r="B3663" s="6" t="n">
        <v>46000</v>
      </c>
      <c r="C3663" t="n">
        <v>17663</v>
      </c>
      <c r="D3663" t="inlineStr">
        <is>
          <t>Bengaluru</t>
        </is>
      </c>
      <c r="E3663" t="inlineStr">
        <is>
          <t>South</t>
        </is>
      </c>
      <c r="F3663" t="inlineStr">
        <is>
          <t>Referral</t>
        </is>
      </c>
      <c r="G3663" t="inlineStr">
        <is>
          <t>Desktop</t>
        </is>
      </c>
      <c r="H3663" t="inlineStr">
        <is>
          <t>UPI</t>
        </is>
      </c>
      <c r="I3663" t="inlineStr">
        <is>
          <t>Delivered</t>
        </is>
      </c>
      <c r="J3663" t="n">
        <v>144</v>
      </c>
      <c r="K3663" t="n">
        <v>1</v>
      </c>
      <c r="L3663" t="n">
        <v>3149</v>
      </c>
      <c r="M3663" t="n">
        <v>0</v>
      </c>
      <c r="N3663">
        <f>VLOOKUP(J3663,Products!$A$2:$C$49,3,FALSE)</f>
        <v/>
      </c>
      <c r="O3663">
        <f>K3663*L3663-M3663</f>
        <v/>
      </c>
      <c r="P3663">
        <f>TEXT(B3663,"yyyy-mm")</f>
        <v/>
      </c>
      <c r="Q3663">
        <f>IF(O3663&gt;=3000,"Large","Small")</f>
        <v/>
      </c>
      <c r="R3663">
        <f>INDEX(Products!$F$2:$F$49,MATCH(J3663,Products!$A$2:$A$49,0))</f>
        <v/>
      </c>
      <c r="S3663">
        <f>WEEKDAY(B3663,2)</f>
        <v/>
      </c>
    </row>
    <row r="3664">
      <c r="A3664" t="n">
        <v>511358</v>
      </c>
      <c r="B3664" s="6" t="n">
        <v>46001</v>
      </c>
      <c r="C3664" t="n">
        <v>17553</v>
      </c>
      <c r="D3664" t="inlineStr">
        <is>
          <t>Delhi</t>
        </is>
      </c>
      <c r="E3664" t="inlineStr">
        <is>
          <t>North</t>
        </is>
      </c>
      <c r="F3664" t="inlineStr">
        <is>
          <t>Organic Search</t>
        </is>
      </c>
      <c r="G3664" t="inlineStr">
        <is>
          <t>Mobile Web</t>
        </is>
      </c>
      <c r="H3664" t="inlineStr">
        <is>
          <t>UPI</t>
        </is>
      </c>
      <c r="I3664" t="inlineStr">
        <is>
          <t>Cancelled</t>
        </is>
      </c>
      <c r="J3664" t="n">
        <v>130</v>
      </c>
      <c r="K3664" t="n">
        <v>1</v>
      </c>
      <c r="L3664" t="n">
        <v>734</v>
      </c>
      <c r="M3664" t="n">
        <v>0</v>
      </c>
      <c r="N3664">
        <f>VLOOKUP(J3664,Products!$A$2:$C$49,3,FALSE)</f>
        <v/>
      </c>
      <c r="O3664">
        <f>K3664*L3664-M3664</f>
        <v/>
      </c>
      <c r="P3664">
        <f>TEXT(B3664,"yyyy-mm")</f>
        <v/>
      </c>
      <c r="Q3664">
        <f>IF(O3664&gt;=3000,"Large","Small")</f>
        <v/>
      </c>
      <c r="R3664">
        <f>INDEX(Products!$F$2:$F$49,MATCH(J3664,Products!$A$2:$A$49,0))</f>
        <v/>
      </c>
      <c r="S3664">
        <f>WEEKDAY(B3664,2)</f>
        <v/>
      </c>
    </row>
    <row r="3665">
      <c r="A3665" t="n">
        <v>511358</v>
      </c>
      <c r="B3665" s="6" t="n">
        <v>46001</v>
      </c>
      <c r="C3665" t="n">
        <v>17553</v>
      </c>
      <c r="D3665" t="inlineStr">
        <is>
          <t>Delhi</t>
        </is>
      </c>
      <c r="E3665" t="inlineStr">
        <is>
          <t>North</t>
        </is>
      </c>
      <c r="F3665" t="inlineStr">
        <is>
          <t>Organic Search</t>
        </is>
      </c>
      <c r="G3665" t="inlineStr">
        <is>
          <t>Mobile Web</t>
        </is>
      </c>
      <c r="H3665" t="inlineStr">
        <is>
          <t>UPI</t>
        </is>
      </c>
      <c r="I3665" t="inlineStr">
        <is>
          <t>Cancelled</t>
        </is>
      </c>
      <c r="J3665" t="n">
        <v>116</v>
      </c>
      <c r="K3665" t="n">
        <v>1</v>
      </c>
      <c r="L3665" t="n">
        <v>2624</v>
      </c>
      <c r="M3665" t="n">
        <v>0</v>
      </c>
      <c r="N3665">
        <f>VLOOKUP(J3665,Products!$A$2:$C$49,3,FALSE)</f>
        <v/>
      </c>
      <c r="O3665">
        <f>K3665*L3665-M3665</f>
        <v/>
      </c>
      <c r="P3665">
        <f>TEXT(B3665,"yyyy-mm")</f>
        <v/>
      </c>
      <c r="Q3665">
        <f>IF(O3665&gt;=3000,"Large","Small")</f>
        <v/>
      </c>
      <c r="R3665">
        <f>INDEX(Products!$F$2:$F$49,MATCH(J3665,Products!$A$2:$A$49,0))</f>
        <v/>
      </c>
      <c r="S3665">
        <f>WEEKDAY(B3665,2)</f>
        <v/>
      </c>
    </row>
    <row r="3666">
      <c r="A3666" t="n">
        <v>511359</v>
      </c>
      <c r="B3666" s="6" t="n">
        <v>46001</v>
      </c>
      <c r="C3666" t="n">
        <v>14554</v>
      </c>
      <c r="D3666" t="inlineStr">
        <is>
          <t>Gurugram</t>
        </is>
      </c>
      <c r="E3666" t="inlineStr">
        <is>
          <t>North</t>
        </is>
      </c>
      <c r="F3666" t="inlineStr">
        <is>
          <t>Paid Search</t>
        </is>
      </c>
      <c r="G3666" t="inlineStr">
        <is>
          <t>Mobile Web</t>
        </is>
      </c>
      <c r="H3666" t="inlineStr">
        <is>
          <t>Cash on Delivery</t>
        </is>
      </c>
      <c r="I3666" t="inlineStr">
        <is>
          <t>Delivered</t>
        </is>
      </c>
      <c r="J3666" t="n">
        <v>102</v>
      </c>
      <c r="K3666" t="n">
        <v>1</v>
      </c>
      <c r="L3666" t="n">
        <v>3674</v>
      </c>
      <c r="M3666" t="n">
        <v>0</v>
      </c>
      <c r="N3666">
        <f>VLOOKUP(J3666,Products!$A$2:$C$49,3,FALSE)</f>
        <v/>
      </c>
      <c r="O3666">
        <f>K3666*L3666-M3666</f>
        <v/>
      </c>
      <c r="P3666">
        <f>TEXT(B3666,"yyyy-mm")</f>
        <v/>
      </c>
      <c r="Q3666">
        <f>IF(O3666&gt;=3000,"Large","Small")</f>
        <v/>
      </c>
      <c r="R3666">
        <f>INDEX(Products!$F$2:$F$49,MATCH(J3666,Products!$A$2:$A$49,0))</f>
        <v/>
      </c>
      <c r="S3666">
        <f>WEEKDAY(B3666,2)</f>
        <v/>
      </c>
    </row>
    <row r="3667">
      <c r="A3667" t="n">
        <v>511360</v>
      </c>
      <c r="B3667" s="6" t="n">
        <v>46001</v>
      </c>
      <c r="C3667" t="n">
        <v>12042</v>
      </c>
      <c r="D3667" t="inlineStr">
        <is>
          <t>Indore</t>
        </is>
      </c>
      <c r="E3667" t="inlineStr">
        <is>
          <t>West</t>
        </is>
      </c>
      <c r="F3667" t="inlineStr">
        <is>
          <t>Email</t>
        </is>
      </c>
      <c r="G3667" t="inlineStr">
        <is>
          <t>Mobile App</t>
        </is>
      </c>
      <c r="H3667" t="inlineStr">
        <is>
          <t>Net Banking</t>
        </is>
      </c>
      <c r="I3667" t="inlineStr">
        <is>
          <t>Delivered</t>
        </is>
      </c>
      <c r="J3667" t="n">
        <v>134</v>
      </c>
      <c r="K3667" t="n">
        <v>1</v>
      </c>
      <c r="L3667" t="n">
        <v>209</v>
      </c>
      <c r="M3667" t="n">
        <v>0</v>
      </c>
      <c r="N3667">
        <f>VLOOKUP(J3667,Products!$A$2:$C$49,3,FALSE)</f>
        <v/>
      </c>
      <c r="O3667">
        <f>K3667*L3667-M3667</f>
        <v/>
      </c>
      <c r="P3667">
        <f>TEXT(B3667,"yyyy-mm")</f>
        <v/>
      </c>
      <c r="Q3667">
        <f>IF(O3667&gt;=3000,"Large","Small")</f>
        <v/>
      </c>
      <c r="R3667">
        <f>INDEX(Products!$F$2:$F$49,MATCH(J3667,Products!$A$2:$A$49,0))</f>
        <v/>
      </c>
      <c r="S3667">
        <f>WEEKDAY(B3667,2)</f>
        <v/>
      </c>
    </row>
    <row r="3668">
      <c r="A3668" t="n">
        <v>511361</v>
      </c>
      <c r="B3668" s="6" t="n">
        <v>46001</v>
      </c>
      <c r="C3668" t="n">
        <v>17665</v>
      </c>
      <c r="D3668" t="inlineStr">
        <is>
          <t>Delhi</t>
        </is>
      </c>
      <c r="E3668" t="inlineStr">
        <is>
          <t>North</t>
        </is>
      </c>
      <c r="F3668" t="inlineStr">
        <is>
          <t>Paid Search</t>
        </is>
      </c>
      <c r="G3668" t="inlineStr">
        <is>
          <t>Mobile Web</t>
        </is>
      </c>
      <c r="H3668" t="inlineStr">
        <is>
          <t>UPI</t>
        </is>
      </c>
      <c r="I3668" t="inlineStr">
        <is>
          <t>Returned</t>
        </is>
      </c>
      <c r="J3668" t="n">
        <v>113</v>
      </c>
      <c r="K3668" t="n">
        <v>1</v>
      </c>
      <c r="L3668" t="n">
        <v>1364</v>
      </c>
      <c r="M3668" t="n">
        <v>204.6</v>
      </c>
      <c r="N3668">
        <f>VLOOKUP(J3668,Products!$A$2:$C$49,3,FALSE)</f>
        <v/>
      </c>
      <c r="O3668">
        <f>K3668*L3668-M3668</f>
        <v/>
      </c>
      <c r="P3668">
        <f>TEXT(B3668,"yyyy-mm")</f>
        <v/>
      </c>
      <c r="Q3668">
        <f>IF(O3668&gt;=3000,"Large","Small")</f>
        <v/>
      </c>
      <c r="R3668">
        <f>INDEX(Products!$F$2:$F$49,MATCH(J3668,Products!$A$2:$A$49,0))</f>
        <v/>
      </c>
      <c r="S3668">
        <f>WEEKDAY(B3668,2)</f>
        <v/>
      </c>
    </row>
    <row r="3669">
      <c r="A3669" t="n">
        <v>511361</v>
      </c>
      <c r="B3669" s="6" t="n">
        <v>46001</v>
      </c>
      <c r="C3669" t="n">
        <v>17665</v>
      </c>
      <c r="D3669" t="inlineStr">
        <is>
          <t>Delhi</t>
        </is>
      </c>
      <c r="E3669" t="inlineStr">
        <is>
          <t>North</t>
        </is>
      </c>
      <c r="F3669" t="inlineStr">
        <is>
          <t>Paid Search</t>
        </is>
      </c>
      <c r="G3669" t="inlineStr">
        <is>
          <t>Mobile Web</t>
        </is>
      </c>
      <c r="H3669" t="inlineStr">
        <is>
          <t>UPI</t>
        </is>
      </c>
      <c r="I3669" t="inlineStr">
        <is>
          <t>Returned</t>
        </is>
      </c>
      <c r="J3669" t="n">
        <v>143</v>
      </c>
      <c r="K3669" t="n">
        <v>1</v>
      </c>
      <c r="L3669" t="n">
        <v>839</v>
      </c>
      <c r="M3669" t="n">
        <v>125.85</v>
      </c>
      <c r="N3669">
        <f>VLOOKUP(J3669,Products!$A$2:$C$49,3,FALSE)</f>
        <v/>
      </c>
      <c r="O3669">
        <f>K3669*L3669-M3669</f>
        <v/>
      </c>
      <c r="P3669">
        <f>TEXT(B3669,"yyyy-mm")</f>
        <v/>
      </c>
      <c r="Q3669">
        <f>IF(O3669&gt;=3000,"Large","Small")</f>
        <v/>
      </c>
      <c r="R3669">
        <f>INDEX(Products!$F$2:$F$49,MATCH(J3669,Products!$A$2:$A$49,0))</f>
        <v/>
      </c>
      <c r="S3669">
        <f>WEEKDAY(B3669,2)</f>
        <v/>
      </c>
    </row>
    <row r="3670">
      <c r="A3670" t="n">
        <v>511361</v>
      </c>
      <c r="B3670" s="6" t="n">
        <v>46001</v>
      </c>
      <c r="C3670" t="n">
        <v>17665</v>
      </c>
      <c r="D3670" t="inlineStr">
        <is>
          <t>Delhi</t>
        </is>
      </c>
      <c r="E3670" t="inlineStr">
        <is>
          <t>North</t>
        </is>
      </c>
      <c r="F3670" t="inlineStr">
        <is>
          <t>Paid Search</t>
        </is>
      </c>
      <c r="G3670" t="inlineStr">
        <is>
          <t>Mobile Web</t>
        </is>
      </c>
      <c r="H3670" t="inlineStr">
        <is>
          <t>UPI</t>
        </is>
      </c>
      <c r="I3670" t="inlineStr">
        <is>
          <t>Returned</t>
        </is>
      </c>
      <c r="J3670" t="n">
        <v>137</v>
      </c>
      <c r="K3670" t="n">
        <v>1</v>
      </c>
      <c r="L3670" t="n">
        <v>261</v>
      </c>
      <c r="M3670" t="n">
        <v>39.15</v>
      </c>
      <c r="N3670">
        <f>VLOOKUP(J3670,Products!$A$2:$C$49,3,FALSE)</f>
        <v/>
      </c>
      <c r="O3670">
        <f>K3670*L3670-M3670</f>
        <v/>
      </c>
      <c r="P3670">
        <f>TEXT(B3670,"yyyy-mm")</f>
        <v/>
      </c>
      <c r="Q3670">
        <f>IF(O3670&gt;=3000,"Large","Small")</f>
        <v/>
      </c>
      <c r="R3670">
        <f>INDEX(Products!$F$2:$F$49,MATCH(J3670,Products!$A$2:$A$49,0))</f>
        <v/>
      </c>
      <c r="S3670">
        <f>WEEKDAY(B3670,2)</f>
        <v/>
      </c>
    </row>
    <row r="3671">
      <c r="A3671" t="n">
        <v>511362</v>
      </c>
      <c r="B3671" s="6" t="n">
        <v>46001</v>
      </c>
      <c r="C3671" t="n">
        <v>14628</v>
      </c>
      <c r="D3671" t="inlineStr">
        <is>
          <t>Jaipur</t>
        </is>
      </c>
      <c r="E3671" t="inlineStr">
        <is>
          <t>North</t>
        </is>
      </c>
      <c r="F3671" t="inlineStr">
        <is>
          <t>Referral</t>
        </is>
      </c>
      <c r="G3671" t="inlineStr">
        <is>
          <t>Mobile App</t>
        </is>
      </c>
      <c r="H3671" t="inlineStr">
        <is>
          <t>Credit Card</t>
        </is>
      </c>
      <c r="I3671" t="inlineStr">
        <is>
          <t>Delivered</t>
        </is>
      </c>
      <c r="J3671" t="n">
        <v>136</v>
      </c>
      <c r="K3671" t="n">
        <v>1</v>
      </c>
      <c r="L3671" t="n">
        <v>944</v>
      </c>
      <c r="M3671" t="n">
        <v>0</v>
      </c>
      <c r="N3671">
        <f>VLOOKUP(J3671,Products!$A$2:$C$49,3,FALSE)</f>
        <v/>
      </c>
      <c r="O3671">
        <f>K3671*L3671-M3671</f>
        <v/>
      </c>
      <c r="P3671">
        <f>TEXT(B3671,"yyyy-mm")</f>
        <v/>
      </c>
      <c r="Q3671">
        <f>IF(O3671&gt;=3000,"Large","Small")</f>
        <v/>
      </c>
      <c r="R3671">
        <f>INDEX(Products!$F$2:$F$49,MATCH(J3671,Products!$A$2:$A$49,0))</f>
        <v/>
      </c>
      <c r="S3671">
        <f>WEEKDAY(B3671,2)</f>
        <v/>
      </c>
    </row>
    <row r="3672">
      <c r="A3672" t="n">
        <v>511362</v>
      </c>
      <c r="B3672" s="6" t="n">
        <v>46001</v>
      </c>
      <c r="C3672" t="n">
        <v>14628</v>
      </c>
      <c r="D3672" t="inlineStr">
        <is>
          <t>Jaipur</t>
        </is>
      </c>
      <c r="E3672" t="inlineStr">
        <is>
          <t>North</t>
        </is>
      </c>
      <c r="F3672" t="inlineStr">
        <is>
          <t>Referral</t>
        </is>
      </c>
      <c r="G3672" t="inlineStr">
        <is>
          <t>Mobile App</t>
        </is>
      </c>
      <c r="H3672" t="inlineStr">
        <is>
          <t>Credit Card</t>
        </is>
      </c>
      <c r="I3672" t="inlineStr">
        <is>
          <t>Delivered</t>
        </is>
      </c>
      <c r="J3672" t="n">
        <v>125</v>
      </c>
      <c r="K3672" t="n">
        <v>1</v>
      </c>
      <c r="L3672" t="n">
        <v>1364</v>
      </c>
      <c r="M3672" t="n">
        <v>0</v>
      </c>
      <c r="N3672">
        <f>VLOOKUP(J3672,Products!$A$2:$C$49,3,FALSE)</f>
        <v/>
      </c>
      <c r="O3672">
        <f>K3672*L3672-M3672</f>
        <v/>
      </c>
      <c r="P3672">
        <f>TEXT(B3672,"yyyy-mm")</f>
        <v/>
      </c>
      <c r="Q3672">
        <f>IF(O3672&gt;=3000,"Large","Small")</f>
        <v/>
      </c>
      <c r="R3672">
        <f>INDEX(Products!$F$2:$F$49,MATCH(J3672,Products!$A$2:$A$49,0))</f>
        <v/>
      </c>
      <c r="S3672">
        <f>WEEKDAY(B3672,2)</f>
        <v/>
      </c>
    </row>
    <row r="3673">
      <c r="A3673" t="n">
        <v>511363</v>
      </c>
      <c r="B3673" s="6" t="n">
        <v>46001</v>
      </c>
      <c r="C3673" t="n">
        <v>17621</v>
      </c>
      <c r="D3673" t="inlineStr">
        <is>
          <t>Jaipur</t>
        </is>
      </c>
      <c r="E3673" t="inlineStr">
        <is>
          <t>North</t>
        </is>
      </c>
      <c r="F3673" t="inlineStr">
        <is>
          <t>Organic Search</t>
        </is>
      </c>
      <c r="G3673" t="inlineStr">
        <is>
          <t>Mobile App</t>
        </is>
      </c>
      <c r="H3673" t="inlineStr">
        <is>
          <t>Cash on Delivery</t>
        </is>
      </c>
      <c r="I3673" t="inlineStr">
        <is>
          <t>Delivered</t>
        </is>
      </c>
      <c r="J3673" t="n">
        <v>122</v>
      </c>
      <c r="K3673" t="n">
        <v>1</v>
      </c>
      <c r="L3673" t="n">
        <v>1994</v>
      </c>
      <c r="M3673" t="n">
        <v>0</v>
      </c>
      <c r="N3673">
        <f>VLOOKUP(J3673,Products!$A$2:$C$49,3,FALSE)</f>
        <v/>
      </c>
      <c r="O3673">
        <f>K3673*L3673-M3673</f>
        <v/>
      </c>
      <c r="P3673">
        <f>TEXT(B3673,"yyyy-mm")</f>
        <v/>
      </c>
      <c r="Q3673">
        <f>IF(O3673&gt;=3000,"Large","Small")</f>
        <v/>
      </c>
      <c r="R3673">
        <f>INDEX(Products!$F$2:$F$49,MATCH(J3673,Products!$A$2:$A$49,0))</f>
        <v/>
      </c>
      <c r="S3673">
        <f>WEEKDAY(B3673,2)</f>
        <v/>
      </c>
    </row>
    <row r="3674">
      <c r="A3674" t="n">
        <v>511363</v>
      </c>
      <c r="B3674" s="6" t="n">
        <v>46001</v>
      </c>
      <c r="C3674" t="n">
        <v>17621</v>
      </c>
      <c r="D3674" t="inlineStr">
        <is>
          <t>Jaipur</t>
        </is>
      </c>
      <c r="E3674" t="inlineStr">
        <is>
          <t>North</t>
        </is>
      </c>
      <c r="F3674" t="inlineStr">
        <is>
          <t>Organic Search</t>
        </is>
      </c>
      <c r="G3674" t="inlineStr">
        <is>
          <t>Mobile App</t>
        </is>
      </c>
      <c r="H3674" t="inlineStr">
        <is>
          <t>Cash on Delivery</t>
        </is>
      </c>
      <c r="I3674" t="inlineStr">
        <is>
          <t>Delivered</t>
        </is>
      </c>
      <c r="J3674" t="n">
        <v>126</v>
      </c>
      <c r="K3674" t="n">
        <v>2</v>
      </c>
      <c r="L3674" t="n">
        <v>471</v>
      </c>
      <c r="M3674" t="n">
        <v>0</v>
      </c>
      <c r="N3674">
        <f>VLOOKUP(J3674,Products!$A$2:$C$49,3,FALSE)</f>
        <v/>
      </c>
      <c r="O3674">
        <f>K3674*L3674-M3674</f>
        <v/>
      </c>
      <c r="P3674">
        <f>TEXT(B3674,"yyyy-mm")</f>
        <v/>
      </c>
      <c r="Q3674">
        <f>IF(O3674&gt;=3000,"Large","Small")</f>
        <v/>
      </c>
      <c r="R3674">
        <f>INDEX(Products!$F$2:$F$49,MATCH(J3674,Products!$A$2:$A$49,0))</f>
        <v/>
      </c>
      <c r="S3674">
        <f>WEEKDAY(B3674,2)</f>
        <v/>
      </c>
    </row>
    <row r="3675">
      <c r="A3675" t="n">
        <v>511364</v>
      </c>
      <c r="B3675" s="6" t="n">
        <v>46001</v>
      </c>
      <c r="C3675" t="n">
        <v>17646</v>
      </c>
      <c r="D3675" t="inlineStr">
        <is>
          <t>Bengaluru</t>
        </is>
      </c>
      <c r="E3675" t="inlineStr">
        <is>
          <t>South</t>
        </is>
      </c>
      <c r="F3675" t="inlineStr">
        <is>
          <t>Paid Social</t>
        </is>
      </c>
      <c r="G3675" t="inlineStr">
        <is>
          <t>Desktop</t>
        </is>
      </c>
      <c r="H3675" t="inlineStr">
        <is>
          <t>UPI</t>
        </is>
      </c>
      <c r="I3675" t="inlineStr">
        <is>
          <t>Delivered</t>
        </is>
      </c>
      <c r="J3675" t="n">
        <v>138</v>
      </c>
      <c r="K3675" t="n">
        <v>1</v>
      </c>
      <c r="L3675" t="n">
        <v>419</v>
      </c>
      <c r="M3675" t="n">
        <v>0</v>
      </c>
      <c r="N3675">
        <f>VLOOKUP(J3675,Products!$A$2:$C$49,3,FALSE)</f>
        <v/>
      </c>
      <c r="O3675">
        <f>K3675*L3675-M3675</f>
        <v/>
      </c>
      <c r="P3675">
        <f>TEXT(B3675,"yyyy-mm")</f>
        <v/>
      </c>
      <c r="Q3675">
        <f>IF(O3675&gt;=3000,"Large","Small")</f>
        <v/>
      </c>
      <c r="R3675">
        <f>INDEX(Products!$F$2:$F$49,MATCH(J3675,Products!$A$2:$A$49,0))</f>
        <v/>
      </c>
      <c r="S3675">
        <f>WEEKDAY(B3675,2)</f>
        <v/>
      </c>
    </row>
    <row r="3676">
      <c r="A3676" t="n">
        <v>511364</v>
      </c>
      <c r="B3676" s="6" t="n">
        <v>46001</v>
      </c>
      <c r="C3676" t="n">
        <v>17646</v>
      </c>
      <c r="D3676" t="inlineStr">
        <is>
          <t>Bengaluru</t>
        </is>
      </c>
      <c r="E3676" t="inlineStr">
        <is>
          <t>South</t>
        </is>
      </c>
      <c r="F3676" t="inlineStr">
        <is>
          <t>Paid Social</t>
        </is>
      </c>
      <c r="G3676" t="inlineStr">
        <is>
          <t>Desktop</t>
        </is>
      </c>
      <c r="H3676" t="inlineStr">
        <is>
          <t>UPI</t>
        </is>
      </c>
      <c r="I3676" t="inlineStr">
        <is>
          <t>Delivered</t>
        </is>
      </c>
      <c r="J3676" t="n">
        <v>101</v>
      </c>
      <c r="K3676" t="n">
        <v>1</v>
      </c>
      <c r="L3676" t="n">
        <v>2099</v>
      </c>
      <c r="M3676" t="n">
        <v>0</v>
      </c>
      <c r="N3676">
        <f>VLOOKUP(J3676,Products!$A$2:$C$49,3,FALSE)</f>
        <v/>
      </c>
      <c r="O3676">
        <f>K3676*L3676-M3676</f>
        <v/>
      </c>
      <c r="P3676">
        <f>TEXT(B3676,"yyyy-mm")</f>
        <v/>
      </c>
      <c r="Q3676">
        <f>IF(O3676&gt;=3000,"Large","Small")</f>
        <v/>
      </c>
      <c r="R3676">
        <f>INDEX(Products!$F$2:$F$49,MATCH(J3676,Products!$A$2:$A$49,0))</f>
        <v/>
      </c>
      <c r="S3676">
        <f>WEEKDAY(B3676,2)</f>
        <v/>
      </c>
    </row>
    <row r="3677">
      <c r="A3677" t="n">
        <v>511365</v>
      </c>
      <c r="B3677" s="6" t="n">
        <v>46001</v>
      </c>
      <c r="C3677" t="n">
        <v>15793</v>
      </c>
      <c r="D3677" t="inlineStr">
        <is>
          <t>Indore</t>
        </is>
      </c>
      <c r="E3677" t="inlineStr">
        <is>
          <t>West</t>
        </is>
      </c>
      <c r="F3677" t="inlineStr">
        <is>
          <t>Organic Search</t>
        </is>
      </c>
      <c r="G3677" t="inlineStr">
        <is>
          <t>Mobile App</t>
        </is>
      </c>
      <c r="H3677" t="inlineStr">
        <is>
          <t>Debit Card</t>
        </is>
      </c>
      <c r="I3677" t="inlineStr">
        <is>
          <t>Delivered</t>
        </is>
      </c>
      <c r="J3677" t="n">
        <v>126</v>
      </c>
      <c r="K3677" t="n">
        <v>2</v>
      </c>
      <c r="L3677" t="n">
        <v>471</v>
      </c>
      <c r="M3677" t="n">
        <v>0</v>
      </c>
      <c r="N3677">
        <f>VLOOKUP(J3677,Products!$A$2:$C$49,3,FALSE)</f>
        <v/>
      </c>
      <c r="O3677">
        <f>K3677*L3677-M3677</f>
        <v/>
      </c>
      <c r="P3677">
        <f>TEXT(B3677,"yyyy-mm")</f>
        <v/>
      </c>
      <c r="Q3677">
        <f>IF(O3677&gt;=3000,"Large","Small")</f>
        <v/>
      </c>
      <c r="R3677">
        <f>INDEX(Products!$F$2:$F$49,MATCH(J3677,Products!$A$2:$A$49,0))</f>
        <v/>
      </c>
      <c r="S3677">
        <f>WEEKDAY(B3677,2)</f>
        <v/>
      </c>
    </row>
    <row r="3678">
      <c r="A3678" t="n">
        <v>511365</v>
      </c>
      <c r="B3678" s="6" t="n">
        <v>46001</v>
      </c>
      <c r="C3678" t="n">
        <v>15793</v>
      </c>
      <c r="D3678" t="inlineStr">
        <is>
          <t>Indore</t>
        </is>
      </c>
      <c r="E3678" t="inlineStr">
        <is>
          <t>West</t>
        </is>
      </c>
      <c r="F3678" t="inlineStr">
        <is>
          <t>Organic Search</t>
        </is>
      </c>
      <c r="G3678" t="inlineStr">
        <is>
          <t>Mobile App</t>
        </is>
      </c>
      <c r="H3678" t="inlineStr">
        <is>
          <t>Debit Card</t>
        </is>
      </c>
      <c r="I3678" t="inlineStr">
        <is>
          <t>Delivered</t>
        </is>
      </c>
      <c r="J3678" t="n">
        <v>136</v>
      </c>
      <c r="K3678" t="n">
        <v>1</v>
      </c>
      <c r="L3678" t="n">
        <v>944</v>
      </c>
      <c r="M3678" t="n">
        <v>0</v>
      </c>
      <c r="N3678">
        <f>VLOOKUP(J3678,Products!$A$2:$C$49,3,FALSE)</f>
        <v/>
      </c>
      <c r="O3678">
        <f>K3678*L3678-M3678</f>
        <v/>
      </c>
      <c r="P3678">
        <f>TEXT(B3678,"yyyy-mm")</f>
        <v/>
      </c>
      <c r="Q3678">
        <f>IF(O3678&gt;=3000,"Large","Small")</f>
        <v/>
      </c>
      <c r="R3678">
        <f>INDEX(Products!$F$2:$F$49,MATCH(J3678,Products!$A$2:$A$49,0))</f>
        <v/>
      </c>
      <c r="S3678">
        <f>WEEKDAY(B3678,2)</f>
        <v/>
      </c>
    </row>
    <row r="3679">
      <c r="A3679" t="n">
        <v>511366</v>
      </c>
      <c r="B3679" s="6" t="n">
        <v>46001</v>
      </c>
      <c r="C3679" t="n">
        <v>15736</v>
      </c>
      <c r="D3679" t="inlineStr">
        <is>
          <t>Ahmedabad</t>
        </is>
      </c>
      <c r="E3679" t="inlineStr">
        <is>
          <t>West</t>
        </is>
      </c>
      <c r="F3679" t="inlineStr">
        <is>
          <t>Referral</t>
        </is>
      </c>
      <c r="G3679" t="inlineStr">
        <is>
          <t>Mobile App</t>
        </is>
      </c>
      <c r="H3679" t="inlineStr">
        <is>
          <t>Cash on Delivery</t>
        </is>
      </c>
      <c r="I3679" t="inlineStr">
        <is>
          <t>Delivered</t>
        </is>
      </c>
      <c r="J3679" t="n">
        <v>134</v>
      </c>
      <c r="K3679" t="n">
        <v>1</v>
      </c>
      <c r="L3679" t="n">
        <v>209</v>
      </c>
      <c r="M3679" t="n">
        <v>0</v>
      </c>
      <c r="N3679">
        <f>VLOOKUP(J3679,Products!$A$2:$C$49,3,FALSE)</f>
        <v/>
      </c>
      <c r="O3679">
        <f>K3679*L3679-M3679</f>
        <v/>
      </c>
      <c r="P3679">
        <f>TEXT(B3679,"yyyy-mm")</f>
        <v/>
      </c>
      <c r="Q3679">
        <f>IF(O3679&gt;=3000,"Large","Small")</f>
        <v/>
      </c>
      <c r="R3679">
        <f>INDEX(Products!$F$2:$F$49,MATCH(J3679,Products!$A$2:$A$49,0))</f>
        <v/>
      </c>
      <c r="S3679">
        <f>WEEKDAY(B3679,2)</f>
        <v/>
      </c>
    </row>
    <row r="3680">
      <c r="A3680" t="n">
        <v>511367</v>
      </c>
      <c r="B3680" s="6" t="n">
        <v>46001</v>
      </c>
      <c r="C3680" t="n">
        <v>17518</v>
      </c>
      <c r="D3680" t="inlineStr">
        <is>
          <t>Hyderabad</t>
        </is>
      </c>
      <c r="E3680" t="inlineStr">
        <is>
          <t>South</t>
        </is>
      </c>
      <c r="F3680" t="inlineStr">
        <is>
          <t>Affiliate</t>
        </is>
      </c>
      <c r="G3680" t="inlineStr">
        <is>
          <t>Mobile Web</t>
        </is>
      </c>
      <c r="H3680" t="inlineStr">
        <is>
          <t>UPI</t>
        </is>
      </c>
      <c r="I3680" t="inlineStr">
        <is>
          <t>Returned</t>
        </is>
      </c>
      <c r="J3680" t="n">
        <v>114</v>
      </c>
      <c r="K3680" t="n">
        <v>1</v>
      </c>
      <c r="L3680" t="n">
        <v>1259</v>
      </c>
      <c r="M3680" t="n">
        <v>0</v>
      </c>
      <c r="N3680">
        <f>VLOOKUP(J3680,Products!$A$2:$C$49,3,FALSE)</f>
        <v/>
      </c>
      <c r="O3680">
        <f>K3680*L3680-M3680</f>
        <v/>
      </c>
      <c r="P3680">
        <f>TEXT(B3680,"yyyy-mm")</f>
        <v/>
      </c>
      <c r="Q3680">
        <f>IF(O3680&gt;=3000,"Large","Small")</f>
        <v/>
      </c>
      <c r="R3680">
        <f>INDEX(Products!$F$2:$F$49,MATCH(J3680,Products!$A$2:$A$49,0))</f>
        <v/>
      </c>
      <c r="S3680">
        <f>WEEKDAY(B3680,2)</f>
        <v/>
      </c>
    </row>
    <row r="3681">
      <c r="A3681" t="n">
        <v>511367</v>
      </c>
      <c r="B3681" s="6" t="n">
        <v>46001</v>
      </c>
      <c r="C3681" t="n">
        <v>17518</v>
      </c>
      <c r="D3681" t="inlineStr">
        <is>
          <t>Hyderabad</t>
        </is>
      </c>
      <c r="E3681" t="inlineStr">
        <is>
          <t>South</t>
        </is>
      </c>
      <c r="F3681" t="inlineStr">
        <is>
          <t>Affiliate</t>
        </is>
      </c>
      <c r="G3681" t="inlineStr">
        <is>
          <t>Mobile Web</t>
        </is>
      </c>
      <c r="H3681" t="inlineStr">
        <is>
          <t>UPI</t>
        </is>
      </c>
      <c r="I3681" t="inlineStr">
        <is>
          <t>Returned</t>
        </is>
      </c>
      <c r="J3681" t="n">
        <v>113</v>
      </c>
      <c r="K3681" t="n">
        <v>1</v>
      </c>
      <c r="L3681" t="n">
        <v>1364</v>
      </c>
      <c r="M3681" t="n">
        <v>0</v>
      </c>
      <c r="N3681">
        <f>VLOOKUP(J3681,Products!$A$2:$C$49,3,FALSE)</f>
        <v/>
      </c>
      <c r="O3681">
        <f>K3681*L3681-M3681</f>
        <v/>
      </c>
      <c r="P3681">
        <f>TEXT(B3681,"yyyy-mm")</f>
        <v/>
      </c>
      <c r="Q3681">
        <f>IF(O3681&gt;=3000,"Large","Small")</f>
        <v/>
      </c>
      <c r="R3681">
        <f>INDEX(Products!$F$2:$F$49,MATCH(J3681,Products!$A$2:$A$49,0))</f>
        <v/>
      </c>
      <c r="S3681">
        <f>WEEKDAY(B3681,2)</f>
        <v/>
      </c>
    </row>
    <row r="3682">
      <c r="A3682" t="n">
        <v>511368</v>
      </c>
      <c r="B3682" s="6" t="n">
        <v>46001</v>
      </c>
      <c r="C3682" t="n">
        <v>17612</v>
      </c>
      <c r="D3682" t="inlineStr">
        <is>
          <t>Lucknow</t>
        </is>
      </c>
      <c r="E3682" t="inlineStr">
        <is>
          <t>North</t>
        </is>
      </c>
      <c r="F3682" t="inlineStr">
        <is>
          <t>Email</t>
        </is>
      </c>
      <c r="G3682" t="inlineStr">
        <is>
          <t>Mobile App</t>
        </is>
      </c>
      <c r="H3682" t="inlineStr">
        <is>
          <t>UPI</t>
        </is>
      </c>
      <c r="I3682" t="inlineStr">
        <is>
          <t>Delivered</t>
        </is>
      </c>
      <c r="J3682" t="n">
        <v>129</v>
      </c>
      <c r="K3682" t="n">
        <v>2</v>
      </c>
      <c r="L3682" t="n">
        <v>576</v>
      </c>
      <c r="M3682" t="n">
        <v>172.8</v>
      </c>
      <c r="N3682">
        <f>VLOOKUP(J3682,Products!$A$2:$C$49,3,FALSE)</f>
        <v/>
      </c>
      <c r="O3682">
        <f>K3682*L3682-M3682</f>
        <v/>
      </c>
      <c r="P3682">
        <f>TEXT(B3682,"yyyy-mm")</f>
        <v/>
      </c>
      <c r="Q3682">
        <f>IF(O3682&gt;=3000,"Large","Small")</f>
        <v/>
      </c>
      <c r="R3682">
        <f>INDEX(Products!$F$2:$F$49,MATCH(J3682,Products!$A$2:$A$49,0))</f>
        <v/>
      </c>
      <c r="S3682">
        <f>WEEKDAY(B3682,2)</f>
        <v/>
      </c>
    </row>
    <row r="3683">
      <c r="A3683" t="n">
        <v>511369</v>
      </c>
      <c r="B3683" s="6" t="n">
        <v>46001</v>
      </c>
      <c r="C3683" t="n">
        <v>17651</v>
      </c>
      <c r="D3683" t="inlineStr">
        <is>
          <t>Jaipur</t>
        </is>
      </c>
      <c r="E3683" t="inlineStr">
        <is>
          <t>North</t>
        </is>
      </c>
      <c r="F3683" t="inlineStr">
        <is>
          <t>Referral</t>
        </is>
      </c>
      <c r="G3683" t="inlineStr">
        <is>
          <t>Mobile Web</t>
        </is>
      </c>
      <c r="H3683" t="inlineStr">
        <is>
          <t>Cash on Delivery</t>
        </is>
      </c>
      <c r="I3683" t="inlineStr">
        <is>
          <t>Returned</t>
        </is>
      </c>
      <c r="J3683" t="n">
        <v>108</v>
      </c>
      <c r="K3683" t="n">
        <v>1</v>
      </c>
      <c r="L3683" t="n">
        <v>419</v>
      </c>
      <c r="M3683" t="n">
        <v>0</v>
      </c>
      <c r="N3683">
        <f>VLOOKUP(J3683,Products!$A$2:$C$49,3,FALSE)</f>
        <v/>
      </c>
      <c r="O3683">
        <f>K3683*L3683-M3683</f>
        <v/>
      </c>
      <c r="P3683">
        <f>TEXT(B3683,"yyyy-mm")</f>
        <v/>
      </c>
      <c r="Q3683">
        <f>IF(O3683&gt;=3000,"Large","Small")</f>
        <v/>
      </c>
      <c r="R3683">
        <f>INDEX(Products!$F$2:$F$49,MATCH(J3683,Products!$A$2:$A$49,0))</f>
        <v/>
      </c>
      <c r="S3683">
        <f>WEEKDAY(B3683,2)</f>
        <v/>
      </c>
    </row>
    <row r="3684">
      <c r="A3684" t="n">
        <v>511370</v>
      </c>
      <c r="B3684" s="6" t="n">
        <v>46001</v>
      </c>
      <c r="C3684" t="n">
        <v>17578</v>
      </c>
      <c r="D3684" t="inlineStr">
        <is>
          <t>Hyderabad</t>
        </is>
      </c>
      <c r="E3684" t="inlineStr">
        <is>
          <t>South</t>
        </is>
      </c>
      <c r="F3684" t="inlineStr">
        <is>
          <t>Organic Search</t>
        </is>
      </c>
      <c r="G3684" t="inlineStr">
        <is>
          <t>Mobile App</t>
        </is>
      </c>
      <c r="H3684" t="inlineStr">
        <is>
          <t>Cash on Delivery</t>
        </is>
      </c>
      <c r="I3684" t="inlineStr">
        <is>
          <t>Delivered</t>
        </is>
      </c>
      <c r="J3684" t="n">
        <v>127</v>
      </c>
      <c r="K3684" t="n">
        <v>1</v>
      </c>
      <c r="L3684" t="n">
        <v>681</v>
      </c>
      <c r="M3684" t="n">
        <v>0</v>
      </c>
      <c r="N3684">
        <f>VLOOKUP(J3684,Products!$A$2:$C$49,3,FALSE)</f>
        <v/>
      </c>
      <c r="O3684">
        <f>K3684*L3684-M3684</f>
        <v/>
      </c>
      <c r="P3684">
        <f>TEXT(B3684,"yyyy-mm")</f>
        <v/>
      </c>
      <c r="Q3684">
        <f>IF(O3684&gt;=3000,"Large","Small")</f>
        <v/>
      </c>
      <c r="R3684">
        <f>INDEX(Products!$F$2:$F$49,MATCH(J3684,Products!$A$2:$A$49,0))</f>
        <v/>
      </c>
      <c r="S3684">
        <f>WEEKDAY(B3684,2)</f>
        <v/>
      </c>
    </row>
    <row r="3685">
      <c r="A3685" t="n">
        <v>511370</v>
      </c>
      <c r="B3685" s="6" t="n">
        <v>46001</v>
      </c>
      <c r="C3685" t="n">
        <v>17578</v>
      </c>
      <c r="D3685" t="inlineStr">
        <is>
          <t>Hyderabad</t>
        </is>
      </c>
      <c r="E3685" t="inlineStr">
        <is>
          <t>South</t>
        </is>
      </c>
      <c r="F3685" t="inlineStr">
        <is>
          <t>Organic Search</t>
        </is>
      </c>
      <c r="G3685" t="inlineStr">
        <is>
          <t>Mobile App</t>
        </is>
      </c>
      <c r="H3685" t="inlineStr">
        <is>
          <t>Cash on Delivery</t>
        </is>
      </c>
      <c r="I3685" t="inlineStr">
        <is>
          <t>Delivered</t>
        </is>
      </c>
      <c r="J3685" t="n">
        <v>128</v>
      </c>
      <c r="K3685" t="n">
        <v>1</v>
      </c>
      <c r="L3685" t="n">
        <v>1049</v>
      </c>
      <c r="M3685" t="n">
        <v>0</v>
      </c>
      <c r="N3685">
        <f>VLOOKUP(J3685,Products!$A$2:$C$49,3,FALSE)</f>
        <v/>
      </c>
      <c r="O3685">
        <f>K3685*L3685-M3685</f>
        <v/>
      </c>
      <c r="P3685">
        <f>TEXT(B3685,"yyyy-mm")</f>
        <v/>
      </c>
      <c r="Q3685">
        <f>IF(O3685&gt;=3000,"Large","Small")</f>
        <v/>
      </c>
      <c r="R3685">
        <f>INDEX(Products!$F$2:$F$49,MATCH(J3685,Products!$A$2:$A$49,0))</f>
        <v/>
      </c>
      <c r="S3685">
        <f>WEEKDAY(B3685,2)</f>
        <v/>
      </c>
    </row>
    <row r="3686">
      <c r="A3686" t="n">
        <v>511370</v>
      </c>
      <c r="B3686" s="6" t="n">
        <v>46001</v>
      </c>
      <c r="C3686" t="n">
        <v>17578</v>
      </c>
      <c r="D3686" t="inlineStr">
        <is>
          <t>Hyderabad</t>
        </is>
      </c>
      <c r="E3686" t="inlineStr">
        <is>
          <t>South</t>
        </is>
      </c>
      <c r="F3686" t="inlineStr">
        <is>
          <t>Organic Search</t>
        </is>
      </c>
      <c r="G3686" t="inlineStr">
        <is>
          <t>Mobile App</t>
        </is>
      </c>
      <c r="H3686" t="inlineStr">
        <is>
          <t>Cash on Delivery</t>
        </is>
      </c>
      <c r="I3686" t="inlineStr">
        <is>
          <t>Delivered</t>
        </is>
      </c>
      <c r="J3686" t="n">
        <v>113</v>
      </c>
      <c r="K3686" t="n">
        <v>1</v>
      </c>
      <c r="L3686" t="n">
        <v>1364</v>
      </c>
      <c r="M3686" t="n">
        <v>0</v>
      </c>
      <c r="N3686">
        <f>VLOOKUP(J3686,Products!$A$2:$C$49,3,FALSE)</f>
        <v/>
      </c>
      <c r="O3686">
        <f>K3686*L3686-M3686</f>
        <v/>
      </c>
      <c r="P3686">
        <f>TEXT(B3686,"yyyy-mm")</f>
        <v/>
      </c>
      <c r="Q3686">
        <f>IF(O3686&gt;=3000,"Large","Small")</f>
        <v/>
      </c>
      <c r="R3686">
        <f>INDEX(Products!$F$2:$F$49,MATCH(J3686,Products!$A$2:$A$49,0))</f>
        <v/>
      </c>
      <c r="S3686">
        <f>WEEKDAY(B3686,2)</f>
        <v/>
      </c>
    </row>
    <row r="3687">
      <c r="A3687" t="n">
        <v>511370</v>
      </c>
      <c r="B3687" s="6" t="n">
        <v>46001</v>
      </c>
      <c r="C3687" t="n">
        <v>17578</v>
      </c>
      <c r="D3687" t="inlineStr">
        <is>
          <t>Hyderabad</t>
        </is>
      </c>
      <c r="E3687" t="inlineStr">
        <is>
          <t>South</t>
        </is>
      </c>
      <c r="F3687" t="inlineStr">
        <is>
          <t>Organic Search</t>
        </is>
      </c>
      <c r="G3687" t="inlineStr">
        <is>
          <t>Mobile App</t>
        </is>
      </c>
      <c r="H3687" t="inlineStr">
        <is>
          <t>Cash on Delivery</t>
        </is>
      </c>
      <c r="I3687" t="inlineStr">
        <is>
          <t>Delivered</t>
        </is>
      </c>
      <c r="J3687" t="n">
        <v>140</v>
      </c>
      <c r="K3687" t="n">
        <v>1</v>
      </c>
      <c r="L3687" t="n">
        <v>629</v>
      </c>
      <c r="M3687" t="n">
        <v>0</v>
      </c>
      <c r="N3687">
        <f>VLOOKUP(J3687,Products!$A$2:$C$49,3,FALSE)</f>
        <v/>
      </c>
      <c r="O3687">
        <f>K3687*L3687-M3687</f>
        <v/>
      </c>
      <c r="P3687">
        <f>TEXT(B3687,"yyyy-mm")</f>
        <v/>
      </c>
      <c r="Q3687">
        <f>IF(O3687&gt;=3000,"Large","Small")</f>
        <v/>
      </c>
      <c r="R3687">
        <f>INDEX(Products!$F$2:$F$49,MATCH(J3687,Products!$A$2:$A$49,0))</f>
        <v/>
      </c>
      <c r="S3687">
        <f>WEEKDAY(B3687,2)</f>
        <v/>
      </c>
    </row>
    <row r="3688">
      <c r="A3688" t="n">
        <v>511371</v>
      </c>
      <c r="B3688" s="6" t="n">
        <v>46001</v>
      </c>
      <c r="C3688" t="n">
        <v>17085</v>
      </c>
      <c r="D3688" t="inlineStr">
        <is>
          <t>Pune</t>
        </is>
      </c>
      <c r="E3688" t="inlineStr">
        <is>
          <t>West</t>
        </is>
      </c>
      <c r="F3688" t="inlineStr">
        <is>
          <t>Paid Social</t>
        </is>
      </c>
      <c r="G3688" t="inlineStr">
        <is>
          <t>Mobile App</t>
        </is>
      </c>
      <c r="H3688" t="inlineStr">
        <is>
          <t>Credit Card</t>
        </is>
      </c>
      <c r="I3688" t="inlineStr">
        <is>
          <t>Delivered</t>
        </is>
      </c>
      <c r="J3688" t="n">
        <v>115</v>
      </c>
      <c r="K3688" t="n">
        <v>1</v>
      </c>
      <c r="L3688" t="n">
        <v>4199</v>
      </c>
      <c r="M3688" t="n">
        <v>0</v>
      </c>
      <c r="N3688">
        <f>VLOOKUP(J3688,Products!$A$2:$C$49,3,FALSE)</f>
        <v/>
      </c>
      <c r="O3688">
        <f>K3688*L3688-M3688</f>
        <v/>
      </c>
      <c r="P3688">
        <f>TEXT(B3688,"yyyy-mm")</f>
        <v/>
      </c>
      <c r="Q3688">
        <f>IF(O3688&gt;=3000,"Large","Small")</f>
        <v/>
      </c>
      <c r="R3688">
        <f>INDEX(Products!$F$2:$F$49,MATCH(J3688,Products!$A$2:$A$49,0))</f>
        <v/>
      </c>
      <c r="S3688">
        <f>WEEKDAY(B3688,2)</f>
        <v/>
      </c>
    </row>
    <row r="3689">
      <c r="A3689" t="n">
        <v>511371</v>
      </c>
      <c r="B3689" s="6" t="n">
        <v>46001</v>
      </c>
      <c r="C3689" t="n">
        <v>17085</v>
      </c>
      <c r="D3689" t="inlineStr">
        <is>
          <t>Pune</t>
        </is>
      </c>
      <c r="E3689" t="inlineStr">
        <is>
          <t>West</t>
        </is>
      </c>
      <c r="F3689" t="inlineStr">
        <is>
          <t>Paid Social</t>
        </is>
      </c>
      <c r="G3689" t="inlineStr">
        <is>
          <t>Mobile App</t>
        </is>
      </c>
      <c r="H3689" t="inlineStr">
        <is>
          <t>Credit Card</t>
        </is>
      </c>
      <c r="I3689" t="inlineStr">
        <is>
          <t>Delivered</t>
        </is>
      </c>
      <c r="J3689" t="n">
        <v>104</v>
      </c>
      <c r="K3689" t="n">
        <v>2</v>
      </c>
      <c r="L3689" t="n">
        <v>5249</v>
      </c>
      <c r="M3689" t="n">
        <v>0</v>
      </c>
      <c r="N3689">
        <f>VLOOKUP(J3689,Products!$A$2:$C$49,3,FALSE)</f>
        <v/>
      </c>
      <c r="O3689">
        <f>K3689*L3689-M3689</f>
        <v/>
      </c>
      <c r="P3689">
        <f>TEXT(B3689,"yyyy-mm")</f>
        <v/>
      </c>
      <c r="Q3689">
        <f>IF(O3689&gt;=3000,"Large","Small")</f>
        <v/>
      </c>
      <c r="R3689">
        <f>INDEX(Products!$F$2:$F$49,MATCH(J3689,Products!$A$2:$A$49,0))</f>
        <v/>
      </c>
      <c r="S3689">
        <f>WEEKDAY(B3689,2)</f>
        <v/>
      </c>
    </row>
    <row r="3690">
      <c r="A3690" t="n">
        <v>511372</v>
      </c>
      <c r="B3690" s="6" t="n">
        <v>46001</v>
      </c>
      <c r="C3690" t="n">
        <v>17551</v>
      </c>
      <c r="D3690" t="inlineStr">
        <is>
          <t>Hyderabad</t>
        </is>
      </c>
      <c r="E3690" t="inlineStr">
        <is>
          <t>South</t>
        </is>
      </c>
      <c r="F3690" t="inlineStr">
        <is>
          <t>Organic Search</t>
        </is>
      </c>
      <c r="G3690" t="inlineStr">
        <is>
          <t>Desktop</t>
        </is>
      </c>
      <c r="H3690" t="inlineStr">
        <is>
          <t>Credit Card</t>
        </is>
      </c>
      <c r="I3690" t="inlineStr">
        <is>
          <t>Delivered</t>
        </is>
      </c>
      <c r="J3690" t="n">
        <v>112</v>
      </c>
      <c r="K3690" t="n">
        <v>1</v>
      </c>
      <c r="L3690" t="n">
        <v>1574</v>
      </c>
      <c r="M3690" t="n">
        <v>236.1</v>
      </c>
      <c r="N3690">
        <f>VLOOKUP(J3690,Products!$A$2:$C$49,3,FALSE)</f>
        <v/>
      </c>
      <c r="O3690">
        <f>K3690*L3690-M3690</f>
        <v/>
      </c>
      <c r="P3690">
        <f>TEXT(B3690,"yyyy-mm")</f>
        <v/>
      </c>
      <c r="Q3690">
        <f>IF(O3690&gt;=3000,"Large","Small")</f>
        <v/>
      </c>
      <c r="R3690">
        <f>INDEX(Products!$F$2:$F$49,MATCH(J3690,Products!$A$2:$A$49,0))</f>
        <v/>
      </c>
      <c r="S3690">
        <f>WEEKDAY(B3690,2)</f>
        <v/>
      </c>
    </row>
    <row r="3691">
      <c r="A3691" t="n">
        <v>511372</v>
      </c>
      <c r="B3691" s="6" t="n">
        <v>46001</v>
      </c>
      <c r="C3691" t="n">
        <v>17551</v>
      </c>
      <c r="D3691" t="inlineStr">
        <is>
          <t>Hyderabad</t>
        </is>
      </c>
      <c r="E3691" t="inlineStr">
        <is>
          <t>South</t>
        </is>
      </c>
      <c r="F3691" t="inlineStr">
        <is>
          <t>Organic Search</t>
        </is>
      </c>
      <c r="G3691" t="inlineStr">
        <is>
          <t>Desktop</t>
        </is>
      </c>
      <c r="H3691" t="inlineStr">
        <is>
          <t>Credit Card</t>
        </is>
      </c>
      <c r="I3691" t="inlineStr">
        <is>
          <t>Delivered</t>
        </is>
      </c>
      <c r="J3691" t="n">
        <v>117</v>
      </c>
      <c r="K3691" t="n">
        <v>1</v>
      </c>
      <c r="L3691" t="n">
        <v>3149</v>
      </c>
      <c r="M3691" t="n">
        <v>472.35</v>
      </c>
      <c r="N3691">
        <f>VLOOKUP(J3691,Products!$A$2:$C$49,3,FALSE)</f>
        <v/>
      </c>
      <c r="O3691">
        <f>K3691*L3691-M3691</f>
        <v/>
      </c>
      <c r="P3691">
        <f>TEXT(B3691,"yyyy-mm")</f>
        <v/>
      </c>
      <c r="Q3691">
        <f>IF(O3691&gt;=3000,"Large","Small")</f>
        <v/>
      </c>
      <c r="R3691">
        <f>INDEX(Products!$F$2:$F$49,MATCH(J3691,Products!$A$2:$A$49,0))</f>
        <v/>
      </c>
      <c r="S3691">
        <f>WEEKDAY(B3691,2)</f>
        <v/>
      </c>
    </row>
    <row r="3692">
      <c r="A3692" t="n">
        <v>511373</v>
      </c>
      <c r="B3692" s="6" t="n">
        <v>46001</v>
      </c>
      <c r="C3692" t="n">
        <v>13141</v>
      </c>
      <c r="D3692" t="inlineStr">
        <is>
          <t>Hyderabad</t>
        </is>
      </c>
      <c r="E3692" t="inlineStr">
        <is>
          <t>South</t>
        </is>
      </c>
      <c r="F3692" t="inlineStr">
        <is>
          <t>Email</t>
        </is>
      </c>
      <c r="G3692" t="inlineStr">
        <is>
          <t>Mobile Web</t>
        </is>
      </c>
      <c r="H3692" t="inlineStr">
        <is>
          <t>UPI</t>
        </is>
      </c>
      <c r="I3692" t="inlineStr">
        <is>
          <t>Delivered</t>
        </is>
      </c>
      <c r="J3692" t="n">
        <v>142</v>
      </c>
      <c r="K3692" t="n">
        <v>1</v>
      </c>
      <c r="L3692" t="n">
        <v>839</v>
      </c>
      <c r="M3692" t="n">
        <v>0</v>
      </c>
      <c r="N3692">
        <f>VLOOKUP(J3692,Products!$A$2:$C$49,3,FALSE)</f>
        <v/>
      </c>
      <c r="O3692">
        <f>K3692*L3692-M3692</f>
        <v/>
      </c>
      <c r="P3692">
        <f>TEXT(B3692,"yyyy-mm")</f>
        <v/>
      </c>
      <c r="Q3692">
        <f>IF(O3692&gt;=3000,"Large","Small")</f>
        <v/>
      </c>
      <c r="R3692">
        <f>INDEX(Products!$F$2:$F$49,MATCH(J3692,Products!$A$2:$A$49,0))</f>
        <v/>
      </c>
      <c r="S3692">
        <f>WEEKDAY(B3692,2)</f>
        <v/>
      </c>
    </row>
    <row r="3693">
      <c r="A3693" t="n">
        <v>511374</v>
      </c>
      <c r="B3693" s="6" t="n">
        <v>46001</v>
      </c>
      <c r="C3693" t="n">
        <v>17667</v>
      </c>
      <c r="D3693" t="inlineStr">
        <is>
          <t>Chennai</t>
        </is>
      </c>
      <c r="E3693" t="inlineStr">
        <is>
          <t>South</t>
        </is>
      </c>
      <c r="F3693" t="inlineStr">
        <is>
          <t>Referral</t>
        </is>
      </c>
      <c r="G3693" t="inlineStr">
        <is>
          <t>Mobile Web</t>
        </is>
      </c>
      <c r="H3693" t="inlineStr">
        <is>
          <t>Cash on Delivery</t>
        </is>
      </c>
      <c r="I3693" t="inlineStr">
        <is>
          <t>Delivered</t>
        </is>
      </c>
      <c r="J3693" t="n">
        <v>115</v>
      </c>
      <c r="K3693" t="n">
        <v>1</v>
      </c>
      <c r="L3693" t="n">
        <v>4199</v>
      </c>
      <c r="M3693" t="n">
        <v>0</v>
      </c>
      <c r="N3693">
        <f>VLOOKUP(J3693,Products!$A$2:$C$49,3,FALSE)</f>
        <v/>
      </c>
      <c r="O3693">
        <f>K3693*L3693-M3693</f>
        <v/>
      </c>
      <c r="P3693">
        <f>TEXT(B3693,"yyyy-mm")</f>
        <v/>
      </c>
      <c r="Q3693">
        <f>IF(O3693&gt;=3000,"Large","Small")</f>
        <v/>
      </c>
      <c r="R3693">
        <f>INDEX(Products!$F$2:$F$49,MATCH(J3693,Products!$A$2:$A$49,0))</f>
        <v/>
      </c>
      <c r="S3693">
        <f>WEEKDAY(B3693,2)</f>
        <v/>
      </c>
    </row>
    <row r="3694">
      <c r="A3694" t="n">
        <v>511375</v>
      </c>
      <c r="B3694" s="6" t="n">
        <v>46001</v>
      </c>
      <c r="C3694" t="n">
        <v>17706</v>
      </c>
      <c r="D3694" t="inlineStr">
        <is>
          <t>Chennai</t>
        </is>
      </c>
      <c r="E3694" t="inlineStr">
        <is>
          <t>South</t>
        </is>
      </c>
      <c r="F3694" t="inlineStr">
        <is>
          <t>Referral</t>
        </is>
      </c>
      <c r="G3694" t="inlineStr">
        <is>
          <t>Mobile App</t>
        </is>
      </c>
      <c r="H3694" t="inlineStr">
        <is>
          <t>Credit Card</t>
        </is>
      </c>
      <c r="I3694" t="inlineStr">
        <is>
          <t>Delivered</t>
        </is>
      </c>
      <c r="J3694" t="n">
        <v>129</v>
      </c>
      <c r="K3694" t="n">
        <v>1</v>
      </c>
      <c r="L3694" t="n">
        <v>576</v>
      </c>
      <c r="M3694" t="n">
        <v>0</v>
      </c>
      <c r="N3694">
        <f>VLOOKUP(J3694,Products!$A$2:$C$49,3,FALSE)</f>
        <v/>
      </c>
      <c r="O3694">
        <f>K3694*L3694-M3694</f>
        <v/>
      </c>
      <c r="P3694">
        <f>TEXT(B3694,"yyyy-mm")</f>
        <v/>
      </c>
      <c r="Q3694">
        <f>IF(O3694&gt;=3000,"Large","Small")</f>
        <v/>
      </c>
      <c r="R3694">
        <f>INDEX(Products!$F$2:$F$49,MATCH(J3694,Products!$A$2:$A$49,0))</f>
        <v/>
      </c>
      <c r="S3694">
        <f>WEEKDAY(B3694,2)</f>
        <v/>
      </c>
    </row>
    <row r="3695">
      <c r="A3695" t="n">
        <v>511375</v>
      </c>
      <c r="B3695" s="6" t="n">
        <v>46001</v>
      </c>
      <c r="C3695" t="n">
        <v>17706</v>
      </c>
      <c r="D3695" t="inlineStr">
        <is>
          <t>Chennai</t>
        </is>
      </c>
      <c r="E3695" t="inlineStr">
        <is>
          <t>South</t>
        </is>
      </c>
      <c r="F3695" t="inlineStr">
        <is>
          <t>Referral</t>
        </is>
      </c>
      <c r="G3695" t="inlineStr">
        <is>
          <t>Mobile App</t>
        </is>
      </c>
      <c r="H3695" t="inlineStr">
        <is>
          <t>Credit Card</t>
        </is>
      </c>
      <c r="I3695" t="inlineStr">
        <is>
          <t>Delivered</t>
        </is>
      </c>
      <c r="J3695" t="n">
        <v>133</v>
      </c>
      <c r="K3695" t="n">
        <v>1</v>
      </c>
      <c r="L3695" t="n">
        <v>419</v>
      </c>
      <c r="M3695" t="n">
        <v>0</v>
      </c>
      <c r="N3695">
        <f>VLOOKUP(J3695,Products!$A$2:$C$49,3,FALSE)</f>
        <v/>
      </c>
      <c r="O3695">
        <f>K3695*L3695-M3695</f>
        <v/>
      </c>
      <c r="P3695">
        <f>TEXT(B3695,"yyyy-mm")</f>
        <v/>
      </c>
      <c r="Q3695">
        <f>IF(O3695&gt;=3000,"Large","Small")</f>
        <v/>
      </c>
      <c r="R3695">
        <f>INDEX(Products!$F$2:$F$49,MATCH(J3695,Products!$A$2:$A$49,0))</f>
        <v/>
      </c>
      <c r="S3695">
        <f>WEEKDAY(B3695,2)</f>
        <v/>
      </c>
    </row>
    <row r="3696">
      <c r="A3696" t="n">
        <v>511375</v>
      </c>
      <c r="B3696" s="6" t="n">
        <v>46001</v>
      </c>
      <c r="C3696" t="n">
        <v>17706</v>
      </c>
      <c r="D3696" t="inlineStr">
        <is>
          <t>Chennai</t>
        </is>
      </c>
      <c r="E3696" t="inlineStr">
        <is>
          <t>South</t>
        </is>
      </c>
      <c r="F3696" t="inlineStr">
        <is>
          <t>Referral</t>
        </is>
      </c>
      <c r="G3696" t="inlineStr">
        <is>
          <t>Mobile App</t>
        </is>
      </c>
      <c r="H3696" t="inlineStr">
        <is>
          <t>Credit Card</t>
        </is>
      </c>
      <c r="I3696" t="inlineStr">
        <is>
          <t>Delivered</t>
        </is>
      </c>
      <c r="J3696" t="n">
        <v>111</v>
      </c>
      <c r="K3696" t="n">
        <v>1</v>
      </c>
      <c r="L3696" t="n">
        <v>524</v>
      </c>
      <c r="M3696" t="n">
        <v>0</v>
      </c>
      <c r="N3696">
        <f>VLOOKUP(J3696,Products!$A$2:$C$49,3,FALSE)</f>
        <v/>
      </c>
      <c r="O3696">
        <f>K3696*L3696-M3696</f>
        <v/>
      </c>
      <c r="P3696">
        <f>TEXT(B3696,"yyyy-mm")</f>
        <v/>
      </c>
      <c r="Q3696">
        <f>IF(O3696&gt;=3000,"Large","Small")</f>
        <v/>
      </c>
      <c r="R3696">
        <f>INDEX(Products!$F$2:$F$49,MATCH(J3696,Products!$A$2:$A$49,0))</f>
        <v/>
      </c>
      <c r="S3696">
        <f>WEEKDAY(B3696,2)</f>
        <v/>
      </c>
    </row>
    <row r="3697">
      <c r="A3697" t="n">
        <v>511376</v>
      </c>
      <c r="B3697" s="6" t="n">
        <v>46001</v>
      </c>
      <c r="C3697" t="n">
        <v>17686</v>
      </c>
      <c r="D3697" t="inlineStr">
        <is>
          <t>Noida</t>
        </is>
      </c>
      <c r="E3697" t="inlineStr">
        <is>
          <t>North</t>
        </is>
      </c>
      <c r="F3697" t="inlineStr">
        <is>
          <t>Referral</t>
        </is>
      </c>
      <c r="G3697" t="inlineStr">
        <is>
          <t>Mobile App</t>
        </is>
      </c>
      <c r="H3697" t="inlineStr">
        <is>
          <t>UPI</t>
        </is>
      </c>
      <c r="I3697" t="inlineStr">
        <is>
          <t>Delivered</t>
        </is>
      </c>
      <c r="J3697" t="n">
        <v>146</v>
      </c>
      <c r="K3697" t="n">
        <v>1</v>
      </c>
      <c r="L3697" t="n">
        <v>4724</v>
      </c>
      <c r="M3697" t="n">
        <v>708.6</v>
      </c>
      <c r="N3697">
        <f>VLOOKUP(J3697,Products!$A$2:$C$49,3,FALSE)</f>
        <v/>
      </c>
      <c r="O3697">
        <f>K3697*L3697-M3697</f>
        <v/>
      </c>
      <c r="P3697">
        <f>TEXT(B3697,"yyyy-mm")</f>
        <v/>
      </c>
      <c r="Q3697">
        <f>IF(O3697&gt;=3000,"Large","Small")</f>
        <v/>
      </c>
      <c r="R3697">
        <f>INDEX(Products!$F$2:$F$49,MATCH(J3697,Products!$A$2:$A$49,0))</f>
        <v/>
      </c>
      <c r="S3697">
        <f>WEEKDAY(B3697,2)</f>
        <v/>
      </c>
    </row>
    <row r="3698">
      <c r="A3698" t="n">
        <v>511377</v>
      </c>
      <c r="B3698" s="6" t="n">
        <v>46001</v>
      </c>
      <c r="C3698" t="n">
        <v>17698</v>
      </c>
      <c r="D3698" t="inlineStr">
        <is>
          <t>Mumbai</t>
        </is>
      </c>
      <c r="E3698" t="inlineStr">
        <is>
          <t>West</t>
        </is>
      </c>
      <c r="F3698" t="inlineStr">
        <is>
          <t>Paid Search</t>
        </is>
      </c>
      <c r="G3698" t="inlineStr">
        <is>
          <t>Mobile Web</t>
        </is>
      </c>
      <c r="H3698" t="inlineStr">
        <is>
          <t>UPI</t>
        </is>
      </c>
      <c r="I3698" t="inlineStr">
        <is>
          <t>Delivered</t>
        </is>
      </c>
      <c r="J3698" t="n">
        <v>117</v>
      </c>
      <c r="K3698" t="n">
        <v>1</v>
      </c>
      <c r="L3698" t="n">
        <v>3149</v>
      </c>
      <c r="M3698" t="n">
        <v>0</v>
      </c>
      <c r="N3698">
        <f>VLOOKUP(J3698,Products!$A$2:$C$49,3,FALSE)</f>
        <v/>
      </c>
      <c r="O3698">
        <f>K3698*L3698-M3698</f>
        <v/>
      </c>
      <c r="P3698">
        <f>TEXT(B3698,"yyyy-mm")</f>
        <v/>
      </c>
      <c r="Q3698">
        <f>IF(O3698&gt;=3000,"Large","Small")</f>
        <v/>
      </c>
      <c r="R3698">
        <f>INDEX(Products!$F$2:$F$49,MATCH(J3698,Products!$A$2:$A$49,0))</f>
        <v/>
      </c>
      <c r="S3698">
        <f>WEEKDAY(B3698,2)</f>
        <v/>
      </c>
    </row>
    <row r="3699">
      <c r="A3699" t="n">
        <v>511378</v>
      </c>
      <c r="B3699" s="6" t="n">
        <v>46001</v>
      </c>
      <c r="C3699" t="n">
        <v>17653</v>
      </c>
      <c r="D3699" t="inlineStr">
        <is>
          <t>Noida</t>
        </is>
      </c>
      <c r="E3699" t="inlineStr">
        <is>
          <t>North</t>
        </is>
      </c>
      <c r="F3699" t="inlineStr">
        <is>
          <t>Organic Search</t>
        </is>
      </c>
      <c r="G3699" t="inlineStr">
        <is>
          <t>Desktop</t>
        </is>
      </c>
      <c r="H3699" t="inlineStr">
        <is>
          <t>UPI</t>
        </is>
      </c>
      <c r="I3699" t="inlineStr">
        <is>
          <t>Delivered</t>
        </is>
      </c>
      <c r="J3699" t="n">
        <v>116</v>
      </c>
      <c r="K3699" t="n">
        <v>1</v>
      </c>
      <c r="L3699" t="n">
        <v>2624</v>
      </c>
      <c r="M3699" t="n">
        <v>0</v>
      </c>
      <c r="N3699">
        <f>VLOOKUP(J3699,Products!$A$2:$C$49,3,FALSE)</f>
        <v/>
      </c>
      <c r="O3699">
        <f>K3699*L3699-M3699</f>
        <v/>
      </c>
      <c r="P3699">
        <f>TEXT(B3699,"yyyy-mm")</f>
        <v/>
      </c>
      <c r="Q3699">
        <f>IF(O3699&gt;=3000,"Large","Small")</f>
        <v/>
      </c>
      <c r="R3699">
        <f>INDEX(Products!$F$2:$F$49,MATCH(J3699,Products!$A$2:$A$49,0))</f>
        <v/>
      </c>
      <c r="S3699">
        <f>WEEKDAY(B3699,2)</f>
        <v/>
      </c>
    </row>
    <row r="3700">
      <c r="A3700" t="n">
        <v>511379</v>
      </c>
      <c r="B3700" s="6" t="n">
        <v>46001</v>
      </c>
      <c r="C3700" t="n">
        <v>17708</v>
      </c>
      <c r="D3700" t="inlineStr">
        <is>
          <t>Jaipur</t>
        </is>
      </c>
      <c r="E3700" t="inlineStr">
        <is>
          <t>North</t>
        </is>
      </c>
      <c r="F3700" t="inlineStr">
        <is>
          <t>Paid Social</t>
        </is>
      </c>
      <c r="G3700" t="inlineStr">
        <is>
          <t>Mobile Web</t>
        </is>
      </c>
      <c r="H3700" t="inlineStr">
        <is>
          <t>Net Banking</t>
        </is>
      </c>
      <c r="I3700" t="inlineStr">
        <is>
          <t>Delivered</t>
        </is>
      </c>
      <c r="J3700" t="n">
        <v>120</v>
      </c>
      <c r="K3700" t="n">
        <v>2</v>
      </c>
      <c r="L3700" t="n">
        <v>734</v>
      </c>
      <c r="M3700" t="n">
        <v>0</v>
      </c>
      <c r="N3700">
        <f>VLOOKUP(J3700,Products!$A$2:$C$49,3,FALSE)</f>
        <v/>
      </c>
      <c r="O3700">
        <f>K3700*L3700-M3700</f>
        <v/>
      </c>
      <c r="P3700">
        <f>TEXT(B3700,"yyyy-mm")</f>
        <v/>
      </c>
      <c r="Q3700">
        <f>IF(O3700&gt;=3000,"Large","Small")</f>
        <v/>
      </c>
      <c r="R3700">
        <f>INDEX(Products!$F$2:$F$49,MATCH(J3700,Products!$A$2:$A$49,0))</f>
        <v/>
      </c>
      <c r="S3700">
        <f>WEEKDAY(B3700,2)</f>
        <v/>
      </c>
    </row>
    <row r="3701">
      <c r="A3701" t="n">
        <v>511380</v>
      </c>
      <c r="B3701" s="6" t="n">
        <v>46001</v>
      </c>
      <c r="C3701" t="n">
        <v>17087</v>
      </c>
      <c r="D3701" t="inlineStr">
        <is>
          <t>Bengaluru</t>
        </is>
      </c>
      <c r="E3701" t="inlineStr">
        <is>
          <t>South</t>
        </is>
      </c>
      <c r="F3701" t="inlineStr">
        <is>
          <t>Paid Search</t>
        </is>
      </c>
      <c r="G3701" t="inlineStr">
        <is>
          <t>Mobile Web</t>
        </is>
      </c>
      <c r="H3701" t="inlineStr">
        <is>
          <t>UPI</t>
        </is>
      </c>
      <c r="I3701" t="inlineStr">
        <is>
          <t>Delivered</t>
        </is>
      </c>
      <c r="J3701" t="n">
        <v>117</v>
      </c>
      <c r="K3701" t="n">
        <v>1</v>
      </c>
      <c r="L3701" t="n">
        <v>3149</v>
      </c>
      <c r="M3701" t="n">
        <v>0</v>
      </c>
      <c r="N3701">
        <f>VLOOKUP(J3701,Products!$A$2:$C$49,3,FALSE)</f>
        <v/>
      </c>
      <c r="O3701">
        <f>K3701*L3701-M3701</f>
        <v/>
      </c>
      <c r="P3701">
        <f>TEXT(B3701,"yyyy-mm")</f>
        <v/>
      </c>
      <c r="Q3701">
        <f>IF(O3701&gt;=3000,"Large","Small")</f>
        <v/>
      </c>
      <c r="R3701">
        <f>INDEX(Products!$F$2:$F$49,MATCH(J3701,Products!$A$2:$A$49,0))</f>
        <v/>
      </c>
      <c r="S3701">
        <f>WEEKDAY(B3701,2)</f>
        <v/>
      </c>
    </row>
    <row r="3702">
      <c r="A3702" t="n">
        <v>511381</v>
      </c>
      <c r="B3702" s="6" t="n">
        <v>46001</v>
      </c>
      <c r="C3702" t="n">
        <v>14750</v>
      </c>
      <c r="D3702" t="inlineStr">
        <is>
          <t>Jaipur</t>
        </is>
      </c>
      <c r="E3702" t="inlineStr">
        <is>
          <t>North</t>
        </is>
      </c>
      <c r="F3702" t="inlineStr">
        <is>
          <t>Paid Social</t>
        </is>
      </c>
      <c r="G3702" t="inlineStr">
        <is>
          <t>Mobile Web</t>
        </is>
      </c>
      <c r="H3702" t="inlineStr">
        <is>
          <t>Net Banking</t>
        </is>
      </c>
      <c r="I3702" t="inlineStr">
        <is>
          <t>Delivered</t>
        </is>
      </c>
      <c r="J3702" t="n">
        <v>124</v>
      </c>
      <c r="K3702" t="n">
        <v>1</v>
      </c>
      <c r="L3702" t="n">
        <v>1154</v>
      </c>
      <c r="M3702" t="n">
        <v>0</v>
      </c>
      <c r="N3702">
        <f>VLOOKUP(J3702,Products!$A$2:$C$49,3,FALSE)</f>
        <v/>
      </c>
      <c r="O3702">
        <f>K3702*L3702-M3702</f>
        <v/>
      </c>
      <c r="P3702">
        <f>TEXT(B3702,"yyyy-mm")</f>
        <v/>
      </c>
      <c r="Q3702">
        <f>IF(O3702&gt;=3000,"Large","Small")</f>
        <v/>
      </c>
      <c r="R3702">
        <f>INDEX(Products!$F$2:$F$49,MATCH(J3702,Products!$A$2:$A$49,0))</f>
        <v/>
      </c>
      <c r="S3702">
        <f>WEEKDAY(B3702,2)</f>
        <v/>
      </c>
    </row>
    <row r="3703">
      <c r="A3703" t="n">
        <v>511382</v>
      </c>
      <c r="B3703" s="6" t="n">
        <v>46001</v>
      </c>
      <c r="C3703" t="n">
        <v>16290</v>
      </c>
      <c r="D3703" t="inlineStr">
        <is>
          <t>Lucknow</t>
        </is>
      </c>
      <c r="E3703" t="inlineStr">
        <is>
          <t>North</t>
        </is>
      </c>
      <c r="F3703" t="inlineStr">
        <is>
          <t>Paid Search</t>
        </is>
      </c>
      <c r="G3703" t="inlineStr">
        <is>
          <t>Mobile App</t>
        </is>
      </c>
      <c r="H3703" t="inlineStr">
        <is>
          <t>Net Banking</t>
        </is>
      </c>
      <c r="I3703" t="inlineStr">
        <is>
          <t>Delivered</t>
        </is>
      </c>
      <c r="J3703" t="n">
        <v>101</v>
      </c>
      <c r="K3703" t="n">
        <v>2</v>
      </c>
      <c r="L3703" t="n">
        <v>2099</v>
      </c>
      <c r="M3703" t="n">
        <v>0</v>
      </c>
      <c r="N3703">
        <f>VLOOKUP(J3703,Products!$A$2:$C$49,3,FALSE)</f>
        <v/>
      </c>
      <c r="O3703">
        <f>K3703*L3703-M3703</f>
        <v/>
      </c>
      <c r="P3703">
        <f>TEXT(B3703,"yyyy-mm")</f>
        <v/>
      </c>
      <c r="Q3703">
        <f>IF(O3703&gt;=3000,"Large","Small")</f>
        <v/>
      </c>
      <c r="R3703">
        <f>INDEX(Products!$F$2:$F$49,MATCH(J3703,Products!$A$2:$A$49,0))</f>
        <v/>
      </c>
      <c r="S3703">
        <f>WEEKDAY(B3703,2)</f>
        <v/>
      </c>
    </row>
    <row r="3704">
      <c r="A3704" t="n">
        <v>511382</v>
      </c>
      <c r="B3704" s="6" t="n">
        <v>46001</v>
      </c>
      <c r="C3704" t="n">
        <v>16290</v>
      </c>
      <c r="D3704" t="inlineStr">
        <is>
          <t>Lucknow</t>
        </is>
      </c>
      <c r="E3704" t="inlineStr">
        <is>
          <t>North</t>
        </is>
      </c>
      <c r="F3704" t="inlineStr">
        <is>
          <t>Paid Search</t>
        </is>
      </c>
      <c r="G3704" t="inlineStr">
        <is>
          <t>Mobile App</t>
        </is>
      </c>
      <c r="H3704" t="inlineStr">
        <is>
          <t>Net Banking</t>
        </is>
      </c>
      <c r="I3704" t="inlineStr">
        <is>
          <t>Delivered</t>
        </is>
      </c>
      <c r="J3704" t="n">
        <v>109</v>
      </c>
      <c r="K3704" t="n">
        <v>1</v>
      </c>
      <c r="L3704" t="n">
        <v>4199</v>
      </c>
      <c r="M3704" t="n">
        <v>0</v>
      </c>
      <c r="N3704">
        <f>VLOOKUP(J3704,Products!$A$2:$C$49,3,FALSE)</f>
        <v/>
      </c>
      <c r="O3704">
        <f>K3704*L3704-M3704</f>
        <v/>
      </c>
      <c r="P3704">
        <f>TEXT(B3704,"yyyy-mm")</f>
        <v/>
      </c>
      <c r="Q3704">
        <f>IF(O3704&gt;=3000,"Large","Small")</f>
        <v/>
      </c>
      <c r="R3704">
        <f>INDEX(Products!$F$2:$F$49,MATCH(J3704,Products!$A$2:$A$49,0))</f>
        <v/>
      </c>
      <c r="S3704">
        <f>WEEKDAY(B3704,2)</f>
        <v/>
      </c>
    </row>
    <row r="3705">
      <c r="A3705" t="n">
        <v>511383</v>
      </c>
      <c r="B3705" s="6" t="n">
        <v>46002</v>
      </c>
      <c r="C3705" t="n">
        <v>17728</v>
      </c>
      <c r="D3705" t="inlineStr">
        <is>
          <t>Hyderabad</t>
        </is>
      </c>
      <c r="E3705" t="inlineStr">
        <is>
          <t>South</t>
        </is>
      </c>
      <c r="F3705" t="inlineStr">
        <is>
          <t>Organic Search</t>
        </is>
      </c>
      <c r="G3705" t="inlineStr">
        <is>
          <t>Mobile Web</t>
        </is>
      </c>
      <c r="H3705" t="inlineStr">
        <is>
          <t>UPI</t>
        </is>
      </c>
      <c r="I3705" t="inlineStr">
        <is>
          <t>Returned</t>
        </is>
      </c>
      <c r="J3705" t="n">
        <v>148</v>
      </c>
      <c r="K3705" t="n">
        <v>1</v>
      </c>
      <c r="L3705" t="n">
        <v>734</v>
      </c>
      <c r="M3705" t="n">
        <v>110.1</v>
      </c>
      <c r="N3705">
        <f>VLOOKUP(J3705,Products!$A$2:$C$49,3,FALSE)</f>
        <v/>
      </c>
      <c r="O3705">
        <f>K3705*L3705-M3705</f>
        <v/>
      </c>
      <c r="P3705">
        <f>TEXT(B3705,"yyyy-mm")</f>
        <v/>
      </c>
      <c r="Q3705">
        <f>IF(O3705&gt;=3000,"Large","Small")</f>
        <v/>
      </c>
      <c r="R3705">
        <f>INDEX(Products!$F$2:$F$49,MATCH(J3705,Products!$A$2:$A$49,0))</f>
        <v/>
      </c>
      <c r="S3705">
        <f>WEEKDAY(B3705,2)</f>
        <v/>
      </c>
    </row>
    <row r="3706">
      <c r="A3706" t="n">
        <v>511384</v>
      </c>
      <c r="B3706" s="6" t="n">
        <v>46002</v>
      </c>
      <c r="C3706" t="n">
        <v>17420</v>
      </c>
      <c r="D3706" t="inlineStr">
        <is>
          <t>Gurugram</t>
        </is>
      </c>
      <c r="E3706" t="inlineStr">
        <is>
          <t>North</t>
        </is>
      </c>
      <c r="F3706" t="inlineStr">
        <is>
          <t>Organic Search</t>
        </is>
      </c>
      <c r="G3706" t="inlineStr">
        <is>
          <t>Desktop</t>
        </is>
      </c>
      <c r="H3706" t="inlineStr">
        <is>
          <t>UPI</t>
        </is>
      </c>
      <c r="I3706" t="inlineStr">
        <is>
          <t>Delivered</t>
        </is>
      </c>
      <c r="J3706" t="n">
        <v>102</v>
      </c>
      <c r="K3706" t="n">
        <v>1</v>
      </c>
      <c r="L3706" t="n">
        <v>3674</v>
      </c>
      <c r="M3706" t="n">
        <v>0</v>
      </c>
      <c r="N3706">
        <f>VLOOKUP(J3706,Products!$A$2:$C$49,3,FALSE)</f>
        <v/>
      </c>
      <c r="O3706">
        <f>K3706*L3706-M3706</f>
        <v/>
      </c>
      <c r="P3706">
        <f>TEXT(B3706,"yyyy-mm")</f>
        <v/>
      </c>
      <c r="Q3706">
        <f>IF(O3706&gt;=3000,"Large","Small")</f>
        <v/>
      </c>
      <c r="R3706">
        <f>INDEX(Products!$F$2:$F$49,MATCH(J3706,Products!$A$2:$A$49,0))</f>
        <v/>
      </c>
      <c r="S3706">
        <f>WEEKDAY(B3706,2)</f>
        <v/>
      </c>
    </row>
    <row r="3707">
      <c r="A3707" t="n">
        <v>511384</v>
      </c>
      <c r="B3707" s="6" t="n">
        <v>46002</v>
      </c>
      <c r="C3707" t="n">
        <v>17420</v>
      </c>
      <c r="D3707" t="inlineStr">
        <is>
          <t>Gurugram</t>
        </is>
      </c>
      <c r="E3707" t="inlineStr">
        <is>
          <t>North</t>
        </is>
      </c>
      <c r="F3707" t="inlineStr">
        <is>
          <t>Organic Search</t>
        </is>
      </c>
      <c r="G3707" t="inlineStr">
        <is>
          <t>Desktop</t>
        </is>
      </c>
      <c r="H3707" t="inlineStr">
        <is>
          <t>UPI</t>
        </is>
      </c>
      <c r="I3707" t="inlineStr">
        <is>
          <t>Delivered</t>
        </is>
      </c>
      <c r="J3707" t="n">
        <v>124</v>
      </c>
      <c r="K3707" t="n">
        <v>1</v>
      </c>
      <c r="L3707" t="n">
        <v>1154</v>
      </c>
      <c r="M3707" t="n">
        <v>0</v>
      </c>
      <c r="N3707">
        <f>VLOOKUP(J3707,Products!$A$2:$C$49,3,FALSE)</f>
        <v/>
      </c>
      <c r="O3707">
        <f>K3707*L3707-M3707</f>
        <v/>
      </c>
      <c r="P3707">
        <f>TEXT(B3707,"yyyy-mm")</f>
        <v/>
      </c>
      <c r="Q3707">
        <f>IF(O3707&gt;=3000,"Large","Small")</f>
        <v/>
      </c>
      <c r="R3707">
        <f>INDEX(Products!$F$2:$F$49,MATCH(J3707,Products!$A$2:$A$49,0))</f>
        <v/>
      </c>
      <c r="S3707">
        <f>WEEKDAY(B3707,2)</f>
        <v/>
      </c>
    </row>
    <row r="3708">
      <c r="A3708" t="n">
        <v>511385</v>
      </c>
      <c r="B3708" s="6" t="n">
        <v>46002</v>
      </c>
      <c r="C3708" t="n">
        <v>17624</v>
      </c>
      <c r="D3708" t="inlineStr">
        <is>
          <t>Kolkata</t>
        </is>
      </c>
      <c r="E3708" t="inlineStr">
        <is>
          <t>East</t>
        </is>
      </c>
      <c r="F3708" t="inlineStr">
        <is>
          <t>Paid Search</t>
        </is>
      </c>
      <c r="G3708" t="inlineStr">
        <is>
          <t>Mobile App</t>
        </is>
      </c>
      <c r="H3708" t="inlineStr">
        <is>
          <t>UPI</t>
        </is>
      </c>
      <c r="I3708" t="inlineStr">
        <is>
          <t>Cancelled</t>
        </is>
      </c>
      <c r="J3708" t="n">
        <v>103</v>
      </c>
      <c r="K3708" t="n">
        <v>2</v>
      </c>
      <c r="L3708" t="n">
        <v>2624</v>
      </c>
      <c r="M3708" t="n">
        <v>0</v>
      </c>
      <c r="N3708">
        <f>VLOOKUP(J3708,Products!$A$2:$C$49,3,FALSE)</f>
        <v/>
      </c>
      <c r="O3708">
        <f>K3708*L3708-M3708</f>
        <v/>
      </c>
      <c r="P3708">
        <f>TEXT(B3708,"yyyy-mm")</f>
        <v/>
      </c>
      <c r="Q3708">
        <f>IF(O3708&gt;=3000,"Large","Small")</f>
        <v/>
      </c>
      <c r="R3708">
        <f>INDEX(Products!$F$2:$F$49,MATCH(J3708,Products!$A$2:$A$49,0))</f>
        <v/>
      </c>
      <c r="S3708">
        <f>WEEKDAY(B3708,2)</f>
        <v/>
      </c>
    </row>
    <row r="3709">
      <c r="A3709" t="n">
        <v>511386</v>
      </c>
      <c r="B3709" s="6" t="n">
        <v>46002</v>
      </c>
      <c r="C3709" t="n">
        <v>17110</v>
      </c>
      <c r="D3709" t="inlineStr">
        <is>
          <t>Kochi</t>
        </is>
      </c>
      <c r="E3709" t="inlineStr">
        <is>
          <t>South</t>
        </is>
      </c>
      <c r="F3709" t="inlineStr">
        <is>
          <t>Organic Search</t>
        </is>
      </c>
      <c r="G3709" t="inlineStr">
        <is>
          <t>Mobile App</t>
        </is>
      </c>
      <c r="H3709" t="inlineStr">
        <is>
          <t>UPI</t>
        </is>
      </c>
      <c r="I3709" t="inlineStr">
        <is>
          <t>Delivered</t>
        </is>
      </c>
      <c r="J3709" t="n">
        <v>109</v>
      </c>
      <c r="K3709" t="n">
        <v>2</v>
      </c>
      <c r="L3709" t="n">
        <v>4199</v>
      </c>
      <c r="M3709" t="n">
        <v>0</v>
      </c>
      <c r="N3709">
        <f>VLOOKUP(J3709,Products!$A$2:$C$49,3,FALSE)</f>
        <v/>
      </c>
      <c r="O3709">
        <f>K3709*L3709-M3709</f>
        <v/>
      </c>
      <c r="P3709">
        <f>TEXT(B3709,"yyyy-mm")</f>
        <v/>
      </c>
      <c r="Q3709">
        <f>IF(O3709&gt;=3000,"Large","Small")</f>
        <v/>
      </c>
      <c r="R3709">
        <f>INDEX(Products!$F$2:$F$49,MATCH(J3709,Products!$A$2:$A$49,0))</f>
        <v/>
      </c>
      <c r="S3709">
        <f>WEEKDAY(B3709,2)</f>
        <v/>
      </c>
    </row>
    <row r="3710">
      <c r="A3710" t="n">
        <v>511387</v>
      </c>
      <c r="B3710" s="6" t="n">
        <v>46002</v>
      </c>
      <c r="C3710" t="n">
        <v>16889</v>
      </c>
      <c r="D3710" t="inlineStr">
        <is>
          <t>Chandigarh</t>
        </is>
      </c>
      <c r="E3710" t="inlineStr">
        <is>
          <t>North</t>
        </is>
      </c>
      <c r="F3710" t="inlineStr">
        <is>
          <t>Referral</t>
        </is>
      </c>
      <c r="G3710" t="inlineStr">
        <is>
          <t>Mobile Web</t>
        </is>
      </c>
      <c r="H3710" t="inlineStr">
        <is>
          <t>UPI</t>
        </is>
      </c>
      <c r="I3710" t="inlineStr">
        <is>
          <t>Delivered</t>
        </is>
      </c>
      <c r="J3710" t="n">
        <v>132</v>
      </c>
      <c r="K3710" t="n">
        <v>1</v>
      </c>
      <c r="L3710" t="n">
        <v>471</v>
      </c>
      <c r="M3710" t="n">
        <v>0</v>
      </c>
      <c r="N3710">
        <f>VLOOKUP(J3710,Products!$A$2:$C$49,3,FALSE)</f>
        <v/>
      </c>
      <c r="O3710">
        <f>K3710*L3710-M3710</f>
        <v/>
      </c>
      <c r="P3710">
        <f>TEXT(B3710,"yyyy-mm")</f>
        <v/>
      </c>
      <c r="Q3710">
        <f>IF(O3710&gt;=3000,"Large","Small")</f>
        <v/>
      </c>
      <c r="R3710">
        <f>INDEX(Products!$F$2:$F$49,MATCH(J3710,Products!$A$2:$A$49,0))</f>
        <v/>
      </c>
      <c r="S3710">
        <f>WEEKDAY(B3710,2)</f>
        <v/>
      </c>
    </row>
    <row r="3711">
      <c r="A3711" t="n">
        <v>511387</v>
      </c>
      <c r="B3711" s="6" t="n">
        <v>46002</v>
      </c>
      <c r="C3711" t="n">
        <v>16889</v>
      </c>
      <c r="D3711" t="inlineStr">
        <is>
          <t>Chandigarh</t>
        </is>
      </c>
      <c r="E3711" t="inlineStr">
        <is>
          <t>North</t>
        </is>
      </c>
      <c r="F3711" t="inlineStr">
        <is>
          <t>Referral</t>
        </is>
      </c>
      <c r="G3711" t="inlineStr">
        <is>
          <t>Mobile Web</t>
        </is>
      </c>
      <c r="H3711" t="inlineStr">
        <is>
          <t>UPI</t>
        </is>
      </c>
      <c r="I3711" t="inlineStr">
        <is>
          <t>Delivered</t>
        </is>
      </c>
      <c r="J3711" t="n">
        <v>130</v>
      </c>
      <c r="K3711" t="n">
        <v>1</v>
      </c>
      <c r="L3711" t="n">
        <v>734</v>
      </c>
      <c r="M3711" t="n">
        <v>0</v>
      </c>
      <c r="N3711">
        <f>VLOOKUP(J3711,Products!$A$2:$C$49,3,FALSE)</f>
        <v/>
      </c>
      <c r="O3711">
        <f>K3711*L3711-M3711</f>
        <v/>
      </c>
      <c r="P3711">
        <f>TEXT(B3711,"yyyy-mm")</f>
        <v/>
      </c>
      <c r="Q3711">
        <f>IF(O3711&gt;=3000,"Large","Small")</f>
        <v/>
      </c>
      <c r="R3711">
        <f>INDEX(Products!$F$2:$F$49,MATCH(J3711,Products!$A$2:$A$49,0))</f>
        <v/>
      </c>
      <c r="S3711">
        <f>WEEKDAY(B3711,2)</f>
        <v/>
      </c>
    </row>
    <row r="3712">
      <c r="A3712" t="n">
        <v>511388</v>
      </c>
      <c r="B3712" s="6" t="n">
        <v>46002</v>
      </c>
      <c r="C3712" t="n">
        <v>17143</v>
      </c>
      <c r="D3712" t="inlineStr">
        <is>
          <t>Jaipur</t>
        </is>
      </c>
      <c r="E3712" t="inlineStr">
        <is>
          <t>North</t>
        </is>
      </c>
      <c r="F3712" t="inlineStr">
        <is>
          <t>Referral</t>
        </is>
      </c>
      <c r="G3712" t="inlineStr">
        <is>
          <t>Desktop</t>
        </is>
      </c>
      <c r="H3712" t="inlineStr">
        <is>
          <t>UPI</t>
        </is>
      </c>
      <c r="I3712" t="inlineStr">
        <is>
          <t>Cancelled</t>
        </is>
      </c>
      <c r="J3712" t="n">
        <v>127</v>
      </c>
      <c r="K3712" t="n">
        <v>1</v>
      </c>
      <c r="L3712" t="n">
        <v>681</v>
      </c>
      <c r="M3712" t="n">
        <v>0</v>
      </c>
      <c r="N3712">
        <f>VLOOKUP(J3712,Products!$A$2:$C$49,3,FALSE)</f>
        <v/>
      </c>
      <c r="O3712">
        <f>K3712*L3712-M3712</f>
        <v/>
      </c>
      <c r="P3712">
        <f>TEXT(B3712,"yyyy-mm")</f>
        <v/>
      </c>
      <c r="Q3712">
        <f>IF(O3712&gt;=3000,"Large","Small")</f>
        <v/>
      </c>
      <c r="R3712">
        <f>INDEX(Products!$F$2:$F$49,MATCH(J3712,Products!$A$2:$A$49,0))</f>
        <v/>
      </c>
      <c r="S3712">
        <f>WEEKDAY(B3712,2)</f>
        <v/>
      </c>
    </row>
    <row r="3713">
      <c r="A3713" t="n">
        <v>511388</v>
      </c>
      <c r="B3713" s="6" t="n">
        <v>46002</v>
      </c>
      <c r="C3713" t="n">
        <v>17143</v>
      </c>
      <c r="D3713" t="inlineStr">
        <is>
          <t>Jaipur</t>
        </is>
      </c>
      <c r="E3713" t="inlineStr">
        <is>
          <t>North</t>
        </is>
      </c>
      <c r="F3713" t="inlineStr">
        <is>
          <t>Referral</t>
        </is>
      </c>
      <c r="G3713" t="inlineStr">
        <is>
          <t>Desktop</t>
        </is>
      </c>
      <c r="H3713" t="inlineStr">
        <is>
          <t>UPI</t>
        </is>
      </c>
      <c r="I3713" t="inlineStr">
        <is>
          <t>Cancelled</t>
        </is>
      </c>
      <c r="J3713" t="n">
        <v>125</v>
      </c>
      <c r="K3713" t="n">
        <v>1</v>
      </c>
      <c r="L3713" t="n">
        <v>1364</v>
      </c>
      <c r="M3713" t="n">
        <v>0</v>
      </c>
      <c r="N3713">
        <f>VLOOKUP(J3713,Products!$A$2:$C$49,3,FALSE)</f>
        <v/>
      </c>
      <c r="O3713">
        <f>K3713*L3713-M3713</f>
        <v/>
      </c>
      <c r="P3713">
        <f>TEXT(B3713,"yyyy-mm")</f>
        <v/>
      </c>
      <c r="Q3713">
        <f>IF(O3713&gt;=3000,"Large","Small")</f>
        <v/>
      </c>
      <c r="R3713">
        <f>INDEX(Products!$F$2:$F$49,MATCH(J3713,Products!$A$2:$A$49,0))</f>
        <v/>
      </c>
      <c r="S3713">
        <f>WEEKDAY(B3713,2)</f>
        <v/>
      </c>
    </row>
    <row r="3714">
      <c r="A3714" t="n">
        <v>511389</v>
      </c>
      <c r="B3714" s="6" t="n">
        <v>46002</v>
      </c>
      <c r="C3714" t="n">
        <v>17695</v>
      </c>
      <c r="D3714" t="inlineStr">
        <is>
          <t>Mumbai</t>
        </is>
      </c>
      <c r="E3714" t="inlineStr">
        <is>
          <t>West</t>
        </is>
      </c>
      <c r="F3714" t="inlineStr">
        <is>
          <t>Email</t>
        </is>
      </c>
      <c r="G3714" t="inlineStr">
        <is>
          <t>Mobile Web</t>
        </is>
      </c>
      <c r="H3714" t="inlineStr">
        <is>
          <t>UPI</t>
        </is>
      </c>
      <c r="I3714" t="inlineStr">
        <is>
          <t>Returned</t>
        </is>
      </c>
      <c r="J3714" t="n">
        <v>114</v>
      </c>
      <c r="K3714" t="n">
        <v>1</v>
      </c>
      <c r="L3714" t="n">
        <v>1259</v>
      </c>
      <c r="M3714" t="n">
        <v>0</v>
      </c>
      <c r="N3714">
        <f>VLOOKUP(J3714,Products!$A$2:$C$49,3,FALSE)</f>
        <v/>
      </c>
      <c r="O3714">
        <f>K3714*L3714-M3714</f>
        <v/>
      </c>
      <c r="P3714">
        <f>TEXT(B3714,"yyyy-mm")</f>
        <v/>
      </c>
      <c r="Q3714">
        <f>IF(O3714&gt;=3000,"Large","Small")</f>
        <v/>
      </c>
      <c r="R3714">
        <f>INDEX(Products!$F$2:$F$49,MATCH(J3714,Products!$A$2:$A$49,0))</f>
        <v/>
      </c>
      <c r="S3714">
        <f>WEEKDAY(B3714,2)</f>
        <v/>
      </c>
    </row>
    <row r="3715">
      <c r="A3715" t="n">
        <v>511390</v>
      </c>
      <c r="B3715" s="6" t="n">
        <v>46002</v>
      </c>
      <c r="C3715" t="n">
        <v>17725</v>
      </c>
      <c r="D3715" t="inlineStr">
        <is>
          <t>Hyderabad</t>
        </is>
      </c>
      <c r="E3715" t="inlineStr">
        <is>
          <t>South</t>
        </is>
      </c>
      <c r="F3715" t="inlineStr">
        <is>
          <t>Affiliate</t>
        </is>
      </c>
      <c r="G3715" t="inlineStr">
        <is>
          <t>Mobile App</t>
        </is>
      </c>
      <c r="H3715" t="inlineStr">
        <is>
          <t>UPI</t>
        </is>
      </c>
      <c r="I3715" t="inlineStr">
        <is>
          <t>Delivered</t>
        </is>
      </c>
      <c r="J3715" t="n">
        <v>108</v>
      </c>
      <c r="K3715" t="n">
        <v>1</v>
      </c>
      <c r="L3715" t="n">
        <v>419</v>
      </c>
      <c r="M3715" t="n">
        <v>62.85</v>
      </c>
      <c r="N3715">
        <f>VLOOKUP(J3715,Products!$A$2:$C$49,3,FALSE)</f>
        <v/>
      </c>
      <c r="O3715">
        <f>K3715*L3715-M3715</f>
        <v/>
      </c>
      <c r="P3715">
        <f>TEXT(B3715,"yyyy-mm")</f>
        <v/>
      </c>
      <c r="Q3715">
        <f>IF(O3715&gt;=3000,"Large","Small")</f>
        <v/>
      </c>
      <c r="R3715">
        <f>INDEX(Products!$F$2:$F$49,MATCH(J3715,Products!$A$2:$A$49,0))</f>
        <v/>
      </c>
      <c r="S3715">
        <f>WEEKDAY(B3715,2)</f>
        <v/>
      </c>
    </row>
    <row r="3716">
      <c r="A3716" t="n">
        <v>511390</v>
      </c>
      <c r="B3716" s="6" t="n">
        <v>46002</v>
      </c>
      <c r="C3716" t="n">
        <v>17725</v>
      </c>
      <c r="D3716" t="inlineStr">
        <is>
          <t>Hyderabad</t>
        </is>
      </c>
      <c r="E3716" t="inlineStr">
        <is>
          <t>South</t>
        </is>
      </c>
      <c r="F3716" t="inlineStr">
        <is>
          <t>Affiliate</t>
        </is>
      </c>
      <c r="G3716" t="inlineStr">
        <is>
          <t>Mobile App</t>
        </is>
      </c>
      <c r="H3716" t="inlineStr">
        <is>
          <t>UPI</t>
        </is>
      </c>
      <c r="I3716" t="inlineStr">
        <is>
          <t>Delivered</t>
        </is>
      </c>
      <c r="J3716" t="n">
        <v>123</v>
      </c>
      <c r="K3716" t="n">
        <v>1</v>
      </c>
      <c r="L3716" t="n">
        <v>3464</v>
      </c>
      <c r="M3716" t="n">
        <v>519.6</v>
      </c>
      <c r="N3716">
        <f>VLOOKUP(J3716,Products!$A$2:$C$49,3,FALSE)</f>
        <v/>
      </c>
      <c r="O3716">
        <f>K3716*L3716-M3716</f>
        <v/>
      </c>
      <c r="P3716">
        <f>TEXT(B3716,"yyyy-mm")</f>
        <v/>
      </c>
      <c r="Q3716">
        <f>IF(O3716&gt;=3000,"Large","Small")</f>
        <v/>
      </c>
      <c r="R3716">
        <f>INDEX(Products!$F$2:$F$49,MATCH(J3716,Products!$A$2:$A$49,0))</f>
        <v/>
      </c>
      <c r="S3716">
        <f>WEEKDAY(B3716,2)</f>
        <v/>
      </c>
    </row>
    <row r="3717">
      <c r="A3717" t="n">
        <v>511391</v>
      </c>
      <c r="B3717" s="6" t="n">
        <v>46002</v>
      </c>
      <c r="C3717" t="n">
        <v>17731</v>
      </c>
      <c r="D3717" t="inlineStr">
        <is>
          <t>Kochi</t>
        </is>
      </c>
      <c r="E3717" t="inlineStr">
        <is>
          <t>South</t>
        </is>
      </c>
      <c r="F3717" t="inlineStr">
        <is>
          <t>Affiliate</t>
        </is>
      </c>
      <c r="G3717" t="inlineStr">
        <is>
          <t>Mobile Web</t>
        </is>
      </c>
      <c r="H3717" t="inlineStr">
        <is>
          <t>Net Banking</t>
        </is>
      </c>
      <c r="I3717" t="inlineStr">
        <is>
          <t>Delivered</t>
        </is>
      </c>
      <c r="J3717" t="n">
        <v>120</v>
      </c>
      <c r="K3717" t="n">
        <v>1</v>
      </c>
      <c r="L3717" t="n">
        <v>734</v>
      </c>
      <c r="M3717" t="n">
        <v>110.1</v>
      </c>
      <c r="N3717">
        <f>VLOOKUP(J3717,Products!$A$2:$C$49,3,FALSE)</f>
        <v/>
      </c>
      <c r="O3717">
        <f>K3717*L3717-M3717</f>
        <v/>
      </c>
      <c r="P3717">
        <f>TEXT(B3717,"yyyy-mm")</f>
        <v/>
      </c>
      <c r="Q3717">
        <f>IF(O3717&gt;=3000,"Large","Small")</f>
        <v/>
      </c>
      <c r="R3717">
        <f>INDEX(Products!$F$2:$F$49,MATCH(J3717,Products!$A$2:$A$49,0))</f>
        <v/>
      </c>
      <c r="S3717">
        <f>WEEKDAY(B3717,2)</f>
        <v/>
      </c>
    </row>
    <row r="3718">
      <c r="A3718" t="n">
        <v>511391</v>
      </c>
      <c r="B3718" s="6" t="n">
        <v>46002</v>
      </c>
      <c r="C3718" t="n">
        <v>17731</v>
      </c>
      <c r="D3718" t="inlineStr">
        <is>
          <t>Kochi</t>
        </is>
      </c>
      <c r="E3718" t="inlineStr">
        <is>
          <t>South</t>
        </is>
      </c>
      <c r="F3718" t="inlineStr">
        <is>
          <t>Affiliate</t>
        </is>
      </c>
      <c r="G3718" t="inlineStr">
        <is>
          <t>Mobile Web</t>
        </is>
      </c>
      <c r="H3718" t="inlineStr">
        <is>
          <t>Net Banking</t>
        </is>
      </c>
      <c r="I3718" t="inlineStr">
        <is>
          <t>Delivered</t>
        </is>
      </c>
      <c r="J3718" t="n">
        <v>109</v>
      </c>
      <c r="K3718" t="n">
        <v>1</v>
      </c>
      <c r="L3718" t="n">
        <v>4199</v>
      </c>
      <c r="M3718" t="n">
        <v>629.85</v>
      </c>
      <c r="N3718">
        <f>VLOOKUP(J3718,Products!$A$2:$C$49,3,FALSE)</f>
        <v/>
      </c>
      <c r="O3718">
        <f>K3718*L3718-M3718</f>
        <v/>
      </c>
      <c r="P3718">
        <f>TEXT(B3718,"yyyy-mm")</f>
        <v/>
      </c>
      <c r="Q3718">
        <f>IF(O3718&gt;=3000,"Large","Small")</f>
        <v/>
      </c>
      <c r="R3718">
        <f>INDEX(Products!$F$2:$F$49,MATCH(J3718,Products!$A$2:$A$49,0))</f>
        <v/>
      </c>
      <c r="S3718">
        <f>WEEKDAY(B3718,2)</f>
        <v/>
      </c>
    </row>
    <row r="3719">
      <c r="A3719" t="n">
        <v>511392</v>
      </c>
      <c r="B3719" s="6" t="n">
        <v>46002</v>
      </c>
      <c r="C3719" t="n">
        <v>12388</v>
      </c>
      <c r="D3719" t="inlineStr">
        <is>
          <t>Lucknow</t>
        </is>
      </c>
      <c r="E3719" t="inlineStr">
        <is>
          <t>North</t>
        </is>
      </c>
      <c r="F3719" t="inlineStr">
        <is>
          <t>Organic Search</t>
        </is>
      </c>
      <c r="G3719" t="inlineStr">
        <is>
          <t>Mobile Web</t>
        </is>
      </c>
      <c r="H3719" t="inlineStr">
        <is>
          <t>UPI</t>
        </is>
      </c>
      <c r="I3719" t="inlineStr">
        <is>
          <t>Delivered</t>
        </is>
      </c>
      <c r="J3719" t="n">
        <v>148</v>
      </c>
      <c r="K3719" t="n">
        <v>1</v>
      </c>
      <c r="L3719" t="n">
        <v>734</v>
      </c>
      <c r="M3719" t="n">
        <v>0</v>
      </c>
      <c r="N3719">
        <f>VLOOKUP(J3719,Products!$A$2:$C$49,3,FALSE)</f>
        <v/>
      </c>
      <c r="O3719">
        <f>K3719*L3719-M3719</f>
        <v/>
      </c>
      <c r="P3719">
        <f>TEXT(B3719,"yyyy-mm")</f>
        <v/>
      </c>
      <c r="Q3719">
        <f>IF(O3719&gt;=3000,"Large","Small")</f>
        <v/>
      </c>
      <c r="R3719">
        <f>INDEX(Products!$F$2:$F$49,MATCH(J3719,Products!$A$2:$A$49,0))</f>
        <v/>
      </c>
      <c r="S3719">
        <f>WEEKDAY(B3719,2)</f>
        <v/>
      </c>
    </row>
    <row r="3720">
      <c r="A3720" t="n">
        <v>511393</v>
      </c>
      <c r="B3720" s="6" t="n">
        <v>46002</v>
      </c>
      <c r="C3720" t="n">
        <v>17699</v>
      </c>
      <c r="D3720" t="inlineStr">
        <is>
          <t>Indore</t>
        </is>
      </c>
      <c r="E3720" t="inlineStr">
        <is>
          <t>West</t>
        </is>
      </c>
      <c r="F3720" t="inlineStr">
        <is>
          <t>Email</t>
        </is>
      </c>
      <c r="G3720" t="inlineStr">
        <is>
          <t>Mobile Web</t>
        </is>
      </c>
      <c r="H3720" t="inlineStr">
        <is>
          <t>UPI</t>
        </is>
      </c>
      <c r="I3720" t="inlineStr">
        <is>
          <t>Returned</t>
        </is>
      </c>
      <c r="J3720" t="n">
        <v>147</v>
      </c>
      <c r="K3720" t="n">
        <v>1</v>
      </c>
      <c r="L3720" t="n">
        <v>1364</v>
      </c>
      <c r="M3720" t="n">
        <v>0</v>
      </c>
      <c r="N3720">
        <f>VLOOKUP(J3720,Products!$A$2:$C$49,3,FALSE)</f>
        <v/>
      </c>
      <c r="O3720">
        <f>K3720*L3720-M3720</f>
        <v/>
      </c>
      <c r="P3720">
        <f>TEXT(B3720,"yyyy-mm")</f>
        <v/>
      </c>
      <c r="Q3720">
        <f>IF(O3720&gt;=3000,"Large","Small")</f>
        <v/>
      </c>
      <c r="R3720">
        <f>INDEX(Products!$F$2:$F$49,MATCH(J3720,Products!$A$2:$A$49,0))</f>
        <v/>
      </c>
      <c r="S3720">
        <f>WEEKDAY(B3720,2)</f>
        <v/>
      </c>
    </row>
    <row r="3721">
      <c r="A3721" t="n">
        <v>511394</v>
      </c>
      <c r="B3721" s="6" t="n">
        <v>46002</v>
      </c>
      <c r="C3721" t="n">
        <v>17335</v>
      </c>
      <c r="D3721" t="inlineStr">
        <is>
          <t>Bengaluru</t>
        </is>
      </c>
      <c r="E3721" t="inlineStr">
        <is>
          <t>South</t>
        </is>
      </c>
      <c r="F3721" t="inlineStr">
        <is>
          <t>Email</t>
        </is>
      </c>
      <c r="G3721" t="inlineStr">
        <is>
          <t>Mobile Web</t>
        </is>
      </c>
      <c r="H3721" t="inlineStr">
        <is>
          <t>UPI</t>
        </is>
      </c>
      <c r="I3721" t="inlineStr">
        <is>
          <t>Delivered</t>
        </is>
      </c>
      <c r="J3721" t="n">
        <v>135</v>
      </c>
      <c r="K3721" t="n">
        <v>1</v>
      </c>
      <c r="L3721" t="n">
        <v>1574</v>
      </c>
      <c r="M3721" t="n">
        <v>0</v>
      </c>
      <c r="N3721">
        <f>VLOOKUP(J3721,Products!$A$2:$C$49,3,FALSE)</f>
        <v/>
      </c>
      <c r="O3721">
        <f>K3721*L3721-M3721</f>
        <v/>
      </c>
      <c r="P3721">
        <f>TEXT(B3721,"yyyy-mm")</f>
        <v/>
      </c>
      <c r="Q3721">
        <f>IF(O3721&gt;=3000,"Large","Small")</f>
        <v/>
      </c>
      <c r="R3721">
        <f>INDEX(Products!$F$2:$F$49,MATCH(J3721,Products!$A$2:$A$49,0))</f>
        <v/>
      </c>
      <c r="S3721">
        <f>WEEKDAY(B3721,2)</f>
        <v/>
      </c>
    </row>
    <row r="3722">
      <c r="A3722" t="n">
        <v>511395</v>
      </c>
      <c r="B3722" s="6" t="n">
        <v>46002</v>
      </c>
      <c r="C3722" t="n">
        <v>17696</v>
      </c>
      <c r="D3722" t="inlineStr">
        <is>
          <t>Delhi</t>
        </is>
      </c>
      <c r="E3722" t="inlineStr">
        <is>
          <t>North</t>
        </is>
      </c>
      <c r="F3722" t="inlineStr">
        <is>
          <t>Paid Search</t>
        </is>
      </c>
      <c r="G3722" t="inlineStr">
        <is>
          <t>Mobile App</t>
        </is>
      </c>
      <c r="H3722" t="inlineStr">
        <is>
          <t>Credit Card</t>
        </is>
      </c>
      <c r="I3722" t="inlineStr">
        <is>
          <t>Delivered</t>
        </is>
      </c>
      <c r="J3722" t="n">
        <v>128</v>
      </c>
      <c r="K3722" t="n">
        <v>1</v>
      </c>
      <c r="L3722" t="n">
        <v>1049</v>
      </c>
      <c r="M3722" t="n">
        <v>0</v>
      </c>
      <c r="N3722">
        <f>VLOOKUP(J3722,Products!$A$2:$C$49,3,FALSE)</f>
        <v/>
      </c>
      <c r="O3722">
        <f>K3722*L3722-M3722</f>
        <v/>
      </c>
      <c r="P3722">
        <f>TEXT(B3722,"yyyy-mm")</f>
        <v/>
      </c>
      <c r="Q3722">
        <f>IF(O3722&gt;=3000,"Large","Small")</f>
        <v/>
      </c>
      <c r="R3722">
        <f>INDEX(Products!$F$2:$F$49,MATCH(J3722,Products!$A$2:$A$49,0))</f>
        <v/>
      </c>
      <c r="S3722">
        <f>WEEKDAY(B3722,2)</f>
        <v/>
      </c>
    </row>
    <row r="3723">
      <c r="A3723" t="n">
        <v>511395</v>
      </c>
      <c r="B3723" s="6" t="n">
        <v>46002</v>
      </c>
      <c r="C3723" t="n">
        <v>17696</v>
      </c>
      <c r="D3723" t="inlineStr">
        <is>
          <t>Delhi</t>
        </is>
      </c>
      <c r="E3723" t="inlineStr">
        <is>
          <t>North</t>
        </is>
      </c>
      <c r="F3723" t="inlineStr">
        <is>
          <t>Paid Search</t>
        </is>
      </c>
      <c r="G3723" t="inlineStr">
        <is>
          <t>Mobile App</t>
        </is>
      </c>
      <c r="H3723" t="inlineStr">
        <is>
          <t>Credit Card</t>
        </is>
      </c>
      <c r="I3723" t="inlineStr">
        <is>
          <t>Delivered</t>
        </is>
      </c>
      <c r="J3723" t="n">
        <v>134</v>
      </c>
      <c r="K3723" t="n">
        <v>1</v>
      </c>
      <c r="L3723" t="n">
        <v>209</v>
      </c>
      <c r="M3723" t="n">
        <v>0</v>
      </c>
      <c r="N3723">
        <f>VLOOKUP(J3723,Products!$A$2:$C$49,3,FALSE)</f>
        <v/>
      </c>
      <c r="O3723">
        <f>K3723*L3723-M3723</f>
        <v/>
      </c>
      <c r="P3723">
        <f>TEXT(B3723,"yyyy-mm")</f>
        <v/>
      </c>
      <c r="Q3723">
        <f>IF(O3723&gt;=3000,"Large","Small")</f>
        <v/>
      </c>
      <c r="R3723">
        <f>INDEX(Products!$F$2:$F$49,MATCH(J3723,Products!$A$2:$A$49,0))</f>
        <v/>
      </c>
      <c r="S3723">
        <f>WEEKDAY(B3723,2)</f>
        <v/>
      </c>
    </row>
    <row r="3724">
      <c r="A3724" t="n">
        <v>511395</v>
      </c>
      <c r="B3724" s="6" t="n">
        <v>46002</v>
      </c>
      <c r="C3724" t="n">
        <v>17696</v>
      </c>
      <c r="D3724" t="inlineStr">
        <is>
          <t>Delhi</t>
        </is>
      </c>
      <c r="E3724" t="inlineStr">
        <is>
          <t>North</t>
        </is>
      </c>
      <c r="F3724" t="inlineStr">
        <is>
          <t>Paid Search</t>
        </is>
      </c>
      <c r="G3724" t="inlineStr">
        <is>
          <t>Mobile App</t>
        </is>
      </c>
      <c r="H3724" t="inlineStr">
        <is>
          <t>Credit Card</t>
        </is>
      </c>
      <c r="I3724" t="inlineStr">
        <is>
          <t>Delivered</t>
        </is>
      </c>
      <c r="J3724" t="n">
        <v>129</v>
      </c>
      <c r="K3724" t="n">
        <v>1</v>
      </c>
      <c r="L3724" t="n">
        <v>576</v>
      </c>
      <c r="M3724" t="n">
        <v>0</v>
      </c>
      <c r="N3724">
        <f>VLOOKUP(J3724,Products!$A$2:$C$49,3,FALSE)</f>
        <v/>
      </c>
      <c r="O3724">
        <f>K3724*L3724-M3724</f>
        <v/>
      </c>
      <c r="P3724">
        <f>TEXT(B3724,"yyyy-mm")</f>
        <v/>
      </c>
      <c r="Q3724">
        <f>IF(O3724&gt;=3000,"Large","Small")</f>
        <v/>
      </c>
      <c r="R3724">
        <f>INDEX(Products!$F$2:$F$49,MATCH(J3724,Products!$A$2:$A$49,0))</f>
        <v/>
      </c>
      <c r="S3724">
        <f>WEEKDAY(B3724,2)</f>
        <v/>
      </c>
    </row>
    <row r="3725">
      <c r="A3725" t="n">
        <v>511396</v>
      </c>
      <c r="B3725" s="6" t="n">
        <v>46002</v>
      </c>
      <c r="C3725" t="n">
        <v>17733</v>
      </c>
      <c r="D3725" t="inlineStr">
        <is>
          <t>Delhi</t>
        </is>
      </c>
      <c r="E3725" t="inlineStr">
        <is>
          <t>North</t>
        </is>
      </c>
      <c r="F3725" t="inlineStr">
        <is>
          <t>Paid Search</t>
        </is>
      </c>
      <c r="G3725" t="inlineStr">
        <is>
          <t>Mobile Web</t>
        </is>
      </c>
      <c r="H3725" t="inlineStr">
        <is>
          <t>Cash on Delivery</t>
        </is>
      </c>
      <c r="I3725" t="inlineStr">
        <is>
          <t>Returned</t>
        </is>
      </c>
      <c r="J3725" t="n">
        <v>112</v>
      </c>
      <c r="K3725" t="n">
        <v>1</v>
      </c>
      <c r="L3725" t="n">
        <v>1574</v>
      </c>
      <c r="M3725" t="n">
        <v>236.1</v>
      </c>
      <c r="N3725">
        <f>VLOOKUP(J3725,Products!$A$2:$C$49,3,FALSE)</f>
        <v/>
      </c>
      <c r="O3725">
        <f>K3725*L3725-M3725</f>
        <v/>
      </c>
      <c r="P3725">
        <f>TEXT(B3725,"yyyy-mm")</f>
        <v/>
      </c>
      <c r="Q3725">
        <f>IF(O3725&gt;=3000,"Large","Small")</f>
        <v/>
      </c>
      <c r="R3725">
        <f>INDEX(Products!$F$2:$F$49,MATCH(J3725,Products!$A$2:$A$49,0))</f>
        <v/>
      </c>
      <c r="S3725">
        <f>WEEKDAY(B3725,2)</f>
        <v/>
      </c>
    </row>
    <row r="3726">
      <c r="A3726" t="n">
        <v>511397</v>
      </c>
      <c r="B3726" s="6" t="n">
        <v>46002</v>
      </c>
      <c r="C3726" t="n">
        <v>14308</v>
      </c>
      <c r="D3726" t="inlineStr">
        <is>
          <t>Delhi</t>
        </is>
      </c>
      <c r="E3726" t="inlineStr">
        <is>
          <t>North</t>
        </is>
      </c>
      <c r="F3726" t="inlineStr">
        <is>
          <t>Organic Search</t>
        </is>
      </c>
      <c r="G3726" t="inlineStr">
        <is>
          <t>Mobile App</t>
        </is>
      </c>
      <c r="H3726" t="inlineStr">
        <is>
          <t>Credit Card</t>
        </is>
      </c>
      <c r="I3726" t="inlineStr">
        <is>
          <t>Cancelled</t>
        </is>
      </c>
      <c r="J3726" t="n">
        <v>130</v>
      </c>
      <c r="K3726" t="n">
        <v>1</v>
      </c>
      <c r="L3726" t="n">
        <v>734</v>
      </c>
      <c r="M3726" t="n">
        <v>0</v>
      </c>
      <c r="N3726">
        <f>VLOOKUP(J3726,Products!$A$2:$C$49,3,FALSE)</f>
        <v/>
      </c>
      <c r="O3726">
        <f>K3726*L3726-M3726</f>
        <v/>
      </c>
      <c r="P3726">
        <f>TEXT(B3726,"yyyy-mm")</f>
        <v/>
      </c>
      <c r="Q3726">
        <f>IF(O3726&gt;=3000,"Large","Small")</f>
        <v/>
      </c>
      <c r="R3726">
        <f>INDEX(Products!$F$2:$F$49,MATCH(J3726,Products!$A$2:$A$49,0))</f>
        <v/>
      </c>
      <c r="S3726">
        <f>WEEKDAY(B3726,2)</f>
        <v/>
      </c>
    </row>
    <row r="3727">
      <c r="A3727" t="n">
        <v>511397</v>
      </c>
      <c r="B3727" s="6" t="n">
        <v>46002</v>
      </c>
      <c r="C3727" t="n">
        <v>14308</v>
      </c>
      <c r="D3727" t="inlineStr">
        <is>
          <t>Delhi</t>
        </is>
      </c>
      <c r="E3727" t="inlineStr">
        <is>
          <t>North</t>
        </is>
      </c>
      <c r="F3727" t="inlineStr">
        <is>
          <t>Organic Search</t>
        </is>
      </c>
      <c r="G3727" t="inlineStr">
        <is>
          <t>Mobile App</t>
        </is>
      </c>
      <c r="H3727" t="inlineStr">
        <is>
          <t>Credit Card</t>
        </is>
      </c>
      <c r="I3727" t="inlineStr">
        <is>
          <t>Cancelled</t>
        </is>
      </c>
      <c r="J3727" t="n">
        <v>118</v>
      </c>
      <c r="K3727" t="n">
        <v>1</v>
      </c>
      <c r="L3727" t="n">
        <v>944</v>
      </c>
      <c r="M3727" t="n">
        <v>0</v>
      </c>
      <c r="N3727">
        <f>VLOOKUP(J3727,Products!$A$2:$C$49,3,FALSE)</f>
        <v/>
      </c>
      <c r="O3727">
        <f>K3727*L3727-M3727</f>
        <v/>
      </c>
      <c r="P3727">
        <f>TEXT(B3727,"yyyy-mm")</f>
        <v/>
      </c>
      <c r="Q3727">
        <f>IF(O3727&gt;=3000,"Large","Small")</f>
        <v/>
      </c>
      <c r="R3727">
        <f>INDEX(Products!$F$2:$F$49,MATCH(J3727,Products!$A$2:$A$49,0))</f>
        <v/>
      </c>
      <c r="S3727">
        <f>WEEKDAY(B3727,2)</f>
        <v/>
      </c>
    </row>
    <row r="3728">
      <c r="A3728" t="n">
        <v>511397</v>
      </c>
      <c r="B3728" s="6" t="n">
        <v>46002</v>
      </c>
      <c r="C3728" t="n">
        <v>14308</v>
      </c>
      <c r="D3728" t="inlineStr">
        <is>
          <t>Delhi</t>
        </is>
      </c>
      <c r="E3728" t="inlineStr">
        <is>
          <t>North</t>
        </is>
      </c>
      <c r="F3728" t="inlineStr">
        <is>
          <t>Organic Search</t>
        </is>
      </c>
      <c r="G3728" t="inlineStr">
        <is>
          <t>Mobile App</t>
        </is>
      </c>
      <c r="H3728" t="inlineStr">
        <is>
          <t>Credit Card</t>
        </is>
      </c>
      <c r="I3728" t="inlineStr">
        <is>
          <t>Cancelled</t>
        </is>
      </c>
      <c r="J3728" t="n">
        <v>124</v>
      </c>
      <c r="K3728" t="n">
        <v>1</v>
      </c>
      <c r="L3728" t="n">
        <v>1154</v>
      </c>
      <c r="M3728" t="n">
        <v>0</v>
      </c>
      <c r="N3728">
        <f>VLOOKUP(J3728,Products!$A$2:$C$49,3,FALSE)</f>
        <v/>
      </c>
      <c r="O3728">
        <f>K3728*L3728-M3728</f>
        <v/>
      </c>
      <c r="P3728">
        <f>TEXT(B3728,"yyyy-mm")</f>
        <v/>
      </c>
      <c r="Q3728">
        <f>IF(O3728&gt;=3000,"Large","Small")</f>
        <v/>
      </c>
      <c r="R3728">
        <f>INDEX(Products!$F$2:$F$49,MATCH(J3728,Products!$A$2:$A$49,0))</f>
        <v/>
      </c>
      <c r="S3728">
        <f>WEEKDAY(B3728,2)</f>
        <v/>
      </c>
    </row>
    <row r="3729">
      <c r="A3729" t="n">
        <v>511398</v>
      </c>
      <c r="B3729" s="6" t="n">
        <v>46002</v>
      </c>
      <c r="C3729" t="n">
        <v>17726</v>
      </c>
      <c r="D3729" t="inlineStr">
        <is>
          <t>Kochi</t>
        </is>
      </c>
      <c r="E3729" t="inlineStr">
        <is>
          <t>South</t>
        </is>
      </c>
      <c r="F3729" t="inlineStr">
        <is>
          <t>Paid Social</t>
        </is>
      </c>
      <c r="G3729" t="inlineStr">
        <is>
          <t>Mobile App</t>
        </is>
      </c>
      <c r="H3729" t="inlineStr">
        <is>
          <t>Debit Card</t>
        </is>
      </c>
      <c r="I3729" t="inlineStr">
        <is>
          <t>Delivered</t>
        </is>
      </c>
      <c r="J3729" t="n">
        <v>121</v>
      </c>
      <c r="K3729" t="n">
        <v>2</v>
      </c>
      <c r="L3729" t="n">
        <v>2939</v>
      </c>
      <c r="M3729" t="n">
        <v>881.7</v>
      </c>
      <c r="N3729">
        <f>VLOOKUP(J3729,Products!$A$2:$C$49,3,FALSE)</f>
        <v/>
      </c>
      <c r="O3729">
        <f>K3729*L3729-M3729</f>
        <v/>
      </c>
      <c r="P3729">
        <f>TEXT(B3729,"yyyy-mm")</f>
        <v/>
      </c>
      <c r="Q3729">
        <f>IF(O3729&gt;=3000,"Large","Small")</f>
        <v/>
      </c>
      <c r="R3729">
        <f>INDEX(Products!$F$2:$F$49,MATCH(J3729,Products!$A$2:$A$49,0))</f>
        <v/>
      </c>
      <c r="S3729">
        <f>WEEKDAY(B3729,2)</f>
        <v/>
      </c>
    </row>
    <row r="3730">
      <c r="A3730" t="n">
        <v>511398</v>
      </c>
      <c r="B3730" s="6" t="n">
        <v>46002</v>
      </c>
      <c r="C3730" t="n">
        <v>17726</v>
      </c>
      <c r="D3730" t="inlineStr">
        <is>
          <t>Kochi</t>
        </is>
      </c>
      <c r="E3730" t="inlineStr">
        <is>
          <t>South</t>
        </is>
      </c>
      <c r="F3730" t="inlineStr">
        <is>
          <t>Paid Social</t>
        </is>
      </c>
      <c r="G3730" t="inlineStr">
        <is>
          <t>Mobile App</t>
        </is>
      </c>
      <c r="H3730" t="inlineStr">
        <is>
          <t>Debit Card</t>
        </is>
      </c>
      <c r="I3730" t="inlineStr">
        <is>
          <t>Delivered</t>
        </is>
      </c>
      <c r="J3730" t="n">
        <v>127</v>
      </c>
      <c r="K3730" t="n">
        <v>1</v>
      </c>
      <c r="L3730" t="n">
        <v>681</v>
      </c>
      <c r="M3730" t="n">
        <v>102.15</v>
      </c>
      <c r="N3730">
        <f>VLOOKUP(J3730,Products!$A$2:$C$49,3,FALSE)</f>
        <v/>
      </c>
      <c r="O3730">
        <f>K3730*L3730-M3730</f>
        <v/>
      </c>
      <c r="P3730">
        <f>TEXT(B3730,"yyyy-mm")</f>
        <v/>
      </c>
      <c r="Q3730">
        <f>IF(O3730&gt;=3000,"Large","Small")</f>
        <v/>
      </c>
      <c r="R3730">
        <f>INDEX(Products!$F$2:$F$49,MATCH(J3730,Products!$A$2:$A$49,0))</f>
        <v/>
      </c>
      <c r="S3730">
        <f>WEEKDAY(B3730,2)</f>
        <v/>
      </c>
    </row>
    <row r="3731">
      <c r="A3731" t="n">
        <v>511399</v>
      </c>
      <c r="B3731" s="6" t="n">
        <v>46002</v>
      </c>
      <c r="C3731" t="n">
        <v>17020</v>
      </c>
      <c r="D3731" t="inlineStr">
        <is>
          <t>Indore</t>
        </is>
      </c>
      <c r="E3731" t="inlineStr">
        <is>
          <t>West</t>
        </is>
      </c>
      <c r="F3731" t="inlineStr">
        <is>
          <t>Email</t>
        </is>
      </c>
      <c r="G3731" t="inlineStr">
        <is>
          <t>Desktop</t>
        </is>
      </c>
      <c r="H3731" t="inlineStr">
        <is>
          <t>UPI</t>
        </is>
      </c>
      <c r="I3731" t="inlineStr">
        <is>
          <t>Delivered</t>
        </is>
      </c>
      <c r="J3731" t="n">
        <v>104</v>
      </c>
      <c r="K3731" t="n">
        <v>1</v>
      </c>
      <c r="L3731" t="n">
        <v>5249</v>
      </c>
      <c r="M3731" t="n">
        <v>0</v>
      </c>
      <c r="N3731">
        <f>VLOOKUP(J3731,Products!$A$2:$C$49,3,FALSE)</f>
        <v/>
      </c>
      <c r="O3731">
        <f>K3731*L3731-M3731</f>
        <v/>
      </c>
      <c r="P3731">
        <f>TEXT(B3731,"yyyy-mm")</f>
        <v/>
      </c>
      <c r="Q3731">
        <f>IF(O3731&gt;=3000,"Large","Small")</f>
        <v/>
      </c>
      <c r="R3731">
        <f>INDEX(Products!$F$2:$F$49,MATCH(J3731,Products!$A$2:$A$49,0))</f>
        <v/>
      </c>
      <c r="S3731">
        <f>WEEKDAY(B3731,2)</f>
        <v/>
      </c>
    </row>
    <row r="3732">
      <c r="A3732" t="n">
        <v>511400</v>
      </c>
      <c r="B3732" s="6" t="n">
        <v>46002</v>
      </c>
      <c r="C3732" t="n">
        <v>14979</v>
      </c>
      <c r="D3732" t="inlineStr">
        <is>
          <t>Gurugram</t>
        </is>
      </c>
      <c r="E3732" t="inlineStr">
        <is>
          <t>North</t>
        </is>
      </c>
      <c r="F3732" t="inlineStr">
        <is>
          <t>Referral</t>
        </is>
      </c>
      <c r="G3732" t="inlineStr">
        <is>
          <t>Mobile App</t>
        </is>
      </c>
      <c r="H3732" t="inlineStr">
        <is>
          <t>Debit Card</t>
        </is>
      </c>
      <c r="I3732" t="inlineStr">
        <is>
          <t>Delivered</t>
        </is>
      </c>
      <c r="J3732" t="n">
        <v>118</v>
      </c>
      <c r="K3732" t="n">
        <v>1</v>
      </c>
      <c r="L3732" t="n">
        <v>944</v>
      </c>
      <c r="M3732" t="n">
        <v>0</v>
      </c>
      <c r="N3732">
        <f>VLOOKUP(J3732,Products!$A$2:$C$49,3,FALSE)</f>
        <v/>
      </c>
      <c r="O3732">
        <f>K3732*L3732-M3732</f>
        <v/>
      </c>
      <c r="P3732">
        <f>TEXT(B3732,"yyyy-mm")</f>
        <v/>
      </c>
      <c r="Q3732">
        <f>IF(O3732&gt;=3000,"Large","Small")</f>
        <v/>
      </c>
      <c r="R3732">
        <f>INDEX(Products!$F$2:$F$49,MATCH(J3732,Products!$A$2:$A$49,0))</f>
        <v/>
      </c>
      <c r="S3732">
        <f>WEEKDAY(B3732,2)</f>
        <v/>
      </c>
    </row>
    <row r="3733">
      <c r="A3733" t="n">
        <v>511401</v>
      </c>
      <c r="B3733" s="6" t="n">
        <v>46002</v>
      </c>
      <c r="C3733" t="n">
        <v>17703</v>
      </c>
      <c r="D3733" t="inlineStr">
        <is>
          <t>Delhi</t>
        </is>
      </c>
      <c r="E3733" t="inlineStr">
        <is>
          <t>North</t>
        </is>
      </c>
      <c r="F3733" t="inlineStr">
        <is>
          <t>Email</t>
        </is>
      </c>
      <c r="G3733" t="inlineStr">
        <is>
          <t>Mobile Web</t>
        </is>
      </c>
      <c r="H3733" t="inlineStr">
        <is>
          <t>UPI</t>
        </is>
      </c>
      <c r="I3733" t="inlineStr">
        <is>
          <t>Delivered</t>
        </is>
      </c>
      <c r="J3733" t="n">
        <v>140</v>
      </c>
      <c r="K3733" t="n">
        <v>1</v>
      </c>
      <c r="L3733" t="n">
        <v>629</v>
      </c>
      <c r="M3733" t="n">
        <v>0</v>
      </c>
      <c r="N3733">
        <f>VLOOKUP(J3733,Products!$A$2:$C$49,3,FALSE)</f>
        <v/>
      </c>
      <c r="O3733">
        <f>K3733*L3733-M3733</f>
        <v/>
      </c>
      <c r="P3733">
        <f>TEXT(B3733,"yyyy-mm")</f>
        <v/>
      </c>
      <c r="Q3733">
        <f>IF(O3733&gt;=3000,"Large","Small")</f>
        <v/>
      </c>
      <c r="R3733">
        <f>INDEX(Products!$F$2:$F$49,MATCH(J3733,Products!$A$2:$A$49,0))</f>
        <v/>
      </c>
      <c r="S3733">
        <f>WEEKDAY(B3733,2)</f>
        <v/>
      </c>
    </row>
    <row r="3734">
      <c r="A3734" t="n">
        <v>511402</v>
      </c>
      <c r="B3734" s="6" t="n">
        <v>46003</v>
      </c>
      <c r="C3734" t="n">
        <v>16594</v>
      </c>
      <c r="D3734" t="inlineStr">
        <is>
          <t>Pune</t>
        </is>
      </c>
      <c r="E3734" t="inlineStr">
        <is>
          <t>West</t>
        </is>
      </c>
      <c r="F3734" t="inlineStr">
        <is>
          <t>Paid Search</t>
        </is>
      </c>
      <c r="G3734" t="inlineStr">
        <is>
          <t>Desktop</t>
        </is>
      </c>
      <c r="H3734" t="inlineStr">
        <is>
          <t>Credit Card</t>
        </is>
      </c>
      <c r="I3734" t="inlineStr">
        <is>
          <t>Delivered</t>
        </is>
      </c>
      <c r="J3734" t="n">
        <v>107</v>
      </c>
      <c r="K3734" t="n">
        <v>1</v>
      </c>
      <c r="L3734" t="n">
        <v>1259</v>
      </c>
      <c r="M3734" t="n">
        <v>0</v>
      </c>
      <c r="N3734">
        <f>VLOOKUP(J3734,Products!$A$2:$C$49,3,FALSE)</f>
        <v/>
      </c>
      <c r="O3734">
        <f>K3734*L3734-M3734</f>
        <v/>
      </c>
      <c r="P3734">
        <f>TEXT(B3734,"yyyy-mm")</f>
        <v/>
      </c>
      <c r="Q3734">
        <f>IF(O3734&gt;=3000,"Large","Small")</f>
        <v/>
      </c>
      <c r="R3734">
        <f>INDEX(Products!$F$2:$F$49,MATCH(J3734,Products!$A$2:$A$49,0))</f>
        <v/>
      </c>
      <c r="S3734">
        <f>WEEKDAY(B3734,2)</f>
        <v/>
      </c>
    </row>
    <row r="3735">
      <c r="A3735" t="n">
        <v>511403</v>
      </c>
      <c r="B3735" s="6" t="n">
        <v>46003</v>
      </c>
      <c r="C3735" t="n">
        <v>16999</v>
      </c>
      <c r="D3735" t="inlineStr">
        <is>
          <t>Hyderabad</t>
        </is>
      </c>
      <c r="E3735" t="inlineStr">
        <is>
          <t>South</t>
        </is>
      </c>
      <c r="F3735" t="inlineStr">
        <is>
          <t>Referral</t>
        </is>
      </c>
      <c r="G3735" t="inlineStr">
        <is>
          <t>Mobile App</t>
        </is>
      </c>
      <c r="H3735" t="inlineStr">
        <is>
          <t>UPI</t>
        </is>
      </c>
      <c r="I3735" t="inlineStr">
        <is>
          <t>Delivered</t>
        </is>
      </c>
      <c r="J3735" t="n">
        <v>102</v>
      </c>
      <c r="K3735" t="n">
        <v>1</v>
      </c>
      <c r="L3735" t="n">
        <v>3674</v>
      </c>
      <c r="M3735" t="n">
        <v>0</v>
      </c>
      <c r="N3735">
        <f>VLOOKUP(J3735,Products!$A$2:$C$49,3,FALSE)</f>
        <v/>
      </c>
      <c r="O3735">
        <f>K3735*L3735-M3735</f>
        <v/>
      </c>
      <c r="P3735">
        <f>TEXT(B3735,"yyyy-mm")</f>
        <v/>
      </c>
      <c r="Q3735">
        <f>IF(O3735&gt;=3000,"Large","Small")</f>
        <v/>
      </c>
      <c r="R3735">
        <f>INDEX(Products!$F$2:$F$49,MATCH(J3735,Products!$A$2:$A$49,0))</f>
        <v/>
      </c>
      <c r="S3735">
        <f>WEEKDAY(B3735,2)</f>
        <v/>
      </c>
    </row>
    <row r="3736">
      <c r="A3736" t="n">
        <v>511404</v>
      </c>
      <c r="B3736" s="6" t="n">
        <v>46003</v>
      </c>
      <c r="C3736" t="n">
        <v>17592</v>
      </c>
      <c r="D3736" t="inlineStr">
        <is>
          <t>Bengaluru</t>
        </is>
      </c>
      <c r="E3736" t="inlineStr">
        <is>
          <t>South</t>
        </is>
      </c>
      <c r="F3736" t="inlineStr">
        <is>
          <t>Organic Search</t>
        </is>
      </c>
      <c r="G3736" t="inlineStr">
        <is>
          <t>Desktop</t>
        </is>
      </c>
      <c r="H3736" t="inlineStr">
        <is>
          <t>UPI</t>
        </is>
      </c>
      <c r="I3736" t="inlineStr">
        <is>
          <t>Delivered</t>
        </is>
      </c>
      <c r="J3736" t="n">
        <v>107</v>
      </c>
      <c r="K3736" t="n">
        <v>3</v>
      </c>
      <c r="L3736" t="n">
        <v>1259</v>
      </c>
      <c r="M3736" t="n">
        <v>566.55</v>
      </c>
      <c r="N3736">
        <f>VLOOKUP(J3736,Products!$A$2:$C$49,3,FALSE)</f>
        <v/>
      </c>
      <c r="O3736">
        <f>K3736*L3736-M3736</f>
        <v/>
      </c>
      <c r="P3736">
        <f>TEXT(B3736,"yyyy-mm")</f>
        <v/>
      </c>
      <c r="Q3736">
        <f>IF(O3736&gt;=3000,"Large","Small")</f>
        <v/>
      </c>
      <c r="R3736">
        <f>INDEX(Products!$F$2:$F$49,MATCH(J3736,Products!$A$2:$A$49,0))</f>
        <v/>
      </c>
      <c r="S3736">
        <f>WEEKDAY(B3736,2)</f>
        <v/>
      </c>
    </row>
    <row r="3737">
      <c r="A3737" t="n">
        <v>511404</v>
      </c>
      <c r="B3737" s="6" t="n">
        <v>46003</v>
      </c>
      <c r="C3737" t="n">
        <v>17592</v>
      </c>
      <c r="D3737" t="inlineStr">
        <is>
          <t>Bengaluru</t>
        </is>
      </c>
      <c r="E3737" t="inlineStr">
        <is>
          <t>South</t>
        </is>
      </c>
      <c r="F3737" t="inlineStr">
        <is>
          <t>Organic Search</t>
        </is>
      </c>
      <c r="G3737" t="inlineStr">
        <is>
          <t>Desktop</t>
        </is>
      </c>
      <c r="H3737" t="inlineStr">
        <is>
          <t>UPI</t>
        </is>
      </c>
      <c r="I3737" t="inlineStr">
        <is>
          <t>Delivered</t>
        </is>
      </c>
      <c r="J3737" t="n">
        <v>113</v>
      </c>
      <c r="K3737" t="n">
        <v>1</v>
      </c>
      <c r="L3737" t="n">
        <v>1364</v>
      </c>
      <c r="M3737" t="n">
        <v>204.6</v>
      </c>
      <c r="N3737">
        <f>VLOOKUP(J3737,Products!$A$2:$C$49,3,FALSE)</f>
        <v/>
      </c>
      <c r="O3737">
        <f>K3737*L3737-M3737</f>
        <v/>
      </c>
      <c r="P3737">
        <f>TEXT(B3737,"yyyy-mm")</f>
        <v/>
      </c>
      <c r="Q3737">
        <f>IF(O3737&gt;=3000,"Large","Small")</f>
        <v/>
      </c>
      <c r="R3737">
        <f>INDEX(Products!$F$2:$F$49,MATCH(J3737,Products!$A$2:$A$49,0))</f>
        <v/>
      </c>
      <c r="S3737">
        <f>WEEKDAY(B3737,2)</f>
        <v/>
      </c>
    </row>
    <row r="3738">
      <c r="A3738" t="n">
        <v>511405</v>
      </c>
      <c r="B3738" s="6" t="n">
        <v>46003</v>
      </c>
      <c r="C3738" t="n">
        <v>17225</v>
      </c>
      <c r="D3738" t="inlineStr">
        <is>
          <t>Hyderabad</t>
        </is>
      </c>
      <c r="E3738" t="inlineStr">
        <is>
          <t>South</t>
        </is>
      </c>
      <c r="F3738" t="inlineStr">
        <is>
          <t>Organic Search</t>
        </is>
      </c>
      <c r="G3738" t="inlineStr">
        <is>
          <t>Mobile App</t>
        </is>
      </c>
      <c r="H3738" t="inlineStr">
        <is>
          <t>UPI</t>
        </is>
      </c>
      <c r="I3738" t="inlineStr">
        <is>
          <t>Delivered</t>
        </is>
      </c>
      <c r="J3738" t="n">
        <v>122</v>
      </c>
      <c r="K3738" t="n">
        <v>2</v>
      </c>
      <c r="L3738" t="n">
        <v>1994</v>
      </c>
      <c r="M3738" t="n">
        <v>0</v>
      </c>
      <c r="N3738">
        <f>VLOOKUP(J3738,Products!$A$2:$C$49,3,FALSE)</f>
        <v/>
      </c>
      <c r="O3738">
        <f>K3738*L3738-M3738</f>
        <v/>
      </c>
      <c r="P3738">
        <f>TEXT(B3738,"yyyy-mm")</f>
        <v/>
      </c>
      <c r="Q3738">
        <f>IF(O3738&gt;=3000,"Large","Small")</f>
        <v/>
      </c>
      <c r="R3738">
        <f>INDEX(Products!$F$2:$F$49,MATCH(J3738,Products!$A$2:$A$49,0))</f>
        <v/>
      </c>
      <c r="S3738">
        <f>WEEKDAY(B3738,2)</f>
        <v/>
      </c>
    </row>
    <row r="3739">
      <c r="A3739" t="n">
        <v>511405</v>
      </c>
      <c r="B3739" s="6" t="n">
        <v>46003</v>
      </c>
      <c r="C3739" t="n">
        <v>17225</v>
      </c>
      <c r="D3739" t="inlineStr">
        <is>
          <t>Hyderabad</t>
        </is>
      </c>
      <c r="E3739" t="inlineStr">
        <is>
          <t>South</t>
        </is>
      </c>
      <c r="F3739" t="inlineStr">
        <is>
          <t>Organic Search</t>
        </is>
      </c>
      <c r="G3739" t="inlineStr">
        <is>
          <t>Mobile App</t>
        </is>
      </c>
      <c r="H3739" t="inlineStr">
        <is>
          <t>UPI</t>
        </is>
      </c>
      <c r="I3739" t="inlineStr">
        <is>
          <t>Delivered</t>
        </is>
      </c>
      <c r="J3739" t="n">
        <v>106</v>
      </c>
      <c r="K3739" t="n">
        <v>1</v>
      </c>
      <c r="L3739" t="n">
        <v>1574</v>
      </c>
      <c r="M3739" t="n">
        <v>0</v>
      </c>
      <c r="N3739">
        <f>VLOOKUP(J3739,Products!$A$2:$C$49,3,FALSE)</f>
        <v/>
      </c>
      <c r="O3739">
        <f>K3739*L3739-M3739</f>
        <v/>
      </c>
      <c r="P3739">
        <f>TEXT(B3739,"yyyy-mm")</f>
        <v/>
      </c>
      <c r="Q3739">
        <f>IF(O3739&gt;=3000,"Large","Small")</f>
        <v/>
      </c>
      <c r="R3739">
        <f>INDEX(Products!$F$2:$F$49,MATCH(J3739,Products!$A$2:$A$49,0))</f>
        <v/>
      </c>
      <c r="S3739">
        <f>WEEKDAY(B3739,2)</f>
        <v/>
      </c>
    </row>
    <row r="3740">
      <c r="A3740" t="n">
        <v>511406</v>
      </c>
      <c r="B3740" s="6" t="n">
        <v>46003</v>
      </c>
      <c r="C3740" t="n">
        <v>17744</v>
      </c>
      <c r="D3740" t="inlineStr">
        <is>
          <t>Chandigarh</t>
        </is>
      </c>
      <c r="E3740" t="inlineStr">
        <is>
          <t>North</t>
        </is>
      </c>
      <c r="F3740" t="inlineStr">
        <is>
          <t>Paid Social</t>
        </is>
      </c>
      <c r="G3740" t="inlineStr">
        <is>
          <t>Mobile App</t>
        </is>
      </c>
      <c r="H3740" t="inlineStr">
        <is>
          <t>Cash on Delivery</t>
        </is>
      </c>
      <c r="I3740" t="inlineStr">
        <is>
          <t>Returned</t>
        </is>
      </c>
      <c r="J3740" t="n">
        <v>117</v>
      </c>
      <c r="K3740" t="n">
        <v>1</v>
      </c>
      <c r="L3740" t="n">
        <v>3149</v>
      </c>
      <c r="M3740" t="n">
        <v>0</v>
      </c>
      <c r="N3740">
        <f>VLOOKUP(J3740,Products!$A$2:$C$49,3,FALSE)</f>
        <v/>
      </c>
      <c r="O3740">
        <f>K3740*L3740-M3740</f>
        <v/>
      </c>
      <c r="P3740">
        <f>TEXT(B3740,"yyyy-mm")</f>
        <v/>
      </c>
      <c r="Q3740">
        <f>IF(O3740&gt;=3000,"Large","Small")</f>
        <v/>
      </c>
      <c r="R3740">
        <f>INDEX(Products!$F$2:$F$49,MATCH(J3740,Products!$A$2:$A$49,0))</f>
        <v/>
      </c>
      <c r="S3740">
        <f>WEEKDAY(B3740,2)</f>
        <v/>
      </c>
    </row>
    <row r="3741">
      <c r="A3741" t="n">
        <v>511407</v>
      </c>
      <c r="B3741" s="6" t="n">
        <v>46003</v>
      </c>
      <c r="C3741" t="n">
        <v>15056</v>
      </c>
      <c r="D3741" t="inlineStr">
        <is>
          <t>Chandigarh</t>
        </is>
      </c>
      <c r="E3741" t="inlineStr">
        <is>
          <t>North</t>
        </is>
      </c>
      <c r="F3741" t="inlineStr">
        <is>
          <t>Referral</t>
        </is>
      </c>
      <c r="G3741" t="inlineStr">
        <is>
          <t>Mobile Web</t>
        </is>
      </c>
      <c r="H3741" t="inlineStr">
        <is>
          <t>UPI</t>
        </is>
      </c>
      <c r="I3741" t="inlineStr">
        <is>
          <t>Delivered</t>
        </is>
      </c>
      <c r="J3741" t="n">
        <v>119</v>
      </c>
      <c r="K3741" t="n">
        <v>1</v>
      </c>
      <c r="L3741" t="n">
        <v>2309</v>
      </c>
      <c r="M3741" t="n">
        <v>115.45</v>
      </c>
      <c r="N3741">
        <f>VLOOKUP(J3741,Products!$A$2:$C$49,3,FALSE)</f>
        <v/>
      </c>
      <c r="O3741">
        <f>K3741*L3741-M3741</f>
        <v/>
      </c>
      <c r="P3741">
        <f>TEXT(B3741,"yyyy-mm")</f>
        <v/>
      </c>
      <c r="Q3741">
        <f>IF(O3741&gt;=3000,"Large","Small")</f>
        <v/>
      </c>
      <c r="R3741">
        <f>INDEX(Products!$F$2:$F$49,MATCH(J3741,Products!$A$2:$A$49,0))</f>
        <v/>
      </c>
      <c r="S3741">
        <f>WEEKDAY(B3741,2)</f>
        <v/>
      </c>
    </row>
    <row r="3742">
      <c r="A3742" t="n">
        <v>511408</v>
      </c>
      <c r="B3742" s="6" t="n">
        <v>46003</v>
      </c>
      <c r="C3742" t="n">
        <v>17513</v>
      </c>
      <c r="D3742" t="inlineStr">
        <is>
          <t>Chandigarh</t>
        </is>
      </c>
      <c r="E3742" t="inlineStr">
        <is>
          <t>North</t>
        </is>
      </c>
      <c r="F3742" t="inlineStr">
        <is>
          <t>Organic Search</t>
        </is>
      </c>
      <c r="G3742" t="inlineStr">
        <is>
          <t>Mobile Web</t>
        </is>
      </c>
      <c r="H3742" t="inlineStr">
        <is>
          <t>Credit Card</t>
        </is>
      </c>
      <c r="I3742" t="inlineStr">
        <is>
          <t>Cancelled</t>
        </is>
      </c>
      <c r="J3742" t="n">
        <v>113</v>
      </c>
      <c r="K3742" t="n">
        <v>2</v>
      </c>
      <c r="L3742" t="n">
        <v>1364</v>
      </c>
      <c r="M3742" t="n">
        <v>409.2</v>
      </c>
      <c r="N3742">
        <f>VLOOKUP(J3742,Products!$A$2:$C$49,3,FALSE)</f>
        <v/>
      </c>
      <c r="O3742">
        <f>K3742*L3742-M3742</f>
        <v/>
      </c>
      <c r="P3742">
        <f>TEXT(B3742,"yyyy-mm")</f>
        <v/>
      </c>
      <c r="Q3742">
        <f>IF(O3742&gt;=3000,"Large","Small")</f>
        <v/>
      </c>
      <c r="R3742">
        <f>INDEX(Products!$F$2:$F$49,MATCH(J3742,Products!$A$2:$A$49,0))</f>
        <v/>
      </c>
      <c r="S3742">
        <f>WEEKDAY(B3742,2)</f>
        <v/>
      </c>
    </row>
    <row r="3743">
      <c r="A3743" t="n">
        <v>511408</v>
      </c>
      <c r="B3743" s="6" t="n">
        <v>46003</v>
      </c>
      <c r="C3743" t="n">
        <v>17513</v>
      </c>
      <c r="D3743" t="inlineStr">
        <is>
          <t>Chandigarh</t>
        </is>
      </c>
      <c r="E3743" t="inlineStr">
        <is>
          <t>North</t>
        </is>
      </c>
      <c r="F3743" t="inlineStr">
        <is>
          <t>Organic Search</t>
        </is>
      </c>
      <c r="G3743" t="inlineStr">
        <is>
          <t>Mobile Web</t>
        </is>
      </c>
      <c r="H3743" t="inlineStr">
        <is>
          <t>Credit Card</t>
        </is>
      </c>
      <c r="I3743" t="inlineStr">
        <is>
          <t>Cancelled</t>
        </is>
      </c>
      <c r="J3743" t="n">
        <v>124</v>
      </c>
      <c r="K3743" t="n">
        <v>2</v>
      </c>
      <c r="L3743" t="n">
        <v>1154</v>
      </c>
      <c r="M3743" t="n">
        <v>346.2</v>
      </c>
      <c r="N3743">
        <f>VLOOKUP(J3743,Products!$A$2:$C$49,3,FALSE)</f>
        <v/>
      </c>
      <c r="O3743">
        <f>K3743*L3743-M3743</f>
        <v/>
      </c>
      <c r="P3743">
        <f>TEXT(B3743,"yyyy-mm")</f>
        <v/>
      </c>
      <c r="Q3743">
        <f>IF(O3743&gt;=3000,"Large","Small")</f>
        <v/>
      </c>
      <c r="R3743">
        <f>INDEX(Products!$F$2:$F$49,MATCH(J3743,Products!$A$2:$A$49,0))</f>
        <v/>
      </c>
      <c r="S3743">
        <f>WEEKDAY(B3743,2)</f>
        <v/>
      </c>
    </row>
    <row r="3744">
      <c r="A3744" t="n">
        <v>511409</v>
      </c>
      <c r="B3744" s="6" t="n">
        <v>46003</v>
      </c>
      <c r="C3744" t="n">
        <v>14261</v>
      </c>
      <c r="D3744" t="inlineStr">
        <is>
          <t>Bengaluru</t>
        </is>
      </c>
      <c r="E3744" t="inlineStr">
        <is>
          <t>South</t>
        </is>
      </c>
      <c r="F3744" t="inlineStr">
        <is>
          <t>Email</t>
        </is>
      </c>
      <c r="G3744" t="inlineStr">
        <is>
          <t>Mobile App</t>
        </is>
      </c>
      <c r="H3744" t="inlineStr">
        <is>
          <t>Credit Card</t>
        </is>
      </c>
      <c r="I3744" t="inlineStr">
        <is>
          <t>Delivered</t>
        </is>
      </c>
      <c r="J3744" t="n">
        <v>121</v>
      </c>
      <c r="K3744" t="n">
        <v>1</v>
      </c>
      <c r="L3744" t="n">
        <v>2939</v>
      </c>
      <c r="M3744" t="n">
        <v>0</v>
      </c>
      <c r="N3744">
        <f>VLOOKUP(J3744,Products!$A$2:$C$49,3,FALSE)</f>
        <v/>
      </c>
      <c r="O3744">
        <f>K3744*L3744-M3744</f>
        <v/>
      </c>
      <c r="P3744">
        <f>TEXT(B3744,"yyyy-mm")</f>
        <v/>
      </c>
      <c r="Q3744">
        <f>IF(O3744&gt;=3000,"Large","Small")</f>
        <v/>
      </c>
      <c r="R3744">
        <f>INDEX(Products!$F$2:$F$49,MATCH(J3744,Products!$A$2:$A$49,0))</f>
        <v/>
      </c>
      <c r="S3744">
        <f>WEEKDAY(B3744,2)</f>
        <v/>
      </c>
    </row>
    <row r="3745">
      <c r="A3745" t="n">
        <v>511410</v>
      </c>
      <c r="B3745" s="6" t="n">
        <v>46003</v>
      </c>
      <c r="C3745" t="n">
        <v>17722</v>
      </c>
      <c r="D3745" t="inlineStr">
        <is>
          <t>Lucknow</t>
        </is>
      </c>
      <c r="E3745" t="inlineStr">
        <is>
          <t>North</t>
        </is>
      </c>
      <c r="F3745" t="inlineStr">
        <is>
          <t>Referral</t>
        </is>
      </c>
      <c r="G3745" t="inlineStr">
        <is>
          <t>Mobile App</t>
        </is>
      </c>
      <c r="H3745" t="inlineStr">
        <is>
          <t>UPI</t>
        </is>
      </c>
      <c r="I3745" t="inlineStr">
        <is>
          <t>Delivered</t>
        </is>
      </c>
      <c r="J3745" t="n">
        <v>146</v>
      </c>
      <c r="K3745" t="n">
        <v>1</v>
      </c>
      <c r="L3745" t="n">
        <v>4724</v>
      </c>
      <c r="M3745" t="n">
        <v>0</v>
      </c>
      <c r="N3745">
        <f>VLOOKUP(J3745,Products!$A$2:$C$49,3,FALSE)</f>
        <v/>
      </c>
      <c r="O3745">
        <f>K3745*L3745-M3745</f>
        <v/>
      </c>
      <c r="P3745">
        <f>TEXT(B3745,"yyyy-mm")</f>
        <v/>
      </c>
      <c r="Q3745">
        <f>IF(O3745&gt;=3000,"Large","Small")</f>
        <v/>
      </c>
      <c r="R3745">
        <f>INDEX(Products!$F$2:$F$49,MATCH(J3745,Products!$A$2:$A$49,0))</f>
        <v/>
      </c>
      <c r="S3745">
        <f>WEEKDAY(B3745,2)</f>
        <v/>
      </c>
    </row>
    <row r="3746">
      <c r="A3746" t="n">
        <v>511410</v>
      </c>
      <c r="B3746" s="6" t="n">
        <v>46003</v>
      </c>
      <c r="C3746" t="n">
        <v>17722</v>
      </c>
      <c r="D3746" t="inlineStr">
        <is>
          <t>Lucknow</t>
        </is>
      </c>
      <c r="E3746" t="inlineStr">
        <is>
          <t>North</t>
        </is>
      </c>
      <c r="F3746" t="inlineStr">
        <is>
          <t>Referral</t>
        </is>
      </c>
      <c r="G3746" t="inlineStr">
        <is>
          <t>Mobile App</t>
        </is>
      </c>
      <c r="H3746" t="inlineStr">
        <is>
          <t>UPI</t>
        </is>
      </c>
      <c r="I3746" t="inlineStr">
        <is>
          <t>Delivered</t>
        </is>
      </c>
      <c r="J3746" t="n">
        <v>113</v>
      </c>
      <c r="K3746" t="n">
        <v>1</v>
      </c>
      <c r="L3746" t="n">
        <v>1364</v>
      </c>
      <c r="M3746" t="n">
        <v>0</v>
      </c>
      <c r="N3746">
        <f>VLOOKUP(J3746,Products!$A$2:$C$49,3,FALSE)</f>
        <v/>
      </c>
      <c r="O3746">
        <f>K3746*L3746-M3746</f>
        <v/>
      </c>
      <c r="P3746">
        <f>TEXT(B3746,"yyyy-mm")</f>
        <v/>
      </c>
      <c r="Q3746">
        <f>IF(O3746&gt;=3000,"Large","Small")</f>
        <v/>
      </c>
      <c r="R3746">
        <f>INDEX(Products!$F$2:$F$49,MATCH(J3746,Products!$A$2:$A$49,0))</f>
        <v/>
      </c>
      <c r="S3746">
        <f>WEEKDAY(B3746,2)</f>
        <v/>
      </c>
    </row>
    <row r="3747">
      <c r="A3747" t="n">
        <v>511410</v>
      </c>
      <c r="B3747" s="6" t="n">
        <v>46003</v>
      </c>
      <c r="C3747" t="n">
        <v>17722</v>
      </c>
      <c r="D3747" t="inlineStr">
        <is>
          <t>Lucknow</t>
        </is>
      </c>
      <c r="E3747" t="inlineStr">
        <is>
          <t>North</t>
        </is>
      </c>
      <c r="F3747" t="inlineStr">
        <is>
          <t>Referral</t>
        </is>
      </c>
      <c r="G3747" t="inlineStr">
        <is>
          <t>Mobile App</t>
        </is>
      </c>
      <c r="H3747" t="inlineStr">
        <is>
          <t>UPI</t>
        </is>
      </c>
      <c r="I3747" t="inlineStr">
        <is>
          <t>Delivered</t>
        </is>
      </c>
      <c r="J3747" t="n">
        <v>106</v>
      </c>
      <c r="K3747" t="n">
        <v>1</v>
      </c>
      <c r="L3747" t="n">
        <v>1574</v>
      </c>
      <c r="M3747" t="n">
        <v>0</v>
      </c>
      <c r="N3747">
        <f>VLOOKUP(J3747,Products!$A$2:$C$49,3,FALSE)</f>
        <v/>
      </c>
      <c r="O3747">
        <f>K3747*L3747-M3747</f>
        <v/>
      </c>
      <c r="P3747">
        <f>TEXT(B3747,"yyyy-mm")</f>
        <v/>
      </c>
      <c r="Q3747">
        <f>IF(O3747&gt;=3000,"Large","Small")</f>
        <v/>
      </c>
      <c r="R3747">
        <f>INDEX(Products!$F$2:$F$49,MATCH(J3747,Products!$A$2:$A$49,0))</f>
        <v/>
      </c>
      <c r="S3747">
        <f>WEEKDAY(B3747,2)</f>
        <v/>
      </c>
    </row>
    <row r="3748">
      <c r="A3748" t="n">
        <v>511410</v>
      </c>
      <c r="B3748" s="6" t="n">
        <v>46003</v>
      </c>
      <c r="C3748" t="n">
        <v>17722</v>
      </c>
      <c r="D3748" t="inlineStr">
        <is>
          <t>Lucknow</t>
        </is>
      </c>
      <c r="E3748" t="inlineStr">
        <is>
          <t>North</t>
        </is>
      </c>
      <c r="F3748" t="inlineStr">
        <is>
          <t>Referral</t>
        </is>
      </c>
      <c r="G3748" t="inlineStr">
        <is>
          <t>Mobile App</t>
        </is>
      </c>
      <c r="H3748" t="inlineStr">
        <is>
          <t>UPI</t>
        </is>
      </c>
      <c r="I3748" t="inlineStr">
        <is>
          <t>Delivered</t>
        </is>
      </c>
      <c r="J3748" t="n">
        <v>126</v>
      </c>
      <c r="K3748" t="n">
        <v>1</v>
      </c>
      <c r="L3748" t="n">
        <v>471</v>
      </c>
      <c r="M3748" t="n">
        <v>0</v>
      </c>
      <c r="N3748">
        <f>VLOOKUP(J3748,Products!$A$2:$C$49,3,FALSE)</f>
        <v/>
      </c>
      <c r="O3748">
        <f>K3748*L3748-M3748</f>
        <v/>
      </c>
      <c r="P3748">
        <f>TEXT(B3748,"yyyy-mm")</f>
        <v/>
      </c>
      <c r="Q3748">
        <f>IF(O3748&gt;=3000,"Large","Small")</f>
        <v/>
      </c>
      <c r="R3748">
        <f>INDEX(Products!$F$2:$F$49,MATCH(J3748,Products!$A$2:$A$49,0))</f>
        <v/>
      </c>
      <c r="S3748">
        <f>WEEKDAY(B3748,2)</f>
        <v/>
      </c>
    </row>
    <row r="3749">
      <c r="A3749" t="n">
        <v>511411</v>
      </c>
      <c r="B3749" s="6" t="n">
        <v>46003</v>
      </c>
      <c r="C3749" t="n">
        <v>16128</v>
      </c>
      <c r="D3749" t="inlineStr">
        <is>
          <t>Delhi</t>
        </is>
      </c>
      <c r="E3749" t="inlineStr">
        <is>
          <t>North</t>
        </is>
      </c>
      <c r="F3749" t="inlineStr">
        <is>
          <t>Referral</t>
        </is>
      </c>
      <c r="G3749" t="inlineStr">
        <is>
          <t>Mobile App</t>
        </is>
      </c>
      <c r="H3749" t="inlineStr">
        <is>
          <t>Debit Card</t>
        </is>
      </c>
      <c r="I3749" t="inlineStr">
        <is>
          <t>Cancelled</t>
        </is>
      </c>
      <c r="J3749" t="n">
        <v>133</v>
      </c>
      <c r="K3749" t="n">
        <v>1</v>
      </c>
      <c r="L3749" t="n">
        <v>419</v>
      </c>
      <c r="M3749" t="n">
        <v>0</v>
      </c>
      <c r="N3749">
        <f>VLOOKUP(J3749,Products!$A$2:$C$49,3,FALSE)</f>
        <v/>
      </c>
      <c r="O3749">
        <f>K3749*L3749-M3749</f>
        <v/>
      </c>
      <c r="P3749">
        <f>TEXT(B3749,"yyyy-mm")</f>
        <v/>
      </c>
      <c r="Q3749">
        <f>IF(O3749&gt;=3000,"Large","Small")</f>
        <v/>
      </c>
      <c r="R3749">
        <f>INDEX(Products!$F$2:$F$49,MATCH(J3749,Products!$A$2:$A$49,0))</f>
        <v/>
      </c>
      <c r="S3749">
        <f>WEEKDAY(B3749,2)</f>
        <v/>
      </c>
    </row>
    <row r="3750">
      <c r="A3750" t="n">
        <v>511412</v>
      </c>
      <c r="B3750" s="6" t="n">
        <v>46003</v>
      </c>
      <c r="C3750" t="n">
        <v>16428</v>
      </c>
      <c r="D3750" t="inlineStr">
        <is>
          <t>Delhi</t>
        </is>
      </c>
      <c r="E3750" t="inlineStr">
        <is>
          <t>North</t>
        </is>
      </c>
      <c r="F3750" t="inlineStr">
        <is>
          <t>Organic Search</t>
        </is>
      </c>
      <c r="G3750" t="inlineStr">
        <is>
          <t>Mobile App</t>
        </is>
      </c>
      <c r="H3750" t="inlineStr">
        <is>
          <t>UPI</t>
        </is>
      </c>
      <c r="I3750" t="inlineStr">
        <is>
          <t>Delivered</t>
        </is>
      </c>
      <c r="J3750" t="n">
        <v>127</v>
      </c>
      <c r="K3750" t="n">
        <v>2</v>
      </c>
      <c r="L3750" t="n">
        <v>681</v>
      </c>
      <c r="M3750" t="n">
        <v>0</v>
      </c>
      <c r="N3750">
        <f>VLOOKUP(J3750,Products!$A$2:$C$49,3,FALSE)</f>
        <v/>
      </c>
      <c r="O3750">
        <f>K3750*L3750-M3750</f>
        <v/>
      </c>
      <c r="P3750">
        <f>TEXT(B3750,"yyyy-mm")</f>
        <v/>
      </c>
      <c r="Q3750">
        <f>IF(O3750&gt;=3000,"Large","Small")</f>
        <v/>
      </c>
      <c r="R3750">
        <f>INDEX(Products!$F$2:$F$49,MATCH(J3750,Products!$A$2:$A$49,0))</f>
        <v/>
      </c>
      <c r="S3750">
        <f>WEEKDAY(B3750,2)</f>
        <v/>
      </c>
    </row>
    <row r="3751">
      <c r="A3751" t="n">
        <v>511413</v>
      </c>
      <c r="B3751" s="6" t="n">
        <v>46003</v>
      </c>
      <c r="C3751" t="n">
        <v>17659</v>
      </c>
      <c r="D3751" t="inlineStr">
        <is>
          <t>Delhi</t>
        </is>
      </c>
      <c r="E3751" t="inlineStr">
        <is>
          <t>North</t>
        </is>
      </c>
      <c r="F3751" t="inlineStr">
        <is>
          <t>Organic Search</t>
        </is>
      </c>
      <c r="G3751" t="inlineStr">
        <is>
          <t>Mobile App</t>
        </is>
      </c>
      <c r="H3751" t="inlineStr">
        <is>
          <t>Cash on Delivery</t>
        </is>
      </c>
      <c r="I3751" t="inlineStr">
        <is>
          <t>Delivered</t>
        </is>
      </c>
      <c r="J3751" t="n">
        <v>127</v>
      </c>
      <c r="K3751" t="n">
        <v>1</v>
      </c>
      <c r="L3751" t="n">
        <v>681</v>
      </c>
      <c r="M3751" t="n">
        <v>34.05</v>
      </c>
      <c r="N3751">
        <f>VLOOKUP(J3751,Products!$A$2:$C$49,3,FALSE)</f>
        <v/>
      </c>
      <c r="O3751">
        <f>K3751*L3751-M3751</f>
        <v/>
      </c>
      <c r="P3751">
        <f>TEXT(B3751,"yyyy-mm")</f>
        <v/>
      </c>
      <c r="Q3751">
        <f>IF(O3751&gt;=3000,"Large","Small")</f>
        <v/>
      </c>
      <c r="R3751">
        <f>INDEX(Products!$F$2:$F$49,MATCH(J3751,Products!$A$2:$A$49,0))</f>
        <v/>
      </c>
      <c r="S3751">
        <f>WEEKDAY(B3751,2)</f>
        <v/>
      </c>
    </row>
    <row r="3752">
      <c r="A3752" t="n">
        <v>511413</v>
      </c>
      <c r="B3752" s="6" t="n">
        <v>46003</v>
      </c>
      <c r="C3752" t="n">
        <v>17659</v>
      </c>
      <c r="D3752" t="inlineStr">
        <is>
          <t>Delhi</t>
        </is>
      </c>
      <c r="E3752" t="inlineStr">
        <is>
          <t>North</t>
        </is>
      </c>
      <c r="F3752" t="inlineStr">
        <is>
          <t>Organic Search</t>
        </is>
      </c>
      <c r="G3752" t="inlineStr">
        <is>
          <t>Mobile App</t>
        </is>
      </c>
      <c r="H3752" t="inlineStr">
        <is>
          <t>Cash on Delivery</t>
        </is>
      </c>
      <c r="I3752" t="inlineStr">
        <is>
          <t>Delivered</t>
        </is>
      </c>
      <c r="J3752" t="n">
        <v>112</v>
      </c>
      <c r="K3752" t="n">
        <v>1</v>
      </c>
      <c r="L3752" t="n">
        <v>1574</v>
      </c>
      <c r="M3752" t="n">
        <v>78.7</v>
      </c>
      <c r="N3752">
        <f>VLOOKUP(J3752,Products!$A$2:$C$49,3,FALSE)</f>
        <v/>
      </c>
      <c r="O3752">
        <f>K3752*L3752-M3752</f>
        <v/>
      </c>
      <c r="P3752">
        <f>TEXT(B3752,"yyyy-mm")</f>
        <v/>
      </c>
      <c r="Q3752">
        <f>IF(O3752&gt;=3000,"Large","Small")</f>
        <v/>
      </c>
      <c r="R3752">
        <f>INDEX(Products!$F$2:$F$49,MATCH(J3752,Products!$A$2:$A$49,0))</f>
        <v/>
      </c>
      <c r="S3752">
        <f>WEEKDAY(B3752,2)</f>
        <v/>
      </c>
    </row>
    <row r="3753">
      <c r="A3753" t="n">
        <v>511413</v>
      </c>
      <c r="B3753" s="6" t="n">
        <v>46003</v>
      </c>
      <c r="C3753" t="n">
        <v>17659</v>
      </c>
      <c r="D3753" t="inlineStr">
        <is>
          <t>Delhi</t>
        </is>
      </c>
      <c r="E3753" t="inlineStr">
        <is>
          <t>North</t>
        </is>
      </c>
      <c r="F3753" t="inlineStr">
        <is>
          <t>Organic Search</t>
        </is>
      </c>
      <c r="G3753" t="inlineStr">
        <is>
          <t>Mobile App</t>
        </is>
      </c>
      <c r="H3753" t="inlineStr">
        <is>
          <t>Cash on Delivery</t>
        </is>
      </c>
      <c r="I3753" t="inlineStr">
        <is>
          <t>Delivered</t>
        </is>
      </c>
      <c r="J3753" t="n">
        <v>113</v>
      </c>
      <c r="K3753" t="n">
        <v>1</v>
      </c>
      <c r="L3753" t="n">
        <v>1364</v>
      </c>
      <c r="M3753" t="n">
        <v>68.2</v>
      </c>
      <c r="N3753">
        <f>VLOOKUP(J3753,Products!$A$2:$C$49,3,FALSE)</f>
        <v/>
      </c>
      <c r="O3753">
        <f>K3753*L3753-M3753</f>
        <v/>
      </c>
      <c r="P3753">
        <f>TEXT(B3753,"yyyy-mm")</f>
        <v/>
      </c>
      <c r="Q3753">
        <f>IF(O3753&gt;=3000,"Large","Small")</f>
        <v/>
      </c>
      <c r="R3753">
        <f>INDEX(Products!$F$2:$F$49,MATCH(J3753,Products!$A$2:$A$49,0))</f>
        <v/>
      </c>
      <c r="S3753">
        <f>WEEKDAY(B3753,2)</f>
        <v/>
      </c>
    </row>
    <row r="3754">
      <c r="A3754" t="n">
        <v>511414</v>
      </c>
      <c r="B3754" s="6" t="n">
        <v>46003</v>
      </c>
      <c r="C3754" t="n">
        <v>15625</v>
      </c>
      <c r="D3754" t="inlineStr">
        <is>
          <t>Gurugram</t>
        </is>
      </c>
      <c r="E3754" t="inlineStr">
        <is>
          <t>North</t>
        </is>
      </c>
      <c r="F3754" t="inlineStr">
        <is>
          <t>Referral</t>
        </is>
      </c>
      <c r="G3754" t="inlineStr">
        <is>
          <t>Mobile App</t>
        </is>
      </c>
      <c r="H3754" t="inlineStr">
        <is>
          <t>Credit Card</t>
        </is>
      </c>
      <c r="I3754" t="inlineStr">
        <is>
          <t>Delivered</t>
        </is>
      </c>
      <c r="J3754" t="n">
        <v>117</v>
      </c>
      <c r="K3754" t="n">
        <v>1</v>
      </c>
      <c r="L3754" t="n">
        <v>3149</v>
      </c>
      <c r="M3754" t="n">
        <v>0</v>
      </c>
      <c r="N3754">
        <f>VLOOKUP(J3754,Products!$A$2:$C$49,3,FALSE)</f>
        <v/>
      </c>
      <c r="O3754">
        <f>K3754*L3754-M3754</f>
        <v/>
      </c>
      <c r="P3754">
        <f>TEXT(B3754,"yyyy-mm")</f>
        <v/>
      </c>
      <c r="Q3754">
        <f>IF(O3754&gt;=3000,"Large","Small")</f>
        <v/>
      </c>
      <c r="R3754">
        <f>INDEX(Products!$F$2:$F$49,MATCH(J3754,Products!$A$2:$A$49,0))</f>
        <v/>
      </c>
      <c r="S3754">
        <f>WEEKDAY(B3754,2)</f>
        <v/>
      </c>
    </row>
    <row r="3755">
      <c r="A3755" t="n">
        <v>511415</v>
      </c>
      <c r="B3755" s="6" t="n">
        <v>46003</v>
      </c>
      <c r="C3755" t="n">
        <v>17701</v>
      </c>
      <c r="D3755" t="inlineStr">
        <is>
          <t>Delhi</t>
        </is>
      </c>
      <c r="E3755" t="inlineStr">
        <is>
          <t>North</t>
        </is>
      </c>
      <c r="F3755" t="inlineStr">
        <is>
          <t>Referral</t>
        </is>
      </c>
      <c r="G3755" t="inlineStr">
        <is>
          <t>Mobile App</t>
        </is>
      </c>
      <c r="H3755" t="inlineStr">
        <is>
          <t>UPI</t>
        </is>
      </c>
      <c r="I3755" t="inlineStr">
        <is>
          <t>Returned</t>
        </is>
      </c>
      <c r="J3755" t="n">
        <v>111</v>
      </c>
      <c r="K3755" t="n">
        <v>1</v>
      </c>
      <c r="L3755" t="n">
        <v>524</v>
      </c>
      <c r="M3755" t="n">
        <v>78.59999999999999</v>
      </c>
      <c r="N3755">
        <f>VLOOKUP(J3755,Products!$A$2:$C$49,3,FALSE)</f>
        <v/>
      </c>
      <c r="O3755">
        <f>K3755*L3755-M3755</f>
        <v/>
      </c>
      <c r="P3755">
        <f>TEXT(B3755,"yyyy-mm")</f>
        <v/>
      </c>
      <c r="Q3755">
        <f>IF(O3755&gt;=3000,"Large","Small")</f>
        <v/>
      </c>
      <c r="R3755">
        <f>INDEX(Products!$F$2:$F$49,MATCH(J3755,Products!$A$2:$A$49,0))</f>
        <v/>
      </c>
      <c r="S3755">
        <f>WEEKDAY(B3755,2)</f>
        <v/>
      </c>
    </row>
    <row r="3756">
      <c r="A3756" t="n">
        <v>511415</v>
      </c>
      <c r="B3756" s="6" t="n">
        <v>46003</v>
      </c>
      <c r="C3756" t="n">
        <v>17701</v>
      </c>
      <c r="D3756" t="inlineStr">
        <is>
          <t>Delhi</t>
        </is>
      </c>
      <c r="E3756" t="inlineStr">
        <is>
          <t>North</t>
        </is>
      </c>
      <c r="F3756" t="inlineStr">
        <is>
          <t>Referral</t>
        </is>
      </c>
      <c r="G3756" t="inlineStr">
        <is>
          <t>Mobile App</t>
        </is>
      </c>
      <c r="H3756" t="inlineStr">
        <is>
          <t>UPI</t>
        </is>
      </c>
      <c r="I3756" t="inlineStr">
        <is>
          <t>Returned</t>
        </is>
      </c>
      <c r="J3756" t="n">
        <v>108</v>
      </c>
      <c r="K3756" t="n">
        <v>1</v>
      </c>
      <c r="L3756" t="n">
        <v>419</v>
      </c>
      <c r="M3756" t="n">
        <v>62.85</v>
      </c>
      <c r="N3756">
        <f>VLOOKUP(J3756,Products!$A$2:$C$49,3,FALSE)</f>
        <v/>
      </c>
      <c r="O3756">
        <f>K3756*L3756-M3756</f>
        <v/>
      </c>
      <c r="P3756">
        <f>TEXT(B3756,"yyyy-mm")</f>
        <v/>
      </c>
      <c r="Q3756">
        <f>IF(O3756&gt;=3000,"Large","Small")</f>
        <v/>
      </c>
      <c r="R3756">
        <f>INDEX(Products!$F$2:$F$49,MATCH(J3756,Products!$A$2:$A$49,0))</f>
        <v/>
      </c>
      <c r="S3756">
        <f>WEEKDAY(B3756,2)</f>
        <v/>
      </c>
    </row>
    <row r="3757">
      <c r="A3757" t="n">
        <v>511416</v>
      </c>
      <c r="B3757" s="6" t="n">
        <v>46003</v>
      </c>
      <c r="C3757" t="n">
        <v>17150</v>
      </c>
      <c r="D3757" t="inlineStr">
        <is>
          <t>Bengaluru</t>
        </is>
      </c>
      <c r="E3757" t="inlineStr">
        <is>
          <t>South</t>
        </is>
      </c>
      <c r="F3757" t="inlineStr">
        <is>
          <t>Email</t>
        </is>
      </c>
      <c r="G3757" t="inlineStr">
        <is>
          <t>Desktop</t>
        </is>
      </c>
      <c r="H3757" t="inlineStr">
        <is>
          <t>UPI</t>
        </is>
      </c>
      <c r="I3757" t="inlineStr">
        <is>
          <t>Delivered</t>
        </is>
      </c>
      <c r="J3757" t="n">
        <v>140</v>
      </c>
      <c r="K3757" t="n">
        <v>1</v>
      </c>
      <c r="L3757" t="n">
        <v>629</v>
      </c>
      <c r="M3757" t="n">
        <v>0</v>
      </c>
      <c r="N3757">
        <f>VLOOKUP(J3757,Products!$A$2:$C$49,3,FALSE)</f>
        <v/>
      </c>
      <c r="O3757">
        <f>K3757*L3757-M3757</f>
        <v/>
      </c>
      <c r="P3757">
        <f>TEXT(B3757,"yyyy-mm")</f>
        <v/>
      </c>
      <c r="Q3757">
        <f>IF(O3757&gt;=3000,"Large","Small")</f>
        <v/>
      </c>
      <c r="R3757">
        <f>INDEX(Products!$F$2:$F$49,MATCH(J3757,Products!$A$2:$A$49,0))</f>
        <v/>
      </c>
      <c r="S3757">
        <f>WEEKDAY(B3757,2)</f>
        <v/>
      </c>
    </row>
    <row r="3758">
      <c r="A3758" t="n">
        <v>511416</v>
      </c>
      <c r="B3758" s="6" t="n">
        <v>46003</v>
      </c>
      <c r="C3758" t="n">
        <v>17150</v>
      </c>
      <c r="D3758" t="inlineStr">
        <is>
          <t>Bengaluru</t>
        </is>
      </c>
      <c r="E3758" t="inlineStr">
        <is>
          <t>South</t>
        </is>
      </c>
      <c r="F3758" t="inlineStr">
        <is>
          <t>Email</t>
        </is>
      </c>
      <c r="G3758" t="inlineStr">
        <is>
          <t>Desktop</t>
        </is>
      </c>
      <c r="H3758" t="inlineStr">
        <is>
          <t>UPI</t>
        </is>
      </c>
      <c r="I3758" t="inlineStr">
        <is>
          <t>Delivered</t>
        </is>
      </c>
      <c r="J3758" t="n">
        <v>135</v>
      </c>
      <c r="K3758" t="n">
        <v>1</v>
      </c>
      <c r="L3758" t="n">
        <v>1574</v>
      </c>
      <c r="M3758" t="n">
        <v>0</v>
      </c>
      <c r="N3758">
        <f>VLOOKUP(J3758,Products!$A$2:$C$49,3,FALSE)</f>
        <v/>
      </c>
      <c r="O3758">
        <f>K3758*L3758-M3758</f>
        <v/>
      </c>
      <c r="P3758">
        <f>TEXT(B3758,"yyyy-mm")</f>
        <v/>
      </c>
      <c r="Q3758">
        <f>IF(O3758&gt;=3000,"Large","Small")</f>
        <v/>
      </c>
      <c r="R3758">
        <f>INDEX(Products!$F$2:$F$49,MATCH(J3758,Products!$A$2:$A$49,0))</f>
        <v/>
      </c>
      <c r="S3758">
        <f>WEEKDAY(B3758,2)</f>
        <v/>
      </c>
    </row>
    <row r="3759">
      <c r="A3759" t="n">
        <v>511416</v>
      </c>
      <c r="B3759" s="6" t="n">
        <v>46003</v>
      </c>
      <c r="C3759" t="n">
        <v>17150</v>
      </c>
      <c r="D3759" t="inlineStr">
        <is>
          <t>Bengaluru</t>
        </is>
      </c>
      <c r="E3759" t="inlineStr">
        <is>
          <t>South</t>
        </is>
      </c>
      <c r="F3759" t="inlineStr">
        <is>
          <t>Email</t>
        </is>
      </c>
      <c r="G3759" t="inlineStr">
        <is>
          <t>Desktop</t>
        </is>
      </c>
      <c r="H3759" t="inlineStr">
        <is>
          <t>UPI</t>
        </is>
      </c>
      <c r="I3759" t="inlineStr">
        <is>
          <t>Delivered</t>
        </is>
      </c>
      <c r="J3759" t="n">
        <v>111</v>
      </c>
      <c r="K3759" t="n">
        <v>1</v>
      </c>
      <c r="L3759" t="n">
        <v>524</v>
      </c>
      <c r="M3759" t="n">
        <v>0</v>
      </c>
      <c r="N3759">
        <f>VLOOKUP(J3759,Products!$A$2:$C$49,3,FALSE)</f>
        <v/>
      </c>
      <c r="O3759">
        <f>K3759*L3759-M3759</f>
        <v/>
      </c>
      <c r="P3759">
        <f>TEXT(B3759,"yyyy-mm")</f>
        <v/>
      </c>
      <c r="Q3759">
        <f>IF(O3759&gt;=3000,"Large","Small")</f>
        <v/>
      </c>
      <c r="R3759">
        <f>INDEX(Products!$F$2:$F$49,MATCH(J3759,Products!$A$2:$A$49,0))</f>
        <v/>
      </c>
      <c r="S3759">
        <f>WEEKDAY(B3759,2)</f>
        <v/>
      </c>
    </row>
    <row r="3760">
      <c r="A3760" t="n">
        <v>511417</v>
      </c>
      <c r="B3760" s="6" t="n">
        <v>46003</v>
      </c>
      <c r="C3760" t="n">
        <v>16832</v>
      </c>
      <c r="D3760" t="inlineStr">
        <is>
          <t>Mumbai</t>
        </is>
      </c>
      <c r="E3760" t="inlineStr">
        <is>
          <t>West</t>
        </is>
      </c>
      <c r="F3760" t="inlineStr">
        <is>
          <t>Organic Search</t>
        </is>
      </c>
      <c r="G3760" t="inlineStr">
        <is>
          <t>Mobile Web</t>
        </is>
      </c>
      <c r="H3760" t="inlineStr">
        <is>
          <t>UPI</t>
        </is>
      </c>
      <c r="I3760" t="inlineStr">
        <is>
          <t>Returned</t>
        </is>
      </c>
      <c r="J3760" t="n">
        <v>113</v>
      </c>
      <c r="K3760" t="n">
        <v>2</v>
      </c>
      <c r="L3760" t="n">
        <v>1364</v>
      </c>
      <c r="M3760" t="n">
        <v>0</v>
      </c>
      <c r="N3760">
        <f>VLOOKUP(J3760,Products!$A$2:$C$49,3,FALSE)</f>
        <v/>
      </c>
      <c r="O3760">
        <f>K3760*L3760-M3760</f>
        <v/>
      </c>
      <c r="P3760">
        <f>TEXT(B3760,"yyyy-mm")</f>
        <v/>
      </c>
      <c r="Q3760">
        <f>IF(O3760&gt;=3000,"Large","Small")</f>
        <v/>
      </c>
      <c r="R3760">
        <f>INDEX(Products!$F$2:$F$49,MATCH(J3760,Products!$A$2:$A$49,0))</f>
        <v/>
      </c>
      <c r="S3760">
        <f>WEEKDAY(B3760,2)</f>
        <v/>
      </c>
    </row>
    <row r="3761">
      <c r="A3761" t="n">
        <v>511418</v>
      </c>
      <c r="B3761" s="6" t="n">
        <v>46003</v>
      </c>
      <c r="C3761" t="n">
        <v>17677</v>
      </c>
      <c r="D3761" t="inlineStr">
        <is>
          <t>Bengaluru</t>
        </is>
      </c>
      <c r="E3761" t="inlineStr">
        <is>
          <t>South</t>
        </is>
      </c>
      <c r="F3761" t="inlineStr">
        <is>
          <t>Paid Social</t>
        </is>
      </c>
      <c r="G3761" t="inlineStr">
        <is>
          <t>Mobile App</t>
        </is>
      </c>
      <c r="H3761" t="inlineStr">
        <is>
          <t>Cash on Delivery</t>
        </is>
      </c>
      <c r="I3761" t="inlineStr">
        <is>
          <t>Returned</t>
        </is>
      </c>
      <c r="J3761" t="n">
        <v>147</v>
      </c>
      <c r="K3761" t="n">
        <v>1</v>
      </c>
      <c r="L3761" t="n">
        <v>1364</v>
      </c>
      <c r="M3761" t="n">
        <v>0</v>
      </c>
      <c r="N3761">
        <f>VLOOKUP(J3761,Products!$A$2:$C$49,3,FALSE)</f>
        <v/>
      </c>
      <c r="O3761">
        <f>K3761*L3761-M3761</f>
        <v/>
      </c>
      <c r="P3761">
        <f>TEXT(B3761,"yyyy-mm")</f>
        <v/>
      </c>
      <c r="Q3761">
        <f>IF(O3761&gt;=3000,"Large","Small")</f>
        <v/>
      </c>
      <c r="R3761">
        <f>INDEX(Products!$F$2:$F$49,MATCH(J3761,Products!$A$2:$A$49,0))</f>
        <v/>
      </c>
      <c r="S3761">
        <f>WEEKDAY(B3761,2)</f>
        <v/>
      </c>
    </row>
    <row r="3762">
      <c r="A3762" t="n">
        <v>511419</v>
      </c>
      <c r="B3762" s="6" t="n">
        <v>46003</v>
      </c>
      <c r="C3762" t="n">
        <v>17679</v>
      </c>
      <c r="D3762" t="inlineStr">
        <is>
          <t>Ahmedabad</t>
        </is>
      </c>
      <c r="E3762" t="inlineStr">
        <is>
          <t>West</t>
        </is>
      </c>
      <c r="F3762" t="inlineStr">
        <is>
          <t>Paid Search</t>
        </is>
      </c>
      <c r="G3762" t="inlineStr">
        <is>
          <t>Mobile App</t>
        </is>
      </c>
      <c r="H3762" t="inlineStr">
        <is>
          <t>UPI</t>
        </is>
      </c>
      <c r="I3762" t="inlineStr">
        <is>
          <t>Delivered</t>
        </is>
      </c>
      <c r="J3762" t="n">
        <v>112</v>
      </c>
      <c r="K3762" t="n">
        <v>1</v>
      </c>
      <c r="L3762" t="n">
        <v>1574</v>
      </c>
      <c r="M3762" t="n">
        <v>0</v>
      </c>
      <c r="N3762">
        <f>VLOOKUP(J3762,Products!$A$2:$C$49,3,FALSE)</f>
        <v/>
      </c>
      <c r="O3762">
        <f>K3762*L3762-M3762</f>
        <v/>
      </c>
      <c r="P3762">
        <f>TEXT(B3762,"yyyy-mm")</f>
        <v/>
      </c>
      <c r="Q3762">
        <f>IF(O3762&gt;=3000,"Large","Small")</f>
        <v/>
      </c>
      <c r="R3762">
        <f>INDEX(Products!$F$2:$F$49,MATCH(J3762,Products!$A$2:$A$49,0))</f>
        <v/>
      </c>
      <c r="S3762">
        <f>WEEKDAY(B3762,2)</f>
        <v/>
      </c>
    </row>
    <row r="3763">
      <c r="A3763" t="n">
        <v>511420</v>
      </c>
      <c r="B3763" s="6" t="n">
        <v>46003</v>
      </c>
      <c r="C3763" t="n">
        <v>17720</v>
      </c>
      <c r="D3763" t="inlineStr">
        <is>
          <t>Bengaluru</t>
        </is>
      </c>
      <c r="E3763" t="inlineStr">
        <is>
          <t>South</t>
        </is>
      </c>
      <c r="F3763" t="inlineStr">
        <is>
          <t>Paid Search</t>
        </is>
      </c>
      <c r="G3763" t="inlineStr">
        <is>
          <t>Desktop</t>
        </is>
      </c>
      <c r="H3763" t="inlineStr">
        <is>
          <t>UPI</t>
        </is>
      </c>
      <c r="I3763" t="inlineStr">
        <is>
          <t>Delivered</t>
        </is>
      </c>
      <c r="J3763" t="n">
        <v>129</v>
      </c>
      <c r="K3763" t="n">
        <v>1</v>
      </c>
      <c r="L3763" t="n">
        <v>576</v>
      </c>
      <c r="M3763" t="n">
        <v>0</v>
      </c>
      <c r="N3763">
        <f>VLOOKUP(J3763,Products!$A$2:$C$49,3,FALSE)</f>
        <v/>
      </c>
      <c r="O3763">
        <f>K3763*L3763-M3763</f>
        <v/>
      </c>
      <c r="P3763">
        <f>TEXT(B3763,"yyyy-mm")</f>
        <v/>
      </c>
      <c r="Q3763">
        <f>IF(O3763&gt;=3000,"Large","Small")</f>
        <v/>
      </c>
      <c r="R3763">
        <f>INDEX(Products!$F$2:$F$49,MATCH(J3763,Products!$A$2:$A$49,0))</f>
        <v/>
      </c>
      <c r="S3763">
        <f>WEEKDAY(B3763,2)</f>
        <v/>
      </c>
    </row>
    <row r="3764">
      <c r="A3764" t="n">
        <v>511421</v>
      </c>
      <c r="B3764" s="6" t="n">
        <v>46003</v>
      </c>
      <c r="C3764" t="n">
        <v>17724</v>
      </c>
      <c r="D3764" t="inlineStr">
        <is>
          <t>Gurugram</t>
        </is>
      </c>
      <c r="E3764" t="inlineStr">
        <is>
          <t>North</t>
        </is>
      </c>
      <c r="F3764" t="inlineStr">
        <is>
          <t>Paid Social</t>
        </is>
      </c>
      <c r="G3764" t="inlineStr">
        <is>
          <t>Desktop</t>
        </is>
      </c>
      <c r="H3764" t="inlineStr">
        <is>
          <t>Credit Card</t>
        </is>
      </c>
      <c r="I3764" t="inlineStr">
        <is>
          <t>Delivered</t>
        </is>
      </c>
      <c r="J3764" t="n">
        <v>117</v>
      </c>
      <c r="K3764" t="n">
        <v>2</v>
      </c>
      <c r="L3764" t="n">
        <v>3149</v>
      </c>
      <c r="M3764" t="n">
        <v>944.7</v>
      </c>
      <c r="N3764">
        <f>VLOOKUP(J3764,Products!$A$2:$C$49,3,FALSE)</f>
        <v/>
      </c>
      <c r="O3764">
        <f>K3764*L3764-M3764</f>
        <v/>
      </c>
      <c r="P3764">
        <f>TEXT(B3764,"yyyy-mm")</f>
        <v/>
      </c>
      <c r="Q3764">
        <f>IF(O3764&gt;=3000,"Large","Small")</f>
        <v/>
      </c>
      <c r="R3764">
        <f>INDEX(Products!$F$2:$F$49,MATCH(J3764,Products!$A$2:$A$49,0))</f>
        <v/>
      </c>
      <c r="S3764">
        <f>WEEKDAY(B3764,2)</f>
        <v/>
      </c>
    </row>
    <row r="3765">
      <c r="A3765" t="n">
        <v>511421</v>
      </c>
      <c r="B3765" s="6" t="n">
        <v>46003</v>
      </c>
      <c r="C3765" t="n">
        <v>17724</v>
      </c>
      <c r="D3765" t="inlineStr">
        <is>
          <t>Gurugram</t>
        </is>
      </c>
      <c r="E3765" t="inlineStr">
        <is>
          <t>North</t>
        </is>
      </c>
      <c r="F3765" t="inlineStr">
        <is>
          <t>Paid Social</t>
        </is>
      </c>
      <c r="G3765" t="inlineStr">
        <is>
          <t>Desktop</t>
        </is>
      </c>
      <c r="H3765" t="inlineStr">
        <is>
          <t>Credit Card</t>
        </is>
      </c>
      <c r="I3765" t="inlineStr">
        <is>
          <t>Delivered</t>
        </is>
      </c>
      <c r="J3765" t="n">
        <v>130</v>
      </c>
      <c r="K3765" t="n">
        <v>2</v>
      </c>
      <c r="L3765" t="n">
        <v>734</v>
      </c>
      <c r="M3765" t="n">
        <v>220.2</v>
      </c>
      <c r="N3765">
        <f>VLOOKUP(J3765,Products!$A$2:$C$49,3,FALSE)</f>
        <v/>
      </c>
      <c r="O3765">
        <f>K3765*L3765-M3765</f>
        <v/>
      </c>
      <c r="P3765">
        <f>TEXT(B3765,"yyyy-mm")</f>
        <v/>
      </c>
      <c r="Q3765">
        <f>IF(O3765&gt;=3000,"Large","Small")</f>
        <v/>
      </c>
      <c r="R3765">
        <f>INDEX(Products!$F$2:$F$49,MATCH(J3765,Products!$A$2:$A$49,0))</f>
        <v/>
      </c>
      <c r="S3765">
        <f>WEEKDAY(B3765,2)</f>
        <v/>
      </c>
    </row>
    <row r="3766">
      <c r="A3766" t="n">
        <v>511422</v>
      </c>
      <c r="B3766" s="6" t="n">
        <v>46003</v>
      </c>
      <c r="C3766" t="n">
        <v>17749</v>
      </c>
      <c r="D3766" t="inlineStr">
        <is>
          <t>Pune</t>
        </is>
      </c>
      <c r="E3766" t="inlineStr">
        <is>
          <t>West</t>
        </is>
      </c>
      <c r="F3766" t="inlineStr">
        <is>
          <t>Paid Search</t>
        </is>
      </c>
      <c r="G3766" t="inlineStr">
        <is>
          <t>Mobile Web</t>
        </is>
      </c>
      <c r="H3766" t="inlineStr">
        <is>
          <t>Cash on Delivery</t>
        </is>
      </c>
      <c r="I3766" t="inlineStr">
        <is>
          <t>Delivered</t>
        </is>
      </c>
      <c r="J3766" t="n">
        <v>105</v>
      </c>
      <c r="K3766" t="n">
        <v>1</v>
      </c>
      <c r="L3766" t="n">
        <v>2414</v>
      </c>
      <c r="M3766" t="n">
        <v>362.1</v>
      </c>
      <c r="N3766">
        <f>VLOOKUP(J3766,Products!$A$2:$C$49,3,FALSE)</f>
        <v/>
      </c>
      <c r="O3766">
        <f>K3766*L3766-M3766</f>
        <v/>
      </c>
      <c r="P3766">
        <f>TEXT(B3766,"yyyy-mm")</f>
        <v/>
      </c>
      <c r="Q3766">
        <f>IF(O3766&gt;=3000,"Large","Small")</f>
        <v/>
      </c>
      <c r="R3766">
        <f>INDEX(Products!$F$2:$F$49,MATCH(J3766,Products!$A$2:$A$49,0))</f>
        <v/>
      </c>
      <c r="S3766">
        <f>WEEKDAY(B3766,2)</f>
        <v/>
      </c>
    </row>
    <row r="3767">
      <c r="A3767" t="n">
        <v>511423</v>
      </c>
      <c r="B3767" s="6" t="n">
        <v>46003</v>
      </c>
      <c r="C3767" t="n">
        <v>17215</v>
      </c>
      <c r="D3767" t="inlineStr">
        <is>
          <t>Delhi</t>
        </is>
      </c>
      <c r="E3767" t="inlineStr">
        <is>
          <t>North</t>
        </is>
      </c>
      <c r="F3767" t="inlineStr">
        <is>
          <t>Organic Search</t>
        </is>
      </c>
      <c r="G3767" t="inlineStr">
        <is>
          <t>Desktop</t>
        </is>
      </c>
      <c r="H3767" t="inlineStr">
        <is>
          <t>Credit Card</t>
        </is>
      </c>
      <c r="I3767" t="inlineStr">
        <is>
          <t>Delivered</t>
        </is>
      </c>
      <c r="J3767" t="n">
        <v>143</v>
      </c>
      <c r="K3767" t="n">
        <v>1</v>
      </c>
      <c r="L3767" t="n">
        <v>839</v>
      </c>
      <c r="M3767" t="n">
        <v>0</v>
      </c>
      <c r="N3767">
        <f>VLOOKUP(J3767,Products!$A$2:$C$49,3,FALSE)</f>
        <v/>
      </c>
      <c r="O3767">
        <f>K3767*L3767-M3767</f>
        <v/>
      </c>
      <c r="P3767">
        <f>TEXT(B3767,"yyyy-mm")</f>
        <v/>
      </c>
      <c r="Q3767">
        <f>IF(O3767&gt;=3000,"Large","Small")</f>
        <v/>
      </c>
      <c r="R3767">
        <f>INDEX(Products!$F$2:$F$49,MATCH(J3767,Products!$A$2:$A$49,0))</f>
        <v/>
      </c>
      <c r="S3767">
        <f>WEEKDAY(B3767,2)</f>
        <v/>
      </c>
    </row>
    <row r="3768">
      <c r="A3768" t="n">
        <v>511423</v>
      </c>
      <c r="B3768" s="6" t="n">
        <v>46003</v>
      </c>
      <c r="C3768" t="n">
        <v>17215</v>
      </c>
      <c r="D3768" t="inlineStr">
        <is>
          <t>Delhi</t>
        </is>
      </c>
      <c r="E3768" t="inlineStr">
        <is>
          <t>North</t>
        </is>
      </c>
      <c r="F3768" t="inlineStr">
        <is>
          <t>Organic Search</t>
        </is>
      </c>
      <c r="G3768" t="inlineStr">
        <is>
          <t>Desktop</t>
        </is>
      </c>
      <c r="H3768" t="inlineStr">
        <is>
          <t>Credit Card</t>
        </is>
      </c>
      <c r="I3768" t="inlineStr">
        <is>
          <t>Delivered</t>
        </is>
      </c>
      <c r="J3768" t="n">
        <v>112</v>
      </c>
      <c r="K3768" t="n">
        <v>1</v>
      </c>
      <c r="L3768" t="n">
        <v>1574</v>
      </c>
      <c r="M3768" t="n">
        <v>0</v>
      </c>
      <c r="N3768">
        <f>VLOOKUP(J3768,Products!$A$2:$C$49,3,FALSE)</f>
        <v/>
      </c>
      <c r="O3768">
        <f>K3768*L3768-M3768</f>
        <v/>
      </c>
      <c r="P3768">
        <f>TEXT(B3768,"yyyy-mm")</f>
        <v/>
      </c>
      <c r="Q3768">
        <f>IF(O3768&gt;=3000,"Large","Small")</f>
        <v/>
      </c>
      <c r="R3768">
        <f>INDEX(Products!$F$2:$F$49,MATCH(J3768,Products!$A$2:$A$49,0))</f>
        <v/>
      </c>
      <c r="S3768">
        <f>WEEKDAY(B3768,2)</f>
        <v/>
      </c>
    </row>
    <row r="3769">
      <c r="A3769" t="n">
        <v>511424</v>
      </c>
      <c r="B3769" s="6" t="n">
        <v>46003</v>
      </c>
      <c r="C3769" t="n">
        <v>17705</v>
      </c>
      <c r="D3769" t="inlineStr">
        <is>
          <t>Chennai</t>
        </is>
      </c>
      <c r="E3769" t="inlineStr">
        <is>
          <t>South</t>
        </is>
      </c>
      <c r="F3769" t="inlineStr">
        <is>
          <t>Paid Social</t>
        </is>
      </c>
      <c r="G3769" t="inlineStr">
        <is>
          <t>Desktop</t>
        </is>
      </c>
      <c r="H3769" t="inlineStr">
        <is>
          <t>Credit Card</t>
        </is>
      </c>
      <c r="I3769" t="inlineStr">
        <is>
          <t>Delivered</t>
        </is>
      </c>
      <c r="J3769" t="n">
        <v>133</v>
      </c>
      <c r="K3769" t="n">
        <v>2</v>
      </c>
      <c r="L3769" t="n">
        <v>419</v>
      </c>
      <c r="M3769" t="n">
        <v>125.7</v>
      </c>
      <c r="N3769">
        <f>VLOOKUP(J3769,Products!$A$2:$C$49,3,FALSE)</f>
        <v/>
      </c>
      <c r="O3769">
        <f>K3769*L3769-M3769</f>
        <v/>
      </c>
      <c r="P3769">
        <f>TEXT(B3769,"yyyy-mm")</f>
        <v/>
      </c>
      <c r="Q3769">
        <f>IF(O3769&gt;=3000,"Large","Small")</f>
        <v/>
      </c>
      <c r="R3769">
        <f>INDEX(Products!$F$2:$F$49,MATCH(J3769,Products!$A$2:$A$49,0))</f>
        <v/>
      </c>
      <c r="S3769">
        <f>WEEKDAY(B3769,2)</f>
        <v/>
      </c>
    </row>
    <row r="3770">
      <c r="A3770" t="n">
        <v>511425</v>
      </c>
      <c r="B3770" s="6" t="n">
        <v>46003</v>
      </c>
      <c r="C3770" t="n">
        <v>17690</v>
      </c>
      <c r="D3770" t="inlineStr">
        <is>
          <t>Chennai</t>
        </is>
      </c>
      <c r="E3770" t="inlineStr">
        <is>
          <t>South</t>
        </is>
      </c>
      <c r="F3770" t="inlineStr">
        <is>
          <t>Organic Search</t>
        </is>
      </c>
      <c r="G3770" t="inlineStr">
        <is>
          <t>Mobile Web</t>
        </is>
      </c>
      <c r="H3770" t="inlineStr">
        <is>
          <t>Credit Card</t>
        </is>
      </c>
      <c r="I3770" t="inlineStr">
        <is>
          <t>Delivered</t>
        </is>
      </c>
      <c r="J3770" t="n">
        <v>107</v>
      </c>
      <c r="K3770" t="n">
        <v>1</v>
      </c>
      <c r="L3770" t="n">
        <v>1259</v>
      </c>
      <c r="M3770" t="n">
        <v>188.85</v>
      </c>
      <c r="N3770">
        <f>VLOOKUP(J3770,Products!$A$2:$C$49,3,FALSE)</f>
        <v/>
      </c>
      <c r="O3770">
        <f>K3770*L3770-M3770</f>
        <v/>
      </c>
      <c r="P3770">
        <f>TEXT(B3770,"yyyy-mm")</f>
        <v/>
      </c>
      <c r="Q3770">
        <f>IF(O3770&gt;=3000,"Large","Small")</f>
        <v/>
      </c>
      <c r="R3770">
        <f>INDEX(Products!$F$2:$F$49,MATCH(J3770,Products!$A$2:$A$49,0))</f>
        <v/>
      </c>
      <c r="S3770">
        <f>WEEKDAY(B3770,2)</f>
        <v/>
      </c>
    </row>
    <row r="3771">
      <c r="A3771" t="n">
        <v>511426</v>
      </c>
      <c r="B3771" s="6" t="n">
        <v>46003</v>
      </c>
      <c r="C3771" t="n">
        <v>17697</v>
      </c>
      <c r="D3771" t="inlineStr">
        <is>
          <t>Delhi</t>
        </is>
      </c>
      <c r="E3771" t="inlineStr">
        <is>
          <t>North</t>
        </is>
      </c>
      <c r="F3771" t="inlineStr">
        <is>
          <t>Paid Social</t>
        </is>
      </c>
      <c r="G3771" t="inlineStr">
        <is>
          <t>Mobile App</t>
        </is>
      </c>
      <c r="H3771" t="inlineStr">
        <is>
          <t>Credit Card</t>
        </is>
      </c>
      <c r="I3771" t="inlineStr">
        <is>
          <t>Delivered</t>
        </is>
      </c>
      <c r="J3771" t="n">
        <v>124</v>
      </c>
      <c r="K3771" t="n">
        <v>1</v>
      </c>
      <c r="L3771" t="n">
        <v>1154</v>
      </c>
      <c r="M3771" t="n">
        <v>173.1</v>
      </c>
      <c r="N3771">
        <f>VLOOKUP(J3771,Products!$A$2:$C$49,3,FALSE)</f>
        <v/>
      </c>
      <c r="O3771">
        <f>K3771*L3771-M3771</f>
        <v/>
      </c>
      <c r="P3771">
        <f>TEXT(B3771,"yyyy-mm")</f>
        <v/>
      </c>
      <c r="Q3771">
        <f>IF(O3771&gt;=3000,"Large","Small")</f>
        <v/>
      </c>
      <c r="R3771">
        <f>INDEX(Products!$F$2:$F$49,MATCH(J3771,Products!$A$2:$A$49,0))</f>
        <v/>
      </c>
      <c r="S3771">
        <f>WEEKDAY(B3771,2)</f>
        <v/>
      </c>
    </row>
    <row r="3772">
      <c r="A3772" t="n">
        <v>511427</v>
      </c>
      <c r="B3772" s="6" t="n">
        <v>46003</v>
      </c>
      <c r="C3772" t="n">
        <v>17700</v>
      </c>
      <c r="D3772" t="inlineStr">
        <is>
          <t>Indore</t>
        </is>
      </c>
      <c r="E3772" t="inlineStr">
        <is>
          <t>West</t>
        </is>
      </c>
      <c r="F3772" t="inlineStr">
        <is>
          <t>Affiliate</t>
        </is>
      </c>
      <c r="G3772" t="inlineStr">
        <is>
          <t>Mobile App</t>
        </is>
      </c>
      <c r="H3772" t="inlineStr">
        <is>
          <t>UPI</t>
        </is>
      </c>
      <c r="I3772" t="inlineStr">
        <is>
          <t>Delivered</t>
        </is>
      </c>
      <c r="J3772" t="n">
        <v>112</v>
      </c>
      <c r="K3772" t="n">
        <v>1</v>
      </c>
      <c r="L3772" t="n">
        <v>1574</v>
      </c>
      <c r="M3772" t="n">
        <v>236.1</v>
      </c>
      <c r="N3772">
        <f>VLOOKUP(J3772,Products!$A$2:$C$49,3,FALSE)</f>
        <v/>
      </c>
      <c r="O3772">
        <f>K3772*L3772-M3772</f>
        <v/>
      </c>
      <c r="P3772">
        <f>TEXT(B3772,"yyyy-mm")</f>
        <v/>
      </c>
      <c r="Q3772">
        <f>IF(O3772&gt;=3000,"Large","Small")</f>
        <v/>
      </c>
      <c r="R3772">
        <f>INDEX(Products!$F$2:$F$49,MATCH(J3772,Products!$A$2:$A$49,0))</f>
        <v/>
      </c>
      <c r="S3772">
        <f>WEEKDAY(B3772,2)</f>
        <v/>
      </c>
    </row>
    <row r="3773">
      <c r="A3773" t="n">
        <v>511428</v>
      </c>
      <c r="B3773" s="6" t="n">
        <v>46003</v>
      </c>
      <c r="C3773" t="n">
        <v>14422</v>
      </c>
      <c r="D3773" t="inlineStr">
        <is>
          <t>Delhi</t>
        </is>
      </c>
      <c r="E3773" t="inlineStr">
        <is>
          <t>North</t>
        </is>
      </c>
      <c r="F3773" t="inlineStr">
        <is>
          <t>Paid Social</t>
        </is>
      </c>
      <c r="G3773" t="inlineStr">
        <is>
          <t>Mobile App</t>
        </is>
      </c>
      <c r="H3773" t="inlineStr">
        <is>
          <t>Cash on Delivery</t>
        </is>
      </c>
      <c r="I3773" t="inlineStr">
        <is>
          <t>Delivered</t>
        </is>
      </c>
      <c r="J3773" t="n">
        <v>102</v>
      </c>
      <c r="K3773" t="n">
        <v>1</v>
      </c>
      <c r="L3773" t="n">
        <v>3674</v>
      </c>
      <c r="M3773" t="n">
        <v>0</v>
      </c>
      <c r="N3773">
        <f>VLOOKUP(J3773,Products!$A$2:$C$49,3,FALSE)</f>
        <v/>
      </c>
      <c r="O3773">
        <f>K3773*L3773-M3773</f>
        <v/>
      </c>
      <c r="P3773">
        <f>TEXT(B3773,"yyyy-mm")</f>
        <v/>
      </c>
      <c r="Q3773">
        <f>IF(O3773&gt;=3000,"Large","Small")</f>
        <v/>
      </c>
      <c r="R3773">
        <f>INDEX(Products!$F$2:$F$49,MATCH(J3773,Products!$A$2:$A$49,0))</f>
        <v/>
      </c>
      <c r="S3773">
        <f>WEEKDAY(B3773,2)</f>
        <v/>
      </c>
    </row>
    <row r="3774">
      <c r="A3774" t="n">
        <v>511429</v>
      </c>
      <c r="B3774" s="6" t="n">
        <v>46003</v>
      </c>
      <c r="C3774" t="n">
        <v>17709</v>
      </c>
      <c r="D3774" t="inlineStr">
        <is>
          <t>Hyderabad</t>
        </is>
      </c>
      <c r="E3774" t="inlineStr">
        <is>
          <t>South</t>
        </is>
      </c>
      <c r="F3774" t="inlineStr">
        <is>
          <t>Paid Search</t>
        </is>
      </c>
      <c r="G3774" t="inlineStr">
        <is>
          <t>Mobile App</t>
        </is>
      </c>
      <c r="H3774" t="inlineStr">
        <is>
          <t>Debit Card</t>
        </is>
      </c>
      <c r="I3774" t="inlineStr">
        <is>
          <t>Delivered</t>
        </is>
      </c>
      <c r="J3774" t="n">
        <v>147</v>
      </c>
      <c r="K3774" t="n">
        <v>1</v>
      </c>
      <c r="L3774" t="n">
        <v>1364</v>
      </c>
      <c r="M3774" t="n">
        <v>204.6</v>
      </c>
      <c r="N3774">
        <f>VLOOKUP(J3774,Products!$A$2:$C$49,3,FALSE)</f>
        <v/>
      </c>
      <c r="O3774">
        <f>K3774*L3774-M3774</f>
        <v/>
      </c>
      <c r="P3774">
        <f>TEXT(B3774,"yyyy-mm")</f>
        <v/>
      </c>
      <c r="Q3774">
        <f>IF(O3774&gt;=3000,"Large","Small")</f>
        <v/>
      </c>
      <c r="R3774">
        <f>INDEX(Products!$F$2:$F$49,MATCH(J3774,Products!$A$2:$A$49,0))</f>
        <v/>
      </c>
      <c r="S3774">
        <f>WEEKDAY(B3774,2)</f>
        <v/>
      </c>
    </row>
    <row r="3775">
      <c r="A3775" t="n">
        <v>511430</v>
      </c>
      <c r="B3775" s="6" t="n">
        <v>46003</v>
      </c>
      <c r="C3775" t="n">
        <v>17710</v>
      </c>
      <c r="D3775" t="inlineStr">
        <is>
          <t>Indore</t>
        </is>
      </c>
      <c r="E3775" t="inlineStr">
        <is>
          <t>West</t>
        </is>
      </c>
      <c r="F3775" t="inlineStr">
        <is>
          <t>Organic Search</t>
        </is>
      </c>
      <c r="G3775" t="inlineStr">
        <is>
          <t>Mobile App</t>
        </is>
      </c>
      <c r="H3775" t="inlineStr">
        <is>
          <t>UPI</t>
        </is>
      </c>
      <c r="I3775" t="inlineStr">
        <is>
          <t>Delivered</t>
        </is>
      </c>
      <c r="J3775" t="n">
        <v>101</v>
      </c>
      <c r="K3775" t="n">
        <v>2</v>
      </c>
      <c r="L3775" t="n">
        <v>2099</v>
      </c>
      <c r="M3775" t="n">
        <v>0</v>
      </c>
      <c r="N3775">
        <f>VLOOKUP(J3775,Products!$A$2:$C$49,3,FALSE)</f>
        <v/>
      </c>
      <c r="O3775">
        <f>K3775*L3775-M3775</f>
        <v/>
      </c>
      <c r="P3775">
        <f>TEXT(B3775,"yyyy-mm")</f>
        <v/>
      </c>
      <c r="Q3775">
        <f>IF(O3775&gt;=3000,"Large","Small")</f>
        <v/>
      </c>
      <c r="R3775">
        <f>INDEX(Products!$F$2:$F$49,MATCH(J3775,Products!$A$2:$A$49,0))</f>
        <v/>
      </c>
      <c r="S3775">
        <f>WEEKDAY(B3775,2)</f>
        <v/>
      </c>
    </row>
    <row r="3776">
      <c r="A3776" t="n">
        <v>511430</v>
      </c>
      <c r="B3776" s="6" t="n">
        <v>46003</v>
      </c>
      <c r="C3776" t="n">
        <v>17710</v>
      </c>
      <c r="D3776" t="inlineStr">
        <is>
          <t>Indore</t>
        </is>
      </c>
      <c r="E3776" t="inlineStr">
        <is>
          <t>West</t>
        </is>
      </c>
      <c r="F3776" t="inlineStr">
        <is>
          <t>Organic Search</t>
        </is>
      </c>
      <c r="G3776" t="inlineStr">
        <is>
          <t>Mobile App</t>
        </is>
      </c>
      <c r="H3776" t="inlineStr">
        <is>
          <t>UPI</t>
        </is>
      </c>
      <c r="I3776" t="inlineStr">
        <is>
          <t>Delivered</t>
        </is>
      </c>
      <c r="J3776" t="n">
        <v>122</v>
      </c>
      <c r="K3776" t="n">
        <v>2</v>
      </c>
      <c r="L3776" t="n">
        <v>1994</v>
      </c>
      <c r="M3776" t="n">
        <v>0</v>
      </c>
      <c r="N3776">
        <f>VLOOKUP(J3776,Products!$A$2:$C$49,3,FALSE)</f>
        <v/>
      </c>
      <c r="O3776">
        <f>K3776*L3776-M3776</f>
        <v/>
      </c>
      <c r="P3776">
        <f>TEXT(B3776,"yyyy-mm")</f>
        <v/>
      </c>
      <c r="Q3776">
        <f>IF(O3776&gt;=3000,"Large","Small")</f>
        <v/>
      </c>
      <c r="R3776">
        <f>INDEX(Products!$F$2:$F$49,MATCH(J3776,Products!$A$2:$A$49,0))</f>
        <v/>
      </c>
      <c r="S3776">
        <f>WEEKDAY(B3776,2)</f>
        <v/>
      </c>
    </row>
    <row r="3777">
      <c r="A3777" t="n">
        <v>511431</v>
      </c>
      <c r="B3777" s="6" t="n">
        <v>46003</v>
      </c>
      <c r="C3777" t="n">
        <v>17732</v>
      </c>
      <c r="D3777" t="inlineStr">
        <is>
          <t>Delhi</t>
        </is>
      </c>
      <c r="E3777" t="inlineStr">
        <is>
          <t>North</t>
        </is>
      </c>
      <c r="F3777" t="inlineStr">
        <is>
          <t>Email</t>
        </is>
      </c>
      <c r="G3777" t="inlineStr">
        <is>
          <t>Mobile App</t>
        </is>
      </c>
      <c r="H3777" t="inlineStr">
        <is>
          <t>UPI</t>
        </is>
      </c>
      <c r="I3777" t="inlineStr">
        <is>
          <t>Delivered</t>
        </is>
      </c>
      <c r="J3777" t="n">
        <v>126</v>
      </c>
      <c r="K3777" t="n">
        <v>2</v>
      </c>
      <c r="L3777" t="n">
        <v>471</v>
      </c>
      <c r="M3777" t="n">
        <v>0</v>
      </c>
      <c r="N3777">
        <f>VLOOKUP(J3777,Products!$A$2:$C$49,3,FALSE)</f>
        <v/>
      </c>
      <c r="O3777">
        <f>K3777*L3777-M3777</f>
        <v/>
      </c>
      <c r="P3777">
        <f>TEXT(B3777,"yyyy-mm")</f>
        <v/>
      </c>
      <c r="Q3777">
        <f>IF(O3777&gt;=3000,"Large","Small")</f>
        <v/>
      </c>
      <c r="R3777">
        <f>INDEX(Products!$F$2:$F$49,MATCH(J3777,Products!$A$2:$A$49,0))</f>
        <v/>
      </c>
      <c r="S3777">
        <f>WEEKDAY(B3777,2)</f>
        <v/>
      </c>
    </row>
    <row r="3778">
      <c r="A3778" t="n">
        <v>511431</v>
      </c>
      <c r="B3778" s="6" t="n">
        <v>46003</v>
      </c>
      <c r="C3778" t="n">
        <v>17732</v>
      </c>
      <c r="D3778" t="inlineStr">
        <is>
          <t>Delhi</t>
        </is>
      </c>
      <c r="E3778" t="inlineStr">
        <is>
          <t>North</t>
        </is>
      </c>
      <c r="F3778" t="inlineStr">
        <is>
          <t>Email</t>
        </is>
      </c>
      <c r="G3778" t="inlineStr">
        <is>
          <t>Mobile App</t>
        </is>
      </c>
      <c r="H3778" t="inlineStr">
        <is>
          <t>UPI</t>
        </is>
      </c>
      <c r="I3778" t="inlineStr">
        <is>
          <t>Delivered</t>
        </is>
      </c>
      <c r="J3778" t="n">
        <v>112</v>
      </c>
      <c r="K3778" t="n">
        <v>1</v>
      </c>
      <c r="L3778" t="n">
        <v>1574</v>
      </c>
      <c r="M3778" t="n">
        <v>0</v>
      </c>
      <c r="N3778">
        <f>VLOOKUP(J3778,Products!$A$2:$C$49,3,FALSE)</f>
        <v/>
      </c>
      <c r="O3778">
        <f>K3778*L3778-M3778</f>
        <v/>
      </c>
      <c r="P3778">
        <f>TEXT(B3778,"yyyy-mm")</f>
        <v/>
      </c>
      <c r="Q3778">
        <f>IF(O3778&gt;=3000,"Large","Small")</f>
        <v/>
      </c>
      <c r="R3778">
        <f>INDEX(Products!$F$2:$F$49,MATCH(J3778,Products!$A$2:$A$49,0))</f>
        <v/>
      </c>
      <c r="S3778">
        <f>WEEKDAY(B3778,2)</f>
        <v/>
      </c>
    </row>
    <row r="3779">
      <c r="A3779" t="n">
        <v>511432</v>
      </c>
      <c r="B3779" s="6" t="n">
        <v>46003</v>
      </c>
      <c r="C3779" t="n">
        <v>17689</v>
      </c>
      <c r="D3779" t="inlineStr">
        <is>
          <t>Pune</t>
        </is>
      </c>
      <c r="E3779" t="inlineStr">
        <is>
          <t>West</t>
        </is>
      </c>
      <c r="F3779" t="inlineStr">
        <is>
          <t>Organic Search</t>
        </is>
      </c>
      <c r="G3779" t="inlineStr">
        <is>
          <t>Mobile App</t>
        </is>
      </c>
      <c r="H3779" t="inlineStr">
        <is>
          <t>Cash on Delivery</t>
        </is>
      </c>
      <c r="I3779" t="inlineStr">
        <is>
          <t>Delivered</t>
        </is>
      </c>
      <c r="J3779" t="n">
        <v>101</v>
      </c>
      <c r="K3779" t="n">
        <v>1</v>
      </c>
      <c r="L3779" t="n">
        <v>2099</v>
      </c>
      <c r="M3779" t="n">
        <v>314.85</v>
      </c>
      <c r="N3779">
        <f>VLOOKUP(J3779,Products!$A$2:$C$49,3,FALSE)</f>
        <v/>
      </c>
      <c r="O3779">
        <f>K3779*L3779-M3779</f>
        <v/>
      </c>
      <c r="P3779">
        <f>TEXT(B3779,"yyyy-mm")</f>
        <v/>
      </c>
      <c r="Q3779">
        <f>IF(O3779&gt;=3000,"Large","Small")</f>
        <v/>
      </c>
      <c r="R3779">
        <f>INDEX(Products!$F$2:$F$49,MATCH(J3779,Products!$A$2:$A$49,0))</f>
        <v/>
      </c>
      <c r="S3779">
        <f>WEEKDAY(B3779,2)</f>
        <v/>
      </c>
    </row>
    <row r="3780">
      <c r="A3780" t="n">
        <v>511433</v>
      </c>
      <c r="B3780" s="6" t="n">
        <v>46004</v>
      </c>
      <c r="C3780" t="n">
        <v>17177</v>
      </c>
      <c r="D3780" t="inlineStr">
        <is>
          <t>Delhi</t>
        </is>
      </c>
      <c r="E3780" t="inlineStr">
        <is>
          <t>North</t>
        </is>
      </c>
      <c r="F3780" t="inlineStr">
        <is>
          <t>Paid Search</t>
        </is>
      </c>
      <c r="G3780" t="inlineStr">
        <is>
          <t>Mobile App</t>
        </is>
      </c>
      <c r="H3780" t="inlineStr">
        <is>
          <t>UPI</t>
        </is>
      </c>
      <c r="I3780" t="inlineStr">
        <is>
          <t>Delivered</t>
        </is>
      </c>
      <c r="J3780" t="n">
        <v>145</v>
      </c>
      <c r="K3780" t="n">
        <v>2</v>
      </c>
      <c r="L3780" t="n">
        <v>629</v>
      </c>
      <c r="M3780" t="n">
        <v>62.9</v>
      </c>
      <c r="N3780">
        <f>VLOOKUP(J3780,Products!$A$2:$C$49,3,FALSE)</f>
        <v/>
      </c>
      <c r="O3780">
        <f>K3780*L3780-M3780</f>
        <v/>
      </c>
      <c r="P3780">
        <f>TEXT(B3780,"yyyy-mm")</f>
        <v/>
      </c>
      <c r="Q3780">
        <f>IF(O3780&gt;=3000,"Large","Small")</f>
        <v/>
      </c>
      <c r="R3780">
        <f>INDEX(Products!$F$2:$F$49,MATCH(J3780,Products!$A$2:$A$49,0))</f>
        <v/>
      </c>
      <c r="S3780">
        <f>WEEKDAY(B3780,2)</f>
        <v/>
      </c>
    </row>
    <row r="3781">
      <c r="A3781" t="n">
        <v>511433</v>
      </c>
      <c r="B3781" s="6" t="n">
        <v>46004</v>
      </c>
      <c r="C3781" t="n">
        <v>17177</v>
      </c>
      <c r="D3781" t="inlineStr">
        <is>
          <t>Delhi</t>
        </is>
      </c>
      <c r="E3781" t="inlineStr">
        <is>
          <t>North</t>
        </is>
      </c>
      <c r="F3781" t="inlineStr">
        <is>
          <t>Paid Search</t>
        </is>
      </c>
      <c r="G3781" t="inlineStr">
        <is>
          <t>Mobile App</t>
        </is>
      </c>
      <c r="H3781" t="inlineStr">
        <is>
          <t>UPI</t>
        </is>
      </c>
      <c r="I3781" t="inlineStr">
        <is>
          <t>Delivered</t>
        </is>
      </c>
      <c r="J3781" t="n">
        <v>115</v>
      </c>
      <c r="K3781" t="n">
        <v>2</v>
      </c>
      <c r="L3781" t="n">
        <v>4199</v>
      </c>
      <c r="M3781" t="n">
        <v>419.9</v>
      </c>
      <c r="N3781">
        <f>VLOOKUP(J3781,Products!$A$2:$C$49,3,FALSE)</f>
        <v/>
      </c>
      <c r="O3781">
        <f>K3781*L3781-M3781</f>
        <v/>
      </c>
      <c r="P3781">
        <f>TEXT(B3781,"yyyy-mm")</f>
        <v/>
      </c>
      <c r="Q3781">
        <f>IF(O3781&gt;=3000,"Large","Small")</f>
        <v/>
      </c>
      <c r="R3781">
        <f>INDEX(Products!$F$2:$F$49,MATCH(J3781,Products!$A$2:$A$49,0))</f>
        <v/>
      </c>
      <c r="S3781">
        <f>WEEKDAY(B3781,2)</f>
        <v/>
      </c>
    </row>
    <row r="3782">
      <c r="A3782" t="n">
        <v>511433</v>
      </c>
      <c r="B3782" s="6" t="n">
        <v>46004</v>
      </c>
      <c r="C3782" t="n">
        <v>17177</v>
      </c>
      <c r="D3782" t="inlineStr">
        <is>
          <t>Delhi</t>
        </is>
      </c>
      <c r="E3782" t="inlineStr">
        <is>
          <t>North</t>
        </is>
      </c>
      <c r="F3782" t="inlineStr">
        <is>
          <t>Paid Search</t>
        </is>
      </c>
      <c r="G3782" t="inlineStr">
        <is>
          <t>Mobile App</t>
        </is>
      </c>
      <c r="H3782" t="inlineStr">
        <is>
          <t>UPI</t>
        </is>
      </c>
      <c r="I3782" t="inlineStr">
        <is>
          <t>Delivered</t>
        </is>
      </c>
      <c r="J3782" t="n">
        <v>105</v>
      </c>
      <c r="K3782" t="n">
        <v>2</v>
      </c>
      <c r="L3782" t="n">
        <v>2414</v>
      </c>
      <c r="M3782" t="n">
        <v>241.4</v>
      </c>
      <c r="N3782">
        <f>VLOOKUP(J3782,Products!$A$2:$C$49,3,FALSE)</f>
        <v/>
      </c>
      <c r="O3782">
        <f>K3782*L3782-M3782</f>
        <v/>
      </c>
      <c r="P3782">
        <f>TEXT(B3782,"yyyy-mm")</f>
        <v/>
      </c>
      <c r="Q3782">
        <f>IF(O3782&gt;=3000,"Large","Small")</f>
        <v/>
      </c>
      <c r="R3782">
        <f>INDEX(Products!$F$2:$F$49,MATCH(J3782,Products!$A$2:$A$49,0))</f>
        <v/>
      </c>
      <c r="S3782">
        <f>WEEKDAY(B3782,2)</f>
        <v/>
      </c>
    </row>
    <row r="3783">
      <c r="A3783" t="n">
        <v>511433</v>
      </c>
      <c r="B3783" s="6" t="n">
        <v>46004</v>
      </c>
      <c r="C3783" t="n">
        <v>17177</v>
      </c>
      <c r="D3783" t="inlineStr">
        <is>
          <t>Delhi</t>
        </is>
      </c>
      <c r="E3783" t="inlineStr">
        <is>
          <t>North</t>
        </is>
      </c>
      <c r="F3783" t="inlineStr">
        <is>
          <t>Paid Search</t>
        </is>
      </c>
      <c r="G3783" t="inlineStr">
        <is>
          <t>Mobile App</t>
        </is>
      </c>
      <c r="H3783" t="inlineStr">
        <is>
          <t>UPI</t>
        </is>
      </c>
      <c r="I3783" t="inlineStr">
        <is>
          <t>Delivered</t>
        </is>
      </c>
      <c r="J3783" t="n">
        <v>114</v>
      </c>
      <c r="K3783" t="n">
        <v>1</v>
      </c>
      <c r="L3783" t="n">
        <v>1259</v>
      </c>
      <c r="M3783" t="n">
        <v>62.95</v>
      </c>
      <c r="N3783">
        <f>VLOOKUP(J3783,Products!$A$2:$C$49,3,FALSE)</f>
        <v/>
      </c>
      <c r="O3783">
        <f>K3783*L3783-M3783</f>
        <v/>
      </c>
      <c r="P3783">
        <f>TEXT(B3783,"yyyy-mm")</f>
        <v/>
      </c>
      <c r="Q3783">
        <f>IF(O3783&gt;=3000,"Large","Small")</f>
        <v/>
      </c>
      <c r="R3783">
        <f>INDEX(Products!$F$2:$F$49,MATCH(J3783,Products!$A$2:$A$49,0))</f>
        <v/>
      </c>
      <c r="S3783">
        <f>WEEKDAY(B3783,2)</f>
        <v/>
      </c>
    </row>
    <row r="3784">
      <c r="A3784" t="n">
        <v>511434</v>
      </c>
      <c r="B3784" s="6" t="n">
        <v>46004</v>
      </c>
      <c r="C3784" t="n">
        <v>17758</v>
      </c>
      <c r="D3784" t="inlineStr">
        <is>
          <t>Mumbai</t>
        </is>
      </c>
      <c r="E3784" t="inlineStr">
        <is>
          <t>West</t>
        </is>
      </c>
      <c r="F3784" t="inlineStr">
        <is>
          <t>Organic Search</t>
        </is>
      </c>
      <c r="G3784" t="inlineStr">
        <is>
          <t>Mobile Web</t>
        </is>
      </c>
      <c r="H3784" t="inlineStr">
        <is>
          <t>UPI</t>
        </is>
      </c>
      <c r="I3784" t="inlineStr">
        <is>
          <t>Returned</t>
        </is>
      </c>
      <c r="J3784" t="n">
        <v>117</v>
      </c>
      <c r="K3784" t="n">
        <v>1</v>
      </c>
      <c r="L3784" t="n">
        <v>3149</v>
      </c>
      <c r="M3784" t="n">
        <v>472.35</v>
      </c>
      <c r="N3784">
        <f>VLOOKUP(J3784,Products!$A$2:$C$49,3,FALSE)</f>
        <v/>
      </c>
      <c r="O3784">
        <f>K3784*L3784-M3784</f>
        <v/>
      </c>
      <c r="P3784">
        <f>TEXT(B3784,"yyyy-mm")</f>
        <v/>
      </c>
      <c r="Q3784">
        <f>IF(O3784&gt;=3000,"Large","Small")</f>
        <v/>
      </c>
      <c r="R3784">
        <f>INDEX(Products!$F$2:$F$49,MATCH(J3784,Products!$A$2:$A$49,0))</f>
        <v/>
      </c>
      <c r="S3784">
        <f>WEEKDAY(B3784,2)</f>
        <v/>
      </c>
    </row>
    <row r="3785">
      <c r="A3785" t="n">
        <v>511434</v>
      </c>
      <c r="B3785" s="6" t="n">
        <v>46004</v>
      </c>
      <c r="C3785" t="n">
        <v>17758</v>
      </c>
      <c r="D3785" t="inlineStr">
        <is>
          <t>Mumbai</t>
        </is>
      </c>
      <c r="E3785" t="inlineStr">
        <is>
          <t>West</t>
        </is>
      </c>
      <c r="F3785" t="inlineStr">
        <is>
          <t>Organic Search</t>
        </is>
      </c>
      <c r="G3785" t="inlineStr">
        <is>
          <t>Mobile Web</t>
        </is>
      </c>
      <c r="H3785" t="inlineStr">
        <is>
          <t>UPI</t>
        </is>
      </c>
      <c r="I3785" t="inlineStr">
        <is>
          <t>Returned</t>
        </is>
      </c>
      <c r="J3785" t="n">
        <v>115</v>
      </c>
      <c r="K3785" t="n">
        <v>1</v>
      </c>
      <c r="L3785" t="n">
        <v>4199</v>
      </c>
      <c r="M3785" t="n">
        <v>629.85</v>
      </c>
      <c r="N3785">
        <f>VLOOKUP(J3785,Products!$A$2:$C$49,3,FALSE)</f>
        <v/>
      </c>
      <c r="O3785">
        <f>K3785*L3785-M3785</f>
        <v/>
      </c>
      <c r="P3785">
        <f>TEXT(B3785,"yyyy-mm")</f>
        <v/>
      </c>
      <c r="Q3785">
        <f>IF(O3785&gt;=3000,"Large","Small")</f>
        <v/>
      </c>
      <c r="R3785">
        <f>INDEX(Products!$F$2:$F$49,MATCH(J3785,Products!$A$2:$A$49,0))</f>
        <v/>
      </c>
      <c r="S3785">
        <f>WEEKDAY(B3785,2)</f>
        <v/>
      </c>
    </row>
    <row r="3786">
      <c r="A3786" t="n">
        <v>511435</v>
      </c>
      <c r="B3786" s="6" t="n">
        <v>46004</v>
      </c>
      <c r="C3786" t="n">
        <v>17737</v>
      </c>
      <c r="D3786" t="inlineStr">
        <is>
          <t>Mumbai</t>
        </is>
      </c>
      <c r="E3786" t="inlineStr">
        <is>
          <t>West</t>
        </is>
      </c>
      <c r="F3786" t="inlineStr">
        <is>
          <t>Organic Search</t>
        </is>
      </c>
      <c r="G3786" t="inlineStr">
        <is>
          <t>Mobile Web</t>
        </is>
      </c>
      <c r="H3786" t="inlineStr">
        <is>
          <t>UPI</t>
        </is>
      </c>
      <c r="I3786" t="inlineStr">
        <is>
          <t>Delivered</t>
        </is>
      </c>
      <c r="J3786" t="n">
        <v>109</v>
      </c>
      <c r="K3786" t="n">
        <v>1</v>
      </c>
      <c r="L3786" t="n">
        <v>4199</v>
      </c>
      <c r="M3786" t="n">
        <v>209.95</v>
      </c>
      <c r="N3786">
        <f>VLOOKUP(J3786,Products!$A$2:$C$49,3,FALSE)</f>
        <v/>
      </c>
      <c r="O3786">
        <f>K3786*L3786-M3786</f>
        <v/>
      </c>
      <c r="P3786">
        <f>TEXT(B3786,"yyyy-mm")</f>
        <v/>
      </c>
      <c r="Q3786">
        <f>IF(O3786&gt;=3000,"Large","Small")</f>
        <v/>
      </c>
      <c r="R3786">
        <f>INDEX(Products!$F$2:$F$49,MATCH(J3786,Products!$A$2:$A$49,0))</f>
        <v/>
      </c>
      <c r="S3786">
        <f>WEEKDAY(B3786,2)</f>
        <v/>
      </c>
    </row>
    <row r="3787">
      <c r="A3787" t="n">
        <v>511436</v>
      </c>
      <c r="B3787" s="6" t="n">
        <v>46004</v>
      </c>
      <c r="C3787" t="n">
        <v>14300</v>
      </c>
      <c r="D3787" t="inlineStr">
        <is>
          <t>Mumbai</t>
        </is>
      </c>
      <c r="E3787" t="inlineStr">
        <is>
          <t>West</t>
        </is>
      </c>
      <c r="F3787" t="inlineStr">
        <is>
          <t>Organic Search</t>
        </is>
      </c>
      <c r="G3787" t="inlineStr">
        <is>
          <t>Mobile App</t>
        </is>
      </c>
      <c r="H3787" t="inlineStr">
        <is>
          <t>Net Banking</t>
        </is>
      </c>
      <c r="I3787" t="inlineStr">
        <is>
          <t>Delivered</t>
        </is>
      </c>
      <c r="J3787" t="n">
        <v>122</v>
      </c>
      <c r="K3787" t="n">
        <v>1</v>
      </c>
      <c r="L3787" t="n">
        <v>1994</v>
      </c>
      <c r="M3787" t="n">
        <v>0</v>
      </c>
      <c r="N3787">
        <f>VLOOKUP(J3787,Products!$A$2:$C$49,3,FALSE)</f>
        <v/>
      </c>
      <c r="O3787">
        <f>K3787*L3787-M3787</f>
        <v/>
      </c>
      <c r="P3787">
        <f>TEXT(B3787,"yyyy-mm")</f>
        <v/>
      </c>
      <c r="Q3787">
        <f>IF(O3787&gt;=3000,"Large","Small")</f>
        <v/>
      </c>
      <c r="R3787">
        <f>INDEX(Products!$F$2:$F$49,MATCH(J3787,Products!$A$2:$A$49,0))</f>
        <v/>
      </c>
      <c r="S3787">
        <f>WEEKDAY(B3787,2)</f>
        <v/>
      </c>
    </row>
    <row r="3788">
      <c r="A3788" t="n">
        <v>511437</v>
      </c>
      <c r="B3788" s="6" t="n">
        <v>46004</v>
      </c>
      <c r="C3788" t="n">
        <v>17688</v>
      </c>
      <c r="D3788" t="inlineStr">
        <is>
          <t>Pune</t>
        </is>
      </c>
      <c r="E3788" t="inlineStr">
        <is>
          <t>West</t>
        </is>
      </c>
      <c r="F3788" t="inlineStr">
        <is>
          <t>Organic Search</t>
        </is>
      </c>
      <c r="G3788" t="inlineStr">
        <is>
          <t>Mobile Web</t>
        </is>
      </c>
      <c r="H3788" t="inlineStr">
        <is>
          <t>Debit Card</t>
        </is>
      </c>
      <c r="I3788" t="inlineStr">
        <is>
          <t>Delivered</t>
        </is>
      </c>
      <c r="J3788" t="n">
        <v>136</v>
      </c>
      <c r="K3788" t="n">
        <v>1</v>
      </c>
      <c r="L3788" t="n">
        <v>944</v>
      </c>
      <c r="M3788" t="n">
        <v>0</v>
      </c>
      <c r="N3788">
        <f>VLOOKUP(J3788,Products!$A$2:$C$49,3,FALSE)</f>
        <v/>
      </c>
      <c r="O3788">
        <f>K3788*L3788-M3788</f>
        <v/>
      </c>
      <c r="P3788">
        <f>TEXT(B3788,"yyyy-mm")</f>
        <v/>
      </c>
      <c r="Q3788">
        <f>IF(O3788&gt;=3000,"Large","Small")</f>
        <v/>
      </c>
      <c r="R3788">
        <f>INDEX(Products!$F$2:$F$49,MATCH(J3788,Products!$A$2:$A$49,0))</f>
        <v/>
      </c>
      <c r="S3788">
        <f>WEEKDAY(B3788,2)</f>
        <v/>
      </c>
    </row>
    <row r="3789">
      <c r="A3789" t="n">
        <v>511437</v>
      </c>
      <c r="B3789" s="6" t="n">
        <v>46004</v>
      </c>
      <c r="C3789" t="n">
        <v>17688</v>
      </c>
      <c r="D3789" t="inlineStr">
        <is>
          <t>Pune</t>
        </is>
      </c>
      <c r="E3789" t="inlineStr">
        <is>
          <t>West</t>
        </is>
      </c>
      <c r="F3789" t="inlineStr">
        <is>
          <t>Organic Search</t>
        </is>
      </c>
      <c r="G3789" t="inlineStr">
        <is>
          <t>Mobile Web</t>
        </is>
      </c>
      <c r="H3789" t="inlineStr">
        <is>
          <t>Debit Card</t>
        </is>
      </c>
      <c r="I3789" t="inlineStr">
        <is>
          <t>Delivered</t>
        </is>
      </c>
      <c r="J3789" t="n">
        <v>107</v>
      </c>
      <c r="K3789" t="n">
        <v>1</v>
      </c>
      <c r="L3789" t="n">
        <v>1259</v>
      </c>
      <c r="M3789" t="n">
        <v>0</v>
      </c>
      <c r="N3789">
        <f>VLOOKUP(J3789,Products!$A$2:$C$49,3,FALSE)</f>
        <v/>
      </c>
      <c r="O3789">
        <f>K3789*L3789-M3789</f>
        <v/>
      </c>
      <c r="P3789">
        <f>TEXT(B3789,"yyyy-mm")</f>
        <v/>
      </c>
      <c r="Q3789">
        <f>IF(O3789&gt;=3000,"Large","Small")</f>
        <v/>
      </c>
      <c r="R3789">
        <f>INDEX(Products!$F$2:$F$49,MATCH(J3789,Products!$A$2:$A$49,0))</f>
        <v/>
      </c>
      <c r="S3789">
        <f>WEEKDAY(B3789,2)</f>
        <v/>
      </c>
    </row>
    <row r="3790">
      <c r="A3790" t="n">
        <v>511438</v>
      </c>
      <c r="B3790" s="6" t="n">
        <v>46004</v>
      </c>
      <c r="C3790" t="n">
        <v>16994</v>
      </c>
      <c r="D3790" t="inlineStr">
        <is>
          <t>Bengaluru</t>
        </is>
      </c>
      <c r="E3790" t="inlineStr">
        <is>
          <t>South</t>
        </is>
      </c>
      <c r="F3790" t="inlineStr">
        <is>
          <t>Paid Search</t>
        </is>
      </c>
      <c r="G3790" t="inlineStr">
        <is>
          <t>Desktop</t>
        </is>
      </c>
      <c r="H3790" t="inlineStr">
        <is>
          <t>UPI</t>
        </is>
      </c>
      <c r="I3790" t="inlineStr">
        <is>
          <t>Delivered</t>
        </is>
      </c>
      <c r="J3790" t="n">
        <v>139</v>
      </c>
      <c r="K3790" t="n">
        <v>1</v>
      </c>
      <c r="L3790" t="n">
        <v>366</v>
      </c>
      <c r="M3790" t="n">
        <v>0</v>
      </c>
      <c r="N3790">
        <f>VLOOKUP(J3790,Products!$A$2:$C$49,3,FALSE)</f>
        <v/>
      </c>
      <c r="O3790">
        <f>K3790*L3790-M3790</f>
        <v/>
      </c>
      <c r="P3790">
        <f>TEXT(B3790,"yyyy-mm")</f>
        <v/>
      </c>
      <c r="Q3790">
        <f>IF(O3790&gt;=3000,"Large","Small")</f>
        <v/>
      </c>
      <c r="R3790">
        <f>INDEX(Products!$F$2:$F$49,MATCH(J3790,Products!$A$2:$A$49,0))</f>
        <v/>
      </c>
      <c r="S3790">
        <f>WEEKDAY(B3790,2)</f>
        <v/>
      </c>
    </row>
    <row r="3791">
      <c r="A3791" t="n">
        <v>511438</v>
      </c>
      <c r="B3791" s="6" t="n">
        <v>46004</v>
      </c>
      <c r="C3791" t="n">
        <v>16994</v>
      </c>
      <c r="D3791" t="inlineStr">
        <is>
          <t>Bengaluru</t>
        </is>
      </c>
      <c r="E3791" t="inlineStr">
        <is>
          <t>South</t>
        </is>
      </c>
      <c r="F3791" t="inlineStr">
        <is>
          <t>Paid Search</t>
        </is>
      </c>
      <c r="G3791" t="inlineStr">
        <is>
          <t>Desktop</t>
        </is>
      </c>
      <c r="H3791" t="inlineStr">
        <is>
          <t>UPI</t>
        </is>
      </c>
      <c r="I3791" t="inlineStr">
        <is>
          <t>Delivered</t>
        </is>
      </c>
      <c r="J3791" t="n">
        <v>127</v>
      </c>
      <c r="K3791" t="n">
        <v>1</v>
      </c>
      <c r="L3791" t="n">
        <v>681</v>
      </c>
      <c r="M3791" t="n">
        <v>0</v>
      </c>
      <c r="N3791">
        <f>VLOOKUP(J3791,Products!$A$2:$C$49,3,FALSE)</f>
        <v/>
      </c>
      <c r="O3791">
        <f>K3791*L3791-M3791</f>
        <v/>
      </c>
      <c r="P3791">
        <f>TEXT(B3791,"yyyy-mm")</f>
        <v/>
      </c>
      <c r="Q3791">
        <f>IF(O3791&gt;=3000,"Large","Small")</f>
        <v/>
      </c>
      <c r="R3791">
        <f>INDEX(Products!$F$2:$F$49,MATCH(J3791,Products!$A$2:$A$49,0))</f>
        <v/>
      </c>
      <c r="S3791">
        <f>WEEKDAY(B3791,2)</f>
        <v/>
      </c>
    </row>
    <row r="3792">
      <c r="A3792" t="n">
        <v>511438</v>
      </c>
      <c r="B3792" s="6" t="n">
        <v>46004</v>
      </c>
      <c r="C3792" t="n">
        <v>16994</v>
      </c>
      <c r="D3792" t="inlineStr">
        <is>
          <t>Bengaluru</t>
        </is>
      </c>
      <c r="E3792" t="inlineStr">
        <is>
          <t>South</t>
        </is>
      </c>
      <c r="F3792" t="inlineStr">
        <is>
          <t>Paid Search</t>
        </is>
      </c>
      <c r="G3792" t="inlineStr">
        <is>
          <t>Desktop</t>
        </is>
      </c>
      <c r="H3792" t="inlineStr">
        <is>
          <t>UPI</t>
        </is>
      </c>
      <c r="I3792" t="inlineStr">
        <is>
          <t>Delivered</t>
        </is>
      </c>
      <c r="J3792" t="n">
        <v>117</v>
      </c>
      <c r="K3792" t="n">
        <v>1</v>
      </c>
      <c r="L3792" t="n">
        <v>3149</v>
      </c>
      <c r="M3792" t="n">
        <v>0</v>
      </c>
      <c r="N3792">
        <f>VLOOKUP(J3792,Products!$A$2:$C$49,3,FALSE)</f>
        <v/>
      </c>
      <c r="O3792">
        <f>K3792*L3792-M3792</f>
        <v/>
      </c>
      <c r="P3792">
        <f>TEXT(B3792,"yyyy-mm")</f>
        <v/>
      </c>
      <c r="Q3792">
        <f>IF(O3792&gt;=3000,"Large","Small")</f>
        <v/>
      </c>
      <c r="R3792">
        <f>INDEX(Products!$F$2:$F$49,MATCH(J3792,Products!$A$2:$A$49,0))</f>
        <v/>
      </c>
      <c r="S3792">
        <f>WEEKDAY(B3792,2)</f>
        <v/>
      </c>
    </row>
    <row r="3793">
      <c r="A3793" t="n">
        <v>511438</v>
      </c>
      <c r="B3793" s="6" t="n">
        <v>46004</v>
      </c>
      <c r="C3793" t="n">
        <v>16994</v>
      </c>
      <c r="D3793" t="inlineStr">
        <is>
          <t>Bengaluru</t>
        </is>
      </c>
      <c r="E3793" t="inlineStr">
        <is>
          <t>South</t>
        </is>
      </c>
      <c r="F3793" t="inlineStr">
        <is>
          <t>Paid Search</t>
        </is>
      </c>
      <c r="G3793" t="inlineStr">
        <is>
          <t>Desktop</t>
        </is>
      </c>
      <c r="H3793" t="inlineStr">
        <is>
          <t>UPI</t>
        </is>
      </c>
      <c r="I3793" t="inlineStr">
        <is>
          <t>Delivered</t>
        </is>
      </c>
      <c r="J3793" t="n">
        <v>124</v>
      </c>
      <c r="K3793" t="n">
        <v>1</v>
      </c>
      <c r="L3793" t="n">
        <v>1154</v>
      </c>
      <c r="M3793" t="n">
        <v>0</v>
      </c>
      <c r="N3793">
        <f>VLOOKUP(J3793,Products!$A$2:$C$49,3,FALSE)</f>
        <v/>
      </c>
      <c r="O3793">
        <f>K3793*L3793-M3793</f>
        <v/>
      </c>
      <c r="P3793">
        <f>TEXT(B3793,"yyyy-mm")</f>
        <v/>
      </c>
      <c r="Q3793">
        <f>IF(O3793&gt;=3000,"Large","Small")</f>
        <v/>
      </c>
      <c r="R3793">
        <f>INDEX(Products!$F$2:$F$49,MATCH(J3793,Products!$A$2:$A$49,0))</f>
        <v/>
      </c>
      <c r="S3793">
        <f>WEEKDAY(B3793,2)</f>
        <v/>
      </c>
    </row>
    <row r="3794">
      <c r="A3794" t="n">
        <v>511439</v>
      </c>
      <c r="B3794" s="6" t="n">
        <v>46004</v>
      </c>
      <c r="C3794" t="n">
        <v>17664</v>
      </c>
      <c r="D3794" t="inlineStr">
        <is>
          <t>Bengaluru</t>
        </is>
      </c>
      <c r="E3794" t="inlineStr">
        <is>
          <t>South</t>
        </is>
      </c>
      <c r="F3794" t="inlineStr">
        <is>
          <t>Email</t>
        </is>
      </c>
      <c r="G3794" t="inlineStr">
        <is>
          <t>Mobile App</t>
        </is>
      </c>
      <c r="H3794" t="inlineStr">
        <is>
          <t>Debit Card</t>
        </is>
      </c>
      <c r="I3794" t="inlineStr">
        <is>
          <t>Delivered</t>
        </is>
      </c>
      <c r="J3794" t="n">
        <v>134</v>
      </c>
      <c r="K3794" t="n">
        <v>1</v>
      </c>
      <c r="L3794" t="n">
        <v>209</v>
      </c>
      <c r="M3794" t="n">
        <v>0</v>
      </c>
      <c r="N3794">
        <f>VLOOKUP(J3794,Products!$A$2:$C$49,3,FALSE)</f>
        <v/>
      </c>
      <c r="O3794">
        <f>K3794*L3794-M3794</f>
        <v/>
      </c>
      <c r="P3794">
        <f>TEXT(B3794,"yyyy-mm")</f>
        <v/>
      </c>
      <c r="Q3794">
        <f>IF(O3794&gt;=3000,"Large","Small")</f>
        <v/>
      </c>
      <c r="R3794">
        <f>INDEX(Products!$F$2:$F$49,MATCH(J3794,Products!$A$2:$A$49,0))</f>
        <v/>
      </c>
      <c r="S3794">
        <f>WEEKDAY(B3794,2)</f>
        <v/>
      </c>
    </row>
    <row r="3795">
      <c r="A3795" t="n">
        <v>511440</v>
      </c>
      <c r="B3795" s="6" t="n">
        <v>46004</v>
      </c>
      <c r="C3795" t="n">
        <v>17621</v>
      </c>
      <c r="D3795" t="inlineStr">
        <is>
          <t>Jaipur</t>
        </is>
      </c>
      <c r="E3795" t="inlineStr">
        <is>
          <t>North</t>
        </is>
      </c>
      <c r="F3795" t="inlineStr">
        <is>
          <t>Organic Search</t>
        </is>
      </c>
      <c r="G3795" t="inlineStr">
        <is>
          <t>Mobile Web</t>
        </is>
      </c>
      <c r="H3795" t="inlineStr">
        <is>
          <t>Credit Card</t>
        </is>
      </c>
      <c r="I3795" t="inlineStr">
        <is>
          <t>Delivered</t>
        </is>
      </c>
      <c r="J3795" t="n">
        <v>135</v>
      </c>
      <c r="K3795" t="n">
        <v>1</v>
      </c>
      <c r="L3795" t="n">
        <v>1574</v>
      </c>
      <c r="M3795" t="n">
        <v>0</v>
      </c>
      <c r="N3795">
        <f>VLOOKUP(J3795,Products!$A$2:$C$49,3,FALSE)</f>
        <v/>
      </c>
      <c r="O3795">
        <f>K3795*L3795-M3795</f>
        <v/>
      </c>
      <c r="P3795">
        <f>TEXT(B3795,"yyyy-mm")</f>
        <v/>
      </c>
      <c r="Q3795">
        <f>IF(O3795&gt;=3000,"Large","Small")</f>
        <v/>
      </c>
      <c r="R3795">
        <f>INDEX(Products!$F$2:$F$49,MATCH(J3795,Products!$A$2:$A$49,0))</f>
        <v/>
      </c>
      <c r="S3795">
        <f>WEEKDAY(B3795,2)</f>
        <v/>
      </c>
    </row>
    <row r="3796">
      <c r="A3796" t="n">
        <v>511440</v>
      </c>
      <c r="B3796" s="6" t="n">
        <v>46004</v>
      </c>
      <c r="C3796" t="n">
        <v>17621</v>
      </c>
      <c r="D3796" t="inlineStr">
        <is>
          <t>Jaipur</t>
        </is>
      </c>
      <c r="E3796" t="inlineStr">
        <is>
          <t>North</t>
        </is>
      </c>
      <c r="F3796" t="inlineStr">
        <is>
          <t>Organic Search</t>
        </is>
      </c>
      <c r="G3796" t="inlineStr">
        <is>
          <t>Mobile Web</t>
        </is>
      </c>
      <c r="H3796" t="inlineStr">
        <is>
          <t>Credit Card</t>
        </is>
      </c>
      <c r="I3796" t="inlineStr">
        <is>
          <t>Delivered</t>
        </is>
      </c>
      <c r="J3796" t="n">
        <v>132</v>
      </c>
      <c r="K3796" t="n">
        <v>1</v>
      </c>
      <c r="L3796" t="n">
        <v>471</v>
      </c>
      <c r="M3796" t="n">
        <v>0</v>
      </c>
      <c r="N3796">
        <f>VLOOKUP(J3796,Products!$A$2:$C$49,3,FALSE)</f>
        <v/>
      </c>
      <c r="O3796">
        <f>K3796*L3796-M3796</f>
        <v/>
      </c>
      <c r="P3796">
        <f>TEXT(B3796,"yyyy-mm")</f>
        <v/>
      </c>
      <c r="Q3796">
        <f>IF(O3796&gt;=3000,"Large","Small")</f>
        <v/>
      </c>
      <c r="R3796">
        <f>INDEX(Products!$F$2:$F$49,MATCH(J3796,Products!$A$2:$A$49,0))</f>
        <v/>
      </c>
      <c r="S3796">
        <f>WEEKDAY(B3796,2)</f>
        <v/>
      </c>
    </row>
    <row r="3797">
      <c r="A3797" t="n">
        <v>511440</v>
      </c>
      <c r="B3797" s="6" t="n">
        <v>46004</v>
      </c>
      <c r="C3797" t="n">
        <v>17621</v>
      </c>
      <c r="D3797" t="inlineStr">
        <is>
          <t>Jaipur</t>
        </is>
      </c>
      <c r="E3797" t="inlineStr">
        <is>
          <t>North</t>
        </is>
      </c>
      <c r="F3797" t="inlineStr">
        <is>
          <t>Organic Search</t>
        </is>
      </c>
      <c r="G3797" t="inlineStr">
        <is>
          <t>Mobile Web</t>
        </is>
      </c>
      <c r="H3797" t="inlineStr">
        <is>
          <t>Credit Card</t>
        </is>
      </c>
      <c r="I3797" t="inlineStr">
        <is>
          <t>Delivered</t>
        </is>
      </c>
      <c r="J3797" t="n">
        <v>131</v>
      </c>
      <c r="K3797" t="n">
        <v>1</v>
      </c>
      <c r="L3797" t="n">
        <v>314</v>
      </c>
      <c r="M3797" t="n">
        <v>0</v>
      </c>
      <c r="N3797">
        <f>VLOOKUP(J3797,Products!$A$2:$C$49,3,FALSE)</f>
        <v/>
      </c>
      <c r="O3797">
        <f>K3797*L3797-M3797</f>
        <v/>
      </c>
      <c r="P3797">
        <f>TEXT(B3797,"yyyy-mm")</f>
        <v/>
      </c>
      <c r="Q3797">
        <f>IF(O3797&gt;=3000,"Large","Small")</f>
        <v/>
      </c>
      <c r="R3797">
        <f>INDEX(Products!$F$2:$F$49,MATCH(J3797,Products!$A$2:$A$49,0))</f>
        <v/>
      </c>
      <c r="S3797">
        <f>WEEKDAY(B3797,2)</f>
        <v/>
      </c>
    </row>
    <row r="3798">
      <c r="A3798" t="n">
        <v>511441</v>
      </c>
      <c r="B3798" s="6" t="n">
        <v>46004</v>
      </c>
      <c r="C3798" t="n">
        <v>15847</v>
      </c>
      <c r="D3798" t="inlineStr">
        <is>
          <t>Hyderabad</t>
        </is>
      </c>
      <c r="E3798" t="inlineStr">
        <is>
          <t>South</t>
        </is>
      </c>
      <c r="F3798" t="inlineStr">
        <is>
          <t>Affiliate</t>
        </is>
      </c>
      <c r="G3798" t="inlineStr">
        <is>
          <t>Mobile Web</t>
        </is>
      </c>
      <c r="H3798" t="inlineStr">
        <is>
          <t>Debit Card</t>
        </is>
      </c>
      <c r="I3798" t="inlineStr">
        <is>
          <t>Delivered</t>
        </is>
      </c>
      <c r="J3798" t="n">
        <v>125</v>
      </c>
      <c r="K3798" t="n">
        <v>1</v>
      </c>
      <c r="L3798" t="n">
        <v>1364</v>
      </c>
      <c r="M3798" t="n">
        <v>0</v>
      </c>
      <c r="N3798">
        <f>VLOOKUP(J3798,Products!$A$2:$C$49,3,FALSE)</f>
        <v/>
      </c>
      <c r="O3798">
        <f>K3798*L3798-M3798</f>
        <v/>
      </c>
      <c r="P3798">
        <f>TEXT(B3798,"yyyy-mm")</f>
        <v/>
      </c>
      <c r="Q3798">
        <f>IF(O3798&gt;=3000,"Large","Small")</f>
        <v/>
      </c>
      <c r="R3798">
        <f>INDEX(Products!$F$2:$F$49,MATCH(J3798,Products!$A$2:$A$49,0))</f>
        <v/>
      </c>
      <c r="S3798">
        <f>WEEKDAY(B3798,2)</f>
        <v/>
      </c>
    </row>
    <row r="3799">
      <c r="A3799" t="n">
        <v>511442</v>
      </c>
      <c r="B3799" s="6" t="n">
        <v>46004</v>
      </c>
      <c r="C3799" t="n">
        <v>17029</v>
      </c>
      <c r="D3799" t="inlineStr">
        <is>
          <t>Chennai</t>
        </is>
      </c>
      <c r="E3799" t="inlineStr">
        <is>
          <t>South</t>
        </is>
      </c>
      <c r="F3799" t="inlineStr">
        <is>
          <t>Paid Search</t>
        </is>
      </c>
      <c r="G3799" t="inlineStr">
        <is>
          <t>Mobile Web</t>
        </is>
      </c>
      <c r="H3799" t="inlineStr">
        <is>
          <t>UPI</t>
        </is>
      </c>
      <c r="I3799" t="inlineStr">
        <is>
          <t>Delivered</t>
        </is>
      </c>
      <c r="J3799" t="n">
        <v>127</v>
      </c>
      <c r="K3799" t="n">
        <v>1</v>
      </c>
      <c r="L3799" t="n">
        <v>681</v>
      </c>
      <c r="M3799" t="n">
        <v>0</v>
      </c>
      <c r="N3799">
        <f>VLOOKUP(J3799,Products!$A$2:$C$49,3,FALSE)</f>
        <v/>
      </c>
      <c r="O3799">
        <f>K3799*L3799-M3799</f>
        <v/>
      </c>
      <c r="P3799">
        <f>TEXT(B3799,"yyyy-mm")</f>
        <v/>
      </c>
      <c r="Q3799">
        <f>IF(O3799&gt;=3000,"Large","Small")</f>
        <v/>
      </c>
      <c r="R3799">
        <f>INDEX(Products!$F$2:$F$49,MATCH(J3799,Products!$A$2:$A$49,0))</f>
        <v/>
      </c>
      <c r="S3799">
        <f>WEEKDAY(B3799,2)</f>
        <v/>
      </c>
    </row>
    <row r="3800">
      <c r="A3800" t="n">
        <v>511442</v>
      </c>
      <c r="B3800" s="6" t="n">
        <v>46004</v>
      </c>
      <c r="C3800" t="n">
        <v>17029</v>
      </c>
      <c r="D3800" t="inlineStr">
        <is>
          <t>Chennai</t>
        </is>
      </c>
      <c r="E3800" t="inlineStr">
        <is>
          <t>South</t>
        </is>
      </c>
      <c r="F3800" t="inlineStr">
        <is>
          <t>Paid Search</t>
        </is>
      </c>
      <c r="G3800" t="inlineStr">
        <is>
          <t>Mobile Web</t>
        </is>
      </c>
      <c r="H3800" t="inlineStr">
        <is>
          <t>UPI</t>
        </is>
      </c>
      <c r="I3800" t="inlineStr">
        <is>
          <t>Delivered</t>
        </is>
      </c>
      <c r="J3800" t="n">
        <v>109</v>
      </c>
      <c r="K3800" t="n">
        <v>1</v>
      </c>
      <c r="L3800" t="n">
        <v>4199</v>
      </c>
      <c r="M3800" t="n">
        <v>0</v>
      </c>
      <c r="N3800">
        <f>VLOOKUP(J3800,Products!$A$2:$C$49,3,FALSE)</f>
        <v/>
      </c>
      <c r="O3800">
        <f>K3800*L3800-M3800</f>
        <v/>
      </c>
      <c r="P3800">
        <f>TEXT(B3800,"yyyy-mm")</f>
        <v/>
      </c>
      <c r="Q3800">
        <f>IF(O3800&gt;=3000,"Large","Small")</f>
        <v/>
      </c>
      <c r="R3800">
        <f>INDEX(Products!$F$2:$F$49,MATCH(J3800,Products!$A$2:$A$49,0))</f>
        <v/>
      </c>
      <c r="S3800">
        <f>WEEKDAY(B3800,2)</f>
        <v/>
      </c>
    </row>
    <row r="3801">
      <c r="A3801" t="n">
        <v>511442</v>
      </c>
      <c r="B3801" s="6" t="n">
        <v>46004</v>
      </c>
      <c r="C3801" t="n">
        <v>17029</v>
      </c>
      <c r="D3801" t="inlineStr">
        <is>
          <t>Chennai</t>
        </is>
      </c>
      <c r="E3801" t="inlineStr">
        <is>
          <t>South</t>
        </is>
      </c>
      <c r="F3801" t="inlineStr">
        <is>
          <t>Paid Search</t>
        </is>
      </c>
      <c r="G3801" t="inlineStr">
        <is>
          <t>Mobile Web</t>
        </is>
      </c>
      <c r="H3801" t="inlineStr">
        <is>
          <t>UPI</t>
        </is>
      </c>
      <c r="I3801" t="inlineStr">
        <is>
          <t>Delivered</t>
        </is>
      </c>
      <c r="J3801" t="n">
        <v>111</v>
      </c>
      <c r="K3801" t="n">
        <v>1</v>
      </c>
      <c r="L3801" t="n">
        <v>524</v>
      </c>
      <c r="M3801" t="n">
        <v>0</v>
      </c>
      <c r="N3801">
        <f>VLOOKUP(J3801,Products!$A$2:$C$49,3,FALSE)</f>
        <v/>
      </c>
      <c r="O3801">
        <f>K3801*L3801-M3801</f>
        <v/>
      </c>
      <c r="P3801">
        <f>TEXT(B3801,"yyyy-mm")</f>
        <v/>
      </c>
      <c r="Q3801">
        <f>IF(O3801&gt;=3000,"Large","Small")</f>
        <v/>
      </c>
      <c r="R3801">
        <f>INDEX(Products!$F$2:$F$49,MATCH(J3801,Products!$A$2:$A$49,0))</f>
        <v/>
      </c>
      <c r="S3801">
        <f>WEEKDAY(B3801,2)</f>
        <v/>
      </c>
    </row>
    <row r="3802">
      <c r="A3802" t="n">
        <v>511443</v>
      </c>
      <c r="B3802" s="6" t="n">
        <v>46004</v>
      </c>
      <c r="C3802" t="n">
        <v>17727</v>
      </c>
      <c r="D3802" t="inlineStr">
        <is>
          <t>Gurugram</t>
        </is>
      </c>
      <c r="E3802" t="inlineStr">
        <is>
          <t>North</t>
        </is>
      </c>
      <c r="F3802" t="inlineStr">
        <is>
          <t>Email</t>
        </is>
      </c>
      <c r="G3802" t="inlineStr">
        <is>
          <t>Mobile App</t>
        </is>
      </c>
      <c r="H3802" t="inlineStr">
        <is>
          <t>Credit Card</t>
        </is>
      </c>
      <c r="I3802" t="inlineStr">
        <is>
          <t>Delivered</t>
        </is>
      </c>
      <c r="J3802" t="n">
        <v>128</v>
      </c>
      <c r="K3802" t="n">
        <v>1</v>
      </c>
      <c r="L3802" t="n">
        <v>1049</v>
      </c>
      <c r="M3802" t="n">
        <v>0</v>
      </c>
      <c r="N3802">
        <f>VLOOKUP(J3802,Products!$A$2:$C$49,3,FALSE)</f>
        <v/>
      </c>
      <c r="O3802">
        <f>K3802*L3802-M3802</f>
        <v/>
      </c>
      <c r="P3802">
        <f>TEXT(B3802,"yyyy-mm")</f>
        <v/>
      </c>
      <c r="Q3802">
        <f>IF(O3802&gt;=3000,"Large","Small")</f>
        <v/>
      </c>
      <c r="R3802">
        <f>INDEX(Products!$F$2:$F$49,MATCH(J3802,Products!$A$2:$A$49,0))</f>
        <v/>
      </c>
      <c r="S3802">
        <f>WEEKDAY(B3802,2)</f>
        <v/>
      </c>
    </row>
    <row r="3803">
      <c r="A3803" t="n">
        <v>511444</v>
      </c>
      <c r="B3803" s="6" t="n">
        <v>46004</v>
      </c>
      <c r="C3803" t="n">
        <v>17735</v>
      </c>
      <c r="D3803" t="inlineStr">
        <is>
          <t>Gurugram</t>
        </is>
      </c>
      <c r="E3803" t="inlineStr">
        <is>
          <t>North</t>
        </is>
      </c>
      <c r="F3803" t="inlineStr">
        <is>
          <t>Organic Search</t>
        </is>
      </c>
      <c r="G3803" t="inlineStr">
        <is>
          <t>Mobile App</t>
        </is>
      </c>
      <c r="H3803" t="inlineStr">
        <is>
          <t>UPI</t>
        </is>
      </c>
      <c r="I3803" t="inlineStr">
        <is>
          <t>Delivered</t>
        </is>
      </c>
      <c r="J3803" t="n">
        <v>136</v>
      </c>
      <c r="K3803" t="n">
        <v>1</v>
      </c>
      <c r="L3803" t="n">
        <v>944</v>
      </c>
      <c r="M3803" t="n">
        <v>141.6</v>
      </c>
      <c r="N3803">
        <f>VLOOKUP(J3803,Products!$A$2:$C$49,3,FALSE)</f>
        <v/>
      </c>
      <c r="O3803">
        <f>K3803*L3803-M3803</f>
        <v/>
      </c>
      <c r="P3803">
        <f>TEXT(B3803,"yyyy-mm")</f>
        <v/>
      </c>
      <c r="Q3803">
        <f>IF(O3803&gt;=3000,"Large","Small")</f>
        <v/>
      </c>
      <c r="R3803">
        <f>INDEX(Products!$F$2:$F$49,MATCH(J3803,Products!$A$2:$A$49,0))</f>
        <v/>
      </c>
      <c r="S3803">
        <f>WEEKDAY(B3803,2)</f>
        <v/>
      </c>
    </row>
    <row r="3804">
      <c r="A3804" t="n">
        <v>511445</v>
      </c>
      <c r="B3804" s="6" t="n">
        <v>46004</v>
      </c>
      <c r="C3804" t="n">
        <v>17618</v>
      </c>
      <c r="D3804" t="inlineStr">
        <is>
          <t>Kochi</t>
        </is>
      </c>
      <c r="E3804" t="inlineStr">
        <is>
          <t>South</t>
        </is>
      </c>
      <c r="F3804" t="inlineStr">
        <is>
          <t>Paid Search</t>
        </is>
      </c>
      <c r="G3804" t="inlineStr">
        <is>
          <t>Desktop</t>
        </is>
      </c>
      <c r="H3804" t="inlineStr">
        <is>
          <t>UPI</t>
        </is>
      </c>
      <c r="I3804" t="inlineStr">
        <is>
          <t>Delivered</t>
        </is>
      </c>
      <c r="J3804" t="n">
        <v>135</v>
      </c>
      <c r="K3804" t="n">
        <v>1</v>
      </c>
      <c r="L3804" t="n">
        <v>1574</v>
      </c>
      <c r="M3804" t="n">
        <v>236.1</v>
      </c>
      <c r="N3804">
        <f>VLOOKUP(J3804,Products!$A$2:$C$49,3,FALSE)</f>
        <v/>
      </c>
      <c r="O3804">
        <f>K3804*L3804-M3804</f>
        <v/>
      </c>
      <c r="P3804">
        <f>TEXT(B3804,"yyyy-mm")</f>
        <v/>
      </c>
      <c r="Q3804">
        <f>IF(O3804&gt;=3000,"Large","Small")</f>
        <v/>
      </c>
      <c r="R3804">
        <f>INDEX(Products!$F$2:$F$49,MATCH(J3804,Products!$A$2:$A$49,0))</f>
        <v/>
      </c>
      <c r="S3804">
        <f>WEEKDAY(B3804,2)</f>
        <v/>
      </c>
    </row>
    <row r="3805">
      <c r="A3805" t="n">
        <v>511446</v>
      </c>
      <c r="B3805" s="6" t="n">
        <v>46004</v>
      </c>
      <c r="C3805" t="n">
        <v>16773</v>
      </c>
      <c r="D3805" t="inlineStr">
        <is>
          <t>Bengaluru</t>
        </is>
      </c>
      <c r="E3805" t="inlineStr">
        <is>
          <t>South</t>
        </is>
      </c>
      <c r="F3805" t="inlineStr">
        <is>
          <t>Referral</t>
        </is>
      </c>
      <c r="G3805" t="inlineStr">
        <is>
          <t>Desktop</t>
        </is>
      </c>
      <c r="H3805" t="inlineStr">
        <is>
          <t>UPI</t>
        </is>
      </c>
      <c r="I3805" t="inlineStr">
        <is>
          <t>Delivered</t>
        </is>
      </c>
      <c r="J3805" t="n">
        <v>133</v>
      </c>
      <c r="K3805" t="n">
        <v>1</v>
      </c>
      <c r="L3805" t="n">
        <v>419</v>
      </c>
      <c r="M3805" t="n">
        <v>0</v>
      </c>
      <c r="N3805">
        <f>VLOOKUP(J3805,Products!$A$2:$C$49,3,FALSE)</f>
        <v/>
      </c>
      <c r="O3805">
        <f>K3805*L3805-M3805</f>
        <v/>
      </c>
      <c r="P3805">
        <f>TEXT(B3805,"yyyy-mm")</f>
        <v/>
      </c>
      <c r="Q3805">
        <f>IF(O3805&gt;=3000,"Large","Small")</f>
        <v/>
      </c>
      <c r="R3805">
        <f>INDEX(Products!$F$2:$F$49,MATCH(J3805,Products!$A$2:$A$49,0))</f>
        <v/>
      </c>
      <c r="S3805">
        <f>WEEKDAY(B3805,2)</f>
        <v/>
      </c>
    </row>
    <row r="3806">
      <c r="A3806" t="n">
        <v>511446</v>
      </c>
      <c r="B3806" s="6" t="n">
        <v>46004</v>
      </c>
      <c r="C3806" t="n">
        <v>16773</v>
      </c>
      <c r="D3806" t="inlineStr">
        <is>
          <t>Bengaluru</t>
        </is>
      </c>
      <c r="E3806" t="inlineStr">
        <is>
          <t>South</t>
        </is>
      </c>
      <c r="F3806" t="inlineStr">
        <is>
          <t>Referral</t>
        </is>
      </c>
      <c r="G3806" t="inlineStr">
        <is>
          <t>Desktop</t>
        </is>
      </c>
      <c r="H3806" t="inlineStr">
        <is>
          <t>UPI</t>
        </is>
      </c>
      <c r="I3806" t="inlineStr">
        <is>
          <t>Delivered</t>
        </is>
      </c>
      <c r="J3806" t="n">
        <v>116</v>
      </c>
      <c r="K3806" t="n">
        <v>1</v>
      </c>
      <c r="L3806" t="n">
        <v>2624</v>
      </c>
      <c r="M3806" t="n">
        <v>0</v>
      </c>
      <c r="N3806">
        <f>VLOOKUP(J3806,Products!$A$2:$C$49,3,FALSE)</f>
        <v/>
      </c>
      <c r="O3806">
        <f>K3806*L3806-M3806</f>
        <v/>
      </c>
      <c r="P3806">
        <f>TEXT(B3806,"yyyy-mm")</f>
        <v/>
      </c>
      <c r="Q3806">
        <f>IF(O3806&gt;=3000,"Large","Small")</f>
        <v/>
      </c>
      <c r="R3806">
        <f>INDEX(Products!$F$2:$F$49,MATCH(J3806,Products!$A$2:$A$49,0))</f>
        <v/>
      </c>
      <c r="S3806">
        <f>WEEKDAY(B3806,2)</f>
        <v/>
      </c>
    </row>
    <row r="3807">
      <c r="A3807" t="n">
        <v>511446</v>
      </c>
      <c r="B3807" s="6" t="n">
        <v>46004</v>
      </c>
      <c r="C3807" t="n">
        <v>16773</v>
      </c>
      <c r="D3807" t="inlineStr">
        <is>
          <t>Bengaluru</t>
        </is>
      </c>
      <c r="E3807" t="inlineStr">
        <is>
          <t>South</t>
        </is>
      </c>
      <c r="F3807" t="inlineStr">
        <is>
          <t>Referral</t>
        </is>
      </c>
      <c r="G3807" t="inlineStr">
        <is>
          <t>Desktop</t>
        </is>
      </c>
      <c r="H3807" t="inlineStr">
        <is>
          <t>UPI</t>
        </is>
      </c>
      <c r="I3807" t="inlineStr">
        <is>
          <t>Delivered</t>
        </is>
      </c>
      <c r="J3807" t="n">
        <v>148</v>
      </c>
      <c r="K3807" t="n">
        <v>1</v>
      </c>
      <c r="L3807" t="n">
        <v>734</v>
      </c>
      <c r="M3807" t="n">
        <v>0</v>
      </c>
      <c r="N3807">
        <f>VLOOKUP(J3807,Products!$A$2:$C$49,3,FALSE)</f>
        <v/>
      </c>
      <c r="O3807">
        <f>K3807*L3807-M3807</f>
        <v/>
      </c>
      <c r="P3807">
        <f>TEXT(B3807,"yyyy-mm")</f>
        <v/>
      </c>
      <c r="Q3807">
        <f>IF(O3807&gt;=3000,"Large","Small")</f>
        <v/>
      </c>
      <c r="R3807">
        <f>INDEX(Products!$F$2:$F$49,MATCH(J3807,Products!$A$2:$A$49,0))</f>
        <v/>
      </c>
      <c r="S3807">
        <f>WEEKDAY(B3807,2)</f>
        <v/>
      </c>
    </row>
    <row r="3808">
      <c r="A3808" t="n">
        <v>511447</v>
      </c>
      <c r="B3808" s="6" t="n">
        <v>46004</v>
      </c>
      <c r="C3808" t="n">
        <v>17566</v>
      </c>
      <c r="D3808" t="inlineStr">
        <is>
          <t>Mumbai</t>
        </is>
      </c>
      <c r="E3808" t="inlineStr">
        <is>
          <t>West</t>
        </is>
      </c>
      <c r="F3808" t="inlineStr">
        <is>
          <t>Paid Search</t>
        </is>
      </c>
      <c r="G3808" t="inlineStr">
        <is>
          <t>Mobile App</t>
        </is>
      </c>
      <c r="H3808" t="inlineStr">
        <is>
          <t>Credit Card</t>
        </is>
      </c>
      <c r="I3808" t="inlineStr">
        <is>
          <t>Delivered</t>
        </is>
      </c>
      <c r="J3808" t="n">
        <v>129</v>
      </c>
      <c r="K3808" t="n">
        <v>1</v>
      </c>
      <c r="L3808" t="n">
        <v>576</v>
      </c>
      <c r="M3808" t="n">
        <v>0</v>
      </c>
      <c r="N3808">
        <f>VLOOKUP(J3808,Products!$A$2:$C$49,3,FALSE)</f>
        <v/>
      </c>
      <c r="O3808">
        <f>K3808*L3808-M3808</f>
        <v/>
      </c>
      <c r="P3808">
        <f>TEXT(B3808,"yyyy-mm")</f>
        <v/>
      </c>
      <c r="Q3808">
        <f>IF(O3808&gt;=3000,"Large","Small")</f>
        <v/>
      </c>
      <c r="R3808">
        <f>INDEX(Products!$F$2:$F$49,MATCH(J3808,Products!$A$2:$A$49,0))</f>
        <v/>
      </c>
      <c r="S3808">
        <f>WEEKDAY(B3808,2)</f>
        <v/>
      </c>
    </row>
    <row r="3809">
      <c r="A3809" t="n">
        <v>511447</v>
      </c>
      <c r="B3809" s="6" t="n">
        <v>46004</v>
      </c>
      <c r="C3809" t="n">
        <v>17566</v>
      </c>
      <c r="D3809" t="inlineStr">
        <is>
          <t>Mumbai</t>
        </is>
      </c>
      <c r="E3809" t="inlineStr">
        <is>
          <t>West</t>
        </is>
      </c>
      <c r="F3809" t="inlineStr">
        <is>
          <t>Paid Search</t>
        </is>
      </c>
      <c r="G3809" t="inlineStr">
        <is>
          <t>Mobile App</t>
        </is>
      </c>
      <c r="H3809" t="inlineStr">
        <is>
          <t>Credit Card</t>
        </is>
      </c>
      <c r="I3809" t="inlineStr">
        <is>
          <t>Delivered</t>
        </is>
      </c>
      <c r="J3809" t="n">
        <v>107</v>
      </c>
      <c r="K3809" t="n">
        <v>1</v>
      </c>
      <c r="L3809" t="n">
        <v>1259</v>
      </c>
      <c r="M3809" t="n">
        <v>0</v>
      </c>
      <c r="N3809">
        <f>VLOOKUP(J3809,Products!$A$2:$C$49,3,FALSE)</f>
        <v/>
      </c>
      <c r="O3809">
        <f>K3809*L3809-M3809</f>
        <v/>
      </c>
      <c r="P3809">
        <f>TEXT(B3809,"yyyy-mm")</f>
        <v/>
      </c>
      <c r="Q3809">
        <f>IF(O3809&gt;=3000,"Large","Small")</f>
        <v/>
      </c>
      <c r="R3809">
        <f>INDEX(Products!$F$2:$F$49,MATCH(J3809,Products!$A$2:$A$49,0))</f>
        <v/>
      </c>
      <c r="S3809">
        <f>WEEKDAY(B3809,2)</f>
        <v/>
      </c>
    </row>
    <row r="3810">
      <c r="A3810" t="n">
        <v>511447</v>
      </c>
      <c r="B3810" s="6" t="n">
        <v>46004</v>
      </c>
      <c r="C3810" t="n">
        <v>17566</v>
      </c>
      <c r="D3810" t="inlineStr">
        <is>
          <t>Mumbai</t>
        </is>
      </c>
      <c r="E3810" t="inlineStr">
        <is>
          <t>West</t>
        </is>
      </c>
      <c r="F3810" t="inlineStr">
        <is>
          <t>Paid Search</t>
        </is>
      </c>
      <c r="G3810" t="inlineStr">
        <is>
          <t>Mobile App</t>
        </is>
      </c>
      <c r="H3810" t="inlineStr">
        <is>
          <t>Credit Card</t>
        </is>
      </c>
      <c r="I3810" t="inlineStr">
        <is>
          <t>Delivered</t>
        </is>
      </c>
      <c r="J3810" t="n">
        <v>112</v>
      </c>
      <c r="K3810" t="n">
        <v>1</v>
      </c>
      <c r="L3810" t="n">
        <v>1574</v>
      </c>
      <c r="M3810" t="n">
        <v>0</v>
      </c>
      <c r="N3810">
        <f>VLOOKUP(J3810,Products!$A$2:$C$49,3,FALSE)</f>
        <v/>
      </c>
      <c r="O3810">
        <f>K3810*L3810-M3810</f>
        <v/>
      </c>
      <c r="P3810">
        <f>TEXT(B3810,"yyyy-mm")</f>
        <v/>
      </c>
      <c r="Q3810">
        <f>IF(O3810&gt;=3000,"Large","Small")</f>
        <v/>
      </c>
      <c r="R3810">
        <f>INDEX(Products!$F$2:$F$49,MATCH(J3810,Products!$A$2:$A$49,0))</f>
        <v/>
      </c>
      <c r="S3810">
        <f>WEEKDAY(B3810,2)</f>
        <v/>
      </c>
    </row>
    <row r="3811">
      <c r="A3811" t="n">
        <v>511447</v>
      </c>
      <c r="B3811" s="6" t="n">
        <v>46004</v>
      </c>
      <c r="C3811" t="n">
        <v>17566</v>
      </c>
      <c r="D3811" t="inlineStr">
        <is>
          <t>Mumbai</t>
        </is>
      </c>
      <c r="E3811" t="inlineStr">
        <is>
          <t>West</t>
        </is>
      </c>
      <c r="F3811" t="inlineStr">
        <is>
          <t>Paid Search</t>
        </is>
      </c>
      <c r="G3811" t="inlineStr">
        <is>
          <t>Mobile App</t>
        </is>
      </c>
      <c r="H3811" t="inlineStr">
        <is>
          <t>Credit Card</t>
        </is>
      </c>
      <c r="I3811" t="inlineStr">
        <is>
          <t>Delivered</t>
        </is>
      </c>
      <c r="J3811" t="n">
        <v>146</v>
      </c>
      <c r="K3811" t="n">
        <v>1</v>
      </c>
      <c r="L3811" t="n">
        <v>4724</v>
      </c>
      <c r="M3811" t="n">
        <v>0</v>
      </c>
      <c r="N3811">
        <f>VLOOKUP(J3811,Products!$A$2:$C$49,3,FALSE)</f>
        <v/>
      </c>
      <c r="O3811">
        <f>K3811*L3811-M3811</f>
        <v/>
      </c>
      <c r="P3811">
        <f>TEXT(B3811,"yyyy-mm")</f>
        <v/>
      </c>
      <c r="Q3811">
        <f>IF(O3811&gt;=3000,"Large","Small")</f>
        <v/>
      </c>
      <c r="R3811">
        <f>INDEX(Products!$F$2:$F$49,MATCH(J3811,Products!$A$2:$A$49,0))</f>
        <v/>
      </c>
      <c r="S3811">
        <f>WEEKDAY(B3811,2)</f>
        <v/>
      </c>
    </row>
    <row r="3812">
      <c r="A3812" t="n">
        <v>511448</v>
      </c>
      <c r="B3812" s="6" t="n">
        <v>46004</v>
      </c>
      <c r="C3812" t="n">
        <v>13041</v>
      </c>
      <c r="D3812" t="inlineStr">
        <is>
          <t>Kochi</t>
        </is>
      </c>
      <c r="E3812" t="inlineStr">
        <is>
          <t>South</t>
        </is>
      </c>
      <c r="F3812" t="inlineStr">
        <is>
          <t>Paid Social</t>
        </is>
      </c>
      <c r="G3812" t="inlineStr">
        <is>
          <t>Mobile Web</t>
        </is>
      </c>
      <c r="H3812" t="inlineStr">
        <is>
          <t>UPI</t>
        </is>
      </c>
      <c r="I3812" t="inlineStr">
        <is>
          <t>Delivered</t>
        </is>
      </c>
      <c r="J3812" t="n">
        <v>144</v>
      </c>
      <c r="K3812" t="n">
        <v>1</v>
      </c>
      <c r="L3812" t="n">
        <v>3149</v>
      </c>
      <c r="M3812" t="n">
        <v>0</v>
      </c>
      <c r="N3812">
        <f>VLOOKUP(J3812,Products!$A$2:$C$49,3,FALSE)</f>
        <v/>
      </c>
      <c r="O3812">
        <f>K3812*L3812-M3812</f>
        <v/>
      </c>
      <c r="P3812">
        <f>TEXT(B3812,"yyyy-mm")</f>
        <v/>
      </c>
      <c r="Q3812">
        <f>IF(O3812&gt;=3000,"Large","Small")</f>
        <v/>
      </c>
      <c r="R3812">
        <f>INDEX(Products!$F$2:$F$49,MATCH(J3812,Products!$A$2:$A$49,0))</f>
        <v/>
      </c>
      <c r="S3812">
        <f>WEEKDAY(B3812,2)</f>
        <v/>
      </c>
    </row>
    <row r="3813">
      <c r="A3813" t="n">
        <v>511449</v>
      </c>
      <c r="B3813" s="6" t="n">
        <v>46004</v>
      </c>
      <c r="C3813" t="n">
        <v>16570</v>
      </c>
      <c r="D3813" t="inlineStr">
        <is>
          <t>Chennai</t>
        </is>
      </c>
      <c r="E3813" t="inlineStr">
        <is>
          <t>South</t>
        </is>
      </c>
      <c r="F3813" t="inlineStr">
        <is>
          <t>Organic Search</t>
        </is>
      </c>
      <c r="G3813" t="inlineStr">
        <is>
          <t>Mobile App</t>
        </is>
      </c>
      <c r="H3813" t="inlineStr">
        <is>
          <t>Credit Card</t>
        </is>
      </c>
      <c r="I3813" t="inlineStr">
        <is>
          <t>Delivered</t>
        </is>
      </c>
      <c r="J3813" t="n">
        <v>135</v>
      </c>
      <c r="K3813" t="n">
        <v>1</v>
      </c>
      <c r="L3813" t="n">
        <v>1574</v>
      </c>
      <c r="M3813" t="n">
        <v>0</v>
      </c>
      <c r="N3813">
        <f>VLOOKUP(J3813,Products!$A$2:$C$49,3,FALSE)</f>
        <v/>
      </c>
      <c r="O3813">
        <f>K3813*L3813-M3813</f>
        <v/>
      </c>
      <c r="P3813">
        <f>TEXT(B3813,"yyyy-mm")</f>
        <v/>
      </c>
      <c r="Q3813">
        <f>IF(O3813&gt;=3000,"Large","Small")</f>
        <v/>
      </c>
      <c r="R3813">
        <f>INDEX(Products!$F$2:$F$49,MATCH(J3813,Products!$A$2:$A$49,0))</f>
        <v/>
      </c>
      <c r="S3813">
        <f>WEEKDAY(B3813,2)</f>
        <v/>
      </c>
    </row>
    <row r="3814">
      <c r="A3814" t="n">
        <v>511449</v>
      </c>
      <c r="B3814" s="6" t="n">
        <v>46004</v>
      </c>
      <c r="C3814" t="n">
        <v>16570</v>
      </c>
      <c r="D3814" t="inlineStr">
        <is>
          <t>Chennai</t>
        </is>
      </c>
      <c r="E3814" t="inlineStr">
        <is>
          <t>South</t>
        </is>
      </c>
      <c r="F3814" t="inlineStr">
        <is>
          <t>Organic Search</t>
        </is>
      </c>
      <c r="G3814" t="inlineStr">
        <is>
          <t>Mobile App</t>
        </is>
      </c>
      <c r="H3814" t="inlineStr">
        <is>
          <t>Credit Card</t>
        </is>
      </c>
      <c r="I3814" t="inlineStr">
        <is>
          <t>Delivered</t>
        </is>
      </c>
      <c r="J3814" t="n">
        <v>138</v>
      </c>
      <c r="K3814" t="n">
        <v>1</v>
      </c>
      <c r="L3814" t="n">
        <v>419</v>
      </c>
      <c r="M3814" t="n">
        <v>0</v>
      </c>
      <c r="N3814">
        <f>VLOOKUP(J3814,Products!$A$2:$C$49,3,FALSE)</f>
        <v/>
      </c>
      <c r="O3814">
        <f>K3814*L3814-M3814</f>
        <v/>
      </c>
      <c r="P3814">
        <f>TEXT(B3814,"yyyy-mm")</f>
        <v/>
      </c>
      <c r="Q3814">
        <f>IF(O3814&gt;=3000,"Large","Small")</f>
        <v/>
      </c>
      <c r="R3814">
        <f>INDEX(Products!$F$2:$F$49,MATCH(J3814,Products!$A$2:$A$49,0))</f>
        <v/>
      </c>
      <c r="S3814">
        <f>WEEKDAY(B3814,2)</f>
        <v/>
      </c>
    </row>
    <row r="3815">
      <c r="A3815" t="n">
        <v>511449</v>
      </c>
      <c r="B3815" s="6" t="n">
        <v>46004</v>
      </c>
      <c r="C3815" t="n">
        <v>16570</v>
      </c>
      <c r="D3815" t="inlineStr">
        <is>
          <t>Chennai</t>
        </is>
      </c>
      <c r="E3815" t="inlineStr">
        <is>
          <t>South</t>
        </is>
      </c>
      <c r="F3815" t="inlineStr">
        <is>
          <t>Organic Search</t>
        </is>
      </c>
      <c r="G3815" t="inlineStr">
        <is>
          <t>Mobile App</t>
        </is>
      </c>
      <c r="H3815" t="inlineStr">
        <is>
          <t>Credit Card</t>
        </is>
      </c>
      <c r="I3815" t="inlineStr">
        <is>
          <t>Delivered</t>
        </is>
      </c>
      <c r="J3815" t="n">
        <v>104</v>
      </c>
      <c r="K3815" t="n">
        <v>2</v>
      </c>
      <c r="L3815" t="n">
        <v>5249</v>
      </c>
      <c r="M3815" t="n">
        <v>0</v>
      </c>
      <c r="N3815">
        <f>VLOOKUP(J3815,Products!$A$2:$C$49,3,FALSE)</f>
        <v/>
      </c>
      <c r="O3815">
        <f>K3815*L3815-M3815</f>
        <v/>
      </c>
      <c r="P3815">
        <f>TEXT(B3815,"yyyy-mm")</f>
        <v/>
      </c>
      <c r="Q3815">
        <f>IF(O3815&gt;=3000,"Large","Small")</f>
        <v/>
      </c>
      <c r="R3815">
        <f>INDEX(Products!$F$2:$F$49,MATCH(J3815,Products!$A$2:$A$49,0))</f>
        <v/>
      </c>
      <c r="S3815">
        <f>WEEKDAY(B3815,2)</f>
        <v/>
      </c>
    </row>
    <row r="3816">
      <c r="A3816" t="n">
        <v>511449</v>
      </c>
      <c r="B3816" s="6" t="n">
        <v>46004</v>
      </c>
      <c r="C3816" t="n">
        <v>16570</v>
      </c>
      <c r="D3816" t="inlineStr">
        <is>
          <t>Chennai</t>
        </is>
      </c>
      <c r="E3816" t="inlineStr">
        <is>
          <t>South</t>
        </is>
      </c>
      <c r="F3816" t="inlineStr">
        <is>
          <t>Organic Search</t>
        </is>
      </c>
      <c r="G3816" t="inlineStr">
        <is>
          <t>Mobile App</t>
        </is>
      </c>
      <c r="H3816" t="inlineStr">
        <is>
          <t>Credit Card</t>
        </is>
      </c>
      <c r="I3816" t="inlineStr">
        <is>
          <t>Delivered</t>
        </is>
      </c>
      <c r="J3816" t="n">
        <v>102</v>
      </c>
      <c r="K3816" t="n">
        <v>2</v>
      </c>
      <c r="L3816" t="n">
        <v>3674</v>
      </c>
      <c r="M3816" t="n">
        <v>0</v>
      </c>
      <c r="N3816">
        <f>VLOOKUP(J3816,Products!$A$2:$C$49,3,FALSE)</f>
        <v/>
      </c>
      <c r="O3816">
        <f>K3816*L3816-M3816</f>
        <v/>
      </c>
      <c r="P3816">
        <f>TEXT(B3816,"yyyy-mm")</f>
        <v/>
      </c>
      <c r="Q3816">
        <f>IF(O3816&gt;=3000,"Large","Small")</f>
        <v/>
      </c>
      <c r="R3816">
        <f>INDEX(Products!$F$2:$F$49,MATCH(J3816,Products!$A$2:$A$49,0))</f>
        <v/>
      </c>
      <c r="S3816">
        <f>WEEKDAY(B3816,2)</f>
        <v/>
      </c>
    </row>
    <row r="3817">
      <c r="A3817" t="n">
        <v>511450</v>
      </c>
      <c r="B3817" s="6" t="n">
        <v>46004</v>
      </c>
      <c r="C3817" t="n">
        <v>16531</v>
      </c>
      <c r="D3817" t="inlineStr">
        <is>
          <t>Gurugram</t>
        </is>
      </c>
      <c r="E3817" t="inlineStr">
        <is>
          <t>North</t>
        </is>
      </c>
      <c r="F3817" t="inlineStr">
        <is>
          <t>Organic Search</t>
        </is>
      </c>
      <c r="G3817" t="inlineStr">
        <is>
          <t>Desktop</t>
        </is>
      </c>
      <c r="H3817" t="inlineStr">
        <is>
          <t>UPI</t>
        </is>
      </c>
      <c r="I3817" t="inlineStr">
        <is>
          <t>Delivered</t>
        </is>
      </c>
      <c r="J3817" t="n">
        <v>127</v>
      </c>
      <c r="K3817" t="n">
        <v>1</v>
      </c>
      <c r="L3817" t="n">
        <v>681</v>
      </c>
      <c r="M3817" t="n">
        <v>0</v>
      </c>
      <c r="N3817">
        <f>VLOOKUP(J3817,Products!$A$2:$C$49,3,FALSE)</f>
        <v/>
      </c>
      <c r="O3817">
        <f>K3817*L3817-M3817</f>
        <v/>
      </c>
      <c r="P3817">
        <f>TEXT(B3817,"yyyy-mm")</f>
        <v/>
      </c>
      <c r="Q3817">
        <f>IF(O3817&gt;=3000,"Large","Small")</f>
        <v/>
      </c>
      <c r="R3817">
        <f>INDEX(Products!$F$2:$F$49,MATCH(J3817,Products!$A$2:$A$49,0))</f>
        <v/>
      </c>
      <c r="S3817">
        <f>WEEKDAY(B3817,2)</f>
        <v/>
      </c>
    </row>
    <row r="3818">
      <c r="A3818" t="n">
        <v>511451</v>
      </c>
      <c r="B3818" s="6" t="n">
        <v>46004</v>
      </c>
      <c r="C3818" t="n">
        <v>17014</v>
      </c>
      <c r="D3818" t="inlineStr">
        <is>
          <t>Bengaluru</t>
        </is>
      </c>
      <c r="E3818" t="inlineStr">
        <is>
          <t>South</t>
        </is>
      </c>
      <c r="F3818" t="inlineStr">
        <is>
          <t>Organic Search</t>
        </is>
      </c>
      <c r="G3818" t="inlineStr">
        <is>
          <t>Mobile App</t>
        </is>
      </c>
      <c r="H3818" t="inlineStr">
        <is>
          <t>UPI</t>
        </is>
      </c>
      <c r="I3818" t="inlineStr">
        <is>
          <t>Delivered</t>
        </is>
      </c>
      <c r="J3818" t="n">
        <v>140</v>
      </c>
      <c r="K3818" t="n">
        <v>1</v>
      </c>
      <c r="L3818" t="n">
        <v>629</v>
      </c>
      <c r="M3818" t="n">
        <v>0</v>
      </c>
      <c r="N3818">
        <f>VLOOKUP(J3818,Products!$A$2:$C$49,3,FALSE)</f>
        <v/>
      </c>
      <c r="O3818">
        <f>K3818*L3818-M3818</f>
        <v/>
      </c>
      <c r="P3818">
        <f>TEXT(B3818,"yyyy-mm")</f>
        <v/>
      </c>
      <c r="Q3818">
        <f>IF(O3818&gt;=3000,"Large","Small")</f>
        <v/>
      </c>
      <c r="R3818">
        <f>INDEX(Products!$F$2:$F$49,MATCH(J3818,Products!$A$2:$A$49,0))</f>
        <v/>
      </c>
      <c r="S3818">
        <f>WEEKDAY(B3818,2)</f>
        <v/>
      </c>
    </row>
    <row r="3819">
      <c r="A3819" t="n">
        <v>511451</v>
      </c>
      <c r="B3819" s="6" t="n">
        <v>46004</v>
      </c>
      <c r="C3819" t="n">
        <v>17014</v>
      </c>
      <c r="D3819" t="inlineStr">
        <is>
          <t>Bengaluru</t>
        </is>
      </c>
      <c r="E3819" t="inlineStr">
        <is>
          <t>South</t>
        </is>
      </c>
      <c r="F3819" t="inlineStr">
        <is>
          <t>Organic Search</t>
        </is>
      </c>
      <c r="G3819" t="inlineStr">
        <is>
          <t>Mobile App</t>
        </is>
      </c>
      <c r="H3819" t="inlineStr">
        <is>
          <t>UPI</t>
        </is>
      </c>
      <c r="I3819" t="inlineStr">
        <is>
          <t>Delivered</t>
        </is>
      </c>
      <c r="J3819" t="n">
        <v>131</v>
      </c>
      <c r="K3819" t="n">
        <v>1</v>
      </c>
      <c r="L3819" t="n">
        <v>314</v>
      </c>
      <c r="M3819" t="n">
        <v>0</v>
      </c>
      <c r="N3819">
        <f>VLOOKUP(J3819,Products!$A$2:$C$49,3,FALSE)</f>
        <v/>
      </c>
      <c r="O3819">
        <f>K3819*L3819-M3819</f>
        <v/>
      </c>
      <c r="P3819">
        <f>TEXT(B3819,"yyyy-mm")</f>
        <v/>
      </c>
      <c r="Q3819">
        <f>IF(O3819&gt;=3000,"Large","Small")</f>
        <v/>
      </c>
      <c r="R3819">
        <f>INDEX(Products!$F$2:$F$49,MATCH(J3819,Products!$A$2:$A$49,0))</f>
        <v/>
      </c>
      <c r="S3819">
        <f>WEEKDAY(B3819,2)</f>
        <v/>
      </c>
    </row>
    <row r="3820">
      <c r="A3820" t="n">
        <v>511451</v>
      </c>
      <c r="B3820" s="6" t="n">
        <v>46004</v>
      </c>
      <c r="C3820" t="n">
        <v>17014</v>
      </c>
      <c r="D3820" t="inlineStr">
        <is>
          <t>Bengaluru</t>
        </is>
      </c>
      <c r="E3820" t="inlineStr">
        <is>
          <t>South</t>
        </is>
      </c>
      <c r="F3820" t="inlineStr">
        <is>
          <t>Organic Search</t>
        </is>
      </c>
      <c r="G3820" t="inlineStr">
        <is>
          <t>Mobile App</t>
        </is>
      </c>
      <c r="H3820" t="inlineStr">
        <is>
          <t>UPI</t>
        </is>
      </c>
      <c r="I3820" t="inlineStr">
        <is>
          <t>Delivered</t>
        </is>
      </c>
      <c r="J3820" t="n">
        <v>142</v>
      </c>
      <c r="K3820" t="n">
        <v>2</v>
      </c>
      <c r="L3820" t="n">
        <v>839</v>
      </c>
      <c r="M3820" t="n">
        <v>0</v>
      </c>
      <c r="N3820">
        <f>VLOOKUP(J3820,Products!$A$2:$C$49,3,FALSE)</f>
        <v/>
      </c>
      <c r="O3820">
        <f>K3820*L3820-M3820</f>
        <v/>
      </c>
      <c r="P3820">
        <f>TEXT(B3820,"yyyy-mm")</f>
        <v/>
      </c>
      <c r="Q3820">
        <f>IF(O3820&gt;=3000,"Large","Small")</f>
        <v/>
      </c>
      <c r="R3820">
        <f>INDEX(Products!$F$2:$F$49,MATCH(J3820,Products!$A$2:$A$49,0))</f>
        <v/>
      </c>
      <c r="S3820">
        <f>WEEKDAY(B3820,2)</f>
        <v/>
      </c>
    </row>
    <row r="3821">
      <c r="A3821" t="n">
        <v>511452</v>
      </c>
      <c r="B3821" s="6" t="n">
        <v>46004</v>
      </c>
      <c r="C3821" t="n">
        <v>17713</v>
      </c>
      <c r="D3821" t="inlineStr">
        <is>
          <t>Kochi</t>
        </is>
      </c>
      <c r="E3821" t="inlineStr">
        <is>
          <t>South</t>
        </is>
      </c>
      <c r="F3821" t="inlineStr">
        <is>
          <t>Paid Social</t>
        </is>
      </c>
      <c r="G3821" t="inlineStr">
        <is>
          <t>Desktop</t>
        </is>
      </c>
      <c r="H3821" t="inlineStr">
        <is>
          <t>UPI</t>
        </is>
      </c>
      <c r="I3821" t="inlineStr">
        <is>
          <t>Delivered</t>
        </is>
      </c>
      <c r="J3821" t="n">
        <v>124</v>
      </c>
      <c r="K3821" t="n">
        <v>1</v>
      </c>
      <c r="L3821" t="n">
        <v>1154</v>
      </c>
      <c r="M3821" t="n">
        <v>173.1</v>
      </c>
      <c r="N3821">
        <f>VLOOKUP(J3821,Products!$A$2:$C$49,3,FALSE)</f>
        <v/>
      </c>
      <c r="O3821">
        <f>K3821*L3821-M3821</f>
        <v/>
      </c>
      <c r="P3821">
        <f>TEXT(B3821,"yyyy-mm")</f>
        <v/>
      </c>
      <c r="Q3821">
        <f>IF(O3821&gt;=3000,"Large","Small")</f>
        <v/>
      </c>
      <c r="R3821">
        <f>INDEX(Products!$F$2:$F$49,MATCH(J3821,Products!$A$2:$A$49,0))</f>
        <v/>
      </c>
      <c r="S3821">
        <f>WEEKDAY(B3821,2)</f>
        <v/>
      </c>
    </row>
    <row r="3822">
      <c r="A3822" t="n">
        <v>511453</v>
      </c>
      <c r="B3822" s="6" t="n">
        <v>46004</v>
      </c>
      <c r="C3822" t="n">
        <v>16968</v>
      </c>
      <c r="D3822" t="inlineStr">
        <is>
          <t>Pune</t>
        </is>
      </c>
      <c r="E3822" t="inlineStr">
        <is>
          <t>West</t>
        </is>
      </c>
      <c r="F3822" t="inlineStr">
        <is>
          <t>Email</t>
        </is>
      </c>
      <c r="G3822" t="inlineStr">
        <is>
          <t>Mobile Web</t>
        </is>
      </c>
      <c r="H3822" t="inlineStr">
        <is>
          <t>Cash on Delivery</t>
        </is>
      </c>
      <c r="I3822" t="inlineStr">
        <is>
          <t>Delivered</t>
        </is>
      </c>
      <c r="J3822" t="n">
        <v>148</v>
      </c>
      <c r="K3822" t="n">
        <v>1</v>
      </c>
      <c r="L3822" t="n">
        <v>734</v>
      </c>
      <c r="M3822" t="n">
        <v>0</v>
      </c>
      <c r="N3822">
        <f>VLOOKUP(J3822,Products!$A$2:$C$49,3,FALSE)</f>
        <v/>
      </c>
      <c r="O3822">
        <f>K3822*L3822-M3822</f>
        <v/>
      </c>
      <c r="P3822">
        <f>TEXT(B3822,"yyyy-mm")</f>
        <v/>
      </c>
      <c r="Q3822">
        <f>IF(O3822&gt;=3000,"Large","Small")</f>
        <v/>
      </c>
      <c r="R3822">
        <f>INDEX(Products!$F$2:$F$49,MATCH(J3822,Products!$A$2:$A$49,0))</f>
        <v/>
      </c>
      <c r="S3822">
        <f>WEEKDAY(B3822,2)</f>
        <v/>
      </c>
    </row>
    <row r="3823">
      <c r="A3823" t="n">
        <v>511453</v>
      </c>
      <c r="B3823" s="6" t="n">
        <v>46004</v>
      </c>
      <c r="C3823" t="n">
        <v>16968</v>
      </c>
      <c r="D3823" t="inlineStr">
        <is>
          <t>Pune</t>
        </is>
      </c>
      <c r="E3823" t="inlineStr">
        <is>
          <t>West</t>
        </is>
      </c>
      <c r="F3823" t="inlineStr">
        <is>
          <t>Email</t>
        </is>
      </c>
      <c r="G3823" t="inlineStr">
        <is>
          <t>Mobile Web</t>
        </is>
      </c>
      <c r="H3823" t="inlineStr">
        <is>
          <t>Cash on Delivery</t>
        </is>
      </c>
      <c r="I3823" t="inlineStr">
        <is>
          <t>Delivered</t>
        </is>
      </c>
      <c r="J3823" t="n">
        <v>144</v>
      </c>
      <c r="K3823" t="n">
        <v>1</v>
      </c>
      <c r="L3823" t="n">
        <v>3149</v>
      </c>
      <c r="M3823" t="n">
        <v>0</v>
      </c>
      <c r="N3823">
        <f>VLOOKUP(J3823,Products!$A$2:$C$49,3,FALSE)</f>
        <v/>
      </c>
      <c r="O3823">
        <f>K3823*L3823-M3823</f>
        <v/>
      </c>
      <c r="P3823">
        <f>TEXT(B3823,"yyyy-mm")</f>
        <v/>
      </c>
      <c r="Q3823">
        <f>IF(O3823&gt;=3000,"Large","Small")</f>
        <v/>
      </c>
      <c r="R3823">
        <f>INDEX(Products!$F$2:$F$49,MATCH(J3823,Products!$A$2:$A$49,0))</f>
        <v/>
      </c>
      <c r="S3823">
        <f>WEEKDAY(B3823,2)</f>
        <v/>
      </c>
    </row>
    <row r="3824">
      <c r="A3824" t="n">
        <v>511453</v>
      </c>
      <c r="B3824" s="6" t="n">
        <v>46004</v>
      </c>
      <c r="C3824" t="n">
        <v>16968</v>
      </c>
      <c r="D3824" t="inlineStr">
        <is>
          <t>Pune</t>
        </is>
      </c>
      <c r="E3824" t="inlineStr">
        <is>
          <t>West</t>
        </is>
      </c>
      <c r="F3824" t="inlineStr">
        <is>
          <t>Email</t>
        </is>
      </c>
      <c r="G3824" t="inlineStr">
        <is>
          <t>Mobile Web</t>
        </is>
      </c>
      <c r="H3824" t="inlineStr">
        <is>
          <t>Cash on Delivery</t>
        </is>
      </c>
      <c r="I3824" t="inlineStr">
        <is>
          <t>Delivered</t>
        </is>
      </c>
      <c r="J3824" t="n">
        <v>118</v>
      </c>
      <c r="K3824" t="n">
        <v>1</v>
      </c>
      <c r="L3824" t="n">
        <v>944</v>
      </c>
      <c r="M3824" t="n">
        <v>0</v>
      </c>
      <c r="N3824">
        <f>VLOOKUP(J3824,Products!$A$2:$C$49,3,FALSE)</f>
        <v/>
      </c>
      <c r="O3824">
        <f>K3824*L3824-M3824</f>
        <v/>
      </c>
      <c r="P3824">
        <f>TEXT(B3824,"yyyy-mm")</f>
        <v/>
      </c>
      <c r="Q3824">
        <f>IF(O3824&gt;=3000,"Large","Small")</f>
        <v/>
      </c>
      <c r="R3824">
        <f>INDEX(Products!$F$2:$F$49,MATCH(J3824,Products!$A$2:$A$49,0))</f>
        <v/>
      </c>
      <c r="S3824">
        <f>WEEKDAY(B3824,2)</f>
        <v/>
      </c>
    </row>
    <row r="3825">
      <c r="A3825" t="n">
        <v>511454</v>
      </c>
      <c r="B3825" s="6" t="n">
        <v>46004</v>
      </c>
      <c r="C3825" t="n">
        <v>13577</v>
      </c>
      <c r="D3825" t="inlineStr">
        <is>
          <t>Bengaluru</t>
        </is>
      </c>
      <c r="E3825" t="inlineStr">
        <is>
          <t>South</t>
        </is>
      </c>
      <c r="F3825" t="inlineStr">
        <is>
          <t>Referral</t>
        </is>
      </c>
      <c r="G3825" t="inlineStr">
        <is>
          <t>Mobile App</t>
        </is>
      </c>
      <c r="H3825" t="inlineStr">
        <is>
          <t>UPI</t>
        </is>
      </c>
      <c r="I3825" t="inlineStr">
        <is>
          <t>Delivered</t>
        </is>
      </c>
      <c r="J3825" t="n">
        <v>107</v>
      </c>
      <c r="K3825" t="n">
        <v>2</v>
      </c>
      <c r="L3825" t="n">
        <v>1259</v>
      </c>
      <c r="M3825" t="n">
        <v>0</v>
      </c>
      <c r="N3825">
        <f>VLOOKUP(J3825,Products!$A$2:$C$49,3,FALSE)</f>
        <v/>
      </c>
      <c r="O3825">
        <f>K3825*L3825-M3825</f>
        <v/>
      </c>
      <c r="P3825">
        <f>TEXT(B3825,"yyyy-mm")</f>
        <v/>
      </c>
      <c r="Q3825">
        <f>IF(O3825&gt;=3000,"Large","Small")</f>
        <v/>
      </c>
      <c r="R3825">
        <f>INDEX(Products!$F$2:$F$49,MATCH(J3825,Products!$A$2:$A$49,0))</f>
        <v/>
      </c>
      <c r="S3825">
        <f>WEEKDAY(B3825,2)</f>
        <v/>
      </c>
    </row>
    <row r="3826">
      <c r="A3826" t="n">
        <v>511454</v>
      </c>
      <c r="B3826" s="6" t="n">
        <v>46004</v>
      </c>
      <c r="C3826" t="n">
        <v>13577</v>
      </c>
      <c r="D3826" t="inlineStr">
        <is>
          <t>Bengaluru</t>
        </is>
      </c>
      <c r="E3826" t="inlineStr">
        <is>
          <t>South</t>
        </is>
      </c>
      <c r="F3826" t="inlineStr">
        <is>
          <t>Referral</t>
        </is>
      </c>
      <c r="G3826" t="inlineStr">
        <is>
          <t>Mobile App</t>
        </is>
      </c>
      <c r="H3826" t="inlineStr">
        <is>
          <t>UPI</t>
        </is>
      </c>
      <c r="I3826" t="inlineStr">
        <is>
          <t>Delivered</t>
        </is>
      </c>
      <c r="J3826" t="n">
        <v>134</v>
      </c>
      <c r="K3826" t="n">
        <v>1</v>
      </c>
      <c r="L3826" t="n">
        <v>209</v>
      </c>
      <c r="M3826" t="n">
        <v>0</v>
      </c>
      <c r="N3826">
        <f>VLOOKUP(J3826,Products!$A$2:$C$49,3,FALSE)</f>
        <v/>
      </c>
      <c r="O3826">
        <f>K3826*L3826-M3826</f>
        <v/>
      </c>
      <c r="P3826">
        <f>TEXT(B3826,"yyyy-mm")</f>
        <v/>
      </c>
      <c r="Q3826">
        <f>IF(O3826&gt;=3000,"Large","Small")</f>
        <v/>
      </c>
      <c r="R3826">
        <f>INDEX(Products!$F$2:$F$49,MATCH(J3826,Products!$A$2:$A$49,0))</f>
        <v/>
      </c>
      <c r="S3826">
        <f>WEEKDAY(B3826,2)</f>
        <v/>
      </c>
    </row>
    <row r="3827">
      <c r="A3827" t="n">
        <v>511454</v>
      </c>
      <c r="B3827" s="6" t="n">
        <v>46004</v>
      </c>
      <c r="C3827" t="n">
        <v>13577</v>
      </c>
      <c r="D3827" t="inlineStr">
        <is>
          <t>Bengaluru</t>
        </is>
      </c>
      <c r="E3827" t="inlineStr">
        <is>
          <t>South</t>
        </is>
      </c>
      <c r="F3827" t="inlineStr">
        <is>
          <t>Referral</t>
        </is>
      </c>
      <c r="G3827" t="inlineStr">
        <is>
          <t>Mobile App</t>
        </is>
      </c>
      <c r="H3827" t="inlineStr">
        <is>
          <t>UPI</t>
        </is>
      </c>
      <c r="I3827" t="inlineStr">
        <is>
          <t>Delivered</t>
        </is>
      </c>
      <c r="J3827" t="n">
        <v>109</v>
      </c>
      <c r="K3827" t="n">
        <v>1</v>
      </c>
      <c r="L3827" t="n">
        <v>4199</v>
      </c>
      <c r="M3827" t="n">
        <v>0</v>
      </c>
      <c r="N3827">
        <f>VLOOKUP(J3827,Products!$A$2:$C$49,3,FALSE)</f>
        <v/>
      </c>
      <c r="O3827">
        <f>K3827*L3827-M3827</f>
        <v/>
      </c>
      <c r="P3827">
        <f>TEXT(B3827,"yyyy-mm")</f>
        <v/>
      </c>
      <c r="Q3827">
        <f>IF(O3827&gt;=3000,"Large","Small")</f>
        <v/>
      </c>
      <c r="R3827">
        <f>INDEX(Products!$F$2:$F$49,MATCH(J3827,Products!$A$2:$A$49,0))</f>
        <v/>
      </c>
      <c r="S3827">
        <f>WEEKDAY(B3827,2)</f>
        <v/>
      </c>
    </row>
    <row r="3828">
      <c r="A3828" t="n">
        <v>511455</v>
      </c>
      <c r="B3828" s="6" t="n">
        <v>46004</v>
      </c>
      <c r="C3828" t="n">
        <v>16215</v>
      </c>
      <c r="D3828" t="inlineStr">
        <is>
          <t>Bengaluru</t>
        </is>
      </c>
      <c r="E3828" t="inlineStr">
        <is>
          <t>South</t>
        </is>
      </c>
      <c r="F3828" t="inlineStr">
        <is>
          <t>Paid Search</t>
        </is>
      </c>
      <c r="G3828" t="inlineStr">
        <is>
          <t>Mobile App</t>
        </is>
      </c>
      <c r="H3828" t="inlineStr">
        <is>
          <t>Debit Card</t>
        </is>
      </c>
      <c r="I3828" t="inlineStr">
        <is>
          <t>Delivered</t>
        </is>
      </c>
      <c r="J3828" t="n">
        <v>108</v>
      </c>
      <c r="K3828" t="n">
        <v>1</v>
      </c>
      <c r="L3828" t="n">
        <v>419</v>
      </c>
      <c r="M3828" t="n">
        <v>0</v>
      </c>
      <c r="N3828">
        <f>VLOOKUP(J3828,Products!$A$2:$C$49,3,FALSE)</f>
        <v/>
      </c>
      <c r="O3828">
        <f>K3828*L3828-M3828</f>
        <v/>
      </c>
      <c r="P3828">
        <f>TEXT(B3828,"yyyy-mm")</f>
        <v/>
      </c>
      <c r="Q3828">
        <f>IF(O3828&gt;=3000,"Large","Small")</f>
        <v/>
      </c>
      <c r="R3828">
        <f>INDEX(Products!$F$2:$F$49,MATCH(J3828,Products!$A$2:$A$49,0))</f>
        <v/>
      </c>
      <c r="S3828">
        <f>WEEKDAY(B3828,2)</f>
        <v/>
      </c>
    </row>
    <row r="3829">
      <c r="A3829" t="n">
        <v>511455</v>
      </c>
      <c r="B3829" s="6" t="n">
        <v>46004</v>
      </c>
      <c r="C3829" t="n">
        <v>16215</v>
      </c>
      <c r="D3829" t="inlineStr">
        <is>
          <t>Bengaluru</t>
        </is>
      </c>
      <c r="E3829" t="inlineStr">
        <is>
          <t>South</t>
        </is>
      </c>
      <c r="F3829" t="inlineStr">
        <is>
          <t>Paid Search</t>
        </is>
      </c>
      <c r="G3829" t="inlineStr">
        <is>
          <t>Mobile App</t>
        </is>
      </c>
      <c r="H3829" t="inlineStr">
        <is>
          <t>Debit Card</t>
        </is>
      </c>
      <c r="I3829" t="inlineStr">
        <is>
          <t>Delivered</t>
        </is>
      </c>
      <c r="J3829" t="n">
        <v>132</v>
      </c>
      <c r="K3829" t="n">
        <v>1</v>
      </c>
      <c r="L3829" t="n">
        <v>471</v>
      </c>
      <c r="M3829" t="n">
        <v>0</v>
      </c>
      <c r="N3829">
        <f>VLOOKUP(J3829,Products!$A$2:$C$49,3,FALSE)</f>
        <v/>
      </c>
      <c r="O3829">
        <f>K3829*L3829-M3829</f>
        <v/>
      </c>
      <c r="P3829">
        <f>TEXT(B3829,"yyyy-mm")</f>
        <v/>
      </c>
      <c r="Q3829">
        <f>IF(O3829&gt;=3000,"Large","Small")</f>
        <v/>
      </c>
      <c r="R3829">
        <f>INDEX(Products!$F$2:$F$49,MATCH(J3829,Products!$A$2:$A$49,0))</f>
        <v/>
      </c>
      <c r="S3829">
        <f>WEEKDAY(B3829,2)</f>
        <v/>
      </c>
    </row>
    <row r="3830">
      <c r="A3830" t="n">
        <v>511456</v>
      </c>
      <c r="B3830" s="6" t="n">
        <v>46004</v>
      </c>
      <c r="C3830" t="n">
        <v>17654</v>
      </c>
      <c r="D3830" t="inlineStr">
        <is>
          <t>Mumbai</t>
        </is>
      </c>
      <c r="E3830" t="inlineStr">
        <is>
          <t>West</t>
        </is>
      </c>
      <c r="F3830" t="inlineStr">
        <is>
          <t>Paid Search</t>
        </is>
      </c>
      <c r="G3830" t="inlineStr">
        <is>
          <t>Desktop</t>
        </is>
      </c>
      <c r="H3830" t="inlineStr">
        <is>
          <t>UPI</t>
        </is>
      </c>
      <c r="I3830" t="inlineStr">
        <is>
          <t>Delivered</t>
        </is>
      </c>
      <c r="J3830" t="n">
        <v>130</v>
      </c>
      <c r="K3830" t="n">
        <v>1</v>
      </c>
      <c r="L3830" t="n">
        <v>734</v>
      </c>
      <c r="M3830" t="n">
        <v>0</v>
      </c>
      <c r="N3830">
        <f>VLOOKUP(J3830,Products!$A$2:$C$49,3,FALSE)</f>
        <v/>
      </c>
      <c r="O3830">
        <f>K3830*L3830-M3830</f>
        <v/>
      </c>
      <c r="P3830">
        <f>TEXT(B3830,"yyyy-mm")</f>
        <v/>
      </c>
      <c r="Q3830">
        <f>IF(O3830&gt;=3000,"Large","Small")</f>
        <v/>
      </c>
      <c r="R3830">
        <f>INDEX(Products!$F$2:$F$49,MATCH(J3830,Products!$A$2:$A$49,0))</f>
        <v/>
      </c>
      <c r="S3830">
        <f>WEEKDAY(B3830,2)</f>
        <v/>
      </c>
    </row>
    <row r="3831">
      <c r="A3831" t="n">
        <v>511456</v>
      </c>
      <c r="B3831" s="6" t="n">
        <v>46004</v>
      </c>
      <c r="C3831" t="n">
        <v>17654</v>
      </c>
      <c r="D3831" t="inlineStr">
        <is>
          <t>Mumbai</t>
        </is>
      </c>
      <c r="E3831" t="inlineStr">
        <is>
          <t>West</t>
        </is>
      </c>
      <c r="F3831" t="inlineStr">
        <is>
          <t>Paid Search</t>
        </is>
      </c>
      <c r="G3831" t="inlineStr">
        <is>
          <t>Desktop</t>
        </is>
      </c>
      <c r="H3831" t="inlineStr">
        <is>
          <t>UPI</t>
        </is>
      </c>
      <c r="I3831" t="inlineStr">
        <is>
          <t>Delivered</t>
        </is>
      </c>
      <c r="J3831" t="n">
        <v>116</v>
      </c>
      <c r="K3831" t="n">
        <v>3</v>
      </c>
      <c r="L3831" t="n">
        <v>2624</v>
      </c>
      <c r="M3831" t="n">
        <v>0</v>
      </c>
      <c r="N3831">
        <f>VLOOKUP(J3831,Products!$A$2:$C$49,3,FALSE)</f>
        <v/>
      </c>
      <c r="O3831">
        <f>K3831*L3831-M3831</f>
        <v/>
      </c>
      <c r="P3831">
        <f>TEXT(B3831,"yyyy-mm")</f>
        <v/>
      </c>
      <c r="Q3831">
        <f>IF(O3831&gt;=3000,"Large","Small")</f>
        <v/>
      </c>
      <c r="R3831">
        <f>INDEX(Products!$F$2:$F$49,MATCH(J3831,Products!$A$2:$A$49,0))</f>
        <v/>
      </c>
      <c r="S3831">
        <f>WEEKDAY(B3831,2)</f>
        <v/>
      </c>
    </row>
    <row r="3832">
      <c r="A3832" t="n">
        <v>511457</v>
      </c>
      <c r="B3832" s="6" t="n">
        <v>46004</v>
      </c>
      <c r="C3832" t="n">
        <v>17704</v>
      </c>
      <c r="D3832" t="inlineStr">
        <is>
          <t>Bengaluru</t>
        </is>
      </c>
      <c r="E3832" t="inlineStr">
        <is>
          <t>South</t>
        </is>
      </c>
      <c r="F3832" t="inlineStr">
        <is>
          <t>Organic Search</t>
        </is>
      </c>
      <c r="G3832" t="inlineStr">
        <is>
          <t>Mobile Web</t>
        </is>
      </c>
      <c r="H3832" t="inlineStr">
        <is>
          <t>UPI</t>
        </is>
      </c>
      <c r="I3832" t="inlineStr">
        <is>
          <t>Delivered</t>
        </is>
      </c>
      <c r="J3832" t="n">
        <v>125</v>
      </c>
      <c r="K3832" t="n">
        <v>1</v>
      </c>
      <c r="L3832" t="n">
        <v>1364</v>
      </c>
      <c r="M3832" t="n">
        <v>204.6</v>
      </c>
      <c r="N3832">
        <f>VLOOKUP(J3832,Products!$A$2:$C$49,3,FALSE)</f>
        <v/>
      </c>
      <c r="O3832">
        <f>K3832*L3832-M3832</f>
        <v/>
      </c>
      <c r="P3832">
        <f>TEXT(B3832,"yyyy-mm")</f>
        <v/>
      </c>
      <c r="Q3832">
        <f>IF(O3832&gt;=3000,"Large","Small")</f>
        <v/>
      </c>
      <c r="R3832">
        <f>INDEX(Products!$F$2:$F$49,MATCH(J3832,Products!$A$2:$A$49,0))</f>
        <v/>
      </c>
      <c r="S3832">
        <f>WEEKDAY(B3832,2)</f>
        <v/>
      </c>
    </row>
    <row r="3833">
      <c r="A3833" t="n">
        <v>511457</v>
      </c>
      <c r="B3833" s="6" t="n">
        <v>46004</v>
      </c>
      <c r="C3833" t="n">
        <v>17704</v>
      </c>
      <c r="D3833" t="inlineStr">
        <is>
          <t>Bengaluru</t>
        </is>
      </c>
      <c r="E3833" t="inlineStr">
        <is>
          <t>South</t>
        </is>
      </c>
      <c r="F3833" t="inlineStr">
        <is>
          <t>Organic Search</t>
        </is>
      </c>
      <c r="G3833" t="inlineStr">
        <is>
          <t>Mobile Web</t>
        </is>
      </c>
      <c r="H3833" t="inlineStr">
        <is>
          <t>UPI</t>
        </is>
      </c>
      <c r="I3833" t="inlineStr">
        <is>
          <t>Delivered</t>
        </is>
      </c>
      <c r="J3833" t="n">
        <v>123</v>
      </c>
      <c r="K3833" t="n">
        <v>1</v>
      </c>
      <c r="L3833" t="n">
        <v>3464</v>
      </c>
      <c r="M3833" t="n">
        <v>519.6</v>
      </c>
      <c r="N3833">
        <f>VLOOKUP(J3833,Products!$A$2:$C$49,3,FALSE)</f>
        <v/>
      </c>
      <c r="O3833">
        <f>K3833*L3833-M3833</f>
        <v/>
      </c>
      <c r="P3833">
        <f>TEXT(B3833,"yyyy-mm")</f>
        <v/>
      </c>
      <c r="Q3833">
        <f>IF(O3833&gt;=3000,"Large","Small")</f>
        <v/>
      </c>
      <c r="R3833">
        <f>INDEX(Products!$F$2:$F$49,MATCH(J3833,Products!$A$2:$A$49,0))</f>
        <v/>
      </c>
      <c r="S3833">
        <f>WEEKDAY(B3833,2)</f>
        <v/>
      </c>
    </row>
    <row r="3834">
      <c r="A3834" t="n">
        <v>511458</v>
      </c>
      <c r="B3834" s="6" t="n">
        <v>46005</v>
      </c>
      <c r="C3834" t="n">
        <v>17760</v>
      </c>
      <c r="D3834" t="inlineStr">
        <is>
          <t>Mumbai</t>
        </is>
      </c>
      <c r="E3834" t="inlineStr">
        <is>
          <t>West</t>
        </is>
      </c>
      <c r="F3834" t="inlineStr">
        <is>
          <t>Paid Search</t>
        </is>
      </c>
      <c r="G3834" t="inlineStr">
        <is>
          <t>Mobile App</t>
        </is>
      </c>
      <c r="H3834" t="inlineStr">
        <is>
          <t>Debit Card</t>
        </is>
      </c>
      <c r="I3834" t="inlineStr">
        <is>
          <t>Delivered</t>
        </is>
      </c>
      <c r="J3834" t="n">
        <v>118</v>
      </c>
      <c r="K3834" t="n">
        <v>1</v>
      </c>
      <c r="L3834" t="n">
        <v>944</v>
      </c>
      <c r="M3834" t="n">
        <v>0</v>
      </c>
      <c r="N3834">
        <f>VLOOKUP(J3834,Products!$A$2:$C$49,3,FALSE)</f>
        <v/>
      </c>
      <c r="O3834">
        <f>K3834*L3834-M3834</f>
        <v/>
      </c>
      <c r="P3834">
        <f>TEXT(B3834,"yyyy-mm")</f>
        <v/>
      </c>
      <c r="Q3834">
        <f>IF(O3834&gt;=3000,"Large","Small")</f>
        <v/>
      </c>
      <c r="R3834">
        <f>INDEX(Products!$F$2:$F$49,MATCH(J3834,Products!$A$2:$A$49,0))</f>
        <v/>
      </c>
      <c r="S3834">
        <f>WEEKDAY(B3834,2)</f>
        <v/>
      </c>
    </row>
    <row r="3835">
      <c r="A3835" t="n">
        <v>511459</v>
      </c>
      <c r="B3835" s="6" t="n">
        <v>46005</v>
      </c>
      <c r="C3835" t="n">
        <v>17761</v>
      </c>
      <c r="D3835" t="inlineStr">
        <is>
          <t>Hyderabad</t>
        </is>
      </c>
      <c r="E3835" t="inlineStr">
        <is>
          <t>South</t>
        </is>
      </c>
      <c r="F3835" t="inlineStr">
        <is>
          <t>Organic Search</t>
        </is>
      </c>
      <c r="G3835" t="inlineStr">
        <is>
          <t>Mobile App</t>
        </is>
      </c>
      <c r="H3835" t="inlineStr">
        <is>
          <t>Cash on Delivery</t>
        </is>
      </c>
      <c r="I3835" t="inlineStr">
        <is>
          <t>Delivered</t>
        </is>
      </c>
      <c r="J3835" t="n">
        <v>111</v>
      </c>
      <c r="K3835" t="n">
        <v>1</v>
      </c>
      <c r="L3835" t="n">
        <v>524</v>
      </c>
      <c r="M3835" t="n">
        <v>0</v>
      </c>
      <c r="N3835">
        <f>VLOOKUP(J3835,Products!$A$2:$C$49,3,FALSE)</f>
        <v/>
      </c>
      <c r="O3835">
        <f>K3835*L3835-M3835</f>
        <v/>
      </c>
      <c r="P3835">
        <f>TEXT(B3835,"yyyy-mm")</f>
        <v/>
      </c>
      <c r="Q3835">
        <f>IF(O3835&gt;=3000,"Large","Small")</f>
        <v/>
      </c>
      <c r="R3835">
        <f>INDEX(Products!$F$2:$F$49,MATCH(J3835,Products!$A$2:$A$49,0))</f>
        <v/>
      </c>
      <c r="S3835">
        <f>WEEKDAY(B3835,2)</f>
        <v/>
      </c>
    </row>
    <row r="3836">
      <c r="A3836" t="n">
        <v>511459</v>
      </c>
      <c r="B3836" s="6" t="n">
        <v>46005</v>
      </c>
      <c r="C3836" t="n">
        <v>17761</v>
      </c>
      <c r="D3836" t="inlineStr">
        <is>
          <t>Hyderabad</t>
        </is>
      </c>
      <c r="E3836" t="inlineStr">
        <is>
          <t>South</t>
        </is>
      </c>
      <c r="F3836" t="inlineStr">
        <is>
          <t>Organic Search</t>
        </is>
      </c>
      <c r="G3836" t="inlineStr">
        <is>
          <t>Mobile App</t>
        </is>
      </c>
      <c r="H3836" t="inlineStr">
        <is>
          <t>Cash on Delivery</t>
        </is>
      </c>
      <c r="I3836" t="inlineStr">
        <is>
          <t>Delivered</t>
        </is>
      </c>
      <c r="J3836" t="n">
        <v>122</v>
      </c>
      <c r="K3836" t="n">
        <v>1</v>
      </c>
      <c r="L3836" t="n">
        <v>1994</v>
      </c>
      <c r="M3836" t="n">
        <v>0</v>
      </c>
      <c r="N3836">
        <f>VLOOKUP(J3836,Products!$A$2:$C$49,3,FALSE)</f>
        <v/>
      </c>
      <c r="O3836">
        <f>K3836*L3836-M3836</f>
        <v/>
      </c>
      <c r="P3836">
        <f>TEXT(B3836,"yyyy-mm")</f>
        <v/>
      </c>
      <c r="Q3836">
        <f>IF(O3836&gt;=3000,"Large","Small")</f>
        <v/>
      </c>
      <c r="R3836">
        <f>INDEX(Products!$F$2:$F$49,MATCH(J3836,Products!$A$2:$A$49,0))</f>
        <v/>
      </c>
      <c r="S3836">
        <f>WEEKDAY(B3836,2)</f>
        <v/>
      </c>
    </row>
    <row r="3837">
      <c r="A3837" t="n">
        <v>511459</v>
      </c>
      <c r="B3837" s="6" t="n">
        <v>46005</v>
      </c>
      <c r="C3837" t="n">
        <v>17761</v>
      </c>
      <c r="D3837" t="inlineStr">
        <is>
          <t>Hyderabad</t>
        </is>
      </c>
      <c r="E3837" t="inlineStr">
        <is>
          <t>South</t>
        </is>
      </c>
      <c r="F3837" t="inlineStr">
        <is>
          <t>Organic Search</t>
        </is>
      </c>
      <c r="G3837" t="inlineStr">
        <is>
          <t>Mobile App</t>
        </is>
      </c>
      <c r="H3837" t="inlineStr">
        <is>
          <t>Cash on Delivery</t>
        </is>
      </c>
      <c r="I3837" t="inlineStr">
        <is>
          <t>Delivered</t>
        </is>
      </c>
      <c r="J3837" t="n">
        <v>128</v>
      </c>
      <c r="K3837" t="n">
        <v>1</v>
      </c>
      <c r="L3837" t="n">
        <v>1049</v>
      </c>
      <c r="M3837" t="n">
        <v>0</v>
      </c>
      <c r="N3837">
        <f>VLOOKUP(J3837,Products!$A$2:$C$49,3,FALSE)</f>
        <v/>
      </c>
      <c r="O3837">
        <f>K3837*L3837-M3837</f>
        <v/>
      </c>
      <c r="P3837">
        <f>TEXT(B3837,"yyyy-mm")</f>
        <v/>
      </c>
      <c r="Q3837">
        <f>IF(O3837&gt;=3000,"Large","Small")</f>
        <v/>
      </c>
      <c r="R3837">
        <f>INDEX(Products!$F$2:$F$49,MATCH(J3837,Products!$A$2:$A$49,0))</f>
        <v/>
      </c>
      <c r="S3837">
        <f>WEEKDAY(B3837,2)</f>
        <v/>
      </c>
    </row>
    <row r="3838">
      <c r="A3838" t="n">
        <v>511460</v>
      </c>
      <c r="B3838" s="6" t="n">
        <v>46005</v>
      </c>
      <c r="C3838" t="n">
        <v>17674</v>
      </c>
      <c r="D3838" t="inlineStr">
        <is>
          <t>Chandigarh</t>
        </is>
      </c>
      <c r="E3838" t="inlineStr">
        <is>
          <t>North</t>
        </is>
      </c>
      <c r="F3838" t="inlineStr">
        <is>
          <t>Organic Search</t>
        </is>
      </c>
      <c r="G3838" t="inlineStr">
        <is>
          <t>Mobile Web</t>
        </is>
      </c>
      <c r="H3838" t="inlineStr">
        <is>
          <t>UPI</t>
        </is>
      </c>
      <c r="I3838" t="inlineStr">
        <is>
          <t>Delivered</t>
        </is>
      </c>
      <c r="J3838" t="n">
        <v>109</v>
      </c>
      <c r="K3838" t="n">
        <v>1</v>
      </c>
      <c r="L3838" t="n">
        <v>4199</v>
      </c>
      <c r="M3838" t="n">
        <v>629.85</v>
      </c>
      <c r="N3838">
        <f>VLOOKUP(J3838,Products!$A$2:$C$49,3,FALSE)</f>
        <v/>
      </c>
      <c r="O3838">
        <f>K3838*L3838-M3838</f>
        <v/>
      </c>
      <c r="P3838">
        <f>TEXT(B3838,"yyyy-mm")</f>
        <v/>
      </c>
      <c r="Q3838">
        <f>IF(O3838&gt;=3000,"Large","Small")</f>
        <v/>
      </c>
      <c r="R3838">
        <f>INDEX(Products!$F$2:$F$49,MATCH(J3838,Products!$A$2:$A$49,0))</f>
        <v/>
      </c>
      <c r="S3838">
        <f>WEEKDAY(B3838,2)</f>
        <v/>
      </c>
    </row>
    <row r="3839">
      <c r="A3839" t="n">
        <v>511461</v>
      </c>
      <c r="B3839" s="6" t="n">
        <v>46005</v>
      </c>
      <c r="C3839" t="n">
        <v>17637</v>
      </c>
      <c r="D3839" t="inlineStr">
        <is>
          <t>Delhi</t>
        </is>
      </c>
      <c r="E3839" t="inlineStr">
        <is>
          <t>North</t>
        </is>
      </c>
      <c r="F3839" t="inlineStr">
        <is>
          <t>Paid Search</t>
        </is>
      </c>
      <c r="G3839" t="inlineStr">
        <is>
          <t>Mobile App</t>
        </is>
      </c>
      <c r="H3839" t="inlineStr">
        <is>
          <t>Cash on Delivery</t>
        </is>
      </c>
      <c r="I3839" t="inlineStr">
        <is>
          <t>Returned</t>
        </is>
      </c>
      <c r="J3839" t="n">
        <v>108</v>
      </c>
      <c r="K3839" t="n">
        <v>1</v>
      </c>
      <c r="L3839" t="n">
        <v>419</v>
      </c>
      <c r="M3839" t="n">
        <v>62.85</v>
      </c>
      <c r="N3839">
        <f>VLOOKUP(J3839,Products!$A$2:$C$49,3,FALSE)</f>
        <v/>
      </c>
      <c r="O3839">
        <f>K3839*L3839-M3839</f>
        <v/>
      </c>
      <c r="P3839">
        <f>TEXT(B3839,"yyyy-mm")</f>
        <v/>
      </c>
      <c r="Q3839">
        <f>IF(O3839&gt;=3000,"Large","Small")</f>
        <v/>
      </c>
      <c r="R3839">
        <f>INDEX(Products!$F$2:$F$49,MATCH(J3839,Products!$A$2:$A$49,0))</f>
        <v/>
      </c>
      <c r="S3839">
        <f>WEEKDAY(B3839,2)</f>
        <v/>
      </c>
    </row>
    <row r="3840">
      <c r="A3840" t="n">
        <v>511461</v>
      </c>
      <c r="B3840" s="6" t="n">
        <v>46005</v>
      </c>
      <c r="C3840" t="n">
        <v>17637</v>
      </c>
      <c r="D3840" t="inlineStr">
        <is>
          <t>Delhi</t>
        </is>
      </c>
      <c r="E3840" t="inlineStr">
        <is>
          <t>North</t>
        </is>
      </c>
      <c r="F3840" t="inlineStr">
        <is>
          <t>Paid Search</t>
        </is>
      </c>
      <c r="G3840" t="inlineStr">
        <is>
          <t>Mobile App</t>
        </is>
      </c>
      <c r="H3840" t="inlineStr">
        <is>
          <t>Cash on Delivery</t>
        </is>
      </c>
      <c r="I3840" t="inlineStr">
        <is>
          <t>Returned</t>
        </is>
      </c>
      <c r="J3840" t="n">
        <v>117</v>
      </c>
      <c r="K3840" t="n">
        <v>1</v>
      </c>
      <c r="L3840" t="n">
        <v>3149</v>
      </c>
      <c r="M3840" t="n">
        <v>472.35</v>
      </c>
      <c r="N3840">
        <f>VLOOKUP(J3840,Products!$A$2:$C$49,3,FALSE)</f>
        <v/>
      </c>
      <c r="O3840">
        <f>K3840*L3840-M3840</f>
        <v/>
      </c>
      <c r="P3840">
        <f>TEXT(B3840,"yyyy-mm")</f>
        <v/>
      </c>
      <c r="Q3840">
        <f>IF(O3840&gt;=3000,"Large","Small")</f>
        <v/>
      </c>
      <c r="R3840">
        <f>INDEX(Products!$F$2:$F$49,MATCH(J3840,Products!$A$2:$A$49,0))</f>
        <v/>
      </c>
      <c r="S3840">
        <f>WEEKDAY(B3840,2)</f>
        <v/>
      </c>
    </row>
    <row r="3841">
      <c r="A3841" t="n">
        <v>511462</v>
      </c>
      <c r="B3841" s="6" t="n">
        <v>46005</v>
      </c>
      <c r="C3841" t="n">
        <v>17673</v>
      </c>
      <c r="D3841" t="inlineStr">
        <is>
          <t>Delhi</t>
        </is>
      </c>
      <c r="E3841" t="inlineStr">
        <is>
          <t>North</t>
        </is>
      </c>
      <c r="F3841" t="inlineStr">
        <is>
          <t>Organic Search</t>
        </is>
      </c>
      <c r="G3841" t="inlineStr">
        <is>
          <t>Mobile App</t>
        </is>
      </c>
      <c r="H3841" t="inlineStr">
        <is>
          <t>UPI</t>
        </is>
      </c>
      <c r="I3841" t="inlineStr">
        <is>
          <t>Delivered</t>
        </is>
      </c>
      <c r="J3841" t="n">
        <v>134</v>
      </c>
      <c r="K3841" t="n">
        <v>1</v>
      </c>
      <c r="L3841" t="n">
        <v>209</v>
      </c>
      <c r="M3841" t="n">
        <v>0</v>
      </c>
      <c r="N3841">
        <f>VLOOKUP(J3841,Products!$A$2:$C$49,3,FALSE)</f>
        <v/>
      </c>
      <c r="O3841">
        <f>K3841*L3841-M3841</f>
        <v/>
      </c>
      <c r="P3841">
        <f>TEXT(B3841,"yyyy-mm")</f>
        <v/>
      </c>
      <c r="Q3841">
        <f>IF(O3841&gt;=3000,"Large","Small")</f>
        <v/>
      </c>
      <c r="R3841">
        <f>INDEX(Products!$F$2:$F$49,MATCH(J3841,Products!$A$2:$A$49,0))</f>
        <v/>
      </c>
      <c r="S3841">
        <f>WEEKDAY(B3841,2)</f>
        <v/>
      </c>
    </row>
    <row r="3842">
      <c r="A3842" t="n">
        <v>511463</v>
      </c>
      <c r="B3842" s="6" t="n">
        <v>46005</v>
      </c>
      <c r="C3842" t="n">
        <v>17718</v>
      </c>
      <c r="D3842" t="inlineStr">
        <is>
          <t>Noida</t>
        </is>
      </c>
      <c r="E3842" t="inlineStr">
        <is>
          <t>North</t>
        </is>
      </c>
      <c r="F3842" t="inlineStr">
        <is>
          <t>Organic Search</t>
        </is>
      </c>
      <c r="G3842" t="inlineStr">
        <is>
          <t>Mobile App</t>
        </is>
      </c>
      <c r="H3842" t="inlineStr">
        <is>
          <t>UPI</t>
        </is>
      </c>
      <c r="I3842" t="inlineStr">
        <is>
          <t>Delivered</t>
        </is>
      </c>
      <c r="J3842" t="n">
        <v>119</v>
      </c>
      <c r="K3842" t="n">
        <v>1</v>
      </c>
      <c r="L3842" t="n">
        <v>2309</v>
      </c>
      <c r="M3842" t="n">
        <v>0</v>
      </c>
      <c r="N3842">
        <f>VLOOKUP(J3842,Products!$A$2:$C$49,3,FALSE)</f>
        <v/>
      </c>
      <c r="O3842">
        <f>K3842*L3842-M3842</f>
        <v/>
      </c>
      <c r="P3842">
        <f>TEXT(B3842,"yyyy-mm")</f>
        <v/>
      </c>
      <c r="Q3842">
        <f>IF(O3842&gt;=3000,"Large","Small")</f>
        <v/>
      </c>
      <c r="R3842">
        <f>INDEX(Products!$F$2:$F$49,MATCH(J3842,Products!$A$2:$A$49,0))</f>
        <v/>
      </c>
      <c r="S3842">
        <f>WEEKDAY(B3842,2)</f>
        <v/>
      </c>
    </row>
    <row r="3843">
      <c r="A3843" t="n">
        <v>511464</v>
      </c>
      <c r="B3843" s="6" t="n">
        <v>46005</v>
      </c>
      <c r="C3843" t="n">
        <v>17498</v>
      </c>
      <c r="D3843" t="inlineStr">
        <is>
          <t>Chennai</t>
        </is>
      </c>
      <c r="E3843" t="inlineStr">
        <is>
          <t>South</t>
        </is>
      </c>
      <c r="F3843" t="inlineStr">
        <is>
          <t>Organic Search</t>
        </is>
      </c>
      <c r="G3843" t="inlineStr">
        <is>
          <t>Mobile App</t>
        </is>
      </c>
      <c r="H3843" t="inlineStr">
        <is>
          <t>UPI</t>
        </is>
      </c>
      <c r="I3843" t="inlineStr">
        <is>
          <t>Delivered</t>
        </is>
      </c>
      <c r="J3843" t="n">
        <v>110</v>
      </c>
      <c r="K3843" t="n">
        <v>2</v>
      </c>
      <c r="L3843" t="n">
        <v>839</v>
      </c>
      <c r="M3843" t="n">
        <v>0</v>
      </c>
      <c r="N3843">
        <f>VLOOKUP(J3843,Products!$A$2:$C$49,3,FALSE)</f>
        <v/>
      </c>
      <c r="O3843">
        <f>K3843*L3843-M3843</f>
        <v/>
      </c>
      <c r="P3843">
        <f>TEXT(B3843,"yyyy-mm")</f>
        <v/>
      </c>
      <c r="Q3843">
        <f>IF(O3843&gt;=3000,"Large","Small")</f>
        <v/>
      </c>
      <c r="R3843">
        <f>INDEX(Products!$F$2:$F$49,MATCH(J3843,Products!$A$2:$A$49,0))</f>
        <v/>
      </c>
      <c r="S3843">
        <f>WEEKDAY(B3843,2)</f>
        <v/>
      </c>
    </row>
    <row r="3844">
      <c r="A3844" t="n">
        <v>511465</v>
      </c>
      <c r="B3844" s="6" t="n">
        <v>46005</v>
      </c>
      <c r="C3844" t="n">
        <v>17767</v>
      </c>
      <c r="D3844" t="inlineStr">
        <is>
          <t>Kolkata</t>
        </is>
      </c>
      <c r="E3844" t="inlineStr">
        <is>
          <t>East</t>
        </is>
      </c>
      <c r="F3844" t="inlineStr">
        <is>
          <t>Organic Search</t>
        </is>
      </c>
      <c r="G3844" t="inlineStr">
        <is>
          <t>Desktop</t>
        </is>
      </c>
      <c r="H3844" t="inlineStr">
        <is>
          <t>UPI</t>
        </is>
      </c>
      <c r="I3844" t="inlineStr">
        <is>
          <t>Delivered</t>
        </is>
      </c>
      <c r="J3844" t="n">
        <v>134</v>
      </c>
      <c r="K3844" t="n">
        <v>1</v>
      </c>
      <c r="L3844" t="n">
        <v>209</v>
      </c>
      <c r="M3844" t="n">
        <v>31.35</v>
      </c>
      <c r="N3844">
        <f>VLOOKUP(J3844,Products!$A$2:$C$49,3,FALSE)</f>
        <v/>
      </c>
      <c r="O3844">
        <f>K3844*L3844-M3844</f>
        <v/>
      </c>
      <c r="P3844">
        <f>TEXT(B3844,"yyyy-mm")</f>
        <v/>
      </c>
      <c r="Q3844">
        <f>IF(O3844&gt;=3000,"Large","Small")</f>
        <v/>
      </c>
      <c r="R3844">
        <f>INDEX(Products!$F$2:$F$49,MATCH(J3844,Products!$A$2:$A$49,0))</f>
        <v/>
      </c>
      <c r="S3844">
        <f>WEEKDAY(B3844,2)</f>
        <v/>
      </c>
    </row>
    <row r="3845">
      <c r="A3845" t="n">
        <v>511466</v>
      </c>
      <c r="B3845" s="6" t="n">
        <v>46005</v>
      </c>
      <c r="C3845" t="n">
        <v>17773</v>
      </c>
      <c r="D3845" t="inlineStr">
        <is>
          <t>Delhi</t>
        </is>
      </c>
      <c r="E3845" t="inlineStr">
        <is>
          <t>North</t>
        </is>
      </c>
      <c r="F3845" t="inlineStr">
        <is>
          <t>Organic Search</t>
        </is>
      </c>
      <c r="G3845" t="inlineStr">
        <is>
          <t>Mobile App</t>
        </is>
      </c>
      <c r="H3845" t="inlineStr">
        <is>
          <t>Net Banking</t>
        </is>
      </c>
      <c r="I3845" t="inlineStr">
        <is>
          <t>Delivered</t>
        </is>
      </c>
      <c r="J3845" t="n">
        <v>137</v>
      </c>
      <c r="K3845" t="n">
        <v>1</v>
      </c>
      <c r="L3845" t="n">
        <v>261</v>
      </c>
      <c r="M3845" t="n">
        <v>13.05</v>
      </c>
      <c r="N3845">
        <f>VLOOKUP(J3845,Products!$A$2:$C$49,3,FALSE)</f>
        <v/>
      </c>
      <c r="O3845">
        <f>K3845*L3845-M3845</f>
        <v/>
      </c>
      <c r="P3845">
        <f>TEXT(B3845,"yyyy-mm")</f>
        <v/>
      </c>
      <c r="Q3845">
        <f>IF(O3845&gt;=3000,"Large","Small")</f>
        <v/>
      </c>
      <c r="R3845">
        <f>INDEX(Products!$F$2:$F$49,MATCH(J3845,Products!$A$2:$A$49,0))</f>
        <v/>
      </c>
      <c r="S3845">
        <f>WEEKDAY(B3845,2)</f>
        <v/>
      </c>
    </row>
    <row r="3846">
      <c r="A3846" t="n">
        <v>511467</v>
      </c>
      <c r="B3846" s="6" t="n">
        <v>46005</v>
      </c>
      <c r="C3846" t="n">
        <v>17506</v>
      </c>
      <c r="D3846" t="inlineStr">
        <is>
          <t>Noida</t>
        </is>
      </c>
      <c r="E3846" t="inlineStr">
        <is>
          <t>North</t>
        </is>
      </c>
      <c r="F3846" t="inlineStr">
        <is>
          <t>Paid Social</t>
        </is>
      </c>
      <c r="G3846" t="inlineStr">
        <is>
          <t>Desktop</t>
        </is>
      </c>
      <c r="H3846" t="inlineStr">
        <is>
          <t>Net Banking</t>
        </is>
      </c>
      <c r="I3846" t="inlineStr">
        <is>
          <t>Delivered</t>
        </is>
      </c>
      <c r="J3846" t="n">
        <v>105</v>
      </c>
      <c r="K3846" t="n">
        <v>1</v>
      </c>
      <c r="L3846" t="n">
        <v>2414</v>
      </c>
      <c r="M3846" t="n">
        <v>0</v>
      </c>
      <c r="N3846">
        <f>VLOOKUP(J3846,Products!$A$2:$C$49,3,FALSE)</f>
        <v/>
      </c>
      <c r="O3846">
        <f>K3846*L3846-M3846</f>
        <v/>
      </c>
      <c r="P3846">
        <f>TEXT(B3846,"yyyy-mm")</f>
        <v/>
      </c>
      <c r="Q3846">
        <f>IF(O3846&gt;=3000,"Large","Small")</f>
        <v/>
      </c>
      <c r="R3846">
        <f>INDEX(Products!$F$2:$F$49,MATCH(J3846,Products!$A$2:$A$49,0))</f>
        <v/>
      </c>
      <c r="S3846">
        <f>WEEKDAY(B3846,2)</f>
        <v/>
      </c>
    </row>
    <row r="3847">
      <c r="A3847" t="n">
        <v>511468</v>
      </c>
      <c r="B3847" s="6" t="n">
        <v>46005</v>
      </c>
      <c r="C3847" t="n">
        <v>14205</v>
      </c>
      <c r="D3847" t="inlineStr">
        <is>
          <t>Pune</t>
        </is>
      </c>
      <c r="E3847" t="inlineStr">
        <is>
          <t>West</t>
        </is>
      </c>
      <c r="F3847" t="inlineStr">
        <is>
          <t>Affiliate</t>
        </is>
      </c>
      <c r="G3847" t="inlineStr">
        <is>
          <t>Mobile App</t>
        </is>
      </c>
      <c r="H3847" t="inlineStr">
        <is>
          <t>UPI</t>
        </is>
      </c>
      <c r="I3847" t="inlineStr">
        <is>
          <t>Delivered</t>
        </is>
      </c>
      <c r="J3847" t="n">
        <v>122</v>
      </c>
      <c r="K3847" t="n">
        <v>1</v>
      </c>
      <c r="L3847" t="n">
        <v>1994</v>
      </c>
      <c r="M3847" t="n">
        <v>0</v>
      </c>
      <c r="N3847">
        <f>VLOOKUP(J3847,Products!$A$2:$C$49,3,FALSE)</f>
        <v/>
      </c>
      <c r="O3847">
        <f>K3847*L3847-M3847</f>
        <v/>
      </c>
      <c r="P3847">
        <f>TEXT(B3847,"yyyy-mm")</f>
        <v/>
      </c>
      <c r="Q3847">
        <f>IF(O3847&gt;=3000,"Large","Small")</f>
        <v/>
      </c>
      <c r="R3847">
        <f>INDEX(Products!$F$2:$F$49,MATCH(J3847,Products!$A$2:$A$49,0))</f>
        <v/>
      </c>
      <c r="S3847">
        <f>WEEKDAY(B3847,2)</f>
        <v/>
      </c>
    </row>
    <row r="3848">
      <c r="A3848" t="n">
        <v>511469</v>
      </c>
      <c r="B3848" s="6" t="n">
        <v>46005</v>
      </c>
      <c r="C3848" t="n">
        <v>16475</v>
      </c>
      <c r="D3848" t="inlineStr">
        <is>
          <t>Hyderabad</t>
        </is>
      </c>
      <c r="E3848" t="inlineStr">
        <is>
          <t>South</t>
        </is>
      </c>
      <c r="F3848" t="inlineStr">
        <is>
          <t>Paid Social</t>
        </is>
      </c>
      <c r="G3848" t="inlineStr">
        <is>
          <t>Mobile App</t>
        </is>
      </c>
      <c r="H3848" t="inlineStr">
        <is>
          <t>UPI</t>
        </is>
      </c>
      <c r="I3848" t="inlineStr">
        <is>
          <t>Delivered</t>
        </is>
      </c>
      <c r="J3848" t="n">
        <v>109</v>
      </c>
      <c r="K3848" t="n">
        <v>1</v>
      </c>
      <c r="L3848" t="n">
        <v>4199</v>
      </c>
      <c r="M3848" t="n">
        <v>0</v>
      </c>
      <c r="N3848">
        <f>VLOOKUP(J3848,Products!$A$2:$C$49,3,FALSE)</f>
        <v/>
      </c>
      <c r="O3848">
        <f>K3848*L3848-M3848</f>
        <v/>
      </c>
      <c r="P3848">
        <f>TEXT(B3848,"yyyy-mm")</f>
        <v/>
      </c>
      <c r="Q3848">
        <f>IF(O3848&gt;=3000,"Large","Small")</f>
        <v/>
      </c>
      <c r="R3848">
        <f>INDEX(Products!$F$2:$F$49,MATCH(J3848,Products!$A$2:$A$49,0))</f>
        <v/>
      </c>
      <c r="S3848">
        <f>WEEKDAY(B3848,2)</f>
        <v/>
      </c>
    </row>
    <row r="3849">
      <c r="A3849" t="n">
        <v>511469</v>
      </c>
      <c r="B3849" s="6" t="n">
        <v>46005</v>
      </c>
      <c r="C3849" t="n">
        <v>16475</v>
      </c>
      <c r="D3849" t="inlineStr">
        <is>
          <t>Hyderabad</t>
        </is>
      </c>
      <c r="E3849" t="inlineStr">
        <is>
          <t>South</t>
        </is>
      </c>
      <c r="F3849" t="inlineStr">
        <is>
          <t>Paid Social</t>
        </is>
      </c>
      <c r="G3849" t="inlineStr">
        <is>
          <t>Mobile App</t>
        </is>
      </c>
      <c r="H3849" t="inlineStr">
        <is>
          <t>UPI</t>
        </is>
      </c>
      <c r="I3849" t="inlineStr">
        <is>
          <t>Delivered</t>
        </is>
      </c>
      <c r="J3849" t="n">
        <v>131</v>
      </c>
      <c r="K3849" t="n">
        <v>1</v>
      </c>
      <c r="L3849" t="n">
        <v>314</v>
      </c>
      <c r="M3849" t="n">
        <v>0</v>
      </c>
      <c r="N3849">
        <f>VLOOKUP(J3849,Products!$A$2:$C$49,3,FALSE)</f>
        <v/>
      </c>
      <c r="O3849">
        <f>K3849*L3849-M3849</f>
        <v/>
      </c>
      <c r="P3849">
        <f>TEXT(B3849,"yyyy-mm")</f>
        <v/>
      </c>
      <c r="Q3849">
        <f>IF(O3849&gt;=3000,"Large","Small")</f>
        <v/>
      </c>
      <c r="R3849">
        <f>INDEX(Products!$F$2:$F$49,MATCH(J3849,Products!$A$2:$A$49,0))</f>
        <v/>
      </c>
      <c r="S3849">
        <f>WEEKDAY(B3849,2)</f>
        <v/>
      </c>
    </row>
    <row r="3850">
      <c r="A3850" t="n">
        <v>511470</v>
      </c>
      <c r="B3850" s="6" t="n">
        <v>46005</v>
      </c>
      <c r="C3850" t="n">
        <v>17682</v>
      </c>
      <c r="D3850" t="inlineStr">
        <is>
          <t>Kochi</t>
        </is>
      </c>
      <c r="E3850" t="inlineStr">
        <is>
          <t>South</t>
        </is>
      </c>
      <c r="F3850" t="inlineStr">
        <is>
          <t>Paid Social</t>
        </is>
      </c>
      <c r="G3850" t="inlineStr">
        <is>
          <t>Mobile App</t>
        </is>
      </c>
      <c r="H3850" t="inlineStr">
        <is>
          <t>UPI</t>
        </is>
      </c>
      <c r="I3850" t="inlineStr">
        <is>
          <t>Delivered</t>
        </is>
      </c>
      <c r="J3850" t="n">
        <v>133</v>
      </c>
      <c r="K3850" t="n">
        <v>2</v>
      </c>
      <c r="L3850" t="n">
        <v>419</v>
      </c>
      <c r="M3850" t="n">
        <v>0</v>
      </c>
      <c r="N3850">
        <f>VLOOKUP(J3850,Products!$A$2:$C$49,3,FALSE)</f>
        <v/>
      </c>
      <c r="O3850">
        <f>K3850*L3850-M3850</f>
        <v/>
      </c>
      <c r="P3850">
        <f>TEXT(B3850,"yyyy-mm")</f>
        <v/>
      </c>
      <c r="Q3850">
        <f>IF(O3850&gt;=3000,"Large","Small")</f>
        <v/>
      </c>
      <c r="R3850">
        <f>INDEX(Products!$F$2:$F$49,MATCH(J3850,Products!$A$2:$A$49,0))</f>
        <v/>
      </c>
      <c r="S3850">
        <f>WEEKDAY(B3850,2)</f>
        <v/>
      </c>
    </row>
    <row r="3851">
      <c r="A3851" t="n">
        <v>511471</v>
      </c>
      <c r="B3851" s="6" t="n">
        <v>46005</v>
      </c>
      <c r="C3851" t="n">
        <v>15256</v>
      </c>
      <c r="D3851" t="inlineStr">
        <is>
          <t>Kolkata</t>
        </is>
      </c>
      <c r="E3851" t="inlineStr">
        <is>
          <t>East</t>
        </is>
      </c>
      <c r="F3851" t="inlineStr">
        <is>
          <t>Paid Search</t>
        </is>
      </c>
      <c r="G3851" t="inlineStr">
        <is>
          <t>Mobile Web</t>
        </is>
      </c>
      <c r="H3851" t="inlineStr">
        <is>
          <t>Cash on Delivery</t>
        </is>
      </c>
      <c r="I3851" t="inlineStr">
        <is>
          <t>Delivered</t>
        </is>
      </c>
      <c r="J3851" t="n">
        <v>140</v>
      </c>
      <c r="K3851" t="n">
        <v>1</v>
      </c>
      <c r="L3851" t="n">
        <v>629</v>
      </c>
      <c r="M3851" t="n">
        <v>0</v>
      </c>
      <c r="N3851">
        <f>VLOOKUP(J3851,Products!$A$2:$C$49,3,FALSE)</f>
        <v/>
      </c>
      <c r="O3851">
        <f>K3851*L3851-M3851</f>
        <v/>
      </c>
      <c r="P3851">
        <f>TEXT(B3851,"yyyy-mm")</f>
        <v/>
      </c>
      <c r="Q3851">
        <f>IF(O3851&gt;=3000,"Large","Small")</f>
        <v/>
      </c>
      <c r="R3851">
        <f>INDEX(Products!$F$2:$F$49,MATCH(J3851,Products!$A$2:$A$49,0))</f>
        <v/>
      </c>
      <c r="S3851">
        <f>WEEKDAY(B3851,2)</f>
        <v/>
      </c>
    </row>
    <row r="3852">
      <c r="A3852" t="n">
        <v>511472</v>
      </c>
      <c r="B3852" s="6" t="n">
        <v>46005</v>
      </c>
      <c r="C3852" t="n">
        <v>16890</v>
      </c>
      <c r="D3852" t="inlineStr">
        <is>
          <t>Kolkata</t>
        </is>
      </c>
      <c r="E3852" t="inlineStr">
        <is>
          <t>East</t>
        </is>
      </c>
      <c r="F3852" t="inlineStr">
        <is>
          <t>Paid Social</t>
        </is>
      </c>
      <c r="G3852" t="inlineStr">
        <is>
          <t>Mobile Web</t>
        </is>
      </c>
      <c r="H3852" t="inlineStr">
        <is>
          <t>Cash on Delivery</t>
        </is>
      </c>
      <c r="I3852" t="inlineStr">
        <is>
          <t>Returned</t>
        </is>
      </c>
      <c r="J3852" t="n">
        <v>113</v>
      </c>
      <c r="K3852" t="n">
        <v>1</v>
      </c>
      <c r="L3852" t="n">
        <v>1364</v>
      </c>
      <c r="M3852" t="n">
        <v>0</v>
      </c>
      <c r="N3852">
        <f>VLOOKUP(J3852,Products!$A$2:$C$49,3,FALSE)</f>
        <v/>
      </c>
      <c r="O3852">
        <f>K3852*L3852-M3852</f>
        <v/>
      </c>
      <c r="P3852">
        <f>TEXT(B3852,"yyyy-mm")</f>
        <v/>
      </c>
      <c r="Q3852">
        <f>IF(O3852&gt;=3000,"Large","Small")</f>
        <v/>
      </c>
      <c r="R3852">
        <f>INDEX(Products!$F$2:$F$49,MATCH(J3852,Products!$A$2:$A$49,0))</f>
        <v/>
      </c>
      <c r="S3852">
        <f>WEEKDAY(B3852,2)</f>
        <v/>
      </c>
    </row>
    <row r="3853">
      <c r="A3853" t="n">
        <v>511473</v>
      </c>
      <c r="B3853" s="6" t="n">
        <v>46005</v>
      </c>
      <c r="C3853" t="n">
        <v>16487</v>
      </c>
      <c r="D3853" t="inlineStr">
        <is>
          <t>Jaipur</t>
        </is>
      </c>
      <c r="E3853" t="inlineStr">
        <is>
          <t>North</t>
        </is>
      </c>
      <c r="F3853" t="inlineStr">
        <is>
          <t>Referral</t>
        </is>
      </c>
      <c r="G3853" t="inlineStr">
        <is>
          <t>Mobile Web</t>
        </is>
      </c>
      <c r="H3853" t="inlineStr">
        <is>
          <t>Credit Card</t>
        </is>
      </c>
      <c r="I3853" t="inlineStr">
        <is>
          <t>Delivered</t>
        </is>
      </c>
      <c r="J3853" t="n">
        <v>111</v>
      </c>
      <c r="K3853" t="n">
        <v>1</v>
      </c>
      <c r="L3853" t="n">
        <v>524</v>
      </c>
      <c r="M3853" t="n">
        <v>0</v>
      </c>
      <c r="N3853">
        <f>VLOOKUP(J3853,Products!$A$2:$C$49,3,FALSE)</f>
        <v/>
      </c>
      <c r="O3853">
        <f>K3853*L3853-M3853</f>
        <v/>
      </c>
      <c r="P3853">
        <f>TEXT(B3853,"yyyy-mm")</f>
        <v/>
      </c>
      <c r="Q3853">
        <f>IF(O3853&gt;=3000,"Large","Small")</f>
        <v/>
      </c>
      <c r="R3853">
        <f>INDEX(Products!$F$2:$F$49,MATCH(J3853,Products!$A$2:$A$49,0))</f>
        <v/>
      </c>
      <c r="S3853">
        <f>WEEKDAY(B3853,2)</f>
        <v/>
      </c>
    </row>
    <row r="3854">
      <c r="A3854" t="n">
        <v>511473</v>
      </c>
      <c r="B3854" s="6" t="n">
        <v>46005</v>
      </c>
      <c r="C3854" t="n">
        <v>16487</v>
      </c>
      <c r="D3854" t="inlineStr">
        <is>
          <t>Jaipur</t>
        </is>
      </c>
      <c r="E3854" t="inlineStr">
        <is>
          <t>North</t>
        </is>
      </c>
      <c r="F3854" t="inlineStr">
        <is>
          <t>Referral</t>
        </is>
      </c>
      <c r="G3854" t="inlineStr">
        <is>
          <t>Mobile Web</t>
        </is>
      </c>
      <c r="H3854" t="inlineStr">
        <is>
          <t>Credit Card</t>
        </is>
      </c>
      <c r="I3854" t="inlineStr">
        <is>
          <t>Delivered</t>
        </is>
      </c>
      <c r="J3854" t="n">
        <v>112</v>
      </c>
      <c r="K3854" t="n">
        <v>1</v>
      </c>
      <c r="L3854" t="n">
        <v>1574</v>
      </c>
      <c r="M3854" t="n">
        <v>0</v>
      </c>
      <c r="N3854">
        <f>VLOOKUP(J3854,Products!$A$2:$C$49,3,FALSE)</f>
        <v/>
      </c>
      <c r="O3854">
        <f>K3854*L3854-M3854</f>
        <v/>
      </c>
      <c r="P3854">
        <f>TEXT(B3854,"yyyy-mm")</f>
        <v/>
      </c>
      <c r="Q3854">
        <f>IF(O3854&gt;=3000,"Large","Small")</f>
        <v/>
      </c>
      <c r="R3854">
        <f>INDEX(Products!$F$2:$F$49,MATCH(J3854,Products!$A$2:$A$49,0))</f>
        <v/>
      </c>
      <c r="S3854">
        <f>WEEKDAY(B3854,2)</f>
        <v/>
      </c>
    </row>
    <row r="3855">
      <c r="A3855" t="n">
        <v>511474</v>
      </c>
      <c r="B3855" s="6" t="n">
        <v>46005</v>
      </c>
      <c r="C3855" t="n">
        <v>17716</v>
      </c>
      <c r="D3855" t="inlineStr">
        <is>
          <t>Kolkata</t>
        </is>
      </c>
      <c r="E3855" t="inlineStr">
        <is>
          <t>East</t>
        </is>
      </c>
      <c r="F3855" t="inlineStr">
        <is>
          <t>Paid Search</t>
        </is>
      </c>
      <c r="G3855" t="inlineStr">
        <is>
          <t>Desktop</t>
        </is>
      </c>
      <c r="H3855" t="inlineStr">
        <is>
          <t>Credit Card</t>
        </is>
      </c>
      <c r="I3855" t="inlineStr">
        <is>
          <t>Delivered</t>
        </is>
      </c>
      <c r="J3855" t="n">
        <v>112</v>
      </c>
      <c r="K3855" t="n">
        <v>1</v>
      </c>
      <c r="L3855" t="n">
        <v>1574</v>
      </c>
      <c r="M3855" t="n">
        <v>0</v>
      </c>
      <c r="N3855">
        <f>VLOOKUP(J3855,Products!$A$2:$C$49,3,FALSE)</f>
        <v/>
      </c>
      <c r="O3855">
        <f>K3855*L3855-M3855</f>
        <v/>
      </c>
      <c r="P3855">
        <f>TEXT(B3855,"yyyy-mm")</f>
        <v/>
      </c>
      <c r="Q3855">
        <f>IF(O3855&gt;=3000,"Large","Small")</f>
        <v/>
      </c>
      <c r="R3855">
        <f>INDEX(Products!$F$2:$F$49,MATCH(J3855,Products!$A$2:$A$49,0))</f>
        <v/>
      </c>
      <c r="S3855">
        <f>WEEKDAY(B3855,2)</f>
        <v/>
      </c>
    </row>
    <row r="3856">
      <c r="A3856" t="n">
        <v>511475</v>
      </c>
      <c r="B3856" s="6" t="n">
        <v>46005</v>
      </c>
      <c r="C3856" t="n">
        <v>17714</v>
      </c>
      <c r="D3856" t="inlineStr">
        <is>
          <t>Kochi</t>
        </is>
      </c>
      <c r="E3856" t="inlineStr">
        <is>
          <t>South</t>
        </is>
      </c>
      <c r="F3856" t="inlineStr">
        <is>
          <t>Organic Search</t>
        </is>
      </c>
      <c r="G3856" t="inlineStr">
        <is>
          <t>Mobile App</t>
        </is>
      </c>
      <c r="H3856" t="inlineStr">
        <is>
          <t>Debit Card</t>
        </is>
      </c>
      <c r="I3856" t="inlineStr">
        <is>
          <t>Delivered</t>
        </is>
      </c>
      <c r="J3856" t="n">
        <v>143</v>
      </c>
      <c r="K3856" t="n">
        <v>1</v>
      </c>
      <c r="L3856" t="n">
        <v>839</v>
      </c>
      <c r="M3856" t="n">
        <v>0</v>
      </c>
      <c r="N3856">
        <f>VLOOKUP(J3856,Products!$A$2:$C$49,3,FALSE)</f>
        <v/>
      </c>
      <c r="O3856">
        <f>K3856*L3856-M3856</f>
        <v/>
      </c>
      <c r="P3856">
        <f>TEXT(B3856,"yyyy-mm")</f>
        <v/>
      </c>
      <c r="Q3856">
        <f>IF(O3856&gt;=3000,"Large","Small")</f>
        <v/>
      </c>
      <c r="R3856">
        <f>INDEX(Products!$F$2:$F$49,MATCH(J3856,Products!$A$2:$A$49,0))</f>
        <v/>
      </c>
      <c r="S3856">
        <f>WEEKDAY(B3856,2)</f>
        <v/>
      </c>
    </row>
    <row r="3857">
      <c r="A3857" t="n">
        <v>511476</v>
      </c>
      <c r="B3857" s="6" t="n">
        <v>46005</v>
      </c>
      <c r="C3857" t="n">
        <v>16081</v>
      </c>
      <c r="D3857" t="inlineStr">
        <is>
          <t>Kolkata</t>
        </is>
      </c>
      <c r="E3857" t="inlineStr">
        <is>
          <t>East</t>
        </is>
      </c>
      <c r="F3857" t="inlineStr">
        <is>
          <t>Referral</t>
        </is>
      </c>
      <c r="G3857" t="inlineStr">
        <is>
          <t>Mobile App</t>
        </is>
      </c>
      <c r="H3857" t="inlineStr">
        <is>
          <t>UPI</t>
        </is>
      </c>
      <c r="I3857" t="inlineStr">
        <is>
          <t>Delivered</t>
        </is>
      </c>
      <c r="J3857" t="n">
        <v>107</v>
      </c>
      <c r="K3857" t="n">
        <v>1</v>
      </c>
      <c r="L3857" t="n">
        <v>1259</v>
      </c>
      <c r="M3857" t="n">
        <v>0</v>
      </c>
      <c r="N3857">
        <f>VLOOKUP(J3857,Products!$A$2:$C$49,3,FALSE)</f>
        <v/>
      </c>
      <c r="O3857">
        <f>K3857*L3857-M3857</f>
        <v/>
      </c>
      <c r="P3857">
        <f>TEXT(B3857,"yyyy-mm")</f>
        <v/>
      </c>
      <c r="Q3857">
        <f>IF(O3857&gt;=3000,"Large","Small")</f>
        <v/>
      </c>
      <c r="R3857">
        <f>INDEX(Products!$F$2:$F$49,MATCH(J3857,Products!$A$2:$A$49,0))</f>
        <v/>
      </c>
      <c r="S3857">
        <f>WEEKDAY(B3857,2)</f>
        <v/>
      </c>
    </row>
    <row r="3858">
      <c r="A3858" t="n">
        <v>511477</v>
      </c>
      <c r="B3858" s="6" t="n">
        <v>46005</v>
      </c>
      <c r="C3858" t="n">
        <v>17692</v>
      </c>
      <c r="D3858" t="inlineStr">
        <is>
          <t>Gurugram</t>
        </is>
      </c>
      <c r="E3858" t="inlineStr">
        <is>
          <t>North</t>
        </is>
      </c>
      <c r="F3858" t="inlineStr">
        <is>
          <t>Referral</t>
        </is>
      </c>
      <c r="G3858" t="inlineStr">
        <is>
          <t>Mobile App</t>
        </is>
      </c>
      <c r="H3858" t="inlineStr">
        <is>
          <t>UPI</t>
        </is>
      </c>
      <c r="I3858" t="inlineStr">
        <is>
          <t>Delivered</t>
        </is>
      </c>
      <c r="J3858" t="n">
        <v>116</v>
      </c>
      <c r="K3858" t="n">
        <v>3</v>
      </c>
      <c r="L3858" t="n">
        <v>2624</v>
      </c>
      <c r="M3858" t="n">
        <v>1180.8</v>
      </c>
      <c r="N3858">
        <f>VLOOKUP(J3858,Products!$A$2:$C$49,3,FALSE)</f>
        <v/>
      </c>
      <c r="O3858">
        <f>K3858*L3858-M3858</f>
        <v/>
      </c>
      <c r="P3858">
        <f>TEXT(B3858,"yyyy-mm")</f>
        <v/>
      </c>
      <c r="Q3858">
        <f>IF(O3858&gt;=3000,"Large","Small")</f>
        <v/>
      </c>
      <c r="R3858">
        <f>INDEX(Products!$F$2:$F$49,MATCH(J3858,Products!$A$2:$A$49,0))</f>
        <v/>
      </c>
      <c r="S3858">
        <f>WEEKDAY(B3858,2)</f>
        <v/>
      </c>
    </row>
    <row r="3859">
      <c r="A3859" t="n">
        <v>511478</v>
      </c>
      <c r="B3859" s="6" t="n">
        <v>46005</v>
      </c>
      <c r="C3859" t="n">
        <v>17602</v>
      </c>
      <c r="D3859" t="inlineStr">
        <is>
          <t>Delhi</t>
        </is>
      </c>
      <c r="E3859" t="inlineStr">
        <is>
          <t>North</t>
        </is>
      </c>
      <c r="F3859" t="inlineStr">
        <is>
          <t>Organic Search</t>
        </is>
      </c>
      <c r="G3859" t="inlineStr">
        <is>
          <t>Mobile App</t>
        </is>
      </c>
      <c r="H3859" t="inlineStr">
        <is>
          <t>Cash on Delivery</t>
        </is>
      </c>
      <c r="I3859" t="inlineStr">
        <is>
          <t>Delivered</t>
        </is>
      </c>
      <c r="J3859" t="n">
        <v>101</v>
      </c>
      <c r="K3859" t="n">
        <v>1</v>
      </c>
      <c r="L3859" t="n">
        <v>2099</v>
      </c>
      <c r="M3859" t="n">
        <v>0</v>
      </c>
      <c r="N3859">
        <f>VLOOKUP(J3859,Products!$A$2:$C$49,3,FALSE)</f>
        <v/>
      </c>
      <c r="O3859">
        <f>K3859*L3859-M3859</f>
        <v/>
      </c>
      <c r="P3859">
        <f>TEXT(B3859,"yyyy-mm")</f>
        <v/>
      </c>
      <c r="Q3859">
        <f>IF(O3859&gt;=3000,"Large","Small")</f>
        <v/>
      </c>
      <c r="R3859">
        <f>INDEX(Products!$F$2:$F$49,MATCH(J3859,Products!$A$2:$A$49,0))</f>
        <v/>
      </c>
      <c r="S3859">
        <f>WEEKDAY(B3859,2)</f>
        <v/>
      </c>
    </row>
    <row r="3860">
      <c r="A3860" t="n">
        <v>511478</v>
      </c>
      <c r="B3860" s="6" t="n">
        <v>46005</v>
      </c>
      <c r="C3860" t="n">
        <v>17602</v>
      </c>
      <c r="D3860" t="inlineStr">
        <is>
          <t>Delhi</t>
        </is>
      </c>
      <c r="E3860" t="inlineStr">
        <is>
          <t>North</t>
        </is>
      </c>
      <c r="F3860" t="inlineStr">
        <is>
          <t>Organic Search</t>
        </is>
      </c>
      <c r="G3860" t="inlineStr">
        <is>
          <t>Mobile App</t>
        </is>
      </c>
      <c r="H3860" t="inlineStr">
        <is>
          <t>Cash on Delivery</t>
        </is>
      </c>
      <c r="I3860" t="inlineStr">
        <is>
          <t>Delivered</t>
        </is>
      </c>
      <c r="J3860" t="n">
        <v>125</v>
      </c>
      <c r="K3860" t="n">
        <v>1</v>
      </c>
      <c r="L3860" t="n">
        <v>1364</v>
      </c>
      <c r="M3860" t="n">
        <v>0</v>
      </c>
      <c r="N3860">
        <f>VLOOKUP(J3860,Products!$A$2:$C$49,3,FALSE)</f>
        <v/>
      </c>
      <c r="O3860">
        <f>K3860*L3860-M3860</f>
        <v/>
      </c>
      <c r="P3860">
        <f>TEXT(B3860,"yyyy-mm")</f>
        <v/>
      </c>
      <c r="Q3860">
        <f>IF(O3860&gt;=3000,"Large","Small")</f>
        <v/>
      </c>
      <c r="R3860">
        <f>INDEX(Products!$F$2:$F$49,MATCH(J3860,Products!$A$2:$A$49,0))</f>
        <v/>
      </c>
      <c r="S3860">
        <f>WEEKDAY(B3860,2)</f>
        <v/>
      </c>
    </row>
    <row r="3861">
      <c r="A3861" t="n">
        <v>511479</v>
      </c>
      <c r="B3861" s="6" t="n">
        <v>46005</v>
      </c>
      <c r="C3861" t="n">
        <v>17759</v>
      </c>
      <c r="D3861" t="inlineStr">
        <is>
          <t>Kochi</t>
        </is>
      </c>
      <c r="E3861" t="inlineStr">
        <is>
          <t>South</t>
        </is>
      </c>
      <c r="F3861" t="inlineStr">
        <is>
          <t>Referral</t>
        </is>
      </c>
      <c r="G3861" t="inlineStr">
        <is>
          <t>Mobile App</t>
        </is>
      </c>
      <c r="H3861" t="inlineStr">
        <is>
          <t>UPI</t>
        </is>
      </c>
      <c r="I3861" t="inlineStr">
        <is>
          <t>Delivered</t>
        </is>
      </c>
      <c r="J3861" t="n">
        <v>131</v>
      </c>
      <c r="K3861" t="n">
        <v>2</v>
      </c>
      <c r="L3861" t="n">
        <v>314</v>
      </c>
      <c r="M3861" t="n">
        <v>0</v>
      </c>
      <c r="N3861">
        <f>VLOOKUP(J3861,Products!$A$2:$C$49,3,FALSE)</f>
        <v/>
      </c>
      <c r="O3861">
        <f>K3861*L3861-M3861</f>
        <v/>
      </c>
      <c r="P3861">
        <f>TEXT(B3861,"yyyy-mm")</f>
        <v/>
      </c>
      <c r="Q3861">
        <f>IF(O3861&gt;=3000,"Large","Small")</f>
        <v/>
      </c>
      <c r="R3861">
        <f>INDEX(Products!$F$2:$F$49,MATCH(J3861,Products!$A$2:$A$49,0))</f>
        <v/>
      </c>
      <c r="S3861">
        <f>WEEKDAY(B3861,2)</f>
        <v/>
      </c>
    </row>
    <row r="3862">
      <c r="A3862" t="n">
        <v>511480</v>
      </c>
      <c r="B3862" s="6" t="n">
        <v>46005</v>
      </c>
      <c r="C3862" t="n">
        <v>17763</v>
      </c>
      <c r="D3862" t="inlineStr">
        <is>
          <t>Kochi</t>
        </is>
      </c>
      <c r="E3862" t="inlineStr">
        <is>
          <t>South</t>
        </is>
      </c>
      <c r="F3862" t="inlineStr">
        <is>
          <t>Affiliate</t>
        </is>
      </c>
      <c r="G3862" t="inlineStr">
        <is>
          <t>Mobile App</t>
        </is>
      </c>
      <c r="H3862" t="inlineStr">
        <is>
          <t>Credit Card</t>
        </is>
      </c>
      <c r="I3862" t="inlineStr">
        <is>
          <t>Returned</t>
        </is>
      </c>
      <c r="J3862" t="n">
        <v>133</v>
      </c>
      <c r="K3862" t="n">
        <v>2</v>
      </c>
      <c r="L3862" t="n">
        <v>419</v>
      </c>
      <c r="M3862" t="n">
        <v>41.9</v>
      </c>
      <c r="N3862">
        <f>VLOOKUP(J3862,Products!$A$2:$C$49,3,FALSE)</f>
        <v/>
      </c>
      <c r="O3862">
        <f>K3862*L3862-M3862</f>
        <v/>
      </c>
      <c r="P3862">
        <f>TEXT(B3862,"yyyy-mm")</f>
        <v/>
      </c>
      <c r="Q3862">
        <f>IF(O3862&gt;=3000,"Large","Small")</f>
        <v/>
      </c>
      <c r="R3862">
        <f>INDEX(Products!$F$2:$F$49,MATCH(J3862,Products!$A$2:$A$49,0))</f>
        <v/>
      </c>
      <c r="S3862">
        <f>WEEKDAY(B3862,2)</f>
        <v/>
      </c>
    </row>
    <row r="3863">
      <c r="A3863" t="n">
        <v>511480</v>
      </c>
      <c r="B3863" s="6" t="n">
        <v>46005</v>
      </c>
      <c r="C3863" t="n">
        <v>17763</v>
      </c>
      <c r="D3863" t="inlineStr">
        <is>
          <t>Kochi</t>
        </is>
      </c>
      <c r="E3863" t="inlineStr">
        <is>
          <t>South</t>
        </is>
      </c>
      <c r="F3863" t="inlineStr">
        <is>
          <t>Affiliate</t>
        </is>
      </c>
      <c r="G3863" t="inlineStr">
        <is>
          <t>Mobile App</t>
        </is>
      </c>
      <c r="H3863" t="inlineStr">
        <is>
          <t>Credit Card</t>
        </is>
      </c>
      <c r="I3863" t="inlineStr">
        <is>
          <t>Returned</t>
        </is>
      </c>
      <c r="J3863" t="n">
        <v>113</v>
      </c>
      <c r="K3863" t="n">
        <v>1</v>
      </c>
      <c r="L3863" t="n">
        <v>1364</v>
      </c>
      <c r="M3863" t="n">
        <v>68.2</v>
      </c>
      <c r="N3863">
        <f>VLOOKUP(J3863,Products!$A$2:$C$49,3,FALSE)</f>
        <v/>
      </c>
      <c r="O3863">
        <f>K3863*L3863-M3863</f>
        <v/>
      </c>
      <c r="P3863">
        <f>TEXT(B3863,"yyyy-mm")</f>
        <v/>
      </c>
      <c r="Q3863">
        <f>IF(O3863&gt;=3000,"Large","Small")</f>
        <v/>
      </c>
      <c r="R3863">
        <f>INDEX(Products!$F$2:$F$49,MATCH(J3863,Products!$A$2:$A$49,0))</f>
        <v/>
      </c>
      <c r="S3863">
        <f>WEEKDAY(B3863,2)</f>
        <v/>
      </c>
    </row>
    <row r="3864">
      <c r="A3864" t="n">
        <v>511481</v>
      </c>
      <c r="B3864" s="6" t="n">
        <v>46005</v>
      </c>
      <c r="C3864" t="n">
        <v>17775</v>
      </c>
      <c r="D3864" t="inlineStr">
        <is>
          <t>Mumbai</t>
        </is>
      </c>
      <c r="E3864" t="inlineStr">
        <is>
          <t>West</t>
        </is>
      </c>
      <c r="F3864" t="inlineStr">
        <is>
          <t>Organic Search</t>
        </is>
      </c>
      <c r="G3864" t="inlineStr">
        <is>
          <t>Mobile App</t>
        </is>
      </c>
      <c r="H3864" t="inlineStr">
        <is>
          <t>UPI</t>
        </is>
      </c>
      <c r="I3864" t="inlineStr">
        <is>
          <t>Delivered</t>
        </is>
      </c>
      <c r="J3864" t="n">
        <v>124</v>
      </c>
      <c r="K3864" t="n">
        <v>1</v>
      </c>
      <c r="L3864" t="n">
        <v>1154</v>
      </c>
      <c r="M3864" t="n">
        <v>173.1</v>
      </c>
      <c r="N3864">
        <f>VLOOKUP(J3864,Products!$A$2:$C$49,3,FALSE)</f>
        <v/>
      </c>
      <c r="O3864">
        <f>K3864*L3864-M3864</f>
        <v/>
      </c>
      <c r="P3864">
        <f>TEXT(B3864,"yyyy-mm")</f>
        <v/>
      </c>
      <c r="Q3864">
        <f>IF(O3864&gt;=3000,"Large","Small")</f>
        <v/>
      </c>
      <c r="R3864">
        <f>INDEX(Products!$F$2:$F$49,MATCH(J3864,Products!$A$2:$A$49,0))</f>
        <v/>
      </c>
      <c r="S3864">
        <f>WEEKDAY(B3864,2)</f>
        <v/>
      </c>
    </row>
    <row r="3865">
      <c r="A3865" t="n">
        <v>511481</v>
      </c>
      <c r="B3865" s="6" t="n">
        <v>46005</v>
      </c>
      <c r="C3865" t="n">
        <v>17775</v>
      </c>
      <c r="D3865" t="inlineStr">
        <is>
          <t>Mumbai</t>
        </is>
      </c>
      <c r="E3865" t="inlineStr">
        <is>
          <t>West</t>
        </is>
      </c>
      <c r="F3865" t="inlineStr">
        <is>
          <t>Organic Search</t>
        </is>
      </c>
      <c r="G3865" t="inlineStr">
        <is>
          <t>Mobile App</t>
        </is>
      </c>
      <c r="H3865" t="inlineStr">
        <is>
          <t>UPI</t>
        </is>
      </c>
      <c r="I3865" t="inlineStr">
        <is>
          <t>Delivered</t>
        </is>
      </c>
      <c r="J3865" t="n">
        <v>116</v>
      </c>
      <c r="K3865" t="n">
        <v>1</v>
      </c>
      <c r="L3865" t="n">
        <v>2624</v>
      </c>
      <c r="M3865" t="n">
        <v>393.6</v>
      </c>
      <c r="N3865">
        <f>VLOOKUP(J3865,Products!$A$2:$C$49,3,FALSE)</f>
        <v/>
      </c>
      <c r="O3865">
        <f>K3865*L3865-M3865</f>
        <v/>
      </c>
      <c r="P3865">
        <f>TEXT(B3865,"yyyy-mm")</f>
        <v/>
      </c>
      <c r="Q3865">
        <f>IF(O3865&gt;=3000,"Large","Small")</f>
        <v/>
      </c>
      <c r="R3865">
        <f>INDEX(Products!$F$2:$F$49,MATCH(J3865,Products!$A$2:$A$49,0))</f>
        <v/>
      </c>
      <c r="S3865">
        <f>WEEKDAY(B3865,2)</f>
        <v/>
      </c>
    </row>
    <row r="3866">
      <c r="A3866" t="n">
        <v>511482</v>
      </c>
      <c r="B3866" s="6" t="n">
        <v>46005</v>
      </c>
      <c r="C3866" t="n">
        <v>17751</v>
      </c>
      <c r="D3866" t="inlineStr">
        <is>
          <t>Indore</t>
        </is>
      </c>
      <c r="E3866" t="inlineStr">
        <is>
          <t>West</t>
        </is>
      </c>
      <c r="F3866" t="inlineStr">
        <is>
          <t>Paid Social</t>
        </is>
      </c>
      <c r="G3866" t="inlineStr">
        <is>
          <t>Mobile App</t>
        </is>
      </c>
      <c r="H3866" t="inlineStr">
        <is>
          <t>UPI</t>
        </is>
      </c>
      <c r="I3866" t="inlineStr">
        <is>
          <t>Delivered</t>
        </is>
      </c>
      <c r="J3866" t="n">
        <v>118</v>
      </c>
      <c r="K3866" t="n">
        <v>2</v>
      </c>
      <c r="L3866" t="n">
        <v>944</v>
      </c>
      <c r="M3866" t="n">
        <v>283.2</v>
      </c>
      <c r="N3866">
        <f>VLOOKUP(J3866,Products!$A$2:$C$49,3,FALSE)</f>
        <v/>
      </c>
      <c r="O3866">
        <f>K3866*L3866-M3866</f>
        <v/>
      </c>
      <c r="P3866">
        <f>TEXT(B3866,"yyyy-mm")</f>
        <v/>
      </c>
      <c r="Q3866">
        <f>IF(O3866&gt;=3000,"Large","Small")</f>
        <v/>
      </c>
      <c r="R3866">
        <f>INDEX(Products!$F$2:$F$49,MATCH(J3866,Products!$A$2:$A$49,0))</f>
        <v/>
      </c>
      <c r="S3866">
        <f>WEEKDAY(B3866,2)</f>
        <v/>
      </c>
    </row>
    <row r="3867">
      <c r="A3867" t="n">
        <v>511482</v>
      </c>
      <c r="B3867" s="6" t="n">
        <v>46005</v>
      </c>
      <c r="C3867" t="n">
        <v>17751</v>
      </c>
      <c r="D3867" t="inlineStr">
        <is>
          <t>Indore</t>
        </is>
      </c>
      <c r="E3867" t="inlineStr">
        <is>
          <t>West</t>
        </is>
      </c>
      <c r="F3867" t="inlineStr">
        <is>
          <t>Paid Social</t>
        </is>
      </c>
      <c r="G3867" t="inlineStr">
        <is>
          <t>Mobile App</t>
        </is>
      </c>
      <c r="H3867" t="inlineStr">
        <is>
          <t>UPI</t>
        </is>
      </c>
      <c r="I3867" t="inlineStr">
        <is>
          <t>Delivered</t>
        </is>
      </c>
      <c r="J3867" t="n">
        <v>144</v>
      </c>
      <c r="K3867" t="n">
        <v>1</v>
      </c>
      <c r="L3867" t="n">
        <v>3149</v>
      </c>
      <c r="M3867" t="n">
        <v>472.35</v>
      </c>
      <c r="N3867">
        <f>VLOOKUP(J3867,Products!$A$2:$C$49,3,FALSE)</f>
        <v/>
      </c>
      <c r="O3867">
        <f>K3867*L3867-M3867</f>
        <v/>
      </c>
      <c r="P3867">
        <f>TEXT(B3867,"yyyy-mm")</f>
        <v/>
      </c>
      <c r="Q3867">
        <f>IF(O3867&gt;=3000,"Large","Small")</f>
        <v/>
      </c>
      <c r="R3867">
        <f>INDEX(Products!$F$2:$F$49,MATCH(J3867,Products!$A$2:$A$49,0))</f>
        <v/>
      </c>
      <c r="S3867">
        <f>WEEKDAY(B3867,2)</f>
        <v/>
      </c>
    </row>
    <row r="3868">
      <c r="A3868" t="n">
        <v>511482</v>
      </c>
      <c r="B3868" s="6" t="n">
        <v>46005</v>
      </c>
      <c r="C3868" t="n">
        <v>17751</v>
      </c>
      <c r="D3868" t="inlineStr">
        <is>
          <t>Indore</t>
        </is>
      </c>
      <c r="E3868" t="inlineStr">
        <is>
          <t>West</t>
        </is>
      </c>
      <c r="F3868" t="inlineStr">
        <is>
          <t>Paid Social</t>
        </is>
      </c>
      <c r="G3868" t="inlineStr">
        <is>
          <t>Mobile App</t>
        </is>
      </c>
      <c r="H3868" t="inlineStr">
        <is>
          <t>UPI</t>
        </is>
      </c>
      <c r="I3868" t="inlineStr">
        <is>
          <t>Delivered</t>
        </is>
      </c>
      <c r="J3868" t="n">
        <v>114</v>
      </c>
      <c r="K3868" t="n">
        <v>3</v>
      </c>
      <c r="L3868" t="n">
        <v>1259</v>
      </c>
      <c r="M3868" t="n">
        <v>566.55</v>
      </c>
      <c r="N3868">
        <f>VLOOKUP(J3868,Products!$A$2:$C$49,3,FALSE)</f>
        <v/>
      </c>
      <c r="O3868">
        <f>K3868*L3868-M3868</f>
        <v/>
      </c>
      <c r="P3868">
        <f>TEXT(B3868,"yyyy-mm")</f>
        <v/>
      </c>
      <c r="Q3868">
        <f>IF(O3868&gt;=3000,"Large","Small")</f>
        <v/>
      </c>
      <c r="R3868">
        <f>INDEX(Products!$F$2:$F$49,MATCH(J3868,Products!$A$2:$A$49,0))</f>
        <v/>
      </c>
      <c r="S3868">
        <f>WEEKDAY(B3868,2)</f>
        <v/>
      </c>
    </row>
    <row r="3869">
      <c r="A3869" t="n">
        <v>511482</v>
      </c>
      <c r="B3869" s="6" t="n">
        <v>46005</v>
      </c>
      <c r="C3869" t="n">
        <v>17751</v>
      </c>
      <c r="D3869" t="inlineStr">
        <is>
          <t>Indore</t>
        </is>
      </c>
      <c r="E3869" t="inlineStr">
        <is>
          <t>West</t>
        </is>
      </c>
      <c r="F3869" t="inlineStr">
        <is>
          <t>Paid Social</t>
        </is>
      </c>
      <c r="G3869" t="inlineStr">
        <is>
          <t>Mobile App</t>
        </is>
      </c>
      <c r="H3869" t="inlineStr">
        <is>
          <t>UPI</t>
        </is>
      </c>
      <c r="I3869" t="inlineStr">
        <is>
          <t>Delivered</t>
        </is>
      </c>
      <c r="J3869" t="n">
        <v>103</v>
      </c>
      <c r="K3869" t="n">
        <v>1</v>
      </c>
      <c r="L3869" t="n">
        <v>2624</v>
      </c>
      <c r="M3869" t="n">
        <v>393.6</v>
      </c>
      <c r="N3869">
        <f>VLOOKUP(J3869,Products!$A$2:$C$49,3,FALSE)</f>
        <v/>
      </c>
      <c r="O3869">
        <f>K3869*L3869-M3869</f>
        <v/>
      </c>
      <c r="P3869">
        <f>TEXT(B3869,"yyyy-mm")</f>
        <v/>
      </c>
      <c r="Q3869">
        <f>IF(O3869&gt;=3000,"Large","Small")</f>
        <v/>
      </c>
      <c r="R3869">
        <f>INDEX(Products!$F$2:$F$49,MATCH(J3869,Products!$A$2:$A$49,0))</f>
        <v/>
      </c>
      <c r="S3869">
        <f>WEEKDAY(B3869,2)</f>
        <v/>
      </c>
    </row>
    <row r="3870">
      <c r="A3870" t="n">
        <v>511483</v>
      </c>
      <c r="B3870" s="6" t="n">
        <v>46005</v>
      </c>
      <c r="C3870" t="n">
        <v>17333</v>
      </c>
      <c r="D3870" t="inlineStr">
        <is>
          <t>Kochi</t>
        </is>
      </c>
      <c r="E3870" t="inlineStr">
        <is>
          <t>South</t>
        </is>
      </c>
      <c r="F3870" t="inlineStr">
        <is>
          <t>Referral</t>
        </is>
      </c>
      <c r="G3870" t="inlineStr">
        <is>
          <t>Desktop</t>
        </is>
      </c>
      <c r="H3870" t="inlineStr">
        <is>
          <t>Net Banking</t>
        </is>
      </c>
      <c r="I3870" t="inlineStr">
        <is>
          <t>Delivered</t>
        </is>
      </c>
      <c r="J3870" t="n">
        <v>108</v>
      </c>
      <c r="K3870" t="n">
        <v>1</v>
      </c>
      <c r="L3870" t="n">
        <v>419</v>
      </c>
      <c r="M3870" t="n">
        <v>62.85</v>
      </c>
      <c r="N3870">
        <f>VLOOKUP(J3870,Products!$A$2:$C$49,3,FALSE)</f>
        <v/>
      </c>
      <c r="O3870">
        <f>K3870*L3870-M3870</f>
        <v/>
      </c>
      <c r="P3870">
        <f>TEXT(B3870,"yyyy-mm")</f>
        <v/>
      </c>
      <c r="Q3870">
        <f>IF(O3870&gt;=3000,"Large","Small")</f>
        <v/>
      </c>
      <c r="R3870">
        <f>INDEX(Products!$F$2:$F$49,MATCH(J3870,Products!$A$2:$A$49,0))</f>
        <v/>
      </c>
      <c r="S3870">
        <f>WEEKDAY(B3870,2)</f>
        <v/>
      </c>
    </row>
    <row r="3871">
      <c r="A3871" t="n">
        <v>511483</v>
      </c>
      <c r="B3871" s="6" t="n">
        <v>46005</v>
      </c>
      <c r="C3871" t="n">
        <v>17333</v>
      </c>
      <c r="D3871" t="inlineStr">
        <is>
          <t>Kochi</t>
        </is>
      </c>
      <c r="E3871" t="inlineStr">
        <is>
          <t>South</t>
        </is>
      </c>
      <c r="F3871" t="inlineStr">
        <is>
          <t>Referral</t>
        </is>
      </c>
      <c r="G3871" t="inlineStr">
        <is>
          <t>Desktop</t>
        </is>
      </c>
      <c r="H3871" t="inlineStr">
        <is>
          <t>Net Banking</t>
        </is>
      </c>
      <c r="I3871" t="inlineStr">
        <is>
          <t>Delivered</t>
        </is>
      </c>
      <c r="J3871" t="n">
        <v>111</v>
      </c>
      <c r="K3871" t="n">
        <v>1</v>
      </c>
      <c r="L3871" t="n">
        <v>524</v>
      </c>
      <c r="M3871" t="n">
        <v>78.59999999999999</v>
      </c>
      <c r="N3871">
        <f>VLOOKUP(J3871,Products!$A$2:$C$49,3,FALSE)</f>
        <v/>
      </c>
      <c r="O3871">
        <f>K3871*L3871-M3871</f>
        <v/>
      </c>
      <c r="P3871">
        <f>TEXT(B3871,"yyyy-mm")</f>
        <v/>
      </c>
      <c r="Q3871">
        <f>IF(O3871&gt;=3000,"Large","Small")</f>
        <v/>
      </c>
      <c r="R3871">
        <f>INDEX(Products!$F$2:$F$49,MATCH(J3871,Products!$A$2:$A$49,0))</f>
        <v/>
      </c>
      <c r="S3871">
        <f>WEEKDAY(B3871,2)</f>
        <v/>
      </c>
    </row>
    <row r="3872">
      <c r="A3872" t="n">
        <v>511484</v>
      </c>
      <c r="B3872" s="6" t="n">
        <v>46005</v>
      </c>
      <c r="C3872" t="n">
        <v>17756</v>
      </c>
      <c r="D3872" t="inlineStr">
        <is>
          <t>Bengaluru</t>
        </is>
      </c>
      <c r="E3872" t="inlineStr">
        <is>
          <t>South</t>
        </is>
      </c>
      <c r="F3872" t="inlineStr">
        <is>
          <t>Referral</t>
        </is>
      </c>
      <c r="G3872" t="inlineStr">
        <is>
          <t>Mobile App</t>
        </is>
      </c>
      <c r="H3872" t="inlineStr">
        <is>
          <t>Net Banking</t>
        </is>
      </c>
      <c r="I3872" t="inlineStr">
        <is>
          <t>Delivered</t>
        </is>
      </c>
      <c r="J3872" t="n">
        <v>135</v>
      </c>
      <c r="K3872" t="n">
        <v>1</v>
      </c>
      <c r="L3872" t="n">
        <v>1574</v>
      </c>
      <c r="M3872" t="n">
        <v>236.1</v>
      </c>
      <c r="N3872">
        <f>VLOOKUP(J3872,Products!$A$2:$C$49,3,FALSE)</f>
        <v/>
      </c>
      <c r="O3872">
        <f>K3872*L3872-M3872</f>
        <v/>
      </c>
      <c r="P3872">
        <f>TEXT(B3872,"yyyy-mm")</f>
        <v/>
      </c>
      <c r="Q3872">
        <f>IF(O3872&gt;=3000,"Large","Small")</f>
        <v/>
      </c>
      <c r="R3872">
        <f>INDEX(Products!$F$2:$F$49,MATCH(J3872,Products!$A$2:$A$49,0))</f>
        <v/>
      </c>
      <c r="S3872">
        <f>WEEKDAY(B3872,2)</f>
        <v/>
      </c>
    </row>
    <row r="3873">
      <c r="A3873" t="n">
        <v>511485</v>
      </c>
      <c r="B3873" s="6" t="n">
        <v>46005</v>
      </c>
      <c r="C3873" t="n">
        <v>14167</v>
      </c>
      <c r="D3873" t="inlineStr">
        <is>
          <t>Delhi</t>
        </is>
      </c>
      <c r="E3873" t="inlineStr">
        <is>
          <t>North</t>
        </is>
      </c>
      <c r="F3873" t="inlineStr">
        <is>
          <t>Referral</t>
        </is>
      </c>
      <c r="G3873" t="inlineStr">
        <is>
          <t>Mobile App</t>
        </is>
      </c>
      <c r="H3873" t="inlineStr">
        <is>
          <t>UPI</t>
        </is>
      </c>
      <c r="I3873" t="inlineStr">
        <is>
          <t>Returned</t>
        </is>
      </c>
      <c r="J3873" t="n">
        <v>118</v>
      </c>
      <c r="K3873" t="n">
        <v>1</v>
      </c>
      <c r="L3873" t="n">
        <v>944</v>
      </c>
      <c r="M3873" t="n">
        <v>0</v>
      </c>
      <c r="N3873">
        <f>VLOOKUP(J3873,Products!$A$2:$C$49,3,FALSE)</f>
        <v/>
      </c>
      <c r="O3873">
        <f>K3873*L3873-M3873</f>
        <v/>
      </c>
      <c r="P3873">
        <f>TEXT(B3873,"yyyy-mm")</f>
        <v/>
      </c>
      <c r="Q3873">
        <f>IF(O3873&gt;=3000,"Large","Small")</f>
        <v/>
      </c>
      <c r="R3873">
        <f>INDEX(Products!$F$2:$F$49,MATCH(J3873,Products!$A$2:$A$49,0))</f>
        <v/>
      </c>
      <c r="S3873">
        <f>WEEKDAY(B3873,2)</f>
        <v/>
      </c>
    </row>
    <row r="3874">
      <c r="A3874" t="n">
        <v>511485</v>
      </c>
      <c r="B3874" s="6" t="n">
        <v>46005</v>
      </c>
      <c r="C3874" t="n">
        <v>14167</v>
      </c>
      <c r="D3874" t="inlineStr">
        <is>
          <t>Delhi</t>
        </is>
      </c>
      <c r="E3874" t="inlineStr">
        <is>
          <t>North</t>
        </is>
      </c>
      <c r="F3874" t="inlineStr">
        <is>
          <t>Referral</t>
        </is>
      </c>
      <c r="G3874" t="inlineStr">
        <is>
          <t>Mobile App</t>
        </is>
      </c>
      <c r="H3874" t="inlineStr">
        <is>
          <t>UPI</t>
        </is>
      </c>
      <c r="I3874" t="inlineStr">
        <is>
          <t>Returned</t>
        </is>
      </c>
      <c r="J3874" t="n">
        <v>126</v>
      </c>
      <c r="K3874" t="n">
        <v>1</v>
      </c>
      <c r="L3874" t="n">
        <v>471</v>
      </c>
      <c r="M3874" t="n">
        <v>0</v>
      </c>
      <c r="N3874">
        <f>VLOOKUP(J3874,Products!$A$2:$C$49,3,FALSE)</f>
        <v/>
      </c>
      <c r="O3874">
        <f>K3874*L3874-M3874</f>
        <v/>
      </c>
      <c r="P3874">
        <f>TEXT(B3874,"yyyy-mm")</f>
        <v/>
      </c>
      <c r="Q3874">
        <f>IF(O3874&gt;=3000,"Large","Small")</f>
        <v/>
      </c>
      <c r="R3874">
        <f>INDEX(Products!$F$2:$F$49,MATCH(J3874,Products!$A$2:$A$49,0))</f>
        <v/>
      </c>
      <c r="S3874">
        <f>WEEKDAY(B3874,2)</f>
        <v/>
      </c>
    </row>
    <row r="3875">
      <c r="A3875" t="n">
        <v>511486</v>
      </c>
      <c r="B3875" s="6" t="n">
        <v>46005</v>
      </c>
      <c r="C3875" t="n">
        <v>17766</v>
      </c>
      <c r="D3875" t="inlineStr">
        <is>
          <t>Chandigarh</t>
        </is>
      </c>
      <c r="E3875" t="inlineStr">
        <is>
          <t>North</t>
        </is>
      </c>
      <c r="F3875" t="inlineStr">
        <is>
          <t>Paid Search</t>
        </is>
      </c>
      <c r="G3875" t="inlineStr">
        <is>
          <t>Mobile App</t>
        </is>
      </c>
      <c r="H3875" t="inlineStr">
        <is>
          <t>UPI</t>
        </is>
      </c>
      <c r="I3875" t="inlineStr">
        <is>
          <t>Returned</t>
        </is>
      </c>
      <c r="J3875" t="n">
        <v>113</v>
      </c>
      <c r="K3875" t="n">
        <v>2</v>
      </c>
      <c r="L3875" t="n">
        <v>1364</v>
      </c>
      <c r="M3875" t="n">
        <v>0</v>
      </c>
      <c r="N3875">
        <f>VLOOKUP(J3875,Products!$A$2:$C$49,3,FALSE)</f>
        <v/>
      </c>
      <c r="O3875">
        <f>K3875*L3875-M3875</f>
        <v/>
      </c>
      <c r="P3875">
        <f>TEXT(B3875,"yyyy-mm")</f>
        <v/>
      </c>
      <c r="Q3875">
        <f>IF(O3875&gt;=3000,"Large","Small")</f>
        <v/>
      </c>
      <c r="R3875">
        <f>INDEX(Products!$F$2:$F$49,MATCH(J3875,Products!$A$2:$A$49,0))</f>
        <v/>
      </c>
      <c r="S3875">
        <f>WEEKDAY(B3875,2)</f>
        <v/>
      </c>
    </row>
    <row r="3876">
      <c r="A3876" t="n">
        <v>511486</v>
      </c>
      <c r="B3876" s="6" t="n">
        <v>46005</v>
      </c>
      <c r="C3876" t="n">
        <v>17766</v>
      </c>
      <c r="D3876" t="inlineStr">
        <is>
          <t>Chandigarh</t>
        </is>
      </c>
      <c r="E3876" t="inlineStr">
        <is>
          <t>North</t>
        </is>
      </c>
      <c r="F3876" t="inlineStr">
        <is>
          <t>Paid Search</t>
        </is>
      </c>
      <c r="G3876" t="inlineStr">
        <is>
          <t>Mobile App</t>
        </is>
      </c>
      <c r="H3876" t="inlineStr">
        <is>
          <t>UPI</t>
        </is>
      </c>
      <c r="I3876" t="inlineStr">
        <is>
          <t>Returned</t>
        </is>
      </c>
      <c r="J3876" t="n">
        <v>123</v>
      </c>
      <c r="K3876" t="n">
        <v>1</v>
      </c>
      <c r="L3876" t="n">
        <v>3464</v>
      </c>
      <c r="M3876" t="n">
        <v>0</v>
      </c>
      <c r="N3876">
        <f>VLOOKUP(J3876,Products!$A$2:$C$49,3,FALSE)</f>
        <v/>
      </c>
      <c r="O3876">
        <f>K3876*L3876-M3876</f>
        <v/>
      </c>
      <c r="P3876">
        <f>TEXT(B3876,"yyyy-mm")</f>
        <v/>
      </c>
      <c r="Q3876">
        <f>IF(O3876&gt;=3000,"Large","Small")</f>
        <v/>
      </c>
      <c r="R3876">
        <f>INDEX(Products!$F$2:$F$49,MATCH(J3876,Products!$A$2:$A$49,0))</f>
        <v/>
      </c>
      <c r="S3876">
        <f>WEEKDAY(B3876,2)</f>
        <v/>
      </c>
    </row>
    <row r="3877">
      <c r="A3877" t="n">
        <v>511486</v>
      </c>
      <c r="B3877" s="6" t="n">
        <v>46005</v>
      </c>
      <c r="C3877" t="n">
        <v>17766</v>
      </c>
      <c r="D3877" t="inlineStr">
        <is>
          <t>Chandigarh</t>
        </is>
      </c>
      <c r="E3877" t="inlineStr">
        <is>
          <t>North</t>
        </is>
      </c>
      <c r="F3877" t="inlineStr">
        <is>
          <t>Paid Search</t>
        </is>
      </c>
      <c r="G3877" t="inlineStr">
        <is>
          <t>Mobile App</t>
        </is>
      </c>
      <c r="H3877" t="inlineStr">
        <is>
          <t>UPI</t>
        </is>
      </c>
      <c r="I3877" t="inlineStr">
        <is>
          <t>Returned</t>
        </is>
      </c>
      <c r="J3877" t="n">
        <v>104</v>
      </c>
      <c r="K3877" t="n">
        <v>1</v>
      </c>
      <c r="L3877" t="n">
        <v>5249</v>
      </c>
      <c r="M3877" t="n">
        <v>0</v>
      </c>
      <c r="N3877">
        <f>VLOOKUP(J3877,Products!$A$2:$C$49,3,FALSE)</f>
        <v/>
      </c>
      <c r="O3877">
        <f>K3877*L3877-M3877</f>
        <v/>
      </c>
      <c r="P3877">
        <f>TEXT(B3877,"yyyy-mm")</f>
        <v/>
      </c>
      <c r="Q3877">
        <f>IF(O3877&gt;=3000,"Large","Small")</f>
        <v/>
      </c>
      <c r="R3877">
        <f>INDEX(Products!$F$2:$F$49,MATCH(J3877,Products!$A$2:$A$49,0))</f>
        <v/>
      </c>
      <c r="S3877">
        <f>WEEKDAY(B3877,2)</f>
        <v/>
      </c>
    </row>
    <row r="3878">
      <c r="A3878" t="n">
        <v>511487</v>
      </c>
      <c r="B3878" s="6" t="n">
        <v>46005</v>
      </c>
      <c r="C3878" t="n">
        <v>17707</v>
      </c>
      <c r="D3878" t="inlineStr">
        <is>
          <t>Pune</t>
        </is>
      </c>
      <c r="E3878" t="inlineStr">
        <is>
          <t>West</t>
        </is>
      </c>
      <c r="F3878" t="inlineStr">
        <is>
          <t>Paid Social</t>
        </is>
      </c>
      <c r="G3878" t="inlineStr">
        <is>
          <t>Mobile Web</t>
        </is>
      </c>
      <c r="H3878" t="inlineStr">
        <is>
          <t>UPI</t>
        </is>
      </c>
      <c r="I3878" t="inlineStr">
        <is>
          <t>Delivered</t>
        </is>
      </c>
      <c r="J3878" t="n">
        <v>141</v>
      </c>
      <c r="K3878" t="n">
        <v>1</v>
      </c>
      <c r="L3878" t="n">
        <v>261</v>
      </c>
      <c r="M3878" t="n">
        <v>39.15</v>
      </c>
      <c r="N3878">
        <f>VLOOKUP(J3878,Products!$A$2:$C$49,3,FALSE)</f>
        <v/>
      </c>
      <c r="O3878">
        <f>K3878*L3878-M3878</f>
        <v/>
      </c>
      <c r="P3878">
        <f>TEXT(B3878,"yyyy-mm")</f>
        <v/>
      </c>
      <c r="Q3878">
        <f>IF(O3878&gt;=3000,"Large","Small")</f>
        <v/>
      </c>
      <c r="R3878">
        <f>INDEX(Products!$F$2:$F$49,MATCH(J3878,Products!$A$2:$A$49,0))</f>
        <v/>
      </c>
      <c r="S3878">
        <f>WEEKDAY(B3878,2)</f>
        <v/>
      </c>
    </row>
    <row r="3879">
      <c r="A3879" t="n">
        <v>511487</v>
      </c>
      <c r="B3879" s="6" t="n">
        <v>46005</v>
      </c>
      <c r="C3879" t="n">
        <v>17707</v>
      </c>
      <c r="D3879" t="inlineStr">
        <is>
          <t>Pune</t>
        </is>
      </c>
      <c r="E3879" t="inlineStr">
        <is>
          <t>West</t>
        </is>
      </c>
      <c r="F3879" t="inlineStr">
        <is>
          <t>Paid Social</t>
        </is>
      </c>
      <c r="G3879" t="inlineStr">
        <is>
          <t>Mobile Web</t>
        </is>
      </c>
      <c r="H3879" t="inlineStr">
        <is>
          <t>UPI</t>
        </is>
      </c>
      <c r="I3879" t="inlineStr">
        <is>
          <t>Delivered</t>
        </is>
      </c>
      <c r="J3879" t="n">
        <v>127</v>
      </c>
      <c r="K3879" t="n">
        <v>1</v>
      </c>
      <c r="L3879" t="n">
        <v>681</v>
      </c>
      <c r="M3879" t="n">
        <v>102.15</v>
      </c>
      <c r="N3879">
        <f>VLOOKUP(J3879,Products!$A$2:$C$49,3,FALSE)</f>
        <v/>
      </c>
      <c r="O3879">
        <f>K3879*L3879-M3879</f>
        <v/>
      </c>
      <c r="P3879">
        <f>TEXT(B3879,"yyyy-mm")</f>
        <v/>
      </c>
      <c r="Q3879">
        <f>IF(O3879&gt;=3000,"Large","Small")</f>
        <v/>
      </c>
      <c r="R3879">
        <f>INDEX(Products!$F$2:$F$49,MATCH(J3879,Products!$A$2:$A$49,0))</f>
        <v/>
      </c>
      <c r="S3879">
        <f>WEEKDAY(B3879,2)</f>
        <v/>
      </c>
    </row>
    <row r="3880">
      <c r="A3880" t="n">
        <v>511488</v>
      </c>
      <c r="B3880" s="6" t="n">
        <v>46005</v>
      </c>
      <c r="C3880" t="n">
        <v>14553</v>
      </c>
      <c r="D3880" t="inlineStr">
        <is>
          <t>Kolkata</t>
        </is>
      </c>
      <c r="E3880" t="inlineStr">
        <is>
          <t>East</t>
        </is>
      </c>
      <c r="F3880" t="inlineStr">
        <is>
          <t>Paid Social</t>
        </is>
      </c>
      <c r="G3880" t="inlineStr">
        <is>
          <t>Mobile App</t>
        </is>
      </c>
      <c r="H3880" t="inlineStr">
        <is>
          <t>UPI</t>
        </is>
      </c>
      <c r="I3880" t="inlineStr">
        <is>
          <t>Delivered</t>
        </is>
      </c>
      <c r="J3880" t="n">
        <v>134</v>
      </c>
      <c r="K3880" t="n">
        <v>2</v>
      </c>
      <c r="L3880" t="n">
        <v>209</v>
      </c>
      <c r="M3880" t="n">
        <v>0</v>
      </c>
      <c r="N3880">
        <f>VLOOKUP(J3880,Products!$A$2:$C$49,3,FALSE)</f>
        <v/>
      </c>
      <c r="O3880">
        <f>K3880*L3880-M3880</f>
        <v/>
      </c>
      <c r="P3880">
        <f>TEXT(B3880,"yyyy-mm")</f>
        <v/>
      </c>
      <c r="Q3880">
        <f>IF(O3880&gt;=3000,"Large","Small")</f>
        <v/>
      </c>
      <c r="R3880">
        <f>INDEX(Products!$F$2:$F$49,MATCH(J3880,Products!$A$2:$A$49,0))</f>
        <v/>
      </c>
      <c r="S3880">
        <f>WEEKDAY(B3880,2)</f>
        <v/>
      </c>
    </row>
    <row r="3881">
      <c r="A3881" t="n">
        <v>511489</v>
      </c>
      <c r="B3881" s="6" t="n">
        <v>46006</v>
      </c>
      <c r="C3881" t="n">
        <v>17632</v>
      </c>
      <c r="D3881" t="inlineStr">
        <is>
          <t>Delhi</t>
        </is>
      </c>
      <c r="E3881" t="inlineStr">
        <is>
          <t>North</t>
        </is>
      </c>
      <c r="F3881" t="inlineStr">
        <is>
          <t>Referral</t>
        </is>
      </c>
      <c r="G3881" t="inlineStr">
        <is>
          <t>Mobile App</t>
        </is>
      </c>
      <c r="H3881" t="inlineStr">
        <is>
          <t>UPI</t>
        </is>
      </c>
      <c r="I3881" t="inlineStr">
        <is>
          <t>Delivered</t>
        </is>
      </c>
      <c r="J3881" t="n">
        <v>147</v>
      </c>
      <c r="K3881" t="n">
        <v>2</v>
      </c>
      <c r="L3881" t="n">
        <v>1364</v>
      </c>
      <c r="M3881" t="n">
        <v>409.2</v>
      </c>
      <c r="N3881">
        <f>VLOOKUP(J3881,Products!$A$2:$C$49,3,FALSE)</f>
        <v/>
      </c>
      <c r="O3881">
        <f>K3881*L3881-M3881</f>
        <v/>
      </c>
      <c r="P3881">
        <f>TEXT(B3881,"yyyy-mm")</f>
        <v/>
      </c>
      <c r="Q3881">
        <f>IF(O3881&gt;=3000,"Large","Small")</f>
        <v/>
      </c>
      <c r="R3881">
        <f>INDEX(Products!$F$2:$F$49,MATCH(J3881,Products!$A$2:$A$49,0))</f>
        <v/>
      </c>
      <c r="S3881">
        <f>WEEKDAY(B3881,2)</f>
        <v/>
      </c>
    </row>
    <row r="3882">
      <c r="A3882" t="n">
        <v>511489</v>
      </c>
      <c r="B3882" s="6" t="n">
        <v>46006</v>
      </c>
      <c r="C3882" t="n">
        <v>17632</v>
      </c>
      <c r="D3882" t="inlineStr">
        <is>
          <t>Delhi</t>
        </is>
      </c>
      <c r="E3882" t="inlineStr">
        <is>
          <t>North</t>
        </is>
      </c>
      <c r="F3882" t="inlineStr">
        <is>
          <t>Referral</t>
        </is>
      </c>
      <c r="G3882" t="inlineStr">
        <is>
          <t>Mobile App</t>
        </is>
      </c>
      <c r="H3882" t="inlineStr">
        <is>
          <t>UPI</t>
        </is>
      </c>
      <c r="I3882" t="inlineStr">
        <is>
          <t>Delivered</t>
        </is>
      </c>
      <c r="J3882" t="n">
        <v>121</v>
      </c>
      <c r="K3882" t="n">
        <v>1</v>
      </c>
      <c r="L3882" t="n">
        <v>2939</v>
      </c>
      <c r="M3882" t="n">
        <v>440.85</v>
      </c>
      <c r="N3882">
        <f>VLOOKUP(J3882,Products!$A$2:$C$49,3,FALSE)</f>
        <v/>
      </c>
      <c r="O3882">
        <f>K3882*L3882-M3882</f>
        <v/>
      </c>
      <c r="P3882">
        <f>TEXT(B3882,"yyyy-mm")</f>
        <v/>
      </c>
      <c r="Q3882">
        <f>IF(O3882&gt;=3000,"Large","Small")</f>
        <v/>
      </c>
      <c r="R3882">
        <f>INDEX(Products!$F$2:$F$49,MATCH(J3882,Products!$A$2:$A$49,0))</f>
        <v/>
      </c>
      <c r="S3882">
        <f>WEEKDAY(B3882,2)</f>
        <v/>
      </c>
    </row>
    <row r="3883">
      <c r="A3883" t="n">
        <v>511490</v>
      </c>
      <c r="B3883" s="6" t="n">
        <v>46006</v>
      </c>
      <c r="C3883" t="n">
        <v>10861</v>
      </c>
      <c r="D3883" t="inlineStr">
        <is>
          <t>Bengaluru</t>
        </is>
      </c>
      <c r="E3883" t="inlineStr">
        <is>
          <t>South</t>
        </is>
      </c>
      <c r="F3883" t="inlineStr">
        <is>
          <t>Email</t>
        </is>
      </c>
      <c r="G3883" t="inlineStr">
        <is>
          <t>Mobile Web</t>
        </is>
      </c>
      <c r="H3883" t="inlineStr">
        <is>
          <t>UPI</t>
        </is>
      </c>
      <c r="I3883" t="inlineStr">
        <is>
          <t>Returned</t>
        </is>
      </c>
      <c r="J3883" t="n">
        <v>112</v>
      </c>
      <c r="K3883" t="n">
        <v>1</v>
      </c>
      <c r="L3883" t="n">
        <v>1574</v>
      </c>
      <c r="M3883" t="n">
        <v>0</v>
      </c>
      <c r="N3883">
        <f>VLOOKUP(J3883,Products!$A$2:$C$49,3,FALSE)</f>
        <v/>
      </c>
      <c r="O3883">
        <f>K3883*L3883-M3883</f>
        <v/>
      </c>
      <c r="P3883">
        <f>TEXT(B3883,"yyyy-mm")</f>
        <v/>
      </c>
      <c r="Q3883">
        <f>IF(O3883&gt;=3000,"Large","Small")</f>
        <v/>
      </c>
      <c r="R3883">
        <f>INDEX(Products!$F$2:$F$49,MATCH(J3883,Products!$A$2:$A$49,0))</f>
        <v/>
      </c>
      <c r="S3883">
        <f>WEEKDAY(B3883,2)</f>
        <v/>
      </c>
    </row>
    <row r="3884">
      <c r="A3884" t="n">
        <v>511490</v>
      </c>
      <c r="B3884" s="6" t="n">
        <v>46006</v>
      </c>
      <c r="C3884" t="n">
        <v>10861</v>
      </c>
      <c r="D3884" t="inlineStr">
        <is>
          <t>Bengaluru</t>
        </is>
      </c>
      <c r="E3884" t="inlineStr">
        <is>
          <t>South</t>
        </is>
      </c>
      <c r="F3884" t="inlineStr">
        <is>
          <t>Email</t>
        </is>
      </c>
      <c r="G3884" t="inlineStr">
        <is>
          <t>Mobile Web</t>
        </is>
      </c>
      <c r="H3884" t="inlineStr">
        <is>
          <t>UPI</t>
        </is>
      </c>
      <c r="I3884" t="inlineStr">
        <is>
          <t>Returned</t>
        </is>
      </c>
      <c r="J3884" t="n">
        <v>128</v>
      </c>
      <c r="K3884" t="n">
        <v>2</v>
      </c>
      <c r="L3884" t="n">
        <v>1049</v>
      </c>
      <c r="M3884" t="n">
        <v>0</v>
      </c>
      <c r="N3884">
        <f>VLOOKUP(J3884,Products!$A$2:$C$49,3,FALSE)</f>
        <v/>
      </c>
      <c r="O3884">
        <f>K3884*L3884-M3884</f>
        <v/>
      </c>
      <c r="P3884">
        <f>TEXT(B3884,"yyyy-mm")</f>
        <v/>
      </c>
      <c r="Q3884">
        <f>IF(O3884&gt;=3000,"Large","Small")</f>
        <v/>
      </c>
      <c r="R3884">
        <f>INDEX(Products!$F$2:$F$49,MATCH(J3884,Products!$A$2:$A$49,0))</f>
        <v/>
      </c>
      <c r="S3884">
        <f>WEEKDAY(B3884,2)</f>
        <v/>
      </c>
    </row>
    <row r="3885">
      <c r="A3885" t="n">
        <v>511491</v>
      </c>
      <c r="B3885" s="6" t="n">
        <v>46006</v>
      </c>
      <c r="C3885" t="n">
        <v>17689</v>
      </c>
      <c r="D3885" t="inlineStr">
        <is>
          <t>Pune</t>
        </is>
      </c>
      <c r="E3885" t="inlineStr">
        <is>
          <t>West</t>
        </is>
      </c>
      <c r="F3885" t="inlineStr">
        <is>
          <t>Organic Search</t>
        </is>
      </c>
      <c r="G3885" t="inlineStr">
        <is>
          <t>Mobile App</t>
        </is>
      </c>
      <c r="H3885" t="inlineStr">
        <is>
          <t>UPI</t>
        </is>
      </c>
      <c r="I3885" t="inlineStr">
        <is>
          <t>Delivered</t>
        </is>
      </c>
      <c r="J3885" t="n">
        <v>118</v>
      </c>
      <c r="K3885" t="n">
        <v>2</v>
      </c>
      <c r="L3885" t="n">
        <v>944</v>
      </c>
      <c r="M3885" t="n">
        <v>0</v>
      </c>
      <c r="N3885">
        <f>VLOOKUP(J3885,Products!$A$2:$C$49,3,FALSE)</f>
        <v/>
      </c>
      <c r="O3885">
        <f>K3885*L3885-M3885</f>
        <v/>
      </c>
      <c r="P3885">
        <f>TEXT(B3885,"yyyy-mm")</f>
        <v/>
      </c>
      <c r="Q3885">
        <f>IF(O3885&gt;=3000,"Large","Small")</f>
        <v/>
      </c>
      <c r="R3885">
        <f>INDEX(Products!$F$2:$F$49,MATCH(J3885,Products!$A$2:$A$49,0))</f>
        <v/>
      </c>
      <c r="S3885">
        <f>WEEKDAY(B3885,2)</f>
        <v/>
      </c>
    </row>
    <row r="3886">
      <c r="A3886" t="n">
        <v>511492</v>
      </c>
      <c r="B3886" s="6" t="n">
        <v>46006</v>
      </c>
      <c r="C3886" t="n">
        <v>17097</v>
      </c>
      <c r="D3886" t="inlineStr">
        <is>
          <t>Delhi</t>
        </is>
      </c>
      <c r="E3886" t="inlineStr">
        <is>
          <t>North</t>
        </is>
      </c>
      <c r="F3886" t="inlineStr">
        <is>
          <t>Paid Search</t>
        </is>
      </c>
      <c r="G3886" t="inlineStr">
        <is>
          <t>Mobile App</t>
        </is>
      </c>
      <c r="H3886" t="inlineStr">
        <is>
          <t>UPI</t>
        </is>
      </c>
      <c r="I3886" t="inlineStr">
        <is>
          <t>Returned</t>
        </is>
      </c>
      <c r="J3886" t="n">
        <v>120</v>
      </c>
      <c r="K3886" t="n">
        <v>1</v>
      </c>
      <c r="L3886" t="n">
        <v>734</v>
      </c>
      <c r="M3886" t="n">
        <v>0</v>
      </c>
      <c r="N3886">
        <f>VLOOKUP(J3886,Products!$A$2:$C$49,3,FALSE)</f>
        <v/>
      </c>
      <c r="O3886">
        <f>K3886*L3886-M3886</f>
        <v/>
      </c>
      <c r="P3886">
        <f>TEXT(B3886,"yyyy-mm")</f>
        <v/>
      </c>
      <c r="Q3886">
        <f>IF(O3886&gt;=3000,"Large","Small")</f>
        <v/>
      </c>
      <c r="R3886">
        <f>INDEX(Products!$F$2:$F$49,MATCH(J3886,Products!$A$2:$A$49,0))</f>
        <v/>
      </c>
      <c r="S3886">
        <f>WEEKDAY(B3886,2)</f>
        <v/>
      </c>
    </row>
    <row r="3887">
      <c r="A3887" t="n">
        <v>511493</v>
      </c>
      <c r="B3887" s="6" t="n">
        <v>46006</v>
      </c>
      <c r="C3887" t="n">
        <v>14628</v>
      </c>
      <c r="D3887" t="inlineStr">
        <is>
          <t>Jaipur</t>
        </is>
      </c>
      <c r="E3887" t="inlineStr">
        <is>
          <t>North</t>
        </is>
      </c>
      <c r="F3887" t="inlineStr">
        <is>
          <t>Referral</t>
        </is>
      </c>
      <c r="G3887" t="inlineStr">
        <is>
          <t>Mobile Web</t>
        </is>
      </c>
      <c r="H3887" t="inlineStr">
        <is>
          <t>Debit Card</t>
        </is>
      </c>
      <c r="I3887" t="inlineStr">
        <is>
          <t>Delivered</t>
        </is>
      </c>
      <c r="J3887" t="n">
        <v>107</v>
      </c>
      <c r="K3887" t="n">
        <v>1</v>
      </c>
      <c r="L3887" t="n">
        <v>1259</v>
      </c>
      <c r="M3887" t="n">
        <v>0</v>
      </c>
      <c r="N3887">
        <f>VLOOKUP(J3887,Products!$A$2:$C$49,3,FALSE)</f>
        <v/>
      </c>
      <c r="O3887">
        <f>K3887*L3887-M3887</f>
        <v/>
      </c>
      <c r="P3887">
        <f>TEXT(B3887,"yyyy-mm")</f>
        <v/>
      </c>
      <c r="Q3887">
        <f>IF(O3887&gt;=3000,"Large","Small")</f>
        <v/>
      </c>
      <c r="R3887">
        <f>INDEX(Products!$F$2:$F$49,MATCH(J3887,Products!$A$2:$A$49,0))</f>
        <v/>
      </c>
      <c r="S3887">
        <f>WEEKDAY(B3887,2)</f>
        <v/>
      </c>
    </row>
    <row r="3888">
      <c r="A3888" t="n">
        <v>511493</v>
      </c>
      <c r="B3888" s="6" t="n">
        <v>46006</v>
      </c>
      <c r="C3888" t="n">
        <v>14628</v>
      </c>
      <c r="D3888" t="inlineStr">
        <is>
          <t>Jaipur</t>
        </is>
      </c>
      <c r="E3888" t="inlineStr">
        <is>
          <t>North</t>
        </is>
      </c>
      <c r="F3888" t="inlineStr">
        <is>
          <t>Referral</t>
        </is>
      </c>
      <c r="G3888" t="inlineStr">
        <is>
          <t>Mobile Web</t>
        </is>
      </c>
      <c r="H3888" t="inlineStr">
        <is>
          <t>Debit Card</t>
        </is>
      </c>
      <c r="I3888" t="inlineStr">
        <is>
          <t>Delivered</t>
        </is>
      </c>
      <c r="J3888" t="n">
        <v>118</v>
      </c>
      <c r="K3888" t="n">
        <v>2</v>
      </c>
      <c r="L3888" t="n">
        <v>944</v>
      </c>
      <c r="M3888" t="n">
        <v>0</v>
      </c>
      <c r="N3888">
        <f>VLOOKUP(J3888,Products!$A$2:$C$49,3,FALSE)</f>
        <v/>
      </c>
      <c r="O3888">
        <f>K3888*L3888-M3888</f>
        <v/>
      </c>
      <c r="P3888">
        <f>TEXT(B3888,"yyyy-mm")</f>
        <v/>
      </c>
      <c r="Q3888">
        <f>IF(O3888&gt;=3000,"Large","Small")</f>
        <v/>
      </c>
      <c r="R3888">
        <f>INDEX(Products!$F$2:$F$49,MATCH(J3888,Products!$A$2:$A$49,0))</f>
        <v/>
      </c>
      <c r="S3888">
        <f>WEEKDAY(B3888,2)</f>
        <v/>
      </c>
    </row>
    <row r="3889">
      <c r="A3889" t="n">
        <v>511494</v>
      </c>
      <c r="B3889" s="6" t="n">
        <v>46006</v>
      </c>
      <c r="C3889" t="n">
        <v>17620</v>
      </c>
      <c r="D3889" t="inlineStr">
        <is>
          <t>Indore</t>
        </is>
      </c>
      <c r="E3889" t="inlineStr">
        <is>
          <t>West</t>
        </is>
      </c>
      <c r="F3889" t="inlineStr">
        <is>
          <t>Organic Search</t>
        </is>
      </c>
      <c r="G3889" t="inlineStr">
        <is>
          <t>Mobile Web</t>
        </is>
      </c>
      <c r="H3889" t="inlineStr">
        <is>
          <t>UPI</t>
        </is>
      </c>
      <c r="I3889" t="inlineStr">
        <is>
          <t>Delivered</t>
        </is>
      </c>
      <c r="J3889" t="n">
        <v>120</v>
      </c>
      <c r="K3889" t="n">
        <v>1</v>
      </c>
      <c r="L3889" t="n">
        <v>734</v>
      </c>
      <c r="M3889" t="n">
        <v>0</v>
      </c>
      <c r="N3889">
        <f>VLOOKUP(J3889,Products!$A$2:$C$49,3,FALSE)</f>
        <v/>
      </c>
      <c r="O3889">
        <f>K3889*L3889-M3889</f>
        <v/>
      </c>
      <c r="P3889">
        <f>TEXT(B3889,"yyyy-mm")</f>
        <v/>
      </c>
      <c r="Q3889">
        <f>IF(O3889&gt;=3000,"Large","Small")</f>
        <v/>
      </c>
      <c r="R3889">
        <f>INDEX(Products!$F$2:$F$49,MATCH(J3889,Products!$A$2:$A$49,0))</f>
        <v/>
      </c>
      <c r="S3889">
        <f>WEEKDAY(B3889,2)</f>
        <v/>
      </c>
    </row>
    <row r="3890">
      <c r="A3890" t="n">
        <v>511494</v>
      </c>
      <c r="B3890" s="6" t="n">
        <v>46006</v>
      </c>
      <c r="C3890" t="n">
        <v>17620</v>
      </c>
      <c r="D3890" t="inlineStr">
        <is>
          <t>Indore</t>
        </is>
      </c>
      <c r="E3890" t="inlineStr">
        <is>
          <t>West</t>
        </is>
      </c>
      <c r="F3890" t="inlineStr">
        <is>
          <t>Organic Search</t>
        </is>
      </c>
      <c r="G3890" t="inlineStr">
        <is>
          <t>Mobile Web</t>
        </is>
      </c>
      <c r="H3890" t="inlineStr">
        <is>
          <t>UPI</t>
        </is>
      </c>
      <c r="I3890" t="inlineStr">
        <is>
          <t>Delivered</t>
        </is>
      </c>
      <c r="J3890" t="n">
        <v>125</v>
      </c>
      <c r="K3890" t="n">
        <v>1</v>
      </c>
      <c r="L3890" t="n">
        <v>1364</v>
      </c>
      <c r="M3890" t="n">
        <v>0</v>
      </c>
      <c r="N3890">
        <f>VLOOKUP(J3890,Products!$A$2:$C$49,3,FALSE)</f>
        <v/>
      </c>
      <c r="O3890">
        <f>K3890*L3890-M3890</f>
        <v/>
      </c>
      <c r="P3890">
        <f>TEXT(B3890,"yyyy-mm")</f>
        <v/>
      </c>
      <c r="Q3890">
        <f>IF(O3890&gt;=3000,"Large","Small")</f>
        <v/>
      </c>
      <c r="R3890">
        <f>INDEX(Products!$F$2:$F$49,MATCH(J3890,Products!$A$2:$A$49,0))</f>
        <v/>
      </c>
      <c r="S3890">
        <f>WEEKDAY(B3890,2)</f>
        <v/>
      </c>
    </row>
    <row r="3891">
      <c r="A3891" t="n">
        <v>511494</v>
      </c>
      <c r="B3891" s="6" t="n">
        <v>46006</v>
      </c>
      <c r="C3891" t="n">
        <v>17620</v>
      </c>
      <c r="D3891" t="inlineStr">
        <is>
          <t>Indore</t>
        </is>
      </c>
      <c r="E3891" t="inlineStr">
        <is>
          <t>West</t>
        </is>
      </c>
      <c r="F3891" t="inlineStr">
        <is>
          <t>Organic Search</t>
        </is>
      </c>
      <c r="G3891" t="inlineStr">
        <is>
          <t>Mobile Web</t>
        </is>
      </c>
      <c r="H3891" t="inlineStr">
        <is>
          <t>UPI</t>
        </is>
      </c>
      <c r="I3891" t="inlineStr">
        <is>
          <t>Delivered</t>
        </is>
      </c>
      <c r="J3891" t="n">
        <v>143</v>
      </c>
      <c r="K3891" t="n">
        <v>2</v>
      </c>
      <c r="L3891" t="n">
        <v>839</v>
      </c>
      <c r="M3891" t="n">
        <v>0</v>
      </c>
      <c r="N3891">
        <f>VLOOKUP(J3891,Products!$A$2:$C$49,3,FALSE)</f>
        <v/>
      </c>
      <c r="O3891">
        <f>K3891*L3891-M3891</f>
        <v/>
      </c>
      <c r="P3891">
        <f>TEXT(B3891,"yyyy-mm")</f>
        <v/>
      </c>
      <c r="Q3891">
        <f>IF(O3891&gt;=3000,"Large","Small")</f>
        <v/>
      </c>
      <c r="R3891">
        <f>INDEX(Products!$F$2:$F$49,MATCH(J3891,Products!$A$2:$A$49,0))</f>
        <v/>
      </c>
      <c r="S3891">
        <f>WEEKDAY(B3891,2)</f>
        <v/>
      </c>
    </row>
    <row r="3892">
      <c r="A3892" t="n">
        <v>511495</v>
      </c>
      <c r="B3892" s="6" t="n">
        <v>46006</v>
      </c>
      <c r="C3892" t="n">
        <v>16940</v>
      </c>
      <c r="D3892" t="inlineStr">
        <is>
          <t>Jaipur</t>
        </is>
      </c>
      <c r="E3892" t="inlineStr">
        <is>
          <t>North</t>
        </is>
      </c>
      <c r="F3892" t="inlineStr">
        <is>
          <t>Paid Social</t>
        </is>
      </c>
      <c r="G3892" t="inlineStr">
        <is>
          <t>Mobile App</t>
        </is>
      </c>
      <c r="H3892" t="inlineStr">
        <is>
          <t>UPI</t>
        </is>
      </c>
      <c r="I3892" t="inlineStr">
        <is>
          <t>Delivered</t>
        </is>
      </c>
      <c r="J3892" t="n">
        <v>102</v>
      </c>
      <c r="K3892" t="n">
        <v>3</v>
      </c>
      <c r="L3892" t="n">
        <v>3674</v>
      </c>
      <c r="M3892" t="n">
        <v>0</v>
      </c>
      <c r="N3892">
        <f>VLOOKUP(J3892,Products!$A$2:$C$49,3,FALSE)</f>
        <v/>
      </c>
      <c r="O3892">
        <f>K3892*L3892-M3892</f>
        <v/>
      </c>
      <c r="P3892">
        <f>TEXT(B3892,"yyyy-mm")</f>
        <v/>
      </c>
      <c r="Q3892">
        <f>IF(O3892&gt;=3000,"Large","Small")</f>
        <v/>
      </c>
      <c r="R3892">
        <f>INDEX(Products!$F$2:$F$49,MATCH(J3892,Products!$A$2:$A$49,0))</f>
        <v/>
      </c>
      <c r="S3892">
        <f>WEEKDAY(B3892,2)</f>
        <v/>
      </c>
    </row>
    <row r="3893">
      <c r="A3893" t="n">
        <v>511496</v>
      </c>
      <c r="B3893" s="6" t="n">
        <v>46006</v>
      </c>
      <c r="C3893" t="n">
        <v>17220</v>
      </c>
      <c r="D3893" t="inlineStr">
        <is>
          <t>Hyderabad</t>
        </is>
      </c>
      <c r="E3893" t="inlineStr">
        <is>
          <t>South</t>
        </is>
      </c>
      <c r="F3893" t="inlineStr">
        <is>
          <t>Referral</t>
        </is>
      </c>
      <c r="G3893" t="inlineStr">
        <is>
          <t>Mobile App</t>
        </is>
      </c>
      <c r="H3893" t="inlineStr">
        <is>
          <t>UPI</t>
        </is>
      </c>
      <c r="I3893" t="inlineStr">
        <is>
          <t>Delivered</t>
        </is>
      </c>
      <c r="J3893" t="n">
        <v>103</v>
      </c>
      <c r="K3893" t="n">
        <v>1</v>
      </c>
      <c r="L3893" t="n">
        <v>2624</v>
      </c>
      <c r="M3893" t="n">
        <v>0</v>
      </c>
      <c r="N3893">
        <f>VLOOKUP(J3893,Products!$A$2:$C$49,3,FALSE)</f>
        <v/>
      </c>
      <c r="O3893">
        <f>K3893*L3893-M3893</f>
        <v/>
      </c>
      <c r="P3893">
        <f>TEXT(B3893,"yyyy-mm")</f>
        <v/>
      </c>
      <c r="Q3893">
        <f>IF(O3893&gt;=3000,"Large","Small")</f>
        <v/>
      </c>
      <c r="R3893">
        <f>INDEX(Products!$F$2:$F$49,MATCH(J3893,Products!$A$2:$A$49,0))</f>
        <v/>
      </c>
      <c r="S3893">
        <f>WEEKDAY(B3893,2)</f>
        <v/>
      </c>
    </row>
    <row r="3894">
      <c r="A3894" t="n">
        <v>511496</v>
      </c>
      <c r="B3894" s="6" t="n">
        <v>46006</v>
      </c>
      <c r="C3894" t="n">
        <v>17220</v>
      </c>
      <c r="D3894" t="inlineStr">
        <is>
          <t>Hyderabad</t>
        </is>
      </c>
      <c r="E3894" t="inlineStr">
        <is>
          <t>South</t>
        </is>
      </c>
      <c r="F3894" t="inlineStr">
        <is>
          <t>Referral</t>
        </is>
      </c>
      <c r="G3894" t="inlineStr">
        <is>
          <t>Mobile App</t>
        </is>
      </c>
      <c r="H3894" t="inlineStr">
        <is>
          <t>UPI</t>
        </is>
      </c>
      <c r="I3894" t="inlineStr">
        <is>
          <t>Delivered</t>
        </is>
      </c>
      <c r="J3894" t="n">
        <v>118</v>
      </c>
      <c r="K3894" t="n">
        <v>1</v>
      </c>
      <c r="L3894" t="n">
        <v>944</v>
      </c>
      <c r="M3894" t="n">
        <v>0</v>
      </c>
      <c r="N3894">
        <f>VLOOKUP(J3894,Products!$A$2:$C$49,3,FALSE)</f>
        <v/>
      </c>
      <c r="O3894">
        <f>K3894*L3894-M3894</f>
        <v/>
      </c>
      <c r="P3894">
        <f>TEXT(B3894,"yyyy-mm")</f>
        <v/>
      </c>
      <c r="Q3894">
        <f>IF(O3894&gt;=3000,"Large","Small")</f>
        <v/>
      </c>
      <c r="R3894">
        <f>INDEX(Products!$F$2:$F$49,MATCH(J3894,Products!$A$2:$A$49,0))</f>
        <v/>
      </c>
      <c r="S3894">
        <f>WEEKDAY(B3894,2)</f>
        <v/>
      </c>
    </row>
    <row r="3895">
      <c r="A3895" t="n">
        <v>511496</v>
      </c>
      <c r="B3895" s="6" t="n">
        <v>46006</v>
      </c>
      <c r="C3895" t="n">
        <v>17220</v>
      </c>
      <c r="D3895" t="inlineStr">
        <is>
          <t>Hyderabad</t>
        </is>
      </c>
      <c r="E3895" t="inlineStr">
        <is>
          <t>South</t>
        </is>
      </c>
      <c r="F3895" t="inlineStr">
        <is>
          <t>Referral</t>
        </is>
      </c>
      <c r="G3895" t="inlineStr">
        <is>
          <t>Mobile App</t>
        </is>
      </c>
      <c r="H3895" t="inlineStr">
        <is>
          <t>UPI</t>
        </is>
      </c>
      <c r="I3895" t="inlineStr">
        <is>
          <t>Delivered</t>
        </is>
      </c>
      <c r="J3895" t="n">
        <v>104</v>
      </c>
      <c r="K3895" t="n">
        <v>1</v>
      </c>
      <c r="L3895" t="n">
        <v>5249</v>
      </c>
      <c r="M3895" t="n">
        <v>0</v>
      </c>
      <c r="N3895">
        <f>VLOOKUP(J3895,Products!$A$2:$C$49,3,FALSE)</f>
        <v/>
      </c>
      <c r="O3895">
        <f>K3895*L3895-M3895</f>
        <v/>
      </c>
      <c r="P3895">
        <f>TEXT(B3895,"yyyy-mm")</f>
        <v/>
      </c>
      <c r="Q3895">
        <f>IF(O3895&gt;=3000,"Large","Small")</f>
        <v/>
      </c>
      <c r="R3895">
        <f>INDEX(Products!$F$2:$F$49,MATCH(J3895,Products!$A$2:$A$49,0))</f>
        <v/>
      </c>
      <c r="S3895">
        <f>WEEKDAY(B3895,2)</f>
        <v/>
      </c>
    </row>
    <row r="3896">
      <c r="A3896" t="n">
        <v>511497</v>
      </c>
      <c r="B3896" s="6" t="n">
        <v>46006</v>
      </c>
      <c r="C3896" t="n">
        <v>15839</v>
      </c>
      <c r="D3896" t="inlineStr">
        <is>
          <t>Gurugram</t>
        </is>
      </c>
      <c r="E3896" t="inlineStr">
        <is>
          <t>North</t>
        </is>
      </c>
      <c r="F3896" t="inlineStr">
        <is>
          <t>Paid Search</t>
        </is>
      </c>
      <c r="G3896" t="inlineStr">
        <is>
          <t>Mobile Web</t>
        </is>
      </c>
      <c r="H3896" t="inlineStr">
        <is>
          <t>UPI</t>
        </is>
      </c>
      <c r="I3896" t="inlineStr">
        <is>
          <t>Delivered</t>
        </is>
      </c>
      <c r="J3896" t="n">
        <v>140</v>
      </c>
      <c r="K3896" t="n">
        <v>1</v>
      </c>
      <c r="L3896" t="n">
        <v>629</v>
      </c>
      <c r="M3896" t="n">
        <v>0</v>
      </c>
      <c r="N3896">
        <f>VLOOKUP(J3896,Products!$A$2:$C$49,3,FALSE)</f>
        <v/>
      </c>
      <c r="O3896">
        <f>K3896*L3896-M3896</f>
        <v/>
      </c>
      <c r="P3896">
        <f>TEXT(B3896,"yyyy-mm")</f>
        <v/>
      </c>
      <c r="Q3896">
        <f>IF(O3896&gt;=3000,"Large","Small")</f>
        <v/>
      </c>
      <c r="R3896">
        <f>INDEX(Products!$F$2:$F$49,MATCH(J3896,Products!$A$2:$A$49,0))</f>
        <v/>
      </c>
      <c r="S3896">
        <f>WEEKDAY(B3896,2)</f>
        <v/>
      </c>
    </row>
    <row r="3897">
      <c r="A3897" t="n">
        <v>511498</v>
      </c>
      <c r="B3897" s="6" t="n">
        <v>46006</v>
      </c>
      <c r="C3897" t="n">
        <v>17788</v>
      </c>
      <c r="D3897" t="inlineStr">
        <is>
          <t>Chennai</t>
        </is>
      </c>
      <c r="E3897" t="inlineStr">
        <is>
          <t>South</t>
        </is>
      </c>
      <c r="F3897" t="inlineStr">
        <is>
          <t>Paid Social</t>
        </is>
      </c>
      <c r="G3897" t="inlineStr">
        <is>
          <t>Mobile Web</t>
        </is>
      </c>
      <c r="H3897" t="inlineStr">
        <is>
          <t>UPI</t>
        </is>
      </c>
      <c r="I3897" t="inlineStr">
        <is>
          <t>Delivered</t>
        </is>
      </c>
      <c r="J3897" t="n">
        <v>124</v>
      </c>
      <c r="K3897" t="n">
        <v>1</v>
      </c>
      <c r="L3897" t="n">
        <v>1154</v>
      </c>
      <c r="M3897" t="n">
        <v>0</v>
      </c>
      <c r="N3897">
        <f>VLOOKUP(J3897,Products!$A$2:$C$49,3,FALSE)</f>
        <v/>
      </c>
      <c r="O3897">
        <f>K3897*L3897-M3897</f>
        <v/>
      </c>
      <c r="P3897">
        <f>TEXT(B3897,"yyyy-mm")</f>
        <v/>
      </c>
      <c r="Q3897">
        <f>IF(O3897&gt;=3000,"Large","Small")</f>
        <v/>
      </c>
      <c r="R3897">
        <f>INDEX(Products!$F$2:$F$49,MATCH(J3897,Products!$A$2:$A$49,0))</f>
        <v/>
      </c>
      <c r="S3897">
        <f>WEEKDAY(B3897,2)</f>
        <v/>
      </c>
    </row>
    <row r="3898">
      <c r="A3898" t="n">
        <v>511498</v>
      </c>
      <c r="B3898" s="6" t="n">
        <v>46006</v>
      </c>
      <c r="C3898" t="n">
        <v>17788</v>
      </c>
      <c r="D3898" t="inlineStr">
        <is>
          <t>Chennai</t>
        </is>
      </c>
      <c r="E3898" t="inlineStr">
        <is>
          <t>South</t>
        </is>
      </c>
      <c r="F3898" t="inlineStr">
        <is>
          <t>Paid Social</t>
        </is>
      </c>
      <c r="G3898" t="inlineStr">
        <is>
          <t>Mobile Web</t>
        </is>
      </c>
      <c r="H3898" t="inlineStr">
        <is>
          <t>UPI</t>
        </is>
      </c>
      <c r="I3898" t="inlineStr">
        <is>
          <t>Delivered</t>
        </is>
      </c>
      <c r="J3898" t="n">
        <v>117</v>
      </c>
      <c r="K3898" t="n">
        <v>1</v>
      </c>
      <c r="L3898" t="n">
        <v>3149</v>
      </c>
      <c r="M3898" t="n">
        <v>0</v>
      </c>
      <c r="N3898">
        <f>VLOOKUP(J3898,Products!$A$2:$C$49,3,FALSE)</f>
        <v/>
      </c>
      <c r="O3898">
        <f>K3898*L3898-M3898</f>
        <v/>
      </c>
      <c r="P3898">
        <f>TEXT(B3898,"yyyy-mm")</f>
        <v/>
      </c>
      <c r="Q3898">
        <f>IF(O3898&gt;=3000,"Large","Small")</f>
        <v/>
      </c>
      <c r="R3898">
        <f>INDEX(Products!$F$2:$F$49,MATCH(J3898,Products!$A$2:$A$49,0))</f>
        <v/>
      </c>
      <c r="S3898">
        <f>WEEKDAY(B3898,2)</f>
        <v/>
      </c>
    </row>
    <row r="3899">
      <c r="A3899" t="n">
        <v>511499</v>
      </c>
      <c r="B3899" s="6" t="n">
        <v>46006</v>
      </c>
      <c r="C3899" t="n">
        <v>17643</v>
      </c>
      <c r="D3899" t="inlineStr">
        <is>
          <t>Delhi</t>
        </is>
      </c>
      <c r="E3899" t="inlineStr">
        <is>
          <t>North</t>
        </is>
      </c>
      <c r="F3899" t="inlineStr">
        <is>
          <t>Paid Search</t>
        </is>
      </c>
      <c r="G3899" t="inlineStr">
        <is>
          <t>Mobile Web</t>
        </is>
      </c>
      <c r="H3899" t="inlineStr">
        <is>
          <t>UPI</t>
        </is>
      </c>
      <c r="I3899" t="inlineStr">
        <is>
          <t>Delivered</t>
        </is>
      </c>
      <c r="J3899" t="n">
        <v>111</v>
      </c>
      <c r="K3899" t="n">
        <v>1</v>
      </c>
      <c r="L3899" t="n">
        <v>524</v>
      </c>
      <c r="M3899" t="n">
        <v>78.59999999999999</v>
      </c>
      <c r="N3899">
        <f>VLOOKUP(J3899,Products!$A$2:$C$49,3,FALSE)</f>
        <v/>
      </c>
      <c r="O3899">
        <f>K3899*L3899-M3899</f>
        <v/>
      </c>
      <c r="P3899">
        <f>TEXT(B3899,"yyyy-mm")</f>
        <v/>
      </c>
      <c r="Q3899">
        <f>IF(O3899&gt;=3000,"Large","Small")</f>
        <v/>
      </c>
      <c r="R3899">
        <f>INDEX(Products!$F$2:$F$49,MATCH(J3899,Products!$A$2:$A$49,0))</f>
        <v/>
      </c>
      <c r="S3899">
        <f>WEEKDAY(B3899,2)</f>
        <v/>
      </c>
    </row>
    <row r="3900">
      <c r="A3900" t="n">
        <v>511499</v>
      </c>
      <c r="B3900" s="6" t="n">
        <v>46006</v>
      </c>
      <c r="C3900" t="n">
        <v>17643</v>
      </c>
      <c r="D3900" t="inlineStr">
        <is>
          <t>Delhi</t>
        </is>
      </c>
      <c r="E3900" t="inlineStr">
        <is>
          <t>North</t>
        </is>
      </c>
      <c r="F3900" t="inlineStr">
        <is>
          <t>Paid Search</t>
        </is>
      </c>
      <c r="G3900" t="inlineStr">
        <is>
          <t>Mobile Web</t>
        </is>
      </c>
      <c r="H3900" t="inlineStr">
        <is>
          <t>UPI</t>
        </is>
      </c>
      <c r="I3900" t="inlineStr">
        <is>
          <t>Delivered</t>
        </is>
      </c>
      <c r="J3900" t="n">
        <v>118</v>
      </c>
      <c r="K3900" t="n">
        <v>1</v>
      </c>
      <c r="L3900" t="n">
        <v>944</v>
      </c>
      <c r="M3900" t="n">
        <v>141.6</v>
      </c>
      <c r="N3900">
        <f>VLOOKUP(J3900,Products!$A$2:$C$49,3,FALSE)</f>
        <v/>
      </c>
      <c r="O3900">
        <f>K3900*L3900-M3900</f>
        <v/>
      </c>
      <c r="P3900">
        <f>TEXT(B3900,"yyyy-mm")</f>
        <v/>
      </c>
      <c r="Q3900">
        <f>IF(O3900&gt;=3000,"Large","Small")</f>
        <v/>
      </c>
      <c r="R3900">
        <f>INDEX(Products!$F$2:$F$49,MATCH(J3900,Products!$A$2:$A$49,0))</f>
        <v/>
      </c>
      <c r="S3900">
        <f>WEEKDAY(B3900,2)</f>
        <v/>
      </c>
    </row>
    <row r="3901">
      <c r="A3901" t="n">
        <v>511499</v>
      </c>
      <c r="B3901" s="6" t="n">
        <v>46006</v>
      </c>
      <c r="C3901" t="n">
        <v>17643</v>
      </c>
      <c r="D3901" t="inlineStr">
        <is>
          <t>Delhi</t>
        </is>
      </c>
      <c r="E3901" t="inlineStr">
        <is>
          <t>North</t>
        </is>
      </c>
      <c r="F3901" t="inlineStr">
        <is>
          <t>Paid Search</t>
        </is>
      </c>
      <c r="G3901" t="inlineStr">
        <is>
          <t>Mobile Web</t>
        </is>
      </c>
      <c r="H3901" t="inlineStr">
        <is>
          <t>UPI</t>
        </is>
      </c>
      <c r="I3901" t="inlineStr">
        <is>
          <t>Delivered</t>
        </is>
      </c>
      <c r="J3901" t="n">
        <v>115</v>
      </c>
      <c r="K3901" t="n">
        <v>1</v>
      </c>
      <c r="L3901" t="n">
        <v>4199</v>
      </c>
      <c r="M3901" t="n">
        <v>629.85</v>
      </c>
      <c r="N3901">
        <f>VLOOKUP(J3901,Products!$A$2:$C$49,3,FALSE)</f>
        <v/>
      </c>
      <c r="O3901">
        <f>K3901*L3901-M3901</f>
        <v/>
      </c>
      <c r="P3901">
        <f>TEXT(B3901,"yyyy-mm")</f>
        <v/>
      </c>
      <c r="Q3901">
        <f>IF(O3901&gt;=3000,"Large","Small")</f>
        <v/>
      </c>
      <c r="R3901">
        <f>INDEX(Products!$F$2:$F$49,MATCH(J3901,Products!$A$2:$A$49,0))</f>
        <v/>
      </c>
      <c r="S3901">
        <f>WEEKDAY(B3901,2)</f>
        <v/>
      </c>
    </row>
    <row r="3902">
      <c r="A3902" t="n">
        <v>511500</v>
      </c>
      <c r="B3902" s="6" t="n">
        <v>46006</v>
      </c>
      <c r="C3902" t="n">
        <v>17702</v>
      </c>
      <c r="D3902" t="inlineStr">
        <is>
          <t>Kolkata</t>
        </is>
      </c>
      <c r="E3902" t="inlineStr">
        <is>
          <t>East</t>
        </is>
      </c>
      <c r="F3902" t="inlineStr">
        <is>
          <t>Referral</t>
        </is>
      </c>
      <c r="G3902" t="inlineStr">
        <is>
          <t>Mobile App</t>
        </is>
      </c>
      <c r="H3902" t="inlineStr">
        <is>
          <t>UPI</t>
        </is>
      </c>
      <c r="I3902" t="inlineStr">
        <is>
          <t>Delivered</t>
        </is>
      </c>
      <c r="J3902" t="n">
        <v>113</v>
      </c>
      <c r="K3902" t="n">
        <v>1</v>
      </c>
      <c r="L3902" t="n">
        <v>1364</v>
      </c>
      <c r="M3902" t="n">
        <v>0</v>
      </c>
      <c r="N3902">
        <f>VLOOKUP(J3902,Products!$A$2:$C$49,3,FALSE)</f>
        <v/>
      </c>
      <c r="O3902">
        <f>K3902*L3902-M3902</f>
        <v/>
      </c>
      <c r="P3902">
        <f>TEXT(B3902,"yyyy-mm")</f>
        <v/>
      </c>
      <c r="Q3902">
        <f>IF(O3902&gt;=3000,"Large","Small")</f>
        <v/>
      </c>
      <c r="R3902">
        <f>INDEX(Products!$F$2:$F$49,MATCH(J3902,Products!$A$2:$A$49,0))</f>
        <v/>
      </c>
      <c r="S3902">
        <f>WEEKDAY(B3902,2)</f>
        <v/>
      </c>
    </row>
    <row r="3903">
      <c r="A3903" t="n">
        <v>511500</v>
      </c>
      <c r="B3903" s="6" t="n">
        <v>46006</v>
      </c>
      <c r="C3903" t="n">
        <v>17702</v>
      </c>
      <c r="D3903" t="inlineStr">
        <is>
          <t>Kolkata</t>
        </is>
      </c>
      <c r="E3903" t="inlineStr">
        <is>
          <t>East</t>
        </is>
      </c>
      <c r="F3903" t="inlineStr">
        <is>
          <t>Referral</t>
        </is>
      </c>
      <c r="G3903" t="inlineStr">
        <is>
          <t>Mobile App</t>
        </is>
      </c>
      <c r="H3903" t="inlineStr">
        <is>
          <t>UPI</t>
        </is>
      </c>
      <c r="I3903" t="inlineStr">
        <is>
          <t>Delivered</t>
        </is>
      </c>
      <c r="J3903" t="n">
        <v>135</v>
      </c>
      <c r="K3903" t="n">
        <v>1</v>
      </c>
      <c r="L3903" t="n">
        <v>1574</v>
      </c>
      <c r="M3903" t="n">
        <v>0</v>
      </c>
      <c r="N3903">
        <f>VLOOKUP(J3903,Products!$A$2:$C$49,3,FALSE)</f>
        <v/>
      </c>
      <c r="O3903">
        <f>K3903*L3903-M3903</f>
        <v/>
      </c>
      <c r="P3903">
        <f>TEXT(B3903,"yyyy-mm")</f>
        <v/>
      </c>
      <c r="Q3903">
        <f>IF(O3903&gt;=3000,"Large","Small")</f>
        <v/>
      </c>
      <c r="R3903">
        <f>INDEX(Products!$F$2:$F$49,MATCH(J3903,Products!$A$2:$A$49,0))</f>
        <v/>
      </c>
      <c r="S3903">
        <f>WEEKDAY(B3903,2)</f>
        <v/>
      </c>
    </row>
    <row r="3904">
      <c r="A3904" t="n">
        <v>511501</v>
      </c>
      <c r="B3904" s="6" t="n">
        <v>46006</v>
      </c>
      <c r="C3904" t="n">
        <v>17745</v>
      </c>
      <c r="D3904" t="inlineStr">
        <is>
          <t>Mumbai</t>
        </is>
      </c>
      <c r="E3904" t="inlineStr">
        <is>
          <t>West</t>
        </is>
      </c>
      <c r="F3904" t="inlineStr">
        <is>
          <t>Paid Search</t>
        </is>
      </c>
      <c r="G3904" t="inlineStr">
        <is>
          <t>Desktop</t>
        </is>
      </c>
      <c r="H3904" t="inlineStr">
        <is>
          <t>UPI</t>
        </is>
      </c>
      <c r="I3904" t="inlineStr">
        <is>
          <t>Returned</t>
        </is>
      </c>
      <c r="J3904" t="n">
        <v>114</v>
      </c>
      <c r="K3904" t="n">
        <v>1</v>
      </c>
      <c r="L3904" t="n">
        <v>1259</v>
      </c>
      <c r="M3904" t="n">
        <v>188.85</v>
      </c>
      <c r="N3904">
        <f>VLOOKUP(J3904,Products!$A$2:$C$49,3,FALSE)</f>
        <v/>
      </c>
      <c r="O3904">
        <f>K3904*L3904-M3904</f>
        <v/>
      </c>
      <c r="P3904">
        <f>TEXT(B3904,"yyyy-mm")</f>
        <v/>
      </c>
      <c r="Q3904">
        <f>IF(O3904&gt;=3000,"Large","Small")</f>
        <v/>
      </c>
      <c r="R3904">
        <f>INDEX(Products!$F$2:$F$49,MATCH(J3904,Products!$A$2:$A$49,0))</f>
        <v/>
      </c>
      <c r="S3904">
        <f>WEEKDAY(B3904,2)</f>
        <v/>
      </c>
    </row>
    <row r="3905">
      <c r="A3905" t="n">
        <v>511501</v>
      </c>
      <c r="B3905" s="6" t="n">
        <v>46006</v>
      </c>
      <c r="C3905" t="n">
        <v>17745</v>
      </c>
      <c r="D3905" t="inlineStr">
        <is>
          <t>Mumbai</t>
        </is>
      </c>
      <c r="E3905" t="inlineStr">
        <is>
          <t>West</t>
        </is>
      </c>
      <c r="F3905" t="inlineStr">
        <is>
          <t>Paid Search</t>
        </is>
      </c>
      <c r="G3905" t="inlineStr">
        <is>
          <t>Desktop</t>
        </is>
      </c>
      <c r="H3905" t="inlineStr">
        <is>
          <t>UPI</t>
        </is>
      </c>
      <c r="I3905" t="inlineStr">
        <is>
          <t>Returned</t>
        </is>
      </c>
      <c r="J3905" t="n">
        <v>132</v>
      </c>
      <c r="K3905" t="n">
        <v>1</v>
      </c>
      <c r="L3905" t="n">
        <v>471</v>
      </c>
      <c r="M3905" t="n">
        <v>70.65000000000001</v>
      </c>
      <c r="N3905">
        <f>VLOOKUP(J3905,Products!$A$2:$C$49,3,FALSE)</f>
        <v/>
      </c>
      <c r="O3905">
        <f>K3905*L3905-M3905</f>
        <v/>
      </c>
      <c r="P3905">
        <f>TEXT(B3905,"yyyy-mm")</f>
        <v/>
      </c>
      <c r="Q3905">
        <f>IF(O3905&gt;=3000,"Large","Small")</f>
        <v/>
      </c>
      <c r="R3905">
        <f>INDEX(Products!$F$2:$F$49,MATCH(J3905,Products!$A$2:$A$49,0))</f>
        <v/>
      </c>
      <c r="S3905">
        <f>WEEKDAY(B3905,2)</f>
        <v/>
      </c>
    </row>
    <row r="3906">
      <c r="A3906" t="n">
        <v>511502</v>
      </c>
      <c r="B3906" s="6" t="n">
        <v>46006</v>
      </c>
      <c r="C3906" t="n">
        <v>14100</v>
      </c>
      <c r="D3906" t="inlineStr">
        <is>
          <t>Mumbai</t>
        </is>
      </c>
      <c r="E3906" t="inlineStr">
        <is>
          <t>West</t>
        </is>
      </c>
      <c r="F3906" t="inlineStr">
        <is>
          <t>Organic Search</t>
        </is>
      </c>
      <c r="G3906" t="inlineStr">
        <is>
          <t>Mobile App</t>
        </is>
      </c>
      <c r="H3906" t="inlineStr">
        <is>
          <t>Credit Card</t>
        </is>
      </c>
      <c r="I3906" t="inlineStr">
        <is>
          <t>Cancelled</t>
        </is>
      </c>
      <c r="J3906" t="n">
        <v>117</v>
      </c>
      <c r="K3906" t="n">
        <v>1</v>
      </c>
      <c r="L3906" t="n">
        <v>3149</v>
      </c>
      <c r="M3906" t="n">
        <v>0</v>
      </c>
      <c r="N3906">
        <f>VLOOKUP(J3906,Products!$A$2:$C$49,3,FALSE)</f>
        <v/>
      </c>
      <c r="O3906">
        <f>K3906*L3906-M3906</f>
        <v/>
      </c>
      <c r="P3906">
        <f>TEXT(B3906,"yyyy-mm")</f>
        <v/>
      </c>
      <c r="Q3906">
        <f>IF(O3906&gt;=3000,"Large","Small")</f>
        <v/>
      </c>
      <c r="R3906">
        <f>INDEX(Products!$F$2:$F$49,MATCH(J3906,Products!$A$2:$A$49,0))</f>
        <v/>
      </c>
      <c r="S3906">
        <f>WEEKDAY(B3906,2)</f>
        <v/>
      </c>
    </row>
    <row r="3907">
      <c r="A3907" t="n">
        <v>511503</v>
      </c>
      <c r="B3907" s="6" t="n">
        <v>46006</v>
      </c>
      <c r="C3907" t="n">
        <v>17729</v>
      </c>
      <c r="D3907" t="inlineStr">
        <is>
          <t>Noida</t>
        </is>
      </c>
      <c r="E3907" t="inlineStr">
        <is>
          <t>North</t>
        </is>
      </c>
      <c r="F3907" t="inlineStr">
        <is>
          <t>Organic Search</t>
        </is>
      </c>
      <c r="G3907" t="inlineStr">
        <is>
          <t>Desktop</t>
        </is>
      </c>
      <c r="H3907" t="inlineStr">
        <is>
          <t>UPI</t>
        </is>
      </c>
      <c r="I3907" t="inlineStr">
        <is>
          <t>Delivered</t>
        </is>
      </c>
      <c r="J3907" t="n">
        <v>102</v>
      </c>
      <c r="K3907" t="n">
        <v>1</v>
      </c>
      <c r="L3907" t="n">
        <v>3674</v>
      </c>
      <c r="M3907" t="n">
        <v>551.1</v>
      </c>
      <c r="N3907">
        <f>VLOOKUP(J3907,Products!$A$2:$C$49,3,FALSE)</f>
        <v/>
      </c>
      <c r="O3907">
        <f>K3907*L3907-M3907</f>
        <v/>
      </c>
      <c r="P3907">
        <f>TEXT(B3907,"yyyy-mm")</f>
        <v/>
      </c>
      <c r="Q3907">
        <f>IF(O3907&gt;=3000,"Large","Small")</f>
        <v/>
      </c>
      <c r="R3907">
        <f>INDEX(Products!$F$2:$F$49,MATCH(J3907,Products!$A$2:$A$49,0))</f>
        <v/>
      </c>
      <c r="S3907">
        <f>WEEKDAY(B3907,2)</f>
        <v/>
      </c>
    </row>
    <row r="3908">
      <c r="A3908" t="n">
        <v>511504</v>
      </c>
      <c r="B3908" s="6" t="n">
        <v>46006</v>
      </c>
      <c r="C3908" t="n">
        <v>15499</v>
      </c>
      <c r="D3908" t="inlineStr">
        <is>
          <t>Chennai</t>
        </is>
      </c>
      <c r="E3908" t="inlineStr">
        <is>
          <t>South</t>
        </is>
      </c>
      <c r="F3908" t="inlineStr">
        <is>
          <t>Paid Search</t>
        </is>
      </c>
      <c r="G3908" t="inlineStr">
        <is>
          <t>Mobile Web</t>
        </is>
      </c>
      <c r="H3908" t="inlineStr">
        <is>
          <t>UPI</t>
        </is>
      </c>
      <c r="I3908" t="inlineStr">
        <is>
          <t>Delivered</t>
        </is>
      </c>
      <c r="J3908" t="n">
        <v>119</v>
      </c>
      <c r="K3908" t="n">
        <v>1</v>
      </c>
      <c r="L3908" t="n">
        <v>2309</v>
      </c>
      <c r="M3908" t="n">
        <v>0</v>
      </c>
      <c r="N3908">
        <f>VLOOKUP(J3908,Products!$A$2:$C$49,3,FALSE)</f>
        <v/>
      </c>
      <c r="O3908">
        <f>K3908*L3908-M3908</f>
        <v/>
      </c>
      <c r="P3908">
        <f>TEXT(B3908,"yyyy-mm")</f>
        <v/>
      </c>
      <c r="Q3908">
        <f>IF(O3908&gt;=3000,"Large","Small")</f>
        <v/>
      </c>
      <c r="R3908">
        <f>INDEX(Products!$F$2:$F$49,MATCH(J3908,Products!$A$2:$A$49,0))</f>
        <v/>
      </c>
      <c r="S3908">
        <f>WEEKDAY(B3908,2)</f>
        <v/>
      </c>
    </row>
    <row r="3909">
      <c r="A3909" t="n">
        <v>511504</v>
      </c>
      <c r="B3909" s="6" t="n">
        <v>46006</v>
      </c>
      <c r="C3909" t="n">
        <v>15499</v>
      </c>
      <c r="D3909" t="inlineStr">
        <is>
          <t>Chennai</t>
        </is>
      </c>
      <c r="E3909" t="inlineStr">
        <is>
          <t>South</t>
        </is>
      </c>
      <c r="F3909" t="inlineStr">
        <is>
          <t>Paid Search</t>
        </is>
      </c>
      <c r="G3909" t="inlineStr">
        <is>
          <t>Mobile Web</t>
        </is>
      </c>
      <c r="H3909" t="inlineStr">
        <is>
          <t>UPI</t>
        </is>
      </c>
      <c r="I3909" t="inlineStr">
        <is>
          <t>Delivered</t>
        </is>
      </c>
      <c r="J3909" t="n">
        <v>106</v>
      </c>
      <c r="K3909" t="n">
        <v>1</v>
      </c>
      <c r="L3909" t="n">
        <v>1574</v>
      </c>
      <c r="M3909" t="n">
        <v>0</v>
      </c>
      <c r="N3909">
        <f>VLOOKUP(J3909,Products!$A$2:$C$49,3,FALSE)</f>
        <v/>
      </c>
      <c r="O3909">
        <f>K3909*L3909-M3909</f>
        <v/>
      </c>
      <c r="P3909">
        <f>TEXT(B3909,"yyyy-mm")</f>
        <v/>
      </c>
      <c r="Q3909">
        <f>IF(O3909&gt;=3000,"Large","Small")</f>
        <v/>
      </c>
      <c r="R3909">
        <f>INDEX(Products!$F$2:$F$49,MATCH(J3909,Products!$A$2:$A$49,0))</f>
        <v/>
      </c>
      <c r="S3909">
        <f>WEEKDAY(B3909,2)</f>
        <v/>
      </c>
    </row>
    <row r="3910">
      <c r="A3910" t="n">
        <v>511505</v>
      </c>
      <c r="B3910" s="6" t="n">
        <v>46006</v>
      </c>
      <c r="C3910" t="n">
        <v>17719</v>
      </c>
      <c r="D3910" t="inlineStr">
        <is>
          <t>Bengaluru</t>
        </is>
      </c>
      <c r="E3910" t="inlineStr">
        <is>
          <t>South</t>
        </is>
      </c>
      <c r="F3910" t="inlineStr">
        <is>
          <t>Organic Search</t>
        </is>
      </c>
      <c r="G3910" t="inlineStr">
        <is>
          <t>Mobile App</t>
        </is>
      </c>
      <c r="H3910" t="inlineStr">
        <is>
          <t>UPI</t>
        </is>
      </c>
      <c r="I3910" t="inlineStr">
        <is>
          <t>Returned</t>
        </is>
      </c>
      <c r="J3910" t="n">
        <v>118</v>
      </c>
      <c r="K3910" t="n">
        <v>2</v>
      </c>
      <c r="L3910" t="n">
        <v>944</v>
      </c>
      <c r="M3910" t="n">
        <v>283.2</v>
      </c>
      <c r="N3910">
        <f>VLOOKUP(J3910,Products!$A$2:$C$49,3,FALSE)</f>
        <v/>
      </c>
      <c r="O3910">
        <f>K3910*L3910-M3910</f>
        <v/>
      </c>
      <c r="P3910">
        <f>TEXT(B3910,"yyyy-mm")</f>
        <v/>
      </c>
      <c r="Q3910">
        <f>IF(O3910&gt;=3000,"Large","Small")</f>
        <v/>
      </c>
      <c r="R3910">
        <f>INDEX(Products!$F$2:$F$49,MATCH(J3910,Products!$A$2:$A$49,0))</f>
        <v/>
      </c>
      <c r="S3910">
        <f>WEEKDAY(B3910,2)</f>
        <v/>
      </c>
    </row>
    <row r="3911">
      <c r="A3911" t="n">
        <v>511506</v>
      </c>
      <c r="B3911" s="6" t="n">
        <v>46006</v>
      </c>
      <c r="C3911" t="n">
        <v>14261</v>
      </c>
      <c r="D3911" t="inlineStr">
        <is>
          <t>Bengaluru</t>
        </is>
      </c>
      <c r="E3911" t="inlineStr">
        <is>
          <t>South</t>
        </is>
      </c>
      <c r="F3911" t="inlineStr">
        <is>
          <t>Email</t>
        </is>
      </c>
      <c r="G3911" t="inlineStr">
        <is>
          <t>Mobile App</t>
        </is>
      </c>
      <c r="H3911" t="inlineStr">
        <is>
          <t>Credit Card</t>
        </is>
      </c>
      <c r="I3911" t="inlineStr">
        <is>
          <t>Delivered</t>
        </is>
      </c>
      <c r="J3911" t="n">
        <v>145</v>
      </c>
      <c r="K3911" t="n">
        <v>1</v>
      </c>
      <c r="L3911" t="n">
        <v>629</v>
      </c>
      <c r="M3911" t="n">
        <v>0</v>
      </c>
      <c r="N3911">
        <f>VLOOKUP(J3911,Products!$A$2:$C$49,3,FALSE)</f>
        <v/>
      </c>
      <c r="O3911">
        <f>K3911*L3911-M3911</f>
        <v/>
      </c>
      <c r="P3911">
        <f>TEXT(B3911,"yyyy-mm")</f>
        <v/>
      </c>
      <c r="Q3911">
        <f>IF(O3911&gt;=3000,"Large","Small")</f>
        <v/>
      </c>
      <c r="R3911">
        <f>INDEX(Products!$F$2:$F$49,MATCH(J3911,Products!$A$2:$A$49,0))</f>
        <v/>
      </c>
      <c r="S3911">
        <f>WEEKDAY(B3911,2)</f>
        <v/>
      </c>
    </row>
    <row r="3912">
      <c r="A3912" t="n">
        <v>511506</v>
      </c>
      <c r="B3912" s="6" t="n">
        <v>46006</v>
      </c>
      <c r="C3912" t="n">
        <v>14261</v>
      </c>
      <c r="D3912" t="inlineStr">
        <is>
          <t>Bengaluru</t>
        </is>
      </c>
      <c r="E3912" t="inlineStr">
        <is>
          <t>South</t>
        </is>
      </c>
      <c r="F3912" t="inlineStr">
        <is>
          <t>Email</t>
        </is>
      </c>
      <c r="G3912" t="inlineStr">
        <is>
          <t>Mobile App</t>
        </is>
      </c>
      <c r="H3912" t="inlineStr">
        <is>
          <t>Credit Card</t>
        </is>
      </c>
      <c r="I3912" t="inlineStr">
        <is>
          <t>Delivered</t>
        </is>
      </c>
      <c r="J3912" t="n">
        <v>120</v>
      </c>
      <c r="K3912" t="n">
        <v>2</v>
      </c>
      <c r="L3912" t="n">
        <v>734</v>
      </c>
      <c r="M3912" t="n">
        <v>0</v>
      </c>
      <c r="N3912">
        <f>VLOOKUP(J3912,Products!$A$2:$C$49,3,FALSE)</f>
        <v/>
      </c>
      <c r="O3912">
        <f>K3912*L3912-M3912</f>
        <v/>
      </c>
      <c r="P3912">
        <f>TEXT(B3912,"yyyy-mm")</f>
        <v/>
      </c>
      <c r="Q3912">
        <f>IF(O3912&gt;=3000,"Large","Small")</f>
        <v/>
      </c>
      <c r="R3912">
        <f>INDEX(Products!$F$2:$F$49,MATCH(J3912,Products!$A$2:$A$49,0))</f>
        <v/>
      </c>
      <c r="S3912">
        <f>WEEKDAY(B3912,2)</f>
        <v/>
      </c>
    </row>
    <row r="3913">
      <c r="A3913" t="n">
        <v>511507</v>
      </c>
      <c r="B3913" s="6" t="n">
        <v>46006</v>
      </c>
      <c r="C3913" t="n">
        <v>16849</v>
      </c>
      <c r="D3913" t="inlineStr">
        <is>
          <t>Delhi</t>
        </is>
      </c>
      <c r="E3913" t="inlineStr">
        <is>
          <t>North</t>
        </is>
      </c>
      <c r="F3913" t="inlineStr">
        <is>
          <t>Paid Search</t>
        </is>
      </c>
      <c r="G3913" t="inlineStr">
        <is>
          <t>Mobile Web</t>
        </is>
      </c>
      <c r="H3913" t="inlineStr">
        <is>
          <t>Credit Card</t>
        </is>
      </c>
      <c r="I3913" t="inlineStr">
        <is>
          <t>Delivered</t>
        </is>
      </c>
      <c r="J3913" t="n">
        <v>103</v>
      </c>
      <c r="K3913" t="n">
        <v>1</v>
      </c>
      <c r="L3913" t="n">
        <v>2624</v>
      </c>
      <c r="M3913" t="n">
        <v>0</v>
      </c>
      <c r="N3913">
        <f>VLOOKUP(J3913,Products!$A$2:$C$49,3,FALSE)</f>
        <v/>
      </c>
      <c r="O3913">
        <f>K3913*L3913-M3913</f>
        <v/>
      </c>
      <c r="P3913">
        <f>TEXT(B3913,"yyyy-mm")</f>
        <v/>
      </c>
      <c r="Q3913">
        <f>IF(O3913&gt;=3000,"Large","Small")</f>
        <v/>
      </c>
      <c r="R3913">
        <f>INDEX(Products!$F$2:$F$49,MATCH(J3913,Products!$A$2:$A$49,0))</f>
        <v/>
      </c>
      <c r="S3913">
        <f>WEEKDAY(B3913,2)</f>
        <v/>
      </c>
    </row>
    <row r="3914">
      <c r="A3914" t="n">
        <v>511508</v>
      </c>
      <c r="B3914" s="6" t="n">
        <v>46006</v>
      </c>
      <c r="C3914" t="n">
        <v>15726</v>
      </c>
      <c r="D3914" t="inlineStr">
        <is>
          <t>Kolkata</t>
        </is>
      </c>
      <c r="E3914" t="inlineStr">
        <is>
          <t>East</t>
        </is>
      </c>
      <c r="F3914" t="inlineStr">
        <is>
          <t>Organic Search</t>
        </is>
      </c>
      <c r="G3914" t="inlineStr">
        <is>
          <t>Mobile App</t>
        </is>
      </c>
      <c r="H3914" t="inlineStr">
        <is>
          <t>Cash on Delivery</t>
        </is>
      </c>
      <c r="I3914" t="inlineStr">
        <is>
          <t>Delivered</t>
        </is>
      </c>
      <c r="J3914" t="n">
        <v>109</v>
      </c>
      <c r="K3914" t="n">
        <v>1</v>
      </c>
      <c r="L3914" t="n">
        <v>4199</v>
      </c>
      <c r="M3914" t="n">
        <v>0</v>
      </c>
      <c r="N3914">
        <f>VLOOKUP(J3914,Products!$A$2:$C$49,3,FALSE)</f>
        <v/>
      </c>
      <c r="O3914">
        <f>K3914*L3914-M3914</f>
        <v/>
      </c>
      <c r="P3914">
        <f>TEXT(B3914,"yyyy-mm")</f>
        <v/>
      </c>
      <c r="Q3914">
        <f>IF(O3914&gt;=3000,"Large","Small")</f>
        <v/>
      </c>
      <c r="R3914">
        <f>INDEX(Products!$F$2:$F$49,MATCH(J3914,Products!$A$2:$A$49,0))</f>
        <v/>
      </c>
      <c r="S3914">
        <f>WEEKDAY(B3914,2)</f>
        <v/>
      </c>
    </row>
    <row r="3915">
      <c r="A3915" t="n">
        <v>511509</v>
      </c>
      <c r="B3915" s="6" t="n">
        <v>46006</v>
      </c>
      <c r="C3915" t="n">
        <v>13848</v>
      </c>
      <c r="D3915" t="inlineStr">
        <is>
          <t>Chennai</t>
        </is>
      </c>
      <c r="E3915" t="inlineStr">
        <is>
          <t>South</t>
        </is>
      </c>
      <c r="F3915" t="inlineStr">
        <is>
          <t>Paid Social</t>
        </is>
      </c>
      <c r="G3915" t="inlineStr">
        <is>
          <t>Mobile Web</t>
        </is>
      </c>
      <c r="H3915" t="inlineStr">
        <is>
          <t>UPI</t>
        </is>
      </c>
      <c r="I3915" t="inlineStr">
        <is>
          <t>Delivered</t>
        </is>
      </c>
      <c r="J3915" t="n">
        <v>127</v>
      </c>
      <c r="K3915" t="n">
        <v>1</v>
      </c>
      <c r="L3915" t="n">
        <v>681</v>
      </c>
      <c r="M3915" t="n">
        <v>0</v>
      </c>
      <c r="N3915">
        <f>VLOOKUP(J3915,Products!$A$2:$C$49,3,FALSE)</f>
        <v/>
      </c>
      <c r="O3915">
        <f>K3915*L3915-M3915</f>
        <v/>
      </c>
      <c r="P3915">
        <f>TEXT(B3915,"yyyy-mm")</f>
        <v/>
      </c>
      <c r="Q3915">
        <f>IF(O3915&gt;=3000,"Large","Small")</f>
        <v/>
      </c>
      <c r="R3915">
        <f>INDEX(Products!$F$2:$F$49,MATCH(J3915,Products!$A$2:$A$49,0))</f>
        <v/>
      </c>
      <c r="S3915">
        <f>WEEKDAY(B3915,2)</f>
        <v/>
      </c>
    </row>
    <row r="3916">
      <c r="A3916" t="n">
        <v>511510</v>
      </c>
      <c r="B3916" s="6" t="n">
        <v>46006</v>
      </c>
      <c r="C3916" t="n">
        <v>17299</v>
      </c>
      <c r="D3916" t="inlineStr">
        <is>
          <t>Lucknow</t>
        </is>
      </c>
      <c r="E3916" t="inlineStr">
        <is>
          <t>North</t>
        </is>
      </c>
      <c r="F3916" t="inlineStr">
        <is>
          <t>Paid Search</t>
        </is>
      </c>
      <c r="G3916" t="inlineStr">
        <is>
          <t>Desktop</t>
        </is>
      </c>
      <c r="H3916" t="inlineStr">
        <is>
          <t>UPI</t>
        </is>
      </c>
      <c r="I3916" t="inlineStr">
        <is>
          <t>Delivered</t>
        </is>
      </c>
      <c r="J3916" t="n">
        <v>104</v>
      </c>
      <c r="K3916" t="n">
        <v>1</v>
      </c>
      <c r="L3916" t="n">
        <v>5249</v>
      </c>
      <c r="M3916" t="n">
        <v>0</v>
      </c>
      <c r="N3916">
        <f>VLOOKUP(J3916,Products!$A$2:$C$49,3,FALSE)</f>
        <v/>
      </c>
      <c r="O3916">
        <f>K3916*L3916-M3916</f>
        <v/>
      </c>
      <c r="P3916">
        <f>TEXT(B3916,"yyyy-mm")</f>
        <v/>
      </c>
      <c r="Q3916">
        <f>IF(O3916&gt;=3000,"Large","Small")</f>
        <v/>
      </c>
      <c r="R3916">
        <f>INDEX(Products!$F$2:$F$49,MATCH(J3916,Products!$A$2:$A$49,0))</f>
        <v/>
      </c>
      <c r="S3916">
        <f>WEEKDAY(B3916,2)</f>
        <v/>
      </c>
    </row>
    <row r="3917">
      <c r="A3917" t="n">
        <v>511511</v>
      </c>
      <c r="B3917" s="6" t="n">
        <v>46006</v>
      </c>
      <c r="C3917" t="n">
        <v>14534</v>
      </c>
      <c r="D3917" t="inlineStr">
        <is>
          <t>Delhi</t>
        </is>
      </c>
      <c r="E3917" t="inlineStr">
        <is>
          <t>North</t>
        </is>
      </c>
      <c r="F3917" t="inlineStr">
        <is>
          <t>Paid Search</t>
        </is>
      </c>
      <c r="G3917" t="inlineStr">
        <is>
          <t>Mobile App</t>
        </is>
      </c>
      <c r="H3917" t="inlineStr">
        <is>
          <t>Credit Card</t>
        </is>
      </c>
      <c r="I3917" t="inlineStr">
        <is>
          <t>Delivered</t>
        </is>
      </c>
      <c r="J3917" t="n">
        <v>138</v>
      </c>
      <c r="K3917" t="n">
        <v>1</v>
      </c>
      <c r="L3917" t="n">
        <v>419</v>
      </c>
      <c r="M3917" t="n">
        <v>0</v>
      </c>
      <c r="N3917">
        <f>VLOOKUP(J3917,Products!$A$2:$C$49,3,FALSE)</f>
        <v/>
      </c>
      <c r="O3917">
        <f>K3917*L3917-M3917</f>
        <v/>
      </c>
      <c r="P3917">
        <f>TEXT(B3917,"yyyy-mm")</f>
        <v/>
      </c>
      <c r="Q3917">
        <f>IF(O3917&gt;=3000,"Large","Small")</f>
        <v/>
      </c>
      <c r="R3917">
        <f>INDEX(Products!$F$2:$F$49,MATCH(J3917,Products!$A$2:$A$49,0))</f>
        <v/>
      </c>
      <c r="S3917">
        <f>WEEKDAY(B3917,2)</f>
        <v/>
      </c>
    </row>
    <row r="3918">
      <c r="A3918" t="n">
        <v>511511</v>
      </c>
      <c r="B3918" s="6" t="n">
        <v>46006</v>
      </c>
      <c r="C3918" t="n">
        <v>14534</v>
      </c>
      <c r="D3918" t="inlineStr">
        <is>
          <t>Delhi</t>
        </is>
      </c>
      <c r="E3918" t="inlineStr">
        <is>
          <t>North</t>
        </is>
      </c>
      <c r="F3918" t="inlineStr">
        <is>
          <t>Paid Search</t>
        </is>
      </c>
      <c r="G3918" t="inlineStr">
        <is>
          <t>Mobile App</t>
        </is>
      </c>
      <c r="H3918" t="inlineStr">
        <is>
          <t>Credit Card</t>
        </is>
      </c>
      <c r="I3918" t="inlineStr">
        <is>
          <t>Delivered</t>
        </is>
      </c>
      <c r="J3918" t="n">
        <v>113</v>
      </c>
      <c r="K3918" t="n">
        <v>1</v>
      </c>
      <c r="L3918" t="n">
        <v>1364</v>
      </c>
      <c r="M3918" t="n">
        <v>0</v>
      </c>
      <c r="N3918">
        <f>VLOOKUP(J3918,Products!$A$2:$C$49,3,FALSE)</f>
        <v/>
      </c>
      <c r="O3918">
        <f>K3918*L3918-M3918</f>
        <v/>
      </c>
      <c r="P3918">
        <f>TEXT(B3918,"yyyy-mm")</f>
        <v/>
      </c>
      <c r="Q3918">
        <f>IF(O3918&gt;=3000,"Large","Small")</f>
        <v/>
      </c>
      <c r="R3918">
        <f>INDEX(Products!$F$2:$F$49,MATCH(J3918,Products!$A$2:$A$49,0))</f>
        <v/>
      </c>
      <c r="S3918">
        <f>WEEKDAY(B3918,2)</f>
        <v/>
      </c>
    </row>
    <row r="3919">
      <c r="A3919" t="n">
        <v>511511</v>
      </c>
      <c r="B3919" s="6" t="n">
        <v>46006</v>
      </c>
      <c r="C3919" t="n">
        <v>14534</v>
      </c>
      <c r="D3919" t="inlineStr">
        <is>
          <t>Delhi</t>
        </is>
      </c>
      <c r="E3919" t="inlineStr">
        <is>
          <t>North</t>
        </is>
      </c>
      <c r="F3919" t="inlineStr">
        <is>
          <t>Paid Search</t>
        </is>
      </c>
      <c r="G3919" t="inlineStr">
        <is>
          <t>Mobile App</t>
        </is>
      </c>
      <c r="H3919" t="inlineStr">
        <is>
          <t>Credit Card</t>
        </is>
      </c>
      <c r="I3919" t="inlineStr">
        <is>
          <t>Delivered</t>
        </is>
      </c>
      <c r="J3919" t="n">
        <v>142</v>
      </c>
      <c r="K3919" t="n">
        <v>1</v>
      </c>
      <c r="L3919" t="n">
        <v>839</v>
      </c>
      <c r="M3919" t="n">
        <v>0</v>
      </c>
      <c r="N3919">
        <f>VLOOKUP(J3919,Products!$A$2:$C$49,3,FALSE)</f>
        <v/>
      </c>
      <c r="O3919">
        <f>K3919*L3919-M3919</f>
        <v/>
      </c>
      <c r="P3919">
        <f>TEXT(B3919,"yyyy-mm")</f>
        <v/>
      </c>
      <c r="Q3919">
        <f>IF(O3919&gt;=3000,"Large","Small")</f>
        <v/>
      </c>
      <c r="R3919">
        <f>INDEX(Products!$F$2:$F$49,MATCH(J3919,Products!$A$2:$A$49,0))</f>
        <v/>
      </c>
      <c r="S3919">
        <f>WEEKDAY(B3919,2)</f>
        <v/>
      </c>
    </row>
    <row r="3920">
      <c r="A3920" t="n">
        <v>511512</v>
      </c>
      <c r="B3920" s="6" t="n">
        <v>46006</v>
      </c>
      <c r="C3920" t="n">
        <v>17774</v>
      </c>
      <c r="D3920" t="inlineStr">
        <is>
          <t>Chennai</t>
        </is>
      </c>
      <c r="E3920" t="inlineStr">
        <is>
          <t>South</t>
        </is>
      </c>
      <c r="F3920" t="inlineStr">
        <is>
          <t>Organic Search</t>
        </is>
      </c>
      <c r="G3920" t="inlineStr">
        <is>
          <t>Mobile App</t>
        </is>
      </c>
      <c r="H3920" t="inlineStr">
        <is>
          <t>Credit Card</t>
        </is>
      </c>
      <c r="I3920" t="inlineStr">
        <is>
          <t>Delivered</t>
        </is>
      </c>
      <c r="J3920" t="n">
        <v>144</v>
      </c>
      <c r="K3920" t="n">
        <v>3</v>
      </c>
      <c r="L3920" t="n">
        <v>3149</v>
      </c>
      <c r="M3920" t="n">
        <v>1417.05</v>
      </c>
      <c r="N3920">
        <f>VLOOKUP(J3920,Products!$A$2:$C$49,3,FALSE)</f>
        <v/>
      </c>
      <c r="O3920">
        <f>K3920*L3920-M3920</f>
        <v/>
      </c>
      <c r="P3920">
        <f>TEXT(B3920,"yyyy-mm")</f>
        <v/>
      </c>
      <c r="Q3920">
        <f>IF(O3920&gt;=3000,"Large","Small")</f>
        <v/>
      </c>
      <c r="R3920">
        <f>INDEX(Products!$F$2:$F$49,MATCH(J3920,Products!$A$2:$A$49,0))</f>
        <v/>
      </c>
      <c r="S3920">
        <f>WEEKDAY(B3920,2)</f>
        <v/>
      </c>
    </row>
    <row r="3921">
      <c r="A3921" t="n">
        <v>511512</v>
      </c>
      <c r="B3921" s="6" t="n">
        <v>46006</v>
      </c>
      <c r="C3921" t="n">
        <v>17774</v>
      </c>
      <c r="D3921" t="inlineStr">
        <is>
          <t>Chennai</t>
        </is>
      </c>
      <c r="E3921" t="inlineStr">
        <is>
          <t>South</t>
        </is>
      </c>
      <c r="F3921" t="inlineStr">
        <is>
          <t>Organic Search</t>
        </is>
      </c>
      <c r="G3921" t="inlineStr">
        <is>
          <t>Mobile App</t>
        </is>
      </c>
      <c r="H3921" t="inlineStr">
        <is>
          <t>Credit Card</t>
        </is>
      </c>
      <c r="I3921" t="inlineStr">
        <is>
          <t>Delivered</t>
        </is>
      </c>
      <c r="J3921" t="n">
        <v>106</v>
      </c>
      <c r="K3921" t="n">
        <v>1</v>
      </c>
      <c r="L3921" t="n">
        <v>1574</v>
      </c>
      <c r="M3921" t="n">
        <v>236.1</v>
      </c>
      <c r="N3921">
        <f>VLOOKUP(J3921,Products!$A$2:$C$49,3,FALSE)</f>
        <v/>
      </c>
      <c r="O3921">
        <f>K3921*L3921-M3921</f>
        <v/>
      </c>
      <c r="P3921">
        <f>TEXT(B3921,"yyyy-mm")</f>
        <v/>
      </c>
      <c r="Q3921">
        <f>IF(O3921&gt;=3000,"Large","Small")</f>
        <v/>
      </c>
      <c r="R3921">
        <f>INDEX(Products!$F$2:$F$49,MATCH(J3921,Products!$A$2:$A$49,0))</f>
        <v/>
      </c>
      <c r="S3921">
        <f>WEEKDAY(B3921,2)</f>
        <v/>
      </c>
    </row>
    <row r="3922">
      <c r="A3922" t="n">
        <v>511513</v>
      </c>
      <c r="B3922" s="6" t="n">
        <v>46006</v>
      </c>
      <c r="C3922" t="n">
        <v>17249</v>
      </c>
      <c r="D3922" t="inlineStr">
        <is>
          <t>Mumbai</t>
        </is>
      </c>
      <c r="E3922" t="inlineStr">
        <is>
          <t>West</t>
        </is>
      </c>
      <c r="F3922" t="inlineStr">
        <is>
          <t>Organic Search</t>
        </is>
      </c>
      <c r="G3922" t="inlineStr">
        <is>
          <t>Desktop</t>
        </is>
      </c>
      <c r="H3922" t="inlineStr">
        <is>
          <t>Debit Card</t>
        </is>
      </c>
      <c r="I3922" t="inlineStr">
        <is>
          <t>Delivered</t>
        </is>
      </c>
      <c r="J3922" t="n">
        <v>102</v>
      </c>
      <c r="K3922" t="n">
        <v>1</v>
      </c>
      <c r="L3922" t="n">
        <v>3674</v>
      </c>
      <c r="M3922" t="n">
        <v>0</v>
      </c>
      <c r="N3922">
        <f>VLOOKUP(J3922,Products!$A$2:$C$49,3,FALSE)</f>
        <v/>
      </c>
      <c r="O3922">
        <f>K3922*L3922-M3922</f>
        <v/>
      </c>
      <c r="P3922">
        <f>TEXT(B3922,"yyyy-mm")</f>
        <v/>
      </c>
      <c r="Q3922">
        <f>IF(O3922&gt;=3000,"Large","Small")</f>
        <v/>
      </c>
      <c r="R3922">
        <f>INDEX(Products!$F$2:$F$49,MATCH(J3922,Products!$A$2:$A$49,0))</f>
        <v/>
      </c>
      <c r="S3922">
        <f>WEEKDAY(B3922,2)</f>
        <v/>
      </c>
    </row>
    <row r="3923">
      <c r="A3923" t="n">
        <v>511514</v>
      </c>
      <c r="B3923" s="6" t="n">
        <v>46006</v>
      </c>
      <c r="C3923" t="n">
        <v>15281</v>
      </c>
      <c r="D3923" t="inlineStr">
        <is>
          <t>Delhi</t>
        </is>
      </c>
      <c r="E3923" t="inlineStr">
        <is>
          <t>North</t>
        </is>
      </c>
      <c r="F3923" t="inlineStr">
        <is>
          <t>Email</t>
        </is>
      </c>
      <c r="G3923" t="inlineStr">
        <is>
          <t>Mobile App</t>
        </is>
      </c>
      <c r="H3923" t="inlineStr">
        <is>
          <t>UPI</t>
        </is>
      </c>
      <c r="I3923" t="inlineStr">
        <is>
          <t>Delivered</t>
        </is>
      </c>
      <c r="J3923" t="n">
        <v>131</v>
      </c>
      <c r="K3923" t="n">
        <v>1</v>
      </c>
      <c r="L3923" t="n">
        <v>314</v>
      </c>
      <c r="M3923" t="n">
        <v>0</v>
      </c>
      <c r="N3923">
        <f>VLOOKUP(J3923,Products!$A$2:$C$49,3,FALSE)</f>
        <v/>
      </c>
      <c r="O3923">
        <f>K3923*L3923-M3923</f>
        <v/>
      </c>
      <c r="P3923">
        <f>TEXT(B3923,"yyyy-mm")</f>
        <v/>
      </c>
      <c r="Q3923">
        <f>IF(O3923&gt;=3000,"Large","Small")</f>
        <v/>
      </c>
      <c r="R3923">
        <f>INDEX(Products!$F$2:$F$49,MATCH(J3923,Products!$A$2:$A$49,0))</f>
        <v/>
      </c>
      <c r="S3923">
        <f>WEEKDAY(B3923,2)</f>
        <v/>
      </c>
    </row>
    <row r="3924">
      <c r="A3924" t="n">
        <v>511515</v>
      </c>
      <c r="B3924" s="6" t="n">
        <v>46006</v>
      </c>
      <c r="C3924" t="n">
        <v>17754</v>
      </c>
      <c r="D3924" t="inlineStr">
        <is>
          <t>Gurugram</t>
        </is>
      </c>
      <c r="E3924" t="inlineStr">
        <is>
          <t>North</t>
        </is>
      </c>
      <c r="F3924" t="inlineStr">
        <is>
          <t>Organic Search</t>
        </is>
      </c>
      <c r="G3924" t="inlineStr">
        <is>
          <t>Desktop</t>
        </is>
      </c>
      <c r="H3924" t="inlineStr">
        <is>
          <t>UPI</t>
        </is>
      </c>
      <c r="I3924" t="inlineStr">
        <is>
          <t>Delivered</t>
        </is>
      </c>
      <c r="J3924" t="n">
        <v>102</v>
      </c>
      <c r="K3924" t="n">
        <v>1</v>
      </c>
      <c r="L3924" t="n">
        <v>3674</v>
      </c>
      <c r="M3924" t="n">
        <v>0</v>
      </c>
      <c r="N3924">
        <f>VLOOKUP(J3924,Products!$A$2:$C$49,3,FALSE)</f>
        <v/>
      </c>
      <c r="O3924">
        <f>K3924*L3924-M3924</f>
        <v/>
      </c>
      <c r="P3924">
        <f>TEXT(B3924,"yyyy-mm")</f>
        <v/>
      </c>
      <c r="Q3924">
        <f>IF(O3924&gt;=3000,"Large","Small")</f>
        <v/>
      </c>
      <c r="R3924">
        <f>INDEX(Products!$F$2:$F$49,MATCH(J3924,Products!$A$2:$A$49,0))</f>
        <v/>
      </c>
      <c r="S3924">
        <f>WEEKDAY(B3924,2)</f>
        <v/>
      </c>
    </row>
    <row r="3925">
      <c r="A3925" t="n">
        <v>511515</v>
      </c>
      <c r="B3925" s="6" t="n">
        <v>46006</v>
      </c>
      <c r="C3925" t="n">
        <v>17754</v>
      </c>
      <c r="D3925" t="inlineStr">
        <is>
          <t>Gurugram</t>
        </is>
      </c>
      <c r="E3925" t="inlineStr">
        <is>
          <t>North</t>
        </is>
      </c>
      <c r="F3925" t="inlineStr">
        <is>
          <t>Organic Search</t>
        </is>
      </c>
      <c r="G3925" t="inlineStr">
        <is>
          <t>Desktop</t>
        </is>
      </c>
      <c r="H3925" t="inlineStr">
        <is>
          <t>UPI</t>
        </is>
      </c>
      <c r="I3925" t="inlineStr">
        <is>
          <t>Delivered</t>
        </is>
      </c>
      <c r="J3925" t="n">
        <v>118</v>
      </c>
      <c r="K3925" t="n">
        <v>1</v>
      </c>
      <c r="L3925" t="n">
        <v>944</v>
      </c>
      <c r="M3925" t="n">
        <v>0</v>
      </c>
      <c r="N3925">
        <f>VLOOKUP(J3925,Products!$A$2:$C$49,3,FALSE)</f>
        <v/>
      </c>
      <c r="O3925">
        <f>K3925*L3925-M3925</f>
        <v/>
      </c>
      <c r="P3925">
        <f>TEXT(B3925,"yyyy-mm")</f>
        <v/>
      </c>
      <c r="Q3925">
        <f>IF(O3925&gt;=3000,"Large","Small")</f>
        <v/>
      </c>
      <c r="R3925">
        <f>INDEX(Products!$F$2:$F$49,MATCH(J3925,Products!$A$2:$A$49,0))</f>
        <v/>
      </c>
      <c r="S3925">
        <f>WEEKDAY(B3925,2)</f>
        <v/>
      </c>
    </row>
    <row r="3926">
      <c r="A3926" t="n">
        <v>511516</v>
      </c>
      <c r="B3926" s="6" t="n">
        <v>46007</v>
      </c>
      <c r="C3926" t="n">
        <v>12185</v>
      </c>
      <c r="D3926" t="inlineStr">
        <is>
          <t>Kolkata</t>
        </is>
      </c>
      <c r="E3926" t="inlineStr">
        <is>
          <t>East</t>
        </is>
      </c>
      <c r="F3926" t="inlineStr">
        <is>
          <t>Organic Search</t>
        </is>
      </c>
      <c r="G3926" t="inlineStr">
        <is>
          <t>Mobile Web</t>
        </is>
      </c>
      <c r="H3926" t="inlineStr">
        <is>
          <t>UPI</t>
        </is>
      </c>
      <c r="I3926" t="inlineStr">
        <is>
          <t>Delivered</t>
        </is>
      </c>
      <c r="J3926" t="n">
        <v>133</v>
      </c>
      <c r="K3926" t="n">
        <v>1</v>
      </c>
      <c r="L3926" t="n">
        <v>419</v>
      </c>
      <c r="M3926" t="n">
        <v>0</v>
      </c>
      <c r="N3926">
        <f>VLOOKUP(J3926,Products!$A$2:$C$49,3,FALSE)</f>
        <v/>
      </c>
      <c r="O3926">
        <f>K3926*L3926-M3926</f>
        <v/>
      </c>
      <c r="P3926">
        <f>TEXT(B3926,"yyyy-mm")</f>
        <v/>
      </c>
      <c r="Q3926">
        <f>IF(O3926&gt;=3000,"Large","Small")</f>
        <v/>
      </c>
      <c r="R3926">
        <f>INDEX(Products!$F$2:$F$49,MATCH(J3926,Products!$A$2:$A$49,0))</f>
        <v/>
      </c>
      <c r="S3926">
        <f>WEEKDAY(B3926,2)</f>
        <v/>
      </c>
    </row>
    <row r="3927">
      <c r="A3927" t="n">
        <v>511516</v>
      </c>
      <c r="B3927" s="6" t="n">
        <v>46007</v>
      </c>
      <c r="C3927" t="n">
        <v>12185</v>
      </c>
      <c r="D3927" t="inlineStr">
        <is>
          <t>Kolkata</t>
        </is>
      </c>
      <c r="E3927" t="inlineStr">
        <is>
          <t>East</t>
        </is>
      </c>
      <c r="F3927" t="inlineStr">
        <is>
          <t>Organic Search</t>
        </is>
      </c>
      <c r="G3927" t="inlineStr">
        <is>
          <t>Mobile Web</t>
        </is>
      </c>
      <c r="H3927" t="inlineStr">
        <is>
          <t>UPI</t>
        </is>
      </c>
      <c r="I3927" t="inlineStr">
        <is>
          <t>Delivered</t>
        </is>
      </c>
      <c r="J3927" t="n">
        <v>114</v>
      </c>
      <c r="K3927" t="n">
        <v>1</v>
      </c>
      <c r="L3927" t="n">
        <v>1259</v>
      </c>
      <c r="M3927" t="n">
        <v>0</v>
      </c>
      <c r="N3927">
        <f>VLOOKUP(J3927,Products!$A$2:$C$49,3,FALSE)</f>
        <v/>
      </c>
      <c r="O3927">
        <f>K3927*L3927-M3927</f>
        <v/>
      </c>
      <c r="P3927">
        <f>TEXT(B3927,"yyyy-mm")</f>
        <v/>
      </c>
      <c r="Q3927">
        <f>IF(O3927&gt;=3000,"Large","Small")</f>
        <v/>
      </c>
      <c r="R3927">
        <f>INDEX(Products!$F$2:$F$49,MATCH(J3927,Products!$A$2:$A$49,0))</f>
        <v/>
      </c>
      <c r="S3927">
        <f>WEEKDAY(B3927,2)</f>
        <v/>
      </c>
    </row>
    <row r="3928">
      <c r="A3928" t="n">
        <v>511517</v>
      </c>
      <c r="B3928" s="6" t="n">
        <v>46007</v>
      </c>
      <c r="C3928" t="n">
        <v>16676</v>
      </c>
      <c r="D3928" t="inlineStr">
        <is>
          <t>Mumbai</t>
        </is>
      </c>
      <c r="E3928" t="inlineStr">
        <is>
          <t>West</t>
        </is>
      </c>
      <c r="F3928" t="inlineStr">
        <is>
          <t>Email</t>
        </is>
      </c>
      <c r="G3928" t="inlineStr">
        <is>
          <t>Mobile Web</t>
        </is>
      </c>
      <c r="H3928" t="inlineStr">
        <is>
          <t>Cash on Delivery</t>
        </is>
      </c>
      <c r="I3928" t="inlineStr">
        <is>
          <t>Cancelled</t>
        </is>
      </c>
      <c r="J3928" t="n">
        <v>104</v>
      </c>
      <c r="K3928" t="n">
        <v>2</v>
      </c>
      <c r="L3928" t="n">
        <v>5249</v>
      </c>
      <c r="M3928" t="n">
        <v>0</v>
      </c>
      <c r="N3928">
        <f>VLOOKUP(J3928,Products!$A$2:$C$49,3,FALSE)</f>
        <v/>
      </c>
      <c r="O3928">
        <f>K3928*L3928-M3928</f>
        <v/>
      </c>
      <c r="P3928">
        <f>TEXT(B3928,"yyyy-mm")</f>
        <v/>
      </c>
      <c r="Q3928">
        <f>IF(O3928&gt;=3000,"Large","Small")</f>
        <v/>
      </c>
      <c r="R3928">
        <f>INDEX(Products!$F$2:$F$49,MATCH(J3928,Products!$A$2:$A$49,0))</f>
        <v/>
      </c>
      <c r="S3928">
        <f>WEEKDAY(B3928,2)</f>
        <v/>
      </c>
    </row>
    <row r="3929">
      <c r="A3929" t="n">
        <v>511518</v>
      </c>
      <c r="B3929" s="6" t="n">
        <v>46007</v>
      </c>
      <c r="C3929" t="n">
        <v>17510</v>
      </c>
      <c r="D3929" t="inlineStr">
        <is>
          <t>Kochi</t>
        </is>
      </c>
      <c r="E3929" t="inlineStr">
        <is>
          <t>South</t>
        </is>
      </c>
      <c r="F3929" t="inlineStr">
        <is>
          <t>Organic Search</t>
        </is>
      </c>
      <c r="G3929" t="inlineStr">
        <is>
          <t>Mobile App</t>
        </is>
      </c>
      <c r="H3929" t="inlineStr">
        <is>
          <t>Credit Card</t>
        </is>
      </c>
      <c r="I3929" t="inlineStr">
        <is>
          <t>Delivered</t>
        </is>
      </c>
      <c r="J3929" t="n">
        <v>128</v>
      </c>
      <c r="K3929" t="n">
        <v>1</v>
      </c>
      <c r="L3929" t="n">
        <v>1049</v>
      </c>
      <c r="M3929" t="n">
        <v>0</v>
      </c>
      <c r="N3929">
        <f>VLOOKUP(J3929,Products!$A$2:$C$49,3,FALSE)</f>
        <v/>
      </c>
      <c r="O3929">
        <f>K3929*L3929-M3929</f>
        <v/>
      </c>
      <c r="P3929">
        <f>TEXT(B3929,"yyyy-mm")</f>
        <v/>
      </c>
      <c r="Q3929">
        <f>IF(O3929&gt;=3000,"Large","Small")</f>
        <v/>
      </c>
      <c r="R3929">
        <f>INDEX(Products!$F$2:$F$49,MATCH(J3929,Products!$A$2:$A$49,0))</f>
        <v/>
      </c>
      <c r="S3929">
        <f>WEEKDAY(B3929,2)</f>
        <v/>
      </c>
    </row>
    <row r="3930">
      <c r="A3930" t="n">
        <v>511519</v>
      </c>
      <c r="B3930" s="6" t="n">
        <v>46007</v>
      </c>
      <c r="C3930" t="n">
        <v>12978</v>
      </c>
      <c r="D3930" t="inlineStr">
        <is>
          <t>Bengaluru</t>
        </is>
      </c>
      <c r="E3930" t="inlineStr">
        <is>
          <t>South</t>
        </is>
      </c>
      <c r="F3930" t="inlineStr">
        <is>
          <t>Referral</t>
        </is>
      </c>
      <c r="G3930" t="inlineStr">
        <is>
          <t>Mobile App</t>
        </is>
      </c>
      <c r="H3930" t="inlineStr">
        <is>
          <t>UPI</t>
        </is>
      </c>
      <c r="I3930" t="inlineStr">
        <is>
          <t>Delivered</t>
        </is>
      </c>
      <c r="J3930" t="n">
        <v>135</v>
      </c>
      <c r="K3930" t="n">
        <v>1</v>
      </c>
      <c r="L3930" t="n">
        <v>1574</v>
      </c>
      <c r="M3930" t="n">
        <v>0</v>
      </c>
      <c r="N3930">
        <f>VLOOKUP(J3930,Products!$A$2:$C$49,3,FALSE)</f>
        <v/>
      </c>
      <c r="O3930">
        <f>K3930*L3930-M3930</f>
        <v/>
      </c>
      <c r="P3930">
        <f>TEXT(B3930,"yyyy-mm")</f>
        <v/>
      </c>
      <c r="Q3930">
        <f>IF(O3930&gt;=3000,"Large","Small")</f>
        <v/>
      </c>
      <c r="R3930">
        <f>INDEX(Products!$F$2:$F$49,MATCH(J3930,Products!$A$2:$A$49,0))</f>
        <v/>
      </c>
      <c r="S3930">
        <f>WEEKDAY(B3930,2)</f>
        <v/>
      </c>
    </row>
    <row r="3931">
      <c r="A3931" t="n">
        <v>511520</v>
      </c>
      <c r="B3931" s="6" t="n">
        <v>46007</v>
      </c>
      <c r="C3931" t="n">
        <v>17765</v>
      </c>
      <c r="D3931" t="inlineStr">
        <is>
          <t>Hyderabad</t>
        </is>
      </c>
      <c r="E3931" t="inlineStr">
        <is>
          <t>South</t>
        </is>
      </c>
      <c r="F3931" t="inlineStr">
        <is>
          <t>Organic Search</t>
        </is>
      </c>
      <c r="G3931" t="inlineStr">
        <is>
          <t>Mobile App</t>
        </is>
      </c>
      <c r="H3931" t="inlineStr">
        <is>
          <t>UPI</t>
        </is>
      </c>
      <c r="I3931" t="inlineStr">
        <is>
          <t>Delivered</t>
        </is>
      </c>
      <c r="J3931" t="n">
        <v>143</v>
      </c>
      <c r="K3931" t="n">
        <v>1</v>
      </c>
      <c r="L3931" t="n">
        <v>839</v>
      </c>
      <c r="M3931" t="n">
        <v>125.85</v>
      </c>
      <c r="N3931">
        <f>VLOOKUP(J3931,Products!$A$2:$C$49,3,FALSE)</f>
        <v/>
      </c>
      <c r="O3931">
        <f>K3931*L3931-M3931</f>
        <v/>
      </c>
      <c r="P3931">
        <f>TEXT(B3931,"yyyy-mm")</f>
        <v/>
      </c>
      <c r="Q3931">
        <f>IF(O3931&gt;=3000,"Large","Small")</f>
        <v/>
      </c>
      <c r="R3931">
        <f>INDEX(Products!$F$2:$F$49,MATCH(J3931,Products!$A$2:$A$49,0))</f>
        <v/>
      </c>
      <c r="S3931">
        <f>WEEKDAY(B3931,2)</f>
        <v/>
      </c>
    </row>
    <row r="3932">
      <c r="A3932" t="n">
        <v>511521</v>
      </c>
      <c r="B3932" s="6" t="n">
        <v>46007</v>
      </c>
      <c r="C3932" t="n">
        <v>15679</v>
      </c>
      <c r="D3932" t="inlineStr">
        <is>
          <t>Indore</t>
        </is>
      </c>
      <c r="E3932" t="inlineStr">
        <is>
          <t>West</t>
        </is>
      </c>
      <c r="F3932" t="inlineStr">
        <is>
          <t>Paid Search</t>
        </is>
      </c>
      <c r="G3932" t="inlineStr">
        <is>
          <t>Mobile Web</t>
        </is>
      </c>
      <c r="H3932" t="inlineStr">
        <is>
          <t>UPI</t>
        </is>
      </c>
      <c r="I3932" t="inlineStr">
        <is>
          <t>Delivered</t>
        </is>
      </c>
      <c r="J3932" t="n">
        <v>108</v>
      </c>
      <c r="K3932" t="n">
        <v>2</v>
      </c>
      <c r="L3932" t="n">
        <v>419</v>
      </c>
      <c r="M3932" t="n">
        <v>0</v>
      </c>
      <c r="N3932">
        <f>VLOOKUP(J3932,Products!$A$2:$C$49,3,FALSE)</f>
        <v/>
      </c>
      <c r="O3932">
        <f>K3932*L3932-M3932</f>
        <v/>
      </c>
      <c r="P3932">
        <f>TEXT(B3932,"yyyy-mm")</f>
        <v/>
      </c>
      <c r="Q3932">
        <f>IF(O3932&gt;=3000,"Large","Small")</f>
        <v/>
      </c>
      <c r="R3932">
        <f>INDEX(Products!$F$2:$F$49,MATCH(J3932,Products!$A$2:$A$49,0))</f>
        <v/>
      </c>
      <c r="S3932">
        <f>WEEKDAY(B3932,2)</f>
        <v/>
      </c>
    </row>
    <row r="3933">
      <c r="A3933" t="n">
        <v>511522</v>
      </c>
      <c r="B3933" s="6" t="n">
        <v>46007</v>
      </c>
      <c r="C3933" t="n">
        <v>12594</v>
      </c>
      <c r="D3933" t="inlineStr">
        <is>
          <t>Bengaluru</t>
        </is>
      </c>
      <c r="E3933" t="inlineStr">
        <is>
          <t>South</t>
        </is>
      </c>
      <c r="F3933" t="inlineStr">
        <is>
          <t>Paid Search</t>
        </is>
      </c>
      <c r="G3933" t="inlineStr">
        <is>
          <t>Desktop</t>
        </is>
      </c>
      <c r="H3933" t="inlineStr">
        <is>
          <t>UPI</t>
        </is>
      </c>
      <c r="I3933" t="inlineStr">
        <is>
          <t>Delivered</t>
        </is>
      </c>
      <c r="J3933" t="n">
        <v>140</v>
      </c>
      <c r="K3933" t="n">
        <v>1</v>
      </c>
      <c r="L3933" t="n">
        <v>629</v>
      </c>
      <c r="M3933" t="n">
        <v>0</v>
      </c>
      <c r="N3933">
        <f>VLOOKUP(J3933,Products!$A$2:$C$49,3,FALSE)</f>
        <v/>
      </c>
      <c r="O3933">
        <f>K3933*L3933-M3933</f>
        <v/>
      </c>
      <c r="P3933">
        <f>TEXT(B3933,"yyyy-mm")</f>
        <v/>
      </c>
      <c r="Q3933">
        <f>IF(O3933&gt;=3000,"Large","Small")</f>
        <v/>
      </c>
      <c r="R3933">
        <f>INDEX(Products!$F$2:$F$49,MATCH(J3933,Products!$A$2:$A$49,0))</f>
        <v/>
      </c>
      <c r="S3933">
        <f>WEEKDAY(B3933,2)</f>
        <v/>
      </c>
    </row>
    <row r="3934">
      <c r="A3934" t="n">
        <v>511522</v>
      </c>
      <c r="B3934" s="6" t="n">
        <v>46007</v>
      </c>
      <c r="C3934" t="n">
        <v>12594</v>
      </c>
      <c r="D3934" t="inlineStr">
        <is>
          <t>Bengaluru</t>
        </is>
      </c>
      <c r="E3934" t="inlineStr">
        <is>
          <t>South</t>
        </is>
      </c>
      <c r="F3934" t="inlineStr">
        <is>
          <t>Paid Search</t>
        </is>
      </c>
      <c r="G3934" t="inlineStr">
        <is>
          <t>Desktop</t>
        </is>
      </c>
      <c r="H3934" t="inlineStr">
        <is>
          <t>UPI</t>
        </is>
      </c>
      <c r="I3934" t="inlineStr">
        <is>
          <t>Delivered</t>
        </is>
      </c>
      <c r="J3934" t="n">
        <v>108</v>
      </c>
      <c r="K3934" t="n">
        <v>1</v>
      </c>
      <c r="L3934" t="n">
        <v>419</v>
      </c>
      <c r="M3934" t="n">
        <v>0</v>
      </c>
      <c r="N3934">
        <f>VLOOKUP(J3934,Products!$A$2:$C$49,3,FALSE)</f>
        <v/>
      </c>
      <c r="O3934">
        <f>K3934*L3934-M3934</f>
        <v/>
      </c>
      <c r="P3934">
        <f>TEXT(B3934,"yyyy-mm")</f>
        <v/>
      </c>
      <c r="Q3934">
        <f>IF(O3934&gt;=3000,"Large","Small")</f>
        <v/>
      </c>
      <c r="R3934">
        <f>INDEX(Products!$F$2:$F$49,MATCH(J3934,Products!$A$2:$A$49,0))</f>
        <v/>
      </c>
      <c r="S3934">
        <f>WEEKDAY(B3934,2)</f>
        <v/>
      </c>
    </row>
    <row r="3935">
      <c r="A3935" t="n">
        <v>511523</v>
      </c>
      <c r="B3935" s="6" t="n">
        <v>46007</v>
      </c>
      <c r="C3935" t="n">
        <v>17739</v>
      </c>
      <c r="D3935" t="inlineStr">
        <is>
          <t>Gurugram</t>
        </is>
      </c>
      <c r="E3935" t="inlineStr">
        <is>
          <t>North</t>
        </is>
      </c>
      <c r="F3935" t="inlineStr">
        <is>
          <t>Organic Search</t>
        </is>
      </c>
      <c r="G3935" t="inlineStr">
        <is>
          <t>Mobile App</t>
        </is>
      </c>
      <c r="H3935" t="inlineStr">
        <is>
          <t>Net Banking</t>
        </is>
      </c>
      <c r="I3935" t="inlineStr">
        <is>
          <t>Delivered</t>
        </is>
      </c>
      <c r="J3935" t="n">
        <v>119</v>
      </c>
      <c r="K3935" t="n">
        <v>1</v>
      </c>
      <c r="L3935" t="n">
        <v>2309</v>
      </c>
      <c r="M3935" t="n">
        <v>346.35</v>
      </c>
      <c r="N3935">
        <f>VLOOKUP(J3935,Products!$A$2:$C$49,3,FALSE)</f>
        <v/>
      </c>
      <c r="O3935">
        <f>K3935*L3935-M3935</f>
        <v/>
      </c>
      <c r="P3935">
        <f>TEXT(B3935,"yyyy-mm")</f>
        <v/>
      </c>
      <c r="Q3935">
        <f>IF(O3935&gt;=3000,"Large","Small")</f>
        <v/>
      </c>
      <c r="R3935">
        <f>INDEX(Products!$F$2:$F$49,MATCH(J3935,Products!$A$2:$A$49,0))</f>
        <v/>
      </c>
      <c r="S3935">
        <f>WEEKDAY(B3935,2)</f>
        <v/>
      </c>
    </row>
    <row r="3936">
      <c r="A3936" t="n">
        <v>511523</v>
      </c>
      <c r="B3936" s="6" t="n">
        <v>46007</v>
      </c>
      <c r="C3936" t="n">
        <v>17739</v>
      </c>
      <c r="D3936" t="inlineStr">
        <is>
          <t>Gurugram</t>
        </is>
      </c>
      <c r="E3936" t="inlineStr">
        <is>
          <t>North</t>
        </is>
      </c>
      <c r="F3936" t="inlineStr">
        <is>
          <t>Organic Search</t>
        </is>
      </c>
      <c r="G3936" t="inlineStr">
        <is>
          <t>Mobile App</t>
        </is>
      </c>
      <c r="H3936" t="inlineStr">
        <is>
          <t>Net Banking</t>
        </is>
      </c>
      <c r="I3936" t="inlineStr">
        <is>
          <t>Delivered</t>
        </is>
      </c>
      <c r="J3936" t="n">
        <v>118</v>
      </c>
      <c r="K3936" t="n">
        <v>1</v>
      </c>
      <c r="L3936" t="n">
        <v>944</v>
      </c>
      <c r="M3936" t="n">
        <v>141.6</v>
      </c>
      <c r="N3936">
        <f>VLOOKUP(J3936,Products!$A$2:$C$49,3,FALSE)</f>
        <v/>
      </c>
      <c r="O3936">
        <f>K3936*L3936-M3936</f>
        <v/>
      </c>
      <c r="P3936">
        <f>TEXT(B3936,"yyyy-mm")</f>
        <v/>
      </c>
      <c r="Q3936">
        <f>IF(O3936&gt;=3000,"Large","Small")</f>
        <v/>
      </c>
      <c r="R3936">
        <f>INDEX(Products!$F$2:$F$49,MATCH(J3936,Products!$A$2:$A$49,0))</f>
        <v/>
      </c>
      <c r="S3936">
        <f>WEEKDAY(B3936,2)</f>
        <v/>
      </c>
    </row>
    <row r="3937">
      <c r="A3937" t="n">
        <v>511524</v>
      </c>
      <c r="B3937" s="6" t="n">
        <v>46007</v>
      </c>
      <c r="C3937" t="n">
        <v>17753</v>
      </c>
      <c r="D3937" t="inlineStr">
        <is>
          <t>Mumbai</t>
        </is>
      </c>
      <c r="E3937" t="inlineStr">
        <is>
          <t>West</t>
        </is>
      </c>
      <c r="F3937" t="inlineStr">
        <is>
          <t>Organic Search</t>
        </is>
      </c>
      <c r="G3937" t="inlineStr">
        <is>
          <t>Mobile App</t>
        </is>
      </c>
      <c r="H3937" t="inlineStr">
        <is>
          <t>UPI</t>
        </is>
      </c>
      <c r="I3937" t="inlineStr">
        <is>
          <t>Delivered</t>
        </is>
      </c>
      <c r="J3937" t="n">
        <v>102</v>
      </c>
      <c r="K3937" t="n">
        <v>3</v>
      </c>
      <c r="L3937" t="n">
        <v>3674</v>
      </c>
      <c r="M3937" t="n">
        <v>0</v>
      </c>
      <c r="N3937">
        <f>VLOOKUP(J3937,Products!$A$2:$C$49,3,FALSE)</f>
        <v/>
      </c>
      <c r="O3937">
        <f>K3937*L3937-M3937</f>
        <v/>
      </c>
      <c r="P3937">
        <f>TEXT(B3937,"yyyy-mm")</f>
        <v/>
      </c>
      <c r="Q3937">
        <f>IF(O3937&gt;=3000,"Large","Small")</f>
        <v/>
      </c>
      <c r="R3937">
        <f>INDEX(Products!$F$2:$F$49,MATCH(J3937,Products!$A$2:$A$49,0))</f>
        <v/>
      </c>
      <c r="S3937">
        <f>WEEKDAY(B3937,2)</f>
        <v/>
      </c>
    </row>
    <row r="3938">
      <c r="A3938" t="n">
        <v>511524</v>
      </c>
      <c r="B3938" s="6" t="n">
        <v>46007</v>
      </c>
      <c r="C3938" t="n">
        <v>17753</v>
      </c>
      <c r="D3938" t="inlineStr">
        <is>
          <t>Mumbai</t>
        </is>
      </c>
      <c r="E3938" t="inlineStr">
        <is>
          <t>West</t>
        </is>
      </c>
      <c r="F3938" t="inlineStr">
        <is>
          <t>Organic Search</t>
        </is>
      </c>
      <c r="G3938" t="inlineStr">
        <is>
          <t>Mobile App</t>
        </is>
      </c>
      <c r="H3938" t="inlineStr">
        <is>
          <t>UPI</t>
        </is>
      </c>
      <c r="I3938" t="inlineStr">
        <is>
          <t>Delivered</t>
        </is>
      </c>
      <c r="J3938" t="n">
        <v>101</v>
      </c>
      <c r="K3938" t="n">
        <v>3</v>
      </c>
      <c r="L3938" t="n">
        <v>2099</v>
      </c>
      <c r="M3938" t="n">
        <v>0</v>
      </c>
      <c r="N3938">
        <f>VLOOKUP(J3938,Products!$A$2:$C$49,3,FALSE)</f>
        <v/>
      </c>
      <c r="O3938">
        <f>K3938*L3938-M3938</f>
        <v/>
      </c>
      <c r="P3938">
        <f>TEXT(B3938,"yyyy-mm")</f>
        <v/>
      </c>
      <c r="Q3938">
        <f>IF(O3938&gt;=3000,"Large","Small")</f>
        <v/>
      </c>
      <c r="R3938">
        <f>INDEX(Products!$F$2:$F$49,MATCH(J3938,Products!$A$2:$A$49,0))</f>
        <v/>
      </c>
      <c r="S3938">
        <f>WEEKDAY(B3938,2)</f>
        <v/>
      </c>
    </row>
    <row r="3939">
      <c r="A3939" t="n">
        <v>511524</v>
      </c>
      <c r="B3939" s="6" t="n">
        <v>46007</v>
      </c>
      <c r="C3939" t="n">
        <v>17753</v>
      </c>
      <c r="D3939" t="inlineStr">
        <is>
          <t>Mumbai</t>
        </is>
      </c>
      <c r="E3939" t="inlineStr">
        <is>
          <t>West</t>
        </is>
      </c>
      <c r="F3939" t="inlineStr">
        <is>
          <t>Organic Search</t>
        </is>
      </c>
      <c r="G3939" t="inlineStr">
        <is>
          <t>Mobile App</t>
        </is>
      </c>
      <c r="H3939" t="inlineStr">
        <is>
          <t>UPI</t>
        </is>
      </c>
      <c r="I3939" t="inlineStr">
        <is>
          <t>Delivered</t>
        </is>
      </c>
      <c r="J3939" t="n">
        <v>116</v>
      </c>
      <c r="K3939" t="n">
        <v>1</v>
      </c>
      <c r="L3939" t="n">
        <v>2624</v>
      </c>
      <c r="M3939" t="n">
        <v>0</v>
      </c>
      <c r="N3939">
        <f>VLOOKUP(J3939,Products!$A$2:$C$49,3,FALSE)</f>
        <v/>
      </c>
      <c r="O3939">
        <f>K3939*L3939-M3939</f>
        <v/>
      </c>
      <c r="P3939">
        <f>TEXT(B3939,"yyyy-mm")</f>
        <v/>
      </c>
      <c r="Q3939">
        <f>IF(O3939&gt;=3000,"Large","Small")</f>
        <v/>
      </c>
      <c r="R3939">
        <f>INDEX(Products!$F$2:$F$49,MATCH(J3939,Products!$A$2:$A$49,0))</f>
        <v/>
      </c>
      <c r="S3939">
        <f>WEEKDAY(B3939,2)</f>
        <v/>
      </c>
    </row>
    <row r="3940">
      <c r="A3940" t="n">
        <v>511524</v>
      </c>
      <c r="B3940" s="6" t="n">
        <v>46007</v>
      </c>
      <c r="C3940" t="n">
        <v>17753</v>
      </c>
      <c r="D3940" t="inlineStr">
        <is>
          <t>Mumbai</t>
        </is>
      </c>
      <c r="E3940" t="inlineStr">
        <is>
          <t>West</t>
        </is>
      </c>
      <c r="F3940" t="inlineStr">
        <is>
          <t>Organic Search</t>
        </is>
      </c>
      <c r="G3940" t="inlineStr">
        <is>
          <t>Mobile App</t>
        </is>
      </c>
      <c r="H3940" t="inlineStr">
        <is>
          <t>UPI</t>
        </is>
      </c>
      <c r="I3940" t="inlineStr">
        <is>
          <t>Delivered</t>
        </is>
      </c>
      <c r="J3940" t="n">
        <v>135</v>
      </c>
      <c r="K3940" t="n">
        <v>1</v>
      </c>
      <c r="L3940" t="n">
        <v>1574</v>
      </c>
      <c r="M3940" t="n">
        <v>0</v>
      </c>
      <c r="N3940">
        <f>VLOOKUP(J3940,Products!$A$2:$C$49,3,FALSE)</f>
        <v/>
      </c>
      <c r="O3940">
        <f>K3940*L3940-M3940</f>
        <v/>
      </c>
      <c r="P3940">
        <f>TEXT(B3940,"yyyy-mm")</f>
        <v/>
      </c>
      <c r="Q3940">
        <f>IF(O3940&gt;=3000,"Large","Small")</f>
        <v/>
      </c>
      <c r="R3940">
        <f>INDEX(Products!$F$2:$F$49,MATCH(J3940,Products!$A$2:$A$49,0))</f>
        <v/>
      </c>
      <c r="S3940">
        <f>WEEKDAY(B3940,2)</f>
        <v/>
      </c>
    </row>
    <row r="3941">
      <c r="A3941" t="n">
        <v>511525</v>
      </c>
      <c r="B3941" s="6" t="n">
        <v>46007</v>
      </c>
      <c r="C3941" t="n">
        <v>17785</v>
      </c>
      <c r="D3941" t="inlineStr">
        <is>
          <t>Bengaluru</t>
        </is>
      </c>
      <c r="E3941" t="inlineStr">
        <is>
          <t>South</t>
        </is>
      </c>
      <c r="F3941" t="inlineStr">
        <is>
          <t>Affiliate</t>
        </is>
      </c>
      <c r="G3941" t="inlineStr">
        <is>
          <t>Mobile Web</t>
        </is>
      </c>
      <c r="H3941" t="inlineStr">
        <is>
          <t>UPI</t>
        </is>
      </c>
      <c r="I3941" t="inlineStr">
        <is>
          <t>Delivered</t>
        </is>
      </c>
      <c r="J3941" t="n">
        <v>101</v>
      </c>
      <c r="K3941" t="n">
        <v>1</v>
      </c>
      <c r="L3941" t="n">
        <v>2099</v>
      </c>
      <c r="M3941" t="n">
        <v>314.85</v>
      </c>
      <c r="N3941">
        <f>VLOOKUP(J3941,Products!$A$2:$C$49,3,FALSE)</f>
        <v/>
      </c>
      <c r="O3941">
        <f>K3941*L3941-M3941</f>
        <v/>
      </c>
      <c r="P3941">
        <f>TEXT(B3941,"yyyy-mm")</f>
        <v/>
      </c>
      <c r="Q3941">
        <f>IF(O3941&gt;=3000,"Large","Small")</f>
        <v/>
      </c>
      <c r="R3941">
        <f>INDEX(Products!$F$2:$F$49,MATCH(J3941,Products!$A$2:$A$49,0))</f>
        <v/>
      </c>
      <c r="S3941">
        <f>WEEKDAY(B3941,2)</f>
        <v/>
      </c>
    </row>
    <row r="3942">
      <c r="A3942" t="n">
        <v>511525</v>
      </c>
      <c r="B3942" s="6" t="n">
        <v>46007</v>
      </c>
      <c r="C3942" t="n">
        <v>17785</v>
      </c>
      <c r="D3942" t="inlineStr">
        <is>
          <t>Bengaluru</t>
        </is>
      </c>
      <c r="E3942" t="inlineStr">
        <is>
          <t>South</t>
        </is>
      </c>
      <c r="F3942" t="inlineStr">
        <is>
          <t>Affiliate</t>
        </is>
      </c>
      <c r="G3942" t="inlineStr">
        <is>
          <t>Mobile Web</t>
        </is>
      </c>
      <c r="H3942" t="inlineStr">
        <is>
          <t>UPI</t>
        </is>
      </c>
      <c r="I3942" t="inlineStr">
        <is>
          <t>Delivered</t>
        </is>
      </c>
      <c r="J3942" t="n">
        <v>123</v>
      </c>
      <c r="K3942" t="n">
        <v>2</v>
      </c>
      <c r="L3942" t="n">
        <v>3464</v>
      </c>
      <c r="M3942" t="n">
        <v>1039.2</v>
      </c>
      <c r="N3942">
        <f>VLOOKUP(J3942,Products!$A$2:$C$49,3,FALSE)</f>
        <v/>
      </c>
      <c r="O3942">
        <f>K3942*L3942-M3942</f>
        <v/>
      </c>
      <c r="P3942">
        <f>TEXT(B3942,"yyyy-mm")</f>
        <v/>
      </c>
      <c r="Q3942">
        <f>IF(O3942&gt;=3000,"Large","Small")</f>
        <v/>
      </c>
      <c r="R3942">
        <f>INDEX(Products!$F$2:$F$49,MATCH(J3942,Products!$A$2:$A$49,0))</f>
        <v/>
      </c>
      <c r="S3942">
        <f>WEEKDAY(B3942,2)</f>
        <v/>
      </c>
    </row>
    <row r="3943">
      <c r="A3943" t="n">
        <v>511526</v>
      </c>
      <c r="B3943" s="6" t="n">
        <v>46007</v>
      </c>
      <c r="C3943" t="n">
        <v>14820</v>
      </c>
      <c r="D3943" t="inlineStr">
        <is>
          <t>Kochi</t>
        </is>
      </c>
      <c r="E3943" t="inlineStr">
        <is>
          <t>South</t>
        </is>
      </c>
      <c r="F3943" t="inlineStr">
        <is>
          <t>Paid Social</t>
        </is>
      </c>
      <c r="G3943" t="inlineStr">
        <is>
          <t>Mobile Web</t>
        </is>
      </c>
      <c r="H3943" t="inlineStr">
        <is>
          <t>UPI</t>
        </is>
      </c>
      <c r="I3943" t="inlineStr">
        <is>
          <t>Delivered</t>
        </is>
      </c>
      <c r="J3943" t="n">
        <v>117</v>
      </c>
      <c r="K3943" t="n">
        <v>1</v>
      </c>
      <c r="L3943" t="n">
        <v>3149</v>
      </c>
      <c r="M3943" t="n">
        <v>0</v>
      </c>
      <c r="N3943">
        <f>VLOOKUP(J3943,Products!$A$2:$C$49,3,FALSE)</f>
        <v/>
      </c>
      <c r="O3943">
        <f>K3943*L3943-M3943</f>
        <v/>
      </c>
      <c r="P3943">
        <f>TEXT(B3943,"yyyy-mm")</f>
        <v/>
      </c>
      <c r="Q3943">
        <f>IF(O3943&gt;=3000,"Large","Small")</f>
        <v/>
      </c>
      <c r="R3943">
        <f>INDEX(Products!$F$2:$F$49,MATCH(J3943,Products!$A$2:$A$49,0))</f>
        <v/>
      </c>
      <c r="S3943">
        <f>WEEKDAY(B3943,2)</f>
        <v/>
      </c>
    </row>
    <row r="3944">
      <c r="A3944" t="n">
        <v>511527</v>
      </c>
      <c r="B3944" s="6" t="n">
        <v>46007</v>
      </c>
      <c r="C3944" t="n">
        <v>17610</v>
      </c>
      <c r="D3944" t="inlineStr">
        <is>
          <t>Noida</t>
        </is>
      </c>
      <c r="E3944" t="inlineStr">
        <is>
          <t>North</t>
        </is>
      </c>
      <c r="F3944" t="inlineStr">
        <is>
          <t>Paid Search</t>
        </is>
      </c>
      <c r="G3944" t="inlineStr">
        <is>
          <t>Mobile App</t>
        </is>
      </c>
      <c r="H3944" t="inlineStr">
        <is>
          <t>Cash on Delivery</t>
        </is>
      </c>
      <c r="I3944" t="inlineStr">
        <is>
          <t>Delivered</t>
        </is>
      </c>
      <c r="J3944" t="n">
        <v>107</v>
      </c>
      <c r="K3944" t="n">
        <v>1</v>
      </c>
      <c r="L3944" t="n">
        <v>1259</v>
      </c>
      <c r="M3944" t="n">
        <v>0</v>
      </c>
      <c r="N3944">
        <f>VLOOKUP(J3944,Products!$A$2:$C$49,3,FALSE)</f>
        <v/>
      </c>
      <c r="O3944">
        <f>K3944*L3944-M3944</f>
        <v/>
      </c>
      <c r="P3944">
        <f>TEXT(B3944,"yyyy-mm")</f>
        <v/>
      </c>
      <c r="Q3944">
        <f>IF(O3944&gt;=3000,"Large","Small")</f>
        <v/>
      </c>
      <c r="R3944">
        <f>INDEX(Products!$F$2:$F$49,MATCH(J3944,Products!$A$2:$A$49,0))</f>
        <v/>
      </c>
      <c r="S3944">
        <f>WEEKDAY(B3944,2)</f>
        <v/>
      </c>
    </row>
    <row r="3945">
      <c r="A3945" t="n">
        <v>511527</v>
      </c>
      <c r="B3945" s="6" t="n">
        <v>46007</v>
      </c>
      <c r="C3945" t="n">
        <v>17610</v>
      </c>
      <c r="D3945" t="inlineStr">
        <is>
          <t>Noida</t>
        </is>
      </c>
      <c r="E3945" t="inlineStr">
        <is>
          <t>North</t>
        </is>
      </c>
      <c r="F3945" t="inlineStr">
        <is>
          <t>Paid Search</t>
        </is>
      </c>
      <c r="G3945" t="inlineStr">
        <is>
          <t>Mobile App</t>
        </is>
      </c>
      <c r="H3945" t="inlineStr">
        <is>
          <t>Cash on Delivery</t>
        </is>
      </c>
      <c r="I3945" t="inlineStr">
        <is>
          <t>Delivered</t>
        </is>
      </c>
      <c r="J3945" t="n">
        <v>117</v>
      </c>
      <c r="K3945" t="n">
        <v>1</v>
      </c>
      <c r="L3945" t="n">
        <v>3149</v>
      </c>
      <c r="M3945" t="n">
        <v>0</v>
      </c>
      <c r="N3945">
        <f>VLOOKUP(J3945,Products!$A$2:$C$49,3,FALSE)</f>
        <v/>
      </c>
      <c r="O3945">
        <f>K3945*L3945-M3945</f>
        <v/>
      </c>
      <c r="P3945">
        <f>TEXT(B3945,"yyyy-mm")</f>
        <v/>
      </c>
      <c r="Q3945">
        <f>IF(O3945&gt;=3000,"Large","Small")</f>
        <v/>
      </c>
      <c r="R3945">
        <f>INDEX(Products!$F$2:$F$49,MATCH(J3945,Products!$A$2:$A$49,0))</f>
        <v/>
      </c>
      <c r="S3945">
        <f>WEEKDAY(B3945,2)</f>
        <v/>
      </c>
    </row>
    <row r="3946">
      <c r="A3946" t="n">
        <v>511528</v>
      </c>
      <c r="B3946" s="6" t="n">
        <v>46007</v>
      </c>
      <c r="C3946" t="n">
        <v>17636</v>
      </c>
      <c r="D3946" t="inlineStr">
        <is>
          <t>Delhi</t>
        </is>
      </c>
      <c r="E3946" t="inlineStr">
        <is>
          <t>North</t>
        </is>
      </c>
      <c r="F3946" t="inlineStr">
        <is>
          <t>Paid Search</t>
        </is>
      </c>
      <c r="G3946" t="inlineStr">
        <is>
          <t>Mobile App</t>
        </is>
      </c>
      <c r="H3946" t="inlineStr">
        <is>
          <t>UPI</t>
        </is>
      </c>
      <c r="I3946" t="inlineStr">
        <is>
          <t>Returned</t>
        </is>
      </c>
      <c r="J3946" t="n">
        <v>120</v>
      </c>
      <c r="K3946" t="n">
        <v>1</v>
      </c>
      <c r="L3946" t="n">
        <v>734</v>
      </c>
      <c r="M3946" t="n">
        <v>0</v>
      </c>
      <c r="N3946">
        <f>VLOOKUP(J3946,Products!$A$2:$C$49,3,FALSE)</f>
        <v/>
      </c>
      <c r="O3946">
        <f>K3946*L3946-M3946</f>
        <v/>
      </c>
      <c r="P3946">
        <f>TEXT(B3946,"yyyy-mm")</f>
        <v/>
      </c>
      <c r="Q3946">
        <f>IF(O3946&gt;=3000,"Large","Small")</f>
        <v/>
      </c>
      <c r="R3946">
        <f>INDEX(Products!$F$2:$F$49,MATCH(J3946,Products!$A$2:$A$49,0))</f>
        <v/>
      </c>
      <c r="S3946">
        <f>WEEKDAY(B3946,2)</f>
        <v/>
      </c>
    </row>
    <row r="3947">
      <c r="A3947" t="n">
        <v>511529</v>
      </c>
      <c r="B3947" s="6" t="n">
        <v>46007</v>
      </c>
      <c r="C3947" t="n">
        <v>16906</v>
      </c>
      <c r="D3947" t="inlineStr">
        <is>
          <t>Delhi</t>
        </is>
      </c>
      <c r="E3947" t="inlineStr">
        <is>
          <t>North</t>
        </is>
      </c>
      <c r="F3947" t="inlineStr">
        <is>
          <t>Paid Search</t>
        </is>
      </c>
      <c r="G3947" t="inlineStr">
        <is>
          <t>Mobile App</t>
        </is>
      </c>
      <c r="H3947" t="inlineStr">
        <is>
          <t>UPI</t>
        </is>
      </c>
      <c r="I3947" t="inlineStr">
        <is>
          <t>Delivered</t>
        </is>
      </c>
      <c r="J3947" t="n">
        <v>132</v>
      </c>
      <c r="K3947" t="n">
        <v>1</v>
      </c>
      <c r="L3947" t="n">
        <v>471</v>
      </c>
      <c r="M3947" t="n">
        <v>0</v>
      </c>
      <c r="N3947">
        <f>VLOOKUP(J3947,Products!$A$2:$C$49,3,FALSE)</f>
        <v/>
      </c>
      <c r="O3947">
        <f>K3947*L3947-M3947</f>
        <v/>
      </c>
      <c r="P3947">
        <f>TEXT(B3947,"yyyy-mm")</f>
        <v/>
      </c>
      <c r="Q3947">
        <f>IF(O3947&gt;=3000,"Large","Small")</f>
        <v/>
      </c>
      <c r="R3947">
        <f>INDEX(Products!$F$2:$F$49,MATCH(J3947,Products!$A$2:$A$49,0))</f>
        <v/>
      </c>
      <c r="S3947">
        <f>WEEKDAY(B3947,2)</f>
        <v/>
      </c>
    </row>
    <row r="3948">
      <c r="A3948" t="n">
        <v>511530</v>
      </c>
      <c r="B3948" s="6" t="n">
        <v>46007</v>
      </c>
      <c r="C3948" t="n">
        <v>16885</v>
      </c>
      <c r="D3948" t="inlineStr">
        <is>
          <t>Chandigarh</t>
        </is>
      </c>
      <c r="E3948" t="inlineStr">
        <is>
          <t>North</t>
        </is>
      </c>
      <c r="F3948" t="inlineStr">
        <is>
          <t>Organic Search</t>
        </is>
      </c>
      <c r="G3948" t="inlineStr">
        <is>
          <t>Mobile App</t>
        </is>
      </c>
      <c r="H3948" t="inlineStr">
        <is>
          <t>Credit Card</t>
        </is>
      </c>
      <c r="I3948" t="inlineStr">
        <is>
          <t>Delivered</t>
        </is>
      </c>
      <c r="J3948" t="n">
        <v>103</v>
      </c>
      <c r="K3948" t="n">
        <v>1</v>
      </c>
      <c r="L3948" t="n">
        <v>2624</v>
      </c>
      <c r="M3948" t="n">
        <v>0</v>
      </c>
      <c r="N3948">
        <f>VLOOKUP(J3948,Products!$A$2:$C$49,3,FALSE)</f>
        <v/>
      </c>
      <c r="O3948">
        <f>K3948*L3948-M3948</f>
        <v/>
      </c>
      <c r="P3948">
        <f>TEXT(B3948,"yyyy-mm")</f>
        <v/>
      </c>
      <c r="Q3948">
        <f>IF(O3948&gt;=3000,"Large","Small")</f>
        <v/>
      </c>
      <c r="R3948">
        <f>INDEX(Products!$F$2:$F$49,MATCH(J3948,Products!$A$2:$A$49,0))</f>
        <v/>
      </c>
      <c r="S3948">
        <f>WEEKDAY(B3948,2)</f>
        <v/>
      </c>
    </row>
    <row r="3949">
      <c r="A3949" t="n">
        <v>511531</v>
      </c>
      <c r="B3949" s="6" t="n">
        <v>46007</v>
      </c>
      <c r="C3949" t="n">
        <v>15473</v>
      </c>
      <c r="D3949" t="inlineStr">
        <is>
          <t>Pune</t>
        </is>
      </c>
      <c r="E3949" t="inlineStr">
        <is>
          <t>West</t>
        </is>
      </c>
      <c r="F3949" t="inlineStr">
        <is>
          <t>Organic Search</t>
        </is>
      </c>
      <c r="G3949" t="inlineStr">
        <is>
          <t>Mobile App</t>
        </is>
      </c>
      <c r="H3949" t="inlineStr">
        <is>
          <t>Debit Card</t>
        </is>
      </c>
      <c r="I3949" t="inlineStr">
        <is>
          <t>Delivered</t>
        </is>
      </c>
      <c r="J3949" t="n">
        <v>108</v>
      </c>
      <c r="K3949" t="n">
        <v>1</v>
      </c>
      <c r="L3949" t="n">
        <v>419</v>
      </c>
      <c r="M3949" t="n">
        <v>0</v>
      </c>
      <c r="N3949">
        <f>VLOOKUP(J3949,Products!$A$2:$C$49,3,FALSE)</f>
        <v/>
      </c>
      <c r="O3949">
        <f>K3949*L3949-M3949</f>
        <v/>
      </c>
      <c r="P3949">
        <f>TEXT(B3949,"yyyy-mm")</f>
        <v/>
      </c>
      <c r="Q3949">
        <f>IF(O3949&gt;=3000,"Large","Small")</f>
        <v/>
      </c>
      <c r="R3949">
        <f>INDEX(Products!$F$2:$F$49,MATCH(J3949,Products!$A$2:$A$49,0))</f>
        <v/>
      </c>
      <c r="S3949">
        <f>WEEKDAY(B3949,2)</f>
        <v/>
      </c>
    </row>
    <row r="3950">
      <c r="A3950" t="n">
        <v>511532</v>
      </c>
      <c r="B3950" s="6" t="n">
        <v>46007</v>
      </c>
      <c r="C3950" t="n">
        <v>17778</v>
      </c>
      <c r="D3950" t="inlineStr">
        <is>
          <t>Kochi</t>
        </is>
      </c>
      <c r="E3950" t="inlineStr">
        <is>
          <t>South</t>
        </is>
      </c>
      <c r="F3950" t="inlineStr">
        <is>
          <t>Paid Social</t>
        </is>
      </c>
      <c r="G3950" t="inlineStr">
        <is>
          <t>Mobile Web</t>
        </is>
      </c>
      <c r="H3950" t="inlineStr">
        <is>
          <t>Debit Card</t>
        </is>
      </c>
      <c r="I3950" t="inlineStr">
        <is>
          <t>Delivered</t>
        </is>
      </c>
      <c r="J3950" t="n">
        <v>136</v>
      </c>
      <c r="K3950" t="n">
        <v>1</v>
      </c>
      <c r="L3950" t="n">
        <v>944</v>
      </c>
      <c r="M3950" t="n">
        <v>0</v>
      </c>
      <c r="N3950">
        <f>VLOOKUP(J3950,Products!$A$2:$C$49,3,FALSE)</f>
        <v/>
      </c>
      <c r="O3950">
        <f>K3950*L3950-M3950</f>
        <v/>
      </c>
      <c r="P3950">
        <f>TEXT(B3950,"yyyy-mm")</f>
        <v/>
      </c>
      <c r="Q3950">
        <f>IF(O3950&gt;=3000,"Large","Small")</f>
        <v/>
      </c>
      <c r="R3950">
        <f>INDEX(Products!$F$2:$F$49,MATCH(J3950,Products!$A$2:$A$49,0))</f>
        <v/>
      </c>
      <c r="S3950">
        <f>WEEKDAY(B3950,2)</f>
        <v/>
      </c>
    </row>
    <row r="3951">
      <c r="A3951" t="n">
        <v>511533</v>
      </c>
      <c r="B3951" s="6" t="n">
        <v>46007</v>
      </c>
      <c r="C3951" t="n">
        <v>17764</v>
      </c>
      <c r="D3951" t="inlineStr">
        <is>
          <t>Mumbai</t>
        </is>
      </c>
      <c r="E3951" t="inlineStr">
        <is>
          <t>West</t>
        </is>
      </c>
      <c r="F3951" t="inlineStr">
        <is>
          <t>Paid Social</t>
        </is>
      </c>
      <c r="G3951" t="inlineStr">
        <is>
          <t>Desktop</t>
        </is>
      </c>
      <c r="H3951" t="inlineStr">
        <is>
          <t>UPI</t>
        </is>
      </c>
      <c r="I3951" t="inlineStr">
        <is>
          <t>Delivered</t>
        </is>
      </c>
      <c r="J3951" t="n">
        <v>130</v>
      </c>
      <c r="K3951" t="n">
        <v>1</v>
      </c>
      <c r="L3951" t="n">
        <v>734</v>
      </c>
      <c r="M3951" t="n">
        <v>0</v>
      </c>
      <c r="N3951">
        <f>VLOOKUP(J3951,Products!$A$2:$C$49,3,FALSE)</f>
        <v/>
      </c>
      <c r="O3951">
        <f>K3951*L3951-M3951</f>
        <v/>
      </c>
      <c r="P3951">
        <f>TEXT(B3951,"yyyy-mm")</f>
        <v/>
      </c>
      <c r="Q3951">
        <f>IF(O3951&gt;=3000,"Large","Small")</f>
        <v/>
      </c>
      <c r="R3951">
        <f>INDEX(Products!$F$2:$F$49,MATCH(J3951,Products!$A$2:$A$49,0))</f>
        <v/>
      </c>
      <c r="S3951">
        <f>WEEKDAY(B3951,2)</f>
        <v/>
      </c>
    </row>
    <row r="3952">
      <c r="A3952" t="n">
        <v>511534</v>
      </c>
      <c r="B3952" s="6" t="n">
        <v>46007</v>
      </c>
      <c r="C3952" t="n">
        <v>15834</v>
      </c>
      <c r="D3952" t="inlineStr">
        <is>
          <t>Bengaluru</t>
        </is>
      </c>
      <c r="E3952" t="inlineStr">
        <is>
          <t>South</t>
        </is>
      </c>
      <c r="F3952" t="inlineStr">
        <is>
          <t>Organic Search</t>
        </is>
      </c>
      <c r="G3952" t="inlineStr">
        <is>
          <t>Desktop</t>
        </is>
      </c>
      <c r="H3952" t="inlineStr">
        <is>
          <t>Net Banking</t>
        </is>
      </c>
      <c r="I3952" t="inlineStr">
        <is>
          <t>Delivered</t>
        </is>
      </c>
      <c r="J3952" t="n">
        <v>135</v>
      </c>
      <c r="K3952" t="n">
        <v>1</v>
      </c>
      <c r="L3952" t="n">
        <v>1574</v>
      </c>
      <c r="M3952" t="n">
        <v>0</v>
      </c>
      <c r="N3952">
        <f>VLOOKUP(J3952,Products!$A$2:$C$49,3,FALSE)</f>
        <v/>
      </c>
      <c r="O3952">
        <f>K3952*L3952-M3952</f>
        <v/>
      </c>
      <c r="P3952">
        <f>TEXT(B3952,"yyyy-mm")</f>
        <v/>
      </c>
      <c r="Q3952">
        <f>IF(O3952&gt;=3000,"Large","Small")</f>
        <v/>
      </c>
      <c r="R3952">
        <f>INDEX(Products!$F$2:$F$49,MATCH(J3952,Products!$A$2:$A$49,0))</f>
        <v/>
      </c>
      <c r="S3952">
        <f>WEEKDAY(B3952,2)</f>
        <v/>
      </c>
    </row>
    <row r="3953">
      <c r="A3953" t="n">
        <v>511535</v>
      </c>
      <c r="B3953" s="6" t="n">
        <v>46007</v>
      </c>
      <c r="C3953" t="n">
        <v>16009</v>
      </c>
      <c r="D3953" t="inlineStr">
        <is>
          <t>Delhi</t>
        </is>
      </c>
      <c r="E3953" t="inlineStr">
        <is>
          <t>North</t>
        </is>
      </c>
      <c r="F3953" t="inlineStr">
        <is>
          <t>Referral</t>
        </is>
      </c>
      <c r="G3953" t="inlineStr">
        <is>
          <t>Mobile Web</t>
        </is>
      </c>
      <c r="H3953" t="inlineStr">
        <is>
          <t>Cash on Delivery</t>
        </is>
      </c>
      <c r="I3953" t="inlineStr">
        <is>
          <t>Delivered</t>
        </is>
      </c>
      <c r="J3953" t="n">
        <v>134</v>
      </c>
      <c r="K3953" t="n">
        <v>2</v>
      </c>
      <c r="L3953" t="n">
        <v>209</v>
      </c>
      <c r="M3953" t="n">
        <v>0</v>
      </c>
      <c r="N3953">
        <f>VLOOKUP(J3953,Products!$A$2:$C$49,3,FALSE)</f>
        <v/>
      </c>
      <c r="O3953">
        <f>K3953*L3953-M3953</f>
        <v/>
      </c>
      <c r="P3953">
        <f>TEXT(B3953,"yyyy-mm")</f>
        <v/>
      </c>
      <c r="Q3953">
        <f>IF(O3953&gt;=3000,"Large","Small")</f>
        <v/>
      </c>
      <c r="R3953">
        <f>INDEX(Products!$F$2:$F$49,MATCH(J3953,Products!$A$2:$A$49,0))</f>
        <v/>
      </c>
      <c r="S3953">
        <f>WEEKDAY(B3953,2)</f>
        <v/>
      </c>
    </row>
    <row r="3954">
      <c r="A3954" t="n">
        <v>511536</v>
      </c>
      <c r="B3954" s="6" t="n">
        <v>46007</v>
      </c>
      <c r="C3954" t="n">
        <v>17762</v>
      </c>
      <c r="D3954" t="inlineStr">
        <is>
          <t>Chennai</t>
        </is>
      </c>
      <c r="E3954" t="inlineStr">
        <is>
          <t>South</t>
        </is>
      </c>
      <c r="F3954" t="inlineStr">
        <is>
          <t>Organic Search</t>
        </is>
      </c>
      <c r="G3954" t="inlineStr">
        <is>
          <t>Desktop</t>
        </is>
      </c>
      <c r="H3954" t="inlineStr">
        <is>
          <t>Credit Card</t>
        </is>
      </c>
      <c r="I3954" t="inlineStr">
        <is>
          <t>Delivered</t>
        </is>
      </c>
      <c r="J3954" t="n">
        <v>113</v>
      </c>
      <c r="K3954" t="n">
        <v>2</v>
      </c>
      <c r="L3954" t="n">
        <v>1364</v>
      </c>
      <c r="M3954" t="n">
        <v>409.2</v>
      </c>
      <c r="N3954">
        <f>VLOOKUP(J3954,Products!$A$2:$C$49,3,FALSE)</f>
        <v/>
      </c>
      <c r="O3954">
        <f>K3954*L3954-M3954</f>
        <v/>
      </c>
      <c r="P3954">
        <f>TEXT(B3954,"yyyy-mm")</f>
        <v/>
      </c>
      <c r="Q3954">
        <f>IF(O3954&gt;=3000,"Large","Small")</f>
        <v/>
      </c>
      <c r="R3954">
        <f>INDEX(Products!$F$2:$F$49,MATCH(J3954,Products!$A$2:$A$49,0))</f>
        <v/>
      </c>
      <c r="S3954">
        <f>WEEKDAY(B3954,2)</f>
        <v/>
      </c>
    </row>
    <row r="3955">
      <c r="A3955" t="n">
        <v>511537</v>
      </c>
      <c r="B3955" s="6" t="n">
        <v>46007</v>
      </c>
      <c r="C3955" t="n">
        <v>14074</v>
      </c>
      <c r="D3955" t="inlineStr">
        <is>
          <t>Lucknow</t>
        </is>
      </c>
      <c r="E3955" t="inlineStr">
        <is>
          <t>North</t>
        </is>
      </c>
      <c r="F3955" t="inlineStr">
        <is>
          <t>Paid Search</t>
        </is>
      </c>
      <c r="G3955" t="inlineStr">
        <is>
          <t>Mobile Web</t>
        </is>
      </c>
      <c r="H3955" t="inlineStr">
        <is>
          <t>Credit Card</t>
        </is>
      </c>
      <c r="I3955" t="inlineStr">
        <is>
          <t>Delivered</t>
        </is>
      </c>
      <c r="J3955" t="n">
        <v>118</v>
      </c>
      <c r="K3955" t="n">
        <v>3</v>
      </c>
      <c r="L3955" t="n">
        <v>944</v>
      </c>
      <c r="M3955" t="n">
        <v>0</v>
      </c>
      <c r="N3955">
        <f>VLOOKUP(J3955,Products!$A$2:$C$49,3,FALSE)</f>
        <v/>
      </c>
      <c r="O3955">
        <f>K3955*L3955-M3955</f>
        <v/>
      </c>
      <c r="P3955">
        <f>TEXT(B3955,"yyyy-mm")</f>
        <v/>
      </c>
      <c r="Q3955">
        <f>IF(O3955&gt;=3000,"Large","Small")</f>
        <v/>
      </c>
      <c r="R3955">
        <f>INDEX(Products!$F$2:$F$49,MATCH(J3955,Products!$A$2:$A$49,0))</f>
        <v/>
      </c>
      <c r="S3955">
        <f>WEEKDAY(B3955,2)</f>
        <v/>
      </c>
    </row>
    <row r="3956">
      <c r="A3956" t="n">
        <v>511538</v>
      </c>
      <c r="B3956" s="6" t="n">
        <v>46007</v>
      </c>
      <c r="C3956" t="n">
        <v>15658</v>
      </c>
      <c r="D3956" t="inlineStr">
        <is>
          <t>Kochi</t>
        </is>
      </c>
      <c r="E3956" t="inlineStr">
        <is>
          <t>South</t>
        </is>
      </c>
      <c r="F3956" t="inlineStr">
        <is>
          <t>Paid Search</t>
        </is>
      </c>
      <c r="G3956" t="inlineStr">
        <is>
          <t>Mobile Web</t>
        </is>
      </c>
      <c r="H3956" t="inlineStr">
        <is>
          <t>UPI</t>
        </is>
      </c>
      <c r="I3956" t="inlineStr">
        <is>
          <t>Delivered</t>
        </is>
      </c>
      <c r="J3956" t="n">
        <v>134</v>
      </c>
      <c r="K3956" t="n">
        <v>1</v>
      </c>
      <c r="L3956" t="n">
        <v>209</v>
      </c>
      <c r="M3956" t="n">
        <v>0</v>
      </c>
      <c r="N3956">
        <f>VLOOKUP(J3956,Products!$A$2:$C$49,3,FALSE)</f>
        <v/>
      </c>
      <c r="O3956">
        <f>K3956*L3956-M3956</f>
        <v/>
      </c>
      <c r="P3956">
        <f>TEXT(B3956,"yyyy-mm")</f>
        <v/>
      </c>
      <c r="Q3956">
        <f>IF(O3956&gt;=3000,"Large","Small")</f>
        <v/>
      </c>
      <c r="R3956">
        <f>INDEX(Products!$F$2:$F$49,MATCH(J3956,Products!$A$2:$A$49,0))</f>
        <v/>
      </c>
      <c r="S3956">
        <f>WEEKDAY(B3956,2)</f>
        <v/>
      </c>
    </row>
    <row r="3957">
      <c r="A3957" t="n">
        <v>511539</v>
      </c>
      <c r="B3957" s="6" t="n">
        <v>46007</v>
      </c>
      <c r="C3957" t="n">
        <v>17777</v>
      </c>
      <c r="D3957" t="inlineStr">
        <is>
          <t>Delhi</t>
        </is>
      </c>
      <c r="E3957" t="inlineStr">
        <is>
          <t>North</t>
        </is>
      </c>
      <c r="F3957" t="inlineStr">
        <is>
          <t>Paid Search</t>
        </is>
      </c>
      <c r="G3957" t="inlineStr">
        <is>
          <t>Mobile App</t>
        </is>
      </c>
      <c r="H3957" t="inlineStr">
        <is>
          <t>UPI</t>
        </is>
      </c>
      <c r="I3957" t="inlineStr">
        <is>
          <t>Delivered</t>
        </is>
      </c>
      <c r="J3957" t="n">
        <v>105</v>
      </c>
      <c r="K3957" t="n">
        <v>2</v>
      </c>
      <c r="L3957" t="n">
        <v>2414</v>
      </c>
      <c r="M3957" t="n">
        <v>724.2</v>
      </c>
      <c r="N3957">
        <f>VLOOKUP(J3957,Products!$A$2:$C$49,3,FALSE)</f>
        <v/>
      </c>
      <c r="O3957">
        <f>K3957*L3957-M3957</f>
        <v/>
      </c>
      <c r="P3957">
        <f>TEXT(B3957,"yyyy-mm")</f>
        <v/>
      </c>
      <c r="Q3957">
        <f>IF(O3957&gt;=3000,"Large","Small")</f>
        <v/>
      </c>
      <c r="R3957">
        <f>INDEX(Products!$F$2:$F$49,MATCH(J3957,Products!$A$2:$A$49,0))</f>
        <v/>
      </c>
      <c r="S3957">
        <f>WEEKDAY(B3957,2)</f>
        <v/>
      </c>
    </row>
    <row r="3958">
      <c r="A3958" t="n">
        <v>511540</v>
      </c>
      <c r="B3958" s="6" t="n">
        <v>46007</v>
      </c>
      <c r="C3958" t="n">
        <v>17784</v>
      </c>
      <c r="D3958" t="inlineStr">
        <is>
          <t>Gurugram</t>
        </is>
      </c>
      <c r="E3958" t="inlineStr">
        <is>
          <t>North</t>
        </is>
      </c>
      <c r="F3958" t="inlineStr">
        <is>
          <t>Affiliate</t>
        </is>
      </c>
      <c r="G3958" t="inlineStr">
        <is>
          <t>Mobile App</t>
        </is>
      </c>
      <c r="H3958" t="inlineStr">
        <is>
          <t>Debit Card</t>
        </is>
      </c>
      <c r="I3958" t="inlineStr">
        <is>
          <t>Delivered</t>
        </is>
      </c>
      <c r="J3958" t="n">
        <v>137</v>
      </c>
      <c r="K3958" t="n">
        <v>1</v>
      </c>
      <c r="L3958" t="n">
        <v>261</v>
      </c>
      <c r="M3958" t="n">
        <v>39.15</v>
      </c>
      <c r="N3958">
        <f>VLOOKUP(J3958,Products!$A$2:$C$49,3,FALSE)</f>
        <v/>
      </c>
      <c r="O3958">
        <f>K3958*L3958-M3958</f>
        <v/>
      </c>
      <c r="P3958">
        <f>TEXT(B3958,"yyyy-mm")</f>
        <v/>
      </c>
      <c r="Q3958">
        <f>IF(O3958&gt;=3000,"Large","Small")</f>
        <v/>
      </c>
      <c r="R3958">
        <f>INDEX(Products!$F$2:$F$49,MATCH(J3958,Products!$A$2:$A$49,0))</f>
        <v/>
      </c>
      <c r="S3958">
        <f>WEEKDAY(B3958,2)</f>
        <v/>
      </c>
    </row>
    <row r="3959">
      <c r="A3959" t="n">
        <v>511540</v>
      </c>
      <c r="B3959" s="6" t="n">
        <v>46007</v>
      </c>
      <c r="C3959" t="n">
        <v>17784</v>
      </c>
      <c r="D3959" t="inlineStr">
        <is>
          <t>Gurugram</t>
        </is>
      </c>
      <c r="E3959" t="inlineStr">
        <is>
          <t>North</t>
        </is>
      </c>
      <c r="F3959" t="inlineStr">
        <is>
          <t>Affiliate</t>
        </is>
      </c>
      <c r="G3959" t="inlineStr">
        <is>
          <t>Mobile App</t>
        </is>
      </c>
      <c r="H3959" t="inlineStr">
        <is>
          <t>Debit Card</t>
        </is>
      </c>
      <c r="I3959" t="inlineStr">
        <is>
          <t>Delivered</t>
        </is>
      </c>
      <c r="J3959" t="n">
        <v>110</v>
      </c>
      <c r="K3959" t="n">
        <v>1</v>
      </c>
      <c r="L3959" t="n">
        <v>839</v>
      </c>
      <c r="M3959" t="n">
        <v>125.85</v>
      </c>
      <c r="N3959">
        <f>VLOOKUP(J3959,Products!$A$2:$C$49,3,FALSE)</f>
        <v/>
      </c>
      <c r="O3959">
        <f>K3959*L3959-M3959</f>
        <v/>
      </c>
      <c r="P3959">
        <f>TEXT(B3959,"yyyy-mm")</f>
        <v/>
      </c>
      <c r="Q3959">
        <f>IF(O3959&gt;=3000,"Large","Small")</f>
        <v/>
      </c>
      <c r="R3959">
        <f>INDEX(Products!$F$2:$F$49,MATCH(J3959,Products!$A$2:$A$49,0))</f>
        <v/>
      </c>
      <c r="S3959">
        <f>WEEKDAY(B3959,2)</f>
        <v/>
      </c>
    </row>
    <row r="3960">
      <c r="A3960" t="n">
        <v>511541</v>
      </c>
      <c r="B3960" s="6" t="n">
        <v>46007</v>
      </c>
      <c r="C3960" t="n">
        <v>17781</v>
      </c>
      <c r="D3960" t="inlineStr">
        <is>
          <t>Chennai</t>
        </is>
      </c>
      <c r="E3960" t="inlineStr">
        <is>
          <t>South</t>
        </is>
      </c>
      <c r="F3960" t="inlineStr">
        <is>
          <t>Paid Search</t>
        </is>
      </c>
      <c r="G3960" t="inlineStr">
        <is>
          <t>Mobile App</t>
        </is>
      </c>
      <c r="H3960" t="inlineStr">
        <is>
          <t>Debit Card</t>
        </is>
      </c>
      <c r="I3960" t="inlineStr">
        <is>
          <t>Delivered</t>
        </is>
      </c>
      <c r="J3960" t="n">
        <v>108</v>
      </c>
      <c r="K3960" t="n">
        <v>1</v>
      </c>
      <c r="L3960" t="n">
        <v>419</v>
      </c>
      <c r="M3960" t="n">
        <v>62.85</v>
      </c>
      <c r="N3960">
        <f>VLOOKUP(J3960,Products!$A$2:$C$49,3,FALSE)</f>
        <v/>
      </c>
      <c r="O3960">
        <f>K3960*L3960-M3960</f>
        <v/>
      </c>
      <c r="P3960">
        <f>TEXT(B3960,"yyyy-mm")</f>
        <v/>
      </c>
      <c r="Q3960">
        <f>IF(O3960&gt;=3000,"Large","Small")</f>
        <v/>
      </c>
      <c r="R3960">
        <f>INDEX(Products!$F$2:$F$49,MATCH(J3960,Products!$A$2:$A$49,0))</f>
        <v/>
      </c>
      <c r="S3960">
        <f>WEEKDAY(B3960,2)</f>
        <v/>
      </c>
    </row>
    <row r="3961">
      <c r="A3961" t="n">
        <v>511541</v>
      </c>
      <c r="B3961" s="6" t="n">
        <v>46007</v>
      </c>
      <c r="C3961" t="n">
        <v>17781</v>
      </c>
      <c r="D3961" t="inlineStr">
        <is>
          <t>Chennai</t>
        </is>
      </c>
      <c r="E3961" t="inlineStr">
        <is>
          <t>South</t>
        </is>
      </c>
      <c r="F3961" t="inlineStr">
        <is>
          <t>Paid Search</t>
        </is>
      </c>
      <c r="G3961" t="inlineStr">
        <is>
          <t>Mobile App</t>
        </is>
      </c>
      <c r="H3961" t="inlineStr">
        <is>
          <t>Debit Card</t>
        </is>
      </c>
      <c r="I3961" t="inlineStr">
        <is>
          <t>Delivered</t>
        </is>
      </c>
      <c r="J3961" t="n">
        <v>117</v>
      </c>
      <c r="K3961" t="n">
        <v>2</v>
      </c>
      <c r="L3961" t="n">
        <v>3149</v>
      </c>
      <c r="M3961" t="n">
        <v>944.7</v>
      </c>
      <c r="N3961">
        <f>VLOOKUP(J3961,Products!$A$2:$C$49,3,FALSE)</f>
        <v/>
      </c>
      <c r="O3961">
        <f>K3961*L3961-M3961</f>
        <v/>
      </c>
      <c r="P3961">
        <f>TEXT(B3961,"yyyy-mm")</f>
        <v/>
      </c>
      <c r="Q3961">
        <f>IF(O3961&gt;=3000,"Large","Small")</f>
        <v/>
      </c>
      <c r="R3961">
        <f>INDEX(Products!$F$2:$F$49,MATCH(J3961,Products!$A$2:$A$49,0))</f>
        <v/>
      </c>
      <c r="S3961">
        <f>WEEKDAY(B3961,2)</f>
        <v/>
      </c>
    </row>
    <row r="3962">
      <c r="A3962" t="n">
        <v>511541</v>
      </c>
      <c r="B3962" s="6" t="n">
        <v>46007</v>
      </c>
      <c r="C3962" t="n">
        <v>17781</v>
      </c>
      <c r="D3962" t="inlineStr">
        <is>
          <t>Chennai</t>
        </is>
      </c>
      <c r="E3962" t="inlineStr">
        <is>
          <t>South</t>
        </is>
      </c>
      <c r="F3962" t="inlineStr">
        <is>
          <t>Paid Search</t>
        </is>
      </c>
      <c r="G3962" t="inlineStr">
        <is>
          <t>Mobile App</t>
        </is>
      </c>
      <c r="H3962" t="inlineStr">
        <is>
          <t>Debit Card</t>
        </is>
      </c>
      <c r="I3962" t="inlineStr">
        <is>
          <t>Delivered</t>
        </is>
      </c>
      <c r="J3962" t="n">
        <v>127</v>
      </c>
      <c r="K3962" t="n">
        <v>1</v>
      </c>
      <c r="L3962" t="n">
        <v>681</v>
      </c>
      <c r="M3962" t="n">
        <v>102.15</v>
      </c>
      <c r="N3962">
        <f>VLOOKUP(J3962,Products!$A$2:$C$49,3,FALSE)</f>
        <v/>
      </c>
      <c r="O3962">
        <f>K3962*L3962-M3962</f>
        <v/>
      </c>
      <c r="P3962">
        <f>TEXT(B3962,"yyyy-mm")</f>
        <v/>
      </c>
      <c r="Q3962">
        <f>IF(O3962&gt;=3000,"Large","Small")</f>
        <v/>
      </c>
      <c r="R3962">
        <f>INDEX(Products!$F$2:$F$49,MATCH(J3962,Products!$A$2:$A$49,0))</f>
        <v/>
      </c>
      <c r="S3962">
        <f>WEEKDAY(B3962,2)</f>
        <v/>
      </c>
    </row>
    <row r="3963">
      <c r="A3963" t="n">
        <v>511542</v>
      </c>
      <c r="B3963" s="6" t="n">
        <v>46007</v>
      </c>
      <c r="C3963" t="n">
        <v>17648</v>
      </c>
      <c r="D3963" t="inlineStr">
        <is>
          <t>Lucknow</t>
        </is>
      </c>
      <c r="E3963" t="inlineStr">
        <is>
          <t>North</t>
        </is>
      </c>
      <c r="F3963" t="inlineStr">
        <is>
          <t>Email</t>
        </is>
      </c>
      <c r="G3963" t="inlineStr">
        <is>
          <t>Mobile App</t>
        </is>
      </c>
      <c r="H3963" t="inlineStr">
        <is>
          <t>UPI</t>
        </is>
      </c>
      <c r="I3963" t="inlineStr">
        <is>
          <t>Returned</t>
        </is>
      </c>
      <c r="J3963" t="n">
        <v>110</v>
      </c>
      <c r="K3963" t="n">
        <v>1</v>
      </c>
      <c r="L3963" t="n">
        <v>839</v>
      </c>
      <c r="M3963" t="n">
        <v>0</v>
      </c>
      <c r="N3963">
        <f>VLOOKUP(J3963,Products!$A$2:$C$49,3,FALSE)</f>
        <v/>
      </c>
      <c r="O3963">
        <f>K3963*L3963-M3963</f>
        <v/>
      </c>
      <c r="P3963">
        <f>TEXT(B3963,"yyyy-mm")</f>
        <v/>
      </c>
      <c r="Q3963">
        <f>IF(O3963&gt;=3000,"Large","Small")</f>
        <v/>
      </c>
      <c r="R3963">
        <f>INDEX(Products!$F$2:$F$49,MATCH(J3963,Products!$A$2:$A$49,0))</f>
        <v/>
      </c>
      <c r="S3963">
        <f>WEEKDAY(B3963,2)</f>
        <v/>
      </c>
    </row>
    <row r="3964">
      <c r="A3964" t="n">
        <v>511542</v>
      </c>
      <c r="B3964" s="6" t="n">
        <v>46007</v>
      </c>
      <c r="C3964" t="n">
        <v>17648</v>
      </c>
      <c r="D3964" t="inlineStr">
        <is>
          <t>Lucknow</t>
        </is>
      </c>
      <c r="E3964" t="inlineStr">
        <is>
          <t>North</t>
        </is>
      </c>
      <c r="F3964" t="inlineStr">
        <is>
          <t>Email</t>
        </is>
      </c>
      <c r="G3964" t="inlineStr">
        <is>
          <t>Mobile App</t>
        </is>
      </c>
      <c r="H3964" t="inlineStr">
        <is>
          <t>UPI</t>
        </is>
      </c>
      <c r="I3964" t="inlineStr">
        <is>
          <t>Returned</t>
        </is>
      </c>
      <c r="J3964" t="n">
        <v>138</v>
      </c>
      <c r="K3964" t="n">
        <v>1</v>
      </c>
      <c r="L3964" t="n">
        <v>419</v>
      </c>
      <c r="M3964" t="n">
        <v>0</v>
      </c>
      <c r="N3964">
        <f>VLOOKUP(J3964,Products!$A$2:$C$49,3,FALSE)</f>
        <v/>
      </c>
      <c r="O3964">
        <f>K3964*L3964-M3964</f>
        <v/>
      </c>
      <c r="P3964">
        <f>TEXT(B3964,"yyyy-mm")</f>
        <v/>
      </c>
      <c r="Q3964">
        <f>IF(O3964&gt;=3000,"Large","Small")</f>
        <v/>
      </c>
      <c r="R3964">
        <f>INDEX(Products!$F$2:$F$49,MATCH(J3964,Products!$A$2:$A$49,0))</f>
        <v/>
      </c>
      <c r="S3964">
        <f>WEEKDAY(B3964,2)</f>
        <v/>
      </c>
    </row>
    <row r="3965">
      <c r="A3965" t="n">
        <v>511542</v>
      </c>
      <c r="B3965" s="6" t="n">
        <v>46007</v>
      </c>
      <c r="C3965" t="n">
        <v>17648</v>
      </c>
      <c r="D3965" t="inlineStr">
        <is>
          <t>Lucknow</t>
        </is>
      </c>
      <c r="E3965" t="inlineStr">
        <is>
          <t>North</t>
        </is>
      </c>
      <c r="F3965" t="inlineStr">
        <is>
          <t>Email</t>
        </is>
      </c>
      <c r="G3965" t="inlineStr">
        <is>
          <t>Mobile App</t>
        </is>
      </c>
      <c r="H3965" t="inlineStr">
        <is>
          <t>UPI</t>
        </is>
      </c>
      <c r="I3965" t="inlineStr">
        <is>
          <t>Returned</t>
        </is>
      </c>
      <c r="J3965" t="n">
        <v>116</v>
      </c>
      <c r="K3965" t="n">
        <v>1</v>
      </c>
      <c r="L3965" t="n">
        <v>2624</v>
      </c>
      <c r="M3965" t="n">
        <v>0</v>
      </c>
      <c r="N3965">
        <f>VLOOKUP(J3965,Products!$A$2:$C$49,3,FALSE)</f>
        <v/>
      </c>
      <c r="O3965">
        <f>K3965*L3965-M3965</f>
        <v/>
      </c>
      <c r="P3965">
        <f>TEXT(B3965,"yyyy-mm")</f>
        <v/>
      </c>
      <c r="Q3965">
        <f>IF(O3965&gt;=3000,"Large","Small")</f>
        <v/>
      </c>
      <c r="R3965">
        <f>INDEX(Products!$F$2:$F$49,MATCH(J3965,Products!$A$2:$A$49,0))</f>
        <v/>
      </c>
      <c r="S3965">
        <f>WEEKDAY(B3965,2)</f>
        <v/>
      </c>
    </row>
    <row r="3966">
      <c r="A3966" t="n">
        <v>511543</v>
      </c>
      <c r="B3966" s="6" t="n">
        <v>46007</v>
      </c>
      <c r="C3966" t="n">
        <v>17742</v>
      </c>
      <c r="D3966" t="inlineStr">
        <is>
          <t>Mumbai</t>
        </is>
      </c>
      <c r="E3966" t="inlineStr">
        <is>
          <t>West</t>
        </is>
      </c>
      <c r="F3966" t="inlineStr">
        <is>
          <t>Paid Social</t>
        </is>
      </c>
      <c r="G3966" t="inlineStr">
        <is>
          <t>Mobile App</t>
        </is>
      </c>
      <c r="H3966" t="inlineStr">
        <is>
          <t>UPI</t>
        </is>
      </c>
      <c r="I3966" t="inlineStr">
        <is>
          <t>Delivered</t>
        </is>
      </c>
      <c r="J3966" t="n">
        <v>145</v>
      </c>
      <c r="K3966" t="n">
        <v>1</v>
      </c>
      <c r="L3966" t="n">
        <v>629</v>
      </c>
      <c r="M3966" t="n">
        <v>0</v>
      </c>
      <c r="N3966">
        <f>VLOOKUP(J3966,Products!$A$2:$C$49,3,FALSE)</f>
        <v/>
      </c>
      <c r="O3966">
        <f>K3966*L3966-M3966</f>
        <v/>
      </c>
      <c r="P3966">
        <f>TEXT(B3966,"yyyy-mm")</f>
        <v/>
      </c>
      <c r="Q3966">
        <f>IF(O3966&gt;=3000,"Large","Small")</f>
        <v/>
      </c>
      <c r="R3966">
        <f>INDEX(Products!$F$2:$F$49,MATCH(J3966,Products!$A$2:$A$49,0))</f>
        <v/>
      </c>
      <c r="S3966">
        <f>WEEKDAY(B3966,2)</f>
        <v/>
      </c>
    </row>
    <row r="3967">
      <c r="A3967" t="n">
        <v>511543</v>
      </c>
      <c r="B3967" s="6" t="n">
        <v>46007</v>
      </c>
      <c r="C3967" t="n">
        <v>17742</v>
      </c>
      <c r="D3967" t="inlineStr">
        <is>
          <t>Mumbai</t>
        </is>
      </c>
      <c r="E3967" t="inlineStr">
        <is>
          <t>West</t>
        </is>
      </c>
      <c r="F3967" t="inlineStr">
        <is>
          <t>Paid Social</t>
        </is>
      </c>
      <c r="G3967" t="inlineStr">
        <is>
          <t>Mobile App</t>
        </is>
      </c>
      <c r="H3967" t="inlineStr">
        <is>
          <t>UPI</t>
        </is>
      </c>
      <c r="I3967" t="inlineStr">
        <is>
          <t>Delivered</t>
        </is>
      </c>
      <c r="J3967" t="n">
        <v>112</v>
      </c>
      <c r="K3967" t="n">
        <v>1</v>
      </c>
      <c r="L3967" t="n">
        <v>1574</v>
      </c>
      <c r="M3967" t="n">
        <v>0</v>
      </c>
      <c r="N3967">
        <f>VLOOKUP(J3967,Products!$A$2:$C$49,3,FALSE)</f>
        <v/>
      </c>
      <c r="O3967">
        <f>K3967*L3967-M3967</f>
        <v/>
      </c>
      <c r="P3967">
        <f>TEXT(B3967,"yyyy-mm")</f>
        <v/>
      </c>
      <c r="Q3967">
        <f>IF(O3967&gt;=3000,"Large","Small")</f>
        <v/>
      </c>
      <c r="R3967">
        <f>INDEX(Products!$F$2:$F$49,MATCH(J3967,Products!$A$2:$A$49,0))</f>
        <v/>
      </c>
      <c r="S3967">
        <f>WEEKDAY(B3967,2)</f>
        <v/>
      </c>
    </row>
    <row r="3968">
      <c r="A3968" t="n">
        <v>511543</v>
      </c>
      <c r="B3968" s="6" t="n">
        <v>46007</v>
      </c>
      <c r="C3968" t="n">
        <v>17742</v>
      </c>
      <c r="D3968" t="inlineStr">
        <is>
          <t>Mumbai</t>
        </is>
      </c>
      <c r="E3968" t="inlineStr">
        <is>
          <t>West</t>
        </is>
      </c>
      <c r="F3968" t="inlineStr">
        <is>
          <t>Paid Social</t>
        </is>
      </c>
      <c r="G3968" t="inlineStr">
        <is>
          <t>Mobile App</t>
        </is>
      </c>
      <c r="H3968" t="inlineStr">
        <is>
          <t>UPI</t>
        </is>
      </c>
      <c r="I3968" t="inlineStr">
        <is>
          <t>Delivered</t>
        </is>
      </c>
      <c r="J3968" t="n">
        <v>124</v>
      </c>
      <c r="K3968" t="n">
        <v>1</v>
      </c>
      <c r="L3968" t="n">
        <v>1154</v>
      </c>
      <c r="M3968" t="n">
        <v>0</v>
      </c>
      <c r="N3968">
        <f>VLOOKUP(J3968,Products!$A$2:$C$49,3,FALSE)</f>
        <v/>
      </c>
      <c r="O3968">
        <f>K3968*L3968-M3968</f>
        <v/>
      </c>
      <c r="P3968">
        <f>TEXT(B3968,"yyyy-mm")</f>
        <v/>
      </c>
      <c r="Q3968">
        <f>IF(O3968&gt;=3000,"Large","Small")</f>
        <v/>
      </c>
      <c r="R3968">
        <f>INDEX(Products!$F$2:$F$49,MATCH(J3968,Products!$A$2:$A$49,0))</f>
        <v/>
      </c>
      <c r="S3968">
        <f>WEEKDAY(B3968,2)</f>
        <v/>
      </c>
    </row>
    <row r="3969">
      <c r="A3969" t="n">
        <v>511544</v>
      </c>
      <c r="B3969" s="6" t="n">
        <v>46007</v>
      </c>
      <c r="C3969" t="n">
        <v>17782</v>
      </c>
      <c r="D3969" t="inlineStr">
        <is>
          <t>Chennai</t>
        </is>
      </c>
      <c r="E3969" t="inlineStr">
        <is>
          <t>South</t>
        </is>
      </c>
      <c r="F3969" t="inlineStr">
        <is>
          <t>Organic Search</t>
        </is>
      </c>
      <c r="G3969" t="inlineStr">
        <is>
          <t>Mobile App</t>
        </is>
      </c>
      <c r="H3969" t="inlineStr">
        <is>
          <t>UPI</t>
        </is>
      </c>
      <c r="I3969" t="inlineStr">
        <is>
          <t>Delivered</t>
        </is>
      </c>
      <c r="J3969" t="n">
        <v>109</v>
      </c>
      <c r="K3969" t="n">
        <v>1</v>
      </c>
      <c r="L3969" t="n">
        <v>4199</v>
      </c>
      <c r="M3969" t="n">
        <v>629.85</v>
      </c>
      <c r="N3969">
        <f>VLOOKUP(J3969,Products!$A$2:$C$49,3,FALSE)</f>
        <v/>
      </c>
      <c r="O3969">
        <f>K3969*L3969-M3969</f>
        <v/>
      </c>
      <c r="P3969">
        <f>TEXT(B3969,"yyyy-mm")</f>
        <v/>
      </c>
      <c r="Q3969">
        <f>IF(O3969&gt;=3000,"Large","Small")</f>
        <v/>
      </c>
      <c r="R3969">
        <f>INDEX(Products!$F$2:$F$49,MATCH(J3969,Products!$A$2:$A$49,0))</f>
        <v/>
      </c>
      <c r="S3969">
        <f>WEEKDAY(B3969,2)</f>
        <v/>
      </c>
    </row>
    <row r="3970">
      <c r="A3970" t="n">
        <v>511545</v>
      </c>
      <c r="B3970" s="6" t="n">
        <v>46007</v>
      </c>
      <c r="C3970" t="n">
        <v>17780</v>
      </c>
      <c r="D3970" t="inlineStr">
        <is>
          <t>Bengaluru</t>
        </is>
      </c>
      <c r="E3970" t="inlineStr">
        <is>
          <t>South</t>
        </is>
      </c>
      <c r="F3970" t="inlineStr">
        <is>
          <t>Organic Search</t>
        </is>
      </c>
      <c r="G3970" t="inlineStr">
        <is>
          <t>Mobile App</t>
        </is>
      </c>
      <c r="H3970" t="inlineStr">
        <is>
          <t>Debit Card</t>
        </is>
      </c>
      <c r="I3970" t="inlineStr">
        <is>
          <t>Delivered</t>
        </is>
      </c>
      <c r="J3970" t="n">
        <v>123</v>
      </c>
      <c r="K3970" t="n">
        <v>1</v>
      </c>
      <c r="L3970" t="n">
        <v>3464</v>
      </c>
      <c r="M3970" t="n">
        <v>519.6</v>
      </c>
      <c r="N3970">
        <f>VLOOKUP(J3970,Products!$A$2:$C$49,3,FALSE)</f>
        <v/>
      </c>
      <c r="O3970">
        <f>K3970*L3970-M3970</f>
        <v/>
      </c>
      <c r="P3970">
        <f>TEXT(B3970,"yyyy-mm")</f>
        <v/>
      </c>
      <c r="Q3970">
        <f>IF(O3970&gt;=3000,"Large","Small")</f>
        <v/>
      </c>
      <c r="R3970">
        <f>INDEX(Products!$F$2:$F$49,MATCH(J3970,Products!$A$2:$A$49,0))</f>
        <v/>
      </c>
      <c r="S3970">
        <f>WEEKDAY(B3970,2)</f>
        <v/>
      </c>
    </row>
    <row r="3971">
      <c r="A3971" t="n">
        <v>511545</v>
      </c>
      <c r="B3971" s="6" t="n">
        <v>46007</v>
      </c>
      <c r="C3971" t="n">
        <v>17780</v>
      </c>
      <c r="D3971" t="inlineStr">
        <is>
          <t>Bengaluru</t>
        </is>
      </c>
      <c r="E3971" t="inlineStr">
        <is>
          <t>South</t>
        </is>
      </c>
      <c r="F3971" t="inlineStr">
        <is>
          <t>Organic Search</t>
        </is>
      </c>
      <c r="G3971" t="inlineStr">
        <is>
          <t>Mobile App</t>
        </is>
      </c>
      <c r="H3971" t="inlineStr">
        <is>
          <t>Debit Card</t>
        </is>
      </c>
      <c r="I3971" t="inlineStr">
        <is>
          <t>Delivered</t>
        </is>
      </c>
      <c r="J3971" t="n">
        <v>124</v>
      </c>
      <c r="K3971" t="n">
        <v>2</v>
      </c>
      <c r="L3971" t="n">
        <v>1154</v>
      </c>
      <c r="M3971" t="n">
        <v>346.2</v>
      </c>
      <c r="N3971">
        <f>VLOOKUP(J3971,Products!$A$2:$C$49,3,FALSE)</f>
        <v/>
      </c>
      <c r="O3971">
        <f>K3971*L3971-M3971</f>
        <v/>
      </c>
      <c r="P3971">
        <f>TEXT(B3971,"yyyy-mm")</f>
        <v/>
      </c>
      <c r="Q3971">
        <f>IF(O3971&gt;=3000,"Large","Small")</f>
        <v/>
      </c>
      <c r="R3971">
        <f>INDEX(Products!$F$2:$F$49,MATCH(J3971,Products!$A$2:$A$49,0))</f>
        <v/>
      </c>
      <c r="S3971">
        <f>WEEKDAY(B3971,2)</f>
        <v/>
      </c>
    </row>
    <row r="3972">
      <c r="A3972" t="n">
        <v>511546</v>
      </c>
      <c r="B3972" s="6" t="n">
        <v>46008</v>
      </c>
      <c r="C3972" t="n">
        <v>13111</v>
      </c>
      <c r="D3972" t="inlineStr">
        <is>
          <t>Hyderabad</t>
        </is>
      </c>
      <c r="E3972" t="inlineStr">
        <is>
          <t>South</t>
        </is>
      </c>
      <c r="F3972" t="inlineStr">
        <is>
          <t>Referral</t>
        </is>
      </c>
      <c r="G3972" t="inlineStr">
        <is>
          <t>Desktop</t>
        </is>
      </c>
      <c r="H3972" t="inlineStr">
        <is>
          <t>UPI</t>
        </is>
      </c>
      <c r="I3972" t="inlineStr">
        <is>
          <t>Delivered</t>
        </is>
      </c>
      <c r="J3972" t="n">
        <v>128</v>
      </c>
      <c r="K3972" t="n">
        <v>1</v>
      </c>
      <c r="L3972" t="n">
        <v>1049</v>
      </c>
      <c r="M3972" t="n">
        <v>0</v>
      </c>
      <c r="N3972">
        <f>VLOOKUP(J3972,Products!$A$2:$C$49,3,FALSE)</f>
        <v/>
      </c>
      <c r="O3972">
        <f>K3972*L3972-M3972</f>
        <v/>
      </c>
      <c r="P3972">
        <f>TEXT(B3972,"yyyy-mm")</f>
        <v/>
      </c>
      <c r="Q3972">
        <f>IF(O3972&gt;=3000,"Large","Small")</f>
        <v/>
      </c>
      <c r="R3972">
        <f>INDEX(Products!$F$2:$F$49,MATCH(J3972,Products!$A$2:$A$49,0))</f>
        <v/>
      </c>
      <c r="S3972">
        <f>WEEKDAY(B3972,2)</f>
        <v/>
      </c>
    </row>
    <row r="3973">
      <c r="A3973" t="n">
        <v>511546</v>
      </c>
      <c r="B3973" s="6" t="n">
        <v>46008</v>
      </c>
      <c r="C3973" t="n">
        <v>13111</v>
      </c>
      <c r="D3973" t="inlineStr">
        <is>
          <t>Hyderabad</t>
        </is>
      </c>
      <c r="E3973" t="inlineStr">
        <is>
          <t>South</t>
        </is>
      </c>
      <c r="F3973" t="inlineStr">
        <is>
          <t>Referral</t>
        </is>
      </c>
      <c r="G3973" t="inlineStr">
        <is>
          <t>Desktop</t>
        </is>
      </c>
      <c r="H3973" t="inlineStr">
        <is>
          <t>UPI</t>
        </is>
      </c>
      <c r="I3973" t="inlineStr">
        <is>
          <t>Delivered</t>
        </is>
      </c>
      <c r="J3973" t="n">
        <v>112</v>
      </c>
      <c r="K3973" t="n">
        <v>1</v>
      </c>
      <c r="L3973" t="n">
        <v>1574</v>
      </c>
      <c r="M3973" t="n">
        <v>0</v>
      </c>
      <c r="N3973">
        <f>VLOOKUP(J3973,Products!$A$2:$C$49,3,FALSE)</f>
        <v/>
      </c>
      <c r="O3973">
        <f>K3973*L3973-M3973</f>
        <v/>
      </c>
      <c r="P3973">
        <f>TEXT(B3973,"yyyy-mm")</f>
        <v/>
      </c>
      <c r="Q3973">
        <f>IF(O3973&gt;=3000,"Large","Small")</f>
        <v/>
      </c>
      <c r="R3973">
        <f>INDEX(Products!$F$2:$F$49,MATCH(J3973,Products!$A$2:$A$49,0))</f>
        <v/>
      </c>
      <c r="S3973">
        <f>WEEKDAY(B3973,2)</f>
        <v/>
      </c>
    </row>
    <row r="3974">
      <c r="A3974" t="n">
        <v>511546</v>
      </c>
      <c r="B3974" s="6" t="n">
        <v>46008</v>
      </c>
      <c r="C3974" t="n">
        <v>13111</v>
      </c>
      <c r="D3974" t="inlineStr">
        <is>
          <t>Hyderabad</t>
        </is>
      </c>
      <c r="E3974" t="inlineStr">
        <is>
          <t>South</t>
        </is>
      </c>
      <c r="F3974" t="inlineStr">
        <is>
          <t>Referral</t>
        </is>
      </c>
      <c r="G3974" t="inlineStr">
        <is>
          <t>Desktop</t>
        </is>
      </c>
      <c r="H3974" t="inlineStr">
        <is>
          <t>UPI</t>
        </is>
      </c>
      <c r="I3974" t="inlineStr">
        <is>
          <t>Delivered</t>
        </is>
      </c>
      <c r="J3974" t="n">
        <v>120</v>
      </c>
      <c r="K3974" t="n">
        <v>2</v>
      </c>
      <c r="L3974" t="n">
        <v>734</v>
      </c>
      <c r="M3974" t="n">
        <v>0</v>
      </c>
      <c r="N3974">
        <f>VLOOKUP(J3974,Products!$A$2:$C$49,3,FALSE)</f>
        <v/>
      </c>
      <c r="O3974">
        <f>K3974*L3974-M3974</f>
        <v/>
      </c>
      <c r="P3974">
        <f>TEXT(B3974,"yyyy-mm")</f>
        <v/>
      </c>
      <c r="Q3974">
        <f>IF(O3974&gt;=3000,"Large","Small")</f>
        <v/>
      </c>
      <c r="R3974">
        <f>INDEX(Products!$F$2:$F$49,MATCH(J3974,Products!$A$2:$A$49,0))</f>
        <v/>
      </c>
      <c r="S3974">
        <f>WEEKDAY(B3974,2)</f>
        <v/>
      </c>
    </row>
    <row r="3975">
      <c r="A3975" t="n">
        <v>511547</v>
      </c>
      <c r="B3975" s="6" t="n">
        <v>46008</v>
      </c>
      <c r="C3975" t="n">
        <v>14883</v>
      </c>
      <c r="D3975" t="inlineStr">
        <is>
          <t>Bengaluru</t>
        </is>
      </c>
      <c r="E3975" t="inlineStr">
        <is>
          <t>South</t>
        </is>
      </c>
      <c r="F3975" t="inlineStr">
        <is>
          <t>Paid Social</t>
        </is>
      </c>
      <c r="G3975" t="inlineStr">
        <is>
          <t>Mobile App</t>
        </is>
      </c>
      <c r="H3975" t="inlineStr">
        <is>
          <t>UPI</t>
        </is>
      </c>
      <c r="I3975" t="inlineStr">
        <is>
          <t>Delivered</t>
        </is>
      </c>
      <c r="J3975" t="n">
        <v>111</v>
      </c>
      <c r="K3975" t="n">
        <v>1</v>
      </c>
      <c r="L3975" t="n">
        <v>524</v>
      </c>
      <c r="M3975" t="n">
        <v>0</v>
      </c>
      <c r="N3975">
        <f>VLOOKUP(J3975,Products!$A$2:$C$49,3,FALSE)</f>
        <v/>
      </c>
      <c r="O3975">
        <f>K3975*L3975-M3975</f>
        <v/>
      </c>
      <c r="P3975">
        <f>TEXT(B3975,"yyyy-mm")</f>
        <v/>
      </c>
      <c r="Q3975">
        <f>IF(O3975&gt;=3000,"Large","Small")</f>
        <v/>
      </c>
      <c r="R3975">
        <f>INDEX(Products!$F$2:$F$49,MATCH(J3975,Products!$A$2:$A$49,0))</f>
        <v/>
      </c>
      <c r="S3975">
        <f>WEEKDAY(B3975,2)</f>
        <v/>
      </c>
    </row>
    <row r="3976">
      <c r="A3976" t="n">
        <v>511548</v>
      </c>
      <c r="B3976" s="6" t="n">
        <v>46008</v>
      </c>
      <c r="C3976" t="n">
        <v>17391</v>
      </c>
      <c r="D3976" t="inlineStr">
        <is>
          <t>Delhi</t>
        </is>
      </c>
      <c r="E3976" t="inlineStr">
        <is>
          <t>North</t>
        </is>
      </c>
      <c r="F3976" t="inlineStr">
        <is>
          <t>Organic Search</t>
        </is>
      </c>
      <c r="G3976" t="inlineStr">
        <is>
          <t>Mobile Web</t>
        </is>
      </c>
      <c r="H3976" t="inlineStr">
        <is>
          <t>Net Banking</t>
        </is>
      </c>
      <c r="I3976" t="inlineStr">
        <is>
          <t>Delivered</t>
        </is>
      </c>
      <c r="J3976" t="n">
        <v>109</v>
      </c>
      <c r="K3976" t="n">
        <v>1</v>
      </c>
      <c r="L3976" t="n">
        <v>4199</v>
      </c>
      <c r="M3976" t="n">
        <v>0</v>
      </c>
      <c r="N3976">
        <f>VLOOKUP(J3976,Products!$A$2:$C$49,3,FALSE)</f>
        <v/>
      </c>
      <c r="O3976">
        <f>K3976*L3976-M3976</f>
        <v/>
      </c>
      <c r="P3976">
        <f>TEXT(B3976,"yyyy-mm")</f>
        <v/>
      </c>
      <c r="Q3976">
        <f>IF(O3976&gt;=3000,"Large","Small")</f>
        <v/>
      </c>
      <c r="R3976">
        <f>INDEX(Products!$F$2:$F$49,MATCH(J3976,Products!$A$2:$A$49,0))</f>
        <v/>
      </c>
      <c r="S3976">
        <f>WEEKDAY(B3976,2)</f>
        <v/>
      </c>
    </row>
    <row r="3977">
      <c r="A3977" t="n">
        <v>511549</v>
      </c>
      <c r="B3977" s="6" t="n">
        <v>46008</v>
      </c>
      <c r="C3977" t="n">
        <v>17243</v>
      </c>
      <c r="D3977" t="inlineStr">
        <is>
          <t>Pune</t>
        </is>
      </c>
      <c r="E3977" t="inlineStr">
        <is>
          <t>West</t>
        </is>
      </c>
      <c r="F3977" t="inlineStr">
        <is>
          <t>Affiliate</t>
        </is>
      </c>
      <c r="G3977" t="inlineStr">
        <is>
          <t>Mobile App</t>
        </is>
      </c>
      <c r="H3977" t="inlineStr">
        <is>
          <t>UPI</t>
        </is>
      </c>
      <c r="I3977" t="inlineStr">
        <is>
          <t>Returned</t>
        </is>
      </c>
      <c r="J3977" t="n">
        <v>113</v>
      </c>
      <c r="K3977" t="n">
        <v>1</v>
      </c>
      <c r="L3977" t="n">
        <v>1364</v>
      </c>
      <c r="M3977" t="n">
        <v>0</v>
      </c>
      <c r="N3977">
        <f>VLOOKUP(J3977,Products!$A$2:$C$49,3,FALSE)</f>
        <v/>
      </c>
      <c r="O3977">
        <f>K3977*L3977-M3977</f>
        <v/>
      </c>
      <c r="P3977">
        <f>TEXT(B3977,"yyyy-mm")</f>
        <v/>
      </c>
      <c r="Q3977">
        <f>IF(O3977&gt;=3000,"Large","Small")</f>
        <v/>
      </c>
      <c r="R3977">
        <f>INDEX(Products!$F$2:$F$49,MATCH(J3977,Products!$A$2:$A$49,0))</f>
        <v/>
      </c>
      <c r="S3977">
        <f>WEEKDAY(B3977,2)</f>
        <v/>
      </c>
    </row>
    <row r="3978">
      <c r="A3978" t="n">
        <v>511550</v>
      </c>
      <c r="B3978" s="6" t="n">
        <v>46008</v>
      </c>
      <c r="C3978" t="n">
        <v>17675</v>
      </c>
      <c r="D3978" t="inlineStr">
        <is>
          <t>Pune</t>
        </is>
      </c>
      <c r="E3978" t="inlineStr">
        <is>
          <t>West</t>
        </is>
      </c>
      <c r="F3978" t="inlineStr">
        <is>
          <t>Paid Search</t>
        </is>
      </c>
      <c r="G3978" t="inlineStr">
        <is>
          <t>Desktop</t>
        </is>
      </c>
      <c r="H3978" t="inlineStr">
        <is>
          <t>UPI</t>
        </is>
      </c>
      <c r="I3978" t="inlineStr">
        <is>
          <t>Delivered</t>
        </is>
      </c>
      <c r="J3978" t="n">
        <v>118</v>
      </c>
      <c r="K3978" t="n">
        <v>2</v>
      </c>
      <c r="L3978" t="n">
        <v>944</v>
      </c>
      <c r="M3978" t="n">
        <v>283.2</v>
      </c>
      <c r="N3978">
        <f>VLOOKUP(J3978,Products!$A$2:$C$49,3,FALSE)</f>
        <v/>
      </c>
      <c r="O3978">
        <f>K3978*L3978-M3978</f>
        <v/>
      </c>
      <c r="P3978">
        <f>TEXT(B3978,"yyyy-mm")</f>
        <v/>
      </c>
      <c r="Q3978">
        <f>IF(O3978&gt;=3000,"Large","Small")</f>
        <v/>
      </c>
      <c r="R3978">
        <f>INDEX(Products!$F$2:$F$49,MATCH(J3978,Products!$A$2:$A$49,0))</f>
        <v/>
      </c>
      <c r="S3978">
        <f>WEEKDAY(B3978,2)</f>
        <v/>
      </c>
    </row>
    <row r="3979">
      <c r="A3979" t="n">
        <v>511551</v>
      </c>
      <c r="B3979" s="6" t="n">
        <v>46008</v>
      </c>
      <c r="C3979" t="n">
        <v>17802</v>
      </c>
      <c r="D3979" t="inlineStr">
        <is>
          <t>Gurugram</t>
        </is>
      </c>
      <c r="E3979" t="inlineStr">
        <is>
          <t>North</t>
        </is>
      </c>
      <c r="F3979" t="inlineStr">
        <is>
          <t>Referral</t>
        </is>
      </c>
      <c r="G3979" t="inlineStr">
        <is>
          <t>Mobile App</t>
        </is>
      </c>
      <c r="H3979" t="inlineStr">
        <is>
          <t>Cash on Delivery</t>
        </is>
      </c>
      <c r="I3979" t="inlineStr">
        <is>
          <t>Delivered</t>
        </is>
      </c>
      <c r="J3979" t="n">
        <v>102</v>
      </c>
      <c r="K3979" t="n">
        <v>1</v>
      </c>
      <c r="L3979" t="n">
        <v>3674</v>
      </c>
      <c r="M3979" t="n">
        <v>0</v>
      </c>
      <c r="N3979">
        <f>VLOOKUP(J3979,Products!$A$2:$C$49,3,FALSE)</f>
        <v/>
      </c>
      <c r="O3979">
        <f>K3979*L3979-M3979</f>
        <v/>
      </c>
      <c r="P3979">
        <f>TEXT(B3979,"yyyy-mm")</f>
        <v/>
      </c>
      <c r="Q3979">
        <f>IF(O3979&gt;=3000,"Large","Small")</f>
        <v/>
      </c>
      <c r="R3979">
        <f>INDEX(Products!$F$2:$F$49,MATCH(J3979,Products!$A$2:$A$49,0))</f>
        <v/>
      </c>
      <c r="S3979">
        <f>WEEKDAY(B3979,2)</f>
        <v/>
      </c>
    </row>
    <row r="3980">
      <c r="A3980" t="n">
        <v>511551</v>
      </c>
      <c r="B3980" s="6" t="n">
        <v>46008</v>
      </c>
      <c r="C3980" t="n">
        <v>17802</v>
      </c>
      <c r="D3980" t="inlineStr">
        <is>
          <t>Gurugram</t>
        </is>
      </c>
      <c r="E3980" t="inlineStr">
        <is>
          <t>North</t>
        </is>
      </c>
      <c r="F3980" t="inlineStr">
        <is>
          <t>Referral</t>
        </is>
      </c>
      <c r="G3980" t="inlineStr">
        <is>
          <t>Mobile App</t>
        </is>
      </c>
      <c r="H3980" t="inlineStr">
        <is>
          <t>Cash on Delivery</t>
        </is>
      </c>
      <c r="I3980" t="inlineStr">
        <is>
          <t>Delivered</t>
        </is>
      </c>
      <c r="J3980" t="n">
        <v>111</v>
      </c>
      <c r="K3980" t="n">
        <v>1</v>
      </c>
      <c r="L3980" t="n">
        <v>524</v>
      </c>
      <c r="M3980" t="n">
        <v>0</v>
      </c>
      <c r="N3980">
        <f>VLOOKUP(J3980,Products!$A$2:$C$49,3,FALSE)</f>
        <v/>
      </c>
      <c r="O3980">
        <f>K3980*L3980-M3980</f>
        <v/>
      </c>
      <c r="P3980">
        <f>TEXT(B3980,"yyyy-mm")</f>
        <v/>
      </c>
      <c r="Q3980">
        <f>IF(O3980&gt;=3000,"Large","Small")</f>
        <v/>
      </c>
      <c r="R3980">
        <f>INDEX(Products!$F$2:$F$49,MATCH(J3980,Products!$A$2:$A$49,0))</f>
        <v/>
      </c>
      <c r="S3980">
        <f>WEEKDAY(B3980,2)</f>
        <v/>
      </c>
    </row>
    <row r="3981">
      <c r="A3981" t="n">
        <v>511552</v>
      </c>
      <c r="B3981" s="6" t="n">
        <v>46008</v>
      </c>
      <c r="C3981" t="n">
        <v>17798</v>
      </c>
      <c r="D3981" t="inlineStr">
        <is>
          <t>Mumbai</t>
        </is>
      </c>
      <c r="E3981" t="inlineStr">
        <is>
          <t>West</t>
        </is>
      </c>
      <c r="F3981" t="inlineStr">
        <is>
          <t>Affiliate</t>
        </is>
      </c>
      <c r="G3981" t="inlineStr">
        <is>
          <t>Mobile App</t>
        </is>
      </c>
      <c r="H3981" t="inlineStr">
        <is>
          <t>Cash on Delivery</t>
        </is>
      </c>
      <c r="I3981" t="inlineStr">
        <is>
          <t>Delivered</t>
        </is>
      </c>
      <c r="J3981" t="n">
        <v>113</v>
      </c>
      <c r="K3981" t="n">
        <v>2</v>
      </c>
      <c r="L3981" t="n">
        <v>1364</v>
      </c>
      <c r="M3981" t="n">
        <v>0</v>
      </c>
      <c r="N3981">
        <f>VLOOKUP(J3981,Products!$A$2:$C$49,3,FALSE)</f>
        <v/>
      </c>
      <c r="O3981">
        <f>K3981*L3981-M3981</f>
        <v/>
      </c>
      <c r="P3981">
        <f>TEXT(B3981,"yyyy-mm")</f>
        <v/>
      </c>
      <c r="Q3981">
        <f>IF(O3981&gt;=3000,"Large","Small")</f>
        <v/>
      </c>
      <c r="R3981">
        <f>INDEX(Products!$F$2:$F$49,MATCH(J3981,Products!$A$2:$A$49,0))</f>
        <v/>
      </c>
      <c r="S3981">
        <f>WEEKDAY(B3981,2)</f>
        <v/>
      </c>
    </row>
    <row r="3982">
      <c r="A3982" t="n">
        <v>511552</v>
      </c>
      <c r="B3982" s="6" t="n">
        <v>46008</v>
      </c>
      <c r="C3982" t="n">
        <v>17798</v>
      </c>
      <c r="D3982" t="inlineStr">
        <is>
          <t>Mumbai</t>
        </is>
      </c>
      <c r="E3982" t="inlineStr">
        <is>
          <t>West</t>
        </is>
      </c>
      <c r="F3982" t="inlineStr">
        <is>
          <t>Affiliate</t>
        </is>
      </c>
      <c r="G3982" t="inlineStr">
        <is>
          <t>Mobile App</t>
        </is>
      </c>
      <c r="H3982" t="inlineStr">
        <is>
          <t>Cash on Delivery</t>
        </is>
      </c>
      <c r="I3982" t="inlineStr">
        <is>
          <t>Delivered</t>
        </is>
      </c>
      <c r="J3982" t="n">
        <v>146</v>
      </c>
      <c r="K3982" t="n">
        <v>1</v>
      </c>
      <c r="L3982" t="n">
        <v>4724</v>
      </c>
      <c r="M3982" t="n">
        <v>0</v>
      </c>
      <c r="N3982">
        <f>VLOOKUP(J3982,Products!$A$2:$C$49,3,FALSE)</f>
        <v/>
      </c>
      <c r="O3982">
        <f>K3982*L3982-M3982</f>
        <v/>
      </c>
      <c r="P3982">
        <f>TEXT(B3982,"yyyy-mm")</f>
        <v/>
      </c>
      <c r="Q3982">
        <f>IF(O3982&gt;=3000,"Large","Small")</f>
        <v/>
      </c>
      <c r="R3982">
        <f>INDEX(Products!$F$2:$F$49,MATCH(J3982,Products!$A$2:$A$49,0))</f>
        <v/>
      </c>
      <c r="S3982">
        <f>WEEKDAY(B3982,2)</f>
        <v/>
      </c>
    </row>
    <row r="3983">
      <c r="A3983" t="n">
        <v>511553</v>
      </c>
      <c r="B3983" s="6" t="n">
        <v>46008</v>
      </c>
      <c r="C3983" t="n">
        <v>17549</v>
      </c>
      <c r="D3983" t="inlineStr">
        <is>
          <t>Chandigarh</t>
        </is>
      </c>
      <c r="E3983" t="inlineStr">
        <is>
          <t>North</t>
        </is>
      </c>
      <c r="F3983" t="inlineStr">
        <is>
          <t>Paid Search</t>
        </is>
      </c>
      <c r="G3983" t="inlineStr">
        <is>
          <t>Mobile App</t>
        </is>
      </c>
      <c r="H3983" t="inlineStr">
        <is>
          <t>Debit Card</t>
        </is>
      </c>
      <c r="I3983" t="inlineStr">
        <is>
          <t>Delivered</t>
        </is>
      </c>
      <c r="J3983" t="n">
        <v>143</v>
      </c>
      <c r="K3983" t="n">
        <v>1</v>
      </c>
      <c r="L3983" t="n">
        <v>839</v>
      </c>
      <c r="M3983" t="n">
        <v>0</v>
      </c>
      <c r="N3983">
        <f>VLOOKUP(J3983,Products!$A$2:$C$49,3,FALSE)</f>
        <v/>
      </c>
      <c r="O3983">
        <f>K3983*L3983-M3983</f>
        <v/>
      </c>
      <c r="P3983">
        <f>TEXT(B3983,"yyyy-mm")</f>
        <v/>
      </c>
      <c r="Q3983">
        <f>IF(O3983&gt;=3000,"Large","Small")</f>
        <v/>
      </c>
      <c r="R3983">
        <f>INDEX(Products!$F$2:$F$49,MATCH(J3983,Products!$A$2:$A$49,0))</f>
        <v/>
      </c>
      <c r="S3983">
        <f>WEEKDAY(B3983,2)</f>
        <v/>
      </c>
    </row>
    <row r="3984">
      <c r="A3984" t="n">
        <v>511554</v>
      </c>
      <c r="B3984" s="6" t="n">
        <v>46008</v>
      </c>
      <c r="C3984" t="n">
        <v>17513</v>
      </c>
      <c r="D3984" t="inlineStr">
        <is>
          <t>Chandigarh</t>
        </is>
      </c>
      <c r="E3984" t="inlineStr">
        <is>
          <t>North</t>
        </is>
      </c>
      <c r="F3984" t="inlineStr">
        <is>
          <t>Organic Search</t>
        </is>
      </c>
      <c r="G3984" t="inlineStr">
        <is>
          <t>Mobile App</t>
        </is>
      </c>
      <c r="H3984" t="inlineStr">
        <is>
          <t>Credit Card</t>
        </is>
      </c>
      <c r="I3984" t="inlineStr">
        <is>
          <t>Delivered</t>
        </is>
      </c>
      <c r="J3984" t="n">
        <v>118</v>
      </c>
      <c r="K3984" t="n">
        <v>1</v>
      </c>
      <c r="L3984" t="n">
        <v>944</v>
      </c>
      <c r="M3984" t="n">
        <v>0</v>
      </c>
      <c r="N3984">
        <f>VLOOKUP(J3984,Products!$A$2:$C$49,3,FALSE)</f>
        <v/>
      </c>
      <c r="O3984">
        <f>K3984*L3984-M3984</f>
        <v/>
      </c>
      <c r="P3984">
        <f>TEXT(B3984,"yyyy-mm")</f>
        <v/>
      </c>
      <c r="Q3984">
        <f>IF(O3984&gt;=3000,"Large","Small")</f>
        <v/>
      </c>
      <c r="R3984">
        <f>INDEX(Products!$F$2:$F$49,MATCH(J3984,Products!$A$2:$A$49,0))</f>
        <v/>
      </c>
      <c r="S3984">
        <f>WEEKDAY(B3984,2)</f>
        <v/>
      </c>
    </row>
    <row r="3985">
      <c r="A3985" t="n">
        <v>511555</v>
      </c>
      <c r="B3985" s="6" t="n">
        <v>46008</v>
      </c>
      <c r="C3985" t="n">
        <v>15574</v>
      </c>
      <c r="D3985" t="inlineStr">
        <is>
          <t>Chennai</t>
        </is>
      </c>
      <c r="E3985" t="inlineStr">
        <is>
          <t>South</t>
        </is>
      </c>
      <c r="F3985" t="inlineStr">
        <is>
          <t>Referral</t>
        </is>
      </c>
      <c r="G3985" t="inlineStr">
        <is>
          <t>Mobile App</t>
        </is>
      </c>
      <c r="H3985" t="inlineStr">
        <is>
          <t>UPI</t>
        </is>
      </c>
      <c r="I3985" t="inlineStr">
        <is>
          <t>Delivered</t>
        </is>
      </c>
      <c r="J3985" t="n">
        <v>112</v>
      </c>
      <c r="K3985" t="n">
        <v>3</v>
      </c>
      <c r="L3985" t="n">
        <v>1574</v>
      </c>
      <c r="M3985" t="n">
        <v>0</v>
      </c>
      <c r="N3985">
        <f>VLOOKUP(J3985,Products!$A$2:$C$49,3,FALSE)</f>
        <v/>
      </c>
      <c r="O3985">
        <f>K3985*L3985-M3985</f>
        <v/>
      </c>
      <c r="P3985">
        <f>TEXT(B3985,"yyyy-mm")</f>
        <v/>
      </c>
      <c r="Q3985">
        <f>IF(O3985&gt;=3000,"Large","Small")</f>
        <v/>
      </c>
      <c r="R3985">
        <f>INDEX(Products!$F$2:$F$49,MATCH(J3985,Products!$A$2:$A$49,0))</f>
        <v/>
      </c>
      <c r="S3985">
        <f>WEEKDAY(B3985,2)</f>
        <v/>
      </c>
    </row>
    <row r="3986">
      <c r="A3986" t="n">
        <v>511556</v>
      </c>
      <c r="B3986" s="6" t="n">
        <v>46008</v>
      </c>
      <c r="C3986" t="n">
        <v>17501</v>
      </c>
      <c r="D3986" t="inlineStr">
        <is>
          <t>Kochi</t>
        </is>
      </c>
      <c r="E3986" t="inlineStr">
        <is>
          <t>South</t>
        </is>
      </c>
      <c r="F3986" t="inlineStr">
        <is>
          <t>Email</t>
        </is>
      </c>
      <c r="G3986" t="inlineStr">
        <is>
          <t>Mobile App</t>
        </is>
      </c>
      <c r="H3986" t="inlineStr">
        <is>
          <t>Debit Card</t>
        </is>
      </c>
      <c r="I3986" t="inlineStr">
        <is>
          <t>Cancelled</t>
        </is>
      </c>
      <c r="J3986" t="n">
        <v>113</v>
      </c>
      <c r="K3986" t="n">
        <v>1</v>
      </c>
      <c r="L3986" t="n">
        <v>1364</v>
      </c>
      <c r="M3986" t="n">
        <v>0</v>
      </c>
      <c r="N3986">
        <f>VLOOKUP(J3986,Products!$A$2:$C$49,3,FALSE)</f>
        <v/>
      </c>
      <c r="O3986">
        <f>K3986*L3986-M3986</f>
        <v/>
      </c>
      <c r="P3986">
        <f>TEXT(B3986,"yyyy-mm")</f>
        <v/>
      </c>
      <c r="Q3986">
        <f>IF(O3986&gt;=3000,"Large","Small")</f>
        <v/>
      </c>
      <c r="R3986">
        <f>INDEX(Products!$F$2:$F$49,MATCH(J3986,Products!$A$2:$A$49,0))</f>
        <v/>
      </c>
      <c r="S3986">
        <f>WEEKDAY(B3986,2)</f>
        <v/>
      </c>
    </row>
    <row r="3987">
      <c r="A3987" t="n">
        <v>511556</v>
      </c>
      <c r="B3987" s="6" t="n">
        <v>46008</v>
      </c>
      <c r="C3987" t="n">
        <v>17501</v>
      </c>
      <c r="D3987" t="inlineStr">
        <is>
          <t>Kochi</t>
        </is>
      </c>
      <c r="E3987" t="inlineStr">
        <is>
          <t>South</t>
        </is>
      </c>
      <c r="F3987" t="inlineStr">
        <is>
          <t>Email</t>
        </is>
      </c>
      <c r="G3987" t="inlineStr">
        <is>
          <t>Mobile App</t>
        </is>
      </c>
      <c r="H3987" t="inlineStr">
        <is>
          <t>Debit Card</t>
        </is>
      </c>
      <c r="I3987" t="inlineStr">
        <is>
          <t>Cancelled</t>
        </is>
      </c>
      <c r="J3987" t="n">
        <v>134</v>
      </c>
      <c r="K3987" t="n">
        <v>2</v>
      </c>
      <c r="L3987" t="n">
        <v>209</v>
      </c>
      <c r="M3987" t="n">
        <v>0</v>
      </c>
      <c r="N3987">
        <f>VLOOKUP(J3987,Products!$A$2:$C$49,3,FALSE)</f>
        <v/>
      </c>
      <c r="O3987">
        <f>K3987*L3987-M3987</f>
        <v/>
      </c>
      <c r="P3987">
        <f>TEXT(B3987,"yyyy-mm")</f>
        <v/>
      </c>
      <c r="Q3987">
        <f>IF(O3987&gt;=3000,"Large","Small")</f>
        <v/>
      </c>
      <c r="R3987">
        <f>INDEX(Products!$F$2:$F$49,MATCH(J3987,Products!$A$2:$A$49,0))</f>
        <v/>
      </c>
      <c r="S3987">
        <f>WEEKDAY(B3987,2)</f>
        <v/>
      </c>
    </row>
    <row r="3988">
      <c r="A3988" t="n">
        <v>511557</v>
      </c>
      <c r="B3988" s="6" t="n">
        <v>46008</v>
      </c>
      <c r="C3988" t="n">
        <v>16206</v>
      </c>
      <c r="D3988" t="inlineStr">
        <is>
          <t>Pune</t>
        </is>
      </c>
      <c r="E3988" t="inlineStr">
        <is>
          <t>West</t>
        </is>
      </c>
      <c r="F3988" t="inlineStr">
        <is>
          <t>Organic Search</t>
        </is>
      </c>
      <c r="G3988" t="inlineStr">
        <is>
          <t>Desktop</t>
        </is>
      </c>
      <c r="H3988" t="inlineStr">
        <is>
          <t>UPI</t>
        </is>
      </c>
      <c r="I3988" t="inlineStr">
        <is>
          <t>Delivered</t>
        </is>
      </c>
      <c r="J3988" t="n">
        <v>126</v>
      </c>
      <c r="K3988" t="n">
        <v>1</v>
      </c>
      <c r="L3988" t="n">
        <v>471</v>
      </c>
      <c r="M3988" t="n">
        <v>0</v>
      </c>
      <c r="N3988">
        <f>VLOOKUP(J3988,Products!$A$2:$C$49,3,FALSE)</f>
        <v/>
      </c>
      <c r="O3988">
        <f>K3988*L3988-M3988</f>
        <v/>
      </c>
      <c r="P3988">
        <f>TEXT(B3988,"yyyy-mm")</f>
        <v/>
      </c>
      <c r="Q3988">
        <f>IF(O3988&gt;=3000,"Large","Small")</f>
        <v/>
      </c>
      <c r="R3988">
        <f>INDEX(Products!$F$2:$F$49,MATCH(J3988,Products!$A$2:$A$49,0))</f>
        <v/>
      </c>
      <c r="S3988">
        <f>WEEKDAY(B3988,2)</f>
        <v/>
      </c>
    </row>
    <row r="3989">
      <c r="A3989" t="n">
        <v>511557</v>
      </c>
      <c r="B3989" s="6" t="n">
        <v>46008</v>
      </c>
      <c r="C3989" t="n">
        <v>16206</v>
      </c>
      <c r="D3989" t="inlineStr">
        <is>
          <t>Pune</t>
        </is>
      </c>
      <c r="E3989" t="inlineStr">
        <is>
          <t>West</t>
        </is>
      </c>
      <c r="F3989" t="inlineStr">
        <is>
          <t>Organic Search</t>
        </is>
      </c>
      <c r="G3989" t="inlineStr">
        <is>
          <t>Desktop</t>
        </is>
      </c>
      <c r="H3989" t="inlineStr">
        <is>
          <t>UPI</t>
        </is>
      </c>
      <c r="I3989" t="inlineStr">
        <is>
          <t>Delivered</t>
        </is>
      </c>
      <c r="J3989" t="n">
        <v>113</v>
      </c>
      <c r="K3989" t="n">
        <v>2</v>
      </c>
      <c r="L3989" t="n">
        <v>1364</v>
      </c>
      <c r="M3989" t="n">
        <v>0</v>
      </c>
      <c r="N3989">
        <f>VLOOKUP(J3989,Products!$A$2:$C$49,3,FALSE)</f>
        <v/>
      </c>
      <c r="O3989">
        <f>K3989*L3989-M3989</f>
        <v/>
      </c>
      <c r="P3989">
        <f>TEXT(B3989,"yyyy-mm")</f>
        <v/>
      </c>
      <c r="Q3989">
        <f>IF(O3989&gt;=3000,"Large","Small")</f>
        <v/>
      </c>
      <c r="R3989">
        <f>INDEX(Products!$F$2:$F$49,MATCH(J3989,Products!$A$2:$A$49,0))</f>
        <v/>
      </c>
      <c r="S3989">
        <f>WEEKDAY(B3989,2)</f>
        <v/>
      </c>
    </row>
    <row r="3990">
      <c r="A3990" t="n">
        <v>511558</v>
      </c>
      <c r="B3990" s="6" t="n">
        <v>46009</v>
      </c>
      <c r="C3990" t="n">
        <v>12553</v>
      </c>
      <c r="D3990" t="inlineStr">
        <is>
          <t>Kochi</t>
        </is>
      </c>
      <c r="E3990" t="inlineStr">
        <is>
          <t>South</t>
        </is>
      </c>
      <c r="F3990" t="inlineStr">
        <is>
          <t>Organic Search</t>
        </is>
      </c>
      <c r="G3990" t="inlineStr">
        <is>
          <t>Desktop</t>
        </is>
      </c>
      <c r="H3990" t="inlineStr">
        <is>
          <t>UPI</t>
        </is>
      </c>
      <c r="I3990" t="inlineStr">
        <is>
          <t>Delivered</t>
        </is>
      </c>
      <c r="J3990" t="n">
        <v>115</v>
      </c>
      <c r="K3990" t="n">
        <v>2</v>
      </c>
      <c r="L3990" t="n">
        <v>4199</v>
      </c>
      <c r="M3990" t="n">
        <v>0</v>
      </c>
      <c r="N3990">
        <f>VLOOKUP(J3990,Products!$A$2:$C$49,3,FALSE)</f>
        <v/>
      </c>
      <c r="O3990">
        <f>K3990*L3990-M3990</f>
        <v/>
      </c>
      <c r="P3990">
        <f>TEXT(B3990,"yyyy-mm")</f>
        <v/>
      </c>
      <c r="Q3990">
        <f>IF(O3990&gt;=3000,"Large","Small")</f>
        <v/>
      </c>
      <c r="R3990">
        <f>INDEX(Products!$F$2:$F$49,MATCH(J3990,Products!$A$2:$A$49,0))</f>
        <v/>
      </c>
      <c r="S3990">
        <f>WEEKDAY(B3990,2)</f>
        <v/>
      </c>
    </row>
    <row r="3991">
      <c r="A3991" t="n">
        <v>511559</v>
      </c>
      <c r="B3991" s="6" t="n">
        <v>46009</v>
      </c>
      <c r="C3991" t="n">
        <v>15567</v>
      </c>
      <c r="D3991" t="inlineStr">
        <is>
          <t>Gurugram</t>
        </is>
      </c>
      <c r="E3991" t="inlineStr">
        <is>
          <t>North</t>
        </is>
      </c>
      <c r="F3991" t="inlineStr">
        <is>
          <t>Email</t>
        </is>
      </c>
      <c r="G3991" t="inlineStr">
        <is>
          <t>Mobile App</t>
        </is>
      </c>
      <c r="H3991" t="inlineStr">
        <is>
          <t>Cash on Delivery</t>
        </is>
      </c>
      <c r="I3991" t="inlineStr">
        <is>
          <t>Delivered</t>
        </is>
      </c>
      <c r="J3991" t="n">
        <v>136</v>
      </c>
      <c r="K3991" t="n">
        <v>2</v>
      </c>
      <c r="L3991" t="n">
        <v>944</v>
      </c>
      <c r="M3991" t="n">
        <v>0</v>
      </c>
      <c r="N3991">
        <f>VLOOKUP(J3991,Products!$A$2:$C$49,3,FALSE)</f>
        <v/>
      </c>
      <c r="O3991">
        <f>K3991*L3991-M3991</f>
        <v/>
      </c>
      <c r="P3991">
        <f>TEXT(B3991,"yyyy-mm")</f>
        <v/>
      </c>
      <c r="Q3991">
        <f>IF(O3991&gt;=3000,"Large","Small")</f>
        <v/>
      </c>
      <c r="R3991">
        <f>INDEX(Products!$F$2:$F$49,MATCH(J3991,Products!$A$2:$A$49,0))</f>
        <v/>
      </c>
      <c r="S3991">
        <f>WEEKDAY(B3991,2)</f>
        <v/>
      </c>
    </row>
    <row r="3992">
      <c r="A3992" t="n">
        <v>511560</v>
      </c>
      <c r="B3992" s="6" t="n">
        <v>46009</v>
      </c>
      <c r="C3992" t="n">
        <v>17820</v>
      </c>
      <c r="D3992" t="inlineStr">
        <is>
          <t>Bengaluru</t>
        </is>
      </c>
      <c r="E3992" t="inlineStr">
        <is>
          <t>South</t>
        </is>
      </c>
      <c r="F3992" t="inlineStr">
        <is>
          <t>Affiliate</t>
        </is>
      </c>
      <c r="G3992" t="inlineStr">
        <is>
          <t>Mobile App</t>
        </is>
      </c>
      <c r="H3992" t="inlineStr">
        <is>
          <t>Net Banking</t>
        </is>
      </c>
      <c r="I3992" t="inlineStr">
        <is>
          <t>Delivered</t>
        </is>
      </c>
      <c r="J3992" t="n">
        <v>130</v>
      </c>
      <c r="K3992" t="n">
        <v>1</v>
      </c>
      <c r="L3992" t="n">
        <v>734</v>
      </c>
      <c r="M3992" t="n">
        <v>110.1</v>
      </c>
      <c r="N3992">
        <f>VLOOKUP(J3992,Products!$A$2:$C$49,3,FALSE)</f>
        <v/>
      </c>
      <c r="O3992">
        <f>K3992*L3992-M3992</f>
        <v/>
      </c>
      <c r="P3992">
        <f>TEXT(B3992,"yyyy-mm")</f>
        <v/>
      </c>
      <c r="Q3992">
        <f>IF(O3992&gt;=3000,"Large","Small")</f>
        <v/>
      </c>
      <c r="R3992">
        <f>INDEX(Products!$F$2:$F$49,MATCH(J3992,Products!$A$2:$A$49,0))</f>
        <v/>
      </c>
      <c r="S3992">
        <f>WEEKDAY(B3992,2)</f>
        <v/>
      </c>
    </row>
    <row r="3993">
      <c r="A3993" t="n">
        <v>511561</v>
      </c>
      <c r="B3993" s="6" t="n">
        <v>46009</v>
      </c>
      <c r="C3993" t="n">
        <v>17768</v>
      </c>
      <c r="D3993" t="inlineStr">
        <is>
          <t>Delhi</t>
        </is>
      </c>
      <c r="E3993" t="inlineStr">
        <is>
          <t>North</t>
        </is>
      </c>
      <c r="F3993" t="inlineStr">
        <is>
          <t>Organic Search</t>
        </is>
      </c>
      <c r="G3993" t="inlineStr">
        <is>
          <t>Mobile Web</t>
        </is>
      </c>
      <c r="H3993" t="inlineStr">
        <is>
          <t>Cash on Delivery</t>
        </is>
      </c>
      <c r="I3993" t="inlineStr">
        <is>
          <t>Delivered</t>
        </is>
      </c>
      <c r="J3993" t="n">
        <v>122</v>
      </c>
      <c r="K3993" t="n">
        <v>2</v>
      </c>
      <c r="L3993" t="n">
        <v>1994</v>
      </c>
      <c r="M3993" t="n">
        <v>0</v>
      </c>
      <c r="N3993">
        <f>VLOOKUP(J3993,Products!$A$2:$C$49,3,FALSE)</f>
        <v/>
      </c>
      <c r="O3993">
        <f>K3993*L3993-M3993</f>
        <v/>
      </c>
      <c r="P3993">
        <f>TEXT(B3993,"yyyy-mm")</f>
        <v/>
      </c>
      <c r="Q3993">
        <f>IF(O3993&gt;=3000,"Large","Small")</f>
        <v/>
      </c>
      <c r="R3993">
        <f>INDEX(Products!$F$2:$F$49,MATCH(J3993,Products!$A$2:$A$49,0))</f>
        <v/>
      </c>
      <c r="S3993">
        <f>WEEKDAY(B3993,2)</f>
        <v/>
      </c>
    </row>
    <row r="3994">
      <c r="A3994" t="n">
        <v>511561</v>
      </c>
      <c r="B3994" s="6" t="n">
        <v>46009</v>
      </c>
      <c r="C3994" t="n">
        <v>17768</v>
      </c>
      <c r="D3994" t="inlineStr">
        <is>
          <t>Delhi</t>
        </is>
      </c>
      <c r="E3994" t="inlineStr">
        <is>
          <t>North</t>
        </is>
      </c>
      <c r="F3994" t="inlineStr">
        <is>
          <t>Organic Search</t>
        </is>
      </c>
      <c r="G3994" t="inlineStr">
        <is>
          <t>Mobile Web</t>
        </is>
      </c>
      <c r="H3994" t="inlineStr">
        <is>
          <t>Cash on Delivery</t>
        </is>
      </c>
      <c r="I3994" t="inlineStr">
        <is>
          <t>Delivered</t>
        </is>
      </c>
      <c r="J3994" t="n">
        <v>130</v>
      </c>
      <c r="K3994" t="n">
        <v>1</v>
      </c>
      <c r="L3994" t="n">
        <v>734</v>
      </c>
      <c r="M3994" t="n">
        <v>0</v>
      </c>
      <c r="N3994">
        <f>VLOOKUP(J3994,Products!$A$2:$C$49,3,FALSE)</f>
        <v/>
      </c>
      <c r="O3994">
        <f>K3994*L3994-M3994</f>
        <v/>
      </c>
      <c r="P3994">
        <f>TEXT(B3994,"yyyy-mm")</f>
        <v/>
      </c>
      <c r="Q3994">
        <f>IF(O3994&gt;=3000,"Large","Small")</f>
        <v/>
      </c>
      <c r="R3994">
        <f>INDEX(Products!$F$2:$F$49,MATCH(J3994,Products!$A$2:$A$49,0))</f>
        <v/>
      </c>
      <c r="S3994">
        <f>WEEKDAY(B3994,2)</f>
        <v/>
      </c>
    </row>
    <row r="3995">
      <c r="A3995" t="n">
        <v>511561</v>
      </c>
      <c r="B3995" s="6" t="n">
        <v>46009</v>
      </c>
      <c r="C3995" t="n">
        <v>17768</v>
      </c>
      <c r="D3995" t="inlineStr">
        <is>
          <t>Delhi</t>
        </is>
      </c>
      <c r="E3995" t="inlineStr">
        <is>
          <t>North</t>
        </is>
      </c>
      <c r="F3995" t="inlineStr">
        <is>
          <t>Organic Search</t>
        </is>
      </c>
      <c r="G3995" t="inlineStr">
        <is>
          <t>Mobile Web</t>
        </is>
      </c>
      <c r="H3995" t="inlineStr">
        <is>
          <t>Cash on Delivery</t>
        </is>
      </c>
      <c r="I3995" t="inlineStr">
        <is>
          <t>Delivered</t>
        </is>
      </c>
      <c r="J3995" t="n">
        <v>137</v>
      </c>
      <c r="K3995" t="n">
        <v>1</v>
      </c>
      <c r="L3995" t="n">
        <v>261</v>
      </c>
      <c r="M3995" t="n">
        <v>0</v>
      </c>
      <c r="N3995">
        <f>VLOOKUP(J3995,Products!$A$2:$C$49,3,FALSE)</f>
        <v/>
      </c>
      <c r="O3995">
        <f>K3995*L3995-M3995</f>
        <v/>
      </c>
      <c r="P3995">
        <f>TEXT(B3995,"yyyy-mm")</f>
        <v/>
      </c>
      <c r="Q3995">
        <f>IF(O3995&gt;=3000,"Large","Small")</f>
        <v/>
      </c>
      <c r="R3995">
        <f>INDEX(Products!$F$2:$F$49,MATCH(J3995,Products!$A$2:$A$49,0))</f>
        <v/>
      </c>
      <c r="S3995">
        <f>WEEKDAY(B3995,2)</f>
        <v/>
      </c>
    </row>
    <row r="3996">
      <c r="A3996" t="n">
        <v>511561</v>
      </c>
      <c r="B3996" s="6" t="n">
        <v>46009</v>
      </c>
      <c r="C3996" t="n">
        <v>17768</v>
      </c>
      <c r="D3996" t="inlineStr">
        <is>
          <t>Delhi</t>
        </is>
      </c>
      <c r="E3996" t="inlineStr">
        <is>
          <t>North</t>
        </is>
      </c>
      <c r="F3996" t="inlineStr">
        <is>
          <t>Organic Search</t>
        </is>
      </c>
      <c r="G3996" t="inlineStr">
        <is>
          <t>Mobile Web</t>
        </is>
      </c>
      <c r="H3996" t="inlineStr">
        <is>
          <t>Cash on Delivery</t>
        </is>
      </c>
      <c r="I3996" t="inlineStr">
        <is>
          <t>Delivered</t>
        </is>
      </c>
      <c r="J3996" t="n">
        <v>135</v>
      </c>
      <c r="K3996" t="n">
        <v>1</v>
      </c>
      <c r="L3996" t="n">
        <v>1574</v>
      </c>
      <c r="M3996" t="n">
        <v>0</v>
      </c>
      <c r="N3996">
        <f>VLOOKUP(J3996,Products!$A$2:$C$49,3,FALSE)</f>
        <v/>
      </c>
      <c r="O3996">
        <f>K3996*L3996-M3996</f>
        <v/>
      </c>
      <c r="P3996">
        <f>TEXT(B3996,"yyyy-mm")</f>
        <v/>
      </c>
      <c r="Q3996">
        <f>IF(O3996&gt;=3000,"Large","Small")</f>
        <v/>
      </c>
      <c r="R3996">
        <f>INDEX(Products!$F$2:$F$49,MATCH(J3996,Products!$A$2:$A$49,0))</f>
        <v/>
      </c>
      <c r="S3996">
        <f>WEEKDAY(B3996,2)</f>
        <v/>
      </c>
    </row>
    <row r="3997">
      <c r="A3997" t="n">
        <v>511562</v>
      </c>
      <c r="B3997" s="6" t="n">
        <v>46009</v>
      </c>
      <c r="C3997" t="n">
        <v>15426</v>
      </c>
      <c r="D3997" t="inlineStr">
        <is>
          <t>Bengaluru</t>
        </is>
      </c>
      <c r="E3997" t="inlineStr">
        <is>
          <t>South</t>
        </is>
      </c>
      <c r="F3997" t="inlineStr">
        <is>
          <t>Organic Search</t>
        </is>
      </c>
      <c r="G3997" t="inlineStr">
        <is>
          <t>Mobile Web</t>
        </is>
      </c>
      <c r="H3997" t="inlineStr">
        <is>
          <t>UPI</t>
        </is>
      </c>
      <c r="I3997" t="inlineStr">
        <is>
          <t>Delivered</t>
        </is>
      </c>
      <c r="J3997" t="n">
        <v>121</v>
      </c>
      <c r="K3997" t="n">
        <v>1</v>
      </c>
      <c r="L3997" t="n">
        <v>2939</v>
      </c>
      <c r="M3997" t="n">
        <v>0</v>
      </c>
      <c r="N3997">
        <f>VLOOKUP(J3997,Products!$A$2:$C$49,3,FALSE)</f>
        <v/>
      </c>
      <c r="O3997">
        <f>K3997*L3997-M3997</f>
        <v/>
      </c>
      <c r="P3997">
        <f>TEXT(B3997,"yyyy-mm")</f>
        <v/>
      </c>
      <c r="Q3997">
        <f>IF(O3997&gt;=3000,"Large","Small")</f>
        <v/>
      </c>
      <c r="R3997">
        <f>INDEX(Products!$F$2:$F$49,MATCH(J3997,Products!$A$2:$A$49,0))</f>
        <v/>
      </c>
      <c r="S3997">
        <f>WEEKDAY(B3997,2)</f>
        <v/>
      </c>
    </row>
    <row r="3998">
      <c r="A3998" t="n">
        <v>511562</v>
      </c>
      <c r="B3998" s="6" t="n">
        <v>46009</v>
      </c>
      <c r="C3998" t="n">
        <v>15426</v>
      </c>
      <c r="D3998" t="inlineStr">
        <is>
          <t>Bengaluru</t>
        </is>
      </c>
      <c r="E3998" t="inlineStr">
        <is>
          <t>South</t>
        </is>
      </c>
      <c r="F3998" t="inlineStr">
        <is>
          <t>Organic Search</t>
        </is>
      </c>
      <c r="G3998" t="inlineStr">
        <is>
          <t>Mobile Web</t>
        </is>
      </c>
      <c r="H3998" t="inlineStr">
        <is>
          <t>UPI</t>
        </is>
      </c>
      <c r="I3998" t="inlineStr">
        <is>
          <t>Delivered</t>
        </is>
      </c>
      <c r="J3998" t="n">
        <v>112</v>
      </c>
      <c r="K3998" t="n">
        <v>3</v>
      </c>
      <c r="L3998" t="n">
        <v>1574</v>
      </c>
      <c r="M3998" t="n">
        <v>0</v>
      </c>
      <c r="N3998">
        <f>VLOOKUP(J3998,Products!$A$2:$C$49,3,FALSE)</f>
        <v/>
      </c>
      <c r="O3998">
        <f>K3998*L3998-M3998</f>
        <v/>
      </c>
      <c r="P3998">
        <f>TEXT(B3998,"yyyy-mm")</f>
        <v/>
      </c>
      <c r="Q3998">
        <f>IF(O3998&gt;=3000,"Large","Small")</f>
        <v/>
      </c>
      <c r="R3998">
        <f>INDEX(Products!$F$2:$F$49,MATCH(J3998,Products!$A$2:$A$49,0))</f>
        <v/>
      </c>
      <c r="S3998">
        <f>WEEKDAY(B3998,2)</f>
        <v/>
      </c>
    </row>
    <row r="3999">
      <c r="A3999" t="n">
        <v>511563</v>
      </c>
      <c r="B3999" s="6" t="n">
        <v>46009</v>
      </c>
      <c r="C3999" t="n">
        <v>17552</v>
      </c>
      <c r="D3999" t="inlineStr">
        <is>
          <t>Chennai</t>
        </is>
      </c>
      <c r="E3999" t="inlineStr">
        <is>
          <t>South</t>
        </is>
      </c>
      <c r="F3999" t="inlineStr">
        <is>
          <t>Email</t>
        </is>
      </c>
      <c r="G3999" t="inlineStr">
        <is>
          <t>Mobile App</t>
        </is>
      </c>
      <c r="H3999" t="inlineStr">
        <is>
          <t>UPI</t>
        </is>
      </c>
      <c r="I3999" t="inlineStr">
        <is>
          <t>Returned</t>
        </is>
      </c>
      <c r="J3999" t="n">
        <v>112</v>
      </c>
      <c r="K3999" t="n">
        <v>1</v>
      </c>
      <c r="L3999" t="n">
        <v>1574</v>
      </c>
      <c r="M3999" t="n">
        <v>78.7</v>
      </c>
      <c r="N3999">
        <f>VLOOKUP(J3999,Products!$A$2:$C$49,3,FALSE)</f>
        <v/>
      </c>
      <c r="O3999">
        <f>K3999*L3999-M3999</f>
        <v/>
      </c>
      <c r="P3999">
        <f>TEXT(B3999,"yyyy-mm")</f>
        <v/>
      </c>
      <c r="Q3999">
        <f>IF(O3999&gt;=3000,"Large","Small")</f>
        <v/>
      </c>
      <c r="R3999">
        <f>INDEX(Products!$F$2:$F$49,MATCH(J3999,Products!$A$2:$A$49,0))</f>
        <v/>
      </c>
      <c r="S3999">
        <f>WEEKDAY(B3999,2)</f>
        <v/>
      </c>
    </row>
    <row r="4000">
      <c r="A4000" t="n">
        <v>511563</v>
      </c>
      <c r="B4000" s="6" t="n">
        <v>46009</v>
      </c>
      <c r="C4000" t="n">
        <v>17552</v>
      </c>
      <c r="D4000" t="inlineStr">
        <is>
          <t>Chennai</t>
        </is>
      </c>
      <c r="E4000" t="inlineStr">
        <is>
          <t>South</t>
        </is>
      </c>
      <c r="F4000" t="inlineStr">
        <is>
          <t>Email</t>
        </is>
      </c>
      <c r="G4000" t="inlineStr">
        <is>
          <t>Mobile App</t>
        </is>
      </c>
      <c r="H4000" t="inlineStr">
        <is>
          <t>UPI</t>
        </is>
      </c>
      <c r="I4000" t="inlineStr">
        <is>
          <t>Returned</t>
        </is>
      </c>
      <c r="J4000" t="n">
        <v>137</v>
      </c>
      <c r="K4000" t="n">
        <v>1</v>
      </c>
      <c r="L4000" t="n">
        <v>261</v>
      </c>
      <c r="M4000" t="n">
        <v>13.05</v>
      </c>
      <c r="N4000">
        <f>VLOOKUP(J4000,Products!$A$2:$C$49,3,FALSE)</f>
        <v/>
      </c>
      <c r="O4000">
        <f>K4000*L4000-M4000</f>
        <v/>
      </c>
      <c r="P4000">
        <f>TEXT(B4000,"yyyy-mm")</f>
        <v/>
      </c>
      <c r="Q4000">
        <f>IF(O4000&gt;=3000,"Large","Small")</f>
        <v/>
      </c>
      <c r="R4000">
        <f>INDEX(Products!$F$2:$F$49,MATCH(J4000,Products!$A$2:$A$49,0))</f>
        <v/>
      </c>
      <c r="S4000">
        <f>WEEKDAY(B4000,2)</f>
        <v/>
      </c>
    </row>
    <row r="4001">
      <c r="A4001" t="n">
        <v>511563</v>
      </c>
      <c r="B4001" s="6" t="n">
        <v>46009</v>
      </c>
      <c r="C4001" t="n">
        <v>17552</v>
      </c>
      <c r="D4001" t="inlineStr">
        <is>
          <t>Chennai</t>
        </is>
      </c>
      <c r="E4001" t="inlineStr">
        <is>
          <t>South</t>
        </is>
      </c>
      <c r="F4001" t="inlineStr">
        <is>
          <t>Email</t>
        </is>
      </c>
      <c r="G4001" t="inlineStr">
        <is>
          <t>Mobile App</t>
        </is>
      </c>
      <c r="H4001" t="inlineStr">
        <is>
          <t>UPI</t>
        </is>
      </c>
      <c r="I4001" t="inlineStr">
        <is>
          <t>Returned</t>
        </is>
      </c>
      <c r="J4001" t="n">
        <v>145</v>
      </c>
      <c r="K4001" t="n">
        <v>1</v>
      </c>
      <c r="L4001" t="n">
        <v>629</v>
      </c>
      <c r="M4001" t="n">
        <v>31.45</v>
      </c>
      <c r="N4001">
        <f>VLOOKUP(J4001,Products!$A$2:$C$49,3,FALSE)</f>
        <v/>
      </c>
      <c r="O4001">
        <f>K4001*L4001-M4001</f>
        <v/>
      </c>
      <c r="P4001">
        <f>TEXT(B4001,"yyyy-mm")</f>
        <v/>
      </c>
      <c r="Q4001">
        <f>IF(O4001&gt;=3000,"Large","Small")</f>
        <v/>
      </c>
      <c r="R4001">
        <f>INDEX(Products!$F$2:$F$49,MATCH(J4001,Products!$A$2:$A$49,0))</f>
        <v/>
      </c>
      <c r="S4001">
        <f>WEEKDAY(B4001,2)</f>
        <v/>
      </c>
    </row>
    <row r="4002">
      <c r="A4002" t="n">
        <v>511564</v>
      </c>
      <c r="B4002" s="6" t="n">
        <v>46009</v>
      </c>
      <c r="C4002" t="n">
        <v>17812</v>
      </c>
      <c r="D4002" t="inlineStr">
        <is>
          <t>Kolkata</t>
        </is>
      </c>
      <c r="E4002" t="inlineStr">
        <is>
          <t>East</t>
        </is>
      </c>
      <c r="F4002" t="inlineStr">
        <is>
          <t>Paid Social</t>
        </is>
      </c>
      <c r="G4002" t="inlineStr">
        <is>
          <t>Mobile App</t>
        </is>
      </c>
      <c r="H4002" t="inlineStr">
        <is>
          <t>Cash on Delivery</t>
        </is>
      </c>
      <c r="I4002" t="inlineStr">
        <is>
          <t>Delivered</t>
        </is>
      </c>
      <c r="J4002" t="n">
        <v>119</v>
      </c>
      <c r="K4002" t="n">
        <v>1</v>
      </c>
      <c r="L4002" t="n">
        <v>2309</v>
      </c>
      <c r="M4002" t="n">
        <v>346.35</v>
      </c>
      <c r="N4002">
        <f>VLOOKUP(J4002,Products!$A$2:$C$49,3,FALSE)</f>
        <v/>
      </c>
      <c r="O4002">
        <f>K4002*L4002-M4002</f>
        <v/>
      </c>
      <c r="P4002">
        <f>TEXT(B4002,"yyyy-mm")</f>
        <v/>
      </c>
      <c r="Q4002">
        <f>IF(O4002&gt;=3000,"Large","Small")</f>
        <v/>
      </c>
      <c r="R4002">
        <f>INDEX(Products!$F$2:$F$49,MATCH(J4002,Products!$A$2:$A$49,0))</f>
        <v/>
      </c>
      <c r="S4002">
        <f>WEEKDAY(B4002,2)</f>
        <v/>
      </c>
    </row>
    <row r="4003">
      <c r="A4003" t="n">
        <v>511564</v>
      </c>
      <c r="B4003" s="6" t="n">
        <v>46009</v>
      </c>
      <c r="C4003" t="n">
        <v>17812</v>
      </c>
      <c r="D4003" t="inlineStr">
        <is>
          <t>Kolkata</t>
        </is>
      </c>
      <c r="E4003" t="inlineStr">
        <is>
          <t>East</t>
        </is>
      </c>
      <c r="F4003" t="inlineStr">
        <is>
          <t>Paid Social</t>
        </is>
      </c>
      <c r="G4003" t="inlineStr">
        <is>
          <t>Mobile App</t>
        </is>
      </c>
      <c r="H4003" t="inlineStr">
        <is>
          <t>Cash on Delivery</t>
        </is>
      </c>
      <c r="I4003" t="inlineStr">
        <is>
          <t>Delivered</t>
        </is>
      </c>
      <c r="J4003" t="n">
        <v>123</v>
      </c>
      <c r="K4003" t="n">
        <v>1</v>
      </c>
      <c r="L4003" t="n">
        <v>3464</v>
      </c>
      <c r="M4003" t="n">
        <v>519.6</v>
      </c>
      <c r="N4003">
        <f>VLOOKUP(J4003,Products!$A$2:$C$49,3,FALSE)</f>
        <v/>
      </c>
      <c r="O4003">
        <f>K4003*L4003-M4003</f>
        <v/>
      </c>
      <c r="P4003">
        <f>TEXT(B4003,"yyyy-mm")</f>
        <v/>
      </c>
      <c r="Q4003">
        <f>IF(O4003&gt;=3000,"Large","Small")</f>
        <v/>
      </c>
      <c r="R4003">
        <f>INDEX(Products!$F$2:$F$49,MATCH(J4003,Products!$A$2:$A$49,0))</f>
        <v/>
      </c>
      <c r="S4003">
        <f>WEEKDAY(B4003,2)</f>
        <v/>
      </c>
    </row>
    <row r="4004">
      <c r="A4004" t="n">
        <v>511565</v>
      </c>
      <c r="B4004" s="6" t="n">
        <v>46009</v>
      </c>
      <c r="C4004" t="n">
        <v>11789</v>
      </c>
      <c r="D4004" t="inlineStr">
        <is>
          <t>Delhi</t>
        </is>
      </c>
      <c r="E4004" t="inlineStr">
        <is>
          <t>North</t>
        </is>
      </c>
      <c r="F4004" t="inlineStr">
        <is>
          <t>Paid Social</t>
        </is>
      </c>
      <c r="G4004" t="inlineStr">
        <is>
          <t>Mobile App</t>
        </is>
      </c>
      <c r="H4004" t="inlineStr">
        <is>
          <t>UPI</t>
        </is>
      </c>
      <c r="I4004" t="inlineStr">
        <is>
          <t>Delivered</t>
        </is>
      </c>
      <c r="J4004" t="n">
        <v>148</v>
      </c>
      <c r="K4004" t="n">
        <v>1</v>
      </c>
      <c r="L4004" t="n">
        <v>734</v>
      </c>
      <c r="M4004" t="n">
        <v>0</v>
      </c>
      <c r="N4004">
        <f>VLOOKUP(J4004,Products!$A$2:$C$49,3,FALSE)</f>
        <v/>
      </c>
      <c r="O4004">
        <f>K4004*L4004-M4004</f>
        <v/>
      </c>
      <c r="P4004">
        <f>TEXT(B4004,"yyyy-mm")</f>
        <v/>
      </c>
      <c r="Q4004">
        <f>IF(O4004&gt;=3000,"Large","Small")</f>
        <v/>
      </c>
      <c r="R4004">
        <f>INDEX(Products!$F$2:$F$49,MATCH(J4004,Products!$A$2:$A$49,0))</f>
        <v/>
      </c>
      <c r="S4004">
        <f>WEEKDAY(B4004,2)</f>
        <v/>
      </c>
    </row>
    <row r="4005">
      <c r="A4005" t="n">
        <v>511565</v>
      </c>
      <c r="B4005" s="6" t="n">
        <v>46009</v>
      </c>
      <c r="C4005" t="n">
        <v>11789</v>
      </c>
      <c r="D4005" t="inlineStr">
        <is>
          <t>Delhi</t>
        </is>
      </c>
      <c r="E4005" t="inlineStr">
        <is>
          <t>North</t>
        </is>
      </c>
      <c r="F4005" t="inlineStr">
        <is>
          <t>Paid Social</t>
        </is>
      </c>
      <c r="G4005" t="inlineStr">
        <is>
          <t>Mobile App</t>
        </is>
      </c>
      <c r="H4005" t="inlineStr">
        <is>
          <t>UPI</t>
        </is>
      </c>
      <c r="I4005" t="inlineStr">
        <is>
          <t>Delivered</t>
        </is>
      </c>
      <c r="J4005" t="n">
        <v>101</v>
      </c>
      <c r="K4005" t="n">
        <v>2</v>
      </c>
      <c r="L4005" t="n">
        <v>2099</v>
      </c>
      <c r="M4005" t="n">
        <v>0</v>
      </c>
      <c r="N4005">
        <f>VLOOKUP(J4005,Products!$A$2:$C$49,3,FALSE)</f>
        <v/>
      </c>
      <c r="O4005">
        <f>K4005*L4005-M4005</f>
        <v/>
      </c>
      <c r="P4005">
        <f>TEXT(B4005,"yyyy-mm")</f>
        <v/>
      </c>
      <c r="Q4005">
        <f>IF(O4005&gt;=3000,"Large","Small")</f>
        <v/>
      </c>
      <c r="R4005">
        <f>INDEX(Products!$F$2:$F$49,MATCH(J4005,Products!$A$2:$A$49,0))</f>
        <v/>
      </c>
      <c r="S4005">
        <f>WEEKDAY(B4005,2)</f>
        <v/>
      </c>
    </row>
    <row r="4006">
      <c r="A4006" t="n">
        <v>511566</v>
      </c>
      <c r="B4006" s="6" t="n">
        <v>46009</v>
      </c>
      <c r="C4006" t="n">
        <v>17810</v>
      </c>
      <c r="D4006" t="inlineStr">
        <is>
          <t>Noida</t>
        </is>
      </c>
      <c r="E4006" t="inlineStr">
        <is>
          <t>North</t>
        </is>
      </c>
      <c r="F4006" t="inlineStr">
        <is>
          <t>Organic Search</t>
        </is>
      </c>
      <c r="G4006" t="inlineStr">
        <is>
          <t>Mobile App</t>
        </is>
      </c>
      <c r="H4006" t="inlineStr">
        <is>
          <t>Cash on Delivery</t>
        </is>
      </c>
      <c r="I4006" t="inlineStr">
        <is>
          <t>Delivered</t>
        </is>
      </c>
      <c r="J4006" t="n">
        <v>109</v>
      </c>
      <c r="K4006" t="n">
        <v>1</v>
      </c>
      <c r="L4006" t="n">
        <v>4199</v>
      </c>
      <c r="M4006" t="n">
        <v>629.85</v>
      </c>
      <c r="N4006">
        <f>VLOOKUP(J4006,Products!$A$2:$C$49,3,FALSE)</f>
        <v/>
      </c>
      <c r="O4006">
        <f>K4006*L4006-M4006</f>
        <v/>
      </c>
      <c r="P4006">
        <f>TEXT(B4006,"yyyy-mm")</f>
        <v/>
      </c>
      <c r="Q4006">
        <f>IF(O4006&gt;=3000,"Large","Small")</f>
        <v/>
      </c>
      <c r="R4006">
        <f>INDEX(Products!$F$2:$F$49,MATCH(J4006,Products!$A$2:$A$49,0))</f>
        <v/>
      </c>
      <c r="S4006">
        <f>WEEKDAY(B4006,2)</f>
        <v/>
      </c>
    </row>
    <row r="4007">
      <c r="A4007" t="n">
        <v>511567</v>
      </c>
      <c r="B4007" s="6" t="n">
        <v>46009</v>
      </c>
      <c r="C4007" t="n">
        <v>11902</v>
      </c>
      <c r="D4007" t="inlineStr">
        <is>
          <t>Hyderabad</t>
        </is>
      </c>
      <c r="E4007" t="inlineStr">
        <is>
          <t>South</t>
        </is>
      </c>
      <c r="F4007" t="inlineStr">
        <is>
          <t>Organic Search</t>
        </is>
      </c>
      <c r="G4007" t="inlineStr">
        <is>
          <t>Desktop</t>
        </is>
      </c>
      <c r="H4007" t="inlineStr">
        <is>
          <t>Debit Card</t>
        </is>
      </c>
      <c r="I4007" t="inlineStr">
        <is>
          <t>Delivered</t>
        </is>
      </c>
      <c r="J4007" t="n">
        <v>126</v>
      </c>
      <c r="K4007" t="n">
        <v>2</v>
      </c>
      <c r="L4007" t="n">
        <v>471</v>
      </c>
      <c r="M4007" t="n">
        <v>0</v>
      </c>
      <c r="N4007">
        <f>VLOOKUP(J4007,Products!$A$2:$C$49,3,FALSE)</f>
        <v/>
      </c>
      <c r="O4007">
        <f>K4007*L4007-M4007</f>
        <v/>
      </c>
      <c r="P4007">
        <f>TEXT(B4007,"yyyy-mm")</f>
        <v/>
      </c>
      <c r="Q4007">
        <f>IF(O4007&gt;=3000,"Large","Small")</f>
        <v/>
      </c>
      <c r="R4007">
        <f>INDEX(Products!$F$2:$F$49,MATCH(J4007,Products!$A$2:$A$49,0))</f>
        <v/>
      </c>
      <c r="S4007">
        <f>WEEKDAY(B4007,2)</f>
        <v/>
      </c>
    </row>
    <row r="4008">
      <c r="A4008" t="n">
        <v>511568</v>
      </c>
      <c r="B4008" s="6" t="n">
        <v>46009</v>
      </c>
      <c r="C4008" t="n">
        <v>15281</v>
      </c>
      <c r="D4008" t="inlineStr">
        <is>
          <t>Delhi</t>
        </is>
      </c>
      <c r="E4008" t="inlineStr">
        <is>
          <t>North</t>
        </is>
      </c>
      <c r="F4008" t="inlineStr">
        <is>
          <t>Email</t>
        </is>
      </c>
      <c r="G4008" t="inlineStr">
        <is>
          <t>Mobile App</t>
        </is>
      </c>
      <c r="H4008" t="inlineStr">
        <is>
          <t>Credit Card</t>
        </is>
      </c>
      <c r="I4008" t="inlineStr">
        <is>
          <t>Delivered</t>
        </is>
      </c>
      <c r="J4008" t="n">
        <v>148</v>
      </c>
      <c r="K4008" t="n">
        <v>3</v>
      </c>
      <c r="L4008" t="n">
        <v>734</v>
      </c>
      <c r="M4008" t="n">
        <v>0</v>
      </c>
      <c r="N4008">
        <f>VLOOKUP(J4008,Products!$A$2:$C$49,3,FALSE)</f>
        <v/>
      </c>
      <c r="O4008">
        <f>K4008*L4008-M4008</f>
        <v/>
      </c>
      <c r="P4008">
        <f>TEXT(B4008,"yyyy-mm")</f>
        <v/>
      </c>
      <c r="Q4008">
        <f>IF(O4008&gt;=3000,"Large","Small")</f>
        <v/>
      </c>
      <c r="R4008">
        <f>INDEX(Products!$F$2:$F$49,MATCH(J4008,Products!$A$2:$A$49,0))</f>
        <v/>
      </c>
      <c r="S4008">
        <f>WEEKDAY(B4008,2)</f>
        <v/>
      </c>
    </row>
    <row r="4009">
      <c r="A4009" t="n">
        <v>511569</v>
      </c>
      <c r="B4009" s="6" t="n">
        <v>46009</v>
      </c>
      <c r="C4009" t="n">
        <v>17799</v>
      </c>
      <c r="D4009" t="inlineStr">
        <is>
          <t>Kolkata</t>
        </is>
      </c>
      <c r="E4009" t="inlineStr">
        <is>
          <t>East</t>
        </is>
      </c>
      <c r="F4009" t="inlineStr">
        <is>
          <t>Paid Search</t>
        </is>
      </c>
      <c r="G4009" t="inlineStr">
        <is>
          <t>Mobile Web</t>
        </is>
      </c>
      <c r="H4009" t="inlineStr">
        <is>
          <t>Debit Card</t>
        </is>
      </c>
      <c r="I4009" t="inlineStr">
        <is>
          <t>Delivered</t>
        </is>
      </c>
      <c r="J4009" t="n">
        <v>110</v>
      </c>
      <c r="K4009" t="n">
        <v>2</v>
      </c>
      <c r="L4009" t="n">
        <v>839</v>
      </c>
      <c r="M4009" t="n">
        <v>251.7</v>
      </c>
      <c r="N4009">
        <f>VLOOKUP(J4009,Products!$A$2:$C$49,3,FALSE)</f>
        <v/>
      </c>
      <c r="O4009">
        <f>K4009*L4009-M4009</f>
        <v/>
      </c>
      <c r="P4009">
        <f>TEXT(B4009,"yyyy-mm")</f>
        <v/>
      </c>
      <c r="Q4009">
        <f>IF(O4009&gt;=3000,"Large","Small")</f>
        <v/>
      </c>
      <c r="R4009">
        <f>INDEX(Products!$F$2:$F$49,MATCH(J4009,Products!$A$2:$A$49,0))</f>
        <v/>
      </c>
      <c r="S4009">
        <f>WEEKDAY(B4009,2)</f>
        <v/>
      </c>
    </row>
    <row r="4010">
      <c r="A4010" t="n">
        <v>511569</v>
      </c>
      <c r="B4010" s="6" t="n">
        <v>46009</v>
      </c>
      <c r="C4010" t="n">
        <v>17799</v>
      </c>
      <c r="D4010" t="inlineStr">
        <is>
          <t>Kolkata</t>
        </is>
      </c>
      <c r="E4010" t="inlineStr">
        <is>
          <t>East</t>
        </is>
      </c>
      <c r="F4010" t="inlineStr">
        <is>
          <t>Paid Search</t>
        </is>
      </c>
      <c r="G4010" t="inlineStr">
        <is>
          <t>Mobile Web</t>
        </is>
      </c>
      <c r="H4010" t="inlineStr">
        <is>
          <t>Debit Card</t>
        </is>
      </c>
      <c r="I4010" t="inlineStr">
        <is>
          <t>Delivered</t>
        </is>
      </c>
      <c r="J4010" t="n">
        <v>116</v>
      </c>
      <c r="K4010" t="n">
        <v>1</v>
      </c>
      <c r="L4010" t="n">
        <v>2624</v>
      </c>
      <c r="M4010" t="n">
        <v>393.6</v>
      </c>
      <c r="N4010">
        <f>VLOOKUP(J4010,Products!$A$2:$C$49,3,FALSE)</f>
        <v/>
      </c>
      <c r="O4010">
        <f>K4010*L4010-M4010</f>
        <v/>
      </c>
      <c r="P4010">
        <f>TEXT(B4010,"yyyy-mm")</f>
        <v/>
      </c>
      <c r="Q4010">
        <f>IF(O4010&gt;=3000,"Large","Small")</f>
        <v/>
      </c>
      <c r="R4010">
        <f>INDEX(Products!$F$2:$F$49,MATCH(J4010,Products!$A$2:$A$49,0))</f>
        <v/>
      </c>
      <c r="S4010">
        <f>WEEKDAY(B4010,2)</f>
        <v/>
      </c>
    </row>
    <row r="4011">
      <c r="A4011" t="n">
        <v>511570</v>
      </c>
      <c r="B4011" s="6" t="n">
        <v>46009</v>
      </c>
      <c r="C4011" t="n">
        <v>15445</v>
      </c>
      <c r="D4011" t="inlineStr">
        <is>
          <t>Bengaluru</t>
        </is>
      </c>
      <c r="E4011" t="inlineStr">
        <is>
          <t>South</t>
        </is>
      </c>
      <c r="F4011" t="inlineStr">
        <is>
          <t>Paid Search</t>
        </is>
      </c>
      <c r="G4011" t="inlineStr">
        <is>
          <t>Desktop</t>
        </is>
      </c>
      <c r="H4011" t="inlineStr">
        <is>
          <t>Net Banking</t>
        </is>
      </c>
      <c r="I4011" t="inlineStr">
        <is>
          <t>Delivered</t>
        </is>
      </c>
      <c r="J4011" t="n">
        <v>122</v>
      </c>
      <c r="K4011" t="n">
        <v>1</v>
      </c>
      <c r="L4011" t="n">
        <v>1994</v>
      </c>
      <c r="M4011" t="n">
        <v>0</v>
      </c>
      <c r="N4011">
        <f>VLOOKUP(J4011,Products!$A$2:$C$49,3,FALSE)</f>
        <v/>
      </c>
      <c r="O4011">
        <f>K4011*L4011-M4011</f>
        <v/>
      </c>
      <c r="P4011">
        <f>TEXT(B4011,"yyyy-mm")</f>
        <v/>
      </c>
      <c r="Q4011">
        <f>IF(O4011&gt;=3000,"Large","Small")</f>
        <v/>
      </c>
      <c r="R4011">
        <f>INDEX(Products!$F$2:$F$49,MATCH(J4011,Products!$A$2:$A$49,0))</f>
        <v/>
      </c>
      <c r="S4011">
        <f>WEEKDAY(B4011,2)</f>
        <v/>
      </c>
    </row>
    <row r="4012">
      <c r="A4012" t="n">
        <v>511571</v>
      </c>
      <c r="B4012" s="6" t="n">
        <v>46009</v>
      </c>
      <c r="C4012" t="n">
        <v>16919</v>
      </c>
      <c r="D4012" t="inlineStr">
        <is>
          <t>Bengaluru</t>
        </is>
      </c>
      <c r="E4012" t="inlineStr">
        <is>
          <t>South</t>
        </is>
      </c>
      <c r="F4012" t="inlineStr">
        <is>
          <t>Organic Search</t>
        </is>
      </c>
      <c r="G4012" t="inlineStr">
        <is>
          <t>Mobile App</t>
        </is>
      </c>
      <c r="H4012" t="inlineStr">
        <is>
          <t>UPI</t>
        </is>
      </c>
      <c r="I4012" t="inlineStr">
        <is>
          <t>Returned</t>
        </is>
      </c>
      <c r="J4012" t="n">
        <v>140</v>
      </c>
      <c r="K4012" t="n">
        <v>2</v>
      </c>
      <c r="L4012" t="n">
        <v>629</v>
      </c>
      <c r="M4012" t="n">
        <v>0</v>
      </c>
      <c r="N4012">
        <f>VLOOKUP(J4012,Products!$A$2:$C$49,3,FALSE)</f>
        <v/>
      </c>
      <c r="O4012">
        <f>K4012*L4012-M4012</f>
        <v/>
      </c>
      <c r="P4012">
        <f>TEXT(B4012,"yyyy-mm")</f>
        <v/>
      </c>
      <c r="Q4012">
        <f>IF(O4012&gt;=3000,"Large","Small")</f>
        <v/>
      </c>
      <c r="R4012">
        <f>INDEX(Products!$F$2:$F$49,MATCH(J4012,Products!$A$2:$A$49,0))</f>
        <v/>
      </c>
      <c r="S4012">
        <f>WEEKDAY(B4012,2)</f>
        <v/>
      </c>
    </row>
    <row r="4013">
      <c r="A4013" t="n">
        <v>511571</v>
      </c>
      <c r="B4013" s="6" t="n">
        <v>46009</v>
      </c>
      <c r="C4013" t="n">
        <v>16919</v>
      </c>
      <c r="D4013" t="inlineStr">
        <is>
          <t>Bengaluru</t>
        </is>
      </c>
      <c r="E4013" t="inlineStr">
        <is>
          <t>South</t>
        </is>
      </c>
      <c r="F4013" t="inlineStr">
        <is>
          <t>Organic Search</t>
        </is>
      </c>
      <c r="G4013" t="inlineStr">
        <is>
          <t>Mobile App</t>
        </is>
      </c>
      <c r="H4013" t="inlineStr">
        <is>
          <t>UPI</t>
        </is>
      </c>
      <c r="I4013" t="inlineStr">
        <is>
          <t>Returned</t>
        </is>
      </c>
      <c r="J4013" t="n">
        <v>120</v>
      </c>
      <c r="K4013" t="n">
        <v>1</v>
      </c>
      <c r="L4013" t="n">
        <v>734</v>
      </c>
      <c r="M4013" t="n">
        <v>0</v>
      </c>
      <c r="N4013">
        <f>VLOOKUP(J4013,Products!$A$2:$C$49,3,FALSE)</f>
        <v/>
      </c>
      <c r="O4013">
        <f>K4013*L4013-M4013</f>
        <v/>
      </c>
      <c r="P4013">
        <f>TEXT(B4013,"yyyy-mm")</f>
        <v/>
      </c>
      <c r="Q4013">
        <f>IF(O4013&gt;=3000,"Large","Small")</f>
        <v/>
      </c>
      <c r="R4013">
        <f>INDEX(Products!$F$2:$F$49,MATCH(J4013,Products!$A$2:$A$49,0))</f>
        <v/>
      </c>
      <c r="S4013">
        <f>WEEKDAY(B4013,2)</f>
        <v/>
      </c>
    </row>
    <row r="4014">
      <c r="A4014" t="n">
        <v>511572</v>
      </c>
      <c r="B4014" s="6" t="n">
        <v>46009</v>
      </c>
      <c r="C4014" t="n">
        <v>15202</v>
      </c>
      <c r="D4014" t="inlineStr">
        <is>
          <t>Delhi</t>
        </is>
      </c>
      <c r="E4014" t="inlineStr">
        <is>
          <t>North</t>
        </is>
      </c>
      <c r="F4014" t="inlineStr">
        <is>
          <t>Referral</t>
        </is>
      </c>
      <c r="G4014" t="inlineStr">
        <is>
          <t>Desktop</t>
        </is>
      </c>
      <c r="H4014" t="inlineStr">
        <is>
          <t>UPI</t>
        </is>
      </c>
      <c r="I4014" t="inlineStr">
        <is>
          <t>Delivered</t>
        </is>
      </c>
      <c r="J4014" t="n">
        <v>139</v>
      </c>
      <c r="K4014" t="n">
        <v>1</v>
      </c>
      <c r="L4014" t="n">
        <v>366</v>
      </c>
      <c r="M4014" t="n">
        <v>18.3</v>
      </c>
      <c r="N4014">
        <f>VLOOKUP(J4014,Products!$A$2:$C$49,3,FALSE)</f>
        <v/>
      </c>
      <c r="O4014">
        <f>K4014*L4014-M4014</f>
        <v/>
      </c>
      <c r="P4014">
        <f>TEXT(B4014,"yyyy-mm")</f>
        <v/>
      </c>
      <c r="Q4014">
        <f>IF(O4014&gt;=3000,"Large","Small")</f>
        <v/>
      </c>
      <c r="R4014">
        <f>INDEX(Products!$F$2:$F$49,MATCH(J4014,Products!$A$2:$A$49,0))</f>
        <v/>
      </c>
      <c r="S4014">
        <f>WEEKDAY(B4014,2)</f>
        <v/>
      </c>
    </row>
    <row r="4015">
      <c r="A4015" t="n">
        <v>511573</v>
      </c>
      <c r="B4015" s="6" t="n">
        <v>46009</v>
      </c>
      <c r="C4015" t="n">
        <v>17779</v>
      </c>
      <c r="D4015" t="inlineStr">
        <is>
          <t>Bengaluru</t>
        </is>
      </c>
      <c r="E4015" t="inlineStr">
        <is>
          <t>South</t>
        </is>
      </c>
      <c r="F4015" t="inlineStr">
        <is>
          <t>Organic Search</t>
        </is>
      </c>
      <c r="G4015" t="inlineStr">
        <is>
          <t>Desktop</t>
        </is>
      </c>
      <c r="H4015" t="inlineStr">
        <is>
          <t>UPI</t>
        </is>
      </c>
      <c r="I4015" t="inlineStr">
        <is>
          <t>Delivered</t>
        </is>
      </c>
      <c r="J4015" t="n">
        <v>112</v>
      </c>
      <c r="K4015" t="n">
        <v>1</v>
      </c>
      <c r="L4015" t="n">
        <v>1574</v>
      </c>
      <c r="M4015" t="n">
        <v>236.1</v>
      </c>
      <c r="N4015">
        <f>VLOOKUP(J4015,Products!$A$2:$C$49,3,FALSE)</f>
        <v/>
      </c>
      <c r="O4015">
        <f>K4015*L4015-M4015</f>
        <v/>
      </c>
      <c r="P4015">
        <f>TEXT(B4015,"yyyy-mm")</f>
        <v/>
      </c>
      <c r="Q4015">
        <f>IF(O4015&gt;=3000,"Large","Small")</f>
        <v/>
      </c>
      <c r="R4015">
        <f>INDEX(Products!$F$2:$F$49,MATCH(J4015,Products!$A$2:$A$49,0))</f>
        <v/>
      </c>
      <c r="S4015">
        <f>WEEKDAY(B4015,2)</f>
        <v/>
      </c>
    </row>
    <row r="4016">
      <c r="A4016" t="n">
        <v>511573</v>
      </c>
      <c r="B4016" s="6" t="n">
        <v>46009</v>
      </c>
      <c r="C4016" t="n">
        <v>17779</v>
      </c>
      <c r="D4016" t="inlineStr">
        <is>
          <t>Bengaluru</t>
        </is>
      </c>
      <c r="E4016" t="inlineStr">
        <is>
          <t>South</t>
        </is>
      </c>
      <c r="F4016" t="inlineStr">
        <is>
          <t>Organic Search</t>
        </is>
      </c>
      <c r="G4016" t="inlineStr">
        <is>
          <t>Desktop</t>
        </is>
      </c>
      <c r="H4016" t="inlineStr">
        <is>
          <t>UPI</t>
        </is>
      </c>
      <c r="I4016" t="inlineStr">
        <is>
          <t>Delivered</t>
        </is>
      </c>
      <c r="J4016" t="n">
        <v>137</v>
      </c>
      <c r="K4016" t="n">
        <v>1</v>
      </c>
      <c r="L4016" t="n">
        <v>261</v>
      </c>
      <c r="M4016" t="n">
        <v>39.15</v>
      </c>
      <c r="N4016">
        <f>VLOOKUP(J4016,Products!$A$2:$C$49,3,FALSE)</f>
        <v/>
      </c>
      <c r="O4016">
        <f>K4016*L4016-M4016</f>
        <v/>
      </c>
      <c r="P4016">
        <f>TEXT(B4016,"yyyy-mm")</f>
        <v/>
      </c>
      <c r="Q4016">
        <f>IF(O4016&gt;=3000,"Large","Small")</f>
        <v/>
      </c>
      <c r="R4016">
        <f>INDEX(Products!$F$2:$F$49,MATCH(J4016,Products!$A$2:$A$49,0))</f>
        <v/>
      </c>
      <c r="S4016">
        <f>WEEKDAY(B4016,2)</f>
        <v/>
      </c>
    </row>
    <row r="4017">
      <c r="A4017" t="n">
        <v>511573</v>
      </c>
      <c r="B4017" s="6" t="n">
        <v>46009</v>
      </c>
      <c r="C4017" t="n">
        <v>17779</v>
      </c>
      <c r="D4017" t="inlineStr">
        <is>
          <t>Bengaluru</t>
        </is>
      </c>
      <c r="E4017" t="inlineStr">
        <is>
          <t>South</t>
        </is>
      </c>
      <c r="F4017" t="inlineStr">
        <is>
          <t>Organic Search</t>
        </is>
      </c>
      <c r="G4017" t="inlineStr">
        <is>
          <t>Desktop</t>
        </is>
      </c>
      <c r="H4017" t="inlineStr">
        <is>
          <t>UPI</t>
        </is>
      </c>
      <c r="I4017" t="inlineStr">
        <is>
          <t>Delivered</t>
        </is>
      </c>
      <c r="J4017" t="n">
        <v>122</v>
      </c>
      <c r="K4017" t="n">
        <v>1</v>
      </c>
      <c r="L4017" t="n">
        <v>1994</v>
      </c>
      <c r="M4017" t="n">
        <v>299.1</v>
      </c>
      <c r="N4017">
        <f>VLOOKUP(J4017,Products!$A$2:$C$49,3,FALSE)</f>
        <v/>
      </c>
      <c r="O4017">
        <f>K4017*L4017-M4017</f>
        <v/>
      </c>
      <c r="P4017">
        <f>TEXT(B4017,"yyyy-mm")</f>
        <v/>
      </c>
      <c r="Q4017">
        <f>IF(O4017&gt;=3000,"Large","Small")</f>
        <v/>
      </c>
      <c r="R4017">
        <f>INDEX(Products!$F$2:$F$49,MATCH(J4017,Products!$A$2:$A$49,0))</f>
        <v/>
      </c>
      <c r="S4017">
        <f>WEEKDAY(B4017,2)</f>
        <v/>
      </c>
    </row>
    <row r="4018">
      <c r="A4018" t="n">
        <v>511573</v>
      </c>
      <c r="B4018" s="6" t="n">
        <v>46009</v>
      </c>
      <c r="C4018" t="n">
        <v>17779</v>
      </c>
      <c r="D4018" t="inlineStr">
        <is>
          <t>Bengaluru</t>
        </is>
      </c>
      <c r="E4018" t="inlineStr">
        <is>
          <t>South</t>
        </is>
      </c>
      <c r="F4018" t="inlineStr">
        <is>
          <t>Organic Search</t>
        </is>
      </c>
      <c r="G4018" t="inlineStr">
        <is>
          <t>Desktop</t>
        </is>
      </c>
      <c r="H4018" t="inlineStr">
        <is>
          <t>UPI</t>
        </is>
      </c>
      <c r="I4018" t="inlineStr">
        <is>
          <t>Delivered</t>
        </is>
      </c>
      <c r="J4018" t="n">
        <v>125</v>
      </c>
      <c r="K4018" t="n">
        <v>1</v>
      </c>
      <c r="L4018" t="n">
        <v>1364</v>
      </c>
      <c r="M4018" t="n">
        <v>204.6</v>
      </c>
      <c r="N4018">
        <f>VLOOKUP(J4018,Products!$A$2:$C$49,3,FALSE)</f>
        <v/>
      </c>
      <c r="O4018">
        <f>K4018*L4018-M4018</f>
        <v/>
      </c>
      <c r="P4018">
        <f>TEXT(B4018,"yyyy-mm")</f>
        <v/>
      </c>
      <c r="Q4018">
        <f>IF(O4018&gt;=3000,"Large","Small")</f>
        <v/>
      </c>
      <c r="R4018">
        <f>INDEX(Products!$F$2:$F$49,MATCH(J4018,Products!$A$2:$A$49,0))</f>
        <v/>
      </c>
      <c r="S4018">
        <f>WEEKDAY(B4018,2)</f>
        <v/>
      </c>
    </row>
    <row r="4019">
      <c r="A4019" t="n">
        <v>511574</v>
      </c>
      <c r="B4019" s="6" t="n">
        <v>46009</v>
      </c>
      <c r="C4019" t="n">
        <v>17238</v>
      </c>
      <c r="D4019" t="inlineStr">
        <is>
          <t>Hyderabad</t>
        </is>
      </c>
      <c r="E4019" t="inlineStr">
        <is>
          <t>South</t>
        </is>
      </c>
      <c r="F4019" t="inlineStr">
        <is>
          <t>Organic Search</t>
        </is>
      </c>
      <c r="G4019" t="inlineStr">
        <is>
          <t>Mobile App</t>
        </is>
      </c>
      <c r="H4019" t="inlineStr">
        <is>
          <t>Cash on Delivery</t>
        </is>
      </c>
      <c r="I4019" t="inlineStr">
        <is>
          <t>Delivered</t>
        </is>
      </c>
      <c r="J4019" t="n">
        <v>122</v>
      </c>
      <c r="K4019" t="n">
        <v>1</v>
      </c>
      <c r="L4019" t="n">
        <v>1994</v>
      </c>
      <c r="M4019" t="n">
        <v>0</v>
      </c>
      <c r="N4019">
        <f>VLOOKUP(J4019,Products!$A$2:$C$49,3,FALSE)</f>
        <v/>
      </c>
      <c r="O4019">
        <f>K4019*L4019-M4019</f>
        <v/>
      </c>
      <c r="P4019">
        <f>TEXT(B4019,"yyyy-mm")</f>
        <v/>
      </c>
      <c r="Q4019">
        <f>IF(O4019&gt;=3000,"Large","Small")</f>
        <v/>
      </c>
      <c r="R4019">
        <f>INDEX(Products!$F$2:$F$49,MATCH(J4019,Products!$A$2:$A$49,0))</f>
        <v/>
      </c>
      <c r="S4019">
        <f>WEEKDAY(B4019,2)</f>
        <v/>
      </c>
    </row>
    <row r="4020">
      <c r="A4020" t="n">
        <v>511575</v>
      </c>
      <c r="B4020" s="6" t="n">
        <v>46009</v>
      </c>
      <c r="C4020" t="n">
        <v>17666</v>
      </c>
      <c r="D4020" t="inlineStr">
        <is>
          <t>Mumbai</t>
        </is>
      </c>
      <c r="E4020" t="inlineStr">
        <is>
          <t>West</t>
        </is>
      </c>
      <c r="F4020" t="inlineStr">
        <is>
          <t>Paid Social</t>
        </is>
      </c>
      <c r="G4020" t="inlineStr">
        <is>
          <t>Mobile Web</t>
        </is>
      </c>
      <c r="H4020" t="inlineStr">
        <is>
          <t>UPI</t>
        </is>
      </c>
      <c r="I4020" t="inlineStr">
        <is>
          <t>Delivered</t>
        </is>
      </c>
      <c r="J4020" t="n">
        <v>129</v>
      </c>
      <c r="K4020" t="n">
        <v>1</v>
      </c>
      <c r="L4020" t="n">
        <v>576</v>
      </c>
      <c r="M4020" t="n">
        <v>0</v>
      </c>
      <c r="N4020">
        <f>VLOOKUP(J4020,Products!$A$2:$C$49,3,FALSE)</f>
        <v/>
      </c>
      <c r="O4020">
        <f>K4020*L4020-M4020</f>
        <v/>
      </c>
      <c r="P4020">
        <f>TEXT(B4020,"yyyy-mm")</f>
        <v/>
      </c>
      <c r="Q4020">
        <f>IF(O4020&gt;=3000,"Large","Small")</f>
        <v/>
      </c>
      <c r="R4020">
        <f>INDEX(Products!$F$2:$F$49,MATCH(J4020,Products!$A$2:$A$49,0))</f>
        <v/>
      </c>
      <c r="S4020">
        <f>WEEKDAY(B4020,2)</f>
        <v/>
      </c>
    </row>
    <row r="4021">
      <c r="A4021" t="n">
        <v>511576</v>
      </c>
      <c r="B4021" s="6" t="n">
        <v>46009</v>
      </c>
      <c r="C4021" t="n">
        <v>16222</v>
      </c>
      <c r="D4021" t="inlineStr">
        <is>
          <t>Delhi</t>
        </is>
      </c>
      <c r="E4021" t="inlineStr">
        <is>
          <t>North</t>
        </is>
      </c>
      <c r="F4021" t="inlineStr">
        <is>
          <t>Paid Social</t>
        </is>
      </c>
      <c r="G4021" t="inlineStr">
        <is>
          <t>Mobile App</t>
        </is>
      </c>
      <c r="H4021" t="inlineStr">
        <is>
          <t>Credit Card</t>
        </is>
      </c>
      <c r="I4021" t="inlineStr">
        <is>
          <t>Cancelled</t>
        </is>
      </c>
      <c r="J4021" t="n">
        <v>114</v>
      </c>
      <c r="K4021" t="n">
        <v>1</v>
      </c>
      <c r="L4021" t="n">
        <v>1259</v>
      </c>
      <c r="M4021" t="n">
        <v>0</v>
      </c>
      <c r="N4021">
        <f>VLOOKUP(J4021,Products!$A$2:$C$49,3,FALSE)</f>
        <v/>
      </c>
      <c r="O4021">
        <f>K4021*L4021-M4021</f>
        <v/>
      </c>
      <c r="P4021">
        <f>TEXT(B4021,"yyyy-mm")</f>
        <v/>
      </c>
      <c r="Q4021">
        <f>IF(O4021&gt;=3000,"Large","Small")</f>
        <v/>
      </c>
      <c r="R4021">
        <f>INDEX(Products!$F$2:$F$49,MATCH(J4021,Products!$A$2:$A$49,0))</f>
        <v/>
      </c>
      <c r="S4021">
        <f>WEEKDAY(B4021,2)</f>
        <v/>
      </c>
    </row>
    <row r="4022">
      <c r="A4022" t="n">
        <v>511577</v>
      </c>
      <c r="B4022" s="6" t="n">
        <v>46009</v>
      </c>
      <c r="C4022" t="n">
        <v>15736</v>
      </c>
      <c r="D4022" t="inlineStr">
        <is>
          <t>Ahmedabad</t>
        </is>
      </c>
      <c r="E4022" t="inlineStr">
        <is>
          <t>West</t>
        </is>
      </c>
      <c r="F4022" t="inlineStr">
        <is>
          <t>Referral</t>
        </is>
      </c>
      <c r="G4022" t="inlineStr">
        <is>
          <t>Mobile App</t>
        </is>
      </c>
      <c r="H4022" t="inlineStr">
        <is>
          <t>UPI</t>
        </is>
      </c>
      <c r="I4022" t="inlineStr">
        <is>
          <t>Delivered</t>
        </is>
      </c>
      <c r="J4022" t="n">
        <v>116</v>
      </c>
      <c r="K4022" t="n">
        <v>1</v>
      </c>
      <c r="L4022" t="n">
        <v>2624</v>
      </c>
      <c r="M4022" t="n">
        <v>0</v>
      </c>
      <c r="N4022">
        <f>VLOOKUP(J4022,Products!$A$2:$C$49,3,FALSE)</f>
        <v/>
      </c>
      <c r="O4022">
        <f>K4022*L4022-M4022</f>
        <v/>
      </c>
      <c r="P4022">
        <f>TEXT(B4022,"yyyy-mm")</f>
        <v/>
      </c>
      <c r="Q4022">
        <f>IF(O4022&gt;=3000,"Large","Small")</f>
        <v/>
      </c>
      <c r="R4022">
        <f>INDEX(Products!$F$2:$F$49,MATCH(J4022,Products!$A$2:$A$49,0))</f>
        <v/>
      </c>
      <c r="S4022">
        <f>WEEKDAY(B4022,2)</f>
        <v/>
      </c>
    </row>
    <row r="4023">
      <c r="A4023" t="n">
        <v>511578</v>
      </c>
      <c r="B4023" s="6" t="n">
        <v>46009</v>
      </c>
      <c r="C4023" t="n">
        <v>16255</v>
      </c>
      <c r="D4023" t="inlineStr">
        <is>
          <t>Hyderabad</t>
        </is>
      </c>
      <c r="E4023" t="inlineStr">
        <is>
          <t>South</t>
        </is>
      </c>
      <c r="F4023" t="inlineStr">
        <is>
          <t>Organic Search</t>
        </is>
      </c>
      <c r="G4023" t="inlineStr">
        <is>
          <t>Mobile Web</t>
        </is>
      </c>
      <c r="H4023" t="inlineStr">
        <is>
          <t>UPI</t>
        </is>
      </c>
      <c r="I4023" t="inlineStr">
        <is>
          <t>Delivered</t>
        </is>
      </c>
      <c r="J4023" t="n">
        <v>135</v>
      </c>
      <c r="K4023" t="n">
        <v>1</v>
      </c>
      <c r="L4023" t="n">
        <v>1574</v>
      </c>
      <c r="M4023" t="n">
        <v>0</v>
      </c>
      <c r="N4023">
        <f>VLOOKUP(J4023,Products!$A$2:$C$49,3,FALSE)</f>
        <v/>
      </c>
      <c r="O4023">
        <f>K4023*L4023-M4023</f>
        <v/>
      </c>
      <c r="P4023">
        <f>TEXT(B4023,"yyyy-mm")</f>
        <v/>
      </c>
      <c r="Q4023">
        <f>IF(O4023&gt;=3000,"Large","Small")</f>
        <v/>
      </c>
      <c r="R4023">
        <f>INDEX(Products!$F$2:$F$49,MATCH(J4023,Products!$A$2:$A$49,0))</f>
        <v/>
      </c>
      <c r="S4023">
        <f>WEEKDAY(B4023,2)</f>
        <v/>
      </c>
    </row>
    <row r="4024">
      <c r="A4024" t="n">
        <v>511578</v>
      </c>
      <c r="B4024" s="6" t="n">
        <v>46009</v>
      </c>
      <c r="C4024" t="n">
        <v>16255</v>
      </c>
      <c r="D4024" t="inlineStr">
        <is>
          <t>Hyderabad</t>
        </is>
      </c>
      <c r="E4024" t="inlineStr">
        <is>
          <t>South</t>
        </is>
      </c>
      <c r="F4024" t="inlineStr">
        <is>
          <t>Organic Search</t>
        </is>
      </c>
      <c r="G4024" t="inlineStr">
        <is>
          <t>Mobile Web</t>
        </is>
      </c>
      <c r="H4024" t="inlineStr">
        <is>
          <t>UPI</t>
        </is>
      </c>
      <c r="I4024" t="inlineStr">
        <is>
          <t>Delivered</t>
        </is>
      </c>
      <c r="J4024" t="n">
        <v>117</v>
      </c>
      <c r="K4024" t="n">
        <v>3</v>
      </c>
      <c r="L4024" t="n">
        <v>3149</v>
      </c>
      <c r="M4024" t="n">
        <v>0</v>
      </c>
      <c r="N4024">
        <f>VLOOKUP(J4024,Products!$A$2:$C$49,3,FALSE)</f>
        <v/>
      </c>
      <c r="O4024">
        <f>K4024*L4024-M4024</f>
        <v/>
      </c>
      <c r="P4024">
        <f>TEXT(B4024,"yyyy-mm")</f>
        <v/>
      </c>
      <c r="Q4024">
        <f>IF(O4024&gt;=3000,"Large","Small")</f>
        <v/>
      </c>
      <c r="R4024">
        <f>INDEX(Products!$F$2:$F$49,MATCH(J4024,Products!$A$2:$A$49,0))</f>
        <v/>
      </c>
      <c r="S4024">
        <f>WEEKDAY(B4024,2)</f>
        <v/>
      </c>
    </row>
    <row r="4025">
      <c r="A4025" t="n">
        <v>511579</v>
      </c>
      <c r="B4025" s="6" t="n">
        <v>46009</v>
      </c>
      <c r="C4025" t="n">
        <v>16469</v>
      </c>
      <c r="D4025" t="inlineStr">
        <is>
          <t>Delhi</t>
        </is>
      </c>
      <c r="E4025" t="inlineStr">
        <is>
          <t>North</t>
        </is>
      </c>
      <c r="F4025" t="inlineStr">
        <is>
          <t>Email</t>
        </is>
      </c>
      <c r="G4025" t="inlineStr">
        <is>
          <t>Mobile App</t>
        </is>
      </c>
      <c r="H4025" t="inlineStr">
        <is>
          <t>Debit Card</t>
        </is>
      </c>
      <c r="I4025" t="inlineStr">
        <is>
          <t>Delivered</t>
        </is>
      </c>
      <c r="J4025" t="n">
        <v>133</v>
      </c>
      <c r="K4025" t="n">
        <v>1</v>
      </c>
      <c r="L4025" t="n">
        <v>419</v>
      </c>
      <c r="M4025" t="n">
        <v>0</v>
      </c>
      <c r="N4025">
        <f>VLOOKUP(J4025,Products!$A$2:$C$49,3,FALSE)</f>
        <v/>
      </c>
      <c r="O4025">
        <f>K4025*L4025-M4025</f>
        <v/>
      </c>
      <c r="P4025">
        <f>TEXT(B4025,"yyyy-mm")</f>
        <v/>
      </c>
      <c r="Q4025">
        <f>IF(O4025&gt;=3000,"Large","Small")</f>
        <v/>
      </c>
      <c r="R4025">
        <f>INDEX(Products!$F$2:$F$49,MATCH(J4025,Products!$A$2:$A$49,0))</f>
        <v/>
      </c>
      <c r="S4025">
        <f>WEEKDAY(B4025,2)</f>
        <v/>
      </c>
    </row>
    <row r="4026">
      <c r="A4026" t="n">
        <v>511580</v>
      </c>
      <c r="B4026" s="6" t="n">
        <v>46009</v>
      </c>
      <c r="C4026" t="n">
        <v>17693</v>
      </c>
      <c r="D4026" t="inlineStr">
        <is>
          <t>Jaipur</t>
        </is>
      </c>
      <c r="E4026" t="inlineStr">
        <is>
          <t>North</t>
        </is>
      </c>
      <c r="F4026" t="inlineStr">
        <is>
          <t>Affiliate</t>
        </is>
      </c>
      <c r="G4026" t="inlineStr">
        <is>
          <t>Mobile Web</t>
        </is>
      </c>
      <c r="H4026" t="inlineStr">
        <is>
          <t>UPI</t>
        </is>
      </c>
      <c r="I4026" t="inlineStr">
        <is>
          <t>Delivered</t>
        </is>
      </c>
      <c r="J4026" t="n">
        <v>104</v>
      </c>
      <c r="K4026" t="n">
        <v>1</v>
      </c>
      <c r="L4026" t="n">
        <v>5249</v>
      </c>
      <c r="M4026" t="n">
        <v>0</v>
      </c>
      <c r="N4026">
        <f>VLOOKUP(J4026,Products!$A$2:$C$49,3,FALSE)</f>
        <v/>
      </c>
      <c r="O4026">
        <f>K4026*L4026-M4026</f>
        <v/>
      </c>
      <c r="P4026">
        <f>TEXT(B4026,"yyyy-mm")</f>
        <v/>
      </c>
      <c r="Q4026">
        <f>IF(O4026&gt;=3000,"Large","Small")</f>
        <v/>
      </c>
      <c r="R4026">
        <f>INDEX(Products!$F$2:$F$49,MATCH(J4026,Products!$A$2:$A$49,0))</f>
        <v/>
      </c>
      <c r="S4026">
        <f>WEEKDAY(B4026,2)</f>
        <v/>
      </c>
    </row>
    <row r="4027">
      <c r="A4027" t="n">
        <v>511581</v>
      </c>
      <c r="B4027" s="6" t="n">
        <v>46009</v>
      </c>
      <c r="C4027" t="n">
        <v>15400</v>
      </c>
      <c r="D4027" t="inlineStr">
        <is>
          <t>Indore</t>
        </is>
      </c>
      <c r="E4027" t="inlineStr">
        <is>
          <t>West</t>
        </is>
      </c>
      <c r="F4027" t="inlineStr">
        <is>
          <t>Paid Search</t>
        </is>
      </c>
      <c r="G4027" t="inlineStr">
        <is>
          <t>Mobile Web</t>
        </is>
      </c>
      <c r="H4027" t="inlineStr">
        <is>
          <t>UPI</t>
        </is>
      </c>
      <c r="I4027" t="inlineStr">
        <is>
          <t>Returned</t>
        </is>
      </c>
      <c r="J4027" t="n">
        <v>115</v>
      </c>
      <c r="K4027" t="n">
        <v>1</v>
      </c>
      <c r="L4027" t="n">
        <v>4199</v>
      </c>
      <c r="M4027" t="n">
        <v>0</v>
      </c>
      <c r="N4027">
        <f>VLOOKUP(J4027,Products!$A$2:$C$49,3,FALSE)</f>
        <v/>
      </c>
      <c r="O4027">
        <f>K4027*L4027-M4027</f>
        <v/>
      </c>
      <c r="P4027">
        <f>TEXT(B4027,"yyyy-mm")</f>
        <v/>
      </c>
      <c r="Q4027">
        <f>IF(O4027&gt;=3000,"Large","Small")</f>
        <v/>
      </c>
      <c r="R4027">
        <f>INDEX(Products!$F$2:$F$49,MATCH(J4027,Products!$A$2:$A$49,0))</f>
        <v/>
      </c>
      <c r="S4027">
        <f>WEEKDAY(B4027,2)</f>
        <v/>
      </c>
    </row>
    <row r="4028">
      <c r="A4028" t="n">
        <v>511582</v>
      </c>
      <c r="B4028" s="6" t="n">
        <v>46009</v>
      </c>
      <c r="C4028" t="n">
        <v>17805</v>
      </c>
      <c r="D4028" t="inlineStr">
        <is>
          <t>Delhi</t>
        </is>
      </c>
      <c r="E4028" t="inlineStr">
        <is>
          <t>North</t>
        </is>
      </c>
      <c r="F4028" t="inlineStr">
        <is>
          <t>Email</t>
        </is>
      </c>
      <c r="G4028" t="inlineStr">
        <is>
          <t>Mobile App</t>
        </is>
      </c>
      <c r="H4028" t="inlineStr">
        <is>
          <t>UPI</t>
        </is>
      </c>
      <c r="I4028" t="inlineStr">
        <is>
          <t>Delivered</t>
        </is>
      </c>
      <c r="J4028" t="n">
        <v>121</v>
      </c>
      <c r="K4028" t="n">
        <v>1</v>
      </c>
      <c r="L4028" t="n">
        <v>2939</v>
      </c>
      <c r="M4028" t="n">
        <v>440.85</v>
      </c>
      <c r="N4028">
        <f>VLOOKUP(J4028,Products!$A$2:$C$49,3,FALSE)</f>
        <v/>
      </c>
      <c r="O4028">
        <f>K4028*L4028-M4028</f>
        <v/>
      </c>
      <c r="P4028">
        <f>TEXT(B4028,"yyyy-mm")</f>
        <v/>
      </c>
      <c r="Q4028">
        <f>IF(O4028&gt;=3000,"Large","Small")</f>
        <v/>
      </c>
      <c r="R4028">
        <f>INDEX(Products!$F$2:$F$49,MATCH(J4028,Products!$A$2:$A$49,0))</f>
        <v/>
      </c>
      <c r="S4028">
        <f>WEEKDAY(B4028,2)</f>
        <v/>
      </c>
    </row>
    <row r="4029">
      <c r="A4029" t="n">
        <v>511582</v>
      </c>
      <c r="B4029" s="6" t="n">
        <v>46009</v>
      </c>
      <c r="C4029" t="n">
        <v>17805</v>
      </c>
      <c r="D4029" t="inlineStr">
        <is>
          <t>Delhi</t>
        </is>
      </c>
      <c r="E4029" t="inlineStr">
        <is>
          <t>North</t>
        </is>
      </c>
      <c r="F4029" t="inlineStr">
        <is>
          <t>Email</t>
        </is>
      </c>
      <c r="G4029" t="inlineStr">
        <is>
          <t>Mobile App</t>
        </is>
      </c>
      <c r="H4029" t="inlineStr">
        <is>
          <t>UPI</t>
        </is>
      </c>
      <c r="I4029" t="inlineStr">
        <is>
          <t>Delivered</t>
        </is>
      </c>
      <c r="J4029" t="n">
        <v>127</v>
      </c>
      <c r="K4029" t="n">
        <v>1</v>
      </c>
      <c r="L4029" t="n">
        <v>681</v>
      </c>
      <c r="M4029" t="n">
        <v>102.15</v>
      </c>
      <c r="N4029">
        <f>VLOOKUP(J4029,Products!$A$2:$C$49,3,FALSE)</f>
        <v/>
      </c>
      <c r="O4029">
        <f>K4029*L4029-M4029</f>
        <v/>
      </c>
      <c r="P4029">
        <f>TEXT(B4029,"yyyy-mm")</f>
        <v/>
      </c>
      <c r="Q4029">
        <f>IF(O4029&gt;=3000,"Large","Small")</f>
        <v/>
      </c>
      <c r="R4029">
        <f>INDEX(Products!$F$2:$F$49,MATCH(J4029,Products!$A$2:$A$49,0))</f>
        <v/>
      </c>
      <c r="S4029">
        <f>WEEKDAY(B4029,2)</f>
        <v/>
      </c>
    </row>
    <row r="4030">
      <c r="A4030" t="n">
        <v>511583</v>
      </c>
      <c r="B4030" s="6" t="n">
        <v>46010</v>
      </c>
      <c r="C4030" t="n">
        <v>17813</v>
      </c>
      <c r="D4030" t="inlineStr">
        <is>
          <t>Bengaluru</t>
        </is>
      </c>
      <c r="E4030" t="inlineStr">
        <is>
          <t>South</t>
        </is>
      </c>
      <c r="F4030" t="inlineStr">
        <is>
          <t>Paid Social</t>
        </is>
      </c>
      <c r="G4030" t="inlineStr">
        <is>
          <t>Mobile App</t>
        </is>
      </c>
      <c r="H4030" t="inlineStr">
        <is>
          <t>Cash on Delivery</t>
        </is>
      </c>
      <c r="I4030" t="inlineStr">
        <is>
          <t>Delivered</t>
        </is>
      </c>
      <c r="J4030" t="n">
        <v>112</v>
      </c>
      <c r="K4030" t="n">
        <v>1</v>
      </c>
      <c r="L4030" t="n">
        <v>1574</v>
      </c>
      <c r="M4030" t="n">
        <v>0</v>
      </c>
      <c r="N4030">
        <f>VLOOKUP(J4030,Products!$A$2:$C$49,3,FALSE)</f>
        <v/>
      </c>
      <c r="O4030">
        <f>K4030*L4030-M4030</f>
        <v/>
      </c>
      <c r="P4030">
        <f>TEXT(B4030,"yyyy-mm")</f>
        <v/>
      </c>
      <c r="Q4030">
        <f>IF(O4030&gt;=3000,"Large","Small")</f>
        <v/>
      </c>
      <c r="R4030">
        <f>INDEX(Products!$F$2:$F$49,MATCH(J4030,Products!$A$2:$A$49,0))</f>
        <v/>
      </c>
      <c r="S4030">
        <f>WEEKDAY(B4030,2)</f>
        <v/>
      </c>
    </row>
    <row r="4031">
      <c r="A4031" t="n">
        <v>511584</v>
      </c>
      <c r="B4031" s="6" t="n">
        <v>46010</v>
      </c>
      <c r="C4031" t="n">
        <v>16611</v>
      </c>
      <c r="D4031" t="inlineStr">
        <is>
          <t>Delhi</t>
        </is>
      </c>
      <c r="E4031" t="inlineStr">
        <is>
          <t>North</t>
        </is>
      </c>
      <c r="F4031" t="inlineStr">
        <is>
          <t>Organic Search</t>
        </is>
      </c>
      <c r="G4031" t="inlineStr">
        <is>
          <t>Mobile Web</t>
        </is>
      </c>
      <c r="H4031" t="inlineStr">
        <is>
          <t>UPI</t>
        </is>
      </c>
      <c r="I4031" t="inlineStr">
        <is>
          <t>Delivered</t>
        </is>
      </c>
      <c r="J4031" t="n">
        <v>123</v>
      </c>
      <c r="K4031" t="n">
        <v>1</v>
      </c>
      <c r="L4031" t="n">
        <v>3464</v>
      </c>
      <c r="M4031" t="n">
        <v>0</v>
      </c>
      <c r="N4031">
        <f>VLOOKUP(J4031,Products!$A$2:$C$49,3,FALSE)</f>
        <v/>
      </c>
      <c r="O4031">
        <f>K4031*L4031-M4031</f>
        <v/>
      </c>
      <c r="P4031">
        <f>TEXT(B4031,"yyyy-mm")</f>
        <v/>
      </c>
      <c r="Q4031">
        <f>IF(O4031&gt;=3000,"Large","Small")</f>
        <v/>
      </c>
      <c r="R4031">
        <f>INDEX(Products!$F$2:$F$49,MATCH(J4031,Products!$A$2:$A$49,0))</f>
        <v/>
      </c>
      <c r="S4031">
        <f>WEEKDAY(B4031,2)</f>
        <v/>
      </c>
    </row>
    <row r="4032">
      <c r="A4032" t="n">
        <v>511584</v>
      </c>
      <c r="B4032" s="6" t="n">
        <v>46010</v>
      </c>
      <c r="C4032" t="n">
        <v>16611</v>
      </c>
      <c r="D4032" t="inlineStr">
        <is>
          <t>Delhi</t>
        </is>
      </c>
      <c r="E4032" t="inlineStr">
        <is>
          <t>North</t>
        </is>
      </c>
      <c r="F4032" t="inlineStr">
        <is>
          <t>Organic Search</t>
        </is>
      </c>
      <c r="G4032" t="inlineStr">
        <is>
          <t>Mobile Web</t>
        </is>
      </c>
      <c r="H4032" t="inlineStr">
        <is>
          <t>UPI</t>
        </is>
      </c>
      <c r="I4032" t="inlineStr">
        <is>
          <t>Delivered</t>
        </is>
      </c>
      <c r="J4032" t="n">
        <v>104</v>
      </c>
      <c r="K4032" t="n">
        <v>1</v>
      </c>
      <c r="L4032" t="n">
        <v>5249</v>
      </c>
      <c r="M4032" t="n">
        <v>0</v>
      </c>
      <c r="N4032">
        <f>VLOOKUP(J4032,Products!$A$2:$C$49,3,FALSE)</f>
        <v/>
      </c>
      <c r="O4032">
        <f>K4032*L4032-M4032</f>
        <v/>
      </c>
      <c r="P4032">
        <f>TEXT(B4032,"yyyy-mm")</f>
        <v/>
      </c>
      <c r="Q4032">
        <f>IF(O4032&gt;=3000,"Large","Small")</f>
        <v/>
      </c>
      <c r="R4032">
        <f>INDEX(Products!$F$2:$F$49,MATCH(J4032,Products!$A$2:$A$49,0))</f>
        <v/>
      </c>
      <c r="S4032">
        <f>WEEKDAY(B4032,2)</f>
        <v/>
      </c>
    </row>
    <row r="4033">
      <c r="A4033" t="n">
        <v>511585</v>
      </c>
      <c r="B4033" s="6" t="n">
        <v>46010</v>
      </c>
      <c r="C4033" t="n">
        <v>17823</v>
      </c>
      <c r="D4033" t="inlineStr">
        <is>
          <t>Chennai</t>
        </is>
      </c>
      <c r="E4033" t="inlineStr">
        <is>
          <t>South</t>
        </is>
      </c>
      <c r="F4033" t="inlineStr">
        <is>
          <t>Referral</t>
        </is>
      </c>
      <c r="G4033" t="inlineStr">
        <is>
          <t>Mobile Web</t>
        </is>
      </c>
      <c r="H4033" t="inlineStr">
        <is>
          <t>Cash on Delivery</t>
        </is>
      </c>
      <c r="I4033" t="inlineStr">
        <is>
          <t>Returned</t>
        </is>
      </c>
      <c r="J4033" t="n">
        <v>127</v>
      </c>
      <c r="K4033" t="n">
        <v>1</v>
      </c>
      <c r="L4033" t="n">
        <v>681</v>
      </c>
      <c r="M4033" t="n">
        <v>0</v>
      </c>
      <c r="N4033">
        <f>VLOOKUP(J4033,Products!$A$2:$C$49,3,FALSE)</f>
        <v/>
      </c>
      <c r="O4033">
        <f>K4033*L4033-M4033</f>
        <v/>
      </c>
      <c r="P4033">
        <f>TEXT(B4033,"yyyy-mm")</f>
        <v/>
      </c>
      <c r="Q4033">
        <f>IF(O4033&gt;=3000,"Large","Small")</f>
        <v/>
      </c>
      <c r="R4033">
        <f>INDEX(Products!$F$2:$F$49,MATCH(J4033,Products!$A$2:$A$49,0))</f>
        <v/>
      </c>
      <c r="S4033">
        <f>WEEKDAY(B4033,2)</f>
        <v/>
      </c>
    </row>
    <row r="4034">
      <c r="A4034" t="n">
        <v>511586</v>
      </c>
      <c r="B4034" s="6" t="n">
        <v>46010</v>
      </c>
      <c r="C4034" t="n">
        <v>10409</v>
      </c>
      <c r="D4034" t="inlineStr">
        <is>
          <t>Jaipur</t>
        </is>
      </c>
      <c r="E4034" t="inlineStr">
        <is>
          <t>North</t>
        </is>
      </c>
      <c r="F4034" t="inlineStr">
        <is>
          <t>Referral</t>
        </is>
      </c>
      <c r="G4034" t="inlineStr">
        <is>
          <t>Mobile App</t>
        </is>
      </c>
      <c r="H4034" t="inlineStr">
        <is>
          <t>UPI</t>
        </is>
      </c>
      <c r="I4034" t="inlineStr">
        <is>
          <t>Delivered</t>
        </is>
      </c>
      <c r="J4034" t="n">
        <v>111</v>
      </c>
      <c r="K4034" t="n">
        <v>1</v>
      </c>
      <c r="L4034" t="n">
        <v>524</v>
      </c>
      <c r="M4034" t="n">
        <v>0</v>
      </c>
      <c r="N4034">
        <f>VLOOKUP(J4034,Products!$A$2:$C$49,3,FALSE)</f>
        <v/>
      </c>
      <c r="O4034">
        <f>K4034*L4034-M4034</f>
        <v/>
      </c>
      <c r="P4034">
        <f>TEXT(B4034,"yyyy-mm")</f>
        <v/>
      </c>
      <c r="Q4034">
        <f>IF(O4034&gt;=3000,"Large","Small")</f>
        <v/>
      </c>
      <c r="R4034">
        <f>INDEX(Products!$F$2:$F$49,MATCH(J4034,Products!$A$2:$A$49,0))</f>
        <v/>
      </c>
      <c r="S4034">
        <f>WEEKDAY(B4034,2)</f>
        <v/>
      </c>
    </row>
    <row r="4035">
      <c r="A4035" t="n">
        <v>511586</v>
      </c>
      <c r="B4035" s="6" t="n">
        <v>46010</v>
      </c>
      <c r="C4035" t="n">
        <v>10409</v>
      </c>
      <c r="D4035" t="inlineStr">
        <is>
          <t>Jaipur</t>
        </is>
      </c>
      <c r="E4035" t="inlineStr">
        <is>
          <t>North</t>
        </is>
      </c>
      <c r="F4035" t="inlineStr">
        <is>
          <t>Referral</t>
        </is>
      </c>
      <c r="G4035" t="inlineStr">
        <is>
          <t>Mobile App</t>
        </is>
      </c>
      <c r="H4035" t="inlineStr">
        <is>
          <t>UPI</t>
        </is>
      </c>
      <c r="I4035" t="inlineStr">
        <is>
          <t>Delivered</t>
        </is>
      </c>
      <c r="J4035" t="n">
        <v>140</v>
      </c>
      <c r="K4035" t="n">
        <v>1</v>
      </c>
      <c r="L4035" t="n">
        <v>629</v>
      </c>
      <c r="M4035" t="n">
        <v>0</v>
      </c>
      <c r="N4035">
        <f>VLOOKUP(J4035,Products!$A$2:$C$49,3,FALSE)</f>
        <v/>
      </c>
      <c r="O4035">
        <f>K4035*L4035-M4035</f>
        <v/>
      </c>
      <c r="P4035">
        <f>TEXT(B4035,"yyyy-mm")</f>
        <v/>
      </c>
      <c r="Q4035">
        <f>IF(O4035&gt;=3000,"Large","Small")</f>
        <v/>
      </c>
      <c r="R4035">
        <f>INDEX(Products!$F$2:$F$49,MATCH(J4035,Products!$A$2:$A$49,0))</f>
        <v/>
      </c>
      <c r="S4035">
        <f>WEEKDAY(B4035,2)</f>
        <v/>
      </c>
    </row>
    <row r="4036">
      <c r="A4036" t="n">
        <v>511587</v>
      </c>
      <c r="B4036" s="6" t="n">
        <v>46010</v>
      </c>
      <c r="C4036" t="n">
        <v>17062</v>
      </c>
      <c r="D4036" t="inlineStr">
        <is>
          <t>Indore</t>
        </is>
      </c>
      <c r="E4036" t="inlineStr">
        <is>
          <t>West</t>
        </is>
      </c>
      <c r="F4036" t="inlineStr">
        <is>
          <t>Paid Search</t>
        </is>
      </c>
      <c r="G4036" t="inlineStr">
        <is>
          <t>Mobile App</t>
        </is>
      </c>
      <c r="H4036" t="inlineStr">
        <is>
          <t>UPI</t>
        </is>
      </c>
      <c r="I4036" t="inlineStr">
        <is>
          <t>Delivered</t>
        </is>
      </c>
      <c r="J4036" t="n">
        <v>116</v>
      </c>
      <c r="K4036" t="n">
        <v>1</v>
      </c>
      <c r="L4036" t="n">
        <v>2624</v>
      </c>
      <c r="M4036" t="n">
        <v>0</v>
      </c>
      <c r="N4036">
        <f>VLOOKUP(J4036,Products!$A$2:$C$49,3,FALSE)</f>
        <v/>
      </c>
      <c r="O4036">
        <f>K4036*L4036-M4036</f>
        <v/>
      </c>
      <c r="P4036">
        <f>TEXT(B4036,"yyyy-mm")</f>
        <v/>
      </c>
      <c r="Q4036">
        <f>IF(O4036&gt;=3000,"Large","Small")</f>
        <v/>
      </c>
      <c r="R4036">
        <f>INDEX(Products!$F$2:$F$49,MATCH(J4036,Products!$A$2:$A$49,0))</f>
        <v/>
      </c>
      <c r="S4036">
        <f>WEEKDAY(B4036,2)</f>
        <v/>
      </c>
    </row>
    <row r="4037">
      <c r="A4037" t="n">
        <v>511587</v>
      </c>
      <c r="B4037" s="6" t="n">
        <v>46010</v>
      </c>
      <c r="C4037" t="n">
        <v>17062</v>
      </c>
      <c r="D4037" t="inlineStr">
        <is>
          <t>Indore</t>
        </is>
      </c>
      <c r="E4037" t="inlineStr">
        <is>
          <t>West</t>
        </is>
      </c>
      <c r="F4037" t="inlineStr">
        <is>
          <t>Paid Search</t>
        </is>
      </c>
      <c r="G4037" t="inlineStr">
        <is>
          <t>Mobile App</t>
        </is>
      </c>
      <c r="H4037" t="inlineStr">
        <is>
          <t>UPI</t>
        </is>
      </c>
      <c r="I4037" t="inlineStr">
        <is>
          <t>Delivered</t>
        </is>
      </c>
      <c r="J4037" t="n">
        <v>124</v>
      </c>
      <c r="K4037" t="n">
        <v>1</v>
      </c>
      <c r="L4037" t="n">
        <v>1154</v>
      </c>
      <c r="M4037" t="n">
        <v>0</v>
      </c>
      <c r="N4037">
        <f>VLOOKUP(J4037,Products!$A$2:$C$49,3,FALSE)</f>
        <v/>
      </c>
      <c r="O4037">
        <f>K4037*L4037-M4037</f>
        <v/>
      </c>
      <c r="P4037">
        <f>TEXT(B4037,"yyyy-mm")</f>
        <v/>
      </c>
      <c r="Q4037">
        <f>IF(O4037&gt;=3000,"Large","Small")</f>
        <v/>
      </c>
      <c r="R4037">
        <f>INDEX(Products!$F$2:$F$49,MATCH(J4037,Products!$A$2:$A$49,0))</f>
        <v/>
      </c>
      <c r="S4037">
        <f>WEEKDAY(B4037,2)</f>
        <v/>
      </c>
    </row>
    <row r="4038">
      <c r="A4038" t="n">
        <v>511588</v>
      </c>
      <c r="B4038" s="6" t="n">
        <v>46010</v>
      </c>
      <c r="C4038" t="n">
        <v>17706</v>
      </c>
      <c r="D4038" t="inlineStr">
        <is>
          <t>Chennai</t>
        </is>
      </c>
      <c r="E4038" t="inlineStr">
        <is>
          <t>South</t>
        </is>
      </c>
      <c r="F4038" t="inlineStr">
        <is>
          <t>Referral</t>
        </is>
      </c>
      <c r="G4038" t="inlineStr">
        <is>
          <t>Mobile App</t>
        </is>
      </c>
      <c r="H4038" t="inlineStr">
        <is>
          <t>Debit Card</t>
        </is>
      </c>
      <c r="I4038" t="inlineStr">
        <is>
          <t>Delivered</t>
        </is>
      </c>
      <c r="J4038" t="n">
        <v>114</v>
      </c>
      <c r="K4038" t="n">
        <v>1</v>
      </c>
      <c r="L4038" t="n">
        <v>1259</v>
      </c>
      <c r="M4038" t="n">
        <v>0</v>
      </c>
      <c r="N4038">
        <f>VLOOKUP(J4038,Products!$A$2:$C$49,3,FALSE)</f>
        <v/>
      </c>
      <c r="O4038">
        <f>K4038*L4038-M4038</f>
        <v/>
      </c>
      <c r="P4038">
        <f>TEXT(B4038,"yyyy-mm")</f>
        <v/>
      </c>
      <c r="Q4038">
        <f>IF(O4038&gt;=3000,"Large","Small")</f>
        <v/>
      </c>
      <c r="R4038">
        <f>INDEX(Products!$F$2:$F$49,MATCH(J4038,Products!$A$2:$A$49,0))</f>
        <v/>
      </c>
      <c r="S4038">
        <f>WEEKDAY(B4038,2)</f>
        <v/>
      </c>
    </row>
    <row r="4039">
      <c r="A4039" t="n">
        <v>511589</v>
      </c>
      <c r="B4039" s="6" t="n">
        <v>46010</v>
      </c>
      <c r="C4039" t="n">
        <v>17750</v>
      </c>
      <c r="D4039" t="inlineStr">
        <is>
          <t>Chennai</t>
        </is>
      </c>
      <c r="E4039" t="inlineStr">
        <is>
          <t>South</t>
        </is>
      </c>
      <c r="F4039" t="inlineStr">
        <is>
          <t>Paid Search</t>
        </is>
      </c>
      <c r="G4039" t="inlineStr">
        <is>
          <t>Mobile Web</t>
        </is>
      </c>
      <c r="H4039" t="inlineStr">
        <is>
          <t>UPI</t>
        </is>
      </c>
      <c r="I4039" t="inlineStr">
        <is>
          <t>Delivered</t>
        </is>
      </c>
      <c r="J4039" t="n">
        <v>116</v>
      </c>
      <c r="K4039" t="n">
        <v>1</v>
      </c>
      <c r="L4039" t="n">
        <v>2624</v>
      </c>
      <c r="M4039" t="n">
        <v>393.6</v>
      </c>
      <c r="N4039">
        <f>VLOOKUP(J4039,Products!$A$2:$C$49,3,FALSE)</f>
        <v/>
      </c>
      <c r="O4039">
        <f>K4039*L4039-M4039</f>
        <v/>
      </c>
      <c r="P4039">
        <f>TEXT(B4039,"yyyy-mm")</f>
        <v/>
      </c>
      <c r="Q4039">
        <f>IF(O4039&gt;=3000,"Large","Small")</f>
        <v/>
      </c>
      <c r="R4039">
        <f>INDEX(Products!$F$2:$F$49,MATCH(J4039,Products!$A$2:$A$49,0))</f>
        <v/>
      </c>
      <c r="S4039">
        <f>WEEKDAY(B4039,2)</f>
        <v/>
      </c>
    </row>
    <row r="4040">
      <c r="A4040" t="n">
        <v>511589</v>
      </c>
      <c r="B4040" s="6" t="n">
        <v>46010</v>
      </c>
      <c r="C4040" t="n">
        <v>17750</v>
      </c>
      <c r="D4040" t="inlineStr">
        <is>
          <t>Chennai</t>
        </is>
      </c>
      <c r="E4040" t="inlineStr">
        <is>
          <t>South</t>
        </is>
      </c>
      <c r="F4040" t="inlineStr">
        <is>
          <t>Paid Search</t>
        </is>
      </c>
      <c r="G4040" t="inlineStr">
        <is>
          <t>Mobile Web</t>
        </is>
      </c>
      <c r="H4040" t="inlineStr">
        <is>
          <t>UPI</t>
        </is>
      </c>
      <c r="I4040" t="inlineStr">
        <is>
          <t>Delivered</t>
        </is>
      </c>
      <c r="J4040" t="n">
        <v>117</v>
      </c>
      <c r="K4040" t="n">
        <v>1</v>
      </c>
      <c r="L4040" t="n">
        <v>3149</v>
      </c>
      <c r="M4040" t="n">
        <v>472.35</v>
      </c>
      <c r="N4040">
        <f>VLOOKUP(J4040,Products!$A$2:$C$49,3,FALSE)</f>
        <v/>
      </c>
      <c r="O4040">
        <f>K4040*L4040-M4040</f>
        <v/>
      </c>
      <c r="P4040">
        <f>TEXT(B4040,"yyyy-mm")</f>
        <v/>
      </c>
      <c r="Q4040">
        <f>IF(O4040&gt;=3000,"Large","Small")</f>
        <v/>
      </c>
      <c r="R4040">
        <f>INDEX(Products!$F$2:$F$49,MATCH(J4040,Products!$A$2:$A$49,0))</f>
        <v/>
      </c>
      <c r="S4040">
        <f>WEEKDAY(B4040,2)</f>
        <v/>
      </c>
    </row>
    <row r="4041">
      <c r="A4041" t="n">
        <v>511589</v>
      </c>
      <c r="B4041" s="6" t="n">
        <v>46010</v>
      </c>
      <c r="C4041" t="n">
        <v>17750</v>
      </c>
      <c r="D4041" t="inlineStr">
        <is>
          <t>Chennai</t>
        </is>
      </c>
      <c r="E4041" t="inlineStr">
        <is>
          <t>South</t>
        </is>
      </c>
      <c r="F4041" t="inlineStr">
        <is>
          <t>Paid Search</t>
        </is>
      </c>
      <c r="G4041" t="inlineStr">
        <is>
          <t>Mobile Web</t>
        </is>
      </c>
      <c r="H4041" t="inlineStr">
        <is>
          <t>UPI</t>
        </is>
      </c>
      <c r="I4041" t="inlineStr">
        <is>
          <t>Delivered</t>
        </is>
      </c>
      <c r="J4041" t="n">
        <v>105</v>
      </c>
      <c r="K4041" t="n">
        <v>1</v>
      </c>
      <c r="L4041" t="n">
        <v>2414</v>
      </c>
      <c r="M4041" t="n">
        <v>362.1</v>
      </c>
      <c r="N4041">
        <f>VLOOKUP(J4041,Products!$A$2:$C$49,3,FALSE)</f>
        <v/>
      </c>
      <c r="O4041">
        <f>K4041*L4041-M4041</f>
        <v/>
      </c>
      <c r="P4041">
        <f>TEXT(B4041,"yyyy-mm")</f>
        <v/>
      </c>
      <c r="Q4041">
        <f>IF(O4041&gt;=3000,"Large","Small")</f>
        <v/>
      </c>
      <c r="R4041">
        <f>INDEX(Products!$F$2:$F$49,MATCH(J4041,Products!$A$2:$A$49,0))</f>
        <v/>
      </c>
      <c r="S4041">
        <f>WEEKDAY(B4041,2)</f>
        <v/>
      </c>
    </row>
    <row r="4042">
      <c r="A4042" t="n">
        <v>511589</v>
      </c>
      <c r="B4042" s="6" t="n">
        <v>46010</v>
      </c>
      <c r="C4042" t="n">
        <v>17750</v>
      </c>
      <c r="D4042" t="inlineStr">
        <is>
          <t>Chennai</t>
        </is>
      </c>
      <c r="E4042" t="inlineStr">
        <is>
          <t>South</t>
        </is>
      </c>
      <c r="F4042" t="inlineStr">
        <is>
          <t>Paid Search</t>
        </is>
      </c>
      <c r="G4042" t="inlineStr">
        <is>
          <t>Mobile Web</t>
        </is>
      </c>
      <c r="H4042" t="inlineStr">
        <is>
          <t>UPI</t>
        </is>
      </c>
      <c r="I4042" t="inlineStr">
        <is>
          <t>Delivered</t>
        </is>
      </c>
      <c r="J4042" t="n">
        <v>129</v>
      </c>
      <c r="K4042" t="n">
        <v>2</v>
      </c>
      <c r="L4042" t="n">
        <v>576</v>
      </c>
      <c r="M4042" t="n">
        <v>172.8</v>
      </c>
      <c r="N4042">
        <f>VLOOKUP(J4042,Products!$A$2:$C$49,3,FALSE)</f>
        <v/>
      </c>
      <c r="O4042">
        <f>K4042*L4042-M4042</f>
        <v/>
      </c>
      <c r="P4042">
        <f>TEXT(B4042,"yyyy-mm")</f>
        <v/>
      </c>
      <c r="Q4042">
        <f>IF(O4042&gt;=3000,"Large","Small")</f>
        <v/>
      </c>
      <c r="R4042">
        <f>INDEX(Products!$F$2:$F$49,MATCH(J4042,Products!$A$2:$A$49,0))</f>
        <v/>
      </c>
      <c r="S4042">
        <f>WEEKDAY(B4042,2)</f>
        <v/>
      </c>
    </row>
    <row r="4043">
      <c r="A4043" t="n">
        <v>511590</v>
      </c>
      <c r="B4043" s="6" t="n">
        <v>46010</v>
      </c>
      <c r="C4043" t="n">
        <v>17304</v>
      </c>
      <c r="D4043" t="inlineStr">
        <is>
          <t>Pune</t>
        </is>
      </c>
      <c r="E4043" t="inlineStr">
        <is>
          <t>West</t>
        </is>
      </c>
      <c r="F4043" t="inlineStr">
        <is>
          <t>Referral</t>
        </is>
      </c>
      <c r="G4043" t="inlineStr">
        <is>
          <t>Mobile Web</t>
        </is>
      </c>
      <c r="H4043" t="inlineStr">
        <is>
          <t>Credit Card</t>
        </is>
      </c>
      <c r="I4043" t="inlineStr">
        <is>
          <t>Delivered</t>
        </is>
      </c>
      <c r="J4043" t="n">
        <v>142</v>
      </c>
      <c r="K4043" t="n">
        <v>1</v>
      </c>
      <c r="L4043" t="n">
        <v>839</v>
      </c>
      <c r="M4043" t="n">
        <v>0</v>
      </c>
      <c r="N4043">
        <f>VLOOKUP(J4043,Products!$A$2:$C$49,3,FALSE)</f>
        <v/>
      </c>
      <c r="O4043">
        <f>K4043*L4043-M4043</f>
        <v/>
      </c>
      <c r="P4043">
        <f>TEXT(B4043,"yyyy-mm")</f>
        <v/>
      </c>
      <c r="Q4043">
        <f>IF(O4043&gt;=3000,"Large","Small")</f>
        <v/>
      </c>
      <c r="R4043">
        <f>INDEX(Products!$F$2:$F$49,MATCH(J4043,Products!$A$2:$A$49,0))</f>
        <v/>
      </c>
      <c r="S4043">
        <f>WEEKDAY(B4043,2)</f>
        <v/>
      </c>
    </row>
    <row r="4044">
      <c r="A4044" t="n">
        <v>511590</v>
      </c>
      <c r="B4044" s="6" t="n">
        <v>46010</v>
      </c>
      <c r="C4044" t="n">
        <v>17304</v>
      </c>
      <c r="D4044" t="inlineStr">
        <is>
          <t>Pune</t>
        </is>
      </c>
      <c r="E4044" t="inlineStr">
        <is>
          <t>West</t>
        </is>
      </c>
      <c r="F4044" t="inlineStr">
        <is>
          <t>Referral</t>
        </is>
      </c>
      <c r="G4044" t="inlineStr">
        <is>
          <t>Mobile Web</t>
        </is>
      </c>
      <c r="H4044" t="inlineStr">
        <is>
          <t>Credit Card</t>
        </is>
      </c>
      <c r="I4044" t="inlineStr">
        <is>
          <t>Delivered</t>
        </is>
      </c>
      <c r="J4044" t="n">
        <v>113</v>
      </c>
      <c r="K4044" t="n">
        <v>1</v>
      </c>
      <c r="L4044" t="n">
        <v>1364</v>
      </c>
      <c r="M4044" t="n">
        <v>0</v>
      </c>
      <c r="N4044">
        <f>VLOOKUP(J4044,Products!$A$2:$C$49,3,FALSE)</f>
        <v/>
      </c>
      <c r="O4044">
        <f>K4044*L4044-M4044</f>
        <v/>
      </c>
      <c r="P4044">
        <f>TEXT(B4044,"yyyy-mm")</f>
        <v/>
      </c>
      <c r="Q4044">
        <f>IF(O4044&gt;=3000,"Large","Small")</f>
        <v/>
      </c>
      <c r="R4044">
        <f>INDEX(Products!$F$2:$F$49,MATCH(J4044,Products!$A$2:$A$49,0))</f>
        <v/>
      </c>
      <c r="S4044">
        <f>WEEKDAY(B4044,2)</f>
        <v/>
      </c>
    </row>
    <row r="4045">
      <c r="A4045" t="n">
        <v>511590</v>
      </c>
      <c r="B4045" s="6" t="n">
        <v>46010</v>
      </c>
      <c r="C4045" t="n">
        <v>17304</v>
      </c>
      <c r="D4045" t="inlineStr">
        <is>
          <t>Pune</t>
        </is>
      </c>
      <c r="E4045" t="inlineStr">
        <is>
          <t>West</t>
        </is>
      </c>
      <c r="F4045" t="inlineStr">
        <is>
          <t>Referral</t>
        </is>
      </c>
      <c r="G4045" t="inlineStr">
        <is>
          <t>Mobile Web</t>
        </is>
      </c>
      <c r="H4045" t="inlineStr">
        <is>
          <t>Credit Card</t>
        </is>
      </c>
      <c r="I4045" t="inlineStr">
        <is>
          <t>Delivered</t>
        </is>
      </c>
      <c r="J4045" t="n">
        <v>105</v>
      </c>
      <c r="K4045" t="n">
        <v>2</v>
      </c>
      <c r="L4045" t="n">
        <v>2414</v>
      </c>
      <c r="M4045" t="n">
        <v>0</v>
      </c>
      <c r="N4045">
        <f>VLOOKUP(J4045,Products!$A$2:$C$49,3,FALSE)</f>
        <v/>
      </c>
      <c r="O4045">
        <f>K4045*L4045-M4045</f>
        <v/>
      </c>
      <c r="P4045">
        <f>TEXT(B4045,"yyyy-mm")</f>
        <v/>
      </c>
      <c r="Q4045">
        <f>IF(O4045&gt;=3000,"Large","Small")</f>
        <v/>
      </c>
      <c r="R4045">
        <f>INDEX(Products!$F$2:$F$49,MATCH(J4045,Products!$A$2:$A$49,0))</f>
        <v/>
      </c>
      <c r="S4045">
        <f>WEEKDAY(B4045,2)</f>
        <v/>
      </c>
    </row>
    <row r="4046">
      <c r="A4046" t="n">
        <v>511590</v>
      </c>
      <c r="B4046" s="6" t="n">
        <v>46010</v>
      </c>
      <c r="C4046" t="n">
        <v>17304</v>
      </c>
      <c r="D4046" t="inlineStr">
        <is>
          <t>Pune</t>
        </is>
      </c>
      <c r="E4046" t="inlineStr">
        <is>
          <t>West</t>
        </is>
      </c>
      <c r="F4046" t="inlineStr">
        <is>
          <t>Referral</t>
        </is>
      </c>
      <c r="G4046" t="inlineStr">
        <is>
          <t>Mobile Web</t>
        </is>
      </c>
      <c r="H4046" t="inlineStr">
        <is>
          <t>Credit Card</t>
        </is>
      </c>
      <c r="I4046" t="inlineStr">
        <is>
          <t>Delivered</t>
        </is>
      </c>
      <c r="J4046" t="n">
        <v>116</v>
      </c>
      <c r="K4046" t="n">
        <v>1</v>
      </c>
      <c r="L4046" t="n">
        <v>2624</v>
      </c>
      <c r="M4046" t="n">
        <v>0</v>
      </c>
      <c r="N4046">
        <f>VLOOKUP(J4046,Products!$A$2:$C$49,3,FALSE)</f>
        <v/>
      </c>
      <c r="O4046">
        <f>K4046*L4046-M4046</f>
        <v/>
      </c>
      <c r="P4046">
        <f>TEXT(B4046,"yyyy-mm")</f>
        <v/>
      </c>
      <c r="Q4046">
        <f>IF(O4046&gt;=3000,"Large","Small")</f>
        <v/>
      </c>
      <c r="R4046">
        <f>INDEX(Products!$F$2:$F$49,MATCH(J4046,Products!$A$2:$A$49,0))</f>
        <v/>
      </c>
      <c r="S4046">
        <f>WEEKDAY(B4046,2)</f>
        <v/>
      </c>
    </row>
    <row r="4047">
      <c r="A4047" t="n">
        <v>511591</v>
      </c>
      <c r="B4047" s="6" t="n">
        <v>46010</v>
      </c>
      <c r="C4047" t="n">
        <v>17756</v>
      </c>
      <c r="D4047" t="inlineStr">
        <is>
          <t>Bengaluru</t>
        </is>
      </c>
      <c r="E4047" t="inlineStr">
        <is>
          <t>South</t>
        </is>
      </c>
      <c r="F4047" t="inlineStr">
        <is>
          <t>Referral</t>
        </is>
      </c>
      <c r="G4047" t="inlineStr">
        <is>
          <t>Mobile App</t>
        </is>
      </c>
      <c r="H4047" t="inlineStr">
        <is>
          <t>UPI</t>
        </is>
      </c>
      <c r="I4047" t="inlineStr">
        <is>
          <t>Delivered</t>
        </is>
      </c>
      <c r="J4047" t="n">
        <v>138</v>
      </c>
      <c r="K4047" t="n">
        <v>1</v>
      </c>
      <c r="L4047" t="n">
        <v>419</v>
      </c>
      <c r="M4047" t="n">
        <v>0</v>
      </c>
      <c r="N4047">
        <f>VLOOKUP(J4047,Products!$A$2:$C$49,3,FALSE)</f>
        <v/>
      </c>
      <c r="O4047">
        <f>K4047*L4047-M4047</f>
        <v/>
      </c>
      <c r="P4047">
        <f>TEXT(B4047,"yyyy-mm")</f>
        <v/>
      </c>
      <c r="Q4047">
        <f>IF(O4047&gt;=3000,"Large","Small")</f>
        <v/>
      </c>
      <c r="R4047">
        <f>INDEX(Products!$F$2:$F$49,MATCH(J4047,Products!$A$2:$A$49,0))</f>
        <v/>
      </c>
      <c r="S4047">
        <f>WEEKDAY(B4047,2)</f>
        <v/>
      </c>
    </row>
    <row r="4048">
      <c r="A4048" t="n">
        <v>511591</v>
      </c>
      <c r="B4048" s="6" t="n">
        <v>46010</v>
      </c>
      <c r="C4048" t="n">
        <v>17756</v>
      </c>
      <c r="D4048" t="inlineStr">
        <is>
          <t>Bengaluru</t>
        </is>
      </c>
      <c r="E4048" t="inlineStr">
        <is>
          <t>South</t>
        </is>
      </c>
      <c r="F4048" t="inlineStr">
        <is>
          <t>Referral</t>
        </is>
      </c>
      <c r="G4048" t="inlineStr">
        <is>
          <t>Mobile App</t>
        </is>
      </c>
      <c r="H4048" t="inlineStr">
        <is>
          <t>UPI</t>
        </is>
      </c>
      <c r="I4048" t="inlineStr">
        <is>
          <t>Delivered</t>
        </is>
      </c>
      <c r="J4048" t="n">
        <v>111</v>
      </c>
      <c r="K4048" t="n">
        <v>1</v>
      </c>
      <c r="L4048" t="n">
        <v>524</v>
      </c>
      <c r="M4048" t="n">
        <v>0</v>
      </c>
      <c r="N4048">
        <f>VLOOKUP(J4048,Products!$A$2:$C$49,3,FALSE)</f>
        <v/>
      </c>
      <c r="O4048">
        <f>K4048*L4048-M4048</f>
        <v/>
      </c>
      <c r="P4048">
        <f>TEXT(B4048,"yyyy-mm")</f>
        <v/>
      </c>
      <c r="Q4048">
        <f>IF(O4048&gt;=3000,"Large","Small")</f>
        <v/>
      </c>
      <c r="R4048">
        <f>INDEX(Products!$F$2:$F$49,MATCH(J4048,Products!$A$2:$A$49,0))</f>
        <v/>
      </c>
      <c r="S4048">
        <f>WEEKDAY(B4048,2)</f>
        <v/>
      </c>
    </row>
    <row r="4049">
      <c r="A4049" t="n">
        <v>511592</v>
      </c>
      <c r="B4049" s="6" t="n">
        <v>46010</v>
      </c>
      <c r="C4049" t="n">
        <v>14082</v>
      </c>
      <c r="D4049" t="inlineStr">
        <is>
          <t>Delhi</t>
        </is>
      </c>
      <c r="E4049" t="inlineStr">
        <is>
          <t>North</t>
        </is>
      </c>
      <c r="F4049" t="inlineStr">
        <is>
          <t>Paid Social</t>
        </is>
      </c>
      <c r="G4049" t="inlineStr">
        <is>
          <t>Desktop</t>
        </is>
      </c>
      <c r="H4049" t="inlineStr">
        <is>
          <t>Cash on Delivery</t>
        </is>
      </c>
      <c r="I4049" t="inlineStr">
        <is>
          <t>Returned</t>
        </is>
      </c>
      <c r="J4049" t="n">
        <v>123</v>
      </c>
      <c r="K4049" t="n">
        <v>1</v>
      </c>
      <c r="L4049" t="n">
        <v>3464</v>
      </c>
      <c r="M4049" t="n">
        <v>0</v>
      </c>
      <c r="N4049">
        <f>VLOOKUP(J4049,Products!$A$2:$C$49,3,FALSE)</f>
        <v/>
      </c>
      <c r="O4049">
        <f>K4049*L4049-M4049</f>
        <v/>
      </c>
      <c r="P4049">
        <f>TEXT(B4049,"yyyy-mm")</f>
        <v/>
      </c>
      <c r="Q4049">
        <f>IF(O4049&gt;=3000,"Large","Small")</f>
        <v/>
      </c>
      <c r="R4049">
        <f>INDEX(Products!$F$2:$F$49,MATCH(J4049,Products!$A$2:$A$49,0))</f>
        <v/>
      </c>
      <c r="S4049">
        <f>WEEKDAY(B4049,2)</f>
        <v/>
      </c>
    </row>
    <row r="4050">
      <c r="A4050" t="n">
        <v>511592</v>
      </c>
      <c r="B4050" s="6" t="n">
        <v>46010</v>
      </c>
      <c r="C4050" t="n">
        <v>14082</v>
      </c>
      <c r="D4050" t="inlineStr">
        <is>
          <t>Delhi</t>
        </is>
      </c>
      <c r="E4050" t="inlineStr">
        <is>
          <t>North</t>
        </is>
      </c>
      <c r="F4050" t="inlineStr">
        <is>
          <t>Paid Social</t>
        </is>
      </c>
      <c r="G4050" t="inlineStr">
        <is>
          <t>Desktop</t>
        </is>
      </c>
      <c r="H4050" t="inlineStr">
        <is>
          <t>Cash on Delivery</t>
        </is>
      </c>
      <c r="I4050" t="inlineStr">
        <is>
          <t>Returned</t>
        </is>
      </c>
      <c r="J4050" t="n">
        <v>118</v>
      </c>
      <c r="K4050" t="n">
        <v>2</v>
      </c>
      <c r="L4050" t="n">
        <v>944</v>
      </c>
      <c r="M4050" t="n">
        <v>0</v>
      </c>
      <c r="N4050">
        <f>VLOOKUP(J4050,Products!$A$2:$C$49,3,FALSE)</f>
        <v/>
      </c>
      <c r="O4050">
        <f>K4050*L4050-M4050</f>
        <v/>
      </c>
      <c r="P4050">
        <f>TEXT(B4050,"yyyy-mm")</f>
        <v/>
      </c>
      <c r="Q4050">
        <f>IF(O4050&gt;=3000,"Large","Small")</f>
        <v/>
      </c>
      <c r="R4050">
        <f>INDEX(Products!$F$2:$F$49,MATCH(J4050,Products!$A$2:$A$49,0))</f>
        <v/>
      </c>
      <c r="S4050">
        <f>WEEKDAY(B4050,2)</f>
        <v/>
      </c>
    </row>
    <row r="4051">
      <c r="A4051" t="n">
        <v>511593</v>
      </c>
      <c r="B4051" s="6" t="n">
        <v>46010</v>
      </c>
      <c r="C4051" t="n">
        <v>17807</v>
      </c>
      <c r="D4051" t="inlineStr">
        <is>
          <t>Kolkata</t>
        </is>
      </c>
      <c r="E4051" t="inlineStr">
        <is>
          <t>East</t>
        </is>
      </c>
      <c r="F4051" t="inlineStr">
        <is>
          <t>Organic Search</t>
        </is>
      </c>
      <c r="G4051" t="inlineStr">
        <is>
          <t>Mobile App</t>
        </is>
      </c>
      <c r="H4051" t="inlineStr">
        <is>
          <t>UPI</t>
        </is>
      </c>
      <c r="I4051" t="inlineStr">
        <is>
          <t>Delivered</t>
        </is>
      </c>
      <c r="J4051" t="n">
        <v>109</v>
      </c>
      <c r="K4051" t="n">
        <v>1</v>
      </c>
      <c r="L4051" t="n">
        <v>4199</v>
      </c>
      <c r="M4051" t="n">
        <v>0</v>
      </c>
      <c r="N4051">
        <f>VLOOKUP(J4051,Products!$A$2:$C$49,3,FALSE)</f>
        <v/>
      </c>
      <c r="O4051">
        <f>K4051*L4051-M4051</f>
        <v/>
      </c>
      <c r="P4051">
        <f>TEXT(B4051,"yyyy-mm")</f>
        <v/>
      </c>
      <c r="Q4051">
        <f>IF(O4051&gt;=3000,"Large","Small")</f>
        <v/>
      </c>
      <c r="R4051">
        <f>INDEX(Products!$F$2:$F$49,MATCH(J4051,Products!$A$2:$A$49,0))</f>
        <v/>
      </c>
      <c r="S4051">
        <f>WEEKDAY(B4051,2)</f>
        <v/>
      </c>
    </row>
    <row r="4052">
      <c r="A4052" t="n">
        <v>511593</v>
      </c>
      <c r="B4052" s="6" t="n">
        <v>46010</v>
      </c>
      <c r="C4052" t="n">
        <v>17807</v>
      </c>
      <c r="D4052" t="inlineStr">
        <is>
          <t>Kolkata</t>
        </is>
      </c>
      <c r="E4052" t="inlineStr">
        <is>
          <t>East</t>
        </is>
      </c>
      <c r="F4052" t="inlineStr">
        <is>
          <t>Organic Search</t>
        </is>
      </c>
      <c r="G4052" t="inlineStr">
        <is>
          <t>Mobile App</t>
        </is>
      </c>
      <c r="H4052" t="inlineStr">
        <is>
          <t>UPI</t>
        </is>
      </c>
      <c r="I4052" t="inlineStr">
        <is>
          <t>Delivered</t>
        </is>
      </c>
      <c r="J4052" t="n">
        <v>147</v>
      </c>
      <c r="K4052" t="n">
        <v>1</v>
      </c>
      <c r="L4052" t="n">
        <v>1364</v>
      </c>
      <c r="M4052" t="n">
        <v>0</v>
      </c>
      <c r="N4052">
        <f>VLOOKUP(J4052,Products!$A$2:$C$49,3,FALSE)</f>
        <v/>
      </c>
      <c r="O4052">
        <f>K4052*L4052-M4052</f>
        <v/>
      </c>
      <c r="P4052">
        <f>TEXT(B4052,"yyyy-mm")</f>
        <v/>
      </c>
      <c r="Q4052">
        <f>IF(O4052&gt;=3000,"Large","Small")</f>
        <v/>
      </c>
      <c r="R4052">
        <f>INDEX(Products!$F$2:$F$49,MATCH(J4052,Products!$A$2:$A$49,0))</f>
        <v/>
      </c>
      <c r="S4052">
        <f>WEEKDAY(B4052,2)</f>
        <v/>
      </c>
    </row>
    <row r="4053">
      <c r="A4053" t="n">
        <v>511593</v>
      </c>
      <c r="B4053" s="6" t="n">
        <v>46010</v>
      </c>
      <c r="C4053" t="n">
        <v>17807</v>
      </c>
      <c r="D4053" t="inlineStr">
        <is>
          <t>Kolkata</t>
        </is>
      </c>
      <c r="E4053" t="inlineStr">
        <is>
          <t>East</t>
        </is>
      </c>
      <c r="F4053" t="inlineStr">
        <is>
          <t>Organic Search</t>
        </is>
      </c>
      <c r="G4053" t="inlineStr">
        <is>
          <t>Mobile App</t>
        </is>
      </c>
      <c r="H4053" t="inlineStr">
        <is>
          <t>UPI</t>
        </is>
      </c>
      <c r="I4053" t="inlineStr">
        <is>
          <t>Delivered</t>
        </is>
      </c>
      <c r="J4053" t="n">
        <v>118</v>
      </c>
      <c r="K4053" t="n">
        <v>1</v>
      </c>
      <c r="L4053" t="n">
        <v>944</v>
      </c>
      <c r="M4053" t="n">
        <v>0</v>
      </c>
      <c r="N4053">
        <f>VLOOKUP(J4053,Products!$A$2:$C$49,3,FALSE)</f>
        <v/>
      </c>
      <c r="O4053">
        <f>K4053*L4053-M4053</f>
        <v/>
      </c>
      <c r="P4053">
        <f>TEXT(B4053,"yyyy-mm")</f>
        <v/>
      </c>
      <c r="Q4053">
        <f>IF(O4053&gt;=3000,"Large","Small")</f>
        <v/>
      </c>
      <c r="R4053">
        <f>INDEX(Products!$F$2:$F$49,MATCH(J4053,Products!$A$2:$A$49,0))</f>
        <v/>
      </c>
      <c r="S4053">
        <f>WEEKDAY(B4053,2)</f>
        <v/>
      </c>
    </row>
    <row r="4054">
      <c r="A4054" t="n">
        <v>511594</v>
      </c>
      <c r="B4054" s="6" t="n">
        <v>46010</v>
      </c>
      <c r="C4054" t="n">
        <v>16463</v>
      </c>
      <c r="D4054" t="inlineStr">
        <is>
          <t>Kolkata</t>
        </is>
      </c>
      <c r="E4054" t="inlineStr">
        <is>
          <t>East</t>
        </is>
      </c>
      <c r="F4054" t="inlineStr">
        <is>
          <t>Organic Search</t>
        </is>
      </c>
      <c r="G4054" t="inlineStr">
        <is>
          <t>Mobile App</t>
        </is>
      </c>
      <c r="H4054" t="inlineStr">
        <is>
          <t>Credit Card</t>
        </is>
      </c>
      <c r="I4054" t="inlineStr">
        <is>
          <t>Delivered</t>
        </is>
      </c>
      <c r="J4054" t="n">
        <v>135</v>
      </c>
      <c r="K4054" t="n">
        <v>1</v>
      </c>
      <c r="L4054" t="n">
        <v>1574</v>
      </c>
      <c r="M4054" t="n">
        <v>0</v>
      </c>
      <c r="N4054">
        <f>VLOOKUP(J4054,Products!$A$2:$C$49,3,FALSE)</f>
        <v/>
      </c>
      <c r="O4054">
        <f>K4054*L4054-M4054</f>
        <v/>
      </c>
      <c r="P4054">
        <f>TEXT(B4054,"yyyy-mm")</f>
        <v/>
      </c>
      <c r="Q4054">
        <f>IF(O4054&gt;=3000,"Large","Small")</f>
        <v/>
      </c>
      <c r="R4054">
        <f>INDEX(Products!$F$2:$F$49,MATCH(J4054,Products!$A$2:$A$49,0))</f>
        <v/>
      </c>
      <c r="S4054">
        <f>WEEKDAY(B4054,2)</f>
        <v/>
      </c>
    </row>
    <row r="4055">
      <c r="A4055" t="n">
        <v>511595</v>
      </c>
      <c r="B4055" s="6" t="n">
        <v>46010</v>
      </c>
      <c r="C4055" t="n">
        <v>17819</v>
      </c>
      <c r="D4055" t="inlineStr">
        <is>
          <t>Chennai</t>
        </is>
      </c>
      <c r="E4055" t="inlineStr">
        <is>
          <t>South</t>
        </is>
      </c>
      <c r="F4055" t="inlineStr">
        <is>
          <t>Paid Search</t>
        </is>
      </c>
      <c r="G4055" t="inlineStr">
        <is>
          <t>Desktop</t>
        </is>
      </c>
      <c r="H4055" t="inlineStr">
        <is>
          <t>UPI</t>
        </is>
      </c>
      <c r="I4055" t="inlineStr">
        <is>
          <t>Cancelled</t>
        </is>
      </c>
      <c r="J4055" t="n">
        <v>141</v>
      </c>
      <c r="K4055" t="n">
        <v>1</v>
      </c>
      <c r="L4055" t="n">
        <v>261</v>
      </c>
      <c r="M4055" t="n">
        <v>39.15</v>
      </c>
      <c r="N4055">
        <f>VLOOKUP(J4055,Products!$A$2:$C$49,3,FALSE)</f>
        <v/>
      </c>
      <c r="O4055">
        <f>K4055*L4055-M4055</f>
        <v/>
      </c>
      <c r="P4055">
        <f>TEXT(B4055,"yyyy-mm")</f>
        <v/>
      </c>
      <c r="Q4055">
        <f>IF(O4055&gt;=3000,"Large","Small")</f>
        <v/>
      </c>
      <c r="R4055">
        <f>INDEX(Products!$F$2:$F$49,MATCH(J4055,Products!$A$2:$A$49,0))</f>
        <v/>
      </c>
      <c r="S4055">
        <f>WEEKDAY(B4055,2)</f>
        <v/>
      </c>
    </row>
    <row r="4056">
      <c r="A4056" t="n">
        <v>511596</v>
      </c>
      <c r="B4056" s="6" t="n">
        <v>46010</v>
      </c>
      <c r="C4056" t="n">
        <v>17801</v>
      </c>
      <c r="D4056" t="inlineStr">
        <is>
          <t>Gurugram</t>
        </is>
      </c>
      <c r="E4056" t="inlineStr">
        <is>
          <t>North</t>
        </is>
      </c>
      <c r="F4056" t="inlineStr">
        <is>
          <t>Organic Search</t>
        </is>
      </c>
      <c r="G4056" t="inlineStr">
        <is>
          <t>Desktop</t>
        </is>
      </c>
      <c r="H4056" t="inlineStr">
        <is>
          <t>UPI</t>
        </is>
      </c>
      <c r="I4056" t="inlineStr">
        <is>
          <t>Delivered</t>
        </is>
      </c>
      <c r="J4056" t="n">
        <v>131</v>
      </c>
      <c r="K4056" t="n">
        <v>1</v>
      </c>
      <c r="L4056" t="n">
        <v>314</v>
      </c>
      <c r="M4056" t="n">
        <v>47.1</v>
      </c>
      <c r="N4056">
        <f>VLOOKUP(J4056,Products!$A$2:$C$49,3,FALSE)</f>
        <v/>
      </c>
      <c r="O4056">
        <f>K4056*L4056-M4056</f>
        <v/>
      </c>
      <c r="P4056">
        <f>TEXT(B4056,"yyyy-mm")</f>
        <v/>
      </c>
      <c r="Q4056">
        <f>IF(O4056&gt;=3000,"Large","Small")</f>
        <v/>
      </c>
      <c r="R4056">
        <f>INDEX(Products!$F$2:$F$49,MATCH(J4056,Products!$A$2:$A$49,0))</f>
        <v/>
      </c>
      <c r="S4056">
        <f>WEEKDAY(B4056,2)</f>
        <v/>
      </c>
    </row>
    <row r="4057">
      <c r="A4057" t="n">
        <v>511597</v>
      </c>
      <c r="B4057" s="6" t="n">
        <v>46010</v>
      </c>
      <c r="C4057" t="n">
        <v>17678</v>
      </c>
      <c r="D4057" t="inlineStr">
        <is>
          <t>Indore</t>
        </is>
      </c>
      <c r="E4057" t="inlineStr">
        <is>
          <t>West</t>
        </is>
      </c>
      <c r="F4057" t="inlineStr">
        <is>
          <t>Paid Search</t>
        </is>
      </c>
      <c r="G4057" t="inlineStr">
        <is>
          <t>Mobile App</t>
        </is>
      </c>
      <c r="H4057" t="inlineStr">
        <is>
          <t>Cash on Delivery</t>
        </is>
      </c>
      <c r="I4057" t="inlineStr">
        <is>
          <t>Delivered</t>
        </is>
      </c>
      <c r="J4057" t="n">
        <v>123</v>
      </c>
      <c r="K4057" t="n">
        <v>1</v>
      </c>
      <c r="L4057" t="n">
        <v>3464</v>
      </c>
      <c r="M4057" t="n">
        <v>0</v>
      </c>
      <c r="N4057">
        <f>VLOOKUP(J4057,Products!$A$2:$C$49,3,FALSE)</f>
        <v/>
      </c>
      <c r="O4057">
        <f>K4057*L4057-M4057</f>
        <v/>
      </c>
      <c r="P4057">
        <f>TEXT(B4057,"yyyy-mm")</f>
        <v/>
      </c>
      <c r="Q4057">
        <f>IF(O4057&gt;=3000,"Large","Small")</f>
        <v/>
      </c>
      <c r="R4057">
        <f>INDEX(Products!$F$2:$F$49,MATCH(J4057,Products!$A$2:$A$49,0))</f>
        <v/>
      </c>
      <c r="S4057">
        <f>WEEKDAY(B4057,2)</f>
        <v/>
      </c>
    </row>
    <row r="4058">
      <c r="A4058" t="n">
        <v>511598</v>
      </c>
      <c r="B4058" s="6" t="n">
        <v>46010</v>
      </c>
      <c r="C4058" t="n">
        <v>15053</v>
      </c>
      <c r="D4058" t="inlineStr">
        <is>
          <t>Mumbai</t>
        </is>
      </c>
      <c r="E4058" t="inlineStr">
        <is>
          <t>West</t>
        </is>
      </c>
      <c r="F4058" t="inlineStr">
        <is>
          <t>Organic Search</t>
        </is>
      </c>
      <c r="G4058" t="inlineStr">
        <is>
          <t>Mobile App</t>
        </is>
      </c>
      <c r="H4058" t="inlineStr">
        <is>
          <t>Cash on Delivery</t>
        </is>
      </c>
      <c r="I4058" t="inlineStr">
        <is>
          <t>Delivered</t>
        </is>
      </c>
      <c r="J4058" t="n">
        <v>135</v>
      </c>
      <c r="K4058" t="n">
        <v>1</v>
      </c>
      <c r="L4058" t="n">
        <v>1574</v>
      </c>
      <c r="M4058" t="n">
        <v>0</v>
      </c>
      <c r="N4058">
        <f>VLOOKUP(J4058,Products!$A$2:$C$49,3,FALSE)</f>
        <v/>
      </c>
      <c r="O4058">
        <f>K4058*L4058-M4058</f>
        <v/>
      </c>
      <c r="P4058">
        <f>TEXT(B4058,"yyyy-mm")</f>
        <v/>
      </c>
      <c r="Q4058">
        <f>IF(O4058&gt;=3000,"Large","Small")</f>
        <v/>
      </c>
      <c r="R4058">
        <f>INDEX(Products!$F$2:$F$49,MATCH(J4058,Products!$A$2:$A$49,0))</f>
        <v/>
      </c>
      <c r="S4058">
        <f>WEEKDAY(B4058,2)</f>
        <v/>
      </c>
    </row>
    <row r="4059">
      <c r="A4059" t="n">
        <v>511598</v>
      </c>
      <c r="B4059" s="6" t="n">
        <v>46010</v>
      </c>
      <c r="C4059" t="n">
        <v>15053</v>
      </c>
      <c r="D4059" t="inlineStr">
        <is>
          <t>Mumbai</t>
        </is>
      </c>
      <c r="E4059" t="inlineStr">
        <is>
          <t>West</t>
        </is>
      </c>
      <c r="F4059" t="inlineStr">
        <is>
          <t>Organic Search</t>
        </is>
      </c>
      <c r="G4059" t="inlineStr">
        <is>
          <t>Mobile App</t>
        </is>
      </c>
      <c r="H4059" t="inlineStr">
        <is>
          <t>Cash on Delivery</t>
        </is>
      </c>
      <c r="I4059" t="inlineStr">
        <is>
          <t>Delivered</t>
        </is>
      </c>
      <c r="J4059" t="n">
        <v>134</v>
      </c>
      <c r="K4059" t="n">
        <v>1</v>
      </c>
      <c r="L4059" t="n">
        <v>209</v>
      </c>
      <c r="M4059" t="n">
        <v>0</v>
      </c>
      <c r="N4059">
        <f>VLOOKUP(J4059,Products!$A$2:$C$49,3,FALSE)</f>
        <v/>
      </c>
      <c r="O4059">
        <f>K4059*L4059-M4059</f>
        <v/>
      </c>
      <c r="P4059">
        <f>TEXT(B4059,"yyyy-mm")</f>
        <v/>
      </c>
      <c r="Q4059">
        <f>IF(O4059&gt;=3000,"Large","Small")</f>
        <v/>
      </c>
      <c r="R4059">
        <f>INDEX(Products!$F$2:$F$49,MATCH(J4059,Products!$A$2:$A$49,0))</f>
        <v/>
      </c>
      <c r="S4059">
        <f>WEEKDAY(B4059,2)</f>
        <v/>
      </c>
    </row>
    <row r="4060">
      <c r="A4060" t="n">
        <v>511599</v>
      </c>
      <c r="B4060" s="6" t="n">
        <v>46010</v>
      </c>
      <c r="C4060" t="n">
        <v>14587</v>
      </c>
      <c r="D4060" t="inlineStr">
        <is>
          <t>Bengaluru</t>
        </is>
      </c>
      <c r="E4060" t="inlineStr">
        <is>
          <t>South</t>
        </is>
      </c>
      <c r="F4060" t="inlineStr">
        <is>
          <t>Referral</t>
        </is>
      </c>
      <c r="G4060" t="inlineStr">
        <is>
          <t>Mobile App</t>
        </is>
      </c>
      <c r="H4060" t="inlineStr">
        <is>
          <t>UPI</t>
        </is>
      </c>
      <c r="I4060" t="inlineStr">
        <is>
          <t>Delivered</t>
        </is>
      </c>
      <c r="J4060" t="n">
        <v>123</v>
      </c>
      <c r="K4060" t="n">
        <v>1</v>
      </c>
      <c r="L4060" t="n">
        <v>3464</v>
      </c>
      <c r="M4060" t="n">
        <v>0</v>
      </c>
      <c r="N4060">
        <f>VLOOKUP(J4060,Products!$A$2:$C$49,3,FALSE)</f>
        <v/>
      </c>
      <c r="O4060">
        <f>K4060*L4060-M4060</f>
        <v/>
      </c>
      <c r="P4060">
        <f>TEXT(B4060,"yyyy-mm")</f>
        <v/>
      </c>
      <c r="Q4060">
        <f>IF(O4060&gt;=3000,"Large","Small")</f>
        <v/>
      </c>
      <c r="R4060">
        <f>INDEX(Products!$F$2:$F$49,MATCH(J4060,Products!$A$2:$A$49,0))</f>
        <v/>
      </c>
      <c r="S4060">
        <f>WEEKDAY(B4060,2)</f>
        <v/>
      </c>
    </row>
    <row r="4061">
      <c r="A4061" t="n">
        <v>511599</v>
      </c>
      <c r="B4061" s="6" t="n">
        <v>46010</v>
      </c>
      <c r="C4061" t="n">
        <v>14587</v>
      </c>
      <c r="D4061" t="inlineStr">
        <is>
          <t>Bengaluru</t>
        </is>
      </c>
      <c r="E4061" t="inlineStr">
        <is>
          <t>South</t>
        </is>
      </c>
      <c r="F4061" t="inlineStr">
        <is>
          <t>Referral</t>
        </is>
      </c>
      <c r="G4061" t="inlineStr">
        <is>
          <t>Mobile App</t>
        </is>
      </c>
      <c r="H4061" t="inlineStr">
        <is>
          <t>UPI</t>
        </is>
      </c>
      <c r="I4061" t="inlineStr">
        <is>
          <t>Delivered</t>
        </is>
      </c>
      <c r="J4061" t="n">
        <v>122</v>
      </c>
      <c r="K4061" t="n">
        <v>1</v>
      </c>
      <c r="L4061" t="n">
        <v>1994</v>
      </c>
      <c r="M4061" t="n">
        <v>0</v>
      </c>
      <c r="N4061">
        <f>VLOOKUP(J4061,Products!$A$2:$C$49,3,FALSE)</f>
        <v/>
      </c>
      <c r="O4061">
        <f>K4061*L4061-M4061</f>
        <v/>
      </c>
      <c r="P4061">
        <f>TEXT(B4061,"yyyy-mm")</f>
        <v/>
      </c>
      <c r="Q4061">
        <f>IF(O4061&gt;=3000,"Large","Small")</f>
        <v/>
      </c>
      <c r="R4061">
        <f>INDEX(Products!$F$2:$F$49,MATCH(J4061,Products!$A$2:$A$49,0))</f>
        <v/>
      </c>
      <c r="S4061">
        <f>WEEKDAY(B4061,2)</f>
        <v/>
      </c>
    </row>
    <row r="4062">
      <c r="A4062" t="n">
        <v>511600</v>
      </c>
      <c r="B4062" s="6" t="n">
        <v>46010</v>
      </c>
      <c r="C4062" t="n">
        <v>13132</v>
      </c>
      <c r="D4062" t="inlineStr">
        <is>
          <t>Hyderabad</t>
        </is>
      </c>
      <c r="E4062" t="inlineStr">
        <is>
          <t>South</t>
        </is>
      </c>
      <c r="F4062" t="inlineStr">
        <is>
          <t>Organic Search</t>
        </is>
      </c>
      <c r="G4062" t="inlineStr">
        <is>
          <t>Mobile App</t>
        </is>
      </c>
      <c r="H4062" t="inlineStr">
        <is>
          <t>UPI</t>
        </is>
      </c>
      <c r="I4062" t="inlineStr">
        <is>
          <t>Delivered</t>
        </is>
      </c>
      <c r="J4062" t="n">
        <v>118</v>
      </c>
      <c r="K4062" t="n">
        <v>1</v>
      </c>
      <c r="L4062" t="n">
        <v>944</v>
      </c>
      <c r="M4062" t="n">
        <v>47.2</v>
      </c>
      <c r="N4062">
        <f>VLOOKUP(J4062,Products!$A$2:$C$49,3,FALSE)</f>
        <v/>
      </c>
      <c r="O4062">
        <f>K4062*L4062-M4062</f>
        <v/>
      </c>
      <c r="P4062">
        <f>TEXT(B4062,"yyyy-mm")</f>
        <v/>
      </c>
      <c r="Q4062">
        <f>IF(O4062&gt;=3000,"Large","Small")</f>
        <v/>
      </c>
      <c r="R4062">
        <f>INDEX(Products!$F$2:$F$49,MATCH(J4062,Products!$A$2:$A$49,0))</f>
        <v/>
      </c>
      <c r="S4062">
        <f>WEEKDAY(B4062,2)</f>
        <v/>
      </c>
    </row>
    <row r="4063">
      <c r="A4063" t="n">
        <v>511601</v>
      </c>
      <c r="B4063" s="6" t="n">
        <v>46010</v>
      </c>
      <c r="C4063" t="n">
        <v>17831</v>
      </c>
      <c r="D4063" t="inlineStr">
        <is>
          <t>Gurugram</t>
        </is>
      </c>
      <c r="E4063" t="inlineStr">
        <is>
          <t>North</t>
        </is>
      </c>
      <c r="F4063" t="inlineStr">
        <is>
          <t>Email</t>
        </is>
      </c>
      <c r="G4063" t="inlineStr">
        <is>
          <t>Mobile App</t>
        </is>
      </c>
      <c r="H4063" t="inlineStr">
        <is>
          <t>UPI</t>
        </is>
      </c>
      <c r="I4063" t="inlineStr">
        <is>
          <t>Returned</t>
        </is>
      </c>
      <c r="J4063" t="n">
        <v>112</v>
      </c>
      <c r="K4063" t="n">
        <v>1</v>
      </c>
      <c r="L4063" t="n">
        <v>1574</v>
      </c>
      <c r="M4063" t="n">
        <v>0</v>
      </c>
      <c r="N4063">
        <f>VLOOKUP(J4063,Products!$A$2:$C$49,3,FALSE)</f>
        <v/>
      </c>
      <c r="O4063">
        <f>K4063*L4063-M4063</f>
        <v/>
      </c>
      <c r="P4063">
        <f>TEXT(B4063,"yyyy-mm")</f>
        <v/>
      </c>
      <c r="Q4063">
        <f>IF(O4063&gt;=3000,"Large","Small")</f>
        <v/>
      </c>
      <c r="R4063">
        <f>INDEX(Products!$F$2:$F$49,MATCH(J4063,Products!$A$2:$A$49,0))</f>
        <v/>
      </c>
      <c r="S4063">
        <f>WEEKDAY(B4063,2)</f>
        <v/>
      </c>
    </row>
    <row r="4064">
      <c r="A4064" t="n">
        <v>511601</v>
      </c>
      <c r="B4064" s="6" t="n">
        <v>46010</v>
      </c>
      <c r="C4064" t="n">
        <v>17831</v>
      </c>
      <c r="D4064" t="inlineStr">
        <is>
          <t>Gurugram</t>
        </is>
      </c>
      <c r="E4064" t="inlineStr">
        <is>
          <t>North</t>
        </is>
      </c>
      <c r="F4064" t="inlineStr">
        <is>
          <t>Email</t>
        </is>
      </c>
      <c r="G4064" t="inlineStr">
        <is>
          <t>Mobile App</t>
        </is>
      </c>
      <c r="H4064" t="inlineStr">
        <is>
          <t>UPI</t>
        </is>
      </c>
      <c r="I4064" t="inlineStr">
        <is>
          <t>Returned</t>
        </is>
      </c>
      <c r="J4064" t="n">
        <v>125</v>
      </c>
      <c r="K4064" t="n">
        <v>2</v>
      </c>
      <c r="L4064" t="n">
        <v>1364</v>
      </c>
      <c r="M4064" t="n">
        <v>0</v>
      </c>
      <c r="N4064">
        <f>VLOOKUP(J4064,Products!$A$2:$C$49,3,FALSE)</f>
        <v/>
      </c>
      <c r="O4064">
        <f>K4064*L4064-M4064</f>
        <v/>
      </c>
      <c r="P4064">
        <f>TEXT(B4064,"yyyy-mm")</f>
        <v/>
      </c>
      <c r="Q4064">
        <f>IF(O4064&gt;=3000,"Large","Small")</f>
        <v/>
      </c>
      <c r="R4064">
        <f>INDEX(Products!$F$2:$F$49,MATCH(J4064,Products!$A$2:$A$49,0))</f>
        <v/>
      </c>
      <c r="S4064">
        <f>WEEKDAY(B4064,2)</f>
        <v/>
      </c>
    </row>
    <row r="4065">
      <c r="A4065" t="n">
        <v>511601</v>
      </c>
      <c r="B4065" s="6" t="n">
        <v>46010</v>
      </c>
      <c r="C4065" t="n">
        <v>17831</v>
      </c>
      <c r="D4065" t="inlineStr">
        <is>
          <t>Gurugram</t>
        </is>
      </c>
      <c r="E4065" t="inlineStr">
        <is>
          <t>North</t>
        </is>
      </c>
      <c r="F4065" t="inlineStr">
        <is>
          <t>Email</t>
        </is>
      </c>
      <c r="G4065" t="inlineStr">
        <is>
          <t>Mobile App</t>
        </is>
      </c>
      <c r="H4065" t="inlineStr">
        <is>
          <t>UPI</t>
        </is>
      </c>
      <c r="I4065" t="inlineStr">
        <is>
          <t>Returned</t>
        </is>
      </c>
      <c r="J4065" t="n">
        <v>118</v>
      </c>
      <c r="K4065" t="n">
        <v>1</v>
      </c>
      <c r="L4065" t="n">
        <v>944</v>
      </c>
      <c r="M4065" t="n">
        <v>0</v>
      </c>
      <c r="N4065">
        <f>VLOOKUP(J4065,Products!$A$2:$C$49,3,FALSE)</f>
        <v/>
      </c>
      <c r="O4065">
        <f>K4065*L4065-M4065</f>
        <v/>
      </c>
      <c r="P4065">
        <f>TEXT(B4065,"yyyy-mm")</f>
        <v/>
      </c>
      <c r="Q4065">
        <f>IF(O4065&gt;=3000,"Large","Small")</f>
        <v/>
      </c>
      <c r="R4065">
        <f>INDEX(Products!$F$2:$F$49,MATCH(J4065,Products!$A$2:$A$49,0))</f>
        <v/>
      </c>
      <c r="S4065">
        <f>WEEKDAY(B4065,2)</f>
        <v/>
      </c>
    </row>
    <row r="4066">
      <c r="A4066" t="n">
        <v>511602</v>
      </c>
      <c r="B4066" s="6" t="n">
        <v>46010</v>
      </c>
      <c r="C4066" t="n">
        <v>16266</v>
      </c>
      <c r="D4066" t="inlineStr">
        <is>
          <t>Delhi</t>
        </is>
      </c>
      <c r="E4066" t="inlineStr">
        <is>
          <t>North</t>
        </is>
      </c>
      <c r="F4066" t="inlineStr">
        <is>
          <t>Organic Search</t>
        </is>
      </c>
      <c r="G4066" t="inlineStr">
        <is>
          <t>Desktop</t>
        </is>
      </c>
      <c r="H4066" t="inlineStr">
        <is>
          <t>UPI</t>
        </is>
      </c>
      <c r="I4066" t="inlineStr">
        <is>
          <t>Returned</t>
        </is>
      </c>
      <c r="J4066" t="n">
        <v>117</v>
      </c>
      <c r="K4066" t="n">
        <v>1</v>
      </c>
      <c r="L4066" t="n">
        <v>3149</v>
      </c>
      <c r="M4066" t="n">
        <v>0</v>
      </c>
      <c r="N4066">
        <f>VLOOKUP(J4066,Products!$A$2:$C$49,3,FALSE)</f>
        <v/>
      </c>
      <c r="O4066">
        <f>K4066*L4066-M4066</f>
        <v/>
      </c>
      <c r="P4066">
        <f>TEXT(B4066,"yyyy-mm")</f>
        <v/>
      </c>
      <c r="Q4066">
        <f>IF(O4066&gt;=3000,"Large","Small")</f>
        <v/>
      </c>
      <c r="R4066">
        <f>INDEX(Products!$F$2:$F$49,MATCH(J4066,Products!$A$2:$A$49,0))</f>
        <v/>
      </c>
      <c r="S4066">
        <f>WEEKDAY(B4066,2)</f>
        <v/>
      </c>
    </row>
    <row r="4067">
      <c r="A4067" t="n">
        <v>511602</v>
      </c>
      <c r="B4067" s="6" t="n">
        <v>46010</v>
      </c>
      <c r="C4067" t="n">
        <v>16266</v>
      </c>
      <c r="D4067" t="inlineStr">
        <is>
          <t>Delhi</t>
        </is>
      </c>
      <c r="E4067" t="inlineStr">
        <is>
          <t>North</t>
        </is>
      </c>
      <c r="F4067" t="inlineStr">
        <is>
          <t>Organic Search</t>
        </is>
      </c>
      <c r="G4067" t="inlineStr">
        <is>
          <t>Desktop</t>
        </is>
      </c>
      <c r="H4067" t="inlineStr">
        <is>
          <t>UPI</t>
        </is>
      </c>
      <c r="I4067" t="inlineStr">
        <is>
          <t>Returned</t>
        </is>
      </c>
      <c r="J4067" t="n">
        <v>118</v>
      </c>
      <c r="K4067" t="n">
        <v>1</v>
      </c>
      <c r="L4067" t="n">
        <v>944</v>
      </c>
      <c r="M4067" t="n">
        <v>0</v>
      </c>
      <c r="N4067">
        <f>VLOOKUP(J4067,Products!$A$2:$C$49,3,FALSE)</f>
        <v/>
      </c>
      <c r="O4067">
        <f>K4067*L4067-M4067</f>
        <v/>
      </c>
      <c r="P4067">
        <f>TEXT(B4067,"yyyy-mm")</f>
        <v/>
      </c>
      <c r="Q4067">
        <f>IF(O4067&gt;=3000,"Large","Small")</f>
        <v/>
      </c>
      <c r="R4067">
        <f>INDEX(Products!$F$2:$F$49,MATCH(J4067,Products!$A$2:$A$49,0))</f>
        <v/>
      </c>
      <c r="S4067">
        <f>WEEKDAY(B4067,2)</f>
        <v/>
      </c>
    </row>
    <row r="4068">
      <c r="A4068" t="n">
        <v>511602</v>
      </c>
      <c r="B4068" s="6" t="n">
        <v>46010</v>
      </c>
      <c r="C4068" t="n">
        <v>16266</v>
      </c>
      <c r="D4068" t="inlineStr">
        <is>
          <t>Delhi</t>
        </is>
      </c>
      <c r="E4068" t="inlineStr">
        <is>
          <t>North</t>
        </is>
      </c>
      <c r="F4068" t="inlineStr">
        <is>
          <t>Organic Search</t>
        </is>
      </c>
      <c r="G4068" t="inlineStr">
        <is>
          <t>Desktop</t>
        </is>
      </c>
      <c r="H4068" t="inlineStr">
        <is>
          <t>UPI</t>
        </is>
      </c>
      <c r="I4068" t="inlineStr">
        <is>
          <t>Returned</t>
        </is>
      </c>
      <c r="J4068" t="n">
        <v>126</v>
      </c>
      <c r="K4068" t="n">
        <v>1</v>
      </c>
      <c r="L4068" t="n">
        <v>471</v>
      </c>
      <c r="M4068" t="n">
        <v>0</v>
      </c>
      <c r="N4068">
        <f>VLOOKUP(J4068,Products!$A$2:$C$49,3,FALSE)</f>
        <v/>
      </c>
      <c r="O4068">
        <f>K4068*L4068-M4068</f>
        <v/>
      </c>
      <c r="P4068">
        <f>TEXT(B4068,"yyyy-mm")</f>
        <v/>
      </c>
      <c r="Q4068">
        <f>IF(O4068&gt;=3000,"Large","Small")</f>
        <v/>
      </c>
      <c r="R4068">
        <f>INDEX(Products!$F$2:$F$49,MATCH(J4068,Products!$A$2:$A$49,0))</f>
        <v/>
      </c>
      <c r="S4068">
        <f>WEEKDAY(B4068,2)</f>
        <v/>
      </c>
    </row>
    <row r="4069">
      <c r="A4069" t="n">
        <v>511602</v>
      </c>
      <c r="B4069" s="6" t="n">
        <v>46010</v>
      </c>
      <c r="C4069" t="n">
        <v>16266</v>
      </c>
      <c r="D4069" t="inlineStr">
        <is>
          <t>Delhi</t>
        </is>
      </c>
      <c r="E4069" t="inlineStr">
        <is>
          <t>North</t>
        </is>
      </c>
      <c r="F4069" t="inlineStr">
        <is>
          <t>Organic Search</t>
        </is>
      </c>
      <c r="G4069" t="inlineStr">
        <is>
          <t>Desktop</t>
        </is>
      </c>
      <c r="H4069" t="inlineStr">
        <is>
          <t>UPI</t>
        </is>
      </c>
      <c r="I4069" t="inlineStr">
        <is>
          <t>Returned</t>
        </is>
      </c>
      <c r="J4069" t="n">
        <v>142</v>
      </c>
      <c r="K4069" t="n">
        <v>1</v>
      </c>
      <c r="L4069" t="n">
        <v>839</v>
      </c>
      <c r="M4069" t="n">
        <v>0</v>
      </c>
      <c r="N4069">
        <f>VLOOKUP(J4069,Products!$A$2:$C$49,3,FALSE)</f>
        <v/>
      </c>
      <c r="O4069">
        <f>K4069*L4069-M4069</f>
        <v/>
      </c>
      <c r="P4069">
        <f>TEXT(B4069,"yyyy-mm")</f>
        <v/>
      </c>
      <c r="Q4069">
        <f>IF(O4069&gt;=3000,"Large","Small")</f>
        <v/>
      </c>
      <c r="R4069">
        <f>INDEX(Products!$F$2:$F$49,MATCH(J4069,Products!$A$2:$A$49,0))</f>
        <v/>
      </c>
      <c r="S4069">
        <f>WEEKDAY(B4069,2)</f>
        <v/>
      </c>
    </row>
    <row r="4070">
      <c r="A4070" t="n">
        <v>511603</v>
      </c>
      <c r="B4070" s="6" t="n">
        <v>46010</v>
      </c>
      <c r="C4070" t="n">
        <v>17225</v>
      </c>
      <c r="D4070" t="inlineStr">
        <is>
          <t>Hyderabad</t>
        </is>
      </c>
      <c r="E4070" t="inlineStr">
        <is>
          <t>South</t>
        </is>
      </c>
      <c r="F4070" t="inlineStr">
        <is>
          <t>Organic Search</t>
        </is>
      </c>
      <c r="G4070" t="inlineStr">
        <is>
          <t>Mobile Web</t>
        </is>
      </c>
      <c r="H4070" t="inlineStr">
        <is>
          <t>UPI</t>
        </is>
      </c>
      <c r="I4070" t="inlineStr">
        <is>
          <t>Delivered</t>
        </is>
      </c>
      <c r="J4070" t="n">
        <v>116</v>
      </c>
      <c r="K4070" t="n">
        <v>1</v>
      </c>
      <c r="L4070" t="n">
        <v>2624</v>
      </c>
      <c r="M4070" t="n">
        <v>0</v>
      </c>
      <c r="N4070">
        <f>VLOOKUP(J4070,Products!$A$2:$C$49,3,FALSE)</f>
        <v/>
      </c>
      <c r="O4070">
        <f>K4070*L4070-M4070</f>
        <v/>
      </c>
      <c r="P4070">
        <f>TEXT(B4070,"yyyy-mm")</f>
        <v/>
      </c>
      <c r="Q4070">
        <f>IF(O4070&gt;=3000,"Large","Small")</f>
        <v/>
      </c>
      <c r="R4070">
        <f>INDEX(Products!$F$2:$F$49,MATCH(J4070,Products!$A$2:$A$49,0))</f>
        <v/>
      </c>
      <c r="S4070">
        <f>WEEKDAY(B4070,2)</f>
        <v/>
      </c>
    </row>
    <row r="4071">
      <c r="A4071" t="n">
        <v>511603</v>
      </c>
      <c r="B4071" s="6" t="n">
        <v>46010</v>
      </c>
      <c r="C4071" t="n">
        <v>17225</v>
      </c>
      <c r="D4071" t="inlineStr">
        <is>
          <t>Hyderabad</t>
        </is>
      </c>
      <c r="E4071" t="inlineStr">
        <is>
          <t>South</t>
        </is>
      </c>
      <c r="F4071" t="inlineStr">
        <is>
          <t>Organic Search</t>
        </is>
      </c>
      <c r="G4071" t="inlineStr">
        <is>
          <t>Mobile Web</t>
        </is>
      </c>
      <c r="H4071" t="inlineStr">
        <is>
          <t>UPI</t>
        </is>
      </c>
      <c r="I4071" t="inlineStr">
        <is>
          <t>Delivered</t>
        </is>
      </c>
      <c r="J4071" t="n">
        <v>125</v>
      </c>
      <c r="K4071" t="n">
        <v>1</v>
      </c>
      <c r="L4071" t="n">
        <v>1364</v>
      </c>
      <c r="M4071" t="n">
        <v>0</v>
      </c>
      <c r="N4071">
        <f>VLOOKUP(J4071,Products!$A$2:$C$49,3,FALSE)</f>
        <v/>
      </c>
      <c r="O4071">
        <f>K4071*L4071-M4071</f>
        <v/>
      </c>
      <c r="P4071">
        <f>TEXT(B4071,"yyyy-mm")</f>
        <v/>
      </c>
      <c r="Q4071">
        <f>IF(O4071&gt;=3000,"Large","Small")</f>
        <v/>
      </c>
      <c r="R4071">
        <f>INDEX(Products!$F$2:$F$49,MATCH(J4071,Products!$A$2:$A$49,0))</f>
        <v/>
      </c>
      <c r="S4071">
        <f>WEEKDAY(B4071,2)</f>
        <v/>
      </c>
    </row>
    <row r="4072">
      <c r="A4072" t="n">
        <v>511603</v>
      </c>
      <c r="B4072" s="6" t="n">
        <v>46010</v>
      </c>
      <c r="C4072" t="n">
        <v>17225</v>
      </c>
      <c r="D4072" t="inlineStr">
        <is>
          <t>Hyderabad</t>
        </is>
      </c>
      <c r="E4072" t="inlineStr">
        <is>
          <t>South</t>
        </is>
      </c>
      <c r="F4072" t="inlineStr">
        <is>
          <t>Organic Search</t>
        </is>
      </c>
      <c r="G4072" t="inlineStr">
        <is>
          <t>Mobile Web</t>
        </is>
      </c>
      <c r="H4072" t="inlineStr">
        <is>
          <t>UPI</t>
        </is>
      </c>
      <c r="I4072" t="inlineStr">
        <is>
          <t>Delivered</t>
        </is>
      </c>
      <c r="J4072" t="n">
        <v>122</v>
      </c>
      <c r="K4072" t="n">
        <v>1</v>
      </c>
      <c r="L4072" t="n">
        <v>1994</v>
      </c>
      <c r="M4072" t="n">
        <v>0</v>
      </c>
      <c r="N4072">
        <f>VLOOKUP(J4072,Products!$A$2:$C$49,3,FALSE)</f>
        <v/>
      </c>
      <c r="O4072">
        <f>K4072*L4072-M4072</f>
        <v/>
      </c>
      <c r="P4072">
        <f>TEXT(B4072,"yyyy-mm")</f>
        <v/>
      </c>
      <c r="Q4072">
        <f>IF(O4072&gt;=3000,"Large","Small")</f>
        <v/>
      </c>
      <c r="R4072">
        <f>INDEX(Products!$F$2:$F$49,MATCH(J4072,Products!$A$2:$A$49,0))</f>
        <v/>
      </c>
      <c r="S4072">
        <f>WEEKDAY(B4072,2)</f>
        <v/>
      </c>
    </row>
    <row r="4073">
      <c r="A4073" t="n">
        <v>511604</v>
      </c>
      <c r="B4073" s="6" t="n">
        <v>46010</v>
      </c>
      <c r="C4073" t="n">
        <v>14117</v>
      </c>
      <c r="D4073" t="inlineStr">
        <is>
          <t>Noida</t>
        </is>
      </c>
      <c r="E4073" t="inlineStr">
        <is>
          <t>North</t>
        </is>
      </c>
      <c r="F4073" t="inlineStr">
        <is>
          <t>Paid Search</t>
        </is>
      </c>
      <c r="G4073" t="inlineStr">
        <is>
          <t>Mobile App</t>
        </is>
      </c>
      <c r="H4073" t="inlineStr">
        <is>
          <t>UPI</t>
        </is>
      </c>
      <c r="I4073" t="inlineStr">
        <is>
          <t>Delivered</t>
        </is>
      </c>
      <c r="J4073" t="n">
        <v>110</v>
      </c>
      <c r="K4073" t="n">
        <v>1</v>
      </c>
      <c r="L4073" t="n">
        <v>839</v>
      </c>
      <c r="M4073" t="n">
        <v>0</v>
      </c>
      <c r="N4073">
        <f>VLOOKUP(J4073,Products!$A$2:$C$49,3,FALSE)</f>
        <v/>
      </c>
      <c r="O4073">
        <f>K4073*L4073-M4073</f>
        <v/>
      </c>
      <c r="P4073">
        <f>TEXT(B4073,"yyyy-mm")</f>
        <v/>
      </c>
      <c r="Q4073">
        <f>IF(O4073&gt;=3000,"Large","Small")</f>
        <v/>
      </c>
      <c r="R4073">
        <f>INDEX(Products!$F$2:$F$49,MATCH(J4073,Products!$A$2:$A$49,0))</f>
        <v/>
      </c>
      <c r="S4073">
        <f>WEEKDAY(B4073,2)</f>
        <v/>
      </c>
    </row>
    <row r="4074">
      <c r="A4074" t="n">
        <v>511604</v>
      </c>
      <c r="B4074" s="6" t="n">
        <v>46010</v>
      </c>
      <c r="C4074" t="n">
        <v>14117</v>
      </c>
      <c r="D4074" t="inlineStr">
        <is>
          <t>Noida</t>
        </is>
      </c>
      <c r="E4074" t="inlineStr">
        <is>
          <t>North</t>
        </is>
      </c>
      <c r="F4074" t="inlineStr">
        <is>
          <t>Paid Search</t>
        </is>
      </c>
      <c r="G4074" t="inlineStr">
        <is>
          <t>Mobile App</t>
        </is>
      </c>
      <c r="H4074" t="inlineStr">
        <is>
          <t>UPI</t>
        </is>
      </c>
      <c r="I4074" t="inlineStr">
        <is>
          <t>Delivered</t>
        </is>
      </c>
      <c r="J4074" t="n">
        <v>106</v>
      </c>
      <c r="K4074" t="n">
        <v>1</v>
      </c>
      <c r="L4074" t="n">
        <v>1574</v>
      </c>
      <c r="M4074" t="n">
        <v>0</v>
      </c>
      <c r="N4074">
        <f>VLOOKUP(J4074,Products!$A$2:$C$49,3,FALSE)</f>
        <v/>
      </c>
      <c r="O4074">
        <f>K4074*L4074-M4074</f>
        <v/>
      </c>
      <c r="P4074">
        <f>TEXT(B4074,"yyyy-mm")</f>
        <v/>
      </c>
      <c r="Q4074">
        <f>IF(O4074&gt;=3000,"Large","Small")</f>
        <v/>
      </c>
      <c r="R4074">
        <f>INDEX(Products!$F$2:$F$49,MATCH(J4074,Products!$A$2:$A$49,0))</f>
        <v/>
      </c>
      <c r="S4074">
        <f>WEEKDAY(B4074,2)</f>
        <v/>
      </c>
    </row>
    <row r="4075">
      <c r="A4075" t="n">
        <v>511604</v>
      </c>
      <c r="B4075" s="6" t="n">
        <v>46010</v>
      </c>
      <c r="C4075" t="n">
        <v>14117</v>
      </c>
      <c r="D4075" t="inlineStr">
        <is>
          <t>Noida</t>
        </is>
      </c>
      <c r="E4075" t="inlineStr">
        <is>
          <t>North</t>
        </is>
      </c>
      <c r="F4075" t="inlineStr">
        <is>
          <t>Paid Search</t>
        </is>
      </c>
      <c r="G4075" t="inlineStr">
        <is>
          <t>Mobile App</t>
        </is>
      </c>
      <c r="H4075" t="inlineStr">
        <is>
          <t>UPI</t>
        </is>
      </c>
      <c r="I4075" t="inlineStr">
        <is>
          <t>Delivered</t>
        </is>
      </c>
      <c r="J4075" t="n">
        <v>121</v>
      </c>
      <c r="K4075" t="n">
        <v>1</v>
      </c>
      <c r="L4075" t="n">
        <v>2939</v>
      </c>
      <c r="M4075" t="n">
        <v>0</v>
      </c>
      <c r="N4075">
        <f>VLOOKUP(J4075,Products!$A$2:$C$49,3,FALSE)</f>
        <v/>
      </c>
      <c r="O4075">
        <f>K4075*L4075-M4075</f>
        <v/>
      </c>
      <c r="P4075">
        <f>TEXT(B4075,"yyyy-mm")</f>
        <v/>
      </c>
      <c r="Q4075">
        <f>IF(O4075&gt;=3000,"Large","Small")</f>
        <v/>
      </c>
      <c r="R4075">
        <f>INDEX(Products!$F$2:$F$49,MATCH(J4075,Products!$A$2:$A$49,0))</f>
        <v/>
      </c>
      <c r="S4075">
        <f>WEEKDAY(B4075,2)</f>
        <v/>
      </c>
    </row>
    <row r="4076">
      <c r="A4076" t="n">
        <v>511605</v>
      </c>
      <c r="B4076" s="6" t="n">
        <v>46010</v>
      </c>
      <c r="C4076" t="n">
        <v>17808</v>
      </c>
      <c r="D4076" t="inlineStr">
        <is>
          <t>Bengaluru</t>
        </is>
      </c>
      <c r="E4076" t="inlineStr">
        <is>
          <t>South</t>
        </is>
      </c>
      <c r="F4076" t="inlineStr">
        <is>
          <t>Paid Social</t>
        </is>
      </c>
      <c r="G4076" t="inlineStr">
        <is>
          <t>Mobile Web</t>
        </is>
      </c>
      <c r="H4076" t="inlineStr">
        <is>
          <t>UPI</t>
        </is>
      </c>
      <c r="I4076" t="inlineStr">
        <is>
          <t>Delivered</t>
        </is>
      </c>
      <c r="J4076" t="n">
        <v>110</v>
      </c>
      <c r="K4076" t="n">
        <v>1</v>
      </c>
      <c r="L4076" t="n">
        <v>839</v>
      </c>
      <c r="M4076" t="n">
        <v>125.85</v>
      </c>
      <c r="N4076">
        <f>VLOOKUP(J4076,Products!$A$2:$C$49,3,FALSE)</f>
        <v/>
      </c>
      <c r="O4076">
        <f>K4076*L4076-M4076</f>
        <v/>
      </c>
      <c r="P4076">
        <f>TEXT(B4076,"yyyy-mm")</f>
        <v/>
      </c>
      <c r="Q4076">
        <f>IF(O4076&gt;=3000,"Large","Small")</f>
        <v/>
      </c>
      <c r="R4076">
        <f>INDEX(Products!$F$2:$F$49,MATCH(J4076,Products!$A$2:$A$49,0))</f>
        <v/>
      </c>
      <c r="S4076">
        <f>WEEKDAY(B4076,2)</f>
        <v/>
      </c>
    </row>
    <row r="4077">
      <c r="A4077" t="n">
        <v>511606</v>
      </c>
      <c r="B4077" s="6" t="n">
        <v>46010</v>
      </c>
      <c r="C4077" t="n">
        <v>16854</v>
      </c>
      <c r="D4077" t="inlineStr">
        <is>
          <t>Delhi</t>
        </is>
      </c>
      <c r="E4077" t="inlineStr">
        <is>
          <t>North</t>
        </is>
      </c>
      <c r="F4077" t="inlineStr">
        <is>
          <t>Organic Search</t>
        </is>
      </c>
      <c r="G4077" t="inlineStr">
        <is>
          <t>Mobile Web</t>
        </is>
      </c>
      <c r="H4077" t="inlineStr">
        <is>
          <t>Cash on Delivery</t>
        </is>
      </c>
      <c r="I4077" t="inlineStr">
        <is>
          <t>Returned</t>
        </is>
      </c>
      <c r="J4077" t="n">
        <v>116</v>
      </c>
      <c r="K4077" t="n">
        <v>1</v>
      </c>
      <c r="L4077" t="n">
        <v>2624</v>
      </c>
      <c r="M4077" t="n">
        <v>0</v>
      </c>
      <c r="N4077">
        <f>VLOOKUP(J4077,Products!$A$2:$C$49,3,FALSE)</f>
        <v/>
      </c>
      <c r="O4077">
        <f>K4077*L4077-M4077</f>
        <v/>
      </c>
      <c r="P4077">
        <f>TEXT(B4077,"yyyy-mm")</f>
        <v/>
      </c>
      <c r="Q4077">
        <f>IF(O4077&gt;=3000,"Large","Small")</f>
        <v/>
      </c>
      <c r="R4077">
        <f>INDEX(Products!$F$2:$F$49,MATCH(J4077,Products!$A$2:$A$49,0))</f>
        <v/>
      </c>
      <c r="S4077">
        <f>WEEKDAY(B4077,2)</f>
        <v/>
      </c>
    </row>
    <row r="4078">
      <c r="A4078" t="n">
        <v>511607</v>
      </c>
      <c r="B4078" s="6" t="n">
        <v>46010</v>
      </c>
      <c r="C4078" t="n">
        <v>17825</v>
      </c>
      <c r="D4078" t="inlineStr">
        <is>
          <t>Delhi</t>
        </is>
      </c>
      <c r="E4078" t="inlineStr">
        <is>
          <t>North</t>
        </is>
      </c>
      <c r="F4078" t="inlineStr">
        <is>
          <t>Referral</t>
        </is>
      </c>
      <c r="G4078" t="inlineStr">
        <is>
          <t>Mobile Web</t>
        </is>
      </c>
      <c r="H4078" t="inlineStr">
        <is>
          <t>UPI</t>
        </is>
      </c>
      <c r="I4078" t="inlineStr">
        <is>
          <t>Delivered</t>
        </is>
      </c>
      <c r="J4078" t="n">
        <v>121</v>
      </c>
      <c r="K4078" t="n">
        <v>1</v>
      </c>
      <c r="L4078" t="n">
        <v>2939</v>
      </c>
      <c r="M4078" t="n">
        <v>440.85</v>
      </c>
      <c r="N4078">
        <f>VLOOKUP(J4078,Products!$A$2:$C$49,3,FALSE)</f>
        <v/>
      </c>
      <c r="O4078">
        <f>K4078*L4078-M4078</f>
        <v/>
      </c>
      <c r="P4078">
        <f>TEXT(B4078,"yyyy-mm")</f>
        <v/>
      </c>
      <c r="Q4078">
        <f>IF(O4078&gt;=3000,"Large","Small")</f>
        <v/>
      </c>
      <c r="R4078">
        <f>INDEX(Products!$F$2:$F$49,MATCH(J4078,Products!$A$2:$A$49,0))</f>
        <v/>
      </c>
      <c r="S4078">
        <f>WEEKDAY(B4078,2)</f>
        <v/>
      </c>
    </row>
    <row r="4079">
      <c r="A4079" t="n">
        <v>511607</v>
      </c>
      <c r="B4079" s="6" t="n">
        <v>46010</v>
      </c>
      <c r="C4079" t="n">
        <v>17825</v>
      </c>
      <c r="D4079" t="inlineStr">
        <is>
          <t>Delhi</t>
        </is>
      </c>
      <c r="E4079" t="inlineStr">
        <is>
          <t>North</t>
        </is>
      </c>
      <c r="F4079" t="inlineStr">
        <is>
          <t>Referral</t>
        </is>
      </c>
      <c r="G4079" t="inlineStr">
        <is>
          <t>Mobile Web</t>
        </is>
      </c>
      <c r="H4079" t="inlineStr">
        <is>
          <t>UPI</t>
        </is>
      </c>
      <c r="I4079" t="inlineStr">
        <is>
          <t>Delivered</t>
        </is>
      </c>
      <c r="J4079" t="n">
        <v>118</v>
      </c>
      <c r="K4079" t="n">
        <v>3</v>
      </c>
      <c r="L4079" t="n">
        <v>944</v>
      </c>
      <c r="M4079" t="n">
        <v>424.8</v>
      </c>
      <c r="N4079">
        <f>VLOOKUP(J4079,Products!$A$2:$C$49,3,FALSE)</f>
        <v/>
      </c>
      <c r="O4079">
        <f>K4079*L4079-M4079</f>
        <v/>
      </c>
      <c r="P4079">
        <f>TEXT(B4079,"yyyy-mm")</f>
        <v/>
      </c>
      <c r="Q4079">
        <f>IF(O4079&gt;=3000,"Large","Small")</f>
        <v/>
      </c>
      <c r="R4079">
        <f>INDEX(Products!$F$2:$F$49,MATCH(J4079,Products!$A$2:$A$49,0))</f>
        <v/>
      </c>
      <c r="S4079">
        <f>WEEKDAY(B4079,2)</f>
        <v/>
      </c>
    </row>
    <row r="4080">
      <c r="A4080" t="n">
        <v>511608</v>
      </c>
      <c r="B4080" s="6" t="n">
        <v>46010</v>
      </c>
      <c r="C4080" t="n">
        <v>16035</v>
      </c>
      <c r="D4080" t="inlineStr">
        <is>
          <t>Delhi</t>
        </is>
      </c>
      <c r="E4080" t="inlineStr">
        <is>
          <t>North</t>
        </is>
      </c>
      <c r="F4080" t="inlineStr">
        <is>
          <t>Email</t>
        </is>
      </c>
      <c r="G4080" t="inlineStr">
        <is>
          <t>Mobile App</t>
        </is>
      </c>
      <c r="H4080" t="inlineStr">
        <is>
          <t>Debit Card</t>
        </is>
      </c>
      <c r="I4080" t="inlineStr">
        <is>
          <t>Delivered</t>
        </is>
      </c>
      <c r="J4080" t="n">
        <v>141</v>
      </c>
      <c r="K4080" t="n">
        <v>1</v>
      </c>
      <c r="L4080" t="n">
        <v>261</v>
      </c>
      <c r="M4080" t="n">
        <v>0</v>
      </c>
      <c r="N4080">
        <f>VLOOKUP(J4080,Products!$A$2:$C$49,3,FALSE)</f>
        <v/>
      </c>
      <c r="O4080">
        <f>K4080*L4080-M4080</f>
        <v/>
      </c>
      <c r="P4080">
        <f>TEXT(B4080,"yyyy-mm")</f>
        <v/>
      </c>
      <c r="Q4080">
        <f>IF(O4080&gt;=3000,"Large","Small")</f>
        <v/>
      </c>
      <c r="R4080">
        <f>INDEX(Products!$F$2:$F$49,MATCH(J4080,Products!$A$2:$A$49,0))</f>
        <v/>
      </c>
      <c r="S4080">
        <f>WEEKDAY(B4080,2)</f>
        <v/>
      </c>
    </row>
    <row r="4081">
      <c r="A4081" t="n">
        <v>511608</v>
      </c>
      <c r="B4081" s="6" t="n">
        <v>46010</v>
      </c>
      <c r="C4081" t="n">
        <v>16035</v>
      </c>
      <c r="D4081" t="inlineStr">
        <is>
          <t>Delhi</t>
        </is>
      </c>
      <c r="E4081" t="inlineStr">
        <is>
          <t>North</t>
        </is>
      </c>
      <c r="F4081" t="inlineStr">
        <is>
          <t>Email</t>
        </is>
      </c>
      <c r="G4081" t="inlineStr">
        <is>
          <t>Mobile App</t>
        </is>
      </c>
      <c r="H4081" t="inlineStr">
        <is>
          <t>Debit Card</t>
        </is>
      </c>
      <c r="I4081" t="inlineStr">
        <is>
          <t>Delivered</t>
        </is>
      </c>
      <c r="J4081" t="n">
        <v>137</v>
      </c>
      <c r="K4081" t="n">
        <v>1</v>
      </c>
      <c r="L4081" t="n">
        <v>261</v>
      </c>
      <c r="M4081" t="n">
        <v>0</v>
      </c>
      <c r="N4081">
        <f>VLOOKUP(J4081,Products!$A$2:$C$49,3,FALSE)</f>
        <v/>
      </c>
      <c r="O4081">
        <f>K4081*L4081-M4081</f>
        <v/>
      </c>
      <c r="P4081">
        <f>TEXT(B4081,"yyyy-mm")</f>
        <v/>
      </c>
      <c r="Q4081">
        <f>IF(O4081&gt;=3000,"Large","Small")</f>
        <v/>
      </c>
      <c r="R4081">
        <f>INDEX(Products!$F$2:$F$49,MATCH(J4081,Products!$A$2:$A$49,0))</f>
        <v/>
      </c>
      <c r="S4081">
        <f>WEEKDAY(B4081,2)</f>
        <v/>
      </c>
    </row>
    <row r="4082">
      <c r="A4082" t="n">
        <v>511609</v>
      </c>
      <c r="B4082" s="6" t="n">
        <v>46010</v>
      </c>
      <c r="C4082" t="n">
        <v>12329</v>
      </c>
      <c r="D4082" t="inlineStr">
        <is>
          <t>Jaipur</t>
        </is>
      </c>
      <c r="E4082" t="inlineStr">
        <is>
          <t>North</t>
        </is>
      </c>
      <c r="F4082" t="inlineStr">
        <is>
          <t>Paid Search</t>
        </is>
      </c>
      <c r="G4082" t="inlineStr">
        <is>
          <t>Mobile Web</t>
        </is>
      </c>
      <c r="H4082" t="inlineStr">
        <is>
          <t>UPI</t>
        </is>
      </c>
      <c r="I4082" t="inlineStr">
        <is>
          <t>Delivered</t>
        </is>
      </c>
      <c r="J4082" t="n">
        <v>147</v>
      </c>
      <c r="K4082" t="n">
        <v>1</v>
      </c>
      <c r="L4082" t="n">
        <v>1364</v>
      </c>
      <c r="M4082" t="n">
        <v>68.2</v>
      </c>
      <c r="N4082">
        <f>VLOOKUP(J4082,Products!$A$2:$C$49,3,FALSE)</f>
        <v/>
      </c>
      <c r="O4082">
        <f>K4082*L4082-M4082</f>
        <v/>
      </c>
      <c r="P4082">
        <f>TEXT(B4082,"yyyy-mm")</f>
        <v/>
      </c>
      <c r="Q4082">
        <f>IF(O4082&gt;=3000,"Large","Small")</f>
        <v/>
      </c>
      <c r="R4082">
        <f>INDEX(Products!$F$2:$F$49,MATCH(J4082,Products!$A$2:$A$49,0))</f>
        <v/>
      </c>
      <c r="S4082">
        <f>WEEKDAY(B4082,2)</f>
        <v/>
      </c>
    </row>
    <row r="4083">
      <c r="A4083" t="n">
        <v>511610</v>
      </c>
      <c r="B4083" s="6" t="n">
        <v>46010</v>
      </c>
      <c r="C4083" t="n">
        <v>17753</v>
      </c>
      <c r="D4083" t="inlineStr">
        <is>
          <t>Mumbai</t>
        </is>
      </c>
      <c r="E4083" t="inlineStr">
        <is>
          <t>West</t>
        </is>
      </c>
      <c r="F4083" t="inlineStr">
        <is>
          <t>Organic Search</t>
        </is>
      </c>
      <c r="G4083" t="inlineStr">
        <is>
          <t>Mobile App</t>
        </is>
      </c>
      <c r="H4083" t="inlineStr">
        <is>
          <t>UPI</t>
        </is>
      </c>
      <c r="I4083" t="inlineStr">
        <is>
          <t>Delivered</t>
        </is>
      </c>
      <c r="J4083" t="n">
        <v>113</v>
      </c>
      <c r="K4083" t="n">
        <v>1</v>
      </c>
      <c r="L4083" t="n">
        <v>1364</v>
      </c>
      <c r="M4083" t="n">
        <v>0</v>
      </c>
      <c r="N4083">
        <f>VLOOKUP(J4083,Products!$A$2:$C$49,3,FALSE)</f>
        <v/>
      </c>
      <c r="O4083">
        <f>K4083*L4083-M4083</f>
        <v/>
      </c>
      <c r="P4083">
        <f>TEXT(B4083,"yyyy-mm")</f>
        <v/>
      </c>
      <c r="Q4083">
        <f>IF(O4083&gt;=3000,"Large","Small")</f>
        <v/>
      </c>
      <c r="R4083">
        <f>INDEX(Products!$F$2:$F$49,MATCH(J4083,Products!$A$2:$A$49,0))</f>
        <v/>
      </c>
      <c r="S4083">
        <f>WEEKDAY(B4083,2)</f>
        <v/>
      </c>
    </row>
    <row r="4084">
      <c r="A4084" t="n">
        <v>511610</v>
      </c>
      <c r="B4084" s="6" t="n">
        <v>46010</v>
      </c>
      <c r="C4084" t="n">
        <v>17753</v>
      </c>
      <c r="D4084" t="inlineStr">
        <is>
          <t>Mumbai</t>
        </is>
      </c>
      <c r="E4084" t="inlineStr">
        <is>
          <t>West</t>
        </is>
      </c>
      <c r="F4084" t="inlineStr">
        <is>
          <t>Organic Search</t>
        </is>
      </c>
      <c r="G4084" t="inlineStr">
        <is>
          <t>Mobile App</t>
        </is>
      </c>
      <c r="H4084" t="inlineStr">
        <is>
          <t>UPI</t>
        </is>
      </c>
      <c r="I4084" t="inlineStr">
        <is>
          <t>Delivered</t>
        </is>
      </c>
      <c r="J4084" t="n">
        <v>148</v>
      </c>
      <c r="K4084" t="n">
        <v>1</v>
      </c>
      <c r="L4084" t="n">
        <v>734</v>
      </c>
      <c r="M4084" t="n">
        <v>0</v>
      </c>
      <c r="N4084">
        <f>VLOOKUP(J4084,Products!$A$2:$C$49,3,FALSE)</f>
        <v/>
      </c>
      <c r="O4084">
        <f>K4084*L4084-M4084</f>
        <v/>
      </c>
      <c r="P4084">
        <f>TEXT(B4084,"yyyy-mm")</f>
        <v/>
      </c>
      <c r="Q4084">
        <f>IF(O4084&gt;=3000,"Large","Small")</f>
        <v/>
      </c>
      <c r="R4084">
        <f>INDEX(Products!$F$2:$F$49,MATCH(J4084,Products!$A$2:$A$49,0))</f>
        <v/>
      </c>
      <c r="S4084">
        <f>WEEKDAY(B4084,2)</f>
        <v/>
      </c>
    </row>
    <row r="4085">
      <c r="A4085" t="n">
        <v>511611</v>
      </c>
      <c r="B4085" s="6" t="n">
        <v>46010</v>
      </c>
      <c r="C4085" t="n">
        <v>16791</v>
      </c>
      <c r="D4085" t="inlineStr">
        <is>
          <t>Delhi</t>
        </is>
      </c>
      <c r="E4085" t="inlineStr">
        <is>
          <t>North</t>
        </is>
      </c>
      <c r="F4085" t="inlineStr">
        <is>
          <t>Paid Search</t>
        </is>
      </c>
      <c r="G4085" t="inlineStr">
        <is>
          <t>Mobile Web</t>
        </is>
      </c>
      <c r="H4085" t="inlineStr">
        <is>
          <t>Credit Card</t>
        </is>
      </c>
      <c r="I4085" t="inlineStr">
        <is>
          <t>Delivered</t>
        </is>
      </c>
      <c r="J4085" t="n">
        <v>114</v>
      </c>
      <c r="K4085" t="n">
        <v>1</v>
      </c>
      <c r="L4085" t="n">
        <v>1259</v>
      </c>
      <c r="M4085" t="n">
        <v>62.95</v>
      </c>
      <c r="N4085">
        <f>VLOOKUP(J4085,Products!$A$2:$C$49,3,FALSE)</f>
        <v/>
      </c>
      <c r="O4085">
        <f>K4085*L4085-M4085</f>
        <v/>
      </c>
      <c r="P4085">
        <f>TEXT(B4085,"yyyy-mm")</f>
        <v/>
      </c>
      <c r="Q4085">
        <f>IF(O4085&gt;=3000,"Large","Small")</f>
        <v/>
      </c>
      <c r="R4085">
        <f>INDEX(Products!$F$2:$F$49,MATCH(J4085,Products!$A$2:$A$49,0))</f>
        <v/>
      </c>
      <c r="S4085">
        <f>WEEKDAY(B4085,2)</f>
        <v/>
      </c>
    </row>
    <row r="4086">
      <c r="A4086" t="n">
        <v>511612</v>
      </c>
      <c r="B4086" s="6" t="n">
        <v>46010</v>
      </c>
      <c r="C4086" t="n">
        <v>17822</v>
      </c>
      <c r="D4086" t="inlineStr">
        <is>
          <t>Mumbai</t>
        </is>
      </c>
      <c r="E4086" t="inlineStr">
        <is>
          <t>West</t>
        </is>
      </c>
      <c r="F4086" t="inlineStr">
        <is>
          <t>Organic Search</t>
        </is>
      </c>
      <c r="G4086" t="inlineStr">
        <is>
          <t>Mobile Web</t>
        </is>
      </c>
      <c r="H4086" t="inlineStr">
        <is>
          <t>Debit Card</t>
        </is>
      </c>
      <c r="I4086" t="inlineStr">
        <is>
          <t>Delivered</t>
        </is>
      </c>
      <c r="J4086" t="n">
        <v>117</v>
      </c>
      <c r="K4086" t="n">
        <v>1</v>
      </c>
      <c r="L4086" t="n">
        <v>3149</v>
      </c>
      <c r="M4086" t="n">
        <v>0</v>
      </c>
      <c r="N4086">
        <f>VLOOKUP(J4086,Products!$A$2:$C$49,3,FALSE)</f>
        <v/>
      </c>
      <c r="O4086">
        <f>K4086*L4086-M4086</f>
        <v/>
      </c>
      <c r="P4086">
        <f>TEXT(B4086,"yyyy-mm")</f>
        <v/>
      </c>
      <c r="Q4086">
        <f>IF(O4086&gt;=3000,"Large","Small")</f>
        <v/>
      </c>
      <c r="R4086">
        <f>INDEX(Products!$F$2:$F$49,MATCH(J4086,Products!$A$2:$A$49,0))</f>
        <v/>
      </c>
      <c r="S4086">
        <f>WEEKDAY(B4086,2)</f>
        <v/>
      </c>
    </row>
    <row r="4087">
      <c r="A4087" t="n">
        <v>511613</v>
      </c>
      <c r="B4087" s="6" t="n">
        <v>46011</v>
      </c>
      <c r="C4087" t="n">
        <v>17617</v>
      </c>
      <c r="D4087" t="inlineStr">
        <is>
          <t>Delhi</t>
        </is>
      </c>
      <c r="E4087" t="inlineStr">
        <is>
          <t>North</t>
        </is>
      </c>
      <c r="F4087" t="inlineStr">
        <is>
          <t>Organic Search</t>
        </is>
      </c>
      <c r="G4087" t="inlineStr">
        <is>
          <t>Desktop</t>
        </is>
      </c>
      <c r="H4087" t="inlineStr">
        <is>
          <t>Credit Card</t>
        </is>
      </c>
      <c r="I4087" t="inlineStr">
        <is>
          <t>Delivered</t>
        </is>
      </c>
      <c r="J4087" t="n">
        <v>132</v>
      </c>
      <c r="K4087" t="n">
        <v>1</v>
      </c>
      <c r="L4087" t="n">
        <v>471</v>
      </c>
      <c r="M4087" t="n">
        <v>0</v>
      </c>
      <c r="N4087">
        <f>VLOOKUP(J4087,Products!$A$2:$C$49,3,FALSE)</f>
        <v/>
      </c>
      <c r="O4087">
        <f>K4087*L4087-M4087</f>
        <v/>
      </c>
      <c r="P4087">
        <f>TEXT(B4087,"yyyy-mm")</f>
        <v/>
      </c>
      <c r="Q4087">
        <f>IF(O4087&gt;=3000,"Large","Small")</f>
        <v/>
      </c>
      <c r="R4087">
        <f>INDEX(Products!$F$2:$F$49,MATCH(J4087,Products!$A$2:$A$49,0))</f>
        <v/>
      </c>
      <c r="S4087">
        <f>WEEKDAY(B4087,2)</f>
        <v/>
      </c>
    </row>
    <row r="4088">
      <c r="A4088" t="n">
        <v>511614</v>
      </c>
      <c r="B4088" s="6" t="n">
        <v>46011</v>
      </c>
      <c r="C4088" t="n">
        <v>17736</v>
      </c>
      <c r="D4088" t="inlineStr">
        <is>
          <t>Mumbai</t>
        </is>
      </c>
      <c r="E4088" t="inlineStr">
        <is>
          <t>West</t>
        </is>
      </c>
      <c r="F4088" t="inlineStr">
        <is>
          <t>Paid Social</t>
        </is>
      </c>
      <c r="G4088" t="inlineStr">
        <is>
          <t>Mobile App</t>
        </is>
      </c>
      <c r="H4088" t="inlineStr">
        <is>
          <t>Credit Card</t>
        </is>
      </c>
      <c r="I4088" t="inlineStr">
        <is>
          <t>Delivered</t>
        </is>
      </c>
      <c r="J4088" t="n">
        <v>134</v>
      </c>
      <c r="K4088" t="n">
        <v>1</v>
      </c>
      <c r="L4088" t="n">
        <v>209</v>
      </c>
      <c r="M4088" t="n">
        <v>31.35</v>
      </c>
      <c r="N4088">
        <f>VLOOKUP(J4088,Products!$A$2:$C$49,3,FALSE)</f>
        <v/>
      </c>
      <c r="O4088">
        <f>K4088*L4088-M4088</f>
        <v/>
      </c>
      <c r="P4088">
        <f>TEXT(B4088,"yyyy-mm")</f>
        <v/>
      </c>
      <c r="Q4088">
        <f>IF(O4088&gt;=3000,"Large","Small")</f>
        <v/>
      </c>
      <c r="R4088">
        <f>INDEX(Products!$F$2:$F$49,MATCH(J4088,Products!$A$2:$A$49,0))</f>
        <v/>
      </c>
      <c r="S4088">
        <f>WEEKDAY(B4088,2)</f>
        <v/>
      </c>
    </row>
    <row r="4089">
      <c r="A4089" t="n">
        <v>511615</v>
      </c>
      <c r="B4089" s="6" t="n">
        <v>46011</v>
      </c>
      <c r="C4089" t="n">
        <v>14141</v>
      </c>
      <c r="D4089" t="inlineStr">
        <is>
          <t>Ahmedabad</t>
        </is>
      </c>
      <c r="E4089" t="inlineStr">
        <is>
          <t>West</t>
        </is>
      </c>
      <c r="F4089" t="inlineStr">
        <is>
          <t>Organic Search</t>
        </is>
      </c>
      <c r="G4089" t="inlineStr">
        <is>
          <t>Mobile App</t>
        </is>
      </c>
      <c r="H4089" t="inlineStr">
        <is>
          <t>UPI</t>
        </is>
      </c>
      <c r="I4089" t="inlineStr">
        <is>
          <t>Delivered</t>
        </is>
      </c>
      <c r="J4089" t="n">
        <v>139</v>
      </c>
      <c r="K4089" t="n">
        <v>3</v>
      </c>
      <c r="L4089" t="n">
        <v>366</v>
      </c>
      <c r="M4089" t="n">
        <v>0</v>
      </c>
      <c r="N4089">
        <f>VLOOKUP(J4089,Products!$A$2:$C$49,3,FALSE)</f>
        <v/>
      </c>
      <c r="O4089">
        <f>K4089*L4089-M4089</f>
        <v/>
      </c>
      <c r="P4089">
        <f>TEXT(B4089,"yyyy-mm")</f>
        <v/>
      </c>
      <c r="Q4089">
        <f>IF(O4089&gt;=3000,"Large","Small")</f>
        <v/>
      </c>
      <c r="R4089">
        <f>INDEX(Products!$F$2:$F$49,MATCH(J4089,Products!$A$2:$A$49,0))</f>
        <v/>
      </c>
      <c r="S4089">
        <f>WEEKDAY(B4089,2)</f>
        <v/>
      </c>
    </row>
    <row r="4090">
      <c r="A4090" t="n">
        <v>511616</v>
      </c>
      <c r="B4090" s="6" t="n">
        <v>46011</v>
      </c>
      <c r="C4090" t="n">
        <v>17842</v>
      </c>
      <c r="D4090" t="inlineStr">
        <is>
          <t>Delhi</t>
        </is>
      </c>
      <c r="E4090" t="inlineStr">
        <is>
          <t>North</t>
        </is>
      </c>
      <c r="F4090" t="inlineStr">
        <is>
          <t>Organic Search</t>
        </is>
      </c>
      <c r="G4090" t="inlineStr">
        <is>
          <t>Mobile App</t>
        </is>
      </c>
      <c r="H4090" t="inlineStr">
        <is>
          <t>UPI</t>
        </is>
      </c>
      <c r="I4090" t="inlineStr">
        <is>
          <t>Delivered</t>
        </is>
      </c>
      <c r="J4090" t="n">
        <v>117</v>
      </c>
      <c r="K4090" t="n">
        <v>1</v>
      </c>
      <c r="L4090" t="n">
        <v>3149</v>
      </c>
      <c r="M4090" t="n">
        <v>0</v>
      </c>
      <c r="N4090">
        <f>VLOOKUP(J4090,Products!$A$2:$C$49,3,FALSE)</f>
        <v/>
      </c>
      <c r="O4090">
        <f>K4090*L4090-M4090</f>
        <v/>
      </c>
      <c r="P4090">
        <f>TEXT(B4090,"yyyy-mm")</f>
        <v/>
      </c>
      <c r="Q4090">
        <f>IF(O4090&gt;=3000,"Large","Small")</f>
        <v/>
      </c>
      <c r="R4090">
        <f>INDEX(Products!$F$2:$F$49,MATCH(J4090,Products!$A$2:$A$49,0))</f>
        <v/>
      </c>
      <c r="S4090">
        <f>WEEKDAY(B4090,2)</f>
        <v/>
      </c>
    </row>
    <row r="4091">
      <c r="A4091" t="n">
        <v>511616</v>
      </c>
      <c r="B4091" s="6" t="n">
        <v>46011</v>
      </c>
      <c r="C4091" t="n">
        <v>17842</v>
      </c>
      <c r="D4091" t="inlineStr">
        <is>
          <t>Delhi</t>
        </is>
      </c>
      <c r="E4091" t="inlineStr">
        <is>
          <t>North</t>
        </is>
      </c>
      <c r="F4091" t="inlineStr">
        <is>
          <t>Organic Search</t>
        </is>
      </c>
      <c r="G4091" t="inlineStr">
        <is>
          <t>Mobile App</t>
        </is>
      </c>
      <c r="H4091" t="inlineStr">
        <is>
          <t>UPI</t>
        </is>
      </c>
      <c r="I4091" t="inlineStr">
        <is>
          <t>Delivered</t>
        </is>
      </c>
      <c r="J4091" t="n">
        <v>124</v>
      </c>
      <c r="K4091" t="n">
        <v>1</v>
      </c>
      <c r="L4091" t="n">
        <v>1154</v>
      </c>
      <c r="M4091" t="n">
        <v>0</v>
      </c>
      <c r="N4091">
        <f>VLOOKUP(J4091,Products!$A$2:$C$49,3,FALSE)</f>
        <v/>
      </c>
      <c r="O4091">
        <f>K4091*L4091-M4091</f>
        <v/>
      </c>
      <c r="P4091">
        <f>TEXT(B4091,"yyyy-mm")</f>
        <v/>
      </c>
      <c r="Q4091">
        <f>IF(O4091&gt;=3000,"Large","Small")</f>
        <v/>
      </c>
      <c r="R4091">
        <f>INDEX(Products!$F$2:$F$49,MATCH(J4091,Products!$A$2:$A$49,0))</f>
        <v/>
      </c>
      <c r="S4091">
        <f>WEEKDAY(B4091,2)</f>
        <v/>
      </c>
    </row>
    <row r="4092">
      <c r="A4092" t="n">
        <v>511616</v>
      </c>
      <c r="B4092" s="6" t="n">
        <v>46011</v>
      </c>
      <c r="C4092" t="n">
        <v>17842</v>
      </c>
      <c r="D4092" t="inlineStr">
        <is>
          <t>Delhi</t>
        </is>
      </c>
      <c r="E4092" t="inlineStr">
        <is>
          <t>North</t>
        </is>
      </c>
      <c r="F4092" t="inlineStr">
        <is>
          <t>Organic Search</t>
        </is>
      </c>
      <c r="G4092" t="inlineStr">
        <is>
          <t>Mobile App</t>
        </is>
      </c>
      <c r="H4092" t="inlineStr">
        <is>
          <t>UPI</t>
        </is>
      </c>
      <c r="I4092" t="inlineStr">
        <is>
          <t>Delivered</t>
        </is>
      </c>
      <c r="J4092" t="n">
        <v>101</v>
      </c>
      <c r="K4092" t="n">
        <v>1</v>
      </c>
      <c r="L4092" t="n">
        <v>2099</v>
      </c>
      <c r="M4092" t="n">
        <v>0</v>
      </c>
      <c r="N4092">
        <f>VLOOKUP(J4092,Products!$A$2:$C$49,3,FALSE)</f>
        <v/>
      </c>
      <c r="O4092">
        <f>K4092*L4092-M4092</f>
        <v/>
      </c>
      <c r="P4092">
        <f>TEXT(B4092,"yyyy-mm")</f>
        <v/>
      </c>
      <c r="Q4092">
        <f>IF(O4092&gt;=3000,"Large","Small")</f>
        <v/>
      </c>
      <c r="R4092">
        <f>INDEX(Products!$F$2:$F$49,MATCH(J4092,Products!$A$2:$A$49,0))</f>
        <v/>
      </c>
      <c r="S4092">
        <f>WEEKDAY(B4092,2)</f>
        <v/>
      </c>
    </row>
    <row r="4093">
      <c r="A4093" t="n">
        <v>511617</v>
      </c>
      <c r="B4093" s="6" t="n">
        <v>46011</v>
      </c>
      <c r="C4093" t="n">
        <v>16708</v>
      </c>
      <c r="D4093" t="inlineStr">
        <is>
          <t>Delhi</t>
        </is>
      </c>
      <c r="E4093" t="inlineStr">
        <is>
          <t>North</t>
        </is>
      </c>
      <c r="F4093" t="inlineStr">
        <is>
          <t>Organic Search</t>
        </is>
      </c>
      <c r="G4093" t="inlineStr">
        <is>
          <t>Desktop</t>
        </is>
      </c>
      <c r="H4093" t="inlineStr">
        <is>
          <t>UPI</t>
        </is>
      </c>
      <c r="I4093" t="inlineStr">
        <is>
          <t>Delivered</t>
        </is>
      </c>
      <c r="J4093" t="n">
        <v>103</v>
      </c>
      <c r="K4093" t="n">
        <v>1</v>
      </c>
      <c r="L4093" t="n">
        <v>2624</v>
      </c>
      <c r="M4093" t="n">
        <v>0</v>
      </c>
      <c r="N4093">
        <f>VLOOKUP(J4093,Products!$A$2:$C$49,3,FALSE)</f>
        <v/>
      </c>
      <c r="O4093">
        <f>K4093*L4093-M4093</f>
        <v/>
      </c>
      <c r="P4093">
        <f>TEXT(B4093,"yyyy-mm")</f>
        <v/>
      </c>
      <c r="Q4093">
        <f>IF(O4093&gt;=3000,"Large","Small")</f>
        <v/>
      </c>
      <c r="R4093">
        <f>INDEX(Products!$F$2:$F$49,MATCH(J4093,Products!$A$2:$A$49,0))</f>
        <v/>
      </c>
      <c r="S4093">
        <f>WEEKDAY(B4093,2)</f>
        <v/>
      </c>
    </row>
    <row r="4094">
      <c r="A4094" t="n">
        <v>511618</v>
      </c>
      <c r="B4094" s="6" t="n">
        <v>46011</v>
      </c>
      <c r="C4094" t="n">
        <v>14486</v>
      </c>
      <c r="D4094" t="inlineStr">
        <is>
          <t>Gurugram</t>
        </is>
      </c>
      <c r="E4094" t="inlineStr">
        <is>
          <t>North</t>
        </is>
      </c>
      <c r="F4094" t="inlineStr">
        <is>
          <t>Referral</t>
        </is>
      </c>
      <c r="G4094" t="inlineStr">
        <is>
          <t>Mobile Web</t>
        </is>
      </c>
      <c r="H4094" t="inlineStr">
        <is>
          <t>Debit Card</t>
        </is>
      </c>
      <c r="I4094" t="inlineStr">
        <is>
          <t>Returned</t>
        </is>
      </c>
      <c r="J4094" t="n">
        <v>144</v>
      </c>
      <c r="K4094" t="n">
        <v>1</v>
      </c>
      <c r="L4094" t="n">
        <v>3149</v>
      </c>
      <c r="M4094" t="n">
        <v>0</v>
      </c>
      <c r="N4094">
        <f>VLOOKUP(J4094,Products!$A$2:$C$49,3,FALSE)</f>
        <v/>
      </c>
      <c r="O4094">
        <f>K4094*L4094-M4094</f>
        <v/>
      </c>
      <c r="P4094">
        <f>TEXT(B4094,"yyyy-mm")</f>
        <v/>
      </c>
      <c r="Q4094">
        <f>IF(O4094&gt;=3000,"Large","Small")</f>
        <v/>
      </c>
      <c r="R4094">
        <f>INDEX(Products!$F$2:$F$49,MATCH(J4094,Products!$A$2:$A$49,0))</f>
        <v/>
      </c>
      <c r="S4094">
        <f>WEEKDAY(B4094,2)</f>
        <v/>
      </c>
    </row>
    <row r="4095">
      <c r="A4095" t="n">
        <v>511618</v>
      </c>
      <c r="B4095" s="6" t="n">
        <v>46011</v>
      </c>
      <c r="C4095" t="n">
        <v>14486</v>
      </c>
      <c r="D4095" t="inlineStr">
        <is>
          <t>Gurugram</t>
        </is>
      </c>
      <c r="E4095" t="inlineStr">
        <is>
          <t>North</t>
        </is>
      </c>
      <c r="F4095" t="inlineStr">
        <is>
          <t>Referral</t>
        </is>
      </c>
      <c r="G4095" t="inlineStr">
        <is>
          <t>Mobile Web</t>
        </is>
      </c>
      <c r="H4095" t="inlineStr">
        <is>
          <t>Debit Card</t>
        </is>
      </c>
      <c r="I4095" t="inlineStr">
        <is>
          <t>Returned</t>
        </is>
      </c>
      <c r="J4095" t="n">
        <v>137</v>
      </c>
      <c r="K4095" t="n">
        <v>1</v>
      </c>
      <c r="L4095" t="n">
        <v>261</v>
      </c>
      <c r="M4095" t="n">
        <v>0</v>
      </c>
      <c r="N4095">
        <f>VLOOKUP(J4095,Products!$A$2:$C$49,3,FALSE)</f>
        <v/>
      </c>
      <c r="O4095">
        <f>K4095*L4095-M4095</f>
        <v/>
      </c>
      <c r="P4095">
        <f>TEXT(B4095,"yyyy-mm")</f>
        <v/>
      </c>
      <c r="Q4095">
        <f>IF(O4095&gt;=3000,"Large","Small")</f>
        <v/>
      </c>
      <c r="R4095">
        <f>INDEX(Products!$F$2:$F$49,MATCH(J4095,Products!$A$2:$A$49,0))</f>
        <v/>
      </c>
      <c r="S4095">
        <f>WEEKDAY(B4095,2)</f>
        <v/>
      </c>
    </row>
    <row r="4096">
      <c r="A4096" t="n">
        <v>511619</v>
      </c>
      <c r="B4096" s="6" t="n">
        <v>46011</v>
      </c>
      <c r="C4096" t="n">
        <v>13080</v>
      </c>
      <c r="D4096" t="inlineStr">
        <is>
          <t>Delhi</t>
        </is>
      </c>
      <c r="E4096" t="inlineStr">
        <is>
          <t>North</t>
        </is>
      </c>
      <c r="F4096" t="inlineStr">
        <is>
          <t>Referral</t>
        </is>
      </c>
      <c r="G4096" t="inlineStr">
        <is>
          <t>Mobile Web</t>
        </is>
      </c>
      <c r="H4096" t="inlineStr">
        <is>
          <t>Cash on Delivery</t>
        </is>
      </c>
      <c r="I4096" t="inlineStr">
        <is>
          <t>Cancelled</t>
        </is>
      </c>
      <c r="J4096" t="n">
        <v>116</v>
      </c>
      <c r="K4096" t="n">
        <v>1</v>
      </c>
      <c r="L4096" t="n">
        <v>2624</v>
      </c>
      <c r="M4096" t="n">
        <v>0</v>
      </c>
      <c r="N4096">
        <f>VLOOKUP(J4096,Products!$A$2:$C$49,3,FALSE)</f>
        <v/>
      </c>
      <c r="O4096">
        <f>K4096*L4096-M4096</f>
        <v/>
      </c>
      <c r="P4096">
        <f>TEXT(B4096,"yyyy-mm")</f>
        <v/>
      </c>
      <c r="Q4096">
        <f>IF(O4096&gt;=3000,"Large","Small")</f>
        <v/>
      </c>
      <c r="R4096">
        <f>INDEX(Products!$F$2:$F$49,MATCH(J4096,Products!$A$2:$A$49,0))</f>
        <v/>
      </c>
      <c r="S4096">
        <f>WEEKDAY(B4096,2)</f>
        <v/>
      </c>
    </row>
    <row r="4097">
      <c r="A4097" t="n">
        <v>511619</v>
      </c>
      <c r="B4097" s="6" t="n">
        <v>46011</v>
      </c>
      <c r="C4097" t="n">
        <v>13080</v>
      </c>
      <c r="D4097" t="inlineStr">
        <is>
          <t>Delhi</t>
        </is>
      </c>
      <c r="E4097" t="inlineStr">
        <is>
          <t>North</t>
        </is>
      </c>
      <c r="F4097" t="inlineStr">
        <is>
          <t>Referral</t>
        </is>
      </c>
      <c r="G4097" t="inlineStr">
        <is>
          <t>Mobile Web</t>
        </is>
      </c>
      <c r="H4097" t="inlineStr">
        <is>
          <t>Cash on Delivery</t>
        </is>
      </c>
      <c r="I4097" t="inlineStr">
        <is>
          <t>Cancelled</t>
        </is>
      </c>
      <c r="J4097" t="n">
        <v>102</v>
      </c>
      <c r="K4097" t="n">
        <v>1</v>
      </c>
      <c r="L4097" t="n">
        <v>3674</v>
      </c>
      <c r="M4097" t="n">
        <v>0</v>
      </c>
      <c r="N4097">
        <f>VLOOKUP(J4097,Products!$A$2:$C$49,3,FALSE)</f>
        <v/>
      </c>
      <c r="O4097">
        <f>K4097*L4097-M4097</f>
        <v/>
      </c>
      <c r="P4097">
        <f>TEXT(B4097,"yyyy-mm")</f>
        <v/>
      </c>
      <c r="Q4097">
        <f>IF(O4097&gt;=3000,"Large","Small")</f>
        <v/>
      </c>
      <c r="R4097">
        <f>INDEX(Products!$F$2:$F$49,MATCH(J4097,Products!$A$2:$A$49,0))</f>
        <v/>
      </c>
      <c r="S4097">
        <f>WEEKDAY(B4097,2)</f>
        <v/>
      </c>
    </row>
    <row r="4098">
      <c r="A4098" t="n">
        <v>511620</v>
      </c>
      <c r="B4098" s="6" t="n">
        <v>46011</v>
      </c>
      <c r="C4098" t="n">
        <v>17701</v>
      </c>
      <c r="D4098" t="inlineStr">
        <is>
          <t>Delhi</t>
        </is>
      </c>
      <c r="E4098" t="inlineStr">
        <is>
          <t>North</t>
        </is>
      </c>
      <c r="F4098" t="inlineStr">
        <is>
          <t>Referral</t>
        </is>
      </c>
      <c r="G4098" t="inlineStr">
        <is>
          <t>Mobile Web</t>
        </is>
      </c>
      <c r="H4098" t="inlineStr">
        <is>
          <t>Debit Card</t>
        </is>
      </c>
      <c r="I4098" t="inlineStr">
        <is>
          <t>Returned</t>
        </is>
      </c>
      <c r="J4098" t="n">
        <v>124</v>
      </c>
      <c r="K4098" t="n">
        <v>1</v>
      </c>
      <c r="L4098" t="n">
        <v>1154</v>
      </c>
      <c r="M4098" t="n">
        <v>57.7</v>
      </c>
      <c r="N4098">
        <f>VLOOKUP(J4098,Products!$A$2:$C$49,3,FALSE)</f>
        <v/>
      </c>
      <c r="O4098">
        <f>K4098*L4098-M4098</f>
        <v/>
      </c>
      <c r="P4098">
        <f>TEXT(B4098,"yyyy-mm")</f>
        <v/>
      </c>
      <c r="Q4098">
        <f>IF(O4098&gt;=3000,"Large","Small")</f>
        <v/>
      </c>
      <c r="R4098">
        <f>INDEX(Products!$F$2:$F$49,MATCH(J4098,Products!$A$2:$A$49,0))</f>
        <v/>
      </c>
      <c r="S4098">
        <f>WEEKDAY(B4098,2)</f>
        <v/>
      </c>
    </row>
    <row r="4099">
      <c r="A4099" t="n">
        <v>511620</v>
      </c>
      <c r="B4099" s="6" t="n">
        <v>46011</v>
      </c>
      <c r="C4099" t="n">
        <v>17701</v>
      </c>
      <c r="D4099" t="inlineStr">
        <is>
          <t>Delhi</t>
        </is>
      </c>
      <c r="E4099" t="inlineStr">
        <is>
          <t>North</t>
        </is>
      </c>
      <c r="F4099" t="inlineStr">
        <is>
          <t>Referral</t>
        </is>
      </c>
      <c r="G4099" t="inlineStr">
        <is>
          <t>Mobile Web</t>
        </is>
      </c>
      <c r="H4099" t="inlineStr">
        <is>
          <t>Debit Card</t>
        </is>
      </c>
      <c r="I4099" t="inlineStr">
        <is>
          <t>Returned</t>
        </is>
      </c>
      <c r="J4099" t="n">
        <v>106</v>
      </c>
      <c r="K4099" t="n">
        <v>1</v>
      </c>
      <c r="L4099" t="n">
        <v>1574</v>
      </c>
      <c r="M4099" t="n">
        <v>78.7</v>
      </c>
      <c r="N4099">
        <f>VLOOKUP(J4099,Products!$A$2:$C$49,3,FALSE)</f>
        <v/>
      </c>
      <c r="O4099">
        <f>K4099*L4099-M4099</f>
        <v/>
      </c>
      <c r="P4099">
        <f>TEXT(B4099,"yyyy-mm")</f>
        <v/>
      </c>
      <c r="Q4099">
        <f>IF(O4099&gt;=3000,"Large","Small")</f>
        <v/>
      </c>
      <c r="R4099">
        <f>INDEX(Products!$F$2:$F$49,MATCH(J4099,Products!$A$2:$A$49,0))</f>
        <v/>
      </c>
      <c r="S4099">
        <f>WEEKDAY(B4099,2)</f>
        <v/>
      </c>
    </row>
    <row r="4100">
      <c r="A4100" t="n">
        <v>511620</v>
      </c>
      <c r="B4100" s="6" t="n">
        <v>46011</v>
      </c>
      <c r="C4100" t="n">
        <v>17701</v>
      </c>
      <c r="D4100" t="inlineStr">
        <is>
          <t>Delhi</t>
        </is>
      </c>
      <c r="E4100" t="inlineStr">
        <is>
          <t>North</t>
        </is>
      </c>
      <c r="F4100" t="inlineStr">
        <is>
          <t>Referral</t>
        </is>
      </c>
      <c r="G4100" t="inlineStr">
        <is>
          <t>Mobile Web</t>
        </is>
      </c>
      <c r="H4100" t="inlineStr">
        <is>
          <t>Debit Card</t>
        </is>
      </c>
      <c r="I4100" t="inlineStr">
        <is>
          <t>Returned</t>
        </is>
      </c>
      <c r="J4100" t="n">
        <v>146</v>
      </c>
      <c r="K4100" t="n">
        <v>1</v>
      </c>
      <c r="L4100" t="n">
        <v>4724</v>
      </c>
      <c r="M4100" t="n">
        <v>236.2</v>
      </c>
      <c r="N4100">
        <f>VLOOKUP(J4100,Products!$A$2:$C$49,3,FALSE)</f>
        <v/>
      </c>
      <c r="O4100">
        <f>K4100*L4100-M4100</f>
        <v/>
      </c>
      <c r="P4100">
        <f>TEXT(B4100,"yyyy-mm")</f>
        <v/>
      </c>
      <c r="Q4100">
        <f>IF(O4100&gt;=3000,"Large","Small")</f>
        <v/>
      </c>
      <c r="R4100">
        <f>INDEX(Products!$F$2:$F$49,MATCH(J4100,Products!$A$2:$A$49,0))</f>
        <v/>
      </c>
      <c r="S4100">
        <f>WEEKDAY(B4100,2)</f>
        <v/>
      </c>
    </row>
    <row r="4101">
      <c r="A4101" t="n">
        <v>511621</v>
      </c>
      <c r="B4101" s="6" t="n">
        <v>46011</v>
      </c>
      <c r="C4101" t="n">
        <v>17833</v>
      </c>
      <c r="D4101" t="inlineStr">
        <is>
          <t>Bengaluru</t>
        </is>
      </c>
      <c r="E4101" t="inlineStr">
        <is>
          <t>South</t>
        </is>
      </c>
      <c r="F4101" t="inlineStr">
        <is>
          <t>Organic Search</t>
        </is>
      </c>
      <c r="G4101" t="inlineStr">
        <is>
          <t>Mobile App</t>
        </is>
      </c>
      <c r="H4101" t="inlineStr">
        <is>
          <t>Debit Card</t>
        </is>
      </c>
      <c r="I4101" t="inlineStr">
        <is>
          <t>Delivered</t>
        </is>
      </c>
      <c r="J4101" t="n">
        <v>110</v>
      </c>
      <c r="K4101" t="n">
        <v>1</v>
      </c>
      <c r="L4101" t="n">
        <v>839</v>
      </c>
      <c r="M4101" t="n">
        <v>125.85</v>
      </c>
      <c r="N4101">
        <f>VLOOKUP(J4101,Products!$A$2:$C$49,3,FALSE)</f>
        <v/>
      </c>
      <c r="O4101">
        <f>K4101*L4101-M4101</f>
        <v/>
      </c>
      <c r="P4101">
        <f>TEXT(B4101,"yyyy-mm")</f>
        <v/>
      </c>
      <c r="Q4101">
        <f>IF(O4101&gt;=3000,"Large","Small")</f>
        <v/>
      </c>
      <c r="R4101">
        <f>INDEX(Products!$F$2:$F$49,MATCH(J4101,Products!$A$2:$A$49,0))</f>
        <v/>
      </c>
      <c r="S4101">
        <f>WEEKDAY(B4101,2)</f>
        <v/>
      </c>
    </row>
    <row r="4102">
      <c r="A4102" t="n">
        <v>511621</v>
      </c>
      <c r="B4102" s="6" t="n">
        <v>46011</v>
      </c>
      <c r="C4102" t="n">
        <v>17833</v>
      </c>
      <c r="D4102" t="inlineStr">
        <is>
          <t>Bengaluru</t>
        </is>
      </c>
      <c r="E4102" t="inlineStr">
        <is>
          <t>South</t>
        </is>
      </c>
      <c r="F4102" t="inlineStr">
        <is>
          <t>Organic Search</t>
        </is>
      </c>
      <c r="G4102" t="inlineStr">
        <is>
          <t>Mobile App</t>
        </is>
      </c>
      <c r="H4102" t="inlineStr">
        <is>
          <t>Debit Card</t>
        </is>
      </c>
      <c r="I4102" t="inlineStr">
        <is>
          <t>Delivered</t>
        </is>
      </c>
      <c r="J4102" t="n">
        <v>118</v>
      </c>
      <c r="K4102" t="n">
        <v>1</v>
      </c>
      <c r="L4102" t="n">
        <v>944</v>
      </c>
      <c r="M4102" t="n">
        <v>141.6</v>
      </c>
      <c r="N4102">
        <f>VLOOKUP(J4102,Products!$A$2:$C$49,3,FALSE)</f>
        <v/>
      </c>
      <c r="O4102">
        <f>K4102*L4102-M4102</f>
        <v/>
      </c>
      <c r="P4102">
        <f>TEXT(B4102,"yyyy-mm")</f>
        <v/>
      </c>
      <c r="Q4102">
        <f>IF(O4102&gt;=3000,"Large","Small")</f>
        <v/>
      </c>
      <c r="R4102">
        <f>INDEX(Products!$F$2:$F$49,MATCH(J4102,Products!$A$2:$A$49,0))</f>
        <v/>
      </c>
      <c r="S4102">
        <f>WEEKDAY(B4102,2)</f>
        <v/>
      </c>
    </row>
    <row r="4103">
      <c r="A4103" t="n">
        <v>511622</v>
      </c>
      <c r="B4103" s="6" t="n">
        <v>46011</v>
      </c>
      <c r="C4103" t="n">
        <v>17771</v>
      </c>
      <c r="D4103" t="inlineStr">
        <is>
          <t>Chennai</t>
        </is>
      </c>
      <c r="E4103" t="inlineStr">
        <is>
          <t>South</t>
        </is>
      </c>
      <c r="F4103" t="inlineStr">
        <is>
          <t>Paid Social</t>
        </is>
      </c>
      <c r="G4103" t="inlineStr">
        <is>
          <t>Desktop</t>
        </is>
      </c>
      <c r="H4103" t="inlineStr">
        <is>
          <t>UPI</t>
        </is>
      </c>
      <c r="I4103" t="inlineStr">
        <is>
          <t>Delivered</t>
        </is>
      </c>
      <c r="J4103" t="n">
        <v>131</v>
      </c>
      <c r="K4103" t="n">
        <v>3</v>
      </c>
      <c r="L4103" t="n">
        <v>314</v>
      </c>
      <c r="M4103" t="n">
        <v>0</v>
      </c>
      <c r="N4103">
        <f>VLOOKUP(J4103,Products!$A$2:$C$49,3,FALSE)</f>
        <v/>
      </c>
      <c r="O4103">
        <f>K4103*L4103-M4103</f>
        <v/>
      </c>
      <c r="P4103">
        <f>TEXT(B4103,"yyyy-mm")</f>
        <v/>
      </c>
      <c r="Q4103">
        <f>IF(O4103&gt;=3000,"Large","Small")</f>
        <v/>
      </c>
      <c r="R4103">
        <f>INDEX(Products!$F$2:$F$49,MATCH(J4103,Products!$A$2:$A$49,0))</f>
        <v/>
      </c>
      <c r="S4103">
        <f>WEEKDAY(B4103,2)</f>
        <v/>
      </c>
    </row>
    <row r="4104">
      <c r="A4104" t="n">
        <v>511622</v>
      </c>
      <c r="B4104" s="6" t="n">
        <v>46011</v>
      </c>
      <c r="C4104" t="n">
        <v>17771</v>
      </c>
      <c r="D4104" t="inlineStr">
        <is>
          <t>Chennai</t>
        </is>
      </c>
      <c r="E4104" t="inlineStr">
        <is>
          <t>South</t>
        </is>
      </c>
      <c r="F4104" t="inlineStr">
        <is>
          <t>Paid Social</t>
        </is>
      </c>
      <c r="G4104" t="inlineStr">
        <is>
          <t>Desktop</t>
        </is>
      </c>
      <c r="H4104" t="inlineStr">
        <is>
          <t>UPI</t>
        </is>
      </c>
      <c r="I4104" t="inlineStr">
        <is>
          <t>Delivered</t>
        </is>
      </c>
      <c r="J4104" t="n">
        <v>145</v>
      </c>
      <c r="K4104" t="n">
        <v>2</v>
      </c>
      <c r="L4104" t="n">
        <v>629</v>
      </c>
      <c r="M4104" t="n">
        <v>0</v>
      </c>
      <c r="N4104">
        <f>VLOOKUP(J4104,Products!$A$2:$C$49,3,FALSE)</f>
        <v/>
      </c>
      <c r="O4104">
        <f>K4104*L4104-M4104</f>
        <v/>
      </c>
      <c r="P4104">
        <f>TEXT(B4104,"yyyy-mm")</f>
        <v/>
      </c>
      <c r="Q4104">
        <f>IF(O4104&gt;=3000,"Large","Small")</f>
        <v/>
      </c>
      <c r="R4104">
        <f>INDEX(Products!$F$2:$F$49,MATCH(J4104,Products!$A$2:$A$49,0))</f>
        <v/>
      </c>
      <c r="S4104">
        <f>WEEKDAY(B4104,2)</f>
        <v/>
      </c>
    </row>
    <row r="4105">
      <c r="A4105" t="n">
        <v>511622</v>
      </c>
      <c r="B4105" s="6" t="n">
        <v>46011</v>
      </c>
      <c r="C4105" t="n">
        <v>17771</v>
      </c>
      <c r="D4105" t="inlineStr">
        <is>
          <t>Chennai</t>
        </is>
      </c>
      <c r="E4105" t="inlineStr">
        <is>
          <t>South</t>
        </is>
      </c>
      <c r="F4105" t="inlineStr">
        <is>
          <t>Paid Social</t>
        </is>
      </c>
      <c r="G4105" t="inlineStr">
        <is>
          <t>Desktop</t>
        </is>
      </c>
      <c r="H4105" t="inlineStr">
        <is>
          <t>UPI</t>
        </is>
      </c>
      <c r="I4105" t="inlineStr">
        <is>
          <t>Delivered</t>
        </is>
      </c>
      <c r="J4105" t="n">
        <v>103</v>
      </c>
      <c r="K4105" t="n">
        <v>2</v>
      </c>
      <c r="L4105" t="n">
        <v>2624</v>
      </c>
      <c r="M4105" t="n">
        <v>0</v>
      </c>
      <c r="N4105">
        <f>VLOOKUP(J4105,Products!$A$2:$C$49,3,FALSE)</f>
        <v/>
      </c>
      <c r="O4105">
        <f>K4105*L4105-M4105</f>
        <v/>
      </c>
      <c r="P4105">
        <f>TEXT(B4105,"yyyy-mm")</f>
        <v/>
      </c>
      <c r="Q4105">
        <f>IF(O4105&gt;=3000,"Large","Small")</f>
        <v/>
      </c>
      <c r="R4105">
        <f>INDEX(Products!$F$2:$F$49,MATCH(J4105,Products!$A$2:$A$49,0))</f>
        <v/>
      </c>
      <c r="S4105">
        <f>WEEKDAY(B4105,2)</f>
        <v/>
      </c>
    </row>
    <row r="4106">
      <c r="A4106" t="n">
        <v>511623</v>
      </c>
      <c r="B4106" s="6" t="n">
        <v>46011</v>
      </c>
      <c r="C4106" t="n">
        <v>17671</v>
      </c>
      <c r="D4106" t="inlineStr">
        <is>
          <t>Indore</t>
        </is>
      </c>
      <c r="E4106" t="inlineStr">
        <is>
          <t>West</t>
        </is>
      </c>
      <c r="F4106" t="inlineStr">
        <is>
          <t>Paid Search</t>
        </is>
      </c>
      <c r="G4106" t="inlineStr">
        <is>
          <t>Mobile App</t>
        </is>
      </c>
      <c r="H4106" t="inlineStr">
        <is>
          <t>Cash on Delivery</t>
        </is>
      </c>
      <c r="I4106" t="inlineStr">
        <is>
          <t>Cancelled</t>
        </is>
      </c>
      <c r="J4106" t="n">
        <v>131</v>
      </c>
      <c r="K4106" t="n">
        <v>1</v>
      </c>
      <c r="L4106" t="n">
        <v>314</v>
      </c>
      <c r="M4106" t="n">
        <v>47.1</v>
      </c>
      <c r="N4106">
        <f>VLOOKUP(J4106,Products!$A$2:$C$49,3,FALSE)</f>
        <v/>
      </c>
      <c r="O4106">
        <f>K4106*L4106-M4106</f>
        <v/>
      </c>
      <c r="P4106">
        <f>TEXT(B4106,"yyyy-mm")</f>
        <v/>
      </c>
      <c r="Q4106">
        <f>IF(O4106&gt;=3000,"Large","Small")</f>
        <v/>
      </c>
      <c r="R4106">
        <f>INDEX(Products!$F$2:$F$49,MATCH(J4106,Products!$A$2:$A$49,0))</f>
        <v/>
      </c>
      <c r="S4106">
        <f>WEEKDAY(B4106,2)</f>
        <v/>
      </c>
    </row>
    <row r="4107">
      <c r="A4107" t="n">
        <v>511624</v>
      </c>
      <c r="B4107" s="6" t="n">
        <v>46011</v>
      </c>
      <c r="C4107" t="n">
        <v>16687</v>
      </c>
      <c r="D4107" t="inlineStr">
        <is>
          <t>Delhi</t>
        </is>
      </c>
      <c r="E4107" t="inlineStr">
        <is>
          <t>North</t>
        </is>
      </c>
      <c r="F4107" t="inlineStr">
        <is>
          <t>Email</t>
        </is>
      </c>
      <c r="G4107" t="inlineStr">
        <is>
          <t>Desktop</t>
        </is>
      </c>
      <c r="H4107" t="inlineStr">
        <is>
          <t>UPI</t>
        </is>
      </c>
      <c r="I4107" t="inlineStr">
        <is>
          <t>Delivered</t>
        </is>
      </c>
      <c r="J4107" t="n">
        <v>117</v>
      </c>
      <c r="K4107" t="n">
        <v>1</v>
      </c>
      <c r="L4107" t="n">
        <v>3149</v>
      </c>
      <c r="M4107" t="n">
        <v>0</v>
      </c>
      <c r="N4107">
        <f>VLOOKUP(J4107,Products!$A$2:$C$49,3,FALSE)</f>
        <v/>
      </c>
      <c r="O4107">
        <f>K4107*L4107-M4107</f>
        <v/>
      </c>
      <c r="P4107">
        <f>TEXT(B4107,"yyyy-mm")</f>
        <v/>
      </c>
      <c r="Q4107">
        <f>IF(O4107&gt;=3000,"Large","Small")</f>
        <v/>
      </c>
      <c r="R4107">
        <f>INDEX(Products!$F$2:$F$49,MATCH(J4107,Products!$A$2:$A$49,0))</f>
        <v/>
      </c>
      <c r="S4107">
        <f>WEEKDAY(B4107,2)</f>
        <v/>
      </c>
    </row>
    <row r="4108">
      <c r="A4108" t="n">
        <v>511624</v>
      </c>
      <c r="B4108" s="6" t="n">
        <v>46011</v>
      </c>
      <c r="C4108" t="n">
        <v>16687</v>
      </c>
      <c r="D4108" t="inlineStr">
        <is>
          <t>Delhi</t>
        </is>
      </c>
      <c r="E4108" t="inlineStr">
        <is>
          <t>North</t>
        </is>
      </c>
      <c r="F4108" t="inlineStr">
        <is>
          <t>Email</t>
        </is>
      </c>
      <c r="G4108" t="inlineStr">
        <is>
          <t>Desktop</t>
        </is>
      </c>
      <c r="H4108" t="inlineStr">
        <is>
          <t>UPI</t>
        </is>
      </c>
      <c r="I4108" t="inlineStr">
        <is>
          <t>Delivered</t>
        </is>
      </c>
      <c r="J4108" t="n">
        <v>121</v>
      </c>
      <c r="K4108" t="n">
        <v>1</v>
      </c>
      <c r="L4108" t="n">
        <v>2939</v>
      </c>
      <c r="M4108" t="n">
        <v>0</v>
      </c>
      <c r="N4108">
        <f>VLOOKUP(J4108,Products!$A$2:$C$49,3,FALSE)</f>
        <v/>
      </c>
      <c r="O4108">
        <f>K4108*L4108-M4108</f>
        <v/>
      </c>
      <c r="P4108">
        <f>TEXT(B4108,"yyyy-mm")</f>
        <v/>
      </c>
      <c r="Q4108">
        <f>IF(O4108&gt;=3000,"Large","Small")</f>
        <v/>
      </c>
      <c r="R4108">
        <f>INDEX(Products!$F$2:$F$49,MATCH(J4108,Products!$A$2:$A$49,0))</f>
        <v/>
      </c>
      <c r="S4108">
        <f>WEEKDAY(B4108,2)</f>
        <v/>
      </c>
    </row>
    <row r="4109">
      <c r="A4109" t="n">
        <v>511624</v>
      </c>
      <c r="B4109" s="6" t="n">
        <v>46011</v>
      </c>
      <c r="C4109" t="n">
        <v>16687</v>
      </c>
      <c r="D4109" t="inlineStr">
        <is>
          <t>Delhi</t>
        </is>
      </c>
      <c r="E4109" t="inlineStr">
        <is>
          <t>North</t>
        </is>
      </c>
      <c r="F4109" t="inlineStr">
        <is>
          <t>Email</t>
        </is>
      </c>
      <c r="G4109" t="inlineStr">
        <is>
          <t>Desktop</t>
        </is>
      </c>
      <c r="H4109" t="inlineStr">
        <is>
          <t>UPI</t>
        </is>
      </c>
      <c r="I4109" t="inlineStr">
        <is>
          <t>Delivered</t>
        </is>
      </c>
      <c r="J4109" t="n">
        <v>128</v>
      </c>
      <c r="K4109" t="n">
        <v>1</v>
      </c>
      <c r="L4109" t="n">
        <v>1049</v>
      </c>
      <c r="M4109" t="n">
        <v>0</v>
      </c>
      <c r="N4109">
        <f>VLOOKUP(J4109,Products!$A$2:$C$49,3,FALSE)</f>
        <v/>
      </c>
      <c r="O4109">
        <f>K4109*L4109-M4109</f>
        <v/>
      </c>
      <c r="P4109">
        <f>TEXT(B4109,"yyyy-mm")</f>
        <v/>
      </c>
      <c r="Q4109">
        <f>IF(O4109&gt;=3000,"Large","Small")</f>
        <v/>
      </c>
      <c r="R4109">
        <f>INDEX(Products!$F$2:$F$49,MATCH(J4109,Products!$A$2:$A$49,0))</f>
        <v/>
      </c>
      <c r="S4109">
        <f>WEEKDAY(B4109,2)</f>
        <v/>
      </c>
    </row>
    <row r="4110">
      <c r="A4110" t="n">
        <v>511625</v>
      </c>
      <c r="B4110" s="6" t="n">
        <v>46011</v>
      </c>
      <c r="C4110" t="n">
        <v>17818</v>
      </c>
      <c r="D4110" t="inlineStr">
        <is>
          <t>Noida</t>
        </is>
      </c>
      <c r="E4110" t="inlineStr">
        <is>
          <t>North</t>
        </is>
      </c>
      <c r="F4110" t="inlineStr">
        <is>
          <t>Paid Search</t>
        </is>
      </c>
      <c r="G4110" t="inlineStr">
        <is>
          <t>Desktop</t>
        </is>
      </c>
      <c r="H4110" t="inlineStr">
        <is>
          <t>UPI</t>
        </is>
      </c>
      <c r="I4110" t="inlineStr">
        <is>
          <t>Delivered</t>
        </is>
      </c>
      <c r="J4110" t="n">
        <v>120</v>
      </c>
      <c r="K4110" t="n">
        <v>3</v>
      </c>
      <c r="L4110" t="n">
        <v>734</v>
      </c>
      <c r="M4110" t="n">
        <v>0</v>
      </c>
      <c r="N4110">
        <f>VLOOKUP(J4110,Products!$A$2:$C$49,3,FALSE)</f>
        <v/>
      </c>
      <c r="O4110">
        <f>K4110*L4110-M4110</f>
        <v/>
      </c>
      <c r="P4110">
        <f>TEXT(B4110,"yyyy-mm")</f>
        <v/>
      </c>
      <c r="Q4110">
        <f>IF(O4110&gt;=3000,"Large","Small")</f>
        <v/>
      </c>
      <c r="R4110">
        <f>INDEX(Products!$F$2:$F$49,MATCH(J4110,Products!$A$2:$A$49,0))</f>
        <v/>
      </c>
      <c r="S4110">
        <f>WEEKDAY(B4110,2)</f>
        <v/>
      </c>
    </row>
    <row r="4111">
      <c r="A4111" t="n">
        <v>511625</v>
      </c>
      <c r="B4111" s="6" t="n">
        <v>46011</v>
      </c>
      <c r="C4111" t="n">
        <v>17818</v>
      </c>
      <c r="D4111" t="inlineStr">
        <is>
          <t>Noida</t>
        </is>
      </c>
      <c r="E4111" t="inlineStr">
        <is>
          <t>North</t>
        </is>
      </c>
      <c r="F4111" t="inlineStr">
        <is>
          <t>Paid Search</t>
        </is>
      </c>
      <c r="G4111" t="inlineStr">
        <is>
          <t>Desktop</t>
        </is>
      </c>
      <c r="H4111" t="inlineStr">
        <is>
          <t>UPI</t>
        </is>
      </c>
      <c r="I4111" t="inlineStr">
        <is>
          <t>Delivered</t>
        </is>
      </c>
      <c r="J4111" t="n">
        <v>104</v>
      </c>
      <c r="K4111" t="n">
        <v>1</v>
      </c>
      <c r="L4111" t="n">
        <v>5249</v>
      </c>
      <c r="M4111" t="n">
        <v>0</v>
      </c>
      <c r="N4111">
        <f>VLOOKUP(J4111,Products!$A$2:$C$49,3,FALSE)</f>
        <v/>
      </c>
      <c r="O4111">
        <f>K4111*L4111-M4111</f>
        <v/>
      </c>
      <c r="P4111">
        <f>TEXT(B4111,"yyyy-mm")</f>
        <v/>
      </c>
      <c r="Q4111">
        <f>IF(O4111&gt;=3000,"Large","Small")</f>
        <v/>
      </c>
      <c r="R4111">
        <f>INDEX(Products!$F$2:$F$49,MATCH(J4111,Products!$A$2:$A$49,0))</f>
        <v/>
      </c>
      <c r="S4111">
        <f>WEEKDAY(B4111,2)</f>
        <v/>
      </c>
    </row>
    <row r="4112">
      <c r="A4112" t="n">
        <v>511626</v>
      </c>
      <c r="B4112" s="6" t="n">
        <v>46011</v>
      </c>
      <c r="C4112" t="n">
        <v>17848</v>
      </c>
      <c r="D4112" t="inlineStr">
        <is>
          <t>Mumbai</t>
        </is>
      </c>
      <c r="E4112" t="inlineStr">
        <is>
          <t>West</t>
        </is>
      </c>
      <c r="F4112" t="inlineStr">
        <is>
          <t>Organic Search</t>
        </is>
      </c>
      <c r="G4112" t="inlineStr">
        <is>
          <t>Desktop</t>
        </is>
      </c>
      <c r="H4112" t="inlineStr">
        <is>
          <t>Credit Card</t>
        </is>
      </c>
      <c r="I4112" t="inlineStr">
        <is>
          <t>Delivered</t>
        </is>
      </c>
      <c r="J4112" t="n">
        <v>107</v>
      </c>
      <c r="K4112" t="n">
        <v>1</v>
      </c>
      <c r="L4112" t="n">
        <v>1259</v>
      </c>
      <c r="M4112" t="n">
        <v>0</v>
      </c>
      <c r="N4112">
        <f>VLOOKUP(J4112,Products!$A$2:$C$49,3,FALSE)</f>
        <v/>
      </c>
      <c r="O4112">
        <f>K4112*L4112-M4112</f>
        <v/>
      </c>
      <c r="P4112">
        <f>TEXT(B4112,"yyyy-mm")</f>
        <v/>
      </c>
      <c r="Q4112">
        <f>IF(O4112&gt;=3000,"Large","Small")</f>
        <v/>
      </c>
      <c r="R4112">
        <f>INDEX(Products!$F$2:$F$49,MATCH(J4112,Products!$A$2:$A$49,0))</f>
        <v/>
      </c>
      <c r="S4112">
        <f>WEEKDAY(B4112,2)</f>
        <v/>
      </c>
    </row>
    <row r="4113">
      <c r="A4113" t="n">
        <v>511626</v>
      </c>
      <c r="B4113" s="6" t="n">
        <v>46011</v>
      </c>
      <c r="C4113" t="n">
        <v>17848</v>
      </c>
      <c r="D4113" t="inlineStr">
        <is>
          <t>Mumbai</t>
        </is>
      </c>
      <c r="E4113" t="inlineStr">
        <is>
          <t>West</t>
        </is>
      </c>
      <c r="F4113" t="inlineStr">
        <is>
          <t>Organic Search</t>
        </is>
      </c>
      <c r="G4113" t="inlineStr">
        <is>
          <t>Desktop</t>
        </is>
      </c>
      <c r="H4113" t="inlineStr">
        <is>
          <t>Credit Card</t>
        </is>
      </c>
      <c r="I4113" t="inlineStr">
        <is>
          <t>Delivered</t>
        </is>
      </c>
      <c r="J4113" t="n">
        <v>144</v>
      </c>
      <c r="K4113" t="n">
        <v>1</v>
      </c>
      <c r="L4113" t="n">
        <v>3149</v>
      </c>
      <c r="M4113" t="n">
        <v>0</v>
      </c>
      <c r="N4113">
        <f>VLOOKUP(J4113,Products!$A$2:$C$49,3,FALSE)</f>
        <v/>
      </c>
      <c r="O4113">
        <f>K4113*L4113-M4113</f>
        <v/>
      </c>
      <c r="P4113">
        <f>TEXT(B4113,"yyyy-mm")</f>
        <v/>
      </c>
      <c r="Q4113">
        <f>IF(O4113&gt;=3000,"Large","Small")</f>
        <v/>
      </c>
      <c r="R4113">
        <f>INDEX(Products!$F$2:$F$49,MATCH(J4113,Products!$A$2:$A$49,0))</f>
        <v/>
      </c>
      <c r="S4113">
        <f>WEEKDAY(B4113,2)</f>
        <v/>
      </c>
    </row>
    <row r="4114">
      <c r="A4114" t="n">
        <v>511627</v>
      </c>
      <c r="B4114" s="6" t="n">
        <v>46011</v>
      </c>
      <c r="C4114" t="n">
        <v>17746</v>
      </c>
      <c r="D4114" t="inlineStr">
        <is>
          <t>Kolkata</t>
        </is>
      </c>
      <c r="E4114" t="inlineStr">
        <is>
          <t>East</t>
        </is>
      </c>
      <c r="F4114" t="inlineStr">
        <is>
          <t>Organic Search</t>
        </is>
      </c>
      <c r="G4114" t="inlineStr">
        <is>
          <t>Mobile Web</t>
        </is>
      </c>
      <c r="H4114" t="inlineStr">
        <is>
          <t>Cash on Delivery</t>
        </is>
      </c>
      <c r="I4114" t="inlineStr">
        <is>
          <t>Delivered</t>
        </is>
      </c>
      <c r="J4114" t="n">
        <v>122</v>
      </c>
      <c r="K4114" t="n">
        <v>2</v>
      </c>
      <c r="L4114" t="n">
        <v>1994</v>
      </c>
      <c r="M4114" t="n">
        <v>598.2</v>
      </c>
      <c r="N4114">
        <f>VLOOKUP(J4114,Products!$A$2:$C$49,3,FALSE)</f>
        <v/>
      </c>
      <c r="O4114">
        <f>K4114*L4114-M4114</f>
        <v/>
      </c>
      <c r="P4114">
        <f>TEXT(B4114,"yyyy-mm")</f>
        <v/>
      </c>
      <c r="Q4114">
        <f>IF(O4114&gt;=3000,"Large","Small")</f>
        <v/>
      </c>
      <c r="R4114">
        <f>INDEX(Products!$F$2:$F$49,MATCH(J4114,Products!$A$2:$A$49,0))</f>
        <v/>
      </c>
      <c r="S4114">
        <f>WEEKDAY(B4114,2)</f>
        <v/>
      </c>
    </row>
    <row r="4115">
      <c r="A4115" t="n">
        <v>511628</v>
      </c>
      <c r="B4115" s="6" t="n">
        <v>46011</v>
      </c>
      <c r="C4115" t="n">
        <v>17770</v>
      </c>
      <c r="D4115" t="inlineStr">
        <is>
          <t>Pune</t>
        </is>
      </c>
      <c r="E4115" t="inlineStr">
        <is>
          <t>West</t>
        </is>
      </c>
      <c r="F4115" t="inlineStr">
        <is>
          <t>Paid Search</t>
        </is>
      </c>
      <c r="G4115" t="inlineStr">
        <is>
          <t>Desktop</t>
        </is>
      </c>
      <c r="H4115" t="inlineStr">
        <is>
          <t>UPI</t>
        </is>
      </c>
      <c r="I4115" t="inlineStr">
        <is>
          <t>Delivered</t>
        </is>
      </c>
      <c r="J4115" t="n">
        <v>126</v>
      </c>
      <c r="K4115" t="n">
        <v>1</v>
      </c>
      <c r="L4115" t="n">
        <v>471</v>
      </c>
      <c r="M4115" t="n">
        <v>0</v>
      </c>
      <c r="N4115">
        <f>VLOOKUP(J4115,Products!$A$2:$C$49,3,FALSE)</f>
        <v/>
      </c>
      <c r="O4115">
        <f>K4115*L4115-M4115</f>
        <v/>
      </c>
      <c r="P4115">
        <f>TEXT(B4115,"yyyy-mm")</f>
        <v/>
      </c>
      <c r="Q4115">
        <f>IF(O4115&gt;=3000,"Large","Small")</f>
        <v/>
      </c>
      <c r="R4115">
        <f>INDEX(Products!$F$2:$F$49,MATCH(J4115,Products!$A$2:$A$49,0))</f>
        <v/>
      </c>
      <c r="S4115">
        <f>WEEKDAY(B4115,2)</f>
        <v/>
      </c>
    </row>
    <row r="4116">
      <c r="A4116" t="n">
        <v>511628</v>
      </c>
      <c r="B4116" s="6" t="n">
        <v>46011</v>
      </c>
      <c r="C4116" t="n">
        <v>17770</v>
      </c>
      <c r="D4116" t="inlineStr">
        <is>
          <t>Pune</t>
        </is>
      </c>
      <c r="E4116" t="inlineStr">
        <is>
          <t>West</t>
        </is>
      </c>
      <c r="F4116" t="inlineStr">
        <is>
          <t>Paid Search</t>
        </is>
      </c>
      <c r="G4116" t="inlineStr">
        <is>
          <t>Desktop</t>
        </is>
      </c>
      <c r="H4116" t="inlineStr">
        <is>
          <t>UPI</t>
        </is>
      </c>
      <c r="I4116" t="inlineStr">
        <is>
          <t>Delivered</t>
        </is>
      </c>
      <c r="J4116" t="n">
        <v>143</v>
      </c>
      <c r="K4116" t="n">
        <v>2</v>
      </c>
      <c r="L4116" t="n">
        <v>839</v>
      </c>
      <c r="M4116" t="n">
        <v>0</v>
      </c>
      <c r="N4116">
        <f>VLOOKUP(J4116,Products!$A$2:$C$49,3,FALSE)</f>
        <v/>
      </c>
      <c r="O4116">
        <f>K4116*L4116-M4116</f>
        <v/>
      </c>
      <c r="P4116">
        <f>TEXT(B4116,"yyyy-mm")</f>
        <v/>
      </c>
      <c r="Q4116">
        <f>IF(O4116&gt;=3000,"Large","Small")</f>
        <v/>
      </c>
      <c r="R4116">
        <f>INDEX(Products!$F$2:$F$49,MATCH(J4116,Products!$A$2:$A$49,0))</f>
        <v/>
      </c>
      <c r="S4116">
        <f>WEEKDAY(B4116,2)</f>
        <v/>
      </c>
    </row>
    <row r="4117">
      <c r="A4117" t="n">
        <v>511629</v>
      </c>
      <c r="B4117" s="6" t="n">
        <v>46011</v>
      </c>
      <c r="C4117" t="n">
        <v>17050</v>
      </c>
      <c r="D4117" t="inlineStr">
        <is>
          <t>Kochi</t>
        </is>
      </c>
      <c r="E4117" t="inlineStr">
        <is>
          <t>South</t>
        </is>
      </c>
      <c r="F4117" t="inlineStr">
        <is>
          <t>Referral</t>
        </is>
      </c>
      <c r="G4117" t="inlineStr">
        <is>
          <t>Mobile App</t>
        </is>
      </c>
      <c r="H4117" t="inlineStr">
        <is>
          <t>UPI</t>
        </is>
      </c>
      <c r="I4117" t="inlineStr">
        <is>
          <t>Delivered</t>
        </is>
      </c>
      <c r="J4117" t="n">
        <v>137</v>
      </c>
      <c r="K4117" t="n">
        <v>2</v>
      </c>
      <c r="L4117" t="n">
        <v>261</v>
      </c>
      <c r="M4117" t="n">
        <v>0</v>
      </c>
      <c r="N4117">
        <f>VLOOKUP(J4117,Products!$A$2:$C$49,3,FALSE)</f>
        <v/>
      </c>
      <c r="O4117">
        <f>K4117*L4117-M4117</f>
        <v/>
      </c>
      <c r="P4117">
        <f>TEXT(B4117,"yyyy-mm")</f>
        <v/>
      </c>
      <c r="Q4117">
        <f>IF(O4117&gt;=3000,"Large","Small")</f>
        <v/>
      </c>
      <c r="R4117">
        <f>INDEX(Products!$F$2:$F$49,MATCH(J4117,Products!$A$2:$A$49,0))</f>
        <v/>
      </c>
      <c r="S4117">
        <f>WEEKDAY(B4117,2)</f>
        <v/>
      </c>
    </row>
    <row r="4118">
      <c r="A4118" t="n">
        <v>511630</v>
      </c>
      <c r="B4118" s="6" t="n">
        <v>46011</v>
      </c>
      <c r="C4118" t="n">
        <v>17752</v>
      </c>
      <c r="D4118" t="inlineStr">
        <is>
          <t>Chandigarh</t>
        </is>
      </c>
      <c r="E4118" t="inlineStr">
        <is>
          <t>North</t>
        </is>
      </c>
      <c r="F4118" t="inlineStr">
        <is>
          <t>Paid Social</t>
        </is>
      </c>
      <c r="G4118" t="inlineStr">
        <is>
          <t>Mobile Web</t>
        </is>
      </c>
      <c r="H4118" t="inlineStr">
        <is>
          <t>UPI</t>
        </is>
      </c>
      <c r="I4118" t="inlineStr">
        <is>
          <t>Delivered</t>
        </is>
      </c>
      <c r="J4118" t="n">
        <v>114</v>
      </c>
      <c r="K4118" t="n">
        <v>1</v>
      </c>
      <c r="L4118" t="n">
        <v>1259</v>
      </c>
      <c r="M4118" t="n">
        <v>188.85</v>
      </c>
      <c r="N4118">
        <f>VLOOKUP(J4118,Products!$A$2:$C$49,3,FALSE)</f>
        <v/>
      </c>
      <c r="O4118">
        <f>K4118*L4118-M4118</f>
        <v/>
      </c>
      <c r="P4118">
        <f>TEXT(B4118,"yyyy-mm")</f>
        <v/>
      </c>
      <c r="Q4118">
        <f>IF(O4118&gt;=3000,"Large","Small")</f>
        <v/>
      </c>
      <c r="R4118">
        <f>INDEX(Products!$F$2:$F$49,MATCH(J4118,Products!$A$2:$A$49,0))</f>
        <v/>
      </c>
      <c r="S4118">
        <f>WEEKDAY(B4118,2)</f>
        <v/>
      </c>
    </row>
    <row r="4119">
      <c r="A4119" t="n">
        <v>511630</v>
      </c>
      <c r="B4119" s="6" t="n">
        <v>46011</v>
      </c>
      <c r="C4119" t="n">
        <v>17752</v>
      </c>
      <c r="D4119" t="inlineStr">
        <is>
          <t>Chandigarh</t>
        </is>
      </c>
      <c r="E4119" t="inlineStr">
        <is>
          <t>North</t>
        </is>
      </c>
      <c r="F4119" t="inlineStr">
        <is>
          <t>Paid Social</t>
        </is>
      </c>
      <c r="G4119" t="inlineStr">
        <is>
          <t>Mobile Web</t>
        </is>
      </c>
      <c r="H4119" t="inlineStr">
        <is>
          <t>UPI</t>
        </is>
      </c>
      <c r="I4119" t="inlineStr">
        <is>
          <t>Delivered</t>
        </is>
      </c>
      <c r="J4119" t="n">
        <v>133</v>
      </c>
      <c r="K4119" t="n">
        <v>1</v>
      </c>
      <c r="L4119" t="n">
        <v>419</v>
      </c>
      <c r="M4119" t="n">
        <v>62.85</v>
      </c>
      <c r="N4119">
        <f>VLOOKUP(J4119,Products!$A$2:$C$49,3,FALSE)</f>
        <v/>
      </c>
      <c r="O4119">
        <f>K4119*L4119-M4119</f>
        <v/>
      </c>
      <c r="P4119">
        <f>TEXT(B4119,"yyyy-mm")</f>
        <v/>
      </c>
      <c r="Q4119">
        <f>IF(O4119&gt;=3000,"Large","Small")</f>
        <v/>
      </c>
      <c r="R4119">
        <f>INDEX(Products!$F$2:$F$49,MATCH(J4119,Products!$A$2:$A$49,0))</f>
        <v/>
      </c>
      <c r="S4119">
        <f>WEEKDAY(B4119,2)</f>
        <v/>
      </c>
    </row>
    <row r="4120">
      <c r="A4120" t="n">
        <v>511630</v>
      </c>
      <c r="B4120" s="6" t="n">
        <v>46011</v>
      </c>
      <c r="C4120" t="n">
        <v>17752</v>
      </c>
      <c r="D4120" t="inlineStr">
        <is>
          <t>Chandigarh</t>
        </is>
      </c>
      <c r="E4120" t="inlineStr">
        <is>
          <t>North</t>
        </is>
      </c>
      <c r="F4120" t="inlineStr">
        <is>
          <t>Paid Social</t>
        </is>
      </c>
      <c r="G4120" t="inlineStr">
        <is>
          <t>Mobile Web</t>
        </is>
      </c>
      <c r="H4120" t="inlineStr">
        <is>
          <t>UPI</t>
        </is>
      </c>
      <c r="I4120" t="inlineStr">
        <is>
          <t>Delivered</t>
        </is>
      </c>
      <c r="J4120" t="n">
        <v>124</v>
      </c>
      <c r="K4120" t="n">
        <v>1</v>
      </c>
      <c r="L4120" t="n">
        <v>1154</v>
      </c>
      <c r="M4120" t="n">
        <v>173.1</v>
      </c>
      <c r="N4120">
        <f>VLOOKUP(J4120,Products!$A$2:$C$49,3,FALSE)</f>
        <v/>
      </c>
      <c r="O4120">
        <f>K4120*L4120-M4120</f>
        <v/>
      </c>
      <c r="P4120">
        <f>TEXT(B4120,"yyyy-mm")</f>
        <v/>
      </c>
      <c r="Q4120">
        <f>IF(O4120&gt;=3000,"Large","Small")</f>
        <v/>
      </c>
      <c r="R4120">
        <f>INDEX(Products!$F$2:$F$49,MATCH(J4120,Products!$A$2:$A$49,0))</f>
        <v/>
      </c>
      <c r="S4120">
        <f>WEEKDAY(B4120,2)</f>
        <v/>
      </c>
    </row>
    <row r="4121">
      <c r="A4121" t="n">
        <v>511631</v>
      </c>
      <c r="B4121" s="6" t="n">
        <v>46011</v>
      </c>
      <c r="C4121" t="n">
        <v>17787</v>
      </c>
      <c r="D4121" t="inlineStr">
        <is>
          <t>Delhi</t>
        </is>
      </c>
      <c r="E4121" t="inlineStr">
        <is>
          <t>North</t>
        </is>
      </c>
      <c r="F4121" t="inlineStr">
        <is>
          <t>Paid Search</t>
        </is>
      </c>
      <c r="G4121" t="inlineStr">
        <is>
          <t>Mobile App</t>
        </is>
      </c>
      <c r="H4121" t="inlineStr">
        <is>
          <t>Cash on Delivery</t>
        </is>
      </c>
      <c r="I4121" t="inlineStr">
        <is>
          <t>Delivered</t>
        </is>
      </c>
      <c r="J4121" t="n">
        <v>110</v>
      </c>
      <c r="K4121" t="n">
        <v>1</v>
      </c>
      <c r="L4121" t="n">
        <v>839</v>
      </c>
      <c r="M4121" t="n">
        <v>0</v>
      </c>
      <c r="N4121">
        <f>VLOOKUP(J4121,Products!$A$2:$C$49,3,FALSE)</f>
        <v/>
      </c>
      <c r="O4121">
        <f>K4121*L4121-M4121</f>
        <v/>
      </c>
      <c r="P4121">
        <f>TEXT(B4121,"yyyy-mm")</f>
        <v/>
      </c>
      <c r="Q4121">
        <f>IF(O4121&gt;=3000,"Large","Small")</f>
        <v/>
      </c>
      <c r="R4121">
        <f>INDEX(Products!$F$2:$F$49,MATCH(J4121,Products!$A$2:$A$49,0))</f>
        <v/>
      </c>
      <c r="S4121">
        <f>WEEKDAY(B4121,2)</f>
        <v/>
      </c>
    </row>
    <row r="4122">
      <c r="A4122" t="n">
        <v>511631</v>
      </c>
      <c r="B4122" s="6" t="n">
        <v>46011</v>
      </c>
      <c r="C4122" t="n">
        <v>17787</v>
      </c>
      <c r="D4122" t="inlineStr">
        <is>
          <t>Delhi</t>
        </is>
      </c>
      <c r="E4122" t="inlineStr">
        <is>
          <t>North</t>
        </is>
      </c>
      <c r="F4122" t="inlineStr">
        <is>
          <t>Paid Search</t>
        </is>
      </c>
      <c r="G4122" t="inlineStr">
        <is>
          <t>Mobile App</t>
        </is>
      </c>
      <c r="H4122" t="inlineStr">
        <is>
          <t>Cash on Delivery</t>
        </is>
      </c>
      <c r="I4122" t="inlineStr">
        <is>
          <t>Delivered</t>
        </is>
      </c>
      <c r="J4122" t="n">
        <v>120</v>
      </c>
      <c r="K4122" t="n">
        <v>1</v>
      </c>
      <c r="L4122" t="n">
        <v>734</v>
      </c>
      <c r="M4122" t="n">
        <v>0</v>
      </c>
      <c r="N4122">
        <f>VLOOKUP(J4122,Products!$A$2:$C$49,3,FALSE)</f>
        <v/>
      </c>
      <c r="O4122">
        <f>K4122*L4122-M4122</f>
        <v/>
      </c>
      <c r="P4122">
        <f>TEXT(B4122,"yyyy-mm")</f>
        <v/>
      </c>
      <c r="Q4122">
        <f>IF(O4122&gt;=3000,"Large","Small")</f>
        <v/>
      </c>
      <c r="R4122">
        <f>INDEX(Products!$F$2:$F$49,MATCH(J4122,Products!$A$2:$A$49,0))</f>
        <v/>
      </c>
      <c r="S4122">
        <f>WEEKDAY(B4122,2)</f>
        <v/>
      </c>
    </row>
    <row r="4123">
      <c r="A4123" t="n">
        <v>511632</v>
      </c>
      <c r="B4123" s="6" t="n">
        <v>46011</v>
      </c>
      <c r="C4123" t="n">
        <v>17587</v>
      </c>
      <c r="D4123" t="inlineStr">
        <is>
          <t>Chennai</t>
        </is>
      </c>
      <c r="E4123" t="inlineStr">
        <is>
          <t>South</t>
        </is>
      </c>
      <c r="F4123" t="inlineStr">
        <is>
          <t>Paid Social</t>
        </is>
      </c>
      <c r="G4123" t="inlineStr">
        <is>
          <t>Desktop</t>
        </is>
      </c>
      <c r="H4123" t="inlineStr">
        <is>
          <t>UPI</t>
        </is>
      </c>
      <c r="I4123" t="inlineStr">
        <is>
          <t>Delivered</t>
        </is>
      </c>
      <c r="J4123" t="n">
        <v>117</v>
      </c>
      <c r="K4123" t="n">
        <v>1</v>
      </c>
      <c r="L4123" t="n">
        <v>3149</v>
      </c>
      <c r="M4123" t="n">
        <v>0</v>
      </c>
      <c r="N4123">
        <f>VLOOKUP(J4123,Products!$A$2:$C$49,3,FALSE)</f>
        <v/>
      </c>
      <c r="O4123">
        <f>K4123*L4123-M4123</f>
        <v/>
      </c>
      <c r="P4123">
        <f>TEXT(B4123,"yyyy-mm")</f>
        <v/>
      </c>
      <c r="Q4123">
        <f>IF(O4123&gt;=3000,"Large","Small")</f>
        <v/>
      </c>
      <c r="R4123">
        <f>INDEX(Products!$F$2:$F$49,MATCH(J4123,Products!$A$2:$A$49,0))</f>
        <v/>
      </c>
      <c r="S4123">
        <f>WEEKDAY(B4123,2)</f>
        <v/>
      </c>
    </row>
    <row r="4124">
      <c r="A4124" t="n">
        <v>511632</v>
      </c>
      <c r="B4124" s="6" t="n">
        <v>46011</v>
      </c>
      <c r="C4124" t="n">
        <v>17587</v>
      </c>
      <c r="D4124" t="inlineStr">
        <is>
          <t>Chennai</t>
        </is>
      </c>
      <c r="E4124" t="inlineStr">
        <is>
          <t>South</t>
        </is>
      </c>
      <c r="F4124" t="inlineStr">
        <is>
          <t>Paid Social</t>
        </is>
      </c>
      <c r="G4124" t="inlineStr">
        <is>
          <t>Desktop</t>
        </is>
      </c>
      <c r="H4124" t="inlineStr">
        <is>
          <t>UPI</t>
        </is>
      </c>
      <c r="I4124" t="inlineStr">
        <is>
          <t>Delivered</t>
        </is>
      </c>
      <c r="J4124" t="n">
        <v>119</v>
      </c>
      <c r="K4124" t="n">
        <v>1</v>
      </c>
      <c r="L4124" t="n">
        <v>2309</v>
      </c>
      <c r="M4124" t="n">
        <v>0</v>
      </c>
      <c r="N4124">
        <f>VLOOKUP(J4124,Products!$A$2:$C$49,3,FALSE)</f>
        <v/>
      </c>
      <c r="O4124">
        <f>K4124*L4124-M4124</f>
        <v/>
      </c>
      <c r="P4124">
        <f>TEXT(B4124,"yyyy-mm")</f>
        <v/>
      </c>
      <c r="Q4124">
        <f>IF(O4124&gt;=3000,"Large","Small")</f>
        <v/>
      </c>
      <c r="R4124">
        <f>INDEX(Products!$F$2:$F$49,MATCH(J4124,Products!$A$2:$A$49,0))</f>
        <v/>
      </c>
      <c r="S4124">
        <f>WEEKDAY(B4124,2)</f>
        <v/>
      </c>
    </row>
    <row r="4125">
      <c r="A4125" t="n">
        <v>511632</v>
      </c>
      <c r="B4125" s="6" t="n">
        <v>46011</v>
      </c>
      <c r="C4125" t="n">
        <v>17587</v>
      </c>
      <c r="D4125" t="inlineStr">
        <is>
          <t>Chennai</t>
        </is>
      </c>
      <c r="E4125" t="inlineStr">
        <is>
          <t>South</t>
        </is>
      </c>
      <c r="F4125" t="inlineStr">
        <is>
          <t>Paid Social</t>
        </is>
      </c>
      <c r="G4125" t="inlineStr">
        <is>
          <t>Desktop</t>
        </is>
      </c>
      <c r="H4125" t="inlineStr">
        <is>
          <t>UPI</t>
        </is>
      </c>
      <c r="I4125" t="inlineStr">
        <is>
          <t>Delivered</t>
        </is>
      </c>
      <c r="J4125" t="n">
        <v>116</v>
      </c>
      <c r="K4125" t="n">
        <v>1</v>
      </c>
      <c r="L4125" t="n">
        <v>2624</v>
      </c>
      <c r="M4125" t="n">
        <v>0</v>
      </c>
      <c r="N4125">
        <f>VLOOKUP(J4125,Products!$A$2:$C$49,3,FALSE)</f>
        <v/>
      </c>
      <c r="O4125">
        <f>K4125*L4125-M4125</f>
        <v/>
      </c>
      <c r="P4125">
        <f>TEXT(B4125,"yyyy-mm")</f>
        <v/>
      </c>
      <c r="Q4125">
        <f>IF(O4125&gt;=3000,"Large","Small")</f>
        <v/>
      </c>
      <c r="R4125">
        <f>INDEX(Products!$F$2:$F$49,MATCH(J4125,Products!$A$2:$A$49,0))</f>
        <v/>
      </c>
      <c r="S4125">
        <f>WEEKDAY(B4125,2)</f>
        <v/>
      </c>
    </row>
    <row r="4126">
      <c r="A4126" t="n">
        <v>511633</v>
      </c>
      <c r="B4126" s="6" t="n">
        <v>46012</v>
      </c>
      <c r="C4126" t="n">
        <v>17837</v>
      </c>
      <c r="D4126" t="inlineStr">
        <is>
          <t>Kochi</t>
        </is>
      </c>
      <c r="E4126" t="inlineStr">
        <is>
          <t>South</t>
        </is>
      </c>
      <c r="F4126" t="inlineStr">
        <is>
          <t>Paid Search</t>
        </is>
      </c>
      <c r="G4126" t="inlineStr">
        <is>
          <t>Mobile Web</t>
        </is>
      </c>
      <c r="H4126" t="inlineStr">
        <is>
          <t>Debit Card</t>
        </is>
      </c>
      <c r="I4126" t="inlineStr">
        <is>
          <t>Delivered</t>
        </is>
      </c>
      <c r="J4126" t="n">
        <v>120</v>
      </c>
      <c r="K4126" t="n">
        <v>1</v>
      </c>
      <c r="L4126" t="n">
        <v>734</v>
      </c>
      <c r="M4126" t="n">
        <v>110.1</v>
      </c>
      <c r="N4126">
        <f>VLOOKUP(J4126,Products!$A$2:$C$49,3,FALSE)</f>
        <v/>
      </c>
      <c r="O4126">
        <f>K4126*L4126-M4126</f>
        <v/>
      </c>
      <c r="P4126">
        <f>TEXT(B4126,"yyyy-mm")</f>
        <v/>
      </c>
      <c r="Q4126">
        <f>IF(O4126&gt;=3000,"Large","Small")</f>
        <v/>
      </c>
      <c r="R4126">
        <f>INDEX(Products!$F$2:$F$49,MATCH(J4126,Products!$A$2:$A$49,0))</f>
        <v/>
      </c>
      <c r="S4126">
        <f>WEEKDAY(B4126,2)</f>
        <v/>
      </c>
    </row>
    <row r="4127">
      <c r="A4127" t="n">
        <v>511633</v>
      </c>
      <c r="B4127" s="6" t="n">
        <v>46012</v>
      </c>
      <c r="C4127" t="n">
        <v>17837</v>
      </c>
      <c r="D4127" t="inlineStr">
        <is>
          <t>Kochi</t>
        </is>
      </c>
      <c r="E4127" t="inlineStr">
        <is>
          <t>South</t>
        </is>
      </c>
      <c r="F4127" t="inlineStr">
        <is>
          <t>Paid Search</t>
        </is>
      </c>
      <c r="G4127" t="inlineStr">
        <is>
          <t>Mobile Web</t>
        </is>
      </c>
      <c r="H4127" t="inlineStr">
        <is>
          <t>Debit Card</t>
        </is>
      </c>
      <c r="I4127" t="inlineStr">
        <is>
          <t>Delivered</t>
        </is>
      </c>
      <c r="J4127" t="n">
        <v>118</v>
      </c>
      <c r="K4127" t="n">
        <v>2</v>
      </c>
      <c r="L4127" t="n">
        <v>944</v>
      </c>
      <c r="M4127" t="n">
        <v>283.2</v>
      </c>
      <c r="N4127">
        <f>VLOOKUP(J4127,Products!$A$2:$C$49,3,FALSE)</f>
        <v/>
      </c>
      <c r="O4127">
        <f>K4127*L4127-M4127</f>
        <v/>
      </c>
      <c r="P4127">
        <f>TEXT(B4127,"yyyy-mm")</f>
        <v/>
      </c>
      <c r="Q4127">
        <f>IF(O4127&gt;=3000,"Large","Small")</f>
        <v/>
      </c>
      <c r="R4127">
        <f>INDEX(Products!$F$2:$F$49,MATCH(J4127,Products!$A$2:$A$49,0))</f>
        <v/>
      </c>
      <c r="S4127">
        <f>WEEKDAY(B4127,2)</f>
        <v/>
      </c>
    </row>
    <row r="4128">
      <c r="A4128" t="n">
        <v>511633</v>
      </c>
      <c r="B4128" s="6" t="n">
        <v>46012</v>
      </c>
      <c r="C4128" t="n">
        <v>17837</v>
      </c>
      <c r="D4128" t="inlineStr">
        <is>
          <t>Kochi</t>
        </is>
      </c>
      <c r="E4128" t="inlineStr">
        <is>
          <t>South</t>
        </is>
      </c>
      <c r="F4128" t="inlineStr">
        <is>
          <t>Paid Search</t>
        </is>
      </c>
      <c r="G4128" t="inlineStr">
        <is>
          <t>Mobile Web</t>
        </is>
      </c>
      <c r="H4128" t="inlineStr">
        <is>
          <t>Debit Card</t>
        </is>
      </c>
      <c r="I4128" t="inlineStr">
        <is>
          <t>Delivered</t>
        </is>
      </c>
      <c r="J4128" t="n">
        <v>109</v>
      </c>
      <c r="K4128" t="n">
        <v>2</v>
      </c>
      <c r="L4128" t="n">
        <v>4199</v>
      </c>
      <c r="M4128" t="n">
        <v>1259.7</v>
      </c>
      <c r="N4128">
        <f>VLOOKUP(J4128,Products!$A$2:$C$49,3,FALSE)</f>
        <v/>
      </c>
      <c r="O4128">
        <f>K4128*L4128-M4128</f>
        <v/>
      </c>
      <c r="P4128">
        <f>TEXT(B4128,"yyyy-mm")</f>
        <v/>
      </c>
      <c r="Q4128">
        <f>IF(O4128&gt;=3000,"Large","Small")</f>
        <v/>
      </c>
      <c r="R4128">
        <f>INDEX(Products!$F$2:$F$49,MATCH(J4128,Products!$A$2:$A$49,0))</f>
        <v/>
      </c>
      <c r="S4128">
        <f>WEEKDAY(B4128,2)</f>
        <v/>
      </c>
    </row>
    <row r="4129">
      <c r="A4129" t="n">
        <v>511634</v>
      </c>
      <c r="B4129" s="6" t="n">
        <v>46012</v>
      </c>
      <c r="C4129" t="n">
        <v>17856</v>
      </c>
      <c r="D4129" t="inlineStr">
        <is>
          <t>Bengaluru</t>
        </is>
      </c>
      <c r="E4129" t="inlineStr">
        <is>
          <t>South</t>
        </is>
      </c>
      <c r="F4129" t="inlineStr">
        <is>
          <t>Paid Search</t>
        </is>
      </c>
      <c r="G4129" t="inlineStr">
        <is>
          <t>Mobile Web</t>
        </is>
      </c>
      <c r="H4129" t="inlineStr">
        <is>
          <t>UPI</t>
        </is>
      </c>
      <c r="I4129" t="inlineStr">
        <is>
          <t>Delivered</t>
        </is>
      </c>
      <c r="J4129" t="n">
        <v>141</v>
      </c>
      <c r="K4129" t="n">
        <v>1</v>
      </c>
      <c r="L4129" t="n">
        <v>261</v>
      </c>
      <c r="M4129" t="n">
        <v>13.05</v>
      </c>
      <c r="N4129">
        <f>VLOOKUP(J4129,Products!$A$2:$C$49,3,FALSE)</f>
        <v/>
      </c>
      <c r="O4129">
        <f>K4129*L4129-M4129</f>
        <v/>
      </c>
      <c r="P4129">
        <f>TEXT(B4129,"yyyy-mm")</f>
        <v/>
      </c>
      <c r="Q4129">
        <f>IF(O4129&gt;=3000,"Large","Small")</f>
        <v/>
      </c>
      <c r="R4129">
        <f>INDEX(Products!$F$2:$F$49,MATCH(J4129,Products!$A$2:$A$49,0))</f>
        <v/>
      </c>
      <c r="S4129">
        <f>WEEKDAY(B4129,2)</f>
        <v/>
      </c>
    </row>
    <row r="4130">
      <c r="A4130" t="n">
        <v>511634</v>
      </c>
      <c r="B4130" s="6" t="n">
        <v>46012</v>
      </c>
      <c r="C4130" t="n">
        <v>17856</v>
      </c>
      <c r="D4130" t="inlineStr">
        <is>
          <t>Bengaluru</t>
        </is>
      </c>
      <c r="E4130" t="inlineStr">
        <is>
          <t>South</t>
        </is>
      </c>
      <c r="F4130" t="inlineStr">
        <is>
          <t>Paid Search</t>
        </is>
      </c>
      <c r="G4130" t="inlineStr">
        <is>
          <t>Mobile Web</t>
        </is>
      </c>
      <c r="H4130" t="inlineStr">
        <is>
          <t>UPI</t>
        </is>
      </c>
      <c r="I4130" t="inlineStr">
        <is>
          <t>Delivered</t>
        </is>
      </c>
      <c r="J4130" t="n">
        <v>127</v>
      </c>
      <c r="K4130" t="n">
        <v>1</v>
      </c>
      <c r="L4130" t="n">
        <v>681</v>
      </c>
      <c r="M4130" t="n">
        <v>34.05</v>
      </c>
      <c r="N4130">
        <f>VLOOKUP(J4130,Products!$A$2:$C$49,3,FALSE)</f>
        <v/>
      </c>
      <c r="O4130">
        <f>K4130*L4130-M4130</f>
        <v/>
      </c>
      <c r="P4130">
        <f>TEXT(B4130,"yyyy-mm")</f>
        <v/>
      </c>
      <c r="Q4130">
        <f>IF(O4130&gt;=3000,"Large","Small")</f>
        <v/>
      </c>
      <c r="R4130">
        <f>INDEX(Products!$F$2:$F$49,MATCH(J4130,Products!$A$2:$A$49,0))</f>
        <v/>
      </c>
      <c r="S4130">
        <f>WEEKDAY(B4130,2)</f>
        <v/>
      </c>
    </row>
    <row r="4131">
      <c r="A4131" t="n">
        <v>511635</v>
      </c>
      <c r="B4131" s="6" t="n">
        <v>46012</v>
      </c>
      <c r="C4131" t="n">
        <v>15679</v>
      </c>
      <c r="D4131" t="inlineStr">
        <is>
          <t>Indore</t>
        </is>
      </c>
      <c r="E4131" t="inlineStr">
        <is>
          <t>West</t>
        </is>
      </c>
      <c r="F4131" t="inlineStr">
        <is>
          <t>Paid Search</t>
        </is>
      </c>
      <c r="G4131" t="inlineStr">
        <is>
          <t>Desktop</t>
        </is>
      </c>
      <c r="H4131" t="inlineStr">
        <is>
          <t>Credit Card</t>
        </is>
      </c>
      <c r="I4131" t="inlineStr">
        <is>
          <t>Delivered</t>
        </is>
      </c>
      <c r="J4131" t="n">
        <v>109</v>
      </c>
      <c r="K4131" t="n">
        <v>1</v>
      </c>
      <c r="L4131" t="n">
        <v>4199</v>
      </c>
      <c r="M4131" t="n">
        <v>209.95</v>
      </c>
      <c r="N4131">
        <f>VLOOKUP(J4131,Products!$A$2:$C$49,3,FALSE)</f>
        <v/>
      </c>
      <c r="O4131">
        <f>K4131*L4131-M4131</f>
        <v/>
      </c>
      <c r="P4131">
        <f>TEXT(B4131,"yyyy-mm")</f>
        <v/>
      </c>
      <c r="Q4131">
        <f>IF(O4131&gt;=3000,"Large","Small")</f>
        <v/>
      </c>
      <c r="R4131">
        <f>INDEX(Products!$F$2:$F$49,MATCH(J4131,Products!$A$2:$A$49,0))</f>
        <v/>
      </c>
      <c r="S4131">
        <f>WEEKDAY(B4131,2)</f>
        <v/>
      </c>
    </row>
    <row r="4132">
      <c r="A4132" t="n">
        <v>511636</v>
      </c>
      <c r="B4132" s="6" t="n">
        <v>46012</v>
      </c>
      <c r="C4132" t="n">
        <v>17757</v>
      </c>
      <c r="D4132" t="inlineStr">
        <is>
          <t>Mumbai</t>
        </is>
      </c>
      <c r="E4132" t="inlineStr">
        <is>
          <t>West</t>
        </is>
      </c>
      <c r="F4132" t="inlineStr">
        <is>
          <t>Organic Search</t>
        </is>
      </c>
      <c r="G4132" t="inlineStr">
        <is>
          <t>Desktop</t>
        </is>
      </c>
      <c r="H4132" t="inlineStr">
        <is>
          <t>Credit Card</t>
        </is>
      </c>
      <c r="I4132" t="inlineStr">
        <is>
          <t>Delivered</t>
        </is>
      </c>
      <c r="J4132" t="n">
        <v>146</v>
      </c>
      <c r="K4132" t="n">
        <v>1</v>
      </c>
      <c r="L4132" t="n">
        <v>4724</v>
      </c>
      <c r="M4132" t="n">
        <v>708.6</v>
      </c>
      <c r="N4132">
        <f>VLOOKUP(J4132,Products!$A$2:$C$49,3,FALSE)</f>
        <v/>
      </c>
      <c r="O4132">
        <f>K4132*L4132-M4132</f>
        <v/>
      </c>
      <c r="P4132">
        <f>TEXT(B4132,"yyyy-mm")</f>
        <v/>
      </c>
      <c r="Q4132">
        <f>IF(O4132&gt;=3000,"Large","Small")</f>
        <v/>
      </c>
      <c r="R4132">
        <f>INDEX(Products!$F$2:$F$49,MATCH(J4132,Products!$A$2:$A$49,0))</f>
        <v/>
      </c>
      <c r="S4132">
        <f>WEEKDAY(B4132,2)</f>
        <v/>
      </c>
    </row>
    <row r="4133">
      <c r="A4133" t="n">
        <v>511637</v>
      </c>
      <c r="B4133" s="6" t="n">
        <v>46012</v>
      </c>
      <c r="C4133" t="n">
        <v>17858</v>
      </c>
      <c r="D4133" t="inlineStr">
        <is>
          <t>Kolkata</t>
        </is>
      </c>
      <c r="E4133" t="inlineStr">
        <is>
          <t>East</t>
        </is>
      </c>
      <c r="F4133" t="inlineStr">
        <is>
          <t>Referral</t>
        </is>
      </c>
      <c r="G4133" t="inlineStr">
        <is>
          <t>Mobile App</t>
        </is>
      </c>
      <c r="H4133" t="inlineStr">
        <is>
          <t>UPI</t>
        </is>
      </c>
      <c r="I4133" t="inlineStr">
        <is>
          <t>Delivered</t>
        </is>
      </c>
      <c r="J4133" t="n">
        <v>107</v>
      </c>
      <c r="K4133" t="n">
        <v>2</v>
      </c>
      <c r="L4133" t="n">
        <v>1259</v>
      </c>
      <c r="M4133" t="n">
        <v>0</v>
      </c>
      <c r="N4133">
        <f>VLOOKUP(J4133,Products!$A$2:$C$49,3,FALSE)</f>
        <v/>
      </c>
      <c r="O4133">
        <f>K4133*L4133-M4133</f>
        <v/>
      </c>
      <c r="P4133">
        <f>TEXT(B4133,"yyyy-mm")</f>
        <v/>
      </c>
      <c r="Q4133">
        <f>IF(O4133&gt;=3000,"Large","Small")</f>
        <v/>
      </c>
      <c r="R4133">
        <f>INDEX(Products!$F$2:$F$49,MATCH(J4133,Products!$A$2:$A$49,0))</f>
        <v/>
      </c>
      <c r="S4133">
        <f>WEEKDAY(B4133,2)</f>
        <v/>
      </c>
    </row>
    <row r="4134">
      <c r="A4134" t="n">
        <v>511637</v>
      </c>
      <c r="B4134" s="6" t="n">
        <v>46012</v>
      </c>
      <c r="C4134" t="n">
        <v>17858</v>
      </c>
      <c r="D4134" t="inlineStr">
        <is>
          <t>Kolkata</t>
        </is>
      </c>
      <c r="E4134" t="inlineStr">
        <is>
          <t>East</t>
        </is>
      </c>
      <c r="F4134" t="inlineStr">
        <is>
          <t>Referral</t>
        </is>
      </c>
      <c r="G4134" t="inlineStr">
        <is>
          <t>Mobile App</t>
        </is>
      </c>
      <c r="H4134" t="inlineStr">
        <is>
          <t>UPI</t>
        </is>
      </c>
      <c r="I4134" t="inlineStr">
        <is>
          <t>Delivered</t>
        </is>
      </c>
      <c r="J4134" t="n">
        <v>111</v>
      </c>
      <c r="K4134" t="n">
        <v>1</v>
      </c>
      <c r="L4134" t="n">
        <v>524</v>
      </c>
      <c r="M4134" t="n">
        <v>0</v>
      </c>
      <c r="N4134">
        <f>VLOOKUP(J4134,Products!$A$2:$C$49,3,FALSE)</f>
        <v/>
      </c>
      <c r="O4134">
        <f>K4134*L4134-M4134</f>
        <v/>
      </c>
      <c r="P4134">
        <f>TEXT(B4134,"yyyy-mm")</f>
        <v/>
      </c>
      <c r="Q4134">
        <f>IF(O4134&gt;=3000,"Large","Small")</f>
        <v/>
      </c>
      <c r="R4134">
        <f>INDEX(Products!$F$2:$F$49,MATCH(J4134,Products!$A$2:$A$49,0))</f>
        <v/>
      </c>
      <c r="S4134">
        <f>WEEKDAY(B4134,2)</f>
        <v/>
      </c>
    </row>
    <row r="4135">
      <c r="A4135" t="n">
        <v>511638</v>
      </c>
      <c r="B4135" s="6" t="n">
        <v>46012</v>
      </c>
      <c r="C4135" t="n">
        <v>16662</v>
      </c>
      <c r="D4135" t="inlineStr">
        <is>
          <t>Pune</t>
        </is>
      </c>
      <c r="E4135" t="inlineStr">
        <is>
          <t>West</t>
        </is>
      </c>
      <c r="F4135" t="inlineStr">
        <is>
          <t>Referral</t>
        </is>
      </c>
      <c r="G4135" t="inlineStr">
        <is>
          <t>Desktop</t>
        </is>
      </c>
      <c r="H4135" t="inlineStr">
        <is>
          <t>Debit Card</t>
        </is>
      </c>
      <c r="I4135" t="inlineStr">
        <is>
          <t>Delivered</t>
        </is>
      </c>
      <c r="J4135" t="n">
        <v>136</v>
      </c>
      <c r="K4135" t="n">
        <v>1</v>
      </c>
      <c r="L4135" t="n">
        <v>944</v>
      </c>
      <c r="M4135" t="n">
        <v>0</v>
      </c>
      <c r="N4135">
        <f>VLOOKUP(J4135,Products!$A$2:$C$49,3,FALSE)</f>
        <v/>
      </c>
      <c r="O4135">
        <f>K4135*L4135-M4135</f>
        <v/>
      </c>
      <c r="P4135">
        <f>TEXT(B4135,"yyyy-mm")</f>
        <v/>
      </c>
      <c r="Q4135">
        <f>IF(O4135&gt;=3000,"Large","Small")</f>
        <v/>
      </c>
      <c r="R4135">
        <f>INDEX(Products!$F$2:$F$49,MATCH(J4135,Products!$A$2:$A$49,0))</f>
        <v/>
      </c>
      <c r="S4135">
        <f>WEEKDAY(B4135,2)</f>
        <v/>
      </c>
    </row>
    <row r="4136">
      <c r="A4136" t="n">
        <v>511639</v>
      </c>
      <c r="B4136" s="6" t="n">
        <v>46012</v>
      </c>
      <c r="C4136" t="n">
        <v>13854</v>
      </c>
      <c r="D4136" t="inlineStr">
        <is>
          <t>Lucknow</t>
        </is>
      </c>
      <c r="E4136" t="inlineStr">
        <is>
          <t>North</t>
        </is>
      </c>
      <c r="F4136" t="inlineStr">
        <is>
          <t>Referral</t>
        </is>
      </c>
      <c r="G4136" t="inlineStr">
        <is>
          <t>Desktop</t>
        </is>
      </c>
      <c r="H4136" t="inlineStr">
        <is>
          <t>UPI</t>
        </is>
      </c>
      <c r="I4136" t="inlineStr">
        <is>
          <t>Delivered</t>
        </is>
      </c>
      <c r="J4136" t="n">
        <v>141</v>
      </c>
      <c r="K4136" t="n">
        <v>1</v>
      </c>
      <c r="L4136" t="n">
        <v>261</v>
      </c>
      <c r="M4136" t="n">
        <v>0</v>
      </c>
      <c r="N4136">
        <f>VLOOKUP(J4136,Products!$A$2:$C$49,3,FALSE)</f>
        <v/>
      </c>
      <c r="O4136">
        <f>K4136*L4136-M4136</f>
        <v/>
      </c>
      <c r="P4136">
        <f>TEXT(B4136,"yyyy-mm")</f>
        <v/>
      </c>
      <c r="Q4136">
        <f>IF(O4136&gt;=3000,"Large","Small")</f>
        <v/>
      </c>
      <c r="R4136">
        <f>INDEX(Products!$F$2:$F$49,MATCH(J4136,Products!$A$2:$A$49,0))</f>
        <v/>
      </c>
      <c r="S4136">
        <f>WEEKDAY(B4136,2)</f>
        <v/>
      </c>
    </row>
    <row r="4137">
      <c r="A4137" t="n">
        <v>511640</v>
      </c>
      <c r="B4137" s="6" t="n">
        <v>46012</v>
      </c>
      <c r="C4137" t="n">
        <v>16172</v>
      </c>
      <c r="D4137" t="inlineStr">
        <is>
          <t>Hyderabad</t>
        </is>
      </c>
      <c r="E4137" t="inlineStr">
        <is>
          <t>South</t>
        </is>
      </c>
      <c r="F4137" t="inlineStr">
        <is>
          <t>Organic Search</t>
        </is>
      </c>
      <c r="G4137" t="inlineStr">
        <is>
          <t>Mobile App</t>
        </is>
      </c>
      <c r="H4137" t="inlineStr">
        <is>
          <t>UPI</t>
        </is>
      </c>
      <c r="I4137" t="inlineStr">
        <is>
          <t>Delivered</t>
        </is>
      </c>
      <c r="J4137" t="n">
        <v>134</v>
      </c>
      <c r="K4137" t="n">
        <v>2</v>
      </c>
      <c r="L4137" t="n">
        <v>209</v>
      </c>
      <c r="M4137" t="n">
        <v>0</v>
      </c>
      <c r="N4137">
        <f>VLOOKUP(J4137,Products!$A$2:$C$49,3,FALSE)</f>
        <v/>
      </c>
      <c r="O4137">
        <f>K4137*L4137-M4137</f>
        <v/>
      </c>
      <c r="P4137">
        <f>TEXT(B4137,"yyyy-mm")</f>
        <v/>
      </c>
      <c r="Q4137">
        <f>IF(O4137&gt;=3000,"Large","Small")</f>
        <v/>
      </c>
      <c r="R4137">
        <f>INDEX(Products!$F$2:$F$49,MATCH(J4137,Products!$A$2:$A$49,0))</f>
        <v/>
      </c>
      <c r="S4137">
        <f>WEEKDAY(B4137,2)</f>
        <v/>
      </c>
    </row>
    <row r="4138">
      <c r="A4138" t="n">
        <v>511640</v>
      </c>
      <c r="B4138" s="6" t="n">
        <v>46012</v>
      </c>
      <c r="C4138" t="n">
        <v>16172</v>
      </c>
      <c r="D4138" t="inlineStr">
        <is>
          <t>Hyderabad</t>
        </is>
      </c>
      <c r="E4138" t="inlineStr">
        <is>
          <t>South</t>
        </is>
      </c>
      <c r="F4138" t="inlineStr">
        <is>
          <t>Organic Search</t>
        </is>
      </c>
      <c r="G4138" t="inlineStr">
        <is>
          <t>Mobile App</t>
        </is>
      </c>
      <c r="H4138" t="inlineStr">
        <is>
          <t>UPI</t>
        </is>
      </c>
      <c r="I4138" t="inlineStr">
        <is>
          <t>Delivered</t>
        </is>
      </c>
      <c r="J4138" t="n">
        <v>111</v>
      </c>
      <c r="K4138" t="n">
        <v>1</v>
      </c>
      <c r="L4138" t="n">
        <v>524</v>
      </c>
      <c r="M4138" t="n">
        <v>0</v>
      </c>
      <c r="N4138">
        <f>VLOOKUP(J4138,Products!$A$2:$C$49,3,FALSE)</f>
        <v/>
      </c>
      <c r="O4138">
        <f>K4138*L4138-M4138</f>
        <v/>
      </c>
      <c r="P4138">
        <f>TEXT(B4138,"yyyy-mm")</f>
        <v/>
      </c>
      <c r="Q4138">
        <f>IF(O4138&gt;=3000,"Large","Small")</f>
        <v/>
      </c>
      <c r="R4138">
        <f>INDEX(Products!$F$2:$F$49,MATCH(J4138,Products!$A$2:$A$49,0))</f>
        <v/>
      </c>
      <c r="S4138">
        <f>WEEKDAY(B4138,2)</f>
        <v/>
      </c>
    </row>
    <row r="4139">
      <c r="A4139" t="n">
        <v>511640</v>
      </c>
      <c r="B4139" s="6" t="n">
        <v>46012</v>
      </c>
      <c r="C4139" t="n">
        <v>16172</v>
      </c>
      <c r="D4139" t="inlineStr">
        <is>
          <t>Hyderabad</t>
        </is>
      </c>
      <c r="E4139" t="inlineStr">
        <is>
          <t>South</t>
        </is>
      </c>
      <c r="F4139" t="inlineStr">
        <is>
          <t>Organic Search</t>
        </is>
      </c>
      <c r="G4139" t="inlineStr">
        <is>
          <t>Mobile App</t>
        </is>
      </c>
      <c r="H4139" t="inlineStr">
        <is>
          <t>UPI</t>
        </is>
      </c>
      <c r="I4139" t="inlineStr">
        <is>
          <t>Delivered</t>
        </is>
      </c>
      <c r="J4139" t="n">
        <v>114</v>
      </c>
      <c r="K4139" t="n">
        <v>1</v>
      </c>
      <c r="L4139" t="n">
        <v>1259</v>
      </c>
      <c r="M4139" t="n">
        <v>0</v>
      </c>
      <c r="N4139">
        <f>VLOOKUP(J4139,Products!$A$2:$C$49,3,FALSE)</f>
        <v/>
      </c>
      <c r="O4139">
        <f>K4139*L4139-M4139</f>
        <v/>
      </c>
      <c r="P4139">
        <f>TEXT(B4139,"yyyy-mm")</f>
        <v/>
      </c>
      <c r="Q4139">
        <f>IF(O4139&gt;=3000,"Large","Small")</f>
        <v/>
      </c>
      <c r="R4139">
        <f>INDEX(Products!$F$2:$F$49,MATCH(J4139,Products!$A$2:$A$49,0))</f>
        <v/>
      </c>
      <c r="S4139">
        <f>WEEKDAY(B4139,2)</f>
        <v/>
      </c>
    </row>
    <row r="4140">
      <c r="A4140" t="n">
        <v>511641</v>
      </c>
      <c r="B4140" s="6" t="n">
        <v>46012</v>
      </c>
      <c r="C4140" t="n">
        <v>16062</v>
      </c>
      <c r="D4140" t="inlineStr">
        <is>
          <t>Pune</t>
        </is>
      </c>
      <c r="E4140" t="inlineStr">
        <is>
          <t>West</t>
        </is>
      </c>
      <c r="F4140" t="inlineStr">
        <is>
          <t>Organic Search</t>
        </is>
      </c>
      <c r="G4140" t="inlineStr">
        <is>
          <t>Mobile App</t>
        </is>
      </c>
      <c r="H4140" t="inlineStr">
        <is>
          <t>Credit Card</t>
        </is>
      </c>
      <c r="I4140" t="inlineStr">
        <is>
          <t>Delivered</t>
        </is>
      </c>
      <c r="J4140" t="n">
        <v>103</v>
      </c>
      <c r="K4140" t="n">
        <v>1</v>
      </c>
      <c r="L4140" t="n">
        <v>2624</v>
      </c>
      <c r="M4140" t="n">
        <v>0</v>
      </c>
      <c r="N4140">
        <f>VLOOKUP(J4140,Products!$A$2:$C$49,3,FALSE)</f>
        <v/>
      </c>
      <c r="O4140">
        <f>K4140*L4140-M4140</f>
        <v/>
      </c>
      <c r="P4140">
        <f>TEXT(B4140,"yyyy-mm")</f>
        <v/>
      </c>
      <c r="Q4140">
        <f>IF(O4140&gt;=3000,"Large","Small")</f>
        <v/>
      </c>
      <c r="R4140">
        <f>INDEX(Products!$F$2:$F$49,MATCH(J4140,Products!$A$2:$A$49,0))</f>
        <v/>
      </c>
      <c r="S4140">
        <f>WEEKDAY(B4140,2)</f>
        <v/>
      </c>
    </row>
    <row r="4141">
      <c r="A4141" t="n">
        <v>511642</v>
      </c>
      <c r="B4141" s="6" t="n">
        <v>46012</v>
      </c>
      <c r="C4141" t="n">
        <v>17867</v>
      </c>
      <c r="D4141" t="inlineStr">
        <is>
          <t>Delhi</t>
        </is>
      </c>
      <c r="E4141" t="inlineStr">
        <is>
          <t>North</t>
        </is>
      </c>
      <c r="F4141" t="inlineStr">
        <is>
          <t>Affiliate</t>
        </is>
      </c>
      <c r="G4141" t="inlineStr">
        <is>
          <t>Mobile App</t>
        </is>
      </c>
      <c r="H4141" t="inlineStr">
        <is>
          <t>Debit Card</t>
        </is>
      </c>
      <c r="I4141" t="inlineStr">
        <is>
          <t>Delivered</t>
        </is>
      </c>
      <c r="J4141" t="n">
        <v>114</v>
      </c>
      <c r="K4141" t="n">
        <v>1</v>
      </c>
      <c r="L4141" t="n">
        <v>1259</v>
      </c>
      <c r="M4141" t="n">
        <v>0</v>
      </c>
      <c r="N4141">
        <f>VLOOKUP(J4141,Products!$A$2:$C$49,3,FALSE)</f>
        <v/>
      </c>
      <c r="O4141">
        <f>K4141*L4141-M4141</f>
        <v/>
      </c>
      <c r="P4141">
        <f>TEXT(B4141,"yyyy-mm")</f>
        <v/>
      </c>
      <c r="Q4141">
        <f>IF(O4141&gt;=3000,"Large","Small")</f>
        <v/>
      </c>
      <c r="R4141">
        <f>INDEX(Products!$F$2:$F$49,MATCH(J4141,Products!$A$2:$A$49,0))</f>
        <v/>
      </c>
      <c r="S4141">
        <f>WEEKDAY(B4141,2)</f>
        <v/>
      </c>
    </row>
    <row r="4142">
      <c r="A4142" t="n">
        <v>511643</v>
      </c>
      <c r="B4142" s="6" t="n">
        <v>46012</v>
      </c>
      <c r="C4142" t="n">
        <v>17854</v>
      </c>
      <c r="D4142" t="inlineStr">
        <is>
          <t>Mumbai</t>
        </is>
      </c>
      <c r="E4142" t="inlineStr">
        <is>
          <t>West</t>
        </is>
      </c>
      <c r="F4142" t="inlineStr">
        <is>
          <t>Organic Search</t>
        </is>
      </c>
      <c r="G4142" t="inlineStr">
        <is>
          <t>Desktop</t>
        </is>
      </c>
      <c r="H4142" t="inlineStr">
        <is>
          <t>UPI</t>
        </is>
      </c>
      <c r="I4142" t="inlineStr">
        <is>
          <t>Delivered</t>
        </is>
      </c>
      <c r="J4142" t="n">
        <v>118</v>
      </c>
      <c r="K4142" t="n">
        <v>1</v>
      </c>
      <c r="L4142" t="n">
        <v>944</v>
      </c>
      <c r="M4142" t="n">
        <v>0</v>
      </c>
      <c r="N4142">
        <f>VLOOKUP(J4142,Products!$A$2:$C$49,3,FALSE)</f>
        <v/>
      </c>
      <c r="O4142">
        <f>K4142*L4142-M4142</f>
        <v/>
      </c>
      <c r="P4142">
        <f>TEXT(B4142,"yyyy-mm")</f>
        <v/>
      </c>
      <c r="Q4142">
        <f>IF(O4142&gt;=3000,"Large","Small")</f>
        <v/>
      </c>
      <c r="R4142">
        <f>INDEX(Products!$F$2:$F$49,MATCH(J4142,Products!$A$2:$A$49,0))</f>
        <v/>
      </c>
      <c r="S4142">
        <f>WEEKDAY(B4142,2)</f>
        <v/>
      </c>
    </row>
    <row r="4143">
      <c r="A4143" t="n">
        <v>511643</v>
      </c>
      <c r="B4143" s="6" t="n">
        <v>46012</v>
      </c>
      <c r="C4143" t="n">
        <v>17854</v>
      </c>
      <c r="D4143" t="inlineStr">
        <is>
          <t>Mumbai</t>
        </is>
      </c>
      <c r="E4143" t="inlineStr">
        <is>
          <t>West</t>
        </is>
      </c>
      <c r="F4143" t="inlineStr">
        <is>
          <t>Organic Search</t>
        </is>
      </c>
      <c r="G4143" t="inlineStr">
        <is>
          <t>Desktop</t>
        </is>
      </c>
      <c r="H4143" t="inlineStr">
        <is>
          <t>UPI</t>
        </is>
      </c>
      <c r="I4143" t="inlineStr">
        <is>
          <t>Delivered</t>
        </is>
      </c>
      <c r="J4143" t="n">
        <v>114</v>
      </c>
      <c r="K4143" t="n">
        <v>1</v>
      </c>
      <c r="L4143" t="n">
        <v>1259</v>
      </c>
      <c r="M4143" t="n">
        <v>0</v>
      </c>
      <c r="N4143">
        <f>VLOOKUP(J4143,Products!$A$2:$C$49,3,FALSE)</f>
        <v/>
      </c>
      <c r="O4143">
        <f>K4143*L4143-M4143</f>
        <v/>
      </c>
      <c r="P4143">
        <f>TEXT(B4143,"yyyy-mm")</f>
        <v/>
      </c>
      <c r="Q4143">
        <f>IF(O4143&gt;=3000,"Large","Small")</f>
        <v/>
      </c>
      <c r="R4143">
        <f>INDEX(Products!$F$2:$F$49,MATCH(J4143,Products!$A$2:$A$49,0))</f>
        <v/>
      </c>
      <c r="S4143">
        <f>WEEKDAY(B4143,2)</f>
        <v/>
      </c>
    </row>
    <row r="4144">
      <c r="A4144" t="n">
        <v>511644</v>
      </c>
      <c r="B4144" s="6" t="n">
        <v>46012</v>
      </c>
      <c r="C4144" t="n">
        <v>17174</v>
      </c>
      <c r="D4144" t="inlineStr">
        <is>
          <t>Chandigarh</t>
        </is>
      </c>
      <c r="E4144" t="inlineStr">
        <is>
          <t>North</t>
        </is>
      </c>
      <c r="F4144" t="inlineStr">
        <is>
          <t>Organic Search</t>
        </is>
      </c>
      <c r="G4144" t="inlineStr">
        <is>
          <t>Mobile App</t>
        </is>
      </c>
      <c r="H4144" t="inlineStr">
        <is>
          <t>Debit Card</t>
        </is>
      </c>
      <c r="I4144" t="inlineStr">
        <is>
          <t>Delivered</t>
        </is>
      </c>
      <c r="J4144" t="n">
        <v>148</v>
      </c>
      <c r="K4144" t="n">
        <v>1</v>
      </c>
      <c r="L4144" t="n">
        <v>734</v>
      </c>
      <c r="M4144" t="n">
        <v>0</v>
      </c>
      <c r="N4144">
        <f>VLOOKUP(J4144,Products!$A$2:$C$49,3,FALSE)</f>
        <v/>
      </c>
      <c r="O4144">
        <f>K4144*L4144-M4144</f>
        <v/>
      </c>
      <c r="P4144">
        <f>TEXT(B4144,"yyyy-mm")</f>
        <v/>
      </c>
      <c r="Q4144">
        <f>IF(O4144&gt;=3000,"Large","Small")</f>
        <v/>
      </c>
      <c r="R4144">
        <f>INDEX(Products!$F$2:$F$49,MATCH(J4144,Products!$A$2:$A$49,0))</f>
        <v/>
      </c>
      <c r="S4144">
        <f>WEEKDAY(B4144,2)</f>
        <v/>
      </c>
    </row>
    <row r="4145">
      <c r="A4145" t="n">
        <v>511644</v>
      </c>
      <c r="B4145" s="6" t="n">
        <v>46012</v>
      </c>
      <c r="C4145" t="n">
        <v>17174</v>
      </c>
      <c r="D4145" t="inlineStr">
        <is>
          <t>Chandigarh</t>
        </is>
      </c>
      <c r="E4145" t="inlineStr">
        <is>
          <t>North</t>
        </is>
      </c>
      <c r="F4145" t="inlineStr">
        <is>
          <t>Organic Search</t>
        </is>
      </c>
      <c r="G4145" t="inlineStr">
        <is>
          <t>Mobile App</t>
        </is>
      </c>
      <c r="H4145" t="inlineStr">
        <is>
          <t>Debit Card</t>
        </is>
      </c>
      <c r="I4145" t="inlineStr">
        <is>
          <t>Delivered</t>
        </is>
      </c>
      <c r="J4145" t="n">
        <v>145</v>
      </c>
      <c r="K4145" t="n">
        <v>1</v>
      </c>
      <c r="L4145" t="n">
        <v>629</v>
      </c>
      <c r="M4145" t="n">
        <v>0</v>
      </c>
      <c r="N4145">
        <f>VLOOKUP(J4145,Products!$A$2:$C$49,3,FALSE)</f>
        <v/>
      </c>
      <c r="O4145">
        <f>K4145*L4145-M4145</f>
        <v/>
      </c>
      <c r="P4145">
        <f>TEXT(B4145,"yyyy-mm")</f>
        <v/>
      </c>
      <c r="Q4145">
        <f>IF(O4145&gt;=3000,"Large","Small")</f>
        <v/>
      </c>
      <c r="R4145">
        <f>INDEX(Products!$F$2:$F$49,MATCH(J4145,Products!$A$2:$A$49,0))</f>
        <v/>
      </c>
      <c r="S4145">
        <f>WEEKDAY(B4145,2)</f>
        <v/>
      </c>
    </row>
    <row r="4146">
      <c r="A4146" t="n">
        <v>511645</v>
      </c>
      <c r="B4146" s="6" t="n">
        <v>46012</v>
      </c>
      <c r="C4146" t="n">
        <v>17734</v>
      </c>
      <c r="D4146" t="inlineStr">
        <is>
          <t>Kolkata</t>
        </is>
      </c>
      <c r="E4146" t="inlineStr">
        <is>
          <t>East</t>
        </is>
      </c>
      <c r="F4146" t="inlineStr">
        <is>
          <t>Email</t>
        </is>
      </c>
      <c r="G4146" t="inlineStr">
        <is>
          <t>Mobile Web</t>
        </is>
      </c>
      <c r="H4146" t="inlineStr">
        <is>
          <t>Credit Card</t>
        </is>
      </c>
      <c r="I4146" t="inlineStr">
        <is>
          <t>Returned</t>
        </is>
      </c>
      <c r="J4146" t="n">
        <v>117</v>
      </c>
      <c r="K4146" t="n">
        <v>1</v>
      </c>
      <c r="L4146" t="n">
        <v>3149</v>
      </c>
      <c r="M4146" t="n">
        <v>0</v>
      </c>
      <c r="N4146">
        <f>VLOOKUP(J4146,Products!$A$2:$C$49,3,FALSE)</f>
        <v/>
      </c>
      <c r="O4146">
        <f>K4146*L4146-M4146</f>
        <v/>
      </c>
      <c r="P4146">
        <f>TEXT(B4146,"yyyy-mm")</f>
        <v/>
      </c>
      <c r="Q4146">
        <f>IF(O4146&gt;=3000,"Large","Small")</f>
        <v/>
      </c>
      <c r="R4146">
        <f>INDEX(Products!$F$2:$F$49,MATCH(J4146,Products!$A$2:$A$49,0))</f>
        <v/>
      </c>
      <c r="S4146">
        <f>WEEKDAY(B4146,2)</f>
        <v/>
      </c>
    </row>
    <row r="4147">
      <c r="A4147" t="n">
        <v>511646</v>
      </c>
      <c r="B4147" s="6" t="n">
        <v>46012</v>
      </c>
      <c r="C4147" t="n">
        <v>17821</v>
      </c>
      <c r="D4147" t="inlineStr">
        <is>
          <t>Pune</t>
        </is>
      </c>
      <c r="E4147" t="inlineStr">
        <is>
          <t>West</t>
        </is>
      </c>
      <c r="F4147" t="inlineStr">
        <is>
          <t>Email</t>
        </is>
      </c>
      <c r="G4147" t="inlineStr">
        <is>
          <t>Mobile App</t>
        </is>
      </c>
      <c r="H4147" t="inlineStr">
        <is>
          <t>Credit Card</t>
        </is>
      </c>
      <c r="I4147" t="inlineStr">
        <is>
          <t>Delivered</t>
        </is>
      </c>
      <c r="J4147" t="n">
        <v>122</v>
      </c>
      <c r="K4147" t="n">
        <v>3</v>
      </c>
      <c r="L4147" t="n">
        <v>1994</v>
      </c>
      <c r="M4147" t="n">
        <v>0</v>
      </c>
      <c r="N4147">
        <f>VLOOKUP(J4147,Products!$A$2:$C$49,3,FALSE)</f>
        <v/>
      </c>
      <c r="O4147">
        <f>K4147*L4147-M4147</f>
        <v/>
      </c>
      <c r="P4147">
        <f>TEXT(B4147,"yyyy-mm")</f>
        <v/>
      </c>
      <c r="Q4147">
        <f>IF(O4147&gt;=3000,"Large","Small")</f>
        <v/>
      </c>
      <c r="R4147">
        <f>INDEX(Products!$F$2:$F$49,MATCH(J4147,Products!$A$2:$A$49,0))</f>
        <v/>
      </c>
      <c r="S4147">
        <f>WEEKDAY(B4147,2)</f>
        <v/>
      </c>
    </row>
    <row r="4148">
      <c r="A4148" t="n">
        <v>511647</v>
      </c>
      <c r="B4148" s="6" t="n">
        <v>46012</v>
      </c>
      <c r="C4148" t="n">
        <v>14927</v>
      </c>
      <c r="D4148" t="inlineStr">
        <is>
          <t>Delhi</t>
        </is>
      </c>
      <c r="E4148" t="inlineStr">
        <is>
          <t>North</t>
        </is>
      </c>
      <c r="F4148" t="inlineStr">
        <is>
          <t>Referral</t>
        </is>
      </c>
      <c r="G4148" t="inlineStr">
        <is>
          <t>Mobile Web</t>
        </is>
      </c>
      <c r="H4148" t="inlineStr">
        <is>
          <t>Cash on Delivery</t>
        </is>
      </c>
      <c r="I4148" t="inlineStr">
        <is>
          <t>Delivered</t>
        </is>
      </c>
      <c r="J4148" t="n">
        <v>116</v>
      </c>
      <c r="K4148" t="n">
        <v>1</v>
      </c>
      <c r="L4148" t="n">
        <v>2624</v>
      </c>
      <c r="M4148" t="n">
        <v>0</v>
      </c>
      <c r="N4148">
        <f>VLOOKUP(J4148,Products!$A$2:$C$49,3,FALSE)</f>
        <v/>
      </c>
      <c r="O4148">
        <f>K4148*L4148-M4148</f>
        <v/>
      </c>
      <c r="P4148">
        <f>TEXT(B4148,"yyyy-mm")</f>
        <v/>
      </c>
      <c r="Q4148">
        <f>IF(O4148&gt;=3000,"Large","Small")</f>
        <v/>
      </c>
      <c r="R4148">
        <f>INDEX(Products!$F$2:$F$49,MATCH(J4148,Products!$A$2:$A$49,0))</f>
        <v/>
      </c>
      <c r="S4148">
        <f>WEEKDAY(B4148,2)</f>
        <v/>
      </c>
    </row>
    <row r="4149">
      <c r="A4149" t="n">
        <v>511647</v>
      </c>
      <c r="B4149" s="6" t="n">
        <v>46012</v>
      </c>
      <c r="C4149" t="n">
        <v>14927</v>
      </c>
      <c r="D4149" t="inlineStr">
        <is>
          <t>Delhi</t>
        </is>
      </c>
      <c r="E4149" t="inlineStr">
        <is>
          <t>North</t>
        </is>
      </c>
      <c r="F4149" t="inlineStr">
        <is>
          <t>Referral</t>
        </is>
      </c>
      <c r="G4149" t="inlineStr">
        <is>
          <t>Mobile Web</t>
        </is>
      </c>
      <c r="H4149" t="inlineStr">
        <is>
          <t>Cash on Delivery</t>
        </is>
      </c>
      <c r="I4149" t="inlineStr">
        <is>
          <t>Delivered</t>
        </is>
      </c>
      <c r="J4149" t="n">
        <v>120</v>
      </c>
      <c r="K4149" t="n">
        <v>2</v>
      </c>
      <c r="L4149" t="n">
        <v>734</v>
      </c>
      <c r="M4149" t="n">
        <v>0</v>
      </c>
      <c r="N4149">
        <f>VLOOKUP(J4149,Products!$A$2:$C$49,3,FALSE)</f>
        <v/>
      </c>
      <c r="O4149">
        <f>K4149*L4149-M4149</f>
        <v/>
      </c>
      <c r="P4149">
        <f>TEXT(B4149,"yyyy-mm")</f>
        <v/>
      </c>
      <c r="Q4149">
        <f>IF(O4149&gt;=3000,"Large","Small")</f>
        <v/>
      </c>
      <c r="R4149">
        <f>INDEX(Products!$F$2:$F$49,MATCH(J4149,Products!$A$2:$A$49,0))</f>
        <v/>
      </c>
      <c r="S4149">
        <f>WEEKDAY(B4149,2)</f>
        <v/>
      </c>
    </row>
    <row r="4150">
      <c r="A4150" t="n">
        <v>511647</v>
      </c>
      <c r="B4150" s="6" t="n">
        <v>46012</v>
      </c>
      <c r="C4150" t="n">
        <v>14927</v>
      </c>
      <c r="D4150" t="inlineStr">
        <is>
          <t>Delhi</t>
        </is>
      </c>
      <c r="E4150" t="inlineStr">
        <is>
          <t>North</t>
        </is>
      </c>
      <c r="F4150" t="inlineStr">
        <is>
          <t>Referral</t>
        </is>
      </c>
      <c r="G4150" t="inlineStr">
        <is>
          <t>Mobile Web</t>
        </is>
      </c>
      <c r="H4150" t="inlineStr">
        <is>
          <t>Cash on Delivery</t>
        </is>
      </c>
      <c r="I4150" t="inlineStr">
        <is>
          <t>Delivered</t>
        </is>
      </c>
      <c r="J4150" t="n">
        <v>113</v>
      </c>
      <c r="K4150" t="n">
        <v>3</v>
      </c>
      <c r="L4150" t="n">
        <v>1364</v>
      </c>
      <c r="M4150" t="n">
        <v>0</v>
      </c>
      <c r="N4150">
        <f>VLOOKUP(J4150,Products!$A$2:$C$49,3,FALSE)</f>
        <v/>
      </c>
      <c r="O4150">
        <f>K4150*L4150-M4150</f>
        <v/>
      </c>
      <c r="P4150">
        <f>TEXT(B4150,"yyyy-mm")</f>
        <v/>
      </c>
      <c r="Q4150">
        <f>IF(O4150&gt;=3000,"Large","Small")</f>
        <v/>
      </c>
      <c r="R4150">
        <f>INDEX(Products!$F$2:$F$49,MATCH(J4150,Products!$A$2:$A$49,0))</f>
        <v/>
      </c>
      <c r="S4150">
        <f>WEEKDAY(B4150,2)</f>
        <v/>
      </c>
    </row>
    <row r="4151">
      <c r="A4151" t="n">
        <v>511648</v>
      </c>
      <c r="B4151" s="6" t="n">
        <v>46012</v>
      </c>
      <c r="C4151" t="n">
        <v>17826</v>
      </c>
      <c r="D4151" t="inlineStr">
        <is>
          <t>Chennai</t>
        </is>
      </c>
      <c r="E4151" t="inlineStr">
        <is>
          <t>South</t>
        </is>
      </c>
      <c r="F4151" t="inlineStr">
        <is>
          <t>Organic Search</t>
        </is>
      </c>
      <c r="G4151" t="inlineStr">
        <is>
          <t>Mobile Web</t>
        </is>
      </c>
      <c r="H4151" t="inlineStr">
        <is>
          <t>Cash on Delivery</t>
        </is>
      </c>
      <c r="I4151" t="inlineStr">
        <is>
          <t>Cancelled</t>
        </is>
      </c>
      <c r="J4151" t="n">
        <v>118</v>
      </c>
      <c r="K4151" t="n">
        <v>1</v>
      </c>
      <c r="L4151" t="n">
        <v>944</v>
      </c>
      <c r="M4151" t="n">
        <v>0</v>
      </c>
      <c r="N4151">
        <f>VLOOKUP(J4151,Products!$A$2:$C$49,3,FALSE)</f>
        <v/>
      </c>
      <c r="O4151">
        <f>K4151*L4151-M4151</f>
        <v/>
      </c>
      <c r="P4151">
        <f>TEXT(B4151,"yyyy-mm")</f>
        <v/>
      </c>
      <c r="Q4151">
        <f>IF(O4151&gt;=3000,"Large","Small")</f>
        <v/>
      </c>
      <c r="R4151">
        <f>INDEX(Products!$F$2:$F$49,MATCH(J4151,Products!$A$2:$A$49,0))</f>
        <v/>
      </c>
      <c r="S4151">
        <f>WEEKDAY(B4151,2)</f>
        <v/>
      </c>
    </row>
    <row r="4152">
      <c r="A4152" t="n">
        <v>511649</v>
      </c>
      <c r="B4152" s="6" t="n">
        <v>46012</v>
      </c>
      <c r="C4152" t="n">
        <v>17525</v>
      </c>
      <c r="D4152" t="inlineStr">
        <is>
          <t>Hyderabad</t>
        </is>
      </c>
      <c r="E4152" t="inlineStr">
        <is>
          <t>South</t>
        </is>
      </c>
      <c r="F4152" t="inlineStr">
        <is>
          <t>Email</t>
        </is>
      </c>
      <c r="G4152" t="inlineStr">
        <is>
          <t>Mobile App</t>
        </is>
      </c>
      <c r="H4152" t="inlineStr">
        <is>
          <t>UPI</t>
        </is>
      </c>
      <c r="I4152" t="inlineStr">
        <is>
          <t>Delivered</t>
        </is>
      </c>
      <c r="J4152" t="n">
        <v>125</v>
      </c>
      <c r="K4152" t="n">
        <v>1</v>
      </c>
      <c r="L4152" t="n">
        <v>1364</v>
      </c>
      <c r="M4152" t="n">
        <v>0</v>
      </c>
      <c r="N4152">
        <f>VLOOKUP(J4152,Products!$A$2:$C$49,3,FALSE)</f>
        <v/>
      </c>
      <c r="O4152">
        <f>K4152*L4152-M4152</f>
        <v/>
      </c>
      <c r="P4152">
        <f>TEXT(B4152,"yyyy-mm")</f>
        <v/>
      </c>
      <c r="Q4152">
        <f>IF(O4152&gt;=3000,"Large","Small")</f>
        <v/>
      </c>
      <c r="R4152">
        <f>INDEX(Products!$F$2:$F$49,MATCH(J4152,Products!$A$2:$A$49,0))</f>
        <v/>
      </c>
      <c r="S4152">
        <f>WEEKDAY(B4152,2)</f>
        <v/>
      </c>
    </row>
    <row r="4153">
      <c r="A4153" t="n">
        <v>511650</v>
      </c>
      <c r="B4153" s="6" t="n">
        <v>46012</v>
      </c>
      <c r="C4153" t="n">
        <v>17748</v>
      </c>
      <c r="D4153" t="inlineStr">
        <is>
          <t>Ahmedabad</t>
        </is>
      </c>
      <c r="E4153" t="inlineStr">
        <is>
          <t>West</t>
        </is>
      </c>
      <c r="F4153" t="inlineStr">
        <is>
          <t>Organic Search</t>
        </is>
      </c>
      <c r="G4153" t="inlineStr">
        <is>
          <t>Mobile App</t>
        </is>
      </c>
      <c r="H4153" t="inlineStr">
        <is>
          <t>Debit Card</t>
        </is>
      </c>
      <c r="I4153" t="inlineStr">
        <is>
          <t>Delivered</t>
        </is>
      </c>
      <c r="J4153" t="n">
        <v>101</v>
      </c>
      <c r="K4153" t="n">
        <v>1</v>
      </c>
      <c r="L4153" t="n">
        <v>2099</v>
      </c>
      <c r="M4153" t="n">
        <v>0</v>
      </c>
      <c r="N4153">
        <f>VLOOKUP(J4153,Products!$A$2:$C$49,3,FALSE)</f>
        <v/>
      </c>
      <c r="O4153">
        <f>K4153*L4153-M4153</f>
        <v/>
      </c>
      <c r="P4153">
        <f>TEXT(B4153,"yyyy-mm")</f>
        <v/>
      </c>
      <c r="Q4153">
        <f>IF(O4153&gt;=3000,"Large","Small")</f>
        <v/>
      </c>
      <c r="R4153">
        <f>INDEX(Products!$F$2:$F$49,MATCH(J4153,Products!$A$2:$A$49,0))</f>
        <v/>
      </c>
      <c r="S4153">
        <f>WEEKDAY(B4153,2)</f>
        <v/>
      </c>
    </row>
    <row r="4154">
      <c r="A4154" t="n">
        <v>511651</v>
      </c>
      <c r="B4154" s="6" t="n">
        <v>46012</v>
      </c>
      <c r="C4154" t="n">
        <v>17846</v>
      </c>
      <c r="D4154" t="inlineStr">
        <is>
          <t>Hyderabad</t>
        </is>
      </c>
      <c r="E4154" t="inlineStr">
        <is>
          <t>South</t>
        </is>
      </c>
      <c r="F4154" t="inlineStr">
        <is>
          <t>Paid Search</t>
        </is>
      </c>
      <c r="G4154" t="inlineStr">
        <is>
          <t>Mobile App</t>
        </is>
      </c>
      <c r="H4154" t="inlineStr">
        <is>
          <t>Debit Card</t>
        </is>
      </c>
      <c r="I4154" t="inlineStr">
        <is>
          <t>Returned</t>
        </is>
      </c>
      <c r="J4154" t="n">
        <v>123</v>
      </c>
      <c r="K4154" t="n">
        <v>1</v>
      </c>
      <c r="L4154" t="n">
        <v>3464</v>
      </c>
      <c r="M4154" t="n">
        <v>519.6</v>
      </c>
      <c r="N4154">
        <f>VLOOKUP(J4154,Products!$A$2:$C$49,3,FALSE)</f>
        <v/>
      </c>
      <c r="O4154">
        <f>K4154*L4154-M4154</f>
        <v/>
      </c>
      <c r="P4154">
        <f>TEXT(B4154,"yyyy-mm")</f>
        <v/>
      </c>
      <c r="Q4154">
        <f>IF(O4154&gt;=3000,"Large","Small")</f>
        <v/>
      </c>
      <c r="R4154">
        <f>INDEX(Products!$F$2:$F$49,MATCH(J4154,Products!$A$2:$A$49,0))</f>
        <v/>
      </c>
      <c r="S4154">
        <f>WEEKDAY(B4154,2)</f>
        <v/>
      </c>
    </row>
    <row r="4155">
      <c r="A4155" t="n">
        <v>511651</v>
      </c>
      <c r="B4155" s="6" t="n">
        <v>46012</v>
      </c>
      <c r="C4155" t="n">
        <v>17846</v>
      </c>
      <c r="D4155" t="inlineStr">
        <is>
          <t>Hyderabad</t>
        </is>
      </c>
      <c r="E4155" t="inlineStr">
        <is>
          <t>South</t>
        </is>
      </c>
      <c r="F4155" t="inlineStr">
        <is>
          <t>Paid Search</t>
        </is>
      </c>
      <c r="G4155" t="inlineStr">
        <is>
          <t>Mobile App</t>
        </is>
      </c>
      <c r="H4155" t="inlineStr">
        <is>
          <t>Debit Card</t>
        </is>
      </c>
      <c r="I4155" t="inlineStr">
        <is>
          <t>Returned</t>
        </is>
      </c>
      <c r="J4155" t="n">
        <v>124</v>
      </c>
      <c r="K4155" t="n">
        <v>2</v>
      </c>
      <c r="L4155" t="n">
        <v>1154</v>
      </c>
      <c r="M4155" t="n">
        <v>346.2</v>
      </c>
      <c r="N4155">
        <f>VLOOKUP(J4155,Products!$A$2:$C$49,3,FALSE)</f>
        <v/>
      </c>
      <c r="O4155">
        <f>K4155*L4155-M4155</f>
        <v/>
      </c>
      <c r="P4155">
        <f>TEXT(B4155,"yyyy-mm")</f>
        <v/>
      </c>
      <c r="Q4155">
        <f>IF(O4155&gt;=3000,"Large","Small")</f>
        <v/>
      </c>
      <c r="R4155">
        <f>INDEX(Products!$F$2:$F$49,MATCH(J4155,Products!$A$2:$A$49,0))</f>
        <v/>
      </c>
      <c r="S4155">
        <f>WEEKDAY(B4155,2)</f>
        <v/>
      </c>
    </row>
    <row r="4156">
      <c r="A4156" t="n">
        <v>511652</v>
      </c>
      <c r="B4156" s="6" t="n">
        <v>46012</v>
      </c>
      <c r="C4156" t="n">
        <v>14986</v>
      </c>
      <c r="D4156" t="inlineStr">
        <is>
          <t>Ahmedabad</t>
        </is>
      </c>
      <c r="E4156" t="inlineStr">
        <is>
          <t>West</t>
        </is>
      </c>
      <c r="F4156" t="inlineStr">
        <is>
          <t>Organic Search</t>
        </is>
      </c>
      <c r="G4156" t="inlineStr">
        <is>
          <t>Desktop</t>
        </is>
      </c>
      <c r="H4156" t="inlineStr">
        <is>
          <t>Debit Card</t>
        </is>
      </c>
      <c r="I4156" t="inlineStr">
        <is>
          <t>Delivered</t>
        </is>
      </c>
      <c r="J4156" t="n">
        <v>102</v>
      </c>
      <c r="K4156" t="n">
        <v>1</v>
      </c>
      <c r="L4156" t="n">
        <v>3674</v>
      </c>
      <c r="M4156" t="n">
        <v>0</v>
      </c>
      <c r="N4156">
        <f>VLOOKUP(J4156,Products!$A$2:$C$49,3,FALSE)</f>
        <v/>
      </c>
      <c r="O4156">
        <f>K4156*L4156-M4156</f>
        <v/>
      </c>
      <c r="P4156">
        <f>TEXT(B4156,"yyyy-mm")</f>
        <v/>
      </c>
      <c r="Q4156">
        <f>IF(O4156&gt;=3000,"Large","Small")</f>
        <v/>
      </c>
      <c r="R4156">
        <f>INDEX(Products!$F$2:$F$49,MATCH(J4156,Products!$A$2:$A$49,0))</f>
        <v/>
      </c>
      <c r="S4156">
        <f>WEEKDAY(B4156,2)</f>
        <v/>
      </c>
    </row>
    <row r="4157">
      <c r="A4157" t="n">
        <v>511653</v>
      </c>
      <c r="B4157" s="6" t="n">
        <v>46012</v>
      </c>
      <c r="C4157" t="n">
        <v>17829</v>
      </c>
      <c r="D4157" t="inlineStr">
        <is>
          <t>Noida</t>
        </is>
      </c>
      <c r="E4157" t="inlineStr">
        <is>
          <t>North</t>
        </is>
      </c>
      <c r="F4157" t="inlineStr">
        <is>
          <t>Paid Social</t>
        </is>
      </c>
      <c r="G4157" t="inlineStr">
        <is>
          <t>Mobile App</t>
        </is>
      </c>
      <c r="H4157" t="inlineStr">
        <is>
          <t>UPI</t>
        </is>
      </c>
      <c r="I4157" t="inlineStr">
        <is>
          <t>Returned</t>
        </is>
      </c>
      <c r="J4157" t="n">
        <v>115</v>
      </c>
      <c r="K4157" t="n">
        <v>1</v>
      </c>
      <c r="L4157" t="n">
        <v>4199</v>
      </c>
      <c r="M4157" t="n">
        <v>629.85</v>
      </c>
      <c r="N4157">
        <f>VLOOKUP(J4157,Products!$A$2:$C$49,3,FALSE)</f>
        <v/>
      </c>
      <c r="O4157">
        <f>K4157*L4157-M4157</f>
        <v/>
      </c>
      <c r="P4157">
        <f>TEXT(B4157,"yyyy-mm")</f>
        <v/>
      </c>
      <c r="Q4157">
        <f>IF(O4157&gt;=3000,"Large","Small")</f>
        <v/>
      </c>
      <c r="R4157">
        <f>INDEX(Products!$F$2:$F$49,MATCH(J4157,Products!$A$2:$A$49,0))</f>
        <v/>
      </c>
      <c r="S4157">
        <f>WEEKDAY(B4157,2)</f>
        <v/>
      </c>
    </row>
    <row r="4158">
      <c r="A4158" t="n">
        <v>511653</v>
      </c>
      <c r="B4158" s="6" t="n">
        <v>46012</v>
      </c>
      <c r="C4158" t="n">
        <v>17829</v>
      </c>
      <c r="D4158" t="inlineStr">
        <is>
          <t>Noida</t>
        </is>
      </c>
      <c r="E4158" t="inlineStr">
        <is>
          <t>North</t>
        </is>
      </c>
      <c r="F4158" t="inlineStr">
        <is>
          <t>Paid Social</t>
        </is>
      </c>
      <c r="G4158" t="inlineStr">
        <is>
          <t>Mobile App</t>
        </is>
      </c>
      <c r="H4158" t="inlineStr">
        <is>
          <t>UPI</t>
        </is>
      </c>
      <c r="I4158" t="inlineStr">
        <is>
          <t>Returned</t>
        </is>
      </c>
      <c r="J4158" t="n">
        <v>102</v>
      </c>
      <c r="K4158" t="n">
        <v>2</v>
      </c>
      <c r="L4158" t="n">
        <v>3674</v>
      </c>
      <c r="M4158" t="n">
        <v>1102.2</v>
      </c>
      <c r="N4158">
        <f>VLOOKUP(J4158,Products!$A$2:$C$49,3,FALSE)</f>
        <v/>
      </c>
      <c r="O4158">
        <f>K4158*L4158-M4158</f>
        <v/>
      </c>
      <c r="P4158">
        <f>TEXT(B4158,"yyyy-mm")</f>
        <v/>
      </c>
      <c r="Q4158">
        <f>IF(O4158&gt;=3000,"Large","Small")</f>
        <v/>
      </c>
      <c r="R4158">
        <f>INDEX(Products!$F$2:$F$49,MATCH(J4158,Products!$A$2:$A$49,0))</f>
        <v/>
      </c>
      <c r="S4158">
        <f>WEEKDAY(B4158,2)</f>
        <v/>
      </c>
    </row>
    <row r="4159">
      <c r="A4159" t="n">
        <v>511653</v>
      </c>
      <c r="B4159" s="6" t="n">
        <v>46012</v>
      </c>
      <c r="C4159" t="n">
        <v>17829</v>
      </c>
      <c r="D4159" t="inlineStr">
        <is>
          <t>Noida</t>
        </is>
      </c>
      <c r="E4159" t="inlineStr">
        <is>
          <t>North</t>
        </is>
      </c>
      <c r="F4159" t="inlineStr">
        <is>
          <t>Paid Social</t>
        </is>
      </c>
      <c r="G4159" t="inlineStr">
        <is>
          <t>Mobile App</t>
        </is>
      </c>
      <c r="H4159" t="inlineStr">
        <is>
          <t>UPI</t>
        </is>
      </c>
      <c r="I4159" t="inlineStr">
        <is>
          <t>Returned</t>
        </is>
      </c>
      <c r="J4159" t="n">
        <v>134</v>
      </c>
      <c r="K4159" t="n">
        <v>2</v>
      </c>
      <c r="L4159" t="n">
        <v>209</v>
      </c>
      <c r="M4159" t="n">
        <v>62.7</v>
      </c>
      <c r="N4159">
        <f>VLOOKUP(J4159,Products!$A$2:$C$49,3,FALSE)</f>
        <v/>
      </c>
      <c r="O4159">
        <f>K4159*L4159-M4159</f>
        <v/>
      </c>
      <c r="P4159">
        <f>TEXT(B4159,"yyyy-mm")</f>
        <v/>
      </c>
      <c r="Q4159">
        <f>IF(O4159&gt;=3000,"Large","Small")</f>
        <v/>
      </c>
      <c r="R4159">
        <f>INDEX(Products!$F$2:$F$49,MATCH(J4159,Products!$A$2:$A$49,0))</f>
        <v/>
      </c>
      <c r="S4159">
        <f>WEEKDAY(B4159,2)</f>
        <v/>
      </c>
    </row>
    <row r="4160">
      <c r="A4160" t="n">
        <v>511654</v>
      </c>
      <c r="B4160" s="6" t="n">
        <v>46012</v>
      </c>
      <c r="C4160" t="n">
        <v>17783</v>
      </c>
      <c r="D4160" t="inlineStr">
        <is>
          <t>Mumbai</t>
        </is>
      </c>
      <c r="E4160" t="inlineStr">
        <is>
          <t>West</t>
        </is>
      </c>
      <c r="F4160" t="inlineStr">
        <is>
          <t>Referral</t>
        </is>
      </c>
      <c r="G4160" t="inlineStr">
        <is>
          <t>Mobile Web</t>
        </is>
      </c>
      <c r="H4160" t="inlineStr">
        <is>
          <t>Cash on Delivery</t>
        </is>
      </c>
      <c r="I4160" t="inlineStr">
        <is>
          <t>Delivered</t>
        </is>
      </c>
      <c r="J4160" t="n">
        <v>120</v>
      </c>
      <c r="K4160" t="n">
        <v>1</v>
      </c>
      <c r="L4160" t="n">
        <v>734</v>
      </c>
      <c r="M4160" t="n">
        <v>110.1</v>
      </c>
      <c r="N4160">
        <f>VLOOKUP(J4160,Products!$A$2:$C$49,3,FALSE)</f>
        <v/>
      </c>
      <c r="O4160">
        <f>K4160*L4160-M4160</f>
        <v/>
      </c>
      <c r="P4160">
        <f>TEXT(B4160,"yyyy-mm")</f>
        <v/>
      </c>
      <c r="Q4160">
        <f>IF(O4160&gt;=3000,"Large","Small")</f>
        <v/>
      </c>
      <c r="R4160">
        <f>INDEX(Products!$F$2:$F$49,MATCH(J4160,Products!$A$2:$A$49,0))</f>
        <v/>
      </c>
      <c r="S4160">
        <f>WEEKDAY(B4160,2)</f>
        <v/>
      </c>
    </row>
    <row r="4161">
      <c r="A4161" t="n">
        <v>511654</v>
      </c>
      <c r="B4161" s="6" t="n">
        <v>46012</v>
      </c>
      <c r="C4161" t="n">
        <v>17783</v>
      </c>
      <c r="D4161" t="inlineStr">
        <is>
          <t>Mumbai</t>
        </is>
      </c>
      <c r="E4161" t="inlineStr">
        <is>
          <t>West</t>
        </is>
      </c>
      <c r="F4161" t="inlineStr">
        <is>
          <t>Referral</t>
        </is>
      </c>
      <c r="G4161" t="inlineStr">
        <is>
          <t>Mobile Web</t>
        </is>
      </c>
      <c r="H4161" t="inlineStr">
        <is>
          <t>Cash on Delivery</t>
        </is>
      </c>
      <c r="I4161" t="inlineStr">
        <is>
          <t>Delivered</t>
        </is>
      </c>
      <c r="J4161" t="n">
        <v>140</v>
      </c>
      <c r="K4161" t="n">
        <v>3</v>
      </c>
      <c r="L4161" t="n">
        <v>629</v>
      </c>
      <c r="M4161" t="n">
        <v>283.05</v>
      </c>
      <c r="N4161">
        <f>VLOOKUP(J4161,Products!$A$2:$C$49,3,FALSE)</f>
        <v/>
      </c>
      <c r="O4161">
        <f>K4161*L4161-M4161</f>
        <v/>
      </c>
      <c r="P4161">
        <f>TEXT(B4161,"yyyy-mm")</f>
        <v/>
      </c>
      <c r="Q4161">
        <f>IF(O4161&gt;=3000,"Large","Small")</f>
        <v/>
      </c>
      <c r="R4161">
        <f>INDEX(Products!$F$2:$F$49,MATCH(J4161,Products!$A$2:$A$49,0))</f>
        <v/>
      </c>
      <c r="S4161">
        <f>WEEKDAY(B4161,2)</f>
        <v/>
      </c>
    </row>
    <row r="4162">
      <c r="A4162" t="n">
        <v>511655</v>
      </c>
      <c r="B4162" s="6" t="n">
        <v>46013</v>
      </c>
      <c r="C4162" t="n">
        <v>17793</v>
      </c>
      <c r="D4162" t="inlineStr">
        <is>
          <t>Gurugram</t>
        </is>
      </c>
      <c r="E4162" t="inlineStr">
        <is>
          <t>North</t>
        </is>
      </c>
      <c r="F4162" t="inlineStr">
        <is>
          <t>Referral</t>
        </is>
      </c>
      <c r="G4162" t="inlineStr">
        <is>
          <t>Mobile App</t>
        </is>
      </c>
      <c r="H4162" t="inlineStr">
        <is>
          <t>Debit Card</t>
        </is>
      </c>
      <c r="I4162" t="inlineStr">
        <is>
          <t>Delivered</t>
        </is>
      </c>
      <c r="J4162" t="n">
        <v>138</v>
      </c>
      <c r="K4162" t="n">
        <v>1</v>
      </c>
      <c r="L4162" t="n">
        <v>419</v>
      </c>
      <c r="M4162" t="n">
        <v>62.85</v>
      </c>
      <c r="N4162">
        <f>VLOOKUP(J4162,Products!$A$2:$C$49,3,FALSE)</f>
        <v/>
      </c>
      <c r="O4162">
        <f>K4162*L4162-M4162</f>
        <v/>
      </c>
      <c r="P4162">
        <f>TEXT(B4162,"yyyy-mm")</f>
        <v/>
      </c>
      <c r="Q4162">
        <f>IF(O4162&gt;=3000,"Large","Small")</f>
        <v/>
      </c>
      <c r="R4162">
        <f>INDEX(Products!$F$2:$F$49,MATCH(J4162,Products!$A$2:$A$49,0))</f>
        <v/>
      </c>
      <c r="S4162">
        <f>WEEKDAY(B4162,2)</f>
        <v/>
      </c>
    </row>
    <row r="4163">
      <c r="A4163" t="n">
        <v>511656</v>
      </c>
      <c r="B4163" s="6" t="n">
        <v>46013</v>
      </c>
      <c r="C4163" t="n">
        <v>17809</v>
      </c>
      <c r="D4163" t="inlineStr">
        <is>
          <t>Ahmedabad</t>
        </is>
      </c>
      <c r="E4163" t="inlineStr">
        <is>
          <t>West</t>
        </is>
      </c>
      <c r="F4163" t="inlineStr">
        <is>
          <t>Paid Search</t>
        </is>
      </c>
      <c r="G4163" t="inlineStr">
        <is>
          <t>Mobile App</t>
        </is>
      </c>
      <c r="H4163" t="inlineStr">
        <is>
          <t>Cash on Delivery</t>
        </is>
      </c>
      <c r="I4163" t="inlineStr">
        <is>
          <t>Delivered</t>
        </is>
      </c>
      <c r="J4163" t="n">
        <v>116</v>
      </c>
      <c r="K4163" t="n">
        <v>1</v>
      </c>
      <c r="L4163" t="n">
        <v>2624</v>
      </c>
      <c r="M4163" t="n">
        <v>0</v>
      </c>
      <c r="N4163">
        <f>VLOOKUP(J4163,Products!$A$2:$C$49,3,FALSE)</f>
        <v/>
      </c>
      <c r="O4163">
        <f>K4163*L4163-M4163</f>
        <v/>
      </c>
      <c r="P4163">
        <f>TEXT(B4163,"yyyy-mm")</f>
        <v/>
      </c>
      <c r="Q4163">
        <f>IF(O4163&gt;=3000,"Large","Small")</f>
        <v/>
      </c>
      <c r="R4163">
        <f>INDEX(Products!$F$2:$F$49,MATCH(J4163,Products!$A$2:$A$49,0))</f>
        <v/>
      </c>
      <c r="S4163">
        <f>WEEKDAY(B4163,2)</f>
        <v/>
      </c>
    </row>
    <row r="4164">
      <c r="A4164" t="n">
        <v>511657</v>
      </c>
      <c r="B4164" s="6" t="n">
        <v>46013</v>
      </c>
      <c r="C4164" t="n">
        <v>17838</v>
      </c>
      <c r="D4164" t="inlineStr">
        <is>
          <t>Bengaluru</t>
        </is>
      </c>
      <c r="E4164" t="inlineStr">
        <is>
          <t>South</t>
        </is>
      </c>
      <c r="F4164" t="inlineStr">
        <is>
          <t>Paid Social</t>
        </is>
      </c>
      <c r="G4164" t="inlineStr">
        <is>
          <t>Mobile Web</t>
        </is>
      </c>
      <c r="H4164" t="inlineStr">
        <is>
          <t>Credit Card</t>
        </is>
      </c>
      <c r="I4164" t="inlineStr">
        <is>
          <t>Delivered</t>
        </is>
      </c>
      <c r="J4164" t="n">
        <v>133</v>
      </c>
      <c r="K4164" t="n">
        <v>2</v>
      </c>
      <c r="L4164" t="n">
        <v>419</v>
      </c>
      <c r="M4164" t="n">
        <v>0</v>
      </c>
      <c r="N4164">
        <f>VLOOKUP(J4164,Products!$A$2:$C$49,3,FALSE)</f>
        <v/>
      </c>
      <c r="O4164">
        <f>K4164*L4164-M4164</f>
        <v/>
      </c>
      <c r="P4164">
        <f>TEXT(B4164,"yyyy-mm")</f>
        <v/>
      </c>
      <c r="Q4164">
        <f>IF(O4164&gt;=3000,"Large","Small")</f>
        <v/>
      </c>
      <c r="R4164">
        <f>INDEX(Products!$F$2:$F$49,MATCH(J4164,Products!$A$2:$A$49,0))</f>
        <v/>
      </c>
      <c r="S4164">
        <f>WEEKDAY(B4164,2)</f>
        <v/>
      </c>
    </row>
    <row r="4165">
      <c r="A4165" t="n">
        <v>511658</v>
      </c>
      <c r="B4165" s="6" t="n">
        <v>46013</v>
      </c>
      <c r="C4165" t="n">
        <v>17844</v>
      </c>
      <c r="D4165" t="inlineStr">
        <is>
          <t>Mumbai</t>
        </is>
      </c>
      <c r="E4165" t="inlineStr">
        <is>
          <t>West</t>
        </is>
      </c>
      <c r="F4165" t="inlineStr">
        <is>
          <t>Referral</t>
        </is>
      </c>
      <c r="G4165" t="inlineStr">
        <is>
          <t>Mobile Web</t>
        </is>
      </c>
      <c r="H4165" t="inlineStr">
        <is>
          <t>Credit Card</t>
        </is>
      </c>
      <c r="I4165" t="inlineStr">
        <is>
          <t>Delivered</t>
        </is>
      </c>
      <c r="J4165" t="n">
        <v>117</v>
      </c>
      <c r="K4165" t="n">
        <v>1</v>
      </c>
      <c r="L4165" t="n">
        <v>3149</v>
      </c>
      <c r="M4165" t="n">
        <v>0</v>
      </c>
      <c r="N4165">
        <f>VLOOKUP(J4165,Products!$A$2:$C$49,3,FALSE)</f>
        <v/>
      </c>
      <c r="O4165">
        <f>K4165*L4165-M4165</f>
        <v/>
      </c>
      <c r="P4165">
        <f>TEXT(B4165,"yyyy-mm")</f>
        <v/>
      </c>
      <c r="Q4165">
        <f>IF(O4165&gt;=3000,"Large","Small")</f>
        <v/>
      </c>
      <c r="R4165">
        <f>INDEX(Products!$F$2:$F$49,MATCH(J4165,Products!$A$2:$A$49,0))</f>
        <v/>
      </c>
      <c r="S4165">
        <f>WEEKDAY(B4165,2)</f>
        <v/>
      </c>
    </row>
    <row r="4166">
      <c r="A4166" t="n">
        <v>511659</v>
      </c>
      <c r="B4166" s="6" t="n">
        <v>46013</v>
      </c>
      <c r="C4166" t="n">
        <v>17839</v>
      </c>
      <c r="D4166" t="inlineStr">
        <is>
          <t>Mumbai</t>
        </is>
      </c>
      <c r="E4166" t="inlineStr">
        <is>
          <t>West</t>
        </is>
      </c>
      <c r="F4166" t="inlineStr">
        <is>
          <t>Paid Social</t>
        </is>
      </c>
      <c r="G4166" t="inlineStr">
        <is>
          <t>Mobile Web</t>
        </is>
      </c>
      <c r="H4166" t="inlineStr">
        <is>
          <t>UPI</t>
        </is>
      </c>
      <c r="I4166" t="inlineStr">
        <is>
          <t>Delivered</t>
        </is>
      </c>
      <c r="J4166" t="n">
        <v>126</v>
      </c>
      <c r="K4166" t="n">
        <v>1</v>
      </c>
      <c r="L4166" t="n">
        <v>471</v>
      </c>
      <c r="M4166" t="n">
        <v>70.65000000000001</v>
      </c>
      <c r="N4166">
        <f>VLOOKUP(J4166,Products!$A$2:$C$49,3,FALSE)</f>
        <v/>
      </c>
      <c r="O4166">
        <f>K4166*L4166-M4166</f>
        <v/>
      </c>
      <c r="P4166">
        <f>TEXT(B4166,"yyyy-mm")</f>
        <v/>
      </c>
      <c r="Q4166">
        <f>IF(O4166&gt;=3000,"Large","Small")</f>
        <v/>
      </c>
      <c r="R4166">
        <f>INDEX(Products!$F$2:$F$49,MATCH(J4166,Products!$A$2:$A$49,0))</f>
        <v/>
      </c>
      <c r="S4166">
        <f>WEEKDAY(B4166,2)</f>
        <v/>
      </c>
    </row>
    <row r="4167">
      <c r="A4167" t="n">
        <v>511660</v>
      </c>
      <c r="B4167" s="6" t="n">
        <v>46013</v>
      </c>
      <c r="C4167" t="n">
        <v>17062</v>
      </c>
      <c r="D4167" t="inlineStr">
        <is>
          <t>Indore</t>
        </is>
      </c>
      <c r="E4167" t="inlineStr">
        <is>
          <t>West</t>
        </is>
      </c>
      <c r="F4167" t="inlineStr">
        <is>
          <t>Paid Search</t>
        </is>
      </c>
      <c r="G4167" t="inlineStr">
        <is>
          <t>Mobile Web</t>
        </is>
      </c>
      <c r="H4167" t="inlineStr">
        <is>
          <t>Cash on Delivery</t>
        </is>
      </c>
      <c r="I4167" t="inlineStr">
        <is>
          <t>Delivered</t>
        </is>
      </c>
      <c r="J4167" t="n">
        <v>107</v>
      </c>
      <c r="K4167" t="n">
        <v>1</v>
      </c>
      <c r="L4167" t="n">
        <v>1259</v>
      </c>
      <c r="M4167" t="n">
        <v>0</v>
      </c>
      <c r="N4167">
        <f>VLOOKUP(J4167,Products!$A$2:$C$49,3,FALSE)</f>
        <v/>
      </c>
      <c r="O4167">
        <f>K4167*L4167-M4167</f>
        <v/>
      </c>
      <c r="P4167">
        <f>TEXT(B4167,"yyyy-mm")</f>
        <v/>
      </c>
      <c r="Q4167">
        <f>IF(O4167&gt;=3000,"Large","Small")</f>
        <v/>
      </c>
      <c r="R4167">
        <f>INDEX(Products!$F$2:$F$49,MATCH(J4167,Products!$A$2:$A$49,0))</f>
        <v/>
      </c>
      <c r="S4167">
        <f>WEEKDAY(B4167,2)</f>
        <v/>
      </c>
    </row>
    <row r="4168">
      <c r="A4168" t="n">
        <v>511660</v>
      </c>
      <c r="B4168" s="6" t="n">
        <v>46013</v>
      </c>
      <c r="C4168" t="n">
        <v>17062</v>
      </c>
      <c r="D4168" t="inlineStr">
        <is>
          <t>Indore</t>
        </is>
      </c>
      <c r="E4168" t="inlineStr">
        <is>
          <t>West</t>
        </is>
      </c>
      <c r="F4168" t="inlineStr">
        <is>
          <t>Paid Search</t>
        </is>
      </c>
      <c r="G4168" t="inlineStr">
        <is>
          <t>Mobile Web</t>
        </is>
      </c>
      <c r="H4168" t="inlineStr">
        <is>
          <t>Cash on Delivery</t>
        </is>
      </c>
      <c r="I4168" t="inlineStr">
        <is>
          <t>Delivered</t>
        </is>
      </c>
      <c r="J4168" t="n">
        <v>131</v>
      </c>
      <c r="K4168" t="n">
        <v>1</v>
      </c>
      <c r="L4168" t="n">
        <v>314</v>
      </c>
      <c r="M4168" t="n">
        <v>0</v>
      </c>
      <c r="N4168">
        <f>VLOOKUP(J4168,Products!$A$2:$C$49,3,FALSE)</f>
        <v/>
      </c>
      <c r="O4168">
        <f>K4168*L4168-M4168</f>
        <v/>
      </c>
      <c r="P4168">
        <f>TEXT(B4168,"yyyy-mm")</f>
        <v/>
      </c>
      <c r="Q4168">
        <f>IF(O4168&gt;=3000,"Large","Small")</f>
        <v/>
      </c>
      <c r="R4168">
        <f>INDEX(Products!$F$2:$F$49,MATCH(J4168,Products!$A$2:$A$49,0))</f>
        <v/>
      </c>
      <c r="S4168">
        <f>WEEKDAY(B4168,2)</f>
        <v/>
      </c>
    </row>
    <row r="4169">
      <c r="A4169" t="n">
        <v>511660</v>
      </c>
      <c r="B4169" s="6" t="n">
        <v>46013</v>
      </c>
      <c r="C4169" t="n">
        <v>17062</v>
      </c>
      <c r="D4169" t="inlineStr">
        <is>
          <t>Indore</t>
        </is>
      </c>
      <c r="E4169" t="inlineStr">
        <is>
          <t>West</t>
        </is>
      </c>
      <c r="F4169" t="inlineStr">
        <is>
          <t>Paid Search</t>
        </is>
      </c>
      <c r="G4169" t="inlineStr">
        <is>
          <t>Mobile Web</t>
        </is>
      </c>
      <c r="H4169" t="inlineStr">
        <is>
          <t>Cash on Delivery</t>
        </is>
      </c>
      <c r="I4169" t="inlineStr">
        <is>
          <t>Delivered</t>
        </is>
      </c>
      <c r="J4169" t="n">
        <v>121</v>
      </c>
      <c r="K4169" t="n">
        <v>1</v>
      </c>
      <c r="L4169" t="n">
        <v>2939</v>
      </c>
      <c r="M4169" t="n">
        <v>0</v>
      </c>
      <c r="N4169">
        <f>VLOOKUP(J4169,Products!$A$2:$C$49,3,FALSE)</f>
        <v/>
      </c>
      <c r="O4169">
        <f>K4169*L4169-M4169</f>
        <v/>
      </c>
      <c r="P4169">
        <f>TEXT(B4169,"yyyy-mm")</f>
        <v/>
      </c>
      <c r="Q4169">
        <f>IF(O4169&gt;=3000,"Large","Small")</f>
        <v/>
      </c>
      <c r="R4169">
        <f>INDEX(Products!$F$2:$F$49,MATCH(J4169,Products!$A$2:$A$49,0))</f>
        <v/>
      </c>
      <c r="S4169">
        <f>WEEKDAY(B4169,2)</f>
        <v/>
      </c>
    </row>
    <row r="4170">
      <c r="A4170" t="n">
        <v>511661</v>
      </c>
      <c r="B4170" s="6" t="n">
        <v>46013</v>
      </c>
      <c r="C4170" t="n">
        <v>11487</v>
      </c>
      <c r="D4170" t="inlineStr">
        <is>
          <t>Mumbai</t>
        </is>
      </c>
      <c r="E4170" t="inlineStr">
        <is>
          <t>West</t>
        </is>
      </c>
      <c r="F4170" t="inlineStr">
        <is>
          <t>Organic Search</t>
        </is>
      </c>
      <c r="G4170" t="inlineStr">
        <is>
          <t>Mobile Web</t>
        </is>
      </c>
      <c r="H4170" t="inlineStr">
        <is>
          <t>Cash on Delivery</t>
        </is>
      </c>
      <c r="I4170" t="inlineStr">
        <is>
          <t>Delivered</t>
        </is>
      </c>
      <c r="J4170" t="n">
        <v>145</v>
      </c>
      <c r="K4170" t="n">
        <v>1</v>
      </c>
      <c r="L4170" t="n">
        <v>629</v>
      </c>
      <c r="M4170" t="n">
        <v>0</v>
      </c>
      <c r="N4170">
        <f>VLOOKUP(J4170,Products!$A$2:$C$49,3,FALSE)</f>
        <v/>
      </c>
      <c r="O4170">
        <f>K4170*L4170-M4170</f>
        <v/>
      </c>
      <c r="P4170">
        <f>TEXT(B4170,"yyyy-mm")</f>
        <v/>
      </c>
      <c r="Q4170">
        <f>IF(O4170&gt;=3000,"Large","Small")</f>
        <v/>
      </c>
      <c r="R4170">
        <f>INDEX(Products!$F$2:$F$49,MATCH(J4170,Products!$A$2:$A$49,0))</f>
        <v/>
      </c>
      <c r="S4170">
        <f>WEEKDAY(B4170,2)</f>
        <v/>
      </c>
    </row>
    <row r="4171">
      <c r="A4171" t="n">
        <v>511662</v>
      </c>
      <c r="B4171" s="6" t="n">
        <v>46013</v>
      </c>
      <c r="C4171" t="n">
        <v>15371</v>
      </c>
      <c r="D4171" t="inlineStr">
        <is>
          <t>Indore</t>
        </is>
      </c>
      <c r="E4171" t="inlineStr">
        <is>
          <t>West</t>
        </is>
      </c>
      <c r="F4171" t="inlineStr">
        <is>
          <t>Referral</t>
        </is>
      </c>
      <c r="G4171" t="inlineStr">
        <is>
          <t>Desktop</t>
        </is>
      </c>
      <c r="H4171" t="inlineStr">
        <is>
          <t>UPI</t>
        </is>
      </c>
      <c r="I4171" t="inlineStr">
        <is>
          <t>Delivered</t>
        </is>
      </c>
      <c r="J4171" t="n">
        <v>125</v>
      </c>
      <c r="K4171" t="n">
        <v>2</v>
      </c>
      <c r="L4171" t="n">
        <v>1364</v>
      </c>
      <c r="M4171" t="n">
        <v>0</v>
      </c>
      <c r="N4171">
        <f>VLOOKUP(J4171,Products!$A$2:$C$49,3,FALSE)</f>
        <v/>
      </c>
      <c r="O4171">
        <f>K4171*L4171-M4171</f>
        <v/>
      </c>
      <c r="P4171">
        <f>TEXT(B4171,"yyyy-mm")</f>
        <v/>
      </c>
      <c r="Q4171">
        <f>IF(O4171&gt;=3000,"Large","Small")</f>
        <v/>
      </c>
      <c r="R4171">
        <f>INDEX(Products!$F$2:$F$49,MATCH(J4171,Products!$A$2:$A$49,0))</f>
        <v/>
      </c>
      <c r="S4171">
        <f>WEEKDAY(B4171,2)</f>
        <v/>
      </c>
    </row>
    <row r="4172">
      <c r="A4172" t="n">
        <v>511663</v>
      </c>
      <c r="B4172" s="6" t="n">
        <v>46013</v>
      </c>
      <c r="C4172" t="n">
        <v>17804</v>
      </c>
      <c r="D4172" t="inlineStr">
        <is>
          <t>Mumbai</t>
        </is>
      </c>
      <c r="E4172" t="inlineStr">
        <is>
          <t>West</t>
        </is>
      </c>
      <c r="F4172" t="inlineStr">
        <is>
          <t>Affiliate</t>
        </is>
      </c>
      <c r="G4172" t="inlineStr">
        <is>
          <t>Mobile App</t>
        </is>
      </c>
      <c r="H4172" t="inlineStr">
        <is>
          <t>Debit Card</t>
        </is>
      </c>
      <c r="I4172" t="inlineStr">
        <is>
          <t>Delivered</t>
        </is>
      </c>
      <c r="J4172" t="n">
        <v>127</v>
      </c>
      <c r="K4172" t="n">
        <v>2</v>
      </c>
      <c r="L4172" t="n">
        <v>681</v>
      </c>
      <c r="M4172" t="n">
        <v>0</v>
      </c>
      <c r="N4172">
        <f>VLOOKUP(J4172,Products!$A$2:$C$49,3,FALSE)</f>
        <v/>
      </c>
      <c r="O4172">
        <f>K4172*L4172-M4172</f>
        <v/>
      </c>
      <c r="P4172">
        <f>TEXT(B4172,"yyyy-mm")</f>
        <v/>
      </c>
      <c r="Q4172">
        <f>IF(O4172&gt;=3000,"Large","Small")</f>
        <v/>
      </c>
      <c r="R4172">
        <f>INDEX(Products!$F$2:$F$49,MATCH(J4172,Products!$A$2:$A$49,0))</f>
        <v/>
      </c>
      <c r="S4172">
        <f>WEEKDAY(B4172,2)</f>
        <v/>
      </c>
    </row>
    <row r="4173">
      <c r="A4173" t="n">
        <v>511664</v>
      </c>
      <c r="B4173" s="6" t="n">
        <v>46013</v>
      </c>
      <c r="C4173" t="n">
        <v>17789</v>
      </c>
      <c r="D4173" t="inlineStr">
        <is>
          <t>Chandigarh</t>
        </is>
      </c>
      <c r="E4173" t="inlineStr">
        <is>
          <t>North</t>
        </is>
      </c>
      <c r="F4173" t="inlineStr">
        <is>
          <t>Organic Search</t>
        </is>
      </c>
      <c r="G4173" t="inlineStr">
        <is>
          <t>Mobile App</t>
        </is>
      </c>
      <c r="H4173" t="inlineStr">
        <is>
          <t>UPI</t>
        </is>
      </c>
      <c r="I4173" t="inlineStr">
        <is>
          <t>Cancelled</t>
        </is>
      </c>
      <c r="J4173" t="n">
        <v>137</v>
      </c>
      <c r="K4173" t="n">
        <v>1</v>
      </c>
      <c r="L4173" t="n">
        <v>261</v>
      </c>
      <c r="M4173" t="n">
        <v>39.15</v>
      </c>
      <c r="N4173">
        <f>VLOOKUP(J4173,Products!$A$2:$C$49,3,FALSE)</f>
        <v/>
      </c>
      <c r="O4173">
        <f>K4173*L4173-M4173</f>
        <v/>
      </c>
      <c r="P4173">
        <f>TEXT(B4173,"yyyy-mm")</f>
        <v/>
      </c>
      <c r="Q4173">
        <f>IF(O4173&gt;=3000,"Large","Small")</f>
        <v/>
      </c>
      <c r="R4173">
        <f>INDEX(Products!$F$2:$F$49,MATCH(J4173,Products!$A$2:$A$49,0))</f>
        <v/>
      </c>
      <c r="S4173">
        <f>WEEKDAY(B4173,2)</f>
        <v/>
      </c>
    </row>
    <row r="4174">
      <c r="A4174" t="n">
        <v>511664</v>
      </c>
      <c r="B4174" s="6" t="n">
        <v>46013</v>
      </c>
      <c r="C4174" t="n">
        <v>17789</v>
      </c>
      <c r="D4174" t="inlineStr">
        <is>
          <t>Chandigarh</t>
        </is>
      </c>
      <c r="E4174" t="inlineStr">
        <is>
          <t>North</t>
        </is>
      </c>
      <c r="F4174" t="inlineStr">
        <is>
          <t>Organic Search</t>
        </is>
      </c>
      <c r="G4174" t="inlineStr">
        <is>
          <t>Mobile App</t>
        </is>
      </c>
      <c r="H4174" t="inlineStr">
        <is>
          <t>UPI</t>
        </is>
      </c>
      <c r="I4174" t="inlineStr">
        <is>
          <t>Cancelled</t>
        </is>
      </c>
      <c r="J4174" t="n">
        <v>130</v>
      </c>
      <c r="K4174" t="n">
        <v>2</v>
      </c>
      <c r="L4174" t="n">
        <v>734</v>
      </c>
      <c r="M4174" t="n">
        <v>220.2</v>
      </c>
      <c r="N4174">
        <f>VLOOKUP(J4174,Products!$A$2:$C$49,3,FALSE)</f>
        <v/>
      </c>
      <c r="O4174">
        <f>K4174*L4174-M4174</f>
        <v/>
      </c>
      <c r="P4174">
        <f>TEXT(B4174,"yyyy-mm")</f>
        <v/>
      </c>
      <c r="Q4174">
        <f>IF(O4174&gt;=3000,"Large","Small")</f>
        <v/>
      </c>
      <c r="R4174">
        <f>INDEX(Products!$F$2:$F$49,MATCH(J4174,Products!$A$2:$A$49,0))</f>
        <v/>
      </c>
      <c r="S4174">
        <f>WEEKDAY(B4174,2)</f>
        <v/>
      </c>
    </row>
    <row r="4175">
      <c r="A4175" t="n">
        <v>511664</v>
      </c>
      <c r="B4175" s="6" t="n">
        <v>46013</v>
      </c>
      <c r="C4175" t="n">
        <v>17789</v>
      </c>
      <c r="D4175" t="inlineStr">
        <is>
          <t>Chandigarh</t>
        </is>
      </c>
      <c r="E4175" t="inlineStr">
        <is>
          <t>North</t>
        </is>
      </c>
      <c r="F4175" t="inlineStr">
        <is>
          <t>Organic Search</t>
        </is>
      </c>
      <c r="G4175" t="inlineStr">
        <is>
          <t>Mobile App</t>
        </is>
      </c>
      <c r="H4175" t="inlineStr">
        <is>
          <t>UPI</t>
        </is>
      </c>
      <c r="I4175" t="inlineStr">
        <is>
          <t>Cancelled</t>
        </is>
      </c>
      <c r="J4175" t="n">
        <v>117</v>
      </c>
      <c r="K4175" t="n">
        <v>2</v>
      </c>
      <c r="L4175" t="n">
        <v>3149</v>
      </c>
      <c r="M4175" t="n">
        <v>944.7</v>
      </c>
      <c r="N4175">
        <f>VLOOKUP(J4175,Products!$A$2:$C$49,3,FALSE)</f>
        <v/>
      </c>
      <c r="O4175">
        <f>K4175*L4175-M4175</f>
        <v/>
      </c>
      <c r="P4175">
        <f>TEXT(B4175,"yyyy-mm")</f>
        <v/>
      </c>
      <c r="Q4175">
        <f>IF(O4175&gt;=3000,"Large","Small")</f>
        <v/>
      </c>
      <c r="R4175">
        <f>INDEX(Products!$F$2:$F$49,MATCH(J4175,Products!$A$2:$A$49,0))</f>
        <v/>
      </c>
      <c r="S4175">
        <f>WEEKDAY(B4175,2)</f>
        <v/>
      </c>
    </row>
    <row r="4176">
      <c r="A4176" t="n">
        <v>511665</v>
      </c>
      <c r="B4176" s="6" t="n">
        <v>46013</v>
      </c>
      <c r="C4176" t="n">
        <v>17853</v>
      </c>
      <c r="D4176" t="inlineStr">
        <is>
          <t>Delhi</t>
        </is>
      </c>
      <c r="E4176" t="inlineStr">
        <is>
          <t>North</t>
        </is>
      </c>
      <c r="F4176" t="inlineStr">
        <is>
          <t>Affiliate</t>
        </is>
      </c>
      <c r="G4176" t="inlineStr">
        <is>
          <t>Mobile App</t>
        </is>
      </c>
      <c r="H4176" t="inlineStr">
        <is>
          <t>Credit Card</t>
        </is>
      </c>
      <c r="I4176" t="inlineStr">
        <is>
          <t>Delivered</t>
        </is>
      </c>
      <c r="J4176" t="n">
        <v>134</v>
      </c>
      <c r="K4176" t="n">
        <v>1</v>
      </c>
      <c r="L4176" t="n">
        <v>209</v>
      </c>
      <c r="M4176" t="n">
        <v>31.35</v>
      </c>
      <c r="N4176">
        <f>VLOOKUP(J4176,Products!$A$2:$C$49,3,FALSE)</f>
        <v/>
      </c>
      <c r="O4176">
        <f>K4176*L4176-M4176</f>
        <v/>
      </c>
      <c r="P4176">
        <f>TEXT(B4176,"yyyy-mm")</f>
        <v/>
      </c>
      <c r="Q4176">
        <f>IF(O4176&gt;=3000,"Large","Small")</f>
        <v/>
      </c>
      <c r="R4176">
        <f>INDEX(Products!$F$2:$F$49,MATCH(J4176,Products!$A$2:$A$49,0))</f>
        <v/>
      </c>
      <c r="S4176">
        <f>WEEKDAY(B4176,2)</f>
        <v/>
      </c>
    </row>
    <row r="4177">
      <c r="A4177" t="n">
        <v>511666</v>
      </c>
      <c r="B4177" s="6" t="n">
        <v>46013</v>
      </c>
      <c r="C4177" t="n">
        <v>17824</v>
      </c>
      <c r="D4177" t="inlineStr">
        <is>
          <t>Noida</t>
        </is>
      </c>
      <c r="E4177" t="inlineStr">
        <is>
          <t>North</t>
        </is>
      </c>
      <c r="F4177" t="inlineStr">
        <is>
          <t>Organic Search</t>
        </is>
      </c>
      <c r="G4177" t="inlineStr">
        <is>
          <t>Mobile Web</t>
        </is>
      </c>
      <c r="H4177" t="inlineStr">
        <is>
          <t>Debit Card</t>
        </is>
      </c>
      <c r="I4177" t="inlineStr">
        <is>
          <t>Delivered</t>
        </is>
      </c>
      <c r="J4177" t="n">
        <v>127</v>
      </c>
      <c r="K4177" t="n">
        <v>2</v>
      </c>
      <c r="L4177" t="n">
        <v>681</v>
      </c>
      <c r="M4177" t="n">
        <v>0</v>
      </c>
      <c r="N4177">
        <f>VLOOKUP(J4177,Products!$A$2:$C$49,3,FALSE)</f>
        <v/>
      </c>
      <c r="O4177">
        <f>K4177*L4177-M4177</f>
        <v/>
      </c>
      <c r="P4177">
        <f>TEXT(B4177,"yyyy-mm")</f>
        <v/>
      </c>
      <c r="Q4177">
        <f>IF(O4177&gt;=3000,"Large","Small")</f>
        <v/>
      </c>
      <c r="R4177">
        <f>INDEX(Products!$F$2:$F$49,MATCH(J4177,Products!$A$2:$A$49,0))</f>
        <v/>
      </c>
      <c r="S4177">
        <f>WEEKDAY(B4177,2)</f>
        <v/>
      </c>
    </row>
    <row r="4178">
      <c r="A4178" t="n">
        <v>511667</v>
      </c>
      <c r="B4178" s="6" t="n">
        <v>46013</v>
      </c>
      <c r="C4178" t="n">
        <v>17061</v>
      </c>
      <c r="D4178" t="inlineStr">
        <is>
          <t>Gurugram</t>
        </is>
      </c>
      <c r="E4178" t="inlineStr">
        <is>
          <t>North</t>
        </is>
      </c>
      <c r="F4178" t="inlineStr">
        <is>
          <t>Paid Social</t>
        </is>
      </c>
      <c r="G4178" t="inlineStr">
        <is>
          <t>Desktop</t>
        </is>
      </c>
      <c r="H4178" t="inlineStr">
        <is>
          <t>Net Banking</t>
        </is>
      </c>
      <c r="I4178" t="inlineStr">
        <is>
          <t>Delivered</t>
        </is>
      </c>
      <c r="J4178" t="n">
        <v>118</v>
      </c>
      <c r="K4178" t="n">
        <v>3</v>
      </c>
      <c r="L4178" t="n">
        <v>944</v>
      </c>
      <c r="M4178" t="n">
        <v>0</v>
      </c>
      <c r="N4178">
        <f>VLOOKUP(J4178,Products!$A$2:$C$49,3,FALSE)</f>
        <v/>
      </c>
      <c r="O4178">
        <f>K4178*L4178-M4178</f>
        <v/>
      </c>
      <c r="P4178">
        <f>TEXT(B4178,"yyyy-mm")</f>
        <v/>
      </c>
      <c r="Q4178">
        <f>IF(O4178&gt;=3000,"Large","Small")</f>
        <v/>
      </c>
      <c r="R4178">
        <f>INDEX(Products!$F$2:$F$49,MATCH(J4178,Products!$A$2:$A$49,0))</f>
        <v/>
      </c>
      <c r="S4178">
        <f>WEEKDAY(B4178,2)</f>
        <v/>
      </c>
    </row>
    <row r="4179">
      <c r="A4179" t="n">
        <v>511668</v>
      </c>
      <c r="B4179" s="6" t="n">
        <v>46013</v>
      </c>
      <c r="C4179" t="n">
        <v>17862</v>
      </c>
      <c r="D4179" t="inlineStr">
        <is>
          <t>Delhi</t>
        </is>
      </c>
      <c r="E4179" t="inlineStr">
        <is>
          <t>North</t>
        </is>
      </c>
      <c r="F4179" t="inlineStr">
        <is>
          <t>Organic Search</t>
        </is>
      </c>
      <c r="G4179" t="inlineStr">
        <is>
          <t>Mobile Web</t>
        </is>
      </c>
      <c r="H4179" t="inlineStr">
        <is>
          <t>Net Banking</t>
        </is>
      </c>
      <c r="I4179" t="inlineStr">
        <is>
          <t>Delivered</t>
        </is>
      </c>
      <c r="J4179" t="n">
        <v>114</v>
      </c>
      <c r="K4179" t="n">
        <v>1</v>
      </c>
      <c r="L4179" t="n">
        <v>1259</v>
      </c>
      <c r="M4179" t="n">
        <v>0</v>
      </c>
      <c r="N4179">
        <f>VLOOKUP(J4179,Products!$A$2:$C$49,3,FALSE)</f>
        <v/>
      </c>
      <c r="O4179">
        <f>K4179*L4179-M4179</f>
        <v/>
      </c>
      <c r="P4179">
        <f>TEXT(B4179,"yyyy-mm")</f>
        <v/>
      </c>
      <c r="Q4179">
        <f>IF(O4179&gt;=3000,"Large","Small")</f>
        <v/>
      </c>
      <c r="R4179">
        <f>INDEX(Products!$F$2:$F$49,MATCH(J4179,Products!$A$2:$A$49,0))</f>
        <v/>
      </c>
      <c r="S4179">
        <f>WEEKDAY(B4179,2)</f>
        <v/>
      </c>
    </row>
    <row r="4180">
      <c r="A4180" t="n">
        <v>511668</v>
      </c>
      <c r="B4180" s="6" t="n">
        <v>46013</v>
      </c>
      <c r="C4180" t="n">
        <v>17862</v>
      </c>
      <c r="D4180" t="inlineStr">
        <is>
          <t>Delhi</t>
        </is>
      </c>
      <c r="E4180" t="inlineStr">
        <is>
          <t>North</t>
        </is>
      </c>
      <c r="F4180" t="inlineStr">
        <is>
          <t>Organic Search</t>
        </is>
      </c>
      <c r="G4180" t="inlineStr">
        <is>
          <t>Mobile Web</t>
        </is>
      </c>
      <c r="H4180" t="inlineStr">
        <is>
          <t>Net Banking</t>
        </is>
      </c>
      <c r="I4180" t="inlineStr">
        <is>
          <t>Delivered</t>
        </is>
      </c>
      <c r="J4180" t="n">
        <v>104</v>
      </c>
      <c r="K4180" t="n">
        <v>1</v>
      </c>
      <c r="L4180" t="n">
        <v>5249</v>
      </c>
      <c r="M4180" t="n">
        <v>0</v>
      </c>
      <c r="N4180">
        <f>VLOOKUP(J4180,Products!$A$2:$C$49,3,FALSE)</f>
        <v/>
      </c>
      <c r="O4180">
        <f>K4180*L4180-M4180</f>
        <v/>
      </c>
      <c r="P4180">
        <f>TEXT(B4180,"yyyy-mm")</f>
        <v/>
      </c>
      <c r="Q4180">
        <f>IF(O4180&gt;=3000,"Large","Small")</f>
        <v/>
      </c>
      <c r="R4180">
        <f>INDEX(Products!$F$2:$F$49,MATCH(J4180,Products!$A$2:$A$49,0))</f>
        <v/>
      </c>
      <c r="S4180">
        <f>WEEKDAY(B4180,2)</f>
        <v/>
      </c>
    </row>
    <row r="4181">
      <c r="A4181" t="n">
        <v>511669</v>
      </c>
      <c r="B4181" s="6" t="n">
        <v>46013</v>
      </c>
      <c r="C4181" t="n">
        <v>17825</v>
      </c>
      <c r="D4181" t="inlineStr">
        <is>
          <t>Delhi</t>
        </is>
      </c>
      <c r="E4181" t="inlineStr">
        <is>
          <t>North</t>
        </is>
      </c>
      <c r="F4181" t="inlineStr">
        <is>
          <t>Referral</t>
        </is>
      </c>
      <c r="G4181" t="inlineStr">
        <is>
          <t>Mobile App</t>
        </is>
      </c>
      <c r="H4181" t="inlineStr">
        <is>
          <t>Cash on Delivery</t>
        </is>
      </c>
      <c r="I4181" t="inlineStr">
        <is>
          <t>Delivered</t>
        </is>
      </c>
      <c r="J4181" t="n">
        <v>116</v>
      </c>
      <c r="K4181" t="n">
        <v>1</v>
      </c>
      <c r="L4181" t="n">
        <v>2624</v>
      </c>
      <c r="M4181" t="n">
        <v>0</v>
      </c>
      <c r="N4181">
        <f>VLOOKUP(J4181,Products!$A$2:$C$49,3,FALSE)</f>
        <v/>
      </c>
      <c r="O4181">
        <f>K4181*L4181-M4181</f>
        <v/>
      </c>
      <c r="P4181">
        <f>TEXT(B4181,"yyyy-mm")</f>
        <v/>
      </c>
      <c r="Q4181">
        <f>IF(O4181&gt;=3000,"Large","Small")</f>
        <v/>
      </c>
      <c r="R4181">
        <f>INDEX(Products!$F$2:$F$49,MATCH(J4181,Products!$A$2:$A$49,0))</f>
        <v/>
      </c>
      <c r="S4181">
        <f>WEEKDAY(B4181,2)</f>
        <v/>
      </c>
    </row>
    <row r="4182">
      <c r="A4182" t="n">
        <v>511669</v>
      </c>
      <c r="B4182" s="6" t="n">
        <v>46013</v>
      </c>
      <c r="C4182" t="n">
        <v>17825</v>
      </c>
      <c r="D4182" t="inlineStr">
        <is>
          <t>Delhi</t>
        </is>
      </c>
      <c r="E4182" t="inlineStr">
        <is>
          <t>North</t>
        </is>
      </c>
      <c r="F4182" t="inlineStr">
        <is>
          <t>Referral</t>
        </is>
      </c>
      <c r="G4182" t="inlineStr">
        <is>
          <t>Mobile App</t>
        </is>
      </c>
      <c r="H4182" t="inlineStr">
        <is>
          <t>Cash on Delivery</t>
        </is>
      </c>
      <c r="I4182" t="inlineStr">
        <is>
          <t>Delivered</t>
        </is>
      </c>
      <c r="J4182" t="n">
        <v>120</v>
      </c>
      <c r="K4182" t="n">
        <v>1</v>
      </c>
      <c r="L4182" t="n">
        <v>734</v>
      </c>
      <c r="M4182" t="n">
        <v>0</v>
      </c>
      <c r="N4182">
        <f>VLOOKUP(J4182,Products!$A$2:$C$49,3,FALSE)</f>
        <v/>
      </c>
      <c r="O4182">
        <f>K4182*L4182-M4182</f>
        <v/>
      </c>
      <c r="P4182">
        <f>TEXT(B4182,"yyyy-mm")</f>
        <v/>
      </c>
      <c r="Q4182">
        <f>IF(O4182&gt;=3000,"Large","Small")</f>
        <v/>
      </c>
      <c r="R4182">
        <f>INDEX(Products!$F$2:$F$49,MATCH(J4182,Products!$A$2:$A$49,0))</f>
        <v/>
      </c>
      <c r="S4182">
        <f>WEEKDAY(B4182,2)</f>
        <v/>
      </c>
    </row>
    <row r="4183">
      <c r="A4183" t="n">
        <v>511670</v>
      </c>
      <c r="B4183" s="6" t="n">
        <v>46013</v>
      </c>
      <c r="C4183" t="n">
        <v>17872</v>
      </c>
      <c r="D4183" t="inlineStr">
        <is>
          <t>Ahmedabad</t>
        </is>
      </c>
      <c r="E4183" t="inlineStr">
        <is>
          <t>West</t>
        </is>
      </c>
      <c r="F4183" t="inlineStr">
        <is>
          <t>Paid Search</t>
        </is>
      </c>
      <c r="G4183" t="inlineStr">
        <is>
          <t>Mobile App</t>
        </is>
      </c>
      <c r="H4183" t="inlineStr">
        <is>
          <t>Net Banking</t>
        </is>
      </c>
      <c r="I4183" t="inlineStr">
        <is>
          <t>Delivered</t>
        </is>
      </c>
      <c r="J4183" t="n">
        <v>147</v>
      </c>
      <c r="K4183" t="n">
        <v>1</v>
      </c>
      <c r="L4183" t="n">
        <v>1364</v>
      </c>
      <c r="M4183" t="n">
        <v>204.6</v>
      </c>
      <c r="N4183">
        <f>VLOOKUP(J4183,Products!$A$2:$C$49,3,FALSE)</f>
        <v/>
      </c>
      <c r="O4183">
        <f>K4183*L4183-M4183</f>
        <v/>
      </c>
      <c r="P4183">
        <f>TEXT(B4183,"yyyy-mm")</f>
        <v/>
      </c>
      <c r="Q4183">
        <f>IF(O4183&gt;=3000,"Large","Small")</f>
        <v/>
      </c>
      <c r="R4183">
        <f>INDEX(Products!$F$2:$F$49,MATCH(J4183,Products!$A$2:$A$49,0))</f>
        <v/>
      </c>
      <c r="S4183">
        <f>WEEKDAY(B4183,2)</f>
        <v/>
      </c>
    </row>
    <row r="4184">
      <c r="A4184" t="n">
        <v>511670</v>
      </c>
      <c r="B4184" s="6" t="n">
        <v>46013</v>
      </c>
      <c r="C4184" t="n">
        <v>17872</v>
      </c>
      <c r="D4184" t="inlineStr">
        <is>
          <t>Ahmedabad</t>
        </is>
      </c>
      <c r="E4184" t="inlineStr">
        <is>
          <t>West</t>
        </is>
      </c>
      <c r="F4184" t="inlineStr">
        <is>
          <t>Paid Search</t>
        </is>
      </c>
      <c r="G4184" t="inlineStr">
        <is>
          <t>Mobile App</t>
        </is>
      </c>
      <c r="H4184" t="inlineStr">
        <is>
          <t>Net Banking</t>
        </is>
      </c>
      <c r="I4184" t="inlineStr">
        <is>
          <t>Delivered</t>
        </is>
      </c>
      <c r="J4184" t="n">
        <v>146</v>
      </c>
      <c r="K4184" t="n">
        <v>1</v>
      </c>
      <c r="L4184" t="n">
        <v>4724</v>
      </c>
      <c r="M4184" t="n">
        <v>708.6</v>
      </c>
      <c r="N4184">
        <f>VLOOKUP(J4184,Products!$A$2:$C$49,3,FALSE)</f>
        <v/>
      </c>
      <c r="O4184">
        <f>K4184*L4184-M4184</f>
        <v/>
      </c>
      <c r="P4184">
        <f>TEXT(B4184,"yyyy-mm")</f>
        <v/>
      </c>
      <c r="Q4184">
        <f>IF(O4184&gt;=3000,"Large","Small")</f>
        <v/>
      </c>
      <c r="R4184">
        <f>INDEX(Products!$F$2:$F$49,MATCH(J4184,Products!$A$2:$A$49,0))</f>
        <v/>
      </c>
      <c r="S4184">
        <f>WEEKDAY(B4184,2)</f>
        <v/>
      </c>
    </row>
    <row r="4185">
      <c r="A4185" t="n">
        <v>511670</v>
      </c>
      <c r="B4185" s="6" t="n">
        <v>46013</v>
      </c>
      <c r="C4185" t="n">
        <v>17872</v>
      </c>
      <c r="D4185" t="inlineStr">
        <is>
          <t>Ahmedabad</t>
        </is>
      </c>
      <c r="E4185" t="inlineStr">
        <is>
          <t>West</t>
        </is>
      </c>
      <c r="F4185" t="inlineStr">
        <is>
          <t>Paid Search</t>
        </is>
      </c>
      <c r="G4185" t="inlineStr">
        <is>
          <t>Mobile App</t>
        </is>
      </c>
      <c r="H4185" t="inlineStr">
        <is>
          <t>Net Banking</t>
        </is>
      </c>
      <c r="I4185" t="inlineStr">
        <is>
          <t>Delivered</t>
        </is>
      </c>
      <c r="J4185" t="n">
        <v>144</v>
      </c>
      <c r="K4185" t="n">
        <v>1</v>
      </c>
      <c r="L4185" t="n">
        <v>3149</v>
      </c>
      <c r="M4185" t="n">
        <v>472.35</v>
      </c>
      <c r="N4185">
        <f>VLOOKUP(J4185,Products!$A$2:$C$49,3,FALSE)</f>
        <v/>
      </c>
      <c r="O4185">
        <f>K4185*L4185-M4185</f>
        <v/>
      </c>
      <c r="P4185">
        <f>TEXT(B4185,"yyyy-mm")</f>
        <v/>
      </c>
      <c r="Q4185">
        <f>IF(O4185&gt;=3000,"Large","Small")</f>
        <v/>
      </c>
      <c r="R4185">
        <f>INDEX(Products!$F$2:$F$49,MATCH(J4185,Products!$A$2:$A$49,0))</f>
        <v/>
      </c>
      <c r="S4185">
        <f>WEEKDAY(B4185,2)</f>
        <v/>
      </c>
    </row>
    <row r="4186">
      <c r="A4186" t="n">
        <v>511671</v>
      </c>
      <c r="B4186" s="6" t="n">
        <v>46013</v>
      </c>
      <c r="C4186" t="n">
        <v>17552</v>
      </c>
      <c r="D4186" t="inlineStr">
        <is>
          <t>Chennai</t>
        </is>
      </c>
      <c r="E4186" t="inlineStr">
        <is>
          <t>South</t>
        </is>
      </c>
      <c r="F4186" t="inlineStr">
        <is>
          <t>Email</t>
        </is>
      </c>
      <c r="G4186" t="inlineStr">
        <is>
          <t>Mobile App</t>
        </is>
      </c>
      <c r="H4186" t="inlineStr">
        <is>
          <t>Debit Card</t>
        </is>
      </c>
      <c r="I4186" t="inlineStr">
        <is>
          <t>Delivered</t>
        </is>
      </c>
      <c r="J4186" t="n">
        <v>112</v>
      </c>
      <c r="K4186" t="n">
        <v>1</v>
      </c>
      <c r="L4186" t="n">
        <v>1574</v>
      </c>
      <c r="M4186" t="n">
        <v>0</v>
      </c>
      <c r="N4186">
        <f>VLOOKUP(J4186,Products!$A$2:$C$49,3,FALSE)</f>
        <v/>
      </c>
      <c r="O4186">
        <f>K4186*L4186-M4186</f>
        <v/>
      </c>
      <c r="P4186">
        <f>TEXT(B4186,"yyyy-mm")</f>
        <v/>
      </c>
      <c r="Q4186">
        <f>IF(O4186&gt;=3000,"Large","Small")</f>
        <v/>
      </c>
      <c r="R4186">
        <f>INDEX(Products!$F$2:$F$49,MATCH(J4186,Products!$A$2:$A$49,0))</f>
        <v/>
      </c>
      <c r="S4186">
        <f>WEEKDAY(B4186,2)</f>
        <v/>
      </c>
    </row>
    <row r="4187">
      <c r="A4187" t="n">
        <v>511672</v>
      </c>
      <c r="B4187" s="6" t="n">
        <v>46013</v>
      </c>
      <c r="C4187" t="n">
        <v>17871</v>
      </c>
      <c r="D4187" t="inlineStr">
        <is>
          <t>Chennai</t>
        </is>
      </c>
      <c r="E4187" t="inlineStr">
        <is>
          <t>South</t>
        </is>
      </c>
      <c r="F4187" t="inlineStr">
        <is>
          <t>Organic Search</t>
        </is>
      </c>
      <c r="G4187" t="inlineStr">
        <is>
          <t>Mobile Web</t>
        </is>
      </c>
      <c r="H4187" t="inlineStr">
        <is>
          <t>UPI</t>
        </is>
      </c>
      <c r="I4187" t="inlineStr">
        <is>
          <t>Delivered</t>
        </is>
      </c>
      <c r="J4187" t="n">
        <v>147</v>
      </c>
      <c r="K4187" t="n">
        <v>2</v>
      </c>
      <c r="L4187" t="n">
        <v>1364</v>
      </c>
      <c r="M4187" t="n">
        <v>409.2</v>
      </c>
      <c r="N4187">
        <f>VLOOKUP(J4187,Products!$A$2:$C$49,3,FALSE)</f>
        <v/>
      </c>
      <c r="O4187">
        <f>K4187*L4187-M4187</f>
        <v/>
      </c>
      <c r="P4187">
        <f>TEXT(B4187,"yyyy-mm")</f>
        <v/>
      </c>
      <c r="Q4187">
        <f>IF(O4187&gt;=3000,"Large","Small")</f>
        <v/>
      </c>
      <c r="R4187">
        <f>INDEX(Products!$F$2:$F$49,MATCH(J4187,Products!$A$2:$A$49,0))</f>
        <v/>
      </c>
      <c r="S4187">
        <f>WEEKDAY(B4187,2)</f>
        <v/>
      </c>
    </row>
    <row r="4188">
      <c r="A4188" t="n">
        <v>511673</v>
      </c>
      <c r="B4188" s="6" t="n">
        <v>46013</v>
      </c>
      <c r="C4188" t="n">
        <v>12797</v>
      </c>
      <c r="D4188" t="inlineStr">
        <is>
          <t>Noida</t>
        </is>
      </c>
      <c r="E4188" t="inlineStr">
        <is>
          <t>North</t>
        </is>
      </c>
      <c r="F4188" t="inlineStr">
        <is>
          <t>Paid Social</t>
        </is>
      </c>
      <c r="G4188" t="inlineStr">
        <is>
          <t>Mobile Web</t>
        </is>
      </c>
      <c r="H4188" t="inlineStr">
        <is>
          <t>Net Banking</t>
        </is>
      </c>
      <c r="I4188" t="inlineStr">
        <is>
          <t>Delivered</t>
        </is>
      </c>
      <c r="J4188" t="n">
        <v>142</v>
      </c>
      <c r="K4188" t="n">
        <v>1</v>
      </c>
      <c r="L4188" t="n">
        <v>839</v>
      </c>
      <c r="M4188" t="n">
        <v>0</v>
      </c>
      <c r="N4188">
        <f>VLOOKUP(J4188,Products!$A$2:$C$49,3,FALSE)</f>
        <v/>
      </c>
      <c r="O4188">
        <f>K4188*L4188-M4188</f>
        <v/>
      </c>
      <c r="P4188">
        <f>TEXT(B4188,"yyyy-mm")</f>
        <v/>
      </c>
      <c r="Q4188">
        <f>IF(O4188&gt;=3000,"Large","Small")</f>
        <v/>
      </c>
      <c r="R4188">
        <f>INDEX(Products!$F$2:$F$49,MATCH(J4188,Products!$A$2:$A$49,0))</f>
        <v/>
      </c>
      <c r="S4188">
        <f>WEEKDAY(B4188,2)</f>
        <v/>
      </c>
    </row>
    <row r="4189">
      <c r="A4189" t="n">
        <v>511674</v>
      </c>
      <c r="B4189" s="6" t="n">
        <v>46013</v>
      </c>
      <c r="C4189" t="n">
        <v>17860</v>
      </c>
      <c r="D4189" t="inlineStr">
        <is>
          <t>Indore</t>
        </is>
      </c>
      <c r="E4189" t="inlineStr">
        <is>
          <t>West</t>
        </is>
      </c>
      <c r="F4189" t="inlineStr">
        <is>
          <t>Paid Social</t>
        </is>
      </c>
      <c r="G4189" t="inlineStr">
        <is>
          <t>Mobile App</t>
        </is>
      </c>
      <c r="H4189" t="inlineStr">
        <is>
          <t>Debit Card</t>
        </is>
      </c>
      <c r="I4189" t="inlineStr">
        <is>
          <t>Delivered</t>
        </is>
      </c>
      <c r="J4189" t="n">
        <v>107</v>
      </c>
      <c r="K4189" t="n">
        <v>1</v>
      </c>
      <c r="L4189" t="n">
        <v>1259</v>
      </c>
      <c r="M4189" t="n">
        <v>0</v>
      </c>
      <c r="N4189">
        <f>VLOOKUP(J4189,Products!$A$2:$C$49,3,FALSE)</f>
        <v/>
      </c>
      <c r="O4189">
        <f>K4189*L4189-M4189</f>
        <v/>
      </c>
      <c r="P4189">
        <f>TEXT(B4189,"yyyy-mm")</f>
        <v/>
      </c>
      <c r="Q4189">
        <f>IF(O4189&gt;=3000,"Large","Small")</f>
        <v/>
      </c>
      <c r="R4189">
        <f>INDEX(Products!$F$2:$F$49,MATCH(J4189,Products!$A$2:$A$49,0))</f>
        <v/>
      </c>
      <c r="S4189">
        <f>WEEKDAY(B4189,2)</f>
        <v/>
      </c>
    </row>
    <row r="4190">
      <c r="A4190" t="n">
        <v>511674</v>
      </c>
      <c r="B4190" s="6" t="n">
        <v>46013</v>
      </c>
      <c r="C4190" t="n">
        <v>17860</v>
      </c>
      <c r="D4190" t="inlineStr">
        <is>
          <t>Indore</t>
        </is>
      </c>
      <c r="E4190" t="inlineStr">
        <is>
          <t>West</t>
        </is>
      </c>
      <c r="F4190" t="inlineStr">
        <is>
          <t>Paid Social</t>
        </is>
      </c>
      <c r="G4190" t="inlineStr">
        <is>
          <t>Mobile App</t>
        </is>
      </c>
      <c r="H4190" t="inlineStr">
        <is>
          <t>Debit Card</t>
        </is>
      </c>
      <c r="I4190" t="inlineStr">
        <is>
          <t>Delivered</t>
        </is>
      </c>
      <c r="J4190" t="n">
        <v>115</v>
      </c>
      <c r="K4190" t="n">
        <v>1</v>
      </c>
      <c r="L4190" t="n">
        <v>4199</v>
      </c>
      <c r="M4190" t="n">
        <v>0</v>
      </c>
      <c r="N4190">
        <f>VLOOKUP(J4190,Products!$A$2:$C$49,3,FALSE)</f>
        <v/>
      </c>
      <c r="O4190">
        <f>K4190*L4190-M4190</f>
        <v/>
      </c>
      <c r="P4190">
        <f>TEXT(B4190,"yyyy-mm")</f>
        <v/>
      </c>
      <c r="Q4190">
        <f>IF(O4190&gt;=3000,"Large","Small")</f>
        <v/>
      </c>
      <c r="R4190">
        <f>INDEX(Products!$F$2:$F$49,MATCH(J4190,Products!$A$2:$A$49,0))</f>
        <v/>
      </c>
      <c r="S4190">
        <f>WEEKDAY(B4190,2)</f>
        <v/>
      </c>
    </row>
    <row r="4191">
      <c r="A4191" t="n">
        <v>511675</v>
      </c>
      <c r="B4191" s="6" t="n">
        <v>46013</v>
      </c>
      <c r="C4191" t="n">
        <v>13882</v>
      </c>
      <c r="D4191" t="inlineStr">
        <is>
          <t>Noida</t>
        </is>
      </c>
      <c r="E4191" t="inlineStr">
        <is>
          <t>North</t>
        </is>
      </c>
      <c r="F4191" t="inlineStr">
        <is>
          <t>Referral</t>
        </is>
      </c>
      <c r="G4191" t="inlineStr">
        <is>
          <t>Mobile App</t>
        </is>
      </c>
      <c r="H4191" t="inlineStr">
        <is>
          <t>UPI</t>
        </is>
      </c>
      <c r="I4191" t="inlineStr">
        <is>
          <t>Delivered</t>
        </is>
      </c>
      <c r="J4191" t="n">
        <v>118</v>
      </c>
      <c r="K4191" t="n">
        <v>1</v>
      </c>
      <c r="L4191" t="n">
        <v>944</v>
      </c>
      <c r="M4191" t="n">
        <v>0</v>
      </c>
      <c r="N4191">
        <f>VLOOKUP(J4191,Products!$A$2:$C$49,3,FALSE)</f>
        <v/>
      </c>
      <c r="O4191">
        <f>K4191*L4191-M4191</f>
        <v/>
      </c>
      <c r="P4191">
        <f>TEXT(B4191,"yyyy-mm")</f>
        <v/>
      </c>
      <c r="Q4191">
        <f>IF(O4191&gt;=3000,"Large","Small")</f>
        <v/>
      </c>
      <c r="R4191">
        <f>INDEX(Products!$F$2:$F$49,MATCH(J4191,Products!$A$2:$A$49,0))</f>
        <v/>
      </c>
      <c r="S4191">
        <f>WEEKDAY(B4191,2)</f>
        <v/>
      </c>
    </row>
    <row r="4192">
      <c r="A4192" t="n">
        <v>511675</v>
      </c>
      <c r="B4192" s="6" t="n">
        <v>46013</v>
      </c>
      <c r="C4192" t="n">
        <v>13882</v>
      </c>
      <c r="D4192" t="inlineStr">
        <is>
          <t>Noida</t>
        </is>
      </c>
      <c r="E4192" t="inlineStr">
        <is>
          <t>North</t>
        </is>
      </c>
      <c r="F4192" t="inlineStr">
        <is>
          <t>Referral</t>
        </is>
      </c>
      <c r="G4192" t="inlineStr">
        <is>
          <t>Mobile App</t>
        </is>
      </c>
      <c r="H4192" t="inlineStr">
        <is>
          <t>UPI</t>
        </is>
      </c>
      <c r="I4192" t="inlineStr">
        <is>
          <t>Delivered</t>
        </is>
      </c>
      <c r="J4192" t="n">
        <v>103</v>
      </c>
      <c r="K4192" t="n">
        <v>2</v>
      </c>
      <c r="L4192" t="n">
        <v>2624</v>
      </c>
      <c r="M4192" t="n">
        <v>0</v>
      </c>
      <c r="N4192">
        <f>VLOOKUP(J4192,Products!$A$2:$C$49,3,FALSE)</f>
        <v/>
      </c>
      <c r="O4192">
        <f>K4192*L4192-M4192</f>
        <v/>
      </c>
      <c r="P4192">
        <f>TEXT(B4192,"yyyy-mm")</f>
        <v/>
      </c>
      <c r="Q4192">
        <f>IF(O4192&gt;=3000,"Large","Small")</f>
        <v/>
      </c>
      <c r="R4192">
        <f>INDEX(Products!$F$2:$F$49,MATCH(J4192,Products!$A$2:$A$49,0))</f>
        <v/>
      </c>
      <c r="S4192">
        <f>WEEKDAY(B4192,2)</f>
        <v/>
      </c>
    </row>
    <row r="4193">
      <c r="A4193" t="n">
        <v>511675</v>
      </c>
      <c r="B4193" s="6" t="n">
        <v>46013</v>
      </c>
      <c r="C4193" t="n">
        <v>13882</v>
      </c>
      <c r="D4193" t="inlineStr">
        <is>
          <t>Noida</t>
        </is>
      </c>
      <c r="E4193" t="inlineStr">
        <is>
          <t>North</t>
        </is>
      </c>
      <c r="F4193" t="inlineStr">
        <is>
          <t>Referral</t>
        </is>
      </c>
      <c r="G4193" t="inlineStr">
        <is>
          <t>Mobile App</t>
        </is>
      </c>
      <c r="H4193" t="inlineStr">
        <is>
          <t>UPI</t>
        </is>
      </c>
      <c r="I4193" t="inlineStr">
        <is>
          <t>Delivered</t>
        </is>
      </c>
      <c r="J4193" t="n">
        <v>111</v>
      </c>
      <c r="K4193" t="n">
        <v>1</v>
      </c>
      <c r="L4193" t="n">
        <v>524</v>
      </c>
      <c r="M4193" t="n">
        <v>0</v>
      </c>
      <c r="N4193">
        <f>VLOOKUP(J4193,Products!$A$2:$C$49,3,FALSE)</f>
        <v/>
      </c>
      <c r="O4193">
        <f>K4193*L4193-M4193</f>
        <v/>
      </c>
      <c r="P4193">
        <f>TEXT(B4193,"yyyy-mm")</f>
        <v/>
      </c>
      <c r="Q4193">
        <f>IF(O4193&gt;=3000,"Large","Small")</f>
        <v/>
      </c>
      <c r="R4193">
        <f>INDEX(Products!$F$2:$F$49,MATCH(J4193,Products!$A$2:$A$49,0))</f>
        <v/>
      </c>
      <c r="S4193">
        <f>WEEKDAY(B4193,2)</f>
        <v/>
      </c>
    </row>
    <row r="4194">
      <c r="A4194" t="n">
        <v>511675</v>
      </c>
      <c r="B4194" s="6" t="n">
        <v>46013</v>
      </c>
      <c r="C4194" t="n">
        <v>13882</v>
      </c>
      <c r="D4194" t="inlineStr">
        <is>
          <t>Noida</t>
        </is>
      </c>
      <c r="E4194" t="inlineStr">
        <is>
          <t>North</t>
        </is>
      </c>
      <c r="F4194" t="inlineStr">
        <is>
          <t>Referral</t>
        </is>
      </c>
      <c r="G4194" t="inlineStr">
        <is>
          <t>Mobile App</t>
        </is>
      </c>
      <c r="H4194" t="inlineStr">
        <is>
          <t>UPI</t>
        </is>
      </c>
      <c r="I4194" t="inlineStr">
        <is>
          <t>Delivered</t>
        </is>
      </c>
      <c r="J4194" t="n">
        <v>112</v>
      </c>
      <c r="K4194" t="n">
        <v>1</v>
      </c>
      <c r="L4194" t="n">
        <v>1574</v>
      </c>
      <c r="M4194" t="n">
        <v>0</v>
      </c>
      <c r="N4194">
        <f>VLOOKUP(J4194,Products!$A$2:$C$49,3,FALSE)</f>
        <v/>
      </c>
      <c r="O4194">
        <f>K4194*L4194-M4194</f>
        <v/>
      </c>
      <c r="P4194">
        <f>TEXT(B4194,"yyyy-mm")</f>
        <v/>
      </c>
      <c r="Q4194">
        <f>IF(O4194&gt;=3000,"Large","Small")</f>
        <v/>
      </c>
      <c r="R4194">
        <f>INDEX(Products!$F$2:$F$49,MATCH(J4194,Products!$A$2:$A$49,0))</f>
        <v/>
      </c>
      <c r="S4194">
        <f>WEEKDAY(B4194,2)</f>
        <v/>
      </c>
    </row>
    <row r="4195">
      <c r="A4195" t="n">
        <v>511676</v>
      </c>
      <c r="B4195" s="6" t="n">
        <v>46013</v>
      </c>
      <c r="C4195" t="n">
        <v>17406</v>
      </c>
      <c r="D4195" t="inlineStr">
        <is>
          <t>Jaipur</t>
        </is>
      </c>
      <c r="E4195" t="inlineStr">
        <is>
          <t>North</t>
        </is>
      </c>
      <c r="F4195" t="inlineStr">
        <is>
          <t>Paid Search</t>
        </is>
      </c>
      <c r="G4195" t="inlineStr">
        <is>
          <t>Mobile App</t>
        </is>
      </c>
      <c r="H4195" t="inlineStr">
        <is>
          <t>Credit Card</t>
        </is>
      </c>
      <c r="I4195" t="inlineStr">
        <is>
          <t>Delivered</t>
        </is>
      </c>
      <c r="J4195" t="n">
        <v>122</v>
      </c>
      <c r="K4195" t="n">
        <v>1</v>
      </c>
      <c r="L4195" t="n">
        <v>1994</v>
      </c>
      <c r="M4195" t="n">
        <v>0</v>
      </c>
      <c r="N4195">
        <f>VLOOKUP(J4195,Products!$A$2:$C$49,3,FALSE)</f>
        <v/>
      </c>
      <c r="O4195">
        <f>K4195*L4195-M4195</f>
        <v/>
      </c>
      <c r="P4195">
        <f>TEXT(B4195,"yyyy-mm")</f>
        <v/>
      </c>
      <c r="Q4195">
        <f>IF(O4195&gt;=3000,"Large","Small")</f>
        <v/>
      </c>
      <c r="R4195">
        <f>INDEX(Products!$F$2:$F$49,MATCH(J4195,Products!$A$2:$A$49,0))</f>
        <v/>
      </c>
      <c r="S4195">
        <f>WEEKDAY(B4195,2)</f>
        <v/>
      </c>
    </row>
    <row r="4196">
      <c r="A4196" t="n">
        <v>511677</v>
      </c>
      <c r="B4196" s="6" t="n">
        <v>46013</v>
      </c>
      <c r="C4196" t="n">
        <v>17601</v>
      </c>
      <c r="D4196" t="inlineStr">
        <is>
          <t>Pune</t>
        </is>
      </c>
      <c r="E4196" t="inlineStr">
        <is>
          <t>West</t>
        </is>
      </c>
      <c r="F4196" t="inlineStr">
        <is>
          <t>Affiliate</t>
        </is>
      </c>
      <c r="G4196" t="inlineStr">
        <is>
          <t>Mobile App</t>
        </is>
      </c>
      <c r="H4196" t="inlineStr">
        <is>
          <t>Credit Card</t>
        </is>
      </c>
      <c r="I4196" t="inlineStr">
        <is>
          <t>Delivered</t>
        </is>
      </c>
      <c r="J4196" t="n">
        <v>121</v>
      </c>
      <c r="K4196" t="n">
        <v>2</v>
      </c>
      <c r="L4196" t="n">
        <v>2939</v>
      </c>
      <c r="M4196" t="n">
        <v>0</v>
      </c>
      <c r="N4196">
        <f>VLOOKUP(J4196,Products!$A$2:$C$49,3,FALSE)</f>
        <v/>
      </c>
      <c r="O4196">
        <f>K4196*L4196-M4196</f>
        <v/>
      </c>
      <c r="P4196">
        <f>TEXT(B4196,"yyyy-mm")</f>
        <v/>
      </c>
      <c r="Q4196">
        <f>IF(O4196&gt;=3000,"Large","Small")</f>
        <v/>
      </c>
      <c r="R4196">
        <f>INDEX(Products!$F$2:$F$49,MATCH(J4196,Products!$A$2:$A$49,0))</f>
        <v/>
      </c>
      <c r="S4196">
        <f>WEEKDAY(B4196,2)</f>
        <v/>
      </c>
    </row>
    <row r="4197">
      <c r="A4197" t="n">
        <v>511677</v>
      </c>
      <c r="B4197" s="6" t="n">
        <v>46013</v>
      </c>
      <c r="C4197" t="n">
        <v>17601</v>
      </c>
      <c r="D4197" t="inlineStr">
        <is>
          <t>Pune</t>
        </is>
      </c>
      <c r="E4197" t="inlineStr">
        <is>
          <t>West</t>
        </is>
      </c>
      <c r="F4197" t="inlineStr">
        <is>
          <t>Affiliate</t>
        </is>
      </c>
      <c r="G4197" t="inlineStr">
        <is>
          <t>Mobile App</t>
        </is>
      </c>
      <c r="H4197" t="inlineStr">
        <is>
          <t>Credit Card</t>
        </is>
      </c>
      <c r="I4197" t="inlineStr">
        <is>
          <t>Delivered</t>
        </is>
      </c>
      <c r="J4197" t="n">
        <v>131</v>
      </c>
      <c r="K4197" t="n">
        <v>1</v>
      </c>
      <c r="L4197" t="n">
        <v>314</v>
      </c>
      <c r="M4197" t="n">
        <v>0</v>
      </c>
      <c r="N4197">
        <f>VLOOKUP(J4197,Products!$A$2:$C$49,3,FALSE)</f>
        <v/>
      </c>
      <c r="O4197">
        <f>K4197*L4197-M4197</f>
        <v/>
      </c>
      <c r="P4197">
        <f>TEXT(B4197,"yyyy-mm")</f>
        <v/>
      </c>
      <c r="Q4197">
        <f>IF(O4197&gt;=3000,"Large","Small")</f>
        <v/>
      </c>
      <c r="R4197">
        <f>INDEX(Products!$F$2:$F$49,MATCH(J4197,Products!$A$2:$A$49,0))</f>
        <v/>
      </c>
      <c r="S4197">
        <f>WEEKDAY(B4197,2)</f>
        <v/>
      </c>
    </row>
    <row r="4198">
      <c r="A4198" t="n">
        <v>511678</v>
      </c>
      <c r="B4198" s="6" t="n">
        <v>46014</v>
      </c>
      <c r="C4198" t="n">
        <v>15860</v>
      </c>
      <c r="D4198" t="inlineStr">
        <is>
          <t>Mumbai</t>
        </is>
      </c>
      <c r="E4198" t="inlineStr">
        <is>
          <t>West</t>
        </is>
      </c>
      <c r="F4198" t="inlineStr">
        <is>
          <t>Paid Search</t>
        </is>
      </c>
      <c r="G4198" t="inlineStr">
        <is>
          <t>Mobile App</t>
        </is>
      </c>
      <c r="H4198" t="inlineStr">
        <is>
          <t>Credit Card</t>
        </is>
      </c>
      <c r="I4198" t="inlineStr">
        <is>
          <t>Delivered</t>
        </is>
      </c>
      <c r="J4198" t="n">
        <v>146</v>
      </c>
      <c r="K4198" t="n">
        <v>2</v>
      </c>
      <c r="L4198" t="n">
        <v>4724</v>
      </c>
      <c r="M4198" t="n">
        <v>0</v>
      </c>
      <c r="N4198">
        <f>VLOOKUP(J4198,Products!$A$2:$C$49,3,FALSE)</f>
        <v/>
      </c>
      <c r="O4198">
        <f>K4198*L4198-M4198</f>
        <v/>
      </c>
      <c r="P4198">
        <f>TEXT(B4198,"yyyy-mm")</f>
        <v/>
      </c>
      <c r="Q4198">
        <f>IF(O4198&gt;=3000,"Large","Small")</f>
        <v/>
      </c>
      <c r="R4198">
        <f>INDEX(Products!$F$2:$F$49,MATCH(J4198,Products!$A$2:$A$49,0))</f>
        <v/>
      </c>
      <c r="S4198">
        <f>WEEKDAY(B4198,2)</f>
        <v/>
      </c>
    </row>
    <row r="4199">
      <c r="A4199" t="n">
        <v>511678</v>
      </c>
      <c r="B4199" s="6" t="n">
        <v>46014</v>
      </c>
      <c r="C4199" t="n">
        <v>15860</v>
      </c>
      <c r="D4199" t="inlineStr">
        <is>
          <t>Mumbai</t>
        </is>
      </c>
      <c r="E4199" t="inlineStr">
        <is>
          <t>West</t>
        </is>
      </c>
      <c r="F4199" t="inlineStr">
        <is>
          <t>Paid Search</t>
        </is>
      </c>
      <c r="G4199" t="inlineStr">
        <is>
          <t>Mobile App</t>
        </is>
      </c>
      <c r="H4199" t="inlineStr">
        <is>
          <t>Credit Card</t>
        </is>
      </c>
      <c r="I4199" t="inlineStr">
        <is>
          <t>Delivered</t>
        </is>
      </c>
      <c r="J4199" t="n">
        <v>114</v>
      </c>
      <c r="K4199" t="n">
        <v>1</v>
      </c>
      <c r="L4199" t="n">
        <v>1259</v>
      </c>
      <c r="M4199" t="n">
        <v>0</v>
      </c>
      <c r="N4199">
        <f>VLOOKUP(J4199,Products!$A$2:$C$49,3,FALSE)</f>
        <v/>
      </c>
      <c r="O4199">
        <f>K4199*L4199-M4199</f>
        <v/>
      </c>
      <c r="P4199">
        <f>TEXT(B4199,"yyyy-mm")</f>
        <v/>
      </c>
      <c r="Q4199">
        <f>IF(O4199&gt;=3000,"Large","Small")</f>
        <v/>
      </c>
      <c r="R4199">
        <f>INDEX(Products!$F$2:$F$49,MATCH(J4199,Products!$A$2:$A$49,0))</f>
        <v/>
      </c>
      <c r="S4199">
        <f>WEEKDAY(B4199,2)</f>
        <v/>
      </c>
    </row>
    <row r="4200">
      <c r="A4200" t="n">
        <v>511678</v>
      </c>
      <c r="B4200" s="6" t="n">
        <v>46014</v>
      </c>
      <c r="C4200" t="n">
        <v>15860</v>
      </c>
      <c r="D4200" t="inlineStr">
        <is>
          <t>Mumbai</t>
        </is>
      </c>
      <c r="E4200" t="inlineStr">
        <is>
          <t>West</t>
        </is>
      </c>
      <c r="F4200" t="inlineStr">
        <is>
          <t>Paid Search</t>
        </is>
      </c>
      <c r="G4200" t="inlineStr">
        <is>
          <t>Mobile App</t>
        </is>
      </c>
      <c r="H4200" t="inlineStr">
        <is>
          <t>Credit Card</t>
        </is>
      </c>
      <c r="I4200" t="inlineStr">
        <is>
          <t>Delivered</t>
        </is>
      </c>
      <c r="J4200" t="n">
        <v>122</v>
      </c>
      <c r="K4200" t="n">
        <v>1</v>
      </c>
      <c r="L4200" t="n">
        <v>1994</v>
      </c>
      <c r="M4200" t="n">
        <v>0</v>
      </c>
      <c r="N4200">
        <f>VLOOKUP(J4200,Products!$A$2:$C$49,3,FALSE)</f>
        <v/>
      </c>
      <c r="O4200">
        <f>K4200*L4200-M4200</f>
        <v/>
      </c>
      <c r="P4200">
        <f>TEXT(B4200,"yyyy-mm")</f>
        <v/>
      </c>
      <c r="Q4200">
        <f>IF(O4200&gt;=3000,"Large","Small")</f>
        <v/>
      </c>
      <c r="R4200">
        <f>INDEX(Products!$F$2:$F$49,MATCH(J4200,Products!$A$2:$A$49,0))</f>
        <v/>
      </c>
      <c r="S4200">
        <f>WEEKDAY(B4200,2)</f>
        <v/>
      </c>
    </row>
    <row r="4201">
      <c r="A4201" t="n">
        <v>511679</v>
      </c>
      <c r="B4201" s="6" t="n">
        <v>46014</v>
      </c>
      <c r="C4201" t="n">
        <v>17817</v>
      </c>
      <c r="D4201" t="inlineStr">
        <is>
          <t>Mumbai</t>
        </is>
      </c>
      <c r="E4201" t="inlineStr">
        <is>
          <t>West</t>
        </is>
      </c>
      <c r="F4201" t="inlineStr">
        <is>
          <t>Referral</t>
        </is>
      </c>
      <c r="G4201" t="inlineStr">
        <is>
          <t>Mobile App</t>
        </is>
      </c>
      <c r="H4201" t="inlineStr">
        <is>
          <t>UPI</t>
        </is>
      </c>
      <c r="I4201" t="inlineStr">
        <is>
          <t>Delivered</t>
        </is>
      </c>
      <c r="J4201" t="n">
        <v>137</v>
      </c>
      <c r="K4201" t="n">
        <v>1</v>
      </c>
      <c r="L4201" t="n">
        <v>261</v>
      </c>
      <c r="M4201" t="n">
        <v>39.15</v>
      </c>
      <c r="N4201">
        <f>VLOOKUP(J4201,Products!$A$2:$C$49,3,FALSE)</f>
        <v/>
      </c>
      <c r="O4201">
        <f>K4201*L4201-M4201</f>
        <v/>
      </c>
      <c r="P4201">
        <f>TEXT(B4201,"yyyy-mm")</f>
        <v/>
      </c>
      <c r="Q4201">
        <f>IF(O4201&gt;=3000,"Large","Small")</f>
        <v/>
      </c>
      <c r="R4201">
        <f>INDEX(Products!$F$2:$F$49,MATCH(J4201,Products!$A$2:$A$49,0))</f>
        <v/>
      </c>
      <c r="S4201">
        <f>WEEKDAY(B4201,2)</f>
        <v/>
      </c>
    </row>
    <row r="4202">
      <c r="A4202" t="n">
        <v>511679</v>
      </c>
      <c r="B4202" s="6" t="n">
        <v>46014</v>
      </c>
      <c r="C4202" t="n">
        <v>17817</v>
      </c>
      <c r="D4202" t="inlineStr">
        <is>
          <t>Mumbai</t>
        </is>
      </c>
      <c r="E4202" t="inlineStr">
        <is>
          <t>West</t>
        </is>
      </c>
      <c r="F4202" t="inlineStr">
        <is>
          <t>Referral</t>
        </is>
      </c>
      <c r="G4202" t="inlineStr">
        <is>
          <t>Mobile App</t>
        </is>
      </c>
      <c r="H4202" t="inlineStr">
        <is>
          <t>UPI</t>
        </is>
      </c>
      <c r="I4202" t="inlineStr">
        <is>
          <t>Delivered</t>
        </is>
      </c>
      <c r="J4202" t="n">
        <v>133</v>
      </c>
      <c r="K4202" t="n">
        <v>1</v>
      </c>
      <c r="L4202" t="n">
        <v>419</v>
      </c>
      <c r="M4202" t="n">
        <v>62.85</v>
      </c>
      <c r="N4202">
        <f>VLOOKUP(J4202,Products!$A$2:$C$49,3,FALSE)</f>
        <v/>
      </c>
      <c r="O4202">
        <f>K4202*L4202-M4202</f>
        <v/>
      </c>
      <c r="P4202">
        <f>TEXT(B4202,"yyyy-mm")</f>
        <v/>
      </c>
      <c r="Q4202">
        <f>IF(O4202&gt;=3000,"Large","Small")</f>
        <v/>
      </c>
      <c r="R4202">
        <f>INDEX(Products!$F$2:$F$49,MATCH(J4202,Products!$A$2:$A$49,0))</f>
        <v/>
      </c>
      <c r="S4202">
        <f>WEEKDAY(B4202,2)</f>
        <v/>
      </c>
    </row>
    <row r="4203">
      <c r="A4203" t="n">
        <v>511680</v>
      </c>
      <c r="B4203" s="6" t="n">
        <v>46014</v>
      </c>
      <c r="C4203" t="n">
        <v>17864</v>
      </c>
      <c r="D4203" t="inlineStr">
        <is>
          <t>Bengaluru</t>
        </is>
      </c>
      <c r="E4203" t="inlineStr">
        <is>
          <t>South</t>
        </is>
      </c>
      <c r="F4203" t="inlineStr">
        <is>
          <t>Paid Search</t>
        </is>
      </c>
      <c r="G4203" t="inlineStr">
        <is>
          <t>Mobile App</t>
        </is>
      </c>
      <c r="H4203" t="inlineStr">
        <is>
          <t>Debit Card</t>
        </is>
      </c>
      <c r="I4203" t="inlineStr">
        <is>
          <t>Delivered</t>
        </is>
      </c>
      <c r="J4203" t="n">
        <v>106</v>
      </c>
      <c r="K4203" t="n">
        <v>1</v>
      </c>
      <c r="L4203" t="n">
        <v>1574</v>
      </c>
      <c r="M4203" t="n">
        <v>236.1</v>
      </c>
      <c r="N4203">
        <f>VLOOKUP(J4203,Products!$A$2:$C$49,3,FALSE)</f>
        <v/>
      </c>
      <c r="O4203">
        <f>K4203*L4203-M4203</f>
        <v/>
      </c>
      <c r="P4203">
        <f>TEXT(B4203,"yyyy-mm")</f>
        <v/>
      </c>
      <c r="Q4203">
        <f>IF(O4203&gt;=3000,"Large","Small")</f>
        <v/>
      </c>
      <c r="R4203">
        <f>INDEX(Products!$F$2:$F$49,MATCH(J4203,Products!$A$2:$A$49,0))</f>
        <v/>
      </c>
      <c r="S4203">
        <f>WEEKDAY(B4203,2)</f>
        <v/>
      </c>
    </row>
    <row r="4204">
      <c r="A4204" t="n">
        <v>511681</v>
      </c>
      <c r="B4204" s="6" t="n">
        <v>46014</v>
      </c>
      <c r="C4204" t="n">
        <v>15616</v>
      </c>
      <c r="D4204" t="inlineStr">
        <is>
          <t>Bengaluru</t>
        </is>
      </c>
      <c r="E4204" t="inlineStr">
        <is>
          <t>South</t>
        </is>
      </c>
      <c r="F4204" t="inlineStr">
        <is>
          <t>Organic Search</t>
        </is>
      </c>
      <c r="G4204" t="inlineStr">
        <is>
          <t>Mobile App</t>
        </is>
      </c>
      <c r="H4204" t="inlineStr">
        <is>
          <t>Net Banking</t>
        </is>
      </c>
      <c r="I4204" t="inlineStr">
        <is>
          <t>Cancelled</t>
        </is>
      </c>
      <c r="J4204" t="n">
        <v>134</v>
      </c>
      <c r="K4204" t="n">
        <v>1</v>
      </c>
      <c r="L4204" t="n">
        <v>209</v>
      </c>
      <c r="M4204" t="n">
        <v>0</v>
      </c>
      <c r="N4204">
        <f>VLOOKUP(J4204,Products!$A$2:$C$49,3,FALSE)</f>
        <v/>
      </c>
      <c r="O4204">
        <f>K4204*L4204-M4204</f>
        <v/>
      </c>
      <c r="P4204">
        <f>TEXT(B4204,"yyyy-mm")</f>
        <v/>
      </c>
      <c r="Q4204">
        <f>IF(O4204&gt;=3000,"Large","Small")</f>
        <v/>
      </c>
      <c r="R4204">
        <f>INDEX(Products!$F$2:$F$49,MATCH(J4204,Products!$A$2:$A$49,0))</f>
        <v/>
      </c>
      <c r="S4204">
        <f>WEEKDAY(B4204,2)</f>
        <v/>
      </c>
    </row>
    <row r="4205">
      <c r="A4205" t="n">
        <v>511682</v>
      </c>
      <c r="B4205" s="6" t="n">
        <v>46014</v>
      </c>
      <c r="C4205" t="n">
        <v>17841</v>
      </c>
      <c r="D4205" t="inlineStr">
        <is>
          <t>Mumbai</t>
        </is>
      </c>
      <c r="E4205" t="inlineStr">
        <is>
          <t>West</t>
        </is>
      </c>
      <c r="F4205" t="inlineStr">
        <is>
          <t>Organic Search</t>
        </is>
      </c>
      <c r="G4205" t="inlineStr">
        <is>
          <t>Mobile Web</t>
        </is>
      </c>
      <c r="H4205" t="inlineStr">
        <is>
          <t>UPI</t>
        </is>
      </c>
      <c r="I4205" t="inlineStr">
        <is>
          <t>Delivered</t>
        </is>
      </c>
      <c r="J4205" t="n">
        <v>147</v>
      </c>
      <c r="K4205" t="n">
        <v>1</v>
      </c>
      <c r="L4205" t="n">
        <v>1364</v>
      </c>
      <c r="M4205" t="n">
        <v>204.6</v>
      </c>
      <c r="N4205">
        <f>VLOOKUP(J4205,Products!$A$2:$C$49,3,FALSE)</f>
        <v/>
      </c>
      <c r="O4205">
        <f>K4205*L4205-M4205</f>
        <v/>
      </c>
      <c r="P4205">
        <f>TEXT(B4205,"yyyy-mm")</f>
        <v/>
      </c>
      <c r="Q4205">
        <f>IF(O4205&gt;=3000,"Large","Small")</f>
        <v/>
      </c>
      <c r="R4205">
        <f>INDEX(Products!$F$2:$F$49,MATCH(J4205,Products!$A$2:$A$49,0))</f>
        <v/>
      </c>
      <c r="S4205">
        <f>WEEKDAY(B4205,2)</f>
        <v/>
      </c>
    </row>
    <row r="4206">
      <c r="A4206" t="n">
        <v>511683</v>
      </c>
      <c r="B4206" s="6" t="n">
        <v>46014</v>
      </c>
      <c r="C4206" t="n">
        <v>17881</v>
      </c>
      <c r="D4206" t="inlineStr">
        <is>
          <t>Kolkata</t>
        </is>
      </c>
      <c r="E4206" t="inlineStr">
        <is>
          <t>East</t>
        </is>
      </c>
      <c r="F4206" t="inlineStr">
        <is>
          <t>Organic Search</t>
        </is>
      </c>
      <c r="G4206" t="inlineStr">
        <is>
          <t>Mobile App</t>
        </is>
      </c>
      <c r="H4206" t="inlineStr">
        <is>
          <t>UPI</t>
        </is>
      </c>
      <c r="I4206" t="inlineStr">
        <is>
          <t>Delivered</t>
        </is>
      </c>
      <c r="J4206" t="n">
        <v>109</v>
      </c>
      <c r="K4206" t="n">
        <v>1</v>
      </c>
      <c r="L4206" t="n">
        <v>4199</v>
      </c>
      <c r="M4206" t="n">
        <v>629.85</v>
      </c>
      <c r="N4206">
        <f>VLOOKUP(J4206,Products!$A$2:$C$49,3,FALSE)</f>
        <v/>
      </c>
      <c r="O4206">
        <f>K4206*L4206-M4206</f>
        <v/>
      </c>
      <c r="P4206">
        <f>TEXT(B4206,"yyyy-mm")</f>
        <v/>
      </c>
      <c r="Q4206">
        <f>IF(O4206&gt;=3000,"Large","Small")</f>
        <v/>
      </c>
      <c r="R4206">
        <f>INDEX(Products!$F$2:$F$49,MATCH(J4206,Products!$A$2:$A$49,0))</f>
        <v/>
      </c>
      <c r="S4206">
        <f>WEEKDAY(B4206,2)</f>
        <v/>
      </c>
    </row>
    <row r="4207">
      <c r="A4207" t="n">
        <v>511683</v>
      </c>
      <c r="B4207" s="6" t="n">
        <v>46014</v>
      </c>
      <c r="C4207" t="n">
        <v>17881</v>
      </c>
      <c r="D4207" t="inlineStr">
        <is>
          <t>Kolkata</t>
        </is>
      </c>
      <c r="E4207" t="inlineStr">
        <is>
          <t>East</t>
        </is>
      </c>
      <c r="F4207" t="inlineStr">
        <is>
          <t>Organic Search</t>
        </is>
      </c>
      <c r="G4207" t="inlineStr">
        <is>
          <t>Mobile App</t>
        </is>
      </c>
      <c r="H4207" t="inlineStr">
        <is>
          <t>UPI</t>
        </is>
      </c>
      <c r="I4207" t="inlineStr">
        <is>
          <t>Delivered</t>
        </is>
      </c>
      <c r="J4207" t="n">
        <v>113</v>
      </c>
      <c r="K4207" t="n">
        <v>1</v>
      </c>
      <c r="L4207" t="n">
        <v>1364</v>
      </c>
      <c r="M4207" t="n">
        <v>204.6</v>
      </c>
      <c r="N4207">
        <f>VLOOKUP(J4207,Products!$A$2:$C$49,3,FALSE)</f>
        <v/>
      </c>
      <c r="O4207">
        <f>K4207*L4207-M4207</f>
        <v/>
      </c>
      <c r="P4207">
        <f>TEXT(B4207,"yyyy-mm")</f>
        <v/>
      </c>
      <c r="Q4207">
        <f>IF(O4207&gt;=3000,"Large","Small")</f>
        <v/>
      </c>
      <c r="R4207">
        <f>INDEX(Products!$F$2:$F$49,MATCH(J4207,Products!$A$2:$A$49,0))</f>
        <v/>
      </c>
      <c r="S4207">
        <f>WEEKDAY(B4207,2)</f>
        <v/>
      </c>
    </row>
    <row r="4208">
      <c r="A4208" t="n">
        <v>511683</v>
      </c>
      <c r="B4208" s="6" t="n">
        <v>46014</v>
      </c>
      <c r="C4208" t="n">
        <v>17881</v>
      </c>
      <c r="D4208" t="inlineStr">
        <is>
          <t>Kolkata</t>
        </is>
      </c>
      <c r="E4208" t="inlineStr">
        <is>
          <t>East</t>
        </is>
      </c>
      <c r="F4208" t="inlineStr">
        <is>
          <t>Organic Search</t>
        </is>
      </c>
      <c r="G4208" t="inlineStr">
        <is>
          <t>Mobile App</t>
        </is>
      </c>
      <c r="H4208" t="inlineStr">
        <is>
          <t>UPI</t>
        </is>
      </c>
      <c r="I4208" t="inlineStr">
        <is>
          <t>Delivered</t>
        </is>
      </c>
      <c r="J4208" t="n">
        <v>117</v>
      </c>
      <c r="K4208" t="n">
        <v>1</v>
      </c>
      <c r="L4208" t="n">
        <v>3149</v>
      </c>
      <c r="M4208" t="n">
        <v>472.35</v>
      </c>
      <c r="N4208">
        <f>VLOOKUP(J4208,Products!$A$2:$C$49,3,FALSE)</f>
        <v/>
      </c>
      <c r="O4208">
        <f>K4208*L4208-M4208</f>
        <v/>
      </c>
      <c r="P4208">
        <f>TEXT(B4208,"yyyy-mm")</f>
        <v/>
      </c>
      <c r="Q4208">
        <f>IF(O4208&gt;=3000,"Large","Small")</f>
        <v/>
      </c>
      <c r="R4208">
        <f>INDEX(Products!$F$2:$F$49,MATCH(J4208,Products!$A$2:$A$49,0))</f>
        <v/>
      </c>
      <c r="S4208">
        <f>WEEKDAY(B4208,2)</f>
        <v/>
      </c>
    </row>
    <row r="4209">
      <c r="A4209" t="n">
        <v>511684</v>
      </c>
      <c r="B4209" s="6" t="n">
        <v>46014</v>
      </c>
      <c r="C4209" t="n">
        <v>16431</v>
      </c>
      <c r="D4209" t="inlineStr">
        <is>
          <t>Delhi</t>
        </is>
      </c>
      <c r="E4209" t="inlineStr">
        <is>
          <t>North</t>
        </is>
      </c>
      <c r="F4209" t="inlineStr">
        <is>
          <t>Paid Social</t>
        </is>
      </c>
      <c r="G4209" t="inlineStr">
        <is>
          <t>Desktop</t>
        </is>
      </c>
      <c r="H4209" t="inlineStr">
        <is>
          <t>UPI</t>
        </is>
      </c>
      <c r="I4209" t="inlineStr">
        <is>
          <t>Delivered</t>
        </is>
      </c>
      <c r="J4209" t="n">
        <v>104</v>
      </c>
      <c r="K4209" t="n">
        <v>2</v>
      </c>
      <c r="L4209" t="n">
        <v>5249</v>
      </c>
      <c r="M4209" t="n">
        <v>0</v>
      </c>
      <c r="N4209">
        <f>VLOOKUP(J4209,Products!$A$2:$C$49,3,FALSE)</f>
        <v/>
      </c>
      <c r="O4209">
        <f>K4209*L4209-M4209</f>
        <v/>
      </c>
      <c r="P4209">
        <f>TEXT(B4209,"yyyy-mm")</f>
        <v/>
      </c>
      <c r="Q4209">
        <f>IF(O4209&gt;=3000,"Large","Small")</f>
        <v/>
      </c>
      <c r="R4209">
        <f>INDEX(Products!$F$2:$F$49,MATCH(J4209,Products!$A$2:$A$49,0))</f>
        <v/>
      </c>
      <c r="S4209">
        <f>WEEKDAY(B4209,2)</f>
        <v/>
      </c>
    </row>
    <row r="4210">
      <c r="A4210" t="n">
        <v>511684</v>
      </c>
      <c r="B4210" s="6" t="n">
        <v>46014</v>
      </c>
      <c r="C4210" t="n">
        <v>16431</v>
      </c>
      <c r="D4210" t="inlineStr">
        <is>
          <t>Delhi</t>
        </is>
      </c>
      <c r="E4210" t="inlineStr">
        <is>
          <t>North</t>
        </is>
      </c>
      <c r="F4210" t="inlineStr">
        <is>
          <t>Paid Social</t>
        </is>
      </c>
      <c r="G4210" t="inlineStr">
        <is>
          <t>Desktop</t>
        </is>
      </c>
      <c r="H4210" t="inlineStr">
        <is>
          <t>UPI</t>
        </is>
      </c>
      <c r="I4210" t="inlineStr">
        <is>
          <t>Delivered</t>
        </is>
      </c>
      <c r="J4210" t="n">
        <v>118</v>
      </c>
      <c r="K4210" t="n">
        <v>1</v>
      </c>
      <c r="L4210" t="n">
        <v>944</v>
      </c>
      <c r="M4210" t="n">
        <v>0</v>
      </c>
      <c r="N4210">
        <f>VLOOKUP(J4210,Products!$A$2:$C$49,3,FALSE)</f>
        <v/>
      </c>
      <c r="O4210">
        <f>K4210*L4210-M4210</f>
        <v/>
      </c>
      <c r="P4210">
        <f>TEXT(B4210,"yyyy-mm")</f>
        <v/>
      </c>
      <c r="Q4210">
        <f>IF(O4210&gt;=3000,"Large","Small")</f>
        <v/>
      </c>
      <c r="R4210">
        <f>INDEX(Products!$F$2:$F$49,MATCH(J4210,Products!$A$2:$A$49,0))</f>
        <v/>
      </c>
      <c r="S4210">
        <f>WEEKDAY(B4210,2)</f>
        <v/>
      </c>
    </row>
    <row r="4211">
      <c r="A4211" t="n">
        <v>511685</v>
      </c>
      <c r="B4211" s="6" t="n">
        <v>46014</v>
      </c>
      <c r="C4211" t="n">
        <v>16549</v>
      </c>
      <c r="D4211" t="inlineStr">
        <is>
          <t>Ahmedabad</t>
        </is>
      </c>
      <c r="E4211" t="inlineStr">
        <is>
          <t>West</t>
        </is>
      </c>
      <c r="F4211" t="inlineStr">
        <is>
          <t>Organic Search</t>
        </is>
      </c>
      <c r="G4211" t="inlineStr">
        <is>
          <t>Mobile App</t>
        </is>
      </c>
      <c r="H4211" t="inlineStr">
        <is>
          <t>Credit Card</t>
        </is>
      </c>
      <c r="I4211" t="inlineStr">
        <is>
          <t>Delivered</t>
        </is>
      </c>
      <c r="J4211" t="n">
        <v>103</v>
      </c>
      <c r="K4211" t="n">
        <v>1</v>
      </c>
      <c r="L4211" t="n">
        <v>2624</v>
      </c>
      <c r="M4211" t="n">
        <v>0</v>
      </c>
      <c r="N4211">
        <f>VLOOKUP(J4211,Products!$A$2:$C$49,3,FALSE)</f>
        <v/>
      </c>
      <c r="O4211">
        <f>K4211*L4211-M4211</f>
        <v/>
      </c>
      <c r="P4211">
        <f>TEXT(B4211,"yyyy-mm")</f>
        <v/>
      </c>
      <c r="Q4211">
        <f>IF(O4211&gt;=3000,"Large","Small")</f>
        <v/>
      </c>
      <c r="R4211">
        <f>INDEX(Products!$F$2:$F$49,MATCH(J4211,Products!$A$2:$A$49,0))</f>
        <v/>
      </c>
      <c r="S4211">
        <f>WEEKDAY(B4211,2)</f>
        <v/>
      </c>
    </row>
    <row r="4212">
      <c r="A4212" t="n">
        <v>511685</v>
      </c>
      <c r="B4212" s="6" t="n">
        <v>46014</v>
      </c>
      <c r="C4212" t="n">
        <v>16549</v>
      </c>
      <c r="D4212" t="inlineStr">
        <is>
          <t>Ahmedabad</t>
        </is>
      </c>
      <c r="E4212" t="inlineStr">
        <is>
          <t>West</t>
        </is>
      </c>
      <c r="F4212" t="inlineStr">
        <is>
          <t>Organic Search</t>
        </is>
      </c>
      <c r="G4212" t="inlineStr">
        <is>
          <t>Mobile App</t>
        </is>
      </c>
      <c r="H4212" t="inlineStr">
        <is>
          <t>Credit Card</t>
        </is>
      </c>
      <c r="I4212" t="inlineStr">
        <is>
          <t>Delivered</t>
        </is>
      </c>
      <c r="J4212" t="n">
        <v>114</v>
      </c>
      <c r="K4212" t="n">
        <v>1</v>
      </c>
      <c r="L4212" t="n">
        <v>1259</v>
      </c>
      <c r="M4212" t="n">
        <v>0</v>
      </c>
      <c r="N4212">
        <f>VLOOKUP(J4212,Products!$A$2:$C$49,3,FALSE)</f>
        <v/>
      </c>
      <c r="O4212">
        <f>K4212*L4212-M4212</f>
        <v/>
      </c>
      <c r="P4212">
        <f>TEXT(B4212,"yyyy-mm")</f>
        <v/>
      </c>
      <c r="Q4212">
        <f>IF(O4212&gt;=3000,"Large","Small")</f>
        <v/>
      </c>
      <c r="R4212">
        <f>INDEX(Products!$F$2:$F$49,MATCH(J4212,Products!$A$2:$A$49,0))</f>
        <v/>
      </c>
      <c r="S4212">
        <f>WEEKDAY(B4212,2)</f>
        <v/>
      </c>
    </row>
    <row r="4213">
      <c r="A4213" t="n">
        <v>511686</v>
      </c>
      <c r="B4213" s="6" t="n">
        <v>46014</v>
      </c>
      <c r="C4213" t="n">
        <v>17694</v>
      </c>
      <c r="D4213" t="inlineStr">
        <is>
          <t>Gurugram</t>
        </is>
      </c>
      <c r="E4213" t="inlineStr">
        <is>
          <t>North</t>
        </is>
      </c>
      <c r="F4213" t="inlineStr">
        <is>
          <t>Referral</t>
        </is>
      </c>
      <c r="G4213" t="inlineStr">
        <is>
          <t>Mobile App</t>
        </is>
      </c>
      <c r="H4213" t="inlineStr">
        <is>
          <t>Cash on Delivery</t>
        </is>
      </c>
      <c r="I4213" t="inlineStr">
        <is>
          <t>Delivered</t>
        </is>
      </c>
      <c r="J4213" t="n">
        <v>117</v>
      </c>
      <c r="K4213" t="n">
        <v>1</v>
      </c>
      <c r="L4213" t="n">
        <v>3149</v>
      </c>
      <c r="M4213" t="n">
        <v>472.35</v>
      </c>
      <c r="N4213">
        <f>VLOOKUP(J4213,Products!$A$2:$C$49,3,FALSE)</f>
        <v/>
      </c>
      <c r="O4213">
        <f>K4213*L4213-M4213</f>
        <v/>
      </c>
      <c r="P4213">
        <f>TEXT(B4213,"yyyy-mm")</f>
        <v/>
      </c>
      <c r="Q4213">
        <f>IF(O4213&gt;=3000,"Large","Small")</f>
        <v/>
      </c>
      <c r="R4213">
        <f>INDEX(Products!$F$2:$F$49,MATCH(J4213,Products!$A$2:$A$49,0))</f>
        <v/>
      </c>
      <c r="S4213">
        <f>WEEKDAY(B4213,2)</f>
        <v/>
      </c>
    </row>
    <row r="4214">
      <c r="A4214" t="n">
        <v>511687</v>
      </c>
      <c r="B4214" s="6" t="n">
        <v>46014</v>
      </c>
      <c r="C4214" t="n">
        <v>17333</v>
      </c>
      <c r="D4214" t="inlineStr">
        <is>
          <t>Kochi</t>
        </is>
      </c>
      <c r="E4214" t="inlineStr">
        <is>
          <t>South</t>
        </is>
      </c>
      <c r="F4214" t="inlineStr">
        <is>
          <t>Referral</t>
        </is>
      </c>
      <c r="G4214" t="inlineStr">
        <is>
          <t>Mobile Web</t>
        </is>
      </c>
      <c r="H4214" t="inlineStr">
        <is>
          <t>Debit Card</t>
        </is>
      </c>
      <c r="I4214" t="inlineStr">
        <is>
          <t>Delivered</t>
        </is>
      </c>
      <c r="J4214" t="n">
        <v>107</v>
      </c>
      <c r="K4214" t="n">
        <v>1</v>
      </c>
      <c r="L4214" t="n">
        <v>1259</v>
      </c>
      <c r="M4214" t="n">
        <v>0</v>
      </c>
      <c r="N4214">
        <f>VLOOKUP(J4214,Products!$A$2:$C$49,3,FALSE)</f>
        <v/>
      </c>
      <c r="O4214">
        <f>K4214*L4214-M4214</f>
        <v/>
      </c>
      <c r="P4214">
        <f>TEXT(B4214,"yyyy-mm")</f>
        <v/>
      </c>
      <c r="Q4214">
        <f>IF(O4214&gt;=3000,"Large","Small")</f>
        <v/>
      </c>
      <c r="R4214">
        <f>INDEX(Products!$F$2:$F$49,MATCH(J4214,Products!$A$2:$A$49,0))</f>
        <v/>
      </c>
      <c r="S4214">
        <f>WEEKDAY(B4214,2)</f>
        <v/>
      </c>
    </row>
    <row r="4215">
      <c r="A4215" t="n">
        <v>511688</v>
      </c>
      <c r="B4215" s="6" t="n">
        <v>46014</v>
      </c>
      <c r="C4215" t="n">
        <v>11889</v>
      </c>
      <c r="D4215" t="inlineStr">
        <is>
          <t>Lucknow</t>
        </is>
      </c>
      <c r="E4215" t="inlineStr">
        <is>
          <t>North</t>
        </is>
      </c>
      <c r="F4215" t="inlineStr">
        <is>
          <t>Organic Search</t>
        </is>
      </c>
      <c r="G4215" t="inlineStr">
        <is>
          <t>Mobile Web</t>
        </is>
      </c>
      <c r="H4215" t="inlineStr">
        <is>
          <t>UPI</t>
        </is>
      </c>
      <c r="I4215" t="inlineStr">
        <is>
          <t>Delivered</t>
        </is>
      </c>
      <c r="J4215" t="n">
        <v>103</v>
      </c>
      <c r="K4215" t="n">
        <v>1</v>
      </c>
      <c r="L4215" t="n">
        <v>2624</v>
      </c>
      <c r="M4215" t="n">
        <v>0</v>
      </c>
      <c r="N4215">
        <f>VLOOKUP(J4215,Products!$A$2:$C$49,3,FALSE)</f>
        <v/>
      </c>
      <c r="O4215">
        <f>K4215*L4215-M4215</f>
        <v/>
      </c>
      <c r="P4215">
        <f>TEXT(B4215,"yyyy-mm")</f>
        <v/>
      </c>
      <c r="Q4215">
        <f>IF(O4215&gt;=3000,"Large","Small")</f>
        <v/>
      </c>
      <c r="R4215">
        <f>INDEX(Products!$F$2:$F$49,MATCH(J4215,Products!$A$2:$A$49,0))</f>
        <v/>
      </c>
      <c r="S4215">
        <f>WEEKDAY(B4215,2)</f>
        <v/>
      </c>
    </row>
    <row r="4216">
      <c r="A4216" t="n">
        <v>511689</v>
      </c>
      <c r="B4216" s="6" t="n">
        <v>46014</v>
      </c>
      <c r="C4216" t="n">
        <v>16898</v>
      </c>
      <c r="D4216" t="inlineStr">
        <is>
          <t>Noida</t>
        </is>
      </c>
      <c r="E4216" t="inlineStr">
        <is>
          <t>North</t>
        </is>
      </c>
      <c r="F4216" t="inlineStr">
        <is>
          <t>Organic Search</t>
        </is>
      </c>
      <c r="G4216" t="inlineStr">
        <is>
          <t>Mobile Web</t>
        </is>
      </c>
      <c r="H4216" t="inlineStr">
        <is>
          <t>UPI</t>
        </is>
      </c>
      <c r="I4216" t="inlineStr">
        <is>
          <t>Delivered</t>
        </is>
      </c>
      <c r="J4216" t="n">
        <v>125</v>
      </c>
      <c r="K4216" t="n">
        <v>1</v>
      </c>
      <c r="L4216" t="n">
        <v>1364</v>
      </c>
      <c r="M4216" t="n">
        <v>0</v>
      </c>
      <c r="N4216">
        <f>VLOOKUP(J4216,Products!$A$2:$C$49,3,FALSE)</f>
        <v/>
      </c>
      <c r="O4216">
        <f>K4216*L4216-M4216</f>
        <v/>
      </c>
      <c r="P4216">
        <f>TEXT(B4216,"yyyy-mm")</f>
        <v/>
      </c>
      <c r="Q4216">
        <f>IF(O4216&gt;=3000,"Large","Small")</f>
        <v/>
      </c>
      <c r="R4216">
        <f>INDEX(Products!$F$2:$F$49,MATCH(J4216,Products!$A$2:$A$49,0))</f>
        <v/>
      </c>
      <c r="S4216">
        <f>WEEKDAY(B4216,2)</f>
        <v/>
      </c>
    </row>
    <row r="4217">
      <c r="A4217" t="n">
        <v>511690</v>
      </c>
      <c r="B4217" s="6" t="n">
        <v>46014</v>
      </c>
      <c r="C4217" t="n">
        <v>14856</v>
      </c>
      <c r="D4217" t="inlineStr">
        <is>
          <t>Gurugram</t>
        </is>
      </c>
      <c r="E4217" t="inlineStr">
        <is>
          <t>North</t>
        </is>
      </c>
      <c r="F4217" t="inlineStr">
        <is>
          <t>Paid Search</t>
        </is>
      </c>
      <c r="G4217" t="inlineStr">
        <is>
          <t>Mobile App</t>
        </is>
      </c>
      <c r="H4217" t="inlineStr">
        <is>
          <t>Cash on Delivery</t>
        </is>
      </c>
      <c r="I4217" t="inlineStr">
        <is>
          <t>Delivered</t>
        </is>
      </c>
      <c r="J4217" t="n">
        <v>111</v>
      </c>
      <c r="K4217" t="n">
        <v>1</v>
      </c>
      <c r="L4217" t="n">
        <v>524</v>
      </c>
      <c r="M4217" t="n">
        <v>0</v>
      </c>
      <c r="N4217">
        <f>VLOOKUP(J4217,Products!$A$2:$C$49,3,FALSE)</f>
        <v/>
      </c>
      <c r="O4217">
        <f>K4217*L4217-M4217</f>
        <v/>
      </c>
      <c r="P4217">
        <f>TEXT(B4217,"yyyy-mm")</f>
        <v/>
      </c>
      <c r="Q4217">
        <f>IF(O4217&gt;=3000,"Large","Small")</f>
        <v/>
      </c>
      <c r="R4217">
        <f>INDEX(Products!$F$2:$F$49,MATCH(J4217,Products!$A$2:$A$49,0))</f>
        <v/>
      </c>
      <c r="S4217">
        <f>WEEKDAY(B4217,2)</f>
        <v/>
      </c>
    </row>
    <row r="4218">
      <c r="A4218" t="n">
        <v>511691</v>
      </c>
      <c r="B4218" s="6" t="n">
        <v>46014</v>
      </c>
      <c r="C4218" t="n">
        <v>17668</v>
      </c>
      <c r="D4218" t="inlineStr">
        <is>
          <t>Bengaluru</t>
        </is>
      </c>
      <c r="E4218" t="inlineStr">
        <is>
          <t>South</t>
        </is>
      </c>
      <c r="F4218" t="inlineStr">
        <is>
          <t>Organic Search</t>
        </is>
      </c>
      <c r="G4218" t="inlineStr">
        <is>
          <t>Mobile Web</t>
        </is>
      </c>
      <c r="H4218" t="inlineStr">
        <is>
          <t>UPI</t>
        </is>
      </c>
      <c r="I4218" t="inlineStr">
        <is>
          <t>Delivered</t>
        </is>
      </c>
      <c r="J4218" t="n">
        <v>116</v>
      </c>
      <c r="K4218" t="n">
        <v>1</v>
      </c>
      <c r="L4218" t="n">
        <v>2624</v>
      </c>
      <c r="M4218" t="n">
        <v>131.2</v>
      </c>
      <c r="N4218">
        <f>VLOOKUP(J4218,Products!$A$2:$C$49,3,FALSE)</f>
        <v/>
      </c>
      <c r="O4218">
        <f>K4218*L4218-M4218</f>
        <v/>
      </c>
      <c r="P4218">
        <f>TEXT(B4218,"yyyy-mm")</f>
        <v/>
      </c>
      <c r="Q4218">
        <f>IF(O4218&gt;=3000,"Large","Small")</f>
        <v/>
      </c>
      <c r="R4218">
        <f>INDEX(Products!$F$2:$F$49,MATCH(J4218,Products!$A$2:$A$49,0))</f>
        <v/>
      </c>
      <c r="S4218">
        <f>WEEKDAY(B4218,2)</f>
        <v/>
      </c>
    </row>
    <row r="4219">
      <c r="A4219" t="n">
        <v>511691</v>
      </c>
      <c r="B4219" s="6" t="n">
        <v>46014</v>
      </c>
      <c r="C4219" t="n">
        <v>17668</v>
      </c>
      <c r="D4219" t="inlineStr">
        <is>
          <t>Bengaluru</t>
        </is>
      </c>
      <c r="E4219" t="inlineStr">
        <is>
          <t>South</t>
        </is>
      </c>
      <c r="F4219" t="inlineStr">
        <is>
          <t>Organic Search</t>
        </is>
      </c>
      <c r="G4219" t="inlineStr">
        <is>
          <t>Mobile Web</t>
        </is>
      </c>
      <c r="H4219" t="inlineStr">
        <is>
          <t>UPI</t>
        </is>
      </c>
      <c r="I4219" t="inlineStr">
        <is>
          <t>Delivered</t>
        </is>
      </c>
      <c r="J4219" t="n">
        <v>146</v>
      </c>
      <c r="K4219" t="n">
        <v>1</v>
      </c>
      <c r="L4219" t="n">
        <v>4724</v>
      </c>
      <c r="M4219" t="n">
        <v>236.2</v>
      </c>
      <c r="N4219">
        <f>VLOOKUP(J4219,Products!$A$2:$C$49,3,FALSE)</f>
        <v/>
      </c>
      <c r="O4219">
        <f>K4219*L4219-M4219</f>
        <v/>
      </c>
      <c r="P4219">
        <f>TEXT(B4219,"yyyy-mm")</f>
        <v/>
      </c>
      <c r="Q4219">
        <f>IF(O4219&gt;=3000,"Large","Small")</f>
        <v/>
      </c>
      <c r="R4219">
        <f>INDEX(Products!$F$2:$F$49,MATCH(J4219,Products!$A$2:$A$49,0))</f>
        <v/>
      </c>
      <c r="S4219">
        <f>WEEKDAY(B4219,2)</f>
        <v/>
      </c>
    </row>
    <row r="4220">
      <c r="A4220" t="n">
        <v>511692</v>
      </c>
      <c r="B4220" s="6" t="n">
        <v>46014</v>
      </c>
      <c r="C4220" t="n">
        <v>16913</v>
      </c>
      <c r="D4220" t="inlineStr">
        <is>
          <t>Chennai</t>
        </is>
      </c>
      <c r="E4220" t="inlineStr">
        <is>
          <t>South</t>
        </is>
      </c>
      <c r="F4220" t="inlineStr">
        <is>
          <t>Paid Search</t>
        </is>
      </c>
      <c r="G4220" t="inlineStr">
        <is>
          <t>Desktop</t>
        </is>
      </c>
      <c r="H4220" t="inlineStr">
        <is>
          <t>Credit Card</t>
        </is>
      </c>
      <c r="I4220" t="inlineStr">
        <is>
          <t>Delivered</t>
        </is>
      </c>
      <c r="J4220" t="n">
        <v>102</v>
      </c>
      <c r="K4220" t="n">
        <v>2</v>
      </c>
      <c r="L4220" t="n">
        <v>3674</v>
      </c>
      <c r="M4220" t="n">
        <v>0</v>
      </c>
      <c r="N4220">
        <f>VLOOKUP(J4220,Products!$A$2:$C$49,3,FALSE)</f>
        <v/>
      </c>
      <c r="O4220">
        <f>K4220*L4220-M4220</f>
        <v/>
      </c>
      <c r="P4220">
        <f>TEXT(B4220,"yyyy-mm")</f>
        <v/>
      </c>
      <c r="Q4220">
        <f>IF(O4220&gt;=3000,"Large","Small")</f>
        <v/>
      </c>
      <c r="R4220">
        <f>INDEX(Products!$F$2:$F$49,MATCH(J4220,Products!$A$2:$A$49,0))</f>
        <v/>
      </c>
      <c r="S4220">
        <f>WEEKDAY(B4220,2)</f>
        <v/>
      </c>
    </row>
    <row r="4221">
      <c r="A4221" t="n">
        <v>511693</v>
      </c>
      <c r="B4221" s="6" t="n">
        <v>46014</v>
      </c>
      <c r="C4221" t="n">
        <v>17891</v>
      </c>
      <c r="D4221" t="inlineStr">
        <is>
          <t>Delhi</t>
        </is>
      </c>
      <c r="E4221" t="inlineStr">
        <is>
          <t>North</t>
        </is>
      </c>
      <c r="F4221" t="inlineStr">
        <is>
          <t>Referral</t>
        </is>
      </c>
      <c r="G4221" t="inlineStr">
        <is>
          <t>Mobile Web</t>
        </is>
      </c>
      <c r="H4221" t="inlineStr">
        <is>
          <t>UPI</t>
        </is>
      </c>
      <c r="I4221" t="inlineStr">
        <is>
          <t>Returned</t>
        </is>
      </c>
      <c r="J4221" t="n">
        <v>127</v>
      </c>
      <c r="K4221" t="n">
        <v>1</v>
      </c>
      <c r="L4221" t="n">
        <v>681</v>
      </c>
      <c r="M4221" t="n">
        <v>102.15</v>
      </c>
      <c r="N4221">
        <f>VLOOKUP(J4221,Products!$A$2:$C$49,3,FALSE)</f>
        <v/>
      </c>
      <c r="O4221">
        <f>K4221*L4221-M4221</f>
        <v/>
      </c>
      <c r="P4221">
        <f>TEXT(B4221,"yyyy-mm")</f>
        <v/>
      </c>
      <c r="Q4221">
        <f>IF(O4221&gt;=3000,"Large","Small")</f>
        <v/>
      </c>
      <c r="R4221">
        <f>INDEX(Products!$F$2:$F$49,MATCH(J4221,Products!$A$2:$A$49,0))</f>
        <v/>
      </c>
      <c r="S4221">
        <f>WEEKDAY(B4221,2)</f>
        <v/>
      </c>
    </row>
    <row r="4222">
      <c r="A4222" t="n">
        <v>511693</v>
      </c>
      <c r="B4222" s="6" t="n">
        <v>46014</v>
      </c>
      <c r="C4222" t="n">
        <v>17891</v>
      </c>
      <c r="D4222" t="inlineStr">
        <is>
          <t>Delhi</t>
        </is>
      </c>
      <c r="E4222" t="inlineStr">
        <is>
          <t>North</t>
        </is>
      </c>
      <c r="F4222" t="inlineStr">
        <is>
          <t>Referral</t>
        </is>
      </c>
      <c r="G4222" t="inlineStr">
        <is>
          <t>Mobile Web</t>
        </is>
      </c>
      <c r="H4222" t="inlineStr">
        <is>
          <t>UPI</t>
        </is>
      </c>
      <c r="I4222" t="inlineStr">
        <is>
          <t>Returned</t>
        </is>
      </c>
      <c r="J4222" t="n">
        <v>130</v>
      </c>
      <c r="K4222" t="n">
        <v>2</v>
      </c>
      <c r="L4222" t="n">
        <v>734</v>
      </c>
      <c r="M4222" t="n">
        <v>220.2</v>
      </c>
      <c r="N4222">
        <f>VLOOKUP(J4222,Products!$A$2:$C$49,3,FALSE)</f>
        <v/>
      </c>
      <c r="O4222">
        <f>K4222*L4222-M4222</f>
        <v/>
      </c>
      <c r="P4222">
        <f>TEXT(B4222,"yyyy-mm")</f>
        <v/>
      </c>
      <c r="Q4222">
        <f>IF(O4222&gt;=3000,"Large","Small")</f>
        <v/>
      </c>
      <c r="R4222">
        <f>INDEX(Products!$F$2:$F$49,MATCH(J4222,Products!$A$2:$A$49,0))</f>
        <v/>
      </c>
      <c r="S4222">
        <f>WEEKDAY(B4222,2)</f>
        <v/>
      </c>
    </row>
    <row r="4223">
      <c r="A4223" t="n">
        <v>511693</v>
      </c>
      <c r="B4223" s="6" t="n">
        <v>46014</v>
      </c>
      <c r="C4223" t="n">
        <v>17891</v>
      </c>
      <c r="D4223" t="inlineStr">
        <is>
          <t>Delhi</t>
        </is>
      </c>
      <c r="E4223" t="inlineStr">
        <is>
          <t>North</t>
        </is>
      </c>
      <c r="F4223" t="inlineStr">
        <is>
          <t>Referral</t>
        </is>
      </c>
      <c r="G4223" t="inlineStr">
        <is>
          <t>Mobile Web</t>
        </is>
      </c>
      <c r="H4223" t="inlineStr">
        <is>
          <t>UPI</t>
        </is>
      </c>
      <c r="I4223" t="inlineStr">
        <is>
          <t>Returned</t>
        </is>
      </c>
      <c r="J4223" t="n">
        <v>118</v>
      </c>
      <c r="K4223" t="n">
        <v>2</v>
      </c>
      <c r="L4223" t="n">
        <v>944</v>
      </c>
      <c r="M4223" t="n">
        <v>283.2</v>
      </c>
      <c r="N4223">
        <f>VLOOKUP(J4223,Products!$A$2:$C$49,3,FALSE)</f>
        <v/>
      </c>
      <c r="O4223">
        <f>K4223*L4223-M4223</f>
        <v/>
      </c>
      <c r="P4223">
        <f>TEXT(B4223,"yyyy-mm")</f>
        <v/>
      </c>
      <c r="Q4223">
        <f>IF(O4223&gt;=3000,"Large","Small")</f>
        <v/>
      </c>
      <c r="R4223">
        <f>INDEX(Products!$F$2:$F$49,MATCH(J4223,Products!$A$2:$A$49,0))</f>
        <v/>
      </c>
      <c r="S4223">
        <f>WEEKDAY(B4223,2)</f>
        <v/>
      </c>
    </row>
    <row r="4224">
      <c r="A4224" t="n">
        <v>511693</v>
      </c>
      <c r="B4224" s="6" t="n">
        <v>46014</v>
      </c>
      <c r="C4224" t="n">
        <v>17891</v>
      </c>
      <c r="D4224" t="inlineStr">
        <is>
          <t>Delhi</t>
        </is>
      </c>
      <c r="E4224" t="inlineStr">
        <is>
          <t>North</t>
        </is>
      </c>
      <c r="F4224" t="inlineStr">
        <is>
          <t>Referral</t>
        </is>
      </c>
      <c r="G4224" t="inlineStr">
        <is>
          <t>Mobile Web</t>
        </is>
      </c>
      <c r="H4224" t="inlineStr">
        <is>
          <t>UPI</t>
        </is>
      </c>
      <c r="I4224" t="inlineStr">
        <is>
          <t>Returned</t>
        </is>
      </c>
      <c r="J4224" t="n">
        <v>113</v>
      </c>
      <c r="K4224" t="n">
        <v>1</v>
      </c>
      <c r="L4224" t="n">
        <v>1364</v>
      </c>
      <c r="M4224" t="n">
        <v>204.6</v>
      </c>
      <c r="N4224">
        <f>VLOOKUP(J4224,Products!$A$2:$C$49,3,FALSE)</f>
        <v/>
      </c>
      <c r="O4224">
        <f>K4224*L4224-M4224</f>
        <v/>
      </c>
      <c r="P4224">
        <f>TEXT(B4224,"yyyy-mm")</f>
        <v/>
      </c>
      <c r="Q4224">
        <f>IF(O4224&gt;=3000,"Large","Small")</f>
        <v/>
      </c>
      <c r="R4224">
        <f>INDEX(Products!$F$2:$F$49,MATCH(J4224,Products!$A$2:$A$49,0))</f>
        <v/>
      </c>
      <c r="S4224">
        <f>WEEKDAY(B4224,2)</f>
        <v/>
      </c>
    </row>
    <row r="4225">
      <c r="A4225" t="n">
        <v>511694</v>
      </c>
      <c r="B4225" s="6" t="n">
        <v>46014</v>
      </c>
      <c r="C4225" t="n">
        <v>15839</v>
      </c>
      <c r="D4225" t="inlineStr">
        <is>
          <t>Gurugram</t>
        </is>
      </c>
      <c r="E4225" t="inlineStr">
        <is>
          <t>North</t>
        </is>
      </c>
      <c r="F4225" t="inlineStr">
        <is>
          <t>Paid Search</t>
        </is>
      </c>
      <c r="G4225" t="inlineStr">
        <is>
          <t>Mobile Web</t>
        </is>
      </c>
      <c r="H4225" t="inlineStr">
        <is>
          <t>Cash on Delivery</t>
        </is>
      </c>
      <c r="I4225" t="inlineStr">
        <is>
          <t>Returned</t>
        </is>
      </c>
      <c r="J4225" t="n">
        <v>103</v>
      </c>
      <c r="K4225" t="n">
        <v>1</v>
      </c>
      <c r="L4225" t="n">
        <v>2624</v>
      </c>
      <c r="M4225" t="n">
        <v>0</v>
      </c>
      <c r="N4225">
        <f>VLOOKUP(J4225,Products!$A$2:$C$49,3,FALSE)</f>
        <v/>
      </c>
      <c r="O4225">
        <f>K4225*L4225-M4225</f>
        <v/>
      </c>
      <c r="P4225">
        <f>TEXT(B4225,"yyyy-mm")</f>
        <v/>
      </c>
      <c r="Q4225">
        <f>IF(O4225&gt;=3000,"Large","Small")</f>
        <v/>
      </c>
      <c r="R4225">
        <f>INDEX(Products!$F$2:$F$49,MATCH(J4225,Products!$A$2:$A$49,0))</f>
        <v/>
      </c>
      <c r="S4225">
        <f>WEEKDAY(B4225,2)</f>
        <v/>
      </c>
    </row>
    <row r="4226">
      <c r="A4226" t="n">
        <v>511695</v>
      </c>
      <c r="B4226" s="6" t="n">
        <v>46014</v>
      </c>
      <c r="C4226" t="n">
        <v>15034</v>
      </c>
      <c r="D4226" t="inlineStr">
        <is>
          <t>Hyderabad</t>
        </is>
      </c>
      <c r="E4226" t="inlineStr">
        <is>
          <t>South</t>
        </is>
      </c>
      <c r="F4226" t="inlineStr">
        <is>
          <t>Organic Search</t>
        </is>
      </c>
      <c r="G4226" t="inlineStr">
        <is>
          <t>Mobile App</t>
        </is>
      </c>
      <c r="H4226" t="inlineStr">
        <is>
          <t>UPI</t>
        </is>
      </c>
      <c r="I4226" t="inlineStr">
        <is>
          <t>Returned</t>
        </is>
      </c>
      <c r="J4226" t="n">
        <v>112</v>
      </c>
      <c r="K4226" t="n">
        <v>1</v>
      </c>
      <c r="L4226" t="n">
        <v>1574</v>
      </c>
      <c r="M4226" t="n">
        <v>0</v>
      </c>
      <c r="N4226">
        <f>VLOOKUP(J4226,Products!$A$2:$C$49,3,FALSE)</f>
        <v/>
      </c>
      <c r="O4226">
        <f>K4226*L4226-M4226</f>
        <v/>
      </c>
      <c r="P4226">
        <f>TEXT(B4226,"yyyy-mm")</f>
        <v/>
      </c>
      <c r="Q4226">
        <f>IF(O4226&gt;=3000,"Large","Small")</f>
        <v/>
      </c>
      <c r="R4226">
        <f>INDEX(Products!$F$2:$F$49,MATCH(J4226,Products!$A$2:$A$49,0))</f>
        <v/>
      </c>
      <c r="S4226">
        <f>WEEKDAY(B4226,2)</f>
        <v/>
      </c>
    </row>
    <row r="4227">
      <c r="A4227" t="n">
        <v>511695</v>
      </c>
      <c r="B4227" s="6" t="n">
        <v>46014</v>
      </c>
      <c r="C4227" t="n">
        <v>15034</v>
      </c>
      <c r="D4227" t="inlineStr">
        <is>
          <t>Hyderabad</t>
        </is>
      </c>
      <c r="E4227" t="inlineStr">
        <is>
          <t>South</t>
        </is>
      </c>
      <c r="F4227" t="inlineStr">
        <is>
          <t>Organic Search</t>
        </is>
      </c>
      <c r="G4227" t="inlineStr">
        <is>
          <t>Mobile App</t>
        </is>
      </c>
      <c r="H4227" t="inlineStr">
        <is>
          <t>UPI</t>
        </is>
      </c>
      <c r="I4227" t="inlineStr">
        <is>
          <t>Returned</t>
        </is>
      </c>
      <c r="J4227" t="n">
        <v>143</v>
      </c>
      <c r="K4227" t="n">
        <v>1</v>
      </c>
      <c r="L4227" t="n">
        <v>839</v>
      </c>
      <c r="M4227" t="n">
        <v>0</v>
      </c>
      <c r="N4227">
        <f>VLOOKUP(J4227,Products!$A$2:$C$49,3,FALSE)</f>
        <v/>
      </c>
      <c r="O4227">
        <f>K4227*L4227-M4227</f>
        <v/>
      </c>
      <c r="P4227">
        <f>TEXT(B4227,"yyyy-mm")</f>
        <v/>
      </c>
      <c r="Q4227">
        <f>IF(O4227&gt;=3000,"Large","Small")</f>
        <v/>
      </c>
      <c r="R4227">
        <f>INDEX(Products!$F$2:$F$49,MATCH(J4227,Products!$A$2:$A$49,0))</f>
        <v/>
      </c>
      <c r="S4227">
        <f>WEEKDAY(B4227,2)</f>
        <v/>
      </c>
    </row>
    <row r="4228">
      <c r="A4228" t="n">
        <v>511695</v>
      </c>
      <c r="B4228" s="6" t="n">
        <v>46014</v>
      </c>
      <c r="C4228" t="n">
        <v>15034</v>
      </c>
      <c r="D4228" t="inlineStr">
        <is>
          <t>Hyderabad</t>
        </is>
      </c>
      <c r="E4228" t="inlineStr">
        <is>
          <t>South</t>
        </is>
      </c>
      <c r="F4228" t="inlineStr">
        <is>
          <t>Organic Search</t>
        </is>
      </c>
      <c r="G4228" t="inlineStr">
        <is>
          <t>Mobile App</t>
        </is>
      </c>
      <c r="H4228" t="inlineStr">
        <is>
          <t>UPI</t>
        </is>
      </c>
      <c r="I4228" t="inlineStr">
        <is>
          <t>Returned</t>
        </is>
      </c>
      <c r="J4228" t="n">
        <v>127</v>
      </c>
      <c r="K4228" t="n">
        <v>1</v>
      </c>
      <c r="L4228" t="n">
        <v>681</v>
      </c>
      <c r="M4228" t="n">
        <v>0</v>
      </c>
      <c r="N4228">
        <f>VLOOKUP(J4228,Products!$A$2:$C$49,3,FALSE)</f>
        <v/>
      </c>
      <c r="O4228">
        <f>K4228*L4228-M4228</f>
        <v/>
      </c>
      <c r="P4228">
        <f>TEXT(B4228,"yyyy-mm")</f>
        <v/>
      </c>
      <c r="Q4228">
        <f>IF(O4228&gt;=3000,"Large","Small")</f>
        <v/>
      </c>
      <c r="R4228">
        <f>INDEX(Products!$F$2:$F$49,MATCH(J4228,Products!$A$2:$A$49,0))</f>
        <v/>
      </c>
      <c r="S4228">
        <f>WEEKDAY(B4228,2)</f>
        <v/>
      </c>
    </row>
    <row r="4229">
      <c r="A4229" t="n">
        <v>511695</v>
      </c>
      <c r="B4229" s="6" t="n">
        <v>46014</v>
      </c>
      <c r="C4229" t="n">
        <v>15034</v>
      </c>
      <c r="D4229" t="inlineStr">
        <is>
          <t>Hyderabad</t>
        </is>
      </c>
      <c r="E4229" t="inlineStr">
        <is>
          <t>South</t>
        </is>
      </c>
      <c r="F4229" t="inlineStr">
        <is>
          <t>Organic Search</t>
        </is>
      </c>
      <c r="G4229" t="inlineStr">
        <is>
          <t>Mobile App</t>
        </is>
      </c>
      <c r="H4229" t="inlineStr">
        <is>
          <t>UPI</t>
        </is>
      </c>
      <c r="I4229" t="inlineStr">
        <is>
          <t>Returned</t>
        </is>
      </c>
      <c r="J4229" t="n">
        <v>132</v>
      </c>
      <c r="K4229" t="n">
        <v>2</v>
      </c>
      <c r="L4229" t="n">
        <v>471</v>
      </c>
      <c r="M4229" t="n">
        <v>0</v>
      </c>
      <c r="N4229">
        <f>VLOOKUP(J4229,Products!$A$2:$C$49,3,FALSE)</f>
        <v/>
      </c>
      <c r="O4229">
        <f>K4229*L4229-M4229</f>
        <v/>
      </c>
      <c r="P4229">
        <f>TEXT(B4229,"yyyy-mm")</f>
        <v/>
      </c>
      <c r="Q4229">
        <f>IF(O4229&gt;=3000,"Large","Small")</f>
        <v/>
      </c>
      <c r="R4229">
        <f>INDEX(Products!$F$2:$F$49,MATCH(J4229,Products!$A$2:$A$49,0))</f>
        <v/>
      </c>
      <c r="S4229">
        <f>WEEKDAY(B4229,2)</f>
        <v/>
      </c>
    </row>
    <row r="4230">
      <c r="A4230" t="n">
        <v>511696</v>
      </c>
      <c r="B4230" s="6" t="n">
        <v>46014</v>
      </c>
      <c r="C4230" t="n">
        <v>13468</v>
      </c>
      <c r="D4230" t="inlineStr">
        <is>
          <t>Delhi</t>
        </is>
      </c>
      <c r="E4230" t="inlineStr">
        <is>
          <t>North</t>
        </is>
      </c>
      <c r="F4230" t="inlineStr">
        <is>
          <t>Referral</t>
        </is>
      </c>
      <c r="G4230" t="inlineStr">
        <is>
          <t>Mobile App</t>
        </is>
      </c>
      <c r="H4230" t="inlineStr">
        <is>
          <t>UPI</t>
        </is>
      </c>
      <c r="I4230" t="inlineStr">
        <is>
          <t>Returned</t>
        </is>
      </c>
      <c r="J4230" t="n">
        <v>115</v>
      </c>
      <c r="K4230" t="n">
        <v>1</v>
      </c>
      <c r="L4230" t="n">
        <v>4199</v>
      </c>
      <c r="M4230" t="n">
        <v>0</v>
      </c>
      <c r="N4230">
        <f>VLOOKUP(J4230,Products!$A$2:$C$49,3,FALSE)</f>
        <v/>
      </c>
      <c r="O4230">
        <f>K4230*L4230-M4230</f>
        <v/>
      </c>
      <c r="P4230">
        <f>TEXT(B4230,"yyyy-mm")</f>
        <v/>
      </c>
      <c r="Q4230">
        <f>IF(O4230&gt;=3000,"Large","Small")</f>
        <v/>
      </c>
      <c r="R4230">
        <f>INDEX(Products!$F$2:$F$49,MATCH(J4230,Products!$A$2:$A$49,0))</f>
        <v/>
      </c>
      <c r="S4230">
        <f>WEEKDAY(B4230,2)</f>
        <v/>
      </c>
    </row>
    <row r="4231">
      <c r="A4231" t="n">
        <v>511696</v>
      </c>
      <c r="B4231" s="6" t="n">
        <v>46014</v>
      </c>
      <c r="C4231" t="n">
        <v>13468</v>
      </c>
      <c r="D4231" t="inlineStr">
        <is>
          <t>Delhi</t>
        </is>
      </c>
      <c r="E4231" t="inlineStr">
        <is>
          <t>North</t>
        </is>
      </c>
      <c r="F4231" t="inlineStr">
        <is>
          <t>Referral</t>
        </is>
      </c>
      <c r="G4231" t="inlineStr">
        <is>
          <t>Mobile App</t>
        </is>
      </c>
      <c r="H4231" t="inlineStr">
        <is>
          <t>UPI</t>
        </is>
      </c>
      <c r="I4231" t="inlineStr">
        <is>
          <t>Returned</t>
        </is>
      </c>
      <c r="J4231" t="n">
        <v>113</v>
      </c>
      <c r="K4231" t="n">
        <v>1</v>
      </c>
      <c r="L4231" t="n">
        <v>1364</v>
      </c>
      <c r="M4231" t="n">
        <v>0</v>
      </c>
      <c r="N4231">
        <f>VLOOKUP(J4231,Products!$A$2:$C$49,3,FALSE)</f>
        <v/>
      </c>
      <c r="O4231">
        <f>K4231*L4231-M4231</f>
        <v/>
      </c>
      <c r="P4231">
        <f>TEXT(B4231,"yyyy-mm")</f>
        <v/>
      </c>
      <c r="Q4231">
        <f>IF(O4231&gt;=3000,"Large","Small")</f>
        <v/>
      </c>
      <c r="R4231">
        <f>INDEX(Products!$F$2:$F$49,MATCH(J4231,Products!$A$2:$A$49,0))</f>
        <v/>
      </c>
      <c r="S4231">
        <f>WEEKDAY(B4231,2)</f>
        <v/>
      </c>
    </row>
    <row r="4232">
      <c r="A4232" t="n">
        <v>511696</v>
      </c>
      <c r="B4232" s="6" t="n">
        <v>46014</v>
      </c>
      <c r="C4232" t="n">
        <v>13468</v>
      </c>
      <c r="D4232" t="inlineStr">
        <is>
          <t>Delhi</t>
        </is>
      </c>
      <c r="E4232" t="inlineStr">
        <is>
          <t>North</t>
        </is>
      </c>
      <c r="F4232" t="inlineStr">
        <is>
          <t>Referral</t>
        </is>
      </c>
      <c r="G4232" t="inlineStr">
        <is>
          <t>Mobile App</t>
        </is>
      </c>
      <c r="H4232" t="inlineStr">
        <is>
          <t>UPI</t>
        </is>
      </c>
      <c r="I4232" t="inlineStr">
        <is>
          <t>Returned</t>
        </is>
      </c>
      <c r="J4232" t="n">
        <v>117</v>
      </c>
      <c r="K4232" t="n">
        <v>1</v>
      </c>
      <c r="L4232" t="n">
        <v>3149</v>
      </c>
      <c r="M4232" t="n">
        <v>0</v>
      </c>
      <c r="N4232">
        <f>VLOOKUP(J4232,Products!$A$2:$C$49,3,FALSE)</f>
        <v/>
      </c>
      <c r="O4232">
        <f>K4232*L4232-M4232</f>
        <v/>
      </c>
      <c r="P4232">
        <f>TEXT(B4232,"yyyy-mm")</f>
        <v/>
      </c>
      <c r="Q4232">
        <f>IF(O4232&gt;=3000,"Large","Small")</f>
        <v/>
      </c>
      <c r="R4232">
        <f>INDEX(Products!$F$2:$F$49,MATCH(J4232,Products!$A$2:$A$49,0))</f>
        <v/>
      </c>
      <c r="S4232">
        <f>WEEKDAY(B4232,2)</f>
        <v/>
      </c>
    </row>
    <row r="4233">
      <c r="A4233" t="n">
        <v>511697</v>
      </c>
      <c r="B4233" s="6" t="n">
        <v>46014</v>
      </c>
      <c r="C4233" t="n">
        <v>11563</v>
      </c>
      <c r="D4233" t="inlineStr">
        <is>
          <t>Mumbai</t>
        </is>
      </c>
      <c r="E4233" t="inlineStr">
        <is>
          <t>West</t>
        </is>
      </c>
      <c r="F4233" t="inlineStr">
        <is>
          <t>Paid Search</t>
        </is>
      </c>
      <c r="G4233" t="inlineStr">
        <is>
          <t>Mobile Web</t>
        </is>
      </c>
      <c r="H4233" t="inlineStr">
        <is>
          <t>Credit Card</t>
        </is>
      </c>
      <c r="I4233" t="inlineStr">
        <is>
          <t>Delivered</t>
        </is>
      </c>
      <c r="J4233" t="n">
        <v>128</v>
      </c>
      <c r="K4233" t="n">
        <v>1</v>
      </c>
      <c r="L4233" t="n">
        <v>1049</v>
      </c>
      <c r="M4233" t="n">
        <v>0</v>
      </c>
      <c r="N4233">
        <f>VLOOKUP(J4233,Products!$A$2:$C$49,3,FALSE)</f>
        <v/>
      </c>
      <c r="O4233">
        <f>K4233*L4233-M4233</f>
        <v/>
      </c>
      <c r="P4233">
        <f>TEXT(B4233,"yyyy-mm")</f>
        <v/>
      </c>
      <c r="Q4233">
        <f>IF(O4233&gt;=3000,"Large","Small")</f>
        <v/>
      </c>
      <c r="R4233">
        <f>INDEX(Products!$F$2:$F$49,MATCH(J4233,Products!$A$2:$A$49,0))</f>
        <v/>
      </c>
      <c r="S4233">
        <f>WEEKDAY(B4233,2)</f>
        <v/>
      </c>
    </row>
    <row r="4234">
      <c r="A4234" t="n">
        <v>511697</v>
      </c>
      <c r="B4234" s="6" t="n">
        <v>46014</v>
      </c>
      <c r="C4234" t="n">
        <v>11563</v>
      </c>
      <c r="D4234" t="inlineStr">
        <is>
          <t>Mumbai</t>
        </is>
      </c>
      <c r="E4234" t="inlineStr">
        <is>
          <t>West</t>
        </is>
      </c>
      <c r="F4234" t="inlineStr">
        <is>
          <t>Paid Search</t>
        </is>
      </c>
      <c r="G4234" t="inlineStr">
        <is>
          <t>Mobile Web</t>
        </is>
      </c>
      <c r="H4234" t="inlineStr">
        <is>
          <t>Credit Card</t>
        </is>
      </c>
      <c r="I4234" t="inlineStr">
        <is>
          <t>Delivered</t>
        </is>
      </c>
      <c r="J4234" t="n">
        <v>137</v>
      </c>
      <c r="K4234" t="n">
        <v>1</v>
      </c>
      <c r="L4234" t="n">
        <v>261</v>
      </c>
      <c r="M4234" t="n">
        <v>0</v>
      </c>
      <c r="N4234">
        <f>VLOOKUP(J4234,Products!$A$2:$C$49,3,FALSE)</f>
        <v/>
      </c>
      <c r="O4234">
        <f>K4234*L4234-M4234</f>
        <v/>
      </c>
      <c r="P4234">
        <f>TEXT(B4234,"yyyy-mm")</f>
        <v/>
      </c>
      <c r="Q4234">
        <f>IF(O4234&gt;=3000,"Large","Small")</f>
        <v/>
      </c>
      <c r="R4234">
        <f>INDEX(Products!$F$2:$F$49,MATCH(J4234,Products!$A$2:$A$49,0))</f>
        <v/>
      </c>
      <c r="S4234">
        <f>WEEKDAY(B4234,2)</f>
        <v/>
      </c>
    </row>
    <row r="4235">
      <c r="A4235" t="n">
        <v>511698</v>
      </c>
      <c r="B4235" s="6" t="n">
        <v>46014</v>
      </c>
      <c r="C4235" t="n">
        <v>17893</v>
      </c>
      <c r="D4235" t="inlineStr">
        <is>
          <t>Delhi</t>
        </is>
      </c>
      <c r="E4235" t="inlineStr">
        <is>
          <t>North</t>
        </is>
      </c>
      <c r="F4235" t="inlineStr">
        <is>
          <t>Referral</t>
        </is>
      </c>
      <c r="G4235" t="inlineStr">
        <is>
          <t>Desktop</t>
        </is>
      </c>
      <c r="H4235" t="inlineStr">
        <is>
          <t>Credit Card</t>
        </is>
      </c>
      <c r="I4235" t="inlineStr">
        <is>
          <t>Delivered</t>
        </is>
      </c>
      <c r="J4235" t="n">
        <v>141</v>
      </c>
      <c r="K4235" t="n">
        <v>1</v>
      </c>
      <c r="L4235" t="n">
        <v>261</v>
      </c>
      <c r="M4235" t="n">
        <v>39.15</v>
      </c>
      <c r="N4235">
        <f>VLOOKUP(J4235,Products!$A$2:$C$49,3,FALSE)</f>
        <v/>
      </c>
      <c r="O4235">
        <f>K4235*L4235-M4235</f>
        <v/>
      </c>
      <c r="P4235">
        <f>TEXT(B4235,"yyyy-mm")</f>
        <v/>
      </c>
      <c r="Q4235">
        <f>IF(O4235&gt;=3000,"Large","Small")</f>
        <v/>
      </c>
      <c r="R4235">
        <f>INDEX(Products!$F$2:$F$49,MATCH(J4235,Products!$A$2:$A$49,0))</f>
        <v/>
      </c>
      <c r="S4235">
        <f>WEEKDAY(B4235,2)</f>
        <v/>
      </c>
    </row>
    <row r="4236">
      <c r="A4236" t="n">
        <v>511698</v>
      </c>
      <c r="B4236" s="6" t="n">
        <v>46014</v>
      </c>
      <c r="C4236" t="n">
        <v>17893</v>
      </c>
      <c r="D4236" t="inlineStr">
        <is>
          <t>Delhi</t>
        </is>
      </c>
      <c r="E4236" t="inlineStr">
        <is>
          <t>North</t>
        </is>
      </c>
      <c r="F4236" t="inlineStr">
        <is>
          <t>Referral</t>
        </is>
      </c>
      <c r="G4236" t="inlineStr">
        <is>
          <t>Desktop</t>
        </is>
      </c>
      <c r="H4236" t="inlineStr">
        <is>
          <t>Credit Card</t>
        </is>
      </c>
      <c r="I4236" t="inlineStr">
        <is>
          <t>Delivered</t>
        </is>
      </c>
      <c r="J4236" t="n">
        <v>145</v>
      </c>
      <c r="K4236" t="n">
        <v>2</v>
      </c>
      <c r="L4236" t="n">
        <v>629</v>
      </c>
      <c r="M4236" t="n">
        <v>188.7</v>
      </c>
      <c r="N4236">
        <f>VLOOKUP(J4236,Products!$A$2:$C$49,3,FALSE)</f>
        <v/>
      </c>
      <c r="O4236">
        <f>K4236*L4236-M4236</f>
        <v/>
      </c>
      <c r="P4236">
        <f>TEXT(B4236,"yyyy-mm")</f>
        <v/>
      </c>
      <c r="Q4236">
        <f>IF(O4236&gt;=3000,"Large","Small")</f>
        <v/>
      </c>
      <c r="R4236">
        <f>INDEX(Products!$F$2:$F$49,MATCH(J4236,Products!$A$2:$A$49,0))</f>
        <v/>
      </c>
      <c r="S4236">
        <f>WEEKDAY(B4236,2)</f>
        <v/>
      </c>
    </row>
    <row r="4237">
      <c r="A4237" t="n">
        <v>511699</v>
      </c>
      <c r="B4237" s="6" t="n">
        <v>46014</v>
      </c>
      <c r="C4237" t="n">
        <v>17896</v>
      </c>
      <c r="D4237" t="inlineStr">
        <is>
          <t>Jaipur</t>
        </is>
      </c>
      <c r="E4237" t="inlineStr">
        <is>
          <t>North</t>
        </is>
      </c>
      <c r="F4237" t="inlineStr">
        <is>
          <t>Organic Search</t>
        </is>
      </c>
      <c r="G4237" t="inlineStr">
        <is>
          <t>Mobile Web</t>
        </is>
      </c>
      <c r="H4237" t="inlineStr">
        <is>
          <t>Credit Card</t>
        </is>
      </c>
      <c r="I4237" t="inlineStr">
        <is>
          <t>Delivered</t>
        </is>
      </c>
      <c r="J4237" t="n">
        <v>135</v>
      </c>
      <c r="K4237" t="n">
        <v>2</v>
      </c>
      <c r="L4237" t="n">
        <v>1574</v>
      </c>
      <c r="M4237" t="n">
        <v>0</v>
      </c>
      <c r="N4237">
        <f>VLOOKUP(J4237,Products!$A$2:$C$49,3,FALSE)</f>
        <v/>
      </c>
      <c r="O4237">
        <f>K4237*L4237-M4237</f>
        <v/>
      </c>
      <c r="P4237">
        <f>TEXT(B4237,"yyyy-mm")</f>
        <v/>
      </c>
      <c r="Q4237">
        <f>IF(O4237&gt;=3000,"Large","Small")</f>
        <v/>
      </c>
      <c r="R4237">
        <f>INDEX(Products!$F$2:$F$49,MATCH(J4237,Products!$A$2:$A$49,0))</f>
        <v/>
      </c>
      <c r="S4237">
        <f>WEEKDAY(B4237,2)</f>
        <v/>
      </c>
    </row>
    <row r="4238">
      <c r="A4238" t="n">
        <v>511700</v>
      </c>
      <c r="B4238" s="6" t="n">
        <v>46014</v>
      </c>
      <c r="C4238" t="n">
        <v>13335</v>
      </c>
      <c r="D4238" t="inlineStr">
        <is>
          <t>Pune</t>
        </is>
      </c>
      <c r="E4238" t="inlineStr">
        <is>
          <t>West</t>
        </is>
      </c>
      <c r="F4238" t="inlineStr">
        <is>
          <t>Organic Search</t>
        </is>
      </c>
      <c r="G4238" t="inlineStr">
        <is>
          <t>Mobile App</t>
        </is>
      </c>
      <c r="H4238" t="inlineStr">
        <is>
          <t>Debit Card</t>
        </is>
      </c>
      <c r="I4238" t="inlineStr">
        <is>
          <t>Delivered</t>
        </is>
      </c>
      <c r="J4238" t="n">
        <v>145</v>
      </c>
      <c r="K4238" t="n">
        <v>2</v>
      </c>
      <c r="L4238" t="n">
        <v>629</v>
      </c>
      <c r="M4238" t="n">
        <v>62.9</v>
      </c>
      <c r="N4238">
        <f>VLOOKUP(J4238,Products!$A$2:$C$49,3,FALSE)</f>
        <v/>
      </c>
      <c r="O4238">
        <f>K4238*L4238-M4238</f>
        <v/>
      </c>
      <c r="P4238">
        <f>TEXT(B4238,"yyyy-mm")</f>
        <v/>
      </c>
      <c r="Q4238">
        <f>IF(O4238&gt;=3000,"Large","Small")</f>
        <v/>
      </c>
      <c r="R4238">
        <f>INDEX(Products!$F$2:$F$49,MATCH(J4238,Products!$A$2:$A$49,0))</f>
        <v/>
      </c>
      <c r="S4238">
        <f>WEEKDAY(B4238,2)</f>
        <v/>
      </c>
    </row>
    <row r="4239">
      <c r="A4239" t="n">
        <v>511701</v>
      </c>
      <c r="B4239" s="6" t="n">
        <v>46014</v>
      </c>
      <c r="C4239" t="n">
        <v>16945</v>
      </c>
      <c r="D4239" t="inlineStr">
        <is>
          <t>Ahmedabad</t>
        </is>
      </c>
      <c r="E4239" t="inlineStr">
        <is>
          <t>West</t>
        </is>
      </c>
      <c r="F4239" t="inlineStr">
        <is>
          <t>Organic Search</t>
        </is>
      </c>
      <c r="G4239" t="inlineStr">
        <is>
          <t>Mobile App</t>
        </is>
      </c>
      <c r="H4239" t="inlineStr">
        <is>
          <t>Credit Card</t>
        </is>
      </c>
      <c r="I4239" t="inlineStr">
        <is>
          <t>Delivered</t>
        </is>
      </c>
      <c r="J4239" t="n">
        <v>143</v>
      </c>
      <c r="K4239" t="n">
        <v>1</v>
      </c>
      <c r="L4239" t="n">
        <v>839</v>
      </c>
      <c r="M4239" t="n">
        <v>0</v>
      </c>
      <c r="N4239">
        <f>VLOOKUP(J4239,Products!$A$2:$C$49,3,FALSE)</f>
        <v/>
      </c>
      <c r="O4239">
        <f>K4239*L4239-M4239</f>
        <v/>
      </c>
      <c r="P4239">
        <f>TEXT(B4239,"yyyy-mm")</f>
        <v/>
      </c>
      <c r="Q4239">
        <f>IF(O4239&gt;=3000,"Large","Small")</f>
        <v/>
      </c>
      <c r="R4239">
        <f>INDEX(Products!$F$2:$F$49,MATCH(J4239,Products!$A$2:$A$49,0))</f>
        <v/>
      </c>
      <c r="S4239">
        <f>WEEKDAY(B4239,2)</f>
        <v/>
      </c>
    </row>
    <row r="4240">
      <c r="A4240" t="n">
        <v>511702</v>
      </c>
      <c r="B4240" s="6" t="n">
        <v>46014</v>
      </c>
      <c r="C4240" t="n">
        <v>16071</v>
      </c>
      <c r="D4240" t="inlineStr">
        <is>
          <t>Indore</t>
        </is>
      </c>
      <c r="E4240" t="inlineStr">
        <is>
          <t>West</t>
        </is>
      </c>
      <c r="F4240" t="inlineStr">
        <is>
          <t>Organic Search</t>
        </is>
      </c>
      <c r="G4240" t="inlineStr">
        <is>
          <t>Mobile App</t>
        </is>
      </c>
      <c r="H4240" t="inlineStr">
        <is>
          <t>Credit Card</t>
        </is>
      </c>
      <c r="I4240" t="inlineStr">
        <is>
          <t>Delivered</t>
        </is>
      </c>
      <c r="J4240" t="n">
        <v>104</v>
      </c>
      <c r="K4240" t="n">
        <v>1</v>
      </c>
      <c r="L4240" t="n">
        <v>5249</v>
      </c>
      <c r="M4240" t="n">
        <v>0</v>
      </c>
      <c r="N4240">
        <f>VLOOKUP(J4240,Products!$A$2:$C$49,3,FALSE)</f>
        <v/>
      </c>
      <c r="O4240">
        <f>K4240*L4240-M4240</f>
        <v/>
      </c>
      <c r="P4240">
        <f>TEXT(B4240,"yyyy-mm")</f>
        <v/>
      </c>
      <c r="Q4240">
        <f>IF(O4240&gt;=3000,"Large","Small")</f>
        <v/>
      </c>
      <c r="R4240">
        <f>INDEX(Products!$F$2:$F$49,MATCH(J4240,Products!$A$2:$A$49,0))</f>
        <v/>
      </c>
      <c r="S4240">
        <f>WEEKDAY(B4240,2)</f>
        <v/>
      </c>
    </row>
    <row r="4241">
      <c r="A4241" t="n">
        <v>511702</v>
      </c>
      <c r="B4241" s="6" t="n">
        <v>46014</v>
      </c>
      <c r="C4241" t="n">
        <v>16071</v>
      </c>
      <c r="D4241" t="inlineStr">
        <is>
          <t>Indore</t>
        </is>
      </c>
      <c r="E4241" t="inlineStr">
        <is>
          <t>West</t>
        </is>
      </c>
      <c r="F4241" t="inlineStr">
        <is>
          <t>Organic Search</t>
        </is>
      </c>
      <c r="G4241" t="inlineStr">
        <is>
          <t>Mobile App</t>
        </is>
      </c>
      <c r="H4241" t="inlineStr">
        <is>
          <t>Credit Card</t>
        </is>
      </c>
      <c r="I4241" t="inlineStr">
        <is>
          <t>Delivered</t>
        </is>
      </c>
      <c r="J4241" t="n">
        <v>121</v>
      </c>
      <c r="K4241" t="n">
        <v>2</v>
      </c>
      <c r="L4241" t="n">
        <v>2939</v>
      </c>
      <c r="M4241" t="n">
        <v>0</v>
      </c>
      <c r="N4241">
        <f>VLOOKUP(J4241,Products!$A$2:$C$49,3,FALSE)</f>
        <v/>
      </c>
      <c r="O4241">
        <f>K4241*L4241-M4241</f>
        <v/>
      </c>
      <c r="P4241">
        <f>TEXT(B4241,"yyyy-mm")</f>
        <v/>
      </c>
      <c r="Q4241">
        <f>IF(O4241&gt;=3000,"Large","Small")</f>
        <v/>
      </c>
      <c r="R4241">
        <f>INDEX(Products!$F$2:$F$49,MATCH(J4241,Products!$A$2:$A$49,0))</f>
        <v/>
      </c>
      <c r="S4241">
        <f>WEEKDAY(B4241,2)</f>
        <v/>
      </c>
    </row>
    <row r="4242">
      <c r="A4242" t="n">
        <v>511703</v>
      </c>
      <c r="B4242" s="6" t="n">
        <v>46014</v>
      </c>
      <c r="C4242" t="n">
        <v>17358</v>
      </c>
      <c r="D4242" t="inlineStr">
        <is>
          <t>Kochi</t>
        </is>
      </c>
      <c r="E4242" t="inlineStr">
        <is>
          <t>South</t>
        </is>
      </c>
      <c r="F4242" t="inlineStr">
        <is>
          <t>Paid Social</t>
        </is>
      </c>
      <c r="G4242" t="inlineStr">
        <is>
          <t>Desktop</t>
        </is>
      </c>
      <c r="H4242" t="inlineStr">
        <is>
          <t>UPI</t>
        </is>
      </c>
      <c r="I4242" t="inlineStr">
        <is>
          <t>Delivered</t>
        </is>
      </c>
      <c r="J4242" t="n">
        <v>114</v>
      </c>
      <c r="K4242" t="n">
        <v>1</v>
      </c>
      <c r="L4242" t="n">
        <v>1259</v>
      </c>
      <c r="M4242" t="n">
        <v>0</v>
      </c>
      <c r="N4242">
        <f>VLOOKUP(J4242,Products!$A$2:$C$49,3,FALSE)</f>
        <v/>
      </c>
      <c r="O4242">
        <f>K4242*L4242-M4242</f>
        <v/>
      </c>
      <c r="P4242">
        <f>TEXT(B4242,"yyyy-mm")</f>
        <v/>
      </c>
      <c r="Q4242">
        <f>IF(O4242&gt;=3000,"Large","Small")</f>
        <v/>
      </c>
      <c r="R4242">
        <f>INDEX(Products!$F$2:$F$49,MATCH(J4242,Products!$A$2:$A$49,0))</f>
        <v/>
      </c>
      <c r="S4242">
        <f>WEEKDAY(B4242,2)</f>
        <v/>
      </c>
    </row>
    <row r="4243">
      <c r="A4243" t="n">
        <v>511703</v>
      </c>
      <c r="B4243" s="6" t="n">
        <v>46014</v>
      </c>
      <c r="C4243" t="n">
        <v>17358</v>
      </c>
      <c r="D4243" t="inlineStr">
        <is>
          <t>Kochi</t>
        </is>
      </c>
      <c r="E4243" t="inlineStr">
        <is>
          <t>South</t>
        </is>
      </c>
      <c r="F4243" t="inlineStr">
        <is>
          <t>Paid Social</t>
        </is>
      </c>
      <c r="G4243" t="inlineStr">
        <is>
          <t>Desktop</t>
        </is>
      </c>
      <c r="H4243" t="inlineStr">
        <is>
          <t>UPI</t>
        </is>
      </c>
      <c r="I4243" t="inlineStr">
        <is>
          <t>Delivered</t>
        </is>
      </c>
      <c r="J4243" t="n">
        <v>142</v>
      </c>
      <c r="K4243" t="n">
        <v>2</v>
      </c>
      <c r="L4243" t="n">
        <v>839</v>
      </c>
      <c r="M4243" t="n">
        <v>0</v>
      </c>
      <c r="N4243">
        <f>VLOOKUP(J4243,Products!$A$2:$C$49,3,FALSE)</f>
        <v/>
      </c>
      <c r="O4243">
        <f>K4243*L4243-M4243</f>
        <v/>
      </c>
      <c r="P4243">
        <f>TEXT(B4243,"yyyy-mm")</f>
        <v/>
      </c>
      <c r="Q4243">
        <f>IF(O4243&gt;=3000,"Large","Small")</f>
        <v/>
      </c>
      <c r="R4243">
        <f>INDEX(Products!$F$2:$F$49,MATCH(J4243,Products!$A$2:$A$49,0))</f>
        <v/>
      </c>
      <c r="S4243">
        <f>WEEKDAY(B4243,2)</f>
        <v/>
      </c>
    </row>
    <row r="4244">
      <c r="A4244" t="n">
        <v>511704</v>
      </c>
      <c r="B4244" s="6" t="n">
        <v>46014</v>
      </c>
      <c r="C4244" t="n">
        <v>16081</v>
      </c>
      <c r="D4244" t="inlineStr">
        <is>
          <t>Kolkata</t>
        </is>
      </c>
      <c r="E4244" t="inlineStr">
        <is>
          <t>East</t>
        </is>
      </c>
      <c r="F4244" t="inlineStr">
        <is>
          <t>Referral</t>
        </is>
      </c>
      <c r="G4244" t="inlineStr">
        <is>
          <t>Mobile App</t>
        </is>
      </c>
      <c r="H4244" t="inlineStr">
        <is>
          <t>UPI</t>
        </is>
      </c>
      <c r="I4244" t="inlineStr">
        <is>
          <t>Delivered</t>
        </is>
      </c>
      <c r="J4244" t="n">
        <v>123</v>
      </c>
      <c r="K4244" t="n">
        <v>3</v>
      </c>
      <c r="L4244" t="n">
        <v>3464</v>
      </c>
      <c r="M4244" t="n">
        <v>0</v>
      </c>
      <c r="N4244">
        <f>VLOOKUP(J4244,Products!$A$2:$C$49,3,FALSE)</f>
        <v/>
      </c>
      <c r="O4244">
        <f>K4244*L4244-M4244</f>
        <v/>
      </c>
      <c r="P4244">
        <f>TEXT(B4244,"yyyy-mm")</f>
        <v/>
      </c>
      <c r="Q4244">
        <f>IF(O4244&gt;=3000,"Large","Small")</f>
        <v/>
      </c>
      <c r="R4244">
        <f>INDEX(Products!$F$2:$F$49,MATCH(J4244,Products!$A$2:$A$49,0))</f>
        <v/>
      </c>
      <c r="S4244">
        <f>WEEKDAY(B4244,2)</f>
        <v/>
      </c>
    </row>
    <row r="4245">
      <c r="A4245" t="n">
        <v>511704</v>
      </c>
      <c r="B4245" s="6" t="n">
        <v>46014</v>
      </c>
      <c r="C4245" t="n">
        <v>16081</v>
      </c>
      <c r="D4245" t="inlineStr">
        <is>
          <t>Kolkata</t>
        </is>
      </c>
      <c r="E4245" t="inlineStr">
        <is>
          <t>East</t>
        </is>
      </c>
      <c r="F4245" t="inlineStr">
        <is>
          <t>Referral</t>
        </is>
      </c>
      <c r="G4245" t="inlineStr">
        <is>
          <t>Mobile App</t>
        </is>
      </c>
      <c r="H4245" t="inlineStr">
        <is>
          <t>UPI</t>
        </is>
      </c>
      <c r="I4245" t="inlineStr">
        <is>
          <t>Delivered</t>
        </is>
      </c>
      <c r="J4245" t="n">
        <v>130</v>
      </c>
      <c r="K4245" t="n">
        <v>1</v>
      </c>
      <c r="L4245" t="n">
        <v>734</v>
      </c>
      <c r="M4245" t="n">
        <v>0</v>
      </c>
      <c r="N4245">
        <f>VLOOKUP(J4245,Products!$A$2:$C$49,3,FALSE)</f>
        <v/>
      </c>
      <c r="O4245">
        <f>K4245*L4245-M4245</f>
        <v/>
      </c>
      <c r="P4245">
        <f>TEXT(B4245,"yyyy-mm")</f>
        <v/>
      </c>
      <c r="Q4245">
        <f>IF(O4245&gt;=3000,"Large","Small")</f>
        <v/>
      </c>
      <c r="R4245">
        <f>INDEX(Products!$F$2:$F$49,MATCH(J4245,Products!$A$2:$A$49,0))</f>
        <v/>
      </c>
      <c r="S4245">
        <f>WEEKDAY(B4245,2)</f>
        <v/>
      </c>
    </row>
    <row r="4246">
      <c r="A4246" t="n">
        <v>511705</v>
      </c>
      <c r="B4246" s="6" t="n">
        <v>46014</v>
      </c>
      <c r="C4246" t="n">
        <v>17886</v>
      </c>
      <c r="D4246" t="inlineStr">
        <is>
          <t>Hyderabad</t>
        </is>
      </c>
      <c r="E4246" t="inlineStr">
        <is>
          <t>South</t>
        </is>
      </c>
      <c r="F4246" t="inlineStr">
        <is>
          <t>Paid Social</t>
        </is>
      </c>
      <c r="G4246" t="inlineStr">
        <is>
          <t>Mobile App</t>
        </is>
      </c>
      <c r="H4246" t="inlineStr">
        <is>
          <t>Debit Card</t>
        </is>
      </c>
      <c r="I4246" t="inlineStr">
        <is>
          <t>Delivered</t>
        </is>
      </c>
      <c r="J4246" t="n">
        <v>109</v>
      </c>
      <c r="K4246" t="n">
        <v>1</v>
      </c>
      <c r="L4246" t="n">
        <v>4199</v>
      </c>
      <c r="M4246" t="n">
        <v>629.85</v>
      </c>
      <c r="N4246">
        <f>VLOOKUP(J4246,Products!$A$2:$C$49,3,FALSE)</f>
        <v/>
      </c>
      <c r="O4246">
        <f>K4246*L4246-M4246</f>
        <v/>
      </c>
      <c r="P4246">
        <f>TEXT(B4246,"yyyy-mm")</f>
        <v/>
      </c>
      <c r="Q4246">
        <f>IF(O4246&gt;=3000,"Large","Small")</f>
        <v/>
      </c>
      <c r="R4246">
        <f>INDEX(Products!$F$2:$F$49,MATCH(J4246,Products!$A$2:$A$49,0))</f>
        <v/>
      </c>
      <c r="S4246">
        <f>WEEKDAY(B4246,2)</f>
        <v/>
      </c>
    </row>
    <row r="4247">
      <c r="A4247" t="n">
        <v>511706</v>
      </c>
      <c r="B4247" s="6" t="n">
        <v>46014</v>
      </c>
      <c r="C4247" t="n">
        <v>15568</v>
      </c>
      <c r="D4247" t="inlineStr">
        <is>
          <t>Jaipur</t>
        </is>
      </c>
      <c r="E4247" t="inlineStr">
        <is>
          <t>North</t>
        </is>
      </c>
      <c r="F4247" t="inlineStr">
        <is>
          <t>Email</t>
        </is>
      </c>
      <c r="G4247" t="inlineStr">
        <is>
          <t>Mobile App</t>
        </is>
      </c>
      <c r="H4247" t="inlineStr">
        <is>
          <t>UPI</t>
        </is>
      </c>
      <c r="I4247" t="inlineStr">
        <is>
          <t>Delivered</t>
        </is>
      </c>
      <c r="J4247" t="n">
        <v>103</v>
      </c>
      <c r="K4247" t="n">
        <v>1</v>
      </c>
      <c r="L4247" t="n">
        <v>2624</v>
      </c>
      <c r="M4247" t="n">
        <v>0</v>
      </c>
      <c r="N4247">
        <f>VLOOKUP(J4247,Products!$A$2:$C$49,3,FALSE)</f>
        <v/>
      </c>
      <c r="O4247">
        <f>K4247*L4247-M4247</f>
        <v/>
      </c>
      <c r="P4247">
        <f>TEXT(B4247,"yyyy-mm")</f>
        <v/>
      </c>
      <c r="Q4247">
        <f>IF(O4247&gt;=3000,"Large","Small")</f>
        <v/>
      </c>
      <c r="R4247">
        <f>INDEX(Products!$F$2:$F$49,MATCH(J4247,Products!$A$2:$A$49,0))</f>
        <v/>
      </c>
      <c r="S4247">
        <f>WEEKDAY(B4247,2)</f>
        <v/>
      </c>
    </row>
    <row r="4248">
      <c r="A4248" t="n">
        <v>511707</v>
      </c>
      <c r="B4248" s="6" t="n">
        <v>46015</v>
      </c>
      <c r="C4248" t="n">
        <v>17889</v>
      </c>
      <c r="D4248" t="inlineStr">
        <is>
          <t>Delhi</t>
        </is>
      </c>
      <c r="E4248" t="inlineStr">
        <is>
          <t>North</t>
        </is>
      </c>
      <c r="F4248" t="inlineStr">
        <is>
          <t>Paid Social</t>
        </is>
      </c>
      <c r="G4248" t="inlineStr">
        <is>
          <t>Mobile App</t>
        </is>
      </c>
      <c r="H4248" t="inlineStr">
        <is>
          <t>UPI</t>
        </is>
      </c>
      <c r="I4248" t="inlineStr">
        <is>
          <t>Delivered</t>
        </is>
      </c>
      <c r="J4248" t="n">
        <v>119</v>
      </c>
      <c r="K4248" t="n">
        <v>1</v>
      </c>
      <c r="L4248" t="n">
        <v>2309</v>
      </c>
      <c r="M4248" t="n">
        <v>0</v>
      </c>
      <c r="N4248">
        <f>VLOOKUP(J4248,Products!$A$2:$C$49,3,FALSE)</f>
        <v/>
      </c>
      <c r="O4248">
        <f>K4248*L4248-M4248</f>
        <v/>
      </c>
      <c r="P4248">
        <f>TEXT(B4248,"yyyy-mm")</f>
        <v/>
      </c>
      <c r="Q4248">
        <f>IF(O4248&gt;=3000,"Large","Small")</f>
        <v/>
      </c>
      <c r="R4248">
        <f>INDEX(Products!$F$2:$F$49,MATCH(J4248,Products!$A$2:$A$49,0))</f>
        <v/>
      </c>
      <c r="S4248">
        <f>WEEKDAY(B4248,2)</f>
        <v/>
      </c>
    </row>
    <row r="4249">
      <c r="A4249" t="n">
        <v>511707</v>
      </c>
      <c r="B4249" s="6" t="n">
        <v>46015</v>
      </c>
      <c r="C4249" t="n">
        <v>17889</v>
      </c>
      <c r="D4249" t="inlineStr">
        <is>
          <t>Delhi</t>
        </is>
      </c>
      <c r="E4249" t="inlineStr">
        <is>
          <t>North</t>
        </is>
      </c>
      <c r="F4249" t="inlineStr">
        <is>
          <t>Paid Social</t>
        </is>
      </c>
      <c r="G4249" t="inlineStr">
        <is>
          <t>Mobile App</t>
        </is>
      </c>
      <c r="H4249" t="inlineStr">
        <is>
          <t>UPI</t>
        </is>
      </c>
      <c r="I4249" t="inlineStr">
        <is>
          <t>Delivered</t>
        </is>
      </c>
      <c r="J4249" t="n">
        <v>107</v>
      </c>
      <c r="K4249" t="n">
        <v>1</v>
      </c>
      <c r="L4249" t="n">
        <v>1259</v>
      </c>
      <c r="M4249" t="n">
        <v>0</v>
      </c>
      <c r="N4249">
        <f>VLOOKUP(J4249,Products!$A$2:$C$49,3,FALSE)</f>
        <v/>
      </c>
      <c r="O4249">
        <f>K4249*L4249-M4249</f>
        <v/>
      </c>
      <c r="P4249">
        <f>TEXT(B4249,"yyyy-mm")</f>
        <v/>
      </c>
      <c r="Q4249">
        <f>IF(O4249&gt;=3000,"Large","Small")</f>
        <v/>
      </c>
      <c r="R4249">
        <f>INDEX(Products!$F$2:$F$49,MATCH(J4249,Products!$A$2:$A$49,0))</f>
        <v/>
      </c>
      <c r="S4249">
        <f>WEEKDAY(B4249,2)</f>
        <v/>
      </c>
    </row>
    <row r="4250">
      <c r="A4250" t="n">
        <v>511708</v>
      </c>
      <c r="B4250" s="6" t="n">
        <v>46015</v>
      </c>
      <c r="C4250" t="n">
        <v>17509</v>
      </c>
      <c r="D4250" t="inlineStr">
        <is>
          <t>Mumbai</t>
        </is>
      </c>
      <c r="E4250" t="inlineStr">
        <is>
          <t>West</t>
        </is>
      </c>
      <c r="F4250" t="inlineStr">
        <is>
          <t>Organic Search</t>
        </is>
      </c>
      <c r="G4250" t="inlineStr">
        <is>
          <t>Mobile App</t>
        </is>
      </c>
      <c r="H4250" t="inlineStr">
        <is>
          <t>Credit Card</t>
        </is>
      </c>
      <c r="I4250" t="inlineStr">
        <is>
          <t>Delivered</t>
        </is>
      </c>
      <c r="J4250" t="n">
        <v>119</v>
      </c>
      <c r="K4250" t="n">
        <v>1</v>
      </c>
      <c r="L4250" t="n">
        <v>2309</v>
      </c>
      <c r="M4250" t="n">
        <v>0</v>
      </c>
      <c r="N4250">
        <f>VLOOKUP(J4250,Products!$A$2:$C$49,3,FALSE)</f>
        <v/>
      </c>
      <c r="O4250">
        <f>K4250*L4250-M4250</f>
        <v/>
      </c>
      <c r="P4250">
        <f>TEXT(B4250,"yyyy-mm")</f>
        <v/>
      </c>
      <c r="Q4250">
        <f>IF(O4250&gt;=3000,"Large","Small")</f>
        <v/>
      </c>
      <c r="R4250">
        <f>INDEX(Products!$F$2:$F$49,MATCH(J4250,Products!$A$2:$A$49,0))</f>
        <v/>
      </c>
      <c r="S4250">
        <f>WEEKDAY(B4250,2)</f>
        <v/>
      </c>
    </row>
    <row r="4251">
      <c r="A4251" t="n">
        <v>511709</v>
      </c>
      <c r="B4251" s="6" t="n">
        <v>46015</v>
      </c>
      <c r="C4251" t="n">
        <v>17863</v>
      </c>
      <c r="D4251" t="inlineStr">
        <is>
          <t>Hyderabad</t>
        </is>
      </c>
      <c r="E4251" t="inlineStr">
        <is>
          <t>South</t>
        </is>
      </c>
      <c r="F4251" t="inlineStr">
        <is>
          <t>Organic Search</t>
        </is>
      </c>
      <c r="G4251" t="inlineStr">
        <is>
          <t>Mobile App</t>
        </is>
      </c>
      <c r="H4251" t="inlineStr">
        <is>
          <t>Debit Card</t>
        </is>
      </c>
      <c r="I4251" t="inlineStr">
        <is>
          <t>Delivered</t>
        </is>
      </c>
      <c r="J4251" t="n">
        <v>137</v>
      </c>
      <c r="K4251" t="n">
        <v>2</v>
      </c>
      <c r="L4251" t="n">
        <v>261</v>
      </c>
      <c r="M4251" t="n">
        <v>0</v>
      </c>
      <c r="N4251">
        <f>VLOOKUP(J4251,Products!$A$2:$C$49,3,FALSE)</f>
        <v/>
      </c>
      <c r="O4251">
        <f>K4251*L4251-M4251</f>
        <v/>
      </c>
      <c r="P4251">
        <f>TEXT(B4251,"yyyy-mm")</f>
        <v/>
      </c>
      <c r="Q4251">
        <f>IF(O4251&gt;=3000,"Large","Small")</f>
        <v/>
      </c>
      <c r="R4251">
        <f>INDEX(Products!$F$2:$F$49,MATCH(J4251,Products!$A$2:$A$49,0))</f>
        <v/>
      </c>
      <c r="S4251">
        <f>WEEKDAY(B4251,2)</f>
        <v/>
      </c>
    </row>
    <row r="4252">
      <c r="A4252" t="n">
        <v>511709</v>
      </c>
      <c r="B4252" s="6" t="n">
        <v>46015</v>
      </c>
      <c r="C4252" t="n">
        <v>17863</v>
      </c>
      <c r="D4252" t="inlineStr">
        <is>
          <t>Hyderabad</t>
        </is>
      </c>
      <c r="E4252" t="inlineStr">
        <is>
          <t>South</t>
        </is>
      </c>
      <c r="F4252" t="inlineStr">
        <is>
          <t>Organic Search</t>
        </is>
      </c>
      <c r="G4252" t="inlineStr">
        <is>
          <t>Mobile App</t>
        </is>
      </c>
      <c r="H4252" t="inlineStr">
        <is>
          <t>Debit Card</t>
        </is>
      </c>
      <c r="I4252" t="inlineStr">
        <is>
          <t>Delivered</t>
        </is>
      </c>
      <c r="J4252" t="n">
        <v>134</v>
      </c>
      <c r="K4252" t="n">
        <v>1</v>
      </c>
      <c r="L4252" t="n">
        <v>209</v>
      </c>
      <c r="M4252" t="n">
        <v>0</v>
      </c>
      <c r="N4252">
        <f>VLOOKUP(J4252,Products!$A$2:$C$49,3,FALSE)</f>
        <v/>
      </c>
      <c r="O4252">
        <f>K4252*L4252-M4252</f>
        <v/>
      </c>
      <c r="P4252">
        <f>TEXT(B4252,"yyyy-mm")</f>
        <v/>
      </c>
      <c r="Q4252">
        <f>IF(O4252&gt;=3000,"Large","Small")</f>
        <v/>
      </c>
      <c r="R4252">
        <f>INDEX(Products!$F$2:$F$49,MATCH(J4252,Products!$A$2:$A$49,0))</f>
        <v/>
      </c>
      <c r="S4252">
        <f>WEEKDAY(B4252,2)</f>
        <v/>
      </c>
    </row>
    <row r="4253">
      <c r="A4253" t="n">
        <v>511710</v>
      </c>
      <c r="B4253" s="6" t="n">
        <v>46015</v>
      </c>
      <c r="C4253" t="n">
        <v>17297</v>
      </c>
      <c r="D4253" t="inlineStr">
        <is>
          <t>Mumbai</t>
        </is>
      </c>
      <c r="E4253" t="inlineStr">
        <is>
          <t>West</t>
        </is>
      </c>
      <c r="F4253" t="inlineStr">
        <is>
          <t>Organic Search</t>
        </is>
      </c>
      <c r="G4253" t="inlineStr">
        <is>
          <t>Mobile App</t>
        </is>
      </c>
      <c r="H4253" t="inlineStr">
        <is>
          <t>UPI</t>
        </is>
      </c>
      <c r="I4253" t="inlineStr">
        <is>
          <t>Delivered</t>
        </is>
      </c>
      <c r="J4253" t="n">
        <v>110</v>
      </c>
      <c r="K4253" t="n">
        <v>1</v>
      </c>
      <c r="L4253" t="n">
        <v>839</v>
      </c>
      <c r="M4253" t="n">
        <v>0</v>
      </c>
      <c r="N4253">
        <f>VLOOKUP(J4253,Products!$A$2:$C$49,3,FALSE)</f>
        <v/>
      </c>
      <c r="O4253">
        <f>K4253*L4253-M4253</f>
        <v/>
      </c>
      <c r="P4253">
        <f>TEXT(B4253,"yyyy-mm")</f>
        <v/>
      </c>
      <c r="Q4253">
        <f>IF(O4253&gt;=3000,"Large","Small")</f>
        <v/>
      </c>
      <c r="R4253">
        <f>INDEX(Products!$F$2:$F$49,MATCH(J4253,Products!$A$2:$A$49,0))</f>
        <v/>
      </c>
      <c r="S4253">
        <f>WEEKDAY(B4253,2)</f>
        <v/>
      </c>
    </row>
    <row r="4254">
      <c r="A4254" t="n">
        <v>511710</v>
      </c>
      <c r="B4254" s="6" t="n">
        <v>46015</v>
      </c>
      <c r="C4254" t="n">
        <v>17297</v>
      </c>
      <c r="D4254" t="inlineStr">
        <is>
          <t>Mumbai</t>
        </is>
      </c>
      <c r="E4254" t="inlineStr">
        <is>
          <t>West</t>
        </is>
      </c>
      <c r="F4254" t="inlineStr">
        <is>
          <t>Organic Search</t>
        </is>
      </c>
      <c r="G4254" t="inlineStr">
        <is>
          <t>Mobile App</t>
        </is>
      </c>
      <c r="H4254" t="inlineStr">
        <is>
          <t>UPI</t>
        </is>
      </c>
      <c r="I4254" t="inlineStr">
        <is>
          <t>Delivered</t>
        </is>
      </c>
      <c r="J4254" t="n">
        <v>120</v>
      </c>
      <c r="K4254" t="n">
        <v>1</v>
      </c>
      <c r="L4254" t="n">
        <v>734</v>
      </c>
      <c r="M4254" t="n">
        <v>0</v>
      </c>
      <c r="N4254">
        <f>VLOOKUP(J4254,Products!$A$2:$C$49,3,FALSE)</f>
        <v/>
      </c>
      <c r="O4254">
        <f>K4254*L4254-M4254</f>
        <v/>
      </c>
      <c r="P4254">
        <f>TEXT(B4254,"yyyy-mm")</f>
        <v/>
      </c>
      <c r="Q4254">
        <f>IF(O4254&gt;=3000,"Large","Small")</f>
        <v/>
      </c>
      <c r="R4254">
        <f>INDEX(Products!$F$2:$F$49,MATCH(J4254,Products!$A$2:$A$49,0))</f>
        <v/>
      </c>
      <c r="S4254">
        <f>WEEKDAY(B4254,2)</f>
        <v/>
      </c>
    </row>
    <row r="4255">
      <c r="A4255" t="n">
        <v>511711</v>
      </c>
      <c r="B4255" s="6" t="n">
        <v>46015</v>
      </c>
      <c r="C4255" t="n">
        <v>12635</v>
      </c>
      <c r="D4255" t="inlineStr">
        <is>
          <t>Mumbai</t>
        </is>
      </c>
      <c r="E4255" t="inlineStr">
        <is>
          <t>West</t>
        </is>
      </c>
      <c r="F4255" t="inlineStr">
        <is>
          <t>Organic Search</t>
        </is>
      </c>
      <c r="G4255" t="inlineStr">
        <is>
          <t>Mobile Web</t>
        </is>
      </c>
      <c r="H4255" t="inlineStr">
        <is>
          <t>UPI</t>
        </is>
      </c>
      <c r="I4255" t="inlineStr">
        <is>
          <t>Delivered</t>
        </is>
      </c>
      <c r="J4255" t="n">
        <v>117</v>
      </c>
      <c r="K4255" t="n">
        <v>1</v>
      </c>
      <c r="L4255" t="n">
        <v>3149</v>
      </c>
      <c r="M4255" t="n">
        <v>0</v>
      </c>
      <c r="N4255">
        <f>VLOOKUP(J4255,Products!$A$2:$C$49,3,FALSE)</f>
        <v/>
      </c>
      <c r="O4255">
        <f>K4255*L4255-M4255</f>
        <v/>
      </c>
      <c r="P4255">
        <f>TEXT(B4255,"yyyy-mm")</f>
        <v/>
      </c>
      <c r="Q4255">
        <f>IF(O4255&gt;=3000,"Large","Small")</f>
        <v/>
      </c>
      <c r="R4255">
        <f>INDEX(Products!$F$2:$F$49,MATCH(J4255,Products!$A$2:$A$49,0))</f>
        <v/>
      </c>
      <c r="S4255">
        <f>WEEKDAY(B4255,2)</f>
        <v/>
      </c>
    </row>
    <row r="4256">
      <c r="A4256" t="n">
        <v>511712</v>
      </c>
      <c r="B4256" s="6" t="n">
        <v>46015</v>
      </c>
      <c r="C4256" t="n">
        <v>15134</v>
      </c>
      <c r="D4256" t="inlineStr">
        <is>
          <t>Gurugram</t>
        </is>
      </c>
      <c r="E4256" t="inlineStr">
        <is>
          <t>North</t>
        </is>
      </c>
      <c r="F4256" t="inlineStr">
        <is>
          <t>Organic Search</t>
        </is>
      </c>
      <c r="G4256" t="inlineStr">
        <is>
          <t>Mobile Web</t>
        </is>
      </c>
      <c r="H4256" t="inlineStr">
        <is>
          <t>UPI</t>
        </is>
      </c>
      <c r="I4256" t="inlineStr">
        <is>
          <t>Delivered</t>
        </is>
      </c>
      <c r="J4256" t="n">
        <v>124</v>
      </c>
      <c r="K4256" t="n">
        <v>2</v>
      </c>
      <c r="L4256" t="n">
        <v>1154</v>
      </c>
      <c r="M4256" t="n">
        <v>0</v>
      </c>
      <c r="N4256">
        <f>VLOOKUP(J4256,Products!$A$2:$C$49,3,FALSE)</f>
        <v/>
      </c>
      <c r="O4256">
        <f>K4256*L4256-M4256</f>
        <v/>
      </c>
      <c r="P4256">
        <f>TEXT(B4256,"yyyy-mm")</f>
        <v/>
      </c>
      <c r="Q4256">
        <f>IF(O4256&gt;=3000,"Large","Small")</f>
        <v/>
      </c>
      <c r="R4256">
        <f>INDEX(Products!$F$2:$F$49,MATCH(J4256,Products!$A$2:$A$49,0))</f>
        <v/>
      </c>
      <c r="S4256">
        <f>WEEKDAY(B4256,2)</f>
        <v/>
      </c>
    </row>
    <row r="4257">
      <c r="A4257" t="n">
        <v>511712</v>
      </c>
      <c r="B4257" s="6" t="n">
        <v>46015</v>
      </c>
      <c r="C4257" t="n">
        <v>15134</v>
      </c>
      <c r="D4257" t="inlineStr">
        <is>
          <t>Gurugram</t>
        </is>
      </c>
      <c r="E4257" t="inlineStr">
        <is>
          <t>North</t>
        </is>
      </c>
      <c r="F4257" t="inlineStr">
        <is>
          <t>Organic Search</t>
        </is>
      </c>
      <c r="G4257" t="inlineStr">
        <is>
          <t>Mobile Web</t>
        </is>
      </c>
      <c r="H4257" t="inlineStr">
        <is>
          <t>UPI</t>
        </is>
      </c>
      <c r="I4257" t="inlineStr">
        <is>
          <t>Delivered</t>
        </is>
      </c>
      <c r="J4257" t="n">
        <v>112</v>
      </c>
      <c r="K4257" t="n">
        <v>1</v>
      </c>
      <c r="L4257" t="n">
        <v>1574</v>
      </c>
      <c r="M4257" t="n">
        <v>0</v>
      </c>
      <c r="N4257">
        <f>VLOOKUP(J4257,Products!$A$2:$C$49,3,FALSE)</f>
        <v/>
      </c>
      <c r="O4257">
        <f>K4257*L4257-M4257</f>
        <v/>
      </c>
      <c r="P4257">
        <f>TEXT(B4257,"yyyy-mm")</f>
        <v/>
      </c>
      <c r="Q4257">
        <f>IF(O4257&gt;=3000,"Large","Small")</f>
        <v/>
      </c>
      <c r="R4257">
        <f>INDEX(Products!$F$2:$F$49,MATCH(J4257,Products!$A$2:$A$49,0))</f>
        <v/>
      </c>
      <c r="S4257">
        <f>WEEKDAY(B4257,2)</f>
        <v/>
      </c>
    </row>
    <row r="4258">
      <c r="A4258" t="n">
        <v>511713</v>
      </c>
      <c r="B4258" s="6" t="n">
        <v>46015</v>
      </c>
      <c r="C4258" t="n">
        <v>14757</v>
      </c>
      <c r="D4258" t="inlineStr">
        <is>
          <t>Mumbai</t>
        </is>
      </c>
      <c r="E4258" t="inlineStr">
        <is>
          <t>West</t>
        </is>
      </c>
      <c r="F4258" t="inlineStr">
        <is>
          <t>Paid Social</t>
        </is>
      </c>
      <c r="G4258" t="inlineStr">
        <is>
          <t>Mobile App</t>
        </is>
      </c>
      <c r="H4258" t="inlineStr">
        <is>
          <t>UPI</t>
        </is>
      </c>
      <c r="I4258" t="inlineStr">
        <is>
          <t>Delivered</t>
        </is>
      </c>
      <c r="J4258" t="n">
        <v>113</v>
      </c>
      <c r="K4258" t="n">
        <v>1</v>
      </c>
      <c r="L4258" t="n">
        <v>1364</v>
      </c>
      <c r="M4258" t="n">
        <v>0</v>
      </c>
      <c r="N4258">
        <f>VLOOKUP(J4258,Products!$A$2:$C$49,3,FALSE)</f>
        <v/>
      </c>
      <c r="O4258">
        <f>K4258*L4258-M4258</f>
        <v/>
      </c>
      <c r="P4258">
        <f>TEXT(B4258,"yyyy-mm")</f>
        <v/>
      </c>
      <c r="Q4258">
        <f>IF(O4258&gt;=3000,"Large","Small")</f>
        <v/>
      </c>
      <c r="R4258">
        <f>INDEX(Products!$F$2:$F$49,MATCH(J4258,Products!$A$2:$A$49,0))</f>
        <v/>
      </c>
      <c r="S4258">
        <f>WEEKDAY(B4258,2)</f>
        <v/>
      </c>
    </row>
    <row r="4259">
      <c r="A4259" t="n">
        <v>511714</v>
      </c>
      <c r="B4259" s="6" t="n">
        <v>46015</v>
      </c>
      <c r="C4259" t="n">
        <v>17898</v>
      </c>
      <c r="D4259" t="inlineStr">
        <is>
          <t>Chennai</t>
        </is>
      </c>
      <c r="E4259" t="inlineStr">
        <is>
          <t>South</t>
        </is>
      </c>
      <c r="F4259" t="inlineStr">
        <is>
          <t>Paid Social</t>
        </is>
      </c>
      <c r="G4259" t="inlineStr">
        <is>
          <t>Mobile Web</t>
        </is>
      </c>
      <c r="H4259" t="inlineStr">
        <is>
          <t>Cash on Delivery</t>
        </is>
      </c>
      <c r="I4259" t="inlineStr">
        <is>
          <t>Delivered</t>
        </is>
      </c>
      <c r="J4259" t="n">
        <v>114</v>
      </c>
      <c r="K4259" t="n">
        <v>1</v>
      </c>
      <c r="L4259" t="n">
        <v>1259</v>
      </c>
      <c r="M4259" t="n">
        <v>62.95</v>
      </c>
      <c r="N4259">
        <f>VLOOKUP(J4259,Products!$A$2:$C$49,3,FALSE)</f>
        <v/>
      </c>
      <c r="O4259">
        <f>K4259*L4259-M4259</f>
        <v/>
      </c>
      <c r="P4259">
        <f>TEXT(B4259,"yyyy-mm")</f>
        <v/>
      </c>
      <c r="Q4259">
        <f>IF(O4259&gt;=3000,"Large","Small")</f>
        <v/>
      </c>
      <c r="R4259">
        <f>INDEX(Products!$F$2:$F$49,MATCH(J4259,Products!$A$2:$A$49,0))</f>
        <v/>
      </c>
      <c r="S4259">
        <f>WEEKDAY(B4259,2)</f>
        <v/>
      </c>
    </row>
    <row r="4260">
      <c r="A4260" t="n">
        <v>511714</v>
      </c>
      <c r="B4260" s="6" t="n">
        <v>46015</v>
      </c>
      <c r="C4260" t="n">
        <v>17898</v>
      </c>
      <c r="D4260" t="inlineStr">
        <is>
          <t>Chennai</t>
        </is>
      </c>
      <c r="E4260" t="inlineStr">
        <is>
          <t>South</t>
        </is>
      </c>
      <c r="F4260" t="inlineStr">
        <is>
          <t>Paid Social</t>
        </is>
      </c>
      <c r="G4260" t="inlineStr">
        <is>
          <t>Mobile Web</t>
        </is>
      </c>
      <c r="H4260" t="inlineStr">
        <is>
          <t>Cash on Delivery</t>
        </is>
      </c>
      <c r="I4260" t="inlineStr">
        <is>
          <t>Delivered</t>
        </is>
      </c>
      <c r="J4260" t="n">
        <v>137</v>
      </c>
      <c r="K4260" t="n">
        <v>1</v>
      </c>
      <c r="L4260" t="n">
        <v>261</v>
      </c>
      <c r="M4260" t="n">
        <v>13.05</v>
      </c>
      <c r="N4260">
        <f>VLOOKUP(J4260,Products!$A$2:$C$49,3,FALSE)</f>
        <v/>
      </c>
      <c r="O4260">
        <f>K4260*L4260-M4260</f>
        <v/>
      </c>
      <c r="P4260">
        <f>TEXT(B4260,"yyyy-mm")</f>
        <v/>
      </c>
      <c r="Q4260">
        <f>IF(O4260&gt;=3000,"Large","Small")</f>
        <v/>
      </c>
      <c r="R4260">
        <f>INDEX(Products!$F$2:$F$49,MATCH(J4260,Products!$A$2:$A$49,0))</f>
        <v/>
      </c>
      <c r="S4260">
        <f>WEEKDAY(B4260,2)</f>
        <v/>
      </c>
    </row>
    <row r="4261">
      <c r="A4261" t="n">
        <v>511715</v>
      </c>
      <c r="B4261" s="6" t="n">
        <v>46015</v>
      </c>
      <c r="C4261" t="n">
        <v>17874</v>
      </c>
      <c r="D4261" t="inlineStr">
        <is>
          <t>Delhi</t>
        </is>
      </c>
      <c r="E4261" t="inlineStr">
        <is>
          <t>North</t>
        </is>
      </c>
      <c r="F4261" t="inlineStr">
        <is>
          <t>Paid Social</t>
        </is>
      </c>
      <c r="G4261" t="inlineStr">
        <is>
          <t>Mobile Web</t>
        </is>
      </c>
      <c r="H4261" t="inlineStr">
        <is>
          <t>UPI</t>
        </is>
      </c>
      <c r="I4261" t="inlineStr">
        <is>
          <t>Delivered</t>
        </is>
      </c>
      <c r="J4261" t="n">
        <v>104</v>
      </c>
      <c r="K4261" t="n">
        <v>1</v>
      </c>
      <c r="L4261" t="n">
        <v>5249</v>
      </c>
      <c r="M4261" t="n">
        <v>0</v>
      </c>
      <c r="N4261">
        <f>VLOOKUP(J4261,Products!$A$2:$C$49,3,FALSE)</f>
        <v/>
      </c>
      <c r="O4261">
        <f>K4261*L4261-M4261</f>
        <v/>
      </c>
      <c r="P4261">
        <f>TEXT(B4261,"yyyy-mm")</f>
        <v/>
      </c>
      <c r="Q4261">
        <f>IF(O4261&gt;=3000,"Large","Small")</f>
        <v/>
      </c>
      <c r="R4261">
        <f>INDEX(Products!$F$2:$F$49,MATCH(J4261,Products!$A$2:$A$49,0))</f>
        <v/>
      </c>
      <c r="S4261">
        <f>WEEKDAY(B4261,2)</f>
        <v/>
      </c>
    </row>
    <row r="4262">
      <c r="A4262" t="n">
        <v>511716</v>
      </c>
      <c r="B4262" s="6" t="n">
        <v>46015</v>
      </c>
      <c r="C4262" t="n">
        <v>17101</v>
      </c>
      <c r="D4262" t="inlineStr">
        <is>
          <t>Kolkata</t>
        </is>
      </c>
      <c r="E4262" t="inlineStr">
        <is>
          <t>East</t>
        </is>
      </c>
      <c r="F4262" t="inlineStr">
        <is>
          <t>Paid Search</t>
        </is>
      </c>
      <c r="G4262" t="inlineStr">
        <is>
          <t>Mobile Web</t>
        </is>
      </c>
      <c r="H4262" t="inlineStr">
        <is>
          <t>UPI</t>
        </is>
      </c>
      <c r="I4262" t="inlineStr">
        <is>
          <t>Delivered</t>
        </is>
      </c>
      <c r="J4262" t="n">
        <v>141</v>
      </c>
      <c r="K4262" t="n">
        <v>3</v>
      </c>
      <c r="L4262" t="n">
        <v>261</v>
      </c>
      <c r="M4262" t="n">
        <v>0</v>
      </c>
      <c r="N4262">
        <f>VLOOKUP(J4262,Products!$A$2:$C$49,3,FALSE)</f>
        <v/>
      </c>
      <c r="O4262">
        <f>K4262*L4262-M4262</f>
        <v/>
      </c>
      <c r="P4262">
        <f>TEXT(B4262,"yyyy-mm")</f>
        <v/>
      </c>
      <c r="Q4262">
        <f>IF(O4262&gt;=3000,"Large","Small")</f>
        <v/>
      </c>
      <c r="R4262">
        <f>INDEX(Products!$F$2:$F$49,MATCH(J4262,Products!$A$2:$A$49,0))</f>
        <v/>
      </c>
      <c r="S4262">
        <f>WEEKDAY(B4262,2)</f>
        <v/>
      </c>
    </row>
    <row r="4263">
      <c r="A4263" t="n">
        <v>511717</v>
      </c>
      <c r="B4263" s="6" t="n">
        <v>46015</v>
      </c>
      <c r="C4263" t="n">
        <v>17907</v>
      </c>
      <c r="D4263" t="inlineStr">
        <is>
          <t>Noida</t>
        </is>
      </c>
      <c r="E4263" t="inlineStr">
        <is>
          <t>North</t>
        </is>
      </c>
      <c r="F4263" t="inlineStr">
        <is>
          <t>Paid Social</t>
        </is>
      </c>
      <c r="G4263" t="inlineStr">
        <is>
          <t>Mobile App</t>
        </is>
      </c>
      <c r="H4263" t="inlineStr">
        <is>
          <t>UPI</t>
        </is>
      </c>
      <c r="I4263" t="inlineStr">
        <is>
          <t>Delivered</t>
        </is>
      </c>
      <c r="J4263" t="n">
        <v>125</v>
      </c>
      <c r="K4263" t="n">
        <v>1</v>
      </c>
      <c r="L4263" t="n">
        <v>1364</v>
      </c>
      <c r="M4263" t="n">
        <v>204.6</v>
      </c>
      <c r="N4263">
        <f>VLOOKUP(J4263,Products!$A$2:$C$49,3,FALSE)</f>
        <v/>
      </c>
      <c r="O4263">
        <f>K4263*L4263-M4263</f>
        <v/>
      </c>
      <c r="P4263">
        <f>TEXT(B4263,"yyyy-mm")</f>
        <v/>
      </c>
      <c r="Q4263">
        <f>IF(O4263&gt;=3000,"Large","Small")</f>
        <v/>
      </c>
      <c r="R4263">
        <f>INDEX(Products!$F$2:$F$49,MATCH(J4263,Products!$A$2:$A$49,0))</f>
        <v/>
      </c>
      <c r="S4263">
        <f>WEEKDAY(B4263,2)</f>
        <v/>
      </c>
    </row>
    <row r="4264">
      <c r="A4264" t="n">
        <v>511718</v>
      </c>
      <c r="B4264" s="6" t="n">
        <v>46015</v>
      </c>
      <c r="C4264" t="n">
        <v>13590</v>
      </c>
      <c r="D4264" t="inlineStr">
        <is>
          <t>Chennai</t>
        </is>
      </c>
      <c r="E4264" t="inlineStr">
        <is>
          <t>South</t>
        </is>
      </c>
      <c r="F4264" t="inlineStr">
        <is>
          <t>Referral</t>
        </is>
      </c>
      <c r="G4264" t="inlineStr">
        <is>
          <t>Mobile App</t>
        </is>
      </c>
      <c r="H4264" t="inlineStr">
        <is>
          <t>UPI</t>
        </is>
      </c>
      <c r="I4264" t="inlineStr">
        <is>
          <t>Delivered</t>
        </is>
      </c>
      <c r="J4264" t="n">
        <v>120</v>
      </c>
      <c r="K4264" t="n">
        <v>1</v>
      </c>
      <c r="L4264" t="n">
        <v>734</v>
      </c>
      <c r="M4264" t="n">
        <v>0</v>
      </c>
      <c r="N4264">
        <f>VLOOKUP(J4264,Products!$A$2:$C$49,3,FALSE)</f>
        <v/>
      </c>
      <c r="O4264">
        <f>K4264*L4264-M4264</f>
        <v/>
      </c>
      <c r="P4264">
        <f>TEXT(B4264,"yyyy-mm")</f>
        <v/>
      </c>
      <c r="Q4264">
        <f>IF(O4264&gt;=3000,"Large","Small")</f>
        <v/>
      </c>
      <c r="R4264">
        <f>INDEX(Products!$F$2:$F$49,MATCH(J4264,Products!$A$2:$A$49,0))</f>
        <v/>
      </c>
      <c r="S4264">
        <f>WEEKDAY(B4264,2)</f>
        <v/>
      </c>
    </row>
    <row r="4265">
      <c r="A4265" t="n">
        <v>511718</v>
      </c>
      <c r="B4265" s="6" t="n">
        <v>46015</v>
      </c>
      <c r="C4265" t="n">
        <v>13590</v>
      </c>
      <c r="D4265" t="inlineStr">
        <is>
          <t>Chennai</t>
        </is>
      </c>
      <c r="E4265" t="inlineStr">
        <is>
          <t>South</t>
        </is>
      </c>
      <c r="F4265" t="inlineStr">
        <is>
          <t>Referral</t>
        </is>
      </c>
      <c r="G4265" t="inlineStr">
        <is>
          <t>Mobile App</t>
        </is>
      </c>
      <c r="H4265" t="inlineStr">
        <is>
          <t>UPI</t>
        </is>
      </c>
      <c r="I4265" t="inlineStr">
        <is>
          <t>Delivered</t>
        </is>
      </c>
      <c r="J4265" t="n">
        <v>107</v>
      </c>
      <c r="K4265" t="n">
        <v>1</v>
      </c>
      <c r="L4265" t="n">
        <v>1259</v>
      </c>
      <c r="M4265" t="n">
        <v>0</v>
      </c>
      <c r="N4265">
        <f>VLOOKUP(J4265,Products!$A$2:$C$49,3,FALSE)</f>
        <v/>
      </c>
      <c r="O4265">
        <f>K4265*L4265-M4265</f>
        <v/>
      </c>
      <c r="P4265">
        <f>TEXT(B4265,"yyyy-mm")</f>
        <v/>
      </c>
      <c r="Q4265">
        <f>IF(O4265&gt;=3000,"Large","Small")</f>
        <v/>
      </c>
      <c r="R4265">
        <f>INDEX(Products!$F$2:$F$49,MATCH(J4265,Products!$A$2:$A$49,0))</f>
        <v/>
      </c>
      <c r="S4265">
        <f>WEEKDAY(B4265,2)</f>
        <v/>
      </c>
    </row>
    <row r="4266">
      <c r="A4266" t="n">
        <v>511718</v>
      </c>
      <c r="B4266" s="6" t="n">
        <v>46015</v>
      </c>
      <c r="C4266" t="n">
        <v>13590</v>
      </c>
      <c r="D4266" t="inlineStr">
        <is>
          <t>Chennai</t>
        </is>
      </c>
      <c r="E4266" t="inlineStr">
        <is>
          <t>South</t>
        </is>
      </c>
      <c r="F4266" t="inlineStr">
        <is>
          <t>Referral</t>
        </is>
      </c>
      <c r="G4266" t="inlineStr">
        <is>
          <t>Mobile App</t>
        </is>
      </c>
      <c r="H4266" t="inlineStr">
        <is>
          <t>UPI</t>
        </is>
      </c>
      <c r="I4266" t="inlineStr">
        <is>
          <t>Delivered</t>
        </is>
      </c>
      <c r="J4266" t="n">
        <v>108</v>
      </c>
      <c r="K4266" t="n">
        <v>1</v>
      </c>
      <c r="L4266" t="n">
        <v>419</v>
      </c>
      <c r="M4266" t="n">
        <v>0</v>
      </c>
      <c r="N4266">
        <f>VLOOKUP(J4266,Products!$A$2:$C$49,3,FALSE)</f>
        <v/>
      </c>
      <c r="O4266">
        <f>K4266*L4266-M4266</f>
        <v/>
      </c>
      <c r="P4266">
        <f>TEXT(B4266,"yyyy-mm")</f>
        <v/>
      </c>
      <c r="Q4266">
        <f>IF(O4266&gt;=3000,"Large","Small")</f>
        <v/>
      </c>
      <c r="R4266">
        <f>INDEX(Products!$F$2:$F$49,MATCH(J4266,Products!$A$2:$A$49,0))</f>
        <v/>
      </c>
      <c r="S4266">
        <f>WEEKDAY(B4266,2)</f>
        <v/>
      </c>
    </row>
    <row r="4267">
      <c r="A4267" t="n">
        <v>511718</v>
      </c>
      <c r="B4267" s="6" t="n">
        <v>46015</v>
      </c>
      <c r="C4267" t="n">
        <v>13590</v>
      </c>
      <c r="D4267" t="inlineStr">
        <is>
          <t>Chennai</t>
        </is>
      </c>
      <c r="E4267" t="inlineStr">
        <is>
          <t>South</t>
        </is>
      </c>
      <c r="F4267" t="inlineStr">
        <is>
          <t>Referral</t>
        </is>
      </c>
      <c r="G4267" t="inlineStr">
        <is>
          <t>Mobile App</t>
        </is>
      </c>
      <c r="H4267" t="inlineStr">
        <is>
          <t>UPI</t>
        </is>
      </c>
      <c r="I4267" t="inlineStr">
        <is>
          <t>Delivered</t>
        </is>
      </c>
      <c r="J4267" t="n">
        <v>102</v>
      </c>
      <c r="K4267" t="n">
        <v>1</v>
      </c>
      <c r="L4267" t="n">
        <v>3674</v>
      </c>
      <c r="M4267" t="n">
        <v>0</v>
      </c>
      <c r="N4267">
        <f>VLOOKUP(J4267,Products!$A$2:$C$49,3,FALSE)</f>
        <v/>
      </c>
      <c r="O4267">
        <f>K4267*L4267-M4267</f>
        <v/>
      </c>
      <c r="P4267">
        <f>TEXT(B4267,"yyyy-mm")</f>
        <v/>
      </c>
      <c r="Q4267">
        <f>IF(O4267&gt;=3000,"Large","Small")</f>
        <v/>
      </c>
      <c r="R4267">
        <f>INDEX(Products!$F$2:$F$49,MATCH(J4267,Products!$A$2:$A$49,0))</f>
        <v/>
      </c>
      <c r="S4267">
        <f>WEEKDAY(B4267,2)</f>
        <v/>
      </c>
    </row>
    <row r="4268">
      <c r="A4268" t="n">
        <v>511719</v>
      </c>
      <c r="B4268" s="6" t="n">
        <v>46015</v>
      </c>
      <c r="C4268" t="n">
        <v>12008</v>
      </c>
      <c r="D4268" t="inlineStr">
        <is>
          <t>Gurugram</t>
        </is>
      </c>
      <c r="E4268" t="inlineStr">
        <is>
          <t>North</t>
        </is>
      </c>
      <c r="F4268" t="inlineStr">
        <is>
          <t>Referral</t>
        </is>
      </c>
      <c r="G4268" t="inlineStr">
        <is>
          <t>Desktop</t>
        </is>
      </c>
      <c r="H4268" t="inlineStr">
        <is>
          <t>Debit Card</t>
        </is>
      </c>
      <c r="I4268" t="inlineStr">
        <is>
          <t>Delivered</t>
        </is>
      </c>
      <c r="J4268" t="n">
        <v>104</v>
      </c>
      <c r="K4268" t="n">
        <v>1</v>
      </c>
      <c r="L4268" t="n">
        <v>5249</v>
      </c>
      <c r="M4268" t="n">
        <v>262.45</v>
      </c>
      <c r="N4268">
        <f>VLOOKUP(J4268,Products!$A$2:$C$49,3,FALSE)</f>
        <v/>
      </c>
      <c r="O4268">
        <f>K4268*L4268-M4268</f>
        <v/>
      </c>
      <c r="P4268">
        <f>TEXT(B4268,"yyyy-mm")</f>
        <v/>
      </c>
      <c r="Q4268">
        <f>IF(O4268&gt;=3000,"Large","Small")</f>
        <v/>
      </c>
      <c r="R4268">
        <f>INDEX(Products!$F$2:$F$49,MATCH(J4268,Products!$A$2:$A$49,0))</f>
        <v/>
      </c>
      <c r="S4268">
        <f>WEEKDAY(B4268,2)</f>
        <v/>
      </c>
    </row>
    <row r="4269">
      <c r="A4269" t="n">
        <v>511720</v>
      </c>
      <c r="B4269" s="6" t="n">
        <v>46015</v>
      </c>
      <c r="C4269" t="n">
        <v>16957</v>
      </c>
      <c r="D4269" t="inlineStr">
        <is>
          <t>Lucknow</t>
        </is>
      </c>
      <c r="E4269" t="inlineStr">
        <is>
          <t>North</t>
        </is>
      </c>
      <c r="F4269" t="inlineStr">
        <is>
          <t>Organic Search</t>
        </is>
      </c>
      <c r="G4269" t="inlineStr">
        <is>
          <t>Mobile App</t>
        </is>
      </c>
      <c r="H4269" t="inlineStr">
        <is>
          <t>UPI</t>
        </is>
      </c>
      <c r="I4269" t="inlineStr">
        <is>
          <t>Delivered</t>
        </is>
      </c>
      <c r="J4269" t="n">
        <v>102</v>
      </c>
      <c r="K4269" t="n">
        <v>1</v>
      </c>
      <c r="L4269" t="n">
        <v>3674</v>
      </c>
      <c r="M4269" t="n">
        <v>0</v>
      </c>
      <c r="N4269">
        <f>VLOOKUP(J4269,Products!$A$2:$C$49,3,FALSE)</f>
        <v/>
      </c>
      <c r="O4269">
        <f>K4269*L4269-M4269</f>
        <v/>
      </c>
      <c r="P4269">
        <f>TEXT(B4269,"yyyy-mm")</f>
        <v/>
      </c>
      <c r="Q4269">
        <f>IF(O4269&gt;=3000,"Large","Small")</f>
        <v/>
      </c>
      <c r="R4269">
        <f>INDEX(Products!$F$2:$F$49,MATCH(J4269,Products!$A$2:$A$49,0))</f>
        <v/>
      </c>
      <c r="S4269">
        <f>WEEKDAY(B4269,2)</f>
        <v/>
      </c>
    </row>
    <row r="4270">
      <c r="A4270" t="n">
        <v>511720</v>
      </c>
      <c r="B4270" s="6" t="n">
        <v>46015</v>
      </c>
      <c r="C4270" t="n">
        <v>16957</v>
      </c>
      <c r="D4270" t="inlineStr">
        <is>
          <t>Lucknow</t>
        </is>
      </c>
      <c r="E4270" t="inlineStr">
        <is>
          <t>North</t>
        </is>
      </c>
      <c r="F4270" t="inlineStr">
        <is>
          <t>Organic Search</t>
        </is>
      </c>
      <c r="G4270" t="inlineStr">
        <is>
          <t>Mobile App</t>
        </is>
      </c>
      <c r="H4270" t="inlineStr">
        <is>
          <t>UPI</t>
        </is>
      </c>
      <c r="I4270" t="inlineStr">
        <is>
          <t>Delivered</t>
        </is>
      </c>
      <c r="J4270" t="n">
        <v>117</v>
      </c>
      <c r="K4270" t="n">
        <v>1</v>
      </c>
      <c r="L4270" t="n">
        <v>3149</v>
      </c>
      <c r="M4270" t="n">
        <v>0</v>
      </c>
      <c r="N4270">
        <f>VLOOKUP(J4270,Products!$A$2:$C$49,3,FALSE)</f>
        <v/>
      </c>
      <c r="O4270">
        <f>K4270*L4270-M4270</f>
        <v/>
      </c>
      <c r="P4270">
        <f>TEXT(B4270,"yyyy-mm")</f>
        <v/>
      </c>
      <c r="Q4270">
        <f>IF(O4270&gt;=3000,"Large","Small")</f>
        <v/>
      </c>
      <c r="R4270">
        <f>INDEX(Products!$F$2:$F$49,MATCH(J4270,Products!$A$2:$A$49,0))</f>
        <v/>
      </c>
      <c r="S4270">
        <f>WEEKDAY(B4270,2)</f>
        <v/>
      </c>
    </row>
    <row r="4271">
      <c r="A4271" t="n">
        <v>511721</v>
      </c>
      <c r="B4271" s="6" t="n">
        <v>46015</v>
      </c>
      <c r="C4271" t="n">
        <v>16754</v>
      </c>
      <c r="D4271" t="inlineStr">
        <is>
          <t>Bengaluru</t>
        </is>
      </c>
      <c r="E4271" t="inlineStr">
        <is>
          <t>South</t>
        </is>
      </c>
      <c r="F4271" t="inlineStr">
        <is>
          <t>Organic Search</t>
        </is>
      </c>
      <c r="G4271" t="inlineStr">
        <is>
          <t>Mobile App</t>
        </is>
      </c>
      <c r="H4271" t="inlineStr">
        <is>
          <t>Cash on Delivery</t>
        </is>
      </c>
      <c r="I4271" t="inlineStr">
        <is>
          <t>Delivered</t>
        </is>
      </c>
      <c r="J4271" t="n">
        <v>115</v>
      </c>
      <c r="K4271" t="n">
        <v>1</v>
      </c>
      <c r="L4271" t="n">
        <v>4199</v>
      </c>
      <c r="M4271" t="n">
        <v>0</v>
      </c>
      <c r="N4271">
        <f>VLOOKUP(J4271,Products!$A$2:$C$49,3,FALSE)</f>
        <v/>
      </c>
      <c r="O4271">
        <f>K4271*L4271-M4271</f>
        <v/>
      </c>
      <c r="P4271">
        <f>TEXT(B4271,"yyyy-mm")</f>
        <v/>
      </c>
      <c r="Q4271">
        <f>IF(O4271&gt;=3000,"Large","Small")</f>
        <v/>
      </c>
      <c r="R4271">
        <f>INDEX(Products!$F$2:$F$49,MATCH(J4271,Products!$A$2:$A$49,0))</f>
        <v/>
      </c>
      <c r="S4271">
        <f>WEEKDAY(B4271,2)</f>
        <v/>
      </c>
    </row>
    <row r="4272">
      <c r="A4272" t="n">
        <v>511722</v>
      </c>
      <c r="B4272" s="6" t="n">
        <v>46015</v>
      </c>
      <c r="C4272" t="n">
        <v>15153</v>
      </c>
      <c r="D4272" t="inlineStr">
        <is>
          <t>Bengaluru</t>
        </is>
      </c>
      <c r="E4272" t="inlineStr">
        <is>
          <t>South</t>
        </is>
      </c>
      <c r="F4272" t="inlineStr">
        <is>
          <t>Organic Search</t>
        </is>
      </c>
      <c r="G4272" t="inlineStr">
        <is>
          <t>Mobile App</t>
        </is>
      </c>
      <c r="H4272" t="inlineStr">
        <is>
          <t>UPI</t>
        </is>
      </c>
      <c r="I4272" t="inlineStr">
        <is>
          <t>Delivered</t>
        </is>
      </c>
      <c r="J4272" t="n">
        <v>134</v>
      </c>
      <c r="K4272" t="n">
        <v>1</v>
      </c>
      <c r="L4272" t="n">
        <v>209</v>
      </c>
      <c r="M4272" t="n">
        <v>0</v>
      </c>
      <c r="N4272">
        <f>VLOOKUP(J4272,Products!$A$2:$C$49,3,FALSE)</f>
        <v/>
      </c>
      <c r="O4272">
        <f>K4272*L4272-M4272</f>
        <v/>
      </c>
      <c r="P4272">
        <f>TEXT(B4272,"yyyy-mm")</f>
        <v/>
      </c>
      <c r="Q4272">
        <f>IF(O4272&gt;=3000,"Large","Small")</f>
        <v/>
      </c>
      <c r="R4272">
        <f>INDEX(Products!$F$2:$F$49,MATCH(J4272,Products!$A$2:$A$49,0))</f>
        <v/>
      </c>
      <c r="S4272">
        <f>WEEKDAY(B4272,2)</f>
        <v/>
      </c>
    </row>
    <row r="4273">
      <c r="A4273" t="n">
        <v>511723</v>
      </c>
      <c r="B4273" s="6" t="n">
        <v>46016</v>
      </c>
      <c r="C4273" t="n">
        <v>16953</v>
      </c>
      <c r="D4273" t="inlineStr">
        <is>
          <t>Delhi</t>
        </is>
      </c>
      <c r="E4273" t="inlineStr">
        <is>
          <t>North</t>
        </is>
      </c>
      <c r="F4273" t="inlineStr">
        <is>
          <t>Organic Search</t>
        </is>
      </c>
      <c r="G4273" t="inlineStr">
        <is>
          <t>Mobile App</t>
        </is>
      </c>
      <c r="H4273" t="inlineStr">
        <is>
          <t>Debit Card</t>
        </is>
      </c>
      <c r="I4273" t="inlineStr">
        <is>
          <t>Delivered</t>
        </is>
      </c>
      <c r="J4273" t="n">
        <v>132</v>
      </c>
      <c r="K4273" t="n">
        <v>1</v>
      </c>
      <c r="L4273" t="n">
        <v>471</v>
      </c>
      <c r="M4273" t="n">
        <v>0</v>
      </c>
      <c r="N4273">
        <f>VLOOKUP(J4273,Products!$A$2:$C$49,3,FALSE)</f>
        <v/>
      </c>
      <c r="O4273">
        <f>K4273*L4273-M4273</f>
        <v/>
      </c>
      <c r="P4273">
        <f>TEXT(B4273,"yyyy-mm")</f>
        <v/>
      </c>
      <c r="Q4273">
        <f>IF(O4273&gt;=3000,"Large","Small")</f>
        <v/>
      </c>
      <c r="R4273">
        <f>INDEX(Products!$F$2:$F$49,MATCH(J4273,Products!$A$2:$A$49,0))</f>
        <v/>
      </c>
      <c r="S4273">
        <f>WEEKDAY(B4273,2)</f>
        <v/>
      </c>
    </row>
    <row r="4274">
      <c r="A4274" t="n">
        <v>511724</v>
      </c>
      <c r="B4274" s="6" t="n">
        <v>46016</v>
      </c>
      <c r="C4274" t="n">
        <v>17845</v>
      </c>
      <c r="D4274" t="inlineStr">
        <is>
          <t>Gurugram</t>
        </is>
      </c>
      <c r="E4274" t="inlineStr">
        <is>
          <t>North</t>
        </is>
      </c>
      <c r="F4274" t="inlineStr">
        <is>
          <t>Paid Search</t>
        </is>
      </c>
      <c r="G4274" t="inlineStr">
        <is>
          <t>Mobile App</t>
        </is>
      </c>
      <c r="H4274" t="inlineStr">
        <is>
          <t>Debit Card</t>
        </is>
      </c>
      <c r="I4274" t="inlineStr">
        <is>
          <t>Delivered</t>
        </is>
      </c>
      <c r="J4274" t="n">
        <v>119</v>
      </c>
      <c r="K4274" t="n">
        <v>1</v>
      </c>
      <c r="L4274" t="n">
        <v>2309</v>
      </c>
      <c r="M4274" t="n">
        <v>0</v>
      </c>
      <c r="N4274">
        <f>VLOOKUP(J4274,Products!$A$2:$C$49,3,FALSE)</f>
        <v/>
      </c>
      <c r="O4274">
        <f>K4274*L4274-M4274</f>
        <v/>
      </c>
      <c r="P4274">
        <f>TEXT(B4274,"yyyy-mm")</f>
        <v/>
      </c>
      <c r="Q4274">
        <f>IF(O4274&gt;=3000,"Large","Small")</f>
        <v/>
      </c>
      <c r="R4274">
        <f>INDEX(Products!$F$2:$F$49,MATCH(J4274,Products!$A$2:$A$49,0))</f>
        <v/>
      </c>
      <c r="S4274">
        <f>WEEKDAY(B4274,2)</f>
        <v/>
      </c>
    </row>
    <row r="4275">
      <c r="A4275" t="n">
        <v>511724</v>
      </c>
      <c r="B4275" s="6" t="n">
        <v>46016</v>
      </c>
      <c r="C4275" t="n">
        <v>17845</v>
      </c>
      <c r="D4275" t="inlineStr">
        <is>
          <t>Gurugram</t>
        </is>
      </c>
      <c r="E4275" t="inlineStr">
        <is>
          <t>North</t>
        </is>
      </c>
      <c r="F4275" t="inlineStr">
        <is>
          <t>Paid Search</t>
        </is>
      </c>
      <c r="G4275" t="inlineStr">
        <is>
          <t>Mobile App</t>
        </is>
      </c>
      <c r="H4275" t="inlineStr">
        <is>
          <t>Debit Card</t>
        </is>
      </c>
      <c r="I4275" t="inlineStr">
        <is>
          <t>Delivered</t>
        </is>
      </c>
      <c r="J4275" t="n">
        <v>117</v>
      </c>
      <c r="K4275" t="n">
        <v>2</v>
      </c>
      <c r="L4275" t="n">
        <v>3149</v>
      </c>
      <c r="M4275" t="n">
        <v>0</v>
      </c>
      <c r="N4275">
        <f>VLOOKUP(J4275,Products!$A$2:$C$49,3,FALSE)</f>
        <v/>
      </c>
      <c r="O4275">
        <f>K4275*L4275-M4275</f>
        <v/>
      </c>
      <c r="P4275">
        <f>TEXT(B4275,"yyyy-mm")</f>
        <v/>
      </c>
      <c r="Q4275">
        <f>IF(O4275&gt;=3000,"Large","Small")</f>
        <v/>
      </c>
      <c r="R4275">
        <f>INDEX(Products!$F$2:$F$49,MATCH(J4275,Products!$A$2:$A$49,0))</f>
        <v/>
      </c>
      <c r="S4275">
        <f>WEEKDAY(B4275,2)</f>
        <v/>
      </c>
    </row>
    <row r="4276">
      <c r="A4276" t="n">
        <v>511724</v>
      </c>
      <c r="B4276" s="6" t="n">
        <v>46016</v>
      </c>
      <c r="C4276" t="n">
        <v>17845</v>
      </c>
      <c r="D4276" t="inlineStr">
        <is>
          <t>Gurugram</t>
        </is>
      </c>
      <c r="E4276" t="inlineStr">
        <is>
          <t>North</t>
        </is>
      </c>
      <c r="F4276" t="inlineStr">
        <is>
          <t>Paid Search</t>
        </is>
      </c>
      <c r="G4276" t="inlineStr">
        <is>
          <t>Mobile App</t>
        </is>
      </c>
      <c r="H4276" t="inlineStr">
        <is>
          <t>Debit Card</t>
        </is>
      </c>
      <c r="I4276" t="inlineStr">
        <is>
          <t>Delivered</t>
        </is>
      </c>
      <c r="J4276" t="n">
        <v>123</v>
      </c>
      <c r="K4276" t="n">
        <v>1</v>
      </c>
      <c r="L4276" t="n">
        <v>3464</v>
      </c>
      <c r="M4276" t="n">
        <v>0</v>
      </c>
      <c r="N4276">
        <f>VLOOKUP(J4276,Products!$A$2:$C$49,3,FALSE)</f>
        <v/>
      </c>
      <c r="O4276">
        <f>K4276*L4276-M4276</f>
        <v/>
      </c>
      <c r="P4276">
        <f>TEXT(B4276,"yyyy-mm")</f>
        <v/>
      </c>
      <c r="Q4276">
        <f>IF(O4276&gt;=3000,"Large","Small")</f>
        <v/>
      </c>
      <c r="R4276">
        <f>INDEX(Products!$F$2:$F$49,MATCH(J4276,Products!$A$2:$A$49,0))</f>
        <v/>
      </c>
      <c r="S4276">
        <f>WEEKDAY(B4276,2)</f>
        <v/>
      </c>
    </row>
    <row r="4277">
      <c r="A4277" t="n">
        <v>511725</v>
      </c>
      <c r="B4277" s="6" t="n">
        <v>46016</v>
      </c>
      <c r="C4277" t="n">
        <v>17902</v>
      </c>
      <c r="D4277" t="inlineStr">
        <is>
          <t>Jaipur</t>
        </is>
      </c>
      <c r="E4277" t="inlineStr">
        <is>
          <t>North</t>
        </is>
      </c>
      <c r="F4277" t="inlineStr">
        <is>
          <t>Organic Search</t>
        </is>
      </c>
      <c r="G4277" t="inlineStr">
        <is>
          <t>Mobile Web</t>
        </is>
      </c>
      <c r="H4277" t="inlineStr">
        <is>
          <t>UPI</t>
        </is>
      </c>
      <c r="I4277" t="inlineStr">
        <is>
          <t>Delivered</t>
        </is>
      </c>
      <c r="J4277" t="n">
        <v>123</v>
      </c>
      <c r="K4277" t="n">
        <v>2</v>
      </c>
      <c r="L4277" t="n">
        <v>3464</v>
      </c>
      <c r="M4277" t="n">
        <v>0</v>
      </c>
      <c r="N4277">
        <f>VLOOKUP(J4277,Products!$A$2:$C$49,3,FALSE)</f>
        <v/>
      </c>
      <c r="O4277">
        <f>K4277*L4277-M4277</f>
        <v/>
      </c>
      <c r="P4277">
        <f>TEXT(B4277,"yyyy-mm")</f>
        <v/>
      </c>
      <c r="Q4277">
        <f>IF(O4277&gt;=3000,"Large","Small")</f>
        <v/>
      </c>
      <c r="R4277">
        <f>INDEX(Products!$F$2:$F$49,MATCH(J4277,Products!$A$2:$A$49,0))</f>
        <v/>
      </c>
      <c r="S4277">
        <f>WEEKDAY(B4277,2)</f>
        <v/>
      </c>
    </row>
    <row r="4278">
      <c r="A4278" t="n">
        <v>511725</v>
      </c>
      <c r="B4278" s="6" t="n">
        <v>46016</v>
      </c>
      <c r="C4278" t="n">
        <v>17902</v>
      </c>
      <c r="D4278" t="inlineStr">
        <is>
          <t>Jaipur</t>
        </is>
      </c>
      <c r="E4278" t="inlineStr">
        <is>
          <t>North</t>
        </is>
      </c>
      <c r="F4278" t="inlineStr">
        <is>
          <t>Organic Search</t>
        </is>
      </c>
      <c r="G4278" t="inlineStr">
        <is>
          <t>Mobile Web</t>
        </is>
      </c>
      <c r="H4278" t="inlineStr">
        <is>
          <t>UPI</t>
        </is>
      </c>
      <c r="I4278" t="inlineStr">
        <is>
          <t>Delivered</t>
        </is>
      </c>
      <c r="J4278" t="n">
        <v>133</v>
      </c>
      <c r="K4278" t="n">
        <v>1</v>
      </c>
      <c r="L4278" t="n">
        <v>419</v>
      </c>
      <c r="M4278" t="n">
        <v>0</v>
      </c>
      <c r="N4278">
        <f>VLOOKUP(J4278,Products!$A$2:$C$49,3,FALSE)</f>
        <v/>
      </c>
      <c r="O4278">
        <f>K4278*L4278-M4278</f>
        <v/>
      </c>
      <c r="P4278">
        <f>TEXT(B4278,"yyyy-mm")</f>
        <v/>
      </c>
      <c r="Q4278">
        <f>IF(O4278&gt;=3000,"Large","Small")</f>
        <v/>
      </c>
      <c r="R4278">
        <f>INDEX(Products!$F$2:$F$49,MATCH(J4278,Products!$A$2:$A$49,0))</f>
        <v/>
      </c>
      <c r="S4278">
        <f>WEEKDAY(B4278,2)</f>
        <v/>
      </c>
    </row>
    <row r="4279">
      <c r="A4279" t="n">
        <v>511726</v>
      </c>
      <c r="B4279" s="6" t="n">
        <v>46016</v>
      </c>
      <c r="C4279" t="n">
        <v>17557</v>
      </c>
      <c r="D4279" t="inlineStr">
        <is>
          <t>Hyderabad</t>
        </is>
      </c>
      <c r="E4279" t="inlineStr">
        <is>
          <t>South</t>
        </is>
      </c>
      <c r="F4279" t="inlineStr">
        <is>
          <t>Organic Search</t>
        </is>
      </c>
      <c r="G4279" t="inlineStr">
        <is>
          <t>Mobile Web</t>
        </is>
      </c>
      <c r="H4279" t="inlineStr">
        <is>
          <t>Cash on Delivery</t>
        </is>
      </c>
      <c r="I4279" t="inlineStr">
        <is>
          <t>Returned</t>
        </is>
      </c>
      <c r="J4279" t="n">
        <v>120</v>
      </c>
      <c r="K4279" t="n">
        <v>1</v>
      </c>
      <c r="L4279" t="n">
        <v>734</v>
      </c>
      <c r="M4279" t="n">
        <v>36.7</v>
      </c>
      <c r="N4279">
        <f>VLOOKUP(J4279,Products!$A$2:$C$49,3,FALSE)</f>
        <v/>
      </c>
      <c r="O4279">
        <f>K4279*L4279-M4279</f>
        <v/>
      </c>
      <c r="P4279">
        <f>TEXT(B4279,"yyyy-mm")</f>
        <v/>
      </c>
      <c r="Q4279">
        <f>IF(O4279&gt;=3000,"Large","Small")</f>
        <v/>
      </c>
      <c r="R4279">
        <f>INDEX(Products!$F$2:$F$49,MATCH(J4279,Products!$A$2:$A$49,0))</f>
        <v/>
      </c>
      <c r="S4279">
        <f>WEEKDAY(B4279,2)</f>
        <v/>
      </c>
    </row>
    <row r="4280">
      <c r="A4280" t="n">
        <v>511727</v>
      </c>
      <c r="B4280" s="6" t="n">
        <v>46016</v>
      </c>
      <c r="C4280" t="n">
        <v>17916</v>
      </c>
      <c r="D4280" t="inlineStr">
        <is>
          <t>Delhi</t>
        </is>
      </c>
      <c r="E4280" t="inlineStr">
        <is>
          <t>North</t>
        </is>
      </c>
      <c r="F4280" t="inlineStr">
        <is>
          <t>Organic Search</t>
        </is>
      </c>
      <c r="G4280" t="inlineStr">
        <is>
          <t>Mobile Web</t>
        </is>
      </c>
      <c r="H4280" t="inlineStr">
        <is>
          <t>Credit Card</t>
        </is>
      </c>
      <c r="I4280" t="inlineStr">
        <is>
          <t>Delivered</t>
        </is>
      </c>
      <c r="J4280" t="n">
        <v>148</v>
      </c>
      <c r="K4280" t="n">
        <v>1</v>
      </c>
      <c r="L4280" t="n">
        <v>734</v>
      </c>
      <c r="M4280" t="n">
        <v>0</v>
      </c>
      <c r="N4280">
        <f>VLOOKUP(J4280,Products!$A$2:$C$49,3,FALSE)</f>
        <v/>
      </c>
      <c r="O4280">
        <f>K4280*L4280-M4280</f>
        <v/>
      </c>
      <c r="P4280">
        <f>TEXT(B4280,"yyyy-mm")</f>
        <v/>
      </c>
      <c r="Q4280">
        <f>IF(O4280&gt;=3000,"Large","Small")</f>
        <v/>
      </c>
      <c r="R4280">
        <f>INDEX(Products!$F$2:$F$49,MATCH(J4280,Products!$A$2:$A$49,0))</f>
        <v/>
      </c>
      <c r="S4280">
        <f>WEEKDAY(B4280,2)</f>
        <v/>
      </c>
    </row>
    <row r="4281">
      <c r="A4281" t="n">
        <v>511727</v>
      </c>
      <c r="B4281" s="6" t="n">
        <v>46016</v>
      </c>
      <c r="C4281" t="n">
        <v>17916</v>
      </c>
      <c r="D4281" t="inlineStr">
        <is>
          <t>Delhi</t>
        </is>
      </c>
      <c r="E4281" t="inlineStr">
        <is>
          <t>North</t>
        </is>
      </c>
      <c r="F4281" t="inlineStr">
        <is>
          <t>Organic Search</t>
        </is>
      </c>
      <c r="G4281" t="inlineStr">
        <is>
          <t>Mobile Web</t>
        </is>
      </c>
      <c r="H4281" t="inlineStr">
        <is>
          <t>Credit Card</t>
        </is>
      </c>
      <c r="I4281" t="inlineStr">
        <is>
          <t>Delivered</t>
        </is>
      </c>
      <c r="J4281" t="n">
        <v>141</v>
      </c>
      <c r="K4281" t="n">
        <v>1</v>
      </c>
      <c r="L4281" t="n">
        <v>261</v>
      </c>
      <c r="M4281" t="n">
        <v>0</v>
      </c>
      <c r="N4281">
        <f>VLOOKUP(J4281,Products!$A$2:$C$49,3,FALSE)</f>
        <v/>
      </c>
      <c r="O4281">
        <f>K4281*L4281-M4281</f>
        <v/>
      </c>
      <c r="P4281">
        <f>TEXT(B4281,"yyyy-mm")</f>
        <v/>
      </c>
      <c r="Q4281">
        <f>IF(O4281&gt;=3000,"Large","Small")</f>
        <v/>
      </c>
      <c r="R4281">
        <f>INDEX(Products!$F$2:$F$49,MATCH(J4281,Products!$A$2:$A$49,0))</f>
        <v/>
      </c>
      <c r="S4281">
        <f>WEEKDAY(B4281,2)</f>
        <v/>
      </c>
    </row>
    <row r="4282">
      <c r="A4282" t="n">
        <v>511728</v>
      </c>
      <c r="B4282" s="6" t="n">
        <v>46016</v>
      </c>
      <c r="C4282" t="n">
        <v>15053</v>
      </c>
      <c r="D4282" t="inlineStr">
        <is>
          <t>Mumbai</t>
        </is>
      </c>
      <c r="E4282" t="inlineStr">
        <is>
          <t>West</t>
        </is>
      </c>
      <c r="F4282" t="inlineStr">
        <is>
          <t>Organic Search</t>
        </is>
      </c>
      <c r="G4282" t="inlineStr">
        <is>
          <t>Mobile App</t>
        </is>
      </c>
      <c r="H4282" t="inlineStr">
        <is>
          <t>Credit Card</t>
        </is>
      </c>
      <c r="I4282" t="inlineStr">
        <is>
          <t>Delivered</t>
        </is>
      </c>
      <c r="J4282" t="n">
        <v>107</v>
      </c>
      <c r="K4282" t="n">
        <v>3</v>
      </c>
      <c r="L4282" t="n">
        <v>1259</v>
      </c>
      <c r="M4282" t="n">
        <v>0</v>
      </c>
      <c r="N4282">
        <f>VLOOKUP(J4282,Products!$A$2:$C$49,3,FALSE)</f>
        <v/>
      </c>
      <c r="O4282">
        <f>K4282*L4282-M4282</f>
        <v/>
      </c>
      <c r="P4282">
        <f>TEXT(B4282,"yyyy-mm")</f>
        <v/>
      </c>
      <c r="Q4282">
        <f>IF(O4282&gt;=3000,"Large","Small")</f>
        <v/>
      </c>
      <c r="R4282">
        <f>INDEX(Products!$F$2:$F$49,MATCH(J4282,Products!$A$2:$A$49,0))</f>
        <v/>
      </c>
      <c r="S4282">
        <f>WEEKDAY(B4282,2)</f>
        <v/>
      </c>
    </row>
    <row r="4283">
      <c r="A4283" t="n">
        <v>511729</v>
      </c>
      <c r="B4283" s="6" t="n">
        <v>46016</v>
      </c>
      <c r="C4283" t="n">
        <v>17636</v>
      </c>
      <c r="D4283" t="inlineStr">
        <is>
          <t>Delhi</t>
        </is>
      </c>
      <c r="E4283" t="inlineStr">
        <is>
          <t>North</t>
        </is>
      </c>
      <c r="F4283" t="inlineStr">
        <is>
          <t>Paid Search</t>
        </is>
      </c>
      <c r="G4283" t="inlineStr">
        <is>
          <t>Mobile App</t>
        </is>
      </c>
      <c r="H4283" t="inlineStr">
        <is>
          <t>Cash on Delivery</t>
        </is>
      </c>
      <c r="I4283" t="inlineStr">
        <is>
          <t>Delivered</t>
        </is>
      </c>
      <c r="J4283" t="n">
        <v>118</v>
      </c>
      <c r="K4283" t="n">
        <v>1</v>
      </c>
      <c r="L4283" t="n">
        <v>944</v>
      </c>
      <c r="M4283" t="n">
        <v>0</v>
      </c>
      <c r="N4283">
        <f>VLOOKUP(J4283,Products!$A$2:$C$49,3,FALSE)</f>
        <v/>
      </c>
      <c r="O4283">
        <f>K4283*L4283-M4283</f>
        <v/>
      </c>
      <c r="P4283">
        <f>TEXT(B4283,"yyyy-mm")</f>
        <v/>
      </c>
      <c r="Q4283">
        <f>IF(O4283&gt;=3000,"Large","Small")</f>
        <v/>
      </c>
      <c r="R4283">
        <f>INDEX(Products!$F$2:$F$49,MATCH(J4283,Products!$A$2:$A$49,0))</f>
        <v/>
      </c>
      <c r="S4283">
        <f>WEEKDAY(B4283,2)</f>
        <v/>
      </c>
    </row>
    <row r="4284">
      <c r="A4284" t="n">
        <v>511729</v>
      </c>
      <c r="B4284" s="6" t="n">
        <v>46016</v>
      </c>
      <c r="C4284" t="n">
        <v>17636</v>
      </c>
      <c r="D4284" t="inlineStr">
        <is>
          <t>Delhi</t>
        </is>
      </c>
      <c r="E4284" t="inlineStr">
        <is>
          <t>North</t>
        </is>
      </c>
      <c r="F4284" t="inlineStr">
        <is>
          <t>Paid Search</t>
        </is>
      </c>
      <c r="G4284" t="inlineStr">
        <is>
          <t>Mobile App</t>
        </is>
      </c>
      <c r="H4284" t="inlineStr">
        <is>
          <t>Cash on Delivery</t>
        </is>
      </c>
      <c r="I4284" t="inlineStr">
        <is>
          <t>Delivered</t>
        </is>
      </c>
      <c r="J4284" t="n">
        <v>148</v>
      </c>
      <c r="K4284" t="n">
        <v>3</v>
      </c>
      <c r="L4284" t="n">
        <v>734</v>
      </c>
      <c r="M4284" t="n">
        <v>0</v>
      </c>
      <c r="N4284">
        <f>VLOOKUP(J4284,Products!$A$2:$C$49,3,FALSE)</f>
        <v/>
      </c>
      <c r="O4284">
        <f>K4284*L4284-M4284</f>
        <v/>
      </c>
      <c r="P4284">
        <f>TEXT(B4284,"yyyy-mm")</f>
        <v/>
      </c>
      <c r="Q4284">
        <f>IF(O4284&gt;=3000,"Large","Small")</f>
        <v/>
      </c>
      <c r="R4284">
        <f>INDEX(Products!$F$2:$F$49,MATCH(J4284,Products!$A$2:$A$49,0))</f>
        <v/>
      </c>
      <c r="S4284">
        <f>WEEKDAY(B4284,2)</f>
        <v/>
      </c>
    </row>
    <row r="4285">
      <c r="A4285" t="n">
        <v>511730</v>
      </c>
      <c r="B4285" s="6" t="n">
        <v>46016</v>
      </c>
      <c r="C4285" t="n">
        <v>17877</v>
      </c>
      <c r="D4285" t="inlineStr">
        <is>
          <t>Noida</t>
        </is>
      </c>
      <c r="E4285" t="inlineStr">
        <is>
          <t>North</t>
        </is>
      </c>
      <c r="F4285" t="inlineStr">
        <is>
          <t>Affiliate</t>
        </is>
      </c>
      <c r="G4285" t="inlineStr">
        <is>
          <t>Mobile App</t>
        </is>
      </c>
      <c r="H4285" t="inlineStr">
        <is>
          <t>UPI</t>
        </is>
      </c>
      <c r="I4285" t="inlineStr">
        <is>
          <t>Delivered</t>
        </is>
      </c>
      <c r="J4285" t="n">
        <v>126</v>
      </c>
      <c r="K4285" t="n">
        <v>1</v>
      </c>
      <c r="L4285" t="n">
        <v>471</v>
      </c>
      <c r="M4285" t="n">
        <v>0</v>
      </c>
      <c r="N4285">
        <f>VLOOKUP(J4285,Products!$A$2:$C$49,3,FALSE)</f>
        <v/>
      </c>
      <c r="O4285">
        <f>K4285*L4285-M4285</f>
        <v/>
      </c>
      <c r="P4285">
        <f>TEXT(B4285,"yyyy-mm")</f>
        <v/>
      </c>
      <c r="Q4285">
        <f>IF(O4285&gt;=3000,"Large","Small")</f>
        <v/>
      </c>
      <c r="R4285">
        <f>INDEX(Products!$F$2:$F$49,MATCH(J4285,Products!$A$2:$A$49,0))</f>
        <v/>
      </c>
      <c r="S4285">
        <f>WEEKDAY(B4285,2)</f>
        <v/>
      </c>
    </row>
    <row r="4286">
      <c r="A4286" t="n">
        <v>511730</v>
      </c>
      <c r="B4286" s="6" t="n">
        <v>46016</v>
      </c>
      <c r="C4286" t="n">
        <v>17877</v>
      </c>
      <c r="D4286" t="inlineStr">
        <is>
          <t>Noida</t>
        </is>
      </c>
      <c r="E4286" t="inlineStr">
        <is>
          <t>North</t>
        </is>
      </c>
      <c r="F4286" t="inlineStr">
        <is>
          <t>Affiliate</t>
        </is>
      </c>
      <c r="G4286" t="inlineStr">
        <is>
          <t>Mobile App</t>
        </is>
      </c>
      <c r="H4286" t="inlineStr">
        <is>
          <t>UPI</t>
        </is>
      </c>
      <c r="I4286" t="inlineStr">
        <is>
          <t>Delivered</t>
        </is>
      </c>
      <c r="J4286" t="n">
        <v>122</v>
      </c>
      <c r="K4286" t="n">
        <v>1</v>
      </c>
      <c r="L4286" t="n">
        <v>1994</v>
      </c>
      <c r="M4286" t="n">
        <v>0</v>
      </c>
      <c r="N4286">
        <f>VLOOKUP(J4286,Products!$A$2:$C$49,3,FALSE)</f>
        <v/>
      </c>
      <c r="O4286">
        <f>K4286*L4286-M4286</f>
        <v/>
      </c>
      <c r="P4286">
        <f>TEXT(B4286,"yyyy-mm")</f>
        <v/>
      </c>
      <c r="Q4286">
        <f>IF(O4286&gt;=3000,"Large","Small")</f>
        <v/>
      </c>
      <c r="R4286">
        <f>INDEX(Products!$F$2:$F$49,MATCH(J4286,Products!$A$2:$A$49,0))</f>
        <v/>
      </c>
      <c r="S4286">
        <f>WEEKDAY(B4286,2)</f>
        <v/>
      </c>
    </row>
    <row r="4287">
      <c r="A4287" t="n">
        <v>511731</v>
      </c>
      <c r="B4287" s="6" t="n">
        <v>46016</v>
      </c>
      <c r="C4287" t="n">
        <v>16643</v>
      </c>
      <c r="D4287" t="inlineStr">
        <is>
          <t>Delhi</t>
        </is>
      </c>
      <c r="E4287" t="inlineStr">
        <is>
          <t>North</t>
        </is>
      </c>
      <c r="F4287" t="inlineStr">
        <is>
          <t>Referral</t>
        </is>
      </c>
      <c r="G4287" t="inlineStr">
        <is>
          <t>Mobile App</t>
        </is>
      </c>
      <c r="H4287" t="inlineStr">
        <is>
          <t>UPI</t>
        </is>
      </c>
      <c r="I4287" t="inlineStr">
        <is>
          <t>Cancelled</t>
        </is>
      </c>
      <c r="J4287" t="n">
        <v>144</v>
      </c>
      <c r="K4287" t="n">
        <v>1</v>
      </c>
      <c r="L4287" t="n">
        <v>3149</v>
      </c>
      <c r="M4287" t="n">
        <v>0</v>
      </c>
      <c r="N4287">
        <f>VLOOKUP(J4287,Products!$A$2:$C$49,3,FALSE)</f>
        <v/>
      </c>
      <c r="O4287">
        <f>K4287*L4287-M4287</f>
        <v/>
      </c>
      <c r="P4287">
        <f>TEXT(B4287,"yyyy-mm")</f>
        <v/>
      </c>
      <c r="Q4287">
        <f>IF(O4287&gt;=3000,"Large","Small")</f>
        <v/>
      </c>
      <c r="R4287">
        <f>INDEX(Products!$F$2:$F$49,MATCH(J4287,Products!$A$2:$A$49,0))</f>
        <v/>
      </c>
      <c r="S4287">
        <f>WEEKDAY(B4287,2)</f>
        <v/>
      </c>
    </row>
    <row r="4288">
      <c r="A4288" t="n">
        <v>511732</v>
      </c>
      <c r="B4288" s="6" t="n">
        <v>46016</v>
      </c>
      <c r="C4288" t="n">
        <v>17870</v>
      </c>
      <c r="D4288" t="inlineStr">
        <is>
          <t>Hyderabad</t>
        </is>
      </c>
      <c r="E4288" t="inlineStr">
        <is>
          <t>South</t>
        </is>
      </c>
      <c r="F4288" t="inlineStr">
        <is>
          <t>Affiliate</t>
        </is>
      </c>
      <c r="G4288" t="inlineStr">
        <is>
          <t>Mobile App</t>
        </is>
      </c>
      <c r="H4288" t="inlineStr">
        <is>
          <t>UPI</t>
        </is>
      </c>
      <c r="I4288" t="inlineStr">
        <is>
          <t>Delivered</t>
        </is>
      </c>
      <c r="J4288" t="n">
        <v>148</v>
      </c>
      <c r="K4288" t="n">
        <v>1</v>
      </c>
      <c r="L4288" t="n">
        <v>734</v>
      </c>
      <c r="M4288" t="n">
        <v>0</v>
      </c>
      <c r="N4288">
        <f>VLOOKUP(J4288,Products!$A$2:$C$49,3,FALSE)</f>
        <v/>
      </c>
      <c r="O4288">
        <f>K4288*L4288-M4288</f>
        <v/>
      </c>
      <c r="P4288">
        <f>TEXT(B4288,"yyyy-mm")</f>
        <v/>
      </c>
      <c r="Q4288">
        <f>IF(O4288&gt;=3000,"Large","Small")</f>
        <v/>
      </c>
      <c r="R4288">
        <f>INDEX(Products!$F$2:$F$49,MATCH(J4288,Products!$A$2:$A$49,0))</f>
        <v/>
      </c>
      <c r="S4288">
        <f>WEEKDAY(B4288,2)</f>
        <v/>
      </c>
    </row>
    <row r="4289">
      <c r="A4289" t="n">
        <v>511733</v>
      </c>
      <c r="B4289" s="6" t="n">
        <v>46016</v>
      </c>
      <c r="C4289" t="n">
        <v>14782</v>
      </c>
      <c r="D4289" t="inlineStr">
        <is>
          <t>Delhi</t>
        </is>
      </c>
      <c r="E4289" t="inlineStr">
        <is>
          <t>North</t>
        </is>
      </c>
      <c r="F4289" t="inlineStr">
        <is>
          <t>Referral</t>
        </is>
      </c>
      <c r="G4289" t="inlineStr">
        <is>
          <t>Mobile App</t>
        </is>
      </c>
      <c r="H4289" t="inlineStr">
        <is>
          <t>Credit Card</t>
        </is>
      </c>
      <c r="I4289" t="inlineStr">
        <is>
          <t>Delivered</t>
        </is>
      </c>
      <c r="J4289" t="n">
        <v>111</v>
      </c>
      <c r="K4289" t="n">
        <v>1</v>
      </c>
      <c r="L4289" t="n">
        <v>524</v>
      </c>
      <c r="M4289" t="n">
        <v>0</v>
      </c>
      <c r="N4289">
        <f>VLOOKUP(J4289,Products!$A$2:$C$49,3,FALSE)</f>
        <v/>
      </c>
      <c r="O4289">
        <f>K4289*L4289-M4289</f>
        <v/>
      </c>
      <c r="P4289">
        <f>TEXT(B4289,"yyyy-mm")</f>
        <v/>
      </c>
      <c r="Q4289">
        <f>IF(O4289&gt;=3000,"Large","Small")</f>
        <v/>
      </c>
      <c r="R4289">
        <f>INDEX(Products!$F$2:$F$49,MATCH(J4289,Products!$A$2:$A$49,0))</f>
        <v/>
      </c>
      <c r="S4289">
        <f>WEEKDAY(B4289,2)</f>
        <v/>
      </c>
    </row>
    <row r="4290">
      <c r="A4290" t="n">
        <v>511734</v>
      </c>
      <c r="B4290" s="6" t="n">
        <v>46016</v>
      </c>
      <c r="C4290" t="n">
        <v>17884</v>
      </c>
      <c r="D4290" t="inlineStr">
        <is>
          <t>Kolkata</t>
        </is>
      </c>
      <c r="E4290" t="inlineStr">
        <is>
          <t>East</t>
        </is>
      </c>
      <c r="F4290" t="inlineStr">
        <is>
          <t>Paid Search</t>
        </is>
      </c>
      <c r="G4290" t="inlineStr">
        <is>
          <t>Mobile App</t>
        </is>
      </c>
      <c r="H4290" t="inlineStr">
        <is>
          <t>UPI</t>
        </is>
      </c>
      <c r="I4290" t="inlineStr">
        <is>
          <t>Delivered</t>
        </is>
      </c>
      <c r="J4290" t="n">
        <v>110</v>
      </c>
      <c r="K4290" t="n">
        <v>2</v>
      </c>
      <c r="L4290" t="n">
        <v>839</v>
      </c>
      <c r="M4290" t="n">
        <v>251.7</v>
      </c>
      <c r="N4290">
        <f>VLOOKUP(J4290,Products!$A$2:$C$49,3,FALSE)</f>
        <v/>
      </c>
      <c r="O4290">
        <f>K4290*L4290-M4290</f>
        <v/>
      </c>
      <c r="P4290">
        <f>TEXT(B4290,"yyyy-mm")</f>
        <v/>
      </c>
      <c r="Q4290">
        <f>IF(O4290&gt;=3000,"Large","Small")</f>
        <v/>
      </c>
      <c r="R4290">
        <f>INDEX(Products!$F$2:$F$49,MATCH(J4290,Products!$A$2:$A$49,0))</f>
        <v/>
      </c>
      <c r="S4290">
        <f>WEEKDAY(B4290,2)</f>
        <v/>
      </c>
    </row>
    <row r="4291">
      <c r="A4291" t="n">
        <v>511735</v>
      </c>
      <c r="B4291" s="6" t="n">
        <v>46016</v>
      </c>
      <c r="C4291" t="n">
        <v>17850</v>
      </c>
      <c r="D4291" t="inlineStr">
        <is>
          <t>Delhi</t>
        </is>
      </c>
      <c r="E4291" t="inlineStr">
        <is>
          <t>North</t>
        </is>
      </c>
      <c r="F4291" t="inlineStr">
        <is>
          <t>Paid Search</t>
        </is>
      </c>
      <c r="G4291" t="inlineStr">
        <is>
          <t>Desktop</t>
        </is>
      </c>
      <c r="H4291" t="inlineStr">
        <is>
          <t>UPI</t>
        </is>
      </c>
      <c r="I4291" t="inlineStr">
        <is>
          <t>Returned</t>
        </is>
      </c>
      <c r="J4291" t="n">
        <v>106</v>
      </c>
      <c r="K4291" t="n">
        <v>1</v>
      </c>
      <c r="L4291" t="n">
        <v>1574</v>
      </c>
      <c r="M4291" t="n">
        <v>236.1</v>
      </c>
      <c r="N4291">
        <f>VLOOKUP(J4291,Products!$A$2:$C$49,3,FALSE)</f>
        <v/>
      </c>
      <c r="O4291">
        <f>K4291*L4291-M4291</f>
        <v/>
      </c>
      <c r="P4291">
        <f>TEXT(B4291,"yyyy-mm")</f>
        <v/>
      </c>
      <c r="Q4291">
        <f>IF(O4291&gt;=3000,"Large","Small")</f>
        <v/>
      </c>
      <c r="R4291">
        <f>INDEX(Products!$F$2:$F$49,MATCH(J4291,Products!$A$2:$A$49,0))</f>
        <v/>
      </c>
      <c r="S4291">
        <f>WEEKDAY(B4291,2)</f>
        <v/>
      </c>
    </row>
    <row r="4292">
      <c r="A4292" t="n">
        <v>511735</v>
      </c>
      <c r="B4292" s="6" t="n">
        <v>46016</v>
      </c>
      <c r="C4292" t="n">
        <v>17850</v>
      </c>
      <c r="D4292" t="inlineStr">
        <is>
          <t>Delhi</t>
        </is>
      </c>
      <c r="E4292" t="inlineStr">
        <is>
          <t>North</t>
        </is>
      </c>
      <c r="F4292" t="inlineStr">
        <is>
          <t>Paid Search</t>
        </is>
      </c>
      <c r="G4292" t="inlineStr">
        <is>
          <t>Desktop</t>
        </is>
      </c>
      <c r="H4292" t="inlineStr">
        <is>
          <t>UPI</t>
        </is>
      </c>
      <c r="I4292" t="inlineStr">
        <is>
          <t>Returned</t>
        </is>
      </c>
      <c r="J4292" t="n">
        <v>115</v>
      </c>
      <c r="K4292" t="n">
        <v>2</v>
      </c>
      <c r="L4292" t="n">
        <v>4199</v>
      </c>
      <c r="M4292" t="n">
        <v>1259.7</v>
      </c>
      <c r="N4292">
        <f>VLOOKUP(J4292,Products!$A$2:$C$49,3,FALSE)</f>
        <v/>
      </c>
      <c r="O4292">
        <f>K4292*L4292-M4292</f>
        <v/>
      </c>
      <c r="P4292">
        <f>TEXT(B4292,"yyyy-mm")</f>
        <v/>
      </c>
      <c r="Q4292">
        <f>IF(O4292&gt;=3000,"Large","Small")</f>
        <v/>
      </c>
      <c r="R4292">
        <f>INDEX(Products!$F$2:$F$49,MATCH(J4292,Products!$A$2:$A$49,0))</f>
        <v/>
      </c>
      <c r="S4292">
        <f>WEEKDAY(B4292,2)</f>
        <v/>
      </c>
    </row>
    <row r="4293">
      <c r="A4293" t="n">
        <v>511736</v>
      </c>
      <c r="B4293" s="6" t="n">
        <v>46016</v>
      </c>
      <c r="C4293" t="n">
        <v>16604</v>
      </c>
      <c r="D4293" t="inlineStr">
        <is>
          <t>Bengaluru</t>
        </is>
      </c>
      <c r="E4293" t="inlineStr">
        <is>
          <t>South</t>
        </is>
      </c>
      <c r="F4293" t="inlineStr">
        <is>
          <t>Paid Search</t>
        </is>
      </c>
      <c r="G4293" t="inlineStr">
        <is>
          <t>Mobile App</t>
        </is>
      </c>
      <c r="H4293" t="inlineStr">
        <is>
          <t>Credit Card</t>
        </is>
      </c>
      <c r="I4293" t="inlineStr">
        <is>
          <t>Delivered</t>
        </is>
      </c>
      <c r="J4293" t="n">
        <v>110</v>
      </c>
      <c r="K4293" t="n">
        <v>1</v>
      </c>
      <c r="L4293" t="n">
        <v>839</v>
      </c>
      <c r="M4293" t="n">
        <v>0</v>
      </c>
      <c r="N4293">
        <f>VLOOKUP(J4293,Products!$A$2:$C$49,3,FALSE)</f>
        <v/>
      </c>
      <c r="O4293">
        <f>K4293*L4293-M4293</f>
        <v/>
      </c>
      <c r="P4293">
        <f>TEXT(B4293,"yyyy-mm")</f>
        <v/>
      </c>
      <c r="Q4293">
        <f>IF(O4293&gt;=3000,"Large","Small")</f>
        <v/>
      </c>
      <c r="R4293">
        <f>INDEX(Products!$F$2:$F$49,MATCH(J4293,Products!$A$2:$A$49,0))</f>
        <v/>
      </c>
      <c r="S4293">
        <f>WEEKDAY(B4293,2)</f>
        <v/>
      </c>
    </row>
    <row r="4294">
      <c r="A4294" t="n">
        <v>511737</v>
      </c>
      <c r="B4294" s="6" t="n">
        <v>46016</v>
      </c>
      <c r="C4294" t="n">
        <v>17914</v>
      </c>
      <c r="D4294" t="inlineStr">
        <is>
          <t>Mumbai</t>
        </is>
      </c>
      <c r="E4294" t="inlineStr">
        <is>
          <t>West</t>
        </is>
      </c>
      <c r="F4294" t="inlineStr">
        <is>
          <t>Organic Search</t>
        </is>
      </c>
      <c r="G4294" t="inlineStr">
        <is>
          <t>Mobile App</t>
        </is>
      </c>
      <c r="H4294" t="inlineStr">
        <is>
          <t>UPI</t>
        </is>
      </c>
      <c r="I4294" t="inlineStr">
        <is>
          <t>Returned</t>
        </is>
      </c>
      <c r="J4294" t="n">
        <v>148</v>
      </c>
      <c r="K4294" t="n">
        <v>1</v>
      </c>
      <c r="L4294" t="n">
        <v>734</v>
      </c>
      <c r="M4294" t="n">
        <v>110.1</v>
      </c>
      <c r="N4294">
        <f>VLOOKUP(J4294,Products!$A$2:$C$49,3,FALSE)</f>
        <v/>
      </c>
      <c r="O4294">
        <f>K4294*L4294-M4294</f>
        <v/>
      </c>
      <c r="P4294">
        <f>TEXT(B4294,"yyyy-mm")</f>
        <v/>
      </c>
      <c r="Q4294">
        <f>IF(O4294&gt;=3000,"Large","Small")</f>
        <v/>
      </c>
      <c r="R4294">
        <f>INDEX(Products!$F$2:$F$49,MATCH(J4294,Products!$A$2:$A$49,0))</f>
        <v/>
      </c>
      <c r="S4294">
        <f>WEEKDAY(B4294,2)</f>
        <v/>
      </c>
    </row>
    <row r="4295">
      <c r="A4295" t="n">
        <v>511737</v>
      </c>
      <c r="B4295" s="6" t="n">
        <v>46016</v>
      </c>
      <c r="C4295" t="n">
        <v>17914</v>
      </c>
      <c r="D4295" t="inlineStr">
        <is>
          <t>Mumbai</t>
        </is>
      </c>
      <c r="E4295" t="inlineStr">
        <is>
          <t>West</t>
        </is>
      </c>
      <c r="F4295" t="inlineStr">
        <is>
          <t>Organic Search</t>
        </is>
      </c>
      <c r="G4295" t="inlineStr">
        <is>
          <t>Mobile App</t>
        </is>
      </c>
      <c r="H4295" t="inlineStr">
        <is>
          <t>UPI</t>
        </is>
      </c>
      <c r="I4295" t="inlineStr">
        <is>
          <t>Returned</t>
        </is>
      </c>
      <c r="J4295" t="n">
        <v>115</v>
      </c>
      <c r="K4295" t="n">
        <v>2</v>
      </c>
      <c r="L4295" t="n">
        <v>4199</v>
      </c>
      <c r="M4295" t="n">
        <v>1259.7</v>
      </c>
      <c r="N4295">
        <f>VLOOKUP(J4295,Products!$A$2:$C$49,3,FALSE)</f>
        <v/>
      </c>
      <c r="O4295">
        <f>K4295*L4295-M4295</f>
        <v/>
      </c>
      <c r="P4295">
        <f>TEXT(B4295,"yyyy-mm")</f>
        <v/>
      </c>
      <c r="Q4295">
        <f>IF(O4295&gt;=3000,"Large","Small")</f>
        <v/>
      </c>
      <c r="R4295">
        <f>INDEX(Products!$F$2:$F$49,MATCH(J4295,Products!$A$2:$A$49,0))</f>
        <v/>
      </c>
      <c r="S4295">
        <f>WEEKDAY(B4295,2)</f>
        <v/>
      </c>
    </row>
    <row r="4296">
      <c r="A4296" t="n">
        <v>511737</v>
      </c>
      <c r="B4296" s="6" t="n">
        <v>46016</v>
      </c>
      <c r="C4296" t="n">
        <v>17914</v>
      </c>
      <c r="D4296" t="inlineStr">
        <is>
          <t>Mumbai</t>
        </is>
      </c>
      <c r="E4296" t="inlineStr">
        <is>
          <t>West</t>
        </is>
      </c>
      <c r="F4296" t="inlineStr">
        <is>
          <t>Organic Search</t>
        </is>
      </c>
      <c r="G4296" t="inlineStr">
        <is>
          <t>Mobile App</t>
        </is>
      </c>
      <c r="H4296" t="inlineStr">
        <is>
          <t>UPI</t>
        </is>
      </c>
      <c r="I4296" t="inlineStr">
        <is>
          <t>Returned</t>
        </is>
      </c>
      <c r="J4296" t="n">
        <v>108</v>
      </c>
      <c r="K4296" t="n">
        <v>1</v>
      </c>
      <c r="L4296" t="n">
        <v>419</v>
      </c>
      <c r="M4296" t="n">
        <v>62.85</v>
      </c>
      <c r="N4296">
        <f>VLOOKUP(J4296,Products!$A$2:$C$49,3,FALSE)</f>
        <v/>
      </c>
      <c r="O4296">
        <f>K4296*L4296-M4296</f>
        <v/>
      </c>
      <c r="P4296">
        <f>TEXT(B4296,"yyyy-mm")</f>
        <v/>
      </c>
      <c r="Q4296">
        <f>IF(O4296&gt;=3000,"Large","Small")</f>
        <v/>
      </c>
      <c r="R4296">
        <f>INDEX(Products!$F$2:$F$49,MATCH(J4296,Products!$A$2:$A$49,0))</f>
        <v/>
      </c>
      <c r="S4296">
        <f>WEEKDAY(B4296,2)</f>
        <v/>
      </c>
    </row>
    <row r="4297">
      <c r="A4297" t="n">
        <v>511738</v>
      </c>
      <c r="B4297" s="6" t="n">
        <v>46016</v>
      </c>
      <c r="C4297" t="n">
        <v>14555</v>
      </c>
      <c r="D4297" t="inlineStr">
        <is>
          <t>Chennai</t>
        </is>
      </c>
      <c r="E4297" t="inlineStr">
        <is>
          <t>South</t>
        </is>
      </c>
      <c r="F4297" t="inlineStr">
        <is>
          <t>Paid Social</t>
        </is>
      </c>
      <c r="G4297" t="inlineStr">
        <is>
          <t>Mobile Web</t>
        </is>
      </c>
      <c r="H4297" t="inlineStr">
        <is>
          <t>Credit Card</t>
        </is>
      </c>
      <c r="I4297" t="inlineStr">
        <is>
          <t>Delivered</t>
        </is>
      </c>
      <c r="J4297" t="n">
        <v>122</v>
      </c>
      <c r="K4297" t="n">
        <v>1</v>
      </c>
      <c r="L4297" t="n">
        <v>1994</v>
      </c>
      <c r="M4297" t="n">
        <v>0</v>
      </c>
      <c r="N4297">
        <f>VLOOKUP(J4297,Products!$A$2:$C$49,3,FALSE)</f>
        <v/>
      </c>
      <c r="O4297">
        <f>K4297*L4297-M4297</f>
        <v/>
      </c>
      <c r="P4297">
        <f>TEXT(B4297,"yyyy-mm")</f>
        <v/>
      </c>
      <c r="Q4297">
        <f>IF(O4297&gt;=3000,"Large","Small")</f>
        <v/>
      </c>
      <c r="R4297">
        <f>INDEX(Products!$F$2:$F$49,MATCH(J4297,Products!$A$2:$A$49,0))</f>
        <v/>
      </c>
      <c r="S4297">
        <f>WEEKDAY(B4297,2)</f>
        <v/>
      </c>
    </row>
    <row r="4298">
      <c r="A4298" t="n">
        <v>511738</v>
      </c>
      <c r="B4298" s="6" t="n">
        <v>46016</v>
      </c>
      <c r="C4298" t="n">
        <v>14555</v>
      </c>
      <c r="D4298" t="inlineStr">
        <is>
          <t>Chennai</t>
        </is>
      </c>
      <c r="E4298" t="inlineStr">
        <is>
          <t>South</t>
        </is>
      </c>
      <c r="F4298" t="inlineStr">
        <is>
          <t>Paid Social</t>
        </is>
      </c>
      <c r="G4298" t="inlineStr">
        <is>
          <t>Mobile Web</t>
        </is>
      </c>
      <c r="H4298" t="inlineStr">
        <is>
          <t>Credit Card</t>
        </is>
      </c>
      <c r="I4298" t="inlineStr">
        <is>
          <t>Delivered</t>
        </is>
      </c>
      <c r="J4298" t="n">
        <v>112</v>
      </c>
      <c r="K4298" t="n">
        <v>1</v>
      </c>
      <c r="L4298" t="n">
        <v>1574</v>
      </c>
      <c r="M4298" t="n">
        <v>0</v>
      </c>
      <c r="N4298">
        <f>VLOOKUP(J4298,Products!$A$2:$C$49,3,FALSE)</f>
        <v/>
      </c>
      <c r="O4298">
        <f>K4298*L4298-M4298</f>
        <v/>
      </c>
      <c r="P4298">
        <f>TEXT(B4298,"yyyy-mm")</f>
        <v/>
      </c>
      <c r="Q4298">
        <f>IF(O4298&gt;=3000,"Large","Small")</f>
        <v/>
      </c>
      <c r="R4298">
        <f>INDEX(Products!$F$2:$F$49,MATCH(J4298,Products!$A$2:$A$49,0))</f>
        <v/>
      </c>
      <c r="S4298">
        <f>WEEKDAY(B4298,2)</f>
        <v/>
      </c>
    </row>
    <row r="4299">
      <c r="A4299" t="n">
        <v>511738</v>
      </c>
      <c r="B4299" s="6" t="n">
        <v>46016</v>
      </c>
      <c r="C4299" t="n">
        <v>14555</v>
      </c>
      <c r="D4299" t="inlineStr">
        <is>
          <t>Chennai</t>
        </is>
      </c>
      <c r="E4299" t="inlineStr">
        <is>
          <t>South</t>
        </is>
      </c>
      <c r="F4299" t="inlineStr">
        <is>
          <t>Paid Social</t>
        </is>
      </c>
      <c r="G4299" t="inlineStr">
        <is>
          <t>Mobile Web</t>
        </is>
      </c>
      <c r="H4299" t="inlineStr">
        <is>
          <t>Credit Card</t>
        </is>
      </c>
      <c r="I4299" t="inlineStr">
        <is>
          <t>Delivered</t>
        </is>
      </c>
      <c r="J4299" t="n">
        <v>102</v>
      </c>
      <c r="K4299" t="n">
        <v>2</v>
      </c>
      <c r="L4299" t="n">
        <v>3674</v>
      </c>
      <c r="M4299" t="n">
        <v>0</v>
      </c>
      <c r="N4299">
        <f>VLOOKUP(J4299,Products!$A$2:$C$49,3,FALSE)</f>
        <v/>
      </c>
      <c r="O4299">
        <f>K4299*L4299-M4299</f>
        <v/>
      </c>
      <c r="P4299">
        <f>TEXT(B4299,"yyyy-mm")</f>
        <v/>
      </c>
      <c r="Q4299">
        <f>IF(O4299&gt;=3000,"Large","Small")</f>
        <v/>
      </c>
      <c r="R4299">
        <f>INDEX(Products!$F$2:$F$49,MATCH(J4299,Products!$A$2:$A$49,0))</f>
        <v/>
      </c>
      <c r="S4299">
        <f>WEEKDAY(B4299,2)</f>
        <v/>
      </c>
    </row>
    <row r="4300">
      <c r="A4300" t="n">
        <v>511739</v>
      </c>
      <c r="B4300" s="6" t="n">
        <v>46016</v>
      </c>
      <c r="C4300" t="n">
        <v>17223</v>
      </c>
      <c r="D4300" t="inlineStr">
        <is>
          <t>Kolkata</t>
        </is>
      </c>
      <c r="E4300" t="inlineStr">
        <is>
          <t>East</t>
        </is>
      </c>
      <c r="F4300" t="inlineStr">
        <is>
          <t>Paid Search</t>
        </is>
      </c>
      <c r="G4300" t="inlineStr">
        <is>
          <t>Mobile Web</t>
        </is>
      </c>
      <c r="H4300" t="inlineStr">
        <is>
          <t>Credit Card</t>
        </is>
      </c>
      <c r="I4300" t="inlineStr">
        <is>
          <t>Delivered</t>
        </is>
      </c>
      <c r="J4300" t="n">
        <v>104</v>
      </c>
      <c r="K4300" t="n">
        <v>1</v>
      </c>
      <c r="L4300" t="n">
        <v>5249</v>
      </c>
      <c r="M4300" t="n">
        <v>0</v>
      </c>
      <c r="N4300">
        <f>VLOOKUP(J4300,Products!$A$2:$C$49,3,FALSE)</f>
        <v/>
      </c>
      <c r="O4300">
        <f>K4300*L4300-M4300</f>
        <v/>
      </c>
      <c r="P4300">
        <f>TEXT(B4300,"yyyy-mm")</f>
        <v/>
      </c>
      <c r="Q4300">
        <f>IF(O4300&gt;=3000,"Large","Small")</f>
        <v/>
      </c>
      <c r="R4300">
        <f>INDEX(Products!$F$2:$F$49,MATCH(J4300,Products!$A$2:$A$49,0))</f>
        <v/>
      </c>
      <c r="S4300">
        <f>WEEKDAY(B4300,2)</f>
        <v/>
      </c>
    </row>
    <row r="4301">
      <c r="A4301" t="n">
        <v>511740</v>
      </c>
      <c r="B4301" s="6" t="n">
        <v>46016</v>
      </c>
      <c r="C4301" t="n">
        <v>16318</v>
      </c>
      <c r="D4301" t="inlineStr">
        <is>
          <t>Pune</t>
        </is>
      </c>
      <c r="E4301" t="inlineStr">
        <is>
          <t>West</t>
        </is>
      </c>
      <c r="F4301" t="inlineStr">
        <is>
          <t>Referral</t>
        </is>
      </c>
      <c r="G4301" t="inlineStr">
        <is>
          <t>Mobile App</t>
        </is>
      </c>
      <c r="H4301" t="inlineStr">
        <is>
          <t>UPI</t>
        </is>
      </c>
      <c r="I4301" t="inlineStr">
        <is>
          <t>Delivered</t>
        </is>
      </c>
      <c r="J4301" t="n">
        <v>106</v>
      </c>
      <c r="K4301" t="n">
        <v>1</v>
      </c>
      <c r="L4301" t="n">
        <v>1574</v>
      </c>
      <c r="M4301" t="n">
        <v>0</v>
      </c>
      <c r="N4301">
        <f>VLOOKUP(J4301,Products!$A$2:$C$49,3,FALSE)</f>
        <v/>
      </c>
      <c r="O4301">
        <f>K4301*L4301-M4301</f>
        <v/>
      </c>
      <c r="P4301">
        <f>TEXT(B4301,"yyyy-mm")</f>
        <v/>
      </c>
      <c r="Q4301">
        <f>IF(O4301&gt;=3000,"Large","Small")</f>
        <v/>
      </c>
      <c r="R4301">
        <f>INDEX(Products!$F$2:$F$49,MATCH(J4301,Products!$A$2:$A$49,0))</f>
        <v/>
      </c>
      <c r="S4301">
        <f>WEEKDAY(B4301,2)</f>
        <v/>
      </c>
    </row>
    <row r="4302">
      <c r="A4302" t="n">
        <v>511740</v>
      </c>
      <c r="B4302" s="6" t="n">
        <v>46016</v>
      </c>
      <c r="C4302" t="n">
        <v>16318</v>
      </c>
      <c r="D4302" t="inlineStr">
        <is>
          <t>Pune</t>
        </is>
      </c>
      <c r="E4302" t="inlineStr">
        <is>
          <t>West</t>
        </is>
      </c>
      <c r="F4302" t="inlineStr">
        <is>
          <t>Referral</t>
        </is>
      </c>
      <c r="G4302" t="inlineStr">
        <is>
          <t>Mobile App</t>
        </is>
      </c>
      <c r="H4302" t="inlineStr">
        <is>
          <t>UPI</t>
        </is>
      </c>
      <c r="I4302" t="inlineStr">
        <is>
          <t>Delivered</t>
        </is>
      </c>
      <c r="J4302" t="n">
        <v>112</v>
      </c>
      <c r="K4302" t="n">
        <v>1</v>
      </c>
      <c r="L4302" t="n">
        <v>1574</v>
      </c>
      <c r="M4302" t="n">
        <v>0</v>
      </c>
      <c r="N4302">
        <f>VLOOKUP(J4302,Products!$A$2:$C$49,3,FALSE)</f>
        <v/>
      </c>
      <c r="O4302">
        <f>K4302*L4302-M4302</f>
        <v/>
      </c>
      <c r="P4302">
        <f>TEXT(B4302,"yyyy-mm")</f>
        <v/>
      </c>
      <c r="Q4302">
        <f>IF(O4302&gt;=3000,"Large","Small")</f>
        <v/>
      </c>
      <c r="R4302">
        <f>INDEX(Products!$F$2:$F$49,MATCH(J4302,Products!$A$2:$A$49,0))</f>
        <v/>
      </c>
      <c r="S4302">
        <f>WEEKDAY(B4302,2)</f>
        <v/>
      </c>
    </row>
    <row r="4303">
      <c r="A4303" t="n">
        <v>511741</v>
      </c>
      <c r="B4303" s="6" t="n">
        <v>46016</v>
      </c>
      <c r="C4303" t="n">
        <v>14440</v>
      </c>
      <c r="D4303" t="inlineStr">
        <is>
          <t>Kolkata</t>
        </is>
      </c>
      <c r="E4303" t="inlineStr">
        <is>
          <t>East</t>
        </is>
      </c>
      <c r="F4303" t="inlineStr">
        <is>
          <t>Organic Search</t>
        </is>
      </c>
      <c r="G4303" t="inlineStr">
        <is>
          <t>Desktop</t>
        </is>
      </c>
      <c r="H4303" t="inlineStr">
        <is>
          <t>UPI</t>
        </is>
      </c>
      <c r="I4303" t="inlineStr">
        <is>
          <t>Delivered</t>
        </is>
      </c>
      <c r="J4303" t="n">
        <v>107</v>
      </c>
      <c r="K4303" t="n">
        <v>2</v>
      </c>
      <c r="L4303" t="n">
        <v>1259</v>
      </c>
      <c r="M4303" t="n">
        <v>125.9</v>
      </c>
      <c r="N4303">
        <f>VLOOKUP(J4303,Products!$A$2:$C$49,3,FALSE)</f>
        <v/>
      </c>
      <c r="O4303">
        <f>K4303*L4303-M4303</f>
        <v/>
      </c>
      <c r="P4303">
        <f>TEXT(B4303,"yyyy-mm")</f>
        <v/>
      </c>
      <c r="Q4303">
        <f>IF(O4303&gt;=3000,"Large","Small")</f>
        <v/>
      </c>
      <c r="R4303">
        <f>INDEX(Products!$F$2:$F$49,MATCH(J4303,Products!$A$2:$A$49,0))</f>
        <v/>
      </c>
      <c r="S4303">
        <f>WEEKDAY(B4303,2)</f>
        <v/>
      </c>
    </row>
    <row r="4304">
      <c r="A4304" t="n">
        <v>511741</v>
      </c>
      <c r="B4304" s="6" t="n">
        <v>46016</v>
      </c>
      <c r="C4304" t="n">
        <v>14440</v>
      </c>
      <c r="D4304" t="inlineStr">
        <is>
          <t>Kolkata</t>
        </is>
      </c>
      <c r="E4304" t="inlineStr">
        <is>
          <t>East</t>
        </is>
      </c>
      <c r="F4304" t="inlineStr">
        <is>
          <t>Organic Search</t>
        </is>
      </c>
      <c r="G4304" t="inlineStr">
        <is>
          <t>Desktop</t>
        </is>
      </c>
      <c r="H4304" t="inlineStr">
        <is>
          <t>UPI</t>
        </is>
      </c>
      <c r="I4304" t="inlineStr">
        <is>
          <t>Delivered</t>
        </is>
      </c>
      <c r="J4304" t="n">
        <v>117</v>
      </c>
      <c r="K4304" t="n">
        <v>1</v>
      </c>
      <c r="L4304" t="n">
        <v>3149</v>
      </c>
      <c r="M4304" t="n">
        <v>157.45</v>
      </c>
      <c r="N4304">
        <f>VLOOKUP(J4304,Products!$A$2:$C$49,3,FALSE)</f>
        <v/>
      </c>
      <c r="O4304">
        <f>K4304*L4304-M4304</f>
        <v/>
      </c>
      <c r="P4304">
        <f>TEXT(B4304,"yyyy-mm")</f>
        <v/>
      </c>
      <c r="Q4304">
        <f>IF(O4304&gt;=3000,"Large","Small")</f>
        <v/>
      </c>
      <c r="R4304">
        <f>INDEX(Products!$F$2:$F$49,MATCH(J4304,Products!$A$2:$A$49,0))</f>
        <v/>
      </c>
      <c r="S4304">
        <f>WEEKDAY(B4304,2)</f>
        <v/>
      </c>
    </row>
    <row r="4305">
      <c r="A4305" t="n">
        <v>511742</v>
      </c>
      <c r="B4305" s="6" t="n">
        <v>46016</v>
      </c>
      <c r="C4305" t="n">
        <v>14189</v>
      </c>
      <c r="D4305" t="inlineStr">
        <is>
          <t>Pune</t>
        </is>
      </c>
      <c r="E4305" t="inlineStr">
        <is>
          <t>West</t>
        </is>
      </c>
      <c r="F4305" t="inlineStr">
        <is>
          <t>Referral</t>
        </is>
      </c>
      <c r="G4305" t="inlineStr">
        <is>
          <t>Mobile App</t>
        </is>
      </c>
      <c r="H4305" t="inlineStr">
        <is>
          <t>Cash on Delivery</t>
        </is>
      </c>
      <c r="I4305" t="inlineStr">
        <is>
          <t>Delivered</t>
        </is>
      </c>
      <c r="J4305" t="n">
        <v>147</v>
      </c>
      <c r="K4305" t="n">
        <v>1</v>
      </c>
      <c r="L4305" t="n">
        <v>1364</v>
      </c>
      <c r="M4305" t="n">
        <v>0</v>
      </c>
      <c r="N4305">
        <f>VLOOKUP(J4305,Products!$A$2:$C$49,3,FALSE)</f>
        <v/>
      </c>
      <c r="O4305">
        <f>K4305*L4305-M4305</f>
        <v/>
      </c>
      <c r="P4305">
        <f>TEXT(B4305,"yyyy-mm")</f>
        <v/>
      </c>
      <c r="Q4305">
        <f>IF(O4305&gt;=3000,"Large","Small")</f>
        <v/>
      </c>
      <c r="R4305">
        <f>INDEX(Products!$F$2:$F$49,MATCH(J4305,Products!$A$2:$A$49,0))</f>
        <v/>
      </c>
      <c r="S4305">
        <f>WEEKDAY(B4305,2)</f>
        <v/>
      </c>
    </row>
    <row r="4306">
      <c r="A4306" t="n">
        <v>511742</v>
      </c>
      <c r="B4306" s="6" t="n">
        <v>46016</v>
      </c>
      <c r="C4306" t="n">
        <v>14189</v>
      </c>
      <c r="D4306" t="inlineStr">
        <is>
          <t>Pune</t>
        </is>
      </c>
      <c r="E4306" t="inlineStr">
        <is>
          <t>West</t>
        </is>
      </c>
      <c r="F4306" t="inlineStr">
        <is>
          <t>Referral</t>
        </is>
      </c>
      <c r="G4306" t="inlineStr">
        <is>
          <t>Mobile App</t>
        </is>
      </c>
      <c r="H4306" t="inlineStr">
        <is>
          <t>Cash on Delivery</t>
        </is>
      </c>
      <c r="I4306" t="inlineStr">
        <is>
          <t>Delivered</t>
        </is>
      </c>
      <c r="J4306" t="n">
        <v>123</v>
      </c>
      <c r="K4306" t="n">
        <v>1</v>
      </c>
      <c r="L4306" t="n">
        <v>3464</v>
      </c>
      <c r="M4306" t="n">
        <v>0</v>
      </c>
      <c r="N4306">
        <f>VLOOKUP(J4306,Products!$A$2:$C$49,3,FALSE)</f>
        <v/>
      </c>
      <c r="O4306">
        <f>K4306*L4306-M4306</f>
        <v/>
      </c>
      <c r="P4306">
        <f>TEXT(B4306,"yyyy-mm")</f>
        <v/>
      </c>
      <c r="Q4306">
        <f>IF(O4306&gt;=3000,"Large","Small")</f>
        <v/>
      </c>
      <c r="R4306">
        <f>INDEX(Products!$F$2:$F$49,MATCH(J4306,Products!$A$2:$A$49,0))</f>
        <v/>
      </c>
      <c r="S4306">
        <f>WEEKDAY(B4306,2)</f>
        <v/>
      </c>
    </row>
    <row r="4307">
      <c r="A4307" t="n">
        <v>511742</v>
      </c>
      <c r="B4307" s="6" t="n">
        <v>46016</v>
      </c>
      <c r="C4307" t="n">
        <v>14189</v>
      </c>
      <c r="D4307" t="inlineStr">
        <is>
          <t>Pune</t>
        </is>
      </c>
      <c r="E4307" t="inlineStr">
        <is>
          <t>West</t>
        </is>
      </c>
      <c r="F4307" t="inlineStr">
        <is>
          <t>Referral</t>
        </is>
      </c>
      <c r="G4307" t="inlineStr">
        <is>
          <t>Mobile App</t>
        </is>
      </c>
      <c r="H4307" t="inlineStr">
        <is>
          <t>Cash on Delivery</t>
        </is>
      </c>
      <c r="I4307" t="inlineStr">
        <is>
          <t>Delivered</t>
        </is>
      </c>
      <c r="J4307" t="n">
        <v>120</v>
      </c>
      <c r="K4307" t="n">
        <v>1</v>
      </c>
      <c r="L4307" t="n">
        <v>734</v>
      </c>
      <c r="M4307" t="n">
        <v>0</v>
      </c>
      <c r="N4307">
        <f>VLOOKUP(J4307,Products!$A$2:$C$49,3,FALSE)</f>
        <v/>
      </c>
      <c r="O4307">
        <f>K4307*L4307-M4307</f>
        <v/>
      </c>
      <c r="P4307">
        <f>TEXT(B4307,"yyyy-mm")</f>
        <v/>
      </c>
      <c r="Q4307">
        <f>IF(O4307&gt;=3000,"Large","Small")</f>
        <v/>
      </c>
      <c r="R4307">
        <f>INDEX(Products!$F$2:$F$49,MATCH(J4307,Products!$A$2:$A$49,0))</f>
        <v/>
      </c>
      <c r="S4307">
        <f>WEEKDAY(B4307,2)</f>
        <v/>
      </c>
    </row>
    <row r="4308">
      <c r="A4308" t="n">
        <v>511743</v>
      </c>
      <c r="B4308" s="6" t="n">
        <v>46016</v>
      </c>
      <c r="C4308" t="n">
        <v>17713</v>
      </c>
      <c r="D4308" t="inlineStr">
        <is>
          <t>Kochi</t>
        </is>
      </c>
      <c r="E4308" t="inlineStr">
        <is>
          <t>South</t>
        </is>
      </c>
      <c r="F4308" t="inlineStr">
        <is>
          <t>Paid Social</t>
        </is>
      </c>
      <c r="G4308" t="inlineStr">
        <is>
          <t>Mobile App</t>
        </is>
      </c>
      <c r="H4308" t="inlineStr">
        <is>
          <t>Debit Card</t>
        </is>
      </c>
      <c r="I4308" t="inlineStr">
        <is>
          <t>Delivered</t>
        </is>
      </c>
      <c r="J4308" t="n">
        <v>111</v>
      </c>
      <c r="K4308" t="n">
        <v>1</v>
      </c>
      <c r="L4308" t="n">
        <v>524</v>
      </c>
      <c r="M4308" t="n">
        <v>26.2</v>
      </c>
      <c r="N4308">
        <f>VLOOKUP(J4308,Products!$A$2:$C$49,3,FALSE)</f>
        <v/>
      </c>
      <c r="O4308">
        <f>K4308*L4308-M4308</f>
        <v/>
      </c>
      <c r="P4308">
        <f>TEXT(B4308,"yyyy-mm")</f>
        <v/>
      </c>
      <c r="Q4308">
        <f>IF(O4308&gt;=3000,"Large","Small")</f>
        <v/>
      </c>
      <c r="R4308">
        <f>INDEX(Products!$F$2:$F$49,MATCH(J4308,Products!$A$2:$A$49,0))</f>
        <v/>
      </c>
      <c r="S4308">
        <f>WEEKDAY(B4308,2)</f>
        <v/>
      </c>
    </row>
    <row r="4309">
      <c r="A4309" t="n">
        <v>511743</v>
      </c>
      <c r="B4309" s="6" t="n">
        <v>46016</v>
      </c>
      <c r="C4309" t="n">
        <v>17713</v>
      </c>
      <c r="D4309" t="inlineStr">
        <is>
          <t>Kochi</t>
        </is>
      </c>
      <c r="E4309" t="inlineStr">
        <is>
          <t>South</t>
        </is>
      </c>
      <c r="F4309" t="inlineStr">
        <is>
          <t>Paid Social</t>
        </is>
      </c>
      <c r="G4309" t="inlineStr">
        <is>
          <t>Mobile App</t>
        </is>
      </c>
      <c r="H4309" t="inlineStr">
        <is>
          <t>Debit Card</t>
        </is>
      </c>
      <c r="I4309" t="inlineStr">
        <is>
          <t>Delivered</t>
        </is>
      </c>
      <c r="J4309" t="n">
        <v>140</v>
      </c>
      <c r="K4309" t="n">
        <v>1</v>
      </c>
      <c r="L4309" t="n">
        <v>629</v>
      </c>
      <c r="M4309" t="n">
        <v>31.45</v>
      </c>
      <c r="N4309">
        <f>VLOOKUP(J4309,Products!$A$2:$C$49,3,FALSE)</f>
        <v/>
      </c>
      <c r="O4309">
        <f>K4309*L4309-M4309</f>
        <v/>
      </c>
      <c r="P4309">
        <f>TEXT(B4309,"yyyy-mm")</f>
        <v/>
      </c>
      <c r="Q4309">
        <f>IF(O4309&gt;=3000,"Large","Small")</f>
        <v/>
      </c>
      <c r="R4309">
        <f>INDEX(Products!$F$2:$F$49,MATCH(J4309,Products!$A$2:$A$49,0))</f>
        <v/>
      </c>
      <c r="S4309">
        <f>WEEKDAY(B4309,2)</f>
        <v/>
      </c>
    </row>
    <row r="4310">
      <c r="A4310" t="n">
        <v>511744</v>
      </c>
      <c r="B4310" s="6" t="n">
        <v>46017</v>
      </c>
      <c r="C4310" t="n">
        <v>16973</v>
      </c>
      <c r="D4310" t="inlineStr">
        <is>
          <t>Pune</t>
        </is>
      </c>
      <c r="E4310" t="inlineStr">
        <is>
          <t>West</t>
        </is>
      </c>
      <c r="F4310" t="inlineStr">
        <is>
          <t>Paid Social</t>
        </is>
      </c>
      <c r="G4310" t="inlineStr">
        <is>
          <t>Mobile Web</t>
        </is>
      </c>
      <c r="H4310" t="inlineStr">
        <is>
          <t>Cash on Delivery</t>
        </is>
      </c>
      <c r="I4310" t="inlineStr">
        <is>
          <t>Cancelled</t>
        </is>
      </c>
      <c r="J4310" t="n">
        <v>104</v>
      </c>
      <c r="K4310" t="n">
        <v>1</v>
      </c>
      <c r="L4310" t="n">
        <v>5249</v>
      </c>
      <c r="M4310" t="n">
        <v>0</v>
      </c>
      <c r="N4310">
        <f>VLOOKUP(J4310,Products!$A$2:$C$49,3,FALSE)</f>
        <v/>
      </c>
      <c r="O4310">
        <f>K4310*L4310-M4310</f>
        <v/>
      </c>
      <c r="P4310">
        <f>TEXT(B4310,"yyyy-mm")</f>
        <v/>
      </c>
      <c r="Q4310">
        <f>IF(O4310&gt;=3000,"Large","Small")</f>
        <v/>
      </c>
      <c r="R4310">
        <f>INDEX(Products!$F$2:$F$49,MATCH(J4310,Products!$A$2:$A$49,0))</f>
        <v/>
      </c>
      <c r="S4310">
        <f>WEEKDAY(B4310,2)</f>
        <v/>
      </c>
    </row>
    <row r="4311">
      <c r="A4311" t="n">
        <v>511745</v>
      </c>
      <c r="B4311" s="6" t="n">
        <v>46017</v>
      </c>
      <c r="C4311" t="n">
        <v>17895</v>
      </c>
      <c r="D4311" t="inlineStr">
        <is>
          <t>Bengaluru</t>
        </is>
      </c>
      <c r="E4311" t="inlineStr">
        <is>
          <t>South</t>
        </is>
      </c>
      <c r="F4311" t="inlineStr">
        <is>
          <t>Paid Search</t>
        </is>
      </c>
      <c r="G4311" t="inlineStr">
        <is>
          <t>Mobile App</t>
        </is>
      </c>
      <c r="H4311" t="inlineStr">
        <is>
          <t>UPI</t>
        </is>
      </c>
      <c r="I4311" t="inlineStr">
        <is>
          <t>Delivered</t>
        </is>
      </c>
      <c r="J4311" t="n">
        <v>140</v>
      </c>
      <c r="K4311" t="n">
        <v>3</v>
      </c>
      <c r="L4311" t="n">
        <v>629</v>
      </c>
      <c r="M4311" t="n">
        <v>0</v>
      </c>
      <c r="N4311">
        <f>VLOOKUP(J4311,Products!$A$2:$C$49,3,FALSE)</f>
        <v/>
      </c>
      <c r="O4311">
        <f>K4311*L4311-M4311</f>
        <v/>
      </c>
      <c r="P4311">
        <f>TEXT(B4311,"yyyy-mm")</f>
        <v/>
      </c>
      <c r="Q4311">
        <f>IF(O4311&gt;=3000,"Large","Small")</f>
        <v/>
      </c>
      <c r="R4311">
        <f>INDEX(Products!$F$2:$F$49,MATCH(J4311,Products!$A$2:$A$49,0))</f>
        <v/>
      </c>
      <c r="S4311">
        <f>WEEKDAY(B4311,2)</f>
        <v/>
      </c>
    </row>
    <row r="4312">
      <c r="A4312" t="n">
        <v>511746</v>
      </c>
      <c r="B4312" s="6" t="n">
        <v>46017</v>
      </c>
      <c r="C4312" t="n">
        <v>16441</v>
      </c>
      <c r="D4312" t="inlineStr">
        <is>
          <t>Jaipur</t>
        </is>
      </c>
      <c r="E4312" t="inlineStr">
        <is>
          <t>North</t>
        </is>
      </c>
      <c r="F4312" t="inlineStr">
        <is>
          <t>Email</t>
        </is>
      </c>
      <c r="G4312" t="inlineStr">
        <is>
          <t>Mobile App</t>
        </is>
      </c>
      <c r="H4312" t="inlineStr">
        <is>
          <t>UPI</t>
        </is>
      </c>
      <c r="I4312" t="inlineStr">
        <is>
          <t>Delivered</t>
        </is>
      </c>
      <c r="J4312" t="n">
        <v>114</v>
      </c>
      <c r="K4312" t="n">
        <v>2</v>
      </c>
      <c r="L4312" t="n">
        <v>1259</v>
      </c>
      <c r="M4312" t="n">
        <v>0</v>
      </c>
      <c r="N4312">
        <f>VLOOKUP(J4312,Products!$A$2:$C$49,3,FALSE)</f>
        <v/>
      </c>
      <c r="O4312">
        <f>K4312*L4312-M4312</f>
        <v/>
      </c>
      <c r="P4312">
        <f>TEXT(B4312,"yyyy-mm")</f>
        <v/>
      </c>
      <c r="Q4312">
        <f>IF(O4312&gt;=3000,"Large","Small")</f>
        <v/>
      </c>
      <c r="R4312">
        <f>INDEX(Products!$F$2:$F$49,MATCH(J4312,Products!$A$2:$A$49,0))</f>
        <v/>
      </c>
      <c r="S4312">
        <f>WEEKDAY(B4312,2)</f>
        <v/>
      </c>
    </row>
    <row r="4313">
      <c r="A4313" t="n">
        <v>511746</v>
      </c>
      <c r="B4313" s="6" t="n">
        <v>46017</v>
      </c>
      <c r="C4313" t="n">
        <v>16441</v>
      </c>
      <c r="D4313" t="inlineStr">
        <is>
          <t>Jaipur</t>
        </is>
      </c>
      <c r="E4313" t="inlineStr">
        <is>
          <t>North</t>
        </is>
      </c>
      <c r="F4313" t="inlineStr">
        <is>
          <t>Email</t>
        </is>
      </c>
      <c r="G4313" t="inlineStr">
        <is>
          <t>Mobile App</t>
        </is>
      </c>
      <c r="H4313" t="inlineStr">
        <is>
          <t>UPI</t>
        </is>
      </c>
      <c r="I4313" t="inlineStr">
        <is>
          <t>Delivered</t>
        </is>
      </c>
      <c r="J4313" t="n">
        <v>118</v>
      </c>
      <c r="K4313" t="n">
        <v>2</v>
      </c>
      <c r="L4313" t="n">
        <v>944</v>
      </c>
      <c r="M4313" t="n">
        <v>0</v>
      </c>
      <c r="N4313">
        <f>VLOOKUP(J4313,Products!$A$2:$C$49,3,FALSE)</f>
        <v/>
      </c>
      <c r="O4313">
        <f>K4313*L4313-M4313</f>
        <v/>
      </c>
      <c r="P4313">
        <f>TEXT(B4313,"yyyy-mm")</f>
        <v/>
      </c>
      <c r="Q4313">
        <f>IF(O4313&gt;=3000,"Large","Small")</f>
        <v/>
      </c>
      <c r="R4313">
        <f>INDEX(Products!$F$2:$F$49,MATCH(J4313,Products!$A$2:$A$49,0))</f>
        <v/>
      </c>
      <c r="S4313">
        <f>WEEKDAY(B4313,2)</f>
        <v/>
      </c>
    </row>
    <row r="4314">
      <c r="A4314" t="n">
        <v>511747</v>
      </c>
      <c r="B4314" s="6" t="n">
        <v>46017</v>
      </c>
      <c r="C4314" t="n">
        <v>17674</v>
      </c>
      <c r="D4314" t="inlineStr">
        <is>
          <t>Chandigarh</t>
        </is>
      </c>
      <c r="E4314" t="inlineStr">
        <is>
          <t>North</t>
        </is>
      </c>
      <c r="F4314" t="inlineStr">
        <is>
          <t>Organic Search</t>
        </is>
      </c>
      <c r="G4314" t="inlineStr">
        <is>
          <t>Mobile Web</t>
        </is>
      </c>
      <c r="H4314" t="inlineStr">
        <is>
          <t>Credit Card</t>
        </is>
      </c>
      <c r="I4314" t="inlineStr">
        <is>
          <t>Delivered</t>
        </is>
      </c>
      <c r="J4314" t="n">
        <v>140</v>
      </c>
      <c r="K4314" t="n">
        <v>1</v>
      </c>
      <c r="L4314" t="n">
        <v>629</v>
      </c>
      <c r="M4314" t="n">
        <v>0</v>
      </c>
      <c r="N4314">
        <f>VLOOKUP(J4314,Products!$A$2:$C$49,3,FALSE)</f>
        <v/>
      </c>
      <c r="O4314">
        <f>K4314*L4314-M4314</f>
        <v/>
      </c>
      <c r="P4314">
        <f>TEXT(B4314,"yyyy-mm")</f>
        <v/>
      </c>
      <c r="Q4314">
        <f>IF(O4314&gt;=3000,"Large","Small")</f>
        <v/>
      </c>
      <c r="R4314">
        <f>INDEX(Products!$F$2:$F$49,MATCH(J4314,Products!$A$2:$A$49,0))</f>
        <v/>
      </c>
      <c r="S4314">
        <f>WEEKDAY(B4314,2)</f>
        <v/>
      </c>
    </row>
    <row r="4315">
      <c r="A4315" t="n">
        <v>511747</v>
      </c>
      <c r="B4315" s="6" t="n">
        <v>46017</v>
      </c>
      <c r="C4315" t="n">
        <v>17674</v>
      </c>
      <c r="D4315" t="inlineStr">
        <is>
          <t>Chandigarh</t>
        </is>
      </c>
      <c r="E4315" t="inlineStr">
        <is>
          <t>North</t>
        </is>
      </c>
      <c r="F4315" t="inlineStr">
        <is>
          <t>Organic Search</t>
        </is>
      </c>
      <c r="G4315" t="inlineStr">
        <is>
          <t>Mobile Web</t>
        </is>
      </c>
      <c r="H4315" t="inlineStr">
        <is>
          <t>Credit Card</t>
        </is>
      </c>
      <c r="I4315" t="inlineStr">
        <is>
          <t>Delivered</t>
        </is>
      </c>
      <c r="J4315" t="n">
        <v>112</v>
      </c>
      <c r="K4315" t="n">
        <v>1</v>
      </c>
      <c r="L4315" t="n">
        <v>1574</v>
      </c>
      <c r="M4315" t="n">
        <v>0</v>
      </c>
      <c r="N4315">
        <f>VLOOKUP(J4315,Products!$A$2:$C$49,3,FALSE)</f>
        <v/>
      </c>
      <c r="O4315">
        <f>K4315*L4315-M4315</f>
        <v/>
      </c>
      <c r="P4315">
        <f>TEXT(B4315,"yyyy-mm")</f>
        <v/>
      </c>
      <c r="Q4315">
        <f>IF(O4315&gt;=3000,"Large","Small")</f>
        <v/>
      </c>
      <c r="R4315">
        <f>INDEX(Products!$F$2:$F$49,MATCH(J4315,Products!$A$2:$A$49,0))</f>
        <v/>
      </c>
      <c r="S4315">
        <f>WEEKDAY(B4315,2)</f>
        <v/>
      </c>
    </row>
    <row r="4316">
      <c r="A4316" t="n">
        <v>511748</v>
      </c>
      <c r="B4316" s="6" t="n">
        <v>46017</v>
      </c>
      <c r="C4316" t="n">
        <v>16513</v>
      </c>
      <c r="D4316" t="inlineStr">
        <is>
          <t>Chandigarh</t>
        </is>
      </c>
      <c r="E4316" t="inlineStr">
        <is>
          <t>North</t>
        </is>
      </c>
      <c r="F4316" t="inlineStr">
        <is>
          <t>Paid Search</t>
        </is>
      </c>
      <c r="G4316" t="inlineStr">
        <is>
          <t>Desktop</t>
        </is>
      </c>
      <c r="H4316" t="inlineStr">
        <is>
          <t>Debit Card</t>
        </is>
      </c>
      <c r="I4316" t="inlineStr">
        <is>
          <t>Delivered</t>
        </is>
      </c>
      <c r="J4316" t="n">
        <v>137</v>
      </c>
      <c r="K4316" t="n">
        <v>2</v>
      </c>
      <c r="L4316" t="n">
        <v>261</v>
      </c>
      <c r="M4316" t="n">
        <v>0</v>
      </c>
      <c r="N4316">
        <f>VLOOKUP(J4316,Products!$A$2:$C$49,3,FALSE)</f>
        <v/>
      </c>
      <c r="O4316">
        <f>K4316*L4316-M4316</f>
        <v/>
      </c>
      <c r="P4316">
        <f>TEXT(B4316,"yyyy-mm")</f>
        <v/>
      </c>
      <c r="Q4316">
        <f>IF(O4316&gt;=3000,"Large","Small")</f>
        <v/>
      </c>
      <c r="R4316">
        <f>INDEX(Products!$F$2:$F$49,MATCH(J4316,Products!$A$2:$A$49,0))</f>
        <v/>
      </c>
      <c r="S4316">
        <f>WEEKDAY(B4316,2)</f>
        <v/>
      </c>
    </row>
    <row r="4317">
      <c r="A4317" t="n">
        <v>511748</v>
      </c>
      <c r="B4317" s="6" t="n">
        <v>46017</v>
      </c>
      <c r="C4317" t="n">
        <v>16513</v>
      </c>
      <c r="D4317" t="inlineStr">
        <is>
          <t>Chandigarh</t>
        </is>
      </c>
      <c r="E4317" t="inlineStr">
        <is>
          <t>North</t>
        </is>
      </c>
      <c r="F4317" t="inlineStr">
        <is>
          <t>Paid Search</t>
        </is>
      </c>
      <c r="G4317" t="inlineStr">
        <is>
          <t>Desktop</t>
        </is>
      </c>
      <c r="H4317" t="inlineStr">
        <is>
          <t>Debit Card</t>
        </is>
      </c>
      <c r="I4317" t="inlineStr">
        <is>
          <t>Delivered</t>
        </is>
      </c>
      <c r="J4317" t="n">
        <v>148</v>
      </c>
      <c r="K4317" t="n">
        <v>1</v>
      </c>
      <c r="L4317" t="n">
        <v>734</v>
      </c>
      <c r="M4317" t="n">
        <v>0</v>
      </c>
      <c r="N4317">
        <f>VLOOKUP(J4317,Products!$A$2:$C$49,3,FALSE)</f>
        <v/>
      </c>
      <c r="O4317">
        <f>K4317*L4317-M4317</f>
        <v/>
      </c>
      <c r="P4317">
        <f>TEXT(B4317,"yyyy-mm")</f>
        <v/>
      </c>
      <c r="Q4317">
        <f>IF(O4317&gt;=3000,"Large","Small")</f>
        <v/>
      </c>
      <c r="R4317">
        <f>INDEX(Products!$F$2:$F$49,MATCH(J4317,Products!$A$2:$A$49,0))</f>
        <v/>
      </c>
      <c r="S4317">
        <f>WEEKDAY(B4317,2)</f>
        <v/>
      </c>
    </row>
    <row r="4318">
      <c r="A4318" t="n">
        <v>511748</v>
      </c>
      <c r="B4318" s="6" t="n">
        <v>46017</v>
      </c>
      <c r="C4318" t="n">
        <v>16513</v>
      </c>
      <c r="D4318" t="inlineStr">
        <is>
          <t>Chandigarh</t>
        </is>
      </c>
      <c r="E4318" t="inlineStr">
        <is>
          <t>North</t>
        </is>
      </c>
      <c r="F4318" t="inlineStr">
        <is>
          <t>Paid Search</t>
        </is>
      </c>
      <c r="G4318" t="inlineStr">
        <is>
          <t>Desktop</t>
        </is>
      </c>
      <c r="H4318" t="inlineStr">
        <is>
          <t>Debit Card</t>
        </is>
      </c>
      <c r="I4318" t="inlineStr">
        <is>
          <t>Delivered</t>
        </is>
      </c>
      <c r="J4318" t="n">
        <v>136</v>
      </c>
      <c r="K4318" t="n">
        <v>2</v>
      </c>
      <c r="L4318" t="n">
        <v>944</v>
      </c>
      <c r="M4318" t="n">
        <v>0</v>
      </c>
      <c r="N4318">
        <f>VLOOKUP(J4318,Products!$A$2:$C$49,3,FALSE)</f>
        <v/>
      </c>
      <c r="O4318">
        <f>K4318*L4318-M4318</f>
        <v/>
      </c>
      <c r="P4318">
        <f>TEXT(B4318,"yyyy-mm")</f>
        <v/>
      </c>
      <c r="Q4318">
        <f>IF(O4318&gt;=3000,"Large","Small")</f>
        <v/>
      </c>
      <c r="R4318">
        <f>INDEX(Products!$F$2:$F$49,MATCH(J4318,Products!$A$2:$A$49,0))</f>
        <v/>
      </c>
      <c r="S4318">
        <f>WEEKDAY(B4318,2)</f>
        <v/>
      </c>
    </row>
    <row r="4319">
      <c r="A4319" t="n">
        <v>511749</v>
      </c>
      <c r="B4319" s="6" t="n">
        <v>46017</v>
      </c>
      <c r="C4319" t="n">
        <v>17925</v>
      </c>
      <c r="D4319" t="inlineStr">
        <is>
          <t>Gurugram</t>
        </is>
      </c>
      <c r="E4319" t="inlineStr">
        <is>
          <t>North</t>
        </is>
      </c>
      <c r="F4319" t="inlineStr">
        <is>
          <t>Organic Search</t>
        </is>
      </c>
      <c r="G4319" t="inlineStr">
        <is>
          <t>Mobile Web</t>
        </is>
      </c>
      <c r="H4319" t="inlineStr">
        <is>
          <t>UPI</t>
        </is>
      </c>
      <c r="I4319" t="inlineStr">
        <is>
          <t>Delivered</t>
        </is>
      </c>
      <c r="J4319" t="n">
        <v>114</v>
      </c>
      <c r="K4319" t="n">
        <v>1</v>
      </c>
      <c r="L4319" t="n">
        <v>1259</v>
      </c>
      <c r="M4319" t="n">
        <v>188.85</v>
      </c>
      <c r="N4319">
        <f>VLOOKUP(J4319,Products!$A$2:$C$49,3,FALSE)</f>
        <v/>
      </c>
      <c r="O4319">
        <f>K4319*L4319-M4319</f>
        <v/>
      </c>
      <c r="P4319">
        <f>TEXT(B4319,"yyyy-mm")</f>
        <v/>
      </c>
      <c r="Q4319">
        <f>IF(O4319&gt;=3000,"Large","Small")</f>
        <v/>
      </c>
      <c r="R4319">
        <f>INDEX(Products!$F$2:$F$49,MATCH(J4319,Products!$A$2:$A$49,0))</f>
        <v/>
      </c>
      <c r="S4319">
        <f>WEEKDAY(B4319,2)</f>
        <v/>
      </c>
    </row>
    <row r="4320">
      <c r="A4320" t="n">
        <v>511750</v>
      </c>
      <c r="B4320" s="6" t="n">
        <v>46017</v>
      </c>
      <c r="C4320" t="n">
        <v>17909</v>
      </c>
      <c r="D4320" t="inlineStr">
        <is>
          <t>Indore</t>
        </is>
      </c>
      <c r="E4320" t="inlineStr">
        <is>
          <t>West</t>
        </is>
      </c>
      <c r="F4320" t="inlineStr">
        <is>
          <t>Email</t>
        </is>
      </c>
      <c r="G4320" t="inlineStr">
        <is>
          <t>Desktop</t>
        </is>
      </c>
      <c r="H4320" t="inlineStr">
        <is>
          <t>Cash on Delivery</t>
        </is>
      </c>
      <c r="I4320" t="inlineStr">
        <is>
          <t>Delivered</t>
        </is>
      </c>
      <c r="J4320" t="n">
        <v>104</v>
      </c>
      <c r="K4320" t="n">
        <v>1</v>
      </c>
      <c r="L4320" t="n">
        <v>5249</v>
      </c>
      <c r="M4320" t="n">
        <v>787.35</v>
      </c>
      <c r="N4320">
        <f>VLOOKUP(J4320,Products!$A$2:$C$49,3,FALSE)</f>
        <v/>
      </c>
      <c r="O4320">
        <f>K4320*L4320-M4320</f>
        <v/>
      </c>
      <c r="P4320">
        <f>TEXT(B4320,"yyyy-mm")</f>
        <v/>
      </c>
      <c r="Q4320">
        <f>IF(O4320&gt;=3000,"Large","Small")</f>
        <v/>
      </c>
      <c r="R4320">
        <f>INDEX(Products!$F$2:$F$49,MATCH(J4320,Products!$A$2:$A$49,0))</f>
        <v/>
      </c>
      <c r="S4320">
        <f>WEEKDAY(B4320,2)</f>
        <v/>
      </c>
    </row>
    <row r="4321">
      <c r="A4321" t="n">
        <v>511750</v>
      </c>
      <c r="B4321" s="6" t="n">
        <v>46017</v>
      </c>
      <c r="C4321" t="n">
        <v>17909</v>
      </c>
      <c r="D4321" t="inlineStr">
        <is>
          <t>Indore</t>
        </is>
      </c>
      <c r="E4321" t="inlineStr">
        <is>
          <t>West</t>
        </is>
      </c>
      <c r="F4321" t="inlineStr">
        <is>
          <t>Email</t>
        </is>
      </c>
      <c r="G4321" t="inlineStr">
        <is>
          <t>Desktop</t>
        </is>
      </c>
      <c r="H4321" t="inlineStr">
        <is>
          <t>Cash on Delivery</t>
        </is>
      </c>
      <c r="I4321" t="inlineStr">
        <is>
          <t>Delivered</t>
        </is>
      </c>
      <c r="J4321" t="n">
        <v>113</v>
      </c>
      <c r="K4321" t="n">
        <v>1</v>
      </c>
      <c r="L4321" t="n">
        <v>1364</v>
      </c>
      <c r="M4321" t="n">
        <v>204.6</v>
      </c>
      <c r="N4321">
        <f>VLOOKUP(J4321,Products!$A$2:$C$49,3,FALSE)</f>
        <v/>
      </c>
      <c r="O4321">
        <f>K4321*L4321-M4321</f>
        <v/>
      </c>
      <c r="P4321">
        <f>TEXT(B4321,"yyyy-mm")</f>
        <v/>
      </c>
      <c r="Q4321">
        <f>IF(O4321&gt;=3000,"Large","Small")</f>
        <v/>
      </c>
      <c r="R4321">
        <f>INDEX(Products!$F$2:$F$49,MATCH(J4321,Products!$A$2:$A$49,0))</f>
        <v/>
      </c>
      <c r="S4321">
        <f>WEEKDAY(B4321,2)</f>
        <v/>
      </c>
    </row>
    <row r="4322">
      <c r="A4322" t="n">
        <v>511751</v>
      </c>
      <c r="B4322" s="6" t="n">
        <v>46017</v>
      </c>
      <c r="C4322" t="n">
        <v>17922</v>
      </c>
      <c r="D4322" t="inlineStr">
        <is>
          <t>Lucknow</t>
        </is>
      </c>
      <c r="E4322" t="inlineStr">
        <is>
          <t>North</t>
        </is>
      </c>
      <c r="F4322" t="inlineStr">
        <is>
          <t>Organic Search</t>
        </is>
      </c>
      <c r="G4322" t="inlineStr">
        <is>
          <t>Mobile App</t>
        </is>
      </c>
      <c r="H4322" t="inlineStr">
        <is>
          <t>UPI</t>
        </is>
      </c>
      <c r="I4322" t="inlineStr">
        <is>
          <t>Delivered</t>
        </is>
      </c>
      <c r="J4322" t="n">
        <v>117</v>
      </c>
      <c r="K4322" t="n">
        <v>1</v>
      </c>
      <c r="L4322" t="n">
        <v>3149</v>
      </c>
      <c r="M4322" t="n">
        <v>0</v>
      </c>
      <c r="N4322">
        <f>VLOOKUP(J4322,Products!$A$2:$C$49,3,FALSE)</f>
        <v/>
      </c>
      <c r="O4322">
        <f>K4322*L4322-M4322</f>
        <v/>
      </c>
      <c r="P4322">
        <f>TEXT(B4322,"yyyy-mm")</f>
        <v/>
      </c>
      <c r="Q4322">
        <f>IF(O4322&gt;=3000,"Large","Small")</f>
        <v/>
      </c>
      <c r="R4322">
        <f>INDEX(Products!$F$2:$F$49,MATCH(J4322,Products!$A$2:$A$49,0))</f>
        <v/>
      </c>
      <c r="S4322">
        <f>WEEKDAY(B4322,2)</f>
        <v/>
      </c>
    </row>
    <row r="4323">
      <c r="A4323" t="n">
        <v>511751</v>
      </c>
      <c r="B4323" s="6" t="n">
        <v>46017</v>
      </c>
      <c r="C4323" t="n">
        <v>17922</v>
      </c>
      <c r="D4323" t="inlineStr">
        <is>
          <t>Lucknow</t>
        </is>
      </c>
      <c r="E4323" t="inlineStr">
        <is>
          <t>North</t>
        </is>
      </c>
      <c r="F4323" t="inlineStr">
        <is>
          <t>Organic Search</t>
        </is>
      </c>
      <c r="G4323" t="inlineStr">
        <is>
          <t>Mobile App</t>
        </is>
      </c>
      <c r="H4323" t="inlineStr">
        <is>
          <t>UPI</t>
        </is>
      </c>
      <c r="I4323" t="inlineStr">
        <is>
          <t>Delivered</t>
        </is>
      </c>
      <c r="J4323" t="n">
        <v>132</v>
      </c>
      <c r="K4323" t="n">
        <v>1</v>
      </c>
      <c r="L4323" t="n">
        <v>471</v>
      </c>
      <c r="M4323" t="n">
        <v>0</v>
      </c>
      <c r="N4323">
        <f>VLOOKUP(J4323,Products!$A$2:$C$49,3,FALSE)</f>
        <v/>
      </c>
      <c r="O4323">
        <f>K4323*L4323-M4323</f>
        <v/>
      </c>
      <c r="P4323">
        <f>TEXT(B4323,"yyyy-mm")</f>
        <v/>
      </c>
      <c r="Q4323">
        <f>IF(O4323&gt;=3000,"Large","Small")</f>
        <v/>
      </c>
      <c r="R4323">
        <f>INDEX(Products!$F$2:$F$49,MATCH(J4323,Products!$A$2:$A$49,0))</f>
        <v/>
      </c>
      <c r="S4323">
        <f>WEEKDAY(B4323,2)</f>
        <v/>
      </c>
    </row>
    <row r="4324">
      <c r="A4324" t="n">
        <v>511751</v>
      </c>
      <c r="B4324" s="6" t="n">
        <v>46017</v>
      </c>
      <c r="C4324" t="n">
        <v>17922</v>
      </c>
      <c r="D4324" t="inlineStr">
        <is>
          <t>Lucknow</t>
        </is>
      </c>
      <c r="E4324" t="inlineStr">
        <is>
          <t>North</t>
        </is>
      </c>
      <c r="F4324" t="inlineStr">
        <is>
          <t>Organic Search</t>
        </is>
      </c>
      <c r="G4324" t="inlineStr">
        <is>
          <t>Mobile App</t>
        </is>
      </c>
      <c r="H4324" t="inlineStr">
        <is>
          <t>UPI</t>
        </is>
      </c>
      <c r="I4324" t="inlineStr">
        <is>
          <t>Delivered</t>
        </is>
      </c>
      <c r="J4324" t="n">
        <v>105</v>
      </c>
      <c r="K4324" t="n">
        <v>2</v>
      </c>
      <c r="L4324" t="n">
        <v>2414</v>
      </c>
      <c r="M4324" t="n">
        <v>0</v>
      </c>
      <c r="N4324">
        <f>VLOOKUP(J4324,Products!$A$2:$C$49,3,FALSE)</f>
        <v/>
      </c>
      <c r="O4324">
        <f>K4324*L4324-M4324</f>
        <v/>
      </c>
      <c r="P4324">
        <f>TEXT(B4324,"yyyy-mm")</f>
        <v/>
      </c>
      <c r="Q4324">
        <f>IF(O4324&gt;=3000,"Large","Small")</f>
        <v/>
      </c>
      <c r="R4324">
        <f>INDEX(Products!$F$2:$F$49,MATCH(J4324,Products!$A$2:$A$49,0))</f>
        <v/>
      </c>
      <c r="S4324">
        <f>WEEKDAY(B4324,2)</f>
        <v/>
      </c>
    </row>
    <row r="4325">
      <c r="A4325" t="n">
        <v>511752</v>
      </c>
      <c r="B4325" s="6" t="n">
        <v>46017</v>
      </c>
      <c r="C4325" t="n">
        <v>17924</v>
      </c>
      <c r="D4325" t="inlineStr">
        <is>
          <t>Mumbai</t>
        </is>
      </c>
      <c r="E4325" t="inlineStr">
        <is>
          <t>West</t>
        </is>
      </c>
      <c r="F4325" t="inlineStr">
        <is>
          <t>Affiliate</t>
        </is>
      </c>
      <c r="G4325" t="inlineStr">
        <is>
          <t>Mobile App</t>
        </is>
      </c>
      <c r="H4325" t="inlineStr">
        <is>
          <t>UPI</t>
        </is>
      </c>
      <c r="I4325" t="inlineStr">
        <is>
          <t>Delivered</t>
        </is>
      </c>
      <c r="J4325" t="n">
        <v>111</v>
      </c>
      <c r="K4325" t="n">
        <v>1</v>
      </c>
      <c r="L4325" t="n">
        <v>524</v>
      </c>
      <c r="M4325" t="n">
        <v>78.59999999999999</v>
      </c>
      <c r="N4325">
        <f>VLOOKUP(J4325,Products!$A$2:$C$49,3,FALSE)</f>
        <v/>
      </c>
      <c r="O4325">
        <f>K4325*L4325-M4325</f>
        <v/>
      </c>
      <c r="P4325">
        <f>TEXT(B4325,"yyyy-mm")</f>
        <v/>
      </c>
      <c r="Q4325">
        <f>IF(O4325&gt;=3000,"Large","Small")</f>
        <v/>
      </c>
      <c r="R4325">
        <f>INDEX(Products!$F$2:$F$49,MATCH(J4325,Products!$A$2:$A$49,0))</f>
        <v/>
      </c>
      <c r="S4325">
        <f>WEEKDAY(B4325,2)</f>
        <v/>
      </c>
    </row>
    <row r="4326">
      <c r="A4326" t="n">
        <v>511752</v>
      </c>
      <c r="B4326" s="6" t="n">
        <v>46017</v>
      </c>
      <c r="C4326" t="n">
        <v>17924</v>
      </c>
      <c r="D4326" t="inlineStr">
        <is>
          <t>Mumbai</t>
        </is>
      </c>
      <c r="E4326" t="inlineStr">
        <is>
          <t>West</t>
        </is>
      </c>
      <c r="F4326" t="inlineStr">
        <is>
          <t>Affiliate</t>
        </is>
      </c>
      <c r="G4326" t="inlineStr">
        <is>
          <t>Mobile App</t>
        </is>
      </c>
      <c r="H4326" t="inlineStr">
        <is>
          <t>UPI</t>
        </is>
      </c>
      <c r="I4326" t="inlineStr">
        <is>
          <t>Delivered</t>
        </is>
      </c>
      <c r="J4326" t="n">
        <v>118</v>
      </c>
      <c r="K4326" t="n">
        <v>1</v>
      </c>
      <c r="L4326" t="n">
        <v>944</v>
      </c>
      <c r="M4326" t="n">
        <v>141.6</v>
      </c>
      <c r="N4326">
        <f>VLOOKUP(J4326,Products!$A$2:$C$49,3,FALSE)</f>
        <v/>
      </c>
      <c r="O4326">
        <f>K4326*L4326-M4326</f>
        <v/>
      </c>
      <c r="P4326">
        <f>TEXT(B4326,"yyyy-mm")</f>
        <v/>
      </c>
      <c r="Q4326">
        <f>IF(O4326&gt;=3000,"Large","Small")</f>
        <v/>
      </c>
      <c r="R4326">
        <f>INDEX(Products!$F$2:$F$49,MATCH(J4326,Products!$A$2:$A$49,0))</f>
        <v/>
      </c>
      <c r="S4326">
        <f>WEEKDAY(B4326,2)</f>
        <v/>
      </c>
    </row>
    <row r="4327">
      <c r="A4327" t="n">
        <v>511752</v>
      </c>
      <c r="B4327" s="6" t="n">
        <v>46017</v>
      </c>
      <c r="C4327" t="n">
        <v>17924</v>
      </c>
      <c r="D4327" t="inlineStr">
        <is>
          <t>Mumbai</t>
        </is>
      </c>
      <c r="E4327" t="inlineStr">
        <is>
          <t>West</t>
        </is>
      </c>
      <c r="F4327" t="inlineStr">
        <is>
          <t>Affiliate</t>
        </is>
      </c>
      <c r="G4327" t="inlineStr">
        <is>
          <t>Mobile App</t>
        </is>
      </c>
      <c r="H4327" t="inlineStr">
        <is>
          <t>UPI</t>
        </is>
      </c>
      <c r="I4327" t="inlineStr">
        <is>
          <t>Delivered</t>
        </is>
      </c>
      <c r="J4327" t="n">
        <v>120</v>
      </c>
      <c r="K4327" t="n">
        <v>2</v>
      </c>
      <c r="L4327" t="n">
        <v>734</v>
      </c>
      <c r="M4327" t="n">
        <v>220.2</v>
      </c>
      <c r="N4327">
        <f>VLOOKUP(J4327,Products!$A$2:$C$49,3,FALSE)</f>
        <v/>
      </c>
      <c r="O4327">
        <f>K4327*L4327-M4327</f>
        <v/>
      </c>
      <c r="P4327">
        <f>TEXT(B4327,"yyyy-mm")</f>
        <v/>
      </c>
      <c r="Q4327">
        <f>IF(O4327&gt;=3000,"Large","Small")</f>
        <v/>
      </c>
      <c r="R4327">
        <f>INDEX(Products!$F$2:$F$49,MATCH(J4327,Products!$A$2:$A$49,0))</f>
        <v/>
      </c>
      <c r="S4327">
        <f>WEEKDAY(B4327,2)</f>
        <v/>
      </c>
    </row>
    <row r="4328">
      <c r="A4328" t="n">
        <v>511753</v>
      </c>
      <c r="B4328" s="6" t="n">
        <v>46017</v>
      </c>
      <c r="C4328" t="n">
        <v>16558</v>
      </c>
      <c r="D4328" t="inlineStr">
        <is>
          <t>Lucknow</t>
        </is>
      </c>
      <c r="E4328" t="inlineStr">
        <is>
          <t>North</t>
        </is>
      </c>
      <c r="F4328" t="inlineStr">
        <is>
          <t>Paid Social</t>
        </is>
      </c>
      <c r="G4328" t="inlineStr">
        <is>
          <t>Mobile App</t>
        </is>
      </c>
      <c r="H4328" t="inlineStr">
        <is>
          <t>Net Banking</t>
        </is>
      </c>
      <c r="I4328" t="inlineStr">
        <is>
          <t>Delivered</t>
        </is>
      </c>
      <c r="J4328" t="n">
        <v>143</v>
      </c>
      <c r="K4328" t="n">
        <v>1</v>
      </c>
      <c r="L4328" t="n">
        <v>839</v>
      </c>
      <c r="M4328" t="n">
        <v>0</v>
      </c>
      <c r="N4328">
        <f>VLOOKUP(J4328,Products!$A$2:$C$49,3,FALSE)</f>
        <v/>
      </c>
      <c r="O4328">
        <f>K4328*L4328-M4328</f>
        <v/>
      </c>
      <c r="P4328">
        <f>TEXT(B4328,"yyyy-mm")</f>
        <v/>
      </c>
      <c r="Q4328">
        <f>IF(O4328&gt;=3000,"Large","Small")</f>
        <v/>
      </c>
      <c r="R4328">
        <f>INDEX(Products!$F$2:$F$49,MATCH(J4328,Products!$A$2:$A$49,0))</f>
        <v/>
      </c>
      <c r="S4328">
        <f>WEEKDAY(B4328,2)</f>
        <v/>
      </c>
    </row>
    <row r="4329">
      <c r="A4329" t="n">
        <v>511753</v>
      </c>
      <c r="B4329" s="6" t="n">
        <v>46017</v>
      </c>
      <c r="C4329" t="n">
        <v>16558</v>
      </c>
      <c r="D4329" t="inlineStr">
        <is>
          <t>Lucknow</t>
        </is>
      </c>
      <c r="E4329" t="inlineStr">
        <is>
          <t>North</t>
        </is>
      </c>
      <c r="F4329" t="inlineStr">
        <is>
          <t>Paid Social</t>
        </is>
      </c>
      <c r="G4329" t="inlineStr">
        <is>
          <t>Mobile App</t>
        </is>
      </c>
      <c r="H4329" t="inlineStr">
        <is>
          <t>Net Banking</t>
        </is>
      </c>
      <c r="I4329" t="inlineStr">
        <is>
          <t>Delivered</t>
        </is>
      </c>
      <c r="J4329" t="n">
        <v>106</v>
      </c>
      <c r="K4329" t="n">
        <v>1</v>
      </c>
      <c r="L4329" t="n">
        <v>1574</v>
      </c>
      <c r="M4329" t="n">
        <v>0</v>
      </c>
      <c r="N4329">
        <f>VLOOKUP(J4329,Products!$A$2:$C$49,3,FALSE)</f>
        <v/>
      </c>
      <c r="O4329">
        <f>K4329*L4329-M4329</f>
        <v/>
      </c>
      <c r="P4329">
        <f>TEXT(B4329,"yyyy-mm")</f>
        <v/>
      </c>
      <c r="Q4329">
        <f>IF(O4329&gt;=3000,"Large","Small")</f>
        <v/>
      </c>
      <c r="R4329">
        <f>INDEX(Products!$F$2:$F$49,MATCH(J4329,Products!$A$2:$A$49,0))</f>
        <v/>
      </c>
      <c r="S4329">
        <f>WEEKDAY(B4329,2)</f>
        <v/>
      </c>
    </row>
    <row r="4330">
      <c r="A4330" t="n">
        <v>511754</v>
      </c>
      <c r="B4330" s="6" t="n">
        <v>46017</v>
      </c>
      <c r="C4330" t="n">
        <v>17878</v>
      </c>
      <c r="D4330" t="inlineStr">
        <is>
          <t>Ahmedabad</t>
        </is>
      </c>
      <c r="E4330" t="inlineStr">
        <is>
          <t>West</t>
        </is>
      </c>
      <c r="F4330" t="inlineStr">
        <is>
          <t>Organic Search</t>
        </is>
      </c>
      <c r="G4330" t="inlineStr">
        <is>
          <t>Mobile Web</t>
        </is>
      </c>
      <c r="H4330" t="inlineStr">
        <is>
          <t>Credit Card</t>
        </is>
      </c>
      <c r="I4330" t="inlineStr">
        <is>
          <t>Delivered</t>
        </is>
      </c>
      <c r="J4330" t="n">
        <v>108</v>
      </c>
      <c r="K4330" t="n">
        <v>2</v>
      </c>
      <c r="L4330" t="n">
        <v>419</v>
      </c>
      <c r="M4330" t="n">
        <v>125.7</v>
      </c>
      <c r="N4330">
        <f>VLOOKUP(J4330,Products!$A$2:$C$49,3,FALSE)</f>
        <v/>
      </c>
      <c r="O4330">
        <f>K4330*L4330-M4330</f>
        <v/>
      </c>
      <c r="P4330">
        <f>TEXT(B4330,"yyyy-mm")</f>
        <v/>
      </c>
      <c r="Q4330">
        <f>IF(O4330&gt;=3000,"Large","Small")</f>
        <v/>
      </c>
      <c r="R4330">
        <f>INDEX(Products!$F$2:$F$49,MATCH(J4330,Products!$A$2:$A$49,0))</f>
        <v/>
      </c>
      <c r="S4330">
        <f>WEEKDAY(B4330,2)</f>
        <v/>
      </c>
    </row>
    <row r="4331">
      <c r="A4331" t="n">
        <v>511755</v>
      </c>
      <c r="B4331" s="6" t="n">
        <v>46017</v>
      </c>
      <c r="C4331" t="n">
        <v>16805</v>
      </c>
      <c r="D4331" t="inlineStr">
        <is>
          <t>Mumbai</t>
        </is>
      </c>
      <c r="E4331" t="inlineStr">
        <is>
          <t>West</t>
        </is>
      </c>
      <c r="F4331" t="inlineStr">
        <is>
          <t>Referral</t>
        </is>
      </c>
      <c r="G4331" t="inlineStr">
        <is>
          <t>Mobile App</t>
        </is>
      </c>
      <c r="H4331" t="inlineStr">
        <is>
          <t>UPI</t>
        </is>
      </c>
      <c r="I4331" t="inlineStr">
        <is>
          <t>Delivered</t>
        </is>
      </c>
      <c r="J4331" t="n">
        <v>104</v>
      </c>
      <c r="K4331" t="n">
        <v>1</v>
      </c>
      <c r="L4331" t="n">
        <v>5249</v>
      </c>
      <c r="M4331" t="n">
        <v>0</v>
      </c>
      <c r="N4331">
        <f>VLOOKUP(J4331,Products!$A$2:$C$49,3,FALSE)</f>
        <v/>
      </c>
      <c r="O4331">
        <f>K4331*L4331-M4331</f>
        <v/>
      </c>
      <c r="P4331">
        <f>TEXT(B4331,"yyyy-mm")</f>
        <v/>
      </c>
      <c r="Q4331">
        <f>IF(O4331&gt;=3000,"Large","Small")</f>
        <v/>
      </c>
      <c r="R4331">
        <f>INDEX(Products!$F$2:$F$49,MATCH(J4331,Products!$A$2:$A$49,0))</f>
        <v/>
      </c>
      <c r="S4331">
        <f>WEEKDAY(B4331,2)</f>
        <v/>
      </c>
    </row>
    <row r="4332">
      <c r="A4332" t="n">
        <v>511756</v>
      </c>
      <c r="B4332" s="6" t="n">
        <v>46017</v>
      </c>
      <c r="C4332" t="n">
        <v>17868</v>
      </c>
      <c r="D4332" t="inlineStr">
        <is>
          <t>Hyderabad</t>
        </is>
      </c>
      <c r="E4332" t="inlineStr">
        <is>
          <t>South</t>
        </is>
      </c>
      <c r="F4332" t="inlineStr">
        <is>
          <t>Paid Social</t>
        </is>
      </c>
      <c r="G4332" t="inlineStr">
        <is>
          <t>Mobile App</t>
        </is>
      </c>
      <c r="H4332" t="inlineStr">
        <is>
          <t>Credit Card</t>
        </is>
      </c>
      <c r="I4332" t="inlineStr">
        <is>
          <t>Delivered</t>
        </is>
      </c>
      <c r="J4332" t="n">
        <v>118</v>
      </c>
      <c r="K4332" t="n">
        <v>1</v>
      </c>
      <c r="L4332" t="n">
        <v>944</v>
      </c>
      <c r="M4332" t="n">
        <v>0</v>
      </c>
      <c r="N4332">
        <f>VLOOKUP(J4332,Products!$A$2:$C$49,3,FALSE)</f>
        <v/>
      </c>
      <c r="O4332">
        <f>K4332*L4332-M4332</f>
        <v/>
      </c>
      <c r="P4332">
        <f>TEXT(B4332,"yyyy-mm")</f>
        <v/>
      </c>
      <c r="Q4332">
        <f>IF(O4332&gt;=3000,"Large","Small")</f>
        <v/>
      </c>
      <c r="R4332">
        <f>INDEX(Products!$F$2:$F$49,MATCH(J4332,Products!$A$2:$A$49,0))</f>
        <v/>
      </c>
      <c r="S4332">
        <f>WEEKDAY(B4332,2)</f>
        <v/>
      </c>
    </row>
    <row r="4333">
      <c r="A4333" t="n">
        <v>511756</v>
      </c>
      <c r="B4333" s="6" t="n">
        <v>46017</v>
      </c>
      <c r="C4333" t="n">
        <v>17868</v>
      </c>
      <c r="D4333" t="inlineStr">
        <is>
          <t>Hyderabad</t>
        </is>
      </c>
      <c r="E4333" t="inlineStr">
        <is>
          <t>South</t>
        </is>
      </c>
      <c r="F4333" t="inlineStr">
        <is>
          <t>Paid Social</t>
        </is>
      </c>
      <c r="G4333" t="inlineStr">
        <is>
          <t>Mobile App</t>
        </is>
      </c>
      <c r="H4333" t="inlineStr">
        <is>
          <t>Credit Card</t>
        </is>
      </c>
      <c r="I4333" t="inlineStr">
        <is>
          <t>Delivered</t>
        </is>
      </c>
      <c r="J4333" t="n">
        <v>107</v>
      </c>
      <c r="K4333" t="n">
        <v>1</v>
      </c>
      <c r="L4333" t="n">
        <v>1259</v>
      </c>
      <c r="M4333" t="n">
        <v>0</v>
      </c>
      <c r="N4333">
        <f>VLOOKUP(J4333,Products!$A$2:$C$49,3,FALSE)</f>
        <v/>
      </c>
      <c r="O4333">
        <f>K4333*L4333-M4333</f>
        <v/>
      </c>
      <c r="P4333">
        <f>TEXT(B4333,"yyyy-mm")</f>
        <v/>
      </c>
      <c r="Q4333">
        <f>IF(O4333&gt;=3000,"Large","Small")</f>
        <v/>
      </c>
      <c r="R4333">
        <f>INDEX(Products!$F$2:$F$49,MATCH(J4333,Products!$A$2:$A$49,0))</f>
        <v/>
      </c>
      <c r="S4333">
        <f>WEEKDAY(B4333,2)</f>
        <v/>
      </c>
    </row>
    <row r="4334">
      <c r="A4334" t="n">
        <v>511757</v>
      </c>
      <c r="B4334" s="6" t="n">
        <v>46017</v>
      </c>
      <c r="C4334" t="n">
        <v>17882</v>
      </c>
      <c r="D4334" t="inlineStr">
        <is>
          <t>Hyderabad</t>
        </is>
      </c>
      <c r="E4334" t="inlineStr">
        <is>
          <t>South</t>
        </is>
      </c>
      <c r="F4334" t="inlineStr">
        <is>
          <t>Organic Search</t>
        </is>
      </c>
      <c r="G4334" t="inlineStr">
        <is>
          <t>Mobile App</t>
        </is>
      </c>
      <c r="H4334" t="inlineStr">
        <is>
          <t>UPI</t>
        </is>
      </c>
      <c r="I4334" t="inlineStr">
        <is>
          <t>Delivered</t>
        </is>
      </c>
      <c r="J4334" t="n">
        <v>113</v>
      </c>
      <c r="K4334" t="n">
        <v>1</v>
      </c>
      <c r="L4334" t="n">
        <v>1364</v>
      </c>
      <c r="M4334" t="n">
        <v>0</v>
      </c>
      <c r="N4334">
        <f>VLOOKUP(J4334,Products!$A$2:$C$49,3,FALSE)</f>
        <v/>
      </c>
      <c r="O4334">
        <f>K4334*L4334-M4334</f>
        <v/>
      </c>
      <c r="P4334">
        <f>TEXT(B4334,"yyyy-mm")</f>
        <v/>
      </c>
      <c r="Q4334">
        <f>IF(O4334&gt;=3000,"Large","Small")</f>
        <v/>
      </c>
      <c r="R4334">
        <f>INDEX(Products!$F$2:$F$49,MATCH(J4334,Products!$A$2:$A$49,0))</f>
        <v/>
      </c>
      <c r="S4334">
        <f>WEEKDAY(B4334,2)</f>
        <v/>
      </c>
    </row>
    <row r="4335">
      <c r="A4335" t="n">
        <v>511758</v>
      </c>
      <c r="B4335" s="6" t="n">
        <v>46017</v>
      </c>
      <c r="C4335" t="n">
        <v>16126</v>
      </c>
      <c r="D4335" t="inlineStr">
        <is>
          <t>Gurugram</t>
        </is>
      </c>
      <c r="E4335" t="inlineStr">
        <is>
          <t>North</t>
        </is>
      </c>
      <c r="F4335" t="inlineStr">
        <is>
          <t>Organic Search</t>
        </is>
      </c>
      <c r="G4335" t="inlineStr">
        <is>
          <t>Mobile Web</t>
        </is>
      </c>
      <c r="H4335" t="inlineStr">
        <is>
          <t>Debit Card</t>
        </is>
      </c>
      <c r="I4335" t="inlineStr">
        <is>
          <t>Delivered</t>
        </is>
      </c>
      <c r="J4335" t="n">
        <v>134</v>
      </c>
      <c r="K4335" t="n">
        <v>2</v>
      </c>
      <c r="L4335" t="n">
        <v>209</v>
      </c>
      <c r="M4335" t="n">
        <v>0</v>
      </c>
      <c r="N4335">
        <f>VLOOKUP(J4335,Products!$A$2:$C$49,3,FALSE)</f>
        <v/>
      </c>
      <c r="O4335">
        <f>K4335*L4335-M4335</f>
        <v/>
      </c>
      <c r="P4335">
        <f>TEXT(B4335,"yyyy-mm")</f>
        <v/>
      </c>
      <c r="Q4335">
        <f>IF(O4335&gt;=3000,"Large","Small")</f>
        <v/>
      </c>
      <c r="R4335">
        <f>INDEX(Products!$F$2:$F$49,MATCH(J4335,Products!$A$2:$A$49,0))</f>
        <v/>
      </c>
      <c r="S4335">
        <f>WEEKDAY(B4335,2)</f>
        <v/>
      </c>
    </row>
    <row r="4336">
      <c r="A4336" t="n">
        <v>511759</v>
      </c>
      <c r="B4336" s="6" t="n">
        <v>46017</v>
      </c>
      <c r="C4336" t="n">
        <v>17875</v>
      </c>
      <c r="D4336" t="inlineStr">
        <is>
          <t>Delhi</t>
        </is>
      </c>
      <c r="E4336" t="inlineStr">
        <is>
          <t>North</t>
        </is>
      </c>
      <c r="F4336" t="inlineStr">
        <is>
          <t>Email</t>
        </is>
      </c>
      <c r="G4336" t="inlineStr">
        <is>
          <t>Mobile Web</t>
        </is>
      </c>
      <c r="H4336" t="inlineStr">
        <is>
          <t>Debit Card</t>
        </is>
      </c>
      <c r="I4336" t="inlineStr">
        <is>
          <t>Returned</t>
        </is>
      </c>
      <c r="J4336" t="n">
        <v>113</v>
      </c>
      <c r="K4336" t="n">
        <v>1</v>
      </c>
      <c r="L4336" t="n">
        <v>1364</v>
      </c>
      <c r="M4336" t="n">
        <v>204.6</v>
      </c>
      <c r="N4336">
        <f>VLOOKUP(J4336,Products!$A$2:$C$49,3,FALSE)</f>
        <v/>
      </c>
      <c r="O4336">
        <f>K4336*L4336-M4336</f>
        <v/>
      </c>
      <c r="P4336">
        <f>TEXT(B4336,"yyyy-mm")</f>
        <v/>
      </c>
      <c r="Q4336">
        <f>IF(O4336&gt;=3000,"Large","Small")</f>
        <v/>
      </c>
      <c r="R4336">
        <f>INDEX(Products!$F$2:$F$49,MATCH(J4336,Products!$A$2:$A$49,0))</f>
        <v/>
      </c>
      <c r="S4336">
        <f>WEEKDAY(B4336,2)</f>
        <v/>
      </c>
    </row>
    <row r="4337">
      <c r="A4337" t="n">
        <v>511760</v>
      </c>
      <c r="B4337" s="6" t="n">
        <v>46017</v>
      </c>
      <c r="C4337" t="n">
        <v>17834</v>
      </c>
      <c r="D4337" t="inlineStr">
        <is>
          <t>Bengaluru</t>
        </is>
      </c>
      <c r="E4337" t="inlineStr">
        <is>
          <t>South</t>
        </is>
      </c>
      <c r="F4337" t="inlineStr">
        <is>
          <t>Paid Search</t>
        </is>
      </c>
      <c r="G4337" t="inlineStr">
        <is>
          <t>Mobile App</t>
        </is>
      </c>
      <c r="H4337" t="inlineStr">
        <is>
          <t>Cash on Delivery</t>
        </is>
      </c>
      <c r="I4337" t="inlineStr">
        <is>
          <t>Returned</t>
        </is>
      </c>
      <c r="J4337" t="n">
        <v>111</v>
      </c>
      <c r="K4337" t="n">
        <v>1</v>
      </c>
      <c r="L4337" t="n">
        <v>524</v>
      </c>
      <c r="M4337" t="n">
        <v>0</v>
      </c>
      <c r="N4337">
        <f>VLOOKUP(J4337,Products!$A$2:$C$49,3,FALSE)</f>
        <v/>
      </c>
      <c r="O4337">
        <f>K4337*L4337-M4337</f>
        <v/>
      </c>
      <c r="P4337">
        <f>TEXT(B4337,"yyyy-mm")</f>
        <v/>
      </c>
      <c r="Q4337">
        <f>IF(O4337&gt;=3000,"Large","Small")</f>
        <v/>
      </c>
      <c r="R4337">
        <f>INDEX(Products!$F$2:$F$49,MATCH(J4337,Products!$A$2:$A$49,0))</f>
        <v/>
      </c>
      <c r="S4337">
        <f>WEEKDAY(B4337,2)</f>
        <v/>
      </c>
    </row>
    <row r="4338">
      <c r="A4338" t="n">
        <v>511761</v>
      </c>
      <c r="B4338" s="6" t="n">
        <v>46017</v>
      </c>
      <c r="C4338" t="n">
        <v>17883</v>
      </c>
      <c r="D4338" t="inlineStr">
        <is>
          <t>Mumbai</t>
        </is>
      </c>
      <c r="E4338" t="inlineStr">
        <is>
          <t>West</t>
        </is>
      </c>
      <c r="F4338" t="inlineStr">
        <is>
          <t>Paid Social</t>
        </is>
      </c>
      <c r="G4338" t="inlineStr">
        <is>
          <t>Desktop</t>
        </is>
      </c>
      <c r="H4338" t="inlineStr">
        <is>
          <t>UPI</t>
        </is>
      </c>
      <c r="I4338" t="inlineStr">
        <is>
          <t>Returned</t>
        </is>
      </c>
      <c r="J4338" t="n">
        <v>114</v>
      </c>
      <c r="K4338" t="n">
        <v>1</v>
      </c>
      <c r="L4338" t="n">
        <v>1259</v>
      </c>
      <c r="M4338" t="n">
        <v>188.85</v>
      </c>
      <c r="N4338">
        <f>VLOOKUP(J4338,Products!$A$2:$C$49,3,FALSE)</f>
        <v/>
      </c>
      <c r="O4338">
        <f>K4338*L4338-M4338</f>
        <v/>
      </c>
      <c r="P4338">
        <f>TEXT(B4338,"yyyy-mm")</f>
        <v/>
      </c>
      <c r="Q4338">
        <f>IF(O4338&gt;=3000,"Large","Small")</f>
        <v/>
      </c>
      <c r="R4338">
        <f>INDEX(Products!$F$2:$F$49,MATCH(J4338,Products!$A$2:$A$49,0))</f>
        <v/>
      </c>
      <c r="S4338">
        <f>WEEKDAY(B4338,2)</f>
        <v/>
      </c>
    </row>
    <row r="4339">
      <c r="A4339" t="n">
        <v>511762</v>
      </c>
      <c r="B4339" s="6" t="n">
        <v>46017</v>
      </c>
      <c r="C4339" t="n">
        <v>17903</v>
      </c>
      <c r="D4339" t="inlineStr">
        <is>
          <t>Delhi</t>
        </is>
      </c>
      <c r="E4339" t="inlineStr">
        <is>
          <t>North</t>
        </is>
      </c>
      <c r="F4339" t="inlineStr">
        <is>
          <t>Paid Social</t>
        </is>
      </c>
      <c r="G4339" t="inlineStr">
        <is>
          <t>Desktop</t>
        </is>
      </c>
      <c r="H4339" t="inlineStr">
        <is>
          <t>UPI</t>
        </is>
      </c>
      <c r="I4339" t="inlineStr">
        <is>
          <t>Delivered</t>
        </is>
      </c>
      <c r="J4339" t="n">
        <v>120</v>
      </c>
      <c r="K4339" t="n">
        <v>3</v>
      </c>
      <c r="L4339" t="n">
        <v>734</v>
      </c>
      <c r="M4339" t="n">
        <v>330.3</v>
      </c>
      <c r="N4339">
        <f>VLOOKUP(J4339,Products!$A$2:$C$49,3,FALSE)</f>
        <v/>
      </c>
      <c r="O4339">
        <f>K4339*L4339-M4339</f>
        <v/>
      </c>
      <c r="P4339">
        <f>TEXT(B4339,"yyyy-mm")</f>
        <v/>
      </c>
      <c r="Q4339">
        <f>IF(O4339&gt;=3000,"Large","Small")</f>
        <v/>
      </c>
      <c r="R4339">
        <f>INDEX(Products!$F$2:$F$49,MATCH(J4339,Products!$A$2:$A$49,0))</f>
        <v/>
      </c>
      <c r="S4339">
        <f>WEEKDAY(B4339,2)</f>
        <v/>
      </c>
    </row>
    <row r="4340">
      <c r="A4340" t="n">
        <v>511762</v>
      </c>
      <c r="B4340" s="6" t="n">
        <v>46017</v>
      </c>
      <c r="C4340" t="n">
        <v>17903</v>
      </c>
      <c r="D4340" t="inlineStr">
        <is>
          <t>Delhi</t>
        </is>
      </c>
      <c r="E4340" t="inlineStr">
        <is>
          <t>North</t>
        </is>
      </c>
      <c r="F4340" t="inlineStr">
        <is>
          <t>Paid Social</t>
        </is>
      </c>
      <c r="G4340" t="inlineStr">
        <is>
          <t>Desktop</t>
        </is>
      </c>
      <c r="H4340" t="inlineStr">
        <is>
          <t>UPI</t>
        </is>
      </c>
      <c r="I4340" t="inlineStr">
        <is>
          <t>Delivered</t>
        </is>
      </c>
      <c r="J4340" t="n">
        <v>101</v>
      </c>
      <c r="K4340" t="n">
        <v>1</v>
      </c>
      <c r="L4340" t="n">
        <v>2099</v>
      </c>
      <c r="M4340" t="n">
        <v>314.85</v>
      </c>
      <c r="N4340">
        <f>VLOOKUP(J4340,Products!$A$2:$C$49,3,FALSE)</f>
        <v/>
      </c>
      <c r="O4340">
        <f>K4340*L4340-M4340</f>
        <v/>
      </c>
      <c r="P4340">
        <f>TEXT(B4340,"yyyy-mm")</f>
        <v/>
      </c>
      <c r="Q4340">
        <f>IF(O4340&gt;=3000,"Large","Small")</f>
        <v/>
      </c>
      <c r="R4340">
        <f>INDEX(Products!$F$2:$F$49,MATCH(J4340,Products!$A$2:$A$49,0))</f>
        <v/>
      </c>
      <c r="S4340">
        <f>WEEKDAY(B4340,2)</f>
        <v/>
      </c>
    </row>
    <row r="4341">
      <c r="A4341" t="n">
        <v>511763</v>
      </c>
      <c r="B4341" s="6" t="n">
        <v>46017</v>
      </c>
      <c r="C4341" t="n">
        <v>17894</v>
      </c>
      <c r="D4341" t="inlineStr">
        <is>
          <t>Mumbai</t>
        </is>
      </c>
      <c r="E4341" t="inlineStr">
        <is>
          <t>West</t>
        </is>
      </c>
      <c r="F4341" t="inlineStr">
        <is>
          <t>Email</t>
        </is>
      </c>
      <c r="G4341" t="inlineStr">
        <is>
          <t>Mobile App</t>
        </is>
      </c>
      <c r="H4341" t="inlineStr">
        <is>
          <t>UPI</t>
        </is>
      </c>
      <c r="I4341" t="inlineStr">
        <is>
          <t>Delivered</t>
        </is>
      </c>
      <c r="J4341" t="n">
        <v>105</v>
      </c>
      <c r="K4341" t="n">
        <v>1</v>
      </c>
      <c r="L4341" t="n">
        <v>2414</v>
      </c>
      <c r="M4341" t="n">
        <v>0</v>
      </c>
      <c r="N4341">
        <f>VLOOKUP(J4341,Products!$A$2:$C$49,3,FALSE)</f>
        <v/>
      </c>
      <c r="O4341">
        <f>K4341*L4341-M4341</f>
        <v/>
      </c>
      <c r="P4341">
        <f>TEXT(B4341,"yyyy-mm")</f>
        <v/>
      </c>
      <c r="Q4341">
        <f>IF(O4341&gt;=3000,"Large","Small")</f>
        <v/>
      </c>
      <c r="R4341">
        <f>INDEX(Products!$F$2:$F$49,MATCH(J4341,Products!$A$2:$A$49,0))</f>
        <v/>
      </c>
      <c r="S4341">
        <f>WEEKDAY(B4341,2)</f>
        <v/>
      </c>
    </row>
    <row r="4342">
      <c r="A4342" t="n">
        <v>511764</v>
      </c>
      <c r="B4342" s="6" t="n">
        <v>46017</v>
      </c>
      <c r="C4342" t="n">
        <v>15747</v>
      </c>
      <c r="D4342" t="inlineStr">
        <is>
          <t>Mumbai</t>
        </is>
      </c>
      <c r="E4342" t="inlineStr">
        <is>
          <t>West</t>
        </is>
      </c>
      <c r="F4342" t="inlineStr">
        <is>
          <t>Referral</t>
        </is>
      </c>
      <c r="G4342" t="inlineStr">
        <is>
          <t>Desktop</t>
        </is>
      </c>
      <c r="H4342" t="inlineStr">
        <is>
          <t>Credit Card</t>
        </is>
      </c>
      <c r="I4342" t="inlineStr">
        <is>
          <t>Delivered</t>
        </is>
      </c>
      <c r="J4342" t="n">
        <v>116</v>
      </c>
      <c r="K4342" t="n">
        <v>2</v>
      </c>
      <c r="L4342" t="n">
        <v>2624</v>
      </c>
      <c r="M4342" t="n">
        <v>0</v>
      </c>
      <c r="N4342">
        <f>VLOOKUP(J4342,Products!$A$2:$C$49,3,FALSE)</f>
        <v/>
      </c>
      <c r="O4342">
        <f>K4342*L4342-M4342</f>
        <v/>
      </c>
      <c r="P4342">
        <f>TEXT(B4342,"yyyy-mm")</f>
        <v/>
      </c>
      <c r="Q4342">
        <f>IF(O4342&gt;=3000,"Large","Small")</f>
        <v/>
      </c>
      <c r="R4342">
        <f>INDEX(Products!$F$2:$F$49,MATCH(J4342,Products!$A$2:$A$49,0))</f>
        <v/>
      </c>
      <c r="S4342">
        <f>WEEKDAY(B4342,2)</f>
        <v/>
      </c>
    </row>
    <row r="4343">
      <c r="A4343" t="n">
        <v>511764</v>
      </c>
      <c r="B4343" s="6" t="n">
        <v>46017</v>
      </c>
      <c r="C4343" t="n">
        <v>15747</v>
      </c>
      <c r="D4343" t="inlineStr">
        <is>
          <t>Mumbai</t>
        </is>
      </c>
      <c r="E4343" t="inlineStr">
        <is>
          <t>West</t>
        </is>
      </c>
      <c r="F4343" t="inlineStr">
        <is>
          <t>Referral</t>
        </is>
      </c>
      <c r="G4343" t="inlineStr">
        <is>
          <t>Desktop</t>
        </is>
      </c>
      <c r="H4343" t="inlineStr">
        <is>
          <t>Credit Card</t>
        </is>
      </c>
      <c r="I4343" t="inlineStr">
        <is>
          <t>Delivered</t>
        </is>
      </c>
      <c r="J4343" t="n">
        <v>126</v>
      </c>
      <c r="K4343" t="n">
        <v>1</v>
      </c>
      <c r="L4343" t="n">
        <v>471</v>
      </c>
      <c r="M4343" t="n">
        <v>0</v>
      </c>
      <c r="N4343">
        <f>VLOOKUP(J4343,Products!$A$2:$C$49,3,FALSE)</f>
        <v/>
      </c>
      <c r="O4343">
        <f>K4343*L4343-M4343</f>
        <v/>
      </c>
      <c r="P4343">
        <f>TEXT(B4343,"yyyy-mm")</f>
        <v/>
      </c>
      <c r="Q4343">
        <f>IF(O4343&gt;=3000,"Large","Small")</f>
        <v/>
      </c>
      <c r="R4343">
        <f>INDEX(Products!$F$2:$F$49,MATCH(J4343,Products!$A$2:$A$49,0))</f>
        <v/>
      </c>
      <c r="S4343">
        <f>WEEKDAY(B4343,2)</f>
        <v/>
      </c>
    </row>
    <row r="4344">
      <c r="A4344" t="n">
        <v>511764</v>
      </c>
      <c r="B4344" s="6" t="n">
        <v>46017</v>
      </c>
      <c r="C4344" t="n">
        <v>15747</v>
      </c>
      <c r="D4344" t="inlineStr">
        <is>
          <t>Mumbai</t>
        </is>
      </c>
      <c r="E4344" t="inlineStr">
        <is>
          <t>West</t>
        </is>
      </c>
      <c r="F4344" t="inlineStr">
        <is>
          <t>Referral</t>
        </is>
      </c>
      <c r="G4344" t="inlineStr">
        <is>
          <t>Desktop</t>
        </is>
      </c>
      <c r="H4344" t="inlineStr">
        <is>
          <t>Credit Card</t>
        </is>
      </c>
      <c r="I4344" t="inlineStr">
        <is>
          <t>Delivered</t>
        </is>
      </c>
      <c r="J4344" t="n">
        <v>120</v>
      </c>
      <c r="K4344" t="n">
        <v>1</v>
      </c>
      <c r="L4344" t="n">
        <v>734</v>
      </c>
      <c r="M4344" t="n">
        <v>0</v>
      </c>
      <c r="N4344">
        <f>VLOOKUP(J4344,Products!$A$2:$C$49,3,FALSE)</f>
        <v/>
      </c>
      <c r="O4344">
        <f>K4344*L4344-M4344</f>
        <v/>
      </c>
      <c r="P4344">
        <f>TEXT(B4344,"yyyy-mm")</f>
        <v/>
      </c>
      <c r="Q4344">
        <f>IF(O4344&gt;=3000,"Large","Small")</f>
        <v/>
      </c>
      <c r="R4344">
        <f>INDEX(Products!$F$2:$F$49,MATCH(J4344,Products!$A$2:$A$49,0))</f>
        <v/>
      </c>
      <c r="S4344">
        <f>WEEKDAY(B4344,2)</f>
        <v/>
      </c>
    </row>
    <row r="4345">
      <c r="A4345" t="n">
        <v>511765</v>
      </c>
      <c r="B4345" s="6" t="n">
        <v>46017</v>
      </c>
      <c r="C4345" t="n">
        <v>17802</v>
      </c>
      <c r="D4345" t="inlineStr">
        <is>
          <t>Gurugram</t>
        </is>
      </c>
      <c r="E4345" t="inlineStr">
        <is>
          <t>North</t>
        </is>
      </c>
      <c r="F4345" t="inlineStr">
        <is>
          <t>Referral</t>
        </is>
      </c>
      <c r="G4345" t="inlineStr">
        <is>
          <t>Mobile App</t>
        </is>
      </c>
      <c r="H4345" t="inlineStr">
        <is>
          <t>UPI</t>
        </is>
      </c>
      <c r="I4345" t="inlineStr">
        <is>
          <t>Delivered</t>
        </is>
      </c>
      <c r="J4345" t="n">
        <v>114</v>
      </c>
      <c r="K4345" t="n">
        <v>1</v>
      </c>
      <c r="L4345" t="n">
        <v>1259</v>
      </c>
      <c r="M4345" t="n">
        <v>0</v>
      </c>
      <c r="N4345">
        <f>VLOOKUP(J4345,Products!$A$2:$C$49,3,FALSE)</f>
        <v/>
      </c>
      <c r="O4345">
        <f>K4345*L4345-M4345</f>
        <v/>
      </c>
      <c r="P4345">
        <f>TEXT(B4345,"yyyy-mm")</f>
        <v/>
      </c>
      <c r="Q4345">
        <f>IF(O4345&gt;=3000,"Large","Small")</f>
        <v/>
      </c>
      <c r="R4345">
        <f>INDEX(Products!$F$2:$F$49,MATCH(J4345,Products!$A$2:$A$49,0))</f>
        <v/>
      </c>
      <c r="S4345">
        <f>WEEKDAY(B4345,2)</f>
        <v/>
      </c>
    </row>
    <row r="4346">
      <c r="A4346" t="n">
        <v>511766</v>
      </c>
      <c r="B4346" s="6" t="n">
        <v>46017</v>
      </c>
      <c r="C4346" t="n">
        <v>17415</v>
      </c>
      <c r="D4346" t="inlineStr">
        <is>
          <t>Mumbai</t>
        </is>
      </c>
      <c r="E4346" t="inlineStr">
        <is>
          <t>West</t>
        </is>
      </c>
      <c r="F4346" t="inlineStr">
        <is>
          <t>Paid Social</t>
        </is>
      </c>
      <c r="G4346" t="inlineStr">
        <is>
          <t>Mobile App</t>
        </is>
      </c>
      <c r="H4346" t="inlineStr">
        <is>
          <t>Cash on Delivery</t>
        </is>
      </c>
      <c r="I4346" t="inlineStr">
        <is>
          <t>Cancelled</t>
        </is>
      </c>
      <c r="J4346" t="n">
        <v>126</v>
      </c>
      <c r="K4346" t="n">
        <v>1</v>
      </c>
      <c r="L4346" t="n">
        <v>471</v>
      </c>
      <c r="M4346" t="n">
        <v>0</v>
      </c>
      <c r="N4346">
        <f>VLOOKUP(J4346,Products!$A$2:$C$49,3,FALSE)</f>
        <v/>
      </c>
      <c r="O4346">
        <f>K4346*L4346-M4346</f>
        <v/>
      </c>
      <c r="P4346">
        <f>TEXT(B4346,"yyyy-mm")</f>
        <v/>
      </c>
      <c r="Q4346">
        <f>IF(O4346&gt;=3000,"Large","Small")</f>
        <v/>
      </c>
      <c r="R4346">
        <f>INDEX(Products!$F$2:$F$49,MATCH(J4346,Products!$A$2:$A$49,0))</f>
        <v/>
      </c>
      <c r="S4346">
        <f>WEEKDAY(B4346,2)</f>
        <v/>
      </c>
    </row>
    <row r="4347">
      <c r="A4347" t="n">
        <v>511767</v>
      </c>
      <c r="B4347" s="6" t="n">
        <v>46017</v>
      </c>
      <c r="C4347" t="n">
        <v>15738</v>
      </c>
      <c r="D4347" t="inlineStr">
        <is>
          <t>Delhi</t>
        </is>
      </c>
      <c r="E4347" t="inlineStr">
        <is>
          <t>North</t>
        </is>
      </c>
      <c r="F4347" t="inlineStr">
        <is>
          <t>Organic Search</t>
        </is>
      </c>
      <c r="G4347" t="inlineStr">
        <is>
          <t>Mobile Web</t>
        </is>
      </c>
      <c r="H4347" t="inlineStr">
        <is>
          <t>Debit Card</t>
        </is>
      </c>
      <c r="I4347" t="inlineStr">
        <is>
          <t>Cancelled</t>
        </is>
      </c>
      <c r="J4347" t="n">
        <v>139</v>
      </c>
      <c r="K4347" t="n">
        <v>1</v>
      </c>
      <c r="L4347" t="n">
        <v>366</v>
      </c>
      <c r="M4347" t="n">
        <v>0</v>
      </c>
      <c r="N4347">
        <f>VLOOKUP(J4347,Products!$A$2:$C$49,3,FALSE)</f>
        <v/>
      </c>
      <c r="O4347">
        <f>K4347*L4347-M4347</f>
        <v/>
      </c>
      <c r="P4347">
        <f>TEXT(B4347,"yyyy-mm")</f>
        <v/>
      </c>
      <c r="Q4347">
        <f>IF(O4347&gt;=3000,"Large","Small")</f>
        <v/>
      </c>
      <c r="R4347">
        <f>INDEX(Products!$F$2:$F$49,MATCH(J4347,Products!$A$2:$A$49,0))</f>
        <v/>
      </c>
      <c r="S4347">
        <f>WEEKDAY(B4347,2)</f>
        <v/>
      </c>
    </row>
    <row r="4348">
      <c r="A4348" t="n">
        <v>511768</v>
      </c>
      <c r="B4348" s="6" t="n">
        <v>46018</v>
      </c>
      <c r="C4348" t="n">
        <v>17209</v>
      </c>
      <c r="D4348" t="inlineStr">
        <is>
          <t>Mumbai</t>
        </is>
      </c>
      <c r="E4348" t="inlineStr">
        <is>
          <t>West</t>
        </is>
      </c>
      <c r="F4348" t="inlineStr">
        <is>
          <t>Referral</t>
        </is>
      </c>
      <c r="G4348" t="inlineStr">
        <is>
          <t>Mobile App</t>
        </is>
      </c>
      <c r="H4348" t="inlineStr">
        <is>
          <t>UPI</t>
        </is>
      </c>
      <c r="I4348" t="inlineStr">
        <is>
          <t>Shipped</t>
        </is>
      </c>
      <c r="J4348" t="n">
        <v>134</v>
      </c>
      <c r="K4348" t="n">
        <v>2</v>
      </c>
      <c r="L4348" t="n">
        <v>209</v>
      </c>
      <c r="M4348" t="n">
        <v>0</v>
      </c>
      <c r="N4348">
        <f>VLOOKUP(J4348,Products!$A$2:$C$49,3,FALSE)</f>
        <v/>
      </c>
      <c r="O4348">
        <f>K4348*L4348-M4348</f>
        <v/>
      </c>
      <c r="P4348">
        <f>TEXT(B4348,"yyyy-mm")</f>
        <v/>
      </c>
      <c r="Q4348">
        <f>IF(O4348&gt;=3000,"Large","Small")</f>
        <v/>
      </c>
      <c r="R4348">
        <f>INDEX(Products!$F$2:$F$49,MATCH(J4348,Products!$A$2:$A$49,0))</f>
        <v/>
      </c>
      <c r="S4348">
        <f>WEEKDAY(B4348,2)</f>
        <v/>
      </c>
    </row>
    <row r="4349">
      <c r="A4349" t="n">
        <v>511769</v>
      </c>
      <c r="B4349" s="6" t="n">
        <v>46018</v>
      </c>
      <c r="C4349" t="n">
        <v>16883</v>
      </c>
      <c r="D4349" t="inlineStr">
        <is>
          <t>Noida</t>
        </is>
      </c>
      <c r="E4349" t="inlineStr">
        <is>
          <t>North</t>
        </is>
      </c>
      <c r="F4349" t="inlineStr">
        <is>
          <t>Organic Search</t>
        </is>
      </c>
      <c r="G4349" t="inlineStr">
        <is>
          <t>Desktop</t>
        </is>
      </c>
      <c r="H4349" t="inlineStr">
        <is>
          <t>Cash on Delivery</t>
        </is>
      </c>
      <c r="I4349" t="inlineStr">
        <is>
          <t>Shipped</t>
        </is>
      </c>
      <c r="J4349" t="n">
        <v>135</v>
      </c>
      <c r="K4349" t="n">
        <v>1</v>
      </c>
      <c r="L4349" t="n">
        <v>1574</v>
      </c>
      <c r="M4349" t="n">
        <v>0</v>
      </c>
      <c r="N4349">
        <f>VLOOKUP(J4349,Products!$A$2:$C$49,3,FALSE)</f>
        <v/>
      </c>
      <c r="O4349">
        <f>K4349*L4349-M4349</f>
        <v/>
      </c>
      <c r="P4349">
        <f>TEXT(B4349,"yyyy-mm")</f>
        <v/>
      </c>
      <c r="Q4349">
        <f>IF(O4349&gt;=3000,"Large","Small")</f>
        <v/>
      </c>
      <c r="R4349">
        <f>INDEX(Products!$F$2:$F$49,MATCH(J4349,Products!$A$2:$A$49,0))</f>
        <v/>
      </c>
      <c r="S4349">
        <f>WEEKDAY(B4349,2)</f>
        <v/>
      </c>
    </row>
    <row r="4350">
      <c r="A4350" t="n">
        <v>511769</v>
      </c>
      <c r="B4350" s="6" t="n">
        <v>46018</v>
      </c>
      <c r="C4350" t="n">
        <v>16883</v>
      </c>
      <c r="D4350" t="inlineStr">
        <is>
          <t>Noida</t>
        </is>
      </c>
      <c r="E4350" t="inlineStr">
        <is>
          <t>North</t>
        </is>
      </c>
      <c r="F4350" t="inlineStr">
        <is>
          <t>Organic Search</t>
        </is>
      </c>
      <c r="G4350" t="inlineStr">
        <is>
          <t>Desktop</t>
        </is>
      </c>
      <c r="H4350" t="inlineStr">
        <is>
          <t>Cash on Delivery</t>
        </is>
      </c>
      <c r="I4350" t="inlineStr">
        <is>
          <t>Shipped</t>
        </is>
      </c>
      <c r="J4350" t="n">
        <v>122</v>
      </c>
      <c r="K4350" t="n">
        <v>1</v>
      </c>
      <c r="L4350" t="n">
        <v>1994</v>
      </c>
      <c r="M4350" t="n">
        <v>0</v>
      </c>
      <c r="N4350">
        <f>VLOOKUP(J4350,Products!$A$2:$C$49,3,FALSE)</f>
        <v/>
      </c>
      <c r="O4350">
        <f>K4350*L4350-M4350</f>
        <v/>
      </c>
      <c r="P4350">
        <f>TEXT(B4350,"yyyy-mm")</f>
        <v/>
      </c>
      <c r="Q4350">
        <f>IF(O4350&gt;=3000,"Large","Small")</f>
        <v/>
      </c>
      <c r="R4350">
        <f>INDEX(Products!$F$2:$F$49,MATCH(J4350,Products!$A$2:$A$49,0))</f>
        <v/>
      </c>
      <c r="S4350">
        <f>WEEKDAY(B4350,2)</f>
        <v/>
      </c>
    </row>
    <row r="4351">
      <c r="A4351" t="n">
        <v>511770</v>
      </c>
      <c r="B4351" s="6" t="n">
        <v>46018</v>
      </c>
      <c r="C4351" t="n">
        <v>14227</v>
      </c>
      <c r="D4351" t="inlineStr">
        <is>
          <t>Ahmedabad</t>
        </is>
      </c>
      <c r="E4351" t="inlineStr">
        <is>
          <t>West</t>
        </is>
      </c>
      <c r="F4351" t="inlineStr">
        <is>
          <t>Organic Search</t>
        </is>
      </c>
      <c r="G4351" t="inlineStr">
        <is>
          <t>Desktop</t>
        </is>
      </c>
      <c r="H4351" t="inlineStr">
        <is>
          <t>Cash on Delivery</t>
        </is>
      </c>
      <c r="I4351" t="inlineStr">
        <is>
          <t>Shipped</t>
        </is>
      </c>
      <c r="J4351" t="n">
        <v>111</v>
      </c>
      <c r="K4351" t="n">
        <v>1</v>
      </c>
      <c r="L4351" t="n">
        <v>524</v>
      </c>
      <c r="M4351" t="n">
        <v>0</v>
      </c>
      <c r="N4351">
        <f>VLOOKUP(J4351,Products!$A$2:$C$49,3,FALSE)</f>
        <v/>
      </c>
      <c r="O4351">
        <f>K4351*L4351-M4351</f>
        <v/>
      </c>
      <c r="P4351">
        <f>TEXT(B4351,"yyyy-mm")</f>
        <v/>
      </c>
      <c r="Q4351">
        <f>IF(O4351&gt;=3000,"Large","Small")</f>
        <v/>
      </c>
      <c r="R4351">
        <f>INDEX(Products!$F$2:$F$49,MATCH(J4351,Products!$A$2:$A$49,0))</f>
        <v/>
      </c>
      <c r="S4351">
        <f>WEEKDAY(B4351,2)</f>
        <v/>
      </c>
    </row>
    <row r="4352">
      <c r="A4352" t="n">
        <v>511770</v>
      </c>
      <c r="B4352" s="6" t="n">
        <v>46018</v>
      </c>
      <c r="C4352" t="n">
        <v>14227</v>
      </c>
      <c r="D4352" t="inlineStr">
        <is>
          <t>Ahmedabad</t>
        </is>
      </c>
      <c r="E4352" t="inlineStr">
        <is>
          <t>West</t>
        </is>
      </c>
      <c r="F4352" t="inlineStr">
        <is>
          <t>Organic Search</t>
        </is>
      </c>
      <c r="G4352" t="inlineStr">
        <is>
          <t>Desktop</t>
        </is>
      </c>
      <c r="H4352" t="inlineStr">
        <is>
          <t>Cash on Delivery</t>
        </is>
      </c>
      <c r="I4352" t="inlineStr">
        <is>
          <t>Shipped</t>
        </is>
      </c>
      <c r="J4352" t="n">
        <v>102</v>
      </c>
      <c r="K4352" t="n">
        <v>1</v>
      </c>
      <c r="L4352" t="n">
        <v>3674</v>
      </c>
      <c r="M4352" t="n">
        <v>0</v>
      </c>
      <c r="N4352">
        <f>VLOOKUP(J4352,Products!$A$2:$C$49,3,FALSE)</f>
        <v/>
      </c>
      <c r="O4352">
        <f>K4352*L4352-M4352</f>
        <v/>
      </c>
      <c r="P4352">
        <f>TEXT(B4352,"yyyy-mm")</f>
        <v/>
      </c>
      <c r="Q4352">
        <f>IF(O4352&gt;=3000,"Large","Small")</f>
        <v/>
      </c>
      <c r="R4352">
        <f>INDEX(Products!$F$2:$F$49,MATCH(J4352,Products!$A$2:$A$49,0))</f>
        <v/>
      </c>
      <c r="S4352">
        <f>WEEKDAY(B4352,2)</f>
        <v/>
      </c>
    </row>
    <row r="4353">
      <c r="A4353" t="n">
        <v>511771</v>
      </c>
      <c r="B4353" s="6" t="n">
        <v>46018</v>
      </c>
      <c r="C4353" t="n">
        <v>17930</v>
      </c>
      <c r="D4353" t="inlineStr">
        <is>
          <t>Gurugram</t>
        </is>
      </c>
      <c r="E4353" t="inlineStr">
        <is>
          <t>North</t>
        </is>
      </c>
      <c r="F4353" t="inlineStr">
        <is>
          <t>Email</t>
        </is>
      </c>
      <c r="G4353" t="inlineStr">
        <is>
          <t>Desktop</t>
        </is>
      </c>
      <c r="H4353" t="inlineStr">
        <is>
          <t>Credit Card</t>
        </is>
      </c>
      <c r="I4353" t="inlineStr">
        <is>
          <t>Shipped</t>
        </is>
      </c>
      <c r="J4353" t="n">
        <v>111</v>
      </c>
      <c r="K4353" t="n">
        <v>1</v>
      </c>
      <c r="L4353" t="n">
        <v>524</v>
      </c>
      <c r="M4353" t="n">
        <v>78.59999999999999</v>
      </c>
      <c r="N4353">
        <f>VLOOKUP(J4353,Products!$A$2:$C$49,3,FALSE)</f>
        <v/>
      </c>
      <c r="O4353">
        <f>K4353*L4353-M4353</f>
        <v/>
      </c>
      <c r="P4353">
        <f>TEXT(B4353,"yyyy-mm")</f>
        <v/>
      </c>
      <c r="Q4353">
        <f>IF(O4353&gt;=3000,"Large","Small")</f>
        <v/>
      </c>
      <c r="R4353">
        <f>INDEX(Products!$F$2:$F$49,MATCH(J4353,Products!$A$2:$A$49,0))</f>
        <v/>
      </c>
      <c r="S4353">
        <f>WEEKDAY(B4353,2)</f>
        <v/>
      </c>
    </row>
    <row r="4354">
      <c r="A4354" t="n">
        <v>511771</v>
      </c>
      <c r="B4354" s="6" t="n">
        <v>46018</v>
      </c>
      <c r="C4354" t="n">
        <v>17930</v>
      </c>
      <c r="D4354" t="inlineStr">
        <is>
          <t>Gurugram</t>
        </is>
      </c>
      <c r="E4354" t="inlineStr">
        <is>
          <t>North</t>
        </is>
      </c>
      <c r="F4354" t="inlineStr">
        <is>
          <t>Email</t>
        </is>
      </c>
      <c r="G4354" t="inlineStr">
        <is>
          <t>Desktop</t>
        </is>
      </c>
      <c r="H4354" t="inlineStr">
        <is>
          <t>Credit Card</t>
        </is>
      </c>
      <c r="I4354" t="inlineStr">
        <is>
          <t>Shipped</t>
        </is>
      </c>
      <c r="J4354" t="n">
        <v>112</v>
      </c>
      <c r="K4354" t="n">
        <v>1</v>
      </c>
      <c r="L4354" t="n">
        <v>1574</v>
      </c>
      <c r="M4354" t="n">
        <v>236.1</v>
      </c>
      <c r="N4354">
        <f>VLOOKUP(J4354,Products!$A$2:$C$49,3,FALSE)</f>
        <v/>
      </c>
      <c r="O4354">
        <f>K4354*L4354-M4354</f>
        <v/>
      </c>
      <c r="P4354">
        <f>TEXT(B4354,"yyyy-mm")</f>
        <v/>
      </c>
      <c r="Q4354">
        <f>IF(O4354&gt;=3000,"Large","Small")</f>
        <v/>
      </c>
      <c r="R4354">
        <f>INDEX(Products!$F$2:$F$49,MATCH(J4354,Products!$A$2:$A$49,0))</f>
        <v/>
      </c>
      <c r="S4354">
        <f>WEEKDAY(B4354,2)</f>
        <v/>
      </c>
    </row>
    <row r="4355">
      <c r="A4355" t="n">
        <v>511771</v>
      </c>
      <c r="B4355" s="6" t="n">
        <v>46018</v>
      </c>
      <c r="C4355" t="n">
        <v>17930</v>
      </c>
      <c r="D4355" t="inlineStr">
        <is>
          <t>Gurugram</t>
        </is>
      </c>
      <c r="E4355" t="inlineStr">
        <is>
          <t>North</t>
        </is>
      </c>
      <c r="F4355" t="inlineStr">
        <is>
          <t>Email</t>
        </is>
      </c>
      <c r="G4355" t="inlineStr">
        <is>
          <t>Desktop</t>
        </is>
      </c>
      <c r="H4355" t="inlineStr">
        <is>
          <t>Credit Card</t>
        </is>
      </c>
      <c r="I4355" t="inlineStr">
        <is>
          <t>Shipped</t>
        </is>
      </c>
      <c r="J4355" t="n">
        <v>116</v>
      </c>
      <c r="K4355" t="n">
        <v>2</v>
      </c>
      <c r="L4355" t="n">
        <v>2624</v>
      </c>
      <c r="M4355" t="n">
        <v>787.2</v>
      </c>
      <c r="N4355">
        <f>VLOOKUP(J4355,Products!$A$2:$C$49,3,FALSE)</f>
        <v/>
      </c>
      <c r="O4355">
        <f>K4355*L4355-M4355</f>
        <v/>
      </c>
      <c r="P4355">
        <f>TEXT(B4355,"yyyy-mm")</f>
        <v/>
      </c>
      <c r="Q4355">
        <f>IF(O4355&gt;=3000,"Large","Small")</f>
        <v/>
      </c>
      <c r="R4355">
        <f>INDEX(Products!$F$2:$F$49,MATCH(J4355,Products!$A$2:$A$49,0))</f>
        <v/>
      </c>
      <c r="S4355">
        <f>WEEKDAY(B4355,2)</f>
        <v/>
      </c>
    </row>
    <row r="4356">
      <c r="A4356" t="n">
        <v>511772</v>
      </c>
      <c r="B4356" s="6" t="n">
        <v>46018</v>
      </c>
      <c r="C4356" t="n">
        <v>17933</v>
      </c>
      <c r="D4356" t="inlineStr">
        <is>
          <t>Mumbai</t>
        </is>
      </c>
      <c r="E4356" t="inlineStr">
        <is>
          <t>West</t>
        </is>
      </c>
      <c r="F4356" t="inlineStr">
        <is>
          <t>Affiliate</t>
        </is>
      </c>
      <c r="G4356" t="inlineStr">
        <is>
          <t>Desktop</t>
        </is>
      </c>
      <c r="H4356" t="inlineStr">
        <is>
          <t>Cash on Delivery</t>
        </is>
      </c>
      <c r="I4356" t="inlineStr">
        <is>
          <t>Shipped</t>
        </is>
      </c>
      <c r="J4356" t="n">
        <v>120</v>
      </c>
      <c r="K4356" t="n">
        <v>1</v>
      </c>
      <c r="L4356" t="n">
        <v>734</v>
      </c>
      <c r="M4356" t="n">
        <v>0</v>
      </c>
      <c r="N4356">
        <f>VLOOKUP(J4356,Products!$A$2:$C$49,3,FALSE)</f>
        <v/>
      </c>
      <c r="O4356">
        <f>K4356*L4356-M4356</f>
        <v/>
      </c>
      <c r="P4356">
        <f>TEXT(B4356,"yyyy-mm")</f>
        <v/>
      </c>
      <c r="Q4356">
        <f>IF(O4356&gt;=3000,"Large","Small")</f>
        <v/>
      </c>
      <c r="R4356">
        <f>INDEX(Products!$F$2:$F$49,MATCH(J4356,Products!$A$2:$A$49,0))</f>
        <v/>
      </c>
      <c r="S4356">
        <f>WEEKDAY(B4356,2)</f>
        <v/>
      </c>
    </row>
    <row r="4357">
      <c r="A4357" t="n">
        <v>511773</v>
      </c>
      <c r="B4357" s="6" t="n">
        <v>46018</v>
      </c>
      <c r="C4357" t="n">
        <v>14737</v>
      </c>
      <c r="D4357" t="inlineStr">
        <is>
          <t>Noida</t>
        </is>
      </c>
      <c r="E4357" t="inlineStr">
        <is>
          <t>North</t>
        </is>
      </c>
      <c r="F4357" t="inlineStr">
        <is>
          <t>Referral</t>
        </is>
      </c>
      <c r="G4357" t="inlineStr">
        <is>
          <t>Mobile App</t>
        </is>
      </c>
      <c r="H4357" t="inlineStr">
        <is>
          <t>Cash on Delivery</t>
        </is>
      </c>
      <c r="I4357" t="inlineStr">
        <is>
          <t>Shipped</t>
        </is>
      </c>
      <c r="J4357" t="n">
        <v>130</v>
      </c>
      <c r="K4357" t="n">
        <v>2</v>
      </c>
      <c r="L4357" t="n">
        <v>734</v>
      </c>
      <c r="M4357" t="n">
        <v>0</v>
      </c>
      <c r="N4357">
        <f>VLOOKUP(J4357,Products!$A$2:$C$49,3,FALSE)</f>
        <v/>
      </c>
      <c r="O4357">
        <f>K4357*L4357-M4357</f>
        <v/>
      </c>
      <c r="P4357">
        <f>TEXT(B4357,"yyyy-mm")</f>
        <v/>
      </c>
      <c r="Q4357">
        <f>IF(O4357&gt;=3000,"Large","Small")</f>
        <v/>
      </c>
      <c r="R4357">
        <f>INDEX(Products!$F$2:$F$49,MATCH(J4357,Products!$A$2:$A$49,0))</f>
        <v/>
      </c>
      <c r="S4357">
        <f>WEEKDAY(B4357,2)</f>
        <v/>
      </c>
    </row>
    <row r="4358">
      <c r="A4358" t="n">
        <v>511774</v>
      </c>
      <c r="B4358" s="6" t="n">
        <v>46018</v>
      </c>
      <c r="C4358" t="n">
        <v>17843</v>
      </c>
      <c r="D4358" t="inlineStr">
        <is>
          <t>Gurugram</t>
        </is>
      </c>
      <c r="E4358" t="inlineStr">
        <is>
          <t>North</t>
        </is>
      </c>
      <c r="F4358" t="inlineStr">
        <is>
          <t>Referral</t>
        </is>
      </c>
      <c r="G4358" t="inlineStr">
        <is>
          <t>Mobile App</t>
        </is>
      </c>
      <c r="H4358" t="inlineStr">
        <is>
          <t>UPI</t>
        </is>
      </c>
      <c r="I4358" t="inlineStr">
        <is>
          <t>Shipped</t>
        </is>
      </c>
      <c r="J4358" t="n">
        <v>127</v>
      </c>
      <c r="K4358" t="n">
        <v>1</v>
      </c>
      <c r="L4358" t="n">
        <v>681</v>
      </c>
      <c r="M4358" t="n">
        <v>0</v>
      </c>
      <c r="N4358">
        <f>VLOOKUP(J4358,Products!$A$2:$C$49,3,FALSE)</f>
        <v/>
      </c>
      <c r="O4358">
        <f>K4358*L4358-M4358</f>
        <v/>
      </c>
      <c r="P4358">
        <f>TEXT(B4358,"yyyy-mm")</f>
        <v/>
      </c>
      <c r="Q4358">
        <f>IF(O4358&gt;=3000,"Large","Small")</f>
        <v/>
      </c>
      <c r="R4358">
        <f>INDEX(Products!$F$2:$F$49,MATCH(J4358,Products!$A$2:$A$49,0))</f>
        <v/>
      </c>
      <c r="S4358">
        <f>WEEKDAY(B4358,2)</f>
        <v/>
      </c>
    </row>
    <row r="4359">
      <c r="A4359" t="n">
        <v>511774</v>
      </c>
      <c r="B4359" s="6" t="n">
        <v>46018</v>
      </c>
      <c r="C4359" t="n">
        <v>17843</v>
      </c>
      <c r="D4359" t="inlineStr">
        <is>
          <t>Gurugram</t>
        </is>
      </c>
      <c r="E4359" t="inlineStr">
        <is>
          <t>North</t>
        </is>
      </c>
      <c r="F4359" t="inlineStr">
        <is>
          <t>Referral</t>
        </is>
      </c>
      <c r="G4359" t="inlineStr">
        <is>
          <t>Mobile App</t>
        </is>
      </c>
      <c r="H4359" t="inlineStr">
        <is>
          <t>UPI</t>
        </is>
      </c>
      <c r="I4359" t="inlineStr">
        <is>
          <t>Shipped</t>
        </is>
      </c>
      <c r="J4359" t="n">
        <v>137</v>
      </c>
      <c r="K4359" t="n">
        <v>1</v>
      </c>
      <c r="L4359" t="n">
        <v>261</v>
      </c>
      <c r="M4359" t="n">
        <v>0</v>
      </c>
      <c r="N4359">
        <f>VLOOKUP(J4359,Products!$A$2:$C$49,3,FALSE)</f>
        <v/>
      </c>
      <c r="O4359">
        <f>K4359*L4359-M4359</f>
        <v/>
      </c>
      <c r="P4359">
        <f>TEXT(B4359,"yyyy-mm")</f>
        <v/>
      </c>
      <c r="Q4359">
        <f>IF(O4359&gt;=3000,"Large","Small")</f>
        <v/>
      </c>
      <c r="R4359">
        <f>INDEX(Products!$F$2:$F$49,MATCH(J4359,Products!$A$2:$A$49,0))</f>
        <v/>
      </c>
      <c r="S4359">
        <f>WEEKDAY(B4359,2)</f>
        <v/>
      </c>
    </row>
    <row r="4360">
      <c r="A4360" t="n">
        <v>511775</v>
      </c>
      <c r="B4360" s="6" t="n">
        <v>46018</v>
      </c>
      <c r="C4360" t="n">
        <v>17919</v>
      </c>
      <c r="D4360" t="inlineStr">
        <is>
          <t>Delhi</t>
        </is>
      </c>
      <c r="E4360" t="inlineStr">
        <is>
          <t>North</t>
        </is>
      </c>
      <c r="F4360" t="inlineStr">
        <is>
          <t>Paid Social</t>
        </is>
      </c>
      <c r="G4360" t="inlineStr">
        <is>
          <t>Mobile Web</t>
        </is>
      </c>
      <c r="H4360" t="inlineStr">
        <is>
          <t>Credit Card</t>
        </is>
      </c>
      <c r="I4360" t="inlineStr">
        <is>
          <t>Shipped</t>
        </is>
      </c>
      <c r="J4360" t="n">
        <v>113</v>
      </c>
      <c r="K4360" t="n">
        <v>1</v>
      </c>
      <c r="L4360" t="n">
        <v>1364</v>
      </c>
      <c r="M4360" t="n">
        <v>204.6</v>
      </c>
      <c r="N4360">
        <f>VLOOKUP(J4360,Products!$A$2:$C$49,3,FALSE)</f>
        <v/>
      </c>
      <c r="O4360">
        <f>K4360*L4360-M4360</f>
        <v/>
      </c>
      <c r="P4360">
        <f>TEXT(B4360,"yyyy-mm")</f>
        <v/>
      </c>
      <c r="Q4360">
        <f>IF(O4360&gt;=3000,"Large","Small")</f>
        <v/>
      </c>
      <c r="R4360">
        <f>INDEX(Products!$F$2:$F$49,MATCH(J4360,Products!$A$2:$A$49,0))</f>
        <v/>
      </c>
      <c r="S4360">
        <f>WEEKDAY(B4360,2)</f>
        <v/>
      </c>
    </row>
    <row r="4361">
      <c r="A4361" t="n">
        <v>511775</v>
      </c>
      <c r="B4361" s="6" t="n">
        <v>46018</v>
      </c>
      <c r="C4361" t="n">
        <v>17919</v>
      </c>
      <c r="D4361" t="inlineStr">
        <is>
          <t>Delhi</t>
        </is>
      </c>
      <c r="E4361" t="inlineStr">
        <is>
          <t>North</t>
        </is>
      </c>
      <c r="F4361" t="inlineStr">
        <is>
          <t>Paid Social</t>
        </is>
      </c>
      <c r="G4361" t="inlineStr">
        <is>
          <t>Mobile Web</t>
        </is>
      </c>
      <c r="H4361" t="inlineStr">
        <is>
          <t>Credit Card</t>
        </is>
      </c>
      <c r="I4361" t="inlineStr">
        <is>
          <t>Shipped</t>
        </is>
      </c>
      <c r="J4361" t="n">
        <v>117</v>
      </c>
      <c r="K4361" t="n">
        <v>1</v>
      </c>
      <c r="L4361" t="n">
        <v>3149</v>
      </c>
      <c r="M4361" t="n">
        <v>472.35</v>
      </c>
      <c r="N4361">
        <f>VLOOKUP(J4361,Products!$A$2:$C$49,3,FALSE)</f>
        <v/>
      </c>
      <c r="O4361">
        <f>K4361*L4361-M4361</f>
        <v/>
      </c>
      <c r="P4361">
        <f>TEXT(B4361,"yyyy-mm")</f>
        <v/>
      </c>
      <c r="Q4361">
        <f>IF(O4361&gt;=3000,"Large","Small")</f>
        <v/>
      </c>
      <c r="R4361">
        <f>INDEX(Products!$F$2:$F$49,MATCH(J4361,Products!$A$2:$A$49,0))</f>
        <v/>
      </c>
      <c r="S4361">
        <f>WEEKDAY(B4361,2)</f>
        <v/>
      </c>
    </row>
    <row r="4362">
      <c r="A4362" t="n">
        <v>511776</v>
      </c>
      <c r="B4362" s="6" t="n">
        <v>46018</v>
      </c>
      <c r="C4362" t="n">
        <v>16470</v>
      </c>
      <c r="D4362" t="inlineStr">
        <is>
          <t>Pune</t>
        </is>
      </c>
      <c r="E4362" t="inlineStr">
        <is>
          <t>West</t>
        </is>
      </c>
      <c r="F4362" t="inlineStr">
        <is>
          <t>Referral</t>
        </is>
      </c>
      <c r="G4362" t="inlineStr">
        <is>
          <t>Mobile Web</t>
        </is>
      </c>
      <c r="H4362" t="inlineStr">
        <is>
          <t>UPI</t>
        </is>
      </c>
      <c r="I4362" t="inlineStr">
        <is>
          <t>Shipped</t>
        </is>
      </c>
      <c r="J4362" t="n">
        <v>116</v>
      </c>
      <c r="K4362" t="n">
        <v>3</v>
      </c>
      <c r="L4362" t="n">
        <v>2624</v>
      </c>
      <c r="M4362" t="n">
        <v>0</v>
      </c>
      <c r="N4362">
        <f>VLOOKUP(J4362,Products!$A$2:$C$49,3,FALSE)</f>
        <v/>
      </c>
      <c r="O4362">
        <f>K4362*L4362-M4362</f>
        <v/>
      </c>
      <c r="P4362">
        <f>TEXT(B4362,"yyyy-mm")</f>
        <v/>
      </c>
      <c r="Q4362">
        <f>IF(O4362&gt;=3000,"Large","Small")</f>
        <v/>
      </c>
      <c r="R4362">
        <f>INDEX(Products!$F$2:$F$49,MATCH(J4362,Products!$A$2:$A$49,0))</f>
        <v/>
      </c>
      <c r="S4362">
        <f>WEEKDAY(B4362,2)</f>
        <v/>
      </c>
    </row>
    <row r="4363">
      <c r="A4363" t="n">
        <v>511776</v>
      </c>
      <c r="B4363" s="6" t="n">
        <v>46018</v>
      </c>
      <c r="C4363" t="n">
        <v>16470</v>
      </c>
      <c r="D4363" t="inlineStr">
        <is>
          <t>Pune</t>
        </is>
      </c>
      <c r="E4363" t="inlineStr">
        <is>
          <t>West</t>
        </is>
      </c>
      <c r="F4363" t="inlineStr">
        <is>
          <t>Referral</t>
        </is>
      </c>
      <c r="G4363" t="inlineStr">
        <is>
          <t>Mobile Web</t>
        </is>
      </c>
      <c r="H4363" t="inlineStr">
        <is>
          <t>UPI</t>
        </is>
      </c>
      <c r="I4363" t="inlineStr">
        <is>
          <t>Shipped</t>
        </is>
      </c>
      <c r="J4363" t="n">
        <v>112</v>
      </c>
      <c r="K4363" t="n">
        <v>1</v>
      </c>
      <c r="L4363" t="n">
        <v>1574</v>
      </c>
      <c r="M4363" t="n">
        <v>0</v>
      </c>
      <c r="N4363">
        <f>VLOOKUP(J4363,Products!$A$2:$C$49,3,FALSE)</f>
        <v/>
      </c>
      <c r="O4363">
        <f>K4363*L4363-M4363</f>
        <v/>
      </c>
      <c r="P4363">
        <f>TEXT(B4363,"yyyy-mm")</f>
        <v/>
      </c>
      <c r="Q4363">
        <f>IF(O4363&gt;=3000,"Large","Small")</f>
        <v/>
      </c>
      <c r="R4363">
        <f>INDEX(Products!$F$2:$F$49,MATCH(J4363,Products!$A$2:$A$49,0))</f>
        <v/>
      </c>
      <c r="S4363">
        <f>WEEKDAY(B4363,2)</f>
        <v/>
      </c>
    </row>
    <row r="4364">
      <c r="A4364" t="n">
        <v>511777</v>
      </c>
      <c r="B4364" s="6" t="n">
        <v>46018</v>
      </c>
      <c r="C4364" t="n">
        <v>12348</v>
      </c>
      <c r="D4364" t="inlineStr">
        <is>
          <t>Lucknow</t>
        </is>
      </c>
      <c r="E4364" t="inlineStr">
        <is>
          <t>North</t>
        </is>
      </c>
      <c r="F4364" t="inlineStr">
        <is>
          <t>Organic Search</t>
        </is>
      </c>
      <c r="G4364" t="inlineStr">
        <is>
          <t>Mobile Web</t>
        </is>
      </c>
      <c r="H4364" t="inlineStr">
        <is>
          <t>Debit Card</t>
        </is>
      </c>
      <c r="I4364" t="inlineStr">
        <is>
          <t>Shipped</t>
        </is>
      </c>
      <c r="J4364" t="n">
        <v>116</v>
      </c>
      <c r="K4364" t="n">
        <v>1</v>
      </c>
      <c r="L4364" t="n">
        <v>2624</v>
      </c>
      <c r="M4364" t="n">
        <v>0</v>
      </c>
      <c r="N4364">
        <f>VLOOKUP(J4364,Products!$A$2:$C$49,3,FALSE)</f>
        <v/>
      </c>
      <c r="O4364">
        <f>K4364*L4364-M4364</f>
        <v/>
      </c>
      <c r="P4364">
        <f>TEXT(B4364,"yyyy-mm")</f>
        <v/>
      </c>
      <c r="Q4364">
        <f>IF(O4364&gt;=3000,"Large","Small")</f>
        <v/>
      </c>
      <c r="R4364">
        <f>INDEX(Products!$F$2:$F$49,MATCH(J4364,Products!$A$2:$A$49,0))</f>
        <v/>
      </c>
      <c r="S4364">
        <f>WEEKDAY(B4364,2)</f>
        <v/>
      </c>
    </row>
    <row r="4365">
      <c r="A4365" t="n">
        <v>511778</v>
      </c>
      <c r="B4365" s="6" t="n">
        <v>46018</v>
      </c>
      <c r="C4365" t="n">
        <v>11850</v>
      </c>
      <c r="D4365" t="inlineStr">
        <is>
          <t>Bengaluru</t>
        </is>
      </c>
      <c r="E4365" t="inlineStr">
        <is>
          <t>South</t>
        </is>
      </c>
      <c r="F4365" t="inlineStr">
        <is>
          <t>Paid Social</t>
        </is>
      </c>
      <c r="G4365" t="inlineStr">
        <is>
          <t>Mobile Web</t>
        </is>
      </c>
      <c r="H4365" t="inlineStr">
        <is>
          <t>Cash on Delivery</t>
        </is>
      </c>
      <c r="I4365" t="inlineStr">
        <is>
          <t>Shipped</t>
        </is>
      </c>
      <c r="J4365" t="n">
        <v>116</v>
      </c>
      <c r="K4365" t="n">
        <v>1</v>
      </c>
      <c r="L4365" t="n">
        <v>2624</v>
      </c>
      <c r="M4365" t="n">
        <v>0</v>
      </c>
      <c r="N4365">
        <f>VLOOKUP(J4365,Products!$A$2:$C$49,3,FALSE)</f>
        <v/>
      </c>
      <c r="O4365">
        <f>K4365*L4365-M4365</f>
        <v/>
      </c>
      <c r="P4365">
        <f>TEXT(B4365,"yyyy-mm")</f>
        <v/>
      </c>
      <c r="Q4365">
        <f>IF(O4365&gt;=3000,"Large","Small")</f>
        <v/>
      </c>
      <c r="R4365">
        <f>INDEX(Products!$F$2:$F$49,MATCH(J4365,Products!$A$2:$A$49,0))</f>
        <v/>
      </c>
      <c r="S4365">
        <f>WEEKDAY(B4365,2)</f>
        <v/>
      </c>
    </row>
    <row r="4366">
      <c r="A4366" t="n">
        <v>511779</v>
      </c>
      <c r="B4366" s="6" t="n">
        <v>46018</v>
      </c>
      <c r="C4366" t="n">
        <v>15676</v>
      </c>
      <c r="D4366" t="inlineStr">
        <is>
          <t>Mumbai</t>
        </is>
      </c>
      <c r="E4366" t="inlineStr">
        <is>
          <t>West</t>
        </is>
      </c>
      <c r="F4366" t="inlineStr">
        <is>
          <t>Organic Search</t>
        </is>
      </c>
      <c r="G4366" t="inlineStr">
        <is>
          <t>Desktop</t>
        </is>
      </c>
      <c r="H4366" t="inlineStr">
        <is>
          <t>Debit Card</t>
        </is>
      </c>
      <c r="I4366" t="inlineStr">
        <is>
          <t>Shipped</t>
        </is>
      </c>
      <c r="J4366" t="n">
        <v>108</v>
      </c>
      <c r="K4366" t="n">
        <v>1</v>
      </c>
      <c r="L4366" t="n">
        <v>419</v>
      </c>
      <c r="M4366" t="n">
        <v>0</v>
      </c>
      <c r="N4366">
        <f>VLOOKUP(J4366,Products!$A$2:$C$49,3,FALSE)</f>
        <v/>
      </c>
      <c r="O4366">
        <f>K4366*L4366-M4366</f>
        <v/>
      </c>
      <c r="P4366">
        <f>TEXT(B4366,"yyyy-mm")</f>
        <v/>
      </c>
      <c r="Q4366">
        <f>IF(O4366&gt;=3000,"Large","Small")</f>
        <v/>
      </c>
      <c r="R4366">
        <f>INDEX(Products!$F$2:$F$49,MATCH(J4366,Products!$A$2:$A$49,0))</f>
        <v/>
      </c>
      <c r="S4366">
        <f>WEEKDAY(B4366,2)</f>
        <v/>
      </c>
    </row>
    <row r="4367">
      <c r="A4367" t="n">
        <v>511780</v>
      </c>
      <c r="B4367" s="6" t="n">
        <v>46018</v>
      </c>
      <c r="C4367" t="n">
        <v>17286</v>
      </c>
      <c r="D4367" t="inlineStr">
        <is>
          <t>Kochi</t>
        </is>
      </c>
      <c r="E4367" t="inlineStr">
        <is>
          <t>South</t>
        </is>
      </c>
      <c r="F4367" t="inlineStr">
        <is>
          <t>Paid Social</t>
        </is>
      </c>
      <c r="G4367" t="inlineStr">
        <is>
          <t>Mobile App</t>
        </is>
      </c>
      <c r="H4367" t="inlineStr">
        <is>
          <t>UPI</t>
        </is>
      </c>
      <c r="I4367" t="inlineStr">
        <is>
          <t>Shipped</t>
        </is>
      </c>
      <c r="J4367" t="n">
        <v>118</v>
      </c>
      <c r="K4367" t="n">
        <v>1</v>
      </c>
      <c r="L4367" t="n">
        <v>944</v>
      </c>
      <c r="M4367" t="n">
        <v>0</v>
      </c>
      <c r="N4367">
        <f>VLOOKUP(J4367,Products!$A$2:$C$49,3,FALSE)</f>
        <v/>
      </c>
      <c r="O4367">
        <f>K4367*L4367-M4367</f>
        <v/>
      </c>
      <c r="P4367">
        <f>TEXT(B4367,"yyyy-mm")</f>
        <v/>
      </c>
      <c r="Q4367">
        <f>IF(O4367&gt;=3000,"Large","Small")</f>
        <v/>
      </c>
      <c r="R4367">
        <f>INDEX(Products!$F$2:$F$49,MATCH(J4367,Products!$A$2:$A$49,0))</f>
        <v/>
      </c>
      <c r="S4367">
        <f>WEEKDAY(B4367,2)</f>
        <v/>
      </c>
    </row>
    <row r="4368">
      <c r="A4368" t="n">
        <v>511781</v>
      </c>
      <c r="B4368" s="6" t="n">
        <v>46019</v>
      </c>
      <c r="C4368" t="n">
        <v>14074</v>
      </c>
      <c r="D4368" t="inlineStr">
        <is>
          <t>Lucknow</t>
        </is>
      </c>
      <c r="E4368" t="inlineStr">
        <is>
          <t>North</t>
        </is>
      </c>
      <c r="F4368" t="inlineStr">
        <is>
          <t>Paid Search</t>
        </is>
      </c>
      <c r="G4368" t="inlineStr">
        <is>
          <t>Desktop</t>
        </is>
      </c>
      <c r="H4368" t="inlineStr">
        <is>
          <t>UPI</t>
        </is>
      </c>
      <c r="I4368" t="inlineStr">
        <is>
          <t>Shipped</t>
        </is>
      </c>
      <c r="J4368" t="n">
        <v>141</v>
      </c>
      <c r="K4368" t="n">
        <v>1</v>
      </c>
      <c r="L4368" t="n">
        <v>261</v>
      </c>
      <c r="M4368" t="n">
        <v>0</v>
      </c>
      <c r="N4368">
        <f>VLOOKUP(J4368,Products!$A$2:$C$49,3,FALSE)</f>
        <v/>
      </c>
      <c r="O4368">
        <f>K4368*L4368-M4368</f>
        <v/>
      </c>
      <c r="P4368">
        <f>TEXT(B4368,"yyyy-mm")</f>
        <v/>
      </c>
      <c r="Q4368">
        <f>IF(O4368&gt;=3000,"Large","Small")</f>
        <v/>
      </c>
      <c r="R4368">
        <f>INDEX(Products!$F$2:$F$49,MATCH(J4368,Products!$A$2:$A$49,0))</f>
        <v/>
      </c>
      <c r="S4368">
        <f>WEEKDAY(B4368,2)</f>
        <v/>
      </c>
    </row>
    <row r="4369">
      <c r="A4369" t="n">
        <v>511782</v>
      </c>
      <c r="B4369" s="6" t="n">
        <v>46019</v>
      </c>
      <c r="C4369" t="n">
        <v>16401</v>
      </c>
      <c r="D4369" t="inlineStr">
        <is>
          <t>Gurugram</t>
        </is>
      </c>
      <c r="E4369" t="inlineStr">
        <is>
          <t>North</t>
        </is>
      </c>
      <c r="F4369" t="inlineStr">
        <is>
          <t>Paid Search</t>
        </is>
      </c>
      <c r="G4369" t="inlineStr">
        <is>
          <t>Mobile App</t>
        </is>
      </c>
      <c r="H4369" t="inlineStr">
        <is>
          <t>Cash on Delivery</t>
        </is>
      </c>
      <c r="I4369" t="inlineStr">
        <is>
          <t>Shipped</t>
        </is>
      </c>
      <c r="J4369" t="n">
        <v>134</v>
      </c>
      <c r="K4369" t="n">
        <v>1</v>
      </c>
      <c r="L4369" t="n">
        <v>209</v>
      </c>
      <c r="M4369" t="n">
        <v>0</v>
      </c>
      <c r="N4369">
        <f>VLOOKUP(J4369,Products!$A$2:$C$49,3,FALSE)</f>
        <v/>
      </c>
      <c r="O4369">
        <f>K4369*L4369-M4369</f>
        <v/>
      </c>
      <c r="P4369">
        <f>TEXT(B4369,"yyyy-mm")</f>
        <v/>
      </c>
      <c r="Q4369">
        <f>IF(O4369&gt;=3000,"Large","Small")</f>
        <v/>
      </c>
      <c r="R4369">
        <f>INDEX(Products!$F$2:$F$49,MATCH(J4369,Products!$A$2:$A$49,0))</f>
        <v/>
      </c>
      <c r="S4369">
        <f>WEEKDAY(B4369,2)</f>
        <v/>
      </c>
    </row>
    <row r="4370">
      <c r="A4370" t="n">
        <v>511782</v>
      </c>
      <c r="B4370" s="6" t="n">
        <v>46019</v>
      </c>
      <c r="C4370" t="n">
        <v>16401</v>
      </c>
      <c r="D4370" t="inlineStr">
        <is>
          <t>Gurugram</t>
        </is>
      </c>
      <c r="E4370" t="inlineStr">
        <is>
          <t>North</t>
        </is>
      </c>
      <c r="F4370" t="inlineStr">
        <is>
          <t>Paid Search</t>
        </is>
      </c>
      <c r="G4370" t="inlineStr">
        <is>
          <t>Mobile App</t>
        </is>
      </c>
      <c r="H4370" t="inlineStr">
        <is>
          <t>Cash on Delivery</t>
        </is>
      </c>
      <c r="I4370" t="inlineStr">
        <is>
          <t>Shipped</t>
        </is>
      </c>
      <c r="J4370" t="n">
        <v>109</v>
      </c>
      <c r="K4370" t="n">
        <v>1</v>
      </c>
      <c r="L4370" t="n">
        <v>4199</v>
      </c>
      <c r="M4370" t="n">
        <v>0</v>
      </c>
      <c r="N4370">
        <f>VLOOKUP(J4370,Products!$A$2:$C$49,3,FALSE)</f>
        <v/>
      </c>
      <c r="O4370">
        <f>K4370*L4370-M4370</f>
        <v/>
      </c>
      <c r="P4370">
        <f>TEXT(B4370,"yyyy-mm")</f>
        <v/>
      </c>
      <c r="Q4370">
        <f>IF(O4370&gt;=3000,"Large","Small")</f>
        <v/>
      </c>
      <c r="R4370">
        <f>INDEX(Products!$F$2:$F$49,MATCH(J4370,Products!$A$2:$A$49,0))</f>
        <v/>
      </c>
      <c r="S4370">
        <f>WEEKDAY(B4370,2)</f>
        <v/>
      </c>
    </row>
    <row r="4371">
      <c r="A4371" t="n">
        <v>511783</v>
      </c>
      <c r="B4371" s="6" t="n">
        <v>46019</v>
      </c>
      <c r="C4371" t="n">
        <v>17657</v>
      </c>
      <c r="D4371" t="inlineStr">
        <is>
          <t>Hyderabad</t>
        </is>
      </c>
      <c r="E4371" t="inlineStr">
        <is>
          <t>South</t>
        </is>
      </c>
      <c r="F4371" t="inlineStr">
        <is>
          <t>Paid Social</t>
        </is>
      </c>
      <c r="G4371" t="inlineStr">
        <is>
          <t>Desktop</t>
        </is>
      </c>
      <c r="H4371" t="inlineStr">
        <is>
          <t>Debit Card</t>
        </is>
      </c>
      <c r="I4371" t="inlineStr">
        <is>
          <t>Shipped</t>
        </is>
      </c>
      <c r="J4371" t="n">
        <v>113</v>
      </c>
      <c r="K4371" t="n">
        <v>1</v>
      </c>
      <c r="L4371" t="n">
        <v>1364</v>
      </c>
      <c r="M4371" t="n">
        <v>204.6</v>
      </c>
      <c r="N4371">
        <f>VLOOKUP(J4371,Products!$A$2:$C$49,3,FALSE)</f>
        <v/>
      </c>
      <c r="O4371">
        <f>K4371*L4371-M4371</f>
        <v/>
      </c>
      <c r="P4371">
        <f>TEXT(B4371,"yyyy-mm")</f>
        <v/>
      </c>
      <c r="Q4371">
        <f>IF(O4371&gt;=3000,"Large","Small")</f>
        <v/>
      </c>
      <c r="R4371">
        <f>INDEX(Products!$F$2:$F$49,MATCH(J4371,Products!$A$2:$A$49,0))</f>
        <v/>
      </c>
      <c r="S4371">
        <f>WEEKDAY(B4371,2)</f>
        <v/>
      </c>
    </row>
    <row r="4372">
      <c r="A4372" t="n">
        <v>511783</v>
      </c>
      <c r="B4372" s="6" t="n">
        <v>46019</v>
      </c>
      <c r="C4372" t="n">
        <v>17657</v>
      </c>
      <c r="D4372" t="inlineStr">
        <is>
          <t>Hyderabad</t>
        </is>
      </c>
      <c r="E4372" t="inlineStr">
        <is>
          <t>South</t>
        </is>
      </c>
      <c r="F4372" t="inlineStr">
        <is>
          <t>Paid Social</t>
        </is>
      </c>
      <c r="G4372" t="inlineStr">
        <is>
          <t>Desktop</t>
        </is>
      </c>
      <c r="H4372" t="inlineStr">
        <is>
          <t>Debit Card</t>
        </is>
      </c>
      <c r="I4372" t="inlineStr">
        <is>
          <t>Shipped</t>
        </is>
      </c>
      <c r="J4372" t="n">
        <v>138</v>
      </c>
      <c r="K4372" t="n">
        <v>1</v>
      </c>
      <c r="L4372" t="n">
        <v>419</v>
      </c>
      <c r="M4372" t="n">
        <v>62.85</v>
      </c>
      <c r="N4372">
        <f>VLOOKUP(J4372,Products!$A$2:$C$49,3,FALSE)</f>
        <v/>
      </c>
      <c r="O4372">
        <f>K4372*L4372-M4372</f>
        <v/>
      </c>
      <c r="P4372">
        <f>TEXT(B4372,"yyyy-mm")</f>
        <v/>
      </c>
      <c r="Q4372">
        <f>IF(O4372&gt;=3000,"Large","Small")</f>
        <v/>
      </c>
      <c r="R4372">
        <f>INDEX(Products!$F$2:$F$49,MATCH(J4372,Products!$A$2:$A$49,0))</f>
        <v/>
      </c>
      <c r="S4372">
        <f>WEEKDAY(B4372,2)</f>
        <v/>
      </c>
    </row>
    <row r="4373">
      <c r="A4373" t="n">
        <v>511783</v>
      </c>
      <c r="B4373" s="6" t="n">
        <v>46019</v>
      </c>
      <c r="C4373" t="n">
        <v>17657</v>
      </c>
      <c r="D4373" t="inlineStr">
        <is>
          <t>Hyderabad</t>
        </is>
      </c>
      <c r="E4373" t="inlineStr">
        <is>
          <t>South</t>
        </is>
      </c>
      <c r="F4373" t="inlineStr">
        <is>
          <t>Paid Social</t>
        </is>
      </c>
      <c r="G4373" t="inlineStr">
        <is>
          <t>Desktop</t>
        </is>
      </c>
      <c r="H4373" t="inlineStr">
        <is>
          <t>Debit Card</t>
        </is>
      </c>
      <c r="I4373" t="inlineStr">
        <is>
          <t>Shipped</t>
        </is>
      </c>
      <c r="J4373" t="n">
        <v>115</v>
      </c>
      <c r="K4373" t="n">
        <v>2</v>
      </c>
      <c r="L4373" t="n">
        <v>4199</v>
      </c>
      <c r="M4373" t="n">
        <v>1259.7</v>
      </c>
      <c r="N4373">
        <f>VLOOKUP(J4373,Products!$A$2:$C$49,3,FALSE)</f>
        <v/>
      </c>
      <c r="O4373">
        <f>K4373*L4373-M4373</f>
        <v/>
      </c>
      <c r="P4373">
        <f>TEXT(B4373,"yyyy-mm")</f>
        <v/>
      </c>
      <c r="Q4373">
        <f>IF(O4373&gt;=3000,"Large","Small")</f>
        <v/>
      </c>
      <c r="R4373">
        <f>INDEX(Products!$F$2:$F$49,MATCH(J4373,Products!$A$2:$A$49,0))</f>
        <v/>
      </c>
      <c r="S4373">
        <f>WEEKDAY(B4373,2)</f>
        <v/>
      </c>
    </row>
    <row r="4374">
      <c r="A4374" t="n">
        <v>511783</v>
      </c>
      <c r="B4374" s="6" t="n">
        <v>46019</v>
      </c>
      <c r="C4374" t="n">
        <v>17657</v>
      </c>
      <c r="D4374" t="inlineStr">
        <is>
          <t>Hyderabad</t>
        </is>
      </c>
      <c r="E4374" t="inlineStr">
        <is>
          <t>South</t>
        </is>
      </c>
      <c r="F4374" t="inlineStr">
        <is>
          <t>Paid Social</t>
        </is>
      </c>
      <c r="G4374" t="inlineStr">
        <is>
          <t>Desktop</t>
        </is>
      </c>
      <c r="H4374" t="inlineStr">
        <is>
          <t>Debit Card</t>
        </is>
      </c>
      <c r="I4374" t="inlineStr">
        <is>
          <t>Shipped</t>
        </is>
      </c>
      <c r="J4374" t="n">
        <v>118</v>
      </c>
      <c r="K4374" t="n">
        <v>1</v>
      </c>
      <c r="L4374" t="n">
        <v>944</v>
      </c>
      <c r="M4374" t="n">
        <v>141.6</v>
      </c>
      <c r="N4374">
        <f>VLOOKUP(J4374,Products!$A$2:$C$49,3,FALSE)</f>
        <v/>
      </c>
      <c r="O4374">
        <f>K4374*L4374-M4374</f>
        <v/>
      </c>
      <c r="P4374">
        <f>TEXT(B4374,"yyyy-mm")</f>
        <v/>
      </c>
      <c r="Q4374">
        <f>IF(O4374&gt;=3000,"Large","Small")</f>
        <v/>
      </c>
      <c r="R4374">
        <f>INDEX(Products!$F$2:$F$49,MATCH(J4374,Products!$A$2:$A$49,0))</f>
        <v/>
      </c>
      <c r="S4374">
        <f>WEEKDAY(B4374,2)</f>
        <v/>
      </c>
    </row>
    <row r="4375">
      <c r="A4375" t="n">
        <v>511784</v>
      </c>
      <c r="B4375" s="6" t="n">
        <v>46019</v>
      </c>
      <c r="C4375" t="n">
        <v>16994</v>
      </c>
      <c r="D4375" t="inlineStr">
        <is>
          <t>Bengaluru</t>
        </is>
      </c>
      <c r="E4375" t="inlineStr">
        <is>
          <t>South</t>
        </is>
      </c>
      <c r="F4375" t="inlineStr">
        <is>
          <t>Paid Search</t>
        </is>
      </c>
      <c r="G4375" t="inlineStr">
        <is>
          <t>Desktop</t>
        </is>
      </c>
      <c r="H4375" t="inlineStr">
        <is>
          <t>UPI</t>
        </is>
      </c>
      <c r="I4375" t="inlineStr">
        <is>
          <t>Shipped</t>
        </is>
      </c>
      <c r="J4375" t="n">
        <v>101</v>
      </c>
      <c r="K4375" t="n">
        <v>1</v>
      </c>
      <c r="L4375" t="n">
        <v>2099</v>
      </c>
      <c r="M4375" t="n">
        <v>0</v>
      </c>
      <c r="N4375">
        <f>VLOOKUP(J4375,Products!$A$2:$C$49,3,FALSE)</f>
        <v/>
      </c>
      <c r="O4375">
        <f>K4375*L4375-M4375</f>
        <v/>
      </c>
      <c r="P4375">
        <f>TEXT(B4375,"yyyy-mm")</f>
        <v/>
      </c>
      <c r="Q4375">
        <f>IF(O4375&gt;=3000,"Large","Small")</f>
        <v/>
      </c>
      <c r="R4375">
        <f>INDEX(Products!$F$2:$F$49,MATCH(J4375,Products!$A$2:$A$49,0))</f>
        <v/>
      </c>
      <c r="S4375">
        <f>WEEKDAY(B4375,2)</f>
        <v/>
      </c>
    </row>
    <row r="4376">
      <c r="A4376" t="n">
        <v>511784</v>
      </c>
      <c r="B4376" s="6" t="n">
        <v>46019</v>
      </c>
      <c r="C4376" t="n">
        <v>16994</v>
      </c>
      <c r="D4376" t="inlineStr">
        <is>
          <t>Bengaluru</t>
        </is>
      </c>
      <c r="E4376" t="inlineStr">
        <is>
          <t>South</t>
        </is>
      </c>
      <c r="F4376" t="inlineStr">
        <is>
          <t>Paid Search</t>
        </is>
      </c>
      <c r="G4376" t="inlineStr">
        <is>
          <t>Desktop</t>
        </is>
      </c>
      <c r="H4376" t="inlineStr">
        <is>
          <t>UPI</t>
        </is>
      </c>
      <c r="I4376" t="inlineStr">
        <is>
          <t>Shipped</t>
        </is>
      </c>
      <c r="J4376" t="n">
        <v>131</v>
      </c>
      <c r="K4376" t="n">
        <v>1</v>
      </c>
      <c r="L4376" t="n">
        <v>314</v>
      </c>
      <c r="M4376" t="n">
        <v>0</v>
      </c>
      <c r="N4376">
        <f>VLOOKUP(J4376,Products!$A$2:$C$49,3,FALSE)</f>
        <v/>
      </c>
      <c r="O4376">
        <f>K4376*L4376-M4376</f>
        <v/>
      </c>
      <c r="P4376">
        <f>TEXT(B4376,"yyyy-mm")</f>
        <v/>
      </c>
      <c r="Q4376">
        <f>IF(O4376&gt;=3000,"Large","Small")</f>
        <v/>
      </c>
      <c r="R4376">
        <f>INDEX(Products!$F$2:$F$49,MATCH(J4376,Products!$A$2:$A$49,0))</f>
        <v/>
      </c>
      <c r="S4376">
        <f>WEEKDAY(B4376,2)</f>
        <v/>
      </c>
    </row>
    <row r="4377">
      <c r="A4377" t="n">
        <v>511784</v>
      </c>
      <c r="B4377" s="6" t="n">
        <v>46019</v>
      </c>
      <c r="C4377" t="n">
        <v>16994</v>
      </c>
      <c r="D4377" t="inlineStr">
        <is>
          <t>Bengaluru</t>
        </is>
      </c>
      <c r="E4377" t="inlineStr">
        <is>
          <t>South</t>
        </is>
      </c>
      <c r="F4377" t="inlineStr">
        <is>
          <t>Paid Search</t>
        </is>
      </c>
      <c r="G4377" t="inlineStr">
        <is>
          <t>Desktop</t>
        </is>
      </c>
      <c r="H4377" t="inlineStr">
        <is>
          <t>UPI</t>
        </is>
      </c>
      <c r="I4377" t="inlineStr">
        <is>
          <t>Shipped</t>
        </is>
      </c>
      <c r="J4377" t="n">
        <v>119</v>
      </c>
      <c r="K4377" t="n">
        <v>1</v>
      </c>
      <c r="L4377" t="n">
        <v>2309</v>
      </c>
      <c r="M4377" t="n">
        <v>0</v>
      </c>
      <c r="N4377">
        <f>VLOOKUP(J4377,Products!$A$2:$C$49,3,FALSE)</f>
        <v/>
      </c>
      <c r="O4377">
        <f>K4377*L4377-M4377</f>
        <v/>
      </c>
      <c r="P4377">
        <f>TEXT(B4377,"yyyy-mm")</f>
        <v/>
      </c>
      <c r="Q4377">
        <f>IF(O4377&gt;=3000,"Large","Small")</f>
        <v/>
      </c>
      <c r="R4377">
        <f>INDEX(Products!$F$2:$F$49,MATCH(J4377,Products!$A$2:$A$49,0))</f>
        <v/>
      </c>
      <c r="S4377">
        <f>WEEKDAY(B4377,2)</f>
        <v/>
      </c>
    </row>
    <row r="4378">
      <c r="A4378" t="n">
        <v>511784</v>
      </c>
      <c r="B4378" s="6" t="n">
        <v>46019</v>
      </c>
      <c r="C4378" t="n">
        <v>16994</v>
      </c>
      <c r="D4378" t="inlineStr">
        <is>
          <t>Bengaluru</t>
        </is>
      </c>
      <c r="E4378" t="inlineStr">
        <is>
          <t>South</t>
        </is>
      </c>
      <c r="F4378" t="inlineStr">
        <is>
          <t>Paid Search</t>
        </is>
      </c>
      <c r="G4378" t="inlineStr">
        <is>
          <t>Desktop</t>
        </is>
      </c>
      <c r="H4378" t="inlineStr">
        <is>
          <t>UPI</t>
        </is>
      </c>
      <c r="I4378" t="inlineStr">
        <is>
          <t>Shipped</t>
        </is>
      </c>
      <c r="J4378" t="n">
        <v>122</v>
      </c>
      <c r="K4378" t="n">
        <v>1</v>
      </c>
      <c r="L4378" t="n">
        <v>1994</v>
      </c>
      <c r="M4378" t="n">
        <v>0</v>
      </c>
      <c r="N4378">
        <f>VLOOKUP(J4378,Products!$A$2:$C$49,3,FALSE)</f>
        <v/>
      </c>
      <c r="O4378">
        <f>K4378*L4378-M4378</f>
        <v/>
      </c>
      <c r="P4378">
        <f>TEXT(B4378,"yyyy-mm")</f>
        <v/>
      </c>
      <c r="Q4378">
        <f>IF(O4378&gt;=3000,"Large","Small")</f>
        <v/>
      </c>
      <c r="R4378">
        <f>INDEX(Products!$F$2:$F$49,MATCH(J4378,Products!$A$2:$A$49,0))</f>
        <v/>
      </c>
      <c r="S4378">
        <f>WEEKDAY(B4378,2)</f>
        <v/>
      </c>
    </row>
    <row r="4379">
      <c r="A4379" t="n">
        <v>511785</v>
      </c>
      <c r="B4379" s="6" t="n">
        <v>46019</v>
      </c>
      <c r="C4379" t="n">
        <v>17176</v>
      </c>
      <c r="D4379" t="inlineStr">
        <is>
          <t>Kolkata</t>
        </is>
      </c>
      <c r="E4379" t="inlineStr">
        <is>
          <t>East</t>
        </is>
      </c>
      <c r="F4379" t="inlineStr">
        <is>
          <t>Organic Search</t>
        </is>
      </c>
      <c r="G4379" t="inlineStr">
        <is>
          <t>Desktop</t>
        </is>
      </c>
      <c r="H4379" t="inlineStr">
        <is>
          <t>Cash on Delivery</t>
        </is>
      </c>
      <c r="I4379" t="inlineStr">
        <is>
          <t>Shipped</t>
        </is>
      </c>
      <c r="J4379" t="n">
        <v>135</v>
      </c>
      <c r="K4379" t="n">
        <v>1</v>
      </c>
      <c r="L4379" t="n">
        <v>1574</v>
      </c>
      <c r="M4379" t="n">
        <v>0</v>
      </c>
      <c r="N4379">
        <f>VLOOKUP(J4379,Products!$A$2:$C$49,3,FALSE)</f>
        <v/>
      </c>
      <c r="O4379">
        <f>K4379*L4379-M4379</f>
        <v/>
      </c>
      <c r="P4379">
        <f>TEXT(B4379,"yyyy-mm")</f>
        <v/>
      </c>
      <c r="Q4379">
        <f>IF(O4379&gt;=3000,"Large","Small")</f>
        <v/>
      </c>
      <c r="R4379">
        <f>INDEX(Products!$F$2:$F$49,MATCH(J4379,Products!$A$2:$A$49,0))</f>
        <v/>
      </c>
      <c r="S4379">
        <f>WEEKDAY(B4379,2)</f>
        <v/>
      </c>
    </row>
    <row r="4380">
      <c r="A4380" t="n">
        <v>511786</v>
      </c>
      <c r="B4380" s="6" t="n">
        <v>46019</v>
      </c>
      <c r="C4380" t="n">
        <v>17806</v>
      </c>
      <c r="D4380" t="inlineStr">
        <is>
          <t>Mumbai</t>
        </is>
      </c>
      <c r="E4380" t="inlineStr">
        <is>
          <t>West</t>
        </is>
      </c>
      <c r="F4380" t="inlineStr">
        <is>
          <t>Organic Search</t>
        </is>
      </c>
      <c r="G4380" t="inlineStr">
        <is>
          <t>Mobile Web</t>
        </is>
      </c>
      <c r="H4380" t="inlineStr">
        <is>
          <t>UPI</t>
        </is>
      </c>
      <c r="I4380" t="inlineStr">
        <is>
          <t>Shipped</t>
        </is>
      </c>
      <c r="J4380" t="n">
        <v>130</v>
      </c>
      <c r="K4380" t="n">
        <v>1</v>
      </c>
      <c r="L4380" t="n">
        <v>734</v>
      </c>
      <c r="M4380" t="n">
        <v>110.1</v>
      </c>
      <c r="N4380">
        <f>VLOOKUP(J4380,Products!$A$2:$C$49,3,FALSE)</f>
        <v/>
      </c>
      <c r="O4380">
        <f>K4380*L4380-M4380</f>
        <v/>
      </c>
      <c r="P4380">
        <f>TEXT(B4380,"yyyy-mm")</f>
        <v/>
      </c>
      <c r="Q4380">
        <f>IF(O4380&gt;=3000,"Large","Small")</f>
        <v/>
      </c>
      <c r="R4380">
        <f>INDEX(Products!$F$2:$F$49,MATCH(J4380,Products!$A$2:$A$49,0))</f>
        <v/>
      </c>
      <c r="S4380">
        <f>WEEKDAY(B4380,2)</f>
        <v/>
      </c>
    </row>
    <row r="4381">
      <c r="A4381" t="n">
        <v>511786</v>
      </c>
      <c r="B4381" s="6" t="n">
        <v>46019</v>
      </c>
      <c r="C4381" t="n">
        <v>17806</v>
      </c>
      <c r="D4381" t="inlineStr">
        <is>
          <t>Mumbai</t>
        </is>
      </c>
      <c r="E4381" t="inlineStr">
        <is>
          <t>West</t>
        </is>
      </c>
      <c r="F4381" t="inlineStr">
        <is>
          <t>Organic Search</t>
        </is>
      </c>
      <c r="G4381" t="inlineStr">
        <is>
          <t>Mobile Web</t>
        </is>
      </c>
      <c r="H4381" t="inlineStr">
        <is>
          <t>UPI</t>
        </is>
      </c>
      <c r="I4381" t="inlineStr">
        <is>
          <t>Shipped</t>
        </is>
      </c>
      <c r="J4381" t="n">
        <v>117</v>
      </c>
      <c r="K4381" t="n">
        <v>1</v>
      </c>
      <c r="L4381" t="n">
        <v>3149</v>
      </c>
      <c r="M4381" t="n">
        <v>472.35</v>
      </c>
      <c r="N4381">
        <f>VLOOKUP(J4381,Products!$A$2:$C$49,3,FALSE)</f>
        <v/>
      </c>
      <c r="O4381">
        <f>K4381*L4381-M4381</f>
        <v/>
      </c>
      <c r="P4381">
        <f>TEXT(B4381,"yyyy-mm")</f>
        <v/>
      </c>
      <c r="Q4381">
        <f>IF(O4381&gt;=3000,"Large","Small")</f>
        <v/>
      </c>
      <c r="R4381">
        <f>INDEX(Products!$F$2:$F$49,MATCH(J4381,Products!$A$2:$A$49,0))</f>
        <v/>
      </c>
      <c r="S4381">
        <f>WEEKDAY(B4381,2)</f>
        <v/>
      </c>
    </row>
    <row r="4382">
      <c r="A4382" t="n">
        <v>511787</v>
      </c>
      <c r="B4382" s="6" t="n">
        <v>46019</v>
      </c>
      <c r="C4382" t="n">
        <v>17828</v>
      </c>
      <c r="D4382" t="inlineStr">
        <is>
          <t>Lucknow</t>
        </is>
      </c>
      <c r="E4382" t="inlineStr">
        <is>
          <t>North</t>
        </is>
      </c>
      <c r="F4382" t="inlineStr">
        <is>
          <t>Affiliate</t>
        </is>
      </c>
      <c r="G4382" t="inlineStr">
        <is>
          <t>Desktop</t>
        </is>
      </c>
      <c r="H4382" t="inlineStr">
        <is>
          <t>Cash on Delivery</t>
        </is>
      </c>
      <c r="I4382" t="inlineStr">
        <is>
          <t>Shipped</t>
        </is>
      </c>
      <c r="J4382" t="n">
        <v>106</v>
      </c>
      <c r="K4382" t="n">
        <v>1</v>
      </c>
      <c r="L4382" t="n">
        <v>1574</v>
      </c>
      <c r="M4382" t="n">
        <v>236.1</v>
      </c>
      <c r="N4382">
        <f>VLOOKUP(J4382,Products!$A$2:$C$49,3,FALSE)</f>
        <v/>
      </c>
      <c r="O4382">
        <f>K4382*L4382-M4382</f>
        <v/>
      </c>
      <c r="P4382">
        <f>TEXT(B4382,"yyyy-mm")</f>
        <v/>
      </c>
      <c r="Q4382">
        <f>IF(O4382&gt;=3000,"Large","Small")</f>
        <v/>
      </c>
      <c r="R4382">
        <f>INDEX(Products!$F$2:$F$49,MATCH(J4382,Products!$A$2:$A$49,0))</f>
        <v/>
      </c>
      <c r="S4382">
        <f>WEEKDAY(B4382,2)</f>
        <v/>
      </c>
    </row>
    <row r="4383">
      <c r="A4383" t="n">
        <v>511787</v>
      </c>
      <c r="B4383" s="6" t="n">
        <v>46019</v>
      </c>
      <c r="C4383" t="n">
        <v>17828</v>
      </c>
      <c r="D4383" t="inlineStr">
        <is>
          <t>Lucknow</t>
        </is>
      </c>
      <c r="E4383" t="inlineStr">
        <is>
          <t>North</t>
        </is>
      </c>
      <c r="F4383" t="inlineStr">
        <is>
          <t>Affiliate</t>
        </is>
      </c>
      <c r="G4383" t="inlineStr">
        <is>
          <t>Desktop</t>
        </is>
      </c>
      <c r="H4383" t="inlineStr">
        <is>
          <t>Cash on Delivery</t>
        </is>
      </c>
      <c r="I4383" t="inlineStr">
        <is>
          <t>Shipped</t>
        </is>
      </c>
      <c r="J4383" t="n">
        <v>118</v>
      </c>
      <c r="K4383" t="n">
        <v>1</v>
      </c>
      <c r="L4383" t="n">
        <v>944</v>
      </c>
      <c r="M4383" t="n">
        <v>141.6</v>
      </c>
      <c r="N4383">
        <f>VLOOKUP(J4383,Products!$A$2:$C$49,3,FALSE)</f>
        <v/>
      </c>
      <c r="O4383">
        <f>K4383*L4383-M4383</f>
        <v/>
      </c>
      <c r="P4383">
        <f>TEXT(B4383,"yyyy-mm")</f>
        <v/>
      </c>
      <c r="Q4383">
        <f>IF(O4383&gt;=3000,"Large","Small")</f>
        <v/>
      </c>
      <c r="R4383">
        <f>INDEX(Products!$F$2:$F$49,MATCH(J4383,Products!$A$2:$A$49,0))</f>
        <v/>
      </c>
      <c r="S4383">
        <f>WEEKDAY(B4383,2)</f>
        <v/>
      </c>
    </row>
    <row r="4384">
      <c r="A4384" t="n">
        <v>511788</v>
      </c>
      <c r="B4384" s="6" t="n">
        <v>46019</v>
      </c>
      <c r="C4384" t="n">
        <v>15602</v>
      </c>
      <c r="D4384" t="inlineStr">
        <is>
          <t>Kolkata</t>
        </is>
      </c>
      <c r="E4384" t="inlineStr">
        <is>
          <t>East</t>
        </is>
      </c>
      <c r="F4384" t="inlineStr">
        <is>
          <t>Referral</t>
        </is>
      </c>
      <c r="G4384" t="inlineStr">
        <is>
          <t>Mobile Web</t>
        </is>
      </c>
      <c r="H4384" t="inlineStr">
        <is>
          <t>UPI</t>
        </is>
      </c>
      <c r="I4384" t="inlineStr">
        <is>
          <t>Shipped</t>
        </is>
      </c>
      <c r="J4384" t="n">
        <v>118</v>
      </c>
      <c r="K4384" t="n">
        <v>1</v>
      </c>
      <c r="L4384" t="n">
        <v>944</v>
      </c>
      <c r="M4384" t="n">
        <v>0</v>
      </c>
      <c r="N4384">
        <f>VLOOKUP(J4384,Products!$A$2:$C$49,3,FALSE)</f>
        <v/>
      </c>
      <c r="O4384">
        <f>K4384*L4384-M4384</f>
        <v/>
      </c>
      <c r="P4384">
        <f>TEXT(B4384,"yyyy-mm")</f>
        <v/>
      </c>
      <c r="Q4384">
        <f>IF(O4384&gt;=3000,"Large","Small")</f>
        <v/>
      </c>
      <c r="R4384">
        <f>INDEX(Products!$F$2:$F$49,MATCH(J4384,Products!$A$2:$A$49,0))</f>
        <v/>
      </c>
      <c r="S4384">
        <f>WEEKDAY(B4384,2)</f>
        <v/>
      </c>
    </row>
    <row r="4385">
      <c r="A4385" t="n">
        <v>511789</v>
      </c>
      <c r="B4385" s="6" t="n">
        <v>46019</v>
      </c>
      <c r="C4385" t="n">
        <v>17950</v>
      </c>
      <c r="D4385" t="inlineStr">
        <is>
          <t>Bengaluru</t>
        </is>
      </c>
      <c r="E4385" t="inlineStr">
        <is>
          <t>South</t>
        </is>
      </c>
      <c r="F4385" t="inlineStr">
        <is>
          <t>Paid Search</t>
        </is>
      </c>
      <c r="G4385" t="inlineStr">
        <is>
          <t>Mobile App</t>
        </is>
      </c>
      <c r="H4385" t="inlineStr">
        <is>
          <t>Net Banking</t>
        </is>
      </c>
      <c r="I4385" t="inlineStr">
        <is>
          <t>Shipped</t>
        </is>
      </c>
      <c r="J4385" t="n">
        <v>140</v>
      </c>
      <c r="K4385" t="n">
        <v>1</v>
      </c>
      <c r="L4385" t="n">
        <v>629</v>
      </c>
      <c r="M4385" t="n">
        <v>94.34999999999999</v>
      </c>
      <c r="N4385">
        <f>VLOOKUP(J4385,Products!$A$2:$C$49,3,FALSE)</f>
        <v/>
      </c>
      <c r="O4385">
        <f>K4385*L4385-M4385</f>
        <v/>
      </c>
      <c r="P4385">
        <f>TEXT(B4385,"yyyy-mm")</f>
        <v/>
      </c>
      <c r="Q4385">
        <f>IF(O4385&gt;=3000,"Large","Small")</f>
        <v/>
      </c>
      <c r="R4385">
        <f>INDEX(Products!$F$2:$F$49,MATCH(J4385,Products!$A$2:$A$49,0))</f>
        <v/>
      </c>
      <c r="S4385">
        <f>WEEKDAY(B4385,2)</f>
        <v/>
      </c>
    </row>
    <row r="4386">
      <c r="A4386" t="n">
        <v>511790</v>
      </c>
      <c r="B4386" s="6" t="n">
        <v>46019</v>
      </c>
      <c r="C4386" t="n">
        <v>17688</v>
      </c>
      <c r="D4386" t="inlineStr">
        <is>
          <t>Pune</t>
        </is>
      </c>
      <c r="E4386" t="inlineStr">
        <is>
          <t>West</t>
        </is>
      </c>
      <c r="F4386" t="inlineStr">
        <is>
          <t>Organic Search</t>
        </is>
      </c>
      <c r="G4386" t="inlineStr">
        <is>
          <t>Mobile Web</t>
        </is>
      </c>
      <c r="H4386" t="inlineStr">
        <is>
          <t>Cash on Delivery</t>
        </is>
      </c>
      <c r="I4386" t="inlineStr">
        <is>
          <t>Cancelled</t>
        </is>
      </c>
      <c r="J4386" t="n">
        <v>131</v>
      </c>
      <c r="K4386" t="n">
        <v>1</v>
      </c>
      <c r="L4386" t="n">
        <v>314</v>
      </c>
      <c r="M4386" t="n">
        <v>0</v>
      </c>
      <c r="N4386">
        <f>VLOOKUP(J4386,Products!$A$2:$C$49,3,FALSE)</f>
        <v/>
      </c>
      <c r="O4386">
        <f>K4386*L4386-M4386</f>
        <v/>
      </c>
      <c r="P4386">
        <f>TEXT(B4386,"yyyy-mm")</f>
        <v/>
      </c>
      <c r="Q4386">
        <f>IF(O4386&gt;=3000,"Large","Small")</f>
        <v/>
      </c>
      <c r="R4386">
        <f>INDEX(Products!$F$2:$F$49,MATCH(J4386,Products!$A$2:$A$49,0))</f>
        <v/>
      </c>
      <c r="S4386">
        <f>WEEKDAY(B4386,2)</f>
        <v/>
      </c>
    </row>
    <row r="4387">
      <c r="A4387" t="n">
        <v>511791</v>
      </c>
      <c r="B4387" s="6" t="n">
        <v>46019</v>
      </c>
      <c r="C4387" t="n">
        <v>15458</v>
      </c>
      <c r="D4387" t="inlineStr">
        <is>
          <t>Chennai</t>
        </is>
      </c>
      <c r="E4387" t="inlineStr">
        <is>
          <t>South</t>
        </is>
      </c>
      <c r="F4387" t="inlineStr">
        <is>
          <t>Paid Search</t>
        </is>
      </c>
      <c r="G4387" t="inlineStr">
        <is>
          <t>Mobile Web</t>
        </is>
      </c>
      <c r="H4387" t="inlineStr">
        <is>
          <t>UPI</t>
        </is>
      </c>
      <c r="I4387" t="inlineStr">
        <is>
          <t>Shipped</t>
        </is>
      </c>
      <c r="J4387" t="n">
        <v>112</v>
      </c>
      <c r="K4387" t="n">
        <v>1</v>
      </c>
      <c r="L4387" t="n">
        <v>1574</v>
      </c>
      <c r="M4387" t="n">
        <v>0</v>
      </c>
      <c r="N4387">
        <f>VLOOKUP(J4387,Products!$A$2:$C$49,3,FALSE)</f>
        <v/>
      </c>
      <c r="O4387">
        <f>K4387*L4387-M4387</f>
        <v/>
      </c>
      <c r="P4387">
        <f>TEXT(B4387,"yyyy-mm")</f>
        <v/>
      </c>
      <c r="Q4387">
        <f>IF(O4387&gt;=3000,"Large","Small")</f>
        <v/>
      </c>
      <c r="R4387">
        <f>INDEX(Products!$F$2:$F$49,MATCH(J4387,Products!$A$2:$A$49,0))</f>
        <v/>
      </c>
      <c r="S4387">
        <f>WEEKDAY(B4387,2)</f>
        <v/>
      </c>
    </row>
    <row r="4388">
      <c r="A4388" t="n">
        <v>511792</v>
      </c>
      <c r="B4388" s="6" t="n">
        <v>46019</v>
      </c>
      <c r="C4388" t="n">
        <v>15792</v>
      </c>
      <c r="D4388" t="inlineStr">
        <is>
          <t>Kolkata</t>
        </is>
      </c>
      <c r="E4388" t="inlineStr">
        <is>
          <t>East</t>
        </is>
      </c>
      <c r="F4388" t="inlineStr">
        <is>
          <t>Paid Search</t>
        </is>
      </c>
      <c r="G4388" t="inlineStr">
        <is>
          <t>Mobile App</t>
        </is>
      </c>
      <c r="H4388" t="inlineStr">
        <is>
          <t>Credit Card</t>
        </is>
      </c>
      <c r="I4388" t="inlineStr">
        <is>
          <t>Shipped</t>
        </is>
      </c>
      <c r="J4388" t="n">
        <v>118</v>
      </c>
      <c r="K4388" t="n">
        <v>2</v>
      </c>
      <c r="L4388" t="n">
        <v>944</v>
      </c>
      <c r="M4388" t="n">
        <v>0</v>
      </c>
      <c r="N4388">
        <f>VLOOKUP(J4388,Products!$A$2:$C$49,3,FALSE)</f>
        <v/>
      </c>
      <c r="O4388">
        <f>K4388*L4388-M4388</f>
        <v/>
      </c>
      <c r="P4388">
        <f>TEXT(B4388,"yyyy-mm")</f>
        <v/>
      </c>
      <c r="Q4388">
        <f>IF(O4388&gt;=3000,"Large","Small")</f>
        <v/>
      </c>
      <c r="R4388">
        <f>INDEX(Products!$F$2:$F$49,MATCH(J4388,Products!$A$2:$A$49,0))</f>
        <v/>
      </c>
      <c r="S4388">
        <f>WEEKDAY(B4388,2)</f>
        <v/>
      </c>
    </row>
    <row r="4389">
      <c r="A4389" t="n">
        <v>511793</v>
      </c>
      <c r="B4389" s="6" t="n">
        <v>46019</v>
      </c>
      <c r="C4389" t="n">
        <v>16255</v>
      </c>
      <c r="D4389" t="inlineStr">
        <is>
          <t>Hyderabad</t>
        </is>
      </c>
      <c r="E4389" t="inlineStr">
        <is>
          <t>South</t>
        </is>
      </c>
      <c r="F4389" t="inlineStr">
        <is>
          <t>Organic Search</t>
        </is>
      </c>
      <c r="G4389" t="inlineStr">
        <is>
          <t>Desktop</t>
        </is>
      </c>
      <c r="H4389" t="inlineStr">
        <is>
          <t>Debit Card</t>
        </is>
      </c>
      <c r="I4389" t="inlineStr">
        <is>
          <t>Shipped</t>
        </is>
      </c>
      <c r="J4389" t="n">
        <v>134</v>
      </c>
      <c r="K4389" t="n">
        <v>1</v>
      </c>
      <c r="L4389" t="n">
        <v>209</v>
      </c>
      <c r="M4389" t="n">
        <v>0</v>
      </c>
      <c r="N4389">
        <f>VLOOKUP(J4389,Products!$A$2:$C$49,3,FALSE)</f>
        <v/>
      </c>
      <c r="O4389">
        <f>K4389*L4389-M4389</f>
        <v/>
      </c>
      <c r="P4389">
        <f>TEXT(B4389,"yyyy-mm")</f>
        <v/>
      </c>
      <c r="Q4389">
        <f>IF(O4389&gt;=3000,"Large","Small")</f>
        <v/>
      </c>
      <c r="R4389">
        <f>INDEX(Products!$F$2:$F$49,MATCH(J4389,Products!$A$2:$A$49,0))</f>
        <v/>
      </c>
      <c r="S4389">
        <f>WEEKDAY(B4389,2)</f>
        <v/>
      </c>
    </row>
    <row r="4390">
      <c r="A4390" t="n">
        <v>511794</v>
      </c>
      <c r="B4390" s="6" t="n">
        <v>46019</v>
      </c>
      <c r="C4390" t="n">
        <v>15914</v>
      </c>
      <c r="D4390" t="inlineStr">
        <is>
          <t>Jaipur</t>
        </is>
      </c>
      <c r="E4390" t="inlineStr">
        <is>
          <t>North</t>
        </is>
      </c>
      <c r="F4390" t="inlineStr">
        <is>
          <t>Paid Search</t>
        </is>
      </c>
      <c r="G4390" t="inlineStr">
        <is>
          <t>Desktop</t>
        </is>
      </c>
      <c r="H4390" t="inlineStr">
        <is>
          <t>Credit Card</t>
        </is>
      </c>
      <c r="I4390" t="inlineStr">
        <is>
          <t>Shipped</t>
        </is>
      </c>
      <c r="J4390" t="n">
        <v>138</v>
      </c>
      <c r="K4390" t="n">
        <v>1</v>
      </c>
      <c r="L4390" t="n">
        <v>419</v>
      </c>
      <c r="M4390" t="n">
        <v>0</v>
      </c>
      <c r="N4390">
        <f>VLOOKUP(J4390,Products!$A$2:$C$49,3,FALSE)</f>
        <v/>
      </c>
      <c r="O4390">
        <f>K4390*L4390-M4390</f>
        <v/>
      </c>
      <c r="P4390">
        <f>TEXT(B4390,"yyyy-mm")</f>
        <v/>
      </c>
      <c r="Q4390">
        <f>IF(O4390&gt;=3000,"Large","Small")</f>
        <v/>
      </c>
      <c r="R4390">
        <f>INDEX(Products!$F$2:$F$49,MATCH(J4390,Products!$A$2:$A$49,0))</f>
        <v/>
      </c>
      <c r="S4390">
        <f>WEEKDAY(B4390,2)</f>
        <v/>
      </c>
    </row>
    <row r="4391">
      <c r="A4391" t="n">
        <v>511795</v>
      </c>
      <c r="B4391" s="6" t="n">
        <v>46019</v>
      </c>
      <c r="C4391" t="n">
        <v>14770</v>
      </c>
      <c r="D4391" t="inlineStr">
        <is>
          <t>Bengaluru</t>
        </is>
      </c>
      <c r="E4391" t="inlineStr">
        <is>
          <t>South</t>
        </is>
      </c>
      <c r="F4391" t="inlineStr">
        <is>
          <t>Email</t>
        </is>
      </c>
      <c r="G4391" t="inlineStr">
        <is>
          <t>Mobile Web</t>
        </is>
      </c>
      <c r="H4391" t="inlineStr">
        <is>
          <t>Credit Card</t>
        </is>
      </c>
      <c r="I4391" t="inlineStr">
        <is>
          <t>Shipped</t>
        </is>
      </c>
      <c r="J4391" t="n">
        <v>137</v>
      </c>
      <c r="K4391" t="n">
        <v>1</v>
      </c>
      <c r="L4391" t="n">
        <v>261</v>
      </c>
      <c r="M4391" t="n">
        <v>0</v>
      </c>
      <c r="N4391">
        <f>VLOOKUP(J4391,Products!$A$2:$C$49,3,FALSE)</f>
        <v/>
      </c>
      <c r="O4391">
        <f>K4391*L4391-M4391</f>
        <v/>
      </c>
      <c r="P4391">
        <f>TEXT(B4391,"yyyy-mm")</f>
        <v/>
      </c>
      <c r="Q4391">
        <f>IF(O4391&gt;=3000,"Large","Small")</f>
        <v/>
      </c>
      <c r="R4391">
        <f>INDEX(Products!$F$2:$F$49,MATCH(J4391,Products!$A$2:$A$49,0))</f>
        <v/>
      </c>
      <c r="S4391">
        <f>WEEKDAY(B4391,2)</f>
        <v/>
      </c>
    </row>
    <row r="4392">
      <c r="A4392" t="n">
        <v>511796</v>
      </c>
      <c r="B4392" s="6" t="n">
        <v>46019</v>
      </c>
      <c r="C4392" t="n">
        <v>17890</v>
      </c>
      <c r="D4392" t="inlineStr">
        <is>
          <t>Lucknow</t>
        </is>
      </c>
      <c r="E4392" t="inlineStr">
        <is>
          <t>North</t>
        </is>
      </c>
      <c r="F4392" t="inlineStr">
        <is>
          <t>Email</t>
        </is>
      </c>
      <c r="G4392" t="inlineStr">
        <is>
          <t>Mobile App</t>
        </is>
      </c>
      <c r="H4392" t="inlineStr">
        <is>
          <t>UPI</t>
        </is>
      </c>
      <c r="I4392" t="inlineStr">
        <is>
          <t>Shipped</t>
        </is>
      </c>
      <c r="J4392" t="n">
        <v>130</v>
      </c>
      <c r="K4392" t="n">
        <v>1</v>
      </c>
      <c r="L4392" t="n">
        <v>734</v>
      </c>
      <c r="M4392" t="n">
        <v>0</v>
      </c>
      <c r="N4392">
        <f>VLOOKUP(J4392,Products!$A$2:$C$49,3,FALSE)</f>
        <v/>
      </c>
      <c r="O4392">
        <f>K4392*L4392-M4392</f>
        <v/>
      </c>
      <c r="P4392">
        <f>TEXT(B4392,"yyyy-mm")</f>
        <v/>
      </c>
      <c r="Q4392">
        <f>IF(O4392&gt;=3000,"Large","Small")</f>
        <v/>
      </c>
      <c r="R4392">
        <f>INDEX(Products!$F$2:$F$49,MATCH(J4392,Products!$A$2:$A$49,0))</f>
        <v/>
      </c>
      <c r="S4392">
        <f>WEEKDAY(B4392,2)</f>
        <v/>
      </c>
    </row>
    <row r="4393">
      <c r="A4393" t="n">
        <v>511796</v>
      </c>
      <c r="B4393" s="6" t="n">
        <v>46019</v>
      </c>
      <c r="C4393" t="n">
        <v>17890</v>
      </c>
      <c r="D4393" t="inlineStr">
        <is>
          <t>Lucknow</t>
        </is>
      </c>
      <c r="E4393" t="inlineStr">
        <is>
          <t>North</t>
        </is>
      </c>
      <c r="F4393" t="inlineStr">
        <is>
          <t>Email</t>
        </is>
      </c>
      <c r="G4393" t="inlineStr">
        <is>
          <t>Mobile App</t>
        </is>
      </c>
      <c r="H4393" t="inlineStr">
        <is>
          <t>UPI</t>
        </is>
      </c>
      <c r="I4393" t="inlineStr">
        <is>
          <t>Shipped</t>
        </is>
      </c>
      <c r="J4393" t="n">
        <v>123</v>
      </c>
      <c r="K4393" t="n">
        <v>1</v>
      </c>
      <c r="L4393" t="n">
        <v>3464</v>
      </c>
      <c r="M4393" t="n">
        <v>0</v>
      </c>
      <c r="N4393">
        <f>VLOOKUP(J4393,Products!$A$2:$C$49,3,FALSE)</f>
        <v/>
      </c>
      <c r="O4393">
        <f>K4393*L4393-M4393</f>
        <v/>
      </c>
      <c r="P4393">
        <f>TEXT(B4393,"yyyy-mm")</f>
        <v/>
      </c>
      <c r="Q4393">
        <f>IF(O4393&gt;=3000,"Large","Small")</f>
        <v/>
      </c>
      <c r="R4393">
        <f>INDEX(Products!$F$2:$F$49,MATCH(J4393,Products!$A$2:$A$49,0))</f>
        <v/>
      </c>
      <c r="S4393">
        <f>WEEKDAY(B4393,2)</f>
        <v/>
      </c>
    </row>
    <row r="4394">
      <c r="A4394" t="n">
        <v>511797</v>
      </c>
      <c r="B4394" s="6" t="n">
        <v>46019</v>
      </c>
      <c r="C4394" t="n">
        <v>15181</v>
      </c>
      <c r="D4394" t="inlineStr">
        <is>
          <t>Delhi</t>
        </is>
      </c>
      <c r="E4394" t="inlineStr">
        <is>
          <t>North</t>
        </is>
      </c>
      <c r="F4394" t="inlineStr">
        <is>
          <t>Organic Search</t>
        </is>
      </c>
      <c r="G4394" t="inlineStr">
        <is>
          <t>Mobile App</t>
        </is>
      </c>
      <c r="H4394" t="inlineStr">
        <is>
          <t>Debit Card</t>
        </is>
      </c>
      <c r="I4394" t="inlineStr">
        <is>
          <t>Shipped</t>
        </is>
      </c>
      <c r="J4394" t="n">
        <v>123</v>
      </c>
      <c r="K4394" t="n">
        <v>1</v>
      </c>
      <c r="L4394" t="n">
        <v>3464</v>
      </c>
      <c r="M4394" t="n">
        <v>0</v>
      </c>
      <c r="N4394">
        <f>VLOOKUP(J4394,Products!$A$2:$C$49,3,FALSE)</f>
        <v/>
      </c>
      <c r="O4394">
        <f>K4394*L4394-M4394</f>
        <v/>
      </c>
      <c r="P4394">
        <f>TEXT(B4394,"yyyy-mm")</f>
        <v/>
      </c>
      <c r="Q4394">
        <f>IF(O4394&gt;=3000,"Large","Small")</f>
        <v/>
      </c>
      <c r="R4394">
        <f>INDEX(Products!$F$2:$F$49,MATCH(J4394,Products!$A$2:$A$49,0))</f>
        <v/>
      </c>
      <c r="S4394">
        <f>WEEKDAY(B4394,2)</f>
        <v/>
      </c>
    </row>
    <row r="4395">
      <c r="A4395" t="n">
        <v>511798</v>
      </c>
      <c r="B4395" s="6" t="n">
        <v>46019</v>
      </c>
      <c r="C4395" t="n">
        <v>17941</v>
      </c>
      <c r="D4395" t="inlineStr">
        <is>
          <t>Pune</t>
        </is>
      </c>
      <c r="E4395" t="inlineStr">
        <is>
          <t>West</t>
        </is>
      </c>
      <c r="F4395" t="inlineStr">
        <is>
          <t>Organic Search</t>
        </is>
      </c>
      <c r="G4395" t="inlineStr">
        <is>
          <t>Mobile Web</t>
        </is>
      </c>
      <c r="H4395" t="inlineStr">
        <is>
          <t>Cash on Delivery</t>
        </is>
      </c>
      <c r="I4395" t="inlineStr">
        <is>
          <t>Shipped</t>
        </is>
      </c>
      <c r="J4395" t="n">
        <v>131</v>
      </c>
      <c r="K4395" t="n">
        <v>3</v>
      </c>
      <c r="L4395" t="n">
        <v>314</v>
      </c>
      <c r="M4395" t="n">
        <v>141.3</v>
      </c>
      <c r="N4395">
        <f>VLOOKUP(J4395,Products!$A$2:$C$49,3,FALSE)</f>
        <v/>
      </c>
      <c r="O4395">
        <f>K4395*L4395-M4395</f>
        <v/>
      </c>
      <c r="P4395">
        <f>TEXT(B4395,"yyyy-mm")</f>
        <v/>
      </c>
      <c r="Q4395">
        <f>IF(O4395&gt;=3000,"Large","Small")</f>
        <v/>
      </c>
      <c r="R4395">
        <f>INDEX(Products!$F$2:$F$49,MATCH(J4395,Products!$A$2:$A$49,0))</f>
        <v/>
      </c>
      <c r="S4395">
        <f>WEEKDAY(B4395,2)</f>
        <v/>
      </c>
    </row>
    <row r="4396">
      <c r="A4396" t="n">
        <v>511799</v>
      </c>
      <c r="B4396" s="6" t="n">
        <v>46019</v>
      </c>
      <c r="C4396" t="n">
        <v>15960</v>
      </c>
      <c r="D4396" t="inlineStr">
        <is>
          <t>Delhi</t>
        </is>
      </c>
      <c r="E4396" t="inlineStr">
        <is>
          <t>North</t>
        </is>
      </c>
      <c r="F4396" t="inlineStr">
        <is>
          <t>Paid Search</t>
        </is>
      </c>
      <c r="G4396" t="inlineStr">
        <is>
          <t>Mobile Web</t>
        </is>
      </c>
      <c r="H4396" t="inlineStr">
        <is>
          <t>Credit Card</t>
        </is>
      </c>
      <c r="I4396" t="inlineStr">
        <is>
          <t>Shipped</t>
        </is>
      </c>
      <c r="J4396" t="n">
        <v>138</v>
      </c>
      <c r="K4396" t="n">
        <v>1</v>
      </c>
      <c r="L4396" t="n">
        <v>419</v>
      </c>
      <c r="M4396" t="n">
        <v>0</v>
      </c>
      <c r="N4396">
        <f>VLOOKUP(J4396,Products!$A$2:$C$49,3,FALSE)</f>
        <v/>
      </c>
      <c r="O4396">
        <f>K4396*L4396-M4396</f>
        <v/>
      </c>
      <c r="P4396">
        <f>TEXT(B4396,"yyyy-mm")</f>
        <v/>
      </c>
      <c r="Q4396">
        <f>IF(O4396&gt;=3000,"Large","Small")</f>
        <v/>
      </c>
      <c r="R4396">
        <f>INDEX(Products!$F$2:$F$49,MATCH(J4396,Products!$A$2:$A$49,0))</f>
        <v/>
      </c>
      <c r="S4396">
        <f>WEEKDAY(B4396,2)</f>
        <v/>
      </c>
    </row>
    <row r="4397">
      <c r="A4397" t="n">
        <v>511799</v>
      </c>
      <c r="B4397" s="6" t="n">
        <v>46019</v>
      </c>
      <c r="C4397" t="n">
        <v>15960</v>
      </c>
      <c r="D4397" t="inlineStr">
        <is>
          <t>Delhi</t>
        </is>
      </c>
      <c r="E4397" t="inlineStr">
        <is>
          <t>North</t>
        </is>
      </c>
      <c r="F4397" t="inlineStr">
        <is>
          <t>Paid Search</t>
        </is>
      </c>
      <c r="G4397" t="inlineStr">
        <is>
          <t>Mobile Web</t>
        </is>
      </c>
      <c r="H4397" t="inlineStr">
        <is>
          <t>Credit Card</t>
        </is>
      </c>
      <c r="I4397" t="inlineStr">
        <is>
          <t>Shipped</t>
        </is>
      </c>
      <c r="J4397" t="n">
        <v>101</v>
      </c>
      <c r="K4397" t="n">
        <v>1</v>
      </c>
      <c r="L4397" t="n">
        <v>2099</v>
      </c>
      <c r="M4397" t="n">
        <v>0</v>
      </c>
      <c r="N4397">
        <f>VLOOKUP(J4397,Products!$A$2:$C$49,3,FALSE)</f>
        <v/>
      </c>
      <c r="O4397">
        <f>K4397*L4397-M4397</f>
        <v/>
      </c>
      <c r="P4397">
        <f>TEXT(B4397,"yyyy-mm")</f>
        <v/>
      </c>
      <c r="Q4397">
        <f>IF(O4397&gt;=3000,"Large","Small")</f>
        <v/>
      </c>
      <c r="R4397">
        <f>INDEX(Products!$F$2:$F$49,MATCH(J4397,Products!$A$2:$A$49,0))</f>
        <v/>
      </c>
      <c r="S4397">
        <f>WEEKDAY(B4397,2)</f>
        <v/>
      </c>
    </row>
    <row r="4398">
      <c r="A4398" t="n">
        <v>511800</v>
      </c>
      <c r="B4398" s="6" t="n">
        <v>46019</v>
      </c>
      <c r="C4398" t="n">
        <v>17920</v>
      </c>
      <c r="D4398" t="inlineStr">
        <is>
          <t>Lucknow</t>
        </is>
      </c>
      <c r="E4398" t="inlineStr">
        <is>
          <t>North</t>
        </is>
      </c>
      <c r="F4398" t="inlineStr">
        <is>
          <t>Referral</t>
        </is>
      </c>
      <c r="G4398" t="inlineStr">
        <is>
          <t>Desktop</t>
        </is>
      </c>
      <c r="H4398" t="inlineStr">
        <is>
          <t>UPI</t>
        </is>
      </c>
      <c r="I4398" t="inlineStr">
        <is>
          <t>Shipped</t>
        </is>
      </c>
      <c r="J4398" t="n">
        <v>126</v>
      </c>
      <c r="K4398" t="n">
        <v>2</v>
      </c>
      <c r="L4398" t="n">
        <v>471</v>
      </c>
      <c r="M4398" t="n">
        <v>141.3</v>
      </c>
      <c r="N4398">
        <f>VLOOKUP(J4398,Products!$A$2:$C$49,3,FALSE)</f>
        <v/>
      </c>
      <c r="O4398">
        <f>K4398*L4398-M4398</f>
        <v/>
      </c>
      <c r="P4398">
        <f>TEXT(B4398,"yyyy-mm")</f>
        <v/>
      </c>
      <c r="Q4398">
        <f>IF(O4398&gt;=3000,"Large","Small")</f>
        <v/>
      </c>
      <c r="R4398">
        <f>INDEX(Products!$F$2:$F$49,MATCH(J4398,Products!$A$2:$A$49,0))</f>
        <v/>
      </c>
      <c r="S4398">
        <f>WEEKDAY(B4398,2)</f>
        <v/>
      </c>
    </row>
    <row r="4399">
      <c r="A4399" t="n">
        <v>511801</v>
      </c>
      <c r="B4399" s="6" t="n">
        <v>46019</v>
      </c>
      <c r="C4399" t="n">
        <v>17936</v>
      </c>
      <c r="D4399" t="inlineStr">
        <is>
          <t>Pune</t>
        </is>
      </c>
      <c r="E4399" t="inlineStr">
        <is>
          <t>West</t>
        </is>
      </c>
      <c r="F4399" t="inlineStr">
        <is>
          <t>Paid Search</t>
        </is>
      </c>
      <c r="G4399" t="inlineStr">
        <is>
          <t>Mobile Web</t>
        </is>
      </c>
      <c r="H4399" t="inlineStr">
        <is>
          <t>Cash on Delivery</t>
        </is>
      </c>
      <c r="I4399" t="inlineStr">
        <is>
          <t>Shipped</t>
        </is>
      </c>
      <c r="J4399" t="n">
        <v>112</v>
      </c>
      <c r="K4399" t="n">
        <v>1</v>
      </c>
      <c r="L4399" t="n">
        <v>1574</v>
      </c>
      <c r="M4399" t="n">
        <v>236.1</v>
      </c>
      <c r="N4399">
        <f>VLOOKUP(J4399,Products!$A$2:$C$49,3,FALSE)</f>
        <v/>
      </c>
      <c r="O4399">
        <f>K4399*L4399-M4399</f>
        <v/>
      </c>
      <c r="P4399">
        <f>TEXT(B4399,"yyyy-mm")</f>
        <v/>
      </c>
      <c r="Q4399">
        <f>IF(O4399&gt;=3000,"Large","Small")</f>
        <v/>
      </c>
      <c r="R4399">
        <f>INDEX(Products!$F$2:$F$49,MATCH(J4399,Products!$A$2:$A$49,0))</f>
        <v/>
      </c>
      <c r="S4399">
        <f>WEEKDAY(B4399,2)</f>
        <v/>
      </c>
    </row>
    <row r="4400">
      <c r="A4400" t="n">
        <v>511801</v>
      </c>
      <c r="B4400" s="6" t="n">
        <v>46019</v>
      </c>
      <c r="C4400" t="n">
        <v>17936</v>
      </c>
      <c r="D4400" t="inlineStr">
        <is>
          <t>Pune</t>
        </is>
      </c>
      <c r="E4400" t="inlineStr">
        <is>
          <t>West</t>
        </is>
      </c>
      <c r="F4400" t="inlineStr">
        <is>
          <t>Paid Search</t>
        </is>
      </c>
      <c r="G4400" t="inlineStr">
        <is>
          <t>Mobile Web</t>
        </is>
      </c>
      <c r="H4400" t="inlineStr">
        <is>
          <t>Cash on Delivery</t>
        </is>
      </c>
      <c r="I4400" t="inlineStr">
        <is>
          <t>Shipped</t>
        </is>
      </c>
      <c r="J4400" t="n">
        <v>121</v>
      </c>
      <c r="K4400" t="n">
        <v>2</v>
      </c>
      <c r="L4400" t="n">
        <v>2939</v>
      </c>
      <c r="M4400" t="n">
        <v>881.7</v>
      </c>
      <c r="N4400">
        <f>VLOOKUP(J4400,Products!$A$2:$C$49,3,FALSE)</f>
        <v/>
      </c>
      <c r="O4400">
        <f>K4400*L4400-M4400</f>
        <v/>
      </c>
      <c r="P4400">
        <f>TEXT(B4400,"yyyy-mm")</f>
        <v/>
      </c>
      <c r="Q4400">
        <f>IF(O4400&gt;=3000,"Large","Small")</f>
        <v/>
      </c>
      <c r="R4400">
        <f>INDEX(Products!$F$2:$F$49,MATCH(J4400,Products!$A$2:$A$49,0))</f>
        <v/>
      </c>
      <c r="S4400">
        <f>WEEKDAY(B4400,2)</f>
        <v/>
      </c>
    </row>
    <row r="4401">
      <c r="A4401" t="n">
        <v>511802</v>
      </c>
      <c r="B4401" s="6" t="n">
        <v>46019</v>
      </c>
      <c r="C4401" t="n">
        <v>17953</v>
      </c>
      <c r="D4401" t="inlineStr">
        <is>
          <t>Mumbai</t>
        </is>
      </c>
      <c r="E4401" t="inlineStr">
        <is>
          <t>West</t>
        </is>
      </c>
      <c r="F4401" t="inlineStr">
        <is>
          <t>Email</t>
        </is>
      </c>
      <c r="G4401" t="inlineStr">
        <is>
          <t>Mobile App</t>
        </is>
      </c>
      <c r="H4401" t="inlineStr">
        <is>
          <t>UPI</t>
        </is>
      </c>
      <c r="I4401" t="inlineStr">
        <is>
          <t>Shipped</t>
        </is>
      </c>
      <c r="J4401" t="n">
        <v>137</v>
      </c>
      <c r="K4401" t="n">
        <v>1</v>
      </c>
      <c r="L4401" t="n">
        <v>261</v>
      </c>
      <c r="M4401" t="n">
        <v>13.05</v>
      </c>
      <c r="N4401">
        <f>VLOOKUP(J4401,Products!$A$2:$C$49,3,FALSE)</f>
        <v/>
      </c>
      <c r="O4401">
        <f>K4401*L4401-M4401</f>
        <v/>
      </c>
      <c r="P4401">
        <f>TEXT(B4401,"yyyy-mm")</f>
        <v/>
      </c>
      <c r="Q4401">
        <f>IF(O4401&gt;=3000,"Large","Small")</f>
        <v/>
      </c>
      <c r="R4401">
        <f>INDEX(Products!$F$2:$F$49,MATCH(J4401,Products!$A$2:$A$49,0))</f>
        <v/>
      </c>
      <c r="S4401">
        <f>WEEKDAY(B4401,2)</f>
        <v/>
      </c>
    </row>
    <row r="4402">
      <c r="A4402" t="n">
        <v>511803</v>
      </c>
      <c r="B4402" s="6" t="n">
        <v>46019</v>
      </c>
      <c r="C4402" t="n">
        <v>16075</v>
      </c>
      <c r="D4402" t="inlineStr">
        <is>
          <t>Bengaluru</t>
        </is>
      </c>
      <c r="E4402" t="inlineStr">
        <is>
          <t>South</t>
        </is>
      </c>
      <c r="F4402" t="inlineStr">
        <is>
          <t>Organic Search</t>
        </is>
      </c>
      <c r="G4402" t="inlineStr">
        <is>
          <t>Mobile Web</t>
        </is>
      </c>
      <c r="H4402" t="inlineStr">
        <is>
          <t>UPI</t>
        </is>
      </c>
      <c r="I4402" t="inlineStr">
        <is>
          <t>Shipped</t>
        </is>
      </c>
      <c r="J4402" t="n">
        <v>117</v>
      </c>
      <c r="K4402" t="n">
        <v>1</v>
      </c>
      <c r="L4402" t="n">
        <v>3149</v>
      </c>
      <c r="M4402" t="n">
        <v>0</v>
      </c>
      <c r="N4402">
        <f>VLOOKUP(J4402,Products!$A$2:$C$49,3,FALSE)</f>
        <v/>
      </c>
      <c r="O4402">
        <f>K4402*L4402-M4402</f>
        <v/>
      </c>
      <c r="P4402">
        <f>TEXT(B4402,"yyyy-mm")</f>
        <v/>
      </c>
      <c r="Q4402">
        <f>IF(O4402&gt;=3000,"Large","Small")</f>
        <v/>
      </c>
      <c r="R4402">
        <f>INDEX(Products!$F$2:$F$49,MATCH(J4402,Products!$A$2:$A$49,0))</f>
        <v/>
      </c>
      <c r="S4402">
        <f>WEEKDAY(B4402,2)</f>
        <v/>
      </c>
    </row>
    <row r="4403">
      <c r="A4403" t="n">
        <v>511804</v>
      </c>
      <c r="B4403" s="6" t="n">
        <v>46020</v>
      </c>
      <c r="C4403" t="n">
        <v>17190</v>
      </c>
      <c r="D4403" t="inlineStr">
        <is>
          <t>Chennai</t>
        </is>
      </c>
      <c r="E4403" t="inlineStr">
        <is>
          <t>South</t>
        </is>
      </c>
      <c r="F4403" t="inlineStr">
        <is>
          <t>Referral</t>
        </is>
      </c>
      <c r="G4403" t="inlineStr">
        <is>
          <t>Mobile App</t>
        </is>
      </c>
      <c r="H4403" t="inlineStr">
        <is>
          <t>UPI</t>
        </is>
      </c>
      <c r="I4403" t="inlineStr">
        <is>
          <t>Shipped</t>
        </is>
      </c>
      <c r="J4403" t="n">
        <v>119</v>
      </c>
      <c r="K4403" t="n">
        <v>1</v>
      </c>
      <c r="L4403" t="n">
        <v>2309</v>
      </c>
      <c r="M4403" t="n">
        <v>0</v>
      </c>
      <c r="N4403">
        <f>VLOOKUP(J4403,Products!$A$2:$C$49,3,FALSE)</f>
        <v/>
      </c>
      <c r="O4403">
        <f>K4403*L4403-M4403</f>
        <v/>
      </c>
      <c r="P4403">
        <f>TEXT(B4403,"yyyy-mm")</f>
        <v/>
      </c>
      <c r="Q4403">
        <f>IF(O4403&gt;=3000,"Large","Small")</f>
        <v/>
      </c>
      <c r="R4403">
        <f>INDEX(Products!$F$2:$F$49,MATCH(J4403,Products!$A$2:$A$49,0))</f>
        <v/>
      </c>
      <c r="S4403">
        <f>WEEKDAY(B4403,2)</f>
        <v/>
      </c>
    </row>
    <row r="4404">
      <c r="A4404" t="n">
        <v>511804</v>
      </c>
      <c r="B4404" s="6" t="n">
        <v>46020</v>
      </c>
      <c r="C4404" t="n">
        <v>17190</v>
      </c>
      <c r="D4404" t="inlineStr">
        <is>
          <t>Chennai</t>
        </is>
      </c>
      <c r="E4404" t="inlineStr">
        <is>
          <t>South</t>
        </is>
      </c>
      <c r="F4404" t="inlineStr">
        <is>
          <t>Referral</t>
        </is>
      </c>
      <c r="G4404" t="inlineStr">
        <is>
          <t>Mobile App</t>
        </is>
      </c>
      <c r="H4404" t="inlineStr">
        <is>
          <t>UPI</t>
        </is>
      </c>
      <c r="I4404" t="inlineStr">
        <is>
          <t>Shipped</t>
        </is>
      </c>
      <c r="J4404" t="n">
        <v>129</v>
      </c>
      <c r="K4404" t="n">
        <v>1</v>
      </c>
      <c r="L4404" t="n">
        <v>576</v>
      </c>
      <c r="M4404" t="n">
        <v>0</v>
      </c>
      <c r="N4404">
        <f>VLOOKUP(J4404,Products!$A$2:$C$49,3,FALSE)</f>
        <v/>
      </c>
      <c r="O4404">
        <f>K4404*L4404-M4404</f>
        <v/>
      </c>
      <c r="P4404">
        <f>TEXT(B4404,"yyyy-mm")</f>
        <v/>
      </c>
      <c r="Q4404">
        <f>IF(O4404&gt;=3000,"Large","Small")</f>
        <v/>
      </c>
      <c r="R4404">
        <f>INDEX(Products!$F$2:$F$49,MATCH(J4404,Products!$A$2:$A$49,0))</f>
        <v/>
      </c>
      <c r="S4404">
        <f>WEEKDAY(B4404,2)</f>
        <v/>
      </c>
    </row>
    <row r="4405">
      <c r="A4405" t="n">
        <v>511805</v>
      </c>
      <c r="B4405" s="6" t="n">
        <v>46020</v>
      </c>
      <c r="C4405" t="n">
        <v>17861</v>
      </c>
      <c r="D4405" t="inlineStr">
        <is>
          <t>Kochi</t>
        </is>
      </c>
      <c r="E4405" t="inlineStr">
        <is>
          <t>South</t>
        </is>
      </c>
      <c r="F4405" t="inlineStr">
        <is>
          <t>Paid Search</t>
        </is>
      </c>
      <c r="G4405" t="inlineStr">
        <is>
          <t>Mobile Web</t>
        </is>
      </c>
      <c r="H4405" t="inlineStr">
        <is>
          <t>UPI</t>
        </is>
      </c>
      <c r="I4405" t="inlineStr">
        <is>
          <t>Shipped</t>
        </is>
      </c>
      <c r="J4405" t="n">
        <v>121</v>
      </c>
      <c r="K4405" t="n">
        <v>1</v>
      </c>
      <c r="L4405" t="n">
        <v>2939</v>
      </c>
      <c r="M4405" t="n">
        <v>440.85</v>
      </c>
      <c r="N4405">
        <f>VLOOKUP(J4405,Products!$A$2:$C$49,3,FALSE)</f>
        <v/>
      </c>
      <c r="O4405">
        <f>K4405*L4405-M4405</f>
        <v/>
      </c>
      <c r="P4405">
        <f>TEXT(B4405,"yyyy-mm")</f>
        <v/>
      </c>
      <c r="Q4405">
        <f>IF(O4405&gt;=3000,"Large","Small")</f>
        <v/>
      </c>
      <c r="R4405">
        <f>INDEX(Products!$F$2:$F$49,MATCH(J4405,Products!$A$2:$A$49,0))</f>
        <v/>
      </c>
      <c r="S4405">
        <f>WEEKDAY(B4405,2)</f>
        <v/>
      </c>
    </row>
    <row r="4406">
      <c r="A4406" t="n">
        <v>511806</v>
      </c>
      <c r="B4406" s="6" t="n">
        <v>46020</v>
      </c>
      <c r="C4406" t="n">
        <v>16842</v>
      </c>
      <c r="D4406" t="inlineStr">
        <is>
          <t>Hyderabad</t>
        </is>
      </c>
      <c r="E4406" t="inlineStr">
        <is>
          <t>South</t>
        </is>
      </c>
      <c r="F4406" t="inlineStr">
        <is>
          <t>Referral</t>
        </is>
      </c>
      <c r="G4406" t="inlineStr">
        <is>
          <t>Mobile Web</t>
        </is>
      </c>
      <c r="H4406" t="inlineStr">
        <is>
          <t>UPI</t>
        </is>
      </c>
      <c r="I4406" t="inlineStr">
        <is>
          <t>Shipped</t>
        </is>
      </c>
      <c r="J4406" t="n">
        <v>103</v>
      </c>
      <c r="K4406" t="n">
        <v>2</v>
      </c>
      <c r="L4406" t="n">
        <v>2624</v>
      </c>
      <c r="M4406" t="n">
        <v>0</v>
      </c>
      <c r="N4406">
        <f>VLOOKUP(J4406,Products!$A$2:$C$49,3,FALSE)</f>
        <v/>
      </c>
      <c r="O4406">
        <f>K4406*L4406-M4406</f>
        <v/>
      </c>
      <c r="P4406">
        <f>TEXT(B4406,"yyyy-mm")</f>
        <v/>
      </c>
      <c r="Q4406">
        <f>IF(O4406&gt;=3000,"Large","Small")</f>
        <v/>
      </c>
      <c r="R4406">
        <f>INDEX(Products!$F$2:$F$49,MATCH(J4406,Products!$A$2:$A$49,0))</f>
        <v/>
      </c>
      <c r="S4406">
        <f>WEEKDAY(B4406,2)</f>
        <v/>
      </c>
    </row>
    <row r="4407">
      <c r="A4407" t="n">
        <v>511806</v>
      </c>
      <c r="B4407" s="6" t="n">
        <v>46020</v>
      </c>
      <c r="C4407" t="n">
        <v>16842</v>
      </c>
      <c r="D4407" t="inlineStr">
        <is>
          <t>Hyderabad</t>
        </is>
      </c>
      <c r="E4407" t="inlineStr">
        <is>
          <t>South</t>
        </is>
      </c>
      <c r="F4407" t="inlineStr">
        <is>
          <t>Referral</t>
        </is>
      </c>
      <c r="G4407" t="inlineStr">
        <is>
          <t>Mobile Web</t>
        </is>
      </c>
      <c r="H4407" t="inlineStr">
        <is>
          <t>UPI</t>
        </is>
      </c>
      <c r="I4407" t="inlineStr">
        <is>
          <t>Shipped</t>
        </is>
      </c>
      <c r="J4407" t="n">
        <v>121</v>
      </c>
      <c r="K4407" t="n">
        <v>1</v>
      </c>
      <c r="L4407" t="n">
        <v>2939</v>
      </c>
      <c r="M4407" t="n">
        <v>0</v>
      </c>
      <c r="N4407">
        <f>VLOOKUP(J4407,Products!$A$2:$C$49,3,FALSE)</f>
        <v/>
      </c>
      <c r="O4407">
        <f>K4407*L4407-M4407</f>
        <v/>
      </c>
      <c r="P4407">
        <f>TEXT(B4407,"yyyy-mm")</f>
        <v/>
      </c>
      <c r="Q4407">
        <f>IF(O4407&gt;=3000,"Large","Small")</f>
        <v/>
      </c>
      <c r="R4407">
        <f>INDEX(Products!$F$2:$F$49,MATCH(J4407,Products!$A$2:$A$49,0))</f>
        <v/>
      </c>
      <c r="S4407">
        <f>WEEKDAY(B4407,2)</f>
        <v/>
      </c>
    </row>
    <row r="4408">
      <c r="A4408" t="n">
        <v>511806</v>
      </c>
      <c r="B4408" s="6" t="n">
        <v>46020</v>
      </c>
      <c r="C4408" t="n">
        <v>16842</v>
      </c>
      <c r="D4408" t="inlineStr">
        <is>
          <t>Hyderabad</t>
        </is>
      </c>
      <c r="E4408" t="inlineStr">
        <is>
          <t>South</t>
        </is>
      </c>
      <c r="F4408" t="inlineStr">
        <is>
          <t>Referral</t>
        </is>
      </c>
      <c r="G4408" t="inlineStr">
        <is>
          <t>Mobile Web</t>
        </is>
      </c>
      <c r="H4408" t="inlineStr">
        <is>
          <t>UPI</t>
        </is>
      </c>
      <c r="I4408" t="inlineStr">
        <is>
          <t>Shipped</t>
        </is>
      </c>
      <c r="J4408" t="n">
        <v>118</v>
      </c>
      <c r="K4408" t="n">
        <v>1</v>
      </c>
      <c r="L4408" t="n">
        <v>944</v>
      </c>
      <c r="M4408" t="n">
        <v>0</v>
      </c>
      <c r="N4408">
        <f>VLOOKUP(J4408,Products!$A$2:$C$49,3,FALSE)</f>
        <v/>
      </c>
      <c r="O4408">
        <f>K4408*L4408-M4408</f>
        <v/>
      </c>
      <c r="P4408">
        <f>TEXT(B4408,"yyyy-mm")</f>
        <v/>
      </c>
      <c r="Q4408">
        <f>IF(O4408&gt;=3000,"Large","Small")</f>
        <v/>
      </c>
      <c r="R4408">
        <f>INDEX(Products!$F$2:$F$49,MATCH(J4408,Products!$A$2:$A$49,0))</f>
        <v/>
      </c>
      <c r="S4408">
        <f>WEEKDAY(B4408,2)</f>
        <v/>
      </c>
    </row>
    <row r="4409">
      <c r="A4409" t="n">
        <v>511806</v>
      </c>
      <c r="B4409" s="6" t="n">
        <v>46020</v>
      </c>
      <c r="C4409" t="n">
        <v>16842</v>
      </c>
      <c r="D4409" t="inlineStr">
        <is>
          <t>Hyderabad</t>
        </is>
      </c>
      <c r="E4409" t="inlineStr">
        <is>
          <t>South</t>
        </is>
      </c>
      <c r="F4409" t="inlineStr">
        <is>
          <t>Referral</t>
        </is>
      </c>
      <c r="G4409" t="inlineStr">
        <is>
          <t>Mobile Web</t>
        </is>
      </c>
      <c r="H4409" t="inlineStr">
        <is>
          <t>UPI</t>
        </is>
      </c>
      <c r="I4409" t="inlineStr">
        <is>
          <t>Shipped</t>
        </is>
      </c>
      <c r="J4409" t="n">
        <v>134</v>
      </c>
      <c r="K4409" t="n">
        <v>1</v>
      </c>
      <c r="L4409" t="n">
        <v>209</v>
      </c>
      <c r="M4409" t="n">
        <v>0</v>
      </c>
      <c r="N4409">
        <f>VLOOKUP(J4409,Products!$A$2:$C$49,3,FALSE)</f>
        <v/>
      </c>
      <c r="O4409">
        <f>K4409*L4409-M4409</f>
        <v/>
      </c>
      <c r="P4409">
        <f>TEXT(B4409,"yyyy-mm")</f>
        <v/>
      </c>
      <c r="Q4409">
        <f>IF(O4409&gt;=3000,"Large","Small")</f>
        <v/>
      </c>
      <c r="R4409">
        <f>INDEX(Products!$F$2:$F$49,MATCH(J4409,Products!$A$2:$A$49,0))</f>
        <v/>
      </c>
      <c r="S4409">
        <f>WEEKDAY(B4409,2)</f>
        <v/>
      </c>
    </row>
    <row r="4410">
      <c r="A4410" t="n">
        <v>511807</v>
      </c>
      <c r="B4410" s="6" t="n">
        <v>46020</v>
      </c>
      <c r="C4410" t="n">
        <v>17947</v>
      </c>
      <c r="D4410" t="inlineStr">
        <is>
          <t>Pune</t>
        </is>
      </c>
      <c r="E4410" t="inlineStr">
        <is>
          <t>West</t>
        </is>
      </c>
      <c r="F4410" t="inlineStr">
        <is>
          <t>Organic Search</t>
        </is>
      </c>
      <c r="G4410" t="inlineStr">
        <is>
          <t>Mobile App</t>
        </is>
      </c>
      <c r="H4410" t="inlineStr">
        <is>
          <t>Credit Card</t>
        </is>
      </c>
      <c r="I4410" t="inlineStr">
        <is>
          <t>Shipped</t>
        </is>
      </c>
      <c r="J4410" t="n">
        <v>126</v>
      </c>
      <c r="K4410" t="n">
        <v>1</v>
      </c>
      <c r="L4410" t="n">
        <v>471</v>
      </c>
      <c r="M4410" t="n">
        <v>0</v>
      </c>
      <c r="N4410">
        <f>VLOOKUP(J4410,Products!$A$2:$C$49,3,FALSE)</f>
        <v/>
      </c>
      <c r="O4410">
        <f>K4410*L4410-M4410</f>
        <v/>
      </c>
      <c r="P4410">
        <f>TEXT(B4410,"yyyy-mm")</f>
        <v/>
      </c>
      <c r="Q4410">
        <f>IF(O4410&gt;=3000,"Large","Small")</f>
        <v/>
      </c>
      <c r="R4410">
        <f>INDEX(Products!$F$2:$F$49,MATCH(J4410,Products!$A$2:$A$49,0))</f>
        <v/>
      </c>
      <c r="S4410">
        <f>WEEKDAY(B4410,2)</f>
        <v/>
      </c>
    </row>
    <row r="4411">
      <c r="A4411" t="n">
        <v>511807</v>
      </c>
      <c r="B4411" s="6" t="n">
        <v>46020</v>
      </c>
      <c r="C4411" t="n">
        <v>17947</v>
      </c>
      <c r="D4411" t="inlineStr">
        <is>
          <t>Pune</t>
        </is>
      </c>
      <c r="E4411" t="inlineStr">
        <is>
          <t>West</t>
        </is>
      </c>
      <c r="F4411" t="inlineStr">
        <is>
          <t>Organic Search</t>
        </is>
      </c>
      <c r="G4411" t="inlineStr">
        <is>
          <t>Mobile App</t>
        </is>
      </c>
      <c r="H4411" t="inlineStr">
        <is>
          <t>Credit Card</t>
        </is>
      </c>
      <c r="I4411" t="inlineStr">
        <is>
          <t>Shipped</t>
        </is>
      </c>
      <c r="J4411" t="n">
        <v>116</v>
      </c>
      <c r="K4411" t="n">
        <v>1</v>
      </c>
      <c r="L4411" t="n">
        <v>2624</v>
      </c>
      <c r="M4411" t="n">
        <v>0</v>
      </c>
      <c r="N4411">
        <f>VLOOKUP(J4411,Products!$A$2:$C$49,3,FALSE)</f>
        <v/>
      </c>
      <c r="O4411">
        <f>K4411*L4411-M4411</f>
        <v/>
      </c>
      <c r="P4411">
        <f>TEXT(B4411,"yyyy-mm")</f>
        <v/>
      </c>
      <c r="Q4411">
        <f>IF(O4411&gt;=3000,"Large","Small")</f>
        <v/>
      </c>
      <c r="R4411">
        <f>INDEX(Products!$F$2:$F$49,MATCH(J4411,Products!$A$2:$A$49,0))</f>
        <v/>
      </c>
      <c r="S4411">
        <f>WEEKDAY(B4411,2)</f>
        <v/>
      </c>
    </row>
    <row r="4412">
      <c r="A4412" t="n">
        <v>511808</v>
      </c>
      <c r="B4412" s="6" t="n">
        <v>46020</v>
      </c>
      <c r="C4412" t="n">
        <v>16579</v>
      </c>
      <c r="D4412" t="inlineStr">
        <is>
          <t>Kolkata</t>
        </is>
      </c>
      <c r="E4412" t="inlineStr">
        <is>
          <t>East</t>
        </is>
      </c>
      <c r="F4412" t="inlineStr">
        <is>
          <t>Organic Search</t>
        </is>
      </c>
      <c r="G4412" t="inlineStr">
        <is>
          <t>Mobile App</t>
        </is>
      </c>
      <c r="H4412" t="inlineStr">
        <is>
          <t>Credit Card</t>
        </is>
      </c>
      <c r="I4412" t="inlineStr">
        <is>
          <t>Shipped</t>
        </is>
      </c>
      <c r="J4412" t="n">
        <v>112</v>
      </c>
      <c r="K4412" t="n">
        <v>1</v>
      </c>
      <c r="L4412" t="n">
        <v>1574</v>
      </c>
      <c r="M4412" t="n">
        <v>0</v>
      </c>
      <c r="N4412">
        <f>VLOOKUP(J4412,Products!$A$2:$C$49,3,FALSE)</f>
        <v/>
      </c>
      <c r="O4412">
        <f>K4412*L4412-M4412</f>
        <v/>
      </c>
      <c r="P4412">
        <f>TEXT(B4412,"yyyy-mm")</f>
        <v/>
      </c>
      <c r="Q4412">
        <f>IF(O4412&gt;=3000,"Large","Small")</f>
        <v/>
      </c>
      <c r="R4412">
        <f>INDEX(Products!$F$2:$F$49,MATCH(J4412,Products!$A$2:$A$49,0))</f>
        <v/>
      </c>
      <c r="S4412">
        <f>WEEKDAY(B4412,2)</f>
        <v/>
      </c>
    </row>
    <row r="4413">
      <c r="A4413" t="n">
        <v>511808</v>
      </c>
      <c r="B4413" s="6" t="n">
        <v>46020</v>
      </c>
      <c r="C4413" t="n">
        <v>16579</v>
      </c>
      <c r="D4413" t="inlineStr">
        <is>
          <t>Kolkata</t>
        </is>
      </c>
      <c r="E4413" t="inlineStr">
        <is>
          <t>East</t>
        </is>
      </c>
      <c r="F4413" t="inlineStr">
        <is>
          <t>Organic Search</t>
        </is>
      </c>
      <c r="G4413" t="inlineStr">
        <is>
          <t>Mobile App</t>
        </is>
      </c>
      <c r="H4413" t="inlineStr">
        <is>
          <t>Credit Card</t>
        </is>
      </c>
      <c r="I4413" t="inlineStr">
        <is>
          <t>Shipped</t>
        </is>
      </c>
      <c r="J4413" t="n">
        <v>142</v>
      </c>
      <c r="K4413" t="n">
        <v>1</v>
      </c>
      <c r="L4413" t="n">
        <v>839</v>
      </c>
      <c r="M4413" t="n">
        <v>0</v>
      </c>
      <c r="N4413">
        <f>VLOOKUP(J4413,Products!$A$2:$C$49,3,FALSE)</f>
        <v/>
      </c>
      <c r="O4413">
        <f>K4413*L4413-M4413</f>
        <v/>
      </c>
      <c r="P4413">
        <f>TEXT(B4413,"yyyy-mm")</f>
        <v/>
      </c>
      <c r="Q4413">
        <f>IF(O4413&gt;=3000,"Large","Small")</f>
        <v/>
      </c>
      <c r="R4413">
        <f>INDEX(Products!$F$2:$F$49,MATCH(J4413,Products!$A$2:$A$49,0))</f>
        <v/>
      </c>
      <c r="S4413">
        <f>WEEKDAY(B4413,2)</f>
        <v/>
      </c>
    </row>
    <row r="4414">
      <c r="A4414" t="n">
        <v>511808</v>
      </c>
      <c r="B4414" s="6" t="n">
        <v>46020</v>
      </c>
      <c r="C4414" t="n">
        <v>16579</v>
      </c>
      <c r="D4414" t="inlineStr">
        <is>
          <t>Kolkata</t>
        </is>
      </c>
      <c r="E4414" t="inlineStr">
        <is>
          <t>East</t>
        </is>
      </c>
      <c r="F4414" t="inlineStr">
        <is>
          <t>Organic Search</t>
        </is>
      </c>
      <c r="G4414" t="inlineStr">
        <is>
          <t>Mobile App</t>
        </is>
      </c>
      <c r="H4414" t="inlineStr">
        <is>
          <t>Credit Card</t>
        </is>
      </c>
      <c r="I4414" t="inlineStr">
        <is>
          <t>Shipped</t>
        </is>
      </c>
      <c r="J4414" t="n">
        <v>131</v>
      </c>
      <c r="K4414" t="n">
        <v>2</v>
      </c>
      <c r="L4414" t="n">
        <v>314</v>
      </c>
      <c r="M4414" t="n">
        <v>0</v>
      </c>
      <c r="N4414">
        <f>VLOOKUP(J4414,Products!$A$2:$C$49,3,FALSE)</f>
        <v/>
      </c>
      <c r="O4414">
        <f>K4414*L4414-M4414</f>
        <v/>
      </c>
      <c r="P4414">
        <f>TEXT(B4414,"yyyy-mm")</f>
        <v/>
      </c>
      <c r="Q4414">
        <f>IF(O4414&gt;=3000,"Large","Small")</f>
        <v/>
      </c>
      <c r="R4414">
        <f>INDEX(Products!$F$2:$F$49,MATCH(J4414,Products!$A$2:$A$49,0))</f>
        <v/>
      </c>
      <c r="S4414">
        <f>WEEKDAY(B4414,2)</f>
        <v/>
      </c>
    </row>
    <row r="4415">
      <c r="A4415" t="n">
        <v>511809</v>
      </c>
      <c r="B4415" s="6" t="n">
        <v>46020</v>
      </c>
      <c r="C4415" t="n">
        <v>17957</v>
      </c>
      <c r="D4415" t="inlineStr">
        <is>
          <t>Mumbai</t>
        </is>
      </c>
      <c r="E4415" t="inlineStr">
        <is>
          <t>West</t>
        </is>
      </c>
      <c r="F4415" t="inlineStr">
        <is>
          <t>Paid Social</t>
        </is>
      </c>
      <c r="G4415" t="inlineStr">
        <is>
          <t>Mobile App</t>
        </is>
      </c>
      <c r="H4415" t="inlineStr">
        <is>
          <t>Cash on Delivery</t>
        </is>
      </c>
      <c r="I4415" t="inlineStr">
        <is>
          <t>Shipped</t>
        </is>
      </c>
      <c r="J4415" t="n">
        <v>103</v>
      </c>
      <c r="K4415" t="n">
        <v>2</v>
      </c>
      <c r="L4415" t="n">
        <v>2624</v>
      </c>
      <c r="M4415" t="n">
        <v>0</v>
      </c>
      <c r="N4415">
        <f>VLOOKUP(J4415,Products!$A$2:$C$49,3,FALSE)</f>
        <v/>
      </c>
      <c r="O4415">
        <f>K4415*L4415-M4415</f>
        <v/>
      </c>
      <c r="P4415">
        <f>TEXT(B4415,"yyyy-mm")</f>
        <v/>
      </c>
      <c r="Q4415">
        <f>IF(O4415&gt;=3000,"Large","Small")</f>
        <v/>
      </c>
      <c r="R4415">
        <f>INDEX(Products!$F$2:$F$49,MATCH(J4415,Products!$A$2:$A$49,0))</f>
        <v/>
      </c>
      <c r="S4415">
        <f>WEEKDAY(B4415,2)</f>
        <v/>
      </c>
    </row>
    <row r="4416">
      <c r="A4416" t="n">
        <v>511809</v>
      </c>
      <c r="B4416" s="6" t="n">
        <v>46020</v>
      </c>
      <c r="C4416" t="n">
        <v>17957</v>
      </c>
      <c r="D4416" t="inlineStr">
        <is>
          <t>Mumbai</t>
        </is>
      </c>
      <c r="E4416" t="inlineStr">
        <is>
          <t>West</t>
        </is>
      </c>
      <c r="F4416" t="inlineStr">
        <is>
          <t>Paid Social</t>
        </is>
      </c>
      <c r="G4416" t="inlineStr">
        <is>
          <t>Mobile App</t>
        </is>
      </c>
      <c r="H4416" t="inlineStr">
        <is>
          <t>Cash on Delivery</t>
        </is>
      </c>
      <c r="I4416" t="inlineStr">
        <is>
          <t>Shipped</t>
        </is>
      </c>
      <c r="J4416" t="n">
        <v>125</v>
      </c>
      <c r="K4416" t="n">
        <v>1</v>
      </c>
      <c r="L4416" t="n">
        <v>1364</v>
      </c>
      <c r="M4416" t="n">
        <v>0</v>
      </c>
      <c r="N4416">
        <f>VLOOKUP(J4416,Products!$A$2:$C$49,3,FALSE)</f>
        <v/>
      </c>
      <c r="O4416">
        <f>K4416*L4416-M4416</f>
        <v/>
      </c>
      <c r="P4416">
        <f>TEXT(B4416,"yyyy-mm")</f>
        <v/>
      </c>
      <c r="Q4416">
        <f>IF(O4416&gt;=3000,"Large","Small")</f>
        <v/>
      </c>
      <c r="R4416">
        <f>INDEX(Products!$F$2:$F$49,MATCH(J4416,Products!$A$2:$A$49,0))</f>
        <v/>
      </c>
      <c r="S4416">
        <f>WEEKDAY(B4416,2)</f>
        <v/>
      </c>
    </row>
    <row r="4417">
      <c r="A4417" t="n">
        <v>511810</v>
      </c>
      <c r="B4417" s="6" t="n">
        <v>46020</v>
      </c>
      <c r="C4417" t="n">
        <v>11994</v>
      </c>
      <c r="D4417" t="inlineStr">
        <is>
          <t>Delhi</t>
        </is>
      </c>
      <c r="E4417" t="inlineStr">
        <is>
          <t>North</t>
        </is>
      </c>
      <c r="F4417" t="inlineStr">
        <is>
          <t>Email</t>
        </is>
      </c>
      <c r="G4417" t="inlineStr">
        <is>
          <t>Desktop</t>
        </is>
      </c>
      <c r="H4417" t="inlineStr">
        <is>
          <t>Cash on Delivery</t>
        </is>
      </c>
      <c r="I4417" t="inlineStr">
        <is>
          <t>Shipped</t>
        </is>
      </c>
      <c r="J4417" t="n">
        <v>135</v>
      </c>
      <c r="K4417" t="n">
        <v>1</v>
      </c>
      <c r="L4417" t="n">
        <v>1574</v>
      </c>
      <c r="M4417" t="n">
        <v>0</v>
      </c>
      <c r="N4417">
        <f>VLOOKUP(J4417,Products!$A$2:$C$49,3,FALSE)</f>
        <v/>
      </c>
      <c r="O4417">
        <f>K4417*L4417-M4417</f>
        <v/>
      </c>
      <c r="P4417">
        <f>TEXT(B4417,"yyyy-mm")</f>
        <v/>
      </c>
      <c r="Q4417">
        <f>IF(O4417&gt;=3000,"Large","Small")</f>
        <v/>
      </c>
      <c r="R4417">
        <f>INDEX(Products!$F$2:$F$49,MATCH(J4417,Products!$A$2:$A$49,0))</f>
        <v/>
      </c>
      <c r="S4417">
        <f>WEEKDAY(B4417,2)</f>
        <v/>
      </c>
    </row>
    <row r="4418">
      <c r="A4418" t="n">
        <v>511811</v>
      </c>
      <c r="B4418" s="6" t="n">
        <v>46020</v>
      </c>
      <c r="C4418" t="n">
        <v>17502</v>
      </c>
      <c r="D4418" t="inlineStr">
        <is>
          <t>Jaipur</t>
        </is>
      </c>
      <c r="E4418" t="inlineStr">
        <is>
          <t>North</t>
        </is>
      </c>
      <c r="F4418" t="inlineStr">
        <is>
          <t>Paid Search</t>
        </is>
      </c>
      <c r="G4418" t="inlineStr">
        <is>
          <t>Mobile Web</t>
        </is>
      </c>
      <c r="H4418" t="inlineStr">
        <is>
          <t>Cash on Delivery</t>
        </is>
      </c>
      <c r="I4418" t="inlineStr">
        <is>
          <t>Shipped</t>
        </is>
      </c>
      <c r="J4418" t="n">
        <v>111</v>
      </c>
      <c r="K4418" t="n">
        <v>1</v>
      </c>
      <c r="L4418" t="n">
        <v>524</v>
      </c>
      <c r="M4418" t="n">
        <v>0</v>
      </c>
      <c r="N4418">
        <f>VLOOKUP(J4418,Products!$A$2:$C$49,3,FALSE)</f>
        <v/>
      </c>
      <c r="O4418">
        <f>K4418*L4418-M4418</f>
        <v/>
      </c>
      <c r="P4418">
        <f>TEXT(B4418,"yyyy-mm")</f>
        <v/>
      </c>
      <c r="Q4418">
        <f>IF(O4418&gt;=3000,"Large","Small")</f>
        <v/>
      </c>
      <c r="R4418">
        <f>INDEX(Products!$F$2:$F$49,MATCH(J4418,Products!$A$2:$A$49,0))</f>
        <v/>
      </c>
      <c r="S4418">
        <f>WEEKDAY(B4418,2)</f>
        <v/>
      </c>
    </row>
    <row r="4419">
      <c r="A4419" t="n">
        <v>511812</v>
      </c>
      <c r="B4419" s="6" t="n">
        <v>46020</v>
      </c>
      <c r="C4419" t="n">
        <v>17921</v>
      </c>
      <c r="D4419" t="inlineStr">
        <is>
          <t>Pune</t>
        </is>
      </c>
      <c r="E4419" t="inlineStr">
        <is>
          <t>West</t>
        </is>
      </c>
      <c r="F4419" t="inlineStr">
        <is>
          <t>Paid Search</t>
        </is>
      </c>
      <c r="G4419" t="inlineStr">
        <is>
          <t>Desktop</t>
        </is>
      </c>
      <c r="H4419" t="inlineStr">
        <is>
          <t>UPI</t>
        </is>
      </c>
      <c r="I4419" t="inlineStr">
        <is>
          <t>Shipped</t>
        </is>
      </c>
      <c r="J4419" t="n">
        <v>111</v>
      </c>
      <c r="K4419" t="n">
        <v>1</v>
      </c>
      <c r="L4419" t="n">
        <v>524</v>
      </c>
      <c r="M4419" t="n">
        <v>78.59999999999999</v>
      </c>
      <c r="N4419">
        <f>VLOOKUP(J4419,Products!$A$2:$C$49,3,FALSE)</f>
        <v/>
      </c>
      <c r="O4419">
        <f>K4419*L4419-M4419</f>
        <v/>
      </c>
      <c r="P4419">
        <f>TEXT(B4419,"yyyy-mm")</f>
        <v/>
      </c>
      <c r="Q4419">
        <f>IF(O4419&gt;=3000,"Large","Small")</f>
        <v/>
      </c>
      <c r="R4419">
        <f>INDEX(Products!$F$2:$F$49,MATCH(J4419,Products!$A$2:$A$49,0))</f>
        <v/>
      </c>
      <c r="S4419">
        <f>WEEKDAY(B4419,2)</f>
        <v/>
      </c>
    </row>
    <row r="4420">
      <c r="A4420" t="n">
        <v>511812</v>
      </c>
      <c r="B4420" s="6" t="n">
        <v>46020</v>
      </c>
      <c r="C4420" t="n">
        <v>17921</v>
      </c>
      <c r="D4420" t="inlineStr">
        <is>
          <t>Pune</t>
        </is>
      </c>
      <c r="E4420" t="inlineStr">
        <is>
          <t>West</t>
        </is>
      </c>
      <c r="F4420" t="inlineStr">
        <is>
          <t>Paid Search</t>
        </is>
      </c>
      <c r="G4420" t="inlineStr">
        <is>
          <t>Desktop</t>
        </is>
      </c>
      <c r="H4420" t="inlineStr">
        <is>
          <t>UPI</t>
        </is>
      </c>
      <c r="I4420" t="inlineStr">
        <is>
          <t>Shipped</t>
        </is>
      </c>
      <c r="J4420" t="n">
        <v>101</v>
      </c>
      <c r="K4420" t="n">
        <v>1</v>
      </c>
      <c r="L4420" t="n">
        <v>2099</v>
      </c>
      <c r="M4420" t="n">
        <v>314.85</v>
      </c>
      <c r="N4420">
        <f>VLOOKUP(J4420,Products!$A$2:$C$49,3,FALSE)</f>
        <v/>
      </c>
      <c r="O4420">
        <f>K4420*L4420-M4420</f>
        <v/>
      </c>
      <c r="P4420">
        <f>TEXT(B4420,"yyyy-mm")</f>
        <v/>
      </c>
      <c r="Q4420">
        <f>IF(O4420&gt;=3000,"Large","Small")</f>
        <v/>
      </c>
      <c r="R4420">
        <f>INDEX(Products!$F$2:$F$49,MATCH(J4420,Products!$A$2:$A$49,0))</f>
        <v/>
      </c>
      <c r="S4420">
        <f>WEEKDAY(B4420,2)</f>
        <v/>
      </c>
    </row>
    <row r="4421">
      <c r="A4421" t="n">
        <v>511813</v>
      </c>
      <c r="B4421" s="6" t="n">
        <v>46020</v>
      </c>
      <c r="C4421" t="n">
        <v>16479</v>
      </c>
      <c r="D4421" t="inlineStr">
        <is>
          <t>Kolkata</t>
        </is>
      </c>
      <c r="E4421" t="inlineStr">
        <is>
          <t>East</t>
        </is>
      </c>
      <c r="F4421" t="inlineStr">
        <is>
          <t>Paid Search</t>
        </is>
      </c>
      <c r="G4421" t="inlineStr">
        <is>
          <t>Mobile Web</t>
        </is>
      </c>
      <c r="H4421" t="inlineStr">
        <is>
          <t>Cash on Delivery</t>
        </is>
      </c>
      <c r="I4421" t="inlineStr">
        <is>
          <t>Cancelled</t>
        </is>
      </c>
      <c r="J4421" t="n">
        <v>128</v>
      </c>
      <c r="K4421" t="n">
        <v>2</v>
      </c>
      <c r="L4421" t="n">
        <v>1049</v>
      </c>
      <c r="M4421" t="n">
        <v>0</v>
      </c>
      <c r="N4421">
        <f>VLOOKUP(J4421,Products!$A$2:$C$49,3,FALSE)</f>
        <v/>
      </c>
      <c r="O4421">
        <f>K4421*L4421-M4421</f>
        <v/>
      </c>
      <c r="P4421">
        <f>TEXT(B4421,"yyyy-mm")</f>
        <v/>
      </c>
      <c r="Q4421">
        <f>IF(O4421&gt;=3000,"Large","Small")</f>
        <v/>
      </c>
      <c r="R4421">
        <f>INDEX(Products!$F$2:$F$49,MATCH(J4421,Products!$A$2:$A$49,0))</f>
        <v/>
      </c>
      <c r="S4421">
        <f>WEEKDAY(B4421,2)</f>
        <v/>
      </c>
    </row>
    <row r="4422">
      <c r="A4422" t="n">
        <v>511814</v>
      </c>
      <c r="B4422" s="6" t="n">
        <v>46020</v>
      </c>
      <c r="C4422" t="n">
        <v>16208</v>
      </c>
      <c r="D4422" t="inlineStr">
        <is>
          <t>Bengaluru</t>
        </is>
      </c>
      <c r="E4422" t="inlineStr">
        <is>
          <t>South</t>
        </is>
      </c>
      <c r="F4422" t="inlineStr">
        <is>
          <t>Organic Search</t>
        </is>
      </c>
      <c r="G4422" t="inlineStr">
        <is>
          <t>Desktop</t>
        </is>
      </c>
      <c r="H4422" t="inlineStr">
        <is>
          <t>Cash on Delivery</t>
        </is>
      </c>
      <c r="I4422" t="inlineStr">
        <is>
          <t>Shipped</t>
        </is>
      </c>
      <c r="J4422" t="n">
        <v>111</v>
      </c>
      <c r="K4422" t="n">
        <v>1</v>
      </c>
      <c r="L4422" t="n">
        <v>524</v>
      </c>
      <c r="M4422" t="n">
        <v>0</v>
      </c>
      <c r="N4422">
        <f>VLOOKUP(J4422,Products!$A$2:$C$49,3,FALSE)</f>
        <v/>
      </c>
      <c r="O4422">
        <f>K4422*L4422-M4422</f>
        <v/>
      </c>
      <c r="P4422">
        <f>TEXT(B4422,"yyyy-mm")</f>
        <v/>
      </c>
      <c r="Q4422">
        <f>IF(O4422&gt;=3000,"Large","Small")</f>
        <v/>
      </c>
      <c r="R4422">
        <f>INDEX(Products!$F$2:$F$49,MATCH(J4422,Products!$A$2:$A$49,0))</f>
        <v/>
      </c>
      <c r="S4422">
        <f>WEEKDAY(B4422,2)</f>
        <v/>
      </c>
    </row>
    <row r="4423">
      <c r="A4423" t="n">
        <v>511814</v>
      </c>
      <c r="B4423" s="6" t="n">
        <v>46020</v>
      </c>
      <c r="C4423" t="n">
        <v>16208</v>
      </c>
      <c r="D4423" t="inlineStr">
        <is>
          <t>Bengaluru</t>
        </is>
      </c>
      <c r="E4423" t="inlineStr">
        <is>
          <t>South</t>
        </is>
      </c>
      <c r="F4423" t="inlineStr">
        <is>
          <t>Organic Search</t>
        </is>
      </c>
      <c r="G4423" t="inlineStr">
        <is>
          <t>Desktop</t>
        </is>
      </c>
      <c r="H4423" t="inlineStr">
        <is>
          <t>Cash on Delivery</t>
        </is>
      </c>
      <c r="I4423" t="inlineStr">
        <is>
          <t>Shipped</t>
        </is>
      </c>
      <c r="J4423" t="n">
        <v>118</v>
      </c>
      <c r="K4423" t="n">
        <v>1</v>
      </c>
      <c r="L4423" t="n">
        <v>944</v>
      </c>
      <c r="M4423" t="n">
        <v>0</v>
      </c>
      <c r="N4423">
        <f>VLOOKUP(J4423,Products!$A$2:$C$49,3,FALSE)</f>
        <v/>
      </c>
      <c r="O4423">
        <f>K4423*L4423-M4423</f>
        <v/>
      </c>
      <c r="P4423">
        <f>TEXT(B4423,"yyyy-mm")</f>
        <v/>
      </c>
      <c r="Q4423">
        <f>IF(O4423&gt;=3000,"Large","Small")</f>
        <v/>
      </c>
      <c r="R4423">
        <f>INDEX(Products!$F$2:$F$49,MATCH(J4423,Products!$A$2:$A$49,0))</f>
        <v/>
      </c>
      <c r="S4423">
        <f>WEEKDAY(B4423,2)</f>
        <v/>
      </c>
    </row>
    <row r="4424">
      <c r="A4424" t="n">
        <v>511815</v>
      </c>
      <c r="B4424" s="6" t="n">
        <v>46020</v>
      </c>
      <c r="C4424" t="n">
        <v>17879</v>
      </c>
      <c r="D4424" t="inlineStr">
        <is>
          <t>Jaipur</t>
        </is>
      </c>
      <c r="E4424" t="inlineStr">
        <is>
          <t>North</t>
        </is>
      </c>
      <c r="F4424" t="inlineStr">
        <is>
          <t>Referral</t>
        </is>
      </c>
      <c r="G4424" t="inlineStr">
        <is>
          <t>Desktop</t>
        </is>
      </c>
      <c r="H4424" t="inlineStr">
        <is>
          <t>UPI</t>
        </is>
      </c>
      <c r="I4424" t="inlineStr">
        <is>
          <t>Shipped</t>
        </is>
      </c>
      <c r="J4424" t="n">
        <v>132</v>
      </c>
      <c r="K4424" t="n">
        <v>1</v>
      </c>
      <c r="L4424" t="n">
        <v>471</v>
      </c>
      <c r="M4424" t="n">
        <v>0</v>
      </c>
      <c r="N4424">
        <f>VLOOKUP(J4424,Products!$A$2:$C$49,3,FALSE)</f>
        <v/>
      </c>
      <c r="O4424">
        <f>K4424*L4424-M4424</f>
        <v/>
      </c>
      <c r="P4424">
        <f>TEXT(B4424,"yyyy-mm")</f>
        <v/>
      </c>
      <c r="Q4424">
        <f>IF(O4424&gt;=3000,"Large","Small")</f>
        <v/>
      </c>
      <c r="R4424">
        <f>INDEX(Products!$F$2:$F$49,MATCH(J4424,Products!$A$2:$A$49,0))</f>
        <v/>
      </c>
      <c r="S4424">
        <f>WEEKDAY(B4424,2)</f>
        <v/>
      </c>
    </row>
    <row r="4425">
      <c r="A4425" t="n">
        <v>511816</v>
      </c>
      <c r="B4425" s="6" t="n">
        <v>46020</v>
      </c>
      <c r="C4425" t="n">
        <v>14116</v>
      </c>
      <c r="D4425" t="inlineStr">
        <is>
          <t>Bengaluru</t>
        </is>
      </c>
      <c r="E4425" t="inlineStr">
        <is>
          <t>South</t>
        </is>
      </c>
      <c r="F4425" t="inlineStr">
        <is>
          <t>Organic Search</t>
        </is>
      </c>
      <c r="G4425" t="inlineStr">
        <is>
          <t>Mobile App</t>
        </is>
      </c>
      <c r="H4425" t="inlineStr">
        <is>
          <t>Net Banking</t>
        </is>
      </c>
      <c r="I4425" t="inlineStr">
        <is>
          <t>Shipped</t>
        </is>
      </c>
      <c r="J4425" t="n">
        <v>108</v>
      </c>
      <c r="K4425" t="n">
        <v>1</v>
      </c>
      <c r="L4425" t="n">
        <v>419</v>
      </c>
      <c r="M4425" t="n">
        <v>0</v>
      </c>
      <c r="N4425">
        <f>VLOOKUP(J4425,Products!$A$2:$C$49,3,FALSE)</f>
        <v/>
      </c>
      <c r="O4425">
        <f>K4425*L4425-M4425</f>
        <v/>
      </c>
      <c r="P4425">
        <f>TEXT(B4425,"yyyy-mm")</f>
        <v/>
      </c>
      <c r="Q4425">
        <f>IF(O4425&gt;=3000,"Large","Small")</f>
        <v/>
      </c>
      <c r="R4425">
        <f>INDEX(Products!$F$2:$F$49,MATCH(J4425,Products!$A$2:$A$49,0))</f>
        <v/>
      </c>
      <c r="S4425">
        <f>WEEKDAY(B4425,2)</f>
        <v/>
      </c>
    </row>
    <row r="4426">
      <c r="A4426" t="n">
        <v>511817</v>
      </c>
      <c r="B4426" s="6" t="n">
        <v>46020</v>
      </c>
      <c r="C4426" t="n">
        <v>17714</v>
      </c>
      <c r="D4426" t="inlineStr">
        <is>
          <t>Kochi</t>
        </is>
      </c>
      <c r="E4426" t="inlineStr">
        <is>
          <t>South</t>
        </is>
      </c>
      <c r="F4426" t="inlineStr">
        <is>
          <t>Organic Search</t>
        </is>
      </c>
      <c r="G4426" t="inlineStr">
        <is>
          <t>Mobile Web</t>
        </is>
      </c>
      <c r="H4426" t="inlineStr">
        <is>
          <t>UPI</t>
        </is>
      </c>
      <c r="I4426" t="inlineStr">
        <is>
          <t>Shipped</t>
        </is>
      </c>
      <c r="J4426" t="n">
        <v>117</v>
      </c>
      <c r="K4426" t="n">
        <v>1</v>
      </c>
      <c r="L4426" t="n">
        <v>3149</v>
      </c>
      <c r="M4426" t="n">
        <v>157.45</v>
      </c>
      <c r="N4426">
        <f>VLOOKUP(J4426,Products!$A$2:$C$49,3,FALSE)</f>
        <v/>
      </c>
      <c r="O4426">
        <f>K4426*L4426-M4426</f>
        <v/>
      </c>
      <c r="P4426">
        <f>TEXT(B4426,"yyyy-mm")</f>
        <v/>
      </c>
      <c r="Q4426">
        <f>IF(O4426&gt;=3000,"Large","Small")</f>
        <v/>
      </c>
      <c r="R4426">
        <f>INDEX(Products!$F$2:$F$49,MATCH(J4426,Products!$A$2:$A$49,0))</f>
        <v/>
      </c>
      <c r="S4426">
        <f>WEEKDAY(B4426,2)</f>
        <v/>
      </c>
    </row>
    <row r="4427">
      <c r="A4427" t="n">
        <v>511818</v>
      </c>
      <c r="B4427" s="6" t="n">
        <v>46020</v>
      </c>
      <c r="C4427" t="n">
        <v>14514</v>
      </c>
      <c r="D4427" t="inlineStr">
        <is>
          <t>Noida</t>
        </is>
      </c>
      <c r="E4427" t="inlineStr">
        <is>
          <t>North</t>
        </is>
      </c>
      <c r="F4427" t="inlineStr">
        <is>
          <t>Referral</t>
        </is>
      </c>
      <c r="G4427" t="inlineStr">
        <is>
          <t>Desktop</t>
        </is>
      </c>
      <c r="H4427" t="inlineStr">
        <is>
          <t>Debit Card</t>
        </is>
      </c>
      <c r="I4427" t="inlineStr">
        <is>
          <t>Shipped</t>
        </is>
      </c>
      <c r="J4427" t="n">
        <v>111</v>
      </c>
      <c r="K4427" t="n">
        <v>1</v>
      </c>
      <c r="L4427" t="n">
        <v>524</v>
      </c>
      <c r="M4427" t="n">
        <v>0</v>
      </c>
      <c r="N4427">
        <f>VLOOKUP(J4427,Products!$A$2:$C$49,3,FALSE)</f>
        <v/>
      </c>
      <c r="O4427">
        <f>K4427*L4427-M4427</f>
        <v/>
      </c>
      <c r="P4427">
        <f>TEXT(B4427,"yyyy-mm")</f>
        <v/>
      </c>
      <c r="Q4427">
        <f>IF(O4427&gt;=3000,"Large","Small")</f>
        <v/>
      </c>
      <c r="R4427">
        <f>INDEX(Products!$F$2:$F$49,MATCH(J4427,Products!$A$2:$A$49,0))</f>
        <v/>
      </c>
      <c r="S4427">
        <f>WEEKDAY(B4427,2)</f>
        <v/>
      </c>
    </row>
    <row r="4428">
      <c r="A4428" t="n">
        <v>511818</v>
      </c>
      <c r="B4428" s="6" t="n">
        <v>46020</v>
      </c>
      <c r="C4428" t="n">
        <v>14514</v>
      </c>
      <c r="D4428" t="inlineStr">
        <is>
          <t>Noida</t>
        </is>
      </c>
      <c r="E4428" t="inlineStr">
        <is>
          <t>North</t>
        </is>
      </c>
      <c r="F4428" t="inlineStr">
        <is>
          <t>Referral</t>
        </is>
      </c>
      <c r="G4428" t="inlineStr">
        <is>
          <t>Desktop</t>
        </is>
      </c>
      <c r="H4428" t="inlineStr">
        <is>
          <t>Debit Card</t>
        </is>
      </c>
      <c r="I4428" t="inlineStr">
        <is>
          <t>Shipped</t>
        </is>
      </c>
      <c r="J4428" t="n">
        <v>134</v>
      </c>
      <c r="K4428" t="n">
        <v>1</v>
      </c>
      <c r="L4428" t="n">
        <v>209</v>
      </c>
      <c r="M4428" t="n">
        <v>0</v>
      </c>
      <c r="N4428">
        <f>VLOOKUP(J4428,Products!$A$2:$C$49,3,FALSE)</f>
        <v/>
      </c>
      <c r="O4428">
        <f>K4428*L4428-M4428</f>
        <v/>
      </c>
      <c r="P4428">
        <f>TEXT(B4428,"yyyy-mm")</f>
        <v/>
      </c>
      <c r="Q4428">
        <f>IF(O4428&gt;=3000,"Large","Small")</f>
        <v/>
      </c>
      <c r="R4428">
        <f>INDEX(Products!$F$2:$F$49,MATCH(J4428,Products!$A$2:$A$49,0))</f>
        <v/>
      </c>
      <c r="S4428">
        <f>WEEKDAY(B4428,2)</f>
        <v/>
      </c>
    </row>
    <row r="4429">
      <c r="A4429" t="n">
        <v>511818</v>
      </c>
      <c r="B4429" s="6" t="n">
        <v>46020</v>
      </c>
      <c r="C4429" t="n">
        <v>14514</v>
      </c>
      <c r="D4429" t="inlineStr">
        <is>
          <t>Noida</t>
        </is>
      </c>
      <c r="E4429" t="inlineStr">
        <is>
          <t>North</t>
        </is>
      </c>
      <c r="F4429" t="inlineStr">
        <is>
          <t>Referral</t>
        </is>
      </c>
      <c r="G4429" t="inlineStr">
        <is>
          <t>Desktop</t>
        </is>
      </c>
      <c r="H4429" t="inlineStr">
        <is>
          <t>Debit Card</t>
        </is>
      </c>
      <c r="I4429" t="inlineStr">
        <is>
          <t>Shipped</t>
        </is>
      </c>
      <c r="J4429" t="n">
        <v>120</v>
      </c>
      <c r="K4429" t="n">
        <v>1</v>
      </c>
      <c r="L4429" t="n">
        <v>734</v>
      </c>
      <c r="M4429" t="n">
        <v>0</v>
      </c>
      <c r="N4429">
        <f>VLOOKUP(J4429,Products!$A$2:$C$49,3,FALSE)</f>
        <v/>
      </c>
      <c r="O4429">
        <f>K4429*L4429-M4429</f>
        <v/>
      </c>
      <c r="P4429">
        <f>TEXT(B4429,"yyyy-mm")</f>
        <v/>
      </c>
      <c r="Q4429">
        <f>IF(O4429&gt;=3000,"Large","Small")</f>
        <v/>
      </c>
      <c r="R4429">
        <f>INDEX(Products!$F$2:$F$49,MATCH(J4429,Products!$A$2:$A$49,0))</f>
        <v/>
      </c>
      <c r="S4429">
        <f>WEEKDAY(B4429,2)</f>
        <v/>
      </c>
    </row>
    <row r="4430">
      <c r="A4430" t="n">
        <v>511818</v>
      </c>
      <c r="B4430" s="6" t="n">
        <v>46020</v>
      </c>
      <c r="C4430" t="n">
        <v>14514</v>
      </c>
      <c r="D4430" t="inlineStr">
        <is>
          <t>Noida</t>
        </is>
      </c>
      <c r="E4430" t="inlineStr">
        <is>
          <t>North</t>
        </is>
      </c>
      <c r="F4430" t="inlineStr">
        <is>
          <t>Referral</t>
        </is>
      </c>
      <c r="G4430" t="inlineStr">
        <is>
          <t>Desktop</t>
        </is>
      </c>
      <c r="H4430" t="inlineStr">
        <is>
          <t>Debit Card</t>
        </is>
      </c>
      <c r="I4430" t="inlineStr">
        <is>
          <t>Shipped</t>
        </is>
      </c>
      <c r="J4430" t="n">
        <v>105</v>
      </c>
      <c r="K4430" t="n">
        <v>1</v>
      </c>
      <c r="L4430" t="n">
        <v>2414</v>
      </c>
      <c r="M4430" t="n">
        <v>0</v>
      </c>
      <c r="N4430">
        <f>VLOOKUP(J4430,Products!$A$2:$C$49,3,FALSE)</f>
        <v/>
      </c>
      <c r="O4430">
        <f>K4430*L4430-M4430</f>
        <v/>
      </c>
      <c r="P4430">
        <f>TEXT(B4430,"yyyy-mm")</f>
        <v/>
      </c>
      <c r="Q4430">
        <f>IF(O4430&gt;=3000,"Large","Small")</f>
        <v/>
      </c>
      <c r="R4430">
        <f>INDEX(Products!$F$2:$F$49,MATCH(J4430,Products!$A$2:$A$49,0))</f>
        <v/>
      </c>
      <c r="S4430">
        <f>WEEKDAY(B4430,2)</f>
        <v/>
      </c>
    </row>
    <row r="4431">
      <c r="A4431" t="n">
        <v>511819</v>
      </c>
      <c r="B4431" s="6" t="n">
        <v>46020</v>
      </c>
      <c r="C4431" t="n">
        <v>17199</v>
      </c>
      <c r="D4431" t="inlineStr">
        <is>
          <t>Delhi</t>
        </is>
      </c>
      <c r="E4431" t="inlineStr">
        <is>
          <t>North</t>
        </is>
      </c>
      <c r="F4431" t="inlineStr">
        <is>
          <t>Organic Search</t>
        </is>
      </c>
      <c r="G4431" t="inlineStr">
        <is>
          <t>Mobile Web</t>
        </is>
      </c>
      <c r="H4431" t="inlineStr">
        <is>
          <t>Credit Card</t>
        </is>
      </c>
      <c r="I4431" t="inlineStr">
        <is>
          <t>Shipped</t>
        </is>
      </c>
      <c r="J4431" t="n">
        <v>127</v>
      </c>
      <c r="K4431" t="n">
        <v>1</v>
      </c>
      <c r="L4431" t="n">
        <v>681</v>
      </c>
      <c r="M4431" t="n">
        <v>0</v>
      </c>
      <c r="N4431">
        <f>VLOOKUP(J4431,Products!$A$2:$C$49,3,FALSE)</f>
        <v/>
      </c>
      <c r="O4431">
        <f>K4431*L4431-M4431</f>
        <v/>
      </c>
      <c r="P4431">
        <f>TEXT(B4431,"yyyy-mm")</f>
        <v/>
      </c>
      <c r="Q4431">
        <f>IF(O4431&gt;=3000,"Large","Small")</f>
        <v/>
      </c>
      <c r="R4431">
        <f>INDEX(Products!$F$2:$F$49,MATCH(J4431,Products!$A$2:$A$49,0))</f>
        <v/>
      </c>
      <c r="S4431">
        <f>WEEKDAY(B4431,2)</f>
        <v/>
      </c>
    </row>
    <row r="4432">
      <c r="A4432" t="n">
        <v>511820</v>
      </c>
      <c r="B4432" s="6" t="n">
        <v>46020</v>
      </c>
      <c r="C4432" t="n">
        <v>17900</v>
      </c>
      <c r="D4432" t="inlineStr">
        <is>
          <t>Chennai</t>
        </is>
      </c>
      <c r="E4432" t="inlineStr">
        <is>
          <t>South</t>
        </is>
      </c>
      <c r="F4432" t="inlineStr">
        <is>
          <t>Organic Search</t>
        </is>
      </c>
      <c r="G4432" t="inlineStr">
        <is>
          <t>Mobile App</t>
        </is>
      </c>
      <c r="H4432" t="inlineStr">
        <is>
          <t>Cash on Delivery</t>
        </is>
      </c>
      <c r="I4432" t="inlineStr">
        <is>
          <t>Shipped</t>
        </is>
      </c>
      <c r="J4432" t="n">
        <v>124</v>
      </c>
      <c r="K4432" t="n">
        <v>1</v>
      </c>
      <c r="L4432" t="n">
        <v>1154</v>
      </c>
      <c r="M4432" t="n">
        <v>173.1</v>
      </c>
      <c r="N4432">
        <f>VLOOKUP(J4432,Products!$A$2:$C$49,3,FALSE)</f>
        <v/>
      </c>
      <c r="O4432">
        <f>K4432*L4432-M4432</f>
        <v/>
      </c>
      <c r="P4432">
        <f>TEXT(B4432,"yyyy-mm")</f>
        <v/>
      </c>
      <c r="Q4432">
        <f>IF(O4432&gt;=3000,"Large","Small")</f>
        <v/>
      </c>
      <c r="R4432">
        <f>INDEX(Products!$F$2:$F$49,MATCH(J4432,Products!$A$2:$A$49,0))</f>
        <v/>
      </c>
      <c r="S4432">
        <f>WEEKDAY(B4432,2)</f>
        <v/>
      </c>
    </row>
    <row r="4433">
      <c r="A4433" t="n">
        <v>511821</v>
      </c>
      <c r="B4433" s="6" t="n">
        <v>46020</v>
      </c>
      <c r="C4433" t="n">
        <v>17937</v>
      </c>
      <c r="D4433" t="inlineStr">
        <is>
          <t>Jaipur</t>
        </is>
      </c>
      <c r="E4433" t="inlineStr">
        <is>
          <t>North</t>
        </is>
      </c>
      <c r="F4433" t="inlineStr">
        <is>
          <t>Email</t>
        </is>
      </c>
      <c r="G4433" t="inlineStr">
        <is>
          <t>Mobile App</t>
        </is>
      </c>
      <c r="H4433" t="inlineStr">
        <is>
          <t>Cash on Delivery</t>
        </is>
      </c>
      <c r="I4433" t="inlineStr">
        <is>
          <t>Shipped</t>
        </is>
      </c>
      <c r="J4433" t="n">
        <v>132</v>
      </c>
      <c r="K4433" t="n">
        <v>1</v>
      </c>
      <c r="L4433" t="n">
        <v>471</v>
      </c>
      <c r="M4433" t="n">
        <v>70.65000000000001</v>
      </c>
      <c r="N4433">
        <f>VLOOKUP(J4433,Products!$A$2:$C$49,3,FALSE)</f>
        <v/>
      </c>
      <c r="O4433">
        <f>K4433*L4433-M4433</f>
        <v/>
      </c>
      <c r="P4433">
        <f>TEXT(B4433,"yyyy-mm")</f>
        <v/>
      </c>
      <c r="Q4433">
        <f>IF(O4433&gt;=3000,"Large","Small")</f>
        <v/>
      </c>
      <c r="R4433">
        <f>INDEX(Products!$F$2:$F$49,MATCH(J4433,Products!$A$2:$A$49,0))</f>
        <v/>
      </c>
      <c r="S4433">
        <f>WEEKDAY(B4433,2)</f>
        <v/>
      </c>
    </row>
    <row r="4434">
      <c r="A4434" t="n">
        <v>511822</v>
      </c>
      <c r="B4434" s="6" t="n">
        <v>46020</v>
      </c>
      <c r="C4434" t="n">
        <v>17923</v>
      </c>
      <c r="D4434" t="inlineStr">
        <is>
          <t>Delhi</t>
        </is>
      </c>
      <c r="E4434" t="inlineStr">
        <is>
          <t>North</t>
        </is>
      </c>
      <c r="F4434" t="inlineStr">
        <is>
          <t>Paid Social</t>
        </is>
      </c>
      <c r="G4434" t="inlineStr">
        <is>
          <t>Mobile App</t>
        </is>
      </c>
      <c r="H4434" t="inlineStr">
        <is>
          <t>Cash on Delivery</t>
        </is>
      </c>
      <c r="I4434" t="inlineStr">
        <is>
          <t>Shipped</t>
        </is>
      </c>
      <c r="J4434" t="n">
        <v>109</v>
      </c>
      <c r="K4434" t="n">
        <v>1</v>
      </c>
      <c r="L4434" t="n">
        <v>4199</v>
      </c>
      <c r="M4434" t="n">
        <v>629.85</v>
      </c>
      <c r="N4434">
        <f>VLOOKUP(J4434,Products!$A$2:$C$49,3,FALSE)</f>
        <v/>
      </c>
      <c r="O4434">
        <f>K4434*L4434-M4434</f>
        <v/>
      </c>
      <c r="P4434">
        <f>TEXT(B4434,"yyyy-mm")</f>
        <v/>
      </c>
      <c r="Q4434">
        <f>IF(O4434&gt;=3000,"Large","Small")</f>
        <v/>
      </c>
      <c r="R4434">
        <f>INDEX(Products!$F$2:$F$49,MATCH(J4434,Products!$A$2:$A$49,0))</f>
        <v/>
      </c>
      <c r="S4434">
        <f>WEEKDAY(B4434,2)</f>
        <v/>
      </c>
    </row>
    <row r="4435">
      <c r="A4435" t="n">
        <v>511823</v>
      </c>
      <c r="B4435" s="6" t="n">
        <v>46020</v>
      </c>
      <c r="C4435" t="n">
        <v>17689</v>
      </c>
      <c r="D4435" t="inlineStr">
        <is>
          <t>Pune</t>
        </is>
      </c>
      <c r="E4435" t="inlineStr">
        <is>
          <t>West</t>
        </is>
      </c>
      <c r="F4435" t="inlineStr">
        <is>
          <t>Organic Search</t>
        </is>
      </c>
      <c r="G4435" t="inlineStr">
        <is>
          <t>Desktop</t>
        </is>
      </c>
      <c r="H4435" t="inlineStr">
        <is>
          <t>UPI</t>
        </is>
      </c>
      <c r="I4435" t="inlineStr">
        <is>
          <t>Shipped</t>
        </is>
      </c>
      <c r="J4435" t="n">
        <v>143</v>
      </c>
      <c r="K4435" t="n">
        <v>1</v>
      </c>
      <c r="L4435" t="n">
        <v>839</v>
      </c>
      <c r="M4435" t="n">
        <v>0</v>
      </c>
      <c r="N4435">
        <f>VLOOKUP(J4435,Products!$A$2:$C$49,3,FALSE)</f>
        <v/>
      </c>
      <c r="O4435">
        <f>K4435*L4435-M4435</f>
        <v/>
      </c>
      <c r="P4435">
        <f>TEXT(B4435,"yyyy-mm")</f>
        <v/>
      </c>
      <c r="Q4435">
        <f>IF(O4435&gt;=3000,"Large","Small")</f>
        <v/>
      </c>
      <c r="R4435">
        <f>INDEX(Products!$F$2:$F$49,MATCH(J4435,Products!$A$2:$A$49,0))</f>
        <v/>
      </c>
      <c r="S4435">
        <f>WEEKDAY(B4435,2)</f>
        <v/>
      </c>
    </row>
    <row r="4436">
      <c r="A4436" t="n">
        <v>511824</v>
      </c>
      <c r="B4436" s="6" t="n">
        <v>46020</v>
      </c>
      <c r="C4436" t="n">
        <v>17948</v>
      </c>
      <c r="D4436" t="inlineStr">
        <is>
          <t>Mumbai</t>
        </is>
      </c>
      <c r="E4436" t="inlineStr">
        <is>
          <t>West</t>
        </is>
      </c>
      <c r="F4436" t="inlineStr">
        <is>
          <t>Referral</t>
        </is>
      </c>
      <c r="G4436" t="inlineStr">
        <is>
          <t>Desktop</t>
        </is>
      </c>
      <c r="H4436" t="inlineStr">
        <is>
          <t>UPI</t>
        </is>
      </c>
      <c r="I4436" t="inlineStr">
        <is>
          <t>Shipped</t>
        </is>
      </c>
      <c r="J4436" t="n">
        <v>117</v>
      </c>
      <c r="K4436" t="n">
        <v>1</v>
      </c>
      <c r="L4436" t="n">
        <v>3149</v>
      </c>
      <c r="M4436" t="n">
        <v>472.35</v>
      </c>
      <c r="N4436">
        <f>VLOOKUP(J4436,Products!$A$2:$C$49,3,FALSE)</f>
        <v/>
      </c>
      <c r="O4436">
        <f>K4436*L4436-M4436</f>
        <v/>
      </c>
      <c r="P4436">
        <f>TEXT(B4436,"yyyy-mm")</f>
        <v/>
      </c>
      <c r="Q4436">
        <f>IF(O4436&gt;=3000,"Large","Small")</f>
        <v/>
      </c>
      <c r="R4436">
        <f>INDEX(Products!$F$2:$F$49,MATCH(J4436,Products!$A$2:$A$49,0))</f>
        <v/>
      </c>
      <c r="S4436">
        <f>WEEKDAY(B4436,2)</f>
        <v/>
      </c>
    </row>
    <row r="4437">
      <c r="A4437" t="n">
        <v>511825</v>
      </c>
      <c r="B4437" s="6" t="n">
        <v>46020</v>
      </c>
      <c r="C4437" t="n">
        <v>17962</v>
      </c>
      <c r="D4437" t="inlineStr">
        <is>
          <t>Kolkata</t>
        </is>
      </c>
      <c r="E4437" t="inlineStr">
        <is>
          <t>East</t>
        </is>
      </c>
      <c r="F4437" t="inlineStr">
        <is>
          <t>Paid Search</t>
        </is>
      </c>
      <c r="G4437" t="inlineStr">
        <is>
          <t>Mobile App</t>
        </is>
      </c>
      <c r="H4437" t="inlineStr">
        <is>
          <t>Debit Card</t>
        </is>
      </c>
      <c r="I4437" t="inlineStr">
        <is>
          <t>Shipped</t>
        </is>
      </c>
      <c r="J4437" t="n">
        <v>104</v>
      </c>
      <c r="K4437" t="n">
        <v>1</v>
      </c>
      <c r="L4437" t="n">
        <v>5249</v>
      </c>
      <c r="M4437" t="n">
        <v>787.35</v>
      </c>
      <c r="N4437">
        <f>VLOOKUP(J4437,Products!$A$2:$C$49,3,FALSE)</f>
        <v/>
      </c>
      <c r="O4437">
        <f>K4437*L4437-M4437</f>
        <v/>
      </c>
      <c r="P4437">
        <f>TEXT(B4437,"yyyy-mm")</f>
        <v/>
      </c>
      <c r="Q4437">
        <f>IF(O4437&gt;=3000,"Large","Small")</f>
        <v/>
      </c>
      <c r="R4437">
        <f>INDEX(Products!$F$2:$F$49,MATCH(J4437,Products!$A$2:$A$49,0))</f>
        <v/>
      </c>
      <c r="S4437">
        <f>WEEKDAY(B4437,2)</f>
        <v/>
      </c>
    </row>
    <row r="4438">
      <c r="A4438" t="n">
        <v>511826</v>
      </c>
      <c r="B4438" s="6" t="n">
        <v>46020</v>
      </c>
      <c r="C4438" t="n">
        <v>15303</v>
      </c>
      <c r="D4438" t="inlineStr">
        <is>
          <t>Chandigarh</t>
        </is>
      </c>
      <c r="E4438" t="inlineStr">
        <is>
          <t>North</t>
        </is>
      </c>
      <c r="F4438" t="inlineStr">
        <is>
          <t>Paid Search</t>
        </is>
      </c>
      <c r="G4438" t="inlineStr">
        <is>
          <t>Mobile Web</t>
        </is>
      </c>
      <c r="H4438" t="inlineStr">
        <is>
          <t>UPI</t>
        </is>
      </c>
      <c r="I4438" t="inlineStr">
        <is>
          <t>Shipped</t>
        </is>
      </c>
      <c r="J4438" t="n">
        <v>115</v>
      </c>
      <c r="K4438" t="n">
        <v>1</v>
      </c>
      <c r="L4438" t="n">
        <v>4199</v>
      </c>
      <c r="M4438" t="n">
        <v>0</v>
      </c>
      <c r="N4438">
        <f>VLOOKUP(J4438,Products!$A$2:$C$49,3,FALSE)</f>
        <v/>
      </c>
      <c r="O4438">
        <f>K4438*L4438-M4438</f>
        <v/>
      </c>
      <c r="P4438">
        <f>TEXT(B4438,"yyyy-mm")</f>
        <v/>
      </c>
      <c r="Q4438">
        <f>IF(O4438&gt;=3000,"Large","Small")</f>
        <v/>
      </c>
      <c r="R4438">
        <f>INDEX(Products!$F$2:$F$49,MATCH(J4438,Products!$A$2:$A$49,0))</f>
        <v/>
      </c>
      <c r="S4438">
        <f>WEEKDAY(B4438,2)</f>
        <v/>
      </c>
    </row>
    <row r="4439">
      <c r="A4439" t="n">
        <v>511827</v>
      </c>
      <c r="B4439" s="6" t="n">
        <v>46020</v>
      </c>
      <c r="C4439" t="n">
        <v>13358</v>
      </c>
      <c r="D4439" t="inlineStr">
        <is>
          <t>Bengaluru</t>
        </is>
      </c>
      <c r="E4439" t="inlineStr">
        <is>
          <t>South</t>
        </is>
      </c>
      <c r="F4439" t="inlineStr">
        <is>
          <t>Organic Search</t>
        </is>
      </c>
      <c r="G4439" t="inlineStr">
        <is>
          <t>Mobile Web</t>
        </is>
      </c>
      <c r="H4439" t="inlineStr">
        <is>
          <t>Cash on Delivery</t>
        </is>
      </c>
      <c r="I4439" t="inlineStr">
        <is>
          <t>Shipped</t>
        </is>
      </c>
      <c r="J4439" t="n">
        <v>108</v>
      </c>
      <c r="K4439" t="n">
        <v>1</v>
      </c>
      <c r="L4439" t="n">
        <v>419</v>
      </c>
      <c r="M4439" t="n">
        <v>0</v>
      </c>
      <c r="N4439">
        <f>VLOOKUP(J4439,Products!$A$2:$C$49,3,FALSE)</f>
        <v/>
      </c>
      <c r="O4439">
        <f>K4439*L4439-M4439</f>
        <v/>
      </c>
      <c r="P4439">
        <f>TEXT(B4439,"yyyy-mm")</f>
        <v/>
      </c>
      <c r="Q4439">
        <f>IF(O4439&gt;=3000,"Large","Small")</f>
        <v/>
      </c>
      <c r="R4439">
        <f>INDEX(Products!$F$2:$F$49,MATCH(J4439,Products!$A$2:$A$49,0))</f>
        <v/>
      </c>
      <c r="S4439">
        <f>WEEKDAY(B4439,2)</f>
        <v/>
      </c>
    </row>
    <row r="4440">
      <c r="A4440" t="n">
        <v>511828</v>
      </c>
      <c r="B4440" s="6" t="n">
        <v>46020</v>
      </c>
      <c r="C4440" t="n">
        <v>17795</v>
      </c>
      <c r="D4440" t="inlineStr">
        <is>
          <t>Pune</t>
        </is>
      </c>
      <c r="E4440" t="inlineStr">
        <is>
          <t>West</t>
        </is>
      </c>
      <c r="F4440" t="inlineStr">
        <is>
          <t>Referral</t>
        </is>
      </c>
      <c r="G4440" t="inlineStr">
        <is>
          <t>Mobile App</t>
        </is>
      </c>
      <c r="H4440" t="inlineStr">
        <is>
          <t>Credit Card</t>
        </is>
      </c>
      <c r="I4440" t="inlineStr">
        <is>
          <t>Shipped</t>
        </is>
      </c>
      <c r="J4440" t="n">
        <v>148</v>
      </c>
      <c r="K4440" t="n">
        <v>1</v>
      </c>
      <c r="L4440" t="n">
        <v>734</v>
      </c>
      <c r="M4440" t="n">
        <v>110.1</v>
      </c>
      <c r="N4440">
        <f>VLOOKUP(J4440,Products!$A$2:$C$49,3,FALSE)</f>
        <v/>
      </c>
      <c r="O4440">
        <f>K4440*L4440-M4440</f>
        <v/>
      </c>
      <c r="P4440">
        <f>TEXT(B4440,"yyyy-mm")</f>
        <v/>
      </c>
      <c r="Q4440">
        <f>IF(O4440&gt;=3000,"Large","Small")</f>
        <v/>
      </c>
      <c r="R4440">
        <f>INDEX(Products!$F$2:$F$49,MATCH(J4440,Products!$A$2:$A$49,0))</f>
        <v/>
      </c>
      <c r="S4440">
        <f>WEEKDAY(B4440,2)</f>
        <v/>
      </c>
    </row>
    <row r="4441">
      <c r="A4441" t="n">
        <v>511828</v>
      </c>
      <c r="B4441" s="6" t="n">
        <v>46020</v>
      </c>
      <c r="C4441" t="n">
        <v>17795</v>
      </c>
      <c r="D4441" t="inlineStr">
        <is>
          <t>Pune</t>
        </is>
      </c>
      <c r="E4441" t="inlineStr">
        <is>
          <t>West</t>
        </is>
      </c>
      <c r="F4441" t="inlineStr">
        <is>
          <t>Referral</t>
        </is>
      </c>
      <c r="G4441" t="inlineStr">
        <is>
          <t>Mobile App</t>
        </is>
      </c>
      <c r="H4441" t="inlineStr">
        <is>
          <t>Credit Card</t>
        </is>
      </c>
      <c r="I4441" t="inlineStr">
        <is>
          <t>Shipped</t>
        </is>
      </c>
      <c r="J4441" t="n">
        <v>102</v>
      </c>
      <c r="K4441" t="n">
        <v>1</v>
      </c>
      <c r="L4441" t="n">
        <v>3674</v>
      </c>
      <c r="M4441" t="n">
        <v>551.1</v>
      </c>
      <c r="N4441">
        <f>VLOOKUP(J4441,Products!$A$2:$C$49,3,FALSE)</f>
        <v/>
      </c>
      <c r="O4441">
        <f>K4441*L4441-M4441</f>
        <v/>
      </c>
      <c r="P4441">
        <f>TEXT(B4441,"yyyy-mm")</f>
        <v/>
      </c>
      <c r="Q4441">
        <f>IF(O4441&gt;=3000,"Large","Small")</f>
        <v/>
      </c>
      <c r="R4441">
        <f>INDEX(Products!$F$2:$F$49,MATCH(J4441,Products!$A$2:$A$49,0))</f>
        <v/>
      </c>
      <c r="S4441">
        <f>WEEKDAY(B4441,2)</f>
        <v/>
      </c>
    </row>
    <row r="4442">
      <c r="A4442" t="n">
        <v>511829</v>
      </c>
      <c r="B4442" s="6" t="n">
        <v>46020</v>
      </c>
      <c r="C4442" t="n">
        <v>17955</v>
      </c>
      <c r="D4442" t="inlineStr">
        <is>
          <t>Mumbai</t>
        </is>
      </c>
      <c r="E4442" t="inlineStr">
        <is>
          <t>West</t>
        </is>
      </c>
      <c r="F4442" t="inlineStr">
        <is>
          <t>Organic Search</t>
        </is>
      </c>
      <c r="G4442" t="inlineStr">
        <is>
          <t>Mobile Web</t>
        </is>
      </c>
      <c r="H4442" t="inlineStr">
        <is>
          <t>UPI</t>
        </is>
      </c>
      <c r="I4442" t="inlineStr">
        <is>
          <t>Shipped</t>
        </is>
      </c>
      <c r="J4442" t="n">
        <v>141</v>
      </c>
      <c r="K4442" t="n">
        <v>1</v>
      </c>
      <c r="L4442" t="n">
        <v>261</v>
      </c>
      <c r="M4442" t="n">
        <v>0</v>
      </c>
      <c r="N4442">
        <f>VLOOKUP(J4442,Products!$A$2:$C$49,3,FALSE)</f>
        <v/>
      </c>
      <c r="O4442">
        <f>K4442*L4442-M4442</f>
        <v/>
      </c>
      <c r="P4442">
        <f>TEXT(B4442,"yyyy-mm")</f>
        <v/>
      </c>
      <c r="Q4442">
        <f>IF(O4442&gt;=3000,"Large","Small")</f>
        <v/>
      </c>
      <c r="R4442">
        <f>INDEX(Products!$F$2:$F$49,MATCH(J4442,Products!$A$2:$A$49,0))</f>
        <v/>
      </c>
      <c r="S4442">
        <f>WEEKDAY(B4442,2)</f>
        <v/>
      </c>
    </row>
    <row r="4443">
      <c r="A4443" t="n">
        <v>511830</v>
      </c>
      <c r="B4443" s="6" t="n">
        <v>46020</v>
      </c>
      <c r="C4443" t="n">
        <v>14340</v>
      </c>
      <c r="D4443" t="inlineStr">
        <is>
          <t>Delhi</t>
        </is>
      </c>
      <c r="E4443" t="inlineStr">
        <is>
          <t>North</t>
        </is>
      </c>
      <c r="F4443" t="inlineStr">
        <is>
          <t>Organic Search</t>
        </is>
      </c>
      <c r="G4443" t="inlineStr">
        <is>
          <t>Mobile App</t>
        </is>
      </c>
      <c r="H4443" t="inlineStr">
        <is>
          <t>Debit Card</t>
        </is>
      </c>
      <c r="I4443" t="inlineStr">
        <is>
          <t>Shipped</t>
        </is>
      </c>
      <c r="J4443" t="n">
        <v>121</v>
      </c>
      <c r="K4443" t="n">
        <v>1</v>
      </c>
      <c r="L4443" t="n">
        <v>2939</v>
      </c>
      <c r="M4443" t="n">
        <v>0</v>
      </c>
      <c r="N4443">
        <f>VLOOKUP(J4443,Products!$A$2:$C$49,3,FALSE)</f>
        <v/>
      </c>
      <c r="O4443">
        <f>K4443*L4443-M4443</f>
        <v/>
      </c>
      <c r="P4443">
        <f>TEXT(B4443,"yyyy-mm")</f>
        <v/>
      </c>
      <c r="Q4443">
        <f>IF(O4443&gt;=3000,"Large","Small")</f>
        <v/>
      </c>
      <c r="R4443">
        <f>INDEX(Products!$F$2:$F$49,MATCH(J4443,Products!$A$2:$A$49,0))</f>
        <v/>
      </c>
      <c r="S4443">
        <f>WEEKDAY(B4443,2)</f>
        <v/>
      </c>
    </row>
    <row r="4444">
      <c r="A4444" t="n">
        <v>511830</v>
      </c>
      <c r="B4444" s="6" t="n">
        <v>46020</v>
      </c>
      <c r="C4444" t="n">
        <v>14340</v>
      </c>
      <c r="D4444" t="inlineStr">
        <is>
          <t>Delhi</t>
        </is>
      </c>
      <c r="E4444" t="inlineStr">
        <is>
          <t>North</t>
        </is>
      </c>
      <c r="F4444" t="inlineStr">
        <is>
          <t>Organic Search</t>
        </is>
      </c>
      <c r="G4444" t="inlineStr">
        <is>
          <t>Mobile App</t>
        </is>
      </c>
      <c r="H4444" t="inlineStr">
        <is>
          <t>Debit Card</t>
        </is>
      </c>
      <c r="I4444" t="inlineStr">
        <is>
          <t>Shipped</t>
        </is>
      </c>
      <c r="J4444" t="n">
        <v>106</v>
      </c>
      <c r="K4444" t="n">
        <v>1</v>
      </c>
      <c r="L4444" t="n">
        <v>1574</v>
      </c>
      <c r="M4444" t="n">
        <v>0</v>
      </c>
      <c r="N4444">
        <f>VLOOKUP(J4444,Products!$A$2:$C$49,3,FALSE)</f>
        <v/>
      </c>
      <c r="O4444">
        <f>K4444*L4444-M4444</f>
        <v/>
      </c>
      <c r="P4444">
        <f>TEXT(B4444,"yyyy-mm")</f>
        <v/>
      </c>
      <c r="Q4444">
        <f>IF(O4444&gt;=3000,"Large","Small")</f>
        <v/>
      </c>
      <c r="R4444">
        <f>INDEX(Products!$F$2:$F$49,MATCH(J4444,Products!$A$2:$A$49,0))</f>
        <v/>
      </c>
      <c r="S4444">
        <f>WEEKDAY(B4444,2)</f>
        <v/>
      </c>
    </row>
    <row r="4445">
      <c r="A4445" t="n">
        <v>511830</v>
      </c>
      <c r="B4445" s="6" t="n">
        <v>46020</v>
      </c>
      <c r="C4445" t="n">
        <v>14340</v>
      </c>
      <c r="D4445" t="inlineStr">
        <is>
          <t>Delhi</t>
        </is>
      </c>
      <c r="E4445" t="inlineStr">
        <is>
          <t>North</t>
        </is>
      </c>
      <c r="F4445" t="inlineStr">
        <is>
          <t>Organic Search</t>
        </is>
      </c>
      <c r="G4445" t="inlineStr">
        <is>
          <t>Mobile App</t>
        </is>
      </c>
      <c r="H4445" t="inlineStr">
        <is>
          <t>Debit Card</t>
        </is>
      </c>
      <c r="I4445" t="inlineStr">
        <is>
          <t>Shipped</t>
        </is>
      </c>
      <c r="J4445" t="n">
        <v>123</v>
      </c>
      <c r="K4445" t="n">
        <v>2</v>
      </c>
      <c r="L4445" t="n">
        <v>3464</v>
      </c>
      <c r="M4445" t="n">
        <v>0</v>
      </c>
      <c r="N4445">
        <f>VLOOKUP(J4445,Products!$A$2:$C$49,3,FALSE)</f>
        <v/>
      </c>
      <c r="O4445">
        <f>K4445*L4445-M4445</f>
        <v/>
      </c>
      <c r="P4445">
        <f>TEXT(B4445,"yyyy-mm")</f>
        <v/>
      </c>
      <c r="Q4445">
        <f>IF(O4445&gt;=3000,"Large","Small")</f>
        <v/>
      </c>
      <c r="R4445">
        <f>INDEX(Products!$F$2:$F$49,MATCH(J4445,Products!$A$2:$A$49,0))</f>
        <v/>
      </c>
      <c r="S4445">
        <f>WEEKDAY(B4445,2)</f>
        <v/>
      </c>
    </row>
    <row r="4446">
      <c r="A4446" t="n">
        <v>511830</v>
      </c>
      <c r="B4446" s="6" t="n">
        <v>46020</v>
      </c>
      <c r="C4446" t="n">
        <v>14340</v>
      </c>
      <c r="D4446" t="inlineStr">
        <is>
          <t>Delhi</t>
        </is>
      </c>
      <c r="E4446" t="inlineStr">
        <is>
          <t>North</t>
        </is>
      </c>
      <c r="F4446" t="inlineStr">
        <is>
          <t>Organic Search</t>
        </is>
      </c>
      <c r="G4446" t="inlineStr">
        <is>
          <t>Mobile App</t>
        </is>
      </c>
      <c r="H4446" t="inlineStr">
        <is>
          <t>Debit Card</t>
        </is>
      </c>
      <c r="I4446" t="inlineStr">
        <is>
          <t>Shipped</t>
        </is>
      </c>
      <c r="J4446" t="n">
        <v>138</v>
      </c>
      <c r="K4446" t="n">
        <v>2</v>
      </c>
      <c r="L4446" t="n">
        <v>419</v>
      </c>
      <c r="M4446" t="n">
        <v>0</v>
      </c>
      <c r="N4446">
        <f>VLOOKUP(J4446,Products!$A$2:$C$49,3,FALSE)</f>
        <v/>
      </c>
      <c r="O4446">
        <f>K4446*L4446-M4446</f>
        <v/>
      </c>
      <c r="P4446">
        <f>TEXT(B4446,"yyyy-mm")</f>
        <v/>
      </c>
      <c r="Q4446">
        <f>IF(O4446&gt;=3000,"Large","Small")</f>
        <v/>
      </c>
      <c r="R4446">
        <f>INDEX(Products!$F$2:$F$49,MATCH(J4446,Products!$A$2:$A$49,0))</f>
        <v/>
      </c>
      <c r="S4446">
        <f>WEEKDAY(B4446,2)</f>
        <v/>
      </c>
    </row>
    <row r="4447">
      <c r="A4447" t="n">
        <v>511831</v>
      </c>
      <c r="B4447" s="6" t="n">
        <v>46020</v>
      </c>
      <c r="C4447" t="n">
        <v>17460</v>
      </c>
      <c r="D4447" t="inlineStr">
        <is>
          <t>Pune</t>
        </is>
      </c>
      <c r="E4447" t="inlineStr">
        <is>
          <t>West</t>
        </is>
      </c>
      <c r="F4447" t="inlineStr">
        <is>
          <t>Affiliate</t>
        </is>
      </c>
      <c r="G4447" t="inlineStr">
        <is>
          <t>Desktop</t>
        </is>
      </c>
      <c r="H4447" t="inlineStr">
        <is>
          <t>Cash on Delivery</t>
        </is>
      </c>
      <c r="I4447" t="inlineStr">
        <is>
          <t>Shipped</t>
        </is>
      </c>
      <c r="J4447" t="n">
        <v>109</v>
      </c>
      <c r="K4447" t="n">
        <v>1</v>
      </c>
      <c r="L4447" t="n">
        <v>4199</v>
      </c>
      <c r="M4447" t="n">
        <v>0</v>
      </c>
      <c r="N4447">
        <f>VLOOKUP(J4447,Products!$A$2:$C$49,3,FALSE)</f>
        <v/>
      </c>
      <c r="O4447">
        <f>K4447*L4447-M4447</f>
        <v/>
      </c>
      <c r="P4447">
        <f>TEXT(B4447,"yyyy-mm")</f>
        <v/>
      </c>
      <c r="Q4447">
        <f>IF(O4447&gt;=3000,"Large","Small")</f>
        <v/>
      </c>
      <c r="R4447">
        <f>INDEX(Products!$F$2:$F$49,MATCH(J4447,Products!$A$2:$A$49,0))</f>
        <v/>
      </c>
      <c r="S4447">
        <f>WEEKDAY(B4447,2)</f>
        <v/>
      </c>
    </row>
    <row r="4448">
      <c r="A4448" t="n">
        <v>511832</v>
      </c>
      <c r="B4448" s="6" t="n">
        <v>46020</v>
      </c>
      <c r="C4448" t="n">
        <v>17907</v>
      </c>
      <c r="D4448" t="inlineStr">
        <is>
          <t>Noida</t>
        </is>
      </c>
      <c r="E4448" t="inlineStr">
        <is>
          <t>North</t>
        </is>
      </c>
      <c r="F4448" t="inlineStr">
        <is>
          <t>Paid Social</t>
        </is>
      </c>
      <c r="G4448" t="inlineStr">
        <is>
          <t>Mobile App</t>
        </is>
      </c>
      <c r="H4448" t="inlineStr">
        <is>
          <t>Credit Card</t>
        </is>
      </c>
      <c r="I4448" t="inlineStr">
        <is>
          <t>Shipped</t>
        </is>
      </c>
      <c r="J4448" t="n">
        <v>112</v>
      </c>
      <c r="K4448" t="n">
        <v>1</v>
      </c>
      <c r="L4448" t="n">
        <v>1574</v>
      </c>
      <c r="M4448" t="n">
        <v>0</v>
      </c>
      <c r="N4448">
        <f>VLOOKUP(J4448,Products!$A$2:$C$49,3,FALSE)</f>
        <v/>
      </c>
      <c r="O4448">
        <f>K4448*L4448-M4448</f>
        <v/>
      </c>
      <c r="P4448">
        <f>TEXT(B4448,"yyyy-mm")</f>
        <v/>
      </c>
      <c r="Q4448">
        <f>IF(O4448&gt;=3000,"Large","Small")</f>
        <v/>
      </c>
      <c r="R4448">
        <f>INDEX(Products!$F$2:$F$49,MATCH(J4448,Products!$A$2:$A$49,0))</f>
        <v/>
      </c>
      <c r="S4448">
        <f>WEEKDAY(B4448,2)</f>
        <v/>
      </c>
    </row>
    <row r="4449">
      <c r="A4449" t="n">
        <v>511833</v>
      </c>
      <c r="B4449" s="6" t="n">
        <v>46020</v>
      </c>
      <c r="C4449" t="n">
        <v>17928</v>
      </c>
      <c r="D4449" t="inlineStr">
        <is>
          <t>Pune</t>
        </is>
      </c>
      <c r="E4449" t="inlineStr">
        <is>
          <t>West</t>
        </is>
      </c>
      <c r="F4449" t="inlineStr">
        <is>
          <t>Organic Search</t>
        </is>
      </c>
      <c r="G4449" t="inlineStr">
        <is>
          <t>Mobile App</t>
        </is>
      </c>
      <c r="H4449" t="inlineStr">
        <is>
          <t>Debit Card</t>
        </is>
      </c>
      <c r="I4449" t="inlineStr">
        <is>
          <t>Shipped</t>
        </is>
      </c>
      <c r="J4449" t="n">
        <v>109</v>
      </c>
      <c r="K4449" t="n">
        <v>1</v>
      </c>
      <c r="L4449" t="n">
        <v>4199</v>
      </c>
      <c r="M4449" t="n">
        <v>629.85</v>
      </c>
      <c r="N4449">
        <f>VLOOKUP(J4449,Products!$A$2:$C$49,3,FALSE)</f>
        <v/>
      </c>
      <c r="O4449">
        <f>K4449*L4449-M4449</f>
        <v/>
      </c>
      <c r="P4449">
        <f>TEXT(B4449,"yyyy-mm")</f>
        <v/>
      </c>
      <c r="Q4449">
        <f>IF(O4449&gt;=3000,"Large","Small")</f>
        <v/>
      </c>
      <c r="R4449">
        <f>INDEX(Products!$F$2:$F$49,MATCH(J4449,Products!$A$2:$A$49,0))</f>
        <v/>
      </c>
      <c r="S4449">
        <f>WEEKDAY(B4449,2)</f>
        <v/>
      </c>
    </row>
    <row r="4450">
      <c r="A4450" t="n">
        <v>511834</v>
      </c>
      <c r="B4450" s="6" t="n">
        <v>46020</v>
      </c>
      <c r="C4450" t="n">
        <v>16029</v>
      </c>
      <c r="D4450" t="inlineStr">
        <is>
          <t>Noida</t>
        </is>
      </c>
      <c r="E4450" t="inlineStr">
        <is>
          <t>North</t>
        </is>
      </c>
      <c r="F4450" t="inlineStr">
        <is>
          <t>Referral</t>
        </is>
      </c>
      <c r="G4450" t="inlineStr">
        <is>
          <t>Mobile App</t>
        </is>
      </c>
      <c r="H4450" t="inlineStr">
        <is>
          <t>UPI</t>
        </is>
      </c>
      <c r="I4450" t="inlineStr">
        <is>
          <t>Shipped</t>
        </is>
      </c>
      <c r="J4450" t="n">
        <v>119</v>
      </c>
      <c r="K4450" t="n">
        <v>1</v>
      </c>
      <c r="L4450" t="n">
        <v>2309</v>
      </c>
      <c r="M4450" t="n">
        <v>0</v>
      </c>
      <c r="N4450">
        <f>VLOOKUP(J4450,Products!$A$2:$C$49,3,FALSE)</f>
        <v/>
      </c>
      <c r="O4450">
        <f>K4450*L4450-M4450</f>
        <v/>
      </c>
      <c r="P4450">
        <f>TEXT(B4450,"yyyy-mm")</f>
        <v/>
      </c>
      <c r="Q4450">
        <f>IF(O4450&gt;=3000,"Large","Small")</f>
        <v/>
      </c>
      <c r="R4450">
        <f>INDEX(Products!$F$2:$F$49,MATCH(J4450,Products!$A$2:$A$49,0))</f>
        <v/>
      </c>
      <c r="S4450">
        <f>WEEKDAY(B4450,2)</f>
        <v/>
      </c>
    </row>
    <row r="4451">
      <c r="A4451" t="n">
        <v>511834</v>
      </c>
      <c r="B4451" s="6" t="n">
        <v>46020</v>
      </c>
      <c r="C4451" t="n">
        <v>16029</v>
      </c>
      <c r="D4451" t="inlineStr">
        <is>
          <t>Noida</t>
        </is>
      </c>
      <c r="E4451" t="inlineStr">
        <is>
          <t>North</t>
        </is>
      </c>
      <c r="F4451" t="inlineStr">
        <is>
          <t>Referral</t>
        </is>
      </c>
      <c r="G4451" t="inlineStr">
        <is>
          <t>Mobile App</t>
        </is>
      </c>
      <c r="H4451" t="inlineStr">
        <is>
          <t>UPI</t>
        </is>
      </c>
      <c r="I4451" t="inlineStr">
        <is>
          <t>Shipped</t>
        </is>
      </c>
      <c r="J4451" t="n">
        <v>141</v>
      </c>
      <c r="K4451" t="n">
        <v>1</v>
      </c>
      <c r="L4451" t="n">
        <v>261</v>
      </c>
      <c r="M4451" t="n">
        <v>0</v>
      </c>
      <c r="N4451">
        <f>VLOOKUP(J4451,Products!$A$2:$C$49,3,FALSE)</f>
        <v/>
      </c>
      <c r="O4451">
        <f>K4451*L4451-M4451</f>
        <v/>
      </c>
      <c r="P4451">
        <f>TEXT(B4451,"yyyy-mm")</f>
        <v/>
      </c>
      <c r="Q4451">
        <f>IF(O4451&gt;=3000,"Large","Small")</f>
        <v/>
      </c>
      <c r="R4451">
        <f>INDEX(Products!$F$2:$F$49,MATCH(J4451,Products!$A$2:$A$49,0))</f>
        <v/>
      </c>
      <c r="S4451">
        <f>WEEKDAY(B4451,2)</f>
        <v/>
      </c>
    </row>
    <row r="4452">
      <c r="A4452" t="n">
        <v>511834</v>
      </c>
      <c r="B4452" s="6" t="n">
        <v>46020</v>
      </c>
      <c r="C4452" t="n">
        <v>16029</v>
      </c>
      <c r="D4452" t="inlineStr">
        <is>
          <t>Noida</t>
        </is>
      </c>
      <c r="E4452" t="inlineStr">
        <is>
          <t>North</t>
        </is>
      </c>
      <c r="F4452" t="inlineStr">
        <is>
          <t>Referral</t>
        </is>
      </c>
      <c r="G4452" t="inlineStr">
        <is>
          <t>Mobile App</t>
        </is>
      </c>
      <c r="H4452" t="inlineStr">
        <is>
          <t>UPI</t>
        </is>
      </c>
      <c r="I4452" t="inlineStr">
        <is>
          <t>Shipped</t>
        </is>
      </c>
      <c r="J4452" t="n">
        <v>133</v>
      </c>
      <c r="K4452" t="n">
        <v>1</v>
      </c>
      <c r="L4452" t="n">
        <v>419</v>
      </c>
      <c r="M4452" t="n">
        <v>0</v>
      </c>
      <c r="N4452">
        <f>VLOOKUP(J4452,Products!$A$2:$C$49,3,FALSE)</f>
        <v/>
      </c>
      <c r="O4452">
        <f>K4452*L4452-M4452</f>
        <v/>
      </c>
      <c r="P4452">
        <f>TEXT(B4452,"yyyy-mm")</f>
        <v/>
      </c>
      <c r="Q4452">
        <f>IF(O4452&gt;=3000,"Large","Small")</f>
        <v/>
      </c>
      <c r="R4452">
        <f>INDEX(Products!$F$2:$F$49,MATCH(J4452,Products!$A$2:$A$49,0))</f>
        <v/>
      </c>
      <c r="S4452">
        <f>WEEKDAY(B4452,2)</f>
        <v/>
      </c>
    </row>
    <row r="4453">
      <c r="A4453" t="n">
        <v>511834</v>
      </c>
      <c r="B4453" s="6" t="n">
        <v>46020</v>
      </c>
      <c r="C4453" t="n">
        <v>16029</v>
      </c>
      <c r="D4453" t="inlineStr">
        <is>
          <t>Noida</t>
        </is>
      </c>
      <c r="E4453" t="inlineStr">
        <is>
          <t>North</t>
        </is>
      </c>
      <c r="F4453" t="inlineStr">
        <is>
          <t>Referral</t>
        </is>
      </c>
      <c r="G4453" t="inlineStr">
        <is>
          <t>Mobile App</t>
        </is>
      </c>
      <c r="H4453" t="inlineStr">
        <is>
          <t>UPI</t>
        </is>
      </c>
      <c r="I4453" t="inlineStr">
        <is>
          <t>Shipped</t>
        </is>
      </c>
      <c r="J4453" t="n">
        <v>128</v>
      </c>
      <c r="K4453" t="n">
        <v>1</v>
      </c>
      <c r="L4453" t="n">
        <v>1049</v>
      </c>
      <c r="M4453" t="n">
        <v>0</v>
      </c>
      <c r="N4453">
        <f>VLOOKUP(J4453,Products!$A$2:$C$49,3,FALSE)</f>
        <v/>
      </c>
      <c r="O4453">
        <f>K4453*L4453-M4453</f>
        <v/>
      </c>
      <c r="P4453">
        <f>TEXT(B4453,"yyyy-mm")</f>
        <v/>
      </c>
      <c r="Q4453">
        <f>IF(O4453&gt;=3000,"Large","Small")</f>
        <v/>
      </c>
      <c r="R4453">
        <f>INDEX(Products!$F$2:$F$49,MATCH(J4453,Products!$A$2:$A$49,0))</f>
        <v/>
      </c>
      <c r="S4453">
        <f>WEEKDAY(B4453,2)</f>
        <v/>
      </c>
    </row>
    <row r="4454">
      <c r="A4454" t="n">
        <v>511835</v>
      </c>
      <c r="B4454" s="6" t="n">
        <v>46020</v>
      </c>
      <c r="C4454" t="n">
        <v>17934</v>
      </c>
      <c r="D4454" t="inlineStr">
        <is>
          <t>Hyderabad</t>
        </is>
      </c>
      <c r="E4454" t="inlineStr">
        <is>
          <t>South</t>
        </is>
      </c>
      <c r="F4454" t="inlineStr">
        <is>
          <t>Paid Social</t>
        </is>
      </c>
      <c r="G4454" t="inlineStr">
        <is>
          <t>Desktop</t>
        </is>
      </c>
      <c r="H4454" t="inlineStr">
        <is>
          <t>Credit Card</t>
        </is>
      </c>
      <c r="I4454" t="inlineStr">
        <is>
          <t>Shipped</t>
        </is>
      </c>
      <c r="J4454" t="n">
        <v>147</v>
      </c>
      <c r="K4454" t="n">
        <v>1</v>
      </c>
      <c r="L4454" t="n">
        <v>1364</v>
      </c>
      <c r="M4454" t="n">
        <v>204.6</v>
      </c>
      <c r="N4454">
        <f>VLOOKUP(J4454,Products!$A$2:$C$49,3,FALSE)</f>
        <v/>
      </c>
      <c r="O4454">
        <f>K4454*L4454-M4454</f>
        <v/>
      </c>
      <c r="P4454">
        <f>TEXT(B4454,"yyyy-mm")</f>
        <v/>
      </c>
      <c r="Q4454">
        <f>IF(O4454&gt;=3000,"Large","Small")</f>
        <v/>
      </c>
      <c r="R4454">
        <f>INDEX(Products!$F$2:$F$49,MATCH(J4454,Products!$A$2:$A$49,0))</f>
        <v/>
      </c>
      <c r="S4454">
        <f>WEEKDAY(B4454,2)</f>
        <v/>
      </c>
    </row>
    <row r="4455">
      <c r="A4455" t="n">
        <v>511836</v>
      </c>
      <c r="B4455" s="6" t="n">
        <v>46021</v>
      </c>
      <c r="C4455" t="n">
        <v>17993</v>
      </c>
      <c r="D4455" t="inlineStr">
        <is>
          <t>Lucknow</t>
        </is>
      </c>
      <c r="E4455" t="inlineStr">
        <is>
          <t>North</t>
        </is>
      </c>
      <c r="F4455" t="inlineStr">
        <is>
          <t>Organic Search</t>
        </is>
      </c>
      <c r="G4455" t="inlineStr">
        <is>
          <t>Mobile App</t>
        </is>
      </c>
      <c r="H4455" t="inlineStr">
        <is>
          <t>UPI</t>
        </is>
      </c>
      <c r="I4455" t="inlineStr">
        <is>
          <t>Shipped</t>
        </is>
      </c>
      <c r="J4455" t="n">
        <v>105</v>
      </c>
      <c r="K4455" t="n">
        <v>1</v>
      </c>
      <c r="L4455" t="n">
        <v>2414</v>
      </c>
      <c r="M4455" t="n">
        <v>0</v>
      </c>
      <c r="N4455">
        <f>VLOOKUP(J4455,Products!$A$2:$C$49,3,FALSE)</f>
        <v/>
      </c>
      <c r="O4455">
        <f>K4455*L4455-M4455</f>
        <v/>
      </c>
      <c r="P4455">
        <f>TEXT(B4455,"yyyy-mm")</f>
        <v/>
      </c>
      <c r="Q4455">
        <f>IF(O4455&gt;=3000,"Large","Small")</f>
        <v/>
      </c>
      <c r="R4455">
        <f>INDEX(Products!$F$2:$F$49,MATCH(J4455,Products!$A$2:$A$49,0))</f>
        <v/>
      </c>
      <c r="S4455">
        <f>WEEKDAY(B4455,2)</f>
        <v/>
      </c>
    </row>
    <row r="4456">
      <c r="A4456" t="n">
        <v>511837</v>
      </c>
      <c r="B4456" s="6" t="n">
        <v>46021</v>
      </c>
      <c r="C4456" t="n">
        <v>15049</v>
      </c>
      <c r="D4456" t="inlineStr">
        <is>
          <t>Chandigarh</t>
        </is>
      </c>
      <c r="E4456" t="inlineStr">
        <is>
          <t>North</t>
        </is>
      </c>
      <c r="F4456" t="inlineStr">
        <is>
          <t>Organic Search</t>
        </is>
      </c>
      <c r="G4456" t="inlineStr">
        <is>
          <t>Mobile App</t>
        </is>
      </c>
      <c r="H4456" t="inlineStr">
        <is>
          <t>UPI</t>
        </is>
      </c>
      <c r="I4456" t="inlineStr">
        <is>
          <t>Shipped</t>
        </is>
      </c>
      <c r="J4456" t="n">
        <v>112</v>
      </c>
      <c r="K4456" t="n">
        <v>1</v>
      </c>
      <c r="L4456" t="n">
        <v>1574</v>
      </c>
      <c r="M4456" t="n">
        <v>0</v>
      </c>
      <c r="N4456">
        <f>VLOOKUP(J4456,Products!$A$2:$C$49,3,FALSE)</f>
        <v/>
      </c>
      <c r="O4456">
        <f>K4456*L4456-M4456</f>
        <v/>
      </c>
      <c r="P4456">
        <f>TEXT(B4456,"yyyy-mm")</f>
        <v/>
      </c>
      <c r="Q4456">
        <f>IF(O4456&gt;=3000,"Large","Small")</f>
        <v/>
      </c>
      <c r="R4456">
        <f>INDEX(Products!$F$2:$F$49,MATCH(J4456,Products!$A$2:$A$49,0))</f>
        <v/>
      </c>
      <c r="S4456">
        <f>WEEKDAY(B4456,2)</f>
        <v/>
      </c>
    </row>
    <row r="4457">
      <c r="A4457" t="n">
        <v>511838</v>
      </c>
      <c r="B4457" s="6" t="n">
        <v>46021</v>
      </c>
      <c r="C4457" t="n">
        <v>17938</v>
      </c>
      <c r="D4457" t="inlineStr">
        <is>
          <t>Bengaluru</t>
        </is>
      </c>
      <c r="E4457" t="inlineStr">
        <is>
          <t>South</t>
        </is>
      </c>
      <c r="F4457" t="inlineStr">
        <is>
          <t>Paid Social</t>
        </is>
      </c>
      <c r="G4457" t="inlineStr">
        <is>
          <t>Desktop</t>
        </is>
      </c>
      <c r="H4457" t="inlineStr">
        <is>
          <t>Cash on Delivery</t>
        </is>
      </c>
      <c r="I4457" t="inlineStr">
        <is>
          <t>Shipped</t>
        </is>
      </c>
      <c r="J4457" t="n">
        <v>108</v>
      </c>
      <c r="K4457" t="n">
        <v>1</v>
      </c>
      <c r="L4457" t="n">
        <v>419</v>
      </c>
      <c r="M4457" t="n">
        <v>0</v>
      </c>
      <c r="N4457">
        <f>VLOOKUP(J4457,Products!$A$2:$C$49,3,FALSE)</f>
        <v/>
      </c>
      <c r="O4457">
        <f>K4457*L4457-M4457</f>
        <v/>
      </c>
      <c r="P4457">
        <f>TEXT(B4457,"yyyy-mm")</f>
        <v/>
      </c>
      <c r="Q4457">
        <f>IF(O4457&gt;=3000,"Large","Small")</f>
        <v/>
      </c>
      <c r="R4457">
        <f>INDEX(Products!$F$2:$F$49,MATCH(J4457,Products!$A$2:$A$49,0))</f>
        <v/>
      </c>
      <c r="S4457">
        <f>WEEKDAY(B4457,2)</f>
        <v/>
      </c>
    </row>
    <row r="4458">
      <c r="A4458" t="n">
        <v>511838</v>
      </c>
      <c r="B4458" s="6" t="n">
        <v>46021</v>
      </c>
      <c r="C4458" t="n">
        <v>17938</v>
      </c>
      <c r="D4458" t="inlineStr">
        <is>
          <t>Bengaluru</t>
        </is>
      </c>
      <c r="E4458" t="inlineStr">
        <is>
          <t>South</t>
        </is>
      </c>
      <c r="F4458" t="inlineStr">
        <is>
          <t>Paid Social</t>
        </is>
      </c>
      <c r="G4458" t="inlineStr">
        <is>
          <t>Desktop</t>
        </is>
      </c>
      <c r="H4458" t="inlineStr">
        <is>
          <t>Cash on Delivery</t>
        </is>
      </c>
      <c r="I4458" t="inlineStr">
        <is>
          <t>Shipped</t>
        </is>
      </c>
      <c r="J4458" t="n">
        <v>120</v>
      </c>
      <c r="K4458" t="n">
        <v>1</v>
      </c>
      <c r="L4458" t="n">
        <v>734</v>
      </c>
      <c r="M4458" t="n">
        <v>0</v>
      </c>
      <c r="N4458">
        <f>VLOOKUP(J4458,Products!$A$2:$C$49,3,FALSE)</f>
        <v/>
      </c>
      <c r="O4458">
        <f>K4458*L4458-M4458</f>
        <v/>
      </c>
      <c r="P4458">
        <f>TEXT(B4458,"yyyy-mm")</f>
        <v/>
      </c>
      <c r="Q4458">
        <f>IF(O4458&gt;=3000,"Large","Small")</f>
        <v/>
      </c>
      <c r="R4458">
        <f>INDEX(Products!$F$2:$F$49,MATCH(J4458,Products!$A$2:$A$49,0))</f>
        <v/>
      </c>
      <c r="S4458">
        <f>WEEKDAY(B4458,2)</f>
        <v/>
      </c>
    </row>
    <row r="4459">
      <c r="A4459" t="n">
        <v>511839</v>
      </c>
      <c r="B4459" s="6" t="n">
        <v>46021</v>
      </c>
      <c r="C4459" t="n">
        <v>17968</v>
      </c>
      <c r="D4459" t="inlineStr">
        <is>
          <t>Mumbai</t>
        </is>
      </c>
      <c r="E4459" t="inlineStr">
        <is>
          <t>West</t>
        </is>
      </c>
      <c r="F4459" t="inlineStr">
        <is>
          <t>Paid Social</t>
        </is>
      </c>
      <c r="G4459" t="inlineStr">
        <is>
          <t>Mobile App</t>
        </is>
      </c>
      <c r="H4459" t="inlineStr">
        <is>
          <t>Debit Card</t>
        </is>
      </c>
      <c r="I4459" t="inlineStr">
        <is>
          <t>Shipped</t>
        </is>
      </c>
      <c r="J4459" t="n">
        <v>124</v>
      </c>
      <c r="K4459" t="n">
        <v>2</v>
      </c>
      <c r="L4459" t="n">
        <v>1154</v>
      </c>
      <c r="M4459" t="n">
        <v>0</v>
      </c>
      <c r="N4459">
        <f>VLOOKUP(J4459,Products!$A$2:$C$49,3,FALSE)</f>
        <v/>
      </c>
      <c r="O4459">
        <f>K4459*L4459-M4459</f>
        <v/>
      </c>
      <c r="P4459">
        <f>TEXT(B4459,"yyyy-mm")</f>
        <v/>
      </c>
      <c r="Q4459">
        <f>IF(O4459&gt;=3000,"Large","Small")</f>
        <v/>
      </c>
      <c r="R4459">
        <f>INDEX(Products!$F$2:$F$49,MATCH(J4459,Products!$A$2:$A$49,0))</f>
        <v/>
      </c>
      <c r="S4459">
        <f>WEEKDAY(B4459,2)</f>
        <v/>
      </c>
    </row>
    <row r="4460">
      <c r="A4460" t="n">
        <v>511839</v>
      </c>
      <c r="B4460" s="6" t="n">
        <v>46021</v>
      </c>
      <c r="C4460" t="n">
        <v>17968</v>
      </c>
      <c r="D4460" t="inlineStr">
        <is>
          <t>Mumbai</t>
        </is>
      </c>
      <c r="E4460" t="inlineStr">
        <is>
          <t>West</t>
        </is>
      </c>
      <c r="F4460" t="inlineStr">
        <is>
          <t>Paid Social</t>
        </is>
      </c>
      <c r="G4460" t="inlineStr">
        <is>
          <t>Mobile App</t>
        </is>
      </c>
      <c r="H4460" t="inlineStr">
        <is>
          <t>Debit Card</t>
        </is>
      </c>
      <c r="I4460" t="inlineStr">
        <is>
          <t>Shipped</t>
        </is>
      </c>
      <c r="J4460" t="n">
        <v>122</v>
      </c>
      <c r="K4460" t="n">
        <v>2</v>
      </c>
      <c r="L4460" t="n">
        <v>1994</v>
      </c>
      <c r="M4460" t="n">
        <v>0</v>
      </c>
      <c r="N4460">
        <f>VLOOKUP(J4460,Products!$A$2:$C$49,3,FALSE)</f>
        <v/>
      </c>
      <c r="O4460">
        <f>K4460*L4460-M4460</f>
        <v/>
      </c>
      <c r="P4460">
        <f>TEXT(B4460,"yyyy-mm")</f>
        <v/>
      </c>
      <c r="Q4460">
        <f>IF(O4460&gt;=3000,"Large","Small")</f>
        <v/>
      </c>
      <c r="R4460">
        <f>INDEX(Products!$F$2:$F$49,MATCH(J4460,Products!$A$2:$A$49,0))</f>
        <v/>
      </c>
      <c r="S4460">
        <f>WEEKDAY(B4460,2)</f>
        <v/>
      </c>
    </row>
    <row r="4461">
      <c r="A4461" t="n">
        <v>511840</v>
      </c>
      <c r="B4461" s="6" t="n">
        <v>46021</v>
      </c>
      <c r="C4461" t="n">
        <v>17366</v>
      </c>
      <c r="D4461" t="inlineStr">
        <is>
          <t>Delhi</t>
        </is>
      </c>
      <c r="E4461" t="inlineStr">
        <is>
          <t>North</t>
        </is>
      </c>
      <c r="F4461" t="inlineStr">
        <is>
          <t>Paid Search</t>
        </is>
      </c>
      <c r="G4461" t="inlineStr">
        <is>
          <t>Mobile Web</t>
        </is>
      </c>
      <c r="H4461" t="inlineStr">
        <is>
          <t>UPI</t>
        </is>
      </c>
      <c r="I4461" t="inlineStr">
        <is>
          <t>Shipped</t>
        </is>
      </c>
      <c r="J4461" t="n">
        <v>135</v>
      </c>
      <c r="K4461" t="n">
        <v>1</v>
      </c>
      <c r="L4461" t="n">
        <v>1574</v>
      </c>
      <c r="M4461" t="n">
        <v>0</v>
      </c>
      <c r="N4461">
        <f>VLOOKUP(J4461,Products!$A$2:$C$49,3,FALSE)</f>
        <v/>
      </c>
      <c r="O4461">
        <f>K4461*L4461-M4461</f>
        <v/>
      </c>
      <c r="P4461">
        <f>TEXT(B4461,"yyyy-mm")</f>
        <v/>
      </c>
      <c r="Q4461">
        <f>IF(O4461&gt;=3000,"Large","Small")</f>
        <v/>
      </c>
      <c r="R4461">
        <f>INDEX(Products!$F$2:$F$49,MATCH(J4461,Products!$A$2:$A$49,0))</f>
        <v/>
      </c>
      <c r="S4461">
        <f>WEEKDAY(B4461,2)</f>
        <v/>
      </c>
    </row>
    <row r="4462">
      <c r="A4462" t="n">
        <v>511840</v>
      </c>
      <c r="B4462" s="6" t="n">
        <v>46021</v>
      </c>
      <c r="C4462" t="n">
        <v>17366</v>
      </c>
      <c r="D4462" t="inlineStr">
        <is>
          <t>Delhi</t>
        </is>
      </c>
      <c r="E4462" t="inlineStr">
        <is>
          <t>North</t>
        </is>
      </c>
      <c r="F4462" t="inlineStr">
        <is>
          <t>Paid Search</t>
        </is>
      </c>
      <c r="G4462" t="inlineStr">
        <is>
          <t>Mobile Web</t>
        </is>
      </c>
      <c r="H4462" t="inlineStr">
        <is>
          <t>UPI</t>
        </is>
      </c>
      <c r="I4462" t="inlineStr">
        <is>
          <t>Shipped</t>
        </is>
      </c>
      <c r="J4462" t="n">
        <v>112</v>
      </c>
      <c r="K4462" t="n">
        <v>1</v>
      </c>
      <c r="L4462" t="n">
        <v>1574</v>
      </c>
      <c r="M4462" t="n">
        <v>0</v>
      </c>
      <c r="N4462">
        <f>VLOOKUP(J4462,Products!$A$2:$C$49,3,FALSE)</f>
        <v/>
      </c>
      <c r="O4462">
        <f>K4462*L4462-M4462</f>
        <v/>
      </c>
      <c r="P4462">
        <f>TEXT(B4462,"yyyy-mm")</f>
        <v/>
      </c>
      <c r="Q4462">
        <f>IF(O4462&gt;=3000,"Large","Small")</f>
        <v/>
      </c>
      <c r="R4462">
        <f>INDEX(Products!$F$2:$F$49,MATCH(J4462,Products!$A$2:$A$49,0))</f>
        <v/>
      </c>
      <c r="S4462">
        <f>WEEKDAY(B4462,2)</f>
        <v/>
      </c>
    </row>
    <row r="4463">
      <c r="A4463" t="n">
        <v>511840</v>
      </c>
      <c r="B4463" s="6" t="n">
        <v>46021</v>
      </c>
      <c r="C4463" t="n">
        <v>17366</v>
      </c>
      <c r="D4463" t="inlineStr">
        <is>
          <t>Delhi</t>
        </is>
      </c>
      <c r="E4463" t="inlineStr">
        <is>
          <t>North</t>
        </is>
      </c>
      <c r="F4463" t="inlineStr">
        <is>
          <t>Paid Search</t>
        </is>
      </c>
      <c r="G4463" t="inlineStr">
        <is>
          <t>Mobile Web</t>
        </is>
      </c>
      <c r="H4463" t="inlineStr">
        <is>
          <t>UPI</t>
        </is>
      </c>
      <c r="I4463" t="inlineStr">
        <is>
          <t>Shipped</t>
        </is>
      </c>
      <c r="J4463" t="n">
        <v>105</v>
      </c>
      <c r="K4463" t="n">
        <v>1</v>
      </c>
      <c r="L4463" t="n">
        <v>2414</v>
      </c>
      <c r="M4463" t="n">
        <v>0</v>
      </c>
      <c r="N4463">
        <f>VLOOKUP(J4463,Products!$A$2:$C$49,3,FALSE)</f>
        <v/>
      </c>
      <c r="O4463">
        <f>K4463*L4463-M4463</f>
        <v/>
      </c>
      <c r="P4463">
        <f>TEXT(B4463,"yyyy-mm")</f>
        <v/>
      </c>
      <c r="Q4463">
        <f>IF(O4463&gt;=3000,"Large","Small")</f>
        <v/>
      </c>
      <c r="R4463">
        <f>INDEX(Products!$F$2:$F$49,MATCH(J4463,Products!$A$2:$A$49,0))</f>
        <v/>
      </c>
      <c r="S4463">
        <f>WEEKDAY(B4463,2)</f>
        <v/>
      </c>
    </row>
    <row r="4464">
      <c r="A4464" t="n">
        <v>511841</v>
      </c>
      <c r="B4464" s="6" t="n">
        <v>46021</v>
      </c>
      <c r="C4464" t="n">
        <v>15029</v>
      </c>
      <c r="D4464" t="inlineStr">
        <is>
          <t>Noida</t>
        </is>
      </c>
      <c r="E4464" t="inlineStr">
        <is>
          <t>North</t>
        </is>
      </c>
      <c r="F4464" t="inlineStr">
        <is>
          <t>Organic Search</t>
        </is>
      </c>
      <c r="G4464" t="inlineStr">
        <is>
          <t>Mobile Web</t>
        </is>
      </c>
      <c r="H4464" t="inlineStr">
        <is>
          <t>Credit Card</t>
        </is>
      </c>
      <c r="I4464" t="inlineStr">
        <is>
          <t>Shipped</t>
        </is>
      </c>
      <c r="J4464" t="n">
        <v>113</v>
      </c>
      <c r="K4464" t="n">
        <v>2</v>
      </c>
      <c r="L4464" t="n">
        <v>1364</v>
      </c>
      <c r="M4464" t="n">
        <v>0</v>
      </c>
      <c r="N4464">
        <f>VLOOKUP(J4464,Products!$A$2:$C$49,3,FALSE)</f>
        <v/>
      </c>
      <c r="O4464">
        <f>K4464*L4464-M4464</f>
        <v/>
      </c>
      <c r="P4464">
        <f>TEXT(B4464,"yyyy-mm")</f>
        <v/>
      </c>
      <c r="Q4464">
        <f>IF(O4464&gt;=3000,"Large","Small")</f>
        <v/>
      </c>
      <c r="R4464">
        <f>INDEX(Products!$F$2:$F$49,MATCH(J4464,Products!$A$2:$A$49,0))</f>
        <v/>
      </c>
      <c r="S4464">
        <f>WEEKDAY(B4464,2)</f>
        <v/>
      </c>
    </row>
    <row r="4465">
      <c r="A4465" t="n">
        <v>511841</v>
      </c>
      <c r="B4465" s="6" t="n">
        <v>46021</v>
      </c>
      <c r="C4465" t="n">
        <v>15029</v>
      </c>
      <c r="D4465" t="inlineStr">
        <is>
          <t>Noida</t>
        </is>
      </c>
      <c r="E4465" t="inlineStr">
        <is>
          <t>North</t>
        </is>
      </c>
      <c r="F4465" t="inlineStr">
        <is>
          <t>Organic Search</t>
        </is>
      </c>
      <c r="G4465" t="inlineStr">
        <is>
          <t>Mobile Web</t>
        </is>
      </c>
      <c r="H4465" t="inlineStr">
        <is>
          <t>Credit Card</t>
        </is>
      </c>
      <c r="I4465" t="inlineStr">
        <is>
          <t>Shipped</t>
        </is>
      </c>
      <c r="J4465" t="n">
        <v>111</v>
      </c>
      <c r="K4465" t="n">
        <v>1</v>
      </c>
      <c r="L4465" t="n">
        <v>524</v>
      </c>
      <c r="M4465" t="n">
        <v>0</v>
      </c>
      <c r="N4465">
        <f>VLOOKUP(J4465,Products!$A$2:$C$49,3,FALSE)</f>
        <v/>
      </c>
      <c r="O4465">
        <f>K4465*L4465-M4465</f>
        <v/>
      </c>
      <c r="P4465">
        <f>TEXT(B4465,"yyyy-mm")</f>
        <v/>
      </c>
      <c r="Q4465">
        <f>IF(O4465&gt;=3000,"Large","Small")</f>
        <v/>
      </c>
      <c r="R4465">
        <f>INDEX(Products!$F$2:$F$49,MATCH(J4465,Products!$A$2:$A$49,0))</f>
        <v/>
      </c>
      <c r="S4465">
        <f>WEEKDAY(B4465,2)</f>
        <v/>
      </c>
    </row>
    <row r="4466">
      <c r="A4466" t="n">
        <v>511842</v>
      </c>
      <c r="B4466" s="6" t="n">
        <v>46021</v>
      </c>
      <c r="C4466" t="n">
        <v>17762</v>
      </c>
      <c r="D4466" t="inlineStr">
        <is>
          <t>Chennai</t>
        </is>
      </c>
      <c r="E4466" t="inlineStr">
        <is>
          <t>South</t>
        </is>
      </c>
      <c r="F4466" t="inlineStr">
        <is>
          <t>Organic Search</t>
        </is>
      </c>
      <c r="G4466" t="inlineStr">
        <is>
          <t>Desktop</t>
        </is>
      </c>
      <c r="H4466" t="inlineStr">
        <is>
          <t>Credit Card</t>
        </is>
      </c>
      <c r="I4466" t="inlineStr">
        <is>
          <t>Shipped</t>
        </is>
      </c>
      <c r="J4466" t="n">
        <v>101</v>
      </c>
      <c r="K4466" t="n">
        <v>1</v>
      </c>
      <c r="L4466" t="n">
        <v>2099</v>
      </c>
      <c r="M4466" t="n">
        <v>0</v>
      </c>
      <c r="N4466">
        <f>VLOOKUP(J4466,Products!$A$2:$C$49,3,FALSE)</f>
        <v/>
      </c>
      <c r="O4466">
        <f>K4466*L4466-M4466</f>
        <v/>
      </c>
      <c r="P4466">
        <f>TEXT(B4466,"yyyy-mm")</f>
        <v/>
      </c>
      <c r="Q4466">
        <f>IF(O4466&gt;=3000,"Large","Small")</f>
        <v/>
      </c>
      <c r="R4466">
        <f>INDEX(Products!$F$2:$F$49,MATCH(J4466,Products!$A$2:$A$49,0))</f>
        <v/>
      </c>
      <c r="S4466">
        <f>WEEKDAY(B4466,2)</f>
        <v/>
      </c>
    </row>
    <row r="4467">
      <c r="A4467" t="n">
        <v>511843</v>
      </c>
      <c r="B4467" s="6" t="n">
        <v>46021</v>
      </c>
      <c r="C4467" t="n">
        <v>13786</v>
      </c>
      <c r="D4467" t="inlineStr">
        <is>
          <t>Mumbai</t>
        </is>
      </c>
      <c r="E4467" t="inlineStr">
        <is>
          <t>West</t>
        </is>
      </c>
      <c r="F4467" t="inlineStr">
        <is>
          <t>Paid Social</t>
        </is>
      </c>
      <c r="G4467" t="inlineStr">
        <is>
          <t>Mobile App</t>
        </is>
      </c>
      <c r="H4467" t="inlineStr">
        <is>
          <t>Cash on Delivery</t>
        </is>
      </c>
      <c r="I4467" t="inlineStr">
        <is>
          <t>Shipped</t>
        </is>
      </c>
      <c r="J4467" t="n">
        <v>116</v>
      </c>
      <c r="K4467" t="n">
        <v>1</v>
      </c>
      <c r="L4467" t="n">
        <v>2624</v>
      </c>
      <c r="M4467" t="n">
        <v>0</v>
      </c>
      <c r="N4467">
        <f>VLOOKUP(J4467,Products!$A$2:$C$49,3,FALSE)</f>
        <v/>
      </c>
      <c r="O4467">
        <f>K4467*L4467-M4467</f>
        <v/>
      </c>
      <c r="P4467">
        <f>TEXT(B4467,"yyyy-mm")</f>
        <v/>
      </c>
      <c r="Q4467">
        <f>IF(O4467&gt;=3000,"Large","Small")</f>
        <v/>
      </c>
      <c r="R4467">
        <f>INDEX(Products!$F$2:$F$49,MATCH(J4467,Products!$A$2:$A$49,0))</f>
        <v/>
      </c>
      <c r="S4467">
        <f>WEEKDAY(B4467,2)</f>
        <v/>
      </c>
    </row>
    <row r="4468">
      <c r="A4468" t="n">
        <v>511844</v>
      </c>
      <c r="B4468" s="6" t="n">
        <v>46021</v>
      </c>
      <c r="C4468" t="n">
        <v>16822</v>
      </c>
      <c r="D4468" t="inlineStr">
        <is>
          <t>Jaipur</t>
        </is>
      </c>
      <c r="E4468" t="inlineStr">
        <is>
          <t>North</t>
        </is>
      </c>
      <c r="F4468" t="inlineStr">
        <is>
          <t>Email</t>
        </is>
      </c>
      <c r="G4468" t="inlineStr">
        <is>
          <t>Mobile App</t>
        </is>
      </c>
      <c r="H4468" t="inlineStr">
        <is>
          <t>Credit Card</t>
        </is>
      </c>
      <c r="I4468" t="inlineStr">
        <is>
          <t>Shipped</t>
        </is>
      </c>
      <c r="J4468" t="n">
        <v>115</v>
      </c>
      <c r="K4468" t="n">
        <v>1</v>
      </c>
      <c r="L4468" t="n">
        <v>4199</v>
      </c>
      <c r="M4468" t="n">
        <v>0</v>
      </c>
      <c r="N4468">
        <f>VLOOKUP(J4468,Products!$A$2:$C$49,3,FALSE)</f>
        <v/>
      </c>
      <c r="O4468">
        <f>K4468*L4468-M4468</f>
        <v/>
      </c>
      <c r="P4468">
        <f>TEXT(B4468,"yyyy-mm")</f>
        <v/>
      </c>
      <c r="Q4468">
        <f>IF(O4468&gt;=3000,"Large","Small")</f>
        <v/>
      </c>
      <c r="R4468">
        <f>INDEX(Products!$F$2:$F$49,MATCH(J4468,Products!$A$2:$A$49,0))</f>
        <v/>
      </c>
      <c r="S4468">
        <f>WEEKDAY(B4468,2)</f>
        <v/>
      </c>
    </row>
    <row r="4469">
      <c r="A4469" t="n">
        <v>511844</v>
      </c>
      <c r="B4469" s="6" t="n">
        <v>46021</v>
      </c>
      <c r="C4469" t="n">
        <v>16822</v>
      </c>
      <c r="D4469" t="inlineStr">
        <is>
          <t>Jaipur</t>
        </is>
      </c>
      <c r="E4469" t="inlineStr">
        <is>
          <t>North</t>
        </is>
      </c>
      <c r="F4469" t="inlineStr">
        <is>
          <t>Email</t>
        </is>
      </c>
      <c r="G4469" t="inlineStr">
        <is>
          <t>Mobile App</t>
        </is>
      </c>
      <c r="H4469" t="inlineStr">
        <is>
          <t>Credit Card</t>
        </is>
      </c>
      <c r="I4469" t="inlineStr">
        <is>
          <t>Shipped</t>
        </is>
      </c>
      <c r="J4469" t="n">
        <v>112</v>
      </c>
      <c r="K4469" t="n">
        <v>1</v>
      </c>
      <c r="L4469" t="n">
        <v>1574</v>
      </c>
      <c r="M4469" t="n">
        <v>0</v>
      </c>
      <c r="N4469">
        <f>VLOOKUP(J4469,Products!$A$2:$C$49,3,FALSE)</f>
        <v/>
      </c>
      <c r="O4469">
        <f>K4469*L4469-M4469</f>
        <v/>
      </c>
      <c r="P4469">
        <f>TEXT(B4469,"yyyy-mm")</f>
        <v/>
      </c>
      <c r="Q4469">
        <f>IF(O4469&gt;=3000,"Large","Small")</f>
        <v/>
      </c>
      <c r="R4469">
        <f>INDEX(Products!$F$2:$F$49,MATCH(J4469,Products!$A$2:$A$49,0))</f>
        <v/>
      </c>
      <c r="S4469">
        <f>WEEKDAY(B4469,2)</f>
        <v/>
      </c>
    </row>
    <row r="4470">
      <c r="A4470" t="n">
        <v>511845</v>
      </c>
      <c r="B4470" s="6" t="n">
        <v>46021</v>
      </c>
      <c r="C4470" t="n">
        <v>16708</v>
      </c>
      <c r="D4470" t="inlineStr">
        <is>
          <t>Delhi</t>
        </is>
      </c>
      <c r="E4470" t="inlineStr">
        <is>
          <t>North</t>
        </is>
      </c>
      <c r="F4470" t="inlineStr">
        <is>
          <t>Organic Search</t>
        </is>
      </c>
      <c r="G4470" t="inlineStr">
        <is>
          <t>Mobile Web</t>
        </is>
      </c>
      <c r="H4470" t="inlineStr">
        <is>
          <t>UPI</t>
        </is>
      </c>
      <c r="I4470" t="inlineStr">
        <is>
          <t>Shipped</t>
        </is>
      </c>
      <c r="J4470" t="n">
        <v>114</v>
      </c>
      <c r="K4470" t="n">
        <v>1</v>
      </c>
      <c r="L4470" t="n">
        <v>1259</v>
      </c>
      <c r="M4470" t="n">
        <v>0</v>
      </c>
      <c r="N4470">
        <f>VLOOKUP(J4470,Products!$A$2:$C$49,3,FALSE)</f>
        <v/>
      </c>
      <c r="O4470">
        <f>K4470*L4470-M4470</f>
        <v/>
      </c>
      <c r="P4470">
        <f>TEXT(B4470,"yyyy-mm")</f>
        <v/>
      </c>
      <c r="Q4470">
        <f>IF(O4470&gt;=3000,"Large","Small")</f>
        <v/>
      </c>
      <c r="R4470">
        <f>INDEX(Products!$F$2:$F$49,MATCH(J4470,Products!$A$2:$A$49,0))</f>
        <v/>
      </c>
      <c r="S4470">
        <f>WEEKDAY(B4470,2)</f>
        <v/>
      </c>
    </row>
    <row r="4471">
      <c r="A4471" t="n">
        <v>511845</v>
      </c>
      <c r="B4471" s="6" t="n">
        <v>46021</v>
      </c>
      <c r="C4471" t="n">
        <v>16708</v>
      </c>
      <c r="D4471" t="inlineStr">
        <is>
          <t>Delhi</t>
        </is>
      </c>
      <c r="E4471" t="inlineStr">
        <is>
          <t>North</t>
        </is>
      </c>
      <c r="F4471" t="inlineStr">
        <is>
          <t>Organic Search</t>
        </is>
      </c>
      <c r="G4471" t="inlineStr">
        <is>
          <t>Mobile Web</t>
        </is>
      </c>
      <c r="H4471" t="inlineStr">
        <is>
          <t>UPI</t>
        </is>
      </c>
      <c r="I4471" t="inlineStr">
        <is>
          <t>Shipped</t>
        </is>
      </c>
      <c r="J4471" t="n">
        <v>127</v>
      </c>
      <c r="K4471" t="n">
        <v>1</v>
      </c>
      <c r="L4471" t="n">
        <v>681</v>
      </c>
      <c r="M4471" t="n">
        <v>0</v>
      </c>
      <c r="N4471">
        <f>VLOOKUP(J4471,Products!$A$2:$C$49,3,FALSE)</f>
        <v/>
      </c>
      <c r="O4471">
        <f>K4471*L4471-M4471</f>
        <v/>
      </c>
      <c r="P4471">
        <f>TEXT(B4471,"yyyy-mm")</f>
        <v/>
      </c>
      <c r="Q4471">
        <f>IF(O4471&gt;=3000,"Large","Small")</f>
        <v/>
      </c>
      <c r="R4471">
        <f>INDEX(Products!$F$2:$F$49,MATCH(J4471,Products!$A$2:$A$49,0))</f>
        <v/>
      </c>
      <c r="S4471">
        <f>WEEKDAY(B4471,2)</f>
        <v/>
      </c>
    </row>
    <row r="4472">
      <c r="A4472" t="n">
        <v>511846</v>
      </c>
      <c r="B4472" s="6" t="n">
        <v>46021</v>
      </c>
      <c r="C4472" t="n">
        <v>15401</v>
      </c>
      <c r="D4472" t="inlineStr">
        <is>
          <t>Mumbai</t>
        </is>
      </c>
      <c r="E4472" t="inlineStr">
        <is>
          <t>West</t>
        </is>
      </c>
      <c r="F4472" t="inlineStr">
        <is>
          <t>Paid Search</t>
        </is>
      </c>
      <c r="G4472" t="inlineStr">
        <is>
          <t>Mobile App</t>
        </is>
      </c>
      <c r="H4472" t="inlineStr">
        <is>
          <t>UPI</t>
        </is>
      </c>
      <c r="I4472" t="inlineStr">
        <is>
          <t>Shipped</t>
        </is>
      </c>
      <c r="J4472" t="n">
        <v>111</v>
      </c>
      <c r="K4472" t="n">
        <v>1</v>
      </c>
      <c r="L4472" t="n">
        <v>524</v>
      </c>
      <c r="M4472" t="n">
        <v>0</v>
      </c>
      <c r="N4472">
        <f>VLOOKUP(J4472,Products!$A$2:$C$49,3,FALSE)</f>
        <v/>
      </c>
      <c r="O4472">
        <f>K4472*L4472-M4472</f>
        <v/>
      </c>
      <c r="P4472">
        <f>TEXT(B4472,"yyyy-mm")</f>
        <v/>
      </c>
      <c r="Q4472">
        <f>IF(O4472&gt;=3000,"Large","Small")</f>
        <v/>
      </c>
      <c r="R4472">
        <f>INDEX(Products!$F$2:$F$49,MATCH(J4472,Products!$A$2:$A$49,0))</f>
        <v/>
      </c>
      <c r="S4472">
        <f>WEEKDAY(B4472,2)</f>
        <v/>
      </c>
    </row>
    <row r="4473">
      <c r="A4473" t="n">
        <v>511847</v>
      </c>
      <c r="B4473" s="6" t="n">
        <v>46021</v>
      </c>
      <c r="C4473" t="n">
        <v>17852</v>
      </c>
      <c r="D4473" t="inlineStr">
        <is>
          <t>Kolkata</t>
        </is>
      </c>
      <c r="E4473" t="inlineStr">
        <is>
          <t>East</t>
        </is>
      </c>
      <c r="F4473" t="inlineStr">
        <is>
          <t>Organic Search</t>
        </is>
      </c>
      <c r="G4473" t="inlineStr">
        <is>
          <t>Mobile App</t>
        </is>
      </c>
      <c r="H4473" t="inlineStr">
        <is>
          <t>Cash on Delivery</t>
        </is>
      </c>
      <c r="I4473" t="inlineStr">
        <is>
          <t>Cancelled</t>
        </is>
      </c>
      <c r="J4473" t="n">
        <v>136</v>
      </c>
      <c r="K4473" t="n">
        <v>1</v>
      </c>
      <c r="L4473" t="n">
        <v>944</v>
      </c>
      <c r="M4473" t="n">
        <v>0</v>
      </c>
      <c r="N4473">
        <f>VLOOKUP(J4473,Products!$A$2:$C$49,3,FALSE)</f>
        <v/>
      </c>
      <c r="O4473">
        <f>K4473*L4473-M4473</f>
        <v/>
      </c>
      <c r="P4473">
        <f>TEXT(B4473,"yyyy-mm")</f>
        <v/>
      </c>
      <c r="Q4473">
        <f>IF(O4473&gt;=3000,"Large","Small")</f>
        <v/>
      </c>
      <c r="R4473">
        <f>INDEX(Products!$F$2:$F$49,MATCH(J4473,Products!$A$2:$A$49,0))</f>
        <v/>
      </c>
      <c r="S4473">
        <f>WEEKDAY(B4473,2)</f>
        <v/>
      </c>
    </row>
    <row r="4474">
      <c r="A4474" t="n">
        <v>511847</v>
      </c>
      <c r="B4474" s="6" t="n">
        <v>46021</v>
      </c>
      <c r="C4474" t="n">
        <v>17852</v>
      </c>
      <c r="D4474" t="inlineStr">
        <is>
          <t>Kolkata</t>
        </is>
      </c>
      <c r="E4474" t="inlineStr">
        <is>
          <t>East</t>
        </is>
      </c>
      <c r="F4474" t="inlineStr">
        <is>
          <t>Organic Search</t>
        </is>
      </c>
      <c r="G4474" t="inlineStr">
        <is>
          <t>Mobile App</t>
        </is>
      </c>
      <c r="H4474" t="inlineStr">
        <is>
          <t>Cash on Delivery</t>
        </is>
      </c>
      <c r="I4474" t="inlineStr">
        <is>
          <t>Cancelled</t>
        </is>
      </c>
      <c r="J4474" t="n">
        <v>124</v>
      </c>
      <c r="K4474" t="n">
        <v>1</v>
      </c>
      <c r="L4474" t="n">
        <v>1154</v>
      </c>
      <c r="M4474" t="n">
        <v>0</v>
      </c>
      <c r="N4474">
        <f>VLOOKUP(J4474,Products!$A$2:$C$49,3,FALSE)</f>
        <v/>
      </c>
      <c r="O4474">
        <f>K4474*L4474-M4474</f>
        <v/>
      </c>
      <c r="P4474">
        <f>TEXT(B4474,"yyyy-mm")</f>
        <v/>
      </c>
      <c r="Q4474">
        <f>IF(O4474&gt;=3000,"Large","Small")</f>
        <v/>
      </c>
      <c r="R4474">
        <f>INDEX(Products!$F$2:$F$49,MATCH(J4474,Products!$A$2:$A$49,0))</f>
        <v/>
      </c>
      <c r="S4474">
        <f>WEEKDAY(B4474,2)</f>
        <v/>
      </c>
    </row>
    <row r="4475">
      <c r="A4475" t="n">
        <v>511847</v>
      </c>
      <c r="B4475" s="6" t="n">
        <v>46021</v>
      </c>
      <c r="C4475" t="n">
        <v>17852</v>
      </c>
      <c r="D4475" t="inlineStr">
        <is>
          <t>Kolkata</t>
        </is>
      </c>
      <c r="E4475" t="inlineStr">
        <is>
          <t>East</t>
        </is>
      </c>
      <c r="F4475" t="inlineStr">
        <is>
          <t>Organic Search</t>
        </is>
      </c>
      <c r="G4475" t="inlineStr">
        <is>
          <t>Mobile App</t>
        </is>
      </c>
      <c r="H4475" t="inlineStr">
        <is>
          <t>Cash on Delivery</t>
        </is>
      </c>
      <c r="I4475" t="inlineStr">
        <is>
          <t>Cancelled</t>
        </is>
      </c>
      <c r="J4475" t="n">
        <v>133</v>
      </c>
      <c r="K4475" t="n">
        <v>1</v>
      </c>
      <c r="L4475" t="n">
        <v>419</v>
      </c>
      <c r="M4475" t="n">
        <v>0</v>
      </c>
      <c r="N4475">
        <f>VLOOKUP(J4475,Products!$A$2:$C$49,3,FALSE)</f>
        <v/>
      </c>
      <c r="O4475">
        <f>K4475*L4475-M4475</f>
        <v/>
      </c>
      <c r="P4475">
        <f>TEXT(B4475,"yyyy-mm")</f>
        <v/>
      </c>
      <c r="Q4475">
        <f>IF(O4475&gt;=3000,"Large","Small")</f>
        <v/>
      </c>
      <c r="R4475">
        <f>INDEX(Products!$F$2:$F$49,MATCH(J4475,Products!$A$2:$A$49,0))</f>
        <v/>
      </c>
      <c r="S4475">
        <f>WEEKDAY(B4475,2)</f>
        <v/>
      </c>
    </row>
    <row r="4476">
      <c r="A4476" t="n">
        <v>511848</v>
      </c>
      <c r="B4476" s="6" t="n">
        <v>46021</v>
      </c>
      <c r="C4476" t="n">
        <v>17768</v>
      </c>
      <c r="D4476" t="inlineStr">
        <is>
          <t>Delhi</t>
        </is>
      </c>
      <c r="E4476" t="inlineStr">
        <is>
          <t>North</t>
        </is>
      </c>
      <c r="F4476" t="inlineStr">
        <is>
          <t>Organic Search</t>
        </is>
      </c>
      <c r="G4476" t="inlineStr">
        <is>
          <t>Mobile Web</t>
        </is>
      </c>
      <c r="H4476" t="inlineStr">
        <is>
          <t>Cash on Delivery</t>
        </is>
      </c>
      <c r="I4476" t="inlineStr">
        <is>
          <t>Shipped</t>
        </is>
      </c>
      <c r="J4476" t="n">
        <v>117</v>
      </c>
      <c r="K4476" t="n">
        <v>1</v>
      </c>
      <c r="L4476" t="n">
        <v>3149</v>
      </c>
      <c r="M4476" t="n">
        <v>0</v>
      </c>
      <c r="N4476">
        <f>VLOOKUP(J4476,Products!$A$2:$C$49,3,FALSE)</f>
        <v/>
      </c>
      <c r="O4476">
        <f>K4476*L4476-M4476</f>
        <v/>
      </c>
      <c r="P4476">
        <f>TEXT(B4476,"yyyy-mm")</f>
        <v/>
      </c>
      <c r="Q4476">
        <f>IF(O4476&gt;=3000,"Large","Small")</f>
        <v/>
      </c>
      <c r="R4476">
        <f>INDEX(Products!$F$2:$F$49,MATCH(J4476,Products!$A$2:$A$49,0))</f>
        <v/>
      </c>
      <c r="S4476">
        <f>WEEKDAY(B4476,2)</f>
        <v/>
      </c>
    </row>
    <row r="4477">
      <c r="A4477" t="n">
        <v>511849</v>
      </c>
      <c r="B4477" s="6" t="n">
        <v>46021</v>
      </c>
      <c r="C4477" t="n">
        <v>16660</v>
      </c>
      <c r="D4477" t="inlineStr">
        <is>
          <t>Pune</t>
        </is>
      </c>
      <c r="E4477" t="inlineStr">
        <is>
          <t>West</t>
        </is>
      </c>
      <c r="F4477" t="inlineStr">
        <is>
          <t>Paid Search</t>
        </is>
      </c>
      <c r="G4477" t="inlineStr">
        <is>
          <t>Mobile App</t>
        </is>
      </c>
      <c r="H4477" t="inlineStr">
        <is>
          <t>UPI</t>
        </is>
      </c>
      <c r="I4477" t="inlineStr">
        <is>
          <t>Shipped</t>
        </is>
      </c>
      <c r="J4477" t="n">
        <v>110</v>
      </c>
      <c r="K4477" t="n">
        <v>1</v>
      </c>
      <c r="L4477" t="n">
        <v>839</v>
      </c>
      <c r="M4477" t="n">
        <v>0</v>
      </c>
      <c r="N4477">
        <f>VLOOKUP(J4477,Products!$A$2:$C$49,3,FALSE)</f>
        <v/>
      </c>
      <c r="O4477">
        <f>K4477*L4477-M4477</f>
        <v/>
      </c>
      <c r="P4477">
        <f>TEXT(B4477,"yyyy-mm")</f>
        <v/>
      </c>
      <c r="Q4477">
        <f>IF(O4477&gt;=3000,"Large","Small")</f>
        <v/>
      </c>
      <c r="R4477">
        <f>INDEX(Products!$F$2:$F$49,MATCH(J4477,Products!$A$2:$A$49,0))</f>
        <v/>
      </c>
      <c r="S4477">
        <f>WEEKDAY(B4477,2)</f>
        <v/>
      </c>
    </row>
    <row r="4478">
      <c r="A4478" t="n">
        <v>511849</v>
      </c>
      <c r="B4478" s="6" t="n">
        <v>46021</v>
      </c>
      <c r="C4478" t="n">
        <v>16660</v>
      </c>
      <c r="D4478" t="inlineStr">
        <is>
          <t>Pune</t>
        </is>
      </c>
      <c r="E4478" t="inlineStr">
        <is>
          <t>West</t>
        </is>
      </c>
      <c r="F4478" t="inlineStr">
        <is>
          <t>Paid Search</t>
        </is>
      </c>
      <c r="G4478" t="inlineStr">
        <is>
          <t>Mobile App</t>
        </is>
      </c>
      <c r="H4478" t="inlineStr">
        <is>
          <t>UPI</t>
        </is>
      </c>
      <c r="I4478" t="inlineStr">
        <is>
          <t>Shipped</t>
        </is>
      </c>
      <c r="J4478" t="n">
        <v>106</v>
      </c>
      <c r="K4478" t="n">
        <v>1</v>
      </c>
      <c r="L4478" t="n">
        <v>1574</v>
      </c>
      <c r="M4478" t="n">
        <v>0</v>
      </c>
      <c r="N4478">
        <f>VLOOKUP(J4478,Products!$A$2:$C$49,3,FALSE)</f>
        <v/>
      </c>
      <c r="O4478">
        <f>K4478*L4478-M4478</f>
        <v/>
      </c>
      <c r="P4478">
        <f>TEXT(B4478,"yyyy-mm")</f>
        <v/>
      </c>
      <c r="Q4478">
        <f>IF(O4478&gt;=3000,"Large","Small")</f>
        <v/>
      </c>
      <c r="R4478">
        <f>INDEX(Products!$F$2:$F$49,MATCH(J4478,Products!$A$2:$A$49,0))</f>
        <v/>
      </c>
      <c r="S4478">
        <f>WEEKDAY(B4478,2)</f>
        <v/>
      </c>
    </row>
    <row r="4479">
      <c r="A4479" t="n">
        <v>511850</v>
      </c>
      <c r="B4479" s="6" t="n">
        <v>46021</v>
      </c>
      <c r="C4479" t="n">
        <v>17357</v>
      </c>
      <c r="D4479" t="inlineStr">
        <is>
          <t>Delhi</t>
        </is>
      </c>
      <c r="E4479" t="inlineStr">
        <is>
          <t>North</t>
        </is>
      </c>
      <c r="F4479" t="inlineStr">
        <is>
          <t>Email</t>
        </is>
      </c>
      <c r="G4479" t="inlineStr">
        <is>
          <t>Mobile Web</t>
        </is>
      </c>
      <c r="H4479" t="inlineStr">
        <is>
          <t>UPI</t>
        </is>
      </c>
      <c r="I4479" t="inlineStr">
        <is>
          <t>Shipped</t>
        </is>
      </c>
      <c r="J4479" t="n">
        <v>115</v>
      </c>
      <c r="K4479" t="n">
        <v>1</v>
      </c>
      <c r="L4479" t="n">
        <v>4199</v>
      </c>
      <c r="M4479" t="n">
        <v>209.95</v>
      </c>
      <c r="N4479">
        <f>VLOOKUP(J4479,Products!$A$2:$C$49,3,FALSE)</f>
        <v/>
      </c>
      <c r="O4479">
        <f>K4479*L4479-M4479</f>
        <v/>
      </c>
      <c r="P4479">
        <f>TEXT(B4479,"yyyy-mm")</f>
        <v/>
      </c>
      <c r="Q4479">
        <f>IF(O4479&gt;=3000,"Large","Small")</f>
        <v/>
      </c>
      <c r="R4479">
        <f>INDEX(Products!$F$2:$F$49,MATCH(J4479,Products!$A$2:$A$49,0))</f>
        <v/>
      </c>
      <c r="S4479">
        <f>WEEKDAY(B4479,2)</f>
        <v/>
      </c>
    </row>
    <row r="4480">
      <c r="A4480" t="n">
        <v>511851</v>
      </c>
      <c r="B4480" s="6" t="n">
        <v>46021</v>
      </c>
      <c r="C4480" t="n">
        <v>16867</v>
      </c>
      <c r="D4480" t="inlineStr">
        <is>
          <t>Mumbai</t>
        </is>
      </c>
      <c r="E4480" t="inlineStr">
        <is>
          <t>West</t>
        </is>
      </c>
      <c r="F4480" t="inlineStr">
        <is>
          <t>Organic Search</t>
        </is>
      </c>
      <c r="G4480" t="inlineStr">
        <is>
          <t>Mobile App</t>
        </is>
      </c>
      <c r="H4480" t="inlineStr">
        <is>
          <t>Credit Card</t>
        </is>
      </c>
      <c r="I4480" t="inlineStr">
        <is>
          <t>Shipped</t>
        </is>
      </c>
      <c r="J4480" t="n">
        <v>129</v>
      </c>
      <c r="K4480" t="n">
        <v>1</v>
      </c>
      <c r="L4480" t="n">
        <v>576</v>
      </c>
      <c r="M4480" t="n">
        <v>28.8</v>
      </c>
      <c r="N4480">
        <f>VLOOKUP(J4480,Products!$A$2:$C$49,3,FALSE)</f>
        <v/>
      </c>
      <c r="O4480">
        <f>K4480*L4480-M4480</f>
        <v/>
      </c>
      <c r="P4480">
        <f>TEXT(B4480,"yyyy-mm")</f>
        <v/>
      </c>
      <c r="Q4480">
        <f>IF(O4480&gt;=3000,"Large","Small")</f>
        <v/>
      </c>
      <c r="R4480">
        <f>INDEX(Products!$F$2:$F$49,MATCH(J4480,Products!$A$2:$A$49,0))</f>
        <v/>
      </c>
      <c r="S4480">
        <f>WEEKDAY(B4480,2)</f>
        <v/>
      </c>
    </row>
    <row r="4481">
      <c r="A4481" t="n">
        <v>511852</v>
      </c>
      <c r="B4481" s="6" t="n">
        <v>46021</v>
      </c>
      <c r="C4481" t="n">
        <v>17927</v>
      </c>
      <c r="D4481" t="inlineStr">
        <is>
          <t>Kolkata</t>
        </is>
      </c>
      <c r="E4481" t="inlineStr">
        <is>
          <t>East</t>
        </is>
      </c>
      <c r="F4481" t="inlineStr">
        <is>
          <t>Email</t>
        </is>
      </c>
      <c r="G4481" t="inlineStr">
        <is>
          <t>Mobile App</t>
        </is>
      </c>
      <c r="H4481" t="inlineStr">
        <is>
          <t>Credit Card</t>
        </is>
      </c>
      <c r="I4481" t="inlineStr">
        <is>
          <t>Shipped</t>
        </is>
      </c>
      <c r="J4481" t="n">
        <v>108</v>
      </c>
      <c r="K4481" t="n">
        <v>1</v>
      </c>
      <c r="L4481" t="n">
        <v>419</v>
      </c>
      <c r="M4481" t="n">
        <v>62.85</v>
      </c>
      <c r="N4481">
        <f>VLOOKUP(J4481,Products!$A$2:$C$49,3,FALSE)</f>
        <v/>
      </c>
      <c r="O4481">
        <f>K4481*L4481-M4481</f>
        <v/>
      </c>
      <c r="P4481">
        <f>TEXT(B4481,"yyyy-mm")</f>
        <v/>
      </c>
      <c r="Q4481">
        <f>IF(O4481&gt;=3000,"Large","Small")</f>
        <v/>
      </c>
      <c r="R4481">
        <f>INDEX(Products!$F$2:$F$49,MATCH(J4481,Products!$A$2:$A$49,0))</f>
        <v/>
      </c>
      <c r="S4481">
        <f>WEEKDAY(B4481,2)</f>
        <v/>
      </c>
    </row>
    <row r="4482">
      <c r="A4482" t="n">
        <v>511852</v>
      </c>
      <c r="B4482" s="6" t="n">
        <v>46021</v>
      </c>
      <c r="C4482" t="n">
        <v>17927</v>
      </c>
      <c r="D4482" t="inlineStr">
        <is>
          <t>Kolkata</t>
        </is>
      </c>
      <c r="E4482" t="inlineStr">
        <is>
          <t>East</t>
        </is>
      </c>
      <c r="F4482" t="inlineStr">
        <is>
          <t>Email</t>
        </is>
      </c>
      <c r="G4482" t="inlineStr">
        <is>
          <t>Mobile App</t>
        </is>
      </c>
      <c r="H4482" t="inlineStr">
        <is>
          <t>Credit Card</t>
        </is>
      </c>
      <c r="I4482" t="inlineStr">
        <is>
          <t>Shipped</t>
        </is>
      </c>
      <c r="J4482" t="n">
        <v>144</v>
      </c>
      <c r="K4482" t="n">
        <v>1</v>
      </c>
      <c r="L4482" t="n">
        <v>3149</v>
      </c>
      <c r="M4482" t="n">
        <v>472.35</v>
      </c>
      <c r="N4482">
        <f>VLOOKUP(J4482,Products!$A$2:$C$49,3,FALSE)</f>
        <v/>
      </c>
      <c r="O4482">
        <f>K4482*L4482-M4482</f>
        <v/>
      </c>
      <c r="P4482">
        <f>TEXT(B4482,"yyyy-mm")</f>
        <v/>
      </c>
      <c r="Q4482">
        <f>IF(O4482&gt;=3000,"Large","Small")</f>
        <v/>
      </c>
      <c r="R4482">
        <f>INDEX(Products!$F$2:$F$49,MATCH(J4482,Products!$A$2:$A$49,0))</f>
        <v/>
      </c>
      <c r="S4482">
        <f>WEEKDAY(B4482,2)</f>
        <v/>
      </c>
    </row>
    <row r="4483">
      <c r="A4483" t="n">
        <v>511853</v>
      </c>
      <c r="B4483" s="6" t="n">
        <v>46021</v>
      </c>
      <c r="C4483" t="n">
        <v>17951</v>
      </c>
      <c r="D4483" t="inlineStr">
        <is>
          <t>Pune</t>
        </is>
      </c>
      <c r="E4483" t="inlineStr">
        <is>
          <t>West</t>
        </is>
      </c>
      <c r="F4483" t="inlineStr">
        <is>
          <t>Paid Social</t>
        </is>
      </c>
      <c r="G4483" t="inlineStr">
        <is>
          <t>Mobile App</t>
        </is>
      </c>
      <c r="H4483" t="inlineStr">
        <is>
          <t>UPI</t>
        </is>
      </c>
      <c r="I4483" t="inlineStr">
        <is>
          <t>Shipped</t>
        </is>
      </c>
      <c r="J4483" t="n">
        <v>103</v>
      </c>
      <c r="K4483" t="n">
        <v>1</v>
      </c>
      <c r="L4483" t="n">
        <v>2624</v>
      </c>
      <c r="M4483" t="n">
        <v>393.6</v>
      </c>
      <c r="N4483">
        <f>VLOOKUP(J4483,Products!$A$2:$C$49,3,FALSE)</f>
        <v/>
      </c>
      <c r="O4483">
        <f>K4483*L4483-M4483</f>
        <v/>
      </c>
      <c r="P4483">
        <f>TEXT(B4483,"yyyy-mm")</f>
        <v/>
      </c>
      <c r="Q4483">
        <f>IF(O4483&gt;=3000,"Large","Small")</f>
        <v/>
      </c>
      <c r="R4483">
        <f>INDEX(Products!$F$2:$F$49,MATCH(J4483,Products!$A$2:$A$49,0))</f>
        <v/>
      </c>
      <c r="S4483">
        <f>WEEKDAY(B4483,2)</f>
        <v/>
      </c>
    </row>
    <row r="4484">
      <c r="A4484" t="n">
        <v>511854</v>
      </c>
      <c r="B4484" s="6" t="n">
        <v>46021</v>
      </c>
      <c r="C4484" t="n">
        <v>17915</v>
      </c>
      <c r="D4484" t="inlineStr">
        <is>
          <t>Mumbai</t>
        </is>
      </c>
      <c r="E4484" t="inlineStr">
        <is>
          <t>West</t>
        </is>
      </c>
      <c r="F4484" t="inlineStr">
        <is>
          <t>Email</t>
        </is>
      </c>
      <c r="G4484" t="inlineStr">
        <is>
          <t>Mobile App</t>
        </is>
      </c>
      <c r="H4484" t="inlineStr">
        <is>
          <t>Cash on Delivery</t>
        </is>
      </c>
      <c r="I4484" t="inlineStr">
        <is>
          <t>Shipped</t>
        </is>
      </c>
      <c r="J4484" t="n">
        <v>124</v>
      </c>
      <c r="K4484" t="n">
        <v>1</v>
      </c>
      <c r="L4484" t="n">
        <v>1154</v>
      </c>
      <c r="M4484" t="n">
        <v>0</v>
      </c>
      <c r="N4484">
        <f>VLOOKUP(J4484,Products!$A$2:$C$49,3,FALSE)</f>
        <v/>
      </c>
      <c r="O4484">
        <f>K4484*L4484-M4484</f>
        <v/>
      </c>
      <c r="P4484">
        <f>TEXT(B4484,"yyyy-mm")</f>
        <v/>
      </c>
      <c r="Q4484">
        <f>IF(O4484&gt;=3000,"Large","Small")</f>
        <v/>
      </c>
      <c r="R4484">
        <f>INDEX(Products!$F$2:$F$49,MATCH(J4484,Products!$A$2:$A$49,0))</f>
        <v/>
      </c>
      <c r="S4484">
        <f>WEEKDAY(B4484,2)</f>
        <v/>
      </c>
    </row>
    <row r="4485">
      <c r="A4485" t="n">
        <v>511854</v>
      </c>
      <c r="B4485" s="6" t="n">
        <v>46021</v>
      </c>
      <c r="C4485" t="n">
        <v>17915</v>
      </c>
      <c r="D4485" t="inlineStr">
        <is>
          <t>Mumbai</t>
        </is>
      </c>
      <c r="E4485" t="inlineStr">
        <is>
          <t>West</t>
        </is>
      </c>
      <c r="F4485" t="inlineStr">
        <is>
          <t>Email</t>
        </is>
      </c>
      <c r="G4485" t="inlineStr">
        <is>
          <t>Mobile App</t>
        </is>
      </c>
      <c r="H4485" t="inlineStr">
        <is>
          <t>Cash on Delivery</t>
        </is>
      </c>
      <c r="I4485" t="inlineStr">
        <is>
          <t>Shipped</t>
        </is>
      </c>
      <c r="J4485" t="n">
        <v>138</v>
      </c>
      <c r="K4485" t="n">
        <v>2</v>
      </c>
      <c r="L4485" t="n">
        <v>419</v>
      </c>
      <c r="M4485" t="n">
        <v>0</v>
      </c>
      <c r="N4485">
        <f>VLOOKUP(J4485,Products!$A$2:$C$49,3,FALSE)</f>
        <v/>
      </c>
      <c r="O4485">
        <f>K4485*L4485-M4485</f>
        <v/>
      </c>
      <c r="P4485">
        <f>TEXT(B4485,"yyyy-mm")</f>
        <v/>
      </c>
      <c r="Q4485">
        <f>IF(O4485&gt;=3000,"Large","Small")</f>
        <v/>
      </c>
      <c r="R4485">
        <f>INDEX(Products!$F$2:$F$49,MATCH(J4485,Products!$A$2:$A$49,0))</f>
        <v/>
      </c>
      <c r="S4485">
        <f>WEEKDAY(B4485,2)</f>
        <v/>
      </c>
    </row>
    <row r="4486">
      <c r="A4486" t="n">
        <v>511855</v>
      </c>
      <c r="B4486" s="6" t="n">
        <v>46022</v>
      </c>
      <c r="C4486" t="n">
        <v>17944</v>
      </c>
      <c r="D4486" t="inlineStr">
        <is>
          <t>Pune</t>
        </is>
      </c>
      <c r="E4486" t="inlineStr">
        <is>
          <t>West</t>
        </is>
      </c>
      <c r="F4486" t="inlineStr">
        <is>
          <t>Referral</t>
        </is>
      </c>
      <c r="G4486" t="inlineStr">
        <is>
          <t>Mobile App</t>
        </is>
      </c>
      <c r="H4486" t="inlineStr">
        <is>
          <t>UPI</t>
        </is>
      </c>
      <c r="I4486" t="inlineStr">
        <is>
          <t>Shipped</t>
        </is>
      </c>
      <c r="J4486" t="n">
        <v>141</v>
      </c>
      <c r="K4486" t="n">
        <v>1</v>
      </c>
      <c r="L4486" t="n">
        <v>261</v>
      </c>
      <c r="M4486" t="n">
        <v>39.15</v>
      </c>
      <c r="N4486">
        <f>VLOOKUP(J4486,Products!$A$2:$C$49,3,FALSE)</f>
        <v/>
      </c>
      <c r="O4486">
        <f>K4486*L4486-M4486</f>
        <v/>
      </c>
      <c r="P4486">
        <f>TEXT(B4486,"yyyy-mm")</f>
        <v/>
      </c>
      <c r="Q4486">
        <f>IF(O4486&gt;=3000,"Large","Small")</f>
        <v/>
      </c>
      <c r="R4486">
        <f>INDEX(Products!$F$2:$F$49,MATCH(J4486,Products!$A$2:$A$49,0))</f>
        <v/>
      </c>
      <c r="S4486">
        <f>WEEKDAY(B4486,2)</f>
        <v/>
      </c>
    </row>
    <row r="4487">
      <c r="A4487" t="n">
        <v>511856</v>
      </c>
      <c r="B4487" s="6" t="n">
        <v>46022</v>
      </c>
      <c r="C4487" t="n">
        <v>17904</v>
      </c>
      <c r="D4487" t="inlineStr">
        <is>
          <t>Pune</t>
        </is>
      </c>
      <c r="E4487" t="inlineStr">
        <is>
          <t>West</t>
        </is>
      </c>
      <c r="F4487" t="inlineStr">
        <is>
          <t>Email</t>
        </is>
      </c>
      <c r="G4487" t="inlineStr">
        <is>
          <t>Desktop</t>
        </is>
      </c>
      <c r="H4487" t="inlineStr">
        <is>
          <t>UPI</t>
        </is>
      </c>
      <c r="I4487" t="inlineStr">
        <is>
          <t>Shipped</t>
        </is>
      </c>
      <c r="J4487" t="n">
        <v>116</v>
      </c>
      <c r="K4487" t="n">
        <v>1</v>
      </c>
      <c r="L4487" t="n">
        <v>2624</v>
      </c>
      <c r="M4487" t="n">
        <v>0</v>
      </c>
      <c r="N4487">
        <f>VLOOKUP(J4487,Products!$A$2:$C$49,3,FALSE)</f>
        <v/>
      </c>
      <c r="O4487">
        <f>K4487*L4487-M4487</f>
        <v/>
      </c>
      <c r="P4487">
        <f>TEXT(B4487,"yyyy-mm")</f>
        <v/>
      </c>
      <c r="Q4487">
        <f>IF(O4487&gt;=3000,"Large","Small")</f>
        <v/>
      </c>
      <c r="R4487">
        <f>INDEX(Products!$F$2:$F$49,MATCH(J4487,Products!$A$2:$A$49,0))</f>
        <v/>
      </c>
      <c r="S4487">
        <f>WEEKDAY(B4487,2)</f>
        <v/>
      </c>
    </row>
    <row r="4488">
      <c r="A4488" t="n">
        <v>511856</v>
      </c>
      <c r="B4488" s="6" t="n">
        <v>46022</v>
      </c>
      <c r="C4488" t="n">
        <v>17904</v>
      </c>
      <c r="D4488" t="inlineStr">
        <is>
          <t>Pune</t>
        </is>
      </c>
      <c r="E4488" t="inlineStr">
        <is>
          <t>West</t>
        </is>
      </c>
      <c r="F4488" t="inlineStr">
        <is>
          <t>Email</t>
        </is>
      </c>
      <c r="G4488" t="inlineStr">
        <is>
          <t>Desktop</t>
        </is>
      </c>
      <c r="H4488" t="inlineStr">
        <is>
          <t>UPI</t>
        </is>
      </c>
      <c r="I4488" t="inlineStr">
        <is>
          <t>Shipped</t>
        </is>
      </c>
      <c r="J4488" t="n">
        <v>122</v>
      </c>
      <c r="K4488" t="n">
        <v>2</v>
      </c>
      <c r="L4488" t="n">
        <v>1994</v>
      </c>
      <c r="M4488" t="n">
        <v>0</v>
      </c>
      <c r="N4488">
        <f>VLOOKUP(J4488,Products!$A$2:$C$49,3,FALSE)</f>
        <v/>
      </c>
      <c r="O4488">
        <f>K4488*L4488-M4488</f>
        <v/>
      </c>
      <c r="P4488">
        <f>TEXT(B4488,"yyyy-mm")</f>
        <v/>
      </c>
      <c r="Q4488">
        <f>IF(O4488&gt;=3000,"Large","Small")</f>
        <v/>
      </c>
      <c r="R4488">
        <f>INDEX(Products!$F$2:$F$49,MATCH(J4488,Products!$A$2:$A$49,0))</f>
        <v/>
      </c>
      <c r="S4488">
        <f>WEEKDAY(B4488,2)</f>
        <v/>
      </c>
    </row>
    <row r="4489">
      <c r="A4489" t="n">
        <v>511857</v>
      </c>
      <c r="B4489" s="6" t="n">
        <v>46022</v>
      </c>
      <c r="C4489" t="n">
        <v>17888</v>
      </c>
      <c r="D4489" t="inlineStr">
        <is>
          <t>Bengaluru</t>
        </is>
      </c>
      <c r="E4489" t="inlineStr">
        <is>
          <t>South</t>
        </is>
      </c>
      <c r="F4489" t="inlineStr">
        <is>
          <t>Paid Search</t>
        </is>
      </c>
      <c r="G4489" t="inlineStr">
        <is>
          <t>Mobile App</t>
        </is>
      </c>
      <c r="H4489" t="inlineStr">
        <is>
          <t>UPI</t>
        </is>
      </c>
      <c r="I4489" t="inlineStr">
        <is>
          <t>Shipped</t>
        </is>
      </c>
      <c r="J4489" t="n">
        <v>109</v>
      </c>
      <c r="K4489" t="n">
        <v>1</v>
      </c>
      <c r="L4489" t="n">
        <v>4199</v>
      </c>
      <c r="M4489" t="n">
        <v>629.85</v>
      </c>
      <c r="N4489">
        <f>VLOOKUP(J4489,Products!$A$2:$C$49,3,FALSE)</f>
        <v/>
      </c>
      <c r="O4489">
        <f>K4489*L4489-M4489</f>
        <v/>
      </c>
      <c r="P4489">
        <f>TEXT(B4489,"yyyy-mm")</f>
        <v/>
      </c>
      <c r="Q4489">
        <f>IF(O4489&gt;=3000,"Large","Small")</f>
        <v/>
      </c>
      <c r="R4489">
        <f>INDEX(Products!$F$2:$F$49,MATCH(J4489,Products!$A$2:$A$49,0))</f>
        <v/>
      </c>
      <c r="S4489">
        <f>WEEKDAY(B4489,2)</f>
        <v/>
      </c>
    </row>
    <row r="4490">
      <c r="A4490" t="n">
        <v>511858</v>
      </c>
      <c r="B4490" s="6" t="n">
        <v>46022</v>
      </c>
      <c r="C4490" t="n">
        <v>17954</v>
      </c>
      <c r="D4490" t="inlineStr">
        <is>
          <t>Delhi</t>
        </is>
      </c>
      <c r="E4490" t="inlineStr">
        <is>
          <t>North</t>
        </is>
      </c>
      <c r="F4490" t="inlineStr">
        <is>
          <t>Paid Search</t>
        </is>
      </c>
      <c r="G4490" t="inlineStr">
        <is>
          <t>Mobile App</t>
        </is>
      </c>
      <c r="H4490" t="inlineStr">
        <is>
          <t>Credit Card</t>
        </is>
      </c>
      <c r="I4490" t="inlineStr">
        <is>
          <t>Shipped</t>
        </is>
      </c>
      <c r="J4490" t="n">
        <v>121</v>
      </c>
      <c r="K4490" t="n">
        <v>1</v>
      </c>
      <c r="L4490" t="n">
        <v>2939</v>
      </c>
      <c r="M4490" t="n">
        <v>0</v>
      </c>
      <c r="N4490">
        <f>VLOOKUP(J4490,Products!$A$2:$C$49,3,FALSE)</f>
        <v/>
      </c>
      <c r="O4490">
        <f>K4490*L4490-M4490</f>
        <v/>
      </c>
      <c r="P4490">
        <f>TEXT(B4490,"yyyy-mm")</f>
        <v/>
      </c>
      <c r="Q4490">
        <f>IF(O4490&gt;=3000,"Large","Small")</f>
        <v/>
      </c>
      <c r="R4490">
        <f>INDEX(Products!$F$2:$F$49,MATCH(J4490,Products!$A$2:$A$49,0))</f>
        <v/>
      </c>
      <c r="S4490">
        <f>WEEKDAY(B4490,2)</f>
        <v/>
      </c>
    </row>
    <row r="4491">
      <c r="A4491" t="n">
        <v>511859</v>
      </c>
      <c r="B4491" s="6" t="n">
        <v>46022</v>
      </c>
      <c r="C4491" t="n">
        <v>13638</v>
      </c>
      <c r="D4491" t="inlineStr">
        <is>
          <t>Lucknow</t>
        </is>
      </c>
      <c r="E4491" t="inlineStr">
        <is>
          <t>North</t>
        </is>
      </c>
      <c r="F4491" t="inlineStr">
        <is>
          <t>Affiliate</t>
        </is>
      </c>
      <c r="G4491" t="inlineStr">
        <is>
          <t>Mobile Web</t>
        </is>
      </c>
      <c r="H4491" t="inlineStr">
        <is>
          <t>UPI</t>
        </is>
      </c>
      <c r="I4491" t="inlineStr">
        <is>
          <t>Shipped</t>
        </is>
      </c>
      <c r="J4491" t="n">
        <v>137</v>
      </c>
      <c r="K4491" t="n">
        <v>1</v>
      </c>
      <c r="L4491" t="n">
        <v>261</v>
      </c>
      <c r="M4491" t="n">
        <v>0</v>
      </c>
      <c r="N4491">
        <f>VLOOKUP(J4491,Products!$A$2:$C$49,3,FALSE)</f>
        <v/>
      </c>
      <c r="O4491">
        <f>K4491*L4491-M4491</f>
        <v/>
      </c>
      <c r="P4491">
        <f>TEXT(B4491,"yyyy-mm")</f>
        <v/>
      </c>
      <c r="Q4491">
        <f>IF(O4491&gt;=3000,"Large","Small")</f>
        <v/>
      </c>
      <c r="R4491">
        <f>INDEX(Products!$F$2:$F$49,MATCH(J4491,Products!$A$2:$A$49,0))</f>
        <v/>
      </c>
      <c r="S4491">
        <f>WEEKDAY(B4491,2)</f>
        <v/>
      </c>
    </row>
    <row r="4492">
      <c r="A4492" t="n">
        <v>511859</v>
      </c>
      <c r="B4492" s="6" t="n">
        <v>46022</v>
      </c>
      <c r="C4492" t="n">
        <v>13638</v>
      </c>
      <c r="D4492" t="inlineStr">
        <is>
          <t>Lucknow</t>
        </is>
      </c>
      <c r="E4492" t="inlineStr">
        <is>
          <t>North</t>
        </is>
      </c>
      <c r="F4492" t="inlineStr">
        <is>
          <t>Affiliate</t>
        </is>
      </c>
      <c r="G4492" t="inlineStr">
        <is>
          <t>Mobile Web</t>
        </is>
      </c>
      <c r="H4492" t="inlineStr">
        <is>
          <t>UPI</t>
        </is>
      </c>
      <c r="I4492" t="inlineStr">
        <is>
          <t>Shipped</t>
        </is>
      </c>
      <c r="J4492" t="n">
        <v>103</v>
      </c>
      <c r="K4492" t="n">
        <v>1</v>
      </c>
      <c r="L4492" t="n">
        <v>2624</v>
      </c>
      <c r="M4492" t="n">
        <v>0</v>
      </c>
      <c r="N4492">
        <f>VLOOKUP(J4492,Products!$A$2:$C$49,3,FALSE)</f>
        <v/>
      </c>
      <c r="O4492">
        <f>K4492*L4492-M4492</f>
        <v/>
      </c>
      <c r="P4492">
        <f>TEXT(B4492,"yyyy-mm")</f>
        <v/>
      </c>
      <c r="Q4492">
        <f>IF(O4492&gt;=3000,"Large","Small")</f>
        <v/>
      </c>
      <c r="R4492">
        <f>INDEX(Products!$F$2:$F$49,MATCH(J4492,Products!$A$2:$A$49,0))</f>
        <v/>
      </c>
      <c r="S4492">
        <f>WEEKDAY(B4492,2)</f>
        <v/>
      </c>
    </row>
    <row r="4493">
      <c r="A4493" t="n">
        <v>511860</v>
      </c>
      <c r="B4493" s="6" t="n">
        <v>46022</v>
      </c>
      <c r="C4493" t="n">
        <v>15281</v>
      </c>
      <c r="D4493" t="inlineStr">
        <is>
          <t>Delhi</t>
        </is>
      </c>
      <c r="E4493" t="inlineStr">
        <is>
          <t>North</t>
        </is>
      </c>
      <c r="F4493" t="inlineStr">
        <is>
          <t>Email</t>
        </is>
      </c>
      <c r="G4493" t="inlineStr">
        <is>
          <t>Mobile App</t>
        </is>
      </c>
      <c r="H4493" t="inlineStr">
        <is>
          <t>UPI</t>
        </is>
      </c>
      <c r="I4493" t="inlineStr">
        <is>
          <t>Cancelled</t>
        </is>
      </c>
      <c r="J4493" t="n">
        <v>139</v>
      </c>
      <c r="K4493" t="n">
        <v>1</v>
      </c>
      <c r="L4493" t="n">
        <v>366</v>
      </c>
      <c r="M4493" t="n">
        <v>0</v>
      </c>
      <c r="N4493">
        <f>VLOOKUP(J4493,Products!$A$2:$C$49,3,FALSE)</f>
        <v/>
      </c>
      <c r="O4493">
        <f>K4493*L4493-M4493</f>
        <v/>
      </c>
      <c r="P4493">
        <f>TEXT(B4493,"yyyy-mm")</f>
        <v/>
      </c>
      <c r="Q4493">
        <f>IF(O4493&gt;=3000,"Large","Small")</f>
        <v/>
      </c>
      <c r="R4493">
        <f>INDEX(Products!$F$2:$F$49,MATCH(J4493,Products!$A$2:$A$49,0))</f>
        <v/>
      </c>
      <c r="S4493">
        <f>WEEKDAY(B4493,2)</f>
        <v/>
      </c>
    </row>
    <row r="4494">
      <c r="A4494" t="n">
        <v>511860</v>
      </c>
      <c r="B4494" s="6" t="n">
        <v>46022</v>
      </c>
      <c r="C4494" t="n">
        <v>15281</v>
      </c>
      <c r="D4494" t="inlineStr">
        <is>
          <t>Delhi</t>
        </is>
      </c>
      <c r="E4494" t="inlineStr">
        <is>
          <t>North</t>
        </is>
      </c>
      <c r="F4494" t="inlineStr">
        <is>
          <t>Email</t>
        </is>
      </c>
      <c r="G4494" t="inlineStr">
        <is>
          <t>Mobile App</t>
        </is>
      </c>
      <c r="H4494" t="inlineStr">
        <is>
          <t>UPI</t>
        </is>
      </c>
      <c r="I4494" t="inlineStr">
        <is>
          <t>Cancelled</t>
        </is>
      </c>
      <c r="J4494" t="n">
        <v>111</v>
      </c>
      <c r="K4494" t="n">
        <v>1</v>
      </c>
      <c r="L4494" t="n">
        <v>524</v>
      </c>
      <c r="M4494" t="n">
        <v>0</v>
      </c>
      <c r="N4494">
        <f>VLOOKUP(J4494,Products!$A$2:$C$49,3,FALSE)</f>
        <v/>
      </c>
      <c r="O4494">
        <f>K4494*L4494-M4494</f>
        <v/>
      </c>
      <c r="P4494">
        <f>TEXT(B4494,"yyyy-mm")</f>
        <v/>
      </c>
      <c r="Q4494">
        <f>IF(O4494&gt;=3000,"Large","Small")</f>
        <v/>
      </c>
      <c r="R4494">
        <f>INDEX(Products!$F$2:$F$49,MATCH(J4494,Products!$A$2:$A$49,0))</f>
        <v/>
      </c>
      <c r="S4494">
        <f>WEEKDAY(B4494,2)</f>
        <v/>
      </c>
    </row>
    <row r="4495">
      <c r="A4495" t="n">
        <v>511860</v>
      </c>
      <c r="B4495" s="6" t="n">
        <v>46022</v>
      </c>
      <c r="C4495" t="n">
        <v>15281</v>
      </c>
      <c r="D4495" t="inlineStr">
        <is>
          <t>Delhi</t>
        </is>
      </c>
      <c r="E4495" t="inlineStr">
        <is>
          <t>North</t>
        </is>
      </c>
      <c r="F4495" t="inlineStr">
        <is>
          <t>Email</t>
        </is>
      </c>
      <c r="G4495" t="inlineStr">
        <is>
          <t>Mobile App</t>
        </is>
      </c>
      <c r="H4495" t="inlineStr">
        <is>
          <t>UPI</t>
        </is>
      </c>
      <c r="I4495" t="inlineStr">
        <is>
          <t>Cancelled</t>
        </is>
      </c>
      <c r="J4495" t="n">
        <v>104</v>
      </c>
      <c r="K4495" t="n">
        <v>1</v>
      </c>
      <c r="L4495" t="n">
        <v>5249</v>
      </c>
      <c r="M4495" t="n">
        <v>0</v>
      </c>
      <c r="N4495">
        <f>VLOOKUP(J4495,Products!$A$2:$C$49,3,FALSE)</f>
        <v/>
      </c>
      <c r="O4495">
        <f>K4495*L4495-M4495</f>
        <v/>
      </c>
      <c r="P4495">
        <f>TEXT(B4495,"yyyy-mm")</f>
        <v/>
      </c>
      <c r="Q4495">
        <f>IF(O4495&gt;=3000,"Large","Small")</f>
        <v/>
      </c>
      <c r="R4495">
        <f>INDEX(Products!$F$2:$F$49,MATCH(J4495,Products!$A$2:$A$49,0))</f>
        <v/>
      </c>
      <c r="S4495">
        <f>WEEKDAY(B4495,2)</f>
        <v/>
      </c>
    </row>
    <row r="4496">
      <c r="A4496" t="n">
        <v>511861</v>
      </c>
      <c r="B4496" s="6" t="n">
        <v>46022</v>
      </c>
      <c r="C4496" t="n">
        <v>17198</v>
      </c>
      <c r="D4496" t="inlineStr">
        <is>
          <t>Noida</t>
        </is>
      </c>
      <c r="E4496" t="inlineStr">
        <is>
          <t>North</t>
        </is>
      </c>
      <c r="F4496" t="inlineStr">
        <is>
          <t>Organic Search</t>
        </is>
      </c>
      <c r="G4496" t="inlineStr">
        <is>
          <t>Mobile App</t>
        </is>
      </c>
      <c r="H4496" t="inlineStr">
        <is>
          <t>Net Banking</t>
        </is>
      </c>
      <c r="I4496" t="inlineStr">
        <is>
          <t>Shipped</t>
        </is>
      </c>
      <c r="J4496" t="n">
        <v>138</v>
      </c>
      <c r="K4496" t="n">
        <v>1</v>
      </c>
      <c r="L4496" t="n">
        <v>419</v>
      </c>
      <c r="M4496" t="n">
        <v>0</v>
      </c>
      <c r="N4496">
        <f>VLOOKUP(J4496,Products!$A$2:$C$49,3,FALSE)</f>
        <v/>
      </c>
      <c r="O4496">
        <f>K4496*L4496-M4496</f>
        <v/>
      </c>
      <c r="P4496">
        <f>TEXT(B4496,"yyyy-mm")</f>
        <v/>
      </c>
      <c r="Q4496">
        <f>IF(O4496&gt;=3000,"Large","Small")</f>
        <v/>
      </c>
      <c r="R4496">
        <f>INDEX(Products!$F$2:$F$49,MATCH(J4496,Products!$A$2:$A$49,0))</f>
        <v/>
      </c>
      <c r="S4496">
        <f>WEEKDAY(B4496,2)</f>
        <v/>
      </c>
    </row>
    <row r="4497">
      <c r="A4497" t="n">
        <v>511862</v>
      </c>
      <c r="B4497" s="6" t="n">
        <v>46022</v>
      </c>
      <c r="C4497" t="n">
        <v>17266</v>
      </c>
      <c r="D4497" t="inlineStr">
        <is>
          <t>Gurugram</t>
        </is>
      </c>
      <c r="E4497" t="inlineStr">
        <is>
          <t>North</t>
        </is>
      </c>
      <c r="F4497" t="inlineStr">
        <is>
          <t>Organic Search</t>
        </is>
      </c>
      <c r="G4497" t="inlineStr">
        <is>
          <t>Mobile App</t>
        </is>
      </c>
      <c r="H4497" t="inlineStr">
        <is>
          <t>Cash on Delivery</t>
        </is>
      </c>
      <c r="I4497" t="inlineStr">
        <is>
          <t>Shipped</t>
        </is>
      </c>
      <c r="J4497" t="n">
        <v>107</v>
      </c>
      <c r="K4497" t="n">
        <v>1</v>
      </c>
      <c r="L4497" t="n">
        <v>1259</v>
      </c>
      <c r="M4497" t="n">
        <v>0</v>
      </c>
      <c r="N4497">
        <f>VLOOKUP(J4497,Products!$A$2:$C$49,3,FALSE)</f>
        <v/>
      </c>
      <c r="O4497">
        <f>K4497*L4497-M4497</f>
        <v/>
      </c>
      <c r="P4497">
        <f>TEXT(B4497,"yyyy-mm")</f>
        <v/>
      </c>
      <c r="Q4497">
        <f>IF(O4497&gt;=3000,"Large","Small")</f>
        <v/>
      </c>
      <c r="R4497">
        <f>INDEX(Products!$F$2:$F$49,MATCH(J4497,Products!$A$2:$A$49,0))</f>
        <v/>
      </c>
      <c r="S4497">
        <f>WEEKDAY(B4497,2)</f>
        <v/>
      </c>
    </row>
    <row r="4498">
      <c r="A4498" t="n">
        <v>511863</v>
      </c>
      <c r="B4498" s="6" t="n">
        <v>46022</v>
      </c>
      <c r="C4498" t="n">
        <v>17781</v>
      </c>
      <c r="D4498" t="inlineStr">
        <is>
          <t>Chennai</t>
        </is>
      </c>
      <c r="E4498" t="inlineStr">
        <is>
          <t>South</t>
        </is>
      </c>
      <c r="F4498" t="inlineStr">
        <is>
          <t>Paid Search</t>
        </is>
      </c>
      <c r="G4498" t="inlineStr">
        <is>
          <t>Desktop</t>
        </is>
      </c>
      <c r="H4498" t="inlineStr">
        <is>
          <t>Debit Card</t>
        </is>
      </c>
      <c r="I4498" t="inlineStr">
        <is>
          <t>Shipped</t>
        </is>
      </c>
      <c r="J4498" t="n">
        <v>109</v>
      </c>
      <c r="K4498" t="n">
        <v>1</v>
      </c>
      <c r="L4498" t="n">
        <v>4199</v>
      </c>
      <c r="M4498" t="n">
        <v>0</v>
      </c>
      <c r="N4498">
        <f>VLOOKUP(J4498,Products!$A$2:$C$49,3,FALSE)</f>
        <v/>
      </c>
      <c r="O4498">
        <f>K4498*L4498-M4498</f>
        <v/>
      </c>
      <c r="P4498">
        <f>TEXT(B4498,"yyyy-mm")</f>
        <v/>
      </c>
      <c r="Q4498">
        <f>IF(O4498&gt;=3000,"Large","Small")</f>
        <v/>
      </c>
      <c r="R4498">
        <f>INDEX(Products!$F$2:$F$49,MATCH(J4498,Products!$A$2:$A$49,0))</f>
        <v/>
      </c>
      <c r="S4498">
        <f>WEEKDAY(B4498,2)</f>
        <v/>
      </c>
    </row>
    <row r="4499">
      <c r="A4499" t="n">
        <v>511863</v>
      </c>
      <c r="B4499" s="6" t="n">
        <v>46022</v>
      </c>
      <c r="C4499" t="n">
        <v>17781</v>
      </c>
      <c r="D4499" t="inlineStr">
        <is>
          <t>Chennai</t>
        </is>
      </c>
      <c r="E4499" t="inlineStr">
        <is>
          <t>South</t>
        </is>
      </c>
      <c r="F4499" t="inlineStr">
        <is>
          <t>Paid Search</t>
        </is>
      </c>
      <c r="G4499" t="inlineStr">
        <is>
          <t>Desktop</t>
        </is>
      </c>
      <c r="H4499" t="inlineStr">
        <is>
          <t>Debit Card</t>
        </is>
      </c>
      <c r="I4499" t="inlineStr">
        <is>
          <t>Shipped</t>
        </is>
      </c>
      <c r="J4499" t="n">
        <v>130</v>
      </c>
      <c r="K4499" t="n">
        <v>1</v>
      </c>
      <c r="L4499" t="n">
        <v>734</v>
      </c>
      <c r="M4499" t="n">
        <v>0</v>
      </c>
      <c r="N4499">
        <f>VLOOKUP(J4499,Products!$A$2:$C$49,3,FALSE)</f>
        <v/>
      </c>
      <c r="O4499">
        <f>K4499*L4499-M4499</f>
        <v/>
      </c>
      <c r="P4499">
        <f>TEXT(B4499,"yyyy-mm")</f>
        <v/>
      </c>
      <c r="Q4499">
        <f>IF(O4499&gt;=3000,"Large","Small")</f>
        <v/>
      </c>
      <c r="R4499">
        <f>INDEX(Products!$F$2:$F$49,MATCH(J4499,Products!$A$2:$A$49,0))</f>
        <v/>
      </c>
      <c r="S4499">
        <f>WEEKDAY(B4499,2)</f>
        <v/>
      </c>
    </row>
    <row r="4500">
      <c r="A4500" t="n">
        <v>511863</v>
      </c>
      <c r="B4500" s="6" t="n">
        <v>46022</v>
      </c>
      <c r="C4500" t="n">
        <v>17781</v>
      </c>
      <c r="D4500" t="inlineStr">
        <is>
          <t>Chennai</t>
        </is>
      </c>
      <c r="E4500" t="inlineStr">
        <is>
          <t>South</t>
        </is>
      </c>
      <c r="F4500" t="inlineStr">
        <is>
          <t>Paid Search</t>
        </is>
      </c>
      <c r="G4500" t="inlineStr">
        <is>
          <t>Desktop</t>
        </is>
      </c>
      <c r="H4500" t="inlineStr">
        <is>
          <t>Debit Card</t>
        </is>
      </c>
      <c r="I4500" t="inlineStr">
        <is>
          <t>Shipped</t>
        </is>
      </c>
      <c r="J4500" t="n">
        <v>134</v>
      </c>
      <c r="K4500" t="n">
        <v>1</v>
      </c>
      <c r="L4500" t="n">
        <v>209</v>
      </c>
      <c r="M4500" t="n">
        <v>0</v>
      </c>
      <c r="N4500">
        <f>VLOOKUP(J4500,Products!$A$2:$C$49,3,FALSE)</f>
        <v/>
      </c>
      <c r="O4500">
        <f>K4500*L4500-M4500</f>
        <v/>
      </c>
      <c r="P4500">
        <f>TEXT(B4500,"yyyy-mm")</f>
        <v/>
      </c>
      <c r="Q4500">
        <f>IF(O4500&gt;=3000,"Large","Small")</f>
        <v/>
      </c>
      <c r="R4500">
        <f>INDEX(Products!$F$2:$F$49,MATCH(J4500,Products!$A$2:$A$49,0))</f>
        <v/>
      </c>
      <c r="S4500">
        <f>WEEKDAY(B4500,2)</f>
        <v/>
      </c>
    </row>
    <row r="4501">
      <c r="A4501" t="n">
        <v>511863</v>
      </c>
      <c r="B4501" s="6" t="n">
        <v>46022</v>
      </c>
      <c r="C4501" t="n">
        <v>17781</v>
      </c>
      <c r="D4501" t="inlineStr">
        <is>
          <t>Chennai</t>
        </is>
      </c>
      <c r="E4501" t="inlineStr">
        <is>
          <t>South</t>
        </is>
      </c>
      <c r="F4501" t="inlineStr">
        <is>
          <t>Paid Search</t>
        </is>
      </c>
      <c r="G4501" t="inlineStr">
        <is>
          <t>Desktop</t>
        </is>
      </c>
      <c r="H4501" t="inlineStr">
        <is>
          <t>Debit Card</t>
        </is>
      </c>
      <c r="I4501" t="inlineStr">
        <is>
          <t>Shipped</t>
        </is>
      </c>
      <c r="J4501" t="n">
        <v>141</v>
      </c>
      <c r="K4501" t="n">
        <v>1</v>
      </c>
      <c r="L4501" t="n">
        <v>261</v>
      </c>
      <c r="M4501" t="n">
        <v>0</v>
      </c>
      <c r="N4501">
        <f>VLOOKUP(J4501,Products!$A$2:$C$49,3,FALSE)</f>
        <v/>
      </c>
      <c r="O4501">
        <f>K4501*L4501-M4501</f>
        <v/>
      </c>
      <c r="P4501">
        <f>TEXT(B4501,"yyyy-mm")</f>
        <v/>
      </c>
      <c r="Q4501">
        <f>IF(O4501&gt;=3000,"Large","Small")</f>
        <v/>
      </c>
      <c r="R4501">
        <f>INDEX(Products!$F$2:$F$49,MATCH(J4501,Products!$A$2:$A$49,0))</f>
        <v/>
      </c>
      <c r="S4501">
        <f>WEEKDAY(B4501,2)</f>
        <v/>
      </c>
    </row>
    <row r="4502">
      <c r="A4502" t="n">
        <v>511864</v>
      </c>
      <c r="B4502" s="6" t="n">
        <v>46022</v>
      </c>
      <c r="C4502" t="n">
        <v>17965</v>
      </c>
      <c r="D4502" t="inlineStr">
        <is>
          <t>Gurugram</t>
        </is>
      </c>
      <c r="E4502" t="inlineStr">
        <is>
          <t>North</t>
        </is>
      </c>
      <c r="F4502" t="inlineStr">
        <is>
          <t>Paid Search</t>
        </is>
      </c>
      <c r="G4502" t="inlineStr">
        <is>
          <t>Mobile Web</t>
        </is>
      </c>
      <c r="H4502" t="inlineStr">
        <is>
          <t>Debit Card</t>
        </is>
      </c>
      <c r="I4502" t="inlineStr">
        <is>
          <t>Shipped</t>
        </is>
      </c>
      <c r="J4502" t="n">
        <v>126</v>
      </c>
      <c r="K4502" t="n">
        <v>1</v>
      </c>
      <c r="L4502" t="n">
        <v>471</v>
      </c>
      <c r="M4502" t="n">
        <v>70.65000000000001</v>
      </c>
      <c r="N4502">
        <f>VLOOKUP(J4502,Products!$A$2:$C$49,3,FALSE)</f>
        <v/>
      </c>
      <c r="O4502">
        <f>K4502*L4502-M4502</f>
        <v/>
      </c>
      <c r="P4502">
        <f>TEXT(B4502,"yyyy-mm")</f>
        <v/>
      </c>
      <c r="Q4502">
        <f>IF(O4502&gt;=3000,"Large","Small")</f>
        <v/>
      </c>
      <c r="R4502">
        <f>INDEX(Products!$F$2:$F$49,MATCH(J4502,Products!$A$2:$A$49,0))</f>
        <v/>
      </c>
      <c r="S4502">
        <f>WEEKDAY(B4502,2)</f>
        <v/>
      </c>
    </row>
    <row r="4503">
      <c r="A4503" t="n">
        <v>511864</v>
      </c>
      <c r="B4503" s="6" t="n">
        <v>46022</v>
      </c>
      <c r="C4503" t="n">
        <v>17965</v>
      </c>
      <c r="D4503" t="inlineStr">
        <is>
          <t>Gurugram</t>
        </is>
      </c>
      <c r="E4503" t="inlineStr">
        <is>
          <t>North</t>
        </is>
      </c>
      <c r="F4503" t="inlineStr">
        <is>
          <t>Paid Search</t>
        </is>
      </c>
      <c r="G4503" t="inlineStr">
        <is>
          <t>Mobile Web</t>
        </is>
      </c>
      <c r="H4503" t="inlineStr">
        <is>
          <t>Debit Card</t>
        </is>
      </c>
      <c r="I4503" t="inlineStr">
        <is>
          <t>Shipped</t>
        </is>
      </c>
      <c r="J4503" t="n">
        <v>118</v>
      </c>
      <c r="K4503" t="n">
        <v>1</v>
      </c>
      <c r="L4503" t="n">
        <v>944</v>
      </c>
      <c r="M4503" t="n">
        <v>141.6</v>
      </c>
      <c r="N4503">
        <f>VLOOKUP(J4503,Products!$A$2:$C$49,3,FALSE)</f>
        <v/>
      </c>
      <c r="O4503">
        <f>K4503*L4503-M4503</f>
        <v/>
      </c>
      <c r="P4503">
        <f>TEXT(B4503,"yyyy-mm")</f>
        <v/>
      </c>
      <c r="Q4503">
        <f>IF(O4503&gt;=3000,"Large","Small")</f>
        <v/>
      </c>
      <c r="R4503">
        <f>INDEX(Products!$F$2:$F$49,MATCH(J4503,Products!$A$2:$A$49,0))</f>
        <v/>
      </c>
      <c r="S4503">
        <f>WEEKDAY(B4503,2)</f>
        <v/>
      </c>
    </row>
    <row r="4504">
      <c r="A4504" t="n">
        <v>511865</v>
      </c>
      <c r="B4504" s="6" t="n">
        <v>46022</v>
      </c>
      <c r="C4504" t="n">
        <v>17511</v>
      </c>
      <c r="D4504" t="inlineStr">
        <is>
          <t>Pune</t>
        </is>
      </c>
      <c r="E4504" t="inlineStr">
        <is>
          <t>West</t>
        </is>
      </c>
      <c r="F4504" t="inlineStr">
        <is>
          <t>Paid Search</t>
        </is>
      </c>
      <c r="G4504" t="inlineStr">
        <is>
          <t>Mobile Web</t>
        </is>
      </c>
      <c r="H4504" t="inlineStr">
        <is>
          <t>Cash on Delivery</t>
        </is>
      </c>
      <c r="I4504" t="inlineStr">
        <is>
          <t>Shipped</t>
        </is>
      </c>
      <c r="J4504" t="n">
        <v>117</v>
      </c>
      <c r="K4504" t="n">
        <v>1</v>
      </c>
      <c r="L4504" t="n">
        <v>3149</v>
      </c>
      <c r="M4504" t="n">
        <v>0</v>
      </c>
      <c r="N4504">
        <f>VLOOKUP(J4504,Products!$A$2:$C$49,3,FALSE)</f>
        <v/>
      </c>
      <c r="O4504">
        <f>K4504*L4504-M4504</f>
        <v/>
      </c>
      <c r="P4504">
        <f>TEXT(B4504,"yyyy-mm")</f>
        <v/>
      </c>
      <c r="Q4504">
        <f>IF(O4504&gt;=3000,"Large","Small")</f>
        <v/>
      </c>
      <c r="R4504">
        <f>INDEX(Products!$F$2:$F$49,MATCH(J4504,Products!$A$2:$A$49,0))</f>
        <v/>
      </c>
      <c r="S4504">
        <f>WEEKDAY(B4504,2)</f>
        <v/>
      </c>
    </row>
    <row r="4505">
      <c r="A4505" t="n">
        <v>511866</v>
      </c>
      <c r="B4505" s="6" t="n">
        <v>46022</v>
      </c>
      <c r="C4505" t="n">
        <v>16176</v>
      </c>
      <c r="D4505" t="inlineStr">
        <is>
          <t>Mumbai</t>
        </is>
      </c>
      <c r="E4505" t="inlineStr">
        <is>
          <t>West</t>
        </is>
      </c>
      <c r="F4505" t="inlineStr">
        <is>
          <t>Organic Search</t>
        </is>
      </c>
      <c r="G4505" t="inlineStr">
        <is>
          <t>Mobile Web</t>
        </is>
      </c>
      <c r="H4505" t="inlineStr">
        <is>
          <t>Credit Card</t>
        </is>
      </c>
      <c r="I4505" t="inlineStr">
        <is>
          <t>Shipped</t>
        </is>
      </c>
      <c r="J4505" t="n">
        <v>125</v>
      </c>
      <c r="K4505" t="n">
        <v>2</v>
      </c>
      <c r="L4505" t="n">
        <v>1364</v>
      </c>
      <c r="M4505" t="n">
        <v>0</v>
      </c>
      <c r="N4505">
        <f>VLOOKUP(J4505,Products!$A$2:$C$49,3,FALSE)</f>
        <v/>
      </c>
      <c r="O4505">
        <f>K4505*L4505-M4505</f>
        <v/>
      </c>
      <c r="P4505">
        <f>TEXT(B4505,"yyyy-mm")</f>
        <v/>
      </c>
      <c r="Q4505">
        <f>IF(O4505&gt;=3000,"Large","Small")</f>
        <v/>
      </c>
      <c r="R4505">
        <f>INDEX(Products!$F$2:$F$49,MATCH(J4505,Products!$A$2:$A$49,0))</f>
        <v/>
      </c>
      <c r="S4505">
        <f>WEEKDAY(B4505,2)</f>
        <v/>
      </c>
    </row>
    <row r="4506">
      <c r="A4506" t="n">
        <v>511866</v>
      </c>
      <c r="B4506" s="6" t="n">
        <v>46022</v>
      </c>
      <c r="C4506" t="n">
        <v>16176</v>
      </c>
      <c r="D4506" t="inlineStr">
        <is>
          <t>Mumbai</t>
        </is>
      </c>
      <c r="E4506" t="inlineStr">
        <is>
          <t>West</t>
        </is>
      </c>
      <c r="F4506" t="inlineStr">
        <is>
          <t>Organic Search</t>
        </is>
      </c>
      <c r="G4506" t="inlineStr">
        <is>
          <t>Mobile Web</t>
        </is>
      </c>
      <c r="H4506" t="inlineStr">
        <is>
          <t>Credit Card</t>
        </is>
      </c>
      <c r="I4506" t="inlineStr">
        <is>
          <t>Shipped</t>
        </is>
      </c>
      <c r="J4506" t="n">
        <v>140</v>
      </c>
      <c r="K4506" t="n">
        <v>1</v>
      </c>
      <c r="L4506" t="n">
        <v>629</v>
      </c>
      <c r="M4506" t="n">
        <v>0</v>
      </c>
      <c r="N4506">
        <f>VLOOKUP(J4506,Products!$A$2:$C$49,3,FALSE)</f>
        <v/>
      </c>
      <c r="O4506">
        <f>K4506*L4506-M4506</f>
        <v/>
      </c>
      <c r="P4506">
        <f>TEXT(B4506,"yyyy-mm")</f>
        <v/>
      </c>
      <c r="Q4506">
        <f>IF(O4506&gt;=3000,"Large","Small")</f>
        <v/>
      </c>
      <c r="R4506">
        <f>INDEX(Products!$F$2:$F$49,MATCH(J4506,Products!$A$2:$A$49,0))</f>
        <v/>
      </c>
      <c r="S4506">
        <f>WEEKDAY(B4506,2)</f>
        <v/>
      </c>
    </row>
    <row r="4507">
      <c r="A4507" t="n">
        <v>511867</v>
      </c>
      <c r="B4507" s="6" t="n">
        <v>46022</v>
      </c>
      <c r="C4507" t="n">
        <v>17998</v>
      </c>
      <c r="D4507" t="inlineStr">
        <is>
          <t>Chandigarh</t>
        </is>
      </c>
      <c r="E4507" t="inlineStr">
        <is>
          <t>North</t>
        </is>
      </c>
      <c r="F4507" t="inlineStr">
        <is>
          <t>Paid Social</t>
        </is>
      </c>
      <c r="G4507" t="inlineStr">
        <is>
          <t>Mobile App</t>
        </is>
      </c>
      <c r="H4507" t="inlineStr">
        <is>
          <t>Credit Card</t>
        </is>
      </c>
      <c r="I4507" t="inlineStr">
        <is>
          <t>Shipped</t>
        </is>
      </c>
      <c r="J4507" t="n">
        <v>119</v>
      </c>
      <c r="K4507" t="n">
        <v>1</v>
      </c>
      <c r="L4507" t="n">
        <v>2309</v>
      </c>
      <c r="M4507" t="n">
        <v>0</v>
      </c>
      <c r="N4507">
        <f>VLOOKUP(J4507,Products!$A$2:$C$49,3,FALSE)</f>
        <v/>
      </c>
      <c r="O4507">
        <f>K4507*L4507-M4507</f>
        <v/>
      </c>
      <c r="P4507">
        <f>TEXT(B4507,"yyyy-mm")</f>
        <v/>
      </c>
      <c r="Q4507">
        <f>IF(O4507&gt;=3000,"Large","Small")</f>
        <v/>
      </c>
      <c r="R4507">
        <f>INDEX(Products!$F$2:$F$49,MATCH(J4507,Products!$A$2:$A$49,0))</f>
        <v/>
      </c>
      <c r="S4507">
        <f>WEEKDAY(B4507,2)</f>
        <v/>
      </c>
    </row>
    <row r="4508">
      <c r="A4508" t="n">
        <v>511867</v>
      </c>
      <c r="B4508" s="6" t="n">
        <v>46022</v>
      </c>
      <c r="C4508" t="n">
        <v>17998</v>
      </c>
      <c r="D4508" t="inlineStr">
        <is>
          <t>Chandigarh</t>
        </is>
      </c>
      <c r="E4508" t="inlineStr">
        <is>
          <t>North</t>
        </is>
      </c>
      <c r="F4508" t="inlineStr">
        <is>
          <t>Paid Social</t>
        </is>
      </c>
      <c r="G4508" t="inlineStr">
        <is>
          <t>Mobile App</t>
        </is>
      </c>
      <c r="H4508" t="inlineStr">
        <is>
          <t>Credit Card</t>
        </is>
      </c>
      <c r="I4508" t="inlineStr">
        <is>
          <t>Shipped</t>
        </is>
      </c>
      <c r="J4508" t="n">
        <v>123</v>
      </c>
      <c r="K4508" t="n">
        <v>1</v>
      </c>
      <c r="L4508" t="n">
        <v>3464</v>
      </c>
      <c r="M4508" t="n">
        <v>0</v>
      </c>
      <c r="N4508">
        <f>VLOOKUP(J4508,Products!$A$2:$C$49,3,FALSE)</f>
        <v/>
      </c>
      <c r="O4508">
        <f>K4508*L4508-M4508</f>
        <v/>
      </c>
      <c r="P4508">
        <f>TEXT(B4508,"yyyy-mm")</f>
        <v/>
      </c>
      <c r="Q4508">
        <f>IF(O4508&gt;=3000,"Large","Small")</f>
        <v/>
      </c>
      <c r="R4508">
        <f>INDEX(Products!$F$2:$F$49,MATCH(J4508,Products!$A$2:$A$49,0))</f>
        <v/>
      </c>
      <c r="S4508">
        <f>WEEKDAY(B4508,2)</f>
        <v/>
      </c>
    </row>
    <row r="4509">
      <c r="A4509" t="n">
        <v>511867</v>
      </c>
      <c r="B4509" s="6" t="n">
        <v>46022</v>
      </c>
      <c r="C4509" t="n">
        <v>17998</v>
      </c>
      <c r="D4509" t="inlineStr">
        <is>
          <t>Chandigarh</t>
        </is>
      </c>
      <c r="E4509" t="inlineStr">
        <is>
          <t>North</t>
        </is>
      </c>
      <c r="F4509" t="inlineStr">
        <is>
          <t>Paid Social</t>
        </is>
      </c>
      <c r="G4509" t="inlineStr">
        <is>
          <t>Mobile App</t>
        </is>
      </c>
      <c r="H4509" t="inlineStr">
        <is>
          <t>Credit Card</t>
        </is>
      </c>
      <c r="I4509" t="inlineStr">
        <is>
          <t>Shipped</t>
        </is>
      </c>
      <c r="J4509" t="n">
        <v>120</v>
      </c>
      <c r="K4509" t="n">
        <v>1</v>
      </c>
      <c r="L4509" t="n">
        <v>734</v>
      </c>
      <c r="M4509" t="n">
        <v>0</v>
      </c>
      <c r="N4509">
        <f>VLOOKUP(J4509,Products!$A$2:$C$49,3,FALSE)</f>
        <v/>
      </c>
      <c r="O4509">
        <f>K4509*L4509-M4509</f>
        <v/>
      </c>
      <c r="P4509">
        <f>TEXT(B4509,"yyyy-mm")</f>
        <v/>
      </c>
      <c r="Q4509">
        <f>IF(O4509&gt;=3000,"Large","Small")</f>
        <v/>
      </c>
      <c r="R4509">
        <f>INDEX(Products!$F$2:$F$49,MATCH(J4509,Products!$A$2:$A$49,0))</f>
        <v/>
      </c>
      <c r="S4509">
        <f>WEEKDAY(B4509,2)</f>
        <v/>
      </c>
    </row>
    <row r="4510">
      <c r="A4510" t="n">
        <v>511867</v>
      </c>
      <c r="B4510" s="6" t="n">
        <v>46022</v>
      </c>
      <c r="C4510" t="n">
        <v>17998</v>
      </c>
      <c r="D4510" t="inlineStr">
        <is>
          <t>Chandigarh</t>
        </is>
      </c>
      <c r="E4510" t="inlineStr">
        <is>
          <t>North</t>
        </is>
      </c>
      <c r="F4510" t="inlineStr">
        <is>
          <t>Paid Social</t>
        </is>
      </c>
      <c r="G4510" t="inlineStr">
        <is>
          <t>Mobile App</t>
        </is>
      </c>
      <c r="H4510" t="inlineStr">
        <is>
          <t>Credit Card</t>
        </is>
      </c>
      <c r="I4510" t="inlineStr">
        <is>
          <t>Shipped</t>
        </is>
      </c>
      <c r="J4510" t="n">
        <v>117</v>
      </c>
      <c r="K4510" t="n">
        <v>1</v>
      </c>
      <c r="L4510" t="n">
        <v>3149</v>
      </c>
      <c r="M4510" t="n">
        <v>0</v>
      </c>
      <c r="N4510">
        <f>VLOOKUP(J4510,Products!$A$2:$C$49,3,FALSE)</f>
        <v/>
      </c>
      <c r="O4510">
        <f>K4510*L4510-M4510</f>
        <v/>
      </c>
      <c r="P4510">
        <f>TEXT(B4510,"yyyy-mm")</f>
        <v/>
      </c>
      <c r="Q4510">
        <f>IF(O4510&gt;=3000,"Large","Small")</f>
        <v/>
      </c>
      <c r="R4510">
        <f>INDEX(Products!$F$2:$F$49,MATCH(J4510,Products!$A$2:$A$49,0))</f>
        <v/>
      </c>
      <c r="S4510">
        <f>WEEKDAY(B4510,2)</f>
        <v/>
      </c>
    </row>
    <row r="4511">
      <c r="A4511" t="n">
        <v>511868</v>
      </c>
      <c r="B4511" s="6" t="n">
        <v>46022</v>
      </c>
      <c r="C4511" t="n">
        <v>17943</v>
      </c>
      <c r="D4511" t="inlineStr">
        <is>
          <t>Chandigarh</t>
        </is>
      </c>
      <c r="E4511" t="inlineStr">
        <is>
          <t>North</t>
        </is>
      </c>
      <c r="F4511" t="inlineStr">
        <is>
          <t>Organic Search</t>
        </is>
      </c>
      <c r="G4511" t="inlineStr">
        <is>
          <t>Mobile Web</t>
        </is>
      </c>
      <c r="H4511" t="inlineStr">
        <is>
          <t>UPI</t>
        </is>
      </c>
      <c r="I4511" t="inlineStr">
        <is>
          <t>Shipped</t>
        </is>
      </c>
      <c r="J4511" t="n">
        <v>136</v>
      </c>
      <c r="K4511" t="n">
        <v>2</v>
      </c>
      <c r="L4511" t="n">
        <v>944</v>
      </c>
      <c r="M4511" t="n">
        <v>283.2</v>
      </c>
      <c r="N4511">
        <f>VLOOKUP(J4511,Products!$A$2:$C$49,3,FALSE)</f>
        <v/>
      </c>
      <c r="O4511">
        <f>K4511*L4511-M4511</f>
        <v/>
      </c>
      <c r="P4511">
        <f>TEXT(B4511,"yyyy-mm")</f>
        <v/>
      </c>
      <c r="Q4511">
        <f>IF(O4511&gt;=3000,"Large","Small")</f>
        <v/>
      </c>
      <c r="R4511">
        <f>INDEX(Products!$F$2:$F$49,MATCH(J4511,Products!$A$2:$A$49,0))</f>
        <v/>
      </c>
      <c r="S4511">
        <f>WEEKDAY(B4511,2)</f>
        <v/>
      </c>
    </row>
    <row r="4512">
      <c r="A4512" t="n">
        <v>511868</v>
      </c>
      <c r="B4512" s="6" t="n">
        <v>46022</v>
      </c>
      <c r="C4512" t="n">
        <v>17943</v>
      </c>
      <c r="D4512" t="inlineStr">
        <is>
          <t>Chandigarh</t>
        </is>
      </c>
      <c r="E4512" t="inlineStr">
        <is>
          <t>North</t>
        </is>
      </c>
      <c r="F4512" t="inlineStr">
        <is>
          <t>Organic Search</t>
        </is>
      </c>
      <c r="G4512" t="inlineStr">
        <is>
          <t>Mobile Web</t>
        </is>
      </c>
      <c r="H4512" t="inlineStr">
        <is>
          <t>UPI</t>
        </is>
      </c>
      <c r="I4512" t="inlineStr">
        <is>
          <t>Shipped</t>
        </is>
      </c>
      <c r="J4512" t="n">
        <v>123</v>
      </c>
      <c r="K4512" t="n">
        <v>1</v>
      </c>
      <c r="L4512" t="n">
        <v>3464</v>
      </c>
      <c r="M4512" t="n">
        <v>519.6</v>
      </c>
      <c r="N4512">
        <f>VLOOKUP(J4512,Products!$A$2:$C$49,3,FALSE)</f>
        <v/>
      </c>
      <c r="O4512">
        <f>K4512*L4512-M4512</f>
        <v/>
      </c>
      <c r="P4512">
        <f>TEXT(B4512,"yyyy-mm")</f>
        <v/>
      </c>
      <c r="Q4512">
        <f>IF(O4512&gt;=3000,"Large","Small")</f>
        <v/>
      </c>
      <c r="R4512">
        <f>INDEX(Products!$F$2:$F$49,MATCH(J4512,Products!$A$2:$A$49,0))</f>
        <v/>
      </c>
      <c r="S4512">
        <f>WEEKDAY(B4512,2)</f>
        <v/>
      </c>
    </row>
    <row r="4513">
      <c r="A4513" t="n">
        <v>511868</v>
      </c>
      <c r="B4513" s="6" t="n">
        <v>46022</v>
      </c>
      <c r="C4513" t="n">
        <v>17943</v>
      </c>
      <c r="D4513" t="inlineStr">
        <is>
          <t>Chandigarh</t>
        </is>
      </c>
      <c r="E4513" t="inlineStr">
        <is>
          <t>North</t>
        </is>
      </c>
      <c r="F4513" t="inlineStr">
        <is>
          <t>Organic Search</t>
        </is>
      </c>
      <c r="G4513" t="inlineStr">
        <is>
          <t>Mobile Web</t>
        </is>
      </c>
      <c r="H4513" t="inlineStr">
        <is>
          <t>UPI</t>
        </is>
      </c>
      <c r="I4513" t="inlineStr">
        <is>
          <t>Shipped</t>
        </is>
      </c>
      <c r="J4513" t="n">
        <v>113</v>
      </c>
      <c r="K4513" t="n">
        <v>1</v>
      </c>
      <c r="L4513" t="n">
        <v>1364</v>
      </c>
      <c r="M4513" t="n">
        <v>204.6</v>
      </c>
      <c r="N4513">
        <f>VLOOKUP(J4513,Products!$A$2:$C$49,3,FALSE)</f>
        <v/>
      </c>
      <c r="O4513">
        <f>K4513*L4513-M4513</f>
        <v/>
      </c>
      <c r="P4513">
        <f>TEXT(B4513,"yyyy-mm")</f>
        <v/>
      </c>
      <c r="Q4513">
        <f>IF(O4513&gt;=3000,"Large","Small")</f>
        <v/>
      </c>
      <c r="R4513">
        <f>INDEX(Products!$F$2:$F$49,MATCH(J4513,Products!$A$2:$A$49,0))</f>
        <v/>
      </c>
      <c r="S4513">
        <f>WEEKDAY(B4513,2)</f>
        <v/>
      </c>
    </row>
    <row r="4514">
      <c r="A4514" t="n">
        <v>511869</v>
      </c>
      <c r="B4514" s="6" t="n">
        <v>46022</v>
      </c>
      <c r="C4514" t="n">
        <v>17997</v>
      </c>
      <c r="D4514" t="inlineStr">
        <is>
          <t>Kolkata</t>
        </is>
      </c>
      <c r="E4514" t="inlineStr">
        <is>
          <t>East</t>
        </is>
      </c>
      <c r="F4514" t="inlineStr">
        <is>
          <t>Email</t>
        </is>
      </c>
      <c r="G4514" t="inlineStr">
        <is>
          <t>Mobile App</t>
        </is>
      </c>
      <c r="H4514" t="inlineStr">
        <is>
          <t>UPI</t>
        </is>
      </c>
      <c r="I4514" t="inlineStr">
        <is>
          <t>Shipped</t>
        </is>
      </c>
      <c r="J4514" t="n">
        <v>140</v>
      </c>
      <c r="K4514" t="n">
        <v>1</v>
      </c>
      <c r="L4514" t="n">
        <v>629</v>
      </c>
      <c r="M4514" t="n">
        <v>0</v>
      </c>
      <c r="N4514">
        <f>VLOOKUP(J4514,Products!$A$2:$C$49,3,FALSE)</f>
        <v/>
      </c>
      <c r="O4514">
        <f>K4514*L4514-M4514</f>
        <v/>
      </c>
      <c r="P4514">
        <f>TEXT(B4514,"yyyy-mm")</f>
        <v/>
      </c>
      <c r="Q4514">
        <f>IF(O4514&gt;=3000,"Large","Small")</f>
        <v/>
      </c>
      <c r="R4514">
        <f>INDEX(Products!$F$2:$F$49,MATCH(J4514,Products!$A$2:$A$49,0))</f>
        <v/>
      </c>
      <c r="S4514">
        <f>WEEKDAY(B4514,2)</f>
        <v/>
      </c>
    </row>
    <row r="4515">
      <c r="A4515" t="n">
        <v>511869</v>
      </c>
      <c r="B4515" s="6" t="n">
        <v>46022</v>
      </c>
      <c r="C4515" t="n">
        <v>17997</v>
      </c>
      <c r="D4515" t="inlineStr">
        <is>
          <t>Kolkata</t>
        </is>
      </c>
      <c r="E4515" t="inlineStr">
        <is>
          <t>East</t>
        </is>
      </c>
      <c r="F4515" t="inlineStr">
        <is>
          <t>Email</t>
        </is>
      </c>
      <c r="G4515" t="inlineStr">
        <is>
          <t>Mobile App</t>
        </is>
      </c>
      <c r="H4515" t="inlineStr">
        <is>
          <t>UPI</t>
        </is>
      </c>
      <c r="I4515" t="inlineStr">
        <is>
          <t>Shipped</t>
        </is>
      </c>
      <c r="J4515" t="n">
        <v>105</v>
      </c>
      <c r="K4515" t="n">
        <v>1</v>
      </c>
      <c r="L4515" t="n">
        <v>2414</v>
      </c>
      <c r="M4515" t="n">
        <v>0</v>
      </c>
      <c r="N4515">
        <f>VLOOKUP(J4515,Products!$A$2:$C$49,3,FALSE)</f>
        <v/>
      </c>
      <c r="O4515">
        <f>K4515*L4515-M4515</f>
        <v/>
      </c>
      <c r="P4515">
        <f>TEXT(B4515,"yyyy-mm")</f>
        <v/>
      </c>
      <c r="Q4515">
        <f>IF(O4515&gt;=3000,"Large","Small")</f>
        <v/>
      </c>
      <c r="R4515">
        <f>INDEX(Products!$F$2:$F$49,MATCH(J4515,Products!$A$2:$A$49,0))</f>
        <v/>
      </c>
      <c r="S4515">
        <f>WEEKDAY(B4515,2)</f>
        <v/>
      </c>
    </row>
    <row r="4516">
      <c r="A4516" t="n">
        <v>511870</v>
      </c>
      <c r="B4516" s="6" t="n">
        <v>46022</v>
      </c>
      <c r="C4516" t="n">
        <v>15652</v>
      </c>
      <c r="D4516" t="inlineStr">
        <is>
          <t>Delhi</t>
        </is>
      </c>
      <c r="E4516" t="inlineStr">
        <is>
          <t>North</t>
        </is>
      </c>
      <c r="F4516" t="inlineStr">
        <is>
          <t>Email</t>
        </is>
      </c>
      <c r="G4516" t="inlineStr">
        <is>
          <t>Mobile App</t>
        </is>
      </c>
      <c r="H4516" t="inlineStr">
        <is>
          <t>UPI</t>
        </is>
      </c>
      <c r="I4516" t="inlineStr">
        <is>
          <t>Shipped</t>
        </is>
      </c>
      <c r="J4516" t="n">
        <v>141</v>
      </c>
      <c r="K4516" t="n">
        <v>1</v>
      </c>
      <c r="L4516" t="n">
        <v>261</v>
      </c>
      <c r="M4516" t="n">
        <v>0</v>
      </c>
      <c r="N4516">
        <f>VLOOKUP(J4516,Products!$A$2:$C$49,3,FALSE)</f>
        <v/>
      </c>
      <c r="O4516">
        <f>K4516*L4516-M4516</f>
        <v/>
      </c>
      <c r="P4516">
        <f>TEXT(B4516,"yyyy-mm")</f>
        <v/>
      </c>
      <c r="Q4516">
        <f>IF(O4516&gt;=3000,"Large","Small")</f>
        <v/>
      </c>
      <c r="R4516">
        <f>INDEX(Products!$F$2:$F$49,MATCH(J4516,Products!$A$2:$A$49,0))</f>
        <v/>
      </c>
      <c r="S4516">
        <f>WEEKDAY(B4516,2)</f>
        <v/>
      </c>
    </row>
    <row r="4517">
      <c r="A4517" t="n">
        <v>511870</v>
      </c>
      <c r="B4517" s="6" t="n">
        <v>46022</v>
      </c>
      <c r="C4517" t="n">
        <v>15652</v>
      </c>
      <c r="D4517" t="inlineStr">
        <is>
          <t>Delhi</t>
        </is>
      </c>
      <c r="E4517" t="inlineStr">
        <is>
          <t>North</t>
        </is>
      </c>
      <c r="F4517" t="inlineStr">
        <is>
          <t>Email</t>
        </is>
      </c>
      <c r="G4517" t="inlineStr">
        <is>
          <t>Mobile App</t>
        </is>
      </c>
      <c r="H4517" t="inlineStr">
        <is>
          <t>UPI</t>
        </is>
      </c>
      <c r="I4517" t="inlineStr">
        <is>
          <t>Shipped</t>
        </is>
      </c>
      <c r="J4517" t="n">
        <v>126</v>
      </c>
      <c r="K4517" t="n">
        <v>1</v>
      </c>
      <c r="L4517" t="n">
        <v>471</v>
      </c>
      <c r="M4517" t="n">
        <v>0</v>
      </c>
      <c r="N4517">
        <f>VLOOKUP(J4517,Products!$A$2:$C$49,3,FALSE)</f>
        <v/>
      </c>
      <c r="O4517">
        <f>K4517*L4517-M4517</f>
        <v/>
      </c>
      <c r="P4517">
        <f>TEXT(B4517,"yyyy-mm")</f>
        <v/>
      </c>
      <c r="Q4517">
        <f>IF(O4517&gt;=3000,"Large","Small")</f>
        <v/>
      </c>
      <c r="R4517">
        <f>INDEX(Products!$F$2:$F$49,MATCH(J4517,Products!$A$2:$A$49,0))</f>
        <v/>
      </c>
      <c r="S4517">
        <f>WEEKDAY(B4517,2)</f>
        <v/>
      </c>
    </row>
    <row r="4518">
      <c r="A4518" t="n">
        <v>511870</v>
      </c>
      <c r="B4518" s="6" t="n">
        <v>46022</v>
      </c>
      <c r="C4518" t="n">
        <v>15652</v>
      </c>
      <c r="D4518" t="inlineStr">
        <is>
          <t>Delhi</t>
        </is>
      </c>
      <c r="E4518" t="inlineStr">
        <is>
          <t>North</t>
        </is>
      </c>
      <c r="F4518" t="inlineStr">
        <is>
          <t>Email</t>
        </is>
      </c>
      <c r="G4518" t="inlineStr">
        <is>
          <t>Mobile App</t>
        </is>
      </c>
      <c r="H4518" t="inlineStr">
        <is>
          <t>UPI</t>
        </is>
      </c>
      <c r="I4518" t="inlineStr">
        <is>
          <t>Shipped</t>
        </is>
      </c>
      <c r="J4518" t="n">
        <v>121</v>
      </c>
      <c r="K4518" t="n">
        <v>1</v>
      </c>
      <c r="L4518" t="n">
        <v>2939</v>
      </c>
      <c r="M4518" t="n">
        <v>0</v>
      </c>
      <c r="N4518">
        <f>VLOOKUP(J4518,Products!$A$2:$C$49,3,FALSE)</f>
        <v/>
      </c>
      <c r="O4518">
        <f>K4518*L4518-M4518</f>
        <v/>
      </c>
      <c r="P4518">
        <f>TEXT(B4518,"yyyy-mm")</f>
        <v/>
      </c>
      <c r="Q4518">
        <f>IF(O4518&gt;=3000,"Large","Small")</f>
        <v/>
      </c>
      <c r="R4518">
        <f>INDEX(Products!$F$2:$F$49,MATCH(J4518,Products!$A$2:$A$49,0))</f>
        <v/>
      </c>
      <c r="S4518">
        <f>WEEKDAY(B4518,2)</f>
        <v/>
      </c>
    </row>
    <row r="4519">
      <c r="A4519" t="n">
        <v>511871</v>
      </c>
      <c r="B4519" s="6" t="n">
        <v>46022</v>
      </c>
      <c r="C4519" t="n">
        <v>17961</v>
      </c>
      <c r="D4519" t="inlineStr">
        <is>
          <t>Delhi</t>
        </is>
      </c>
      <c r="E4519" t="inlineStr">
        <is>
          <t>North</t>
        </is>
      </c>
      <c r="F4519" t="inlineStr">
        <is>
          <t>Affiliate</t>
        </is>
      </c>
      <c r="G4519" t="inlineStr">
        <is>
          <t>Mobile App</t>
        </is>
      </c>
      <c r="H4519" t="inlineStr">
        <is>
          <t>UPI</t>
        </is>
      </c>
      <c r="I4519" t="inlineStr">
        <is>
          <t>Shipped</t>
        </is>
      </c>
      <c r="J4519" t="n">
        <v>109</v>
      </c>
      <c r="K4519" t="n">
        <v>1</v>
      </c>
      <c r="L4519" t="n">
        <v>4199</v>
      </c>
      <c r="M4519" t="n">
        <v>629.85</v>
      </c>
      <c r="N4519">
        <f>VLOOKUP(J4519,Products!$A$2:$C$49,3,FALSE)</f>
        <v/>
      </c>
      <c r="O4519">
        <f>K4519*L4519-M4519</f>
        <v/>
      </c>
      <c r="P4519">
        <f>TEXT(B4519,"yyyy-mm")</f>
        <v/>
      </c>
      <c r="Q4519">
        <f>IF(O4519&gt;=3000,"Large","Small")</f>
        <v/>
      </c>
      <c r="R4519">
        <f>INDEX(Products!$F$2:$F$49,MATCH(J4519,Products!$A$2:$A$49,0))</f>
        <v/>
      </c>
      <c r="S4519">
        <f>WEEKDAY(B4519,2)</f>
        <v/>
      </c>
    </row>
    <row r="4520">
      <c r="A4520" t="n">
        <v>511872</v>
      </c>
      <c r="B4520" s="6" t="n">
        <v>46022</v>
      </c>
      <c r="C4520" t="n">
        <v>17772</v>
      </c>
      <c r="D4520" t="inlineStr">
        <is>
          <t>Noida</t>
        </is>
      </c>
      <c r="E4520" t="inlineStr">
        <is>
          <t>North</t>
        </is>
      </c>
      <c r="F4520" t="inlineStr">
        <is>
          <t>Email</t>
        </is>
      </c>
      <c r="G4520" t="inlineStr">
        <is>
          <t>Mobile Web</t>
        </is>
      </c>
      <c r="H4520" t="inlineStr">
        <is>
          <t>Credit Card</t>
        </is>
      </c>
      <c r="I4520" t="inlineStr">
        <is>
          <t>Shipped</t>
        </is>
      </c>
      <c r="J4520" t="n">
        <v>111</v>
      </c>
      <c r="K4520" t="n">
        <v>1</v>
      </c>
      <c r="L4520" t="n">
        <v>524</v>
      </c>
      <c r="M4520" t="n">
        <v>78.59999999999999</v>
      </c>
      <c r="N4520">
        <f>VLOOKUP(J4520,Products!$A$2:$C$49,3,FALSE)</f>
        <v/>
      </c>
      <c r="O4520">
        <f>K4520*L4520-M4520</f>
        <v/>
      </c>
      <c r="P4520">
        <f>TEXT(B4520,"yyyy-mm")</f>
        <v/>
      </c>
      <c r="Q4520">
        <f>IF(O4520&gt;=3000,"Large","Small")</f>
        <v/>
      </c>
      <c r="R4520">
        <f>INDEX(Products!$F$2:$F$49,MATCH(J4520,Products!$A$2:$A$49,0))</f>
        <v/>
      </c>
      <c r="S4520">
        <f>WEEKDAY(B4520,2)</f>
        <v/>
      </c>
    </row>
    <row r="4521">
      <c r="A4521" t="n">
        <v>511873</v>
      </c>
      <c r="B4521" s="6" t="n">
        <v>46022</v>
      </c>
      <c r="C4521" t="n">
        <v>17985</v>
      </c>
      <c r="D4521" t="inlineStr">
        <is>
          <t>Mumbai</t>
        </is>
      </c>
      <c r="E4521" t="inlineStr">
        <is>
          <t>West</t>
        </is>
      </c>
      <c r="F4521" t="inlineStr">
        <is>
          <t>Paid Social</t>
        </is>
      </c>
      <c r="G4521" t="inlineStr">
        <is>
          <t>Mobile Web</t>
        </is>
      </c>
      <c r="H4521" t="inlineStr">
        <is>
          <t>Cash on Delivery</t>
        </is>
      </c>
      <c r="I4521" t="inlineStr">
        <is>
          <t>Shipped</t>
        </is>
      </c>
      <c r="J4521" t="n">
        <v>141</v>
      </c>
      <c r="K4521" t="n">
        <v>1</v>
      </c>
      <c r="L4521" t="n">
        <v>261</v>
      </c>
      <c r="M4521" t="n">
        <v>0</v>
      </c>
      <c r="N4521">
        <f>VLOOKUP(J4521,Products!$A$2:$C$49,3,FALSE)</f>
        <v/>
      </c>
      <c r="O4521">
        <f>K4521*L4521-M4521</f>
        <v/>
      </c>
      <c r="P4521">
        <f>TEXT(B4521,"yyyy-mm")</f>
        <v/>
      </c>
      <c r="Q4521">
        <f>IF(O4521&gt;=3000,"Large","Small")</f>
        <v/>
      </c>
      <c r="R4521">
        <f>INDEX(Products!$F$2:$F$49,MATCH(J4521,Products!$A$2:$A$49,0))</f>
        <v/>
      </c>
      <c r="S4521">
        <f>WEEKDAY(B4521,2)</f>
        <v/>
      </c>
    </row>
    <row r="4522">
      <c r="A4522" t="n">
        <v>511874</v>
      </c>
      <c r="B4522" s="6" t="n">
        <v>46022</v>
      </c>
      <c r="C4522" t="n">
        <v>17855</v>
      </c>
      <c r="D4522" t="inlineStr">
        <is>
          <t>Delhi</t>
        </is>
      </c>
      <c r="E4522" t="inlineStr">
        <is>
          <t>North</t>
        </is>
      </c>
      <c r="F4522" t="inlineStr">
        <is>
          <t>Organic Search</t>
        </is>
      </c>
      <c r="G4522" t="inlineStr">
        <is>
          <t>Mobile Web</t>
        </is>
      </c>
      <c r="H4522" t="inlineStr">
        <is>
          <t>Cash on Delivery</t>
        </is>
      </c>
      <c r="I4522" t="inlineStr">
        <is>
          <t>Cancelled</t>
        </is>
      </c>
      <c r="J4522" t="n">
        <v>130</v>
      </c>
      <c r="K4522" t="n">
        <v>1</v>
      </c>
      <c r="L4522" t="n">
        <v>734</v>
      </c>
      <c r="M4522" t="n">
        <v>0</v>
      </c>
      <c r="N4522">
        <f>VLOOKUP(J4522,Products!$A$2:$C$49,3,FALSE)</f>
        <v/>
      </c>
      <c r="O4522">
        <f>K4522*L4522-M4522</f>
        <v/>
      </c>
      <c r="P4522">
        <f>TEXT(B4522,"yyyy-mm")</f>
        <v/>
      </c>
      <c r="Q4522">
        <f>IF(O4522&gt;=3000,"Large","Small")</f>
        <v/>
      </c>
      <c r="R4522">
        <f>INDEX(Products!$F$2:$F$49,MATCH(J4522,Products!$A$2:$A$49,0))</f>
        <v/>
      </c>
      <c r="S4522">
        <f>WEEKDAY(B4522,2)</f>
        <v/>
      </c>
    </row>
    <row r="4523">
      <c r="A4523" t="n">
        <v>511874</v>
      </c>
      <c r="B4523" s="6" t="n">
        <v>46022</v>
      </c>
      <c r="C4523" t="n">
        <v>17855</v>
      </c>
      <c r="D4523" t="inlineStr">
        <is>
          <t>Delhi</t>
        </is>
      </c>
      <c r="E4523" t="inlineStr">
        <is>
          <t>North</t>
        </is>
      </c>
      <c r="F4523" t="inlineStr">
        <is>
          <t>Organic Search</t>
        </is>
      </c>
      <c r="G4523" t="inlineStr">
        <is>
          <t>Mobile Web</t>
        </is>
      </c>
      <c r="H4523" t="inlineStr">
        <is>
          <t>Cash on Delivery</t>
        </is>
      </c>
      <c r="I4523" t="inlineStr">
        <is>
          <t>Cancelled</t>
        </is>
      </c>
      <c r="J4523" t="n">
        <v>120</v>
      </c>
      <c r="K4523" t="n">
        <v>1</v>
      </c>
      <c r="L4523" t="n">
        <v>734</v>
      </c>
      <c r="M4523" t="n">
        <v>0</v>
      </c>
      <c r="N4523">
        <f>VLOOKUP(J4523,Products!$A$2:$C$49,3,FALSE)</f>
        <v/>
      </c>
      <c r="O4523">
        <f>K4523*L4523-M4523</f>
        <v/>
      </c>
      <c r="P4523">
        <f>TEXT(B4523,"yyyy-mm")</f>
        <v/>
      </c>
      <c r="Q4523">
        <f>IF(O4523&gt;=3000,"Large","Small")</f>
        <v/>
      </c>
      <c r="R4523">
        <f>INDEX(Products!$F$2:$F$49,MATCH(J4523,Products!$A$2:$A$49,0))</f>
        <v/>
      </c>
      <c r="S4523">
        <f>WEEKDAY(B4523,2)</f>
        <v/>
      </c>
    </row>
    <row r="4524">
      <c r="A4524" t="n">
        <v>511874</v>
      </c>
      <c r="B4524" s="6" t="n">
        <v>46022</v>
      </c>
      <c r="C4524" t="n">
        <v>17855</v>
      </c>
      <c r="D4524" t="inlineStr">
        <is>
          <t>Delhi</t>
        </is>
      </c>
      <c r="E4524" t="inlineStr">
        <is>
          <t>North</t>
        </is>
      </c>
      <c r="F4524" t="inlineStr">
        <is>
          <t>Organic Search</t>
        </is>
      </c>
      <c r="G4524" t="inlineStr">
        <is>
          <t>Mobile Web</t>
        </is>
      </c>
      <c r="H4524" t="inlineStr">
        <is>
          <t>Cash on Delivery</t>
        </is>
      </c>
      <c r="I4524" t="inlineStr">
        <is>
          <t>Cancelled</t>
        </is>
      </c>
      <c r="J4524" t="n">
        <v>131</v>
      </c>
      <c r="K4524" t="n">
        <v>2</v>
      </c>
      <c r="L4524" t="n">
        <v>314</v>
      </c>
      <c r="M4524" t="n">
        <v>0</v>
      </c>
      <c r="N4524">
        <f>VLOOKUP(J4524,Products!$A$2:$C$49,3,FALSE)</f>
        <v/>
      </c>
      <c r="O4524">
        <f>K4524*L4524-M4524</f>
        <v/>
      </c>
      <c r="P4524">
        <f>TEXT(B4524,"yyyy-mm")</f>
        <v/>
      </c>
      <c r="Q4524">
        <f>IF(O4524&gt;=3000,"Large","Small")</f>
        <v/>
      </c>
      <c r="R4524">
        <f>INDEX(Products!$F$2:$F$49,MATCH(J4524,Products!$A$2:$A$49,0))</f>
        <v/>
      </c>
      <c r="S4524">
        <f>WEEKDAY(B4524,2)</f>
        <v/>
      </c>
    </row>
    <row r="4525">
      <c r="A4525" t="n">
        <v>511875</v>
      </c>
      <c r="B4525" s="6" t="n">
        <v>46022</v>
      </c>
      <c r="C4525" t="n">
        <v>17030</v>
      </c>
      <c r="D4525" t="inlineStr">
        <is>
          <t>Delhi</t>
        </is>
      </c>
      <c r="E4525" t="inlineStr">
        <is>
          <t>North</t>
        </is>
      </c>
      <c r="F4525" t="inlineStr">
        <is>
          <t>Organic Search</t>
        </is>
      </c>
      <c r="G4525" t="inlineStr">
        <is>
          <t>Desktop</t>
        </is>
      </c>
      <c r="H4525" t="inlineStr">
        <is>
          <t>UPI</t>
        </is>
      </c>
      <c r="I4525" t="inlineStr">
        <is>
          <t>Shipped</t>
        </is>
      </c>
      <c r="J4525" t="n">
        <v>126</v>
      </c>
      <c r="K4525" t="n">
        <v>1</v>
      </c>
      <c r="L4525" t="n">
        <v>471</v>
      </c>
      <c r="M4525" t="n">
        <v>0</v>
      </c>
      <c r="N4525">
        <f>VLOOKUP(J4525,Products!$A$2:$C$49,3,FALSE)</f>
        <v/>
      </c>
      <c r="O4525">
        <f>K4525*L4525-M4525</f>
        <v/>
      </c>
      <c r="P4525">
        <f>TEXT(B4525,"yyyy-mm")</f>
        <v/>
      </c>
      <c r="Q4525">
        <f>IF(O4525&gt;=3000,"Large","Small")</f>
        <v/>
      </c>
      <c r="R4525">
        <f>INDEX(Products!$F$2:$F$49,MATCH(J4525,Products!$A$2:$A$49,0))</f>
        <v/>
      </c>
      <c r="S4525">
        <f>WEEKDAY(B4525,2)</f>
        <v/>
      </c>
    </row>
    <row r="4526">
      <c r="A4526" t="n">
        <v>511876</v>
      </c>
      <c r="B4526" s="6" t="n">
        <v>46022</v>
      </c>
      <c r="C4526" t="n">
        <v>16768</v>
      </c>
      <c r="D4526" t="inlineStr">
        <is>
          <t>Kolkata</t>
        </is>
      </c>
      <c r="E4526" t="inlineStr">
        <is>
          <t>East</t>
        </is>
      </c>
      <c r="F4526" t="inlineStr">
        <is>
          <t>Paid Search</t>
        </is>
      </c>
      <c r="G4526" t="inlineStr">
        <is>
          <t>Mobile App</t>
        </is>
      </c>
      <c r="H4526" t="inlineStr">
        <is>
          <t>Credit Card</t>
        </is>
      </c>
      <c r="I4526" t="inlineStr">
        <is>
          <t>Shipped</t>
        </is>
      </c>
      <c r="J4526" t="n">
        <v>134</v>
      </c>
      <c r="K4526" t="n">
        <v>1</v>
      </c>
      <c r="L4526" t="n">
        <v>209</v>
      </c>
      <c r="M4526" t="n">
        <v>0</v>
      </c>
      <c r="N4526">
        <f>VLOOKUP(J4526,Products!$A$2:$C$49,3,FALSE)</f>
        <v/>
      </c>
      <c r="O4526">
        <f>K4526*L4526-M4526</f>
        <v/>
      </c>
      <c r="P4526">
        <f>TEXT(B4526,"yyyy-mm")</f>
        <v/>
      </c>
      <c r="Q4526">
        <f>IF(O4526&gt;=3000,"Large","Small")</f>
        <v/>
      </c>
      <c r="R4526">
        <f>INDEX(Products!$F$2:$F$49,MATCH(J4526,Products!$A$2:$A$49,0))</f>
        <v/>
      </c>
      <c r="S4526">
        <f>WEEKDAY(B4526,2)</f>
        <v/>
      </c>
    </row>
    <row r="4527">
      <c r="A4527" t="n">
        <v>511877</v>
      </c>
      <c r="B4527" s="6" t="n">
        <v>46022</v>
      </c>
      <c r="C4527" t="n">
        <v>15761</v>
      </c>
      <c r="D4527" t="inlineStr">
        <is>
          <t>Lucknow</t>
        </is>
      </c>
      <c r="E4527" t="inlineStr">
        <is>
          <t>North</t>
        </is>
      </c>
      <c r="F4527" t="inlineStr">
        <is>
          <t>Paid Social</t>
        </is>
      </c>
      <c r="G4527" t="inlineStr">
        <is>
          <t>Desktop</t>
        </is>
      </c>
      <c r="H4527" t="inlineStr">
        <is>
          <t>UPI</t>
        </is>
      </c>
      <c r="I4527" t="inlineStr">
        <is>
          <t>Shipped</t>
        </is>
      </c>
      <c r="J4527" t="n">
        <v>123</v>
      </c>
      <c r="K4527" t="n">
        <v>1</v>
      </c>
      <c r="L4527" t="n">
        <v>3464</v>
      </c>
      <c r="M4527" t="n">
        <v>0</v>
      </c>
      <c r="N4527">
        <f>VLOOKUP(J4527,Products!$A$2:$C$49,3,FALSE)</f>
        <v/>
      </c>
      <c r="O4527">
        <f>K4527*L4527-M4527</f>
        <v/>
      </c>
      <c r="P4527">
        <f>TEXT(B4527,"yyyy-mm")</f>
        <v/>
      </c>
      <c r="Q4527">
        <f>IF(O4527&gt;=3000,"Large","Small")</f>
        <v/>
      </c>
      <c r="R4527">
        <f>INDEX(Products!$F$2:$F$49,MATCH(J4527,Products!$A$2:$A$49,0))</f>
        <v/>
      </c>
      <c r="S4527">
        <f>WEEKDAY(B4527,2)</f>
        <v/>
      </c>
    </row>
    <row r="4528">
      <c r="A4528" t="n">
        <v>511877</v>
      </c>
      <c r="B4528" s="6" t="n">
        <v>46022</v>
      </c>
      <c r="C4528" t="n">
        <v>15761</v>
      </c>
      <c r="D4528" t="inlineStr">
        <is>
          <t>Lucknow</t>
        </is>
      </c>
      <c r="E4528" t="inlineStr">
        <is>
          <t>North</t>
        </is>
      </c>
      <c r="F4528" t="inlineStr">
        <is>
          <t>Paid Social</t>
        </is>
      </c>
      <c r="G4528" t="inlineStr">
        <is>
          <t>Desktop</t>
        </is>
      </c>
      <c r="H4528" t="inlineStr">
        <is>
          <t>UPI</t>
        </is>
      </c>
      <c r="I4528" t="inlineStr">
        <is>
          <t>Shipped</t>
        </is>
      </c>
      <c r="J4528" t="n">
        <v>107</v>
      </c>
      <c r="K4528" t="n">
        <v>2</v>
      </c>
      <c r="L4528" t="n">
        <v>1259</v>
      </c>
      <c r="M4528" t="n">
        <v>0</v>
      </c>
      <c r="N4528">
        <f>VLOOKUP(J4528,Products!$A$2:$C$49,3,FALSE)</f>
        <v/>
      </c>
      <c r="O4528">
        <f>K4528*L4528-M4528</f>
        <v/>
      </c>
      <c r="P4528">
        <f>TEXT(B4528,"yyyy-mm")</f>
        <v/>
      </c>
      <c r="Q4528">
        <f>IF(O4528&gt;=3000,"Large","Small")</f>
        <v/>
      </c>
      <c r="R4528">
        <f>INDEX(Products!$F$2:$F$49,MATCH(J4528,Products!$A$2:$A$49,0))</f>
        <v/>
      </c>
      <c r="S4528">
        <f>WEEKDAY(B4528,2)</f>
        <v/>
      </c>
    </row>
    <row r="4529">
      <c r="A4529" t="n">
        <v>511878</v>
      </c>
      <c r="B4529" s="6" t="n">
        <v>46022</v>
      </c>
      <c r="C4529" t="n">
        <v>17064</v>
      </c>
      <c r="D4529" t="inlineStr">
        <is>
          <t>Chandigarh</t>
        </is>
      </c>
      <c r="E4529" t="inlineStr">
        <is>
          <t>North</t>
        </is>
      </c>
      <c r="F4529" t="inlineStr">
        <is>
          <t>Email</t>
        </is>
      </c>
      <c r="G4529" t="inlineStr">
        <is>
          <t>Mobile Web</t>
        </is>
      </c>
      <c r="H4529" t="inlineStr">
        <is>
          <t>UPI</t>
        </is>
      </c>
      <c r="I4529" t="inlineStr">
        <is>
          <t>Shipped</t>
        </is>
      </c>
      <c r="J4529" t="n">
        <v>113</v>
      </c>
      <c r="K4529" t="n">
        <v>1</v>
      </c>
      <c r="L4529" t="n">
        <v>1364</v>
      </c>
      <c r="M4529" t="n">
        <v>68.2</v>
      </c>
      <c r="N4529">
        <f>VLOOKUP(J4529,Products!$A$2:$C$49,3,FALSE)</f>
        <v/>
      </c>
      <c r="O4529">
        <f>K4529*L4529-M4529</f>
        <v/>
      </c>
      <c r="P4529">
        <f>TEXT(B4529,"yyyy-mm")</f>
        <v/>
      </c>
      <c r="Q4529">
        <f>IF(O4529&gt;=3000,"Large","Small")</f>
        <v/>
      </c>
      <c r="R4529">
        <f>INDEX(Products!$F$2:$F$49,MATCH(J4529,Products!$A$2:$A$49,0))</f>
        <v/>
      </c>
      <c r="S4529">
        <f>WEEKDAY(B4529,2)</f>
        <v/>
      </c>
    </row>
    <row r="4530">
      <c r="A4530" t="n">
        <v>511878</v>
      </c>
      <c r="B4530" s="6" t="n">
        <v>46022</v>
      </c>
      <c r="C4530" t="n">
        <v>17064</v>
      </c>
      <c r="D4530" t="inlineStr">
        <is>
          <t>Chandigarh</t>
        </is>
      </c>
      <c r="E4530" t="inlineStr">
        <is>
          <t>North</t>
        </is>
      </c>
      <c r="F4530" t="inlineStr">
        <is>
          <t>Email</t>
        </is>
      </c>
      <c r="G4530" t="inlineStr">
        <is>
          <t>Mobile Web</t>
        </is>
      </c>
      <c r="H4530" t="inlineStr">
        <is>
          <t>UPI</t>
        </is>
      </c>
      <c r="I4530" t="inlineStr">
        <is>
          <t>Shipped</t>
        </is>
      </c>
      <c r="J4530" t="n">
        <v>130</v>
      </c>
      <c r="K4530" t="n">
        <v>1</v>
      </c>
      <c r="L4530" t="n">
        <v>734</v>
      </c>
      <c r="M4530" t="n">
        <v>36.7</v>
      </c>
      <c r="N4530">
        <f>VLOOKUP(J4530,Products!$A$2:$C$49,3,FALSE)</f>
        <v/>
      </c>
      <c r="O4530">
        <f>K4530*L4530-M4530</f>
        <v/>
      </c>
      <c r="P4530">
        <f>TEXT(B4530,"yyyy-mm")</f>
        <v/>
      </c>
      <c r="Q4530">
        <f>IF(O4530&gt;=3000,"Large","Small")</f>
        <v/>
      </c>
      <c r="R4530">
        <f>INDEX(Products!$F$2:$F$49,MATCH(J4530,Products!$A$2:$A$49,0))</f>
        <v/>
      </c>
      <c r="S4530">
        <f>WEEKDAY(B4530,2)</f>
        <v/>
      </c>
    </row>
    <row r="4531">
      <c r="A4531" t="n">
        <v>511879</v>
      </c>
      <c r="B4531" s="6" t="n">
        <v>46022</v>
      </c>
      <c r="C4531" t="n">
        <v>15125</v>
      </c>
      <c r="D4531" t="inlineStr">
        <is>
          <t>Pune</t>
        </is>
      </c>
      <c r="E4531" t="inlineStr">
        <is>
          <t>West</t>
        </is>
      </c>
      <c r="F4531" t="inlineStr">
        <is>
          <t>Organic Search</t>
        </is>
      </c>
      <c r="G4531" t="inlineStr">
        <is>
          <t>Mobile App</t>
        </is>
      </c>
      <c r="H4531" t="inlineStr">
        <is>
          <t>UPI</t>
        </is>
      </c>
      <c r="I4531" t="inlineStr">
        <is>
          <t>Shipped</t>
        </is>
      </c>
      <c r="J4531" t="n">
        <v>123</v>
      </c>
      <c r="K4531" t="n">
        <v>1</v>
      </c>
      <c r="L4531" t="n">
        <v>3464</v>
      </c>
      <c r="M4531" t="n">
        <v>0</v>
      </c>
      <c r="N4531">
        <f>VLOOKUP(J4531,Products!$A$2:$C$49,3,FALSE)</f>
        <v/>
      </c>
      <c r="O4531">
        <f>K4531*L4531-M4531</f>
        <v/>
      </c>
      <c r="P4531">
        <f>TEXT(B4531,"yyyy-mm")</f>
        <v/>
      </c>
      <c r="Q4531">
        <f>IF(O4531&gt;=3000,"Large","Small")</f>
        <v/>
      </c>
      <c r="R4531">
        <f>INDEX(Products!$F$2:$F$49,MATCH(J4531,Products!$A$2:$A$49,0))</f>
        <v/>
      </c>
      <c r="S4531">
        <f>WEEKDAY(B4531,2)</f>
        <v/>
      </c>
    </row>
    <row r="4532">
      <c r="A4532" t="n">
        <v>511879</v>
      </c>
      <c r="B4532" s="6" t="n">
        <v>46022</v>
      </c>
      <c r="C4532" t="n">
        <v>15125</v>
      </c>
      <c r="D4532" t="inlineStr">
        <is>
          <t>Pune</t>
        </is>
      </c>
      <c r="E4532" t="inlineStr">
        <is>
          <t>West</t>
        </is>
      </c>
      <c r="F4532" t="inlineStr">
        <is>
          <t>Organic Search</t>
        </is>
      </c>
      <c r="G4532" t="inlineStr">
        <is>
          <t>Mobile App</t>
        </is>
      </c>
      <c r="H4532" t="inlineStr">
        <is>
          <t>UPI</t>
        </is>
      </c>
      <c r="I4532" t="inlineStr">
        <is>
          <t>Shipped</t>
        </is>
      </c>
      <c r="J4532" t="n">
        <v>111</v>
      </c>
      <c r="K4532" t="n">
        <v>1</v>
      </c>
      <c r="L4532" t="n">
        <v>524</v>
      </c>
      <c r="M4532" t="n">
        <v>0</v>
      </c>
      <c r="N4532">
        <f>VLOOKUP(J4532,Products!$A$2:$C$49,3,FALSE)</f>
        <v/>
      </c>
      <c r="O4532">
        <f>K4532*L4532-M4532</f>
        <v/>
      </c>
      <c r="P4532">
        <f>TEXT(B4532,"yyyy-mm")</f>
        <v/>
      </c>
      <c r="Q4532">
        <f>IF(O4532&gt;=3000,"Large","Small")</f>
        <v/>
      </c>
      <c r="R4532">
        <f>INDEX(Products!$F$2:$F$49,MATCH(J4532,Products!$A$2:$A$49,0))</f>
        <v/>
      </c>
      <c r="S4532">
        <f>WEEKDAY(B4532,2)</f>
        <v/>
      </c>
    </row>
    <row r="4533">
      <c r="A4533" t="n">
        <v>511880</v>
      </c>
      <c r="B4533" s="6" t="n">
        <v>46022</v>
      </c>
      <c r="C4533" t="n">
        <v>15287</v>
      </c>
      <c r="D4533" t="inlineStr">
        <is>
          <t>Ahmedabad</t>
        </is>
      </c>
      <c r="E4533" t="inlineStr">
        <is>
          <t>West</t>
        </is>
      </c>
      <c r="F4533" t="inlineStr">
        <is>
          <t>Referral</t>
        </is>
      </c>
      <c r="G4533" t="inlineStr">
        <is>
          <t>Mobile App</t>
        </is>
      </c>
      <c r="H4533" t="inlineStr">
        <is>
          <t>UPI</t>
        </is>
      </c>
      <c r="I4533" t="inlineStr">
        <is>
          <t>Shipped</t>
        </is>
      </c>
      <c r="J4533" t="n">
        <v>116</v>
      </c>
      <c r="K4533" t="n">
        <v>1</v>
      </c>
      <c r="L4533" t="n">
        <v>2624</v>
      </c>
      <c r="M4533" t="n">
        <v>0</v>
      </c>
      <c r="N4533">
        <f>VLOOKUP(J4533,Products!$A$2:$C$49,3,FALSE)</f>
        <v/>
      </c>
      <c r="O4533">
        <f>K4533*L4533-M4533</f>
        <v/>
      </c>
      <c r="P4533">
        <f>TEXT(B4533,"yyyy-mm")</f>
        <v/>
      </c>
      <c r="Q4533">
        <f>IF(O4533&gt;=3000,"Large","Small")</f>
        <v/>
      </c>
      <c r="R4533">
        <f>INDEX(Products!$F$2:$F$49,MATCH(J4533,Products!$A$2:$A$49,0))</f>
        <v/>
      </c>
      <c r="S4533">
        <f>WEEKDAY(B4533,2)</f>
        <v/>
      </c>
    </row>
    <row r="4534">
      <c r="A4534" t="n">
        <v>511880</v>
      </c>
      <c r="B4534" s="6" t="n">
        <v>46022</v>
      </c>
      <c r="C4534" t="n">
        <v>15287</v>
      </c>
      <c r="D4534" t="inlineStr">
        <is>
          <t>Ahmedabad</t>
        </is>
      </c>
      <c r="E4534" t="inlineStr">
        <is>
          <t>West</t>
        </is>
      </c>
      <c r="F4534" t="inlineStr">
        <is>
          <t>Referral</t>
        </is>
      </c>
      <c r="G4534" t="inlineStr">
        <is>
          <t>Mobile App</t>
        </is>
      </c>
      <c r="H4534" t="inlineStr">
        <is>
          <t>UPI</t>
        </is>
      </c>
      <c r="I4534" t="inlineStr">
        <is>
          <t>Shipped</t>
        </is>
      </c>
      <c r="J4534" t="n">
        <v>101</v>
      </c>
      <c r="K4534" t="n">
        <v>1</v>
      </c>
      <c r="L4534" t="n">
        <v>2099</v>
      </c>
      <c r="M4534" t="n">
        <v>0</v>
      </c>
      <c r="N4534">
        <f>VLOOKUP(J4534,Products!$A$2:$C$49,3,FALSE)</f>
        <v/>
      </c>
      <c r="O4534">
        <f>K4534*L4534-M4534</f>
        <v/>
      </c>
      <c r="P4534">
        <f>TEXT(B4534,"yyyy-mm")</f>
        <v/>
      </c>
      <c r="Q4534">
        <f>IF(O4534&gt;=3000,"Large","Small")</f>
        <v/>
      </c>
      <c r="R4534">
        <f>INDEX(Products!$F$2:$F$49,MATCH(J4534,Products!$A$2:$A$49,0))</f>
        <v/>
      </c>
      <c r="S4534">
        <f>WEEKDAY(B4534,2)</f>
        <v/>
      </c>
    </row>
    <row r="4535">
      <c r="A4535" t="n">
        <v>511880</v>
      </c>
      <c r="B4535" s="6" t="n">
        <v>46022</v>
      </c>
      <c r="C4535" t="n">
        <v>15287</v>
      </c>
      <c r="D4535" t="inlineStr">
        <is>
          <t>Ahmedabad</t>
        </is>
      </c>
      <c r="E4535" t="inlineStr">
        <is>
          <t>West</t>
        </is>
      </c>
      <c r="F4535" t="inlineStr">
        <is>
          <t>Referral</t>
        </is>
      </c>
      <c r="G4535" t="inlineStr">
        <is>
          <t>Mobile App</t>
        </is>
      </c>
      <c r="H4535" t="inlineStr">
        <is>
          <t>UPI</t>
        </is>
      </c>
      <c r="I4535" t="inlineStr">
        <is>
          <t>Shipped</t>
        </is>
      </c>
      <c r="J4535" t="n">
        <v>107</v>
      </c>
      <c r="K4535" t="n">
        <v>2</v>
      </c>
      <c r="L4535" t="n">
        <v>1259</v>
      </c>
      <c r="M4535" t="n">
        <v>0</v>
      </c>
      <c r="N4535">
        <f>VLOOKUP(J4535,Products!$A$2:$C$49,3,FALSE)</f>
        <v/>
      </c>
      <c r="O4535">
        <f>K4535*L4535-M4535</f>
        <v/>
      </c>
      <c r="P4535">
        <f>TEXT(B4535,"yyyy-mm")</f>
        <v/>
      </c>
      <c r="Q4535">
        <f>IF(O4535&gt;=3000,"Large","Small")</f>
        <v/>
      </c>
      <c r="R4535">
        <f>INDEX(Products!$F$2:$F$49,MATCH(J4535,Products!$A$2:$A$49,0))</f>
        <v/>
      </c>
      <c r="S4535">
        <f>WEEKDAY(B4535,2)</f>
        <v/>
      </c>
    </row>
    <row r="4536">
      <c r="A4536" t="n">
        <v>511881</v>
      </c>
      <c r="B4536" s="6" t="n">
        <v>46022</v>
      </c>
      <c r="C4536" t="n">
        <v>13248</v>
      </c>
      <c r="D4536" t="inlineStr">
        <is>
          <t>Delhi</t>
        </is>
      </c>
      <c r="E4536" t="inlineStr">
        <is>
          <t>North</t>
        </is>
      </c>
      <c r="F4536" t="inlineStr">
        <is>
          <t>Paid Search</t>
        </is>
      </c>
      <c r="G4536" t="inlineStr">
        <is>
          <t>Mobile App</t>
        </is>
      </c>
      <c r="H4536" t="inlineStr">
        <is>
          <t>UPI</t>
        </is>
      </c>
      <c r="I4536" t="inlineStr">
        <is>
          <t>Shipped</t>
        </is>
      </c>
      <c r="J4536" t="n">
        <v>125</v>
      </c>
      <c r="K4536" t="n">
        <v>1</v>
      </c>
      <c r="L4536" t="n">
        <v>1364</v>
      </c>
      <c r="M4536" t="n">
        <v>68.2</v>
      </c>
      <c r="N4536">
        <f>VLOOKUP(J4536,Products!$A$2:$C$49,3,FALSE)</f>
        <v/>
      </c>
      <c r="O4536">
        <f>K4536*L4536-M4536</f>
        <v/>
      </c>
      <c r="P4536">
        <f>TEXT(B4536,"yyyy-mm")</f>
        <v/>
      </c>
      <c r="Q4536">
        <f>IF(O4536&gt;=3000,"Large","Small")</f>
        <v/>
      </c>
      <c r="R4536">
        <f>INDEX(Products!$F$2:$F$49,MATCH(J4536,Products!$A$2:$A$49,0))</f>
        <v/>
      </c>
      <c r="S4536">
        <f>WEEKDAY(B4536,2)</f>
        <v/>
      </c>
    </row>
    <row r="4537">
      <c r="A4537" t="n">
        <v>511881</v>
      </c>
      <c r="B4537" s="6" t="n">
        <v>46022</v>
      </c>
      <c r="C4537" t="n">
        <v>13248</v>
      </c>
      <c r="D4537" t="inlineStr">
        <is>
          <t>Delhi</t>
        </is>
      </c>
      <c r="E4537" t="inlineStr">
        <is>
          <t>North</t>
        </is>
      </c>
      <c r="F4537" t="inlineStr">
        <is>
          <t>Paid Search</t>
        </is>
      </c>
      <c r="G4537" t="inlineStr">
        <is>
          <t>Mobile App</t>
        </is>
      </c>
      <c r="H4537" t="inlineStr">
        <is>
          <t>UPI</t>
        </is>
      </c>
      <c r="I4537" t="inlineStr">
        <is>
          <t>Shipped</t>
        </is>
      </c>
      <c r="J4537" t="n">
        <v>138</v>
      </c>
      <c r="K4537" t="n">
        <v>3</v>
      </c>
      <c r="L4537" t="n">
        <v>419</v>
      </c>
      <c r="M4537" t="n">
        <v>62.85</v>
      </c>
      <c r="N4537">
        <f>VLOOKUP(J4537,Products!$A$2:$C$49,3,FALSE)</f>
        <v/>
      </c>
      <c r="O4537">
        <f>K4537*L4537-M4537</f>
        <v/>
      </c>
      <c r="P4537">
        <f>TEXT(B4537,"yyyy-mm")</f>
        <v/>
      </c>
      <c r="Q4537">
        <f>IF(O4537&gt;=3000,"Large","Small")</f>
        <v/>
      </c>
      <c r="R4537">
        <f>INDEX(Products!$F$2:$F$49,MATCH(J4537,Products!$A$2:$A$49,0))</f>
        <v/>
      </c>
      <c r="S4537">
        <f>WEEKDAY(B4537,2)</f>
        <v/>
      </c>
    </row>
    <row r="4538">
      <c r="A4538" t="n">
        <v>511882</v>
      </c>
      <c r="B4538" s="6" t="n">
        <v>46022</v>
      </c>
      <c r="C4538" t="n">
        <v>16389</v>
      </c>
      <c r="D4538" t="inlineStr">
        <is>
          <t>Bengaluru</t>
        </is>
      </c>
      <c r="E4538" t="inlineStr">
        <is>
          <t>South</t>
        </is>
      </c>
      <c r="F4538" t="inlineStr">
        <is>
          <t>Organic Search</t>
        </is>
      </c>
      <c r="G4538" t="inlineStr">
        <is>
          <t>Desktop</t>
        </is>
      </c>
      <c r="H4538" t="inlineStr">
        <is>
          <t>Cash on Delivery</t>
        </is>
      </c>
      <c r="I4538" t="inlineStr">
        <is>
          <t>Shipped</t>
        </is>
      </c>
      <c r="J4538" t="n">
        <v>114</v>
      </c>
      <c r="K4538" t="n">
        <v>1</v>
      </c>
      <c r="L4538" t="n">
        <v>1259</v>
      </c>
      <c r="M4538" t="n">
        <v>0</v>
      </c>
      <c r="N4538">
        <f>VLOOKUP(J4538,Products!$A$2:$C$49,3,FALSE)</f>
        <v/>
      </c>
      <c r="O4538">
        <f>K4538*L4538-M4538</f>
        <v/>
      </c>
      <c r="P4538">
        <f>TEXT(B4538,"yyyy-mm")</f>
        <v/>
      </c>
      <c r="Q4538">
        <f>IF(O4538&gt;=3000,"Large","Small")</f>
        <v/>
      </c>
      <c r="R4538">
        <f>INDEX(Products!$F$2:$F$49,MATCH(J4538,Products!$A$2:$A$49,0))</f>
        <v/>
      </c>
      <c r="S4538">
        <f>WEEKDAY(B4538,2)</f>
        <v/>
      </c>
    </row>
    <row r="4539">
      <c r="A4539" t="n">
        <v>511883</v>
      </c>
      <c r="B4539" s="6" t="n">
        <v>46022</v>
      </c>
      <c r="C4539" t="n">
        <v>17618</v>
      </c>
      <c r="D4539" t="inlineStr">
        <is>
          <t>Kochi</t>
        </is>
      </c>
      <c r="E4539" t="inlineStr">
        <is>
          <t>South</t>
        </is>
      </c>
      <c r="F4539" t="inlineStr">
        <is>
          <t>Paid Search</t>
        </is>
      </c>
      <c r="G4539" t="inlineStr">
        <is>
          <t>Mobile App</t>
        </is>
      </c>
      <c r="H4539" t="inlineStr">
        <is>
          <t>UPI</t>
        </is>
      </c>
      <c r="I4539" t="inlineStr">
        <is>
          <t>Shipped</t>
        </is>
      </c>
      <c r="J4539" t="n">
        <v>126</v>
      </c>
      <c r="K4539" t="n">
        <v>1</v>
      </c>
      <c r="L4539" t="n">
        <v>471</v>
      </c>
      <c r="M4539" t="n">
        <v>0</v>
      </c>
      <c r="N4539">
        <f>VLOOKUP(J4539,Products!$A$2:$C$49,3,FALSE)</f>
        <v/>
      </c>
      <c r="O4539">
        <f>K4539*L4539-M4539</f>
        <v/>
      </c>
      <c r="P4539">
        <f>TEXT(B4539,"yyyy-mm")</f>
        <v/>
      </c>
      <c r="Q4539">
        <f>IF(O4539&gt;=3000,"Large","Small")</f>
        <v/>
      </c>
      <c r="R4539">
        <f>INDEX(Products!$F$2:$F$49,MATCH(J4539,Products!$A$2:$A$49,0))</f>
        <v/>
      </c>
      <c r="S4539">
        <f>WEEKDAY(B4539,2)</f>
        <v/>
      </c>
    </row>
    <row r="4540">
      <c r="A4540" t="n">
        <v>511883</v>
      </c>
      <c r="B4540" s="6" t="n">
        <v>46022</v>
      </c>
      <c r="C4540" t="n">
        <v>17618</v>
      </c>
      <c r="D4540" t="inlineStr">
        <is>
          <t>Kochi</t>
        </is>
      </c>
      <c r="E4540" t="inlineStr">
        <is>
          <t>South</t>
        </is>
      </c>
      <c r="F4540" t="inlineStr">
        <is>
          <t>Paid Search</t>
        </is>
      </c>
      <c r="G4540" t="inlineStr">
        <is>
          <t>Mobile App</t>
        </is>
      </c>
      <c r="H4540" t="inlineStr">
        <is>
          <t>UPI</t>
        </is>
      </c>
      <c r="I4540" t="inlineStr">
        <is>
          <t>Shipped</t>
        </is>
      </c>
      <c r="J4540" t="n">
        <v>144</v>
      </c>
      <c r="K4540" t="n">
        <v>1</v>
      </c>
      <c r="L4540" t="n">
        <v>3149</v>
      </c>
      <c r="M4540" t="n">
        <v>0</v>
      </c>
      <c r="N4540">
        <f>VLOOKUP(J4540,Products!$A$2:$C$49,3,FALSE)</f>
        <v/>
      </c>
      <c r="O4540">
        <f>K4540*L4540-M4540</f>
        <v/>
      </c>
      <c r="P4540">
        <f>TEXT(B4540,"yyyy-mm")</f>
        <v/>
      </c>
      <c r="Q4540">
        <f>IF(O4540&gt;=3000,"Large","Small")</f>
        <v/>
      </c>
      <c r="R4540">
        <f>INDEX(Products!$F$2:$F$49,MATCH(J4540,Products!$A$2:$A$49,0))</f>
        <v/>
      </c>
      <c r="S4540">
        <f>WEEKDAY(B4540,2)</f>
        <v/>
      </c>
    </row>
    <row r="4541">
      <c r="A4541" t="n">
        <v>511884</v>
      </c>
      <c r="B4541" s="6" t="n">
        <v>46022</v>
      </c>
      <c r="C4541" t="n">
        <v>17972</v>
      </c>
      <c r="D4541" t="inlineStr">
        <is>
          <t>Gurugram</t>
        </is>
      </c>
      <c r="E4541" t="inlineStr">
        <is>
          <t>North</t>
        </is>
      </c>
      <c r="F4541" t="inlineStr">
        <is>
          <t>Paid Search</t>
        </is>
      </c>
      <c r="G4541" t="inlineStr">
        <is>
          <t>Desktop</t>
        </is>
      </c>
      <c r="H4541" t="inlineStr">
        <is>
          <t>Debit Card</t>
        </is>
      </c>
      <c r="I4541" t="inlineStr">
        <is>
          <t>Cancelled</t>
        </is>
      </c>
      <c r="J4541" t="n">
        <v>141</v>
      </c>
      <c r="K4541" t="n">
        <v>2</v>
      </c>
      <c r="L4541" t="n">
        <v>261</v>
      </c>
      <c r="M4541" t="n">
        <v>78.3</v>
      </c>
      <c r="N4541">
        <f>VLOOKUP(J4541,Products!$A$2:$C$49,3,FALSE)</f>
        <v/>
      </c>
      <c r="O4541">
        <f>K4541*L4541-M4541</f>
        <v/>
      </c>
      <c r="P4541">
        <f>TEXT(B4541,"yyyy-mm")</f>
        <v/>
      </c>
      <c r="Q4541">
        <f>IF(O4541&gt;=3000,"Large","Small")</f>
        <v/>
      </c>
      <c r="R4541">
        <f>INDEX(Products!$F$2:$F$49,MATCH(J4541,Products!$A$2:$A$49,0))</f>
        <v/>
      </c>
      <c r="S4541">
        <f>WEEKDAY(B4541,2)</f>
        <v/>
      </c>
    </row>
    <row r="4542">
      <c r="A4542" t="n">
        <v>511885</v>
      </c>
      <c r="B4542" s="6" t="n">
        <v>46022</v>
      </c>
      <c r="C4542" t="n">
        <v>17908</v>
      </c>
      <c r="D4542" t="inlineStr">
        <is>
          <t>Hyderabad</t>
        </is>
      </c>
      <c r="E4542" t="inlineStr">
        <is>
          <t>South</t>
        </is>
      </c>
      <c r="F4542" t="inlineStr">
        <is>
          <t>Paid Social</t>
        </is>
      </c>
      <c r="G4542" t="inlineStr">
        <is>
          <t>Mobile Web</t>
        </is>
      </c>
      <c r="H4542" t="inlineStr">
        <is>
          <t>Cash on Delivery</t>
        </is>
      </c>
      <c r="I4542" t="inlineStr">
        <is>
          <t>Shipped</t>
        </is>
      </c>
      <c r="J4542" t="n">
        <v>136</v>
      </c>
      <c r="K4542" t="n">
        <v>1</v>
      </c>
      <c r="L4542" t="n">
        <v>944</v>
      </c>
      <c r="M4542" t="n">
        <v>141.6</v>
      </c>
      <c r="N4542">
        <f>VLOOKUP(J4542,Products!$A$2:$C$49,3,FALSE)</f>
        <v/>
      </c>
      <c r="O4542">
        <f>K4542*L4542-M4542</f>
        <v/>
      </c>
      <c r="P4542">
        <f>TEXT(B4542,"yyyy-mm")</f>
        <v/>
      </c>
      <c r="Q4542">
        <f>IF(O4542&gt;=3000,"Large","Small")</f>
        <v/>
      </c>
      <c r="R4542">
        <f>INDEX(Products!$F$2:$F$49,MATCH(J4542,Products!$A$2:$A$49,0))</f>
        <v/>
      </c>
      <c r="S4542">
        <f>WEEKDAY(B4542,2)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0" customWidth="1" min="3" max="3"/>
    <col width="14" customWidth="1" min="8" max="8"/>
    <col width="16" customWidth="1" min="9" max="9"/>
    <col width="12" customWidth="1" min="11" max="11"/>
    <col width="12" customWidth="1" min="12" max="12"/>
  </cols>
  <sheetData>
    <row r="1">
      <c r="A1" s="16" t="inlineStr">
        <is>
          <t>Answer Key — one working approach per task (formulas point at Orders_Solved)</t>
        </is>
      </c>
    </row>
    <row r="3">
      <c r="A3" s="5" t="inlineStr">
        <is>
          <t>#</t>
        </is>
      </c>
      <c r="B3" s="5" t="inlineStr">
        <is>
          <t>Formula result</t>
        </is>
      </c>
      <c r="C3" s="5" t="inlineStr">
        <is>
          <t>Formula used (see cell B)</t>
        </is>
      </c>
      <c r="H3" s="17" t="inlineStr">
        <is>
          <t>city</t>
        </is>
      </c>
      <c r="I3" s="17" t="inlineStr">
        <is>
          <t>valid revenue</t>
        </is>
      </c>
      <c r="K3" s="17" t="inlineStr">
        <is>
          <t>weekday</t>
        </is>
      </c>
      <c r="L3" s="17" t="inlineStr">
        <is>
          <t>order lines</t>
        </is>
      </c>
    </row>
    <row r="4">
      <c r="A4" t="n">
        <v>1</v>
      </c>
      <c r="B4" s="7">
        <f>COUNTIF(Orders_Solved!$N$2:$N$4542,"Fashion")</f>
        <v/>
      </c>
      <c r="C4" s="18" t="inlineStr">
        <is>
          <t>=COUNTIF($N$2:$N$4542,"Fashion")</t>
        </is>
      </c>
      <c r="H4" t="inlineStr">
        <is>
          <t>Ahmedabad</t>
        </is>
      </c>
      <c r="I4">
        <f>SUMIFS(Orders_Solved!$O$2:$O$4542,Orders_Solved!$D$2:$D$4542,H4,Orders_Solved!$I$2:$I$4542,"Delivered")+SUMIFS(Orders_Solved!$O$2:$O$4542,Orders_Solved!$D$2:$D$4542,H4,Orders_Solved!$I$2:$I$4542,"Shipped")</f>
        <v/>
      </c>
      <c r="K4" t="inlineStr">
        <is>
          <t>Monday</t>
        </is>
      </c>
      <c r="L4">
        <f>COUNTIF(Orders_Solved!$S$2:$S$4542,1)</f>
        <v/>
      </c>
    </row>
    <row r="5">
      <c r="A5" t="n">
        <v>2</v>
      </c>
      <c r="B5" s="7">
        <f>SUM(Orders_Solved!$O$2:$O$4542)</f>
        <v/>
      </c>
      <c r="C5" s="18" t="inlineStr">
        <is>
          <t>=SUM($O$2:$O$4542)</t>
        </is>
      </c>
      <c r="H5" t="inlineStr">
        <is>
          <t>Bengaluru</t>
        </is>
      </c>
      <c r="I5">
        <f>SUMIFS(Orders_Solved!$O$2:$O$4542,Orders_Solved!$D$2:$D$4542,H5,Orders_Solved!$I$2:$I$4542,"Delivered")+SUMIFS(Orders_Solved!$O$2:$O$4542,Orders_Solved!$D$2:$D$4542,H5,Orders_Solved!$I$2:$I$4542,"Shipped")</f>
        <v/>
      </c>
      <c r="K5" t="inlineStr">
        <is>
          <t>Tuesday</t>
        </is>
      </c>
      <c r="L5">
        <f>COUNTIF(Orders_Solved!$S$2:$S$4542,2)</f>
        <v/>
      </c>
    </row>
    <row r="6">
      <c r="A6" t="n">
        <v>3</v>
      </c>
      <c r="B6" s="7">
        <f>SUMIFS(Orders_Solved!$O$2:$O$4542,Orders_Solved!$I$2:$I$4542,"Delivered")+SUMIFS(Orders_Solved!$O$2:$O$4542,Orders_Solved!$I$2:$I$4542,"Shipped")</f>
        <v/>
      </c>
      <c r="C6" s="18" t="inlineStr">
        <is>
          <t>=SUMIFS($O$2:$O$4542,$I$2:$I$4542,"Delivered")+SUMIFS($O$2:$O$4542,$I$2:$I$4542,"Shipped")</t>
        </is>
      </c>
      <c r="H6" t="inlineStr">
        <is>
          <t>Chandigarh</t>
        </is>
      </c>
      <c r="I6">
        <f>SUMIFS(Orders_Solved!$O$2:$O$4542,Orders_Solved!$D$2:$D$4542,H6,Orders_Solved!$I$2:$I$4542,"Delivered")+SUMIFS(Orders_Solved!$O$2:$O$4542,Orders_Solved!$D$2:$D$4542,H6,Orders_Solved!$I$2:$I$4542,"Shipped")</f>
        <v/>
      </c>
      <c r="K6" t="inlineStr">
        <is>
          <t>Wednesday</t>
        </is>
      </c>
      <c r="L6">
        <f>COUNTIF(Orders_Solved!$S$2:$S$4542,3)</f>
        <v/>
      </c>
    </row>
    <row r="7">
      <c r="A7" t="n">
        <v>4</v>
      </c>
      <c r="B7" s="7">
        <f>SUMIFS(Orders_Solved!$O$2:$O$4542,Orders_Solved!$N$2:$N$4542,"Electronics",Orders_Solved!$E$2:$E$4542,"South",Orders_Solved!$I$2:$I$4542,"Delivered")+SUMIFS(Orders_Solved!$O$2:$O$4542,Orders_Solved!$N$2:$N$4542,"Electronics",Orders_Solved!$E$2:$E$4542,"South",Orders_Solved!$I$2:$I$4542,"Shipped")</f>
        <v/>
      </c>
      <c r="C7" s="18" t="inlineStr">
        <is>
          <t>=SUMIFS($O$2:$O$4542,$N$2:$N$4542,"Electronics",$E$2:$E$4542,"South",$I$2:$I$4542,"Delivered")+SUMIFS($O$2:$O$4542,$N$2:$N$4542,"Electronics",$E$2:$E$4542,"South",$I$2:$I$4542,"Shipped")</t>
        </is>
      </c>
      <c r="H7" t="inlineStr">
        <is>
          <t>Chennai</t>
        </is>
      </c>
      <c r="I7">
        <f>SUMIFS(Orders_Solved!$O$2:$O$4542,Orders_Solved!$D$2:$D$4542,H7,Orders_Solved!$I$2:$I$4542,"Delivered")+SUMIFS(Orders_Solved!$O$2:$O$4542,Orders_Solved!$D$2:$D$4542,H7,Orders_Solved!$I$2:$I$4542,"Shipped")</f>
        <v/>
      </c>
      <c r="K7" t="inlineStr">
        <is>
          <t>Thursday</t>
        </is>
      </c>
      <c r="L7">
        <f>COUNTIF(Orders_Solved!$S$2:$S$4542,4)</f>
        <v/>
      </c>
    </row>
    <row r="8">
      <c r="A8" t="n">
        <v>5</v>
      </c>
      <c r="B8" s="7">
        <f>COUNTIFS(Orders_Solved!$H$2:$H$4542,"Cash on Delivery",Orders_Solved!$I$2:$I$4542,"Cancelled")</f>
        <v/>
      </c>
      <c r="C8" s="18" t="inlineStr">
        <is>
          <t>=COUNTIFS($H$2:$H$4542,"Cash on Delivery",$I$2:$I$4542,"Cancelled")</t>
        </is>
      </c>
      <c r="H8" t="inlineStr">
        <is>
          <t>Delhi</t>
        </is>
      </c>
      <c r="I8">
        <f>SUMIFS(Orders_Solved!$O$2:$O$4542,Orders_Solved!$D$2:$D$4542,H8,Orders_Solved!$I$2:$I$4542,"Delivered")+SUMIFS(Orders_Solved!$O$2:$O$4542,Orders_Solved!$D$2:$D$4542,H8,Orders_Solved!$I$2:$I$4542,"Shipped")</f>
        <v/>
      </c>
      <c r="K8" t="inlineStr">
        <is>
          <t>Friday</t>
        </is>
      </c>
      <c r="L8">
        <f>COUNTIF(Orders_Solved!$S$2:$S$4542,5)</f>
        <v/>
      </c>
    </row>
    <row r="9">
      <c r="A9" t="n">
        <v>6</v>
      </c>
      <c r="B9" s="7">
        <f>SUMPRODUCT(1/COUNTIF(Orders_Solved!$A$2:$A$4542,Orders_Solved!$A$2:$A$4542))</f>
        <v/>
      </c>
      <c r="C9" s="18" t="inlineStr">
        <is>
          <t>=SUMPRODUCT(1/COUNTIF($A$2:$A$4542,$A$2:$A$4542))</t>
        </is>
      </c>
      <c r="H9" t="inlineStr">
        <is>
          <t>Gurugram</t>
        </is>
      </c>
      <c r="I9">
        <f>SUMIFS(Orders_Solved!$O$2:$O$4542,Orders_Solved!$D$2:$D$4542,H9,Orders_Solved!$I$2:$I$4542,"Delivered")+SUMIFS(Orders_Solved!$O$2:$O$4542,Orders_Solved!$D$2:$D$4542,H9,Orders_Solved!$I$2:$I$4542,"Shipped")</f>
        <v/>
      </c>
      <c r="K9" t="inlineStr">
        <is>
          <t>Saturday</t>
        </is>
      </c>
      <c r="L9">
        <f>COUNTIF(Orders_Solved!$S$2:$S$4542,6)</f>
        <v/>
      </c>
    </row>
    <row r="10">
      <c r="A10" t="n">
        <v>7</v>
      </c>
      <c r="B10" s="7">
        <f>AVERAGEIFS(Orders_Solved!$L$2:$L$4542,Orders_Solved!$N$2:$N$4542,"Beauty")</f>
        <v/>
      </c>
      <c r="C10" s="18" t="inlineStr">
        <is>
          <t>=AVERAGEIFS($L$2:$L$4542,$N$2:$N$4542,"Beauty")</t>
        </is>
      </c>
      <c r="H10" t="inlineStr">
        <is>
          <t>Hyderabad</t>
        </is>
      </c>
      <c r="I10">
        <f>SUMIFS(Orders_Solved!$O$2:$O$4542,Orders_Solved!$D$2:$D$4542,H10,Orders_Solved!$I$2:$I$4542,"Delivered")+SUMIFS(Orders_Solved!$O$2:$O$4542,Orders_Solved!$D$2:$D$4542,H10,Orders_Solved!$I$2:$I$4542,"Shipped")</f>
        <v/>
      </c>
      <c r="K10" t="inlineStr">
        <is>
          <t>Sunday</t>
        </is>
      </c>
      <c r="L10">
        <f>COUNTIF(Orders_Solved!$S$2:$S$4542,7)</f>
        <v/>
      </c>
    </row>
    <row r="11">
      <c r="A11" t="n">
        <v>8</v>
      </c>
      <c r="B11" s="7">
        <f>MAXIFS(Orders_Solved!$O$2:$O$4542,Orders_Solved!$N$2:$N$4542,"Home &amp; Kitchen")</f>
        <v/>
      </c>
      <c r="C11" s="18" t="inlineStr">
        <is>
          <t>=MAXIFS($O$2:$O$4542,$N$2:$N$4542,"Home &amp; Kitchen")</t>
        </is>
      </c>
      <c r="H11" t="inlineStr">
        <is>
          <t>Indore</t>
        </is>
      </c>
      <c r="I11">
        <f>SUMIFS(Orders_Solved!$O$2:$O$4542,Orders_Solved!$D$2:$D$4542,H11,Orders_Solved!$I$2:$I$4542,"Delivered")+SUMIFS(Orders_Solved!$O$2:$O$4542,Orders_Solved!$D$2:$D$4542,H11,Orders_Solved!$I$2:$I$4542,"Shipped")</f>
        <v/>
      </c>
    </row>
    <row r="12">
      <c r="A12" t="n">
        <v>9</v>
      </c>
      <c r="B12" s="7">
        <f>SUMIFS(Orders_Solved!$O$2:$O$4542,Orders_Solved!$B$2:$B$4542,"&gt;="&amp;DATE(2025,11,1),Orders_Solved!$B$2:$B$4542,"&lt;"&amp;DATE(2025,12,1),Orders_Solved!$I$2:$I$4542,"Delivered")+SUMIFS(Orders_Solved!$O$2:$O$4542,Orders_Solved!$B$2:$B$4542,"&gt;="&amp;DATE(2025,11,1),Orders_Solved!$B$2:$B$4542,"&lt;"&amp;DATE(2025,12,1),Orders_Solved!$I$2:$I$4542,"Shipped")</f>
        <v/>
      </c>
      <c r="C12" s="18" t="inlineStr">
        <is>
          <t>=SUMIFS($O$2:$O$4542,$B$2:$B$4542,"&gt;="&amp;DATE(2025,11,1),$B$2:$B$4542,"&lt;"&amp;DATE(2025,12,1),$I$2:$I$4542,"Delivered")+SUMIFS($O$2:$O$4542,$B$2:$B$4542,"&gt;="&amp;DATE(2025,11,1),$B$2:$B$4542,"&lt;"&amp;DATE(2025,12,1),$I$2:$I$4542,"Shipped")</t>
        </is>
      </c>
      <c r="H12" t="inlineStr">
        <is>
          <t>Jaipur</t>
        </is>
      </c>
      <c r="I12">
        <f>SUMIFS(Orders_Solved!$O$2:$O$4542,Orders_Solved!$D$2:$D$4542,H12,Orders_Solved!$I$2:$I$4542,"Delivered")+SUMIFS(Orders_Solved!$O$2:$O$4542,Orders_Solved!$D$2:$D$4542,H12,Orders_Solved!$I$2:$I$4542,"Shipped")</f>
        <v/>
      </c>
    </row>
    <row r="13">
      <c r="A13" t="n">
        <v>10</v>
      </c>
      <c r="B13" s="7">
        <f>COUNTIF(Orders_Solved!$Q$2:$Q$4542,"Large")</f>
        <v/>
      </c>
      <c r="C13" s="18" t="inlineStr">
        <is>
          <t>=COUNTIF($Q$2:$Q$4542,"Large")</t>
        </is>
      </c>
      <c r="H13" t="inlineStr">
        <is>
          <t>Kochi</t>
        </is>
      </c>
      <c r="I13">
        <f>SUMIFS(Orders_Solved!$O$2:$O$4542,Orders_Solved!$D$2:$D$4542,H13,Orders_Solved!$I$2:$I$4542,"Delivered")+SUMIFS(Orders_Solved!$O$2:$O$4542,Orders_Solved!$D$2:$D$4542,H13,Orders_Solved!$I$2:$I$4542,"Shipped")</f>
        <v/>
      </c>
    </row>
    <row r="14">
      <c r="A14" t="n">
        <v>11</v>
      </c>
      <c r="B14">
        <f>INDEX(Products!$B$2:$B$49,MATCH(131,Products!$A$2:$A$49,0))</f>
        <v/>
      </c>
      <c r="C14" s="18" t="inlineStr">
        <is>
          <t>=INDEX(Products!$B$2:$B$49,MATCH(131,Products!$A$2:$A$49,0))</t>
        </is>
      </c>
      <c r="H14" t="inlineStr">
        <is>
          <t>Kolkata</t>
        </is>
      </c>
      <c r="I14">
        <f>SUMIFS(Orders_Solved!$O$2:$O$4542,Orders_Solved!$D$2:$D$4542,H14,Orders_Solved!$I$2:$I$4542,"Delivered")+SUMIFS(Orders_Solved!$O$2:$O$4542,Orders_Solved!$D$2:$D$4542,H14,Orders_Solved!$I$2:$I$4542,"Shipped")</f>
        <v/>
      </c>
    </row>
    <row r="15">
      <c r="A15" t="n">
        <v>12</v>
      </c>
      <c r="B15" s="19">
        <f>COUNTIFS(Orders_Solved!$N$2:$N$4542,"Fashion",Orders_Solved!$I$2:$I$4542,"Returned")/(COUNTIFS(Orders_Solved!$N$2:$N$4542,"Fashion",Orders_Solved!$I$2:$I$4542,"Returned")+COUNTIFS(Orders_Solved!$N$2:$N$4542,"Fashion",Orders_Solved!$I$2:$I$4542,"Delivered"))</f>
        <v/>
      </c>
      <c r="C15" s="18" t="inlineStr">
        <is>
          <t>=COUNTIFS($N$2:$N$4542,"Fashion",$I$2:$I$4542,"Returned")/(COUNTIFS($N$2:$N$4542,"Fashion",$I$2:$I$4542,"Returned")+COUNTIFS($N$2:$N$4542,"Fashion",$I$2:$I$4542,"Delivered"))</t>
        </is>
      </c>
      <c r="H15" t="inlineStr">
        <is>
          <t>Lucknow</t>
        </is>
      </c>
      <c r="I15">
        <f>SUMIFS(Orders_Solved!$O$2:$O$4542,Orders_Solved!$D$2:$D$4542,H15,Orders_Solved!$I$2:$I$4542,"Delivered")+SUMIFS(Orders_Solved!$O$2:$O$4542,Orders_Solved!$D$2:$D$4542,H15,Orders_Solved!$I$2:$I$4542,"Shipped")</f>
        <v/>
      </c>
    </row>
    <row r="16">
      <c r="A16" t="n">
        <v>13</v>
      </c>
      <c r="B16" s="19">
        <f>(SUMPRODUCT(Orders_Solved!$O$2:$O$4542,(Orders_Solved!$I$2:$I$4542="Delivered")+(Orders_Solved!$I$2:$I$4542="Shipped"))-SUMPRODUCT(Orders_Solved!$K$2:$K$4542,Orders_Solved!$R$2:$R$4542,(Orders_Solved!$I$2:$I$4542="Delivered")+(Orders_Solved!$I$2:$I$4542="Shipped")))/SUMPRODUCT(Orders_Solved!$O$2:$O$4542,(Orders_Solved!$I$2:$I$4542="Delivered")+(Orders_Solved!$I$2:$I$4542="Shipped"))</f>
        <v/>
      </c>
      <c r="C16" s="18" t="inlineStr">
        <is>
          <t>=(SUMPRODUCT($O$2:$O$4542,($I$2:$I$4542="Delivered")+($I$2:$I$4542="Shipped"))-SUMPRODUCT($K$2:$K$4542,$R$2:$R$4542,($I$2:$I$4542="Delivered")+($I$2:$I$4542="Shipped")))/SUMPRODUCT($O$2:$O$4542,($I$2:$I$4542="Delivered")+($I$2:$I$4542="Shipped"))</t>
        </is>
      </c>
      <c r="H16" t="inlineStr">
        <is>
          <t>Mumbai</t>
        </is>
      </c>
      <c r="I16">
        <f>SUMIFS(Orders_Solved!$O$2:$O$4542,Orders_Solved!$D$2:$D$4542,H16,Orders_Solved!$I$2:$I$4542,"Delivered")+SUMIFS(Orders_Solved!$O$2:$O$4542,Orders_Solved!$D$2:$D$4542,H16,Orders_Solved!$I$2:$I$4542,"Shipped")</f>
        <v/>
      </c>
    </row>
    <row r="17">
      <c r="A17" t="n">
        <v>14</v>
      </c>
      <c r="B17">
        <f>INDEX('Answer Key'!$H$4:$H$18,MATCH(MAX('Answer Key'!$I$4:$I$18),'Answer Key'!$I$4:$I$18,0))</f>
        <v/>
      </c>
      <c r="C17" s="18" t="inlineStr">
        <is>
          <t>=INDEX('Answer Key'!$H$4:$H$18,MATCH(MAX('Answer Key'!$I$4:$I$18),'Answer Key'!$I$4:$I$18,0))</t>
        </is>
      </c>
      <c r="H17" t="inlineStr">
        <is>
          <t>Noida</t>
        </is>
      </c>
      <c r="I17">
        <f>SUMIFS(Orders_Solved!$O$2:$O$4542,Orders_Solved!$D$2:$D$4542,H17,Orders_Solved!$I$2:$I$4542,"Delivered")+SUMIFS(Orders_Solved!$O$2:$O$4542,Orders_Solved!$D$2:$D$4542,H17,Orders_Solved!$I$2:$I$4542,"Shipped")</f>
        <v/>
      </c>
    </row>
    <row r="18">
      <c r="A18" t="n">
        <v>15</v>
      </c>
      <c r="B18" s="19">
        <f>(SUMIFS(Orders_Solved!$O$2:$O$4542,Orders_Solved!$G$2:$G$4542,"Mobile App",Orders_Solved!$I$2:$I$4542,"Delivered")+SUMIFS(Orders_Solved!$O$2:$O$4542,Orders_Solved!$G$2:$G$4542,"Mobile App",Orders_Solved!$I$2:$I$4542,"Shipped"))/(SUMIFS(Orders_Solved!$O$2:$O$4542,Orders_Solved!$I$2:$I$4542,"Delivered")+SUMIFS(Orders_Solved!$O$2:$O$4542,Orders_Solved!$I$2:$I$4542,"Shipped"))</f>
        <v/>
      </c>
      <c r="C18" s="18" t="inlineStr">
        <is>
          <t>=(SUMIFS($O$2:$O$4542,$G$2:$G$4542,"Mobile App",$I$2:$I$4542,"Delivered")+SUMIFS($O$2:$O$4542,$G$2:$G$4542,"Mobile App",$I$2:$I$4542,"Shipped"))/(SUMIFS($O$2:$O$4542,$I$2:$I$4542,"Delivered")+SUMIFS($O$2:$O$4542,$I$2:$I$4542,"Shipped"))</t>
        </is>
      </c>
      <c r="H18" t="inlineStr">
        <is>
          <t>Pune</t>
        </is>
      </c>
      <c r="I18">
        <f>SUMIFS(Orders_Solved!$O$2:$O$4542,Orders_Solved!$D$2:$D$4542,H18,Orders_Solved!$I$2:$I$4542,"Delivered")+SUMIFS(Orders_Solved!$O$2:$O$4542,Orders_Solved!$D$2:$D$4542,H18,Orders_Solved!$I$2:$I$4542,"Shipped")</f>
        <v/>
      </c>
    </row>
    <row r="19">
      <c r="A19" t="n">
        <v>16</v>
      </c>
      <c r="B19" s="7">
        <f>SUMIFS(Orders_Solved!$M$2:$M$4542,Orders_Solved!$P$2:$P$4542,"2025-12")</f>
        <v/>
      </c>
      <c r="C19" s="18" t="inlineStr">
        <is>
          <t>=SUMIFS($M$2:$M$4542,$P$2:$P$4542,"2025-12")</t>
        </is>
      </c>
    </row>
    <row r="20">
      <c r="A20" t="n">
        <v>17</v>
      </c>
      <c r="B20">
        <f>INDEX('Answer Key'!$K$4:$K$10,MATCH(MAX('Answer Key'!$L$4:$L$10),'Answer Key'!$L$4:$L$10,0))</f>
        <v/>
      </c>
      <c r="C20" s="18" t="inlineStr">
        <is>
          <t>=INDEX('Answer Key'!$K$4:$K$10,MATCH(MAX('Answer Key'!$L$4:$L$10),'Answer Key'!$L$4:$L$10,0))</t>
        </is>
      </c>
    </row>
    <row r="21">
      <c r="A21" t="n">
        <v>18</v>
      </c>
      <c r="B21" s="7">
        <f>(SUMIFS(Orders_Solved!$O$2:$O$4542,Orders_Solved!$I$2:$I$4542,"Delivered")+SUMIFS(Orders_Solved!$O$2:$O$4542,Orders_Solved!$I$2:$I$4542,"Shipped"))/SUMPRODUCT(((Orders_Solved!$I$2:$I$4542="Delivered")+(Orders_Solved!$I$2:$I$4542="Shipped"))/COUNTIF(Orders_Solved!$A$2:$A$4542,Orders_Solved!$A$2:$A$4542))</f>
        <v/>
      </c>
      <c r="C21" s="18" t="inlineStr">
        <is>
          <t>=(SUMIFS($O$2:$O$4542,$I$2:$I$4542,"Delivered")+SUMIFS($O$2:$O$4542,$I$2:$I$4542,"Shipped"))/SUMPRODUCT((($I$2:$I$4542="Delivered")+($I$2:$I$4542="Shipped"))/COUNTIF($A$2:$A$4542,$A$2:$A$4542))</t>
        </is>
      </c>
    </row>
    <row r="22">
      <c r="A22" t="n">
        <v>19</v>
      </c>
      <c r="B22" s="7">
        <f>SUMPRODUCT((Orders_Solved!$P$2:$P$4542="2025-12")/COUNTIFS(Orders_Solved!$C$2:$C$4542,Orders_Solved!$C$2:$C$4542,Orders_Solved!$P$2:$P$4542,Orders_Solved!$P$2:$P$4542))</f>
        <v/>
      </c>
      <c r="C22" s="18" t="inlineStr">
        <is>
          <t>=SUMPRODUCT(($P$2:$P$4542="2025-12")/COUNTIFS($C$2:$C$4542,$C$2:$C$4542,$P$2:$P$4542,$P$2:$P$4542))</t>
        </is>
      </c>
    </row>
    <row r="23">
      <c r="A23" t="n">
        <v>20</v>
      </c>
      <c r="B23" s="7">
        <f>SUMPRODUCT(LARGE(Orders_Solved!$O$2:$O$4542,ROW($1:$10)))/10</f>
        <v/>
      </c>
      <c r="C23" s="18" t="inlineStr">
        <is>
          <t>=SUMPRODUCT(LARGE($O$2:$O$4542,ROW($1:$10)))/10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2026-09-27T15:09:31Z</dcterms:created>
  <dcterms:modified xsi:type="dcterms:W3CDTF">2026-09-27T15:09:32Z</dcterms:modified>
</cp:coreProperties>
</file>